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안내" sheetId="1" r:id="rId5"/>
    <sheet state="visible" name="현원_원본" sheetId="2" r:id="rId6"/>
    <sheet state="visible" name="학생목록" sheetId="3" r:id="rId7"/>
    <sheet state="visible" name="일괄배부입력" sheetId="4" r:id="rId8"/>
    <sheet state="visible" name="장소마스터" sheetId="5" r:id="rId9"/>
    <sheet state="visible" name="개별배부입력" sheetId="6" r:id="rId10"/>
    <sheet state="visible" name="재원학생목록" sheetId="7" r:id="rId11"/>
    <sheet state="visible" name="개별회수입력" sheetId="8" r:id="rId12"/>
    <sheet state="visible" name="일괄회수입력" sheetId="9" r:id="rId13"/>
    <sheet state="visible" name="회수로그" sheetId="10" r:id="rId14"/>
    <sheet state="visible" name="배부로그" sheetId="11" r:id="rId15"/>
    <sheet state="visible" name="반마스터" sheetId="12" r:id="rId16"/>
    <sheet state="visible" name="반별학생명단" sheetId="13" r:id="rId17"/>
    <sheet state="visible" name="학생반배정" sheetId="14" r:id="rId18"/>
    <sheet state="visible" name="학생조회" sheetId="15" r:id="rId19"/>
    <sheet state="visible" name="교재재고" sheetId="16" r:id="rId20"/>
    <sheet state="visible" name="재고이동로그" sheetId="17" r:id="rId21"/>
    <sheet state="visible" name="특이사항모아보기" sheetId="18" r:id="rId22"/>
    <sheet state="visible" name="전체현황판" sheetId="19" r:id="rId23"/>
    <sheet state="visible" name="AppSheet_설정" sheetId="20" r:id="rId24"/>
  </sheets>
  <definedNames>
    <definedName hidden="1" localSheetId="13" name="_xlnm._FilterDatabase">'학생반배정'!$A$1:$G$10618</definedName>
  </definedNames>
  <calcPr/>
</workbook>
</file>

<file path=xl/sharedStrings.xml><?xml version="1.0" encoding="utf-8"?>
<sst xmlns="http://schemas.openxmlformats.org/spreadsheetml/2006/main" count="76196" uniqueCount="14596">
  <si>
    <t>안내ID</t>
  </si>
  <si>
    <t>시트명</t>
  </si>
  <si>
    <t>용도</t>
  </si>
  <si>
    <t>누가 주로 사용하나</t>
  </si>
  <si>
    <t>설명</t>
  </si>
  <si>
    <t>INFO-001</t>
  </si>
  <si>
    <t>현원_원본</t>
  </si>
  <si>
    <t>원본보관</t>
  </si>
  <si>
    <t>관리자</t>
  </si>
  <si>
    <t>샘플 원본 그대로 보관</t>
  </si>
  <si>
    <t>INFO-002</t>
  </si>
  <si>
    <t>반별학생명단</t>
  </si>
  <si>
    <t>보기용</t>
  </si>
  <si>
    <t>실무자</t>
  </si>
  <si>
    <t>반 안에 어떤 학생이 있는지 확인</t>
  </si>
  <si>
    <t>INFO-003</t>
  </si>
  <si>
    <t>학생목록</t>
  </si>
  <si>
    <t>기준정보</t>
  </si>
  <si>
    <t>학생 검색용 기준 목록</t>
  </si>
  <si>
    <t>INFO-004</t>
  </si>
  <si>
    <t>반마스터</t>
  </si>
  <si>
    <t>반명=교재 기준. 수업/피드백 2종 관리</t>
  </si>
  <si>
    <t>INFO-005</t>
  </si>
  <si>
    <t>학생반배정</t>
  </si>
  <si>
    <t>학생-반 소속 관계. 반이동 시 여기 수정</t>
  </si>
  <si>
    <t>INFO-006</t>
  </si>
  <si>
    <t>교재재고</t>
  </si>
  <si>
    <t>핵심</t>
  </si>
  <si>
    <t>실무자/관리자</t>
  </si>
  <si>
    <t>초기재고 입력, 누적배부/현재재고 자동집계</t>
  </si>
  <si>
    <t>INFO-007</t>
  </si>
  <si>
    <t>일괄배부입력</t>
  </si>
  <si>
    <t>핵심입력</t>
  </si>
  <si>
    <t>매월 반별 교재 일괄배부 입력</t>
  </si>
  <si>
    <t>INFO-008</t>
  </si>
  <si>
    <t>개별배부입력</t>
  </si>
  <si>
    <t>특정 학생만 추가 배부 입력</t>
  </si>
  <si>
    <t>INFO-009</t>
  </si>
  <si>
    <t>배부로그</t>
  </si>
  <si>
    <t>기록</t>
  </si>
  <si>
    <t>자동/AppSheet</t>
  </si>
  <si>
    <t>모든 배부 기록 저장</t>
  </si>
  <si>
    <t>INFO-010</t>
  </si>
  <si>
    <t>학생조회</t>
  </si>
  <si>
    <t>조회</t>
  </si>
  <si>
    <t>학생명+기준일로 과거 배부내역 확인</t>
  </si>
  <si>
    <t>INFO-011</t>
  </si>
  <si>
    <t>특이사항모아보기</t>
  </si>
  <si>
    <t>특이사항 있는 학생만 한 번에 확인</t>
  </si>
  <si>
    <t>INFO-012</t>
  </si>
  <si>
    <t>전체현황판</t>
  </si>
  <si>
    <t>원장/실무자</t>
  </si>
  <si>
    <t>반별 재고, 누적배부, 특이사항 종합판</t>
  </si>
  <si>
    <t>INFO-013</t>
  </si>
  <si>
    <t>AppSheet_설정</t>
  </si>
  <si>
    <t>설정</t>
  </si>
  <si>
    <t>AppSheet 연결/액션 만들기 가이드</t>
  </si>
  <si>
    <t>현원</t>
  </si>
  <si>
    <t>Data DownLoad 일자 : 2026-03-25</t>
  </si>
  <si>
    <t>반명</t>
  </si>
  <si>
    <t>학생명</t>
  </si>
  <si>
    <t>(목) 301호 생명D 강원휘(13시20분)</t>
  </si>
  <si>
    <t>(5)강연웅2804</t>
  </si>
  <si>
    <t>(목) 501호 언매 김종훈(08시)</t>
  </si>
  <si>
    <t>(화) 303호 지학D 이병훈(08시)</t>
  </si>
  <si>
    <t>정규(수)802B 국어 김종훈</t>
  </si>
  <si>
    <t>정규(월금)801B 미적 전종현(수매Q)</t>
  </si>
  <si>
    <t>정규(토)901A 영어 김희준</t>
  </si>
  <si>
    <t>(목) 702호 화작 조영신(13시20분)</t>
  </si>
  <si>
    <t>(5)강유찬8685</t>
  </si>
  <si>
    <t>(목) 별관지하 세지A 이승국(08시)</t>
  </si>
  <si>
    <t>(화) 별관302호 사문B 강성욱(13시20분)</t>
  </si>
  <si>
    <t>정규(수)701A 영어 김희준</t>
  </si>
  <si>
    <t>정규(월금)603B 미적 김학림(수매T)</t>
  </si>
  <si>
    <t>정규(토)603B 국어 임현호</t>
  </si>
  <si>
    <t>(목) 별관302호 사문C 강성욱(08시)</t>
  </si>
  <si>
    <t>(5)고강민8799</t>
  </si>
  <si>
    <t>(화) 702호 화작 임현호(13시20분)</t>
  </si>
  <si>
    <t>(화) 별관301 한지A 이승국(08시)</t>
  </si>
  <si>
    <t>정규(수)903A 영어 김춘근</t>
  </si>
  <si>
    <t>정규(월금)701A 미적 이민호A(수매Q)</t>
  </si>
  <si>
    <t>정규(토)701A 국어 김종훈</t>
  </si>
  <si>
    <t>(목) 502호 사문D 장진민(08시)</t>
  </si>
  <si>
    <t>(5)김준수3824</t>
  </si>
  <si>
    <t>(화) 302호 지학A 장병선(08시)</t>
  </si>
  <si>
    <t>(화) 501호 언매 조영신(13시20분)</t>
  </si>
  <si>
    <t>정규(수)801B 국어 조영신</t>
  </si>
  <si>
    <t>정규(월금)803B 미적 이민호A(수매Q)</t>
  </si>
  <si>
    <t>정규(토)702A 영어 김춘근</t>
  </si>
  <si>
    <t>(목) 301호 생명C 강원휘(08시)</t>
  </si>
  <si>
    <t>(5)김진혁7053</t>
  </si>
  <si>
    <t>(화) 302호 화학 고낙기(13시20분)</t>
  </si>
  <si>
    <t>(화) 501호 언매 백종수(08시)</t>
  </si>
  <si>
    <t>정규(월금)802B 미적 신현철(수매S1)</t>
  </si>
  <si>
    <t>정규(토)803B 국어 김종훈</t>
  </si>
  <si>
    <t>(목) 703호 화작 임현호(08시)</t>
  </si>
  <si>
    <t>(5)문혁기2222</t>
  </si>
  <si>
    <t>(목) 별관301호 사문J 최성주(13시20분)</t>
  </si>
  <si>
    <t>(화) 502호 생윤C 한진구(08시)</t>
  </si>
  <si>
    <t>정규(수)803B 영어 김희준</t>
  </si>
  <si>
    <t>(목) 502호 사문E 장진민(13시20분)</t>
  </si>
  <si>
    <t>(5)박경동8420</t>
  </si>
  <si>
    <t>(화) 403호 물리A 성열상(08시)</t>
  </si>
  <si>
    <t>(5)방준혁8763</t>
  </si>
  <si>
    <t>(화) 별관201 생윤B 장진민(13시20분)</t>
  </si>
  <si>
    <t>정규(금)303A 국어 임현호</t>
  </si>
  <si>
    <t>정규(수토)502A 확통 신현철(수매S2)</t>
  </si>
  <si>
    <t>정규(월)501A 영어 김희준</t>
  </si>
  <si>
    <t>(5)손찬우7814</t>
  </si>
  <si>
    <t>(화) 702호 화작 임현호(09시20분)</t>
  </si>
  <si>
    <t>정규(금)601B 국어 백종수</t>
  </si>
  <si>
    <t>정규(월)303A 영어 지종규</t>
  </si>
  <si>
    <t>(5)오승민8884</t>
  </si>
  <si>
    <t>정규(월금)901A 미적 전종현(수매Q)</t>
  </si>
  <si>
    <t>(목) 703호 화작 백종수(13시20분)</t>
  </si>
  <si>
    <t>(5)유민재7079</t>
  </si>
  <si>
    <t>정규(수)902A 국어 김종훈</t>
  </si>
  <si>
    <t>정규(월금)702A 확통 이민호B(수매M)</t>
  </si>
  <si>
    <t>정규(토)801B 영어 김희준</t>
  </si>
  <si>
    <t>(5)윤태웅1592</t>
  </si>
  <si>
    <t>(화) 별관201 생윤A 장진민(08시)</t>
  </si>
  <si>
    <t>(5)이민욱7522</t>
  </si>
  <si>
    <t>(화) 703호 화작 백종수(13시20분)</t>
  </si>
  <si>
    <t>정규(금)501A 국어 백종수</t>
  </si>
  <si>
    <t>정규(수토)403B 확통 이민호A(수매Q)</t>
  </si>
  <si>
    <t>(5)이영욱6966</t>
  </si>
  <si>
    <t>정규(수토)303A 확통 이민호A(수매Q)</t>
  </si>
  <si>
    <t>정규(월)403B 영어 지종규</t>
  </si>
  <si>
    <t>(5)이재국9609</t>
  </si>
  <si>
    <t>(화) 301호 생명A 강원휘(08시)</t>
  </si>
  <si>
    <t>(5)조준범0784</t>
  </si>
  <si>
    <t>정규(월금)703B 확통 이민호B(수매M)</t>
  </si>
  <si>
    <t>(목) 702호 화작 백종수(08시)</t>
  </si>
  <si>
    <t>(5)지무경1270</t>
  </si>
  <si>
    <t>(목) 별관201 생윤E 한진구(13시20분)</t>
  </si>
  <si>
    <t>정규(금)402B 영어 지종규</t>
  </si>
  <si>
    <t>정규(월)302A 국어 백종수</t>
  </si>
  <si>
    <t>(목) 703호 화작 김종훈(09시20분)</t>
  </si>
  <si>
    <t>(5)최민준4523</t>
  </si>
  <si>
    <t>정규(월)401B 국어 조영신</t>
  </si>
  <si>
    <t>(5)하시원2339</t>
  </si>
  <si>
    <t>(화) 별관301 한지B 이승국(13시 20분)</t>
  </si>
  <si>
    <t>정규(월금)903A 미적 김학림(수매T)</t>
  </si>
  <si>
    <t>(목) 302호 지학C 장병선(13시20분)</t>
  </si>
  <si>
    <t>(강)김도형7747</t>
  </si>
  <si>
    <t>정규(월)502A 영어 김춘근</t>
  </si>
  <si>
    <t>(목) 501호 언매 임현호(13시20분)</t>
  </si>
  <si>
    <t>(강)김민건8182</t>
  </si>
  <si>
    <t>(목) 별관301호 사문H 최성주(08시)</t>
  </si>
  <si>
    <t>정규(금)403B 국어 임현호</t>
  </si>
  <si>
    <t>정규(수토)401B 확통 전종현(수매T)</t>
  </si>
  <si>
    <t>(강)김수홍7778</t>
  </si>
  <si>
    <t>(강)민준혁9223</t>
  </si>
  <si>
    <t>(화) 703호 화작 조영신(09시20분)</t>
  </si>
  <si>
    <t>정규(토)902A 영어 지종규</t>
  </si>
  <si>
    <t>(강)박성효3234</t>
  </si>
  <si>
    <t>(화) 501호 화작 조영신(14시40분)</t>
  </si>
  <si>
    <t>정규(금)602B 국어 조영신</t>
  </si>
  <si>
    <t>정규(월)602B 영어 김춘근</t>
  </si>
  <si>
    <t>(목) 702호 화작 백종수(09시20분)</t>
  </si>
  <si>
    <t>(강)박주석8032</t>
  </si>
  <si>
    <t>(목) 별관지하 세지B 이승국(13시20분)</t>
  </si>
  <si>
    <t>정규(수토)602B 확통 신현철(수매S2)</t>
  </si>
  <si>
    <t>(강)왕효준2880</t>
  </si>
  <si>
    <t>정규(수토)302A 확통 진명화(수매J)</t>
  </si>
  <si>
    <t>(강)이도현1102</t>
  </si>
  <si>
    <t>정규(금)301A 영어 김춘근</t>
  </si>
  <si>
    <t>(강)이동건5693</t>
  </si>
  <si>
    <t>(강)장윤건7351</t>
  </si>
  <si>
    <t>(목) 별관201호 생윤D 한진구(08시)</t>
  </si>
  <si>
    <t>(화) 별관302호 사문A 강성욱(08시)</t>
  </si>
  <si>
    <t>정규(월)601B 영어 김희준</t>
  </si>
  <si>
    <t>(개_5)김광래2719</t>
  </si>
  <si>
    <t>(목) 303호 정법 강성욱(13시20분)</t>
  </si>
  <si>
    <t>(개_5)김민준5243</t>
  </si>
  <si>
    <t>(화) 별관지하 사문F 최성주(08시)</t>
  </si>
  <si>
    <t>정규(금)502A 국어 조영신</t>
  </si>
  <si>
    <t>(개_5)민정원9707</t>
  </si>
  <si>
    <t>(화) 별관지하 사문G 최성주(13시20분)</t>
  </si>
  <si>
    <t>(개_5)박상현0208</t>
  </si>
  <si>
    <t>(개_5)박시우7232</t>
  </si>
  <si>
    <t>정규(수토)501A 확통 김학림(수매T)</t>
  </si>
  <si>
    <t>(개_5)방승수0714</t>
  </si>
  <si>
    <t>(화) 502호 윤사 한진구(13시20분)</t>
  </si>
  <si>
    <t>정규(수)702A 국어 백종수</t>
  </si>
  <si>
    <t>정규(토)703B 영어 김춘근</t>
  </si>
  <si>
    <t>(개_5)서은후1353</t>
  </si>
  <si>
    <t>정규(수토)601B 확통 김학림(수매M)</t>
  </si>
  <si>
    <t>(개_5)양인국1316</t>
  </si>
  <si>
    <t>정규(수)901A 국어 조영신</t>
  </si>
  <si>
    <t>(목) 302호 지학B 장병선(08시)</t>
  </si>
  <si>
    <t>(개_5)이정윤3714</t>
  </si>
  <si>
    <t>(화) 301호 생명B 강원휘(13시20분)</t>
  </si>
  <si>
    <t>(개_5)이한결0479</t>
  </si>
  <si>
    <t>(화) 702호 화작 임현호(08시)</t>
  </si>
  <si>
    <t>정규(금)401B 영어 김춘근</t>
  </si>
  <si>
    <t>정규(수토)301A 확통 전종현(수매T)</t>
  </si>
  <si>
    <t>(개_5)이후영1558</t>
  </si>
  <si>
    <t>(화) 401호 세사 신인섭(08시)</t>
  </si>
  <si>
    <t>정규(토)802B 영어 지종규</t>
  </si>
  <si>
    <t>(개_5)임건우5242</t>
  </si>
  <si>
    <t>(개_5)임예준3266</t>
  </si>
  <si>
    <t>(개_5)임재준4588</t>
  </si>
  <si>
    <t>(개_5)전예준2851</t>
  </si>
  <si>
    <t>(목) 403호 물리B 성열상(13시20분)</t>
  </si>
  <si>
    <t>(개_5)지우현4872</t>
  </si>
  <si>
    <t>(개_일)고은채4346</t>
  </si>
  <si>
    <t>정규(수)703B 국어 백종수</t>
  </si>
  <si>
    <t>정규(월금)902A 미적 신현철(수매S1)</t>
  </si>
  <si>
    <t>(개_일)김시예0805</t>
  </si>
  <si>
    <t>(개_일)김예담9555</t>
  </si>
  <si>
    <t>정규(금)302A 영어 지종규</t>
  </si>
  <si>
    <t>정규(월)402B 국어 백종수</t>
  </si>
  <si>
    <t>(개_일)김온유5076</t>
  </si>
  <si>
    <t>(개_일)김유진2847</t>
  </si>
  <si>
    <t>(화) 303호 지학E 이병훈(13시20분)</t>
  </si>
  <si>
    <t>(개_일)김태은3330</t>
  </si>
  <si>
    <t>(개_일)박예영8386</t>
  </si>
  <si>
    <t>(개_일)손여진3390</t>
  </si>
  <si>
    <t>(개_일)양이든8316</t>
  </si>
  <si>
    <t>정규(월)301A 국어 조영신</t>
  </si>
  <si>
    <t>(개_일)이서의7569</t>
  </si>
  <si>
    <t>정규(수토)402B 확통 진명화(수매J)</t>
  </si>
  <si>
    <t>(개_일)이서현2233</t>
  </si>
  <si>
    <t>(개_일)이채민4087</t>
  </si>
  <si>
    <t>(개_일)임도경5128</t>
  </si>
  <si>
    <t>(목) 403호 동사 신인섭(08시)</t>
  </si>
  <si>
    <t>(개_일)장시연4755</t>
  </si>
  <si>
    <t>(개_일)최서윤0998</t>
  </si>
  <si>
    <t>(개_일)최정원3665</t>
  </si>
  <si>
    <t>(개_일)한지수9044</t>
  </si>
  <si>
    <t>(교)김가은7178</t>
  </si>
  <si>
    <t>(교)김보민5769</t>
  </si>
  <si>
    <t>(교)송수빈5337</t>
  </si>
  <si>
    <t>(교)신유정7566</t>
  </si>
  <si>
    <t>(교)양진서5080</t>
  </si>
  <si>
    <t>(교)윤다연9207</t>
  </si>
  <si>
    <t>(교)이지우0221</t>
  </si>
  <si>
    <t>(교)조희수6471</t>
  </si>
  <si>
    <t>(교)차소정4052</t>
  </si>
  <si>
    <t>정규(수)603B 영어 김춘근</t>
  </si>
  <si>
    <t>정규(토)903A 국어 임현호</t>
  </si>
  <si>
    <t>(교)최수민4879</t>
  </si>
  <si>
    <t>(교)최지우7723</t>
  </si>
  <si>
    <t>(교)한유진8417</t>
  </si>
  <si>
    <t>(교)홍석채2964</t>
  </si>
  <si>
    <t>(명)고유진4984</t>
  </si>
  <si>
    <t>(명)김건5586</t>
  </si>
  <si>
    <t>(명)이영석8582</t>
  </si>
  <si>
    <t>(명)이준형9016</t>
  </si>
  <si>
    <t>(명)최동현4402</t>
  </si>
  <si>
    <t>(베)곽나영8302</t>
  </si>
  <si>
    <t>(베)권소연2604</t>
  </si>
  <si>
    <t>(베)김민정8809</t>
  </si>
  <si>
    <t>(베)김서영4149</t>
  </si>
  <si>
    <t>(베)김아현2812</t>
  </si>
  <si>
    <t>(베)서은서7111</t>
  </si>
  <si>
    <t>(베)심서현0910</t>
  </si>
  <si>
    <t>(베)양세희5603</t>
  </si>
  <si>
    <t>(베)오윤서6143</t>
  </si>
  <si>
    <t>(베)유지현2373</t>
  </si>
  <si>
    <t>(베)윤채은5226</t>
  </si>
  <si>
    <t>(베)이서은7948</t>
  </si>
  <si>
    <t>(베)이소연0957</t>
  </si>
  <si>
    <t>(베)이수빈1704</t>
  </si>
  <si>
    <t>(베)이승아1688</t>
  </si>
  <si>
    <t>(베)이윤이4965</t>
  </si>
  <si>
    <t>(베)이채린9683</t>
  </si>
  <si>
    <t>(베)장미소0730</t>
  </si>
  <si>
    <t>(베)정다은4727</t>
  </si>
  <si>
    <t>(베)정서진9562</t>
  </si>
  <si>
    <t>(베)정예음8008</t>
  </si>
  <si>
    <t>(베)정지우1212</t>
  </si>
  <si>
    <t>(베)조은솔6474</t>
  </si>
  <si>
    <t>(베)차유진6682</t>
  </si>
  <si>
    <t>(베)최다영2530</t>
  </si>
  <si>
    <t>(베)홍예림3695</t>
  </si>
  <si>
    <t>(선5)김동건5321</t>
  </si>
  <si>
    <t>(선5)김민준2056</t>
  </si>
  <si>
    <t>(선5)김민준4685</t>
  </si>
  <si>
    <t>(선5)김솔4251</t>
  </si>
  <si>
    <t>(선5)김연우3300</t>
  </si>
  <si>
    <t>(선5)김준서6829</t>
  </si>
  <si>
    <t>(선5)박상현0851</t>
  </si>
  <si>
    <t>(선5)방수혁4614</t>
  </si>
  <si>
    <t>(선5)유건우5209</t>
  </si>
  <si>
    <t>(선5)이기찬5172</t>
  </si>
  <si>
    <t>(선5)이동현0896</t>
  </si>
  <si>
    <t>(선5)이세명2015</t>
  </si>
  <si>
    <t>(선5)이예준5251</t>
  </si>
  <si>
    <t>(선5)이재선5347</t>
  </si>
  <si>
    <t>(선5)이정진0769</t>
  </si>
  <si>
    <t>(선5)이준혁1947</t>
  </si>
  <si>
    <t>(선5)이진웅4253</t>
  </si>
  <si>
    <t>(선5)이혁원3309</t>
  </si>
  <si>
    <t>(선5)임지원8343</t>
  </si>
  <si>
    <t>(선5)장은수1716</t>
  </si>
  <si>
    <t>(선5)정현도3979</t>
  </si>
  <si>
    <t>(선5)홍성현7890</t>
  </si>
  <si>
    <t>(선명)강민성1732</t>
  </si>
  <si>
    <t>(선명)강민준1892</t>
  </si>
  <si>
    <t>(선명)김용현3093</t>
  </si>
  <si>
    <t>(선명)김정윤0506</t>
  </si>
  <si>
    <t>(선명)문성현4019</t>
  </si>
  <si>
    <t>(선명)박주혁1772</t>
  </si>
  <si>
    <t>(선명)박지우5033</t>
  </si>
  <si>
    <t>(선명)서지완6116</t>
  </si>
  <si>
    <t>(선명)안지민0361</t>
  </si>
  <si>
    <t>(선명)오우섭5320</t>
  </si>
  <si>
    <t>(선명)원해성8438</t>
  </si>
  <si>
    <t>(선명)유주성1319</t>
  </si>
  <si>
    <t>(선명)유현동8756</t>
  </si>
  <si>
    <t>(선명)이교원4323</t>
  </si>
  <si>
    <t>(선명)이규민7242</t>
  </si>
  <si>
    <t>(선명)이연수1610</t>
  </si>
  <si>
    <t>(선명)이의진0916</t>
  </si>
  <si>
    <t>(선명)이재환0898</t>
  </si>
  <si>
    <t>(선명)이현민6622</t>
  </si>
  <si>
    <t>(선명)이호중8046</t>
  </si>
  <si>
    <t>(선명)전명욱9481</t>
  </si>
  <si>
    <t>(선명)최익준3268</t>
  </si>
  <si>
    <t>(선아)고수민0471</t>
  </si>
  <si>
    <t>(선아)권나형1429</t>
  </si>
  <si>
    <t>(선아)김경민3077</t>
  </si>
  <si>
    <t>(선아)김도영3265</t>
  </si>
  <si>
    <t>(선아)김서아0345</t>
  </si>
  <si>
    <t>(선아)민채원0669</t>
  </si>
  <si>
    <t>(선아)석지원7441</t>
  </si>
  <si>
    <t>(선아)송채원4297</t>
  </si>
  <si>
    <t>(선아)신예지7157</t>
  </si>
  <si>
    <t>(선아)오채윤0494</t>
  </si>
  <si>
    <t>(선아)이주희5845</t>
  </si>
  <si>
    <t>(선아)이하은9248</t>
  </si>
  <si>
    <t>(선아)임연우7885</t>
  </si>
  <si>
    <t>(선아)조윤서3588</t>
  </si>
  <si>
    <t>(선아)최윤하9881</t>
  </si>
  <si>
    <t>(선아)한가인8280</t>
  </si>
  <si>
    <t>(선에)고은우7243</t>
  </si>
  <si>
    <t>(선에)김민웅1030</t>
  </si>
  <si>
    <t>(선에)김세현5789</t>
  </si>
  <si>
    <t>(선에)김종환2776</t>
  </si>
  <si>
    <t>(선에)문찬우9587</t>
  </si>
  <si>
    <t>(선에)문채민7199</t>
  </si>
  <si>
    <t>(선에)백찬우0899</t>
  </si>
  <si>
    <t>(선에)송현륭7409</t>
  </si>
  <si>
    <t>(선에)신동현9599</t>
  </si>
  <si>
    <t>(선에)윤종호6519</t>
  </si>
  <si>
    <t>(선에)이민성0795</t>
  </si>
  <si>
    <t>(선에)이서준5506</t>
  </si>
  <si>
    <t>(선에)이선채1863</t>
  </si>
  <si>
    <t>(선에)이정우5546</t>
  </si>
  <si>
    <t>(선에)이주하9096</t>
  </si>
  <si>
    <t>(선에)임건우7179</t>
  </si>
  <si>
    <t>(선에)임경현7816</t>
  </si>
  <si>
    <t>(선에)장세현7623</t>
  </si>
  <si>
    <t>(선에)조현서8043</t>
  </si>
  <si>
    <t>(선에)주해진5722</t>
  </si>
  <si>
    <t>(선에)최윤호7264</t>
  </si>
  <si>
    <t>(선에)최인혁1665</t>
  </si>
  <si>
    <t>(선일)서윤영3302</t>
  </si>
  <si>
    <t>(선일)이도희4100</t>
  </si>
  <si>
    <t>(선케)황서은3724</t>
  </si>
  <si>
    <t>(선태)곽현서0403</t>
  </si>
  <si>
    <t>(선태)구연지4191</t>
  </si>
  <si>
    <t>(선태)김가은5246</t>
  </si>
  <si>
    <t>(선태)김나윤9848</t>
  </si>
  <si>
    <t>(선태)김민정9098</t>
  </si>
  <si>
    <t>(선태)김민주7503</t>
  </si>
  <si>
    <t>(선태)김민주9700</t>
  </si>
  <si>
    <t>(선태)김의정8603</t>
  </si>
  <si>
    <t>(선태)김재연9252</t>
  </si>
  <si>
    <t>(선태)김지수9640</t>
  </si>
  <si>
    <t>(선태)김지원9192</t>
  </si>
  <si>
    <t>(선태)박서현5467</t>
  </si>
  <si>
    <t>(선태)박시아5325</t>
  </si>
  <si>
    <t>(선태)박시현1278</t>
  </si>
  <si>
    <t>(선태)서은빈0707</t>
  </si>
  <si>
    <t>(선태)성민주2407</t>
  </si>
  <si>
    <t>(선태)우윤선8701</t>
  </si>
  <si>
    <t>(선태)윤태림3869</t>
  </si>
  <si>
    <t>(선태)이수빈7580</t>
  </si>
  <si>
    <t>(선태)이해수7639</t>
  </si>
  <si>
    <t>(선태)장지인5302</t>
  </si>
  <si>
    <t>(선태)정수빈2671</t>
  </si>
  <si>
    <t>(선태)정혜진4689</t>
  </si>
  <si>
    <t>(선태)최서연1318</t>
  </si>
  <si>
    <t>(선태)최서윤5306</t>
  </si>
  <si>
    <t>(선태)최서윤6658</t>
  </si>
  <si>
    <t>(선태)최지원2183</t>
  </si>
  <si>
    <t>(선태)허유진4173</t>
  </si>
  <si>
    <t>(선태)홍민지7100</t>
  </si>
  <si>
    <t>(선태)홍연수6977</t>
  </si>
  <si>
    <t>(아)조은수0899</t>
  </si>
  <si>
    <t>(에)마준영8046</t>
  </si>
  <si>
    <t>(에)손원석7910</t>
  </si>
  <si>
    <t>(에)이승훈0933</t>
  </si>
  <si>
    <t>(일)권민지5147</t>
  </si>
  <si>
    <t>(일)김현민4570</t>
  </si>
  <si>
    <t>(정)김동연2457</t>
  </si>
  <si>
    <t>(정)김민성1175</t>
  </si>
  <si>
    <t>(정)김하준5123</t>
  </si>
  <si>
    <t>(정)박정우4010</t>
  </si>
  <si>
    <t>(정)박종익8931</t>
  </si>
  <si>
    <t>(정)서준호7615</t>
  </si>
  <si>
    <t>(정)손재호7632</t>
  </si>
  <si>
    <t>(정)양성식4022</t>
  </si>
  <si>
    <t>(정)양한슬2808</t>
  </si>
  <si>
    <t>(정)유수민6056</t>
  </si>
  <si>
    <t>(정)이승민2175</t>
  </si>
  <si>
    <t>(정)이정현7377</t>
  </si>
  <si>
    <t>(정)이지훈4736</t>
  </si>
  <si>
    <t>(정)장혁준9355</t>
  </si>
  <si>
    <t>(정)정민욱9377</t>
  </si>
  <si>
    <t>(정)정지훈3166</t>
  </si>
  <si>
    <t>(정)채현우7675</t>
  </si>
  <si>
    <t>(정)한지산7711</t>
  </si>
  <si>
    <t>(정)함동근0706</t>
  </si>
  <si>
    <t>(케)강서윤2790</t>
  </si>
  <si>
    <t>(케)고소은3136</t>
  </si>
  <si>
    <t>(케)고유리1925</t>
  </si>
  <si>
    <t>(케)김나현3679</t>
  </si>
  <si>
    <t>(케)김수겸3336</t>
  </si>
  <si>
    <t>(케)김연우5469</t>
  </si>
  <si>
    <t>(케)김예지5681</t>
  </si>
  <si>
    <t>(케)김윤서0662</t>
  </si>
  <si>
    <t>(케)김지아4708</t>
  </si>
  <si>
    <t>(케)김지우4639</t>
  </si>
  <si>
    <t>(케)김해솔1244</t>
  </si>
  <si>
    <t>(케)박민주9228</t>
  </si>
  <si>
    <t>(케)박지현0096</t>
  </si>
  <si>
    <t>(케)박채연6575</t>
  </si>
  <si>
    <t>(케)서하윤3457</t>
  </si>
  <si>
    <t>(케)신윤지9575</t>
  </si>
  <si>
    <t>(케)안시현8180</t>
  </si>
  <si>
    <t>(케)안예진2911</t>
  </si>
  <si>
    <t>(케)이윤진2108</t>
  </si>
  <si>
    <t>(케)주지민5159</t>
  </si>
  <si>
    <t>(케)최정민5304</t>
  </si>
  <si>
    <t>(케)현세영7821</t>
  </si>
  <si>
    <t>(케)홍지우1873</t>
  </si>
  <si>
    <t>(태)김서원8421</t>
  </si>
  <si>
    <t>(훼)김기범3977</t>
  </si>
  <si>
    <t>(훼)김도현9501</t>
  </si>
  <si>
    <t>(훼)김민재1454</t>
  </si>
  <si>
    <t>(훼)김서진7935</t>
  </si>
  <si>
    <t>(훼)김정주0500</t>
  </si>
  <si>
    <t>(훼)김지환1228</t>
  </si>
  <si>
    <t>(훼)방석준4505</t>
  </si>
  <si>
    <t>(훼)서태민1520</t>
  </si>
  <si>
    <t>(훼)신진수8426</t>
  </si>
  <si>
    <t>(훼)이강토7493</t>
  </si>
  <si>
    <t>(훼)이건욱3659</t>
  </si>
  <si>
    <t>(훼)이민재2779</t>
  </si>
  <si>
    <t>(훼)이서준6562</t>
  </si>
  <si>
    <t>(훼)이홍석4338</t>
  </si>
  <si>
    <t>(훼)임여준7908</t>
  </si>
  <si>
    <t>(훼)조재한3741</t>
  </si>
  <si>
    <t>(훼)최정웅0288</t>
  </si>
  <si>
    <t>(훼)최현성5004</t>
  </si>
  <si>
    <t>(훼)홍은찬6741</t>
  </si>
  <si>
    <t>가상진1900</t>
  </si>
  <si>
    <t>강문수1110</t>
  </si>
  <si>
    <t>강선우8939</t>
  </si>
  <si>
    <t>강유나1771</t>
  </si>
  <si>
    <t>강윤하9251</t>
  </si>
  <si>
    <t>강태우7482</t>
  </si>
  <si>
    <t>강태윤6674</t>
  </si>
  <si>
    <t>강혜나4122</t>
  </si>
  <si>
    <t>경민채2824</t>
  </si>
  <si>
    <t>고도형8660</t>
  </si>
  <si>
    <t>고은세3274</t>
  </si>
  <si>
    <t>고준형2978</t>
  </si>
  <si>
    <t>곽경훈7725</t>
  </si>
  <si>
    <t>곽은서0979</t>
  </si>
  <si>
    <t>구현준6401</t>
  </si>
  <si>
    <t>권나영4759</t>
  </si>
  <si>
    <t>권민서2837</t>
  </si>
  <si>
    <t>권순혁5285</t>
  </si>
  <si>
    <t>권준서2897</t>
  </si>
  <si>
    <t>권혁안8539</t>
  </si>
  <si>
    <t>길도균0611</t>
  </si>
  <si>
    <t>김가현4206</t>
  </si>
  <si>
    <t>김건우1354</t>
  </si>
  <si>
    <t>김기완9575</t>
  </si>
  <si>
    <t>김나예2196</t>
  </si>
  <si>
    <t>김나은0227</t>
  </si>
  <si>
    <t>김도연2260</t>
  </si>
  <si>
    <t>김도윤6461</t>
  </si>
  <si>
    <t>김동원5180</t>
  </si>
  <si>
    <t>김민서2753</t>
  </si>
  <si>
    <t>김민서3076</t>
  </si>
  <si>
    <t>김민서9396</t>
  </si>
  <si>
    <t>김민성6589</t>
  </si>
  <si>
    <t>김민재2285</t>
  </si>
  <si>
    <t>김민재3830</t>
  </si>
  <si>
    <t>김민주0500</t>
  </si>
  <si>
    <t>김민지8293</t>
  </si>
  <si>
    <t>김민채3110</t>
  </si>
  <si>
    <t>김보민0654</t>
  </si>
  <si>
    <t>김서진0829</t>
  </si>
  <si>
    <t>김석현2234</t>
  </si>
  <si>
    <t>김선민4296</t>
  </si>
  <si>
    <t>김성재4251</t>
  </si>
  <si>
    <t>김세은0191</t>
  </si>
  <si>
    <t>김소민1420</t>
  </si>
  <si>
    <t>김수린2998</t>
  </si>
  <si>
    <t>김수민6691</t>
  </si>
  <si>
    <t>김수은3364</t>
  </si>
  <si>
    <t>김수진5779</t>
  </si>
  <si>
    <t>김승우9086</t>
  </si>
  <si>
    <t>김시현3545</t>
  </si>
  <si>
    <t>김시현7518</t>
  </si>
  <si>
    <t>김영준6659</t>
  </si>
  <si>
    <t>김영훈1190</t>
  </si>
  <si>
    <t>김예론4700</t>
  </si>
  <si>
    <t>김예인7578</t>
  </si>
  <si>
    <t>김용진3511</t>
  </si>
  <si>
    <t>김우민6105</t>
  </si>
  <si>
    <t>김원우4548</t>
  </si>
  <si>
    <t>김유진1030</t>
  </si>
  <si>
    <t>김윤도6830</t>
  </si>
  <si>
    <t>김은우9416</t>
  </si>
  <si>
    <t>김은재4621</t>
  </si>
  <si>
    <t>김의동9605</t>
  </si>
  <si>
    <t>김재현5675</t>
  </si>
  <si>
    <t>김재호3975</t>
  </si>
  <si>
    <t>김정욱0621</t>
  </si>
  <si>
    <t>김정윤1749</t>
  </si>
  <si>
    <t>김정윤3180</t>
  </si>
  <si>
    <t>김정혁0804</t>
  </si>
  <si>
    <t>김정환5212</t>
  </si>
  <si>
    <t>김정환6242</t>
  </si>
  <si>
    <t>김주아7472</t>
  </si>
  <si>
    <t>김주혜7444</t>
  </si>
  <si>
    <t>김준서9789</t>
  </si>
  <si>
    <t>김지민3823</t>
  </si>
  <si>
    <t>김지성7439</t>
  </si>
  <si>
    <t>김지안1829</t>
  </si>
  <si>
    <t>김지원4341</t>
  </si>
  <si>
    <t>김지윤8103</t>
  </si>
  <si>
    <t>김진아5404</t>
  </si>
  <si>
    <t>김찬민7093</t>
  </si>
  <si>
    <t>김찬수3534</t>
  </si>
  <si>
    <t>김찬우8847</t>
  </si>
  <si>
    <t>김태유7024</t>
  </si>
  <si>
    <t>김태현1355</t>
  </si>
  <si>
    <t>김현준0347</t>
  </si>
  <si>
    <t>김혜나0191</t>
  </si>
  <si>
    <t>김혜림1886</t>
  </si>
  <si>
    <t>김호수0050</t>
  </si>
  <si>
    <t>김효준4558</t>
  </si>
  <si>
    <t>김효준7113</t>
  </si>
  <si>
    <t>남궁승연9135</t>
  </si>
  <si>
    <t>남수현1184</t>
  </si>
  <si>
    <t>남유진6939</t>
  </si>
  <si>
    <t>남은우1024</t>
  </si>
  <si>
    <t>노하연6811</t>
  </si>
  <si>
    <t>류건우5487</t>
  </si>
  <si>
    <t>류도경0855</t>
  </si>
  <si>
    <t>류수민3394</t>
  </si>
  <si>
    <t>류승한1797</t>
  </si>
  <si>
    <t>류지원2902</t>
  </si>
  <si>
    <t>류지훈2150</t>
  </si>
  <si>
    <t>명규민5737</t>
  </si>
  <si>
    <t>문가윤0131</t>
  </si>
  <si>
    <t>문서진2953</t>
  </si>
  <si>
    <t>문승아1647</t>
  </si>
  <si>
    <t>문아라4000</t>
  </si>
  <si>
    <t>문재윤4905</t>
  </si>
  <si>
    <t>문채영0263</t>
  </si>
  <si>
    <t>문희상8311</t>
  </si>
  <si>
    <t>민우진4857</t>
  </si>
  <si>
    <t>박가영4752</t>
  </si>
  <si>
    <t>박건희0951</t>
  </si>
  <si>
    <t>박경은5909</t>
  </si>
  <si>
    <t>박근형2804</t>
  </si>
  <si>
    <t>박동휘6515</t>
  </si>
  <si>
    <t>박민서0030</t>
  </si>
  <si>
    <t>박민준7071</t>
  </si>
  <si>
    <t>박범준0221</t>
  </si>
  <si>
    <t>박보경2618</t>
  </si>
  <si>
    <t>박상우4980</t>
  </si>
  <si>
    <t>박서연8436</t>
  </si>
  <si>
    <t>박서연8747</t>
  </si>
  <si>
    <t>박서인3882</t>
  </si>
  <si>
    <t>박서진9434</t>
  </si>
  <si>
    <t>박성연4815</t>
  </si>
  <si>
    <t>박세현0011</t>
  </si>
  <si>
    <t>박세현4034</t>
  </si>
  <si>
    <t>박소연4811</t>
  </si>
  <si>
    <t>박소희7674</t>
  </si>
  <si>
    <t>박솔우5579</t>
  </si>
  <si>
    <t>박수현0806</t>
  </si>
  <si>
    <t>박슬찬3558</t>
  </si>
  <si>
    <t>박시연1489</t>
  </si>
  <si>
    <t>박여빈8569</t>
  </si>
  <si>
    <t>박예은1507</t>
  </si>
  <si>
    <t>박우현4628</t>
  </si>
  <si>
    <t>박은성9434</t>
  </si>
  <si>
    <t>박은주7889</t>
  </si>
  <si>
    <t>박이흔3840</t>
  </si>
  <si>
    <t>박재현0319</t>
  </si>
  <si>
    <t>박정운0210</t>
  </si>
  <si>
    <t>박정진0513</t>
  </si>
  <si>
    <t>박제율4968</t>
  </si>
  <si>
    <t>박종민7205</t>
  </si>
  <si>
    <t>박지승1758</t>
  </si>
  <si>
    <t>박지윤6706</t>
  </si>
  <si>
    <t>박지효0508</t>
  </si>
  <si>
    <t>박찬윤5935</t>
  </si>
  <si>
    <t>박태용4040</t>
  </si>
  <si>
    <t>반정원4865</t>
  </si>
  <si>
    <t>배서진3491</t>
  </si>
  <si>
    <t>배윤서5829</t>
  </si>
  <si>
    <t>백승우2553</t>
  </si>
  <si>
    <t>백지원0813</t>
  </si>
  <si>
    <t>변정윤2694</t>
  </si>
  <si>
    <t>변지윤7550</t>
  </si>
  <si>
    <t>변지후3922</t>
  </si>
  <si>
    <t>서민재7832</t>
  </si>
  <si>
    <t>서승현2391</t>
  </si>
  <si>
    <t>서재우2045</t>
  </si>
  <si>
    <t>서하정6347</t>
  </si>
  <si>
    <t>서혜승7279</t>
  </si>
  <si>
    <t>성욱현4049</t>
  </si>
  <si>
    <t>손승연3804</t>
  </si>
  <si>
    <t>손준혁2436</t>
  </si>
  <si>
    <t>손채원9138</t>
  </si>
  <si>
    <t>손채원9796</t>
  </si>
  <si>
    <t>손현서7535</t>
  </si>
  <si>
    <t>송가은0305</t>
  </si>
  <si>
    <t>송민근2918</t>
  </si>
  <si>
    <t>송우진0379</t>
  </si>
  <si>
    <t>신가영8786</t>
  </si>
  <si>
    <t>신시아2475</t>
  </si>
  <si>
    <t>신정민2313</t>
  </si>
  <si>
    <t>신주아7698</t>
  </si>
  <si>
    <t>신진희6056</t>
  </si>
  <si>
    <t>심현기7530</t>
  </si>
  <si>
    <t>안소현6035</t>
  </si>
  <si>
    <t>안유정2642</t>
  </si>
  <si>
    <t>안태현9939</t>
  </si>
  <si>
    <t>안형주2701</t>
  </si>
  <si>
    <t>양승민0782</t>
  </si>
  <si>
    <t>양승빈3142</t>
  </si>
  <si>
    <t>양인서3679</t>
  </si>
  <si>
    <t>양창연2753</t>
  </si>
  <si>
    <t>양현6248</t>
  </si>
  <si>
    <t>연준원4486</t>
  </si>
  <si>
    <t>오서준4493</t>
  </si>
  <si>
    <t>오승준8596</t>
  </si>
  <si>
    <t>오유빈4218</t>
  </si>
  <si>
    <t>오윤서0833</t>
  </si>
  <si>
    <t>오정민6040</t>
  </si>
  <si>
    <t>오정후9223</t>
  </si>
  <si>
    <t>오지우9439</t>
  </si>
  <si>
    <t>오지호4522</t>
  </si>
  <si>
    <t>옥정민5247</t>
  </si>
  <si>
    <t>옥지우4093</t>
  </si>
  <si>
    <t>용청하0829</t>
  </si>
  <si>
    <t>우지연5909</t>
  </si>
  <si>
    <t>원지민0925</t>
  </si>
  <si>
    <t>원해빈5815</t>
  </si>
  <si>
    <t>유소현6634</t>
  </si>
  <si>
    <t>유현규6195</t>
  </si>
  <si>
    <t>유혜림9016</t>
  </si>
  <si>
    <t>윤성우1532</t>
  </si>
  <si>
    <t>윤슬기5500</t>
  </si>
  <si>
    <t>이가원2812</t>
  </si>
  <si>
    <t>이가은6783</t>
  </si>
  <si>
    <t>이경원9485</t>
  </si>
  <si>
    <t>이규서2304</t>
  </si>
  <si>
    <t>이규진4336</t>
  </si>
  <si>
    <t>이기백7599</t>
  </si>
  <si>
    <t>이다영8300</t>
  </si>
  <si>
    <t>이다은3254</t>
  </si>
  <si>
    <t>이도원1428</t>
  </si>
  <si>
    <t>이도윤9473</t>
  </si>
  <si>
    <t>이동규2371</t>
  </si>
  <si>
    <t>이민규2041</t>
  </si>
  <si>
    <t>이민준2939</t>
  </si>
  <si>
    <t>이민채5110</t>
  </si>
  <si>
    <t>이민하6837</t>
  </si>
  <si>
    <t>이서연6288</t>
  </si>
  <si>
    <t>이서영3039</t>
  </si>
  <si>
    <t>이서준3293</t>
  </si>
  <si>
    <t>이서현1195</t>
  </si>
  <si>
    <t>이선제2664</t>
  </si>
  <si>
    <t>이성현8116</t>
  </si>
  <si>
    <t>이소영6983</t>
  </si>
  <si>
    <t>이수빈3905</t>
  </si>
  <si>
    <t>이수연2263</t>
  </si>
  <si>
    <t>이수하0516</t>
  </si>
  <si>
    <t>이승렬2389</t>
  </si>
  <si>
    <t>이승아9344</t>
  </si>
  <si>
    <t>이승유6753</t>
  </si>
  <si>
    <t>이연진0661</t>
  </si>
  <si>
    <t>이우림6790</t>
  </si>
  <si>
    <t>이재호5558</t>
  </si>
  <si>
    <t>이정민3868</t>
  </si>
  <si>
    <t>이정민6369</t>
  </si>
  <si>
    <t>이정우1451</t>
  </si>
  <si>
    <t>이정우4940</t>
  </si>
  <si>
    <t>이주연1463</t>
  </si>
  <si>
    <t>이주영3417</t>
  </si>
  <si>
    <t>이주원2678</t>
  </si>
  <si>
    <t>이준영2954</t>
  </si>
  <si>
    <t>이준혁9510</t>
  </si>
  <si>
    <t>이지민1858</t>
  </si>
  <si>
    <t>이지민9645</t>
  </si>
  <si>
    <t>이지석3484</t>
  </si>
  <si>
    <t>이지안0249</t>
  </si>
  <si>
    <t>이지안7144</t>
  </si>
  <si>
    <t>이지연7304</t>
  </si>
  <si>
    <t>이지인9037</t>
  </si>
  <si>
    <t>이지훈2312</t>
  </si>
  <si>
    <t>이진희3899</t>
  </si>
  <si>
    <t>이찬영7608</t>
  </si>
  <si>
    <t>이채연3823</t>
  </si>
  <si>
    <t>이태우0151</t>
  </si>
  <si>
    <t>이하은6903</t>
  </si>
  <si>
    <t>이하준5726</t>
  </si>
  <si>
    <t>이학준3921</t>
  </si>
  <si>
    <t>이현민0623</t>
  </si>
  <si>
    <t>이현민7480</t>
  </si>
  <si>
    <t>이현주7715</t>
  </si>
  <si>
    <t>이혜승8213</t>
  </si>
  <si>
    <t>이혜승9195</t>
  </si>
  <si>
    <t>이호은3004</t>
  </si>
  <si>
    <t>이효주9412</t>
  </si>
  <si>
    <t>임보민6528</t>
  </si>
  <si>
    <t>임서현7063</t>
  </si>
  <si>
    <t>임유석0328</t>
  </si>
  <si>
    <t>임유진2465</t>
  </si>
  <si>
    <t>임지우1770</t>
  </si>
  <si>
    <t>임지후6829</t>
  </si>
  <si>
    <t>임채린6527</t>
  </si>
  <si>
    <t>임형규8711</t>
  </si>
  <si>
    <t>장규리1946</t>
  </si>
  <si>
    <t>장서인9593</t>
  </si>
  <si>
    <t>장연우3976</t>
  </si>
  <si>
    <t>장유현7693</t>
  </si>
  <si>
    <t>장윤서2744</t>
  </si>
  <si>
    <t>장태웅2011</t>
  </si>
  <si>
    <t>전영서6156</t>
  </si>
  <si>
    <t>전지윤2397</t>
  </si>
  <si>
    <t>전필경1591</t>
  </si>
  <si>
    <t>전한3740</t>
  </si>
  <si>
    <t>전현서5455</t>
  </si>
  <si>
    <t>전현우8037</t>
  </si>
  <si>
    <t>정구헌5177</t>
  </si>
  <si>
    <t>정다은0102</t>
  </si>
  <si>
    <t>정다인5031</t>
  </si>
  <si>
    <t>정선우8814</t>
  </si>
  <si>
    <t>정승민3451</t>
  </si>
  <si>
    <t>정요셉2166</t>
  </si>
  <si>
    <t>정원영3775</t>
  </si>
  <si>
    <t>정은채0710</t>
  </si>
  <si>
    <t>정인호2362</t>
  </si>
  <si>
    <t>정재아1991</t>
  </si>
  <si>
    <t>정재윤6842</t>
  </si>
  <si>
    <t>정진아1771</t>
  </si>
  <si>
    <t>정현우5340</t>
  </si>
  <si>
    <t>정호현2609</t>
  </si>
  <si>
    <t>조상원4487</t>
  </si>
  <si>
    <t>조성원7897</t>
  </si>
  <si>
    <t>조수빈5948</t>
  </si>
  <si>
    <t>조아현0939</t>
  </si>
  <si>
    <t>조영백9524</t>
  </si>
  <si>
    <t>조윤9517</t>
  </si>
  <si>
    <t>조윤서2297</t>
  </si>
  <si>
    <t>조윤재3461</t>
  </si>
  <si>
    <t>조은희9858</t>
  </si>
  <si>
    <t>조준희9561</t>
  </si>
  <si>
    <t>조항진1928</t>
  </si>
  <si>
    <t>조현승1876</t>
  </si>
  <si>
    <t>조현아8363</t>
  </si>
  <si>
    <t>주연우1744</t>
  </si>
  <si>
    <t>지승준5789</t>
  </si>
  <si>
    <t>진수아1085</t>
  </si>
  <si>
    <t>차민정8797</t>
  </si>
  <si>
    <t>채수빈1097</t>
  </si>
  <si>
    <t>채연재6841</t>
  </si>
  <si>
    <t>최경원1895</t>
  </si>
  <si>
    <t>최동하8866</t>
  </si>
  <si>
    <t>최명헌1725</t>
  </si>
  <si>
    <t>최모세2041</t>
  </si>
  <si>
    <t>최성연3824</t>
  </si>
  <si>
    <t>최성은0250</t>
  </si>
  <si>
    <t>최승빈8945</t>
  </si>
  <si>
    <t>최연우3363</t>
  </si>
  <si>
    <t>최연원9450</t>
  </si>
  <si>
    <t>최예서4554</t>
  </si>
  <si>
    <t>최예진5486</t>
  </si>
  <si>
    <t>최지성9764</t>
  </si>
  <si>
    <t>최지수6201</t>
  </si>
  <si>
    <t>최태경7637</t>
  </si>
  <si>
    <t>최현준5933</t>
  </si>
  <si>
    <t>최현진0275</t>
  </si>
  <si>
    <t>최호연1078</t>
  </si>
  <si>
    <t>추선우3395</t>
  </si>
  <si>
    <t>한소윤6030</t>
  </si>
  <si>
    <t>한수빈4103</t>
  </si>
  <si>
    <t>한이빈9694</t>
  </si>
  <si>
    <t>한재윤4722</t>
  </si>
  <si>
    <t>한주희3938</t>
  </si>
  <si>
    <t>한지요6979</t>
  </si>
  <si>
    <t>함건희1005</t>
  </si>
  <si>
    <t>함주혁2458</t>
  </si>
  <si>
    <t>허나윤6511</t>
  </si>
  <si>
    <t>허동국0551</t>
  </si>
  <si>
    <t>허민2214</t>
  </si>
  <si>
    <t>허우진0236</t>
  </si>
  <si>
    <t>허지혜1096</t>
  </si>
  <si>
    <t>허태경5298</t>
  </si>
  <si>
    <t>형민서2615</t>
  </si>
  <si>
    <t>홍규성8791</t>
  </si>
  <si>
    <t>홍정연7833</t>
  </si>
  <si>
    <t>홍해솔5683</t>
  </si>
  <si>
    <t>황규진9766</t>
  </si>
  <si>
    <t>황선웅0627</t>
  </si>
  <si>
    <t>황선호5885</t>
  </si>
  <si>
    <t>황성준4580</t>
  </si>
  <si>
    <t>황수현6530</t>
  </si>
  <si>
    <t>황시은2437</t>
  </si>
  <si>
    <t>황우진6630</t>
  </si>
  <si>
    <t>황준서0113</t>
  </si>
  <si>
    <t>현재배정반수</t>
  </si>
  <si>
    <t/>
  </si>
  <si>
    <t>요청ID</t>
  </si>
  <si>
    <t>배부일</t>
  </si>
  <si>
    <t>배부장소</t>
  </si>
  <si>
    <t>학생당수량</t>
  </si>
  <si>
    <t>총대상학생수</t>
  </si>
  <si>
    <t>총배부수량</t>
  </si>
  <si>
    <t>실행상태</t>
  </si>
  <si>
    <t>담당자</t>
  </si>
  <si>
    <t>메모</t>
  </si>
  <si>
    <t>BULK-0001</t>
  </si>
  <si>
    <t>입력</t>
  </si>
  <si>
    <t>BULK-0002</t>
  </si>
  <si>
    <t>BULK-0003</t>
  </si>
  <si>
    <t>BULK-0004</t>
  </si>
  <si>
    <t>BULK-0005</t>
  </si>
  <si>
    <t>BULK-0006</t>
  </si>
  <si>
    <t>BULK-0007</t>
  </si>
  <si>
    <t>BULK-0008</t>
  </si>
  <si>
    <t>BULK-0009</t>
  </si>
  <si>
    <t>BULK-0010</t>
  </si>
  <si>
    <t>BULK-0011</t>
  </si>
  <si>
    <t>BULK-0012</t>
  </si>
  <si>
    <t>BULK-0013</t>
  </si>
  <si>
    <t>BULK-0014</t>
  </si>
  <si>
    <t>BULK-0015</t>
  </si>
  <si>
    <t>BULK-0016</t>
  </si>
  <si>
    <t>BULK-0017</t>
  </si>
  <si>
    <t>BULK-0018</t>
  </si>
  <si>
    <t>BULK-0019</t>
  </si>
  <si>
    <t>BULK-0020</t>
  </si>
  <si>
    <t>BULK-0021</t>
  </si>
  <si>
    <t>BULK-0022</t>
  </si>
  <si>
    <t>BULK-0023</t>
  </si>
  <si>
    <t>BULK-0024</t>
  </si>
  <si>
    <t>BULK-0025</t>
  </si>
  <si>
    <t>BULK-0026</t>
  </si>
  <si>
    <t>BULK-0027</t>
  </si>
  <si>
    <t>BULK-0028</t>
  </si>
  <si>
    <t>BULK-0029</t>
  </si>
  <si>
    <t>BULK-0030</t>
  </si>
  <si>
    <t>BULK-0031</t>
  </si>
  <si>
    <t>BULK-0032</t>
  </si>
  <si>
    <t>BULK-0033</t>
  </si>
  <si>
    <t>BULK-0034</t>
  </si>
  <si>
    <t>BULK-0035</t>
  </si>
  <si>
    <t>BULK-0036</t>
  </si>
  <si>
    <t>BULK-0037</t>
  </si>
  <si>
    <t>BULK-0038</t>
  </si>
  <si>
    <t>BULK-0039</t>
  </si>
  <si>
    <t>BULK-0040</t>
  </si>
  <si>
    <t>BULK-0041</t>
  </si>
  <si>
    <t>BULK-0042</t>
  </si>
  <si>
    <t>BULK-0043</t>
  </si>
  <si>
    <t>BULK-0044</t>
  </si>
  <si>
    <t>BULK-0045</t>
  </si>
  <si>
    <t>BULK-0046</t>
  </si>
  <si>
    <t>BULK-0047</t>
  </si>
  <si>
    <t>BULK-0048</t>
  </si>
  <si>
    <t>BULK-0049</t>
  </si>
  <si>
    <t>BULK-0050</t>
  </si>
  <si>
    <t>925f6c41</t>
  </si>
  <si>
    <t>9041d187</t>
  </si>
  <si>
    <t>c32265da</t>
  </si>
  <si>
    <t>0d97b756</t>
  </si>
  <si>
    <t>ac779614</t>
  </si>
  <si>
    <t>85a3d91e</t>
  </si>
  <si>
    <t>114123b8</t>
  </si>
  <si>
    <t>ebbe7ceb</t>
  </si>
  <si>
    <t>fb506369</t>
  </si>
  <si>
    <t>37632d1a</t>
  </si>
  <si>
    <t>dabed81c</t>
  </si>
  <si>
    <t>f9751b90</t>
  </si>
  <si>
    <t>4층지원실</t>
  </si>
  <si>
    <t>9a61eaaf</t>
  </si>
  <si>
    <t>창고</t>
  </si>
  <si>
    <t>7cd24e6d</t>
  </si>
  <si>
    <t>f80d5c02</t>
  </si>
  <si>
    <t>3689c8c8</t>
  </si>
  <si>
    <t>3e8d482a</t>
  </si>
  <si>
    <t>0ddc0de3</t>
  </si>
  <si>
    <t>be289ba0</t>
  </si>
  <si>
    <t>국매깨 2-5</t>
  </si>
  <si>
    <t>1a52f941</t>
  </si>
  <si>
    <t>48af2596</t>
  </si>
  <si>
    <t>81632263</t>
  </si>
  <si>
    <t>71a70a33</t>
  </si>
  <si>
    <t>국매깨 2-6</t>
  </si>
  <si>
    <t>e9622891</t>
  </si>
  <si>
    <t>수매깨 김지유 테스트</t>
  </si>
  <si>
    <t>4559edc0</t>
  </si>
  <si>
    <t>301 전종현 수2</t>
  </si>
  <si>
    <t>e214b4f1</t>
  </si>
  <si>
    <t>이민호A 301</t>
  </si>
  <si>
    <t>664d59ab</t>
  </si>
  <si>
    <t>(국매깨) 9주차</t>
  </si>
  <si>
    <t>a5141358</t>
  </si>
  <si>
    <t>953ee3de</t>
  </si>
  <si>
    <t>(수매깨7주차) J</t>
  </si>
  <si>
    <t>a12b3efb</t>
  </si>
  <si>
    <t>(수매깨7주차) M</t>
  </si>
  <si>
    <t>695a3e5b</t>
  </si>
  <si>
    <t>(수매깨7주차) Q</t>
  </si>
  <si>
    <t>dfe05b45</t>
  </si>
  <si>
    <t>(수매깨7주차) S</t>
  </si>
  <si>
    <t>e42ce825</t>
  </si>
  <si>
    <t>(수매깨7주차) T</t>
  </si>
  <si>
    <t>c8acbe28</t>
  </si>
  <si>
    <t>TEST 교재1</t>
  </si>
  <si>
    <t>ea8fa128</t>
  </si>
  <si>
    <t>d8e8e420</t>
  </si>
  <si>
    <t>d91f1853</t>
  </si>
  <si>
    <t>(국매깨) 10주차</t>
  </si>
  <si>
    <t>13d59257</t>
  </si>
  <si>
    <t>(수매깨8주차) J</t>
  </si>
  <si>
    <t>7c501a4f</t>
  </si>
  <si>
    <t>(수매깨8주차) M</t>
  </si>
  <si>
    <t>5628314c</t>
  </si>
  <si>
    <t>(수매깨8주차) Q</t>
  </si>
  <si>
    <t>a71eba56</t>
  </si>
  <si>
    <t>(수매깨8주차) S</t>
  </si>
  <si>
    <t>5b3df237</t>
  </si>
  <si>
    <t>(수매깨8주차) T</t>
  </si>
  <si>
    <t>f51eab11</t>
  </si>
  <si>
    <t>(지종규) LIP_Reading</t>
  </si>
  <si>
    <t>0a680b79</t>
  </si>
  <si>
    <t>87ac9563</t>
  </si>
  <si>
    <t>(강성욱) 사회문화</t>
  </si>
  <si>
    <t>7bd80147</t>
  </si>
  <si>
    <t>6ac44e18</t>
  </si>
  <si>
    <t>(강성욱) 정치와 법</t>
  </si>
  <si>
    <t>bf894b04</t>
  </si>
  <si>
    <t>b4b41499</t>
  </si>
  <si>
    <t>(강원휘) 생명과학</t>
  </si>
  <si>
    <t>fa5d547a</t>
  </si>
  <si>
    <t>(고낙기) 화학</t>
  </si>
  <si>
    <t>f0f40dbb</t>
  </si>
  <si>
    <t>(국어선택) 언어와매체</t>
  </si>
  <si>
    <t>19da8182</t>
  </si>
  <si>
    <t>3a0eff59</t>
  </si>
  <si>
    <t>(국어선택) 화법과작문</t>
  </si>
  <si>
    <t>596cba96</t>
  </si>
  <si>
    <t>b1fb3f6c</t>
  </si>
  <si>
    <t>d228857e</t>
  </si>
  <si>
    <t>942b860f</t>
  </si>
  <si>
    <t>59a5252f</t>
  </si>
  <si>
    <t>장소명</t>
  </si>
  <si>
    <t>8층지원실</t>
  </si>
  <si>
    <t>배부반</t>
  </si>
  <si>
    <t>현재반</t>
  </si>
  <si>
    <t>수량</t>
  </si>
  <si>
    <t>특이사항여부</t>
  </si>
  <si>
    <t>특이사항유형</t>
  </si>
  <si>
    <t>특이사항내용</t>
  </si>
  <si>
    <t>IND-0001</t>
  </si>
  <si>
    <t>N</t>
  </si>
  <si>
    <t>IND-0002</t>
  </si>
  <si>
    <t>IND-0003</t>
  </si>
  <si>
    <t>IND-0004</t>
  </si>
  <si>
    <t>IND-0005</t>
  </si>
  <si>
    <t>IND-0006</t>
  </si>
  <si>
    <t>IND-0007</t>
  </si>
  <si>
    <t>IND-0008</t>
  </si>
  <si>
    <t>IND-0009</t>
  </si>
  <si>
    <t>IND-0010</t>
  </si>
  <si>
    <t>IND-0011</t>
  </si>
  <si>
    <t>IND-0012</t>
  </si>
  <si>
    <t>IND-0013</t>
  </si>
  <si>
    <t>IND-0014</t>
  </si>
  <si>
    <t>IND-0015</t>
  </si>
  <si>
    <t>IND-0016</t>
  </si>
  <si>
    <t>IND-0017</t>
  </si>
  <si>
    <t>IND-0018</t>
  </si>
  <si>
    <t>IND-0019</t>
  </si>
  <si>
    <t>IND-0020</t>
  </si>
  <si>
    <t>IND-0021</t>
  </si>
  <si>
    <t>IND-0022</t>
  </si>
  <si>
    <t>IND-0023</t>
  </si>
  <si>
    <t>IND-0024</t>
  </si>
  <si>
    <t>IND-0025</t>
  </si>
  <si>
    <t>IND-0026</t>
  </si>
  <si>
    <t>IND-0027</t>
  </si>
  <si>
    <t>IND-0028</t>
  </si>
  <si>
    <t>IND-0029</t>
  </si>
  <si>
    <t>IND-0030</t>
  </si>
  <si>
    <t>IND-0031</t>
  </si>
  <si>
    <t>IND-0032</t>
  </si>
  <si>
    <t>IND-0033</t>
  </si>
  <si>
    <t>IND-0034</t>
  </si>
  <si>
    <t>IND-0035</t>
  </si>
  <si>
    <t>IND-0036</t>
  </si>
  <si>
    <t>IND-0037</t>
  </si>
  <si>
    <t>IND-0038</t>
  </si>
  <si>
    <t>IND-0039</t>
  </si>
  <si>
    <t>IND-0040</t>
  </si>
  <si>
    <t>IND-0041</t>
  </si>
  <si>
    <t>IND-0042</t>
  </si>
  <si>
    <t>IND-0043</t>
  </si>
  <si>
    <t>IND-0044</t>
  </si>
  <si>
    <t>IND-0045</t>
  </si>
  <si>
    <t>IND-0046</t>
  </si>
  <si>
    <t>IND-0047</t>
  </si>
  <si>
    <t>IND-0048</t>
  </si>
  <si>
    <t>IND-0049</t>
  </si>
  <si>
    <t>IND-0050</t>
  </si>
  <si>
    <t>IND-0051</t>
  </si>
  <si>
    <t>IND-0052</t>
  </si>
  <si>
    <t>IND-0053</t>
  </si>
  <si>
    <t>IND-0054</t>
  </si>
  <si>
    <t>IND-0055</t>
  </si>
  <si>
    <t>IND-0056</t>
  </si>
  <si>
    <t>IND-0057</t>
  </si>
  <si>
    <t>IND-0058</t>
  </si>
  <si>
    <t>IND-0059</t>
  </si>
  <si>
    <t>IND-0060</t>
  </si>
  <si>
    <t>IND-0061</t>
  </si>
  <si>
    <t>IND-0062</t>
  </si>
  <si>
    <t>IND-0063</t>
  </si>
  <si>
    <t>IND-0064</t>
  </si>
  <si>
    <t>IND-0065</t>
  </si>
  <si>
    <t>IND-0066</t>
  </si>
  <si>
    <t>IND-0067</t>
  </si>
  <si>
    <t>IND-0068</t>
  </si>
  <si>
    <t>IND-0069</t>
  </si>
  <si>
    <t>IND-0070</t>
  </si>
  <si>
    <t>IND-0071</t>
  </si>
  <si>
    <t>IND-0072</t>
  </si>
  <si>
    <t>IND-0073</t>
  </si>
  <si>
    <t>IND-0074</t>
  </si>
  <si>
    <t>IND-0075</t>
  </si>
  <si>
    <t>IND-0076</t>
  </si>
  <si>
    <t>IND-0077</t>
  </si>
  <si>
    <t>IND-0078</t>
  </si>
  <si>
    <t>IND-0079</t>
  </si>
  <si>
    <t>IND-0080</t>
  </si>
  <si>
    <t>IND-0081</t>
  </si>
  <si>
    <t>IND-0082</t>
  </si>
  <si>
    <t>IND-0083</t>
  </si>
  <si>
    <t>IND-0084</t>
  </si>
  <si>
    <t>IND-0085</t>
  </si>
  <si>
    <t>IND-0086</t>
  </si>
  <si>
    <t>IND-0087</t>
  </si>
  <si>
    <t>IND-0088</t>
  </si>
  <si>
    <t>IND-0089</t>
  </si>
  <si>
    <t>IND-0090</t>
  </si>
  <si>
    <t>IND-0091</t>
  </si>
  <si>
    <t>IND-0092</t>
  </si>
  <si>
    <t>IND-0093</t>
  </si>
  <si>
    <t>IND-0094</t>
  </si>
  <si>
    <t>IND-0095</t>
  </si>
  <si>
    <t>IND-0096</t>
  </si>
  <si>
    <t>IND-0097</t>
  </si>
  <si>
    <t>IND-0098</t>
  </si>
  <si>
    <t>IND-0099</t>
  </si>
  <si>
    <t>IND-0100</t>
  </si>
  <si>
    <t>4a9a6a16</t>
  </si>
  <si>
    <t>Y</t>
  </si>
  <si>
    <t>추가지급</t>
  </si>
  <si>
    <t>반변경</t>
  </si>
  <si>
    <t>김지유</t>
  </si>
  <si>
    <t>2cf47c6d</t>
  </si>
  <si>
    <t>분실</t>
  </si>
  <si>
    <t>94421a0e</t>
  </si>
  <si>
    <t>2b7683ea</t>
  </si>
  <si>
    <t>재배부</t>
  </si>
  <si>
    <t>069b5d32</t>
  </si>
  <si>
    <t>반이동후추가지급</t>
  </si>
  <si>
    <t>046322dc</t>
  </si>
  <si>
    <t>fa41e16c</t>
  </si>
  <si>
    <t>7413f435</t>
  </si>
  <si>
    <t>f6ba729b</t>
  </si>
  <si>
    <t>오배부</t>
  </si>
  <si>
    <t>8b12d83a</t>
  </si>
  <si>
    <t>fb0363ac</t>
  </si>
  <si>
    <t>a0643500</t>
  </si>
  <si>
    <t>42a056cb</t>
  </si>
  <si>
    <t>56feaf66</t>
  </si>
  <si>
    <t>b4b87259</t>
  </si>
  <si>
    <t>9b9194d3</t>
  </si>
  <si>
    <t>5c7bbd49</t>
  </si>
  <si>
    <t>6d5ad127</t>
  </si>
  <si>
    <t>0aadd816</t>
  </si>
  <si>
    <t>ㅇㅇㅇ</t>
  </si>
  <si>
    <t>be67aa9d</t>
  </si>
  <si>
    <t>a3aabd16</t>
  </si>
  <si>
    <t>김대열</t>
  </si>
  <si>
    <t>b9080dab</t>
  </si>
  <si>
    <t>최연순</t>
  </si>
  <si>
    <t>43ea4f17</t>
  </si>
  <si>
    <t>2</t>
  </si>
  <si>
    <t>227c72fd</t>
  </si>
  <si>
    <t>기타</t>
  </si>
  <si>
    <t>오후등원</t>
  </si>
  <si>
    <t>엄선훈</t>
  </si>
  <si>
    <t>74695eab</t>
  </si>
  <si>
    <t>ㅁㅇㄹ</t>
  </si>
  <si>
    <t>ㅇㅅㅎ</t>
  </si>
  <si>
    <t>6c56ce4e</t>
  </si>
  <si>
    <t>수매깨 Q 1-1</t>
  </si>
  <si>
    <t>6df747c8</t>
  </si>
  <si>
    <t>세타 수2</t>
  </si>
  <si>
    <t>신규</t>
  </si>
  <si>
    <t>cdcf5944</t>
  </si>
  <si>
    <t>테스트</t>
  </si>
  <si>
    <t>박상언</t>
  </si>
  <si>
    <t>39e22cc2</t>
  </si>
  <si>
    <t>국매깨 김지유 테스트</t>
  </si>
  <si>
    <t>박상언 테스트</t>
  </si>
  <si>
    <t>48dad186</t>
  </si>
  <si>
    <t>국매깨2-4 박상언 테스트</t>
  </si>
  <si>
    <t>입학</t>
  </si>
  <si>
    <t>5aa808ef</t>
  </si>
  <si>
    <t>국어1 박상언 테스트</t>
  </si>
  <si>
    <t>3ecbd1e7</t>
  </si>
  <si>
    <t>사회문화1 박상언 테스트</t>
  </si>
  <si>
    <t>0e3f8475</t>
  </si>
  <si>
    <t>수학1 박상언 테스트</t>
  </si>
  <si>
    <t>b6180f29</t>
  </si>
  <si>
    <t>3ffbaf8d</t>
  </si>
  <si>
    <t>조상혁0315</t>
  </si>
  <si>
    <t>b299b7c2</t>
  </si>
  <si>
    <t>(김학림전종현) 쎄타_미적E수업</t>
  </si>
  <si>
    <t>56999143</t>
  </si>
  <si>
    <t>76abda8d</t>
  </si>
  <si>
    <t>6abccf56</t>
  </si>
  <si>
    <t>(김학림전종현) 쎄타_미적E피드백</t>
  </si>
  <si>
    <t>bdb28379</t>
  </si>
  <si>
    <t>(김학림전종현) 쎄타_수2E수업</t>
  </si>
  <si>
    <t>6e676c32</t>
  </si>
  <si>
    <t>(김학림전종현) 쎄타_수2E피드백</t>
  </si>
  <si>
    <t>428eb1c3</t>
  </si>
  <si>
    <t>(장진민) 생활과 윤리</t>
  </si>
  <si>
    <t>604583ae</t>
  </si>
  <si>
    <t>김진영2280</t>
  </si>
  <si>
    <t>bf7a2ed0</t>
  </si>
  <si>
    <t>528134fa</t>
  </si>
  <si>
    <t>(신현철) 메멘토_미적(수업)</t>
  </si>
  <si>
    <t>64b8a197</t>
  </si>
  <si>
    <t>(신현철) 메멘토_미적(피드백)</t>
  </si>
  <si>
    <t>00f1d111</t>
  </si>
  <si>
    <t>(신현철) 메멘토_수2(수업)</t>
  </si>
  <si>
    <t>066af43d</t>
  </si>
  <si>
    <t>(신현철) 메멘토_수2(피드백)</t>
  </si>
  <si>
    <t>e719c74b</t>
  </si>
  <si>
    <t>(이승국) 세계지리</t>
  </si>
  <si>
    <t>ae5e930a</t>
  </si>
  <si>
    <t>김서우9330</t>
  </si>
  <si>
    <t>570ddea0</t>
  </si>
  <si>
    <t>1018a014</t>
  </si>
  <si>
    <t>b1eb4aea</t>
  </si>
  <si>
    <t>f3d17482</t>
  </si>
  <si>
    <t>8c390aab</t>
  </si>
  <si>
    <t>679554bb</t>
  </si>
  <si>
    <t>신규ㅜ</t>
  </si>
  <si>
    <t>90ee5fbb</t>
  </si>
  <si>
    <t>최정은9852</t>
  </si>
  <si>
    <t>1a0c7686</t>
  </si>
  <si>
    <t>1cc709af</t>
  </si>
  <si>
    <t>1954d5e8</t>
  </si>
  <si>
    <t>704b81b2</t>
  </si>
  <si>
    <t>26e3406b</t>
  </si>
  <si>
    <t>6ce4dea8</t>
  </si>
  <si>
    <t>(장병선) 지구과학</t>
  </si>
  <si>
    <t>764765cc</t>
  </si>
  <si>
    <t>김지민9115</t>
  </si>
  <si>
    <t>d6a5d4b6</t>
  </si>
  <si>
    <t>5073a6ec</t>
  </si>
  <si>
    <t>88f0ee92</t>
  </si>
  <si>
    <t>7785aa95</t>
  </si>
  <si>
    <t>f18e20ea</t>
  </si>
  <si>
    <t>25dbe91f</t>
  </si>
  <si>
    <t>4739a6bc</t>
  </si>
  <si>
    <t>이지훈8700</t>
  </si>
  <si>
    <t>de69d337</t>
  </si>
  <si>
    <t>03d43c53</t>
  </si>
  <si>
    <t>08135c08</t>
  </si>
  <si>
    <t>3324ecbc</t>
  </si>
  <si>
    <t>57b47a63</t>
  </si>
  <si>
    <t>f1880221</t>
  </si>
  <si>
    <t>346101ce</t>
  </si>
  <si>
    <t>(장진민) 사회문화</t>
  </si>
  <si>
    <t>cad48b8e</t>
  </si>
  <si>
    <t>성주연7429</t>
  </si>
  <si>
    <t>c8b99509</t>
  </si>
  <si>
    <t>325eb0b1</t>
  </si>
  <si>
    <t>aa488f93</t>
  </si>
  <si>
    <t>095772ab</t>
  </si>
  <si>
    <t>1c72be25</t>
  </si>
  <si>
    <t>(최성주) 사회문화</t>
  </si>
  <si>
    <t>26b9e2ca</t>
  </si>
  <si>
    <t>(한진구) 생활과 윤리</t>
  </si>
  <si>
    <t>4e3ffd4a</t>
  </si>
  <si>
    <t>윤채희9577</t>
  </si>
  <si>
    <t>3b77d9cc</t>
  </si>
  <si>
    <t>(이민호B) 단기록_수2(피드백)</t>
  </si>
  <si>
    <t>dd244a4f</t>
  </si>
  <si>
    <t>(이민호B) 단기록_확통(피드백)</t>
  </si>
  <si>
    <t>18878192</t>
  </si>
  <si>
    <t>(이민호B) 수해록_수2(수업)</t>
  </si>
  <si>
    <t>93f6cc90</t>
  </si>
  <si>
    <t>(이민호B) 수해록_확통(수업)</t>
  </si>
  <si>
    <t>22a4e66f</t>
  </si>
  <si>
    <t>85a9af1a</t>
  </si>
  <si>
    <t>김나현7522</t>
  </si>
  <si>
    <t>4a139883</t>
  </si>
  <si>
    <t>6a9f0f0d</t>
  </si>
  <si>
    <t>4beed71d</t>
  </si>
  <si>
    <t>c04ca9d4</t>
  </si>
  <si>
    <t>b8547fad</t>
  </si>
  <si>
    <t>e98ad737</t>
  </si>
  <si>
    <t>임하린3311</t>
  </si>
  <si>
    <t>0f6a09bc</t>
  </si>
  <si>
    <t>(김학림전종현) 쎄타_수2M수업</t>
  </si>
  <si>
    <t>cd33d7e0</t>
  </si>
  <si>
    <t>(김학림전종현) 쎄타_수2M피드백</t>
  </si>
  <si>
    <t>eb61ad4e</t>
  </si>
  <si>
    <t>(김학림전종현) 쎄타_확통M수업</t>
  </si>
  <si>
    <t>d6e63c90</t>
  </si>
  <si>
    <t>(김학림전종현) 쎄타_확통M피드백</t>
  </si>
  <si>
    <t>a21d3fbd</t>
  </si>
  <si>
    <t>조현우6865</t>
  </si>
  <si>
    <t>6f090e3c</t>
  </si>
  <si>
    <t>f71aa77e</t>
  </si>
  <si>
    <t>26580f5e</t>
  </si>
  <si>
    <t>466f8384</t>
  </si>
  <si>
    <t>ca39f23f</t>
  </si>
  <si>
    <t>c1293c8c</t>
  </si>
  <si>
    <t>5eef10a2</t>
  </si>
  <si>
    <t>이소의5141</t>
  </si>
  <si>
    <t>4fdf8764</t>
  </si>
  <si>
    <t>fe3f5e50</t>
  </si>
  <si>
    <t>2c3aa5dc</t>
  </si>
  <si>
    <t>387803ee</t>
  </si>
  <si>
    <t>cb347c66</t>
  </si>
  <si>
    <t>dd2c678f</t>
  </si>
  <si>
    <t>f2703751</t>
  </si>
  <si>
    <t>박혜인8932</t>
  </si>
  <si>
    <t>43e11d5c</t>
  </si>
  <si>
    <t>2bb6e583</t>
  </si>
  <si>
    <t>afe434f4</t>
  </si>
  <si>
    <t>45b5bce6</t>
  </si>
  <si>
    <t>f02c4a99</t>
  </si>
  <si>
    <t>6bc36041</t>
  </si>
  <si>
    <t>(한진구) 윤리와 사상</t>
  </si>
  <si>
    <t>5e5149b4</t>
  </si>
  <si>
    <t>정태환9622</t>
  </si>
  <si>
    <t>db86b0a5</t>
  </si>
  <si>
    <t>0bac8d28</t>
  </si>
  <si>
    <t>8eb8e18f</t>
  </si>
  <si>
    <t>(진명화) 에센셜+_수2(수업)</t>
  </si>
  <si>
    <t>bc0699eb</t>
  </si>
  <si>
    <t>(진명화) 에센셜+_확통(수업)</t>
  </si>
  <si>
    <t>46898daa</t>
  </si>
  <si>
    <t>(진명화) 에센스+_수2(피드백)</t>
  </si>
  <si>
    <t>81d95a90</t>
  </si>
  <si>
    <t>(진명화) 에센스_확통(피드백)</t>
  </si>
  <si>
    <t>784d6094</t>
  </si>
  <si>
    <t>박시은7840</t>
  </si>
  <si>
    <t>70c714da</t>
  </si>
  <si>
    <t>1c1bbc6e</t>
  </si>
  <si>
    <t>(신현철) 메멘토_확통(수업)</t>
  </si>
  <si>
    <t>bd3856ef</t>
  </si>
  <si>
    <t>0466caad</t>
  </si>
  <si>
    <t>(신현철) 메멘토_확통(피드백)</t>
  </si>
  <si>
    <t>6d9981d5</t>
  </si>
  <si>
    <t>11290dc5</t>
  </si>
  <si>
    <t>6e6589cb</t>
  </si>
  <si>
    <t>(베)임유민6477</t>
  </si>
  <si>
    <t>97812df6</t>
  </si>
  <si>
    <t>75d2cba5</t>
  </si>
  <si>
    <t>0ca92de0</t>
  </si>
  <si>
    <t>d45bb210</t>
  </si>
  <si>
    <t>5710ec08</t>
  </si>
  <si>
    <t>45bbf430</t>
  </si>
  <si>
    <t>원도현7815</t>
  </si>
  <si>
    <t>de52def7</t>
  </si>
  <si>
    <t>(이민호A) 노플_수2(피드백)</t>
  </si>
  <si>
    <t>fb669529</t>
  </si>
  <si>
    <t>(이민호A) 노플_확통(피드백)</t>
  </si>
  <si>
    <t>7159886e</t>
  </si>
  <si>
    <t>(이민호A) 인사이트_수2(수업)</t>
  </si>
  <si>
    <t>21faaf6e</t>
  </si>
  <si>
    <t>(이민호A) 인사이트_확통(수업)</t>
  </si>
  <si>
    <t>90c4f7be</t>
  </si>
  <si>
    <t>(이승국) 한국지리</t>
  </si>
  <si>
    <t>fa7a387f</t>
  </si>
  <si>
    <t>(아)이송현2436</t>
  </si>
  <si>
    <t>206b4077</t>
  </si>
  <si>
    <t>5e7acd36</t>
  </si>
  <si>
    <t>231407ee</t>
  </si>
  <si>
    <t>f68012c9</t>
  </si>
  <si>
    <t>78c63cd3</t>
  </si>
  <si>
    <t>7f7b22ad</t>
  </si>
  <si>
    <t>전건우1448</t>
  </si>
  <si>
    <t>6cae602a</t>
  </si>
  <si>
    <t>(신인섭) 세계사</t>
  </si>
  <si>
    <t>04ecae9e</t>
  </si>
  <si>
    <t>b270b587</t>
  </si>
  <si>
    <t>2f837d4d</t>
  </si>
  <si>
    <t>f533877f</t>
  </si>
  <si>
    <t>f831a251</t>
  </si>
  <si>
    <t>최우현9385</t>
  </si>
  <si>
    <t>f7f06f73</t>
  </si>
  <si>
    <t>ae7f8fce</t>
  </si>
  <si>
    <t>f786dabc</t>
  </si>
  <si>
    <t>5a956c13</t>
  </si>
  <si>
    <t>d7f2b0b9</t>
  </si>
  <si>
    <t>(5)박건영5869</t>
  </si>
  <si>
    <t>f5fd17e2</t>
  </si>
  <si>
    <t>6c551696</t>
  </si>
  <si>
    <t>c44a8378</t>
  </si>
  <si>
    <t>cfd1b271</t>
  </si>
  <si>
    <t>2d8ba508</t>
  </si>
  <si>
    <t>e76b466c</t>
  </si>
  <si>
    <t>(아)황예나0608</t>
  </si>
  <si>
    <t>59d8e95a</t>
  </si>
  <si>
    <t>4bcf0861</t>
  </si>
  <si>
    <t>85b5a755</t>
  </si>
  <si>
    <t>5951db84</t>
  </si>
  <si>
    <t>1de49441</t>
  </si>
  <si>
    <t>afe00001</t>
  </si>
  <si>
    <t>(김춘근김희준) pop 2</t>
  </si>
  <si>
    <t>357eeecd</t>
  </si>
  <si>
    <t>(김춘근김희준) syntax 2</t>
  </si>
  <si>
    <t>cc57861e</t>
  </si>
  <si>
    <t>남유주5622</t>
  </si>
  <si>
    <t>(영매깨) 1학기</t>
  </si>
  <si>
    <t>2c0a4986</t>
  </si>
  <si>
    <t>ee8fa780</t>
  </si>
  <si>
    <t>6e39597b</t>
  </si>
  <si>
    <t>173e8bef</t>
  </si>
  <si>
    <t>af94004f</t>
  </si>
  <si>
    <t>a80b37df</t>
  </si>
  <si>
    <t>d922c78f</t>
  </si>
  <si>
    <t>74c6ab01</t>
  </si>
  <si>
    <t>4c86ca27</t>
  </si>
  <si>
    <t>916c4679</t>
  </si>
  <si>
    <t>(강원휘) 생명과학 , (국매깨) 9주차 , (국어선택) 언어와매체 , (김종훈) 국어다지기_독서2 , (김종훈) 국어다지기_문학2 , (김춘근김희준) pop 2 , (김춘근김희준) syntax 2 , (김학림전종현) 쎄타_미적E수업 , (김학림전종현) 쎄타_미적E피드백 , (김학림전종현) 쎄타_수2E수업 , (김학림전종현) 쎄타_수2E피드백 , (수매깨7주차) Q , (영매깨) 1학기 , (이병훈) 지구과학</t>
  </si>
  <si>
    <t>(강원휘) 생명과학,(국매깨) 9주차,(국어선택) 언어와매체,(김종훈) 국어다지기_독서2,(김종훈) 국어다지기_문학2,(김춘근김희준) pop 2,(김춘근김희준) syntax 2,(김학림전종현) 쎄타_미적E수업,(김학림전종현) 쎄타_미적E피드백,(김학림전종현) 쎄타_수2E수업,(김학림전종현) 쎄타_수2E피드백,(수매깨7주차) Q,(영매깨) 1학기,(이병훈) 지구과학</t>
  </si>
  <si>
    <t>a84f023d</t>
  </si>
  <si>
    <t>(강성욱) 사회문화 , (국매깨) 9주차 , (국어선택) 화법과작문</t>
  </si>
  <si>
    <t>(강성욱) 사회문화,(국매깨) 9주차,(국어선택) 화법과작문</t>
  </si>
  <si>
    <t>7de46bac</t>
  </si>
  <si>
    <t>b336e789</t>
  </si>
  <si>
    <t>1e671c1a</t>
  </si>
  <si>
    <t>96f0d873</t>
  </si>
  <si>
    <t>ae8c8460</t>
  </si>
  <si>
    <t>(임현호) 호연지기_독서2 , (임현호) 호연지기_문학2</t>
  </si>
  <si>
    <t>(임현호) 호연지기_독서2,(임현호) 호연지기_문학2</t>
  </si>
  <si>
    <t>송호민 test (실제 배부 안함)</t>
  </si>
  <si>
    <t>0219bc78</t>
  </si>
  <si>
    <t>f3d239e6</t>
  </si>
  <si>
    <t>2083e1dc</t>
  </si>
  <si>
    <t>313fb050</t>
  </si>
  <si>
    <t>(강성욱) 사회문화 , (국매깨) 9주차</t>
  </si>
  <si>
    <t>(강성욱) 사회문화,(국매깨) 9주차</t>
  </si>
  <si>
    <t>e5b2939a</t>
  </si>
  <si>
    <t>학생id</t>
  </si>
  <si>
    <t>STU-0003</t>
  </si>
  <si>
    <t>STU-0004</t>
  </si>
  <si>
    <t>STU-0005</t>
  </si>
  <si>
    <t>STU-0006</t>
  </si>
  <si>
    <t>STU-0007</t>
  </si>
  <si>
    <t>STU-0008</t>
  </si>
  <si>
    <t>STU-0009</t>
  </si>
  <si>
    <t>STU-0010</t>
  </si>
  <si>
    <t>STU-0011</t>
  </si>
  <si>
    <t>STU-0012</t>
  </si>
  <si>
    <t>STU-0013</t>
  </si>
  <si>
    <t>STU-0014</t>
  </si>
  <si>
    <t>STU-0015</t>
  </si>
  <si>
    <t>STU-0016</t>
  </si>
  <si>
    <t>STU-0017</t>
  </si>
  <si>
    <t>STU-0018</t>
  </si>
  <si>
    <t>STU-0019</t>
  </si>
  <si>
    <t>STU-0020</t>
  </si>
  <si>
    <t>STU-0021</t>
  </si>
  <si>
    <t>STU-0022</t>
  </si>
  <si>
    <t>STU-0023</t>
  </si>
  <si>
    <t>STU-0024</t>
  </si>
  <si>
    <t>STU-0025</t>
  </si>
  <si>
    <t>STU-0026</t>
  </si>
  <si>
    <t>STU-0027</t>
  </si>
  <si>
    <t>STU-0028</t>
  </si>
  <si>
    <t>STU-0029</t>
  </si>
  <si>
    <t>STU-0030</t>
  </si>
  <si>
    <t>STU-0031</t>
  </si>
  <si>
    <t>STU-0032</t>
  </si>
  <si>
    <t>STU-0033</t>
  </si>
  <si>
    <t>STU-0034</t>
  </si>
  <si>
    <t>STU-0035</t>
  </si>
  <si>
    <t>STU-0036</t>
  </si>
  <si>
    <t>STU-0037</t>
  </si>
  <si>
    <t>STU-0038</t>
  </si>
  <si>
    <t>STU-0039</t>
  </si>
  <si>
    <t>STU-0040</t>
  </si>
  <si>
    <t>STU-0041</t>
  </si>
  <si>
    <t>STU-0042</t>
  </si>
  <si>
    <t>STU-0043</t>
  </si>
  <si>
    <t>STU-0044</t>
  </si>
  <si>
    <t>STU-0045</t>
  </si>
  <si>
    <t>STU-0046</t>
  </si>
  <si>
    <t>STU-0047</t>
  </si>
  <si>
    <t>STU-0048</t>
  </si>
  <si>
    <t>STU-0049</t>
  </si>
  <si>
    <t>STU-0050</t>
  </si>
  <si>
    <t>STU-0051</t>
  </si>
  <si>
    <t>STU-0052</t>
  </si>
  <si>
    <t>STU-0053</t>
  </si>
  <si>
    <t>STU-0054</t>
  </si>
  <si>
    <t>STU-0055</t>
  </si>
  <si>
    <t>STU-0056</t>
  </si>
  <si>
    <t>STU-0057</t>
  </si>
  <si>
    <t>STU-0058</t>
  </si>
  <si>
    <t>STU-0059</t>
  </si>
  <si>
    <t>STU-0060</t>
  </si>
  <si>
    <t>STU-0061</t>
  </si>
  <si>
    <t>STU-0062</t>
  </si>
  <si>
    <t>STU-0063</t>
  </si>
  <si>
    <t>STU-0064</t>
  </si>
  <si>
    <t>STU-0065</t>
  </si>
  <si>
    <t>STU-0066</t>
  </si>
  <si>
    <t>STU-0067</t>
  </si>
  <si>
    <t>STU-0068</t>
  </si>
  <si>
    <t>STU-0069</t>
  </si>
  <si>
    <t>STU-0070</t>
  </si>
  <si>
    <t>STU-0071</t>
  </si>
  <si>
    <t>STU-0072</t>
  </si>
  <si>
    <t>STU-0073</t>
  </si>
  <si>
    <t>STU-0074</t>
  </si>
  <si>
    <t>STU-0075</t>
  </si>
  <si>
    <t>STU-0076</t>
  </si>
  <si>
    <t>STU-0077</t>
  </si>
  <si>
    <t>STU-0078</t>
  </si>
  <si>
    <t>STU-0079</t>
  </si>
  <si>
    <t>STU-0080</t>
  </si>
  <si>
    <t>STU-0081</t>
  </si>
  <si>
    <t>STU-0082</t>
  </si>
  <si>
    <t>STU-0083</t>
  </si>
  <si>
    <t>STU-0084</t>
  </si>
  <si>
    <t>STU-0085</t>
  </si>
  <si>
    <t>STU-0086</t>
  </si>
  <si>
    <t>STU-0087</t>
  </si>
  <si>
    <t>STU-0088</t>
  </si>
  <si>
    <t>STU-0089</t>
  </si>
  <si>
    <t>STU-0090</t>
  </si>
  <si>
    <t>STU-0091</t>
  </si>
  <si>
    <t>STU-0092</t>
  </si>
  <si>
    <t>STU-0093</t>
  </si>
  <si>
    <t>STU-0094</t>
  </si>
  <si>
    <t>STU-0095</t>
  </si>
  <si>
    <t>STU-0096</t>
  </si>
  <si>
    <t>STU-0097</t>
  </si>
  <si>
    <t>STU-0098</t>
  </si>
  <si>
    <t>STU-0099</t>
  </si>
  <si>
    <t>STU-0100</t>
  </si>
  <si>
    <t>STU-0101</t>
  </si>
  <si>
    <t>STU-0102</t>
  </si>
  <si>
    <t>STU-0103</t>
  </si>
  <si>
    <t>STU-0104</t>
  </si>
  <si>
    <t>STU-0105</t>
  </si>
  <si>
    <t>STU-0106</t>
  </si>
  <si>
    <t>STU-0107</t>
  </si>
  <si>
    <t>STU-0108</t>
  </si>
  <si>
    <t>STU-0109</t>
  </si>
  <si>
    <t>STU-0110</t>
  </si>
  <si>
    <t>STU-0111</t>
  </si>
  <si>
    <t>STU-0112</t>
  </si>
  <si>
    <t>STU-0113</t>
  </si>
  <si>
    <t>STU-0114</t>
  </si>
  <si>
    <t>STU-0115</t>
  </si>
  <si>
    <t>STU-0116</t>
  </si>
  <si>
    <t>STU-0117</t>
  </si>
  <si>
    <t>STU-0118</t>
  </si>
  <si>
    <t>STU-0119</t>
  </si>
  <si>
    <t>STU-0120</t>
  </si>
  <si>
    <t>STU-0121</t>
  </si>
  <si>
    <t>STU-0122</t>
  </si>
  <si>
    <t>STU-0123</t>
  </si>
  <si>
    <t>STU-0124</t>
  </si>
  <si>
    <t>STU-0125</t>
  </si>
  <si>
    <t>STU-0126</t>
  </si>
  <si>
    <t>STU-0127</t>
  </si>
  <si>
    <t>STU-0128</t>
  </si>
  <si>
    <t>STU-0129</t>
  </si>
  <si>
    <t>STU-0130</t>
  </si>
  <si>
    <t>STU-0131</t>
  </si>
  <si>
    <t>STU-0132</t>
  </si>
  <si>
    <t>STU-0133</t>
  </si>
  <si>
    <t>STU-0134</t>
  </si>
  <si>
    <t>STU-0135</t>
  </si>
  <si>
    <t>STU-0136</t>
  </si>
  <si>
    <t>STU-0137</t>
  </si>
  <si>
    <t>STU-0138</t>
  </si>
  <si>
    <t>STU-0139</t>
  </si>
  <si>
    <t>STU-0140</t>
  </si>
  <si>
    <t>STU-0141</t>
  </si>
  <si>
    <t>STU-0142</t>
  </si>
  <si>
    <t>STU-0143</t>
  </si>
  <si>
    <t>STU-0144</t>
  </si>
  <si>
    <t>STU-0145</t>
  </si>
  <si>
    <t>STU-0146</t>
  </si>
  <si>
    <t>STU-0147</t>
  </si>
  <si>
    <t>STU-0148</t>
  </si>
  <si>
    <t>STU-0149</t>
  </si>
  <si>
    <t>STU-0150</t>
  </si>
  <si>
    <t>STU-0151</t>
  </si>
  <si>
    <t>STU-0152</t>
  </si>
  <si>
    <t>STU-0153</t>
  </si>
  <si>
    <t>STU-0154</t>
  </si>
  <si>
    <t>STU-0155</t>
  </si>
  <si>
    <t>STU-0156</t>
  </si>
  <si>
    <t>STU-0157</t>
  </si>
  <si>
    <t>STU-0158</t>
  </si>
  <si>
    <t>STU-0159</t>
  </si>
  <si>
    <t>STU-0160</t>
  </si>
  <si>
    <t>STU-0161</t>
  </si>
  <si>
    <t>STU-0162</t>
  </si>
  <si>
    <t>STU-0163</t>
  </si>
  <si>
    <t>STU-0164</t>
  </si>
  <si>
    <t>STU-0165</t>
  </si>
  <si>
    <t>STU-0166</t>
  </si>
  <si>
    <t>STU-0167</t>
  </si>
  <si>
    <t>STU-0168</t>
  </si>
  <si>
    <t>STU-0169</t>
  </si>
  <si>
    <t>STU-0170</t>
  </si>
  <si>
    <t>STU-0171</t>
  </si>
  <si>
    <t>STU-0172</t>
  </si>
  <si>
    <t>STU-0173</t>
  </si>
  <si>
    <t>STU-0174</t>
  </si>
  <si>
    <t>STU-0175</t>
  </si>
  <si>
    <t>STU-0176</t>
  </si>
  <si>
    <t>STU-0177</t>
  </si>
  <si>
    <t>STU-0178</t>
  </si>
  <si>
    <t>STU-0179</t>
  </si>
  <si>
    <t>STU-0180</t>
  </si>
  <si>
    <t>STU-0181</t>
  </si>
  <si>
    <t>STU-0182</t>
  </si>
  <si>
    <t>STU-0183</t>
  </si>
  <si>
    <t>STU-0184</t>
  </si>
  <si>
    <t>STU-0185</t>
  </si>
  <si>
    <t>STU-0186</t>
  </si>
  <si>
    <t>STU-0187</t>
  </si>
  <si>
    <t>STU-0188</t>
  </si>
  <si>
    <t>STU-0189</t>
  </si>
  <si>
    <t>STU-0190</t>
  </si>
  <si>
    <t>STU-0191</t>
  </si>
  <si>
    <t>STU-0192</t>
  </si>
  <si>
    <t>STU-0193</t>
  </si>
  <si>
    <t>STU-0194</t>
  </si>
  <si>
    <t>STU-0195</t>
  </si>
  <si>
    <t>STU-0196</t>
  </si>
  <si>
    <t>STU-0197</t>
  </si>
  <si>
    <t>STU-0198</t>
  </si>
  <si>
    <t>STU-0199</t>
  </si>
  <si>
    <t>STU-0200</t>
  </si>
  <si>
    <t>STU-0201</t>
  </si>
  <si>
    <t>STU-0202</t>
  </si>
  <si>
    <t>STU-0203</t>
  </si>
  <si>
    <t>STU-0204</t>
  </si>
  <si>
    <t>STU-0205</t>
  </si>
  <si>
    <t>STU-0206</t>
  </si>
  <si>
    <t>STU-0207</t>
  </si>
  <si>
    <t>STU-0208</t>
  </si>
  <si>
    <t>STU-0209</t>
  </si>
  <si>
    <t>STU-0210</t>
  </si>
  <si>
    <t>STU-0211</t>
  </si>
  <si>
    <t>STU-0212</t>
  </si>
  <si>
    <t>STU-0213</t>
  </si>
  <si>
    <t>STU-0214</t>
  </si>
  <si>
    <t>STU-0215</t>
  </si>
  <si>
    <t>STU-0216</t>
  </si>
  <si>
    <t>STU-0217</t>
  </si>
  <si>
    <t>STU-0218</t>
  </si>
  <si>
    <t>STU-0219</t>
  </si>
  <si>
    <t>STU-0220</t>
  </si>
  <si>
    <t>STU-0221</t>
  </si>
  <si>
    <t>STU-0222</t>
  </si>
  <si>
    <t>STU-0223</t>
  </si>
  <si>
    <t>STU-0224</t>
  </si>
  <si>
    <t>STU-0225</t>
  </si>
  <si>
    <t>STU-0226</t>
  </si>
  <si>
    <t>STU-0227</t>
  </si>
  <si>
    <t>STU-0228</t>
  </si>
  <si>
    <t>STU-0229</t>
  </si>
  <si>
    <t>STU-0230</t>
  </si>
  <si>
    <t>STU-0231</t>
  </si>
  <si>
    <t>STU-0232</t>
  </si>
  <si>
    <t>STU-0233</t>
  </si>
  <si>
    <t>STU-0234</t>
  </si>
  <si>
    <t>STU-0235</t>
  </si>
  <si>
    <t>STU-0236</t>
  </si>
  <si>
    <t>STU-0237</t>
  </si>
  <si>
    <t>STU-0238</t>
  </si>
  <si>
    <t>STU-0239</t>
  </si>
  <si>
    <t>STU-0240</t>
  </si>
  <si>
    <t>STU-0241</t>
  </si>
  <si>
    <t>STU-0242</t>
  </si>
  <si>
    <t>STU-0243</t>
  </si>
  <si>
    <t>STU-0244</t>
  </si>
  <si>
    <t>STU-0245</t>
  </si>
  <si>
    <t>STU-0246</t>
  </si>
  <si>
    <t>STU-0247</t>
  </si>
  <si>
    <t>STU-0248</t>
  </si>
  <si>
    <t>STU-0249</t>
  </si>
  <si>
    <t>STU-0250</t>
  </si>
  <si>
    <t>STU-0251</t>
  </si>
  <si>
    <t>STU-0252</t>
  </si>
  <si>
    <t>STU-0253</t>
  </si>
  <si>
    <t>STU-0254</t>
  </si>
  <si>
    <t>STU-0255</t>
  </si>
  <si>
    <t>STU-0256</t>
  </si>
  <si>
    <t>STU-0257</t>
  </si>
  <si>
    <t>STU-0258</t>
  </si>
  <si>
    <t>STU-0259</t>
  </si>
  <si>
    <t>STU-0260</t>
  </si>
  <si>
    <t>STU-0261</t>
  </si>
  <si>
    <t>STU-0262</t>
  </si>
  <si>
    <t>STU-0263</t>
  </si>
  <si>
    <t>STU-0264</t>
  </si>
  <si>
    <t>STU-0265</t>
  </si>
  <si>
    <t>STU-0266</t>
  </si>
  <si>
    <t>STU-0267</t>
  </si>
  <si>
    <t>STU-0268</t>
  </si>
  <si>
    <t>STU-0269</t>
  </si>
  <si>
    <t>STU-0270</t>
  </si>
  <si>
    <t>STU-0271</t>
  </si>
  <si>
    <t>STU-0272</t>
  </si>
  <si>
    <t>STU-0273</t>
  </si>
  <si>
    <t>STU-0274</t>
  </si>
  <si>
    <t>STU-0275</t>
  </si>
  <si>
    <t>STU-0276</t>
  </si>
  <si>
    <t>STU-0277</t>
  </si>
  <si>
    <t>STU-0278</t>
  </si>
  <si>
    <t>STU-0279</t>
  </si>
  <si>
    <t>STU-0280</t>
  </si>
  <si>
    <t>STU-0281</t>
  </si>
  <si>
    <t>STU-0282</t>
  </si>
  <si>
    <t>STU-0283</t>
  </si>
  <si>
    <t>STU-0284</t>
  </si>
  <si>
    <t>STU-0285</t>
  </si>
  <si>
    <t>STU-0286</t>
  </si>
  <si>
    <t>STU-0287</t>
  </si>
  <si>
    <t>STU-0288</t>
  </si>
  <si>
    <t>STU-0289</t>
  </si>
  <si>
    <t>STU-0290</t>
  </si>
  <si>
    <t>STU-0291</t>
  </si>
  <si>
    <t>STU-0292</t>
  </si>
  <si>
    <t>STU-0293</t>
  </si>
  <si>
    <t>STU-0294</t>
  </si>
  <si>
    <t>STU-0295</t>
  </si>
  <si>
    <t>STU-0296</t>
  </si>
  <si>
    <t>STU-0297</t>
  </si>
  <si>
    <t>STU-0298</t>
  </si>
  <si>
    <t>STU-0299</t>
  </si>
  <si>
    <t>STU-0300</t>
  </si>
  <si>
    <t>STU-0301</t>
  </si>
  <si>
    <t>STU-0302</t>
  </si>
  <si>
    <t>STU-0303</t>
  </si>
  <si>
    <t>STU-0304</t>
  </si>
  <si>
    <t>STU-0305</t>
  </si>
  <si>
    <t>STU-0306</t>
  </si>
  <si>
    <t>STU-0307</t>
  </si>
  <si>
    <t>STU-0308</t>
  </si>
  <si>
    <t>STU-0309</t>
  </si>
  <si>
    <t>STU-0310</t>
  </si>
  <si>
    <t>STU-0311</t>
  </si>
  <si>
    <t>STU-0312</t>
  </si>
  <si>
    <t>STU-0313</t>
  </si>
  <si>
    <t>STU-0314</t>
  </si>
  <si>
    <t>STU-0315</t>
  </si>
  <si>
    <t>STU-0316</t>
  </si>
  <si>
    <t>STU-0317</t>
  </si>
  <si>
    <t>STU-0318</t>
  </si>
  <si>
    <t>STU-0319</t>
  </si>
  <si>
    <t>STU-0320</t>
  </si>
  <si>
    <t>STU-0321</t>
  </si>
  <si>
    <t>STU-0322</t>
  </si>
  <si>
    <t>STU-0323</t>
  </si>
  <si>
    <t>STU-0324</t>
  </si>
  <si>
    <t>STU-0325</t>
  </si>
  <si>
    <t>STU-0326</t>
  </si>
  <si>
    <t>STU-0327</t>
  </si>
  <si>
    <t>STU-0328</t>
  </si>
  <si>
    <t>STU-0329</t>
  </si>
  <si>
    <t>STU-0330</t>
  </si>
  <si>
    <t>STU-0331</t>
  </si>
  <si>
    <t>STU-0332</t>
  </si>
  <si>
    <t>STU-0333</t>
  </si>
  <si>
    <t>STU-0334</t>
  </si>
  <si>
    <t>STU-0335</t>
  </si>
  <si>
    <t>STU-0336</t>
  </si>
  <si>
    <t>STU-0337</t>
  </si>
  <si>
    <t>STU-0338</t>
  </si>
  <si>
    <t>STU-0339</t>
  </si>
  <si>
    <t>STU-0340</t>
  </si>
  <si>
    <t>STU-0341</t>
  </si>
  <si>
    <t>STU-0342</t>
  </si>
  <si>
    <t>STU-0343</t>
  </si>
  <si>
    <t>STU-0344</t>
  </si>
  <si>
    <t>STU-0345</t>
  </si>
  <si>
    <t>STU-0346</t>
  </si>
  <si>
    <t>STU-0347</t>
  </si>
  <si>
    <t>STU-0348</t>
  </si>
  <si>
    <t>STU-0349</t>
  </si>
  <si>
    <t>STU-0350</t>
  </si>
  <si>
    <t>STU-0351</t>
  </si>
  <si>
    <t>STU-0352</t>
  </si>
  <si>
    <t>STU-0353</t>
  </si>
  <si>
    <t>STU-0354</t>
  </si>
  <si>
    <t>STU-0355</t>
  </si>
  <si>
    <t>STU-0356</t>
  </si>
  <si>
    <t>STU-0357</t>
  </si>
  <si>
    <t>STU-0358</t>
  </si>
  <si>
    <t>STU-0359</t>
  </si>
  <si>
    <t>STU-0360</t>
  </si>
  <si>
    <t>STU-0361</t>
  </si>
  <si>
    <t>STU-0362</t>
  </si>
  <si>
    <t>STU-0363</t>
  </si>
  <si>
    <t>STU-0364</t>
  </si>
  <si>
    <t>STU-0365</t>
  </si>
  <si>
    <t>STU-0366</t>
  </si>
  <si>
    <t>STU-0367</t>
  </si>
  <si>
    <t>STU-0368</t>
  </si>
  <si>
    <t>STU-0369</t>
  </si>
  <si>
    <t>STU-0370</t>
  </si>
  <si>
    <t>STU-0371</t>
  </si>
  <si>
    <t>STU-0372</t>
  </si>
  <si>
    <t>STU-0373</t>
  </si>
  <si>
    <t>STU-0374</t>
  </si>
  <si>
    <t>STU-0375</t>
  </si>
  <si>
    <t>STU-0376</t>
  </si>
  <si>
    <t>STU-0377</t>
  </si>
  <si>
    <t>STU-0378</t>
  </si>
  <si>
    <t>STU-0379</t>
  </si>
  <si>
    <t>STU-0380</t>
  </si>
  <si>
    <t>STU-0381</t>
  </si>
  <si>
    <t>STU-0382</t>
  </si>
  <si>
    <t>STU-0383</t>
  </si>
  <si>
    <t>STU-0384</t>
  </si>
  <si>
    <t>STU-0385</t>
  </si>
  <si>
    <t>STU-0386</t>
  </si>
  <si>
    <t>STU-0387</t>
  </si>
  <si>
    <t>STU-0388</t>
  </si>
  <si>
    <t>STU-0389</t>
  </si>
  <si>
    <t>STU-0390</t>
  </si>
  <si>
    <t>STU-0391</t>
  </si>
  <si>
    <t>STU-0392</t>
  </si>
  <si>
    <t>STU-0393</t>
  </si>
  <si>
    <t>STU-0394</t>
  </si>
  <si>
    <t>STU-0395</t>
  </si>
  <si>
    <t>STU-0396</t>
  </si>
  <si>
    <t>STU-0397</t>
  </si>
  <si>
    <t>STU-0398</t>
  </si>
  <si>
    <t>STU-0399</t>
  </si>
  <si>
    <t>STU-0400</t>
  </si>
  <si>
    <t>STU-0401</t>
  </si>
  <si>
    <t>STU-0402</t>
  </si>
  <si>
    <t>STU-0403</t>
  </si>
  <si>
    <t>STU-0404</t>
  </si>
  <si>
    <t>STU-0405</t>
  </si>
  <si>
    <t>STU-0406</t>
  </si>
  <si>
    <t>STU-0407</t>
  </si>
  <si>
    <t>STU-0408</t>
  </si>
  <si>
    <t>STU-0409</t>
  </si>
  <si>
    <t>STU-0410</t>
  </si>
  <si>
    <t>STU-0411</t>
  </si>
  <si>
    <t>STU-0412</t>
  </si>
  <si>
    <t>STU-0413</t>
  </si>
  <si>
    <t>STU-0414</t>
  </si>
  <si>
    <t>STU-0415</t>
  </si>
  <si>
    <t>STU-0416</t>
  </si>
  <si>
    <t>STU-0417</t>
  </si>
  <si>
    <t>STU-0418</t>
  </si>
  <si>
    <t>STU-0419</t>
  </si>
  <si>
    <t>STU-0420</t>
  </si>
  <si>
    <t>STU-0421</t>
  </si>
  <si>
    <t>STU-0422</t>
  </si>
  <si>
    <t>STU-0423</t>
  </si>
  <si>
    <t>STU-0424</t>
  </si>
  <si>
    <t>STU-0425</t>
  </si>
  <si>
    <t>STU-0426</t>
  </si>
  <si>
    <t>STU-0427</t>
  </si>
  <si>
    <t>STU-0428</t>
  </si>
  <si>
    <t>STU-0429</t>
  </si>
  <si>
    <t>STU-0430</t>
  </si>
  <si>
    <t>STU-0431</t>
  </si>
  <si>
    <t>STU-0432</t>
  </si>
  <si>
    <t>STU-0433</t>
  </si>
  <si>
    <t>STU-0434</t>
  </si>
  <si>
    <t>STU-0435</t>
  </si>
  <si>
    <t>STU-0436</t>
  </si>
  <si>
    <t>STU-0437</t>
  </si>
  <si>
    <t>STU-0438</t>
  </si>
  <si>
    <t>STU-0439</t>
  </si>
  <si>
    <t>STU-0440</t>
  </si>
  <si>
    <t>STU-0441</t>
  </si>
  <si>
    <t>STU-0442</t>
  </si>
  <si>
    <t>STU-0443</t>
  </si>
  <si>
    <t>STU-0444</t>
  </si>
  <si>
    <t>STU-0445</t>
  </si>
  <si>
    <t>STU-0446</t>
  </si>
  <si>
    <t>STU-0447</t>
  </si>
  <si>
    <t>STU-0448</t>
  </si>
  <si>
    <t>STU-0449</t>
  </si>
  <si>
    <t>STU-0450</t>
  </si>
  <si>
    <t>STU-0451</t>
  </si>
  <si>
    <t>STU-0452</t>
  </si>
  <si>
    <t>STU-0453</t>
  </si>
  <si>
    <t>STU-0454</t>
  </si>
  <si>
    <t>STU-0455</t>
  </si>
  <si>
    <t>STU-0456</t>
  </si>
  <si>
    <t>STU-0457</t>
  </si>
  <si>
    <t>STU-0458</t>
  </si>
  <si>
    <t>STU-0459</t>
  </si>
  <si>
    <t>STU-0460</t>
  </si>
  <si>
    <t>STU-0461</t>
  </si>
  <si>
    <t>STU-0462</t>
  </si>
  <si>
    <t>STU-0463</t>
  </si>
  <si>
    <t>STU-0464</t>
  </si>
  <si>
    <t>STU-0465</t>
  </si>
  <si>
    <t>STU-0466</t>
  </si>
  <si>
    <t>STU-0467</t>
  </si>
  <si>
    <t>STU-0468</t>
  </si>
  <si>
    <t>STU-0469</t>
  </si>
  <si>
    <t>STU-0470</t>
  </si>
  <si>
    <t>STU-0471</t>
  </si>
  <si>
    <t>STU-0472</t>
  </si>
  <si>
    <t>STU-0473</t>
  </si>
  <si>
    <t>STU-0474</t>
  </si>
  <si>
    <t>STU-0475</t>
  </si>
  <si>
    <t>STU-0476</t>
  </si>
  <si>
    <t>STU-0477</t>
  </si>
  <si>
    <t>STU-0478</t>
  </si>
  <si>
    <t>STU-0479</t>
  </si>
  <si>
    <t>STU-0480</t>
  </si>
  <si>
    <t>STU-0481</t>
  </si>
  <si>
    <t>STU-0482</t>
  </si>
  <si>
    <t>STU-0483</t>
  </si>
  <si>
    <t>STU-0484</t>
  </si>
  <si>
    <t>STU-0485</t>
  </si>
  <si>
    <t>STU-0486</t>
  </si>
  <si>
    <t>STU-0487</t>
  </si>
  <si>
    <t>STU-0488</t>
  </si>
  <si>
    <t>STU-0489</t>
  </si>
  <si>
    <t>STU-0490</t>
  </si>
  <si>
    <t>STU-0491</t>
  </si>
  <si>
    <t>STU-0492</t>
  </si>
  <si>
    <t>STU-0493</t>
  </si>
  <si>
    <t>STU-0494</t>
  </si>
  <si>
    <t>STU-0495</t>
  </si>
  <si>
    <t>STU-0496</t>
  </si>
  <si>
    <t>STU-0497</t>
  </si>
  <si>
    <t>STU-0498</t>
  </si>
  <si>
    <t>STU-0499</t>
  </si>
  <si>
    <t>STU-0500</t>
  </si>
  <si>
    <t>STU-0501</t>
  </si>
  <si>
    <t>STU-0502</t>
  </si>
  <si>
    <t>STU-0503</t>
  </si>
  <si>
    <t>STU-0504</t>
  </si>
  <si>
    <t>STU-0505</t>
  </si>
  <si>
    <t>STU-0506</t>
  </si>
  <si>
    <t>STU-0507</t>
  </si>
  <si>
    <t>STU-0508</t>
  </si>
  <si>
    <t>STU-0509</t>
  </si>
  <si>
    <t>STU-0510</t>
  </si>
  <si>
    <t>STU-0511</t>
  </si>
  <si>
    <t>STU-0512</t>
  </si>
  <si>
    <t>STU-0513</t>
  </si>
  <si>
    <t>STU-0514</t>
  </si>
  <si>
    <t>STU-0515</t>
  </si>
  <si>
    <t>STU-0516</t>
  </si>
  <si>
    <t>STU-0517</t>
  </si>
  <si>
    <t>STU-0518</t>
  </si>
  <si>
    <t>STU-0519</t>
  </si>
  <si>
    <t>STU-0520</t>
  </si>
  <si>
    <t>STU-0521</t>
  </si>
  <si>
    <t>STU-0522</t>
  </si>
  <si>
    <t>STU-0523</t>
  </si>
  <si>
    <t>STU-0524</t>
  </si>
  <si>
    <t>STU-0525</t>
  </si>
  <si>
    <t>STU-0526</t>
  </si>
  <si>
    <t>STU-0527</t>
  </si>
  <si>
    <t>STU-0528</t>
  </si>
  <si>
    <t>STU-0529</t>
  </si>
  <si>
    <t>STU-0530</t>
  </si>
  <si>
    <t>STU-0531</t>
  </si>
  <si>
    <t>STU-0532</t>
  </si>
  <si>
    <t>STU-0533</t>
  </si>
  <si>
    <t>STU-0534</t>
  </si>
  <si>
    <t>STU-0535</t>
  </si>
  <si>
    <t>STU-0536</t>
  </si>
  <si>
    <t>STU-0537</t>
  </si>
  <si>
    <t>STU-0538</t>
  </si>
  <si>
    <t>STU-0539</t>
  </si>
  <si>
    <t>STU-0540</t>
  </si>
  <si>
    <t>STU-0541</t>
  </si>
  <si>
    <t>STU-0542</t>
  </si>
  <si>
    <t>STU-0543</t>
  </si>
  <si>
    <t>STU-0544</t>
  </si>
  <si>
    <t>STU-0545</t>
  </si>
  <si>
    <t>STU-0546</t>
  </si>
  <si>
    <t>STU-0547</t>
  </si>
  <si>
    <t>STU-0548</t>
  </si>
  <si>
    <t>STU-0549</t>
  </si>
  <si>
    <t>STU-0550</t>
  </si>
  <si>
    <t>STU-0551</t>
  </si>
  <si>
    <t>STU-0552</t>
  </si>
  <si>
    <t>STU-0553</t>
  </si>
  <si>
    <t>STU-0554</t>
  </si>
  <si>
    <t>STU-0555</t>
  </si>
  <si>
    <t>STU-0556</t>
  </si>
  <si>
    <t>STU-0557</t>
  </si>
  <si>
    <t>STU-0558</t>
  </si>
  <si>
    <t>STU-0559</t>
  </si>
  <si>
    <t>STU-0560</t>
  </si>
  <si>
    <t>STU-0561</t>
  </si>
  <si>
    <t>STU-0562</t>
  </si>
  <si>
    <t>STU-0563</t>
  </si>
  <si>
    <t>STU-0564</t>
  </si>
  <si>
    <t>STU-0565</t>
  </si>
  <si>
    <t>STU-0566</t>
  </si>
  <si>
    <t>STU-0567</t>
  </si>
  <si>
    <t>STU-0568</t>
  </si>
  <si>
    <t>STU-0569</t>
  </si>
  <si>
    <t>STU-0570</t>
  </si>
  <si>
    <t>STU-0571</t>
  </si>
  <si>
    <t>STU-0572</t>
  </si>
  <si>
    <t>STU-0573</t>
  </si>
  <si>
    <t>STU-0574</t>
  </si>
  <si>
    <t>STU-0575</t>
  </si>
  <si>
    <t>STU-0576</t>
  </si>
  <si>
    <t>STU-0577</t>
  </si>
  <si>
    <t>STU-0578</t>
  </si>
  <si>
    <t>STU-0579</t>
  </si>
  <si>
    <t>STU-0580</t>
  </si>
  <si>
    <t>STU-0581</t>
  </si>
  <si>
    <t>STU-0582</t>
  </si>
  <si>
    <t>STU-0583</t>
  </si>
  <si>
    <t>STU-0584</t>
  </si>
  <si>
    <t>STU-0585</t>
  </si>
  <si>
    <t>STU-0586</t>
  </si>
  <si>
    <t>STU-0587</t>
  </si>
  <si>
    <t>STU-0588</t>
  </si>
  <si>
    <t>STU-0589</t>
  </si>
  <si>
    <t>STU-0590</t>
  </si>
  <si>
    <t>STU-0591</t>
  </si>
  <si>
    <t>STU-0592</t>
  </si>
  <si>
    <t>STU-0593</t>
  </si>
  <si>
    <t>STU-0594</t>
  </si>
  <si>
    <t>STU-0595</t>
  </si>
  <si>
    <t>STU-0596</t>
  </si>
  <si>
    <t>STU-0597</t>
  </si>
  <si>
    <t>STU-0598</t>
  </si>
  <si>
    <t>STU-0599</t>
  </si>
  <si>
    <t>STU-0600</t>
  </si>
  <si>
    <t>STU-0601</t>
  </si>
  <si>
    <t>STU-0602</t>
  </si>
  <si>
    <t>STU-0603</t>
  </si>
  <si>
    <t>STU-0604</t>
  </si>
  <si>
    <t>STU-0605</t>
  </si>
  <si>
    <t>STU-0606</t>
  </si>
  <si>
    <t>STU-0607</t>
  </si>
  <si>
    <t>STU-0608</t>
  </si>
  <si>
    <t>STU-0609</t>
  </si>
  <si>
    <t>STU-0610</t>
  </si>
  <si>
    <t>STU-0611</t>
  </si>
  <si>
    <t>STU-0612</t>
  </si>
  <si>
    <t>STU-0613</t>
  </si>
  <si>
    <t>STU-0614</t>
  </si>
  <si>
    <t>STU-0615</t>
  </si>
  <si>
    <t>STU-0616</t>
  </si>
  <si>
    <t>STU-0617</t>
  </si>
  <si>
    <t>STU-0618</t>
  </si>
  <si>
    <t>STU-0619</t>
  </si>
  <si>
    <t>STU-0620</t>
  </si>
  <si>
    <t>STU-0621</t>
  </si>
  <si>
    <t>STU-0622</t>
  </si>
  <si>
    <t>STU-0623</t>
  </si>
  <si>
    <t>STU-0624</t>
  </si>
  <si>
    <t>STU-0625</t>
  </si>
  <si>
    <t>STU-0626</t>
  </si>
  <si>
    <t>STU-0627</t>
  </si>
  <si>
    <t>STU-0628</t>
  </si>
  <si>
    <t>STU-0629</t>
  </si>
  <si>
    <t>STU-0630</t>
  </si>
  <si>
    <t>STU-0631</t>
  </si>
  <si>
    <t>STU-0632</t>
  </si>
  <si>
    <t>STU-0633</t>
  </si>
  <si>
    <t>STU-0634</t>
  </si>
  <si>
    <t>STU-0635</t>
  </si>
  <si>
    <t>STU-0636</t>
  </si>
  <si>
    <t>STU-0637</t>
  </si>
  <si>
    <t>STU-0638</t>
  </si>
  <si>
    <t>STU-0639</t>
  </si>
  <si>
    <t>STU-0640</t>
  </si>
  <si>
    <t>STU-0641</t>
  </si>
  <si>
    <t>STU-0642</t>
  </si>
  <si>
    <t>STU-0643</t>
  </si>
  <si>
    <t>STU-0644</t>
  </si>
  <si>
    <t>STU-0645</t>
  </si>
  <si>
    <t>STU-0646</t>
  </si>
  <si>
    <t>STU-0647</t>
  </si>
  <si>
    <t>STU-0648</t>
  </si>
  <si>
    <t>STU-0649</t>
  </si>
  <si>
    <t>STU-0650</t>
  </si>
  <si>
    <t>STU-0651</t>
  </si>
  <si>
    <t>STU-0652</t>
  </si>
  <si>
    <t>STU-0653</t>
  </si>
  <si>
    <t>STU-0654</t>
  </si>
  <si>
    <t>STU-0655</t>
  </si>
  <si>
    <t>STU-0656</t>
  </si>
  <si>
    <t>STU-0657</t>
  </si>
  <si>
    <t>STU-0658</t>
  </si>
  <si>
    <t>STU-0659</t>
  </si>
  <si>
    <t>STU-0660</t>
  </si>
  <si>
    <t>STU-0661</t>
  </si>
  <si>
    <t>STU-0662</t>
  </si>
  <si>
    <t>STU-0663</t>
  </si>
  <si>
    <t>STU-0664</t>
  </si>
  <si>
    <t>STU-0665</t>
  </si>
  <si>
    <t>STU-0666</t>
  </si>
  <si>
    <t>STU-0667</t>
  </si>
  <si>
    <t>STU-0668</t>
  </si>
  <si>
    <t>회수일</t>
  </si>
  <si>
    <t>회수반</t>
  </si>
  <si>
    <t>회수장소</t>
  </si>
  <si>
    <t>회수사유</t>
  </si>
  <si>
    <t>원배부일</t>
  </si>
  <si>
    <t>c8155e2b</t>
  </si>
  <si>
    <t>오배부회수</t>
  </si>
  <si>
    <t>232eb27f</t>
  </si>
  <si>
    <t>여분회수</t>
  </si>
  <si>
    <t>90677779</t>
  </si>
  <si>
    <t>16c4bfe6</t>
  </si>
  <si>
    <t>be112175</t>
  </si>
  <si>
    <t>총회수수량</t>
  </si>
  <si>
    <t>246479f2</t>
  </si>
  <si>
    <t>f8727ad7</t>
  </si>
  <si>
    <t>50afa2ed</t>
  </si>
  <si>
    <t>9accf211</t>
  </si>
  <si>
    <t>회수로그ID</t>
  </si>
  <si>
    <t>회수방식</t>
  </si>
  <si>
    <t>일괄요청ID</t>
  </si>
  <si>
    <t>원배부로그ID</t>
  </si>
  <si>
    <t>b92c69fd</t>
  </si>
  <si>
    <t>일괄</t>
  </si>
  <si>
    <t>일괄회수</t>
  </si>
  <si>
    <t>56aa93e3</t>
  </si>
  <si>
    <t>a61d9e94</t>
  </si>
  <si>
    <t>61cba809</t>
  </si>
  <si>
    <t>0a60c867</t>
  </si>
  <si>
    <t>이혜진</t>
  </si>
  <si>
    <t>279d00bc</t>
  </si>
  <si>
    <t>07d1d615</t>
  </si>
  <si>
    <t>김한솔</t>
  </si>
  <si>
    <t>a6b6e50c</t>
  </si>
  <si>
    <t>7efc5dea</t>
  </si>
  <si>
    <t>개별</t>
  </si>
  <si>
    <t>e5fa72fa</t>
  </si>
  <si>
    <t>df5f5d83</t>
  </si>
  <si>
    <t>74a2cecb</t>
  </si>
  <si>
    <t>cc89bba0</t>
  </si>
  <si>
    <t>b6707ded</t>
  </si>
  <si>
    <t>b69ba0d4</t>
  </si>
  <si>
    <t>5c9ef1ef</t>
  </si>
  <si>
    <t>5f37b8d2</t>
  </si>
  <si>
    <t>f3fdebb5</t>
  </si>
  <si>
    <t>81a39261</t>
  </si>
  <si>
    <t>daa8cef9</t>
  </si>
  <si>
    <t>로그ID</t>
  </si>
  <si>
    <t>배부방식</t>
  </si>
  <si>
    <t>배부상태</t>
  </si>
  <si>
    <t>b2491d86</t>
  </si>
  <si>
    <t>배부</t>
  </si>
  <si>
    <t>cb421782</t>
  </si>
  <si>
    <t>ff09e0a1</t>
  </si>
  <si>
    <t>c9f127bf</t>
  </si>
  <si>
    <t>5a67b2b5</t>
  </si>
  <si>
    <t>e5437031</t>
  </si>
  <si>
    <t>a0fcbde6</t>
  </si>
  <si>
    <t>0a63c73f</t>
  </si>
  <si>
    <t>db555315</t>
  </si>
  <si>
    <t>cb67d984</t>
  </si>
  <si>
    <t>f0d50ff3</t>
  </si>
  <si>
    <t>b3676c5a</t>
  </si>
  <si>
    <t>d647332e</t>
  </si>
  <si>
    <t>152302fd</t>
  </si>
  <si>
    <t>6ab2bf4a</t>
  </si>
  <si>
    <t>82e3516f</t>
  </si>
  <si>
    <t>6f8a363a</t>
  </si>
  <si>
    <t>11bf6391</t>
  </si>
  <si>
    <t>1bd4454b</t>
  </si>
  <si>
    <t>19bd47d3</t>
  </si>
  <si>
    <t>088a7c57</t>
  </si>
  <si>
    <t>9137d696</t>
  </si>
  <si>
    <t>bf0b090b</t>
  </si>
  <si>
    <t>d70bd476</t>
  </si>
  <si>
    <t>39493fde</t>
  </si>
  <si>
    <t>604c33c3</t>
  </si>
  <si>
    <t>2a045267</t>
  </si>
  <si>
    <t>308ff856</t>
  </si>
  <si>
    <t>4476ff1f</t>
  </si>
  <si>
    <t>1c6d671a</t>
  </si>
  <si>
    <t>35fb11a2</t>
  </si>
  <si>
    <t>7ded633e</t>
  </si>
  <si>
    <t>71bab110</t>
  </si>
  <si>
    <t>8743c0f5</t>
  </si>
  <si>
    <t>7bf1f9f7</t>
  </si>
  <si>
    <t>07792b9a</t>
  </si>
  <si>
    <t>352f63c8</t>
  </si>
  <si>
    <t>4de5f73c</t>
  </si>
  <si>
    <t>8fe84a51</t>
  </si>
  <si>
    <t>a69bba4e</t>
  </si>
  <si>
    <t>19bb05be</t>
  </si>
  <si>
    <t>ae7a6d9f</t>
  </si>
  <si>
    <t>e75a47b7</t>
  </si>
  <si>
    <t>316f8d24</t>
  </si>
  <si>
    <t>d481f3a8</t>
  </si>
  <si>
    <t>a6fe3234</t>
  </si>
  <si>
    <t>26af8034</t>
  </si>
  <si>
    <t>d4a92240</t>
  </si>
  <si>
    <t>e5e4f6c6</t>
  </si>
  <si>
    <t>dbc0068c</t>
  </si>
  <si>
    <t>42331873</t>
  </si>
  <si>
    <t>6d5c0f50</t>
  </si>
  <si>
    <t>964a7d96</t>
  </si>
  <si>
    <t>1628cdd1</t>
  </si>
  <si>
    <t>a68997ad</t>
  </si>
  <si>
    <t>3b5025b6</t>
  </si>
  <si>
    <t>bbb89895</t>
  </si>
  <si>
    <t>b2d7c1c9</t>
  </si>
  <si>
    <t>416ca6be</t>
  </si>
  <si>
    <t>eb23d46f</t>
  </si>
  <si>
    <t>7107b201</t>
  </si>
  <si>
    <t>d5569066</t>
  </si>
  <si>
    <t>a1ad8c9f</t>
  </si>
  <si>
    <t>9c3c179f</t>
  </si>
  <si>
    <t>10fd164e</t>
  </si>
  <si>
    <t>2ec72f8f</t>
  </si>
  <si>
    <t>52dcd899</t>
  </si>
  <si>
    <t>a4dfae93</t>
  </si>
  <si>
    <t>1f8ff01e</t>
  </si>
  <si>
    <t>9160a713</t>
  </si>
  <si>
    <t>329a5640</t>
  </si>
  <si>
    <t>5c792630</t>
  </si>
  <si>
    <t>2a49fbd4</t>
  </si>
  <si>
    <t>ddc58e5b</t>
  </si>
  <si>
    <t>33ce4252</t>
  </si>
  <si>
    <t>013958d1</t>
  </si>
  <si>
    <t>c1fb332a</t>
  </si>
  <si>
    <t>18877a8c</t>
  </si>
  <si>
    <t>113173b8</t>
  </si>
  <si>
    <t>1e0ea6a5</t>
  </si>
  <si>
    <t>f1cbf2c5</t>
  </si>
  <si>
    <t>51520b94</t>
  </si>
  <si>
    <t>fe2c360d</t>
  </si>
  <si>
    <t>cfc8c0bf</t>
  </si>
  <si>
    <t>ea43b794</t>
  </si>
  <si>
    <t>f7441e59</t>
  </si>
  <si>
    <t>8341a2b4</t>
  </si>
  <si>
    <t>c09894fe</t>
  </si>
  <si>
    <t>b40aefa4</t>
  </si>
  <si>
    <t>904e9ccc</t>
  </si>
  <si>
    <t>e7f4cd42</t>
  </si>
  <si>
    <t>012e91c7</t>
  </si>
  <si>
    <t>7f5da58d</t>
  </si>
  <si>
    <t>ce794939</t>
  </si>
  <si>
    <t>ab6998a1</t>
  </si>
  <si>
    <t>17a4f650</t>
  </si>
  <si>
    <t>0cdd2e54</t>
  </si>
  <si>
    <t>3c233721</t>
  </si>
  <si>
    <t>465b059c</t>
  </si>
  <si>
    <t>53caa345</t>
  </si>
  <si>
    <t>1a4924fd</t>
  </si>
  <si>
    <t>e96f56cc</t>
  </si>
  <si>
    <t>99b154af</t>
  </si>
  <si>
    <t>ffc0e16f</t>
  </si>
  <si>
    <t>b2c988ee</t>
  </si>
  <si>
    <t>15c984cc</t>
  </si>
  <si>
    <t>57f6965a</t>
  </si>
  <si>
    <t>6a3ec68b</t>
  </si>
  <si>
    <t>105f6ee2</t>
  </si>
  <si>
    <t>b1300766</t>
  </si>
  <si>
    <t>568443c8</t>
  </si>
  <si>
    <t>d2f1c8e0</t>
  </si>
  <si>
    <t>12ddc6c3</t>
  </si>
  <si>
    <t>0bb9bb8b</t>
  </si>
  <si>
    <t>4c9c834a</t>
  </si>
  <si>
    <t>aeecc081</t>
  </si>
  <si>
    <t>c3fe7ed9</t>
  </si>
  <si>
    <t>5b81a0a5</t>
  </si>
  <si>
    <t>4d154ac4</t>
  </si>
  <si>
    <t>35ec6009</t>
  </si>
  <si>
    <t>0fbb2606</t>
  </si>
  <si>
    <t>18cb1bc2</t>
  </si>
  <si>
    <t>6af1ad39</t>
  </si>
  <si>
    <t>c75fd7a8</t>
  </si>
  <si>
    <t>b041eaef</t>
  </si>
  <si>
    <t>fdd7d345</t>
  </si>
  <si>
    <t>dfa8b541</t>
  </si>
  <si>
    <t>6c8e104d</t>
  </si>
  <si>
    <t>dcb17b8a</t>
  </si>
  <si>
    <t>1e9f4185</t>
  </si>
  <si>
    <t>9e4fd967</t>
  </si>
  <si>
    <t>eeb9f88a</t>
  </si>
  <si>
    <t>255fb693</t>
  </si>
  <si>
    <t>9c9c878f</t>
  </si>
  <si>
    <t>6cb63df5</t>
  </si>
  <si>
    <t>a0f5d1a5</t>
  </si>
  <si>
    <t>b063a3e8</t>
  </si>
  <si>
    <t>552aceca</t>
  </si>
  <si>
    <t>e92c7b17</t>
  </si>
  <si>
    <t>313450de</t>
  </si>
  <si>
    <t>b74503c4</t>
  </si>
  <si>
    <t>ff079fd6</t>
  </si>
  <si>
    <t>007a1246</t>
  </si>
  <si>
    <t>3318d767</t>
  </si>
  <si>
    <t>f7990603</t>
  </si>
  <si>
    <t>61e9893f</t>
  </si>
  <si>
    <t>0bc7fa8a</t>
  </si>
  <si>
    <t>7c5141ef</t>
  </si>
  <si>
    <t>3fafb1b2</t>
  </si>
  <si>
    <t>703b436d</t>
  </si>
  <si>
    <t>df3f61c4</t>
  </si>
  <si>
    <t>d363afba</t>
  </si>
  <si>
    <t>9c355313</t>
  </si>
  <si>
    <t>fb2a192a</t>
  </si>
  <si>
    <t>e3fc2acf</t>
  </si>
  <si>
    <t>a09c4d36</t>
  </si>
  <si>
    <t>db022754</t>
  </si>
  <si>
    <t>9036712d</t>
  </si>
  <si>
    <t>4d39a5c7</t>
  </si>
  <si>
    <t>ae80784f</t>
  </si>
  <si>
    <t>5ca92be1</t>
  </si>
  <si>
    <t>29b9737d</t>
  </si>
  <si>
    <t>f3b88994</t>
  </si>
  <si>
    <t>7725b743</t>
  </si>
  <si>
    <t>04d3d2d0</t>
  </si>
  <si>
    <t>bc81ae4e</t>
  </si>
  <si>
    <t>2ae1f011</t>
  </si>
  <si>
    <t>c92f2faf</t>
  </si>
  <si>
    <t>9e91faa7</t>
  </si>
  <si>
    <t>5e4b02fe</t>
  </si>
  <si>
    <t>ff5345af</t>
  </si>
  <si>
    <t>41b9787d</t>
  </si>
  <si>
    <t>c525e093</t>
  </si>
  <si>
    <t>abd813f9</t>
  </si>
  <si>
    <t>2f81bf4f</t>
  </si>
  <si>
    <t>7eddc7f5</t>
  </si>
  <si>
    <t>(강)기영윤7318</t>
  </si>
  <si>
    <t>b51fac1f</t>
  </si>
  <si>
    <t>09a218d4</t>
  </si>
  <si>
    <t>15236932</t>
  </si>
  <si>
    <t>4037be6e</t>
  </si>
  <si>
    <t>a1d6299a</t>
  </si>
  <si>
    <t>3ef4f35d</t>
  </si>
  <si>
    <t>72ef0652</t>
  </si>
  <si>
    <t>362191d2</t>
  </si>
  <si>
    <t>e4423a78</t>
  </si>
  <si>
    <t>83c0dcb8</t>
  </si>
  <si>
    <t>cdd8ff4d</t>
  </si>
  <si>
    <t>a4754dfe</t>
  </si>
  <si>
    <t>7b884b64</t>
  </si>
  <si>
    <t>542bdb1d</t>
  </si>
  <si>
    <t>986ab62d</t>
  </si>
  <si>
    <t>f16de461</t>
  </si>
  <si>
    <t>3b7959cc</t>
  </si>
  <si>
    <t>be866a31</t>
  </si>
  <si>
    <t>0f130da0</t>
  </si>
  <si>
    <t>caf28698</t>
  </si>
  <si>
    <t>e060ba53</t>
  </si>
  <si>
    <t>9b037dcf</t>
  </si>
  <si>
    <t>989a8520</t>
  </si>
  <si>
    <t>661cabca</t>
  </si>
  <si>
    <t>69d91651</t>
  </si>
  <si>
    <t>ada3ac9d</t>
  </si>
  <si>
    <t>ea205109</t>
  </si>
  <si>
    <t>f904cc74</t>
  </si>
  <si>
    <t>a83eb724</t>
  </si>
  <si>
    <t>6e2f8413</t>
  </si>
  <si>
    <t>8f395f17</t>
  </si>
  <si>
    <t>42de98ea</t>
  </si>
  <si>
    <t>027aae94</t>
  </si>
  <si>
    <t>e7df27eb</t>
  </si>
  <si>
    <t>1629b2d8</t>
  </si>
  <si>
    <t>33309599</t>
  </si>
  <si>
    <t>5ce0402c</t>
  </si>
  <si>
    <t>4eccbd90</t>
  </si>
  <si>
    <t>f201c35f</t>
  </si>
  <si>
    <t>c51d3ba2</t>
  </si>
  <si>
    <t>18b53ace</t>
  </si>
  <si>
    <t>c7c748a8</t>
  </si>
  <si>
    <t>fc5afb53</t>
  </si>
  <si>
    <t>c4221bd6</t>
  </si>
  <si>
    <t>b9b5f7dc</t>
  </si>
  <si>
    <t>e9921289</t>
  </si>
  <si>
    <t>1dd48e44</t>
  </si>
  <si>
    <t>baa663f4</t>
  </si>
  <si>
    <t>ddc67f1f</t>
  </si>
  <si>
    <t>e173c998</t>
  </si>
  <si>
    <t>13fc4372</t>
  </si>
  <si>
    <t>35de2a92</t>
  </si>
  <si>
    <t>c3a326b3</t>
  </si>
  <si>
    <t>f00bb69c</t>
  </si>
  <si>
    <t>01a1c0dc</t>
  </si>
  <si>
    <t>23cccb51</t>
  </si>
  <si>
    <t>ed0ba3f8</t>
  </si>
  <si>
    <t>6d40bfe1</t>
  </si>
  <si>
    <t>cab80ca2</t>
  </si>
  <si>
    <t>e65adedc</t>
  </si>
  <si>
    <t>6cc8c3a9</t>
  </si>
  <si>
    <t>9d0e81ff</t>
  </si>
  <si>
    <t>4bd5823f</t>
  </si>
  <si>
    <t>d8b690dc</t>
  </si>
  <si>
    <t>bd961911</t>
  </si>
  <si>
    <t>78243794</t>
  </si>
  <si>
    <t>c09730b4</t>
  </si>
  <si>
    <t>e88aefd6</t>
  </si>
  <si>
    <t>(베)윤지윤8166</t>
  </si>
  <si>
    <t>ddb7b4e3</t>
  </si>
  <si>
    <t>6794e0b7</t>
  </si>
  <si>
    <t>ba2073d8</t>
  </si>
  <si>
    <t>3da7c442</t>
  </si>
  <si>
    <t>2ced1186</t>
  </si>
  <si>
    <t>aa6469fe</t>
  </si>
  <si>
    <t>827e34cd</t>
  </si>
  <si>
    <t>38792fa7</t>
  </si>
  <si>
    <t>c860d3fa</t>
  </si>
  <si>
    <t>e3cfe621</t>
  </si>
  <si>
    <t>f3bdf3dd</t>
  </si>
  <si>
    <t>d50ab2d6</t>
  </si>
  <si>
    <t>2ca33d03</t>
  </si>
  <si>
    <t>ecb183cf</t>
  </si>
  <si>
    <t>076bc7b4</t>
  </si>
  <si>
    <t>32cdccf6</t>
  </si>
  <si>
    <t>4f4723bf</t>
  </si>
  <si>
    <t>(선)이준혁1947</t>
  </si>
  <si>
    <t>ba06dbfb</t>
  </si>
  <si>
    <t>1c12d8bb</t>
  </si>
  <si>
    <t>b29b2054</t>
  </si>
  <si>
    <t>29a25c25</t>
  </si>
  <si>
    <t>bed74899</t>
  </si>
  <si>
    <t>12044aaf</t>
  </si>
  <si>
    <t>c63ca54a</t>
  </si>
  <si>
    <t>48745031</t>
  </si>
  <si>
    <t>e3bf2c0c</t>
  </si>
  <si>
    <t>11420143</t>
  </si>
  <si>
    <t>0625daf3</t>
  </si>
  <si>
    <t>c5d2451f</t>
  </si>
  <si>
    <t>5705475e</t>
  </si>
  <si>
    <t>60c95bfe</t>
  </si>
  <si>
    <t>4238780f</t>
  </si>
  <si>
    <t>7056919a</t>
  </si>
  <si>
    <t>dea7af24</t>
  </si>
  <si>
    <t>56584c8f</t>
  </si>
  <si>
    <t>acf528cf</t>
  </si>
  <si>
    <t>ab087257</t>
  </si>
  <si>
    <t>bdd8c659</t>
  </si>
  <si>
    <t>854aae3d</t>
  </si>
  <si>
    <t>eb792849</t>
  </si>
  <si>
    <t>9e387b48</t>
  </si>
  <si>
    <t>79e500ed</t>
  </si>
  <si>
    <t>6a4bf07a</t>
  </si>
  <si>
    <t>85c5be07</t>
  </si>
  <si>
    <t>1a5382ba</t>
  </si>
  <si>
    <t>d028b17c</t>
  </si>
  <si>
    <t>171858ac</t>
  </si>
  <si>
    <t>09ef2e47</t>
  </si>
  <si>
    <t>6ef335ea</t>
  </si>
  <si>
    <t>1d658878</t>
  </si>
  <si>
    <t>5c67a82e</t>
  </si>
  <si>
    <t>8f7aac75</t>
  </si>
  <si>
    <t>23bce9f1</t>
  </si>
  <si>
    <t>c7e16150</t>
  </si>
  <si>
    <t>f65fdac5</t>
  </si>
  <si>
    <t>3fcfd86d</t>
  </si>
  <si>
    <t>34b4061e</t>
  </si>
  <si>
    <t>8c5df735</t>
  </si>
  <si>
    <t>0cab2a31</t>
  </si>
  <si>
    <t>e5a544f6</t>
  </si>
  <si>
    <t>e3d6c335</t>
  </si>
  <si>
    <t>ed51f783</t>
  </si>
  <si>
    <t>a198f135</t>
  </si>
  <si>
    <t>82cb03bd</t>
  </si>
  <si>
    <t>a97ea5d6</t>
  </si>
  <si>
    <t>26ff5982</t>
  </si>
  <si>
    <t>4c7dcec0</t>
  </si>
  <si>
    <t>4b7055ee</t>
  </si>
  <si>
    <t>5ed0e982</t>
  </si>
  <si>
    <t>185ce8c1</t>
  </si>
  <si>
    <t>0496ae51</t>
  </si>
  <si>
    <t>d4294f8c</t>
  </si>
  <si>
    <t>d0f0612d</t>
  </si>
  <si>
    <t>a2ad2a9f</t>
  </si>
  <si>
    <t>bb69634b</t>
  </si>
  <si>
    <t>919bfaa4</t>
  </si>
  <si>
    <t>7e9e5b83</t>
  </si>
  <si>
    <t>38f9da73</t>
  </si>
  <si>
    <t>3ab1dc49</t>
  </si>
  <si>
    <t>a4558e9d</t>
  </si>
  <si>
    <t>876ef55e</t>
  </si>
  <si>
    <t>f71be2f9</t>
  </si>
  <si>
    <t>ed1b4445</t>
  </si>
  <si>
    <t>9e098ee3</t>
  </si>
  <si>
    <t>1af70456</t>
  </si>
  <si>
    <t>18c50aeb</t>
  </si>
  <si>
    <t>e40042eb</t>
  </si>
  <si>
    <t>228be9b7</t>
  </si>
  <si>
    <t>d422b830</t>
  </si>
  <si>
    <t>cdff5a63</t>
  </si>
  <si>
    <t>d7a4604d</t>
  </si>
  <si>
    <t>8f1e2d9a</t>
  </si>
  <si>
    <t>beafe8a6</t>
  </si>
  <si>
    <t>c822dcd9</t>
  </si>
  <si>
    <t>e5d399b2</t>
  </si>
  <si>
    <t>fe3b2f12</t>
  </si>
  <si>
    <t>49cf13f1</t>
  </si>
  <si>
    <t>de22bbd0</t>
  </si>
  <si>
    <t>20d99e74</t>
  </si>
  <si>
    <t>b687e8c6</t>
  </si>
  <si>
    <t>18d4a0f6</t>
  </si>
  <si>
    <t>d004c7df</t>
  </si>
  <si>
    <t>b9cf048f</t>
  </si>
  <si>
    <t>72706feb</t>
  </si>
  <si>
    <t>97a3c0da</t>
  </si>
  <si>
    <t>150513fd</t>
  </si>
  <si>
    <t>20749d22</t>
  </si>
  <si>
    <t>e77ba1fd</t>
  </si>
  <si>
    <t>e6989f7c</t>
  </si>
  <si>
    <t>576ac8ae</t>
  </si>
  <si>
    <t>6f841db9</t>
  </si>
  <si>
    <t>14fc9f9d</t>
  </si>
  <si>
    <t>bb1f77d1</t>
  </si>
  <si>
    <t>7a58cf2a</t>
  </si>
  <si>
    <t>b4705f15</t>
  </si>
  <si>
    <t>7afa125a</t>
  </si>
  <si>
    <t>411ffb1d</t>
  </si>
  <si>
    <t>10b09edc</t>
  </si>
  <si>
    <t>5a7f5e99</t>
  </si>
  <si>
    <t>919a811a</t>
  </si>
  <si>
    <t>f65c47ae</t>
  </si>
  <si>
    <t>9b9c6bb2</t>
  </si>
  <si>
    <t>08fed856</t>
  </si>
  <si>
    <t>6088d21a</t>
  </si>
  <si>
    <t>872c31b2</t>
  </si>
  <si>
    <t>6dc6af4e</t>
  </si>
  <si>
    <t>1a74e34c</t>
  </si>
  <si>
    <t>97170905</t>
  </si>
  <si>
    <t>9caa7728</t>
  </si>
  <si>
    <t>544587ce</t>
  </si>
  <si>
    <t>b2655792</t>
  </si>
  <si>
    <t>(에)정현우7348</t>
  </si>
  <si>
    <t>ed0de281</t>
  </si>
  <si>
    <t>(에)최현태6875</t>
  </si>
  <si>
    <t>b13ee63b</t>
  </si>
  <si>
    <t>027eb592</t>
  </si>
  <si>
    <t>ee079220</t>
  </si>
  <si>
    <t>7a2a98cc</t>
  </si>
  <si>
    <t>09609a75</t>
  </si>
  <si>
    <t>5c7312f5</t>
  </si>
  <si>
    <t>a8b7fe63</t>
  </si>
  <si>
    <t>b825ceef</t>
  </si>
  <si>
    <t>28c15648</t>
  </si>
  <si>
    <t>c753e3e5</t>
  </si>
  <si>
    <t>7f805caf</t>
  </si>
  <si>
    <t>538c1e99</t>
  </si>
  <si>
    <t>34ee7124</t>
  </si>
  <si>
    <t>ba57afbf</t>
  </si>
  <si>
    <t>fabc76e2</t>
  </si>
  <si>
    <t>47e9dff6</t>
  </si>
  <si>
    <t>ee473d30</t>
  </si>
  <si>
    <t>d5b5b9c9</t>
  </si>
  <si>
    <t>be06b179</t>
  </si>
  <si>
    <t>9d34256a</t>
  </si>
  <si>
    <t>feb7798e</t>
  </si>
  <si>
    <t>ff23dca4</t>
  </si>
  <si>
    <t>(정)황승우8942</t>
  </si>
  <si>
    <t>91312dda</t>
  </si>
  <si>
    <t>2a19a3cb</t>
  </si>
  <si>
    <t>583f1a7e</t>
  </si>
  <si>
    <t>5c5db98e</t>
  </si>
  <si>
    <t>c6c10768</t>
  </si>
  <si>
    <t>1d755f6d</t>
  </si>
  <si>
    <t>fc5aa0c7</t>
  </si>
  <si>
    <t>1481735e</t>
  </si>
  <si>
    <t>4526a7ee</t>
  </si>
  <si>
    <t>cd1f077f</t>
  </si>
  <si>
    <t>d9ea8468</t>
  </si>
  <si>
    <t>b7a764be</t>
  </si>
  <si>
    <t>bdf03efe</t>
  </si>
  <si>
    <t>a242f3bd</t>
  </si>
  <si>
    <t>2c5a944c</t>
  </si>
  <si>
    <t>64c61431</t>
  </si>
  <si>
    <t>fe9ea73c</t>
  </si>
  <si>
    <t>e61e6384</t>
  </si>
  <si>
    <t>779e2ea2</t>
  </si>
  <si>
    <t>c0b6b8d7</t>
  </si>
  <si>
    <t>2db53a43</t>
  </si>
  <si>
    <t>bf564e8f</t>
  </si>
  <si>
    <t>59021700</t>
  </si>
  <si>
    <t>ce1ba0bd</t>
  </si>
  <si>
    <t>306f3057</t>
  </si>
  <si>
    <t>5d4d2d4f</t>
  </si>
  <si>
    <t>a5a4dffe</t>
  </si>
  <si>
    <t>faa90d38</t>
  </si>
  <si>
    <t>a564afc5</t>
  </si>
  <si>
    <t>(훼)문성빈6175</t>
  </si>
  <si>
    <t>14dc9e84</t>
  </si>
  <si>
    <t>c16f7092</t>
  </si>
  <si>
    <t>8d3ff563</t>
  </si>
  <si>
    <t>d2c00a2d</t>
  </si>
  <si>
    <t>e4821068</t>
  </si>
  <si>
    <t>1f43259e</t>
  </si>
  <si>
    <t>d8bf683f</t>
  </si>
  <si>
    <t>41ecce8d</t>
  </si>
  <si>
    <t>2793e9ff</t>
  </si>
  <si>
    <t>013342c5</t>
  </si>
  <si>
    <t>118f71fd</t>
  </si>
  <si>
    <t>f39dc92d</t>
  </si>
  <si>
    <t>5d372e0f</t>
  </si>
  <si>
    <t>8b6023a4</t>
  </si>
  <si>
    <t>7426ecf5</t>
  </si>
  <si>
    <t>d3c74ec1</t>
  </si>
  <si>
    <t>4c6c024d</t>
  </si>
  <si>
    <t>2c3c79d6</t>
  </si>
  <si>
    <t>e6989e08</t>
  </si>
  <si>
    <t>40cf53f9</t>
  </si>
  <si>
    <t>84bb0297</t>
  </si>
  <si>
    <t>d7d464b5</t>
  </si>
  <si>
    <t>3ae97ea1</t>
  </si>
  <si>
    <t>37243cf7</t>
  </si>
  <si>
    <t>a919634d</t>
  </si>
  <si>
    <t>65328dd0</t>
  </si>
  <si>
    <t>ba8aba05</t>
  </si>
  <si>
    <t>12b005bb</t>
  </si>
  <si>
    <t>dae6dc45</t>
  </si>
  <si>
    <t>0d84fe57</t>
  </si>
  <si>
    <t>bfd62e89</t>
  </si>
  <si>
    <t>ffd26563</t>
  </si>
  <si>
    <t>00374c75</t>
  </si>
  <si>
    <t>53c4eb8a</t>
  </si>
  <si>
    <t>c90422e8</t>
  </si>
  <si>
    <t>0e9495b4</t>
  </si>
  <si>
    <t>27845cdd</t>
  </si>
  <si>
    <t>873c82dd</t>
  </si>
  <si>
    <t>c1f9ea54</t>
  </si>
  <si>
    <t>3d86b791</t>
  </si>
  <si>
    <t>ef7f97a2</t>
  </si>
  <si>
    <t>9c5942ce</t>
  </si>
  <si>
    <t>61b61389</t>
  </si>
  <si>
    <t>ca733adc</t>
  </si>
  <si>
    <t>69ab4d78</t>
  </si>
  <si>
    <t>f48a2683</t>
  </si>
  <si>
    <t>e63b9df0</t>
  </si>
  <si>
    <t>491576ca</t>
  </si>
  <si>
    <t>3d203206</t>
  </si>
  <si>
    <t>972105c1</t>
  </si>
  <si>
    <t>26c4d87b</t>
  </si>
  <si>
    <t>3062c9f5</t>
  </si>
  <si>
    <t>3b6d211c</t>
  </si>
  <si>
    <t>661df48c</t>
  </si>
  <si>
    <t>d3c1a25c</t>
  </si>
  <si>
    <t>e44f3977</t>
  </si>
  <si>
    <t>af8003fe</t>
  </si>
  <si>
    <t>75ed84b8</t>
  </si>
  <si>
    <t>8afbc414</t>
  </si>
  <si>
    <t>127b7a42</t>
  </si>
  <si>
    <t>5ec8dcca</t>
  </si>
  <si>
    <t>b9e91af3</t>
  </si>
  <si>
    <t>192803cc</t>
  </si>
  <si>
    <t>7c119833</t>
  </si>
  <si>
    <t>fb542797</t>
  </si>
  <si>
    <t>2e99ab74</t>
  </si>
  <si>
    <t>42518af3</t>
  </si>
  <si>
    <t>2700ad97</t>
  </si>
  <si>
    <t>dc4d496c</t>
  </si>
  <si>
    <t>2b42ecb3</t>
  </si>
  <si>
    <t>98c7975e</t>
  </si>
  <si>
    <t>8c2d5241</t>
  </si>
  <si>
    <t>ac1ed1e9</t>
  </si>
  <si>
    <t>dcb952b2</t>
  </si>
  <si>
    <t>4ccd8479</t>
  </si>
  <si>
    <t>c3170da7</t>
  </si>
  <si>
    <t>bdcceb29</t>
  </si>
  <si>
    <t>af6f74be</t>
  </si>
  <si>
    <t>3c43effd</t>
  </si>
  <si>
    <t>562eeb97</t>
  </si>
  <si>
    <t>a5e54eac</t>
  </si>
  <si>
    <t>edeb85c2</t>
  </si>
  <si>
    <t>734c0b55</t>
  </si>
  <si>
    <t>4cdebc52</t>
  </si>
  <si>
    <t>40d71519</t>
  </si>
  <si>
    <t>b428ea79</t>
  </si>
  <si>
    <t>dc3cafcd</t>
  </si>
  <si>
    <t>7e1f787f</t>
  </si>
  <si>
    <t>78e7eb10</t>
  </si>
  <si>
    <t>658550ac</t>
  </si>
  <si>
    <t>784d31c9</t>
  </si>
  <si>
    <t>3315bcd8</t>
  </si>
  <si>
    <t>b544ef71</t>
  </si>
  <si>
    <t>2fe23432</t>
  </si>
  <si>
    <t>b814daf0</t>
  </si>
  <si>
    <t>96c95cb6</t>
  </si>
  <si>
    <t>0deb7643</t>
  </si>
  <si>
    <t>0715c433</t>
  </si>
  <si>
    <t>f064af23</t>
  </si>
  <si>
    <t>49901e0d</t>
  </si>
  <si>
    <t>a25a96f0</t>
  </si>
  <si>
    <t>ef16a182</t>
  </si>
  <si>
    <t>6749c862</t>
  </si>
  <si>
    <t>29c905c5</t>
  </si>
  <si>
    <t>d0536792</t>
  </si>
  <si>
    <t>4beb2c34</t>
  </si>
  <si>
    <t>76abe15e</t>
  </si>
  <si>
    <t>bcfba618</t>
  </si>
  <si>
    <t>48ed4ca4</t>
  </si>
  <si>
    <t>9e5adbab</t>
  </si>
  <si>
    <t>c23305bf</t>
  </si>
  <si>
    <t>0df60dd2</t>
  </si>
  <si>
    <t>fa7d610e</t>
  </si>
  <si>
    <t>97b365c0</t>
  </si>
  <si>
    <t>94a3cc76</t>
  </si>
  <si>
    <t>f564390f</t>
  </si>
  <si>
    <t>f38a519c</t>
  </si>
  <si>
    <t>4b15659d</t>
  </si>
  <si>
    <t>b4ab103c</t>
  </si>
  <si>
    <t>37ef1548</t>
  </si>
  <si>
    <t>e3a29b8b</t>
  </si>
  <si>
    <t>818d75ee</t>
  </si>
  <si>
    <t>5dfa109b</t>
  </si>
  <si>
    <t>2f1aef1b</t>
  </si>
  <si>
    <t>74bb945e</t>
  </si>
  <si>
    <t>4032581b</t>
  </si>
  <si>
    <t>f57da940</t>
  </si>
  <si>
    <t>1caeab4a</t>
  </si>
  <si>
    <t>92f5e551</t>
  </si>
  <si>
    <t>a3bf22ba</t>
  </si>
  <si>
    <t>12521b41</t>
  </si>
  <si>
    <t>708ff823</t>
  </si>
  <si>
    <t>aa964c77</t>
  </si>
  <si>
    <t>f7bca73a</t>
  </si>
  <si>
    <t>90245705</t>
  </si>
  <si>
    <t>1d9cf0df</t>
  </si>
  <si>
    <t>bfa4fac3</t>
  </si>
  <si>
    <t>0c6cebb1</t>
  </si>
  <si>
    <t>5f274d37</t>
  </si>
  <si>
    <t>bfe8e673</t>
  </si>
  <si>
    <t>9fbea445</t>
  </si>
  <si>
    <t>a0899f49</t>
  </si>
  <si>
    <t>bb391086</t>
  </si>
  <si>
    <t>23e7217d</t>
  </si>
  <si>
    <t>a95a4522</t>
  </si>
  <si>
    <t>e45f7286</t>
  </si>
  <si>
    <t>fe01a3c1</t>
  </si>
  <si>
    <t>103c93b2</t>
  </si>
  <si>
    <t>30b88095</t>
  </si>
  <si>
    <t>5e14e1b5</t>
  </si>
  <si>
    <t>4cacdca8</t>
  </si>
  <si>
    <t>9d405ee0</t>
  </si>
  <si>
    <t>e5409e5d</t>
  </si>
  <si>
    <t>12c62933</t>
  </si>
  <si>
    <t>1c43d04a</t>
  </si>
  <si>
    <t>518e16fb</t>
  </si>
  <si>
    <t>ce1e34a4</t>
  </si>
  <si>
    <t>0ed8742e</t>
  </si>
  <si>
    <t>a830d420</t>
  </si>
  <si>
    <t>0d86122d</t>
  </si>
  <si>
    <t>8dcbefe0</t>
  </si>
  <si>
    <t>f57105e7</t>
  </si>
  <si>
    <t>1e843a4e</t>
  </si>
  <si>
    <t>7203f566</t>
  </si>
  <si>
    <t>71b7a740</t>
  </si>
  <si>
    <t>49be8429</t>
  </si>
  <si>
    <t>1b8f3862</t>
  </si>
  <si>
    <t>c019cfc3</t>
  </si>
  <si>
    <t>56d1223c</t>
  </si>
  <si>
    <t>c68bde0b</t>
  </si>
  <si>
    <t>53befb14</t>
  </si>
  <si>
    <t>6c76291c</t>
  </si>
  <si>
    <t>afd6a201</t>
  </si>
  <si>
    <t>cec1bb8a</t>
  </si>
  <si>
    <t>69df957b</t>
  </si>
  <si>
    <t>e2a4576c</t>
  </si>
  <si>
    <t>eccc80a1</t>
  </si>
  <si>
    <t>9bd48b51</t>
  </si>
  <si>
    <t>ed1c5aca</t>
  </si>
  <si>
    <t>ce3a2dfa</t>
  </si>
  <si>
    <t>bbe61b95</t>
  </si>
  <si>
    <t>2e33dba9</t>
  </si>
  <si>
    <t>ae6c1066</t>
  </si>
  <si>
    <t>17817830</t>
  </si>
  <si>
    <t>11620368</t>
  </si>
  <si>
    <t>1bb3233d</t>
  </si>
  <si>
    <t>6b343af3</t>
  </si>
  <si>
    <t>b8082beb</t>
  </si>
  <si>
    <t>6773e2cd</t>
  </si>
  <si>
    <t>5d9fe8f6</t>
  </si>
  <si>
    <t>신정욱4570</t>
  </si>
  <si>
    <t>cd4274e9</t>
  </si>
  <si>
    <t>7562dda9</t>
  </si>
  <si>
    <t>3fa1d032</t>
  </si>
  <si>
    <t>a8cf9a14</t>
  </si>
  <si>
    <t>3e615d62</t>
  </si>
  <si>
    <t>b29da717</t>
  </si>
  <si>
    <t>3158a30d</t>
  </si>
  <si>
    <t>28c38885</t>
  </si>
  <si>
    <t>6737be37</t>
  </si>
  <si>
    <t>457c62ff</t>
  </si>
  <si>
    <t>553d6706</t>
  </si>
  <si>
    <t>7f073c78</t>
  </si>
  <si>
    <t>ba040004</t>
  </si>
  <si>
    <t>6445acad</t>
  </si>
  <si>
    <t>49b762a6</t>
  </si>
  <si>
    <t>ec7758ec</t>
  </si>
  <si>
    <t>38b3b4b9</t>
  </si>
  <si>
    <t>5b0f0ee2</t>
  </si>
  <si>
    <t>526ef041</t>
  </si>
  <si>
    <t>1e7e7f07</t>
  </si>
  <si>
    <t>988e09ce</t>
  </si>
  <si>
    <t>8da80ea6</t>
  </si>
  <si>
    <t>5a0ee6cb</t>
  </si>
  <si>
    <t>1d78fae8</t>
  </si>
  <si>
    <t>bc37a621</t>
  </si>
  <si>
    <t>efd2fd2b</t>
  </si>
  <si>
    <t>d728fe01</t>
  </si>
  <si>
    <t>e5249f76</t>
  </si>
  <si>
    <t>951308fb</t>
  </si>
  <si>
    <t>603f9625</t>
  </si>
  <si>
    <t>dc92eecd</t>
  </si>
  <si>
    <t>b5ad3ce2</t>
  </si>
  <si>
    <t>9021812f</t>
  </si>
  <si>
    <t>5632f54d</t>
  </si>
  <si>
    <t>d06388b0</t>
  </si>
  <si>
    <t>d3dcab01</t>
  </si>
  <si>
    <t>35bb21db</t>
  </si>
  <si>
    <t>6f9354e4</t>
  </si>
  <si>
    <t>cd066000</t>
  </si>
  <si>
    <t>ea9e2106</t>
  </si>
  <si>
    <t>ec275376</t>
  </si>
  <si>
    <t>36e15ec3</t>
  </si>
  <si>
    <t>3436f033</t>
  </si>
  <si>
    <t>이민성0795</t>
  </si>
  <si>
    <t>a0e336fc</t>
  </si>
  <si>
    <t>682bfed8</t>
  </si>
  <si>
    <t>2682bbc4</t>
  </si>
  <si>
    <t>a441096d</t>
  </si>
  <si>
    <t>a2fc89db</t>
  </si>
  <si>
    <t>ee643816</t>
  </si>
  <si>
    <t>72242640</t>
  </si>
  <si>
    <t>3f276452</t>
  </si>
  <si>
    <t>0df92a35</t>
  </si>
  <si>
    <t>205337d8</t>
  </si>
  <si>
    <t>f4bad627</t>
  </si>
  <si>
    <t>8530ef8b</t>
  </si>
  <si>
    <t>f644f9e7</t>
  </si>
  <si>
    <t>293deb89</t>
  </si>
  <si>
    <t>fcf41d3e</t>
  </si>
  <si>
    <t>19ee1079</t>
  </si>
  <si>
    <t>5737ec38</t>
  </si>
  <si>
    <t>53c20f88</t>
  </si>
  <si>
    <t>e9b06f93</t>
  </si>
  <si>
    <t>100f5cdf</t>
  </si>
  <si>
    <t>987c863d</t>
  </si>
  <si>
    <t>604d22c6</t>
  </si>
  <si>
    <t>84a38c48</t>
  </si>
  <si>
    <t>이정윤3714</t>
  </si>
  <si>
    <t>046f894c</t>
  </si>
  <si>
    <t>d31f1b4f</t>
  </si>
  <si>
    <t>48c727e7</t>
  </si>
  <si>
    <t>9a591288</t>
  </si>
  <si>
    <t>14f67ff0</t>
  </si>
  <si>
    <t>d8879d56</t>
  </si>
  <si>
    <t>fca9d912</t>
  </si>
  <si>
    <t>112500ad</t>
  </si>
  <si>
    <t>e338184a</t>
  </si>
  <si>
    <t>846ce907</t>
  </si>
  <si>
    <t>567c3a41</t>
  </si>
  <si>
    <t>2fc96ef0</t>
  </si>
  <si>
    <t>67abc191</t>
  </si>
  <si>
    <t>022f8909</t>
  </si>
  <si>
    <t>e32b2f16</t>
  </si>
  <si>
    <t>c67f5eff</t>
  </si>
  <si>
    <t>42e2c14c</t>
  </si>
  <si>
    <t>96bae539</t>
  </si>
  <si>
    <t>ce8595d5</t>
  </si>
  <si>
    <t>1e03c86b</t>
  </si>
  <si>
    <t>a4fc8f7b</t>
  </si>
  <si>
    <t>15636bdb</t>
  </si>
  <si>
    <t>7a949649</t>
  </si>
  <si>
    <t>32c399f3</t>
  </si>
  <si>
    <t>cb1df897</t>
  </si>
  <si>
    <t>245b3851</t>
  </si>
  <si>
    <t>4eddd9de</t>
  </si>
  <si>
    <t>f5f01156</t>
  </si>
  <si>
    <t>a752fa81</t>
  </si>
  <si>
    <t>이후영1558</t>
  </si>
  <si>
    <t>8b9b05ec</t>
  </si>
  <si>
    <t>b1990562</t>
  </si>
  <si>
    <t>acb926a4</t>
  </si>
  <si>
    <t>12928762</t>
  </si>
  <si>
    <t>6d52ea09</t>
  </si>
  <si>
    <t>692f8e15</t>
  </si>
  <si>
    <t>c403e8d4</t>
  </si>
  <si>
    <t>033681da</t>
  </si>
  <si>
    <t>53a36b63</t>
  </si>
  <si>
    <t>18c03e50</t>
  </si>
  <si>
    <t>9a943bab</t>
  </si>
  <si>
    <t>fb7a49d8</t>
  </si>
  <si>
    <t>746d5ece</t>
  </si>
  <si>
    <t>9d137ac6</t>
  </si>
  <si>
    <t>31a97f45</t>
  </si>
  <si>
    <t>9ddcd356</t>
  </si>
  <si>
    <t>26e1f01f</t>
  </si>
  <si>
    <t>75dcc73c</t>
  </si>
  <si>
    <t>ce594bdc</t>
  </si>
  <si>
    <t>9abd2b78</t>
  </si>
  <si>
    <t>23b1cb8a</t>
  </si>
  <si>
    <t>80d04ade</t>
  </si>
  <si>
    <t>0d9c9fb7</t>
  </si>
  <si>
    <t>f080d7f6</t>
  </si>
  <si>
    <t>f766b2b5</t>
  </si>
  <si>
    <t>78fc4e8d</t>
  </si>
  <si>
    <t>be81ffbc</t>
  </si>
  <si>
    <t>4793704f</t>
  </si>
  <si>
    <t>012a8135</t>
  </si>
  <si>
    <t>a645fc81</t>
  </si>
  <si>
    <t>0668e9d5</t>
  </si>
  <si>
    <t>8cb0a71f</t>
  </si>
  <si>
    <t>5dd6289a</t>
  </si>
  <si>
    <t>f6682e91</t>
  </si>
  <si>
    <t>56d30019</t>
  </si>
  <si>
    <t>d9a9bc25</t>
  </si>
  <si>
    <t>574fa91a</t>
  </si>
  <si>
    <t>eed8bc8d</t>
  </si>
  <si>
    <t>1eab7ce8</t>
  </si>
  <si>
    <t>5038ecb3</t>
  </si>
  <si>
    <t>4b5cea13</t>
  </si>
  <si>
    <t>f9745361</t>
  </si>
  <si>
    <t>4d1588c8</t>
  </si>
  <si>
    <t>4e8e8755</t>
  </si>
  <si>
    <t>70126146</t>
  </si>
  <si>
    <t>81a46c92</t>
  </si>
  <si>
    <t>340f54d2</t>
  </si>
  <si>
    <t>33192ce0</t>
  </si>
  <si>
    <t>8c8ab275</t>
  </si>
  <si>
    <t>ad47e4fe</t>
  </si>
  <si>
    <t>e859723e</t>
  </si>
  <si>
    <t>5a208f7e</t>
  </si>
  <si>
    <t>c9c419d6</t>
  </si>
  <si>
    <t>1bc3d9a6</t>
  </si>
  <si>
    <t>e16fb381</t>
  </si>
  <si>
    <t>6d906cbd</t>
  </si>
  <si>
    <t>a0e6d5b5</t>
  </si>
  <si>
    <t>b7f917db</t>
  </si>
  <si>
    <t>c0442e3a</t>
  </si>
  <si>
    <t>eb242f37</t>
  </si>
  <si>
    <t>5ee9328a</t>
  </si>
  <si>
    <t>bb19c07a</t>
  </si>
  <si>
    <t>66d6cd57</t>
  </si>
  <si>
    <t>7f1540ae</t>
  </si>
  <si>
    <t>e1ae5d4c</t>
  </si>
  <si>
    <t>f5a873bb</t>
  </si>
  <si>
    <t>3b2ecc24</t>
  </si>
  <si>
    <t>cd153b58</t>
  </si>
  <si>
    <t>최우주2739</t>
  </si>
  <si>
    <t>8337dd9a</t>
  </si>
  <si>
    <t>df83fbfd</t>
  </si>
  <si>
    <t>969359ce</t>
  </si>
  <si>
    <t>d8631ef7</t>
  </si>
  <si>
    <t>70eef762</t>
  </si>
  <si>
    <t>06ea45b2</t>
  </si>
  <si>
    <t>84f93ab5</t>
  </si>
  <si>
    <t>60395e2d</t>
  </si>
  <si>
    <t>a3ecaff5</t>
  </si>
  <si>
    <t>2b7eb790</t>
  </si>
  <si>
    <t>a551f342</t>
  </si>
  <si>
    <t>9047cfdf</t>
  </si>
  <si>
    <t>2464d7a2</t>
  </si>
  <si>
    <t>2ad0857b</t>
  </si>
  <si>
    <t>5c9b63a1</t>
  </si>
  <si>
    <t>2783047c</t>
  </si>
  <si>
    <t>6803f522</t>
  </si>
  <si>
    <t>f67311cb</t>
  </si>
  <si>
    <t>dfa8e06d</t>
  </si>
  <si>
    <t>32ff5665</t>
  </si>
  <si>
    <t>e6f060fa</t>
  </si>
  <si>
    <t>69c1427b</t>
  </si>
  <si>
    <t>fd7db53e</t>
  </si>
  <si>
    <t>f7803764</t>
  </si>
  <si>
    <t>78da6bff</t>
  </si>
  <si>
    <t>71d08580</t>
  </si>
  <si>
    <t>700d3e73</t>
  </si>
  <si>
    <t>84e7893d</t>
  </si>
  <si>
    <t>99debe41</t>
  </si>
  <si>
    <t>568d70f3</t>
  </si>
  <si>
    <t>5bb31602</t>
  </si>
  <si>
    <t>135ff3ff</t>
  </si>
  <si>
    <t>cdc49062</t>
  </si>
  <si>
    <t>085d0a8c</t>
  </si>
  <si>
    <t>44f65cd6</t>
  </si>
  <si>
    <t>861a3028</t>
  </si>
  <si>
    <t>ce9f1068</t>
  </si>
  <si>
    <t>d0a82d6c</t>
  </si>
  <si>
    <t>b557f485</t>
  </si>
  <si>
    <t>ab293b29</t>
  </si>
  <si>
    <t>61366ae5</t>
  </si>
  <si>
    <t>f78bdf4a</t>
  </si>
  <si>
    <t>6ca53544</t>
  </si>
  <si>
    <t>6cae397d</t>
  </si>
  <si>
    <t>e36da755</t>
  </si>
  <si>
    <t>0b60cfcd</t>
  </si>
  <si>
    <t>5ed5f33d</t>
  </si>
  <si>
    <t>1f6e4c48</t>
  </si>
  <si>
    <t>a9e79fb9</t>
  </si>
  <si>
    <t>7697ef32</t>
  </si>
  <si>
    <t>97fe1434</t>
  </si>
  <si>
    <t>80aae470</t>
  </si>
  <si>
    <t>764b6823</t>
  </si>
  <si>
    <t>5b82a88c</t>
  </si>
  <si>
    <t>3019be5d</t>
  </si>
  <si>
    <t>2f45abc8</t>
  </si>
  <si>
    <t>385586d1</t>
  </si>
  <si>
    <t>2c6a80ef</t>
  </si>
  <si>
    <t>5a808fc5</t>
  </si>
  <si>
    <t>4011c4f6</t>
  </si>
  <si>
    <t>01eec486</t>
  </si>
  <si>
    <t>d7733d50</t>
  </si>
  <si>
    <t>8ea52e40</t>
  </si>
  <si>
    <t>dad09f4b</t>
  </si>
  <si>
    <t>2f7a239b</t>
  </si>
  <si>
    <t>3469fa6b</t>
  </si>
  <si>
    <t>0bcf87b5</t>
  </si>
  <si>
    <t>bbbe5d5e</t>
  </si>
  <si>
    <t>75169b25</t>
  </si>
  <si>
    <t>c2c8e68b</t>
  </si>
  <si>
    <t>3812b9fa</t>
  </si>
  <si>
    <t>4ccfd30d</t>
  </si>
  <si>
    <t>9e569e9e</t>
  </si>
  <si>
    <t>d2043f73</t>
  </si>
  <si>
    <t>cab89f65</t>
  </si>
  <si>
    <t>1de36a9f</t>
  </si>
  <si>
    <t>1a947d73</t>
  </si>
  <si>
    <t>f729efa7</t>
  </si>
  <si>
    <t>cca054e5</t>
  </si>
  <si>
    <t>098bee19</t>
  </si>
  <si>
    <t>b6fe5919</t>
  </si>
  <si>
    <t>eafd6b02</t>
  </si>
  <si>
    <t>29adb15e</t>
  </si>
  <si>
    <t>a72360d2</t>
  </si>
  <si>
    <t>d0ba5df5</t>
  </si>
  <si>
    <t>553384ce</t>
  </si>
  <si>
    <t>65686829</t>
  </si>
  <si>
    <t>7b156432</t>
  </si>
  <si>
    <t>78e1912a</t>
  </si>
  <si>
    <t>ef569a46</t>
  </si>
  <si>
    <t>c1bf4f25</t>
  </si>
  <si>
    <t>dfbd3b57</t>
  </si>
  <si>
    <t>73b753b8</t>
  </si>
  <si>
    <t>913d78b1</t>
  </si>
  <si>
    <t>fc925ffa</t>
  </si>
  <si>
    <t>d2535a82</t>
  </si>
  <si>
    <t>4adfb346</t>
  </si>
  <si>
    <t>03efe2b9</t>
  </si>
  <si>
    <t>b4d93158</t>
  </si>
  <si>
    <t>47a7a5d6</t>
  </si>
  <si>
    <t>b18c9f66</t>
  </si>
  <si>
    <t>9dec902f</t>
  </si>
  <si>
    <t>7518f564</t>
  </si>
  <si>
    <t>3ffb175b</t>
  </si>
  <si>
    <t>c0425d79</t>
  </si>
  <si>
    <t>bcccacf3</t>
  </si>
  <si>
    <t>97a2d883</t>
  </si>
  <si>
    <t>4aef0400</t>
  </si>
  <si>
    <t>16014239</t>
  </si>
  <si>
    <t>3a2947ce</t>
  </si>
  <si>
    <t>65d3c052</t>
  </si>
  <si>
    <t>8abe143b</t>
  </si>
  <si>
    <t>08e269cf</t>
  </si>
  <si>
    <t>e0d43c4e</t>
  </si>
  <si>
    <t>64cea2bc</t>
  </si>
  <si>
    <t>175cc7a7</t>
  </si>
  <si>
    <t>8e0213a0</t>
  </si>
  <si>
    <t>8b20bf6d</t>
  </si>
  <si>
    <t>1397a88c</t>
  </si>
  <si>
    <t>4466fadc</t>
  </si>
  <si>
    <t>0487a703</t>
  </si>
  <si>
    <t>2ea20a71</t>
  </si>
  <si>
    <t>fb789f48</t>
  </si>
  <si>
    <t>6e29cdf8</t>
  </si>
  <si>
    <t>179fb3c9</t>
  </si>
  <si>
    <t>c40b1d4f</t>
  </si>
  <si>
    <t>6bc3b8ca</t>
  </si>
  <si>
    <t>bb36f8d8</t>
  </si>
  <si>
    <t>8d7dc303</t>
  </si>
  <si>
    <t>739da398</t>
  </si>
  <si>
    <t>9dec8060</t>
  </si>
  <si>
    <t>b113c115</t>
  </si>
  <si>
    <t>8e64cb5b</t>
  </si>
  <si>
    <t>1abcb06b</t>
  </si>
  <si>
    <t>fe9b70e4</t>
  </si>
  <si>
    <t>b29823a2</t>
  </si>
  <si>
    <t>cac6fb76</t>
  </si>
  <si>
    <t>aeb7ebca</t>
  </si>
  <si>
    <t>25e78ae9</t>
  </si>
  <si>
    <t>b10f4e81</t>
  </si>
  <si>
    <t>d65b8a53</t>
  </si>
  <si>
    <t>f14d4756</t>
  </si>
  <si>
    <t>b04f168e</t>
  </si>
  <si>
    <t>ab48f893</t>
  </si>
  <si>
    <t>2417305a</t>
  </si>
  <si>
    <t>feb6a260</t>
  </si>
  <si>
    <t>bd425de4</t>
  </si>
  <si>
    <t>911933ca</t>
  </si>
  <si>
    <t>f1bc91d4</t>
  </si>
  <si>
    <t>f8f6ef4e</t>
  </si>
  <si>
    <t>180624a7</t>
  </si>
  <si>
    <t>517feb11</t>
  </si>
  <si>
    <t>58d3c939</t>
  </si>
  <si>
    <t>9ed9a1b3</t>
  </si>
  <si>
    <t>7dac3f8d</t>
  </si>
  <si>
    <t>b7da102a</t>
  </si>
  <si>
    <t>add90e52</t>
  </si>
  <si>
    <t>11e344bf</t>
  </si>
  <si>
    <t>885e1bc8</t>
  </si>
  <si>
    <t>1e5ed1c9</t>
  </si>
  <si>
    <t>131991da</t>
  </si>
  <si>
    <t>49a33f0b</t>
  </si>
  <si>
    <t>e4e7d047</t>
  </si>
  <si>
    <t>b1c40734</t>
  </si>
  <si>
    <t>4794947e</t>
  </si>
  <si>
    <t>c3574c70</t>
  </si>
  <si>
    <t>cc5a5e43</t>
  </si>
  <si>
    <t>453e4cd5</t>
  </si>
  <si>
    <t>9db0e158</t>
  </si>
  <si>
    <t>294b5434</t>
  </si>
  <si>
    <t>f7dd6ef8</t>
  </si>
  <si>
    <t>de0349a6</t>
  </si>
  <si>
    <t>acc0ccd1</t>
  </si>
  <si>
    <t>6b977607</t>
  </si>
  <si>
    <t>ff40fe14</t>
  </si>
  <si>
    <t>ebe1a54d</t>
  </si>
  <si>
    <t>10f3fe6d</t>
  </si>
  <si>
    <t>ce2d68ba</t>
  </si>
  <si>
    <t>3be892e8</t>
  </si>
  <si>
    <t>c0647781</t>
  </si>
  <si>
    <t>67e98f2a</t>
  </si>
  <si>
    <t>e4ffa5e0</t>
  </si>
  <si>
    <t>87677feb</t>
  </si>
  <si>
    <t>824efbba</t>
  </si>
  <si>
    <t>39c660fa</t>
  </si>
  <si>
    <t>ebd73cff</t>
  </si>
  <si>
    <t>a3332f6f</t>
  </si>
  <si>
    <t>61d80e7e</t>
  </si>
  <si>
    <t>4be8bcba</t>
  </si>
  <si>
    <t>2cf4b642</t>
  </si>
  <si>
    <t>f8c4acaf</t>
  </si>
  <si>
    <t>40fd4f13</t>
  </si>
  <si>
    <t>6a9baeb8</t>
  </si>
  <si>
    <t>8deb7c04</t>
  </si>
  <si>
    <t>45e0dffc</t>
  </si>
  <si>
    <t>99f7ece5</t>
  </si>
  <si>
    <t>04c0cd45</t>
  </si>
  <si>
    <t>d62b0745</t>
  </si>
  <si>
    <t>21e2e78e</t>
  </si>
  <si>
    <t>0905f36f</t>
  </si>
  <si>
    <t>dfd27bd9</t>
  </si>
  <si>
    <t>1cca0fe8</t>
  </si>
  <si>
    <t>c11ec9bd</t>
  </si>
  <si>
    <t>29b2b962</t>
  </si>
  <si>
    <t>312e93b4</t>
  </si>
  <si>
    <t>3de72dee</t>
  </si>
  <si>
    <t>9b44c585</t>
  </si>
  <si>
    <t>816f3131</t>
  </si>
  <si>
    <t>1bf1f0eb</t>
  </si>
  <si>
    <t>f7751c42</t>
  </si>
  <si>
    <t>23bc8b29</t>
  </si>
  <si>
    <t>6f984988</t>
  </si>
  <si>
    <t>dabbd50e</t>
  </si>
  <si>
    <t>0d0dbeed</t>
  </si>
  <si>
    <t>8600fa9b</t>
  </si>
  <si>
    <t>1cda07a0</t>
  </si>
  <si>
    <t>77502a2f</t>
  </si>
  <si>
    <t>74b8aa70</t>
  </si>
  <si>
    <t>1000feb0</t>
  </si>
  <si>
    <t>3e7560a2</t>
  </si>
  <si>
    <t>27ae308b</t>
  </si>
  <si>
    <t>e684a9cb</t>
  </si>
  <si>
    <t>732aeaa8</t>
  </si>
  <si>
    <t>cc7d789d</t>
  </si>
  <si>
    <t>be44aa1a</t>
  </si>
  <si>
    <t>ffd558b2</t>
  </si>
  <si>
    <t>79f650af</t>
  </si>
  <si>
    <t>9514a85c</t>
  </si>
  <si>
    <t>ddafce70</t>
  </si>
  <si>
    <t>d4cc7706</t>
  </si>
  <si>
    <t>ce04e67d</t>
  </si>
  <si>
    <t>c811b79a</t>
  </si>
  <si>
    <t>97fb8c9d</t>
  </si>
  <si>
    <t>19305031</t>
  </si>
  <si>
    <t>146edb97</t>
  </si>
  <si>
    <t>b8bdc564</t>
  </si>
  <si>
    <t>9e885e69</t>
  </si>
  <si>
    <t>fd71896c</t>
  </si>
  <si>
    <t>2280c053</t>
  </si>
  <si>
    <t>3d865629</t>
  </si>
  <si>
    <t>d379e3c1</t>
  </si>
  <si>
    <t>c45bccc2</t>
  </si>
  <si>
    <t>e25238da</t>
  </si>
  <si>
    <t>13db845d</t>
  </si>
  <si>
    <t>fa56a0ae</t>
  </si>
  <si>
    <t>e0c1b787</t>
  </si>
  <si>
    <t>c4959f90</t>
  </si>
  <si>
    <t>e067a62b</t>
  </si>
  <si>
    <t>827f5bdb</t>
  </si>
  <si>
    <t>a2f8f6cc</t>
  </si>
  <si>
    <t>75ddcc42</t>
  </si>
  <si>
    <t>010136d1</t>
  </si>
  <si>
    <t>7c318d0b</t>
  </si>
  <si>
    <t>df93bdc7</t>
  </si>
  <si>
    <t>efa6125b</t>
  </si>
  <si>
    <t>b4ba76e7</t>
  </si>
  <si>
    <t>5bed29ff</t>
  </si>
  <si>
    <t>24c6d368</t>
  </si>
  <si>
    <t>a1100609</t>
  </si>
  <si>
    <t>9d6bda46</t>
  </si>
  <si>
    <t>9b1de3dd</t>
  </si>
  <si>
    <t>5f5fb959</t>
  </si>
  <si>
    <t>8d8083cb</t>
  </si>
  <si>
    <t>6c71cab9</t>
  </si>
  <si>
    <t>07aeb725</t>
  </si>
  <si>
    <t>ab308816</t>
  </si>
  <si>
    <t>3b231997</t>
  </si>
  <si>
    <t>dde75654</t>
  </si>
  <si>
    <t>406b5f4f</t>
  </si>
  <si>
    <t>1bbfbc38</t>
  </si>
  <si>
    <t>31cdec17</t>
  </si>
  <si>
    <t>95a8e3ab</t>
  </si>
  <si>
    <t>a1f4c1e0</t>
  </si>
  <si>
    <t>d8b2017f</t>
  </si>
  <si>
    <t>1a413fb7</t>
  </si>
  <si>
    <t>d4047a6f</t>
  </si>
  <si>
    <t>e2ac4541</t>
  </si>
  <si>
    <t>fe25138a</t>
  </si>
  <si>
    <t>6ca2e36a</t>
  </si>
  <si>
    <t>68e4d2ab</t>
  </si>
  <si>
    <t>7f2dc861</t>
  </si>
  <si>
    <t>90ac7445</t>
  </si>
  <si>
    <t>29ea6f1e</t>
  </si>
  <si>
    <t>d8d93c74</t>
  </si>
  <si>
    <t>5cdb356f</t>
  </si>
  <si>
    <t>8abc0ffa</t>
  </si>
  <si>
    <t>8025dff3</t>
  </si>
  <si>
    <t>32041a28</t>
  </si>
  <si>
    <t>cf5a7939</t>
  </si>
  <si>
    <t>2e5e12e1</t>
  </si>
  <si>
    <t>7234b864</t>
  </si>
  <si>
    <t>bc78a6ab</t>
  </si>
  <si>
    <t>2eb9f9bc</t>
  </si>
  <si>
    <t>1de261d6</t>
  </si>
  <si>
    <t>fa7cd1fa</t>
  </si>
  <si>
    <t>2b9396e8</t>
  </si>
  <si>
    <t>e4a3b996</t>
  </si>
  <si>
    <t>dc7a05d6</t>
  </si>
  <si>
    <t>e1cc6647</t>
  </si>
  <si>
    <t>db824ce9</t>
  </si>
  <si>
    <t>7cbbed28</t>
  </si>
  <si>
    <t>33966941</t>
  </si>
  <si>
    <t>8617856c</t>
  </si>
  <si>
    <t>e2e4f0dc</t>
  </si>
  <si>
    <t>3519b2b6</t>
  </si>
  <si>
    <t>5ea646cd</t>
  </si>
  <si>
    <t>6bbd8527</t>
  </si>
  <si>
    <t>df519377</t>
  </si>
  <si>
    <t>c60276cc</t>
  </si>
  <si>
    <t>1cbb7157</t>
  </si>
  <si>
    <t>a7262e34</t>
  </si>
  <si>
    <t>0e4043dc</t>
  </si>
  <si>
    <t>24b8e3e2</t>
  </si>
  <si>
    <t>ae0533df</t>
  </si>
  <si>
    <t>012b172c</t>
  </si>
  <si>
    <t>fe1bfefb</t>
  </si>
  <si>
    <t>4fe331be</t>
  </si>
  <si>
    <t>f6e63440</t>
  </si>
  <si>
    <t>bafe754a</t>
  </si>
  <si>
    <t>cf3200ac</t>
  </si>
  <si>
    <t>1dd90811</t>
  </si>
  <si>
    <t>9338a451</t>
  </si>
  <si>
    <t>c67fc966</t>
  </si>
  <si>
    <t>552c0fee</t>
  </si>
  <si>
    <t>caaece3c</t>
  </si>
  <si>
    <t>21e08f29</t>
  </si>
  <si>
    <t>039f7d9c</t>
  </si>
  <si>
    <t>090a0214</t>
  </si>
  <si>
    <t>03f12003</t>
  </si>
  <si>
    <t>9cf35e92</t>
  </si>
  <si>
    <t>03eee83b</t>
  </si>
  <si>
    <t>66bf308d</t>
  </si>
  <si>
    <t>8ed17d8c</t>
  </si>
  <si>
    <t>0cb7ec58</t>
  </si>
  <si>
    <t>308cb706</t>
  </si>
  <si>
    <t>5fdee52a</t>
  </si>
  <si>
    <t>a6602963</t>
  </si>
  <si>
    <t>87172555</t>
  </si>
  <si>
    <t>b9145e4e</t>
  </si>
  <si>
    <t>7bc2147b</t>
  </si>
  <si>
    <t>013bcadb</t>
  </si>
  <si>
    <t>581b6c2e</t>
  </si>
  <si>
    <t>0afee9e9</t>
  </si>
  <si>
    <t>e477e40c</t>
  </si>
  <si>
    <t>f9a8f5a8</t>
  </si>
  <si>
    <t>1d502b1d</t>
  </si>
  <si>
    <t>f7000364</t>
  </si>
  <si>
    <t>97b1f71f</t>
  </si>
  <si>
    <t>72f1b1f6</t>
  </si>
  <si>
    <t>5d6ad1e3</t>
  </si>
  <si>
    <t>e7e56187</t>
  </si>
  <si>
    <t>7f85db3b</t>
  </si>
  <si>
    <t>92b24f97</t>
  </si>
  <si>
    <t>2fc8dc5d</t>
  </si>
  <si>
    <t>667a86f9</t>
  </si>
  <si>
    <t>4ee5772e</t>
  </si>
  <si>
    <t>edeef601</t>
  </si>
  <si>
    <t>70e24be5</t>
  </si>
  <si>
    <t>2c26c25d</t>
  </si>
  <si>
    <t>2cf6511f</t>
  </si>
  <si>
    <t>29cad876</t>
  </si>
  <si>
    <t>98d4ae2b</t>
  </si>
  <si>
    <t>2e6281b4</t>
  </si>
  <si>
    <t>7b64b8df</t>
  </si>
  <si>
    <t>e6107852</t>
  </si>
  <si>
    <t>e6fd0431</t>
  </si>
  <si>
    <t>0dfaff03</t>
  </si>
  <si>
    <t>e8ceffea</t>
  </si>
  <si>
    <t>c6eee026</t>
  </si>
  <si>
    <t>032845dd</t>
  </si>
  <si>
    <t>e74af93a</t>
  </si>
  <si>
    <t>c058303b</t>
  </si>
  <si>
    <t>4746501a</t>
  </si>
  <si>
    <t>9af7a90a</t>
  </si>
  <si>
    <t>bd721d46</t>
  </si>
  <si>
    <t>5688118a</t>
  </si>
  <si>
    <t>88f44aeb</t>
  </si>
  <si>
    <t>9399eadd</t>
  </si>
  <si>
    <t>0763fa62</t>
  </si>
  <si>
    <t>bb0a9e1b</t>
  </si>
  <si>
    <t>32b1d5fc</t>
  </si>
  <si>
    <t>3a947713</t>
  </si>
  <si>
    <t>60d192d0</t>
  </si>
  <si>
    <t>b13d522c</t>
  </si>
  <si>
    <t>93a1bc4d</t>
  </si>
  <si>
    <t>8784dd38</t>
  </si>
  <si>
    <t>c212161b</t>
  </si>
  <si>
    <t>a5bf9307</t>
  </si>
  <si>
    <t>88311871</t>
  </si>
  <si>
    <t>61807a9e</t>
  </si>
  <si>
    <t>bdd86e55</t>
  </si>
  <si>
    <t>b8721667</t>
  </si>
  <si>
    <t>a8e26e52</t>
  </si>
  <si>
    <t>3bf37f54</t>
  </si>
  <si>
    <t>05d00456</t>
  </si>
  <si>
    <t>923b9aac</t>
  </si>
  <si>
    <t>c37dab8a</t>
  </si>
  <si>
    <t>1dc136c3</t>
  </si>
  <si>
    <t>b9d74204</t>
  </si>
  <si>
    <t>eedcadb1</t>
  </si>
  <si>
    <t>a48cd7e7</t>
  </si>
  <si>
    <t>1ee975e1</t>
  </si>
  <si>
    <t>50ac69ce</t>
  </si>
  <si>
    <t>b7644b2e</t>
  </si>
  <si>
    <t>3ada517d</t>
  </si>
  <si>
    <t>37822258</t>
  </si>
  <si>
    <t>05fda9c3</t>
  </si>
  <si>
    <t>77c72605</t>
  </si>
  <si>
    <t>e5a04a39</t>
  </si>
  <si>
    <t>8bb543cf</t>
  </si>
  <si>
    <t>dcc6df1c</t>
  </si>
  <si>
    <t>96cb1e42</t>
  </si>
  <si>
    <t>21b27392</t>
  </si>
  <si>
    <t>627b58b9</t>
  </si>
  <si>
    <t>bb0eb8fc</t>
  </si>
  <si>
    <t>e3c49022</t>
  </si>
  <si>
    <t>7694a674</t>
  </si>
  <si>
    <t>6adfc8c6</t>
  </si>
  <si>
    <t>58c86db9</t>
  </si>
  <si>
    <t>74568da8</t>
  </si>
  <si>
    <t>d2788f16</t>
  </si>
  <si>
    <t>92819452</t>
  </si>
  <si>
    <t>3e8d0799</t>
  </si>
  <si>
    <t>5ebecc8a</t>
  </si>
  <si>
    <t>bca6db80</t>
  </si>
  <si>
    <t>d48c8db2</t>
  </si>
  <si>
    <t>117e14d5</t>
  </si>
  <si>
    <t>fa372751</t>
  </si>
  <si>
    <t>6d2a667d</t>
  </si>
  <si>
    <t>d32591ab</t>
  </si>
  <si>
    <t>3234c6fc</t>
  </si>
  <si>
    <t>7a8a7ca7</t>
  </si>
  <si>
    <t>2bcab477</t>
  </si>
  <si>
    <t>128f5820</t>
  </si>
  <si>
    <t>ac8fa5c2</t>
  </si>
  <si>
    <t>5a345474</t>
  </si>
  <si>
    <t>1448af54</t>
  </si>
  <si>
    <t>8e2f6e8b</t>
  </si>
  <si>
    <t>c18e3ae7</t>
  </si>
  <si>
    <t>2ac861a4</t>
  </si>
  <si>
    <t>9444623f</t>
  </si>
  <si>
    <t>7ec3cb99</t>
  </si>
  <si>
    <t>2bbb408f</t>
  </si>
  <si>
    <t>300b10ad</t>
  </si>
  <si>
    <t>72d6b6d3</t>
  </si>
  <si>
    <t>e98ff8dd</t>
  </si>
  <si>
    <t>bef985f8</t>
  </si>
  <si>
    <t>40e4b833</t>
  </si>
  <si>
    <t>8c3d952e</t>
  </si>
  <si>
    <t>bdc7b43f</t>
  </si>
  <si>
    <t>437dbbae</t>
  </si>
  <si>
    <t>8c0e8e3d</t>
  </si>
  <si>
    <t>d6d30892</t>
  </si>
  <si>
    <t>61c4304a</t>
  </si>
  <si>
    <t>0e4c0ffc</t>
  </si>
  <si>
    <t>eef0617a</t>
  </si>
  <si>
    <t>31f54907</t>
  </si>
  <si>
    <t>36e6de45</t>
  </si>
  <si>
    <t>d9eebef8</t>
  </si>
  <si>
    <t>8b80c131</t>
  </si>
  <si>
    <t>77b883c7</t>
  </si>
  <si>
    <t>2ac674eb</t>
  </si>
  <si>
    <t>7141dcb0</t>
  </si>
  <si>
    <t>fa9f7306</t>
  </si>
  <si>
    <t>7943df40</t>
  </si>
  <si>
    <t>6151b303</t>
  </si>
  <si>
    <t>1b869e6b</t>
  </si>
  <si>
    <t>943b8c7b</t>
  </si>
  <si>
    <t>8ac0b9b0</t>
  </si>
  <si>
    <t>163143c5</t>
  </si>
  <si>
    <t>8a2f62a5</t>
  </si>
  <si>
    <t>7d298e79</t>
  </si>
  <si>
    <t>f86faaed</t>
  </si>
  <si>
    <t>c6fa2429</t>
  </si>
  <si>
    <t>89e3377d</t>
  </si>
  <si>
    <t>ddb5096b</t>
  </si>
  <si>
    <t>37ca80aa</t>
  </si>
  <si>
    <t>6a928b94</t>
  </si>
  <si>
    <t>6b140895</t>
  </si>
  <si>
    <t>1c7c1bce</t>
  </si>
  <si>
    <t>b9a34e2f</t>
  </si>
  <si>
    <t>231b1e1b</t>
  </si>
  <si>
    <t>c999eb04</t>
  </si>
  <si>
    <t>3b74e9ce</t>
  </si>
  <si>
    <t>c2a9b132</t>
  </si>
  <si>
    <t>904bf419</t>
  </si>
  <si>
    <t>b16837ec</t>
  </si>
  <si>
    <t>73a176af</t>
  </si>
  <si>
    <t>468b2ac4</t>
  </si>
  <si>
    <t>2671d23b</t>
  </si>
  <si>
    <t>58cd2823</t>
  </si>
  <si>
    <t>7603817d</t>
  </si>
  <si>
    <t>2c96999c</t>
  </si>
  <si>
    <t>7b1f4179</t>
  </si>
  <si>
    <t>d0f40824</t>
  </si>
  <si>
    <t>869cfce2</t>
  </si>
  <si>
    <t>170aa172</t>
  </si>
  <si>
    <t>65bb2582</t>
  </si>
  <si>
    <t>3e6ea5ae</t>
  </si>
  <si>
    <t>df3252de</t>
  </si>
  <si>
    <t>9046f36a</t>
  </si>
  <si>
    <t>f395ef14</t>
  </si>
  <si>
    <t>98692ca0</t>
  </si>
  <si>
    <t>688aadeb</t>
  </si>
  <si>
    <t>b1bada78</t>
  </si>
  <si>
    <t>309908d0</t>
  </si>
  <si>
    <t>072f31a2</t>
  </si>
  <si>
    <t>3d926b58</t>
  </si>
  <si>
    <t>5e14e6a8</t>
  </si>
  <si>
    <t>4d8119f8</t>
  </si>
  <si>
    <t>7e253b27</t>
  </si>
  <si>
    <t>5e498e98</t>
  </si>
  <si>
    <t>98ee3b21</t>
  </si>
  <si>
    <t>fd756f5b</t>
  </si>
  <si>
    <t>4934ac20</t>
  </si>
  <si>
    <t>ab46f718</t>
  </si>
  <si>
    <t>8d8540c3</t>
  </si>
  <si>
    <t>63425c7b</t>
  </si>
  <si>
    <t>7f64f852</t>
  </si>
  <si>
    <t>10afc8b3</t>
  </si>
  <si>
    <t>e2ad9a3c</t>
  </si>
  <si>
    <t>c2ccf2f8</t>
  </si>
  <si>
    <t>758d6098</t>
  </si>
  <si>
    <t>0ed9c273</t>
  </si>
  <si>
    <t>d743ed16</t>
  </si>
  <si>
    <t>d93f3605</t>
  </si>
  <si>
    <t>76498f0b</t>
  </si>
  <si>
    <t>e22e24a9</t>
  </si>
  <si>
    <t>00f46f6f</t>
  </si>
  <si>
    <t>b4f89f02</t>
  </si>
  <si>
    <t>6d98d665</t>
  </si>
  <si>
    <t>020a62f1</t>
  </si>
  <si>
    <t>019db483</t>
  </si>
  <si>
    <t>5093a842</t>
  </si>
  <si>
    <t>94fcf8bc</t>
  </si>
  <si>
    <t>3834ba0f</t>
  </si>
  <si>
    <t>2410da08</t>
  </si>
  <si>
    <t>3b13d9e7</t>
  </si>
  <si>
    <t>bcab0118</t>
  </si>
  <si>
    <t>46e0db79</t>
  </si>
  <si>
    <t>a1a041fa</t>
  </si>
  <si>
    <t>528c0dbb</t>
  </si>
  <si>
    <t>b18472d9</t>
  </si>
  <si>
    <t>ff40fb3f</t>
  </si>
  <si>
    <t>1c5f52b6</t>
  </si>
  <si>
    <t>adc6ea44</t>
  </si>
  <si>
    <t>cc4e5414</t>
  </si>
  <si>
    <t>1d52fc35</t>
  </si>
  <si>
    <t>8b0789a8</t>
  </si>
  <si>
    <t>25bbab63</t>
  </si>
  <si>
    <t>e3f5b698</t>
  </si>
  <si>
    <t>c12e2cb9</t>
  </si>
  <si>
    <t>a13c0f48</t>
  </si>
  <si>
    <t>fe9cd437</t>
  </si>
  <si>
    <t>db0e169d</t>
  </si>
  <si>
    <t>b916c097</t>
  </si>
  <si>
    <t>7dd9c9f1</t>
  </si>
  <si>
    <t>83ac96ef</t>
  </si>
  <si>
    <t>46679da3</t>
  </si>
  <si>
    <t>9ec2a0ef</t>
  </si>
  <si>
    <t>a13757f2</t>
  </si>
  <si>
    <t>faa5ee31</t>
  </si>
  <si>
    <t>c94e4e90</t>
  </si>
  <si>
    <t>39337263</t>
  </si>
  <si>
    <t>29be271e</t>
  </si>
  <si>
    <t>58eefa89</t>
  </si>
  <si>
    <t>3b8b03f0</t>
  </si>
  <si>
    <t>12ea28f2</t>
  </si>
  <si>
    <t>2d40549e</t>
  </si>
  <si>
    <t>d5da404b</t>
  </si>
  <si>
    <t>7f95ed60</t>
  </si>
  <si>
    <t>28d18bc1</t>
  </si>
  <si>
    <t>567c0581</t>
  </si>
  <si>
    <t>38c0f6c7</t>
  </si>
  <si>
    <t>fb3b8675</t>
  </si>
  <si>
    <t>005fec2c</t>
  </si>
  <si>
    <t>ccf8bdfd</t>
  </si>
  <si>
    <t>550df5b6</t>
  </si>
  <si>
    <t>814cdd23</t>
  </si>
  <si>
    <t>fcf7f968</t>
  </si>
  <si>
    <t>3e09929b</t>
  </si>
  <si>
    <t>380fbb73</t>
  </si>
  <si>
    <t>18edb773</t>
  </si>
  <si>
    <t>5216d587</t>
  </si>
  <si>
    <t>c9a995be</t>
  </si>
  <si>
    <t>7186dda6</t>
  </si>
  <si>
    <t>59d5bf93</t>
  </si>
  <si>
    <t>d103d792</t>
  </si>
  <si>
    <t>21b0c37b</t>
  </si>
  <si>
    <t>a22996d4</t>
  </si>
  <si>
    <t>bf020199</t>
  </si>
  <si>
    <t>e889b81a</t>
  </si>
  <si>
    <t>d121d55b</t>
  </si>
  <si>
    <t>344a44ae</t>
  </si>
  <si>
    <t>a1d14cba</t>
  </si>
  <si>
    <t>8f9d6145</t>
  </si>
  <si>
    <t>87a2b5a4</t>
  </si>
  <si>
    <t>e24eb5f3</t>
  </si>
  <si>
    <t>c152fb2a</t>
  </si>
  <si>
    <t>be7571a9</t>
  </si>
  <si>
    <t>416965dc</t>
  </si>
  <si>
    <t>76f31a7f</t>
  </si>
  <si>
    <t>5eb81803</t>
  </si>
  <si>
    <t>6c62111b</t>
  </si>
  <si>
    <t>ad72c7a8</t>
  </si>
  <si>
    <t>5fe236e3</t>
  </si>
  <si>
    <t>5c881b06</t>
  </si>
  <si>
    <t>15a3ba38</t>
  </si>
  <si>
    <t>120f7e44</t>
  </si>
  <si>
    <t>c71f890a</t>
  </si>
  <si>
    <t>a423dc89</t>
  </si>
  <si>
    <t>0589cc4a</t>
  </si>
  <si>
    <t>5a956cda</t>
  </si>
  <si>
    <t>1c646f6c</t>
  </si>
  <si>
    <t>32cd9ff9</t>
  </si>
  <si>
    <t>d4d79e93</t>
  </si>
  <si>
    <t>764711ed</t>
  </si>
  <si>
    <t>4f60f317</t>
  </si>
  <si>
    <t>e2ac9f0c</t>
  </si>
  <si>
    <t>5f2c7434</t>
  </si>
  <si>
    <t>f8b6cfed</t>
  </si>
  <si>
    <t>7d54cfad</t>
  </si>
  <si>
    <t>f5764525</t>
  </si>
  <si>
    <t>2de14a55</t>
  </si>
  <si>
    <t>32451098</t>
  </si>
  <si>
    <t>6ed91608</t>
  </si>
  <si>
    <t>a0dad492</t>
  </si>
  <si>
    <t>5e69447d</t>
  </si>
  <si>
    <t>a13b53e2</t>
  </si>
  <si>
    <t>6c7b68ba</t>
  </si>
  <si>
    <t>62543946</t>
  </si>
  <si>
    <t>6289b686</t>
  </si>
  <si>
    <t>56e5e4a6</t>
  </si>
  <si>
    <t>ade735ea</t>
  </si>
  <si>
    <t>999c959c</t>
  </si>
  <si>
    <t>2d28606f</t>
  </si>
  <si>
    <t>92a4cc22</t>
  </si>
  <si>
    <t>cc51fdd8</t>
  </si>
  <si>
    <t>a938a375</t>
  </si>
  <si>
    <t>3a955b7c</t>
  </si>
  <si>
    <t>3c925638</t>
  </si>
  <si>
    <t>e29f849d</t>
  </si>
  <si>
    <t>96b3e4a0</t>
  </si>
  <si>
    <t>1f2e86f6</t>
  </si>
  <si>
    <t>8c6c6d69</t>
  </si>
  <si>
    <t>9d4a2fc4</t>
  </si>
  <si>
    <t>60146791</t>
  </si>
  <si>
    <t>b72426ad</t>
  </si>
  <si>
    <t>35209ef2</t>
  </si>
  <si>
    <t>f83a596d</t>
  </si>
  <si>
    <t>9cc16803</t>
  </si>
  <si>
    <t>d849f2ff</t>
  </si>
  <si>
    <t>a23014a1</t>
  </si>
  <si>
    <t>8563bc14</t>
  </si>
  <si>
    <t>e472f42a</t>
  </si>
  <si>
    <t>a3d11ebc</t>
  </si>
  <si>
    <t>8243b30e</t>
  </si>
  <si>
    <t>10c03e40</t>
  </si>
  <si>
    <t>b7f8ba89</t>
  </si>
  <si>
    <t>f3c15c74</t>
  </si>
  <si>
    <t>4478f94c</t>
  </si>
  <si>
    <t>9b4e2403</t>
  </si>
  <si>
    <t>c574d352</t>
  </si>
  <si>
    <t>bad885ee</t>
  </si>
  <si>
    <t>7966d9da</t>
  </si>
  <si>
    <t>7c48a4b0</t>
  </si>
  <si>
    <t>d15a7af8</t>
  </si>
  <si>
    <t>5402d947</t>
  </si>
  <si>
    <t>c4853bbc</t>
  </si>
  <si>
    <t>06d8f21a</t>
  </si>
  <si>
    <t>03ea060b</t>
  </si>
  <si>
    <t>48b332f5</t>
  </si>
  <si>
    <t>957fa360</t>
  </si>
  <si>
    <t>965be037</t>
  </si>
  <si>
    <t>36f51f4d</t>
  </si>
  <si>
    <t>f69506d1</t>
  </si>
  <si>
    <t>bdf0315e</t>
  </si>
  <si>
    <t>cb981462</t>
  </si>
  <si>
    <t>8aec2bb2</t>
  </si>
  <si>
    <t>679dbf6a</t>
  </si>
  <si>
    <t>f5af54cd</t>
  </si>
  <si>
    <t>15e1eee1</t>
  </si>
  <si>
    <t>b8a3bfdf</t>
  </si>
  <si>
    <t>69396dd8</t>
  </si>
  <si>
    <t>4cb89b1b</t>
  </si>
  <si>
    <t>c58ad163</t>
  </si>
  <si>
    <t>fbe39ee9</t>
  </si>
  <si>
    <t>0d1a92d4</t>
  </si>
  <si>
    <t>0bd9e98f</t>
  </si>
  <si>
    <t>5fed191e</t>
  </si>
  <si>
    <t>6d824add</t>
  </si>
  <si>
    <t>6086d6ac</t>
  </si>
  <si>
    <t>12f3f4be</t>
  </si>
  <si>
    <t>b2c518c4</t>
  </si>
  <si>
    <t>cbbe040c</t>
  </si>
  <si>
    <t>4420fd70</t>
  </si>
  <si>
    <t>b0844463</t>
  </si>
  <si>
    <t>74d49698</t>
  </si>
  <si>
    <t>c37e2059</t>
  </si>
  <si>
    <t>56765eca</t>
  </si>
  <si>
    <t>b017fc81</t>
  </si>
  <si>
    <t>022bfdc3</t>
  </si>
  <si>
    <t>5a2c0c1d</t>
  </si>
  <si>
    <t>e7beaf59</t>
  </si>
  <si>
    <t>12a95b6e</t>
  </si>
  <si>
    <t>a16fca4c</t>
  </si>
  <si>
    <t>6edf993d</t>
  </si>
  <si>
    <t>fc65d61b</t>
  </si>
  <si>
    <t>562f422d</t>
  </si>
  <si>
    <t>7ffbf8f2</t>
  </si>
  <si>
    <t>fbdee4d8</t>
  </si>
  <si>
    <t>(이병훈) 지구과학</t>
  </si>
  <si>
    <t>76ebaa24</t>
  </si>
  <si>
    <t>a7dc9505</t>
  </si>
  <si>
    <t>9960d149</t>
  </si>
  <si>
    <t>회수완료</t>
  </si>
  <si>
    <t>04/07/2026 00:00:00</t>
  </si>
  <si>
    <t>16cbdef7</t>
  </si>
  <si>
    <t>b0a3f85a</t>
  </si>
  <si>
    <t>7489ac04</t>
  </si>
  <si>
    <t>9087a1f3</t>
  </si>
  <si>
    <t>a0864103</t>
  </si>
  <si>
    <t>8f397de9</t>
  </si>
  <si>
    <t>c4f9782e</t>
  </si>
  <si>
    <t>eaf5200d</t>
  </si>
  <si>
    <t>7a59ac3a</t>
  </si>
  <si>
    <t>0f0168d2</t>
  </si>
  <si>
    <t>3b66645c</t>
  </si>
  <si>
    <t>6a5977d1</t>
  </si>
  <si>
    <t>118ae5a1</t>
  </si>
  <si>
    <t>d38dfa42</t>
  </si>
  <si>
    <t>99d68986</t>
  </si>
  <si>
    <t>165a6c6d</t>
  </si>
  <si>
    <t>7f888787</t>
  </si>
  <si>
    <t>ba5827f2</t>
  </si>
  <si>
    <t>월배부기준</t>
  </si>
  <si>
    <t>사용여부</t>
  </si>
  <si>
    <t>월</t>
  </si>
  <si>
    <t>(김종훈) 국어다지기_독서1</t>
  </si>
  <si>
    <t>(김종훈) 국어다지기_문학1</t>
  </si>
  <si>
    <t>(김춘근김희준) pop 1</t>
  </si>
  <si>
    <t>(김춘근김희준) syntax 1</t>
  </si>
  <si>
    <t>(백종수) 친절한백선생_독해풀이시즌1</t>
  </si>
  <si>
    <t>(백종수) 친정한백선생_문학연계시즌1</t>
  </si>
  <si>
    <t>(성열상) 물리</t>
  </si>
  <si>
    <t>주</t>
  </si>
  <si>
    <t>(신인섭) 동아시아사</t>
  </si>
  <si>
    <t>(이민호A) 노플_미적(피드백)</t>
  </si>
  <si>
    <t>(이민호A) 인사이트_미적(수업)</t>
  </si>
  <si>
    <t>(임현호) 호연지기_독서1</t>
  </si>
  <si>
    <t>(임현호) 호연지기_문학1</t>
  </si>
  <si>
    <t>(조영신) 독서의 신_Part1</t>
  </si>
  <si>
    <t>(조영신) 문학의 신_Part1</t>
  </si>
  <si>
    <t>(지종규) LIP_문법구문</t>
  </si>
  <si>
    <t>(진명화) 에센셜_수2(수업)</t>
  </si>
  <si>
    <t>(진명화) 에센셜_확통(수업)</t>
  </si>
  <si>
    <t>(진명화) 에센스_수2(피드백)</t>
  </si>
  <si>
    <t>학기</t>
  </si>
  <si>
    <t>(김종훈) 국어다지기_독서2</t>
  </si>
  <si>
    <t>(김종훈) 국어다지기_문학2</t>
  </si>
  <si>
    <t>(백종수) 친절한백선생_독해풀이시즌2</t>
  </si>
  <si>
    <t>(백종수) 친정한백선생_문학연계시즌2</t>
  </si>
  <si>
    <t>(조영신) 독서의 신_Part2</t>
  </si>
  <si>
    <t>(조영신) 문학의 신_Part2</t>
  </si>
  <si>
    <t>배정ID</t>
  </si>
  <si>
    <t>상태</t>
  </si>
  <si>
    <t>시작일</t>
  </si>
  <si>
    <t>종료일</t>
  </si>
  <si>
    <t>비고</t>
  </si>
  <si>
    <t>재원</t>
  </si>
  <si>
    <t>BA-0002</t>
  </si>
  <si>
    <t>BA-0003</t>
  </si>
  <si>
    <t>BA-0004</t>
  </si>
  <si>
    <t>BA-0005</t>
  </si>
  <si>
    <t>BA-0006</t>
  </si>
  <si>
    <t>BA-0007</t>
  </si>
  <si>
    <t>BA-0008</t>
  </si>
  <si>
    <t>BA-0009</t>
  </si>
  <si>
    <t>BA-0010</t>
  </si>
  <si>
    <t>BA-0011</t>
  </si>
  <si>
    <t>BA-0012</t>
  </si>
  <si>
    <t>BA-0013</t>
  </si>
  <si>
    <t>BA-0014</t>
  </si>
  <si>
    <t>BA-0015</t>
  </si>
  <si>
    <t>BA-0016</t>
  </si>
  <si>
    <t>BA-0017</t>
  </si>
  <si>
    <t>BA-0018</t>
  </si>
  <si>
    <t>(임현호) 호연지기_독서2</t>
  </si>
  <si>
    <t>BA-0019</t>
  </si>
  <si>
    <t>(임현호) 호연지기_문학2</t>
  </si>
  <si>
    <t>BA-0020</t>
  </si>
  <si>
    <t>BA-0021</t>
  </si>
  <si>
    <t>BA-0022</t>
  </si>
  <si>
    <t>BA-0023</t>
  </si>
  <si>
    <t>BA-0024</t>
  </si>
  <si>
    <t>BA-0025</t>
  </si>
  <si>
    <t>BA-0026</t>
  </si>
  <si>
    <t>BA-0027</t>
  </si>
  <si>
    <t>BA-0028</t>
  </si>
  <si>
    <t>BA-0029</t>
  </si>
  <si>
    <t>BA-0030</t>
  </si>
  <si>
    <t>BA-0031</t>
  </si>
  <si>
    <t>BA-0032</t>
  </si>
  <si>
    <t>BA-0033</t>
  </si>
  <si>
    <t>BA-0034</t>
  </si>
  <si>
    <t>BA-0035</t>
  </si>
  <si>
    <t>BA-0036</t>
  </si>
  <si>
    <t>BA-0037</t>
  </si>
  <si>
    <t>BA-0038</t>
  </si>
  <si>
    <t>BA-0039</t>
  </si>
  <si>
    <t>BA-0040</t>
  </si>
  <si>
    <t>BA-0041</t>
  </si>
  <si>
    <t>BA-0042</t>
  </si>
  <si>
    <t>BA-0043</t>
  </si>
  <si>
    <t>BA-0044</t>
  </si>
  <si>
    <t>BA-0045</t>
  </si>
  <si>
    <t>BA-0046</t>
  </si>
  <si>
    <t>BA-0047</t>
  </si>
  <si>
    <t>BA-0048</t>
  </si>
  <si>
    <t>BA-0049</t>
  </si>
  <si>
    <t>BA-0050</t>
  </si>
  <si>
    <t>BA-0051</t>
  </si>
  <si>
    <t>BA-0052</t>
  </si>
  <si>
    <t>BA-0053</t>
  </si>
  <si>
    <t>BA-0054</t>
  </si>
  <si>
    <t>BA-0055</t>
  </si>
  <si>
    <t>BA-0056</t>
  </si>
  <si>
    <t>BA-0057</t>
  </si>
  <si>
    <t>BA-0058</t>
  </si>
  <si>
    <t>BA-0059</t>
  </si>
  <si>
    <t>BA-0060</t>
  </si>
  <si>
    <t>BA-0061</t>
  </si>
  <si>
    <t>BA-0062</t>
  </si>
  <si>
    <t>BA-0063</t>
  </si>
  <si>
    <t>BA-0064</t>
  </si>
  <si>
    <t>BA-0065</t>
  </si>
  <si>
    <t>BA-0066</t>
  </si>
  <si>
    <t>BA-0067</t>
  </si>
  <si>
    <t>BA-0068</t>
  </si>
  <si>
    <t>BA-0069</t>
  </si>
  <si>
    <t>BA-0070</t>
  </si>
  <si>
    <t>BA-0071</t>
  </si>
  <si>
    <t>BA-0072</t>
  </si>
  <si>
    <t>BA-0073</t>
  </si>
  <si>
    <t>BA-0074</t>
  </si>
  <si>
    <t>BA-0075</t>
  </si>
  <si>
    <t>BA-0076</t>
  </si>
  <si>
    <t>BA-0077</t>
  </si>
  <si>
    <t>BA-0078</t>
  </si>
  <si>
    <t>BA-0079</t>
  </si>
  <si>
    <t>BA-0080</t>
  </si>
  <si>
    <t>BA-0081</t>
  </si>
  <si>
    <t>BA-0082</t>
  </si>
  <si>
    <t>BA-0083</t>
  </si>
  <si>
    <t>BA-0084</t>
  </si>
  <si>
    <t>BA-0085</t>
  </si>
  <si>
    <t>종료</t>
  </si>
  <si>
    <t>BA-0086</t>
  </si>
  <si>
    <t>BA-0087</t>
  </si>
  <si>
    <t>BA-0088</t>
  </si>
  <si>
    <t>BA-0089</t>
  </si>
  <si>
    <t>BA-0090</t>
  </si>
  <si>
    <t>BA-0091</t>
  </si>
  <si>
    <t>BA-0092</t>
  </si>
  <si>
    <t>BA-0093</t>
  </si>
  <si>
    <t>BA-0094</t>
  </si>
  <si>
    <t>BA-0095</t>
  </si>
  <si>
    <t>BA-0096</t>
  </si>
  <si>
    <t>BA-0097</t>
  </si>
  <si>
    <t>BA-0098</t>
  </si>
  <si>
    <t>BA-0099</t>
  </si>
  <si>
    <t>BA-0100</t>
  </si>
  <si>
    <t>BA-0101</t>
  </si>
  <si>
    <t>BA-0102</t>
  </si>
  <si>
    <t>BA-0103</t>
  </si>
  <si>
    <t>BA-0104</t>
  </si>
  <si>
    <t>BA-0105</t>
  </si>
  <si>
    <t>BA-0106</t>
  </si>
  <si>
    <t>BA-0107</t>
  </si>
  <si>
    <t>BA-0108</t>
  </si>
  <si>
    <t>BA-0109</t>
  </si>
  <si>
    <t>BA-0110</t>
  </si>
  <si>
    <t>BA-0111</t>
  </si>
  <si>
    <t>BA-0112</t>
  </si>
  <si>
    <t>BA-0113</t>
  </si>
  <si>
    <t>BA-0114</t>
  </si>
  <si>
    <t>BA-0115</t>
  </si>
  <si>
    <t>BA-0116</t>
  </si>
  <si>
    <t>BA-0117</t>
  </si>
  <si>
    <t>BA-0118</t>
  </si>
  <si>
    <t>BA-0119</t>
  </si>
  <si>
    <t>BA-0120</t>
  </si>
  <si>
    <t>BA-0121</t>
  </si>
  <si>
    <t>BA-0122</t>
  </si>
  <si>
    <t>BA-0123</t>
  </si>
  <si>
    <t>BA-0124</t>
  </si>
  <si>
    <t>BA-0125</t>
  </si>
  <si>
    <t>BA-0126</t>
  </si>
  <si>
    <t>BA-0127</t>
  </si>
  <si>
    <t>BA-0128</t>
  </si>
  <si>
    <t>BA-0129</t>
  </si>
  <si>
    <t>BA-0130</t>
  </si>
  <si>
    <t>BA-0131</t>
  </si>
  <si>
    <t>BA-0132</t>
  </si>
  <si>
    <t>BA-0133</t>
  </si>
  <si>
    <t>BA-0134</t>
  </si>
  <si>
    <t>BA-0135</t>
  </si>
  <si>
    <t>BA-0136</t>
  </si>
  <si>
    <t>BA-0137</t>
  </si>
  <si>
    <t>BA-0138</t>
  </si>
  <si>
    <t>BA-0139</t>
  </si>
  <si>
    <t>BA-0140</t>
  </si>
  <si>
    <t>BA-0141</t>
  </si>
  <si>
    <t>BA-0142</t>
  </si>
  <si>
    <t>BA-0143</t>
  </si>
  <si>
    <t>BA-0144</t>
  </si>
  <si>
    <t>BA-0145</t>
  </si>
  <si>
    <t>BA-0146</t>
  </si>
  <si>
    <t>BA-0147</t>
  </si>
  <si>
    <t>BA-0148</t>
  </si>
  <si>
    <t>BA-0149</t>
  </si>
  <si>
    <t>BA-0150</t>
  </si>
  <si>
    <t>BA-0151</t>
  </si>
  <si>
    <t>BA-0152</t>
  </si>
  <si>
    <t>BA-0153</t>
  </si>
  <si>
    <t>BA-0154</t>
  </si>
  <si>
    <t>BA-0155</t>
  </si>
  <si>
    <t>BA-0156</t>
  </si>
  <si>
    <t>BA-0157</t>
  </si>
  <si>
    <t>BA-0158</t>
  </si>
  <si>
    <t>BA-0159</t>
  </si>
  <si>
    <t>BA-0160</t>
  </si>
  <si>
    <t>BA-0161</t>
  </si>
  <si>
    <t>BA-0162</t>
  </si>
  <si>
    <t>BA-0163</t>
  </si>
  <si>
    <t>BA-0164</t>
  </si>
  <si>
    <t>BA-0165</t>
  </si>
  <si>
    <t>BA-0166</t>
  </si>
  <si>
    <t>BA-0167</t>
  </si>
  <si>
    <t>BA-0168</t>
  </si>
  <si>
    <t>BA-0169</t>
  </si>
  <si>
    <t>BA-0170</t>
  </si>
  <si>
    <t>BA-0171</t>
  </si>
  <si>
    <t>BA-0172</t>
  </si>
  <si>
    <t>BA-0173</t>
  </si>
  <si>
    <t>BA-0174</t>
  </si>
  <si>
    <t>BA-0175</t>
  </si>
  <si>
    <t>BA-0176</t>
  </si>
  <si>
    <t>BA-0177</t>
  </si>
  <si>
    <t>BA-0178</t>
  </si>
  <si>
    <t>BA-0179</t>
  </si>
  <si>
    <t>BA-0180</t>
  </si>
  <si>
    <t>BA-0181</t>
  </si>
  <si>
    <t>BA-0182</t>
  </si>
  <si>
    <t>BA-0183</t>
  </si>
  <si>
    <t>BA-0184</t>
  </si>
  <si>
    <t>BA-0185</t>
  </si>
  <si>
    <t>BA-0186</t>
  </si>
  <si>
    <t>BA-0187</t>
  </si>
  <si>
    <t>BA-0188</t>
  </si>
  <si>
    <t>BA-0189</t>
  </si>
  <si>
    <t>BA-0190</t>
  </si>
  <si>
    <t>BA-0191</t>
  </si>
  <si>
    <t>BA-0192</t>
  </si>
  <si>
    <t>BA-0193</t>
  </si>
  <si>
    <t>BA-0194</t>
  </si>
  <si>
    <t>BA-0195</t>
  </si>
  <si>
    <t>BA-0196</t>
  </si>
  <si>
    <t>BA-0197</t>
  </si>
  <si>
    <t>BA-0198</t>
  </si>
  <si>
    <t>BA-0199</t>
  </si>
  <si>
    <t>BA-0200</t>
  </si>
  <si>
    <t>BA-0201</t>
  </si>
  <si>
    <t>BA-0202</t>
  </si>
  <si>
    <t>BA-0203</t>
  </si>
  <si>
    <t>BA-0204</t>
  </si>
  <si>
    <t>BA-0205</t>
  </si>
  <si>
    <t>BA-0206</t>
  </si>
  <si>
    <t>BA-0207</t>
  </si>
  <si>
    <t>BA-0208</t>
  </si>
  <si>
    <t>BA-0209</t>
  </si>
  <si>
    <t>BA-0210</t>
  </si>
  <si>
    <t>BA-0211</t>
  </si>
  <si>
    <t>BA-0212</t>
  </si>
  <si>
    <t>BA-0213</t>
  </si>
  <si>
    <t>BA-0214</t>
  </si>
  <si>
    <t>BA-0215</t>
  </si>
  <si>
    <t>BA-0216</t>
  </si>
  <si>
    <t>BA-0217</t>
  </si>
  <si>
    <t>BA-0218</t>
  </si>
  <si>
    <t>BA-0219</t>
  </si>
  <si>
    <t>BA-0220</t>
  </si>
  <si>
    <t>BA-0221</t>
  </si>
  <si>
    <t>BA-0222</t>
  </si>
  <si>
    <t>BA-0223</t>
  </si>
  <si>
    <t>BA-0224</t>
  </si>
  <si>
    <t>BA-0225</t>
  </si>
  <si>
    <t>BA-0226</t>
  </si>
  <si>
    <t>BA-0227</t>
  </si>
  <si>
    <t>BA-0228</t>
  </si>
  <si>
    <t>BA-0229</t>
  </si>
  <si>
    <t>BA-0230</t>
  </si>
  <si>
    <t>BA-0231</t>
  </si>
  <si>
    <t>BA-0232</t>
  </si>
  <si>
    <t>BA-0233</t>
  </si>
  <si>
    <t>BA-0234</t>
  </si>
  <si>
    <t>BA-0235</t>
  </si>
  <si>
    <t>BA-0236</t>
  </si>
  <si>
    <t>BA-0237</t>
  </si>
  <si>
    <t>BA-0238</t>
  </si>
  <si>
    <t>BA-0239</t>
  </si>
  <si>
    <t>BA-0240</t>
  </si>
  <si>
    <t>BA-0241</t>
  </si>
  <si>
    <t>BA-0242</t>
  </si>
  <si>
    <t>BA-0243</t>
  </si>
  <si>
    <t>BA-0244</t>
  </si>
  <si>
    <t>BA-0245</t>
  </si>
  <si>
    <t>BA-0246</t>
  </si>
  <si>
    <t>BA-0247</t>
  </si>
  <si>
    <t>BA-0248</t>
  </si>
  <si>
    <t>BA-0249</t>
  </si>
  <si>
    <t>BA-0250</t>
  </si>
  <si>
    <t>BA-0251</t>
  </si>
  <si>
    <t>BA-0252</t>
  </si>
  <si>
    <t>BA-0253</t>
  </si>
  <si>
    <t>BA-0254</t>
  </si>
  <si>
    <t>BA-0255</t>
  </si>
  <si>
    <t>BA-0256</t>
  </si>
  <si>
    <t>BA-0257</t>
  </si>
  <si>
    <t>BA-0258</t>
  </si>
  <si>
    <t>BA-0259</t>
  </si>
  <si>
    <t>BA-0260</t>
  </si>
  <si>
    <t>BA-0261</t>
  </si>
  <si>
    <t>BA-0262</t>
  </si>
  <si>
    <t>BA-0263</t>
  </si>
  <si>
    <t>BA-0264</t>
  </si>
  <si>
    <t>BA-0265</t>
  </si>
  <si>
    <t>BA-0266</t>
  </si>
  <si>
    <t>BA-0267</t>
  </si>
  <si>
    <t>BA-0268</t>
  </si>
  <si>
    <t>BA-0269</t>
  </si>
  <si>
    <t>BA-0270</t>
  </si>
  <si>
    <t>BA-0271</t>
  </si>
  <si>
    <t>BA-0272</t>
  </si>
  <si>
    <t>BA-0273</t>
  </si>
  <si>
    <t>BA-0274</t>
  </si>
  <si>
    <t>BA-0275</t>
  </si>
  <si>
    <t>BA-0276</t>
  </si>
  <si>
    <t>BA-0277</t>
  </si>
  <si>
    <t>BA-0278</t>
  </si>
  <si>
    <t>BA-0279</t>
  </si>
  <si>
    <t>BA-0280</t>
  </si>
  <si>
    <t>BA-0281</t>
  </si>
  <si>
    <t>BA-0282</t>
  </si>
  <si>
    <t>BA-0283</t>
  </si>
  <si>
    <t>BA-0284</t>
  </si>
  <si>
    <t>BA-0285</t>
  </si>
  <si>
    <t>BA-0286</t>
  </si>
  <si>
    <t>BA-0287</t>
  </si>
  <si>
    <t>BA-0288</t>
  </si>
  <si>
    <t>BA-0289</t>
  </si>
  <si>
    <t>BA-0290</t>
  </si>
  <si>
    <t>BA-0291</t>
  </si>
  <si>
    <t>BA-0292</t>
  </si>
  <si>
    <t>BA-0293</t>
  </si>
  <si>
    <t>BA-0294</t>
  </si>
  <si>
    <t>BA-0295</t>
  </si>
  <si>
    <t>BA-0296</t>
  </si>
  <si>
    <t>BA-0297</t>
  </si>
  <si>
    <t>BA-0298</t>
  </si>
  <si>
    <t>BA-0299</t>
  </si>
  <si>
    <t>BA-0300</t>
  </si>
  <si>
    <t>BA-0301</t>
  </si>
  <si>
    <t>BA-0302</t>
  </si>
  <si>
    <t>BA-0303</t>
  </si>
  <si>
    <t>BA-0304</t>
  </si>
  <si>
    <t>BA-0305</t>
  </si>
  <si>
    <t>BA-0306</t>
  </si>
  <si>
    <t>BA-0307</t>
  </si>
  <si>
    <t>BA-0308</t>
  </si>
  <si>
    <t>BA-0309</t>
  </si>
  <si>
    <t>BA-0310</t>
  </si>
  <si>
    <t>BA-0311</t>
  </si>
  <si>
    <t>BA-0312</t>
  </si>
  <si>
    <t>BA-0313</t>
  </si>
  <si>
    <t>BA-0314</t>
  </si>
  <si>
    <t>BA-0315</t>
  </si>
  <si>
    <t>BA-0316</t>
  </si>
  <si>
    <t>BA-0317</t>
  </si>
  <si>
    <t>BA-0318</t>
  </si>
  <si>
    <t>BA-0319</t>
  </si>
  <si>
    <t>BA-0320</t>
  </si>
  <si>
    <t>BA-0321</t>
  </si>
  <si>
    <t>BA-0322</t>
  </si>
  <si>
    <t>BA-0323</t>
  </si>
  <si>
    <t>BA-0324</t>
  </si>
  <si>
    <t>BA-0325</t>
  </si>
  <si>
    <t>BA-0326</t>
  </si>
  <si>
    <t>BA-0327</t>
  </si>
  <si>
    <t>BA-0328</t>
  </si>
  <si>
    <t>BA-0329</t>
  </si>
  <si>
    <t>BA-0330</t>
  </si>
  <si>
    <t>BA-0331</t>
  </si>
  <si>
    <t>BA-0332</t>
  </si>
  <si>
    <t>BA-0333</t>
  </si>
  <si>
    <t>BA-0334</t>
  </si>
  <si>
    <t>BA-0335</t>
  </si>
  <si>
    <t>BA-0336</t>
  </si>
  <si>
    <t>BA-0337</t>
  </si>
  <si>
    <t>BA-0338</t>
  </si>
  <si>
    <t>BA-0339</t>
  </si>
  <si>
    <t>BA-0340</t>
  </si>
  <si>
    <t>BA-0341</t>
  </si>
  <si>
    <t>BA-0342</t>
  </si>
  <si>
    <t>BA-0343</t>
  </si>
  <si>
    <t>BA-0344</t>
  </si>
  <si>
    <t>BA-0345</t>
  </si>
  <si>
    <t>BA-0346</t>
  </si>
  <si>
    <t>BA-0347</t>
  </si>
  <si>
    <t>BA-0348</t>
  </si>
  <si>
    <t>BA-0349</t>
  </si>
  <si>
    <t>BA-0350</t>
  </si>
  <si>
    <t>BA-0351</t>
  </si>
  <si>
    <t>BA-0352</t>
  </si>
  <si>
    <t>BA-0353</t>
  </si>
  <si>
    <t>BA-0354</t>
  </si>
  <si>
    <t>BA-0355</t>
  </si>
  <si>
    <t>BA-0356</t>
  </si>
  <si>
    <t>BA-0357</t>
  </si>
  <si>
    <t>BA-0358</t>
  </si>
  <si>
    <t>BA-0359</t>
  </si>
  <si>
    <t>BA-0360</t>
  </si>
  <si>
    <t>BA-0361</t>
  </si>
  <si>
    <t>BA-0362</t>
  </si>
  <si>
    <t>BA-0363</t>
  </si>
  <si>
    <t>BA-0364</t>
  </si>
  <si>
    <t>BA-0365</t>
  </si>
  <si>
    <t>BA-0366</t>
  </si>
  <si>
    <t>BA-0367</t>
  </si>
  <si>
    <t>BA-0368</t>
  </si>
  <si>
    <t>BA-0369</t>
  </si>
  <si>
    <t>BA-0370</t>
  </si>
  <si>
    <t>BA-0371</t>
  </si>
  <si>
    <t>BA-0372</t>
  </si>
  <si>
    <t>BA-0373</t>
  </si>
  <si>
    <t>BA-0374</t>
  </si>
  <si>
    <t>BA-0375</t>
  </si>
  <si>
    <t>BA-0376</t>
  </si>
  <si>
    <t>BA-0377</t>
  </si>
  <si>
    <t>BA-0378</t>
  </si>
  <si>
    <t>BA-0379</t>
  </si>
  <si>
    <t>BA-0380</t>
  </si>
  <si>
    <t>BA-0381</t>
  </si>
  <si>
    <t>BA-0382</t>
  </si>
  <si>
    <t>BA-0383</t>
  </si>
  <si>
    <t>BA-0384</t>
  </si>
  <si>
    <t>BA-0385</t>
  </si>
  <si>
    <t>BA-0386</t>
  </si>
  <si>
    <t>BA-0387</t>
  </si>
  <si>
    <t>BA-0388</t>
  </si>
  <si>
    <t>BA-0389</t>
  </si>
  <si>
    <t>BA-0390</t>
  </si>
  <si>
    <t>BA-0391</t>
  </si>
  <si>
    <t>BA-0392</t>
  </si>
  <si>
    <t>BA-0393</t>
  </si>
  <si>
    <t>BA-0394</t>
  </si>
  <si>
    <t>BA-0395</t>
  </si>
  <si>
    <t>BA-0396</t>
  </si>
  <si>
    <t>BA-0397</t>
  </si>
  <si>
    <t>BA-0398</t>
  </si>
  <si>
    <t>BA-0399</t>
  </si>
  <si>
    <t>BA-0400</t>
  </si>
  <si>
    <t>BA-0401</t>
  </si>
  <si>
    <t>BA-0402</t>
  </si>
  <si>
    <t>BA-0403</t>
  </si>
  <si>
    <t>BA-0404</t>
  </si>
  <si>
    <t>BA-0405</t>
  </si>
  <si>
    <t>BA-0406</t>
  </si>
  <si>
    <t>BA-0407</t>
  </si>
  <si>
    <t>BA-0408</t>
  </si>
  <si>
    <t>BA-0409</t>
  </si>
  <si>
    <t>BA-0410</t>
  </si>
  <si>
    <t>BA-0411</t>
  </si>
  <si>
    <t>BA-0412</t>
  </si>
  <si>
    <t>BA-0413</t>
  </si>
  <si>
    <t>BA-0414</t>
  </si>
  <si>
    <t>BA-0415</t>
  </si>
  <si>
    <t>BA-0416</t>
  </si>
  <si>
    <t>BA-0417</t>
  </si>
  <si>
    <t>BA-0418</t>
  </si>
  <si>
    <t>BA-0419</t>
  </si>
  <si>
    <t>BA-0420</t>
  </si>
  <si>
    <t>BA-0421</t>
  </si>
  <si>
    <t>BA-0422</t>
  </si>
  <si>
    <t>BA-0423</t>
  </si>
  <si>
    <t>BA-0424</t>
  </si>
  <si>
    <t>BA-0425</t>
  </si>
  <si>
    <t>BA-0426</t>
  </si>
  <si>
    <t>BA-0427</t>
  </si>
  <si>
    <t>BA-0428</t>
  </si>
  <si>
    <t>BA-0429</t>
  </si>
  <si>
    <t>BA-0430</t>
  </si>
  <si>
    <t>BA-0431</t>
  </si>
  <si>
    <t>BA-0432</t>
  </si>
  <si>
    <t>BA-0433</t>
  </si>
  <si>
    <t>BA-0434</t>
  </si>
  <si>
    <t>BA-0435</t>
  </si>
  <si>
    <t>BA-0436</t>
  </si>
  <si>
    <t>BA-0437</t>
  </si>
  <si>
    <t>BA-0438</t>
  </si>
  <si>
    <t>BA-0439</t>
  </si>
  <si>
    <t>BA-0440</t>
  </si>
  <si>
    <t>BA-0441</t>
  </si>
  <si>
    <t>BA-0442</t>
  </si>
  <si>
    <t>BA-0443</t>
  </si>
  <si>
    <t>BA-0444</t>
  </si>
  <si>
    <t>BA-0445</t>
  </si>
  <si>
    <t>BA-0446</t>
  </si>
  <si>
    <t>BA-0447</t>
  </si>
  <si>
    <t>BA-0448</t>
  </si>
  <si>
    <t>BA-0449</t>
  </si>
  <si>
    <t>BA-0450</t>
  </si>
  <si>
    <t>BA-0451</t>
  </si>
  <si>
    <t>BA-0452</t>
  </si>
  <si>
    <t>BA-0453</t>
  </si>
  <si>
    <t>BA-0454</t>
  </si>
  <si>
    <t>BA-0455</t>
  </si>
  <si>
    <t>BA-0456</t>
  </si>
  <si>
    <t>BA-0457</t>
  </si>
  <si>
    <t>BA-0458</t>
  </si>
  <si>
    <t>BA-0459</t>
  </si>
  <si>
    <t>BA-0460</t>
  </si>
  <si>
    <t>BA-0461</t>
  </si>
  <si>
    <t>BA-0462</t>
  </si>
  <si>
    <t>BA-0463</t>
  </si>
  <si>
    <t>BA-0464</t>
  </si>
  <si>
    <t>BA-0465</t>
  </si>
  <si>
    <t>BA-0466</t>
  </si>
  <si>
    <t>BA-0467</t>
  </si>
  <si>
    <t>BA-0468</t>
  </si>
  <si>
    <t>BA-0469</t>
  </si>
  <si>
    <t>BA-0470</t>
  </si>
  <si>
    <t>BA-0471</t>
  </si>
  <si>
    <t>BA-0472</t>
  </si>
  <si>
    <t>BA-0473</t>
  </si>
  <si>
    <t>BA-0474</t>
  </si>
  <si>
    <t>BA-0475</t>
  </si>
  <si>
    <t>BA-0476</t>
  </si>
  <si>
    <t>BA-0477</t>
  </si>
  <si>
    <t>BA-0478</t>
  </si>
  <si>
    <t>BA-0479</t>
  </si>
  <si>
    <t>BA-0480</t>
  </si>
  <si>
    <t>BA-0481</t>
  </si>
  <si>
    <t>BA-0482</t>
  </si>
  <si>
    <t>BA-0483</t>
  </si>
  <si>
    <t>BA-0484</t>
  </si>
  <si>
    <t>BA-0485</t>
  </si>
  <si>
    <t>BA-0486</t>
  </si>
  <si>
    <t>BA-0487</t>
  </si>
  <si>
    <t>BA-0488</t>
  </si>
  <si>
    <t>BA-0489</t>
  </si>
  <si>
    <t>BA-0490</t>
  </si>
  <si>
    <t>BA-0491</t>
  </si>
  <si>
    <t>BA-0492</t>
  </si>
  <si>
    <t>BA-0493</t>
  </si>
  <si>
    <t>BA-0494</t>
  </si>
  <si>
    <t>BA-0495</t>
  </si>
  <si>
    <t>BA-0496</t>
  </si>
  <si>
    <t>BA-0497</t>
  </si>
  <si>
    <t>BA-0498</t>
  </si>
  <si>
    <t>BA-0499</t>
  </si>
  <si>
    <t>BA-0500</t>
  </si>
  <si>
    <t>BA-0501</t>
  </si>
  <si>
    <t>BA-0502</t>
  </si>
  <si>
    <t>BA-0503</t>
  </si>
  <si>
    <t>BA-0504</t>
  </si>
  <si>
    <t>BA-0505</t>
  </si>
  <si>
    <t>BA-0506</t>
  </si>
  <si>
    <t>BA-0507</t>
  </si>
  <si>
    <t>BA-0508</t>
  </si>
  <si>
    <t>BA-0509</t>
  </si>
  <si>
    <t>BA-0510</t>
  </si>
  <si>
    <t>BA-0511</t>
  </si>
  <si>
    <t>BA-0512</t>
  </si>
  <si>
    <t>BA-0513</t>
  </si>
  <si>
    <t>BA-0514</t>
  </si>
  <si>
    <t>BA-0515</t>
  </si>
  <si>
    <t>BA-0516</t>
  </si>
  <si>
    <t>BA-0517</t>
  </si>
  <si>
    <t>BA-0518</t>
  </si>
  <si>
    <t>BA-0519</t>
  </si>
  <si>
    <t>BA-0520</t>
  </si>
  <si>
    <t>BA-0521</t>
  </si>
  <si>
    <t>BA-0522</t>
  </si>
  <si>
    <t>BA-0523</t>
  </si>
  <si>
    <t>BA-0524</t>
  </si>
  <si>
    <t>BA-0525</t>
  </si>
  <si>
    <t>BA-0526</t>
  </si>
  <si>
    <t>BA-0527</t>
  </si>
  <si>
    <t>BA-0528</t>
  </si>
  <si>
    <t>BA-0529</t>
  </si>
  <si>
    <t>BA-0530</t>
  </si>
  <si>
    <t>BA-0531</t>
  </si>
  <si>
    <t>BA-0532</t>
  </si>
  <si>
    <t>BA-0533</t>
  </si>
  <si>
    <t>BA-0534</t>
  </si>
  <si>
    <t>BA-0535</t>
  </si>
  <si>
    <t>BA-0536</t>
  </si>
  <si>
    <t>BA-0537</t>
  </si>
  <si>
    <t>BA-0538</t>
  </si>
  <si>
    <t>BA-0539</t>
  </si>
  <si>
    <t>BA-0540</t>
  </si>
  <si>
    <t>BA-0541</t>
  </si>
  <si>
    <t>BA-0542</t>
  </si>
  <si>
    <t>BA-0543</t>
  </si>
  <si>
    <t>BA-0544</t>
  </si>
  <si>
    <t>BA-0545</t>
  </si>
  <si>
    <t>BA-0546</t>
  </si>
  <si>
    <t>BA-0547</t>
  </si>
  <si>
    <t>BA-0548</t>
  </si>
  <si>
    <t>BA-0549</t>
  </si>
  <si>
    <t>BA-0550</t>
  </si>
  <si>
    <t>BA-0551</t>
  </si>
  <si>
    <t>BA-0552</t>
  </si>
  <si>
    <t>BA-0553</t>
  </si>
  <si>
    <t>BA-0554</t>
  </si>
  <si>
    <t>BA-0555</t>
  </si>
  <si>
    <t>BA-0556</t>
  </si>
  <si>
    <t>BA-0557</t>
  </si>
  <si>
    <t>BA-0558</t>
  </si>
  <si>
    <t>BA-0559</t>
  </si>
  <si>
    <t>BA-0560</t>
  </si>
  <si>
    <t>BA-0561</t>
  </si>
  <si>
    <t>BA-0562</t>
  </si>
  <si>
    <t>BA-0563</t>
  </si>
  <si>
    <t>BA-0564</t>
  </si>
  <si>
    <t>BA-0565</t>
  </si>
  <si>
    <t>BA-0566</t>
  </si>
  <si>
    <t>BA-0567</t>
  </si>
  <si>
    <t>BA-0568</t>
  </si>
  <si>
    <t>BA-0569</t>
  </si>
  <si>
    <t>BA-0570</t>
  </si>
  <si>
    <t>BA-0571</t>
  </si>
  <si>
    <t>BA-0572</t>
  </si>
  <si>
    <t>BA-0573</t>
  </si>
  <si>
    <t>BA-0574</t>
  </si>
  <si>
    <t>BA-0575</t>
  </si>
  <si>
    <t>BA-0576</t>
  </si>
  <si>
    <t>BA-0577</t>
  </si>
  <si>
    <t>BA-0578</t>
  </si>
  <si>
    <t>BA-0579</t>
  </si>
  <si>
    <t>BA-0580</t>
  </si>
  <si>
    <t>BA-0581</t>
  </si>
  <si>
    <t>BA-0582</t>
  </si>
  <si>
    <t>BA-0583</t>
  </si>
  <si>
    <t>BA-0584</t>
  </si>
  <si>
    <t>BA-0585</t>
  </si>
  <si>
    <t>BA-0586</t>
  </si>
  <si>
    <t>BA-0587</t>
  </si>
  <si>
    <t>BA-0588</t>
  </si>
  <si>
    <t>BA-0589</t>
  </si>
  <si>
    <t>BA-0590</t>
  </si>
  <si>
    <t>BA-0591</t>
  </si>
  <si>
    <t>BA-0592</t>
  </si>
  <si>
    <t>BA-0593</t>
  </si>
  <si>
    <t>BA-0594</t>
  </si>
  <si>
    <t>BA-0595</t>
  </si>
  <si>
    <t>BA-0596</t>
  </si>
  <si>
    <t>BA-0597</t>
  </si>
  <si>
    <t>BA-0598</t>
  </si>
  <si>
    <t>BA-0599</t>
  </si>
  <si>
    <t>BA-0600</t>
  </si>
  <si>
    <t>BA-0601</t>
  </si>
  <si>
    <t>BA-0602</t>
  </si>
  <si>
    <t>BA-0603</t>
  </si>
  <si>
    <t>BA-0604</t>
  </si>
  <si>
    <t>BA-0605</t>
  </si>
  <si>
    <t>BA-0606</t>
  </si>
  <si>
    <t>BA-0607</t>
  </si>
  <si>
    <t>BA-0608</t>
  </si>
  <si>
    <t>BA-0609</t>
  </si>
  <si>
    <t>BA-0610</t>
  </si>
  <si>
    <t>BA-0611</t>
  </si>
  <si>
    <t>BA-0612</t>
  </si>
  <si>
    <t>BA-0613</t>
  </si>
  <si>
    <t>BA-0614</t>
  </si>
  <si>
    <t>BA-0615</t>
  </si>
  <si>
    <t>BA-0616</t>
  </si>
  <si>
    <t>BA-0617</t>
  </si>
  <si>
    <t>BA-0618</t>
  </si>
  <si>
    <t>BA-0619</t>
  </si>
  <si>
    <t>BA-0620</t>
  </si>
  <si>
    <t>BA-0621</t>
  </si>
  <si>
    <t>BA-0622</t>
  </si>
  <si>
    <t>BA-0623</t>
  </si>
  <si>
    <t>BA-0624</t>
  </si>
  <si>
    <t>BA-0625</t>
  </si>
  <si>
    <t>BA-0626</t>
  </si>
  <si>
    <t>BA-0627</t>
  </si>
  <si>
    <t>BA-0628</t>
  </si>
  <si>
    <t>BA-0629</t>
  </si>
  <si>
    <t>BA-0630</t>
  </si>
  <si>
    <t>BA-0631</t>
  </si>
  <si>
    <t>BA-0632</t>
  </si>
  <si>
    <t>BA-0633</t>
  </si>
  <si>
    <t>BA-0634</t>
  </si>
  <si>
    <t>BA-0635</t>
  </si>
  <si>
    <t>BA-0636</t>
  </si>
  <si>
    <t>BA-0637</t>
  </si>
  <si>
    <t>BA-0638</t>
  </si>
  <si>
    <t>BA-0639</t>
  </si>
  <si>
    <t>BA-0640</t>
  </si>
  <si>
    <t>BA-0641</t>
  </si>
  <si>
    <t>BA-0642</t>
  </si>
  <si>
    <t>BA-0643</t>
  </si>
  <si>
    <t>BA-0644</t>
  </si>
  <si>
    <t>BA-0645</t>
  </si>
  <si>
    <t>BA-0646</t>
  </si>
  <si>
    <t>BA-0647</t>
  </si>
  <si>
    <t>BA-0648</t>
  </si>
  <si>
    <t>BA-0649</t>
  </si>
  <si>
    <t>BA-0650</t>
  </si>
  <si>
    <t>BA-0651</t>
  </si>
  <si>
    <t>BA-0652</t>
  </si>
  <si>
    <t>BA-0653</t>
  </si>
  <si>
    <t>BA-0654</t>
  </si>
  <si>
    <t>BA-0655</t>
  </si>
  <si>
    <t>BA-0656</t>
  </si>
  <si>
    <t>BA-0657</t>
  </si>
  <si>
    <t>BA-0658</t>
  </si>
  <si>
    <t>BA-0659</t>
  </si>
  <si>
    <t>BA-0660</t>
  </si>
  <si>
    <t>BA-0661</t>
  </si>
  <si>
    <t>BA-0662</t>
  </si>
  <si>
    <t>BA-0663</t>
  </si>
  <si>
    <t>BA-0664</t>
  </si>
  <si>
    <t>BA-0665</t>
  </si>
  <si>
    <t>BA-0666</t>
  </si>
  <si>
    <t>BA-0667</t>
  </si>
  <si>
    <t>BA-0668</t>
  </si>
  <si>
    <t>BA-0669</t>
  </si>
  <si>
    <t>BA-0670</t>
  </si>
  <si>
    <t>BA-0671</t>
  </si>
  <si>
    <t>BA-0672</t>
  </si>
  <si>
    <t>BA-0673</t>
  </si>
  <si>
    <t>BA-0674</t>
  </si>
  <si>
    <t>BA-0675</t>
  </si>
  <si>
    <t>BA-0676</t>
  </si>
  <si>
    <t>BA-0677</t>
  </si>
  <si>
    <t>BA-0678</t>
  </si>
  <si>
    <t>BA-0679</t>
  </si>
  <si>
    <t>BA-0680</t>
  </si>
  <si>
    <t>BA-0681</t>
  </si>
  <si>
    <t>BA-0682</t>
  </si>
  <si>
    <t>BA-0683</t>
  </si>
  <si>
    <t>BA-0684</t>
  </si>
  <si>
    <t>BA-0685</t>
  </si>
  <si>
    <t>BA-0686</t>
  </si>
  <si>
    <t>BA-0687</t>
  </si>
  <si>
    <t>BA-0688</t>
  </si>
  <si>
    <t>BA-0689</t>
  </si>
  <si>
    <t>BA-0690</t>
  </si>
  <si>
    <t>BA-0691</t>
  </si>
  <si>
    <t>BA-0692</t>
  </si>
  <si>
    <t>BA-0693</t>
  </si>
  <si>
    <t>BA-0694</t>
  </si>
  <si>
    <t>BA-0695</t>
  </si>
  <si>
    <t>BA-0696</t>
  </si>
  <si>
    <t>BA-0697</t>
  </si>
  <si>
    <t>BA-0698</t>
  </si>
  <si>
    <t>BA-0699</t>
  </si>
  <si>
    <t>BA-0700</t>
  </si>
  <si>
    <t>BA-0701</t>
  </si>
  <si>
    <t>BA-0702</t>
  </si>
  <si>
    <t>BA-0703</t>
  </si>
  <si>
    <t>BA-0704</t>
  </si>
  <si>
    <t>BA-0705</t>
  </si>
  <si>
    <t>BA-0706</t>
  </si>
  <si>
    <t>BA-0707</t>
  </si>
  <si>
    <t>BA-0708</t>
  </si>
  <si>
    <t>BA-0709</t>
  </si>
  <si>
    <t>BA-0710</t>
  </si>
  <si>
    <t>BA-0711</t>
  </si>
  <si>
    <t>BA-0712</t>
  </si>
  <si>
    <t>BA-0713</t>
  </si>
  <si>
    <t>BA-0714</t>
  </si>
  <si>
    <t>BA-0715</t>
  </si>
  <si>
    <t>BA-0716</t>
  </si>
  <si>
    <t>BA-0717</t>
  </si>
  <si>
    <t>BA-0718</t>
  </si>
  <si>
    <t>BA-0719</t>
  </si>
  <si>
    <t>BA-0720</t>
  </si>
  <si>
    <t>BA-0721</t>
  </si>
  <si>
    <t>BA-0722</t>
  </si>
  <si>
    <t>BA-0723</t>
  </si>
  <si>
    <t>BA-0724</t>
  </si>
  <si>
    <t>BA-0725</t>
  </si>
  <si>
    <t>BA-0726</t>
  </si>
  <si>
    <t>BA-0727</t>
  </si>
  <si>
    <t>BA-0728</t>
  </si>
  <si>
    <t>BA-0729</t>
  </si>
  <si>
    <t>BA-0730</t>
  </si>
  <si>
    <t>BA-0731</t>
  </si>
  <si>
    <t>BA-0732</t>
  </si>
  <si>
    <t>BA-0733</t>
  </si>
  <si>
    <t>BA-0734</t>
  </si>
  <si>
    <t>BA-0735</t>
  </si>
  <si>
    <t>BA-0736</t>
  </si>
  <si>
    <t>BA-0737</t>
  </si>
  <si>
    <t>BA-0738</t>
  </si>
  <si>
    <t>BA-0739</t>
  </si>
  <si>
    <t>BA-0740</t>
  </si>
  <si>
    <t>BA-0741</t>
  </si>
  <si>
    <t>BA-0742</t>
  </si>
  <si>
    <t>BA-0743</t>
  </si>
  <si>
    <t>BA-0744</t>
  </si>
  <si>
    <t>BA-0745</t>
  </si>
  <si>
    <t>BA-0746</t>
  </si>
  <si>
    <t>BA-0747</t>
  </si>
  <si>
    <t>BA-0748</t>
  </si>
  <si>
    <t>BA-0749</t>
  </si>
  <si>
    <t>BA-0750</t>
  </si>
  <si>
    <t>BA-0751</t>
  </si>
  <si>
    <t>BA-0752</t>
  </si>
  <si>
    <t>BA-0753</t>
  </si>
  <si>
    <t>BA-0754</t>
  </si>
  <si>
    <t>BA-0755</t>
  </si>
  <si>
    <t>BA-0756</t>
  </si>
  <si>
    <t>BA-0757</t>
  </si>
  <si>
    <t>BA-0758</t>
  </si>
  <si>
    <t>BA-0759</t>
  </si>
  <si>
    <t>BA-0760</t>
  </si>
  <si>
    <t>BA-0761</t>
  </si>
  <si>
    <t>BA-0762</t>
  </si>
  <si>
    <t>BA-0763</t>
  </si>
  <si>
    <t>BA-0764</t>
  </si>
  <si>
    <t>BA-0765</t>
  </si>
  <si>
    <t>BA-0766</t>
  </si>
  <si>
    <t>BA-0767</t>
  </si>
  <si>
    <t>BA-0768</t>
  </si>
  <si>
    <t>BA-0769</t>
  </si>
  <si>
    <t>BA-0770</t>
  </si>
  <si>
    <t>BA-0771</t>
  </si>
  <si>
    <t>BA-0772</t>
  </si>
  <si>
    <t>BA-0773</t>
  </si>
  <si>
    <t>BA-0774</t>
  </si>
  <si>
    <t>BA-0775</t>
  </si>
  <si>
    <t>BA-0776</t>
  </si>
  <si>
    <t>BA-0777</t>
  </si>
  <si>
    <t>BA-0778</t>
  </si>
  <si>
    <t>BA-0779</t>
  </si>
  <si>
    <t>BA-0780</t>
  </si>
  <si>
    <t>BA-0781</t>
  </si>
  <si>
    <t>BA-0782</t>
  </si>
  <si>
    <t>BA-0783</t>
  </si>
  <si>
    <t>BA-0784</t>
  </si>
  <si>
    <t>BA-0785</t>
  </si>
  <si>
    <t>BA-0786</t>
  </si>
  <si>
    <t>BA-0787</t>
  </si>
  <si>
    <t>BA-0788</t>
  </si>
  <si>
    <t>BA-0789</t>
  </si>
  <si>
    <t>BA-0790</t>
  </si>
  <si>
    <t>BA-0791</t>
  </si>
  <si>
    <t>BA-0792</t>
  </si>
  <si>
    <t>BA-0793</t>
  </si>
  <si>
    <t>BA-0794</t>
  </si>
  <si>
    <t>BA-0795</t>
  </si>
  <si>
    <t>BA-0796</t>
  </si>
  <si>
    <t>BA-0797</t>
  </si>
  <si>
    <t>BA-0798</t>
  </si>
  <si>
    <t>BA-0799</t>
  </si>
  <si>
    <t>BA-0800</t>
  </si>
  <si>
    <t>BA-0801</t>
  </si>
  <si>
    <t>BA-0802</t>
  </si>
  <si>
    <t>BA-0803</t>
  </si>
  <si>
    <t>BA-0804</t>
  </si>
  <si>
    <t>BA-0805</t>
  </si>
  <si>
    <t>BA-0806</t>
  </si>
  <si>
    <t>BA-0807</t>
  </si>
  <si>
    <t>BA-0808</t>
  </si>
  <si>
    <t>BA-0809</t>
  </si>
  <si>
    <t>BA-0810</t>
  </si>
  <si>
    <t>BA-0811</t>
  </si>
  <si>
    <t>BA-0812</t>
  </si>
  <si>
    <t>BA-0813</t>
  </si>
  <si>
    <t>BA-0814</t>
  </si>
  <si>
    <t>BA-0815</t>
  </si>
  <si>
    <t>BA-0816</t>
  </si>
  <si>
    <t>BA-0817</t>
  </si>
  <si>
    <t>BA-0818</t>
  </si>
  <si>
    <t>BA-0819</t>
  </si>
  <si>
    <t>BA-0820</t>
  </si>
  <si>
    <t>BA-0821</t>
  </si>
  <si>
    <t>BA-0822</t>
  </si>
  <si>
    <t>BA-0823</t>
  </si>
  <si>
    <t>BA-0824</t>
  </si>
  <si>
    <t>BA-0825</t>
  </si>
  <si>
    <t>BA-0826</t>
  </si>
  <si>
    <t>BA-0827</t>
  </si>
  <si>
    <t>BA-0828</t>
  </si>
  <si>
    <t>BA-0829</t>
  </si>
  <si>
    <t>BA-0830</t>
  </si>
  <si>
    <t>BA-0831</t>
  </si>
  <si>
    <t>BA-0832</t>
  </si>
  <si>
    <t>BA-0833</t>
  </si>
  <si>
    <t>BA-0834</t>
  </si>
  <si>
    <t>BA-0835</t>
  </si>
  <si>
    <t>BA-0836</t>
  </si>
  <si>
    <t>BA-0837</t>
  </si>
  <si>
    <t>BA-0838</t>
  </si>
  <si>
    <t>BA-0839</t>
  </si>
  <si>
    <t>BA-0840</t>
  </si>
  <si>
    <t>BA-0841</t>
  </si>
  <si>
    <t>BA-0842</t>
  </si>
  <si>
    <t>BA-0843</t>
  </si>
  <si>
    <t>BA-0844</t>
  </si>
  <si>
    <t>BA-0845</t>
  </si>
  <si>
    <t>BA-0846</t>
  </si>
  <si>
    <t>BA-0847</t>
  </si>
  <si>
    <t>BA-0848</t>
  </si>
  <si>
    <t>BA-0849</t>
  </si>
  <si>
    <t>BA-0850</t>
  </si>
  <si>
    <t>BA-0851</t>
  </si>
  <si>
    <t>BA-0852</t>
  </si>
  <si>
    <t>BA-0853</t>
  </si>
  <si>
    <t>BA-0854</t>
  </si>
  <si>
    <t>BA-0855</t>
  </si>
  <si>
    <t>BA-0856</t>
  </si>
  <si>
    <t>BA-0857</t>
  </si>
  <si>
    <t>BA-0858</t>
  </si>
  <si>
    <t>BA-0859</t>
  </si>
  <si>
    <t>BA-0860</t>
  </si>
  <si>
    <t>BA-0861</t>
  </si>
  <si>
    <t>BA-0862</t>
  </si>
  <si>
    <t>BA-0863</t>
  </si>
  <si>
    <t>BA-0864</t>
  </si>
  <si>
    <t>BA-0865</t>
  </si>
  <si>
    <t>BA-0866</t>
  </si>
  <si>
    <t>BA-0867</t>
  </si>
  <si>
    <t>BA-0868</t>
  </si>
  <si>
    <t>BA-0869</t>
  </si>
  <si>
    <t>BA-0870</t>
  </si>
  <si>
    <t>BA-0871</t>
  </si>
  <si>
    <t>BA-0872</t>
  </si>
  <si>
    <t>BA-0873</t>
  </si>
  <si>
    <t>BA-0874</t>
  </si>
  <si>
    <t>BA-0875</t>
  </si>
  <si>
    <t>BA-0876</t>
  </si>
  <si>
    <t>BA-0877</t>
  </si>
  <si>
    <t>BA-0878</t>
  </si>
  <si>
    <t>BA-0879</t>
  </si>
  <si>
    <t>BA-0880</t>
  </si>
  <si>
    <t>BA-0881</t>
  </si>
  <si>
    <t>BA-0882</t>
  </si>
  <si>
    <t>BA-0883</t>
  </si>
  <si>
    <t>BA-0884</t>
  </si>
  <si>
    <t>BA-0885</t>
  </si>
  <si>
    <t>BA-0886</t>
  </si>
  <si>
    <t>BA-0887</t>
  </si>
  <si>
    <t>BA-0888</t>
  </si>
  <si>
    <t>BA-0889</t>
  </si>
  <si>
    <t>BA-0890</t>
  </si>
  <si>
    <t>BA-0891</t>
  </si>
  <si>
    <t>BA-0892</t>
  </si>
  <si>
    <t>BA-0893</t>
  </si>
  <si>
    <t>BA-0894</t>
  </si>
  <si>
    <t>BA-0895</t>
  </si>
  <si>
    <t>BA-0896</t>
  </si>
  <si>
    <t>BA-0897</t>
  </si>
  <si>
    <t>BA-0898</t>
  </si>
  <si>
    <t>BA-0899</t>
  </si>
  <si>
    <t>BA-0900</t>
  </si>
  <si>
    <t>BA-0901</t>
  </si>
  <si>
    <t>BA-0902</t>
  </si>
  <si>
    <t>BA-0903</t>
  </si>
  <si>
    <t>BA-0904</t>
  </si>
  <si>
    <t>BA-0905</t>
  </si>
  <si>
    <t>BA-0906</t>
  </si>
  <si>
    <t>BA-0907</t>
  </si>
  <si>
    <t>BA-0908</t>
  </si>
  <si>
    <t>BA-0909</t>
  </si>
  <si>
    <t>BA-0910</t>
  </si>
  <si>
    <t>BA-0911</t>
  </si>
  <si>
    <t>BA-0912</t>
  </si>
  <si>
    <t>BA-0913</t>
  </si>
  <si>
    <t>BA-0914</t>
  </si>
  <si>
    <t>BA-0915</t>
  </si>
  <si>
    <t>BA-0916</t>
  </si>
  <si>
    <t>BA-0917</t>
  </si>
  <si>
    <t>BA-0918</t>
  </si>
  <si>
    <t>BA-0919</t>
  </si>
  <si>
    <t>BA-0920</t>
  </si>
  <si>
    <t>BA-0921</t>
  </si>
  <si>
    <t>BA-0922</t>
  </si>
  <si>
    <t>BA-0923</t>
  </si>
  <si>
    <t>BA-0924</t>
  </si>
  <si>
    <t>BA-0925</t>
  </si>
  <si>
    <t>BA-0926</t>
  </si>
  <si>
    <t>BA-0927</t>
  </si>
  <si>
    <t>BA-0928</t>
  </si>
  <si>
    <t>BA-0929</t>
  </si>
  <si>
    <t>BA-0930</t>
  </si>
  <si>
    <t>BA-0931</t>
  </si>
  <si>
    <t>BA-0932</t>
  </si>
  <si>
    <t>BA-0933</t>
  </si>
  <si>
    <t>BA-0934</t>
  </si>
  <si>
    <t>BA-0935</t>
  </si>
  <si>
    <t>BA-0936</t>
  </si>
  <si>
    <t>BA-0937</t>
  </si>
  <si>
    <t>BA-0938</t>
  </si>
  <si>
    <t>BA-0939</t>
  </si>
  <si>
    <t>BA-0940</t>
  </si>
  <si>
    <t>BA-0941</t>
  </si>
  <si>
    <t>BA-0942</t>
  </si>
  <si>
    <t>BA-0943</t>
  </si>
  <si>
    <t>BA-0944</t>
  </si>
  <si>
    <t>BA-0945</t>
  </si>
  <si>
    <t>BA-0946</t>
  </si>
  <si>
    <t>BA-0947</t>
  </si>
  <si>
    <t>BA-0948</t>
  </si>
  <si>
    <t>BA-0949</t>
  </si>
  <si>
    <t>BA-0950</t>
  </si>
  <si>
    <t>BA-0951</t>
  </si>
  <si>
    <t>BA-0952</t>
  </si>
  <si>
    <t>BA-0953</t>
  </si>
  <si>
    <t>BA-0954</t>
  </si>
  <si>
    <t>BA-0955</t>
  </si>
  <si>
    <t>BA-0956</t>
  </si>
  <si>
    <t>BA-0957</t>
  </si>
  <si>
    <t>BA-0958</t>
  </si>
  <si>
    <t>BA-0959</t>
  </si>
  <si>
    <t>BA-0960</t>
  </si>
  <si>
    <t>BA-0961</t>
  </si>
  <si>
    <t>BA-0962</t>
  </si>
  <si>
    <t>BA-0963</t>
  </si>
  <si>
    <t>BA-0964</t>
  </si>
  <si>
    <t>BA-0965</t>
  </si>
  <si>
    <t>BA-0966</t>
  </si>
  <si>
    <t>BA-0967</t>
  </si>
  <si>
    <t>BA-0968</t>
  </si>
  <si>
    <t>BA-0969</t>
  </si>
  <si>
    <t>BA-0970</t>
  </si>
  <si>
    <t>BA-0971</t>
  </si>
  <si>
    <t>BA-0972</t>
  </si>
  <si>
    <t>BA-0973</t>
  </si>
  <si>
    <t>BA-0974</t>
  </si>
  <si>
    <t>BA-0975</t>
  </si>
  <si>
    <t>BA-0976</t>
  </si>
  <si>
    <t>BA-0977</t>
  </si>
  <si>
    <t>BA-0978</t>
  </si>
  <si>
    <t>BA-0979</t>
  </si>
  <si>
    <t>BA-0980</t>
  </si>
  <si>
    <t>BA-0981</t>
  </si>
  <si>
    <t>BA-0982</t>
  </si>
  <si>
    <t>BA-0983</t>
  </si>
  <si>
    <t>BA-0984</t>
  </si>
  <si>
    <t>BA-0985</t>
  </si>
  <si>
    <t>BA-0986</t>
  </si>
  <si>
    <t>BA-0987</t>
  </si>
  <si>
    <t>BA-0988</t>
  </si>
  <si>
    <t>BA-0989</t>
  </si>
  <si>
    <t>BA-0990</t>
  </si>
  <si>
    <t>BA-0991</t>
  </si>
  <si>
    <t>BA-0992</t>
  </si>
  <si>
    <t>BA-0993</t>
  </si>
  <si>
    <t>BA-0994</t>
  </si>
  <si>
    <t>BA-0995</t>
  </si>
  <si>
    <t>BA-0996</t>
  </si>
  <si>
    <t>BA-0997</t>
  </si>
  <si>
    <t>BA-0998</t>
  </si>
  <si>
    <t>BA-0999</t>
  </si>
  <si>
    <t>BA-1000</t>
  </si>
  <si>
    <t>BA-1001</t>
  </si>
  <si>
    <t>BA-1002</t>
  </si>
  <si>
    <t>BA-1003</t>
  </si>
  <si>
    <t>BA-1004</t>
  </si>
  <si>
    <t>BA-1005</t>
  </si>
  <si>
    <t>BA-1006</t>
  </si>
  <si>
    <t>BA-1007</t>
  </si>
  <si>
    <t>BA-1008</t>
  </si>
  <si>
    <t>BA-1009</t>
  </si>
  <si>
    <t>BA-1010</t>
  </si>
  <si>
    <t>BA-1011</t>
  </si>
  <si>
    <t>BA-1012</t>
  </si>
  <si>
    <t>BA-1013</t>
  </si>
  <si>
    <t>BA-1014</t>
  </si>
  <si>
    <t>BA-1015</t>
  </si>
  <si>
    <t>BA-1016</t>
  </si>
  <si>
    <t>BA-1017</t>
  </si>
  <si>
    <t>BA-1018</t>
  </si>
  <si>
    <t>BA-1019</t>
  </si>
  <si>
    <t>BA-1020</t>
  </si>
  <si>
    <t>BA-1021</t>
  </si>
  <si>
    <t>BA-1022</t>
  </si>
  <si>
    <t>BA-1023</t>
  </si>
  <si>
    <t>BA-1024</t>
  </si>
  <si>
    <t>BA-1025</t>
  </si>
  <si>
    <t>BA-1026</t>
  </si>
  <si>
    <t>BA-1027</t>
  </si>
  <si>
    <t>BA-1028</t>
  </si>
  <si>
    <t>BA-1029</t>
  </si>
  <si>
    <t>BA-1030</t>
  </si>
  <si>
    <t>BA-1031</t>
  </si>
  <si>
    <t>BA-1032</t>
  </si>
  <si>
    <t>BA-1033</t>
  </si>
  <si>
    <t>BA-1034</t>
  </si>
  <si>
    <t>BA-1035</t>
  </si>
  <si>
    <t>BA-1036</t>
  </si>
  <si>
    <t>BA-1037</t>
  </si>
  <si>
    <t>BA-1038</t>
  </si>
  <si>
    <t>BA-1039</t>
  </si>
  <si>
    <t>BA-1040</t>
  </si>
  <si>
    <t>BA-1041</t>
  </si>
  <si>
    <t>BA-1042</t>
  </si>
  <si>
    <t>BA-1043</t>
  </si>
  <si>
    <t>BA-1044</t>
  </si>
  <si>
    <t>BA-1045</t>
  </si>
  <si>
    <t>BA-1046</t>
  </si>
  <si>
    <t>BA-1047</t>
  </si>
  <si>
    <t>BA-1048</t>
  </si>
  <si>
    <t>BA-1049</t>
  </si>
  <si>
    <t>BA-1050</t>
  </si>
  <si>
    <t>BA-1051</t>
  </si>
  <si>
    <t>BA-1052</t>
  </si>
  <si>
    <t>BA-1053</t>
  </si>
  <si>
    <t>BA-1054</t>
  </si>
  <si>
    <t>BA-1055</t>
  </si>
  <si>
    <t>BA-1056</t>
  </si>
  <si>
    <t>BA-1057</t>
  </si>
  <si>
    <t>BA-1058</t>
  </si>
  <si>
    <t>BA-1059</t>
  </si>
  <si>
    <t>BA-1060</t>
  </si>
  <si>
    <t>BA-1061</t>
  </si>
  <si>
    <t>BA-1062</t>
  </si>
  <si>
    <t>BA-1063</t>
  </si>
  <si>
    <t>BA-1064</t>
  </si>
  <si>
    <t>BA-1065</t>
  </si>
  <si>
    <t>BA-1066</t>
  </si>
  <si>
    <t>BA-1067</t>
  </si>
  <si>
    <t>BA-1068</t>
  </si>
  <si>
    <t>BA-1069</t>
  </si>
  <si>
    <t>BA-1070</t>
  </si>
  <si>
    <t>BA-1071</t>
  </si>
  <si>
    <t>BA-1072</t>
  </si>
  <si>
    <t>BA-1073</t>
  </si>
  <si>
    <t>BA-1074</t>
  </si>
  <si>
    <t>BA-1075</t>
  </si>
  <si>
    <t>BA-1076</t>
  </si>
  <si>
    <t>BA-1077</t>
  </si>
  <si>
    <t>BA-1078</t>
  </si>
  <si>
    <t>BA-1079</t>
  </si>
  <si>
    <t>BA-1080</t>
  </si>
  <si>
    <t>BA-1081</t>
  </si>
  <si>
    <t>BA-1082</t>
  </si>
  <si>
    <t>BA-1083</t>
  </si>
  <si>
    <t>BA-1084</t>
  </si>
  <si>
    <t>BA-1085</t>
  </si>
  <si>
    <t>BA-1086</t>
  </si>
  <si>
    <t>BA-1087</t>
  </si>
  <si>
    <t>BA-1088</t>
  </si>
  <si>
    <t>BA-1089</t>
  </si>
  <si>
    <t>BA-1090</t>
  </si>
  <si>
    <t>BA-1091</t>
  </si>
  <si>
    <t>BA-1092</t>
  </si>
  <si>
    <t>BA-1093</t>
  </si>
  <si>
    <t>BA-1094</t>
  </si>
  <si>
    <t>BA-1095</t>
  </si>
  <si>
    <t>BA-1096</t>
  </si>
  <si>
    <t>BA-1097</t>
  </si>
  <si>
    <t>BA-1098</t>
  </si>
  <si>
    <t>BA-1099</t>
  </si>
  <si>
    <t>BA-1100</t>
  </si>
  <si>
    <t>BA-1101</t>
  </si>
  <si>
    <t>BA-1102</t>
  </si>
  <si>
    <t>BA-1103</t>
  </si>
  <si>
    <t>BA-1104</t>
  </si>
  <si>
    <t>BA-1105</t>
  </si>
  <si>
    <t>BA-1106</t>
  </si>
  <si>
    <t>BA-1107</t>
  </si>
  <si>
    <t>BA-1108</t>
  </si>
  <si>
    <t>BA-1109</t>
  </si>
  <si>
    <t>BA-1110</t>
  </si>
  <si>
    <t>BA-1111</t>
  </si>
  <si>
    <t>BA-1112</t>
  </si>
  <si>
    <t>BA-1113</t>
  </si>
  <si>
    <t>BA-1114</t>
  </si>
  <si>
    <t>BA-1115</t>
  </si>
  <si>
    <t>BA-1116</t>
  </si>
  <si>
    <t>BA-1117</t>
  </si>
  <si>
    <t>BA-1118</t>
  </si>
  <si>
    <t>BA-1119</t>
  </si>
  <si>
    <t>BA-1120</t>
  </si>
  <si>
    <t>BA-1121</t>
  </si>
  <si>
    <t>BA-1122</t>
  </si>
  <si>
    <t>BA-1123</t>
  </si>
  <si>
    <t>BA-1124</t>
  </si>
  <si>
    <t>BA-1125</t>
  </si>
  <si>
    <t>BA-1126</t>
  </si>
  <si>
    <t>BA-1127</t>
  </si>
  <si>
    <t>BA-1128</t>
  </si>
  <si>
    <t>BA-1129</t>
  </si>
  <si>
    <t>BA-1130</t>
  </si>
  <si>
    <t>BA-1131</t>
  </si>
  <si>
    <t>BA-1132</t>
  </si>
  <si>
    <t>BA-1133</t>
  </si>
  <si>
    <t>BA-1134</t>
  </si>
  <si>
    <t>BA-1135</t>
  </si>
  <si>
    <t>BA-1136</t>
  </si>
  <si>
    <t>BA-1137</t>
  </si>
  <si>
    <t>BA-1138</t>
  </si>
  <si>
    <t>BA-1139</t>
  </si>
  <si>
    <t>BA-1140</t>
  </si>
  <si>
    <t>BA-1141</t>
  </si>
  <si>
    <t>BA-1142</t>
  </si>
  <si>
    <t>BA-1143</t>
  </si>
  <si>
    <t>BA-1144</t>
  </si>
  <si>
    <t>BA-1145</t>
  </si>
  <si>
    <t>BA-1146</t>
  </si>
  <si>
    <t>BA-1147</t>
  </si>
  <si>
    <t>BA-1148</t>
  </si>
  <si>
    <t>BA-1149</t>
  </si>
  <si>
    <t>BA-1150</t>
  </si>
  <si>
    <t>BA-1151</t>
  </si>
  <si>
    <t>BA-1152</t>
  </si>
  <si>
    <t>BA-1153</t>
  </si>
  <si>
    <t>BA-1154</t>
  </si>
  <si>
    <t>BA-1155</t>
  </si>
  <si>
    <t>BA-1156</t>
  </si>
  <si>
    <t>BA-1157</t>
  </si>
  <si>
    <t>BA-1158</t>
  </si>
  <si>
    <t>BA-1159</t>
  </si>
  <si>
    <t>BA-1160</t>
  </si>
  <si>
    <t>BA-1161</t>
  </si>
  <si>
    <t>BA-1162</t>
  </si>
  <si>
    <t>BA-1163</t>
  </si>
  <si>
    <t>BA-1164</t>
  </si>
  <si>
    <t>BA-1165</t>
  </si>
  <si>
    <t>BA-1166</t>
  </si>
  <si>
    <t>BA-1167</t>
  </si>
  <si>
    <t>BA-1168</t>
  </si>
  <si>
    <t>BA-1169</t>
  </si>
  <si>
    <t>BA-1170</t>
  </si>
  <si>
    <t>BA-1171</t>
  </si>
  <si>
    <t>BA-1172</t>
  </si>
  <si>
    <t>BA-1173</t>
  </si>
  <si>
    <t>BA-1174</t>
  </si>
  <si>
    <t>BA-1175</t>
  </si>
  <si>
    <t>BA-1176</t>
  </si>
  <si>
    <t>BA-1177</t>
  </si>
  <si>
    <t>BA-1178</t>
  </si>
  <si>
    <t>BA-1179</t>
  </si>
  <si>
    <t>BA-1180</t>
  </si>
  <si>
    <t>BA-1181</t>
  </si>
  <si>
    <t>BA-1182</t>
  </si>
  <si>
    <t>BA-1183</t>
  </si>
  <si>
    <t>BA-1184</t>
  </si>
  <si>
    <t>BA-1185</t>
  </si>
  <si>
    <t>BA-1186</t>
  </si>
  <si>
    <t>BA-1187</t>
  </si>
  <si>
    <t>BA-1188</t>
  </si>
  <si>
    <t>BA-1189</t>
  </si>
  <si>
    <t>BA-1190</t>
  </si>
  <si>
    <t>BA-1191</t>
  </si>
  <si>
    <t>BA-1192</t>
  </si>
  <si>
    <t>BA-1193</t>
  </si>
  <si>
    <t>BA-1194</t>
  </si>
  <si>
    <t>BA-1195</t>
  </si>
  <si>
    <t>BA-1196</t>
  </si>
  <si>
    <t>BA-1197</t>
  </si>
  <si>
    <t>BA-1198</t>
  </si>
  <si>
    <t>BA-1199</t>
  </si>
  <si>
    <t>BA-1200</t>
  </si>
  <si>
    <t>BA-1201</t>
  </si>
  <si>
    <t>BA-1202</t>
  </si>
  <si>
    <t>BA-1203</t>
  </si>
  <si>
    <t>BA-1204</t>
  </si>
  <si>
    <t>BA-1205</t>
  </si>
  <si>
    <t>BA-1206</t>
  </si>
  <si>
    <t>BA-1207</t>
  </si>
  <si>
    <t>BA-1208</t>
  </si>
  <si>
    <t>BA-1209</t>
  </si>
  <si>
    <t>BA-1210</t>
  </si>
  <si>
    <t>BA-1211</t>
  </si>
  <si>
    <t>BA-1212</t>
  </si>
  <si>
    <t>BA-1213</t>
  </si>
  <si>
    <t>BA-1214</t>
  </si>
  <si>
    <t>BA-1215</t>
  </si>
  <si>
    <t>BA-1216</t>
  </si>
  <si>
    <t>BA-1217</t>
  </si>
  <si>
    <t>BA-1218</t>
  </si>
  <si>
    <t>BA-1219</t>
  </si>
  <si>
    <t>BA-1220</t>
  </si>
  <si>
    <t>BA-1221</t>
  </si>
  <si>
    <t>BA-1222</t>
  </si>
  <si>
    <t>BA-1223</t>
  </si>
  <si>
    <t>BA-1224</t>
  </si>
  <si>
    <t>BA-1225</t>
  </si>
  <si>
    <t>BA-1226</t>
  </si>
  <si>
    <t>BA-1227</t>
  </si>
  <si>
    <t>BA-1228</t>
  </si>
  <si>
    <t>BA-1229</t>
  </si>
  <si>
    <t>BA-1230</t>
  </si>
  <si>
    <t>BA-1231</t>
  </si>
  <si>
    <t>BA-1232</t>
  </si>
  <si>
    <t>BA-1233</t>
  </si>
  <si>
    <t>BA-1234</t>
  </si>
  <si>
    <t>BA-1235</t>
  </si>
  <si>
    <t>BA-1236</t>
  </si>
  <si>
    <t>BA-1237</t>
  </si>
  <si>
    <t>BA-1238</t>
  </si>
  <si>
    <t>BA-1239</t>
  </si>
  <si>
    <t>BA-1240</t>
  </si>
  <si>
    <t>BA-1241</t>
  </si>
  <si>
    <t>BA-1242</t>
  </si>
  <si>
    <t>BA-1243</t>
  </si>
  <si>
    <t>BA-1244</t>
  </si>
  <si>
    <t>BA-1245</t>
  </si>
  <si>
    <t>BA-1246</t>
  </si>
  <si>
    <t>BA-1247</t>
  </si>
  <si>
    <t>BA-1248</t>
  </si>
  <si>
    <t>BA-1249</t>
  </si>
  <si>
    <t>BA-1250</t>
  </si>
  <si>
    <t>BA-1251</t>
  </si>
  <si>
    <t>BA-1252</t>
  </si>
  <si>
    <t>BA-1253</t>
  </si>
  <si>
    <t>BA-1254</t>
  </si>
  <si>
    <t>BA-1255</t>
  </si>
  <si>
    <t>BA-1256</t>
  </si>
  <si>
    <t>BA-1257</t>
  </si>
  <si>
    <t>BA-1258</t>
  </si>
  <si>
    <t>BA-1259</t>
  </si>
  <si>
    <t>BA-1260</t>
  </si>
  <si>
    <t>BA-1261</t>
  </si>
  <si>
    <t>BA-1262</t>
  </si>
  <si>
    <t>BA-1263</t>
  </si>
  <si>
    <t>BA-1264</t>
  </si>
  <si>
    <t>BA-1265</t>
  </si>
  <si>
    <t>BA-1266</t>
  </si>
  <si>
    <t>BA-1267</t>
  </si>
  <si>
    <t>BA-1268</t>
  </si>
  <si>
    <t>BA-1269</t>
  </si>
  <si>
    <t>BA-1270</t>
  </si>
  <si>
    <t>BA-1271</t>
  </si>
  <si>
    <t>BA-1272</t>
  </si>
  <si>
    <t>BA-1273</t>
  </si>
  <si>
    <t>BA-1274</t>
  </si>
  <si>
    <t>BA-1275</t>
  </si>
  <si>
    <t>BA-1276</t>
  </si>
  <si>
    <t>BA-1277</t>
  </si>
  <si>
    <t>BA-1278</t>
  </si>
  <si>
    <t>BA-1279</t>
  </si>
  <si>
    <t>BA-1280</t>
  </si>
  <si>
    <t>BA-1281</t>
  </si>
  <si>
    <t>BA-1282</t>
  </si>
  <si>
    <t>BA-1283</t>
  </si>
  <si>
    <t>BA-1284</t>
  </si>
  <si>
    <t>BA-1285</t>
  </si>
  <si>
    <t>BA-1286</t>
  </si>
  <si>
    <t>BA-1287</t>
  </si>
  <si>
    <t>BA-1288</t>
  </si>
  <si>
    <t>BA-1289</t>
  </si>
  <si>
    <t>BA-1290</t>
  </si>
  <si>
    <t>BA-1291</t>
  </si>
  <si>
    <t>BA-1292</t>
  </si>
  <si>
    <t>BA-1293</t>
  </si>
  <si>
    <t>BA-1294</t>
  </si>
  <si>
    <t>BA-1295</t>
  </si>
  <si>
    <t>BA-1296</t>
  </si>
  <si>
    <t>BA-1297</t>
  </si>
  <si>
    <t>BA-1298</t>
  </si>
  <si>
    <t>BA-1299</t>
  </si>
  <si>
    <t>BA-1300</t>
  </si>
  <si>
    <t>BA-1301</t>
  </si>
  <si>
    <t>BA-1302</t>
  </si>
  <si>
    <t>BA-1303</t>
  </si>
  <si>
    <t>BA-1304</t>
  </si>
  <si>
    <t>BA-1305</t>
  </si>
  <si>
    <t>BA-1306</t>
  </si>
  <si>
    <t>BA-1307</t>
  </si>
  <si>
    <t>BA-1308</t>
  </si>
  <si>
    <t>BA-1309</t>
  </si>
  <si>
    <t>BA-1310</t>
  </si>
  <si>
    <t>BA-1311</t>
  </si>
  <si>
    <t>BA-1312</t>
  </si>
  <si>
    <t>BA-1313</t>
  </si>
  <si>
    <t>BA-1314</t>
  </si>
  <si>
    <t>BA-1315</t>
  </si>
  <si>
    <t>BA-1316</t>
  </si>
  <si>
    <t>BA-1317</t>
  </si>
  <si>
    <t>BA-1318</t>
  </si>
  <si>
    <t>BA-1319</t>
  </si>
  <si>
    <t>BA-1320</t>
  </si>
  <si>
    <t>BA-1321</t>
  </si>
  <si>
    <t>BA-1322</t>
  </si>
  <si>
    <t>BA-1323</t>
  </si>
  <si>
    <t>BA-1324</t>
  </si>
  <si>
    <t>BA-1325</t>
  </si>
  <si>
    <t>BA-1326</t>
  </si>
  <si>
    <t>BA-1327</t>
  </si>
  <si>
    <t>BA-1328</t>
  </si>
  <si>
    <t>BA-1329</t>
  </si>
  <si>
    <t>BA-1330</t>
  </si>
  <si>
    <t>BA-1331</t>
  </si>
  <si>
    <t>BA-1332</t>
  </si>
  <si>
    <t>BA-1333</t>
  </si>
  <si>
    <t>BA-1334</t>
  </si>
  <si>
    <t>BA-1335</t>
  </si>
  <si>
    <t>BA-1336</t>
  </si>
  <si>
    <t>BA-1337</t>
  </si>
  <si>
    <t>BA-1338</t>
  </si>
  <si>
    <t>BA-1339</t>
  </si>
  <si>
    <t>BA-1340</t>
  </si>
  <si>
    <t>BA-1341</t>
  </si>
  <si>
    <t>BA-1342</t>
  </si>
  <si>
    <t>BA-1343</t>
  </si>
  <si>
    <t>BA-1344</t>
  </si>
  <si>
    <t>BA-1345</t>
  </si>
  <si>
    <t>BA-1346</t>
  </si>
  <si>
    <t>BA-1347</t>
  </si>
  <si>
    <t>BA-1348</t>
  </si>
  <si>
    <t>BA-1349</t>
  </si>
  <si>
    <t>BA-1350</t>
  </si>
  <si>
    <t>BA-1351</t>
  </si>
  <si>
    <t>BA-1352</t>
  </si>
  <si>
    <t>BA-1353</t>
  </si>
  <si>
    <t>BA-1354</t>
  </si>
  <si>
    <t>BA-1355</t>
  </si>
  <si>
    <t>BA-1356</t>
  </si>
  <si>
    <t>BA-1357</t>
  </si>
  <si>
    <t>BA-1358</t>
  </si>
  <si>
    <t>BA-1359</t>
  </si>
  <si>
    <t>BA-1360</t>
  </si>
  <si>
    <t>BA-1361</t>
  </si>
  <si>
    <t>BA-1362</t>
  </si>
  <si>
    <t>BA-1363</t>
  </si>
  <si>
    <t>BA-1364</t>
  </si>
  <si>
    <t>BA-1365</t>
  </si>
  <si>
    <t>BA-1366</t>
  </si>
  <si>
    <t>BA-1367</t>
  </si>
  <si>
    <t>BA-1368</t>
  </si>
  <si>
    <t>BA-1369</t>
  </si>
  <si>
    <t>BA-1370</t>
  </si>
  <si>
    <t>BA-1371</t>
  </si>
  <si>
    <t>BA-1372</t>
  </si>
  <si>
    <t>BA-1373</t>
  </si>
  <si>
    <t>BA-1374</t>
  </si>
  <si>
    <t>BA-1375</t>
  </si>
  <si>
    <t>BA-1376</t>
  </si>
  <si>
    <t>BA-1377</t>
  </si>
  <si>
    <t>BA-1378</t>
  </si>
  <si>
    <t>BA-1379</t>
  </si>
  <si>
    <t>BA-1380</t>
  </si>
  <si>
    <t>BA-1381</t>
  </si>
  <si>
    <t>BA-1382</t>
  </si>
  <si>
    <t>BA-1383</t>
  </si>
  <si>
    <t>BA-1384</t>
  </si>
  <si>
    <t>BA-1385</t>
  </si>
  <si>
    <t>BA-1386</t>
  </si>
  <si>
    <t>BA-1387</t>
  </si>
  <si>
    <t>BA-1388</t>
  </si>
  <si>
    <t>BA-1389</t>
  </si>
  <si>
    <t>BA-1390</t>
  </si>
  <si>
    <t>BA-1391</t>
  </si>
  <si>
    <t>BA-1392</t>
  </si>
  <si>
    <t>BA-1393</t>
  </si>
  <si>
    <t>BA-1394</t>
  </si>
  <si>
    <t>BA-1395</t>
  </si>
  <si>
    <t>BA-1396</t>
  </si>
  <si>
    <t>BA-1397</t>
  </si>
  <si>
    <t>BA-1398</t>
  </si>
  <si>
    <t>BA-1399</t>
  </si>
  <si>
    <t>BA-1400</t>
  </si>
  <si>
    <t>BA-1401</t>
  </si>
  <si>
    <t>BA-1402</t>
  </si>
  <si>
    <t>BA-1403</t>
  </si>
  <si>
    <t>BA-1404</t>
  </si>
  <si>
    <t>BA-1405</t>
  </si>
  <si>
    <t>BA-1406</t>
  </si>
  <si>
    <t>BA-1407</t>
  </si>
  <si>
    <t>BA-1408</t>
  </si>
  <si>
    <t>BA-1409</t>
  </si>
  <si>
    <t>BA-1410</t>
  </si>
  <si>
    <t>BA-1411</t>
  </si>
  <si>
    <t>BA-1412</t>
  </si>
  <si>
    <t>BA-1413</t>
  </si>
  <si>
    <t>BA-1414</t>
  </si>
  <si>
    <t>BA-1415</t>
  </si>
  <si>
    <t>BA-1416</t>
  </si>
  <si>
    <t>BA-1417</t>
  </si>
  <si>
    <t>BA-1418</t>
  </si>
  <si>
    <t>BA-1419</t>
  </si>
  <si>
    <t>BA-1420</t>
  </si>
  <si>
    <t>BA-1421</t>
  </si>
  <si>
    <t>BA-1422</t>
  </si>
  <si>
    <t>BA-1423</t>
  </si>
  <si>
    <t>BA-1424</t>
  </si>
  <si>
    <t>BA-1425</t>
  </si>
  <si>
    <t>BA-1426</t>
  </si>
  <si>
    <t>BA-1427</t>
  </si>
  <si>
    <t>BA-1428</t>
  </si>
  <si>
    <t>BA-1429</t>
  </si>
  <si>
    <t>BA-1430</t>
  </si>
  <si>
    <t>BA-1431</t>
  </si>
  <si>
    <t>BA-1432</t>
  </si>
  <si>
    <t>BA-1433</t>
  </si>
  <si>
    <t>BA-1434</t>
  </si>
  <si>
    <t>BA-1435</t>
  </si>
  <si>
    <t>BA-1436</t>
  </si>
  <si>
    <t>BA-1437</t>
  </si>
  <si>
    <t>BA-1438</t>
  </si>
  <si>
    <t>BA-1439</t>
  </si>
  <si>
    <t>BA-1440</t>
  </si>
  <si>
    <t>BA-1441</t>
  </si>
  <si>
    <t>BA-1442</t>
  </si>
  <si>
    <t>BA-1443</t>
  </si>
  <si>
    <t>BA-1444</t>
  </si>
  <si>
    <t>BA-1445</t>
  </si>
  <si>
    <t>BA-1446</t>
  </si>
  <si>
    <t>BA-1447</t>
  </si>
  <si>
    <t>BA-1448</t>
  </si>
  <si>
    <t>BA-1449</t>
  </si>
  <si>
    <t>BA-1450</t>
  </si>
  <si>
    <t>BA-1451</t>
  </si>
  <si>
    <t>BA-1452</t>
  </si>
  <si>
    <t>BA-1453</t>
  </si>
  <si>
    <t>BA-1454</t>
  </si>
  <si>
    <t>BA-1455</t>
  </si>
  <si>
    <t>BA-1456</t>
  </si>
  <si>
    <t>BA-1457</t>
  </si>
  <si>
    <t>BA-1458</t>
  </si>
  <si>
    <t>BA-1459</t>
  </si>
  <si>
    <t>BA-1460</t>
  </si>
  <si>
    <t>BA-1461</t>
  </si>
  <si>
    <t>BA-1462</t>
  </si>
  <si>
    <t>BA-1463</t>
  </si>
  <si>
    <t>BA-1464</t>
  </si>
  <si>
    <t>BA-1465</t>
  </si>
  <si>
    <t>BA-1466</t>
  </si>
  <si>
    <t>BA-1467</t>
  </si>
  <si>
    <t>BA-1468</t>
  </si>
  <si>
    <t>BA-1469</t>
  </si>
  <si>
    <t>BA-1470</t>
  </si>
  <si>
    <t>BA-1471</t>
  </si>
  <si>
    <t>BA-1472</t>
  </si>
  <si>
    <t>BA-1473</t>
  </si>
  <si>
    <t>BA-1474</t>
  </si>
  <si>
    <t>BA-1475</t>
  </si>
  <si>
    <t>BA-1476</t>
  </si>
  <si>
    <t>BA-1477</t>
  </si>
  <si>
    <t>BA-1478</t>
  </si>
  <si>
    <t>BA-1479</t>
  </si>
  <si>
    <t>BA-1480</t>
  </si>
  <si>
    <t>BA-1481</t>
  </si>
  <si>
    <t>BA-1482</t>
  </si>
  <si>
    <t>BA-1483</t>
  </si>
  <si>
    <t>BA-1484</t>
  </si>
  <si>
    <t>BA-1485</t>
  </si>
  <si>
    <t>BA-1486</t>
  </si>
  <si>
    <t>BA-1487</t>
  </si>
  <si>
    <t>BA-1488</t>
  </si>
  <si>
    <t>BA-1489</t>
  </si>
  <si>
    <t>BA-1490</t>
  </si>
  <si>
    <t>BA-1491</t>
  </si>
  <si>
    <t>BA-1492</t>
  </si>
  <si>
    <t>BA-1493</t>
  </si>
  <si>
    <t>BA-1494</t>
  </si>
  <si>
    <t>BA-1495</t>
  </si>
  <si>
    <t>BA-1496</t>
  </si>
  <si>
    <t>BA-1497</t>
  </si>
  <si>
    <t>BA-1498</t>
  </si>
  <si>
    <t>BA-1499</t>
  </si>
  <si>
    <t>BA-1500</t>
  </si>
  <si>
    <t>BA-1501</t>
  </si>
  <si>
    <t>BA-1502</t>
  </si>
  <si>
    <t>BA-1503</t>
  </si>
  <si>
    <t>BA-1504</t>
  </si>
  <si>
    <t>BA-1505</t>
  </si>
  <si>
    <t>BA-1506</t>
  </si>
  <si>
    <t>BA-1507</t>
  </si>
  <si>
    <t>BA-1508</t>
  </si>
  <si>
    <t>BA-1509</t>
  </si>
  <si>
    <t>BA-1510</t>
  </si>
  <si>
    <t>BA-1511</t>
  </si>
  <si>
    <t>BA-1512</t>
  </si>
  <si>
    <t>BA-1513</t>
  </si>
  <si>
    <t>BA-1514</t>
  </si>
  <si>
    <t>BA-1515</t>
  </si>
  <si>
    <t>BA-1516</t>
  </si>
  <si>
    <t>BA-1517</t>
  </si>
  <si>
    <t>BA-1518</t>
  </si>
  <si>
    <t>BA-1519</t>
  </si>
  <si>
    <t>BA-1520</t>
  </si>
  <si>
    <t>BA-1521</t>
  </si>
  <si>
    <t>BA-1522</t>
  </si>
  <si>
    <t>BA-1523</t>
  </si>
  <si>
    <t>BA-1524</t>
  </si>
  <si>
    <t>BA-1525</t>
  </si>
  <si>
    <t>BA-1526</t>
  </si>
  <si>
    <t>BA-1527</t>
  </si>
  <si>
    <t>BA-1528</t>
  </si>
  <si>
    <t>BA-1529</t>
  </si>
  <si>
    <t>BA-1530</t>
  </si>
  <si>
    <t>BA-1531</t>
  </si>
  <si>
    <t>BA-1532</t>
  </si>
  <si>
    <t>BA-1533</t>
  </si>
  <si>
    <t>BA-1534</t>
  </si>
  <si>
    <t>BA-1535</t>
  </si>
  <si>
    <t>BA-1536</t>
  </si>
  <si>
    <t>BA-1537</t>
  </si>
  <si>
    <t>BA-1538</t>
  </si>
  <si>
    <t>BA-1539</t>
  </si>
  <si>
    <t>BA-1540</t>
  </si>
  <si>
    <t>BA-1541</t>
  </si>
  <si>
    <t>BA-1542</t>
  </si>
  <si>
    <t>BA-1543</t>
  </si>
  <si>
    <t>BA-1544</t>
  </si>
  <si>
    <t>BA-1545</t>
  </si>
  <si>
    <t>BA-1546</t>
  </si>
  <si>
    <t>BA-1547</t>
  </si>
  <si>
    <t>BA-1548</t>
  </si>
  <si>
    <t>BA-1549</t>
  </si>
  <si>
    <t>BA-1550</t>
  </si>
  <si>
    <t>BA-1551</t>
  </si>
  <si>
    <t>BA-1552</t>
  </si>
  <si>
    <t>BA-1553</t>
  </si>
  <si>
    <t>BA-1554</t>
  </si>
  <si>
    <t>BA-1555</t>
  </si>
  <si>
    <t>BA-1556</t>
  </si>
  <si>
    <t>BA-1557</t>
  </si>
  <si>
    <t>BA-1558</t>
  </si>
  <si>
    <t>BA-1559</t>
  </si>
  <si>
    <t>BA-1560</t>
  </si>
  <si>
    <t>BA-1561</t>
  </si>
  <si>
    <t>BA-1562</t>
  </si>
  <si>
    <t>BA-1563</t>
  </si>
  <si>
    <t>BA-1564</t>
  </si>
  <si>
    <t>BA-1565</t>
  </si>
  <si>
    <t>BA-1566</t>
  </si>
  <si>
    <t>BA-1567</t>
  </si>
  <si>
    <t>BA-1568</t>
  </si>
  <si>
    <t>BA-1569</t>
  </si>
  <si>
    <t>BA-1570</t>
  </si>
  <si>
    <t>BA-1571</t>
  </si>
  <si>
    <t>BA-1572</t>
  </si>
  <si>
    <t>BA-1573</t>
  </si>
  <si>
    <t>BA-1574</t>
  </si>
  <si>
    <t>BA-1575</t>
  </si>
  <si>
    <t>BA-1576</t>
  </si>
  <si>
    <t>BA-1577</t>
  </si>
  <si>
    <t>BA-1578</t>
  </si>
  <si>
    <t>BA-1579</t>
  </si>
  <si>
    <t>BA-1580</t>
  </si>
  <si>
    <t>BA-1581</t>
  </si>
  <si>
    <t>BA-1582</t>
  </si>
  <si>
    <t>BA-1583</t>
  </si>
  <si>
    <t>BA-1584</t>
  </si>
  <si>
    <t>BA-1585</t>
  </si>
  <si>
    <t>BA-1586</t>
  </si>
  <si>
    <t>BA-1587</t>
  </si>
  <si>
    <t>BA-1588</t>
  </si>
  <si>
    <t>BA-1589</t>
  </si>
  <si>
    <t>BA-1590</t>
  </si>
  <si>
    <t>BA-1591</t>
  </si>
  <si>
    <t>BA-1592</t>
  </si>
  <si>
    <t>BA-1593</t>
  </si>
  <si>
    <t>BA-1594</t>
  </si>
  <si>
    <t>BA-1595</t>
  </si>
  <si>
    <t>BA-1596</t>
  </si>
  <si>
    <t>BA-1597</t>
  </si>
  <si>
    <t>BA-1598</t>
  </si>
  <si>
    <t>BA-1599</t>
  </si>
  <si>
    <t>BA-1600</t>
  </si>
  <si>
    <t>BA-1601</t>
  </si>
  <si>
    <t>BA-1602</t>
  </si>
  <si>
    <t>BA-1603</t>
  </si>
  <si>
    <t>BA-1604</t>
  </si>
  <si>
    <t>BA-1605</t>
  </si>
  <si>
    <t>BA-1606</t>
  </si>
  <si>
    <t>BA-1607</t>
  </si>
  <si>
    <t>BA-1608</t>
  </si>
  <si>
    <t>BA-1609</t>
  </si>
  <si>
    <t>BA-1610</t>
  </si>
  <si>
    <t>BA-1611</t>
  </si>
  <si>
    <t>BA-1612</t>
  </si>
  <si>
    <t>BA-1613</t>
  </si>
  <si>
    <t>BA-1614</t>
  </si>
  <si>
    <t>BA-1615</t>
  </si>
  <si>
    <t>BA-1616</t>
  </si>
  <si>
    <t>BA-1617</t>
  </si>
  <si>
    <t>BA-1618</t>
  </si>
  <si>
    <t>BA-1619</t>
  </si>
  <si>
    <t>BA-1620</t>
  </si>
  <si>
    <t>BA-1621</t>
  </si>
  <si>
    <t>BA-1622</t>
  </si>
  <si>
    <t>BA-1623</t>
  </si>
  <si>
    <t>BA-1624</t>
  </si>
  <si>
    <t>BA-1625</t>
  </si>
  <si>
    <t>BA-1626</t>
  </si>
  <si>
    <t>BA-1627</t>
  </si>
  <si>
    <t>BA-1628</t>
  </si>
  <si>
    <t>BA-1629</t>
  </si>
  <si>
    <t>BA-1630</t>
  </si>
  <si>
    <t>BA-1631</t>
  </si>
  <si>
    <t>BA-1632</t>
  </si>
  <si>
    <t>BA-1633</t>
  </si>
  <si>
    <t>BA-1634</t>
  </si>
  <si>
    <t>BA-1635</t>
  </si>
  <si>
    <t>BA-1636</t>
  </si>
  <si>
    <t>BA-1637</t>
  </si>
  <si>
    <t>BA-1638</t>
  </si>
  <si>
    <t>BA-1639</t>
  </si>
  <si>
    <t>BA-1640</t>
  </si>
  <si>
    <t>BA-1641</t>
  </si>
  <si>
    <t>BA-1642</t>
  </si>
  <si>
    <t>BA-1643</t>
  </si>
  <si>
    <t>BA-1644</t>
  </si>
  <si>
    <t>BA-1645</t>
  </si>
  <si>
    <t>BA-1646</t>
  </si>
  <si>
    <t>BA-1647</t>
  </si>
  <si>
    <t>BA-1648</t>
  </si>
  <si>
    <t>BA-1649</t>
  </si>
  <si>
    <t>BA-1650</t>
  </si>
  <si>
    <t>BA-1651</t>
  </si>
  <si>
    <t>BA-1652</t>
  </si>
  <si>
    <t>BA-1653</t>
  </si>
  <si>
    <t>BA-1654</t>
  </si>
  <si>
    <t>BA-1655</t>
  </si>
  <si>
    <t>BA-1656</t>
  </si>
  <si>
    <t>BA-1657</t>
  </si>
  <si>
    <t>BA-1658</t>
  </si>
  <si>
    <t>BA-1659</t>
  </si>
  <si>
    <t>BA-1660</t>
  </si>
  <si>
    <t>BA-1661</t>
  </si>
  <si>
    <t>BA-1662</t>
  </si>
  <si>
    <t>BA-1663</t>
  </si>
  <si>
    <t>BA-1664</t>
  </si>
  <si>
    <t>BA-1665</t>
  </si>
  <si>
    <t>BA-1666</t>
  </si>
  <si>
    <t>BA-1667</t>
  </si>
  <si>
    <t>BA-1668</t>
  </si>
  <si>
    <t>BA-1669</t>
  </si>
  <si>
    <t>BA-1670</t>
  </si>
  <si>
    <t>BA-1671</t>
  </si>
  <si>
    <t>BA-1672</t>
  </si>
  <si>
    <t>BA-1673</t>
  </si>
  <si>
    <t>BA-1674</t>
  </si>
  <si>
    <t>BA-1675</t>
  </si>
  <si>
    <t>BA-1676</t>
  </si>
  <si>
    <t>BA-1677</t>
  </si>
  <si>
    <t>BA-1678</t>
  </si>
  <si>
    <t>BA-1679</t>
  </si>
  <si>
    <t>BA-1680</t>
  </si>
  <si>
    <t>BA-1681</t>
  </si>
  <si>
    <t>BA-1682</t>
  </si>
  <si>
    <t>BA-1683</t>
  </si>
  <si>
    <t>BA-1684</t>
  </si>
  <si>
    <t>BA-1685</t>
  </si>
  <si>
    <t>BA-1686</t>
  </si>
  <si>
    <t>BA-1687</t>
  </si>
  <si>
    <t>BA-1688</t>
  </si>
  <si>
    <t>BA-1689</t>
  </si>
  <si>
    <t>BA-1690</t>
  </si>
  <si>
    <t>BA-1691</t>
  </si>
  <si>
    <t>BA-1692</t>
  </si>
  <si>
    <t>BA-1693</t>
  </si>
  <si>
    <t>BA-1694</t>
  </si>
  <si>
    <t>BA-1695</t>
  </si>
  <si>
    <t>BA-1696</t>
  </si>
  <si>
    <t>BA-1697</t>
  </si>
  <si>
    <t>BA-1698</t>
  </si>
  <si>
    <t>BA-1699</t>
  </si>
  <si>
    <t>BA-1700</t>
  </si>
  <si>
    <t>BA-1701</t>
  </si>
  <si>
    <t>BA-1702</t>
  </si>
  <si>
    <t>BA-1703</t>
  </si>
  <si>
    <t>BA-1704</t>
  </si>
  <si>
    <t>BA-1705</t>
  </si>
  <si>
    <t>BA-1706</t>
  </si>
  <si>
    <t>BA-1707</t>
  </si>
  <si>
    <t>BA-1708</t>
  </si>
  <si>
    <t>BA-1709</t>
  </si>
  <si>
    <t>BA-1710</t>
  </si>
  <si>
    <t>BA-1711</t>
  </si>
  <si>
    <t>BA-1712</t>
  </si>
  <si>
    <t>BA-1713</t>
  </si>
  <si>
    <t>BA-1714</t>
  </si>
  <si>
    <t>BA-1715</t>
  </si>
  <si>
    <t>BA-1716</t>
  </si>
  <si>
    <t>BA-1717</t>
  </si>
  <si>
    <t>BA-1718</t>
  </si>
  <si>
    <t>BA-1719</t>
  </si>
  <si>
    <t>BA-1720</t>
  </si>
  <si>
    <t>BA-1721</t>
  </si>
  <si>
    <t>BA-1722</t>
  </si>
  <si>
    <t>BA-1723</t>
  </si>
  <si>
    <t>BA-1724</t>
  </si>
  <si>
    <t>BA-1725</t>
  </si>
  <si>
    <t>BA-1726</t>
  </si>
  <si>
    <t>BA-1727</t>
  </si>
  <si>
    <t>BA-1728</t>
  </si>
  <si>
    <t>BA-1729</t>
  </si>
  <si>
    <t>BA-1730</t>
  </si>
  <si>
    <t>BA-1731</t>
  </si>
  <si>
    <t>BA-1732</t>
  </si>
  <si>
    <t>BA-1733</t>
  </si>
  <si>
    <t>BA-1734</t>
  </si>
  <si>
    <t>BA-1735</t>
  </si>
  <si>
    <t>BA-1736</t>
  </si>
  <si>
    <t>BA-1737</t>
  </si>
  <si>
    <t>BA-1738</t>
  </si>
  <si>
    <t>BA-1739</t>
  </si>
  <si>
    <t>BA-1740</t>
  </si>
  <si>
    <t>BA-1741</t>
  </si>
  <si>
    <t>BA-1742</t>
  </si>
  <si>
    <t>BA-1743</t>
  </si>
  <si>
    <t>BA-1744</t>
  </si>
  <si>
    <t>BA-1745</t>
  </si>
  <si>
    <t>BA-1746</t>
  </si>
  <si>
    <t>BA-1747</t>
  </si>
  <si>
    <t>BA-1748</t>
  </si>
  <si>
    <t>BA-1749</t>
  </si>
  <si>
    <t>BA-1750</t>
  </si>
  <si>
    <t>BA-1751</t>
  </si>
  <si>
    <t>BA-1752</t>
  </si>
  <si>
    <t>BA-1753</t>
  </si>
  <si>
    <t>BA-1754</t>
  </si>
  <si>
    <t>BA-1755</t>
  </si>
  <si>
    <t>BA-1756</t>
  </si>
  <si>
    <t>BA-1757</t>
  </si>
  <si>
    <t>BA-1758</t>
  </si>
  <si>
    <t>BA-1759</t>
  </si>
  <si>
    <t>BA-1760</t>
  </si>
  <si>
    <t>BA-1761</t>
  </si>
  <si>
    <t>BA-1762</t>
  </si>
  <si>
    <t>BA-1763</t>
  </si>
  <si>
    <t>BA-1764</t>
  </si>
  <si>
    <t>BA-1765</t>
  </si>
  <si>
    <t>BA-1766</t>
  </si>
  <si>
    <t>BA-1767</t>
  </si>
  <si>
    <t>BA-1768</t>
  </si>
  <si>
    <t>BA-1769</t>
  </si>
  <si>
    <t>BA-1770</t>
  </si>
  <si>
    <t>BA-1771</t>
  </si>
  <si>
    <t>BA-1772</t>
  </si>
  <si>
    <t>BA-1773</t>
  </si>
  <si>
    <t>BA-1774</t>
  </si>
  <si>
    <t>BA-1775</t>
  </si>
  <si>
    <t>BA-1776</t>
  </si>
  <si>
    <t>BA-1777</t>
  </si>
  <si>
    <t>BA-1778</t>
  </si>
  <si>
    <t>BA-1779</t>
  </si>
  <si>
    <t>BA-1780</t>
  </si>
  <si>
    <t>BA-1781</t>
  </si>
  <si>
    <t>BA-1782</t>
  </si>
  <si>
    <t>BA-1783</t>
  </si>
  <si>
    <t>BA-1784</t>
  </si>
  <si>
    <t>BA-1785</t>
  </si>
  <si>
    <t>BA-1786</t>
  </si>
  <si>
    <t>BA-1787</t>
  </si>
  <si>
    <t>BA-1788</t>
  </si>
  <si>
    <t>BA-1789</t>
  </si>
  <si>
    <t>BA-1790</t>
  </si>
  <si>
    <t>BA-1791</t>
  </si>
  <si>
    <t>BA-1792</t>
  </si>
  <si>
    <t>BA-1793</t>
  </si>
  <si>
    <t>BA-1794</t>
  </si>
  <si>
    <t>BA-1795</t>
  </si>
  <si>
    <t>BA-1796</t>
  </si>
  <si>
    <t>BA-1797</t>
  </si>
  <si>
    <t>BA-1798</t>
  </si>
  <si>
    <t>BA-1799</t>
  </si>
  <si>
    <t>BA-1800</t>
  </si>
  <si>
    <t>BA-1801</t>
  </si>
  <si>
    <t>BA-1802</t>
  </si>
  <si>
    <t>BA-1803</t>
  </si>
  <si>
    <t>BA-1804</t>
  </si>
  <si>
    <t>BA-1805</t>
  </si>
  <si>
    <t>BA-1806</t>
  </si>
  <si>
    <t>BA-1807</t>
  </si>
  <si>
    <t>BA-1808</t>
  </si>
  <si>
    <t>BA-1809</t>
  </si>
  <si>
    <t>BA-1810</t>
  </si>
  <si>
    <t>BA-1811</t>
  </si>
  <si>
    <t>BA-1812</t>
  </si>
  <si>
    <t>BA-1813</t>
  </si>
  <si>
    <t>BA-1814</t>
  </si>
  <si>
    <t>BA-1815</t>
  </si>
  <si>
    <t>BA-1816</t>
  </si>
  <si>
    <t>BA-1817</t>
  </si>
  <si>
    <t>BA-1818</t>
  </si>
  <si>
    <t>BA-1819</t>
  </si>
  <si>
    <t>BA-1820</t>
  </si>
  <si>
    <t>BA-1821</t>
  </si>
  <si>
    <t>BA-1822</t>
  </si>
  <si>
    <t>BA-1823</t>
  </si>
  <si>
    <t>BA-1824</t>
  </si>
  <si>
    <t>BA-1825</t>
  </si>
  <si>
    <t>BA-1826</t>
  </si>
  <si>
    <t>BA-1827</t>
  </si>
  <si>
    <t>BA-1828</t>
  </si>
  <si>
    <t>BA-1829</t>
  </si>
  <si>
    <t>BA-1830</t>
  </si>
  <si>
    <t>BA-1831</t>
  </si>
  <si>
    <t>BA-1832</t>
  </si>
  <si>
    <t>BA-1833</t>
  </si>
  <si>
    <t>BA-1834</t>
  </si>
  <si>
    <t>BA-1835</t>
  </si>
  <si>
    <t>BA-1836</t>
  </si>
  <si>
    <t>BA-1837</t>
  </si>
  <si>
    <t>BA-1838</t>
  </si>
  <si>
    <t>BA-1839</t>
  </si>
  <si>
    <t>BA-1840</t>
  </si>
  <si>
    <t>BA-1841</t>
  </si>
  <si>
    <t>BA-1842</t>
  </si>
  <si>
    <t>BA-1843</t>
  </si>
  <si>
    <t>BA-1844</t>
  </si>
  <si>
    <t>BA-1845</t>
  </si>
  <si>
    <t>BA-1846</t>
  </si>
  <si>
    <t>BA-1847</t>
  </si>
  <si>
    <t>BA-1848</t>
  </si>
  <si>
    <t>BA-1849</t>
  </si>
  <si>
    <t>BA-1850</t>
  </si>
  <si>
    <t>BA-1851</t>
  </si>
  <si>
    <t>BA-1852</t>
  </si>
  <si>
    <t>BA-1853</t>
  </si>
  <si>
    <t>BA-1854</t>
  </si>
  <si>
    <t>BA-1855</t>
  </si>
  <si>
    <t>BA-1856</t>
  </si>
  <si>
    <t>BA-1857</t>
  </si>
  <si>
    <t>BA-1858</t>
  </si>
  <si>
    <t>BA-1859</t>
  </si>
  <si>
    <t>BA-1860</t>
  </si>
  <si>
    <t>BA-1861</t>
  </si>
  <si>
    <t>BA-1862</t>
  </si>
  <si>
    <t>BA-1863</t>
  </si>
  <si>
    <t>BA-1864</t>
  </si>
  <si>
    <t>BA-1865</t>
  </si>
  <si>
    <t>BA-1866</t>
  </si>
  <si>
    <t>BA-1867</t>
  </si>
  <si>
    <t>BA-1868</t>
  </si>
  <si>
    <t>BA-1869</t>
  </si>
  <si>
    <t>BA-1870</t>
  </si>
  <si>
    <t>BA-1871</t>
  </si>
  <si>
    <t>BA-1872</t>
  </si>
  <si>
    <t>BA-1873</t>
  </si>
  <si>
    <t>BA-1874</t>
  </si>
  <si>
    <t>BA-1875</t>
  </si>
  <si>
    <t>BA-1876</t>
  </si>
  <si>
    <t>BA-1877</t>
  </si>
  <si>
    <t>BA-1878</t>
  </si>
  <si>
    <t>BA-1879</t>
  </si>
  <si>
    <t>BA-1880</t>
  </si>
  <si>
    <t>BA-1881</t>
  </si>
  <si>
    <t>BA-1882</t>
  </si>
  <si>
    <t>BA-1883</t>
  </si>
  <si>
    <t>BA-1884</t>
  </si>
  <si>
    <t>BA-1885</t>
  </si>
  <si>
    <t>BA-1886</t>
  </si>
  <si>
    <t>BA-1887</t>
  </si>
  <si>
    <t>BA-1888</t>
  </si>
  <si>
    <t>BA-1889</t>
  </si>
  <si>
    <t>BA-1890</t>
  </si>
  <si>
    <t>BA-1891</t>
  </si>
  <si>
    <t>BA-1892</t>
  </si>
  <si>
    <t>BA-1893</t>
  </si>
  <si>
    <t>BA-1894</t>
  </si>
  <si>
    <t>BA-1895</t>
  </si>
  <si>
    <t>BA-1896</t>
  </si>
  <si>
    <t>BA-1897</t>
  </si>
  <si>
    <t>BA-1898</t>
  </si>
  <si>
    <t>BA-1899</t>
  </si>
  <si>
    <t>BA-1900</t>
  </si>
  <si>
    <t>BA-1901</t>
  </si>
  <si>
    <t>BA-1902</t>
  </si>
  <si>
    <t>BA-1903</t>
  </si>
  <si>
    <t>BA-1904</t>
  </si>
  <si>
    <t>BA-1905</t>
  </si>
  <si>
    <t>BA-1906</t>
  </si>
  <si>
    <t>BA-1907</t>
  </si>
  <si>
    <t>BA-1908</t>
  </si>
  <si>
    <t>BA-1909</t>
  </si>
  <si>
    <t>BA-1910</t>
  </si>
  <si>
    <t>BA-1911</t>
  </si>
  <si>
    <t>BA-1912</t>
  </si>
  <si>
    <t>BA-1913</t>
  </si>
  <si>
    <t>BA-1914</t>
  </si>
  <si>
    <t>BA-1915</t>
  </si>
  <si>
    <t>BA-1916</t>
  </si>
  <si>
    <t>BA-1917</t>
  </si>
  <si>
    <t>BA-1918</t>
  </si>
  <si>
    <t>BA-1919</t>
  </si>
  <si>
    <t>BA-1920</t>
  </si>
  <si>
    <t>BA-1921</t>
  </si>
  <si>
    <t>BA-1922</t>
  </si>
  <si>
    <t>BA-1923</t>
  </si>
  <si>
    <t>BA-1924</t>
  </si>
  <si>
    <t>BA-1925</t>
  </si>
  <si>
    <t>BA-1926</t>
  </si>
  <si>
    <t>BA-1927</t>
  </si>
  <si>
    <t>BA-1928</t>
  </si>
  <si>
    <t>BA-1929</t>
  </si>
  <si>
    <t>BA-1930</t>
  </si>
  <si>
    <t>BA-1931</t>
  </si>
  <si>
    <t>BA-1932</t>
  </si>
  <si>
    <t>BA-1933</t>
  </si>
  <si>
    <t>BA-1934</t>
  </si>
  <si>
    <t>BA-1935</t>
  </si>
  <si>
    <t>BA-1936</t>
  </si>
  <si>
    <t>BA-1937</t>
  </si>
  <si>
    <t>BA-1938</t>
  </si>
  <si>
    <t>BA-1939</t>
  </si>
  <si>
    <t>BA-1940</t>
  </si>
  <si>
    <t>BA-1941</t>
  </si>
  <si>
    <t>BA-1942</t>
  </si>
  <si>
    <t>BA-1943</t>
  </si>
  <si>
    <t>BA-1944</t>
  </si>
  <si>
    <t>BA-1945</t>
  </si>
  <si>
    <t>BA-1946</t>
  </si>
  <si>
    <t>BA-1947</t>
  </si>
  <si>
    <t>BA-1948</t>
  </si>
  <si>
    <t>BA-1949</t>
  </si>
  <si>
    <t>BA-1950</t>
  </si>
  <si>
    <t>BA-1951</t>
  </si>
  <si>
    <t>BA-1952</t>
  </si>
  <si>
    <t>BA-1953</t>
  </si>
  <si>
    <t>BA-1954</t>
  </si>
  <si>
    <t>BA-1955</t>
  </si>
  <si>
    <t>BA-1956</t>
  </si>
  <si>
    <t>BA-1957</t>
  </si>
  <si>
    <t>BA-1958</t>
  </si>
  <si>
    <t>BA-1959</t>
  </si>
  <si>
    <t>BA-1960</t>
  </si>
  <si>
    <t>BA-1961</t>
  </si>
  <si>
    <t>BA-1962</t>
  </si>
  <si>
    <t>BA-1963</t>
  </si>
  <si>
    <t>BA-1964</t>
  </si>
  <si>
    <t>BA-1965</t>
  </si>
  <si>
    <t>BA-1966</t>
  </si>
  <si>
    <t>BA-1967</t>
  </si>
  <si>
    <t>BA-1968</t>
  </si>
  <si>
    <t>BA-1969</t>
  </si>
  <si>
    <t>BA-1970</t>
  </si>
  <si>
    <t>BA-1971</t>
  </si>
  <si>
    <t>BA-1972</t>
  </si>
  <si>
    <t>BA-1973</t>
  </si>
  <si>
    <t>BA-1974</t>
  </si>
  <si>
    <t>BA-1975</t>
  </si>
  <si>
    <t>BA-1976</t>
  </si>
  <si>
    <t>BA-1977</t>
  </si>
  <si>
    <t>BA-1978</t>
  </si>
  <si>
    <t>BA-1979</t>
  </si>
  <si>
    <t>BA-1980</t>
  </si>
  <si>
    <t>BA-1981</t>
  </si>
  <si>
    <t>BA-1982</t>
  </si>
  <si>
    <t>BA-1983</t>
  </si>
  <si>
    <t>BA-1984</t>
  </si>
  <si>
    <t>BA-1985</t>
  </si>
  <si>
    <t>BA-1986</t>
  </si>
  <si>
    <t>BA-1987</t>
  </si>
  <si>
    <t>BA-1988</t>
  </si>
  <si>
    <t>BA-1989</t>
  </si>
  <si>
    <t>BA-1990</t>
  </si>
  <si>
    <t>BA-1991</t>
  </si>
  <si>
    <t>BA-1992</t>
  </si>
  <si>
    <t>BA-1993</t>
  </si>
  <si>
    <t>BA-1994</t>
  </si>
  <si>
    <t>BA-1995</t>
  </si>
  <si>
    <t>BA-1996</t>
  </si>
  <si>
    <t>BA-1997</t>
  </si>
  <si>
    <t>BA-1998</t>
  </si>
  <si>
    <t>BA-1999</t>
  </si>
  <si>
    <t>BA-2000</t>
  </si>
  <si>
    <t>BA-2001</t>
  </si>
  <si>
    <t>BA-2002</t>
  </si>
  <si>
    <t>BA-2003</t>
  </si>
  <si>
    <t>BA-2004</t>
  </si>
  <si>
    <t>BA-2005</t>
  </si>
  <si>
    <t>BA-2006</t>
  </si>
  <si>
    <t>BA-2007</t>
  </si>
  <si>
    <t>BA-2008</t>
  </si>
  <si>
    <t>BA-2009</t>
  </si>
  <si>
    <t>BA-2010</t>
  </si>
  <si>
    <t>BA-2011</t>
  </si>
  <si>
    <t>BA-2012</t>
  </si>
  <si>
    <t>BA-2013</t>
  </si>
  <si>
    <t>BA-2014</t>
  </si>
  <si>
    <t>BA-2015</t>
  </si>
  <si>
    <t>BA-2016</t>
  </si>
  <si>
    <t>BA-2017</t>
  </si>
  <si>
    <t>BA-2018</t>
  </si>
  <si>
    <t>BA-2019</t>
  </si>
  <si>
    <t>BA-2020</t>
  </si>
  <si>
    <t>BA-2021</t>
  </si>
  <si>
    <t>BA-2022</t>
  </si>
  <si>
    <t>BA-2023</t>
  </si>
  <si>
    <t>BA-2024</t>
  </si>
  <si>
    <t>BA-2025</t>
  </si>
  <si>
    <t>BA-2026</t>
  </si>
  <si>
    <t>BA-2027</t>
  </si>
  <si>
    <t>BA-2028</t>
  </si>
  <si>
    <t>BA-2029</t>
  </si>
  <si>
    <t>BA-2030</t>
  </si>
  <si>
    <t>BA-2031</t>
  </si>
  <si>
    <t>BA-2032</t>
  </si>
  <si>
    <t>BA-2033</t>
  </si>
  <si>
    <t>BA-2034</t>
  </si>
  <si>
    <t>BA-2035</t>
  </si>
  <si>
    <t>BA-2036</t>
  </si>
  <si>
    <t>BA-2037</t>
  </si>
  <si>
    <t>BA-2038</t>
  </si>
  <si>
    <t>BA-2039</t>
  </si>
  <si>
    <t>BA-2040</t>
  </si>
  <si>
    <t>BA-2041</t>
  </si>
  <si>
    <t>BA-2042</t>
  </si>
  <si>
    <t>BA-2043</t>
  </si>
  <si>
    <t>BA-2044</t>
  </si>
  <si>
    <t>BA-2045</t>
  </si>
  <si>
    <t>BA-2046</t>
  </si>
  <si>
    <t>BA-2047</t>
  </si>
  <si>
    <t>BA-2048</t>
  </si>
  <si>
    <t>BA-2049</t>
  </si>
  <si>
    <t>BA-2050</t>
  </si>
  <si>
    <t>BA-2051</t>
  </si>
  <si>
    <t>BA-2052</t>
  </si>
  <si>
    <t>BA-2053</t>
  </si>
  <si>
    <t>BA-2054</t>
  </si>
  <si>
    <t>BA-2055</t>
  </si>
  <si>
    <t>BA-2056</t>
  </si>
  <si>
    <t>BA-2057</t>
  </si>
  <si>
    <t>BA-2058</t>
  </si>
  <si>
    <t>BA-2059</t>
  </si>
  <si>
    <t>BA-2060</t>
  </si>
  <si>
    <t>BA-2061</t>
  </si>
  <si>
    <t>BA-2062</t>
  </si>
  <si>
    <t>BA-2063</t>
  </si>
  <si>
    <t>BA-2064</t>
  </si>
  <si>
    <t>BA-2065</t>
  </si>
  <si>
    <t>BA-2066</t>
  </si>
  <si>
    <t>BA-2067</t>
  </si>
  <si>
    <t>BA-2068</t>
  </si>
  <si>
    <t>BA-2069</t>
  </si>
  <si>
    <t>BA-2070</t>
  </si>
  <si>
    <t>BA-2071</t>
  </si>
  <si>
    <t>BA-2072</t>
  </si>
  <si>
    <t>BA-2073</t>
  </si>
  <si>
    <t>BA-2074</t>
  </si>
  <si>
    <t>BA-2075</t>
  </si>
  <si>
    <t>BA-2076</t>
  </si>
  <si>
    <t>BA-2077</t>
  </si>
  <si>
    <t>BA-2078</t>
  </si>
  <si>
    <t>BA-2079</t>
  </si>
  <si>
    <t>BA-2080</t>
  </si>
  <si>
    <t>BA-2081</t>
  </si>
  <si>
    <t>BA-2082</t>
  </si>
  <si>
    <t>BA-2083</t>
  </si>
  <si>
    <t>BA-2084</t>
  </si>
  <si>
    <t>BA-2085</t>
  </si>
  <si>
    <t>BA-2086</t>
  </si>
  <si>
    <t>BA-2087</t>
  </si>
  <si>
    <t>BA-2088</t>
  </si>
  <si>
    <t>BA-2089</t>
  </si>
  <si>
    <t>BA-2090</t>
  </si>
  <si>
    <t>BA-2091</t>
  </si>
  <si>
    <t>BA-2092</t>
  </si>
  <si>
    <t>BA-2093</t>
  </si>
  <si>
    <t>BA-2094</t>
  </si>
  <si>
    <t>BA-2095</t>
  </si>
  <si>
    <t>BA-2096</t>
  </si>
  <si>
    <t>BA-2097</t>
  </si>
  <si>
    <t>BA-2098</t>
  </si>
  <si>
    <t>BA-2099</t>
  </si>
  <si>
    <t>BA-2100</t>
  </si>
  <si>
    <t>BA-2101</t>
  </si>
  <si>
    <t>BA-2102</t>
  </si>
  <si>
    <t>BA-2103</t>
  </si>
  <si>
    <t>BA-2104</t>
  </si>
  <si>
    <t>BA-2105</t>
  </si>
  <si>
    <t>BA-2106</t>
  </si>
  <si>
    <t>BA-2107</t>
  </si>
  <si>
    <t>BA-2108</t>
  </si>
  <si>
    <t>BA-2109</t>
  </si>
  <si>
    <t>BA-2110</t>
  </si>
  <si>
    <t>BA-2111</t>
  </si>
  <si>
    <t>BA-2112</t>
  </si>
  <si>
    <t>BA-2113</t>
  </si>
  <si>
    <t>BA-2114</t>
  </si>
  <si>
    <t>BA-2115</t>
  </si>
  <si>
    <t>BA-2116</t>
  </si>
  <si>
    <t>BA-2117</t>
  </si>
  <si>
    <t>BA-2118</t>
  </si>
  <si>
    <t>BA-2119</t>
  </si>
  <si>
    <t>BA-2120</t>
  </si>
  <si>
    <t>BA-2121</t>
  </si>
  <si>
    <t>BA-2122</t>
  </si>
  <si>
    <t>BA-2123</t>
  </si>
  <si>
    <t>BA-2124</t>
  </si>
  <si>
    <t>BA-2125</t>
  </si>
  <si>
    <t>BA-2126</t>
  </si>
  <si>
    <t>BA-2127</t>
  </si>
  <si>
    <t>BA-2128</t>
  </si>
  <si>
    <t>BA-2129</t>
  </si>
  <si>
    <t>BA-2130</t>
  </si>
  <si>
    <t>BA-2131</t>
  </si>
  <si>
    <t>BA-2132</t>
  </si>
  <si>
    <t>BA-2133</t>
  </si>
  <si>
    <t>BA-2134</t>
  </si>
  <si>
    <t>BA-2135</t>
  </si>
  <si>
    <t>BA-2136</t>
  </si>
  <si>
    <t>BA-2137</t>
  </si>
  <si>
    <t>BA-2138</t>
  </si>
  <si>
    <t>BA-2139</t>
  </si>
  <si>
    <t>BA-2140</t>
  </si>
  <si>
    <t>BA-2141</t>
  </si>
  <si>
    <t>BA-2142</t>
  </si>
  <si>
    <t>BA-2143</t>
  </si>
  <si>
    <t>BA-2144</t>
  </si>
  <si>
    <t>BA-2145</t>
  </si>
  <si>
    <t>BA-2146</t>
  </si>
  <si>
    <t>BA-2147</t>
  </si>
  <si>
    <t>BA-2148</t>
  </si>
  <si>
    <t>BA-2149</t>
  </si>
  <si>
    <t>BA-2150</t>
  </si>
  <si>
    <t>BA-2151</t>
  </si>
  <si>
    <t>BA-2152</t>
  </si>
  <si>
    <t>BA-2153</t>
  </si>
  <si>
    <t>BA-2154</t>
  </si>
  <si>
    <t>BA-2155</t>
  </si>
  <si>
    <t>BA-2156</t>
  </si>
  <si>
    <t>BA-2157</t>
  </si>
  <si>
    <t>BA-2158</t>
  </si>
  <si>
    <t>BA-2159</t>
  </si>
  <si>
    <t>BA-2160</t>
  </si>
  <si>
    <t>BA-2161</t>
  </si>
  <si>
    <t>BA-2162</t>
  </si>
  <si>
    <t>BA-2163</t>
  </si>
  <si>
    <t>BA-2164</t>
  </si>
  <si>
    <t>BA-2165</t>
  </si>
  <si>
    <t>BA-2166</t>
  </si>
  <si>
    <t>BA-2167</t>
  </si>
  <si>
    <t>BA-2168</t>
  </si>
  <si>
    <t>BA-2169</t>
  </si>
  <si>
    <t>BA-2170</t>
  </si>
  <si>
    <t>BA-2171</t>
  </si>
  <si>
    <t>BA-2172</t>
  </si>
  <si>
    <t>BA-2173</t>
  </si>
  <si>
    <t>BA-2174</t>
  </si>
  <si>
    <t>BA-2175</t>
  </si>
  <si>
    <t>BA-2176</t>
  </si>
  <si>
    <t>BA-2177</t>
  </si>
  <si>
    <t>BA-2178</t>
  </si>
  <si>
    <t>BA-2179</t>
  </si>
  <si>
    <t>BA-2180</t>
  </si>
  <si>
    <t>BA-2181</t>
  </si>
  <si>
    <t>BA-2182</t>
  </si>
  <si>
    <t>BA-2183</t>
  </si>
  <si>
    <t>BA-2184</t>
  </si>
  <si>
    <t>BA-2185</t>
  </si>
  <si>
    <t>BA-2186</t>
  </si>
  <si>
    <t>BA-2187</t>
  </si>
  <si>
    <t>BA-2188</t>
  </si>
  <si>
    <t>BA-2189</t>
  </si>
  <si>
    <t>BA-2190</t>
  </si>
  <si>
    <t>BA-2191</t>
  </si>
  <si>
    <t>BA-2192</t>
  </si>
  <si>
    <t>BA-2193</t>
  </si>
  <si>
    <t>BA-2194</t>
  </si>
  <si>
    <t>BA-2195</t>
  </si>
  <si>
    <t>BA-2196</t>
  </si>
  <si>
    <t>BA-2197</t>
  </si>
  <si>
    <t>BA-2198</t>
  </si>
  <si>
    <t>BA-2199</t>
  </si>
  <si>
    <t>BA-2200</t>
  </si>
  <si>
    <t>BA-2201</t>
  </si>
  <si>
    <t>BA-2202</t>
  </si>
  <si>
    <t>BA-2203</t>
  </si>
  <si>
    <t>BA-2204</t>
  </si>
  <si>
    <t>BA-2205</t>
  </si>
  <si>
    <t>BA-2206</t>
  </si>
  <si>
    <t>BA-2207</t>
  </si>
  <si>
    <t>BA-2208</t>
  </si>
  <si>
    <t>BA-2209</t>
  </si>
  <si>
    <t>BA-2210</t>
  </si>
  <si>
    <t>BA-2211</t>
  </si>
  <si>
    <t>BA-2212</t>
  </si>
  <si>
    <t>BA-2213</t>
  </si>
  <si>
    <t>BA-2214</t>
  </si>
  <si>
    <t>BA-2215</t>
  </si>
  <si>
    <t>BA-2216</t>
  </si>
  <si>
    <t>BA-2217</t>
  </si>
  <si>
    <t>BA-2218</t>
  </si>
  <si>
    <t>BA-2219</t>
  </si>
  <si>
    <t>BA-2220</t>
  </si>
  <si>
    <t>BA-2221</t>
  </si>
  <si>
    <t>BA-2222</t>
  </si>
  <si>
    <t>BA-2223</t>
  </si>
  <si>
    <t>BA-2224</t>
  </si>
  <si>
    <t>BA-2225</t>
  </si>
  <si>
    <t>BA-2226</t>
  </si>
  <si>
    <t>BA-2227</t>
  </si>
  <si>
    <t>BA-2228</t>
  </si>
  <si>
    <t>BA-2229</t>
  </si>
  <si>
    <t>BA-2230</t>
  </si>
  <si>
    <t>BA-2231</t>
  </si>
  <si>
    <t>BA-2232</t>
  </si>
  <si>
    <t>BA-2233</t>
  </si>
  <si>
    <t>BA-2234</t>
  </si>
  <si>
    <t>BA-2235</t>
  </si>
  <si>
    <t>BA-2236</t>
  </si>
  <si>
    <t>BA-2237</t>
  </si>
  <si>
    <t>BA-2238</t>
  </si>
  <si>
    <t>BA-2239</t>
  </si>
  <si>
    <t>BA-2240</t>
  </si>
  <si>
    <t>BA-2241</t>
  </si>
  <si>
    <t>BA-2242</t>
  </si>
  <si>
    <t>BA-2243</t>
  </si>
  <si>
    <t>BA-2244</t>
  </si>
  <si>
    <t>BA-2245</t>
  </si>
  <si>
    <t>BA-2246</t>
  </si>
  <si>
    <t>BA-2247</t>
  </si>
  <si>
    <t>BA-2248</t>
  </si>
  <si>
    <t>BA-2249</t>
  </si>
  <si>
    <t>BA-2250</t>
  </si>
  <si>
    <t>BA-2251</t>
  </si>
  <si>
    <t>BA-2252</t>
  </si>
  <si>
    <t>BA-2253</t>
  </si>
  <si>
    <t>BA-2254</t>
  </si>
  <si>
    <t>BA-2255</t>
  </si>
  <si>
    <t>BA-2256</t>
  </si>
  <si>
    <t>BA-2257</t>
  </si>
  <si>
    <t>BA-2258</t>
  </si>
  <si>
    <t>BA-2259</t>
  </si>
  <si>
    <t>BA-2260</t>
  </si>
  <si>
    <t>BA-2261</t>
  </si>
  <si>
    <t>BA-2262</t>
  </si>
  <si>
    <t>BA-2263</t>
  </si>
  <si>
    <t>BA-2264</t>
  </si>
  <si>
    <t>BA-2265</t>
  </si>
  <si>
    <t>BA-2266</t>
  </si>
  <si>
    <t>BA-2267</t>
  </si>
  <si>
    <t>BA-2268</t>
  </si>
  <si>
    <t>BA-2269</t>
  </si>
  <si>
    <t>BA-2270</t>
  </si>
  <si>
    <t>BA-2271</t>
  </si>
  <si>
    <t>BA-2272</t>
  </si>
  <si>
    <t>BA-2273</t>
  </si>
  <si>
    <t>BA-2274</t>
  </si>
  <si>
    <t>BA-2275</t>
  </si>
  <si>
    <t>BA-2276</t>
  </si>
  <si>
    <t>BA-2277</t>
  </si>
  <si>
    <t>BA-2278</t>
  </si>
  <si>
    <t>BA-2279</t>
  </si>
  <si>
    <t>BA-2280</t>
  </si>
  <si>
    <t>BA-2281</t>
  </si>
  <si>
    <t>BA-2282</t>
  </si>
  <si>
    <t>BA-2283</t>
  </si>
  <si>
    <t>BA-2284</t>
  </si>
  <si>
    <t>BA-2285</t>
  </si>
  <si>
    <t>BA-2286</t>
  </si>
  <si>
    <t>BA-2287</t>
  </si>
  <si>
    <t>BA-2288</t>
  </si>
  <si>
    <t>BA-2289</t>
  </si>
  <si>
    <t>BA-2290</t>
  </si>
  <si>
    <t>BA-2291</t>
  </si>
  <si>
    <t>BA-2292</t>
  </si>
  <si>
    <t>BA-2293</t>
  </si>
  <si>
    <t>BA-2294</t>
  </si>
  <si>
    <t>BA-2295</t>
  </si>
  <si>
    <t>BA-2296</t>
  </si>
  <si>
    <t>BA-2297</t>
  </si>
  <si>
    <t>BA-2298</t>
  </si>
  <si>
    <t>BA-2299</t>
  </si>
  <si>
    <t>BA-2300</t>
  </si>
  <si>
    <t>BA-2301</t>
  </si>
  <si>
    <t>BA-2302</t>
  </si>
  <si>
    <t>BA-2303</t>
  </si>
  <si>
    <t>BA-2304</t>
  </si>
  <si>
    <t>BA-2305</t>
  </si>
  <si>
    <t>BA-2306</t>
  </si>
  <si>
    <t>BA-2307</t>
  </si>
  <si>
    <t>BA-2308</t>
  </si>
  <si>
    <t>BA-2309</t>
  </si>
  <si>
    <t>BA-2310</t>
  </si>
  <si>
    <t>BA-2311</t>
  </si>
  <si>
    <t>BA-2312</t>
  </si>
  <si>
    <t>BA-2313</t>
  </si>
  <si>
    <t>BA-2314</t>
  </si>
  <si>
    <t>BA-2315</t>
  </si>
  <si>
    <t>BA-2316</t>
  </si>
  <si>
    <t>BA-2317</t>
  </si>
  <si>
    <t>BA-2318</t>
  </si>
  <si>
    <t>BA-2319</t>
  </si>
  <si>
    <t>BA-2320</t>
  </si>
  <si>
    <t>BA-2321</t>
  </si>
  <si>
    <t>BA-2322</t>
  </si>
  <si>
    <t>BA-2323</t>
  </si>
  <si>
    <t>BA-2324</t>
  </si>
  <si>
    <t>BA-2325</t>
  </si>
  <si>
    <t>BA-2326</t>
  </si>
  <si>
    <t>BA-2327</t>
  </si>
  <si>
    <t>BA-2328</t>
  </si>
  <si>
    <t>BA-2329</t>
  </si>
  <si>
    <t>BA-2330</t>
  </si>
  <si>
    <t>BA-2331</t>
  </si>
  <si>
    <t>BA-2332</t>
  </si>
  <si>
    <t>BA-2333</t>
  </si>
  <si>
    <t>BA-2334</t>
  </si>
  <si>
    <t>BA-2335</t>
  </si>
  <si>
    <t>BA-2336</t>
  </si>
  <si>
    <t>BA-2337</t>
  </si>
  <si>
    <t>BA-2338</t>
  </si>
  <si>
    <t>BA-2339</t>
  </si>
  <si>
    <t>BA-2340</t>
  </si>
  <si>
    <t>BA-2341</t>
  </si>
  <si>
    <t>BA-2342</t>
  </si>
  <si>
    <t>BA-2343</t>
  </si>
  <si>
    <t>BA-2344</t>
  </si>
  <si>
    <t>BA-2345</t>
  </si>
  <si>
    <t>BA-2346</t>
  </si>
  <si>
    <t>BA-2347</t>
  </si>
  <si>
    <t>BA-2348</t>
  </si>
  <si>
    <t>BA-2349</t>
  </si>
  <si>
    <t>BA-2350</t>
  </si>
  <si>
    <t>BA-2351</t>
  </si>
  <si>
    <t>BA-2352</t>
  </si>
  <si>
    <t>BA-2353</t>
  </si>
  <si>
    <t>BA-2354</t>
  </si>
  <si>
    <t>BA-2355</t>
  </si>
  <si>
    <t>BA-2356</t>
  </si>
  <si>
    <t>BA-2357</t>
  </si>
  <si>
    <t>BA-2358</t>
  </si>
  <si>
    <t>BA-2359</t>
  </si>
  <si>
    <t>BA-2360</t>
  </si>
  <si>
    <t>BA-2361</t>
  </si>
  <si>
    <t>BA-2362</t>
  </si>
  <si>
    <t>BA-2363</t>
  </si>
  <si>
    <t>BA-2364</t>
  </si>
  <si>
    <t>BA-2365</t>
  </si>
  <si>
    <t>BA-2366</t>
  </si>
  <si>
    <t>BA-2367</t>
  </si>
  <si>
    <t>BA-2368</t>
  </si>
  <si>
    <t>BA-2369</t>
  </si>
  <si>
    <t>BA-2370</t>
  </si>
  <si>
    <t>BA-2371</t>
  </si>
  <si>
    <t>BA-2372</t>
  </si>
  <si>
    <t>BA-2373</t>
  </si>
  <si>
    <t>BA-2374</t>
  </si>
  <si>
    <t>BA-2375</t>
  </si>
  <si>
    <t>BA-2376</t>
  </si>
  <si>
    <t>BA-2377</t>
  </si>
  <si>
    <t>BA-2378</t>
  </si>
  <si>
    <t>BA-2379</t>
  </si>
  <si>
    <t>BA-2380</t>
  </si>
  <si>
    <t>BA-2381</t>
  </si>
  <si>
    <t>BA-2382</t>
  </si>
  <si>
    <t>BA-2383</t>
  </si>
  <si>
    <t>BA-2384</t>
  </si>
  <si>
    <t>BA-2385</t>
  </si>
  <si>
    <t>BA-2386</t>
  </si>
  <si>
    <t>BA-2387</t>
  </si>
  <si>
    <t>BA-2388</t>
  </si>
  <si>
    <t>BA-2389</t>
  </si>
  <si>
    <t>BA-2390</t>
  </si>
  <si>
    <t>BA-2391</t>
  </si>
  <si>
    <t>BA-2392</t>
  </si>
  <si>
    <t>BA-2393</t>
  </si>
  <si>
    <t>BA-2394</t>
  </si>
  <si>
    <t>BA-2395</t>
  </si>
  <si>
    <t>BA-2396</t>
  </si>
  <si>
    <t>BA-2397</t>
  </si>
  <si>
    <t>BA-2398</t>
  </si>
  <si>
    <t>BA-2399</t>
  </si>
  <si>
    <t>BA-2400</t>
  </si>
  <si>
    <t>BA-2401</t>
  </si>
  <si>
    <t>BA-2402</t>
  </si>
  <si>
    <t>BA-2403</t>
  </si>
  <si>
    <t>BA-2404</t>
  </si>
  <si>
    <t>BA-2405</t>
  </si>
  <si>
    <t>BA-2406</t>
  </si>
  <si>
    <t>BA-2407</t>
  </si>
  <si>
    <t>BA-2408</t>
  </si>
  <si>
    <t>BA-2409</t>
  </si>
  <si>
    <t>BA-2410</t>
  </si>
  <si>
    <t>BA-2411</t>
  </si>
  <si>
    <t>BA-2412</t>
  </si>
  <si>
    <t>BA-2413</t>
  </si>
  <si>
    <t>BA-2414</t>
  </si>
  <si>
    <t>BA-2415</t>
  </si>
  <si>
    <t>BA-2416</t>
  </si>
  <si>
    <t>BA-2417</t>
  </si>
  <si>
    <t>BA-2418</t>
  </si>
  <si>
    <t>BA-2419</t>
  </si>
  <si>
    <t>BA-2420</t>
  </si>
  <si>
    <t>BA-2421</t>
  </si>
  <si>
    <t>BA-2422</t>
  </si>
  <si>
    <t>BA-2423</t>
  </si>
  <si>
    <t>BA-2424</t>
  </si>
  <si>
    <t>BA-2425</t>
  </si>
  <si>
    <t>BA-2426</t>
  </si>
  <si>
    <t>BA-2427</t>
  </si>
  <si>
    <t>BA-2428</t>
  </si>
  <si>
    <t>BA-2429</t>
  </si>
  <si>
    <t>BA-2430</t>
  </si>
  <si>
    <t>BA-2431</t>
  </si>
  <si>
    <t>BA-2432</t>
  </si>
  <si>
    <t>BA-2433</t>
  </si>
  <si>
    <t>BA-2434</t>
  </si>
  <si>
    <t>BA-2435</t>
  </si>
  <si>
    <t>BA-2436</t>
  </si>
  <si>
    <t>BA-2437</t>
  </si>
  <si>
    <t>BA-2438</t>
  </si>
  <si>
    <t>BA-2439</t>
  </si>
  <si>
    <t>BA-2440</t>
  </si>
  <si>
    <t>BA-2441</t>
  </si>
  <si>
    <t>BA-2442</t>
  </si>
  <si>
    <t>BA-2443</t>
  </si>
  <si>
    <t>BA-2444</t>
  </si>
  <si>
    <t>BA-2445</t>
  </si>
  <si>
    <t>BA-2446</t>
  </si>
  <si>
    <t>BA-2447</t>
  </si>
  <si>
    <t>BA-2448</t>
  </si>
  <si>
    <t>BA-2449</t>
  </si>
  <si>
    <t>BA-2450</t>
  </si>
  <si>
    <t>BA-2451</t>
  </si>
  <si>
    <t>BA-2452</t>
  </si>
  <si>
    <t>BA-2453</t>
  </si>
  <si>
    <t>BA-2454</t>
  </si>
  <si>
    <t>BA-2455</t>
  </si>
  <si>
    <t>BA-2456</t>
  </si>
  <si>
    <t>BA-2457</t>
  </si>
  <si>
    <t>BA-2458</t>
  </si>
  <si>
    <t>BA-2459</t>
  </si>
  <si>
    <t>BA-2460</t>
  </si>
  <si>
    <t>BA-2461</t>
  </si>
  <si>
    <t>BA-2462</t>
  </si>
  <si>
    <t>BA-2463</t>
  </si>
  <si>
    <t>BA-2464</t>
  </si>
  <si>
    <t>BA-2465</t>
  </si>
  <si>
    <t>BA-2466</t>
  </si>
  <si>
    <t>BA-2467</t>
  </si>
  <si>
    <t>BA-2468</t>
  </si>
  <si>
    <t>BA-2469</t>
  </si>
  <si>
    <t>BA-2470</t>
  </si>
  <si>
    <t>BA-2471</t>
  </si>
  <si>
    <t>BA-2472</t>
  </si>
  <si>
    <t>BA-2473</t>
  </si>
  <si>
    <t>BA-2474</t>
  </si>
  <si>
    <t>BA-2475</t>
  </si>
  <si>
    <t>BA-2476</t>
  </si>
  <si>
    <t>BA-2477</t>
  </si>
  <si>
    <t>BA-2478</t>
  </si>
  <si>
    <t>BA-2479</t>
  </si>
  <si>
    <t>BA-2480</t>
  </si>
  <si>
    <t>BA-2481</t>
  </si>
  <si>
    <t>BA-2482</t>
  </si>
  <si>
    <t>BA-2483</t>
  </si>
  <si>
    <t>BA-2484</t>
  </si>
  <si>
    <t>BA-2485</t>
  </si>
  <si>
    <t>BA-2486</t>
  </si>
  <si>
    <t>BA-2487</t>
  </si>
  <si>
    <t>BA-2488</t>
  </si>
  <si>
    <t>BA-2489</t>
  </si>
  <si>
    <t>BA-2490</t>
  </si>
  <si>
    <t>BA-2491</t>
  </si>
  <si>
    <t>BA-2492</t>
  </si>
  <si>
    <t>BA-2493</t>
  </si>
  <si>
    <t>BA-2494</t>
  </si>
  <si>
    <t>BA-2495</t>
  </si>
  <si>
    <t>BA-2496</t>
  </si>
  <si>
    <t>BA-2497</t>
  </si>
  <si>
    <t>BA-2498</t>
  </si>
  <si>
    <t>BA-2499</t>
  </si>
  <si>
    <t>BA-2500</t>
  </si>
  <si>
    <t>BA-2501</t>
  </si>
  <si>
    <t>BA-2502</t>
  </si>
  <si>
    <t>BA-2503</t>
  </si>
  <si>
    <t>BA-2504</t>
  </si>
  <si>
    <t>BA-2505</t>
  </si>
  <si>
    <t>BA-2506</t>
  </si>
  <si>
    <t>BA-2507</t>
  </si>
  <si>
    <t>BA-2508</t>
  </si>
  <si>
    <t>BA-2509</t>
  </si>
  <si>
    <t>BA-2510</t>
  </si>
  <si>
    <t>BA-2511</t>
  </si>
  <si>
    <t>BA-2512</t>
  </si>
  <si>
    <t>BA-2513</t>
  </si>
  <si>
    <t>BA-2514</t>
  </si>
  <si>
    <t>BA-2515</t>
  </si>
  <si>
    <t>BA-2516</t>
  </si>
  <si>
    <t>BA-2517</t>
  </si>
  <si>
    <t>BA-2518</t>
  </si>
  <si>
    <t>BA-2519</t>
  </si>
  <si>
    <t>BA-2520</t>
  </si>
  <si>
    <t>BA-2521</t>
  </si>
  <si>
    <t>BA-2522</t>
  </si>
  <si>
    <t>BA-2523</t>
  </si>
  <si>
    <t>BA-2524</t>
  </si>
  <si>
    <t>BA-2525</t>
  </si>
  <si>
    <t>BA-2526</t>
  </si>
  <si>
    <t>BA-2527</t>
  </si>
  <si>
    <t>BA-2528</t>
  </si>
  <si>
    <t>BA-2529</t>
  </si>
  <si>
    <t>BA-2530</t>
  </si>
  <si>
    <t>BA-2531</t>
  </si>
  <si>
    <t>BA-2532</t>
  </si>
  <si>
    <t>BA-2533</t>
  </si>
  <si>
    <t>BA-2534</t>
  </si>
  <si>
    <t>BA-2535</t>
  </si>
  <si>
    <t>BA-2536</t>
  </si>
  <si>
    <t>BA-2537</t>
  </si>
  <si>
    <t>BA-2538</t>
  </si>
  <si>
    <t>BA-2539</t>
  </si>
  <si>
    <t>BA-2540</t>
  </si>
  <si>
    <t>BA-2541</t>
  </si>
  <si>
    <t>BA-2542</t>
  </si>
  <si>
    <t>BA-2543</t>
  </si>
  <si>
    <t>BA-2544</t>
  </si>
  <si>
    <t>BA-2545</t>
  </si>
  <si>
    <t>BA-2546</t>
  </si>
  <si>
    <t>BA-2547</t>
  </si>
  <si>
    <t>BA-2548</t>
  </si>
  <si>
    <t>BA-2549</t>
  </si>
  <si>
    <t>BA-2550</t>
  </si>
  <si>
    <t>BA-2551</t>
  </si>
  <si>
    <t>BA-2552</t>
  </si>
  <si>
    <t>BA-2553</t>
  </si>
  <si>
    <t>BA-2554</t>
  </si>
  <si>
    <t>BA-2555</t>
  </si>
  <si>
    <t>BA-2556</t>
  </si>
  <si>
    <t>BA-2557</t>
  </si>
  <si>
    <t>BA-2558</t>
  </si>
  <si>
    <t>BA-2559</t>
  </si>
  <si>
    <t>BA-2560</t>
  </si>
  <si>
    <t>BA-2561</t>
  </si>
  <si>
    <t>BA-2562</t>
  </si>
  <si>
    <t>BA-2563</t>
  </si>
  <si>
    <t>BA-2564</t>
  </si>
  <si>
    <t>BA-2565</t>
  </si>
  <si>
    <t>BA-2566</t>
  </si>
  <si>
    <t>BA-2567</t>
  </si>
  <si>
    <t>BA-2568</t>
  </si>
  <si>
    <t>BA-2569</t>
  </si>
  <si>
    <t>BA-2570</t>
  </si>
  <si>
    <t>BA-2571</t>
  </si>
  <si>
    <t>BA-2572</t>
  </si>
  <si>
    <t>BA-2573</t>
  </si>
  <si>
    <t>BA-2574</t>
  </si>
  <si>
    <t>BA-2575</t>
  </si>
  <si>
    <t>BA-2576</t>
  </si>
  <si>
    <t>BA-2577</t>
  </si>
  <si>
    <t>BA-2578</t>
  </si>
  <si>
    <t>BA-2579</t>
  </si>
  <si>
    <t>BA-2580</t>
  </si>
  <si>
    <t>BA-2581</t>
  </si>
  <si>
    <t>BA-2582</t>
  </si>
  <si>
    <t>BA-2583</t>
  </si>
  <si>
    <t>BA-2584</t>
  </si>
  <si>
    <t>BA-2585</t>
  </si>
  <si>
    <t>BA-2586</t>
  </si>
  <si>
    <t>BA-2587</t>
  </si>
  <si>
    <t>BA-2588</t>
  </si>
  <si>
    <t>BA-2589</t>
  </si>
  <si>
    <t>BA-2590</t>
  </si>
  <si>
    <t>BA-2591</t>
  </si>
  <si>
    <t>BA-2592</t>
  </si>
  <si>
    <t>BA-2593</t>
  </si>
  <si>
    <t>BA-2594</t>
  </si>
  <si>
    <t>BA-2595</t>
  </si>
  <si>
    <t>BA-2596</t>
  </si>
  <si>
    <t>BA-2597</t>
  </si>
  <si>
    <t>BA-2598</t>
  </si>
  <si>
    <t>BA-2599</t>
  </si>
  <si>
    <t>BA-2600</t>
  </si>
  <si>
    <t>BA-2601</t>
  </si>
  <si>
    <t>BA-2602</t>
  </si>
  <si>
    <t>BA-2603</t>
  </si>
  <si>
    <t>BA-2604</t>
  </si>
  <si>
    <t>BA-2605</t>
  </si>
  <si>
    <t>BA-2606</t>
  </si>
  <si>
    <t>BA-2607</t>
  </si>
  <si>
    <t>BA-2608</t>
  </si>
  <si>
    <t>BA-2609</t>
  </si>
  <si>
    <t>BA-2610</t>
  </si>
  <si>
    <t>BA-2611</t>
  </si>
  <si>
    <t>BA-2612</t>
  </si>
  <si>
    <t>BA-2613</t>
  </si>
  <si>
    <t>BA-2614</t>
  </si>
  <si>
    <t>BA-2615</t>
  </si>
  <si>
    <t>BA-2616</t>
  </si>
  <si>
    <t>BA-2617</t>
  </si>
  <si>
    <t>BA-2618</t>
  </si>
  <si>
    <t>BA-2619</t>
  </si>
  <si>
    <t>BA-2620</t>
  </si>
  <si>
    <t>BA-2621</t>
  </si>
  <si>
    <t>BA-2622</t>
  </si>
  <si>
    <t>BA-2623</t>
  </si>
  <si>
    <t>BA-2624</t>
  </si>
  <si>
    <t>BA-2625</t>
  </si>
  <si>
    <t>BA-2626</t>
  </si>
  <si>
    <t>BA-2627</t>
  </si>
  <si>
    <t>BA-2628</t>
  </si>
  <si>
    <t>BA-2629</t>
  </si>
  <si>
    <t>BA-2630</t>
  </si>
  <si>
    <t>BA-2631</t>
  </si>
  <si>
    <t>BA-2632</t>
  </si>
  <si>
    <t>BA-2633</t>
  </si>
  <si>
    <t>BA-2634</t>
  </si>
  <si>
    <t>BA-2635</t>
  </si>
  <si>
    <t>BA-2636</t>
  </si>
  <si>
    <t>BA-2637</t>
  </si>
  <si>
    <t>BA-2638</t>
  </si>
  <si>
    <t>BA-2639</t>
  </si>
  <si>
    <t>BA-2640</t>
  </si>
  <si>
    <t>BA-2641</t>
  </si>
  <si>
    <t>BA-2642</t>
  </si>
  <si>
    <t>BA-2643</t>
  </si>
  <si>
    <t>BA-2644</t>
  </si>
  <si>
    <t>BA-2645</t>
  </si>
  <si>
    <t>BA-2646</t>
  </si>
  <si>
    <t>BA-2647</t>
  </si>
  <si>
    <t>BA-2648</t>
  </si>
  <si>
    <t>BA-2649</t>
  </si>
  <si>
    <t>BA-2650</t>
  </si>
  <si>
    <t>BA-2651</t>
  </si>
  <si>
    <t>BA-2652</t>
  </si>
  <si>
    <t>BA-2653</t>
  </si>
  <si>
    <t>BA-2654</t>
  </si>
  <si>
    <t>BA-2655</t>
  </si>
  <si>
    <t>BA-2656</t>
  </si>
  <si>
    <t>BA-2657</t>
  </si>
  <si>
    <t>BA-2658</t>
  </si>
  <si>
    <t>BA-2659</t>
  </si>
  <si>
    <t>BA-2660</t>
  </si>
  <si>
    <t>BA-2661</t>
  </si>
  <si>
    <t>BA-2662</t>
  </si>
  <si>
    <t>BA-2663</t>
  </si>
  <si>
    <t>BA-2664</t>
  </si>
  <si>
    <t>BA-2665</t>
  </si>
  <si>
    <t>BA-2666</t>
  </si>
  <si>
    <t>BA-2667</t>
  </si>
  <si>
    <t>BA-2668</t>
  </si>
  <si>
    <t>BA-2669</t>
  </si>
  <si>
    <t>BA-2670</t>
  </si>
  <si>
    <t>BA-2671</t>
  </si>
  <si>
    <t>BA-2672</t>
  </si>
  <si>
    <t>BA-2673</t>
  </si>
  <si>
    <t>BA-2674</t>
  </si>
  <si>
    <t>BA-2675</t>
  </si>
  <si>
    <t>BA-2676</t>
  </si>
  <si>
    <t>BA-2677</t>
  </si>
  <si>
    <t>BA-2678</t>
  </si>
  <si>
    <t>BA-2679</t>
  </si>
  <si>
    <t>BA-2680</t>
  </si>
  <si>
    <t>BA-2681</t>
  </si>
  <si>
    <t>BA-2682</t>
  </si>
  <si>
    <t>BA-2683</t>
  </si>
  <si>
    <t>BA-2684</t>
  </si>
  <si>
    <t>BA-2685</t>
  </si>
  <si>
    <t>BA-2686</t>
  </si>
  <si>
    <t>BA-2687</t>
  </si>
  <si>
    <t>BA-2688</t>
  </si>
  <si>
    <t>BA-2689</t>
  </si>
  <si>
    <t>BA-2690</t>
  </si>
  <si>
    <t>BA-2691</t>
  </si>
  <si>
    <t>BA-2692</t>
  </si>
  <si>
    <t>BA-2693</t>
  </si>
  <si>
    <t>BA-2694</t>
  </si>
  <si>
    <t>BA-2695</t>
  </si>
  <si>
    <t>BA-2696</t>
  </si>
  <si>
    <t>BA-2697</t>
  </si>
  <si>
    <t>BA-2698</t>
  </si>
  <si>
    <t>BA-2699</t>
  </si>
  <si>
    <t>BA-2700</t>
  </si>
  <si>
    <t>BA-2701</t>
  </si>
  <si>
    <t>BA-2702</t>
  </si>
  <si>
    <t>BA-2703</t>
  </si>
  <si>
    <t>BA-2704</t>
  </si>
  <si>
    <t>BA-2705</t>
  </si>
  <si>
    <t>BA-2706</t>
  </si>
  <si>
    <t>BA-2707</t>
  </si>
  <si>
    <t>BA-2708</t>
  </si>
  <si>
    <t>BA-2709</t>
  </si>
  <si>
    <t>BA-2710</t>
  </si>
  <si>
    <t>BA-2711</t>
  </si>
  <si>
    <t>BA-2712</t>
  </si>
  <si>
    <t>BA-2713</t>
  </si>
  <si>
    <t>BA-2714</t>
  </si>
  <si>
    <t>BA-2715</t>
  </si>
  <si>
    <t>BA-2716</t>
  </si>
  <si>
    <t>BA-2717</t>
  </si>
  <si>
    <t>BA-2718</t>
  </si>
  <si>
    <t>BA-2719</t>
  </si>
  <si>
    <t>BA-2720</t>
  </si>
  <si>
    <t>BA-2721</t>
  </si>
  <si>
    <t>BA-2722</t>
  </si>
  <si>
    <t>BA-2723</t>
  </si>
  <si>
    <t>BA-2724</t>
  </si>
  <si>
    <t>BA-2725</t>
  </si>
  <si>
    <t>BA-2726</t>
  </si>
  <si>
    <t>BA-2727</t>
  </si>
  <si>
    <t>BA-2728</t>
  </si>
  <si>
    <t>BA-2729</t>
  </si>
  <si>
    <t>BA-2730</t>
  </si>
  <si>
    <t>BA-2731</t>
  </si>
  <si>
    <t>BA-2732</t>
  </si>
  <si>
    <t>BA-2733</t>
  </si>
  <si>
    <t>BA-2734</t>
  </si>
  <si>
    <t>BA-2735</t>
  </si>
  <si>
    <t>BA-2736</t>
  </si>
  <si>
    <t>BA-2737</t>
  </si>
  <si>
    <t>BA-2738</t>
  </si>
  <si>
    <t>BA-2739</t>
  </si>
  <si>
    <t>BA-2740</t>
  </si>
  <si>
    <t>BA-2741</t>
  </si>
  <si>
    <t>BA-2742</t>
  </si>
  <si>
    <t>BA-2743</t>
  </si>
  <si>
    <t>BA-2744</t>
  </si>
  <si>
    <t>BA-2745</t>
  </si>
  <si>
    <t>BA-2746</t>
  </si>
  <si>
    <t>BA-2747</t>
  </si>
  <si>
    <t>BA-2748</t>
  </si>
  <si>
    <t>BA-2749</t>
  </si>
  <si>
    <t>BA-2750</t>
  </si>
  <si>
    <t>BA-2751</t>
  </si>
  <si>
    <t>BA-2752</t>
  </si>
  <si>
    <t>BA-2753</t>
  </si>
  <si>
    <t>BA-2754</t>
  </si>
  <si>
    <t>BA-2755</t>
  </si>
  <si>
    <t>BA-2756</t>
  </si>
  <si>
    <t>BA-2757</t>
  </si>
  <si>
    <t>BA-2758</t>
  </si>
  <si>
    <t>BA-2759</t>
  </si>
  <si>
    <t>BA-2760</t>
  </si>
  <si>
    <t>BA-2761</t>
  </si>
  <si>
    <t>BA-2762</t>
  </si>
  <si>
    <t>BA-2763</t>
  </si>
  <si>
    <t>BA-2764</t>
  </si>
  <si>
    <t>BA-2765</t>
  </si>
  <si>
    <t>BA-2766</t>
  </si>
  <si>
    <t>BA-2767</t>
  </si>
  <si>
    <t>BA-2768</t>
  </si>
  <si>
    <t>BA-2769</t>
  </si>
  <si>
    <t>BA-2770</t>
  </si>
  <si>
    <t>BA-2771</t>
  </si>
  <si>
    <t>BA-2772</t>
  </si>
  <si>
    <t>BA-2773</t>
  </si>
  <si>
    <t>BA-2774</t>
  </si>
  <si>
    <t>BA-2775</t>
  </si>
  <si>
    <t>BA-2776</t>
  </si>
  <si>
    <t>BA-2777</t>
  </si>
  <si>
    <t>BA-2778</t>
  </si>
  <si>
    <t>BA-2779</t>
  </si>
  <si>
    <t>BA-2780</t>
  </si>
  <si>
    <t>BA-2781</t>
  </si>
  <si>
    <t>BA-2782</t>
  </si>
  <si>
    <t>BA-2783</t>
  </si>
  <si>
    <t>BA-2784</t>
  </si>
  <si>
    <t>BA-2785</t>
  </si>
  <si>
    <t>BA-2786</t>
  </si>
  <si>
    <t>BA-2787</t>
  </si>
  <si>
    <t>BA-2788</t>
  </si>
  <si>
    <t>BA-2789</t>
  </si>
  <si>
    <t>BA-2790</t>
  </si>
  <si>
    <t>BA-2791</t>
  </si>
  <si>
    <t>BA-2792</t>
  </si>
  <si>
    <t>BA-2793</t>
  </si>
  <si>
    <t>BA-2794</t>
  </si>
  <si>
    <t>BA-2795</t>
  </si>
  <si>
    <t>BA-2796</t>
  </si>
  <si>
    <t>BA-2797</t>
  </si>
  <si>
    <t>BA-2798</t>
  </si>
  <si>
    <t>BA-2799</t>
  </si>
  <si>
    <t>BA-2800</t>
  </si>
  <si>
    <t>BA-2801</t>
  </si>
  <si>
    <t>BA-2802</t>
  </si>
  <si>
    <t>BA-2803</t>
  </si>
  <si>
    <t>BA-2804</t>
  </si>
  <si>
    <t>BA-2805</t>
  </si>
  <si>
    <t>BA-2806</t>
  </si>
  <si>
    <t>BA-2807</t>
  </si>
  <si>
    <t>BA-2808</t>
  </si>
  <si>
    <t>BA-2809</t>
  </si>
  <si>
    <t>BA-2810</t>
  </si>
  <si>
    <t>BA-2811</t>
  </si>
  <si>
    <t>BA-2812</t>
  </si>
  <si>
    <t>BA-2813</t>
  </si>
  <si>
    <t>BA-2814</t>
  </si>
  <si>
    <t>BA-2815</t>
  </si>
  <si>
    <t>BA-2816</t>
  </si>
  <si>
    <t>BA-2817</t>
  </si>
  <si>
    <t>BA-2818</t>
  </si>
  <si>
    <t>BA-2819</t>
  </si>
  <si>
    <t>BA-2820</t>
  </si>
  <si>
    <t>BA-2821</t>
  </si>
  <si>
    <t>BA-2822</t>
  </si>
  <si>
    <t>BA-2823</t>
  </si>
  <si>
    <t>BA-2824</t>
  </si>
  <si>
    <t>BA-2825</t>
  </si>
  <si>
    <t>BA-2826</t>
  </si>
  <si>
    <t>BA-2827</t>
  </si>
  <si>
    <t>BA-2828</t>
  </si>
  <si>
    <t>BA-2829</t>
  </si>
  <si>
    <t>BA-2830</t>
  </si>
  <si>
    <t>BA-2831</t>
  </si>
  <si>
    <t>BA-2832</t>
  </si>
  <si>
    <t>BA-2833</t>
  </si>
  <si>
    <t>BA-2834</t>
  </si>
  <si>
    <t>BA-2835</t>
  </si>
  <si>
    <t>BA-2836</t>
  </si>
  <si>
    <t>BA-2837</t>
  </si>
  <si>
    <t>BA-2838</t>
  </si>
  <si>
    <t>BA-2839</t>
  </si>
  <si>
    <t>BA-2840</t>
  </si>
  <si>
    <t>BA-2841</t>
  </si>
  <si>
    <t>BA-2842</t>
  </si>
  <si>
    <t>BA-2843</t>
  </si>
  <si>
    <t>BA-2844</t>
  </si>
  <si>
    <t>BA-2845</t>
  </si>
  <si>
    <t>BA-2846</t>
  </si>
  <si>
    <t>BA-2847</t>
  </si>
  <si>
    <t>BA-2848</t>
  </si>
  <si>
    <t>BA-2849</t>
  </si>
  <si>
    <t>BA-2850</t>
  </si>
  <si>
    <t>BA-2851</t>
  </si>
  <si>
    <t>BA-2852</t>
  </si>
  <si>
    <t>BA-2853</t>
  </si>
  <si>
    <t>BA-2854</t>
  </si>
  <si>
    <t>BA-2855</t>
  </si>
  <si>
    <t>BA-2856</t>
  </si>
  <si>
    <t>BA-2857</t>
  </si>
  <si>
    <t>BA-2858</t>
  </si>
  <si>
    <t>BA-2859</t>
  </si>
  <si>
    <t>BA-2860</t>
  </si>
  <si>
    <t>BA-2861</t>
  </si>
  <si>
    <t>BA-2862</t>
  </si>
  <si>
    <t>BA-2863</t>
  </si>
  <si>
    <t>BA-2864</t>
  </si>
  <si>
    <t>BA-2865</t>
  </si>
  <si>
    <t>BA-2866</t>
  </si>
  <si>
    <t>BA-2867</t>
  </si>
  <si>
    <t>BA-2868</t>
  </si>
  <si>
    <t>BA-2869</t>
  </si>
  <si>
    <t>BA-2870</t>
  </si>
  <si>
    <t>BA-2871</t>
  </si>
  <si>
    <t>BA-2872</t>
  </si>
  <si>
    <t>BA-2873</t>
  </si>
  <si>
    <t>BA-2874</t>
  </si>
  <si>
    <t>BA-2875</t>
  </si>
  <si>
    <t>BA-2876</t>
  </si>
  <si>
    <t>BA-2877</t>
  </si>
  <si>
    <t>BA-2878</t>
  </si>
  <si>
    <t>BA-2879</t>
  </si>
  <si>
    <t>BA-2880</t>
  </si>
  <si>
    <t>BA-2881</t>
  </si>
  <si>
    <t>BA-2882</t>
  </si>
  <si>
    <t>BA-2883</t>
  </si>
  <si>
    <t>BA-2884</t>
  </si>
  <si>
    <t>BA-2885</t>
  </si>
  <si>
    <t>BA-2886</t>
  </si>
  <si>
    <t>BA-2887</t>
  </si>
  <si>
    <t>BA-2888</t>
  </si>
  <si>
    <t>BA-2889</t>
  </si>
  <si>
    <t>BA-2890</t>
  </si>
  <si>
    <t>BA-2891</t>
  </si>
  <si>
    <t>BA-2892</t>
  </si>
  <si>
    <t>BA-2893</t>
  </si>
  <si>
    <t>BA-2894</t>
  </si>
  <si>
    <t>BA-2895</t>
  </si>
  <si>
    <t>BA-2896</t>
  </si>
  <si>
    <t>BA-2897</t>
  </si>
  <si>
    <t>BA-2898</t>
  </si>
  <si>
    <t>BA-2899</t>
  </si>
  <si>
    <t>BA-2900</t>
  </si>
  <si>
    <t>BA-2901</t>
  </si>
  <si>
    <t>BA-2902</t>
  </si>
  <si>
    <t>BA-2903</t>
  </si>
  <si>
    <t>BA-2904</t>
  </si>
  <si>
    <t>BA-2905</t>
  </si>
  <si>
    <t>BA-2906</t>
  </si>
  <si>
    <t>BA-2907</t>
  </si>
  <si>
    <t>BA-2908</t>
  </si>
  <si>
    <t>BA-2909</t>
  </si>
  <si>
    <t>BA-2910</t>
  </si>
  <si>
    <t>BA-2911</t>
  </si>
  <si>
    <t>BA-2912</t>
  </si>
  <si>
    <t>BA-2913</t>
  </si>
  <si>
    <t>BA-2914</t>
  </si>
  <si>
    <t>BA-2915</t>
  </si>
  <si>
    <t>BA-2916</t>
  </si>
  <si>
    <t>BA-2917</t>
  </si>
  <si>
    <t>BA-2918</t>
  </si>
  <si>
    <t>BA-2919</t>
  </si>
  <si>
    <t>BA-2920</t>
  </si>
  <si>
    <t>BA-2921</t>
  </si>
  <si>
    <t>BA-2922</t>
  </si>
  <si>
    <t>BA-2923</t>
  </si>
  <si>
    <t>BA-2924</t>
  </si>
  <si>
    <t>BA-2925</t>
  </si>
  <si>
    <t>BA-2926</t>
  </si>
  <si>
    <t>BA-2927</t>
  </si>
  <si>
    <t>BA-2928</t>
  </si>
  <si>
    <t>BA-2929</t>
  </si>
  <si>
    <t>BA-2930</t>
  </si>
  <si>
    <t>BA-2931</t>
  </si>
  <si>
    <t>BA-2932</t>
  </si>
  <si>
    <t>BA-2933</t>
  </si>
  <si>
    <t>BA-2934</t>
  </si>
  <si>
    <t>BA-2935</t>
  </si>
  <si>
    <t>BA-2936</t>
  </si>
  <si>
    <t>BA-2937</t>
  </si>
  <si>
    <t>BA-2938</t>
  </si>
  <si>
    <t>BA-2939</t>
  </si>
  <si>
    <t>BA-2940</t>
  </si>
  <si>
    <t>BA-2941</t>
  </si>
  <si>
    <t>BA-2942</t>
  </si>
  <si>
    <t>BA-2943</t>
  </si>
  <si>
    <t>BA-2944</t>
  </si>
  <si>
    <t>BA-2945</t>
  </si>
  <si>
    <t>BA-2946</t>
  </si>
  <si>
    <t>BA-2947</t>
  </si>
  <si>
    <t>BA-2948</t>
  </si>
  <si>
    <t>BA-2949</t>
  </si>
  <si>
    <t>BA-2950</t>
  </si>
  <si>
    <t>BA-2951</t>
  </si>
  <si>
    <t>BA-2952</t>
  </si>
  <si>
    <t>BA-2953</t>
  </si>
  <si>
    <t>BA-2954</t>
  </si>
  <si>
    <t>BA-2955</t>
  </si>
  <si>
    <t>BA-2956</t>
  </si>
  <si>
    <t>BA-2957</t>
  </si>
  <si>
    <t>BA-2958</t>
  </si>
  <si>
    <t>BA-2959</t>
  </si>
  <si>
    <t>BA-2960</t>
  </si>
  <si>
    <t>BA-2961</t>
  </si>
  <si>
    <t>BA-2962</t>
  </si>
  <si>
    <t>BA-2963</t>
  </si>
  <si>
    <t>BA-2964</t>
  </si>
  <si>
    <t>BA-2965</t>
  </si>
  <si>
    <t>BA-2966</t>
  </si>
  <si>
    <t>BA-2967</t>
  </si>
  <si>
    <t>BA-2968</t>
  </si>
  <si>
    <t>BA-2969</t>
  </si>
  <si>
    <t>BA-2970</t>
  </si>
  <si>
    <t>BA-2971</t>
  </si>
  <si>
    <t>BA-2972</t>
  </si>
  <si>
    <t>BA-2973</t>
  </si>
  <si>
    <t>BA-2974</t>
  </si>
  <si>
    <t>BA-2975</t>
  </si>
  <si>
    <t>BA-2976</t>
  </si>
  <si>
    <t>BA-2977</t>
  </si>
  <si>
    <t>BA-2978</t>
  </si>
  <si>
    <t>BA-2979</t>
  </si>
  <si>
    <t>BA-2980</t>
  </si>
  <si>
    <t>BA-2981</t>
  </si>
  <si>
    <t>BA-2982</t>
  </si>
  <si>
    <t>BA-2983</t>
  </si>
  <si>
    <t>BA-2984</t>
  </si>
  <si>
    <t>BA-2985</t>
  </si>
  <si>
    <t>BA-2986</t>
  </si>
  <si>
    <t>BA-2987</t>
  </si>
  <si>
    <t>BA-2988</t>
  </si>
  <si>
    <t>BA-2989</t>
  </si>
  <si>
    <t>BA-2990</t>
  </si>
  <si>
    <t>BA-2991</t>
  </si>
  <si>
    <t>BA-2992</t>
  </si>
  <si>
    <t>BA-2993</t>
  </si>
  <si>
    <t>BA-2994</t>
  </si>
  <si>
    <t>BA-2995</t>
  </si>
  <si>
    <t>BA-2996</t>
  </si>
  <si>
    <t>BA-2997</t>
  </si>
  <si>
    <t>BA-2998</t>
  </si>
  <si>
    <t>BA-2999</t>
  </si>
  <si>
    <t>BA-3000</t>
  </si>
  <si>
    <t>BA-3001</t>
  </si>
  <si>
    <t>BA-3002</t>
  </si>
  <si>
    <t>BA-3003</t>
  </si>
  <si>
    <t>BA-3004</t>
  </si>
  <si>
    <t>BA-3005</t>
  </si>
  <si>
    <t>BA-3006</t>
  </si>
  <si>
    <t>BA-3007</t>
  </si>
  <si>
    <t>BA-3008</t>
  </si>
  <si>
    <t>BA-3009</t>
  </si>
  <si>
    <t>BA-3010</t>
  </si>
  <si>
    <t>BA-3011</t>
  </si>
  <si>
    <t>BA-3012</t>
  </si>
  <si>
    <t>BA-3013</t>
  </si>
  <si>
    <t>BA-3014</t>
  </si>
  <si>
    <t>BA-3015</t>
  </si>
  <si>
    <t>BA-3016</t>
  </si>
  <si>
    <t>BA-3017</t>
  </si>
  <si>
    <t>BA-3018</t>
  </si>
  <si>
    <t>BA-3019</t>
  </si>
  <si>
    <t>BA-3020</t>
  </si>
  <si>
    <t>BA-3021</t>
  </si>
  <si>
    <t>BA-3022</t>
  </si>
  <si>
    <t>BA-3023</t>
  </si>
  <si>
    <t>BA-3024</t>
  </si>
  <si>
    <t>BA-3025</t>
  </si>
  <si>
    <t>BA-3026</t>
  </si>
  <si>
    <t>BA-3027</t>
  </si>
  <si>
    <t>BA-3028</t>
  </si>
  <si>
    <t>BA-3029</t>
  </si>
  <si>
    <t>BA-3030</t>
  </si>
  <si>
    <t>BA-3031</t>
  </si>
  <si>
    <t>BA-3032</t>
  </si>
  <si>
    <t>BA-3033</t>
  </si>
  <si>
    <t>BA-3034</t>
  </si>
  <si>
    <t>BA-3035</t>
  </si>
  <si>
    <t>BA-3036</t>
  </si>
  <si>
    <t>BA-3037</t>
  </si>
  <si>
    <t>BA-3038</t>
  </si>
  <si>
    <t>BA-3039</t>
  </si>
  <si>
    <t>BA-3040</t>
  </si>
  <si>
    <t>BA-3041</t>
  </si>
  <si>
    <t>BA-3042</t>
  </si>
  <si>
    <t>BA-3043</t>
  </si>
  <si>
    <t>BA-3044</t>
  </si>
  <si>
    <t>BA-3045</t>
  </si>
  <si>
    <t>BA-3046</t>
  </si>
  <si>
    <t>BA-3047</t>
  </si>
  <si>
    <t>BA-3048</t>
  </si>
  <si>
    <t>BA-3049</t>
  </si>
  <si>
    <t>BA-3050</t>
  </si>
  <si>
    <t>BA-3051</t>
  </si>
  <si>
    <t>BA-3052</t>
  </si>
  <si>
    <t>BA-3053</t>
  </si>
  <si>
    <t>BA-3054</t>
  </si>
  <si>
    <t>BA-3055</t>
  </si>
  <si>
    <t>BA-3056</t>
  </si>
  <si>
    <t>BA-3057</t>
  </si>
  <si>
    <t>BA-3058</t>
  </si>
  <si>
    <t>BA-3059</t>
  </si>
  <si>
    <t>BA-3060</t>
  </si>
  <si>
    <t>BA-3061</t>
  </si>
  <si>
    <t>BA-3062</t>
  </si>
  <si>
    <t>BA-3063</t>
  </si>
  <si>
    <t>BA-3064</t>
  </si>
  <si>
    <t>BA-3065</t>
  </si>
  <si>
    <t>BA-3066</t>
  </si>
  <si>
    <t>BA-3067</t>
  </si>
  <si>
    <t>BA-3068</t>
  </si>
  <si>
    <t>BA-3069</t>
  </si>
  <si>
    <t>BA-3070</t>
  </si>
  <si>
    <t>BA-3071</t>
  </si>
  <si>
    <t>BA-3072</t>
  </si>
  <si>
    <t>BA-3073</t>
  </si>
  <si>
    <t>BA-3074</t>
  </si>
  <si>
    <t>BA-3075</t>
  </si>
  <si>
    <t>BA-3076</t>
  </si>
  <si>
    <t>BA-3077</t>
  </si>
  <si>
    <t>BA-3078</t>
  </si>
  <si>
    <t>BA-3079</t>
  </si>
  <si>
    <t>BA-3080</t>
  </si>
  <si>
    <t>BA-3081</t>
  </si>
  <si>
    <t>BA-3082</t>
  </si>
  <si>
    <t>BA-3083</t>
  </si>
  <si>
    <t>BA-3084</t>
  </si>
  <si>
    <t>BA-3085</t>
  </si>
  <si>
    <t>BA-3086</t>
  </si>
  <si>
    <t>BA-3087</t>
  </si>
  <si>
    <t>BA-3088</t>
  </si>
  <si>
    <t>BA-3089</t>
  </si>
  <si>
    <t>BA-3090</t>
  </si>
  <si>
    <t>BA-3091</t>
  </si>
  <si>
    <t>BA-3092</t>
  </si>
  <si>
    <t>BA-3093</t>
  </si>
  <si>
    <t>BA-3094</t>
  </si>
  <si>
    <t>BA-3095</t>
  </si>
  <si>
    <t>BA-3096</t>
  </si>
  <si>
    <t>BA-3097</t>
  </si>
  <si>
    <t>BA-3098</t>
  </si>
  <si>
    <t>BA-3099</t>
  </si>
  <si>
    <t>BA-3100</t>
  </si>
  <si>
    <t>BA-3101</t>
  </si>
  <si>
    <t>BA-3102</t>
  </si>
  <si>
    <t>BA-3103</t>
  </si>
  <si>
    <t>BA-3104</t>
  </si>
  <si>
    <t>BA-3105</t>
  </si>
  <si>
    <t>BA-3106</t>
  </si>
  <si>
    <t>BA-3107</t>
  </si>
  <si>
    <t>BA-3108</t>
  </si>
  <si>
    <t>BA-3109</t>
  </si>
  <si>
    <t>BA-3110</t>
  </si>
  <si>
    <t>BA-3111</t>
  </si>
  <si>
    <t>BA-3112</t>
  </si>
  <si>
    <t>BA-3113</t>
  </si>
  <si>
    <t>BA-3114</t>
  </si>
  <si>
    <t>BA-3115</t>
  </si>
  <si>
    <t>BA-3116</t>
  </si>
  <si>
    <t>BA-3117</t>
  </si>
  <si>
    <t>BA-3118</t>
  </si>
  <si>
    <t>BA-3119</t>
  </si>
  <si>
    <t>BA-3120</t>
  </si>
  <si>
    <t>BA-3121</t>
  </si>
  <si>
    <t>BA-3122</t>
  </si>
  <si>
    <t>BA-3123</t>
  </si>
  <si>
    <t>BA-3124</t>
  </si>
  <si>
    <t>BA-3125</t>
  </si>
  <si>
    <t>BA-3126</t>
  </si>
  <si>
    <t>BA-3127</t>
  </si>
  <si>
    <t>BA-3128</t>
  </si>
  <si>
    <t>BA-3129</t>
  </si>
  <si>
    <t>BA-3130</t>
  </si>
  <si>
    <t>BA-3131</t>
  </si>
  <si>
    <t>BA-3132</t>
  </si>
  <si>
    <t>BA-3133</t>
  </si>
  <si>
    <t>BA-3134</t>
  </si>
  <si>
    <t>BA-3135</t>
  </si>
  <si>
    <t>BA-3136</t>
  </si>
  <si>
    <t>BA-3137</t>
  </si>
  <si>
    <t>BA-3138</t>
  </si>
  <si>
    <t>BA-3139</t>
  </si>
  <si>
    <t>BA-3140</t>
  </si>
  <si>
    <t>BA-3141</t>
  </si>
  <si>
    <t>BA-3142</t>
  </si>
  <si>
    <t>BA-3143</t>
  </si>
  <si>
    <t>BA-3144</t>
  </si>
  <si>
    <t>BA-3145</t>
  </si>
  <si>
    <t>BA-3146</t>
  </si>
  <si>
    <t>BA-3147</t>
  </si>
  <si>
    <t>BA-3148</t>
  </si>
  <si>
    <t>BA-3149</t>
  </si>
  <si>
    <t>BA-3150</t>
  </si>
  <si>
    <t>BA-3151</t>
  </si>
  <si>
    <t>BA-3152</t>
  </si>
  <si>
    <t>BA-3153</t>
  </si>
  <si>
    <t>BA-3154</t>
  </si>
  <si>
    <t>BA-3155</t>
  </si>
  <si>
    <t>BA-3156</t>
  </si>
  <si>
    <t>BA-3157</t>
  </si>
  <si>
    <t>BA-3158</t>
  </si>
  <si>
    <t>BA-3159</t>
  </si>
  <si>
    <t>BA-3160</t>
  </si>
  <si>
    <t>BA-3161</t>
  </si>
  <si>
    <t>BA-3162</t>
  </si>
  <si>
    <t>BA-3163</t>
  </si>
  <si>
    <t>BA-3164</t>
  </si>
  <si>
    <t>BA-3165</t>
  </si>
  <si>
    <t>BA-3166</t>
  </si>
  <si>
    <t>BA-3167</t>
  </si>
  <si>
    <t>BA-3168</t>
  </si>
  <si>
    <t>BA-3169</t>
  </si>
  <si>
    <t>BA-3170</t>
  </si>
  <si>
    <t>BA-3171</t>
  </si>
  <si>
    <t>BA-3172</t>
  </si>
  <si>
    <t>BA-3173</t>
  </si>
  <si>
    <t>BA-3174</t>
  </si>
  <si>
    <t>BA-3175</t>
  </si>
  <si>
    <t>BA-3176</t>
  </si>
  <si>
    <t>BA-3177</t>
  </si>
  <si>
    <t>BA-3178</t>
  </si>
  <si>
    <t>BA-3179</t>
  </si>
  <si>
    <t>BA-3180</t>
  </si>
  <si>
    <t>BA-3181</t>
  </si>
  <si>
    <t>BA-3182</t>
  </si>
  <si>
    <t>BA-3183</t>
  </si>
  <si>
    <t>BA-3184</t>
  </si>
  <si>
    <t>BA-3185</t>
  </si>
  <si>
    <t>BA-3186</t>
  </si>
  <si>
    <t>BA-3187</t>
  </si>
  <si>
    <t>BA-3188</t>
  </si>
  <si>
    <t>BA-3189</t>
  </si>
  <si>
    <t>BA-3190</t>
  </si>
  <si>
    <t>BA-3191</t>
  </si>
  <si>
    <t>BA-3192</t>
  </si>
  <si>
    <t>BA-3193</t>
  </si>
  <si>
    <t>BA-3194</t>
  </si>
  <si>
    <t>BA-3195</t>
  </si>
  <si>
    <t>BA-3196</t>
  </si>
  <si>
    <t>BA-3197</t>
  </si>
  <si>
    <t>BA-3198</t>
  </si>
  <si>
    <t>BA-3199</t>
  </si>
  <si>
    <t>BA-3200</t>
  </si>
  <si>
    <t>BA-3201</t>
  </si>
  <si>
    <t>BA-3202</t>
  </si>
  <si>
    <t>BA-3203</t>
  </si>
  <si>
    <t>BA-3204</t>
  </si>
  <si>
    <t>BA-3205</t>
  </si>
  <si>
    <t>BA-3206</t>
  </si>
  <si>
    <t>BA-3207</t>
  </si>
  <si>
    <t>BA-3208</t>
  </si>
  <si>
    <t>BA-3209</t>
  </si>
  <si>
    <t>BA-3210</t>
  </si>
  <si>
    <t>BA-3211</t>
  </si>
  <si>
    <t>BA-3212</t>
  </si>
  <si>
    <t>BA-3213</t>
  </si>
  <si>
    <t>BA-3214</t>
  </si>
  <si>
    <t>BA-3215</t>
  </si>
  <si>
    <t>BA-3216</t>
  </si>
  <si>
    <t>BA-3217</t>
  </si>
  <si>
    <t>BA-3218</t>
  </si>
  <si>
    <t>BA-3219</t>
  </si>
  <si>
    <t>BA-3220</t>
  </si>
  <si>
    <t>BA-3221</t>
  </si>
  <si>
    <t>BA-3222</t>
  </si>
  <si>
    <t>BA-3223</t>
  </si>
  <si>
    <t>BA-3224</t>
  </si>
  <si>
    <t>BA-3225</t>
  </si>
  <si>
    <t>BA-3226</t>
  </si>
  <si>
    <t>BA-3227</t>
  </si>
  <si>
    <t>BA-3228</t>
  </si>
  <si>
    <t>BA-3229</t>
  </si>
  <si>
    <t>BA-3230</t>
  </si>
  <si>
    <t>BA-3231</t>
  </si>
  <si>
    <t>BA-3232</t>
  </si>
  <si>
    <t>BA-3233</t>
  </si>
  <si>
    <t>BA-3234</t>
  </si>
  <si>
    <t>BA-3235</t>
  </si>
  <si>
    <t>BA-3236</t>
  </si>
  <si>
    <t>BA-3237</t>
  </si>
  <si>
    <t>BA-3238</t>
  </si>
  <si>
    <t>BA-3239</t>
  </si>
  <si>
    <t>BA-3240</t>
  </si>
  <si>
    <t>BA-3241</t>
  </si>
  <si>
    <t>BA-3242</t>
  </si>
  <si>
    <t>BA-3243</t>
  </si>
  <si>
    <t>BA-3244</t>
  </si>
  <si>
    <t>BA-3245</t>
  </si>
  <si>
    <t>BA-3246</t>
  </si>
  <si>
    <t>BA-3247</t>
  </si>
  <si>
    <t>BA-3248</t>
  </si>
  <si>
    <t>BA-3249</t>
  </si>
  <si>
    <t>BA-3250</t>
  </si>
  <si>
    <t>BA-3251</t>
  </si>
  <si>
    <t>BA-3252</t>
  </si>
  <si>
    <t>BA-3253</t>
  </si>
  <si>
    <t>BA-3254</t>
  </si>
  <si>
    <t>BA-3255</t>
  </si>
  <si>
    <t>BA-3256</t>
  </si>
  <si>
    <t>BA-3257</t>
  </si>
  <si>
    <t>BA-3258</t>
  </si>
  <si>
    <t>BA-3259</t>
  </si>
  <si>
    <t>BA-3260</t>
  </si>
  <si>
    <t>BA-3261</t>
  </si>
  <si>
    <t>BA-3262</t>
  </si>
  <si>
    <t>BA-3263</t>
  </si>
  <si>
    <t>BA-3264</t>
  </si>
  <si>
    <t>BA-3265</t>
  </si>
  <si>
    <t>BA-3266</t>
  </si>
  <si>
    <t>BA-3267</t>
  </si>
  <si>
    <t>BA-3268</t>
  </si>
  <si>
    <t>BA-3269</t>
  </si>
  <si>
    <t>BA-3270</t>
  </si>
  <si>
    <t>BA-3271</t>
  </si>
  <si>
    <t>BA-3272</t>
  </si>
  <si>
    <t>BA-3273</t>
  </si>
  <si>
    <t>BA-3274</t>
  </si>
  <si>
    <t>BA-3275</t>
  </si>
  <si>
    <t>BA-3276</t>
  </si>
  <si>
    <t>BA-3277</t>
  </si>
  <si>
    <t>BA-3278</t>
  </si>
  <si>
    <t>BA-3279</t>
  </si>
  <si>
    <t>BA-3280</t>
  </si>
  <si>
    <t>BA-3281</t>
  </si>
  <si>
    <t>BA-3282</t>
  </si>
  <si>
    <t>BA-3283</t>
  </si>
  <si>
    <t>BA-3284</t>
  </si>
  <si>
    <t>BA-3285</t>
  </si>
  <si>
    <t>BA-3286</t>
  </si>
  <si>
    <t>BA-3287</t>
  </si>
  <si>
    <t>BA-3288</t>
  </si>
  <si>
    <t>BA-3289</t>
  </si>
  <si>
    <t>BA-3290</t>
  </si>
  <si>
    <t>BA-3291</t>
  </si>
  <si>
    <t>BA-3292</t>
  </si>
  <si>
    <t>BA-3293</t>
  </si>
  <si>
    <t>BA-3294</t>
  </si>
  <si>
    <t>BA-3295</t>
  </si>
  <si>
    <t>BA-3296</t>
  </si>
  <si>
    <t>BA-3297</t>
  </si>
  <si>
    <t>BA-3298</t>
  </si>
  <si>
    <t>BA-3299</t>
  </si>
  <si>
    <t>BA-3300</t>
  </si>
  <si>
    <t>BA-3301</t>
  </si>
  <si>
    <t>BA-3302</t>
  </si>
  <si>
    <t>BA-3303</t>
  </si>
  <si>
    <t>BA-3304</t>
  </si>
  <si>
    <t>BA-3305</t>
  </si>
  <si>
    <t>BA-3306</t>
  </si>
  <si>
    <t>BA-3307</t>
  </si>
  <si>
    <t>BA-3308</t>
  </si>
  <si>
    <t>BA-3309</t>
  </si>
  <si>
    <t>BA-3310</t>
  </si>
  <si>
    <t>BA-3311</t>
  </si>
  <si>
    <t>BA-3312</t>
  </si>
  <si>
    <t>BA-3313</t>
  </si>
  <si>
    <t>BA-3314</t>
  </si>
  <si>
    <t>BA-3315</t>
  </si>
  <si>
    <t>BA-3316</t>
  </si>
  <si>
    <t>BA-3317</t>
  </si>
  <si>
    <t>BA-3318</t>
  </si>
  <si>
    <t>BA-3319</t>
  </si>
  <si>
    <t>BA-3320</t>
  </si>
  <si>
    <t>BA-3321</t>
  </si>
  <si>
    <t>BA-3322</t>
  </si>
  <si>
    <t>BA-3323</t>
  </si>
  <si>
    <t>BA-3324</t>
  </si>
  <si>
    <t>BA-3325</t>
  </si>
  <si>
    <t>BA-3326</t>
  </si>
  <si>
    <t>BA-3327</t>
  </si>
  <si>
    <t>BA-3328</t>
  </si>
  <si>
    <t>BA-3329</t>
  </si>
  <si>
    <t>BA-3330</t>
  </si>
  <si>
    <t>BA-3331</t>
  </si>
  <si>
    <t>BA-3332</t>
  </si>
  <si>
    <t>BA-3333</t>
  </si>
  <si>
    <t>BA-3334</t>
  </si>
  <si>
    <t>BA-3335</t>
  </si>
  <si>
    <t>BA-3336</t>
  </si>
  <si>
    <t>BA-3337</t>
  </si>
  <si>
    <t>BA-3338</t>
  </si>
  <si>
    <t>BA-3339</t>
  </si>
  <si>
    <t>BA-3340</t>
  </si>
  <si>
    <t>BA-3341</t>
  </si>
  <si>
    <t>BA-3342</t>
  </si>
  <si>
    <t>BA-3343</t>
  </si>
  <si>
    <t>BA-3344</t>
  </si>
  <si>
    <t>BA-3345</t>
  </si>
  <si>
    <t>BA-3346</t>
  </si>
  <si>
    <t>BA-3347</t>
  </si>
  <si>
    <t>BA-3348</t>
  </si>
  <si>
    <t>BA-3349</t>
  </si>
  <si>
    <t>BA-3350</t>
  </si>
  <si>
    <t>BA-3351</t>
  </si>
  <si>
    <t>BA-3352</t>
  </si>
  <si>
    <t>BA-3353</t>
  </si>
  <si>
    <t>BA-3354</t>
  </si>
  <si>
    <t>BA-3355</t>
  </si>
  <si>
    <t>BA-3356</t>
  </si>
  <si>
    <t>BA-3357</t>
  </si>
  <si>
    <t>BA-3358</t>
  </si>
  <si>
    <t>BA-3359</t>
  </si>
  <si>
    <t>BA-3360</t>
  </si>
  <si>
    <t>BA-3361</t>
  </si>
  <si>
    <t>BA-3362</t>
  </si>
  <si>
    <t>BA-3363</t>
  </si>
  <si>
    <t>BA-3364</t>
  </si>
  <si>
    <t>BA-3365</t>
  </si>
  <si>
    <t>BA-3366</t>
  </si>
  <si>
    <t>BA-3367</t>
  </si>
  <si>
    <t>BA-3368</t>
  </si>
  <si>
    <t>BA-3369</t>
  </si>
  <si>
    <t>BA-3370</t>
  </si>
  <si>
    <t>BA-3371</t>
  </si>
  <si>
    <t>BA-3372</t>
  </si>
  <si>
    <t>BA-3373</t>
  </si>
  <si>
    <t>BA-3374</t>
  </si>
  <si>
    <t>BA-3375</t>
  </si>
  <si>
    <t>BA-3376</t>
  </si>
  <si>
    <t>BA-3377</t>
  </si>
  <si>
    <t>BA-3378</t>
  </si>
  <si>
    <t>BA-3379</t>
  </si>
  <si>
    <t>BA-3380</t>
  </si>
  <si>
    <t>BA-3381</t>
  </si>
  <si>
    <t>BA-3382</t>
  </si>
  <si>
    <t>BA-3383</t>
  </si>
  <si>
    <t>BA-3384</t>
  </si>
  <si>
    <t>BA-3385</t>
  </si>
  <si>
    <t>BA-3386</t>
  </si>
  <si>
    <t>BA-3387</t>
  </si>
  <si>
    <t>BA-3388</t>
  </si>
  <si>
    <t>BA-3389</t>
  </si>
  <si>
    <t>BA-3390</t>
  </si>
  <si>
    <t>BA-3391</t>
  </si>
  <si>
    <t>BA-3392</t>
  </si>
  <si>
    <t>BA-3393</t>
  </si>
  <si>
    <t>BA-3394</t>
  </si>
  <si>
    <t>BA-3395</t>
  </si>
  <si>
    <t>BA-3396</t>
  </si>
  <si>
    <t>BA-3397</t>
  </si>
  <si>
    <t>BA-3398</t>
  </si>
  <si>
    <t>BA-3399</t>
  </si>
  <si>
    <t>BA-3400</t>
  </si>
  <si>
    <t>BA-3401</t>
  </si>
  <si>
    <t>BA-3402</t>
  </si>
  <si>
    <t>BA-3403</t>
  </si>
  <si>
    <t>BA-3404</t>
  </si>
  <si>
    <t>BA-3405</t>
  </si>
  <si>
    <t>BA-3406</t>
  </si>
  <si>
    <t>BA-3407</t>
  </si>
  <si>
    <t>BA-3408</t>
  </si>
  <si>
    <t>BA-3409</t>
  </si>
  <si>
    <t>BA-3410</t>
  </si>
  <si>
    <t>BA-3411</t>
  </si>
  <si>
    <t>BA-3412</t>
  </si>
  <si>
    <t>BA-3413</t>
  </si>
  <si>
    <t>BA-3414</t>
  </si>
  <si>
    <t>BA-3415</t>
  </si>
  <si>
    <t>BA-3416</t>
  </si>
  <si>
    <t>BA-3417</t>
  </si>
  <si>
    <t>BA-3418</t>
  </si>
  <si>
    <t>BA-3419</t>
  </si>
  <si>
    <t>BA-3420</t>
  </si>
  <si>
    <t>BA-3421</t>
  </si>
  <si>
    <t>BA-3422</t>
  </si>
  <si>
    <t>BA-3423</t>
  </si>
  <si>
    <t>BA-3424</t>
  </si>
  <si>
    <t>BA-3425</t>
  </si>
  <si>
    <t>BA-3426</t>
  </si>
  <si>
    <t>BA-3427</t>
  </si>
  <si>
    <t>BA-3428</t>
  </si>
  <si>
    <t>BA-3429</t>
  </si>
  <si>
    <t>BA-3430</t>
  </si>
  <si>
    <t>BA-3431</t>
  </si>
  <si>
    <t>BA-3432</t>
  </si>
  <si>
    <t>BA-3433</t>
  </si>
  <si>
    <t>BA-3434</t>
  </si>
  <si>
    <t>BA-3435</t>
  </si>
  <si>
    <t>BA-3436</t>
  </si>
  <si>
    <t>BA-3437</t>
  </si>
  <si>
    <t>BA-3438</t>
  </si>
  <si>
    <t>BA-3439</t>
  </si>
  <si>
    <t>BA-3440</t>
  </si>
  <si>
    <t>BA-3441</t>
  </si>
  <si>
    <t>BA-3442</t>
  </si>
  <si>
    <t>BA-3443</t>
  </si>
  <si>
    <t>BA-3444</t>
  </si>
  <si>
    <t>BA-3445</t>
  </si>
  <si>
    <t>BA-3446</t>
  </si>
  <si>
    <t>BA-3447</t>
  </si>
  <si>
    <t>BA-3448</t>
  </si>
  <si>
    <t>BA-3449</t>
  </si>
  <si>
    <t>BA-3450</t>
  </si>
  <si>
    <t>BA-3451</t>
  </si>
  <si>
    <t>BA-3452</t>
  </si>
  <si>
    <t>BA-3453</t>
  </si>
  <si>
    <t>BA-3454</t>
  </si>
  <si>
    <t>BA-3455</t>
  </si>
  <si>
    <t>BA-3456</t>
  </si>
  <si>
    <t>BA-3457</t>
  </si>
  <si>
    <t>BA-3458</t>
  </si>
  <si>
    <t>BA-3459</t>
  </si>
  <si>
    <t>BA-3460</t>
  </si>
  <si>
    <t>BA-3461</t>
  </si>
  <si>
    <t>BA-3462</t>
  </si>
  <si>
    <t>BA-3463</t>
  </si>
  <si>
    <t>BA-3464</t>
  </si>
  <si>
    <t>BA-3465</t>
  </si>
  <si>
    <t>BA-3466</t>
  </si>
  <si>
    <t>BA-3467</t>
  </si>
  <si>
    <t>BA-3468</t>
  </si>
  <si>
    <t>BA-3469</t>
  </si>
  <si>
    <t>BA-3470</t>
  </si>
  <si>
    <t>BA-3471</t>
  </si>
  <si>
    <t>BA-3472</t>
  </si>
  <si>
    <t>BA-3473</t>
  </si>
  <si>
    <t>BA-3474</t>
  </si>
  <si>
    <t>BA-3475</t>
  </si>
  <si>
    <t>BA-3476</t>
  </si>
  <si>
    <t>BA-3477</t>
  </si>
  <si>
    <t>BA-3478</t>
  </si>
  <si>
    <t>BA-3479</t>
  </si>
  <si>
    <t>BA-3480</t>
  </si>
  <si>
    <t>BA-3481</t>
  </si>
  <si>
    <t>BA-3482</t>
  </si>
  <si>
    <t>BA-3483</t>
  </si>
  <si>
    <t>BA-3484</t>
  </si>
  <si>
    <t>BA-3485</t>
  </si>
  <si>
    <t>BA-3486</t>
  </si>
  <si>
    <t>BA-3487</t>
  </si>
  <si>
    <t>BA-3488</t>
  </si>
  <si>
    <t>BA-3489</t>
  </si>
  <si>
    <t>BA-3490</t>
  </si>
  <si>
    <t>BA-3491</t>
  </si>
  <si>
    <t>BA-3492</t>
  </si>
  <si>
    <t>BA-3493</t>
  </si>
  <si>
    <t>BA-3494</t>
  </si>
  <si>
    <t>BA-3495</t>
  </si>
  <si>
    <t>BA-3496</t>
  </si>
  <si>
    <t>BA-3497</t>
  </si>
  <si>
    <t>BA-3498</t>
  </si>
  <si>
    <t>BA-3499</t>
  </si>
  <si>
    <t>BA-3500</t>
  </si>
  <si>
    <t>BA-3501</t>
  </si>
  <si>
    <t>BA-3502</t>
  </si>
  <si>
    <t>BA-3503</t>
  </si>
  <si>
    <t>BA-3504</t>
  </si>
  <si>
    <t>BA-3505</t>
  </si>
  <si>
    <t>BA-3506</t>
  </si>
  <si>
    <t>BA-3507</t>
  </si>
  <si>
    <t>BA-3508</t>
  </si>
  <si>
    <t>BA-3509</t>
  </si>
  <si>
    <t>BA-3510</t>
  </si>
  <si>
    <t>BA-3511</t>
  </si>
  <si>
    <t>BA-3512</t>
  </si>
  <si>
    <t>BA-3513</t>
  </si>
  <si>
    <t>BA-3514</t>
  </si>
  <si>
    <t>BA-3515</t>
  </si>
  <si>
    <t>BA-3516</t>
  </si>
  <si>
    <t>BA-3517</t>
  </si>
  <si>
    <t>BA-3518</t>
  </si>
  <si>
    <t>BA-3519</t>
  </si>
  <si>
    <t>BA-3520</t>
  </si>
  <si>
    <t>BA-3521</t>
  </si>
  <si>
    <t>BA-3522</t>
  </si>
  <si>
    <t>BA-3523</t>
  </si>
  <si>
    <t>BA-3524</t>
  </si>
  <si>
    <t>BA-3525</t>
  </si>
  <si>
    <t>BA-3526</t>
  </si>
  <si>
    <t>BA-3527</t>
  </si>
  <si>
    <t>BA-3528</t>
  </si>
  <si>
    <t>BA-3529</t>
  </si>
  <si>
    <t>BA-3530</t>
  </si>
  <si>
    <t>BA-3531</t>
  </si>
  <si>
    <t>BA-3532</t>
  </si>
  <si>
    <t>BA-3533</t>
  </si>
  <si>
    <t>BA-3534</t>
  </si>
  <si>
    <t>BA-3535</t>
  </si>
  <si>
    <t>BA-3536</t>
  </si>
  <si>
    <t>BA-3537</t>
  </si>
  <si>
    <t>BA-3538</t>
  </si>
  <si>
    <t>BA-3539</t>
  </si>
  <si>
    <t>BA-3540</t>
  </si>
  <si>
    <t>BA-3541</t>
  </si>
  <si>
    <t>BA-3542</t>
  </si>
  <si>
    <t>BA-3543</t>
  </si>
  <si>
    <t>BA-3544</t>
  </si>
  <si>
    <t>BA-3545</t>
  </si>
  <si>
    <t>BA-3546</t>
  </si>
  <si>
    <t>BA-3547</t>
  </si>
  <si>
    <t>BA-3548</t>
  </si>
  <si>
    <t>BA-3549</t>
  </si>
  <si>
    <t>BA-3550</t>
  </si>
  <si>
    <t>BA-3551</t>
  </si>
  <si>
    <t>BA-3552</t>
  </si>
  <si>
    <t>BA-3553</t>
  </si>
  <si>
    <t>BA-3554</t>
  </si>
  <si>
    <t>BA-3555</t>
  </si>
  <si>
    <t>BA-3556</t>
  </si>
  <si>
    <t>BA-3557</t>
  </si>
  <si>
    <t>BA-3558</t>
  </si>
  <si>
    <t>BA-3559</t>
  </si>
  <si>
    <t>BA-3560</t>
  </si>
  <si>
    <t>BA-3561</t>
  </si>
  <si>
    <t>BA-3562</t>
  </si>
  <si>
    <t>BA-3563</t>
  </si>
  <si>
    <t>BA-3564</t>
  </si>
  <si>
    <t>BA-3565</t>
  </si>
  <si>
    <t>BA-3566</t>
  </si>
  <si>
    <t>BA-3567</t>
  </si>
  <si>
    <t>BA-3568</t>
  </si>
  <si>
    <t>BA-3569</t>
  </si>
  <si>
    <t>BA-3570</t>
  </si>
  <si>
    <t>BA-3571</t>
  </si>
  <si>
    <t>BA-3572</t>
  </si>
  <si>
    <t>BA-3573</t>
  </si>
  <si>
    <t>BA-3574</t>
  </si>
  <si>
    <t>BA-3575</t>
  </si>
  <si>
    <t>BA-3576</t>
  </si>
  <si>
    <t>BA-3577</t>
  </si>
  <si>
    <t>BA-3578</t>
  </si>
  <si>
    <t>BA-3579</t>
  </si>
  <si>
    <t>BA-3580</t>
  </si>
  <si>
    <t>BA-3581</t>
  </si>
  <si>
    <t>BA-3582</t>
  </si>
  <si>
    <t>BA-3583</t>
  </si>
  <si>
    <t>BA-3584</t>
  </si>
  <si>
    <t>BA-3585</t>
  </si>
  <si>
    <t>BA-3586</t>
  </si>
  <si>
    <t>BA-3587</t>
  </si>
  <si>
    <t>BA-3588</t>
  </si>
  <si>
    <t>BA-3589</t>
  </si>
  <si>
    <t>BA-3590</t>
  </si>
  <si>
    <t>BA-3591</t>
  </si>
  <si>
    <t>BA-3592</t>
  </si>
  <si>
    <t>BA-3593</t>
  </si>
  <si>
    <t>BA-3594</t>
  </si>
  <si>
    <t>BA-3595</t>
  </si>
  <si>
    <t>BA-3596</t>
  </si>
  <si>
    <t>BA-3597</t>
  </si>
  <si>
    <t>BA-3598</t>
  </si>
  <si>
    <t>BA-3599</t>
  </si>
  <si>
    <t>BA-3600</t>
  </si>
  <si>
    <t>BA-3601</t>
  </si>
  <si>
    <t>BA-3602</t>
  </si>
  <si>
    <t>BA-3603</t>
  </si>
  <si>
    <t>BA-3604</t>
  </si>
  <si>
    <t>BA-3605</t>
  </si>
  <si>
    <t>BA-3606</t>
  </si>
  <si>
    <t>BA-3607</t>
  </si>
  <si>
    <t>BA-3608</t>
  </si>
  <si>
    <t>BA-3609</t>
  </si>
  <si>
    <t>BA-3610</t>
  </si>
  <si>
    <t>BA-3611</t>
  </si>
  <si>
    <t>BA-3612</t>
  </si>
  <si>
    <t>BA-3613</t>
  </si>
  <si>
    <t>BA-3614</t>
  </si>
  <si>
    <t>BA-3615</t>
  </si>
  <si>
    <t>BA-3616</t>
  </si>
  <si>
    <t>BA-3617</t>
  </si>
  <si>
    <t>BA-3618</t>
  </si>
  <si>
    <t>BA-3619</t>
  </si>
  <si>
    <t>BA-3620</t>
  </si>
  <si>
    <t>BA-3621</t>
  </si>
  <si>
    <t>BA-3622</t>
  </si>
  <si>
    <t>BA-3623</t>
  </si>
  <si>
    <t>BA-3624</t>
  </si>
  <si>
    <t>BA-3625</t>
  </si>
  <si>
    <t>BA-3626</t>
  </si>
  <si>
    <t>BA-3627</t>
  </si>
  <si>
    <t>BA-3628</t>
  </si>
  <si>
    <t>BA-3629</t>
  </si>
  <si>
    <t>BA-3630</t>
  </si>
  <si>
    <t>BA-3631</t>
  </si>
  <si>
    <t>BA-3632</t>
  </si>
  <si>
    <t>BA-3633</t>
  </si>
  <si>
    <t>BA-3634</t>
  </si>
  <si>
    <t>BA-3635</t>
  </si>
  <si>
    <t>BA-3636</t>
  </si>
  <si>
    <t>BA-3637</t>
  </si>
  <si>
    <t>BA-3638</t>
  </si>
  <si>
    <t>BA-3639</t>
  </si>
  <si>
    <t>BA-3640</t>
  </si>
  <si>
    <t>BA-3641</t>
  </si>
  <si>
    <t>BA-3642</t>
  </si>
  <si>
    <t>BA-3643</t>
  </si>
  <si>
    <t>BA-3644</t>
  </si>
  <si>
    <t>BA-3645</t>
  </si>
  <si>
    <t>BA-3646</t>
  </si>
  <si>
    <t>BA-3647</t>
  </si>
  <si>
    <t>BA-3648</t>
  </si>
  <si>
    <t>BA-3649</t>
  </si>
  <si>
    <t>BA-3650</t>
  </si>
  <si>
    <t>BA-3651</t>
  </si>
  <si>
    <t>BA-3652</t>
  </si>
  <si>
    <t>BA-3653</t>
  </si>
  <si>
    <t>BA-3654</t>
  </si>
  <si>
    <t>BA-3655</t>
  </si>
  <si>
    <t>BA-3656</t>
  </si>
  <si>
    <t>BA-3657</t>
  </si>
  <si>
    <t>BA-3658</t>
  </si>
  <si>
    <t>BA-3659</t>
  </si>
  <si>
    <t>BA-3660</t>
  </si>
  <si>
    <t>BA-3661</t>
  </si>
  <si>
    <t>BA-3662</t>
  </si>
  <si>
    <t>BA-3663</t>
  </si>
  <si>
    <t>BA-3664</t>
  </si>
  <si>
    <t>BA-3665</t>
  </si>
  <si>
    <t>BA-3666</t>
  </si>
  <si>
    <t>BA-3667</t>
  </si>
  <si>
    <t>BA-3668</t>
  </si>
  <si>
    <t>BA-3669</t>
  </si>
  <si>
    <t>BA-3670</t>
  </si>
  <si>
    <t>BA-3671</t>
  </si>
  <si>
    <t>BA-3672</t>
  </si>
  <si>
    <t>BA-3673</t>
  </si>
  <si>
    <t>BA-3674</t>
  </si>
  <si>
    <t>BA-3675</t>
  </si>
  <si>
    <t>BA-3676</t>
  </si>
  <si>
    <t>BA-3677</t>
  </si>
  <si>
    <t>BA-3678</t>
  </si>
  <si>
    <t>BA-3679</t>
  </si>
  <si>
    <t>BA-3680</t>
  </si>
  <si>
    <t>BA-3681</t>
  </si>
  <si>
    <t>BA-3682</t>
  </si>
  <si>
    <t>BA-3683</t>
  </si>
  <si>
    <t>BA-3684</t>
  </si>
  <si>
    <t>BA-3685</t>
  </si>
  <si>
    <t>BA-3686</t>
  </si>
  <si>
    <t>BA-3687</t>
  </si>
  <si>
    <t>BA-3688</t>
  </si>
  <si>
    <t>BA-3689</t>
  </si>
  <si>
    <t>BA-3690</t>
  </si>
  <si>
    <t>BA-3691</t>
  </si>
  <si>
    <t>BA-3692</t>
  </si>
  <si>
    <t>BA-3693</t>
  </si>
  <si>
    <t>BA-3694</t>
  </si>
  <si>
    <t>BA-3695</t>
  </si>
  <si>
    <t>BA-3696</t>
  </si>
  <si>
    <t>BA-3697</t>
  </si>
  <si>
    <t>BA-3698</t>
  </si>
  <si>
    <t>BA-3699</t>
  </si>
  <si>
    <t>BA-3700</t>
  </si>
  <si>
    <t>BA-3701</t>
  </si>
  <si>
    <t>BA-3702</t>
  </si>
  <si>
    <t>BA-3703</t>
  </si>
  <si>
    <t>BA-3704</t>
  </si>
  <si>
    <t>BA-3705</t>
  </si>
  <si>
    <t>BA-3706</t>
  </si>
  <si>
    <t>BA-3707</t>
  </si>
  <si>
    <t>BA-3708</t>
  </si>
  <si>
    <t>BA-3709</t>
  </si>
  <si>
    <t>BA-3710</t>
  </si>
  <si>
    <t>BA-3711</t>
  </si>
  <si>
    <t>BA-3712</t>
  </si>
  <si>
    <t>BA-3713</t>
  </si>
  <si>
    <t>BA-3714</t>
  </si>
  <si>
    <t>BA-3715</t>
  </si>
  <si>
    <t>BA-3716</t>
  </si>
  <si>
    <t>BA-3717</t>
  </si>
  <si>
    <t>BA-3718</t>
  </si>
  <si>
    <t>BA-3719</t>
  </si>
  <si>
    <t>BA-3720</t>
  </si>
  <si>
    <t>BA-3721</t>
  </si>
  <si>
    <t>BA-3722</t>
  </si>
  <si>
    <t>BA-3723</t>
  </si>
  <si>
    <t>BA-3724</t>
  </si>
  <si>
    <t>BA-3725</t>
  </si>
  <si>
    <t>BA-3726</t>
  </si>
  <si>
    <t>BA-3727</t>
  </si>
  <si>
    <t>BA-3728</t>
  </si>
  <si>
    <t>BA-3729</t>
  </si>
  <si>
    <t>BA-3730</t>
  </si>
  <si>
    <t>BA-3731</t>
  </si>
  <si>
    <t>BA-3732</t>
  </si>
  <si>
    <t>BA-3733</t>
  </si>
  <si>
    <t>BA-3734</t>
  </si>
  <si>
    <t>BA-3735</t>
  </si>
  <si>
    <t>BA-3736</t>
  </si>
  <si>
    <t>BA-3737</t>
  </si>
  <si>
    <t>BA-3738</t>
  </si>
  <si>
    <t>BA-3739</t>
  </si>
  <si>
    <t>BA-3740</t>
  </si>
  <si>
    <t>BA-3741</t>
  </si>
  <si>
    <t>BA-3742</t>
  </si>
  <si>
    <t>BA-3743</t>
  </si>
  <si>
    <t>BA-3744</t>
  </si>
  <si>
    <t>BA-3745</t>
  </si>
  <si>
    <t>BA-3746</t>
  </si>
  <si>
    <t>BA-3747</t>
  </si>
  <si>
    <t>BA-3748</t>
  </si>
  <si>
    <t>BA-3749</t>
  </si>
  <si>
    <t>BA-3750</t>
  </si>
  <si>
    <t>BA-3751</t>
  </si>
  <si>
    <t>BA-3752</t>
  </si>
  <si>
    <t>BA-3753</t>
  </si>
  <si>
    <t>BA-3754</t>
  </si>
  <si>
    <t>BA-3755</t>
  </si>
  <si>
    <t>BA-3756</t>
  </si>
  <si>
    <t>BA-3757</t>
  </si>
  <si>
    <t>BA-3758</t>
  </si>
  <si>
    <t>BA-3759</t>
  </si>
  <si>
    <t>BA-3760</t>
  </si>
  <si>
    <t>BA-3761</t>
  </si>
  <si>
    <t>BA-3762</t>
  </si>
  <si>
    <t>BA-3763</t>
  </si>
  <si>
    <t>BA-3764</t>
  </si>
  <si>
    <t>BA-3765</t>
  </si>
  <si>
    <t>BA-3766</t>
  </si>
  <si>
    <t>BA-3767</t>
  </si>
  <si>
    <t>BA-3768</t>
  </si>
  <si>
    <t>BA-3769</t>
  </si>
  <si>
    <t>BA-3770</t>
  </si>
  <si>
    <t>BA-3771</t>
  </si>
  <si>
    <t>BA-3772</t>
  </si>
  <si>
    <t>BA-3773</t>
  </si>
  <si>
    <t>BA-3774</t>
  </si>
  <si>
    <t>BA-3775</t>
  </si>
  <si>
    <t>BA-3776</t>
  </si>
  <si>
    <t>BA-3777</t>
  </si>
  <si>
    <t>BA-3778</t>
  </si>
  <si>
    <t>BA-3779</t>
  </si>
  <si>
    <t>BA-3780</t>
  </si>
  <si>
    <t>BA-3781</t>
  </si>
  <si>
    <t>BA-3782</t>
  </si>
  <si>
    <t>BA-3783</t>
  </si>
  <si>
    <t>BA-3784</t>
  </si>
  <si>
    <t>BA-3785</t>
  </si>
  <si>
    <t>BA-3786</t>
  </si>
  <si>
    <t>BA-3787</t>
  </si>
  <si>
    <t>BA-3788</t>
  </si>
  <si>
    <t>BA-3789</t>
  </si>
  <si>
    <t>BA-3790</t>
  </si>
  <si>
    <t>BA-3791</t>
  </si>
  <si>
    <t>BA-3792</t>
  </si>
  <si>
    <t>BA-3793</t>
  </si>
  <si>
    <t>BA-3794</t>
  </si>
  <si>
    <t>BA-3795</t>
  </si>
  <si>
    <t>BA-3796</t>
  </si>
  <si>
    <t>BA-3797</t>
  </si>
  <si>
    <t>BA-3798</t>
  </si>
  <si>
    <t>BA-3799</t>
  </si>
  <si>
    <t>BA-3800</t>
  </si>
  <si>
    <t>BA-3801</t>
  </si>
  <si>
    <t>BA-3802</t>
  </si>
  <si>
    <t>BA-3803</t>
  </si>
  <si>
    <t>BA-3804</t>
  </si>
  <si>
    <t>BA-3805</t>
  </si>
  <si>
    <t>BA-3806</t>
  </si>
  <si>
    <t>BA-3807</t>
  </si>
  <si>
    <t>BA-3808</t>
  </si>
  <si>
    <t>BA-3809</t>
  </si>
  <si>
    <t>BA-3810</t>
  </si>
  <si>
    <t>BA-3811</t>
  </si>
  <si>
    <t>BA-3812</t>
  </si>
  <si>
    <t>BA-3813</t>
  </si>
  <si>
    <t>BA-3814</t>
  </si>
  <si>
    <t>BA-3815</t>
  </si>
  <si>
    <t>BA-3816</t>
  </si>
  <si>
    <t>BA-3817</t>
  </si>
  <si>
    <t>BA-3818</t>
  </si>
  <si>
    <t>BA-3819</t>
  </si>
  <si>
    <t>BA-3820</t>
  </si>
  <si>
    <t>BA-3821</t>
  </si>
  <si>
    <t>BA-3822</t>
  </si>
  <si>
    <t>BA-3823</t>
  </si>
  <si>
    <t>BA-3824</t>
  </si>
  <si>
    <t>BA-3825</t>
  </si>
  <si>
    <t>BA-3826</t>
  </si>
  <si>
    <t>BA-3827</t>
  </si>
  <si>
    <t>BA-3828</t>
  </si>
  <si>
    <t>BA-3829</t>
  </si>
  <si>
    <t>BA-3830</t>
  </si>
  <si>
    <t>BA-3831</t>
  </si>
  <si>
    <t>BA-3832</t>
  </si>
  <si>
    <t>BA-3833</t>
  </si>
  <si>
    <t>BA-3834</t>
  </si>
  <si>
    <t>BA-3835</t>
  </si>
  <si>
    <t>BA-3836</t>
  </si>
  <si>
    <t>BA-3837</t>
  </si>
  <si>
    <t>BA-3838</t>
  </si>
  <si>
    <t>BA-3839</t>
  </si>
  <si>
    <t>BA-3840</t>
  </si>
  <si>
    <t>BA-3841</t>
  </si>
  <si>
    <t>BA-3842</t>
  </si>
  <si>
    <t>BA-3843</t>
  </si>
  <si>
    <t>BA-3844</t>
  </si>
  <si>
    <t>BA-3845</t>
  </si>
  <si>
    <t>BA-3846</t>
  </si>
  <si>
    <t>BA-3847</t>
  </si>
  <si>
    <t>BA-3848</t>
  </si>
  <si>
    <t>BA-3849</t>
  </si>
  <si>
    <t>BA-3850</t>
  </si>
  <si>
    <t>BA-3851</t>
  </si>
  <si>
    <t>BA-3852</t>
  </si>
  <si>
    <t>BA-3853</t>
  </si>
  <si>
    <t>BA-3854</t>
  </si>
  <si>
    <t>BA-3855</t>
  </si>
  <si>
    <t>BA-3856</t>
  </si>
  <si>
    <t>BA-3857</t>
  </si>
  <si>
    <t>BA-3858</t>
  </si>
  <si>
    <t>BA-3859</t>
  </si>
  <si>
    <t>BA-3860</t>
  </si>
  <si>
    <t>BA-3861</t>
  </si>
  <si>
    <t>BA-3862</t>
  </si>
  <si>
    <t>BA-3863</t>
  </si>
  <si>
    <t>BA-3864</t>
  </si>
  <si>
    <t>BA-3865</t>
  </si>
  <si>
    <t>BA-3866</t>
  </si>
  <si>
    <t>BA-3867</t>
  </si>
  <si>
    <t>BA-3868</t>
  </si>
  <si>
    <t>BA-3869</t>
  </si>
  <si>
    <t>BA-3870</t>
  </si>
  <si>
    <t>BA-3871</t>
  </si>
  <si>
    <t>BA-3872</t>
  </si>
  <si>
    <t>BA-3873</t>
  </si>
  <si>
    <t>BA-3874</t>
  </si>
  <si>
    <t>BA-3875</t>
  </si>
  <si>
    <t>BA-3876</t>
  </si>
  <si>
    <t>BA-3877</t>
  </si>
  <si>
    <t>BA-3878</t>
  </si>
  <si>
    <t>BA-3879</t>
  </si>
  <si>
    <t>BA-3880</t>
  </si>
  <si>
    <t>BA-3881</t>
  </si>
  <si>
    <t>BA-3882</t>
  </si>
  <si>
    <t>BA-3883</t>
  </si>
  <si>
    <t>BA-3884</t>
  </si>
  <si>
    <t>BA-3885</t>
  </si>
  <si>
    <t>BA-3886</t>
  </si>
  <si>
    <t>BA-3887</t>
  </si>
  <si>
    <t>BA-3888</t>
  </si>
  <si>
    <t>BA-3889</t>
  </si>
  <si>
    <t>BA-3890</t>
  </si>
  <si>
    <t>BA-3891</t>
  </si>
  <si>
    <t>BA-3892</t>
  </si>
  <si>
    <t>BA-3893</t>
  </si>
  <si>
    <t>BA-3894</t>
  </si>
  <si>
    <t>BA-3895</t>
  </si>
  <si>
    <t>BA-3896</t>
  </si>
  <si>
    <t>BA-3897</t>
  </si>
  <si>
    <t>BA-3898</t>
  </si>
  <si>
    <t>BA-3899</t>
  </si>
  <si>
    <t>BA-3900</t>
  </si>
  <si>
    <t>BA-3901</t>
  </si>
  <si>
    <t>BA-3902</t>
  </si>
  <si>
    <t>BA-3903</t>
  </si>
  <si>
    <t>BA-3904</t>
  </si>
  <si>
    <t>BA-3905</t>
  </si>
  <si>
    <t>BA-3906</t>
  </si>
  <si>
    <t>BA-3907</t>
  </si>
  <si>
    <t>BA-3908</t>
  </si>
  <si>
    <t>BA-3909</t>
  </si>
  <si>
    <t>BA-3910</t>
  </si>
  <si>
    <t>BA-3911</t>
  </si>
  <si>
    <t>BA-3912</t>
  </si>
  <si>
    <t>BA-3913</t>
  </si>
  <si>
    <t>BA-3914</t>
  </si>
  <si>
    <t>BA-3915</t>
  </si>
  <si>
    <t>BA-3916</t>
  </si>
  <si>
    <t>BA-3917</t>
  </si>
  <si>
    <t>BA-3918</t>
  </si>
  <si>
    <t>BA-3919</t>
  </si>
  <si>
    <t>BA-3920</t>
  </si>
  <si>
    <t>BA-3921</t>
  </si>
  <si>
    <t>BA-3922</t>
  </si>
  <si>
    <t>BA-3923</t>
  </si>
  <si>
    <t>BA-3924</t>
  </si>
  <si>
    <t>BA-3925</t>
  </si>
  <si>
    <t>BA-3926</t>
  </si>
  <si>
    <t>BA-3927</t>
  </si>
  <si>
    <t>BA-3928</t>
  </si>
  <si>
    <t>BA-3929</t>
  </si>
  <si>
    <t>BA-3930</t>
  </si>
  <si>
    <t>BA-3931</t>
  </si>
  <si>
    <t>BA-3932</t>
  </si>
  <si>
    <t>BA-3933</t>
  </si>
  <si>
    <t>BA-3934</t>
  </si>
  <si>
    <t>BA-3935</t>
  </si>
  <si>
    <t>BA-3936</t>
  </si>
  <si>
    <t>BA-3937</t>
  </si>
  <si>
    <t>BA-3938</t>
  </si>
  <si>
    <t>BA-3939</t>
  </si>
  <si>
    <t>BA-3940</t>
  </si>
  <si>
    <t>BA-3941</t>
  </si>
  <si>
    <t>BA-3942</t>
  </si>
  <si>
    <t>BA-3943</t>
  </si>
  <si>
    <t>BA-3944</t>
  </si>
  <si>
    <t>BA-3945</t>
  </si>
  <si>
    <t>BA-3946</t>
  </si>
  <si>
    <t>BA-3947</t>
  </si>
  <si>
    <t>BA-3948</t>
  </si>
  <si>
    <t>BA-3949</t>
  </si>
  <si>
    <t>BA-3950</t>
  </si>
  <si>
    <t>BA-3951</t>
  </si>
  <si>
    <t>BA-3952</t>
  </si>
  <si>
    <t>BA-3953</t>
  </si>
  <si>
    <t>BA-3954</t>
  </si>
  <si>
    <t>BA-3955</t>
  </si>
  <si>
    <t>BA-3956</t>
  </si>
  <si>
    <t>BA-3957</t>
  </si>
  <si>
    <t>BA-3958</t>
  </si>
  <si>
    <t>BA-3959</t>
  </si>
  <si>
    <t>BA-3960</t>
  </si>
  <si>
    <t>BA-3961</t>
  </si>
  <si>
    <t>BA-3962</t>
  </si>
  <si>
    <t>BA-3963</t>
  </si>
  <si>
    <t>BA-3964</t>
  </si>
  <si>
    <t>BA-3965</t>
  </si>
  <si>
    <t>BA-3966</t>
  </si>
  <si>
    <t>BA-3967</t>
  </si>
  <si>
    <t>BA-3968</t>
  </si>
  <si>
    <t>BA-3969</t>
  </si>
  <si>
    <t>BA-3970</t>
  </si>
  <si>
    <t>BA-3971</t>
  </si>
  <si>
    <t>BA-3972</t>
  </si>
  <si>
    <t>BA-3973</t>
  </si>
  <si>
    <t>BA-3974</t>
  </si>
  <si>
    <t>BA-3975</t>
  </si>
  <si>
    <t>BA-3976</t>
  </si>
  <si>
    <t>BA-3977</t>
  </si>
  <si>
    <t>BA-3978</t>
  </si>
  <si>
    <t>BA-3979</t>
  </si>
  <si>
    <t>BA-3980</t>
  </si>
  <si>
    <t>BA-3981</t>
  </si>
  <si>
    <t>BA-3982</t>
  </si>
  <si>
    <t>BA-3983</t>
  </si>
  <si>
    <t>BA-3984</t>
  </si>
  <si>
    <t>BA-3985</t>
  </si>
  <si>
    <t>BA-3986</t>
  </si>
  <si>
    <t>BA-3987</t>
  </si>
  <si>
    <t>BA-3988</t>
  </si>
  <si>
    <t>BA-3989</t>
  </si>
  <si>
    <t>BA-3990</t>
  </si>
  <si>
    <t>BA-3991</t>
  </si>
  <si>
    <t>BA-3992</t>
  </si>
  <si>
    <t>BA-3993</t>
  </si>
  <si>
    <t>BA-3994</t>
  </si>
  <si>
    <t>BA-3995</t>
  </si>
  <si>
    <t>BA-3996</t>
  </si>
  <si>
    <t>BA-3997</t>
  </si>
  <si>
    <t>BA-3998</t>
  </si>
  <si>
    <t>BA-3999</t>
  </si>
  <si>
    <t>BA-4000</t>
  </si>
  <si>
    <t>BA-4001</t>
  </si>
  <si>
    <t>BA-4002</t>
  </si>
  <si>
    <t>BA-4003</t>
  </si>
  <si>
    <t>BA-4004</t>
  </si>
  <si>
    <t>BA-4005</t>
  </si>
  <si>
    <t>BA-4006</t>
  </si>
  <si>
    <t>BA-4007</t>
  </si>
  <si>
    <t>BA-4008</t>
  </si>
  <si>
    <t>BA-4009</t>
  </si>
  <si>
    <t>BA-4010</t>
  </si>
  <si>
    <t>BA-4011</t>
  </si>
  <si>
    <t>BA-4012</t>
  </si>
  <si>
    <t>BA-4013</t>
  </si>
  <si>
    <t>BA-4014</t>
  </si>
  <si>
    <t>BA-4015</t>
  </si>
  <si>
    <t>BA-4016</t>
  </si>
  <si>
    <t>BA-4017</t>
  </si>
  <si>
    <t>BA-4018</t>
  </si>
  <si>
    <t>BA-4019</t>
  </si>
  <si>
    <t>BA-4020</t>
  </si>
  <si>
    <t>BA-4021</t>
  </si>
  <si>
    <t>BA-4022</t>
  </si>
  <si>
    <t>BA-4023</t>
  </si>
  <si>
    <t>BA-4024</t>
  </si>
  <si>
    <t>BA-4025</t>
  </si>
  <si>
    <t>BA-4026</t>
  </si>
  <si>
    <t>BA-4027</t>
  </si>
  <si>
    <t>BA-4028</t>
  </si>
  <si>
    <t>BA-4029</t>
  </si>
  <si>
    <t>BA-4030</t>
  </si>
  <si>
    <t>BA-4031</t>
  </si>
  <si>
    <t>BA-4032</t>
  </si>
  <si>
    <t>BA-4033</t>
  </si>
  <si>
    <t>BA-4034</t>
  </si>
  <si>
    <t>BA-4035</t>
  </si>
  <si>
    <t>BA-4036</t>
  </si>
  <si>
    <t>BA-4037</t>
  </si>
  <si>
    <t>BA-4038</t>
  </si>
  <si>
    <t>BA-4039</t>
  </si>
  <si>
    <t>BA-4040</t>
  </si>
  <si>
    <t>BA-4041</t>
  </si>
  <si>
    <t>BA-4042</t>
  </si>
  <si>
    <t>BA-4043</t>
  </si>
  <si>
    <t>BA-4044</t>
  </si>
  <si>
    <t>BA-4045</t>
  </si>
  <si>
    <t>BA-4046</t>
  </si>
  <si>
    <t>BA-4047</t>
  </si>
  <si>
    <t>BA-4048</t>
  </si>
  <si>
    <t>BA-4049</t>
  </si>
  <si>
    <t>BA-4050</t>
  </si>
  <si>
    <t>BA-4051</t>
  </si>
  <si>
    <t>BA-4052</t>
  </si>
  <si>
    <t>BA-4053</t>
  </si>
  <si>
    <t>BA-4054</t>
  </si>
  <si>
    <t>BA-4055</t>
  </si>
  <si>
    <t>BA-4056</t>
  </si>
  <si>
    <t>BA-4057</t>
  </si>
  <si>
    <t>BA-4058</t>
  </si>
  <si>
    <t>BA-4059</t>
  </si>
  <si>
    <t>BA-4060</t>
  </si>
  <si>
    <t>BA-4061</t>
  </si>
  <si>
    <t>BA-4062</t>
  </si>
  <si>
    <t>BA-4063</t>
  </si>
  <si>
    <t>BA-4064</t>
  </si>
  <si>
    <t>BA-4065</t>
  </si>
  <si>
    <t>BA-4066</t>
  </si>
  <si>
    <t>BA-4067</t>
  </si>
  <si>
    <t>BA-4068</t>
  </si>
  <si>
    <t>BA-4069</t>
  </si>
  <si>
    <t>BA-4070</t>
  </si>
  <si>
    <t>BA-4071</t>
  </si>
  <si>
    <t>BA-4072</t>
  </si>
  <si>
    <t>BA-4073</t>
  </si>
  <si>
    <t>BA-4074</t>
  </si>
  <si>
    <t>BA-4075</t>
  </si>
  <si>
    <t>BA-4076</t>
  </si>
  <si>
    <t>BA-4077</t>
  </si>
  <si>
    <t>BA-4078</t>
  </si>
  <si>
    <t>BA-4079</t>
  </si>
  <si>
    <t>BA-4080</t>
  </si>
  <si>
    <t>BA-4081</t>
  </si>
  <si>
    <t>BA-4082</t>
  </si>
  <si>
    <t>BA-4083</t>
  </si>
  <si>
    <t>BA-4084</t>
  </si>
  <si>
    <t>BA-4085</t>
  </si>
  <si>
    <t>BA-4086</t>
  </si>
  <si>
    <t>BA-4087</t>
  </si>
  <si>
    <t>BA-4088</t>
  </si>
  <si>
    <t>BA-4089</t>
  </si>
  <si>
    <t>BA-4090</t>
  </si>
  <si>
    <t>BA-4091</t>
  </si>
  <si>
    <t>BA-4092</t>
  </si>
  <si>
    <t>BA-4093</t>
  </si>
  <si>
    <t>BA-4094</t>
  </si>
  <si>
    <t>BA-4095</t>
  </si>
  <si>
    <t>BA-4096</t>
  </si>
  <si>
    <t>BA-4097</t>
  </si>
  <si>
    <t>BA-4098</t>
  </si>
  <si>
    <t>BA-4099</t>
  </si>
  <si>
    <t>BA-4100</t>
  </si>
  <si>
    <t>BA-4101</t>
  </si>
  <si>
    <t>BA-4102</t>
  </si>
  <si>
    <t>BA-4103</t>
  </si>
  <si>
    <t>BA-4104</t>
  </si>
  <si>
    <t>BA-4105</t>
  </si>
  <si>
    <t>BA-4106</t>
  </si>
  <si>
    <t>BA-4107</t>
  </si>
  <si>
    <t>BA-4108</t>
  </si>
  <si>
    <t>BA-4109</t>
  </si>
  <si>
    <t>BA-4110</t>
  </si>
  <si>
    <t>BA-4111</t>
  </si>
  <si>
    <t>BA-4112</t>
  </si>
  <si>
    <t>BA-4113</t>
  </si>
  <si>
    <t>BA-4114</t>
  </si>
  <si>
    <t>BA-4115</t>
  </si>
  <si>
    <t>BA-4116</t>
  </si>
  <si>
    <t>BA-4117</t>
  </si>
  <si>
    <t>BA-4118</t>
  </si>
  <si>
    <t>BA-4119</t>
  </si>
  <si>
    <t>BA-4120</t>
  </si>
  <si>
    <t>BA-4121</t>
  </si>
  <si>
    <t>BA-4122</t>
  </si>
  <si>
    <t>BA-4123</t>
  </si>
  <si>
    <t>BA-4124</t>
  </si>
  <si>
    <t>BA-4125</t>
  </si>
  <si>
    <t>BA-4126</t>
  </si>
  <si>
    <t>BA-4127</t>
  </si>
  <si>
    <t>BA-4128</t>
  </si>
  <si>
    <t>BA-4129</t>
  </si>
  <si>
    <t>BA-4130</t>
  </si>
  <si>
    <t>BA-4131</t>
  </si>
  <si>
    <t>BA-4132</t>
  </si>
  <si>
    <t>BA-4133</t>
  </si>
  <si>
    <t>BA-4134</t>
  </si>
  <si>
    <t>BA-4135</t>
  </si>
  <si>
    <t>BA-4136</t>
  </si>
  <si>
    <t>BA-4137</t>
  </si>
  <si>
    <t>BA-4138</t>
  </si>
  <si>
    <t>BA-4139</t>
  </si>
  <si>
    <t>BA-4140</t>
  </si>
  <si>
    <t>BA-4141</t>
  </si>
  <si>
    <t>BA-4142</t>
  </si>
  <si>
    <t>BA-4143</t>
  </si>
  <si>
    <t>BA-4144</t>
  </si>
  <si>
    <t>BA-4145</t>
  </si>
  <si>
    <t>BA-4146</t>
  </si>
  <si>
    <t>BA-4147</t>
  </si>
  <si>
    <t>BA-4148</t>
  </si>
  <si>
    <t>BA-4149</t>
  </si>
  <si>
    <t>BA-4150</t>
  </si>
  <si>
    <t>BA-4151</t>
  </si>
  <si>
    <t>BA-4152</t>
  </si>
  <si>
    <t>BA-4153</t>
  </si>
  <si>
    <t>BA-4154</t>
  </si>
  <si>
    <t>BA-4155</t>
  </si>
  <si>
    <t>BA-4156</t>
  </si>
  <si>
    <t>BA-4157</t>
  </si>
  <si>
    <t>BA-4158</t>
  </si>
  <si>
    <t>BA-4159</t>
  </si>
  <si>
    <t>BA-4160</t>
  </si>
  <si>
    <t>BA-4161</t>
  </si>
  <si>
    <t>BA-4162</t>
  </si>
  <si>
    <t>BA-4163</t>
  </si>
  <si>
    <t>BA-4164</t>
  </si>
  <si>
    <t>BA-4165</t>
  </si>
  <si>
    <t>BA-4166</t>
  </si>
  <si>
    <t>BA-4167</t>
  </si>
  <si>
    <t>BA-4168</t>
  </si>
  <si>
    <t>BA-4169</t>
  </si>
  <si>
    <t>BA-4170</t>
  </si>
  <si>
    <t>BA-4171</t>
  </si>
  <si>
    <t>BA-4172</t>
  </si>
  <si>
    <t>BA-4173</t>
  </si>
  <si>
    <t>BA-4174</t>
  </si>
  <si>
    <t>BA-4175</t>
  </si>
  <si>
    <t>BA-4176</t>
  </si>
  <si>
    <t>BA-4177</t>
  </si>
  <si>
    <t>BA-4178</t>
  </si>
  <si>
    <t>BA-4179</t>
  </si>
  <si>
    <t>BA-4180</t>
  </si>
  <si>
    <t>BA-4181</t>
  </si>
  <si>
    <t>BA-4182</t>
  </si>
  <si>
    <t>BA-4183</t>
  </si>
  <si>
    <t>BA-4184</t>
  </si>
  <si>
    <t>BA-4185</t>
  </si>
  <si>
    <t>BA-4186</t>
  </si>
  <si>
    <t>BA-4187</t>
  </si>
  <si>
    <t>BA-4188</t>
  </si>
  <si>
    <t>BA-4189</t>
  </si>
  <si>
    <t>BA-4190</t>
  </si>
  <si>
    <t>BA-4191</t>
  </si>
  <si>
    <t>BA-4192</t>
  </si>
  <si>
    <t>BA-4193</t>
  </si>
  <si>
    <t>BA-4194</t>
  </si>
  <si>
    <t>BA-4195</t>
  </si>
  <si>
    <t>BA-4196</t>
  </si>
  <si>
    <t>BA-4197</t>
  </si>
  <si>
    <t>BA-4198</t>
  </si>
  <si>
    <t>BA-4199</t>
  </si>
  <si>
    <t>BA-4200</t>
  </si>
  <si>
    <t>BA-4201</t>
  </si>
  <si>
    <t>BA-4202</t>
  </si>
  <si>
    <t>BA-4203</t>
  </si>
  <si>
    <t>BA-4204</t>
  </si>
  <si>
    <t>BA-4205</t>
  </si>
  <si>
    <t>BA-4206</t>
  </si>
  <si>
    <t>BA-4207</t>
  </si>
  <si>
    <t>BA-4208</t>
  </si>
  <si>
    <t>BA-4209</t>
  </si>
  <si>
    <t>BA-4210</t>
  </si>
  <si>
    <t>BA-4211</t>
  </si>
  <si>
    <t>BA-4212</t>
  </si>
  <si>
    <t>BA-4213</t>
  </si>
  <si>
    <t>BA-4214</t>
  </si>
  <si>
    <t>BA-4215</t>
  </si>
  <si>
    <t>BA-4216</t>
  </si>
  <si>
    <t>BA-4217</t>
  </si>
  <si>
    <t>BA-4218</t>
  </si>
  <si>
    <t>BA-4219</t>
  </si>
  <si>
    <t>BA-4220</t>
  </si>
  <si>
    <t>BA-4221</t>
  </si>
  <si>
    <t>BA-4222</t>
  </si>
  <si>
    <t>BA-4223</t>
  </si>
  <si>
    <t>BA-4224</t>
  </si>
  <si>
    <t>BA-4225</t>
  </si>
  <si>
    <t>BA-4226</t>
  </si>
  <si>
    <t>BA-4227</t>
  </si>
  <si>
    <t>BA-4228</t>
  </si>
  <si>
    <t>BA-4229</t>
  </si>
  <si>
    <t>BA-4230</t>
  </si>
  <si>
    <t>BA-4231</t>
  </si>
  <si>
    <t>BA-4232</t>
  </si>
  <si>
    <t>BA-4233</t>
  </si>
  <si>
    <t>BA-4234</t>
  </si>
  <si>
    <t>BA-4235</t>
  </si>
  <si>
    <t>BA-4236</t>
  </si>
  <si>
    <t>BA-4237</t>
  </si>
  <si>
    <t>BA-4238</t>
  </si>
  <si>
    <t>BA-4239</t>
  </si>
  <si>
    <t>BA-4240</t>
  </si>
  <si>
    <t>BA-4241</t>
  </si>
  <si>
    <t>BA-4242</t>
  </si>
  <si>
    <t>BA-4243</t>
  </si>
  <si>
    <t>BA-4244</t>
  </si>
  <si>
    <t>BA-4245</t>
  </si>
  <si>
    <t>BA-4246</t>
  </si>
  <si>
    <t>BA-4247</t>
  </si>
  <si>
    <t>BA-4248</t>
  </si>
  <si>
    <t>BA-4249</t>
  </si>
  <si>
    <t>BA-4250</t>
  </si>
  <si>
    <t>BA-4251</t>
  </si>
  <si>
    <t>BA-4252</t>
  </si>
  <si>
    <t>BA-4253</t>
  </si>
  <si>
    <t>BA-4254</t>
  </si>
  <si>
    <t>BA-4255</t>
  </si>
  <si>
    <t>BA-4256</t>
  </si>
  <si>
    <t>BA-4257</t>
  </si>
  <si>
    <t>BA-4258</t>
  </si>
  <si>
    <t>BA-4259</t>
  </si>
  <si>
    <t>BA-4260</t>
  </si>
  <si>
    <t>BA-4261</t>
  </si>
  <si>
    <t>BA-4262</t>
  </si>
  <si>
    <t>BA-4263</t>
  </si>
  <si>
    <t>BA-4264</t>
  </si>
  <si>
    <t>BA-4265</t>
  </si>
  <si>
    <t>BA-4266</t>
  </si>
  <si>
    <t>BA-4267</t>
  </si>
  <si>
    <t>BA-4268</t>
  </si>
  <si>
    <t>BA-4269</t>
  </si>
  <si>
    <t>BA-4270</t>
  </si>
  <si>
    <t>BA-4271</t>
  </si>
  <si>
    <t>BA-4272</t>
  </si>
  <si>
    <t>BA-4273</t>
  </si>
  <si>
    <t>BA-4274</t>
  </si>
  <si>
    <t>BA-4275</t>
  </si>
  <si>
    <t>BA-4276</t>
  </si>
  <si>
    <t>BA-4277</t>
  </si>
  <si>
    <t>BA-4278</t>
  </si>
  <si>
    <t>BA-4279</t>
  </si>
  <si>
    <t>BA-4280</t>
  </si>
  <si>
    <t>BA-4281</t>
  </si>
  <si>
    <t>BA-4282</t>
  </si>
  <si>
    <t>BA-4283</t>
  </si>
  <si>
    <t>BA-4284</t>
  </si>
  <si>
    <t>BA-4285</t>
  </si>
  <si>
    <t>BA-4286</t>
  </si>
  <si>
    <t>BA-4287</t>
  </si>
  <si>
    <t>BA-4288</t>
  </si>
  <si>
    <t>BA-4289</t>
  </si>
  <si>
    <t>BA-4290</t>
  </si>
  <si>
    <t>BA-4291</t>
  </si>
  <si>
    <t>BA-4292</t>
  </si>
  <si>
    <t>BA-4293</t>
  </si>
  <si>
    <t>BA-4294</t>
  </si>
  <si>
    <t>BA-4295</t>
  </si>
  <si>
    <t>BA-4296</t>
  </si>
  <si>
    <t>BA-4297</t>
  </si>
  <si>
    <t>BA-4298</t>
  </si>
  <si>
    <t>BA-4299</t>
  </si>
  <si>
    <t>BA-4300</t>
  </si>
  <si>
    <t>BA-4301</t>
  </si>
  <si>
    <t>BA-4302</t>
  </si>
  <si>
    <t>BA-4303</t>
  </si>
  <si>
    <t>BA-4304</t>
  </si>
  <si>
    <t>BA-4305</t>
  </si>
  <si>
    <t>BA-4306</t>
  </si>
  <si>
    <t>BA-4307</t>
  </si>
  <si>
    <t>BA-4308</t>
  </si>
  <si>
    <t>BA-4309</t>
  </si>
  <si>
    <t>BA-4310</t>
  </si>
  <si>
    <t>BA-4311</t>
  </si>
  <si>
    <t>BA-4312</t>
  </si>
  <si>
    <t>BA-4313</t>
  </si>
  <si>
    <t>BA-4314</t>
  </si>
  <si>
    <t>BA-4315</t>
  </si>
  <si>
    <t>BA-4316</t>
  </si>
  <si>
    <t>BA-4317</t>
  </si>
  <si>
    <t>BA-4318</t>
  </si>
  <si>
    <t>BA-4319</t>
  </si>
  <si>
    <t>BA-4320</t>
  </si>
  <si>
    <t>BA-4321</t>
  </si>
  <si>
    <t>BA-4322</t>
  </si>
  <si>
    <t>BA-4323</t>
  </si>
  <si>
    <t>BA-4324</t>
  </si>
  <si>
    <t>BA-4325</t>
  </si>
  <si>
    <t>BA-4326</t>
  </si>
  <si>
    <t>BA-4327</t>
  </si>
  <si>
    <t>BA-4328</t>
  </si>
  <si>
    <t>BA-4329</t>
  </si>
  <si>
    <t>BA-4330</t>
  </si>
  <si>
    <t>BA-4331</t>
  </si>
  <si>
    <t>BA-4332</t>
  </si>
  <si>
    <t>BA-4333</t>
  </si>
  <si>
    <t>BA-4334</t>
  </si>
  <si>
    <t>BA-4335</t>
  </si>
  <si>
    <t>BA-4336</t>
  </si>
  <si>
    <t>BA-4337</t>
  </si>
  <si>
    <t>BA-4338</t>
  </si>
  <si>
    <t>BA-4339</t>
  </si>
  <si>
    <t>BA-4340</t>
  </si>
  <si>
    <t>BA-4341</t>
  </si>
  <si>
    <t>BA-4342</t>
  </si>
  <si>
    <t>BA-4343</t>
  </si>
  <si>
    <t>BA-4344</t>
  </si>
  <si>
    <t>BA-4345</t>
  </si>
  <si>
    <t>BA-4346</t>
  </si>
  <si>
    <t>BA-4347</t>
  </si>
  <si>
    <t>BA-4348</t>
  </si>
  <si>
    <t>BA-4349</t>
  </si>
  <si>
    <t>BA-4350</t>
  </si>
  <si>
    <t>BA-4351</t>
  </si>
  <si>
    <t>BA-4352</t>
  </si>
  <si>
    <t>BA-4353</t>
  </si>
  <si>
    <t>BA-4354</t>
  </si>
  <si>
    <t>BA-4355</t>
  </si>
  <si>
    <t>BA-4356</t>
  </si>
  <si>
    <t>BA-4357</t>
  </si>
  <si>
    <t>BA-4358</t>
  </si>
  <si>
    <t>BA-4359</t>
  </si>
  <si>
    <t>BA-4360</t>
  </si>
  <si>
    <t>BA-4361</t>
  </si>
  <si>
    <t>BA-4362</t>
  </si>
  <si>
    <t>BA-4363</t>
  </si>
  <si>
    <t>BA-4364</t>
  </si>
  <si>
    <t>BA-4365</t>
  </si>
  <si>
    <t>BA-4366</t>
  </si>
  <si>
    <t>BA-4367</t>
  </si>
  <si>
    <t>BA-4368</t>
  </si>
  <si>
    <t>BA-4369</t>
  </si>
  <si>
    <t>BA-4370</t>
  </si>
  <si>
    <t>BA-4371</t>
  </si>
  <si>
    <t>BA-4372</t>
  </si>
  <si>
    <t>BA-4373</t>
  </si>
  <si>
    <t>BA-4374</t>
  </si>
  <si>
    <t>BA-4375</t>
  </si>
  <si>
    <t>BA-4376</t>
  </si>
  <si>
    <t>BA-4377</t>
  </si>
  <si>
    <t>BA-4378</t>
  </si>
  <si>
    <t>BA-4379</t>
  </si>
  <si>
    <t>BA-4380</t>
  </si>
  <si>
    <t>BA-4381</t>
  </si>
  <si>
    <t>BA-4382</t>
  </si>
  <si>
    <t>BA-4383</t>
  </si>
  <si>
    <t>BA-4384</t>
  </si>
  <si>
    <t>BA-4385</t>
  </si>
  <si>
    <t>BA-4386</t>
  </si>
  <si>
    <t>BA-4387</t>
  </si>
  <si>
    <t>BA-4388</t>
  </si>
  <si>
    <t>BA-4389</t>
  </si>
  <si>
    <t>BA-4390</t>
  </si>
  <si>
    <t>BA-4391</t>
  </si>
  <si>
    <t>BA-4392</t>
  </si>
  <si>
    <t>BA-4393</t>
  </si>
  <si>
    <t>BA-4394</t>
  </si>
  <si>
    <t>BA-4395</t>
  </si>
  <si>
    <t>BA-4396</t>
  </si>
  <si>
    <t>BA-4397</t>
  </si>
  <si>
    <t>BA-4398</t>
  </si>
  <si>
    <t>BA-4399</t>
  </si>
  <si>
    <t>BA-4400</t>
  </si>
  <si>
    <t>BA-4401</t>
  </si>
  <si>
    <t>BA-4402</t>
  </si>
  <si>
    <t>BA-4403</t>
  </si>
  <si>
    <t>BA-4404</t>
  </si>
  <si>
    <t>BA-4405</t>
  </si>
  <si>
    <t>BA-4406</t>
  </si>
  <si>
    <t>BA-4407</t>
  </si>
  <si>
    <t>BA-4408</t>
  </si>
  <si>
    <t>BA-4409</t>
  </si>
  <si>
    <t>BA-4410</t>
  </si>
  <si>
    <t>BA-4411</t>
  </si>
  <si>
    <t>BA-4412</t>
  </si>
  <si>
    <t>BA-4413</t>
  </si>
  <si>
    <t>BA-4414</t>
  </si>
  <si>
    <t>BA-4415</t>
  </si>
  <si>
    <t>BA-4416</t>
  </si>
  <si>
    <t>BA-4417</t>
  </si>
  <si>
    <t>BA-4418</t>
  </si>
  <si>
    <t>BA-4419</t>
  </si>
  <si>
    <t>BA-4420</t>
  </si>
  <si>
    <t>BA-4421</t>
  </si>
  <si>
    <t>BA-4422</t>
  </si>
  <si>
    <t>BA-4423</t>
  </si>
  <si>
    <t>BA-4424</t>
  </si>
  <si>
    <t>BA-4425</t>
  </si>
  <si>
    <t>BA-4426</t>
  </si>
  <si>
    <t>BA-4427</t>
  </si>
  <si>
    <t>BA-4428</t>
  </si>
  <si>
    <t>BA-4429</t>
  </si>
  <si>
    <t>BA-4430</t>
  </si>
  <si>
    <t>BA-4431</t>
  </si>
  <si>
    <t>BA-4432</t>
  </si>
  <si>
    <t>BA-4433</t>
  </si>
  <si>
    <t>BA-4434</t>
  </si>
  <si>
    <t>BA-4435</t>
  </si>
  <si>
    <t>BA-4436</t>
  </si>
  <si>
    <t>BA-4437</t>
  </si>
  <si>
    <t>BA-4438</t>
  </si>
  <si>
    <t>BA-4439</t>
  </si>
  <si>
    <t>BA-4440</t>
  </si>
  <si>
    <t>BA-4441</t>
  </si>
  <si>
    <t>BA-4442</t>
  </si>
  <si>
    <t>BA-4443</t>
  </si>
  <si>
    <t>BA-4444</t>
  </si>
  <si>
    <t>BA-4445</t>
  </si>
  <si>
    <t>BA-4446</t>
  </si>
  <si>
    <t>BA-4447</t>
  </si>
  <si>
    <t>BA-4448</t>
  </si>
  <si>
    <t>BA-4449</t>
  </si>
  <si>
    <t>BA-4450</t>
  </si>
  <si>
    <t>BA-4451</t>
  </si>
  <si>
    <t>BA-4452</t>
  </si>
  <si>
    <t>BA-4453</t>
  </si>
  <si>
    <t>BA-4454</t>
  </si>
  <si>
    <t>BA-4455</t>
  </si>
  <si>
    <t>BA-4456</t>
  </si>
  <si>
    <t>BA-4457</t>
  </si>
  <si>
    <t>BA-4458</t>
  </si>
  <si>
    <t>BA-4459</t>
  </si>
  <si>
    <t>BA-4460</t>
  </si>
  <si>
    <t>BA-4461</t>
  </si>
  <si>
    <t>BA-4462</t>
  </si>
  <si>
    <t>BA-4463</t>
  </si>
  <si>
    <t>BA-4464</t>
  </si>
  <si>
    <t>BA-4465</t>
  </si>
  <si>
    <t>BA-4466</t>
  </si>
  <si>
    <t>BA-4467</t>
  </si>
  <si>
    <t>BA-4468</t>
  </si>
  <si>
    <t>BA-4469</t>
  </si>
  <si>
    <t>BA-4470</t>
  </si>
  <si>
    <t>BA-4471</t>
  </si>
  <si>
    <t>BA-4472</t>
  </si>
  <si>
    <t>BA-4473</t>
  </si>
  <si>
    <t>BA-4474</t>
  </si>
  <si>
    <t>BA-4475</t>
  </si>
  <si>
    <t>BA-4476</t>
  </si>
  <si>
    <t>BA-4477</t>
  </si>
  <si>
    <t>BA-4478</t>
  </si>
  <si>
    <t>BA-4479</t>
  </si>
  <si>
    <t>BA-4480</t>
  </si>
  <si>
    <t>BA-4481</t>
  </si>
  <si>
    <t>BA-4482</t>
  </si>
  <si>
    <t>BA-4483</t>
  </si>
  <si>
    <t>BA-4484</t>
  </si>
  <si>
    <t>BA-4485</t>
  </si>
  <si>
    <t>BA-4486</t>
  </si>
  <si>
    <t>BA-4487</t>
  </si>
  <si>
    <t>BA-4488</t>
  </si>
  <si>
    <t>BA-4489</t>
  </si>
  <si>
    <t>BA-4490</t>
  </si>
  <si>
    <t>BA-4491</t>
  </si>
  <si>
    <t>BA-4492</t>
  </si>
  <si>
    <t>BA-4493</t>
  </si>
  <si>
    <t>BA-4494</t>
  </si>
  <si>
    <t>BA-4495</t>
  </si>
  <si>
    <t>BA-4496</t>
  </si>
  <si>
    <t>BA-4497</t>
  </si>
  <si>
    <t>BA-4498</t>
  </si>
  <si>
    <t>BA-4499</t>
  </si>
  <si>
    <t>BA-4500</t>
  </si>
  <si>
    <t>BA-4501</t>
  </si>
  <si>
    <t>BA-4502</t>
  </si>
  <si>
    <t>BA-4503</t>
  </si>
  <si>
    <t>BA-4504</t>
  </si>
  <si>
    <t>BA-4505</t>
  </si>
  <si>
    <t>BA-4506</t>
  </si>
  <si>
    <t>BA-4507</t>
  </si>
  <si>
    <t>BA-4508</t>
  </si>
  <si>
    <t>BA-4509</t>
  </si>
  <si>
    <t>BA-4510</t>
  </si>
  <si>
    <t>BA-4511</t>
  </si>
  <si>
    <t>BA-4512</t>
  </si>
  <si>
    <t>BA-4513</t>
  </si>
  <si>
    <t>BA-4514</t>
  </si>
  <si>
    <t>BA-4515</t>
  </si>
  <si>
    <t>BA-4516</t>
  </si>
  <si>
    <t>BA-4517</t>
  </si>
  <si>
    <t>BA-4518</t>
  </si>
  <si>
    <t>BA-4519</t>
  </si>
  <si>
    <t>BA-4520</t>
  </si>
  <si>
    <t>BA-4521</t>
  </si>
  <si>
    <t>BA-4522</t>
  </si>
  <si>
    <t>BA-4523</t>
  </si>
  <si>
    <t>BA-4524</t>
  </si>
  <si>
    <t>BA-4525</t>
  </si>
  <si>
    <t>BA-4526</t>
  </si>
  <si>
    <t>BA-4527</t>
  </si>
  <si>
    <t>BA-4528</t>
  </si>
  <si>
    <t>BA-4529</t>
  </si>
  <si>
    <t>BA-4530</t>
  </si>
  <si>
    <t>BA-4531</t>
  </si>
  <si>
    <t>BA-4532</t>
  </si>
  <si>
    <t>BA-4533</t>
  </si>
  <si>
    <t>BA-4534</t>
  </si>
  <si>
    <t>BA-4535</t>
  </si>
  <si>
    <t>BA-4536</t>
  </si>
  <si>
    <t>BA-4537</t>
  </si>
  <si>
    <t>BA-4538</t>
  </si>
  <si>
    <t>BA-4539</t>
  </si>
  <si>
    <t>BA-4540</t>
  </si>
  <si>
    <t>BA-4541</t>
  </si>
  <si>
    <t>BA-4542</t>
  </si>
  <si>
    <t>BA-4543</t>
  </si>
  <si>
    <t>BA-4544</t>
  </si>
  <si>
    <t>BA-4545</t>
  </si>
  <si>
    <t>BA-4546</t>
  </si>
  <si>
    <t>BA-4547</t>
  </si>
  <si>
    <t>BA-4548</t>
  </si>
  <si>
    <t>BA-4549</t>
  </si>
  <si>
    <t>BA-4550</t>
  </si>
  <si>
    <t>BA-4551</t>
  </si>
  <si>
    <t>BA-4552</t>
  </si>
  <si>
    <t>BA-4553</t>
  </si>
  <si>
    <t>BA-4554</t>
  </si>
  <si>
    <t>BA-4555</t>
  </si>
  <si>
    <t>BA-4556</t>
  </si>
  <si>
    <t>BA-4557</t>
  </si>
  <si>
    <t>BA-4558</t>
  </si>
  <si>
    <t>BA-4559</t>
  </si>
  <si>
    <t>BA-4560</t>
  </si>
  <si>
    <t>BA-4561</t>
  </si>
  <si>
    <t>BA-4562</t>
  </si>
  <si>
    <t>BA-4563</t>
  </si>
  <si>
    <t>BA-4564</t>
  </si>
  <si>
    <t>BA-4565</t>
  </si>
  <si>
    <t>BA-4566</t>
  </si>
  <si>
    <t>BA-4567</t>
  </si>
  <si>
    <t>BA-4568</t>
  </si>
  <si>
    <t>BA-4569</t>
  </si>
  <si>
    <t>BA-4570</t>
  </si>
  <si>
    <t>BA-4571</t>
  </si>
  <si>
    <t>BA-4572</t>
  </si>
  <si>
    <t>BA-4573</t>
  </si>
  <si>
    <t>BA-4574</t>
  </si>
  <si>
    <t>BA-4575</t>
  </si>
  <si>
    <t>BA-4576</t>
  </si>
  <si>
    <t>BA-4577</t>
  </si>
  <si>
    <t>BA-4578</t>
  </si>
  <si>
    <t>BA-4579</t>
  </si>
  <si>
    <t>BA-4580</t>
  </si>
  <si>
    <t>BA-4581</t>
  </si>
  <si>
    <t>BA-4582</t>
  </si>
  <si>
    <t>BA-4583</t>
  </si>
  <si>
    <t>BA-4584</t>
  </si>
  <si>
    <t>BA-4585</t>
  </si>
  <si>
    <t>BA-4586</t>
  </si>
  <si>
    <t>BA-4587</t>
  </si>
  <si>
    <t>BA-4588</t>
  </si>
  <si>
    <t>BA-4589</t>
  </si>
  <si>
    <t>BA-4590</t>
  </si>
  <si>
    <t>BA-4591</t>
  </si>
  <si>
    <t>BA-4592</t>
  </si>
  <si>
    <t>BA-4593</t>
  </si>
  <si>
    <t>BA-4594</t>
  </si>
  <si>
    <t>BA-4595</t>
  </si>
  <si>
    <t>BA-4596</t>
  </si>
  <si>
    <t>BA-4597</t>
  </si>
  <si>
    <t>BA-4598</t>
  </si>
  <si>
    <t>BA-4599</t>
  </si>
  <si>
    <t>BA-4600</t>
  </si>
  <si>
    <t>BA-4601</t>
  </si>
  <si>
    <t>BA-4602</t>
  </si>
  <si>
    <t>BA-4603</t>
  </si>
  <si>
    <t>BA-4604</t>
  </si>
  <si>
    <t>BA-4605</t>
  </si>
  <si>
    <t>BA-4606</t>
  </si>
  <si>
    <t>BA-4607</t>
  </si>
  <si>
    <t>BA-4608</t>
  </si>
  <si>
    <t>BA-4609</t>
  </si>
  <si>
    <t>BA-4610</t>
  </si>
  <si>
    <t>BA-4611</t>
  </si>
  <si>
    <t>BA-4612</t>
  </si>
  <si>
    <t>BA-4613</t>
  </si>
  <si>
    <t>BA-4614</t>
  </si>
  <si>
    <t>BA-4615</t>
  </si>
  <si>
    <t>BA-4616</t>
  </si>
  <si>
    <t>BA-4617</t>
  </si>
  <si>
    <t>BA-4618</t>
  </si>
  <si>
    <t>BA-4619</t>
  </si>
  <si>
    <t>BA-4620</t>
  </si>
  <si>
    <t>BA-4621</t>
  </si>
  <si>
    <t>BA-4622</t>
  </si>
  <si>
    <t>BA-4623</t>
  </si>
  <si>
    <t>BA-4624</t>
  </si>
  <si>
    <t>BA-4625</t>
  </si>
  <si>
    <t>BA-4626</t>
  </si>
  <si>
    <t>BA-4627</t>
  </si>
  <si>
    <t>BA-4628</t>
  </si>
  <si>
    <t>BA-4629</t>
  </si>
  <si>
    <t>BA-4630</t>
  </si>
  <si>
    <t>BA-4631</t>
  </si>
  <si>
    <t>BA-4632</t>
  </si>
  <si>
    <t>BA-4633</t>
  </si>
  <si>
    <t>BA-4634</t>
  </si>
  <si>
    <t>BA-4635</t>
  </si>
  <si>
    <t>BA-4636</t>
  </si>
  <si>
    <t>BA-4637</t>
  </si>
  <si>
    <t>BA-4638</t>
  </si>
  <si>
    <t>BA-4639</t>
  </si>
  <si>
    <t>BA-4640</t>
  </si>
  <si>
    <t>BA-4641</t>
  </si>
  <si>
    <t>BA-4642</t>
  </si>
  <si>
    <t>BA-4643</t>
  </si>
  <si>
    <t>BA-4644</t>
  </si>
  <si>
    <t>BA-4645</t>
  </si>
  <si>
    <t>BA-4646</t>
  </si>
  <si>
    <t>BA-4647</t>
  </si>
  <si>
    <t>BA-4648</t>
  </si>
  <si>
    <t>BA-4649</t>
  </si>
  <si>
    <t>BA-4650</t>
  </si>
  <si>
    <t>BA-4651</t>
  </si>
  <si>
    <t>BA-4652</t>
  </si>
  <si>
    <t>BA-4653</t>
  </si>
  <si>
    <t>BA-4654</t>
  </si>
  <si>
    <t>BA-4655</t>
  </si>
  <si>
    <t>BA-4656</t>
  </si>
  <si>
    <t>BA-4657</t>
  </si>
  <si>
    <t>BA-4658</t>
  </si>
  <si>
    <t>BA-4659</t>
  </si>
  <si>
    <t>BA-4660</t>
  </si>
  <si>
    <t>BA-4661</t>
  </si>
  <si>
    <t>BA-4662</t>
  </si>
  <si>
    <t>BA-4663</t>
  </si>
  <si>
    <t>BA-4664</t>
  </si>
  <si>
    <t>BA-4665</t>
  </si>
  <si>
    <t>BA-4666</t>
  </si>
  <si>
    <t>BA-4667</t>
  </si>
  <si>
    <t>BA-4668</t>
  </si>
  <si>
    <t>BA-4669</t>
  </si>
  <si>
    <t>BA-4670</t>
  </si>
  <si>
    <t>BA-4671</t>
  </si>
  <si>
    <t>BA-4672</t>
  </si>
  <si>
    <t>BA-4673</t>
  </si>
  <si>
    <t>BA-4674</t>
  </si>
  <si>
    <t>BA-4675</t>
  </si>
  <si>
    <t>BA-4676</t>
  </si>
  <si>
    <t>BA-4677</t>
  </si>
  <si>
    <t>BA-4678</t>
  </si>
  <si>
    <t>BA-4679</t>
  </si>
  <si>
    <t>BA-4680</t>
  </si>
  <si>
    <t>BA-4681</t>
  </si>
  <si>
    <t>BA-4682</t>
  </si>
  <si>
    <t>BA-4683</t>
  </si>
  <si>
    <t>BA-4684</t>
  </si>
  <si>
    <t>BA-4685</t>
  </si>
  <si>
    <t>BA-4686</t>
  </si>
  <si>
    <t>BA-4687</t>
  </si>
  <si>
    <t>BA-4688</t>
  </si>
  <si>
    <t>BA-4689</t>
  </si>
  <si>
    <t>BA-4690</t>
  </si>
  <si>
    <t>BA-4691</t>
  </si>
  <si>
    <t>BA-4692</t>
  </si>
  <si>
    <t>BA-4693</t>
  </si>
  <si>
    <t>BA-4694</t>
  </si>
  <si>
    <t>BA-4695</t>
  </si>
  <si>
    <t>BA-4696</t>
  </si>
  <si>
    <t>BA-4697</t>
  </si>
  <si>
    <t>BA-4698</t>
  </si>
  <si>
    <t>BA-4699</t>
  </si>
  <si>
    <t>BA-4700</t>
  </si>
  <si>
    <t>BA-4701</t>
  </si>
  <si>
    <t>BA-4702</t>
  </si>
  <si>
    <t>BA-4703</t>
  </si>
  <si>
    <t>BA-4704</t>
  </si>
  <si>
    <t>BA-4705</t>
  </si>
  <si>
    <t>BA-4706</t>
  </si>
  <si>
    <t>BA-4707</t>
  </si>
  <si>
    <t>BA-4708</t>
  </si>
  <si>
    <t>BA-4709</t>
  </si>
  <si>
    <t>BA-4710</t>
  </si>
  <si>
    <t>BA-4711</t>
  </si>
  <si>
    <t>BA-4712</t>
  </si>
  <si>
    <t>BA-4713</t>
  </si>
  <si>
    <t>BA-4714</t>
  </si>
  <si>
    <t>BA-4715</t>
  </si>
  <si>
    <t>BA-4716</t>
  </si>
  <si>
    <t>BA-4717</t>
  </si>
  <si>
    <t>BA-4718</t>
  </si>
  <si>
    <t>BA-4719</t>
  </si>
  <si>
    <t>BA-4720</t>
  </si>
  <si>
    <t>BA-4721</t>
  </si>
  <si>
    <t>BA-4722</t>
  </si>
  <si>
    <t>BA-4723</t>
  </si>
  <si>
    <t>BA-4724</t>
  </si>
  <si>
    <t>BA-4725</t>
  </si>
  <si>
    <t>BA-4726</t>
  </si>
  <si>
    <t>BA-4727</t>
  </si>
  <si>
    <t>BA-4728</t>
  </si>
  <si>
    <t>BA-4729</t>
  </si>
  <si>
    <t>BA-4730</t>
  </si>
  <si>
    <t>BA-4731</t>
  </si>
  <si>
    <t>BA-4732</t>
  </si>
  <si>
    <t>BA-4733</t>
  </si>
  <si>
    <t>BA-4734</t>
  </si>
  <si>
    <t>BA-4735</t>
  </si>
  <si>
    <t>BA-4736</t>
  </si>
  <si>
    <t>BA-4737</t>
  </si>
  <si>
    <t>BA-4738</t>
  </si>
  <si>
    <t>BA-4739</t>
  </si>
  <si>
    <t>BA-4740</t>
  </si>
  <si>
    <t>BA-4741</t>
  </si>
  <si>
    <t>BA-4742</t>
  </si>
  <si>
    <t>BA-4743</t>
  </si>
  <si>
    <t>BA-4744</t>
  </si>
  <si>
    <t>BA-4745</t>
  </si>
  <si>
    <t>BA-4746</t>
  </si>
  <si>
    <t>BA-4747</t>
  </si>
  <si>
    <t>BA-4748</t>
  </si>
  <si>
    <t>BA-4749</t>
  </si>
  <si>
    <t>BA-4750</t>
  </si>
  <si>
    <t>BA-4751</t>
  </si>
  <si>
    <t>BA-4752</t>
  </si>
  <si>
    <t>BA-4753</t>
  </si>
  <si>
    <t>BA-4754</t>
  </si>
  <si>
    <t>BA-4755</t>
  </si>
  <si>
    <t>BA-4756</t>
  </si>
  <si>
    <t>BA-4757</t>
  </si>
  <si>
    <t>BA-4758</t>
  </si>
  <si>
    <t>BA-4759</t>
  </si>
  <si>
    <t>BA-4760</t>
  </si>
  <si>
    <t>BA-4761</t>
  </si>
  <si>
    <t>BA-4762</t>
  </si>
  <si>
    <t>BA-4763</t>
  </si>
  <si>
    <t>BA-4764</t>
  </si>
  <si>
    <t>BA-4765</t>
  </si>
  <si>
    <t>BA-4766</t>
  </si>
  <si>
    <t>BA-4767</t>
  </si>
  <si>
    <t>BA-4768</t>
  </si>
  <si>
    <t>BA-4769</t>
  </si>
  <si>
    <t>BA-4770</t>
  </si>
  <si>
    <t>BA-4771</t>
  </si>
  <si>
    <t>BA-4772</t>
  </si>
  <si>
    <t>BA-4773</t>
  </si>
  <si>
    <t>BA-4774</t>
  </si>
  <si>
    <t>BA-4775</t>
  </si>
  <si>
    <t>BA-4776</t>
  </si>
  <si>
    <t>BA-4777</t>
  </si>
  <si>
    <t>BA-4778</t>
  </si>
  <si>
    <t>BA-4779</t>
  </si>
  <si>
    <t>BA-4780</t>
  </si>
  <si>
    <t>BA-4781</t>
  </si>
  <si>
    <t>BA-4782</t>
  </si>
  <si>
    <t>BA-4783</t>
  </si>
  <si>
    <t>BA-4784</t>
  </si>
  <si>
    <t>BA-4785</t>
  </si>
  <si>
    <t>BA-4786</t>
  </si>
  <si>
    <t>BA-4787</t>
  </si>
  <si>
    <t>BA-4788</t>
  </si>
  <si>
    <t>BA-4789</t>
  </si>
  <si>
    <t>BA-4790</t>
  </si>
  <si>
    <t>BA-4791</t>
  </si>
  <si>
    <t>BA-4792</t>
  </si>
  <si>
    <t>BA-4793</t>
  </si>
  <si>
    <t>BA-4794</t>
  </si>
  <si>
    <t>BA-4795</t>
  </si>
  <si>
    <t>BA-4796</t>
  </si>
  <si>
    <t>BA-4797</t>
  </si>
  <si>
    <t>BA-4798</t>
  </si>
  <si>
    <t>BA-4799</t>
  </si>
  <si>
    <t>BA-4800</t>
  </si>
  <si>
    <t>BA-4801</t>
  </si>
  <si>
    <t>BA-4802</t>
  </si>
  <si>
    <t>BA-4803</t>
  </si>
  <si>
    <t>BA-4804</t>
  </si>
  <si>
    <t>BA-4805</t>
  </si>
  <si>
    <t>BA-4806</t>
  </si>
  <si>
    <t>BA-4807</t>
  </si>
  <si>
    <t>BA-4808</t>
  </si>
  <si>
    <t>BA-4809</t>
  </si>
  <si>
    <t>BA-4810</t>
  </si>
  <si>
    <t>BA-4811</t>
  </si>
  <si>
    <t>BA-4812</t>
  </si>
  <si>
    <t>BA-4813</t>
  </si>
  <si>
    <t>BA-4814</t>
  </si>
  <si>
    <t>BA-4815</t>
  </si>
  <si>
    <t>BA-4816</t>
  </si>
  <si>
    <t>BA-4817</t>
  </si>
  <si>
    <t>BA-4818</t>
  </si>
  <si>
    <t>BA-4819</t>
  </si>
  <si>
    <t>BA-4820</t>
  </si>
  <si>
    <t>BA-4821</t>
  </si>
  <si>
    <t>BA-4822</t>
  </si>
  <si>
    <t>BA-4823</t>
  </si>
  <si>
    <t>BA-4824</t>
  </si>
  <si>
    <t>BA-4825</t>
  </si>
  <si>
    <t>BA-4826</t>
  </si>
  <si>
    <t>BA-4827</t>
  </si>
  <si>
    <t>BA-4828</t>
  </si>
  <si>
    <t>BA-4829</t>
  </si>
  <si>
    <t>BA-4830</t>
  </si>
  <si>
    <t>BA-4831</t>
  </si>
  <si>
    <t>BA-4832</t>
  </si>
  <si>
    <t>BA-4833</t>
  </si>
  <si>
    <t>BA-4834</t>
  </si>
  <si>
    <t>BA-4835</t>
  </si>
  <si>
    <t>BA-4836</t>
  </si>
  <si>
    <t>BA-4837</t>
  </si>
  <si>
    <t>BA-4838</t>
  </si>
  <si>
    <t>BA-4839</t>
  </si>
  <si>
    <t>BA-4840</t>
  </si>
  <si>
    <t>BA-4841</t>
  </si>
  <si>
    <t>BA-4842</t>
  </si>
  <si>
    <t>BA-4843</t>
  </si>
  <si>
    <t>BA-4844</t>
  </si>
  <si>
    <t>BA-4845</t>
  </si>
  <si>
    <t>BA-4846</t>
  </si>
  <si>
    <t>BA-4847</t>
  </si>
  <si>
    <t>BA-4848</t>
  </si>
  <si>
    <t>BA-4849</t>
  </si>
  <si>
    <t>BA-4850</t>
  </si>
  <si>
    <t>BA-4851</t>
  </si>
  <si>
    <t>BA-4852</t>
  </si>
  <si>
    <t>BA-4853</t>
  </si>
  <si>
    <t>BA-4854</t>
  </si>
  <si>
    <t>BA-4855</t>
  </si>
  <si>
    <t>BA-4856</t>
  </si>
  <si>
    <t>BA-4857</t>
  </si>
  <si>
    <t>BA-4858</t>
  </si>
  <si>
    <t>BA-4859</t>
  </si>
  <si>
    <t>BA-4860</t>
  </si>
  <si>
    <t>BA-4861</t>
  </si>
  <si>
    <t>BA-4862</t>
  </si>
  <si>
    <t>BA-4863</t>
  </si>
  <si>
    <t>BA-4864</t>
  </si>
  <si>
    <t>BA-4865</t>
  </si>
  <si>
    <t>BA-4866</t>
  </si>
  <si>
    <t>BA-4867</t>
  </si>
  <si>
    <t>BA-4868</t>
  </si>
  <si>
    <t>BA-4869</t>
  </si>
  <si>
    <t>BA-4870</t>
  </si>
  <si>
    <t>BA-4871</t>
  </si>
  <si>
    <t>BA-4872</t>
  </si>
  <si>
    <t>BA-4873</t>
  </si>
  <si>
    <t>BA-4874</t>
  </si>
  <si>
    <t>BA-4875</t>
  </si>
  <si>
    <t>BA-4876</t>
  </si>
  <si>
    <t>BA-4877</t>
  </si>
  <si>
    <t>BA-4878</t>
  </si>
  <si>
    <t>BA-4879</t>
  </si>
  <si>
    <t>BA-4880</t>
  </si>
  <si>
    <t>BA-4881</t>
  </si>
  <si>
    <t>BA-4882</t>
  </si>
  <si>
    <t>BA-4883</t>
  </si>
  <si>
    <t>BA-4884</t>
  </si>
  <si>
    <t>BA-4885</t>
  </si>
  <si>
    <t>BA-4886</t>
  </si>
  <si>
    <t>BA-4887</t>
  </si>
  <si>
    <t>BA-4888</t>
  </si>
  <si>
    <t>BA-4889</t>
  </si>
  <si>
    <t>BA-4890</t>
  </si>
  <si>
    <t>BA-4891</t>
  </si>
  <si>
    <t>BA-4892</t>
  </si>
  <si>
    <t>BA-4893</t>
  </si>
  <si>
    <t>BA-4894</t>
  </si>
  <si>
    <t>BA-4895</t>
  </si>
  <si>
    <t>BA-4896</t>
  </si>
  <si>
    <t>BA-4897</t>
  </si>
  <si>
    <t>BA-4898</t>
  </si>
  <si>
    <t>BA-4899</t>
  </si>
  <si>
    <t>BA-4900</t>
  </si>
  <si>
    <t>BA-4901</t>
  </si>
  <si>
    <t>BA-4902</t>
  </si>
  <si>
    <t>BA-4903</t>
  </si>
  <si>
    <t>BA-4904</t>
  </si>
  <si>
    <t>BA-4905</t>
  </si>
  <si>
    <t>BA-4906</t>
  </si>
  <si>
    <t>BA-4907</t>
  </si>
  <si>
    <t>BA-4908</t>
  </si>
  <si>
    <t>BA-4909</t>
  </si>
  <si>
    <t>BA-4910</t>
  </si>
  <si>
    <t>BA-4911</t>
  </si>
  <si>
    <t>BA-4912</t>
  </si>
  <si>
    <t>BA-4913</t>
  </si>
  <si>
    <t>BA-4914</t>
  </si>
  <si>
    <t>BA-4915</t>
  </si>
  <si>
    <t>BA-4916</t>
  </si>
  <si>
    <t>BA-4917</t>
  </si>
  <si>
    <t>BA-4918</t>
  </si>
  <si>
    <t>BA-4919</t>
  </si>
  <si>
    <t>BA-4920</t>
  </si>
  <si>
    <t>BA-4921</t>
  </si>
  <si>
    <t>BA-4922</t>
  </si>
  <si>
    <t>BA-4923</t>
  </si>
  <si>
    <t>BA-4924</t>
  </si>
  <si>
    <t>BA-4925</t>
  </si>
  <si>
    <t>BA-4926</t>
  </si>
  <si>
    <t>BA-4927</t>
  </si>
  <si>
    <t>BA-4928</t>
  </si>
  <si>
    <t>BA-4929</t>
  </si>
  <si>
    <t>BA-4930</t>
  </si>
  <si>
    <t>BA-4931</t>
  </si>
  <si>
    <t>BA-4932</t>
  </si>
  <si>
    <t>BA-4933</t>
  </si>
  <si>
    <t>BA-4934</t>
  </si>
  <si>
    <t>BA-4935</t>
  </si>
  <si>
    <t>BA-4936</t>
  </si>
  <si>
    <t>BA-4937</t>
  </si>
  <si>
    <t>BA-4938</t>
  </si>
  <si>
    <t>BA-4939</t>
  </si>
  <si>
    <t>BA-4940</t>
  </si>
  <si>
    <t>BA-4941</t>
  </si>
  <si>
    <t>BA-4942</t>
  </si>
  <si>
    <t>BA-4943</t>
  </si>
  <si>
    <t>BA-4944</t>
  </si>
  <si>
    <t>BA-4945</t>
  </si>
  <si>
    <t>BA-4946</t>
  </si>
  <si>
    <t>BA-4947</t>
  </si>
  <si>
    <t>BA-4948</t>
  </si>
  <si>
    <t>BA-4949</t>
  </si>
  <si>
    <t>BA-4950</t>
  </si>
  <si>
    <t>BA-4951</t>
  </si>
  <si>
    <t>BA-4952</t>
  </si>
  <si>
    <t>BA-4953</t>
  </si>
  <si>
    <t>BA-4954</t>
  </si>
  <si>
    <t>BA-4955</t>
  </si>
  <si>
    <t>BA-4956</t>
  </si>
  <si>
    <t>BA-4957</t>
  </si>
  <si>
    <t>BA-4958</t>
  </si>
  <si>
    <t>BA-4959</t>
  </si>
  <si>
    <t>BA-4960</t>
  </si>
  <si>
    <t>BA-4961</t>
  </si>
  <si>
    <t>BA-4962</t>
  </si>
  <si>
    <t>BA-4963</t>
  </si>
  <si>
    <t>BA-4964</t>
  </si>
  <si>
    <t>BA-4965</t>
  </si>
  <si>
    <t>BA-4966</t>
  </si>
  <si>
    <t>BA-4967</t>
  </si>
  <si>
    <t>BA-4968</t>
  </si>
  <si>
    <t>BA-4969</t>
  </si>
  <si>
    <t>BA-4970</t>
  </si>
  <si>
    <t>BA-4971</t>
  </si>
  <si>
    <t>BA-4972</t>
  </si>
  <si>
    <t>BA-4973</t>
  </si>
  <si>
    <t>BA-4974</t>
  </si>
  <si>
    <t>BA-4975</t>
  </si>
  <si>
    <t>BA-4976</t>
  </si>
  <si>
    <t>BA-4977</t>
  </si>
  <si>
    <t>BA-4978</t>
  </si>
  <si>
    <t>BA-4979</t>
  </si>
  <si>
    <t>BA-4980</t>
  </si>
  <si>
    <t>BA-4981</t>
  </si>
  <si>
    <t>BA-4982</t>
  </si>
  <si>
    <t>BA-4983</t>
  </si>
  <si>
    <t>BA-4984</t>
  </si>
  <si>
    <t>BA-4985</t>
  </si>
  <si>
    <t>BA-4986</t>
  </si>
  <si>
    <t>BA-4987</t>
  </si>
  <si>
    <t>BA-4988</t>
  </si>
  <si>
    <t>BA-4989</t>
  </si>
  <si>
    <t>BA-4990</t>
  </si>
  <si>
    <t>BA-4991</t>
  </si>
  <si>
    <t>BA-4992</t>
  </si>
  <si>
    <t>BA-4993</t>
  </si>
  <si>
    <t>BA-4994</t>
  </si>
  <si>
    <t>BA-4995</t>
  </si>
  <si>
    <t>BA-4996</t>
  </si>
  <si>
    <t>BA-4997</t>
  </si>
  <si>
    <t>BA-4998</t>
  </si>
  <si>
    <t>BA-4999</t>
  </si>
  <si>
    <t>BA-5000</t>
  </si>
  <si>
    <t>BA-5001</t>
  </si>
  <si>
    <t>BA-5002</t>
  </si>
  <si>
    <t>BA-5003</t>
  </si>
  <si>
    <t>BA-5004</t>
  </si>
  <si>
    <t>BA-5005</t>
  </si>
  <si>
    <t>BA-5006</t>
  </si>
  <si>
    <t>BA-5007</t>
  </si>
  <si>
    <t>BA-5008</t>
  </si>
  <si>
    <t>BA-5009</t>
  </si>
  <si>
    <t>BA-5010</t>
  </si>
  <si>
    <t>BA-5011</t>
  </si>
  <si>
    <t>BA-5012</t>
  </si>
  <si>
    <t>BA-5013</t>
  </si>
  <si>
    <t>BA-5014</t>
  </si>
  <si>
    <t>BA-5015</t>
  </si>
  <si>
    <t>BA-5016</t>
  </si>
  <si>
    <t>BA-5017</t>
  </si>
  <si>
    <t>BA-5018</t>
  </si>
  <si>
    <t>BA-5019</t>
  </si>
  <si>
    <t>BA-5020</t>
  </si>
  <si>
    <t>BA-5021</t>
  </si>
  <si>
    <t>BA-5022</t>
  </si>
  <si>
    <t>BA-5023</t>
  </si>
  <si>
    <t>BA-5024</t>
  </si>
  <si>
    <t>BA-5025</t>
  </si>
  <si>
    <t>BA-5026</t>
  </si>
  <si>
    <t>BA-5027</t>
  </si>
  <si>
    <t>BA-5028</t>
  </si>
  <si>
    <t>BA-5029</t>
  </si>
  <si>
    <t>BA-5030</t>
  </si>
  <si>
    <t>BA-5031</t>
  </si>
  <si>
    <t>BA-5032</t>
  </si>
  <si>
    <t>BA-5033</t>
  </si>
  <si>
    <t>BA-5034</t>
  </si>
  <si>
    <t>BA-5035</t>
  </si>
  <si>
    <t>BA-5036</t>
  </si>
  <si>
    <t>BA-5037</t>
  </si>
  <si>
    <t>BA-5038</t>
  </si>
  <si>
    <t>BA-5039</t>
  </si>
  <si>
    <t>BA-5040</t>
  </si>
  <si>
    <t>BA-5041</t>
  </si>
  <si>
    <t>BA-5042</t>
  </si>
  <si>
    <t>BA-5043</t>
  </si>
  <si>
    <t>BA-5044</t>
  </si>
  <si>
    <t>BA-5045</t>
  </si>
  <si>
    <t>BA-5046</t>
  </si>
  <si>
    <t>BA-5047</t>
  </si>
  <si>
    <t>BA-5048</t>
  </si>
  <si>
    <t>BA-5049</t>
  </si>
  <si>
    <t>BA-5050</t>
  </si>
  <si>
    <t>BA-5051</t>
  </si>
  <si>
    <t>BA-5052</t>
  </si>
  <si>
    <t>BA-5053</t>
  </si>
  <si>
    <t>BA-5054</t>
  </si>
  <si>
    <t>BA-5055</t>
  </si>
  <si>
    <t>BA-5056</t>
  </si>
  <si>
    <t>BA-5057</t>
  </si>
  <si>
    <t>BA-5058</t>
  </si>
  <si>
    <t>BA-5059</t>
  </si>
  <si>
    <t>BA-5060</t>
  </si>
  <si>
    <t>BA-5061</t>
  </si>
  <si>
    <t>BA-5062</t>
  </si>
  <si>
    <t>BA-5063</t>
  </si>
  <si>
    <t>BA-5064</t>
  </si>
  <si>
    <t>BA-5065</t>
  </si>
  <si>
    <t>BA-5066</t>
  </si>
  <si>
    <t>BA-5067</t>
  </si>
  <si>
    <t>BA-5068</t>
  </si>
  <si>
    <t>BA-5069</t>
  </si>
  <si>
    <t>BA-5070</t>
  </si>
  <si>
    <t>BA-5071</t>
  </si>
  <si>
    <t>BA-5072</t>
  </si>
  <si>
    <t>BA-5073</t>
  </si>
  <si>
    <t>BA-5074</t>
  </si>
  <si>
    <t>BA-5075</t>
  </si>
  <si>
    <t>BA-5076</t>
  </si>
  <si>
    <t>BA-5077</t>
  </si>
  <si>
    <t>BA-5078</t>
  </si>
  <si>
    <t>BA-5079</t>
  </si>
  <si>
    <t>BA-5080</t>
  </si>
  <si>
    <t>BA-5081</t>
  </si>
  <si>
    <t>BA-5082</t>
  </si>
  <si>
    <t>BA-5083</t>
  </si>
  <si>
    <t>BA-5084</t>
  </si>
  <si>
    <t>BA-5085</t>
  </si>
  <si>
    <t>BA-5086</t>
  </si>
  <si>
    <t>BA-5087</t>
  </si>
  <si>
    <t>BA-5088</t>
  </si>
  <si>
    <t>BA-5089</t>
  </si>
  <si>
    <t>BA-5090</t>
  </si>
  <si>
    <t>BA-5091</t>
  </si>
  <si>
    <t>BA-5092</t>
  </si>
  <si>
    <t>BA-5093</t>
  </si>
  <si>
    <t>BA-5094</t>
  </si>
  <si>
    <t>BA-5095</t>
  </si>
  <si>
    <t>BA-5096</t>
  </si>
  <si>
    <t>BA-5097</t>
  </si>
  <si>
    <t>BA-5098</t>
  </si>
  <si>
    <t>BA-5099</t>
  </si>
  <si>
    <t>BA-5100</t>
  </si>
  <si>
    <t>BA-5101</t>
  </si>
  <si>
    <t>BA-5102</t>
  </si>
  <si>
    <t>BA-5103</t>
  </si>
  <si>
    <t>BA-5104</t>
  </si>
  <si>
    <t>BA-5105</t>
  </si>
  <si>
    <t>BA-5106</t>
  </si>
  <si>
    <t>BA-5107</t>
  </si>
  <si>
    <t>BA-5108</t>
  </si>
  <si>
    <t>BA-5109</t>
  </si>
  <si>
    <t>BA-5110</t>
  </si>
  <si>
    <t>BA-5111</t>
  </si>
  <si>
    <t>BA-5112</t>
  </si>
  <si>
    <t>BA-5113</t>
  </si>
  <si>
    <t>BA-5114</t>
  </si>
  <si>
    <t>BA-5115</t>
  </si>
  <si>
    <t>BA-5116</t>
  </si>
  <si>
    <t>BA-5117</t>
  </si>
  <si>
    <t>BA-5118</t>
  </si>
  <si>
    <t>BA-5119</t>
  </si>
  <si>
    <t>BA-5120</t>
  </si>
  <si>
    <t>BA-5121</t>
  </si>
  <si>
    <t>BA-5122</t>
  </si>
  <si>
    <t>BA-5123</t>
  </si>
  <si>
    <t>BA-5124</t>
  </si>
  <si>
    <t>BA-5125</t>
  </si>
  <si>
    <t>BA-5126</t>
  </si>
  <si>
    <t>BA-5127</t>
  </si>
  <si>
    <t>BA-5128</t>
  </si>
  <si>
    <t>BA-5129</t>
  </si>
  <si>
    <t>BA-5130</t>
  </si>
  <si>
    <t>BA-5131</t>
  </si>
  <si>
    <t>BA-5132</t>
  </si>
  <si>
    <t>BA-5133</t>
  </si>
  <si>
    <t>BA-5134</t>
  </si>
  <si>
    <t>BA-5135</t>
  </si>
  <si>
    <t>BA-5136</t>
  </si>
  <si>
    <t>BA-5137</t>
  </si>
  <si>
    <t>BA-5138</t>
  </si>
  <si>
    <t>BA-5139</t>
  </si>
  <si>
    <t>BA-5140</t>
  </si>
  <si>
    <t>BA-5141</t>
  </si>
  <si>
    <t>BA-5142</t>
  </si>
  <si>
    <t>BA-5143</t>
  </si>
  <si>
    <t>BA-5144</t>
  </si>
  <si>
    <t>BA-5145</t>
  </si>
  <si>
    <t>BA-5146</t>
  </si>
  <si>
    <t>BA-5147</t>
  </si>
  <si>
    <t>BA-5148</t>
  </si>
  <si>
    <t>BA-5149</t>
  </si>
  <si>
    <t>BA-5150</t>
  </si>
  <si>
    <t>BA-5151</t>
  </si>
  <si>
    <t>BA-5152</t>
  </si>
  <si>
    <t>BA-5153</t>
  </si>
  <si>
    <t>BA-5154</t>
  </si>
  <si>
    <t>BA-5155</t>
  </si>
  <si>
    <t>BA-5156</t>
  </si>
  <si>
    <t>BA-5157</t>
  </si>
  <si>
    <t>BA-5158</t>
  </si>
  <si>
    <t>BA-5159</t>
  </si>
  <si>
    <t>BA-5160</t>
  </si>
  <si>
    <t>BA-5161</t>
  </si>
  <si>
    <t>BA-5162</t>
  </si>
  <si>
    <t>BA-5163</t>
  </si>
  <si>
    <t>BA-5164</t>
  </si>
  <si>
    <t>BA-5165</t>
  </si>
  <si>
    <t>BA-5166</t>
  </si>
  <si>
    <t>BA-5167</t>
  </si>
  <si>
    <t>BA-5168</t>
  </si>
  <si>
    <t>BA-5169</t>
  </si>
  <si>
    <t>BA-5170</t>
  </si>
  <si>
    <t>BA-5171</t>
  </si>
  <si>
    <t>BA-5172</t>
  </si>
  <si>
    <t>BA-5173</t>
  </si>
  <si>
    <t>BA-5174</t>
  </si>
  <si>
    <t>BA-5175</t>
  </si>
  <si>
    <t>BA-5176</t>
  </si>
  <si>
    <t>BA-5177</t>
  </si>
  <si>
    <t>BA-5178</t>
  </si>
  <si>
    <t>BA-5179</t>
  </si>
  <si>
    <t>BA-5180</t>
  </si>
  <si>
    <t>BA-5181</t>
  </si>
  <si>
    <t>BA-5182</t>
  </si>
  <si>
    <t>BA-5183</t>
  </si>
  <si>
    <t>BA-5184</t>
  </si>
  <si>
    <t>BA-5185</t>
  </si>
  <si>
    <t>BA-5186</t>
  </si>
  <si>
    <t>BA-5187</t>
  </si>
  <si>
    <t>BA-5188</t>
  </si>
  <si>
    <t>BA-5189</t>
  </si>
  <si>
    <t>BA-5190</t>
  </si>
  <si>
    <t>BA-5191</t>
  </si>
  <si>
    <t>BA-5192</t>
  </si>
  <si>
    <t>BA-5193</t>
  </si>
  <si>
    <t>BA-5194</t>
  </si>
  <si>
    <t>BA-5195</t>
  </si>
  <si>
    <t>BA-5196</t>
  </si>
  <si>
    <t>BA-5197</t>
  </si>
  <si>
    <t>BA-5198</t>
  </si>
  <si>
    <t>BA-5199</t>
  </si>
  <si>
    <t>BA-5200</t>
  </si>
  <si>
    <t>BA-5201</t>
  </si>
  <si>
    <t>BA-5202</t>
  </si>
  <si>
    <t>BA-5203</t>
  </si>
  <si>
    <t>BA-5204</t>
  </si>
  <si>
    <t>BA-5205</t>
  </si>
  <si>
    <t>BA-5206</t>
  </si>
  <si>
    <t>BA-5207</t>
  </si>
  <si>
    <t>BA-5208</t>
  </si>
  <si>
    <t>BA-5209</t>
  </si>
  <si>
    <t>BA-5210</t>
  </si>
  <si>
    <t>BA-5211</t>
  </si>
  <si>
    <t>BA-5212</t>
  </si>
  <si>
    <t>BA-5213</t>
  </si>
  <si>
    <t>BA-5214</t>
  </si>
  <si>
    <t>BA-5215</t>
  </si>
  <si>
    <t>BA-5216</t>
  </si>
  <si>
    <t>BA-5217</t>
  </si>
  <si>
    <t>BA-5218</t>
  </si>
  <si>
    <t>BA-5219</t>
  </si>
  <si>
    <t>BA-5220</t>
  </si>
  <si>
    <t>BA-5221</t>
  </si>
  <si>
    <t>BA-5222</t>
  </si>
  <si>
    <t>BA-5223</t>
  </si>
  <si>
    <t>BA-5224</t>
  </si>
  <si>
    <t>BA-5225</t>
  </si>
  <si>
    <t>BA-5226</t>
  </si>
  <si>
    <t>BA-5227</t>
  </si>
  <si>
    <t>BA-5228</t>
  </si>
  <si>
    <t>BA-5229</t>
  </si>
  <si>
    <t>BA-5230</t>
  </si>
  <si>
    <t>BA-5231</t>
  </si>
  <si>
    <t>BA-5232</t>
  </si>
  <si>
    <t>BA-5233</t>
  </si>
  <si>
    <t>BA-5234</t>
  </si>
  <si>
    <t>BA-5235</t>
  </si>
  <si>
    <t>BA-5236</t>
  </si>
  <si>
    <t>BA-5237</t>
  </si>
  <si>
    <t>BA-5238</t>
  </si>
  <si>
    <t>BA-5239</t>
  </si>
  <si>
    <t>BA-5240</t>
  </si>
  <si>
    <t>BA-5241</t>
  </si>
  <si>
    <t>BA-5242</t>
  </si>
  <si>
    <t>BA-5243</t>
  </si>
  <si>
    <t>BA-5244</t>
  </si>
  <si>
    <t>BA-5245</t>
  </si>
  <si>
    <t>BA-5246</t>
  </si>
  <si>
    <t>BA-5247</t>
  </si>
  <si>
    <t>BA-5248</t>
  </si>
  <si>
    <t>BA-5249</t>
  </si>
  <si>
    <t>BA-5250</t>
  </si>
  <si>
    <t>BA-5251</t>
  </si>
  <si>
    <t>BA-5252</t>
  </si>
  <si>
    <t>BA-5253</t>
  </si>
  <si>
    <t>BA-5254</t>
  </si>
  <si>
    <t>BA-5255</t>
  </si>
  <si>
    <t>BA-5256</t>
  </si>
  <si>
    <t>BA-5257</t>
  </si>
  <si>
    <t>BA-5258</t>
  </si>
  <si>
    <t>BA-5259</t>
  </si>
  <si>
    <t>BA-5260</t>
  </si>
  <si>
    <t>BA-5261</t>
  </si>
  <si>
    <t>BA-5262</t>
  </si>
  <si>
    <t>BA-5263</t>
  </si>
  <si>
    <t>BA-5264</t>
  </si>
  <si>
    <t>BA-5265</t>
  </si>
  <si>
    <t>BA-5266</t>
  </si>
  <si>
    <t>BA-5267</t>
  </si>
  <si>
    <t>BA-5268</t>
  </si>
  <si>
    <t>BA-5269</t>
  </si>
  <si>
    <t>BA-5270</t>
  </si>
  <si>
    <t>BA-5271</t>
  </si>
  <si>
    <t>BA-5272</t>
  </si>
  <si>
    <t>BA-5273</t>
  </si>
  <si>
    <t>BA-5274</t>
  </si>
  <si>
    <t>BA-5275</t>
  </si>
  <si>
    <t>BA-5276</t>
  </si>
  <si>
    <t>BA-5277</t>
  </si>
  <si>
    <t>BA-5278</t>
  </si>
  <si>
    <t>BA-5279</t>
  </si>
  <si>
    <t>BA-5280</t>
  </si>
  <si>
    <t>BA-5281</t>
  </si>
  <si>
    <t>BA-5282</t>
  </si>
  <si>
    <t>BA-5283</t>
  </si>
  <si>
    <t>BA-5284</t>
  </si>
  <si>
    <t>BA-5285</t>
  </si>
  <si>
    <t>BA-5286</t>
  </si>
  <si>
    <t>BA-5287</t>
  </si>
  <si>
    <t>BA-5288</t>
  </si>
  <si>
    <t>BA-5289</t>
  </si>
  <si>
    <t>BA-5290</t>
  </si>
  <si>
    <t>BA-5291</t>
  </si>
  <si>
    <t>BA-5292</t>
  </si>
  <si>
    <t>BA-5293</t>
  </si>
  <si>
    <t>BA-5294</t>
  </si>
  <si>
    <t>BA-5295</t>
  </si>
  <si>
    <t>BA-5296</t>
  </si>
  <si>
    <t>BA-5297</t>
  </si>
  <si>
    <t>BA-5298</t>
  </si>
  <si>
    <t>BA-5299</t>
  </si>
  <si>
    <t>BA-5300</t>
  </si>
  <si>
    <t>BA-5301</t>
  </si>
  <si>
    <t>BA-5302</t>
  </si>
  <si>
    <t>BA-5303</t>
  </si>
  <si>
    <t>BA-5304</t>
  </si>
  <si>
    <t>BA-5305</t>
  </si>
  <si>
    <t>BA-5306</t>
  </si>
  <si>
    <t>BA-5307</t>
  </si>
  <si>
    <t>BA-5308</t>
  </si>
  <si>
    <t>BA-5309</t>
  </si>
  <si>
    <t>BA-5310</t>
  </si>
  <si>
    <t>BA-5311</t>
  </si>
  <si>
    <t>BA-5312</t>
  </si>
  <si>
    <t>BA-5313</t>
  </si>
  <si>
    <t>BA-5314</t>
  </si>
  <si>
    <t>BA-5315</t>
  </si>
  <si>
    <t>BA-5316</t>
  </si>
  <si>
    <t>BA-5317</t>
  </si>
  <si>
    <t>BA-5318</t>
  </si>
  <si>
    <t>BA-5319</t>
  </si>
  <si>
    <t>BA-5320</t>
  </si>
  <si>
    <t>BA-5321</t>
  </si>
  <si>
    <t>BA-5322</t>
  </si>
  <si>
    <t>BA-5323</t>
  </si>
  <si>
    <t>BA-5324</t>
  </si>
  <si>
    <t>BA-5325</t>
  </si>
  <si>
    <t>BA-5326</t>
  </si>
  <si>
    <t>BA-5327</t>
  </si>
  <si>
    <t>BA-5328</t>
  </si>
  <si>
    <t>BA-5329</t>
  </si>
  <si>
    <t>BA-5330</t>
  </si>
  <si>
    <t>BA-5331</t>
  </si>
  <si>
    <t>BA-5332</t>
  </si>
  <si>
    <t>BA-5333</t>
  </si>
  <si>
    <t>BA-5334</t>
  </si>
  <si>
    <t>BA-5335</t>
  </si>
  <si>
    <t>BA-5336</t>
  </si>
  <si>
    <t>BA-5337</t>
  </si>
  <si>
    <t>BA-5338</t>
  </si>
  <si>
    <t>BA-5339</t>
  </si>
  <si>
    <t>BA-5340</t>
  </si>
  <si>
    <t>BA-5341</t>
  </si>
  <si>
    <t>BA-5342</t>
  </si>
  <si>
    <t>BA-5343</t>
  </si>
  <si>
    <t>BA-5344</t>
  </si>
  <si>
    <t>BA-5345</t>
  </si>
  <si>
    <t>BA-5346</t>
  </si>
  <si>
    <t>BA-5347</t>
  </si>
  <si>
    <t>BA-5348</t>
  </si>
  <si>
    <t>BA-5349</t>
  </si>
  <si>
    <t>BA-5350</t>
  </si>
  <si>
    <t>BA-5351</t>
  </si>
  <si>
    <t>BA-5352</t>
  </si>
  <si>
    <t>BA-5353</t>
  </si>
  <si>
    <t>BA-5354</t>
  </si>
  <si>
    <t>BA-5355</t>
  </si>
  <si>
    <t>BA-5356</t>
  </si>
  <si>
    <t>BA-5357</t>
  </si>
  <si>
    <t>BA-5358</t>
  </si>
  <si>
    <t>BA-5359</t>
  </si>
  <si>
    <t>BA-5360</t>
  </si>
  <si>
    <t>BA-5361</t>
  </si>
  <si>
    <t>BA-5362</t>
  </si>
  <si>
    <t>BA-5363</t>
  </si>
  <si>
    <t>BA-5364</t>
  </si>
  <si>
    <t>BA-5365</t>
  </si>
  <si>
    <t>BA-5366</t>
  </si>
  <si>
    <t>BA-5367</t>
  </si>
  <si>
    <t>BA-5368</t>
  </si>
  <si>
    <t>BA-5369</t>
  </si>
  <si>
    <t>BA-5370</t>
  </si>
  <si>
    <t>BA-5371</t>
  </si>
  <si>
    <t>BA-5372</t>
  </si>
  <si>
    <t>BA-5373</t>
  </si>
  <si>
    <t>BA-5374</t>
  </si>
  <si>
    <t>BA-5375</t>
  </si>
  <si>
    <t>BA-5376</t>
  </si>
  <si>
    <t>BA-5377</t>
  </si>
  <si>
    <t>BA-5378</t>
  </si>
  <si>
    <t>BA-5379</t>
  </si>
  <si>
    <t>BA-5380</t>
  </si>
  <si>
    <t>BA-5381</t>
  </si>
  <si>
    <t>BA-5382</t>
  </si>
  <si>
    <t>BA-5383</t>
  </si>
  <si>
    <t>BA-5384</t>
  </si>
  <si>
    <t>BA-5385</t>
  </si>
  <si>
    <t>BA-5386</t>
  </si>
  <si>
    <t>BA-5387</t>
  </si>
  <si>
    <t>BA-5388</t>
  </si>
  <si>
    <t>BA-5389</t>
  </si>
  <si>
    <t>BA-5390</t>
  </si>
  <si>
    <t>BA-5391</t>
  </si>
  <si>
    <t>BA-5392</t>
  </si>
  <si>
    <t>BA-5393</t>
  </si>
  <si>
    <t>BA-5394</t>
  </si>
  <si>
    <t>BA-5395</t>
  </si>
  <si>
    <t>BA-5396</t>
  </si>
  <si>
    <t>BA-5397</t>
  </si>
  <si>
    <t>BA-5398</t>
  </si>
  <si>
    <t>BA-5399</t>
  </si>
  <si>
    <t>BA-5400</t>
  </si>
  <si>
    <t>BA-5401</t>
  </si>
  <si>
    <t>BA-5402</t>
  </si>
  <si>
    <t>BA-5403</t>
  </si>
  <si>
    <t>BA-5404</t>
  </si>
  <si>
    <t>BA-5405</t>
  </si>
  <si>
    <t>BA-5406</t>
  </si>
  <si>
    <t>BA-5407</t>
  </si>
  <si>
    <t>BA-5408</t>
  </si>
  <si>
    <t>BA-5409</t>
  </si>
  <si>
    <t>BA-5410</t>
  </si>
  <si>
    <t>BA-5411</t>
  </si>
  <si>
    <t>BA-5412</t>
  </si>
  <si>
    <t>BA-5413</t>
  </si>
  <si>
    <t>BA-5414</t>
  </si>
  <si>
    <t>BA-5415</t>
  </si>
  <si>
    <t>BA-5416</t>
  </si>
  <si>
    <t>BA-5417</t>
  </si>
  <si>
    <t>BA-5418</t>
  </si>
  <si>
    <t>BA-5419</t>
  </si>
  <si>
    <t>BA-5420</t>
  </si>
  <si>
    <t>BA-5421</t>
  </si>
  <si>
    <t>BA-5422</t>
  </si>
  <si>
    <t>BA-5423</t>
  </si>
  <si>
    <t>BA-5424</t>
  </si>
  <si>
    <t>BA-5425</t>
  </si>
  <si>
    <t>BA-5426</t>
  </si>
  <si>
    <t>BA-5427</t>
  </si>
  <si>
    <t>BA-5428</t>
  </si>
  <si>
    <t>BA-5429</t>
  </si>
  <si>
    <t>BA-5430</t>
  </si>
  <si>
    <t>BA-5431</t>
  </si>
  <si>
    <t>BA-5432</t>
  </si>
  <si>
    <t>BA-5433</t>
  </si>
  <si>
    <t>BA-5434</t>
  </si>
  <si>
    <t>BA-5435</t>
  </si>
  <si>
    <t>BA-5436</t>
  </si>
  <si>
    <t>BA-5437</t>
  </si>
  <si>
    <t>BA-5438</t>
  </si>
  <si>
    <t>BA-5439</t>
  </si>
  <si>
    <t>BA-5440</t>
  </si>
  <si>
    <t>BA-5441</t>
  </si>
  <si>
    <t>BA-5442</t>
  </si>
  <si>
    <t>BA-5443</t>
  </si>
  <si>
    <t>BA-5444</t>
  </si>
  <si>
    <t>BA-5445</t>
  </si>
  <si>
    <t>BA-5446</t>
  </si>
  <si>
    <t>BA-5447</t>
  </si>
  <si>
    <t>BA-5448</t>
  </si>
  <si>
    <t>BA-5449</t>
  </si>
  <si>
    <t>BA-5450</t>
  </si>
  <si>
    <t>BA-5451</t>
  </si>
  <si>
    <t>BA-5452</t>
  </si>
  <si>
    <t>BA-5453</t>
  </si>
  <si>
    <t>BA-5454</t>
  </si>
  <si>
    <t>BA-5455</t>
  </si>
  <si>
    <t>BA-5456</t>
  </si>
  <si>
    <t>BA-5457</t>
  </si>
  <si>
    <t>BA-5458</t>
  </si>
  <si>
    <t>BA-5459</t>
  </si>
  <si>
    <t>BA-5460</t>
  </si>
  <si>
    <t>BA-5461</t>
  </si>
  <si>
    <t>BA-5462</t>
  </si>
  <si>
    <t>BA-5463</t>
  </si>
  <si>
    <t>BA-5464</t>
  </si>
  <si>
    <t>BA-5465</t>
  </si>
  <si>
    <t>BA-5466</t>
  </si>
  <si>
    <t>BA-5467</t>
  </si>
  <si>
    <t>BA-5468</t>
  </si>
  <si>
    <t>BA-5469</t>
  </si>
  <si>
    <t>BA-5470</t>
  </si>
  <si>
    <t>BA-5471</t>
  </si>
  <si>
    <t>BA-5472</t>
  </si>
  <si>
    <t>BA-5473</t>
  </si>
  <si>
    <t>BA-5474</t>
  </si>
  <si>
    <t>BA-5475</t>
  </si>
  <si>
    <t>BA-5476</t>
  </si>
  <si>
    <t>BA-5477</t>
  </si>
  <si>
    <t>BA-5478</t>
  </si>
  <si>
    <t>BA-5479</t>
  </si>
  <si>
    <t>BA-5480</t>
  </si>
  <si>
    <t>BA-5481</t>
  </si>
  <si>
    <t>BA-5482</t>
  </si>
  <si>
    <t>BA-5483</t>
  </si>
  <si>
    <t>BA-5484</t>
  </si>
  <si>
    <t>BA-5485</t>
  </si>
  <si>
    <t>BA-5486</t>
  </si>
  <si>
    <t>BA-5487</t>
  </si>
  <si>
    <t>BA-5488</t>
  </si>
  <si>
    <t>BA-5489</t>
  </si>
  <si>
    <t>BA-5490</t>
  </si>
  <si>
    <t>BA-5491</t>
  </si>
  <si>
    <t>BA-5492</t>
  </si>
  <si>
    <t>BA-5493</t>
  </si>
  <si>
    <t>BA-5494</t>
  </si>
  <si>
    <t>BA-5495</t>
  </si>
  <si>
    <t>BA-5496</t>
  </si>
  <si>
    <t>BA-5497</t>
  </si>
  <si>
    <t>BA-5498</t>
  </si>
  <si>
    <t>BA-5499</t>
  </si>
  <si>
    <t>BA-5500</t>
  </si>
  <si>
    <t>BA-5501</t>
  </si>
  <si>
    <t>BA-5502</t>
  </si>
  <si>
    <t>BA-5503</t>
  </si>
  <si>
    <t>BA-5504</t>
  </si>
  <si>
    <t>BA-5505</t>
  </si>
  <si>
    <t>BA-5506</t>
  </si>
  <si>
    <t>BA-5507</t>
  </si>
  <si>
    <t>BA-5508</t>
  </si>
  <si>
    <t>BA-5509</t>
  </si>
  <si>
    <t>BA-5510</t>
  </si>
  <si>
    <t>BA-5511</t>
  </si>
  <si>
    <t>BA-5512</t>
  </si>
  <si>
    <t>BA-5513</t>
  </si>
  <si>
    <t>BA-5514</t>
  </si>
  <si>
    <t>BA-5515</t>
  </si>
  <si>
    <t>BA-5516</t>
  </si>
  <si>
    <t>BA-5517</t>
  </si>
  <si>
    <t>BA-5518</t>
  </si>
  <si>
    <t>BA-5519</t>
  </si>
  <si>
    <t>BA-5520</t>
  </si>
  <si>
    <t>BA-5521</t>
  </si>
  <si>
    <t>BA-5522</t>
  </si>
  <si>
    <t>BA-5523</t>
  </si>
  <si>
    <t>BA-5524</t>
  </si>
  <si>
    <t>BA-5525</t>
  </si>
  <si>
    <t>BA-5526</t>
  </si>
  <si>
    <t>BA-5527</t>
  </si>
  <si>
    <t>BA-5528</t>
  </si>
  <si>
    <t>BA-5529</t>
  </si>
  <si>
    <t>BA-5530</t>
  </si>
  <si>
    <t>BA-5531</t>
  </si>
  <si>
    <t>BA-5532</t>
  </si>
  <si>
    <t>BA-5533</t>
  </si>
  <si>
    <t>BA-5534</t>
  </si>
  <si>
    <t>BA-5535</t>
  </si>
  <si>
    <t>BA-5536</t>
  </si>
  <si>
    <t>BA-5537</t>
  </si>
  <si>
    <t>BA-5538</t>
  </si>
  <si>
    <t>BA-5539</t>
  </si>
  <si>
    <t>BA-5540</t>
  </si>
  <si>
    <t>BA-5541</t>
  </si>
  <si>
    <t>BA-5542</t>
  </si>
  <si>
    <t>BA-5543</t>
  </si>
  <si>
    <t>BA-5544</t>
  </si>
  <si>
    <t>BA-5545</t>
  </si>
  <si>
    <t>BA-5546</t>
  </si>
  <si>
    <t>BA-5547</t>
  </si>
  <si>
    <t>BA-5548</t>
  </si>
  <si>
    <t>BA-5549</t>
  </si>
  <si>
    <t>BA-5550</t>
  </si>
  <si>
    <t>BA-5551</t>
  </si>
  <si>
    <t>BA-5552</t>
  </si>
  <si>
    <t>BA-5553</t>
  </si>
  <si>
    <t>BA-5554</t>
  </si>
  <si>
    <t>BA-5555</t>
  </si>
  <si>
    <t>BA-5556</t>
  </si>
  <si>
    <t>BA-5557</t>
  </si>
  <si>
    <t>BA-5558</t>
  </si>
  <si>
    <t>BA-5559</t>
  </si>
  <si>
    <t>BA-5560</t>
  </si>
  <si>
    <t>BA-5561</t>
  </si>
  <si>
    <t>BA-5562</t>
  </si>
  <si>
    <t>BA-5563</t>
  </si>
  <si>
    <t>BA-5564</t>
  </si>
  <si>
    <t>BA-5565</t>
  </si>
  <si>
    <t>BA-5566</t>
  </si>
  <si>
    <t>BA-5567</t>
  </si>
  <si>
    <t>BA-5568</t>
  </si>
  <si>
    <t>BA-5569</t>
  </si>
  <si>
    <t>BA-5570</t>
  </si>
  <si>
    <t>BA-5571</t>
  </si>
  <si>
    <t>BA-5572</t>
  </si>
  <si>
    <t>BA-5573</t>
  </si>
  <si>
    <t>BA-5574</t>
  </si>
  <si>
    <t>BA-5575</t>
  </si>
  <si>
    <t>BA-5576</t>
  </si>
  <si>
    <t>BA-5577</t>
  </si>
  <si>
    <t>BA-5578</t>
  </si>
  <si>
    <t>BA-5579</t>
  </si>
  <si>
    <t>BA-5580</t>
  </si>
  <si>
    <t>BA-5581</t>
  </si>
  <si>
    <t>BA-5582</t>
  </si>
  <si>
    <t>BA-5583</t>
  </si>
  <si>
    <t>BA-5584</t>
  </si>
  <si>
    <t>BA-5585</t>
  </si>
  <si>
    <t>BA-5586</t>
  </si>
  <si>
    <t>BA-5587</t>
  </si>
  <si>
    <t>BA-5588</t>
  </si>
  <si>
    <t>BA-5589</t>
  </si>
  <si>
    <t>BA-5590</t>
  </si>
  <si>
    <t>BA-5591</t>
  </si>
  <si>
    <t>BA-5592</t>
  </si>
  <si>
    <t>BA-5593</t>
  </si>
  <si>
    <t>BA-5594</t>
  </si>
  <si>
    <t>BA-5595</t>
  </si>
  <si>
    <t>BA-5596</t>
  </si>
  <si>
    <t>BA-5597</t>
  </si>
  <si>
    <t>BA-5598</t>
  </si>
  <si>
    <t>BA-5599</t>
  </si>
  <si>
    <t>BA-5600</t>
  </si>
  <si>
    <t>BA-5601</t>
  </si>
  <si>
    <t>BA-5602</t>
  </si>
  <si>
    <t>BA-5603</t>
  </si>
  <si>
    <t>BA-5604</t>
  </si>
  <si>
    <t>BA-5605</t>
  </si>
  <si>
    <t>BA-5606</t>
  </si>
  <si>
    <t>BA-5607</t>
  </si>
  <si>
    <t>BA-5608</t>
  </si>
  <si>
    <t>BA-5609</t>
  </si>
  <si>
    <t>BA-5610</t>
  </si>
  <si>
    <t>BA-5611</t>
  </si>
  <si>
    <t>BA-5612</t>
  </si>
  <si>
    <t>BA-5613</t>
  </si>
  <si>
    <t>BA-5614</t>
  </si>
  <si>
    <t>BA-5615</t>
  </si>
  <si>
    <t>BA-5616</t>
  </si>
  <si>
    <t>BA-5617</t>
  </si>
  <si>
    <t>BA-5618</t>
  </si>
  <si>
    <t>BA-5619</t>
  </si>
  <si>
    <t>BA-5620</t>
  </si>
  <si>
    <t>BA-5621</t>
  </si>
  <si>
    <t>BA-5622</t>
  </si>
  <si>
    <t>BA-5623</t>
  </si>
  <si>
    <t>BA-5624</t>
  </si>
  <si>
    <t>BA-5625</t>
  </si>
  <si>
    <t>BA-5626</t>
  </si>
  <si>
    <t>BA-5627</t>
  </si>
  <si>
    <t>BA-5628</t>
  </si>
  <si>
    <t>BA-5629</t>
  </si>
  <si>
    <t>BA-5630</t>
  </si>
  <si>
    <t>BA-5631</t>
  </si>
  <si>
    <t>BA-5632</t>
  </si>
  <si>
    <t>BA-5633</t>
  </si>
  <si>
    <t>BA-5634</t>
  </si>
  <si>
    <t>BA-5635</t>
  </si>
  <si>
    <t>BA-5636</t>
  </si>
  <si>
    <t>BA-5637</t>
  </si>
  <si>
    <t>BA-5638</t>
  </si>
  <si>
    <t>BA-5639</t>
  </si>
  <si>
    <t>BA-5640</t>
  </si>
  <si>
    <t>BA-5641</t>
  </si>
  <si>
    <t>BA-5642</t>
  </si>
  <si>
    <t>BA-5643</t>
  </si>
  <si>
    <t>BA-5644</t>
  </si>
  <si>
    <t>BA-5645</t>
  </si>
  <si>
    <t>BA-5646</t>
  </si>
  <si>
    <t>BA-5647</t>
  </si>
  <si>
    <t>BA-5648</t>
  </si>
  <si>
    <t>BA-5649</t>
  </si>
  <si>
    <t>BA-5650</t>
  </si>
  <si>
    <t>BA-5651</t>
  </si>
  <si>
    <t>BA-5652</t>
  </si>
  <si>
    <t>BA-5653</t>
  </si>
  <si>
    <t>BA-5654</t>
  </si>
  <si>
    <t>BA-5655</t>
  </si>
  <si>
    <t>BA-5656</t>
  </si>
  <si>
    <t>BA-5657</t>
  </si>
  <si>
    <t>BA-5658</t>
  </si>
  <si>
    <t>BA-5659</t>
  </si>
  <si>
    <t>BA-5660</t>
  </si>
  <si>
    <t>BA-5661</t>
  </si>
  <si>
    <t>BA-5662</t>
  </si>
  <si>
    <t>BA-5663</t>
  </si>
  <si>
    <t>BA-5664</t>
  </si>
  <si>
    <t>BA-5665</t>
  </si>
  <si>
    <t>BA-5666</t>
  </si>
  <si>
    <t>BA-5667</t>
  </si>
  <si>
    <t>BA-5668</t>
  </si>
  <si>
    <t>BA-5669</t>
  </si>
  <si>
    <t>BA-5670</t>
  </si>
  <si>
    <t>BA-5671</t>
  </si>
  <si>
    <t>BA-5672</t>
  </si>
  <si>
    <t>BA-5673</t>
  </si>
  <si>
    <t>BA-5674</t>
  </si>
  <si>
    <t>BA-5675</t>
  </si>
  <si>
    <t>BA-5676</t>
  </si>
  <si>
    <t>BA-5677</t>
  </si>
  <si>
    <t>BA-5678</t>
  </si>
  <si>
    <t>BA-5679</t>
  </si>
  <si>
    <t>BA-5680</t>
  </si>
  <si>
    <t>BA-5681</t>
  </si>
  <si>
    <t>BA-5682</t>
  </si>
  <si>
    <t>BA-5683</t>
  </si>
  <si>
    <t>BA-5684</t>
  </si>
  <si>
    <t>BA-5685</t>
  </si>
  <si>
    <t>BA-5686</t>
  </si>
  <si>
    <t>BA-5687</t>
  </si>
  <si>
    <t>BA-5688</t>
  </si>
  <si>
    <t>BA-5689</t>
  </si>
  <si>
    <t>BA-5690</t>
  </si>
  <si>
    <t>BA-5691</t>
  </si>
  <si>
    <t>BA-5692</t>
  </si>
  <si>
    <t>BA-5693</t>
  </si>
  <si>
    <t>BA-5694</t>
  </si>
  <si>
    <t>BA-5695</t>
  </si>
  <si>
    <t>BA-5696</t>
  </si>
  <si>
    <t>BA-5697</t>
  </si>
  <si>
    <t>BA-5698</t>
  </si>
  <si>
    <t>BA-5699</t>
  </si>
  <si>
    <t>BA-5700</t>
  </si>
  <si>
    <t>BA-5701</t>
  </si>
  <si>
    <t>BA-5702</t>
  </si>
  <si>
    <t>BA-5703</t>
  </si>
  <si>
    <t>BA-5704</t>
  </si>
  <si>
    <t>BA-5705</t>
  </si>
  <si>
    <t>BA-5706</t>
  </si>
  <si>
    <t>BA-5707</t>
  </si>
  <si>
    <t>BA-5708</t>
  </si>
  <si>
    <t>BA-5709</t>
  </si>
  <si>
    <t>BA-5710</t>
  </si>
  <si>
    <t>BA-5711</t>
  </si>
  <si>
    <t>BA-5712</t>
  </si>
  <si>
    <t>BA-5713</t>
  </si>
  <si>
    <t>BA-5714</t>
  </si>
  <si>
    <t>BA-5715</t>
  </si>
  <si>
    <t>BA-5716</t>
  </si>
  <si>
    <t>BA-5717</t>
  </si>
  <si>
    <t>BA-5718</t>
  </si>
  <si>
    <t>BA-5719</t>
  </si>
  <si>
    <t>BA-5720</t>
  </si>
  <si>
    <t>BA-5721</t>
  </si>
  <si>
    <t>BA-5722</t>
  </si>
  <si>
    <t>BA-5723</t>
  </si>
  <si>
    <t>BA-5724</t>
  </si>
  <si>
    <t>BA-5725</t>
  </si>
  <si>
    <t>BA-5726</t>
  </si>
  <si>
    <t>BA-5727</t>
  </si>
  <si>
    <t>BA-5728</t>
  </si>
  <si>
    <t>BA-5729</t>
  </si>
  <si>
    <t>BA-5730</t>
  </si>
  <si>
    <t>BA-5731</t>
  </si>
  <si>
    <t>BA-5732</t>
  </si>
  <si>
    <t>BA-5733</t>
  </si>
  <si>
    <t>BA-5734</t>
  </si>
  <si>
    <t>BA-5735</t>
  </si>
  <si>
    <t>BA-5736</t>
  </si>
  <si>
    <t>BA-5737</t>
  </si>
  <si>
    <t>BA-5738</t>
  </si>
  <si>
    <t>BA-5739</t>
  </si>
  <si>
    <t>BA-5740</t>
  </si>
  <si>
    <t>BA-5741</t>
  </si>
  <si>
    <t>BA-5742</t>
  </si>
  <si>
    <t>BA-5743</t>
  </si>
  <si>
    <t>BA-5744</t>
  </si>
  <si>
    <t>BA-5745</t>
  </si>
  <si>
    <t>BA-5746</t>
  </si>
  <si>
    <t>BA-5747</t>
  </si>
  <si>
    <t>BA-5748</t>
  </si>
  <si>
    <t>BA-5749</t>
  </si>
  <si>
    <t>BA-5750</t>
  </si>
  <si>
    <t>BA-5751</t>
  </si>
  <si>
    <t>BA-5752</t>
  </si>
  <si>
    <t>BA-5753</t>
  </si>
  <si>
    <t>BA-5754</t>
  </si>
  <si>
    <t>BA-5755</t>
  </si>
  <si>
    <t>BA-5756</t>
  </si>
  <si>
    <t>BA-5757</t>
  </si>
  <si>
    <t>BA-5758</t>
  </si>
  <si>
    <t>BA-5759</t>
  </si>
  <si>
    <t>BA-5760</t>
  </si>
  <si>
    <t>BA-5761</t>
  </si>
  <si>
    <t>BA-5762</t>
  </si>
  <si>
    <t>BA-5763</t>
  </si>
  <si>
    <t>BA-5764</t>
  </si>
  <si>
    <t>BA-5765</t>
  </si>
  <si>
    <t>BA-5766</t>
  </si>
  <si>
    <t>BA-5767</t>
  </si>
  <si>
    <t>BA-5768</t>
  </si>
  <si>
    <t>BA-5769</t>
  </si>
  <si>
    <t>BA-5770</t>
  </si>
  <si>
    <t>BA-5771</t>
  </si>
  <si>
    <t>BA-5772</t>
  </si>
  <si>
    <t>BA-5773</t>
  </si>
  <si>
    <t>BA-5774</t>
  </si>
  <si>
    <t>BA-5775</t>
  </si>
  <si>
    <t>BA-5776</t>
  </si>
  <si>
    <t>BA-5777</t>
  </si>
  <si>
    <t>BA-5778</t>
  </si>
  <si>
    <t>BA-5779</t>
  </si>
  <si>
    <t>BA-5780</t>
  </si>
  <si>
    <t>BA-5781</t>
  </si>
  <si>
    <t>BA-5782</t>
  </si>
  <si>
    <t>BA-5783</t>
  </si>
  <si>
    <t>BA-5784</t>
  </si>
  <si>
    <t>BA-5785</t>
  </si>
  <si>
    <t>BA-5786</t>
  </si>
  <si>
    <t>BA-5787</t>
  </si>
  <si>
    <t>BA-5788</t>
  </si>
  <si>
    <t>BA-5789</t>
  </si>
  <si>
    <t>BA-5790</t>
  </si>
  <si>
    <t>BA-5791</t>
  </si>
  <si>
    <t>BA-5792</t>
  </si>
  <si>
    <t>BA-5793</t>
  </si>
  <si>
    <t>BA-5794</t>
  </si>
  <si>
    <t>BA-5795</t>
  </si>
  <si>
    <t>BA-5796</t>
  </si>
  <si>
    <t>BA-5797</t>
  </si>
  <si>
    <t>BA-5798</t>
  </si>
  <si>
    <t>BA-5799</t>
  </si>
  <si>
    <t>BA-5800</t>
  </si>
  <si>
    <t>BA-5801</t>
  </si>
  <si>
    <t>BA-5802</t>
  </si>
  <si>
    <t>BA-5803</t>
  </si>
  <si>
    <t>BA-5804</t>
  </si>
  <si>
    <t>BA-5805</t>
  </si>
  <si>
    <t>BA-5806</t>
  </si>
  <si>
    <t>BA-5807</t>
  </si>
  <si>
    <t>BA-5808</t>
  </si>
  <si>
    <t>BA-5809</t>
  </si>
  <si>
    <t>BA-5810</t>
  </si>
  <si>
    <t>BA-5811</t>
  </si>
  <si>
    <t>BA-5812</t>
  </si>
  <si>
    <t>BA-5813</t>
  </si>
  <si>
    <t>BA-5814</t>
  </si>
  <si>
    <t>BA-5815</t>
  </si>
  <si>
    <t>BA-5816</t>
  </si>
  <si>
    <t>BA-5817</t>
  </si>
  <si>
    <t>BA-5818</t>
  </si>
  <si>
    <t>BA-5819</t>
  </si>
  <si>
    <t>BA-5820</t>
  </si>
  <si>
    <t>BA-5821</t>
  </si>
  <si>
    <t>BA-5822</t>
  </si>
  <si>
    <t>BA-5823</t>
  </si>
  <si>
    <t>BA-5824</t>
  </si>
  <si>
    <t>BA-5825</t>
  </si>
  <si>
    <t>BA-5826</t>
  </si>
  <si>
    <t>BA-5827</t>
  </si>
  <si>
    <t>BA-5828</t>
  </si>
  <si>
    <t>BA-5829</t>
  </si>
  <si>
    <t>BA-5830</t>
  </si>
  <si>
    <t>BA-5831</t>
  </si>
  <si>
    <t>BA-5832</t>
  </si>
  <si>
    <t>BA-5833</t>
  </si>
  <si>
    <t>BA-5834</t>
  </si>
  <si>
    <t>BA-5835</t>
  </si>
  <si>
    <t>BA-5836</t>
  </si>
  <si>
    <t>BA-5837</t>
  </si>
  <si>
    <t>BA-5838</t>
  </si>
  <si>
    <t>BA-5839</t>
  </si>
  <si>
    <t>BA-5840</t>
  </si>
  <si>
    <t>BA-5841</t>
  </si>
  <si>
    <t>BA-5842</t>
  </si>
  <si>
    <t>BA-5843</t>
  </si>
  <si>
    <t>BA-5844</t>
  </si>
  <si>
    <t>BA-5845</t>
  </si>
  <si>
    <t>BA-5846</t>
  </si>
  <si>
    <t>BA-5847</t>
  </si>
  <si>
    <t>BA-5848</t>
  </si>
  <si>
    <t>BA-5849</t>
  </si>
  <si>
    <t>BA-5850</t>
  </si>
  <si>
    <t>BA-5851</t>
  </si>
  <si>
    <t>BA-5852</t>
  </si>
  <si>
    <t>BA-5853</t>
  </si>
  <si>
    <t>BA-5854</t>
  </si>
  <si>
    <t>BA-5855</t>
  </si>
  <si>
    <t>BA-5856</t>
  </si>
  <si>
    <t>BA-5857</t>
  </si>
  <si>
    <t>BA-5858</t>
  </si>
  <si>
    <t>BA-5859</t>
  </si>
  <si>
    <t>BA-5860</t>
  </si>
  <si>
    <t>BA-5861</t>
  </si>
  <si>
    <t>BA-5862</t>
  </si>
  <si>
    <t>BA-5863</t>
  </si>
  <si>
    <t>BA-5864</t>
  </si>
  <si>
    <t>BA-5865</t>
  </si>
  <si>
    <t>BA-5866</t>
  </si>
  <si>
    <t>BA-5867</t>
  </si>
  <si>
    <t>BA-5868</t>
  </si>
  <si>
    <t>BA-5869</t>
  </si>
  <si>
    <t>BA-5870</t>
  </si>
  <si>
    <t>BA-5871</t>
  </si>
  <si>
    <t>BA-5872</t>
  </si>
  <si>
    <t>BA-5873</t>
  </si>
  <si>
    <t>BA-5874</t>
  </si>
  <si>
    <t>BA-5875</t>
  </si>
  <si>
    <t>BA-5876</t>
  </si>
  <si>
    <t>BA-5877</t>
  </si>
  <si>
    <t>BA-5878</t>
  </si>
  <si>
    <t>BA-5879</t>
  </si>
  <si>
    <t>BA-5880</t>
  </si>
  <si>
    <t>BA-5881</t>
  </si>
  <si>
    <t>BA-5882</t>
  </si>
  <si>
    <t>BA-5883</t>
  </si>
  <si>
    <t>BA-5884</t>
  </si>
  <si>
    <t>BA-5885</t>
  </si>
  <si>
    <t>BA-5886</t>
  </si>
  <si>
    <t>BA-5887</t>
  </si>
  <si>
    <t>BA-5888</t>
  </si>
  <si>
    <t>BA-5889</t>
  </si>
  <si>
    <t>BA-5890</t>
  </si>
  <si>
    <t>BA-5891</t>
  </si>
  <si>
    <t>BA-5892</t>
  </si>
  <si>
    <t>BA-5893</t>
  </si>
  <si>
    <t>BA-5894</t>
  </si>
  <si>
    <t>BA-5895</t>
  </si>
  <si>
    <t>BA-5896</t>
  </si>
  <si>
    <t>BA-5897</t>
  </si>
  <si>
    <t>BA-5898</t>
  </si>
  <si>
    <t>BA-5899</t>
  </si>
  <si>
    <t>BA-5900</t>
  </si>
  <si>
    <t>BA-5901</t>
  </si>
  <si>
    <t>BA-5902</t>
  </si>
  <si>
    <t>BA-5903</t>
  </si>
  <si>
    <t>BA-5904</t>
  </si>
  <si>
    <t>BA-5905</t>
  </si>
  <si>
    <t>BA-5906</t>
  </si>
  <si>
    <t>BA-5907</t>
  </si>
  <si>
    <t>BA-5908</t>
  </si>
  <si>
    <t>BA-5909</t>
  </si>
  <si>
    <t>BA-5910</t>
  </si>
  <si>
    <t>BA-5911</t>
  </si>
  <si>
    <t>BA-5912</t>
  </si>
  <si>
    <t>BA-5913</t>
  </si>
  <si>
    <t>BA-5914</t>
  </si>
  <si>
    <t>BA-5915</t>
  </si>
  <si>
    <t>BA-5916</t>
  </si>
  <si>
    <t>BA-5917</t>
  </si>
  <si>
    <t>BA-5918</t>
  </si>
  <si>
    <t>BA-5919</t>
  </si>
  <si>
    <t>BA-5920</t>
  </si>
  <si>
    <t>BA-5921</t>
  </si>
  <si>
    <t>BA-5922</t>
  </si>
  <si>
    <t>BA-5923</t>
  </si>
  <si>
    <t>BA-5924</t>
  </si>
  <si>
    <t>BA-5925</t>
  </si>
  <si>
    <t>BA-5926</t>
  </si>
  <si>
    <t>BA-5927</t>
  </si>
  <si>
    <t>BA-5928</t>
  </si>
  <si>
    <t>BA-5929</t>
  </si>
  <si>
    <t>BA-5930</t>
  </si>
  <si>
    <t>BA-5931</t>
  </si>
  <si>
    <t>BA-5932</t>
  </si>
  <si>
    <t>BA-5933</t>
  </si>
  <si>
    <t>BA-5934</t>
  </si>
  <si>
    <t>BA-5935</t>
  </si>
  <si>
    <t>BA-5936</t>
  </si>
  <si>
    <t>BA-5937</t>
  </si>
  <si>
    <t>BA-5938</t>
  </si>
  <si>
    <t>BA-5939</t>
  </si>
  <si>
    <t>BA-5940</t>
  </si>
  <si>
    <t>BA-5941</t>
  </si>
  <si>
    <t>BA-5942</t>
  </si>
  <si>
    <t>BA-5943</t>
  </si>
  <si>
    <t>BA-5944</t>
  </si>
  <si>
    <t>BA-5945</t>
  </si>
  <si>
    <t>BA-5946</t>
  </si>
  <si>
    <t>BA-5947</t>
  </si>
  <si>
    <t>BA-5948</t>
  </si>
  <si>
    <t>BA-5949</t>
  </si>
  <si>
    <t>BA-5950</t>
  </si>
  <si>
    <t>BA-5951</t>
  </si>
  <si>
    <t>BA-5952</t>
  </si>
  <si>
    <t>BA-5953</t>
  </si>
  <si>
    <t>BA-5954</t>
  </si>
  <si>
    <t>BA-5955</t>
  </si>
  <si>
    <t>BA-5956</t>
  </si>
  <si>
    <t>BA-5957</t>
  </si>
  <si>
    <t>BA-5958</t>
  </si>
  <si>
    <t>BA-5959</t>
  </si>
  <si>
    <t>BA-5960</t>
  </si>
  <si>
    <t>BA-5961</t>
  </si>
  <si>
    <t>BA-5962</t>
  </si>
  <si>
    <t>BA-5963</t>
  </si>
  <si>
    <t>BA-5964</t>
  </si>
  <si>
    <t>BA-5965</t>
  </si>
  <si>
    <t>BA-5966</t>
  </si>
  <si>
    <t>BA-5967</t>
  </si>
  <si>
    <t>BA-5968</t>
  </si>
  <si>
    <t>BA-5969</t>
  </si>
  <si>
    <t>BA-5970</t>
  </si>
  <si>
    <t>BA-5971</t>
  </si>
  <si>
    <t>BA-5972</t>
  </si>
  <si>
    <t>BA-5973</t>
  </si>
  <si>
    <t>BA-5974</t>
  </si>
  <si>
    <t>BA-5975</t>
  </si>
  <si>
    <t>BA-5976</t>
  </si>
  <si>
    <t>BA-5977</t>
  </si>
  <si>
    <t>BA-5978</t>
  </si>
  <si>
    <t>BA-5979</t>
  </si>
  <si>
    <t>BA-5980</t>
  </si>
  <si>
    <t>BA-5981</t>
  </si>
  <si>
    <t>BA-5982</t>
  </si>
  <si>
    <t>BA-5983</t>
  </si>
  <si>
    <t>BA-5984</t>
  </si>
  <si>
    <t>BA-5985</t>
  </si>
  <si>
    <t>BA-5986</t>
  </si>
  <si>
    <t>BA-5987</t>
  </si>
  <si>
    <t>BA-5988</t>
  </si>
  <si>
    <t>BA-5989</t>
  </si>
  <si>
    <t>BA-5990</t>
  </si>
  <si>
    <t>BA-5991</t>
  </si>
  <si>
    <t>BA-5992</t>
  </si>
  <si>
    <t>BA-5993</t>
  </si>
  <si>
    <t>BA-5994</t>
  </si>
  <si>
    <t>BA-5995</t>
  </si>
  <si>
    <t>BA-5996</t>
  </si>
  <si>
    <t>BA-5997</t>
  </si>
  <si>
    <t>BA-5998</t>
  </si>
  <si>
    <t>BA-5999</t>
  </si>
  <si>
    <t>BA-6000</t>
  </si>
  <si>
    <t>BA-6001</t>
  </si>
  <si>
    <t>BA-6002</t>
  </si>
  <si>
    <t>BA-6003</t>
  </si>
  <si>
    <t>BA-6004</t>
  </si>
  <si>
    <t>BA-6005</t>
  </si>
  <si>
    <t>BA-6006</t>
  </si>
  <si>
    <t>BA-6007</t>
  </si>
  <si>
    <t>BA-6008</t>
  </si>
  <si>
    <t>BA-6009</t>
  </si>
  <si>
    <t>BA-6010</t>
  </si>
  <si>
    <t>BA-6011</t>
  </si>
  <si>
    <t>BA-6012</t>
  </si>
  <si>
    <t>BA-6013</t>
  </si>
  <si>
    <t>BA-6014</t>
  </si>
  <si>
    <t>BA-6015</t>
  </si>
  <si>
    <t>BA-6016</t>
  </si>
  <si>
    <t>BA-6017</t>
  </si>
  <si>
    <t>BA-6018</t>
  </si>
  <si>
    <t>BA-6019</t>
  </si>
  <si>
    <t>BA-6020</t>
  </si>
  <si>
    <t>BA-6021</t>
  </si>
  <si>
    <t>BA-6022</t>
  </si>
  <si>
    <t>BA-6023</t>
  </si>
  <si>
    <t>BA-6024</t>
  </si>
  <si>
    <t>BA-6025</t>
  </si>
  <si>
    <t>BA-6026</t>
  </si>
  <si>
    <t>BA-6027</t>
  </si>
  <si>
    <t>BA-6028</t>
  </si>
  <si>
    <t>BA-6029</t>
  </si>
  <si>
    <t>BA-6030</t>
  </si>
  <si>
    <t>BA-6031</t>
  </si>
  <si>
    <t>BA-6032</t>
  </si>
  <si>
    <t>BA-6033</t>
  </si>
  <si>
    <t>BA-6034</t>
  </si>
  <si>
    <t>BA-6035</t>
  </si>
  <si>
    <t>BA-6036</t>
  </si>
  <si>
    <t>BA-6037</t>
  </si>
  <si>
    <t>BA-6038</t>
  </si>
  <si>
    <t>BA-6039</t>
  </si>
  <si>
    <t>BA-6040</t>
  </si>
  <si>
    <t>BA-6041</t>
  </si>
  <si>
    <t>BA-6042</t>
  </si>
  <si>
    <t>BA-6043</t>
  </si>
  <si>
    <t>BA-6044</t>
  </si>
  <si>
    <t>BA-6045</t>
  </si>
  <si>
    <t>BA-6046</t>
  </si>
  <si>
    <t>BA-6047</t>
  </si>
  <si>
    <t>BA-6048</t>
  </si>
  <si>
    <t>BA-6049</t>
  </si>
  <si>
    <t>BA-6050</t>
  </si>
  <si>
    <t>BA-6051</t>
  </si>
  <si>
    <t>BA-6052</t>
  </si>
  <si>
    <t>BA-6053</t>
  </si>
  <si>
    <t>BA-6054</t>
  </si>
  <si>
    <t>BA-6055</t>
  </si>
  <si>
    <t>BA-6056</t>
  </si>
  <si>
    <t>BA-6057</t>
  </si>
  <si>
    <t>BA-6058</t>
  </si>
  <si>
    <t>BA-6059</t>
  </si>
  <si>
    <t>BA-6060</t>
  </si>
  <si>
    <t>BA-6061</t>
  </si>
  <si>
    <t>BA-6062</t>
  </si>
  <si>
    <t>BA-6063</t>
  </si>
  <si>
    <t>BA-6064</t>
  </si>
  <si>
    <t>BA-6065</t>
  </si>
  <si>
    <t>BA-6066</t>
  </si>
  <si>
    <t>BA-6067</t>
  </si>
  <si>
    <t>BA-6068</t>
  </si>
  <si>
    <t>BA-6069</t>
  </si>
  <si>
    <t>BA-6070</t>
  </si>
  <si>
    <t>BA-6071</t>
  </si>
  <si>
    <t>BA-6072</t>
  </si>
  <si>
    <t>BA-6073</t>
  </si>
  <si>
    <t>BA-6074</t>
  </si>
  <si>
    <t>BA-6075</t>
  </si>
  <si>
    <t>BA-6076</t>
  </si>
  <si>
    <t>BA-6077</t>
  </si>
  <si>
    <t>BA-6078</t>
  </si>
  <si>
    <t>BA-6079</t>
  </si>
  <si>
    <t>BA-6080</t>
  </si>
  <si>
    <t>BA-6081</t>
  </si>
  <si>
    <t>BA-6082</t>
  </si>
  <si>
    <t>BA-6083</t>
  </si>
  <si>
    <t>BA-6084</t>
  </si>
  <si>
    <t>BA-6085</t>
  </si>
  <si>
    <t>BA-6086</t>
  </si>
  <si>
    <t>BA-6087</t>
  </si>
  <si>
    <t>BA-6088</t>
  </si>
  <si>
    <t>BA-6089</t>
  </si>
  <si>
    <t>BA-6090</t>
  </si>
  <si>
    <t>BA-6091</t>
  </si>
  <si>
    <t>BA-6092</t>
  </si>
  <si>
    <t>BA-6093</t>
  </si>
  <si>
    <t>BA-6094</t>
  </si>
  <si>
    <t>BA-6095</t>
  </si>
  <si>
    <t>BA-6096</t>
  </si>
  <si>
    <t>BA-6097</t>
  </si>
  <si>
    <t>BA-6098</t>
  </si>
  <si>
    <t>BA-6099</t>
  </si>
  <si>
    <t>BA-6100</t>
  </si>
  <si>
    <t>BA-6101</t>
  </si>
  <si>
    <t>BA-6102</t>
  </si>
  <si>
    <t>BA-6103</t>
  </si>
  <si>
    <t>BA-6104</t>
  </si>
  <si>
    <t>BA-6105</t>
  </si>
  <si>
    <t>BA-6106</t>
  </si>
  <si>
    <t>BA-6107</t>
  </si>
  <si>
    <t>BA-6108</t>
  </si>
  <si>
    <t>BA-6109</t>
  </si>
  <si>
    <t>BA-6110</t>
  </si>
  <si>
    <t>BA-6111</t>
  </si>
  <si>
    <t>BA-6112</t>
  </si>
  <si>
    <t>BA-6113</t>
  </si>
  <si>
    <t>BA-6114</t>
  </si>
  <si>
    <t>BA-6115</t>
  </si>
  <si>
    <t>BA-6116</t>
  </si>
  <si>
    <t>BA-6117</t>
  </si>
  <si>
    <t>BA-6118</t>
  </si>
  <si>
    <t>BA-6119</t>
  </si>
  <si>
    <t>BA-6120</t>
  </si>
  <si>
    <t>BA-6121</t>
  </si>
  <si>
    <t>BA-6122</t>
  </si>
  <si>
    <t>BA-6123</t>
  </si>
  <si>
    <t>BA-6124</t>
  </si>
  <si>
    <t>BA-6125</t>
  </si>
  <si>
    <t>BA-6126</t>
  </si>
  <si>
    <t>BA-6127</t>
  </si>
  <si>
    <t>BA-6128</t>
  </si>
  <si>
    <t>BA-6129</t>
  </si>
  <si>
    <t>BA-6130</t>
  </si>
  <si>
    <t>BA-6131</t>
  </si>
  <si>
    <t>BA-6132</t>
  </si>
  <si>
    <t>BA-6133</t>
  </si>
  <si>
    <t>BA-6134</t>
  </si>
  <si>
    <t>BA-6135</t>
  </si>
  <si>
    <t>BA-6136</t>
  </si>
  <si>
    <t>BA-6137</t>
  </si>
  <si>
    <t>BA-6138</t>
  </si>
  <si>
    <t>BA-6139</t>
  </si>
  <si>
    <t>BA-6140</t>
  </si>
  <si>
    <t>BA-6141</t>
  </si>
  <si>
    <t>BA-6142</t>
  </si>
  <si>
    <t>BA-6143</t>
  </si>
  <si>
    <t>BA-6144</t>
  </si>
  <si>
    <t>BA-6145</t>
  </si>
  <si>
    <t>BA-6146</t>
  </si>
  <si>
    <t>BA-6147</t>
  </si>
  <si>
    <t>BA-6148</t>
  </si>
  <si>
    <t>BA-6149</t>
  </si>
  <si>
    <t>BA-6150</t>
  </si>
  <si>
    <t>BA-6151</t>
  </si>
  <si>
    <t>BA-6152</t>
  </si>
  <si>
    <t>BA-6153</t>
  </si>
  <si>
    <t>BA-6154</t>
  </si>
  <si>
    <t>BA-6155</t>
  </si>
  <si>
    <t>BA-6156</t>
  </si>
  <si>
    <t>BA-6157</t>
  </si>
  <si>
    <t>BA-6158</t>
  </si>
  <si>
    <t>BA-6159</t>
  </si>
  <si>
    <t>BA-6160</t>
  </si>
  <si>
    <t>BA-6161</t>
  </si>
  <si>
    <t>BA-6162</t>
  </si>
  <si>
    <t>BA-6163</t>
  </si>
  <si>
    <t>BA-6164</t>
  </si>
  <si>
    <t>BA-6165</t>
  </si>
  <si>
    <t>BA-6166</t>
  </si>
  <si>
    <t>BA-6167</t>
  </si>
  <si>
    <t>BA-6168</t>
  </si>
  <si>
    <t>BA-6169</t>
  </si>
  <si>
    <t>BA-6170</t>
  </si>
  <si>
    <t>BA-6171</t>
  </si>
  <si>
    <t>BA-6172</t>
  </si>
  <si>
    <t>BA-6173</t>
  </si>
  <si>
    <t>BA-6174</t>
  </si>
  <si>
    <t>BA-6175</t>
  </si>
  <si>
    <t>BA-6176</t>
  </si>
  <si>
    <t>BA-6177</t>
  </si>
  <si>
    <t>BA-6178</t>
  </si>
  <si>
    <t>BA-6179</t>
  </si>
  <si>
    <t>BA-6180</t>
  </si>
  <si>
    <t>BA-6181</t>
  </si>
  <si>
    <t>BA-6182</t>
  </si>
  <si>
    <t>BA-6183</t>
  </si>
  <si>
    <t>BA-6184</t>
  </si>
  <si>
    <t>BA-6185</t>
  </si>
  <si>
    <t>BA-6186</t>
  </si>
  <si>
    <t>BA-6187</t>
  </si>
  <si>
    <t>BA-6188</t>
  </si>
  <si>
    <t>BA-6189</t>
  </si>
  <si>
    <t>BA-6190</t>
  </si>
  <si>
    <t>BA-6191</t>
  </si>
  <si>
    <t>BA-6192</t>
  </si>
  <si>
    <t>BA-6193</t>
  </si>
  <si>
    <t>BA-6194</t>
  </si>
  <si>
    <t>BA-6195</t>
  </si>
  <si>
    <t>BA-6196</t>
  </si>
  <si>
    <t>BA-6197</t>
  </si>
  <si>
    <t>BA-6198</t>
  </si>
  <si>
    <t>BA-6199</t>
  </si>
  <si>
    <t>BA-6200</t>
  </si>
  <si>
    <t>BA-6201</t>
  </si>
  <si>
    <t>BA-6202</t>
  </si>
  <si>
    <t>BA-6203</t>
  </si>
  <si>
    <t>BA-6204</t>
  </si>
  <si>
    <t>BA-6205</t>
  </si>
  <si>
    <t>BA-6206</t>
  </si>
  <si>
    <t>BA-6207</t>
  </si>
  <si>
    <t>BA-6208</t>
  </si>
  <si>
    <t>BA-6209</t>
  </si>
  <si>
    <t>BA-6210</t>
  </si>
  <si>
    <t>BA-6211</t>
  </si>
  <si>
    <t>BA-6212</t>
  </si>
  <si>
    <t>BA-6213</t>
  </si>
  <si>
    <t>BA-6214</t>
  </si>
  <si>
    <t>BA-6215</t>
  </si>
  <si>
    <t>BA-6216</t>
  </si>
  <si>
    <t>BA-6217</t>
  </si>
  <si>
    <t>BA-6218</t>
  </si>
  <si>
    <t>BA-6219</t>
  </si>
  <si>
    <t>BA-6220</t>
  </si>
  <si>
    <t>BA-6221</t>
  </si>
  <si>
    <t>BA-6222</t>
  </si>
  <si>
    <t>BA-6223</t>
  </si>
  <si>
    <t>BA-6224</t>
  </si>
  <si>
    <t>BA-6225</t>
  </si>
  <si>
    <t>BA-6226</t>
  </si>
  <si>
    <t>BA-6227</t>
  </si>
  <si>
    <t>BA-6228</t>
  </si>
  <si>
    <t>BA-6229</t>
  </si>
  <si>
    <t>BA-6230</t>
  </si>
  <si>
    <t>BA-6231</t>
  </si>
  <si>
    <t>BA-6232</t>
  </si>
  <si>
    <t>BA-6233</t>
  </si>
  <si>
    <t>BA-6234</t>
  </si>
  <si>
    <t>BA-6235</t>
  </si>
  <si>
    <t>BA-6236</t>
  </si>
  <si>
    <t>BA-6237</t>
  </si>
  <si>
    <t>BA-6238</t>
  </si>
  <si>
    <t>BA-6239</t>
  </si>
  <si>
    <t>BA-6240</t>
  </si>
  <si>
    <t>BA-6241</t>
  </si>
  <si>
    <t>BA-6242</t>
  </si>
  <si>
    <t>BA-6243</t>
  </si>
  <si>
    <t>BA-6244</t>
  </si>
  <si>
    <t>BA-6245</t>
  </si>
  <si>
    <t>BA-6246</t>
  </si>
  <si>
    <t>BA-6247</t>
  </si>
  <si>
    <t>BA-6248</t>
  </si>
  <si>
    <t>BA-6249</t>
  </si>
  <si>
    <t>BA-6250</t>
  </si>
  <si>
    <t>BA-6251</t>
  </si>
  <si>
    <t>BA-6252</t>
  </si>
  <si>
    <t>BA-6253</t>
  </si>
  <si>
    <t>BA-6254</t>
  </si>
  <si>
    <t>BA-6255</t>
  </si>
  <si>
    <t>BA-6256</t>
  </si>
  <si>
    <t>BA-6257</t>
  </si>
  <si>
    <t>BA-6258</t>
  </si>
  <si>
    <t>BA-6259</t>
  </si>
  <si>
    <t>BA-6260</t>
  </si>
  <si>
    <t>BA-6261</t>
  </si>
  <si>
    <t>BA-6262</t>
  </si>
  <si>
    <t>BA-6263</t>
  </si>
  <si>
    <t>BA-6264</t>
  </si>
  <si>
    <t>BA-6265</t>
  </si>
  <si>
    <t>BA-6266</t>
  </si>
  <si>
    <t>BA-6267</t>
  </si>
  <si>
    <t>BA-6268</t>
  </si>
  <si>
    <t>BA-6269</t>
  </si>
  <si>
    <t>BA-6270</t>
  </si>
  <si>
    <t>BA-6271</t>
  </si>
  <si>
    <t>BA-6272</t>
  </si>
  <si>
    <t>BA-6273</t>
  </si>
  <si>
    <t>BA-6274</t>
  </si>
  <si>
    <t>BA-6275</t>
  </si>
  <si>
    <t>BA-6276</t>
  </si>
  <si>
    <t>BA-6277</t>
  </si>
  <si>
    <t>BA-6278</t>
  </si>
  <si>
    <t>BA-6279</t>
  </si>
  <si>
    <t>BA-6280</t>
  </si>
  <si>
    <t>BA-6281</t>
  </si>
  <si>
    <t>BA-6282</t>
  </si>
  <si>
    <t>BA-6283</t>
  </si>
  <si>
    <t>BA-6284</t>
  </si>
  <si>
    <t>BA-6285</t>
  </si>
  <si>
    <t>BA-6286</t>
  </si>
  <si>
    <t>BA-6287</t>
  </si>
  <si>
    <t>BA-6288</t>
  </si>
  <si>
    <t>BA-6289</t>
  </si>
  <si>
    <t>BA-6290</t>
  </si>
  <si>
    <t>BA-6291</t>
  </si>
  <si>
    <t>BA-6292</t>
  </si>
  <si>
    <t>BA-6293</t>
  </si>
  <si>
    <t>BA-6294</t>
  </si>
  <si>
    <t>BA-6295</t>
  </si>
  <si>
    <t>BA-6296</t>
  </si>
  <si>
    <t>BA-6297</t>
  </si>
  <si>
    <t>BA-6298</t>
  </si>
  <si>
    <t>BA-6299</t>
  </si>
  <si>
    <t>BA-6300</t>
  </si>
  <si>
    <t>BA-6301</t>
  </si>
  <si>
    <t>BA-6302</t>
  </si>
  <si>
    <t>BA-6303</t>
  </si>
  <si>
    <t>BA-6304</t>
  </si>
  <si>
    <t>BA-6305</t>
  </si>
  <si>
    <t>BA-6306</t>
  </si>
  <si>
    <t>BA-6307</t>
  </si>
  <si>
    <t>BA-6308</t>
  </si>
  <si>
    <t>BA-6309</t>
  </si>
  <si>
    <t>BA-6310</t>
  </si>
  <si>
    <t>BA-6311</t>
  </si>
  <si>
    <t>BA-6312</t>
  </si>
  <si>
    <t>BA-6313</t>
  </si>
  <si>
    <t>BA-6314</t>
  </si>
  <si>
    <t>BA-6315</t>
  </si>
  <si>
    <t>BA-6316</t>
  </si>
  <si>
    <t>BA-6317</t>
  </si>
  <si>
    <t>BA-6318</t>
  </si>
  <si>
    <t>BA-6319</t>
  </si>
  <si>
    <t>BA-6320</t>
  </si>
  <si>
    <t>BA-6321</t>
  </si>
  <si>
    <t>BA-6322</t>
  </si>
  <si>
    <t>BA-6323</t>
  </si>
  <si>
    <t>BA-6324</t>
  </si>
  <si>
    <t>BA-6325</t>
  </si>
  <si>
    <t>BA-6326</t>
  </si>
  <si>
    <t>BA-6327</t>
  </si>
  <si>
    <t>BA-6328</t>
  </si>
  <si>
    <t>BA-6329</t>
  </si>
  <si>
    <t>BA-6330</t>
  </si>
  <si>
    <t>BA-6331</t>
  </si>
  <si>
    <t>BA-6332</t>
  </si>
  <si>
    <t>BA-6333</t>
  </si>
  <si>
    <t>BA-6334</t>
  </si>
  <si>
    <t>BA-6335</t>
  </si>
  <si>
    <t>BA-6336</t>
  </si>
  <si>
    <t>BA-6337</t>
  </si>
  <si>
    <t>BA-6338</t>
  </si>
  <si>
    <t>BA-6339</t>
  </si>
  <si>
    <t>BA-6340</t>
  </si>
  <si>
    <t>BA-6341</t>
  </si>
  <si>
    <t>BA-6342</t>
  </si>
  <si>
    <t>BA-6343</t>
  </si>
  <si>
    <t>BA-6344</t>
  </si>
  <si>
    <t>BA-6345</t>
  </si>
  <si>
    <t>BA-6346</t>
  </si>
  <si>
    <t>BA-6347</t>
  </si>
  <si>
    <t>BA-6348</t>
  </si>
  <si>
    <t>BA-6349</t>
  </si>
  <si>
    <t>BA-6350</t>
  </si>
  <si>
    <t>BA-6351</t>
  </si>
  <si>
    <t>BA-6352</t>
  </si>
  <si>
    <t>BA-6353</t>
  </si>
  <si>
    <t>BA-6354</t>
  </si>
  <si>
    <t>BA-6355</t>
  </si>
  <si>
    <t>BA-6356</t>
  </si>
  <si>
    <t>BA-6357</t>
  </si>
  <si>
    <t>BA-6358</t>
  </si>
  <si>
    <t>BA-6359</t>
  </si>
  <si>
    <t>BA-6360</t>
  </si>
  <si>
    <t>BA-6361</t>
  </si>
  <si>
    <t>BA-6362</t>
  </si>
  <si>
    <t>BA-6363</t>
  </si>
  <si>
    <t>BA-6364</t>
  </si>
  <si>
    <t>BA-6365</t>
  </si>
  <si>
    <t>BA-6366</t>
  </si>
  <si>
    <t>BA-6367</t>
  </si>
  <si>
    <t>BA-6368</t>
  </si>
  <si>
    <t>BA-6369</t>
  </si>
  <si>
    <t>BA-6370</t>
  </si>
  <si>
    <t>BA-6371</t>
  </si>
  <si>
    <t>BA-6372</t>
  </si>
  <si>
    <t>BA-6373</t>
  </si>
  <si>
    <t>BA-6374</t>
  </si>
  <si>
    <t>BA-6375</t>
  </si>
  <si>
    <t>BA-6376</t>
  </si>
  <si>
    <t>BA-6377</t>
  </si>
  <si>
    <t>BA-6378</t>
  </si>
  <si>
    <t>BA-6379</t>
  </si>
  <si>
    <t>BA-6380</t>
  </si>
  <si>
    <t>BA-6381</t>
  </si>
  <si>
    <t>BA-6382</t>
  </si>
  <si>
    <t>BA-6383</t>
  </si>
  <si>
    <t>BA-6384</t>
  </si>
  <si>
    <t>BA-6385</t>
  </si>
  <si>
    <t>BA-6386</t>
  </si>
  <si>
    <t>BA-6387</t>
  </si>
  <si>
    <t>BA-6388</t>
  </si>
  <si>
    <t>BA-6389</t>
  </si>
  <si>
    <t>BA-6390</t>
  </si>
  <si>
    <t>BA-6391</t>
  </si>
  <si>
    <t>BA-6392</t>
  </si>
  <si>
    <t>BA-6393</t>
  </si>
  <si>
    <t>BA-6394</t>
  </si>
  <si>
    <t>BA-6395</t>
  </si>
  <si>
    <t>BA-6396</t>
  </si>
  <si>
    <t>BA-6397</t>
  </si>
  <si>
    <t>BA-6398</t>
  </si>
  <si>
    <t>BA-6399</t>
  </si>
  <si>
    <t>BA-6400</t>
  </si>
  <si>
    <t>BA-6401</t>
  </si>
  <si>
    <t>BA-6402</t>
  </si>
  <si>
    <t>BA-6403</t>
  </si>
  <si>
    <t>BA-6404</t>
  </si>
  <si>
    <t>BA-6405</t>
  </si>
  <si>
    <t>BA-6406</t>
  </si>
  <si>
    <t>BA-6407</t>
  </si>
  <si>
    <t>BA-6408</t>
  </si>
  <si>
    <t>BA-6409</t>
  </si>
  <si>
    <t>BA-6410</t>
  </si>
  <si>
    <t>BA-6411</t>
  </si>
  <si>
    <t>BA-6412</t>
  </si>
  <si>
    <t>BA-6413</t>
  </si>
  <si>
    <t>BA-6414</t>
  </si>
  <si>
    <t>BA-6415</t>
  </si>
  <si>
    <t>BA-6416</t>
  </si>
  <si>
    <t>BA-6417</t>
  </si>
  <si>
    <t>BA-6418</t>
  </si>
  <si>
    <t>BA-6419</t>
  </si>
  <si>
    <t>BA-6420</t>
  </si>
  <si>
    <t>BA-6421</t>
  </si>
  <si>
    <t>BA-6422</t>
  </si>
  <si>
    <t>BA-6423</t>
  </si>
  <si>
    <t>BA-6424</t>
  </si>
  <si>
    <t>BA-6425</t>
  </si>
  <si>
    <t>BA-6426</t>
  </si>
  <si>
    <t>BA-6427</t>
  </si>
  <si>
    <t>BA-6428</t>
  </si>
  <si>
    <t>BA-6429</t>
  </si>
  <si>
    <t>BA-6430</t>
  </si>
  <si>
    <t>BA-6431</t>
  </si>
  <si>
    <t>BA-6432</t>
  </si>
  <si>
    <t>BA-6433</t>
  </si>
  <si>
    <t>BA-6434</t>
  </si>
  <si>
    <t>BA-6435</t>
  </si>
  <si>
    <t>BA-6436</t>
  </si>
  <si>
    <t>BA-6437</t>
  </si>
  <si>
    <t>BA-6438</t>
  </si>
  <si>
    <t>BA-6439</t>
  </si>
  <si>
    <t>BA-6440</t>
  </si>
  <si>
    <t>BA-6441</t>
  </si>
  <si>
    <t>BA-6442</t>
  </si>
  <si>
    <t>BA-6443</t>
  </si>
  <si>
    <t>BA-6444</t>
  </si>
  <si>
    <t>BA-6445</t>
  </si>
  <si>
    <t>BA-6446</t>
  </si>
  <si>
    <t>BA-6447</t>
  </si>
  <si>
    <t>BA-6448</t>
  </si>
  <si>
    <t>BA-6449</t>
  </si>
  <si>
    <t>BA-6450</t>
  </si>
  <si>
    <t>BA-6451</t>
  </si>
  <si>
    <t>BA-6452</t>
  </si>
  <si>
    <t>BA-6453</t>
  </si>
  <si>
    <t>BA-6454</t>
  </si>
  <si>
    <t>BA-6455</t>
  </si>
  <si>
    <t>BA-6456</t>
  </si>
  <si>
    <t>BA-6457</t>
  </si>
  <si>
    <t>BA-6458</t>
  </si>
  <si>
    <t>BA-6459</t>
  </si>
  <si>
    <t>BA-6460</t>
  </si>
  <si>
    <t>BA-6461</t>
  </si>
  <si>
    <t>BA-6462</t>
  </si>
  <si>
    <t>BA-6463</t>
  </si>
  <si>
    <t>BA-6464</t>
  </si>
  <si>
    <t>BA-6465</t>
  </si>
  <si>
    <t>BA-6466</t>
  </si>
  <si>
    <t>BA-6467</t>
  </si>
  <si>
    <t>BA-6468</t>
  </si>
  <si>
    <t>BA-6469</t>
  </si>
  <si>
    <t>BA-6470</t>
  </si>
  <si>
    <t>BA-6471</t>
  </si>
  <si>
    <t>BA-6472</t>
  </si>
  <si>
    <t>BA-6473</t>
  </si>
  <si>
    <t>BA-6474</t>
  </si>
  <si>
    <t>BA-6475</t>
  </si>
  <si>
    <t>BA-6476</t>
  </si>
  <si>
    <t>BA-6477</t>
  </si>
  <si>
    <t>BA-6478</t>
  </si>
  <si>
    <t>BA-6479</t>
  </si>
  <si>
    <t>BA-6480</t>
  </si>
  <si>
    <t>BA-6481</t>
  </si>
  <si>
    <t>BA-6482</t>
  </si>
  <si>
    <t>BA-6483</t>
  </si>
  <si>
    <t>BA-6484</t>
  </si>
  <si>
    <t>BA-6485</t>
  </si>
  <si>
    <t>BA-6486</t>
  </si>
  <si>
    <t>BA-6487</t>
  </si>
  <si>
    <t>BA-6488</t>
  </si>
  <si>
    <t>BA-6489</t>
  </si>
  <si>
    <t>BA-6490</t>
  </si>
  <si>
    <t>BA-6491</t>
  </si>
  <si>
    <t>BA-6492</t>
  </si>
  <si>
    <t>BA-6493</t>
  </si>
  <si>
    <t>BA-6494</t>
  </si>
  <si>
    <t>BA-6495</t>
  </si>
  <si>
    <t>BA-6496</t>
  </si>
  <si>
    <t>BA-6497</t>
  </si>
  <si>
    <t>BA-6498</t>
  </si>
  <si>
    <t>BA-6499</t>
  </si>
  <si>
    <t>BA-6500</t>
  </si>
  <si>
    <t>BA-6501</t>
  </si>
  <si>
    <t>BA-6502</t>
  </si>
  <si>
    <t>BA-6503</t>
  </si>
  <si>
    <t>BA-6504</t>
  </si>
  <si>
    <t>BA-6505</t>
  </si>
  <si>
    <t>BA-6506</t>
  </si>
  <si>
    <t>BA-6507</t>
  </si>
  <si>
    <t>BA-6508</t>
  </si>
  <si>
    <t>BA-6509</t>
  </si>
  <si>
    <t>BA-6510</t>
  </si>
  <si>
    <t>BA-6511</t>
  </si>
  <si>
    <t>BA-6512</t>
  </si>
  <si>
    <t>BA-6513</t>
  </si>
  <si>
    <t>BA-6514</t>
  </si>
  <si>
    <t>BA-6515</t>
  </si>
  <si>
    <t>BA-6516</t>
  </si>
  <si>
    <t>BA-6517</t>
  </si>
  <si>
    <t>BA-6518</t>
  </si>
  <si>
    <t>BA-6519</t>
  </si>
  <si>
    <t>BA-6520</t>
  </si>
  <si>
    <t>BA-6521</t>
  </si>
  <si>
    <t>BA-6522</t>
  </si>
  <si>
    <t>BA-6523</t>
  </si>
  <si>
    <t>BA-6524</t>
  </si>
  <si>
    <t>BA-6525</t>
  </si>
  <si>
    <t>BA-6526</t>
  </si>
  <si>
    <t>BA-6527</t>
  </si>
  <si>
    <t>BA-6528</t>
  </si>
  <si>
    <t>BA-6529</t>
  </si>
  <si>
    <t>BA-6530</t>
  </si>
  <si>
    <t>BA-6531</t>
  </si>
  <si>
    <t>BA-6532</t>
  </si>
  <si>
    <t>BA-6533</t>
  </si>
  <si>
    <t>BA-6534</t>
  </si>
  <si>
    <t>BA-6535</t>
  </si>
  <si>
    <t>BA-6536</t>
  </si>
  <si>
    <t>BA-6537</t>
  </si>
  <si>
    <t>BA-6538</t>
  </si>
  <si>
    <t>BA-6539</t>
  </si>
  <si>
    <t>BA-6540</t>
  </si>
  <si>
    <t>BA-6541</t>
  </si>
  <si>
    <t>BA-6542</t>
  </si>
  <si>
    <t>BA-6543</t>
  </si>
  <si>
    <t>BA-6544</t>
  </si>
  <si>
    <t>BA-6545</t>
  </si>
  <si>
    <t>BA-6546</t>
  </si>
  <si>
    <t>BA-6547</t>
  </si>
  <si>
    <t>BA-6548</t>
  </si>
  <si>
    <t>BA-6549</t>
  </si>
  <si>
    <t>BA-6550</t>
  </si>
  <si>
    <t>BA-6551</t>
  </si>
  <si>
    <t>BA-6552</t>
  </si>
  <si>
    <t>BA-6553</t>
  </si>
  <si>
    <t>BA-6554</t>
  </si>
  <si>
    <t>BA-6555</t>
  </si>
  <si>
    <t>BA-6556</t>
  </si>
  <si>
    <t>BA-6557</t>
  </si>
  <si>
    <t>BA-6558</t>
  </si>
  <si>
    <t>BA-6559</t>
  </si>
  <si>
    <t>BA-6560</t>
  </si>
  <si>
    <t>BA-6561</t>
  </si>
  <si>
    <t>BA-6562</t>
  </si>
  <si>
    <t>BA-6563</t>
  </si>
  <si>
    <t>BA-6564</t>
  </si>
  <si>
    <t>BA-6565</t>
  </si>
  <si>
    <t>BA-6566</t>
  </si>
  <si>
    <t>BA-6567</t>
  </si>
  <si>
    <t>BA-6568</t>
  </si>
  <si>
    <t>BA-6569</t>
  </si>
  <si>
    <t>BA-6570</t>
  </si>
  <si>
    <t>BA-6571</t>
  </si>
  <si>
    <t>BA-6572</t>
  </si>
  <si>
    <t>BA-6573</t>
  </si>
  <si>
    <t>BA-6574</t>
  </si>
  <si>
    <t>BA-6575</t>
  </si>
  <si>
    <t>BA-6576</t>
  </si>
  <si>
    <t>BA-6577</t>
  </si>
  <si>
    <t>BA-6578</t>
  </si>
  <si>
    <t>BA-6579</t>
  </si>
  <si>
    <t>BA-6580</t>
  </si>
  <si>
    <t>BA-6581</t>
  </si>
  <si>
    <t>BA-6582</t>
  </si>
  <si>
    <t>BA-6583</t>
  </si>
  <si>
    <t>BA-6584</t>
  </si>
  <si>
    <t>BA-6585</t>
  </si>
  <si>
    <t>BA-6586</t>
  </si>
  <si>
    <t>BA-6587</t>
  </si>
  <si>
    <t>BA-6588</t>
  </si>
  <si>
    <t>BA-6589</t>
  </si>
  <si>
    <t>BA-6590</t>
  </si>
  <si>
    <t>BA-6591</t>
  </si>
  <si>
    <t>BA-6592</t>
  </si>
  <si>
    <t>BA-6593</t>
  </si>
  <si>
    <t>BA-6594</t>
  </si>
  <si>
    <t>BA-6595</t>
  </si>
  <si>
    <t>BA-6596</t>
  </si>
  <si>
    <t>BA-6597</t>
  </si>
  <si>
    <t>BA-6598</t>
  </si>
  <si>
    <t>BA-6599</t>
  </si>
  <si>
    <t>BA-6600</t>
  </si>
  <si>
    <t>BA-6601</t>
  </si>
  <si>
    <t>BA-6602</t>
  </si>
  <si>
    <t>BA-6603</t>
  </si>
  <si>
    <t>BA-6604</t>
  </si>
  <si>
    <t>BA-6605</t>
  </si>
  <si>
    <t>BA-6606</t>
  </si>
  <si>
    <t>BA-6607</t>
  </si>
  <si>
    <t>BA-6608</t>
  </si>
  <si>
    <t>BA-6609</t>
  </si>
  <si>
    <t>BA-6610</t>
  </si>
  <si>
    <t>BA-6611</t>
  </si>
  <si>
    <t>BA-6612</t>
  </si>
  <si>
    <t>BA-6613</t>
  </si>
  <si>
    <t>BA-6614</t>
  </si>
  <si>
    <t>BA-6615</t>
  </si>
  <si>
    <t>BA-6616</t>
  </si>
  <si>
    <t>BA-6617</t>
  </si>
  <si>
    <t>BA-6618</t>
  </si>
  <si>
    <t>BA-6619</t>
  </si>
  <si>
    <t>BA-6620</t>
  </si>
  <si>
    <t>BA-6621</t>
  </si>
  <si>
    <t>BA-6622</t>
  </si>
  <si>
    <t>BA-6623</t>
  </si>
  <si>
    <t>BA-6624</t>
  </si>
  <si>
    <t>BA-6625</t>
  </si>
  <si>
    <t>BA-6626</t>
  </si>
  <si>
    <t>BA-6627</t>
  </si>
  <si>
    <t>BA-6628</t>
  </si>
  <si>
    <t>BA-6629</t>
  </si>
  <si>
    <t>BA-6630</t>
  </si>
  <si>
    <t>BA-6631</t>
  </si>
  <si>
    <t>BA-6632</t>
  </si>
  <si>
    <t>BA-6633</t>
  </si>
  <si>
    <t>BA-6634</t>
  </si>
  <si>
    <t>BA-6635</t>
  </si>
  <si>
    <t>BA-6636</t>
  </si>
  <si>
    <t>BA-6637</t>
  </si>
  <si>
    <t>BA-6638</t>
  </si>
  <si>
    <t>BA-6639</t>
  </si>
  <si>
    <t>BA-6640</t>
  </si>
  <si>
    <t>BA-6641</t>
  </si>
  <si>
    <t>BA-6642</t>
  </si>
  <si>
    <t>BA-6643</t>
  </si>
  <si>
    <t>BA-6644</t>
  </si>
  <si>
    <t>BA-6645</t>
  </si>
  <si>
    <t>BA-6646</t>
  </si>
  <si>
    <t>BA-6647</t>
  </si>
  <si>
    <t>BA-6648</t>
  </si>
  <si>
    <t>BA-6649</t>
  </si>
  <si>
    <t>BA-6650</t>
  </si>
  <si>
    <t>BA-6651</t>
  </si>
  <si>
    <t>BA-6652</t>
  </si>
  <si>
    <t>BA-6653</t>
  </si>
  <si>
    <t>BA-6654</t>
  </si>
  <si>
    <t>BA-6655</t>
  </si>
  <si>
    <t>BA-6656</t>
  </si>
  <si>
    <t>BA-6657</t>
  </si>
  <si>
    <t>BA-6658</t>
  </si>
  <si>
    <t>BA-6659</t>
  </si>
  <si>
    <t>BA-6660</t>
  </si>
  <si>
    <t>BA-6661</t>
  </si>
  <si>
    <t>BA-6662</t>
  </si>
  <si>
    <t>BA-6663</t>
  </si>
  <si>
    <t>BA-6664</t>
  </si>
  <si>
    <t>BA-6665</t>
  </si>
  <si>
    <t>BA-6666</t>
  </si>
  <si>
    <t>BA-6667</t>
  </si>
  <si>
    <t>BA-6668</t>
  </si>
  <si>
    <t>BA-6669</t>
  </si>
  <si>
    <t>BA-6670</t>
  </si>
  <si>
    <t>BA-6671</t>
  </si>
  <si>
    <t>BA-6672</t>
  </si>
  <si>
    <t>BA-6673</t>
  </si>
  <si>
    <t>BA-6674</t>
  </si>
  <si>
    <t>BA-6675</t>
  </si>
  <si>
    <t>BA-6676</t>
  </si>
  <si>
    <t>BA-6677</t>
  </si>
  <si>
    <t>BA-6678</t>
  </si>
  <si>
    <t>BA-6679</t>
  </si>
  <si>
    <t>BA-6680</t>
  </si>
  <si>
    <t>BA-6681</t>
  </si>
  <si>
    <t>BA-6682</t>
  </si>
  <si>
    <t>BA-6683</t>
  </si>
  <si>
    <t>BA-6684</t>
  </si>
  <si>
    <t>BA-6685</t>
  </si>
  <si>
    <t>BA-6686</t>
  </si>
  <si>
    <t>BA-6687</t>
  </si>
  <si>
    <t>BA-6688</t>
  </si>
  <si>
    <t>BA-6689</t>
  </si>
  <si>
    <t>BA-6690</t>
  </si>
  <si>
    <t>BA-6691</t>
  </si>
  <si>
    <t>BA-6692</t>
  </si>
  <si>
    <t>BA-6693</t>
  </si>
  <si>
    <t>BA-6694</t>
  </si>
  <si>
    <t>BA-6695</t>
  </si>
  <si>
    <t>BA-6696</t>
  </si>
  <si>
    <t>BA-6697</t>
  </si>
  <si>
    <t>BA-6698</t>
  </si>
  <si>
    <t>BA-6699</t>
  </si>
  <si>
    <t>BA-6700</t>
  </si>
  <si>
    <t>BA-6701</t>
  </si>
  <si>
    <t>BA-6702</t>
  </si>
  <si>
    <t>BA-6703</t>
  </si>
  <si>
    <t>BA-6704</t>
  </si>
  <si>
    <t>BA-6705</t>
  </si>
  <si>
    <t>BA-6706</t>
  </si>
  <si>
    <t>BA-6707</t>
  </si>
  <si>
    <t>BA-6708</t>
  </si>
  <si>
    <t>BA-6709</t>
  </si>
  <si>
    <t>BA-6710</t>
  </si>
  <si>
    <t>BA-6711</t>
  </si>
  <si>
    <t>BA-6712</t>
  </si>
  <si>
    <t>BA-6713</t>
  </si>
  <si>
    <t>BA-6714</t>
  </si>
  <si>
    <t>BA-6715</t>
  </si>
  <si>
    <t>BA-6716</t>
  </si>
  <si>
    <t>BA-6717</t>
  </si>
  <si>
    <t>BA-6718</t>
  </si>
  <si>
    <t>BA-6719</t>
  </si>
  <si>
    <t>BA-6720</t>
  </si>
  <si>
    <t>BA-6721</t>
  </si>
  <si>
    <t>BA-6722</t>
  </si>
  <si>
    <t>BA-6723</t>
  </si>
  <si>
    <t>BA-6724</t>
  </si>
  <si>
    <t>BA-6725</t>
  </si>
  <si>
    <t>BA-6726</t>
  </si>
  <si>
    <t>BA-6727</t>
  </si>
  <si>
    <t>BA-6728</t>
  </si>
  <si>
    <t>BA-6729</t>
  </si>
  <si>
    <t>BA-6730</t>
  </si>
  <si>
    <t>BA-6731</t>
  </si>
  <si>
    <t>BA-6732</t>
  </si>
  <si>
    <t>BA-6733</t>
  </si>
  <si>
    <t>BA-6734</t>
  </si>
  <si>
    <t>BA-6735</t>
  </si>
  <si>
    <t>BA-6736</t>
  </si>
  <si>
    <t>BA-6737</t>
  </si>
  <si>
    <t>BA-6738</t>
  </si>
  <si>
    <t>BA-6739</t>
  </si>
  <si>
    <t>BA-6740</t>
  </si>
  <si>
    <t>BA-6741</t>
  </si>
  <si>
    <t>BA-6742</t>
  </si>
  <si>
    <t>BA-6743</t>
  </si>
  <si>
    <t>BA-6744</t>
  </si>
  <si>
    <t>BA-6745</t>
  </si>
  <si>
    <t>BA-6746</t>
  </si>
  <si>
    <t>BA-6747</t>
  </si>
  <si>
    <t>BA-6748</t>
  </si>
  <si>
    <t>BA-6749</t>
  </si>
  <si>
    <t>BA-6750</t>
  </si>
  <si>
    <t>BA-6751</t>
  </si>
  <si>
    <t>BA-6752</t>
  </si>
  <si>
    <t>BA-6753</t>
  </si>
  <si>
    <t>BA-6754</t>
  </si>
  <si>
    <t>BA-6755</t>
  </si>
  <si>
    <t>BA-6756</t>
  </si>
  <si>
    <t>BA-6757</t>
  </si>
  <si>
    <t>BA-6758</t>
  </si>
  <si>
    <t>BA-6759</t>
  </si>
  <si>
    <t>BA-6760</t>
  </si>
  <si>
    <t>BA-6761</t>
  </si>
  <si>
    <t>BA-6762</t>
  </si>
  <si>
    <t>BA-6763</t>
  </si>
  <si>
    <t>BA-6764</t>
  </si>
  <si>
    <t>BA-6765</t>
  </si>
  <si>
    <t>BA-6766</t>
  </si>
  <si>
    <t>BA-6767</t>
  </si>
  <si>
    <t>BA-6768</t>
  </si>
  <si>
    <t>BA-6769</t>
  </si>
  <si>
    <t>BA-6770</t>
  </si>
  <si>
    <t>BA-6771</t>
  </si>
  <si>
    <t>BA-6772</t>
  </si>
  <si>
    <t>BA-6773</t>
  </si>
  <si>
    <t>BA-6774</t>
  </si>
  <si>
    <t>BA-6775</t>
  </si>
  <si>
    <t>BA-6776</t>
  </si>
  <si>
    <t>BA-6777</t>
  </si>
  <si>
    <t>BA-6778</t>
  </si>
  <si>
    <t>BA-6779</t>
  </si>
  <si>
    <t>BA-6780</t>
  </si>
  <si>
    <t>BA-6781</t>
  </si>
  <si>
    <t>BA-6782</t>
  </si>
  <si>
    <t>BA-6783</t>
  </si>
  <si>
    <t>BA-6784</t>
  </si>
  <si>
    <t>BA-6785</t>
  </si>
  <si>
    <t>BA-6786</t>
  </si>
  <si>
    <t>BA-6787</t>
  </si>
  <si>
    <t>BA-6788</t>
  </si>
  <si>
    <t>BA-6789</t>
  </si>
  <si>
    <t>BA-6790</t>
  </si>
  <si>
    <t>BA-6791</t>
  </si>
  <si>
    <t>BA-6792</t>
  </si>
  <si>
    <t>BA-6793</t>
  </si>
  <si>
    <t>BA-6794</t>
  </si>
  <si>
    <t>BA-6795</t>
  </si>
  <si>
    <t>BA-6796</t>
  </si>
  <si>
    <t>BA-6797</t>
  </si>
  <si>
    <t>BA-6798</t>
  </si>
  <si>
    <t>BA-6799</t>
  </si>
  <si>
    <t>BA-6800</t>
  </si>
  <si>
    <t>BA-6801</t>
  </si>
  <si>
    <t>BA-6802</t>
  </si>
  <si>
    <t>BA-6803</t>
  </si>
  <si>
    <t>BA-6804</t>
  </si>
  <si>
    <t>BA-6805</t>
  </si>
  <si>
    <t>BA-6806</t>
  </si>
  <si>
    <t>BA-6807</t>
  </si>
  <si>
    <t>BA-6808</t>
  </si>
  <si>
    <t>BA-6809</t>
  </si>
  <si>
    <t>BA-6810</t>
  </si>
  <si>
    <t>BA-6811</t>
  </si>
  <si>
    <t>BA-6812</t>
  </si>
  <si>
    <t>BA-6813</t>
  </si>
  <si>
    <t>BA-6814</t>
  </si>
  <si>
    <t>BA-6815</t>
  </si>
  <si>
    <t>BA-6816</t>
  </si>
  <si>
    <t>BA-6817</t>
  </si>
  <si>
    <t>BA-6818</t>
  </si>
  <si>
    <t>BA-6819</t>
  </si>
  <si>
    <t>BA-6820</t>
  </si>
  <si>
    <t>BA-6821</t>
  </si>
  <si>
    <t>BA-6822</t>
  </si>
  <si>
    <t>BA-6823</t>
  </si>
  <si>
    <t>BA-6824</t>
  </si>
  <si>
    <t>BA-6825</t>
  </si>
  <si>
    <t>BA-6826</t>
  </si>
  <si>
    <t>BA-6827</t>
  </si>
  <si>
    <t>BA-6828</t>
  </si>
  <si>
    <t>BA-6829</t>
  </si>
  <si>
    <t>BA-6830</t>
  </si>
  <si>
    <t>BA-6831</t>
  </si>
  <si>
    <t>BA-6832</t>
  </si>
  <si>
    <t>BA-6833</t>
  </si>
  <si>
    <t>BA-6834</t>
  </si>
  <si>
    <t>BA-6835</t>
  </si>
  <si>
    <t>BA-6836</t>
  </si>
  <si>
    <t>BA-6837</t>
  </si>
  <si>
    <t>BA-6838</t>
  </si>
  <si>
    <t>BA-6839</t>
  </si>
  <si>
    <t>BA-6840</t>
  </si>
  <si>
    <t>BA-6841</t>
  </si>
  <si>
    <t>BA-6842</t>
  </si>
  <si>
    <t>BA-6843</t>
  </si>
  <si>
    <t>BA-6844</t>
  </si>
  <si>
    <t>BA-6845</t>
  </si>
  <si>
    <t>BA-6846</t>
  </si>
  <si>
    <t>BA-6847</t>
  </si>
  <si>
    <t>BA-6848</t>
  </si>
  <si>
    <t>BA-6849</t>
  </si>
  <si>
    <t>BA-6850</t>
  </si>
  <si>
    <t>BA-6851</t>
  </si>
  <si>
    <t>BA-6852</t>
  </si>
  <si>
    <t>BA-6853</t>
  </si>
  <si>
    <t>BA-6854</t>
  </si>
  <si>
    <t>BA-6855</t>
  </si>
  <si>
    <t>BA-6856</t>
  </si>
  <si>
    <t>BA-6857</t>
  </si>
  <si>
    <t>BA-6858</t>
  </si>
  <si>
    <t>BA-6859</t>
  </si>
  <si>
    <t>BA-6860</t>
  </si>
  <si>
    <t>BA-6861</t>
  </si>
  <si>
    <t>BA-6862</t>
  </si>
  <si>
    <t>BA-6863</t>
  </si>
  <si>
    <t>BA-6864</t>
  </si>
  <si>
    <t>BA-6865</t>
  </si>
  <si>
    <t>BA-6866</t>
  </si>
  <si>
    <t>BA-6867</t>
  </si>
  <si>
    <t>BA-6868</t>
  </si>
  <si>
    <t>BA-6869</t>
  </si>
  <si>
    <t>BA-6870</t>
  </si>
  <si>
    <t>BA-6871</t>
  </si>
  <si>
    <t>BA-6872</t>
  </si>
  <si>
    <t>BA-6873</t>
  </si>
  <si>
    <t>BA-6874</t>
  </si>
  <si>
    <t>BA-6875</t>
  </si>
  <si>
    <t>BA-6876</t>
  </si>
  <si>
    <t>BA-6877</t>
  </si>
  <si>
    <t>BA-6878</t>
  </si>
  <si>
    <t>BA-6879</t>
  </si>
  <si>
    <t>BA-6880</t>
  </si>
  <si>
    <t>BA-6881</t>
  </si>
  <si>
    <t>BA-6882</t>
  </si>
  <si>
    <t>BA-6883</t>
  </si>
  <si>
    <t>BA-6884</t>
  </si>
  <si>
    <t>BA-6885</t>
  </si>
  <si>
    <t>BA-6886</t>
  </si>
  <si>
    <t>BA-6887</t>
  </si>
  <si>
    <t>BA-6888</t>
  </si>
  <si>
    <t>BA-6889</t>
  </si>
  <si>
    <t>BA-6890</t>
  </si>
  <si>
    <t>BA-6891</t>
  </si>
  <si>
    <t>BA-6892</t>
  </si>
  <si>
    <t>BA-6893</t>
  </si>
  <si>
    <t>BA-6894</t>
  </si>
  <si>
    <t>BA-6895</t>
  </si>
  <si>
    <t>BA-6896</t>
  </si>
  <si>
    <t>BA-6897</t>
  </si>
  <si>
    <t>BA-6898</t>
  </si>
  <si>
    <t>BA-6899</t>
  </si>
  <si>
    <t>BA-6900</t>
  </si>
  <si>
    <t>BA-6901</t>
  </si>
  <si>
    <t>BA-6902</t>
  </si>
  <si>
    <t>BA-6903</t>
  </si>
  <si>
    <t>BA-6904</t>
  </si>
  <si>
    <t>BA-6905</t>
  </si>
  <si>
    <t>BA-6906</t>
  </si>
  <si>
    <t>BA-6907</t>
  </si>
  <si>
    <t>BA-6908</t>
  </si>
  <si>
    <t>BA-6909</t>
  </si>
  <si>
    <t>BA-6910</t>
  </si>
  <si>
    <t>BA-6911</t>
  </si>
  <si>
    <t>BA-6912</t>
  </si>
  <si>
    <t>BA-6913</t>
  </si>
  <si>
    <t>BA-6914</t>
  </si>
  <si>
    <t>BA-6915</t>
  </si>
  <si>
    <t>BA-6916</t>
  </si>
  <si>
    <t>BA-6917</t>
  </si>
  <si>
    <t>BA-6918</t>
  </si>
  <si>
    <t>BA-6919</t>
  </si>
  <si>
    <t>BA-6920</t>
  </si>
  <si>
    <t>BA-6921</t>
  </si>
  <si>
    <t>BA-6922</t>
  </si>
  <si>
    <t>BA-6923</t>
  </si>
  <si>
    <t>BA-6924</t>
  </si>
  <si>
    <t>BA-6925</t>
  </si>
  <si>
    <t>BA-6926</t>
  </si>
  <si>
    <t>BA-6927</t>
  </si>
  <si>
    <t>BA-6928</t>
  </si>
  <si>
    <t>BA-6929</t>
  </si>
  <si>
    <t>BA-6930</t>
  </si>
  <si>
    <t>BA-6931</t>
  </si>
  <si>
    <t>BA-6932</t>
  </si>
  <si>
    <t>BA-6933</t>
  </si>
  <si>
    <t>BA-6934</t>
  </si>
  <si>
    <t>BA-6935</t>
  </si>
  <si>
    <t>BA-6936</t>
  </si>
  <si>
    <t>BA-6937</t>
  </si>
  <si>
    <t>BA-6938</t>
  </si>
  <si>
    <t>BA-6939</t>
  </si>
  <si>
    <t>BA-6940</t>
  </si>
  <si>
    <t>BA-6941</t>
  </si>
  <si>
    <t>BA-6942</t>
  </si>
  <si>
    <t>BA-6943</t>
  </si>
  <si>
    <t>BA-6944</t>
  </si>
  <si>
    <t>BA-6945</t>
  </si>
  <si>
    <t>BA-6946</t>
  </si>
  <si>
    <t>BA-6947</t>
  </si>
  <si>
    <t>BA-6948</t>
  </si>
  <si>
    <t>BA-6949</t>
  </si>
  <si>
    <t>BA-6950</t>
  </si>
  <si>
    <t>BA-6951</t>
  </si>
  <si>
    <t>BA-6952</t>
  </si>
  <si>
    <t>BA-6953</t>
  </si>
  <si>
    <t>BA-6954</t>
  </si>
  <si>
    <t>BA-6955</t>
  </si>
  <si>
    <t>BA-6956</t>
  </si>
  <si>
    <t>BA-6957</t>
  </si>
  <si>
    <t>BA-6958</t>
  </si>
  <si>
    <t>BA-6959</t>
  </si>
  <si>
    <t>BA-6960</t>
  </si>
  <si>
    <t>BA-6961</t>
  </si>
  <si>
    <t>BA-6962</t>
  </si>
  <si>
    <t>BA-6963</t>
  </si>
  <si>
    <t>BA-6964</t>
  </si>
  <si>
    <t>BA-6965</t>
  </si>
  <si>
    <t>BA-6966</t>
  </si>
  <si>
    <t>BA-6967</t>
  </si>
  <si>
    <t>BA-6968</t>
  </si>
  <si>
    <t>BA-6969</t>
  </si>
  <si>
    <t>BA-6970</t>
  </si>
  <si>
    <t>BA-6971</t>
  </si>
  <si>
    <t>BA-6972</t>
  </si>
  <si>
    <t>BA-6973</t>
  </si>
  <si>
    <t>BA-6974</t>
  </si>
  <si>
    <t>BA-6975</t>
  </si>
  <si>
    <t>BA-6976</t>
  </si>
  <si>
    <t>BA-6977</t>
  </si>
  <si>
    <t>BA-6978</t>
  </si>
  <si>
    <t>BA-6979</t>
  </si>
  <si>
    <t>BA-6980</t>
  </si>
  <si>
    <t>BA-6981</t>
  </si>
  <si>
    <t>BA-6982</t>
  </si>
  <si>
    <t>BA-6983</t>
  </si>
  <si>
    <t>BA-6984</t>
  </si>
  <si>
    <t>BA-6985</t>
  </si>
  <si>
    <t>BA-6986</t>
  </si>
  <si>
    <t>BA-6987</t>
  </si>
  <si>
    <t>BA-6988</t>
  </si>
  <si>
    <t>BA-6989</t>
  </si>
  <si>
    <t>BA-6990</t>
  </si>
  <si>
    <t>BA-6991</t>
  </si>
  <si>
    <t>BA-6992</t>
  </si>
  <si>
    <t>BA-6993</t>
  </si>
  <si>
    <t>BA-6994</t>
  </si>
  <si>
    <t>BA-6995</t>
  </si>
  <si>
    <t>BA-6996</t>
  </si>
  <si>
    <t>BA-6997</t>
  </si>
  <si>
    <t>BA-6998</t>
  </si>
  <si>
    <t>BA-6999</t>
  </si>
  <si>
    <t>BA-7000</t>
  </si>
  <si>
    <t>BA-7001</t>
  </si>
  <si>
    <t>BA-7002</t>
  </si>
  <si>
    <t>BA-7003</t>
  </si>
  <si>
    <t>BA-7004</t>
  </si>
  <si>
    <t>BA-7005</t>
  </si>
  <si>
    <t>BA-7006</t>
  </si>
  <si>
    <t>BA-7007</t>
  </si>
  <si>
    <t>BA-7008</t>
  </si>
  <si>
    <t>BA-7009</t>
  </si>
  <si>
    <t>BA-7010</t>
  </si>
  <si>
    <t>BA-7011</t>
  </si>
  <si>
    <t>BA-7012</t>
  </si>
  <si>
    <t>BA-7013</t>
  </si>
  <si>
    <t>BA-7014</t>
  </si>
  <si>
    <t>BA-7015</t>
  </si>
  <si>
    <t>BA-7016</t>
  </si>
  <si>
    <t>BA-7017</t>
  </si>
  <si>
    <t>BA-7018</t>
  </si>
  <si>
    <t>BA-7019</t>
  </si>
  <si>
    <t>BA-7020</t>
  </si>
  <si>
    <t>BA-7021</t>
  </si>
  <si>
    <t>BA-7022</t>
  </si>
  <si>
    <t>BA-7023</t>
  </si>
  <si>
    <t>BA-7024</t>
  </si>
  <si>
    <t>BA-7025</t>
  </si>
  <si>
    <t>BA-7026</t>
  </si>
  <si>
    <t>BA-7027</t>
  </si>
  <si>
    <t>BA-7028</t>
  </si>
  <si>
    <t>BA-7029</t>
  </si>
  <si>
    <t>BA-7030</t>
  </si>
  <si>
    <t>BA-7031</t>
  </si>
  <si>
    <t>BA-7032</t>
  </si>
  <si>
    <t>BA-7033</t>
  </si>
  <si>
    <t>BA-7034</t>
  </si>
  <si>
    <t>BA-7035</t>
  </si>
  <si>
    <t>BA-7036</t>
  </si>
  <si>
    <t>BA-7037</t>
  </si>
  <si>
    <t>BA-7038</t>
  </si>
  <si>
    <t>BA-7039</t>
  </si>
  <si>
    <t>BA-7040</t>
  </si>
  <si>
    <t>BA-7041</t>
  </si>
  <si>
    <t>BA-7042</t>
  </si>
  <si>
    <t>BA-7043</t>
  </si>
  <si>
    <t>BA-7044</t>
  </si>
  <si>
    <t>BA-7045</t>
  </si>
  <si>
    <t>BA-7046</t>
  </si>
  <si>
    <t>BA-7047</t>
  </si>
  <si>
    <t>BA-7048</t>
  </si>
  <si>
    <t>BA-7049</t>
  </si>
  <si>
    <t>BA-7050</t>
  </si>
  <si>
    <t>BA-7051</t>
  </si>
  <si>
    <t>BA-7052</t>
  </si>
  <si>
    <t>BA-7053</t>
  </si>
  <si>
    <t>BA-7054</t>
  </si>
  <si>
    <t>BA-7055</t>
  </si>
  <si>
    <t>BA-7056</t>
  </si>
  <si>
    <t>BA-7057</t>
  </si>
  <si>
    <t>BA-7058</t>
  </si>
  <si>
    <t>BA-7059</t>
  </si>
  <si>
    <t>BA-7060</t>
  </si>
  <si>
    <t>BA-7061</t>
  </si>
  <si>
    <t>BA-7062</t>
  </si>
  <si>
    <t>BA-7063</t>
  </si>
  <si>
    <t>BA-7064</t>
  </si>
  <si>
    <t>BA-7065</t>
  </si>
  <si>
    <t>BA-7066</t>
  </si>
  <si>
    <t>BA-7067</t>
  </si>
  <si>
    <t>BA-7068</t>
  </si>
  <si>
    <t>BA-7069</t>
  </si>
  <si>
    <t>BA-7070</t>
  </si>
  <si>
    <t>BA-7071</t>
  </si>
  <si>
    <t>BA-7072</t>
  </si>
  <si>
    <t>BA-7073</t>
  </si>
  <si>
    <t>BA-7074</t>
  </si>
  <si>
    <t>BA-7075</t>
  </si>
  <si>
    <t>BA-7076</t>
  </si>
  <si>
    <t>BA-7077</t>
  </si>
  <si>
    <t>BA-7078</t>
  </si>
  <si>
    <t>BA-7079</t>
  </si>
  <si>
    <t>BA-7080</t>
  </si>
  <si>
    <t>BA-7081</t>
  </si>
  <si>
    <t>BA-7082</t>
  </si>
  <si>
    <t>BA-7083</t>
  </si>
  <si>
    <t>BA-7084</t>
  </si>
  <si>
    <t>BA-7085</t>
  </si>
  <si>
    <t>BA-7086</t>
  </si>
  <si>
    <t>BA-7087</t>
  </si>
  <si>
    <t>BA-7088</t>
  </si>
  <si>
    <t>BA-7089</t>
  </si>
  <si>
    <t>BA-7090</t>
  </si>
  <si>
    <t>BA-7091</t>
  </si>
  <si>
    <t>BA-7092</t>
  </si>
  <si>
    <t>BA-7093</t>
  </si>
  <si>
    <t>BA-7094</t>
  </si>
  <si>
    <t>BA-7095</t>
  </si>
  <si>
    <t>BA-7096</t>
  </si>
  <si>
    <t>BA-7097</t>
  </si>
  <si>
    <t>BA-7098</t>
  </si>
  <si>
    <t>BA-7099</t>
  </si>
  <si>
    <t>BA-7100</t>
  </si>
  <si>
    <t>BA-7101</t>
  </si>
  <si>
    <t>BA-7102</t>
  </si>
  <si>
    <t>BA-7103</t>
  </si>
  <si>
    <t>BA-7104</t>
  </si>
  <si>
    <t>BA-7105</t>
  </si>
  <si>
    <t>BA-7106</t>
  </si>
  <si>
    <t>BA-7107</t>
  </si>
  <si>
    <t>BA-7108</t>
  </si>
  <si>
    <t>BA-7109</t>
  </si>
  <si>
    <t>BA-7110</t>
  </si>
  <si>
    <t>BA-7111</t>
  </si>
  <si>
    <t>BA-7112</t>
  </si>
  <si>
    <t>BA-7113</t>
  </si>
  <si>
    <t>BA-7114</t>
  </si>
  <si>
    <t>BA-7115</t>
  </si>
  <si>
    <t>BA-7116</t>
  </si>
  <si>
    <t>BA-7117</t>
  </si>
  <si>
    <t>BA-7118</t>
  </si>
  <si>
    <t>BA-7119</t>
  </si>
  <si>
    <t>BA-7120</t>
  </si>
  <si>
    <t>BA-7121</t>
  </si>
  <si>
    <t>BA-7122</t>
  </si>
  <si>
    <t>BA-7123</t>
  </si>
  <si>
    <t>BA-7124</t>
  </si>
  <si>
    <t>BA-7125</t>
  </si>
  <si>
    <t>BA-7126</t>
  </si>
  <si>
    <t>BA-7127</t>
  </si>
  <si>
    <t>BA-7128</t>
  </si>
  <si>
    <t>BA-7129</t>
  </si>
  <si>
    <t>BA-7130</t>
  </si>
  <si>
    <t>BA-7131</t>
  </si>
  <si>
    <t>BA-7132</t>
  </si>
  <si>
    <t>BA-7133</t>
  </si>
  <si>
    <t>BA-7134</t>
  </si>
  <si>
    <t>BA-7135</t>
  </si>
  <si>
    <t>BA-7136</t>
  </si>
  <si>
    <t>BA-7137</t>
  </si>
  <si>
    <t>BA-7138</t>
  </si>
  <si>
    <t>BA-7139</t>
  </si>
  <si>
    <t>BA-7140</t>
  </si>
  <si>
    <t>BA-7141</t>
  </si>
  <si>
    <t>BA-7142</t>
  </si>
  <si>
    <t>BA-7143</t>
  </si>
  <si>
    <t>BA-7144</t>
  </si>
  <si>
    <t>BA-7145</t>
  </si>
  <si>
    <t>BA-7146</t>
  </si>
  <si>
    <t>BA-7147</t>
  </si>
  <si>
    <t>BA-7148</t>
  </si>
  <si>
    <t>BA-7149</t>
  </si>
  <si>
    <t>BA-7150</t>
  </si>
  <si>
    <t>BA-7151</t>
  </si>
  <si>
    <t>BA-7152</t>
  </si>
  <si>
    <t>BA-7153</t>
  </si>
  <si>
    <t>BA-7154</t>
  </si>
  <si>
    <t>BA-7155</t>
  </si>
  <si>
    <t>BA-7156</t>
  </si>
  <si>
    <t>BA-7157</t>
  </si>
  <si>
    <t>BA-7158</t>
  </si>
  <si>
    <t>BA-7159</t>
  </si>
  <si>
    <t>BA-7160</t>
  </si>
  <si>
    <t>BA-7161</t>
  </si>
  <si>
    <t>BA-7162</t>
  </si>
  <si>
    <t>BA-7163</t>
  </si>
  <si>
    <t>BA-7164</t>
  </si>
  <si>
    <t>BA-7165</t>
  </si>
  <si>
    <t>BA-7166</t>
  </si>
  <si>
    <t>BA-7167</t>
  </si>
  <si>
    <t>BA-7168</t>
  </si>
  <si>
    <t>BA-7169</t>
  </si>
  <si>
    <t>BA-7170</t>
  </si>
  <si>
    <t>BA-7171</t>
  </si>
  <si>
    <t>BA-7172</t>
  </si>
  <si>
    <t>BA-7173</t>
  </si>
  <si>
    <t>BA-7174</t>
  </si>
  <si>
    <t>BA-7175</t>
  </si>
  <si>
    <t>BA-7176</t>
  </si>
  <si>
    <t>BA-7177</t>
  </si>
  <si>
    <t>BA-7178</t>
  </si>
  <si>
    <t>BA-7179</t>
  </si>
  <si>
    <t>BA-7180</t>
  </si>
  <si>
    <t>BA-7181</t>
  </si>
  <si>
    <t>BA-7182</t>
  </si>
  <si>
    <t>BA-7183</t>
  </si>
  <si>
    <t>BA-7184</t>
  </si>
  <si>
    <t>BA-7185</t>
  </si>
  <si>
    <t>BA-7186</t>
  </si>
  <si>
    <t>BA-7187</t>
  </si>
  <si>
    <t>BA-7188</t>
  </si>
  <si>
    <t>BA-7189</t>
  </si>
  <si>
    <t>BA-7190</t>
  </si>
  <si>
    <t>BA-7191</t>
  </si>
  <si>
    <t>BA-7192</t>
  </si>
  <si>
    <t>BA-7193</t>
  </si>
  <si>
    <t>BA-7194</t>
  </si>
  <si>
    <t>BA-7195</t>
  </si>
  <si>
    <t>BA-7196</t>
  </si>
  <si>
    <t>BA-7197</t>
  </si>
  <si>
    <t>BA-7198</t>
  </si>
  <si>
    <t>BA-7199</t>
  </si>
  <si>
    <t>BA-7200</t>
  </si>
  <si>
    <t>BA-7201</t>
  </si>
  <si>
    <t>BA-7202</t>
  </si>
  <si>
    <t>BA-7203</t>
  </si>
  <si>
    <t>BA-7204</t>
  </si>
  <si>
    <t>BA-7205</t>
  </si>
  <si>
    <t>BA-7206</t>
  </si>
  <si>
    <t>BA-7207</t>
  </si>
  <si>
    <t>BA-7208</t>
  </si>
  <si>
    <t>BA-7209</t>
  </si>
  <si>
    <t>BA-7210</t>
  </si>
  <si>
    <t>BA-7211</t>
  </si>
  <si>
    <t>BA-7212</t>
  </si>
  <si>
    <t>BA-7213</t>
  </si>
  <si>
    <t>BA-7214</t>
  </si>
  <si>
    <t>BA-7215</t>
  </si>
  <si>
    <t>BA-7216</t>
  </si>
  <si>
    <t>BA-7217</t>
  </si>
  <si>
    <t>BA-7218</t>
  </si>
  <si>
    <t>BA-7219</t>
  </si>
  <si>
    <t>BA-7220</t>
  </si>
  <si>
    <t>BA-7221</t>
  </si>
  <si>
    <t>BA-7222</t>
  </si>
  <si>
    <t>BA-7223</t>
  </si>
  <si>
    <t>BA-7224</t>
  </si>
  <si>
    <t>BA-7225</t>
  </si>
  <si>
    <t>BA-7226</t>
  </si>
  <si>
    <t>BA-7227</t>
  </si>
  <si>
    <t>BA-7228</t>
  </si>
  <si>
    <t>BA-7229</t>
  </si>
  <si>
    <t>BA-7230</t>
  </si>
  <si>
    <t>BA-7231</t>
  </si>
  <si>
    <t>BA-7232</t>
  </si>
  <si>
    <t>BA-7233</t>
  </si>
  <si>
    <t>BA-7234</t>
  </si>
  <si>
    <t>BA-7235</t>
  </si>
  <si>
    <t>BA-7236</t>
  </si>
  <si>
    <t>BA-7237</t>
  </si>
  <si>
    <t>BA-7238</t>
  </si>
  <si>
    <t>BA-7239</t>
  </si>
  <si>
    <t>BA-7240</t>
  </si>
  <si>
    <t>BA-7241</t>
  </si>
  <si>
    <t>BA-7242</t>
  </si>
  <si>
    <t>BA-7243</t>
  </si>
  <si>
    <t>BA-7244</t>
  </si>
  <si>
    <t>BA-7245</t>
  </si>
  <si>
    <t>BA-7246</t>
  </si>
  <si>
    <t>BA-7247</t>
  </si>
  <si>
    <t>BA-7248</t>
  </si>
  <si>
    <t>BA-7249</t>
  </si>
  <si>
    <t>BA-7250</t>
  </si>
  <si>
    <t>BA-7251</t>
  </si>
  <si>
    <t>BA-7252</t>
  </si>
  <si>
    <t>BA-7253</t>
  </si>
  <si>
    <t>BA-7254</t>
  </si>
  <si>
    <t>BA-7255</t>
  </si>
  <si>
    <t>BA-7256</t>
  </si>
  <si>
    <t>BA-7257</t>
  </si>
  <si>
    <t>BA-7258</t>
  </si>
  <si>
    <t>BA-7259</t>
  </si>
  <si>
    <t>BA-7260</t>
  </si>
  <si>
    <t>BA-7261</t>
  </si>
  <si>
    <t>BA-7262</t>
  </si>
  <si>
    <t>BA-7263</t>
  </si>
  <si>
    <t>BA-7264</t>
  </si>
  <si>
    <t>BA-7265</t>
  </si>
  <si>
    <t>BA-7266</t>
  </si>
  <si>
    <t>BA-7267</t>
  </si>
  <si>
    <t>BA-7268</t>
  </si>
  <si>
    <t>BA-7269</t>
  </si>
  <si>
    <t>BA-7270</t>
  </si>
  <si>
    <t>BA-7271</t>
  </si>
  <si>
    <t>BA-7272</t>
  </si>
  <si>
    <t>BA-7273</t>
  </si>
  <si>
    <t>BA-7274</t>
  </si>
  <si>
    <t>BA-7275</t>
  </si>
  <si>
    <t>BA-7276</t>
  </si>
  <si>
    <t>BA-7277</t>
  </si>
  <si>
    <t>BA-7278</t>
  </si>
  <si>
    <t>BA-7279</t>
  </si>
  <si>
    <t>BA-7280</t>
  </si>
  <si>
    <t>BA-7281</t>
  </si>
  <si>
    <t>BA-7282</t>
  </si>
  <si>
    <t>BA-7283</t>
  </si>
  <si>
    <t>BA-7284</t>
  </si>
  <si>
    <t>BA-7285</t>
  </si>
  <si>
    <t>BA-7286</t>
  </si>
  <si>
    <t>BA-7287</t>
  </si>
  <si>
    <t>BA-7288</t>
  </si>
  <si>
    <t>BA-7289</t>
  </si>
  <si>
    <t>BA-7290</t>
  </si>
  <si>
    <t>BA-7291</t>
  </si>
  <si>
    <t>BA-7292</t>
  </si>
  <si>
    <t>BA-7293</t>
  </si>
  <si>
    <t>BA-7294</t>
  </si>
  <si>
    <t>BA-7295</t>
  </si>
  <si>
    <t>BA-7296</t>
  </si>
  <si>
    <t>BA-7297</t>
  </si>
  <si>
    <t>BA-7298</t>
  </si>
  <si>
    <t>BA-7299</t>
  </si>
  <si>
    <t>BA-7300</t>
  </si>
  <si>
    <t>BA-7301</t>
  </si>
  <si>
    <t>BA-7302</t>
  </si>
  <si>
    <t>BA-7303</t>
  </si>
  <si>
    <t>BA-7304</t>
  </si>
  <si>
    <t>BA-7305</t>
  </si>
  <si>
    <t>BA-7306</t>
  </si>
  <si>
    <t>BA-7307</t>
  </si>
  <si>
    <t>BA-7308</t>
  </si>
  <si>
    <t>BA-7309</t>
  </si>
  <si>
    <t>BA-7310</t>
  </si>
  <si>
    <t>BA-7311</t>
  </si>
  <si>
    <t>BA-7312</t>
  </si>
  <si>
    <t>BA-7313</t>
  </si>
  <si>
    <t>BA-7314</t>
  </si>
  <si>
    <t>BA-7315</t>
  </si>
  <si>
    <t>BA-7316</t>
  </si>
  <si>
    <t>BA-7317</t>
  </si>
  <si>
    <t>BA-7318</t>
  </si>
  <si>
    <t>BA-7319</t>
  </si>
  <si>
    <t>BA-7320</t>
  </si>
  <si>
    <t>BA-7321</t>
  </si>
  <si>
    <t>BA-7322</t>
  </si>
  <si>
    <t>BA-7323</t>
  </si>
  <si>
    <t>BA-7324</t>
  </si>
  <si>
    <t>BA-7325</t>
  </si>
  <si>
    <t>BA-7326</t>
  </si>
  <si>
    <t>BA-7327</t>
  </si>
  <si>
    <t>BA-7328</t>
  </si>
  <si>
    <t>BA-7329</t>
  </si>
  <si>
    <t>BA-7330</t>
  </si>
  <si>
    <t>BA-7331</t>
  </si>
  <si>
    <t>BA-7332</t>
  </si>
  <si>
    <t>BA-7333</t>
  </si>
  <si>
    <t>BA-7334</t>
  </si>
  <si>
    <t>BA-7335</t>
  </si>
  <si>
    <t>BA-7336</t>
  </si>
  <si>
    <t>BA-7337</t>
  </si>
  <si>
    <t>BA-7338</t>
  </si>
  <si>
    <t>BA-7339</t>
  </si>
  <si>
    <t>BA-7340</t>
  </si>
  <si>
    <t>BA-7341</t>
  </si>
  <si>
    <t>BA-7342</t>
  </si>
  <si>
    <t>BA-7343</t>
  </si>
  <si>
    <t>BA-7344</t>
  </si>
  <si>
    <t>BA-7345</t>
  </si>
  <si>
    <t>BA-7346</t>
  </si>
  <si>
    <t>BA-7347</t>
  </si>
  <si>
    <t>BA-7348</t>
  </si>
  <si>
    <t>BA-7349</t>
  </si>
  <si>
    <t>BA-7350</t>
  </si>
  <si>
    <t>BA-7351</t>
  </si>
  <si>
    <t>BA-7352</t>
  </si>
  <si>
    <t>BA-7353</t>
  </si>
  <si>
    <t>BA-7354</t>
  </si>
  <si>
    <t>BA-7355</t>
  </si>
  <si>
    <t>BA-7356</t>
  </si>
  <si>
    <t>BA-7357</t>
  </si>
  <si>
    <t>BA-7358</t>
  </si>
  <si>
    <t>BA-7359</t>
  </si>
  <si>
    <t>BA-7360</t>
  </si>
  <si>
    <t>BA-7361</t>
  </si>
  <si>
    <t>BA-7362</t>
  </si>
  <si>
    <t>BA-7363</t>
  </si>
  <si>
    <t>BA-7364</t>
  </si>
  <si>
    <t>BA-7365</t>
  </si>
  <si>
    <t>BA-7366</t>
  </si>
  <si>
    <t>BA-7367</t>
  </si>
  <si>
    <t>BA-7368</t>
  </si>
  <si>
    <t>BA-7369</t>
  </si>
  <si>
    <t>BA-7370</t>
  </si>
  <si>
    <t>BA-7371</t>
  </si>
  <si>
    <t>BA-7372</t>
  </si>
  <si>
    <t>BA-7373</t>
  </si>
  <si>
    <t>BA-7374</t>
  </si>
  <si>
    <t>BA-7375</t>
  </si>
  <si>
    <t>BA-7376</t>
  </si>
  <si>
    <t>BA-7377</t>
  </si>
  <si>
    <t>BA-7378</t>
  </si>
  <si>
    <t>BA-7379</t>
  </si>
  <si>
    <t>BA-7380</t>
  </si>
  <si>
    <t>BA-7381</t>
  </si>
  <si>
    <t>BA-7382</t>
  </si>
  <si>
    <t>BA-7383</t>
  </si>
  <si>
    <t>BA-7384</t>
  </si>
  <si>
    <t>BA-7385</t>
  </si>
  <si>
    <t>BA-7386</t>
  </si>
  <si>
    <t>BA-7387</t>
  </si>
  <si>
    <t>BA-7388</t>
  </si>
  <si>
    <t>BA-7389</t>
  </si>
  <si>
    <t>BA-7390</t>
  </si>
  <si>
    <t>BA-7391</t>
  </si>
  <si>
    <t>BA-7392</t>
  </si>
  <si>
    <t>BA-7393</t>
  </si>
  <si>
    <t>BA-7394</t>
  </si>
  <si>
    <t>BA-7395</t>
  </si>
  <si>
    <t>BA-7396</t>
  </si>
  <si>
    <t>BA-7397</t>
  </si>
  <si>
    <t>BA-7398</t>
  </si>
  <si>
    <t>BA-7399</t>
  </si>
  <si>
    <t>BA-7400</t>
  </si>
  <si>
    <t>BA-7401</t>
  </si>
  <si>
    <t>BA-7402</t>
  </si>
  <si>
    <t>BA-7403</t>
  </si>
  <si>
    <t>BA-7404</t>
  </si>
  <si>
    <t>BA-7405</t>
  </si>
  <si>
    <t>BA-7406</t>
  </si>
  <si>
    <t>BA-7407</t>
  </si>
  <si>
    <t>BA-7408</t>
  </si>
  <si>
    <t>BA-7409</t>
  </si>
  <si>
    <t>BA-7410</t>
  </si>
  <si>
    <t>BA-7411</t>
  </si>
  <si>
    <t>BA-7412</t>
  </si>
  <si>
    <t>BA-7413</t>
  </si>
  <si>
    <t>BA-7414</t>
  </si>
  <si>
    <t>BA-7415</t>
  </si>
  <si>
    <t>BA-7416</t>
  </si>
  <si>
    <t>BA-7417</t>
  </si>
  <si>
    <t>BA-7418</t>
  </si>
  <si>
    <t>BA-7419</t>
  </si>
  <si>
    <t>BA-7420</t>
  </si>
  <si>
    <t>BA-7421</t>
  </si>
  <si>
    <t>BA-7422</t>
  </si>
  <si>
    <t>BA-7423</t>
  </si>
  <si>
    <t>BA-7424</t>
  </si>
  <si>
    <t>BA-7425</t>
  </si>
  <si>
    <t>BA-7426</t>
  </si>
  <si>
    <t>BA-7427</t>
  </si>
  <si>
    <t>BA-7428</t>
  </si>
  <si>
    <t>BA-7429</t>
  </si>
  <si>
    <t>BA-7430</t>
  </si>
  <si>
    <t>BA-7431</t>
  </si>
  <si>
    <t>BA-7432</t>
  </si>
  <si>
    <t>BA-7433</t>
  </si>
  <si>
    <t>BA-7434</t>
  </si>
  <si>
    <t>BA-7435</t>
  </si>
  <si>
    <t>BA-7436</t>
  </si>
  <si>
    <t>BA-7437</t>
  </si>
  <si>
    <t>BA-7438</t>
  </si>
  <si>
    <t>BA-7439</t>
  </si>
  <si>
    <t>BA-7440</t>
  </si>
  <si>
    <t>BA-7441</t>
  </si>
  <si>
    <t>BA-7442</t>
  </si>
  <si>
    <t>BA-7443</t>
  </si>
  <si>
    <t>BA-7444</t>
  </si>
  <si>
    <t>BA-7445</t>
  </si>
  <si>
    <t>BA-7446</t>
  </si>
  <si>
    <t>BA-7447</t>
  </si>
  <si>
    <t>BA-7448</t>
  </si>
  <si>
    <t>BA-7449</t>
  </si>
  <si>
    <t>BA-7450</t>
  </si>
  <si>
    <t>BA-7451</t>
  </si>
  <si>
    <t>BA-7452</t>
  </si>
  <si>
    <t>BA-7453</t>
  </si>
  <si>
    <t>BA-7454</t>
  </si>
  <si>
    <t>BA-7455</t>
  </si>
  <si>
    <t>BA-7456</t>
  </si>
  <si>
    <t>BA-7457</t>
  </si>
  <si>
    <t>BA-7458</t>
  </si>
  <si>
    <t>BA-7459</t>
  </si>
  <si>
    <t>BA-7460</t>
  </si>
  <si>
    <t>BA-7461</t>
  </si>
  <si>
    <t>BA-7462</t>
  </si>
  <si>
    <t>BA-7463</t>
  </si>
  <si>
    <t>BA-7464</t>
  </si>
  <si>
    <t>BA-7465</t>
  </si>
  <si>
    <t>BA-7466</t>
  </si>
  <si>
    <t>BA-7467</t>
  </si>
  <si>
    <t>BA-7468</t>
  </si>
  <si>
    <t>BA-7469</t>
  </si>
  <si>
    <t>BA-7470</t>
  </si>
  <si>
    <t>BA-7471</t>
  </si>
  <si>
    <t>BA-7472</t>
  </si>
  <si>
    <t>BA-7473</t>
  </si>
  <si>
    <t>BA-7474</t>
  </si>
  <si>
    <t>BA-7475</t>
  </si>
  <si>
    <t>BA-7476</t>
  </si>
  <si>
    <t>BA-7477</t>
  </si>
  <si>
    <t>BA-7478</t>
  </si>
  <si>
    <t>BA-7479</t>
  </si>
  <si>
    <t>BA-7480</t>
  </si>
  <si>
    <t>BA-7481</t>
  </si>
  <si>
    <t>BA-7482</t>
  </si>
  <si>
    <t>BA-7483</t>
  </si>
  <si>
    <t>BA-7484</t>
  </si>
  <si>
    <t>BA-7485</t>
  </si>
  <si>
    <t>BA-7486</t>
  </si>
  <si>
    <t>BA-7487</t>
  </si>
  <si>
    <t>BA-7488</t>
  </si>
  <si>
    <t>BA-7489</t>
  </si>
  <si>
    <t>BA-7490</t>
  </si>
  <si>
    <t>BA-7491</t>
  </si>
  <si>
    <t>BA-7492</t>
  </si>
  <si>
    <t>BA-7493</t>
  </si>
  <si>
    <t>BA-7494</t>
  </si>
  <si>
    <t>BA-7495</t>
  </si>
  <si>
    <t>BA-7496</t>
  </si>
  <si>
    <t>BA-7497</t>
  </si>
  <si>
    <t>BA-7498</t>
  </si>
  <si>
    <t>BA-7499</t>
  </si>
  <si>
    <t>BA-7500</t>
  </si>
  <si>
    <t>BA-7501</t>
  </si>
  <si>
    <t>BA-7502</t>
  </si>
  <si>
    <t>BA-7503</t>
  </si>
  <si>
    <t>BA-7504</t>
  </si>
  <si>
    <t>BA-7505</t>
  </si>
  <si>
    <t>BA-7506</t>
  </si>
  <si>
    <t>BA-7507</t>
  </si>
  <si>
    <t>BA-7508</t>
  </si>
  <si>
    <t>BA-7509</t>
  </si>
  <si>
    <t>BA-7510</t>
  </si>
  <si>
    <t>BA-7511</t>
  </si>
  <si>
    <t>BA-7512</t>
  </si>
  <si>
    <t>BA-7513</t>
  </si>
  <si>
    <t>BA-7514</t>
  </si>
  <si>
    <t>BA-7515</t>
  </si>
  <si>
    <t>BA-7516</t>
  </si>
  <si>
    <t>BA-7517</t>
  </si>
  <si>
    <t>BA-7518</t>
  </si>
  <si>
    <t>BA-7519</t>
  </si>
  <si>
    <t>BA-7520</t>
  </si>
  <si>
    <t>BA-7521</t>
  </si>
  <si>
    <t>BA-7522</t>
  </si>
  <si>
    <t>BA-7523</t>
  </si>
  <si>
    <t>BA-7524</t>
  </si>
  <si>
    <t>BA-7525</t>
  </si>
  <si>
    <t>BA-7526</t>
  </si>
  <si>
    <t>BA-7527</t>
  </si>
  <si>
    <t>BA-7528</t>
  </si>
  <si>
    <t>BA-7529</t>
  </si>
  <si>
    <t>BA-7530</t>
  </si>
  <si>
    <t>BA-7531</t>
  </si>
  <si>
    <t>BA-7532</t>
  </si>
  <si>
    <t>BA-7533</t>
  </si>
  <si>
    <t>BA-7534</t>
  </si>
  <si>
    <t>BA-7535</t>
  </si>
  <si>
    <t>BA-7536</t>
  </si>
  <si>
    <t>BA-7537</t>
  </si>
  <si>
    <t>BA-7538</t>
  </si>
  <si>
    <t>BA-7539</t>
  </si>
  <si>
    <t>BA-7540</t>
  </si>
  <si>
    <t>BA-7541</t>
  </si>
  <si>
    <t>BA-7542</t>
  </si>
  <si>
    <t>BA-7543</t>
  </si>
  <si>
    <t>BA-7544</t>
  </si>
  <si>
    <t>BA-7545</t>
  </si>
  <si>
    <t>BA-7546</t>
  </si>
  <si>
    <t>BA-7547</t>
  </si>
  <si>
    <t>BA-7548</t>
  </si>
  <si>
    <t>BA-7549</t>
  </si>
  <si>
    <t>BA-7550</t>
  </si>
  <si>
    <t>BA-7551</t>
  </si>
  <si>
    <t>BA-7552</t>
  </si>
  <si>
    <t>BA-7553</t>
  </si>
  <si>
    <t>BA-7554</t>
  </si>
  <si>
    <t>BA-7555</t>
  </si>
  <si>
    <t>BA-7556</t>
  </si>
  <si>
    <t>BA-7557</t>
  </si>
  <si>
    <t>BA-7558</t>
  </si>
  <si>
    <t>BA-7559</t>
  </si>
  <si>
    <t>BA-7560</t>
  </si>
  <si>
    <t>BA-7561</t>
  </si>
  <si>
    <t>BA-7562</t>
  </si>
  <si>
    <t>BA-7563</t>
  </si>
  <si>
    <t>BA-7564</t>
  </si>
  <si>
    <t>BA-7565</t>
  </si>
  <si>
    <t>BA-7566</t>
  </si>
  <si>
    <t>BA-7567</t>
  </si>
  <si>
    <t>BA-7568</t>
  </si>
  <si>
    <t>BA-7569</t>
  </si>
  <si>
    <t>BA-7570</t>
  </si>
  <si>
    <t>BA-7571</t>
  </si>
  <si>
    <t>BA-7572</t>
  </si>
  <si>
    <t>BA-7573</t>
  </si>
  <si>
    <t>BA-7574</t>
  </si>
  <si>
    <t>BA-7575</t>
  </si>
  <si>
    <t>BA-7576</t>
  </si>
  <si>
    <t>BA-7577</t>
  </si>
  <si>
    <t>BA-7578</t>
  </si>
  <si>
    <t>BA-7579</t>
  </si>
  <si>
    <t>BA-7580</t>
  </si>
  <si>
    <t>BA-7581</t>
  </si>
  <si>
    <t>BA-7582</t>
  </si>
  <si>
    <t>BA-7583</t>
  </si>
  <si>
    <t>BA-7584</t>
  </si>
  <si>
    <t>BA-7585</t>
  </si>
  <si>
    <t>BA-7586</t>
  </si>
  <si>
    <t>BA-7587</t>
  </si>
  <si>
    <t>BA-7588</t>
  </si>
  <si>
    <t>BA-7589</t>
  </si>
  <si>
    <t>BA-7590</t>
  </si>
  <si>
    <t>BA-7591</t>
  </si>
  <si>
    <t>BA-7592</t>
  </si>
  <si>
    <t>BA-7593</t>
  </si>
  <si>
    <t>BA-7594</t>
  </si>
  <si>
    <t>BA-7595</t>
  </si>
  <si>
    <t>BA-7596</t>
  </si>
  <si>
    <t>BA-7597</t>
  </si>
  <si>
    <t>BA-7598</t>
  </si>
  <si>
    <t>BA-7599</t>
  </si>
  <si>
    <t>BA-7600</t>
  </si>
  <si>
    <t>BA-7601</t>
  </si>
  <si>
    <t>BA-7602</t>
  </si>
  <si>
    <t>BA-7603</t>
  </si>
  <si>
    <t>BA-7604</t>
  </si>
  <si>
    <t>BA-7605</t>
  </si>
  <si>
    <t>BA-7606</t>
  </si>
  <si>
    <t>BA-7607</t>
  </si>
  <si>
    <t>BA-7608</t>
  </si>
  <si>
    <t>BA-7609</t>
  </si>
  <si>
    <t>BA-7610</t>
  </si>
  <si>
    <t>BA-7611</t>
  </si>
  <si>
    <t>BA-7612</t>
  </si>
  <si>
    <t>BA-7613</t>
  </si>
  <si>
    <t>BA-7614</t>
  </si>
  <si>
    <t>BA-7615</t>
  </si>
  <si>
    <t>BA-7616</t>
  </si>
  <si>
    <t>BA-7617</t>
  </si>
  <si>
    <t>BA-7618</t>
  </si>
  <si>
    <t>BA-7619</t>
  </si>
  <si>
    <t>BA-7620</t>
  </si>
  <si>
    <t>BA-7621</t>
  </si>
  <si>
    <t>BA-7622</t>
  </si>
  <si>
    <t>BA-7623</t>
  </si>
  <si>
    <t>BA-7624</t>
  </si>
  <si>
    <t>BA-7625</t>
  </si>
  <si>
    <t>BA-7626</t>
  </si>
  <si>
    <t>BA-7627</t>
  </si>
  <si>
    <t>BA-7628</t>
  </si>
  <si>
    <t>BA-7629</t>
  </si>
  <si>
    <t>BA-7630</t>
  </si>
  <si>
    <t>BA-7631</t>
  </si>
  <si>
    <t>BA-7632</t>
  </si>
  <si>
    <t>BA-7633</t>
  </si>
  <si>
    <t>BA-7634</t>
  </si>
  <si>
    <t>BA-7635</t>
  </si>
  <si>
    <t>BA-7636</t>
  </si>
  <si>
    <t>BA-7637</t>
  </si>
  <si>
    <t>BA-7638</t>
  </si>
  <si>
    <t>BA-7639</t>
  </si>
  <si>
    <t>BA-7640</t>
  </si>
  <si>
    <t>BA-7641</t>
  </si>
  <si>
    <t>BA-7642</t>
  </si>
  <si>
    <t>BA-7643</t>
  </si>
  <si>
    <t>BA-7644</t>
  </si>
  <si>
    <t>BA-7645</t>
  </si>
  <si>
    <t>BA-7646</t>
  </si>
  <si>
    <t>BA-7647</t>
  </si>
  <si>
    <t>BA-7648</t>
  </si>
  <si>
    <t>BA-7649</t>
  </si>
  <si>
    <t>BA-7650</t>
  </si>
  <si>
    <t>BA-7651</t>
  </si>
  <si>
    <t>BA-7652</t>
  </si>
  <si>
    <t>BA-7653</t>
  </si>
  <si>
    <t>BA-7654</t>
  </si>
  <si>
    <t>BA-7655</t>
  </si>
  <si>
    <t>BA-7656</t>
  </si>
  <si>
    <t>BA-7657</t>
  </si>
  <si>
    <t>BA-7658</t>
  </si>
  <si>
    <t>BA-7659</t>
  </si>
  <si>
    <t>BA-7660</t>
  </si>
  <si>
    <t>BA-7661</t>
  </si>
  <si>
    <t>BA-7662</t>
  </si>
  <si>
    <t>BA-7663</t>
  </si>
  <si>
    <t>BA-7664</t>
  </si>
  <si>
    <t>BA-7665</t>
  </si>
  <si>
    <t>BA-7666</t>
  </si>
  <si>
    <t>BA-7667</t>
  </si>
  <si>
    <t>BA-7668</t>
  </si>
  <si>
    <t>BA-7669</t>
  </si>
  <si>
    <t>BA-7670</t>
  </si>
  <si>
    <t>BA-7671</t>
  </si>
  <si>
    <t>BA-7672</t>
  </si>
  <si>
    <t>BA-7673</t>
  </si>
  <si>
    <t>BA-7674</t>
  </si>
  <si>
    <t>BA-7675</t>
  </si>
  <si>
    <t>BA-7676</t>
  </si>
  <si>
    <t>BA-7677</t>
  </si>
  <si>
    <t>BA-7678</t>
  </si>
  <si>
    <t>BA-7679</t>
  </si>
  <si>
    <t>BA-7680</t>
  </si>
  <si>
    <t>BA-7681</t>
  </si>
  <si>
    <t>BA-7682</t>
  </si>
  <si>
    <t>BA-7683</t>
  </si>
  <si>
    <t>BA-7684</t>
  </si>
  <si>
    <t>BA-7685</t>
  </si>
  <si>
    <t>BA-7686</t>
  </si>
  <si>
    <t>BA-7687</t>
  </si>
  <si>
    <t>BA-7688</t>
  </si>
  <si>
    <t>BA-7689</t>
  </si>
  <si>
    <t>BA-7690</t>
  </si>
  <si>
    <t>BA-7691</t>
  </si>
  <si>
    <t>BA-7692</t>
  </si>
  <si>
    <t>BA-7693</t>
  </si>
  <si>
    <t>BA-7694</t>
  </si>
  <si>
    <t>BA-7695</t>
  </si>
  <si>
    <t>BA-7696</t>
  </si>
  <si>
    <t>BA-7697</t>
  </si>
  <si>
    <t>BA-7698</t>
  </si>
  <si>
    <t>BA-7699</t>
  </si>
  <si>
    <t>BA-7700</t>
  </si>
  <si>
    <t>BA-7701</t>
  </si>
  <si>
    <t>BA-7702</t>
  </si>
  <si>
    <t>BA-7703</t>
  </si>
  <si>
    <t>BA-7704</t>
  </si>
  <si>
    <t>BA-7705</t>
  </si>
  <si>
    <t>BA-7706</t>
  </si>
  <si>
    <t>BA-7707</t>
  </si>
  <si>
    <t>BA-7708</t>
  </si>
  <si>
    <t>BA-7709</t>
  </si>
  <si>
    <t>BA-7710</t>
  </si>
  <si>
    <t>BA-7711</t>
  </si>
  <si>
    <t>BA-7712</t>
  </si>
  <si>
    <t>BA-7713</t>
  </si>
  <si>
    <t>BA-7714</t>
  </si>
  <si>
    <t>BA-7715</t>
  </si>
  <si>
    <t>BA-7716</t>
  </si>
  <si>
    <t>BA-7717</t>
  </si>
  <si>
    <t>BA-7718</t>
  </si>
  <si>
    <t>BA-7719</t>
  </si>
  <si>
    <t>BA-7720</t>
  </si>
  <si>
    <t>BA-7721</t>
  </si>
  <si>
    <t>BA-7722</t>
  </si>
  <si>
    <t>BA-7723</t>
  </si>
  <si>
    <t>BA-7724</t>
  </si>
  <si>
    <t>BA-7725</t>
  </si>
  <si>
    <t>BA-7726</t>
  </si>
  <si>
    <t>BA-7727</t>
  </si>
  <si>
    <t>BA-7728</t>
  </si>
  <si>
    <t>BA-7729</t>
  </si>
  <si>
    <t>BA-7730</t>
  </si>
  <si>
    <t>BA-7731</t>
  </si>
  <si>
    <t>BA-7732</t>
  </si>
  <si>
    <t>BA-7733</t>
  </si>
  <si>
    <t>BA-7734</t>
  </si>
  <si>
    <t>BA-7735</t>
  </si>
  <si>
    <t>BA-7736</t>
  </si>
  <si>
    <t>BA-7737</t>
  </si>
  <si>
    <t>BA-7738</t>
  </si>
  <si>
    <t>BA-7739</t>
  </si>
  <si>
    <t>BA-7740</t>
  </si>
  <si>
    <t>BA-7741</t>
  </si>
  <si>
    <t>BA-7742</t>
  </si>
  <si>
    <t>BA-7743</t>
  </si>
  <si>
    <t>BA-7744</t>
  </si>
  <si>
    <t>BA-7745</t>
  </si>
  <si>
    <t>BA-7746</t>
  </si>
  <si>
    <t>BA-7747</t>
  </si>
  <si>
    <t>BA-7748</t>
  </si>
  <si>
    <t>BA-7749</t>
  </si>
  <si>
    <t>BA-7750</t>
  </si>
  <si>
    <t>BA-7751</t>
  </si>
  <si>
    <t>BA-7752</t>
  </si>
  <si>
    <t>BA-7753</t>
  </si>
  <si>
    <t>BA-7754</t>
  </si>
  <si>
    <t>BA-7755</t>
  </si>
  <si>
    <t>BA-7756</t>
  </si>
  <si>
    <t>BA-7757</t>
  </si>
  <si>
    <t>BA-7758</t>
  </si>
  <si>
    <t>BA-7759</t>
  </si>
  <si>
    <t>BA-7760</t>
  </si>
  <si>
    <t>BA-7761</t>
  </si>
  <si>
    <t>BA-7762</t>
  </si>
  <si>
    <t>BA-7763</t>
  </si>
  <si>
    <t>BA-7764</t>
  </si>
  <si>
    <t>BA-7765</t>
  </si>
  <si>
    <t>BA-7766</t>
  </si>
  <si>
    <t>BA-7767</t>
  </si>
  <si>
    <t>BA-7768</t>
  </si>
  <si>
    <t>BA-7769</t>
  </si>
  <si>
    <t>BA-7770</t>
  </si>
  <si>
    <t>BA-7771</t>
  </si>
  <si>
    <t>BA-7772</t>
  </si>
  <si>
    <t>BA-7773</t>
  </si>
  <si>
    <t>BA-7774</t>
  </si>
  <si>
    <t>BA-7775</t>
  </si>
  <si>
    <t>BA-7776</t>
  </si>
  <si>
    <t>BA-7777</t>
  </si>
  <si>
    <t>BA-7778</t>
  </si>
  <si>
    <t>BA-7779</t>
  </si>
  <si>
    <t>BA-7780</t>
  </si>
  <si>
    <t>BA-7781</t>
  </si>
  <si>
    <t>BA-7782</t>
  </si>
  <si>
    <t>BA-7783</t>
  </si>
  <si>
    <t>BA-7784</t>
  </si>
  <si>
    <t>BA-7785</t>
  </si>
  <si>
    <t>BA-7786</t>
  </si>
  <si>
    <t>BA-7787</t>
  </si>
  <si>
    <t>BA-7788</t>
  </si>
  <si>
    <t>BA-7789</t>
  </si>
  <si>
    <t>BA-7790</t>
  </si>
  <si>
    <t>BA-7791</t>
  </si>
  <si>
    <t>BA-7792</t>
  </si>
  <si>
    <t>BA-7793</t>
  </si>
  <si>
    <t>BA-7794</t>
  </si>
  <si>
    <t>BA-7795</t>
  </si>
  <si>
    <t>BA-7796</t>
  </si>
  <si>
    <t>BA-7797</t>
  </si>
  <si>
    <t>BA-7798</t>
  </si>
  <si>
    <t>BA-7799</t>
  </si>
  <si>
    <t>BA-7800</t>
  </si>
  <si>
    <t>BA-7801</t>
  </si>
  <si>
    <t>BA-7802</t>
  </si>
  <si>
    <t>BA-7803</t>
  </si>
  <si>
    <t>BA-7804</t>
  </si>
  <si>
    <t>BA-7805</t>
  </si>
  <si>
    <t>BA-7806</t>
  </si>
  <si>
    <t>BA-7807</t>
  </si>
  <si>
    <t>BA-7808</t>
  </si>
  <si>
    <t>BA-7809</t>
  </si>
  <si>
    <t>BA-7810</t>
  </si>
  <si>
    <t>BA-7811</t>
  </si>
  <si>
    <t>BA-7812</t>
  </si>
  <si>
    <t>BA-7813</t>
  </si>
  <si>
    <t>BA-7814</t>
  </si>
  <si>
    <t>BA-7815</t>
  </si>
  <si>
    <t>BA-7816</t>
  </si>
  <si>
    <t>BA-7817</t>
  </si>
  <si>
    <t>BA-7818</t>
  </si>
  <si>
    <t>BA-7819</t>
  </si>
  <si>
    <t>BA-7820</t>
  </si>
  <si>
    <t>BA-7821</t>
  </si>
  <si>
    <t>BA-7822</t>
  </si>
  <si>
    <t>BA-7823</t>
  </si>
  <si>
    <t>BA-7824</t>
  </si>
  <si>
    <t>BA-7825</t>
  </si>
  <si>
    <t>BA-7826</t>
  </si>
  <si>
    <t>BA-7827</t>
  </si>
  <si>
    <t>BA-7828</t>
  </si>
  <si>
    <t>BA-7829</t>
  </si>
  <si>
    <t>BA-7830</t>
  </si>
  <si>
    <t>BA-7831</t>
  </si>
  <si>
    <t>BA-7832</t>
  </si>
  <si>
    <t>BA-7833</t>
  </si>
  <si>
    <t>BA-7834</t>
  </si>
  <si>
    <t>BA-7835</t>
  </si>
  <si>
    <t>BA-7836</t>
  </si>
  <si>
    <t>BA-7837</t>
  </si>
  <si>
    <t>BA-7838</t>
  </si>
  <si>
    <t>BA-7839</t>
  </si>
  <si>
    <t>BA-7840</t>
  </si>
  <si>
    <t>BA-7841</t>
  </si>
  <si>
    <t>BA-7842</t>
  </si>
  <si>
    <t>BA-7843</t>
  </si>
  <si>
    <t>BA-7844</t>
  </si>
  <si>
    <t>BA-7845</t>
  </si>
  <si>
    <t>BA-7846</t>
  </si>
  <si>
    <t>BA-7847</t>
  </si>
  <si>
    <t>BA-7848</t>
  </si>
  <si>
    <t>BA-7849</t>
  </si>
  <si>
    <t>BA-7850</t>
  </si>
  <si>
    <t>BA-7851</t>
  </si>
  <si>
    <t>BA-7852</t>
  </si>
  <si>
    <t>BA-7853</t>
  </si>
  <si>
    <t>BA-7854</t>
  </si>
  <si>
    <t>BA-7855</t>
  </si>
  <si>
    <t>BA-7856</t>
  </si>
  <si>
    <t>BA-7857</t>
  </si>
  <si>
    <t>BA-7858</t>
  </si>
  <si>
    <t>BA-7859</t>
  </si>
  <si>
    <t>BA-7860</t>
  </si>
  <si>
    <t>BA-7861</t>
  </si>
  <si>
    <t>BA-7862</t>
  </si>
  <si>
    <t>BA-7863</t>
  </si>
  <si>
    <t>BA-7864</t>
  </si>
  <si>
    <t>BA-7865</t>
  </si>
  <si>
    <t>BA-7866</t>
  </si>
  <si>
    <t>BA-7867</t>
  </si>
  <si>
    <t>BA-7868</t>
  </si>
  <si>
    <t>BA-7869</t>
  </si>
  <si>
    <t>BA-7870</t>
  </si>
  <si>
    <t>BA-7871</t>
  </si>
  <si>
    <t>BA-7872</t>
  </si>
  <si>
    <t>BA-7873</t>
  </si>
  <si>
    <t>BA-7874</t>
  </si>
  <si>
    <t>BA-7875</t>
  </si>
  <si>
    <t>BA-7876</t>
  </si>
  <si>
    <t>BA-7877</t>
  </si>
  <si>
    <t>BA-7878</t>
  </si>
  <si>
    <t>BA-7879</t>
  </si>
  <si>
    <t>BA-7880</t>
  </si>
  <si>
    <t>BA-7881</t>
  </si>
  <si>
    <t>BA-7882</t>
  </si>
  <si>
    <t>BA-7883</t>
  </si>
  <si>
    <t>BA-7884</t>
  </si>
  <si>
    <t>BA-7885</t>
  </si>
  <si>
    <t>BA-7886</t>
  </si>
  <si>
    <t>BA-7887</t>
  </si>
  <si>
    <t>BA-7888</t>
  </si>
  <si>
    <t>BA-7889</t>
  </si>
  <si>
    <t>BA-7890</t>
  </si>
  <si>
    <t>BA-7891</t>
  </si>
  <si>
    <t>BA-7892</t>
  </si>
  <si>
    <t>BA-7893</t>
  </si>
  <si>
    <t>BA-7894</t>
  </si>
  <si>
    <t>BA-7895</t>
  </si>
  <si>
    <t>BA-7896</t>
  </si>
  <si>
    <t>BA-7897</t>
  </si>
  <si>
    <t>BA-7898</t>
  </si>
  <si>
    <t>BA-7899</t>
  </si>
  <si>
    <t>BA-7900</t>
  </si>
  <si>
    <t>BA-7901</t>
  </si>
  <si>
    <t>BA-7902</t>
  </si>
  <si>
    <t>BA-7903</t>
  </si>
  <si>
    <t>BA-7904</t>
  </si>
  <si>
    <t>BA-7905</t>
  </si>
  <si>
    <t>BA-7906</t>
  </si>
  <si>
    <t>BA-7907</t>
  </si>
  <si>
    <t>BA-7908</t>
  </si>
  <si>
    <t>BA-7909</t>
  </si>
  <si>
    <t>BA-7910</t>
  </si>
  <si>
    <t>BA-7911</t>
  </si>
  <si>
    <t>BA-7912</t>
  </si>
  <si>
    <t>BA-7913</t>
  </si>
  <si>
    <t>BA-7914</t>
  </si>
  <si>
    <t>BA-7915</t>
  </si>
  <si>
    <t>BA-7916</t>
  </si>
  <si>
    <t>BA-7917</t>
  </si>
  <si>
    <t>BA-7918</t>
  </si>
  <si>
    <t>BA-7919</t>
  </si>
  <si>
    <t>BA-7920</t>
  </si>
  <si>
    <t>BA-7921</t>
  </si>
  <si>
    <t>BA-7922</t>
  </si>
  <si>
    <t>BA-7923</t>
  </si>
  <si>
    <t>BA-7924</t>
  </si>
  <si>
    <t>BA-7925</t>
  </si>
  <si>
    <t>BA-7926</t>
  </si>
  <si>
    <t>BA-7927</t>
  </si>
  <si>
    <t>BA-7928</t>
  </si>
  <si>
    <t>BA-7929</t>
  </si>
  <si>
    <t>BA-7930</t>
  </si>
  <si>
    <t>BA-7931</t>
  </si>
  <si>
    <t>BA-7932</t>
  </si>
  <si>
    <t>BA-7933</t>
  </si>
  <si>
    <t>BA-7934</t>
  </si>
  <si>
    <t>BA-7935</t>
  </si>
  <si>
    <t>BA-7936</t>
  </si>
  <si>
    <t>BA-7937</t>
  </si>
  <si>
    <t>BA-7938</t>
  </si>
  <si>
    <t>BA-7939</t>
  </si>
  <si>
    <t>BA-7940</t>
  </si>
  <si>
    <t>BA-7941</t>
  </si>
  <si>
    <t>BA-7942</t>
  </si>
  <si>
    <t>BA-7943</t>
  </si>
  <si>
    <t>BA-7944</t>
  </si>
  <si>
    <t>BA-7945</t>
  </si>
  <si>
    <t>BA-7946</t>
  </si>
  <si>
    <t>BA-7947</t>
  </si>
  <si>
    <t>BA-7948</t>
  </si>
  <si>
    <t>BA-7949</t>
  </si>
  <si>
    <t>BA-7950</t>
  </si>
  <si>
    <t>BA-7951</t>
  </si>
  <si>
    <t>BA-7952</t>
  </si>
  <si>
    <t>BA-7953</t>
  </si>
  <si>
    <t>BA-7954</t>
  </si>
  <si>
    <t>BA-7955</t>
  </si>
  <si>
    <t>BA-7956</t>
  </si>
  <si>
    <t>BA-7957</t>
  </si>
  <si>
    <t>BA-7958</t>
  </si>
  <si>
    <t>BA-7959</t>
  </si>
  <si>
    <t>BA-7960</t>
  </si>
  <si>
    <t>BA-7961</t>
  </si>
  <si>
    <t>BA-7962</t>
  </si>
  <si>
    <t>BA-7963</t>
  </si>
  <si>
    <t>BA-7964</t>
  </si>
  <si>
    <t>BA-7965</t>
  </si>
  <si>
    <t>BA-7966</t>
  </si>
  <si>
    <t>BA-7967</t>
  </si>
  <si>
    <t>BA-7968</t>
  </si>
  <si>
    <t>BA-7969</t>
  </si>
  <si>
    <t>BA-7970</t>
  </si>
  <si>
    <t>BA-7971</t>
  </si>
  <si>
    <t>BA-7972</t>
  </si>
  <si>
    <t>BA-7973</t>
  </si>
  <si>
    <t>BA-7974</t>
  </si>
  <si>
    <t>BA-7975</t>
  </si>
  <si>
    <t>BA-7976</t>
  </si>
  <si>
    <t>BA-7977</t>
  </si>
  <si>
    <t>BA-7978</t>
  </si>
  <si>
    <t>BA-7979</t>
  </si>
  <si>
    <t>BA-7980</t>
  </si>
  <si>
    <t>BA-7981</t>
  </si>
  <si>
    <t>BA-7982</t>
  </si>
  <si>
    <t>BA-7983</t>
  </si>
  <si>
    <t>BA-7984</t>
  </si>
  <si>
    <t>BA-7985</t>
  </si>
  <si>
    <t>BA-7986</t>
  </si>
  <si>
    <t>BA-7987</t>
  </si>
  <si>
    <t>BA-7988</t>
  </si>
  <si>
    <t>BA-7989</t>
  </si>
  <si>
    <t>BA-7990</t>
  </si>
  <si>
    <t>BA-7991</t>
  </si>
  <si>
    <t>BA-7992</t>
  </si>
  <si>
    <t>BA-7993</t>
  </si>
  <si>
    <t>BA-7994</t>
  </si>
  <si>
    <t>BA-7995</t>
  </si>
  <si>
    <t>BA-7996</t>
  </si>
  <si>
    <t>BA-7997</t>
  </si>
  <si>
    <t>BA-7998</t>
  </si>
  <si>
    <t>BA-7999</t>
  </si>
  <si>
    <t>BA-8000</t>
  </si>
  <si>
    <t>BA-8001</t>
  </si>
  <si>
    <t>BA-8002</t>
  </si>
  <si>
    <t>BA-8003</t>
  </si>
  <si>
    <t>BA-8004</t>
  </si>
  <si>
    <t>BA-8005</t>
  </si>
  <si>
    <t>BA-8006</t>
  </si>
  <si>
    <t>BA-8007</t>
  </si>
  <si>
    <t>BA-8008</t>
  </si>
  <si>
    <t>BA-8009</t>
  </si>
  <si>
    <t>BA-8010</t>
  </si>
  <si>
    <t>BA-8011</t>
  </si>
  <si>
    <t>BA-8012</t>
  </si>
  <si>
    <t>BA-8013</t>
  </si>
  <si>
    <t>BA-8014</t>
  </si>
  <si>
    <t>BA-8015</t>
  </si>
  <si>
    <t>BA-8016</t>
  </si>
  <si>
    <t>BA-8017</t>
  </si>
  <si>
    <t>BA-8018</t>
  </si>
  <si>
    <t>BA-8019</t>
  </si>
  <si>
    <t>BA-8020</t>
  </si>
  <si>
    <t>BA-8021</t>
  </si>
  <si>
    <t>BA-8022</t>
  </si>
  <si>
    <t>BA-8023</t>
  </si>
  <si>
    <t>BA-8024</t>
  </si>
  <si>
    <t>BA-8025</t>
  </si>
  <si>
    <t>BA-8026</t>
  </si>
  <si>
    <t>BA-8027</t>
  </si>
  <si>
    <t>BA-8028</t>
  </si>
  <si>
    <t>BA-8029</t>
  </si>
  <si>
    <t>BA-8030</t>
  </si>
  <si>
    <t>BA-8031</t>
  </si>
  <si>
    <t>BA-8032</t>
  </si>
  <si>
    <t>BA-8033</t>
  </si>
  <si>
    <t>BA-8034</t>
  </si>
  <si>
    <t>BA-8035</t>
  </si>
  <si>
    <t>BA-8036</t>
  </si>
  <si>
    <t>BA-8037</t>
  </si>
  <si>
    <t>BA-8038</t>
  </si>
  <si>
    <t>BA-8039</t>
  </si>
  <si>
    <t>BA-8040</t>
  </si>
  <si>
    <t>BA-8041</t>
  </si>
  <si>
    <t>BA-8042</t>
  </si>
  <si>
    <t>BA-8043</t>
  </si>
  <si>
    <t>BA-8044</t>
  </si>
  <si>
    <t>BA-8045</t>
  </si>
  <si>
    <t>BA-8046</t>
  </si>
  <si>
    <t>BA-8047</t>
  </si>
  <si>
    <t>BA-8048</t>
  </si>
  <si>
    <t>BA-8049</t>
  </si>
  <si>
    <t>BA-8050</t>
  </si>
  <si>
    <t>BA-8051</t>
  </si>
  <si>
    <t>BA-8052</t>
  </si>
  <si>
    <t>BA-8053</t>
  </si>
  <si>
    <t>BA-8054</t>
  </si>
  <si>
    <t>BA-8055</t>
  </si>
  <si>
    <t>BA-8056</t>
  </si>
  <si>
    <t>BA-8057</t>
  </si>
  <si>
    <t>BA-8058</t>
  </si>
  <si>
    <t>BA-8059</t>
  </si>
  <si>
    <t>BA-8060</t>
  </si>
  <si>
    <t>BA-8061</t>
  </si>
  <si>
    <t>BA-8062</t>
  </si>
  <si>
    <t>BA-8063</t>
  </si>
  <si>
    <t>BA-8064</t>
  </si>
  <si>
    <t>BA-8065</t>
  </si>
  <si>
    <t>BA-8066</t>
  </si>
  <si>
    <t>BA-8067</t>
  </si>
  <si>
    <t>BA-8068</t>
  </si>
  <si>
    <t>BA-8069</t>
  </si>
  <si>
    <t>BA-8070</t>
  </si>
  <si>
    <t>BA-8071</t>
  </si>
  <si>
    <t>BA-8072</t>
  </si>
  <si>
    <t>BA-8073</t>
  </si>
  <si>
    <t>BA-8074</t>
  </si>
  <si>
    <t>BA-8075</t>
  </si>
  <si>
    <t>BA-8076</t>
  </si>
  <si>
    <t>BA-8077</t>
  </si>
  <si>
    <t>BA-8078</t>
  </si>
  <si>
    <t>BA-8079</t>
  </si>
  <si>
    <t>BA-8080</t>
  </si>
  <si>
    <t>BA-8081</t>
  </si>
  <si>
    <t>BA-8082</t>
  </si>
  <si>
    <t>BA-8083</t>
  </si>
  <si>
    <t>BA-8084</t>
  </si>
  <si>
    <t>BA-8085</t>
  </si>
  <si>
    <t>BA-8086</t>
  </si>
  <si>
    <t>BA-8087</t>
  </si>
  <si>
    <t>BA-8088</t>
  </si>
  <si>
    <t>BA-8089</t>
  </si>
  <si>
    <t>BA-8090</t>
  </si>
  <si>
    <t>BA-8091</t>
  </si>
  <si>
    <t>BA-8092</t>
  </si>
  <si>
    <t>BA-8093</t>
  </si>
  <si>
    <t>BA-8094</t>
  </si>
  <si>
    <t>BA-8095</t>
  </si>
  <si>
    <t>BA-8096</t>
  </si>
  <si>
    <t>BA-8097</t>
  </si>
  <si>
    <t>BA-8098</t>
  </si>
  <si>
    <t>BA-8099</t>
  </si>
  <si>
    <t>BA-8100</t>
  </si>
  <si>
    <t>BA-8101</t>
  </si>
  <si>
    <t>BA-8102</t>
  </si>
  <si>
    <t>BA-8103</t>
  </si>
  <si>
    <t>BA-8104</t>
  </si>
  <si>
    <t>BA-8105</t>
  </si>
  <si>
    <t>BA-8106</t>
  </si>
  <si>
    <t>BA-8107</t>
  </si>
  <si>
    <t>BA-8108</t>
  </si>
  <si>
    <t>BA-8109</t>
  </si>
  <si>
    <t>BA-8110</t>
  </si>
  <si>
    <t>BA-8111</t>
  </si>
  <si>
    <t>BA-8112</t>
  </si>
  <si>
    <t>BA-8113</t>
  </si>
  <si>
    <t>BA-8114</t>
  </si>
  <si>
    <t>BA-8115</t>
  </si>
  <si>
    <t>BA-8116</t>
  </si>
  <si>
    <t>BA-8117</t>
  </si>
  <si>
    <t>BA-8118</t>
  </si>
  <si>
    <t>BA-8119</t>
  </si>
  <si>
    <t>BA-8120</t>
  </si>
  <si>
    <t>BA-8121</t>
  </si>
  <si>
    <t>BA-8122</t>
  </si>
  <si>
    <t>BA-8123</t>
  </si>
  <si>
    <t>BA-8124</t>
  </si>
  <si>
    <t>BA-8125</t>
  </si>
  <si>
    <t>BA-8126</t>
  </si>
  <si>
    <t>BA-8127</t>
  </si>
  <si>
    <t>BA-8128</t>
  </si>
  <si>
    <t>BA-8129</t>
  </si>
  <si>
    <t>BA-8130</t>
  </si>
  <si>
    <t>BA-8131</t>
  </si>
  <si>
    <t>BA-8132</t>
  </si>
  <si>
    <t>BA-8133</t>
  </si>
  <si>
    <t>BA-8134</t>
  </si>
  <si>
    <t>BA-8135</t>
  </si>
  <si>
    <t>BA-8136</t>
  </si>
  <si>
    <t>BA-8137</t>
  </si>
  <si>
    <t>BA-8138</t>
  </si>
  <si>
    <t>BA-8139</t>
  </si>
  <si>
    <t>BA-8140</t>
  </si>
  <si>
    <t>BA-8141</t>
  </si>
  <si>
    <t>BA-8142</t>
  </si>
  <si>
    <t>BA-8143</t>
  </si>
  <si>
    <t>BA-8144</t>
  </si>
  <si>
    <t>BA-8145</t>
  </si>
  <si>
    <t>BA-8146</t>
  </si>
  <si>
    <t>BA-8147</t>
  </si>
  <si>
    <t>BA-8148</t>
  </si>
  <si>
    <t>BA-8149</t>
  </si>
  <si>
    <t>BA-8150</t>
  </si>
  <si>
    <t>BA-8151</t>
  </si>
  <si>
    <t>BA-8152</t>
  </si>
  <si>
    <t>BA-8153</t>
  </si>
  <si>
    <t>BA-8154</t>
  </si>
  <si>
    <t>BA-8155</t>
  </si>
  <si>
    <t>BA-8156</t>
  </si>
  <si>
    <t>BA-8157</t>
  </si>
  <si>
    <t>BA-8158</t>
  </si>
  <si>
    <t>BA-8159</t>
  </si>
  <si>
    <t>BA-8160</t>
  </si>
  <si>
    <t>BA-8161</t>
  </si>
  <si>
    <t>BA-8162</t>
  </si>
  <si>
    <t>BA-8163</t>
  </si>
  <si>
    <t>BA-8164</t>
  </si>
  <si>
    <t>BA-8165</t>
  </si>
  <si>
    <t>BA-8166</t>
  </si>
  <si>
    <t>BA-8167</t>
  </si>
  <si>
    <t>BA-8168</t>
  </si>
  <si>
    <t>BA-8169</t>
  </si>
  <si>
    <t>BA-8170</t>
  </si>
  <si>
    <t>BA-8171</t>
  </si>
  <si>
    <t>BA-8172</t>
  </si>
  <si>
    <t>BA-8173</t>
  </si>
  <si>
    <t>BA-8174</t>
  </si>
  <si>
    <t>BA-8175</t>
  </si>
  <si>
    <t>BA-8176</t>
  </si>
  <si>
    <t>BA-8177</t>
  </si>
  <si>
    <t>BA-8178</t>
  </si>
  <si>
    <t>BA-8179</t>
  </si>
  <si>
    <t>BA-8180</t>
  </si>
  <si>
    <t>BA-8181</t>
  </si>
  <si>
    <t>BA-8182</t>
  </si>
  <si>
    <t>BA-8183</t>
  </si>
  <si>
    <t>BA-8184</t>
  </si>
  <si>
    <t>BA-8185</t>
  </si>
  <si>
    <t>BA-8186</t>
  </si>
  <si>
    <t>BA-8187</t>
  </si>
  <si>
    <t>BA-8188</t>
  </si>
  <si>
    <t>BA-8189</t>
  </si>
  <si>
    <t>BA-8190</t>
  </si>
  <si>
    <t>BA-8191</t>
  </si>
  <si>
    <t>BA-8192</t>
  </si>
  <si>
    <t>BA-8193</t>
  </si>
  <si>
    <t>BA-8194</t>
  </si>
  <si>
    <t>BA-8195</t>
  </si>
  <si>
    <t>BA-8196</t>
  </si>
  <si>
    <t>BA-8197</t>
  </si>
  <si>
    <t>BA-8198</t>
  </si>
  <si>
    <t>BA-8199</t>
  </si>
  <si>
    <t>BA-8200</t>
  </si>
  <si>
    <t>BA-8201</t>
  </si>
  <si>
    <t>BA-8202</t>
  </si>
  <si>
    <t>BA-8203</t>
  </si>
  <si>
    <t>BA-8204</t>
  </si>
  <si>
    <t>BA-8205</t>
  </si>
  <si>
    <t>BA-8206</t>
  </si>
  <si>
    <t>BA-8207</t>
  </si>
  <si>
    <t>BA-8208</t>
  </si>
  <si>
    <t>BA-8209</t>
  </si>
  <si>
    <t>BA-8210</t>
  </si>
  <si>
    <t>BA-8211</t>
  </si>
  <si>
    <t>BA-8212</t>
  </si>
  <si>
    <t>BA-8213</t>
  </si>
  <si>
    <t>BA-8214</t>
  </si>
  <si>
    <t>BA-8215</t>
  </si>
  <si>
    <t>BA-8216</t>
  </si>
  <si>
    <t>BA-8217</t>
  </si>
  <si>
    <t>BA-8218</t>
  </si>
  <si>
    <t>BA-8219</t>
  </si>
  <si>
    <t>BA-8220</t>
  </si>
  <si>
    <t>BA-8221</t>
  </si>
  <si>
    <t>BA-8222</t>
  </si>
  <si>
    <t>BA-8223</t>
  </si>
  <si>
    <t>BA-8224</t>
  </si>
  <si>
    <t>BA-8225</t>
  </si>
  <si>
    <t>BA-8226</t>
  </si>
  <si>
    <t>BA-8227</t>
  </si>
  <si>
    <t>BA-8228</t>
  </si>
  <si>
    <t>BA-8229</t>
  </si>
  <si>
    <t>BA-8230</t>
  </si>
  <si>
    <t>BA-8231</t>
  </si>
  <si>
    <t>BA-8232</t>
  </si>
  <si>
    <t>BA-8233</t>
  </si>
  <si>
    <t>BA-8234</t>
  </si>
  <si>
    <t>BA-8235</t>
  </si>
  <si>
    <t>BA-8236</t>
  </si>
  <si>
    <t>BA-8237</t>
  </si>
  <si>
    <t>BA-8238</t>
  </si>
  <si>
    <t>BA-8239</t>
  </si>
  <si>
    <t>BA-8240</t>
  </si>
  <si>
    <t>BA-8241</t>
  </si>
  <si>
    <t>BA-8242</t>
  </si>
  <si>
    <t>BA-8243</t>
  </si>
  <si>
    <t>BA-8244</t>
  </si>
  <si>
    <t>BA-8245</t>
  </si>
  <si>
    <t>BA-8246</t>
  </si>
  <si>
    <t>BA-8247</t>
  </si>
  <si>
    <t>BA-8248</t>
  </si>
  <si>
    <t>BA-8249</t>
  </si>
  <si>
    <t>BA-8250</t>
  </si>
  <si>
    <t>BA-8251</t>
  </si>
  <si>
    <t>BA-8252</t>
  </si>
  <si>
    <t>BA-8253</t>
  </si>
  <si>
    <t>BA-8254</t>
  </si>
  <si>
    <t>BA-8255</t>
  </si>
  <si>
    <t>BA-8256</t>
  </si>
  <si>
    <t>BA-8257</t>
  </si>
  <si>
    <t>BA-8258</t>
  </si>
  <si>
    <t>BA-8259</t>
  </si>
  <si>
    <t>BA-8260</t>
  </si>
  <si>
    <t>BA-8261</t>
  </si>
  <si>
    <t>BA-8262</t>
  </si>
  <si>
    <t>BA-8263</t>
  </si>
  <si>
    <t>BA-8264</t>
  </si>
  <si>
    <t>BA-8265</t>
  </si>
  <si>
    <t>BA-8266</t>
  </si>
  <si>
    <t>BA-8267</t>
  </si>
  <si>
    <t>BA-8268</t>
  </si>
  <si>
    <t>BA-8269</t>
  </si>
  <si>
    <t>BA-8270</t>
  </si>
  <si>
    <t>BA-8271</t>
  </si>
  <si>
    <t>BA-8272</t>
  </si>
  <si>
    <t>BA-8273</t>
  </si>
  <si>
    <t>BA-8274</t>
  </si>
  <si>
    <t>BA-8275</t>
  </si>
  <si>
    <t>BA-8276</t>
  </si>
  <si>
    <t>BA-8277</t>
  </si>
  <si>
    <t>BA-8278</t>
  </si>
  <si>
    <t>BA-8279</t>
  </si>
  <si>
    <t>BA-8280</t>
  </si>
  <si>
    <t>BA-8281</t>
  </si>
  <si>
    <t>BA-8282</t>
  </si>
  <si>
    <t>BA-8283</t>
  </si>
  <si>
    <t>BA-8284</t>
  </si>
  <si>
    <t>BA-8285</t>
  </si>
  <si>
    <t>BA-8286</t>
  </si>
  <si>
    <t>BA-8287</t>
  </si>
  <si>
    <t>BA-8288</t>
  </si>
  <si>
    <t>BA-8289</t>
  </si>
  <si>
    <t>BA-8290</t>
  </si>
  <si>
    <t>BA-8291</t>
  </si>
  <si>
    <t>BA-8292</t>
  </si>
  <si>
    <t>BA-8293</t>
  </si>
  <si>
    <t>BA-8294</t>
  </si>
  <si>
    <t>BA-8295</t>
  </si>
  <si>
    <t>BA-8296</t>
  </si>
  <si>
    <t>BA-8297</t>
  </si>
  <si>
    <t>BA-8298</t>
  </si>
  <si>
    <t>BA-8299</t>
  </si>
  <si>
    <t>BA-8300</t>
  </si>
  <si>
    <t>BA-8301</t>
  </si>
  <si>
    <t>BA-8302</t>
  </si>
  <si>
    <t>BA-8303</t>
  </si>
  <si>
    <t>BA-8304</t>
  </si>
  <si>
    <t>BA-8305</t>
  </si>
  <si>
    <t>BA-8306</t>
  </si>
  <si>
    <t>BA-8307</t>
  </si>
  <si>
    <t>BA-8308</t>
  </si>
  <si>
    <t>BA-8309</t>
  </si>
  <si>
    <t>BA-8310</t>
  </si>
  <si>
    <t>BA-8311</t>
  </si>
  <si>
    <t>BA-8312</t>
  </si>
  <si>
    <t>BA-8313</t>
  </si>
  <si>
    <t>BA-8314</t>
  </si>
  <si>
    <t>BA-8315</t>
  </si>
  <si>
    <t>BA-8316</t>
  </si>
  <si>
    <t>BA-8317</t>
  </si>
  <si>
    <t>BA-8318</t>
  </si>
  <si>
    <t>BA-8319</t>
  </si>
  <si>
    <t>BA-8320</t>
  </si>
  <si>
    <t>BA-8321</t>
  </si>
  <si>
    <t>BA-8322</t>
  </si>
  <si>
    <t>BA-8323</t>
  </si>
  <si>
    <t>BA-8324</t>
  </si>
  <si>
    <t>BA-8325</t>
  </si>
  <si>
    <t>BA-8326</t>
  </si>
  <si>
    <t>BA-8327</t>
  </si>
  <si>
    <t>BA-8328</t>
  </si>
  <si>
    <t>BA-8329</t>
  </si>
  <si>
    <t>BA-8330</t>
  </si>
  <si>
    <t>BA-8331</t>
  </si>
  <si>
    <t>BA-8332</t>
  </si>
  <si>
    <t>BA-8333</t>
  </si>
  <si>
    <t>BA-8334</t>
  </si>
  <si>
    <t>BA-8335</t>
  </si>
  <si>
    <t>BA-8336</t>
  </si>
  <si>
    <t>BA-8337</t>
  </si>
  <si>
    <t>BA-8338</t>
  </si>
  <si>
    <t>BA-8339</t>
  </si>
  <si>
    <t>BA-8340</t>
  </si>
  <si>
    <t>BA-8341</t>
  </si>
  <si>
    <t>BA-8342</t>
  </si>
  <si>
    <t>BA-8343</t>
  </si>
  <si>
    <t>BA-8344</t>
  </si>
  <si>
    <t>BA-8345</t>
  </si>
  <si>
    <t>BA-8346</t>
  </si>
  <si>
    <t>BA-8347</t>
  </si>
  <si>
    <t>BA-8348</t>
  </si>
  <si>
    <t>BA-8349</t>
  </si>
  <si>
    <t>BA-8350</t>
  </si>
  <si>
    <t>BA-8351</t>
  </si>
  <si>
    <t>BA-8352</t>
  </si>
  <si>
    <t>BA-8353</t>
  </si>
  <si>
    <t>BA-8354</t>
  </si>
  <si>
    <t>BA-8355</t>
  </si>
  <si>
    <t>BA-8356</t>
  </si>
  <si>
    <t>BA-8357</t>
  </si>
  <si>
    <t>BA-8358</t>
  </si>
  <si>
    <t>BA-8359</t>
  </si>
  <si>
    <t>BA-8360</t>
  </si>
  <si>
    <t>BA-8361</t>
  </si>
  <si>
    <t>BA-8362</t>
  </si>
  <si>
    <t>BA-8363</t>
  </si>
  <si>
    <t>BA-8364</t>
  </si>
  <si>
    <t>BA-8365</t>
  </si>
  <si>
    <t>BA-8366</t>
  </si>
  <si>
    <t>BA-8367</t>
  </si>
  <si>
    <t>BA-8368</t>
  </si>
  <si>
    <t>BA-8369</t>
  </si>
  <si>
    <t>BA-8370</t>
  </si>
  <si>
    <t>BA-8371</t>
  </si>
  <si>
    <t>BA-8372</t>
  </si>
  <si>
    <t>BA-8373</t>
  </si>
  <si>
    <t>BA-8374</t>
  </si>
  <si>
    <t>BA-8375</t>
  </si>
  <si>
    <t>BA-8376</t>
  </si>
  <si>
    <t>BA-8377</t>
  </si>
  <si>
    <t>BA-8378</t>
  </si>
  <si>
    <t>BA-8379</t>
  </si>
  <si>
    <t>BA-8380</t>
  </si>
  <si>
    <t>BA-8381</t>
  </si>
  <si>
    <t>BA-8382</t>
  </si>
  <si>
    <t>BA-8383</t>
  </si>
  <si>
    <t>BA-8384</t>
  </si>
  <si>
    <t>BA-8385</t>
  </si>
  <si>
    <t>BA-8386</t>
  </si>
  <si>
    <t>BA-8387</t>
  </si>
  <si>
    <t>BA-8388</t>
  </si>
  <si>
    <t>BA-8389</t>
  </si>
  <si>
    <t>BA-8390</t>
  </si>
  <si>
    <t>BA-8391</t>
  </si>
  <si>
    <t>BA-8392</t>
  </si>
  <si>
    <t>BA-8393</t>
  </si>
  <si>
    <t>BA-8394</t>
  </si>
  <si>
    <t>BA-8395</t>
  </si>
  <si>
    <t>BA-8396</t>
  </si>
  <si>
    <t>BA-8397</t>
  </si>
  <si>
    <t>BA-8398</t>
  </si>
  <si>
    <t>BA-8399</t>
  </si>
  <si>
    <t>BA-8400</t>
  </si>
  <si>
    <t>BA-8401</t>
  </si>
  <si>
    <t>BA-8402</t>
  </si>
  <si>
    <t>BA-8403</t>
  </si>
  <si>
    <t>BA-8404</t>
  </si>
  <si>
    <t>BA-8405</t>
  </si>
  <si>
    <t>BA-8406</t>
  </si>
  <si>
    <t>BA-8407</t>
  </si>
  <si>
    <t>BA-8408</t>
  </si>
  <si>
    <t>BA-8409</t>
  </si>
  <si>
    <t>BA-8410</t>
  </si>
  <si>
    <t>BA-8411</t>
  </si>
  <si>
    <t>BA-8412</t>
  </si>
  <si>
    <t>BA-8413</t>
  </si>
  <si>
    <t>BA-8414</t>
  </si>
  <si>
    <t>BA-8415</t>
  </si>
  <si>
    <t>BA-8416</t>
  </si>
  <si>
    <t>BA-8417</t>
  </si>
  <si>
    <t>BA-8418</t>
  </si>
  <si>
    <t>BA-8419</t>
  </si>
  <si>
    <t>BA-8420</t>
  </si>
  <si>
    <t>BA-8421</t>
  </si>
  <si>
    <t>BA-8422</t>
  </si>
  <si>
    <t>BA-8423</t>
  </si>
  <si>
    <t>BA-8424</t>
  </si>
  <si>
    <t>BA-8425</t>
  </si>
  <si>
    <t>BA-8426</t>
  </si>
  <si>
    <t>BA-8427</t>
  </si>
  <si>
    <t>BA-8428</t>
  </si>
  <si>
    <t>BA-8429</t>
  </si>
  <si>
    <t>BA-8430</t>
  </si>
  <si>
    <t>BA-8431</t>
  </si>
  <si>
    <t>BA-8432</t>
  </si>
  <si>
    <t>BA-8433</t>
  </si>
  <si>
    <t>BA-8434</t>
  </si>
  <si>
    <t>BA-8435</t>
  </si>
  <si>
    <t>BA-8436</t>
  </si>
  <si>
    <t>BA-8437</t>
  </si>
  <si>
    <t>BA-8438</t>
  </si>
  <si>
    <t>BA-8439</t>
  </si>
  <si>
    <t>BA-8440</t>
  </si>
  <si>
    <t>BA-8441</t>
  </si>
  <si>
    <t>BA-8442</t>
  </si>
  <si>
    <t>BA-8443</t>
  </si>
  <si>
    <t>BA-8444</t>
  </si>
  <si>
    <t>BA-8445</t>
  </si>
  <si>
    <t>BA-8446</t>
  </si>
  <si>
    <t>BA-8447</t>
  </si>
  <si>
    <t>BA-8448</t>
  </si>
  <si>
    <t>BA-8449</t>
  </si>
  <si>
    <t>BA-8450</t>
  </si>
  <si>
    <t>BA-8451</t>
  </si>
  <si>
    <t>BA-8452</t>
  </si>
  <si>
    <t>BA-8453</t>
  </si>
  <si>
    <t>BA-8454</t>
  </si>
  <si>
    <t>BA-8455</t>
  </si>
  <si>
    <t>BA-8456</t>
  </si>
  <si>
    <t>BA-8457</t>
  </si>
  <si>
    <t>BA-8458</t>
  </si>
  <si>
    <t>BA-8459</t>
  </si>
  <si>
    <t>BA-8460</t>
  </si>
  <si>
    <t>BA-8461</t>
  </si>
  <si>
    <t>BA-8462</t>
  </si>
  <si>
    <t>BA-8463</t>
  </si>
  <si>
    <t>BA-8464</t>
  </si>
  <si>
    <t>BA-8465</t>
  </si>
  <si>
    <t>BA-8466</t>
  </si>
  <si>
    <t>BA-8467</t>
  </si>
  <si>
    <t>BA-8468</t>
  </si>
  <si>
    <t>BA-8469</t>
  </si>
  <si>
    <t>BA-8470</t>
  </si>
  <si>
    <t>BA-8471</t>
  </si>
  <si>
    <t>BA-8472</t>
  </si>
  <si>
    <t>BA-8473</t>
  </si>
  <si>
    <t>BA-8474</t>
  </si>
  <si>
    <t>BA-8475</t>
  </si>
  <si>
    <t>BA-8476</t>
  </si>
  <si>
    <t>BA-8477</t>
  </si>
  <si>
    <t>BA-8478</t>
  </si>
  <si>
    <t>BA-8479</t>
  </si>
  <si>
    <t>BA-8480</t>
  </si>
  <si>
    <t>BA-8481</t>
  </si>
  <si>
    <t>BA-8482</t>
  </si>
  <si>
    <t>BA-8483</t>
  </si>
  <si>
    <t>BA-8484</t>
  </si>
  <si>
    <t>BA-8485</t>
  </si>
  <si>
    <t>BA-8486</t>
  </si>
  <si>
    <t>BA-8487</t>
  </si>
  <si>
    <t>BA-8488</t>
  </si>
  <si>
    <t>BA-8489</t>
  </si>
  <si>
    <t>BA-8490</t>
  </si>
  <si>
    <t>BA-8491</t>
  </si>
  <si>
    <t>BA-8492</t>
  </si>
  <si>
    <t>BA-8493</t>
  </si>
  <si>
    <t>BA-8494</t>
  </si>
  <si>
    <t>BA-8495</t>
  </si>
  <si>
    <t>BA-8496</t>
  </si>
  <si>
    <t>BA-8497</t>
  </si>
  <si>
    <t>BA-8498</t>
  </si>
  <si>
    <t>BA-8499</t>
  </si>
  <si>
    <t>BA-8500</t>
  </si>
  <si>
    <t>BA-8501</t>
  </si>
  <si>
    <t>BA-8502</t>
  </si>
  <si>
    <t>BA-8503</t>
  </si>
  <si>
    <t>BA-8504</t>
  </si>
  <si>
    <t>BA-8505</t>
  </si>
  <si>
    <t>BA-8506</t>
  </si>
  <si>
    <t>BA-8507</t>
  </si>
  <si>
    <t>BA-8508</t>
  </si>
  <si>
    <t>BA-8509</t>
  </si>
  <si>
    <t>BA-8510</t>
  </si>
  <si>
    <t>BA-8511</t>
  </si>
  <si>
    <t>BA-8512</t>
  </si>
  <si>
    <t>BA-8513</t>
  </si>
  <si>
    <t>BA-8514</t>
  </si>
  <si>
    <t>BA-8515</t>
  </si>
  <si>
    <t>BA-8516</t>
  </si>
  <si>
    <t>BA-8517</t>
  </si>
  <si>
    <t>BA-8518</t>
  </si>
  <si>
    <t>BA-8519</t>
  </si>
  <si>
    <t>BA-8520</t>
  </si>
  <si>
    <t>BA-8521</t>
  </si>
  <si>
    <t>BA-8522</t>
  </si>
  <si>
    <t>BA-8523</t>
  </si>
  <si>
    <t>BA-8524</t>
  </si>
  <si>
    <t>BA-8525</t>
  </si>
  <si>
    <t>BA-8526</t>
  </si>
  <si>
    <t>BA-8527</t>
  </si>
  <si>
    <t>BA-8528</t>
  </si>
  <si>
    <t>BA-8529</t>
  </si>
  <si>
    <t>BA-8530</t>
  </si>
  <si>
    <t>BA-8531</t>
  </si>
  <si>
    <t>BA-8532</t>
  </si>
  <si>
    <t>BA-8533</t>
  </si>
  <si>
    <t>BA-8534</t>
  </si>
  <si>
    <t>BA-8535</t>
  </si>
  <si>
    <t>BA-8536</t>
  </si>
  <si>
    <t>BA-8537</t>
  </si>
  <si>
    <t>BA-8538</t>
  </si>
  <si>
    <t>BA-8539</t>
  </si>
  <si>
    <t>BA-8540</t>
  </si>
  <si>
    <t>BA-8541</t>
  </si>
  <si>
    <t>BA-8542</t>
  </si>
  <si>
    <t>BA-8543</t>
  </si>
  <si>
    <t>BA-8544</t>
  </si>
  <si>
    <t>BA-8545</t>
  </si>
  <si>
    <t>BA-8546</t>
  </si>
  <si>
    <t>BA-8547</t>
  </si>
  <si>
    <t>BA-8548</t>
  </si>
  <si>
    <t>BA-8549</t>
  </si>
  <si>
    <t>BA-8550</t>
  </si>
  <si>
    <t>BA-8551</t>
  </si>
  <si>
    <t>BA-8552</t>
  </si>
  <si>
    <t>BA-8553</t>
  </si>
  <si>
    <t>BA-8554</t>
  </si>
  <si>
    <t>BA-8555</t>
  </si>
  <si>
    <t>BA-8556</t>
  </si>
  <si>
    <t>BA-8557</t>
  </si>
  <si>
    <t>BA-8558</t>
  </si>
  <si>
    <t>BA-8559</t>
  </si>
  <si>
    <t>BA-8560</t>
  </si>
  <si>
    <t>BA-8561</t>
  </si>
  <si>
    <t>BA-8562</t>
  </si>
  <si>
    <t>BA-8563</t>
  </si>
  <si>
    <t>BA-8564</t>
  </si>
  <si>
    <t>BA-8565</t>
  </si>
  <si>
    <t>BA-8566</t>
  </si>
  <si>
    <t>BA-8567</t>
  </si>
  <si>
    <t>BA-8568</t>
  </si>
  <si>
    <t>BA-8569</t>
  </si>
  <si>
    <t>BA-8570</t>
  </si>
  <si>
    <t>BA-8571</t>
  </si>
  <si>
    <t>BA-8572</t>
  </si>
  <si>
    <t>BA-8573</t>
  </si>
  <si>
    <t>BA-8574</t>
  </si>
  <si>
    <t>BA-8575</t>
  </si>
  <si>
    <t>BA-8576</t>
  </si>
  <si>
    <t>BA-8577</t>
  </si>
  <si>
    <t>BA-8578</t>
  </si>
  <si>
    <t>BA-8579</t>
  </si>
  <si>
    <t>BA-8580</t>
  </si>
  <si>
    <t>BA-8581</t>
  </si>
  <si>
    <t>BA-8582</t>
  </si>
  <si>
    <t>BA-8583</t>
  </si>
  <si>
    <t>BA-8584</t>
  </si>
  <si>
    <t>BA-8585</t>
  </si>
  <si>
    <t>BA-8586</t>
  </si>
  <si>
    <t>BA-8587</t>
  </si>
  <si>
    <t>BA-8588</t>
  </si>
  <si>
    <t>BA-8589</t>
  </si>
  <si>
    <t>BA-8590</t>
  </si>
  <si>
    <t>BA-8591</t>
  </si>
  <si>
    <t>BA-8592</t>
  </si>
  <si>
    <t>BA-8593</t>
  </si>
  <si>
    <t>BA-8594</t>
  </si>
  <si>
    <t>BA-8595</t>
  </si>
  <si>
    <t>BA-8596</t>
  </si>
  <si>
    <t>BA-8597</t>
  </si>
  <si>
    <t>BA-8598</t>
  </si>
  <si>
    <t>BA-8599</t>
  </si>
  <si>
    <t>BA-8600</t>
  </si>
  <si>
    <t>BA-8601</t>
  </si>
  <si>
    <t>BA-8602</t>
  </si>
  <si>
    <t>BA-8603</t>
  </si>
  <si>
    <t>BA-8604</t>
  </si>
  <si>
    <t>BA-8605</t>
  </si>
  <si>
    <t>BA-8606</t>
  </si>
  <si>
    <t>BA-8607</t>
  </si>
  <si>
    <t>BA-8608</t>
  </si>
  <si>
    <t>BA-8609</t>
  </si>
  <si>
    <t>BA-8610</t>
  </si>
  <si>
    <t>BA-8611</t>
  </si>
  <si>
    <t>BA-8612</t>
  </si>
  <si>
    <t>BA-8613</t>
  </si>
  <si>
    <t>BA-8614</t>
  </si>
  <si>
    <t>BA-8615</t>
  </si>
  <si>
    <t>BA-8616</t>
  </si>
  <si>
    <t>BA-8617</t>
  </si>
  <si>
    <t>BA-8618</t>
  </si>
  <si>
    <t>BA-8619</t>
  </si>
  <si>
    <t>BA-8620</t>
  </si>
  <si>
    <t>BA-8621</t>
  </si>
  <si>
    <t>BA-8622</t>
  </si>
  <si>
    <t>BA-8623</t>
  </si>
  <si>
    <t>BA-8624</t>
  </si>
  <si>
    <t>BA-8625</t>
  </si>
  <si>
    <t>BA-8626</t>
  </si>
  <si>
    <t>BA-8627</t>
  </si>
  <si>
    <t>BA-8628</t>
  </si>
  <si>
    <t>BA-8629</t>
  </si>
  <si>
    <t>BA-8630</t>
  </si>
  <si>
    <t>BA-8631</t>
  </si>
  <si>
    <t>BA-8632</t>
  </si>
  <si>
    <t>BA-8633</t>
  </si>
  <si>
    <t>BA-8634</t>
  </si>
  <si>
    <t>BA-8635</t>
  </si>
  <si>
    <t>BA-8636</t>
  </si>
  <si>
    <t>BA-8637</t>
  </si>
  <si>
    <t>BA-8638</t>
  </si>
  <si>
    <t>BA-8639</t>
  </si>
  <si>
    <t>BA-8640</t>
  </si>
  <si>
    <t>BA-8641</t>
  </si>
  <si>
    <t>BA-8642</t>
  </si>
  <si>
    <t>BA-8643</t>
  </si>
  <si>
    <t>BA-8644</t>
  </si>
  <si>
    <t>BA-8645</t>
  </si>
  <si>
    <t>BA-8646</t>
  </si>
  <si>
    <t>BA-8647</t>
  </si>
  <si>
    <t>BA-8648</t>
  </si>
  <si>
    <t>BA-8649</t>
  </si>
  <si>
    <t>BA-8650</t>
  </si>
  <si>
    <t>BA-8651</t>
  </si>
  <si>
    <t>BA-8652</t>
  </si>
  <si>
    <t>BA-8653</t>
  </si>
  <si>
    <t>BA-8654</t>
  </si>
  <si>
    <t>BA-8655</t>
  </si>
  <si>
    <t>BA-8656</t>
  </si>
  <si>
    <t>BA-8657</t>
  </si>
  <si>
    <t>BA-8658</t>
  </si>
  <si>
    <t>BA-8659</t>
  </si>
  <si>
    <t>BA-8660</t>
  </si>
  <si>
    <t>BA-8661</t>
  </si>
  <si>
    <t>BA-8662</t>
  </si>
  <si>
    <t>BA-8663</t>
  </si>
  <si>
    <t>BA-8664</t>
  </si>
  <si>
    <t>BA-8665</t>
  </si>
  <si>
    <t>BA-8666</t>
  </si>
  <si>
    <t>BA-8667</t>
  </si>
  <si>
    <t>BA-8668</t>
  </si>
  <si>
    <t>BA-8669</t>
  </si>
  <si>
    <t>BA-8670</t>
  </si>
  <si>
    <t>BA-8671</t>
  </si>
  <si>
    <t>BA-8672</t>
  </si>
  <si>
    <t>BA-8673</t>
  </si>
  <si>
    <t>BA-8674</t>
  </si>
  <si>
    <t>BA-8675</t>
  </si>
  <si>
    <t>BA-8676</t>
  </si>
  <si>
    <t>BA-8677</t>
  </si>
  <si>
    <t>BA-8678</t>
  </si>
  <si>
    <t>BA-8679</t>
  </si>
  <si>
    <t>BA-8680</t>
  </si>
  <si>
    <t>BA-8681</t>
  </si>
  <si>
    <t>BA-8682</t>
  </si>
  <si>
    <t>BA-8683</t>
  </si>
  <si>
    <t>BA-8684</t>
  </si>
  <si>
    <t>BA-8685</t>
  </si>
  <si>
    <t>BA-8686</t>
  </si>
  <si>
    <t>BA-8687</t>
  </si>
  <si>
    <t>BA-8688</t>
  </si>
  <si>
    <t>BA-8689</t>
  </si>
  <si>
    <t>BA-8690</t>
  </si>
  <si>
    <t>BA-8691</t>
  </si>
  <si>
    <t>BA-8692</t>
  </si>
  <si>
    <t>BA-8693</t>
  </si>
  <si>
    <t>BA-8694</t>
  </si>
  <si>
    <t>BA-8695</t>
  </si>
  <si>
    <t>BA-8696</t>
  </si>
  <si>
    <t>BA-8697</t>
  </si>
  <si>
    <t>BA-8698</t>
  </si>
  <si>
    <t>BA-8699</t>
  </si>
  <si>
    <t>BA-8700</t>
  </si>
  <si>
    <t>BA-8701</t>
  </si>
  <si>
    <t>BA-8702</t>
  </si>
  <si>
    <t>BA-8703</t>
  </si>
  <si>
    <t>BA-8704</t>
  </si>
  <si>
    <t>BA-8705</t>
  </si>
  <si>
    <t>BA-8706</t>
  </si>
  <si>
    <t>BA-8707</t>
  </si>
  <si>
    <t>BA-8708</t>
  </si>
  <si>
    <t>BA-8709</t>
  </si>
  <si>
    <t>BA-8710</t>
  </si>
  <si>
    <t>BA-8711</t>
  </si>
  <si>
    <t>BA-8712</t>
  </si>
  <si>
    <t>BA-8713</t>
  </si>
  <si>
    <t>BA-8714</t>
  </si>
  <si>
    <t>BA-8715</t>
  </si>
  <si>
    <t>BA-8716</t>
  </si>
  <si>
    <t>BA-8717</t>
  </si>
  <si>
    <t>BA-8718</t>
  </si>
  <si>
    <t>BA-8719</t>
  </si>
  <si>
    <t>BA-8720</t>
  </si>
  <si>
    <t>BA-8721</t>
  </si>
  <si>
    <t>BA-8722</t>
  </si>
  <si>
    <t>BA-8723</t>
  </si>
  <si>
    <t>BA-8724</t>
  </si>
  <si>
    <t>BA-8725</t>
  </si>
  <si>
    <t>BA-8726</t>
  </si>
  <si>
    <t>BA-8727</t>
  </si>
  <si>
    <t>BA-8728</t>
  </si>
  <si>
    <t>BA-8729</t>
  </si>
  <si>
    <t>BA-8730</t>
  </si>
  <si>
    <t>BA-8731</t>
  </si>
  <si>
    <t>BA-8732</t>
  </si>
  <si>
    <t>BA-8733</t>
  </si>
  <si>
    <t>BA-8734</t>
  </si>
  <si>
    <t>BA-8735</t>
  </si>
  <si>
    <t>BA-8736</t>
  </si>
  <si>
    <t>BA-8737</t>
  </si>
  <si>
    <t>BA-8738</t>
  </si>
  <si>
    <t>BA-8739</t>
  </si>
  <si>
    <t>BA-8740</t>
  </si>
  <si>
    <t>BA-8741</t>
  </si>
  <si>
    <t>BA-8742</t>
  </si>
  <si>
    <t>BA-8743</t>
  </si>
  <si>
    <t>BA-8744</t>
  </si>
  <si>
    <t>BA-8745</t>
  </si>
  <si>
    <t>BA-8746</t>
  </si>
  <si>
    <t>BA-8747</t>
  </si>
  <si>
    <t>BA-8748</t>
  </si>
  <si>
    <t>BA-8749</t>
  </si>
  <si>
    <t>BA-8750</t>
  </si>
  <si>
    <t>BA-8751</t>
  </si>
  <si>
    <t>BA-8752</t>
  </si>
  <si>
    <t>BA-8753</t>
  </si>
  <si>
    <t>BA-8754</t>
  </si>
  <si>
    <t>BA-8755</t>
  </si>
  <si>
    <t>BA-8756</t>
  </si>
  <si>
    <t>BA-8757</t>
  </si>
  <si>
    <t>BA-8758</t>
  </si>
  <si>
    <t>BA-8759</t>
  </si>
  <si>
    <t>BA-8760</t>
  </si>
  <si>
    <t>BA-8761</t>
  </si>
  <si>
    <t>BA-8762</t>
  </si>
  <si>
    <t>BA-8763</t>
  </si>
  <si>
    <t>BA-8764</t>
  </si>
  <si>
    <t>BA-8765</t>
  </si>
  <si>
    <t>BA-8766</t>
  </si>
  <si>
    <t>BA-8767</t>
  </si>
  <si>
    <t>BA-8768</t>
  </si>
  <si>
    <t>BA-8769</t>
  </si>
  <si>
    <t>BA-8770</t>
  </si>
  <si>
    <t>BA-8771</t>
  </si>
  <si>
    <t>BA-8772</t>
  </si>
  <si>
    <t>BA-8773</t>
  </si>
  <si>
    <t>BA-8774</t>
  </si>
  <si>
    <t>BA-8775</t>
  </si>
  <si>
    <t>BA-8776</t>
  </si>
  <si>
    <t>BA-8777</t>
  </si>
  <si>
    <t>BA-8778</t>
  </si>
  <si>
    <t>BA-8779</t>
  </si>
  <si>
    <t>BA-8780</t>
  </si>
  <si>
    <t>BA-8781</t>
  </si>
  <si>
    <t>BA-8782</t>
  </si>
  <si>
    <t>BA-8783</t>
  </si>
  <si>
    <t>BA-8784</t>
  </si>
  <si>
    <t>BA-8785</t>
  </si>
  <si>
    <t>BA-8786</t>
  </si>
  <si>
    <t>BA-8787</t>
  </si>
  <si>
    <t>BA-8788</t>
  </si>
  <si>
    <t>BA-8789</t>
  </si>
  <si>
    <t>BA-8790</t>
  </si>
  <si>
    <t>BA-8791</t>
  </si>
  <si>
    <t>BA-8792</t>
  </si>
  <si>
    <t>BA-8793</t>
  </si>
  <si>
    <t>BA-8794</t>
  </si>
  <si>
    <t>BA-8795</t>
  </si>
  <si>
    <t>BA-8796</t>
  </si>
  <si>
    <t>BA-8797</t>
  </si>
  <si>
    <t>BA-8798</t>
  </si>
  <si>
    <t>BA-8799</t>
  </si>
  <si>
    <t>BA-8800</t>
  </si>
  <si>
    <t>BA-8801</t>
  </si>
  <si>
    <t>BA-8802</t>
  </si>
  <si>
    <t>BA-8803</t>
  </si>
  <si>
    <t>BA-8804</t>
  </si>
  <si>
    <t>BA-8805</t>
  </si>
  <si>
    <t>BA-8806</t>
  </si>
  <si>
    <t>BA-8807</t>
  </si>
  <si>
    <t>BA-8808</t>
  </si>
  <si>
    <t>BA-8809</t>
  </si>
  <si>
    <t>BA-8810</t>
  </si>
  <si>
    <t>BA-8811</t>
  </si>
  <si>
    <t>BA-8812</t>
  </si>
  <si>
    <t>BA-8813</t>
  </si>
  <si>
    <t>BA-8814</t>
  </si>
  <si>
    <t>BA-8815</t>
  </si>
  <si>
    <t>BA-8816</t>
  </si>
  <si>
    <t>BA-8817</t>
  </si>
  <si>
    <t>BA-8818</t>
  </si>
  <si>
    <t>BA-8819</t>
  </si>
  <si>
    <t>BA-8820</t>
  </si>
  <si>
    <t>BA-8821</t>
  </si>
  <si>
    <t>BA-8822</t>
  </si>
  <si>
    <t>BA-8823</t>
  </si>
  <si>
    <t>BA-8824</t>
  </si>
  <si>
    <t>BA-8825</t>
  </si>
  <si>
    <t>BA-8826</t>
  </si>
  <si>
    <t>BA-8827</t>
  </si>
  <si>
    <t>BA-8828</t>
  </si>
  <si>
    <t>BA-8829</t>
  </si>
  <si>
    <t>BA-8830</t>
  </si>
  <si>
    <t>BA-8831</t>
  </si>
  <si>
    <t>BA-8832</t>
  </si>
  <si>
    <t>BA-8833</t>
  </si>
  <si>
    <t>BA-8834</t>
  </si>
  <si>
    <t>BA-8835</t>
  </si>
  <si>
    <t>BA-8836</t>
  </si>
  <si>
    <t>BA-8837</t>
  </si>
  <si>
    <t>BA-8838</t>
  </si>
  <si>
    <t>BA-8839</t>
  </si>
  <si>
    <t>BA-8840</t>
  </si>
  <si>
    <t>BA-8841</t>
  </si>
  <si>
    <t>BA-8842</t>
  </si>
  <si>
    <t>BA-8843</t>
  </si>
  <si>
    <t>BA-8844</t>
  </si>
  <si>
    <t>BA-8845</t>
  </si>
  <si>
    <t>BA-8846</t>
  </si>
  <si>
    <t>BA-8847</t>
  </si>
  <si>
    <t>BA-8848</t>
  </si>
  <si>
    <t>BA-8849</t>
  </si>
  <si>
    <t>BA-8850</t>
  </si>
  <si>
    <t>BA-8851</t>
  </si>
  <si>
    <t>BA-8852</t>
  </si>
  <si>
    <t>BA-8853</t>
  </si>
  <si>
    <t>BA-8854</t>
  </si>
  <si>
    <t>BA-8855</t>
  </si>
  <si>
    <t>BA-8856</t>
  </si>
  <si>
    <t>BA-8857</t>
  </si>
  <si>
    <t>BA-8858</t>
  </si>
  <si>
    <t>BA-8859</t>
  </si>
  <si>
    <t>BA-8860</t>
  </si>
  <si>
    <t>BA-8861</t>
  </si>
  <si>
    <t>BA-8862</t>
  </si>
  <si>
    <t>BA-8863</t>
  </si>
  <si>
    <t>BA-8864</t>
  </si>
  <si>
    <t>BA-8865</t>
  </si>
  <si>
    <t>BA-8866</t>
  </si>
  <si>
    <t>BA-8867</t>
  </si>
  <si>
    <t>BA-8868</t>
  </si>
  <si>
    <t>BA-8869</t>
  </si>
  <si>
    <t>BA-8870</t>
  </si>
  <si>
    <t>BA-8871</t>
  </si>
  <si>
    <t>BA-8872</t>
  </si>
  <si>
    <t>BA-8873</t>
  </si>
  <si>
    <t>BA-8874</t>
  </si>
  <si>
    <t>BA-8875</t>
  </si>
  <si>
    <t>BA-8876</t>
  </si>
  <si>
    <t>BA-8877</t>
  </si>
  <si>
    <t>BA-8878</t>
  </si>
  <si>
    <t>BA-8879</t>
  </si>
  <si>
    <t>BA-8880</t>
  </si>
  <si>
    <t>BA-8881</t>
  </si>
  <si>
    <t>BA-8882</t>
  </si>
  <si>
    <t>BA-8883</t>
  </si>
  <si>
    <t>BA-8884</t>
  </si>
  <si>
    <t>BA-8885</t>
  </si>
  <si>
    <t>BA-8886</t>
  </si>
  <si>
    <t>BA-8887</t>
  </si>
  <si>
    <t>BA-8888</t>
  </si>
  <si>
    <t>BA-8889</t>
  </si>
  <si>
    <t>BA-8890</t>
  </si>
  <si>
    <t>BA-8891</t>
  </si>
  <si>
    <t>BA-8892</t>
  </si>
  <si>
    <t>BA-8893</t>
  </si>
  <si>
    <t>BA-8894</t>
  </si>
  <si>
    <t>BA-8895</t>
  </si>
  <si>
    <t>BA-8896</t>
  </si>
  <si>
    <t>BA-8897</t>
  </si>
  <si>
    <t>BA-8898</t>
  </si>
  <si>
    <t>BA-8899</t>
  </si>
  <si>
    <t>BA-8900</t>
  </si>
  <si>
    <t>BA-8901</t>
  </si>
  <si>
    <t>BA-8902</t>
  </si>
  <si>
    <t>BA-8903</t>
  </si>
  <si>
    <t>BA-8904</t>
  </si>
  <si>
    <t>BA-8905</t>
  </si>
  <si>
    <t>BA-8906</t>
  </si>
  <si>
    <t>BA-8907</t>
  </si>
  <si>
    <t>BA-8908</t>
  </si>
  <si>
    <t>BA-8909</t>
  </si>
  <si>
    <t>BA-8910</t>
  </si>
  <si>
    <t>BA-8911</t>
  </si>
  <si>
    <t>BA-8912</t>
  </si>
  <si>
    <t>BA-8913</t>
  </si>
  <si>
    <t>BA-8914</t>
  </si>
  <si>
    <t>BA-8915</t>
  </si>
  <si>
    <t>BA-8916</t>
  </si>
  <si>
    <t>BA-8917</t>
  </si>
  <si>
    <t>BA-8918</t>
  </si>
  <si>
    <t>BA-8919</t>
  </si>
  <si>
    <t>BA-8920</t>
  </si>
  <si>
    <t>BA-8921</t>
  </si>
  <si>
    <t>BA-8922</t>
  </si>
  <si>
    <t>BA-8923</t>
  </si>
  <si>
    <t>BA-8924</t>
  </si>
  <si>
    <t>BA-8925</t>
  </si>
  <si>
    <t>BA-8926</t>
  </si>
  <si>
    <t>BA-8927</t>
  </si>
  <si>
    <t>BA-8928</t>
  </si>
  <si>
    <t>BA-8929</t>
  </si>
  <si>
    <t>BA-8930</t>
  </si>
  <si>
    <t>BA-8931</t>
  </si>
  <si>
    <t>BA-8932</t>
  </si>
  <si>
    <t>BA-8933</t>
  </si>
  <si>
    <t>BA-8934</t>
  </si>
  <si>
    <t>BA-8935</t>
  </si>
  <si>
    <t>BA-8936</t>
  </si>
  <si>
    <t>BA-8937</t>
  </si>
  <si>
    <t>BA-8938</t>
  </si>
  <si>
    <t>BA-8939</t>
  </si>
  <si>
    <t>BA-8940</t>
  </si>
  <si>
    <t>BA-8941</t>
  </si>
  <si>
    <t>BA-8942</t>
  </si>
  <si>
    <t>BA-8943</t>
  </si>
  <si>
    <t>BA-8944</t>
  </si>
  <si>
    <t>BA-8945</t>
  </si>
  <si>
    <t>BA-8946</t>
  </si>
  <si>
    <t>BA-8947</t>
  </si>
  <si>
    <t>BA-8948</t>
  </si>
  <si>
    <t>BA-8949</t>
  </si>
  <si>
    <t>BA-8950</t>
  </si>
  <si>
    <t>BA-8951</t>
  </si>
  <si>
    <t>BA-8952</t>
  </si>
  <si>
    <t>BA-8953</t>
  </si>
  <si>
    <t>BA-8954</t>
  </si>
  <si>
    <t>BA-8955</t>
  </si>
  <si>
    <t>BA-8956</t>
  </si>
  <si>
    <t>BA-8957</t>
  </si>
  <si>
    <t>BA-8958</t>
  </si>
  <si>
    <t>BA-8959</t>
  </si>
  <si>
    <t>BA-8960</t>
  </si>
  <si>
    <t>BA-8961</t>
  </si>
  <si>
    <t>BA-8962</t>
  </si>
  <si>
    <t>BA-8963</t>
  </si>
  <si>
    <t>BA-8964</t>
  </si>
  <si>
    <t>BA-8965</t>
  </si>
  <si>
    <t>BA-8966</t>
  </si>
  <si>
    <t>BA-8967</t>
  </si>
  <si>
    <t>BA-8968</t>
  </si>
  <si>
    <t>BA-8969</t>
  </si>
  <si>
    <t>BA-8970</t>
  </si>
  <si>
    <t>BA-8971</t>
  </si>
  <si>
    <t>BA-8972</t>
  </si>
  <si>
    <t>BA-8973</t>
  </si>
  <si>
    <t>BA-8974</t>
  </si>
  <si>
    <t>BA-8975</t>
  </si>
  <si>
    <t>BA-8976</t>
  </si>
  <si>
    <t>BA-8977</t>
  </si>
  <si>
    <t>BA-8978</t>
  </si>
  <si>
    <t>BA-8979</t>
  </si>
  <si>
    <t>BA-8980</t>
  </si>
  <si>
    <t>BA-8981</t>
  </si>
  <si>
    <t>BA-8982</t>
  </si>
  <si>
    <t>BA-8983</t>
  </si>
  <si>
    <t>BA-8984</t>
  </si>
  <si>
    <t>BA-8985</t>
  </si>
  <si>
    <t>BA-8986</t>
  </si>
  <si>
    <t>BA-8987</t>
  </si>
  <si>
    <t>BA-8988</t>
  </si>
  <si>
    <t>BA-8989</t>
  </si>
  <si>
    <t>BA-8990</t>
  </si>
  <si>
    <t>BA-8991</t>
  </si>
  <si>
    <t>BA-8992</t>
  </si>
  <si>
    <t>BA-8993</t>
  </si>
  <si>
    <t>BA-8994</t>
  </si>
  <si>
    <t>BA-8995</t>
  </si>
  <si>
    <t>BA-8996</t>
  </si>
  <si>
    <t>BA-8997</t>
  </si>
  <si>
    <t>BA-8998</t>
  </si>
  <si>
    <t>BA-8999</t>
  </si>
  <si>
    <t>BA-9000</t>
  </si>
  <si>
    <t>BA-9001</t>
  </si>
  <si>
    <t>BA-9002</t>
  </si>
  <si>
    <t>BA-9003</t>
  </si>
  <si>
    <t>BA-9004</t>
  </si>
  <si>
    <t>BA-9005</t>
  </si>
  <si>
    <t>BA-9006</t>
  </si>
  <si>
    <t>BA-9007</t>
  </si>
  <si>
    <t>BA-9008</t>
  </si>
  <si>
    <t>BA-9009</t>
  </si>
  <si>
    <t>BA-9010</t>
  </si>
  <si>
    <t>BA-9011</t>
  </si>
  <si>
    <t>BA-9012</t>
  </si>
  <si>
    <t>BA-9013</t>
  </si>
  <si>
    <t>BA-9014</t>
  </si>
  <si>
    <t>BA-9015</t>
  </si>
  <si>
    <t>BA-9016</t>
  </si>
  <si>
    <t>BA-9017</t>
  </si>
  <si>
    <t>BA-9018</t>
  </si>
  <si>
    <t>BA-9019</t>
  </si>
  <si>
    <t>BA-9020</t>
  </si>
  <si>
    <t>BA-9021</t>
  </si>
  <si>
    <t>BA-9022</t>
  </si>
  <si>
    <t>BA-9023</t>
  </si>
  <si>
    <t>BA-9024</t>
  </si>
  <si>
    <t>BA-9025</t>
  </si>
  <si>
    <t>BA-9026</t>
  </si>
  <si>
    <t>BA-9027</t>
  </si>
  <si>
    <t>BA-9028</t>
  </si>
  <si>
    <t>BA-9029</t>
  </si>
  <si>
    <t>BA-9030</t>
  </si>
  <si>
    <t>BA-9031</t>
  </si>
  <si>
    <t>BA-9032</t>
  </si>
  <si>
    <t>BA-9033</t>
  </si>
  <si>
    <t>BA-9034</t>
  </si>
  <si>
    <t>BA-9035</t>
  </si>
  <si>
    <t>BA-9036</t>
  </si>
  <si>
    <t>BA-9037</t>
  </si>
  <si>
    <t>BA-9038</t>
  </si>
  <si>
    <t>BA-9039</t>
  </si>
  <si>
    <t>BA-9040</t>
  </si>
  <si>
    <t>BA-9041</t>
  </si>
  <si>
    <t>BA-9042</t>
  </si>
  <si>
    <t>BA-9043</t>
  </si>
  <si>
    <t>BA-9044</t>
  </si>
  <si>
    <t>BA-9045</t>
  </si>
  <si>
    <t>BA-9046</t>
  </si>
  <si>
    <t>BA-9047</t>
  </si>
  <si>
    <t>BA-9048</t>
  </si>
  <si>
    <t>BA-9049</t>
  </si>
  <si>
    <t>BA-9050</t>
  </si>
  <si>
    <t>BA-9051</t>
  </si>
  <si>
    <t>BA-9052</t>
  </si>
  <si>
    <t>BA-9053</t>
  </si>
  <si>
    <t>BA-9054</t>
  </si>
  <si>
    <t>BA-9055</t>
  </si>
  <si>
    <t>BA-9056</t>
  </si>
  <si>
    <t>BA-9057</t>
  </si>
  <si>
    <t>BA-9058</t>
  </si>
  <si>
    <t>BA-9059</t>
  </si>
  <si>
    <t>BA-9060</t>
  </si>
  <si>
    <t>BA-9061</t>
  </si>
  <si>
    <t>BA-9062</t>
  </si>
  <si>
    <t>BA-9063</t>
  </si>
  <si>
    <t>BA-9064</t>
  </si>
  <si>
    <t>BA-9065</t>
  </si>
  <si>
    <t>BA-9066</t>
  </si>
  <si>
    <t>BA-9067</t>
  </si>
  <si>
    <t>BA-9068</t>
  </si>
  <si>
    <t>BA-9069</t>
  </si>
  <si>
    <t>BA-9070</t>
  </si>
  <si>
    <t>BA-9071</t>
  </si>
  <si>
    <t>BA-9072</t>
  </si>
  <si>
    <t>BA-9073</t>
  </si>
  <si>
    <t>BA-9074</t>
  </si>
  <si>
    <t>BA-9075</t>
  </si>
  <si>
    <t>BA-9076</t>
  </si>
  <si>
    <t>BA-9077</t>
  </si>
  <si>
    <t>BA-9078</t>
  </si>
  <si>
    <t>BA-9079</t>
  </si>
  <si>
    <t>BA-9080</t>
  </si>
  <si>
    <t>BA-9081</t>
  </si>
  <si>
    <t>BA-9082</t>
  </si>
  <si>
    <t>BA-9083</t>
  </si>
  <si>
    <t>BA-9084</t>
  </si>
  <si>
    <t>BA-9085</t>
  </si>
  <si>
    <t>BA-9086</t>
  </si>
  <si>
    <t>BA-9087</t>
  </si>
  <si>
    <t>BA-9088</t>
  </si>
  <si>
    <t>BA-9089</t>
  </si>
  <si>
    <t>BA-9090</t>
  </si>
  <si>
    <t>BA-9091</t>
  </si>
  <si>
    <t>BA-9092</t>
  </si>
  <si>
    <t>BA-9093</t>
  </si>
  <si>
    <t>BA-9094</t>
  </si>
  <si>
    <t>BA-9095</t>
  </si>
  <si>
    <t>BA-9096</t>
  </si>
  <si>
    <t>BA-9097</t>
  </si>
  <si>
    <t>BA-9098</t>
  </si>
  <si>
    <t>BA-9099</t>
  </si>
  <si>
    <t>BA-9100</t>
  </si>
  <si>
    <t>BA-9101</t>
  </si>
  <si>
    <t>BA-9102</t>
  </si>
  <si>
    <t>BA-9103</t>
  </si>
  <si>
    <t>BA-9104</t>
  </si>
  <si>
    <t>BA-9105</t>
  </si>
  <si>
    <t>BA-9106</t>
  </si>
  <si>
    <t>BA-9107</t>
  </si>
  <si>
    <t>BA-9108</t>
  </si>
  <si>
    <t>BA-9109</t>
  </si>
  <si>
    <t>BA-9110</t>
  </si>
  <si>
    <t>BA-9111</t>
  </si>
  <si>
    <t>BA-9112</t>
  </si>
  <si>
    <t>BA-9113</t>
  </si>
  <si>
    <t>BA-9114</t>
  </si>
  <si>
    <t>BA-9115</t>
  </si>
  <si>
    <t>BA-9116</t>
  </si>
  <si>
    <t>BA-9117</t>
  </si>
  <si>
    <t>BA-9118</t>
  </si>
  <si>
    <t>BA-9119</t>
  </si>
  <si>
    <t>BA-9120</t>
  </si>
  <si>
    <t>BA-9121</t>
  </si>
  <si>
    <t>BA-9122</t>
  </si>
  <si>
    <t>BA-9123</t>
  </si>
  <si>
    <t>BA-9124</t>
  </si>
  <si>
    <t>BA-9125</t>
  </si>
  <si>
    <t>BA-9126</t>
  </si>
  <si>
    <t>BA-9127</t>
  </si>
  <si>
    <t>BA-9128</t>
  </si>
  <si>
    <t>BA-9129</t>
  </si>
  <si>
    <t>BA-9130</t>
  </si>
  <si>
    <t>BA-9131</t>
  </si>
  <si>
    <t>BA-9132</t>
  </si>
  <si>
    <t>BA-9133</t>
  </si>
  <si>
    <t>BA-9134</t>
  </si>
  <si>
    <t>BA-9135</t>
  </si>
  <si>
    <t>BA-9136</t>
  </si>
  <si>
    <t>BA-9137</t>
  </si>
  <si>
    <t>BA-9138</t>
  </si>
  <si>
    <t>BA-9139</t>
  </si>
  <si>
    <t>BA-9140</t>
  </si>
  <si>
    <t>BA-9141</t>
  </si>
  <si>
    <t>BA-9142</t>
  </si>
  <si>
    <t>BA-9143</t>
  </si>
  <si>
    <t>BA-9144</t>
  </si>
  <si>
    <t>BA-9145</t>
  </si>
  <si>
    <t>BA-9146</t>
  </si>
  <si>
    <t>BA-9147</t>
  </si>
  <si>
    <t>BA-9148</t>
  </si>
  <si>
    <t>BA-9149</t>
  </si>
  <si>
    <t>BA-9150</t>
  </si>
  <si>
    <t>BA-9151</t>
  </si>
  <si>
    <t>BA-9152</t>
  </si>
  <si>
    <t>BA-9153</t>
  </si>
  <si>
    <t>BA-9154</t>
  </si>
  <si>
    <t>BA-9155</t>
  </si>
  <si>
    <t>BA-9156</t>
  </si>
  <si>
    <t>BA-9157</t>
  </si>
  <si>
    <t>BA-9158</t>
  </si>
  <si>
    <t>BA-9159</t>
  </si>
  <si>
    <t>BA-9160</t>
  </si>
  <si>
    <t>BA-9161</t>
  </si>
  <si>
    <t>BA-9162</t>
  </si>
  <si>
    <t>BA-9163</t>
  </si>
  <si>
    <t>BA-9164</t>
  </si>
  <si>
    <t>BA-9165</t>
  </si>
  <si>
    <t>BA-9166</t>
  </si>
  <si>
    <t>BA-9167</t>
  </si>
  <si>
    <t>BA-9168</t>
  </si>
  <si>
    <t>BA-9169</t>
  </si>
  <si>
    <t>BA-9170</t>
  </si>
  <si>
    <t>BA-9171</t>
  </si>
  <si>
    <t>BA-9172</t>
  </si>
  <si>
    <t>BA-9173</t>
  </si>
  <si>
    <t>BA-9174</t>
  </si>
  <si>
    <t>BA-9175</t>
  </si>
  <si>
    <t>BA-9176</t>
  </si>
  <si>
    <t>BA-9177</t>
  </si>
  <si>
    <t>BA-9178</t>
  </si>
  <si>
    <t>BA-9179</t>
  </si>
  <si>
    <t>BA-9180</t>
  </si>
  <si>
    <t>BA-9181</t>
  </si>
  <si>
    <t>BA-9182</t>
  </si>
  <si>
    <t>BA-9183</t>
  </si>
  <si>
    <t>BA-9184</t>
  </si>
  <si>
    <t>BA-9185</t>
  </si>
  <si>
    <t>BA-9186</t>
  </si>
  <si>
    <t>BA-9187</t>
  </si>
  <si>
    <t>BA-9188</t>
  </si>
  <si>
    <t>BA-9189</t>
  </si>
  <si>
    <t>BA-9190</t>
  </si>
  <si>
    <t>BA-9191</t>
  </si>
  <si>
    <t>BA-9192</t>
  </si>
  <si>
    <t>BA-9193</t>
  </si>
  <si>
    <t>BA-9194</t>
  </si>
  <si>
    <t>BA-9195</t>
  </si>
  <si>
    <t>BA-9196</t>
  </si>
  <si>
    <t>BA-9197</t>
  </si>
  <si>
    <t>BA-9198</t>
  </si>
  <si>
    <t>BA-9199</t>
  </si>
  <si>
    <t>BA-9200</t>
  </si>
  <si>
    <t>BA-9201</t>
  </si>
  <si>
    <t>BA-9202</t>
  </si>
  <si>
    <t>BA-9203</t>
  </si>
  <si>
    <t>BA-9204</t>
  </si>
  <si>
    <t>BA-9205</t>
  </si>
  <si>
    <t>BA-9206</t>
  </si>
  <si>
    <t>BA-9207</t>
  </si>
  <si>
    <t>BA-9208</t>
  </si>
  <si>
    <t>BA-9209</t>
  </si>
  <si>
    <t>BA-9210</t>
  </si>
  <si>
    <t>BA-9211</t>
  </si>
  <si>
    <t>BA-9212</t>
  </si>
  <si>
    <t>BA-9213</t>
  </si>
  <si>
    <t>BA-9214</t>
  </si>
  <si>
    <t>BA-9215</t>
  </si>
  <si>
    <t>BA-9216</t>
  </si>
  <si>
    <t>BA-9217</t>
  </si>
  <si>
    <t>BA-9218</t>
  </si>
  <si>
    <t>BA-9219</t>
  </si>
  <si>
    <t>BA-9220</t>
  </si>
  <si>
    <t>BA-9221</t>
  </si>
  <si>
    <t>BA-9222</t>
  </si>
  <si>
    <t>BA-9223</t>
  </si>
  <si>
    <t>BA-9224</t>
  </si>
  <si>
    <t>BA-9225</t>
  </si>
  <si>
    <t>BA-9226</t>
  </si>
  <si>
    <t>BA-9227</t>
  </si>
  <si>
    <t>BA-9228</t>
  </si>
  <si>
    <t>BA-9229</t>
  </si>
  <si>
    <t>BA-9230</t>
  </si>
  <si>
    <t>BA-9231</t>
  </si>
  <si>
    <t>BA-9232</t>
  </si>
  <si>
    <t>BA-9233</t>
  </si>
  <si>
    <t>BA-9234</t>
  </si>
  <si>
    <t>BA-9235</t>
  </si>
  <si>
    <t>BA-9236</t>
  </si>
  <si>
    <t>BA-9237</t>
  </si>
  <si>
    <t>BA-9238</t>
  </si>
  <si>
    <t>BA-9239</t>
  </si>
  <si>
    <t>BA-9240</t>
  </si>
  <si>
    <t>BA-9241</t>
  </si>
  <si>
    <t>BA-9242</t>
  </si>
  <si>
    <t>BA-9243</t>
  </si>
  <si>
    <t>BA-9244</t>
  </si>
  <si>
    <t>BA-9245</t>
  </si>
  <si>
    <t>BA-9246</t>
  </si>
  <si>
    <t>BA-9247</t>
  </si>
  <si>
    <t>BA-9248</t>
  </si>
  <si>
    <t>BA-9249</t>
  </si>
  <si>
    <t>BA-9250</t>
  </si>
  <si>
    <t>BA-9251</t>
  </si>
  <si>
    <t>이강건2581</t>
  </si>
  <si>
    <t>BA-9252</t>
  </si>
  <si>
    <t>BA-9253</t>
  </si>
  <si>
    <t>BA-9254</t>
  </si>
  <si>
    <t>BA-9255</t>
  </si>
  <si>
    <t>BA-9256</t>
  </si>
  <si>
    <t>BA-9257</t>
  </si>
  <si>
    <t>BA-9258</t>
  </si>
  <si>
    <t>BA-9259</t>
  </si>
  <si>
    <t>BA-9260</t>
  </si>
  <si>
    <t>BA-9261</t>
  </si>
  <si>
    <t>BA-9262</t>
  </si>
  <si>
    <t>김태훈7752</t>
  </si>
  <si>
    <t>BA-9263</t>
  </si>
  <si>
    <t>BA-9264</t>
  </si>
  <si>
    <t>BA-9265</t>
  </si>
  <si>
    <t>BA-9266</t>
  </si>
  <si>
    <t>BA-9267</t>
  </si>
  <si>
    <t>BA-9268</t>
  </si>
  <si>
    <t>BA-9269</t>
  </si>
  <si>
    <t>BA-9270</t>
  </si>
  <si>
    <t>BA-9271</t>
  </si>
  <si>
    <t>BA-9272</t>
  </si>
  <si>
    <t>BA-9273</t>
  </si>
  <si>
    <t>이준서5488</t>
  </si>
  <si>
    <t>BA-9274</t>
  </si>
  <si>
    <t>BA-9275</t>
  </si>
  <si>
    <t>BA-9276</t>
  </si>
  <si>
    <t>BA-9277</t>
  </si>
  <si>
    <t>BA-9278</t>
  </si>
  <si>
    <t>BA-9279</t>
  </si>
  <si>
    <t>BA-9280</t>
  </si>
  <si>
    <t>BA-9281</t>
  </si>
  <si>
    <t>BA-9282</t>
  </si>
  <si>
    <t>BA-9283</t>
  </si>
  <si>
    <t>BA-9284</t>
  </si>
  <si>
    <t>고윤서2515</t>
  </si>
  <si>
    <t>BA-9285</t>
  </si>
  <si>
    <t>BA-9286</t>
  </si>
  <si>
    <t>BA-9287</t>
  </si>
  <si>
    <t>BA-9288</t>
  </si>
  <si>
    <t>BA-9289</t>
  </si>
  <si>
    <t>BA-9290</t>
  </si>
  <si>
    <t>BA-9291</t>
  </si>
  <si>
    <t>BA-9292</t>
  </si>
  <si>
    <t>BA-9293</t>
  </si>
  <si>
    <t>BA-9294</t>
  </si>
  <si>
    <t>BA-9295</t>
  </si>
  <si>
    <t>(5)신희건2420</t>
  </si>
  <si>
    <t>BA-9296</t>
  </si>
  <si>
    <t>BA-9297</t>
  </si>
  <si>
    <t>BA-9298</t>
  </si>
  <si>
    <t>BA-9299</t>
  </si>
  <si>
    <t>BA-9300</t>
  </si>
  <si>
    <t>BA-9301</t>
  </si>
  <si>
    <t>BA-9302</t>
  </si>
  <si>
    <t>BA-9303</t>
  </si>
  <si>
    <t>BA-9304</t>
  </si>
  <si>
    <t>BA-9305</t>
  </si>
  <si>
    <t>BA-9306</t>
  </si>
  <si>
    <t>BA-9307</t>
  </si>
  <si>
    <t>BA-9308</t>
  </si>
  <si>
    <t>BA-9309</t>
  </si>
  <si>
    <t>BA-9310</t>
  </si>
  <si>
    <t>BA-9311</t>
  </si>
  <si>
    <t>BA-9312</t>
  </si>
  <si>
    <t>BA-9313</t>
  </si>
  <si>
    <t>BA-9314</t>
  </si>
  <si>
    <t>BA-9315</t>
  </si>
  <si>
    <t>BA-9316</t>
  </si>
  <si>
    <t>BA-9317</t>
  </si>
  <si>
    <t>BA-9318</t>
  </si>
  <si>
    <t>BA-9319</t>
  </si>
  <si>
    <t>BA-9320</t>
  </si>
  <si>
    <t>BA-9321</t>
  </si>
  <si>
    <t>BA-9322</t>
  </si>
  <si>
    <t>BA-9323</t>
  </si>
  <si>
    <t>BA-9324</t>
  </si>
  <si>
    <t>BA-9325</t>
  </si>
  <si>
    <t>BA-9326</t>
  </si>
  <si>
    <t>BA-9327</t>
  </si>
  <si>
    <t>BA-9328</t>
  </si>
  <si>
    <t>BA-9329</t>
  </si>
  <si>
    <t>BA-9330</t>
  </si>
  <si>
    <t>BA-9331</t>
  </si>
  <si>
    <t>BA-9332</t>
  </si>
  <si>
    <t>BA-9333</t>
  </si>
  <si>
    <t>BA-9334</t>
  </si>
  <si>
    <t>BA-9335</t>
  </si>
  <si>
    <t>BA-9336</t>
  </si>
  <si>
    <t>BA-9337</t>
  </si>
  <si>
    <t>BA-9338</t>
  </si>
  <si>
    <t>BA-9339</t>
  </si>
  <si>
    <t>BA-9340</t>
  </si>
  <si>
    <t>BA-9341</t>
  </si>
  <si>
    <t>BA-9342</t>
  </si>
  <si>
    <t>BA-9343</t>
  </si>
  <si>
    <t>BA-9344</t>
  </si>
  <si>
    <t>BA-9345</t>
  </si>
  <si>
    <t>BA-9346</t>
  </si>
  <si>
    <t>BA-9347</t>
  </si>
  <si>
    <t>BA-9348</t>
  </si>
  <si>
    <t>BA-9349</t>
  </si>
  <si>
    <t>BA-9350</t>
  </si>
  <si>
    <t>BA-9351</t>
  </si>
  <si>
    <t>BA-9352</t>
  </si>
  <si>
    <t>BA-9353</t>
  </si>
  <si>
    <t>BA-9354</t>
  </si>
  <si>
    <t>BA-9355</t>
  </si>
  <si>
    <t>BA-9356</t>
  </si>
  <si>
    <t>BA-9357</t>
  </si>
  <si>
    <t>BA-9358</t>
  </si>
  <si>
    <t>BA-9359</t>
  </si>
  <si>
    <t>BA-9360</t>
  </si>
  <si>
    <t>BA-9361</t>
  </si>
  <si>
    <t>BA-9362</t>
  </si>
  <si>
    <t>BA-9363</t>
  </si>
  <si>
    <t>BA-9364</t>
  </si>
  <si>
    <t>BA-9365</t>
  </si>
  <si>
    <t>BA-9366</t>
  </si>
  <si>
    <t>BA-9367</t>
  </si>
  <si>
    <t>BA-9368</t>
  </si>
  <si>
    <t>BA-9369</t>
  </si>
  <si>
    <t>BA-9370</t>
  </si>
  <si>
    <t>BA-9371</t>
  </si>
  <si>
    <t>BA-9372</t>
  </si>
  <si>
    <t>김도형7747</t>
  </si>
  <si>
    <t>BA-9373</t>
  </si>
  <si>
    <t>BA-9374</t>
  </si>
  <si>
    <t>BA-9375</t>
  </si>
  <si>
    <t>BA-9376</t>
  </si>
  <si>
    <t>BA-9377</t>
  </si>
  <si>
    <t>BA-9378</t>
  </si>
  <si>
    <t>BA-9379</t>
  </si>
  <si>
    <t>BA-9380</t>
  </si>
  <si>
    <t>BA-9381</t>
  </si>
  <si>
    <t>BA-9382</t>
  </si>
  <si>
    <t>BA-9383</t>
  </si>
  <si>
    <t>BA-9384</t>
  </si>
  <si>
    <t>BA-9385</t>
  </si>
  <si>
    <t>BA-9386</t>
  </si>
  <si>
    <t>BA-9387</t>
  </si>
  <si>
    <t>BA-9388</t>
  </si>
  <si>
    <t>BA-9389</t>
  </si>
  <si>
    <t>BA-9390</t>
  </si>
  <si>
    <t>BA-9391</t>
  </si>
  <si>
    <t>BA-9392</t>
  </si>
  <si>
    <t>BA-9393</t>
  </si>
  <si>
    <t>BA-9394</t>
  </si>
  <si>
    <t>BA-9395</t>
  </si>
  <si>
    <t>BA-9396</t>
  </si>
  <si>
    <t>BA-9397</t>
  </si>
  <si>
    <t>BA-9398</t>
  </si>
  <si>
    <t>BA-9399</t>
  </si>
  <si>
    <t>BA-9400</t>
  </si>
  <si>
    <t>BA-9401</t>
  </si>
  <si>
    <t>BA-9402</t>
  </si>
  <si>
    <t>BA-9403</t>
  </si>
  <si>
    <t>BA-9404</t>
  </si>
  <si>
    <t>BA-9405</t>
  </si>
  <si>
    <t>BA-9406</t>
  </si>
  <si>
    <t>BA-9407</t>
  </si>
  <si>
    <t>BA-9408</t>
  </si>
  <si>
    <t>BA-9409</t>
  </si>
  <si>
    <t>BA-9410</t>
  </si>
  <si>
    <t>BA-9411</t>
  </si>
  <si>
    <t>BA-9412</t>
  </si>
  <si>
    <t>BA-9413</t>
  </si>
  <si>
    <t>BA-9414</t>
  </si>
  <si>
    <t>BA-9415</t>
  </si>
  <si>
    <t>BA-9416</t>
  </si>
  <si>
    <t>BA-9417</t>
  </si>
  <si>
    <t>BA-9418</t>
  </si>
  <si>
    <t>BA-9419</t>
  </si>
  <si>
    <t>BA-9420</t>
  </si>
  <si>
    <t>BA-9421</t>
  </si>
  <si>
    <t>BA-9422</t>
  </si>
  <si>
    <t>BA-9423</t>
  </si>
  <si>
    <t>BA-9424</t>
  </si>
  <si>
    <t>BA-9425</t>
  </si>
  <si>
    <t>BA-9426</t>
  </si>
  <si>
    <t>BA-9427</t>
  </si>
  <si>
    <t>BA-9428</t>
  </si>
  <si>
    <t>BA-9429</t>
  </si>
  <si>
    <t>BA-9430</t>
  </si>
  <si>
    <t>BA-9431</t>
  </si>
  <si>
    <t>BA-9432</t>
  </si>
  <si>
    <t>BA-9433</t>
  </si>
  <si>
    <t>BA-9434</t>
  </si>
  <si>
    <t>BA-9435</t>
  </si>
  <si>
    <t>BA-9436</t>
  </si>
  <si>
    <t>BA-9437</t>
  </si>
  <si>
    <t>BA-9438</t>
  </si>
  <si>
    <t>BA-9439</t>
  </si>
  <si>
    <t>BA-9440</t>
  </si>
  <si>
    <t>BA-9441</t>
  </si>
  <si>
    <t>BA-9442</t>
  </si>
  <si>
    <t>BA-9443</t>
  </si>
  <si>
    <t>BA-9444</t>
  </si>
  <si>
    <t>BA-9445</t>
  </si>
  <si>
    <t>BA-9446</t>
  </si>
  <si>
    <t>BA-9447</t>
  </si>
  <si>
    <t>BA-9448</t>
  </si>
  <si>
    <t>BA-9449</t>
  </si>
  <si>
    <t>BA-9450</t>
  </si>
  <si>
    <t>BA-9451</t>
  </si>
  <si>
    <t>BA-9452</t>
  </si>
  <si>
    <t>BA-9453</t>
  </si>
  <si>
    <t>BA-9454</t>
  </si>
  <si>
    <t>BA-9455</t>
  </si>
  <si>
    <t>BA-9456</t>
  </si>
  <si>
    <t>BA-9457</t>
  </si>
  <si>
    <t>BA-9458</t>
  </si>
  <si>
    <t>BA-9459</t>
  </si>
  <si>
    <t>BA-9460</t>
  </si>
  <si>
    <t>BA-9461</t>
  </si>
  <si>
    <t>BA-9462</t>
  </si>
  <si>
    <t>BA-9463</t>
  </si>
  <si>
    <t>BA-9464</t>
  </si>
  <si>
    <t>BA-9465</t>
  </si>
  <si>
    <t>BA-9466</t>
  </si>
  <si>
    <t>BA-9467</t>
  </si>
  <si>
    <t>BA-9468</t>
  </si>
  <si>
    <t>BA-9469</t>
  </si>
  <si>
    <t>BA-9470</t>
  </si>
  <si>
    <t>BA-9471</t>
  </si>
  <si>
    <t>BA-9472</t>
  </si>
  <si>
    <t>BA-9473</t>
  </si>
  <si>
    <t>BA-9474</t>
  </si>
  <si>
    <t>BA-9475</t>
  </si>
  <si>
    <t>BA-9476</t>
  </si>
  <si>
    <t>BA-9477</t>
  </si>
  <si>
    <t>BA-9478</t>
  </si>
  <si>
    <t>BA-9479</t>
  </si>
  <si>
    <t>BA-9480</t>
  </si>
  <si>
    <t>BA-9481</t>
  </si>
  <si>
    <t>BA-9482</t>
  </si>
  <si>
    <t>BA-9483</t>
  </si>
  <si>
    <t>BA-9484</t>
  </si>
  <si>
    <t>BA-9485</t>
  </si>
  <si>
    <t>BA-9486</t>
  </si>
  <si>
    <t>BA-9487</t>
  </si>
  <si>
    <t>BA-9488</t>
  </si>
  <si>
    <t>BA-9489</t>
  </si>
  <si>
    <t>BA-9490</t>
  </si>
  <si>
    <t>BA-9491</t>
  </si>
  <si>
    <t>BA-9492</t>
  </si>
  <si>
    <t>BA-9493</t>
  </si>
  <si>
    <t>BA-9494</t>
  </si>
  <si>
    <t>BA-9495</t>
  </si>
  <si>
    <t>BA-9496</t>
  </si>
  <si>
    <t>BA-9497</t>
  </si>
  <si>
    <t>BA-9498</t>
  </si>
  <si>
    <t>BA-9499</t>
  </si>
  <si>
    <t>BA-9500</t>
  </si>
  <si>
    <t>BA-9501</t>
  </si>
  <si>
    <t>BA-9502</t>
  </si>
  <si>
    <t>BA-9503</t>
  </si>
  <si>
    <t>BA-9504</t>
  </si>
  <si>
    <t>BA-9505</t>
  </si>
  <si>
    <t>BA-9506</t>
  </si>
  <si>
    <t>BA-9507</t>
  </si>
  <si>
    <t>BA-9508</t>
  </si>
  <si>
    <t>BA-9509</t>
  </si>
  <si>
    <t>BA-9510</t>
  </si>
  <si>
    <t>BA-9511</t>
  </si>
  <si>
    <t>BA-9512</t>
  </si>
  <si>
    <t>BA-9513</t>
  </si>
  <si>
    <t>BA-9514</t>
  </si>
  <si>
    <t>BA-9515</t>
  </si>
  <si>
    <t>BA-9516</t>
  </si>
  <si>
    <t>BA-9517</t>
  </si>
  <si>
    <t>BA-9518</t>
  </si>
  <si>
    <t>BA-9519</t>
  </si>
  <si>
    <t>BA-9520</t>
  </si>
  <si>
    <t>BA-9521</t>
  </si>
  <si>
    <t>BA-9522</t>
  </si>
  <si>
    <t>BA-9523</t>
  </si>
  <si>
    <t>BA-9524</t>
  </si>
  <si>
    <t>BA-9525</t>
  </si>
  <si>
    <t>BA-9526</t>
  </si>
  <si>
    <t>BA-9527</t>
  </si>
  <si>
    <t>BA-9528</t>
  </si>
  <si>
    <t>BA-9529</t>
  </si>
  <si>
    <t>BA-9530</t>
  </si>
  <si>
    <t>BA-9531</t>
  </si>
  <si>
    <t>BA-9532</t>
  </si>
  <si>
    <t>BA-9533</t>
  </si>
  <si>
    <t>BA-9534</t>
  </si>
  <si>
    <t>BA-9535</t>
  </si>
  <si>
    <t>BA-9536</t>
  </si>
  <si>
    <t>BA-9537</t>
  </si>
  <si>
    <t>BA-9538</t>
  </si>
  <si>
    <t>BA-9539</t>
  </si>
  <si>
    <t>BA-9540</t>
  </si>
  <si>
    <t>BA-9541</t>
  </si>
  <si>
    <t>BA-9542</t>
  </si>
  <si>
    <t>BA-9543</t>
  </si>
  <si>
    <t>BA-9544</t>
  </si>
  <si>
    <t>BA-9545</t>
  </si>
  <si>
    <t>BA-9546</t>
  </si>
  <si>
    <t>BA-9547</t>
  </si>
  <si>
    <t>BA-9548</t>
  </si>
  <si>
    <t>BA-9549</t>
  </si>
  <si>
    <t>BA-9550</t>
  </si>
  <si>
    <t>BA-9551</t>
  </si>
  <si>
    <t>(아)이은주7835</t>
  </si>
  <si>
    <t>BA-9552</t>
  </si>
  <si>
    <t>BA-9553</t>
  </si>
  <si>
    <t>BA-9554</t>
  </si>
  <si>
    <t>BA-9555</t>
  </si>
  <si>
    <t>BA-9556</t>
  </si>
  <si>
    <t>김아현2812</t>
  </si>
  <si>
    <t>BA-9557</t>
  </si>
  <si>
    <t>김재이4296</t>
  </si>
  <si>
    <t>BA-9558</t>
  </si>
  <si>
    <t>BA-9559</t>
  </si>
  <si>
    <t>BA-9560</t>
  </si>
  <si>
    <t>BA-9561</t>
  </si>
  <si>
    <t>성민주2407</t>
  </si>
  <si>
    <t>BA-9562</t>
  </si>
  <si>
    <t>BA-9563</t>
  </si>
  <si>
    <t>BA-9564</t>
  </si>
  <si>
    <t>BA-9565</t>
  </si>
  <si>
    <t>BA-9566</t>
  </si>
  <si>
    <t>BA-9567</t>
  </si>
  <si>
    <t>BA-9568</t>
  </si>
  <si>
    <t>BA-9569</t>
  </si>
  <si>
    <t>BA-9570</t>
  </si>
  <si>
    <t>BA-9571</t>
  </si>
  <si>
    <t>BA-9572</t>
  </si>
  <si>
    <t>BA-9573</t>
  </si>
  <si>
    <t>BA-9574</t>
  </si>
  <si>
    <t>BA-9575</t>
  </si>
  <si>
    <t>BA-9576</t>
  </si>
  <si>
    <t>BA-9577</t>
  </si>
  <si>
    <t>BA-9578</t>
  </si>
  <si>
    <t>BA-9579</t>
  </si>
  <si>
    <t>BA-9580</t>
  </si>
  <si>
    <t>BA-9581</t>
  </si>
  <si>
    <t>BA-9582</t>
  </si>
  <si>
    <t>BA-9583</t>
  </si>
  <si>
    <t>BA-9584</t>
  </si>
  <si>
    <t>BA-9585</t>
  </si>
  <si>
    <t>BA-9586</t>
  </si>
  <si>
    <t>BA-9587</t>
  </si>
  <si>
    <t>BA-9588</t>
  </si>
  <si>
    <t>BA-9589</t>
  </si>
  <si>
    <t>BA-9590</t>
  </si>
  <si>
    <t>BA-9591</t>
  </si>
  <si>
    <t>BA-9592</t>
  </si>
  <si>
    <t>BA-9593</t>
  </si>
  <si>
    <t>BA-9594</t>
  </si>
  <si>
    <t>BA-9595</t>
  </si>
  <si>
    <t>BA-9596</t>
  </si>
  <si>
    <t>BA-9597</t>
  </si>
  <si>
    <t>BA-9598</t>
  </si>
  <si>
    <t>BA-9599</t>
  </si>
  <si>
    <t>BA-9600</t>
  </si>
  <si>
    <t>BA-9601</t>
  </si>
  <si>
    <t>BA-9602</t>
  </si>
  <si>
    <t>BA-9603</t>
  </si>
  <si>
    <t>BA-9604</t>
  </si>
  <si>
    <t>BA-9605</t>
  </si>
  <si>
    <t>BA-9606</t>
  </si>
  <si>
    <t>BA-9607</t>
  </si>
  <si>
    <t>BA-9608</t>
  </si>
  <si>
    <t>BA-9609</t>
  </si>
  <si>
    <t>BA-9610</t>
  </si>
  <si>
    <t>BA-9611</t>
  </si>
  <si>
    <t>BA-9612</t>
  </si>
  <si>
    <t>BA-9613</t>
  </si>
  <si>
    <t>BA-9614</t>
  </si>
  <si>
    <t>BA-9615</t>
  </si>
  <si>
    <t>BA-9616</t>
  </si>
  <si>
    <t>BA-9617</t>
  </si>
  <si>
    <t>BA-9618</t>
  </si>
  <si>
    <t>BA-9619</t>
  </si>
  <si>
    <t>BA-9620</t>
  </si>
  <si>
    <t>BA-9621</t>
  </si>
  <si>
    <t>BA-9622</t>
  </si>
  <si>
    <t>BA-9623</t>
  </si>
  <si>
    <t>BA-9624</t>
  </si>
  <si>
    <t>BA-9625</t>
  </si>
  <si>
    <t>BA-9626</t>
  </si>
  <si>
    <t>BA-9627</t>
  </si>
  <si>
    <t>BA-9628</t>
  </si>
  <si>
    <t>BA-9629</t>
  </si>
  <si>
    <t>BA-9630</t>
  </si>
  <si>
    <t>BA-9631</t>
  </si>
  <si>
    <t>BA-9632</t>
  </si>
  <si>
    <t>BA-9633</t>
  </si>
  <si>
    <t>BA-9634</t>
  </si>
  <si>
    <t>BA-9635</t>
  </si>
  <si>
    <t>BA-9636</t>
  </si>
  <si>
    <t>BA-9637</t>
  </si>
  <si>
    <t>BA-9638</t>
  </si>
  <si>
    <t>BA-9639</t>
  </si>
  <si>
    <t>BA-9640</t>
  </si>
  <si>
    <t>BA-9641</t>
  </si>
  <si>
    <t>BA-9642</t>
  </si>
  <si>
    <t>BA-9643</t>
  </si>
  <si>
    <t>BA-9644</t>
  </si>
  <si>
    <t>BA-9645</t>
  </si>
  <si>
    <t>BA-9646</t>
  </si>
  <si>
    <t>BA-9647</t>
  </si>
  <si>
    <t>BA-9648</t>
  </si>
  <si>
    <t>BA-9649</t>
  </si>
  <si>
    <t>BA-9650</t>
  </si>
  <si>
    <t>BA-9651</t>
  </si>
  <si>
    <t>BA-9652</t>
  </si>
  <si>
    <t>BA-9653</t>
  </si>
  <si>
    <t>BA-9654</t>
  </si>
  <si>
    <t>BA-9655</t>
  </si>
  <si>
    <t>BA-9656</t>
  </si>
  <si>
    <t>BA-9657</t>
  </si>
  <si>
    <t>BA-9658</t>
  </si>
  <si>
    <t>BA-9659</t>
  </si>
  <si>
    <t>BA-9660</t>
  </si>
  <si>
    <t>BA-9661</t>
  </si>
  <si>
    <t>BA-9662</t>
  </si>
  <si>
    <t>BA-9663</t>
  </si>
  <si>
    <t>BA-9664</t>
  </si>
  <si>
    <t>BA-9665</t>
  </si>
  <si>
    <t>BA-9666</t>
  </si>
  <si>
    <t>BA-9667</t>
  </si>
  <si>
    <t>BA-9668</t>
  </si>
  <si>
    <t>BA-9669</t>
  </si>
  <si>
    <t>BA-9670</t>
  </si>
  <si>
    <t>BA-9671</t>
  </si>
  <si>
    <t>BA-9672</t>
  </si>
  <si>
    <t>BA-9673</t>
  </si>
  <si>
    <t>BA-9674</t>
  </si>
  <si>
    <t>BA-9675</t>
  </si>
  <si>
    <t>BA-9676</t>
  </si>
  <si>
    <t>BA-9677</t>
  </si>
  <si>
    <t>BA-9678</t>
  </si>
  <si>
    <t>BA-9679</t>
  </si>
  <si>
    <t>BA-9680</t>
  </si>
  <si>
    <t>BA-9681</t>
  </si>
  <si>
    <t>BA-9682</t>
  </si>
  <si>
    <t>BA-9683</t>
  </si>
  <si>
    <t>BA-9684</t>
  </si>
  <si>
    <t>BA-9685</t>
  </si>
  <si>
    <t>BA-9686</t>
  </si>
  <si>
    <t>BA-9687</t>
  </si>
  <si>
    <t>BA-9688</t>
  </si>
  <si>
    <t>BA-9689</t>
  </si>
  <si>
    <t>BA-9690</t>
  </si>
  <si>
    <t>BA-9691</t>
  </si>
  <si>
    <t>BA-9692</t>
  </si>
  <si>
    <t>BA-9693</t>
  </si>
  <si>
    <t>BA-9694</t>
  </si>
  <si>
    <t>BA-9695</t>
  </si>
  <si>
    <t>BA-9696</t>
  </si>
  <si>
    <t>BA-9697</t>
  </si>
  <si>
    <t>BA-9698</t>
  </si>
  <si>
    <t>BA-9699</t>
  </si>
  <si>
    <t>BA-9700</t>
  </si>
  <si>
    <t>BA-9701</t>
  </si>
  <si>
    <t>BA-9702</t>
  </si>
  <si>
    <t>BA-9703</t>
  </si>
  <si>
    <t>BA-9704</t>
  </si>
  <si>
    <t>BA-9705</t>
  </si>
  <si>
    <t>BA-9706</t>
  </si>
  <si>
    <t>BA-9707</t>
  </si>
  <si>
    <t>BA-9708</t>
  </si>
  <si>
    <t>BA-9709</t>
  </si>
  <si>
    <t>BA-9710</t>
  </si>
  <si>
    <t>BA-9711</t>
  </si>
  <si>
    <t>BA-9712</t>
  </si>
  <si>
    <t>BA-9713</t>
  </si>
  <si>
    <t>BA-9714</t>
  </si>
  <si>
    <t>BA-9715</t>
  </si>
  <si>
    <t>BA-9716</t>
  </si>
  <si>
    <t>BA-9717</t>
  </si>
  <si>
    <t>BA-9718</t>
  </si>
  <si>
    <t>BA-9719</t>
  </si>
  <si>
    <t>BA-9720</t>
  </si>
  <si>
    <t>BA-9721</t>
  </si>
  <si>
    <t>BA-9722</t>
  </si>
  <si>
    <t>BA-9723</t>
  </si>
  <si>
    <t>BA-9724</t>
  </si>
  <si>
    <t>심서현0910</t>
  </si>
  <si>
    <t>BA-9725</t>
  </si>
  <si>
    <t>BA-9726</t>
  </si>
  <si>
    <t>BA-9727</t>
  </si>
  <si>
    <t>BA-9728</t>
  </si>
  <si>
    <t>BA-9729</t>
  </si>
  <si>
    <t>BA-9730</t>
  </si>
  <si>
    <t>BA-9731</t>
  </si>
  <si>
    <t>BA-9732</t>
  </si>
  <si>
    <t>BA-9733</t>
  </si>
  <si>
    <t>BA-9734</t>
  </si>
  <si>
    <t>BA-9735</t>
  </si>
  <si>
    <t>BA-9736</t>
  </si>
  <si>
    <t>BA-9737</t>
  </si>
  <si>
    <t>BA-9738</t>
  </si>
  <si>
    <t>BA-9739</t>
  </si>
  <si>
    <t>BA-9740</t>
  </si>
  <si>
    <t>BA-9741</t>
  </si>
  <si>
    <t>BA-9742</t>
  </si>
  <si>
    <t>BA-9743</t>
  </si>
  <si>
    <t>BA-9744</t>
  </si>
  <si>
    <t>BA-9745</t>
  </si>
  <si>
    <t>BA-9746</t>
  </si>
  <si>
    <t>BA-9747</t>
  </si>
  <si>
    <t>BA-9748</t>
  </si>
  <si>
    <t>BA-9749</t>
  </si>
  <si>
    <t>BA-9750</t>
  </si>
  <si>
    <t>BA-9751</t>
  </si>
  <si>
    <t>BA-9752</t>
  </si>
  <si>
    <t>BA-9753</t>
  </si>
  <si>
    <t>BA-9754</t>
  </si>
  <si>
    <t>BA-9755</t>
  </si>
  <si>
    <t>BA-9756</t>
  </si>
  <si>
    <t>BA-9757</t>
  </si>
  <si>
    <t>BA-9758</t>
  </si>
  <si>
    <t>BA-9759</t>
  </si>
  <si>
    <t>BA-9760</t>
  </si>
  <si>
    <t>BA-9761</t>
  </si>
  <si>
    <t>BA-9762</t>
  </si>
  <si>
    <t>BA-9763</t>
  </si>
  <si>
    <t>BA-9764</t>
  </si>
  <si>
    <t>BA-9765</t>
  </si>
  <si>
    <t>BA-9766</t>
  </si>
  <si>
    <t>BA-9767</t>
  </si>
  <si>
    <t>BA-9768</t>
  </si>
  <si>
    <t>BA-9769</t>
  </si>
  <si>
    <t>BA-9770</t>
  </si>
  <si>
    <t>BA-9771</t>
  </si>
  <si>
    <t>BA-9772</t>
  </si>
  <si>
    <t>BA-9773</t>
  </si>
  <si>
    <t>BA-9774</t>
  </si>
  <si>
    <t>BA-9775</t>
  </si>
  <si>
    <t>BA-9776</t>
  </si>
  <si>
    <t>BA-9777</t>
  </si>
  <si>
    <t>BA-9778</t>
  </si>
  <si>
    <t>BA-9779</t>
  </si>
  <si>
    <t>BA-9780</t>
  </si>
  <si>
    <t>BA-9781</t>
  </si>
  <si>
    <t>BA-9782</t>
  </si>
  <si>
    <t>BA-9783</t>
  </si>
  <si>
    <t>BA-9784</t>
  </si>
  <si>
    <t>BA-9785</t>
  </si>
  <si>
    <t>BA-9786</t>
  </si>
  <si>
    <t>BA-9787</t>
  </si>
  <si>
    <t>BA-9788</t>
  </si>
  <si>
    <t>BA-9789</t>
  </si>
  <si>
    <t>BA-9790</t>
  </si>
  <si>
    <t>BA-9791</t>
  </si>
  <si>
    <t>BA-9792</t>
  </si>
  <si>
    <t>BA-9793</t>
  </si>
  <si>
    <t>BA-9794</t>
  </si>
  <si>
    <t>BA-9795</t>
  </si>
  <si>
    <t>BA-9796</t>
  </si>
  <si>
    <t>BA-9797</t>
  </si>
  <si>
    <t>BA-9798</t>
  </si>
  <si>
    <t>BA-9799</t>
  </si>
  <si>
    <t>BA-9800</t>
  </si>
  <si>
    <t>BA-9801</t>
  </si>
  <si>
    <t>BA-9802</t>
  </si>
  <si>
    <t>BA-9803</t>
  </si>
  <si>
    <t>BA-9804</t>
  </si>
  <si>
    <t>BA-9805</t>
  </si>
  <si>
    <t>BA-9806</t>
  </si>
  <si>
    <t>BA-9807</t>
  </si>
  <si>
    <t>BA-9808</t>
  </si>
  <si>
    <t>BA-9809</t>
  </si>
  <si>
    <t>BA-9810</t>
  </si>
  <si>
    <t>BA-9811</t>
  </si>
  <si>
    <t>BA-9812</t>
  </si>
  <si>
    <t>BA-9813</t>
  </si>
  <si>
    <t>BA-9814</t>
  </si>
  <si>
    <t>BA-9815</t>
  </si>
  <si>
    <t>BA-9816</t>
  </si>
  <si>
    <t>BA-9817</t>
  </si>
  <si>
    <t>BA-9818</t>
  </si>
  <si>
    <t>BA-9819</t>
  </si>
  <si>
    <t>BA-9820</t>
  </si>
  <si>
    <t>BA-9821</t>
  </si>
  <si>
    <t>BA-9822</t>
  </si>
  <si>
    <t>BA-9823</t>
  </si>
  <si>
    <t>BA-9824</t>
  </si>
  <si>
    <t>BA-9825</t>
  </si>
  <si>
    <t>BA-9826</t>
  </si>
  <si>
    <t>BA-9827</t>
  </si>
  <si>
    <t>BA-9828</t>
  </si>
  <si>
    <t>BA-9829</t>
  </si>
  <si>
    <t>BA-9830</t>
  </si>
  <si>
    <t>BA-9831</t>
  </si>
  <si>
    <t>BA-9832</t>
  </si>
  <si>
    <t>BA-9833</t>
  </si>
  <si>
    <t>BA-9834</t>
  </si>
  <si>
    <t>BA-9835</t>
  </si>
  <si>
    <t>BA-9836</t>
  </si>
  <si>
    <t>BA-9837</t>
  </si>
  <si>
    <t>BA-9838</t>
  </si>
  <si>
    <t>BA-9839</t>
  </si>
  <si>
    <t>BA-9840</t>
  </si>
  <si>
    <t>BA-9841</t>
  </si>
  <si>
    <t>BA-9842</t>
  </si>
  <si>
    <t>BA-9843</t>
  </si>
  <si>
    <t>BA-9844</t>
  </si>
  <si>
    <t>BA-9845</t>
  </si>
  <si>
    <t>BA-9846</t>
  </si>
  <si>
    <t>BA-9847</t>
  </si>
  <si>
    <t>BA-9848</t>
  </si>
  <si>
    <t>BA-9849</t>
  </si>
  <si>
    <t>BA-9850</t>
  </si>
  <si>
    <t>BA-9851</t>
  </si>
  <si>
    <t>BA-9852</t>
  </si>
  <si>
    <t>BA-9853</t>
  </si>
  <si>
    <t>BA-9854</t>
  </si>
  <si>
    <t>BA-9855</t>
  </si>
  <si>
    <t>BA-9856</t>
  </si>
  <si>
    <t>BA-9857</t>
  </si>
  <si>
    <t>BA-9858</t>
  </si>
  <si>
    <t>BA-9859</t>
  </si>
  <si>
    <t>BA-9860</t>
  </si>
  <si>
    <t>BA-9861</t>
  </si>
  <si>
    <t>BA-9862</t>
  </si>
  <si>
    <t>BA-9863</t>
  </si>
  <si>
    <t>BA-9864</t>
  </si>
  <si>
    <t>BA-9865</t>
  </si>
  <si>
    <t>BA-9866</t>
  </si>
  <si>
    <t>BA-9867</t>
  </si>
  <si>
    <t>BA-9868</t>
  </si>
  <si>
    <t>BA-9869</t>
  </si>
  <si>
    <t>BA-9870</t>
  </si>
  <si>
    <t>BA-9871</t>
  </si>
  <si>
    <t>BA-9872</t>
  </si>
  <si>
    <t>BA-9873</t>
  </si>
  <si>
    <t>BA-9874</t>
  </si>
  <si>
    <t>BA-9875</t>
  </si>
  <si>
    <t>BA-9876</t>
  </si>
  <si>
    <t>BA-9877</t>
  </si>
  <si>
    <t>BA-9878</t>
  </si>
  <si>
    <t>BA-9879</t>
  </si>
  <si>
    <t>BA-9880</t>
  </si>
  <si>
    <t>BA-9881</t>
  </si>
  <si>
    <t>BA-9882</t>
  </si>
  <si>
    <t>BA-9883</t>
  </si>
  <si>
    <t>BA-9884</t>
  </si>
  <si>
    <t>BA-9885</t>
  </si>
  <si>
    <t>BA-9886</t>
  </si>
  <si>
    <t>BA-9887</t>
  </si>
  <si>
    <t>BA-9888</t>
  </si>
  <si>
    <t>BA-9889</t>
  </si>
  <si>
    <t>BA-9890</t>
  </si>
  <si>
    <t>BA-9891</t>
  </si>
  <si>
    <t>BA-9892</t>
  </si>
  <si>
    <t>BA-9893</t>
  </si>
  <si>
    <t>BA-9894</t>
  </si>
  <si>
    <t>BA-9895</t>
  </si>
  <si>
    <t>BA-9896</t>
  </si>
  <si>
    <t>BA-9897</t>
  </si>
  <si>
    <t>BA-9898</t>
  </si>
  <si>
    <t>BA-9899</t>
  </si>
  <si>
    <t>BA-9900</t>
  </si>
  <si>
    <t>BA-9901</t>
  </si>
  <si>
    <t>BA-9902</t>
  </si>
  <si>
    <t>BA-9903</t>
  </si>
  <si>
    <t>BA-9904</t>
  </si>
  <si>
    <t>BA-9905</t>
  </si>
  <si>
    <t>BA-9906</t>
  </si>
  <si>
    <t>BA-9907</t>
  </si>
  <si>
    <t>BA-9908</t>
  </si>
  <si>
    <t>BA-9909</t>
  </si>
  <si>
    <t>BA-9910</t>
  </si>
  <si>
    <t>BA-9911</t>
  </si>
  <si>
    <t>BA-9912</t>
  </si>
  <si>
    <t>BA-9913</t>
  </si>
  <si>
    <t>BA-9914</t>
  </si>
  <si>
    <t>BA-9915</t>
  </si>
  <si>
    <t>강유찬8685</t>
  </si>
  <si>
    <t>BA-9916</t>
  </si>
  <si>
    <t>BA-9917</t>
  </si>
  <si>
    <t>BA-9918</t>
  </si>
  <si>
    <t>BA-9919</t>
  </si>
  <si>
    <t>BA-9920</t>
  </si>
  <si>
    <t>BA-9921</t>
  </si>
  <si>
    <t>BA-9922</t>
  </si>
  <si>
    <t>BA-9923</t>
  </si>
  <si>
    <t>BA-9924</t>
  </si>
  <si>
    <t>BA-9925</t>
  </si>
  <si>
    <t>BA-9926</t>
  </si>
  <si>
    <t>BA-9927</t>
  </si>
  <si>
    <t>BA-9928</t>
  </si>
  <si>
    <t>BA-9929</t>
  </si>
  <si>
    <t>BA-9930</t>
  </si>
  <si>
    <t>BA-9931</t>
  </si>
  <si>
    <t>BA-9932</t>
  </si>
  <si>
    <t>BA-9933</t>
  </si>
  <si>
    <t>BA-9934</t>
  </si>
  <si>
    <t>BA-9935</t>
  </si>
  <si>
    <t>BA-9936</t>
  </si>
  <si>
    <t>BA-9937</t>
  </si>
  <si>
    <t>BA-9938</t>
  </si>
  <si>
    <t>BA-9939</t>
  </si>
  <si>
    <t>BA-9940</t>
  </si>
  <si>
    <t>BA-9941</t>
  </si>
  <si>
    <t>BA-9942</t>
  </si>
  <si>
    <t>BA-9943</t>
  </si>
  <si>
    <t>BA-9944</t>
  </si>
  <si>
    <t>BA-9945</t>
  </si>
  <si>
    <t>BA-9946</t>
  </si>
  <si>
    <t>BA-9947</t>
  </si>
  <si>
    <t>BA-9948</t>
  </si>
  <si>
    <t>BA-9949</t>
  </si>
  <si>
    <t>BA-9950</t>
  </si>
  <si>
    <t>BA-9951</t>
  </si>
  <si>
    <t>BA-9952</t>
  </si>
  <si>
    <t>BA-9953</t>
  </si>
  <si>
    <t>BA-9954</t>
  </si>
  <si>
    <t>BA-9955</t>
  </si>
  <si>
    <t>BA-9956</t>
  </si>
  <si>
    <t>BA-9957</t>
  </si>
  <si>
    <t>BA-9958</t>
  </si>
  <si>
    <t>BA-9959</t>
  </si>
  <si>
    <t>BA-9960</t>
  </si>
  <si>
    <t>BA-9961</t>
  </si>
  <si>
    <t>(아)김다은5516</t>
  </si>
  <si>
    <t>BA-9962</t>
  </si>
  <si>
    <t>BA-9963</t>
  </si>
  <si>
    <t>BA-9964</t>
  </si>
  <si>
    <t>BA-9965</t>
  </si>
  <si>
    <t>BA-9966</t>
  </si>
  <si>
    <t>BA-9967</t>
  </si>
  <si>
    <t>BA-9968</t>
  </si>
  <si>
    <t>BA-9969</t>
  </si>
  <si>
    <t>BA-9970</t>
  </si>
  <si>
    <t>BA-9971</t>
  </si>
  <si>
    <t>BA-9972</t>
  </si>
  <si>
    <t>BA-9973</t>
  </si>
  <si>
    <t>BA-9974</t>
  </si>
  <si>
    <t>BA-9975</t>
  </si>
  <si>
    <t>BA-9976</t>
  </si>
  <si>
    <t>BA-9977</t>
  </si>
  <si>
    <t>BA-9978</t>
  </si>
  <si>
    <t>BA-9979</t>
  </si>
  <si>
    <t>BA-9980</t>
  </si>
  <si>
    <t>BA-9981</t>
  </si>
  <si>
    <t>BA-9982</t>
  </si>
  <si>
    <t>BA-9983</t>
  </si>
  <si>
    <t>BA-9984</t>
  </si>
  <si>
    <t>BA-9985</t>
  </si>
  <si>
    <t>BA-9986</t>
  </si>
  <si>
    <t>BA-9987</t>
  </si>
  <si>
    <t>BA-9988</t>
  </si>
  <si>
    <t>BA-9989</t>
  </si>
  <si>
    <t>BA-9990</t>
  </si>
  <si>
    <t>BA-9991</t>
  </si>
  <si>
    <t>BA-9992</t>
  </si>
  <si>
    <t>BA-9993</t>
  </si>
  <si>
    <t>BA-9994</t>
  </si>
  <si>
    <t>BA-9995</t>
  </si>
  <si>
    <t>BA-9996</t>
  </si>
  <si>
    <t>BA-9997</t>
  </si>
  <si>
    <t>BA-9998</t>
  </si>
  <si>
    <t>BA-9999</t>
  </si>
  <si>
    <t>BA-10000</t>
  </si>
  <si>
    <t>BA-10001</t>
  </si>
  <si>
    <t>BA-10002</t>
  </si>
  <si>
    <t>BA-10003</t>
  </si>
  <si>
    <t>BA-10004</t>
  </si>
  <si>
    <t>BA-10005</t>
  </si>
  <si>
    <t>BA-10006</t>
  </si>
  <si>
    <t>BA-10007</t>
  </si>
  <si>
    <t>BA-10008</t>
  </si>
  <si>
    <t>BA-10009</t>
  </si>
  <si>
    <t>BA-10010</t>
  </si>
  <si>
    <t>BA-10011</t>
  </si>
  <si>
    <t>BA-10012</t>
  </si>
  <si>
    <t>BA-10013</t>
  </si>
  <si>
    <t>BA-10014</t>
  </si>
  <si>
    <t>BA-10015</t>
  </si>
  <si>
    <t>BA-10016</t>
  </si>
  <si>
    <t>BA-10017</t>
  </si>
  <si>
    <t>BA-10018</t>
  </si>
  <si>
    <t>BA-10019</t>
  </si>
  <si>
    <t>BA-10020</t>
  </si>
  <si>
    <t>BA-10021</t>
  </si>
  <si>
    <t>BA-10022</t>
  </si>
  <si>
    <t>BA-10023</t>
  </si>
  <si>
    <t>BA-10024</t>
  </si>
  <si>
    <t>BA-10025</t>
  </si>
  <si>
    <t>BA-10026</t>
  </si>
  <si>
    <t>BA-10027</t>
  </si>
  <si>
    <t>BA-10028</t>
  </si>
  <si>
    <t>BA-10029</t>
  </si>
  <si>
    <t>BA-10030</t>
  </si>
  <si>
    <t>BA-10031</t>
  </si>
  <si>
    <t>BA-10032</t>
  </si>
  <si>
    <t>BA-10033</t>
  </si>
  <si>
    <t>BA-10034</t>
  </si>
  <si>
    <t>BA-10035</t>
  </si>
  <si>
    <t>BA-10036</t>
  </si>
  <si>
    <t>BA-10037</t>
  </si>
  <si>
    <t>BA-10038</t>
  </si>
  <si>
    <t>BA-10039</t>
  </si>
  <si>
    <t>BA-10040</t>
  </si>
  <si>
    <t>BA-10041</t>
  </si>
  <si>
    <t>BA-10042</t>
  </si>
  <si>
    <t>BA-10043</t>
  </si>
  <si>
    <t>BA-10044</t>
  </si>
  <si>
    <t>BA-10045</t>
  </si>
  <si>
    <t>BA-10046</t>
  </si>
  <si>
    <t>BA-10047</t>
  </si>
  <si>
    <t>BA-10048</t>
  </si>
  <si>
    <t>BA-10049</t>
  </si>
  <si>
    <t>BA-10050</t>
  </si>
  <si>
    <t>BA-10051</t>
  </si>
  <si>
    <t>BA-10052</t>
  </si>
  <si>
    <t>BA-10053</t>
  </si>
  <si>
    <t>BA-10054</t>
  </si>
  <si>
    <t>BA-10055</t>
  </si>
  <si>
    <t>BA-10056</t>
  </si>
  <si>
    <t>BA-10057</t>
  </si>
  <si>
    <t>BA-10058</t>
  </si>
  <si>
    <t>BA-10059</t>
  </si>
  <si>
    <t>BA-10060</t>
  </si>
  <si>
    <t>BA-10061</t>
  </si>
  <si>
    <t>BA-10062</t>
  </si>
  <si>
    <t>BA-10063</t>
  </si>
  <si>
    <t>BA-10064</t>
  </si>
  <si>
    <t>BA-10065</t>
  </si>
  <si>
    <t>BA-10066</t>
  </si>
  <si>
    <t>BA-10067</t>
  </si>
  <si>
    <t>BA-10068</t>
  </si>
  <si>
    <t>BA-10069</t>
  </si>
  <si>
    <t>BA-10070</t>
  </si>
  <si>
    <t>BA-10071</t>
  </si>
  <si>
    <t>BA-10072</t>
  </si>
  <si>
    <t>BA-10073</t>
  </si>
  <si>
    <t>BA-10074</t>
  </si>
  <si>
    <t>BA-10075</t>
  </si>
  <si>
    <t>BA-10076</t>
  </si>
  <si>
    <t>BA-10077</t>
  </si>
  <si>
    <t>BA-10078</t>
  </si>
  <si>
    <t>BA-10079</t>
  </si>
  <si>
    <t>BA-10080</t>
  </si>
  <si>
    <t>BA-10081</t>
  </si>
  <si>
    <t>BA-10082</t>
  </si>
  <si>
    <t>BA-10083</t>
  </si>
  <si>
    <t>BA-10084</t>
  </si>
  <si>
    <t>BA-10085</t>
  </si>
  <si>
    <t>BA-10086</t>
  </si>
  <si>
    <t>BA-10087</t>
  </si>
  <si>
    <t>BA-10088</t>
  </si>
  <si>
    <t>BA-10089</t>
  </si>
  <si>
    <t>BA-10090</t>
  </si>
  <si>
    <t>BA-10091</t>
  </si>
  <si>
    <t>BA-10092</t>
  </si>
  <si>
    <t>BA-10093</t>
  </si>
  <si>
    <t>BA-10094</t>
  </si>
  <si>
    <t>BA-10095</t>
  </si>
  <si>
    <t>BA-10096</t>
  </si>
  <si>
    <t>BA-10097</t>
  </si>
  <si>
    <t>BA-10098</t>
  </si>
  <si>
    <t>BA-10099</t>
  </si>
  <si>
    <t>BA-10100</t>
  </si>
  <si>
    <t>BA-10101</t>
  </si>
  <si>
    <t>BA-10102</t>
  </si>
  <si>
    <t>BA-10103</t>
  </si>
  <si>
    <t>BA-10104</t>
  </si>
  <si>
    <t>BA-10105</t>
  </si>
  <si>
    <t>BA-10106</t>
  </si>
  <si>
    <t>BA-10107</t>
  </si>
  <si>
    <t>BA-10108</t>
  </si>
  <si>
    <t>BA-10109</t>
  </si>
  <si>
    <t>BA-10110</t>
  </si>
  <si>
    <t>BA-10111</t>
  </si>
  <si>
    <t>BA-10112</t>
  </si>
  <si>
    <t>BA-10113</t>
  </si>
  <si>
    <t>BA-10114</t>
  </si>
  <si>
    <t>BA-10115</t>
  </si>
  <si>
    <t>BA-10116</t>
  </si>
  <si>
    <t>BA-10117</t>
  </si>
  <si>
    <t>BA-10118</t>
  </si>
  <si>
    <t>BA-10119</t>
  </si>
  <si>
    <t>BA-10120</t>
  </si>
  <si>
    <t>BA-10121</t>
  </si>
  <si>
    <t>BA-10122</t>
  </si>
  <si>
    <t>BA-10123</t>
  </si>
  <si>
    <t>BA-10124</t>
  </si>
  <si>
    <t>BA-10125</t>
  </si>
  <si>
    <t>BA-10126</t>
  </si>
  <si>
    <t>BA-10127</t>
  </si>
  <si>
    <t>BA-10128</t>
  </si>
  <si>
    <t>BA-10129</t>
  </si>
  <si>
    <t>BA-10130</t>
  </si>
  <si>
    <t>BA-10131</t>
  </si>
  <si>
    <t>BA-10132</t>
  </si>
  <si>
    <t>BA-10133</t>
  </si>
  <si>
    <t>BA-10134</t>
  </si>
  <si>
    <t>BA-10135</t>
  </si>
  <si>
    <t>BA-10136</t>
  </si>
  <si>
    <t>BA-10137</t>
  </si>
  <si>
    <t>BA-10138</t>
  </si>
  <si>
    <t>BA-10139</t>
  </si>
  <si>
    <t>BA-10140</t>
  </si>
  <si>
    <t>BA-10141</t>
  </si>
  <si>
    <t>BA-10142</t>
  </si>
  <si>
    <t>BA-10143</t>
  </si>
  <si>
    <t>BA-10144</t>
  </si>
  <si>
    <t>BA-10145</t>
  </si>
  <si>
    <t>BA-10146</t>
  </si>
  <si>
    <t>BA-10147</t>
  </si>
  <si>
    <t>BA-10148</t>
  </si>
  <si>
    <t>BA-10149</t>
  </si>
  <si>
    <t>BA-10150</t>
  </si>
  <si>
    <t>BA-10151</t>
  </si>
  <si>
    <t>BA-10152</t>
  </si>
  <si>
    <t>BA-10153</t>
  </si>
  <si>
    <t>BA-10154</t>
  </si>
  <si>
    <t>BA-10155</t>
  </si>
  <si>
    <t>BA-10156</t>
  </si>
  <si>
    <t>BA-10157</t>
  </si>
  <si>
    <t>BA-10158</t>
  </si>
  <si>
    <t>BA-10159</t>
  </si>
  <si>
    <t>BA-10160</t>
  </si>
  <si>
    <t>BA-10161</t>
  </si>
  <si>
    <t>BA-10162</t>
  </si>
  <si>
    <t>BA-10163</t>
  </si>
  <si>
    <t>BA-10164</t>
  </si>
  <si>
    <t>BA-10165</t>
  </si>
  <si>
    <t>BA-10166</t>
  </si>
  <si>
    <t>BA-10167</t>
  </si>
  <si>
    <t>BA-10168</t>
  </si>
  <si>
    <t>BA-10169</t>
  </si>
  <si>
    <t>BA-10170</t>
  </si>
  <si>
    <t>BA-10171</t>
  </si>
  <si>
    <t>BA-10172</t>
  </si>
  <si>
    <t>BA-10173</t>
  </si>
  <si>
    <t>BA-10174</t>
  </si>
  <si>
    <t>BA-10175</t>
  </si>
  <si>
    <t>BA-10176</t>
  </si>
  <si>
    <t>BA-10177</t>
  </si>
  <si>
    <t>BA-10178</t>
  </si>
  <si>
    <t>BA-10179</t>
  </si>
  <si>
    <t>BA-10180</t>
  </si>
  <si>
    <t>BA-10181</t>
  </si>
  <si>
    <t>BA-10182</t>
  </si>
  <si>
    <t>BA-10183</t>
  </si>
  <si>
    <t>BA-10184</t>
  </si>
  <si>
    <t>BA-10185</t>
  </si>
  <si>
    <t>BA-10186</t>
  </si>
  <si>
    <t>BA-10187</t>
  </si>
  <si>
    <t>BA-10188</t>
  </si>
  <si>
    <t>BA-10189</t>
  </si>
  <si>
    <t>BA-10190</t>
  </si>
  <si>
    <t>BA-10191</t>
  </si>
  <si>
    <t>BA-10192</t>
  </si>
  <si>
    <t>BA-10193</t>
  </si>
  <si>
    <t>BA-10194</t>
  </si>
  <si>
    <t>BA-10195</t>
  </si>
  <si>
    <t>BA-10196</t>
  </si>
  <si>
    <t>BA-10197</t>
  </si>
  <si>
    <t>BA-10198</t>
  </si>
  <si>
    <t>BA-10199</t>
  </si>
  <si>
    <t>BA-10200</t>
  </si>
  <si>
    <t>BA-10201</t>
  </si>
  <si>
    <t>BA-10202</t>
  </si>
  <si>
    <t>BA-10203</t>
  </si>
  <si>
    <t>BA-10204</t>
  </si>
  <si>
    <t>BA-10205</t>
  </si>
  <si>
    <t>BA-10206</t>
  </si>
  <si>
    <t>BA-10207</t>
  </si>
  <si>
    <t>BA-10208</t>
  </si>
  <si>
    <t>BA-10209</t>
  </si>
  <si>
    <t>BA-10210</t>
  </si>
  <si>
    <t>BA-10211</t>
  </si>
  <si>
    <t>BA-10212</t>
  </si>
  <si>
    <t>BA-10213</t>
  </si>
  <si>
    <t>BA-10214</t>
  </si>
  <si>
    <t>BA-10215</t>
  </si>
  <si>
    <t>BA-10216</t>
  </si>
  <si>
    <t>BA-10217</t>
  </si>
  <si>
    <t>BA-10218</t>
  </si>
  <si>
    <t>BA-10219</t>
  </si>
  <si>
    <t>BA-10220</t>
  </si>
  <si>
    <t>BA-10221</t>
  </si>
  <si>
    <t>BA-10222</t>
  </si>
  <si>
    <t>BA-10223</t>
  </si>
  <si>
    <t>BA-10224</t>
  </si>
  <si>
    <t>BA-10225</t>
  </si>
  <si>
    <t>BA-10226</t>
  </si>
  <si>
    <t>BA-10227</t>
  </si>
  <si>
    <t>BA-10228</t>
  </si>
  <si>
    <t>BA-10229</t>
  </si>
  <si>
    <t>BA-10230</t>
  </si>
  <si>
    <t>BA-10231</t>
  </si>
  <si>
    <t>BA-10232</t>
  </si>
  <si>
    <t>BA-10233</t>
  </si>
  <si>
    <t>BA-10234</t>
  </si>
  <si>
    <t>BA-10235</t>
  </si>
  <si>
    <t>BA-10236</t>
  </si>
  <si>
    <t>BA-10237</t>
  </si>
  <si>
    <t>BA-10238</t>
  </si>
  <si>
    <t>BA-10239</t>
  </si>
  <si>
    <t>BA-10240</t>
  </si>
  <si>
    <t>BA-10241</t>
  </si>
  <si>
    <t>BA-10242</t>
  </si>
  <si>
    <t>BA-10243</t>
  </si>
  <si>
    <t>BA-10244</t>
  </si>
  <si>
    <t>BA-10245</t>
  </si>
  <si>
    <t>BA-10246</t>
  </si>
  <si>
    <t>BA-10247</t>
  </si>
  <si>
    <t>BA-10248</t>
  </si>
  <si>
    <t>BA-10249</t>
  </si>
  <si>
    <t>BA-10250</t>
  </si>
  <si>
    <t>BA-10251</t>
  </si>
  <si>
    <t>BA-10252</t>
  </si>
  <si>
    <t>BA-10253</t>
  </si>
  <si>
    <t>BA-10254</t>
  </si>
  <si>
    <t>BA-10255</t>
  </si>
  <si>
    <t>BA-10256</t>
  </si>
  <si>
    <t>BA-10257</t>
  </si>
  <si>
    <t>BA-10258</t>
  </si>
  <si>
    <t>BA-10259</t>
  </si>
  <si>
    <t>BA-10260</t>
  </si>
  <si>
    <t>BA-10261</t>
  </si>
  <si>
    <t>BA-10262</t>
  </si>
  <si>
    <t>BA-10263</t>
  </si>
  <si>
    <t>BA-10264</t>
  </si>
  <si>
    <t>BA-10265</t>
  </si>
  <si>
    <t>BA-10266</t>
  </si>
  <si>
    <t>BA-10267</t>
  </si>
  <si>
    <t>BA-10268</t>
  </si>
  <si>
    <t>BA-10269</t>
  </si>
  <si>
    <t>BA-10270</t>
  </si>
  <si>
    <t>BA-10271</t>
  </si>
  <si>
    <t>BA-10272</t>
  </si>
  <si>
    <t>BA-10273</t>
  </si>
  <si>
    <t>BA-10274</t>
  </si>
  <si>
    <t>BA-10275</t>
  </si>
  <si>
    <t>BA-10276</t>
  </si>
  <si>
    <t>BA-10277</t>
  </si>
  <si>
    <t>BA-10278</t>
  </si>
  <si>
    <t>BA-10279</t>
  </si>
  <si>
    <t>BA-10280</t>
  </si>
  <si>
    <t>BA-10281</t>
  </si>
  <si>
    <t>BA-10282</t>
  </si>
  <si>
    <t>BA-10283</t>
  </si>
  <si>
    <t>BA-10284</t>
  </si>
  <si>
    <t>BA-10285</t>
  </si>
  <si>
    <t>BA-10286</t>
  </si>
  <si>
    <t>BA-10287</t>
  </si>
  <si>
    <t>BA-10288</t>
  </si>
  <si>
    <t>BA-10289</t>
  </si>
  <si>
    <t>BA-10290</t>
  </si>
  <si>
    <t>BA-10291</t>
  </si>
  <si>
    <t>BA-10292</t>
  </si>
  <si>
    <t>BA-10293</t>
  </si>
  <si>
    <t>BA-10294</t>
  </si>
  <si>
    <t>BA-10295</t>
  </si>
  <si>
    <t>BA-10296</t>
  </si>
  <si>
    <t>BA-10297</t>
  </si>
  <si>
    <t>BA-10298</t>
  </si>
  <si>
    <t>BA-10299</t>
  </si>
  <si>
    <t>BA-10300</t>
  </si>
  <si>
    <t>BA-10301</t>
  </si>
  <si>
    <t>BA-10302</t>
  </si>
  <si>
    <t>BA-10303</t>
  </si>
  <si>
    <t>BA-10304</t>
  </si>
  <si>
    <t>BA-10305</t>
  </si>
  <si>
    <t>BA-10306</t>
  </si>
  <si>
    <t>BA-10307</t>
  </si>
  <si>
    <t>BA-10308</t>
  </si>
  <si>
    <t>BA-10309</t>
  </si>
  <si>
    <t>BA-10310</t>
  </si>
  <si>
    <t>BA-10311</t>
  </si>
  <si>
    <t>BA-10312</t>
  </si>
  <si>
    <t>BA-10313</t>
  </si>
  <si>
    <t>BA-10314</t>
  </si>
  <si>
    <t>BA-10315</t>
  </si>
  <si>
    <t>BA-10316</t>
  </si>
  <si>
    <t>BA-10317</t>
  </si>
  <si>
    <t>BA-10318</t>
  </si>
  <si>
    <t>BA-10319</t>
  </si>
  <si>
    <t>BA-10320</t>
  </si>
  <si>
    <t>BA-10321</t>
  </si>
  <si>
    <t>BA-10322</t>
  </si>
  <si>
    <t>BA-10323</t>
  </si>
  <si>
    <t>BA-10324</t>
  </si>
  <si>
    <t>BA-10325</t>
  </si>
  <si>
    <t>BA-10326</t>
  </si>
  <si>
    <t>BA-10327</t>
  </si>
  <si>
    <t>BA-10328</t>
  </si>
  <si>
    <t>BA-10329</t>
  </si>
  <si>
    <t>BA-10330</t>
  </si>
  <si>
    <t>BA-10331</t>
  </si>
  <si>
    <t>BA-10332</t>
  </si>
  <si>
    <t>BA-10333</t>
  </si>
  <si>
    <t>BA-10334</t>
  </si>
  <si>
    <t>BA-10335</t>
  </si>
  <si>
    <t>BA-10336</t>
  </si>
  <si>
    <t>BA-10337</t>
  </si>
  <si>
    <t>BA-10338</t>
  </si>
  <si>
    <t>BA-10339</t>
  </si>
  <si>
    <t>BA-10340</t>
  </si>
  <si>
    <t>BA-10341</t>
  </si>
  <si>
    <t>BA-10342</t>
  </si>
  <si>
    <t>BA-10343</t>
  </si>
  <si>
    <t>BA-10344</t>
  </si>
  <si>
    <t>BA-10345</t>
  </si>
  <si>
    <t>BA-10346</t>
  </si>
  <si>
    <t>BA-10347</t>
  </si>
  <si>
    <t>BA-10348</t>
  </si>
  <si>
    <t>BA-10349</t>
  </si>
  <si>
    <t>BA-10350</t>
  </si>
  <si>
    <t>BA-10351</t>
  </si>
  <si>
    <t>BA-10352</t>
  </si>
  <si>
    <t>BA-10353</t>
  </si>
  <si>
    <t>BA-10354</t>
  </si>
  <si>
    <t>BA-10355</t>
  </si>
  <si>
    <t>BA-10356</t>
  </si>
  <si>
    <t>BA-10357</t>
  </si>
  <si>
    <t>BA-10358</t>
  </si>
  <si>
    <t>BA-10359</t>
  </si>
  <si>
    <t>BA-10360</t>
  </si>
  <si>
    <t>BA-10361</t>
  </si>
  <si>
    <t>BA-10362</t>
  </si>
  <si>
    <t>BA-10363</t>
  </si>
  <si>
    <t>BA-10364</t>
  </si>
  <si>
    <t>BA-10365</t>
  </si>
  <si>
    <t>BA-10366</t>
  </si>
  <si>
    <t>BA-10367</t>
  </si>
  <si>
    <t>BA-10368</t>
  </si>
  <si>
    <t>BA-10369</t>
  </si>
  <si>
    <t>BA-10370</t>
  </si>
  <si>
    <t>BA-10371</t>
  </si>
  <si>
    <t>BA-10372</t>
  </si>
  <si>
    <t>BA-10373</t>
  </si>
  <si>
    <t>BA-10374</t>
  </si>
  <si>
    <t>BA-10375</t>
  </si>
  <si>
    <t>BA-10376</t>
  </si>
  <si>
    <t>BA-10377</t>
  </si>
  <si>
    <t>BA-10378</t>
  </si>
  <si>
    <t>BA-10379</t>
  </si>
  <si>
    <t>BA-10380</t>
  </si>
  <si>
    <t>BA-10381</t>
  </si>
  <si>
    <t>BA-10382</t>
  </si>
  <si>
    <t>BA-10383</t>
  </si>
  <si>
    <t>BA-10384</t>
  </si>
  <si>
    <t>BA-10385</t>
  </si>
  <si>
    <t>BA-10386</t>
  </si>
  <si>
    <t>BA-10387</t>
  </si>
  <si>
    <t>BA-10388</t>
  </si>
  <si>
    <t>BA-10389</t>
  </si>
  <si>
    <t>BA-10390</t>
  </si>
  <si>
    <t>BA-10391</t>
  </si>
  <si>
    <t>BA-10392</t>
  </si>
  <si>
    <t>BA-10393</t>
  </si>
  <si>
    <t>BA-10394</t>
  </si>
  <si>
    <t>BA-10395</t>
  </si>
  <si>
    <t>BA-10396</t>
  </si>
  <si>
    <t>BA-10397</t>
  </si>
  <si>
    <t>BA-10398</t>
  </si>
  <si>
    <t>BA-10399</t>
  </si>
  <si>
    <t>BA-10400</t>
  </si>
  <si>
    <t>BA-10401</t>
  </si>
  <si>
    <t>BA-10402</t>
  </si>
  <si>
    <t>BA-10403</t>
  </si>
  <si>
    <t>BA-10404</t>
  </si>
  <si>
    <t>BA-10405</t>
  </si>
  <si>
    <t>BA-10406</t>
  </si>
  <si>
    <t>BA-10407</t>
  </si>
  <si>
    <t>BA-10408</t>
  </si>
  <si>
    <t>BA-10409</t>
  </si>
  <si>
    <t>BA-10410</t>
  </si>
  <si>
    <t>BA-10411</t>
  </si>
  <si>
    <t>BA-10412</t>
  </si>
  <si>
    <t>BA-10413</t>
  </si>
  <si>
    <t>BA-10414</t>
  </si>
  <si>
    <t>BA-10415</t>
  </si>
  <si>
    <t>BA-10416</t>
  </si>
  <si>
    <t>BA-10417</t>
  </si>
  <si>
    <t>BA-10418</t>
  </si>
  <si>
    <t>BA-10419</t>
  </si>
  <si>
    <t>BA-10420</t>
  </si>
  <si>
    <t>BA-10421</t>
  </si>
  <si>
    <t>BA-10422</t>
  </si>
  <si>
    <t>BA-10423</t>
  </si>
  <si>
    <t>BA-10424</t>
  </si>
  <si>
    <t>BA-10425</t>
  </si>
  <si>
    <t>BA-10426</t>
  </si>
  <si>
    <t>BA-10427</t>
  </si>
  <si>
    <t>BA-10428</t>
  </si>
  <si>
    <t>BA-10429</t>
  </si>
  <si>
    <t>BA-10430</t>
  </si>
  <si>
    <t>BA-10431</t>
  </si>
  <si>
    <t>BA-10432</t>
  </si>
  <si>
    <t>BA-10433</t>
  </si>
  <si>
    <t>BA-10434</t>
  </si>
  <si>
    <t>BA-10435</t>
  </si>
  <si>
    <t>BA-10436</t>
  </si>
  <si>
    <t>BA-10437</t>
  </si>
  <si>
    <t>BA-10438</t>
  </si>
  <si>
    <t>BA-10439</t>
  </si>
  <si>
    <t>BA-10440</t>
  </si>
  <si>
    <t>BA-10441</t>
  </si>
  <si>
    <t>BA-10442</t>
  </si>
  <si>
    <t>BA-10443</t>
  </si>
  <si>
    <t>BA-10444</t>
  </si>
  <si>
    <t>BA-10445</t>
  </si>
  <si>
    <t>BA-10446</t>
  </si>
  <si>
    <t>BA-10447</t>
  </si>
  <si>
    <t>BA-10448</t>
  </si>
  <si>
    <t>BA-10449</t>
  </si>
  <si>
    <t>BA-10450</t>
  </si>
  <si>
    <t>BA-10451</t>
  </si>
  <si>
    <t>BA-10452</t>
  </si>
  <si>
    <t>BA-10453</t>
  </si>
  <si>
    <t>BA-10454</t>
  </si>
  <si>
    <t>BA-10455</t>
  </si>
  <si>
    <t>BA-10456</t>
  </si>
  <si>
    <t>BA-10457</t>
  </si>
  <si>
    <t>BA-10458</t>
  </si>
  <si>
    <t>BA-10459</t>
  </si>
  <si>
    <t>BA-10460</t>
  </si>
  <si>
    <t>BA-10461</t>
  </si>
  <si>
    <t>BA-10462</t>
  </si>
  <si>
    <t>BA-10463</t>
  </si>
  <si>
    <t>BA-10464</t>
  </si>
  <si>
    <t>BA-10465</t>
  </si>
  <si>
    <t>BA-10466</t>
  </si>
  <si>
    <t>BA-10467</t>
  </si>
  <si>
    <t>BA-10468</t>
  </si>
  <si>
    <t>BA-10469</t>
  </si>
  <si>
    <t>BA-10470</t>
  </si>
  <si>
    <t>BA-10471</t>
  </si>
  <si>
    <t>BA-10472</t>
  </si>
  <si>
    <t>BA-10473</t>
  </si>
  <si>
    <t>BA-10474</t>
  </si>
  <si>
    <t>BA-10475</t>
  </si>
  <si>
    <t>BA-10476</t>
  </si>
  <si>
    <t>BA-10477</t>
  </si>
  <si>
    <t>BA-10478</t>
  </si>
  <si>
    <t>BA-10479</t>
  </si>
  <si>
    <t>BA-10480</t>
  </si>
  <si>
    <t>BA-10481</t>
  </si>
  <si>
    <t>BA-10482</t>
  </si>
  <si>
    <t>BA-10483</t>
  </si>
  <si>
    <t>BA-10484</t>
  </si>
  <si>
    <t>BA-10485</t>
  </si>
  <si>
    <t>BA-10486</t>
  </si>
  <si>
    <t>BA-10487</t>
  </si>
  <si>
    <t>BA-10488</t>
  </si>
  <si>
    <t>BA-10489</t>
  </si>
  <si>
    <t>BA-10490</t>
  </si>
  <si>
    <t>BA-10491</t>
  </si>
  <si>
    <t>BA-10492</t>
  </si>
  <si>
    <t>BA-10493</t>
  </si>
  <si>
    <t>BA-10494</t>
  </si>
  <si>
    <t>BA-10495</t>
  </si>
  <si>
    <t>BA-10496</t>
  </si>
  <si>
    <t>BA-10497</t>
  </si>
  <si>
    <t>BA-10498</t>
  </si>
  <si>
    <t>BA-10499</t>
  </si>
  <si>
    <t>BA-10500</t>
  </si>
  <si>
    <t>BA-10501</t>
  </si>
  <si>
    <t>BA-10502</t>
  </si>
  <si>
    <t>BA-10503</t>
  </si>
  <si>
    <t>BA-10504</t>
  </si>
  <si>
    <t>BA-10505</t>
  </si>
  <si>
    <t>BA-10506</t>
  </si>
  <si>
    <t>BA-10507</t>
  </si>
  <si>
    <t>BA-10508</t>
  </si>
  <si>
    <t>BA-10509</t>
  </si>
  <si>
    <t>BA-10510</t>
  </si>
  <si>
    <t>BA-10511</t>
  </si>
  <si>
    <t>BA-10512</t>
  </si>
  <si>
    <t>BA-10513</t>
  </si>
  <si>
    <t>BA-10514</t>
  </si>
  <si>
    <t>BA-10515</t>
  </si>
  <si>
    <t>BA-10516</t>
  </si>
  <si>
    <t>BA-10517</t>
  </si>
  <si>
    <t>BA-10518</t>
  </si>
  <si>
    <t>BA-10519</t>
  </si>
  <si>
    <t>BA-10520</t>
  </si>
  <si>
    <t>BA-10521</t>
  </si>
  <si>
    <t>BA-10522</t>
  </si>
  <si>
    <t>BA-10523</t>
  </si>
  <si>
    <t>BA-10524</t>
  </si>
  <si>
    <t>BA-10525</t>
  </si>
  <si>
    <t>BA-10526</t>
  </si>
  <si>
    <t>BA-10527</t>
  </si>
  <si>
    <t>BA-10528</t>
  </si>
  <si>
    <t>BA-10529</t>
  </si>
  <si>
    <t>BA-10530</t>
  </si>
  <si>
    <t>BA-10531</t>
  </si>
  <si>
    <t>BA-10532</t>
  </si>
  <si>
    <t>BA-10533</t>
  </si>
  <si>
    <t>BA-10534</t>
  </si>
  <si>
    <t>BA-10535</t>
  </si>
  <si>
    <t>BA-10536</t>
  </si>
  <si>
    <t>BA-10537</t>
  </si>
  <si>
    <t>BA-10538</t>
  </si>
  <si>
    <t>BA-10539</t>
  </si>
  <si>
    <t>BA-10540</t>
  </si>
  <si>
    <t>BA-10541</t>
  </si>
  <si>
    <t>BA-10542</t>
  </si>
  <si>
    <t>BA-10543</t>
  </si>
  <si>
    <t>BA-10544</t>
  </si>
  <si>
    <t>BA-10545</t>
  </si>
  <si>
    <t>BA-10546</t>
  </si>
  <si>
    <t>BA-10547</t>
  </si>
  <si>
    <t>BA-10548</t>
  </si>
  <si>
    <t>BA-10549</t>
  </si>
  <si>
    <t>BA-10550</t>
  </si>
  <si>
    <t>BA-10551</t>
  </si>
  <si>
    <t>BA-10552</t>
  </si>
  <si>
    <t>BA-10553</t>
  </si>
  <si>
    <t>BA-10554</t>
  </si>
  <si>
    <t>BA-10555</t>
  </si>
  <si>
    <t>BA-10556</t>
  </si>
  <si>
    <t>BA-10557</t>
  </si>
  <si>
    <t>BA-10558</t>
  </si>
  <si>
    <t>BA-10559</t>
  </si>
  <si>
    <t>BA-10560</t>
  </si>
  <si>
    <t>BA-10561</t>
  </si>
  <si>
    <t>BA-10562</t>
  </si>
  <si>
    <t>BA-10563</t>
  </si>
  <si>
    <t>BA-10564</t>
  </si>
  <si>
    <t>BA-10565</t>
  </si>
  <si>
    <t>BA-10566</t>
  </si>
  <si>
    <t>BA-10567</t>
  </si>
  <si>
    <t>BA-10568</t>
  </si>
  <si>
    <t>BA-10569</t>
  </si>
  <si>
    <t>BA-10570</t>
  </si>
  <si>
    <t>BA-10571</t>
  </si>
  <si>
    <t>BA-10572</t>
  </si>
  <si>
    <t>BA-10573</t>
  </si>
  <si>
    <t>BA-10574</t>
  </si>
  <si>
    <t>BA-10575</t>
  </si>
  <si>
    <t>BA-10576</t>
  </si>
  <si>
    <t>BA-10577</t>
  </si>
  <si>
    <t>BA-10578</t>
  </si>
  <si>
    <t>BA-10579</t>
  </si>
  <si>
    <t>BA-10580</t>
  </si>
  <si>
    <t>BA-10581</t>
  </si>
  <si>
    <t>BA-10582</t>
  </si>
  <si>
    <t>BA-10583</t>
  </si>
  <si>
    <t>BA-10584</t>
  </si>
  <si>
    <t>BA-10585</t>
  </si>
  <si>
    <t>BA-10586</t>
  </si>
  <si>
    <t>BA-10587</t>
  </si>
  <si>
    <t>BA-10588</t>
  </si>
  <si>
    <t>BA-10589</t>
  </si>
  <si>
    <t>BA-10590</t>
  </si>
  <si>
    <t>BA-10591</t>
  </si>
  <si>
    <t>BA-10592</t>
  </si>
  <si>
    <t>BA-10593</t>
  </si>
  <si>
    <t>BA-10594</t>
  </si>
  <si>
    <t>BA-10595</t>
  </si>
  <si>
    <t>BA-10596</t>
  </si>
  <si>
    <t>BA-10597</t>
  </si>
  <si>
    <t>BA-10598</t>
  </si>
  <si>
    <t>BA-10599</t>
  </si>
  <si>
    <t>BA-10600</t>
  </si>
  <si>
    <t>BA-10601</t>
  </si>
  <si>
    <t>BA-10602</t>
  </si>
  <si>
    <t>BA-10603</t>
  </si>
  <si>
    <t>BA-10604</t>
  </si>
  <si>
    <t>BA-10605</t>
  </si>
  <si>
    <t>BA-10606</t>
  </si>
  <si>
    <t>BA-10607</t>
  </si>
  <si>
    <t>BA-10608</t>
  </si>
  <si>
    <t>BA-10609</t>
  </si>
  <si>
    <t>BA-10610</t>
  </si>
  <si>
    <t>BA-10611</t>
  </si>
  <si>
    <t>BA-10612</t>
  </si>
  <si>
    <t>BA-10613</t>
  </si>
  <si>
    <t>BA-10614</t>
  </si>
  <si>
    <t>BA-10615</t>
  </si>
  <si>
    <t>BA-10616</t>
  </si>
  <si>
    <t>BA-10617</t>
  </si>
  <si>
    <t>학생 배부 이력 조회</t>
  </si>
  <si>
    <t>사용법</t>
  </si>
  <si>
    <t>기준일</t>
  </si>
  <si>
    <t>학생명과 기준일을 입력하면 그 날짜까지 배부받은 교재가 아래에 표시됩니다.</t>
  </si>
  <si>
    <t>특이사항</t>
  </si>
  <si>
    <t>초기재고_창고</t>
  </si>
  <si>
    <t>초기재고_4층지원실</t>
  </si>
  <si>
    <t>초기재고_8층지원실</t>
  </si>
  <si>
    <t>1차재고_창고</t>
  </si>
  <si>
    <t>1차재고_4층지원실</t>
  </si>
  <si>
    <t>1차재고_8층지원실</t>
  </si>
  <si>
    <t>2차재고_창고</t>
  </si>
  <si>
    <t>2차재고_4층지원실</t>
  </si>
  <si>
    <t>2차재고_8층지원실</t>
  </si>
  <si>
    <t>3차재고_창고</t>
  </si>
  <si>
    <t>3차재고_4층지원실</t>
  </si>
  <si>
    <t>3차재고_8층지원실</t>
  </si>
  <si>
    <t>4차재고_창고</t>
  </si>
  <si>
    <t>4차재고_4층지원실</t>
  </si>
  <si>
    <t>4차재고_8층지원실</t>
  </si>
  <si>
    <t>5차재고_창고</t>
  </si>
  <si>
    <t xml:space="preserve"> 5차재고_4층지원실</t>
  </si>
  <si>
    <t>5차재고_8층지원실</t>
  </si>
  <si>
    <t>STK-0001</t>
  </si>
  <si>
    <t>STK-0002</t>
  </si>
  <si>
    <t>STK-0003</t>
  </si>
  <si>
    <t>STK-0004</t>
  </si>
  <si>
    <t>STK-0005</t>
  </si>
  <si>
    <t>STK-0006</t>
  </si>
  <si>
    <t>STK-0007</t>
  </si>
  <si>
    <t>STK-0008</t>
  </si>
  <si>
    <t>STK-0009</t>
  </si>
  <si>
    <t>STK-0010</t>
  </si>
  <si>
    <t>STK-0011</t>
  </si>
  <si>
    <t>STK-0012</t>
  </si>
  <si>
    <t>STK-0013</t>
  </si>
  <si>
    <t>STK-0014</t>
  </si>
  <si>
    <t>STK-0015</t>
  </si>
  <si>
    <t>STK-0016</t>
  </si>
  <si>
    <t>STK-0017</t>
  </si>
  <si>
    <t>STK-0018</t>
  </si>
  <si>
    <t>STK-0019</t>
  </si>
  <si>
    <t>STK-0020</t>
  </si>
  <si>
    <t>STK-0021</t>
  </si>
  <si>
    <t>STK-0022</t>
  </si>
  <si>
    <t>STK-0023</t>
  </si>
  <si>
    <t>STK-0024</t>
  </si>
  <si>
    <t>STK-0025</t>
  </si>
  <si>
    <t>STK-0026</t>
  </si>
  <si>
    <t>STK-0027</t>
  </si>
  <si>
    <t>STK-0028</t>
  </si>
  <si>
    <t>STK-0029</t>
  </si>
  <si>
    <t>STK-0030</t>
  </si>
  <si>
    <t>STK-0031</t>
  </si>
  <si>
    <t>STK-0032</t>
  </si>
  <si>
    <t>STK-0033</t>
  </si>
  <si>
    <t>STK-0034</t>
  </si>
  <si>
    <t>STK-0035</t>
  </si>
  <si>
    <t>STK-0036</t>
  </si>
  <si>
    <t>STK-0037</t>
  </si>
  <si>
    <t>STK-0038</t>
  </si>
  <si>
    <t>STK-0039</t>
  </si>
  <si>
    <t>STK-0040</t>
  </si>
  <si>
    <t>STK-0041</t>
  </si>
  <si>
    <t>STK-0042</t>
  </si>
  <si>
    <t>STK-0043</t>
  </si>
  <si>
    <t>STK-0044</t>
  </si>
  <si>
    <t>STK-0045</t>
  </si>
  <si>
    <t>STK-0046</t>
  </si>
  <si>
    <t>STK-0047</t>
  </si>
  <si>
    <t>STK-0048</t>
  </si>
  <si>
    <t>STK-0049</t>
  </si>
  <si>
    <t>STK-0050</t>
  </si>
  <si>
    <t>STK-0051</t>
  </si>
  <si>
    <t>STK-0052</t>
  </si>
  <si>
    <t>STK-0053</t>
  </si>
  <si>
    <t>STK-0054</t>
  </si>
  <si>
    <t>STK-0055</t>
  </si>
  <si>
    <t>STK-0056</t>
  </si>
  <si>
    <t>STK-0057</t>
  </si>
  <si>
    <t>STK-0058</t>
  </si>
  <si>
    <t>STK-0059</t>
  </si>
  <si>
    <t>STK-0060</t>
  </si>
  <si>
    <t>STK-0061</t>
  </si>
  <si>
    <t>STK-0062</t>
  </si>
  <si>
    <t>STK-0063</t>
  </si>
  <si>
    <t>STK-0064</t>
  </si>
  <si>
    <t>STK-0065</t>
  </si>
  <si>
    <t>STK-0066</t>
  </si>
  <si>
    <t>STK-0067</t>
  </si>
  <si>
    <t>STK-0068</t>
  </si>
  <si>
    <t>STK-0069</t>
  </si>
  <si>
    <t>STK-0070</t>
  </si>
  <si>
    <t>STK-0071</t>
  </si>
  <si>
    <t>STK-0072</t>
  </si>
  <si>
    <t>STK-0073</t>
  </si>
  <si>
    <t>STK-0074</t>
  </si>
  <si>
    <t>STK-0075</t>
  </si>
  <si>
    <t>STK-0076</t>
  </si>
  <si>
    <t>STK-0077</t>
  </si>
  <si>
    <t>STK-0078</t>
  </si>
  <si>
    <t>STK-0079</t>
  </si>
  <si>
    <t>STK-0080</t>
  </si>
  <si>
    <t>STK-0081</t>
  </si>
  <si>
    <t>STK-0082</t>
  </si>
  <si>
    <t>STK-0083</t>
  </si>
  <si>
    <t>STK-0084</t>
  </si>
  <si>
    <t>STK-0085</t>
  </si>
  <si>
    <t>STK-0086</t>
  </si>
  <si>
    <t>STK-0087</t>
  </si>
  <si>
    <t>STK-0088</t>
  </si>
  <si>
    <t>STK-0089</t>
  </si>
  <si>
    <t>STK-0090</t>
  </si>
  <si>
    <t>STK-0091</t>
  </si>
  <si>
    <t>STK-0092</t>
  </si>
  <si>
    <t>STK-0093</t>
  </si>
  <si>
    <t>STK-0094</t>
  </si>
  <si>
    <t>STK-0095</t>
  </si>
  <si>
    <t>STK-0096</t>
  </si>
  <si>
    <t>STK-0097</t>
  </si>
  <si>
    <t>STK-0098</t>
  </si>
  <si>
    <t>STK-0099</t>
  </si>
  <si>
    <t>STK-0100</t>
  </si>
  <si>
    <t>STK-0101</t>
  </si>
  <si>
    <t>STK-0102</t>
  </si>
  <si>
    <t>STK-0103</t>
  </si>
  <si>
    <t>STK-0104</t>
  </si>
  <si>
    <t>STK-0105</t>
  </si>
  <si>
    <t>STK-0106</t>
  </si>
  <si>
    <t>STK-0107</t>
  </si>
  <si>
    <t>STK-0108</t>
  </si>
  <si>
    <t>STK-0109</t>
  </si>
  <si>
    <t>STK-0110</t>
  </si>
  <si>
    <t>STK-0111</t>
  </si>
  <si>
    <t>STK-0112</t>
  </si>
  <si>
    <t>STK-0113</t>
  </si>
  <si>
    <t>STK-0114</t>
  </si>
  <si>
    <t>STK-0115</t>
  </si>
  <si>
    <t>STK-0116</t>
  </si>
  <si>
    <t>STK-0117</t>
  </si>
  <si>
    <t>STK-0118</t>
  </si>
  <si>
    <t>STK-0119</t>
  </si>
  <si>
    <t>STK-0120</t>
  </si>
  <si>
    <t>STK-0121</t>
  </si>
  <si>
    <t>STK-0122</t>
  </si>
  <si>
    <t>STK-0123</t>
  </si>
  <si>
    <t>STK-0124</t>
  </si>
  <si>
    <t>STK-0125</t>
  </si>
  <si>
    <t>STK-0126</t>
  </si>
  <si>
    <t>STK-0127</t>
  </si>
  <si>
    <t>STK-0128</t>
  </si>
  <si>
    <t>STK-0129</t>
  </si>
  <si>
    <t>STK-0130</t>
  </si>
  <si>
    <t>STK-0131</t>
  </si>
  <si>
    <t>STK-0132</t>
  </si>
  <si>
    <t>STK-0133</t>
  </si>
  <si>
    <t>STK-0134</t>
  </si>
  <si>
    <t>STK-0135</t>
  </si>
  <si>
    <t>STK-0136</t>
  </si>
  <si>
    <t>STK-0137</t>
  </si>
  <si>
    <t>STK-0138</t>
  </si>
  <si>
    <t>STK-0139</t>
  </si>
  <si>
    <t>STK-0140</t>
  </si>
  <si>
    <t>STK-0141</t>
  </si>
  <si>
    <t>STK-0142</t>
  </si>
  <si>
    <t>STK-0143</t>
  </si>
  <si>
    <t>STK-0144</t>
  </si>
  <si>
    <t>STK-0145</t>
  </si>
  <si>
    <t>STK-0146</t>
  </si>
  <si>
    <t>STK-0147</t>
  </si>
  <si>
    <t>STK-0148</t>
  </si>
  <si>
    <t>STK-0149</t>
  </si>
  <si>
    <t>STK-0150</t>
  </si>
  <si>
    <t>STK-0151</t>
  </si>
  <si>
    <t>STK-0152</t>
  </si>
  <si>
    <t>STK-0153</t>
  </si>
  <si>
    <t>STK-0154</t>
  </si>
  <si>
    <t>STK-0155</t>
  </si>
  <si>
    <t>STK-0156</t>
  </si>
  <si>
    <t>STK-0157</t>
  </si>
  <si>
    <t>STK-0158</t>
  </si>
  <si>
    <t>STK-0159</t>
  </si>
  <si>
    <t>STK-0160</t>
  </si>
  <si>
    <t>STK-0161</t>
  </si>
  <si>
    <t>STK-0162</t>
  </si>
  <si>
    <t>STK-0163</t>
  </si>
  <si>
    <t>STK-0164</t>
  </si>
  <si>
    <t>STK-0165</t>
  </si>
  <si>
    <t>STK-0166</t>
  </si>
  <si>
    <t>STK-0167</t>
  </si>
  <si>
    <t>STK-0168</t>
  </si>
  <si>
    <t>STK-0169</t>
  </si>
  <si>
    <t>STK-0170</t>
  </si>
  <si>
    <t>STK-0171</t>
  </si>
  <si>
    <t>STK-0172</t>
  </si>
  <si>
    <t>STK-0173</t>
  </si>
  <si>
    <t>STK-0174</t>
  </si>
  <si>
    <t>STK-0175</t>
  </si>
  <si>
    <t>STK-0176</t>
  </si>
  <si>
    <t>STK-0177</t>
  </si>
  <si>
    <t>STK-0178</t>
  </si>
  <si>
    <t>STK-0179</t>
  </si>
  <si>
    <t>STK-0180</t>
  </si>
  <si>
    <t>STK-0181</t>
  </si>
  <si>
    <t>STK-0182</t>
  </si>
  <si>
    <t>STK-0183</t>
  </si>
  <si>
    <t>STK-0184</t>
  </si>
  <si>
    <t>STK-0185</t>
  </si>
  <si>
    <t>STK-0186</t>
  </si>
  <si>
    <t>STK-0187</t>
  </si>
  <si>
    <t>STK-0188</t>
  </si>
  <si>
    <t>STK-0189</t>
  </si>
  <si>
    <t>STK-0190</t>
  </si>
  <si>
    <t>STK-0191</t>
  </si>
  <si>
    <t>STK-0192</t>
  </si>
  <si>
    <t>STK-0193</t>
  </si>
  <si>
    <t>STK-0194</t>
  </si>
  <si>
    <t>STK-0195</t>
  </si>
  <si>
    <t>STK-0196</t>
  </si>
  <si>
    <t>STK-0197</t>
  </si>
  <si>
    <t>STK-0198</t>
  </si>
  <si>
    <t>STK-0199</t>
  </si>
  <si>
    <t>STK-0200</t>
  </si>
  <si>
    <t>STK-0201</t>
  </si>
  <si>
    <t>STK-0202</t>
  </si>
  <si>
    <t>STK-0203</t>
  </si>
  <si>
    <t>STK-0204</t>
  </si>
  <si>
    <t>STK-0205</t>
  </si>
  <si>
    <t>STK-0206</t>
  </si>
  <si>
    <t>STK-0207</t>
  </si>
  <si>
    <t>STK-0208</t>
  </si>
  <si>
    <t>STK-0209</t>
  </si>
  <si>
    <t>STK-0210</t>
  </si>
  <si>
    <t>STK-0211</t>
  </si>
  <si>
    <t>STK-0212</t>
  </si>
  <si>
    <t>STK-0213</t>
  </si>
  <si>
    <t>STK-0214</t>
  </si>
  <si>
    <t>STK-0215</t>
  </si>
  <si>
    <t>STK-0216</t>
  </si>
  <si>
    <t>STK-0217</t>
  </si>
  <si>
    <t>STK-0218</t>
  </si>
  <si>
    <t>STK-0219</t>
  </si>
  <si>
    <t>STK-0220</t>
  </si>
  <si>
    <t>이동ID</t>
  </si>
  <si>
    <t>이동일</t>
  </si>
  <si>
    <t>출발장소</t>
  </si>
  <si>
    <t>도착장소</t>
  </si>
  <si>
    <t>특이사항 학생 모아보기</t>
  </si>
  <si>
    <t>전체 현황판</t>
  </si>
  <si>
    <t>회수</t>
  </si>
  <si>
    <t>교재 이동 - 출고</t>
  </si>
  <si>
    <t>교재 이동 - 입고</t>
  </si>
  <si>
    <t>현재 재고</t>
  </si>
  <si>
    <t>추가재고_창고</t>
  </si>
  <si>
    <t>추가재고_4층지원실</t>
  </si>
  <si>
    <t>추가재고_8층지원실</t>
  </si>
  <si>
    <t>총입고합계</t>
  </si>
  <si>
    <t>배부_창고</t>
  </si>
  <si>
    <t>배부_4층지원실</t>
  </si>
  <si>
    <t>배부_8층지원실</t>
  </si>
  <si>
    <t>배부총합계</t>
  </si>
  <si>
    <t>회수_창고</t>
  </si>
  <si>
    <t>회수_4층지원실</t>
  </si>
  <si>
    <t>회수_8층지원실</t>
  </si>
  <si>
    <t>회수총합계</t>
  </si>
  <si>
    <t>이동출고_창고</t>
  </si>
  <si>
    <t>이동출고_4층지원실</t>
  </si>
  <si>
    <t>이동출고_8층지원실</t>
  </si>
  <si>
    <t>이동입고_창고</t>
  </si>
  <si>
    <t>이동입고_4층지원실</t>
  </si>
  <si>
    <t>이동입고_8층지원실</t>
  </si>
  <si>
    <t>현재재고_창고</t>
  </si>
  <si>
    <t>현재재고_4층지원실</t>
  </si>
  <si>
    <t>현재재고_8층지원실</t>
  </si>
  <si>
    <t>현재총재고</t>
  </si>
  <si>
    <t>재고상태</t>
  </si>
  <si>
    <t>항목</t>
  </si>
  <si>
    <t>설정값/설명</t>
  </si>
  <si>
    <t>앱에 추가할 테이블</t>
  </si>
  <si>
    <t>학생목록, 반마스터, 학생반배정, 교재재고, 일괄배부입력, 개별배부입력, 배부로그</t>
  </si>
  <si>
    <t>키 컬럼</t>
  </si>
  <si>
    <t>학생목록:학생명 / 반마스터:반명 / 학생반배정:배정ID / 교재재고:재고ID / 일괄배부입력:요청ID / 개별배부입력:요청ID / 배부로그:로그ID</t>
  </si>
  <si>
    <t>대표 입력 화면 1</t>
  </si>
  <si>
    <t>일괄배부입력 폼: 배부일, 반명, 교재구분, 학생당수량만 보이게</t>
  </si>
  <si>
    <t>대표 입력 화면 2</t>
  </si>
  <si>
    <t>개별배부입력 폼: 배부일, 학생명, 교재구분, 수량, 특이사항여부, 특이사항유형, 특이사항내용</t>
  </si>
  <si>
    <t>특이사항 더 쉽게</t>
  </si>
  <si>
    <t>특이사항여부=Y일 때만 유형/내용 보이게 Show_If 설정</t>
  </si>
  <si>
    <t>일괄배부 버튼</t>
  </si>
  <si>
    <t>일괄배부입력 저장 후 Bot이 학생반배정에서 해당 반의 재원 학생만 찾아 배부로그를 학생별로 자동 생성</t>
  </si>
  <si>
    <t>개별배부 버튼</t>
  </si>
  <si>
    <t>개별배부입력 저장 후 Bot이 배부로그 1건 자동 생성</t>
  </si>
  <si>
    <t>반이동 버튼</t>
  </si>
  <si>
    <t>학생반배정 행 수정으로 처리. 필요 시 반이동기록 테이블 추가 가능</t>
  </si>
  <si>
    <t>학생조회 화면</t>
  </si>
  <si>
    <t>배부로그를 학생명 기준 Deck view로 만들고 날짜 필터 슬라이스 추가</t>
  </si>
  <si>
    <t>특이사항 화면</t>
  </si>
  <si>
    <t>배부로그 중 특이사항여부=Y 슬라이스를 Deck/Table view로 제공</t>
  </si>
  <si>
    <t>현황판 화면</t>
  </si>
  <si>
    <t>교재재고 또는 전체현황판을 Table/Dashboard view로 제공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</si>
</sst>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-d"/>
    <numFmt numFmtId="166" formatCode="yyyy. M. d am/pm h:mm:ss"/>
  </numFmts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맑은 고딕&quot;"/>
    </font>
    <font>
      <sz val="11.0"/>
      <color theme="1"/>
      <name val="Arial"/>
    </font>
    <font>
      <b/>
      <sz val="14.0"/>
      <color theme="1"/>
      <name val="Calibri"/>
      <scheme val="minor"/>
    </font>
    <font>
      <sz val="11.0"/>
      <color rgb="FF0D0D0D"/>
      <name val="Ui-monospace"/>
    </font>
    <font>
      <b/>
      <sz val="11.0"/>
      <color rgb="FFFFFFFF"/>
      <name val="Calibri"/>
    </font>
    <font>
      <b/>
      <sz val="11.0"/>
      <color rgb="FF000000"/>
      <name val="&quot;맑은 고딕&quot;"/>
    </font>
    <font>
      <b/>
      <color theme="1"/>
      <name val="Calibri"/>
      <scheme val="minor"/>
    </font>
    <font>
      <b/>
      <color rgb="FF000000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4">
    <border/>
    <border>
      <bottom style="thin">
        <color rgb="FFD9D9D9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ont="1">
      <alignment horizontal="center" readingOrder="0" vertical="center"/>
    </xf>
    <xf borderId="0" fillId="3" fontId="3" numFmtId="164" xfId="0" applyFill="1" applyFont="1" applyNumberFormat="1"/>
    <xf borderId="2" fillId="3" fontId="3" numFmtId="0" xfId="0" applyBorder="1" applyFont="1"/>
    <xf borderId="2" fillId="4" fontId="3" numFmtId="0" xfId="0" applyBorder="1" applyFill="1" applyFont="1"/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2" fillId="3" fontId="3" numFmtId="164" xfId="0" applyBorder="1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5" fontId="3" numFmtId="0" xfId="0" applyAlignment="1" applyFill="1" applyFont="1">
      <alignment vertical="bottom"/>
    </xf>
    <xf borderId="0" fillId="5" fontId="5" numFmtId="0" xfId="0" applyAlignment="1" applyFont="1">
      <alignment horizontal="center"/>
    </xf>
    <xf borderId="0" fillId="6" fontId="5" numFmtId="0" xfId="0" applyAlignment="1" applyFill="1" applyFont="1">
      <alignment horizontal="center"/>
    </xf>
    <xf borderId="0" fillId="5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1" fillId="7" fontId="1" numFmtId="0" xfId="0" applyAlignment="1" applyBorder="1" applyFill="1" applyFont="1">
      <alignment horizontal="center" vertical="center"/>
    </xf>
    <xf borderId="0" fillId="5" fontId="2" numFmtId="0" xfId="0" applyAlignment="1" applyFont="1">
      <alignment readingOrder="0"/>
    </xf>
    <xf borderId="0" fillId="5" fontId="4" numFmtId="0" xfId="0" applyAlignment="1" applyFont="1">
      <alignment readingOrder="0" shrinkToFit="0" wrapText="0"/>
    </xf>
    <xf borderId="0" fillId="5" fontId="2" numFmtId="165" xfId="0" applyAlignment="1" applyFont="1" applyNumberFormat="1">
      <alignment readingOrder="0"/>
    </xf>
    <xf borderId="0" fillId="5" fontId="2" numFmtId="0" xfId="0" applyFont="1"/>
    <xf borderId="0" fillId="8" fontId="2" numFmtId="0" xfId="0" applyAlignment="1" applyFill="1" applyFont="1">
      <alignment readingOrder="0"/>
    </xf>
    <xf borderId="0" fillId="8" fontId="4" numFmtId="0" xfId="0" applyAlignment="1" applyFont="1">
      <alignment readingOrder="0" shrinkToFit="0" wrapText="0"/>
    </xf>
    <xf borderId="0" fillId="8" fontId="2" numFmtId="165" xfId="0" applyAlignment="1" applyFont="1" applyNumberFormat="1">
      <alignment readingOrder="0"/>
    </xf>
    <xf borderId="0" fillId="8" fontId="2" numFmtId="0" xfId="0" applyFont="1"/>
    <xf borderId="0" fillId="8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vertical="bottom"/>
    </xf>
    <xf borderId="0" fillId="6" fontId="5" numFmtId="0" xfId="0" applyAlignment="1" applyFont="1">
      <alignment horizontal="center" vertical="bottom"/>
    </xf>
    <xf borderId="0" fillId="8" fontId="4" numFmtId="0" xfId="0" applyAlignment="1" applyFont="1">
      <alignment horizontal="center" readingOrder="0" shrinkToFit="0" vertical="center" wrapText="0"/>
    </xf>
    <xf borderId="3" fillId="8" fontId="4" numFmtId="0" xfId="0" applyAlignment="1" applyBorder="1" applyFont="1">
      <alignment readingOrder="0" shrinkToFit="0" wrapText="0"/>
    </xf>
    <xf borderId="3" fillId="5" fontId="4" numFmtId="0" xfId="0" applyAlignment="1" applyBorder="1" applyFont="1">
      <alignment readingOrder="0" shrinkToFit="0" wrapText="0"/>
    </xf>
    <xf borderId="0" fillId="0" fontId="6" numFmtId="166" xfId="0" applyFont="1" applyNumberFormat="1"/>
    <xf borderId="0" fillId="0" fontId="2" numFmtId="166" xfId="0" applyFont="1" applyNumberFormat="1"/>
    <xf borderId="1" fillId="2" fontId="1" numFmtId="166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shrinkToFit="0" wrapText="1"/>
    </xf>
    <xf borderId="1" fillId="9" fontId="8" numFmtId="0" xfId="0" applyAlignment="1" applyBorder="1" applyFill="1" applyFont="1">
      <alignment horizontal="center" readingOrder="0"/>
    </xf>
    <xf borderId="0" fillId="9" fontId="8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5" fontId="3" numFmtId="0" xfId="0" applyFont="1"/>
    <xf borderId="0" fillId="6" fontId="3" numFmtId="0" xfId="0" applyFont="1"/>
    <xf borderId="3" fillId="0" fontId="9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6" numFmtId="0" xfId="0" applyFont="1"/>
    <xf borderId="0" fillId="0" fontId="6" numFmtId="0" xfId="0" applyAlignment="1" applyFont="1">
      <alignment horizontal="center" vertical="center"/>
    </xf>
    <xf borderId="0" fillId="10" fontId="2" numFmtId="49" xfId="0" applyAlignment="1" applyFill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10" fontId="10" numFmtId="0" xfId="0" applyAlignment="1" applyFont="1">
      <alignment horizontal="center" readingOrder="0" vertical="center"/>
    </xf>
    <xf borderId="0" fillId="11" fontId="10" numFmtId="0" xfId="0" applyAlignment="1" applyFill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4" fontId="10" numFmtId="0" xfId="0" applyAlignment="1" applyFill="1" applyFont="1">
      <alignment horizontal="center" readingOrder="0" vertical="center"/>
    </xf>
    <xf borderId="0" fillId="10" fontId="2" numFmtId="0" xfId="0" applyAlignment="1" applyFont="1">
      <alignment horizontal="center" vertical="center"/>
    </xf>
    <xf borderId="1" fillId="10" fontId="11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10" fontId="11" numFmtId="0" xfId="0" applyAlignment="1" applyBorder="1" applyFont="1">
      <alignment horizontal="center" readingOrder="0" vertical="center"/>
    </xf>
    <xf borderId="1" fillId="15" fontId="11" numFmtId="0" xfId="0" applyAlignment="1" applyBorder="1" applyFill="1" applyFont="1">
      <alignment horizontal="center" readingOrder="0" vertical="center"/>
    </xf>
    <xf borderId="0" fillId="15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0" fillId="1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10" fontId="3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10" fontId="2" numFmtId="3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>
    <tableStyle count="3" pivot="0" name="학생목록-style">
      <tableStyleElement dxfId="1" type="headerRow"/>
      <tableStyleElement dxfId="2" type="firstRowStripe"/>
      <tableStyleElement dxfId="3" type="secondRowStripe"/>
    </tableStyle>
    <tableStyle count="3" pivot="0" name="일괄배부입력-style">
      <tableStyleElement dxfId="1" type="headerRow"/>
      <tableStyleElement dxfId="2" type="firstRowStripe"/>
      <tableStyleElement dxfId="3" type="secondRowStripe"/>
    </tableStyle>
    <tableStyle count="3" pivot="0" name="개별배부입력-style">
      <tableStyleElement dxfId="1" type="headerRow"/>
      <tableStyleElement dxfId="2" type="firstRowStripe"/>
      <tableStyleElement dxfId="3" type="secondRowStripe"/>
    </tableStyle>
    <tableStyle count="3" pivot="0" name="배부로그-style">
      <tableStyleElement dxfId="1" type="headerRow"/>
      <tableStyleElement dxfId="2" type="firstRowStripe"/>
      <tableStyleElement dxfId="3" type="secondRowStripe"/>
    </tableStyle>
    <tableStyle count="3" pivot="0" name="반마스터-style">
      <tableStyleElement dxfId="1" type="headerRow"/>
      <tableStyleElement dxfId="2" type="firstRowStripe"/>
      <tableStyleElement dxfId="3" type="secondRowStripe"/>
    </tableStyle>
    <tableStyle count="2" pivot="0" name="반마스터-style 2">
      <tableStyleElement dxfId="3" type="firstRowStripe"/>
      <tableStyleElement dxfId="2" type="secondRowStripe"/>
    </tableStyle>
    <tableStyle count="3" pivot="0" name="반별학생명단-style">
      <tableStyleElement dxfId="1" type="headerRow"/>
      <tableStyleElement dxfId="2" type="firstRowStripe"/>
      <tableStyleElement dxfId="3" type="secondRowStripe"/>
    </tableStyle>
    <tableStyle count="3" pivot="0" name="교재재고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57" displayName="Table_1" name="Table_1" id="1">
  <tableColumns count="2">
    <tableColumn name="학생명" id="1"/>
    <tableColumn name="현재배정반수" id="2"/>
  </tableColumns>
  <tableStyleInfo name="학생목록-style" showColumnStripes="0" showFirstColumn="1" showLastColumn="1" showRowStripes="1"/>
</table>
</file>

<file path=xl/tables/table2.xml><?xml version="1.0" encoding="utf-8"?>
<table xmlns="http://schemas.openxmlformats.org/spreadsheetml/2006/main" ref="A1:J51" displayName="Table_2" name="Table_2" id="2">
  <tableColumns count="10">
    <tableColumn name="요청ID" id="1"/>
    <tableColumn name="배부일" id="2"/>
    <tableColumn name="반명" id="3"/>
    <tableColumn name="배부장소" id="4"/>
    <tableColumn name="학생당수량" id="5"/>
    <tableColumn name="총대상학생수" id="6"/>
    <tableColumn name="총배부수량" id="7"/>
    <tableColumn name="실행상태" id="8"/>
    <tableColumn name="담당자" id="9"/>
    <tableColumn name="메모" id="10"/>
  </tableColumns>
  <tableStyleInfo name="일괄배부입력-style" showColumnStripes="0" showFirstColumn="1" showLastColumn="1" showRowStripes="1"/>
</table>
</file>

<file path=xl/tables/table3.xml><?xml version="1.0" encoding="utf-8"?>
<table xmlns="http://schemas.openxmlformats.org/spreadsheetml/2006/main" ref="A1:K101" displayName="Table_3" name="Table_3" id="3">
  <tableColumns count="11">
    <tableColumn name="요청ID" id="1"/>
    <tableColumn name="배부일" id="2"/>
    <tableColumn name="학생명" id="3"/>
    <tableColumn name="배부반" id="4"/>
    <tableColumn name="배부장소" id="5"/>
    <tableColumn name="현재반" id="6"/>
    <tableColumn name="수량" id="7"/>
    <tableColumn name="특이사항여부" id="8"/>
    <tableColumn name="특이사항유형" id="9"/>
    <tableColumn name="특이사항내용" id="10"/>
    <tableColumn name="담당자" id="11"/>
  </tableColumns>
  <tableStyleInfo name="개별배부입력-style" showColumnStripes="0" showFirstColumn="1" showLastColumn="1" showRowStripes="1"/>
</table>
</file>

<file path=xl/tables/table4.xml><?xml version="1.0" encoding="utf-8"?>
<table xmlns="http://schemas.openxmlformats.org/spreadsheetml/2006/main" ref="A1:M3" displayName="Table_4" name="Table_4" id="4">
  <tableColumns count="13">
    <tableColumn name="로그ID" id="1"/>
    <tableColumn name="배부일" id="2"/>
    <tableColumn name="학생명" id="3"/>
    <tableColumn name="반명" id="4"/>
    <tableColumn name="배부방식" id="5"/>
    <tableColumn name="배부장소" id="6"/>
    <tableColumn name="수량" id="7"/>
    <tableColumn name="특이사항여부" id="8"/>
    <tableColumn name="특이사항유형" id="9"/>
    <tableColumn name="특이사항내용" id="10"/>
    <tableColumn name="담당자" id="11"/>
    <tableColumn name="배부상태" id="12"/>
    <tableColumn name="회수일" id="13"/>
  </tableColumns>
  <tableStyleInfo name="배부로그-style" showColumnStripes="0" showFirstColumn="1" showLastColumn="1" showRowStripes="1"/>
</table>
</file>

<file path=xl/tables/table5.xml><?xml version="1.0" encoding="utf-8"?>
<table xmlns="http://schemas.openxmlformats.org/spreadsheetml/2006/main" ref="A1:C117" displayName="Table_5" name="Table_5" id="5">
  <tableColumns count="3">
    <tableColumn name="반명" id="1"/>
    <tableColumn name="월배부기준" id="2"/>
    <tableColumn name="사용여부" id="3"/>
  </tableColumns>
  <tableStyleInfo name="반마스터-style" showColumnStripes="0" showFirstColumn="1" showLastColumn="1" showRowStripes="1"/>
</table>
</file>

<file path=xl/tables/table6.xml><?xml version="1.0" encoding="utf-8"?>
<table xmlns="http://schemas.openxmlformats.org/spreadsheetml/2006/main" headerRowCount="0" ref="K11:K13" displayName="Table_6" name="Table_6" id="6">
  <tableColumns count="1">
    <tableColumn name="Column1" id="1"/>
  </tableColumns>
  <tableStyleInfo name="반마스터-style 2" showColumnStripes="0" showFirstColumn="1" showLastColumn="1" showRowStripes="1"/>
</table>
</file>

<file path=xl/tables/table7.xml><?xml version="1.0" encoding="utf-8"?>
<table xmlns="http://schemas.openxmlformats.org/spreadsheetml/2006/main" ref="A1:B4930" displayName="Table_7" name="Table_7" id="7">
  <tableColumns count="2">
    <tableColumn name="반명" id="1"/>
    <tableColumn name="학생명" id="2"/>
  </tableColumns>
  <tableStyleInfo name="반별학생명단-style" showColumnStripes="0" showFirstColumn="1" showLastColumn="1" showRowStripes="1"/>
</table>
</file>

<file path=xl/tables/table8.xml><?xml version="1.0" encoding="utf-8"?>
<table xmlns="http://schemas.openxmlformats.org/spreadsheetml/2006/main" headerRowCount="0" ref="A1:U221" displayName="Table_8" name="Table_8" id="8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교재재고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4" width="16.0"/>
    <col customWidth="1" min="5" max="5" width="45.0"/>
    <col customWidth="1" min="6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3" t="s">
        <v>15</v>
      </c>
      <c r="B4" s="4" t="s">
        <v>16</v>
      </c>
      <c r="C4" s="4" t="s">
        <v>17</v>
      </c>
      <c r="D4" s="4" t="s">
        <v>8</v>
      </c>
      <c r="E4" s="4" t="s">
        <v>18</v>
      </c>
    </row>
    <row r="5">
      <c r="A5" s="3" t="s">
        <v>19</v>
      </c>
      <c r="B5" s="4" t="s">
        <v>20</v>
      </c>
      <c r="C5" s="4" t="s">
        <v>17</v>
      </c>
      <c r="D5" s="4" t="s">
        <v>8</v>
      </c>
      <c r="E5" s="4" t="s">
        <v>21</v>
      </c>
    </row>
    <row r="6">
      <c r="A6" s="3" t="s">
        <v>22</v>
      </c>
      <c r="B6" s="4" t="s">
        <v>23</v>
      </c>
      <c r="C6" s="4" t="s">
        <v>17</v>
      </c>
      <c r="D6" s="4" t="s">
        <v>8</v>
      </c>
      <c r="E6" s="4" t="s">
        <v>24</v>
      </c>
    </row>
    <row r="7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>
      <c r="A8" s="3" t="s">
        <v>30</v>
      </c>
      <c r="B8" s="4" t="s">
        <v>31</v>
      </c>
      <c r="C8" s="4" t="s">
        <v>32</v>
      </c>
      <c r="D8" s="4" t="s">
        <v>13</v>
      </c>
      <c r="E8" s="4" t="s">
        <v>33</v>
      </c>
    </row>
    <row r="9">
      <c r="A9" s="3" t="s">
        <v>34</v>
      </c>
      <c r="B9" s="4" t="s">
        <v>35</v>
      </c>
      <c r="C9" s="4" t="s">
        <v>32</v>
      </c>
      <c r="D9" s="4" t="s">
        <v>13</v>
      </c>
      <c r="E9" s="4" t="s">
        <v>36</v>
      </c>
    </row>
    <row r="10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>
      <c r="A11" s="3" t="s">
        <v>42</v>
      </c>
      <c r="B11" s="4" t="s">
        <v>43</v>
      </c>
      <c r="C11" s="4" t="s">
        <v>44</v>
      </c>
      <c r="D11" s="4" t="s">
        <v>13</v>
      </c>
      <c r="E11" s="4" t="s">
        <v>45</v>
      </c>
    </row>
    <row r="12">
      <c r="A12" s="3" t="s">
        <v>46</v>
      </c>
      <c r="B12" s="4" t="s">
        <v>47</v>
      </c>
      <c r="C12" s="4" t="s">
        <v>44</v>
      </c>
      <c r="D12" s="4" t="s">
        <v>13</v>
      </c>
      <c r="E12" s="4" t="s">
        <v>48</v>
      </c>
    </row>
    <row r="13">
      <c r="A13" s="3" t="s">
        <v>49</v>
      </c>
      <c r="B13" s="4" t="s">
        <v>50</v>
      </c>
      <c r="C13" s="4" t="s">
        <v>44</v>
      </c>
      <c r="D13" s="4" t="s">
        <v>51</v>
      </c>
      <c r="E13" s="4" t="s">
        <v>52</v>
      </c>
    </row>
    <row r="14">
      <c r="A14" s="3" t="s">
        <v>53</v>
      </c>
      <c r="B14" s="4" t="s">
        <v>54</v>
      </c>
      <c r="C14" s="4" t="s">
        <v>55</v>
      </c>
      <c r="D14" s="4" t="s">
        <v>8</v>
      </c>
      <c r="E14" s="4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2.0"/>
    <col customWidth="1" min="3" max="26" width="8.71"/>
  </cols>
  <sheetData>
    <row r="1">
      <c r="A1" s="4" t="s">
        <v>57</v>
      </c>
    </row>
    <row r="3">
      <c r="A3" s="4" t="s">
        <v>58</v>
      </c>
    </row>
    <row r="5">
      <c r="A5" s="4" t="s">
        <v>59</v>
      </c>
      <c r="B5" s="4" t="s">
        <v>60</v>
      </c>
    </row>
    <row r="6">
      <c r="A6" s="4" t="s">
        <v>61</v>
      </c>
      <c r="B6" s="4" t="s">
        <v>62</v>
      </c>
    </row>
    <row r="7">
      <c r="A7" s="4" t="s">
        <v>63</v>
      </c>
      <c r="B7" s="4" t="s">
        <v>62</v>
      </c>
    </row>
    <row r="8">
      <c r="A8" s="4" t="s">
        <v>64</v>
      </c>
      <c r="B8" s="4" t="s">
        <v>62</v>
      </c>
    </row>
    <row r="9">
      <c r="A9" s="4" t="s">
        <v>65</v>
      </c>
      <c r="B9" s="4" t="s">
        <v>62</v>
      </c>
    </row>
    <row r="10">
      <c r="A10" s="4" t="s">
        <v>66</v>
      </c>
      <c r="B10" s="4" t="s">
        <v>62</v>
      </c>
    </row>
    <row r="11">
      <c r="A11" s="4" t="s">
        <v>67</v>
      </c>
      <c r="B11" s="4" t="s">
        <v>62</v>
      </c>
    </row>
    <row r="12">
      <c r="A12" s="4" t="s">
        <v>68</v>
      </c>
      <c r="B12" s="4" t="s">
        <v>69</v>
      </c>
    </row>
    <row r="13">
      <c r="A13" s="4" t="s">
        <v>70</v>
      </c>
      <c r="B13" s="4" t="s">
        <v>69</v>
      </c>
    </row>
    <row r="14">
      <c r="A14" s="4" t="s">
        <v>71</v>
      </c>
      <c r="B14" s="4" t="s">
        <v>69</v>
      </c>
    </row>
    <row r="15">
      <c r="A15" s="4" t="s">
        <v>72</v>
      </c>
      <c r="B15" s="4" t="s">
        <v>69</v>
      </c>
    </row>
    <row r="16">
      <c r="A16" s="4" t="s">
        <v>73</v>
      </c>
      <c r="B16" s="4" t="s">
        <v>69</v>
      </c>
    </row>
    <row r="17">
      <c r="A17" s="4" t="s">
        <v>74</v>
      </c>
      <c r="B17" s="4" t="s">
        <v>69</v>
      </c>
    </row>
    <row r="18">
      <c r="A18" s="4" t="s">
        <v>75</v>
      </c>
      <c r="B18" s="4" t="s">
        <v>76</v>
      </c>
    </row>
    <row r="19">
      <c r="A19" s="4" t="s">
        <v>77</v>
      </c>
      <c r="B19" s="4" t="s">
        <v>76</v>
      </c>
    </row>
    <row r="20">
      <c r="A20" s="4" t="s">
        <v>78</v>
      </c>
      <c r="B20" s="4" t="s">
        <v>76</v>
      </c>
    </row>
    <row r="21" ht="15.75" customHeight="1">
      <c r="A21" s="4" t="s">
        <v>79</v>
      </c>
      <c r="B21" s="4" t="s">
        <v>76</v>
      </c>
    </row>
    <row r="22" ht="15.75" customHeight="1">
      <c r="A22" s="4" t="s">
        <v>80</v>
      </c>
      <c r="B22" s="4" t="s">
        <v>76</v>
      </c>
    </row>
    <row r="23" ht="15.75" customHeight="1">
      <c r="A23" s="4" t="s">
        <v>81</v>
      </c>
      <c r="B23" s="4" t="s">
        <v>76</v>
      </c>
    </row>
    <row r="24" ht="15.75" customHeight="1">
      <c r="A24" s="4" t="s">
        <v>82</v>
      </c>
      <c r="B24" s="4" t="s">
        <v>83</v>
      </c>
    </row>
    <row r="25" ht="15.75" customHeight="1">
      <c r="A25" s="4" t="s">
        <v>84</v>
      </c>
      <c r="B25" s="4" t="s">
        <v>83</v>
      </c>
    </row>
    <row r="26" ht="15.75" customHeight="1">
      <c r="A26" s="4" t="s">
        <v>85</v>
      </c>
      <c r="B26" s="4" t="s">
        <v>83</v>
      </c>
    </row>
    <row r="27" ht="15.75" customHeight="1">
      <c r="A27" s="4" t="s">
        <v>86</v>
      </c>
      <c r="B27" s="4" t="s">
        <v>83</v>
      </c>
    </row>
    <row r="28" ht="15.75" customHeight="1">
      <c r="A28" s="4" t="s">
        <v>87</v>
      </c>
      <c r="B28" s="4" t="s">
        <v>83</v>
      </c>
    </row>
    <row r="29" ht="15.75" customHeight="1">
      <c r="A29" s="4" t="s">
        <v>88</v>
      </c>
      <c r="B29" s="4" t="s">
        <v>83</v>
      </c>
    </row>
    <row r="30" ht="15.75" customHeight="1">
      <c r="A30" s="4" t="s">
        <v>89</v>
      </c>
      <c r="B30" s="4" t="s">
        <v>90</v>
      </c>
    </row>
    <row r="31" ht="15.75" customHeight="1">
      <c r="A31" s="4" t="s">
        <v>91</v>
      </c>
      <c r="B31" s="4" t="s">
        <v>90</v>
      </c>
    </row>
    <row r="32" ht="15.75" customHeight="1">
      <c r="A32" s="4" t="s">
        <v>92</v>
      </c>
      <c r="B32" s="4" t="s">
        <v>90</v>
      </c>
    </row>
    <row r="33" ht="15.75" customHeight="1">
      <c r="A33" s="4" t="s">
        <v>72</v>
      </c>
      <c r="B33" s="4" t="s">
        <v>90</v>
      </c>
    </row>
    <row r="34" ht="15.75" customHeight="1">
      <c r="A34" s="4" t="s">
        <v>93</v>
      </c>
      <c r="B34" s="4" t="s">
        <v>90</v>
      </c>
    </row>
    <row r="35" ht="15.75" customHeight="1">
      <c r="A35" s="4" t="s">
        <v>94</v>
      </c>
      <c r="B35" s="4" t="s">
        <v>90</v>
      </c>
    </row>
    <row r="36" ht="15.75" customHeight="1">
      <c r="A36" s="4" t="s">
        <v>95</v>
      </c>
      <c r="B36" s="4" t="s">
        <v>96</v>
      </c>
    </row>
    <row r="37" ht="15.75" customHeight="1">
      <c r="A37" s="4" t="s">
        <v>97</v>
      </c>
      <c r="B37" s="4" t="s">
        <v>96</v>
      </c>
    </row>
    <row r="38" ht="15.75" customHeight="1">
      <c r="A38" s="4" t="s">
        <v>98</v>
      </c>
      <c r="B38" s="4" t="s">
        <v>96</v>
      </c>
    </row>
    <row r="39" ht="15.75" customHeight="1">
      <c r="A39" s="4" t="s">
        <v>99</v>
      </c>
      <c r="B39" s="4" t="s">
        <v>96</v>
      </c>
    </row>
    <row r="40" ht="15.75" customHeight="1">
      <c r="A40" s="4" t="s">
        <v>93</v>
      </c>
      <c r="B40" s="4" t="s">
        <v>96</v>
      </c>
    </row>
    <row r="41" ht="15.75" customHeight="1">
      <c r="A41" s="4" t="s">
        <v>74</v>
      </c>
      <c r="B41" s="4" t="s">
        <v>96</v>
      </c>
    </row>
    <row r="42" ht="15.75" customHeight="1">
      <c r="A42" s="4" t="s">
        <v>100</v>
      </c>
      <c r="B42" s="4" t="s">
        <v>101</v>
      </c>
    </row>
    <row r="43" ht="15.75" customHeight="1">
      <c r="A43" s="4" t="s">
        <v>102</v>
      </c>
      <c r="B43" s="4" t="s">
        <v>101</v>
      </c>
    </row>
    <row r="44" ht="15.75" customHeight="1">
      <c r="A44" s="4" t="s">
        <v>85</v>
      </c>
      <c r="B44" s="4" t="s">
        <v>101</v>
      </c>
    </row>
    <row r="45" ht="15.75" customHeight="1">
      <c r="A45" s="4" t="s">
        <v>99</v>
      </c>
      <c r="B45" s="4" t="s">
        <v>101</v>
      </c>
    </row>
    <row r="46" ht="15.75" customHeight="1">
      <c r="A46" s="4" t="s">
        <v>93</v>
      </c>
      <c r="B46" s="4" t="s">
        <v>101</v>
      </c>
    </row>
    <row r="47" ht="15.75" customHeight="1">
      <c r="A47" s="4" t="s">
        <v>74</v>
      </c>
      <c r="B47" s="4" t="s">
        <v>101</v>
      </c>
    </row>
    <row r="48" ht="15.75" customHeight="1">
      <c r="A48" s="4" t="s">
        <v>95</v>
      </c>
      <c r="B48" s="4" t="s">
        <v>103</v>
      </c>
    </row>
    <row r="49" ht="15.75" customHeight="1">
      <c r="A49" s="4" t="s">
        <v>97</v>
      </c>
      <c r="B49" s="4" t="s">
        <v>103</v>
      </c>
    </row>
    <row r="50" ht="15.75" customHeight="1">
      <c r="A50" s="4" t="s">
        <v>104</v>
      </c>
      <c r="B50" s="4" t="s">
        <v>103</v>
      </c>
    </row>
    <row r="51" ht="15.75" customHeight="1">
      <c r="A51" s="4" t="s">
        <v>105</v>
      </c>
      <c r="B51" s="4" t="s">
        <v>103</v>
      </c>
    </row>
    <row r="52" ht="15.75" customHeight="1">
      <c r="A52" s="4" t="s">
        <v>106</v>
      </c>
      <c r="B52" s="4" t="s">
        <v>103</v>
      </c>
    </row>
    <row r="53" ht="15.75" customHeight="1">
      <c r="A53" s="4" t="s">
        <v>107</v>
      </c>
      <c r="B53" s="4" t="s">
        <v>103</v>
      </c>
    </row>
    <row r="54" ht="15.75" customHeight="1">
      <c r="A54" s="4" t="s">
        <v>75</v>
      </c>
      <c r="B54" s="4" t="s">
        <v>108</v>
      </c>
    </row>
    <row r="55" ht="15.75" customHeight="1">
      <c r="A55" s="4" t="s">
        <v>109</v>
      </c>
      <c r="B55" s="4" t="s">
        <v>108</v>
      </c>
    </row>
    <row r="56" ht="15.75" customHeight="1">
      <c r="A56" s="4" t="s">
        <v>104</v>
      </c>
      <c r="B56" s="4" t="s">
        <v>108</v>
      </c>
    </row>
    <row r="57" ht="15.75" customHeight="1">
      <c r="A57" s="4" t="s">
        <v>110</v>
      </c>
      <c r="B57" s="4" t="s">
        <v>108</v>
      </c>
    </row>
    <row r="58" ht="15.75" customHeight="1">
      <c r="A58" s="4" t="s">
        <v>106</v>
      </c>
      <c r="B58" s="4" t="s">
        <v>108</v>
      </c>
    </row>
    <row r="59" ht="15.75" customHeight="1">
      <c r="A59" s="4" t="s">
        <v>111</v>
      </c>
      <c r="B59" s="4" t="s">
        <v>108</v>
      </c>
    </row>
    <row r="60" ht="15.75" customHeight="1">
      <c r="A60" s="4" t="s">
        <v>61</v>
      </c>
      <c r="B60" s="4" t="s">
        <v>112</v>
      </c>
    </row>
    <row r="61" ht="15.75" customHeight="1">
      <c r="A61" s="4" t="s">
        <v>92</v>
      </c>
      <c r="B61" s="4" t="s">
        <v>112</v>
      </c>
    </row>
    <row r="62" ht="15.75" customHeight="1">
      <c r="A62" s="4" t="s">
        <v>71</v>
      </c>
      <c r="B62" s="4" t="s">
        <v>112</v>
      </c>
    </row>
    <row r="63" ht="15.75" customHeight="1">
      <c r="A63" s="4" t="s">
        <v>79</v>
      </c>
      <c r="B63" s="4" t="s">
        <v>112</v>
      </c>
    </row>
    <row r="64" ht="15.75" customHeight="1">
      <c r="A64" s="4" t="s">
        <v>113</v>
      </c>
      <c r="B64" s="4" t="s">
        <v>112</v>
      </c>
    </row>
    <row r="65" ht="15.75" customHeight="1">
      <c r="A65" s="4" t="s">
        <v>74</v>
      </c>
      <c r="B65" s="4" t="s">
        <v>112</v>
      </c>
    </row>
    <row r="66" ht="15.75" customHeight="1">
      <c r="A66" s="4" t="s">
        <v>114</v>
      </c>
      <c r="B66" s="4" t="s">
        <v>115</v>
      </c>
    </row>
    <row r="67" ht="15.75" customHeight="1">
      <c r="A67" s="4" t="s">
        <v>75</v>
      </c>
      <c r="B67" s="4" t="s">
        <v>115</v>
      </c>
    </row>
    <row r="68" ht="15.75" customHeight="1">
      <c r="A68" s="4" t="s">
        <v>104</v>
      </c>
      <c r="B68" s="4" t="s">
        <v>115</v>
      </c>
    </row>
    <row r="69" ht="15.75" customHeight="1">
      <c r="A69" s="4" t="s">
        <v>116</v>
      </c>
      <c r="B69" s="4" t="s">
        <v>115</v>
      </c>
    </row>
    <row r="70" ht="15.75" customHeight="1">
      <c r="A70" s="4" t="s">
        <v>117</v>
      </c>
      <c r="B70" s="4" t="s">
        <v>115</v>
      </c>
    </row>
    <row r="71" ht="15.75" customHeight="1">
      <c r="A71" s="4" t="s">
        <v>118</v>
      </c>
      <c r="B71" s="4" t="s">
        <v>115</v>
      </c>
    </row>
    <row r="72" ht="15.75" customHeight="1">
      <c r="A72" s="4" t="s">
        <v>100</v>
      </c>
      <c r="B72" s="4" t="s">
        <v>119</v>
      </c>
    </row>
    <row r="73" ht="15.75" customHeight="1">
      <c r="A73" s="4" t="s">
        <v>77</v>
      </c>
      <c r="B73" s="4" t="s">
        <v>119</v>
      </c>
    </row>
    <row r="74" ht="15.75" customHeight="1">
      <c r="A74" s="4" t="s">
        <v>120</v>
      </c>
      <c r="B74" s="4" t="s">
        <v>119</v>
      </c>
    </row>
    <row r="75" ht="15.75" customHeight="1">
      <c r="A75" s="4" t="s">
        <v>65</v>
      </c>
      <c r="B75" s="4" t="s">
        <v>119</v>
      </c>
    </row>
    <row r="76" ht="15.75" customHeight="1">
      <c r="A76" s="4" t="s">
        <v>113</v>
      </c>
      <c r="B76" s="4" t="s">
        <v>119</v>
      </c>
    </row>
    <row r="77" ht="15.75" customHeight="1">
      <c r="A77" s="4" t="s">
        <v>67</v>
      </c>
      <c r="B77" s="4" t="s">
        <v>119</v>
      </c>
    </row>
    <row r="78" ht="15.75" customHeight="1">
      <c r="A78" s="4" t="s">
        <v>70</v>
      </c>
      <c r="B78" s="4" t="s">
        <v>121</v>
      </c>
    </row>
    <row r="79" ht="15.75" customHeight="1">
      <c r="A79" s="4" t="s">
        <v>122</v>
      </c>
      <c r="B79" s="4" t="s">
        <v>121</v>
      </c>
    </row>
    <row r="80" ht="15.75" customHeight="1">
      <c r="A80" s="4" t="s">
        <v>78</v>
      </c>
      <c r="B80" s="4" t="s">
        <v>121</v>
      </c>
    </row>
    <row r="81" ht="15.75" customHeight="1">
      <c r="A81" s="4" t="s">
        <v>123</v>
      </c>
      <c r="B81" s="4" t="s">
        <v>121</v>
      </c>
    </row>
    <row r="82" ht="15.75" customHeight="1">
      <c r="A82" s="4" t="s">
        <v>124</v>
      </c>
      <c r="B82" s="4" t="s">
        <v>121</v>
      </c>
    </row>
    <row r="83" ht="15.75" customHeight="1">
      <c r="A83" s="4" t="s">
        <v>111</v>
      </c>
      <c r="B83" s="4" t="s">
        <v>121</v>
      </c>
    </row>
    <row r="84" ht="15.75" customHeight="1">
      <c r="A84" s="4" t="s">
        <v>75</v>
      </c>
      <c r="B84" s="4" t="s">
        <v>125</v>
      </c>
    </row>
    <row r="85" ht="15.75" customHeight="1">
      <c r="A85" s="4" t="s">
        <v>77</v>
      </c>
      <c r="B85" s="4" t="s">
        <v>125</v>
      </c>
    </row>
    <row r="86" ht="15.75" customHeight="1">
      <c r="A86" s="4" t="s">
        <v>120</v>
      </c>
      <c r="B86" s="4" t="s">
        <v>125</v>
      </c>
    </row>
    <row r="87" ht="15.75" customHeight="1">
      <c r="A87" s="4" t="s">
        <v>105</v>
      </c>
      <c r="B87" s="4" t="s">
        <v>125</v>
      </c>
    </row>
    <row r="88" ht="15.75" customHeight="1">
      <c r="A88" s="4" t="s">
        <v>126</v>
      </c>
      <c r="B88" s="4" t="s">
        <v>125</v>
      </c>
    </row>
    <row r="89" ht="15.75" customHeight="1">
      <c r="A89" s="4" t="s">
        <v>127</v>
      </c>
      <c r="B89" s="4" t="s">
        <v>125</v>
      </c>
    </row>
    <row r="90" ht="15.75" customHeight="1">
      <c r="A90" s="4" t="s">
        <v>82</v>
      </c>
      <c r="B90" s="4" t="s">
        <v>128</v>
      </c>
    </row>
    <row r="91" ht="15.75" customHeight="1">
      <c r="A91" s="4" t="s">
        <v>129</v>
      </c>
      <c r="B91" s="4" t="s">
        <v>128</v>
      </c>
    </row>
    <row r="92" ht="15.75" customHeight="1">
      <c r="A92" s="4" t="s">
        <v>77</v>
      </c>
      <c r="B92" s="4" t="s">
        <v>128</v>
      </c>
    </row>
    <row r="93" ht="15.75" customHeight="1">
      <c r="A93" s="4" t="s">
        <v>79</v>
      </c>
      <c r="B93" s="4" t="s">
        <v>128</v>
      </c>
    </row>
    <row r="94" ht="15.75" customHeight="1">
      <c r="A94" s="4" t="s">
        <v>93</v>
      </c>
      <c r="B94" s="4" t="s">
        <v>128</v>
      </c>
    </row>
    <row r="95" ht="15.75" customHeight="1">
      <c r="A95" s="4" t="s">
        <v>94</v>
      </c>
      <c r="B95" s="4" t="s">
        <v>128</v>
      </c>
    </row>
    <row r="96" ht="15.75" customHeight="1">
      <c r="A96" s="4" t="s">
        <v>75</v>
      </c>
      <c r="B96" s="4" t="s">
        <v>130</v>
      </c>
    </row>
    <row r="97" ht="15.75" customHeight="1">
      <c r="A97" s="4" t="s">
        <v>109</v>
      </c>
      <c r="B97" s="4" t="s">
        <v>130</v>
      </c>
    </row>
    <row r="98" ht="15.75" customHeight="1">
      <c r="A98" s="4" t="s">
        <v>104</v>
      </c>
      <c r="B98" s="4" t="s">
        <v>130</v>
      </c>
    </row>
    <row r="99" ht="15.75" customHeight="1">
      <c r="A99" s="4" t="s">
        <v>99</v>
      </c>
      <c r="B99" s="4" t="s">
        <v>130</v>
      </c>
    </row>
    <row r="100" ht="15.75" customHeight="1">
      <c r="A100" s="4" t="s">
        <v>131</v>
      </c>
      <c r="B100" s="4" t="s">
        <v>130</v>
      </c>
    </row>
    <row r="101" ht="15.75" customHeight="1">
      <c r="A101" s="4" t="s">
        <v>94</v>
      </c>
      <c r="B101" s="4" t="s">
        <v>130</v>
      </c>
    </row>
    <row r="102" ht="15.75" customHeight="1">
      <c r="A102" s="4" t="s">
        <v>132</v>
      </c>
      <c r="B102" s="4" t="s">
        <v>133</v>
      </c>
    </row>
    <row r="103" ht="15.75" customHeight="1">
      <c r="A103" s="4" t="s">
        <v>134</v>
      </c>
      <c r="B103" s="4" t="s">
        <v>133</v>
      </c>
    </row>
    <row r="104" ht="15.75" customHeight="1">
      <c r="A104" s="4" t="s">
        <v>71</v>
      </c>
      <c r="B104" s="4" t="s">
        <v>133</v>
      </c>
    </row>
    <row r="105" ht="15.75" customHeight="1">
      <c r="A105" s="4" t="s">
        <v>135</v>
      </c>
      <c r="B105" s="4" t="s">
        <v>133</v>
      </c>
    </row>
    <row r="106" ht="15.75" customHeight="1">
      <c r="A106" s="4" t="s">
        <v>124</v>
      </c>
      <c r="B106" s="4" t="s">
        <v>133</v>
      </c>
    </row>
    <row r="107" ht="15.75" customHeight="1">
      <c r="A107" s="4" t="s">
        <v>136</v>
      </c>
      <c r="B107" s="4" t="s">
        <v>133</v>
      </c>
    </row>
    <row r="108" ht="15.75" customHeight="1">
      <c r="A108" s="4" t="s">
        <v>137</v>
      </c>
      <c r="B108" s="4" t="s">
        <v>138</v>
      </c>
    </row>
    <row r="109" ht="15.75" customHeight="1">
      <c r="A109" s="4" t="s">
        <v>97</v>
      </c>
      <c r="B109" s="4" t="s">
        <v>138</v>
      </c>
    </row>
    <row r="110" ht="15.75" customHeight="1">
      <c r="A110" s="4" t="s">
        <v>98</v>
      </c>
      <c r="B110" s="4" t="s">
        <v>138</v>
      </c>
    </row>
    <row r="111" ht="15.75" customHeight="1">
      <c r="A111" s="4" t="s">
        <v>135</v>
      </c>
      <c r="B111" s="4" t="s">
        <v>138</v>
      </c>
    </row>
    <row r="112" ht="15.75" customHeight="1">
      <c r="A112" s="4" t="s">
        <v>124</v>
      </c>
      <c r="B112" s="4" t="s">
        <v>138</v>
      </c>
    </row>
    <row r="113" ht="15.75" customHeight="1">
      <c r="A113" s="4" t="s">
        <v>139</v>
      </c>
      <c r="B113" s="4" t="s">
        <v>138</v>
      </c>
    </row>
    <row r="114" ht="15.75" customHeight="1">
      <c r="A114" s="4" t="s">
        <v>100</v>
      </c>
      <c r="B114" s="4" t="s">
        <v>140</v>
      </c>
    </row>
    <row r="115" ht="15.75" customHeight="1">
      <c r="A115" s="4" t="s">
        <v>137</v>
      </c>
      <c r="B115" s="4" t="s">
        <v>140</v>
      </c>
    </row>
    <row r="116" ht="15.75" customHeight="1">
      <c r="A116" s="4" t="s">
        <v>141</v>
      </c>
      <c r="B116" s="4" t="s">
        <v>140</v>
      </c>
    </row>
    <row r="117" ht="15.75" customHeight="1">
      <c r="A117" s="4" t="s">
        <v>99</v>
      </c>
      <c r="B117" s="4" t="s">
        <v>140</v>
      </c>
    </row>
    <row r="118" ht="15.75" customHeight="1">
      <c r="A118" s="4" t="s">
        <v>142</v>
      </c>
      <c r="B118" s="4" t="s">
        <v>140</v>
      </c>
    </row>
    <row r="119" ht="15.75" customHeight="1">
      <c r="A119" s="4" t="s">
        <v>81</v>
      </c>
      <c r="B119" s="4" t="s">
        <v>140</v>
      </c>
    </row>
    <row r="120" ht="15.75" customHeight="1">
      <c r="A120" s="4" t="s">
        <v>143</v>
      </c>
      <c r="B120" s="4" t="s">
        <v>144</v>
      </c>
    </row>
    <row r="121" ht="15.75" customHeight="1">
      <c r="A121" s="4" t="s">
        <v>102</v>
      </c>
      <c r="B121" s="4" t="s">
        <v>144</v>
      </c>
    </row>
    <row r="122" ht="15.75" customHeight="1">
      <c r="A122" s="4" t="s">
        <v>85</v>
      </c>
      <c r="B122" s="4" t="s">
        <v>144</v>
      </c>
    </row>
    <row r="123" ht="15.75" customHeight="1">
      <c r="A123" s="4" t="s">
        <v>123</v>
      </c>
      <c r="B123" s="4" t="s">
        <v>144</v>
      </c>
    </row>
    <row r="124" ht="15.75" customHeight="1">
      <c r="A124" s="4" t="s">
        <v>126</v>
      </c>
      <c r="B124" s="4" t="s">
        <v>144</v>
      </c>
    </row>
    <row r="125" ht="15.75" customHeight="1">
      <c r="A125" s="4" t="s">
        <v>145</v>
      </c>
      <c r="B125" s="4" t="s">
        <v>144</v>
      </c>
    </row>
    <row r="126" ht="15.75" customHeight="1">
      <c r="A126" s="4" t="s">
        <v>146</v>
      </c>
      <c r="B126" s="4" t="s">
        <v>147</v>
      </c>
    </row>
    <row r="127" ht="15.75" customHeight="1">
      <c r="A127" s="4" t="s">
        <v>148</v>
      </c>
      <c r="B127" s="4" t="s">
        <v>147</v>
      </c>
    </row>
    <row r="128" ht="15.75" customHeight="1">
      <c r="A128" s="4" t="s">
        <v>78</v>
      </c>
      <c r="B128" s="4" t="s">
        <v>147</v>
      </c>
    </row>
    <row r="129" ht="15.75" customHeight="1">
      <c r="A129" s="4" t="s">
        <v>149</v>
      </c>
      <c r="B129" s="4" t="s">
        <v>147</v>
      </c>
    </row>
    <row r="130" ht="15.75" customHeight="1">
      <c r="A130" s="4" t="s">
        <v>150</v>
      </c>
      <c r="B130" s="4" t="s">
        <v>147</v>
      </c>
    </row>
    <row r="131" ht="15.75" customHeight="1">
      <c r="A131" s="4" t="s">
        <v>107</v>
      </c>
      <c r="B131" s="4" t="s">
        <v>147</v>
      </c>
    </row>
    <row r="132" ht="15.75" customHeight="1">
      <c r="A132" s="4" t="s">
        <v>143</v>
      </c>
      <c r="B132" s="4" t="s">
        <v>151</v>
      </c>
    </row>
    <row r="133" ht="15.75" customHeight="1">
      <c r="A133" s="4" t="s">
        <v>63</v>
      </c>
      <c r="B133" s="4" t="s">
        <v>151</v>
      </c>
    </row>
    <row r="134" ht="15.75" customHeight="1">
      <c r="A134" s="4" t="s">
        <v>129</v>
      </c>
      <c r="B134" s="4" t="s">
        <v>151</v>
      </c>
    </row>
    <row r="135" ht="15.75" customHeight="1">
      <c r="A135" s="4" t="s">
        <v>79</v>
      </c>
      <c r="B135" s="4" t="s">
        <v>151</v>
      </c>
    </row>
    <row r="136" ht="15.75" customHeight="1">
      <c r="A136" s="4" t="s">
        <v>87</v>
      </c>
      <c r="B136" s="4" t="s">
        <v>151</v>
      </c>
    </row>
    <row r="137" ht="15.75" customHeight="1">
      <c r="A137" s="4" t="s">
        <v>81</v>
      </c>
      <c r="B137" s="4" t="s">
        <v>151</v>
      </c>
    </row>
    <row r="138" ht="15.75" customHeight="1">
      <c r="A138" s="4" t="s">
        <v>70</v>
      </c>
      <c r="B138" s="4" t="s">
        <v>152</v>
      </c>
    </row>
    <row r="139" ht="15.75" customHeight="1">
      <c r="A139" s="4" t="s">
        <v>153</v>
      </c>
      <c r="B139" s="4" t="s">
        <v>152</v>
      </c>
    </row>
    <row r="140" ht="15.75" customHeight="1">
      <c r="A140" s="4" t="s">
        <v>141</v>
      </c>
      <c r="B140" s="4" t="s">
        <v>152</v>
      </c>
    </row>
    <row r="141" ht="15.75" customHeight="1">
      <c r="A141" s="4" t="s">
        <v>86</v>
      </c>
      <c r="B141" s="4" t="s">
        <v>152</v>
      </c>
    </row>
    <row r="142" ht="15.75" customHeight="1">
      <c r="A142" s="4" t="s">
        <v>131</v>
      </c>
      <c r="B142" s="4" t="s">
        <v>152</v>
      </c>
    </row>
    <row r="143" ht="15.75" customHeight="1">
      <c r="A143" s="4" t="s">
        <v>154</v>
      </c>
      <c r="B143" s="4" t="s">
        <v>152</v>
      </c>
    </row>
    <row r="144" ht="15.75" customHeight="1">
      <c r="A144" s="4" t="s">
        <v>148</v>
      </c>
      <c r="B144" s="4" t="s">
        <v>155</v>
      </c>
    </row>
    <row r="145" ht="15.75" customHeight="1">
      <c r="A145" s="4" t="s">
        <v>156</v>
      </c>
      <c r="B145" s="4" t="s">
        <v>155</v>
      </c>
    </row>
    <row r="146" ht="15.75" customHeight="1">
      <c r="A146" s="4" t="s">
        <v>120</v>
      </c>
      <c r="B146" s="4" t="s">
        <v>155</v>
      </c>
    </row>
    <row r="147" ht="15.75" customHeight="1">
      <c r="A147" s="4" t="s">
        <v>157</v>
      </c>
      <c r="B147" s="4" t="s">
        <v>155</v>
      </c>
    </row>
    <row r="148" ht="15.75" customHeight="1">
      <c r="A148" s="4" t="s">
        <v>126</v>
      </c>
      <c r="B148" s="4" t="s">
        <v>155</v>
      </c>
    </row>
    <row r="149" ht="15.75" customHeight="1">
      <c r="A149" s="4" t="s">
        <v>158</v>
      </c>
      <c r="B149" s="4" t="s">
        <v>155</v>
      </c>
    </row>
    <row r="150" ht="15.75" customHeight="1">
      <c r="A150" s="4" t="s">
        <v>159</v>
      </c>
      <c r="B150" s="4" t="s">
        <v>160</v>
      </c>
    </row>
    <row r="151" ht="15.75" customHeight="1">
      <c r="A151" s="4" t="s">
        <v>161</v>
      </c>
      <c r="B151" s="4" t="s">
        <v>160</v>
      </c>
    </row>
    <row r="152" ht="15.75" customHeight="1">
      <c r="A152" s="4" t="s">
        <v>141</v>
      </c>
      <c r="B152" s="4" t="s">
        <v>160</v>
      </c>
    </row>
    <row r="153" ht="15.75" customHeight="1">
      <c r="A153" s="4" t="s">
        <v>110</v>
      </c>
      <c r="B153" s="4" t="s">
        <v>160</v>
      </c>
    </row>
    <row r="154" ht="15.75" customHeight="1">
      <c r="A154" s="4" t="s">
        <v>162</v>
      </c>
      <c r="B154" s="4" t="s">
        <v>160</v>
      </c>
    </row>
    <row r="155" ht="15.75" customHeight="1">
      <c r="A155" s="4" t="s">
        <v>111</v>
      </c>
      <c r="B155" s="4" t="s">
        <v>160</v>
      </c>
    </row>
    <row r="156" ht="15.75" customHeight="1">
      <c r="A156" s="4" t="s">
        <v>68</v>
      </c>
      <c r="B156" s="4" t="s">
        <v>163</v>
      </c>
    </row>
    <row r="157" ht="15.75" customHeight="1">
      <c r="A157" s="4" t="s">
        <v>70</v>
      </c>
      <c r="B157" s="4" t="s">
        <v>163</v>
      </c>
    </row>
    <row r="158" ht="15.75" customHeight="1">
      <c r="A158" s="4" t="s">
        <v>105</v>
      </c>
      <c r="B158" s="4" t="s">
        <v>163</v>
      </c>
    </row>
    <row r="159" ht="15.75" customHeight="1">
      <c r="A159" s="4" t="s">
        <v>164</v>
      </c>
      <c r="B159" s="4" t="s">
        <v>163</v>
      </c>
    </row>
    <row r="160" ht="15.75" customHeight="1">
      <c r="A160" s="4" t="s">
        <v>145</v>
      </c>
      <c r="B160" s="4" t="s">
        <v>163</v>
      </c>
    </row>
    <row r="161" ht="15.75" customHeight="1">
      <c r="A161" s="4" t="s">
        <v>75</v>
      </c>
      <c r="B161" s="4" t="s">
        <v>165</v>
      </c>
    </row>
    <row r="162" ht="15.75" customHeight="1">
      <c r="A162" s="4" t="s">
        <v>85</v>
      </c>
      <c r="B162" s="4" t="s">
        <v>165</v>
      </c>
    </row>
    <row r="163" ht="15.75" customHeight="1">
      <c r="A163" s="4" t="s">
        <v>78</v>
      </c>
      <c r="B163" s="4" t="s">
        <v>165</v>
      </c>
    </row>
    <row r="164" ht="15.75" customHeight="1">
      <c r="A164" s="4" t="s">
        <v>166</v>
      </c>
      <c r="B164" s="4" t="s">
        <v>165</v>
      </c>
    </row>
    <row r="165" ht="15.75" customHeight="1">
      <c r="A165" s="4" t="s">
        <v>124</v>
      </c>
      <c r="B165" s="4" t="s">
        <v>165</v>
      </c>
    </row>
    <row r="166" ht="15.75" customHeight="1">
      <c r="A166" s="4" t="s">
        <v>139</v>
      </c>
      <c r="B166" s="4" t="s">
        <v>165</v>
      </c>
    </row>
    <row r="167" ht="15.75" customHeight="1">
      <c r="A167" s="4" t="s">
        <v>70</v>
      </c>
      <c r="B167" s="4" t="s">
        <v>167</v>
      </c>
    </row>
    <row r="168" ht="15.75" customHeight="1">
      <c r="A168" s="4" t="s">
        <v>84</v>
      </c>
      <c r="B168" s="4" t="s">
        <v>167</v>
      </c>
    </row>
    <row r="169" ht="15.75" customHeight="1">
      <c r="A169" s="4" t="s">
        <v>156</v>
      </c>
      <c r="B169" s="4" t="s">
        <v>167</v>
      </c>
    </row>
    <row r="170" ht="15.75" customHeight="1">
      <c r="A170" s="4" t="s">
        <v>86</v>
      </c>
      <c r="B170" s="4" t="s">
        <v>167</v>
      </c>
    </row>
    <row r="171" ht="15.75" customHeight="1">
      <c r="A171" s="4" t="s">
        <v>142</v>
      </c>
      <c r="B171" s="4" t="s">
        <v>167</v>
      </c>
    </row>
    <row r="172" ht="15.75" customHeight="1">
      <c r="A172" s="4" t="s">
        <v>154</v>
      </c>
      <c r="B172" s="4" t="s">
        <v>167</v>
      </c>
    </row>
    <row r="173" ht="15.75" customHeight="1">
      <c r="A173" s="4" t="s">
        <v>68</v>
      </c>
      <c r="B173" s="4" t="s">
        <v>168</v>
      </c>
    </row>
    <row r="174" ht="15.75" customHeight="1">
      <c r="A174" s="4" t="s">
        <v>169</v>
      </c>
      <c r="B174" s="4" t="s">
        <v>168</v>
      </c>
    </row>
    <row r="175" ht="15.75" customHeight="1">
      <c r="A175" s="4" t="s">
        <v>170</v>
      </c>
      <c r="B175" s="4" t="s">
        <v>168</v>
      </c>
    </row>
    <row r="176" ht="15.75" customHeight="1">
      <c r="A176" s="4" t="s">
        <v>149</v>
      </c>
      <c r="B176" s="4" t="s">
        <v>168</v>
      </c>
    </row>
    <row r="177" ht="15.75" customHeight="1">
      <c r="A177" s="4" t="s">
        <v>124</v>
      </c>
      <c r="B177" s="4" t="s">
        <v>168</v>
      </c>
    </row>
    <row r="178" ht="15.75" customHeight="1">
      <c r="A178" s="4" t="s">
        <v>171</v>
      </c>
      <c r="B178" s="4" t="s">
        <v>168</v>
      </c>
    </row>
    <row r="179" ht="15.75" customHeight="1">
      <c r="A179" s="4" t="s">
        <v>143</v>
      </c>
      <c r="B179" s="4" t="s">
        <v>172</v>
      </c>
    </row>
    <row r="180" ht="15.75" customHeight="1">
      <c r="A180" s="4" t="s">
        <v>95</v>
      </c>
      <c r="B180" s="4" t="s">
        <v>172</v>
      </c>
    </row>
    <row r="181" ht="15.75" customHeight="1">
      <c r="A181" s="4" t="s">
        <v>129</v>
      </c>
      <c r="B181" s="4" t="s">
        <v>172</v>
      </c>
    </row>
    <row r="182" ht="15.75" customHeight="1">
      <c r="A182" s="4" t="s">
        <v>105</v>
      </c>
      <c r="B182" s="4" t="s">
        <v>172</v>
      </c>
    </row>
    <row r="183" ht="15.75" customHeight="1">
      <c r="A183" s="4" t="s">
        <v>150</v>
      </c>
      <c r="B183" s="4" t="s">
        <v>172</v>
      </c>
    </row>
    <row r="184" ht="15.75" customHeight="1">
      <c r="A184" s="4" t="s">
        <v>171</v>
      </c>
      <c r="B184" s="4" t="s">
        <v>172</v>
      </c>
    </row>
    <row r="185" ht="15.75" customHeight="1">
      <c r="A185" s="4" t="s">
        <v>173</v>
      </c>
      <c r="B185" s="4" t="s">
        <v>174</v>
      </c>
    </row>
    <row r="186" ht="15.75" customHeight="1">
      <c r="A186" s="4" t="s">
        <v>132</v>
      </c>
      <c r="B186" s="4" t="s">
        <v>174</v>
      </c>
    </row>
    <row r="187" ht="15.75" customHeight="1">
      <c r="A187" s="4" t="s">
        <v>175</v>
      </c>
      <c r="B187" s="4" t="s">
        <v>174</v>
      </c>
    </row>
    <row r="188" ht="15.75" customHeight="1">
      <c r="A188" s="4" t="s">
        <v>176</v>
      </c>
      <c r="B188" s="4" t="s">
        <v>174</v>
      </c>
    </row>
    <row r="189" ht="15.75" customHeight="1">
      <c r="A189" s="4" t="s">
        <v>150</v>
      </c>
      <c r="B189" s="4" t="s">
        <v>174</v>
      </c>
    </row>
    <row r="190" ht="15.75" customHeight="1">
      <c r="A190" s="4" t="s">
        <v>127</v>
      </c>
      <c r="B190" s="4" t="s">
        <v>174</v>
      </c>
    </row>
    <row r="191" ht="15.75" customHeight="1">
      <c r="A191" s="4" t="s">
        <v>146</v>
      </c>
      <c r="B191" s="4" t="s">
        <v>177</v>
      </c>
    </row>
    <row r="192" ht="15.75" customHeight="1">
      <c r="A192" s="4" t="s">
        <v>169</v>
      </c>
      <c r="B192" s="4" t="s">
        <v>177</v>
      </c>
    </row>
    <row r="193" ht="15.75" customHeight="1">
      <c r="A193" s="4" t="s">
        <v>178</v>
      </c>
      <c r="B193" s="4" t="s">
        <v>177</v>
      </c>
    </row>
    <row r="194" ht="15.75" customHeight="1">
      <c r="A194" s="4" t="s">
        <v>105</v>
      </c>
      <c r="B194" s="4" t="s">
        <v>177</v>
      </c>
    </row>
    <row r="195" ht="15.75" customHeight="1">
      <c r="A195" s="4" t="s">
        <v>164</v>
      </c>
      <c r="B195" s="4" t="s">
        <v>177</v>
      </c>
    </row>
    <row r="196" ht="15.75" customHeight="1">
      <c r="A196" s="4" t="s">
        <v>107</v>
      </c>
      <c r="B196" s="4" t="s">
        <v>177</v>
      </c>
    </row>
    <row r="197" ht="15.75" customHeight="1">
      <c r="A197" s="4" t="s">
        <v>70</v>
      </c>
      <c r="B197" s="4" t="s">
        <v>179</v>
      </c>
    </row>
    <row r="198" ht="15.75" customHeight="1">
      <c r="A198" s="4" t="s">
        <v>84</v>
      </c>
      <c r="B198" s="4" t="s">
        <v>179</v>
      </c>
    </row>
    <row r="199" ht="15.75" customHeight="1">
      <c r="A199" s="4" t="s">
        <v>85</v>
      </c>
      <c r="B199" s="4" t="s">
        <v>179</v>
      </c>
    </row>
    <row r="200" ht="15.75" customHeight="1">
      <c r="A200" s="4" t="s">
        <v>116</v>
      </c>
      <c r="B200" s="4" t="s">
        <v>179</v>
      </c>
    </row>
    <row r="201" ht="15.75" customHeight="1">
      <c r="A201" s="4" t="s">
        <v>113</v>
      </c>
      <c r="B201" s="4" t="s">
        <v>179</v>
      </c>
    </row>
    <row r="202" ht="15.75" customHeight="1">
      <c r="A202" s="4" t="s">
        <v>154</v>
      </c>
      <c r="B202" s="4" t="s">
        <v>179</v>
      </c>
    </row>
    <row r="203" ht="15.75" customHeight="1">
      <c r="A203" s="4" t="s">
        <v>159</v>
      </c>
      <c r="B203" s="4" t="s">
        <v>180</v>
      </c>
    </row>
    <row r="204" ht="15.75" customHeight="1">
      <c r="A204" s="4" t="s">
        <v>161</v>
      </c>
      <c r="B204" s="4" t="s">
        <v>180</v>
      </c>
    </row>
    <row r="205" ht="15.75" customHeight="1">
      <c r="A205" s="4" t="s">
        <v>141</v>
      </c>
      <c r="B205" s="4" t="s">
        <v>180</v>
      </c>
    </row>
    <row r="206" ht="15.75" customHeight="1">
      <c r="A206" s="4" t="s">
        <v>176</v>
      </c>
      <c r="B206" s="4" t="s">
        <v>180</v>
      </c>
    </row>
    <row r="207" ht="15.75" customHeight="1">
      <c r="A207" s="4" t="s">
        <v>181</v>
      </c>
      <c r="B207" s="4" t="s">
        <v>180</v>
      </c>
    </row>
    <row r="208" ht="15.75" customHeight="1">
      <c r="A208" s="4" t="s">
        <v>107</v>
      </c>
      <c r="B208" s="4" t="s">
        <v>180</v>
      </c>
    </row>
    <row r="209" ht="15.75" customHeight="1">
      <c r="A209" s="4" t="s">
        <v>114</v>
      </c>
      <c r="B209" s="4" t="s">
        <v>182</v>
      </c>
    </row>
    <row r="210" ht="15.75" customHeight="1">
      <c r="A210" s="4" t="s">
        <v>169</v>
      </c>
      <c r="B210" s="4" t="s">
        <v>182</v>
      </c>
    </row>
    <row r="211" ht="15.75" customHeight="1">
      <c r="A211" s="4" t="s">
        <v>183</v>
      </c>
      <c r="B211" s="4" t="s">
        <v>182</v>
      </c>
    </row>
    <row r="212" ht="15.75" customHeight="1">
      <c r="A212" s="4" t="s">
        <v>184</v>
      </c>
      <c r="B212" s="4" t="s">
        <v>182</v>
      </c>
    </row>
    <row r="213" ht="15.75" customHeight="1">
      <c r="A213" s="4" t="s">
        <v>80</v>
      </c>
      <c r="B213" s="4" t="s">
        <v>182</v>
      </c>
    </row>
    <row r="214" ht="15.75" customHeight="1">
      <c r="A214" s="4" t="s">
        <v>185</v>
      </c>
      <c r="B214" s="4" t="s">
        <v>182</v>
      </c>
    </row>
    <row r="215" ht="15.75" customHeight="1">
      <c r="A215" s="4" t="s">
        <v>100</v>
      </c>
      <c r="B215" s="4" t="s">
        <v>186</v>
      </c>
    </row>
    <row r="216" ht="15.75" customHeight="1">
      <c r="A216" s="4" t="s">
        <v>137</v>
      </c>
      <c r="B216" s="4" t="s">
        <v>186</v>
      </c>
    </row>
    <row r="217" ht="15.75" customHeight="1">
      <c r="A217" s="4" t="s">
        <v>104</v>
      </c>
      <c r="B217" s="4" t="s">
        <v>186</v>
      </c>
    </row>
    <row r="218" ht="15.75" customHeight="1">
      <c r="A218" s="4" t="s">
        <v>176</v>
      </c>
      <c r="B218" s="4" t="s">
        <v>186</v>
      </c>
    </row>
    <row r="219" ht="15.75" customHeight="1">
      <c r="A219" s="4" t="s">
        <v>187</v>
      </c>
      <c r="B219" s="4" t="s">
        <v>186</v>
      </c>
    </row>
    <row r="220" ht="15.75" customHeight="1">
      <c r="A220" s="4" t="s">
        <v>171</v>
      </c>
      <c r="B220" s="4" t="s">
        <v>186</v>
      </c>
    </row>
    <row r="221" ht="15.75" customHeight="1">
      <c r="A221" s="4" t="s">
        <v>159</v>
      </c>
      <c r="B221" s="4" t="s">
        <v>188</v>
      </c>
    </row>
    <row r="222" ht="15.75" customHeight="1">
      <c r="A222" s="4" t="s">
        <v>161</v>
      </c>
      <c r="B222" s="4" t="s">
        <v>188</v>
      </c>
    </row>
    <row r="223" ht="15.75" customHeight="1">
      <c r="A223" s="4" t="s">
        <v>178</v>
      </c>
      <c r="B223" s="4" t="s">
        <v>188</v>
      </c>
    </row>
    <row r="224" ht="15.75" customHeight="1">
      <c r="A224" s="4" t="s">
        <v>189</v>
      </c>
      <c r="B224" s="4" t="s">
        <v>188</v>
      </c>
    </row>
    <row r="225" ht="15.75" customHeight="1">
      <c r="A225" s="4" t="s">
        <v>117</v>
      </c>
      <c r="B225" s="4" t="s">
        <v>188</v>
      </c>
    </row>
    <row r="226" ht="15.75" customHeight="1">
      <c r="A226" s="4" t="s">
        <v>67</v>
      </c>
      <c r="B226" s="4" t="s">
        <v>188</v>
      </c>
    </row>
    <row r="227" ht="15.75" customHeight="1">
      <c r="A227" s="4" t="s">
        <v>190</v>
      </c>
      <c r="B227" s="4" t="s">
        <v>191</v>
      </c>
    </row>
    <row r="228" ht="15.75" customHeight="1">
      <c r="A228" s="4" t="s">
        <v>146</v>
      </c>
      <c r="B228" s="4" t="s">
        <v>191</v>
      </c>
    </row>
    <row r="229" ht="15.75" customHeight="1">
      <c r="A229" s="4" t="s">
        <v>192</v>
      </c>
      <c r="B229" s="4" t="s">
        <v>191</v>
      </c>
    </row>
    <row r="230" ht="15.75" customHeight="1">
      <c r="A230" s="4" t="s">
        <v>116</v>
      </c>
      <c r="B230" s="4" t="s">
        <v>191</v>
      </c>
    </row>
    <row r="231" ht="15.75" customHeight="1">
      <c r="A231" s="4" t="s">
        <v>66</v>
      </c>
      <c r="B231" s="4" t="s">
        <v>191</v>
      </c>
    </row>
    <row r="232" ht="15.75" customHeight="1">
      <c r="A232" s="4" t="s">
        <v>154</v>
      </c>
      <c r="B232" s="4" t="s">
        <v>191</v>
      </c>
    </row>
    <row r="233" ht="15.75" customHeight="1">
      <c r="A233" s="4" t="s">
        <v>82</v>
      </c>
      <c r="B233" s="4" t="s">
        <v>193</v>
      </c>
    </row>
    <row r="234" ht="15.75" customHeight="1">
      <c r="A234" s="4" t="s">
        <v>194</v>
      </c>
      <c r="B234" s="4" t="s">
        <v>193</v>
      </c>
    </row>
    <row r="235" ht="15.75" customHeight="1">
      <c r="A235" s="4" t="s">
        <v>141</v>
      </c>
      <c r="B235" s="4" t="s">
        <v>193</v>
      </c>
    </row>
    <row r="236" ht="15.75" customHeight="1">
      <c r="A236" s="4" t="s">
        <v>195</v>
      </c>
      <c r="B236" s="4" t="s">
        <v>193</v>
      </c>
    </row>
    <row r="237" ht="15.75" customHeight="1">
      <c r="A237" s="4" t="s">
        <v>196</v>
      </c>
      <c r="B237" s="4" t="s">
        <v>193</v>
      </c>
    </row>
    <row r="238" ht="15.75" customHeight="1">
      <c r="A238" s="4" t="s">
        <v>136</v>
      </c>
      <c r="B238" s="4" t="s">
        <v>193</v>
      </c>
    </row>
    <row r="239" ht="15.75" customHeight="1">
      <c r="A239" s="4" t="s">
        <v>190</v>
      </c>
      <c r="B239" s="4" t="s">
        <v>197</v>
      </c>
    </row>
    <row r="240" ht="15.75" customHeight="1">
      <c r="A240" s="4" t="s">
        <v>198</v>
      </c>
      <c r="B240" s="4" t="s">
        <v>197</v>
      </c>
    </row>
    <row r="241" ht="15.75" customHeight="1">
      <c r="A241" s="4" t="s">
        <v>122</v>
      </c>
      <c r="B241" s="4" t="s">
        <v>197</v>
      </c>
    </row>
    <row r="242" ht="15.75" customHeight="1">
      <c r="A242" s="4" t="s">
        <v>184</v>
      </c>
      <c r="B242" s="4" t="s">
        <v>197</v>
      </c>
    </row>
    <row r="243" ht="15.75" customHeight="1">
      <c r="A243" s="4" t="s">
        <v>66</v>
      </c>
      <c r="B243" s="4" t="s">
        <v>197</v>
      </c>
    </row>
    <row r="244" ht="15.75" customHeight="1">
      <c r="A244" s="4" t="s">
        <v>199</v>
      </c>
      <c r="B244" s="4" t="s">
        <v>197</v>
      </c>
    </row>
    <row r="245" ht="15.75" customHeight="1">
      <c r="A245" s="4" t="s">
        <v>82</v>
      </c>
      <c r="B245" s="4" t="s">
        <v>200</v>
      </c>
    </row>
    <row r="246" ht="15.75" customHeight="1">
      <c r="A246" s="4" t="s">
        <v>114</v>
      </c>
      <c r="B246" s="4" t="s">
        <v>200</v>
      </c>
    </row>
    <row r="247" ht="15.75" customHeight="1">
      <c r="A247" s="4" t="s">
        <v>120</v>
      </c>
      <c r="B247" s="4" t="s">
        <v>200</v>
      </c>
    </row>
    <row r="248" ht="15.75" customHeight="1">
      <c r="A248" s="4" t="s">
        <v>116</v>
      </c>
      <c r="B248" s="4" t="s">
        <v>200</v>
      </c>
    </row>
    <row r="249" ht="15.75" customHeight="1">
      <c r="A249" s="4" t="s">
        <v>66</v>
      </c>
      <c r="B249" s="4" t="s">
        <v>200</v>
      </c>
    </row>
    <row r="250" ht="15.75" customHeight="1">
      <c r="A250" s="4" t="s">
        <v>118</v>
      </c>
      <c r="B250" s="4" t="s">
        <v>200</v>
      </c>
    </row>
    <row r="251" ht="15.75" customHeight="1">
      <c r="A251" s="4" t="s">
        <v>100</v>
      </c>
      <c r="B251" s="4" t="s">
        <v>201</v>
      </c>
    </row>
    <row r="252" ht="15.75" customHeight="1">
      <c r="A252" s="4" t="s">
        <v>137</v>
      </c>
      <c r="B252" s="4" t="s">
        <v>201</v>
      </c>
    </row>
    <row r="253" ht="15.75" customHeight="1">
      <c r="A253" s="4" t="s">
        <v>141</v>
      </c>
      <c r="B253" s="4" t="s">
        <v>201</v>
      </c>
    </row>
    <row r="254" ht="15.75" customHeight="1">
      <c r="A254" s="4" t="s">
        <v>176</v>
      </c>
      <c r="B254" s="4" t="s">
        <v>201</v>
      </c>
    </row>
    <row r="255" ht="15.75" customHeight="1">
      <c r="A255" s="4" t="s">
        <v>164</v>
      </c>
      <c r="B255" s="4" t="s">
        <v>201</v>
      </c>
    </row>
    <row r="256" ht="15.75" customHeight="1">
      <c r="A256" s="4" t="s">
        <v>107</v>
      </c>
      <c r="B256" s="4" t="s">
        <v>201</v>
      </c>
    </row>
    <row r="257" ht="15.75" customHeight="1">
      <c r="A257" s="4" t="s">
        <v>68</v>
      </c>
      <c r="B257" s="4" t="s">
        <v>202</v>
      </c>
    </row>
    <row r="258" ht="15.75" customHeight="1">
      <c r="A258" s="4" t="s">
        <v>169</v>
      </c>
      <c r="B258" s="4" t="s">
        <v>202</v>
      </c>
    </row>
    <row r="259" ht="15.75" customHeight="1">
      <c r="A259" s="4" t="s">
        <v>141</v>
      </c>
      <c r="B259" s="4" t="s">
        <v>202</v>
      </c>
    </row>
    <row r="260" ht="15.75" customHeight="1">
      <c r="A260" s="4" t="s">
        <v>149</v>
      </c>
      <c r="B260" s="4" t="s">
        <v>202</v>
      </c>
    </row>
    <row r="261" ht="15.75" customHeight="1">
      <c r="A261" s="4" t="s">
        <v>162</v>
      </c>
      <c r="B261" s="4" t="s">
        <v>202</v>
      </c>
    </row>
    <row r="262" ht="15.75" customHeight="1">
      <c r="A262" s="4" t="s">
        <v>171</v>
      </c>
      <c r="B262" s="4" t="s">
        <v>202</v>
      </c>
    </row>
    <row r="263" ht="15.75" customHeight="1">
      <c r="A263" s="4" t="s">
        <v>173</v>
      </c>
      <c r="B263" s="4" t="s">
        <v>203</v>
      </c>
    </row>
    <row r="264" ht="15.75" customHeight="1">
      <c r="A264" s="4" t="s">
        <v>132</v>
      </c>
      <c r="B264" s="4" t="s">
        <v>203</v>
      </c>
    </row>
    <row r="265" ht="15.75" customHeight="1">
      <c r="A265" s="4" t="s">
        <v>178</v>
      </c>
      <c r="B265" s="4" t="s">
        <v>203</v>
      </c>
    </row>
    <row r="266" ht="15.75" customHeight="1">
      <c r="A266" s="4" t="s">
        <v>176</v>
      </c>
      <c r="B266" s="4" t="s">
        <v>203</v>
      </c>
    </row>
    <row r="267" ht="15.75" customHeight="1">
      <c r="A267" s="4" t="s">
        <v>162</v>
      </c>
      <c r="B267" s="4" t="s">
        <v>203</v>
      </c>
    </row>
    <row r="268" ht="15.75" customHeight="1">
      <c r="A268" s="4" t="s">
        <v>145</v>
      </c>
      <c r="B268" s="4" t="s">
        <v>203</v>
      </c>
    </row>
    <row r="269" ht="15.75" customHeight="1">
      <c r="A269" s="4" t="s">
        <v>204</v>
      </c>
      <c r="B269" s="4" t="s">
        <v>205</v>
      </c>
    </row>
    <row r="270" ht="15.75" customHeight="1">
      <c r="A270" s="4" t="s">
        <v>64</v>
      </c>
      <c r="B270" s="4" t="s">
        <v>205</v>
      </c>
    </row>
    <row r="271" ht="15.75" customHeight="1">
      <c r="A271" s="4" t="s">
        <v>156</v>
      </c>
      <c r="B271" s="4" t="s">
        <v>205</v>
      </c>
    </row>
    <row r="272" ht="15.75" customHeight="1">
      <c r="A272" s="4" t="s">
        <v>189</v>
      </c>
      <c r="B272" s="4" t="s">
        <v>205</v>
      </c>
    </row>
    <row r="273" ht="15.75" customHeight="1">
      <c r="A273" s="4" t="s">
        <v>113</v>
      </c>
      <c r="B273" s="4" t="s">
        <v>205</v>
      </c>
    </row>
    <row r="274" ht="15.75" customHeight="1">
      <c r="A274" s="4" t="s">
        <v>154</v>
      </c>
      <c r="B274" s="4" t="s">
        <v>205</v>
      </c>
    </row>
    <row r="275" ht="15.75" customHeight="1">
      <c r="A275" s="4" t="s">
        <v>114</v>
      </c>
      <c r="B275" s="4" t="s">
        <v>206</v>
      </c>
    </row>
    <row r="276" ht="15.75" customHeight="1">
      <c r="A276" s="4" t="s">
        <v>169</v>
      </c>
      <c r="B276" s="4" t="s">
        <v>206</v>
      </c>
    </row>
    <row r="277" ht="15.75" customHeight="1">
      <c r="A277" s="4" t="s">
        <v>183</v>
      </c>
      <c r="B277" s="4" t="s">
        <v>206</v>
      </c>
    </row>
    <row r="278" ht="15.75" customHeight="1">
      <c r="A278" s="4" t="s">
        <v>207</v>
      </c>
      <c r="B278" s="4" t="s">
        <v>206</v>
      </c>
    </row>
    <row r="279" ht="15.75" customHeight="1">
      <c r="A279" s="4" t="s">
        <v>208</v>
      </c>
      <c r="B279" s="4" t="s">
        <v>206</v>
      </c>
    </row>
    <row r="280" ht="15.75" customHeight="1">
      <c r="A280" s="4" t="s">
        <v>118</v>
      </c>
      <c r="B280" s="4" t="s">
        <v>206</v>
      </c>
    </row>
    <row r="281" ht="15.75" customHeight="1">
      <c r="A281" s="4" t="s">
        <v>159</v>
      </c>
      <c r="B281" s="4" t="s">
        <v>209</v>
      </c>
    </row>
    <row r="282" ht="15.75" customHeight="1">
      <c r="A282" s="4" t="s">
        <v>97</v>
      </c>
      <c r="B282" s="4" t="s">
        <v>209</v>
      </c>
    </row>
    <row r="283" ht="15.75" customHeight="1">
      <c r="A283" s="4" t="s">
        <v>104</v>
      </c>
      <c r="B283" s="4" t="s">
        <v>209</v>
      </c>
    </row>
    <row r="284" ht="15.75" customHeight="1">
      <c r="A284" s="4" t="s">
        <v>157</v>
      </c>
      <c r="B284" s="4" t="s">
        <v>209</v>
      </c>
    </row>
    <row r="285" ht="15.75" customHeight="1">
      <c r="A285" s="4" t="s">
        <v>164</v>
      </c>
      <c r="B285" s="4" t="s">
        <v>209</v>
      </c>
    </row>
    <row r="286" ht="15.75" customHeight="1">
      <c r="A286" s="4" t="s">
        <v>107</v>
      </c>
      <c r="B286" s="4" t="s">
        <v>209</v>
      </c>
    </row>
    <row r="287" ht="15.75" customHeight="1">
      <c r="A287" s="4" t="s">
        <v>173</v>
      </c>
      <c r="B287" s="4" t="s">
        <v>210</v>
      </c>
    </row>
    <row r="288" ht="15.75" customHeight="1">
      <c r="A288" s="4" t="s">
        <v>85</v>
      </c>
      <c r="B288" s="4" t="s">
        <v>210</v>
      </c>
    </row>
    <row r="289" ht="15.75" customHeight="1">
      <c r="A289" s="4" t="s">
        <v>175</v>
      </c>
      <c r="B289" s="4" t="s">
        <v>210</v>
      </c>
    </row>
    <row r="290" ht="15.75" customHeight="1">
      <c r="A290" s="4" t="s">
        <v>211</v>
      </c>
      <c r="B290" s="4" t="s">
        <v>210</v>
      </c>
    </row>
    <row r="291" ht="15.75" customHeight="1">
      <c r="A291" s="4" t="s">
        <v>106</v>
      </c>
      <c r="B291" s="4" t="s">
        <v>210</v>
      </c>
    </row>
    <row r="292" ht="15.75" customHeight="1">
      <c r="A292" s="4" t="s">
        <v>212</v>
      </c>
      <c r="B292" s="4" t="s">
        <v>210</v>
      </c>
    </row>
    <row r="293" ht="15.75" customHeight="1">
      <c r="A293" s="4" t="s">
        <v>75</v>
      </c>
      <c r="B293" s="4" t="s">
        <v>213</v>
      </c>
    </row>
    <row r="294" ht="15.75" customHeight="1">
      <c r="A294" s="4" t="s">
        <v>85</v>
      </c>
      <c r="B294" s="4" t="s">
        <v>213</v>
      </c>
    </row>
    <row r="295" ht="15.75" customHeight="1">
      <c r="A295" s="4" t="s">
        <v>98</v>
      </c>
      <c r="B295" s="4" t="s">
        <v>213</v>
      </c>
    </row>
    <row r="296" ht="15.75" customHeight="1">
      <c r="A296" s="4" t="s">
        <v>207</v>
      </c>
      <c r="B296" s="4" t="s">
        <v>213</v>
      </c>
    </row>
    <row r="297" ht="15.75" customHeight="1">
      <c r="A297" s="4" t="s">
        <v>131</v>
      </c>
      <c r="B297" s="4" t="s">
        <v>213</v>
      </c>
    </row>
    <row r="298" ht="15.75" customHeight="1">
      <c r="A298" s="4" t="s">
        <v>118</v>
      </c>
      <c r="B298" s="4" t="s">
        <v>213</v>
      </c>
    </row>
    <row r="299" ht="15.75" customHeight="1">
      <c r="A299" s="4" t="s">
        <v>61</v>
      </c>
      <c r="B299" s="4" t="s">
        <v>214</v>
      </c>
    </row>
    <row r="300" ht="15.75" customHeight="1">
      <c r="A300" s="4" t="s">
        <v>215</v>
      </c>
      <c r="B300" s="4" t="s">
        <v>214</v>
      </c>
    </row>
    <row r="301" ht="15.75" customHeight="1">
      <c r="A301" s="4" t="s">
        <v>92</v>
      </c>
      <c r="B301" s="4" t="s">
        <v>214</v>
      </c>
    </row>
    <row r="302" ht="15.75" customHeight="1">
      <c r="A302" s="4" t="s">
        <v>207</v>
      </c>
      <c r="B302" s="4" t="s">
        <v>214</v>
      </c>
    </row>
    <row r="303" ht="15.75" customHeight="1">
      <c r="A303" s="4" t="s">
        <v>87</v>
      </c>
      <c r="B303" s="4" t="s">
        <v>214</v>
      </c>
    </row>
    <row r="304" ht="15.75" customHeight="1">
      <c r="A304" s="4" t="s">
        <v>154</v>
      </c>
      <c r="B304" s="4" t="s">
        <v>214</v>
      </c>
    </row>
    <row r="305" ht="15.75" customHeight="1">
      <c r="A305" s="4" t="s">
        <v>70</v>
      </c>
      <c r="B305" s="4" t="s">
        <v>216</v>
      </c>
    </row>
    <row r="306" ht="15.75" customHeight="1">
      <c r="A306" s="4" t="s">
        <v>122</v>
      </c>
      <c r="B306" s="4" t="s">
        <v>216</v>
      </c>
    </row>
    <row r="307" ht="15.75" customHeight="1">
      <c r="A307" s="4" t="s">
        <v>78</v>
      </c>
      <c r="B307" s="4" t="s">
        <v>216</v>
      </c>
    </row>
    <row r="308" ht="15.75" customHeight="1">
      <c r="A308" s="4" t="s">
        <v>195</v>
      </c>
      <c r="B308" s="4" t="s">
        <v>216</v>
      </c>
    </row>
    <row r="309" ht="15.75" customHeight="1">
      <c r="A309" s="4" t="s">
        <v>196</v>
      </c>
      <c r="B309" s="4" t="s">
        <v>216</v>
      </c>
    </row>
    <row r="310" ht="15.75" customHeight="1">
      <c r="A310" s="4" t="s">
        <v>212</v>
      </c>
      <c r="B310" s="4" t="s">
        <v>216</v>
      </c>
    </row>
    <row r="311" ht="15.75" customHeight="1">
      <c r="A311" s="4" t="s">
        <v>190</v>
      </c>
      <c r="B311" s="4" t="s">
        <v>217</v>
      </c>
    </row>
    <row r="312" ht="15.75" customHeight="1">
      <c r="A312" s="4" t="s">
        <v>92</v>
      </c>
      <c r="B312" s="4" t="s">
        <v>217</v>
      </c>
    </row>
    <row r="313" ht="15.75" customHeight="1">
      <c r="A313" s="4" t="s">
        <v>178</v>
      </c>
      <c r="B313" s="4" t="s">
        <v>217</v>
      </c>
    </row>
    <row r="314" ht="15.75" customHeight="1">
      <c r="A314" s="4" t="s">
        <v>211</v>
      </c>
      <c r="B314" s="4" t="s">
        <v>217</v>
      </c>
    </row>
    <row r="315" ht="15.75" customHeight="1">
      <c r="A315" s="4" t="s">
        <v>150</v>
      </c>
      <c r="B315" s="4" t="s">
        <v>217</v>
      </c>
    </row>
    <row r="316" ht="15.75" customHeight="1">
      <c r="A316" s="4" t="s">
        <v>139</v>
      </c>
      <c r="B316" s="4" t="s">
        <v>217</v>
      </c>
    </row>
    <row r="317" ht="15.75" customHeight="1">
      <c r="A317" s="4" t="s">
        <v>204</v>
      </c>
      <c r="B317" s="4" t="s">
        <v>218</v>
      </c>
    </row>
    <row r="318" ht="15.75" customHeight="1">
      <c r="A318" s="4" t="s">
        <v>63</v>
      </c>
      <c r="B318" s="4" t="s">
        <v>218</v>
      </c>
    </row>
    <row r="319" ht="15.75" customHeight="1">
      <c r="A319" s="4" t="s">
        <v>192</v>
      </c>
      <c r="B319" s="4" t="s">
        <v>218</v>
      </c>
    </row>
    <row r="320" ht="15.75" customHeight="1">
      <c r="A320" s="4" t="s">
        <v>189</v>
      </c>
      <c r="B320" s="4" t="s">
        <v>218</v>
      </c>
    </row>
    <row r="321" ht="15.75" customHeight="1">
      <c r="A321" s="4" t="s">
        <v>142</v>
      </c>
      <c r="B321" s="4" t="s">
        <v>218</v>
      </c>
    </row>
    <row r="322" ht="15.75" customHeight="1">
      <c r="A322" s="4" t="s">
        <v>88</v>
      </c>
      <c r="B322" s="4" t="s">
        <v>218</v>
      </c>
    </row>
    <row r="323" ht="15.75" customHeight="1">
      <c r="A323" s="4" t="s">
        <v>68</v>
      </c>
      <c r="B323" s="4" t="s">
        <v>219</v>
      </c>
    </row>
    <row r="324" ht="15.75" customHeight="1">
      <c r="A324" s="4" t="s">
        <v>169</v>
      </c>
      <c r="B324" s="4" t="s">
        <v>219</v>
      </c>
    </row>
    <row r="325" ht="15.75" customHeight="1">
      <c r="A325" s="4" t="s">
        <v>183</v>
      </c>
      <c r="B325" s="4" t="s">
        <v>219</v>
      </c>
    </row>
    <row r="326" ht="15.75" customHeight="1">
      <c r="A326" s="4" t="s">
        <v>195</v>
      </c>
      <c r="B326" s="4" t="s">
        <v>219</v>
      </c>
    </row>
    <row r="327" ht="15.75" customHeight="1">
      <c r="A327" s="4" t="s">
        <v>106</v>
      </c>
      <c r="B327" s="4" t="s">
        <v>219</v>
      </c>
    </row>
    <row r="328" ht="15.75" customHeight="1">
      <c r="A328" s="4" t="s">
        <v>220</v>
      </c>
      <c r="B328" s="4" t="s">
        <v>219</v>
      </c>
    </row>
    <row r="329" ht="15.75" customHeight="1">
      <c r="A329" s="4" t="s">
        <v>159</v>
      </c>
      <c r="B329" s="4" t="s">
        <v>221</v>
      </c>
    </row>
    <row r="330" ht="15.75" customHeight="1">
      <c r="A330" s="4" t="s">
        <v>161</v>
      </c>
      <c r="B330" s="4" t="s">
        <v>221</v>
      </c>
    </row>
    <row r="331" ht="15.75" customHeight="1">
      <c r="A331" s="4" t="s">
        <v>170</v>
      </c>
      <c r="B331" s="4" t="s">
        <v>221</v>
      </c>
    </row>
    <row r="332" ht="15.75" customHeight="1">
      <c r="A332" s="4" t="s">
        <v>157</v>
      </c>
      <c r="B332" s="4" t="s">
        <v>221</v>
      </c>
    </row>
    <row r="333" ht="15.75" customHeight="1">
      <c r="A333" s="4" t="s">
        <v>222</v>
      </c>
      <c r="B333" s="4" t="s">
        <v>221</v>
      </c>
    </row>
    <row r="334" ht="15.75" customHeight="1">
      <c r="A334" s="4" t="s">
        <v>127</v>
      </c>
      <c r="B334" s="4" t="s">
        <v>221</v>
      </c>
    </row>
    <row r="335" ht="15.75" customHeight="1">
      <c r="A335" s="4" t="s">
        <v>132</v>
      </c>
      <c r="B335" s="4" t="s">
        <v>223</v>
      </c>
    </row>
    <row r="336" ht="15.75" customHeight="1">
      <c r="A336" s="4" t="s">
        <v>134</v>
      </c>
      <c r="B336" s="4" t="s">
        <v>223</v>
      </c>
    </row>
    <row r="337" ht="15.75" customHeight="1">
      <c r="A337" s="4" t="s">
        <v>183</v>
      </c>
      <c r="B337" s="4" t="s">
        <v>223</v>
      </c>
    </row>
    <row r="338" ht="15.75" customHeight="1">
      <c r="A338" s="4" t="s">
        <v>110</v>
      </c>
      <c r="B338" s="4" t="s">
        <v>223</v>
      </c>
    </row>
    <row r="339" ht="15.75" customHeight="1">
      <c r="A339" s="4" t="s">
        <v>162</v>
      </c>
      <c r="B339" s="4" t="s">
        <v>223</v>
      </c>
    </row>
    <row r="340" ht="15.75" customHeight="1">
      <c r="A340" s="4" t="s">
        <v>107</v>
      </c>
      <c r="B340" s="4" t="s">
        <v>223</v>
      </c>
    </row>
    <row r="341" ht="15.75" customHeight="1">
      <c r="A341" s="4" t="s">
        <v>100</v>
      </c>
      <c r="B341" s="4" t="s">
        <v>224</v>
      </c>
    </row>
    <row r="342" ht="15.75" customHeight="1">
      <c r="A342" s="4" t="s">
        <v>95</v>
      </c>
      <c r="B342" s="4" t="s">
        <v>224</v>
      </c>
    </row>
    <row r="343" ht="15.75" customHeight="1">
      <c r="A343" s="4" t="s">
        <v>104</v>
      </c>
      <c r="B343" s="4" t="s">
        <v>224</v>
      </c>
    </row>
    <row r="344" ht="15.75" customHeight="1">
      <c r="A344" s="4" t="s">
        <v>149</v>
      </c>
      <c r="B344" s="4" t="s">
        <v>224</v>
      </c>
    </row>
    <row r="345" ht="15.75" customHeight="1">
      <c r="A345" s="4" t="s">
        <v>222</v>
      </c>
      <c r="B345" s="4" t="s">
        <v>224</v>
      </c>
    </row>
    <row r="346" ht="15.75" customHeight="1">
      <c r="A346" s="4" t="s">
        <v>171</v>
      </c>
      <c r="B346" s="4" t="s">
        <v>224</v>
      </c>
    </row>
    <row r="347" ht="15.75" customHeight="1">
      <c r="A347" s="4" t="s">
        <v>143</v>
      </c>
      <c r="B347" s="4" t="s">
        <v>225</v>
      </c>
    </row>
    <row r="348" ht="15.75" customHeight="1">
      <c r="A348" s="4" t="s">
        <v>159</v>
      </c>
      <c r="B348" s="4" t="s">
        <v>225</v>
      </c>
    </row>
    <row r="349" ht="15.75" customHeight="1">
      <c r="A349" s="4" t="s">
        <v>129</v>
      </c>
      <c r="B349" s="4" t="s">
        <v>225</v>
      </c>
    </row>
    <row r="350" ht="15.75" customHeight="1">
      <c r="A350" s="4" t="s">
        <v>86</v>
      </c>
      <c r="B350" s="4" t="s">
        <v>225</v>
      </c>
    </row>
    <row r="351" ht="15.75" customHeight="1">
      <c r="A351" s="4" t="s">
        <v>66</v>
      </c>
      <c r="B351" s="4" t="s">
        <v>225</v>
      </c>
    </row>
    <row r="352" ht="15.75" customHeight="1">
      <c r="A352" s="4" t="s">
        <v>185</v>
      </c>
      <c r="B352" s="4" t="s">
        <v>225</v>
      </c>
    </row>
    <row r="353" ht="15.75" customHeight="1">
      <c r="A353" s="4" t="s">
        <v>226</v>
      </c>
      <c r="B353" s="4" t="s">
        <v>227</v>
      </c>
    </row>
    <row r="354" ht="15.75" customHeight="1">
      <c r="A354" s="4" t="s">
        <v>109</v>
      </c>
      <c r="B354" s="4" t="s">
        <v>227</v>
      </c>
    </row>
    <row r="355" ht="15.75" customHeight="1">
      <c r="A355" s="4" t="s">
        <v>104</v>
      </c>
      <c r="B355" s="4" t="s">
        <v>227</v>
      </c>
    </row>
    <row r="356" ht="15.75" customHeight="1">
      <c r="A356" s="4" t="s">
        <v>105</v>
      </c>
      <c r="B356" s="4" t="s">
        <v>227</v>
      </c>
    </row>
    <row r="357" ht="15.75" customHeight="1">
      <c r="A357" s="4" t="s">
        <v>222</v>
      </c>
      <c r="B357" s="4" t="s">
        <v>227</v>
      </c>
    </row>
    <row r="358" ht="15.75" customHeight="1">
      <c r="A358" s="4" t="s">
        <v>111</v>
      </c>
      <c r="B358" s="4" t="s">
        <v>227</v>
      </c>
    </row>
    <row r="359" ht="15.75" customHeight="1">
      <c r="A359" s="4" t="s">
        <v>204</v>
      </c>
      <c r="B359" s="4" t="s">
        <v>228</v>
      </c>
    </row>
    <row r="360" ht="15.75" customHeight="1">
      <c r="A360" s="4" t="s">
        <v>192</v>
      </c>
      <c r="B360" s="4" t="s">
        <v>228</v>
      </c>
    </row>
    <row r="361" ht="15.75" customHeight="1">
      <c r="A361" s="4" t="s">
        <v>92</v>
      </c>
      <c r="B361" s="4" t="s">
        <v>228</v>
      </c>
    </row>
    <row r="362" ht="15.75" customHeight="1">
      <c r="A362" s="4" t="s">
        <v>184</v>
      </c>
      <c r="B362" s="4" t="s">
        <v>228</v>
      </c>
    </row>
    <row r="363" ht="15.75" customHeight="1">
      <c r="A363" s="4" t="s">
        <v>66</v>
      </c>
      <c r="B363" s="4" t="s">
        <v>228</v>
      </c>
    </row>
    <row r="364" ht="15.75" customHeight="1">
      <c r="A364" s="4" t="s">
        <v>88</v>
      </c>
      <c r="B364" s="4" t="s">
        <v>228</v>
      </c>
    </row>
    <row r="365" ht="15.75" customHeight="1">
      <c r="A365" s="4" t="s">
        <v>226</v>
      </c>
      <c r="B365" s="4" t="s">
        <v>229</v>
      </c>
    </row>
    <row r="366" ht="15.75" customHeight="1">
      <c r="A366" s="4" t="s">
        <v>198</v>
      </c>
      <c r="B366" s="4" t="s">
        <v>229</v>
      </c>
    </row>
    <row r="367" ht="15.75" customHeight="1">
      <c r="A367" s="4" t="s">
        <v>156</v>
      </c>
      <c r="B367" s="4" t="s">
        <v>229</v>
      </c>
    </row>
    <row r="368" ht="15.75" customHeight="1">
      <c r="A368" s="4" t="s">
        <v>189</v>
      </c>
      <c r="B368" s="4" t="s">
        <v>229</v>
      </c>
    </row>
    <row r="369" ht="15.75" customHeight="1">
      <c r="A369" s="4" t="s">
        <v>66</v>
      </c>
      <c r="B369" s="4" t="s">
        <v>229</v>
      </c>
    </row>
    <row r="370" ht="15.75" customHeight="1">
      <c r="A370" s="4" t="s">
        <v>88</v>
      </c>
      <c r="B370" s="4" t="s">
        <v>229</v>
      </c>
    </row>
    <row r="371" ht="15.75" customHeight="1">
      <c r="A371" s="4" t="s">
        <v>68</v>
      </c>
      <c r="B371" s="4" t="s">
        <v>230</v>
      </c>
    </row>
    <row r="372" ht="15.75" customHeight="1">
      <c r="A372" s="4" t="s">
        <v>169</v>
      </c>
      <c r="B372" s="4" t="s">
        <v>230</v>
      </c>
    </row>
    <row r="373" ht="15.75" customHeight="1">
      <c r="A373" s="4" t="s">
        <v>178</v>
      </c>
      <c r="B373" s="4" t="s">
        <v>230</v>
      </c>
    </row>
    <row r="374" ht="15.75" customHeight="1">
      <c r="A374" s="4" t="s">
        <v>149</v>
      </c>
      <c r="B374" s="4" t="s">
        <v>230</v>
      </c>
    </row>
    <row r="375" ht="15.75" customHeight="1">
      <c r="A375" s="4" t="s">
        <v>106</v>
      </c>
      <c r="B375" s="4" t="s">
        <v>230</v>
      </c>
    </row>
    <row r="376" ht="15.75" customHeight="1">
      <c r="A376" s="4" t="s">
        <v>107</v>
      </c>
      <c r="B376" s="4" t="s">
        <v>230</v>
      </c>
    </row>
    <row r="377" ht="15.75" customHeight="1">
      <c r="A377" s="4" t="s">
        <v>161</v>
      </c>
      <c r="B377" s="4" t="s">
        <v>231</v>
      </c>
    </row>
    <row r="378" ht="15.75" customHeight="1">
      <c r="A378" s="4" t="s">
        <v>77</v>
      </c>
      <c r="B378" s="4" t="s">
        <v>231</v>
      </c>
    </row>
    <row r="379" ht="15.75" customHeight="1">
      <c r="A379" s="4" t="s">
        <v>170</v>
      </c>
      <c r="B379" s="4" t="s">
        <v>231</v>
      </c>
    </row>
    <row r="380" ht="15.75" customHeight="1">
      <c r="A380" s="4" t="s">
        <v>116</v>
      </c>
      <c r="B380" s="4" t="s">
        <v>231</v>
      </c>
    </row>
    <row r="381" ht="15.75" customHeight="1">
      <c r="A381" s="4" t="s">
        <v>87</v>
      </c>
      <c r="B381" s="4" t="s">
        <v>231</v>
      </c>
    </row>
    <row r="382" ht="15.75" customHeight="1">
      <c r="A382" s="4" t="s">
        <v>67</v>
      </c>
      <c r="B382" s="4" t="s">
        <v>231</v>
      </c>
    </row>
    <row r="383" ht="15.75" customHeight="1">
      <c r="A383" s="4" t="s">
        <v>143</v>
      </c>
      <c r="B383" s="4" t="s">
        <v>232</v>
      </c>
    </row>
    <row r="384" ht="15.75" customHeight="1">
      <c r="A384" s="4" t="s">
        <v>129</v>
      </c>
      <c r="B384" s="4" t="s">
        <v>232</v>
      </c>
    </row>
    <row r="385" ht="15.75" customHeight="1">
      <c r="A385" s="4" t="s">
        <v>156</v>
      </c>
      <c r="B385" s="4" t="s">
        <v>232</v>
      </c>
    </row>
    <row r="386" ht="15.75" customHeight="1">
      <c r="A386" s="4" t="s">
        <v>86</v>
      </c>
      <c r="B386" s="4" t="s">
        <v>232</v>
      </c>
    </row>
    <row r="387" ht="15.75" customHeight="1">
      <c r="A387" s="4" t="s">
        <v>80</v>
      </c>
      <c r="B387" s="4" t="s">
        <v>232</v>
      </c>
    </row>
    <row r="388" ht="15.75" customHeight="1">
      <c r="A388" s="4" t="s">
        <v>118</v>
      </c>
      <c r="B388" s="4" t="s">
        <v>232</v>
      </c>
    </row>
    <row r="389" ht="15.75" customHeight="1">
      <c r="A389" s="4" t="s">
        <v>132</v>
      </c>
      <c r="B389" s="4" t="s">
        <v>233</v>
      </c>
    </row>
    <row r="390" ht="15.75" customHeight="1">
      <c r="A390" s="4" t="s">
        <v>161</v>
      </c>
      <c r="B390" s="4" t="s">
        <v>233</v>
      </c>
    </row>
    <row r="391" ht="15.75" customHeight="1">
      <c r="A391" s="4" t="s">
        <v>141</v>
      </c>
      <c r="B391" s="4" t="s">
        <v>233</v>
      </c>
    </row>
    <row r="392" ht="15.75" customHeight="1">
      <c r="A392" s="4" t="s">
        <v>207</v>
      </c>
      <c r="B392" s="4" t="s">
        <v>233</v>
      </c>
    </row>
    <row r="393" ht="15.75" customHeight="1">
      <c r="A393" s="4" t="s">
        <v>73</v>
      </c>
      <c r="B393" s="4" t="s">
        <v>233</v>
      </c>
    </row>
    <row r="394" ht="15.75" customHeight="1">
      <c r="A394" s="4" t="s">
        <v>185</v>
      </c>
      <c r="B394" s="4" t="s">
        <v>233</v>
      </c>
    </row>
    <row r="395" ht="15.75" customHeight="1">
      <c r="A395" s="4" t="s">
        <v>70</v>
      </c>
      <c r="B395" s="4" t="s">
        <v>234</v>
      </c>
    </row>
    <row r="396" ht="15.75" customHeight="1">
      <c r="A396" s="4" t="s">
        <v>156</v>
      </c>
      <c r="B396" s="4" t="s">
        <v>234</v>
      </c>
    </row>
    <row r="397" ht="15.75" customHeight="1">
      <c r="A397" s="4" t="s">
        <v>78</v>
      </c>
      <c r="B397" s="4" t="s">
        <v>234</v>
      </c>
    </row>
    <row r="398" ht="15.75" customHeight="1">
      <c r="A398" s="4" t="s">
        <v>176</v>
      </c>
      <c r="B398" s="4" t="s">
        <v>234</v>
      </c>
    </row>
    <row r="399" ht="15.75" customHeight="1">
      <c r="A399" s="4" t="s">
        <v>162</v>
      </c>
      <c r="B399" s="4" t="s">
        <v>234</v>
      </c>
    </row>
    <row r="400" ht="15.75" customHeight="1">
      <c r="A400" s="4" t="s">
        <v>111</v>
      </c>
      <c r="B400" s="4" t="s">
        <v>234</v>
      </c>
    </row>
    <row r="401" ht="15.75" customHeight="1">
      <c r="A401" s="4" t="s">
        <v>70</v>
      </c>
      <c r="B401" s="4" t="s">
        <v>235</v>
      </c>
    </row>
    <row r="402" ht="15.75" customHeight="1">
      <c r="A402" s="4" t="s">
        <v>215</v>
      </c>
      <c r="B402" s="4" t="s">
        <v>235</v>
      </c>
    </row>
    <row r="403" ht="15.75" customHeight="1">
      <c r="A403" s="4" t="s">
        <v>92</v>
      </c>
      <c r="B403" s="4" t="s">
        <v>235</v>
      </c>
    </row>
    <row r="404" ht="15.75" customHeight="1">
      <c r="A404" s="4" t="s">
        <v>184</v>
      </c>
      <c r="B404" s="4" t="s">
        <v>235</v>
      </c>
    </row>
    <row r="405" ht="15.75" customHeight="1">
      <c r="A405" s="4" t="s">
        <v>66</v>
      </c>
      <c r="B405" s="4" t="s">
        <v>235</v>
      </c>
    </row>
    <row r="406" ht="15.75" customHeight="1">
      <c r="A406" s="4" t="s">
        <v>154</v>
      </c>
      <c r="B406" s="4" t="s">
        <v>235</v>
      </c>
    </row>
    <row r="407" ht="15.75" customHeight="1">
      <c r="A407" s="4" t="s">
        <v>226</v>
      </c>
      <c r="B407" s="4" t="s">
        <v>236</v>
      </c>
    </row>
    <row r="408" ht="15.75" customHeight="1">
      <c r="A408" s="4" t="s">
        <v>198</v>
      </c>
      <c r="B408" s="4" t="s">
        <v>236</v>
      </c>
    </row>
    <row r="409" ht="15.75" customHeight="1">
      <c r="A409" s="4" t="s">
        <v>122</v>
      </c>
      <c r="B409" s="4" t="s">
        <v>236</v>
      </c>
    </row>
    <row r="410" ht="15.75" customHeight="1">
      <c r="A410" s="4" t="s">
        <v>110</v>
      </c>
      <c r="B410" s="4" t="s">
        <v>236</v>
      </c>
    </row>
    <row r="411" ht="15.75" customHeight="1">
      <c r="A411" s="4" t="s">
        <v>162</v>
      </c>
      <c r="B411" s="4" t="s">
        <v>236</v>
      </c>
    </row>
    <row r="412" ht="15.75" customHeight="1">
      <c r="A412" s="4" t="s">
        <v>111</v>
      </c>
      <c r="B412" s="4" t="s">
        <v>236</v>
      </c>
    </row>
    <row r="413" ht="15.75" customHeight="1">
      <c r="A413" s="4" t="s">
        <v>63</v>
      </c>
      <c r="B413" s="4" t="s">
        <v>237</v>
      </c>
    </row>
    <row r="414" ht="15.75" customHeight="1">
      <c r="A414" s="4" t="s">
        <v>161</v>
      </c>
      <c r="B414" s="4" t="s">
        <v>237</v>
      </c>
    </row>
    <row r="415" ht="15.75" customHeight="1">
      <c r="A415" s="4" t="s">
        <v>178</v>
      </c>
      <c r="B415" s="4" t="s">
        <v>237</v>
      </c>
    </row>
    <row r="416" ht="15.75" customHeight="1">
      <c r="A416" s="4" t="s">
        <v>184</v>
      </c>
      <c r="B416" s="4" t="s">
        <v>237</v>
      </c>
    </row>
    <row r="417" ht="15.75" customHeight="1">
      <c r="A417" s="4" t="s">
        <v>80</v>
      </c>
      <c r="B417" s="4" t="s">
        <v>237</v>
      </c>
    </row>
    <row r="418" ht="15.75" customHeight="1">
      <c r="A418" s="4" t="s">
        <v>88</v>
      </c>
      <c r="B418" s="4" t="s">
        <v>237</v>
      </c>
    </row>
    <row r="419" ht="15.75" customHeight="1">
      <c r="A419" s="4" t="s">
        <v>173</v>
      </c>
      <c r="B419" s="4" t="s">
        <v>238</v>
      </c>
    </row>
    <row r="420" ht="15.75" customHeight="1">
      <c r="A420" s="4" t="s">
        <v>63</v>
      </c>
      <c r="B420" s="4" t="s">
        <v>238</v>
      </c>
    </row>
    <row r="421" ht="15.75" customHeight="1">
      <c r="A421" s="4" t="s">
        <v>170</v>
      </c>
      <c r="B421" s="4" t="s">
        <v>238</v>
      </c>
    </row>
    <row r="422" ht="15.75" customHeight="1">
      <c r="A422" s="4" t="s">
        <v>79</v>
      </c>
      <c r="B422" s="4" t="s">
        <v>238</v>
      </c>
    </row>
    <row r="423" ht="15.75" customHeight="1">
      <c r="A423" s="4" t="s">
        <v>117</v>
      </c>
      <c r="B423" s="4" t="s">
        <v>238</v>
      </c>
    </row>
    <row r="424" ht="15.75" customHeight="1">
      <c r="A424" s="4" t="s">
        <v>74</v>
      </c>
      <c r="B424" s="4" t="s">
        <v>238</v>
      </c>
    </row>
    <row r="425" ht="15.75" customHeight="1">
      <c r="A425" s="4" t="s">
        <v>95</v>
      </c>
      <c r="B425" s="4" t="s">
        <v>239</v>
      </c>
    </row>
    <row r="426" ht="15.75" customHeight="1">
      <c r="A426" s="4" t="s">
        <v>161</v>
      </c>
      <c r="B426" s="4" t="s">
        <v>239</v>
      </c>
    </row>
    <row r="427" ht="15.75" customHeight="1">
      <c r="A427" s="4" t="s">
        <v>170</v>
      </c>
      <c r="B427" s="4" t="s">
        <v>239</v>
      </c>
    </row>
    <row r="428" ht="15.75" customHeight="1">
      <c r="A428" s="4" t="s">
        <v>240</v>
      </c>
      <c r="B428" s="4" t="s">
        <v>239</v>
      </c>
    </row>
    <row r="429" ht="15.75" customHeight="1">
      <c r="A429" s="4" t="s">
        <v>117</v>
      </c>
      <c r="B429" s="4" t="s">
        <v>239</v>
      </c>
    </row>
    <row r="430" ht="15.75" customHeight="1">
      <c r="A430" s="4" t="s">
        <v>241</v>
      </c>
      <c r="B430" s="4" t="s">
        <v>239</v>
      </c>
    </row>
    <row r="431" ht="15.75" customHeight="1">
      <c r="A431" s="4" t="s">
        <v>159</v>
      </c>
      <c r="B431" s="4" t="s">
        <v>242</v>
      </c>
    </row>
    <row r="432" ht="15.75" customHeight="1">
      <c r="A432" s="4" t="s">
        <v>97</v>
      </c>
      <c r="B432" s="4" t="s">
        <v>242</v>
      </c>
    </row>
    <row r="433" ht="15.75" customHeight="1">
      <c r="A433" s="4" t="s">
        <v>104</v>
      </c>
      <c r="B433" s="4" t="s">
        <v>242</v>
      </c>
    </row>
    <row r="434" ht="15.75" customHeight="1">
      <c r="A434" s="4" t="s">
        <v>110</v>
      </c>
      <c r="B434" s="4" t="s">
        <v>242</v>
      </c>
    </row>
    <row r="435" ht="15.75" customHeight="1">
      <c r="A435" s="4" t="s">
        <v>181</v>
      </c>
      <c r="B435" s="4" t="s">
        <v>242</v>
      </c>
    </row>
    <row r="436" ht="15.75" customHeight="1">
      <c r="A436" s="4" t="s">
        <v>107</v>
      </c>
      <c r="B436" s="4" t="s">
        <v>242</v>
      </c>
    </row>
    <row r="437" ht="15.75" customHeight="1">
      <c r="A437" s="4" t="s">
        <v>134</v>
      </c>
      <c r="B437" s="4" t="s">
        <v>243</v>
      </c>
    </row>
    <row r="438" ht="15.75" customHeight="1">
      <c r="A438" s="4" t="s">
        <v>85</v>
      </c>
      <c r="B438" s="4" t="s">
        <v>243</v>
      </c>
    </row>
    <row r="439" ht="15.75" customHeight="1">
      <c r="A439" s="4" t="s">
        <v>170</v>
      </c>
      <c r="B439" s="4" t="s">
        <v>243</v>
      </c>
    </row>
    <row r="440" ht="15.75" customHeight="1">
      <c r="A440" s="4" t="s">
        <v>135</v>
      </c>
      <c r="B440" s="4" t="s">
        <v>243</v>
      </c>
    </row>
    <row r="441" ht="15.75" customHeight="1">
      <c r="A441" s="4" t="s">
        <v>162</v>
      </c>
      <c r="B441" s="4" t="s">
        <v>243</v>
      </c>
    </row>
    <row r="442" ht="15.75" customHeight="1">
      <c r="A442" s="4" t="s">
        <v>139</v>
      </c>
      <c r="B442" s="4" t="s">
        <v>243</v>
      </c>
    </row>
    <row r="443" ht="15.75" customHeight="1">
      <c r="A443" s="4" t="s">
        <v>114</v>
      </c>
      <c r="B443" s="4" t="s">
        <v>244</v>
      </c>
    </row>
    <row r="444" ht="15.75" customHeight="1">
      <c r="A444" s="4" t="s">
        <v>148</v>
      </c>
      <c r="B444" s="4" t="s">
        <v>244</v>
      </c>
    </row>
    <row r="445" ht="15.75" customHeight="1">
      <c r="A445" s="4" t="s">
        <v>192</v>
      </c>
      <c r="B445" s="4" t="s">
        <v>244</v>
      </c>
    </row>
    <row r="446" ht="15.75" customHeight="1">
      <c r="A446" s="4" t="s">
        <v>99</v>
      </c>
      <c r="B446" s="4" t="s">
        <v>244</v>
      </c>
    </row>
    <row r="447" ht="15.75" customHeight="1">
      <c r="A447" s="4" t="s">
        <v>208</v>
      </c>
      <c r="B447" s="4" t="s">
        <v>244</v>
      </c>
    </row>
    <row r="448" ht="15.75" customHeight="1">
      <c r="A448" s="4" t="s">
        <v>94</v>
      </c>
      <c r="B448" s="4" t="s">
        <v>244</v>
      </c>
    </row>
    <row r="449" ht="15.75" customHeight="1">
      <c r="A449" s="4" t="s">
        <v>148</v>
      </c>
      <c r="B449" s="4" t="s">
        <v>245</v>
      </c>
    </row>
    <row r="450" ht="15.75" customHeight="1">
      <c r="A450" s="4" t="s">
        <v>156</v>
      </c>
      <c r="B450" s="4" t="s">
        <v>245</v>
      </c>
    </row>
    <row r="451" ht="15.75" customHeight="1">
      <c r="A451" s="4" t="s">
        <v>120</v>
      </c>
      <c r="B451" s="4" t="s">
        <v>245</v>
      </c>
    </row>
    <row r="452" ht="15.75" customHeight="1">
      <c r="A452" s="4" t="s">
        <v>157</v>
      </c>
      <c r="B452" s="4" t="s">
        <v>245</v>
      </c>
    </row>
    <row r="453" ht="15.75" customHeight="1">
      <c r="A453" s="4" t="s">
        <v>187</v>
      </c>
      <c r="B453" s="4" t="s">
        <v>245</v>
      </c>
    </row>
    <row r="454" ht="15.75" customHeight="1">
      <c r="A454" s="4" t="s">
        <v>111</v>
      </c>
      <c r="B454" s="4" t="s">
        <v>245</v>
      </c>
    </row>
    <row r="455" ht="15.75" customHeight="1">
      <c r="A455" s="4" t="s">
        <v>143</v>
      </c>
      <c r="B455" s="4" t="s">
        <v>246</v>
      </c>
    </row>
    <row r="456" ht="15.75" customHeight="1">
      <c r="A456" s="4" t="s">
        <v>102</v>
      </c>
      <c r="B456" s="4" t="s">
        <v>246</v>
      </c>
    </row>
    <row r="457" ht="15.75" customHeight="1">
      <c r="A457" s="4" t="s">
        <v>85</v>
      </c>
      <c r="B457" s="4" t="s">
        <v>246</v>
      </c>
    </row>
    <row r="458" ht="15.75" customHeight="1">
      <c r="A458" s="4" t="s">
        <v>184</v>
      </c>
      <c r="B458" s="4" t="s">
        <v>246</v>
      </c>
    </row>
    <row r="459" ht="15.75" customHeight="1">
      <c r="A459" s="4" t="s">
        <v>66</v>
      </c>
      <c r="B459" s="4" t="s">
        <v>246</v>
      </c>
    </row>
    <row r="460" ht="15.75" customHeight="1">
      <c r="A460" s="4" t="s">
        <v>88</v>
      </c>
      <c r="B460" s="4" t="s">
        <v>246</v>
      </c>
    </row>
    <row r="461" ht="15.75" customHeight="1">
      <c r="A461" s="4" t="s">
        <v>148</v>
      </c>
      <c r="B461" s="4" t="s">
        <v>247</v>
      </c>
    </row>
    <row r="462" ht="15.75" customHeight="1">
      <c r="A462" s="4" t="s">
        <v>122</v>
      </c>
      <c r="B462" s="4" t="s">
        <v>247</v>
      </c>
    </row>
    <row r="463" ht="15.75" customHeight="1">
      <c r="A463" s="4" t="s">
        <v>120</v>
      </c>
      <c r="B463" s="4" t="s">
        <v>247</v>
      </c>
    </row>
    <row r="464" ht="15.75" customHeight="1">
      <c r="A464" s="4" t="s">
        <v>207</v>
      </c>
      <c r="B464" s="4" t="s">
        <v>247</v>
      </c>
    </row>
    <row r="465" ht="15.75" customHeight="1">
      <c r="A465" s="4" t="s">
        <v>131</v>
      </c>
      <c r="B465" s="4" t="s">
        <v>247</v>
      </c>
    </row>
    <row r="466" ht="15.75" customHeight="1">
      <c r="A466" s="4" t="s">
        <v>199</v>
      </c>
      <c r="B466" s="4" t="s">
        <v>247</v>
      </c>
    </row>
    <row r="467" ht="15.75" customHeight="1">
      <c r="A467" s="4" t="s">
        <v>143</v>
      </c>
      <c r="B467" s="4" t="s">
        <v>248</v>
      </c>
    </row>
    <row r="468" ht="15.75" customHeight="1">
      <c r="A468" s="4" t="s">
        <v>159</v>
      </c>
      <c r="B468" s="4" t="s">
        <v>248</v>
      </c>
    </row>
    <row r="469" ht="15.75" customHeight="1">
      <c r="A469" s="4" t="s">
        <v>71</v>
      </c>
      <c r="B469" s="4" t="s">
        <v>248</v>
      </c>
    </row>
    <row r="470" ht="15.75" customHeight="1">
      <c r="A470" s="4" t="s">
        <v>184</v>
      </c>
      <c r="B470" s="4" t="s">
        <v>248</v>
      </c>
    </row>
    <row r="471" ht="15.75" customHeight="1">
      <c r="A471" s="4" t="s">
        <v>117</v>
      </c>
      <c r="B471" s="4" t="s">
        <v>248</v>
      </c>
    </row>
    <row r="472" ht="15.75" customHeight="1">
      <c r="A472" s="4" t="s">
        <v>118</v>
      </c>
      <c r="B472" s="4" t="s">
        <v>248</v>
      </c>
    </row>
    <row r="473" ht="15.75" customHeight="1">
      <c r="A473" s="4" t="s">
        <v>89</v>
      </c>
      <c r="B473" s="4" t="s">
        <v>249</v>
      </c>
    </row>
    <row r="474" ht="15.75" customHeight="1">
      <c r="A474" s="4" t="s">
        <v>153</v>
      </c>
      <c r="B474" s="4" t="s">
        <v>249</v>
      </c>
    </row>
    <row r="475" ht="15.75" customHeight="1">
      <c r="A475" s="4" t="s">
        <v>104</v>
      </c>
      <c r="B475" s="4" t="s">
        <v>249</v>
      </c>
    </row>
    <row r="476" ht="15.75" customHeight="1">
      <c r="A476" s="4" t="s">
        <v>86</v>
      </c>
      <c r="B476" s="4" t="s">
        <v>249</v>
      </c>
    </row>
    <row r="477" ht="15.75" customHeight="1">
      <c r="A477" s="4" t="s">
        <v>87</v>
      </c>
      <c r="B477" s="4" t="s">
        <v>249</v>
      </c>
    </row>
    <row r="478" ht="15.75" customHeight="1">
      <c r="A478" s="4" t="s">
        <v>88</v>
      </c>
      <c r="B478" s="4" t="s">
        <v>249</v>
      </c>
    </row>
    <row r="479" ht="15.75" customHeight="1">
      <c r="A479" s="4" t="s">
        <v>89</v>
      </c>
      <c r="B479" s="4" t="s">
        <v>250</v>
      </c>
    </row>
    <row r="480" ht="15.75" customHeight="1">
      <c r="A480" s="4" t="s">
        <v>114</v>
      </c>
      <c r="B480" s="4" t="s">
        <v>250</v>
      </c>
    </row>
    <row r="481" ht="15.75" customHeight="1">
      <c r="A481" s="4" t="s">
        <v>102</v>
      </c>
      <c r="B481" s="4" t="s">
        <v>250</v>
      </c>
    </row>
    <row r="482" ht="15.75" customHeight="1">
      <c r="A482" s="4" t="s">
        <v>65</v>
      </c>
      <c r="B482" s="4" t="s">
        <v>250</v>
      </c>
    </row>
    <row r="483" ht="15.75" customHeight="1">
      <c r="A483" s="4" t="s">
        <v>142</v>
      </c>
      <c r="B483" s="4" t="s">
        <v>250</v>
      </c>
    </row>
    <row r="484" ht="15.75" customHeight="1">
      <c r="A484" s="4" t="s">
        <v>199</v>
      </c>
      <c r="B484" s="4" t="s">
        <v>250</v>
      </c>
    </row>
    <row r="485" ht="15.75" customHeight="1">
      <c r="A485" s="4" t="s">
        <v>173</v>
      </c>
      <c r="B485" s="4" t="s">
        <v>251</v>
      </c>
    </row>
    <row r="486" ht="15.75" customHeight="1">
      <c r="A486" s="4" t="s">
        <v>132</v>
      </c>
      <c r="B486" s="4" t="s">
        <v>251</v>
      </c>
    </row>
    <row r="487" ht="15.75" customHeight="1">
      <c r="A487" s="4" t="s">
        <v>98</v>
      </c>
      <c r="B487" s="4" t="s">
        <v>251</v>
      </c>
    </row>
    <row r="488" ht="15.75" customHeight="1">
      <c r="A488" s="4" t="s">
        <v>86</v>
      </c>
      <c r="B488" s="4" t="s">
        <v>251</v>
      </c>
    </row>
    <row r="489" ht="15.75" customHeight="1">
      <c r="A489" s="4" t="s">
        <v>142</v>
      </c>
      <c r="B489" s="4" t="s">
        <v>251</v>
      </c>
    </row>
    <row r="490" ht="15.75" customHeight="1">
      <c r="A490" s="4" t="s">
        <v>118</v>
      </c>
      <c r="B490" s="4" t="s">
        <v>251</v>
      </c>
    </row>
    <row r="491" ht="15.75" customHeight="1">
      <c r="A491" s="4" t="s">
        <v>63</v>
      </c>
      <c r="B491" s="4" t="s">
        <v>252</v>
      </c>
    </row>
    <row r="492" ht="15.75" customHeight="1">
      <c r="A492" s="4" t="s">
        <v>134</v>
      </c>
      <c r="B492" s="4" t="s">
        <v>252</v>
      </c>
    </row>
    <row r="493" ht="15.75" customHeight="1">
      <c r="A493" s="4" t="s">
        <v>175</v>
      </c>
      <c r="B493" s="4" t="s">
        <v>252</v>
      </c>
    </row>
    <row r="494" ht="15.75" customHeight="1">
      <c r="A494" s="4" t="s">
        <v>123</v>
      </c>
      <c r="B494" s="4" t="s">
        <v>252</v>
      </c>
    </row>
    <row r="495" ht="15.75" customHeight="1">
      <c r="A495" s="4" t="s">
        <v>196</v>
      </c>
      <c r="B495" s="4" t="s">
        <v>252</v>
      </c>
    </row>
    <row r="496" ht="15.75" customHeight="1">
      <c r="A496" s="4" t="s">
        <v>171</v>
      </c>
      <c r="B496" s="4" t="s">
        <v>252</v>
      </c>
    </row>
    <row r="497" ht="15.75" customHeight="1">
      <c r="A497" s="4" t="s">
        <v>204</v>
      </c>
      <c r="B497" s="4" t="s">
        <v>253</v>
      </c>
    </row>
    <row r="498" ht="15.75" customHeight="1">
      <c r="A498" s="4" t="s">
        <v>192</v>
      </c>
      <c r="B498" s="4" t="s">
        <v>253</v>
      </c>
    </row>
    <row r="499" ht="15.75" customHeight="1">
      <c r="A499" s="4" t="s">
        <v>194</v>
      </c>
      <c r="B499" s="4" t="s">
        <v>253</v>
      </c>
    </row>
    <row r="500" ht="15.75" customHeight="1">
      <c r="A500" s="4" t="s">
        <v>184</v>
      </c>
      <c r="B500" s="4" t="s">
        <v>253</v>
      </c>
    </row>
    <row r="501" ht="15.75" customHeight="1">
      <c r="A501" s="4" t="s">
        <v>93</v>
      </c>
      <c r="B501" s="4" t="s">
        <v>253</v>
      </c>
    </row>
    <row r="502" ht="15.75" customHeight="1">
      <c r="A502" s="4" t="s">
        <v>199</v>
      </c>
      <c r="B502" s="4" t="s">
        <v>253</v>
      </c>
    </row>
    <row r="503" ht="15.75" customHeight="1">
      <c r="A503" s="4" t="s">
        <v>148</v>
      </c>
      <c r="B503" s="4" t="s">
        <v>254</v>
      </c>
    </row>
    <row r="504" ht="15.75" customHeight="1">
      <c r="A504" s="4" t="s">
        <v>156</v>
      </c>
      <c r="B504" s="4" t="s">
        <v>254</v>
      </c>
    </row>
    <row r="505" ht="15.75" customHeight="1">
      <c r="A505" s="4" t="s">
        <v>120</v>
      </c>
      <c r="B505" s="4" t="s">
        <v>254</v>
      </c>
    </row>
    <row r="506" ht="15.75" customHeight="1">
      <c r="A506" s="4" t="s">
        <v>176</v>
      </c>
      <c r="B506" s="4" t="s">
        <v>254</v>
      </c>
    </row>
    <row r="507" ht="15.75" customHeight="1">
      <c r="A507" s="4" t="s">
        <v>164</v>
      </c>
      <c r="B507" s="4" t="s">
        <v>254</v>
      </c>
    </row>
    <row r="508" ht="15.75" customHeight="1">
      <c r="A508" s="4" t="s">
        <v>127</v>
      </c>
      <c r="B508" s="4" t="s">
        <v>254</v>
      </c>
    </row>
    <row r="509" ht="15.75" customHeight="1">
      <c r="A509" s="4" t="s">
        <v>169</v>
      </c>
      <c r="B509" s="4" t="s">
        <v>255</v>
      </c>
    </row>
    <row r="510" ht="15.75" customHeight="1">
      <c r="A510" s="4" t="s">
        <v>194</v>
      </c>
      <c r="B510" s="4" t="s">
        <v>255</v>
      </c>
    </row>
    <row r="511" ht="15.75" customHeight="1">
      <c r="A511" s="4" t="s">
        <v>178</v>
      </c>
      <c r="B511" s="4" t="s">
        <v>255</v>
      </c>
    </row>
    <row r="512" ht="15.75" customHeight="1">
      <c r="A512" s="4" t="s">
        <v>110</v>
      </c>
      <c r="B512" s="4" t="s">
        <v>255</v>
      </c>
    </row>
    <row r="513" ht="15.75" customHeight="1">
      <c r="A513" s="4" t="s">
        <v>187</v>
      </c>
      <c r="B513" s="4" t="s">
        <v>255</v>
      </c>
    </row>
    <row r="514" ht="15.75" customHeight="1">
      <c r="A514" s="4" t="s">
        <v>158</v>
      </c>
      <c r="B514" s="4" t="s">
        <v>255</v>
      </c>
    </row>
    <row r="515" ht="15.75" customHeight="1">
      <c r="A515" s="4" t="s">
        <v>61</v>
      </c>
      <c r="B515" s="4" t="s">
        <v>256</v>
      </c>
    </row>
    <row r="516" ht="15.75" customHeight="1">
      <c r="A516" s="4" t="s">
        <v>63</v>
      </c>
      <c r="B516" s="4" t="s">
        <v>256</v>
      </c>
    </row>
    <row r="517" ht="15.75" customHeight="1">
      <c r="A517" s="4" t="s">
        <v>215</v>
      </c>
      <c r="B517" s="4" t="s">
        <v>256</v>
      </c>
    </row>
    <row r="518" ht="15.75" customHeight="1">
      <c r="A518" s="4" t="s">
        <v>79</v>
      </c>
      <c r="B518" s="4" t="s">
        <v>256</v>
      </c>
    </row>
    <row r="519" ht="15.75" customHeight="1">
      <c r="A519" s="4" t="s">
        <v>80</v>
      </c>
      <c r="B519" s="4" t="s">
        <v>256</v>
      </c>
    </row>
    <row r="520" ht="15.75" customHeight="1">
      <c r="A520" s="4" t="s">
        <v>94</v>
      </c>
      <c r="B520" s="4" t="s">
        <v>256</v>
      </c>
    </row>
    <row r="521" ht="15.75" customHeight="1">
      <c r="A521" s="4" t="s">
        <v>70</v>
      </c>
      <c r="B521" s="4" t="s">
        <v>257</v>
      </c>
    </row>
    <row r="522" ht="15.75" customHeight="1">
      <c r="A522" s="4" t="s">
        <v>194</v>
      </c>
      <c r="B522" s="4" t="s">
        <v>257</v>
      </c>
    </row>
    <row r="523" ht="15.75" customHeight="1">
      <c r="A523" s="4" t="s">
        <v>71</v>
      </c>
      <c r="B523" s="4" t="s">
        <v>257</v>
      </c>
    </row>
    <row r="524" ht="15.75" customHeight="1">
      <c r="A524" s="4" t="s">
        <v>149</v>
      </c>
      <c r="B524" s="4" t="s">
        <v>257</v>
      </c>
    </row>
    <row r="525" ht="15.75" customHeight="1">
      <c r="A525" s="4" t="s">
        <v>162</v>
      </c>
      <c r="B525" s="4" t="s">
        <v>257</v>
      </c>
    </row>
    <row r="526" ht="15.75" customHeight="1">
      <c r="A526" s="4" t="s">
        <v>171</v>
      </c>
      <c r="B526" s="4" t="s">
        <v>257</v>
      </c>
    </row>
    <row r="527" ht="15.75" customHeight="1">
      <c r="A527" s="4" t="s">
        <v>75</v>
      </c>
      <c r="B527" s="4" t="s">
        <v>258</v>
      </c>
    </row>
    <row r="528" ht="15.75" customHeight="1">
      <c r="A528" s="4" t="s">
        <v>156</v>
      </c>
      <c r="B528" s="4" t="s">
        <v>258</v>
      </c>
    </row>
    <row r="529" ht="15.75" customHeight="1">
      <c r="A529" s="4" t="s">
        <v>120</v>
      </c>
      <c r="B529" s="4" t="s">
        <v>258</v>
      </c>
    </row>
    <row r="530" ht="15.75" customHeight="1">
      <c r="A530" s="4" t="s">
        <v>157</v>
      </c>
      <c r="B530" s="4" t="s">
        <v>258</v>
      </c>
    </row>
    <row r="531" ht="15.75" customHeight="1">
      <c r="A531" s="4" t="s">
        <v>162</v>
      </c>
      <c r="B531" s="4" t="s">
        <v>258</v>
      </c>
    </row>
    <row r="532" ht="15.75" customHeight="1">
      <c r="A532" s="4" t="s">
        <v>111</v>
      </c>
      <c r="B532" s="4" t="s">
        <v>258</v>
      </c>
    </row>
    <row r="533" ht="15.75" customHeight="1">
      <c r="A533" s="4" t="s">
        <v>173</v>
      </c>
      <c r="B533" s="4" t="s">
        <v>259</v>
      </c>
    </row>
    <row r="534" ht="15.75" customHeight="1">
      <c r="A534" s="4" t="s">
        <v>194</v>
      </c>
      <c r="B534" s="4" t="s">
        <v>259</v>
      </c>
    </row>
    <row r="535" ht="15.75" customHeight="1">
      <c r="A535" s="4" t="s">
        <v>71</v>
      </c>
      <c r="B535" s="4" t="s">
        <v>259</v>
      </c>
    </row>
    <row r="536" ht="15.75" customHeight="1">
      <c r="A536" s="4" t="s">
        <v>110</v>
      </c>
      <c r="B536" s="4" t="s">
        <v>259</v>
      </c>
    </row>
    <row r="537" ht="15.75" customHeight="1">
      <c r="A537" s="4" t="s">
        <v>106</v>
      </c>
      <c r="B537" s="4" t="s">
        <v>259</v>
      </c>
    </row>
    <row r="538" ht="15.75" customHeight="1">
      <c r="A538" s="4" t="s">
        <v>171</v>
      </c>
      <c r="B538" s="4" t="s">
        <v>259</v>
      </c>
    </row>
    <row r="539" ht="15.75" customHeight="1">
      <c r="A539" s="4" t="s">
        <v>143</v>
      </c>
      <c r="B539" s="4" t="s">
        <v>260</v>
      </c>
    </row>
    <row r="540" ht="15.75" customHeight="1">
      <c r="A540" s="4" t="s">
        <v>63</v>
      </c>
      <c r="B540" s="4" t="s">
        <v>260</v>
      </c>
    </row>
    <row r="541" ht="15.75" customHeight="1">
      <c r="A541" s="4" t="s">
        <v>192</v>
      </c>
      <c r="B541" s="4" t="s">
        <v>260</v>
      </c>
    </row>
    <row r="542" ht="15.75" customHeight="1">
      <c r="A542" s="4" t="s">
        <v>72</v>
      </c>
      <c r="B542" s="4" t="s">
        <v>260</v>
      </c>
    </row>
    <row r="543" ht="15.75" customHeight="1">
      <c r="A543" s="4" t="s">
        <v>208</v>
      </c>
      <c r="B543" s="4" t="s">
        <v>260</v>
      </c>
    </row>
    <row r="544" ht="15.75" customHeight="1">
      <c r="A544" s="4" t="s">
        <v>94</v>
      </c>
      <c r="B544" s="4" t="s">
        <v>260</v>
      </c>
    </row>
    <row r="545" ht="15.75" customHeight="1">
      <c r="A545" s="4" t="s">
        <v>169</v>
      </c>
      <c r="B545" s="4" t="s">
        <v>261</v>
      </c>
    </row>
    <row r="546" ht="15.75" customHeight="1">
      <c r="A546" s="4" t="s">
        <v>85</v>
      </c>
      <c r="B546" s="4" t="s">
        <v>261</v>
      </c>
    </row>
    <row r="547" ht="15.75" customHeight="1">
      <c r="A547" s="4" t="s">
        <v>170</v>
      </c>
      <c r="B547" s="4" t="s">
        <v>261</v>
      </c>
    </row>
    <row r="548" ht="15.75" customHeight="1">
      <c r="A548" s="4" t="s">
        <v>166</v>
      </c>
      <c r="B548" s="4" t="s">
        <v>261</v>
      </c>
    </row>
    <row r="549" ht="15.75" customHeight="1">
      <c r="A549" s="4" t="s">
        <v>126</v>
      </c>
      <c r="B549" s="4" t="s">
        <v>261</v>
      </c>
    </row>
    <row r="550" ht="15.75" customHeight="1">
      <c r="A550" s="4" t="s">
        <v>220</v>
      </c>
      <c r="B550" s="4" t="s">
        <v>261</v>
      </c>
    </row>
    <row r="551" ht="15.75" customHeight="1">
      <c r="A551" s="4" t="s">
        <v>159</v>
      </c>
      <c r="B551" s="4" t="s">
        <v>262</v>
      </c>
    </row>
    <row r="552" ht="15.75" customHeight="1">
      <c r="A552" s="4" t="s">
        <v>134</v>
      </c>
      <c r="B552" s="4" t="s">
        <v>262</v>
      </c>
    </row>
    <row r="553" ht="15.75" customHeight="1">
      <c r="A553" s="4" t="s">
        <v>175</v>
      </c>
      <c r="B553" s="4" t="s">
        <v>262</v>
      </c>
    </row>
    <row r="554" ht="15.75" customHeight="1">
      <c r="A554" s="4" t="s">
        <v>157</v>
      </c>
      <c r="B554" s="4" t="s">
        <v>262</v>
      </c>
    </row>
    <row r="555" ht="15.75" customHeight="1">
      <c r="A555" s="4" t="s">
        <v>187</v>
      </c>
      <c r="B555" s="4" t="s">
        <v>262</v>
      </c>
    </row>
    <row r="556" ht="15.75" customHeight="1">
      <c r="A556" s="4" t="s">
        <v>111</v>
      </c>
      <c r="B556" s="4" t="s">
        <v>262</v>
      </c>
    </row>
    <row r="557" ht="15.75" customHeight="1">
      <c r="A557" s="4" t="s">
        <v>97</v>
      </c>
      <c r="B557" s="4" t="s">
        <v>263</v>
      </c>
    </row>
    <row r="558" ht="15.75" customHeight="1">
      <c r="A558" s="4" t="s">
        <v>92</v>
      </c>
      <c r="B558" s="4" t="s">
        <v>263</v>
      </c>
    </row>
    <row r="559" ht="15.75" customHeight="1">
      <c r="A559" s="4" t="s">
        <v>104</v>
      </c>
      <c r="B559" s="4" t="s">
        <v>263</v>
      </c>
    </row>
    <row r="560" ht="15.75" customHeight="1">
      <c r="A560" s="4" t="s">
        <v>110</v>
      </c>
      <c r="B560" s="4" t="s">
        <v>263</v>
      </c>
    </row>
    <row r="561" ht="15.75" customHeight="1">
      <c r="A561" s="4" t="s">
        <v>106</v>
      </c>
      <c r="B561" s="4" t="s">
        <v>263</v>
      </c>
    </row>
    <row r="562" ht="15.75" customHeight="1">
      <c r="A562" s="4" t="s">
        <v>127</v>
      </c>
      <c r="B562" s="4" t="s">
        <v>263</v>
      </c>
    </row>
    <row r="563" ht="15.75" customHeight="1">
      <c r="A563" s="4" t="s">
        <v>169</v>
      </c>
      <c r="B563" s="4" t="s">
        <v>264</v>
      </c>
    </row>
    <row r="564" ht="15.75" customHeight="1">
      <c r="A564" s="4" t="s">
        <v>183</v>
      </c>
      <c r="B564" s="4" t="s">
        <v>264</v>
      </c>
    </row>
    <row r="565" ht="15.75" customHeight="1">
      <c r="A565" s="4" t="s">
        <v>153</v>
      </c>
      <c r="B565" s="4" t="s">
        <v>264</v>
      </c>
    </row>
    <row r="566" ht="15.75" customHeight="1">
      <c r="A566" s="4" t="s">
        <v>166</v>
      </c>
      <c r="B566" s="4" t="s">
        <v>264</v>
      </c>
    </row>
    <row r="567" ht="15.75" customHeight="1">
      <c r="A567" s="4" t="s">
        <v>181</v>
      </c>
      <c r="B567" s="4" t="s">
        <v>264</v>
      </c>
    </row>
    <row r="568" ht="15.75" customHeight="1">
      <c r="A568" s="4" t="s">
        <v>139</v>
      </c>
      <c r="B568" s="4" t="s">
        <v>264</v>
      </c>
    </row>
    <row r="569" ht="15.75" customHeight="1">
      <c r="A569" s="4" t="s">
        <v>169</v>
      </c>
      <c r="B569" s="4" t="s">
        <v>265</v>
      </c>
    </row>
    <row r="570" ht="15.75" customHeight="1">
      <c r="A570" s="4" t="s">
        <v>122</v>
      </c>
      <c r="B570" s="4" t="s">
        <v>265</v>
      </c>
    </row>
    <row r="571" ht="15.75" customHeight="1">
      <c r="A571" s="4" t="s">
        <v>170</v>
      </c>
      <c r="B571" s="4" t="s">
        <v>265</v>
      </c>
    </row>
    <row r="572" ht="15.75" customHeight="1">
      <c r="A572" s="4" t="s">
        <v>110</v>
      </c>
      <c r="B572" s="4" t="s">
        <v>265</v>
      </c>
    </row>
    <row r="573" ht="15.75" customHeight="1">
      <c r="A573" s="4" t="s">
        <v>150</v>
      </c>
      <c r="B573" s="4" t="s">
        <v>265</v>
      </c>
    </row>
    <row r="574" ht="15.75" customHeight="1">
      <c r="A574" s="4" t="s">
        <v>158</v>
      </c>
      <c r="B574" s="4" t="s">
        <v>265</v>
      </c>
    </row>
    <row r="575" ht="15.75" customHeight="1">
      <c r="A575" s="4" t="s">
        <v>173</v>
      </c>
      <c r="B575" s="4" t="s">
        <v>266</v>
      </c>
    </row>
    <row r="576" ht="15.75" customHeight="1">
      <c r="A576" s="4" t="s">
        <v>85</v>
      </c>
      <c r="B576" s="4" t="s">
        <v>266</v>
      </c>
    </row>
    <row r="577" ht="15.75" customHeight="1">
      <c r="A577" s="4" t="s">
        <v>120</v>
      </c>
      <c r="B577" s="4" t="s">
        <v>266</v>
      </c>
    </row>
    <row r="578" ht="15.75" customHeight="1">
      <c r="A578" s="4" t="s">
        <v>166</v>
      </c>
      <c r="B578" s="4" t="s">
        <v>266</v>
      </c>
    </row>
    <row r="579" ht="15.75" customHeight="1">
      <c r="A579" s="4" t="s">
        <v>150</v>
      </c>
      <c r="B579" s="4" t="s">
        <v>266</v>
      </c>
    </row>
    <row r="580" ht="15.75" customHeight="1">
      <c r="A580" s="4" t="s">
        <v>220</v>
      </c>
      <c r="B580" s="4" t="s">
        <v>266</v>
      </c>
    </row>
    <row r="581" ht="15.75" customHeight="1">
      <c r="A581" s="4" t="s">
        <v>146</v>
      </c>
      <c r="B581" s="4" t="s">
        <v>267</v>
      </c>
    </row>
    <row r="582" ht="15.75" customHeight="1">
      <c r="A582" s="4" t="s">
        <v>148</v>
      </c>
      <c r="B582" s="4" t="s">
        <v>267</v>
      </c>
    </row>
    <row r="583" ht="15.75" customHeight="1">
      <c r="A583" s="4" t="s">
        <v>120</v>
      </c>
      <c r="B583" s="4" t="s">
        <v>267</v>
      </c>
    </row>
    <row r="584" ht="15.75" customHeight="1">
      <c r="A584" s="4" t="s">
        <v>123</v>
      </c>
      <c r="B584" s="4" t="s">
        <v>267</v>
      </c>
    </row>
    <row r="585" ht="15.75" customHeight="1">
      <c r="A585" s="4" t="s">
        <v>196</v>
      </c>
      <c r="B585" s="4" t="s">
        <v>267</v>
      </c>
    </row>
    <row r="586" ht="15.75" customHeight="1">
      <c r="A586" s="4" t="s">
        <v>158</v>
      </c>
      <c r="B586" s="4" t="s">
        <v>267</v>
      </c>
    </row>
    <row r="587" ht="15.75" customHeight="1">
      <c r="A587" s="4" t="s">
        <v>82</v>
      </c>
      <c r="B587" s="4" t="s">
        <v>268</v>
      </c>
    </row>
    <row r="588" ht="15.75" customHeight="1">
      <c r="A588" s="4" t="s">
        <v>114</v>
      </c>
      <c r="B588" s="4" t="s">
        <v>268</v>
      </c>
    </row>
    <row r="589" ht="15.75" customHeight="1">
      <c r="A589" s="4" t="s">
        <v>84</v>
      </c>
      <c r="B589" s="4" t="s">
        <v>268</v>
      </c>
    </row>
    <row r="590" ht="15.75" customHeight="1">
      <c r="A590" s="4" t="s">
        <v>79</v>
      </c>
      <c r="B590" s="4" t="s">
        <v>268</v>
      </c>
    </row>
    <row r="591" ht="15.75" customHeight="1">
      <c r="A591" s="4" t="s">
        <v>93</v>
      </c>
      <c r="B591" s="4" t="s">
        <v>268</v>
      </c>
    </row>
    <row r="592" ht="15.75" customHeight="1">
      <c r="A592" s="4" t="s">
        <v>94</v>
      </c>
      <c r="B592" s="4" t="s">
        <v>268</v>
      </c>
    </row>
    <row r="593" ht="15.75" customHeight="1">
      <c r="A593" s="4" t="s">
        <v>132</v>
      </c>
      <c r="B593" s="4" t="s">
        <v>269</v>
      </c>
    </row>
    <row r="594" ht="15.75" customHeight="1">
      <c r="A594" s="4" t="s">
        <v>97</v>
      </c>
      <c r="B594" s="4" t="s">
        <v>269</v>
      </c>
    </row>
    <row r="595" ht="15.75" customHeight="1">
      <c r="A595" s="4" t="s">
        <v>78</v>
      </c>
      <c r="B595" s="4" t="s">
        <v>269</v>
      </c>
    </row>
    <row r="596" ht="15.75" customHeight="1">
      <c r="A596" s="4" t="s">
        <v>211</v>
      </c>
      <c r="B596" s="4" t="s">
        <v>269</v>
      </c>
    </row>
    <row r="597" ht="15.75" customHeight="1">
      <c r="A597" s="4" t="s">
        <v>222</v>
      </c>
      <c r="B597" s="4" t="s">
        <v>269</v>
      </c>
    </row>
    <row r="598" ht="15.75" customHeight="1">
      <c r="A598" s="4" t="s">
        <v>212</v>
      </c>
      <c r="B598" s="4" t="s">
        <v>269</v>
      </c>
    </row>
    <row r="599" ht="15.75" customHeight="1">
      <c r="A599" s="4" t="s">
        <v>63</v>
      </c>
      <c r="B599" s="4" t="s">
        <v>270</v>
      </c>
    </row>
    <row r="600" ht="15.75" customHeight="1">
      <c r="A600" s="4" t="s">
        <v>161</v>
      </c>
      <c r="B600" s="4" t="s">
        <v>270</v>
      </c>
    </row>
    <row r="601" ht="15.75" customHeight="1">
      <c r="A601" s="4" t="s">
        <v>78</v>
      </c>
      <c r="B601" s="4" t="s">
        <v>270</v>
      </c>
    </row>
    <row r="602" ht="15.75" customHeight="1">
      <c r="A602" s="4" t="s">
        <v>240</v>
      </c>
      <c r="B602" s="4" t="s">
        <v>270</v>
      </c>
    </row>
    <row r="603" ht="15.75" customHeight="1">
      <c r="A603" s="4" t="s">
        <v>117</v>
      </c>
      <c r="B603" s="4" t="s">
        <v>270</v>
      </c>
    </row>
    <row r="604" ht="15.75" customHeight="1">
      <c r="A604" s="4" t="s">
        <v>74</v>
      </c>
      <c r="B604" s="4" t="s">
        <v>270</v>
      </c>
    </row>
    <row r="605" ht="15.75" customHeight="1">
      <c r="A605" s="4" t="s">
        <v>169</v>
      </c>
      <c r="B605" s="4" t="s">
        <v>271</v>
      </c>
    </row>
    <row r="606" ht="15.75" customHeight="1">
      <c r="A606" s="4" t="s">
        <v>85</v>
      </c>
      <c r="B606" s="4" t="s">
        <v>271</v>
      </c>
    </row>
    <row r="607" ht="15.75" customHeight="1">
      <c r="A607" s="4" t="s">
        <v>170</v>
      </c>
      <c r="B607" s="4" t="s">
        <v>271</v>
      </c>
    </row>
    <row r="608" ht="15.75" customHeight="1">
      <c r="A608" s="4" t="s">
        <v>211</v>
      </c>
      <c r="B608" s="4" t="s">
        <v>271</v>
      </c>
    </row>
    <row r="609" ht="15.75" customHeight="1">
      <c r="A609" s="4" t="s">
        <v>150</v>
      </c>
      <c r="B609" s="4" t="s">
        <v>271</v>
      </c>
    </row>
    <row r="610" ht="15.75" customHeight="1">
      <c r="A610" s="4" t="s">
        <v>212</v>
      </c>
      <c r="B610" s="4" t="s">
        <v>271</v>
      </c>
    </row>
    <row r="611" ht="15.75" customHeight="1">
      <c r="A611" s="4" t="s">
        <v>82</v>
      </c>
      <c r="B611" s="4" t="s">
        <v>272</v>
      </c>
    </row>
    <row r="612" ht="15.75" customHeight="1">
      <c r="A612" s="4" t="s">
        <v>68</v>
      </c>
      <c r="B612" s="4" t="s">
        <v>272</v>
      </c>
    </row>
    <row r="613" ht="15.75" customHeight="1">
      <c r="A613" s="4" t="s">
        <v>98</v>
      </c>
      <c r="B613" s="4" t="s">
        <v>272</v>
      </c>
    </row>
    <row r="614" ht="15.75" customHeight="1">
      <c r="A614" s="4" t="s">
        <v>86</v>
      </c>
      <c r="B614" s="4" t="s">
        <v>272</v>
      </c>
    </row>
    <row r="615" ht="15.75" customHeight="1">
      <c r="A615" s="4" t="s">
        <v>93</v>
      </c>
      <c r="B615" s="4" t="s">
        <v>272</v>
      </c>
    </row>
    <row r="616" ht="15.75" customHeight="1">
      <c r="A616" s="4" t="s">
        <v>67</v>
      </c>
      <c r="B616" s="4" t="s">
        <v>272</v>
      </c>
    </row>
    <row r="617" ht="15.75" customHeight="1">
      <c r="A617" s="4" t="s">
        <v>100</v>
      </c>
      <c r="B617" s="4" t="s">
        <v>273</v>
      </c>
    </row>
    <row r="618" ht="15.75" customHeight="1">
      <c r="A618" s="4" t="s">
        <v>132</v>
      </c>
      <c r="B618" s="4" t="s">
        <v>273</v>
      </c>
    </row>
    <row r="619" ht="15.75" customHeight="1">
      <c r="A619" s="4" t="s">
        <v>104</v>
      </c>
      <c r="B619" s="4" t="s">
        <v>273</v>
      </c>
    </row>
    <row r="620" ht="15.75" customHeight="1">
      <c r="A620" s="4" t="s">
        <v>86</v>
      </c>
      <c r="B620" s="4" t="s">
        <v>273</v>
      </c>
    </row>
    <row r="621" ht="15.75" customHeight="1">
      <c r="A621" s="4" t="s">
        <v>117</v>
      </c>
      <c r="B621" s="4" t="s">
        <v>273</v>
      </c>
    </row>
    <row r="622" ht="15.75" customHeight="1">
      <c r="A622" s="4" t="s">
        <v>88</v>
      </c>
      <c r="B622" s="4" t="s">
        <v>273</v>
      </c>
    </row>
    <row r="623" ht="15.75" customHeight="1">
      <c r="A623" s="4" t="s">
        <v>82</v>
      </c>
      <c r="B623" s="4" t="s">
        <v>274</v>
      </c>
    </row>
    <row r="624" ht="15.75" customHeight="1">
      <c r="A624" s="4" t="s">
        <v>84</v>
      </c>
      <c r="B624" s="4" t="s">
        <v>274</v>
      </c>
    </row>
    <row r="625" ht="15.75" customHeight="1">
      <c r="A625" s="4" t="s">
        <v>85</v>
      </c>
      <c r="B625" s="4" t="s">
        <v>274</v>
      </c>
    </row>
    <row r="626" ht="15.75" customHeight="1">
      <c r="A626" s="4" t="s">
        <v>207</v>
      </c>
      <c r="B626" s="4" t="s">
        <v>274</v>
      </c>
    </row>
    <row r="627" ht="15.75" customHeight="1">
      <c r="A627" s="4" t="s">
        <v>80</v>
      </c>
      <c r="B627" s="4" t="s">
        <v>274</v>
      </c>
    </row>
    <row r="628" ht="15.75" customHeight="1">
      <c r="A628" s="4" t="s">
        <v>185</v>
      </c>
      <c r="B628" s="4" t="s">
        <v>274</v>
      </c>
    </row>
    <row r="629" ht="15.75" customHeight="1">
      <c r="A629" s="4" t="s">
        <v>161</v>
      </c>
      <c r="B629" s="4" t="s">
        <v>275</v>
      </c>
    </row>
    <row r="630" ht="15.75" customHeight="1">
      <c r="A630" s="4" t="s">
        <v>153</v>
      </c>
      <c r="B630" s="4" t="s">
        <v>275</v>
      </c>
    </row>
    <row r="631" ht="15.75" customHeight="1">
      <c r="A631" s="4" t="s">
        <v>141</v>
      </c>
      <c r="B631" s="4" t="s">
        <v>275</v>
      </c>
    </row>
    <row r="632" ht="15.75" customHeight="1">
      <c r="A632" s="4" t="s">
        <v>195</v>
      </c>
      <c r="B632" s="4" t="s">
        <v>275</v>
      </c>
    </row>
    <row r="633" ht="15.75" customHeight="1">
      <c r="A633" s="4" t="s">
        <v>150</v>
      </c>
      <c r="B633" s="4" t="s">
        <v>275</v>
      </c>
    </row>
    <row r="634" ht="15.75" customHeight="1">
      <c r="A634" s="4" t="s">
        <v>139</v>
      </c>
      <c r="B634" s="4" t="s">
        <v>275</v>
      </c>
    </row>
    <row r="635" ht="15.75" customHeight="1">
      <c r="A635" s="4" t="s">
        <v>143</v>
      </c>
      <c r="B635" s="4" t="s">
        <v>276</v>
      </c>
    </row>
    <row r="636" ht="15.75" customHeight="1">
      <c r="A636" s="4" t="s">
        <v>159</v>
      </c>
      <c r="B636" s="4" t="s">
        <v>276</v>
      </c>
    </row>
    <row r="637" ht="15.75" customHeight="1">
      <c r="A637" s="4" t="s">
        <v>129</v>
      </c>
      <c r="B637" s="4" t="s">
        <v>276</v>
      </c>
    </row>
    <row r="638" ht="15.75" customHeight="1">
      <c r="A638" s="4" t="s">
        <v>86</v>
      </c>
      <c r="B638" s="4" t="s">
        <v>276</v>
      </c>
    </row>
    <row r="639" ht="15.75" customHeight="1">
      <c r="A639" s="4" t="s">
        <v>66</v>
      </c>
      <c r="B639" s="4" t="s">
        <v>276</v>
      </c>
    </row>
    <row r="640" ht="15.75" customHeight="1">
      <c r="A640" s="4" t="s">
        <v>88</v>
      </c>
      <c r="B640" s="4" t="s">
        <v>276</v>
      </c>
    </row>
    <row r="641" ht="15.75" customHeight="1">
      <c r="A641" s="4" t="s">
        <v>146</v>
      </c>
      <c r="B641" s="4" t="s">
        <v>277</v>
      </c>
    </row>
    <row r="642" ht="15.75" customHeight="1">
      <c r="A642" s="4" t="s">
        <v>75</v>
      </c>
      <c r="B642" s="4" t="s">
        <v>277</v>
      </c>
    </row>
    <row r="643" ht="15.75" customHeight="1">
      <c r="A643" s="4" t="s">
        <v>98</v>
      </c>
      <c r="B643" s="4" t="s">
        <v>277</v>
      </c>
    </row>
    <row r="644" ht="15.75" customHeight="1">
      <c r="A644" s="4" t="s">
        <v>184</v>
      </c>
      <c r="B644" s="4" t="s">
        <v>277</v>
      </c>
    </row>
    <row r="645" ht="15.75" customHeight="1">
      <c r="A645" s="4" t="s">
        <v>73</v>
      </c>
      <c r="B645" s="4" t="s">
        <v>277</v>
      </c>
    </row>
    <row r="646" ht="15.75" customHeight="1">
      <c r="A646" s="4" t="s">
        <v>199</v>
      </c>
      <c r="B646" s="4" t="s">
        <v>277</v>
      </c>
    </row>
    <row r="647" ht="15.75" customHeight="1">
      <c r="A647" s="4" t="s">
        <v>63</v>
      </c>
      <c r="B647" s="4" t="s">
        <v>278</v>
      </c>
    </row>
    <row r="648" ht="15.75" customHeight="1">
      <c r="A648" s="4" t="s">
        <v>161</v>
      </c>
      <c r="B648" s="4" t="s">
        <v>278</v>
      </c>
    </row>
    <row r="649" ht="15.75" customHeight="1">
      <c r="A649" s="4" t="s">
        <v>141</v>
      </c>
      <c r="B649" s="4" t="s">
        <v>278</v>
      </c>
    </row>
    <row r="650" ht="15.75" customHeight="1">
      <c r="A650" s="4" t="s">
        <v>65</v>
      </c>
      <c r="B650" s="4" t="s">
        <v>278</v>
      </c>
    </row>
    <row r="651" ht="15.75" customHeight="1">
      <c r="A651" s="4" t="s">
        <v>117</v>
      </c>
      <c r="B651" s="4" t="s">
        <v>278</v>
      </c>
    </row>
    <row r="652" ht="15.75" customHeight="1">
      <c r="A652" s="4" t="s">
        <v>67</v>
      </c>
      <c r="B652" s="4" t="s">
        <v>278</v>
      </c>
    </row>
    <row r="653" ht="15.75" customHeight="1">
      <c r="A653" s="4" t="s">
        <v>97</v>
      </c>
      <c r="B653" s="4" t="s">
        <v>279</v>
      </c>
    </row>
    <row r="654" ht="15.75" customHeight="1">
      <c r="A654" s="4" t="s">
        <v>153</v>
      </c>
      <c r="B654" s="4" t="s">
        <v>279</v>
      </c>
    </row>
    <row r="655" ht="15.75" customHeight="1">
      <c r="A655" s="4" t="s">
        <v>104</v>
      </c>
      <c r="B655" s="4" t="s">
        <v>279</v>
      </c>
    </row>
    <row r="656" ht="15.75" customHeight="1">
      <c r="A656" s="4" t="s">
        <v>166</v>
      </c>
      <c r="B656" s="4" t="s">
        <v>279</v>
      </c>
    </row>
    <row r="657" ht="15.75" customHeight="1">
      <c r="A657" s="4" t="s">
        <v>106</v>
      </c>
      <c r="B657" s="4" t="s">
        <v>279</v>
      </c>
    </row>
    <row r="658" ht="15.75" customHeight="1">
      <c r="A658" s="4" t="s">
        <v>139</v>
      </c>
      <c r="B658" s="4" t="s">
        <v>279</v>
      </c>
    </row>
    <row r="659" ht="15.75" customHeight="1">
      <c r="A659" s="4" t="s">
        <v>100</v>
      </c>
      <c r="B659" s="4" t="s">
        <v>280</v>
      </c>
    </row>
    <row r="660" ht="15.75" customHeight="1">
      <c r="A660" s="4" t="s">
        <v>137</v>
      </c>
      <c r="B660" s="4" t="s">
        <v>280</v>
      </c>
    </row>
    <row r="661" ht="15.75" customHeight="1">
      <c r="A661" s="4" t="s">
        <v>78</v>
      </c>
      <c r="B661" s="4" t="s">
        <v>280</v>
      </c>
    </row>
    <row r="662" ht="15.75" customHeight="1">
      <c r="A662" s="4" t="s">
        <v>135</v>
      </c>
      <c r="B662" s="4" t="s">
        <v>280</v>
      </c>
    </row>
    <row r="663" ht="15.75" customHeight="1">
      <c r="A663" s="4" t="s">
        <v>106</v>
      </c>
      <c r="B663" s="4" t="s">
        <v>280</v>
      </c>
    </row>
    <row r="664" ht="15.75" customHeight="1">
      <c r="A664" s="4" t="s">
        <v>220</v>
      </c>
      <c r="B664" s="4" t="s">
        <v>280</v>
      </c>
    </row>
    <row r="665" ht="15.75" customHeight="1">
      <c r="A665" s="4" t="s">
        <v>68</v>
      </c>
      <c r="B665" s="4" t="s">
        <v>281</v>
      </c>
    </row>
    <row r="666" ht="15.75" customHeight="1">
      <c r="A666" s="4" t="s">
        <v>75</v>
      </c>
      <c r="B666" s="4" t="s">
        <v>281</v>
      </c>
    </row>
    <row r="667" ht="15.75" customHeight="1">
      <c r="A667" s="4" t="s">
        <v>98</v>
      </c>
      <c r="B667" s="4" t="s">
        <v>281</v>
      </c>
    </row>
    <row r="668" ht="15.75" customHeight="1">
      <c r="A668" s="4" t="s">
        <v>105</v>
      </c>
      <c r="B668" s="4" t="s">
        <v>281</v>
      </c>
    </row>
    <row r="669" ht="15.75" customHeight="1">
      <c r="A669" s="4" t="s">
        <v>164</v>
      </c>
      <c r="B669" s="4" t="s">
        <v>281</v>
      </c>
    </row>
    <row r="670" ht="15.75" customHeight="1">
      <c r="A670" s="4" t="s">
        <v>107</v>
      </c>
      <c r="B670" s="4" t="s">
        <v>281</v>
      </c>
    </row>
    <row r="671" ht="15.75" customHeight="1">
      <c r="A671" s="4" t="s">
        <v>137</v>
      </c>
      <c r="B671" s="4" t="s">
        <v>282</v>
      </c>
    </row>
    <row r="672" ht="15.75" customHeight="1">
      <c r="A672" s="4" t="s">
        <v>97</v>
      </c>
      <c r="B672" s="4" t="s">
        <v>282</v>
      </c>
    </row>
    <row r="673" ht="15.75" customHeight="1">
      <c r="A673" s="4" t="s">
        <v>104</v>
      </c>
      <c r="B673" s="4" t="s">
        <v>282</v>
      </c>
    </row>
    <row r="674" ht="15.75" customHeight="1">
      <c r="A674" s="4" t="s">
        <v>157</v>
      </c>
      <c r="B674" s="4" t="s">
        <v>282</v>
      </c>
    </row>
    <row r="675" ht="15.75" customHeight="1">
      <c r="A675" s="4" t="s">
        <v>162</v>
      </c>
      <c r="B675" s="4" t="s">
        <v>282</v>
      </c>
    </row>
    <row r="676" ht="15.75" customHeight="1">
      <c r="A676" s="4" t="s">
        <v>127</v>
      </c>
      <c r="B676" s="4" t="s">
        <v>282</v>
      </c>
    </row>
    <row r="677" ht="15.75" customHeight="1">
      <c r="A677" s="4" t="s">
        <v>161</v>
      </c>
      <c r="B677" s="4" t="s">
        <v>283</v>
      </c>
    </row>
    <row r="678" ht="15.75" customHeight="1">
      <c r="A678" s="4" t="s">
        <v>194</v>
      </c>
      <c r="B678" s="4" t="s">
        <v>283</v>
      </c>
    </row>
    <row r="679" ht="15.75" customHeight="1">
      <c r="A679" s="4" t="s">
        <v>141</v>
      </c>
      <c r="B679" s="4" t="s">
        <v>283</v>
      </c>
    </row>
    <row r="680" ht="15.75" customHeight="1">
      <c r="A680" s="4" t="s">
        <v>99</v>
      </c>
      <c r="B680" s="4" t="s">
        <v>283</v>
      </c>
    </row>
    <row r="681" ht="15.75" customHeight="1">
      <c r="A681" s="4" t="s">
        <v>66</v>
      </c>
      <c r="B681" s="4" t="s">
        <v>283</v>
      </c>
    </row>
    <row r="682" ht="15.75" customHeight="1">
      <c r="A682" s="4" t="s">
        <v>74</v>
      </c>
      <c r="B682" s="4" t="s">
        <v>283</v>
      </c>
    </row>
    <row r="683" ht="15.75" customHeight="1">
      <c r="A683" s="4" t="s">
        <v>143</v>
      </c>
      <c r="B683" s="4" t="s">
        <v>284</v>
      </c>
    </row>
    <row r="684" ht="15.75" customHeight="1">
      <c r="A684" s="4" t="s">
        <v>192</v>
      </c>
      <c r="B684" s="4" t="s">
        <v>284</v>
      </c>
    </row>
    <row r="685" ht="15.75" customHeight="1">
      <c r="A685" s="4" t="s">
        <v>194</v>
      </c>
      <c r="B685" s="4" t="s">
        <v>284</v>
      </c>
    </row>
    <row r="686" ht="15.75" customHeight="1">
      <c r="A686" s="4" t="s">
        <v>184</v>
      </c>
      <c r="B686" s="4" t="s">
        <v>284</v>
      </c>
    </row>
    <row r="687" ht="15.75" customHeight="1">
      <c r="A687" s="4" t="s">
        <v>73</v>
      </c>
      <c r="B687" s="4" t="s">
        <v>284</v>
      </c>
    </row>
    <row r="688" ht="15.75" customHeight="1">
      <c r="A688" s="4" t="s">
        <v>118</v>
      </c>
      <c r="B688" s="4" t="s">
        <v>284</v>
      </c>
    </row>
    <row r="689" ht="15.75" customHeight="1">
      <c r="A689" s="4" t="s">
        <v>75</v>
      </c>
      <c r="B689" s="4" t="s">
        <v>285</v>
      </c>
    </row>
    <row r="690" ht="15.75" customHeight="1">
      <c r="A690" s="4" t="s">
        <v>85</v>
      </c>
      <c r="B690" s="4" t="s">
        <v>285</v>
      </c>
    </row>
    <row r="691" ht="15.75" customHeight="1">
      <c r="A691" s="4" t="s">
        <v>98</v>
      </c>
      <c r="B691" s="4" t="s">
        <v>285</v>
      </c>
    </row>
    <row r="692" ht="15.75" customHeight="1">
      <c r="A692" s="4" t="s">
        <v>184</v>
      </c>
      <c r="B692" s="4" t="s">
        <v>285</v>
      </c>
    </row>
    <row r="693" ht="15.75" customHeight="1">
      <c r="A693" s="4" t="s">
        <v>80</v>
      </c>
      <c r="B693" s="4" t="s">
        <v>285</v>
      </c>
    </row>
    <row r="694" ht="15.75" customHeight="1">
      <c r="A694" s="4" t="s">
        <v>67</v>
      </c>
      <c r="B694" s="4" t="s">
        <v>285</v>
      </c>
    </row>
    <row r="695" ht="15.75" customHeight="1">
      <c r="A695" s="4" t="s">
        <v>63</v>
      </c>
      <c r="B695" s="4" t="s">
        <v>286</v>
      </c>
    </row>
    <row r="696" ht="15.75" customHeight="1">
      <c r="A696" s="4" t="s">
        <v>100</v>
      </c>
      <c r="B696" s="4" t="s">
        <v>286</v>
      </c>
    </row>
    <row r="697" ht="15.75" customHeight="1">
      <c r="A697" s="4" t="s">
        <v>141</v>
      </c>
      <c r="B697" s="4" t="s">
        <v>286</v>
      </c>
    </row>
    <row r="698" ht="15.75" customHeight="1">
      <c r="A698" s="4" t="s">
        <v>166</v>
      </c>
      <c r="B698" s="4" t="s">
        <v>286</v>
      </c>
    </row>
    <row r="699" ht="15.75" customHeight="1">
      <c r="A699" s="4" t="s">
        <v>196</v>
      </c>
      <c r="B699" s="4" t="s">
        <v>286</v>
      </c>
    </row>
    <row r="700" ht="15.75" customHeight="1">
      <c r="A700" s="4" t="s">
        <v>212</v>
      </c>
      <c r="B700" s="4" t="s">
        <v>286</v>
      </c>
    </row>
    <row r="701" ht="15.75" customHeight="1">
      <c r="A701" s="4" t="s">
        <v>169</v>
      </c>
      <c r="B701" s="4" t="s">
        <v>287</v>
      </c>
    </row>
    <row r="702" ht="15.75" customHeight="1">
      <c r="A702" s="4" t="s">
        <v>183</v>
      </c>
      <c r="B702" s="4" t="s">
        <v>287</v>
      </c>
    </row>
    <row r="703" ht="15.75" customHeight="1">
      <c r="A703" s="4" t="s">
        <v>109</v>
      </c>
      <c r="B703" s="4" t="s">
        <v>287</v>
      </c>
    </row>
    <row r="704" ht="15.75" customHeight="1">
      <c r="A704" s="4" t="s">
        <v>123</v>
      </c>
      <c r="B704" s="4" t="s">
        <v>287</v>
      </c>
    </row>
    <row r="705" ht="15.75" customHeight="1">
      <c r="A705" s="4" t="s">
        <v>164</v>
      </c>
      <c r="B705" s="4" t="s">
        <v>287</v>
      </c>
    </row>
    <row r="706" ht="15.75" customHeight="1">
      <c r="A706" s="4" t="s">
        <v>111</v>
      </c>
      <c r="B706" s="4" t="s">
        <v>287</v>
      </c>
    </row>
    <row r="707" ht="15.75" customHeight="1">
      <c r="A707" s="4" t="s">
        <v>148</v>
      </c>
      <c r="B707" s="4" t="s">
        <v>288</v>
      </c>
    </row>
    <row r="708" ht="15.75" customHeight="1">
      <c r="A708" s="4" t="s">
        <v>156</v>
      </c>
      <c r="B708" s="4" t="s">
        <v>288</v>
      </c>
    </row>
    <row r="709" ht="15.75" customHeight="1">
      <c r="A709" s="4" t="s">
        <v>120</v>
      </c>
      <c r="B709" s="4" t="s">
        <v>288</v>
      </c>
    </row>
    <row r="710" ht="15.75" customHeight="1">
      <c r="A710" s="4" t="s">
        <v>211</v>
      </c>
      <c r="B710" s="4" t="s">
        <v>288</v>
      </c>
    </row>
    <row r="711" ht="15.75" customHeight="1">
      <c r="A711" s="4" t="s">
        <v>164</v>
      </c>
      <c r="B711" s="4" t="s">
        <v>288</v>
      </c>
    </row>
    <row r="712" ht="15.75" customHeight="1">
      <c r="A712" s="4" t="s">
        <v>220</v>
      </c>
      <c r="B712" s="4" t="s">
        <v>288</v>
      </c>
    </row>
    <row r="713" ht="15.75" customHeight="1">
      <c r="A713" s="4" t="s">
        <v>148</v>
      </c>
      <c r="B713" s="4" t="s">
        <v>289</v>
      </c>
    </row>
    <row r="714" ht="15.75" customHeight="1">
      <c r="A714" s="4" t="s">
        <v>122</v>
      </c>
      <c r="B714" s="4" t="s">
        <v>289</v>
      </c>
    </row>
    <row r="715" ht="15.75" customHeight="1">
      <c r="A715" s="4" t="s">
        <v>120</v>
      </c>
      <c r="B715" s="4" t="s">
        <v>289</v>
      </c>
    </row>
    <row r="716" ht="15.75" customHeight="1">
      <c r="A716" s="4" t="s">
        <v>135</v>
      </c>
      <c r="B716" s="4" t="s">
        <v>289</v>
      </c>
    </row>
    <row r="717" ht="15.75" customHeight="1">
      <c r="A717" s="4" t="s">
        <v>164</v>
      </c>
      <c r="B717" s="4" t="s">
        <v>289</v>
      </c>
    </row>
    <row r="718" ht="15.75" customHeight="1">
      <c r="A718" s="4" t="s">
        <v>136</v>
      </c>
      <c r="B718" s="4" t="s">
        <v>289</v>
      </c>
    </row>
    <row r="719" ht="15.75" customHeight="1">
      <c r="A719" s="4" t="s">
        <v>146</v>
      </c>
      <c r="B719" s="4" t="s">
        <v>290</v>
      </c>
    </row>
    <row r="720" ht="15.75" customHeight="1">
      <c r="A720" s="4" t="s">
        <v>82</v>
      </c>
      <c r="B720" s="4" t="s">
        <v>290</v>
      </c>
    </row>
    <row r="721" ht="15.75" customHeight="1">
      <c r="A721" s="4" t="s">
        <v>84</v>
      </c>
      <c r="B721" s="4" t="s">
        <v>290</v>
      </c>
    </row>
    <row r="722" ht="15.75" customHeight="1">
      <c r="A722" s="4" t="s">
        <v>116</v>
      </c>
      <c r="B722" s="4" t="s">
        <v>290</v>
      </c>
    </row>
    <row r="723" ht="15.75" customHeight="1">
      <c r="A723" s="4" t="s">
        <v>113</v>
      </c>
      <c r="B723" s="4" t="s">
        <v>290</v>
      </c>
    </row>
    <row r="724" ht="15.75" customHeight="1">
      <c r="A724" s="4" t="s">
        <v>199</v>
      </c>
      <c r="B724" s="4" t="s">
        <v>290</v>
      </c>
    </row>
    <row r="725" ht="15.75" customHeight="1">
      <c r="A725" s="4" t="s">
        <v>226</v>
      </c>
      <c r="B725" s="4" t="s">
        <v>291</v>
      </c>
    </row>
    <row r="726" ht="15.75" customHeight="1">
      <c r="A726" s="4" t="s">
        <v>198</v>
      </c>
      <c r="B726" s="4" t="s">
        <v>291</v>
      </c>
    </row>
    <row r="727" ht="15.75" customHeight="1">
      <c r="A727" s="4" t="s">
        <v>156</v>
      </c>
      <c r="B727" s="4" t="s">
        <v>291</v>
      </c>
    </row>
    <row r="728" ht="15.75" customHeight="1">
      <c r="A728" s="4" t="s">
        <v>189</v>
      </c>
      <c r="B728" s="4" t="s">
        <v>291</v>
      </c>
    </row>
    <row r="729" ht="15.75" customHeight="1">
      <c r="A729" s="4" t="s">
        <v>117</v>
      </c>
      <c r="B729" s="4" t="s">
        <v>291</v>
      </c>
    </row>
    <row r="730" ht="15.75" customHeight="1">
      <c r="A730" s="4" t="s">
        <v>67</v>
      </c>
      <c r="B730" s="4" t="s">
        <v>291</v>
      </c>
    </row>
    <row r="731" ht="15.75" customHeight="1">
      <c r="A731" s="4" t="s">
        <v>137</v>
      </c>
      <c r="B731" s="4" t="s">
        <v>292</v>
      </c>
    </row>
    <row r="732" ht="15.75" customHeight="1">
      <c r="A732" s="4" t="s">
        <v>134</v>
      </c>
      <c r="B732" s="4" t="s">
        <v>292</v>
      </c>
    </row>
    <row r="733" ht="15.75" customHeight="1">
      <c r="A733" s="4" t="s">
        <v>178</v>
      </c>
      <c r="B733" s="4" t="s">
        <v>292</v>
      </c>
    </row>
    <row r="734" ht="15.75" customHeight="1">
      <c r="A734" s="4" t="s">
        <v>211</v>
      </c>
      <c r="B734" s="4" t="s">
        <v>292</v>
      </c>
    </row>
    <row r="735" ht="15.75" customHeight="1">
      <c r="A735" s="4" t="s">
        <v>106</v>
      </c>
      <c r="B735" s="4" t="s">
        <v>292</v>
      </c>
    </row>
    <row r="736" ht="15.75" customHeight="1">
      <c r="A736" s="4" t="s">
        <v>139</v>
      </c>
      <c r="B736" s="4" t="s">
        <v>292</v>
      </c>
    </row>
    <row r="737" ht="15.75" customHeight="1">
      <c r="A737" s="4" t="s">
        <v>190</v>
      </c>
      <c r="B737" s="4" t="s">
        <v>293</v>
      </c>
    </row>
    <row r="738" ht="15.75" customHeight="1">
      <c r="A738" s="4" t="s">
        <v>146</v>
      </c>
      <c r="B738" s="4" t="s">
        <v>293</v>
      </c>
    </row>
    <row r="739" ht="15.75" customHeight="1">
      <c r="A739" s="4" t="s">
        <v>120</v>
      </c>
      <c r="B739" s="4" t="s">
        <v>293</v>
      </c>
    </row>
    <row r="740" ht="15.75" customHeight="1">
      <c r="A740" s="4" t="s">
        <v>189</v>
      </c>
      <c r="B740" s="4" t="s">
        <v>293</v>
      </c>
    </row>
    <row r="741" ht="15.75" customHeight="1">
      <c r="A741" s="4" t="s">
        <v>66</v>
      </c>
      <c r="B741" s="4" t="s">
        <v>293</v>
      </c>
    </row>
    <row r="742" ht="15.75" customHeight="1">
      <c r="A742" s="4" t="s">
        <v>199</v>
      </c>
      <c r="B742" s="4" t="s">
        <v>293</v>
      </c>
    </row>
    <row r="743" ht="15.75" customHeight="1">
      <c r="A743" s="4" t="s">
        <v>146</v>
      </c>
      <c r="B743" s="4" t="s">
        <v>294</v>
      </c>
    </row>
    <row r="744" ht="15.75" customHeight="1">
      <c r="A744" s="4" t="s">
        <v>82</v>
      </c>
      <c r="B744" s="4" t="s">
        <v>294</v>
      </c>
    </row>
    <row r="745" ht="15.75" customHeight="1">
      <c r="A745" s="4" t="s">
        <v>98</v>
      </c>
      <c r="B745" s="4" t="s">
        <v>294</v>
      </c>
    </row>
    <row r="746" ht="15.75" customHeight="1">
      <c r="A746" s="4" t="s">
        <v>176</v>
      </c>
      <c r="B746" s="4" t="s">
        <v>294</v>
      </c>
    </row>
    <row r="747" ht="15.75" customHeight="1">
      <c r="A747" s="4" t="s">
        <v>150</v>
      </c>
      <c r="B747" s="4" t="s">
        <v>294</v>
      </c>
    </row>
    <row r="748" ht="15.75" customHeight="1">
      <c r="A748" s="4" t="s">
        <v>145</v>
      </c>
      <c r="B748" s="4" t="s">
        <v>294</v>
      </c>
    </row>
    <row r="749" ht="15.75" customHeight="1">
      <c r="A749" s="4" t="s">
        <v>132</v>
      </c>
      <c r="B749" s="4" t="s">
        <v>295</v>
      </c>
    </row>
    <row r="750" ht="15.75" customHeight="1">
      <c r="A750" s="4" t="s">
        <v>97</v>
      </c>
      <c r="B750" s="4" t="s">
        <v>295</v>
      </c>
    </row>
    <row r="751" ht="15.75" customHeight="1">
      <c r="A751" s="4" t="s">
        <v>64</v>
      </c>
      <c r="B751" s="4" t="s">
        <v>295</v>
      </c>
    </row>
    <row r="752" ht="15.75" customHeight="1">
      <c r="A752" s="4" t="s">
        <v>211</v>
      </c>
      <c r="B752" s="4" t="s">
        <v>295</v>
      </c>
    </row>
    <row r="753" ht="15.75" customHeight="1">
      <c r="A753" s="4" t="s">
        <v>181</v>
      </c>
      <c r="B753" s="4" t="s">
        <v>295</v>
      </c>
    </row>
    <row r="754" ht="15.75" customHeight="1">
      <c r="A754" s="4" t="s">
        <v>212</v>
      </c>
      <c r="B754" s="4" t="s">
        <v>295</v>
      </c>
    </row>
    <row r="755" ht="15.75" customHeight="1">
      <c r="A755" s="4" t="s">
        <v>204</v>
      </c>
      <c r="B755" s="4" t="s">
        <v>296</v>
      </c>
    </row>
    <row r="756" ht="15.75" customHeight="1">
      <c r="A756" s="4" t="s">
        <v>159</v>
      </c>
      <c r="B756" s="4" t="s">
        <v>296</v>
      </c>
    </row>
    <row r="757" ht="15.75" customHeight="1">
      <c r="A757" s="4" t="s">
        <v>215</v>
      </c>
      <c r="B757" s="4" t="s">
        <v>296</v>
      </c>
    </row>
    <row r="758" ht="15.75" customHeight="1">
      <c r="A758" s="4" t="s">
        <v>184</v>
      </c>
      <c r="B758" s="4" t="s">
        <v>296</v>
      </c>
    </row>
    <row r="759" ht="15.75" customHeight="1">
      <c r="A759" s="4" t="s">
        <v>87</v>
      </c>
      <c r="B759" s="4" t="s">
        <v>296</v>
      </c>
    </row>
    <row r="760" ht="15.75" customHeight="1">
      <c r="A760" s="4" t="s">
        <v>88</v>
      </c>
      <c r="B760" s="4" t="s">
        <v>296</v>
      </c>
    </row>
    <row r="761" ht="15.75" customHeight="1">
      <c r="A761" s="4" t="s">
        <v>70</v>
      </c>
      <c r="B761" s="4" t="s">
        <v>297</v>
      </c>
    </row>
    <row r="762" ht="15.75" customHeight="1">
      <c r="A762" s="4" t="s">
        <v>194</v>
      </c>
      <c r="B762" s="4" t="s">
        <v>297</v>
      </c>
    </row>
    <row r="763" ht="15.75" customHeight="1">
      <c r="A763" s="4" t="s">
        <v>178</v>
      </c>
      <c r="B763" s="4" t="s">
        <v>297</v>
      </c>
    </row>
    <row r="764" ht="15.75" customHeight="1">
      <c r="A764" s="4" t="s">
        <v>149</v>
      </c>
      <c r="B764" s="4" t="s">
        <v>297</v>
      </c>
    </row>
    <row r="765" ht="15.75" customHeight="1">
      <c r="A765" s="4" t="s">
        <v>150</v>
      </c>
      <c r="B765" s="4" t="s">
        <v>297</v>
      </c>
    </row>
    <row r="766" ht="15.75" customHeight="1">
      <c r="A766" s="4" t="s">
        <v>127</v>
      </c>
      <c r="B766" s="4" t="s">
        <v>297</v>
      </c>
    </row>
    <row r="767" ht="15.75" customHeight="1">
      <c r="A767" s="4" t="s">
        <v>95</v>
      </c>
      <c r="B767" s="4" t="s">
        <v>298</v>
      </c>
    </row>
    <row r="768" ht="15.75" customHeight="1">
      <c r="A768" s="4" t="s">
        <v>161</v>
      </c>
      <c r="B768" s="4" t="s">
        <v>298</v>
      </c>
    </row>
    <row r="769" ht="15.75" customHeight="1">
      <c r="A769" s="4" t="s">
        <v>178</v>
      </c>
      <c r="B769" s="4" t="s">
        <v>298</v>
      </c>
    </row>
    <row r="770" ht="15.75" customHeight="1">
      <c r="A770" s="4" t="s">
        <v>105</v>
      </c>
      <c r="B770" s="4" t="s">
        <v>298</v>
      </c>
    </row>
    <row r="771" ht="15.75" customHeight="1">
      <c r="A771" s="4" t="s">
        <v>164</v>
      </c>
      <c r="B771" s="4" t="s">
        <v>298</v>
      </c>
    </row>
    <row r="772" ht="15.75" customHeight="1">
      <c r="A772" s="4" t="s">
        <v>158</v>
      </c>
      <c r="B772" s="4" t="s">
        <v>298</v>
      </c>
    </row>
    <row r="773" ht="15.75" customHeight="1">
      <c r="A773" s="4" t="s">
        <v>97</v>
      </c>
      <c r="B773" s="4" t="s">
        <v>299</v>
      </c>
    </row>
    <row r="774" ht="15.75" customHeight="1">
      <c r="A774" s="4" t="s">
        <v>84</v>
      </c>
      <c r="B774" s="4" t="s">
        <v>299</v>
      </c>
    </row>
    <row r="775" ht="15.75" customHeight="1">
      <c r="A775" s="4" t="s">
        <v>85</v>
      </c>
      <c r="B775" s="4" t="s">
        <v>299</v>
      </c>
    </row>
    <row r="776" ht="15.75" customHeight="1">
      <c r="A776" s="4" t="s">
        <v>116</v>
      </c>
      <c r="B776" s="4" t="s">
        <v>299</v>
      </c>
    </row>
    <row r="777" ht="15.75" customHeight="1">
      <c r="A777" s="4" t="s">
        <v>80</v>
      </c>
      <c r="B777" s="4" t="s">
        <v>299</v>
      </c>
    </row>
    <row r="778" ht="15.75" customHeight="1">
      <c r="A778" s="4" t="s">
        <v>88</v>
      </c>
      <c r="B778" s="4" t="s">
        <v>299</v>
      </c>
    </row>
    <row r="779" ht="15.75" customHeight="1">
      <c r="A779" s="4" t="s">
        <v>89</v>
      </c>
      <c r="B779" s="4" t="s">
        <v>300</v>
      </c>
    </row>
    <row r="780" ht="15.75" customHeight="1">
      <c r="A780" s="4" t="s">
        <v>153</v>
      </c>
      <c r="B780" s="4" t="s">
        <v>300</v>
      </c>
    </row>
    <row r="781" ht="15.75" customHeight="1">
      <c r="A781" s="4" t="s">
        <v>178</v>
      </c>
      <c r="B781" s="4" t="s">
        <v>300</v>
      </c>
    </row>
    <row r="782" ht="15.75" customHeight="1">
      <c r="A782" s="4" t="s">
        <v>189</v>
      </c>
      <c r="B782" s="4" t="s">
        <v>300</v>
      </c>
    </row>
    <row r="783" ht="15.75" customHeight="1">
      <c r="A783" s="4" t="s">
        <v>113</v>
      </c>
      <c r="B783" s="4" t="s">
        <v>300</v>
      </c>
    </row>
    <row r="784" ht="15.75" customHeight="1">
      <c r="A784" s="4" t="s">
        <v>199</v>
      </c>
      <c r="B784" s="4" t="s">
        <v>300</v>
      </c>
    </row>
    <row r="785" ht="15.75" customHeight="1">
      <c r="A785" s="4" t="s">
        <v>137</v>
      </c>
      <c r="B785" s="4" t="s">
        <v>301</v>
      </c>
    </row>
    <row r="786" ht="15.75" customHeight="1">
      <c r="A786" s="4" t="s">
        <v>161</v>
      </c>
      <c r="B786" s="4" t="s">
        <v>301</v>
      </c>
    </row>
    <row r="787" ht="15.75" customHeight="1">
      <c r="A787" s="4" t="s">
        <v>84</v>
      </c>
      <c r="B787" s="4" t="s">
        <v>301</v>
      </c>
    </row>
    <row r="788" ht="15.75" customHeight="1">
      <c r="A788" s="4" t="s">
        <v>189</v>
      </c>
      <c r="B788" s="4" t="s">
        <v>301</v>
      </c>
    </row>
    <row r="789" ht="15.75" customHeight="1">
      <c r="A789" s="4" t="s">
        <v>87</v>
      </c>
      <c r="B789" s="4" t="s">
        <v>301</v>
      </c>
    </row>
    <row r="790" ht="15.75" customHeight="1">
      <c r="A790" s="4" t="s">
        <v>118</v>
      </c>
      <c r="B790" s="4" t="s">
        <v>301</v>
      </c>
    </row>
    <row r="791" ht="15.75" customHeight="1">
      <c r="A791" s="4" t="s">
        <v>132</v>
      </c>
      <c r="B791" s="4" t="s">
        <v>302</v>
      </c>
    </row>
    <row r="792" ht="15.75" customHeight="1">
      <c r="A792" s="4" t="s">
        <v>161</v>
      </c>
      <c r="B792" s="4" t="s">
        <v>302</v>
      </c>
    </row>
    <row r="793" ht="15.75" customHeight="1">
      <c r="A793" s="4" t="s">
        <v>71</v>
      </c>
      <c r="B793" s="4" t="s">
        <v>302</v>
      </c>
    </row>
    <row r="794" ht="15.75" customHeight="1">
      <c r="A794" s="4" t="s">
        <v>195</v>
      </c>
      <c r="B794" s="4" t="s">
        <v>302</v>
      </c>
    </row>
    <row r="795" ht="15.75" customHeight="1">
      <c r="A795" s="4" t="s">
        <v>126</v>
      </c>
      <c r="B795" s="4" t="s">
        <v>302</v>
      </c>
    </row>
    <row r="796" ht="15.75" customHeight="1">
      <c r="A796" s="4" t="s">
        <v>139</v>
      </c>
      <c r="B796" s="4" t="s">
        <v>302</v>
      </c>
    </row>
    <row r="797" ht="15.75" customHeight="1">
      <c r="A797" s="4" t="s">
        <v>100</v>
      </c>
      <c r="B797" s="4" t="s">
        <v>303</v>
      </c>
    </row>
    <row r="798" ht="15.75" customHeight="1">
      <c r="A798" s="4" t="s">
        <v>95</v>
      </c>
      <c r="B798" s="4" t="s">
        <v>303</v>
      </c>
    </row>
    <row r="799" ht="15.75" customHeight="1">
      <c r="A799" s="4" t="s">
        <v>141</v>
      </c>
      <c r="B799" s="4" t="s">
        <v>303</v>
      </c>
    </row>
    <row r="800" ht="15.75" customHeight="1">
      <c r="A800" s="4" t="s">
        <v>105</v>
      </c>
      <c r="B800" s="4" t="s">
        <v>303</v>
      </c>
    </row>
    <row r="801" ht="15.75" customHeight="1">
      <c r="A801" s="4" t="s">
        <v>106</v>
      </c>
      <c r="B801" s="4" t="s">
        <v>303</v>
      </c>
    </row>
    <row r="802" ht="15.75" customHeight="1">
      <c r="A802" s="4" t="s">
        <v>127</v>
      </c>
      <c r="B802" s="4" t="s">
        <v>303</v>
      </c>
    </row>
    <row r="803" ht="15.75" customHeight="1">
      <c r="A803" s="4" t="s">
        <v>190</v>
      </c>
      <c r="B803" s="4" t="s">
        <v>304</v>
      </c>
    </row>
    <row r="804" ht="15.75" customHeight="1">
      <c r="A804" s="4" t="s">
        <v>68</v>
      </c>
      <c r="B804" s="4" t="s">
        <v>304</v>
      </c>
    </row>
    <row r="805" ht="15.75" customHeight="1">
      <c r="A805" s="4" t="s">
        <v>129</v>
      </c>
      <c r="B805" s="4" t="s">
        <v>304</v>
      </c>
    </row>
    <row r="806" ht="15.75" customHeight="1">
      <c r="A806" s="4" t="s">
        <v>240</v>
      </c>
      <c r="B806" s="4" t="s">
        <v>304</v>
      </c>
    </row>
    <row r="807" ht="15.75" customHeight="1">
      <c r="A807" s="4" t="s">
        <v>208</v>
      </c>
      <c r="B807" s="4" t="s">
        <v>304</v>
      </c>
    </row>
    <row r="808" ht="15.75" customHeight="1">
      <c r="A808" s="4" t="s">
        <v>74</v>
      </c>
      <c r="B808" s="4" t="s">
        <v>304</v>
      </c>
    </row>
    <row r="809" ht="15.75" customHeight="1">
      <c r="A809" s="4" t="s">
        <v>100</v>
      </c>
      <c r="B809" s="4" t="s">
        <v>305</v>
      </c>
    </row>
    <row r="810" ht="15.75" customHeight="1">
      <c r="A810" s="4" t="s">
        <v>137</v>
      </c>
      <c r="B810" s="4" t="s">
        <v>305</v>
      </c>
    </row>
    <row r="811" ht="15.75" customHeight="1">
      <c r="A811" s="4" t="s">
        <v>141</v>
      </c>
      <c r="B811" s="4" t="s">
        <v>305</v>
      </c>
    </row>
    <row r="812" ht="15.75" customHeight="1">
      <c r="A812" s="4" t="s">
        <v>116</v>
      </c>
      <c r="B812" s="4" t="s">
        <v>305</v>
      </c>
    </row>
    <row r="813" ht="15.75" customHeight="1">
      <c r="A813" s="4" t="s">
        <v>117</v>
      </c>
      <c r="B813" s="4" t="s">
        <v>305</v>
      </c>
    </row>
    <row r="814" ht="15.75" customHeight="1">
      <c r="A814" s="4" t="s">
        <v>185</v>
      </c>
      <c r="B814" s="4" t="s">
        <v>305</v>
      </c>
    </row>
    <row r="815" ht="15.75" customHeight="1">
      <c r="A815" s="4" t="s">
        <v>100</v>
      </c>
      <c r="B815" s="4" t="s">
        <v>306</v>
      </c>
    </row>
    <row r="816" ht="15.75" customHeight="1">
      <c r="A816" s="4" t="s">
        <v>132</v>
      </c>
      <c r="B816" s="4" t="s">
        <v>306</v>
      </c>
    </row>
    <row r="817" ht="15.75" customHeight="1">
      <c r="A817" s="4" t="s">
        <v>198</v>
      </c>
      <c r="B817" s="4" t="s">
        <v>306</v>
      </c>
    </row>
    <row r="818" ht="15.75" customHeight="1">
      <c r="A818" s="4" t="s">
        <v>123</v>
      </c>
      <c r="B818" s="4" t="s">
        <v>306</v>
      </c>
    </row>
    <row r="819" ht="15.75" customHeight="1">
      <c r="A819" s="4" t="s">
        <v>181</v>
      </c>
      <c r="B819" s="4" t="s">
        <v>306</v>
      </c>
    </row>
    <row r="820" ht="15.75" customHeight="1">
      <c r="A820" s="4" t="s">
        <v>127</v>
      </c>
      <c r="B820" s="4" t="s">
        <v>306</v>
      </c>
    </row>
    <row r="821" ht="15.75" customHeight="1">
      <c r="A821" s="4" t="s">
        <v>100</v>
      </c>
      <c r="B821" s="4" t="s">
        <v>307</v>
      </c>
    </row>
    <row r="822" ht="15.75" customHeight="1">
      <c r="A822" s="4" t="s">
        <v>92</v>
      </c>
      <c r="B822" s="4" t="s">
        <v>307</v>
      </c>
    </row>
    <row r="823" ht="15.75" customHeight="1">
      <c r="A823" s="4" t="s">
        <v>104</v>
      </c>
      <c r="B823" s="4" t="s">
        <v>307</v>
      </c>
    </row>
    <row r="824" ht="15.75" customHeight="1">
      <c r="A824" s="4" t="s">
        <v>72</v>
      </c>
      <c r="B824" s="4" t="s">
        <v>307</v>
      </c>
    </row>
    <row r="825" ht="15.75" customHeight="1">
      <c r="A825" s="4" t="s">
        <v>208</v>
      </c>
      <c r="B825" s="4" t="s">
        <v>307</v>
      </c>
    </row>
    <row r="826" ht="15.75" customHeight="1">
      <c r="A826" s="4" t="s">
        <v>74</v>
      </c>
      <c r="B826" s="4" t="s">
        <v>307</v>
      </c>
    </row>
    <row r="827" ht="15.75" customHeight="1">
      <c r="A827" s="4" t="s">
        <v>190</v>
      </c>
      <c r="B827" s="4" t="s">
        <v>308</v>
      </c>
    </row>
    <row r="828" ht="15.75" customHeight="1">
      <c r="A828" s="4" t="s">
        <v>92</v>
      </c>
      <c r="B828" s="4" t="s">
        <v>308</v>
      </c>
    </row>
    <row r="829" ht="15.75" customHeight="1">
      <c r="A829" s="4" t="s">
        <v>104</v>
      </c>
      <c r="B829" s="4" t="s">
        <v>308</v>
      </c>
    </row>
    <row r="830" ht="15.75" customHeight="1">
      <c r="A830" s="4" t="s">
        <v>184</v>
      </c>
      <c r="B830" s="4" t="s">
        <v>308</v>
      </c>
    </row>
    <row r="831" ht="15.75" customHeight="1">
      <c r="A831" s="4" t="s">
        <v>66</v>
      </c>
      <c r="B831" s="4" t="s">
        <v>308</v>
      </c>
    </row>
    <row r="832" ht="15.75" customHeight="1">
      <c r="A832" s="4" t="s">
        <v>154</v>
      </c>
      <c r="B832" s="4" t="s">
        <v>308</v>
      </c>
    </row>
    <row r="833" ht="15.75" customHeight="1">
      <c r="A833" s="4" t="s">
        <v>100</v>
      </c>
      <c r="B833" s="4" t="s">
        <v>309</v>
      </c>
    </row>
    <row r="834" ht="15.75" customHeight="1">
      <c r="A834" s="4" t="s">
        <v>132</v>
      </c>
      <c r="B834" s="4" t="s">
        <v>309</v>
      </c>
    </row>
    <row r="835" ht="15.75" customHeight="1">
      <c r="A835" s="4" t="s">
        <v>141</v>
      </c>
      <c r="B835" s="4" t="s">
        <v>309</v>
      </c>
    </row>
    <row r="836" ht="15.75" customHeight="1">
      <c r="A836" s="4" t="s">
        <v>207</v>
      </c>
      <c r="B836" s="4" t="s">
        <v>309</v>
      </c>
    </row>
    <row r="837" ht="15.75" customHeight="1">
      <c r="A837" s="4" t="s">
        <v>66</v>
      </c>
      <c r="B837" s="4" t="s">
        <v>309</v>
      </c>
    </row>
    <row r="838" ht="15.75" customHeight="1">
      <c r="A838" s="4" t="s">
        <v>67</v>
      </c>
      <c r="B838" s="4" t="s">
        <v>309</v>
      </c>
    </row>
    <row r="839" ht="15.75" customHeight="1">
      <c r="A839" s="4" t="s">
        <v>146</v>
      </c>
      <c r="B839" s="4" t="s">
        <v>310</v>
      </c>
    </row>
    <row r="840" ht="15.75" customHeight="1">
      <c r="A840" s="4" t="s">
        <v>82</v>
      </c>
      <c r="B840" s="4" t="s">
        <v>310</v>
      </c>
    </row>
    <row r="841" ht="15.75" customHeight="1">
      <c r="A841" s="4" t="s">
        <v>120</v>
      </c>
      <c r="B841" s="4" t="s">
        <v>310</v>
      </c>
    </row>
    <row r="842" ht="15.75" customHeight="1">
      <c r="A842" s="4" t="s">
        <v>123</v>
      </c>
      <c r="B842" s="4" t="s">
        <v>310</v>
      </c>
    </row>
    <row r="843" ht="15.75" customHeight="1">
      <c r="A843" s="4" t="s">
        <v>106</v>
      </c>
      <c r="B843" s="4" t="s">
        <v>310</v>
      </c>
    </row>
    <row r="844" ht="15.75" customHeight="1">
      <c r="A844" s="4" t="s">
        <v>171</v>
      </c>
      <c r="B844" s="4" t="s">
        <v>310</v>
      </c>
    </row>
    <row r="845" ht="15.75" customHeight="1">
      <c r="A845" s="4" t="s">
        <v>82</v>
      </c>
      <c r="B845" s="4" t="s">
        <v>311</v>
      </c>
    </row>
    <row r="846" ht="15.75" customHeight="1">
      <c r="A846" s="4" t="s">
        <v>98</v>
      </c>
      <c r="B846" s="4" t="s">
        <v>311</v>
      </c>
    </row>
    <row r="847" ht="15.75" customHeight="1">
      <c r="A847" s="4" t="s">
        <v>122</v>
      </c>
      <c r="B847" s="4" t="s">
        <v>311</v>
      </c>
    </row>
    <row r="848" ht="15.75" customHeight="1">
      <c r="A848" s="4" t="s">
        <v>207</v>
      </c>
      <c r="B848" s="4" t="s">
        <v>311</v>
      </c>
    </row>
    <row r="849" ht="15.75" customHeight="1">
      <c r="A849" s="4" t="s">
        <v>142</v>
      </c>
      <c r="B849" s="4" t="s">
        <v>311</v>
      </c>
    </row>
    <row r="850" ht="15.75" customHeight="1">
      <c r="A850" s="4" t="s">
        <v>88</v>
      </c>
      <c r="B850" s="4" t="s">
        <v>311</v>
      </c>
    </row>
    <row r="851" ht="15.75" customHeight="1">
      <c r="A851" s="4" t="s">
        <v>226</v>
      </c>
      <c r="B851" s="4" t="s">
        <v>312</v>
      </c>
    </row>
    <row r="852" ht="15.75" customHeight="1">
      <c r="A852" s="4" t="s">
        <v>198</v>
      </c>
      <c r="B852" s="4" t="s">
        <v>312</v>
      </c>
    </row>
    <row r="853" ht="15.75" customHeight="1">
      <c r="A853" s="4" t="s">
        <v>156</v>
      </c>
      <c r="B853" s="4" t="s">
        <v>312</v>
      </c>
    </row>
    <row r="854" ht="15.75" customHeight="1">
      <c r="A854" s="4" t="s">
        <v>157</v>
      </c>
      <c r="B854" s="4" t="s">
        <v>312</v>
      </c>
    </row>
    <row r="855" ht="15.75" customHeight="1">
      <c r="A855" s="4" t="s">
        <v>106</v>
      </c>
      <c r="B855" s="4" t="s">
        <v>312</v>
      </c>
    </row>
    <row r="856" ht="15.75" customHeight="1">
      <c r="A856" s="4" t="s">
        <v>127</v>
      </c>
      <c r="B856" s="4" t="s">
        <v>312</v>
      </c>
    </row>
    <row r="857" ht="15.75" customHeight="1">
      <c r="A857" s="4" t="s">
        <v>68</v>
      </c>
      <c r="B857" s="4" t="s">
        <v>313</v>
      </c>
    </row>
    <row r="858" ht="15.75" customHeight="1">
      <c r="A858" s="4" t="s">
        <v>148</v>
      </c>
      <c r="B858" s="4" t="s">
        <v>313</v>
      </c>
    </row>
    <row r="859" ht="15.75" customHeight="1">
      <c r="A859" s="4" t="s">
        <v>120</v>
      </c>
      <c r="B859" s="4" t="s">
        <v>313</v>
      </c>
    </row>
    <row r="860" ht="15.75" customHeight="1">
      <c r="A860" s="4" t="s">
        <v>176</v>
      </c>
      <c r="B860" s="4" t="s">
        <v>313</v>
      </c>
    </row>
    <row r="861" ht="15.75" customHeight="1">
      <c r="A861" s="4" t="s">
        <v>106</v>
      </c>
      <c r="B861" s="4" t="s">
        <v>313</v>
      </c>
    </row>
    <row r="862" ht="15.75" customHeight="1">
      <c r="A862" s="4" t="s">
        <v>127</v>
      </c>
      <c r="B862" s="4" t="s">
        <v>313</v>
      </c>
    </row>
    <row r="863" ht="15.75" customHeight="1">
      <c r="A863" s="4" t="s">
        <v>148</v>
      </c>
      <c r="B863" s="4" t="s">
        <v>314</v>
      </c>
    </row>
    <row r="864" ht="15.75" customHeight="1">
      <c r="A864" s="4" t="s">
        <v>84</v>
      </c>
      <c r="B864" s="4" t="s">
        <v>314</v>
      </c>
    </row>
    <row r="865" ht="15.75" customHeight="1">
      <c r="A865" s="4" t="s">
        <v>85</v>
      </c>
      <c r="B865" s="4" t="s">
        <v>314</v>
      </c>
    </row>
    <row r="866" ht="15.75" customHeight="1">
      <c r="A866" s="4" t="s">
        <v>207</v>
      </c>
      <c r="B866" s="4" t="s">
        <v>314</v>
      </c>
    </row>
    <row r="867" ht="15.75" customHeight="1">
      <c r="A867" s="4" t="s">
        <v>113</v>
      </c>
      <c r="B867" s="4" t="s">
        <v>314</v>
      </c>
    </row>
    <row r="868" ht="15.75" customHeight="1">
      <c r="A868" s="4" t="s">
        <v>199</v>
      </c>
      <c r="B868" s="4" t="s">
        <v>314</v>
      </c>
    </row>
    <row r="869" ht="15.75" customHeight="1">
      <c r="A869" s="4" t="s">
        <v>95</v>
      </c>
      <c r="B869" s="4" t="s">
        <v>315</v>
      </c>
    </row>
    <row r="870" ht="15.75" customHeight="1">
      <c r="A870" s="4" t="s">
        <v>161</v>
      </c>
      <c r="B870" s="4" t="s">
        <v>315</v>
      </c>
    </row>
    <row r="871" ht="15.75" customHeight="1">
      <c r="A871" s="4" t="s">
        <v>178</v>
      </c>
      <c r="B871" s="4" t="s">
        <v>315</v>
      </c>
    </row>
    <row r="872" ht="15.75" customHeight="1">
      <c r="A872" s="4" t="s">
        <v>105</v>
      </c>
      <c r="B872" s="4" t="s">
        <v>315</v>
      </c>
    </row>
    <row r="873" ht="15.75" customHeight="1">
      <c r="A873" s="4" t="s">
        <v>187</v>
      </c>
      <c r="B873" s="4" t="s">
        <v>315</v>
      </c>
    </row>
    <row r="874" ht="15.75" customHeight="1">
      <c r="A874" s="4" t="s">
        <v>107</v>
      </c>
      <c r="B874" s="4" t="s">
        <v>315</v>
      </c>
    </row>
    <row r="875" ht="15.75" customHeight="1">
      <c r="A875" s="4" t="s">
        <v>114</v>
      </c>
      <c r="B875" s="4" t="s">
        <v>316</v>
      </c>
    </row>
    <row r="876" ht="15.75" customHeight="1">
      <c r="A876" s="4" t="s">
        <v>169</v>
      </c>
      <c r="B876" s="4" t="s">
        <v>316</v>
      </c>
    </row>
    <row r="877" ht="15.75" customHeight="1">
      <c r="A877" s="4" t="s">
        <v>170</v>
      </c>
      <c r="B877" s="4" t="s">
        <v>316</v>
      </c>
    </row>
    <row r="878" ht="15.75" customHeight="1">
      <c r="A878" s="4" t="s">
        <v>123</v>
      </c>
      <c r="B878" s="4" t="s">
        <v>316</v>
      </c>
    </row>
    <row r="879" ht="15.75" customHeight="1">
      <c r="A879" s="4" t="s">
        <v>164</v>
      </c>
      <c r="B879" s="4" t="s">
        <v>316</v>
      </c>
    </row>
    <row r="880" ht="15.75" customHeight="1">
      <c r="A880" s="4" t="s">
        <v>171</v>
      </c>
      <c r="B880" s="4" t="s">
        <v>316</v>
      </c>
    </row>
    <row r="881" ht="15.75" customHeight="1">
      <c r="A881" s="4" t="s">
        <v>146</v>
      </c>
      <c r="B881" s="4" t="s">
        <v>317</v>
      </c>
    </row>
    <row r="882" ht="15.75" customHeight="1">
      <c r="A882" s="4" t="s">
        <v>148</v>
      </c>
      <c r="B882" s="4" t="s">
        <v>317</v>
      </c>
    </row>
    <row r="883" ht="15.75" customHeight="1">
      <c r="A883" s="4" t="s">
        <v>84</v>
      </c>
      <c r="B883" s="4" t="s">
        <v>317</v>
      </c>
    </row>
    <row r="884" ht="15.75" customHeight="1">
      <c r="A884" s="4" t="s">
        <v>184</v>
      </c>
      <c r="B884" s="4" t="s">
        <v>317</v>
      </c>
    </row>
    <row r="885" ht="15.75" customHeight="1">
      <c r="A885" s="4" t="s">
        <v>73</v>
      </c>
      <c r="B885" s="4" t="s">
        <v>317</v>
      </c>
    </row>
    <row r="886" ht="15.75" customHeight="1">
      <c r="A886" s="4" t="s">
        <v>199</v>
      </c>
      <c r="B886" s="4" t="s">
        <v>317</v>
      </c>
    </row>
    <row r="887" ht="15.75" customHeight="1">
      <c r="A887" s="4" t="s">
        <v>132</v>
      </c>
      <c r="B887" s="4" t="s">
        <v>318</v>
      </c>
    </row>
    <row r="888" ht="15.75" customHeight="1">
      <c r="A888" s="4" t="s">
        <v>161</v>
      </c>
      <c r="B888" s="4" t="s">
        <v>318</v>
      </c>
    </row>
    <row r="889" ht="15.75" customHeight="1">
      <c r="A889" s="4" t="s">
        <v>78</v>
      </c>
      <c r="B889" s="4" t="s">
        <v>318</v>
      </c>
    </row>
    <row r="890" ht="15.75" customHeight="1">
      <c r="A890" s="4" t="s">
        <v>211</v>
      </c>
      <c r="B890" s="4" t="s">
        <v>318</v>
      </c>
    </row>
    <row r="891" ht="15.75" customHeight="1">
      <c r="A891" s="4" t="s">
        <v>124</v>
      </c>
      <c r="B891" s="4" t="s">
        <v>318</v>
      </c>
    </row>
    <row r="892" ht="15.75" customHeight="1">
      <c r="A892" s="4" t="s">
        <v>212</v>
      </c>
      <c r="B892" s="4" t="s">
        <v>318</v>
      </c>
    </row>
    <row r="893" ht="15.75" customHeight="1">
      <c r="A893" s="4" t="s">
        <v>143</v>
      </c>
      <c r="B893" s="4" t="s">
        <v>319</v>
      </c>
    </row>
    <row r="894" ht="15.75" customHeight="1">
      <c r="A894" s="4" t="s">
        <v>63</v>
      </c>
      <c r="B894" s="4" t="s">
        <v>319</v>
      </c>
    </row>
    <row r="895" ht="15.75" customHeight="1">
      <c r="A895" s="4" t="s">
        <v>129</v>
      </c>
      <c r="B895" s="4" t="s">
        <v>319</v>
      </c>
    </row>
    <row r="896" ht="15.75" customHeight="1">
      <c r="A896" s="4" t="s">
        <v>184</v>
      </c>
      <c r="B896" s="4" t="s">
        <v>319</v>
      </c>
    </row>
    <row r="897" ht="15.75" customHeight="1">
      <c r="A897" s="4" t="s">
        <v>73</v>
      </c>
      <c r="B897" s="4" t="s">
        <v>319</v>
      </c>
    </row>
    <row r="898" ht="15.75" customHeight="1">
      <c r="A898" s="4" t="s">
        <v>199</v>
      </c>
      <c r="B898" s="4" t="s">
        <v>319</v>
      </c>
    </row>
    <row r="899" ht="15.75" customHeight="1">
      <c r="A899" s="4" t="s">
        <v>190</v>
      </c>
      <c r="B899" s="4" t="s">
        <v>320</v>
      </c>
    </row>
    <row r="900" ht="15.75" customHeight="1">
      <c r="A900" s="4" t="s">
        <v>146</v>
      </c>
      <c r="B900" s="4" t="s">
        <v>320</v>
      </c>
    </row>
    <row r="901" ht="15.75" customHeight="1">
      <c r="A901" s="4" t="s">
        <v>129</v>
      </c>
      <c r="B901" s="4" t="s">
        <v>320</v>
      </c>
    </row>
    <row r="902" ht="15.75" customHeight="1">
      <c r="A902" s="4" t="s">
        <v>189</v>
      </c>
      <c r="B902" s="4" t="s">
        <v>320</v>
      </c>
    </row>
    <row r="903" ht="15.75" customHeight="1">
      <c r="A903" s="4" t="s">
        <v>142</v>
      </c>
      <c r="B903" s="4" t="s">
        <v>320</v>
      </c>
    </row>
    <row r="904" ht="15.75" customHeight="1">
      <c r="A904" s="4" t="s">
        <v>185</v>
      </c>
      <c r="B904" s="4" t="s">
        <v>320</v>
      </c>
    </row>
    <row r="905" ht="15.75" customHeight="1">
      <c r="A905" s="4" t="s">
        <v>70</v>
      </c>
      <c r="B905" s="4" t="s">
        <v>321</v>
      </c>
    </row>
    <row r="906" ht="15.75" customHeight="1">
      <c r="A906" s="4" t="s">
        <v>153</v>
      </c>
      <c r="B906" s="4" t="s">
        <v>321</v>
      </c>
    </row>
    <row r="907" ht="15.75" customHeight="1">
      <c r="A907" s="4" t="s">
        <v>141</v>
      </c>
      <c r="B907" s="4" t="s">
        <v>321</v>
      </c>
    </row>
    <row r="908" ht="15.75" customHeight="1">
      <c r="A908" s="4" t="s">
        <v>176</v>
      </c>
      <c r="B908" s="4" t="s">
        <v>321</v>
      </c>
    </row>
    <row r="909" ht="15.75" customHeight="1">
      <c r="A909" s="4" t="s">
        <v>126</v>
      </c>
      <c r="B909" s="4" t="s">
        <v>321</v>
      </c>
    </row>
    <row r="910" ht="15.75" customHeight="1">
      <c r="A910" s="4" t="s">
        <v>145</v>
      </c>
      <c r="B910" s="4" t="s">
        <v>321</v>
      </c>
    </row>
    <row r="911" ht="15.75" customHeight="1">
      <c r="A911" s="4" t="s">
        <v>159</v>
      </c>
      <c r="B911" s="4" t="s">
        <v>322</v>
      </c>
    </row>
    <row r="912" ht="15.75" customHeight="1">
      <c r="A912" s="4" t="s">
        <v>134</v>
      </c>
      <c r="B912" s="4" t="s">
        <v>322</v>
      </c>
    </row>
    <row r="913" ht="15.75" customHeight="1">
      <c r="A913" s="4" t="s">
        <v>175</v>
      </c>
      <c r="B913" s="4" t="s">
        <v>322</v>
      </c>
    </row>
    <row r="914" ht="15.75" customHeight="1">
      <c r="A914" s="4" t="s">
        <v>135</v>
      </c>
      <c r="B914" s="4" t="s">
        <v>322</v>
      </c>
    </row>
    <row r="915" ht="15.75" customHeight="1">
      <c r="A915" s="4" t="s">
        <v>181</v>
      </c>
      <c r="B915" s="4" t="s">
        <v>322</v>
      </c>
    </row>
    <row r="916" ht="15.75" customHeight="1">
      <c r="A916" s="4" t="s">
        <v>220</v>
      </c>
      <c r="B916" s="4" t="s">
        <v>322</v>
      </c>
    </row>
    <row r="917" ht="15.75" customHeight="1">
      <c r="A917" s="4" t="s">
        <v>70</v>
      </c>
      <c r="B917" s="4" t="s">
        <v>323</v>
      </c>
    </row>
    <row r="918" ht="15.75" customHeight="1">
      <c r="A918" s="4" t="s">
        <v>122</v>
      </c>
      <c r="B918" s="4" t="s">
        <v>323</v>
      </c>
    </row>
    <row r="919" ht="15.75" customHeight="1">
      <c r="A919" s="4" t="s">
        <v>175</v>
      </c>
      <c r="B919" s="4" t="s">
        <v>323</v>
      </c>
    </row>
    <row r="920" ht="15.75" customHeight="1">
      <c r="A920" s="4" t="s">
        <v>166</v>
      </c>
      <c r="B920" s="4" t="s">
        <v>323</v>
      </c>
    </row>
    <row r="921" ht="15.75" customHeight="1">
      <c r="A921" s="4" t="s">
        <v>106</v>
      </c>
      <c r="B921" s="4" t="s">
        <v>323</v>
      </c>
    </row>
    <row r="922" ht="15.75" customHeight="1">
      <c r="A922" s="4" t="s">
        <v>136</v>
      </c>
      <c r="B922" s="4" t="s">
        <v>323</v>
      </c>
    </row>
    <row r="923" ht="15.75" customHeight="1">
      <c r="A923" s="4" t="s">
        <v>148</v>
      </c>
      <c r="B923" s="4" t="s">
        <v>324</v>
      </c>
    </row>
    <row r="924" ht="15.75" customHeight="1">
      <c r="A924" s="4" t="s">
        <v>192</v>
      </c>
      <c r="B924" s="4" t="s">
        <v>324</v>
      </c>
    </row>
    <row r="925" ht="15.75" customHeight="1">
      <c r="A925" s="4" t="s">
        <v>194</v>
      </c>
      <c r="B925" s="4" t="s">
        <v>324</v>
      </c>
    </row>
    <row r="926" ht="15.75" customHeight="1">
      <c r="A926" s="4" t="s">
        <v>184</v>
      </c>
      <c r="B926" s="4" t="s">
        <v>324</v>
      </c>
    </row>
    <row r="927" ht="15.75" customHeight="1">
      <c r="A927" s="4" t="s">
        <v>113</v>
      </c>
      <c r="B927" s="4" t="s">
        <v>324</v>
      </c>
    </row>
    <row r="928" ht="15.75" customHeight="1">
      <c r="A928" s="4" t="s">
        <v>67</v>
      </c>
      <c r="B928" s="4" t="s">
        <v>324</v>
      </c>
    </row>
    <row r="929" ht="15.75" customHeight="1">
      <c r="A929" s="4" t="s">
        <v>82</v>
      </c>
      <c r="B929" s="4" t="s">
        <v>325</v>
      </c>
    </row>
    <row r="930" ht="15.75" customHeight="1">
      <c r="A930" s="4" t="s">
        <v>192</v>
      </c>
      <c r="B930" s="4" t="s">
        <v>325</v>
      </c>
    </row>
    <row r="931" ht="15.75" customHeight="1">
      <c r="A931" s="4" t="s">
        <v>109</v>
      </c>
      <c r="B931" s="4" t="s">
        <v>325</v>
      </c>
    </row>
    <row r="932" ht="15.75" customHeight="1">
      <c r="A932" s="4" t="s">
        <v>166</v>
      </c>
      <c r="B932" s="4" t="s">
        <v>325</v>
      </c>
    </row>
    <row r="933" ht="15.75" customHeight="1">
      <c r="A933" s="4" t="s">
        <v>181</v>
      </c>
      <c r="B933" s="4" t="s">
        <v>325</v>
      </c>
    </row>
    <row r="934" ht="15.75" customHeight="1">
      <c r="A934" s="4" t="s">
        <v>212</v>
      </c>
      <c r="B934" s="4" t="s">
        <v>325</v>
      </c>
    </row>
    <row r="935" ht="15.75" customHeight="1">
      <c r="A935" s="4" t="s">
        <v>82</v>
      </c>
      <c r="B935" s="4" t="s">
        <v>326</v>
      </c>
    </row>
    <row r="936" ht="15.75" customHeight="1">
      <c r="A936" s="4" t="s">
        <v>156</v>
      </c>
      <c r="B936" s="4" t="s">
        <v>326</v>
      </c>
    </row>
    <row r="937" ht="15.75" customHeight="1">
      <c r="A937" s="4" t="s">
        <v>98</v>
      </c>
      <c r="B937" s="4" t="s">
        <v>326</v>
      </c>
    </row>
    <row r="938" ht="15.75" customHeight="1">
      <c r="A938" s="4" t="s">
        <v>195</v>
      </c>
      <c r="B938" s="4" t="s">
        <v>326</v>
      </c>
    </row>
    <row r="939" ht="15.75" customHeight="1">
      <c r="A939" s="4" t="s">
        <v>124</v>
      </c>
      <c r="B939" s="4" t="s">
        <v>326</v>
      </c>
    </row>
    <row r="940" ht="15.75" customHeight="1">
      <c r="A940" s="4" t="s">
        <v>220</v>
      </c>
      <c r="B940" s="4" t="s">
        <v>326</v>
      </c>
    </row>
    <row r="941" ht="15.75" customHeight="1">
      <c r="A941" s="4" t="s">
        <v>114</v>
      </c>
      <c r="B941" s="4" t="s">
        <v>327</v>
      </c>
    </row>
    <row r="942" ht="15.75" customHeight="1">
      <c r="A942" s="4" t="s">
        <v>70</v>
      </c>
      <c r="B942" s="4" t="s">
        <v>327</v>
      </c>
    </row>
    <row r="943" ht="15.75" customHeight="1">
      <c r="A943" s="4" t="s">
        <v>78</v>
      </c>
      <c r="B943" s="4" t="s">
        <v>327</v>
      </c>
    </row>
    <row r="944" ht="15.75" customHeight="1">
      <c r="A944" s="4" t="s">
        <v>240</v>
      </c>
      <c r="B944" s="4" t="s">
        <v>327</v>
      </c>
    </row>
    <row r="945" ht="15.75" customHeight="1">
      <c r="A945" s="4" t="s">
        <v>117</v>
      </c>
      <c r="B945" s="4" t="s">
        <v>327</v>
      </c>
    </row>
    <row r="946" ht="15.75" customHeight="1">
      <c r="A946" s="4" t="s">
        <v>81</v>
      </c>
      <c r="B946" s="4" t="s">
        <v>327</v>
      </c>
    </row>
    <row r="947" ht="15.75" customHeight="1">
      <c r="A947" s="4" t="s">
        <v>82</v>
      </c>
      <c r="B947" s="4" t="s">
        <v>328</v>
      </c>
    </row>
    <row r="948" ht="15.75" customHeight="1">
      <c r="A948" s="4" t="s">
        <v>122</v>
      </c>
      <c r="B948" s="4" t="s">
        <v>328</v>
      </c>
    </row>
    <row r="949" ht="15.75" customHeight="1">
      <c r="A949" s="4" t="s">
        <v>78</v>
      </c>
      <c r="B949" s="4" t="s">
        <v>328</v>
      </c>
    </row>
    <row r="950" ht="15.75" customHeight="1">
      <c r="A950" s="4" t="s">
        <v>207</v>
      </c>
      <c r="B950" s="4" t="s">
        <v>328</v>
      </c>
    </row>
    <row r="951" ht="15.75" customHeight="1">
      <c r="A951" s="4" t="s">
        <v>87</v>
      </c>
      <c r="B951" s="4" t="s">
        <v>328</v>
      </c>
    </row>
    <row r="952" ht="15.75" customHeight="1">
      <c r="A952" s="4" t="s">
        <v>88</v>
      </c>
      <c r="B952" s="4" t="s">
        <v>328</v>
      </c>
    </row>
    <row r="953" ht="15.75" customHeight="1">
      <c r="A953" s="4" t="s">
        <v>134</v>
      </c>
      <c r="B953" s="4" t="s">
        <v>329</v>
      </c>
    </row>
    <row r="954" ht="15.75" customHeight="1">
      <c r="A954" s="4" t="s">
        <v>85</v>
      </c>
      <c r="B954" s="4" t="s">
        <v>329</v>
      </c>
    </row>
    <row r="955" ht="15.75" customHeight="1">
      <c r="A955" s="4" t="s">
        <v>175</v>
      </c>
      <c r="B955" s="4" t="s">
        <v>329</v>
      </c>
    </row>
    <row r="956" ht="15.75" customHeight="1">
      <c r="A956" s="4" t="s">
        <v>166</v>
      </c>
      <c r="B956" s="4" t="s">
        <v>329</v>
      </c>
    </row>
    <row r="957" ht="15.75" customHeight="1">
      <c r="A957" s="4" t="s">
        <v>196</v>
      </c>
      <c r="B957" s="4" t="s">
        <v>329</v>
      </c>
    </row>
    <row r="958" ht="15.75" customHeight="1">
      <c r="A958" s="4" t="s">
        <v>212</v>
      </c>
      <c r="B958" s="4" t="s">
        <v>329</v>
      </c>
    </row>
    <row r="959" ht="15.75" customHeight="1">
      <c r="A959" s="4" t="s">
        <v>148</v>
      </c>
      <c r="B959" s="4" t="s">
        <v>330</v>
      </c>
    </row>
    <row r="960" ht="15.75" customHeight="1">
      <c r="A960" s="4" t="s">
        <v>156</v>
      </c>
      <c r="B960" s="4" t="s">
        <v>330</v>
      </c>
    </row>
    <row r="961" ht="15.75" customHeight="1">
      <c r="A961" s="4" t="s">
        <v>120</v>
      </c>
      <c r="B961" s="4" t="s">
        <v>330</v>
      </c>
    </row>
    <row r="962" ht="15.75" customHeight="1">
      <c r="A962" s="4" t="s">
        <v>166</v>
      </c>
      <c r="B962" s="4" t="s">
        <v>330</v>
      </c>
    </row>
    <row r="963" ht="15.75" customHeight="1">
      <c r="A963" s="4" t="s">
        <v>162</v>
      </c>
      <c r="B963" s="4" t="s">
        <v>330</v>
      </c>
    </row>
    <row r="964" ht="15.75" customHeight="1">
      <c r="A964" s="4" t="s">
        <v>220</v>
      </c>
      <c r="B964" s="4" t="s">
        <v>330</v>
      </c>
    </row>
    <row r="965" ht="15.75" customHeight="1">
      <c r="A965" s="4" t="s">
        <v>114</v>
      </c>
      <c r="B965" s="4" t="s">
        <v>331</v>
      </c>
    </row>
    <row r="966" ht="15.75" customHeight="1">
      <c r="A966" s="4" t="s">
        <v>75</v>
      </c>
      <c r="B966" s="4" t="s">
        <v>331</v>
      </c>
    </row>
    <row r="967" ht="15.75" customHeight="1">
      <c r="A967" s="4" t="s">
        <v>98</v>
      </c>
      <c r="B967" s="4" t="s">
        <v>331</v>
      </c>
    </row>
    <row r="968" ht="15.75" customHeight="1">
      <c r="A968" s="4" t="s">
        <v>195</v>
      </c>
      <c r="B968" s="4" t="s">
        <v>331</v>
      </c>
    </row>
    <row r="969" ht="15.75" customHeight="1">
      <c r="A969" s="4" t="s">
        <v>196</v>
      </c>
      <c r="B969" s="4" t="s">
        <v>331</v>
      </c>
    </row>
    <row r="970" ht="15.75" customHeight="1">
      <c r="A970" s="4" t="s">
        <v>136</v>
      </c>
      <c r="B970" s="4" t="s">
        <v>331</v>
      </c>
    </row>
    <row r="971" ht="15.75" customHeight="1">
      <c r="A971" s="4" t="s">
        <v>114</v>
      </c>
      <c r="B971" s="4" t="s">
        <v>332</v>
      </c>
    </row>
    <row r="972" ht="15.75" customHeight="1">
      <c r="A972" s="4" t="s">
        <v>148</v>
      </c>
      <c r="B972" s="4" t="s">
        <v>332</v>
      </c>
    </row>
    <row r="973" ht="15.75" customHeight="1">
      <c r="A973" s="4" t="s">
        <v>120</v>
      </c>
      <c r="B973" s="4" t="s">
        <v>332</v>
      </c>
    </row>
    <row r="974" ht="15.75" customHeight="1">
      <c r="A974" s="4" t="s">
        <v>135</v>
      </c>
      <c r="B974" s="4" t="s">
        <v>332</v>
      </c>
    </row>
    <row r="975" ht="15.75" customHeight="1">
      <c r="A975" s="4" t="s">
        <v>222</v>
      </c>
      <c r="B975" s="4" t="s">
        <v>332</v>
      </c>
    </row>
    <row r="976" ht="15.75" customHeight="1">
      <c r="A976" s="4" t="s">
        <v>212</v>
      </c>
      <c r="B976" s="4" t="s">
        <v>332</v>
      </c>
    </row>
    <row r="977" ht="15.75" customHeight="1">
      <c r="A977" s="4" t="s">
        <v>148</v>
      </c>
      <c r="B977" s="4" t="s">
        <v>333</v>
      </c>
    </row>
    <row r="978" ht="15.75" customHeight="1">
      <c r="A978" s="4" t="s">
        <v>156</v>
      </c>
      <c r="B978" s="4" t="s">
        <v>333</v>
      </c>
    </row>
    <row r="979" ht="15.75" customHeight="1">
      <c r="A979" s="4" t="s">
        <v>120</v>
      </c>
      <c r="B979" s="4" t="s">
        <v>333</v>
      </c>
    </row>
    <row r="980" ht="15.75" customHeight="1">
      <c r="A980" s="4" t="s">
        <v>166</v>
      </c>
      <c r="B980" s="4" t="s">
        <v>333</v>
      </c>
    </row>
    <row r="981" ht="15.75" customHeight="1">
      <c r="A981" s="4" t="s">
        <v>196</v>
      </c>
      <c r="B981" s="4" t="s">
        <v>333</v>
      </c>
    </row>
    <row r="982" ht="15.75" customHeight="1">
      <c r="A982" s="4" t="s">
        <v>220</v>
      </c>
      <c r="B982" s="4" t="s">
        <v>333</v>
      </c>
    </row>
    <row r="983" ht="15.75" customHeight="1">
      <c r="A983" s="4" t="s">
        <v>146</v>
      </c>
      <c r="B983" s="4" t="s">
        <v>334</v>
      </c>
    </row>
    <row r="984" ht="15.75" customHeight="1">
      <c r="A984" s="4" t="s">
        <v>148</v>
      </c>
      <c r="B984" s="4" t="s">
        <v>334</v>
      </c>
    </row>
    <row r="985" ht="15.75" customHeight="1">
      <c r="A985" s="4" t="s">
        <v>120</v>
      </c>
      <c r="B985" s="4" t="s">
        <v>334</v>
      </c>
    </row>
    <row r="986" ht="15.75" customHeight="1">
      <c r="A986" s="4" t="s">
        <v>184</v>
      </c>
      <c r="B986" s="4" t="s">
        <v>334</v>
      </c>
    </row>
    <row r="987" ht="15.75" customHeight="1">
      <c r="A987" s="4" t="s">
        <v>142</v>
      </c>
      <c r="B987" s="4" t="s">
        <v>334</v>
      </c>
    </row>
    <row r="988" ht="15.75" customHeight="1">
      <c r="A988" s="4" t="s">
        <v>67</v>
      </c>
      <c r="B988" s="4" t="s">
        <v>334</v>
      </c>
    </row>
    <row r="989" ht="15.75" customHeight="1">
      <c r="A989" s="4" t="s">
        <v>95</v>
      </c>
      <c r="B989" s="4" t="s">
        <v>335</v>
      </c>
    </row>
    <row r="990" ht="15.75" customHeight="1">
      <c r="A990" s="4" t="s">
        <v>161</v>
      </c>
      <c r="B990" s="4" t="s">
        <v>335</v>
      </c>
    </row>
    <row r="991" ht="15.75" customHeight="1">
      <c r="A991" s="4" t="s">
        <v>129</v>
      </c>
      <c r="B991" s="4" t="s">
        <v>335</v>
      </c>
    </row>
    <row r="992" ht="15.75" customHeight="1">
      <c r="A992" s="4" t="s">
        <v>149</v>
      </c>
      <c r="B992" s="4" t="s">
        <v>335</v>
      </c>
    </row>
    <row r="993" ht="15.75" customHeight="1">
      <c r="A993" s="4" t="s">
        <v>106</v>
      </c>
      <c r="B993" s="4" t="s">
        <v>335</v>
      </c>
    </row>
    <row r="994" ht="15.75" customHeight="1">
      <c r="A994" s="4" t="s">
        <v>158</v>
      </c>
      <c r="B994" s="4" t="s">
        <v>335</v>
      </c>
    </row>
    <row r="995" ht="15.75" customHeight="1">
      <c r="A995" s="4" t="s">
        <v>161</v>
      </c>
      <c r="B995" s="4" t="s">
        <v>336</v>
      </c>
    </row>
    <row r="996" ht="15.75" customHeight="1">
      <c r="A996" s="4" t="s">
        <v>77</v>
      </c>
      <c r="B996" s="4" t="s">
        <v>336</v>
      </c>
    </row>
    <row r="997" ht="15.75" customHeight="1">
      <c r="A997" s="4" t="s">
        <v>175</v>
      </c>
      <c r="B997" s="4" t="s">
        <v>336</v>
      </c>
    </row>
    <row r="998" ht="15.75" customHeight="1">
      <c r="A998" s="4" t="s">
        <v>116</v>
      </c>
      <c r="B998" s="4" t="s">
        <v>336</v>
      </c>
    </row>
    <row r="999" ht="15.75" customHeight="1">
      <c r="A999" s="4" t="s">
        <v>87</v>
      </c>
      <c r="B999" s="4" t="s">
        <v>336</v>
      </c>
    </row>
    <row r="1000" ht="15.75" customHeight="1">
      <c r="A1000" s="4" t="s">
        <v>185</v>
      </c>
      <c r="B1000" s="4" t="s">
        <v>336</v>
      </c>
    </row>
    <row r="1001" ht="15.75" customHeight="1">
      <c r="A1001" s="4" t="s">
        <v>161</v>
      </c>
      <c r="B1001" s="4" t="s">
        <v>337</v>
      </c>
    </row>
    <row r="1002" ht="15.75" customHeight="1">
      <c r="A1002" s="4" t="s">
        <v>194</v>
      </c>
      <c r="B1002" s="4" t="s">
        <v>337</v>
      </c>
    </row>
    <row r="1003" ht="15.75" customHeight="1">
      <c r="A1003" s="4" t="s">
        <v>71</v>
      </c>
      <c r="B1003" s="4" t="s">
        <v>337</v>
      </c>
    </row>
    <row r="1004" ht="15.75" customHeight="1">
      <c r="A1004" s="4" t="s">
        <v>105</v>
      </c>
      <c r="B1004" s="4" t="s">
        <v>337</v>
      </c>
    </row>
    <row r="1005" ht="15.75" customHeight="1">
      <c r="A1005" s="4" t="s">
        <v>150</v>
      </c>
      <c r="B1005" s="4" t="s">
        <v>337</v>
      </c>
    </row>
    <row r="1006" ht="15.75" customHeight="1">
      <c r="A1006" s="4" t="s">
        <v>158</v>
      </c>
      <c r="B1006" s="4" t="s">
        <v>337</v>
      </c>
    </row>
    <row r="1007" ht="15.75" customHeight="1">
      <c r="A1007" s="4" t="s">
        <v>61</v>
      </c>
      <c r="B1007" s="4" t="s">
        <v>338</v>
      </c>
    </row>
    <row r="1008" ht="15.75" customHeight="1">
      <c r="A1008" s="4" t="s">
        <v>63</v>
      </c>
      <c r="B1008" s="4" t="s">
        <v>338</v>
      </c>
    </row>
    <row r="1009" ht="15.75" customHeight="1">
      <c r="A1009" s="4" t="s">
        <v>215</v>
      </c>
      <c r="B1009" s="4" t="s">
        <v>338</v>
      </c>
    </row>
    <row r="1010" ht="15.75" customHeight="1">
      <c r="A1010" s="4" t="s">
        <v>184</v>
      </c>
      <c r="B1010" s="4" t="s">
        <v>338</v>
      </c>
    </row>
    <row r="1011" ht="15.75" customHeight="1">
      <c r="A1011" s="4" t="s">
        <v>80</v>
      </c>
      <c r="B1011" s="4" t="s">
        <v>338</v>
      </c>
    </row>
    <row r="1012" ht="15.75" customHeight="1">
      <c r="A1012" s="4" t="s">
        <v>185</v>
      </c>
      <c r="B1012" s="4" t="s">
        <v>338</v>
      </c>
    </row>
    <row r="1013" ht="15.75" customHeight="1">
      <c r="A1013" s="4" t="s">
        <v>68</v>
      </c>
      <c r="B1013" s="4" t="s">
        <v>339</v>
      </c>
    </row>
    <row r="1014" ht="15.75" customHeight="1">
      <c r="A1014" s="4" t="s">
        <v>148</v>
      </c>
      <c r="B1014" s="4" t="s">
        <v>339</v>
      </c>
    </row>
    <row r="1015" ht="15.75" customHeight="1">
      <c r="A1015" s="4" t="s">
        <v>84</v>
      </c>
      <c r="B1015" s="4" t="s">
        <v>339</v>
      </c>
    </row>
    <row r="1016" ht="15.75" customHeight="1">
      <c r="A1016" s="4" t="s">
        <v>157</v>
      </c>
      <c r="B1016" s="4" t="s">
        <v>339</v>
      </c>
    </row>
    <row r="1017" ht="15.75" customHeight="1">
      <c r="A1017" s="4" t="s">
        <v>196</v>
      </c>
      <c r="B1017" s="4" t="s">
        <v>339</v>
      </c>
    </row>
    <row r="1018" ht="15.75" customHeight="1">
      <c r="A1018" s="4" t="s">
        <v>111</v>
      </c>
      <c r="B1018" s="4" t="s">
        <v>339</v>
      </c>
    </row>
    <row r="1019" ht="15.75" customHeight="1">
      <c r="A1019" s="4" t="s">
        <v>61</v>
      </c>
      <c r="B1019" s="4" t="s">
        <v>340</v>
      </c>
    </row>
    <row r="1020" ht="15.75" customHeight="1">
      <c r="A1020" s="4" t="s">
        <v>64</v>
      </c>
      <c r="B1020" s="4" t="s">
        <v>340</v>
      </c>
    </row>
    <row r="1021" ht="15.75" customHeight="1">
      <c r="A1021" s="4" t="s">
        <v>77</v>
      </c>
      <c r="B1021" s="4" t="s">
        <v>340</v>
      </c>
    </row>
    <row r="1022" ht="15.75" customHeight="1">
      <c r="A1022" s="4" t="s">
        <v>116</v>
      </c>
      <c r="B1022" s="4" t="s">
        <v>340</v>
      </c>
    </row>
    <row r="1023" ht="15.75" customHeight="1">
      <c r="A1023" s="4" t="s">
        <v>142</v>
      </c>
      <c r="B1023" s="4" t="s">
        <v>340</v>
      </c>
    </row>
    <row r="1024" ht="15.75" customHeight="1">
      <c r="A1024" s="4" t="s">
        <v>118</v>
      </c>
      <c r="B1024" s="4" t="s">
        <v>340</v>
      </c>
    </row>
    <row r="1025" ht="15.75" customHeight="1">
      <c r="A1025" s="4" t="s">
        <v>148</v>
      </c>
      <c r="B1025" s="4" t="s">
        <v>341</v>
      </c>
    </row>
    <row r="1026" ht="15.75" customHeight="1">
      <c r="A1026" s="4" t="s">
        <v>194</v>
      </c>
      <c r="B1026" s="4" t="s">
        <v>341</v>
      </c>
    </row>
    <row r="1027" ht="15.75" customHeight="1">
      <c r="A1027" s="4" t="s">
        <v>104</v>
      </c>
      <c r="B1027" s="4" t="s">
        <v>341</v>
      </c>
    </row>
    <row r="1028" ht="15.75" customHeight="1">
      <c r="A1028" s="4" t="s">
        <v>123</v>
      </c>
      <c r="B1028" s="4" t="s">
        <v>341</v>
      </c>
    </row>
    <row r="1029" ht="15.75" customHeight="1">
      <c r="A1029" s="4" t="s">
        <v>187</v>
      </c>
      <c r="B1029" s="4" t="s">
        <v>341</v>
      </c>
    </row>
    <row r="1030" ht="15.75" customHeight="1">
      <c r="A1030" s="4" t="s">
        <v>127</v>
      </c>
      <c r="B1030" s="4" t="s">
        <v>341</v>
      </c>
    </row>
    <row r="1031" ht="15.75" customHeight="1">
      <c r="A1031" s="4" t="s">
        <v>159</v>
      </c>
      <c r="B1031" s="4" t="s">
        <v>342</v>
      </c>
    </row>
    <row r="1032" ht="15.75" customHeight="1">
      <c r="A1032" s="4" t="s">
        <v>134</v>
      </c>
      <c r="B1032" s="4" t="s">
        <v>342</v>
      </c>
    </row>
    <row r="1033" ht="15.75" customHeight="1">
      <c r="A1033" s="4" t="s">
        <v>71</v>
      </c>
      <c r="B1033" s="4" t="s">
        <v>342</v>
      </c>
    </row>
    <row r="1034" ht="15.75" customHeight="1">
      <c r="A1034" s="4" t="s">
        <v>176</v>
      </c>
      <c r="B1034" s="4" t="s">
        <v>342</v>
      </c>
    </row>
    <row r="1035" ht="15.75" customHeight="1">
      <c r="A1035" s="4" t="s">
        <v>181</v>
      </c>
      <c r="B1035" s="4" t="s">
        <v>342</v>
      </c>
    </row>
    <row r="1036" ht="15.75" customHeight="1">
      <c r="A1036" s="4" t="s">
        <v>158</v>
      </c>
      <c r="B1036" s="4" t="s">
        <v>342</v>
      </c>
    </row>
    <row r="1037" ht="15.75" customHeight="1">
      <c r="A1037" s="4" t="s">
        <v>143</v>
      </c>
      <c r="B1037" s="4" t="s">
        <v>343</v>
      </c>
    </row>
    <row r="1038" ht="15.75" customHeight="1">
      <c r="A1038" s="4" t="s">
        <v>95</v>
      </c>
      <c r="B1038" s="4" t="s">
        <v>343</v>
      </c>
    </row>
    <row r="1039" ht="15.75" customHeight="1">
      <c r="A1039" s="4" t="s">
        <v>129</v>
      </c>
      <c r="B1039" s="4" t="s">
        <v>343</v>
      </c>
    </row>
    <row r="1040" ht="15.75" customHeight="1">
      <c r="A1040" s="4" t="s">
        <v>99</v>
      </c>
      <c r="B1040" s="4" t="s">
        <v>343</v>
      </c>
    </row>
    <row r="1041" ht="15.75" customHeight="1">
      <c r="A1041" s="4" t="s">
        <v>93</v>
      </c>
      <c r="B1041" s="4" t="s">
        <v>343</v>
      </c>
    </row>
    <row r="1042" ht="15.75" customHeight="1">
      <c r="A1042" s="4" t="s">
        <v>241</v>
      </c>
      <c r="B1042" s="4" t="s">
        <v>343</v>
      </c>
    </row>
    <row r="1043" ht="15.75" customHeight="1">
      <c r="A1043" s="4" t="s">
        <v>100</v>
      </c>
      <c r="B1043" s="4" t="s">
        <v>344</v>
      </c>
    </row>
    <row r="1044" ht="15.75" customHeight="1">
      <c r="A1044" s="4" t="s">
        <v>92</v>
      </c>
      <c r="B1044" s="4" t="s">
        <v>344</v>
      </c>
    </row>
    <row r="1045" ht="15.75" customHeight="1">
      <c r="A1045" s="4" t="s">
        <v>104</v>
      </c>
      <c r="B1045" s="4" t="s">
        <v>344</v>
      </c>
    </row>
    <row r="1046" ht="15.75" customHeight="1">
      <c r="A1046" s="4" t="s">
        <v>105</v>
      </c>
      <c r="B1046" s="4" t="s">
        <v>344</v>
      </c>
    </row>
    <row r="1047" ht="15.75" customHeight="1">
      <c r="A1047" s="4" t="s">
        <v>164</v>
      </c>
      <c r="B1047" s="4" t="s">
        <v>344</v>
      </c>
    </row>
    <row r="1048" ht="15.75" customHeight="1">
      <c r="A1048" s="4" t="s">
        <v>107</v>
      </c>
      <c r="B1048" s="4" t="s">
        <v>344</v>
      </c>
    </row>
    <row r="1049" ht="15.75" customHeight="1">
      <c r="A1049" s="4" t="s">
        <v>190</v>
      </c>
      <c r="B1049" s="4" t="s">
        <v>345</v>
      </c>
    </row>
    <row r="1050" ht="15.75" customHeight="1">
      <c r="A1050" s="4" t="s">
        <v>146</v>
      </c>
      <c r="B1050" s="4" t="s">
        <v>345</v>
      </c>
    </row>
    <row r="1051" ht="15.75" customHeight="1">
      <c r="A1051" s="4" t="s">
        <v>120</v>
      </c>
      <c r="B1051" s="4" t="s">
        <v>345</v>
      </c>
    </row>
    <row r="1052" ht="15.75" customHeight="1">
      <c r="A1052" s="4" t="s">
        <v>189</v>
      </c>
      <c r="B1052" s="4" t="s">
        <v>345</v>
      </c>
    </row>
    <row r="1053" ht="15.75" customHeight="1">
      <c r="A1053" s="4" t="s">
        <v>113</v>
      </c>
      <c r="B1053" s="4" t="s">
        <v>345</v>
      </c>
    </row>
    <row r="1054" ht="15.75" customHeight="1">
      <c r="A1054" s="4" t="s">
        <v>185</v>
      </c>
      <c r="B1054" s="4" t="s">
        <v>345</v>
      </c>
    </row>
    <row r="1055" ht="15.75" customHeight="1">
      <c r="A1055" s="4" t="s">
        <v>159</v>
      </c>
      <c r="B1055" s="4" t="s">
        <v>346</v>
      </c>
    </row>
    <row r="1056" ht="15.75" customHeight="1">
      <c r="A1056" s="4" t="s">
        <v>161</v>
      </c>
      <c r="B1056" s="4" t="s">
        <v>346</v>
      </c>
    </row>
    <row r="1057" ht="15.75" customHeight="1">
      <c r="A1057" s="4" t="s">
        <v>170</v>
      </c>
      <c r="B1057" s="4" t="s">
        <v>346</v>
      </c>
    </row>
    <row r="1058" ht="15.75" customHeight="1">
      <c r="A1058" s="4" t="s">
        <v>123</v>
      </c>
      <c r="B1058" s="4" t="s">
        <v>346</v>
      </c>
    </row>
    <row r="1059" ht="15.75" customHeight="1">
      <c r="A1059" s="4" t="s">
        <v>126</v>
      </c>
      <c r="B1059" s="4" t="s">
        <v>346</v>
      </c>
    </row>
    <row r="1060" ht="15.75" customHeight="1">
      <c r="A1060" s="4" t="s">
        <v>107</v>
      </c>
      <c r="B1060" s="4" t="s">
        <v>346</v>
      </c>
    </row>
    <row r="1061" ht="15.75" customHeight="1">
      <c r="A1061" s="4" t="s">
        <v>169</v>
      </c>
      <c r="B1061" s="4" t="s">
        <v>347</v>
      </c>
    </row>
    <row r="1062" ht="15.75" customHeight="1">
      <c r="A1062" s="4" t="s">
        <v>183</v>
      </c>
      <c r="B1062" s="4" t="s">
        <v>347</v>
      </c>
    </row>
    <row r="1063" ht="15.75" customHeight="1">
      <c r="A1063" s="4" t="s">
        <v>194</v>
      </c>
      <c r="B1063" s="4" t="s">
        <v>347</v>
      </c>
    </row>
    <row r="1064" ht="15.75" customHeight="1">
      <c r="A1064" s="4" t="s">
        <v>123</v>
      </c>
      <c r="B1064" s="4" t="s">
        <v>347</v>
      </c>
    </row>
    <row r="1065" ht="15.75" customHeight="1">
      <c r="A1065" s="4" t="s">
        <v>187</v>
      </c>
      <c r="B1065" s="4" t="s">
        <v>347</v>
      </c>
    </row>
    <row r="1066" ht="15.75" customHeight="1">
      <c r="A1066" s="4" t="s">
        <v>111</v>
      </c>
      <c r="B1066" s="4" t="s">
        <v>347</v>
      </c>
    </row>
    <row r="1067" ht="15.75" customHeight="1">
      <c r="A1067" s="4" t="s">
        <v>75</v>
      </c>
      <c r="B1067" s="4" t="s">
        <v>348</v>
      </c>
    </row>
    <row r="1068" ht="15.75" customHeight="1">
      <c r="A1068" s="4" t="s">
        <v>156</v>
      </c>
      <c r="B1068" s="4" t="s">
        <v>348</v>
      </c>
    </row>
    <row r="1069" ht="15.75" customHeight="1">
      <c r="A1069" s="4" t="s">
        <v>98</v>
      </c>
      <c r="B1069" s="4" t="s">
        <v>348</v>
      </c>
    </row>
    <row r="1070" ht="15.75" customHeight="1">
      <c r="A1070" s="4" t="s">
        <v>176</v>
      </c>
      <c r="B1070" s="4" t="s">
        <v>348</v>
      </c>
    </row>
    <row r="1071" ht="15.75" customHeight="1">
      <c r="A1071" s="4" t="s">
        <v>106</v>
      </c>
      <c r="B1071" s="4" t="s">
        <v>348</v>
      </c>
    </row>
    <row r="1072" ht="15.75" customHeight="1">
      <c r="A1072" s="4" t="s">
        <v>171</v>
      </c>
      <c r="B1072" s="4" t="s">
        <v>348</v>
      </c>
    </row>
    <row r="1073" ht="15.75" customHeight="1">
      <c r="A1073" s="4" t="s">
        <v>173</v>
      </c>
      <c r="B1073" s="4" t="s">
        <v>349</v>
      </c>
    </row>
    <row r="1074" ht="15.75" customHeight="1">
      <c r="A1074" s="4" t="s">
        <v>132</v>
      </c>
      <c r="B1074" s="4" t="s">
        <v>349</v>
      </c>
    </row>
    <row r="1075" ht="15.75" customHeight="1">
      <c r="A1075" s="4" t="s">
        <v>178</v>
      </c>
      <c r="B1075" s="4" t="s">
        <v>349</v>
      </c>
    </row>
    <row r="1076" ht="15.75" customHeight="1">
      <c r="A1076" s="4" t="s">
        <v>135</v>
      </c>
      <c r="B1076" s="4" t="s">
        <v>349</v>
      </c>
    </row>
    <row r="1077" ht="15.75" customHeight="1">
      <c r="A1077" s="4" t="s">
        <v>187</v>
      </c>
      <c r="B1077" s="4" t="s">
        <v>349</v>
      </c>
    </row>
    <row r="1078" ht="15.75" customHeight="1">
      <c r="A1078" s="4" t="s">
        <v>139</v>
      </c>
      <c r="B1078" s="4" t="s">
        <v>349</v>
      </c>
    </row>
    <row r="1079" ht="15.75" customHeight="1">
      <c r="A1079" s="4" t="s">
        <v>95</v>
      </c>
      <c r="B1079" s="4" t="s">
        <v>350</v>
      </c>
    </row>
    <row r="1080" ht="15.75" customHeight="1">
      <c r="A1080" s="4" t="s">
        <v>161</v>
      </c>
      <c r="B1080" s="4" t="s">
        <v>350</v>
      </c>
    </row>
    <row r="1081" ht="15.75" customHeight="1">
      <c r="A1081" s="4" t="s">
        <v>170</v>
      </c>
      <c r="B1081" s="4" t="s">
        <v>350</v>
      </c>
    </row>
    <row r="1082" ht="15.75" customHeight="1">
      <c r="A1082" s="4" t="s">
        <v>99</v>
      </c>
      <c r="B1082" s="4" t="s">
        <v>350</v>
      </c>
    </row>
    <row r="1083" ht="15.75" customHeight="1">
      <c r="A1083" s="4" t="s">
        <v>117</v>
      </c>
      <c r="B1083" s="4" t="s">
        <v>350</v>
      </c>
    </row>
    <row r="1084" ht="15.75" customHeight="1">
      <c r="A1084" s="4" t="s">
        <v>74</v>
      </c>
      <c r="B1084" s="4" t="s">
        <v>350</v>
      </c>
    </row>
    <row r="1085" ht="15.75" customHeight="1">
      <c r="A1085" s="4" t="s">
        <v>132</v>
      </c>
      <c r="B1085" s="4" t="s">
        <v>351</v>
      </c>
    </row>
    <row r="1086" ht="15.75" customHeight="1">
      <c r="A1086" s="4" t="s">
        <v>97</v>
      </c>
      <c r="B1086" s="4" t="s">
        <v>351</v>
      </c>
    </row>
    <row r="1087" ht="15.75" customHeight="1">
      <c r="A1087" s="4" t="s">
        <v>120</v>
      </c>
      <c r="B1087" s="4" t="s">
        <v>351</v>
      </c>
    </row>
    <row r="1088" ht="15.75" customHeight="1">
      <c r="A1088" s="4" t="s">
        <v>123</v>
      </c>
      <c r="B1088" s="4" t="s">
        <v>351</v>
      </c>
    </row>
    <row r="1089" ht="15.75" customHeight="1">
      <c r="A1089" s="4" t="s">
        <v>164</v>
      </c>
      <c r="B1089" s="4" t="s">
        <v>351</v>
      </c>
    </row>
    <row r="1090" ht="15.75" customHeight="1">
      <c r="A1090" s="4" t="s">
        <v>171</v>
      </c>
      <c r="B1090" s="4" t="s">
        <v>351</v>
      </c>
    </row>
    <row r="1091" ht="15.75" customHeight="1">
      <c r="A1091" s="4" t="s">
        <v>159</v>
      </c>
      <c r="B1091" s="4" t="s">
        <v>352</v>
      </c>
    </row>
    <row r="1092" ht="15.75" customHeight="1">
      <c r="A1092" s="4" t="s">
        <v>134</v>
      </c>
      <c r="B1092" s="4" t="s">
        <v>352</v>
      </c>
    </row>
    <row r="1093" ht="15.75" customHeight="1">
      <c r="A1093" s="4" t="s">
        <v>175</v>
      </c>
      <c r="B1093" s="4" t="s">
        <v>352</v>
      </c>
    </row>
    <row r="1094" ht="15.75" customHeight="1">
      <c r="A1094" s="4" t="s">
        <v>135</v>
      </c>
      <c r="B1094" s="4" t="s">
        <v>352</v>
      </c>
    </row>
    <row r="1095" ht="15.75" customHeight="1">
      <c r="A1095" s="4" t="s">
        <v>150</v>
      </c>
      <c r="B1095" s="4" t="s">
        <v>352</v>
      </c>
    </row>
    <row r="1096" ht="15.75" customHeight="1">
      <c r="A1096" s="4" t="s">
        <v>139</v>
      </c>
      <c r="B1096" s="4" t="s">
        <v>352</v>
      </c>
    </row>
    <row r="1097" ht="15.75" customHeight="1">
      <c r="A1097" s="4" t="s">
        <v>173</v>
      </c>
      <c r="B1097" s="4" t="s">
        <v>353</v>
      </c>
    </row>
    <row r="1098" ht="15.75" customHeight="1">
      <c r="A1098" s="4" t="s">
        <v>159</v>
      </c>
      <c r="B1098" s="4" t="s">
        <v>353</v>
      </c>
    </row>
    <row r="1099" ht="15.75" customHeight="1">
      <c r="A1099" s="4" t="s">
        <v>178</v>
      </c>
      <c r="B1099" s="4" t="s">
        <v>353</v>
      </c>
    </row>
    <row r="1100" ht="15.75" customHeight="1">
      <c r="A1100" s="4" t="s">
        <v>176</v>
      </c>
      <c r="B1100" s="4" t="s">
        <v>353</v>
      </c>
    </row>
    <row r="1101" ht="15.75" customHeight="1">
      <c r="A1101" s="4" t="s">
        <v>126</v>
      </c>
      <c r="B1101" s="4" t="s">
        <v>353</v>
      </c>
    </row>
    <row r="1102" ht="15.75" customHeight="1">
      <c r="A1102" s="4" t="s">
        <v>145</v>
      </c>
      <c r="B1102" s="4" t="s">
        <v>353</v>
      </c>
    </row>
    <row r="1103" ht="15.75" customHeight="1">
      <c r="A1103" s="4" t="s">
        <v>61</v>
      </c>
      <c r="B1103" s="4" t="s">
        <v>354</v>
      </c>
    </row>
    <row r="1104" ht="15.75" customHeight="1">
      <c r="A1104" s="4" t="s">
        <v>137</v>
      </c>
      <c r="B1104" s="4" t="s">
        <v>354</v>
      </c>
    </row>
    <row r="1105" ht="15.75" customHeight="1">
      <c r="A1105" s="4" t="s">
        <v>215</v>
      </c>
      <c r="B1105" s="4" t="s">
        <v>354</v>
      </c>
    </row>
    <row r="1106" ht="15.75" customHeight="1">
      <c r="A1106" s="4" t="s">
        <v>116</v>
      </c>
      <c r="B1106" s="4" t="s">
        <v>354</v>
      </c>
    </row>
    <row r="1107" ht="15.75" customHeight="1">
      <c r="A1107" s="4" t="s">
        <v>117</v>
      </c>
      <c r="B1107" s="4" t="s">
        <v>354</v>
      </c>
    </row>
    <row r="1108" ht="15.75" customHeight="1">
      <c r="A1108" s="4" t="s">
        <v>118</v>
      </c>
      <c r="B1108" s="4" t="s">
        <v>354</v>
      </c>
    </row>
    <row r="1109" ht="15.75" customHeight="1">
      <c r="A1109" s="4" t="s">
        <v>161</v>
      </c>
      <c r="B1109" s="4" t="s">
        <v>355</v>
      </c>
    </row>
    <row r="1110" ht="15.75" customHeight="1">
      <c r="A1110" s="4" t="s">
        <v>77</v>
      </c>
      <c r="B1110" s="4" t="s">
        <v>355</v>
      </c>
    </row>
    <row r="1111" ht="15.75" customHeight="1">
      <c r="A1111" s="4" t="s">
        <v>170</v>
      </c>
      <c r="B1111" s="4" t="s">
        <v>355</v>
      </c>
    </row>
    <row r="1112" ht="15.75" customHeight="1">
      <c r="A1112" s="4" t="s">
        <v>65</v>
      </c>
      <c r="B1112" s="4" t="s">
        <v>355</v>
      </c>
    </row>
    <row r="1113" ht="15.75" customHeight="1">
      <c r="A1113" s="4" t="s">
        <v>93</v>
      </c>
      <c r="B1113" s="4" t="s">
        <v>355</v>
      </c>
    </row>
    <row r="1114" ht="15.75" customHeight="1">
      <c r="A1114" s="4" t="s">
        <v>154</v>
      </c>
      <c r="B1114" s="4" t="s">
        <v>355</v>
      </c>
    </row>
    <row r="1115" ht="15.75" customHeight="1">
      <c r="A1115" s="4" t="s">
        <v>97</v>
      </c>
      <c r="B1115" s="4" t="s">
        <v>356</v>
      </c>
    </row>
    <row r="1116" ht="15.75" customHeight="1">
      <c r="A1116" s="4" t="s">
        <v>109</v>
      </c>
      <c r="B1116" s="4" t="s">
        <v>356</v>
      </c>
    </row>
    <row r="1117" ht="15.75" customHeight="1">
      <c r="A1117" s="4" t="s">
        <v>141</v>
      </c>
      <c r="B1117" s="4" t="s">
        <v>356</v>
      </c>
    </row>
    <row r="1118" ht="15.75" customHeight="1">
      <c r="A1118" s="4" t="s">
        <v>116</v>
      </c>
      <c r="B1118" s="4" t="s">
        <v>356</v>
      </c>
    </row>
    <row r="1119" ht="15.75" customHeight="1">
      <c r="A1119" s="4" t="s">
        <v>142</v>
      </c>
      <c r="B1119" s="4" t="s">
        <v>356</v>
      </c>
    </row>
    <row r="1120" ht="15.75" customHeight="1">
      <c r="A1120" s="4" t="s">
        <v>199</v>
      </c>
      <c r="B1120" s="4" t="s">
        <v>356</v>
      </c>
    </row>
    <row r="1121" ht="15.75" customHeight="1">
      <c r="A1121" s="4" t="s">
        <v>100</v>
      </c>
      <c r="B1121" s="4" t="s">
        <v>357</v>
      </c>
    </row>
    <row r="1122" ht="15.75" customHeight="1">
      <c r="A1122" s="4" t="s">
        <v>95</v>
      </c>
      <c r="B1122" s="4" t="s">
        <v>357</v>
      </c>
    </row>
    <row r="1123" ht="15.75" customHeight="1">
      <c r="A1123" s="4" t="s">
        <v>104</v>
      </c>
      <c r="B1123" s="4" t="s">
        <v>357</v>
      </c>
    </row>
    <row r="1124" ht="15.75" customHeight="1">
      <c r="A1124" s="4" t="s">
        <v>105</v>
      </c>
      <c r="B1124" s="4" t="s">
        <v>357</v>
      </c>
    </row>
    <row r="1125" ht="15.75" customHeight="1">
      <c r="A1125" s="4" t="s">
        <v>222</v>
      </c>
      <c r="B1125" s="4" t="s">
        <v>357</v>
      </c>
    </row>
    <row r="1126" ht="15.75" customHeight="1">
      <c r="A1126" s="4" t="s">
        <v>127</v>
      </c>
      <c r="B1126" s="4" t="s">
        <v>357</v>
      </c>
    </row>
    <row r="1127" ht="15.75" customHeight="1">
      <c r="A1127" s="4" t="s">
        <v>75</v>
      </c>
      <c r="B1127" s="4" t="s">
        <v>358</v>
      </c>
    </row>
    <row r="1128" ht="15.75" customHeight="1">
      <c r="A1128" s="4" t="s">
        <v>102</v>
      </c>
      <c r="B1128" s="4" t="s">
        <v>358</v>
      </c>
    </row>
    <row r="1129" ht="15.75" customHeight="1">
      <c r="A1129" s="4" t="s">
        <v>122</v>
      </c>
      <c r="B1129" s="4" t="s">
        <v>358</v>
      </c>
    </row>
    <row r="1130" ht="15.75" customHeight="1">
      <c r="A1130" s="4" t="s">
        <v>207</v>
      </c>
      <c r="B1130" s="4" t="s">
        <v>358</v>
      </c>
    </row>
    <row r="1131" ht="15.75" customHeight="1">
      <c r="A1131" s="4" t="s">
        <v>73</v>
      </c>
      <c r="B1131" s="4" t="s">
        <v>358</v>
      </c>
    </row>
    <row r="1132" ht="15.75" customHeight="1">
      <c r="A1132" s="4" t="s">
        <v>67</v>
      </c>
      <c r="B1132" s="4" t="s">
        <v>358</v>
      </c>
    </row>
    <row r="1133" ht="15.75" customHeight="1">
      <c r="A1133" s="4" t="s">
        <v>169</v>
      </c>
      <c r="B1133" s="4" t="s">
        <v>359</v>
      </c>
    </row>
    <row r="1134" ht="15.75" customHeight="1">
      <c r="A1134" s="4" t="s">
        <v>183</v>
      </c>
      <c r="B1134" s="4" t="s">
        <v>359</v>
      </c>
    </row>
    <row r="1135" ht="15.75" customHeight="1">
      <c r="A1135" s="4" t="s">
        <v>194</v>
      </c>
      <c r="B1135" s="4" t="s">
        <v>359</v>
      </c>
    </row>
    <row r="1136" ht="15.75" customHeight="1">
      <c r="A1136" s="4" t="s">
        <v>123</v>
      </c>
      <c r="B1136" s="4" t="s">
        <v>359</v>
      </c>
    </row>
    <row r="1137" ht="15.75" customHeight="1">
      <c r="A1137" s="4" t="s">
        <v>164</v>
      </c>
      <c r="B1137" s="4" t="s">
        <v>359</v>
      </c>
    </row>
    <row r="1138" ht="15.75" customHeight="1">
      <c r="A1138" s="4" t="s">
        <v>145</v>
      </c>
      <c r="B1138" s="4" t="s">
        <v>359</v>
      </c>
    </row>
    <row r="1139" ht="15.75" customHeight="1">
      <c r="A1139" s="4" t="s">
        <v>75</v>
      </c>
      <c r="B1139" s="4" t="s">
        <v>360</v>
      </c>
    </row>
    <row r="1140" ht="15.75" customHeight="1">
      <c r="A1140" s="4" t="s">
        <v>122</v>
      </c>
      <c r="B1140" s="4" t="s">
        <v>360</v>
      </c>
    </row>
    <row r="1141" ht="15.75" customHeight="1">
      <c r="A1141" s="4" t="s">
        <v>120</v>
      </c>
      <c r="B1141" s="4" t="s">
        <v>360</v>
      </c>
    </row>
    <row r="1142" ht="15.75" customHeight="1">
      <c r="A1142" s="4" t="s">
        <v>195</v>
      </c>
      <c r="B1142" s="4" t="s">
        <v>360</v>
      </c>
    </row>
    <row r="1143" ht="15.75" customHeight="1">
      <c r="A1143" s="4" t="s">
        <v>181</v>
      </c>
      <c r="B1143" s="4" t="s">
        <v>360</v>
      </c>
    </row>
    <row r="1144" ht="15.75" customHeight="1">
      <c r="A1144" s="4" t="s">
        <v>212</v>
      </c>
      <c r="B1144" s="4" t="s">
        <v>360</v>
      </c>
    </row>
    <row r="1145" ht="15.75" customHeight="1">
      <c r="A1145" s="4" t="s">
        <v>161</v>
      </c>
      <c r="B1145" s="4" t="s">
        <v>361</v>
      </c>
    </row>
    <row r="1146" ht="15.75" customHeight="1">
      <c r="A1146" s="4" t="s">
        <v>122</v>
      </c>
      <c r="B1146" s="4" t="s">
        <v>361</v>
      </c>
    </row>
    <row r="1147" ht="15.75" customHeight="1">
      <c r="A1147" s="4" t="s">
        <v>170</v>
      </c>
      <c r="B1147" s="4" t="s">
        <v>361</v>
      </c>
    </row>
    <row r="1148" ht="15.75" customHeight="1">
      <c r="A1148" s="4" t="s">
        <v>166</v>
      </c>
      <c r="B1148" s="4" t="s">
        <v>361</v>
      </c>
    </row>
    <row r="1149" ht="15.75" customHeight="1">
      <c r="A1149" s="4" t="s">
        <v>187</v>
      </c>
      <c r="B1149" s="4" t="s">
        <v>361</v>
      </c>
    </row>
    <row r="1150" ht="15.75" customHeight="1">
      <c r="A1150" s="4" t="s">
        <v>136</v>
      </c>
      <c r="B1150" s="4" t="s">
        <v>361</v>
      </c>
    </row>
    <row r="1151" ht="15.75" customHeight="1">
      <c r="A1151" s="4" t="s">
        <v>190</v>
      </c>
      <c r="B1151" s="4" t="s">
        <v>362</v>
      </c>
    </row>
    <row r="1152" ht="15.75" customHeight="1">
      <c r="A1152" s="4" t="s">
        <v>114</v>
      </c>
      <c r="B1152" s="4" t="s">
        <v>362</v>
      </c>
    </row>
    <row r="1153" ht="15.75" customHeight="1">
      <c r="A1153" s="4" t="s">
        <v>129</v>
      </c>
      <c r="B1153" s="4" t="s">
        <v>362</v>
      </c>
    </row>
    <row r="1154" ht="15.75" customHeight="1">
      <c r="A1154" s="4" t="s">
        <v>184</v>
      </c>
      <c r="B1154" s="4" t="s">
        <v>362</v>
      </c>
    </row>
    <row r="1155" ht="15.75" customHeight="1">
      <c r="A1155" s="4" t="s">
        <v>142</v>
      </c>
      <c r="B1155" s="4" t="s">
        <v>362</v>
      </c>
    </row>
    <row r="1156" ht="15.75" customHeight="1">
      <c r="A1156" s="4" t="s">
        <v>185</v>
      </c>
      <c r="B1156" s="4" t="s">
        <v>362</v>
      </c>
    </row>
    <row r="1157" ht="15.75" customHeight="1">
      <c r="A1157" s="4" t="s">
        <v>70</v>
      </c>
      <c r="B1157" s="4" t="s">
        <v>363</v>
      </c>
    </row>
    <row r="1158" ht="15.75" customHeight="1">
      <c r="A1158" s="4" t="s">
        <v>92</v>
      </c>
      <c r="B1158" s="4" t="s">
        <v>363</v>
      </c>
    </row>
    <row r="1159" ht="15.75" customHeight="1">
      <c r="A1159" s="4" t="s">
        <v>71</v>
      </c>
      <c r="B1159" s="4" t="s">
        <v>363</v>
      </c>
    </row>
    <row r="1160" ht="15.75" customHeight="1">
      <c r="A1160" s="4" t="s">
        <v>135</v>
      </c>
      <c r="B1160" s="4" t="s">
        <v>363</v>
      </c>
    </row>
    <row r="1161" ht="15.75" customHeight="1">
      <c r="A1161" s="4" t="s">
        <v>181</v>
      </c>
      <c r="B1161" s="4" t="s">
        <v>363</v>
      </c>
    </row>
    <row r="1162" ht="15.75" customHeight="1">
      <c r="A1162" s="4" t="s">
        <v>136</v>
      </c>
      <c r="B1162" s="4" t="s">
        <v>363</v>
      </c>
    </row>
    <row r="1163" ht="15.75" customHeight="1">
      <c r="A1163" s="4" t="s">
        <v>137</v>
      </c>
      <c r="B1163" s="4" t="s">
        <v>364</v>
      </c>
    </row>
    <row r="1164" ht="15.75" customHeight="1">
      <c r="A1164" s="4" t="s">
        <v>161</v>
      </c>
      <c r="B1164" s="4" t="s">
        <v>364</v>
      </c>
    </row>
    <row r="1165" ht="15.75" customHeight="1">
      <c r="A1165" s="4" t="s">
        <v>64</v>
      </c>
      <c r="B1165" s="4" t="s">
        <v>364</v>
      </c>
    </row>
    <row r="1166" ht="15.75" customHeight="1">
      <c r="A1166" s="4" t="s">
        <v>189</v>
      </c>
      <c r="B1166" s="4" t="s">
        <v>364</v>
      </c>
    </row>
    <row r="1167" ht="15.75" customHeight="1">
      <c r="A1167" s="4" t="s">
        <v>73</v>
      </c>
      <c r="B1167" s="4" t="s">
        <v>364</v>
      </c>
    </row>
    <row r="1168" ht="15.75" customHeight="1">
      <c r="A1168" s="4" t="s">
        <v>185</v>
      </c>
      <c r="B1168" s="4" t="s">
        <v>364</v>
      </c>
    </row>
    <row r="1169" ht="15.75" customHeight="1">
      <c r="A1169" s="4" t="s">
        <v>159</v>
      </c>
      <c r="B1169" s="4" t="s">
        <v>365</v>
      </c>
    </row>
    <row r="1170" ht="15.75" customHeight="1">
      <c r="A1170" s="4" t="s">
        <v>97</v>
      </c>
      <c r="B1170" s="4" t="s">
        <v>365</v>
      </c>
    </row>
    <row r="1171" ht="15.75" customHeight="1">
      <c r="A1171" s="4" t="s">
        <v>104</v>
      </c>
      <c r="B1171" s="4" t="s">
        <v>365</v>
      </c>
    </row>
    <row r="1172" ht="15.75" customHeight="1">
      <c r="A1172" s="4" t="s">
        <v>211</v>
      </c>
      <c r="B1172" s="4" t="s">
        <v>365</v>
      </c>
    </row>
    <row r="1173" ht="15.75" customHeight="1">
      <c r="A1173" s="4" t="s">
        <v>150</v>
      </c>
      <c r="B1173" s="4" t="s">
        <v>365</v>
      </c>
    </row>
    <row r="1174" ht="15.75" customHeight="1">
      <c r="A1174" s="4" t="s">
        <v>139</v>
      </c>
      <c r="B1174" s="4" t="s">
        <v>365</v>
      </c>
    </row>
    <row r="1175" ht="15.75" customHeight="1">
      <c r="A1175" s="4" t="s">
        <v>114</v>
      </c>
      <c r="B1175" s="4" t="s">
        <v>366</v>
      </c>
    </row>
    <row r="1176" ht="15.75" customHeight="1">
      <c r="A1176" s="4" t="s">
        <v>70</v>
      </c>
      <c r="B1176" s="4" t="s">
        <v>366</v>
      </c>
    </row>
    <row r="1177" ht="15.75" customHeight="1">
      <c r="A1177" s="4" t="s">
        <v>71</v>
      </c>
      <c r="B1177" s="4" t="s">
        <v>366</v>
      </c>
    </row>
    <row r="1178" ht="15.75" customHeight="1">
      <c r="A1178" s="4" t="s">
        <v>184</v>
      </c>
      <c r="B1178" s="4" t="s">
        <v>366</v>
      </c>
    </row>
    <row r="1179" ht="15.75" customHeight="1">
      <c r="A1179" s="4" t="s">
        <v>80</v>
      </c>
      <c r="B1179" s="4" t="s">
        <v>366</v>
      </c>
    </row>
    <row r="1180" ht="15.75" customHeight="1">
      <c r="A1180" s="4" t="s">
        <v>185</v>
      </c>
      <c r="B1180" s="4" t="s">
        <v>366</v>
      </c>
    </row>
    <row r="1181" ht="15.75" customHeight="1">
      <c r="A1181" s="4" t="s">
        <v>146</v>
      </c>
      <c r="B1181" s="4" t="s">
        <v>367</v>
      </c>
    </row>
    <row r="1182" ht="15.75" customHeight="1">
      <c r="A1182" s="4" t="s">
        <v>148</v>
      </c>
      <c r="B1182" s="4" t="s">
        <v>367</v>
      </c>
    </row>
    <row r="1183" ht="15.75" customHeight="1">
      <c r="A1183" s="4" t="s">
        <v>120</v>
      </c>
      <c r="B1183" s="4" t="s">
        <v>367</v>
      </c>
    </row>
    <row r="1184" ht="15.75" customHeight="1">
      <c r="A1184" s="4" t="s">
        <v>195</v>
      </c>
      <c r="B1184" s="4" t="s">
        <v>367</v>
      </c>
    </row>
    <row r="1185" ht="15.75" customHeight="1">
      <c r="A1185" s="4" t="s">
        <v>162</v>
      </c>
      <c r="B1185" s="4" t="s">
        <v>367</v>
      </c>
    </row>
    <row r="1186" ht="15.75" customHeight="1">
      <c r="A1186" s="4" t="s">
        <v>220</v>
      </c>
      <c r="B1186" s="4" t="s">
        <v>367</v>
      </c>
    </row>
    <row r="1187" ht="15.75" customHeight="1">
      <c r="A1187" s="4" t="s">
        <v>143</v>
      </c>
      <c r="B1187" s="4" t="s">
        <v>368</v>
      </c>
    </row>
    <row r="1188" ht="15.75" customHeight="1">
      <c r="A1188" s="4" t="s">
        <v>137</v>
      </c>
      <c r="B1188" s="4" t="s">
        <v>368</v>
      </c>
    </row>
    <row r="1189" ht="15.75" customHeight="1">
      <c r="A1189" s="4" t="s">
        <v>129</v>
      </c>
      <c r="B1189" s="4" t="s">
        <v>368</v>
      </c>
    </row>
    <row r="1190" ht="15.75" customHeight="1">
      <c r="A1190" s="4" t="s">
        <v>176</v>
      </c>
      <c r="B1190" s="4" t="s">
        <v>368</v>
      </c>
    </row>
    <row r="1191" ht="15.75" customHeight="1">
      <c r="A1191" s="4" t="s">
        <v>187</v>
      </c>
      <c r="B1191" s="4" t="s">
        <v>368</v>
      </c>
    </row>
    <row r="1192" ht="15.75" customHeight="1">
      <c r="A1192" s="4" t="s">
        <v>145</v>
      </c>
      <c r="B1192" s="4" t="s">
        <v>368</v>
      </c>
    </row>
    <row r="1193" ht="15.75" customHeight="1">
      <c r="A1193" s="4" t="s">
        <v>146</v>
      </c>
      <c r="B1193" s="4" t="s">
        <v>369</v>
      </c>
    </row>
    <row r="1194" ht="15.75" customHeight="1">
      <c r="A1194" s="4" t="s">
        <v>75</v>
      </c>
      <c r="B1194" s="4" t="s">
        <v>369</v>
      </c>
    </row>
    <row r="1195" ht="15.75" customHeight="1">
      <c r="A1195" s="4" t="s">
        <v>120</v>
      </c>
      <c r="B1195" s="4" t="s">
        <v>369</v>
      </c>
    </row>
    <row r="1196" ht="15.75" customHeight="1">
      <c r="A1196" s="4" t="s">
        <v>207</v>
      </c>
      <c r="B1196" s="4" t="s">
        <v>369</v>
      </c>
    </row>
    <row r="1197" ht="15.75" customHeight="1">
      <c r="A1197" s="4" t="s">
        <v>131</v>
      </c>
      <c r="B1197" s="4" t="s">
        <v>369</v>
      </c>
    </row>
    <row r="1198" ht="15.75" customHeight="1">
      <c r="A1198" s="4" t="s">
        <v>118</v>
      </c>
      <c r="B1198" s="4" t="s">
        <v>369</v>
      </c>
    </row>
    <row r="1199" ht="15.75" customHeight="1">
      <c r="A1199" s="4" t="s">
        <v>169</v>
      </c>
      <c r="B1199" s="4" t="s">
        <v>370</v>
      </c>
    </row>
    <row r="1200" ht="15.75" customHeight="1">
      <c r="A1200" s="4" t="s">
        <v>153</v>
      </c>
      <c r="B1200" s="4" t="s">
        <v>370</v>
      </c>
    </row>
    <row r="1201" ht="15.75" customHeight="1">
      <c r="A1201" s="4" t="s">
        <v>178</v>
      </c>
      <c r="B1201" s="4" t="s">
        <v>370</v>
      </c>
    </row>
    <row r="1202" ht="15.75" customHeight="1">
      <c r="A1202" s="4" t="s">
        <v>176</v>
      </c>
      <c r="B1202" s="4" t="s">
        <v>370</v>
      </c>
    </row>
    <row r="1203" ht="15.75" customHeight="1">
      <c r="A1203" s="4" t="s">
        <v>164</v>
      </c>
      <c r="B1203" s="4" t="s">
        <v>370</v>
      </c>
    </row>
    <row r="1204" ht="15.75" customHeight="1">
      <c r="A1204" s="4" t="s">
        <v>145</v>
      </c>
      <c r="B1204" s="4" t="s">
        <v>370</v>
      </c>
    </row>
    <row r="1205" ht="15.75" customHeight="1">
      <c r="A1205" s="4" t="s">
        <v>61</v>
      </c>
      <c r="B1205" s="4" t="s">
        <v>371</v>
      </c>
    </row>
    <row r="1206" ht="15.75" customHeight="1">
      <c r="A1206" s="4" t="s">
        <v>63</v>
      </c>
      <c r="B1206" s="4" t="s">
        <v>371</v>
      </c>
    </row>
    <row r="1207" ht="15.75" customHeight="1">
      <c r="A1207" s="4" t="s">
        <v>102</v>
      </c>
      <c r="B1207" s="4" t="s">
        <v>371</v>
      </c>
    </row>
    <row r="1208" ht="15.75" customHeight="1">
      <c r="A1208" s="4" t="s">
        <v>65</v>
      </c>
      <c r="B1208" s="4" t="s">
        <v>371</v>
      </c>
    </row>
    <row r="1209" ht="15.75" customHeight="1">
      <c r="A1209" s="4" t="s">
        <v>208</v>
      </c>
      <c r="B1209" s="4" t="s">
        <v>371</v>
      </c>
    </row>
    <row r="1210" ht="15.75" customHeight="1">
      <c r="A1210" s="4" t="s">
        <v>154</v>
      </c>
      <c r="B1210" s="4" t="s">
        <v>371</v>
      </c>
    </row>
    <row r="1211" ht="15.75" customHeight="1">
      <c r="A1211" s="4" t="s">
        <v>82</v>
      </c>
      <c r="B1211" s="4" t="s">
        <v>372</v>
      </c>
    </row>
    <row r="1212" ht="15.75" customHeight="1">
      <c r="A1212" s="4" t="s">
        <v>192</v>
      </c>
      <c r="B1212" s="4" t="s">
        <v>372</v>
      </c>
    </row>
    <row r="1213" ht="15.75" customHeight="1">
      <c r="A1213" s="4" t="s">
        <v>92</v>
      </c>
      <c r="B1213" s="4" t="s">
        <v>372</v>
      </c>
    </row>
    <row r="1214" ht="15.75" customHeight="1">
      <c r="A1214" s="4" t="s">
        <v>189</v>
      </c>
      <c r="B1214" s="4" t="s">
        <v>372</v>
      </c>
    </row>
    <row r="1215" ht="15.75" customHeight="1">
      <c r="A1215" s="4" t="s">
        <v>87</v>
      </c>
      <c r="B1215" s="4" t="s">
        <v>372</v>
      </c>
    </row>
    <row r="1216" ht="15.75" customHeight="1">
      <c r="A1216" s="4" t="s">
        <v>185</v>
      </c>
      <c r="B1216" s="4" t="s">
        <v>372</v>
      </c>
    </row>
    <row r="1217" ht="15.75" customHeight="1">
      <c r="A1217" s="4" t="s">
        <v>70</v>
      </c>
      <c r="B1217" s="4" t="s">
        <v>373</v>
      </c>
    </row>
    <row r="1218" ht="15.75" customHeight="1">
      <c r="A1218" s="4" t="s">
        <v>109</v>
      </c>
      <c r="B1218" s="4" t="s">
        <v>373</v>
      </c>
    </row>
    <row r="1219" ht="15.75" customHeight="1">
      <c r="A1219" s="4" t="s">
        <v>104</v>
      </c>
      <c r="B1219" s="4" t="s">
        <v>373</v>
      </c>
    </row>
    <row r="1220" ht="15.75" customHeight="1">
      <c r="A1220" s="4" t="s">
        <v>105</v>
      </c>
      <c r="B1220" s="4" t="s">
        <v>373</v>
      </c>
    </row>
    <row r="1221" ht="15.75" customHeight="1">
      <c r="A1221" s="4" t="s">
        <v>164</v>
      </c>
      <c r="B1221" s="4" t="s">
        <v>373</v>
      </c>
    </row>
    <row r="1222" ht="15.75" customHeight="1">
      <c r="A1222" s="4" t="s">
        <v>107</v>
      </c>
      <c r="B1222" s="4" t="s">
        <v>373</v>
      </c>
    </row>
    <row r="1223" ht="15.75" customHeight="1">
      <c r="A1223" s="4" t="s">
        <v>68</v>
      </c>
      <c r="B1223" s="4" t="s">
        <v>374</v>
      </c>
    </row>
    <row r="1224" ht="15.75" customHeight="1">
      <c r="A1224" s="4" t="s">
        <v>148</v>
      </c>
      <c r="B1224" s="4" t="s">
        <v>374</v>
      </c>
    </row>
    <row r="1225" ht="15.75" customHeight="1">
      <c r="A1225" s="4" t="s">
        <v>120</v>
      </c>
      <c r="B1225" s="4" t="s">
        <v>374</v>
      </c>
    </row>
    <row r="1226" ht="15.75" customHeight="1">
      <c r="A1226" s="4" t="s">
        <v>166</v>
      </c>
      <c r="B1226" s="4" t="s">
        <v>374</v>
      </c>
    </row>
    <row r="1227" ht="15.75" customHeight="1">
      <c r="A1227" s="4" t="s">
        <v>164</v>
      </c>
      <c r="B1227" s="4" t="s">
        <v>374</v>
      </c>
    </row>
    <row r="1228" ht="15.75" customHeight="1">
      <c r="A1228" s="4" t="s">
        <v>220</v>
      </c>
      <c r="B1228" s="4" t="s">
        <v>374</v>
      </c>
    </row>
    <row r="1229" ht="15.75" customHeight="1">
      <c r="A1229" s="4" t="s">
        <v>61</v>
      </c>
      <c r="B1229" s="4" t="s">
        <v>375</v>
      </c>
    </row>
    <row r="1230" ht="15.75" customHeight="1">
      <c r="A1230" s="4" t="s">
        <v>215</v>
      </c>
      <c r="B1230" s="4" t="s">
        <v>375</v>
      </c>
    </row>
    <row r="1231" ht="15.75" customHeight="1">
      <c r="A1231" s="4" t="s">
        <v>92</v>
      </c>
      <c r="B1231" s="4" t="s">
        <v>375</v>
      </c>
    </row>
    <row r="1232" ht="15.75" customHeight="1">
      <c r="A1232" s="4" t="s">
        <v>116</v>
      </c>
      <c r="B1232" s="4" t="s">
        <v>375</v>
      </c>
    </row>
    <row r="1233" ht="15.75" customHeight="1">
      <c r="A1233" s="4" t="s">
        <v>113</v>
      </c>
      <c r="B1233" s="4" t="s">
        <v>375</v>
      </c>
    </row>
    <row r="1234" ht="15.75" customHeight="1">
      <c r="A1234" s="4" t="s">
        <v>185</v>
      </c>
      <c r="B1234" s="4" t="s">
        <v>375</v>
      </c>
    </row>
    <row r="1235" ht="15.75" customHeight="1">
      <c r="A1235" s="4" t="s">
        <v>148</v>
      </c>
      <c r="B1235" s="4" t="s">
        <v>376</v>
      </c>
    </row>
    <row r="1236" ht="15.75" customHeight="1">
      <c r="A1236" s="4" t="s">
        <v>156</v>
      </c>
      <c r="B1236" s="4" t="s">
        <v>376</v>
      </c>
    </row>
    <row r="1237" ht="15.75" customHeight="1">
      <c r="A1237" s="4" t="s">
        <v>120</v>
      </c>
      <c r="B1237" s="4" t="s">
        <v>376</v>
      </c>
    </row>
    <row r="1238" ht="15.75" customHeight="1">
      <c r="A1238" s="4" t="s">
        <v>157</v>
      </c>
      <c r="B1238" s="4" t="s">
        <v>376</v>
      </c>
    </row>
    <row r="1239" ht="15.75" customHeight="1">
      <c r="A1239" s="4" t="s">
        <v>181</v>
      </c>
      <c r="B1239" s="4" t="s">
        <v>376</v>
      </c>
    </row>
    <row r="1240" ht="15.75" customHeight="1">
      <c r="A1240" s="4" t="s">
        <v>158</v>
      </c>
      <c r="B1240" s="4" t="s">
        <v>376</v>
      </c>
    </row>
    <row r="1241" ht="15.75" customHeight="1">
      <c r="A1241" s="4" t="s">
        <v>100</v>
      </c>
      <c r="B1241" s="4" t="s">
        <v>377</v>
      </c>
    </row>
    <row r="1242" ht="15.75" customHeight="1">
      <c r="A1242" s="4" t="s">
        <v>194</v>
      </c>
      <c r="B1242" s="4" t="s">
        <v>377</v>
      </c>
    </row>
    <row r="1243" ht="15.75" customHeight="1">
      <c r="A1243" s="4" t="s">
        <v>104</v>
      </c>
      <c r="B1243" s="4" t="s">
        <v>377</v>
      </c>
    </row>
    <row r="1244" ht="15.75" customHeight="1">
      <c r="A1244" s="4" t="s">
        <v>211</v>
      </c>
      <c r="B1244" s="4" t="s">
        <v>377</v>
      </c>
    </row>
    <row r="1245" ht="15.75" customHeight="1">
      <c r="A1245" s="4" t="s">
        <v>187</v>
      </c>
      <c r="B1245" s="4" t="s">
        <v>377</v>
      </c>
    </row>
    <row r="1246" ht="15.75" customHeight="1">
      <c r="A1246" s="4" t="s">
        <v>136</v>
      </c>
      <c r="B1246" s="4" t="s">
        <v>377</v>
      </c>
    </row>
    <row r="1247" ht="15.75" customHeight="1">
      <c r="A1247" s="4" t="s">
        <v>173</v>
      </c>
      <c r="B1247" s="4" t="s">
        <v>378</v>
      </c>
    </row>
    <row r="1248" ht="15.75" customHeight="1">
      <c r="A1248" s="4" t="s">
        <v>63</v>
      </c>
      <c r="B1248" s="4" t="s">
        <v>378</v>
      </c>
    </row>
    <row r="1249" ht="15.75" customHeight="1">
      <c r="A1249" s="4" t="s">
        <v>175</v>
      </c>
      <c r="B1249" s="4" t="s">
        <v>378</v>
      </c>
    </row>
    <row r="1250" ht="15.75" customHeight="1">
      <c r="A1250" s="4" t="s">
        <v>176</v>
      </c>
      <c r="B1250" s="4" t="s">
        <v>378</v>
      </c>
    </row>
    <row r="1251" ht="15.75" customHeight="1">
      <c r="A1251" s="4" t="s">
        <v>164</v>
      </c>
      <c r="B1251" s="4" t="s">
        <v>378</v>
      </c>
    </row>
    <row r="1252" ht="15.75" customHeight="1">
      <c r="A1252" s="4" t="s">
        <v>145</v>
      </c>
      <c r="B1252" s="4" t="s">
        <v>378</v>
      </c>
    </row>
    <row r="1253" ht="15.75" customHeight="1">
      <c r="A1253" s="4" t="s">
        <v>70</v>
      </c>
      <c r="B1253" s="4" t="s">
        <v>379</v>
      </c>
    </row>
    <row r="1254" ht="15.75" customHeight="1">
      <c r="A1254" s="4" t="s">
        <v>156</v>
      </c>
      <c r="B1254" s="4" t="s">
        <v>379</v>
      </c>
    </row>
    <row r="1255" ht="15.75" customHeight="1">
      <c r="A1255" s="4" t="s">
        <v>78</v>
      </c>
      <c r="B1255" s="4" t="s">
        <v>379</v>
      </c>
    </row>
    <row r="1256" ht="15.75" customHeight="1">
      <c r="A1256" s="4" t="s">
        <v>195</v>
      </c>
      <c r="B1256" s="4" t="s">
        <v>379</v>
      </c>
    </row>
    <row r="1257" ht="15.75" customHeight="1">
      <c r="A1257" s="4" t="s">
        <v>164</v>
      </c>
      <c r="B1257" s="4" t="s">
        <v>379</v>
      </c>
    </row>
    <row r="1258" ht="15.75" customHeight="1">
      <c r="A1258" s="4" t="s">
        <v>220</v>
      </c>
      <c r="B1258" s="4" t="s">
        <v>379</v>
      </c>
    </row>
    <row r="1259" ht="15.75" customHeight="1">
      <c r="A1259" s="4" t="s">
        <v>61</v>
      </c>
      <c r="B1259" s="4" t="s">
        <v>380</v>
      </c>
    </row>
    <row r="1260" ht="15.75" customHeight="1">
      <c r="A1260" s="4" t="s">
        <v>215</v>
      </c>
      <c r="B1260" s="4" t="s">
        <v>380</v>
      </c>
    </row>
    <row r="1261" ht="15.75" customHeight="1">
      <c r="A1261" s="4" t="s">
        <v>92</v>
      </c>
      <c r="B1261" s="4" t="s">
        <v>380</v>
      </c>
    </row>
    <row r="1262" ht="15.75" customHeight="1">
      <c r="A1262" s="4" t="s">
        <v>189</v>
      </c>
      <c r="B1262" s="4" t="s">
        <v>380</v>
      </c>
    </row>
    <row r="1263" ht="15.75" customHeight="1">
      <c r="A1263" s="4" t="s">
        <v>73</v>
      </c>
      <c r="B1263" s="4" t="s">
        <v>380</v>
      </c>
    </row>
    <row r="1264" ht="15.75" customHeight="1">
      <c r="A1264" s="4" t="s">
        <v>67</v>
      </c>
      <c r="B1264" s="4" t="s">
        <v>380</v>
      </c>
    </row>
    <row r="1265" ht="15.75" customHeight="1">
      <c r="A1265" s="4" t="s">
        <v>143</v>
      </c>
      <c r="B1265" s="4" t="s">
        <v>381</v>
      </c>
    </row>
    <row r="1266" ht="15.75" customHeight="1">
      <c r="A1266" s="4" t="s">
        <v>192</v>
      </c>
      <c r="B1266" s="4" t="s">
        <v>381</v>
      </c>
    </row>
    <row r="1267" ht="15.75" customHeight="1">
      <c r="A1267" s="4" t="s">
        <v>109</v>
      </c>
      <c r="B1267" s="4" t="s">
        <v>381</v>
      </c>
    </row>
    <row r="1268" ht="15.75" customHeight="1">
      <c r="A1268" s="4" t="s">
        <v>65</v>
      </c>
      <c r="B1268" s="4" t="s">
        <v>381</v>
      </c>
    </row>
    <row r="1269" ht="15.75" customHeight="1">
      <c r="A1269" s="4" t="s">
        <v>208</v>
      </c>
      <c r="B1269" s="4" t="s">
        <v>381</v>
      </c>
    </row>
    <row r="1270" ht="15.75" customHeight="1">
      <c r="A1270" s="4" t="s">
        <v>67</v>
      </c>
      <c r="B1270" s="4" t="s">
        <v>381</v>
      </c>
    </row>
    <row r="1271" ht="15.75" customHeight="1">
      <c r="A1271" s="4" t="s">
        <v>70</v>
      </c>
      <c r="B1271" s="4" t="s">
        <v>382</v>
      </c>
    </row>
    <row r="1272" ht="15.75" customHeight="1">
      <c r="A1272" s="4" t="s">
        <v>92</v>
      </c>
      <c r="B1272" s="4" t="s">
        <v>382</v>
      </c>
    </row>
    <row r="1273" ht="15.75" customHeight="1">
      <c r="A1273" s="4" t="s">
        <v>141</v>
      </c>
      <c r="B1273" s="4" t="s">
        <v>382</v>
      </c>
    </row>
    <row r="1274" ht="15.75" customHeight="1">
      <c r="A1274" s="4" t="s">
        <v>116</v>
      </c>
      <c r="B1274" s="4" t="s">
        <v>382</v>
      </c>
    </row>
    <row r="1275" ht="15.75" customHeight="1">
      <c r="A1275" s="4" t="s">
        <v>73</v>
      </c>
      <c r="B1275" s="4" t="s">
        <v>382</v>
      </c>
    </row>
    <row r="1276" ht="15.75" customHeight="1">
      <c r="A1276" s="4" t="s">
        <v>118</v>
      </c>
      <c r="B1276" s="4" t="s">
        <v>382</v>
      </c>
    </row>
    <row r="1277" ht="15.75" customHeight="1">
      <c r="A1277" s="4" t="s">
        <v>95</v>
      </c>
      <c r="B1277" s="4" t="s">
        <v>383</v>
      </c>
    </row>
    <row r="1278" ht="15.75" customHeight="1">
      <c r="A1278" s="4" t="s">
        <v>134</v>
      </c>
      <c r="B1278" s="4" t="s">
        <v>383</v>
      </c>
    </row>
    <row r="1279" ht="15.75" customHeight="1">
      <c r="A1279" s="4" t="s">
        <v>183</v>
      </c>
      <c r="B1279" s="4" t="s">
        <v>383</v>
      </c>
    </row>
    <row r="1280" ht="15.75" customHeight="1">
      <c r="A1280" s="4" t="s">
        <v>105</v>
      </c>
      <c r="B1280" s="4" t="s">
        <v>383</v>
      </c>
    </row>
    <row r="1281" ht="15.75" customHeight="1">
      <c r="A1281" s="4" t="s">
        <v>164</v>
      </c>
      <c r="B1281" s="4" t="s">
        <v>383</v>
      </c>
    </row>
    <row r="1282" ht="15.75" customHeight="1">
      <c r="A1282" s="4" t="s">
        <v>158</v>
      </c>
      <c r="B1282" s="4" t="s">
        <v>383</v>
      </c>
    </row>
    <row r="1283" ht="15.75" customHeight="1">
      <c r="A1283" s="4" t="s">
        <v>61</v>
      </c>
      <c r="B1283" s="4" t="s">
        <v>384</v>
      </c>
    </row>
    <row r="1284" ht="15.75" customHeight="1">
      <c r="A1284" s="4" t="s">
        <v>153</v>
      </c>
      <c r="B1284" s="4" t="s">
        <v>384</v>
      </c>
    </row>
    <row r="1285" ht="15.75" customHeight="1">
      <c r="A1285" s="4" t="s">
        <v>141</v>
      </c>
      <c r="B1285" s="4" t="s">
        <v>384</v>
      </c>
    </row>
    <row r="1286" ht="15.75" customHeight="1">
      <c r="A1286" s="4" t="s">
        <v>189</v>
      </c>
      <c r="B1286" s="4" t="s">
        <v>384</v>
      </c>
    </row>
    <row r="1287" ht="15.75" customHeight="1">
      <c r="A1287" s="4" t="s">
        <v>208</v>
      </c>
      <c r="B1287" s="4" t="s">
        <v>384</v>
      </c>
    </row>
    <row r="1288" ht="15.75" customHeight="1">
      <c r="A1288" s="4" t="s">
        <v>118</v>
      </c>
      <c r="B1288" s="4" t="s">
        <v>384</v>
      </c>
    </row>
    <row r="1289" ht="15.75" customHeight="1">
      <c r="A1289" s="4" t="s">
        <v>134</v>
      </c>
      <c r="B1289" s="4" t="s">
        <v>385</v>
      </c>
    </row>
    <row r="1290" ht="15.75" customHeight="1">
      <c r="A1290" s="4" t="s">
        <v>153</v>
      </c>
      <c r="B1290" s="4" t="s">
        <v>385</v>
      </c>
    </row>
    <row r="1291" ht="15.75" customHeight="1">
      <c r="A1291" s="4" t="s">
        <v>71</v>
      </c>
      <c r="B1291" s="4" t="s">
        <v>385</v>
      </c>
    </row>
    <row r="1292" ht="15.75" customHeight="1">
      <c r="A1292" s="4" t="s">
        <v>157</v>
      </c>
      <c r="B1292" s="4" t="s">
        <v>385</v>
      </c>
    </row>
    <row r="1293" ht="15.75" customHeight="1">
      <c r="A1293" s="4" t="s">
        <v>106</v>
      </c>
      <c r="B1293" s="4" t="s">
        <v>385</v>
      </c>
    </row>
    <row r="1294" ht="15.75" customHeight="1">
      <c r="A1294" s="4" t="s">
        <v>158</v>
      </c>
      <c r="B1294" s="4" t="s">
        <v>385</v>
      </c>
    </row>
    <row r="1295" ht="15.75" customHeight="1">
      <c r="A1295" s="4" t="s">
        <v>159</v>
      </c>
      <c r="B1295" s="4" t="s">
        <v>386</v>
      </c>
    </row>
    <row r="1296" ht="15.75" customHeight="1">
      <c r="A1296" s="4" t="s">
        <v>134</v>
      </c>
      <c r="B1296" s="4" t="s">
        <v>386</v>
      </c>
    </row>
    <row r="1297" ht="15.75" customHeight="1">
      <c r="A1297" s="4" t="s">
        <v>183</v>
      </c>
      <c r="B1297" s="4" t="s">
        <v>386</v>
      </c>
    </row>
    <row r="1298" ht="15.75" customHeight="1">
      <c r="A1298" s="4" t="s">
        <v>166</v>
      </c>
      <c r="B1298" s="4" t="s">
        <v>386</v>
      </c>
    </row>
    <row r="1299" ht="15.75" customHeight="1">
      <c r="A1299" s="4" t="s">
        <v>181</v>
      </c>
      <c r="B1299" s="4" t="s">
        <v>386</v>
      </c>
    </row>
    <row r="1300" ht="15.75" customHeight="1">
      <c r="A1300" s="4" t="s">
        <v>139</v>
      </c>
      <c r="B1300" s="4" t="s">
        <v>386</v>
      </c>
    </row>
    <row r="1301" ht="15.75" customHeight="1">
      <c r="A1301" s="4" t="s">
        <v>63</v>
      </c>
      <c r="B1301" s="4" t="s">
        <v>387</v>
      </c>
    </row>
    <row r="1302" ht="15.75" customHeight="1">
      <c r="A1302" s="4" t="s">
        <v>134</v>
      </c>
      <c r="B1302" s="4" t="s">
        <v>387</v>
      </c>
    </row>
    <row r="1303" ht="15.75" customHeight="1">
      <c r="A1303" s="4" t="s">
        <v>64</v>
      </c>
      <c r="B1303" s="4" t="s">
        <v>387</v>
      </c>
    </row>
    <row r="1304" ht="15.75" customHeight="1">
      <c r="A1304" s="4" t="s">
        <v>207</v>
      </c>
      <c r="B1304" s="4" t="s">
        <v>387</v>
      </c>
    </row>
    <row r="1305" ht="15.75" customHeight="1">
      <c r="A1305" s="4" t="s">
        <v>142</v>
      </c>
      <c r="B1305" s="4" t="s">
        <v>387</v>
      </c>
    </row>
    <row r="1306" ht="15.75" customHeight="1">
      <c r="A1306" s="4" t="s">
        <v>88</v>
      </c>
      <c r="B1306" s="4" t="s">
        <v>387</v>
      </c>
    </row>
    <row r="1307" ht="15.75" customHeight="1">
      <c r="A1307" s="4" t="s">
        <v>169</v>
      </c>
      <c r="B1307" s="4" t="s">
        <v>388</v>
      </c>
    </row>
    <row r="1308" ht="15.75" customHeight="1">
      <c r="A1308" s="4" t="s">
        <v>183</v>
      </c>
      <c r="B1308" s="4" t="s">
        <v>388</v>
      </c>
    </row>
    <row r="1309" ht="15.75" customHeight="1">
      <c r="A1309" s="4" t="s">
        <v>109</v>
      </c>
      <c r="B1309" s="4" t="s">
        <v>388</v>
      </c>
    </row>
    <row r="1310" ht="15.75" customHeight="1">
      <c r="A1310" s="4" t="s">
        <v>123</v>
      </c>
      <c r="B1310" s="4" t="s">
        <v>388</v>
      </c>
    </row>
    <row r="1311" ht="15.75" customHeight="1">
      <c r="A1311" s="4" t="s">
        <v>222</v>
      </c>
      <c r="B1311" s="4" t="s">
        <v>388</v>
      </c>
    </row>
    <row r="1312" ht="15.75" customHeight="1">
      <c r="A1312" s="4" t="s">
        <v>171</v>
      </c>
      <c r="B1312" s="4" t="s">
        <v>388</v>
      </c>
    </row>
    <row r="1313" ht="15.75" customHeight="1">
      <c r="A1313" s="4" t="s">
        <v>114</v>
      </c>
      <c r="B1313" s="4" t="s">
        <v>389</v>
      </c>
    </row>
    <row r="1314" ht="15.75" customHeight="1">
      <c r="A1314" s="4" t="s">
        <v>70</v>
      </c>
      <c r="B1314" s="4" t="s">
        <v>389</v>
      </c>
    </row>
    <row r="1315" ht="15.75" customHeight="1">
      <c r="A1315" s="4" t="s">
        <v>71</v>
      </c>
      <c r="B1315" s="4" t="s">
        <v>389</v>
      </c>
    </row>
    <row r="1316" ht="15.75" customHeight="1">
      <c r="A1316" s="4" t="s">
        <v>207</v>
      </c>
      <c r="B1316" s="4" t="s">
        <v>389</v>
      </c>
    </row>
    <row r="1317" ht="15.75" customHeight="1">
      <c r="A1317" s="4" t="s">
        <v>208</v>
      </c>
      <c r="B1317" s="4" t="s">
        <v>389</v>
      </c>
    </row>
    <row r="1318" ht="15.75" customHeight="1">
      <c r="A1318" s="4" t="s">
        <v>67</v>
      </c>
      <c r="B1318" s="4" t="s">
        <v>389</v>
      </c>
    </row>
    <row r="1319" ht="15.75" customHeight="1">
      <c r="A1319" s="4" t="s">
        <v>132</v>
      </c>
      <c r="B1319" s="4" t="s">
        <v>390</v>
      </c>
    </row>
    <row r="1320" ht="15.75" customHeight="1">
      <c r="A1320" s="4" t="s">
        <v>134</v>
      </c>
      <c r="B1320" s="4" t="s">
        <v>390</v>
      </c>
    </row>
    <row r="1321" ht="15.75" customHeight="1">
      <c r="A1321" s="4" t="s">
        <v>183</v>
      </c>
      <c r="B1321" s="4" t="s">
        <v>390</v>
      </c>
    </row>
    <row r="1322" ht="15.75" customHeight="1">
      <c r="A1322" s="4" t="s">
        <v>195</v>
      </c>
      <c r="B1322" s="4" t="s">
        <v>390</v>
      </c>
    </row>
    <row r="1323" ht="15.75" customHeight="1">
      <c r="A1323" s="4" t="s">
        <v>196</v>
      </c>
      <c r="B1323" s="4" t="s">
        <v>390</v>
      </c>
    </row>
    <row r="1324" ht="15.75" customHeight="1">
      <c r="A1324" s="4" t="s">
        <v>220</v>
      </c>
      <c r="B1324" s="4" t="s">
        <v>390</v>
      </c>
    </row>
    <row r="1325" ht="15.75" customHeight="1">
      <c r="A1325" s="4" t="s">
        <v>134</v>
      </c>
      <c r="B1325" s="4" t="s">
        <v>391</v>
      </c>
    </row>
    <row r="1326" ht="15.75" customHeight="1">
      <c r="A1326" s="4" t="s">
        <v>85</v>
      </c>
      <c r="B1326" s="4" t="s">
        <v>391</v>
      </c>
    </row>
    <row r="1327" ht="15.75" customHeight="1">
      <c r="A1327" s="4" t="s">
        <v>175</v>
      </c>
      <c r="B1327" s="4" t="s">
        <v>391</v>
      </c>
    </row>
    <row r="1328" ht="15.75" customHeight="1">
      <c r="A1328" s="4" t="s">
        <v>195</v>
      </c>
      <c r="B1328" s="4" t="s">
        <v>391</v>
      </c>
    </row>
    <row r="1329" ht="15.75" customHeight="1">
      <c r="A1329" s="4" t="s">
        <v>162</v>
      </c>
      <c r="B1329" s="4" t="s">
        <v>391</v>
      </c>
    </row>
    <row r="1330" ht="15.75" customHeight="1">
      <c r="A1330" s="4" t="s">
        <v>212</v>
      </c>
      <c r="B1330" s="4" t="s">
        <v>391</v>
      </c>
    </row>
    <row r="1331" ht="15.75" customHeight="1">
      <c r="A1331" s="4" t="s">
        <v>63</v>
      </c>
      <c r="B1331" s="4" t="s">
        <v>392</v>
      </c>
    </row>
    <row r="1332" ht="15.75" customHeight="1">
      <c r="A1332" s="4" t="s">
        <v>100</v>
      </c>
      <c r="B1332" s="4" t="s">
        <v>392</v>
      </c>
    </row>
    <row r="1333" ht="15.75" customHeight="1">
      <c r="A1333" s="4" t="s">
        <v>104</v>
      </c>
      <c r="B1333" s="4" t="s">
        <v>392</v>
      </c>
    </row>
    <row r="1334" ht="15.75" customHeight="1">
      <c r="A1334" s="4" t="s">
        <v>176</v>
      </c>
      <c r="B1334" s="4" t="s">
        <v>392</v>
      </c>
    </row>
    <row r="1335" ht="15.75" customHeight="1">
      <c r="A1335" s="4" t="s">
        <v>187</v>
      </c>
      <c r="B1335" s="4" t="s">
        <v>392</v>
      </c>
    </row>
    <row r="1336" ht="15.75" customHeight="1">
      <c r="A1336" s="4" t="s">
        <v>145</v>
      </c>
      <c r="B1336" s="4" t="s">
        <v>392</v>
      </c>
    </row>
    <row r="1337" ht="15.75" customHeight="1">
      <c r="A1337" s="4" t="s">
        <v>190</v>
      </c>
      <c r="B1337" s="4" t="s">
        <v>393</v>
      </c>
    </row>
    <row r="1338" ht="15.75" customHeight="1">
      <c r="A1338" s="4" t="s">
        <v>68</v>
      </c>
      <c r="B1338" s="4" t="s">
        <v>393</v>
      </c>
    </row>
    <row r="1339" ht="15.75" customHeight="1">
      <c r="A1339" s="4" t="s">
        <v>78</v>
      </c>
      <c r="B1339" s="4" t="s">
        <v>393</v>
      </c>
    </row>
    <row r="1340" ht="15.75" customHeight="1">
      <c r="A1340" s="4" t="s">
        <v>149</v>
      </c>
      <c r="B1340" s="4" t="s">
        <v>393</v>
      </c>
    </row>
    <row r="1341" ht="15.75" customHeight="1">
      <c r="A1341" s="4" t="s">
        <v>106</v>
      </c>
      <c r="B1341" s="4" t="s">
        <v>393</v>
      </c>
    </row>
    <row r="1342" ht="15.75" customHeight="1">
      <c r="A1342" s="4" t="s">
        <v>107</v>
      </c>
      <c r="B1342" s="4" t="s">
        <v>393</v>
      </c>
    </row>
    <row r="1343" ht="15.75" customHeight="1">
      <c r="A1343" s="4" t="s">
        <v>204</v>
      </c>
      <c r="B1343" s="4" t="s">
        <v>394</v>
      </c>
    </row>
    <row r="1344" ht="15.75" customHeight="1">
      <c r="A1344" s="4" t="s">
        <v>137</v>
      </c>
      <c r="B1344" s="4" t="s">
        <v>394</v>
      </c>
    </row>
    <row r="1345" ht="15.75" customHeight="1">
      <c r="A1345" s="4" t="s">
        <v>215</v>
      </c>
      <c r="B1345" s="4" t="s">
        <v>394</v>
      </c>
    </row>
    <row r="1346" ht="15.75" customHeight="1">
      <c r="A1346" s="4" t="s">
        <v>240</v>
      </c>
      <c r="B1346" s="4" t="s">
        <v>394</v>
      </c>
    </row>
    <row r="1347" ht="15.75" customHeight="1">
      <c r="A1347" s="4" t="s">
        <v>208</v>
      </c>
      <c r="B1347" s="4" t="s">
        <v>394</v>
      </c>
    </row>
    <row r="1348" ht="15.75" customHeight="1">
      <c r="A1348" s="4" t="s">
        <v>94</v>
      </c>
      <c r="B1348" s="4" t="s">
        <v>394</v>
      </c>
    </row>
    <row r="1349" ht="15.75" customHeight="1">
      <c r="A1349" s="4" t="s">
        <v>95</v>
      </c>
      <c r="B1349" s="4" t="s">
        <v>395</v>
      </c>
    </row>
    <row r="1350" ht="15.75" customHeight="1">
      <c r="A1350" s="4" t="s">
        <v>134</v>
      </c>
      <c r="B1350" s="4" t="s">
        <v>395</v>
      </c>
    </row>
    <row r="1351" ht="15.75" customHeight="1">
      <c r="A1351" s="4" t="s">
        <v>129</v>
      </c>
      <c r="B1351" s="4" t="s">
        <v>395</v>
      </c>
    </row>
    <row r="1352" ht="15.75" customHeight="1">
      <c r="A1352" s="4" t="s">
        <v>149</v>
      </c>
      <c r="B1352" s="4" t="s">
        <v>395</v>
      </c>
    </row>
    <row r="1353" ht="15.75" customHeight="1">
      <c r="A1353" s="4" t="s">
        <v>222</v>
      </c>
      <c r="B1353" s="4" t="s">
        <v>395</v>
      </c>
    </row>
    <row r="1354" ht="15.75" customHeight="1">
      <c r="A1354" s="4" t="s">
        <v>171</v>
      </c>
      <c r="B1354" s="4" t="s">
        <v>395</v>
      </c>
    </row>
    <row r="1355" ht="15.75" customHeight="1">
      <c r="A1355" s="4" t="s">
        <v>95</v>
      </c>
      <c r="B1355" s="4" t="s">
        <v>396</v>
      </c>
    </row>
    <row r="1356" ht="15.75" customHeight="1">
      <c r="A1356" s="4" t="s">
        <v>134</v>
      </c>
      <c r="B1356" s="4" t="s">
        <v>396</v>
      </c>
    </row>
    <row r="1357" ht="15.75" customHeight="1">
      <c r="A1357" s="4" t="s">
        <v>170</v>
      </c>
      <c r="B1357" s="4" t="s">
        <v>396</v>
      </c>
    </row>
    <row r="1358" ht="15.75" customHeight="1">
      <c r="A1358" s="4" t="s">
        <v>149</v>
      </c>
      <c r="B1358" s="4" t="s">
        <v>396</v>
      </c>
    </row>
    <row r="1359" ht="15.75" customHeight="1">
      <c r="A1359" s="4" t="s">
        <v>222</v>
      </c>
      <c r="B1359" s="4" t="s">
        <v>396</v>
      </c>
    </row>
    <row r="1360" ht="15.75" customHeight="1">
      <c r="A1360" s="4" t="s">
        <v>171</v>
      </c>
      <c r="B1360" s="4" t="s">
        <v>396</v>
      </c>
    </row>
    <row r="1361" ht="15.75" customHeight="1">
      <c r="A1361" s="4" t="s">
        <v>82</v>
      </c>
      <c r="B1361" s="4" t="s">
        <v>397</v>
      </c>
    </row>
    <row r="1362" ht="15.75" customHeight="1">
      <c r="A1362" s="4" t="s">
        <v>109</v>
      </c>
      <c r="B1362" s="4" t="s">
        <v>397</v>
      </c>
    </row>
    <row r="1363" ht="15.75" customHeight="1">
      <c r="A1363" s="4" t="s">
        <v>104</v>
      </c>
      <c r="B1363" s="4" t="s">
        <v>397</v>
      </c>
    </row>
    <row r="1364" ht="15.75" customHeight="1">
      <c r="A1364" s="4" t="s">
        <v>149</v>
      </c>
      <c r="B1364" s="4" t="s">
        <v>397</v>
      </c>
    </row>
    <row r="1365" ht="15.75" customHeight="1">
      <c r="A1365" s="4" t="s">
        <v>222</v>
      </c>
      <c r="B1365" s="4" t="s">
        <v>397</v>
      </c>
    </row>
    <row r="1366" ht="15.75" customHeight="1">
      <c r="A1366" s="4" t="s">
        <v>107</v>
      </c>
      <c r="B1366" s="4" t="s">
        <v>397</v>
      </c>
    </row>
    <row r="1367" ht="15.75" customHeight="1">
      <c r="A1367" s="4" t="s">
        <v>132</v>
      </c>
      <c r="B1367" s="4" t="s">
        <v>398</v>
      </c>
    </row>
    <row r="1368" ht="15.75" customHeight="1">
      <c r="A1368" s="4" t="s">
        <v>97</v>
      </c>
      <c r="B1368" s="4" t="s">
        <v>398</v>
      </c>
    </row>
    <row r="1369" ht="15.75" customHeight="1">
      <c r="A1369" s="4" t="s">
        <v>120</v>
      </c>
      <c r="B1369" s="4" t="s">
        <v>398</v>
      </c>
    </row>
    <row r="1370" ht="15.75" customHeight="1">
      <c r="A1370" s="4" t="s">
        <v>110</v>
      </c>
      <c r="B1370" s="4" t="s">
        <v>398</v>
      </c>
    </row>
    <row r="1371" ht="15.75" customHeight="1">
      <c r="A1371" s="4" t="s">
        <v>124</v>
      </c>
      <c r="B1371" s="4" t="s">
        <v>398</v>
      </c>
    </row>
    <row r="1372" ht="15.75" customHeight="1">
      <c r="A1372" s="4" t="s">
        <v>158</v>
      </c>
      <c r="B1372" s="4" t="s">
        <v>398</v>
      </c>
    </row>
    <row r="1373" ht="15.75" customHeight="1">
      <c r="A1373" s="4" t="s">
        <v>143</v>
      </c>
      <c r="B1373" s="4" t="s">
        <v>399</v>
      </c>
    </row>
    <row r="1374" ht="15.75" customHeight="1">
      <c r="A1374" s="4" t="s">
        <v>198</v>
      </c>
      <c r="B1374" s="4" t="s">
        <v>399</v>
      </c>
    </row>
    <row r="1375" ht="15.75" customHeight="1">
      <c r="A1375" s="4" t="s">
        <v>85</v>
      </c>
      <c r="B1375" s="4" t="s">
        <v>399</v>
      </c>
    </row>
    <row r="1376" ht="15.75" customHeight="1">
      <c r="A1376" s="4" t="s">
        <v>240</v>
      </c>
      <c r="B1376" s="4" t="s">
        <v>399</v>
      </c>
    </row>
    <row r="1377" ht="15.75" customHeight="1">
      <c r="A1377" s="4" t="s">
        <v>66</v>
      </c>
      <c r="B1377" s="4" t="s">
        <v>399</v>
      </c>
    </row>
    <row r="1378" ht="15.75" customHeight="1">
      <c r="A1378" s="4" t="s">
        <v>81</v>
      </c>
      <c r="B1378" s="4" t="s">
        <v>399</v>
      </c>
    </row>
    <row r="1379" ht="15.75" customHeight="1">
      <c r="A1379" s="4" t="s">
        <v>226</v>
      </c>
      <c r="B1379" s="4" t="s">
        <v>400</v>
      </c>
    </row>
    <row r="1380" ht="15.75" customHeight="1">
      <c r="A1380" s="4" t="s">
        <v>100</v>
      </c>
      <c r="B1380" s="4" t="s">
        <v>400</v>
      </c>
    </row>
    <row r="1381" ht="15.75" customHeight="1">
      <c r="A1381" s="4" t="s">
        <v>194</v>
      </c>
      <c r="B1381" s="4" t="s">
        <v>400</v>
      </c>
    </row>
    <row r="1382" ht="15.75" customHeight="1">
      <c r="A1382" s="4" t="s">
        <v>240</v>
      </c>
      <c r="B1382" s="4" t="s">
        <v>400</v>
      </c>
    </row>
    <row r="1383" ht="15.75" customHeight="1">
      <c r="A1383" s="4" t="s">
        <v>142</v>
      </c>
      <c r="B1383" s="4" t="s">
        <v>400</v>
      </c>
    </row>
    <row r="1384" ht="15.75" customHeight="1">
      <c r="A1384" s="4" t="s">
        <v>241</v>
      </c>
      <c r="B1384" s="4" t="s">
        <v>400</v>
      </c>
    </row>
    <row r="1385" ht="15.75" customHeight="1">
      <c r="A1385" s="4" t="s">
        <v>61</v>
      </c>
      <c r="B1385" s="4" t="s">
        <v>401</v>
      </c>
    </row>
    <row r="1386" ht="15.75" customHeight="1">
      <c r="A1386" s="4" t="s">
        <v>91</v>
      </c>
      <c r="B1386" s="4" t="s">
        <v>401</v>
      </c>
    </row>
    <row r="1387" ht="15.75" customHeight="1">
      <c r="A1387" s="4" t="s">
        <v>109</v>
      </c>
      <c r="B1387" s="4" t="s">
        <v>401</v>
      </c>
    </row>
    <row r="1388" ht="15.75" customHeight="1">
      <c r="A1388" s="4" t="s">
        <v>240</v>
      </c>
      <c r="B1388" s="4" t="s">
        <v>401</v>
      </c>
    </row>
    <row r="1389" ht="15.75" customHeight="1">
      <c r="A1389" s="4" t="s">
        <v>208</v>
      </c>
      <c r="B1389" s="4" t="s">
        <v>401</v>
      </c>
    </row>
    <row r="1390" ht="15.75" customHeight="1">
      <c r="A1390" s="4" t="s">
        <v>241</v>
      </c>
      <c r="B1390" s="4" t="s">
        <v>401</v>
      </c>
    </row>
    <row r="1391" ht="15.75" customHeight="1">
      <c r="A1391" s="4" t="s">
        <v>134</v>
      </c>
      <c r="B1391" s="4" t="s">
        <v>402</v>
      </c>
    </row>
    <row r="1392" ht="15.75" customHeight="1">
      <c r="A1392" s="4" t="s">
        <v>77</v>
      </c>
      <c r="B1392" s="4" t="s">
        <v>402</v>
      </c>
    </row>
    <row r="1393" ht="15.75" customHeight="1">
      <c r="A1393" s="4" t="s">
        <v>175</v>
      </c>
      <c r="B1393" s="4" t="s">
        <v>402</v>
      </c>
    </row>
    <row r="1394" ht="15.75" customHeight="1">
      <c r="A1394" s="4" t="s">
        <v>240</v>
      </c>
      <c r="B1394" s="4" t="s">
        <v>402</v>
      </c>
    </row>
    <row r="1395" ht="15.75" customHeight="1">
      <c r="A1395" s="4" t="s">
        <v>117</v>
      </c>
      <c r="B1395" s="4" t="s">
        <v>402</v>
      </c>
    </row>
    <row r="1396" ht="15.75" customHeight="1">
      <c r="A1396" s="4" t="s">
        <v>81</v>
      </c>
      <c r="B1396" s="4" t="s">
        <v>402</v>
      </c>
    </row>
    <row r="1397" ht="15.75" customHeight="1">
      <c r="A1397" s="4" t="s">
        <v>82</v>
      </c>
      <c r="B1397" s="4" t="s">
        <v>403</v>
      </c>
    </row>
    <row r="1398" ht="15.75" customHeight="1">
      <c r="A1398" s="4" t="s">
        <v>198</v>
      </c>
      <c r="B1398" s="4" t="s">
        <v>403</v>
      </c>
    </row>
    <row r="1399" ht="15.75" customHeight="1">
      <c r="A1399" s="4" t="s">
        <v>156</v>
      </c>
      <c r="B1399" s="4" t="s">
        <v>403</v>
      </c>
    </row>
    <row r="1400" ht="15.75" customHeight="1">
      <c r="A1400" s="4" t="s">
        <v>86</v>
      </c>
      <c r="B1400" s="4" t="s">
        <v>403</v>
      </c>
    </row>
    <row r="1401" ht="15.75" customHeight="1">
      <c r="A1401" s="4" t="s">
        <v>87</v>
      </c>
      <c r="B1401" s="4" t="s">
        <v>403</v>
      </c>
    </row>
    <row r="1402" ht="15.75" customHeight="1">
      <c r="A1402" s="4" t="s">
        <v>185</v>
      </c>
      <c r="B1402" s="4" t="s">
        <v>403</v>
      </c>
    </row>
    <row r="1403" ht="15.75" customHeight="1">
      <c r="A1403" s="4" t="s">
        <v>148</v>
      </c>
      <c r="B1403" s="4" t="s">
        <v>404</v>
      </c>
    </row>
    <row r="1404" ht="15.75" customHeight="1">
      <c r="A1404" s="4" t="s">
        <v>77</v>
      </c>
      <c r="B1404" s="4" t="s">
        <v>404</v>
      </c>
    </row>
    <row r="1405" ht="15.75" customHeight="1">
      <c r="A1405" s="4" t="s">
        <v>78</v>
      </c>
      <c r="B1405" s="4" t="s">
        <v>404</v>
      </c>
    </row>
    <row r="1406" ht="15.75" customHeight="1">
      <c r="A1406" s="4" t="s">
        <v>72</v>
      </c>
      <c r="B1406" s="4" t="s">
        <v>404</v>
      </c>
    </row>
    <row r="1407" ht="15.75" customHeight="1">
      <c r="A1407" s="4" t="s">
        <v>142</v>
      </c>
      <c r="B1407" s="4" t="s">
        <v>404</v>
      </c>
    </row>
    <row r="1408" ht="15.75" customHeight="1">
      <c r="A1408" s="4" t="s">
        <v>94</v>
      </c>
      <c r="B1408" s="4" t="s">
        <v>404</v>
      </c>
    </row>
    <row r="1409" ht="15.75" customHeight="1">
      <c r="A1409" s="4" t="s">
        <v>95</v>
      </c>
      <c r="B1409" s="4" t="s">
        <v>405</v>
      </c>
    </row>
    <row r="1410" ht="15.75" customHeight="1">
      <c r="A1410" s="4" t="s">
        <v>97</v>
      </c>
      <c r="B1410" s="4" t="s">
        <v>405</v>
      </c>
    </row>
    <row r="1411" ht="15.75" customHeight="1">
      <c r="A1411" s="4" t="s">
        <v>104</v>
      </c>
      <c r="B1411" s="4" t="s">
        <v>405</v>
      </c>
    </row>
    <row r="1412" ht="15.75" customHeight="1">
      <c r="A1412" s="4" t="s">
        <v>99</v>
      </c>
      <c r="B1412" s="4" t="s">
        <v>405</v>
      </c>
    </row>
    <row r="1413" ht="15.75" customHeight="1">
      <c r="A1413" s="4" t="s">
        <v>93</v>
      </c>
      <c r="B1413" s="4" t="s">
        <v>405</v>
      </c>
    </row>
    <row r="1414" ht="15.75" customHeight="1">
      <c r="A1414" s="4" t="s">
        <v>241</v>
      </c>
      <c r="B1414" s="4" t="s">
        <v>405</v>
      </c>
    </row>
    <row r="1415" ht="15.75" customHeight="1">
      <c r="A1415" s="4" t="s">
        <v>159</v>
      </c>
      <c r="B1415" s="4" t="s">
        <v>406</v>
      </c>
    </row>
    <row r="1416" ht="15.75" customHeight="1">
      <c r="A1416" s="4" t="s">
        <v>169</v>
      </c>
      <c r="B1416" s="4" t="s">
        <v>406</v>
      </c>
    </row>
    <row r="1417" ht="15.75" customHeight="1">
      <c r="A1417" s="4" t="s">
        <v>71</v>
      </c>
      <c r="B1417" s="4" t="s">
        <v>406</v>
      </c>
    </row>
    <row r="1418" ht="15.75" customHeight="1">
      <c r="A1418" s="4" t="s">
        <v>123</v>
      </c>
      <c r="B1418" s="4" t="s">
        <v>406</v>
      </c>
    </row>
    <row r="1419" ht="15.75" customHeight="1">
      <c r="A1419" s="4" t="s">
        <v>162</v>
      </c>
      <c r="B1419" s="4" t="s">
        <v>406</v>
      </c>
    </row>
    <row r="1420" ht="15.75" customHeight="1">
      <c r="A1420" s="4" t="s">
        <v>171</v>
      </c>
      <c r="B1420" s="4" t="s">
        <v>406</v>
      </c>
    </row>
    <row r="1421" ht="15.75" customHeight="1">
      <c r="A1421" s="4" t="s">
        <v>68</v>
      </c>
      <c r="B1421" s="4" t="s">
        <v>407</v>
      </c>
    </row>
    <row r="1422" ht="15.75" customHeight="1">
      <c r="A1422" s="4" t="s">
        <v>169</v>
      </c>
      <c r="B1422" s="4" t="s">
        <v>407</v>
      </c>
    </row>
    <row r="1423" ht="15.75" customHeight="1">
      <c r="A1423" s="4" t="s">
        <v>178</v>
      </c>
      <c r="B1423" s="4" t="s">
        <v>407</v>
      </c>
    </row>
    <row r="1424" ht="15.75" customHeight="1">
      <c r="A1424" s="4" t="s">
        <v>149</v>
      </c>
      <c r="B1424" s="4" t="s">
        <v>407</v>
      </c>
    </row>
    <row r="1425" ht="15.75" customHeight="1">
      <c r="A1425" s="4" t="s">
        <v>150</v>
      </c>
      <c r="B1425" s="4" t="s">
        <v>407</v>
      </c>
    </row>
    <row r="1426" ht="15.75" customHeight="1">
      <c r="A1426" s="4" t="s">
        <v>171</v>
      </c>
      <c r="B1426" s="4" t="s">
        <v>407</v>
      </c>
    </row>
    <row r="1427" ht="15.75" customHeight="1">
      <c r="A1427" s="4" t="s">
        <v>190</v>
      </c>
      <c r="B1427" s="4" t="s">
        <v>408</v>
      </c>
    </row>
    <row r="1428" ht="15.75" customHeight="1">
      <c r="A1428" s="4" t="s">
        <v>146</v>
      </c>
      <c r="B1428" s="4" t="s">
        <v>408</v>
      </c>
    </row>
    <row r="1429" ht="15.75" customHeight="1">
      <c r="A1429" s="4" t="s">
        <v>78</v>
      </c>
      <c r="B1429" s="4" t="s">
        <v>408</v>
      </c>
    </row>
    <row r="1430" ht="15.75" customHeight="1">
      <c r="A1430" s="4" t="s">
        <v>195</v>
      </c>
      <c r="B1430" s="4" t="s">
        <v>408</v>
      </c>
    </row>
    <row r="1431" ht="15.75" customHeight="1">
      <c r="A1431" s="4" t="s">
        <v>181</v>
      </c>
      <c r="B1431" s="4" t="s">
        <v>408</v>
      </c>
    </row>
    <row r="1432" ht="15.75" customHeight="1">
      <c r="A1432" s="4" t="s">
        <v>136</v>
      </c>
      <c r="B1432" s="4" t="s">
        <v>408</v>
      </c>
    </row>
    <row r="1433" ht="15.75" customHeight="1">
      <c r="A1433" s="4" t="s">
        <v>95</v>
      </c>
      <c r="B1433" s="4" t="s">
        <v>409</v>
      </c>
    </row>
    <row r="1434" ht="15.75" customHeight="1">
      <c r="A1434" s="4" t="s">
        <v>97</v>
      </c>
      <c r="B1434" s="4" t="s">
        <v>409</v>
      </c>
    </row>
    <row r="1435" ht="15.75" customHeight="1">
      <c r="A1435" s="4" t="s">
        <v>104</v>
      </c>
      <c r="B1435" s="4" t="s">
        <v>409</v>
      </c>
    </row>
    <row r="1436" ht="15.75" customHeight="1">
      <c r="A1436" s="4" t="s">
        <v>105</v>
      </c>
      <c r="B1436" s="4" t="s">
        <v>409</v>
      </c>
    </row>
    <row r="1437" ht="15.75" customHeight="1">
      <c r="A1437" s="4" t="s">
        <v>187</v>
      </c>
      <c r="B1437" s="4" t="s">
        <v>409</v>
      </c>
    </row>
    <row r="1438" ht="15.75" customHeight="1">
      <c r="A1438" s="4" t="s">
        <v>127</v>
      </c>
      <c r="B1438" s="4" t="s">
        <v>409</v>
      </c>
    </row>
    <row r="1439" ht="15.75" customHeight="1">
      <c r="A1439" s="4" t="s">
        <v>82</v>
      </c>
      <c r="B1439" s="4" t="s">
        <v>410</v>
      </c>
    </row>
    <row r="1440" ht="15.75" customHeight="1">
      <c r="A1440" s="4" t="s">
        <v>153</v>
      </c>
      <c r="B1440" s="4" t="s">
        <v>410</v>
      </c>
    </row>
    <row r="1441" ht="15.75" customHeight="1">
      <c r="A1441" s="4" t="s">
        <v>141</v>
      </c>
      <c r="B1441" s="4" t="s">
        <v>410</v>
      </c>
    </row>
    <row r="1442" ht="15.75" customHeight="1">
      <c r="A1442" s="4" t="s">
        <v>86</v>
      </c>
      <c r="B1442" s="4" t="s">
        <v>410</v>
      </c>
    </row>
    <row r="1443" ht="15.75" customHeight="1">
      <c r="A1443" s="4" t="s">
        <v>131</v>
      </c>
      <c r="B1443" s="4" t="s">
        <v>410</v>
      </c>
    </row>
    <row r="1444" ht="15.75" customHeight="1">
      <c r="A1444" s="4" t="s">
        <v>118</v>
      </c>
      <c r="B1444" s="4" t="s">
        <v>410</v>
      </c>
    </row>
    <row r="1445" ht="15.75" customHeight="1">
      <c r="A1445" s="4" t="s">
        <v>190</v>
      </c>
      <c r="B1445" s="4" t="s">
        <v>411</v>
      </c>
    </row>
    <row r="1446" ht="15.75" customHeight="1">
      <c r="A1446" s="4" t="s">
        <v>198</v>
      </c>
      <c r="B1446" s="4" t="s">
        <v>411</v>
      </c>
    </row>
    <row r="1447" ht="15.75" customHeight="1">
      <c r="A1447" s="4" t="s">
        <v>77</v>
      </c>
      <c r="B1447" s="4" t="s">
        <v>411</v>
      </c>
    </row>
    <row r="1448" ht="15.75" customHeight="1">
      <c r="A1448" s="4" t="s">
        <v>79</v>
      </c>
      <c r="B1448" s="4" t="s">
        <v>411</v>
      </c>
    </row>
    <row r="1449" ht="15.75" customHeight="1">
      <c r="A1449" s="4" t="s">
        <v>87</v>
      </c>
      <c r="B1449" s="4" t="s">
        <v>411</v>
      </c>
    </row>
    <row r="1450" ht="15.75" customHeight="1">
      <c r="A1450" s="4" t="s">
        <v>241</v>
      </c>
      <c r="B1450" s="4" t="s">
        <v>411</v>
      </c>
    </row>
    <row r="1451" ht="15.75" customHeight="1">
      <c r="A1451" s="4" t="s">
        <v>226</v>
      </c>
      <c r="B1451" s="4" t="s">
        <v>412</v>
      </c>
    </row>
    <row r="1452" ht="15.75" customHeight="1">
      <c r="A1452" s="4" t="s">
        <v>68</v>
      </c>
      <c r="B1452" s="4" t="s">
        <v>412</v>
      </c>
    </row>
    <row r="1453" ht="15.75" customHeight="1">
      <c r="A1453" s="4" t="s">
        <v>198</v>
      </c>
      <c r="B1453" s="4" t="s">
        <v>412</v>
      </c>
    </row>
    <row r="1454" ht="15.75" customHeight="1">
      <c r="A1454" s="4" t="s">
        <v>149</v>
      </c>
      <c r="B1454" s="4" t="s">
        <v>412</v>
      </c>
    </row>
    <row r="1455" ht="15.75" customHeight="1">
      <c r="A1455" s="4" t="s">
        <v>124</v>
      </c>
      <c r="B1455" s="4" t="s">
        <v>412</v>
      </c>
    </row>
    <row r="1456" ht="15.75" customHeight="1">
      <c r="A1456" s="4" t="s">
        <v>107</v>
      </c>
      <c r="B1456" s="4" t="s">
        <v>412</v>
      </c>
    </row>
    <row r="1457" ht="15.75" customHeight="1">
      <c r="A1457" s="4" t="s">
        <v>68</v>
      </c>
      <c r="B1457" s="4" t="s">
        <v>413</v>
      </c>
    </row>
    <row r="1458" ht="15.75" customHeight="1">
      <c r="A1458" s="4" t="s">
        <v>75</v>
      </c>
      <c r="B1458" s="4" t="s">
        <v>413</v>
      </c>
    </row>
    <row r="1459" ht="15.75" customHeight="1">
      <c r="A1459" s="4" t="s">
        <v>120</v>
      </c>
      <c r="B1459" s="4" t="s">
        <v>413</v>
      </c>
    </row>
    <row r="1460" ht="15.75" customHeight="1">
      <c r="A1460" s="4" t="s">
        <v>105</v>
      </c>
      <c r="B1460" s="4" t="s">
        <v>413</v>
      </c>
    </row>
    <row r="1461" ht="15.75" customHeight="1">
      <c r="A1461" s="4" t="s">
        <v>162</v>
      </c>
      <c r="B1461" s="4" t="s">
        <v>413</v>
      </c>
    </row>
    <row r="1462" ht="15.75" customHeight="1">
      <c r="A1462" s="4" t="s">
        <v>107</v>
      </c>
      <c r="B1462" s="4" t="s">
        <v>413</v>
      </c>
    </row>
    <row r="1463" ht="15.75" customHeight="1">
      <c r="A1463" s="4" t="s">
        <v>100</v>
      </c>
      <c r="B1463" s="4" t="s">
        <v>414</v>
      </c>
    </row>
    <row r="1464" ht="15.75" customHeight="1">
      <c r="A1464" s="4" t="s">
        <v>132</v>
      </c>
      <c r="B1464" s="4" t="s">
        <v>414</v>
      </c>
    </row>
    <row r="1465" ht="15.75" customHeight="1">
      <c r="A1465" s="4" t="s">
        <v>141</v>
      </c>
      <c r="B1465" s="4" t="s">
        <v>414</v>
      </c>
    </row>
    <row r="1466" ht="15.75" customHeight="1">
      <c r="A1466" s="4" t="s">
        <v>184</v>
      </c>
      <c r="B1466" s="4" t="s">
        <v>414</v>
      </c>
    </row>
    <row r="1467" ht="15.75" customHeight="1">
      <c r="A1467" s="4" t="s">
        <v>80</v>
      </c>
      <c r="B1467" s="4" t="s">
        <v>414</v>
      </c>
    </row>
    <row r="1468" ht="15.75" customHeight="1">
      <c r="A1468" s="4" t="s">
        <v>185</v>
      </c>
      <c r="B1468" s="4" t="s">
        <v>414</v>
      </c>
    </row>
    <row r="1469" ht="15.75" customHeight="1">
      <c r="A1469" s="4" t="s">
        <v>100</v>
      </c>
      <c r="B1469" s="4" t="s">
        <v>415</v>
      </c>
    </row>
    <row r="1470" ht="15.75" customHeight="1">
      <c r="A1470" s="4" t="s">
        <v>137</v>
      </c>
      <c r="B1470" s="4" t="s">
        <v>415</v>
      </c>
    </row>
    <row r="1471" ht="15.75" customHeight="1">
      <c r="A1471" s="4" t="s">
        <v>141</v>
      </c>
      <c r="B1471" s="4" t="s">
        <v>415</v>
      </c>
    </row>
    <row r="1472" ht="15.75" customHeight="1">
      <c r="A1472" s="4" t="s">
        <v>240</v>
      </c>
      <c r="B1472" s="4" t="s">
        <v>415</v>
      </c>
    </row>
    <row r="1473" ht="15.75" customHeight="1">
      <c r="A1473" s="4" t="s">
        <v>73</v>
      </c>
      <c r="B1473" s="4" t="s">
        <v>415</v>
      </c>
    </row>
    <row r="1474" ht="15.75" customHeight="1">
      <c r="A1474" s="4" t="s">
        <v>94</v>
      </c>
      <c r="B1474" s="4" t="s">
        <v>415</v>
      </c>
    </row>
    <row r="1475" ht="15.75" customHeight="1">
      <c r="A1475" s="4" t="s">
        <v>100</v>
      </c>
      <c r="B1475" s="4" t="s">
        <v>416</v>
      </c>
    </row>
    <row r="1476" ht="15.75" customHeight="1">
      <c r="A1476" s="4" t="s">
        <v>132</v>
      </c>
      <c r="B1476" s="4" t="s">
        <v>416</v>
      </c>
    </row>
    <row r="1477" ht="15.75" customHeight="1">
      <c r="A1477" s="4" t="s">
        <v>91</v>
      </c>
      <c r="B1477" s="4" t="s">
        <v>416</v>
      </c>
    </row>
    <row r="1478" ht="15.75" customHeight="1">
      <c r="A1478" s="4" t="s">
        <v>184</v>
      </c>
      <c r="B1478" s="4" t="s">
        <v>416</v>
      </c>
    </row>
    <row r="1479" ht="15.75" customHeight="1">
      <c r="A1479" s="4" t="s">
        <v>80</v>
      </c>
      <c r="B1479" s="4" t="s">
        <v>416</v>
      </c>
    </row>
    <row r="1480" ht="15.75" customHeight="1">
      <c r="A1480" s="4" t="s">
        <v>185</v>
      </c>
      <c r="B1480" s="4" t="s">
        <v>416</v>
      </c>
    </row>
    <row r="1481" ht="15.75" customHeight="1">
      <c r="A1481" s="4" t="s">
        <v>61</v>
      </c>
      <c r="B1481" s="4" t="s">
        <v>417</v>
      </c>
    </row>
    <row r="1482" ht="15.75" customHeight="1">
      <c r="A1482" s="4" t="s">
        <v>132</v>
      </c>
      <c r="B1482" s="4" t="s">
        <v>417</v>
      </c>
    </row>
    <row r="1483" ht="15.75" customHeight="1">
      <c r="A1483" s="4" t="s">
        <v>120</v>
      </c>
      <c r="B1483" s="4" t="s">
        <v>417</v>
      </c>
    </row>
    <row r="1484" ht="15.75" customHeight="1">
      <c r="A1484" s="4" t="s">
        <v>207</v>
      </c>
      <c r="B1484" s="4" t="s">
        <v>417</v>
      </c>
    </row>
    <row r="1485" ht="15.75" customHeight="1">
      <c r="A1485" s="4" t="s">
        <v>73</v>
      </c>
      <c r="B1485" s="4" t="s">
        <v>417</v>
      </c>
    </row>
    <row r="1486" ht="15.75" customHeight="1">
      <c r="A1486" s="4" t="s">
        <v>185</v>
      </c>
      <c r="B1486" s="4" t="s">
        <v>417</v>
      </c>
    </row>
    <row r="1487" ht="15.75" customHeight="1">
      <c r="A1487" s="4" t="s">
        <v>82</v>
      </c>
      <c r="B1487" s="4" t="s">
        <v>418</v>
      </c>
    </row>
    <row r="1488" ht="15.75" customHeight="1">
      <c r="A1488" s="4" t="s">
        <v>183</v>
      </c>
      <c r="B1488" s="4" t="s">
        <v>418</v>
      </c>
    </row>
    <row r="1489" ht="15.75" customHeight="1">
      <c r="A1489" s="4" t="s">
        <v>153</v>
      </c>
      <c r="B1489" s="4" t="s">
        <v>418</v>
      </c>
    </row>
    <row r="1490" ht="15.75" customHeight="1">
      <c r="A1490" s="4" t="s">
        <v>135</v>
      </c>
      <c r="B1490" s="4" t="s">
        <v>418</v>
      </c>
    </row>
    <row r="1491" ht="15.75" customHeight="1">
      <c r="A1491" s="4" t="s">
        <v>187</v>
      </c>
      <c r="B1491" s="4" t="s">
        <v>418</v>
      </c>
    </row>
    <row r="1492" ht="15.75" customHeight="1">
      <c r="A1492" s="4" t="s">
        <v>139</v>
      </c>
      <c r="B1492" s="4" t="s">
        <v>418</v>
      </c>
    </row>
    <row r="1493" ht="15.75" customHeight="1">
      <c r="A1493" s="4" t="s">
        <v>63</v>
      </c>
      <c r="B1493" s="4" t="s">
        <v>419</v>
      </c>
    </row>
    <row r="1494" ht="15.75" customHeight="1">
      <c r="A1494" s="4" t="s">
        <v>134</v>
      </c>
      <c r="B1494" s="4" t="s">
        <v>419</v>
      </c>
    </row>
    <row r="1495" ht="15.75" customHeight="1">
      <c r="A1495" s="4" t="s">
        <v>71</v>
      </c>
      <c r="B1495" s="4" t="s">
        <v>419</v>
      </c>
    </row>
    <row r="1496" ht="15.75" customHeight="1">
      <c r="A1496" s="4" t="s">
        <v>166</v>
      </c>
      <c r="B1496" s="4" t="s">
        <v>419</v>
      </c>
    </row>
    <row r="1497" ht="15.75" customHeight="1">
      <c r="A1497" s="4" t="s">
        <v>196</v>
      </c>
      <c r="B1497" s="4" t="s">
        <v>419</v>
      </c>
    </row>
    <row r="1498" ht="15.75" customHeight="1">
      <c r="A1498" s="4" t="s">
        <v>220</v>
      </c>
      <c r="B1498" s="4" t="s">
        <v>419</v>
      </c>
    </row>
    <row r="1499" ht="15.75" customHeight="1">
      <c r="A1499" s="4" t="s">
        <v>89</v>
      </c>
      <c r="B1499" s="4" t="s">
        <v>420</v>
      </c>
    </row>
    <row r="1500" ht="15.75" customHeight="1">
      <c r="A1500" s="4" t="s">
        <v>77</v>
      </c>
      <c r="B1500" s="4" t="s">
        <v>420</v>
      </c>
    </row>
    <row r="1501" ht="15.75" customHeight="1">
      <c r="A1501" s="4" t="s">
        <v>120</v>
      </c>
      <c r="B1501" s="4" t="s">
        <v>420</v>
      </c>
    </row>
    <row r="1502" ht="15.75" customHeight="1">
      <c r="A1502" s="4" t="s">
        <v>79</v>
      </c>
      <c r="B1502" s="4" t="s">
        <v>420</v>
      </c>
    </row>
    <row r="1503" ht="15.75" customHeight="1">
      <c r="A1503" s="4" t="s">
        <v>208</v>
      </c>
      <c r="B1503" s="4" t="s">
        <v>420</v>
      </c>
    </row>
    <row r="1504" ht="15.75" customHeight="1">
      <c r="A1504" s="4" t="s">
        <v>241</v>
      </c>
      <c r="B1504" s="4" t="s">
        <v>420</v>
      </c>
    </row>
    <row r="1505" ht="15.75" customHeight="1">
      <c r="A1505" s="4" t="s">
        <v>143</v>
      </c>
      <c r="B1505" s="4" t="s">
        <v>421</v>
      </c>
    </row>
    <row r="1506" ht="15.75" customHeight="1">
      <c r="A1506" s="4" t="s">
        <v>137</v>
      </c>
      <c r="B1506" s="4" t="s">
        <v>421</v>
      </c>
    </row>
    <row r="1507" ht="15.75" customHeight="1">
      <c r="A1507" s="4" t="s">
        <v>91</v>
      </c>
      <c r="B1507" s="4" t="s">
        <v>421</v>
      </c>
    </row>
    <row r="1508" ht="15.75" customHeight="1">
      <c r="A1508" s="4" t="s">
        <v>72</v>
      </c>
      <c r="B1508" s="4" t="s">
        <v>421</v>
      </c>
    </row>
    <row r="1509" ht="15.75" customHeight="1">
      <c r="A1509" s="4" t="s">
        <v>93</v>
      </c>
      <c r="B1509" s="4" t="s">
        <v>421</v>
      </c>
    </row>
    <row r="1510" ht="15.75" customHeight="1">
      <c r="A1510" s="4" t="s">
        <v>94</v>
      </c>
      <c r="B1510" s="4" t="s">
        <v>421</v>
      </c>
    </row>
    <row r="1511" ht="15.75" customHeight="1">
      <c r="A1511" s="4" t="s">
        <v>95</v>
      </c>
      <c r="B1511" s="4" t="s">
        <v>422</v>
      </c>
    </row>
    <row r="1512" ht="15.75" customHeight="1">
      <c r="A1512" s="4" t="s">
        <v>97</v>
      </c>
      <c r="B1512" s="4" t="s">
        <v>422</v>
      </c>
    </row>
    <row r="1513" ht="15.75" customHeight="1">
      <c r="A1513" s="4" t="s">
        <v>104</v>
      </c>
      <c r="B1513" s="4" t="s">
        <v>422</v>
      </c>
    </row>
    <row r="1514" ht="15.75" customHeight="1">
      <c r="A1514" s="4" t="s">
        <v>149</v>
      </c>
      <c r="B1514" s="4" t="s">
        <v>422</v>
      </c>
    </row>
    <row r="1515" ht="15.75" customHeight="1">
      <c r="A1515" s="4" t="s">
        <v>222</v>
      </c>
      <c r="B1515" s="4" t="s">
        <v>422</v>
      </c>
    </row>
    <row r="1516" ht="15.75" customHeight="1">
      <c r="A1516" s="4" t="s">
        <v>171</v>
      </c>
      <c r="B1516" s="4" t="s">
        <v>422</v>
      </c>
    </row>
    <row r="1517" ht="15.75" customHeight="1">
      <c r="A1517" s="4" t="s">
        <v>134</v>
      </c>
      <c r="B1517" s="4" t="s">
        <v>423</v>
      </c>
    </row>
    <row r="1518" ht="15.75" customHeight="1">
      <c r="A1518" s="4" t="s">
        <v>183</v>
      </c>
      <c r="B1518" s="4" t="s">
        <v>423</v>
      </c>
    </row>
    <row r="1519" ht="15.75" customHeight="1">
      <c r="A1519" s="4" t="s">
        <v>194</v>
      </c>
      <c r="B1519" s="4" t="s">
        <v>423</v>
      </c>
    </row>
    <row r="1520" ht="15.75" customHeight="1">
      <c r="A1520" s="4" t="s">
        <v>149</v>
      </c>
      <c r="B1520" s="4" t="s">
        <v>423</v>
      </c>
    </row>
    <row r="1521" ht="15.75" customHeight="1">
      <c r="A1521" s="4" t="s">
        <v>162</v>
      </c>
      <c r="B1521" s="4" t="s">
        <v>423</v>
      </c>
    </row>
    <row r="1522" ht="15.75" customHeight="1">
      <c r="A1522" s="4" t="s">
        <v>171</v>
      </c>
      <c r="B1522" s="4" t="s">
        <v>423</v>
      </c>
    </row>
    <row r="1523" ht="15.75" customHeight="1">
      <c r="A1523" s="4" t="s">
        <v>226</v>
      </c>
      <c r="B1523" s="4" t="s">
        <v>424</v>
      </c>
    </row>
    <row r="1524" ht="15.75" customHeight="1">
      <c r="A1524" s="4" t="s">
        <v>198</v>
      </c>
      <c r="B1524" s="4" t="s">
        <v>424</v>
      </c>
    </row>
    <row r="1525" ht="15.75" customHeight="1">
      <c r="A1525" s="4" t="s">
        <v>77</v>
      </c>
      <c r="B1525" s="4" t="s">
        <v>424</v>
      </c>
    </row>
    <row r="1526" ht="15.75" customHeight="1">
      <c r="A1526" s="4" t="s">
        <v>99</v>
      </c>
      <c r="B1526" s="4" t="s">
        <v>424</v>
      </c>
    </row>
    <row r="1527" ht="15.75" customHeight="1">
      <c r="A1527" s="4" t="s">
        <v>131</v>
      </c>
      <c r="B1527" s="4" t="s">
        <v>424</v>
      </c>
    </row>
    <row r="1528" ht="15.75" customHeight="1">
      <c r="A1528" s="4" t="s">
        <v>74</v>
      </c>
      <c r="B1528" s="4" t="s">
        <v>424</v>
      </c>
    </row>
    <row r="1529" ht="15.75" customHeight="1">
      <c r="A1529" s="4" t="s">
        <v>82</v>
      </c>
      <c r="B1529" s="4" t="s">
        <v>425</v>
      </c>
    </row>
    <row r="1530" ht="15.75" customHeight="1">
      <c r="A1530" s="4" t="s">
        <v>122</v>
      </c>
      <c r="B1530" s="4" t="s">
        <v>425</v>
      </c>
    </row>
    <row r="1531" ht="15.75" customHeight="1">
      <c r="A1531" s="4" t="s">
        <v>78</v>
      </c>
      <c r="B1531" s="4" t="s">
        <v>425</v>
      </c>
    </row>
    <row r="1532" ht="15.75" customHeight="1">
      <c r="A1532" s="4" t="s">
        <v>123</v>
      </c>
      <c r="B1532" s="4" t="s">
        <v>425</v>
      </c>
    </row>
    <row r="1533" ht="15.75" customHeight="1">
      <c r="A1533" s="4" t="s">
        <v>106</v>
      </c>
      <c r="B1533" s="4" t="s">
        <v>425</v>
      </c>
    </row>
    <row r="1534" ht="15.75" customHeight="1">
      <c r="A1534" s="4" t="s">
        <v>107</v>
      </c>
      <c r="B1534" s="4" t="s">
        <v>425</v>
      </c>
    </row>
    <row r="1535" ht="15.75" customHeight="1">
      <c r="A1535" s="4" t="s">
        <v>169</v>
      </c>
      <c r="B1535" s="4" t="s">
        <v>426</v>
      </c>
    </row>
    <row r="1536" ht="15.75" customHeight="1">
      <c r="A1536" s="4" t="s">
        <v>183</v>
      </c>
      <c r="B1536" s="4" t="s">
        <v>426</v>
      </c>
    </row>
    <row r="1537" ht="15.75" customHeight="1">
      <c r="A1537" s="4" t="s">
        <v>194</v>
      </c>
      <c r="B1537" s="4" t="s">
        <v>426</v>
      </c>
    </row>
    <row r="1538" ht="15.75" customHeight="1">
      <c r="A1538" s="4" t="s">
        <v>110</v>
      </c>
      <c r="B1538" s="4" t="s">
        <v>426</v>
      </c>
    </row>
    <row r="1539" ht="15.75" customHeight="1">
      <c r="A1539" s="4" t="s">
        <v>162</v>
      </c>
      <c r="B1539" s="4" t="s">
        <v>426</v>
      </c>
    </row>
    <row r="1540" ht="15.75" customHeight="1">
      <c r="A1540" s="4" t="s">
        <v>127</v>
      </c>
      <c r="B1540" s="4" t="s">
        <v>426</v>
      </c>
    </row>
    <row r="1541" ht="15.75" customHeight="1">
      <c r="A1541" s="4" t="s">
        <v>148</v>
      </c>
      <c r="B1541" s="4" t="s">
        <v>427</v>
      </c>
    </row>
    <row r="1542" ht="15.75" customHeight="1">
      <c r="A1542" s="4" t="s">
        <v>156</v>
      </c>
      <c r="B1542" s="4" t="s">
        <v>427</v>
      </c>
    </row>
    <row r="1543" ht="15.75" customHeight="1">
      <c r="A1543" s="4" t="s">
        <v>120</v>
      </c>
      <c r="B1543" s="4" t="s">
        <v>427</v>
      </c>
    </row>
    <row r="1544" ht="15.75" customHeight="1">
      <c r="A1544" s="4" t="s">
        <v>86</v>
      </c>
      <c r="B1544" s="4" t="s">
        <v>427</v>
      </c>
    </row>
    <row r="1545" ht="15.75" customHeight="1">
      <c r="A1545" s="4" t="s">
        <v>131</v>
      </c>
      <c r="B1545" s="4" t="s">
        <v>427</v>
      </c>
    </row>
    <row r="1546" ht="15.75" customHeight="1">
      <c r="A1546" s="4" t="s">
        <v>199</v>
      </c>
      <c r="B1546" s="4" t="s">
        <v>427</v>
      </c>
    </row>
    <row r="1547" ht="15.75" customHeight="1">
      <c r="A1547" s="4" t="s">
        <v>95</v>
      </c>
      <c r="B1547" s="4" t="s">
        <v>428</v>
      </c>
    </row>
    <row r="1548" ht="15.75" customHeight="1">
      <c r="A1548" s="4" t="s">
        <v>97</v>
      </c>
      <c r="B1548" s="4" t="s">
        <v>428</v>
      </c>
    </row>
    <row r="1549" ht="15.75" customHeight="1">
      <c r="A1549" s="4" t="s">
        <v>104</v>
      </c>
      <c r="B1549" s="4" t="s">
        <v>428</v>
      </c>
    </row>
    <row r="1550" ht="15.75" customHeight="1">
      <c r="A1550" s="4" t="s">
        <v>240</v>
      </c>
      <c r="B1550" s="4" t="s">
        <v>428</v>
      </c>
    </row>
    <row r="1551" ht="15.75" customHeight="1">
      <c r="A1551" s="4" t="s">
        <v>93</v>
      </c>
      <c r="B1551" s="4" t="s">
        <v>428</v>
      </c>
    </row>
    <row r="1552" ht="15.75" customHeight="1">
      <c r="A1552" s="4" t="s">
        <v>241</v>
      </c>
      <c r="B1552" s="4" t="s">
        <v>428</v>
      </c>
    </row>
    <row r="1553" ht="15.75" customHeight="1">
      <c r="A1553" s="4" t="s">
        <v>61</v>
      </c>
      <c r="B1553" s="4" t="s">
        <v>429</v>
      </c>
    </row>
    <row r="1554" ht="15.75" customHeight="1">
      <c r="A1554" s="4" t="s">
        <v>95</v>
      </c>
      <c r="B1554" s="4" t="s">
        <v>429</v>
      </c>
    </row>
    <row r="1555" ht="15.75" customHeight="1">
      <c r="A1555" s="4" t="s">
        <v>71</v>
      </c>
      <c r="B1555" s="4" t="s">
        <v>429</v>
      </c>
    </row>
    <row r="1556" ht="15.75" customHeight="1">
      <c r="A1556" s="4" t="s">
        <v>99</v>
      </c>
      <c r="B1556" s="4" t="s">
        <v>429</v>
      </c>
    </row>
    <row r="1557" ht="15.75" customHeight="1">
      <c r="A1557" s="4" t="s">
        <v>93</v>
      </c>
      <c r="B1557" s="4" t="s">
        <v>429</v>
      </c>
    </row>
    <row r="1558" ht="15.75" customHeight="1">
      <c r="A1558" s="4" t="s">
        <v>74</v>
      </c>
      <c r="B1558" s="4" t="s">
        <v>429</v>
      </c>
    </row>
    <row r="1559" ht="15.75" customHeight="1">
      <c r="A1559" s="4" t="s">
        <v>61</v>
      </c>
      <c r="B1559" s="4" t="s">
        <v>430</v>
      </c>
    </row>
    <row r="1560" ht="15.75" customHeight="1">
      <c r="A1560" s="4" t="s">
        <v>63</v>
      </c>
      <c r="B1560" s="4" t="s">
        <v>430</v>
      </c>
    </row>
    <row r="1561" ht="15.75" customHeight="1">
      <c r="A1561" s="4" t="s">
        <v>170</v>
      </c>
      <c r="B1561" s="4" t="s">
        <v>430</v>
      </c>
    </row>
    <row r="1562" ht="15.75" customHeight="1">
      <c r="A1562" s="4" t="s">
        <v>240</v>
      </c>
      <c r="B1562" s="4" t="s">
        <v>430</v>
      </c>
    </row>
    <row r="1563" ht="15.75" customHeight="1">
      <c r="A1563" s="4" t="s">
        <v>113</v>
      </c>
      <c r="B1563" s="4" t="s">
        <v>430</v>
      </c>
    </row>
    <row r="1564" ht="15.75" customHeight="1">
      <c r="A1564" s="4" t="s">
        <v>74</v>
      </c>
      <c r="B1564" s="4" t="s">
        <v>430</v>
      </c>
    </row>
    <row r="1565" ht="15.75" customHeight="1">
      <c r="A1565" s="4" t="s">
        <v>173</v>
      </c>
      <c r="B1565" s="4" t="s">
        <v>431</v>
      </c>
    </row>
    <row r="1566" ht="15.75" customHeight="1">
      <c r="A1566" s="4" t="s">
        <v>137</v>
      </c>
      <c r="B1566" s="4" t="s">
        <v>431</v>
      </c>
    </row>
    <row r="1567" ht="15.75" customHeight="1">
      <c r="A1567" s="4" t="s">
        <v>178</v>
      </c>
      <c r="B1567" s="4" t="s">
        <v>431</v>
      </c>
    </row>
    <row r="1568" ht="15.75" customHeight="1">
      <c r="A1568" s="4" t="s">
        <v>240</v>
      </c>
      <c r="B1568" s="4" t="s">
        <v>431</v>
      </c>
    </row>
    <row r="1569" ht="15.75" customHeight="1">
      <c r="A1569" s="4" t="s">
        <v>117</v>
      </c>
      <c r="B1569" s="4" t="s">
        <v>431</v>
      </c>
    </row>
    <row r="1570" ht="15.75" customHeight="1">
      <c r="A1570" s="4" t="s">
        <v>81</v>
      </c>
      <c r="B1570" s="4" t="s">
        <v>431</v>
      </c>
    </row>
    <row r="1571" ht="15.75" customHeight="1">
      <c r="A1571" s="4" t="s">
        <v>146</v>
      </c>
      <c r="B1571" s="4" t="s">
        <v>432</v>
      </c>
    </row>
    <row r="1572" ht="15.75" customHeight="1">
      <c r="A1572" s="4" t="s">
        <v>70</v>
      </c>
      <c r="B1572" s="4" t="s">
        <v>432</v>
      </c>
    </row>
    <row r="1573" ht="15.75" customHeight="1">
      <c r="A1573" s="4" t="s">
        <v>64</v>
      </c>
      <c r="B1573" s="4" t="s">
        <v>432</v>
      </c>
    </row>
    <row r="1574" ht="15.75" customHeight="1">
      <c r="A1574" s="4" t="s">
        <v>116</v>
      </c>
      <c r="B1574" s="4" t="s">
        <v>432</v>
      </c>
    </row>
    <row r="1575" ht="15.75" customHeight="1">
      <c r="A1575" s="4" t="s">
        <v>80</v>
      </c>
      <c r="B1575" s="4" t="s">
        <v>432</v>
      </c>
    </row>
    <row r="1576" ht="15.75" customHeight="1">
      <c r="A1576" s="4" t="s">
        <v>67</v>
      </c>
      <c r="B1576" s="4" t="s">
        <v>432</v>
      </c>
    </row>
    <row r="1577" ht="15.75" customHeight="1">
      <c r="A1577" s="4" t="s">
        <v>70</v>
      </c>
      <c r="B1577" s="4" t="s">
        <v>433</v>
      </c>
    </row>
    <row r="1578" ht="15.75" customHeight="1">
      <c r="A1578" s="4" t="s">
        <v>153</v>
      </c>
      <c r="B1578" s="4" t="s">
        <v>433</v>
      </c>
    </row>
    <row r="1579" ht="15.75" customHeight="1">
      <c r="A1579" s="4" t="s">
        <v>178</v>
      </c>
      <c r="B1579" s="4" t="s">
        <v>433</v>
      </c>
    </row>
    <row r="1580" ht="15.75" customHeight="1">
      <c r="A1580" s="4" t="s">
        <v>86</v>
      </c>
      <c r="B1580" s="4" t="s">
        <v>433</v>
      </c>
    </row>
    <row r="1581" ht="15.75" customHeight="1">
      <c r="A1581" s="4" t="s">
        <v>117</v>
      </c>
      <c r="B1581" s="4" t="s">
        <v>433</v>
      </c>
    </row>
    <row r="1582" ht="15.75" customHeight="1">
      <c r="A1582" s="4" t="s">
        <v>199</v>
      </c>
      <c r="B1582" s="4" t="s">
        <v>433</v>
      </c>
    </row>
    <row r="1583" ht="15.75" customHeight="1">
      <c r="A1583" s="4" t="s">
        <v>169</v>
      </c>
      <c r="B1583" s="4" t="s">
        <v>434</v>
      </c>
    </row>
    <row r="1584" ht="15.75" customHeight="1">
      <c r="A1584" s="4" t="s">
        <v>92</v>
      </c>
      <c r="B1584" s="4" t="s">
        <v>434</v>
      </c>
    </row>
    <row r="1585" ht="15.75" customHeight="1">
      <c r="A1585" s="4" t="s">
        <v>71</v>
      </c>
      <c r="B1585" s="4" t="s">
        <v>434</v>
      </c>
    </row>
    <row r="1586" ht="15.75" customHeight="1">
      <c r="A1586" s="4" t="s">
        <v>123</v>
      </c>
      <c r="B1586" s="4" t="s">
        <v>434</v>
      </c>
    </row>
    <row r="1587" ht="15.75" customHeight="1">
      <c r="A1587" s="4" t="s">
        <v>106</v>
      </c>
      <c r="B1587" s="4" t="s">
        <v>434</v>
      </c>
    </row>
    <row r="1588" ht="15.75" customHeight="1">
      <c r="A1588" s="4" t="s">
        <v>158</v>
      </c>
      <c r="B1588" s="4" t="s">
        <v>434</v>
      </c>
    </row>
    <row r="1589" ht="15.75" customHeight="1">
      <c r="A1589" s="4" t="s">
        <v>143</v>
      </c>
      <c r="B1589" s="4" t="s">
        <v>435</v>
      </c>
    </row>
    <row r="1590" ht="15.75" customHeight="1">
      <c r="A1590" s="4" t="s">
        <v>63</v>
      </c>
      <c r="B1590" s="4" t="s">
        <v>435</v>
      </c>
    </row>
    <row r="1591" ht="15.75" customHeight="1">
      <c r="A1591" s="4" t="s">
        <v>98</v>
      </c>
      <c r="B1591" s="4" t="s">
        <v>435</v>
      </c>
    </row>
    <row r="1592" ht="15.75" customHeight="1">
      <c r="A1592" s="4" t="s">
        <v>79</v>
      </c>
      <c r="B1592" s="4" t="s">
        <v>435</v>
      </c>
    </row>
    <row r="1593" ht="15.75" customHeight="1">
      <c r="A1593" s="4" t="s">
        <v>66</v>
      </c>
      <c r="B1593" s="4" t="s">
        <v>435</v>
      </c>
    </row>
    <row r="1594" ht="15.75" customHeight="1">
      <c r="A1594" s="4" t="s">
        <v>81</v>
      </c>
      <c r="B1594" s="4" t="s">
        <v>435</v>
      </c>
    </row>
    <row r="1595" ht="15.75" customHeight="1">
      <c r="A1595" s="4" t="s">
        <v>226</v>
      </c>
      <c r="B1595" s="4" t="s">
        <v>436</v>
      </c>
    </row>
    <row r="1596" ht="15.75" customHeight="1">
      <c r="A1596" s="4" t="s">
        <v>198</v>
      </c>
      <c r="B1596" s="4" t="s">
        <v>436</v>
      </c>
    </row>
    <row r="1597" ht="15.75" customHeight="1">
      <c r="A1597" s="4" t="s">
        <v>85</v>
      </c>
      <c r="B1597" s="4" t="s">
        <v>436</v>
      </c>
    </row>
    <row r="1598" ht="15.75" customHeight="1">
      <c r="A1598" s="4" t="s">
        <v>166</v>
      </c>
      <c r="B1598" s="4" t="s">
        <v>436</v>
      </c>
    </row>
    <row r="1599" ht="15.75" customHeight="1">
      <c r="A1599" s="4" t="s">
        <v>124</v>
      </c>
      <c r="B1599" s="4" t="s">
        <v>436</v>
      </c>
    </row>
    <row r="1600" ht="15.75" customHeight="1">
      <c r="A1600" s="4" t="s">
        <v>220</v>
      </c>
      <c r="B1600" s="4" t="s">
        <v>436</v>
      </c>
    </row>
    <row r="1601" ht="15.75" customHeight="1">
      <c r="A1601" s="4" t="s">
        <v>173</v>
      </c>
      <c r="B1601" s="4" t="s">
        <v>437</v>
      </c>
    </row>
    <row r="1602" ht="15.75" customHeight="1">
      <c r="A1602" s="4" t="s">
        <v>137</v>
      </c>
      <c r="B1602" s="4" t="s">
        <v>437</v>
      </c>
    </row>
    <row r="1603" ht="15.75" customHeight="1">
      <c r="A1603" s="4" t="s">
        <v>120</v>
      </c>
      <c r="B1603" s="4" t="s">
        <v>437</v>
      </c>
    </row>
    <row r="1604" ht="15.75" customHeight="1">
      <c r="A1604" s="4" t="s">
        <v>65</v>
      </c>
      <c r="B1604" s="4" t="s">
        <v>437</v>
      </c>
    </row>
    <row r="1605" ht="15.75" customHeight="1">
      <c r="A1605" s="4" t="s">
        <v>131</v>
      </c>
      <c r="B1605" s="4" t="s">
        <v>437</v>
      </c>
    </row>
    <row r="1606" ht="15.75" customHeight="1">
      <c r="A1606" s="4" t="s">
        <v>67</v>
      </c>
      <c r="B1606" s="4" t="s">
        <v>437</v>
      </c>
    </row>
    <row r="1607" ht="15.75" customHeight="1">
      <c r="A1607" s="4" t="s">
        <v>169</v>
      </c>
      <c r="B1607" s="4" t="s">
        <v>438</v>
      </c>
    </row>
    <row r="1608" ht="15.75" customHeight="1">
      <c r="A1608" s="4" t="s">
        <v>109</v>
      </c>
      <c r="B1608" s="4" t="s">
        <v>438</v>
      </c>
    </row>
    <row r="1609" ht="15.75" customHeight="1">
      <c r="A1609" s="4" t="s">
        <v>178</v>
      </c>
      <c r="B1609" s="4" t="s">
        <v>438</v>
      </c>
    </row>
    <row r="1610" ht="15.75" customHeight="1">
      <c r="A1610" s="4" t="s">
        <v>240</v>
      </c>
      <c r="B1610" s="4" t="s">
        <v>438</v>
      </c>
    </row>
    <row r="1611" ht="15.75" customHeight="1">
      <c r="A1611" s="4" t="s">
        <v>208</v>
      </c>
      <c r="B1611" s="4" t="s">
        <v>438</v>
      </c>
    </row>
    <row r="1612" ht="15.75" customHeight="1">
      <c r="A1612" s="4" t="s">
        <v>74</v>
      </c>
      <c r="B1612" s="4" t="s">
        <v>438</v>
      </c>
    </row>
    <row r="1613" ht="15.75" customHeight="1">
      <c r="A1613" s="4" t="s">
        <v>148</v>
      </c>
      <c r="B1613" s="4" t="s">
        <v>439</v>
      </c>
    </row>
    <row r="1614" ht="15.75" customHeight="1">
      <c r="A1614" s="4" t="s">
        <v>183</v>
      </c>
      <c r="B1614" s="4" t="s">
        <v>439</v>
      </c>
    </row>
    <row r="1615" ht="15.75" customHeight="1">
      <c r="A1615" s="4" t="s">
        <v>109</v>
      </c>
      <c r="B1615" s="4" t="s">
        <v>439</v>
      </c>
    </row>
    <row r="1616" ht="15.75" customHeight="1">
      <c r="A1616" s="4" t="s">
        <v>99</v>
      </c>
      <c r="B1616" s="4" t="s">
        <v>439</v>
      </c>
    </row>
    <row r="1617" ht="15.75" customHeight="1">
      <c r="A1617" s="4" t="s">
        <v>73</v>
      </c>
      <c r="B1617" s="4" t="s">
        <v>439</v>
      </c>
    </row>
    <row r="1618" ht="15.75" customHeight="1">
      <c r="A1618" s="4" t="s">
        <v>81</v>
      </c>
      <c r="B1618" s="4" t="s">
        <v>439</v>
      </c>
    </row>
    <row r="1619" ht="15.75" customHeight="1">
      <c r="A1619" s="4" t="s">
        <v>100</v>
      </c>
      <c r="B1619" s="4" t="s">
        <v>440</v>
      </c>
    </row>
    <row r="1620" ht="15.75" customHeight="1">
      <c r="A1620" s="4" t="s">
        <v>137</v>
      </c>
      <c r="B1620" s="4" t="s">
        <v>440</v>
      </c>
    </row>
    <row r="1621" ht="15.75" customHeight="1">
      <c r="A1621" s="4" t="s">
        <v>78</v>
      </c>
      <c r="B1621" s="4" t="s">
        <v>440</v>
      </c>
    </row>
    <row r="1622" ht="15.75" customHeight="1">
      <c r="A1622" s="4" t="s">
        <v>176</v>
      </c>
      <c r="B1622" s="4" t="s">
        <v>440</v>
      </c>
    </row>
    <row r="1623" ht="15.75" customHeight="1">
      <c r="A1623" s="4" t="s">
        <v>181</v>
      </c>
      <c r="B1623" s="4" t="s">
        <v>440</v>
      </c>
    </row>
    <row r="1624" ht="15.75" customHeight="1">
      <c r="A1624" s="4" t="s">
        <v>145</v>
      </c>
      <c r="B1624" s="4" t="s">
        <v>440</v>
      </c>
    </row>
    <row r="1625" ht="15.75" customHeight="1">
      <c r="A1625" s="4" t="s">
        <v>148</v>
      </c>
      <c r="B1625" s="4" t="s">
        <v>441</v>
      </c>
    </row>
    <row r="1626" ht="15.75" customHeight="1">
      <c r="A1626" s="4" t="s">
        <v>85</v>
      </c>
      <c r="B1626" s="4" t="s">
        <v>441</v>
      </c>
    </row>
    <row r="1627" ht="15.75" customHeight="1">
      <c r="A1627" s="4" t="s">
        <v>120</v>
      </c>
      <c r="B1627" s="4" t="s">
        <v>441</v>
      </c>
    </row>
    <row r="1628" ht="15.75" customHeight="1">
      <c r="A1628" s="4" t="s">
        <v>86</v>
      </c>
      <c r="B1628" s="4" t="s">
        <v>441</v>
      </c>
    </row>
    <row r="1629" ht="15.75" customHeight="1">
      <c r="A1629" s="4" t="s">
        <v>142</v>
      </c>
      <c r="B1629" s="4" t="s">
        <v>441</v>
      </c>
    </row>
    <row r="1630" ht="15.75" customHeight="1">
      <c r="A1630" s="4" t="s">
        <v>154</v>
      </c>
      <c r="B1630" s="4" t="s">
        <v>441</v>
      </c>
    </row>
    <row r="1631" ht="15.75" customHeight="1">
      <c r="A1631" s="4" t="s">
        <v>169</v>
      </c>
      <c r="B1631" s="4" t="s">
        <v>442</v>
      </c>
    </row>
    <row r="1632" ht="15.75" customHeight="1">
      <c r="A1632" s="4" t="s">
        <v>77</v>
      </c>
      <c r="B1632" s="4" t="s">
        <v>442</v>
      </c>
    </row>
    <row r="1633" ht="15.75" customHeight="1">
      <c r="A1633" s="4" t="s">
        <v>170</v>
      </c>
      <c r="B1633" s="4" t="s">
        <v>442</v>
      </c>
    </row>
    <row r="1634" ht="15.75" customHeight="1">
      <c r="A1634" s="4" t="s">
        <v>240</v>
      </c>
      <c r="B1634" s="4" t="s">
        <v>442</v>
      </c>
    </row>
    <row r="1635" ht="15.75" customHeight="1">
      <c r="A1635" s="4" t="s">
        <v>117</v>
      </c>
      <c r="B1635" s="4" t="s">
        <v>442</v>
      </c>
    </row>
    <row r="1636" ht="15.75" customHeight="1">
      <c r="A1636" s="4" t="s">
        <v>241</v>
      </c>
      <c r="B1636" s="4" t="s">
        <v>442</v>
      </c>
    </row>
    <row r="1637" ht="15.75" customHeight="1">
      <c r="A1637" s="4" t="s">
        <v>114</v>
      </c>
      <c r="B1637" s="4" t="s">
        <v>443</v>
      </c>
    </row>
    <row r="1638" ht="15.75" customHeight="1">
      <c r="A1638" s="4" t="s">
        <v>169</v>
      </c>
      <c r="B1638" s="4" t="s">
        <v>443</v>
      </c>
    </row>
    <row r="1639" ht="15.75" customHeight="1">
      <c r="A1639" s="4" t="s">
        <v>175</v>
      </c>
      <c r="B1639" s="4" t="s">
        <v>443</v>
      </c>
    </row>
    <row r="1640" ht="15.75" customHeight="1">
      <c r="A1640" s="4" t="s">
        <v>99</v>
      </c>
      <c r="B1640" s="4" t="s">
        <v>443</v>
      </c>
    </row>
    <row r="1641" ht="15.75" customHeight="1">
      <c r="A1641" s="4" t="s">
        <v>208</v>
      </c>
      <c r="B1641" s="4" t="s">
        <v>443</v>
      </c>
    </row>
    <row r="1642" ht="15.75" customHeight="1">
      <c r="A1642" s="4" t="s">
        <v>94</v>
      </c>
      <c r="B1642" s="4" t="s">
        <v>443</v>
      </c>
    </row>
    <row r="1643" ht="15.75" customHeight="1">
      <c r="A1643" s="4" t="s">
        <v>226</v>
      </c>
      <c r="B1643" s="4" t="s">
        <v>444</v>
      </c>
    </row>
    <row r="1644" ht="15.75" customHeight="1">
      <c r="A1644" s="4" t="s">
        <v>198</v>
      </c>
      <c r="B1644" s="4" t="s">
        <v>444</v>
      </c>
    </row>
    <row r="1645" ht="15.75" customHeight="1">
      <c r="A1645" s="4" t="s">
        <v>156</v>
      </c>
      <c r="B1645" s="4" t="s">
        <v>444</v>
      </c>
    </row>
    <row r="1646" ht="15.75" customHeight="1">
      <c r="A1646" s="4" t="s">
        <v>157</v>
      </c>
      <c r="B1646" s="4" t="s">
        <v>444</v>
      </c>
    </row>
    <row r="1647" ht="15.75" customHeight="1">
      <c r="A1647" s="4" t="s">
        <v>162</v>
      </c>
      <c r="B1647" s="4" t="s">
        <v>444</v>
      </c>
    </row>
    <row r="1648" ht="15.75" customHeight="1">
      <c r="A1648" s="4" t="s">
        <v>111</v>
      </c>
      <c r="B1648" s="4" t="s">
        <v>444</v>
      </c>
    </row>
    <row r="1649" ht="15.75" customHeight="1">
      <c r="A1649" s="4" t="s">
        <v>146</v>
      </c>
      <c r="B1649" s="4" t="s">
        <v>445</v>
      </c>
    </row>
    <row r="1650" ht="15.75" customHeight="1">
      <c r="A1650" s="4" t="s">
        <v>148</v>
      </c>
      <c r="B1650" s="4" t="s">
        <v>445</v>
      </c>
    </row>
    <row r="1651" ht="15.75" customHeight="1">
      <c r="A1651" s="4" t="s">
        <v>78</v>
      </c>
      <c r="B1651" s="4" t="s">
        <v>445</v>
      </c>
    </row>
    <row r="1652" ht="15.75" customHeight="1">
      <c r="A1652" s="4" t="s">
        <v>110</v>
      </c>
      <c r="B1652" s="4" t="s">
        <v>445</v>
      </c>
    </row>
    <row r="1653" ht="15.75" customHeight="1">
      <c r="A1653" s="4" t="s">
        <v>164</v>
      </c>
      <c r="B1653" s="4" t="s">
        <v>445</v>
      </c>
    </row>
    <row r="1654" ht="15.75" customHeight="1">
      <c r="A1654" s="4" t="s">
        <v>107</v>
      </c>
      <c r="B1654" s="4" t="s">
        <v>445</v>
      </c>
    </row>
    <row r="1655" ht="15.75" customHeight="1">
      <c r="A1655" s="4" t="s">
        <v>61</v>
      </c>
      <c r="B1655" s="4" t="s">
        <v>446</v>
      </c>
    </row>
    <row r="1656" ht="15.75" customHeight="1">
      <c r="A1656" s="4" t="s">
        <v>215</v>
      </c>
      <c r="B1656" s="4" t="s">
        <v>446</v>
      </c>
    </row>
    <row r="1657" ht="15.75" customHeight="1">
      <c r="A1657" s="4" t="s">
        <v>153</v>
      </c>
      <c r="B1657" s="4" t="s">
        <v>446</v>
      </c>
    </row>
    <row r="1658" ht="15.75" customHeight="1">
      <c r="A1658" s="4" t="s">
        <v>157</v>
      </c>
      <c r="B1658" s="4" t="s">
        <v>446</v>
      </c>
    </row>
    <row r="1659" ht="15.75" customHeight="1">
      <c r="A1659" s="4" t="s">
        <v>126</v>
      </c>
      <c r="B1659" s="4" t="s">
        <v>446</v>
      </c>
    </row>
    <row r="1660" ht="15.75" customHeight="1">
      <c r="A1660" s="4" t="s">
        <v>145</v>
      </c>
      <c r="B1660" s="4" t="s">
        <v>446</v>
      </c>
    </row>
    <row r="1661" ht="15.75" customHeight="1">
      <c r="A1661" s="4" t="s">
        <v>82</v>
      </c>
      <c r="B1661" s="4" t="s">
        <v>447</v>
      </c>
    </row>
    <row r="1662" ht="15.75" customHeight="1">
      <c r="A1662" s="4" t="s">
        <v>84</v>
      </c>
      <c r="B1662" s="4" t="s">
        <v>447</v>
      </c>
    </row>
    <row r="1663" ht="15.75" customHeight="1">
      <c r="A1663" s="4" t="s">
        <v>122</v>
      </c>
      <c r="B1663" s="4" t="s">
        <v>447</v>
      </c>
    </row>
    <row r="1664" ht="15.75" customHeight="1">
      <c r="A1664" s="4" t="s">
        <v>123</v>
      </c>
      <c r="B1664" s="4" t="s">
        <v>447</v>
      </c>
    </row>
    <row r="1665" ht="15.75" customHeight="1">
      <c r="A1665" s="4" t="s">
        <v>196</v>
      </c>
      <c r="B1665" s="4" t="s">
        <v>447</v>
      </c>
    </row>
    <row r="1666" ht="15.75" customHeight="1">
      <c r="A1666" s="4" t="s">
        <v>111</v>
      </c>
      <c r="B1666" s="4" t="s">
        <v>447</v>
      </c>
    </row>
    <row r="1667" ht="15.75" customHeight="1">
      <c r="A1667" s="4" t="s">
        <v>70</v>
      </c>
      <c r="B1667" s="4" t="s">
        <v>448</v>
      </c>
    </row>
    <row r="1668" ht="15.75" customHeight="1">
      <c r="A1668" s="4" t="s">
        <v>109</v>
      </c>
      <c r="B1668" s="4" t="s">
        <v>448</v>
      </c>
    </row>
    <row r="1669" ht="15.75" customHeight="1">
      <c r="A1669" s="4" t="s">
        <v>71</v>
      </c>
      <c r="B1669" s="4" t="s">
        <v>448</v>
      </c>
    </row>
    <row r="1670" ht="15.75" customHeight="1">
      <c r="A1670" s="4" t="s">
        <v>79</v>
      </c>
      <c r="B1670" s="4" t="s">
        <v>448</v>
      </c>
    </row>
    <row r="1671" ht="15.75" customHeight="1">
      <c r="A1671" s="4" t="s">
        <v>113</v>
      </c>
      <c r="B1671" s="4" t="s">
        <v>448</v>
      </c>
    </row>
    <row r="1672" ht="15.75" customHeight="1">
      <c r="A1672" s="4" t="s">
        <v>81</v>
      </c>
      <c r="B1672" s="4" t="s">
        <v>448</v>
      </c>
    </row>
    <row r="1673" ht="15.75" customHeight="1">
      <c r="A1673" s="4" t="s">
        <v>89</v>
      </c>
      <c r="B1673" s="4" t="s">
        <v>449</v>
      </c>
    </row>
    <row r="1674" ht="15.75" customHeight="1">
      <c r="A1674" s="4" t="s">
        <v>114</v>
      </c>
      <c r="B1674" s="4" t="s">
        <v>449</v>
      </c>
    </row>
    <row r="1675" ht="15.75" customHeight="1">
      <c r="A1675" s="4" t="s">
        <v>178</v>
      </c>
      <c r="B1675" s="4" t="s">
        <v>449</v>
      </c>
    </row>
    <row r="1676" ht="15.75" customHeight="1">
      <c r="A1676" s="4" t="s">
        <v>72</v>
      </c>
      <c r="B1676" s="4" t="s">
        <v>449</v>
      </c>
    </row>
    <row r="1677" ht="15.75" customHeight="1">
      <c r="A1677" s="4" t="s">
        <v>113</v>
      </c>
      <c r="B1677" s="4" t="s">
        <v>449</v>
      </c>
    </row>
    <row r="1678" ht="15.75" customHeight="1">
      <c r="A1678" s="4" t="s">
        <v>94</v>
      </c>
      <c r="B1678" s="4" t="s">
        <v>449</v>
      </c>
    </row>
    <row r="1679" ht="15.75" customHeight="1">
      <c r="A1679" s="4" t="s">
        <v>61</v>
      </c>
      <c r="B1679" s="4" t="s">
        <v>450</v>
      </c>
    </row>
    <row r="1680" ht="15.75" customHeight="1">
      <c r="A1680" s="4" t="s">
        <v>102</v>
      </c>
      <c r="B1680" s="4" t="s">
        <v>450</v>
      </c>
    </row>
    <row r="1681" ht="15.75" customHeight="1">
      <c r="A1681" s="4" t="s">
        <v>85</v>
      </c>
      <c r="B1681" s="4" t="s">
        <v>450</v>
      </c>
    </row>
    <row r="1682" ht="15.75" customHeight="1">
      <c r="A1682" s="4" t="s">
        <v>99</v>
      </c>
      <c r="B1682" s="4" t="s">
        <v>450</v>
      </c>
    </row>
    <row r="1683" ht="15.75" customHeight="1">
      <c r="A1683" s="4" t="s">
        <v>66</v>
      </c>
      <c r="B1683" s="4" t="s">
        <v>450</v>
      </c>
    </row>
    <row r="1684" ht="15.75" customHeight="1">
      <c r="A1684" s="4" t="s">
        <v>94</v>
      </c>
      <c r="B1684" s="4" t="s">
        <v>450</v>
      </c>
    </row>
    <row r="1685" ht="15.75" customHeight="1">
      <c r="A1685" s="4" t="s">
        <v>82</v>
      </c>
      <c r="B1685" s="4" t="s">
        <v>451</v>
      </c>
    </row>
    <row r="1686" ht="15.75" customHeight="1">
      <c r="A1686" s="4" t="s">
        <v>64</v>
      </c>
      <c r="B1686" s="4" t="s">
        <v>451</v>
      </c>
    </row>
    <row r="1687" ht="15.75" customHeight="1">
      <c r="A1687" s="4" t="s">
        <v>85</v>
      </c>
      <c r="B1687" s="4" t="s">
        <v>451</v>
      </c>
    </row>
    <row r="1688" ht="15.75" customHeight="1">
      <c r="A1688" s="4" t="s">
        <v>207</v>
      </c>
      <c r="B1688" s="4" t="s">
        <v>451</v>
      </c>
    </row>
    <row r="1689" ht="15.75" customHeight="1">
      <c r="A1689" s="4" t="s">
        <v>87</v>
      </c>
      <c r="B1689" s="4" t="s">
        <v>451</v>
      </c>
    </row>
    <row r="1690" ht="15.75" customHeight="1">
      <c r="A1690" s="4" t="s">
        <v>185</v>
      </c>
      <c r="B1690" s="4" t="s">
        <v>451</v>
      </c>
    </row>
    <row r="1691" ht="15.75" customHeight="1">
      <c r="A1691" s="4" t="s">
        <v>100</v>
      </c>
      <c r="B1691" s="4" t="s">
        <v>452</v>
      </c>
    </row>
    <row r="1692" ht="15.75" customHeight="1">
      <c r="A1692" s="4" t="s">
        <v>153</v>
      </c>
      <c r="B1692" s="4" t="s">
        <v>452</v>
      </c>
    </row>
    <row r="1693" ht="15.75" customHeight="1">
      <c r="A1693" s="4" t="s">
        <v>141</v>
      </c>
      <c r="B1693" s="4" t="s">
        <v>452</v>
      </c>
    </row>
    <row r="1694" ht="15.75" customHeight="1">
      <c r="A1694" s="4" t="s">
        <v>157</v>
      </c>
      <c r="B1694" s="4" t="s">
        <v>452</v>
      </c>
    </row>
    <row r="1695" ht="15.75" customHeight="1">
      <c r="A1695" s="4" t="s">
        <v>196</v>
      </c>
      <c r="B1695" s="4" t="s">
        <v>452</v>
      </c>
    </row>
    <row r="1696" ht="15.75" customHeight="1">
      <c r="A1696" s="4" t="s">
        <v>111</v>
      </c>
      <c r="B1696" s="4" t="s">
        <v>452</v>
      </c>
    </row>
    <row r="1697" ht="15.75" customHeight="1">
      <c r="A1697" s="4" t="s">
        <v>159</v>
      </c>
      <c r="B1697" s="4" t="s">
        <v>453</v>
      </c>
    </row>
    <row r="1698" ht="15.75" customHeight="1">
      <c r="A1698" s="4" t="s">
        <v>134</v>
      </c>
      <c r="B1698" s="4" t="s">
        <v>453</v>
      </c>
    </row>
    <row r="1699" ht="15.75" customHeight="1">
      <c r="A1699" s="4" t="s">
        <v>183</v>
      </c>
      <c r="B1699" s="4" t="s">
        <v>453</v>
      </c>
    </row>
    <row r="1700" ht="15.75" customHeight="1">
      <c r="A1700" s="4" t="s">
        <v>86</v>
      </c>
      <c r="B1700" s="4" t="s">
        <v>453</v>
      </c>
    </row>
    <row r="1701" ht="15.75" customHeight="1">
      <c r="A1701" s="4" t="s">
        <v>131</v>
      </c>
      <c r="B1701" s="4" t="s">
        <v>453</v>
      </c>
    </row>
    <row r="1702" ht="15.75" customHeight="1">
      <c r="A1702" s="4" t="s">
        <v>154</v>
      </c>
      <c r="B1702" s="4" t="s">
        <v>453</v>
      </c>
    </row>
    <row r="1703" ht="15.75" customHeight="1">
      <c r="A1703" s="4" t="s">
        <v>146</v>
      </c>
      <c r="B1703" s="4" t="s">
        <v>454</v>
      </c>
    </row>
    <row r="1704" ht="15.75" customHeight="1">
      <c r="A1704" s="4" t="s">
        <v>169</v>
      </c>
      <c r="B1704" s="4" t="s">
        <v>454</v>
      </c>
    </row>
    <row r="1705" ht="15.75" customHeight="1">
      <c r="A1705" s="4" t="s">
        <v>198</v>
      </c>
      <c r="B1705" s="4" t="s">
        <v>454</v>
      </c>
    </row>
    <row r="1706" ht="15.75" customHeight="1">
      <c r="A1706" s="4" t="s">
        <v>99</v>
      </c>
      <c r="B1706" s="4" t="s">
        <v>454</v>
      </c>
    </row>
    <row r="1707" ht="15.75" customHeight="1">
      <c r="A1707" s="4" t="s">
        <v>131</v>
      </c>
      <c r="B1707" s="4" t="s">
        <v>454</v>
      </c>
    </row>
    <row r="1708" ht="15.75" customHeight="1">
      <c r="A1708" s="4" t="s">
        <v>94</v>
      </c>
      <c r="B1708" s="4" t="s">
        <v>454</v>
      </c>
    </row>
    <row r="1709" ht="15.75" customHeight="1">
      <c r="A1709" s="4" t="s">
        <v>97</v>
      </c>
      <c r="B1709" s="4" t="s">
        <v>455</v>
      </c>
    </row>
    <row r="1710" ht="15.75" customHeight="1">
      <c r="A1710" s="4" t="s">
        <v>64</v>
      </c>
      <c r="B1710" s="4" t="s">
        <v>455</v>
      </c>
    </row>
    <row r="1711" ht="15.75" customHeight="1">
      <c r="A1711" s="4" t="s">
        <v>85</v>
      </c>
      <c r="B1711" s="4" t="s">
        <v>455</v>
      </c>
    </row>
    <row r="1712" ht="15.75" customHeight="1">
      <c r="A1712" s="4" t="s">
        <v>184</v>
      </c>
      <c r="B1712" s="4" t="s">
        <v>455</v>
      </c>
    </row>
    <row r="1713" ht="15.75" customHeight="1">
      <c r="A1713" s="4" t="s">
        <v>113</v>
      </c>
      <c r="B1713" s="4" t="s">
        <v>455</v>
      </c>
    </row>
    <row r="1714" ht="15.75" customHeight="1">
      <c r="A1714" s="4" t="s">
        <v>199</v>
      </c>
      <c r="B1714" s="4" t="s">
        <v>455</v>
      </c>
    </row>
    <row r="1715" ht="15.75" customHeight="1">
      <c r="A1715" s="4" t="s">
        <v>190</v>
      </c>
      <c r="B1715" s="4" t="s">
        <v>456</v>
      </c>
    </row>
    <row r="1716" ht="15.75" customHeight="1">
      <c r="A1716" s="4" t="s">
        <v>92</v>
      </c>
      <c r="B1716" s="4" t="s">
        <v>456</v>
      </c>
    </row>
    <row r="1717" ht="15.75" customHeight="1">
      <c r="A1717" s="4" t="s">
        <v>178</v>
      </c>
      <c r="B1717" s="4" t="s">
        <v>456</v>
      </c>
    </row>
    <row r="1718" ht="15.75" customHeight="1">
      <c r="A1718" s="4" t="s">
        <v>207</v>
      </c>
      <c r="B1718" s="4" t="s">
        <v>456</v>
      </c>
    </row>
    <row r="1719" ht="15.75" customHeight="1">
      <c r="A1719" s="4" t="s">
        <v>131</v>
      </c>
      <c r="B1719" s="4" t="s">
        <v>456</v>
      </c>
    </row>
    <row r="1720" ht="15.75" customHeight="1">
      <c r="A1720" s="4" t="s">
        <v>199</v>
      </c>
      <c r="B1720" s="4" t="s">
        <v>456</v>
      </c>
    </row>
    <row r="1721" ht="15.75" customHeight="1">
      <c r="A1721" s="4" t="s">
        <v>146</v>
      </c>
      <c r="B1721" s="4" t="s">
        <v>457</v>
      </c>
    </row>
    <row r="1722" ht="15.75" customHeight="1">
      <c r="A1722" s="4" t="s">
        <v>82</v>
      </c>
      <c r="B1722" s="4" t="s">
        <v>457</v>
      </c>
    </row>
    <row r="1723" ht="15.75" customHeight="1">
      <c r="A1723" s="4" t="s">
        <v>120</v>
      </c>
      <c r="B1723" s="4" t="s">
        <v>457</v>
      </c>
    </row>
    <row r="1724" ht="15.75" customHeight="1">
      <c r="A1724" s="4" t="s">
        <v>65</v>
      </c>
      <c r="B1724" s="4" t="s">
        <v>457</v>
      </c>
    </row>
    <row r="1725" ht="15.75" customHeight="1">
      <c r="A1725" s="4" t="s">
        <v>142</v>
      </c>
      <c r="B1725" s="4" t="s">
        <v>457</v>
      </c>
    </row>
    <row r="1726" ht="15.75" customHeight="1">
      <c r="A1726" s="4" t="s">
        <v>154</v>
      </c>
      <c r="B1726" s="4" t="s">
        <v>457</v>
      </c>
    </row>
    <row r="1727" ht="15.75" customHeight="1">
      <c r="A1727" s="4" t="s">
        <v>63</v>
      </c>
      <c r="B1727" s="4" t="s">
        <v>458</v>
      </c>
    </row>
    <row r="1728" ht="15.75" customHeight="1">
      <c r="A1728" s="4" t="s">
        <v>100</v>
      </c>
      <c r="B1728" s="4" t="s">
        <v>458</v>
      </c>
    </row>
    <row r="1729" ht="15.75" customHeight="1">
      <c r="A1729" s="4" t="s">
        <v>104</v>
      </c>
      <c r="B1729" s="4" t="s">
        <v>458</v>
      </c>
    </row>
    <row r="1730" ht="15.75" customHeight="1">
      <c r="A1730" s="4" t="s">
        <v>211</v>
      </c>
      <c r="B1730" s="4" t="s">
        <v>458</v>
      </c>
    </row>
    <row r="1731" ht="15.75" customHeight="1">
      <c r="A1731" s="4" t="s">
        <v>181</v>
      </c>
      <c r="B1731" s="4" t="s">
        <v>458</v>
      </c>
    </row>
    <row r="1732" ht="15.75" customHeight="1">
      <c r="A1732" s="4" t="s">
        <v>139</v>
      </c>
      <c r="B1732" s="4" t="s">
        <v>458</v>
      </c>
    </row>
    <row r="1733" ht="15.75" customHeight="1">
      <c r="A1733" s="4" t="s">
        <v>169</v>
      </c>
      <c r="B1733" s="4" t="s">
        <v>459</v>
      </c>
    </row>
    <row r="1734" ht="15.75" customHeight="1">
      <c r="A1734" s="4" t="s">
        <v>153</v>
      </c>
      <c r="B1734" s="4" t="s">
        <v>459</v>
      </c>
    </row>
    <row r="1735" ht="15.75" customHeight="1">
      <c r="A1735" s="4" t="s">
        <v>178</v>
      </c>
      <c r="B1735" s="4" t="s">
        <v>459</v>
      </c>
    </row>
    <row r="1736" ht="15.75" customHeight="1">
      <c r="A1736" s="4" t="s">
        <v>176</v>
      </c>
      <c r="B1736" s="4" t="s">
        <v>459</v>
      </c>
    </row>
    <row r="1737" ht="15.75" customHeight="1">
      <c r="A1737" s="4" t="s">
        <v>187</v>
      </c>
      <c r="B1737" s="4" t="s">
        <v>459</v>
      </c>
    </row>
    <row r="1738" ht="15.75" customHeight="1">
      <c r="A1738" s="4" t="s">
        <v>111</v>
      </c>
      <c r="B1738" s="4" t="s">
        <v>459</v>
      </c>
    </row>
    <row r="1739" ht="15.75" customHeight="1">
      <c r="A1739" s="4" t="s">
        <v>132</v>
      </c>
      <c r="B1739" s="4" t="s">
        <v>460</v>
      </c>
    </row>
    <row r="1740" ht="15.75" customHeight="1">
      <c r="A1740" s="4" t="s">
        <v>97</v>
      </c>
      <c r="B1740" s="4" t="s">
        <v>460</v>
      </c>
    </row>
    <row r="1741" ht="15.75" customHeight="1">
      <c r="A1741" s="4" t="s">
        <v>104</v>
      </c>
      <c r="B1741" s="4" t="s">
        <v>460</v>
      </c>
    </row>
    <row r="1742" ht="15.75" customHeight="1">
      <c r="A1742" s="4" t="s">
        <v>110</v>
      </c>
      <c r="B1742" s="4" t="s">
        <v>460</v>
      </c>
    </row>
    <row r="1743" ht="15.75" customHeight="1">
      <c r="A1743" s="4" t="s">
        <v>124</v>
      </c>
      <c r="B1743" s="4" t="s">
        <v>460</v>
      </c>
    </row>
    <row r="1744" ht="15.75" customHeight="1">
      <c r="A1744" s="4" t="s">
        <v>145</v>
      </c>
      <c r="B1744" s="4" t="s">
        <v>460</v>
      </c>
    </row>
    <row r="1745" ht="15.75" customHeight="1">
      <c r="A1745" s="4" t="s">
        <v>114</v>
      </c>
      <c r="B1745" s="4" t="s">
        <v>461</v>
      </c>
    </row>
    <row r="1746" ht="15.75" customHeight="1">
      <c r="A1746" s="4" t="s">
        <v>148</v>
      </c>
      <c r="B1746" s="4" t="s">
        <v>461</v>
      </c>
    </row>
    <row r="1747" ht="15.75" customHeight="1">
      <c r="A1747" s="4" t="s">
        <v>141</v>
      </c>
      <c r="B1747" s="4" t="s">
        <v>461</v>
      </c>
    </row>
    <row r="1748" ht="15.75" customHeight="1">
      <c r="A1748" s="4" t="s">
        <v>240</v>
      </c>
      <c r="B1748" s="4" t="s">
        <v>461</v>
      </c>
    </row>
    <row r="1749" ht="15.75" customHeight="1">
      <c r="A1749" s="4" t="s">
        <v>131</v>
      </c>
      <c r="B1749" s="4" t="s">
        <v>461</v>
      </c>
    </row>
    <row r="1750" ht="15.75" customHeight="1">
      <c r="A1750" s="4" t="s">
        <v>94</v>
      </c>
      <c r="B1750" s="4" t="s">
        <v>461</v>
      </c>
    </row>
    <row r="1751" ht="15.75" customHeight="1">
      <c r="A1751" s="4" t="s">
        <v>159</v>
      </c>
      <c r="B1751" s="4" t="s">
        <v>462</v>
      </c>
    </row>
    <row r="1752" ht="15.75" customHeight="1">
      <c r="A1752" s="4" t="s">
        <v>134</v>
      </c>
      <c r="B1752" s="4" t="s">
        <v>462</v>
      </c>
    </row>
    <row r="1753" ht="15.75" customHeight="1">
      <c r="A1753" s="4" t="s">
        <v>175</v>
      </c>
      <c r="B1753" s="4" t="s">
        <v>462</v>
      </c>
    </row>
    <row r="1754" ht="15.75" customHeight="1">
      <c r="A1754" s="4" t="s">
        <v>157</v>
      </c>
      <c r="B1754" s="4" t="s">
        <v>462</v>
      </c>
    </row>
    <row r="1755" ht="15.75" customHeight="1">
      <c r="A1755" s="4" t="s">
        <v>124</v>
      </c>
      <c r="B1755" s="4" t="s">
        <v>462</v>
      </c>
    </row>
    <row r="1756" ht="15.75" customHeight="1">
      <c r="A1756" s="4" t="s">
        <v>145</v>
      </c>
      <c r="B1756" s="4" t="s">
        <v>462</v>
      </c>
    </row>
    <row r="1757" ht="15.75" customHeight="1">
      <c r="A1757" s="4" t="s">
        <v>169</v>
      </c>
      <c r="B1757" s="4" t="s">
        <v>463</v>
      </c>
    </row>
    <row r="1758" ht="15.75" customHeight="1">
      <c r="A1758" s="4" t="s">
        <v>153</v>
      </c>
      <c r="B1758" s="4" t="s">
        <v>463</v>
      </c>
    </row>
    <row r="1759" ht="15.75" customHeight="1">
      <c r="A1759" s="4" t="s">
        <v>178</v>
      </c>
      <c r="B1759" s="4" t="s">
        <v>463</v>
      </c>
    </row>
    <row r="1760" ht="15.75" customHeight="1">
      <c r="A1760" s="4" t="s">
        <v>135</v>
      </c>
      <c r="B1760" s="4" t="s">
        <v>463</v>
      </c>
    </row>
    <row r="1761" ht="15.75" customHeight="1">
      <c r="A1761" s="4" t="s">
        <v>162</v>
      </c>
      <c r="B1761" s="4" t="s">
        <v>463</v>
      </c>
    </row>
    <row r="1762" ht="15.75" customHeight="1">
      <c r="A1762" s="4" t="s">
        <v>139</v>
      </c>
      <c r="B1762" s="4" t="s">
        <v>463</v>
      </c>
    </row>
    <row r="1763" ht="15.75" customHeight="1">
      <c r="A1763" s="4" t="s">
        <v>89</v>
      </c>
      <c r="B1763" s="4" t="s">
        <v>464</v>
      </c>
    </row>
    <row r="1764" ht="15.75" customHeight="1">
      <c r="A1764" s="4" t="s">
        <v>68</v>
      </c>
      <c r="B1764" s="4" t="s">
        <v>464</v>
      </c>
    </row>
    <row r="1765" ht="15.75" customHeight="1">
      <c r="A1765" s="4" t="s">
        <v>170</v>
      </c>
      <c r="B1765" s="4" t="s">
        <v>464</v>
      </c>
    </row>
    <row r="1766" ht="15.75" customHeight="1">
      <c r="A1766" s="4" t="s">
        <v>166</v>
      </c>
      <c r="B1766" s="4" t="s">
        <v>464</v>
      </c>
    </row>
    <row r="1767" ht="15.75" customHeight="1">
      <c r="A1767" s="4" t="s">
        <v>181</v>
      </c>
      <c r="B1767" s="4" t="s">
        <v>464</v>
      </c>
    </row>
    <row r="1768" ht="15.75" customHeight="1">
      <c r="A1768" s="4" t="s">
        <v>220</v>
      </c>
      <c r="B1768" s="4" t="s">
        <v>464</v>
      </c>
    </row>
    <row r="1769" ht="15.75" customHeight="1">
      <c r="A1769" s="4" t="s">
        <v>100</v>
      </c>
      <c r="B1769" s="4" t="s">
        <v>465</v>
      </c>
    </row>
    <row r="1770" ht="15.75" customHeight="1">
      <c r="A1770" s="4" t="s">
        <v>137</v>
      </c>
      <c r="B1770" s="4" t="s">
        <v>465</v>
      </c>
    </row>
    <row r="1771" ht="15.75" customHeight="1">
      <c r="A1771" s="4" t="s">
        <v>215</v>
      </c>
      <c r="B1771" s="4" t="s">
        <v>465</v>
      </c>
    </row>
    <row r="1772" ht="15.75" customHeight="1">
      <c r="A1772" s="4" t="s">
        <v>72</v>
      </c>
      <c r="B1772" s="4" t="s">
        <v>465</v>
      </c>
    </row>
    <row r="1773" ht="15.75" customHeight="1">
      <c r="A1773" s="4" t="s">
        <v>113</v>
      </c>
      <c r="B1773" s="4" t="s">
        <v>465</v>
      </c>
    </row>
    <row r="1774" ht="15.75" customHeight="1">
      <c r="A1774" s="4" t="s">
        <v>81</v>
      </c>
      <c r="B1774" s="4" t="s">
        <v>465</v>
      </c>
    </row>
    <row r="1775" ht="15.75" customHeight="1">
      <c r="A1775" s="4" t="s">
        <v>161</v>
      </c>
      <c r="B1775" s="4" t="s">
        <v>466</v>
      </c>
    </row>
    <row r="1776" ht="15.75" customHeight="1">
      <c r="A1776" s="4" t="s">
        <v>153</v>
      </c>
      <c r="B1776" s="4" t="s">
        <v>466</v>
      </c>
    </row>
    <row r="1777" ht="15.75" customHeight="1">
      <c r="A1777" s="4" t="s">
        <v>141</v>
      </c>
      <c r="B1777" s="4" t="s">
        <v>466</v>
      </c>
    </row>
    <row r="1778" ht="15.75" customHeight="1">
      <c r="A1778" s="4" t="s">
        <v>176</v>
      </c>
      <c r="B1778" s="4" t="s">
        <v>466</v>
      </c>
    </row>
    <row r="1779" ht="15.75" customHeight="1">
      <c r="A1779" s="4" t="s">
        <v>181</v>
      </c>
      <c r="B1779" s="4" t="s">
        <v>466</v>
      </c>
    </row>
    <row r="1780" ht="15.75" customHeight="1">
      <c r="A1780" s="4" t="s">
        <v>158</v>
      </c>
      <c r="B1780" s="4" t="s">
        <v>466</v>
      </c>
    </row>
    <row r="1781" ht="15.75" customHeight="1">
      <c r="A1781" s="4" t="s">
        <v>169</v>
      </c>
      <c r="B1781" s="4" t="s">
        <v>467</v>
      </c>
    </row>
    <row r="1782" ht="15.75" customHeight="1">
      <c r="A1782" s="4" t="s">
        <v>92</v>
      </c>
      <c r="B1782" s="4" t="s">
        <v>467</v>
      </c>
    </row>
    <row r="1783" ht="15.75" customHeight="1">
      <c r="A1783" s="4" t="s">
        <v>178</v>
      </c>
      <c r="B1783" s="4" t="s">
        <v>467</v>
      </c>
    </row>
    <row r="1784" ht="15.75" customHeight="1">
      <c r="A1784" s="4" t="s">
        <v>211</v>
      </c>
      <c r="B1784" s="4" t="s">
        <v>467</v>
      </c>
    </row>
    <row r="1785" ht="15.75" customHeight="1">
      <c r="A1785" s="4" t="s">
        <v>150</v>
      </c>
      <c r="B1785" s="4" t="s">
        <v>467</v>
      </c>
    </row>
    <row r="1786" ht="15.75" customHeight="1">
      <c r="A1786" s="4" t="s">
        <v>212</v>
      </c>
      <c r="B1786" s="4" t="s">
        <v>467</v>
      </c>
    </row>
    <row r="1787" ht="15.75" customHeight="1">
      <c r="A1787" s="4" t="s">
        <v>63</v>
      </c>
      <c r="B1787" s="4" t="s">
        <v>468</v>
      </c>
    </row>
    <row r="1788" ht="15.75" customHeight="1">
      <c r="A1788" s="4" t="s">
        <v>134</v>
      </c>
      <c r="B1788" s="4" t="s">
        <v>468</v>
      </c>
    </row>
    <row r="1789" ht="15.75" customHeight="1">
      <c r="A1789" s="4" t="s">
        <v>183</v>
      </c>
      <c r="B1789" s="4" t="s">
        <v>468</v>
      </c>
    </row>
    <row r="1790" ht="15.75" customHeight="1">
      <c r="A1790" s="4" t="s">
        <v>166</v>
      </c>
      <c r="B1790" s="4" t="s">
        <v>468</v>
      </c>
    </row>
    <row r="1791" ht="15.75" customHeight="1">
      <c r="A1791" s="4" t="s">
        <v>187</v>
      </c>
      <c r="B1791" s="4" t="s">
        <v>468</v>
      </c>
    </row>
    <row r="1792" ht="15.75" customHeight="1">
      <c r="A1792" s="4" t="s">
        <v>212</v>
      </c>
      <c r="B1792" s="4" t="s">
        <v>468</v>
      </c>
    </row>
    <row r="1793" ht="15.75" customHeight="1">
      <c r="A1793" s="4" t="s">
        <v>159</v>
      </c>
      <c r="B1793" s="4" t="s">
        <v>469</v>
      </c>
    </row>
    <row r="1794" ht="15.75" customHeight="1">
      <c r="A1794" s="4" t="s">
        <v>97</v>
      </c>
      <c r="B1794" s="4" t="s">
        <v>469</v>
      </c>
    </row>
    <row r="1795" ht="15.75" customHeight="1">
      <c r="A1795" s="4" t="s">
        <v>91</v>
      </c>
      <c r="B1795" s="4" t="s">
        <v>469</v>
      </c>
    </row>
    <row r="1796" ht="15.75" customHeight="1">
      <c r="A1796" s="4" t="s">
        <v>207</v>
      </c>
      <c r="B1796" s="4" t="s">
        <v>469</v>
      </c>
    </row>
    <row r="1797" ht="15.75" customHeight="1">
      <c r="A1797" s="4" t="s">
        <v>80</v>
      </c>
      <c r="B1797" s="4" t="s">
        <v>469</v>
      </c>
    </row>
    <row r="1798" ht="15.75" customHeight="1">
      <c r="A1798" s="4" t="s">
        <v>88</v>
      </c>
      <c r="B1798" s="4" t="s">
        <v>469</v>
      </c>
    </row>
    <row r="1799" ht="15.75" customHeight="1">
      <c r="A1799" s="4" t="s">
        <v>97</v>
      </c>
      <c r="B1799" s="4" t="s">
        <v>470</v>
      </c>
    </row>
    <row r="1800" ht="15.75" customHeight="1">
      <c r="A1800" s="4" t="s">
        <v>194</v>
      </c>
      <c r="B1800" s="4" t="s">
        <v>470</v>
      </c>
    </row>
    <row r="1801" ht="15.75" customHeight="1">
      <c r="A1801" s="4" t="s">
        <v>104</v>
      </c>
      <c r="B1801" s="4" t="s">
        <v>470</v>
      </c>
    </row>
    <row r="1802" ht="15.75" customHeight="1">
      <c r="A1802" s="4" t="s">
        <v>105</v>
      </c>
      <c r="B1802" s="4" t="s">
        <v>470</v>
      </c>
    </row>
    <row r="1803" ht="15.75" customHeight="1">
      <c r="A1803" s="4" t="s">
        <v>106</v>
      </c>
      <c r="B1803" s="4" t="s">
        <v>470</v>
      </c>
    </row>
    <row r="1804" ht="15.75" customHeight="1">
      <c r="A1804" s="4" t="s">
        <v>107</v>
      </c>
      <c r="B1804" s="4" t="s">
        <v>470</v>
      </c>
    </row>
    <row r="1805" ht="15.75" customHeight="1">
      <c r="A1805" s="4" t="s">
        <v>70</v>
      </c>
      <c r="B1805" s="4" t="s">
        <v>471</v>
      </c>
    </row>
    <row r="1806" ht="15.75" customHeight="1">
      <c r="A1806" s="4" t="s">
        <v>153</v>
      </c>
      <c r="B1806" s="4" t="s">
        <v>471</v>
      </c>
    </row>
    <row r="1807" ht="15.75" customHeight="1">
      <c r="A1807" s="4" t="s">
        <v>71</v>
      </c>
      <c r="B1807" s="4" t="s">
        <v>471</v>
      </c>
    </row>
    <row r="1808" ht="15.75" customHeight="1">
      <c r="A1808" s="4" t="s">
        <v>86</v>
      </c>
      <c r="B1808" s="4" t="s">
        <v>471</v>
      </c>
    </row>
    <row r="1809" ht="15.75" customHeight="1">
      <c r="A1809" s="4" t="s">
        <v>131</v>
      </c>
      <c r="B1809" s="4" t="s">
        <v>471</v>
      </c>
    </row>
    <row r="1810" ht="15.75" customHeight="1">
      <c r="A1810" s="4" t="s">
        <v>185</v>
      </c>
      <c r="B1810" s="4" t="s">
        <v>471</v>
      </c>
    </row>
    <row r="1811" ht="15.75" customHeight="1">
      <c r="A1811" s="4" t="s">
        <v>226</v>
      </c>
      <c r="B1811" s="4" t="s">
        <v>472</v>
      </c>
    </row>
    <row r="1812" ht="15.75" customHeight="1">
      <c r="A1812" s="4" t="s">
        <v>198</v>
      </c>
      <c r="B1812" s="4" t="s">
        <v>472</v>
      </c>
    </row>
    <row r="1813" ht="15.75" customHeight="1">
      <c r="A1813" s="4" t="s">
        <v>77</v>
      </c>
      <c r="B1813" s="4" t="s">
        <v>472</v>
      </c>
    </row>
    <row r="1814" ht="15.75" customHeight="1">
      <c r="A1814" s="4" t="s">
        <v>79</v>
      </c>
      <c r="B1814" s="4" t="s">
        <v>472</v>
      </c>
    </row>
    <row r="1815" ht="15.75" customHeight="1">
      <c r="A1815" s="4" t="s">
        <v>87</v>
      </c>
      <c r="B1815" s="4" t="s">
        <v>472</v>
      </c>
    </row>
    <row r="1816" ht="15.75" customHeight="1">
      <c r="A1816" s="4" t="s">
        <v>74</v>
      </c>
      <c r="B1816" s="4" t="s">
        <v>472</v>
      </c>
    </row>
    <row r="1817" ht="15.75" customHeight="1">
      <c r="A1817" s="4" t="s">
        <v>159</v>
      </c>
      <c r="B1817" s="4" t="s">
        <v>473</v>
      </c>
    </row>
    <row r="1818" ht="15.75" customHeight="1">
      <c r="A1818" s="4" t="s">
        <v>97</v>
      </c>
      <c r="B1818" s="4" t="s">
        <v>473</v>
      </c>
    </row>
    <row r="1819" ht="15.75" customHeight="1">
      <c r="A1819" s="4" t="s">
        <v>98</v>
      </c>
      <c r="B1819" s="4" t="s">
        <v>473</v>
      </c>
    </row>
    <row r="1820" ht="15.75" customHeight="1">
      <c r="A1820" s="4" t="s">
        <v>110</v>
      </c>
      <c r="B1820" s="4" t="s">
        <v>473</v>
      </c>
    </row>
    <row r="1821" ht="15.75" customHeight="1">
      <c r="A1821" s="4" t="s">
        <v>150</v>
      </c>
      <c r="B1821" s="4" t="s">
        <v>473</v>
      </c>
    </row>
    <row r="1822" ht="15.75" customHeight="1">
      <c r="A1822" s="4" t="s">
        <v>127</v>
      </c>
      <c r="B1822" s="4" t="s">
        <v>473</v>
      </c>
    </row>
    <row r="1823" ht="15.75" customHeight="1">
      <c r="A1823" s="4" t="s">
        <v>190</v>
      </c>
      <c r="B1823" s="4" t="s">
        <v>474</v>
      </c>
    </row>
    <row r="1824" ht="15.75" customHeight="1">
      <c r="A1824" s="4" t="s">
        <v>129</v>
      </c>
      <c r="B1824" s="4" t="s">
        <v>474</v>
      </c>
    </row>
    <row r="1825" ht="15.75" customHeight="1">
      <c r="A1825" s="4" t="s">
        <v>85</v>
      </c>
      <c r="B1825" s="4" t="s">
        <v>474</v>
      </c>
    </row>
    <row r="1826" ht="15.75" customHeight="1">
      <c r="A1826" s="4" t="s">
        <v>72</v>
      </c>
      <c r="B1826" s="4" t="s">
        <v>474</v>
      </c>
    </row>
    <row r="1827" ht="15.75" customHeight="1">
      <c r="A1827" s="4" t="s">
        <v>93</v>
      </c>
      <c r="B1827" s="4" t="s">
        <v>474</v>
      </c>
    </row>
    <row r="1828" ht="15.75" customHeight="1">
      <c r="A1828" s="4" t="s">
        <v>241</v>
      </c>
      <c r="B1828" s="4" t="s">
        <v>474</v>
      </c>
    </row>
    <row r="1829" ht="15.75" customHeight="1">
      <c r="A1829" s="4" t="s">
        <v>134</v>
      </c>
      <c r="B1829" s="4" t="s">
        <v>475</v>
      </c>
    </row>
    <row r="1830" ht="15.75" customHeight="1">
      <c r="A1830" s="4" t="s">
        <v>194</v>
      </c>
      <c r="B1830" s="4" t="s">
        <v>475</v>
      </c>
    </row>
    <row r="1831" ht="15.75" customHeight="1">
      <c r="A1831" s="4" t="s">
        <v>71</v>
      </c>
      <c r="B1831" s="4" t="s">
        <v>475</v>
      </c>
    </row>
    <row r="1832" ht="15.75" customHeight="1">
      <c r="A1832" s="4" t="s">
        <v>207</v>
      </c>
      <c r="B1832" s="4" t="s">
        <v>475</v>
      </c>
    </row>
    <row r="1833" ht="15.75" customHeight="1">
      <c r="A1833" s="4" t="s">
        <v>117</v>
      </c>
      <c r="B1833" s="4" t="s">
        <v>475</v>
      </c>
    </row>
    <row r="1834" ht="15.75" customHeight="1">
      <c r="A1834" s="4" t="s">
        <v>67</v>
      </c>
      <c r="B1834" s="4" t="s">
        <v>475</v>
      </c>
    </row>
    <row r="1835" ht="15.75" customHeight="1">
      <c r="A1835" s="4" t="s">
        <v>95</v>
      </c>
      <c r="B1835" s="4" t="s">
        <v>476</v>
      </c>
    </row>
    <row r="1836" ht="15.75" customHeight="1">
      <c r="A1836" s="4" t="s">
        <v>97</v>
      </c>
      <c r="B1836" s="4" t="s">
        <v>476</v>
      </c>
    </row>
    <row r="1837" ht="15.75" customHeight="1">
      <c r="A1837" s="4" t="s">
        <v>104</v>
      </c>
      <c r="B1837" s="4" t="s">
        <v>476</v>
      </c>
    </row>
    <row r="1838" ht="15.75" customHeight="1">
      <c r="A1838" s="4" t="s">
        <v>105</v>
      </c>
      <c r="B1838" s="4" t="s">
        <v>476</v>
      </c>
    </row>
    <row r="1839" ht="15.75" customHeight="1">
      <c r="A1839" s="4" t="s">
        <v>222</v>
      </c>
      <c r="B1839" s="4" t="s">
        <v>476</v>
      </c>
    </row>
    <row r="1840" ht="15.75" customHeight="1">
      <c r="A1840" s="4" t="s">
        <v>107</v>
      </c>
      <c r="B1840" s="4" t="s">
        <v>476</v>
      </c>
    </row>
    <row r="1841" ht="15.75" customHeight="1">
      <c r="A1841" s="4" t="s">
        <v>75</v>
      </c>
      <c r="B1841" s="4" t="s">
        <v>477</v>
      </c>
    </row>
    <row r="1842" ht="15.75" customHeight="1">
      <c r="A1842" s="4" t="s">
        <v>122</v>
      </c>
      <c r="B1842" s="4" t="s">
        <v>477</v>
      </c>
    </row>
    <row r="1843" ht="15.75" customHeight="1">
      <c r="A1843" s="4" t="s">
        <v>120</v>
      </c>
      <c r="B1843" s="4" t="s">
        <v>477</v>
      </c>
    </row>
    <row r="1844" ht="15.75" customHeight="1">
      <c r="A1844" s="4" t="s">
        <v>207</v>
      </c>
      <c r="B1844" s="4" t="s">
        <v>477</v>
      </c>
    </row>
    <row r="1845" ht="15.75" customHeight="1">
      <c r="A1845" s="4" t="s">
        <v>66</v>
      </c>
      <c r="B1845" s="4" t="s">
        <v>477</v>
      </c>
    </row>
    <row r="1846" ht="15.75" customHeight="1">
      <c r="A1846" s="4" t="s">
        <v>88</v>
      </c>
      <c r="B1846" s="4" t="s">
        <v>477</v>
      </c>
    </row>
    <row r="1847" ht="15.75" customHeight="1">
      <c r="A1847" s="4" t="s">
        <v>173</v>
      </c>
      <c r="B1847" s="4" t="s">
        <v>478</v>
      </c>
    </row>
    <row r="1848" ht="15.75" customHeight="1">
      <c r="A1848" s="4" t="s">
        <v>132</v>
      </c>
      <c r="B1848" s="4" t="s">
        <v>478</v>
      </c>
    </row>
    <row r="1849" ht="15.75" customHeight="1">
      <c r="A1849" s="4" t="s">
        <v>178</v>
      </c>
      <c r="B1849" s="4" t="s">
        <v>478</v>
      </c>
    </row>
    <row r="1850" ht="15.75" customHeight="1">
      <c r="A1850" s="4" t="s">
        <v>195</v>
      </c>
      <c r="B1850" s="4" t="s">
        <v>478</v>
      </c>
    </row>
    <row r="1851" ht="15.75" customHeight="1">
      <c r="A1851" s="4" t="s">
        <v>106</v>
      </c>
      <c r="B1851" s="4" t="s">
        <v>478</v>
      </c>
    </row>
    <row r="1852" ht="15.75" customHeight="1">
      <c r="A1852" s="4" t="s">
        <v>136</v>
      </c>
      <c r="B1852" s="4" t="s">
        <v>478</v>
      </c>
    </row>
    <row r="1853" ht="15.75" customHeight="1">
      <c r="A1853" s="4" t="s">
        <v>137</v>
      </c>
      <c r="B1853" s="4" t="s">
        <v>479</v>
      </c>
    </row>
    <row r="1854" ht="15.75" customHeight="1">
      <c r="A1854" s="4" t="s">
        <v>134</v>
      </c>
      <c r="B1854" s="4" t="s">
        <v>479</v>
      </c>
    </row>
    <row r="1855" ht="15.75" customHeight="1">
      <c r="A1855" s="4" t="s">
        <v>175</v>
      </c>
      <c r="B1855" s="4" t="s">
        <v>479</v>
      </c>
    </row>
    <row r="1856" ht="15.75" customHeight="1">
      <c r="A1856" s="4" t="s">
        <v>176</v>
      </c>
      <c r="B1856" s="4" t="s">
        <v>479</v>
      </c>
    </row>
    <row r="1857" ht="15.75" customHeight="1">
      <c r="A1857" s="4" t="s">
        <v>124</v>
      </c>
      <c r="B1857" s="4" t="s">
        <v>479</v>
      </c>
    </row>
    <row r="1858" ht="15.75" customHeight="1">
      <c r="A1858" s="4" t="s">
        <v>145</v>
      </c>
      <c r="B1858" s="4" t="s">
        <v>479</v>
      </c>
    </row>
    <row r="1859" ht="15.75" customHeight="1">
      <c r="A1859" s="4" t="s">
        <v>75</v>
      </c>
      <c r="B1859" s="4" t="s">
        <v>480</v>
      </c>
    </row>
    <row r="1860" ht="15.75" customHeight="1">
      <c r="A1860" s="4" t="s">
        <v>156</v>
      </c>
      <c r="B1860" s="4" t="s">
        <v>480</v>
      </c>
    </row>
    <row r="1861" ht="15.75" customHeight="1">
      <c r="A1861" s="4" t="s">
        <v>120</v>
      </c>
      <c r="B1861" s="4" t="s">
        <v>480</v>
      </c>
    </row>
    <row r="1862" ht="15.75" customHeight="1">
      <c r="A1862" s="4" t="s">
        <v>195</v>
      </c>
      <c r="B1862" s="4" t="s">
        <v>480</v>
      </c>
    </row>
    <row r="1863" ht="15.75" customHeight="1">
      <c r="A1863" s="4" t="s">
        <v>150</v>
      </c>
      <c r="B1863" s="4" t="s">
        <v>480</v>
      </c>
    </row>
    <row r="1864" ht="15.75" customHeight="1">
      <c r="A1864" s="4" t="s">
        <v>220</v>
      </c>
      <c r="B1864" s="4" t="s">
        <v>480</v>
      </c>
    </row>
    <row r="1865" ht="15.75" customHeight="1">
      <c r="A1865" s="4" t="s">
        <v>134</v>
      </c>
      <c r="B1865" s="4" t="s">
        <v>481</v>
      </c>
    </row>
    <row r="1866" ht="15.75" customHeight="1">
      <c r="A1866" s="4" t="s">
        <v>198</v>
      </c>
      <c r="B1866" s="4" t="s">
        <v>481</v>
      </c>
    </row>
    <row r="1867" ht="15.75" customHeight="1">
      <c r="A1867" s="4" t="s">
        <v>85</v>
      </c>
      <c r="B1867" s="4" t="s">
        <v>481</v>
      </c>
    </row>
    <row r="1868" ht="15.75" customHeight="1">
      <c r="A1868" s="4" t="s">
        <v>184</v>
      </c>
      <c r="B1868" s="4" t="s">
        <v>481</v>
      </c>
    </row>
    <row r="1869" ht="15.75" customHeight="1">
      <c r="A1869" s="4" t="s">
        <v>142</v>
      </c>
      <c r="B1869" s="4" t="s">
        <v>481</v>
      </c>
    </row>
    <row r="1870" ht="15.75" customHeight="1">
      <c r="A1870" s="4" t="s">
        <v>185</v>
      </c>
      <c r="B1870" s="4" t="s">
        <v>481</v>
      </c>
    </row>
    <row r="1871" ht="15.75" customHeight="1">
      <c r="A1871" s="4" t="s">
        <v>173</v>
      </c>
      <c r="B1871" s="4" t="s">
        <v>482</v>
      </c>
    </row>
    <row r="1872" ht="15.75" customHeight="1">
      <c r="A1872" s="4" t="s">
        <v>132</v>
      </c>
      <c r="B1872" s="4" t="s">
        <v>482</v>
      </c>
    </row>
    <row r="1873" ht="15.75" customHeight="1">
      <c r="A1873" s="4" t="s">
        <v>71</v>
      </c>
      <c r="B1873" s="4" t="s">
        <v>482</v>
      </c>
    </row>
    <row r="1874" ht="15.75" customHeight="1">
      <c r="A1874" s="4" t="s">
        <v>189</v>
      </c>
      <c r="B1874" s="4" t="s">
        <v>482</v>
      </c>
    </row>
    <row r="1875" ht="15.75" customHeight="1">
      <c r="A1875" s="4" t="s">
        <v>117</v>
      </c>
      <c r="B1875" s="4" t="s">
        <v>482</v>
      </c>
    </row>
    <row r="1876" ht="15.75" customHeight="1">
      <c r="A1876" s="4" t="s">
        <v>118</v>
      </c>
      <c r="B1876" s="4" t="s">
        <v>482</v>
      </c>
    </row>
    <row r="1877" ht="15.75" customHeight="1">
      <c r="A1877" s="4" t="s">
        <v>204</v>
      </c>
      <c r="B1877" s="4" t="s">
        <v>483</v>
      </c>
    </row>
    <row r="1878" ht="15.75" customHeight="1">
      <c r="A1878" s="4" t="s">
        <v>63</v>
      </c>
      <c r="B1878" s="4" t="s">
        <v>483</v>
      </c>
    </row>
    <row r="1879" ht="15.75" customHeight="1">
      <c r="A1879" s="4" t="s">
        <v>116</v>
      </c>
      <c r="B1879" s="4" t="s">
        <v>483</v>
      </c>
    </row>
    <row r="1880" ht="15.75" customHeight="1">
      <c r="A1880" s="4" t="s">
        <v>87</v>
      </c>
      <c r="B1880" s="4" t="s">
        <v>483</v>
      </c>
    </row>
    <row r="1881" ht="15.75" customHeight="1">
      <c r="A1881" s="4" t="s">
        <v>67</v>
      </c>
      <c r="B1881" s="4" t="s">
        <v>483</v>
      </c>
    </row>
    <row r="1882" ht="15.75" customHeight="1">
      <c r="A1882" s="4" t="s">
        <v>61</v>
      </c>
      <c r="B1882" s="4" t="s">
        <v>484</v>
      </c>
    </row>
    <row r="1883" ht="15.75" customHeight="1">
      <c r="A1883" s="4" t="s">
        <v>159</v>
      </c>
      <c r="B1883" s="4" t="s">
        <v>484</v>
      </c>
    </row>
    <row r="1884" ht="15.75" customHeight="1">
      <c r="A1884" s="4" t="s">
        <v>215</v>
      </c>
      <c r="B1884" s="4" t="s">
        <v>484</v>
      </c>
    </row>
    <row r="1885" ht="15.75" customHeight="1">
      <c r="A1885" s="4" t="s">
        <v>184</v>
      </c>
      <c r="B1885" s="4" t="s">
        <v>484</v>
      </c>
    </row>
    <row r="1886" ht="15.75" customHeight="1">
      <c r="A1886" s="4" t="s">
        <v>208</v>
      </c>
      <c r="B1886" s="4" t="s">
        <v>484</v>
      </c>
    </row>
    <row r="1887" ht="15.75" customHeight="1">
      <c r="A1887" s="4" t="s">
        <v>88</v>
      </c>
      <c r="B1887" s="4" t="s">
        <v>484</v>
      </c>
    </row>
    <row r="1888" ht="15.75" customHeight="1">
      <c r="A1888" s="4" t="s">
        <v>61</v>
      </c>
      <c r="B1888" s="4" t="s">
        <v>485</v>
      </c>
    </row>
    <row r="1889" ht="15.75" customHeight="1">
      <c r="A1889" s="4" t="s">
        <v>159</v>
      </c>
      <c r="B1889" s="4" t="s">
        <v>485</v>
      </c>
    </row>
    <row r="1890" ht="15.75" customHeight="1">
      <c r="A1890" s="4" t="s">
        <v>215</v>
      </c>
      <c r="B1890" s="4" t="s">
        <v>485</v>
      </c>
    </row>
    <row r="1891" ht="15.75" customHeight="1">
      <c r="A1891" s="4" t="s">
        <v>176</v>
      </c>
      <c r="B1891" s="4" t="s">
        <v>485</v>
      </c>
    </row>
    <row r="1892" ht="15.75" customHeight="1">
      <c r="A1892" s="4" t="s">
        <v>181</v>
      </c>
      <c r="B1892" s="4" t="s">
        <v>485</v>
      </c>
    </row>
    <row r="1893" ht="15.75" customHeight="1">
      <c r="A1893" s="4" t="s">
        <v>158</v>
      </c>
      <c r="B1893" s="4" t="s">
        <v>485</v>
      </c>
    </row>
    <row r="1894" ht="15.75" customHeight="1">
      <c r="A1894" s="4" t="s">
        <v>100</v>
      </c>
      <c r="B1894" s="4" t="s">
        <v>486</v>
      </c>
    </row>
    <row r="1895" ht="15.75" customHeight="1">
      <c r="A1895" s="4" t="s">
        <v>132</v>
      </c>
      <c r="B1895" s="4" t="s">
        <v>486</v>
      </c>
    </row>
    <row r="1896" ht="15.75" customHeight="1">
      <c r="A1896" s="4" t="s">
        <v>64</v>
      </c>
      <c r="B1896" s="4" t="s">
        <v>486</v>
      </c>
    </row>
    <row r="1897" ht="15.75" customHeight="1">
      <c r="A1897" s="4" t="s">
        <v>135</v>
      </c>
      <c r="B1897" s="4" t="s">
        <v>486</v>
      </c>
    </row>
    <row r="1898" ht="15.75" customHeight="1">
      <c r="A1898" s="4" t="s">
        <v>164</v>
      </c>
      <c r="B1898" s="4" t="s">
        <v>486</v>
      </c>
    </row>
    <row r="1899" ht="15.75" customHeight="1">
      <c r="A1899" s="4" t="s">
        <v>212</v>
      </c>
      <c r="B1899" s="4" t="s">
        <v>486</v>
      </c>
    </row>
    <row r="1900" ht="15.75" customHeight="1">
      <c r="A1900" s="4" t="s">
        <v>75</v>
      </c>
      <c r="B1900" s="4" t="s">
        <v>487</v>
      </c>
    </row>
    <row r="1901" ht="15.75" customHeight="1">
      <c r="A1901" s="4" t="s">
        <v>122</v>
      </c>
      <c r="B1901" s="4" t="s">
        <v>487</v>
      </c>
    </row>
    <row r="1902" ht="15.75" customHeight="1">
      <c r="A1902" s="4" t="s">
        <v>120</v>
      </c>
      <c r="B1902" s="4" t="s">
        <v>487</v>
      </c>
    </row>
    <row r="1903" ht="15.75" customHeight="1">
      <c r="A1903" s="4" t="s">
        <v>123</v>
      </c>
      <c r="B1903" s="4" t="s">
        <v>487</v>
      </c>
    </row>
    <row r="1904" ht="15.75" customHeight="1">
      <c r="A1904" s="4" t="s">
        <v>106</v>
      </c>
      <c r="B1904" s="4" t="s">
        <v>487</v>
      </c>
    </row>
    <row r="1905" ht="15.75" customHeight="1">
      <c r="A1905" s="4" t="s">
        <v>145</v>
      </c>
      <c r="B1905" s="4" t="s">
        <v>487</v>
      </c>
    </row>
    <row r="1906" ht="15.75" customHeight="1">
      <c r="A1906" s="4" t="s">
        <v>143</v>
      </c>
      <c r="B1906" s="4" t="s">
        <v>488</v>
      </c>
    </row>
    <row r="1907" ht="15.75" customHeight="1">
      <c r="A1907" s="4" t="s">
        <v>156</v>
      </c>
      <c r="B1907" s="4" t="s">
        <v>488</v>
      </c>
    </row>
    <row r="1908" ht="15.75" customHeight="1">
      <c r="A1908" s="4" t="s">
        <v>120</v>
      </c>
      <c r="B1908" s="4" t="s">
        <v>488</v>
      </c>
    </row>
    <row r="1909" ht="15.75" customHeight="1">
      <c r="A1909" s="4" t="s">
        <v>86</v>
      </c>
      <c r="B1909" s="4" t="s">
        <v>488</v>
      </c>
    </row>
    <row r="1910" ht="15.75" customHeight="1">
      <c r="A1910" s="4" t="s">
        <v>113</v>
      </c>
      <c r="B1910" s="4" t="s">
        <v>488</v>
      </c>
    </row>
    <row r="1911" ht="15.75" customHeight="1">
      <c r="A1911" s="4" t="s">
        <v>154</v>
      </c>
      <c r="B1911" s="4" t="s">
        <v>488</v>
      </c>
    </row>
    <row r="1912" ht="15.75" customHeight="1">
      <c r="A1912" s="4" t="s">
        <v>146</v>
      </c>
      <c r="B1912" s="4" t="s">
        <v>489</v>
      </c>
    </row>
    <row r="1913" ht="15.75" customHeight="1">
      <c r="A1913" s="4" t="s">
        <v>75</v>
      </c>
      <c r="B1913" s="4" t="s">
        <v>489</v>
      </c>
    </row>
    <row r="1914" ht="15.75" customHeight="1">
      <c r="A1914" s="4" t="s">
        <v>84</v>
      </c>
      <c r="B1914" s="4" t="s">
        <v>489</v>
      </c>
    </row>
    <row r="1915" ht="15.75" customHeight="1">
      <c r="A1915" s="4" t="s">
        <v>240</v>
      </c>
      <c r="B1915" s="4" t="s">
        <v>489</v>
      </c>
    </row>
    <row r="1916" ht="15.75" customHeight="1">
      <c r="A1916" s="4" t="s">
        <v>73</v>
      </c>
      <c r="B1916" s="4" t="s">
        <v>489</v>
      </c>
    </row>
    <row r="1917" ht="15.75" customHeight="1">
      <c r="A1917" s="4" t="s">
        <v>241</v>
      </c>
      <c r="B1917" s="4" t="s">
        <v>489</v>
      </c>
    </row>
    <row r="1918" ht="15.75" customHeight="1">
      <c r="A1918" s="4" t="s">
        <v>161</v>
      </c>
      <c r="B1918" s="4" t="s">
        <v>490</v>
      </c>
    </row>
    <row r="1919" ht="15.75" customHeight="1">
      <c r="A1919" s="4" t="s">
        <v>153</v>
      </c>
      <c r="B1919" s="4" t="s">
        <v>490</v>
      </c>
    </row>
    <row r="1920" ht="15.75" customHeight="1">
      <c r="A1920" s="4" t="s">
        <v>178</v>
      </c>
      <c r="B1920" s="4" t="s">
        <v>490</v>
      </c>
    </row>
    <row r="1921" ht="15.75" customHeight="1">
      <c r="A1921" s="4" t="s">
        <v>211</v>
      </c>
      <c r="B1921" s="4" t="s">
        <v>490</v>
      </c>
    </row>
    <row r="1922" ht="15.75" customHeight="1">
      <c r="A1922" s="4" t="s">
        <v>106</v>
      </c>
      <c r="B1922" s="4" t="s">
        <v>490</v>
      </c>
    </row>
    <row r="1923" ht="15.75" customHeight="1">
      <c r="A1923" s="4" t="s">
        <v>220</v>
      </c>
      <c r="B1923" s="4" t="s">
        <v>490</v>
      </c>
    </row>
    <row r="1924" ht="15.75" customHeight="1">
      <c r="A1924" s="4" t="s">
        <v>226</v>
      </c>
      <c r="B1924" s="4" t="s">
        <v>491</v>
      </c>
    </row>
    <row r="1925" ht="15.75" customHeight="1">
      <c r="A1925" s="4" t="s">
        <v>183</v>
      </c>
      <c r="B1925" s="4" t="s">
        <v>491</v>
      </c>
    </row>
    <row r="1926" ht="15.75" customHeight="1">
      <c r="A1926" s="4" t="s">
        <v>194</v>
      </c>
      <c r="B1926" s="4" t="s">
        <v>491</v>
      </c>
    </row>
    <row r="1927" ht="15.75" customHeight="1">
      <c r="A1927" s="4" t="s">
        <v>123</v>
      </c>
      <c r="B1927" s="4" t="s">
        <v>491</v>
      </c>
    </row>
    <row r="1928" ht="15.75" customHeight="1">
      <c r="A1928" s="4" t="s">
        <v>222</v>
      </c>
      <c r="B1928" s="4" t="s">
        <v>491</v>
      </c>
    </row>
    <row r="1929" ht="15.75" customHeight="1">
      <c r="A1929" s="4" t="s">
        <v>158</v>
      </c>
      <c r="B1929" s="4" t="s">
        <v>491</v>
      </c>
    </row>
    <row r="1930" ht="15.75" customHeight="1">
      <c r="A1930" s="4" t="s">
        <v>68</v>
      </c>
      <c r="B1930" s="4" t="s">
        <v>492</v>
      </c>
    </row>
    <row r="1931" ht="15.75" customHeight="1">
      <c r="A1931" s="4" t="s">
        <v>148</v>
      </c>
      <c r="B1931" s="4" t="s">
        <v>492</v>
      </c>
    </row>
    <row r="1932" ht="15.75" customHeight="1">
      <c r="A1932" s="4" t="s">
        <v>84</v>
      </c>
      <c r="B1932" s="4" t="s">
        <v>492</v>
      </c>
    </row>
    <row r="1933" ht="15.75" customHeight="1">
      <c r="A1933" s="4" t="s">
        <v>86</v>
      </c>
      <c r="B1933" s="4" t="s">
        <v>492</v>
      </c>
    </row>
    <row r="1934" ht="15.75" customHeight="1">
      <c r="A1934" s="4" t="s">
        <v>142</v>
      </c>
      <c r="B1934" s="4" t="s">
        <v>492</v>
      </c>
    </row>
    <row r="1935" ht="15.75" customHeight="1">
      <c r="A1935" s="4" t="s">
        <v>185</v>
      </c>
      <c r="B1935" s="4" t="s">
        <v>492</v>
      </c>
    </row>
    <row r="1936" ht="15.75" customHeight="1">
      <c r="A1936" s="4" t="s">
        <v>190</v>
      </c>
      <c r="B1936" s="4" t="s">
        <v>493</v>
      </c>
    </row>
    <row r="1937" ht="15.75" customHeight="1">
      <c r="A1937" s="4" t="s">
        <v>68</v>
      </c>
      <c r="B1937" s="4" t="s">
        <v>493</v>
      </c>
    </row>
    <row r="1938" ht="15.75" customHeight="1">
      <c r="A1938" s="4" t="s">
        <v>178</v>
      </c>
      <c r="B1938" s="4" t="s">
        <v>493</v>
      </c>
    </row>
    <row r="1939" ht="15.75" customHeight="1">
      <c r="A1939" s="4" t="s">
        <v>72</v>
      </c>
      <c r="B1939" s="4" t="s">
        <v>493</v>
      </c>
    </row>
    <row r="1940" ht="15.75" customHeight="1">
      <c r="A1940" s="4" t="s">
        <v>208</v>
      </c>
      <c r="B1940" s="4" t="s">
        <v>493</v>
      </c>
    </row>
    <row r="1941" ht="15.75" customHeight="1">
      <c r="A1941" s="4" t="s">
        <v>241</v>
      </c>
      <c r="B1941" s="4" t="s">
        <v>493</v>
      </c>
    </row>
    <row r="1942" ht="15.75" customHeight="1">
      <c r="A1942" s="4" t="s">
        <v>75</v>
      </c>
      <c r="B1942" s="4" t="s">
        <v>494</v>
      </c>
    </row>
    <row r="1943" ht="15.75" customHeight="1">
      <c r="A1943" s="4" t="s">
        <v>194</v>
      </c>
      <c r="B1943" s="4" t="s">
        <v>494</v>
      </c>
    </row>
    <row r="1944" ht="15.75" customHeight="1">
      <c r="A1944" s="4" t="s">
        <v>141</v>
      </c>
      <c r="B1944" s="4" t="s">
        <v>494</v>
      </c>
    </row>
    <row r="1945" ht="15.75" customHeight="1">
      <c r="A1945" s="4" t="s">
        <v>105</v>
      </c>
      <c r="B1945" s="4" t="s">
        <v>494</v>
      </c>
    </row>
    <row r="1946" ht="15.75" customHeight="1">
      <c r="A1946" s="4" t="s">
        <v>106</v>
      </c>
      <c r="B1946" s="4" t="s">
        <v>494</v>
      </c>
    </row>
    <row r="1947" ht="15.75" customHeight="1">
      <c r="A1947" s="4" t="s">
        <v>107</v>
      </c>
      <c r="B1947" s="4" t="s">
        <v>494</v>
      </c>
    </row>
    <row r="1948" ht="15.75" customHeight="1">
      <c r="A1948" s="4" t="s">
        <v>82</v>
      </c>
      <c r="B1948" s="4" t="s">
        <v>495</v>
      </c>
    </row>
    <row r="1949" ht="15.75" customHeight="1">
      <c r="A1949" s="4" t="s">
        <v>122</v>
      </c>
      <c r="B1949" s="4" t="s">
        <v>495</v>
      </c>
    </row>
    <row r="1950" ht="15.75" customHeight="1">
      <c r="A1950" s="4" t="s">
        <v>120</v>
      </c>
      <c r="B1950" s="4" t="s">
        <v>495</v>
      </c>
    </row>
    <row r="1951" ht="15.75" customHeight="1">
      <c r="A1951" s="4" t="s">
        <v>207</v>
      </c>
      <c r="B1951" s="4" t="s">
        <v>495</v>
      </c>
    </row>
    <row r="1952" ht="15.75" customHeight="1">
      <c r="A1952" s="4" t="s">
        <v>131</v>
      </c>
      <c r="B1952" s="4" t="s">
        <v>495</v>
      </c>
    </row>
    <row r="1953" ht="15.75" customHeight="1">
      <c r="A1953" s="4" t="s">
        <v>118</v>
      </c>
      <c r="B1953" s="4" t="s">
        <v>495</v>
      </c>
    </row>
    <row r="1954" ht="15.75" customHeight="1">
      <c r="A1954" s="4" t="s">
        <v>161</v>
      </c>
      <c r="B1954" s="4" t="s">
        <v>496</v>
      </c>
    </row>
    <row r="1955" ht="15.75" customHeight="1">
      <c r="A1955" s="4" t="s">
        <v>153</v>
      </c>
      <c r="B1955" s="4" t="s">
        <v>496</v>
      </c>
    </row>
    <row r="1956" ht="15.75" customHeight="1">
      <c r="A1956" s="4" t="s">
        <v>71</v>
      </c>
      <c r="B1956" s="4" t="s">
        <v>496</v>
      </c>
    </row>
    <row r="1957" ht="15.75" customHeight="1">
      <c r="A1957" s="4" t="s">
        <v>195</v>
      </c>
      <c r="B1957" s="4" t="s">
        <v>496</v>
      </c>
    </row>
    <row r="1958" ht="15.75" customHeight="1">
      <c r="A1958" s="4" t="s">
        <v>150</v>
      </c>
      <c r="B1958" s="4" t="s">
        <v>496</v>
      </c>
    </row>
    <row r="1959" ht="15.75" customHeight="1">
      <c r="A1959" s="4" t="s">
        <v>139</v>
      </c>
      <c r="B1959" s="4" t="s">
        <v>496</v>
      </c>
    </row>
    <row r="1960" ht="15.75" customHeight="1">
      <c r="A1960" s="4" t="s">
        <v>100</v>
      </c>
      <c r="B1960" s="4" t="s">
        <v>497</v>
      </c>
    </row>
    <row r="1961" ht="15.75" customHeight="1">
      <c r="A1961" s="4" t="s">
        <v>153</v>
      </c>
      <c r="B1961" s="4" t="s">
        <v>497</v>
      </c>
    </row>
    <row r="1962" ht="15.75" customHeight="1">
      <c r="A1962" s="4" t="s">
        <v>141</v>
      </c>
      <c r="B1962" s="4" t="s">
        <v>497</v>
      </c>
    </row>
    <row r="1963" ht="15.75" customHeight="1">
      <c r="A1963" s="4" t="s">
        <v>86</v>
      </c>
      <c r="B1963" s="4" t="s">
        <v>497</v>
      </c>
    </row>
    <row r="1964" ht="15.75" customHeight="1">
      <c r="A1964" s="4" t="s">
        <v>142</v>
      </c>
      <c r="B1964" s="4" t="s">
        <v>497</v>
      </c>
    </row>
    <row r="1965" ht="15.75" customHeight="1">
      <c r="A1965" s="4" t="s">
        <v>199</v>
      </c>
      <c r="B1965" s="4" t="s">
        <v>497</v>
      </c>
    </row>
    <row r="1966" ht="15.75" customHeight="1">
      <c r="A1966" s="4" t="s">
        <v>63</v>
      </c>
      <c r="B1966" s="4" t="s">
        <v>498</v>
      </c>
    </row>
    <row r="1967" ht="15.75" customHeight="1">
      <c r="A1967" s="4" t="s">
        <v>161</v>
      </c>
      <c r="B1967" s="4" t="s">
        <v>498</v>
      </c>
    </row>
    <row r="1968" ht="15.75" customHeight="1">
      <c r="A1968" s="4" t="s">
        <v>175</v>
      </c>
      <c r="B1968" s="4" t="s">
        <v>498</v>
      </c>
    </row>
    <row r="1969" ht="15.75" customHeight="1">
      <c r="A1969" s="4" t="s">
        <v>207</v>
      </c>
      <c r="B1969" s="4" t="s">
        <v>498</v>
      </c>
    </row>
    <row r="1970" ht="15.75" customHeight="1">
      <c r="A1970" s="4" t="s">
        <v>66</v>
      </c>
      <c r="B1970" s="4" t="s">
        <v>498</v>
      </c>
    </row>
    <row r="1971" ht="15.75" customHeight="1">
      <c r="A1971" s="4" t="s">
        <v>67</v>
      </c>
      <c r="B1971" s="4" t="s">
        <v>498</v>
      </c>
    </row>
    <row r="1972" ht="15.75" customHeight="1">
      <c r="A1972" s="4" t="s">
        <v>61</v>
      </c>
      <c r="B1972" s="4" t="s">
        <v>499</v>
      </c>
    </row>
    <row r="1973" ht="15.75" customHeight="1">
      <c r="A1973" s="4" t="s">
        <v>63</v>
      </c>
      <c r="B1973" s="4" t="s">
        <v>499</v>
      </c>
    </row>
    <row r="1974" ht="15.75" customHeight="1">
      <c r="A1974" s="4" t="s">
        <v>91</v>
      </c>
      <c r="B1974" s="4" t="s">
        <v>499</v>
      </c>
    </row>
    <row r="1975" ht="15.75" customHeight="1">
      <c r="A1975" s="4" t="s">
        <v>65</v>
      </c>
      <c r="B1975" s="4" t="s">
        <v>499</v>
      </c>
    </row>
    <row r="1976" ht="15.75" customHeight="1">
      <c r="A1976" s="4" t="s">
        <v>93</v>
      </c>
      <c r="B1976" s="4" t="s">
        <v>499</v>
      </c>
    </row>
    <row r="1977" ht="15.75" customHeight="1">
      <c r="A1977" s="4" t="s">
        <v>118</v>
      </c>
      <c r="B1977" s="4" t="s">
        <v>499</v>
      </c>
    </row>
    <row r="1978" ht="15.75" customHeight="1">
      <c r="A1978" s="4" t="s">
        <v>156</v>
      </c>
      <c r="B1978" s="4" t="s">
        <v>500</v>
      </c>
    </row>
    <row r="1979" ht="15.75" customHeight="1">
      <c r="A1979" s="4" t="s">
        <v>86</v>
      </c>
      <c r="B1979" s="4" t="s">
        <v>500</v>
      </c>
    </row>
    <row r="1980" ht="15.75" customHeight="1">
      <c r="A1980" s="4" t="s">
        <v>93</v>
      </c>
      <c r="B1980" s="4" t="s">
        <v>500</v>
      </c>
    </row>
    <row r="1981" ht="15.75" customHeight="1">
      <c r="A1981" s="4" t="s">
        <v>154</v>
      </c>
      <c r="B1981" s="4" t="s">
        <v>500</v>
      </c>
    </row>
    <row r="1982" ht="15.75" customHeight="1">
      <c r="A1982" s="4" t="s">
        <v>169</v>
      </c>
      <c r="B1982" s="4" t="s">
        <v>501</v>
      </c>
    </row>
    <row r="1983" ht="15.75" customHeight="1">
      <c r="A1983" s="4" t="s">
        <v>109</v>
      </c>
      <c r="B1983" s="4" t="s">
        <v>501</v>
      </c>
    </row>
    <row r="1984" ht="15.75" customHeight="1">
      <c r="A1984" s="4" t="s">
        <v>178</v>
      </c>
      <c r="B1984" s="4" t="s">
        <v>501</v>
      </c>
    </row>
    <row r="1985" ht="15.75" customHeight="1">
      <c r="A1985" s="4" t="s">
        <v>195</v>
      </c>
      <c r="B1985" s="4" t="s">
        <v>501</v>
      </c>
    </row>
    <row r="1986" ht="15.75" customHeight="1">
      <c r="A1986" s="4" t="s">
        <v>187</v>
      </c>
      <c r="B1986" s="4" t="s">
        <v>501</v>
      </c>
    </row>
    <row r="1987" ht="15.75" customHeight="1">
      <c r="A1987" s="4" t="s">
        <v>212</v>
      </c>
      <c r="B1987" s="4" t="s">
        <v>501</v>
      </c>
    </row>
    <row r="1988" ht="15.75" customHeight="1">
      <c r="A1988" s="4" t="s">
        <v>82</v>
      </c>
      <c r="B1988" s="4" t="s">
        <v>502</v>
      </c>
    </row>
    <row r="1989" ht="15.75" customHeight="1">
      <c r="A1989" s="4" t="s">
        <v>122</v>
      </c>
      <c r="B1989" s="4" t="s">
        <v>502</v>
      </c>
    </row>
    <row r="1990" ht="15.75" customHeight="1">
      <c r="A1990" s="4" t="s">
        <v>78</v>
      </c>
      <c r="B1990" s="4" t="s">
        <v>502</v>
      </c>
    </row>
    <row r="1991" ht="15.75" customHeight="1">
      <c r="A1991" s="4" t="s">
        <v>211</v>
      </c>
      <c r="B1991" s="4" t="s">
        <v>502</v>
      </c>
    </row>
    <row r="1992" ht="15.75" customHeight="1">
      <c r="A1992" s="4" t="s">
        <v>126</v>
      </c>
      <c r="B1992" s="4" t="s">
        <v>502</v>
      </c>
    </row>
    <row r="1993" ht="15.75" customHeight="1">
      <c r="A1993" s="4" t="s">
        <v>136</v>
      </c>
      <c r="B1993" s="4" t="s">
        <v>502</v>
      </c>
    </row>
    <row r="1994" ht="15.75" customHeight="1">
      <c r="A1994" s="4" t="s">
        <v>148</v>
      </c>
      <c r="B1994" s="4" t="s">
        <v>503</v>
      </c>
    </row>
    <row r="1995" ht="15.75" customHeight="1">
      <c r="A1995" s="4" t="s">
        <v>122</v>
      </c>
      <c r="B1995" s="4" t="s">
        <v>503</v>
      </c>
    </row>
    <row r="1996" ht="15.75" customHeight="1">
      <c r="A1996" s="4" t="s">
        <v>120</v>
      </c>
      <c r="B1996" s="4" t="s">
        <v>503</v>
      </c>
    </row>
    <row r="1997" ht="15.75" customHeight="1">
      <c r="A1997" s="4" t="s">
        <v>195</v>
      </c>
      <c r="B1997" s="4" t="s">
        <v>503</v>
      </c>
    </row>
    <row r="1998" ht="15.75" customHeight="1">
      <c r="A1998" s="4" t="s">
        <v>106</v>
      </c>
      <c r="B1998" s="4" t="s">
        <v>503</v>
      </c>
    </row>
    <row r="1999" ht="15.75" customHeight="1">
      <c r="A1999" s="4" t="s">
        <v>136</v>
      </c>
      <c r="B1999" s="4" t="s">
        <v>503</v>
      </c>
    </row>
    <row r="2000" ht="15.75" customHeight="1">
      <c r="A2000" s="4" t="s">
        <v>95</v>
      </c>
      <c r="B2000" s="4" t="s">
        <v>504</v>
      </c>
    </row>
    <row r="2001" ht="15.75" customHeight="1">
      <c r="A2001" s="4" t="s">
        <v>134</v>
      </c>
      <c r="B2001" s="4" t="s">
        <v>504</v>
      </c>
    </row>
    <row r="2002" ht="15.75" customHeight="1">
      <c r="A2002" s="4" t="s">
        <v>183</v>
      </c>
      <c r="B2002" s="4" t="s">
        <v>504</v>
      </c>
    </row>
    <row r="2003" ht="15.75" customHeight="1">
      <c r="A2003" s="4" t="s">
        <v>72</v>
      </c>
      <c r="B2003" s="4" t="s">
        <v>504</v>
      </c>
    </row>
    <row r="2004" ht="15.75" customHeight="1">
      <c r="A2004" s="4" t="s">
        <v>208</v>
      </c>
      <c r="B2004" s="4" t="s">
        <v>504</v>
      </c>
    </row>
    <row r="2005" ht="15.75" customHeight="1">
      <c r="A2005" s="4" t="s">
        <v>74</v>
      </c>
      <c r="B2005" s="4" t="s">
        <v>504</v>
      </c>
    </row>
    <row r="2006" ht="15.75" customHeight="1">
      <c r="A2006" s="4" t="s">
        <v>63</v>
      </c>
      <c r="B2006" s="4" t="s">
        <v>505</v>
      </c>
    </row>
    <row r="2007" ht="15.75" customHeight="1">
      <c r="A2007" s="4" t="s">
        <v>161</v>
      </c>
      <c r="B2007" s="4" t="s">
        <v>505</v>
      </c>
    </row>
    <row r="2008" ht="15.75" customHeight="1">
      <c r="A2008" s="4" t="s">
        <v>175</v>
      </c>
      <c r="B2008" s="4" t="s">
        <v>505</v>
      </c>
    </row>
    <row r="2009" ht="15.75" customHeight="1">
      <c r="A2009" s="4" t="s">
        <v>135</v>
      </c>
      <c r="B2009" s="4" t="s">
        <v>505</v>
      </c>
    </row>
    <row r="2010" ht="15.75" customHeight="1">
      <c r="A2010" s="4" t="s">
        <v>150</v>
      </c>
      <c r="B2010" s="4" t="s">
        <v>505</v>
      </c>
    </row>
    <row r="2011" ht="15.75" customHeight="1">
      <c r="A2011" s="4" t="s">
        <v>139</v>
      </c>
      <c r="B2011" s="4" t="s">
        <v>505</v>
      </c>
    </row>
    <row r="2012" ht="15.75" customHeight="1">
      <c r="A2012" s="4" t="s">
        <v>82</v>
      </c>
      <c r="B2012" s="4" t="s">
        <v>506</v>
      </c>
    </row>
    <row r="2013" ht="15.75" customHeight="1">
      <c r="A2013" s="4" t="s">
        <v>109</v>
      </c>
      <c r="B2013" s="4" t="s">
        <v>506</v>
      </c>
    </row>
    <row r="2014" ht="15.75" customHeight="1">
      <c r="A2014" s="4" t="s">
        <v>141</v>
      </c>
      <c r="B2014" s="4" t="s">
        <v>506</v>
      </c>
    </row>
    <row r="2015" ht="15.75" customHeight="1">
      <c r="A2015" s="4" t="s">
        <v>135</v>
      </c>
      <c r="B2015" s="4" t="s">
        <v>506</v>
      </c>
    </row>
    <row r="2016" ht="15.75" customHeight="1">
      <c r="A2016" s="4" t="s">
        <v>181</v>
      </c>
      <c r="B2016" s="4" t="s">
        <v>506</v>
      </c>
    </row>
    <row r="2017" ht="15.75" customHeight="1">
      <c r="A2017" s="4" t="s">
        <v>212</v>
      </c>
      <c r="B2017" s="4" t="s">
        <v>506</v>
      </c>
    </row>
    <row r="2018" ht="15.75" customHeight="1">
      <c r="A2018" s="4" t="s">
        <v>82</v>
      </c>
      <c r="B2018" s="4" t="s">
        <v>507</v>
      </c>
    </row>
    <row r="2019" ht="15.75" customHeight="1">
      <c r="A2019" s="4" t="s">
        <v>192</v>
      </c>
      <c r="B2019" s="4" t="s">
        <v>507</v>
      </c>
    </row>
    <row r="2020" ht="15.75" customHeight="1">
      <c r="A2020" s="4" t="s">
        <v>92</v>
      </c>
      <c r="B2020" s="4" t="s">
        <v>507</v>
      </c>
    </row>
    <row r="2021" ht="15.75" customHeight="1">
      <c r="A2021" s="4" t="s">
        <v>184</v>
      </c>
      <c r="B2021" s="4" t="s">
        <v>507</v>
      </c>
    </row>
    <row r="2022" ht="15.75" customHeight="1">
      <c r="A2022" s="4" t="s">
        <v>66</v>
      </c>
      <c r="B2022" s="4" t="s">
        <v>507</v>
      </c>
    </row>
    <row r="2023" ht="15.75" customHeight="1">
      <c r="A2023" s="4" t="s">
        <v>185</v>
      </c>
      <c r="B2023" s="4" t="s">
        <v>507</v>
      </c>
    </row>
    <row r="2024" ht="15.75" customHeight="1">
      <c r="A2024" s="4" t="s">
        <v>100</v>
      </c>
      <c r="B2024" s="4" t="s">
        <v>508</v>
      </c>
    </row>
    <row r="2025" ht="15.75" customHeight="1">
      <c r="A2025" s="4" t="s">
        <v>137</v>
      </c>
      <c r="B2025" s="4" t="s">
        <v>508</v>
      </c>
    </row>
    <row r="2026" ht="15.75" customHeight="1">
      <c r="A2026" s="4" t="s">
        <v>141</v>
      </c>
      <c r="B2026" s="4" t="s">
        <v>508</v>
      </c>
    </row>
    <row r="2027" ht="15.75" customHeight="1">
      <c r="A2027" s="4" t="s">
        <v>176</v>
      </c>
      <c r="B2027" s="4" t="s">
        <v>508</v>
      </c>
    </row>
    <row r="2028" ht="15.75" customHeight="1">
      <c r="A2028" s="4" t="s">
        <v>106</v>
      </c>
      <c r="B2028" s="4" t="s">
        <v>508</v>
      </c>
    </row>
    <row r="2029" ht="15.75" customHeight="1">
      <c r="A2029" s="4" t="s">
        <v>127</v>
      </c>
      <c r="B2029" s="4" t="s">
        <v>508</v>
      </c>
    </row>
    <row r="2030" ht="15.75" customHeight="1">
      <c r="A2030" s="4" t="s">
        <v>70</v>
      </c>
      <c r="B2030" s="4" t="s">
        <v>509</v>
      </c>
    </row>
    <row r="2031" ht="15.75" customHeight="1">
      <c r="A2031" s="4" t="s">
        <v>122</v>
      </c>
      <c r="B2031" s="4" t="s">
        <v>509</v>
      </c>
    </row>
    <row r="2032" ht="15.75" customHeight="1">
      <c r="A2032" s="4" t="s">
        <v>78</v>
      </c>
      <c r="B2032" s="4" t="s">
        <v>509</v>
      </c>
    </row>
    <row r="2033" ht="15.75" customHeight="1">
      <c r="A2033" s="4" t="s">
        <v>123</v>
      </c>
      <c r="B2033" s="4" t="s">
        <v>509</v>
      </c>
    </row>
    <row r="2034" ht="15.75" customHeight="1">
      <c r="A2034" s="4" t="s">
        <v>196</v>
      </c>
      <c r="B2034" s="4" t="s">
        <v>509</v>
      </c>
    </row>
    <row r="2035" ht="15.75" customHeight="1">
      <c r="A2035" s="4" t="s">
        <v>111</v>
      </c>
      <c r="B2035" s="4" t="s">
        <v>509</v>
      </c>
    </row>
    <row r="2036" ht="15.75" customHeight="1">
      <c r="A2036" s="4" t="s">
        <v>82</v>
      </c>
      <c r="B2036" s="4" t="s">
        <v>510</v>
      </c>
    </row>
    <row r="2037" ht="15.75" customHeight="1">
      <c r="A2037" s="4" t="s">
        <v>159</v>
      </c>
      <c r="B2037" s="4" t="s">
        <v>510</v>
      </c>
    </row>
    <row r="2038" ht="15.75" customHeight="1">
      <c r="A2038" s="4" t="s">
        <v>192</v>
      </c>
      <c r="B2038" s="4" t="s">
        <v>510</v>
      </c>
    </row>
    <row r="2039" ht="15.75" customHeight="1">
      <c r="A2039" s="4" t="s">
        <v>79</v>
      </c>
      <c r="B2039" s="4" t="s">
        <v>510</v>
      </c>
    </row>
    <row r="2040" ht="15.75" customHeight="1">
      <c r="A2040" s="4" t="s">
        <v>87</v>
      </c>
      <c r="B2040" s="4" t="s">
        <v>510</v>
      </c>
    </row>
    <row r="2041" ht="15.75" customHeight="1">
      <c r="A2041" s="4" t="s">
        <v>81</v>
      </c>
      <c r="B2041" s="4" t="s">
        <v>510</v>
      </c>
    </row>
    <row r="2042" ht="15.75" customHeight="1">
      <c r="A2042" s="4" t="s">
        <v>89</v>
      </c>
      <c r="B2042" s="4" t="s">
        <v>511</v>
      </c>
    </row>
    <row r="2043" ht="15.75" customHeight="1">
      <c r="A2043" s="4" t="s">
        <v>194</v>
      </c>
      <c r="B2043" s="4" t="s">
        <v>511</v>
      </c>
    </row>
    <row r="2044" ht="15.75" customHeight="1">
      <c r="A2044" s="4" t="s">
        <v>104</v>
      </c>
      <c r="B2044" s="4" t="s">
        <v>511</v>
      </c>
    </row>
    <row r="2045" ht="15.75" customHeight="1">
      <c r="A2045" s="4" t="s">
        <v>135</v>
      </c>
      <c r="B2045" s="4" t="s">
        <v>511</v>
      </c>
    </row>
    <row r="2046" ht="15.75" customHeight="1">
      <c r="A2046" s="4" t="s">
        <v>181</v>
      </c>
      <c r="B2046" s="4" t="s">
        <v>511</v>
      </c>
    </row>
    <row r="2047" ht="15.75" customHeight="1">
      <c r="A2047" s="4" t="s">
        <v>136</v>
      </c>
      <c r="B2047" s="4" t="s">
        <v>511</v>
      </c>
    </row>
    <row r="2048" ht="15.75" customHeight="1">
      <c r="A2048" s="4" t="s">
        <v>68</v>
      </c>
      <c r="B2048" s="4" t="s">
        <v>512</v>
      </c>
    </row>
    <row r="2049" ht="15.75" customHeight="1">
      <c r="A2049" s="4" t="s">
        <v>75</v>
      </c>
      <c r="B2049" s="4" t="s">
        <v>512</v>
      </c>
    </row>
    <row r="2050" ht="15.75" customHeight="1">
      <c r="A2050" s="4" t="s">
        <v>98</v>
      </c>
      <c r="B2050" s="4" t="s">
        <v>512</v>
      </c>
    </row>
    <row r="2051" ht="15.75" customHeight="1">
      <c r="A2051" s="4" t="s">
        <v>149</v>
      </c>
      <c r="B2051" s="4" t="s">
        <v>512</v>
      </c>
    </row>
    <row r="2052" ht="15.75" customHeight="1">
      <c r="A2052" s="4" t="s">
        <v>106</v>
      </c>
      <c r="B2052" s="4" t="s">
        <v>512</v>
      </c>
    </row>
    <row r="2053" ht="15.75" customHeight="1">
      <c r="A2053" s="4" t="s">
        <v>171</v>
      </c>
      <c r="B2053" s="4" t="s">
        <v>512</v>
      </c>
    </row>
    <row r="2054" ht="15.75" customHeight="1">
      <c r="A2054" s="4" t="s">
        <v>61</v>
      </c>
      <c r="B2054" s="4" t="s">
        <v>513</v>
      </c>
    </row>
    <row r="2055" ht="15.75" customHeight="1">
      <c r="A2055" s="4" t="s">
        <v>159</v>
      </c>
      <c r="B2055" s="4" t="s">
        <v>513</v>
      </c>
    </row>
    <row r="2056" ht="15.75" customHeight="1">
      <c r="A2056" s="4" t="s">
        <v>215</v>
      </c>
      <c r="B2056" s="4" t="s">
        <v>513</v>
      </c>
    </row>
    <row r="2057" ht="15.75" customHeight="1">
      <c r="A2057" s="4" t="s">
        <v>207</v>
      </c>
      <c r="B2057" s="4" t="s">
        <v>513</v>
      </c>
    </row>
    <row r="2058" ht="15.75" customHeight="1">
      <c r="A2058" s="4" t="s">
        <v>113</v>
      </c>
      <c r="B2058" s="4" t="s">
        <v>513</v>
      </c>
    </row>
    <row r="2059" ht="15.75" customHeight="1">
      <c r="A2059" s="4" t="s">
        <v>185</v>
      </c>
      <c r="B2059" s="4" t="s">
        <v>513</v>
      </c>
    </row>
    <row r="2060" ht="15.75" customHeight="1">
      <c r="A2060" s="4" t="s">
        <v>82</v>
      </c>
      <c r="B2060" s="4" t="s">
        <v>514</v>
      </c>
    </row>
    <row r="2061" ht="15.75" customHeight="1">
      <c r="A2061" s="4" t="s">
        <v>68</v>
      </c>
      <c r="B2061" s="4" t="s">
        <v>514</v>
      </c>
    </row>
    <row r="2062" ht="15.75" customHeight="1">
      <c r="A2062" s="4" t="s">
        <v>98</v>
      </c>
      <c r="B2062" s="4" t="s">
        <v>514</v>
      </c>
    </row>
    <row r="2063" ht="15.75" customHeight="1">
      <c r="A2063" s="4" t="s">
        <v>135</v>
      </c>
      <c r="B2063" s="4" t="s">
        <v>514</v>
      </c>
    </row>
    <row r="2064" ht="15.75" customHeight="1">
      <c r="A2064" s="4" t="s">
        <v>222</v>
      </c>
      <c r="B2064" s="4" t="s">
        <v>514</v>
      </c>
    </row>
    <row r="2065" ht="15.75" customHeight="1">
      <c r="A2065" s="4" t="s">
        <v>139</v>
      </c>
      <c r="B2065" s="4" t="s">
        <v>514</v>
      </c>
    </row>
    <row r="2066" ht="15.75" customHeight="1">
      <c r="A2066" s="4" t="s">
        <v>161</v>
      </c>
      <c r="B2066" s="4" t="s">
        <v>515</v>
      </c>
    </row>
    <row r="2067" ht="15.75" customHeight="1">
      <c r="A2067" s="4" t="s">
        <v>85</v>
      </c>
      <c r="B2067" s="4" t="s">
        <v>515</v>
      </c>
    </row>
    <row r="2068" ht="15.75" customHeight="1">
      <c r="A2068" s="4" t="s">
        <v>120</v>
      </c>
      <c r="B2068" s="4" t="s">
        <v>515</v>
      </c>
    </row>
    <row r="2069" ht="15.75" customHeight="1">
      <c r="A2069" s="4" t="s">
        <v>65</v>
      </c>
      <c r="B2069" s="4" t="s">
        <v>515</v>
      </c>
    </row>
    <row r="2070" ht="15.75" customHeight="1">
      <c r="A2070" s="4" t="s">
        <v>113</v>
      </c>
      <c r="B2070" s="4" t="s">
        <v>515</v>
      </c>
    </row>
    <row r="2071" ht="15.75" customHeight="1">
      <c r="A2071" s="4" t="s">
        <v>199</v>
      </c>
      <c r="B2071" s="4" t="s">
        <v>515</v>
      </c>
    </row>
    <row r="2072" ht="15.75" customHeight="1">
      <c r="A2072" s="4" t="s">
        <v>226</v>
      </c>
      <c r="B2072" s="4" t="s">
        <v>516</v>
      </c>
    </row>
    <row r="2073" ht="15.75" customHeight="1">
      <c r="A2073" s="4" t="s">
        <v>122</v>
      </c>
      <c r="B2073" s="4" t="s">
        <v>516</v>
      </c>
    </row>
    <row r="2074" ht="15.75" customHeight="1">
      <c r="A2074" s="4" t="s">
        <v>120</v>
      </c>
      <c r="B2074" s="4" t="s">
        <v>516</v>
      </c>
    </row>
    <row r="2075" ht="15.75" customHeight="1">
      <c r="A2075" s="4" t="s">
        <v>123</v>
      </c>
      <c r="B2075" s="4" t="s">
        <v>516</v>
      </c>
    </row>
    <row r="2076" ht="15.75" customHeight="1">
      <c r="A2076" s="4" t="s">
        <v>222</v>
      </c>
      <c r="B2076" s="4" t="s">
        <v>516</v>
      </c>
    </row>
    <row r="2077" ht="15.75" customHeight="1">
      <c r="A2077" s="4" t="s">
        <v>171</v>
      </c>
      <c r="B2077" s="4" t="s">
        <v>516</v>
      </c>
    </row>
    <row r="2078" ht="15.75" customHeight="1">
      <c r="A2078" s="4" t="s">
        <v>134</v>
      </c>
      <c r="B2078" s="4" t="s">
        <v>517</v>
      </c>
    </row>
    <row r="2079" ht="15.75" customHeight="1">
      <c r="A2079" s="4" t="s">
        <v>183</v>
      </c>
      <c r="B2079" s="4" t="s">
        <v>517</v>
      </c>
    </row>
    <row r="2080" ht="15.75" customHeight="1">
      <c r="A2080" s="4" t="s">
        <v>109</v>
      </c>
      <c r="B2080" s="4" t="s">
        <v>517</v>
      </c>
    </row>
    <row r="2081" ht="15.75" customHeight="1">
      <c r="A2081" s="4" t="s">
        <v>240</v>
      </c>
      <c r="B2081" s="4" t="s">
        <v>517</v>
      </c>
    </row>
    <row r="2082" ht="15.75" customHeight="1">
      <c r="A2082" s="4" t="s">
        <v>131</v>
      </c>
      <c r="B2082" s="4" t="s">
        <v>517</v>
      </c>
    </row>
    <row r="2083" ht="15.75" customHeight="1">
      <c r="A2083" s="4" t="s">
        <v>81</v>
      </c>
      <c r="B2083" s="4" t="s">
        <v>517</v>
      </c>
    </row>
    <row r="2084" ht="15.75" customHeight="1">
      <c r="A2084" s="4" t="s">
        <v>70</v>
      </c>
      <c r="B2084" s="4" t="s">
        <v>518</v>
      </c>
    </row>
    <row r="2085" ht="15.75" customHeight="1">
      <c r="A2085" s="4" t="s">
        <v>92</v>
      </c>
      <c r="B2085" s="4" t="s">
        <v>518</v>
      </c>
    </row>
    <row r="2086" ht="15.75" customHeight="1">
      <c r="A2086" s="4" t="s">
        <v>141</v>
      </c>
      <c r="B2086" s="4" t="s">
        <v>518</v>
      </c>
    </row>
    <row r="2087" ht="15.75" customHeight="1">
      <c r="A2087" s="4" t="s">
        <v>110</v>
      </c>
      <c r="B2087" s="4" t="s">
        <v>518</v>
      </c>
    </row>
    <row r="2088" ht="15.75" customHeight="1">
      <c r="A2088" s="4" t="s">
        <v>124</v>
      </c>
      <c r="B2088" s="4" t="s">
        <v>518</v>
      </c>
    </row>
    <row r="2089" ht="15.75" customHeight="1">
      <c r="A2089" s="4" t="s">
        <v>107</v>
      </c>
      <c r="B2089" s="4" t="s">
        <v>518</v>
      </c>
    </row>
    <row r="2090" ht="15.75" customHeight="1">
      <c r="A2090" s="4" t="s">
        <v>137</v>
      </c>
      <c r="B2090" s="4" t="s">
        <v>519</v>
      </c>
    </row>
    <row r="2091" ht="15.75" customHeight="1">
      <c r="A2091" s="4" t="s">
        <v>134</v>
      </c>
      <c r="B2091" s="4" t="s">
        <v>519</v>
      </c>
    </row>
    <row r="2092" ht="15.75" customHeight="1">
      <c r="A2092" s="4" t="s">
        <v>175</v>
      </c>
      <c r="B2092" s="4" t="s">
        <v>519</v>
      </c>
    </row>
    <row r="2093" ht="15.75" customHeight="1">
      <c r="A2093" s="4" t="s">
        <v>211</v>
      </c>
      <c r="B2093" s="4" t="s">
        <v>519</v>
      </c>
    </row>
    <row r="2094" ht="15.75" customHeight="1">
      <c r="A2094" s="4" t="s">
        <v>181</v>
      </c>
      <c r="B2094" s="4" t="s">
        <v>519</v>
      </c>
    </row>
    <row r="2095" ht="15.75" customHeight="1">
      <c r="A2095" s="4" t="s">
        <v>139</v>
      </c>
      <c r="B2095" s="4" t="s">
        <v>519</v>
      </c>
    </row>
    <row r="2096" ht="15.75" customHeight="1">
      <c r="A2096" s="4" t="s">
        <v>146</v>
      </c>
      <c r="B2096" s="4" t="s">
        <v>520</v>
      </c>
    </row>
    <row r="2097" ht="15.75" customHeight="1">
      <c r="A2097" s="4" t="s">
        <v>148</v>
      </c>
      <c r="B2097" s="4" t="s">
        <v>520</v>
      </c>
    </row>
    <row r="2098" ht="15.75" customHeight="1">
      <c r="A2098" s="4" t="s">
        <v>78</v>
      </c>
      <c r="B2098" s="4" t="s">
        <v>520</v>
      </c>
    </row>
    <row r="2099" ht="15.75" customHeight="1">
      <c r="A2099" s="4" t="s">
        <v>79</v>
      </c>
      <c r="B2099" s="4" t="s">
        <v>520</v>
      </c>
    </row>
    <row r="2100" ht="15.75" customHeight="1">
      <c r="A2100" s="4" t="s">
        <v>80</v>
      </c>
      <c r="B2100" s="4" t="s">
        <v>520</v>
      </c>
    </row>
    <row r="2101" ht="15.75" customHeight="1">
      <c r="A2101" s="4" t="s">
        <v>241</v>
      </c>
      <c r="B2101" s="4" t="s">
        <v>520</v>
      </c>
    </row>
    <row r="2102" ht="15.75" customHeight="1">
      <c r="A2102" s="4" t="s">
        <v>169</v>
      </c>
      <c r="B2102" s="4" t="s">
        <v>521</v>
      </c>
    </row>
    <row r="2103" ht="15.75" customHeight="1">
      <c r="A2103" s="4" t="s">
        <v>156</v>
      </c>
      <c r="B2103" s="4" t="s">
        <v>521</v>
      </c>
    </row>
    <row r="2104" ht="15.75" customHeight="1">
      <c r="A2104" s="4" t="s">
        <v>170</v>
      </c>
      <c r="B2104" s="4" t="s">
        <v>521</v>
      </c>
    </row>
    <row r="2105" ht="15.75" customHeight="1">
      <c r="A2105" s="4" t="s">
        <v>211</v>
      </c>
      <c r="B2105" s="4" t="s">
        <v>521</v>
      </c>
    </row>
    <row r="2106" ht="15.75" customHeight="1">
      <c r="A2106" s="4" t="s">
        <v>162</v>
      </c>
      <c r="B2106" s="4" t="s">
        <v>521</v>
      </c>
    </row>
    <row r="2107" ht="15.75" customHeight="1">
      <c r="A2107" s="4" t="s">
        <v>139</v>
      </c>
      <c r="B2107" s="4" t="s">
        <v>521</v>
      </c>
    </row>
    <row r="2108" ht="15.75" customHeight="1">
      <c r="A2108" s="4" t="s">
        <v>146</v>
      </c>
      <c r="B2108" s="4" t="s">
        <v>522</v>
      </c>
    </row>
    <row r="2109" ht="15.75" customHeight="1">
      <c r="A2109" s="4" t="s">
        <v>148</v>
      </c>
      <c r="B2109" s="4" t="s">
        <v>522</v>
      </c>
    </row>
    <row r="2110" ht="15.75" customHeight="1">
      <c r="A2110" s="4" t="s">
        <v>192</v>
      </c>
      <c r="B2110" s="4" t="s">
        <v>522</v>
      </c>
    </row>
    <row r="2111" ht="15.75" customHeight="1">
      <c r="A2111" s="4" t="s">
        <v>207</v>
      </c>
      <c r="B2111" s="4" t="s">
        <v>522</v>
      </c>
    </row>
    <row r="2112" ht="15.75" customHeight="1">
      <c r="A2112" s="4" t="s">
        <v>87</v>
      </c>
      <c r="B2112" s="4" t="s">
        <v>522</v>
      </c>
    </row>
    <row r="2113" ht="15.75" customHeight="1">
      <c r="A2113" s="4" t="s">
        <v>185</v>
      </c>
      <c r="B2113" s="4" t="s">
        <v>522</v>
      </c>
    </row>
    <row r="2114" ht="15.75" customHeight="1">
      <c r="A2114" s="4" t="s">
        <v>114</v>
      </c>
      <c r="B2114" s="4" t="s">
        <v>523</v>
      </c>
    </row>
    <row r="2115" ht="15.75" customHeight="1">
      <c r="A2115" s="4" t="s">
        <v>70</v>
      </c>
      <c r="B2115" s="4" t="s">
        <v>523</v>
      </c>
    </row>
    <row r="2116" ht="15.75" customHeight="1">
      <c r="A2116" s="4" t="s">
        <v>175</v>
      </c>
      <c r="B2116" s="4" t="s">
        <v>523</v>
      </c>
    </row>
    <row r="2117" ht="15.75" customHeight="1">
      <c r="A2117" s="4" t="s">
        <v>116</v>
      </c>
      <c r="B2117" s="4" t="s">
        <v>523</v>
      </c>
    </row>
    <row r="2118" ht="15.75" customHeight="1">
      <c r="A2118" s="4" t="s">
        <v>131</v>
      </c>
      <c r="B2118" s="4" t="s">
        <v>523</v>
      </c>
    </row>
    <row r="2119" ht="15.75" customHeight="1">
      <c r="A2119" s="4" t="s">
        <v>199</v>
      </c>
      <c r="B2119" s="4" t="s">
        <v>523</v>
      </c>
    </row>
    <row r="2120" ht="15.75" customHeight="1">
      <c r="A2120" s="4" t="s">
        <v>226</v>
      </c>
      <c r="B2120" s="4" t="s">
        <v>524</v>
      </c>
    </row>
    <row r="2121" ht="15.75" customHeight="1">
      <c r="A2121" s="4" t="s">
        <v>98</v>
      </c>
      <c r="B2121" s="4" t="s">
        <v>524</v>
      </c>
    </row>
    <row r="2122" ht="15.75" customHeight="1">
      <c r="A2122" s="4" t="s">
        <v>122</v>
      </c>
      <c r="B2122" s="4" t="s">
        <v>524</v>
      </c>
    </row>
    <row r="2123" ht="15.75" customHeight="1">
      <c r="A2123" s="4" t="s">
        <v>123</v>
      </c>
      <c r="B2123" s="4" t="s">
        <v>524</v>
      </c>
    </row>
    <row r="2124" ht="15.75" customHeight="1">
      <c r="A2124" s="4" t="s">
        <v>150</v>
      </c>
      <c r="B2124" s="4" t="s">
        <v>524</v>
      </c>
    </row>
    <row r="2125" ht="15.75" customHeight="1">
      <c r="A2125" s="4" t="s">
        <v>145</v>
      </c>
      <c r="B2125" s="4" t="s">
        <v>524</v>
      </c>
    </row>
    <row r="2126" ht="15.75" customHeight="1">
      <c r="A2126" s="4" t="s">
        <v>137</v>
      </c>
      <c r="B2126" s="4" t="s">
        <v>525</v>
      </c>
    </row>
    <row r="2127" ht="15.75" customHeight="1">
      <c r="A2127" s="4" t="s">
        <v>134</v>
      </c>
      <c r="B2127" s="4" t="s">
        <v>525</v>
      </c>
    </row>
    <row r="2128" ht="15.75" customHeight="1">
      <c r="A2128" s="4" t="s">
        <v>178</v>
      </c>
      <c r="B2128" s="4" t="s">
        <v>525</v>
      </c>
    </row>
    <row r="2129" ht="15.75" customHeight="1">
      <c r="A2129" s="4" t="s">
        <v>157</v>
      </c>
      <c r="B2129" s="4" t="s">
        <v>525</v>
      </c>
    </row>
    <row r="2130" ht="15.75" customHeight="1">
      <c r="A2130" s="4" t="s">
        <v>106</v>
      </c>
      <c r="B2130" s="4" t="s">
        <v>525</v>
      </c>
    </row>
    <row r="2131" ht="15.75" customHeight="1">
      <c r="A2131" s="4" t="s">
        <v>171</v>
      </c>
      <c r="B2131" s="4" t="s">
        <v>525</v>
      </c>
    </row>
    <row r="2132" ht="15.75" customHeight="1">
      <c r="A2132" s="4" t="s">
        <v>148</v>
      </c>
      <c r="B2132" s="4" t="s">
        <v>526</v>
      </c>
    </row>
    <row r="2133" ht="15.75" customHeight="1">
      <c r="A2133" s="4" t="s">
        <v>92</v>
      </c>
      <c r="B2133" s="4" t="s">
        <v>526</v>
      </c>
    </row>
    <row r="2134" ht="15.75" customHeight="1">
      <c r="A2134" s="4" t="s">
        <v>141</v>
      </c>
      <c r="B2134" s="4" t="s">
        <v>526</v>
      </c>
    </row>
    <row r="2135" ht="15.75" customHeight="1">
      <c r="A2135" s="4" t="s">
        <v>123</v>
      </c>
      <c r="B2135" s="4" t="s">
        <v>526</v>
      </c>
    </row>
    <row r="2136" ht="15.75" customHeight="1">
      <c r="A2136" s="4" t="s">
        <v>196</v>
      </c>
      <c r="B2136" s="4" t="s">
        <v>526</v>
      </c>
    </row>
    <row r="2137" ht="15.75" customHeight="1">
      <c r="A2137" s="4" t="s">
        <v>145</v>
      </c>
      <c r="B2137" s="4" t="s">
        <v>526</v>
      </c>
    </row>
    <row r="2138" ht="15.75" customHeight="1">
      <c r="A2138" s="4" t="s">
        <v>100</v>
      </c>
      <c r="B2138" s="4" t="s">
        <v>527</v>
      </c>
    </row>
    <row r="2139" ht="15.75" customHeight="1">
      <c r="A2139" s="4" t="s">
        <v>85</v>
      </c>
      <c r="B2139" s="4" t="s">
        <v>527</v>
      </c>
    </row>
    <row r="2140" ht="15.75" customHeight="1">
      <c r="A2140" s="4" t="s">
        <v>78</v>
      </c>
      <c r="B2140" s="4" t="s">
        <v>527</v>
      </c>
    </row>
    <row r="2141" ht="15.75" customHeight="1">
      <c r="A2141" s="4" t="s">
        <v>240</v>
      </c>
      <c r="B2141" s="4" t="s">
        <v>527</v>
      </c>
    </row>
    <row r="2142" ht="15.75" customHeight="1">
      <c r="A2142" s="4" t="s">
        <v>73</v>
      </c>
      <c r="B2142" s="4" t="s">
        <v>527</v>
      </c>
    </row>
    <row r="2143" ht="15.75" customHeight="1">
      <c r="A2143" s="4" t="s">
        <v>94</v>
      </c>
      <c r="B2143" s="4" t="s">
        <v>527</v>
      </c>
    </row>
    <row r="2144" ht="15.75" customHeight="1">
      <c r="A2144" s="4" t="s">
        <v>146</v>
      </c>
      <c r="B2144" s="4" t="s">
        <v>528</v>
      </c>
    </row>
    <row r="2145" ht="15.75" customHeight="1">
      <c r="A2145" s="4" t="s">
        <v>169</v>
      </c>
      <c r="B2145" s="4" t="s">
        <v>528</v>
      </c>
    </row>
    <row r="2146" ht="15.75" customHeight="1">
      <c r="A2146" s="4" t="s">
        <v>178</v>
      </c>
      <c r="B2146" s="4" t="s">
        <v>528</v>
      </c>
    </row>
    <row r="2147" ht="15.75" customHeight="1">
      <c r="A2147" s="4" t="s">
        <v>195</v>
      </c>
      <c r="B2147" s="4" t="s">
        <v>528</v>
      </c>
    </row>
    <row r="2148" ht="15.75" customHeight="1">
      <c r="A2148" s="4" t="s">
        <v>196</v>
      </c>
      <c r="B2148" s="4" t="s">
        <v>528</v>
      </c>
    </row>
    <row r="2149" ht="15.75" customHeight="1">
      <c r="A2149" s="4" t="s">
        <v>136</v>
      </c>
      <c r="B2149" s="4" t="s">
        <v>528</v>
      </c>
    </row>
    <row r="2150" ht="15.75" customHeight="1">
      <c r="A2150" s="4" t="s">
        <v>169</v>
      </c>
      <c r="B2150" s="4" t="s">
        <v>529</v>
      </c>
    </row>
    <row r="2151" ht="15.75" customHeight="1">
      <c r="A2151" s="4" t="s">
        <v>194</v>
      </c>
      <c r="B2151" s="4" t="s">
        <v>529</v>
      </c>
    </row>
    <row r="2152" ht="15.75" customHeight="1">
      <c r="A2152" s="4" t="s">
        <v>141</v>
      </c>
      <c r="B2152" s="4" t="s">
        <v>529</v>
      </c>
    </row>
    <row r="2153" ht="15.75" customHeight="1">
      <c r="A2153" s="4" t="s">
        <v>123</v>
      </c>
      <c r="B2153" s="4" t="s">
        <v>529</v>
      </c>
    </row>
    <row r="2154" ht="15.75" customHeight="1">
      <c r="A2154" s="4" t="s">
        <v>196</v>
      </c>
      <c r="B2154" s="4" t="s">
        <v>529</v>
      </c>
    </row>
    <row r="2155" ht="15.75" customHeight="1">
      <c r="A2155" s="4" t="s">
        <v>145</v>
      </c>
      <c r="B2155" s="4" t="s">
        <v>529</v>
      </c>
    </row>
    <row r="2156" ht="15.75" customHeight="1">
      <c r="A2156" s="4" t="s">
        <v>190</v>
      </c>
      <c r="B2156" s="4" t="s">
        <v>530</v>
      </c>
    </row>
    <row r="2157" ht="15.75" customHeight="1">
      <c r="A2157" s="4" t="s">
        <v>146</v>
      </c>
      <c r="B2157" s="4" t="s">
        <v>530</v>
      </c>
    </row>
    <row r="2158" ht="15.75" customHeight="1">
      <c r="A2158" s="4" t="s">
        <v>198</v>
      </c>
      <c r="B2158" s="4" t="s">
        <v>530</v>
      </c>
    </row>
    <row r="2159" ht="15.75" customHeight="1">
      <c r="A2159" s="4" t="s">
        <v>79</v>
      </c>
      <c r="B2159" s="4" t="s">
        <v>530</v>
      </c>
    </row>
    <row r="2160" ht="15.75" customHeight="1">
      <c r="A2160" s="4" t="s">
        <v>93</v>
      </c>
      <c r="B2160" s="4" t="s">
        <v>530</v>
      </c>
    </row>
    <row r="2161" ht="15.75" customHeight="1">
      <c r="A2161" s="4" t="s">
        <v>81</v>
      </c>
      <c r="B2161" s="4" t="s">
        <v>530</v>
      </c>
    </row>
    <row r="2162" ht="15.75" customHeight="1">
      <c r="A2162" s="4" t="s">
        <v>61</v>
      </c>
      <c r="B2162" s="4" t="s">
        <v>531</v>
      </c>
    </row>
    <row r="2163" ht="15.75" customHeight="1">
      <c r="A2163" s="4" t="s">
        <v>215</v>
      </c>
      <c r="B2163" s="4" t="s">
        <v>531</v>
      </c>
    </row>
    <row r="2164" ht="15.75" customHeight="1">
      <c r="A2164" s="4" t="s">
        <v>92</v>
      </c>
      <c r="B2164" s="4" t="s">
        <v>531</v>
      </c>
    </row>
    <row r="2165" ht="15.75" customHeight="1">
      <c r="A2165" s="4" t="s">
        <v>184</v>
      </c>
      <c r="B2165" s="4" t="s">
        <v>531</v>
      </c>
    </row>
    <row r="2166" ht="15.75" customHeight="1">
      <c r="A2166" s="4" t="s">
        <v>66</v>
      </c>
      <c r="B2166" s="4" t="s">
        <v>531</v>
      </c>
    </row>
    <row r="2167" ht="15.75" customHeight="1">
      <c r="A2167" s="4" t="s">
        <v>154</v>
      </c>
      <c r="B2167" s="4" t="s">
        <v>531</v>
      </c>
    </row>
    <row r="2168" ht="15.75" customHeight="1">
      <c r="A2168" s="4" t="s">
        <v>137</v>
      </c>
      <c r="B2168" s="4" t="s">
        <v>532</v>
      </c>
    </row>
    <row r="2169" ht="15.75" customHeight="1">
      <c r="A2169" s="4" t="s">
        <v>134</v>
      </c>
      <c r="B2169" s="4" t="s">
        <v>532</v>
      </c>
    </row>
    <row r="2170" ht="15.75" customHeight="1">
      <c r="A2170" s="4" t="s">
        <v>175</v>
      </c>
      <c r="B2170" s="4" t="s">
        <v>532</v>
      </c>
    </row>
    <row r="2171" ht="15.75" customHeight="1">
      <c r="A2171" s="4" t="s">
        <v>166</v>
      </c>
      <c r="B2171" s="4" t="s">
        <v>532</v>
      </c>
    </row>
    <row r="2172" ht="15.75" customHeight="1">
      <c r="A2172" s="4" t="s">
        <v>150</v>
      </c>
      <c r="B2172" s="4" t="s">
        <v>532</v>
      </c>
    </row>
    <row r="2173" ht="15.75" customHeight="1">
      <c r="A2173" s="4" t="s">
        <v>220</v>
      </c>
      <c r="B2173" s="4" t="s">
        <v>532</v>
      </c>
    </row>
    <row r="2174" ht="15.75" customHeight="1">
      <c r="A2174" s="4" t="s">
        <v>134</v>
      </c>
      <c r="B2174" s="4" t="s">
        <v>533</v>
      </c>
    </row>
    <row r="2175" ht="15.75" customHeight="1">
      <c r="A2175" s="4" t="s">
        <v>85</v>
      </c>
      <c r="B2175" s="4" t="s">
        <v>533</v>
      </c>
    </row>
    <row r="2176" ht="15.75" customHeight="1">
      <c r="A2176" s="4" t="s">
        <v>175</v>
      </c>
      <c r="B2176" s="4" t="s">
        <v>533</v>
      </c>
    </row>
    <row r="2177" ht="15.75" customHeight="1">
      <c r="A2177" s="4" t="s">
        <v>195</v>
      </c>
      <c r="B2177" s="4" t="s">
        <v>533</v>
      </c>
    </row>
    <row r="2178" ht="15.75" customHeight="1">
      <c r="A2178" s="4" t="s">
        <v>126</v>
      </c>
      <c r="B2178" s="4" t="s">
        <v>533</v>
      </c>
    </row>
    <row r="2179" ht="15.75" customHeight="1">
      <c r="A2179" s="4" t="s">
        <v>220</v>
      </c>
      <c r="B2179" s="4" t="s">
        <v>533</v>
      </c>
    </row>
    <row r="2180" ht="15.75" customHeight="1">
      <c r="A2180" s="4" t="s">
        <v>204</v>
      </c>
      <c r="B2180" s="4" t="s">
        <v>534</v>
      </c>
    </row>
    <row r="2181" ht="15.75" customHeight="1">
      <c r="A2181" s="4" t="s">
        <v>137</v>
      </c>
      <c r="B2181" s="4" t="s">
        <v>534</v>
      </c>
    </row>
    <row r="2182" ht="15.75" customHeight="1">
      <c r="A2182" s="4" t="s">
        <v>71</v>
      </c>
      <c r="B2182" s="4" t="s">
        <v>534</v>
      </c>
    </row>
    <row r="2183" ht="15.75" customHeight="1">
      <c r="A2183" s="4" t="s">
        <v>65</v>
      </c>
      <c r="B2183" s="4" t="s">
        <v>534</v>
      </c>
    </row>
    <row r="2184" ht="15.75" customHeight="1">
      <c r="A2184" s="4" t="s">
        <v>80</v>
      </c>
      <c r="B2184" s="4" t="s">
        <v>534</v>
      </c>
    </row>
    <row r="2185" ht="15.75" customHeight="1">
      <c r="A2185" s="4" t="s">
        <v>154</v>
      </c>
      <c r="B2185" s="4" t="s">
        <v>534</v>
      </c>
    </row>
    <row r="2186" ht="15.75" customHeight="1">
      <c r="A2186" s="4" t="s">
        <v>70</v>
      </c>
      <c r="B2186" s="4" t="s">
        <v>535</v>
      </c>
    </row>
    <row r="2187" ht="15.75" customHeight="1">
      <c r="A2187" s="4" t="s">
        <v>92</v>
      </c>
      <c r="B2187" s="4" t="s">
        <v>535</v>
      </c>
    </row>
    <row r="2188" ht="15.75" customHeight="1">
      <c r="A2188" s="4" t="s">
        <v>178</v>
      </c>
      <c r="B2188" s="4" t="s">
        <v>535</v>
      </c>
    </row>
    <row r="2189" ht="15.75" customHeight="1">
      <c r="A2189" s="4" t="s">
        <v>135</v>
      </c>
      <c r="B2189" s="4" t="s">
        <v>535</v>
      </c>
    </row>
    <row r="2190" ht="15.75" customHeight="1">
      <c r="A2190" s="4" t="s">
        <v>150</v>
      </c>
      <c r="B2190" s="4" t="s">
        <v>535</v>
      </c>
    </row>
    <row r="2191" ht="15.75" customHeight="1">
      <c r="A2191" s="4" t="s">
        <v>220</v>
      </c>
      <c r="B2191" s="4" t="s">
        <v>535</v>
      </c>
    </row>
    <row r="2192" ht="15.75" customHeight="1">
      <c r="A2192" s="4" t="s">
        <v>146</v>
      </c>
      <c r="B2192" s="4" t="s">
        <v>536</v>
      </c>
    </row>
    <row r="2193" ht="15.75" customHeight="1">
      <c r="A2193" s="4" t="s">
        <v>148</v>
      </c>
      <c r="B2193" s="4" t="s">
        <v>536</v>
      </c>
    </row>
    <row r="2194" ht="15.75" customHeight="1">
      <c r="A2194" s="4" t="s">
        <v>120</v>
      </c>
      <c r="B2194" s="4" t="s">
        <v>536</v>
      </c>
    </row>
    <row r="2195" ht="15.75" customHeight="1">
      <c r="A2195" s="4" t="s">
        <v>211</v>
      </c>
      <c r="B2195" s="4" t="s">
        <v>536</v>
      </c>
    </row>
    <row r="2196" ht="15.75" customHeight="1">
      <c r="A2196" s="4" t="s">
        <v>181</v>
      </c>
      <c r="B2196" s="4" t="s">
        <v>536</v>
      </c>
    </row>
    <row r="2197" ht="15.75" customHeight="1">
      <c r="A2197" s="4" t="s">
        <v>212</v>
      </c>
      <c r="B2197" s="4" t="s">
        <v>536</v>
      </c>
    </row>
    <row r="2198" ht="15.75" customHeight="1">
      <c r="A2198" s="4" t="s">
        <v>100</v>
      </c>
      <c r="B2198" s="4" t="s">
        <v>537</v>
      </c>
    </row>
    <row r="2199" ht="15.75" customHeight="1">
      <c r="A2199" s="4" t="s">
        <v>159</v>
      </c>
      <c r="B2199" s="4" t="s">
        <v>537</v>
      </c>
    </row>
    <row r="2200" ht="15.75" customHeight="1">
      <c r="A2200" s="4" t="s">
        <v>78</v>
      </c>
      <c r="B2200" s="4" t="s">
        <v>537</v>
      </c>
    </row>
    <row r="2201" ht="15.75" customHeight="1">
      <c r="A2201" s="4" t="s">
        <v>123</v>
      </c>
      <c r="B2201" s="4" t="s">
        <v>537</v>
      </c>
    </row>
    <row r="2202" ht="15.75" customHeight="1">
      <c r="A2202" s="4" t="s">
        <v>196</v>
      </c>
      <c r="B2202" s="4" t="s">
        <v>537</v>
      </c>
    </row>
    <row r="2203" ht="15.75" customHeight="1">
      <c r="A2203" s="4" t="s">
        <v>158</v>
      </c>
      <c r="B2203" s="4" t="s">
        <v>537</v>
      </c>
    </row>
    <row r="2204" ht="15.75" customHeight="1">
      <c r="A2204" s="4" t="s">
        <v>169</v>
      </c>
      <c r="B2204" s="4" t="s">
        <v>538</v>
      </c>
    </row>
    <row r="2205" ht="15.75" customHeight="1">
      <c r="A2205" s="4" t="s">
        <v>156</v>
      </c>
      <c r="B2205" s="4" t="s">
        <v>538</v>
      </c>
    </row>
    <row r="2206" ht="15.75" customHeight="1">
      <c r="A2206" s="4" t="s">
        <v>175</v>
      </c>
      <c r="B2206" s="4" t="s">
        <v>538</v>
      </c>
    </row>
    <row r="2207" ht="15.75" customHeight="1">
      <c r="A2207" s="4" t="s">
        <v>195</v>
      </c>
      <c r="B2207" s="4" t="s">
        <v>538</v>
      </c>
    </row>
    <row r="2208" ht="15.75" customHeight="1">
      <c r="A2208" s="4" t="s">
        <v>187</v>
      </c>
      <c r="B2208" s="4" t="s">
        <v>538</v>
      </c>
    </row>
    <row r="2209" ht="15.75" customHeight="1">
      <c r="A2209" s="4" t="s">
        <v>139</v>
      </c>
      <c r="B2209" s="4" t="s">
        <v>538</v>
      </c>
    </row>
    <row r="2210" ht="15.75" customHeight="1">
      <c r="A2210" s="4" t="s">
        <v>173</v>
      </c>
      <c r="B2210" s="4" t="s">
        <v>539</v>
      </c>
    </row>
    <row r="2211" ht="15.75" customHeight="1">
      <c r="A2211" s="4" t="s">
        <v>194</v>
      </c>
      <c r="B2211" s="4" t="s">
        <v>539</v>
      </c>
    </row>
    <row r="2212" ht="15.75" customHeight="1">
      <c r="A2212" s="4" t="s">
        <v>71</v>
      </c>
      <c r="B2212" s="4" t="s">
        <v>539</v>
      </c>
    </row>
    <row r="2213" ht="15.75" customHeight="1">
      <c r="A2213" s="4" t="s">
        <v>135</v>
      </c>
      <c r="B2213" s="4" t="s">
        <v>539</v>
      </c>
    </row>
    <row r="2214" ht="15.75" customHeight="1">
      <c r="A2214" s="4" t="s">
        <v>222</v>
      </c>
      <c r="B2214" s="4" t="s">
        <v>539</v>
      </c>
    </row>
    <row r="2215" ht="15.75" customHeight="1">
      <c r="A2215" s="4" t="s">
        <v>212</v>
      </c>
      <c r="B2215" s="4" t="s">
        <v>539</v>
      </c>
    </row>
    <row r="2216" ht="15.75" customHeight="1">
      <c r="A2216" s="4" t="s">
        <v>161</v>
      </c>
      <c r="B2216" s="4" t="s">
        <v>540</v>
      </c>
    </row>
    <row r="2217" ht="15.75" customHeight="1">
      <c r="A2217" s="4" t="s">
        <v>85</v>
      </c>
      <c r="B2217" s="4" t="s">
        <v>540</v>
      </c>
    </row>
    <row r="2218" ht="15.75" customHeight="1">
      <c r="A2218" s="4" t="s">
        <v>175</v>
      </c>
      <c r="B2218" s="4" t="s">
        <v>540</v>
      </c>
    </row>
    <row r="2219" ht="15.75" customHeight="1">
      <c r="A2219" s="4" t="s">
        <v>189</v>
      </c>
      <c r="B2219" s="4" t="s">
        <v>540</v>
      </c>
    </row>
    <row r="2220" ht="15.75" customHeight="1">
      <c r="A2220" s="4" t="s">
        <v>87</v>
      </c>
      <c r="B2220" s="4" t="s">
        <v>540</v>
      </c>
    </row>
    <row r="2221" ht="15.75" customHeight="1">
      <c r="A2221" s="4" t="s">
        <v>88</v>
      </c>
      <c r="B2221" s="4" t="s">
        <v>540</v>
      </c>
    </row>
    <row r="2222" ht="15.75" customHeight="1">
      <c r="A2222" s="4" t="s">
        <v>75</v>
      </c>
      <c r="B2222" s="4" t="s">
        <v>541</v>
      </c>
    </row>
    <row r="2223" ht="15.75" customHeight="1">
      <c r="A2223" s="4" t="s">
        <v>98</v>
      </c>
      <c r="B2223" s="4" t="s">
        <v>541</v>
      </c>
    </row>
    <row r="2224" ht="15.75" customHeight="1">
      <c r="A2224" s="4" t="s">
        <v>122</v>
      </c>
      <c r="B2224" s="4" t="s">
        <v>541</v>
      </c>
    </row>
    <row r="2225" ht="15.75" customHeight="1">
      <c r="A2225" s="4" t="s">
        <v>110</v>
      </c>
      <c r="B2225" s="4" t="s">
        <v>541</v>
      </c>
    </row>
    <row r="2226" ht="15.75" customHeight="1">
      <c r="A2226" s="4" t="s">
        <v>150</v>
      </c>
      <c r="B2226" s="4" t="s">
        <v>541</v>
      </c>
    </row>
    <row r="2227" ht="15.75" customHeight="1">
      <c r="A2227" s="4" t="s">
        <v>171</v>
      </c>
      <c r="B2227" s="4" t="s">
        <v>541</v>
      </c>
    </row>
    <row r="2228" ht="15.75" customHeight="1">
      <c r="A2228" s="4" t="s">
        <v>89</v>
      </c>
      <c r="B2228" s="4" t="s">
        <v>542</v>
      </c>
    </row>
    <row r="2229" ht="15.75" customHeight="1">
      <c r="A2229" s="4" t="s">
        <v>68</v>
      </c>
      <c r="B2229" s="4" t="s">
        <v>542</v>
      </c>
    </row>
    <row r="2230" ht="15.75" customHeight="1">
      <c r="A2230" s="4" t="s">
        <v>170</v>
      </c>
      <c r="B2230" s="4" t="s">
        <v>542</v>
      </c>
    </row>
    <row r="2231" ht="15.75" customHeight="1">
      <c r="A2231" s="4" t="s">
        <v>99</v>
      </c>
      <c r="B2231" s="4" t="s">
        <v>542</v>
      </c>
    </row>
    <row r="2232" ht="15.75" customHeight="1">
      <c r="A2232" s="4" t="s">
        <v>73</v>
      </c>
      <c r="B2232" s="4" t="s">
        <v>542</v>
      </c>
    </row>
    <row r="2233" ht="15.75" customHeight="1">
      <c r="A2233" s="4" t="s">
        <v>241</v>
      </c>
      <c r="B2233" s="4" t="s">
        <v>542</v>
      </c>
    </row>
    <row r="2234" ht="15.75" customHeight="1">
      <c r="A2234" s="4" t="s">
        <v>137</v>
      </c>
      <c r="B2234" s="4" t="s">
        <v>543</v>
      </c>
    </row>
    <row r="2235" ht="15.75" customHeight="1">
      <c r="A2235" s="4" t="s">
        <v>161</v>
      </c>
      <c r="B2235" s="4" t="s">
        <v>543</v>
      </c>
    </row>
    <row r="2236" ht="15.75" customHeight="1">
      <c r="A2236" s="4" t="s">
        <v>141</v>
      </c>
      <c r="B2236" s="4" t="s">
        <v>543</v>
      </c>
    </row>
    <row r="2237" ht="15.75" customHeight="1">
      <c r="A2237" s="4" t="s">
        <v>65</v>
      </c>
      <c r="B2237" s="4" t="s">
        <v>543</v>
      </c>
    </row>
    <row r="2238" ht="15.75" customHeight="1">
      <c r="A2238" s="4" t="s">
        <v>113</v>
      </c>
      <c r="B2238" s="4" t="s">
        <v>543</v>
      </c>
    </row>
    <row r="2239" ht="15.75" customHeight="1">
      <c r="A2239" s="4" t="s">
        <v>88</v>
      </c>
      <c r="B2239" s="4" t="s">
        <v>543</v>
      </c>
    </row>
    <row r="2240" ht="15.75" customHeight="1">
      <c r="A2240" s="4" t="s">
        <v>68</v>
      </c>
      <c r="B2240" s="4" t="s">
        <v>544</v>
      </c>
    </row>
    <row r="2241" ht="15.75" customHeight="1">
      <c r="A2241" s="4" t="s">
        <v>169</v>
      </c>
      <c r="B2241" s="4" t="s">
        <v>544</v>
      </c>
    </row>
    <row r="2242" ht="15.75" customHeight="1">
      <c r="A2242" s="4" t="s">
        <v>178</v>
      </c>
      <c r="B2242" s="4" t="s">
        <v>544</v>
      </c>
    </row>
    <row r="2243" ht="15.75" customHeight="1">
      <c r="A2243" s="4" t="s">
        <v>176</v>
      </c>
      <c r="B2243" s="4" t="s">
        <v>544</v>
      </c>
    </row>
    <row r="2244" ht="15.75" customHeight="1">
      <c r="A2244" s="4" t="s">
        <v>181</v>
      </c>
      <c r="B2244" s="4" t="s">
        <v>544</v>
      </c>
    </row>
    <row r="2245" ht="15.75" customHeight="1">
      <c r="A2245" s="4" t="s">
        <v>145</v>
      </c>
      <c r="B2245" s="4" t="s">
        <v>544</v>
      </c>
    </row>
    <row r="2246" ht="15.75" customHeight="1">
      <c r="A2246" s="4" t="s">
        <v>226</v>
      </c>
      <c r="B2246" s="4" t="s">
        <v>545</v>
      </c>
    </row>
    <row r="2247" ht="15.75" customHeight="1">
      <c r="A2247" s="4" t="s">
        <v>146</v>
      </c>
      <c r="B2247" s="4" t="s">
        <v>545</v>
      </c>
    </row>
    <row r="2248" ht="15.75" customHeight="1">
      <c r="A2248" s="4" t="s">
        <v>198</v>
      </c>
      <c r="B2248" s="4" t="s">
        <v>545</v>
      </c>
    </row>
    <row r="2249" ht="15.75" customHeight="1">
      <c r="A2249" s="4" t="s">
        <v>166</v>
      </c>
      <c r="B2249" s="4" t="s">
        <v>545</v>
      </c>
    </row>
    <row r="2250" ht="15.75" customHeight="1">
      <c r="A2250" s="4" t="s">
        <v>126</v>
      </c>
      <c r="B2250" s="4" t="s">
        <v>545</v>
      </c>
    </row>
    <row r="2251" ht="15.75" customHeight="1">
      <c r="A2251" s="4" t="s">
        <v>136</v>
      </c>
      <c r="B2251" s="4" t="s">
        <v>545</v>
      </c>
    </row>
    <row r="2252" ht="15.75" customHeight="1">
      <c r="A2252" s="4" t="s">
        <v>61</v>
      </c>
      <c r="B2252" s="4" t="s">
        <v>546</v>
      </c>
    </row>
    <row r="2253" ht="15.75" customHeight="1">
      <c r="A2253" s="4" t="s">
        <v>63</v>
      </c>
      <c r="B2253" s="4" t="s">
        <v>546</v>
      </c>
    </row>
    <row r="2254" ht="15.75" customHeight="1">
      <c r="A2254" s="4" t="s">
        <v>102</v>
      </c>
      <c r="B2254" s="4" t="s">
        <v>546</v>
      </c>
    </row>
    <row r="2255" ht="15.75" customHeight="1">
      <c r="A2255" s="4" t="s">
        <v>72</v>
      </c>
      <c r="B2255" s="4" t="s">
        <v>546</v>
      </c>
    </row>
    <row r="2256" ht="15.75" customHeight="1">
      <c r="A2256" s="4" t="s">
        <v>93</v>
      </c>
      <c r="B2256" s="4" t="s">
        <v>546</v>
      </c>
    </row>
    <row r="2257" ht="15.75" customHeight="1">
      <c r="A2257" s="4" t="s">
        <v>241</v>
      </c>
      <c r="B2257" s="4" t="s">
        <v>546</v>
      </c>
    </row>
    <row r="2258" ht="15.75" customHeight="1">
      <c r="A2258" s="4" t="s">
        <v>63</v>
      </c>
      <c r="B2258" s="4" t="s">
        <v>547</v>
      </c>
    </row>
    <row r="2259" ht="15.75" customHeight="1">
      <c r="A2259" s="4" t="s">
        <v>100</v>
      </c>
      <c r="B2259" s="4" t="s">
        <v>547</v>
      </c>
    </row>
    <row r="2260" ht="15.75" customHeight="1">
      <c r="A2260" s="4" t="s">
        <v>104</v>
      </c>
      <c r="B2260" s="4" t="s">
        <v>547</v>
      </c>
    </row>
    <row r="2261" ht="15.75" customHeight="1">
      <c r="A2261" s="4" t="s">
        <v>79</v>
      </c>
      <c r="B2261" s="4" t="s">
        <v>547</v>
      </c>
    </row>
    <row r="2262" ht="15.75" customHeight="1">
      <c r="A2262" s="4" t="s">
        <v>66</v>
      </c>
      <c r="B2262" s="4" t="s">
        <v>547</v>
      </c>
    </row>
    <row r="2263" ht="15.75" customHeight="1">
      <c r="A2263" s="4" t="s">
        <v>94</v>
      </c>
      <c r="B2263" s="4" t="s">
        <v>547</v>
      </c>
    </row>
    <row r="2264" ht="15.75" customHeight="1">
      <c r="A2264" s="4" t="s">
        <v>97</v>
      </c>
      <c r="B2264" s="4" t="s">
        <v>548</v>
      </c>
    </row>
    <row r="2265" ht="15.75" customHeight="1">
      <c r="A2265" s="4" t="s">
        <v>156</v>
      </c>
      <c r="B2265" s="4" t="s">
        <v>548</v>
      </c>
    </row>
    <row r="2266" ht="15.75" customHeight="1">
      <c r="A2266" s="4" t="s">
        <v>78</v>
      </c>
      <c r="B2266" s="4" t="s">
        <v>548</v>
      </c>
    </row>
    <row r="2267" ht="15.75" customHeight="1">
      <c r="A2267" s="4" t="s">
        <v>166</v>
      </c>
      <c r="B2267" s="4" t="s">
        <v>548</v>
      </c>
    </row>
    <row r="2268" ht="15.75" customHeight="1">
      <c r="A2268" s="4" t="s">
        <v>126</v>
      </c>
      <c r="B2268" s="4" t="s">
        <v>548</v>
      </c>
    </row>
    <row r="2269" ht="15.75" customHeight="1">
      <c r="A2269" s="4" t="s">
        <v>139</v>
      </c>
      <c r="B2269" s="4" t="s">
        <v>548</v>
      </c>
    </row>
    <row r="2270" ht="15.75" customHeight="1">
      <c r="A2270" s="4" t="s">
        <v>161</v>
      </c>
      <c r="B2270" s="4" t="s">
        <v>549</v>
      </c>
    </row>
    <row r="2271" ht="15.75" customHeight="1">
      <c r="A2271" s="4" t="s">
        <v>153</v>
      </c>
      <c r="B2271" s="4" t="s">
        <v>549</v>
      </c>
    </row>
    <row r="2272" ht="15.75" customHeight="1">
      <c r="A2272" s="4" t="s">
        <v>141</v>
      </c>
      <c r="B2272" s="4" t="s">
        <v>549</v>
      </c>
    </row>
    <row r="2273" ht="15.75" customHeight="1">
      <c r="A2273" s="4" t="s">
        <v>176</v>
      </c>
      <c r="B2273" s="4" t="s">
        <v>549</v>
      </c>
    </row>
    <row r="2274" ht="15.75" customHeight="1">
      <c r="A2274" s="4" t="s">
        <v>196</v>
      </c>
      <c r="B2274" s="4" t="s">
        <v>549</v>
      </c>
    </row>
    <row r="2275" ht="15.75" customHeight="1">
      <c r="A2275" s="4" t="s">
        <v>145</v>
      </c>
      <c r="B2275" s="4" t="s">
        <v>549</v>
      </c>
    </row>
    <row r="2276" ht="15.75" customHeight="1">
      <c r="A2276" s="4" t="s">
        <v>169</v>
      </c>
      <c r="B2276" s="4" t="s">
        <v>550</v>
      </c>
    </row>
    <row r="2277" ht="15.75" customHeight="1">
      <c r="A2277" s="4" t="s">
        <v>77</v>
      </c>
      <c r="B2277" s="4" t="s">
        <v>550</v>
      </c>
    </row>
    <row r="2278" ht="15.75" customHeight="1">
      <c r="A2278" s="4" t="s">
        <v>170</v>
      </c>
      <c r="B2278" s="4" t="s">
        <v>550</v>
      </c>
    </row>
    <row r="2279" ht="15.75" customHeight="1">
      <c r="A2279" s="4" t="s">
        <v>79</v>
      </c>
      <c r="B2279" s="4" t="s">
        <v>550</v>
      </c>
    </row>
    <row r="2280" ht="15.75" customHeight="1">
      <c r="A2280" s="4" t="s">
        <v>93</v>
      </c>
      <c r="B2280" s="4" t="s">
        <v>550</v>
      </c>
    </row>
    <row r="2281" ht="15.75" customHeight="1">
      <c r="A2281" s="4" t="s">
        <v>241</v>
      </c>
      <c r="B2281" s="4" t="s">
        <v>550</v>
      </c>
    </row>
    <row r="2282" ht="15.75" customHeight="1">
      <c r="A2282" s="4" t="s">
        <v>89</v>
      </c>
      <c r="B2282" s="4" t="s">
        <v>551</v>
      </c>
    </row>
    <row r="2283" ht="15.75" customHeight="1">
      <c r="A2283" s="4" t="s">
        <v>146</v>
      </c>
      <c r="B2283" s="4" t="s">
        <v>551</v>
      </c>
    </row>
    <row r="2284" ht="15.75" customHeight="1">
      <c r="A2284" s="4" t="s">
        <v>178</v>
      </c>
      <c r="B2284" s="4" t="s">
        <v>551</v>
      </c>
    </row>
    <row r="2285" ht="15.75" customHeight="1">
      <c r="A2285" s="4" t="s">
        <v>79</v>
      </c>
      <c r="B2285" s="4" t="s">
        <v>551</v>
      </c>
    </row>
    <row r="2286" ht="15.75" customHeight="1">
      <c r="A2286" s="4" t="s">
        <v>87</v>
      </c>
      <c r="B2286" s="4" t="s">
        <v>551</v>
      </c>
    </row>
    <row r="2287" ht="15.75" customHeight="1">
      <c r="A2287" s="4" t="s">
        <v>241</v>
      </c>
      <c r="B2287" s="4" t="s">
        <v>551</v>
      </c>
    </row>
    <row r="2288" ht="15.75" customHeight="1">
      <c r="A2288" s="4" t="s">
        <v>82</v>
      </c>
      <c r="B2288" s="4" t="s">
        <v>552</v>
      </c>
    </row>
    <row r="2289" ht="15.75" customHeight="1">
      <c r="A2289" s="4" t="s">
        <v>153</v>
      </c>
      <c r="B2289" s="4" t="s">
        <v>552</v>
      </c>
    </row>
    <row r="2290" ht="15.75" customHeight="1">
      <c r="A2290" s="4" t="s">
        <v>141</v>
      </c>
      <c r="B2290" s="4" t="s">
        <v>552</v>
      </c>
    </row>
    <row r="2291" ht="15.75" customHeight="1">
      <c r="A2291" s="4" t="s">
        <v>86</v>
      </c>
      <c r="B2291" s="4" t="s">
        <v>552</v>
      </c>
    </row>
    <row r="2292" ht="15.75" customHeight="1">
      <c r="A2292" s="4" t="s">
        <v>117</v>
      </c>
      <c r="B2292" s="4" t="s">
        <v>552</v>
      </c>
    </row>
    <row r="2293" ht="15.75" customHeight="1">
      <c r="A2293" s="4" t="s">
        <v>67</v>
      </c>
      <c r="B2293" s="4" t="s">
        <v>552</v>
      </c>
    </row>
    <row r="2294" ht="15.75" customHeight="1">
      <c r="A2294" s="4" t="s">
        <v>95</v>
      </c>
      <c r="B2294" s="4" t="s">
        <v>553</v>
      </c>
    </row>
    <row r="2295" ht="15.75" customHeight="1">
      <c r="A2295" s="4" t="s">
        <v>97</v>
      </c>
      <c r="B2295" s="4" t="s">
        <v>553</v>
      </c>
    </row>
    <row r="2296" ht="15.75" customHeight="1">
      <c r="A2296" s="4" t="s">
        <v>84</v>
      </c>
      <c r="B2296" s="4" t="s">
        <v>553</v>
      </c>
    </row>
    <row r="2297" ht="15.75" customHeight="1">
      <c r="A2297" s="4" t="s">
        <v>99</v>
      </c>
      <c r="B2297" s="4" t="s">
        <v>553</v>
      </c>
    </row>
    <row r="2298" ht="15.75" customHeight="1">
      <c r="A2298" s="4" t="s">
        <v>113</v>
      </c>
      <c r="B2298" s="4" t="s">
        <v>553</v>
      </c>
    </row>
    <row r="2299" ht="15.75" customHeight="1">
      <c r="A2299" s="4" t="s">
        <v>241</v>
      </c>
      <c r="B2299" s="4" t="s">
        <v>553</v>
      </c>
    </row>
    <row r="2300" ht="15.75" customHeight="1">
      <c r="A2300" s="4" t="s">
        <v>61</v>
      </c>
      <c r="B2300" s="4" t="s">
        <v>554</v>
      </c>
    </row>
    <row r="2301" ht="15.75" customHeight="1">
      <c r="A2301" s="4" t="s">
        <v>63</v>
      </c>
      <c r="B2301" s="4" t="s">
        <v>554</v>
      </c>
    </row>
    <row r="2302" ht="15.75" customHeight="1">
      <c r="A2302" s="4" t="s">
        <v>170</v>
      </c>
      <c r="B2302" s="4" t="s">
        <v>554</v>
      </c>
    </row>
    <row r="2303" ht="15.75" customHeight="1">
      <c r="A2303" s="4" t="s">
        <v>240</v>
      </c>
      <c r="B2303" s="4" t="s">
        <v>554</v>
      </c>
    </row>
    <row r="2304" ht="15.75" customHeight="1">
      <c r="A2304" s="4" t="s">
        <v>93</v>
      </c>
      <c r="B2304" s="4" t="s">
        <v>554</v>
      </c>
    </row>
    <row r="2305" ht="15.75" customHeight="1">
      <c r="A2305" s="4" t="s">
        <v>74</v>
      </c>
      <c r="B2305" s="4" t="s">
        <v>554</v>
      </c>
    </row>
    <row r="2306" ht="15.75" customHeight="1">
      <c r="A2306" s="4" t="s">
        <v>148</v>
      </c>
      <c r="B2306" s="4" t="s">
        <v>555</v>
      </c>
    </row>
    <row r="2307" ht="15.75" customHeight="1">
      <c r="A2307" s="4" t="s">
        <v>192</v>
      </c>
      <c r="B2307" s="4" t="s">
        <v>555</v>
      </c>
    </row>
    <row r="2308" ht="15.75" customHeight="1">
      <c r="A2308" s="4" t="s">
        <v>92</v>
      </c>
      <c r="B2308" s="4" t="s">
        <v>555</v>
      </c>
    </row>
    <row r="2309" ht="15.75" customHeight="1">
      <c r="A2309" s="4" t="s">
        <v>184</v>
      </c>
      <c r="B2309" s="4" t="s">
        <v>555</v>
      </c>
    </row>
    <row r="2310" ht="15.75" customHeight="1">
      <c r="A2310" s="4" t="s">
        <v>208</v>
      </c>
      <c r="B2310" s="4" t="s">
        <v>555</v>
      </c>
    </row>
    <row r="2311" ht="15.75" customHeight="1">
      <c r="A2311" s="4" t="s">
        <v>88</v>
      </c>
      <c r="B2311" s="4" t="s">
        <v>555</v>
      </c>
    </row>
    <row r="2312" ht="15.75" customHeight="1">
      <c r="A2312" s="4" t="s">
        <v>89</v>
      </c>
      <c r="B2312" s="4" t="s">
        <v>556</v>
      </c>
    </row>
    <row r="2313" ht="15.75" customHeight="1">
      <c r="A2313" s="4" t="s">
        <v>68</v>
      </c>
      <c r="B2313" s="4" t="s">
        <v>556</v>
      </c>
    </row>
    <row r="2314" ht="15.75" customHeight="1">
      <c r="A2314" s="4" t="s">
        <v>178</v>
      </c>
      <c r="B2314" s="4" t="s">
        <v>556</v>
      </c>
    </row>
    <row r="2315" ht="15.75" customHeight="1">
      <c r="A2315" s="4" t="s">
        <v>99</v>
      </c>
      <c r="B2315" s="4" t="s">
        <v>556</v>
      </c>
    </row>
    <row r="2316" ht="15.75" customHeight="1">
      <c r="A2316" s="4" t="s">
        <v>93</v>
      </c>
      <c r="B2316" s="4" t="s">
        <v>556</v>
      </c>
    </row>
    <row r="2317" ht="15.75" customHeight="1">
      <c r="A2317" s="4" t="s">
        <v>241</v>
      </c>
      <c r="B2317" s="4" t="s">
        <v>556</v>
      </c>
    </row>
    <row r="2318" ht="15.75" customHeight="1">
      <c r="A2318" s="4" t="s">
        <v>134</v>
      </c>
      <c r="B2318" s="4" t="s">
        <v>557</v>
      </c>
    </row>
    <row r="2319" ht="15.75" customHeight="1">
      <c r="A2319" s="4" t="s">
        <v>85</v>
      </c>
      <c r="B2319" s="4" t="s">
        <v>557</v>
      </c>
    </row>
    <row r="2320" ht="15.75" customHeight="1">
      <c r="A2320" s="4" t="s">
        <v>175</v>
      </c>
      <c r="B2320" s="4" t="s">
        <v>557</v>
      </c>
    </row>
    <row r="2321" ht="15.75" customHeight="1">
      <c r="A2321" s="4" t="s">
        <v>176</v>
      </c>
      <c r="B2321" s="4" t="s">
        <v>557</v>
      </c>
    </row>
    <row r="2322" ht="15.75" customHeight="1">
      <c r="A2322" s="4" t="s">
        <v>126</v>
      </c>
      <c r="B2322" s="4" t="s">
        <v>557</v>
      </c>
    </row>
    <row r="2323" ht="15.75" customHeight="1">
      <c r="A2323" s="4" t="s">
        <v>145</v>
      </c>
      <c r="B2323" s="4" t="s">
        <v>557</v>
      </c>
    </row>
    <row r="2324" ht="15.75" customHeight="1">
      <c r="A2324" s="4" t="s">
        <v>159</v>
      </c>
      <c r="B2324" s="4" t="s">
        <v>558</v>
      </c>
    </row>
    <row r="2325" ht="15.75" customHeight="1">
      <c r="A2325" s="4" t="s">
        <v>161</v>
      </c>
      <c r="B2325" s="4" t="s">
        <v>558</v>
      </c>
    </row>
    <row r="2326" ht="15.75" customHeight="1">
      <c r="A2326" s="4" t="s">
        <v>175</v>
      </c>
      <c r="B2326" s="4" t="s">
        <v>558</v>
      </c>
    </row>
    <row r="2327" ht="15.75" customHeight="1">
      <c r="A2327" s="4" t="s">
        <v>207</v>
      </c>
      <c r="B2327" s="4" t="s">
        <v>558</v>
      </c>
    </row>
    <row r="2328" ht="15.75" customHeight="1">
      <c r="A2328" s="4" t="s">
        <v>93</v>
      </c>
      <c r="B2328" s="4" t="s">
        <v>558</v>
      </c>
    </row>
    <row r="2329" ht="15.75" customHeight="1">
      <c r="A2329" s="4" t="s">
        <v>154</v>
      </c>
      <c r="B2329" s="4" t="s">
        <v>558</v>
      </c>
    </row>
    <row r="2330" ht="15.75" customHeight="1">
      <c r="A2330" s="4" t="s">
        <v>114</v>
      </c>
      <c r="B2330" s="4" t="s">
        <v>559</v>
      </c>
    </row>
    <row r="2331" ht="15.75" customHeight="1">
      <c r="A2331" s="4" t="s">
        <v>75</v>
      </c>
      <c r="B2331" s="4" t="s">
        <v>559</v>
      </c>
    </row>
    <row r="2332" ht="15.75" customHeight="1">
      <c r="A2332" s="4" t="s">
        <v>104</v>
      </c>
      <c r="B2332" s="4" t="s">
        <v>559</v>
      </c>
    </row>
    <row r="2333" ht="15.75" customHeight="1">
      <c r="A2333" s="4" t="s">
        <v>65</v>
      </c>
      <c r="B2333" s="4" t="s">
        <v>559</v>
      </c>
    </row>
    <row r="2334" ht="15.75" customHeight="1">
      <c r="A2334" s="4" t="s">
        <v>117</v>
      </c>
      <c r="B2334" s="4" t="s">
        <v>559</v>
      </c>
    </row>
    <row r="2335" ht="15.75" customHeight="1">
      <c r="A2335" s="4" t="s">
        <v>118</v>
      </c>
      <c r="B2335" s="4" t="s">
        <v>559</v>
      </c>
    </row>
    <row r="2336" ht="15.75" customHeight="1">
      <c r="A2336" s="4" t="s">
        <v>114</v>
      </c>
      <c r="B2336" s="4" t="s">
        <v>560</v>
      </c>
    </row>
    <row r="2337" ht="15.75" customHeight="1">
      <c r="A2337" s="4" t="s">
        <v>169</v>
      </c>
      <c r="B2337" s="4" t="s">
        <v>560</v>
      </c>
    </row>
    <row r="2338" ht="15.75" customHeight="1">
      <c r="A2338" s="4" t="s">
        <v>178</v>
      </c>
      <c r="B2338" s="4" t="s">
        <v>560</v>
      </c>
    </row>
    <row r="2339" ht="15.75" customHeight="1">
      <c r="A2339" s="4" t="s">
        <v>110</v>
      </c>
      <c r="B2339" s="4" t="s">
        <v>560</v>
      </c>
    </row>
    <row r="2340" ht="15.75" customHeight="1">
      <c r="A2340" s="4" t="s">
        <v>222</v>
      </c>
      <c r="B2340" s="4" t="s">
        <v>560</v>
      </c>
    </row>
    <row r="2341" ht="15.75" customHeight="1">
      <c r="A2341" s="4" t="s">
        <v>171</v>
      </c>
      <c r="B2341" s="4" t="s">
        <v>560</v>
      </c>
    </row>
    <row r="2342" ht="15.75" customHeight="1">
      <c r="A2342" s="4" t="s">
        <v>173</v>
      </c>
      <c r="B2342" s="4" t="s">
        <v>561</v>
      </c>
    </row>
    <row r="2343" ht="15.75" customHeight="1">
      <c r="A2343" s="4" t="s">
        <v>153</v>
      </c>
      <c r="B2343" s="4" t="s">
        <v>561</v>
      </c>
    </row>
    <row r="2344" ht="15.75" customHeight="1">
      <c r="A2344" s="4" t="s">
        <v>71</v>
      </c>
      <c r="B2344" s="4" t="s">
        <v>561</v>
      </c>
    </row>
    <row r="2345" ht="15.75" customHeight="1">
      <c r="A2345" s="4" t="s">
        <v>157</v>
      </c>
      <c r="B2345" s="4" t="s">
        <v>561</v>
      </c>
    </row>
    <row r="2346" ht="15.75" customHeight="1">
      <c r="A2346" s="4" t="s">
        <v>196</v>
      </c>
      <c r="B2346" s="4" t="s">
        <v>561</v>
      </c>
    </row>
    <row r="2347" ht="15.75" customHeight="1">
      <c r="A2347" s="4" t="s">
        <v>127</v>
      </c>
      <c r="B2347" s="4" t="s">
        <v>561</v>
      </c>
    </row>
    <row r="2348" ht="15.75" customHeight="1">
      <c r="A2348" s="4" t="s">
        <v>190</v>
      </c>
      <c r="B2348" s="4" t="s">
        <v>562</v>
      </c>
    </row>
    <row r="2349" ht="15.75" customHeight="1">
      <c r="A2349" s="4" t="s">
        <v>102</v>
      </c>
      <c r="B2349" s="4" t="s">
        <v>562</v>
      </c>
    </row>
    <row r="2350" ht="15.75" customHeight="1">
      <c r="A2350" s="4" t="s">
        <v>85</v>
      </c>
      <c r="B2350" s="4" t="s">
        <v>562</v>
      </c>
    </row>
    <row r="2351" ht="15.75" customHeight="1">
      <c r="A2351" s="4" t="s">
        <v>184</v>
      </c>
      <c r="B2351" s="4" t="s">
        <v>562</v>
      </c>
    </row>
    <row r="2352" ht="15.75" customHeight="1">
      <c r="A2352" s="4" t="s">
        <v>66</v>
      </c>
      <c r="B2352" s="4" t="s">
        <v>562</v>
      </c>
    </row>
    <row r="2353" ht="15.75" customHeight="1">
      <c r="A2353" s="4" t="s">
        <v>185</v>
      </c>
      <c r="B2353" s="4" t="s">
        <v>562</v>
      </c>
    </row>
    <row r="2354" ht="15.75" customHeight="1">
      <c r="A2354" s="4" t="s">
        <v>100</v>
      </c>
      <c r="B2354" s="4" t="s">
        <v>563</v>
      </c>
    </row>
    <row r="2355" ht="15.75" customHeight="1">
      <c r="A2355" s="4" t="s">
        <v>153</v>
      </c>
      <c r="B2355" s="4" t="s">
        <v>563</v>
      </c>
    </row>
    <row r="2356" ht="15.75" customHeight="1">
      <c r="A2356" s="4" t="s">
        <v>141</v>
      </c>
      <c r="B2356" s="4" t="s">
        <v>563</v>
      </c>
    </row>
    <row r="2357" ht="15.75" customHeight="1">
      <c r="A2357" s="4" t="s">
        <v>189</v>
      </c>
      <c r="B2357" s="4" t="s">
        <v>563</v>
      </c>
    </row>
    <row r="2358" ht="15.75" customHeight="1">
      <c r="A2358" s="4" t="s">
        <v>117</v>
      </c>
      <c r="B2358" s="4" t="s">
        <v>563</v>
      </c>
    </row>
    <row r="2359" ht="15.75" customHeight="1">
      <c r="A2359" s="4" t="s">
        <v>199</v>
      </c>
      <c r="B2359" s="4" t="s">
        <v>563</v>
      </c>
    </row>
    <row r="2360" ht="15.75" customHeight="1">
      <c r="A2360" s="4" t="s">
        <v>204</v>
      </c>
      <c r="B2360" s="4" t="s">
        <v>564</v>
      </c>
    </row>
    <row r="2361" ht="15.75" customHeight="1">
      <c r="A2361" s="4" t="s">
        <v>192</v>
      </c>
      <c r="B2361" s="4" t="s">
        <v>564</v>
      </c>
    </row>
    <row r="2362" ht="15.75" customHeight="1">
      <c r="A2362" s="4" t="s">
        <v>153</v>
      </c>
      <c r="B2362" s="4" t="s">
        <v>564</v>
      </c>
    </row>
    <row r="2363" ht="15.75" customHeight="1">
      <c r="A2363" s="4" t="s">
        <v>189</v>
      </c>
      <c r="B2363" s="4" t="s">
        <v>564</v>
      </c>
    </row>
    <row r="2364" ht="15.75" customHeight="1">
      <c r="A2364" s="4" t="s">
        <v>142</v>
      </c>
      <c r="B2364" s="4" t="s">
        <v>564</v>
      </c>
    </row>
    <row r="2365" ht="15.75" customHeight="1">
      <c r="A2365" s="4" t="s">
        <v>67</v>
      </c>
      <c r="B2365" s="4" t="s">
        <v>564</v>
      </c>
    </row>
    <row r="2366" ht="15.75" customHeight="1">
      <c r="A2366" s="4" t="s">
        <v>169</v>
      </c>
      <c r="B2366" s="4" t="s">
        <v>565</v>
      </c>
    </row>
    <row r="2367" ht="15.75" customHeight="1">
      <c r="A2367" s="4" t="s">
        <v>183</v>
      </c>
      <c r="B2367" s="4" t="s">
        <v>565</v>
      </c>
    </row>
    <row r="2368" ht="15.75" customHeight="1">
      <c r="A2368" s="4" t="s">
        <v>153</v>
      </c>
      <c r="B2368" s="4" t="s">
        <v>565</v>
      </c>
    </row>
    <row r="2369" ht="15.75" customHeight="1">
      <c r="A2369" s="4" t="s">
        <v>86</v>
      </c>
      <c r="B2369" s="4" t="s">
        <v>565</v>
      </c>
    </row>
    <row r="2370" ht="15.75" customHeight="1">
      <c r="A2370" s="4" t="s">
        <v>117</v>
      </c>
      <c r="B2370" s="4" t="s">
        <v>565</v>
      </c>
    </row>
    <row r="2371" ht="15.75" customHeight="1">
      <c r="A2371" s="4" t="s">
        <v>154</v>
      </c>
      <c r="B2371" s="4" t="s">
        <v>565</v>
      </c>
    </row>
    <row r="2372" ht="15.75" customHeight="1">
      <c r="A2372" s="4" t="s">
        <v>148</v>
      </c>
      <c r="B2372" s="4" t="s">
        <v>566</v>
      </c>
    </row>
    <row r="2373" ht="15.75" customHeight="1">
      <c r="A2373" s="4" t="s">
        <v>85</v>
      </c>
      <c r="B2373" s="4" t="s">
        <v>566</v>
      </c>
    </row>
    <row r="2374" ht="15.75" customHeight="1">
      <c r="A2374" s="4" t="s">
        <v>78</v>
      </c>
      <c r="B2374" s="4" t="s">
        <v>566</v>
      </c>
    </row>
    <row r="2375" ht="15.75" customHeight="1">
      <c r="A2375" s="4" t="s">
        <v>86</v>
      </c>
      <c r="B2375" s="4" t="s">
        <v>566</v>
      </c>
    </row>
    <row r="2376" ht="15.75" customHeight="1">
      <c r="A2376" s="4" t="s">
        <v>113</v>
      </c>
      <c r="B2376" s="4" t="s">
        <v>566</v>
      </c>
    </row>
    <row r="2377" ht="15.75" customHeight="1">
      <c r="A2377" s="4" t="s">
        <v>199</v>
      </c>
      <c r="B2377" s="4" t="s">
        <v>566</v>
      </c>
    </row>
    <row r="2378" ht="15.75" customHeight="1">
      <c r="A2378" s="4" t="s">
        <v>63</v>
      </c>
      <c r="B2378" s="4" t="s">
        <v>567</v>
      </c>
    </row>
    <row r="2379" ht="15.75" customHeight="1">
      <c r="A2379" s="4" t="s">
        <v>134</v>
      </c>
      <c r="B2379" s="4" t="s">
        <v>567</v>
      </c>
    </row>
    <row r="2380" ht="15.75" customHeight="1">
      <c r="A2380" s="4" t="s">
        <v>71</v>
      </c>
      <c r="B2380" s="4" t="s">
        <v>567</v>
      </c>
    </row>
    <row r="2381" ht="15.75" customHeight="1">
      <c r="A2381" s="4" t="s">
        <v>116</v>
      </c>
      <c r="B2381" s="4" t="s">
        <v>567</v>
      </c>
    </row>
    <row r="2382" ht="15.75" customHeight="1">
      <c r="A2382" s="4" t="s">
        <v>131</v>
      </c>
      <c r="B2382" s="4" t="s">
        <v>567</v>
      </c>
    </row>
    <row r="2383" ht="15.75" customHeight="1">
      <c r="A2383" s="4" t="s">
        <v>118</v>
      </c>
      <c r="B2383" s="4" t="s">
        <v>567</v>
      </c>
    </row>
    <row r="2384" ht="15.75" customHeight="1">
      <c r="A2384" s="4" t="s">
        <v>226</v>
      </c>
      <c r="B2384" s="4" t="s">
        <v>568</v>
      </c>
    </row>
    <row r="2385" ht="15.75" customHeight="1">
      <c r="A2385" s="4" t="s">
        <v>109</v>
      </c>
      <c r="B2385" s="4" t="s">
        <v>568</v>
      </c>
    </row>
    <row r="2386" ht="15.75" customHeight="1">
      <c r="A2386" s="4" t="s">
        <v>178</v>
      </c>
      <c r="B2386" s="4" t="s">
        <v>568</v>
      </c>
    </row>
    <row r="2387" ht="15.75" customHeight="1">
      <c r="A2387" s="4" t="s">
        <v>110</v>
      </c>
      <c r="B2387" s="4" t="s">
        <v>568</v>
      </c>
    </row>
    <row r="2388" ht="15.75" customHeight="1">
      <c r="A2388" s="4" t="s">
        <v>196</v>
      </c>
      <c r="B2388" s="4" t="s">
        <v>568</v>
      </c>
    </row>
    <row r="2389" ht="15.75" customHeight="1">
      <c r="A2389" s="4" t="s">
        <v>107</v>
      </c>
      <c r="B2389" s="4" t="s">
        <v>568</v>
      </c>
    </row>
    <row r="2390" ht="15.75" customHeight="1">
      <c r="A2390" s="4" t="s">
        <v>159</v>
      </c>
      <c r="B2390" s="4" t="s">
        <v>569</v>
      </c>
    </row>
    <row r="2391" ht="15.75" customHeight="1">
      <c r="A2391" s="4" t="s">
        <v>134</v>
      </c>
      <c r="B2391" s="4" t="s">
        <v>569</v>
      </c>
    </row>
    <row r="2392" ht="15.75" customHeight="1">
      <c r="A2392" s="4" t="s">
        <v>175</v>
      </c>
      <c r="B2392" s="4" t="s">
        <v>569</v>
      </c>
    </row>
    <row r="2393" ht="15.75" customHeight="1">
      <c r="A2393" s="4" t="s">
        <v>184</v>
      </c>
      <c r="B2393" s="4" t="s">
        <v>569</v>
      </c>
    </row>
    <row r="2394" ht="15.75" customHeight="1">
      <c r="A2394" s="4" t="s">
        <v>117</v>
      </c>
      <c r="B2394" s="4" t="s">
        <v>569</v>
      </c>
    </row>
    <row r="2395" ht="15.75" customHeight="1">
      <c r="A2395" s="4" t="s">
        <v>88</v>
      </c>
      <c r="B2395" s="4" t="s">
        <v>569</v>
      </c>
    </row>
    <row r="2396" ht="15.75" customHeight="1">
      <c r="A2396" s="4" t="s">
        <v>63</v>
      </c>
      <c r="B2396" s="4" t="s">
        <v>570</v>
      </c>
    </row>
    <row r="2397" ht="15.75" customHeight="1">
      <c r="A2397" s="4" t="s">
        <v>97</v>
      </c>
      <c r="B2397" s="4" t="s">
        <v>570</v>
      </c>
    </row>
    <row r="2398" ht="15.75" customHeight="1">
      <c r="A2398" s="4" t="s">
        <v>104</v>
      </c>
      <c r="B2398" s="4" t="s">
        <v>570</v>
      </c>
    </row>
    <row r="2399" ht="15.75" customHeight="1">
      <c r="A2399" s="4" t="s">
        <v>65</v>
      </c>
      <c r="B2399" s="4" t="s">
        <v>570</v>
      </c>
    </row>
    <row r="2400" ht="15.75" customHeight="1">
      <c r="A2400" s="4" t="s">
        <v>208</v>
      </c>
      <c r="B2400" s="4" t="s">
        <v>570</v>
      </c>
    </row>
    <row r="2401" ht="15.75" customHeight="1">
      <c r="A2401" s="4" t="s">
        <v>154</v>
      </c>
      <c r="B2401" s="4" t="s">
        <v>570</v>
      </c>
    </row>
    <row r="2402" ht="15.75" customHeight="1">
      <c r="A2402" s="4" t="s">
        <v>61</v>
      </c>
      <c r="B2402" s="4" t="s">
        <v>571</v>
      </c>
    </row>
    <row r="2403" ht="15.75" customHeight="1">
      <c r="A2403" s="4" t="s">
        <v>137</v>
      </c>
      <c r="B2403" s="4" t="s">
        <v>571</v>
      </c>
    </row>
    <row r="2404" ht="15.75" customHeight="1">
      <c r="A2404" s="4" t="s">
        <v>71</v>
      </c>
      <c r="B2404" s="4" t="s">
        <v>571</v>
      </c>
    </row>
    <row r="2405" ht="15.75" customHeight="1">
      <c r="A2405" s="4" t="s">
        <v>176</v>
      </c>
      <c r="B2405" s="4" t="s">
        <v>571</v>
      </c>
    </row>
    <row r="2406" ht="15.75" customHeight="1">
      <c r="A2406" s="4" t="s">
        <v>126</v>
      </c>
      <c r="B2406" s="4" t="s">
        <v>571</v>
      </c>
    </row>
    <row r="2407" ht="15.75" customHeight="1">
      <c r="A2407" s="4" t="s">
        <v>107</v>
      </c>
      <c r="B2407" s="4" t="s">
        <v>571</v>
      </c>
    </row>
    <row r="2408" ht="15.75" customHeight="1">
      <c r="A2408" s="4" t="s">
        <v>70</v>
      </c>
      <c r="B2408" s="4" t="s">
        <v>572</v>
      </c>
    </row>
    <row r="2409" ht="15.75" customHeight="1">
      <c r="A2409" s="4" t="s">
        <v>198</v>
      </c>
      <c r="B2409" s="4" t="s">
        <v>572</v>
      </c>
    </row>
    <row r="2410" ht="15.75" customHeight="1">
      <c r="A2410" s="4" t="s">
        <v>85</v>
      </c>
      <c r="B2410" s="4" t="s">
        <v>572</v>
      </c>
    </row>
    <row r="2411" ht="15.75" customHeight="1">
      <c r="A2411" s="4" t="s">
        <v>207</v>
      </c>
      <c r="B2411" s="4" t="s">
        <v>572</v>
      </c>
    </row>
    <row r="2412" ht="15.75" customHeight="1">
      <c r="A2412" s="4" t="s">
        <v>117</v>
      </c>
      <c r="B2412" s="4" t="s">
        <v>572</v>
      </c>
    </row>
    <row r="2413" ht="15.75" customHeight="1">
      <c r="A2413" s="4" t="s">
        <v>67</v>
      </c>
      <c r="B2413" s="4" t="s">
        <v>572</v>
      </c>
    </row>
    <row r="2414" ht="15.75" customHeight="1">
      <c r="A2414" s="4" t="s">
        <v>97</v>
      </c>
      <c r="B2414" s="4" t="s">
        <v>573</v>
      </c>
    </row>
    <row r="2415" ht="15.75" customHeight="1">
      <c r="A2415" s="4" t="s">
        <v>64</v>
      </c>
      <c r="B2415" s="4" t="s">
        <v>573</v>
      </c>
    </row>
    <row r="2416" ht="15.75" customHeight="1">
      <c r="A2416" s="4" t="s">
        <v>77</v>
      </c>
      <c r="B2416" s="4" t="s">
        <v>573</v>
      </c>
    </row>
    <row r="2417" ht="15.75" customHeight="1">
      <c r="A2417" s="4" t="s">
        <v>79</v>
      </c>
      <c r="B2417" s="4" t="s">
        <v>573</v>
      </c>
    </row>
    <row r="2418" ht="15.75" customHeight="1">
      <c r="A2418" s="4" t="s">
        <v>66</v>
      </c>
      <c r="B2418" s="4" t="s">
        <v>573</v>
      </c>
    </row>
    <row r="2419" ht="15.75" customHeight="1">
      <c r="A2419" s="4" t="s">
        <v>81</v>
      </c>
      <c r="B2419" s="4" t="s">
        <v>573</v>
      </c>
    </row>
    <row r="2420" ht="15.75" customHeight="1">
      <c r="A2420" s="4" t="s">
        <v>68</v>
      </c>
      <c r="B2420" s="4" t="s">
        <v>574</v>
      </c>
    </row>
    <row r="2421" ht="15.75" customHeight="1">
      <c r="A2421" s="4" t="s">
        <v>148</v>
      </c>
      <c r="B2421" s="4" t="s">
        <v>574</v>
      </c>
    </row>
    <row r="2422" ht="15.75" customHeight="1">
      <c r="A2422" s="4" t="s">
        <v>84</v>
      </c>
      <c r="B2422" s="4" t="s">
        <v>574</v>
      </c>
    </row>
    <row r="2423" ht="15.75" customHeight="1">
      <c r="A2423" s="4" t="s">
        <v>72</v>
      </c>
      <c r="B2423" s="4" t="s">
        <v>574</v>
      </c>
    </row>
    <row r="2424" ht="15.75" customHeight="1">
      <c r="A2424" s="4" t="s">
        <v>73</v>
      </c>
      <c r="B2424" s="4" t="s">
        <v>574</v>
      </c>
    </row>
    <row r="2425" ht="15.75" customHeight="1">
      <c r="A2425" s="4" t="s">
        <v>241</v>
      </c>
      <c r="B2425" s="4" t="s">
        <v>574</v>
      </c>
    </row>
    <row r="2426" ht="15.75" customHeight="1">
      <c r="A2426" s="4" t="s">
        <v>89</v>
      </c>
      <c r="B2426" s="4" t="s">
        <v>575</v>
      </c>
    </row>
    <row r="2427" ht="15.75" customHeight="1">
      <c r="A2427" s="4" t="s">
        <v>92</v>
      </c>
      <c r="B2427" s="4" t="s">
        <v>575</v>
      </c>
    </row>
    <row r="2428" ht="15.75" customHeight="1">
      <c r="A2428" s="4" t="s">
        <v>178</v>
      </c>
      <c r="B2428" s="4" t="s">
        <v>575</v>
      </c>
    </row>
    <row r="2429" ht="15.75" customHeight="1">
      <c r="A2429" s="4" t="s">
        <v>240</v>
      </c>
      <c r="B2429" s="4" t="s">
        <v>575</v>
      </c>
    </row>
    <row r="2430" ht="15.75" customHeight="1">
      <c r="A2430" s="4" t="s">
        <v>73</v>
      </c>
      <c r="B2430" s="4" t="s">
        <v>575</v>
      </c>
    </row>
    <row r="2431" ht="15.75" customHeight="1">
      <c r="A2431" s="4" t="s">
        <v>241</v>
      </c>
      <c r="B2431" s="4" t="s">
        <v>575</v>
      </c>
    </row>
    <row r="2432" ht="15.75" customHeight="1">
      <c r="A2432" s="4" t="s">
        <v>89</v>
      </c>
      <c r="B2432" s="4" t="s">
        <v>576</v>
      </c>
    </row>
    <row r="2433" ht="15.75" customHeight="1">
      <c r="A2433" s="4" t="s">
        <v>194</v>
      </c>
      <c r="B2433" s="4" t="s">
        <v>576</v>
      </c>
    </row>
    <row r="2434" ht="15.75" customHeight="1">
      <c r="A2434" s="4" t="s">
        <v>178</v>
      </c>
      <c r="B2434" s="4" t="s">
        <v>576</v>
      </c>
    </row>
    <row r="2435" ht="15.75" customHeight="1">
      <c r="A2435" s="4" t="s">
        <v>110</v>
      </c>
      <c r="B2435" s="4" t="s">
        <v>576</v>
      </c>
    </row>
    <row r="2436" ht="15.75" customHeight="1">
      <c r="A2436" s="4" t="s">
        <v>162</v>
      </c>
      <c r="B2436" s="4" t="s">
        <v>576</v>
      </c>
    </row>
    <row r="2437" ht="15.75" customHeight="1">
      <c r="A2437" s="4" t="s">
        <v>107</v>
      </c>
      <c r="B2437" s="4" t="s">
        <v>576</v>
      </c>
    </row>
    <row r="2438" ht="15.75" customHeight="1">
      <c r="A2438" s="4" t="s">
        <v>132</v>
      </c>
      <c r="B2438" s="4" t="s">
        <v>577</v>
      </c>
    </row>
    <row r="2439" ht="15.75" customHeight="1">
      <c r="A2439" s="4" t="s">
        <v>97</v>
      </c>
      <c r="B2439" s="4" t="s">
        <v>577</v>
      </c>
    </row>
    <row r="2440" ht="15.75" customHeight="1">
      <c r="A2440" s="4" t="s">
        <v>104</v>
      </c>
      <c r="B2440" s="4" t="s">
        <v>577</v>
      </c>
    </row>
    <row r="2441" ht="15.75" customHeight="1">
      <c r="A2441" s="4" t="s">
        <v>123</v>
      </c>
      <c r="B2441" s="4" t="s">
        <v>577</v>
      </c>
    </row>
    <row r="2442" ht="15.75" customHeight="1">
      <c r="A2442" s="4" t="s">
        <v>106</v>
      </c>
      <c r="B2442" s="4" t="s">
        <v>577</v>
      </c>
    </row>
    <row r="2443" ht="15.75" customHeight="1">
      <c r="A2443" s="4" t="s">
        <v>111</v>
      </c>
      <c r="B2443" s="4" t="s">
        <v>577</v>
      </c>
    </row>
    <row r="2444" ht="15.75" customHeight="1">
      <c r="A2444" s="4" t="s">
        <v>75</v>
      </c>
      <c r="B2444" s="4" t="s">
        <v>578</v>
      </c>
    </row>
    <row r="2445" ht="15.75" customHeight="1">
      <c r="A2445" s="4" t="s">
        <v>156</v>
      </c>
      <c r="B2445" s="4" t="s">
        <v>578</v>
      </c>
    </row>
    <row r="2446" ht="15.75" customHeight="1">
      <c r="A2446" s="4" t="s">
        <v>98</v>
      </c>
      <c r="B2446" s="4" t="s">
        <v>578</v>
      </c>
    </row>
    <row r="2447" ht="15.75" customHeight="1">
      <c r="A2447" s="4" t="s">
        <v>157</v>
      </c>
      <c r="B2447" s="4" t="s">
        <v>578</v>
      </c>
    </row>
    <row r="2448" ht="15.75" customHeight="1">
      <c r="A2448" s="4" t="s">
        <v>150</v>
      </c>
      <c r="B2448" s="4" t="s">
        <v>578</v>
      </c>
    </row>
    <row r="2449" ht="15.75" customHeight="1">
      <c r="A2449" s="4" t="s">
        <v>158</v>
      </c>
      <c r="B2449" s="4" t="s">
        <v>578</v>
      </c>
    </row>
    <row r="2450" ht="15.75" customHeight="1">
      <c r="A2450" s="4" t="s">
        <v>82</v>
      </c>
      <c r="B2450" s="4" t="s">
        <v>579</v>
      </c>
    </row>
    <row r="2451" ht="15.75" customHeight="1">
      <c r="A2451" s="4" t="s">
        <v>84</v>
      </c>
      <c r="B2451" s="4" t="s">
        <v>579</v>
      </c>
    </row>
    <row r="2452" ht="15.75" customHeight="1">
      <c r="A2452" s="4" t="s">
        <v>85</v>
      </c>
      <c r="B2452" s="4" t="s">
        <v>579</v>
      </c>
    </row>
    <row r="2453" ht="15.75" customHeight="1">
      <c r="A2453" s="4" t="s">
        <v>135</v>
      </c>
      <c r="B2453" s="4" t="s">
        <v>579</v>
      </c>
    </row>
    <row r="2454" ht="15.75" customHeight="1">
      <c r="A2454" s="4" t="s">
        <v>196</v>
      </c>
      <c r="B2454" s="4" t="s">
        <v>579</v>
      </c>
    </row>
    <row r="2455" ht="15.75" customHeight="1">
      <c r="A2455" s="4" t="s">
        <v>212</v>
      </c>
      <c r="B2455" s="4" t="s">
        <v>579</v>
      </c>
    </row>
    <row r="2456" ht="15.75" customHeight="1">
      <c r="A2456" s="4" t="s">
        <v>190</v>
      </c>
      <c r="B2456" s="4" t="s">
        <v>580</v>
      </c>
    </row>
    <row r="2457" ht="15.75" customHeight="1">
      <c r="A2457" s="4" t="s">
        <v>153</v>
      </c>
      <c r="B2457" s="4" t="s">
        <v>580</v>
      </c>
    </row>
    <row r="2458" ht="15.75" customHeight="1">
      <c r="A2458" s="4" t="s">
        <v>104</v>
      </c>
      <c r="B2458" s="4" t="s">
        <v>580</v>
      </c>
    </row>
    <row r="2459" ht="15.75" customHeight="1">
      <c r="A2459" s="4" t="s">
        <v>189</v>
      </c>
      <c r="B2459" s="4" t="s">
        <v>580</v>
      </c>
    </row>
    <row r="2460" ht="15.75" customHeight="1">
      <c r="A2460" s="4" t="s">
        <v>142</v>
      </c>
      <c r="B2460" s="4" t="s">
        <v>580</v>
      </c>
    </row>
    <row r="2461" ht="15.75" customHeight="1">
      <c r="A2461" s="4" t="s">
        <v>185</v>
      </c>
      <c r="B2461" s="4" t="s">
        <v>580</v>
      </c>
    </row>
    <row r="2462" ht="15.75" customHeight="1">
      <c r="A2462" s="4" t="s">
        <v>226</v>
      </c>
      <c r="B2462" s="4" t="s">
        <v>581</v>
      </c>
    </row>
    <row r="2463" ht="15.75" customHeight="1">
      <c r="A2463" s="4" t="s">
        <v>153</v>
      </c>
      <c r="B2463" s="4" t="s">
        <v>581</v>
      </c>
    </row>
    <row r="2464" ht="15.75" customHeight="1">
      <c r="A2464" s="4" t="s">
        <v>178</v>
      </c>
      <c r="B2464" s="4" t="s">
        <v>581</v>
      </c>
    </row>
    <row r="2465" ht="15.75" customHeight="1">
      <c r="A2465" s="4" t="s">
        <v>86</v>
      </c>
      <c r="B2465" s="4" t="s">
        <v>581</v>
      </c>
    </row>
    <row r="2466" ht="15.75" customHeight="1">
      <c r="A2466" s="4" t="s">
        <v>113</v>
      </c>
      <c r="B2466" s="4" t="s">
        <v>581</v>
      </c>
    </row>
    <row r="2467" ht="15.75" customHeight="1">
      <c r="A2467" s="4" t="s">
        <v>185</v>
      </c>
      <c r="B2467" s="4" t="s">
        <v>581</v>
      </c>
    </row>
    <row r="2468" ht="15.75" customHeight="1">
      <c r="A2468" s="4" t="s">
        <v>82</v>
      </c>
      <c r="B2468" s="4" t="s">
        <v>582</v>
      </c>
    </row>
    <row r="2469" ht="15.75" customHeight="1">
      <c r="A2469" s="4" t="s">
        <v>98</v>
      </c>
      <c r="B2469" s="4" t="s">
        <v>582</v>
      </c>
    </row>
    <row r="2470" ht="15.75" customHeight="1">
      <c r="A2470" s="4" t="s">
        <v>77</v>
      </c>
      <c r="B2470" s="4" t="s">
        <v>582</v>
      </c>
    </row>
    <row r="2471" ht="15.75" customHeight="1">
      <c r="A2471" s="4" t="s">
        <v>99</v>
      </c>
      <c r="B2471" s="4" t="s">
        <v>582</v>
      </c>
    </row>
    <row r="2472" ht="15.75" customHeight="1">
      <c r="A2472" s="4" t="s">
        <v>131</v>
      </c>
      <c r="B2472" s="4" t="s">
        <v>582</v>
      </c>
    </row>
    <row r="2473" ht="15.75" customHeight="1">
      <c r="A2473" s="4" t="s">
        <v>94</v>
      </c>
      <c r="B2473" s="4" t="s">
        <v>582</v>
      </c>
    </row>
    <row r="2474" ht="15.75" customHeight="1">
      <c r="A2474" s="4" t="s">
        <v>148</v>
      </c>
      <c r="B2474" s="4" t="s">
        <v>583</v>
      </c>
    </row>
    <row r="2475" ht="15.75" customHeight="1">
      <c r="A2475" s="4" t="s">
        <v>98</v>
      </c>
      <c r="B2475" s="4" t="s">
        <v>583</v>
      </c>
    </row>
    <row r="2476" ht="15.75" customHeight="1">
      <c r="A2476" s="4" t="s">
        <v>122</v>
      </c>
      <c r="B2476" s="4" t="s">
        <v>583</v>
      </c>
    </row>
    <row r="2477" ht="15.75" customHeight="1">
      <c r="A2477" s="4" t="s">
        <v>123</v>
      </c>
      <c r="B2477" s="4" t="s">
        <v>583</v>
      </c>
    </row>
    <row r="2478" ht="15.75" customHeight="1">
      <c r="A2478" s="4" t="s">
        <v>181</v>
      </c>
      <c r="B2478" s="4" t="s">
        <v>583</v>
      </c>
    </row>
    <row r="2479" ht="15.75" customHeight="1">
      <c r="A2479" s="4" t="s">
        <v>111</v>
      </c>
      <c r="B2479" s="4" t="s">
        <v>583</v>
      </c>
    </row>
    <row r="2480" ht="15.75" customHeight="1">
      <c r="A2480" s="4" t="s">
        <v>114</v>
      </c>
      <c r="B2480" s="4" t="s">
        <v>584</v>
      </c>
    </row>
    <row r="2481" ht="15.75" customHeight="1">
      <c r="A2481" s="4" t="s">
        <v>75</v>
      </c>
      <c r="B2481" s="4" t="s">
        <v>584</v>
      </c>
    </row>
    <row r="2482" ht="15.75" customHeight="1">
      <c r="A2482" s="4" t="s">
        <v>98</v>
      </c>
      <c r="B2482" s="4" t="s">
        <v>584</v>
      </c>
    </row>
    <row r="2483" ht="15.75" customHeight="1">
      <c r="A2483" s="4" t="s">
        <v>79</v>
      </c>
      <c r="B2483" s="4" t="s">
        <v>584</v>
      </c>
    </row>
    <row r="2484" ht="15.75" customHeight="1">
      <c r="A2484" s="4" t="s">
        <v>73</v>
      </c>
      <c r="B2484" s="4" t="s">
        <v>584</v>
      </c>
    </row>
    <row r="2485" ht="15.75" customHeight="1">
      <c r="A2485" s="4" t="s">
        <v>94</v>
      </c>
      <c r="B2485" s="4" t="s">
        <v>584</v>
      </c>
    </row>
    <row r="2486" ht="15.75" customHeight="1">
      <c r="A2486" s="4" t="s">
        <v>137</v>
      </c>
      <c r="B2486" s="4" t="s">
        <v>585</v>
      </c>
    </row>
    <row r="2487" ht="15.75" customHeight="1">
      <c r="A2487" s="4" t="s">
        <v>161</v>
      </c>
      <c r="B2487" s="4" t="s">
        <v>585</v>
      </c>
    </row>
    <row r="2488" ht="15.75" customHeight="1">
      <c r="A2488" s="4" t="s">
        <v>141</v>
      </c>
      <c r="B2488" s="4" t="s">
        <v>585</v>
      </c>
    </row>
    <row r="2489" ht="15.75" customHeight="1">
      <c r="A2489" s="4" t="s">
        <v>211</v>
      </c>
      <c r="B2489" s="4" t="s">
        <v>585</v>
      </c>
    </row>
    <row r="2490" ht="15.75" customHeight="1">
      <c r="A2490" s="4" t="s">
        <v>181</v>
      </c>
      <c r="B2490" s="4" t="s">
        <v>585</v>
      </c>
    </row>
    <row r="2491" ht="15.75" customHeight="1">
      <c r="A2491" s="4" t="s">
        <v>139</v>
      </c>
      <c r="B2491" s="4" t="s">
        <v>585</v>
      </c>
    </row>
    <row r="2492" ht="15.75" customHeight="1">
      <c r="A2492" s="4" t="s">
        <v>100</v>
      </c>
      <c r="B2492" s="4" t="s">
        <v>586</v>
      </c>
    </row>
    <row r="2493" ht="15.75" customHeight="1">
      <c r="A2493" s="4" t="s">
        <v>159</v>
      </c>
      <c r="B2493" s="4" t="s">
        <v>586</v>
      </c>
    </row>
    <row r="2494" ht="15.75" customHeight="1">
      <c r="A2494" s="4" t="s">
        <v>78</v>
      </c>
      <c r="B2494" s="4" t="s">
        <v>586</v>
      </c>
    </row>
    <row r="2495" ht="15.75" customHeight="1">
      <c r="A2495" s="4" t="s">
        <v>184</v>
      </c>
      <c r="B2495" s="4" t="s">
        <v>586</v>
      </c>
    </row>
    <row r="2496" ht="15.75" customHeight="1">
      <c r="A2496" s="4" t="s">
        <v>73</v>
      </c>
      <c r="B2496" s="4" t="s">
        <v>586</v>
      </c>
    </row>
    <row r="2497" ht="15.75" customHeight="1">
      <c r="A2497" s="4" t="s">
        <v>88</v>
      </c>
      <c r="B2497" s="4" t="s">
        <v>586</v>
      </c>
    </row>
    <row r="2498" ht="15.75" customHeight="1">
      <c r="A2498" s="4" t="s">
        <v>75</v>
      </c>
      <c r="B2498" s="4" t="s">
        <v>587</v>
      </c>
    </row>
    <row r="2499" ht="15.75" customHeight="1">
      <c r="A2499" s="4" t="s">
        <v>153</v>
      </c>
      <c r="B2499" s="4" t="s">
        <v>587</v>
      </c>
    </row>
    <row r="2500" ht="15.75" customHeight="1">
      <c r="A2500" s="4" t="s">
        <v>104</v>
      </c>
      <c r="B2500" s="4" t="s">
        <v>587</v>
      </c>
    </row>
    <row r="2501" ht="15.75" customHeight="1">
      <c r="A2501" s="4" t="s">
        <v>166</v>
      </c>
      <c r="B2501" s="4" t="s">
        <v>587</v>
      </c>
    </row>
    <row r="2502" ht="15.75" customHeight="1">
      <c r="A2502" s="4" t="s">
        <v>124</v>
      </c>
      <c r="B2502" s="4" t="s">
        <v>587</v>
      </c>
    </row>
    <row r="2503" ht="15.75" customHeight="1">
      <c r="A2503" s="4" t="s">
        <v>220</v>
      </c>
      <c r="B2503" s="4" t="s">
        <v>587</v>
      </c>
    </row>
    <row r="2504" ht="15.75" customHeight="1">
      <c r="A2504" s="4" t="s">
        <v>61</v>
      </c>
      <c r="B2504" s="4" t="s">
        <v>588</v>
      </c>
    </row>
    <row r="2505" ht="15.75" customHeight="1">
      <c r="A2505" s="4" t="s">
        <v>63</v>
      </c>
      <c r="B2505" s="4" t="s">
        <v>588</v>
      </c>
    </row>
    <row r="2506" ht="15.75" customHeight="1">
      <c r="A2506" s="4" t="s">
        <v>215</v>
      </c>
      <c r="B2506" s="4" t="s">
        <v>588</v>
      </c>
    </row>
    <row r="2507" ht="15.75" customHeight="1">
      <c r="A2507" s="4" t="s">
        <v>110</v>
      </c>
      <c r="B2507" s="4" t="s">
        <v>588</v>
      </c>
    </row>
    <row r="2508" ht="15.75" customHeight="1">
      <c r="A2508" s="4" t="s">
        <v>196</v>
      </c>
      <c r="B2508" s="4" t="s">
        <v>588</v>
      </c>
    </row>
    <row r="2509" ht="15.75" customHeight="1">
      <c r="A2509" s="4" t="s">
        <v>145</v>
      </c>
      <c r="B2509" s="4" t="s">
        <v>588</v>
      </c>
    </row>
    <row r="2510" ht="15.75" customHeight="1">
      <c r="A2510" s="4" t="s">
        <v>159</v>
      </c>
      <c r="B2510" s="4" t="s">
        <v>589</v>
      </c>
    </row>
    <row r="2511" ht="15.75" customHeight="1">
      <c r="A2511" s="4" t="s">
        <v>134</v>
      </c>
      <c r="B2511" s="4" t="s">
        <v>589</v>
      </c>
    </row>
    <row r="2512" ht="15.75" customHeight="1">
      <c r="A2512" s="4" t="s">
        <v>175</v>
      </c>
      <c r="B2512" s="4" t="s">
        <v>589</v>
      </c>
    </row>
    <row r="2513" ht="15.75" customHeight="1">
      <c r="A2513" s="4" t="s">
        <v>207</v>
      </c>
      <c r="B2513" s="4" t="s">
        <v>589</v>
      </c>
    </row>
    <row r="2514" ht="15.75" customHeight="1">
      <c r="A2514" s="4" t="s">
        <v>142</v>
      </c>
      <c r="B2514" s="4" t="s">
        <v>589</v>
      </c>
    </row>
    <row r="2515" ht="15.75" customHeight="1">
      <c r="A2515" s="4" t="s">
        <v>88</v>
      </c>
      <c r="B2515" s="4" t="s">
        <v>589</v>
      </c>
    </row>
    <row r="2516" ht="15.75" customHeight="1">
      <c r="A2516" s="4" t="s">
        <v>132</v>
      </c>
      <c r="B2516" s="4" t="s">
        <v>590</v>
      </c>
    </row>
    <row r="2517" ht="15.75" customHeight="1">
      <c r="A2517" s="4" t="s">
        <v>134</v>
      </c>
      <c r="B2517" s="4" t="s">
        <v>590</v>
      </c>
    </row>
    <row r="2518" ht="15.75" customHeight="1">
      <c r="A2518" s="4" t="s">
        <v>178</v>
      </c>
      <c r="B2518" s="4" t="s">
        <v>590</v>
      </c>
    </row>
    <row r="2519" ht="15.75" customHeight="1">
      <c r="A2519" s="4" t="s">
        <v>123</v>
      </c>
      <c r="B2519" s="4" t="s">
        <v>590</v>
      </c>
    </row>
    <row r="2520" ht="15.75" customHeight="1">
      <c r="A2520" s="4" t="s">
        <v>222</v>
      </c>
      <c r="B2520" s="4" t="s">
        <v>590</v>
      </c>
    </row>
    <row r="2521" ht="15.75" customHeight="1">
      <c r="A2521" s="4" t="s">
        <v>145</v>
      </c>
      <c r="B2521" s="4" t="s">
        <v>590</v>
      </c>
    </row>
    <row r="2522" ht="15.75" customHeight="1">
      <c r="A2522" s="4" t="s">
        <v>169</v>
      </c>
      <c r="B2522" s="4" t="s">
        <v>591</v>
      </c>
    </row>
    <row r="2523" ht="15.75" customHeight="1">
      <c r="A2523" s="4" t="s">
        <v>156</v>
      </c>
      <c r="B2523" s="4" t="s">
        <v>591</v>
      </c>
    </row>
    <row r="2524" ht="15.75" customHeight="1">
      <c r="A2524" s="4" t="s">
        <v>170</v>
      </c>
      <c r="B2524" s="4" t="s">
        <v>591</v>
      </c>
    </row>
    <row r="2525" ht="15.75" customHeight="1">
      <c r="A2525" s="4" t="s">
        <v>157</v>
      </c>
      <c r="B2525" s="4" t="s">
        <v>591</v>
      </c>
    </row>
    <row r="2526" ht="15.75" customHeight="1">
      <c r="A2526" s="4" t="s">
        <v>187</v>
      </c>
      <c r="B2526" s="4" t="s">
        <v>591</v>
      </c>
    </row>
    <row r="2527" ht="15.75" customHeight="1">
      <c r="A2527" s="4" t="s">
        <v>111</v>
      </c>
      <c r="B2527" s="4" t="s">
        <v>591</v>
      </c>
    </row>
    <row r="2528" ht="15.75" customHeight="1">
      <c r="A2528" s="4" t="s">
        <v>143</v>
      </c>
      <c r="B2528" s="4" t="s">
        <v>592</v>
      </c>
    </row>
    <row r="2529" ht="15.75" customHeight="1">
      <c r="A2529" s="4" t="s">
        <v>95</v>
      </c>
      <c r="B2529" s="4" t="s">
        <v>592</v>
      </c>
    </row>
    <row r="2530" ht="15.75" customHeight="1">
      <c r="A2530" s="4" t="s">
        <v>71</v>
      </c>
      <c r="B2530" s="4" t="s">
        <v>592</v>
      </c>
    </row>
    <row r="2531" ht="15.75" customHeight="1">
      <c r="A2531" s="4" t="s">
        <v>99</v>
      </c>
      <c r="B2531" s="4" t="s">
        <v>592</v>
      </c>
    </row>
    <row r="2532" ht="15.75" customHeight="1">
      <c r="A2532" s="4" t="s">
        <v>73</v>
      </c>
      <c r="B2532" s="4" t="s">
        <v>592</v>
      </c>
    </row>
    <row r="2533" ht="15.75" customHeight="1">
      <c r="A2533" s="4" t="s">
        <v>74</v>
      </c>
      <c r="B2533" s="4" t="s">
        <v>592</v>
      </c>
    </row>
    <row r="2534" ht="15.75" customHeight="1">
      <c r="A2534" s="4" t="s">
        <v>134</v>
      </c>
      <c r="B2534" s="4" t="s">
        <v>593</v>
      </c>
    </row>
    <row r="2535" ht="15.75" customHeight="1">
      <c r="A2535" s="4" t="s">
        <v>77</v>
      </c>
      <c r="B2535" s="4" t="s">
        <v>593</v>
      </c>
    </row>
    <row r="2536" ht="15.75" customHeight="1">
      <c r="A2536" s="4" t="s">
        <v>170</v>
      </c>
      <c r="B2536" s="4" t="s">
        <v>593</v>
      </c>
    </row>
    <row r="2537" ht="15.75" customHeight="1">
      <c r="A2537" s="4" t="s">
        <v>72</v>
      </c>
      <c r="B2537" s="4" t="s">
        <v>593</v>
      </c>
    </row>
    <row r="2538" ht="15.75" customHeight="1">
      <c r="A2538" s="4" t="s">
        <v>208</v>
      </c>
      <c r="B2538" s="4" t="s">
        <v>593</v>
      </c>
    </row>
    <row r="2539" ht="15.75" customHeight="1">
      <c r="A2539" s="4" t="s">
        <v>74</v>
      </c>
      <c r="B2539" s="4" t="s">
        <v>593</v>
      </c>
    </row>
    <row r="2540" ht="15.75" customHeight="1">
      <c r="A2540" s="4" t="s">
        <v>82</v>
      </c>
      <c r="B2540" s="4" t="s">
        <v>594</v>
      </c>
    </row>
    <row r="2541" ht="15.75" customHeight="1">
      <c r="A2541" s="4" t="s">
        <v>109</v>
      </c>
      <c r="B2541" s="4" t="s">
        <v>594</v>
      </c>
    </row>
    <row r="2542" ht="15.75" customHeight="1">
      <c r="A2542" s="4" t="s">
        <v>141</v>
      </c>
      <c r="B2542" s="4" t="s">
        <v>594</v>
      </c>
    </row>
    <row r="2543" ht="15.75" customHeight="1">
      <c r="A2543" s="4" t="s">
        <v>110</v>
      </c>
      <c r="B2543" s="4" t="s">
        <v>594</v>
      </c>
    </row>
    <row r="2544" ht="15.75" customHeight="1">
      <c r="A2544" s="4" t="s">
        <v>126</v>
      </c>
      <c r="B2544" s="4" t="s">
        <v>594</v>
      </c>
    </row>
    <row r="2545" ht="15.75" customHeight="1">
      <c r="A2545" s="4" t="s">
        <v>145</v>
      </c>
      <c r="B2545" s="4" t="s">
        <v>594</v>
      </c>
    </row>
    <row r="2546" ht="15.75" customHeight="1">
      <c r="A2546" s="4" t="s">
        <v>190</v>
      </c>
      <c r="B2546" s="4" t="s">
        <v>595</v>
      </c>
    </row>
    <row r="2547" ht="15.75" customHeight="1">
      <c r="A2547" s="4" t="s">
        <v>77</v>
      </c>
      <c r="B2547" s="4" t="s">
        <v>595</v>
      </c>
    </row>
    <row r="2548" ht="15.75" customHeight="1">
      <c r="A2548" s="4" t="s">
        <v>120</v>
      </c>
      <c r="B2548" s="4" t="s">
        <v>595</v>
      </c>
    </row>
    <row r="2549" ht="15.75" customHeight="1">
      <c r="A2549" s="4" t="s">
        <v>116</v>
      </c>
      <c r="B2549" s="4" t="s">
        <v>595</v>
      </c>
    </row>
    <row r="2550" ht="15.75" customHeight="1">
      <c r="A2550" s="4" t="s">
        <v>117</v>
      </c>
      <c r="B2550" s="4" t="s">
        <v>595</v>
      </c>
    </row>
    <row r="2551" ht="15.75" customHeight="1">
      <c r="A2551" s="4" t="s">
        <v>154</v>
      </c>
      <c r="B2551" s="4" t="s">
        <v>595</v>
      </c>
    </row>
    <row r="2552" ht="15.75" customHeight="1">
      <c r="A2552" s="4" t="s">
        <v>70</v>
      </c>
      <c r="B2552" s="4" t="s">
        <v>596</v>
      </c>
    </row>
    <row r="2553" ht="15.75" customHeight="1">
      <c r="A2553" s="4" t="s">
        <v>194</v>
      </c>
      <c r="B2553" s="4" t="s">
        <v>596</v>
      </c>
    </row>
    <row r="2554" ht="15.75" customHeight="1">
      <c r="A2554" s="4" t="s">
        <v>71</v>
      </c>
      <c r="B2554" s="4" t="s">
        <v>596</v>
      </c>
    </row>
    <row r="2555" ht="15.75" customHeight="1">
      <c r="A2555" s="4" t="s">
        <v>207</v>
      </c>
      <c r="B2555" s="4" t="s">
        <v>596</v>
      </c>
    </row>
    <row r="2556" ht="15.75" customHeight="1">
      <c r="A2556" s="4" t="s">
        <v>131</v>
      </c>
      <c r="B2556" s="4" t="s">
        <v>596</v>
      </c>
    </row>
    <row r="2557" ht="15.75" customHeight="1">
      <c r="A2557" s="4" t="s">
        <v>154</v>
      </c>
      <c r="B2557" s="4" t="s">
        <v>596</v>
      </c>
    </row>
    <row r="2558" ht="15.75" customHeight="1">
      <c r="A2558" s="4" t="s">
        <v>169</v>
      </c>
      <c r="B2558" s="4" t="s">
        <v>597</v>
      </c>
    </row>
    <row r="2559" ht="15.75" customHeight="1">
      <c r="A2559" s="4" t="s">
        <v>122</v>
      </c>
      <c r="B2559" s="4" t="s">
        <v>597</v>
      </c>
    </row>
    <row r="2560" ht="15.75" customHeight="1">
      <c r="A2560" s="4" t="s">
        <v>170</v>
      </c>
      <c r="B2560" s="4" t="s">
        <v>597</v>
      </c>
    </row>
    <row r="2561" ht="15.75" customHeight="1">
      <c r="A2561" s="4" t="s">
        <v>166</v>
      </c>
      <c r="B2561" s="4" t="s">
        <v>597</v>
      </c>
    </row>
    <row r="2562" ht="15.75" customHeight="1">
      <c r="A2562" s="4" t="s">
        <v>126</v>
      </c>
      <c r="B2562" s="4" t="s">
        <v>597</v>
      </c>
    </row>
    <row r="2563" ht="15.75" customHeight="1">
      <c r="A2563" s="4" t="s">
        <v>212</v>
      </c>
      <c r="B2563" s="4" t="s">
        <v>597</v>
      </c>
    </row>
    <row r="2564" ht="15.75" customHeight="1">
      <c r="A2564" s="4" t="s">
        <v>169</v>
      </c>
      <c r="B2564" s="4" t="s">
        <v>598</v>
      </c>
    </row>
    <row r="2565" ht="15.75" customHeight="1">
      <c r="A2565" s="4" t="s">
        <v>156</v>
      </c>
      <c r="B2565" s="4" t="s">
        <v>598</v>
      </c>
    </row>
    <row r="2566" ht="15.75" customHeight="1">
      <c r="A2566" s="4" t="s">
        <v>78</v>
      </c>
      <c r="B2566" s="4" t="s">
        <v>598</v>
      </c>
    </row>
    <row r="2567" ht="15.75" customHeight="1">
      <c r="A2567" s="4" t="s">
        <v>211</v>
      </c>
      <c r="B2567" s="4" t="s">
        <v>598</v>
      </c>
    </row>
    <row r="2568" ht="15.75" customHeight="1">
      <c r="A2568" s="4" t="s">
        <v>181</v>
      </c>
      <c r="B2568" s="4" t="s">
        <v>598</v>
      </c>
    </row>
    <row r="2569" ht="15.75" customHeight="1">
      <c r="A2569" s="4" t="s">
        <v>220</v>
      </c>
      <c r="B2569" s="4" t="s">
        <v>598</v>
      </c>
    </row>
    <row r="2570" ht="15.75" customHeight="1">
      <c r="A2570" s="4" t="s">
        <v>61</v>
      </c>
      <c r="B2570" s="4" t="s">
        <v>599</v>
      </c>
    </row>
    <row r="2571" ht="15.75" customHeight="1">
      <c r="A2571" s="4" t="s">
        <v>156</v>
      </c>
      <c r="B2571" s="4" t="s">
        <v>599</v>
      </c>
    </row>
    <row r="2572" ht="15.75" customHeight="1">
      <c r="A2572" s="4" t="s">
        <v>175</v>
      </c>
      <c r="B2572" s="4" t="s">
        <v>599</v>
      </c>
    </row>
    <row r="2573" ht="15.75" customHeight="1">
      <c r="A2573" s="4" t="s">
        <v>189</v>
      </c>
      <c r="B2573" s="4" t="s">
        <v>599</v>
      </c>
    </row>
    <row r="2574" ht="15.75" customHeight="1">
      <c r="A2574" s="4" t="s">
        <v>87</v>
      </c>
      <c r="B2574" s="4" t="s">
        <v>599</v>
      </c>
    </row>
    <row r="2575" ht="15.75" customHeight="1">
      <c r="A2575" s="4" t="s">
        <v>199</v>
      </c>
      <c r="B2575" s="4" t="s">
        <v>599</v>
      </c>
    </row>
    <row r="2576" ht="15.75" customHeight="1">
      <c r="A2576" s="4" t="s">
        <v>63</v>
      </c>
      <c r="B2576" s="4" t="s">
        <v>600</v>
      </c>
    </row>
    <row r="2577" ht="15.75" customHeight="1">
      <c r="A2577" s="4" t="s">
        <v>100</v>
      </c>
      <c r="B2577" s="4" t="s">
        <v>600</v>
      </c>
    </row>
    <row r="2578" ht="15.75" customHeight="1">
      <c r="A2578" s="4" t="s">
        <v>64</v>
      </c>
      <c r="B2578" s="4" t="s">
        <v>600</v>
      </c>
    </row>
    <row r="2579" ht="15.75" customHeight="1">
      <c r="A2579" s="4" t="s">
        <v>207</v>
      </c>
      <c r="B2579" s="4" t="s">
        <v>600</v>
      </c>
    </row>
    <row r="2580" ht="15.75" customHeight="1">
      <c r="A2580" s="4" t="s">
        <v>142</v>
      </c>
      <c r="B2580" s="4" t="s">
        <v>600</v>
      </c>
    </row>
    <row r="2581" ht="15.75" customHeight="1">
      <c r="A2581" s="4" t="s">
        <v>154</v>
      </c>
      <c r="B2581" s="4" t="s">
        <v>600</v>
      </c>
    </row>
    <row r="2582" ht="15.75" customHeight="1">
      <c r="A2582" s="4" t="s">
        <v>143</v>
      </c>
      <c r="B2582" s="4" t="s">
        <v>601</v>
      </c>
    </row>
    <row r="2583" ht="15.75" customHeight="1">
      <c r="A2583" s="4" t="s">
        <v>63</v>
      </c>
      <c r="B2583" s="4" t="s">
        <v>601</v>
      </c>
    </row>
    <row r="2584" ht="15.75" customHeight="1">
      <c r="A2584" s="4" t="s">
        <v>178</v>
      </c>
      <c r="B2584" s="4" t="s">
        <v>601</v>
      </c>
    </row>
    <row r="2585" ht="15.75" customHeight="1">
      <c r="A2585" s="4" t="s">
        <v>116</v>
      </c>
      <c r="B2585" s="4" t="s">
        <v>601</v>
      </c>
    </row>
    <row r="2586" ht="15.75" customHeight="1">
      <c r="A2586" s="4" t="s">
        <v>66</v>
      </c>
      <c r="B2586" s="4" t="s">
        <v>601</v>
      </c>
    </row>
    <row r="2587" ht="15.75" customHeight="1">
      <c r="A2587" s="4" t="s">
        <v>67</v>
      </c>
      <c r="B2587" s="4" t="s">
        <v>601</v>
      </c>
    </row>
    <row r="2588" ht="15.75" customHeight="1">
      <c r="A2588" s="4" t="s">
        <v>204</v>
      </c>
      <c r="B2588" s="4" t="s">
        <v>602</v>
      </c>
    </row>
    <row r="2589" ht="15.75" customHeight="1">
      <c r="A2589" s="4" t="s">
        <v>132</v>
      </c>
      <c r="B2589" s="4" t="s">
        <v>602</v>
      </c>
    </row>
    <row r="2590" ht="15.75" customHeight="1">
      <c r="A2590" s="4" t="s">
        <v>215</v>
      </c>
      <c r="B2590" s="4" t="s">
        <v>602</v>
      </c>
    </row>
    <row r="2591" ht="15.75" customHeight="1">
      <c r="A2591" s="4" t="s">
        <v>86</v>
      </c>
      <c r="B2591" s="4" t="s">
        <v>602</v>
      </c>
    </row>
    <row r="2592" ht="15.75" customHeight="1">
      <c r="A2592" s="4" t="s">
        <v>87</v>
      </c>
      <c r="B2592" s="4" t="s">
        <v>602</v>
      </c>
    </row>
    <row r="2593" ht="15.75" customHeight="1">
      <c r="A2593" s="4" t="s">
        <v>185</v>
      </c>
      <c r="B2593" s="4" t="s">
        <v>602</v>
      </c>
    </row>
    <row r="2594" ht="15.75" customHeight="1">
      <c r="A2594" s="4" t="s">
        <v>97</v>
      </c>
      <c r="B2594" s="4" t="s">
        <v>603</v>
      </c>
    </row>
    <row r="2595" ht="15.75" customHeight="1">
      <c r="A2595" s="4" t="s">
        <v>91</v>
      </c>
      <c r="B2595" s="4" t="s">
        <v>603</v>
      </c>
    </row>
    <row r="2596" ht="15.75" customHeight="1">
      <c r="A2596" s="4" t="s">
        <v>194</v>
      </c>
      <c r="B2596" s="4" t="s">
        <v>603</v>
      </c>
    </row>
    <row r="2597" ht="15.75" customHeight="1">
      <c r="A2597" s="4" t="s">
        <v>207</v>
      </c>
      <c r="B2597" s="4" t="s">
        <v>603</v>
      </c>
    </row>
    <row r="2598" ht="15.75" customHeight="1">
      <c r="A2598" s="4" t="s">
        <v>66</v>
      </c>
      <c r="B2598" s="4" t="s">
        <v>603</v>
      </c>
    </row>
    <row r="2599" ht="15.75" customHeight="1">
      <c r="A2599" s="4" t="s">
        <v>88</v>
      </c>
      <c r="B2599" s="4" t="s">
        <v>603</v>
      </c>
    </row>
    <row r="2600" ht="15.75" customHeight="1">
      <c r="A2600" s="4" t="s">
        <v>169</v>
      </c>
      <c r="B2600" s="4" t="s">
        <v>604</v>
      </c>
    </row>
    <row r="2601" ht="15.75" customHeight="1">
      <c r="A2601" s="4" t="s">
        <v>102</v>
      </c>
      <c r="B2601" s="4" t="s">
        <v>604</v>
      </c>
    </row>
    <row r="2602" ht="15.75" customHeight="1">
      <c r="A2602" s="4" t="s">
        <v>77</v>
      </c>
      <c r="B2602" s="4" t="s">
        <v>604</v>
      </c>
    </row>
    <row r="2603" ht="15.75" customHeight="1">
      <c r="A2603" s="4" t="s">
        <v>116</v>
      </c>
      <c r="B2603" s="4" t="s">
        <v>604</v>
      </c>
    </row>
    <row r="2604" ht="15.75" customHeight="1">
      <c r="A2604" s="4" t="s">
        <v>113</v>
      </c>
      <c r="B2604" s="4" t="s">
        <v>604</v>
      </c>
    </row>
    <row r="2605" ht="15.75" customHeight="1">
      <c r="A2605" s="4" t="s">
        <v>185</v>
      </c>
      <c r="B2605" s="4" t="s">
        <v>604</v>
      </c>
    </row>
    <row r="2606" ht="15.75" customHeight="1">
      <c r="A2606" s="4" t="s">
        <v>68</v>
      </c>
      <c r="B2606" s="4" t="s">
        <v>605</v>
      </c>
    </row>
    <row r="2607" ht="15.75" customHeight="1">
      <c r="A2607" s="4" t="s">
        <v>169</v>
      </c>
      <c r="B2607" s="4" t="s">
        <v>605</v>
      </c>
    </row>
    <row r="2608" ht="15.75" customHeight="1">
      <c r="A2608" s="4" t="s">
        <v>198</v>
      </c>
      <c r="B2608" s="4" t="s">
        <v>605</v>
      </c>
    </row>
    <row r="2609" ht="15.75" customHeight="1">
      <c r="A2609" s="4" t="s">
        <v>149</v>
      </c>
      <c r="B2609" s="4" t="s">
        <v>605</v>
      </c>
    </row>
    <row r="2610" ht="15.75" customHeight="1">
      <c r="A2610" s="4" t="s">
        <v>222</v>
      </c>
      <c r="B2610" s="4" t="s">
        <v>605</v>
      </c>
    </row>
    <row r="2611" ht="15.75" customHeight="1">
      <c r="A2611" s="4" t="s">
        <v>171</v>
      </c>
      <c r="B2611" s="4" t="s">
        <v>605</v>
      </c>
    </row>
    <row r="2612" ht="15.75" customHeight="1">
      <c r="A2612" s="4" t="s">
        <v>146</v>
      </c>
      <c r="B2612" s="4" t="s">
        <v>606</v>
      </c>
    </row>
    <row r="2613" ht="15.75" customHeight="1">
      <c r="A2613" s="4" t="s">
        <v>75</v>
      </c>
      <c r="B2613" s="4" t="s">
        <v>606</v>
      </c>
    </row>
    <row r="2614" ht="15.75" customHeight="1">
      <c r="A2614" s="4" t="s">
        <v>98</v>
      </c>
      <c r="B2614" s="4" t="s">
        <v>606</v>
      </c>
    </row>
    <row r="2615" ht="15.75" customHeight="1">
      <c r="A2615" s="4" t="s">
        <v>86</v>
      </c>
      <c r="B2615" s="4" t="s">
        <v>606</v>
      </c>
    </row>
    <row r="2616" ht="15.75" customHeight="1">
      <c r="A2616" s="4" t="s">
        <v>131</v>
      </c>
      <c r="B2616" s="4" t="s">
        <v>606</v>
      </c>
    </row>
    <row r="2617" ht="15.75" customHeight="1">
      <c r="A2617" s="4" t="s">
        <v>88</v>
      </c>
      <c r="B2617" s="4" t="s">
        <v>606</v>
      </c>
    </row>
    <row r="2618" ht="15.75" customHeight="1">
      <c r="A2618" s="4" t="s">
        <v>146</v>
      </c>
      <c r="B2618" s="4" t="s">
        <v>607</v>
      </c>
    </row>
    <row r="2619" ht="15.75" customHeight="1">
      <c r="A2619" s="4" t="s">
        <v>70</v>
      </c>
      <c r="B2619" s="4" t="s">
        <v>607</v>
      </c>
    </row>
    <row r="2620" ht="15.75" customHeight="1">
      <c r="A2620" s="4" t="s">
        <v>71</v>
      </c>
      <c r="B2620" s="4" t="s">
        <v>607</v>
      </c>
    </row>
    <row r="2621" ht="15.75" customHeight="1">
      <c r="A2621" s="4" t="s">
        <v>166</v>
      </c>
      <c r="B2621" s="4" t="s">
        <v>607</v>
      </c>
    </row>
    <row r="2622" ht="15.75" customHeight="1">
      <c r="A2622" s="4" t="s">
        <v>126</v>
      </c>
      <c r="B2622" s="4" t="s">
        <v>607</v>
      </c>
    </row>
    <row r="2623" ht="15.75" customHeight="1">
      <c r="A2623" s="4" t="s">
        <v>220</v>
      </c>
      <c r="B2623" s="4" t="s">
        <v>607</v>
      </c>
    </row>
    <row r="2624" ht="15.75" customHeight="1">
      <c r="A2624" s="4" t="s">
        <v>82</v>
      </c>
      <c r="B2624" s="4" t="s">
        <v>608</v>
      </c>
    </row>
    <row r="2625" ht="15.75" customHeight="1">
      <c r="A2625" s="4" t="s">
        <v>194</v>
      </c>
      <c r="B2625" s="4" t="s">
        <v>608</v>
      </c>
    </row>
    <row r="2626" ht="15.75" customHeight="1">
      <c r="A2626" s="4" t="s">
        <v>141</v>
      </c>
      <c r="B2626" s="4" t="s">
        <v>608</v>
      </c>
    </row>
    <row r="2627" ht="15.75" customHeight="1">
      <c r="A2627" s="4" t="s">
        <v>195</v>
      </c>
      <c r="B2627" s="4" t="s">
        <v>608</v>
      </c>
    </row>
    <row r="2628" ht="15.75" customHeight="1">
      <c r="A2628" s="4" t="s">
        <v>150</v>
      </c>
      <c r="B2628" s="4" t="s">
        <v>608</v>
      </c>
    </row>
    <row r="2629" ht="15.75" customHeight="1">
      <c r="A2629" s="4" t="s">
        <v>136</v>
      </c>
      <c r="B2629" s="4" t="s">
        <v>608</v>
      </c>
    </row>
    <row r="2630" ht="15.75" customHeight="1">
      <c r="A2630" s="4" t="s">
        <v>146</v>
      </c>
      <c r="B2630" s="4" t="s">
        <v>609</v>
      </c>
    </row>
    <row r="2631" ht="15.75" customHeight="1">
      <c r="A2631" s="4" t="s">
        <v>75</v>
      </c>
      <c r="B2631" s="4" t="s">
        <v>609</v>
      </c>
    </row>
    <row r="2632" ht="15.75" customHeight="1">
      <c r="A2632" s="4" t="s">
        <v>98</v>
      </c>
      <c r="B2632" s="4" t="s">
        <v>609</v>
      </c>
    </row>
    <row r="2633" ht="15.75" customHeight="1">
      <c r="A2633" s="4" t="s">
        <v>176</v>
      </c>
      <c r="B2633" s="4" t="s">
        <v>609</v>
      </c>
    </row>
    <row r="2634" ht="15.75" customHeight="1">
      <c r="A2634" s="4" t="s">
        <v>126</v>
      </c>
      <c r="B2634" s="4" t="s">
        <v>609</v>
      </c>
    </row>
    <row r="2635" ht="15.75" customHeight="1">
      <c r="A2635" s="4" t="s">
        <v>145</v>
      </c>
      <c r="B2635" s="4" t="s">
        <v>609</v>
      </c>
    </row>
    <row r="2636" ht="15.75" customHeight="1">
      <c r="A2636" s="4" t="s">
        <v>169</v>
      </c>
      <c r="B2636" s="4" t="s">
        <v>610</v>
      </c>
    </row>
    <row r="2637" ht="15.75" customHeight="1">
      <c r="A2637" s="4" t="s">
        <v>183</v>
      </c>
      <c r="B2637" s="4" t="s">
        <v>610</v>
      </c>
    </row>
    <row r="2638" ht="15.75" customHeight="1">
      <c r="A2638" s="4" t="s">
        <v>153</v>
      </c>
      <c r="B2638" s="4" t="s">
        <v>610</v>
      </c>
    </row>
    <row r="2639" ht="15.75" customHeight="1">
      <c r="A2639" s="4" t="s">
        <v>135</v>
      </c>
      <c r="B2639" s="4" t="s">
        <v>610</v>
      </c>
    </row>
    <row r="2640" ht="15.75" customHeight="1">
      <c r="A2640" s="4" t="s">
        <v>196</v>
      </c>
      <c r="B2640" s="4" t="s">
        <v>610</v>
      </c>
    </row>
    <row r="2641" ht="15.75" customHeight="1">
      <c r="A2641" s="4" t="s">
        <v>220</v>
      </c>
      <c r="B2641" s="4" t="s">
        <v>610</v>
      </c>
    </row>
    <row r="2642" ht="15.75" customHeight="1">
      <c r="A2642" s="4" t="s">
        <v>161</v>
      </c>
      <c r="B2642" s="4" t="s">
        <v>611</v>
      </c>
    </row>
    <row r="2643" ht="15.75" customHeight="1">
      <c r="A2643" s="4" t="s">
        <v>156</v>
      </c>
      <c r="B2643" s="4" t="s">
        <v>611</v>
      </c>
    </row>
    <row r="2644" ht="15.75" customHeight="1">
      <c r="A2644" s="4" t="s">
        <v>120</v>
      </c>
      <c r="B2644" s="4" t="s">
        <v>611</v>
      </c>
    </row>
    <row r="2645" ht="15.75" customHeight="1">
      <c r="A2645" s="4" t="s">
        <v>189</v>
      </c>
      <c r="B2645" s="4" t="s">
        <v>611</v>
      </c>
    </row>
    <row r="2646" ht="15.75" customHeight="1">
      <c r="A2646" s="4" t="s">
        <v>142</v>
      </c>
      <c r="B2646" s="4" t="s">
        <v>611</v>
      </c>
    </row>
    <row r="2647" ht="15.75" customHeight="1">
      <c r="A2647" s="4" t="s">
        <v>154</v>
      </c>
      <c r="B2647" s="4" t="s">
        <v>611</v>
      </c>
    </row>
    <row r="2648" ht="15.75" customHeight="1">
      <c r="A2648" s="4" t="s">
        <v>169</v>
      </c>
      <c r="B2648" s="4" t="s">
        <v>612</v>
      </c>
    </row>
    <row r="2649" ht="15.75" customHeight="1">
      <c r="A2649" s="4" t="s">
        <v>183</v>
      </c>
      <c r="B2649" s="4" t="s">
        <v>612</v>
      </c>
    </row>
    <row r="2650" ht="15.75" customHeight="1">
      <c r="A2650" s="4" t="s">
        <v>109</v>
      </c>
      <c r="B2650" s="4" t="s">
        <v>612</v>
      </c>
    </row>
    <row r="2651" ht="15.75" customHeight="1">
      <c r="A2651" s="4" t="s">
        <v>72</v>
      </c>
      <c r="B2651" s="4" t="s">
        <v>612</v>
      </c>
    </row>
    <row r="2652" ht="15.75" customHeight="1">
      <c r="A2652" s="4" t="s">
        <v>117</v>
      </c>
      <c r="B2652" s="4" t="s">
        <v>612</v>
      </c>
    </row>
    <row r="2653" ht="15.75" customHeight="1">
      <c r="A2653" s="4" t="s">
        <v>74</v>
      </c>
      <c r="B2653" s="4" t="s">
        <v>612</v>
      </c>
    </row>
    <row r="2654" ht="15.75" customHeight="1">
      <c r="A2654" s="4" t="s">
        <v>63</v>
      </c>
      <c r="B2654" s="4" t="s">
        <v>613</v>
      </c>
    </row>
    <row r="2655" ht="15.75" customHeight="1">
      <c r="A2655" s="4" t="s">
        <v>161</v>
      </c>
      <c r="B2655" s="4" t="s">
        <v>613</v>
      </c>
    </row>
    <row r="2656" ht="15.75" customHeight="1">
      <c r="A2656" s="4" t="s">
        <v>175</v>
      </c>
      <c r="B2656" s="4" t="s">
        <v>613</v>
      </c>
    </row>
    <row r="2657" ht="15.75" customHeight="1">
      <c r="A2657" s="4" t="s">
        <v>211</v>
      </c>
      <c r="B2657" s="4" t="s">
        <v>613</v>
      </c>
    </row>
    <row r="2658" ht="15.75" customHeight="1">
      <c r="A2658" s="4" t="s">
        <v>150</v>
      </c>
      <c r="B2658" s="4" t="s">
        <v>613</v>
      </c>
    </row>
    <row r="2659" ht="15.75" customHeight="1">
      <c r="A2659" s="4" t="s">
        <v>220</v>
      </c>
      <c r="B2659" s="4" t="s">
        <v>613</v>
      </c>
    </row>
    <row r="2660" ht="15.75" customHeight="1">
      <c r="A2660" s="4" t="s">
        <v>70</v>
      </c>
      <c r="B2660" s="4" t="s">
        <v>614</v>
      </c>
    </row>
    <row r="2661" ht="15.75" customHeight="1">
      <c r="A2661" s="4" t="s">
        <v>156</v>
      </c>
      <c r="B2661" s="4" t="s">
        <v>614</v>
      </c>
    </row>
    <row r="2662" ht="15.75" customHeight="1">
      <c r="A2662" s="4" t="s">
        <v>175</v>
      </c>
      <c r="B2662" s="4" t="s">
        <v>614</v>
      </c>
    </row>
    <row r="2663" ht="15.75" customHeight="1">
      <c r="A2663" s="4" t="s">
        <v>157</v>
      </c>
      <c r="B2663" s="4" t="s">
        <v>614</v>
      </c>
    </row>
    <row r="2664" ht="15.75" customHeight="1">
      <c r="A2664" s="4" t="s">
        <v>181</v>
      </c>
      <c r="B2664" s="4" t="s">
        <v>614</v>
      </c>
    </row>
    <row r="2665" ht="15.75" customHeight="1">
      <c r="A2665" s="4" t="s">
        <v>158</v>
      </c>
      <c r="B2665" s="4" t="s">
        <v>614</v>
      </c>
    </row>
    <row r="2666" ht="15.75" customHeight="1">
      <c r="A2666" s="4" t="s">
        <v>63</v>
      </c>
      <c r="B2666" s="4" t="s">
        <v>615</v>
      </c>
    </row>
    <row r="2667" ht="15.75" customHeight="1">
      <c r="A2667" s="4" t="s">
        <v>134</v>
      </c>
      <c r="B2667" s="4" t="s">
        <v>615</v>
      </c>
    </row>
    <row r="2668" ht="15.75" customHeight="1">
      <c r="A2668" s="4" t="s">
        <v>175</v>
      </c>
      <c r="B2668" s="4" t="s">
        <v>615</v>
      </c>
    </row>
    <row r="2669" ht="15.75" customHeight="1">
      <c r="A2669" s="4" t="s">
        <v>195</v>
      </c>
      <c r="B2669" s="4" t="s">
        <v>615</v>
      </c>
    </row>
    <row r="2670" ht="15.75" customHeight="1">
      <c r="A2670" s="4" t="s">
        <v>196</v>
      </c>
      <c r="B2670" s="4" t="s">
        <v>615</v>
      </c>
    </row>
    <row r="2671" ht="15.75" customHeight="1">
      <c r="A2671" s="4" t="s">
        <v>212</v>
      </c>
      <c r="B2671" s="4" t="s">
        <v>615</v>
      </c>
    </row>
    <row r="2672" ht="15.75" customHeight="1">
      <c r="A2672" s="4" t="s">
        <v>146</v>
      </c>
      <c r="B2672" s="4" t="s">
        <v>616</v>
      </c>
    </row>
    <row r="2673" ht="15.75" customHeight="1">
      <c r="A2673" s="4" t="s">
        <v>169</v>
      </c>
      <c r="B2673" s="4" t="s">
        <v>616</v>
      </c>
    </row>
    <row r="2674" ht="15.75" customHeight="1">
      <c r="A2674" s="4" t="s">
        <v>78</v>
      </c>
      <c r="B2674" s="4" t="s">
        <v>616</v>
      </c>
    </row>
    <row r="2675" ht="15.75" customHeight="1">
      <c r="A2675" s="4" t="s">
        <v>65</v>
      </c>
      <c r="B2675" s="4" t="s">
        <v>616</v>
      </c>
    </row>
    <row r="2676" ht="15.75" customHeight="1">
      <c r="A2676" s="4" t="s">
        <v>87</v>
      </c>
      <c r="B2676" s="4" t="s">
        <v>616</v>
      </c>
    </row>
    <row r="2677" ht="15.75" customHeight="1">
      <c r="A2677" s="4" t="s">
        <v>88</v>
      </c>
      <c r="B2677" s="4" t="s">
        <v>616</v>
      </c>
    </row>
    <row r="2678" ht="15.75" customHeight="1">
      <c r="A2678" s="4" t="s">
        <v>82</v>
      </c>
      <c r="B2678" s="4" t="s">
        <v>617</v>
      </c>
    </row>
    <row r="2679" ht="15.75" customHeight="1">
      <c r="A2679" s="4" t="s">
        <v>192</v>
      </c>
      <c r="B2679" s="4" t="s">
        <v>617</v>
      </c>
    </row>
    <row r="2680" ht="15.75" customHeight="1">
      <c r="A2680" s="4" t="s">
        <v>92</v>
      </c>
      <c r="B2680" s="4" t="s">
        <v>617</v>
      </c>
    </row>
    <row r="2681" ht="15.75" customHeight="1">
      <c r="A2681" s="4" t="s">
        <v>207</v>
      </c>
      <c r="B2681" s="4" t="s">
        <v>617</v>
      </c>
    </row>
    <row r="2682" ht="15.75" customHeight="1">
      <c r="A2682" s="4" t="s">
        <v>80</v>
      </c>
      <c r="B2682" s="4" t="s">
        <v>617</v>
      </c>
    </row>
    <row r="2683" ht="15.75" customHeight="1">
      <c r="A2683" s="4" t="s">
        <v>67</v>
      </c>
      <c r="B2683" s="4" t="s">
        <v>617</v>
      </c>
    </row>
    <row r="2684" ht="15.75" customHeight="1">
      <c r="A2684" s="4" t="s">
        <v>70</v>
      </c>
      <c r="B2684" s="4" t="s">
        <v>618</v>
      </c>
    </row>
    <row r="2685" ht="15.75" customHeight="1">
      <c r="A2685" s="4" t="s">
        <v>85</v>
      </c>
      <c r="B2685" s="4" t="s">
        <v>618</v>
      </c>
    </row>
    <row r="2686" ht="15.75" customHeight="1">
      <c r="A2686" s="4" t="s">
        <v>78</v>
      </c>
      <c r="B2686" s="4" t="s">
        <v>618</v>
      </c>
    </row>
    <row r="2687" ht="15.75" customHeight="1">
      <c r="A2687" s="4" t="s">
        <v>149</v>
      </c>
      <c r="B2687" s="4" t="s">
        <v>618</v>
      </c>
    </row>
    <row r="2688" ht="15.75" customHeight="1">
      <c r="A2688" s="4" t="s">
        <v>126</v>
      </c>
      <c r="B2688" s="4" t="s">
        <v>618</v>
      </c>
    </row>
    <row r="2689" ht="15.75" customHeight="1">
      <c r="A2689" s="4" t="s">
        <v>111</v>
      </c>
      <c r="B2689" s="4" t="s">
        <v>618</v>
      </c>
    </row>
    <row r="2690" ht="15.75" customHeight="1">
      <c r="A2690" s="4" t="s">
        <v>134</v>
      </c>
      <c r="B2690" s="4" t="s">
        <v>619</v>
      </c>
    </row>
    <row r="2691" ht="15.75" customHeight="1">
      <c r="A2691" s="4" t="s">
        <v>183</v>
      </c>
      <c r="B2691" s="4" t="s">
        <v>619</v>
      </c>
    </row>
    <row r="2692" ht="15.75" customHeight="1">
      <c r="A2692" s="4" t="s">
        <v>109</v>
      </c>
      <c r="B2692" s="4" t="s">
        <v>619</v>
      </c>
    </row>
    <row r="2693" ht="15.75" customHeight="1">
      <c r="A2693" s="4" t="s">
        <v>195</v>
      </c>
      <c r="B2693" s="4" t="s">
        <v>619</v>
      </c>
    </row>
    <row r="2694" ht="15.75" customHeight="1">
      <c r="A2694" s="4" t="s">
        <v>150</v>
      </c>
      <c r="B2694" s="4" t="s">
        <v>619</v>
      </c>
    </row>
    <row r="2695" ht="15.75" customHeight="1">
      <c r="A2695" s="4" t="s">
        <v>212</v>
      </c>
      <c r="B2695" s="4" t="s">
        <v>619</v>
      </c>
    </row>
    <row r="2696" ht="15.75" customHeight="1">
      <c r="A2696" s="4" t="s">
        <v>63</v>
      </c>
      <c r="B2696" s="4" t="s">
        <v>620</v>
      </c>
    </row>
    <row r="2697" ht="15.75" customHeight="1">
      <c r="A2697" s="4" t="s">
        <v>161</v>
      </c>
      <c r="B2697" s="4" t="s">
        <v>620</v>
      </c>
    </row>
    <row r="2698" ht="15.75" customHeight="1">
      <c r="A2698" s="4" t="s">
        <v>129</v>
      </c>
      <c r="B2698" s="4" t="s">
        <v>620</v>
      </c>
    </row>
    <row r="2699" ht="15.75" customHeight="1">
      <c r="A2699" s="4" t="s">
        <v>240</v>
      </c>
      <c r="B2699" s="4" t="s">
        <v>620</v>
      </c>
    </row>
    <row r="2700" ht="15.75" customHeight="1">
      <c r="A2700" s="4" t="s">
        <v>73</v>
      </c>
      <c r="B2700" s="4" t="s">
        <v>620</v>
      </c>
    </row>
    <row r="2701" ht="15.75" customHeight="1">
      <c r="A2701" s="4" t="s">
        <v>74</v>
      </c>
      <c r="B2701" s="4" t="s">
        <v>620</v>
      </c>
    </row>
    <row r="2702" ht="15.75" customHeight="1">
      <c r="A2702" s="4" t="s">
        <v>63</v>
      </c>
      <c r="B2702" s="4" t="s">
        <v>621</v>
      </c>
    </row>
    <row r="2703" ht="15.75" customHeight="1">
      <c r="A2703" s="4" t="s">
        <v>97</v>
      </c>
      <c r="B2703" s="4" t="s">
        <v>621</v>
      </c>
    </row>
    <row r="2704" ht="15.75" customHeight="1">
      <c r="A2704" s="4" t="s">
        <v>104</v>
      </c>
      <c r="B2704" s="4" t="s">
        <v>621</v>
      </c>
    </row>
    <row r="2705" ht="15.75" customHeight="1">
      <c r="A2705" s="4" t="s">
        <v>195</v>
      </c>
      <c r="B2705" s="4" t="s">
        <v>621</v>
      </c>
    </row>
    <row r="2706" ht="15.75" customHeight="1">
      <c r="A2706" s="4" t="s">
        <v>187</v>
      </c>
      <c r="B2706" s="4" t="s">
        <v>621</v>
      </c>
    </row>
    <row r="2707" ht="15.75" customHeight="1">
      <c r="A2707" s="4" t="s">
        <v>220</v>
      </c>
      <c r="B2707" s="4" t="s">
        <v>621</v>
      </c>
    </row>
    <row r="2708" ht="15.75" customHeight="1">
      <c r="A2708" s="4" t="s">
        <v>146</v>
      </c>
      <c r="B2708" s="4" t="s">
        <v>622</v>
      </c>
    </row>
    <row r="2709" ht="15.75" customHeight="1">
      <c r="A2709" s="4" t="s">
        <v>169</v>
      </c>
      <c r="B2709" s="4" t="s">
        <v>622</v>
      </c>
    </row>
    <row r="2710" ht="15.75" customHeight="1">
      <c r="A2710" s="4" t="s">
        <v>178</v>
      </c>
      <c r="B2710" s="4" t="s">
        <v>622</v>
      </c>
    </row>
    <row r="2711" ht="15.75" customHeight="1">
      <c r="A2711" s="4" t="s">
        <v>207</v>
      </c>
      <c r="B2711" s="4" t="s">
        <v>622</v>
      </c>
    </row>
    <row r="2712" ht="15.75" customHeight="1">
      <c r="A2712" s="4" t="s">
        <v>208</v>
      </c>
      <c r="B2712" s="4" t="s">
        <v>622</v>
      </c>
    </row>
    <row r="2713" ht="15.75" customHeight="1">
      <c r="A2713" s="4" t="s">
        <v>88</v>
      </c>
      <c r="B2713" s="4" t="s">
        <v>622</v>
      </c>
    </row>
    <row r="2714" ht="15.75" customHeight="1">
      <c r="A2714" s="4" t="s">
        <v>61</v>
      </c>
      <c r="B2714" s="4" t="s">
        <v>623</v>
      </c>
    </row>
    <row r="2715" ht="15.75" customHeight="1">
      <c r="A2715" s="4" t="s">
        <v>63</v>
      </c>
      <c r="B2715" s="4" t="s">
        <v>623</v>
      </c>
    </row>
    <row r="2716" ht="15.75" customHeight="1">
      <c r="A2716" s="4" t="s">
        <v>215</v>
      </c>
      <c r="B2716" s="4" t="s">
        <v>623</v>
      </c>
    </row>
    <row r="2717" ht="15.75" customHeight="1">
      <c r="A2717" s="4" t="s">
        <v>189</v>
      </c>
      <c r="B2717" s="4" t="s">
        <v>623</v>
      </c>
    </row>
    <row r="2718" ht="15.75" customHeight="1">
      <c r="A2718" s="4" t="s">
        <v>80</v>
      </c>
      <c r="B2718" s="4" t="s">
        <v>623</v>
      </c>
    </row>
    <row r="2719" ht="15.75" customHeight="1">
      <c r="A2719" s="4" t="s">
        <v>185</v>
      </c>
      <c r="B2719" s="4" t="s">
        <v>623</v>
      </c>
    </row>
    <row r="2720" ht="15.75" customHeight="1">
      <c r="A2720" s="4" t="s">
        <v>190</v>
      </c>
      <c r="B2720" s="4" t="s">
        <v>624</v>
      </c>
    </row>
    <row r="2721" ht="15.75" customHeight="1">
      <c r="A2721" s="4" t="s">
        <v>91</v>
      </c>
      <c r="B2721" s="4" t="s">
        <v>624</v>
      </c>
    </row>
    <row r="2722" ht="15.75" customHeight="1">
      <c r="A2722" s="4" t="s">
        <v>92</v>
      </c>
      <c r="B2722" s="4" t="s">
        <v>624</v>
      </c>
    </row>
    <row r="2723" ht="15.75" customHeight="1">
      <c r="A2723" s="4" t="s">
        <v>184</v>
      </c>
      <c r="B2723" s="4" t="s">
        <v>624</v>
      </c>
    </row>
    <row r="2724" ht="15.75" customHeight="1">
      <c r="A2724" s="4" t="s">
        <v>113</v>
      </c>
      <c r="B2724" s="4" t="s">
        <v>624</v>
      </c>
    </row>
    <row r="2725" ht="15.75" customHeight="1">
      <c r="A2725" s="4" t="s">
        <v>185</v>
      </c>
      <c r="B2725" s="4" t="s">
        <v>624</v>
      </c>
    </row>
    <row r="2726" ht="15.75" customHeight="1">
      <c r="A2726" s="4" t="s">
        <v>68</v>
      </c>
      <c r="B2726" s="4" t="s">
        <v>625</v>
      </c>
    </row>
    <row r="2727" ht="15.75" customHeight="1">
      <c r="A2727" s="4" t="s">
        <v>75</v>
      </c>
      <c r="B2727" s="4" t="s">
        <v>625</v>
      </c>
    </row>
    <row r="2728" ht="15.75" customHeight="1">
      <c r="A2728" s="4" t="s">
        <v>120</v>
      </c>
      <c r="B2728" s="4" t="s">
        <v>625</v>
      </c>
    </row>
    <row r="2729" ht="15.75" customHeight="1">
      <c r="A2729" s="4" t="s">
        <v>135</v>
      </c>
      <c r="B2729" s="4" t="s">
        <v>625</v>
      </c>
    </row>
    <row r="2730" ht="15.75" customHeight="1">
      <c r="A2730" s="4" t="s">
        <v>162</v>
      </c>
      <c r="B2730" s="4" t="s">
        <v>625</v>
      </c>
    </row>
    <row r="2731" ht="15.75" customHeight="1">
      <c r="A2731" s="4" t="s">
        <v>139</v>
      </c>
      <c r="B2731" s="4" t="s">
        <v>625</v>
      </c>
    </row>
    <row r="2732" ht="15.75" customHeight="1">
      <c r="A2732" s="4" t="s">
        <v>68</v>
      </c>
      <c r="B2732" s="4" t="s">
        <v>626</v>
      </c>
    </row>
    <row r="2733" ht="15.75" customHeight="1">
      <c r="A2733" s="4" t="s">
        <v>169</v>
      </c>
      <c r="B2733" s="4" t="s">
        <v>626</v>
      </c>
    </row>
    <row r="2734" ht="15.75" customHeight="1">
      <c r="A2734" s="4" t="s">
        <v>183</v>
      </c>
      <c r="B2734" s="4" t="s">
        <v>626</v>
      </c>
    </row>
    <row r="2735" ht="15.75" customHeight="1">
      <c r="A2735" s="4" t="s">
        <v>166</v>
      </c>
      <c r="B2735" s="4" t="s">
        <v>626</v>
      </c>
    </row>
    <row r="2736" ht="15.75" customHeight="1">
      <c r="A2736" s="4" t="s">
        <v>124</v>
      </c>
      <c r="B2736" s="4" t="s">
        <v>626</v>
      </c>
    </row>
    <row r="2737" ht="15.75" customHeight="1">
      <c r="A2737" s="4" t="s">
        <v>220</v>
      </c>
      <c r="B2737" s="4" t="s">
        <v>626</v>
      </c>
    </row>
    <row r="2738" ht="15.75" customHeight="1">
      <c r="A2738" s="4" t="s">
        <v>134</v>
      </c>
      <c r="B2738" s="4" t="s">
        <v>627</v>
      </c>
    </row>
    <row r="2739" ht="15.75" customHeight="1">
      <c r="A2739" s="4" t="s">
        <v>85</v>
      </c>
      <c r="B2739" s="4" t="s">
        <v>627</v>
      </c>
    </row>
    <row r="2740" ht="15.75" customHeight="1">
      <c r="A2740" s="4" t="s">
        <v>175</v>
      </c>
      <c r="B2740" s="4" t="s">
        <v>627</v>
      </c>
    </row>
    <row r="2741" ht="15.75" customHeight="1">
      <c r="A2741" s="4" t="s">
        <v>176</v>
      </c>
      <c r="B2741" s="4" t="s">
        <v>627</v>
      </c>
    </row>
    <row r="2742" ht="15.75" customHeight="1">
      <c r="A2742" s="4" t="s">
        <v>181</v>
      </c>
      <c r="B2742" s="4" t="s">
        <v>627</v>
      </c>
    </row>
    <row r="2743" ht="15.75" customHeight="1">
      <c r="A2743" s="4" t="s">
        <v>145</v>
      </c>
      <c r="B2743" s="4" t="s">
        <v>627</v>
      </c>
    </row>
    <row r="2744" ht="15.75" customHeight="1">
      <c r="A2744" s="4" t="s">
        <v>173</v>
      </c>
      <c r="B2744" s="4" t="s">
        <v>628</v>
      </c>
    </row>
    <row r="2745" ht="15.75" customHeight="1">
      <c r="A2745" s="4" t="s">
        <v>98</v>
      </c>
      <c r="B2745" s="4" t="s">
        <v>628</v>
      </c>
    </row>
    <row r="2746" ht="15.75" customHeight="1">
      <c r="A2746" s="4" t="s">
        <v>77</v>
      </c>
      <c r="B2746" s="4" t="s">
        <v>628</v>
      </c>
    </row>
    <row r="2747" ht="15.75" customHeight="1">
      <c r="A2747" s="4" t="s">
        <v>105</v>
      </c>
      <c r="B2747" s="4" t="s">
        <v>628</v>
      </c>
    </row>
    <row r="2748" ht="15.75" customHeight="1">
      <c r="A2748" s="4" t="s">
        <v>222</v>
      </c>
      <c r="B2748" s="4" t="s">
        <v>628</v>
      </c>
    </row>
    <row r="2749" ht="15.75" customHeight="1">
      <c r="A2749" s="4" t="s">
        <v>107</v>
      </c>
      <c r="B2749" s="4" t="s">
        <v>628</v>
      </c>
    </row>
    <row r="2750" ht="15.75" customHeight="1">
      <c r="A2750" s="4" t="s">
        <v>173</v>
      </c>
      <c r="B2750" s="4" t="s">
        <v>629</v>
      </c>
    </row>
    <row r="2751" ht="15.75" customHeight="1">
      <c r="A2751" s="4" t="s">
        <v>132</v>
      </c>
      <c r="B2751" s="4" t="s">
        <v>629</v>
      </c>
    </row>
    <row r="2752" ht="15.75" customHeight="1">
      <c r="A2752" s="4" t="s">
        <v>175</v>
      </c>
      <c r="B2752" s="4" t="s">
        <v>629</v>
      </c>
    </row>
    <row r="2753" ht="15.75" customHeight="1">
      <c r="A2753" s="4" t="s">
        <v>123</v>
      </c>
      <c r="B2753" s="4" t="s">
        <v>629</v>
      </c>
    </row>
    <row r="2754" ht="15.75" customHeight="1">
      <c r="A2754" s="4" t="s">
        <v>150</v>
      </c>
      <c r="B2754" s="4" t="s">
        <v>629</v>
      </c>
    </row>
    <row r="2755" ht="15.75" customHeight="1">
      <c r="A2755" s="4" t="s">
        <v>107</v>
      </c>
      <c r="B2755" s="4" t="s">
        <v>629</v>
      </c>
    </row>
    <row r="2756" ht="15.75" customHeight="1">
      <c r="A2756" s="4" t="s">
        <v>173</v>
      </c>
      <c r="B2756" s="4" t="s">
        <v>630</v>
      </c>
    </row>
    <row r="2757" ht="15.75" customHeight="1">
      <c r="A2757" s="4" t="s">
        <v>92</v>
      </c>
      <c r="B2757" s="4" t="s">
        <v>630</v>
      </c>
    </row>
    <row r="2758" ht="15.75" customHeight="1">
      <c r="A2758" s="4" t="s">
        <v>178</v>
      </c>
      <c r="B2758" s="4" t="s">
        <v>630</v>
      </c>
    </row>
    <row r="2759" ht="15.75" customHeight="1">
      <c r="A2759" s="4" t="s">
        <v>99</v>
      </c>
      <c r="B2759" s="4" t="s">
        <v>630</v>
      </c>
    </row>
    <row r="2760" ht="15.75" customHeight="1">
      <c r="A2760" s="4" t="s">
        <v>131</v>
      </c>
      <c r="B2760" s="4" t="s">
        <v>630</v>
      </c>
    </row>
    <row r="2761" ht="15.75" customHeight="1">
      <c r="A2761" s="4" t="s">
        <v>74</v>
      </c>
      <c r="B2761" s="4" t="s">
        <v>630</v>
      </c>
    </row>
    <row r="2762" ht="15.75" customHeight="1">
      <c r="A2762" s="4" t="s">
        <v>89</v>
      </c>
      <c r="B2762" s="4" t="s">
        <v>631</v>
      </c>
    </row>
    <row r="2763" ht="15.75" customHeight="1">
      <c r="A2763" s="4" t="s">
        <v>92</v>
      </c>
      <c r="B2763" s="4" t="s">
        <v>631</v>
      </c>
    </row>
    <row r="2764" ht="15.75" customHeight="1">
      <c r="A2764" s="4" t="s">
        <v>178</v>
      </c>
      <c r="B2764" s="4" t="s">
        <v>631</v>
      </c>
    </row>
    <row r="2765" ht="15.75" customHeight="1">
      <c r="A2765" s="4" t="s">
        <v>240</v>
      </c>
      <c r="B2765" s="4" t="s">
        <v>631</v>
      </c>
    </row>
    <row r="2766" ht="15.75" customHeight="1">
      <c r="A2766" s="4" t="s">
        <v>73</v>
      </c>
      <c r="B2766" s="4" t="s">
        <v>631</v>
      </c>
    </row>
    <row r="2767" ht="15.75" customHeight="1">
      <c r="A2767" s="4" t="s">
        <v>94</v>
      </c>
      <c r="B2767" s="4" t="s">
        <v>631</v>
      </c>
    </row>
    <row r="2768" ht="15.75" customHeight="1">
      <c r="A2768" s="4" t="s">
        <v>95</v>
      </c>
      <c r="B2768" s="4" t="s">
        <v>632</v>
      </c>
    </row>
    <row r="2769" ht="15.75" customHeight="1">
      <c r="A2769" s="4" t="s">
        <v>97</v>
      </c>
      <c r="B2769" s="4" t="s">
        <v>632</v>
      </c>
    </row>
    <row r="2770" ht="15.75" customHeight="1">
      <c r="A2770" s="4" t="s">
        <v>104</v>
      </c>
      <c r="B2770" s="4" t="s">
        <v>632</v>
      </c>
    </row>
    <row r="2771" ht="15.75" customHeight="1">
      <c r="A2771" s="4" t="s">
        <v>149</v>
      </c>
      <c r="B2771" s="4" t="s">
        <v>632</v>
      </c>
    </row>
    <row r="2772" ht="15.75" customHeight="1">
      <c r="A2772" s="4" t="s">
        <v>222</v>
      </c>
      <c r="B2772" s="4" t="s">
        <v>632</v>
      </c>
    </row>
    <row r="2773" ht="15.75" customHeight="1">
      <c r="A2773" s="4" t="s">
        <v>107</v>
      </c>
      <c r="B2773" s="4" t="s">
        <v>632</v>
      </c>
    </row>
    <row r="2774" ht="15.75" customHeight="1">
      <c r="A2774" s="4" t="s">
        <v>75</v>
      </c>
      <c r="B2774" s="4" t="s">
        <v>633</v>
      </c>
    </row>
    <row r="2775" ht="15.75" customHeight="1">
      <c r="A2775" s="4" t="s">
        <v>85</v>
      </c>
      <c r="B2775" s="4" t="s">
        <v>633</v>
      </c>
    </row>
    <row r="2776" ht="15.75" customHeight="1">
      <c r="A2776" s="4" t="s">
        <v>98</v>
      </c>
      <c r="B2776" s="4" t="s">
        <v>633</v>
      </c>
    </row>
    <row r="2777" ht="15.75" customHeight="1">
      <c r="A2777" s="4" t="s">
        <v>110</v>
      </c>
      <c r="B2777" s="4" t="s">
        <v>633</v>
      </c>
    </row>
    <row r="2778" ht="15.75" customHeight="1">
      <c r="A2778" s="4" t="s">
        <v>124</v>
      </c>
      <c r="B2778" s="4" t="s">
        <v>633</v>
      </c>
    </row>
    <row r="2779" ht="15.75" customHeight="1">
      <c r="A2779" s="4" t="s">
        <v>158</v>
      </c>
      <c r="B2779" s="4" t="s">
        <v>633</v>
      </c>
    </row>
    <row r="2780" ht="15.75" customHeight="1">
      <c r="A2780" s="4" t="s">
        <v>137</v>
      </c>
      <c r="B2780" s="4" t="s">
        <v>634</v>
      </c>
    </row>
    <row r="2781" ht="15.75" customHeight="1">
      <c r="A2781" s="4" t="s">
        <v>134</v>
      </c>
      <c r="B2781" s="4" t="s">
        <v>634</v>
      </c>
    </row>
    <row r="2782" ht="15.75" customHeight="1">
      <c r="A2782" s="4" t="s">
        <v>183</v>
      </c>
      <c r="B2782" s="4" t="s">
        <v>634</v>
      </c>
    </row>
    <row r="2783" ht="15.75" customHeight="1">
      <c r="A2783" s="4" t="s">
        <v>157</v>
      </c>
      <c r="B2783" s="4" t="s">
        <v>634</v>
      </c>
    </row>
    <row r="2784" ht="15.75" customHeight="1">
      <c r="A2784" s="4" t="s">
        <v>126</v>
      </c>
      <c r="B2784" s="4" t="s">
        <v>634</v>
      </c>
    </row>
    <row r="2785" ht="15.75" customHeight="1">
      <c r="A2785" s="4" t="s">
        <v>158</v>
      </c>
      <c r="B2785" s="4" t="s">
        <v>634</v>
      </c>
    </row>
    <row r="2786" ht="15.75" customHeight="1">
      <c r="A2786" s="4" t="s">
        <v>70</v>
      </c>
      <c r="B2786" s="4" t="s">
        <v>635</v>
      </c>
    </row>
    <row r="2787" ht="15.75" customHeight="1">
      <c r="A2787" s="4" t="s">
        <v>77</v>
      </c>
      <c r="B2787" s="4" t="s">
        <v>635</v>
      </c>
    </row>
    <row r="2788" ht="15.75" customHeight="1">
      <c r="A2788" s="4" t="s">
        <v>78</v>
      </c>
      <c r="B2788" s="4" t="s">
        <v>635</v>
      </c>
    </row>
    <row r="2789" ht="15.75" customHeight="1">
      <c r="A2789" s="4" t="s">
        <v>149</v>
      </c>
      <c r="B2789" s="4" t="s">
        <v>635</v>
      </c>
    </row>
    <row r="2790" ht="15.75" customHeight="1">
      <c r="A2790" s="4" t="s">
        <v>164</v>
      </c>
      <c r="B2790" s="4" t="s">
        <v>635</v>
      </c>
    </row>
    <row r="2791" ht="15.75" customHeight="1">
      <c r="A2791" s="4" t="s">
        <v>158</v>
      </c>
      <c r="B2791" s="4" t="s">
        <v>635</v>
      </c>
    </row>
    <row r="2792" ht="15.75" customHeight="1">
      <c r="A2792" s="4" t="s">
        <v>95</v>
      </c>
      <c r="B2792" s="4" t="s">
        <v>636</v>
      </c>
    </row>
    <row r="2793" ht="15.75" customHeight="1">
      <c r="A2793" s="4" t="s">
        <v>97</v>
      </c>
      <c r="B2793" s="4" t="s">
        <v>636</v>
      </c>
    </row>
    <row r="2794" ht="15.75" customHeight="1">
      <c r="A2794" s="4" t="s">
        <v>98</v>
      </c>
      <c r="B2794" s="4" t="s">
        <v>636</v>
      </c>
    </row>
    <row r="2795" ht="15.75" customHeight="1">
      <c r="A2795" s="4" t="s">
        <v>105</v>
      </c>
      <c r="B2795" s="4" t="s">
        <v>636</v>
      </c>
    </row>
    <row r="2796" ht="15.75" customHeight="1">
      <c r="A2796" s="4" t="s">
        <v>162</v>
      </c>
      <c r="B2796" s="4" t="s">
        <v>636</v>
      </c>
    </row>
    <row r="2797" ht="15.75" customHeight="1">
      <c r="A2797" s="4" t="s">
        <v>171</v>
      </c>
      <c r="B2797" s="4" t="s">
        <v>636</v>
      </c>
    </row>
    <row r="2798" ht="15.75" customHeight="1">
      <c r="A2798" s="4" t="s">
        <v>75</v>
      </c>
      <c r="B2798" s="4" t="s">
        <v>637</v>
      </c>
    </row>
    <row r="2799" ht="15.75" customHeight="1">
      <c r="A2799" s="4" t="s">
        <v>98</v>
      </c>
      <c r="B2799" s="4" t="s">
        <v>637</v>
      </c>
    </row>
    <row r="2800" ht="15.75" customHeight="1">
      <c r="A2800" s="4" t="s">
        <v>122</v>
      </c>
      <c r="B2800" s="4" t="s">
        <v>637</v>
      </c>
    </row>
    <row r="2801" ht="15.75" customHeight="1">
      <c r="A2801" s="4" t="s">
        <v>110</v>
      </c>
      <c r="B2801" s="4" t="s">
        <v>637</v>
      </c>
    </row>
    <row r="2802" ht="15.75" customHeight="1">
      <c r="A2802" s="4" t="s">
        <v>187</v>
      </c>
      <c r="B2802" s="4" t="s">
        <v>637</v>
      </c>
    </row>
    <row r="2803" ht="15.75" customHeight="1">
      <c r="A2803" s="4" t="s">
        <v>127</v>
      </c>
      <c r="B2803" s="4" t="s">
        <v>637</v>
      </c>
    </row>
    <row r="2804" ht="15.75" customHeight="1">
      <c r="A2804" s="4" t="s">
        <v>159</v>
      </c>
      <c r="B2804" s="4" t="s">
        <v>638</v>
      </c>
    </row>
    <row r="2805" ht="15.75" customHeight="1">
      <c r="A2805" s="4" t="s">
        <v>97</v>
      </c>
      <c r="B2805" s="4" t="s">
        <v>638</v>
      </c>
    </row>
    <row r="2806" ht="15.75" customHeight="1">
      <c r="A2806" s="4" t="s">
        <v>104</v>
      </c>
      <c r="B2806" s="4" t="s">
        <v>638</v>
      </c>
    </row>
    <row r="2807" ht="15.75" customHeight="1">
      <c r="A2807" s="4" t="s">
        <v>123</v>
      </c>
      <c r="B2807" s="4" t="s">
        <v>638</v>
      </c>
    </row>
    <row r="2808" ht="15.75" customHeight="1">
      <c r="A2808" s="4" t="s">
        <v>187</v>
      </c>
      <c r="B2808" s="4" t="s">
        <v>638</v>
      </c>
    </row>
    <row r="2809" ht="15.75" customHeight="1">
      <c r="A2809" s="4" t="s">
        <v>127</v>
      </c>
      <c r="B2809" s="4" t="s">
        <v>638</v>
      </c>
    </row>
    <row r="2810" ht="15.75" customHeight="1">
      <c r="A2810" s="4" t="s">
        <v>146</v>
      </c>
      <c r="B2810" s="4" t="s">
        <v>639</v>
      </c>
    </row>
    <row r="2811" ht="15.75" customHeight="1">
      <c r="A2811" s="4" t="s">
        <v>82</v>
      </c>
      <c r="B2811" s="4" t="s">
        <v>639</v>
      </c>
    </row>
    <row r="2812" ht="15.75" customHeight="1">
      <c r="A2812" s="4" t="s">
        <v>98</v>
      </c>
      <c r="B2812" s="4" t="s">
        <v>639</v>
      </c>
    </row>
    <row r="2813" ht="15.75" customHeight="1">
      <c r="A2813" s="4" t="s">
        <v>195</v>
      </c>
      <c r="B2813" s="4" t="s">
        <v>639</v>
      </c>
    </row>
    <row r="2814" ht="15.75" customHeight="1">
      <c r="A2814" s="4" t="s">
        <v>126</v>
      </c>
      <c r="B2814" s="4" t="s">
        <v>639</v>
      </c>
    </row>
    <row r="2815" ht="15.75" customHeight="1">
      <c r="A2815" s="4" t="s">
        <v>139</v>
      </c>
      <c r="B2815" s="4" t="s">
        <v>639</v>
      </c>
    </row>
    <row r="2816" ht="15.75" customHeight="1">
      <c r="A2816" s="4" t="s">
        <v>61</v>
      </c>
      <c r="B2816" s="4" t="s">
        <v>640</v>
      </c>
    </row>
    <row r="2817" ht="15.75" customHeight="1">
      <c r="A2817" s="4" t="s">
        <v>92</v>
      </c>
      <c r="B2817" s="4" t="s">
        <v>640</v>
      </c>
    </row>
    <row r="2818" ht="15.75" customHeight="1">
      <c r="A2818" s="4" t="s">
        <v>178</v>
      </c>
      <c r="B2818" s="4" t="s">
        <v>640</v>
      </c>
    </row>
    <row r="2819" ht="15.75" customHeight="1">
      <c r="A2819" s="4" t="s">
        <v>86</v>
      </c>
      <c r="B2819" s="4" t="s">
        <v>640</v>
      </c>
    </row>
    <row r="2820" ht="15.75" customHeight="1">
      <c r="A2820" s="4" t="s">
        <v>93</v>
      </c>
      <c r="B2820" s="4" t="s">
        <v>640</v>
      </c>
    </row>
    <row r="2821" ht="15.75" customHeight="1">
      <c r="A2821" s="4" t="s">
        <v>118</v>
      </c>
      <c r="B2821" s="4" t="s">
        <v>640</v>
      </c>
    </row>
    <row r="2822" ht="15.75" customHeight="1">
      <c r="A2822" s="4" t="s">
        <v>169</v>
      </c>
      <c r="B2822" s="4" t="s">
        <v>641</v>
      </c>
    </row>
    <row r="2823" ht="15.75" customHeight="1">
      <c r="A2823" s="4" t="s">
        <v>183</v>
      </c>
      <c r="B2823" s="4" t="s">
        <v>641</v>
      </c>
    </row>
    <row r="2824" ht="15.75" customHeight="1">
      <c r="A2824" s="4" t="s">
        <v>153</v>
      </c>
      <c r="B2824" s="4" t="s">
        <v>641</v>
      </c>
    </row>
    <row r="2825" ht="15.75" customHeight="1">
      <c r="A2825" s="4" t="s">
        <v>157</v>
      </c>
      <c r="B2825" s="4" t="s">
        <v>641</v>
      </c>
    </row>
    <row r="2826" ht="15.75" customHeight="1">
      <c r="A2826" s="4" t="s">
        <v>181</v>
      </c>
      <c r="B2826" s="4" t="s">
        <v>641</v>
      </c>
    </row>
    <row r="2827" ht="15.75" customHeight="1">
      <c r="A2827" s="4" t="s">
        <v>107</v>
      </c>
      <c r="B2827" s="4" t="s">
        <v>641</v>
      </c>
    </row>
    <row r="2828" ht="15.75" customHeight="1">
      <c r="A2828" s="4" t="s">
        <v>100</v>
      </c>
      <c r="B2828" s="4" t="s">
        <v>642</v>
      </c>
    </row>
    <row r="2829" ht="15.75" customHeight="1">
      <c r="A2829" s="4" t="s">
        <v>132</v>
      </c>
      <c r="B2829" s="4" t="s">
        <v>642</v>
      </c>
    </row>
    <row r="2830" ht="15.75" customHeight="1">
      <c r="A2830" s="4" t="s">
        <v>104</v>
      </c>
      <c r="B2830" s="4" t="s">
        <v>642</v>
      </c>
    </row>
    <row r="2831" ht="15.75" customHeight="1">
      <c r="A2831" s="4" t="s">
        <v>184</v>
      </c>
      <c r="B2831" s="4" t="s">
        <v>642</v>
      </c>
    </row>
    <row r="2832" ht="15.75" customHeight="1">
      <c r="A2832" s="4" t="s">
        <v>142</v>
      </c>
      <c r="B2832" s="4" t="s">
        <v>642</v>
      </c>
    </row>
    <row r="2833" ht="15.75" customHeight="1">
      <c r="A2833" s="4" t="s">
        <v>88</v>
      </c>
      <c r="B2833" s="4" t="s">
        <v>642</v>
      </c>
    </row>
    <row r="2834" ht="15.75" customHeight="1">
      <c r="A2834" s="4" t="s">
        <v>114</v>
      </c>
      <c r="B2834" s="4" t="s">
        <v>643</v>
      </c>
    </row>
    <row r="2835" ht="15.75" customHeight="1">
      <c r="A2835" s="4" t="s">
        <v>169</v>
      </c>
      <c r="B2835" s="4" t="s">
        <v>643</v>
      </c>
    </row>
    <row r="2836" ht="15.75" customHeight="1">
      <c r="A2836" s="4" t="s">
        <v>183</v>
      </c>
      <c r="B2836" s="4" t="s">
        <v>643</v>
      </c>
    </row>
    <row r="2837" ht="15.75" customHeight="1">
      <c r="A2837" s="4" t="s">
        <v>65</v>
      </c>
      <c r="B2837" s="4" t="s">
        <v>643</v>
      </c>
    </row>
    <row r="2838" ht="15.75" customHeight="1">
      <c r="A2838" s="4" t="s">
        <v>131</v>
      </c>
      <c r="B2838" s="4" t="s">
        <v>643</v>
      </c>
    </row>
    <row r="2839" ht="15.75" customHeight="1">
      <c r="A2839" s="4" t="s">
        <v>67</v>
      </c>
      <c r="B2839" s="4" t="s">
        <v>643</v>
      </c>
    </row>
    <row r="2840" ht="15.75" customHeight="1">
      <c r="A2840" s="4" t="s">
        <v>148</v>
      </c>
      <c r="B2840" s="4" t="s">
        <v>644</v>
      </c>
    </row>
    <row r="2841" ht="15.75" customHeight="1">
      <c r="A2841" s="4" t="s">
        <v>84</v>
      </c>
      <c r="B2841" s="4" t="s">
        <v>644</v>
      </c>
    </row>
    <row r="2842" ht="15.75" customHeight="1">
      <c r="A2842" s="4" t="s">
        <v>156</v>
      </c>
      <c r="B2842" s="4" t="s">
        <v>644</v>
      </c>
    </row>
    <row r="2843" ht="15.75" customHeight="1">
      <c r="A2843" s="4" t="s">
        <v>189</v>
      </c>
      <c r="B2843" s="4" t="s">
        <v>644</v>
      </c>
    </row>
    <row r="2844" ht="15.75" customHeight="1">
      <c r="A2844" s="4" t="s">
        <v>117</v>
      </c>
      <c r="B2844" s="4" t="s">
        <v>644</v>
      </c>
    </row>
    <row r="2845" ht="15.75" customHeight="1">
      <c r="A2845" s="4" t="s">
        <v>118</v>
      </c>
      <c r="B2845" s="4" t="s">
        <v>644</v>
      </c>
    </row>
    <row r="2846" ht="15.75" customHeight="1">
      <c r="A2846" s="4" t="s">
        <v>226</v>
      </c>
      <c r="B2846" s="4" t="s">
        <v>645</v>
      </c>
    </row>
    <row r="2847" ht="15.75" customHeight="1">
      <c r="A2847" s="4" t="s">
        <v>198</v>
      </c>
      <c r="B2847" s="4" t="s">
        <v>645</v>
      </c>
    </row>
    <row r="2848" ht="15.75" customHeight="1">
      <c r="A2848" s="4" t="s">
        <v>194</v>
      </c>
      <c r="B2848" s="4" t="s">
        <v>645</v>
      </c>
    </row>
    <row r="2849" ht="15.75" customHeight="1">
      <c r="A2849" s="4" t="s">
        <v>123</v>
      </c>
      <c r="B2849" s="4" t="s">
        <v>645</v>
      </c>
    </row>
    <row r="2850" ht="15.75" customHeight="1">
      <c r="A2850" s="4" t="s">
        <v>181</v>
      </c>
      <c r="B2850" s="4" t="s">
        <v>645</v>
      </c>
    </row>
    <row r="2851" ht="15.75" customHeight="1">
      <c r="A2851" s="4" t="s">
        <v>107</v>
      </c>
      <c r="B2851" s="4" t="s">
        <v>645</v>
      </c>
    </row>
    <row r="2852" ht="15.75" customHeight="1">
      <c r="A2852" s="4" t="s">
        <v>70</v>
      </c>
      <c r="B2852" s="4" t="s">
        <v>646</v>
      </c>
    </row>
    <row r="2853" ht="15.75" customHeight="1">
      <c r="A2853" s="4" t="s">
        <v>109</v>
      </c>
      <c r="B2853" s="4" t="s">
        <v>646</v>
      </c>
    </row>
    <row r="2854" ht="15.75" customHeight="1">
      <c r="A2854" s="4" t="s">
        <v>71</v>
      </c>
      <c r="B2854" s="4" t="s">
        <v>646</v>
      </c>
    </row>
    <row r="2855" ht="15.75" customHeight="1">
      <c r="A2855" s="4" t="s">
        <v>65</v>
      </c>
      <c r="B2855" s="4" t="s">
        <v>646</v>
      </c>
    </row>
    <row r="2856" ht="15.75" customHeight="1">
      <c r="A2856" s="4" t="s">
        <v>131</v>
      </c>
      <c r="B2856" s="4" t="s">
        <v>646</v>
      </c>
    </row>
    <row r="2857" ht="15.75" customHeight="1">
      <c r="A2857" s="4" t="s">
        <v>88</v>
      </c>
      <c r="B2857" s="4" t="s">
        <v>646</v>
      </c>
    </row>
    <row r="2858" ht="15.75" customHeight="1">
      <c r="A2858" s="4" t="s">
        <v>100</v>
      </c>
      <c r="B2858" s="4" t="s">
        <v>647</v>
      </c>
    </row>
    <row r="2859" ht="15.75" customHeight="1">
      <c r="A2859" s="4" t="s">
        <v>137</v>
      </c>
      <c r="B2859" s="4" t="s">
        <v>647</v>
      </c>
    </row>
    <row r="2860" ht="15.75" customHeight="1">
      <c r="A2860" s="4" t="s">
        <v>141</v>
      </c>
      <c r="B2860" s="4" t="s">
        <v>647</v>
      </c>
    </row>
    <row r="2861" ht="15.75" customHeight="1">
      <c r="A2861" s="4" t="s">
        <v>189</v>
      </c>
      <c r="B2861" s="4" t="s">
        <v>647</v>
      </c>
    </row>
    <row r="2862" ht="15.75" customHeight="1">
      <c r="A2862" s="4" t="s">
        <v>117</v>
      </c>
      <c r="B2862" s="4" t="s">
        <v>647</v>
      </c>
    </row>
    <row r="2863" ht="15.75" customHeight="1">
      <c r="A2863" s="4" t="s">
        <v>67</v>
      </c>
      <c r="B2863" s="4" t="s">
        <v>647</v>
      </c>
    </row>
    <row r="2864" ht="15.75" customHeight="1">
      <c r="A2864" s="4" t="s">
        <v>100</v>
      </c>
      <c r="B2864" s="4" t="s">
        <v>648</v>
      </c>
    </row>
    <row r="2865" ht="15.75" customHeight="1">
      <c r="A2865" s="4" t="s">
        <v>95</v>
      </c>
      <c r="B2865" s="4" t="s">
        <v>648</v>
      </c>
    </row>
    <row r="2866" ht="15.75" customHeight="1">
      <c r="A2866" s="4" t="s">
        <v>104</v>
      </c>
      <c r="B2866" s="4" t="s">
        <v>648</v>
      </c>
    </row>
    <row r="2867" ht="15.75" customHeight="1">
      <c r="A2867" s="4" t="s">
        <v>105</v>
      </c>
      <c r="B2867" s="4" t="s">
        <v>648</v>
      </c>
    </row>
    <row r="2868" ht="15.75" customHeight="1">
      <c r="A2868" s="4" t="s">
        <v>106</v>
      </c>
      <c r="B2868" s="4" t="s">
        <v>648</v>
      </c>
    </row>
    <row r="2869" ht="15.75" customHeight="1">
      <c r="A2869" s="4" t="s">
        <v>111</v>
      </c>
      <c r="B2869" s="4" t="s">
        <v>648</v>
      </c>
    </row>
    <row r="2870" ht="15.75" customHeight="1">
      <c r="A2870" s="4" t="s">
        <v>100</v>
      </c>
      <c r="B2870" s="4" t="s">
        <v>649</v>
      </c>
    </row>
    <row r="2871" ht="15.75" customHeight="1">
      <c r="A2871" s="4" t="s">
        <v>192</v>
      </c>
      <c r="B2871" s="4" t="s">
        <v>649</v>
      </c>
    </row>
    <row r="2872" ht="15.75" customHeight="1">
      <c r="A2872" s="4" t="s">
        <v>153</v>
      </c>
      <c r="B2872" s="4" t="s">
        <v>649</v>
      </c>
    </row>
    <row r="2873" ht="15.75" customHeight="1">
      <c r="A2873" s="4" t="s">
        <v>189</v>
      </c>
      <c r="B2873" s="4" t="s">
        <v>649</v>
      </c>
    </row>
    <row r="2874" ht="15.75" customHeight="1">
      <c r="A2874" s="4" t="s">
        <v>113</v>
      </c>
      <c r="B2874" s="4" t="s">
        <v>649</v>
      </c>
    </row>
    <row r="2875" ht="15.75" customHeight="1">
      <c r="A2875" s="4" t="s">
        <v>118</v>
      </c>
      <c r="B2875" s="4" t="s">
        <v>649</v>
      </c>
    </row>
    <row r="2876" ht="15.75" customHeight="1">
      <c r="A2876" s="4" t="s">
        <v>226</v>
      </c>
      <c r="B2876" s="4" t="s">
        <v>650</v>
      </c>
    </row>
    <row r="2877" ht="15.75" customHeight="1">
      <c r="A2877" s="4" t="s">
        <v>114</v>
      </c>
      <c r="B2877" s="4" t="s">
        <v>650</v>
      </c>
    </row>
    <row r="2878" ht="15.75" customHeight="1">
      <c r="A2878" s="4" t="s">
        <v>178</v>
      </c>
      <c r="B2878" s="4" t="s">
        <v>650</v>
      </c>
    </row>
    <row r="2879" ht="15.75" customHeight="1">
      <c r="A2879" s="4" t="s">
        <v>184</v>
      </c>
      <c r="B2879" s="4" t="s">
        <v>650</v>
      </c>
    </row>
    <row r="2880" ht="15.75" customHeight="1">
      <c r="A2880" s="4" t="s">
        <v>87</v>
      </c>
      <c r="B2880" s="4" t="s">
        <v>650</v>
      </c>
    </row>
    <row r="2881" ht="15.75" customHeight="1">
      <c r="A2881" s="4" t="s">
        <v>185</v>
      </c>
      <c r="B2881" s="4" t="s">
        <v>650</v>
      </c>
    </row>
    <row r="2882" ht="15.75" customHeight="1">
      <c r="A2882" s="4" t="s">
        <v>63</v>
      </c>
      <c r="B2882" s="4" t="s">
        <v>651</v>
      </c>
    </row>
    <row r="2883" ht="15.75" customHeight="1">
      <c r="A2883" s="4" t="s">
        <v>134</v>
      </c>
      <c r="B2883" s="4" t="s">
        <v>651</v>
      </c>
    </row>
    <row r="2884" ht="15.75" customHeight="1">
      <c r="A2884" s="4" t="s">
        <v>175</v>
      </c>
      <c r="B2884" s="4" t="s">
        <v>651</v>
      </c>
    </row>
    <row r="2885" ht="15.75" customHeight="1">
      <c r="A2885" s="4" t="s">
        <v>184</v>
      </c>
      <c r="B2885" s="4" t="s">
        <v>651</v>
      </c>
    </row>
    <row r="2886" ht="15.75" customHeight="1">
      <c r="A2886" s="4" t="s">
        <v>117</v>
      </c>
      <c r="B2886" s="4" t="s">
        <v>651</v>
      </c>
    </row>
    <row r="2887" ht="15.75" customHeight="1">
      <c r="A2887" s="4" t="s">
        <v>154</v>
      </c>
      <c r="B2887" s="4" t="s">
        <v>651</v>
      </c>
    </row>
    <row r="2888" ht="15.75" customHeight="1">
      <c r="A2888" s="4" t="s">
        <v>169</v>
      </c>
      <c r="B2888" s="4" t="s">
        <v>652</v>
      </c>
    </row>
    <row r="2889" ht="15.75" customHeight="1">
      <c r="A2889" s="4" t="s">
        <v>183</v>
      </c>
      <c r="B2889" s="4" t="s">
        <v>652</v>
      </c>
    </row>
    <row r="2890" ht="15.75" customHeight="1">
      <c r="A2890" s="4" t="s">
        <v>153</v>
      </c>
      <c r="B2890" s="4" t="s">
        <v>652</v>
      </c>
    </row>
    <row r="2891" ht="15.75" customHeight="1">
      <c r="A2891" s="4" t="s">
        <v>176</v>
      </c>
      <c r="B2891" s="4" t="s">
        <v>652</v>
      </c>
    </row>
    <row r="2892" ht="15.75" customHeight="1">
      <c r="A2892" s="4" t="s">
        <v>196</v>
      </c>
      <c r="B2892" s="4" t="s">
        <v>652</v>
      </c>
    </row>
    <row r="2893" ht="15.75" customHeight="1">
      <c r="A2893" s="4" t="s">
        <v>127</v>
      </c>
      <c r="B2893" s="4" t="s">
        <v>652</v>
      </c>
    </row>
    <row r="2894" ht="15.75" customHeight="1">
      <c r="A2894" s="4" t="s">
        <v>161</v>
      </c>
      <c r="B2894" s="4" t="s">
        <v>653</v>
      </c>
    </row>
    <row r="2895" ht="15.75" customHeight="1">
      <c r="A2895" s="4" t="s">
        <v>109</v>
      </c>
      <c r="B2895" s="4" t="s">
        <v>653</v>
      </c>
    </row>
    <row r="2896" ht="15.75" customHeight="1">
      <c r="A2896" s="4" t="s">
        <v>71</v>
      </c>
      <c r="B2896" s="4" t="s">
        <v>653</v>
      </c>
    </row>
    <row r="2897" ht="15.75" customHeight="1">
      <c r="A2897" s="4" t="s">
        <v>65</v>
      </c>
      <c r="B2897" s="4" t="s">
        <v>653</v>
      </c>
    </row>
    <row r="2898" ht="15.75" customHeight="1">
      <c r="A2898" s="4" t="s">
        <v>117</v>
      </c>
      <c r="B2898" s="4" t="s">
        <v>653</v>
      </c>
    </row>
    <row r="2899" ht="15.75" customHeight="1">
      <c r="A2899" s="4" t="s">
        <v>67</v>
      </c>
      <c r="B2899" s="4" t="s">
        <v>653</v>
      </c>
    </row>
    <row r="2900" ht="15.75" customHeight="1">
      <c r="A2900" s="4" t="s">
        <v>70</v>
      </c>
      <c r="B2900" s="4" t="s">
        <v>654</v>
      </c>
    </row>
    <row r="2901" ht="15.75" customHeight="1">
      <c r="A2901" s="4" t="s">
        <v>122</v>
      </c>
      <c r="B2901" s="4" t="s">
        <v>654</v>
      </c>
    </row>
    <row r="2902" ht="15.75" customHeight="1">
      <c r="A2902" s="4" t="s">
        <v>175</v>
      </c>
      <c r="B2902" s="4" t="s">
        <v>654</v>
      </c>
    </row>
    <row r="2903" ht="15.75" customHeight="1">
      <c r="A2903" s="4" t="s">
        <v>110</v>
      </c>
      <c r="B2903" s="4" t="s">
        <v>654</v>
      </c>
    </row>
    <row r="2904" ht="15.75" customHeight="1">
      <c r="A2904" s="4" t="s">
        <v>124</v>
      </c>
      <c r="B2904" s="4" t="s">
        <v>654</v>
      </c>
    </row>
    <row r="2905" ht="15.75" customHeight="1">
      <c r="A2905" s="4" t="s">
        <v>107</v>
      </c>
      <c r="B2905" s="4" t="s">
        <v>654</v>
      </c>
    </row>
    <row r="2906" ht="15.75" customHeight="1">
      <c r="A2906" s="4" t="s">
        <v>137</v>
      </c>
      <c r="B2906" s="4" t="s">
        <v>655</v>
      </c>
    </row>
    <row r="2907" ht="15.75" customHeight="1">
      <c r="A2907" s="4" t="s">
        <v>161</v>
      </c>
      <c r="B2907" s="4" t="s">
        <v>655</v>
      </c>
    </row>
    <row r="2908" ht="15.75" customHeight="1">
      <c r="A2908" s="4" t="s">
        <v>175</v>
      </c>
      <c r="B2908" s="4" t="s">
        <v>655</v>
      </c>
    </row>
    <row r="2909" ht="15.75" customHeight="1">
      <c r="A2909" s="4" t="s">
        <v>116</v>
      </c>
      <c r="B2909" s="4" t="s">
        <v>655</v>
      </c>
    </row>
    <row r="2910" ht="15.75" customHeight="1">
      <c r="A2910" s="4" t="s">
        <v>208</v>
      </c>
      <c r="B2910" s="4" t="s">
        <v>655</v>
      </c>
    </row>
    <row r="2911" ht="15.75" customHeight="1">
      <c r="A2911" s="4" t="s">
        <v>185</v>
      </c>
      <c r="B2911" s="4" t="s">
        <v>655</v>
      </c>
    </row>
    <row r="2912" ht="15.75" customHeight="1">
      <c r="A2912" s="4" t="s">
        <v>226</v>
      </c>
      <c r="B2912" s="4" t="s">
        <v>656</v>
      </c>
    </row>
    <row r="2913" ht="15.75" customHeight="1">
      <c r="A2913" s="4" t="s">
        <v>156</v>
      </c>
      <c r="B2913" s="4" t="s">
        <v>656</v>
      </c>
    </row>
    <row r="2914" ht="15.75" customHeight="1">
      <c r="A2914" s="4" t="s">
        <v>170</v>
      </c>
      <c r="B2914" s="4" t="s">
        <v>656</v>
      </c>
    </row>
    <row r="2915" ht="15.75" customHeight="1">
      <c r="A2915" s="4" t="s">
        <v>86</v>
      </c>
      <c r="B2915" s="4" t="s">
        <v>656</v>
      </c>
    </row>
    <row r="2916" ht="15.75" customHeight="1">
      <c r="A2916" s="4" t="s">
        <v>131</v>
      </c>
      <c r="B2916" s="4" t="s">
        <v>656</v>
      </c>
    </row>
    <row r="2917" ht="15.75" customHeight="1">
      <c r="A2917" s="4" t="s">
        <v>118</v>
      </c>
      <c r="B2917" s="4" t="s">
        <v>656</v>
      </c>
    </row>
    <row r="2918" ht="15.75" customHeight="1">
      <c r="A2918" s="4" t="s">
        <v>159</v>
      </c>
      <c r="B2918" s="4" t="s">
        <v>657</v>
      </c>
    </row>
    <row r="2919" ht="15.75" customHeight="1">
      <c r="A2919" s="4" t="s">
        <v>161</v>
      </c>
      <c r="B2919" s="4" t="s">
        <v>657</v>
      </c>
    </row>
    <row r="2920" ht="15.75" customHeight="1">
      <c r="A2920" s="4" t="s">
        <v>175</v>
      </c>
      <c r="B2920" s="4" t="s">
        <v>657</v>
      </c>
    </row>
    <row r="2921" ht="15.75" customHeight="1">
      <c r="A2921" s="4" t="s">
        <v>189</v>
      </c>
      <c r="B2921" s="4" t="s">
        <v>657</v>
      </c>
    </row>
    <row r="2922" ht="15.75" customHeight="1">
      <c r="A2922" s="4" t="s">
        <v>117</v>
      </c>
      <c r="B2922" s="4" t="s">
        <v>657</v>
      </c>
    </row>
    <row r="2923" ht="15.75" customHeight="1">
      <c r="A2923" s="4" t="s">
        <v>199</v>
      </c>
      <c r="B2923" s="4" t="s">
        <v>657</v>
      </c>
    </row>
    <row r="2924" ht="15.75" customHeight="1">
      <c r="A2924" s="4" t="s">
        <v>100</v>
      </c>
      <c r="B2924" s="4" t="s">
        <v>658</v>
      </c>
    </row>
    <row r="2925" ht="15.75" customHeight="1">
      <c r="A2925" s="4" t="s">
        <v>194</v>
      </c>
      <c r="B2925" s="4" t="s">
        <v>658</v>
      </c>
    </row>
    <row r="2926" ht="15.75" customHeight="1">
      <c r="A2926" s="4" t="s">
        <v>104</v>
      </c>
      <c r="B2926" s="4" t="s">
        <v>658</v>
      </c>
    </row>
    <row r="2927" ht="15.75" customHeight="1">
      <c r="A2927" s="4" t="s">
        <v>211</v>
      </c>
      <c r="B2927" s="4" t="s">
        <v>658</v>
      </c>
    </row>
    <row r="2928" ht="15.75" customHeight="1">
      <c r="A2928" s="4" t="s">
        <v>181</v>
      </c>
      <c r="B2928" s="4" t="s">
        <v>658</v>
      </c>
    </row>
    <row r="2929" ht="15.75" customHeight="1">
      <c r="A2929" s="4" t="s">
        <v>136</v>
      </c>
      <c r="B2929" s="4" t="s">
        <v>658</v>
      </c>
    </row>
    <row r="2930" ht="15.75" customHeight="1">
      <c r="A2930" s="4" t="s">
        <v>173</v>
      </c>
      <c r="B2930" s="4" t="s">
        <v>659</v>
      </c>
    </row>
    <row r="2931" ht="15.75" customHeight="1">
      <c r="A2931" s="4" t="s">
        <v>132</v>
      </c>
      <c r="B2931" s="4" t="s">
        <v>659</v>
      </c>
    </row>
    <row r="2932" ht="15.75" customHeight="1">
      <c r="A2932" s="4" t="s">
        <v>104</v>
      </c>
      <c r="B2932" s="4" t="s">
        <v>659</v>
      </c>
    </row>
    <row r="2933" ht="15.75" customHeight="1">
      <c r="A2933" s="4" t="s">
        <v>207</v>
      </c>
      <c r="B2933" s="4" t="s">
        <v>659</v>
      </c>
    </row>
    <row r="2934" ht="15.75" customHeight="1">
      <c r="A2934" s="4" t="s">
        <v>117</v>
      </c>
      <c r="B2934" s="4" t="s">
        <v>659</v>
      </c>
    </row>
    <row r="2935" ht="15.75" customHeight="1">
      <c r="A2935" s="4" t="s">
        <v>118</v>
      </c>
      <c r="B2935" s="4" t="s">
        <v>659</v>
      </c>
    </row>
    <row r="2936" ht="15.75" customHeight="1">
      <c r="A2936" s="4" t="s">
        <v>173</v>
      </c>
      <c r="B2936" s="4" t="s">
        <v>660</v>
      </c>
    </row>
    <row r="2937" ht="15.75" customHeight="1">
      <c r="A2937" s="4" t="s">
        <v>132</v>
      </c>
      <c r="B2937" s="4" t="s">
        <v>660</v>
      </c>
    </row>
    <row r="2938" ht="15.75" customHeight="1">
      <c r="A2938" s="4" t="s">
        <v>71</v>
      </c>
      <c r="B2938" s="4" t="s">
        <v>660</v>
      </c>
    </row>
    <row r="2939" ht="15.75" customHeight="1">
      <c r="A2939" s="4" t="s">
        <v>123</v>
      </c>
      <c r="B2939" s="4" t="s">
        <v>660</v>
      </c>
    </row>
    <row r="2940" ht="15.75" customHeight="1">
      <c r="A2940" s="4" t="s">
        <v>126</v>
      </c>
      <c r="B2940" s="4" t="s">
        <v>660</v>
      </c>
    </row>
    <row r="2941" ht="15.75" customHeight="1">
      <c r="A2941" s="4" t="s">
        <v>107</v>
      </c>
      <c r="B2941" s="4" t="s">
        <v>660</v>
      </c>
    </row>
    <row r="2942" ht="15.75" customHeight="1">
      <c r="A2942" s="4" t="s">
        <v>114</v>
      </c>
      <c r="B2942" s="4" t="s">
        <v>661</v>
      </c>
    </row>
    <row r="2943" ht="15.75" customHeight="1">
      <c r="A2943" s="4" t="s">
        <v>148</v>
      </c>
      <c r="B2943" s="4" t="s">
        <v>661</v>
      </c>
    </row>
    <row r="2944" ht="15.75" customHeight="1">
      <c r="A2944" s="4" t="s">
        <v>129</v>
      </c>
      <c r="B2944" s="4" t="s">
        <v>661</v>
      </c>
    </row>
    <row r="2945" ht="15.75" customHeight="1">
      <c r="A2945" s="4" t="s">
        <v>79</v>
      </c>
      <c r="B2945" s="4" t="s">
        <v>661</v>
      </c>
    </row>
    <row r="2946" ht="15.75" customHeight="1">
      <c r="A2946" s="4" t="s">
        <v>208</v>
      </c>
      <c r="B2946" s="4" t="s">
        <v>661</v>
      </c>
    </row>
    <row r="2947" ht="15.75" customHeight="1">
      <c r="A2947" s="4" t="s">
        <v>94</v>
      </c>
      <c r="B2947" s="4" t="s">
        <v>661</v>
      </c>
    </row>
    <row r="2948" ht="15.75" customHeight="1">
      <c r="A2948" s="4" t="s">
        <v>70</v>
      </c>
      <c r="B2948" s="4" t="s">
        <v>662</v>
      </c>
    </row>
    <row r="2949" ht="15.75" customHeight="1">
      <c r="A2949" s="4" t="s">
        <v>153</v>
      </c>
      <c r="B2949" s="4" t="s">
        <v>662</v>
      </c>
    </row>
    <row r="2950" ht="15.75" customHeight="1">
      <c r="A2950" s="4" t="s">
        <v>141</v>
      </c>
      <c r="B2950" s="4" t="s">
        <v>662</v>
      </c>
    </row>
    <row r="2951" ht="15.75" customHeight="1">
      <c r="A2951" s="4" t="s">
        <v>176</v>
      </c>
      <c r="B2951" s="4" t="s">
        <v>662</v>
      </c>
    </row>
    <row r="2952" ht="15.75" customHeight="1">
      <c r="A2952" s="4" t="s">
        <v>181</v>
      </c>
      <c r="B2952" s="4" t="s">
        <v>662</v>
      </c>
    </row>
    <row r="2953" ht="15.75" customHeight="1">
      <c r="A2953" s="4" t="s">
        <v>145</v>
      </c>
      <c r="B2953" s="4" t="s">
        <v>662</v>
      </c>
    </row>
    <row r="2954" ht="15.75" customHeight="1">
      <c r="A2954" s="4" t="s">
        <v>134</v>
      </c>
      <c r="B2954" s="4" t="s">
        <v>663</v>
      </c>
    </row>
    <row r="2955" ht="15.75" customHeight="1">
      <c r="A2955" s="4" t="s">
        <v>77</v>
      </c>
      <c r="B2955" s="4" t="s">
        <v>663</v>
      </c>
    </row>
    <row r="2956" ht="15.75" customHeight="1">
      <c r="A2956" s="4" t="s">
        <v>175</v>
      </c>
      <c r="B2956" s="4" t="s">
        <v>663</v>
      </c>
    </row>
    <row r="2957" ht="15.75" customHeight="1">
      <c r="A2957" s="4" t="s">
        <v>99</v>
      </c>
      <c r="B2957" s="4" t="s">
        <v>663</v>
      </c>
    </row>
    <row r="2958" ht="15.75" customHeight="1">
      <c r="A2958" s="4" t="s">
        <v>131</v>
      </c>
      <c r="B2958" s="4" t="s">
        <v>663</v>
      </c>
    </row>
    <row r="2959" ht="15.75" customHeight="1">
      <c r="A2959" s="4" t="s">
        <v>241</v>
      </c>
      <c r="B2959" s="4" t="s">
        <v>663</v>
      </c>
    </row>
    <row r="2960" ht="15.75" customHeight="1">
      <c r="A2960" s="4" t="s">
        <v>146</v>
      </c>
      <c r="B2960" s="4" t="s">
        <v>664</v>
      </c>
    </row>
    <row r="2961" ht="15.75" customHeight="1">
      <c r="A2961" s="4" t="s">
        <v>148</v>
      </c>
      <c r="B2961" s="4" t="s">
        <v>664</v>
      </c>
    </row>
    <row r="2962" ht="15.75" customHeight="1">
      <c r="A2962" s="4" t="s">
        <v>78</v>
      </c>
      <c r="B2962" s="4" t="s">
        <v>664</v>
      </c>
    </row>
    <row r="2963" ht="15.75" customHeight="1">
      <c r="A2963" s="4" t="s">
        <v>72</v>
      </c>
      <c r="B2963" s="4" t="s">
        <v>664</v>
      </c>
    </row>
    <row r="2964" ht="15.75" customHeight="1">
      <c r="A2964" s="4" t="s">
        <v>66</v>
      </c>
      <c r="B2964" s="4" t="s">
        <v>664</v>
      </c>
    </row>
    <row r="2965" ht="15.75" customHeight="1">
      <c r="A2965" s="4" t="s">
        <v>81</v>
      </c>
      <c r="B2965" s="4" t="s">
        <v>664</v>
      </c>
    </row>
    <row r="2966" ht="15.75" customHeight="1">
      <c r="A2966" s="4" t="s">
        <v>137</v>
      </c>
      <c r="B2966" s="4" t="s">
        <v>665</v>
      </c>
    </row>
    <row r="2967" ht="15.75" customHeight="1">
      <c r="A2967" s="4" t="s">
        <v>134</v>
      </c>
      <c r="B2967" s="4" t="s">
        <v>665</v>
      </c>
    </row>
    <row r="2968" ht="15.75" customHeight="1">
      <c r="A2968" s="4" t="s">
        <v>175</v>
      </c>
      <c r="B2968" s="4" t="s">
        <v>665</v>
      </c>
    </row>
    <row r="2969" ht="15.75" customHeight="1">
      <c r="A2969" s="4" t="s">
        <v>195</v>
      </c>
      <c r="B2969" s="4" t="s">
        <v>665</v>
      </c>
    </row>
    <row r="2970" ht="15.75" customHeight="1">
      <c r="A2970" s="4" t="s">
        <v>164</v>
      </c>
      <c r="B2970" s="4" t="s">
        <v>665</v>
      </c>
    </row>
    <row r="2971" ht="15.75" customHeight="1">
      <c r="A2971" s="4" t="s">
        <v>220</v>
      </c>
      <c r="B2971" s="4" t="s">
        <v>665</v>
      </c>
    </row>
    <row r="2972" ht="15.75" customHeight="1">
      <c r="A2972" s="4" t="s">
        <v>61</v>
      </c>
      <c r="B2972" s="4" t="s">
        <v>666</v>
      </c>
    </row>
    <row r="2973" ht="15.75" customHeight="1">
      <c r="A2973" s="4" t="s">
        <v>63</v>
      </c>
      <c r="B2973" s="4" t="s">
        <v>666</v>
      </c>
    </row>
    <row r="2974" ht="15.75" customHeight="1">
      <c r="A2974" s="4" t="s">
        <v>91</v>
      </c>
      <c r="B2974" s="4" t="s">
        <v>666</v>
      </c>
    </row>
    <row r="2975" ht="15.75" customHeight="1">
      <c r="A2975" s="4" t="s">
        <v>207</v>
      </c>
      <c r="B2975" s="4" t="s">
        <v>666</v>
      </c>
    </row>
    <row r="2976" ht="15.75" customHeight="1">
      <c r="A2976" s="4" t="s">
        <v>113</v>
      </c>
      <c r="B2976" s="4" t="s">
        <v>666</v>
      </c>
    </row>
    <row r="2977" ht="15.75" customHeight="1">
      <c r="A2977" s="4" t="s">
        <v>185</v>
      </c>
      <c r="B2977" s="4" t="s">
        <v>666</v>
      </c>
    </row>
    <row r="2978" ht="15.75" customHeight="1">
      <c r="A2978" s="4" t="s">
        <v>169</v>
      </c>
      <c r="B2978" s="4" t="s">
        <v>667</v>
      </c>
    </row>
    <row r="2979" ht="15.75" customHeight="1">
      <c r="A2979" s="4" t="s">
        <v>183</v>
      </c>
      <c r="B2979" s="4" t="s">
        <v>667</v>
      </c>
    </row>
    <row r="2980" ht="15.75" customHeight="1">
      <c r="A2980" s="4" t="s">
        <v>109</v>
      </c>
      <c r="B2980" s="4" t="s">
        <v>667</v>
      </c>
    </row>
    <row r="2981" ht="15.75" customHeight="1">
      <c r="A2981" s="4" t="s">
        <v>110</v>
      </c>
      <c r="B2981" s="4" t="s">
        <v>667</v>
      </c>
    </row>
    <row r="2982" ht="15.75" customHeight="1">
      <c r="A2982" s="4" t="s">
        <v>106</v>
      </c>
      <c r="B2982" s="4" t="s">
        <v>667</v>
      </c>
    </row>
    <row r="2983" ht="15.75" customHeight="1">
      <c r="A2983" s="4" t="s">
        <v>111</v>
      </c>
      <c r="B2983" s="4" t="s">
        <v>667</v>
      </c>
    </row>
    <row r="2984" ht="15.75" customHeight="1">
      <c r="A2984" s="4" t="s">
        <v>148</v>
      </c>
      <c r="B2984" s="4" t="s">
        <v>668</v>
      </c>
    </row>
    <row r="2985" ht="15.75" customHeight="1">
      <c r="A2985" s="4" t="s">
        <v>84</v>
      </c>
      <c r="B2985" s="4" t="s">
        <v>668</v>
      </c>
    </row>
    <row r="2986" ht="15.75" customHeight="1">
      <c r="A2986" s="4" t="s">
        <v>122</v>
      </c>
      <c r="B2986" s="4" t="s">
        <v>668</v>
      </c>
    </row>
    <row r="2987" ht="15.75" customHeight="1">
      <c r="A2987" s="4" t="s">
        <v>184</v>
      </c>
      <c r="B2987" s="4" t="s">
        <v>668</v>
      </c>
    </row>
    <row r="2988" ht="15.75" customHeight="1">
      <c r="A2988" s="4" t="s">
        <v>87</v>
      </c>
      <c r="B2988" s="4" t="s">
        <v>668</v>
      </c>
    </row>
    <row r="2989" ht="15.75" customHeight="1">
      <c r="A2989" s="4" t="s">
        <v>185</v>
      </c>
      <c r="B2989" s="4" t="s">
        <v>668</v>
      </c>
    </row>
    <row r="2990" ht="15.75" customHeight="1">
      <c r="A2990" s="4" t="s">
        <v>89</v>
      </c>
      <c r="B2990" s="4" t="s">
        <v>669</v>
      </c>
    </row>
    <row r="2991" ht="15.75" customHeight="1">
      <c r="A2991" s="4" t="s">
        <v>92</v>
      </c>
      <c r="B2991" s="4" t="s">
        <v>669</v>
      </c>
    </row>
    <row r="2992" ht="15.75" customHeight="1">
      <c r="A2992" s="4" t="s">
        <v>178</v>
      </c>
      <c r="B2992" s="4" t="s">
        <v>669</v>
      </c>
    </row>
    <row r="2993" ht="15.75" customHeight="1">
      <c r="A2993" s="4" t="s">
        <v>176</v>
      </c>
      <c r="B2993" s="4" t="s">
        <v>669</v>
      </c>
    </row>
    <row r="2994" ht="15.75" customHeight="1">
      <c r="A2994" s="4" t="s">
        <v>124</v>
      </c>
      <c r="B2994" s="4" t="s">
        <v>669</v>
      </c>
    </row>
    <row r="2995" ht="15.75" customHeight="1">
      <c r="A2995" s="4" t="s">
        <v>145</v>
      </c>
      <c r="B2995" s="4" t="s">
        <v>669</v>
      </c>
    </row>
    <row r="2996" ht="15.75" customHeight="1">
      <c r="A2996" s="4" t="s">
        <v>194</v>
      </c>
      <c r="B2996" s="4" t="s">
        <v>670</v>
      </c>
    </row>
    <row r="2997" ht="15.75" customHeight="1">
      <c r="A2997" s="4" t="s">
        <v>141</v>
      </c>
      <c r="B2997" s="4" t="s">
        <v>670</v>
      </c>
    </row>
    <row r="2998" ht="15.75" customHeight="1">
      <c r="A2998" s="4" t="s">
        <v>72</v>
      </c>
      <c r="B2998" s="4" t="s">
        <v>670</v>
      </c>
    </row>
    <row r="2999" ht="15.75" customHeight="1">
      <c r="A2999" s="4" t="s">
        <v>208</v>
      </c>
      <c r="B2999" s="4" t="s">
        <v>670</v>
      </c>
    </row>
    <row r="3000" ht="15.75" customHeight="1">
      <c r="A3000" s="4" t="s">
        <v>74</v>
      </c>
      <c r="B3000" s="4" t="s">
        <v>670</v>
      </c>
    </row>
    <row r="3001" ht="15.75" customHeight="1">
      <c r="A3001" s="4" t="s">
        <v>132</v>
      </c>
      <c r="B3001" s="4" t="s">
        <v>671</v>
      </c>
    </row>
    <row r="3002" ht="15.75" customHeight="1">
      <c r="A3002" s="4" t="s">
        <v>134</v>
      </c>
      <c r="B3002" s="4" t="s">
        <v>671</v>
      </c>
    </row>
    <row r="3003" ht="15.75" customHeight="1">
      <c r="A3003" s="4" t="s">
        <v>183</v>
      </c>
      <c r="B3003" s="4" t="s">
        <v>671</v>
      </c>
    </row>
    <row r="3004" ht="15.75" customHeight="1">
      <c r="A3004" s="4" t="s">
        <v>149</v>
      </c>
      <c r="B3004" s="4" t="s">
        <v>671</v>
      </c>
    </row>
    <row r="3005" ht="15.75" customHeight="1">
      <c r="A3005" s="4" t="s">
        <v>126</v>
      </c>
      <c r="B3005" s="4" t="s">
        <v>671</v>
      </c>
    </row>
    <row r="3006" ht="15.75" customHeight="1">
      <c r="A3006" s="4" t="s">
        <v>145</v>
      </c>
      <c r="B3006" s="4" t="s">
        <v>671</v>
      </c>
    </row>
    <row r="3007" ht="15.75" customHeight="1">
      <c r="A3007" s="4" t="s">
        <v>134</v>
      </c>
      <c r="B3007" s="4" t="s">
        <v>672</v>
      </c>
    </row>
    <row r="3008" ht="15.75" customHeight="1">
      <c r="A3008" s="4" t="s">
        <v>85</v>
      </c>
      <c r="B3008" s="4" t="s">
        <v>672</v>
      </c>
    </row>
    <row r="3009" ht="15.75" customHeight="1">
      <c r="A3009" s="4" t="s">
        <v>175</v>
      </c>
      <c r="B3009" s="4" t="s">
        <v>672</v>
      </c>
    </row>
    <row r="3010" ht="15.75" customHeight="1">
      <c r="A3010" s="4" t="s">
        <v>176</v>
      </c>
      <c r="B3010" s="4" t="s">
        <v>672</v>
      </c>
    </row>
    <row r="3011" ht="15.75" customHeight="1">
      <c r="A3011" s="4" t="s">
        <v>150</v>
      </c>
      <c r="B3011" s="4" t="s">
        <v>672</v>
      </c>
    </row>
    <row r="3012" ht="15.75" customHeight="1">
      <c r="A3012" s="4" t="s">
        <v>158</v>
      </c>
      <c r="B3012" s="4" t="s">
        <v>672</v>
      </c>
    </row>
    <row r="3013" ht="15.75" customHeight="1">
      <c r="A3013" s="4" t="s">
        <v>70</v>
      </c>
      <c r="B3013" s="4" t="s">
        <v>673</v>
      </c>
    </row>
    <row r="3014" ht="15.75" customHeight="1">
      <c r="A3014" s="4" t="s">
        <v>64</v>
      </c>
      <c r="B3014" s="4" t="s">
        <v>673</v>
      </c>
    </row>
    <row r="3015" ht="15.75" customHeight="1">
      <c r="A3015" s="4" t="s">
        <v>85</v>
      </c>
      <c r="B3015" s="4" t="s">
        <v>673</v>
      </c>
    </row>
    <row r="3016" ht="15.75" customHeight="1">
      <c r="A3016" s="4" t="s">
        <v>184</v>
      </c>
      <c r="B3016" s="4" t="s">
        <v>673</v>
      </c>
    </row>
    <row r="3017" ht="15.75" customHeight="1">
      <c r="A3017" s="4" t="s">
        <v>80</v>
      </c>
      <c r="B3017" s="4" t="s">
        <v>673</v>
      </c>
    </row>
    <row r="3018" ht="15.75" customHeight="1">
      <c r="A3018" s="4" t="s">
        <v>88</v>
      </c>
      <c r="B3018" s="4" t="s">
        <v>673</v>
      </c>
    </row>
    <row r="3019" ht="15.75" customHeight="1">
      <c r="A3019" s="4" t="s">
        <v>137</v>
      </c>
      <c r="B3019" s="4" t="s">
        <v>674</v>
      </c>
    </row>
    <row r="3020" ht="15.75" customHeight="1">
      <c r="A3020" s="4" t="s">
        <v>97</v>
      </c>
      <c r="B3020" s="4" t="s">
        <v>674</v>
      </c>
    </row>
    <row r="3021" ht="15.75" customHeight="1">
      <c r="A3021" s="4" t="s">
        <v>104</v>
      </c>
      <c r="B3021" s="4" t="s">
        <v>674</v>
      </c>
    </row>
    <row r="3022" ht="15.75" customHeight="1">
      <c r="A3022" s="4" t="s">
        <v>240</v>
      </c>
      <c r="B3022" s="4" t="s">
        <v>674</v>
      </c>
    </row>
    <row r="3023" ht="15.75" customHeight="1">
      <c r="A3023" s="4" t="s">
        <v>131</v>
      </c>
      <c r="B3023" s="4" t="s">
        <v>674</v>
      </c>
    </row>
    <row r="3024" ht="15.75" customHeight="1">
      <c r="A3024" s="4" t="s">
        <v>81</v>
      </c>
      <c r="B3024" s="4" t="s">
        <v>674</v>
      </c>
    </row>
    <row r="3025" ht="15.75" customHeight="1">
      <c r="A3025" s="4" t="s">
        <v>75</v>
      </c>
      <c r="B3025" s="4" t="s">
        <v>675</v>
      </c>
    </row>
    <row r="3026" ht="15.75" customHeight="1">
      <c r="A3026" s="4" t="s">
        <v>156</v>
      </c>
      <c r="B3026" s="4" t="s">
        <v>675</v>
      </c>
    </row>
    <row r="3027" ht="15.75" customHeight="1">
      <c r="A3027" s="4" t="s">
        <v>98</v>
      </c>
      <c r="B3027" s="4" t="s">
        <v>675</v>
      </c>
    </row>
    <row r="3028" ht="15.75" customHeight="1">
      <c r="A3028" s="4" t="s">
        <v>135</v>
      </c>
      <c r="B3028" s="4" t="s">
        <v>675</v>
      </c>
    </row>
    <row r="3029" ht="15.75" customHeight="1">
      <c r="A3029" s="4" t="s">
        <v>150</v>
      </c>
      <c r="B3029" s="4" t="s">
        <v>675</v>
      </c>
    </row>
    <row r="3030" ht="15.75" customHeight="1">
      <c r="A3030" s="4" t="s">
        <v>139</v>
      </c>
      <c r="B3030" s="4" t="s">
        <v>675</v>
      </c>
    </row>
    <row r="3031" ht="15.75" customHeight="1">
      <c r="A3031" s="4" t="s">
        <v>148</v>
      </c>
      <c r="B3031" s="4" t="s">
        <v>676</v>
      </c>
    </row>
    <row r="3032" ht="15.75" customHeight="1">
      <c r="A3032" s="4" t="s">
        <v>156</v>
      </c>
      <c r="B3032" s="4" t="s">
        <v>676</v>
      </c>
    </row>
    <row r="3033" ht="15.75" customHeight="1">
      <c r="A3033" s="4" t="s">
        <v>120</v>
      </c>
      <c r="B3033" s="4" t="s">
        <v>676</v>
      </c>
    </row>
    <row r="3034" ht="15.75" customHeight="1">
      <c r="A3034" s="4" t="s">
        <v>189</v>
      </c>
      <c r="B3034" s="4" t="s">
        <v>676</v>
      </c>
    </row>
    <row r="3035" ht="15.75" customHeight="1">
      <c r="A3035" s="4" t="s">
        <v>80</v>
      </c>
      <c r="B3035" s="4" t="s">
        <v>676</v>
      </c>
    </row>
    <row r="3036" ht="15.75" customHeight="1">
      <c r="A3036" s="4" t="s">
        <v>118</v>
      </c>
      <c r="B3036" s="4" t="s">
        <v>676</v>
      </c>
    </row>
    <row r="3037" ht="15.75" customHeight="1">
      <c r="A3037" s="4" t="s">
        <v>70</v>
      </c>
      <c r="B3037" s="4" t="s">
        <v>677</v>
      </c>
    </row>
    <row r="3038" ht="15.75" customHeight="1">
      <c r="A3038" s="4" t="s">
        <v>122</v>
      </c>
      <c r="B3038" s="4" t="s">
        <v>677</v>
      </c>
    </row>
    <row r="3039" ht="15.75" customHeight="1">
      <c r="A3039" s="4" t="s">
        <v>175</v>
      </c>
      <c r="B3039" s="4" t="s">
        <v>677</v>
      </c>
    </row>
    <row r="3040" ht="15.75" customHeight="1">
      <c r="A3040" s="4" t="s">
        <v>166</v>
      </c>
      <c r="B3040" s="4" t="s">
        <v>677</v>
      </c>
    </row>
    <row r="3041" ht="15.75" customHeight="1">
      <c r="A3041" s="4" t="s">
        <v>181</v>
      </c>
      <c r="B3041" s="4" t="s">
        <v>677</v>
      </c>
    </row>
    <row r="3042" ht="15.75" customHeight="1">
      <c r="A3042" s="4" t="s">
        <v>212</v>
      </c>
      <c r="B3042" s="4" t="s">
        <v>677</v>
      </c>
    </row>
    <row r="3043" ht="15.75" customHeight="1">
      <c r="A3043" s="4" t="s">
        <v>61</v>
      </c>
      <c r="B3043" s="4" t="s">
        <v>678</v>
      </c>
    </row>
    <row r="3044" ht="15.75" customHeight="1">
      <c r="A3044" s="4" t="s">
        <v>91</v>
      </c>
      <c r="B3044" s="4" t="s">
        <v>678</v>
      </c>
    </row>
    <row r="3045" ht="15.75" customHeight="1">
      <c r="A3045" s="4" t="s">
        <v>92</v>
      </c>
      <c r="B3045" s="4" t="s">
        <v>678</v>
      </c>
    </row>
    <row r="3046" ht="15.75" customHeight="1">
      <c r="A3046" s="4" t="s">
        <v>65</v>
      </c>
      <c r="B3046" s="4" t="s">
        <v>678</v>
      </c>
    </row>
    <row r="3047" ht="15.75" customHeight="1">
      <c r="A3047" s="4" t="s">
        <v>73</v>
      </c>
      <c r="B3047" s="4" t="s">
        <v>678</v>
      </c>
    </row>
    <row r="3048" ht="15.75" customHeight="1">
      <c r="A3048" s="4" t="s">
        <v>67</v>
      </c>
      <c r="B3048" s="4" t="s">
        <v>678</v>
      </c>
    </row>
    <row r="3049" ht="15.75" customHeight="1">
      <c r="A3049" s="4" t="s">
        <v>161</v>
      </c>
      <c r="B3049" s="4" t="s">
        <v>679</v>
      </c>
    </row>
    <row r="3050" ht="15.75" customHeight="1">
      <c r="A3050" s="4" t="s">
        <v>153</v>
      </c>
      <c r="B3050" s="4" t="s">
        <v>679</v>
      </c>
    </row>
    <row r="3051" ht="15.75" customHeight="1">
      <c r="A3051" s="4" t="s">
        <v>141</v>
      </c>
      <c r="B3051" s="4" t="s">
        <v>679</v>
      </c>
    </row>
    <row r="3052" ht="15.75" customHeight="1">
      <c r="A3052" s="4" t="s">
        <v>157</v>
      </c>
      <c r="B3052" s="4" t="s">
        <v>679</v>
      </c>
    </row>
    <row r="3053" ht="15.75" customHeight="1">
      <c r="A3053" s="4" t="s">
        <v>162</v>
      </c>
      <c r="B3053" s="4" t="s">
        <v>679</v>
      </c>
    </row>
    <row r="3054" ht="15.75" customHeight="1">
      <c r="A3054" s="4" t="s">
        <v>127</v>
      </c>
      <c r="B3054" s="4" t="s">
        <v>679</v>
      </c>
    </row>
    <row r="3055" ht="15.75" customHeight="1">
      <c r="A3055" s="4" t="s">
        <v>95</v>
      </c>
      <c r="B3055" s="4" t="s">
        <v>680</v>
      </c>
    </row>
    <row r="3056" ht="15.75" customHeight="1">
      <c r="A3056" s="4" t="s">
        <v>97</v>
      </c>
      <c r="B3056" s="4" t="s">
        <v>680</v>
      </c>
    </row>
    <row r="3057" ht="15.75" customHeight="1">
      <c r="A3057" s="4" t="s">
        <v>104</v>
      </c>
      <c r="B3057" s="4" t="s">
        <v>680</v>
      </c>
    </row>
    <row r="3058" ht="15.75" customHeight="1">
      <c r="A3058" s="4" t="s">
        <v>149</v>
      </c>
      <c r="B3058" s="4" t="s">
        <v>680</v>
      </c>
    </row>
    <row r="3059" ht="15.75" customHeight="1">
      <c r="A3059" s="4" t="s">
        <v>164</v>
      </c>
      <c r="B3059" s="4" t="s">
        <v>680</v>
      </c>
    </row>
    <row r="3060" ht="15.75" customHeight="1">
      <c r="A3060" s="4" t="s">
        <v>171</v>
      </c>
      <c r="B3060" s="4" t="s">
        <v>680</v>
      </c>
    </row>
    <row r="3061" ht="15.75" customHeight="1">
      <c r="A3061" s="4" t="s">
        <v>159</v>
      </c>
      <c r="B3061" s="4" t="s">
        <v>681</v>
      </c>
    </row>
    <row r="3062" ht="15.75" customHeight="1">
      <c r="A3062" s="4" t="s">
        <v>161</v>
      </c>
      <c r="B3062" s="4" t="s">
        <v>681</v>
      </c>
    </row>
    <row r="3063" ht="15.75" customHeight="1">
      <c r="A3063" s="4" t="s">
        <v>178</v>
      </c>
      <c r="B3063" s="4" t="s">
        <v>681</v>
      </c>
    </row>
    <row r="3064" ht="15.75" customHeight="1">
      <c r="A3064" s="4" t="s">
        <v>123</v>
      </c>
      <c r="B3064" s="4" t="s">
        <v>681</v>
      </c>
    </row>
    <row r="3065" ht="15.75" customHeight="1">
      <c r="A3065" s="4" t="s">
        <v>196</v>
      </c>
      <c r="B3065" s="4" t="s">
        <v>681</v>
      </c>
    </row>
    <row r="3066" ht="15.75" customHeight="1">
      <c r="A3066" s="4" t="s">
        <v>158</v>
      </c>
      <c r="B3066" s="4" t="s">
        <v>681</v>
      </c>
    </row>
    <row r="3067" ht="15.75" customHeight="1">
      <c r="A3067" s="4" t="s">
        <v>146</v>
      </c>
      <c r="B3067" s="4" t="s">
        <v>682</v>
      </c>
    </row>
    <row r="3068" ht="15.75" customHeight="1">
      <c r="A3068" s="4" t="s">
        <v>148</v>
      </c>
      <c r="B3068" s="4" t="s">
        <v>682</v>
      </c>
    </row>
    <row r="3069" ht="15.75" customHeight="1">
      <c r="A3069" s="4" t="s">
        <v>120</v>
      </c>
      <c r="B3069" s="4" t="s">
        <v>682</v>
      </c>
    </row>
    <row r="3070" ht="15.75" customHeight="1">
      <c r="A3070" s="4" t="s">
        <v>211</v>
      </c>
      <c r="B3070" s="4" t="s">
        <v>682</v>
      </c>
    </row>
    <row r="3071" ht="15.75" customHeight="1">
      <c r="A3071" s="4" t="s">
        <v>106</v>
      </c>
      <c r="B3071" s="4" t="s">
        <v>682</v>
      </c>
    </row>
    <row r="3072" ht="15.75" customHeight="1">
      <c r="A3072" s="4" t="s">
        <v>212</v>
      </c>
      <c r="B3072" s="4" t="s">
        <v>682</v>
      </c>
    </row>
    <row r="3073" ht="15.75" customHeight="1">
      <c r="A3073" s="4" t="s">
        <v>63</v>
      </c>
      <c r="B3073" s="4" t="s">
        <v>683</v>
      </c>
    </row>
    <row r="3074" ht="15.75" customHeight="1">
      <c r="A3074" s="4" t="s">
        <v>134</v>
      </c>
      <c r="B3074" s="4" t="s">
        <v>683</v>
      </c>
    </row>
    <row r="3075" ht="15.75" customHeight="1">
      <c r="A3075" s="4" t="s">
        <v>175</v>
      </c>
      <c r="B3075" s="4" t="s">
        <v>683</v>
      </c>
    </row>
    <row r="3076" ht="15.75" customHeight="1">
      <c r="A3076" s="4" t="s">
        <v>211</v>
      </c>
      <c r="B3076" s="4" t="s">
        <v>683</v>
      </c>
    </row>
    <row r="3077" ht="15.75" customHeight="1">
      <c r="A3077" s="4" t="s">
        <v>106</v>
      </c>
      <c r="B3077" s="4" t="s">
        <v>683</v>
      </c>
    </row>
    <row r="3078" ht="15.75" customHeight="1">
      <c r="A3078" s="4" t="s">
        <v>212</v>
      </c>
      <c r="B3078" s="4" t="s">
        <v>683</v>
      </c>
    </row>
    <row r="3079" ht="15.75" customHeight="1">
      <c r="A3079" s="4" t="s">
        <v>173</v>
      </c>
      <c r="B3079" s="4" t="s">
        <v>684</v>
      </c>
    </row>
    <row r="3080" ht="15.75" customHeight="1">
      <c r="A3080" s="4" t="s">
        <v>132</v>
      </c>
      <c r="B3080" s="4" t="s">
        <v>684</v>
      </c>
    </row>
    <row r="3081" ht="15.75" customHeight="1">
      <c r="A3081" s="4" t="s">
        <v>170</v>
      </c>
      <c r="B3081" s="4" t="s">
        <v>684</v>
      </c>
    </row>
    <row r="3082" ht="15.75" customHeight="1">
      <c r="A3082" s="4" t="s">
        <v>211</v>
      </c>
      <c r="B3082" s="4" t="s">
        <v>684</v>
      </c>
    </row>
    <row r="3083" ht="15.75" customHeight="1">
      <c r="A3083" s="4" t="s">
        <v>106</v>
      </c>
      <c r="B3083" s="4" t="s">
        <v>684</v>
      </c>
    </row>
    <row r="3084" ht="15.75" customHeight="1">
      <c r="A3084" s="4" t="s">
        <v>139</v>
      </c>
      <c r="B3084" s="4" t="s">
        <v>684</v>
      </c>
    </row>
    <row r="3085" ht="15.75" customHeight="1">
      <c r="A3085" s="4" t="s">
        <v>146</v>
      </c>
      <c r="B3085" s="4" t="s">
        <v>685</v>
      </c>
    </row>
    <row r="3086" ht="15.75" customHeight="1">
      <c r="A3086" s="4" t="s">
        <v>75</v>
      </c>
      <c r="B3086" s="4" t="s">
        <v>685</v>
      </c>
    </row>
    <row r="3087" ht="15.75" customHeight="1">
      <c r="A3087" s="4" t="s">
        <v>98</v>
      </c>
      <c r="B3087" s="4" t="s">
        <v>685</v>
      </c>
    </row>
    <row r="3088" ht="15.75" customHeight="1">
      <c r="A3088" s="4" t="s">
        <v>65</v>
      </c>
      <c r="B3088" s="4" t="s">
        <v>685</v>
      </c>
    </row>
    <row r="3089" ht="15.75" customHeight="1">
      <c r="A3089" s="4" t="s">
        <v>66</v>
      </c>
      <c r="B3089" s="4" t="s">
        <v>685</v>
      </c>
    </row>
    <row r="3090" ht="15.75" customHeight="1">
      <c r="A3090" s="4" t="s">
        <v>154</v>
      </c>
      <c r="B3090" s="4" t="s">
        <v>685</v>
      </c>
    </row>
    <row r="3091" ht="15.75" customHeight="1">
      <c r="A3091" s="4" t="s">
        <v>173</v>
      </c>
      <c r="B3091" s="4" t="s">
        <v>686</v>
      </c>
    </row>
    <row r="3092" ht="15.75" customHeight="1">
      <c r="A3092" s="4" t="s">
        <v>198</v>
      </c>
      <c r="B3092" s="4" t="s">
        <v>686</v>
      </c>
    </row>
    <row r="3093" ht="15.75" customHeight="1">
      <c r="A3093" s="4" t="s">
        <v>77</v>
      </c>
      <c r="B3093" s="4" t="s">
        <v>686</v>
      </c>
    </row>
    <row r="3094" ht="15.75" customHeight="1">
      <c r="A3094" s="4" t="s">
        <v>65</v>
      </c>
      <c r="B3094" s="4" t="s">
        <v>686</v>
      </c>
    </row>
    <row r="3095" ht="15.75" customHeight="1">
      <c r="A3095" s="4" t="s">
        <v>208</v>
      </c>
      <c r="B3095" s="4" t="s">
        <v>686</v>
      </c>
    </row>
    <row r="3096" ht="15.75" customHeight="1">
      <c r="A3096" s="4" t="s">
        <v>67</v>
      </c>
      <c r="B3096" s="4" t="s">
        <v>686</v>
      </c>
    </row>
    <row r="3097" ht="15.75" customHeight="1">
      <c r="A3097" s="4" t="s">
        <v>97</v>
      </c>
      <c r="B3097" s="4" t="s">
        <v>687</v>
      </c>
    </row>
    <row r="3098" ht="15.75" customHeight="1">
      <c r="A3098" s="4" t="s">
        <v>109</v>
      </c>
      <c r="B3098" s="4" t="s">
        <v>687</v>
      </c>
    </row>
    <row r="3099" ht="15.75" customHeight="1">
      <c r="A3099" s="4" t="s">
        <v>104</v>
      </c>
      <c r="B3099" s="4" t="s">
        <v>687</v>
      </c>
    </row>
    <row r="3100" ht="15.75" customHeight="1">
      <c r="A3100" s="4" t="s">
        <v>123</v>
      </c>
      <c r="B3100" s="4" t="s">
        <v>687</v>
      </c>
    </row>
    <row r="3101" ht="15.75" customHeight="1">
      <c r="A3101" s="4" t="s">
        <v>181</v>
      </c>
      <c r="B3101" s="4" t="s">
        <v>687</v>
      </c>
    </row>
    <row r="3102" ht="15.75" customHeight="1">
      <c r="A3102" s="4" t="s">
        <v>127</v>
      </c>
      <c r="B3102" s="4" t="s">
        <v>687</v>
      </c>
    </row>
    <row r="3103" ht="15.75" customHeight="1">
      <c r="A3103" s="4" t="s">
        <v>70</v>
      </c>
      <c r="B3103" s="4" t="s">
        <v>688</v>
      </c>
    </row>
    <row r="3104" ht="15.75" customHeight="1">
      <c r="A3104" s="4" t="s">
        <v>156</v>
      </c>
      <c r="B3104" s="4" t="s">
        <v>688</v>
      </c>
    </row>
    <row r="3105" ht="15.75" customHeight="1">
      <c r="A3105" s="4" t="s">
        <v>120</v>
      </c>
      <c r="B3105" s="4" t="s">
        <v>688</v>
      </c>
    </row>
    <row r="3106" ht="15.75" customHeight="1">
      <c r="A3106" s="4" t="s">
        <v>211</v>
      </c>
      <c r="B3106" s="4" t="s">
        <v>688</v>
      </c>
    </row>
    <row r="3107" ht="15.75" customHeight="1">
      <c r="A3107" s="4" t="s">
        <v>196</v>
      </c>
      <c r="B3107" s="4" t="s">
        <v>688</v>
      </c>
    </row>
    <row r="3108" ht="15.75" customHeight="1">
      <c r="A3108" s="4" t="s">
        <v>220</v>
      </c>
      <c r="B3108" s="4" t="s">
        <v>688</v>
      </c>
    </row>
    <row r="3109" ht="15.75" customHeight="1">
      <c r="A3109" s="4" t="s">
        <v>89</v>
      </c>
      <c r="B3109" s="4" t="s">
        <v>689</v>
      </c>
    </row>
    <row r="3110" ht="15.75" customHeight="1">
      <c r="A3110" s="4" t="s">
        <v>146</v>
      </c>
      <c r="B3110" s="4" t="s">
        <v>689</v>
      </c>
    </row>
    <row r="3111" ht="15.75" customHeight="1">
      <c r="A3111" s="4" t="s">
        <v>99</v>
      </c>
      <c r="B3111" s="4" t="s">
        <v>689</v>
      </c>
    </row>
    <row r="3112" ht="15.75" customHeight="1">
      <c r="A3112" s="4" t="s">
        <v>93</v>
      </c>
      <c r="B3112" s="4" t="s">
        <v>689</v>
      </c>
    </row>
    <row r="3113" ht="15.75" customHeight="1">
      <c r="A3113" s="4" t="s">
        <v>241</v>
      </c>
      <c r="B3113" s="4" t="s">
        <v>689</v>
      </c>
    </row>
    <row r="3114" ht="15.75" customHeight="1">
      <c r="A3114" s="4" t="s">
        <v>137</v>
      </c>
      <c r="B3114" s="4" t="s">
        <v>690</v>
      </c>
    </row>
    <row r="3115" ht="15.75" customHeight="1">
      <c r="A3115" s="4" t="s">
        <v>134</v>
      </c>
      <c r="B3115" s="4" t="s">
        <v>690</v>
      </c>
    </row>
    <row r="3116" ht="15.75" customHeight="1">
      <c r="A3116" s="4" t="s">
        <v>183</v>
      </c>
      <c r="B3116" s="4" t="s">
        <v>690</v>
      </c>
    </row>
    <row r="3117" ht="15.75" customHeight="1">
      <c r="A3117" s="4" t="s">
        <v>65</v>
      </c>
      <c r="B3117" s="4" t="s">
        <v>690</v>
      </c>
    </row>
    <row r="3118" ht="15.75" customHeight="1">
      <c r="A3118" s="4" t="s">
        <v>73</v>
      </c>
      <c r="B3118" s="4" t="s">
        <v>690</v>
      </c>
    </row>
    <row r="3119" ht="15.75" customHeight="1">
      <c r="A3119" s="4" t="s">
        <v>118</v>
      </c>
      <c r="B3119" s="4" t="s">
        <v>690</v>
      </c>
    </row>
    <row r="3120" ht="15.75" customHeight="1">
      <c r="A3120" s="4" t="s">
        <v>143</v>
      </c>
      <c r="B3120" s="4" t="s">
        <v>691</v>
      </c>
    </row>
    <row r="3121" ht="15.75" customHeight="1">
      <c r="A3121" s="4" t="s">
        <v>63</v>
      </c>
      <c r="B3121" s="4" t="s">
        <v>691</v>
      </c>
    </row>
    <row r="3122" ht="15.75" customHeight="1">
      <c r="A3122" s="4" t="s">
        <v>129</v>
      </c>
      <c r="B3122" s="4" t="s">
        <v>691</v>
      </c>
    </row>
    <row r="3123" ht="15.75" customHeight="1">
      <c r="A3123" s="4" t="s">
        <v>79</v>
      </c>
      <c r="B3123" s="4" t="s">
        <v>691</v>
      </c>
    </row>
    <row r="3124" ht="15.75" customHeight="1">
      <c r="A3124" s="4" t="s">
        <v>142</v>
      </c>
      <c r="B3124" s="4" t="s">
        <v>691</v>
      </c>
    </row>
    <row r="3125" ht="15.75" customHeight="1">
      <c r="A3125" s="4" t="s">
        <v>81</v>
      </c>
      <c r="B3125" s="4" t="s">
        <v>691</v>
      </c>
    </row>
    <row r="3126" ht="15.75" customHeight="1">
      <c r="A3126" s="4" t="s">
        <v>134</v>
      </c>
      <c r="B3126" s="4" t="s">
        <v>692</v>
      </c>
    </row>
    <row r="3127" ht="15.75" customHeight="1">
      <c r="A3127" s="4" t="s">
        <v>92</v>
      </c>
      <c r="B3127" s="4" t="s">
        <v>692</v>
      </c>
    </row>
    <row r="3128" ht="15.75" customHeight="1">
      <c r="A3128" s="4" t="s">
        <v>183</v>
      </c>
      <c r="B3128" s="4" t="s">
        <v>692</v>
      </c>
    </row>
    <row r="3129" ht="15.75" customHeight="1">
      <c r="A3129" s="4" t="s">
        <v>123</v>
      </c>
      <c r="B3129" s="4" t="s">
        <v>692</v>
      </c>
    </row>
    <row r="3130" ht="15.75" customHeight="1">
      <c r="A3130" s="4" t="s">
        <v>187</v>
      </c>
      <c r="B3130" s="4" t="s">
        <v>692</v>
      </c>
    </row>
    <row r="3131" ht="15.75" customHeight="1">
      <c r="A3131" s="4" t="s">
        <v>158</v>
      </c>
      <c r="B3131" s="4" t="s">
        <v>692</v>
      </c>
    </row>
    <row r="3132" ht="15.75" customHeight="1">
      <c r="A3132" s="4" t="s">
        <v>70</v>
      </c>
      <c r="B3132" s="4" t="s">
        <v>693</v>
      </c>
    </row>
    <row r="3133" ht="15.75" customHeight="1">
      <c r="A3133" s="4" t="s">
        <v>198</v>
      </c>
      <c r="B3133" s="4" t="s">
        <v>693</v>
      </c>
    </row>
    <row r="3134" ht="15.75" customHeight="1">
      <c r="A3134" s="4" t="s">
        <v>156</v>
      </c>
      <c r="B3134" s="4" t="s">
        <v>693</v>
      </c>
    </row>
    <row r="3135" ht="15.75" customHeight="1">
      <c r="A3135" s="4" t="s">
        <v>176</v>
      </c>
      <c r="B3135" s="4" t="s">
        <v>693</v>
      </c>
    </row>
    <row r="3136" ht="15.75" customHeight="1">
      <c r="A3136" s="4" t="s">
        <v>222</v>
      </c>
      <c r="B3136" s="4" t="s">
        <v>693</v>
      </c>
    </row>
    <row r="3137" ht="15.75" customHeight="1">
      <c r="A3137" s="4" t="s">
        <v>127</v>
      </c>
      <c r="B3137" s="4" t="s">
        <v>693</v>
      </c>
    </row>
    <row r="3138" ht="15.75" customHeight="1">
      <c r="A3138" s="4" t="s">
        <v>82</v>
      </c>
      <c r="B3138" s="4" t="s">
        <v>694</v>
      </c>
    </row>
    <row r="3139" ht="15.75" customHeight="1">
      <c r="A3139" s="4" t="s">
        <v>68</v>
      </c>
      <c r="B3139" s="4" t="s">
        <v>694</v>
      </c>
    </row>
    <row r="3140" ht="15.75" customHeight="1">
      <c r="A3140" s="4" t="s">
        <v>192</v>
      </c>
      <c r="B3140" s="4" t="s">
        <v>694</v>
      </c>
    </row>
    <row r="3141" ht="15.75" customHeight="1">
      <c r="A3141" s="4" t="s">
        <v>99</v>
      </c>
      <c r="B3141" s="4" t="s">
        <v>694</v>
      </c>
    </row>
    <row r="3142" ht="15.75" customHeight="1">
      <c r="A3142" s="4" t="s">
        <v>208</v>
      </c>
      <c r="B3142" s="4" t="s">
        <v>694</v>
      </c>
    </row>
    <row r="3143" ht="15.75" customHeight="1">
      <c r="A3143" s="4" t="s">
        <v>241</v>
      </c>
      <c r="B3143" s="4" t="s">
        <v>694</v>
      </c>
    </row>
    <row r="3144" ht="15.75" customHeight="1">
      <c r="A3144" s="4" t="s">
        <v>146</v>
      </c>
      <c r="B3144" s="4" t="s">
        <v>695</v>
      </c>
    </row>
    <row r="3145" ht="15.75" customHeight="1">
      <c r="A3145" s="4" t="s">
        <v>148</v>
      </c>
      <c r="B3145" s="4" t="s">
        <v>695</v>
      </c>
    </row>
    <row r="3146" ht="15.75" customHeight="1">
      <c r="A3146" s="4" t="s">
        <v>78</v>
      </c>
      <c r="B3146" s="4" t="s">
        <v>695</v>
      </c>
    </row>
    <row r="3147" ht="15.75" customHeight="1">
      <c r="A3147" s="4" t="s">
        <v>211</v>
      </c>
      <c r="B3147" s="4" t="s">
        <v>695</v>
      </c>
    </row>
    <row r="3148" ht="15.75" customHeight="1">
      <c r="A3148" s="4" t="s">
        <v>196</v>
      </c>
      <c r="B3148" s="4" t="s">
        <v>695</v>
      </c>
    </row>
    <row r="3149" ht="15.75" customHeight="1">
      <c r="A3149" s="4" t="s">
        <v>212</v>
      </c>
      <c r="B3149" s="4" t="s">
        <v>695</v>
      </c>
    </row>
    <row r="3150" ht="15.75" customHeight="1">
      <c r="A3150" s="4" t="s">
        <v>146</v>
      </c>
      <c r="B3150" s="4" t="s">
        <v>696</v>
      </c>
    </row>
    <row r="3151" ht="15.75" customHeight="1">
      <c r="A3151" s="4" t="s">
        <v>70</v>
      </c>
      <c r="B3151" s="4" t="s">
        <v>696</v>
      </c>
    </row>
    <row r="3152" ht="15.75" customHeight="1">
      <c r="A3152" s="4" t="s">
        <v>78</v>
      </c>
      <c r="B3152" s="4" t="s">
        <v>696</v>
      </c>
    </row>
    <row r="3153" ht="15.75" customHeight="1">
      <c r="A3153" s="4" t="s">
        <v>176</v>
      </c>
      <c r="B3153" s="4" t="s">
        <v>696</v>
      </c>
    </row>
    <row r="3154" ht="15.75" customHeight="1">
      <c r="A3154" s="4" t="s">
        <v>164</v>
      </c>
      <c r="B3154" s="4" t="s">
        <v>696</v>
      </c>
    </row>
    <row r="3155" ht="15.75" customHeight="1">
      <c r="A3155" s="4" t="s">
        <v>145</v>
      </c>
      <c r="B3155" s="4" t="s">
        <v>696</v>
      </c>
    </row>
    <row r="3156" ht="15.75" customHeight="1">
      <c r="A3156" s="4" t="s">
        <v>82</v>
      </c>
      <c r="B3156" s="4" t="s">
        <v>697</v>
      </c>
    </row>
    <row r="3157" ht="15.75" customHeight="1">
      <c r="A3157" s="4" t="s">
        <v>114</v>
      </c>
      <c r="B3157" s="4" t="s">
        <v>697</v>
      </c>
    </row>
    <row r="3158" ht="15.75" customHeight="1">
      <c r="A3158" s="4" t="s">
        <v>120</v>
      </c>
      <c r="B3158" s="4" t="s">
        <v>697</v>
      </c>
    </row>
    <row r="3159" ht="15.75" customHeight="1">
      <c r="A3159" s="4" t="s">
        <v>72</v>
      </c>
      <c r="B3159" s="4" t="s">
        <v>697</v>
      </c>
    </row>
    <row r="3160" ht="15.75" customHeight="1">
      <c r="A3160" s="4" t="s">
        <v>117</v>
      </c>
      <c r="B3160" s="4" t="s">
        <v>697</v>
      </c>
    </row>
    <row r="3161" ht="15.75" customHeight="1">
      <c r="A3161" s="4" t="s">
        <v>94</v>
      </c>
      <c r="B3161" s="4" t="s">
        <v>697</v>
      </c>
    </row>
    <row r="3162" ht="15.75" customHeight="1">
      <c r="A3162" s="4" t="s">
        <v>148</v>
      </c>
      <c r="B3162" s="4" t="s">
        <v>698</v>
      </c>
    </row>
    <row r="3163" ht="15.75" customHeight="1">
      <c r="A3163" s="4" t="s">
        <v>85</v>
      </c>
      <c r="B3163" s="4" t="s">
        <v>698</v>
      </c>
    </row>
    <row r="3164" ht="15.75" customHeight="1">
      <c r="A3164" s="4" t="s">
        <v>120</v>
      </c>
      <c r="B3164" s="4" t="s">
        <v>698</v>
      </c>
    </row>
    <row r="3165" ht="15.75" customHeight="1">
      <c r="A3165" s="4" t="s">
        <v>207</v>
      </c>
      <c r="B3165" s="4" t="s">
        <v>698</v>
      </c>
    </row>
    <row r="3166" ht="15.75" customHeight="1">
      <c r="A3166" s="4" t="s">
        <v>80</v>
      </c>
      <c r="B3166" s="4" t="s">
        <v>698</v>
      </c>
    </row>
    <row r="3167" ht="15.75" customHeight="1">
      <c r="A3167" s="4" t="s">
        <v>88</v>
      </c>
      <c r="B3167" s="4" t="s">
        <v>698</v>
      </c>
    </row>
    <row r="3168" ht="15.75" customHeight="1">
      <c r="A3168" s="4" t="s">
        <v>97</v>
      </c>
      <c r="B3168" s="4" t="s">
        <v>699</v>
      </c>
    </row>
    <row r="3169" ht="15.75" customHeight="1">
      <c r="A3169" s="4" t="s">
        <v>92</v>
      </c>
      <c r="B3169" s="4" t="s">
        <v>699</v>
      </c>
    </row>
    <row r="3170" ht="15.75" customHeight="1">
      <c r="A3170" s="4" t="s">
        <v>141</v>
      </c>
      <c r="B3170" s="4" t="s">
        <v>699</v>
      </c>
    </row>
    <row r="3171" ht="15.75" customHeight="1">
      <c r="A3171" s="4" t="s">
        <v>72</v>
      </c>
      <c r="B3171" s="4" t="s">
        <v>699</v>
      </c>
    </row>
    <row r="3172" ht="15.75" customHeight="1">
      <c r="A3172" s="4" t="s">
        <v>93</v>
      </c>
      <c r="B3172" s="4" t="s">
        <v>699</v>
      </c>
    </row>
    <row r="3173" ht="15.75" customHeight="1">
      <c r="A3173" s="4" t="s">
        <v>74</v>
      </c>
      <c r="B3173" s="4" t="s">
        <v>699</v>
      </c>
    </row>
    <row r="3174" ht="15.75" customHeight="1">
      <c r="A3174" s="4" t="s">
        <v>148</v>
      </c>
      <c r="B3174" s="4" t="s">
        <v>700</v>
      </c>
    </row>
    <row r="3175" ht="15.75" customHeight="1">
      <c r="A3175" s="4" t="s">
        <v>129</v>
      </c>
      <c r="B3175" s="4" t="s">
        <v>700</v>
      </c>
    </row>
    <row r="3176" ht="15.75" customHeight="1">
      <c r="A3176" s="4" t="s">
        <v>77</v>
      </c>
      <c r="B3176" s="4" t="s">
        <v>700</v>
      </c>
    </row>
    <row r="3177" ht="15.75" customHeight="1">
      <c r="A3177" s="4" t="s">
        <v>99</v>
      </c>
      <c r="B3177" s="4" t="s">
        <v>700</v>
      </c>
    </row>
    <row r="3178" ht="15.75" customHeight="1">
      <c r="A3178" s="4" t="s">
        <v>131</v>
      </c>
      <c r="B3178" s="4" t="s">
        <v>700</v>
      </c>
    </row>
    <row r="3179" ht="15.75" customHeight="1">
      <c r="A3179" s="4" t="s">
        <v>74</v>
      </c>
      <c r="B3179" s="4" t="s">
        <v>700</v>
      </c>
    </row>
    <row r="3180" ht="15.75" customHeight="1">
      <c r="A3180" s="4" t="s">
        <v>226</v>
      </c>
      <c r="B3180" s="4" t="s">
        <v>701</v>
      </c>
    </row>
    <row r="3181" ht="15.75" customHeight="1">
      <c r="A3181" s="4" t="s">
        <v>198</v>
      </c>
      <c r="B3181" s="4" t="s">
        <v>701</v>
      </c>
    </row>
    <row r="3182" ht="15.75" customHeight="1">
      <c r="A3182" s="4" t="s">
        <v>156</v>
      </c>
      <c r="B3182" s="4" t="s">
        <v>701</v>
      </c>
    </row>
    <row r="3183" ht="15.75" customHeight="1">
      <c r="A3183" s="4" t="s">
        <v>157</v>
      </c>
      <c r="B3183" s="4" t="s">
        <v>701</v>
      </c>
    </row>
    <row r="3184" ht="15.75" customHeight="1">
      <c r="A3184" s="4" t="s">
        <v>150</v>
      </c>
      <c r="B3184" s="4" t="s">
        <v>701</v>
      </c>
    </row>
    <row r="3185" ht="15.75" customHeight="1">
      <c r="A3185" s="4" t="s">
        <v>107</v>
      </c>
      <c r="B3185" s="4" t="s">
        <v>701</v>
      </c>
    </row>
    <row r="3186" ht="15.75" customHeight="1">
      <c r="A3186" s="4" t="s">
        <v>137</v>
      </c>
      <c r="B3186" s="4" t="s">
        <v>702</v>
      </c>
    </row>
    <row r="3187" ht="15.75" customHeight="1">
      <c r="A3187" s="4" t="s">
        <v>161</v>
      </c>
      <c r="B3187" s="4" t="s">
        <v>702</v>
      </c>
    </row>
    <row r="3188" ht="15.75" customHeight="1">
      <c r="A3188" s="4" t="s">
        <v>170</v>
      </c>
      <c r="B3188" s="4" t="s">
        <v>702</v>
      </c>
    </row>
    <row r="3189" ht="15.75" customHeight="1">
      <c r="A3189" s="4" t="s">
        <v>99</v>
      </c>
      <c r="B3189" s="4" t="s">
        <v>702</v>
      </c>
    </row>
    <row r="3190" ht="15.75" customHeight="1">
      <c r="A3190" s="4" t="s">
        <v>93</v>
      </c>
      <c r="B3190" s="4" t="s">
        <v>702</v>
      </c>
    </row>
    <row r="3191" ht="15.75" customHeight="1">
      <c r="A3191" s="4" t="s">
        <v>94</v>
      </c>
      <c r="B3191" s="4" t="s">
        <v>702</v>
      </c>
    </row>
    <row r="3192" ht="15.75" customHeight="1">
      <c r="A3192" s="4" t="s">
        <v>63</v>
      </c>
      <c r="B3192" s="4" t="s">
        <v>703</v>
      </c>
    </row>
    <row r="3193" ht="15.75" customHeight="1">
      <c r="A3193" s="4" t="s">
        <v>97</v>
      </c>
      <c r="B3193" s="4" t="s">
        <v>703</v>
      </c>
    </row>
    <row r="3194" ht="15.75" customHeight="1">
      <c r="A3194" s="4" t="s">
        <v>98</v>
      </c>
      <c r="B3194" s="4" t="s">
        <v>703</v>
      </c>
    </row>
    <row r="3195" ht="15.75" customHeight="1">
      <c r="A3195" s="4" t="s">
        <v>123</v>
      </c>
      <c r="B3195" s="4" t="s">
        <v>703</v>
      </c>
    </row>
    <row r="3196" ht="15.75" customHeight="1">
      <c r="A3196" s="4" t="s">
        <v>187</v>
      </c>
      <c r="B3196" s="4" t="s">
        <v>703</v>
      </c>
    </row>
    <row r="3197" ht="15.75" customHeight="1">
      <c r="A3197" s="4" t="s">
        <v>171</v>
      </c>
      <c r="B3197" s="4" t="s">
        <v>703</v>
      </c>
    </row>
    <row r="3198" ht="15.75" customHeight="1">
      <c r="A3198" s="4" t="s">
        <v>89</v>
      </c>
      <c r="B3198" s="4" t="s">
        <v>704</v>
      </c>
    </row>
    <row r="3199" ht="15.75" customHeight="1">
      <c r="A3199" s="4" t="s">
        <v>64</v>
      </c>
      <c r="B3199" s="4" t="s">
        <v>704</v>
      </c>
    </row>
    <row r="3200" ht="15.75" customHeight="1">
      <c r="A3200" s="4" t="s">
        <v>122</v>
      </c>
      <c r="B3200" s="4" t="s">
        <v>704</v>
      </c>
    </row>
    <row r="3201" ht="15.75" customHeight="1">
      <c r="A3201" s="4" t="s">
        <v>184</v>
      </c>
      <c r="B3201" s="4" t="s">
        <v>704</v>
      </c>
    </row>
    <row r="3202" ht="15.75" customHeight="1">
      <c r="A3202" s="4" t="s">
        <v>87</v>
      </c>
      <c r="B3202" s="4" t="s">
        <v>704</v>
      </c>
    </row>
    <row r="3203" ht="15.75" customHeight="1">
      <c r="A3203" s="4" t="s">
        <v>199</v>
      </c>
      <c r="B3203" s="4" t="s">
        <v>704</v>
      </c>
    </row>
    <row r="3204" ht="15.75" customHeight="1">
      <c r="A3204" s="4" t="s">
        <v>114</v>
      </c>
      <c r="B3204" s="4" t="s">
        <v>705</v>
      </c>
    </row>
    <row r="3205" ht="15.75" customHeight="1">
      <c r="A3205" s="4" t="s">
        <v>148</v>
      </c>
      <c r="B3205" s="4" t="s">
        <v>705</v>
      </c>
    </row>
    <row r="3206" ht="15.75" customHeight="1">
      <c r="A3206" s="4" t="s">
        <v>120</v>
      </c>
      <c r="B3206" s="4" t="s">
        <v>705</v>
      </c>
    </row>
    <row r="3207" ht="15.75" customHeight="1">
      <c r="A3207" s="4" t="s">
        <v>79</v>
      </c>
      <c r="B3207" s="4" t="s">
        <v>705</v>
      </c>
    </row>
    <row r="3208" ht="15.75" customHeight="1">
      <c r="A3208" s="4" t="s">
        <v>131</v>
      </c>
      <c r="B3208" s="4" t="s">
        <v>705</v>
      </c>
    </row>
    <row r="3209" ht="15.75" customHeight="1">
      <c r="A3209" s="4" t="s">
        <v>94</v>
      </c>
      <c r="B3209" s="4" t="s">
        <v>705</v>
      </c>
    </row>
    <row r="3210" ht="15.75" customHeight="1">
      <c r="A3210" s="4" t="s">
        <v>114</v>
      </c>
      <c r="B3210" s="4" t="s">
        <v>706</v>
      </c>
    </row>
    <row r="3211" ht="15.75" customHeight="1">
      <c r="A3211" s="4" t="s">
        <v>75</v>
      </c>
      <c r="B3211" s="4" t="s">
        <v>706</v>
      </c>
    </row>
    <row r="3212" ht="15.75" customHeight="1">
      <c r="A3212" s="4" t="s">
        <v>98</v>
      </c>
      <c r="B3212" s="4" t="s">
        <v>706</v>
      </c>
    </row>
    <row r="3213" ht="15.75" customHeight="1">
      <c r="A3213" s="4" t="s">
        <v>211</v>
      </c>
      <c r="B3213" s="4" t="s">
        <v>706</v>
      </c>
    </row>
    <row r="3214" ht="15.75" customHeight="1">
      <c r="A3214" s="4" t="s">
        <v>187</v>
      </c>
      <c r="B3214" s="4" t="s">
        <v>706</v>
      </c>
    </row>
    <row r="3215" ht="15.75" customHeight="1">
      <c r="A3215" s="4" t="s">
        <v>212</v>
      </c>
      <c r="B3215" s="4" t="s">
        <v>706</v>
      </c>
    </row>
    <row r="3216" ht="15.75" customHeight="1">
      <c r="A3216" s="4" t="s">
        <v>75</v>
      </c>
      <c r="B3216" s="4" t="s">
        <v>707</v>
      </c>
    </row>
    <row r="3217" ht="15.75" customHeight="1">
      <c r="A3217" s="4" t="s">
        <v>156</v>
      </c>
      <c r="B3217" s="4" t="s">
        <v>707</v>
      </c>
    </row>
    <row r="3218" ht="15.75" customHeight="1">
      <c r="A3218" s="4" t="s">
        <v>98</v>
      </c>
      <c r="B3218" s="4" t="s">
        <v>707</v>
      </c>
    </row>
    <row r="3219" ht="15.75" customHeight="1">
      <c r="A3219" s="4" t="s">
        <v>157</v>
      </c>
      <c r="B3219" s="4" t="s">
        <v>707</v>
      </c>
    </row>
    <row r="3220" ht="15.75" customHeight="1">
      <c r="A3220" s="4" t="s">
        <v>126</v>
      </c>
      <c r="B3220" s="4" t="s">
        <v>707</v>
      </c>
    </row>
    <row r="3221" ht="15.75" customHeight="1">
      <c r="A3221" s="4" t="s">
        <v>158</v>
      </c>
      <c r="B3221" s="4" t="s">
        <v>707</v>
      </c>
    </row>
    <row r="3222" ht="15.75" customHeight="1">
      <c r="A3222" s="4" t="s">
        <v>169</v>
      </c>
      <c r="B3222" s="4" t="s">
        <v>708</v>
      </c>
    </row>
    <row r="3223" ht="15.75" customHeight="1">
      <c r="A3223" s="4" t="s">
        <v>122</v>
      </c>
      <c r="B3223" s="4" t="s">
        <v>708</v>
      </c>
    </row>
    <row r="3224" ht="15.75" customHeight="1">
      <c r="A3224" s="4" t="s">
        <v>170</v>
      </c>
      <c r="B3224" s="4" t="s">
        <v>708</v>
      </c>
    </row>
    <row r="3225" ht="15.75" customHeight="1">
      <c r="A3225" s="4" t="s">
        <v>110</v>
      </c>
      <c r="B3225" s="4" t="s">
        <v>708</v>
      </c>
    </row>
    <row r="3226" ht="15.75" customHeight="1">
      <c r="A3226" s="4" t="s">
        <v>124</v>
      </c>
      <c r="B3226" s="4" t="s">
        <v>708</v>
      </c>
    </row>
    <row r="3227" ht="15.75" customHeight="1">
      <c r="A3227" s="4" t="s">
        <v>158</v>
      </c>
      <c r="B3227" s="4" t="s">
        <v>708</v>
      </c>
    </row>
    <row r="3228" ht="15.75" customHeight="1">
      <c r="A3228" s="4" t="s">
        <v>114</v>
      </c>
      <c r="B3228" s="4" t="s">
        <v>709</v>
      </c>
    </row>
    <row r="3229" ht="15.75" customHeight="1">
      <c r="A3229" s="4" t="s">
        <v>70</v>
      </c>
      <c r="B3229" s="4" t="s">
        <v>709</v>
      </c>
    </row>
    <row r="3230" ht="15.75" customHeight="1">
      <c r="A3230" s="4" t="s">
        <v>178</v>
      </c>
      <c r="B3230" s="4" t="s">
        <v>709</v>
      </c>
    </row>
    <row r="3231" ht="15.75" customHeight="1">
      <c r="A3231" s="4" t="s">
        <v>240</v>
      </c>
      <c r="B3231" s="4" t="s">
        <v>709</v>
      </c>
    </row>
    <row r="3232" ht="15.75" customHeight="1">
      <c r="A3232" s="4" t="s">
        <v>80</v>
      </c>
      <c r="B3232" s="4" t="s">
        <v>709</v>
      </c>
    </row>
    <row r="3233" ht="15.75" customHeight="1">
      <c r="A3233" s="4" t="s">
        <v>81</v>
      </c>
      <c r="B3233" s="4" t="s">
        <v>709</v>
      </c>
    </row>
    <row r="3234" ht="15.75" customHeight="1">
      <c r="A3234" s="4" t="s">
        <v>70</v>
      </c>
      <c r="B3234" s="4" t="s">
        <v>710</v>
      </c>
    </row>
    <row r="3235" ht="15.75" customHeight="1">
      <c r="A3235" s="4" t="s">
        <v>64</v>
      </c>
      <c r="B3235" s="4" t="s">
        <v>710</v>
      </c>
    </row>
    <row r="3236" ht="15.75" customHeight="1">
      <c r="A3236" s="4" t="s">
        <v>85</v>
      </c>
      <c r="B3236" s="4" t="s">
        <v>710</v>
      </c>
    </row>
    <row r="3237" ht="15.75" customHeight="1">
      <c r="A3237" s="4" t="s">
        <v>184</v>
      </c>
      <c r="B3237" s="4" t="s">
        <v>710</v>
      </c>
    </row>
    <row r="3238" ht="15.75" customHeight="1">
      <c r="A3238" s="4" t="s">
        <v>87</v>
      </c>
      <c r="B3238" s="4" t="s">
        <v>710</v>
      </c>
    </row>
    <row r="3239" ht="15.75" customHeight="1">
      <c r="A3239" s="4" t="s">
        <v>88</v>
      </c>
      <c r="B3239" s="4" t="s">
        <v>710</v>
      </c>
    </row>
    <row r="3240" ht="15.75" customHeight="1">
      <c r="A3240" s="4" t="s">
        <v>63</v>
      </c>
      <c r="B3240" s="4" t="s">
        <v>711</v>
      </c>
    </row>
    <row r="3241" ht="15.75" customHeight="1">
      <c r="A3241" s="4" t="s">
        <v>161</v>
      </c>
      <c r="B3241" s="4" t="s">
        <v>711</v>
      </c>
    </row>
    <row r="3242" ht="15.75" customHeight="1">
      <c r="A3242" s="4" t="s">
        <v>178</v>
      </c>
      <c r="B3242" s="4" t="s">
        <v>711</v>
      </c>
    </row>
    <row r="3243" ht="15.75" customHeight="1">
      <c r="A3243" s="4" t="s">
        <v>207</v>
      </c>
      <c r="B3243" s="4" t="s">
        <v>711</v>
      </c>
    </row>
    <row r="3244" ht="15.75" customHeight="1">
      <c r="A3244" s="4" t="s">
        <v>73</v>
      </c>
      <c r="B3244" s="4" t="s">
        <v>711</v>
      </c>
    </row>
    <row r="3245" ht="15.75" customHeight="1">
      <c r="A3245" s="4" t="s">
        <v>199</v>
      </c>
      <c r="B3245" s="4" t="s">
        <v>711</v>
      </c>
    </row>
    <row r="3246" ht="15.75" customHeight="1">
      <c r="A3246" s="4" t="s">
        <v>82</v>
      </c>
      <c r="B3246" s="4" t="s">
        <v>712</v>
      </c>
    </row>
    <row r="3247" ht="15.75" customHeight="1">
      <c r="A3247" s="4" t="s">
        <v>109</v>
      </c>
      <c r="B3247" s="4" t="s">
        <v>712</v>
      </c>
    </row>
    <row r="3248" ht="15.75" customHeight="1">
      <c r="A3248" s="4" t="s">
        <v>141</v>
      </c>
      <c r="B3248" s="4" t="s">
        <v>712</v>
      </c>
    </row>
    <row r="3249" ht="15.75" customHeight="1">
      <c r="A3249" s="4" t="s">
        <v>116</v>
      </c>
      <c r="B3249" s="4" t="s">
        <v>712</v>
      </c>
    </row>
    <row r="3250" ht="15.75" customHeight="1">
      <c r="A3250" s="4" t="s">
        <v>117</v>
      </c>
      <c r="B3250" s="4" t="s">
        <v>712</v>
      </c>
    </row>
    <row r="3251" ht="15.75" customHeight="1">
      <c r="A3251" s="4" t="s">
        <v>154</v>
      </c>
      <c r="B3251" s="4" t="s">
        <v>712</v>
      </c>
    </row>
    <row r="3252" ht="15.75" customHeight="1">
      <c r="A3252" s="4" t="s">
        <v>190</v>
      </c>
      <c r="B3252" s="4" t="s">
        <v>713</v>
      </c>
    </row>
    <row r="3253" ht="15.75" customHeight="1">
      <c r="A3253" s="4" t="s">
        <v>114</v>
      </c>
      <c r="B3253" s="4" t="s">
        <v>713</v>
      </c>
    </row>
    <row r="3254" ht="15.75" customHeight="1">
      <c r="A3254" s="4" t="s">
        <v>129</v>
      </c>
      <c r="B3254" s="4" t="s">
        <v>713</v>
      </c>
    </row>
    <row r="3255" ht="15.75" customHeight="1">
      <c r="A3255" s="4" t="s">
        <v>116</v>
      </c>
      <c r="B3255" s="4" t="s">
        <v>713</v>
      </c>
    </row>
    <row r="3256" ht="15.75" customHeight="1">
      <c r="A3256" s="4" t="s">
        <v>208</v>
      </c>
      <c r="B3256" s="4" t="s">
        <v>713</v>
      </c>
    </row>
    <row r="3257" ht="15.75" customHeight="1">
      <c r="A3257" s="4" t="s">
        <v>199</v>
      </c>
      <c r="B3257" s="4" t="s">
        <v>713</v>
      </c>
    </row>
    <row r="3258" ht="15.75" customHeight="1">
      <c r="A3258" s="4" t="s">
        <v>137</v>
      </c>
      <c r="B3258" s="4" t="s">
        <v>714</v>
      </c>
    </row>
    <row r="3259" ht="15.75" customHeight="1">
      <c r="A3259" s="4" t="s">
        <v>134</v>
      </c>
      <c r="B3259" s="4" t="s">
        <v>714</v>
      </c>
    </row>
    <row r="3260" ht="15.75" customHeight="1">
      <c r="A3260" s="4" t="s">
        <v>175</v>
      </c>
      <c r="B3260" s="4" t="s">
        <v>714</v>
      </c>
    </row>
    <row r="3261" ht="15.75" customHeight="1">
      <c r="A3261" s="4" t="s">
        <v>86</v>
      </c>
      <c r="B3261" s="4" t="s">
        <v>714</v>
      </c>
    </row>
    <row r="3262" ht="15.75" customHeight="1">
      <c r="A3262" s="4" t="s">
        <v>131</v>
      </c>
      <c r="B3262" s="4" t="s">
        <v>714</v>
      </c>
    </row>
    <row r="3263" ht="15.75" customHeight="1">
      <c r="A3263" s="4" t="s">
        <v>118</v>
      </c>
      <c r="B3263" s="4" t="s">
        <v>714</v>
      </c>
    </row>
    <row r="3264" ht="15.75" customHeight="1">
      <c r="A3264" s="4" t="s">
        <v>68</v>
      </c>
      <c r="B3264" s="4" t="s">
        <v>715</v>
      </c>
    </row>
    <row r="3265" ht="15.75" customHeight="1">
      <c r="A3265" s="4" t="s">
        <v>70</v>
      </c>
      <c r="B3265" s="4" t="s">
        <v>715</v>
      </c>
    </row>
    <row r="3266" ht="15.75" customHeight="1">
      <c r="A3266" s="4" t="s">
        <v>64</v>
      </c>
      <c r="B3266" s="4" t="s">
        <v>715</v>
      </c>
    </row>
    <row r="3267" ht="15.75" customHeight="1">
      <c r="A3267" s="4" t="s">
        <v>176</v>
      </c>
      <c r="B3267" s="4" t="s">
        <v>715</v>
      </c>
    </row>
    <row r="3268" ht="15.75" customHeight="1">
      <c r="A3268" s="4" t="s">
        <v>187</v>
      </c>
      <c r="B3268" s="4" t="s">
        <v>715</v>
      </c>
    </row>
    <row r="3269" ht="15.75" customHeight="1">
      <c r="A3269" s="4" t="s">
        <v>145</v>
      </c>
      <c r="B3269" s="4" t="s">
        <v>715</v>
      </c>
    </row>
    <row r="3270" ht="15.75" customHeight="1">
      <c r="A3270" s="4" t="s">
        <v>226</v>
      </c>
      <c r="B3270" s="4" t="s">
        <v>716</v>
      </c>
    </row>
    <row r="3271" ht="15.75" customHeight="1">
      <c r="A3271" s="4" t="s">
        <v>122</v>
      </c>
      <c r="B3271" s="4" t="s">
        <v>716</v>
      </c>
    </row>
    <row r="3272" ht="15.75" customHeight="1">
      <c r="A3272" s="4" t="s">
        <v>120</v>
      </c>
      <c r="B3272" s="4" t="s">
        <v>716</v>
      </c>
    </row>
    <row r="3273" ht="15.75" customHeight="1">
      <c r="A3273" s="4" t="s">
        <v>166</v>
      </c>
      <c r="B3273" s="4" t="s">
        <v>716</v>
      </c>
    </row>
    <row r="3274" ht="15.75" customHeight="1">
      <c r="A3274" s="4" t="s">
        <v>181</v>
      </c>
      <c r="B3274" s="4" t="s">
        <v>716</v>
      </c>
    </row>
    <row r="3275" ht="15.75" customHeight="1">
      <c r="A3275" s="4" t="s">
        <v>136</v>
      </c>
      <c r="B3275" s="4" t="s">
        <v>716</v>
      </c>
    </row>
    <row r="3276" ht="15.75" customHeight="1">
      <c r="A3276" s="4" t="s">
        <v>226</v>
      </c>
      <c r="B3276" s="4" t="s">
        <v>717</v>
      </c>
    </row>
    <row r="3277" ht="15.75" customHeight="1">
      <c r="A3277" s="4" t="s">
        <v>114</v>
      </c>
      <c r="B3277" s="4" t="s">
        <v>717</v>
      </c>
    </row>
    <row r="3278" ht="15.75" customHeight="1">
      <c r="A3278" s="4" t="s">
        <v>198</v>
      </c>
      <c r="B3278" s="4" t="s">
        <v>717</v>
      </c>
    </row>
    <row r="3279" ht="15.75" customHeight="1">
      <c r="A3279" s="4" t="s">
        <v>110</v>
      </c>
      <c r="B3279" s="4" t="s">
        <v>717</v>
      </c>
    </row>
    <row r="3280" ht="15.75" customHeight="1">
      <c r="A3280" s="4" t="s">
        <v>106</v>
      </c>
      <c r="B3280" s="4" t="s">
        <v>717</v>
      </c>
    </row>
    <row r="3281" ht="15.75" customHeight="1">
      <c r="A3281" s="4" t="s">
        <v>127</v>
      </c>
      <c r="B3281" s="4" t="s">
        <v>717</v>
      </c>
    </row>
    <row r="3282" ht="15.75" customHeight="1">
      <c r="A3282" s="4" t="s">
        <v>89</v>
      </c>
      <c r="B3282" s="4" t="s">
        <v>718</v>
      </c>
    </row>
    <row r="3283" ht="15.75" customHeight="1">
      <c r="A3283" s="4" t="s">
        <v>109</v>
      </c>
      <c r="B3283" s="4" t="s">
        <v>718</v>
      </c>
    </row>
    <row r="3284" ht="15.75" customHeight="1">
      <c r="A3284" s="4" t="s">
        <v>178</v>
      </c>
      <c r="B3284" s="4" t="s">
        <v>718</v>
      </c>
    </row>
    <row r="3285" ht="15.75" customHeight="1">
      <c r="A3285" s="4" t="s">
        <v>207</v>
      </c>
      <c r="B3285" s="4" t="s">
        <v>718</v>
      </c>
    </row>
    <row r="3286" ht="15.75" customHeight="1">
      <c r="A3286" s="4" t="s">
        <v>208</v>
      </c>
      <c r="B3286" s="4" t="s">
        <v>718</v>
      </c>
    </row>
    <row r="3287" ht="15.75" customHeight="1">
      <c r="A3287" s="4" t="s">
        <v>118</v>
      </c>
      <c r="B3287" s="4" t="s">
        <v>718</v>
      </c>
    </row>
    <row r="3288" ht="15.75" customHeight="1">
      <c r="A3288" s="4" t="s">
        <v>169</v>
      </c>
      <c r="B3288" s="4" t="s">
        <v>719</v>
      </c>
    </row>
    <row r="3289" ht="15.75" customHeight="1">
      <c r="A3289" s="4" t="s">
        <v>64</v>
      </c>
      <c r="B3289" s="4" t="s">
        <v>719</v>
      </c>
    </row>
    <row r="3290" ht="15.75" customHeight="1">
      <c r="A3290" s="4" t="s">
        <v>77</v>
      </c>
      <c r="B3290" s="4" t="s">
        <v>719</v>
      </c>
    </row>
    <row r="3291" ht="15.75" customHeight="1">
      <c r="A3291" s="4" t="s">
        <v>79</v>
      </c>
      <c r="B3291" s="4" t="s">
        <v>719</v>
      </c>
    </row>
    <row r="3292" ht="15.75" customHeight="1">
      <c r="A3292" s="4" t="s">
        <v>142</v>
      </c>
      <c r="B3292" s="4" t="s">
        <v>719</v>
      </c>
    </row>
    <row r="3293" ht="15.75" customHeight="1">
      <c r="A3293" s="4" t="s">
        <v>81</v>
      </c>
      <c r="B3293" s="4" t="s">
        <v>719</v>
      </c>
    </row>
    <row r="3294" ht="15.75" customHeight="1">
      <c r="A3294" s="4" t="s">
        <v>132</v>
      </c>
      <c r="B3294" s="4" t="s">
        <v>720</v>
      </c>
    </row>
    <row r="3295" ht="15.75" customHeight="1">
      <c r="A3295" s="4" t="s">
        <v>161</v>
      </c>
      <c r="B3295" s="4" t="s">
        <v>720</v>
      </c>
    </row>
    <row r="3296" ht="15.75" customHeight="1">
      <c r="A3296" s="4" t="s">
        <v>78</v>
      </c>
      <c r="B3296" s="4" t="s">
        <v>720</v>
      </c>
    </row>
    <row r="3297" ht="15.75" customHeight="1">
      <c r="A3297" s="4" t="s">
        <v>110</v>
      </c>
      <c r="B3297" s="4" t="s">
        <v>720</v>
      </c>
    </row>
    <row r="3298" ht="15.75" customHeight="1">
      <c r="A3298" s="4" t="s">
        <v>106</v>
      </c>
      <c r="B3298" s="4" t="s">
        <v>720</v>
      </c>
    </row>
    <row r="3299" ht="15.75" customHeight="1">
      <c r="A3299" s="4" t="s">
        <v>127</v>
      </c>
      <c r="B3299" s="4" t="s">
        <v>720</v>
      </c>
    </row>
    <row r="3300" ht="15.75" customHeight="1">
      <c r="A3300" s="4" t="s">
        <v>63</v>
      </c>
      <c r="B3300" s="4" t="s">
        <v>721</v>
      </c>
    </row>
    <row r="3301" ht="15.75" customHeight="1">
      <c r="A3301" s="4" t="s">
        <v>134</v>
      </c>
      <c r="B3301" s="4" t="s">
        <v>721</v>
      </c>
    </row>
    <row r="3302" ht="15.75" customHeight="1">
      <c r="A3302" s="4" t="s">
        <v>175</v>
      </c>
      <c r="B3302" s="4" t="s">
        <v>721</v>
      </c>
    </row>
    <row r="3303" ht="15.75" customHeight="1">
      <c r="A3303" s="4" t="s">
        <v>116</v>
      </c>
      <c r="B3303" s="4" t="s">
        <v>721</v>
      </c>
    </row>
    <row r="3304" ht="15.75" customHeight="1">
      <c r="A3304" s="4" t="s">
        <v>131</v>
      </c>
      <c r="B3304" s="4" t="s">
        <v>721</v>
      </c>
    </row>
    <row r="3305" ht="15.75" customHeight="1">
      <c r="A3305" s="4" t="s">
        <v>88</v>
      </c>
      <c r="B3305" s="4" t="s">
        <v>721</v>
      </c>
    </row>
    <row r="3306" ht="15.75" customHeight="1">
      <c r="A3306" s="4" t="s">
        <v>146</v>
      </c>
      <c r="B3306" s="4" t="s">
        <v>722</v>
      </c>
    </row>
    <row r="3307" ht="15.75" customHeight="1">
      <c r="A3307" s="4" t="s">
        <v>70</v>
      </c>
      <c r="B3307" s="4" t="s">
        <v>722</v>
      </c>
    </row>
    <row r="3308" ht="15.75" customHeight="1">
      <c r="A3308" s="4" t="s">
        <v>78</v>
      </c>
      <c r="B3308" s="4" t="s">
        <v>722</v>
      </c>
    </row>
    <row r="3309" ht="15.75" customHeight="1">
      <c r="A3309" s="4" t="s">
        <v>149</v>
      </c>
      <c r="B3309" s="4" t="s">
        <v>722</v>
      </c>
    </row>
    <row r="3310" ht="15.75" customHeight="1">
      <c r="A3310" s="4" t="s">
        <v>106</v>
      </c>
      <c r="B3310" s="4" t="s">
        <v>722</v>
      </c>
    </row>
    <row r="3311" ht="15.75" customHeight="1">
      <c r="A3311" s="4" t="s">
        <v>111</v>
      </c>
      <c r="B3311" s="4" t="s">
        <v>722</v>
      </c>
    </row>
    <row r="3312" ht="15.75" customHeight="1">
      <c r="A3312" s="4" t="s">
        <v>70</v>
      </c>
      <c r="B3312" s="4" t="s">
        <v>723</v>
      </c>
    </row>
    <row r="3313" ht="15.75" customHeight="1">
      <c r="A3313" s="4" t="s">
        <v>92</v>
      </c>
      <c r="B3313" s="4" t="s">
        <v>723</v>
      </c>
    </row>
    <row r="3314" ht="15.75" customHeight="1">
      <c r="A3314" s="4" t="s">
        <v>141</v>
      </c>
      <c r="B3314" s="4" t="s">
        <v>723</v>
      </c>
    </row>
    <row r="3315" ht="15.75" customHeight="1">
      <c r="A3315" s="4" t="s">
        <v>176</v>
      </c>
      <c r="B3315" s="4" t="s">
        <v>723</v>
      </c>
    </row>
    <row r="3316" ht="15.75" customHeight="1">
      <c r="A3316" s="4" t="s">
        <v>126</v>
      </c>
      <c r="B3316" s="4" t="s">
        <v>723</v>
      </c>
    </row>
    <row r="3317" ht="15.75" customHeight="1">
      <c r="A3317" s="4" t="s">
        <v>145</v>
      </c>
      <c r="B3317" s="4" t="s">
        <v>723</v>
      </c>
    </row>
    <row r="3318" ht="15.75" customHeight="1">
      <c r="A3318" s="4" t="s">
        <v>169</v>
      </c>
      <c r="B3318" s="4" t="s">
        <v>724</v>
      </c>
    </row>
    <row r="3319" ht="15.75" customHeight="1">
      <c r="A3319" s="4" t="s">
        <v>183</v>
      </c>
      <c r="B3319" s="4" t="s">
        <v>724</v>
      </c>
    </row>
    <row r="3320" ht="15.75" customHeight="1">
      <c r="A3320" s="4" t="s">
        <v>109</v>
      </c>
      <c r="B3320" s="4" t="s">
        <v>724</v>
      </c>
    </row>
    <row r="3321" ht="15.75" customHeight="1">
      <c r="A3321" s="4" t="s">
        <v>211</v>
      </c>
      <c r="B3321" s="4" t="s">
        <v>724</v>
      </c>
    </row>
    <row r="3322" ht="15.75" customHeight="1">
      <c r="A3322" s="4" t="s">
        <v>181</v>
      </c>
      <c r="B3322" s="4" t="s">
        <v>724</v>
      </c>
    </row>
    <row r="3323" ht="15.75" customHeight="1">
      <c r="A3323" s="4" t="s">
        <v>136</v>
      </c>
      <c r="B3323" s="4" t="s">
        <v>724</v>
      </c>
    </row>
    <row r="3324" ht="15.75" customHeight="1">
      <c r="A3324" s="4" t="s">
        <v>226</v>
      </c>
      <c r="B3324" s="4" t="s">
        <v>725</v>
      </c>
    </row>
    <row r="3325" ht="15.75" customHeight="1">
      <c r="A3325" s="4" t="s">
        <v>198</v>
      </c>
      <c r="B3325" s="4" t="s">
        <v>725</v>
      </c>
    </row>
    <row r="3326" ht="15.75" customHeight="1">
      <c r="A3326" s="4" t="s">
        <v>122</v>
      </c>
      <c r="B3326" s="4" t="s">
        <v>725</v>
      </c>
    </row>
    <row r="3327" ht="15.75" customHeight="1">
      <c r="A3327" s="4" t="s">
        <v>166</v>
      </c>
      <c r="B3327" s="4" t="s">
        <v>725</v>
      </c>
    </row>
    <row r="3328" ht="15.75" customHeight="1">
      <c r="A3328" s="4" t="s">
        <v>187</v>
      </c>
      <c r="B3328" s="4" t="s">
        <v>725</v>
      </c>
    </row>
    <row r="3329" ht="15.75" customHeight="1">
      <c r="A3329" s="4" t="s">
        <v>136</v>
      </c>
      <c r="B3329" s="4" t="s">
        <v>725</v>
      </c>
    </row>
    <row r="3330" ht="15.75" customHeight="1">
      <c r="A3330" s="4" t="s">
        <v>82</v>
      </c>
      <c r="B3330" s="4" t="s">
        <v>726</v>
      </c>
    </row>
    <row r="3331" ht="15.75" customHeight="1">
      <c r="A3331" s="4" t="s">
        <v>192</v>
      </c>
      <c r="B3331" s="4" t="s">
        <v>726</v>
      </c>
    </row>
    <row r="3332" ht="15.75" customHeight="1">
      <c r="A3332" s="4" t="s">
        <v>92</v>
      </c>
      <c r="B3332" s="4" t="s">
        <v>726</v>
      </c>
    </row>
    <row r="3333" ht="15.75" customHeight="1">
      <c r="A3333" s="4" t="s">
        <v>166</v>
      </c>
      <c r="B3333" s="4" t="s">
        <v>726</v>
      </c>
    </row>
    <row r="3334" ht="15.75" customHeight="1">
      <c r="A3334" s="4" t="s">
        <v>181</v>
      </c>
      <c r="B3334" s="4" t="s">
        <v>726</v>
      </c>
    </row>
    <row r="3335" ht="15.75" customHeight="1">
      <c r="A3335" s="4" t="s">
        <v>139</v>
      </c>
      <c r="B3335" s="4" t="s">
        <v>726</v>
      </c>
    </row>
    <row r="3336" ht="15.75" customHeight="1">
      <c r="A3336" s="4" t="s">
        <v>70</v>
      </c>
      <c r="B3336" s="4" t="s">
        <v>727</v>
      </c>
    </row>
    <row r="3337" ht="15.75" customHeight="1">
      <c r="A3337" s="4" t="s">
        <v>109</v>
      </c>
      <c r="B3337" s="4" t="s">
        <v>727</v>
      </c>
    </row>
    <row r="3338" ht="15.75" customHeight="1">
      <c r="A3338" s="4" t="s">
        <v>141</v>
      </c>
      <c r="B3338" s="4" t="s">
        <v>727</v>
      </c>
    </row>
    <row r="3339" ht="15.75" customHeight="1">
      <c r="A3339" s="4" t="s">
        <v>116</v>
      </c>
      <c r="B3339" s="4" t="s">
        <v>727</v>
      </c>
    </row>
    <row r="3340" ht="15.75" customHeight="1">
      <c r="A3340" s="4" t="s">
        <v>66</v>
      </c>
      <c r="B3340" s="4" t="s">
        <v>727</v>
      </c>
    </row>
    <row r="3341" ht="15.75" customHeight="1">
      <c r="A3341" s="4" t="s">
        <v>67</v>
      </c>
      <c r="B3341" s="4" t="s">
        <v>727</v>
      </c>
    </row>
    <row r="3342" ht="15.75" customHeight="1">
      <c r="A3342" s="4" t="s">
        <v>61</v>
      </c>
      <c r="B3342" s="4" t="s">
        <v>728</v>
      </c>
    </row>
    <row r="3343" ht="15.75" customHeight="1">
      <c r="A3343" s="4" t="s">
        <v>63</v>
      </c>
      <c r="B3343" s="4" t="s">
        <v>728</v>
      </c>
    </row>
    <row r="3344" ht="15.75" customHeight="1">
      <c r="A3344" s="4" t="s">
        <v>78</v>
      </c>
      <c r="B3344" s="4" t="s">
        <v>728</v>
      </c>
    </row>
    <row r="3345" ht="15.75" customHeight="1">
      <c r="A3345" s="4" t="s">
        <v>72</v>
      </c>
      <c r="B3345" s="4" t="s">
        <v>728</v>
      </c>
    </row>
    <row r="3346" ht="15.75" customHeight="1">
      <c r="A3346" s="4" t="s">
        <v>66</v>
      </c>
      <c r="B3346" s="4" t="s">
        <v>728</v>
      </c>
    </row>
    <row r="3347" ht="15.75" customHeight="1">
      <c r="A3347" s="4" t="s">
        <v>241</v>
      </c>
      <c r="B3347" s="4" t="s">
        <v>728</v>
      </c>
    </row>
    <row r="3348" ht="15.75" customHeight="1">
      <c r="A3348" s="4" t="s">
        <v>132</v>
      </c>
      <c r="B3348" s="4" t="s">
        <v>729</v>
      </c>
    </row>
    <row r="3349" ht="15.75" customHeight="1">
      <c r="A3349" s="4" t="s">
        <v>134</v>
      </c>
      <c r="B3349" s="4" t="s">
        <v>729</v>
      </c>
    </row>
    <row r="3350" ht="15.75" customHeight="1">
      <c r="A3350" s="4" t="s">
        <v>71</v>
      </c>
      <c r="B3350" s="4" t="s">
        <v>729</v>
      </c>
    </row>
    <row r="3351" ht="15.75" customHeight="1">
      <c r="A3351" s="4" t="s">
        <v>195</v>
      </c>
      <c r="B3351" s="4" t="s">
        <v>729</v>
      </c>
    </row>
    <row r="3352" ht="15.75" customHeight="1">
      <c r="A3352" s="4" t="s">
        <v>187</v>
      </c>
      <c r="B3352" s="4" t="s">
        <v>729</v>
      </c>
    </row>
    <row r="3353" ht="15.75" customHeight="1">
      <c r="A3353" s="4" t="s">
        <v>136</v>
      </c>
      <c r="B3353" s="4" t="s">
        <v>729</v>
      </c>
    </row>
    <row r="3354" ht="15.75" customHeight="1">
      <c r="A3354" s="4" t="s">
        <v>148</v>
      </c>
      <c r="B3354" s="4" t="s">
        <v>730</v>
      </c>
    </row>
    <row r="3355" ht="15.75" customHeight="1">
      <c r="A3355" s="4" t="s">
        <v>92</v>
      </c>
      <c r="B3355" s="4" t="s">
        <v>730</v>
      </c>
    </row>
    <row r="3356" ht="15.75" customHeight="1">
      <c r="A3356" s="4" t="s">
        <v>183</v>
      </c>
      <c r="B3356" s="4" t="s">
        <v>730</v>
      </c>
    </row>
    <row r="3357" ht="15.75" customHeight="1">
      <c r="A3357" s="4" t="s">
        <v>184</v>
      </c>
      <c r="B3357" s="4" t="s">
        <v>730</v>
      </c>
    </row>
    <row r="3358" ht="15.75" customHeight="1">
      <c r="A3358" s="4" t="s">
        <v>66</v>
      </c>
      <c r="B3358" s="4" t="s">
        <v>730</v>
      </c>
    </row>
    <row r="3359" ht="15.75" customHeight="1">
      <c r="A3359" s="4" t="s">
        <v>88</v>
      </c>
      <c r="B3359" s="4" t="s">
        <v>730</v>
      </c>
    </row>
    <row r="3360" ht="15.75" customHeight="1">
      <c r="A3360" s="4" t="s">
        <v>68</v>
      </c>
      <c r="B3360" s="4" t="s">
        <v>731</v>
      </c>
    </row>
    <row r="3361" ht="15.75" customHeight="1">
      <c r="A3361" s="4" t="s">
        <v>70</v>
      </c>
      <c r="B3361" s="4" t="s">
        <v>731</v>
      </c>
    </row>
    <row r="3362" ht="15.75" customHeight="1">
      <c r="A3362" s="4" t="s">
        <v>175</v>
      </c>
      <c r="B3362" s="4" t="s">
        <v>731</v>
      </c>
    </row>
    <row r="3363" ht="15.75" customHeight="1">
      <c r="A3363" s="4" t="s">
        <v>105</v>
      </c>
      <c r="B3363" s="4" t="s">
        <v>731</v>
      </c>
    </row>
    <row r="3364" ht="15.75" customHeight="1">
      <c r="A3364" s="4" t="s">
        <v>222</v>
      </c>
      <c r="B3364" s="4" t="s">
        <v>731</v>
      </c>
    </row>
    <row r="3365" ht="15.75" customHeight="1">
      <c r="A3365" s="4" t="s">
        <v>111</v>
      </c>
      <c r="B3365" s="4" t="s">
        <v>731</v>
      </c>
    </row>
    <row r="3366" ht="15.75" customHeight="1">
      <c r="A3366" s="4" t="s">
        <v>143</v>
      </c>
      <c r="B3366" s="4" t="s">
        <v>732</v>
      </c>
    </row>
    <row r="3367" ht="15.75" customHeight="1">
      <c r="A3367" s="4" t="s">
        <v>95</v>
      </c>
      <c r="B3367" s="4" t="s">
        <v>732</v>
      </c>
    </row>
    <row r="3368" ht="15.75" customHeight="1">
      <c r="A3368" s="4" t="s">
        <v>170</v>
      </c>
      <c r="B3368" s="4" t="s">
        <v>732</v>
      </c>
    </row>
    <row r="3369" ht="15.75" customHeight="1">
      <c r="A3369" s="4" t="s">
        <v>149</v>
      </c>
      <c r="B3369" s="4" t="s">
        <v>732</v>
      </c>
    </row>
    <row r="3370" ht="15.75" customHeight="1">
      <c r="A3370" s="4" t="s">
        <v>164</v>
      </c>
      <c r="B3370" s="4" t="s">
        <v>732</v>
      </c>
    </row>
    <row r="3371" ht="15.75" customHeight="1">
      <c r="A3371" s="4" t="s">
        <v>171</v>
      </c>
      <c r="B3371" s="4" t="s">
        <v>732</v>
      </c>
    </row>
    <row r="3372" ht="15.75" customHeight="1">
      <c r="A3372" s="4" t="s">
        <v>226</v>
      </c>
      <c r="B3372" s="4" t="s">
        <v>733</v>
      </c>
    </row>
    <row r="3373" ht="15.75" customHeight="1">
      <c r="A3373" s="4" t="s">
        <v>198</v>
      </c>
      <c r="B3373" s="4" t="s">
        <v>733</v>
      </c>
    </row>
    <row r="3374" ht="15.75" customHeight="1">
      <c r="A3374" s="4" t="s">
        <v>122</v>
      </c>
      <c r="B3374" s="4" t="s">
        <v>733</v>
      </c>
    </row>
    <row r="3375" ht="15.75" customHeight="1">
      <c r="A3375" s="4" t="s">
        <v>110</v>
      </c>
      <c r="B3375" s="4" t="s">
        <v>733</v>
      </c>
    </row>
    <row r="3376" ht="15.75" customHeight="1">
      <c r="A3376" s="4" t="s">
        <v>106</v>
      </c>
      <c r="B3376" s="4" t="s">
        <v>733</v>
      </c>
    </row>
    <row r="3377" ht="15.75" customHeight="1">
      <c r="A3377" s="4" t="s">
        <v>158</v>
      </c>
      <c r="B3377" s="4" t="s">
        <v>733</v>
      </c>
    </row>
    <row r="3378" ht="15.75" customHeight="1">
      <c r="A3378" s="4" t="s">
        <v>114</v>
      </c>
      <c r="B3378" s="4" t="s">
        <v>734</v>
      </c>
    </row>
    <row r="3379" ht="15.75" customHeight="1">
      <c r="A3379" s="4" t="s">
        <v>169</v>
      </c>
      <c r="B3379" s="4" t="s">
        <v>734</v>
      </c>
    </row>
    <row r="3380" ht="15.75" customHeight="1">
      <c r="A3380" s="4" t="s">
        <v>175</v>
      </c>
      <c r="B3380" s="4" t="s">
        <v>734</v>
      </c>
    </row>
    <row r="3381" ht="15.75" customHeight="1">
      <c r="A3381" s="4" t="s">
        <v>72</v>
      </c>
      <c r="B3381" s="4" t="s">
        <v>734</v>
      </c>
    </row>
    <row r="3382" ht="15.75" customHeight="1">
      <c r="A3382" s="4" t="s">
        <v>117</v>
      </c>
      <c r="B3382" s="4" t="s">
        <v>734</v>
      </c>
    </row>
    <row r="3383" ht="15.75" customHeight="1">
      <c r="A3383" s="4" t="s">
        <v>81</v>
      </c>
      <c r="B3383" s="4" t="s">
        <v>734</v>
      </c>
    </row>
    <row r="3384" ht="15.75" customHeight="1">
      <c r="A3384" s="4" t="s">
        <v>100</v>
      </c>
      <c r="B3384" s="4" t="s">
        <v>735</v>
      </c>
    </row>
    <row r="3385" ht="15.75" customHeight="1">
      <c r="A3385" s="4" t="s">
        <v>153</v>
      </c>
      <c r="B3385" s="4" t="s">
        <v>735</v>
      </c>
    </row>
    <row r="3386" ht="15.75" customHeight="1">
      <c r="A3386" s="4" t="s">
        <v>141</v>
      </c>
      <c r="B3386" s="4" t="s">
        <v>735</v>
      </c>
    </row>
    <row r="3387" ht="15.75" customHeight="1">
      <c r="A3387" s="4" t="s">
        <v>189</v>
      </c>
      <c r="B3387" s="4" t="s">
        <v>735</v>
      </c>
    </row>
    <row r="3388" ht="15.75" customHeight="1">
      <c r="A3388" s="4" t="s">
        <v>142</v>
      </c>
      <c r="B3388" s="4" t="s">
        <v>735</v>
      </c>
    </row>
    <row r="3389" ht="15.75" customHeight="1">
      <c r="A3389" s="4" t="s">
        <v>154</v>
      </c>
      <c r="B3389" s="4" t="s">
        <v>735</v>
      </c>
    </row>
    <row r="3390" ht="15.75" customHeight="1">
      <c r="A3390" s="4" t="s">
        <v>161</v>
      </c>
      <c r="B3390" s="4" t="s">
        <v>736</v>
      </c>
    </row>
    <row r="3391" ht="15.75" customHeight="1">
      <c r="A3391" s="4" t="s">
        <v>85</v>
      </c>
      <c r="B3391" s="4" t="s">
        <v>736</v>
      </c>
    </row>
    <row r="3392" ht="15.75" customHeight="1">
      <c r="A3392" s="4" t="s">
        <v>98</v>
      </c>
      <c r="B3392" s="4" t="s">
        <v>736</v>
      </c>
    </row>
    <row r="3393" ht="15.75" customHeight="1">
      <c r="A3393" s="4" t="s">
        <v>187</v>
      </c>
      <c r="B3393" s="4" t="s">
        <v>736</v>
      </c>
    </row>
    <row r="3394" ht="15.75" customHeight="1">
      <c r="A3394" s="4" t="s">
        <v>145</v>
      </c>
      <c r="B3394" s="4" t="s">
        <v>736</v>
      </c>
    </row>
    <row r="3395" ht="15.75" customHeight="1">
      <c r="A3395" s="4" t="s">
        <v>146</v>
      </c>
      <c r="B3395" s="4" t="s">
        <v>737</v>
      </c>
    </row>
    <row r="3396" ht="15.75" customHeight="1">
      <c r="A3396" s="4" t="s">
        <v>75</v>
      </c>
      <c r="B3396" s="4" t="s">
        <v>737</v>
      </c>
    </row>
    <row r="3397" ht="15.75" customHeight="1">
      <c r="A3397" s="4" t="s">
        <v>98</v>
      </c>
      <c r="B3397" s="4" t="s">
        <v>737</v>
      </c>
    </row>
    <row r="3398" ht="15.75" customHeight="1">
      <c r="A3398" s="4" t="s">
        <v>166</v>
      </c>
      <c r="B3398" s="4" t="s">
        <v>737</v>
      </c>
    </row>
    <row r="3399" ht="15.75" customHeight="1">
      <c r="A3399" s="4" t="s">
        <v>124</v>
      </c>
      <c r="B3399" s="4" t="s">
        <v>737</v>
      </c>
    </row>
    <row r="3400" ht="15.75" customHeight="1">
      <c r="A3400" s="4" t="s">
        <v>139</v>
      </c>
      <c r="B3400" s="4" t="s">
        <v>737</v>
      </c>
    </row>
    <row r="3401" ht="15.75" customHeight="1">
      <c r="A3401" s="4" t="s">
        <v>148</v>
      </c>
      <c r="B3401" s="4" t="s">
        <v>738</v>
      </c>
    </row>
    <row r="3402" ht="15.75" customHeight="1">
      <c r="A3402" s="4" t="s">
        <v>84</v>
      </c>
      <c r="B3402" s="4" t="s">
        <v>738</v>
      </c>
    </row>
    <row r="3403" ht="15.75" customHeight="1">
      <c r="A3403" s="4" t="s">
        <v>85</v>
      </c>
      <c r="B3403" s="4" t="s">
        <v>738</v>
      </c>
    </row>
    <row r="3404" ht="15.75" customHeight="1">
      <c r="A3404" s="4" t="s">
        <v>116</v>
      </c>
      <c r="B3404" s="4" t="s">
        <v>738</v>
      </c>
    </row>
    <row r="3405" ht="15.75" customHeight="1">
      <c r="A3405" s="4" t="s">
        <v>113</v>
      </c>
      <c r="B3405" s="4" t="s">
        <v>738</v>
      </c>
    </row>
    <row r="3406" ht="15.75" customHeight="1">
      <c r="A3406" s="4" t="s">
        <v>185</v>
      </c>
      <c r="B3406" s="4" t="s">
        <v>738</v>
      </c>
    </row>
    <row r="3407" ht="15.75" customHeight="1">
      <c r="A3407" s="4" t="s">
        <v>63</v>
      </c>
      <c r="B3407" s="4" t="s">
        <v>739</v>
      </c>
    </row>
    <row r="3408" ht="15.75" customHeight="1">
      <c r="A3408" s="4" t="s">
        <v>134</v>
      </c>
      <c r="B3408" s="4" t="s">
        <v>739</v>
      </c>
    </row>
    <row r="3409" ht="15.75" customHeight="1">
      <c r="A3409" s="4" t="s">
        <v>175</v>
      </c>
      <c r="B3409" s="4" t="s">
        <v>739</v>
      </c>
    </row>
    <row r="3410" ht="15.75" customHeight="1">
      <c r="A3410" s="4" t="s">
        <v>166</v>
      </c>
      <c r="B3410" s="4" t="s">
        <v>739</v>
      </c>
    </row>
    <row r="3411" ht="15.75" customHeight="1">
      <c r="A3411" s="4" t="s">
        <v>124</v>
      </c>
      <c r="B3411" s="4" t="s">
        <v>739</v>
      </c>
    </row>
    <row r="3412" ht="15.75" customHeight="1">
      <c r="A3412" s="4" t="s">
        <v>136</v>
      </c>
      <c r="B3412" s="4" t="s">
        <v>739</v>
      </c>
    </row>
    <row r="3413" ht="15.75" customHeight="1">
      <c r="A3413" s="4" t="s">
        <v>159</v>
      </c>
      <c r="B3413" s="4" t="s">
        <v>740</v>
      </c>
    </row>
    <row r="3414" ht="15.75" customHeight="1">
      <c r="A3414" s="4" t="s">
        <v>134</v>
      </c>
      <c r="B3414" s="4" t="s">
        <v>740</v>
      </c>
    </row>
    <row r="3415" ht="15.75" customHeight="1">
      <c r="A3415" s="4" t="s">
        <v>175</v>
      </c>
      <c r="B3415" s="4" t="s">
        <v>740</v>
      </c>
    </row>
    <row r="3416" ht="15.75" customHeight="1">
      <c r="A3416" s="4" t="s">
        <v>86</v>
      </c>
      <c r="B3416" s="4" t="s">
        <v>740</v>
      </c>
    </row>
    <row r="3417" ht="15.75" customHeight="1">
      <c r="A3417" s="4" t="s">
        <v>131</v>
      </c>
      <c r="B3417" s="4" t="s">
        <v>740</v>
      </c>
    </row>
    <row r="3418" ht="15.75" customHeight="1">
      <c r="A3418" s="4" t="s">
        <v>199</v>
      </c>
      <c r="B3418" s="4" t="s">
        <v>740</v>
      </c>
    </row>
    <row r="3419" ht="15.75" customHeight="1">
      <c r="A3419" s="4" t="s">
        <v>63</v>
      </c>
      <c r="B3419" s="4" t="s">
        <v>741</v>
      </c>
    </row>
    <row r="3420" ht="15.75" customHeight="1">
      <c r="A3420" s="4" t="s">
        <v>97</v>
      </c>
      <c r="B3420" s="4" t="s">
        <v>741</v>
      </c>
    </row>
    <row r="3421" ht="15.75" customHeight="1">
      <c r="A3421" s="4" t="s">
        <v>104</v>
      </c>
      <c r="B3421" s="4" t="s">
        <v>741</v>
      </c>
    </row>
    <row r="3422" ht="15.75" customHeight="1">
      <c r="A3422" s="4" t="s">
        <v>65</v>
      </c>
      <c r="B3422" s="4" t="s">
        <v>741</v>
      </c>
    </row>
    <row r="3423" ht="15.75" customHeight="1">
      <c r="A3423" s="4" t="s">
        <v>117</v>
      </c>
      <c r="B3423" s="4" t="s">
        <v>741</v>
      </c>
    </row>
    <row r="3424" ht="15.75" customHeight="1">
      <c r="A3424" s="4" t="s">
        <v>199</v>
      </c>
      <c r="B3424" s="4" t="s">
        <v>741</v>
      </c>
    </row>
    <row r="3425" ht="15.75" customHeight="1">
      <c r="A3425" s="4" t="s">
        <v>161</v>
      </c>
      <c r="B3425" s="4" t="s">
        <v>742</v>
      </c>
    </row>
    <row r="3426" ht="15.75" customHeight="1">
      <c r="A3426" s="4" t="s">
        <v>85</v>
      </c>
      <c r="B3426" s="4" t="s">
        <v>742</v>
      </c>
    </row>
    <row r="3427" ht="15.75" customHeight="1">
      <c r="A3427" s="4" t="s">
        <v>175</v>
      </c>
      <c r="B3427" s="4" t="s">
        <v>742</v>
      </c>
    </row>
    <row r="3428" ht="15.75" customHeight="1">
      <c r="A3428" s="4" t="s">
        <v>189</v>
      </c>
      <c r="B3428" s="4" t="s">
        <v>742</v>
      </c>
    </row>
    <row r="3429" ht="15.75" customHeight="1">
      <c r="A3429" s="4" t="s">
        <v>80</v>
      </c>
      <c r="B3429" s="4" t="s">
        <v>742</v>
      </c>
    </row>
    <row r="3430" ht="15.75" customHeight="1">
      <c r="A3430" s="4" t="s">
        <v>88</v>
      </c>
      <c r="B3430" s="4" t="s">
        <v>742</v>
      </c>
    </row>
    <row r="3431" ht="15.75" customHeight="1">
      <c r="A3431" s="4" t="s">
        <v>134</v>
      </c>
      <c r="B3431" s="4" t="s">
        <v>743</v>
      </c>
    </row>
    <row r="3432" ht="15.75" customHeight="1">
      <c r="A3432" s="4" t="s">
        <v>85</v>
      </c>
      <c r="B3432" s="4" t="s">
        <v>743</v>
      </c>
    </row>
    <row r="3433" ht="15.75" customHeight="1">
      <c r="A3433" s="4" t="s">
        <v>170</v>
      </c>
      <c r="B3433" s="4" t="s">
        <v>743</v>
      </c>
    </row>
    <row r="3434" ht="15.75" customHeight="1">
      <c r="A3434" s="4" t="s">
        <v>166</v>
      </c>
      <c r="B3434" s="4" t="s">
        <v>743</v>
      </c>
    </row>
    <row r="3435" ht="15.75" customHeight="1">
      <c r="A3435" s="4" t="s">
        <v>150</v>
      </c>
      <c r="B3435" s="4" t="s">
        <v>743</v>
      </c>
    </row>
    <row r="3436" ht="15.75" customHeight="1">
      <c r="A3436" s="4" t="s">
        <v>139</v>
      </c>
      <c r="B3436" s="4" t="s">
        <v>743</v>
      </c>
    </row>
    <row r="3437" ht="15.75" customHeight="1">
      <c r="A3437" s="4" t="s">
        <v>148</v>
      </c>
      <c r="B3437" s="4" t="s">
        <v>744</v>
      </c>
    </row>
    <row r="3438" ht="15.75" customHeight="1">
      <c r="A3438" s="4" t="s">
        <v>85</v>
      </c>
      <c r="B3438" s="4" t="s">
        <v>744</v>
      </c>
    </row>
    <row r="3439" ht="15.75" customHeight="1">
      <c r="A3439" s="4" t="s">
        <v>120</v>
      </c>
      <c r="B3439" s="4" t="s">
        <v>744</v>
      </c>
    </row>
    <row r="3440" ht="15.75" customHeight="1">
      <c r="A3440" s="4" t="s">
        <v>195</v>
      </c>
      <c r="B3440" s="4" t="s">
        <v>744</v>
      </c>
    </row>
    <row r="3441" ht="15.75" customHeight="1">
      <c r="A3441" s="4" t="s">
        <v>196</v>
      </c>
      <c r="B3441" s="4" t="s">
        <v>744</v>
      </c>
    </row>
    <row r="3442" ht="15.75" customHeight="1">
      <c r="A3442" s="4" t="s">
        <v>136</v>
      </c>
      <c r="B3442" s="4" t="s">
        <v>744</v>
      </c>
    </row>
    <row r="3443" ht="15.75" customHeight="1">
      <c r="A3443" s="4" t="s">
        <v>226</v>
      </c>
      <c r="B3443" s="4" t="s">
        <v>745</v>
      </c>
    </row>
    <row r="3444" ht="15.75" customHeight="1">
      <c r="A3444" s="4" t="s">
        <v>114</v>
      </c>
      <c r="B3444" s="4" t="s">
        <v>745</v>
      </c>
    </row>
    <row r="3445" ht="15.75" customHeight="1">
      <c r="A3445" s="4" t="s">
        <v>198</v>
      </c>
      <c r="B3445" s="4" t="s">
        <v>745</v>
      </c>
    </row>
    <row r="3446" ht="15.75" customHeight="1">
      <c r="A3446" s="4" t="s">
        <v>135</v>
      </c>
      <c r="B3446" s="4" t="s">
        <v>745</v>
      </c>
    </row>
    <row r="3447" ht="15.75" customHeight="1">
      <c r="A3447" s="4" t="s">
        <v>181</v>
      </c>
      <c r="B3447" s="4" t="s">
        <v>745</v>
      </c>
    </row>
    <row r="3448" ht="15.75" customHeight="1">
      <c r="A3448" s="4" t="s">
        <v>136</v>
      </c>
      <c r="B3448" s="4" t="s">
        <v>745</v>
      </c>
    </row>
    <row r="3449" ht="15.75" customHeight="1">
      <c r="A3449" s="4" t="s">
        <v>161</v>
      </c>
      <c r="B3449" s="4" t="s">
        <v>746</v>
      </c>
    </row>
    <row r="3450" ht="15.75" customHeight="1">
      <c r="A3450" s="4" t="s">
        <v>85</v>
      </c>
      <c r="B3450" s="4" t="s">
        <v>746</v>
      </c>
    </row>
    <row r="3451" ht="15.75" customHeight="1">
      <c r="A3451" s="4" t="s">
        <v>170</v>
      </c>
      <c r="B3451" s="4" t="s">
        <v>746</v>
      </c>
    </row>
    <row r="3452" ht="15.75" customHeight="1">
      <c r="A3452" s="4" t="s">
        <v>207</v>
      </c>
      <c r="B3452" s="4" t="s">
        <v>746</v>
      </c>
    </row>
    <row r="3453" ht="15.75" customHeight="1">
      <c r="A3453" s="4" t="s">
        <v>80</v>
      </c>
      <c r="B3453" s="4" t="s">
        <v>746</v>
      </c>
    </row>
    <row r="3454" ht="15.75" customHeight="1">
      <c r="A3454" s="4" t="s">
        <v>88</v>
      </c>
      <c r="B3454" s="4" t="s">
        <v>746</v>
      </c>
    </row>
    <row r="3455" ht="15.75" customHeight="1">
      <c r="A3455" s="4" t="s">
        <v>161</v>
      </c>
      <c r="B3455" s="4" t="s">
        <v>747</v>
      </c>
    </row>
    <row r="3456" ht="15.75" customHeight="1">
      <c r="A3456" s="4" t="s">
        <v>153</v>
      </c>
      <c r="B3456" s="4" t="s">
        <v>747</v>
      </c>
    </row>
    <row r="3457" ht="15.75" customHeight="1">
      <c r="A3457" s="4" t="s">
        <v>141</v>
      </c>
      <c r="B3457" s="4" t="s">
        <v>747</v>
      </c>
    </row>
    <row r="3458" ht="15.75" customHeight="1">
      <c r="A3458" s="4" t="s">
        <v>189</v>
      </c>
      <c r="B3458" s="4" t="s">
        <v>747</v>
      </c>
    </row>
    <row r="3459" ht="15.75" customHeight="1">
      <c r="A3459" s="4" t="s">
        <v>113</v>
      </c>
      <c r="B3459" s="4" t="s">
        <v>747</v>
      </c>
    </row>
    <row r="3460" ht="15.75" customHeight="1">
      <c r="A3460" s="4" t="s">
        <v>185</v>
      </c>
      <c r="B3460" s="4" t="s">
        <v>747</v>
      </c>
    </row>
    <row r="3461" ht="15.75" customHeight="1">
      <c r="A3461" s="4" t="s">
        <v>95</v>
      </c>
      <c r="B3461" s="4" t="s">
        <v>748</v>
      </c>
    </row>
    <row r="3462" ht="15.75" customHeight="1">
      <c r="A3462" s="4" t="s">
        <v>161</v>
      </c>
      <c r="B3462" s="4" t="s">
        <v>748</v>
      </c>
    </row>
    <row r="3463" ht="15.75" customHeight="1">
      <c r="A3463" s="4" t="s">
        <v>170</v>
      </c>
      <c r="B3463" s="4" t="s">
        <v>748</v>
      </c>
    </row>
    <row r="3464" ht="15.75" customHeight="1">
      <c r="A3464" s="4" t="s">
        <v>99</v>
      </c>
      <c r="B3464" s="4" t="s">
        <v>748</v>
      </c>
    </row>
    <row r="3465" ht="15.75" customHeight="1">
      <c r="A3465" s="4" t="s">
        <v>113</v>
      </c>
      <c r="B3465" s="4" t="s">
        <v>748</v>
      </c>
    </row>
    <row r="3466" ht="15.75" customHeight="1">
      <c r="A3466" s="4" t="s">
        <v>241</v>
      </c>
      <c r="B3466" s="4" t="s">
        <v>748</v>
      </c>
    </row>
    <row r="3467" ht="15.75" customHeight="1">
      <c r="A3467" s="4" t="s">
        <v>148</v>
      </c>
      <c r="B3467" s="4" t="s">
        <v>749</v>
      </c>
    </row>
    <row r="3468" ht="15.75" customHeight="1">
      <c r="A3468" s="4" t="s">
        <v>77</v>
      </c>
      <c r="B3468" s="4" t="s">
        <v>749</v>
      </c>
    </row>
    <row r="3469" ht="15.75" customHeight="1">
      <c r="A3469" s="4" t="s">
        <v>78</v>
      </c>
      <c r="B3469" s="4" t="s">
        <v>749</v>
      </c>
    </row>
    <row r="3470" ht="15.75" customHeight="1">
      <c r="A3470" s="4" t="s">
        <v>105</v>
      </c>
      <c r="B3470" s="4" t="s">
        <v>749</v>
      </c>
    </row>
    <row r="3471" ht="15.75" customHeight="1">
      <c r="A3471" s="4" t="s">
        <v>162</v>
      </c>
      <c r="B3471" s="4" t="s">
        <v>749</v>
      </c>
    </row>
    <row r="3472" ht="15.75" customHeight="1">
      <c r="A3472" s="4" t="s">
        <v>145</v>
      </c>
      <c r="B3472" s="4" t="s">
        <v>749</v>
      </c>
    </row>
    <row r="3473" ht="15.75" customHeight="1">
      <c r="A3473" s="4" t="s">
        <v>134</v>
      </c>
      <c r="B3473" s="4" t="s">
        <v>750</v>
      </c>
    </row>
    <row r="3474" ht="15.75" customHeight="1">
      <c r="A3474" s="4" t="s">
        <v>85</v>
      </c>
      <c r="B3474" s="4" t="s">
        <v>750</v>
      </c>
    </row>
    <row r="3475" ht="15.75" customHeight="1">
      <c r="A3475" s="4" t="s">
        <v>175</v>
      </c>
      <c r="B3475" s="4" t="s">
        <v>750</v>
      </c>
    </row>
    <row r="3476" ht="15.75" customHeight="1">
      <c r="A3476" s="4" t="s">
        <v>166</v>
      </c>
      <c r="B3476" s="4" t="s">
        <v>750</v>
      </c>
    </row>
    <row r="3477" ht="15.75" customHeight="1">
      <c r="A3477" s="4" t="s">
        <v>126</v>
      </c>
      <c r="B3477" s="4" t="s">
        <v>750</v>
      </c>
    </row>
    <row r="3478" ht="15.75" customHeight="1">
      <c r="A3478" s="4" t="s">
        <v>136</v>
      </c>
      <c r="B3478" s="4" t="s">
        <v>750</v>
      </c>
    </row>
    <row r="3479" ht="15.75" customHeight="1">
      <c r="A3479" s="4" t="s">
        <v>114</v>
      </c>
      <c r="B3479" s="4" t="s">
        <v>751</v>
      </c>
    </row>
    <row r="3480" ht="15.75" customHeight="1">
      <c r="A3480" s="4" t="s">
        <v>75</v>
      </c>
      <c r="B3480" s="4" t="s">
        <v>751</v>
      </c>
    </row>
    <row r="3481" ht="15.75" customHeight="1">
      <c r="A3481" s="4" t="s">
        <v>98</v>
      </c>
      <c r="B3481" s="4" t="s">
        <v>751</v>
      </c>
    </row>
    <row r="3482" ht="15.75" customHeight="1">
      <c r="A3482" s="4" t="s">
        <v>110</v>
      </c>
      <c r="B3482" s="4" t="s">
        <v>751</v>
      </c>
    </row>
    <row r="3483" ht="15.75" customHeight="1">
      <c r="A3483" s="4" t="s">
        <v>222</v>
      </c>
      <c r="B3483" s="4" t="s">
        <v>751</v>
      </c>
    </row>
    <row r="3484" ht="15.75" customHeight="1">
      <c r="A3484" s="4" t="s">
        <v>111</v>
      </c>
      <c r="B3484" s="4" t="s">
        <v>751</v>
      </c>
    </row>
    <row r="3485" ht="15.75" customHeight="1">
      <c r="A3485" s="4" t="s">
        <v>146</v>
      </c>
      <c r="B3485" s="4" t="s">
        <v>752</v>
      </c>
    </row>
    <row r="3486" ht="15.75" customHeight="1">
      <c r="A3486" s="4" t="s">
        <v>75</v>
      </c>
      <c r="B3486" s="4" t="s">
        <v>752</v>
      </c>
    </row>
    <row r="3487" ht="15.75" customHeight="1">
      <c r="A3487" s="4" t="s">
        <v>120</v>
      </c>
      <c r="B3487" s="4" t="s">
        <v>752</v>
      </c>
    </row>
    <row r="3488" ht="15.75" customHeight="1">
      <c r="A3488" s="4" t="s">
        <v>195</v>
      </c>
      <c r="B3488" s="4" t="s">
        <v>752</v>
      </c>
    </row>
    <row r="3489" ht="15.75" customHeight="1">
      <c r="A3489" s="4" t="s">
        <v>162</v>
      </c>
      <c r="B3489" s="4" t="s">
        <v>752</v>
      </c>
    </row>
    <row r="3490" ht="15.75" customHeight="1">
      <c r="A3490" s="4" t="s">
        <v>139</v>
      </c>
      <c r="B3490" s="4" t="s">
        <v>752</v>
      </c>
    </row>
    <row r="3491" ht="15.75" customHeight="1">
      <c r="A3491" s="4" t="s">
        <v>70</v>
      </c>
      <c r="B3491" s="4" t="s">
        <v>753</v>
      </c>
    </row>
    <row r="3492" ht="15.75" customHeight="1">
      <c r="A3492" s="4" t="s">
        <v>109</v>
      </c>
      <c r="B3492" s="4" t="s">
        <v>753</v>
      </c>
    </row>
    <row r="3493" ht="15.75" customHeight="1">
      <c r="A3493" s="4" t="s">
        <v>71</v>
      </c>
      <c r="B3493" s="4" t="s">
        <v>753</v>
      </c>
    </row>
    <row r="3494" ht="15.75" customHeight="1">
      <c r="A3494" s="4" t="s">
        <v>72</v>
      </c>
      <c r="B3494" s="4" t="s">
        <v>753</v>
      </c>
    </row>
    <row r="3495" ht="15.75" customHeight="1">
      <c r="A3495" s="4" t="s">
        <v>93</v>
      </c>
      <c r="B3495" s="4" t="s">
        <v>753</v>
      </c>
    </row>
    <row r="3496" ht="15.75" customHeight="1">
      <c r="A3496" s="4" t="s">
        <v>81</v>
      </c>
      <c r="B3496" s="4" t="s">
        <v>753</v>
      </c>
    </row>
    <row r="3497" ht="15.75" customHeight="1">
      <c r="A3497" s="4" t="s">
        <v>137</v>
      </c>
      <c r="B3497" s="4" t="s">
        <v>754</v>
      </c>
    </row>
    <row r="3498" ht="15.75" customHeight="1">
      <c r="A3498" s="4" t="s">
        <v>134</v>
      </c>
      <c r="B3498" s="4" t="s">
        <v>754</v>
      </c>
    </row>
    <row r="3499" ht="15.75" customHeight="1">
      <c r="A3499" s="4" t="s">
        <v>183</v>
      </c>
      <c r="B3499" s="4" t="s">
        <v>754</v>
      </c>
    </row>
    <row r="3500" ht="15.75" customHeight="1">
      <c r="A3500" s="4" t="s">
        <v>166</v>
      </c>
      <c r="B3500" s="4" t="s">
        <v>754</v>
      </c>
    </row>
    <row r="3501" ht="15.75" customHeight="1">
      <c r="A3501" s="4" t="s">
        <v>181</v>
      </c>
      <c r="B3501" s="4" t="s">
        <v>754</v>
      </c>
    </row>
    <row r="3502" ht="15.75" customHeight="1">
      <c r="A3502" s="4" t="s">
        <v>220</v>
      </c>
      <c r="B3502" s="4" t="s">
        <v>754</v>
      </c>
    </row>
    <row r="3503" ht="15.75" customHeight="1">
      <c r="A3503" s="4" t="s">
        <v>146</v>
      </c>
      <c r="B3503" s="4" t="s">
        <v>755</v>
      </c>
    </row>
    <row r="3504" ht="15.75" customHeight="1">
      <c r="A3504" s="4" t="s">
        <v>169</v>
      </c>
      <c r="B3504" s="4" t="s">
        <v>755</v>
      </c>
    </row>
    <row r="3505" ht="15.75" customHeight="1">
      <c r="A3505" s="4" t="s">
        <v>170</v>
      </c>
      <c r="B3505" s="4" t="s">
        <v>755</v>
      </c>
    </row>
    <row r="3506" ht="15.75" customHeight="1">
      <c r="A3506" s="4" t="s">
        <v>207</v>
      </c>
      <c r="B3506" s="4" t="s">
        <v>755</v>
      </c>
    </row>
    <row r="3507" ht="15.75" customHeight="1">
      <c r="A3507" s="4" t="s">
        <v>73</v>
      </c>
      <c r="B3507" s="4" t="s">
        <v>755</v>
      </c>
    </row>
    <row r="3508" ht="15.75" customHeight="1">
      <c r="A3508" s="4" t="s">
        <v>185</v>
      </c>
      <c r="B3508" s="4" t="s">
        <v>755</v>
      </c>
    </row>
    <row r="3509" ht="15.75" customHeight="1">
      <c r="A3509" s="4" t="s">
        <v>190</v>
      </c>
      <c r="B3509" s="4" t="s">
        <v>756</v>
      </c>
    </row>
    <row r="3510" ht="15.75" customHeight="1">
      <c r="A3510" s="4" t="s">
        <v>102</v>
      </c>
      <c r="B3510" s="4" t="s">
        <v>756</v>
      </c>
    </row>
    <row r="3511" ht="15.75" customHeight="1">
      <c r="A3511" s="4" t="s">
        <v>77</v>
      </c>
      <c r="B3511" s="4" t="s">
        <v>756</v>
      </c>
    </row>
    <row r="3512" ht="15.75" customHeight="1">
      <c r="A3512" s="4" t="s">
        <v>116</v>
      </c>
      <c r="B3512" s="4" t="s">
        <v>756</v>
      </c>
    </row>
    <row r="3513" ht="15.75" customHeight="1">
      <c r="A3513" s="4" t="s">
        <v>113</v>
      </c>
      <c r="B3513" s="4" t="s">
        <v>756</v>
      </c>
    </row>
    <row r="3514" ht="15.75" customHeight="1">
      <c r="A3514" s="4" t="s">
        <v>185</v>
      </c>
      <c r="B3514" s="4" t="s">
        <v>756</v>
      </c>
    </row>
    <row r="3515" ht="15.75" customHeight="1">
      <c r="A3515" s="4" t="s">
        <v>161</v>
      </c>
      <c r="B3515" s="4" t="s">
        <v>757</v>
      </c>
    </row>
    <row r="3516" ht="15.75" customHeight="1">
      <c r="A3516" s="4" t="s">
        <v>64</v>
      </c>
      <c r="B3516" s="4" t="s">
        <v>757</v>
      </c>
    </row>
    <row r="3517" ht="15.75" customHeight="1">
      <c r="A3517" s="4" t="s">
        <v>122</v>
      </c>
      <c r="B3517" s="4" t="s">
        <v>757</v>
      </c>
    </row>
    <row r="3518" ht="15.75" customHeight="1">
      <c r="A3518" s="4" t="s">
        <v>207</v>
      </c>
      <c r="B3518" s="4" t="s">
        <v>757</v>
      </c>
    </row>
    <row r="3519" ht="15.75" customHeight="1">
      <c r="A3519" s="4" t="s">
        <v>73</v>
      </c>
      <c r="B3519" s="4" t="s">
        <v>757</v>
      </c>
    </row>
    <row r="3520" ht="15.75" customHeight="1">
      <c r="A3520" s="4" t="s">
        <v>199</v>
      </c>
      <c r="B3520" s="4" t="s">
        <v>757</v>
      </c>
    </row>
    <row r="3521" ht="15.75" customHeight="1">
      <c r="A3521" s="4" t="s">
        <v>137</v>
      </c>
      <c r="B3521" s="4" t="s">
        <v>758</v>
      </c>
    </row>
    <row r="3522" ht="15.75" customHeight="1">
      <c r="A3522" s="4" t="s">
        <v>134</v>
      </c>
      <c r="B3522" s="4" t="s">
        <v>758</v>
      </c>
    </row>
    <row r="3523" ht="15.75" customHeight="1">
      <c r="A3523" s="4" t="s">
        <v>175</v>
      </c>
      <c r="B3523" s="4" t="s">
        <v>758</v>
      </c>
    </row>
    <row r="3524" ht="15.75" customHeight="1">
      <c r="A3524" s="4" t="s">
        <v>65</v>
      </c>
      <c r="B3524" s="4" t="s">
        <v>758</v>
      </c>
    </row>
    <row r="3525" ht="15.75" customHeight="1">
      <c r="A3525" s="4" t="s">
        <v>66</v>
      </c>
      <c r="B3525" s="4" t="s">
        <v>758</v>
      </c>
    </row>
    <row r="3526" ht="15.75" customHeight="1">
      <c r="A3526" s="4" t="s">
        <v>67</v>
      </c>
      <c r="B3526" s="4" t="s">
        <v>758</v>
      </c>
    </row>
    <row r="3527" ht="15.75" customHeight="1">
      <c r="A3527" s="4" t="s">
        <v>70</v>
      </c>
      <c r="B3527" s="4" t="s">
        <v>759</v>
      </c>
    </row>
    <row r="3528" ht="15.75" customHeight="1">
      <c r="A3528" s="4" t="s">
        <v>156</v>
      </c>
      <c r="B3528" s="4" t="s">
        <v>759</v>
      </c>
    </row>
    <row r="3529" ht="15.75" customHeight="1">
      <c r="A3529" s="4" t="s">
        <v>78</v>
      </c>
      <c r="B3529" s="4" t="s">
        <v>759</v>
      </c>
    </row>
    <row r="3530" ht="15.75" customHeight="1">
      <c r="A3530" s="4" t="s">
        <v>176</v>
      </c>
      <c r="B3530" s="4" t="s">
        <v>759</v>
      </c>
    </row>
    <row r="3531" ht="15.75" customHeight="1">
      <c r="A3531" s="4" t="s">
        <v>222</v>
      </c>
      <c r="B3531" s="4" t="s">
        <v>759</v>
      </c>
    </row>
    <row r="3532" ht="15.75" customHeight="1">
      <c r="A3532" s="4" t="s">
        <v>158</v>
      </c>
      <c r="B3532" s="4" t="s">
        <v>759</v>
      </c>
    </row>
    <row r="3533" ht="15.75" customHeight="1">
      <c r="A3533" s="4" t="s">
        <v>82</v>
      </c>
      <c r="B3533" s="4" t="s">
        <v>760</v>
      </c>
    </row>
    <row r="3534" ht="15.75" customHeight="1">
      <c r="A3534" s="4" t="s">
        <v>156</v>
      </c>
      <c r="B3534" s="4" t="s">
        <v>760</v>
      </c>
    </row>
    <row r="3535" ht="15.75" customHeight="1">
      <c r="A3535" s="4" t="s">
        <v>98</v>
      </c>
      <c r="B3535" s="4" t="s">
        <v>760</v>
      </c>
    </row>
    <row r="3536" ht="15.75" customHeight="1">
      <c r="A3536" s="4" t="s">
        <v>135</v>
      </c>
      <c r="B3536" s="4" t="s">
        <v>760</v>
      </c>
    </row>
    <row r="3537" ht="15.75" customHeight="1">
      <c r="A3537" s="4" t="s">
        <v>150</v>
      </c>
      <c r="B3537" s="4" t="s">
        <v>760</v>
      </c>
    </row>
    <row r="3538" ht="15.75" customHeight="1">
      <c r="A3538" s="4" t="s">
        <v>139</v>
      </c>
      <c r="B3538" s="4" t="s">
        <v>760</v>
      </c>
    </row>
    <row r="3539" ht="15.75" customHeight="1">
      <c r="A3539" s="4" t="s">
        <v>226</v>
      </c>
      <c r="B3539" s="4" t="s">
        <v>761</v>
      </c>
    </row>
    <row r="3540" ht="15.75" customHeight="1">
      <c r="A3540" s="4" t="s">
        <v>153</v>
      </c>
      <c r="B3540" s="4" t="s">
        <v>761</v>
      </c>
    </row>
    <row r="3541" ht="15.75" customHeight="1">
      <c r="A3541" s="4" t="s">
        <v>71</v>
      </c>
      <c r="B3541" s="4" t="s">
        <v>761</v>
      </c>
    </row>
    <row r="3542" ht="15.75" customHeight="1">
      <c r="A3542" s="4" t="s">
        <v>157</v>
      </c>
      <c r="B3542" s="4" t="s">
        <v>761</v>
      </c>
    </row>
    <row r="3543" ht="15.75" customHeight="1">
      <c r="A3543" s="4" t="s">
        <v>187</v>
      </c>
      <c r="B3543" s="4" t="s">
        <v>761</v>
      </c>
    </row>
    <row r="3544" ht="15.75" customHeight="1">
      <c r="A3544" s="4" t="s">
        <v>171</v>
      </c>
      <c r="B3544" s="4" t="s">
        <v>761</v>
      </c>
    </row>
    <row r="3545" ht="15.75" customHeight="1">
      <c r="A3545" s="4" t="s">
        <v>75</v>
      </c>
      <c r="B3545" s="4" t="s">
        <v>762</v>
      </c>
    </row>
    <row r="3546" ht="15.75" customHeight="1">
      <c r="A3546" s="4" t="s">
        <v>156</v>
      </c>
      <c r="B3546" s="4" t="s">
        <v>762</v>
      </c>
    </row>
    <row r="3547" ht="15.75" customHeight="1">
      <c r="A3547" s="4" t="s">
        <v>98</v>
      </c>
      <c r="B3547" s="4" t="s">
        <v>762</v>
      </c>
    </row>
    <row r="3548" ht="15.75" customHeight="1">
      <c r="A3548" s="4" t="s">
        <v>86</v>
      </c>
      <c r="B3548" s="4" t="s">
        <v>762</v>
      </c>
    </row>
    <row r="3549" ht="15.75" customHeight="1">
      <c r="A3549" s="4" t="s">
        <v>87</v>
      </c>
      <c r="B3549" s="4" t="s">
        <v>762</v>
      </c>
    </row>
    <row r="3550" ht="15.75" customHeight="1">
      <c r="A3550" s="4" t="s">
        <v>154</v>
      </c>
      <c r="B3550" s="4" t="s">
        <v>762</v>
      </c>
    </row>
    <row r="3551" ht="15.75" customHeight="1">
      <c r="A3551" s="4" t="s">
        <v>169</v>
      </c>
      <c r="B3551" s="4" t="s">
        <v>763</v>
      </c>
    </row>
    <row r="3552" ht="15.75" customHeight="1">
      <c r="A3552" s="4" t="s">
        <v>183</v>
      </c>
      <c r="B3552" s="4" t="s">
        <v>763</v>
      </c>
    </row>
    <row r="3553" ht="15.75" customHeight="1">
      <c r="A3553" s="4" t="s">
        <v>194</v>
      </c>
      <c r="B3553" s="4" t="s">
        <v>763</v>
      </c>
    </row>
    <row r="3554" ht="15.75" customHeight="1">
      <c r="A3554" s="4" t="s">
        <v>110</v>
      </c>
      <c r="B3554" s="4" t="s">
        <v>763</v>
      </c>
    </row>
    <row r="3555" ht="15.75" customHeight="1">
      <c r="A3555" s="4" t="s">
        <v>222</v>
      </c>
      <c r="B3555" s="4" t="s">
        <v>763</v>
      </c>
    </row>
    <row r="3556" ht="15.75" customHeight="1">
      <c r="A3556" s="4" t="s">
        <v>111</v>
      </c>
      <c r="B3556" s="4" t="s">
        <v>763</v>
      </c>
    </row>
    <row r="3557" ht="15.75" customHeight="1">
      <c r="A3557" s="4" t="s">
        <v>89</v>
      </c>
      <c r="B3557" s="4" t="s">
        <v>764</v>
      </c>
    </row>
    <row r="3558" ht="15.75" customHeight="1">
      <c r="A3558" s="4" t="s">
        <v>91</v>
      </c>
      <c r="B3558" s="4" t="s">
        <v>764</v>
      </c>
    </row>
    <row r="3559" ht="15.75" customHeight="1">
      <c r="A3559" s="4" t="s">
        <v>92</v>
      </c>
      <c r="B3559" s="4" t="s">
        <v>764</v>
      </c>
    </row>
    <row r="3560" ht="15.75" customHeight="1">
      <c r="A3560" s="4" t="s">
        <v>65</v>
      </c>
      <c r="B3560" s="4" t="s">
        <v>764</v>
      </c>
    </row>
    <row r="3561" ht="15.75" customHeight="1">
      <c r="A3561" s="4" t="s">
        <v>66</v>
      </c>
      <c r="B3561" s="4" t="s">
        <v>764</v>
      </c>
    </row>
    <row r="3562" ht="15.75" customHeight="1">
      <c r="A3562" s="4" t="s">
        <v>67</v>
      </c>
      <c r="B3562" s="4" t="s">
        <v>764</v>
      </c>
    </row>
    <row r="3563" ht="15.75" customHeight="1">
      <c r="A3563" s="4" t="s">
        <v>114</v>
      </c>
      <c r="B3563" s="4" t="s">
        <v>765</v>
      </c>
    </row>
    <row r="3564" ht="15.75" customHeight="1">
      <c r="A3564" s="4" t="s">
        <v>75</v>
      </c>
      <c r="B3564" s="4" t="s">
        <v>765</v>
      </c>
    </row>
    <row r="3565" ht="15.75" customHeight="1">
      <c r="A3565" s="4" t="s">
        <v>98</v>
      </c>
      <c r="B3565" s="4" t="s">
        <v>765</v>
      </c>
    </row>
    <row r="3566" ht="15.75" customHeight="1">
      <c r="A3566" s="4" t="s">
        <v>123</v>
      </c>
      <c r="B3566" s="4" t="s">
        <v>765</v>
      </c>
    </row>
    <row r="3567" ht="15.75" customHeight="1">
      <c r="A3567" s="4" t="s">
        <v>106</v>
      </c>
      <c r="B3567" s="4" t="s">
        <v>765</v>
      </c>
    </row>
    <row r="3568" ht="15.75" customHeight="1">
      <c r="A3568" s="4" t="s">
        <v>171</v>
      </c>
      <c r="B3568" s="4" t="s">
        <v>765</v>
      </c>
    </row>
    <row r="3569" ht="15.75" customHeight="1">
      <c r="A3569" s="4" t="s">
        <v>68</v>
      </c>
      <c r="B3569" s="4" t="s">
        <v>766</v>
      </c>
    </row>
    <row r="3570" ht="15.75" customHeight="1">
      <c r="A3570" s="4" t="s">
        <v>148</v>
      </c>
      <c r="B3570" s="4" t="s">
        <v>766</v>
      </c>
    </row>
    <row r="3571" ht="15.75" customHeight="1">
      <c r="A3571" s="4" t="s">
        <v>120</v>
      </c>
      <c r="B3571" s="4" t="s">
        <v>766</v>
      </c>
    </row>
    <row r="3572" ht="15.75" customHeight="1">
      <c r="A3572" s="4" t="s">
        <v>157</v>
      </c>
      <c r="B3572" s="4" t="s">
        <v>766</v>
      </c>
    </row>
    <row r="3573" ht="15.75" customHeight="1">
      <c r="A3573" s="4" t="s">
        <v>124</v>
      </c>
      <c r="B3573" s="4" t="s">
        <v>766</v>
      </c>
    </row>
    <row r="3574" ht="15.75" customHeight="1">
      <c r="A3574" s="4" t="s">
        <v>145</v>
      </c>
      <c r="B3574" s="4" t="s">
        <v>766</v>
      </c>
    </row>
    <row r="3575" ht="15.75" customHeight="1">
      <c r="A3575" s="4" t="s">
        <v>95</v>
      </c>
      <c r="B3575" s="4" t="s">
        <v>767</v>
      </c>
    </row>
    <row r="3576" ht="15.75" customHeight="1">
      <c r="A3576" s="4" t="s">
        <v>97</v>
      </c>
      <c r="B3576" s="4" t="s">
        <v>767</v>
      </c>
    </row>
    <row r="3577" ht="15.75" customHeight="1">
      <c r="A3577" s="4" t="s">
        <v>78</v>
      </c>
      <c r="B3577" s="4" t="s">
        <v>767</v>
      </c>
    </row>
    <row r="3578" ht="15.75" customHeight="1">
      <c r="A3578" s="4" t="s">
        <v>149</v>
      </c>
      <c r="B3578" s="4" t="s">
        <v>767</v>
      </c>
    </row>
    <row r="3579" ht="15.75" customHeight="1">
      <c r="A3579" s="4" t="s">
        <v>124</v>
      </c>
      <c r="B3579" s="4" t="s">
        <v>767</v>
      </c>
    </row>
    <row r="3580" ht="15.75" customHeight="1">
      <c r="A3580" s="4" t="s">
        <v>127</v>
      </c>
      <c r="B3580" s="4" t="s">
        <v>767</v>
      </c>
    </row>
    <row r="3581" ht="15.75" customHeight="1">
      <c r="A3581" s="4" t="s">
        <v>89</v>
      </c>
      <c r="B3581" s="4" t="s">
        <v>768</v>
      </c>
    </row>
    <row r="3582" ht="15.75" customHeight="1">
      <c r="A3582" s="4" t="s">
        <v>68</v>
      </c>
      <c r="B3582" s="4" t="s">
        <v>768</v>
      </c>
    </row>
    <row r="3583" ht="15.75" customHeight="1">
      <c r="A3583" s="4" t="s">
        <v>178</v>
      </c>
      <c r="B3583" s="4" t="s">
        <v>768</v>
      </c>
    </row>
    <row r="3584" ht="15.75" customHeight="1">
      <c r="A3584" s="4" t="s">
        <v>72</v>
      </c>
      <c r="B3584" s="4" t="s">
        <v>768</v>
      </c>
    </row>
    <row r="3585" ht="15.75" customHeight="1">
      <c r="A3585" s="4" t="s">
        <v>117</v>
      </c>
      <c r="B3585" s="4" t="s">
        <v>768</v>
      </c>
    </row>
    <row r="3586" ht="15.75" customHeight="1">
      <c r="A3586" s="4" t="s">
        <v>74</v>
      </c>
      <c r="B3586" s="4" t="s">
        <v>768</v>
      </c>
    </row>
    <row r="3587" ht="15.75" customHeight="1">
      <c r="A3587" s="4" t="s">
        <v>134</v>
      </c>
      <c r="B3587" s="4" t="s">
        <v>769</v>
      </c>
    </row>
    <row r="3588" ht="15.75" customHeight="1">
      <c r="A3588" s="4" t="s">
        <v>85</v>
      </c>
      <c r="B3588" s="4" t="s">
        <v>769</v>
      </c>
    </row>
    <row r="3589" ht="15.75" customHeight="1">
      <c r="A3589" s="4" t="s">
        <v>175</v>
      </c>
      <c r="B3589" s="4" t="s">
        <v>769</v>
      </c>
    </row>
    <row r="3590" ht="15.75" customHeight="1">
      <c r="A3590" s="4" t="s">
        <v>195</v>
      </c>
      <c r="B3590" s="4" t="s">
        <v>769</v>
      </c>
    </row>
    <row r="3591" ht="15.75" customHeight="1">
      <c r="A3591" s="4" t="s">
        <v>124</v>
      </c>
      <c r="B3591" s="4" t="s">
        <v>769</v>
      </c>
    </row>
    <row r="3592" ht="15.75" customHeight="1">
      <c r="A3592" s="4" t="s">
        <v>212</v>
      </c>
      <c r="B3592" s="4" t="s">
        <v>769</v>
      </c>
    </row>
    <row r="3593" ht="15.75" customHeight="1">
      <c r="A3593" s="4" t="s">
        <v>97</v>
      </c>
      <c r="B3593" s="4" t="s">
        <v>770</v>
      </c>
    </row>
    <row r="3594" ht="15.75" customHeight="1">
      <c r="A3594" s="4" t="s">
        <v>192</v>
      </c>
      <c r="B3594" s="4" t="s">
        <v>770</v>
      </c>
    </row>
    <row r="3595" ht="15.75" customHeight="1">
      <c r="A3595" s="4" t="s">
        <v>92</v>
      </c>
      <c r="B3595" s="4" t="s">
        <v>770</v>
      </c>
    </row>
    <row r="3596" ht="15.75" customHeight="1">
      <c r="A3596" s="4" t="s">
        <v>189</v>
      </c>
      <c r="B3596" s="4" t="s">
        <v>770</v>
      </c>
    </row>
    <row r="3597" ht="15.75" customHeight="1">
      <c r="A3597" s="4" t="s">
        <v>66</v>
      </c>
      <c r="B3597" s="4" t="s">
        <v>770</v>
      </c>
    </row>
    <row r="3598" ht="15.75" customHeight="1">
      <c r="A3598" s="4" t="s">
        <v>67</v>
      </c>
      <c r="B3598" s="4" t="s">
        <v>770</v>
      </c>
    </row>
    <row r="3599" ht="15.75" customHeight="1">
      <c r="A3599" s="4" t="s">
        <v>97</v>
      </c>
      <c r="B3599" s="4" t="s">
        <v>771</v>
      </c>
    </row>
    <row r="3600" ht="15.75" customHeight="1">
      <c r="A3600" s="4" t="s">
        <v>92</v>
      </c>
      <c r="B3600" s="4" t="s">
        <v>771</v>
      </c>
    </row>
    <row r="3601" ht="15.75" customHeight="1">
      <c r="A3601" s="4" t="s">
        <v>141</v>
      </c>
      <c r="B3601" s="4" t="s">
        <v>771</v>
      </c>
    </row>
    <row r="3602" ht="15.75" customHeight="1">
      <c r="A3602" s="4" t="s">
        <v>195</v>
      </c>
      <c r="B3602" s="4" t="s">
        <v>771</v>
      </c>
    </row>
    <row r="3603" ht="15.75" customHeight="1">
      <c r="A3603" s="4" t="s">
        <v>124</v>
      </c>
      <c r="B3603" s="4" t="s">
        <v>771</v>
      </c>
    </row>
    <row r="3604" ht="15.75" customHeight="1">
      <c r="A3604" s="4" t="s">
        <v>220</v>
      </c>
      <c r="B3604" s="4" t="s">
        <v>771</v>
      </c>
    </row>
    <row r="3605" ht="15.75" customHeight="1">
      <c r="A3605" s="4" t="s">
        <v>68</v>
      </c>
      <c r="B3605" s="4" t="s">
        <v>772</v>
      </c>
    </row>
    <row r="3606" ht="15.75" customHeight="1">
      <c r="A3606" s="4" t="s">
        <v>169</v>
      </c>
      <c r="B3606" s="4" t="s">
        <v>772</v>
      </c>
    </row>
    <row r="3607" ht="15.75" customHeight="1">
      <c r="A3607" s="4" t="s">
        <v>170</v>
      </c>
      <c r="B3607" s="4" t="s">
        <v>772</v>
      </c>
    </row>
    <row r="3608" ht="15.75" customHeight="1">
      <c r="A3608" s="4" t="s">
        <v>135</v>
      </c>
      <c r="B3608" s="4" t="s">
        <v>772</v>
      </c>
    </row>
    <row r="3609" ht="15.75" customHeight="1">
      <c r="A3609" s="4" t="s">
        <v>150</v>
      </c>
      <c r="B3609" s="4" t="s">
        <v>772</v>
      </c>
    </row>
    <row r="3610" ht="15.75" customHeight="1">
      <c r="A3610" s="4" t="s">
        <v>139</v>
      </c>
      <c r="B3610" s="4" t="s">
        <v>772</v>
      </c>
    </row>
    <row r="3611" ht="15.75" customHeight="1">
      <c r="A3611" s="4" t="s">
        <v>75</v>
      </c>
      <c r="B3611" s="4" t="s">
        <v>773</v>
      </c>
    </row>
    <row r="3612" ht="15.75" customHeight="1">
      <c r="A3612" s="4" t="s">
        <v>64</v>
      </c>
      <c r="B3612" s="4" t="s">
        <v>773</v>
      </c>
    </row>
    <row r="3613" ht="15.75" customHeight="1">
      <c r="A3613" s="4" t="s">
        <v>77</v>
      </c>
      <c r="B3613" s="4" t="s">
        <v>773</v>
      </c>
    </row>
    <row r="3614" ht="15.75" customHeight="1">
      <c r="A3614" s="4" t="s">
        <v>79</v>
      </c>
      <c r="B3614" s="4" t="s">
        <v>773</v>
      </c>
    </row>
    <row r="3615" ht="15.75" customHeight="1">
      <c r="A3615" s="4" t="s">
        <v>93</v>
      </c>
      <c r="B3615" s="4" t="s">
        <v>773</v>
      </c>
    </row>
    <row r="3616" ht="15.75" customHeight="1">
      <c r="A3616" s="4" t="s">
        <v>74</v>
      </c>
      <c r="B3616" s="4" t="s">
        <v>773</v>
      </c>
    </row>
    <row r="3617" ht="15.75" customHeight="1">
      <c r="A3617" s="4" t="s">
        <v>100</v>
      </c>
      <c r="B3617" s="4" t="s">
        <v>774</v>
      </c>
    </row>
    <row r="3618" ht="15.75" customHeight="1">
      <c r="A3618" s="4" t="s">
        <v>85</v>
      </c>
      <c r="B3618" s="4" t="s">
        <v>774</v>
      </c>
    </row>
    <row r="3619" ht="15.75" customHeight="1">
      <c r="A3619" s="4" t="s">
        <v>78</v>
      </c>
      <c r="B3619" s="4" t="s">
        <v>774</v>
      </c>
    </row>
    <row r="3620" ht="15.75" customHeight="1">
      <c r="A3620" s="4" t="s">
        <v>184</v>
      </c>
      <c r="B3620" s="4" t="s">
        <v>774</v>
      </c>
    </row>
    <row r="3621" ht="15.75" customHeight="1">
      <c r="A3621" s="4" t="s">
        <v>113</v>
      </c>
      <c r="B3621" s="4" t="s">
        <v>774</v>
      </c>
    </row>
    <row r="3622" ht="15.75" customHeight="1">
      <c r="A3622" s="4" t="s">
        <v>88</v>
      </c>
      <c r="B3622" s="4" t="s">
        <v>774</v>
      </c>
    </row>
    <row r="3623" ht="15.75" customHeight="1">
      <c r="A3623" s="4" t="s">
        <v>114</v>
      </c>
      <c r="B3623" s="4" t="s">
        <v>775</v>
      </c>
    </row>
    <row r="3624" ht="15.75" customHeight="1">
      <c r="A3624" s="4" t="s">
        <v>169</v>
      </c>
      <c r="B3624" s="4" t="s">
        <v>775</v>
      </c>
    </row>
    <row r="3625" ht="15.75" customHeight="1">
      <c r="A3625" s="4" t="s">
        <v>178</v>
      </c>
      <c r="B3625" s="4" t="s">
        <v>775</v>
      </c>
    </row>
    <row r="3626" ht="15.75" customHeight="1">
      <c r="A3626" s="4" t="s">
        <v>123</v>
      </c>
      <c r="B3626" s="4" t="s">
        <v>775</v>
      </c>
    </row>
    <row r="3627" ht="15.75" customHeight="1">
      <c r="A3627" s="4" t="s">
        <v>181</v>
      </c>
      <c r="B3627" s="4" t="s">
        <v>775</v>
      </c>
    </row>
    <row r="3628" ht="15.75" customHeight="1">
      <c r="A3628" s="4" t="s">
        <v>107</v>
      </c>
      <c r="B3628" s="4" t="s">
        <v>775</v>
      </c>
    </row>
    <row r="3629" ht="15.75" customHeight="1">
      <c r="A3629" s="4" t="s">
        <v>63</v>
      </c>
      <c r="B3629" s="4" t="s">
        <v>776</v>
      </c>
    </row>
    <row r="3630" ht="15.75" customHeight="1">
      <c r="A3630" s="4" t="s">
        <v>134</v>
      </c>
      <c r="B3630" s="4" t="s">
        <v>776</v>
      </c>
    </row>
    <row r="3631" ht="15.75" customHeight="1">
      <c r="A3631" s="4" t="s">
        <v>183</v>
      </c>
      <c r="B3631" s="4" t="s">
        <v>776</v>
      </c>
    </row>
    <row r="3632" ht="15.75" customHeight="1">
      <c r="A3632" s="4" t="s">
        <v>195</v>
      </c>
      <c r="B3632" s="4" t="s">
        <v>776</v>
      </c>
    </row>
    <row r="3633" ht="15.75" customHeight="1">
      <c r="A3633" s="4" t="s">
        <v>126</v>
      </c>
      <c r="B3633" s="4" t="s">
        <v>776</v>
      </c>
    </row>
    <row r="3634" ht="15.75" customHeight="1">
      <c r="A3634" s="4" t="s">
        <v>220</v>
      </c>
      <c r="B3634" s="4" t="s">
        <v>776</v>
      </c>
    </row>
    <row r="3635" ht="15.75" customHeight="1">
      <c r="A3635" s="4" t="s">
        <v>226</v>
      </c>
      <c r="B3635" s="4" t="s">
        <v>777</v>
      </c>
    </row>
    <row r="3636" ht="15.75" customHeight="1">
      <c r="A3636" s="4" t="s">
        <v>198</v>
      </c>
      <c r="B3636" s="4" t="s">
        <v>777</v>
      </c>
    </row>
    <row r="3637" ht="15.75" customHeight="1">
      <c r="A3637" s="4" t="s">
        <v>122</v>
      </c>
      <c r="B3637" s="4" t="s">
        <v>777</v>
      </c>
    </row>
    <row r="3638" ht="15.75" customHeight="1">
      <c r="A3638" s="4" t="s">
        <v>110</v>
      </c>
      <c r="B3638" s="4" t="s">
        <v>777</v>
      </c>
    </row>
    <row r="3639" ht="15.75" customHeight="1">
      <c r="A3639" s="4" t="s">
        <v>162</v>
      </c>
      <c r="B3639" s="4" t="s">
        <v>777</v>
      </c>
    </row>
    <row r="3640" ht="15.75" customHeight="1">
      <c r="A3640" s="4" t="s">
        <v>107</v>
      </c>
      <c r="B3640" s="4" t="s">
        <v>777</v>
      </c>
    </row>
    <row r="3641" ht="15.75" customHeight="1">
      <c r="A3641" s="4" t="s">
        <v>68</v>
      </c>
      <c r="B3641" s="4" t="s">
        <v>778</v>
      </c>
    </row>
    <row r="3642" ht="15.75" customHeight="1">
      <c r="A3642" s="4" t="s">
        <v>169</v>
      </c>
      <c r="B3642" s="4" t="s">
        <v>778</v>
      </c>
    </row>
    <row r="3643" ht="15.75" customHeight="1">
      <c r="A3643" s="4" t="s">
        <v>183</v>
      </c>
      <c r="B3643" s="4" t="s">
        <v>778</v>
      </c>
    </row>
    <row r="3644" ht="15.75" customHeight="1">
      <c r="A3644" s="4" t="s">
        <v>86</v>
      </c>
      <c r="B3644" s="4" t="s">
        <v>778</v>
      </c>
    </row>
    <row r="3645" ht="15.75" customHeight="1">
      <c r="A3645" s="4" t="s">
        <v>131</v>
      </c>
      <c r="B3645" s="4" t="s">
        <v>778</v>
      </c>
    </row>
    <row r="3646" ht="15.75" customHeight="1">
      <c r="A3646" s="4" t="s">
        <v>88</v>
      </c>
      <c r="B3646" s="4" t="s">
        <v>778</v>
      </c>
    </row>
    <row r="3647" ht="15.75" customHeight="1">
      <c r="A3647" s="4" t="s">
        <v>146</v>
      </c>
      <c r="B3647" s="4" t="s">
        <v>779</v>
      </c>
    </row>
    <row r="3648" ht="15.75" customHeight="1">
      <c r="A3648" s="4" t="s">
        <v>169</v>
      </c>
      <c r="B3648" s="4" t="s">
        <v>779</v>
      </c>
    </row>
    <row r="3649" ht="15.75" customHeight="1">
      <c r="A3649" s="4" t="s">
        <v>78</v>
      </c>
      <c r="B3649" s="4" t="s">
        <v>779</v>
      </c>
    </row>
    <row r="3650" ht="15.75" customHeight="1">
      <c r="A3650" s="4" t="s">
        <v>211</v>
      </c>
      <c r="B3650" s="4" t="s">
        <v>779</v>
      </c>
    </row>
    <row r="3651" ht="15.75" customHeight="1">
      <c r="A3651" s="4" t="s">
        <v>106</v>
      </c>
      <c r="B3651" s="4" t="s">
        <v>779</v>
      </c>
    </row>
    <row r="3652" ht="15.75" customHeight="1">
      <c r="A3652" s="4" t="s">
        <v>136</v>
      </c>
      <c r="B3652" s="4" t="s">
        <v>779</v>
      </c>
    </row>
    <row r="3653" ht="15.75" customHeight="1">
      <c r="A3653" s="4" t="s">
        <v>146</v>
      </c>
      <c r="B3653" s="4" t="s">
        <v>780</v>
      </c>
    </row>
    <row r="3654" ht="15.75" customHeight="1">
      <c r="A3654" s="4" t="s">
        <v>82</v>
      </c>
      <c r="B3654" s="4" t="s">
        <v>780</v>
      </c>
    </row>
    <row r="3655" ht="15.75" customHeight="1">
      <c r="A3655" s="4" t="s">
        <v>98</v>
      </c>
      <c r="B3655" s="4" t="s">
        <v>780</v>
      </c>
    </row>
    <row r="3656" ht="15.75" customHeight="1">
      <c r="A3656" s="4" t="s">
        <v>65</v>
      </c>
      <c r="B3656" s="4" t="s">
        <v>780</v>
      </c>
    </row>
    <row r="3657" ht="15.75" customHeight="1">
      <c r="A3657" s="4" t="s">
        <v>142</v>
      </c>
      <c r="B3657" s="4" t="s">
        <v>780</v>
      </c>
    </row>
    <row r="3658" ht="15.75" customHeight="1">
      <c r="A3658" s="4" t="s">
        <v>118</v>
      </c>
      <c r="B3658" s="4" t="s">
        <v>780</v>
      </c>
    </row>
    <row r="3659" ht="15.75" customHeight="1">
      <c r="A3659" s="4" t="s">
        <v>95</v>
      </c>
      <c r="B3659" s="4" t="s">
        <v>781</v>
      </c>
    </row>
    <row r="3660" ht="15.75" customHeight="1">
      <c r="A3660" s="4" t="s">
        <v>161</v>
      </c>
      <c r="B3660" s="4" t="s">
        <v>781</v>
      </c>
    </row>
    <row r="3661" ht="15.75" customHeight="1">
      <c r="A3661" s="4" t="s">
        <v>141</v>
      </c>
      <c r="B3661" s="4" t="s">
        <v>781</v>
      </c>
    </row>
    <row r="3662" ht="15.75" customHeight="1">
      <c r="A3662" s="4" t="s">
        <v>105</v>
      </c>
      <c r="B3662" s="4" t="s">
        <v>781</v>
      </c>
    </row>
    <row r="3663" ht="15.75" customHeight="1">
      <c r="A3663" s="4" t="s">
        <v>181</v>
      </c>
      <c r="B3663" s="4" t="s">
        <v>781</v>
      </c>
    </row>
    <row r="3664" ht="15.75" customHeight="1">
      <c r="A3664" s="4" t="s">
        <v>145</v>
      </c>
      <c r="B3664" s="4" t="s">
        <v>781</v>
      </c>
    </row>
    <row r="3665" ht="15.75" customHeight="1">
      <c r="A3665" s="4" t="s">
        <v>161</v>
      </c>
      <c r="B3665" s="4" t="s">
        <v>782</v>
      </c>
    </row>
    <row r="3666" ht="15.75" customHeight="1">
      <c r="A3666" s="4" t="s">
        <v>194</v>
      </c>
      <c r="B3666" s="4" t="s">
        <v>782</v>
      </c>
    </row>
    <row r="3667" ht="15.75" customHeight="1">
      <c r="A3667" s="4" t="s">
        <v>141</v>
      </c>
      <c r="B3667" s="4" t="s">
        <v>782</v>
      </c>
    </row>
    <row r="3668" ht="15.75" customHeight="1">
      <c r="A3668" s="4" t="s">
        <v>123</v>
      </c>
      <c r="B3668" s="4" t="s">
        <v>782</v>
      </c>
    </row>
    <row r="3669" ht="15.75" customHeight="1">
      <c r="A3669" s="4" t="s">
        <v>196</v>
      </c>
      <c r="B3669" s="4" t="s">
        <v>782</v>
      </c>
    </row>
    <row r="3670" ht="15.75" customHeight="1">
      <c r="A3670" s="4" t="s">
        <v>145</v>
      </c>
      <c r="B3670" s="4" t="s">
        <v>782</v>
      </c>
    </row>
    <row r="3671" ht="15.75" customHeight="1">
      <c r="A3671" s="4" t="s">
        <v>137</v>
      </c>
      <c r="B3671" s="4" t="s">
        <v>783</v>
      </c>
    </row>
    <row r="3672" ht="15.75" customHeight="1">
      <c r="A3672" s="4" t="s">
        <v>161</v>
      </c>
      <c r="B3672" s="4" t="s">
        <v>783</v>
      </c>
    </row>
    <row r="3673" ht="15.75" customHeight="1">
      <c r="A3673" s="4" t="s">
        <v>178</v>
      </c>
      <c r="B3673" s="4" t="s">
        <v>783</v>
      </c>
    </row>
    <row r="3674" ht="15.75" customHeight="1">
      <c r="A3674" s="4" t="s">
        <v>79</v>
      </c>
      <c r="B3674" s="4" t="s">
        <v>783</v>
      </c>
    </row>
    <row r="3675" ht="15.75" customHeight="1">
      <c r="A3675" s="4" t="s">
        <v>142</v>
      </c>
      <c r="B3675" s="4" t="s">
        <v>783</v>
      </c>
    </row>
    <row r="3676" ht="15.75" customHeight="1">
      <c r="A3676" s="4" t="s">
        <v>94</v>
      </c>
      <c r="B3676" s="4" t="s">
        <v>783</v>
      </c>
    </row>
    <row r="3677" ht="15.75" customHeight="1">
      <c r="A3677" s="4" t="s">
        <v>204</v>
      </c>
      <c r="B3677" s="4" t="s">
        <v>784</v>
      </c>
    </row>
    <row r="3678" ht="15.75" customHeight="1">
      <c r="A3678" s="4" t="s">
        <v>95</v>
      </c>
      <c r="B3678" s="4" t="s">
        <v>784</v>
      </c>
    </row>
    <row r="3679" ht="15.75" customHeight="1">
      <c r="A3679" s="4" t="s">
        <v>71</v>
      </c>
      <c r="B3679" s="4" t="s">
        <v>784</v>
      </c>
    </row>
    <row r="3680" ht="15.75" customHeight="1">
      <c r="A3680" s="4" t="s">
        <v>240</v>
      </c>
      <c r="B3680" s="4" t="s">
        <v>784</v>
      </c>
    </row>
    <row r="3681" ht="15.75" customHeight="1">
      <c r="A3681" s="4" t="s">
        <v>208</v>
      </c>
      <c r="B3681" s="4" t="s">
        <v>784</v>
      </c>
    </row>
    <row r="3682" ht="15.75" customHeight="1">
      <c r="A3682" s="4" t="s">
        <v>74</v>
      </c>
      <c r="B3682" s="4" t="s">
        <v>784</v>
      </c>
    </row>
    <row r="3683" ht="15.75" customHeight="1">
      <c r="A3683" s="4" t="s">
        <v>226</v>
      </c>
      <c r="B3683" s="4" t="s">
        <v>785</v>
      </c>
    </row>
    <row r="3684" ht="15.75" customHeight="1">
      <c r="A3684" s="4" t="s">
        <v>114</v>
      </c>
      <c r="B3684" s="4" t="s">
        <v>785</v>
      </c>
    </row>
    <row r="3685" ht="15.75" customHeight="1">
      <c r="A3685" s="4" t="s">
        <v>170</v>
      </c>
      <c r="B3685" s="4" t="s">
        <v>785</v>
      </c>
    </row>
    <row r="3686" ht="15.75" customHeight="1">
      <c r="A3686" s="4" t="s">
        <v>135</v>
      </c>
      <c r="B3686" s="4" t="s">
        <v>785</v>
      </c>
    </row>
    <row r="3687" ht="15.75" customHeight="1">
      <c r="A3687" s="4" t="s">
        <v>187</v>
      </c>
      <c r="B3687" s="4" t="s">
        <v>785</v>
      </c>
    </row>
    <row r="3688" ht="15.75" customHeight="1">
      <c r="A3688" s="4" t="s">
        <v>136</v>
      </c>
      <c r="B3688" s="4" t="s">
        <v>785</v>
      </c>
    </row>
    <row r="3689" ht="15.75" customHeight="1">
      <c r="A3689" s="4" t="s">
        <v>132</v>
      </c>
      <c r="B3689" s="4" t="s">
        <v>786</v>
      </c>
    </row>
    <row r="3690" ht="15.75" customHeight="1">
      <c r="A3690" s="4" t="s">
        <v>134</v>
      </c>
      <c r="B3690" s="4" t="s">
        <v>786</v>
      </c>
    </row>
    <row r="3691" ht="15.75" customHeight="1">
      <c r="A3691" s="4" t="s">
        <v>71</v>
      </c>
      <c r="B3691" s="4" t="s">
        <v>786</v>
      </c>
    </row>
    <row r="3692" ht="15.75" customHeight="1">
      <c r="A3692" s="4" t="s">
        <v>211</v>
      </c>
      <c r="B3692" s="4" t="s">
        <v>786</v>
      </c>
    </row>
    <row r="3693" ht="15.75" customHeight="1">
      <c r="A3693" s="4" t="s">
        <v>187</v>
      </c>
      <c r="B3693" s="4" t="s">
        <v>786</v>
      </c>
    </row>
    <row r="3694" ht="15.75" customHeight="1">
      <c r="A3694" s="4" t="s">
        <v>136</v>
      </c>
      <c r="B3694" s="4" t="s">
        <v>786</v>
      </c>
    </row>
    <row r="3695" ht="15.75" customHeight="1">
      <c r="A3695" s="4" t="s">
        <v>226</v>
      </c>
      <c r="B3695" s="4" t="s">
        <v>787</v>
      </c>
    </row>
    <row r="3696" ht="15.75" customHeight="1">
      <c r="A3696" s="4" t="s">
        <v>198</v>
      </c>
      <c r="B3696" s="4" t="s">
        <v>787</v>
      </c>
    </row>
    <row r="3697" ht="15.75" customHeight="1">
      <c r="A3697" s="4" t="s">
        <v>156</v>
      </c>
      <c r="B3697" s="4" t="s">
        <v>787</v>
      </c>
    </row>
    <row r="3698" ht="15.75" customHeight="1">
      <c r="A3698" s="4" t="s">
        <v>189</v>
      </c>
      <c r="B3698" s="4" t="s">
        <v>787</v>
      </c>
    </row>
    <row r="3699" ht="15.75" customHeight="1">
      <c r="A3699" s="4" t="s">
        <v>73</v>
      </c>
      <c r="B3699" s="4" t="s">
        <v>787</v>
      </c>
    </row>
    <row r="3700" ht="15.75" customHeight="1">
      <c r="A3700" s="4" t="s">
        <v>118</v>
      </c>
      <c r="B3700" s="4" t="s">
        <v>787</v>
      </c>
    </row>
    <row r="3701" ht="15.75" customHeight="1">
      <c r="A3701" s="4" t="s">
        <v>82</v>
      </c>
      <c r="B3701" s="4" t="s">
        <v>788</v>
      </c>
    </row>
    <row r="3702" ht="15.75" customHeight="1">
      <c r="A3702" s="4" t="s">
        <v>68</v>
      </c>
      <c r="B3702" s="4" t="s">
        <v>788</v>
      </c>
    </row>
    <row r="3703" ht="15.75" customHeight="1">
      <c r="A3703" s="4" t="s">
        <v>78</v>
      </c>
      <c r="B3703" s="4" t="s">
        <v>788</v>
      </c>
    </row>
    <row r="3704" ht="15.75" customHeight="1">
      <c r="A3704" s="4" t="s">
        <v>149</v>
      </c>
      <c r="B3704" s="4" t="s">
        <v>788</v>
      </c>
    </row>
    <row r="3705" ht="15.75" customHeight="1">
      <c r="A3705" s="4" t="s">
        <v>124</v>
      </c>
      <c r="B3705" s="4" t="s">
        <v>788</v>
      </c>
    </row>
    <row r="3706" ht="15.75" customHeight="1">
      <c r="A3706" s="4" t="s">
        <v>171</v>
      </c>
      <c r="B3706" s="4" t="s">
        <v>788</v>
      </c>
    </row>
    <row r="3707" ht="15.75" customHeight="1">
      <c r="A3707" s="4" t="s">
        <v>89</v>
      </c>
      <c r="B3707" s="4" t="s">
        <v>789</v>
      </c>
    </row>
    <row r="3708" ht="15.75" customHeight="1">
      <c r="A3708" s="4" t="s">
        <v>68</v>
      </c>
      <c r="B3708" s="4" t="s">
        <v>789</v>
      </c>
    </row>
    <row r="3709" ht="15.75" customHeight="1">
      <c r="A3709" s="4" t="s">
        <v>84</v>
      </c>
      <c r="B3709" s="4" t="s">
        <v>789</v>
      </c>
    </row>
    <row r="3710" ht="15.75" customHeight="1">
      <c r="A3710" s="4" t="s">
        <v>149</v>
      </c>
      <c r="B3710" s="4" t="s">
        <v>789</v>
      </c>
    </row>
    <row r="3711" ht="15.75" customHeight="1">
      <c r="A3711" s="4" t="s">
        <v>222</v>
      </c>
      <c r="B3711" s="4" t="s">
        <v>789</v>
      </c>
    </row>
    <row r="3712" ht="15.75" customHeight="1">
      <c r="A3712" s="4" t="s">
        <v>171</v>
      </c>
      <c r="B3712" s="4" t="s">
        <v>789</v>
      </c>
    </row>
    <row r="3713" ht="15.75" customHeight="1">
      <c r="A3713" s="4" t="s">
        <v>159</v>
      </c>
      <c r="B3713" s="4" t="s">
        <v>790</v>
      </c>
    </row>
    <row r="3714" ht="15.75" customHeight="1">
      <c r="A3714" s="4" t="s">
        <v>97</v>
      </c>
      <c r="B3714" s="4" t="s">
        <v>790</v>
      </c>
    </row>
    <row r="3715" ht="15.75" customHeight="1">
      <c r="A3715" s="4" t="s">
        <v>104</v>
      </c>
      <c r="B3715" s="4" t="s">
        <v>790</v>
      </c>
    </row>
    <row r="3716" ht="15.75" customHeight="1">
      <c r="A3716" s="4" t="s">
        <v>176</v>
      </c>
      <c r="B3716" s="4" t="s">
        <v>790</v>
      </c>
    </row>
    <row r="3717" ht="15.75" customHeight="1">
      <c r="A3717" s="4" t="s">
        <v>187</v>
      </c>
      <c r="B3717" s="4" t="s">
        <v>790</v>
      </c>
    </row>
    <row r="3718" ht="15.75" customHeight="1">
      <c r="A3718" s="4" t="s">
        <v>107</v>
      </c>
      <c r="B3718" s="4" t="s">
        <v>790</v>
      </c>
    </row>
    <row r="3719" ht="15.75" customHeight="1">
      <c r="A3719" s="4" t="s">
        <v>75</v>
      </c>
      <c r="B3719" s="4" t="s">
        <v>791</v>
      </c>
    </row>
    <row r="3720" ht="15.75" customHeight="1">
      <c r="A3720" s="4" t="s">
        <v>153</v>
      </c>
      <c r="B3720" s="4" t="s">
        <v>791</v>
      </c>
    </row>
    <row r="3721" ht="15.75" customHeight="1">
      <c r="A3721" s="4" t="s">
        <v>104</v>
      </c>
      <c r="B3721" s="4" t="s">
        <v>791</v>
      </c>
    </row>
    <row r="3722" ht="15.75" customHeight="1">
      <c r="A3722" s="4" t="s">
        <v>189</v>
      </c>
      <c r="B3722" s="4" t="s">
        <v>791</v>
      </c>
    </row>
    <row r="3723" ht="15.75" customHeight="1">
      <c r="A3723" s="4" t="s">
        <v>117</v>
      </c>
      <c r="B3723" s="4" t="s">
        <v>791</v>
      </c>
    </row>
    <row r="3724" ht="15.75" customHeight="1">
      <c r="A3724" s="4" t="s">
        <v>185</v>
      </c>
      <c r="B3724" s="4" t="s">
        <v>791</v>
      </c>
    </row>
    <row r="3725" ht="15.75" customHeight="1">
      <c r="A3725" s="4" t="s">
        <v>173</v>
      </c>
      <c r="B3725" s="4" t="s">
        <v>792</v>
      </c>
    </row>
    <row r="3726" ht="15.75" customHeight="1">
      <c r="A3726" s="4" t="s">
        <v>109</v>
      </c>
      <c r="B3726" s="4" t="s">
        <v>792</v>
      </c>
    </row>
    <row r="3727" ht="15.75" customHeight="1">
      <c r="A3727" s="4" t="s">
        <v>71</v>
      </c>
      <c r="B3727" s="4" t="s">
        <v>792</v>
      </c>
    </row>
    <row r="3728" ht="15.75" customHeight="1">
      <c r="A3728" s="4" t="s">
        <v>166</v>
      </c>
      <c r="B3728" s="4" t="s">
        <v>792</v>
      </c>
    </row>
    <row r="3729" ht="15.75" customHeight="1">
      <c r="A3729" s="4" t="s">
        <v>196</v>
      </c>
      <c r="B3729" s="4" t="s">
        <v>792</v>
      </c>
    </row>
    <row r="3730" ht="15.75" customHeight="1">
      <c r="A3730" s="4" t="s">
        <v>136</v>
      </c>
      <c r="B3730" s="4" t="s">
        <v>792</v>
      </c>
    </row>
    <row r="3731" ht="15.75" customHeight="1">
      <c r="A3731" s="4" t="s">
        <v>97</v>
      </c>
      <c r="B3731" s="4" t="s">
        <v>793</v>
      </c>
    </row>
    <row r="3732" ht="15.75" customHeight="1">
      <c r="A3732" s="4" t="s">
        <v>215</v>
      </c>
      <c r="B3732" s="4" t="s">
        <v>793</v>
      </c>
    </row>
    <row r="3733" ht="15.75" customHeight="1">
      <c r="A3733" s="4" t="s">
        <v>92</v>
      </c>
      <c r="B3733" s="4" t="s">
        <v>793</v>
      </c>
    </row>
    <row r="3734" ht="15.75" customHeight="1">
      <c r="A3734" s="4" t="s">
        <v>99</v>
      </c>
      <c r="B3734" s="4" t="s">
        <v>793</v>
      </c>
    </row>
    <row r="3735" ht="15.75" customHeight="1">
      <c r="A3735" s="4" t="s">
        <v>113</v>
      </c>
      <c r="B3735" s="4" t="s">
        <v>793</v>
      </c>
    </row>
    <row r="3736" ht="15.75" customHeight="1">
      <c r="A3736" s="4" t="s">
        <v>81</v>
      </c>
      <c r="B3736" s="4" t="s">
        <v>793</v>
      </c>
    </row>
    <row r="3737" ht="15.75" customHeight="1">
      <c r="A3737" s="4" t="s">
        <v>100</v>
      </c>
      <c r="B3737" s="4" t="s">
        <v>794</v>
      </c>
    </row>
    <row r="3738" ht="15.75" customHeight="1">
      <c r="A3738" s="4" t="s">
        <v>159</v>
      </c>
      <c r="B3738" s="4" t="s">
        <v>794</v>
      </c>
    </row>
    <row r="3739" ht="15.75" customHeight="1">
      <c r="A3739" s="4" t="s">
        <v>104</v>
      </c>
      <c r="B3739" s="4" t="s">
        <v>794</v>
      </c>
    </row>
    <row r="3740" ht="15.75" customHeight="1">
      <c r="A3740" s="4" t="s">
        <v>135</v>
      </c>
      <c r="B3740" s="4" t="s">
        <v>794</v>
      </c>
    </row>
    <row r="3741" ht="15.75" customHeight="1">
      <c r="A3741" s="4" t="s">
        <v>162</v>
      </c>
      <c r="B3741" s="4" t="s">
        <v>794</v>
      </c>
    </row>
    <row r="3742" ht="15.75" customHeight="1">
      <c r="A3742" s="4" t="s">
        <v>212</v>
      </c>
      <c r="B3742" s="4" t="s">
        <v>794</v>
      </c>
    </row>
    <row r="3743" ht="15.75" customHeight="1">
      <c r="A3743" s="4" t="s">
        <v>132</v>
      </c>
      <c r="B3743" s="4" t="s">
        <v>795</v>
      </c>
    </row>
    <row r="3744" ht="15.75" customHeight="1">
      <c r="A3744" s="4" t="s">
        <v>134</v>
      </c>
      <c r="B3744" s="4" t="s">
        <v>795</v>
      </c>
    </row>
    <row r="3745" ht="15.75" customHeight="1">
      <c r="A3745" s="4" t="s">
        <v>175</v>
      </c>
      <c r="B3745" s="4" t="s">
        <v>795</v>
      </c>
    </row>
    <row r="3746" ht="15.75" customHeight="1">
      <c r="A3746" s="4" t="s">
        <v>123</v>
      </c>
      <c r="B3746" s="4" t="s">
        <v>795</v>
      </c>
    </row>
    <row r="3747" ht="15.75" customHeight="1">
      <c r="A3747" s="4" t="s">
        <v>164</v>
      </c>
      <c r="B3747" s="4" t="s">
        <v>795</v>
      </c>
    </row>
    <row r="3748" ht="15.75" customHeight="1">
      <c r="A3748" s="4" t="s">
        <v>111</v>
      </c>
      <c r="B3748" s="4" t="s">
        <v>795</v>
      </c>
    </row>
    <row r="3749" ht="15.75" customHeight="1">
      <c r="A3749" s="4" t="s">
        <v>68</v>
      </c>
      <c r="B3749" s="4" t="s">
        <v>796</v>
      </c>
    </row>
    <row r="3750" ht="15.75" customHeight="1">
      <c r="A3750" s="4" t="s">
        <v>148</v>
      </c>
      <c r="B3750" s="4" t="s">
        <v>796</v>
      </c>
    </row>
    <row r="3751" ht="15.75" customHeight="1">
      <c r="A3751" s="4" t="s">
        <v>120</v>
      </c>
      <c r="B3751" s="4" t="s">
        <v>796</v>
      </c>
    </row>
    <row r="3752" ht="15.75" customHeight="1">
      <c r="A3752" s="4" t="s">
        <v>189</v>
      </c>
      <c r="B3752" s="4" t="s">
        <v>796</v>
      </c>
    </row>
    <row r="3753" ht="15.75" customHeight="1">
      <c r="A3753" s="4" t="s">
        <v>131</v>
      </c>
      <c r="B3753" s="4" t="s">
        <v>796</v>
      </c>
    </row>
    <row r="3754" ht="15.75" customHeight="1">
      <c r="A3754" s="4" t="s">
        <v>118</v>
      </c>
      <c r="B3754" s="4" t="s">
        <v>796</v>
      </c>
    </row>
    <row r="3755" ht="15.75" customHeight="1">
      <c r="A3755" s="4" t="s">
        <v>100</v>
      </c>
      <c r="B3755" s="4" t="s">
        <v>797</v>
      </c>
    </row>
    <row r="3756" ht="15.75" customHeight="1">
      <c r="A3756" s="4" t="s">
        <v>194</v>
      </c>
      <c r="B3756" s="4" t="s">
        <v>797</v>
      </c>
    </row>
    <row r="3757" ht="15.75" customHeight="1">
      <c r="A3757" s="4" t="s">
        <v>104</v>
      </c>
      <c r="B3757" s="4" t="s">
        <v>797</v>
      </c>
    </row>
    <row r="3758" ht="15.75" customHeight="1">
      <c r="A3758" s="4" t="s">
        <v>105</v>
      </c>
      <c r="B3758" s="4" t="s">
        <v>797</v>
      </c>
    </row>
    <row r="3759" ht="15.75" customHeight="1">
      <c r="A3759" s="4" t="s">
        <v>106</v>
      </c>
      <c r="B3759" s="4" t="s">
        <v>797</v>
      </c>
    </row>
    <row r="3760" ht="15.75" customHeight="1">
      <c r="A3760" s="4" t="s">
        <v>111</v>
      </c>
      <c r="B3760" s="4" t="s">
        <v>797</v>
      </c>
    </row>
    <row r="3761" ht="15.75" customHeight="1">
      <c r="A3761" s="4" t="s">
        <v>146</v>
      </c>
      <c r="B3761" s="4" t="s">
        <v>798</v>
      </c>
    </row>
    <row r="3762" ht="15.75" customHeight="1">
      <c r="A3762" s="4" t="s">
        <v>169</v>
      </c>
      <c r="B3762" s="4" t="s">
        <v>798</v>
      </c>
    </row>
    <row r="3763" ht="15.75" customHeight="1">
      <c r="A3763" s="4" t="s">
        <v>170</v>
      </c>
      <c r="B3763" s="4" t="s">
        <v>798</v>
      </c>
    </row>
    <row r="3764" ht="15.75" customHeight="1">
      <c r="A3764" s="4" t="s">
        <v>240</v>
      </c>
      <c r="B3764" s="4" t="s">
        <v>798</v>
      </c>
    </row>
    <row r="3765" ht="15.75" customHeight="1">
      <c r="A3765" s="4" t="s">
        <v>131</v>
      </c>
      <c r="B3765" s="4" t="s">
        <v>798</v>
      </c>
    </row>
    <row r="3766" ht="15.75" customHeight="1">
      <c r="A3766" s="4" t="s">
        <v>94</v>
      </c>
      <c r="B3766" s="4" t="s">
        <v>798</v>
      </c>
    </row>
    <row r="3767" ht="15.75" customHeight="1">
      <c r="A3767" s="4" t="s">
        <v>134</v>
      </c>
      <c r="B3767" s="4" t="s">
        <v>799</v>
      </c>
    </row>
    <row r="3768" ht="15.75" customHeight="1">
      <c r="A3768" s="4" t="s">
        <v>92</v>
      </c>
      <c r="B3768" s="4" t="s">
        <v>799</v>
      </c>
    </row>
    <row r="3769" ht="15.75" customHeight="1">
      <c r="A3769" s="4" t="s">
        <v>178</v>
      </c>
      <c r="B3769" s="4" t="s">
        <v>799</v>
      </c>
    </row>
    <row r="3770" ht="15.75" customHeight="1">
      <c r="A3770" s="4" t="s">
        <v>195</v>
      </c>
      <c r="B3770" s="4" t="s">
        <v>799</v>
      </c>
    </row>
    <row r="3771" ht="15.75" customHeight="1">
      <c r="A3771" s="4" t="s">
        <v>196</v>
      </c>
      <c r="B3771" s="4" t="s">
        <v>799</v>
      </c>
    </row>
    <row r="3772" ht="15.75" customHeight="1">
      <c r="A3772" s="4" t="s">
        <v>220</v>
      </c>
      <c r="B3772" s="4" t="s">
        <v>799</v>
      </c>
    </row>
    <row r="3773" ht="15.75" customHeight="1">
      <c r="A3773" s="4" t="s">
        <v>82</v>
      </c>
      <c r="B3773" s="4" t="s">
        <v>800</v>
      </c>
    </row>
    <row r="3774" ht="15.75" customHeight="1">
      <c r="A3774" s="4" t="s">
        <v>68</v>
      </c>
      <c r="B3774" s="4" t="s">
        <v>800</v>
      </c>
    </row>
    <row r="3775" ht="15.75" customHeight="1">
      <c r="A3775" s="4" t="s">
        <v>120</v>
      </c>
      <c r="B3775" s="4" t="s">
        <v>800</v>
      </c>
    </row>
    <row r="3776" ht="15.75" customHeight="1">
      <c r="A3776" s="4" t="s">
        <v>79</v>
      </c>
      <c r="B3776" s="4" t="s">
        <v>800</v>
      </c>
    </row>
    <row r="3777" ht="15.75" customHeight="1">
      <c r="A3777" s="4" t="s">
        <v>131</v>
      </c>
      <c r="B3777" s="4" t="s">
        <v>800</v>
      </c>
    </row>
    <row r="3778" ht="15.75" customHeight="1">
      <c r="A3778" s="4" t="s">
        <v>241</v>
      </c>
      <c r="B3778" s="4" t="s">
        <v>800</v>
      </c>
    </row>
    <row r="3779" ht="15.75" customHeight="1">
      <c r="A3779" s="4" t="s">
        <v>148</v>
      </c>
      <c r="B3779" s="4" t="s">
        <v>801</v>
      </c>
    </row>
    <row r="3780" ht="15.75" customHeight="1">
      <c r="A3780" s="4" t="s">
        <v>192</v>
      </c>
      <c r="B3780" s="4" t="s">
        <v>801</v>
      </c>
    </row>
    <row r="3781" ht="15.75" customHeight="1">
      <c r="A3781" s="4" t="s">
        <v>109</v>
      </c>
      <c r="B3781" s="4" t="s">
        <v>801</v>
      </c>
    </row>
    <row r="3782" ht="15.75" customHeight="1">
      <c r="A3782" s="4" t="s">
        <v>116</v>
      </c>
      <c r="B3782" s="4" t="s">
        <v>801</v>
      </c>
    </row>
    <row r="3783" ht="15.75" customHeight="1">
      <c r="A3783" s="4" t="s">
        <v>66</v>
      </c>
      <c r="B3783" s="4" t="s">
        <v>801</v>
      </c>
    </row>
    <row r="3784" ht="15.75" customHeight="1">
      <c r="A3784" s="4" t="s">
        <v>88</v>
      </c>
      <c r="B3784" s="4" t="s">
        <v>801</v>
      </c>
    </row>
    <row r="3785" ht="15.75" customHeight="1">
      <c r="A3785" s="4" t="s">
        <v>61</v>
      </c>
      <c r="B3785" s="4" t="s">
        <v>802</v>
      </c>
    </row>
    <row r="3786" ht="15.75" customHeight="1">
      <c r="A3786" s="4" t="s">
        <v>91</v>
      </c>
      <c r="B3786" s="4" t="s">
        <v>802</v>
      </c>
    </row>
    <row r="3787" ht="15.75" customHeight="1">
      <c r="A3787" s="4" t="s">
        <v>92</v>
      </c>
      <c r="B3787" s="4" t="s">
        <v>802</v>
      </c>
    </row>
    <row r="3788" ht="15.75" customHeight="1">
      <c r="A3788" s="4" t="s">
        <v>86</v>
      </c>
      <c r="B3788" s="4" t="s">
        <v>802</v>
      </c>
    </row>
    <row r="3789" ht="15.75" customHeight="1">
      <c r="A3789" s="4" t="s">
        <v>113</v>
      </c>
      <c r="B3789" s="4" t="s">
        <v>802</v>
      </c>
    </row>
    <row r="3790" ht="15.75" customHeight="1">
      <c r="A3790" s="4" t="s">
        <v>88</v>
      </c>
      <c r="B3790" s="4" t="s">
        <v>802</v>
      </c>
    </row>
    <row r="3791" ht="15.75" customHeight="1">
      <c r="A3791" s="4" t="s">
        <v>61</v>
      </c>
      <c r="B3791" s="4" t="s">
        <v>803</v>
      </c>
    </row>
    <row r="3792" ht="15.75" customHeight="1">
      <c r="A3792" s="4" t="s">
        <v>85</v>
      </c>
      <c r="B3792" s="4" t="s">
        <v>803</v>
      </c>
    </row>
    <row r="3793" ht="15.75" customHeight="1">
      <c r="A3793" s="4" t="s">
        <v>120</v>
      </c>
      <c r="B3793" s="4" t="s">
        <v>803</v>
      </c>
    </row>
    <row r="3794" ht="15.75" customHeight="1">
      <c r="A3794" s="4" t="s">
        <v>79</v>
      </c>
      <c r="B3794" s="4" t="s">
        <v>803</v>
      </c>
    </row>
    <row r="3795" ht="15.75" customHeight="1">
      <c r="A3795" s="4" t="s">
        <v>87</v>
      </c>
      <c r="B3795" s="4" t="s">
        <v>803</v>
      </c>
    </row>
    <row r="3796" ht="15.75" customHeight="1">
      <c r="A3796" s="4" t="s">
        <v>81</v>
      </c>
      <c r="B3796" s="4" t="s">
        <v>803</v>
      </c>
    </row>
    <row r="3797" ht="15.75" customHeight="1">
      <c r="A3797" s="4" t="s">
        <v>63</v>
      </c>
      <c r="B3797" s="4" t="s">
        <v>804</v>
      </c>
    </row>
    <row r="3798" ht="15.75" customHeight="1">
      <c r="A3798" s="4" t="s">
        <v>100</v>
      </c>
      <c r="B3798" s="4" t="s">
        <v>804</v>
      </c>
    </row>
    <row r="3799" ht="15.75" customHeight="1">
      <c r="A3799" s="4" t="s">
        <v>104</v>
      </c>
      <c r="B3799" s="4" t="s">
        <v>804</v>
      </c>
    </row>
    <row r="3800" ht="15.75" customHeight="1">
      <c r="A3800" s="4" t="s">
        <v>110</v>
      </c>
      <c r="B3800" s="4" t="s">
        <v>804</v>
      </c>
    </row>
    <row r="3801" ht="15.75" customHeight="1">
      <c r="A3801" s="4" t="s">
        <v>187</v>
      </c>
      <c r="B3801" s="4" t="s">
        <v>804</v>
      </c>
    </row>
    <row r="3802" ht="15.75" customHeight="1">
      <c r="A3802" s="4" t="s">
        <v>127</v>
      </c>
      <c r="B3802" s="4" t="s">
        <v>804</v>
      </c>
    </row>
    <row r="3803" ht="15.75" customHeight="1">
      <c r="A3803" s="4" t="s">
        <v>114</v>
      </c>
      <c r="B3803" s="4" t="s">
        <v>805</v>
      </c>
    </row>
    <row r="3804" ht="15.75" customHeight="1">
      <c r="A3804" s="4" t="s">
        <v>169</v>
      </c>
      <c r="B3804" s="4" t="s">
        <v>805</v>
      </c>
    </row>
    <row r="3805" ht="15.75" customHeight="1">
      <c r="A3805" s="4" t="s">
        <v>183</v>
      </c>
      <c r="B3805" s="4" t="s">
        <v>805</v>
      </c>
    </row>
    <row r="3806" ht="15.75" customHeight="1">
      <c r="A3806" s="4" t="s">
        <v>240</v>
      </c>
      <c r="B3806" s="4" t="s">
        <v>805</v>
      </c>
    </row>
    <row r="3807" ht="15.75" customHeight="1">
      <c r="A3807" s="4" t="s">
        <v>117</v>
      </c>
      <c r="B3807" s="4" t="s">
        <v>805</v>
      </c>
    </row>
    <row r="3808" ht="15.75" customHeight="1">
      <c r="A3808" s="4" t="s">
        <v>94</v>
      </c>
      <c r="B3808" s="4" t="s">
        <v>805</v>
      </c>
    </row>
    <row r="3809" ht="15.75" customHeight="1">
      <c r="A3809" s="4" t="s">
        <v>70</v>
      </c>
      <c r="B3809" s="4" t="s">
        <v>806</v>
      </c>
    </row>
    <row r="3810" ht="15.75" customHeight="1">
      <c r="A3810" s="4" t="s">
        <v>92</v>
      </c>
      <c r="B3810" s="4" t="s">
        <v>806</v>
      </c>
    </row>
    <row r="3811" ht="15.75" customHeight="1">
      <c r="A3811" s="4" t="s">
        <v>104</v>
      </c>
      <c r="B3811" s="4" t="s">
        <v>806</v>
      </c>
    </row>
    <row r="3812" ht="15.75" customHeight="1">
      <c r="A3812" s="4" t="s">
        <v>189</v>
      </c>
      <c r="B3812" s="4" t="s">
        <v>806</v>
      </c>
    </row>
    <row r="3813" ht="15.75" customHeight="1">
      <c r="A3813" s="4" t="s">
        <v>93</v>
      </c>
      <c r="B3813" s="4" t="s">
        <v>806</v>
      </c>
    </row>
    <row r="3814" ht="15.75" customHeight="1">
      <c r="A3814" s="4" t="s">
        <v>118</v>
      </c>
      <c r="B3814" s="4" t="s">
        <v>806</v>
      </c>
    </row>
    <row r="3815" ht="15.75" customHeight="1">
      <c r="A3815" s="4" t="s">
        <v>97</v>
      </c>
      <c r="B3815" s="4" t="s">
        <v>807</v>
      </c>
    </row>
    <row r="3816" ht="15.75" customHeight="1">
      <c r="A3816" s="4" t="s">
        <v>109</v>
      </c>
      <c r="B3816" s="4" t="s">
        <v>807</v>
      </c>
    </row>
    <row r="3817" ht="15.75" customHeight="1">
      <c r="A3817" s="4" t="s">
        <v>104</v>
      </c>
      <c r="B3817" s="4" t="s">
        <v>807</v>
      </c>
    </row>
    <row r="3818" ht="15.75" customHeight="1">
      <c r="A3818" s="4" t="s">
        <v>72</v>
      </c>
      <c r="B3818" s="4" t="s">
        <v>807</v>
      </c>
    </row>
    <row r="3819" ht="15.75" customHeight="1">
      <c r="A3819" s="4" t="s">
        <v>131</v>
      </c>
      <c r="B3819" s="4" t="s">
        <v>807</v>
      </c>
    </row>
    <row r="3820" ht="15.75" customHeight="1">
      <c r="A3820" s="4" t="s">
        <v>81</v>
      </c>
      <c r="B3820" s="4" t="s">
        <v>807</v>
      </c>
    </row>
    <row r="3821" ht="15.75" customHeight="1">
      <c r="A3821" s="4" t="s">
        <v>137</v>
      </c>
      <c r="B3821" s="4" t="s">
        <v>808</v>
      </c>
    </row>
    <row r="3822" ht="15.75" customHeight="1">
      <c r="A3822" s="4" t="s">
        <v>97</v>
      </c>
      <c r="B3822" s="4" t="s">
        <v>808</v>
      </c>
    </row>
    <row r="3823" ht="15.75" customHeight="1">
      <c r="A3823" s="4" t="s">
        <v>64</v>
      </c>
      <c r="B3823" s="4" t="s">
        <v>808</v>
      </c>
    </row>
    <row r="3824" ht="15.75" customHeight="1">
      <c r="A3824" s="4" t="s">
        <v>65</v>
      </c>
      <c r="B3824" s="4" t="s">
        <v>808</v>
      </c>
    </row>
    <row r="3825" ht="15.75" customHeight="1">
      <c r="A3825" s="4" t="s">
        <v>80</v>
      </c>
      <c r="B3825" s="4" t="s">
        <v>808</v>
      </c>
    </row>
    <row r="3826" ht="15.75" customHeight="1">
      <c r="A3826" s="4" t="s">
        <v>67</v>
      </c>
      <c r="B3826" s="4" t="s">
        <v>808</v>
      </c>
    </row>
    <row r="3827" ht="15.75" customHeight="1">
      <c r="A3827" s="4" t="s">
        <v>75</v>
      </c>
      <c r="B3827" s="4" t="s">
        <v>809</v>
      </c>
    </row>
    <row r="3828" ht="15.75" customHeight="1">
      <c r="A3828" s="4" t="s">
        <v>64</v>
      </c>
      <c r="B3828" s="4" t="s">
        <v>809</v>
      </c>
    </row>
    <row r="3829" ht="15.75" customHeight="1">
      <c r="A3829" s="4" t="s">
        <v>156</v>
      </c>
      <c r="B3829" s="4" t="s">
        <v>809</v>
      </c>
    </row>
    <row r="3830" ht="15.75" customHeight="1">
      <c r="A3830" s="4" t="s">
        <v>157</v>
      </c>
      <c r="B3830" s="4" t="s">
        <v>809</v>
      </c>
    </row>
    <row r="3831" ht="15.75" customHeight="1">
      <c r="A3831" s="4" t="s">
        <v>164</v>
      </c>
      <c r="B3831" s="4" t="s">
        <v>809</v>
      </c>
    </row>
    <row r="3832" ht="15.75" customHeight="1">
      <c r="A3832" s="4" t="s">
        <v>107</v>
      </c>
      <c r="B3832" s="4" t="s">
        <v>809</v>
      </c>
    </row>
    <row r="3833" ht="15.75" customHeight="1">
      <c r="A3833" s="4" t="s">
        <v>190</v>
      </c>
      <c r="B3833" s="4" t="s">
        <v>810</v>
      </c>
    </row>
    <row r="3834" ht="15.75" customHeight="1">
      <c r="A3834" s="4" t="s">
        <v>156</v>
      </c>
      <c r="B3834" s="4" t="s">
        <v>810</v>
      </c>
    </row>
    <row r="3835" ht="15.75" customHeight="1">
      <c r="A3835" s="4" t="s">
        <v>78</v>
      </c>
      <c r="B3835" s="4" t="s">
        <v>810</v>
      </c>
    </row>
    <row r="3836" ht="15.75" customHeight="1">
      <c r="A3836" s="4" t="s">
        <v>157</v>
      </c>
      <c r="B3836" s="4" t="s">
        <v>810</v>
      </c>
    </row>
    <row r="3837" ht="15.75" customHeight="1">
      <c r="A3837" s="4" t="s">
        <v>196</v>
      </c>
      <c r="B3837" s="4" t="s">
        <v>810</v>
      </c>
    </row>
    <row r="3838" ht="15.75" customHeight="1">
      <c r="A3838" s="4" t="s">
        <v>145</v>
      </c>
      <c r="B3838" s="4" t="s">
        <v>810</v>
      </c>
    </row>
    <row r="3839" ht="15.75" customHeight="1">
      <c r="A3839" s="4" t="s">
        <v>97</v>
      </c>
      <c r="B3839" s="4" t="s">
        <v>811</v>
      </c>
    </row>
    <row r="3840" ht="15.75" customHeight="1">
      <c r="A3840" s="4" t="s">
        <v>91</v>
      </c>
      <c r="B3840" s="4" t="s">
        <v>811</v>
      </c>
    </row>
    <row r="3841" ht="15.75" customHeight="1">
      <c r="A3841" s="4" t="s">
        <v>92</v>
      </c>
      <c r="B3841" s="4" t="s">
        <v>811</v>
      </c>
    </row>
    <row r="3842" ht="15.75" customHeight="1">
      <c r="A3842" s="4" t="s">
        <v>65</v>
      </c>
      <c r="B3842" s="4" t="s">
        <v>811</v>
      </c>
    </row>
    <row r="3843" ht="15.75" customHeight="1">
      <c r="A3843" s="4" t="s">
        <v>113</v>
      </c>
      <c r="B3843" s="4" t="s">
        <v>811</v>
      </c>
    </row>
    <row r="3844" ht="15.75" customHeight="1">
      <c r="A3844" s="4" t="s">
        <v>88</v>
      </c>
      <c r="B3844" s="4" t="s">
        <v>811</v>
      </c>
    </row>
    <row r="3845" ht="15.75" customHeight="1">
      <c r="A3845" s="4" t="s">
        <v>82</v>
      </c>
      <c r="B3845" s="4" t="s">
        <v>812</v>
      </c>
    </row>
    <row r="3846" ht="15.75" customHeight="1">
      <c r="A3846" s="4" t="s">
        <v>122</v>
      </c>
      <c r="B3846" s="4" t="s">
        <v>812</v>
      </c>
    </row>
    <row r="3847" ht="15.75" customHeight="1">
      <c r="A3847" s="4" t="s">
        <v>78</v>
      </c>
      <c r="B3847" s="4" t="s">
        <v>812</v>
      </c>
    </row>
    <row r="3848" ht="15.75" customHeight="1">
      <c r="A3848" s="4" t="s">
        <v>207</v>
      </c>
      <c r="B3848" s="4" t="s">
        <v>812</v>
      </c>
    </row>
    <row r="3849" ht="15.75" customHeight="1">
      <c r="A3849" s="4" t="s">
        <v>131</v>
      </c>
      <c r="B3849" s="4" t="s">
        <v>812</v>
      </c>
    </row>
    <row r="3850" ht="15.75" customHeight="1">
      <c r="A3850" s="4" t="s">
        <v>118</v>
      </c>
      <c r="B3850" s="4" t="s">
        <v>812</v>
      </c>
    </row>
    <row r="3851" ht="15.75" customHeight="1">
      <c r="A3851" s="4" t="s">
        <v>114</v>
      </c>
      <c r="B3851" s="4" t="s">
        <v>813</v>
      </c>
    </row>
    <row r="3852" ht="15.75" customHeight="1">
      <c r="A3852" s="4" t="s">
        <v>70</v>
      </c>
      <c r="B3852" s="4" t="s">
        <v>813</v>
      </c>
    </row>
    <row r="3853" ht="15.75" customHeight="1">
      <c r="A3853" s="4" t="s">
        <v>120</v>
      </c>
      <c r="B3853" s="4" t="s">
        <v>813</v>
      </c>
    </row>
    <row r="3854" ht="15.75" customHeight="1">
      <c r="A3854" s="4" t="s">
        <v>240</v>
      </c>
      <c r="B3854" s="4" t="s">
        <v>813</v>
      </c>
    </row>
    <row r="3855" ht="15.75" customHeight="1">
      <c r="A3855" s="4" t="s">
        <v>117</v>
      </c>
      <c r="B3855" s="4" t="s">
        <v>813</v>
      </c>
    </row>
    <row r="3856" ht="15.75" customHeight="1">
      <c r="A3856" s="4" t="s">
        <v>81</v>
      </c>
      <c r="B3856" s="4" t="s">
        <v>813</v>
      </c>
    </row>
    <row r="3857" ht="15.75" customHeight="1">
      <c r="A3857" s="4" t="s">
        <v>95</v>
      </c>
      <c r="B3857" s="4" t="s">
        <v>814</v>
      </c>
    </row>
    <row r="3858" ht="15.75" customHeight="1">
      <c r="A3858" s="4" t="s">
        <v>97</v>
      </c>
      <c r="B3858" s="4" t="s">
        <v>814</v>
      </c>
    </row>
    <row r="3859" ht="15.75" customHeight="1">
      <c r="A3859" s="4" t="s">
        <v>183</v>
      </c>
      <c r="B3859" s="4" t="s">
        <v>814</v>
      </c>
    </row>
    <row r="3860" ht="15.75" customHeight="1">
      <c r="A3860" s="4" t="s">
        <v>105</v>
      </c>
      <c r="B3860" s="4" t="s">
        <v>814</v>
      </c>
    </row>
    <row r="3861" ht="15.75" customHeight="1">
      <c r="A3861" s="4" t="s">
        <v>222</v>
      </c>
      <c r="B3861" s="4" t="s">
        <v>814</v>
      </c>
    </row>
    <row r="3862" ht="15.75" customHeight="1">
      <c r="A3862" s="4" t="s">
        <v>107</v>
      </c>
      <c r="B3862" s="4" t="s">
        <v>814</v>
      </c>
    </row>
    <row r="3863" ht="15.75" customHeight="1">
      <c r="A3863" s="4" t="s">
        <v>169</v>
      </c>
      <c r="B3863" s="4" t="s">
        <v>815</v>
      </c>
    </row>
    <row r="3864" ht="15.75" customHeight="1">
      <c r="A3864" s="4" t="s">
        <v>109</v>
      </c>
      <c r="B3864" s="4" t="s">
        <v>815</v>
      </c>
    </row>
    <row r="3865" ht="15.75" customHeight="1">
      <c r="A3865" s="4" t="s">
        <v>71</v>
      </c>
      <c r="B3865" s="4" t="s">
        <v>815</v>
      </c>
    </row>
    <row r="3866" ht="15.75" customHeight="1">
      <c r="A3866" s="4" t="s">
        <v>99</v>
      </c>
      <c r="B3866" s="4" t="s">
        <v>815</v>
      </c>
    </row>
    <row r="3867" ht="15.75" customHeight="1">
      <c r="A3867" s="4" t="s">
        <v>131</v>
      </c>
      <c r="B3867" s="4" t="s">
        <v>815</v>
      </c>
    </row>
    <row r="3868" ht="15.75" customHeight="1">
      <c r="A3868" s="4" t="s">
        <v>241</v>
      </c>
      <c r="B3868" s="4" t="s">
        <v>815</v>
      </c>
    </row>
    <row r="3869" ht="15.75" customHeight="1">
      <c r="A3869" s="4" t="s">
        <v>75</v>
      </c>
      <c r="B3869" s="4" t="s">
        <v>816</v>
      </c>
    </row>
    <row r="3870" ht="15.75" customHeight="1">
      <c r="A3870" s="4" t="s">
        <v>98</v>
      </c>
      <c r="B3870" s="4" t="s">
        <v>816</v>
      </c>
    </row>
    <row r="3871" ht="15.75" customHeight="1">
      <c r="A3871" s="4" t="s">
        <v>77</v>
      </c>
      <c r="B3871" s="4" t="s">
        <v>816</v>
      </c>
    </row>
    <row r="3872" ht="15.75" customHeight="1">
      <c r="A3872" s="4" t="s">
        <v>105</v>
      </c>
      <c r="B3872" s="4" t="s">
        <v>816</v>
      </c>
    </row>
    <row r="3873" ht="15.75" customHeight="1">
      <c r="A3873" s="4" t="s">
        <v>181</v>
      </c>
      <c r="B3873" s="4" t="s">
        <v>816</v>
      </c>
    </row>
    <row r="3874" ht="15.75" customHeight="1">
      <c r="A3874" s="4" t="s">
        <v>111</v>
      </c>
      <c r="B3874" s="4" t="s">
        <v>816</v>
      </c>
    </row>
    <row r="3875" ht="15.75" customHeight="1">
      <c r="A3875" s="4" t="s">
        <v>137</v>
      </c>
      <c r="B3875" s="4" t="s">
        <v>817</v>
      </c>
    </row>
    <row r="3876" ht="15.75" customHeight="1">
      <c r="A3876" s="4" t="s">
        <v>161</v>
      </c>
      <c r="B3876" s="4" t="s">
        <v>817</v>
      </c>
    </row>
    <row r="3877" ht="15.75" customHeight="1">
      <c r="A3877" s="4" t="s">
        <v>192</v>
      </c>
      <c r="B3877" s="4" t="s">
        <v>817</v>
      </c>
    </row>
    <row r="3878" ht="15.75" customHeight="1">
      <c r="A3878" s="4" t="s">
        <v>240</v>
      </c>
      <c r="B3878" s="4" t="s">
        <v>817</v>
      </c>
    </row>
    <row r="3879" ht="15.75" customHeight="1">
      <c r="A3879" s="4" t="s">
        <v>87</v>
      </c>
      <c r="B3879" s="4" t="s">
        <v>817</v>
      </c>
    </row>
    <row r="3880" ht="15.75" customHeight="1">
      <c r="A3880" s="4" t="s">
        <v>94</v>
      </c>
      <c r="B3880" s="4" t="s">
        <v>817</v>
      </c>
    </row>
    <row r="3881" ht="15.75" customHeight="1">
      <c r="A3881" s="4" t="s">
        <v>161</v>
      </c>
      <c r="B3881" s="4" t="s">
        <v>818</v>
      </c>
    </row>
    <row r="3882" ht="15.75" customHeight="1">
      <c r="A3882" s="4" t="s">
        <v>156</v>
      </c>
      <c r="B3882" s="4" t="s">
        <v>818</v>
      </c>
    </row>
    <row r="3883" ht="15.75" customHeight="1">
      <c r="A3883" s="4" t="s">
        <v>175</v>
      </c>
      <c r="B3883" s="4" t="s">
        <v>818</v>
      </c>
    </row>
    <row r="3884" ht="15.75" customHeight="1">
      <c r="A3884" s="4" t="s">
        <v>195</v>
      </c>
      <c r="B3884" s="4" t="s">
        <v>818</v>
      </c>
    </row>
    <row r="3885" ht="15.75" customHeight="1">
      <c r="A3885" s="4" t="s">
        <v>124</v>
      </c>
      <c r="B3885" s="4" t="s">
        <v>818</v>
      </c>
    </row>
    <row r="3886" ht="15.75" customHeight="1">
      <c r="A3886" s="4" t="s">
        <v>220</v>
      </c>
      <c r="B3886" s="4" t="s">
        <v>818</v>
      </c>
    </row>
    <row r="3887" ht="15.75" customHeight="1">
      <c r="A3887" s="4" t="s">
        <v>204</v>
      </c>
      <c r="B3887" s="4" t="s">
        <v>819</v>
      </c>
    </row>
    <row r="3888" ht="15.75" customHeight="1">
      <c r="A3888" s="4" t="s">
        <v>215</v>
      </c>
      <c r="B3888" s="4" t="s">
        <v>819</v>
      </c>
    </row>
    <row r="3889" ht="15.75" customHeight="1">
      <c r="A3889" s="4" t="s">
        <v>92</v>
      </c>
      <c r="B3889" s="4" t="s">
        <v>819</v>
      </c>
    </row>
    <row r="3890" ht="15.75" customHeight="1">
      <c r="A3890" s="4" t="s">
        <v>184</v>
      </c>
      <c r="B3890" s="4" t="s">
        <v>819</v>
      </c>
    </row>
    <row r="3891" ht="15.75" customHeight="1">
      <c r="A3891" s="4" t="s">
        <v>113</v>
      </c>
      <c r="B3891" s="4" t="s">
        <v>819</v>
      </c>
    </row>
    <row r="3892" ht="15.75" customHeight="1">
      <c r="A3892" s="4" t="s">
        <v>185</v>
      </c>
      <c r="B3892" s="4" t="s">
        <v>819</v>
      </c>
    </row>
    <row r="3893" ht="15.75" customHeight="1">
      <c r="A3893" s="4" t="s">
        <v>70</v>
      </c>
      <c r="B3893" s="4" t="s">
        <v>820</v>
      </c>
    </row>
    <row r="3894" ht="15.75" customHeight="1">
      <c r="A3894" s="4" t="s">
        <v>122</v>
      </c>
      <c r="B3894" s="4" t="s">
        <v>820</v>
      </c>
    </row>
    <row r="3895" ht="15.75" customHeight="1">
      <c r="A3895" s="4" t="s">
        <v>78</v>
      </c>
      <c r="B3895" s="4" t="s">
        <v>820</v>
      </c>
    </row>
    <row r="3896" ht="15.75" customHeight="1">
      <c r="A3896" s="4" t="s">
        <v>110</v>
      </c>
      <c r="B3896" s="4" t="s">
        <v>820</v>
      </c>
    </row>
    <row r="3897" ht="15.75" customHeight="1">
      <c r="A3897" s="4" t="s">
        <v>150</v>
      </c>
      <c r="B3897" s="4" t="s">
        <v>820</v>
      </c>
    </row>
    <row r="3898" ht="15.75" customHeight="1">
      <c r="A3898" s="4" t="s">
        <v>145</v>
      </c>
      <c r="B3898" s="4" t="s">
        <v>820</v>
      </c>
    </row>
    <row r="3899" ht="15.75" customHeight="1">
      <c r="A3899" s="4" t="s">
        <v>114</v>
      </c>
      <c r="B3899" s="4" t="s">
        <v>821</v>
      </c>
    </row>
    <row r="3900" ht="15.75" customHeight="1">
      <c r="A3900" s="4" t="s">
        <v>75</v>
      </c>
      <c r="B3900" s="4" t="s">
        <v>821</v>
      </c>
    </row>
    <row r="3901" ht="15.75" customHeight="1">
      <c r="A3901" s="4" t="s">
        <v>98</v>
      </c>
      <c r="B3901" s="4" t="s">
        <v>821</v>
      </c>
    </row>
    <row r="3902" ht="15.75" customHeight="1">
      <c r="A3902" s="4" t="s">
        <v>65</v>
      </c>
      <c r="B3902" s="4" t="s">
        <v>821</v>
      </c>
    </row>
    <row r="3903" ht="15.75" customHeight="1">
      <c r="A3903" s="4" t="s">
        <v>131</v>
      </c>
      <c r="B3903" s="4" t="s">
        <v>821</v>
      </c>
    </row>
    <row r="3904" ht="15.75" customHeight="1">
      <c r="A3904" s="4" t="s">
        <v>118</v>
      </c>
      <c r="B3904" s="4" t="s">
        <v>821</v>
      </c>
    </row>
    <row r="3905" ht="15.75" customHeight="1">
      <c r="A3905" s="4" t="s">
        <v>97</v>
      </c>
      <c r="B3905" s="4" t="s">
        <v>822</v>
      </c>
    </row>
    <row r="3906" ht="15.75" customHeight="1">
      <c r="A3906" s="4" t="s">
        <v>153</v>
      </c>
      <c r="B3906" s="4" t="s">
        <v>822</v>
      </c>
    </row>
    <row r="3907" ht="15.75" customHeight="1">
      <c r="A3907" s="4" t="s">
        <v>104</v>
      </c>
      <c r="B3907" s="4" t="s">
        <v>822</v>
      </c>
    </row>
    <row r="3908" ht="15.75" customHeight="1">
      <c r="A3908" s="4" t="s">
        <v>176</v>
      </c>
      <c r="B3908" s="4" t="s">
        <v>822</v>
      </c>
    </row>
    <row r="3909" ht="15.75" customHeight="1">
      <c r="A3909" s="4" t="s">
        <v>196</v>
      </c>
      <c r="B3909" s="4" t="s">
        <v>822</v>
      </c>
    </row>
    <row r="3910" ht="15.75" customHeight="1">
      <c r="A3910" s="4" t="s">
        <v>107</v>
      </c>
      <c r="B3910" s="4" t="s">
        <v>822</v>
      </c>
    </row>
    <row r="3911" ht="15.75" customHeight="1">
      <c r="A3911" s="4" t="s">
        <v>89</v>
      </c>
      <c r="B3911" s="4" t="s">
        <v>823</v>
      </c>
    </row>
    <row r="3912" ht="15.75" customHeight="1">
      <c r="A3912" s="4" t="s">
        <v>109</v>
      </c>
      <c r="B3912" s="4" t="s">
        <v>823</v>
      </c>
    </row>
    <row r="3913" ht="15.75" customHeight="1">
      <c r="A3913" s="4" t="s">
        <v>71</v>
      </c>
      <c r="B3913" s="4" t="s">
        <v>823</v>
      </c>
    </row>
    <row r="3914" ht="15.75" customHeight="1">
      <c r="A3914" s="4" t="s">
        <v>99</v>
      </c>
      <c r="B3914" s="4" t="s">
        <v>823</v>
      </c>
    </row>
    <row r="3915" ht="15.75" customHeight="1">
      <c r="A3915" s="4" t="s">
        <v>131</v>
      </c>
      <c r="B3915" s="4" t="s">
        <v>823</v>
      </c>
    </row>
    <row r="3916" ht="15.75" customHeight="1">
      <c r="A3916" s="4" t="s">
        <v>241</v>
      </c>
      <c r="B3916" s="4" t="s">
        <v>823</v>
      </c>
    </row>
    <row r="3917" ht="15.75" customHeight="1">
      <c r="A3917" s="4" t="s">
        <v>70</v>
      </c>
      <c r="B3917" s="4" t="s">
        <v>824</v>
      </c>
    </row>
    <row r="3918" ht="15.75" customHeight="1">
      <c r="A3918" s="4" t="s">
        <v>92</v>
      </c>
      <c r="B3918" s="4" t="s">
        <v>824</v>
      </c>
    </row>
    <row r="3919" ht="15.75" customHeight="1">
      <c r="A3919" s="4" t="s">
        <v>141</v>
      </c>
      <c r="B3919" s="4" t="s">
        <v>824</v>
      </c>
    </row>
    <row r="3920" ht="15.75" customHeight="1">
      <c r="A3920" s="4" t="s">
        <v>207</v>
      </c>
      <c r="B3920" s="4" t="s">
        <v>824</v>
      </c>
    </row>
    <row r="3921" ht="15.75" customHeight="1">
      <c r="A3921" s="4" t="s">
        <v>117</v>
      </c>
      <c r="B3921" s="4" t="s">
        <v>824</v>
      </c>
    </row>
    <row r="3922" ht="15.75" customHeight="1">
      <c r="A3922" s="4" t="s">
        <v>88</v>
      </c>
      <c r="B3922" s="4" t="s">
        <v>824</v>
      </c>
    </row>
    <row r="3923" ht="15.75" customHeight="1">
      <c r="A3923" s="4" t="s">
        <v>75</v>
      </c>
      <c r="B3923" s="4" t="s">
        <v>825</v>
      </c>
    </row>
    <row r="3924" ht="15.75" customHeight="1">
      <c r="A3924" s="4" t="s">
        <v>194</v>
      </c>
      <c r="B3924" s="4" t="s">
        <v>825</v>
      </c>
    </row>
    <row r="3925" ht="15.75" customHeight="1">
      <c r="A3925" s="4" t="s">
        <v>104</v>
      </c>
      <c r="B3925" s="4" t="s">
        <v>825</v>
      </c>
    </row>
    <row r="3926" ht="15.75" customHeight="1">
      <c r="A3926" s="4" t="s">
        <v>135</v>
      </c>
      <c r="B3926" s="4" t="s">
        <v>825</v>
      </c>
    </row>
    <row r="3927" ht="15.75" customHeight="1">
      <c r="A3927" s="4" t="s">
        <v>187</v>
      </c>
      <c r="B3927" s="4" t="s">
        <v>825</v>
      </c>
    </row>
    <row r="3928" ht="15.75" customHeight="1">
      <c r="A3928" s="4" t="s">
        <v>139</v>
      </c>
      <c r="B3928" s="4" t="s">
        <v>825</v>
      </c>
    </row>
    <row r="3929" ht="15.75" customHeight="1">
      <c r="A3929" s="4" t="s">
        <v>70</v>
      </c>
      <c r="B3929" s="4" t="s">
        <v>826</v>
      </c>
    </row>
    <row r="3930" ht="15.75" customHeight="1">
      <c r="A3930" s="4" t="s">
        <v>77</v>
      </c>
      <c r="B3930" s="4" t="s">
        <v>826</v>
      </c>
    </row>
    <row r="3931" ht="15.75" customHeight="1">
      <c r="A3931" s="4" t="s">
        <v>78</v>
      </c>
      <c r="B3931" s="4" t="s">
        <v>826</v>
      </c>
    </row>
    <row r="3932" ht="15.75" customHeight="1">
      <c r="A3932" s="4" t="s">
        <v>149</v>
      </c>
      <c r="B3932" s="4" t="s">
        <v>826</v>
      </c>
    </row>
    <row r="3933" ht="15.75" customHeight="1">
      <c r="A3933" s="4" t="s">
        <v>222</v>
      </c>
      <c r="B3933" s="4" t="s">
        <v>826</v>
      </c>
    </row>
    <row r="3934" ht="15.75" customHeight="1">
      <c r="A3934" s="4" t="s">
        <v>127</v>
      </c>
      <c r="B3934" s="4" t="s">
        <v>826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2.0"/>
    <col customWidth="1" min="3" max="26" width="8.71"/>
  </cols>
  <sheetData>
    <row r="1">
      <c r="A1" s="5" t="s">
        <v>60</v>
      </c>
      <c r="B1" s="5" t="s">
        <v>827</v>
      </c>
    </row>
    <row r="2">
      <c r="A2" s="6" t="str">
        <f>IFERROR(__xludf.DUMMYFUNCTION("SORT(
  UNIQUE(
    FILTER(
      TRIM('학생반배정'!B2:B1000),
      TRIM('학생반배정'!B2:B1000)&lt;&gt;"""",
      TRIM('학생반배정'!D2:D1000)=""재원""
    )
  )
)"),"(5)강연웅2804")</f>
        <v>(5)강연웅2804</v>
      </c>
      <c r="B2" s="3">
        <f t="array" ref="B2:B1000">IF(
    A2:A1000&lt;&gt;"",
    COUNTIFS('학생반배정'!B:B, A2:A1000, '학생반배정'!D:D, "재원"),
    ""
  )</f>
        <v>16</v>
      </c>
    </row>
    <row r="3">
      <c r="A3" s="7" t="str">
        <f>IFERROR(__xludf.DUMMYFUNCTION("""COMPUTED_VALUE"""),"(5)강유찬8685")</f>
        <v>(5)강유찬8685</v>
      </c>
      <c r="B3" s="7">
        <v>14.0</v>
      </c>
    </row>
    <row r="4">
      <c r="A4" s="7" t="str">
        <f>IFERROR(__xludf.DUMMYFUNCTION("""COMPUTED_VALUE"""),"(5)고강민8799")</f>
        <v>(5)고강민8799</v>
      </c>
      <c r="B4" s="7">
        <v>16.0</v>
      </c>
    </row>
    <row r="5">
      <c r="A5" s="7" t="str">
        <f>IFERROR(__xludf.DUMMYFUNCTION("""COMPUTED_VALUE"""),"(5)김준수3824")</f>
        <v>(5)김준수3824</v>
      </c>
      <c r="B5" s="7">
        <v>16.0</v>
      </c>
    </row>
    <row r="6">
      <c r="A6" s="7" t="str">
        <f>IFERROR(__xludf.DUMMYFUNCTION("""COMPUTED_VALUE"""),"(5)김진혁7053")</f>
        <v>(5)김진혁7053</v>
      </c>
      <c r="B6" s="7">
        <v>16.0</v>
      </c>
    </row>
    <row r="7">
      <c r="A7" s="7" t="str">
        <f>IFERROR(__xludf.DUMMYFUNCTION("""COMPUTED_VALUE"""),"(5)문혁기2222")</f>
        <v>(5)문혁기2222</v>
      </c>
      <c r="B7" s="7">
        <v>16.0</v>
      </c>
    </row>
    <row r="8">
      <c r="A8" s="7" t="str">
        <f>IFERROR(__xludf.DUMMYFUNCTION("""COMPUTED_VALUE"""),"(5)박경동8420")</f>
        <v>(5)박경동8420</v>
      </c>
      <c r="B8" s="7">
        <v>16.0</v>
      </c>
    </row>
    <row r="9">
      <c r="A9" s="7" t="str">
        <f>IFERROR(__xludf.DUMMYFUNCTION("""COMPUTED_VALUE"""),"(5)방준혁8763")</f>
        <v>(5)방준혁8763</v>
      </c>
      <c r="B9" s="7">
        <v>16.0</v>
      </c>
    </row>
    <row r="10">
      <c r="A10" s="7" t="str">
        <f>IFERROR(__xludf.DUMMYFUNCTION("""COMPUTED_VALUE"""),"(5)손찬우7814")</f>
        <v>(5)손찬우7814</v>
      </c>
      <c r="B10" s="7">
        <v>16.0</v>
      </c>
    </row>
    <row r="11">
      <c r="A11" s="7" t="str">
        <f>IFERROR(__xludf.DUMMYFUNCTION("""COMPUTED_VALUE"""),"(5)신희건2420")</f>
        <v>(5)신희건2420</v>
      </c>
      <c r="B11" s="7">
        <v>13.0</v>
      </c>
    </row>
    <row r="12">
      <c r="A12" s="7" t="str">
        <f>IFERROR(__xludf.DUMMYFUNCTION("""COMPUTED_VALUE"""),"(5)오승민8884")</f>
        <v>(5)오승민8884</v>
      </c>
      <c r="B12" s="7">
        <v>16.0</v>
      </c>
    </row>
    <row r="13">
      <c r="A13" s="7" t="str">
        <f>IFERROR(__xludf.DUMMYFUNCTION("""COMPUTED_VALUE"""),"(5)유민재7079")</f>
        <v>(5)유민재7079</v>
      </c>
      <c r="B13" s="7">
        <v>16.0</v>
      </c>
    </row>
    <row r="14">
      <c r="A14" s="7" t="str">
        <f>IFERROR(__xludf.DUMMYFUNCTION("""COMPUTED_VALUE"""),"(5)윤태웅1592")</f>
        <v>(5)윤태웅1592</v>
      </c>
      <c r="B14" s="7">
        <v>16.0</v>
      </c>
    </row>
    <row r="15">
      <c r="A15" s="7" t="str">
        <f>IFERROR(__xludf.DUMMYFUNCTION("""COMPUTED_VALUE"""),"(5)이민욱7522")</f>
        <v>(5)이민욱7522</v>
      </c>
      <c r="B15" s="7">
        <v>16.0</v>
      </c>
    </row>
    <row r="16">
      <c r="A16" s="7" t="str">
        <f>IFERROR(__xludf.DUMMYFUNCTION("""COMPUTED_VALUE"""),"(5)이영욱6966")</f>
        <v>(5)이영욱6966</v>
      </c>
      <c r="B16" s="7">
        <v>16.0</v>
      </c>
    </row>
    <row r="17">
      <c r="A17" s="7" t="str">
        <f>IFERROR(__xludf.DUMMYFUNCTION("""COMPUTED_VALUE"""),"(5)이재국9609")</f>
        <v>(5)이재국9609</v>
      </c>
      <c r="B17" s="7">
        <v>16.0</v>
      </c>
    </row>
    <row r="18">
      <c r="A18" s="7" t="str">
        <f>IFERROR(__xludf.DUMMYFUNCTION("""COMPUTED_VALUE"""),"(5)조준범0784")</f>
        <v>(5)조준범0784</v>
      </c>
      <c r="B18" s="7">
        <v>16.0</v>
      </c>
    </row>
    <row r="19">
      <c r="A19" s="7" t="str">
        <f>IFERROR(__xludf.DUMMYFUNCTION("""COMPUTED_VALUE"""),"(5)지무경1270")</f>
        <v>(5)지무경1270</v>
      </c>
      <c r="B19" s="7">
        <v>16.0</v>
      </c>
    </row>
    <row r="20">
      <c r="A20" s="7" t="str">
        <f>IFERROR(__xludf.DUMMYFUNCTION("""COMPUTED_VALUE"""),"(5)최민준4523")</f>
        <v>(5)최민준4523</v>
      </c>
      <c r="B20" s="7">
        <v>16.0</v>
      </c>
    </row>
    <row r="21" ht="15.75" customHeight="1">
      <c r="A21" s="7" t="str">
        <f>IFERROR(__xludf.DUMMYFUNCTION("""COMPUTED_VALUE"""),"(5)하시원2339")</f>
        <v>(5)하시원2339</v>
      </c>
      <c r="B21" s="7">
        <v>16.0</v>
      </c>
    </row>
    <row r="22" ht="15.75" customHeight="1">
      <c r="A22" s="7" t="str">
        <f>IFERROR(__xludf.DUMMYFUNCTION("""COMPUTED_VALUE"""),"(강)기영윤7318")</f>
        <v>(강)기영윤7318</v>
      </c>
      <c r="B22" s="7">
        <v>16.0</v>
      </c>
    </row>
    <row r="23" ht="15.75" customHeight="1">
      <c r="A23" s="7" t="str">
        <f>IFERROR(__xludf.DUMMYFUNCTION("""COMPUTED_VALUE"""),"(강)김도형7747")</f>
        <v>(강)김도형7747</v>
      </c>
      <c r="B23" s="7">
        <v>14.0</v>
      </c>
    </row>
    <row r="24" ht="15.75" customHeight="1">
      <c r="A24" s="7" t="str">
        <f>IFERROR(__xludf.DUMMYFUNCTION("""COMPUTED_VALUE"""),"(강)김민건8182")</f>
        <v>(강)김민건8182</v>
      </c>
      <c r="B24" s="7">
        <v>16.0</v>
      </c>
    </row>
    <row r="25" ht="15.75" customHeight="1">
      <c r="A25" s="7" t="str">
        <f>IFERROR(__xludf.DUMMYFUNCTION("""COMPUTED_VALUE"""),"(강)김수홍7778")</f>
        <v>(강)김수홍7778</v>
      </c>
      <c r="B25" s="7">
        <v>16.0</v>
      </c>
    </row>
    <row r="26" ht="15.75" customHeight="1">
      <c r="A26" s="7" t="str">
        <f>IFERROR(__xludf.DUMMYFUNCTION("""COMPUTED_VALUE"""),"(강)민준혁9223")</f>
        <v>(강)민준혁9223</v>
      </c>
      <c r="B26" s="7">
        <v>16.0</v>
      </c>
    </row>
    <row r="27" ht="15.75" customHeight="1">
      <c r="A27" s="7" t="str">
        <f>IFERROR(__xludf.DUMMYFUNCTION("""COMPUTED_VALUE"""),"(강)박성효3234")</f>
        <v>(강)박성효3234</v>
      </c>
      <c r="B27" s="7">
        <v>16.0</v>
      </c>
    </row>
    <row r="28" ht="15.75" customHeight="1">
      <c r="A28" s="7" t="str">
        <f>IFERROR(__xludf.DUMMYFUNCTION("""COMPUTED_VALUE"""),"(강)박주석8032")</f>
        <v>(강)박주석8032</v>
      </c>
      <c r="B28" s="7">
        <v>16.0</v>
      </c>
    </row>
    <row r="29" ht="15.75" customHeight="1">
      <c r="A29" s="7" t="str">
        <f>IFERROR(__xludf.DUMMYFUNCTION("""COMPUTED_VALUE"""),"(강)왕효준2880")</f>
        <v>(강)왕효준2880</v>
      </c>
      <c r="B29" s="7">
        <v>15.0</v>
      </c>
    </row>
    <row r="30" ht="15.75" customHeight="1">
      <c r="A30" s="7" t="str">
        <f>IFERROR(__xludf.DUMMYFUNCTION("""COMPUTED_VALUE"""),"(강)이도현1102")</f>
        <v>(강)이도현1102</v>
      </c>
      <c r="B30" s="7">
        <v>16.0</v>
      </c>
    </row>
    <row r="31" ht="15.75" customHeight="1">
      <c r="A31" s="7" t="str">
        <f>IFERROR(__xludf.DUMMYFUNCTION("""COMPUTED_VALUE"""),"(강)이동건5693")</f>
        <v>(강)이동건5693</v>
      </c>
      <c r="B31" s="7">
        <v>16.0</v>
      </c>
    </row>
    <row r="32" ht="15.75" customHeight="1">
      <c r="A32" s="7" t="str">
        <f>IFERROR(__xludf.DUMMYFUNCTION("""COMPUTED_VALUE"""),"(강)장윤건7351")</f>
        <v>(강)장윤건7351</v>
      </c>
      <c r="B32" s="7">
        <v>16.0</v>
      </c>
    </row>
    <row r="33" ht="15.75" customHeight="1">
      <c r="A33" s="7" t="str">
        <f>IFERROR(__xludf.DUMMYFUNCTION("""COMPUTED_VALUE"""),"(개_5)김민준5243")</f>
        <v>(개_5)김민준5243</v>
      </c>
      <c r="B33" s="7">
        <v>16.0</v>
      </c>
    </row>
    <row r="34" ht="15.75" customHeight="1">
      <c r="A34" s="7" t="str">
        <f>IFERROR(__xludf.DUMMYFUNCTION("""COMPUTED_VALUE"""),"(개_5)민정원9707")</f>
        <v>(개_5)민정원9707</v>
      </c>
      <c r="B34" s="7">
        <v>16.0</v>
      </c>
    </row>
    <row r="35" ht="15.75" customHeight="1">
      <c r="A35" s="7" t="str">
        <f>IFERROR(__xludf.DUMMYFUNCTION("""COMPUTED_VALUE"""),"(개_5)박상현0208")</f>
        <v>(개_5)박상현0208</v>
      </c>
      <c r="B35" s="7">
        <v>16.0</v>
      </c>
    </row>
    <row r="36" ht="15.75" customHeight="1">
      <c r="A36" s="7" t="str">
        <f>IFERROR(__xludf.DUMMYFUNCTION("""COMPUTED_VALUE"""),"(개_5)박시우7232")</f>
        <v>(개_5)박시우7232</v>
      </c>
      <c r="B36" s="7">
        <v>16.0</v>
      </c>
    </row>
    <row r="37" ht="15.75" customHeight="1">
      <c r="A37" s="7" t="str">
        <f>IFERROR(__xludf.DUMMYFUNCTION("""COMPUTED_VALUE"""),"(개_5)방승수0714")</f>
        <v>(개_5)방승수0714</v>
      </c>
      <c r="B37" s="7">
        <v>16.0</v>
      </c>
    </row>
    <row r="38" ht="15.75" customHeight="1">
      <c r="A38" s="7" t="str">
        <f>IFERROR(__xludf.DUMMYFUNCTION("""COMPUTED_VALUE"""),"(개_5)서은후1353")</f>
        <v>(개_5)서은후1353</v>
      </c>
      <c r="B38" s="7">
        <v>16.0</v>
      </c>
    </row>
    <row r="39" ht="15.75" customHeight="1">
      <c r="A39" s="7" t="str">
        <f>IFERROR(__xludf.DUMMYFUNCTION("""COMPUTED_VALUE"""),"(개_5)이한결0479")</f>
        <v>(개_5)이한결0479</v>
      </c>
      <c r="B39" s="7">
        <v>16.0</v>
      </c>
    </row>
    <row r="40" ht="15.75" customHeight="1">
      <c r="A40" s="7" t="str">
        <f>IFERROR(__xludf.DUMMYFUNCTION("""COMPUTED_VALUE"""),"(개_5)임건우5242")</f>
        <v>(개_5)임건우5242</v>
      </c>
      <c r="B40" s="7">
        <v>16.0</v>
      </c>
    </row>
    <row r="41" ht="15.75" customHeight="1">
      <c r="A41" s="7" t="str">
        <f>IFERROR(__xludf.DUMMYFUNCTION("""COMPUTED_VALUE"""),"(개_5)임예준3266")</f>
        <v>(개_5)임예준3266</v>
      </c>
      <c r="B41" s="7">
        <v>16.0</v>
      </c>
    </row>
    <row r="42" ht="15.75" customHeight="1">
      <c r="A42" s="7" t="str">
        <f>IFERROR(__xludf.DUMMYFUNCTION("""COMPUTED_VALUE"""),"(개_5)임재준4588")</f>
        <v>(개_5)임재준4588</v>
      </c>
      <c r="B42" s="7">
        <v>16.0</v>
      </c>
    </row>
    <row r="43" ht="15.75" customHeight="1">
      <c r="A43" s="7" t="str">
        <f>IFERROR(__xludf.DUMMYFUNCTION("""COMPUTED_VALUE"""),"(개_5)전예준2851")</f>
        <v>(개_5)전예준2851</v>
      </c>
      <c r="B43" s="7">
        <v>16.0</v>
      </c>
    </row>
    <row r="44" ht="15.75" customHeight="1">
      <c r="A44" s="7" t="str">
        <f>IFERROR(__xludf.DUMMYFUNCTION("""COMPUTED_VALUE"""),"(개_5)지우현4872")</f>
        <v>(개_5)지우현4872</v>
      </c>
      <c r="B44" s="7">
        <v>16.0</v>
      </c>
    </row>
    <row r="45" ht="15.75" customHeight="1">
      <c r="A45" s="7" t="str">
        <f>IFERROR(__xludf.DUMMYFUNCTION("""COMPUTED_VALUE"""),"(개_일)고은채4346")</f>
        <v>(개_일)고은채4346</v>
      </c>
      <c r="B45" s="7">
        <v>16.0</v>
      </c>
    </row>
    <row r="46" ht="15.75" customHeight="1">
      <c r="A46" s="7" t="str">
        <f>IFERROR(__xludf.DUMMYFUNCTION("""COMPUTED_VALUE"""),"(개_일)김시예0805")</f>
        <v>(개_일)김시예0805</v>
      </c>
      <c r="B46" s="7">
        <v>16.0</v>
      </c>
    </row>
    <row r="47" ht="15.75" customHeight="1">
      <c r="A47" s="7" t="str">
        <f>IFERROR(__xludf.DUMMYFUNCTION("""COMPUTED_VALUE"""),"(개_일)김예담9555")</f>
        <v>(개_일)김예담9555</v>
      </c>
      <c r="B47" s="7">
        <v>16.0</v>
      </c>
    </row>
    <row r="48" ht="15.75" customHeight="1">
      <c r="A48" s="7" t="str">
        <f>IFERROR(__xludf.DUMMYFUNCTION("""COMPUTED_VALUE"""),"(개_일)김온유5076")</f>
        <v>(개_일)김온유5076</v>
      </c>
      <c r="B48" s="7">
        <v>16.0</v>
      </c>
    </row>
    <row r="49" ht="15.75" customHeight="1">
      <c r="A49" s="7" t="str">
        <f>IFERROR(__xludf.DUMMYFUNCTION("""COMPUTED_VALUE"""),"(개_일)김유진2847")</f>
        <v>(개_일)김유진2847</v>
      </c>
      <c r="B49" s="7">
        <v>16.0</v>
      </c>
    </row>
    <row r="50" ht="15.75" customHeight="1">
      <c r="A50" s="7" t="str">
        <f>IFERROR(__xludf.DUMMYFUNCTION("""COMPUTED_VALUE"""),"(개_일)김태은3330")</f>
        <v>(개_일)김태은3330</v>
      </c>
      <c r="B50" s="7">
        <v>16.0</v>
      </c>
    </row>
    <row r="51" ht="15.75" customHeight="1">
      <c r="A51" s="7" t="str">
        <f>IFERROR(__xludf.DUMMYFUNCTION("""COMPUTED_VALUE"""),"(개_일)박예영8386")</f>
        <v>(개_일)박예영8386</v>
      </c>
      <c r="B51" s="7">
        <v>16.0</v>
      </c>
    </row>
    <row r="52" ht="15.75" customHeight="1">
      <c r="A52" s="7" t="str">
        <f>IFERROR(__xludf.DUMMYFUNCTION("""COMPUTED_VALUE"""),"(개_일)손여진3390")</f>
        <v>(개_일)손여진3390</v>
      </c>
      <c r="B52" s="7">
        <v>16.0</v>
      </c>
    </row>
    <row r="53" ht="15.75" customHeight="1">
      <c r="A53" s="7" t="str">
        <f>IFERROR(__xludf.DUMMYFUNCTION("""COMPUTED_VALUE"""),"(개_일)양이든8316")</f>
        <v>(개_일)양이든8316</v>
      </c>
      <c r="B53" s="7">
        <v>16.0</v>
      </c>
    </row>
    <row r="54" ht="15.75" customHeight="1">
      <c r="A54" s="7" t="str">
        <f>IFERROR(__xludf.DUMMYFUNCTION("""COMPUTED_VALUE"""),"(개_일)이서의7569")</f>
        <v>(개_일)이서의7569</v>
      </c>
      <c r="B54" s="7">
        <v>16.0</v>
      </c>
    </row>
    <row r="55" ht="15.75" customHeight="1">
      <c r="A55" s="7" t="str">
        <f>IFERROR(__xludf.DUMMYFUNCTION("""COMPUTED_VALUE"""),"(개_일)이서현2233")</f>
        <v>(개_일)이서현2233</v>
      </c>
      <c r="B55" s="7">
        <v>16.0</v>
      </c>
    </row>
    <row r="56" ht="15.75" customHeight="1">
      <c r="A56" s="7" t="str">
        <f>IFERROR(__xludf.DUMMYFUNCTION("""COMPUTED_VALUE"""),"(개_일)이채민4087")</f>
        <v>(개_일)이채민4087</v>
      </c>
      <c r="B56" s="7">
        <v>16.0</v>
      </c>
    </row>
    <row r="57" ht="15.75" customHeight="1">
      <c r="A57" s="7" t="str">
        <f>IFERROR(__xludf.DUMMYFUNCTION("""COMPUTED_VALUE"""),"(개_일)임도경5128")</f>
        <v>(개_일)임도경5128</v>
      </c>
      <c r="B57" s="7">
        <v>16.0</v>
      </c>
    </row>
    <row r="58" ht="15.75" customHeight="1">
      <c r="A58" s="7" t="str">
        <f>IFERROR(__xludf.DUMMYFUNCTION("""COMPUTED_VALUE"""),"(개_일)장시연4755")</f>
        <v>(개_일)장시연4755</v>
      </c>
      <c r="B58" s="7">
        <v>16.0</v>
      </c>
    </row>
    <row r="59" ht="15.75" customHeight="1">
      <c r="A59" s="7" t="str">
        <f>IFERROR(__xludf.DUMMYFUNCTION("""COMPUTED_VALUE"""),"(개_일)최서윤0998")</f>
        <v>(개_일)최서윤0998</v>
      </c>
      <c r="B59" s="7">
        <v>16.0</v>
      </c>
    </row>
    <row r="60" ht="15.75" customHeight="1">
      <c r="A60" s="7" t="str">
        <f>IFERROR(__xludf.DUMMYFUNCTION("""COMPUTED_VALUE"""),"(개_일)최정원3665")</f>
        <v>(개_일)최정원3665</v>
      </c>
      <c r="B60" s="7">
        <v>16.0</v>
      </c>
    </row>
    <row r="61" ht="15.75" customHeight="1">
      <c r="A61" s="7" t="str">
        <f>IFERROR(__xludf.DUMMYFUNCTION("""COMPUTED_VALUE"""),"(개_일)한지수9044")</f>
        <v>(개_일)한지수9044</v>
      </c>
      <c r="B61" s="7">
        <v>16.0</v>
      </c>
    </row>
    <row r="62" ht="15.75" customHeight="1">
      <c r="A62" s="7" t="str">
        <f>IFERROR(__xludf.DUMMYFUNCTION("""COMPUTED_VALUE"""),"(교)김가은7178")</f>
        <v>(교)김가은7178</v>
      </c>
      <c r="B62" s="7">
        <v>16.0</v>
      </c>
    </row>
    <row r="63" ht="15.75" customHeight="1">
      <c r="A63" s="7" t="str">
        <f>IFERROR(__xludf.DUMMYFUNCTION("""COMPUTED_VALUE"""),"(교)김보민5769")</f>
        <v>(교)김보민5769</v>
      </c>
      <c r="B63" s="7">
        <v>16.0</v>
      </c>
    </row>
    <row r="64" ht="15.75" customHeight="1">
      <c r="A64" s="7" t="str">
        <f>IFERROR(__xludf.DUMMYFUNCTION("""COMPUTED_VALUE"""),"(교)송수빈5337")</f>
        <v>(교)송수빈5337</v>
      </c>
      <c r="B64" s="7">
        <v>16.0</v>
      </c>
    </row>
    <row r="65" ht="15.75" customHeight="1">
      <c r="A65" s="7" t="str">
        <f>IFERROR(__xludf.DUMMYFUNCTION("""COMPUTED_VALUE"""),"(교)신유정7566")</f>
        <v>(교)신유정7566</v>
      </c>
      <c r="B65" s="7">
        <v>16.0</v>
      </c>
    </row>
    <row r="66" ht="15.75" customHeight="1">
      <c r="A66" s="7" t="str">
        <f>IFERROR(__xludf.DUMMYFUNCTION("""COMPUTED_VALUE"""),"(교)양진서5080")</f>
        <v>(교)양진서5080</v>
      </c>
      <c r="B66" s="7">
        <v>16.0</v>
      </c>
    </row>
    <row r="67" ht="15.75" customHeight="1">
      <c r="A67" s="7" t="str">
        <f>IFERROR(__xludf.DUMMYFUNCTION("""COMPUTED_VALUE"""),"(교)윤다연9207")</f>
        <v>(교)윤다연9207</v>
      </c>
      <c r="B67" s="7">
        <v>16.0</v>
      </c>
    </row>
    <row r="68" ht="15.75" customHeight="1">
      <c r="A68" s="7" t="str">
        <f>IFERROR(__xludf.DUMMYFUNCTION("""COMPUTED_VALUE"""),"(교)이지우0221")</f>
        <v>(교)이지우0221</v>
      </c>
      <c r="B68" s="7">
        <v>16.0</v>
      </c>
    </row>
    <row r="69" ht="15.75" customHeight="1">
      <c r="A69" s="7" t="str">
        <f>IFERROR(__xludf.DUMMYFUNCTION("""COMPUTED_VALUE"""),"(교)조희수6471")</f>
        <v>(교)조희수6471</v>
      </c>
      <c r="B69" s="7">
        <v>16.0</v>
      </c>
    </row>
    <row r="70" ht="15.75" customHeight="1">
      <c r="A70" s="7" t="str">
        <f>IFERROR(__xludf.DUMMYFUNCTION("""COMPUTED_VALUE"""),"(교)차소정4052")</f>
        <v>(교)차소정4052</v>
      </c>
      <c r="B70" s="7">
        <v>16.0</v>
      </c>
    </row>
    <row r="71" ht="15.75" customHeight="1">
      <c r="A71" s="7" t="str">
        <f>IFERROR(__xludf.DUMMYFUNCTION("""COMPUTED_VALUE"""),"(교)최수민4879")</f>
        <v>(교)최수민4879</v>
      </c>
      <c r="B71" s="7">
        <v>16.0</v>
      </c>
    </row>
    <row r="72" ht="15.75" customHeight="1">
      <c r="A72" s="7" t="str">
        <f>IFERROR(__xludf.DUMMYFUNCTION("""COMPUTED_VALUE"""),"(교)최지우7723")</f>
        <v>(교)최지우7723</v>
      </c>
      <c r="B72" s="7">
        <v>16.0</v>
      </c>
    </row>
    <row r="73" ht="15.75" customHeight="1">
      <c r="A73" s="7" t="str">
        <f>IFERROR(__xludf.DUMMYFUNCTION("""COMPUTED_VALUE"""),"(교)한유진8417")</f>
        <v>(교)한유진8417</v>
      </c>
      <c r="B73" s="7">
        <v>16.0</v>
      </c>
    </row>
    <row r="74" ht="15.75" customHeight="1">
      <c r="A74" s="7" t="str">
        <f>IFERROR(__xludf.DUMMYFUNCTION("""COMPUTED_VALUE"""),"(교)홍석채2964")</f>
        <v>(교)홍석채2964</v>
      </c>
      <c r="B74" s="7">
        <v>16.0</v>
      </c>
    </row>
    <row r="75" ht="15.75" customHeight="1">
      <c r="A75" s="7" t="str">
        <f>IFERROR(__xludf.DUMMYFUNCTION("""COMPUTED_VALUE"""),"(명)고유진4984")</f>
        <v>(명)고유진4984</v>
      </c>
      <c r="B75" s="7">
        <v>16.0</v>
      </c>
    </row>
    <row r="76" ht="15.75" customHeight="1">
      <c r="A76" s="7" t="str">
        <f>IFERROR(__xludf.DUMMYFUNCTION("""COMPUTED_VALUE"""),"(명)김건5586")</f>
        <v>(명)김건5586</v>
      </c>
      <c r="B76" s="7">
        <v>16.0</v>
      </c>
    </row>
    <row r="77" ht="15.75" customHeight="1">
      <c r="A77" s="7" t="str">
        <f>IFERROR(__xludf.DUMMYFUNCTION("""COMPUTED_VALUE"""),"(명)이영석8582")</f>
        <v>(명)이영석8582</v>
      </c>
      <c r="B77" s="7">
        <v>16.0</v>
      </c>
    </row>
    <row r="78" ht="15.75" customHeight="1">
      <c r="A78" s="7" t="str">
        <f>IFERROR(__xludf.DUMMYFUNCTION("""COMPUTED_VALUE"""),"(명)이준형9016")</f>
        <v>(명)이준형9016</v>
      </c>
      <c r="B78" s="7">
        <v>16.0</v>
      </c>
    </row>
    <row r="79" ht="15.75" customHeight="1">
      <c r="A79" s="7" t="str">
        <f>IFERROR(__xludf.DUMMYFUNCTION("""COMPUTED_VALUE"""),"(베)곽나영8302")</f>
        <v>(베)곽나영8302</v>
      </c>
      <c r="B79" s="7">
        <v>16.0</v>
      </c>
    </row>
    <row r="80" ht="15.75" customHeight="1">
      <c r="A80" s="7" t="str">
        <f>IFERROR(__xludf.DUMMYFUNCTION("""COMPUTED_VALUE"""),"(베)권소연2604")</f>
        <v>(베)권소연2604</v>
      </c>
      <c r="B80" s="7">
        <v>16.0</v>
      </c>
    </row>
    <row r="81" ht="15.75" customHeight="1">
      <c r="A81" s="7" t="str">
        <f>IFERROR(__xludf.DUMMYFUNCTION("""COMPUTED_VALUE"""),"(베)김민정8809")</f>
        <v>(베)김민정8809</v>
      </c>
      <c r="B81" s="7">
        <v>16.0</v>
      </c>
    </row>
    <row r="82" ht="15.75" customHeight="1">
      <c r="A82" s="7" t="str">
        <f>IFERROR(__xludf.DUMMYFUNCTION("""COMPUTED_VALUE"""),"(베)김서영4149")</f>
        <v>(베)김서영4149</v>
      </c>
      <c r="B82" s="7">
        <v>16.0</v>
      </c>
    </row>
    <row r="83" ht="15.75" customHeight="1">
      <c r="A83" s="7" t="str">
        <f>IFERROR(__xludf.DUMMYFUNCTION("""COMPUTED_VALUE"""),"(베)김아현2812")</f>
        <v>(베)김아현2812</v>
      </c>
      <c r="B83" s="7">
        <v>14.0</v>
      </c>
    </row>
    <row r="84" ht="15.75" customHeight="1">
      <c r="A84" s="7" t="str">
        <f>IFERROR(__xludf.DUMMYFUNCTION("""COMPUTED_VALUE"""),"(베)서은서7111")</f>
        <v>(베)서은서7111</v>
      </c>
      <c r="B84" s="7">
        <v>16.0</v>
      </c>
    </row>
    <row r="85" ht="15.75" customHeight="1">
      <c r="A85" s="7" t="str">
        <f>IFERROR(__xludf.DUMMYFUNCTION("""COMPUTED_VALUE"""),"(베)심서현0910")</f>
        <v>(베)심서현0910</v>
      </c>
      <c r="B85" s="7">
        <v>14.0</v>
      </c>
    </row>
    <row r="86" ht="15.75" customHeight="1">
      <c r="A86" s="7" t="str">
        <f>IFERROR(__xludf.DUMMYFUNCTION("""COMPUTED_VALUE"""),"(베)양세희5603")</f>
        <v>(베)양세희5603</v>
      </c>
      <c r="B86" s="7">
        <v>16.0</v>
      </c>
    </row>
    <row r="87" ht="15.75" customHeight="1">
      <c r="A87" s="7" t="str">
        <f>IFERROR(__xludf.DUMMYFUNCTION("""COMPUTED_VALUE"""),"(베)오윤서6143")</f>
        <v>(베)오윤서6143</v>
      </c>
      <c r="B87" s="7">
        <v>16.0</v>
      </c>
    </row>
    <row r="88" ht="15.75" customHeight="1">
      <c r="A88" s="7" t="str">
        <f>IFERROR(__xludf.DUMMYFUNCTION("""COMPUTED_VALUE"""),"(베)유지현2373")</f>
        <v>(베)유지현2373</v>
      </c>
      <c r="B88" s="7">
        <v>16.0</v>
      </c>
    </row>
    <row r="89" ht="15.75" customHeight="1">
      <c r="A89" s="7" t="str">
        <f>IFERROR(__xludf.DUMMYFUNCTION("""COMPUTED_VALUE"""),"(베)윤지윤8166")</f>
        <v>(베)윤지윤8166</v>
      </c>
      <c r="B89" s="7">
        <v>16.0</v>
      </c>
    </row>
    <row r="90" ht="15.75" customHeight="1">
      <c r="A90" s="7" t="str">
        <f>IFERROR(__xludf.DUMMYFUNCTION("""COMPUTED_VALUE"""),"(베)윤채은5226")</f>
        <v>(베)윤채은5226</v>
      </c>
      <c r="B90" s="7">
        <v>16.0</v>
      </c>
    </row>
    <row r="91" ht="15.75" customHeight="1">
      <c r="A91" s="7" t="str">
        <f>IFERROR(__xludf.DUMMYFUNCTION("""COMPUTED_VALUE"""),"(베)이서은7948")</f>
        <v>(베)이서은7948</v>
      </c>
      <c r="B91" s="7">
        <v>16.0</v>
      </c>
    </row>
    <row r="92" ht="15.75" customHeight="1">
      <c r="A92" s="7" t="str">
        <f>IFERROR(__xludf.DUMMYFUNCTION("""COMPUTED_VALUE"""),"(베)이수빈1704")</f>
        <v>(베)이수빈1704</v>
      </c>
      <c r="B92" s="7">
        <v>16.0</v>
      </c>
    </row>
    <row r="93" ht="15.75" customHeight="1">
      <c r="A93" s="7" t="str">
        <f>IFERROR(__xludf.DUMMYFUNCTION("""COMPUTED_VALUE"""),"(베)이승아1688")</f>
        <v>(베)이승아1688</v>
      </c>
      <c r="B93" s="7">
        <v>16.0</v>
      </c>
    </row>
    <row r="94" ht="15.75" customHeight="1">
      <c r="A94" s="7" t="str">
        <f>IFERROR(__xludf.DUMMYFUNCTION("""COMPUTED_VALUE"""),"(베)이윤이4965")</f>
        <v>(베)이윤이4965</v>
      </c>
      <c r="B94" s="7">
        <v>16.0</v>
      </c>
    </row>
    <row r="95" ht="15.75" customHeight="1">
      <c r="A95" s="7" t="str">
        <f>IFERROR(__xludf.DUMMYFUNCTION("""COMPUTED_VALUE"""),"(베)이채린9683")</f>
        <v>(베)이채린9683</v>
      </c>
      <c r="B95" s="7">
        <v>16.0</v>
      </c>
    </row>
    <row r="96" ht="15.75" customHeight="1">
      <c r="A96" s="7" t="str">
        <f>IFERROR(__xludf.DUMMYFUNCTION("""COMPUTED_VALUE"""),"(베)임유민6477")</f>
        <v>(베)임유민6477</v>
      </c>
      <c r="B96" s="7">
        <v>16.0</v>
      </c>
    </row>
    <row r="97" ht="15.75" customHeight="1">
      <c r="A97" s="7" t="str">
        <f>IFERROR(__xludf.DUMMYFUNCTION("""COMPUTED_VALUE"""),"(베)장미소0730")</f>
        <v>(베)장미소0730</v>
      </c>
      <c r="B97" s="7">
        <v>16.0</v>
      </c>
    </row>
    <row r="98" ht="15.75" customHeight="1">
      <c r="A98" s="7" t="str">
        <f>IFERROR(__xludf.DUMMYFUNCTION("""COMPUTED_VALUE"""),"(베)정다은4727")</f>
        <v>(베)정다은4727</v>
      </c>
      <c r="B98" s="7">
        <v>16.0</v>
      </c>
    </row>
    <row r="99" ht="15.75" customHeight="1">
      <c r="A99" s="7" t="str">
        <f>IFERROR(__xludf.DUMMYFUNCTION("""COMPUTED_VALUE"""),"(베)정서진9562")</f>
        <v>(베)정서진9562</v>
      </c>
      <c r="B99" s="7">
        <v>16.0</v>
      </c>
    </row>
    <row r="100" ht="15.75" customHeight="1">
      <c r="A100" s="7" t="str">
        <f>IFERROR(__xludf.DUMMYFUNCTION("""COMPUTED_VALUE"""),"(베)정예음8008")</f>
        <v>(베)정예음8008</v>
      </c>
      <c r="B100" s="7">
        <v>16.0</v>
      </c>
    </row>
    <row r="101" ht="15.75" customHeight="1">
      <c r="A101" s="7" t="str">
        <f>IFERROR(__xludf.DUMMYFUNCTION("""COMPUTED_VALUE"""),"(베)정지우1212")</f>
        <v>(베)정지우1212</v>
      </c>
      <c r="B101" s="7">
        <v>16.0</v>
      </c>
    </row>
    <row r="102" ht="15.75" customHeight="1">
      <c r="A102" s="7" t="str">
        <f>IFERROR(__xludf.DUMMYFUNCTION("""COMPUTED_VALUE"""),"(베)조은솔6474")</f>
        <v>(베)조은솔6474</v>
      </c>
      <c r="B102" s="7">
        <v>16.0</v>
      </c>
    </row>
    <row r="103" ht="15.75" customHeight="1">
      <c r="A103" s="7" t="str">
        <f>IFERROR(__xludf.DUMMYFUNCTION("""COMPUTED_VALUE"""),"(베)차유진6682")</f>
        <v>(베)차유진6682</v>
      </c>
      <c r="B103" s="7">
        <v>16.0</v>
      </c>
    </row>
    <row r="104" ht="15.75" customHeight="1">
      <c r="A104" s="7" t="str">
        <f>IFERROR(__xludf.DUMMYFUNCTION("""COMPUTED_VALUE"""),"(베)최다영2530")</f>
        <v>(베)최다영2530</v>
      </c>
      <c r="B104" s="7">
        <v>16.0</v>
      </c>
    </row>
    <row r="105" ht="15.75" customHeight="1">
      <c r="A105" s="7" t="str">
        <f>IFERROR(__xludf.DUMMYFUNCTION("""COMPUTED_VALUE"""),"(베)홍예림3695")</f>
        <v>(베)홍예림3695</v>
      </c>
      <c r="B105" s="7">
        <v>16.0</v>
      </c>
    </row>
    <row r="106" ht="15.75" customHeight="1">
      <c r="A106" s="7" t="str">
        <f>IFERROR(__xludf.DUMMYFUNCTION("""COMPUTED_VALUE"""),"(선)이준혁1947")</f>
        <v>(선)이준혁1947</v>
      </c>
      <c r="B106" s="7">
        <v>16.0</v>
      </c>
    </row>
    <row r="107" ht="15.75" customHeight="1">
      <c r="A107" s="7" t="str">
        <f>IFERROR(__xludf.DUMMYFUNCTION("""COMPUTED_VALUE"""),"(선5)김동건5321")</f>
        <v>(선5)김동건5321</v>
      </c>
      <c r="B107" s="7">
        <v>16.0</v>
      </c>
    </row>
    <row r="108" ht="15.75" customHeight="1">
      <c r="A108" s="7" t="str">
        <f>IFERROR(__xludf.DUMMYFUNCTION("""COMPUTED_VALUE"""),"(선5)김민준2056")</f>
        <v>(선5)김민준2056</v>
      </c>
      <c r="B108" s="7">
        <v>16.0</v>
      </c>
    </row>
    <row r="109" ht="15.75" customHeight="1">
      <c r="A109" s="7" t="str">
        <f>IFERROR(__xludf.DUMMYFUNCTION("""COMPUTED_VALUE"""),"(선5)김민준4685")</f>
        <v>(선5)김민준4685</v>
      </c>
      <c r="B109" s="7">
        <v>16.0</v>
      </c>
    </row>
    <row r="110" ht="15.75" customHeight="1">
      <c r="A110" s="7" t="str">
        <f>IFERROR(__xludf.DUMMYFUNCTION("""COMPUTED_VALUE"""),"(선5)김솔4251")</f>
        <v>(선5)김솔4251</v>
      </c>
      <c r="B110" s="7">
        <v>16.0</v>
      </c>
    </row>
    <row r="111" ht="15.75" customHeight="1">
      <c r="A111" s="7" t="str">
        <f>IFERROR(__xludf.DUMMYFUNCTION("""COMPUTED_VALUE"""),"(선5)김연우3300")</f>
        <v>(선5)김연우3300</v>
      </c>
      <c r="B111" s="7">
        <v>16.0</v>
      </c>
    </row>
    <row r="112" ht="15.75" customHeight="1">
      <c r="A112" s="7" t="str">
        <f>IFERROR(__xludf.DUMMYFUNCTION("""COMPUTED_VALUE"""),"(선5)박상현0851")</f>
        <v>(선5)박상현0851</v>
      </c>
      <c r="B112" s="7">
        <v>16.0</v>
      </c>
    </row>
    <row r="113" ht="15.75" customHeight="1">
      <c r="A113" s="7" t="str">
        <f>IFERROR(__xludf.DUMMYFUNCTION("""COMPUTED_VALUE"""),"(선5)방수혁4614")</f>
        <v>(선5)방수혁4614</v>
      </c>
      <c r="B113" s="7">
        <v>16.0</v>
      </c>
    </row>
    <row r="114" ht="15.75" customHeight="1">
      <c r="A114" s="7" t="str">
        <f>IFERROR(__xludf.DUMMYFUNCTION("""COMPUTED_VALUE"""),"(선5)유건우5209")</f>
        <v>(선5)유건우5209</v>
      </c>
      <c r="B114" s="7">
        <v>16.0</v>
      </c>
    </row>
    <row r="115" ht="15.75" customHeight="1">
      <c r="A115" s="7" t="str">
        <f>IFERROR(__xludf.DUMMYFUNCTION("""COMPUTED_VALUE"""),"(선5)이기찬5172")</f>
        <v>(선5)이기찬5172</v>
      </c>
      <c r="B115" s="7">
        <v>16.0</v>
      </c>
    </row>
    <row r="116" ht="15.75" customHeight="1">
      <c r="A116" s="7" t="str">
        <f>IFERROR(__xludf.DUMMYFUNCTION("""COMPUTED_VALUE"""),"(선5)이동현0896")</f>
        <v>(선5)이동현0896</v>
      </c>
      <c r="B116" s="7">
        <v>16.0</v>
      </c>
    </row>
    <row r="117" ht="15.75" customHeight="1">
      <c r="A117" s="7" t="str">
        <f>IFERROR(__xludf.DUMMYFUNCTION("""COMPUTED_VALUE"""),"(선5)이세명2015")</f>
        <v>(선5)이세명2015</v>
      </c>
      <c r="B117" s="7">
        <v>16.0</v>
      </c>
    </row>
    <row r="118" ht="15.75" customHeight="1">
      <c r="A118" s="7" t="str">
        <f>IFERROR(__xludf.DUMMYFUNCTION("""COMPUTED_VALUE"""),"(선5)이예준5251")</f>
        <v>(선5)이예준5251</v>
      </c>
      <c r="B118" s="7">
        <v>16.0</v>
      </c>
    </row>
    <row r="119" ht="15.75" customHeight="1">
      <c r="A119" s="7" t="str">
        <f>IFERROR(__xludf.DUMMYFUNCTION("""COMPUTED_VALUE"""),"(선5)이정진0769")</f>
        <v>(선5)이정진0769</v>
      </c>
      <c r="B119" s="7">
        <v>16.0</v>
      </c>
    </row>
    <row r="120" ht="15.75" customHeight="1">
      <c r="A120" s="7" t="str">
        <f>IFERROR(__xludf.DUMMYFUNCTION("""COMPUTED_VALUE"""),"(선5)이진웅4253")</f>
        <v>(선5)이진웅4253</v>
      </c>
      <c r="B120" s="7">
        <v>16.0</v>
      </c>
    </row>
    <row r="121" ht="15.75" customHeight="1">
      <c r="A121" s="7" t="str">
        <f>IFERROR(__xludf.DUMMYFUNCTION("""COMPUTED_VALUE"""),"(선5)이혁원3309")</f>
        <v>(선5)이혁원3309</v>
      </c>
      <c r="B121" s="7">
        <v>16.0</v>
      </c>
    </row>
    <row r="122" ht="15.75" customHeight="1">
      <c r="A122" s="7" t="str">
        <f>IFERROR(__xludf.DUMMYFUNCTION("""COMPUTED_VALUE"""),"(선5)임지원8343")</f>
        <v>(선5)임지원8343</v>
      </c>
      <c r="B122" s="7">
        <v>16.0</v>
      </c>
    </row>
    <row r="123" ht="15.75" customHeight="1">
      <c r="A123" s="7" t="str">
        <f>IFERROR(__xludf.DUMMYFUNCTION("""COMPUTED_VALUE"""),"(선5)장은수1716")</f>
        <v>(선5)장은수1716</v>
      </c>
      <c r="B123" s="7">
        <v>16.0</v>
      </c>
    </row>
    <row r="124" ht="15.75" customHeight="1">
      <c r="A124" s="7" t="str">
        <f>IFERROR(__xludf.DUMMYFUNCTION("""COMPUTED_VALUE"""),"(선5)정현도3979")</f>
        <v>(선5)정현도3979</v>
      </c>
      <c r="B124" s="7">
        <v>16.0</v>
      </c>
    </row>
    <row r="125" ht="15.75" customHeight="1">
      <c r="A125" s="7" t="str">
        <f>IFERROR(__xludf.DUMMYFUNCTION("""COMPUTED_VALUE"""),"(선5)홍성현7890")</f>
        <v>(선5)홍성현7890</v>
      </c>
      <c r="B125" s="7">
        <v>16.0</v>
      </c>
    </row>
    <row r="126" ht="15.75" customHeight="1">
      <c r="A126" s="7" t="str">
        <f>IFERROR(__xludf.DUMMYFUNCTION("""COMPUTED_VALUE"""),"(선명)강민성1732")</f>
        <v>(선명)강민성1732</v>
      </c>
      <c r="B126" s="7">
        <v>16.0</v>
      </c>
    </row>
    <row r="127" ht="15.75" customHeight="1">
      <c r="A127" s="7" t="str">
        <f>IFERROR(__xludf.DUMMYFUNCTION("""COMPUTED_VALUE"""),"(선명)강민준1892")</f>
        <v>(선명)강민준1892</v>
      </c>
      <c r="B127" s="7">
        <v>16.0</v>
      </c>
    </row>
    <row r="128" ht="15.75" customHeight="1">
      <c r="A128" s="7" t="str">
        <f>IFERROR(__xludf.DUMMYFUNCTION("""COMPUTED_VALUE"""),"(선명)김용현3093")</f>
        <v>(선명)김용현3093</v>
      </c>
      <c r="B128" s="7">
        <v>16.0</v>
      </c>
    </row>
    <row r="129" ht="15.75" customHeight="1">
      <c r="A129" s="7" t="str">
        <f>IFERROR(__xludf.DUMMYFUNCTION("""COMPUTED_VALUE"""),"(선명)김정윤0506")</f>
        <v>(선명)김정윤0506</v>
      </c>
      <c r="B129" s="7">
        <v>16.0</v>
      </c>
    </row>
    <row r="130" ht="15.75" customHeight="1">
      <c r="A130" s="7" t="str">
        <f>IFERROR(__xludf.DUMMYFUNCTION("""COMPUTED_VALUE"""),"(선명)문성현4019")</f>
        <v>(선명)문성현4019</v>
      </c>
      <c r="B130" s="7">
        <v>16.0</v>
      </c>
    </row>
    <row r="131" ht="15.75" customHeight="1">
      <c r="A131" s="7" t="str">
        <f>IFERROR(__xludf.DUMMYFUNCTION("""COMPUTED_VALUE"""),"(선명)박주혁1772")</f>
        <v>(선명)박주혁1772</v>
      </c>
      <c r="B131" s="7">
        <v>16.0</v>
      </c>
    </row>
    <row r="132" ht="15.75" customHeight="1">
      <c r="A132" s="7" t="str">
        <f>IFERROR(__xludf.DUMMYFUNCTION("""COMPUTED_VALUE"""),"(선명)박지우5033")</f>
        <v>(선명)박지우5033</v>
      </c>
      <c r="B132" s="7">
        <v>16.0</v>
      </c>
    </row>
    <row r="133" ht="15.75" customHeight="1">
      <c r="A133" s="7" t="str">
        <f>IFERROR(__xludf.DUMMYFUNCTION("""COMPUTED_VALUE"""),"(선명)서지완6116")</f>
        <v>(선명)서지완6116</v>
      </c>
      <c r="B133" s="7">
        <v>16.0</v>
      </c>
    </row>
    <row r="134" ht="15.75" customHeight="1">
      <c r="A134" s="7" t="str">
        <f>IFERROR(__xludf.DUMMYFUNCTION("""COMPUTED_VALUE"""),"(선명)안지민0361")</f>
        <v>(선명)안지민0361</v>
      </c>
      <c r="B134" s="7">
        <v>16.0</v>
      </c>
    </row>
    <row r="135" ht="15.75" customHeight="1">
      <c r="A135" s="7" t="str">
        <f>IFERROR(__xludf.DUMMYFUNCTION("""COMPUTED_VALUE"""),"(선명)오우섭5320")</f>
        <v>(선명)오우섭5320</v>
      </c>
      <c r="B135" s="7">
        <v>16.0</v>
      </c>
    </row>
    <row r="136" ht="15.75" customHeight="1">
      <c r="A136" s="7" t="str">
        <f>IFERROR(__xludf.DUMMYFUNCTION("""COMPUTED_VALUE"""),"(선명)원해성8438")</f>
        <v>(선명)원해성8438</v>
      </c>
      <c r="B136" s="7">
        <v>16.0</v>
      </c>
    </row>
    <row r="137" ht="15.75" customHeight="1">
      <c r="A137" s="7" t="str">
        <f>IFERROR(__xludf.DUMMYFUNCTION("""COMPUTED_VALUE"""),"(선명)유주성1319")</f>
        <v>(선명)유주성1319</v>
      </c>
      <c r="B137" s="7">
        <v>16.0</v>
      </c>
    </row>
    <row r="138" ht="15.75" customHeight="1">
      <c r="A138" s="7" t="str">
        <f>IFERROR(__xludf.DUMMYFUNCTION("""COMPUTED_VALUE"""),"(선명)유현동8756")</f>
        <v>(선명)유현동8756</v>
      </c>
      <c r="B138" s="7">
        <v>16.0</v>
      </c>
    </row>
    <row r="139" ht="15.75" customHeight="1">
      <c r="A139" s="7" t="str">
        <f>IFERROR(__xludf.DUMMYFUNCTION("""COMPUTED_VALUE"""),"(선명)이교원4323")</f>
        <v>(선명)이교원4323</v>
      </c>
      <c r="B139" s="7">
        <v>16.0</v>
      </c>
    </row>
    <row r="140" ht="15.75" customHeight="1">
      <c r="A140" s="7" t="str">
        <f>IFERROR(__xludf.DUMMYFUNCTION("""COMPUTED_VALUE"""),"(선명)이규민7242")</f>
        <v>(선명)이규민7242</v>
      </c>
      <c r="B140" s="7">
        <v>16.0</v>
      </c>
    </row>
    <row r="141" ht="15.75" customHeight="1">
      <c r="A141" s="7" t="str">
        <f>IFERROR(__xludf.DUMMYFUNCTION("""COMPUTED_VALUE"""),"(선명)이연수1610")</f>
        <v>(선명)이연수1610</v>
      </c>
      <c r="B141" s="7">
        <v>16.0</v>
      </c>
    </row>
    <row r="142" ht="15.75" customHeight="1">
      <c r="A142" s="7" t="str">
        <f>IFERROR(__xludf.DUMMYFUNCTION("""COMPUTED_VALUE"""),"(선명)이의진0916")</f>
        <v>(선명)이의진0916</v>
      </c>
      <c r="B142" s="7">
        <v>16.0</v>
      </c>
    </row>
    <row r="143" ht="15.75" customHeight="1">
      <c r="A143" s="7" t="str">
        <f>IFERROR(__xludf.DUMMYFUNCTION("""COMPUTED_VALUE"""),"(선명)이재환0898")</f>
        <v>(선명)이재환0898</v>
      </c>
      <c r="B143" s="7">
        <v>16.0</v>
      </c>
    </row>
    <row r="144" ht="15.75" customHeight="1">
      <c r="A144" s="7" t="str">
        <f>IFERROR(__xludf.DUMMYFUNCTION("""COMPUTED_VALUE"""),"(선명)이현민6622")</f>
        <v>(선명)이현민6622</v>
      </c>
      <c r="B144" s="7">
        <v>16.0</v>
      </c>
    </row>
    <row r="145" ht="15.75" customHeight="1">
      <c r="A145" s="7" t="str">
        <f>IFERROR(__xludf.DUMMYFUNCTION("""COMPUTED_VALUE"""),"(선명)이호중8046")</f>
        <v>(선명)이호중8046</v>
      </c>
      <c r="B145" s="7">
        <v>16.0</v>
      </c>
    </row>
    <row r="146" ht="15.75" customHeight="1">
      <c r="A146" s="7" t="str">
        <f>IFERROR(__xludf.DUMMYFUNCTION("""COMPUTED_VALUE"""),"(선명)전명욱9481")</f>
        <v>(선명)전명욱9481</v>
      </c>
      <c r="B146" s="7">
        <v>16.0</v>
      </c>
    </row>
    <row r="147" ht="15.75" customHeight="1">
      <c r="A147" s="7" t="str">
        <f>IFERROR(__xludf.DUMMYFUNCTION("""COMPUTED_VALUE"""),"(선명)최익준3268")</f>
        <v>(선명)최익준3268</v>
      </c>
      <c r="B147" s="7">
        <v>16.0</v>
      </c>
    </row>
    <row r="148" ht="15.75" customHeight="1">
      <c r="A148" s="7" t="str">
        <f>IFERROR(__xludf.DUMMYFUNCTION("""COMPUTED_VALUE"""),"(선아)고수민0471")</f>
        <v>(선아)고수민0471</v>
      </c>
      <c r="B148" s="7">
        <v>16.0</v>
      </c>
    </row>
    <row r="149" ht="15.75" customHeight="1">
      <c r="A149" s="7" t="str">
        <f>IFERROR(__xludf.DUMMYFUNCTION("""COMPUTED_VALUE"""),"(선아)권나형1429")</f>
        <v>(선아)권나형1429</v>
      </c>
      <c r="B149" s="7">
        <v>16.0</v>
      </c>
    </row>
    <row r="150" ht="15.75" customHeight="1">
      <c r="A150" s="7" t="str">
        <f>IFERROR(__xludf.DUMMYFUNCTION("""COMPUTED_VALUE"""),"(선아)김경민3077")</f>
        <v>(선아)김경민3077</v>
      </c>
      <c r="B150" s="7">
        <v>16.0</v>
      </c>
    </row>
    <row r="151" ht="15.75" customHeight="1">
      <c r="A151" s="7" t="str">
        <f>IFERROR(__xludf.DUMMYFUNCTION("""COMPUTED_VALUE"""),"(선아)김도영3265")</f>
        <v>(선아)김도영3265</v>
      </c>
      <c r="B151" s="7">
        <v>16.0</v>
      </c>
    </row>
    <row r="152" ht="15.75" customHeight="1">
      <c r="A152" s="7" t="str">
        <f>IFERROR(__xludf.DUMMYFUNCTION("""COMPUTED_VALUE"""),"(선아)김서아0345")</f>
        <v>(선아)김서아0345</v>
      </c>
      <c r="B152" s="7">
        <v>16.0</v>
      </c>
    </row>
    <row r="153" ht="15.75" customHeight="1">
      <c r="A153" s="7" t="str">
        <f>IFERROR(__xludf.DUMMYFUNCTION("""COMPUTED_VALUE"""),"(선아)민채원0669")</f>
        <v>(선아)민채원0669</v>
      </c>
      <c r="B153" s="7">
        <v>16.0</v>
      </c>
    </row>
    <row r="154" ht="15.75" customHeight="1">
      <c r="A154" s="7" t="str">
        <f>IFERROR(__xludf.DUMMYFUNCTION("""COMPUTED_VALUE"""),"(선아)석지원7441")</f>
        <v>(선아)석지원7441</v>
      </c>
      <c r="B154" s="7">
        <v>16.0</v>
      </c>
    </row>
    <row r="155" ht="15.75" customHeight="1">
      <c r="A155" s="7" t="str">
        <f>IFERROR(__xludf.DUMMYFUNCTION("""COMPUTED_VALUE"""),"(선아)송채원4297")</f>
        <v>(선아)송채원4297</v>
      </c>
      <c r="B155" s="7">
        <v>16.0</v>
      </c>
    </row>
    <row r="156" ht="15.75" customHeight="1">
      <c r="A156" s="7" t="str">
        <f>IFERROR(__xludf.DUMMYFUNCTION("""COMPUTED_VALUE"""),"(선아)신예지7157")</f>
        <v>(선아)신예지7157</v>
      </c>
      <c r="B156" s="7">
        <v>16.0</v>
      </c>
    </row>
    <row r="157" ht="15.75" customHeight="1">
      <c r="A157" s="7" t="str">
        <f>IFERROR(__xludf.DUMMYFUNCTION("""COMPUTED_VALUE"""),"(선아)오채윤0494")</f>
        <v>(선아)오채윤0494</v>
      </c>
      <c r="B157" s="7">
        <v>16.0</v>
      </c>
    </row>
    <row r="158" ht="15.75" customHeight="1">
      <c r="A158" s="7" t="str">
        <f>IFERROR(__xludf.DUMMYFUNCTION("""COMPUTED_VALUE"""),"(선아)이주희5845")</f>
        <v>(선아)이주희5845</v>
      </c>
      <c r="B158" s="7">
        <v>16.0</v>
      </c>
    </row>
    <row r="159" ht="15.75" customHeight="1">
      <c r="A159" s="7" t="str">
        <f>IFERROR(__xludf.DUMMYFUNCTION("""COMPUTED_VALUE"""),"(선아)이하은9248")</f>
        <v>(선아)이하은9248</v>
      </c>
      <c r="B159" s="7">
        <v>16.0</v>
      </c>
    </row>
    <row r="160" ht="15.75" customHeight="1">
      <c r="A160" s="7" t="str">
        <f>IFERROR(__xludf.DUMMYFUNCTION("""COMPUTED_VALUE"""),"(선아)임연우7885")</f>
        <v>(선아)임연우7885</v>
      </c>
      <c r="B160" s="7">
        <v>16.0</v>
      </c>
    </row>
    <row r="161" ht="15.75" customHeight="1">
      <c r="A161" s="7" t="str">
        <f>IFERROR(__xludf.DUMMYFUNCTION("""COMPUTED_VALUE"""),"(선아)조윤서3588")</f>
        <v>(선아)조윤서3588</v>
      </c>
      <c r="B161" s="7">
        <v>16.0</v>
      </c>
    </row>
    <row r="162" ht="15.75" customHeight="1">
      <c r="A162" s="7" t="str">
        <f>IFERROR(__xludf.DUMMYFUNCTION("""COMPUTED_VALUE"""),"(선아)최윤하9881")</f>
        <v>(선아)최윤하9881</v>
      </c>
      <c r="B162" s="7">
        <v>16.0</v>
      </c>
    </row>
    <row r="163" ht="15.75" customHeight="1">
      <c r="A163" s="7" t="str">
        <f>IFERROR(__xludf.DUMMYFUNCTION("""COMPUTED_VALUE"""),"(선아)한가인8280")</f>
        <v>(선아)한가인8280</v>
      </c>
      <c r="B163" s="7">
        <v>16.0</v>
      </c>
    </row>
    <row r="164" ht="15.75" customHeight="1">
      <c r="A164" s="7" t="str">
        <f>IFERROR(__xludf.DUMMYFUNCTION("""COMPUTED_VALUE"""),"(선에)고은우7243")</f>
        <v>(선에)고은우7243</v>
      </c>
      <c r="B164" s="7">
        <v>16.0</v>
      </c>
    </row>
    <row r="165" ht="15.75" customHeight="1">
      <c r="A165" s="7" t="str">
        <f>IFERROR(__xludf.DUMMYFUNCTION("""COMPUTED_VALUE"""),"(선에)김민웅1030")</f>
        <v>(선에)김민웅1030</v>
      </c>
      <c r="B165" s="7">
        <v>16.0</v>
      </c>
    </row>
    <row r="166" ht="15.75" customHeight="1">
      <c r="A166" s="7" t="str">
        <f>IFERROR(__xludf.DUMMYFUNCTION("""COMPUTED_VALUE"""),"(선에)김세현5789")</f>
        <v>(선에)김세현5789</v>
      </c>
      <c r="B166" s="7">
        <v>16.0</v>
      </c>
    </row>
    <row r="167" ht="15.75" customHeight="1">
      <c r="A167" s="7" t="str">
        <f>IFERROR(__xludf.DUMMYFUNCTION("""COMPUTED_VALUE"""),"(선에)김종환2776")</f>
        <v>(선에)김종환2776</v>
      </c>
      <c r="B167" s="7">
        <v>16.0</v>
      </c>
    </row>
    <row r="168" ht="15.75" customHeight="1">
      <c r="A168" s="7" t="str">
        <f>IFERROR(__xludf.DUMMYFUNCTION("""COMPUTED_VALUE"""),"(선에)문찬우9587")</f>
        <v>(선에)문찬우9587</v>
      </c>
      <c r="B168" s="7">
        <v>16.0</v>
      </c>
    </row>
    <row r="169" ht="15.75" customHeight="1">
      <c r="A169" s="7" t="str">
        <f>IFERROR(__xludf.DUMMYFUNCTION("""COMPUTED_VALUE"""),"(선에)문채민7199")</f>
        <v>(선에)문채민7199</v>
      </c>
      <c r="B169" s="7">
        <v>16.0</v>
      </c>
    </row>
    <row r="170" ht="15.75" customHeight="1">
      <c r="A170" s="7" t="str">
        <f>IFERROR(__xludf.DUMMYFUNCTION("""COMPUTED_VALUE"""),"(선에)백찬우0899")</f>
        <v>(선에)백찬우0899</v>
      </c>
      <c r="B170" s="7">
        <v>16.0</v>
      </c>
    </row>
    <row r="171" ht="15.75" customHeight="1">
      <c r="A171" s="7" t="str">
        <f>IFERROR(__xludf.DUMMYFUNCTION("""COMPUTED_VALUE"""),"(선에)송현륭7409")</f>
        <v>(선에)송현륭7409</v>
      </c>
      <c r="B171" s="7">
        <v>16.0</v>
      </c>
    </row>
    <row r="172" ht="15.75" customHeight="1">
      <c r="A172" s="7" t="str">
        <f>IFERROR(__xludf.DUMMYFUNCTION("""COMPUTED_VALUE"""),"(선에)신동현9599")</f>
        <v>(선에)신동현9599</v>
      </c>
      <c r="B172" s="7">
        <v>16.0</v>
      </c>
    </row>
    <row r="173" ht="15.75" customHeight="1">
      <c r="A173" s="7" t="str">
        <f>IFERROR(__xludf.DUMMYFUNCTION("""COMPUTED_VALUE"""),"(선에)윤종호6519")</f>
        <v>(선에)윤종호6519</v>
      </c>
      <c r="B173" s="7">
        <v>16.0</v>
      </c>
    </row>
    <row r="174" ht="15.75" customHeight="1">
      <c r="A174" s="7" t="str">
        <f>IFERROR(__xludf.DUMMYFUNCTION("""COMPUTED_VALUE"""),"(선에)이서준5506")</f>
        <v>(선에)이서준5506</v>
      </c>
      <c r="B174" s="7">
        <v>16.0</v>
      </c>
    </row>
    <row r="175" ht="15.75" customHeight="1">
      <c r="A175" s="7" t="str">
        <f>IFERROR(__xludf.DUMMYFUNCTION("""COMPUTED_VALUE"""),"(선에)이선채1863")</f>
        <v>(선에)이선채1863</v>
      </c>
      <c r="B175" s="7">
        <v>16.0</v>
      </c>
    </row>
    <row r="176" ht="15.75" customHeight="1">
      <c r="A176" s="7" t="str">
        <f>IFERROR(__xludf.DUMMYFUNCTION("""COMPUTED_VALUE"""),"(선에)이정우5546")</f>
        <v>(선에)이정우5546</v>
      </c>
      <c r="B176" s="7">
        <v>16.0</v>
      </c>
    </row>
    <row r="177" ht="15.75" customHeight="1">
      <c r="A177" s="7" t="str">
        <f>IFERROR(__xludf.DUMMYFUNCTION("""COMPUTED_VALUE"""),"(선에)이주하9096")</f>
        <v>(선에)이주하9096</v>
      </c>
      <c r="B177" s="7">
        <v>16.0</v>
      </c>
    </row>
    <row r="178" ht="15.75" customHeight="1">
      <c r="A178" s="7" t="str">
        <f>IFERROR(__xludf.DUMMYFUNCTION("""COMPUTED_VALUE"""),"(선에)임건우7179")</f>
        <v>(선에)임건우7179</v>
      </c>
      <c r="B178" s="7">
        <v>16.0</v>
      </c>
    </row>
    <row r="179" ht="15.75" customHeight="1">
      <c r="A179" s="7" t="str">
        <f>IFERROR(__xludf.DUMMYFUNCTION("""COMPUTED_VALUE"""),"(선에)임경현7816")</f>
        <v>(선에)임경현7816</v>
      </c>
      <c r="B179" s="7">
        <v>16.0</v>
      </c>
    </row>
    <row r="180" ht="15.75" customHeight="1">
      <c r="A180" s="7" t="str">
        <f>IFERROR(__xludf.DUMMYFUNCTION("""COMPUTED_VALUE"""),"(선에)장세현7623")</f>
        <v>(선에)장세현7623</v>
      </c>
      <c r="B180" s="7">
        <v>16.0</v>
      </c>
    </row>
    <row r="181" ht="15.75" customHeight="1">
      <c r="A181" s="7" t="str">
        <f>IFERROR(__xludf.DUMMYFUNCTION("""COMPUTED_VALUE"""),"(선에)조현서8043")</f>
        <v>(선에)조현서8043</v>
      </c>
      <c r="B181" s="7">
        <v>16.0</v>
      </c>
    </row>
    <row r="182" ht="15.75" customHeight="1">
      <c r="A182" s="7" t="str">
        <f>IFERROR(__xludf.DUMMYFUNCTION("""COMPUTED_VALUE"""),"(선에)주해진5722")</f>
        <v>(선에)주해진5722</v>
      </c>
      <c r="B182" s="7">
        <v>16.0</v>
      </c>
    </row>
    <row r="183" ht="15.75" customHeight="1">
      <c r="A183" s="7" t="str">
        <f>IFERROR(__xludf.DUMMYFUNCTION("""COMPUTED_VALUE"""),"(선에)최윤호7264")</f>
        <v>(선에)최윤호7264</v>
      </c>
      <c r="B183" s="7">
        <v>16.0</v>
      </c>
    </row>
    <row r="184" ht="15.75" customHeight="1">
      <c r="A184" s="7" t="str">
        <f>IFERROR(__xludf.DUMMYFUNCTION("""COMPUTED_VALUE"""),"(선에)최인혁1665")</f>
        <v>(선에)최인혁1665</v>
      </c>
      <c r="B184" s="7">
        <v>16.0</v>
      </c>
    </row>
    <row r="185" ht="15.75" customHeight="1">
      <c r="A185" s="7" t="str">
        <f>IFERROR(__xludf.DUMMYFUNCTION("""COMPUTED_VALUE"""),"(선일)서윤영3302")</f>
        <v>(선일)서윤영3302</v>
      </c>
      <c r="B185" s="7">
        <v>16.0</v>
      </c>
    </row>
    <row r="186" ht="15.75" customHeight="1">
      <c r="A186" s="7" t="str">
        <f>IFERROR(__xludf.DUMMYFUNCTION("""COMPUTED_VALUE"""),"(선일)이도희4100")</f>
        <v>(선일)이도희4100</v>
      </c>
      <c r="B186" s="7">
        <v>16.0</v>
      </c>
    </row>
    <row r="187" ht="15.75" customHeight="1">
      <c r="A187" s="7" t="str">
        <f>IFERROR(__xludf.DUMMYFUNCTION("""COMPUTED_VALUE"""),"(선케)황서은3724")</f>
        <v>(선케)황서은3724</v>
      </c>
      <c r="B187" s="7">
        <v>16.0</v>
      </c>
    </row>
    <row r="188" ht="15.75" customHeight="1">
      <c r="A188" s="7" t="str">
        <f>IFERROR(__xludf.DUMMYFUNCTION("""COMPUTED_VALUE"""),"(선태)곽현서0403")</f>
        <v>(선태)곽현서0403</v>
      </c>
      <c r="B188" s="7">
        <v>16.0</v>
      </c>
    </row>
    <row r="189" ht="15.75" customHeight="1">
      <c r="A189" s="7" t="str">
        <f>IFERROR(__xludf.DUMMYFUNCTION("""COMPUTED_VALUE"""),"(선태)구연지4191")</f>
        <v>(선태)구연지4191</v>
      </c>
      <c r="B189" s="7">
        <v>16.0</v>
      </c>
    </row>
    <row r="190" ht="15.75" customHeight="1">
      <c r="A190" s="7" t="str">
        <f>IFERROR(__xludf.DUMMYFUNCTION("""COMPUTED_VALUE"""),"(선태)김나윤9848")</f>
        <v>(선태)김나윤9848</v>
      </c>
      <c r="B190" s="7">
        <v>16.0</v>
      </c>
    </row>
    <row r="191" ht="15.75" customHeight="1">
      <c r="A191" s="7" t="str">
        <f>IFERROR(__xludf.DUMMYFUNCTION("""COMPUTED_VALUE"""),"(선태)김민정9098")</f>
        <v>(선태)김민정9098</v>
      </c>
      <c r="B191" s="7">
        <v>16.0</v>
      </c>
    </row>
    <row r="192" ht="15.75" customHeight="1">
      <c r="A192" s="7" t="str">
        <f>IFERROR(__xludf.DUMMYFUNCTION("""COMPUTED_VALUE"""),"(선태)김민주7503")</f>
        <v>(선태)김민주7503</v>
      </c>
      <c r="B192" s="7">
        <v>16.0</v>
      </c>
    </row>
    <row r="193" ht="15.75" customHeight="1">
      <c r="A193" s="7" t="str">
        <f>IFERROR(__xludf.DUMMYFUNCTION("""COMPUTED_VALUE"""),"(선태)김민주9700")</f>
        <v>(선태)김민주9700</v>
      </c>
      <c r="B193" s="7">
        <v>16.0</v>
      </c>
    </row>
    <row r="194" ht="15.75" customHeight="1">
      <c r="A194" s="7" t="str">
        <f>IFERROR(__xludf.DUMMYFUNCTION("""COMPUTED_VALUE"""),"(선태)김의정8603")</f>
        <v>(선태)김의정8603</v>
      </c>
      <c r="B194" s="7">
        <v>16.0</v>
      </c>
    </row>
    <row r="195" ht="15.75" customHeight="1">
      <c r="A195" s="7" t="str">
        <f>IFERROR(__xludf.DUMMYFUNCTION("""COMPUTED_VALUE"""),"(선태)김재연9252")</f>
        <v>(선태)김재연9252</v>
      </c>
      <c r="B195" s="7">
        <v>16.0</v>
      </c>
    </row>
    <row r="196" ht="15.75" customHeight="1">
      <c r="A196" s="7" t="str">
        <f>IFERROR(__xludf.DUMMYFUNCTION("""COMPUTED_VALUE"""),"(선태)김지수9640")</f>
        <v>(선태)김지수9640</v>
      </c>
      <c r="B196" s="7">
        <v>16.0</v>
      </c>
    </row>
    <row r="197" ht="15.75" customHeight="1">
      <c r="A197" s="7" t="str">
        <f>IFERROR(__xludf.DUMMYFUNCTION("""COMPUTED_VALUE"""),"(선태)김지원9192")</f>
        <v>(선태)김지원9192</v>
      </c>
      <c r="B197" s="7">
        <v>16.0</v>
      </c>
    </row>
    <row r="198" ht="15.75" customHeight="1">
      <c r="A198" s="7" t="str">
        <f>IFERROR(__xludf.DUMMYFUNCTION("""COMPUTED_VALUE"""),"(선태)박서현5467")</f>
        <v>(선태)박서현5467</v>
      </c>
      <c r="B198" s="7">
        <v>16.0</v>
      </c>
    </row>
    <row r="199" ht="15.75" customHeight="1">
      <c r="A199" s="7" t="str">
        <f>IFERROR(__xludf.DUMMYFUNCTION("""COMPUTED_VALUE"""),"(선태)박시아5325")</f>
        <v>(선태)박시아5325</v>
      </c>
      <c r="B199" s="7">
        <v>16.0</v>
      </c>
    </row>
    <row r="200" ht="15.75" customHeight="1">
      <c r="A200" s="7" t="str">
        <f>IFERROR(__xludf.DUMMYFUNCTION("""COMPUTED_VALUE"""),"(선태)박시현1278")</f>
        <v>(선태)박시현1278</v>
      </c>
      <c r="B200" s="7">
        <v>16.0</v>
      </c>
    </row>
    <row r="201" ht="15.75" customHeight="1">
      <c r="A201" s="7" t="str">
        <f>IFERROR(__xludf.DUMMYFUNCTION("""COMPUTED_VALUE"""),"(선태)서은빈0707")</f>
        <v>(선태)서은빈0707</v>
      </c>
      <c r="B201" s="7">
        <v>16.0</v>
      </c>
    </row>
    <row r="202" ht="15.75" customHeight="1">
      <c r="A202" s="7" t="str">
        <f>IFERROR(__xludf.DUMMYFUNCTION("""COMPUTED_VALUE"""),"(선태)성민주2407")</f>
        <v>(선태)성민주2407</v>
      </c>
      <c r="B202" s="7">
        <v>14.0</v>
      </c>
    </row>
    <row r="203" ht="15.75" customHeight="1">
      <c r="A203" s="7" t="str">
        <f>IFERROR(__xludf.DUMMYFUNCTION("""COMPUTED_VALUE"""),"(선태)우윤선8701")</f>
        <v>(선태)우윤선8701</v>
      </c>
      <c r="B203" s="7">
        <v>16.0</v>
      </c>
    </row>
    <row r="204" ht="15.75" customHeight="1">
      <c r="A204" s="7" t="str">
        <f>IFERROR(__xludf.DUMMYFUNCTION("""COMPUTED_VALUE"""),"(선태)이수빈7580")</f>
        <v>(선태)이수빈7580</v>
      </c>
      <c r="B204" s="7">
        <v>16.0</v>
      </c>
    </row>
    <row r="205" ht="15.75" customHeight="1">
      <c r="A205" s="7" t="str">
        <f>IFERROR(__xludf.DUMMYFUNCTION("""COMPUTED_VALUE"""),"(선태)장지인5302")</f>
        <v>(선태)장지인5302</v>
      </c>
      <c r="B205" s="7">
        <v>16.0</v>
      </c>
    </row>
    <row r="206" ht="15.75" customHeight="1">
      <c r="A206" s="7" t="str">
        <f>IFERROR(__xludf.DUMMYFUNCTION("""COMPUTED_VALUE"""),"(선태)정수빈2671")</f>
        <v>(선태)정수빈2671</v>
      </c>
      <c r="B206" s="7">
        <v>16.0</v>
      </c>
    </row>
    <row r="207" ht="15.75" customHeight="1">
      <c r="A207" s="7" t="str">
        <f>IFERROR(__xludf.DUMMYFUNCTION("""COMPUTED_VALUE"""),"(선태)정혜진4689")</f>
        <v>(선태)정혜진4689</v>
      </c>
      <c r="B207" s="7">
        <v>16.0</v>
      </c>
    </row>
    <row r="208" ht="15.75" customHeight="1">
      <c r="A208" s="7" t="str">
        <f>IFERROR(__xludf.DUMMYFUNCTION("""COMPUTED_VALUE"""),"(선태)최서연1318")</f>
        <v>(선태)최서연1318</v>
      </c>
      <c r="B208" s="7">
        <v>16.0</v>
      </c>
    </row>
    <row r="209" ht="15.75" customHeight="1">
      <c r="A209" s="7" t="str">
        <f>IFERROR(__xludf.DUMMYFUNCTION("""COMPUTED_VALUE"""),"(선태)최서윤5306")</f>
        <v>(선태)최서윤5306</v>
      </c>
      <c r="B209" s="7">
        <v>16.0</v>
      </c>
    </row>
    <row r="210" ht="15.75" customHeight="1">
      <c r="A210" s="7" t="str">
        <f>IFERROR(__xludf.DUMMYFUNCTION("""COMPUTED_VALUE"""),"(선태)최서윤6658")</f>
        <v>(선태)최서윤6658</v>
      </c>
      <c r="B210" s="7">
        <v>16.0</v>
      </c>
    </row>
    <row r="211" ht="15.75" customHeight="1">
      <c r="A211" s="7" t="str">
        <f>IFERROR(__xludf.DUMMYFUNCTION("""COMPUTED_VALUE"""),"(선태)최지원2183")</f>
        <v>(선태)최지원2183</v>
      </c>
      <c r="B211" s="7">
        <v>16.0</v>
      </c>
    </row>
    <row r="212" ht="15.75" customHeight="1">
      <c r="A212" s="7" t="str">
        <f>IFERROR(__xludf.DUMMYFUNCTION("""COMPUTED_VALUE"""),"(선태)허유진4173")</f>
        <v>(선태)허유진4173</v>
      </c>
      <c r="B212" s="7">
        <v>16.0</v>
      </c>
    </row>
    <row r="213" ht="15.75" customHeight="1">
      <c r="A213" s="7" t="str">
        <f>IFERROR(__xludf.DUMMYFUNCTION("""COMPUTED_VALUE"""),"(선태)홍민지7100")</f>
        <v>(선태)홍민지7100</v>
      </c>
      <c r="B213" s="7">
        <v>16.0</v>
      </c>
    </row>
    <row r="214" ht="15.75" customHeight="1">
      <c r="A214" s="7" t="str">
        <f>IFERROR(__xludf.DUMMYFUNCTION("""COMPUTED_VALUE"""),"(선태)홍연수6977")</f>
        <v>(선태)홍연수6977</v>
      </c>
      <c r="B214" s="7">
        <v>16.0</v>
      </c>
    </row>
    <row r="215" ht="15.75" customHeight="1">
      <c r="A215" s="7" t="str">
        <f>IFERROR(__xludf.DUMMYFUNCTION("""COMPUTED_VALUE"""),"(아)김다은5516")</f>
        <v>(아)김다은5516</v>
      </c>
      <c r="B215" s="7">
        <v>2.0</v>
      </c>
    </row>
    <row r="216" ht="15.75" customHeight="1">
      <c r="A216" s="7" t="str">
        <f>IFERROR(__xludf.DUMMYFUNCTION("""COMPUTED_VALUE"""),"(아)이송현2436")</f>
        <v>(아)이송현2436</v>
      </c>
      <c r="B216" s="7">
        <v>16.0</v>
      </c>
    </row>
    <row r="217" ht="15.75" customHeight="1">
      <c r="A217" s="7" t="str">
        <f>IFERROR(__xludf.DUMMYFUNCTION("""COMPUTED_VALUE"""),"(아)이은주7835")</f>
        <v>(아)이은주7835</v>
      </c>
      <c r="B217" s="7">
        <v>2.0</v>
      </c>
    </row>
    <row r="218" ht="15.75" customHeight="1">
      <c r="A218" s="7" t="str">
        <f>IFERROR(__xludf.DUMMYFUNCTION("""COMPUTED_VALUE"""),"(아)조은수0899")</f>
        <v>(아)조은수0899</v>
      </c>
      <c r="B218" s="7">
        <v>16.0</v>
      </c>
    </row>
    <row r="219" ht="15.75" customHeight="1">
      <c r="A219" s="7" t="str">
        <f>IFERROR(__xludf.DUMMYFUNCTION("""COMPUTED_VALUE"""),"(아)황예나0608")</f>
        <v>(아)황예나0608</v>
      </c>
      <c r="B219" s="7">
        <v>15.0</v>
      </c>
    </row>
    <row r="220" ht="15.75" customHeight="1">
      <c r="A220" s="7" t="str">
        <f>IFERROR(__xludf.DUMMYFUNCTION("""COMPUTED_VALUE"""),"(에)마준영8046")</f>
        <v>(에)마준영8046</v>
      </c>
      <c r="B220" s="7">
        <v>16.0</v>
      </c>
    </row>
    <row r="221" ht="15.75" customHeight="1">
      <c r="A221" s="7" t="str">
        <f>IFERROR(__xludf.DUMMYFUNCTION("""COMPUTED_VALUE"""),"(에)손원석7910")</f>
        <v>(에)손원석7910</v>
      </c>
      <c r="B221" s="7">
        <v>16.0</v>
      </c>
    </row>
    <row r="222" ht="15.75" customHeight="1">
      <c r="A222" s="7" t="str">
        <f>IFERROR(__xludf.DUMMYFUNCTION("""COMPUTED_VALUE"""),"(에)이승훈0933")</f>
        <v>(에)이승훈0933</v>
      </c>
      <c r="B222" s="7">
        <v>16.0</v>
      </c>
    </row>
    <row r="223" ht="15.75" customHeight="1">
      <c r="A223" s="7" t="str">
        <f>IFERROR(__xludf.DUMMYFUNCTION("""COMPUTED_VALUE"""),"(에)정현우7348")</f>
        <v>(에)정현우7348</v>
      </c>
      <c r="B223" s="7">
        <v>16.0</v>
      </c>
    </row>
    <row r="224" ht="15.75" customHeight="1">
      <c r="A224" s="7" t="str">
        <f>IFERROR(__xludf.DUMMYFUNCTION("""COMPUTED_VALUE"""),"(에)최현태6875")</f>
        <v>(에)최현태6875</v>
      </c>
      <c r="B224" s="7">
        <v>16.0</v>
      </c>
    </row>
    <row r="225" ht="15.75" customHeight="1">
      <c r="A225" s="7" t="str">
        <f>IFERROR(__xludf.DUMMYFUNCTION("""COMPUTED_VALUE"""),"(일)권민지5147")</f>
        <v>(일)권민지5147</v>
      </c>
      <c r="B225" s="7">
        <v>16.0</v>
      </c>
    </row>
    <row r="226" ht="15.75" customHeight="1">
      <c r="A226" s="7" t="str">
        <f>IFERROR(__xludf.DUMMYFUNCTION("""COMPUTED_VALUE"""),"(일)김현민4570")</f>
        <v>(일)김현민4570</v>
      </c>
      <c r="B226" s="7">
        <v>16.0</v>
      </c>
    </row>
    <row r="227" ht="15.75" customHeight="1">
      <c r="A227" s="7" t="str">
        <f>IFERROR(__xludf.DUMMYFUNCTION("""COMPUTED_VALUE"""),"(정)김동연2457")</f>
        <v>(정)김동연2457</v>
      </c>
      <c r="B227" s="7">
        <v>16.0</v>
      </c>
    </row>
    <row r="228" ht="15.75" customHeight="1">
      <c r="A228" s="7" t="str">
        <f>IFERROR(__xludf.DUMMYFUNCTION("""COMPUTED_VALUE"""),"(정)김민성1175")</f>
        <v>(정)김민성1175</v>
      </c>
      <c r="B228" s="7">
        <v>16.0</v>
      </c>
    </row>
    <row r="229" ht="15.75" customHeight="1">
      <c r="A229" s="7" t="str">
        <f>IFERROR(__xludf.DUMMYFUNCTION("""COMPUTED_VALUE"""),"(정)김하준5123")</f>
        <v>(정)김하준5123</v>
      </c>
      <c r="B229" s="7">
        <v>16.0</v>
      </c>
    </row>
    <row r="230" ht="15.75" customHeight="1">
      <c r="A230" s="7" t="str">
        <f>IFERROR(__xludf.DUMMYFUNCTION("""COMPUTED_VALUE"""),"(정)박정우4010")</f>
        <v>(정)박정우4010</v>
      </c>
      <c r="B230" s="7">
        <v>16.0</v>
      </c>
    </row>
    <row r="231" ht="15.75" customHeight="1">
      <c r="A231" s="7" t="str">
        <f>IFERROR(__xludf.DUMMYFUNCTION("""COMPUTED_VALUE"""),"(정)박종익8931")</f>
        <v>(정)박종익8931</v>
      </c>
      <c r="B231" s="7">
        <v>16.0</v>
      </c>
    </row>
    <row r="232" ht="15.75" customHeight="1">
      <c r="A232" s="7" t="str">
        <f>IFERROR(__xludf.DUMMYFUNCTION("""COMPUTED_VALUE"""),"(정)서준호7615")</f>
        <v>(정)서준호7615</v>
      </c>
      <c r="B232" s="7">
        <v>16.0</v>
      </c>
    </row>
    <row r="233" ht="15.75" customHeight="1">
      <c r="A233" s="7" t="str">
        <f>IFERROR(__xludf.DUMMYFUNCTION("""COMPUTED_VALUE"""),"(정)손재호7632")</f>
        <v>(정)손재호7632</v>
      </c>
      <c r="B233" s="7">
        <v>16.0</v>
      </c>
    </row>
    <row r="234" ht="15.75" customHeight="1">
      <c r="A234" s="7" t="str">
        <f>IFERROR(__xludf.DUMMYFUNCTION("""COMPUTED_VALUE"""),"(정)양성식4022")</f>
        <v>(정)양성식4022</v>
      </c>
      <c r="B234" s="7">
        <v>16.0</v>
      </c>
    </row>
    <row r="235" ht="15.75" customHeight="1">
      <c r="A235" s="7" t="str">
        <f>IFERROR(__xludf.DUMMYFUNCTION("""COMPUTED_VALUE"""),"(정)양한슬2808")</f>
        <v>(정)양한슬2808</v>
      </c>
      <c r="B235" s="7">
        <v>16.0</v>
      </c>
    </row>
    <row r="236" ht="15.75" customHeight="1">
      <c r="A236" s="7" t="str">
        <f>IFERROR(__xludf.DUMMYFUNCTION("""COMPUTED_VALUE"""),"(정)유수민6056")</f>
        <v>(정)유수민6056</v>
      </c>
      <c r="B236" s="7">
        <v>16.0</v>
      </c>
    </row>
    <row r="237" ht="15.75" customHeight="1">
      <c r="A237" s="7" t="str">
        <f>IFERROR(__xludf.DUMMYFUNCTION("""COMPUTED_VALUE"""),"(정)이승민2175")</f>
        <v>(정)이승민2175</v>
      </c>
      <c r="B237" s="7">
        <v>16.0</v>
      </c>
    </row>
    <row r="238" ht="15.75" customHeight="1">
      <c r="A238" s="7" t="str">
        <f>IFERROR(__xludf.DUMMYFUNCTION("""COMPUTED_VALUE"""),"(정)이정현7377")</f>
        <v>(정)이정현7377</v>
      </c>
      <c r="B238" s="7">
        <v>16.0</v>
      </c>
    </row>
    <row r="239" ht="15.75" customHeight="1">
      <c r="A239" s="7" t="str">
        <f>IFERROR(__xludf.DUMMYFUNCTION("""COMPUTED_VALUE"""),"(정)이지훈4736")</f>
        <v>(정)이지훈4736</v>
      </c>
      <c r="B239" s="7">
        <v>16.0</v>
      </c>
    </row>
    <row r="240" ht="15.75" customHeight="1">
      <c r="A240" s="7" t="str">
        <f>IFERROR(__xludf.DUMMYFUNCTION("""COMPUTED_VALUE"""),"(정)장혁준9355")</f>
        <v>(정)장혁준9355</v>
      </c>
      <c r="B240" s="7">
        <v>16.0</v>
      </c>
    </row>
    <row r="241" ht="15.75" customHeight="1">
      <c r="A241" s="7" t="str">
        <f>IFERROR(__xludf.DUMMYFUNCTION("""COMPUTED_VALUE"""),"(정)정민욱9377")</f>
        <v>(정)정민욱9377</v>
      </c>
      <c r="B241" s="7">
        <v>16.0</v>
      </c>
    </row>
    <row r="242" ht="15.75" customHeight="1">
      <c r="A242" s="7" t="str">
        <f>IFERROR(__xludf.DUMMYFUNCTION("""COMPUTED_VALUE"""),"(정)정지훈3166")</f>
        <v>(정)정지훈3166</v>
      </c>
      <c r="B242" s="7">
        <v>16.0</v>
      </c>
    </row>
    <row r="243" ht="15.75" customHeight="1">
      <c r="A243" s="7" t="str">
        <f>IFERROR(__xludf.DUMMYFUNCTION("""COMPUTED_VALUE"""),"(정)채현우7675")</f>
        <v>(정)채현우7675</v>
      </c>
      <c r="B243" s="7">
        <v>16.0</v>
      </c>
    </row>
    <row r="244" ht="15.75" customHeight="1">
      <c r="A244" s="7" t="str">
        <f>IFERROR(__xludf.DUMMYFUNCTION("""COMPUTED_VALUE"""),"(정)한지산7711")</f>
        <v>(정)한지산7711</v>
      </c>
      <c r="B244" s="7">
        <v>16.0</v>
      </c>
    </row>
    <row r="245" ht="15.75" customHeight="1">
      <c r="A245" s="7" t="str">
        <f>IFERROR(__xludf.DUMMYFUNCTION("""COMPUTED_VALUE"""),"(정)함동근0706")</f>
        <v>(정)함동근0706</v>
      </c>
      <c r="B245" s="7">
        <v>16.0</v>
      </c>
    </row>
    <row r="246" ht="15.75" customHeight="1">
      <c r="A246" s="7" t="str">
        <f>IFERROR(__xludf.DUMMYFUNCTION("""COMPUTED_VALUE"""),"(정)황승우8942")</f>
        <v>(정)황승우8942</v>
      </c>
      <c r="B246" s="7">
        <v>16.0</v>
      </c>
    </row>
    <row r="247" ht="15.75" customHeight="1">
      <c r="A247" s="7" t="str">
        <f>IFERROR(__xludf.DUMMYFUNCTION("""COMPUTED_VALUE"""),"(케)강서윤2790")</f>
        <v>(케)강서윤2790</v>
      </c>
      <c r="B247" s="7">
        <v>16.0</v>
      </c>
    </row>
    <row r="248" ht="15.75" customHeight="1">
      <c r="A248" s="7" t="str">
        <f>IFERROR(__xludf.DUMMYFUNCTION("""COMPUTED_VALUE"""),"(케)고소은3136")</f>
        <v>(케)고소은3136</v>
      </c>
      <c r="B248" s="7">
        <v>16.0</v>
      </c>
    </row>
    <row r="249" ht="15.75" customHeight="1">
      <c r="A249" s="7" t="str">
        <f>IFERROR(__xludf.DUMMYFUNCTION("""COMPUTED_VALUE"""),"(케)고유리1925")</f>
        <v>(케)고유리1925</v>
      </c>
      <c r="B249" s="7">
        <v>16.0</v>
      </c>
    </row>
    <row r="250" ht="15.75" customHeight="1">
      <c r="A250" s="7" t="str">
        <f>IFERROR(__xludf.DUMMYFUNCTION("""COMPUTED_VALUE"""),"(케)김나현3679")</f>
        <v>(케)김나현3679</v>
      </c>
      <c r="B250" s="7">
        <v>16.0</v>
      </c>
    </row>
    <row r="251" ht="15.75" customHeight="1">
      <c r="A251" s="7" t="str">
        <f>IFERROR(__xludf.DUMMYFUNCTION("""COMPUTED_VALUE"""),"(케)김수겸3336")</f>
        <v>(케)김수겸3336</v>
      </c>
      <c r="B251" s="7">
        <v>16.0</v>
      </c>
    </row>
    <row r="252" ht="15.75" customHeight="1">
      <c r="A252" s="7" t="str">
        <f>IFERROR(__xludf.DUMMYFUNCTION("""COMPUTED_VALUE"""),"(케)김연우5469")</f>
        <v>(케)김연우5469</v>
      </c>
      <c r="B252" s="7">
        <v>16.0</v>
      </c>
    </row>
    <row r="253" ht="15.75" customHeight="1">
      <c r="A253" s="7" t="str">
        <f>IFERROR(__xludf.DUMMYFUNCTION("""COMPUTED_VALUE"""),"(케)김예지5681")</f>
        <v>(케)김예지5681</v>
      </c>
      <c r="B253" s="7">
        <v>16.0</v>
      </c>
    </row>
    <row r="254" ht="15.75" customHeight="1">
      <c r="A254" s="7" t="str">
        <f>IFERROR(__xludf.DUMMYFUNCTION("""COMPUTED_VALUE"""),"(케)김윤서0662")</f>
        <v>(케)김윤서0662</v>
      </c>
      <c r="B254" s="7">
        <v>16.0</v>
      </c>
    </row>
    <row r="255" ht="15.75" customHeight="1">
      <c r="A255" s="7" t="str">
        <f>IFERROR(__xludf.DUMMYFUNCTION("""COMPUTED_VALUE"""),"(케)김지아4708")</f>
        <v>(케)김지아4708</v>
      </c>
      <c r="B255" s="7">
        <v>16.0</v>
      </c>
    </row>
    <row r="256" ht="15.75" customHeight="1">
      <c r="A256" s="7" t="str">
        <f>IFERROR(__xludf.DUMMYFUNCTION("""COMPUTED_VALUE"""),"(케)김지우4639")</f>
        <v>(케)김지우4639</v>
      </c>
      <c r="B256" s="7">
        <v>16.0</v>
      </c>
    </row>
    <row r="257" ht="15.75" customHeight="1">
      <c r="A257" s="7" t="str">
        <f>IFERROR(__xludf.DUMMYFUNCTION("""COMPUTED_VALUE"""),"(케)김해솔1244")</f>
        <v>(케)김해솔1244</v>
      </c>
      <c r="B257" s="7">
        <v>16.0</v>
      </c>
    </row>
    <row r="258" ht="15.75" customHeight="1">
      <c r="A258" s="7" t="str">
        <f>IFERROR(__xludf.DUMMYFUNCTION("""COMPUTED_VALUE"""),"(케)박민주9228")</f>
        <v>(케)박민주9228</v>
      </c>
      <c r="B258" s="7">
        <v>16.0</v>
      </c>
    </row>
    <row r="259" ht="15.75" customHeight="1">
      <c r="A259" s="7" t="str">
        <f>IFERROR(__xludf.DUMMYFUNCTION("""COMPUTED_VALUE"""),"(케)박지현0096")</f>
        <v>(케)박지현0096</v>
      </c>
      <c r="B259" s="7">
        <v>16.0</v>
      </c>
    </row>
    <row r="260" ht="15.75" customHeight="1">
      <c r="A260" s="7" t="str">
        <f>IFERROR(__xludf.DUMMYFUNCTION("""COMPUTED_VALUE"""),"(케)박채연6575")</f>
        <v>(케)박채연6575</v>
      </c>
      <c r="B260" s="7">
        <v>16.0</v>
      </c>
    </row>
    <row r="261" ht="15.75" customHeight="1">
      <c r="A261" s="7" t="str">
        <f>IFERROR(__xludf.DUMMYFUNCTION("""COMPUTED_VALUE"""),"(케)서하윤3457")</f>
        <v>(케)서하윤3457</v>
      </c>
      <c r="B261" s="7">
        <v>16.0</v>
      </c>
    </row>
    <row r="262" ht="15.75" customHeight="1">
      <c r="A262" s="7" t="str">
        <f>IFERROR(__xludf.DUMMYFUNCTION("""COMPUTED_VALUE"""),"(케)신윤지9575")</f>
        <v>(케)신윤지9575</v>
      </c>
      <c r="B262" s="7">
        <v>16.0</v>
      </c>
    </row>
    <row r="263" ht="15.75" customHeight="1">
      <c r="A263" s="7" t="str">
        <f>IFERROR(__xludf.DUMMYFUNCTION("""COMPUTED_VALUE"""),"(케)안시현8180")</f>
        <v>(케)안시현8180</v>
      </c>
      <c r="B263" s="7">
        <v>16.0</v>
      </c>
    </row>
    <row r="264" ht="15.75" customHeight="1">
      <c r="A264" s="7" t="str">
        <f>IFERROR(__xludf.DUMMYFUNCTION("""COMPUTED_VALUE"""),"(케)안예진2911")</f>
        <v>(케)안예진2911</v>
      </c>
      <c r="B264" s="7">
        <v>16.0</v>
      </c>
    </row>
    <row r="265" ht="15.75" customHeight="1">
      <c r="A265" s="7" t="str">
        <f>IFERROR(__xludf.DUMMYFUNCTION("""COMPUTED_VALUE"""),"(케)이윤진2108")</f>
        <v>(케)이윤진2108</v>
      </c>
      <c r="B265" s="7">
        <v>16.0</v>
      </c>
    </row>
    <row r="266" ht="15.75" customHeight="1">
      <c r="A266" s="7" t="str">
        <f>IFERROR(__xludf.DUMMYFUNCTION("""COMPUTED_VALUE"""),"(케)주지민5159")</f>
        <v>(케)주지민5159</v>
      </c>
      <c r="B266" s="7">
        <v>16.0</v>
      </c>
    </row>
    <row r="267" ht="15.75" customHeight="1">
      <c r="A267" s="7" t="str">
        <f>IFERROR(__xludf.DUMMYFUNCTION("""COMPUTED_VALUE"""),"(케)최정민5304")</f>
        <v>(케)최정민5304</v>
      </c>
      <c r="B267" s="7">
        <v>16.0</v>
      </c>
    </row>
    <row r="268" ht="15.75" customHeight="1">
      <c r="A268" s="7" t="str">
        <f>IFERROR(__xludf.DUMMYFUNCTION("""COMPUTED_VALUE"""),"(케)현세영7821")</f>
        <v>(케)현세영7821</v>
      </c>
      <c r="B268" s="7">
        <v>16.0</v>
      </c>
    </row>
    <row r="269" ht="15.75" customHeight="1">
      <c r="A269" s="7" t="str">
        <f>IFERROR(__xludf.DUMMYFUNCTION("""COMPUTED_VALUE"""),"(케)홍지우1873")</f>
        <v>(케)홍지우1873</v>
      </c>
      <c r="B269" s="7">
        <v>16.0</v>
      </c>
    </row>
    <row r="270" ht="15.75" customHeight="1">
      <c r="A270" s="7" t="str">
        <f>IFERROR(__xludf.DUMMYFUNCTION("""COMPUTED_VALUE"""),"(태)김서원8421")</f>
        <v>(태)김서원8421</v>
      </c>
      <c r="B270" s="7">
        <v>16.0</v>
      </c>
    </row>
    <row r="271" ht="15.75" customHeight="1">
      <c r="A271" s="7" t="str">
        <f>IFERROR(__xludf.DUMMYFUNCTION("""COMPUTED_VALUE"""),"(훼)김기범3977")</f>
        <v>(훼)김기범3977</v>
      </c>
      <c r="B271" s="7">
        <v>16.0</v>
      </c>
    </row>
    <row r="272" ht="15.75" customHeight="1">
      <c r="A272" s="7" t="str">
        <f>IFERROR(__xludf.DUMMYFUNCTION("""COMPUTED_VALUE"""),"(훼)김민재1454")</f>
        <v>(훼)김민재1454</v>
      </c>
      <c r="B272" s="7">
        <v>16.0</v>
      </c>
    </row>
    <row r="273" ht="15.75" customHeight="1">
      <c r="A273" s="7" t="str">
        <f>IFERROR(__xludf.DUMMYFUNCTION("""COMPUTED_VALUE"""),"(훼)김정주0500")</f>
        <v>(훼)김정주0500</v>
      </c>
      <c r="B273" s="7">
        <v>16.0</v>
      </c>
    </row>
    <row r="274" ht="15.75" customHeight="1">
      <c r="A274" s="7" t="str">
        <f>IFERROR(__xludf.DUMMYFUNCTION("""COMPUTED_VALUE"""),"(훼)김지환1228")</f>
        <v>(훼)김지환1228</v>
      </c>
      <c r="B274" s="7">
        <v>16.0</v>
      </c>
    </row>
    <row r="275" ht="15.75" customHeight="1">
      <c r="A275" s="7" t="str">
        <f>IFERROR(__xludf.DUMMYFUNCTION("""COMPUTED_VALUE"""),"(훼)문성빈6175")</f>
        <v>(훼)문성빈6175</v>
      </c>
      <c r="B275" s="7">
        <v>16.0</v>
      </c>
    </row>
    <row r="276" ht="15.75" customHeight="1">
      <c r="A276" s="7" t="str">
        <f>IFERROR(__xludf.DUMMYFUNCTION("""COMPUTED_VALUE"""),"(훼)서태민1520")</f>
        <v>(훼)서태민1520</v>
      </c>
      <c r="B276" s="7">
        <v>16.0</v>
      </c>
    </row>
    <row r="277" ht="15.75" customHeight="1">
      <c r="A277" s="7" t="str">
        <f>IFERROR(__xludf.DUMMYFUNCTION("""COMPUTED_VALUE"""),"(훼)신진수8426")</f>
        <v>(훼)신진수8426</v>
      </c>
      <c r="B277" s="7">
        <v>16.0</v>
      </c>
    </row>
    <row r="278" ht="15.75" customHeight="1">
      <c r="A278" s="7" t="str">
        <f>IFERROR(__xludf.DUMMYFUNCTION("""COMPUTED_VALUE"""),"(훼)이강토7493")</f>
        <v>(훼)이강토7493</v>
      </c>
      <c r="B278" s="7">
        <v>16.0</v>
      </c>
    </row>
    <row r="279" ht="15.75" customHeight="1">
      <c r="A279" s="7" t="str">
        <f>IFERROR(__xludf.DUMMYFUNCTION("""COMPUTED_VALUE"""),"(훼)이건욱3659")</f>
        <v>(훼)이건욱3659</v>
      </c>
      <c r="B279" s="7">
        <v>16.0</v>
      </c>
    </row>
    <row r="280" ht="15.75" customHeight="1">
      <c r="A280" s="7" t="str">
        <f>IFERROR(__xludf.DUMMYFUNCTION("""COMPUTED_VALUE"""),"(훼)이민재2779")</f>
        <v>(훼)이민재2779</v>
      </c>
      <c r="B280" s="7">
        <v>16.0</v>
      </c>
    </row>
    <row r="281" ht="15.75" customHeight="1">
      <c r="A281" s="7" t="str">
        <f>IFERROR(__xludf.DUMMYFUNCTION("""COMPUTED_VALUE"""),"(훼)이서준6562")</f>
        <v>(훼)이서준6562</v>
      </c>
      <c r="B281" s="7">
        <v>16.0</v>
      </c>
    </row>
    <row r="282" ht="15.75" customHeight="1">
      <c r="A282" s="7" t="str">
        <f>IFERROR(__xludf.DUMMYFUNCTION("""COMPUTED_VALUE"""),"(훼)이홍석4338")</f>
        <v>(훼)이홍석4338</v>
      </c>
      <c r="B282" s="7">
        <v>16.0</v>
      </c>
    </row>
    <row r="283" ht="15.75" customHeight="1">
      <c r="A283" s="7" t="str">
        <f>IFERROR(__xludf.DUMMYFUNCTION("""COMPUTED_VALUE"""),"(훼)임여준7908")</f>
        <v>(훼)임여준7908</v>
      </c>
      <c r="B283" s="7">
        <v>16.0</v>
      </c>
    </row>
    <row r="284" ht="15.75" customHeight="1">
      <c r="A284" s="7" t="str">
        <f>IFERROR(__xludf.DUMMYFUNCTION("""COMPUTED_VALUE"""),"(훼)조재한3741")</f>
        <v>(훼)조재한3741</v>
      </c>
      <c r="B284" s="7">
        <v>16.0</v>
      </c>
    </row>
    <row r="285" ht="15.75" customHeight="1">
      <c r="A285" s="7" t="str">
        <f>IFERROR(__xludf.DUMMYFUNCTION("""COMPUTED_VALUE"""),"(훼)최정웅0288")</f>
        <v>(훼)최정웅0288</v>
      </c>
      <c r="B285" s="7">
        <v>16.0</v>
      </c>
    </row>
    <row r="286" ht="15.75" customHeight="1">
      <c r="A286" s="7" t="str">
        <f>IFERROR(__xludf.DUMMYFUNCTION("""COMPUTED_VALUE"""),"(훼)최현성5004")</f>
        <v>(훼)최현성5004</v>
      </c>
      <c r="B286" s="7">
        <v>16.0</v>
      </c>
    </row>
    <row r="287" ht="15.75" customHeight="1">
      <c r="A287" s="7" t="str">
        <f>IFERROR(__xludf.DUMMYFUNCTION("""COMPUTED_VALUE"""),"(훼)홍은찬6741")</f>
        <v>(훼)홍은찬6741</v>
      </c>
      <c r="B287" s="7">
        <v>16.0</v>
      </c>
    </row>
    <row r="288" ht="15.75" customHeight="1">
      <c r="A288" s="7" t="str">
        <f>IFERROR(__xludf.DUMMYFUNCTION("""COMPUTED_VALUE"""),"가상진1900")</f>
        <v>가상진1900</v>
      </c>
      <c r="B288" s="7">
        <v>16.0</v>
      </c>
    </row>
    <row r="289" ht="15.75" customHeight="1">
      <c r="A289" s="7" t="str">
        <f>IFERROR(__xludf.DUMMYFUNCTION("""COMPUTED_VALUE"""),"강문수1110")</f>
        <v>강문수1110</v>
      </c>
      <c r="B289" s="7">
        <v>16.0</v>
      </c>
    </row>
    <row r="290" ht="15.75" customHeight="1">
      <c r="A290" s="7" t="str">
        <f>IFERROR(__xludf.DUMMYFUNCTION("""COMPUTED_VALUE"""),"강선우8939")</f>
        <v>강선우8939</v>
      </c>
      <c r="B290" s="7">
        <v>16.0</v>
      </c>
    </row>
    <row r="291" ht="15.75" customHeight="1">
      <c r="A291" s="7" t="str">
        <f>IFERROR(__xludf.DUMMYFUNCTION("""COMPUTED_VALUE"""),"강유나1771")</f>
        <v>강유나1771</v>
      </c>
      <c r="B291" s="7">
        <v>16.0</v>
      </c>
    </row>
    <row r="292" ht="15.75" customHeight="1">
      <c r="A292" s="7" t="str">
        <f>IFERROR(__xludf.DUMMYFUNCTION("""COMPUTED_VALUE"""),"강유찬8685")</f>
        <v>강유찬8685</v>
      </c>
      <c r="B292" s="7">
        <v>2.0</v>
      </c>
    </row>
    <row r="293" ht="15.75" customHeight="1">
      <c r="A293" s="7" t="str">
        <f>IFERROR(__xludf.DUMMYFUNCTION("""COMPUTED_VALUE"""),"강윤하9251")</f>
        <v>강윤하9251</v>
      </c>
      <c r="B293" s="7">
        <v>16.0</v>
      </c>
    </row>
    <row r="294" ht="15.75" customHeight="1">
      <c r="A294" s="7" t="str">
        <f>IFERROR(__xludf.DUMMYFUNCTION("""COMPUTED_VALUE"""),"강태우7482")</f>
        <v>강태우7482</v>
      </c>
      <c r="B294" s="7">
        <v>16.0</v>
      </c>
    </row>
    <row r="295" ht="15.75" customHeight="1">
      <c r="A295" s="7" t="str">
        <f>IFERROR(__xludf.DUMMYFUNCTION("""COMPUTED_VALUE"""),"강태윤6674")</f>
        <v>강태윤6674</v>
      </c>
      <c r="B295" s="7">
        <v>16.0</v>
      </c>
    </row>
    <row r="296" ht="15.75" customHeight="1">
      <c r="A296" s="7" t="str">
        <f>IFERROR(__xludf.DUMMYFUNCTION("""COMPUTED_VALUE"""),"강혜나4122")</f>
        <v>강혜나4122</v>
      </c>
      <c r="B296" s="7">
        <v>16.0</v>
      </c>
    </row>
    <row r="297" ht="15.75" customHeight="1">
      <c r="A297" s="7" t="str">
        <f>IFERROR(__xludf.DUMMYFUNCTION("""COMPUTED_VALUE"""),"고도형8660")</f>
        <v>고도형8660</v>
      </c>
      <c r="B297" s="7">
        <v>16.0</v>
      </c>
    </row>
    <row r="298" ht="15.75" customHeight="1">
      <c r="A298" s="7" t="str">
        <f>IFERROR(__xludf.DUMMYFUNCTION("""COMPUTED_VALUE"""),"고윤서2515")</f>
        <v>고윤서2515</v>
      </c>
      <c r="B298" s="7">
        <v>11.0</v>
      </c>
    </row>
    <row r="299" ht="15.75" customHeight="1">
      <c r="A299" s="7" t="str">
        <f>IFERROR(__xludf.DUMMYFUNCTION("""COMPUTED_VALUE"""),"고은세3274")</f>
        <v>고은세3274</v>
      </c>
      <c r="B299" s="7">
        <v>16.0</v>
      </c>
    </row>
    <row r="300" ht="15.75" customHeight="1">
      <c r="A300" s="7" t="str">
        <f>IFERROR(__xludf.DUMMYFUNCTION("""COMPUTED_VALUE"""),"고준형2978")</f>
        <v>고준형2978</v>
      </c>
      <c r="B300" s="7">
        <v>16.0</v>
      </c>
    </row>
    <row r="301" ht="15.75" customHeight="1">
      <c r="A301" s="7" t="str">
        <f>IFERROR(__xludf.DUMMYFUNCTION("""COMPUTED_VALUE"""),"곽경훈7725")</f>
        <v>곽경훈7725</v>
      </c>
      <c r="B301" s="7">
        <v>16.0</v>
      </c>
    </row>
    <row r="302" ht="15.75" customHeight="1">
      <c r="A302" s="7" t="str">
        <f>IFERROR(__xludf.DUMMYFUNCTION("""COMPUTED_VALUE"""),"곽은서0979")</f>
        <v>곽은서0979</v>
      </c>
      <c r="B302" s="7">
        <v>16.0</v>
      </c>
    </row>
    <row r="303" ht="15.75" customHeight="1">
      <c r="A303" s="7" t="str">
        <f>IFERROR(__xludf.DUMMYFUNCTION("""COMPUTED_VALUE"""),"구현준6401")</f>
        <v>구현준6401</v>
      </c>
      <c r="B303" s="7">
        <v>16.0</v>
      </c>
    </row>
    <row r="304" ht="15.75" customHeight="1">
      <c r="A304" s="7" t="str">
        <f>IFERROR(__xludf.DUMMYFUNCTION("""COMPUTED_VALUE"""),"권나영4759")</f>
        <v>권나영4759</v>
      </c>
      <c r="B304" s="7">
        <v>16.0</v>
      </c>
    </row>
    <row r="305" ht="15.75" customHeight="1">
      <c r="A305" s="7" t="str">
        <f>IFERROR(__xludf.DUMMYFUNCTION("""COMPUTED_VALUE"""),"권민서2837")</f>
        <v>권민서2837</v>
      </c>
      <c r="B305" s="7">
        <v>16.0</v>
      </c>
    </row>
    <row r="306" ht="15.75" customHeight="1">
      <c r="A306" s="7" t="str">
        <f>IFERROR(__xludf.DUMMYFUNCTION("""COMPUTED_VALUE"""),"권순혁5285")</f>
        <v>권순혁5285</v>
      </c>
      <c r="B306" s="7">
        <v>16.0</v>
      </c>
    </row>
    <row r="307" ht="15.75" customHeight="1">
      <c r="A307" s="7" t="str">
        <f>IFERROR(__xludf.DUMMYFUNCTION("""COMPUTED_VALUE"""),"권준서2897")</f>
        <v>권준서2897</v>
      </c>
      <c r="B307" s="7">
        <v>16.0</v>
      </c>
    </row>
    <row r="308" ht="15.75" customHeight="1">
      <c r="A308" s="7" t="str">
        <f>IFERROR(__xludf.DUMMYFUNCTION("""COMPUTED_VALUE"""),"권혁안8539")</f>
        <v>권혁안8539</v>
      </c>
      <c r="B308" s="7">
        <v>16.0</v>
      </c>
    </row>
    <row r="309" ht="15.75" customHeight="1">
      <c r="A309" s="7" t="str">
        <f>IFERROR(__xludf.DUMMYFUNCTION("""COMPUTED_VALUE"""),"길도균0611")</f>
        <v>길도균0611</v>
      </c>
      <c r="B309" s="7">
        <v>16.0</v>
      </c>
    </row>
    <row r="310" ht="15.75" customHeight="1">
      <c r="A310" s="7" t="str">
        <f>IFERROR(__xludf.DUMMYFUNCTION("""COMPUTED_VALUE"""),"김가현4206")</f>
        <v>김가현4206</v>
      </c>
      <c r="B310" s="7">
        <v>16.0</v>
      </c>
    </row>
    <row r="311" ht="15.75" customHeight="1">
      <c r="A311" s="7" t="str">
        <f>IFERROR(__xludf.DUMMYFUNCTION("""COMPUTED_VALUE"""),"김건우1354")</f>
        <v>김건우1354</v>
      </c>
      <c r="B311" s="7">
        <v>16.0</v>
      </c>
    </row>
    <row r="312" ht="15.75" customHeight="1">
      <c r="A312" s="7" t="str">
        <f>IFERROR(__xludf.DUMMYFUNCTION("""COMPUTED_VALUE"""),"김기완9575")</f>
        <v>김기완9575</v>
      </c>
      <c r="B312" s="7">
        <v>15.0</v>
      </c>
    </row>
    <row r="313" ht="15.75" customHeight="1">
      <c r="A313" s="7" t="str">
        <f>IFERROR(__xludf.DUMMYFUNCTION("""COMPUTED_VALUE"""),"김나예2196")</f>
        <v>김나예2196</v>
      </c>
      <c r="B313" s="7">
        <v>16.0</v>
      </c>
    </row>
    <row r="314" ht="15.75" customHeight="1">
      <c r="A314" s="7" t="str">
        <f>IFERROR(__xludf.DUMMYFUNCTION("""COMPUTED_VALUE"""),"김나은0227")</f>
        <v>김나은0227</v>
      </c>
      <c r="B314" s="7">
        <v>16.0</v>
      </c>
    </row>
    <row r="315" ht="15.75" customHeight="1">
      <c r="A315" s="7" t="str">
        <f>IFERROR(__xludf.DUMMYFUNCTION("""COMPUTED_VALUE"""),"김나현7522")</f>
        <v>김나현7522</v>
      </c>
      <c r="B315" s="7">
        <v>16.0</v>
      </c>
    </row>
    <row r="316" ht="15.75" customHeight="1">
      <c r="A316" s="7" t="str">
        <f>IFERROR(__xludf.DUMMYFUNCTION("""COMPUTED_VALUE"""),"김도연2260")</f>
        <v>김도연2260</v>
      </c>
      <c r="B316" s="7">
        <v>16.0</v>
      </c>
    </row>
    <row r="317" ht="15.75" customHeight="1">
      <c r="A317" s="7" t="str">
        <f>IFERROR(__xludf.DUMMYFUNCTION("""COMPUTED_VALUE"""),"김도윤6461")</f>
        <v>김도윤6461</v>
      </c>
      <c r="B317" s="7">
        <v>16.0</v>
      </c>
    </row>
    <row r="318" ht="15.75" customHeight="1">
      <c r="A318" s="7" t="str">
        <f>IFERROR(__xludf.DUMMYFUNCTION("""COMPUTED_VALUE"""),"김도형7747")</f>
        <v>김도형7747</v>
      </c>
      <c r="B318" s="7">
        <v>2.0</v>
      </c>
    </row>
    <row r="319" ht="15.75" customHeight="1">
      <c r="A319" s="7" t="str">
        <f>IFERROR(__xludf.DUMMYFUNCTION("""COMPUTED_VALUE"""),"김동원5180")</f>
        <v>김동원5180</v>
      </c>
      <c r="B319" s="7">
        <v>16.0</v>
      </c>
    </row>
    <row r="320" ht="15.75" customHeight="1">
      <c r="A320" s="7" t="str">
        <f>IFERROR(__xludf.DUMMYFUNCTION("""COMPUTED_VALUE"""),"김민서3076")</f>
        <v>김민서3076</v>
      </c>
      <c r="B320" s="7">
        <v>16.0</v>
      </c>
    </row>
    <row r="321" ht="15.75" customHeight="1">
      <c r="A321" s="7" t="str">
        <f>IFERROR(__xludf.DUMMYFUNCTION("""COMPUTED_VALUE"""),"김민서9396")</f>
        <v>김민서9396</v>
      </c>
      <c r="B321" s="7">
        <v>16.0</v>
      </c>
    </row>
    <row r="322" ht="15.75" customHeight="1">
      <c r="A322" s="7" t="str">
        <f>IFERROR(__xludf.DUMMYFUNCTION("""COMPUTED_VALUE"""),"김민성6589")</f>
        <v>김민성6589</v>
      </c>
      <c r="B322" s="7">
        <v>16.0</v>
      </c>
    </row>
    <row r="323" ht="15.75" customHeight="1">
      <c r="A323" s="7" t="str">
        <f>IFERROR(__xludf.DUMMYFUNCTION("""COMPUTED_VALUE"""),"김민재2285")</f>
        <v>김민재2285</v>
      </c>
      <c r="B323" s="7">
        <v>16.0</v>
      </c>
    </row>
    <row r="324" ht="15.75" customHeight="1">
      <c r="A324" s="7" t="str">
        <f>IFERROR(__xludf.DUMMYFUNCTION("""COMPUTED_VALUE"""),"김민재3830")</f>
        <v>김민재3830</v>
      </c>
      <c r="B324" s="7">
        <v>16.0</v>
      </c>
    </row>
    <row r="325" ht="15.75" customHeight="1">
      <c r="A325" s="7" t="str">
        <f>IFERROR(__xludf.DUMMYFUNCTION("""COMPUTED_VALUE"""),"김민주0500")</f>
        <v>김민주0500</v>
      </c>
      <c r="B325" s="7">
        <v>16.0</v>
      </c>
    </row>
    <row r="326" ht="15.75" customHeight="1">
      <c r="A326" s="7" t="str">
        <f>IFERROR(__xludf.DUMMYFUNCTION("""COMPUTED_VALUE"""),"김민지8293")</f>
        <v>김민지8293</v>
      </c>
      <c r="B326" s="7">
        <v>16.0</v>
      </c>
    </row>
    <row r="327" ht="15.75" customHeight="1">
      <c r="A327" s="7" t="str">
        <f>IFERROR(__xludf.DUMMYFUNCTION("""COMPUTED_VALUE"""),"김민채3110")</f>
        <v>김민채3110</v>
      </c>
      <c r="B327" s="7">
        <v>16.0</v>
      </c>
    </row>
    <row r="328" ht="15.75" customHeight="1">
      <c r="A328" s="7" t="str">
        <f>IFERROR(__xludf.DUMMYFUNCTION("""COMPUTED_VALUE"""),"김보민0654")</f>
        <v>김보민0654</v>
      </c>
      <c r="B328" s="7">
        <v>16.0</v>
      </c>
    </row>
    <row r="329" ht="15.75" customHeight="1">
      <c r="A329" s="7" t="str">
        <f>IFERROR(__xludf.DUMMYFUNCTION("""COMPUTED_VALUE"""),"김서우9330")</f>
        <v>김서우9330</v>
      </c>
      <c r="B329" s="7">
        <v>16.0</v>
      </c>
    </row>
    <row r="330" ht="15.75" customHeight="1">
      <c r="A330" s="7" t="str">
        <f>IFERROR(__xludf.DUMMYFUNCTION("""COMPUTED_VALUE"""),"김서진0829")</f>
        <v>김서진0829</v>
      </c>
      <c r="B330" s="7">
        <v>16.0</v>
      </c>
    </row>
    <row r="331" ht="15.75" customHeight="1">
      <c r="A331" s="7" t="str">
        <f>IFERROR(__xludf.DUMMYFUNCTION("""COMPUTED_VALUE"""),"김석현2234")</f>
        <v>김석현2234</v>
      </c>
      <c r="B331" s="7">
        <v>14.0</v>
      </c>
    </row>
    <row r="332" ht="15.75" customHeight="1">
      <c r="A332" s="7" t="str">
        <f>IFERROR(__xludf.DUMMYFUNCTION("""COMPUTED_VALUE"""),"김선민4296")</f>
        <v>김선민4296</v>
      </c>
      <c r="B332" s="7">
        <v>14.0</v>
      </c>
    </row>
    <row r="333" ht="15.75" customHeight="1">
      <c r="A333" s="7" t="str">
        <f>IFERROR(__xludf.DUMMYFUNCTION("""COMPUTED_VALUE"""),"김성재4251")</f>
        <v>김성재4251</v>
      </c>
      <c r="B333" s="7">
        <v>16.0</v>
      </c>
    </row>
    <row r="334" ht="15.75" customHeight="1">
      <c r="A334" s="7" t="str">
        <f>IFERROR(__xludf.DUMMYFUNCTION("""COMPUTED_VALUE"""),"김세은0191")</f>
        <v>김세은0191</v>
      </c>
      <c r="B334" s="7">
        <v>16.0</v>
      </c>
    </row>
    <row r="335" ht="15.75" customHeight="1">
      <c r="A335" s="7" t="str">
        <f>IFERROR(__xludf.DUMMYFUNCTION("""COMPUTED_VALUE"""),"김소민1420")</f>
        <v>김소민1420</v>
      </c>
      <c r="B335" s="7">
        <v>16.0</v>
      </c>
    </row>
    <row r="336" ht="15.75" customHeight="1">
      <c r="A336" s="7" t="str">
        <f>IFERROR(__xludf.DUMMYFUNCTION("""COMPUTED_VALUE"""),"김수린2998")</f>
        <v>김수린2998</v>
      </c>
      <c r="B336" s="7">
        <v>16.0</v>
      </c>
    </row>
    <row r="337" ht="15.75" customHeight="1">
      <c r="A337" s="7" t="str">
        <f>IFERROR(__xludf.DUMMYFUNCTION("""COMPUTED_VALUE"""),"김수민6691")</f>
        <v>김수민6691</v>
      </c>
      <c r="B337" s="7">
        <v>16.0</v>
      </c>
    </row>
    <row r="338" ht="15.75" customHeight="1">
      <c r="A338" s="7" t="str">
        <f>IFERROR(__xludf.DUMMYFUNCTION("""COMPUTED_VALUE"""),"김수은3364")</f>
        <v>김수은3364</v>
      </c>
      <c r="B338" s="7">
        <v>16.0</v>
      </c>
    </row>
    <row r="339" ht="15.75" customHeight="1">
      <c r="A339" s="7" t="str">
        <f>IFERROR(__xludf.DUMMYFUNCTION("""COMPUTED_VALUE"""),"김수진5779")</f>
        <v>김수진5779</v>
      </c>
      <c r="B339" s="7">
        <v>16.0</v>
      </c>
    </row>
    <row r="340" ht="15.75" customHeight="1">
      <c r="A340" s="7" t="str">
        <f>IFERROR(__xludf.DUMMYFUNCTION("""COMPUTED_VALUE"""),"김승우9086")</f>
        <v>김승우9086</v>
      </c>
      <c r="B340" s="7">
        <v>16.0</v>
      </c>
    </row>
    <row r="341" ht="15.75" customHeight="1">
      <c r="A341" s="7" t="str">
        <f>IFERROR(__xludf.DUMMYFUNCTION("""COMPUTED_VALUE"""),"김시현3545")</f>
        <v>김시현3545</v>
      </c>
      <c r="B341" s="7">
        <v>16.0</v>
      </c>
    </row>
    <row r="342" ht="15.75" customHeight="1">
      <c r="A342" s="7" t="str">
        <f>IFERROR(__xludf.DUMMYFUNCTION("""COMPUTED_VALUE"""),"김시현7518")</f>
        <v>김시현7518</v>
      </c>
      <c r="B342" s="7">
        <v>16.0</v>
      </c>
    </row>
    <row r="343" ht="15.75" customHeight="1">
      <c r="A343" s="7" t="str">
        <f>IFERROR(__xludf.DUMMYFUNCTION("""COMPUTED_VALUE"""),"김아현2812")</f>
        <v>김아현2812</v>
      </c>
      <c r="B343" s="7">
        <v>2.0</v>
      </c>
    </row>
    <row r="344" ht="15.75" customHeight="1">
      <c r="A344" s="7" t="str">
        <f>IFERROR(__xludf.DUMMYFUNCTION("""COMPUTED_VALUE"""),"김영준6659")</f>
        <v>김영준6659</v>
      </c>
      <c r="B344" s="7">
        <v>16.0</v>
      </c>
    </row>
    <row r="345" ht="15.75" customHeight="1">
      <c r="A345" s="7" t="str">
        <f>IFERROR(__xludf.DUMMYFUNCTION("""COMPUTED_VALUE"""),"김영훈1190")</f>
        <v>김영훈1190</v>
      </c>
      <c r="B345" s="7">
        <v>16.0</v>
      </c>
    </row>
    <row r="346" ht="15.75" customHeight="1">
      <c r="A346" s="7" t="str">
        <f>IFERROR(__xludf.DUMMYFUNCTION("""COMPUTED_VALUE"""),"김예론4700")</f>
        <v>김예론4700</v>
      </c>
      <c r="B346" s="7">
        <v>16.0</v>
      </c>
    </row>
    <row r="347" ht="15.75" customHeight="1">
      <c r="A347" s="7" t="str">
        <f>IFERROR(__xludf.DUMMYFUNCTION("""COMPUTED_VALUE"""),"김예인7578")</f>
        <v>김예인7578</v>
      </c>
      <c r="B347" s="7">
        <v>16.0</v>
      </c>
    </row>
    <row r="348" ht="15.75" customHeight="1">
      <c r="A348" s="7" t="str">
        <f>IFERROR(__xludf.DUMMYFUNCTION("""COMPUTED_VALUE"""),"김용진3511")</f>
        <v>김용진3511</v>
      </c>
      <c r="B348" s="7">
        <v>16.0</v>
      </c>
    </row>
    <row r="349" ht="15.75" customHeight="1">
      <c r="A349" s="7" t="str">
        <f>IFERROR(__xludf.DUMMYFUNCTION("""COMPUTED_VALUE"""),"김우민6105")</f>
        <v>김우민6105</v>
      </c>
      <c r="B349" s="7">
        <v>16.0</v>
      </c>
    </row>
    <row r="350" ht="15.75" customHeight="1">
      <c r="A350" s="7" t="str">
        <f>IFERROR(__xludf.DUMMYFUNCTION("""COMPUTED_VALUE"""),"김원우4548")</f>
        <v>김원우4548</v>
      </c>
      <c r="B350" s="7">
        <v>16.0</v>
      </c>
    </row>
    <row r="351" ht="15.75" customHeight="1">
      <c r="A351" s="7" t="str">
        <f>IFERROR(__xludf.DUMMYFUNCTION("""COMPUTED_VALUE"""),"김윤도6830")</f>
        <v>김윤도6830</v>
      </c>
      <c r="B351" s="7">
        <v>16.0</v>
      </c>
    </row>
    <row r="352" ht="15.75" customHeight="1">
      <c r="A352" s="7" t="str">
        <f>IFERROR(__xludf.DUMMYFUNCTION("""COMPUTED_VALUE"""),"김은우9416")</f>
        <v>김은우9416</v>
      </c>
      <c r="B352" s="7">
        <v>16.0</v>
      </c>
    </row>
    <row r="353" ht="15.75" customHeight="1">
      <c r="A353" s="7" t="str">
        <f>IFERROR(__xludf.DUMMYFUNCTION("""COMPUTED_VALUE"""),"김은재4621")</f>
        <v>김은재4621</v>
      </c>
      <c r="B353" s="7">
        <v>16.0</v>
      </c>
    </row>
    <row r="354" ht="15.75" customHeight="1">
      <c r="A354" s="7" t="str">
        <f>IFERROR(__xludf.DUMMYFUNCTION("""COMPUTED_VALUE"""),"김의동9605")</f>
        <v>김의동9605</v>
      </c>
      <c r="B354" s="7">
        <v>16.0</v>
      </c>
    </row>
    <row r="355" ht="15.75" customHeight="1">
      <c r="A355" s="7" t="str">
        <f>IFERROR(__xludf.DUMMYFUNCTION("""COMPUTED_VALUE"""),"김재이4296")</f>
        <v>김재이4296</v>
      </c>
      <c r="B355" s="7">
        <v>2.0</v>
      </c>
    </row>
    <row r="356" ht="15.75" customHeight="1">
      <c r="A356" s="7" t="str">
        <f>IFERROR(__xludf.DUMMYFUNCTION("""COMPUTED_VALUE"""),"김재현5675")</f>
        <v>김재현5675</v>
      </c>
      <c r="B356" s="7">
        <v>16.0</v>
      </c>
    </row>
    <row r="357" ht="15.75" customHeight="1">
      <c r="A357" s="7" t="str">
        <f>IFERROR(__xludf.DUMMYFUNCTION("""COMPUTED_VALUE"""),"김재호3975")</f>
        <v>김재호3975</v>
      </c>
      <c r="B357" s="7">
        <v>16.0</v>
      </c>
    </row>
    <row r="358" ht="15.75" customHeight="1">
      <c r="A358" s="7" t="str">
        <f>IFERROR(__xludf.DUMMYFUNCTION("""COMPUTED_VALUE"""),"김정욱0621")</f>
        <v>김정욱0621</v>
      </c>
      <c r="B358" s="7">
        <v>16.0</v>
      </c>
    </row>
    <row r="359" ht="15.75" customHeight="1">
      <c r="A359" s="7" t="str">
        <f>IFERROR(__xludf.DUMMYFUNCTION("""COMPUTED_VALUE"""),"김정윤1749")</f>
        <v>김정윤1749</v>
      </c>
      <c r="B359" s="7">
        <v>16.0</v>
      </c>
    </row>
    <row r="360" ht="15.75" customHeight="1">
      <c r="A360" s="7" t="str">
        <f>IFERROR(__xludf.DUMMYFUNCTION("""COMPUTED_VALUE"""),"김정윤3180")</f>
        <v>김정윤3180</v>
      </c>
      <c r="B360" s="7">
        <v>16.0</v>
      </c>
    </row>
    <row r="361" ht="15.75" customHeight="1">
      <c r="A361" s="7" t="str">
        <f>IFERROR(__xludf.DUMMYFUNCTION("""COMPUTED_VALUE"""),"김정혁0804")</f>
        <v>김정혁0804</v>
      </c>
      <c r="B361" s="7">
        <v>16.0</v>
      </c>
    </row>
    <row r="362" ht="15.75" customHeight="1">
      <c r="A362" s="7" t="str">
        <f>IFERROR(__xludf.DUMMYFUNCTION("""COMPUTED_VALUE"""),"김정환5212")</f>
        <v>김정환5212</v>
      </c>
      <c r="B362" s="7">
        <v>16.0</v>
      </c>
    </row>
    <row r="363" ht="15.75" customHeight="1">
      <c r="A363" s="7" t="str">
        <f>IFERROR(__xludf.DUMMYFUNCTION("""COMPUTED_VALUE"""),"김주아7472")</f>
        <v>김주아7472</v>
      </c>
      <c r="B363" s="7">
        <v>16.0</v>
      </c>
    </row>
    <row r="364" ht="15.75" customHeight="1">
      <c r="A364" s="7" t="str">
        <f>IFERROR(__xludf.DUMMYFUNCTION("""COMPUTED_VALUE"""),"김주혜7444")</f>
        <v>김주혜7444</v>
      </c>
      <c r="B364" s="7">
        <v>16.0</v>
      </c>
    </row>
    <row r="365" ht="15.75" customHeight="1">
      <c r="A365" s="7" t="str">
        <f>IFERROR(__xludf.DUMMYFUNCTION("""COMPUTED_VALUE"""),"김준서9789")</f>
        <v>김준서9789</v>
      </c>
      <c r="B365" s="7">
        <v>16.0</v>
      </c>
    </row>
    <row r="366" ht="15.75" customHeight="1">
      <c r="A366" s="7" t="str">
        <f>IFERROR(__xludf.DUMMYFUNCTION("""COMPUTED_VALUE"""),"김지민3823")</f>
        <v>김지민3823</v>
      </c>
      <c r="B366" s="7">
        <v>16.0</v>
      </c>
    </row>
    <row r="367" ht="15.75" customHeight="1">
      <c r="A367" s="7" t="str">
        <f>IFERROR(__xludf.DUMMYFUNCTION("""COMPUTED_VALUE"""),"김지민9115")</f>
        <v>김지민9115</v>
      </c>
      <c r="B367" s="7">
        <v>16.0</v>
      </c>
    </row>
    <row r="368" ht="15.75" customHeight="1">
      <c r="A368" s="7" t="str">
        <f>IFERROR(__xludf.DUMMYFUNCTION("""COMPUTED_VALUE"""),"김지성7439")</f>
        <v>김지성7439</v>
      </c>
      <c r="B368" s="7">
        <v>16.0</v>
      </c>
    </row>
    <row r="369" ht="15.75" customHeight="1">
      <c r="A369" s="7" t="str">
        <f>IFERROR(__xludf.DUMMYFUNCTION("""COMPUTED_VALUE"""),"김지안1829")</f>
        <v>김지안1829</v>
      </c>
      <c r="B369" s="7">
        <v>16.0</v>
      </c>
    </row>
    <row r="370" ht="15.75" customHeight="1">
      <c r="A370" s="7" t="str">
        <f>IFERROR(__xludf.DUMMYFUNCTION("""COMPUTED_VALUE"""),"김지원4341")</f>
        <v>김지원4341</v>
      </c>
      <c r="B370" s="7">
        <v>16.0</v>
      </c>
    </row>
    <row r="371" ht="15.75" customHeight="1">
      <c r="A371" s="7" t="str">
        <f>IFERROR(__xludf.DUMMYFUNCTION("""COMPUTED_VALUE"""),"김진아5404")</f>
        <v>김진아5404</v>
      </c>
      <c r="B371" s="7">
        <v>16.0</v>
      </c>
    </row>
    <row r="372" ht="15.75" customHeight="1">
      <c r="A372" s="7" t="str">
        <f>IFERROR(__xludf.DUMMYFUNCTION("""COMPUTED_VALUE"""),"김진영2280")</f>
        <v>김진영2280</v>
      </c>
      <c r="B372" s="7">
        <v>16.0</v>
      </c>
    </row>
    <row r="373" ht="15.75" customHeight="1">
      <c r="A373" s="7" t="str">
        <f>IFERROR(__xludf.DUMMYFUNCTION("""COMPUTED_VALUE"""),"김찬민7093")</f>
        <v>김찬민7093</v>
      </c>
      <c r="B373" s="7">
        <v>16.0</v>
      </c>
    </row>
    <row r="374" ht="15.75" customHeight="1">
      <c r="A374" s="7" t="str">
        <f>IFERROR(__xludf.DUMMYFUNCTION("""COMPUTED_VALUE"""),"김찬수3534")</f>
        <v>김찬수3534</v>
      </c>
      <c r="B374" s="7">
        <v>16.0</v>
      </c>
    </row>
    <row r="375" ht="15.75" customHeight="1">
      <c r="A375" s="7" t="str">
        <f>IFERROR(__xludf.DUMMYFUNCTION("""COMPUTED_VALUE"""),"김태유7024")</f>
        <v>김태유7024</v>
      </c>
      <c r="B375" s="7">
        <v>16.0</v>
      </c>
    </row>
    <row r="376" ht="15.75" customHeight="1">
      <c r="A376" s="7" t="str">
        <f>IFERROR(__xludf.DUMMYFUNCTION("""COMPUTED_VALUE"""),"김태현1355")</f>
        <v>김태현1355</v>
      </c>
      <c r="B376" s="7">
        <v>16.0</v>
      </c>
    </row>
    <row r="377" ht="15.75" customHeight="1">
      <c r="A377" s="7" t="str">
        <f>IFERROR(__xludf.DUMMYFUNCTION("""COMPUTED_VALUE"""),"김태훈7752")</f>
        <v>김태훈7752</v>
      </c>
      <c r="B377" s="7">
        <v>13.0</v>
      </c>
    </row>
    <row r="378" ht="15.75" customHeight="1">
      <c r="A378" s="7" t="str">
        <f>IFERROR(__xludf.DUMMYFUNCTION("""COMPUTED_VALUE"""),"김한솔")</f>
        <v>김한솔</v>
      </c>
      <c r="B378" s="7">
        <v>1.0</v>
      </c>
    </row>
    <row r="379" ht="15.75" customHeight="1">
      <c r="A379" s="7" t="str">
        <f>IFERROR(__xludf.DUMMYFUNCTION("""COMPUTED_VALUE"""),"김현준0347")</f>
        <v>김현준0347</v>
      </c>
      <c r="B379" s="7">
        <v>16.0</v>
      </c>
    </row>
    <row r="380" ht="15.75" customHeight="1">
      <c r="A380" s="7" t="str">
        <f>IFERROR(__xludf.DUMMYFUNCTION("""COMPUTED_VALUE"""),"김혜나0191")</f>
        <v>김혜나0191</v>
      </c>
      <c r="B380" s="7">
        <v>16.0</v>
      </c>
    </row>
    <row r="381" ht="15.75" customHeight="1">
      <c r="A381" s="7" t="str">
        <f>IFERROR(__xludf.DUMMYFUNCTION("""COMPUTED_VALUE"""),"김혜림1886")</f>
        <v>김혜림1886</v>
      </c>
      <c r="B381" s="7">
        <v>16.0</v>
      </c>
    </row>
    <row r="382" ht="15.75" customHeight="1">
      <c r="A382" s="7" t="str">
        <f>IFERROR(__xludf.DUMMYFUNCTION("""COMPUTED_VALUE"""),"김호수0050")</f>
        <v>김호수0050</v>
      </c>
      <c r="B382" s="7">
        <v>16.0</v>
      </c>
    </row>
    <row r="383" ht="15.75" customHeight="1">
      <c r="A383" s="7" t="str">
        <f>IFERROR(__xludf.DUMMYFUNCTION("""COMPUTED_VALUE"""),"김효준7113")</f>
        <v>김효준7113</v>
      </c>
      <c r="B383" s="7">
        <v>16.0</v>
      </c>
    </row>
    <row r="384" ht="15.75" customHeight="1">
      <c r="A384" s="7" t="str">
        <f>IFERROR(__xludf.DUMMYFUNCTION("""COMPUTED_VALUE"""),"남궁승연9135")</f>
        <v>남궁승연9135</v>
      </c>
      <c r="B384" s="7">
        <v>16.0</v>
      </c>
    </row>
    <row r="385" ht="15.75" customHeight="1">
      <c r="A385" s="7" t="str">
        <f>IFERROR(__xludf.DUMMYFUNCTION("""COMPUTED_VALUE"""),"남수현1184")</f>
        <v>남수현1184</v>
      </c>
      <c r="B385" s="7">
        <v>16.0</v>
      </c>
    </row>
    <row r="386" ht="15.75" customHeight="1">
      <c r="A386" s="7" t="str">
        <f>IFERROR(__xludf.DUMMYFUNCTION("""COMPUTED_VALUE"""),"남유진6939")</f>
        <v>남유진6939</v>
      </c>
      <c r="B386" s="7">
        <v>16.0</v>
      </c>
    </row>
    <row r="387" ht="15.75" customHeight="1">
      <c r="A387" s="7" t="str">
        <f>IFERROR(__xludf.DUMMYFUNCTION("""COMPUTED_VALUE"""),"남은우1024")</f>
        <v>남은우1024</v>
      </c>
      <c r="B387" s="7">
        <v>16.0</v>
      </c>
    </row>
    <row r="388" ht="15.75" customHeight="1">
      <c r="A388" s="7" t="str">
        <f>IFERROR(__xludf.DUMMYFUNCTION("""COMPUTED_VALUE"""),"노하연6811")</f>
        <v>노하연6811</v>
      </c>
      <c r="B388" s="7">
        <v>16.0</v>
      </c>
    </row>
    <row r="389" ht="15.75" customHeight="1">
      <c r="A389" s="7" t="str">
        <f>IFERROR(__xludf.DUMMYFUNCTION("""COMPUTED_VALUE"""),"류도경0855")</f>
        <v>류도경0855</v>
      </c>
      <c r="B389" s="7">
        <v>16.0</v>
      </c>
    </row>
    <row r="390" ht="15.75" customHeight="1">
      <c r="A390" s="7" t="str">
        <f>IFERROR(__xludf.DUMMYFUNCTION("""COMPUTED_VALUE"""),"류수민3394")</f>
        <v>류수민3394</v>
      </c>
      <c r="B390" s="7">
        <v>16.0</v>
      </c>
    </row>
    <row r="391" ht="15.75" customHeight="1">
      <c r="A391" s="7" t="str">
        <f>IFERROR(__xludf.DUMMYFUNCTION("""COMPUTED_VALUE"""),"류승한1797")</f>
        <v>류승한1797</v>
      </c>
      <c r="B391" s="7">
        <v>16.0</v>
      </c>
    </row>
    <row r="392" ht="15.75" customHeight="1">
      <c r="A392" s="7" t="str">
        <f>IFERROR(__xludf.DUMMYFUNCTION("""COMPUTED_VALUE"""),"류지원2902")</f>
        <v>류지원2902</v>
      </c>
      <c r="B392" s="7">
        <v>16.0</v>
      </c>
    </row>
    <row r="393" ht="15.75" customHeight="1">
      <c r="A393" s="7" t="str">
        <f>IFERROR(__xludf.DUMMYFUNCTION("""COMPUTED_VALUE"""),"류지훈2150")</f>
        <v>류지훈2150</v>
      </c>
      <c r="B393" s="7">
        <v>16.0</v>
      </c>
    </row>
    <row r="394" ht="15.75" customHeight="1">
      <c r="A394" s="7" t="str">
        <f>IFERROR(__xludf.DUMMYFUNCTION("""COMPUTED_VALUE"""),"명규민5737")</f>
        <v>명규민5737</v>
      </c>
      <c r="B394" s="7">
        <v>16.0</v>
      </c>
    </row>
    <row r="395" ht="15.75" customHeight="1">
      <c r="A395" s="7" t="str">
        <f>IFERROR(__xludf.DUMMYFUNCTION("""COMPUTED_VALUE"""),"문가윤0131")</f>
        <v>문가윤0131</v>
      </c>
      <c r="B395" s="7">
        <v>16.0</v>
      </c>
    </row>
    <row r="396" ht="15.75" customHeight="1">
      <c r="A396" s="7" t="str">
        <f>IFERROR(__xludf.DUMMYFUNCTION("""COMPUTED_VALUE"""),"문서진2953")</f>
        <v>문서진2953</v>
      </c>
      <c r="B396" s="7">
        <v>16.0</v>
      </c>
    </row>
    <row r="397" ht="15.75" customHeight="1">
      <c r="A397" s="7" t="str">
        <f>IFERROR(__xludf.DUMMYFUNCTION("""COMPUTED_VALUE"""),"문승아1647")</f>
        <v>문승아1647</v>
      </c>
      <c r="B397" s="7">
        <v>16.0</v>
      </c>
    </row>
    <row r="398" ht="15.75" customHeight="1">
      <c r="A398" s="7" t="str">
        <f>IFERROR(__xludf.DUMMYFUNCTION("""COMPUTED_VALUE"""),"문아라4000")</f>
        <v>문아라4000</v>
      </c>
      <c r="B398" s="7">
        <v>16.0</v>
      </c>
    </row>
    <row r="399" ht="15.75" customHeight="1">
      <c r="A399" s="7" t="str">
        <f>IFERROR(__xludf.DUMMYFUNCTION("""COMPUTED_VALUE"""),"문재윤4905")</f>
        <v>문재윤4905</v>
      </c>
      <c r="B399" s="7">
        <v>16.0</v>
      </c>
    </row>
    <row r="400" ht="15.75" customHeight="1">
      <c r="A400" s="7" t="str">
        <f>IFERROR(__xludf.DUMMYFUNCTION("""COMPUTED_VALUE"""),"문채영0263")</f>
        <v>문채영0263</v>
      </c>
      <c r="B400" s="7">
        <v>16.0</v>
      </c>
    </row>
    <row r="401" ht="15.75" customHeight="1">
      <c r="A401" s="7" t="str">
        <f>IFERROR(__xludf.DUMMYFUNCTION("""COMPUTED_VALUE"""),"문희상8311")</f>
        <v>문희상8311</v>
      </c>
      <c r="B401" s="7">
        <v>16.0</v>
      </c>
    </row>
    <row r="402" ht="15.75" customHeight="1">
      <c r="A402" s="7" t="str">
        <f>IFERROR(__xludf.DUMMYFUNCTION("""COMPUTED_VALUE"""),"민우진4857")</f>
        <v>민우진4857</v>
      </c>
      <c r="B402" s="7">
        <v>16.0</v>
      </c>
    </row>
    <row r="403" ht="15.75" customHeight="1">
      <c r="A403" s="7" t="str">
        <f>IFERROR(__xludf.DUMMYFUNCTION("""COMPUTED_VALUE"""),"박가영4752")</f>
        <v>박가영4752</v>
      </c>
      <c r="B403" s="7">
        <v>16.0</v>
      </c>
    </row>
    <row r="404" ht="15.75" customHeight="1">
      <c r="A404" s="7" t="str">
        <f>IFERROR(__xludf.DUMMYFUNCTION("""COMPUTED_VALUE"""),"박건희0951")</f>
        <v>박건희0951</v>
      </c>
      <c r="B404" s="7">
        <v>16.0</v>
      </c>
    </row>
    <row r="405" ht="15.75" customHeight="1">
      <c r="A405" s="7" t="str">
        <f>IFERROR(__xludf.DUMMYFUNCTION("""COMPUTED_VALUE"""),"박경은5909")</f>
        <v>박경은5909</v>
      </c>
      <c r="B405" s="7">
        <v>16.0</v>
      </c>
    </row>
    <row r="406" ht="15.75" customHeight="1">
      <c r="A406" s="7" t="str">
        <f>IFERROR(__xludf.DUMMYFUNCTION("""COMPUTED_VALUE"""),"박근형2804")</f>
        <v>박근형2804</v>
      </c>
      <c r="B406" s="7">
        <v>16.0</v>
      </c>
    </row>
    <row r="407" ht="15.75" customHeight="1">
      <c r="A407" s="7" t="str">
        <f>IFERROR(__xludf.DUMMYFUNCTION("""COMPUTED_VALUE"""),"박동휘6515")</f>
        <v>박동휘6515</v>
      </c>
      <c r="B407" s="7">
        <v>16.0</v>
      </c>
    </row>
    <row r="408" ht="15.75" customHeight="1">
      <c r="A408" s="7" t="str">
        <f>IFERROR(__xludf.DUMMYFUNCTION("""COMPUTED_VALUE"""),"박민서0030")</f>
        <v>박민서0030</v>
      </c>
      <c r="B408" s="7">
        <v>16.0</v>
      </c>
    </row>
    <row r="409" ht="15.75" customHeight="1">
      <c r="A409" s="7" t="str">
        <f>IFERROR(__xludf.DUMMYFUNCTION("""COMPUTED_VALUE"""),"박민준7071")</f>
        <v>박민준7071</v>
      </c>
      <c r="B409" s="7">
        <v>16.0</v>
      </c>
    </row>
    <row r="410" ht="15.75" customHeight="1">
      <c r="A410" s="7" t="str">
        <f>IFERROR(__xludf.DUMMYFUNCTION("""COMPUTED_VALUE"""),"박범준0221")</f>
        <v>박범준0221</v>
      </c>
      <c r="B410" s="7">
        <v>16.0</v>
      </c>
    </row>
    <row r="411" ht="15.75" customHeight="1">
      <c r="A411" s="7" t="str">
        <f>IFERROR(__xludf.DUMMYFUNCTION("""COMPUTED_VALUE"""),"박보경2618")</f>
        <v>박보경2618</v>
      </c>
      <c r="B411" s="7">
        <v>16.0</v>
      </c>
    </row>
    <row r="412" ht="15.75" customHeight="1">
      <c r="A412" s="7" t="str">
        <f>IFERROR(__xludf.DUMMYFUNCTION("""COMPUTED_VALUE"""),"박상언")</f>
        <v>박상언</v>
      </c>
      <c r="B412" s="7">
        <v>1.0</v>
      </c>
    </row>
    <row r="413" ht="15.75" customHeight="1">
      <c r="A413" s="7" t="str">
        <f>IFERROR(__xludf.DUMMYFUNCTION("""COMPUTED_VALUE"""),"박상우4980")</f>
        <v>박상우4980</v>
      </c>
      <c r="B413" s="7">
        <v>16.0</v>
      </c>
    </row>
    <row r="414" ht="15.75" customHeight="1">
      <c r="A414" s="7" t="str">
        <f>IFERROR(__xludf.DUMMYFUNCTION("""COMPUTED_VALUE"""),"박서연8436")</f>
        <v>박서연8436</v>
      </c>
      <c r="B414" s="7">
        <v>16.0</v>
      </c>
    </row>
    <row r="415" ht="15.75" customHeight="1">
      <c r="A415" s="7" t="str">
        <f>IFERROR(__xludf.DUMMYFUNCTION("""COMPUTED_VALUE"""),"박서연8747")</f>
        <v>박서연8747</v>
      </c>
      <c r="B415" s="7">
        <v>16.0</v>
      </c>
    </row>
    <row r="416" ht="15.75" customHeight="1">
      <c r="A416" s="7" t="str">
        <f>IFERROR(__xludf.DUMMYFUNCTION("""COMPUTED_VALUE"""),"박서인3882")</f>
        <v>박서인3882</v>
      </c>
      <c r="B416" s="7">
        <v>16.0</v>
      </c>
    </row>
    <row r="417" ht="15.75" customHeight="1">
      <c r="A417" s="7" t="str">
        <f>IFERROR(__xludf.DUMMYFUNCTION("""COMPUTED_VALUE"""),"박서진9434")</f>
        <v>박서진9434</v>
      </c>
      <c r="B417" s="7">
        <v>16.0</v>
      </c>
    </row>
    <row r="418" ht="15.75" customHeight="1">
      <c r="A418" s="7" t="str">
        <f>IFERROR(__xludf.DUMMYFUNCTION("""COMPUTED_VALUE"""),"박성연4815")</f>
        <v>박성연4815</v>
      </c>
      <c r="B418" s="7">
        <v>16.0</v>
      </c>
    </row>
    <row r="419" ht="15.75" customHeight="1">
      <c r="A419" s="7" t="str">
        <f>IFERROR(__xludf.DUMMYFUNCTION("""COMPUTED_VALUE"""),"박세현0011")</f>
        <v>박세현0011</v>
      </c>
      <c r="B419" s="7">
        <v>16.0</v>
      </c>
    </row>
    <row r="420" ht="15.75" customHeight="1">
      <c r="A420" s="7" t="str">
        <f>IFERROR(__xludf.DUMMYFUNCTION("""COMPUTED_VALUE"""),"박세현4034")</f>
        <v>박세현4034</v>
      </c>
      <c r="B420" s="7">
        <v>16.0</v>
      </c>
    </row>
    <row r="421" ht="15.75" customHeight="1">
      <c r="A421" s="7" t="str">
        <f>IFERROR(__xludf.DUMMYFUNCTION("""COMPUTED_VALUE"""),"박소연4811")</f>
        <v>박소연4811</v>
      </c>
      <c r="B421" s="7">
        <v>16.0</v>
      </c>
    </row>
    <row r="422" ht="15.75" customHeight="1">
      <c r="A422" s="7" t="str">
        <f>IFERROR(__xludf.DUMMYFUNCTION("""COMPUTED_VALUE"""),"박소희7674")</f>
        <v>박소희7674</v>
      </c>
      <c r="B422" s="7">
        <v>16.0</v>
      </c>
    </row>
    <row r="423" ht="15.75" customHeight="1">
      <c r="A423" s="7" t="str">
        <f>IFERROR(__xludf.DUMMYFUNCTION("""COMPUTED_VALUE"""),"박솔우5579")</f>
        <v>박솔우5579</v>
      </c>
      <c r="B423" s="7">
        <v>16.0</v>
      </c>
    </row>
    <row r="424" ht="15.75" customHeight="1">
      <c r="A424" s="7" t="str">
        <f>IFERROR(__xludf.DUMMYFUNCTION("""COMPUTED_VALUE"""),"박수현0806")</f>
        <v>박수현0806</v>
      </c>
      <c r="B424" s="7">
        <v>16.0</v>
      </c>
    </row>
    <row r="425" ht="15.75" customHeight="1">
      <c r="A425" s="7" t="str">
        <f>IFERROR(__xludf.DUMMYFUNCTION("""COMPUTED_VALUE"""),"박슬찬3558")</f>
        <v>박슬찬3558</v>
      </c>
      <c r="B425" s="7">
        <v>16.0</v>
      </c>
    </row>
    <row r="426" ht="15.75" customHeight="1">
      <c r="A426" s="7" t="str">
        <f>IFERROR(__xludf.DUMMYFUNCTION("""COMPUTED_VALUE"""),"박시연1489")</f>
        <v>박시연1489</v>
      </c>
      <c r="B426" s="7">
        <v>16.0</v>
      </c>
    </row>
    <row r="427" ht="15.75" customHeight="1">
      <c r="A427" s="7" t="str">
        <f>IFERROR(__xludf.DUMMYFUNCTION("""COMPUTED_VALUE"""),"박시은7840")</f>
        <v>박시은7840</v>
      </c>
      <c r="B427" s="7">
        <v>16.0</v>
      </c>
    </row>
    <row r="428" ht="15.75" customHeight="1">
      <c r="A428" s="7" t="str">
        <f>IFERROR(__xludf.DUMMYFUNCTION("""COMPUTED_VALUE"""),"박여빈8569")</f>
        <v>박여빈8569</v>
      </c>
      <c r="B428" s="7">
        <v>16.0</v>
      </c>
    </row>
    <row r="429" ht="15.75" customHeight="1">
      <c r="A429" s="7" t="str">
        <f>IFERROR(__xludf.DUMMYFUNCTION("""COMPUTED_VALUE"""),"박예은1507")</f>
        <v>박예은1507</v>
      </c>
      <c r="B429" s="7">
        <v>16.0</v>
      </c>
    </row>
    <row r="430" ht="15.75" customHeight="1">
      <c r="A430" s="7" t="str">
        <f>IFERROR(__xludf.DUMMYFUNCTION("""COMPUTED_VALUE"""),"박우현4628")</f>
        <v>박우현4628</v>
      </c>
      <c r="B430" s="7">
        <v>16.0</v>
      </c>
    </row>
    <row r="431" ht="15.75" customHeight="1">
      <c r="A431" s="7" t="str">
        <f>IFERROR(__xludf.DUMMYFUNCTION("""COMPUTED_VALUE"""),"박은성9434")</f>
        <v>박은성9434</v>
      </c>
      <c r="B431" s="7">
        <v>16.0</v>
      </c>
    </row>
    <row r="432" ht="15.75" customHeight="1">
      <c r="A432" s="7" t="str">
        <f>IFERROR(__xludf.DUMMYFUNCTION("""COMPUTED_VALUE"""),"박이흔3840")</f>
        <v>박이흔3840</v>
      </c>
      <c r="B432" s="7">
        <v>16.0</v>
      </c>
    </row>
    <row r="433" ht="15.75" customHeight="1">
      <c r="A433" s="7" t="str">
        <f>IFERROR(__xludf.DUMMYFUNCTION("""COMPUTED_VALUE"""),"박재현0319")</f>
        <v>박재현0319</v>
      </c>
      <c r="B433" s="7">
        <v>16.0</v>
      </c>
    </row>
    <row r="434" ht="15.75" customHeight="1">
      <c r="A434" s="7" t="str">
        <f>IFERROR(__xludf.DUMMYFUNCTION("""COMPUTED_VALUE"""),"박정운0210")</f>
        <v>박정운0210</v>
      </c>
      <c r="B434" s="7">
        <v>16.0</v>
      </c>
    </row>
    <row r="435" ht="15.75" customHeight="1">
      <c r="A435" s="7" t="str">
        <f>IFERROR(__xludf.DUMMYFUNCTION("""COMPUTED_VALUE"""),"박정진0513")</f>
        <v>박정진0513</v>
      </c>
      <c r="B435" s="7">
        <v>16.0</v>
      </c>
    </row>
    <row r="436" ht="15.75" customHeight="1">
      <c r="A436" s="7" t="str">
        <f>IFERROR(__xludf.DUMMYFUNCTION("""COMPUTED_VALUE"""),"박제율4968")</f>
        <v>박제율4968</v>
      </c>
      <c r="B436" s="7">
        <v>16.0</v>
      </c>
    </row>
    <row r="437" ht="15.75" customHeight="1">
      <c r="A437" s="7" t="str">
        <f>IFERROR(__xludf.DUMMYFUNCTION("""COMPUTED_VALUE"""),"박종민7205")</f>
        <v>박종민7205</v>
      </c>
      <c r="B437" s="7">
        <v>16.0</v>
      </c>
    </row>
    <row r="438" ht="15.75" customHeight="1">
      <c r="A438" s="7" t="str">
        <f>IFERROR(__xludf.DUMMYFUNCTION("""COMPUTED_VALUE"""),"박지승1758")</f>
        <v>박지승1758</v>
      </c>
      <c r="B438" s="7">
        <v>16.0</v>
      </c>
    </row>
    <row r="439" ht="15.75" customHeight="1">
      <c r="A439" s="7" t="str">
        <f>IFERROR(__xludf.DUMMYFUNCTION("""COMPUTED_VALUE"""),"박지윤6706")</f>
        <v>박지윤6706</v>
      </c>
      <c r="B439" s="7">
        <v>16.0</v>
      </c>
    </row>
    <row r="440" ht="15.75" customHeight="1">
      <c r="A440" s="7" t="str">
        <f>IFERROR(__xludf.DUMMYFUNCTION("""COMPUTED_VALUE"""),"박지효0508")</f>
        <v>박지효0508</v>
      </c>
      <c r="B440" s="7">
        <v>16.0</v>
      </c>
    </row>
    <row r="441" ht="15.75" customHeight="1">
      <c r="A441" s="7" t="str">
        <f>IFERROR(__xludf.DUMMYFUNCTION("""COMPUTED_VALUE"""),"박찬윤5935")</f>
        <v>박찬윤5935</v>
      </c>
      <c r="B441" s="7">
        <v>16.0</v>
      </c>
    </row>
    <row r="442" ht="15.75" customHeight="1">
      <c r="A442" s="7" t="str">
        <f>IFERROR(__xludf.DUMMYFUNCTION("""COMPUTED_VALUE"""),"박태용4040")</f>
        <v>박태용4040</v>
      </c>
      <c r="B442" s="7">
        <v>16.0</v>
      </c>
    </row>
    <row r="443" ht="15.75" customHeight="1">
      <c r="A443" s="7" t="str">
        <f>IFERROR(__xludf.DUMMYFUNCTION("""COMPUTED_VALUE"""),"박혜인8932")</f>
        <v>박혜인8932</v>
      </c>
      <c r="B443" s="7">
        <v>16.0</v>
      </c>
    </row>
    <row r="444" ht="15.75" customHeight="1">
      <c r="A444" s="7" t="str">
        <f>IFERROR(__xludf.DUMMYFUNCTION("""COMPUTED_VALUE"""),"반정원4865")</f>
        <v>반정원4865</v>
      </c>
      <c r="B444" s="7">
        <v>16.0</v>
      </c>
    </row>
    <row r="445" ht="15.75" customHeight="1">
      <c r="A445" s="7" t="str">
        <f>IFERROR(__xludf.DUMMYFUNCTION("""COMPUTED_VALUE"""),"배서진3491")</f>
        <v>배서진3491</v>
      </c>
      <c r="B445" s="7">
        <v>16.0</v>
      </c>
    </row>
    <row r="446" ht="15.75" customHeight="1">
      <c r="A446" s="7" t="str">
        <f>IFERROR(__xludf.DUMMYFUNCTION("""COMPUTED_VALUE"""),"배윤서5829")</f>
        <v>배윤서5829</v>
      </c>
      <c r="B446" s="7">
        <v>16.0</v>
      </c>
    </row>
    <row r="447" ht="15.75" customHeight="1">
      <c r="A447" s="7" t="str">
        <f>IFERROR(__xludf.DUMMYFUNCTION("""COMPUTED_VALUE"""),"백지원0813")</f>
        <v>백지원0813</v>
      </c>
      <c r="B447" s="7">
        <v>16.0</v>
      </c>
    </row>
    <row r="448" ht="15.75" customHeight="1">
      <c r="A448" s="7" t="str">
        <f>IFERROR(__xludf.DUMMYFUNCTION("""COMPUTED_VALUE"""),"변정윤2694")</f>
        <v>변정윤2694</v>
      </c>
      <c r="B448" s="7">
        <v>16.0</v>
      </c>
    </row>
    <row r="449" ht="15.75" customHeight="1">
      <c r="A449" s="7" t="str">
        <f>IFERROR(__xludf.DUMMYFUNCTION("""COMPUTED_VALUE"""),"변지윤7550")</f>
        <v>변지윤7550</v>
      </c>
      <c r="B449" s="7">
        <v>16.0</v>
      </c>
    </row>
    <row r="450" ht="15.75" customHeight="1">
      <c r="A450" s="7" t="str">
        <f>IFERROR(__xludf.DUMMYFUNCTION("""COMPUTED_VALUE"""),"변지후3922")</f>
        <v>변지후3922</v>
      </c>
      <c r="B450" s="7">
        <v>16.0</v>
      </c>
    </row>
    <row r="451" ht="15.75" customHeight="1">
      <c r="A451" s="7" t="str">
        <f>IFERROR(__xludf.DUMMYFUNCTION("""COMPUTED_VALUE"""),"서민재7832")</f>
        <v>서민재7832</v>
      </c>
      <c r="B451" s="7">
        <v>16.0</v>
      </c>
    </row>
    <row r="452" ht="15.75" customHeight="1">
      <c r="A452" s="7" t="str">
        <f>IFERROR(__xludf.DUMMYFUNCTION("""COMPUTED_VALUE"""),"서승현2391")</f>
        <v>서승현2391</v>
      </c>
      <c r="B452" s="7">
        <v>16.0</v>
      </c>
    </row>
    <row r="453" ht="15.75" customHeight="1">
      <c r="A453" s="7" t="str">
        <f>IFERROR(__xludf.DUMMYFUNCTION("""COMPUTED_VALUE"""),"서재우2045")</f>
        <v>서재우2045</v>
      </c>
      <c r="B453" s="7">
        <v>16.0</v>
      </c>
    </row>
    <row r="454" ht="15.75" customHeight="1">
      <c r="A454" s="7" t="str">
        <f>IFERROR(__xludf.DUMMYFUNCTION("""COMPUTED_VALUE"""),"서하정6347")</f>
        <v>서하정6347</v>
      </c>
      <c r="B454" s="7">
        <v>16.0</v>
      </c>
    </row>
    <row r="455" ht="15.75" customHeight="1">
      <c r="A455" s="7" t="str">
        <f>IFERROR(__xludf.DUMMYFUNCTION("""COMPUTED_VALUE"""),"서혜승7279")</f>
        <v>서혜승7279</v>
      </c>
      <c r="B455" s="7">
        <v>16.0</v>
      </c>
    </row>
    <row r="456" ht="15.75" customHeight="1">
      <c r="A456" s="7" t="str">
        <f>IFERROR(__xludf.DUMMYFUNCTION("""COMPUTED_VALUE"""),"성민주2407")</f>
        <v>성민주2407</v>
      </c>
      <c r="B456" s="7">
        <v>2.0</v>
      </c>
    </row>
    <row r="457" ht="15.75" customHeight="1">
      <c r="A457" s="7" t="str">
        <f>IFERROR(__xludf.DUMMYFUNCTION("""COMPUTED_VALUE"""),"성욱현4049")</f>
        <v>성욱현4049</v>
      </c>
      <c r="B457" s="7">
        <v>16.0</v>
      </c>
    </row>
    <row r="458" ht="15.75" customHeight="1">
      <c r="A458" s="7" t="str">
        <f>IFERROR(__xludf.DUMMYFUNCTION("""COMPUTED_VALUE"""),"성주연7429")</f>
        <v>성주연7429</v>
      </c>
      <c r="B458" s="7">
        <v>16.0</v>
      </c>
    </row>
    <row r="459" ht="15.75" customHeight="1">
      <c r="A459" s="7" t="str">
        <f>IFERROR(__xludf.DUMMYFUNCTION("""COMPUTED_VALUE"""),"손승연3804")</f>
        <v>손승연3804</v>
      </c>
      <c r="B459" s="7">
        <v>16.0</v>
      </c>
    </row>
    <row r="460" ht="15.75" customHeight="1">
      <c r="A460" s="7" t="str">
        <f>IFERROR(__xludf.DUMMYFUNCTION("""COMPUTED_VALUE"""),"손준혁2436")</f>
        <v>손준혁2436</v>
      </c>
      <c r="B460" s="7">
        <v>16.0</v>
      </c>
    </row>
    <row r="461" ht="15.75" customHeight="1">
      <c r="A461" s="7" t="str">
        <f>IFERROR(__xludf.DUMMYFUNCTION("""COMPUTED_VALUE"""),"손채원9138")</f>
        <v>손채원9138</v>
      </c>
      <c r="B461" s="7">
        <v>16.0</v>
      </c>
    </row>
    <row r="462" ht="15.75" customHeight="1">
      <c r="A462" s="7" t="str">
        <f>IFERROR(__xludf.DUMMYFUNCTION("""COMPUTED_VALUE"""),"손채원9796")</f>
        <v>손채원9796</v>
      </c>
      <c r="B462" s="7">
        <v>16.0</v>
      </c>
    </row>
    <row r="463" ht="15.75" customHeight="1">
      <c r="A463" s="7" t="str">
        <f>IFERROR(__xludf.DUMMYFUNCTION("""COMPUTED_VALUE"""),"손현서7535")</f>
        <v>손현서7535</v>
      </c>
      <c r="B463" s="7">
        <v>16.0</v>
      </c>
    </row>
    <row r="464" ht="15.75" customHeight="1">
      <c r="A464" s="7" t="str">
        <f>IFERROR(__xludf.DUMMYFUNCTION("""COMPUTED_VALUE"""),"송가은0305")</f>
        <v>송가은0305</v>
      </c>
      <c r="B464" s="7">
        <v>16.0</v>
      </c>
    </row>
    <row r="465" ht="15.75" customHeight="1">
      <c r="A465" s="7" t="str">
        <f>IFERROR(__xludf.DUMMYFUNCTION("""COMPUTED_VALUE"""),"송민근2918")</f>
        <v>송민근2918</v>
      </c>
      <c r="B465" s="7">
        <v>16.0</v>
      </c>
    </row>
    <row r="466" ht="15.75" customHeight="1">
      <c r="A466" s="7" t="str">
        <f>IFERROR(__xludf.DUMMYFUNCTION("""COMPUTED_VALUE"""),"송우진0379")</f>
        <v>송우진0379</v>
      </c>
      <c r="B466" s="7">
        <v>16.0</v>
      </c>
    </row>
    <row r="467" ht="15.75" customHeight="1">
      <c r="A467" s="7" t="str">
        <f>IFERROR(__xludf.DUMMYFUNCTION("""COMPUTED_VALUE"""),"신가영8786")</f>
        <v>신가영8786</v>
      </c>
      <c r="B467" s="7">
        <v>16.0</v>
      </c>
    </row>
    <row r="468" ht="15.75" customHeight="1">
      <c r="A468" s="7" t="str">
        <f>IFERROR(__xludf.DUMMYFUNCTION("""COMPUTED_VALUE"""),"신시아2475")</f>
        <v>신시아2475</v>
      </c>
      <c r="B468" s="7">
        <v>16.0</v>
      </c>
    </row>
    <row r="469" ht="15.75" customHeight="1">
      <c r="A469" s="7" t="str">
        <f>IFERROR(__xludf.DUMMYFUNCTION("""COMPUTED_VALUE"""),"신정민2313")</f>
        <v>신정민2313</v>
      </c>
      <c r="B469" s="7">
        <v>16.0</v>
      </c>
    </row>
    <row r="470" ht="15.75" customHeight="1">
      <c r="A470" s="7" t="str">
        <f>IFERROR(__xludf.DUMMYFUNCTION("""COMPUTED_VALUE"""),"신정욱4570")</f>
        <v>신정욱4570</v>
      </c>
      <c r="B470" s="7">
        <v>16.0</v>
      </c>
    </row>
    <row r="471" ht="15.75" customHeight="1">
      <c r="A471" s="7" t="str">
        <f>IFERROR(__xludf.DUMMYFUNCTION("""COMPUTED_VALUE"""),"신주아7698")</f>
        <v>신주아7698</v>
      </c>
      <c r="B471" s="7">
        <v>16.0</v>
      </c>
    </row>
    <row r="472" ht="15.75" customHeight="1">
      <c r="A472" s="7" t="str">
        <f>IFERROR(__xludf.DUMMYFUNCTION("""COMPUTED_VALUE"""),"신진희6056")</f>
        <v>신진희6056</v>
      </c>
      <c r="B472" s="7">
        <v>16.0</v>
      </c>
    </row>
    <row r="473" ht="15.75" customHeight="1">
      <c r="A473" s="7" t="str">
        <f>IFERROR(__xludf.DUMMYFUNCTION("""COMPUTED_VALUE"""),"심서현0910")</f>
        <v>심서현0910</v>
      </c>
      <c r="B473" s="7">
        <v>2.0</v>
      </c>
    </row>
    <row r="474" ht="15.75" customHeight="1">
      <c r="A474" s="7" t="str">
        <f>IFERROR(__xludf.DUMMYFUNCTION("""COMPUTED_VALUE"""),"심현기7530")</f>
        <v>심현기7530</v>
      </c>
      <c r="B474" s="7">
        <v>16.0</v>
      </c>
    </row>
    <row r="475" ht="15.75" customHeight="1">
      <c r="A475" s="7" t="str">
        <f>IFERROR(__xludf.DUMMYFUNCTION("""COMPUTED_VALUE"""),"안소현6035")</f>
        <v>안소현6035</v>
      </c>
      <c r="B475" s="7">
        <v>16.0</v>
      </c>
    </row>
    <row r="476" ht="15.75" customHeight="1">
      <c r="A476" s="7" t="str">
        <f>IFERROR(__xludf.DUMMYFUNCTION("""COMPUTED_VALUE"""),"안유정2642")</f>
        <v>안유정2642</v>
      </c>
      <c r="B476" s="7">
        <v>16.0</v>
      </c>
    </row>
    <row r="477" ht="15.75" customHeight="1">
      <c r="A477" s="7" t="str">
        <f>IFERROR(__xludf.DUMMYFUNCTION("""COMPUTED_VALUE"""),"안태현9939")</f>
        <v>안태현9939</v>
      </c>
      <c r="B477" s="7">
        <v>16.0</v>
      </c>
    </row>
    <row r="478" ht="15.75" customHeight="1">
      <c r="A478" s="7" t="str">
        <f>IFERROR(__xludf.DUMMYFUNCTION("""COMPUTED_VALUE"""),"안형주2701")</f>
        <v>안형주2701</v>
      </c>
      <c r="B478" s="7">
        <v>16.0</v>
      </c>
    </row>
    <row r="479" ht="15.75" customHeight="1">
      <c r="A479" s="7" t="str">
        <f>IFERROR(__xludf.DUMMYFUNCTION("""COMPUTED_VALUE"""),"양승민0782")</f>
        <v>양승민0782</v>
      </c>
      <c r="B479" s="7">
        <v>16.0</v>
      </c>
    </row>
    <row r="480" ht="15.75" customHeight="1">
      <c r="A480" s="7" t="str">
        <f>IFERROR(__xludf.DUMMYFUNCTION("""COMPUTED_VALUE"""),"양승빈3142")</f>
        <v>양승빈3142</v>
      </c>
      <c r="B480" s="7">
        <v>16.0</v>
      </c>
    </row>
    <row r="481" ht="15.75" customHeight="1">
      <c r="A481" s="7" t="str">
        <f>IFERROR(__xludf.DUMMYFUNCTION("""COMPUTED_VALUE"""),"양인서3679")</f>
        <v>양인서3679</v>
      </c>
      <c r="B481" s="7">
        <v>16.0</v>
      </c>
    </row>
    <row r="482" ht="15.75" customHeight="1">
      <c r="A482" s="7" t="str">
        <f>IFERROR(__xludf.DUMMYFUNCTION("""COMPUTED_VALUE"""),"양창연2753")</f>
        <v>양창연2753</v>
      </c>
      <c r="B482" s="7">
        <v>16.0</v>
      </c>
    </row>
    <row r="483" ht="15.75" customHeight="1">
      <c r="A483" s="7" t="str">
        <f>IFERROR(__xludf.DUMMYFUNCTION("""COMPUTED_VALUE"""),"양현6248")</f>
        <v>양현6248</v>
      </c>
      <c r="B483" s="7">
        <v>16.0</v>
      </c>
    </row>
    <row r="484" ht="15.75" customHeight="1">
      <c r="A484" s="7" t="str">
        <f>IFERROR(__xludf.DUMMYFUNCTION("""COMPUTED_VALUE"""),"엄선훈")</f>
        <v>엄선훈</v>
      </c>
      <c r="B484" s="7">
        <v>1.0</v>
      </c>
    </row>
    <row r="485" ht="15.75" customHeight="1">
      <c r="A485" s="7" t="str">
        <f>IFERROR(__xludf.DUMMYFUNCTION("""COMPUTED_VALUE"""),"연준원4486")</f>
        <v>연준원4486</v>
      </c>
      <c r="B485" s="7">
        <v>16.0</v>
      </c>
    </row>
    <row r="486" ht="15.75" customHeight="1">
      <c r="A486" s="7" t="str">
        <f>IFERROR(__xludf.DUMMYFUNCTION("""COMPUTED_VALUE"""),"오서준4493")</f>
        <v>오서준4493</v>
      </c>
      <c r="B486" s="7">
        <v>16.0</v>
      </c>
    </row>
    <row r="487" ht="15.75" customHeight="1">
      <c r="A487" s="7" t="str">
        <f>IFERROR(__xludf.DUMMYFUNCTION("""COMPUTED_VALUE"""),"오승준8596")</f>
        <v>오승준8596</v>
      </c>
      <c r="B487" s="7">
        <v>16.0</v>
      </c>
    </row>
    <row r="488" ht="15.75" customHeight="1">
      <c r="A488" s="7" t="str">
        <f>IFERROR(__xludf.DUMMYFUNCTION("""COMPUTED_VALUE"""),"오유빈4218")</f>
        <v>오유빈4218</v>
      </c>
      <c r="B488" s="7">
        <v>16.0</v>
      </c>
    </row>
    <row r="489" ht="15.75" customHeight="1">
      <c r="A489" s="7" t="str">
        <f>IFERROR(__xludf.DUMMYFUNCTION("""COMPUTED_VALUE"""),"오정민6040")</f>
        <v>오정민6040</v>
      </c>
      <c r="B489" s="7">
        <v>16.0</v>
      </c>
    </row>
    <row r="490" ht="15.75" customHeight="1">
      <c r="A490" s="7" t="str">
        <f>IFERROR(__xludf.DUMMYFUNCTION("""COMPUTED_VALUE"""),"오정후9223")</f>
        <v>오정후9223</v>
      </c>
      <c r="B490" s="7">
        <v>16.0</v>
      </c>
    </row>
    <row r="491" ht="15.75" customHeight="1">
      <c r="A491" s="7" t="str">
        <f>IFERROR(__xludf.DUMMYFUNCTION("""COMPUTED_VALUE"""),"오지우9439")</f>
        <v>오지우9439</v>
      </c>
      <c r="B491" s="7">
        <v>16.0</v>
      </c>
    </row>
    <row r="492" ht="15.75" customHeight="1">
      <c r="A492" s="7" t="str">
        <f>IFERROR(__xludf.DUMMYFUNCTION("""COMPUTED_VALUE"""),"오지호4522")</f>
        <v>오지호4522</v>
      </c>
      <c r="B492" s="7">
        <v>16.0</v>
      </c>
    </row>
    <row r="493" ht="15.75" customHeight="1">
      <c r="A493" s="7" t="str">
        <f>IFERROR(__xludf.DUMMYFUNCTION("""COMPUTED_VALUE"""),"옥정민5247")</f>
        <v>옥정민5247</v>
      </c>
      <c r="B493" s="7">
        <v>16.0</v>
      </c>
    </row>
    <row r="494" ht="15.75" customHeight="1">
      <c r="A494" s="7" t="str">
        <f>IFERROR(__xludf.DUMMYFUNCTION("""COMPUTED_VALUE"""),"옥지우4093")</f>
        <v>옥지우4093</v>
      </c>
      <c r="B494" s="7">
        <v>16.0</v>
      </c>
    </row>
    <row r="495" ht="15.75" customHeight="1">
      <c r="A495" s="7" t="str">
        <f>IFERROR(__xludf.DUMMYFUNCTION("""COMPUTED_VALUE"""),"용청하0829")</f>
        <v>용청하0829</v>
      </c>
      <c r="B495" s="7">
        <v>16.0</v>
      </c>
    </row>
    <row r="496" ht="15.75" customHeight="1">
      <c r="A496" s="7" t="str">
        <f>IFERROR(__xludf.DUMMYFUNCTION("""COMPUTED_VALUE"""),"우지연5909")</f>
        <v>우지연5909</v>
      </c>
      <c r="B496" s="7">
        <v>16.0</v>
      </c>
    </row>
    <row r="497" ht="15.75" customHeight="1">
      <c r="A497" s="7" t="str">
        <f>IFERROR(__xludf.DUMMYFUNCTION("""COMPUTED_VALUE"""),"원해빈5815")</f>
        <v>원해빈5815</v>
      </c>
      <c r="B497" s="7">
        <v>16.0</v>
      </c>
    </row>
    <row r="498" ht="15.75" customHeight="1">
      <c r="A498" s="7" t="str">
        <f>IFERROR(__xludf.DUMMYFUNCTION("""COMPUTED_VALUE"""),"유소현6634")</f>
        <v>유소현6634</v>
      </c>
      <c r="B498" s="7">
        <v>16.0</v>
      </c>
    </row>
    <row r="499" ht="15.75" customHeight="1">
      <c r="A499" s="7" t="str">
        <f>IFERROR(__xludf.DUMMYFUNCTION("""COMPUTED_VALUE"""),"유혜림9016")</f>
        <v>유혜림9016</v>
      </c>
      <c r="B499" s="7">
        <v>16.0</v>
      </c>
    </row>
    <row r="500" ht="15.75" customHeight="1">
      <c r="A500" s="7" t="str">
        <f>IFERROR(__xludf.DUMMYFUNCTION("""COMPUTED_VALUE"""),"윤성우1532")</f>
        <v>윤성우1532</v>
      </c>
      <c r="B500" s="7">
        <v>16.0</v>
      </c>
    </row>
    <row r="501" ht="15.75" customHeight="1">
      <c r="A501" s="7" t="str">
        <f>IFERROR(__xludf.DUMMYFUNCTION("""COMPUTED_VALUE"""),"윤슬기5500")</f>
        <v>윤슬기5500</v>
      </c>
      <c r="B501" s="7">
        <v>16.0</v>
      </c>
    </row>
    <row r="502" ht="15.75" customHeight="1">
      <c r="A502" s="7" t="str">
        <f>IFERROR(__xludf.DUMMYFUNCTION("""COMPUTED_VALUE"""),"이가원2812")</f>
        <v>이가원2812</v>
      </c>
      <c r="B502" s="7">
        <v>16.0</v>
      </c>
    </row>
    <row r="503" ht="15.75" customHeight="1">
      <c r="A503" s="7" t="str">
        <f>IFERROR(__xludf.DUMMYFUNCTION("""COMPUTED_VALUE"""),"이가은6783")</f>
        <v>이가은6783</v>
      </c>
      <c r="B503" s="7">
        <v>16.0</v>
      </c>
    </row>
    <row r="504" ht="15.75" customHeight="1">
      <c r="A504" s="7" t="str">
        <f>IFERROR(__xludf.DUMMYFUNCTION("""COMPUTED_VALUE"""),"이강건2581")</f>
        <v>이강건2581</v>
      </c>
      <c r="B504" s="7">
        <v>13.0</v>
      </c>
    </row>
    <row r="505" ht="15.75" customHeight="1">
      <c r="A505" s="7" t="str">
        <f>IFERROR(__xludf.DUMMYFUNCTION("""COMPUTED_VALUE"""),"이경원9485")</f>
        <v>이경원9485</v>
      </c>
      <c r="B505" s="7">
        <v>15.0</v>
      </c>
    </row>
    <row r="506" ht="15.75" customHeight="1">
      <c r="A506" s="7" t="str">
        <f>IFERROR(__xludf.DUMMYFUNCTION("""COMPUTED_VALUE"""),"이규서2304")</f>
        <v>이규서2304</v>
      </c>
      <c r="B506" s="7">
        <v>16.0</v>
      </c>
    </row>
    <row r="507" ht="15.75" customHeight="1">
      <c r="A507" s="7" t="str">
        <f>IFERROR(__xludf.DUMMYFUNCTION("""COMPUTED_VALUE"""),"이규진4336")</f>
        <v>이규진4336</v>
      </c>
      <c r="B507" s="7">
        <v>16.0</v>
      </c>
    </row>
    <row r="508" ht="15.75" customHeight="1">
      <c r="A508" s="7" t="str">
        <f>IFERROR(__xludf.DUMMYFUNCTION("""COMPUTED_VALUE"""),"이기백7599")</f>
        <v>이기백7599</v>
      </c>
      <c r="B508" s="7">
        <v>16.0</v>
      </c>
    </row>
    <row r="509" ht="15.75" customHeight="1">
      <c r="A509" s="7" t="str">
        <f>IFERROR(__xludf.DUMMYFUNCTION("""COMPUTED_VALUE"""),"이다영8300")</f>
        <v>이다영8300</v>
      </c>
      <c r="B509" s="7">
        <v>16.0</v>
      </c>
    </row>
    <row r="510" ht="15.75" customHeight="1">
      <c r="A510" s="7" t="str">
        <f>IFERROR(__xludf.DUMMYFUNCTION("""COMPUTED_VALUE"""),"이다은3254")</f>
        <v>이다은3254</v>
      </c>
      <c r="B510" s="7">
        <v>16.0</v>
      </c>
    </row>
    <row r="511" ht="15.75" customHeight="1">
      <c r="A511" s="7" t="str">
        <f>IFERROR(__xludf.DUMMYFUNCTION("""COMPUTED_VALUE"""),"이도원1428")</f>
        <v>이도원1428</v>
      </c>
      <c r="B511" s="7">
        <v>16.0</v>
      </c>
    </row>
    <row r="512" ht="15.75" customHeight="1">
      <c r="A512" s="7" t="str">
        <f>IFERROR(__xludf.DUMMYFUNCTION("""COMPUTED_VALUE"""),"이도윤9473")</f>
        <v>이도윤9473</v>
      </c>
      <c r="B512" s="7">
        <v>16.0</v>
      </c>
    </row>
    <row r="513" ht="15.75" customHeight="1">
      <c r="A513" s="7" t="str">
        <f>IFERROR(__xludf.DUMMYFUNCTION("""COMPUTED_VALUE"""),"이동규2371")</f>
        <v>이동규2371</v>
      </c>
      <c r="B513" s="7">
        <v>16.0</v>
      </c>
    </row>
    <row r="514" ht="15.75" customHeight="1">
      <c r="A514" s="7" t="str">
        <f>IFERROR(__xludf.DUMMYFUNCTION("""COMPUTED_VALUE"""),"이민규2041")</f>
        <v>이민규2041</v>
      </c>
      <c r="B514" s="7">
        <v>16.0</v>
      </c>
    </row>
    <row r="515" ht="15.75" customHeight="1">
      <c r="A515" s="7" t="str">
        <f>IFERROR(__xludf.DUMMYFUNCTION("""COMPUTED_VALUE"""),"이민성0795")</f>
        <v>이민성0795</v>
      </c>
      <c r="B515" s="7">
        <v>16.0</v>
      </c>
    </row>
    <row r="516" ht="15.75" customHeight="1">
      <c r="A516" s="7" t="str">
        <f>IFERROR(__xludf.DUMMYFUNCTION("""COMPUTED_VALUE"""),"이민준2939")</f>
        <v>이민준2939</v>
      </c>
      <c r="B516" s="7">
        <v>16.0</v>
      </c>
    </row>
    <row r="517" ht="15.75" customHeight="1">
      <c r="A517" s="7" t="str">
        <f>IFERROR(__xludf.DUMMYFUNCTION("""COMPUTED_VALUE"""),"이민채5110")</f>
        <v>이민채5110</v>
      </c>
      <c r="B517" s="7">
        <v>16.0</v>
      </c>
    </row>
    <row r="518" ht="15.75" customHeight="1">
      <c r="A518" s="7" t="str">
        <f>IFERROR(__xludf.DUMMYFUNCTION("""COMPUTED_VALUE"""),"이민하6837")</f>
        <v>이민하6837</v>
      </c>
      <c r="B518" s="7">
        <v>16.0</v>
      </c>
    </row>
    <row r="519" ht="15.75" customHeight="1">
      <c r="A519" s="7" t="str">
        <f>IFERROR(__xludf.DUMMYFUNCTION("""COMPUTED_VALUE"""),"이서연6288")</f>
        <v>이서연6288</v>
      </c>
      <c r="B519" s="7">
        <v>16.0</v>
      </c>
    </row>
    <row r="520" ht="15.75" customHeight="1">
      <c r="A520" s="7" t="str">
        <f>IFERROR(__xludf.DUMMYFUNCTION("""COMPUTED_VALUE"""),"이서영3039")</f>
        <v>이서영3039</v>
      </c>
      <c r="B520" s="7">
        <v>16.0</v>
      </c>
    </row>
    <row r="521" ht="15.75" customHeight="1">
      <c r="A521" s="7" t="str">
        <f>IFERROR(__xludf.DUMMYFUNCTION("""COMPUTED_VALUE"""),"이서준3293")</f>
        <v>이서준3293</v>
      </c>
      <c r="B521" s="7">
        <v>16.0</v>
      </c>
    </row>
    <row r="522" ht="15.75" customHeight="1">
      <c r="A522" s="7" t="str">
        <f>IFERROR(__xludf.DUMMYFUNCTION("""COMPUTED_VALUE"""),"이서현1195")</f>
        <v>이서현1195</v>
      </c>
      <c r="B522" s="7">
        <v>16.0</v>
      </c>
    </row>
    <row r="523" ht="15.75" customHeight="1">
      <c r="A523" s="7" t="str">
        <f>IFERROR(__xludf.DUMMYFUNCTION("""COMPUTED_VALUE"""),"이선제2664")</f>
        <v>이선제2664</v>
      </c>
      <c r="B523" s="7">
        <v>16.0</v>
      </c>
    </row>
    <row r="524" ht="15.75" customHeight="1">
      <c r="A524" s="7" t="str">
        <f>IFERROR(__xludf.DUMMYFUNCTION("""COMPUTED_VALUE"""),"이성현8116")</f>
        <v>이성현8116</v>
      </c>
      <c r="B524" s="7">
        <v>16.0</v>
      </c>
    </row>
    <row r="525" ht="15.75" customHeight="1">
      <c r="A525" s="7" t="str">
        <f>IFERROR(__xludf.DUMMYFUNCTION("""COMPUTED_VALUE"""),"이소영6983")</f>
        <v>이소영6983</v>
      </c>
      <c r="B525" s="7">
        <v>15.0</v>
      </c>
    </row>
    <row r="526" ht="15.75" customHeight="1">
      <c r="A526" s="7" t="str">
        <f>IFERROR(__xludf.DUMMYFUNCTION("""COMPUTED_VALUE"""),"이수빈3905")</f>
        <v>이수빈3905</v>
      </c>
      <c r="B526" s="7">
        <v>16.0</v>
      </c>
    </row>
    <row r="527" ht="15.75" customHeight="1">
      <c r="A527" s="7" t="str">
        <f>IFERROR(__xludf.DUMMYFUNCTION("""COMPUTED_VALUE"""),"이수연2263")</f>
        <v>이수연2263</v>
      </c>
      <c r="B527" s="7">
        <v>16.0</v>
      </c>
    </row>
    <row r="528" ht="15.75" customHeight="1">
      <c r="A528" s="7" t="str">
        <f>IFERROR(__xludf.DUMMYFUNCTION("""COMPUTED_VALUE"""),"이수하0516")</f>
        <v>이수하0516</v>
      </c>
      <c r="B528" s="7">
        <v>16.0</v>
      </c>
    </row>
    <row r="529" ht="15.75" customHeight="1">
      <c r="A529" s="7" t="str">
        <f>IFERROR(__xludf.DUMMYFUNCTION("""COMPUTED_VALUE"""),"이승렬2389")</f>
        <v>이승렬2389</v>
      </c>
      <c r="B529" s="7">
        <v>16.0</v>
      </c>
    </row>
    <row r="530" ht="15.75" customHeight="1">
      <c r="A530" s="7" t="str">
        <f>IFERROR(__xludf.DUMMYFUNCTION("""COMPUTED_VALUE"""),"이승아9344")</f>
        <v>이승아9344</v>
      </c>
      <c r="B530" s="7">
        <v>16.0</v>
      </c>
    </row>
    <row r="531" ht="15.75" customHeight="1">
      <c r="A531" s="7" t="str">
        <f>IFERROR(__xludf.DUMMYFUNCTION("""COMPUTED_VALUE"""),"이승유6753")</f>
        <v>이승유6753</v>
      </c>
      <c r="B531" s="7">
        <v>16.0</v>
      </c>
    </row>
    <row r="532" ht="15.75" customHeight="1">
      <c r="A532" s="7" t="str">
        <f>IFERROR(__xludf.DUMMYFUNCTION("""COMPUTED_VALUE"""),"이연진0661")</f>
        <v>이연진0661</v>
      </c>
      <c r="B532" s="7">
        <v>16.0</v>
      </c>
    </row>
    <row r="533" ht="15.75" customHeight="1">
      <c r="A533" s="7" t="str">
        <f>IFERROR(__xludf.DUMMYFUNCTION("""COMPUTED_VALUE"""),"이우림6790")</f>
        <v>이우림6790</v>
      </c>
      <c r="B533" s="7">
        <v>16.0</v>
      </c>
    </row>
    <row r="534" ht="15.75" customHeight="1">
      <c r="A534" s="7" t="str">
        <f>IFERROR(__xludf.DUMMYFUNCTION("""COMPUTED_VALUE"""),"이재호5558")</f>
        <v>이재호5558</v>
      </c>
      <c r="B534" s="7">
        <v>16.0</v>
      </c>
    </row>
    <row r="535" ht="15.75" customHeight="1">
      <c r="A535" s="7" t="str">
        <f>IFERROR(__xludf.DUMMYFUNCTION("""COMPUTED_VALUE"""),"이정민3868")</f>
        <v>이정민3868</v>
      </c>
      <c r="B535" s="7">
        <v>16.0</v>
      </c>
    </row>
    <row r="536" ht="15.75" customHeight="1">
      <c r="A536" s="7" t="str">
        <f>IFERROR(__xludf.DUMMYFUNCTION("""COMPUTED_VALUE"""),"이정민6369")</f>
        <v>이정민6369</v>
      </c>
      <c r="B536" s="7">
        <v>16.0</v>
      </c>
    </row>
    <row r="537" ht="15.75" customHeight="1">
      <c r="A537" s="7" t="str">
        <f>IFERROR(__xludf.DUMMYFUNCTION("""COMPUTED_VALUE"""),"이정우1451")</f>
        <v>이정우1451</v>
      </c>
      <c r="B537" s="7">
        <v>16.0</v>
      </c>
    </row>
    <row r="538" ht="15.75" customHeight="1">
      <c r="A538" s="7" t="str">
        <f>IFERROR(__xludf.DUMMYFUNCTION("""COMPUTED_VALUE"""),"이정윤3714")</f>
        <v>이정윤3714</v>
      </c>
      <c r="B538" s="7">
        <v>16.0</v>
      </c>
    </row>
    <row r="539" ht="15.75" customHeight="1">
      <c r="A539" s="7" t="str">
        <f>IFERROR(__xludf.DUMMYFUNCTION("""COMPUTED_VALUE"""),"이주연1463")</f>
        <v>이주연1463</v>
      </c>
      <c r="B539" s="7">
        <v>16.0</v>
      </c>
    </row>
    <row r="540" ht="15.75" customHeight="1">
      <c r="A540" s="7" t="str">
        <f>IFERROR(__xludf.DUMMYFUNCTION("""COMPUTED_VALUE"""),"이주영3417")</f>
        <v>이주영3417</v>
      </c>
      <c r="B540" s="7">
        <v>16.0</v>
      </c>
    </row>
    <row r="541" ht="15.75" customHeight="1">
      <c r="A541" s="7" t="str">
        <f>IFERROR(__xludf.DUMMYFUNCTION("""COMPUTED_VALUE"""),"이주원2678")</f>
        <v>이주원2678</v>
      </c>
      <c r="B541" s="7">
        <v>16.0</v>
      </c>
    </row>
    <row r="542" ht="15.75" customHeight="1">
      <c r="A542" s="7" t="str">
        <f>IFERROR(__xludf.DUMMYFUNCTION("""COMPUTED_VALUE"""),"이준서5488")</f>
        <v>이준서5488</v>
      </c>
      <c r="B542" s="7">
        <v>13.0</v>
      </c>
    </row>
    <row r="543" ht="15.75" customHeight="1">
      <c r="A543" s="7" t="str">
        <f>IFERROR(__xludf.DUMMYFUNCTION("""COMPUTED_VALUE"""),"이준영2954")</f>
        <v>이준영2954</v>
      </c>
      <c r="B543" s="7">
        <v>16.0</v>
      </c>
    </row>
    <row r="544" ht="15.75" customHeight="1">
      <c r="A544" s="7" t="str">
        <f>IFERROR(__xludf.DUMMYFUNCTION("""COMPUTED_VALUE"""),"이준혁9510")</f>
        <v>이준혁9510</v>
      </c>
      <c r="B544" s="7">
        <v>16.0</v>
      </c>
    </row>
    <row r="545" ht="15.75" customHeight="1">
      <c r="A545" s="7" t="str">
        <f>IFERROR(__xludf.DUMMYFUNCTION("""COMPUTED_VALUE"""),"이지민1858")</f>
        <v>이지민1858</v>
      </c>
      <c r="B545" s="7">
        <v>16.0</v>
      </c>
    </row>
    <row r="546" ht="15.75" customHeight="1">
      <c r="A546" s="7" t="str">
        <f>IFERROR(__xludf.DUMMYFUNCTION("""COMPUTED_VALUE"""),"이지민9645")</f>
        <v>이지민9645</v>
      </c>
      <c r="B546" s="7">
        <v>16.0</v>
      </c>
    </row>
    <row r="547" ht="15.75" customHeight="1">
      <c r="A547" s="7" t="str">
        <f>IFERROR(__xludf.DUMMYFUNCTION("""COMPUTED_VALUE"""),"이지석3484")</f>
        <v>이지석3484</v>
      </c>
      <c r="B547" s="7">
        <v>16.0</v>
      </c>
    </row>
    <row r="548" ht="15.75" customHeight="1">
      <c r="A548" s="7" t="str">
        <f>IFERROR(__xludf.DUMMYFUNCTION("""COMPUTED_VALUE"""),"이지안0249")</f>
        <v>이지안0249</v>
      </c>
      <c r="B548" s="7">
        <v>16.0</v>
      </c>
    </row>
    <row r="549" ht="15.75" customHeight="1">
      <c r="A549" s="7" t="str">
        <f>IFERROR(__xludf.DUMMYFUNCTION("""COMPUTED_VALUE"""),"이지안7144")</f>
        <v>이지안7144</v>
      </c>
      <c r="B549" s="7">
        <v>16.0</v>
      </c>
    </row>
    <row r="550" ht="15.75" customHeight="1">
      <c r="A550" s="7" t="str">
        <f>IFERROR(__xludf.DUMMYFUNCTION("""COMPUTED_VALUE"""),"이지연7304")</f>
        <v>이지연7304</v>
      </c>
      <c r="B550" s="7">
        <v>16.0</v>
      </c>
    </row>
    <row r="551" ht="15.75" customHeight="1">
      <c r="A551" s="7" t="str">
        <f>IFERROR(__xludf.DUMMYFUNCTION("""COMPUTED_VALUE"""),"이지인9037")</f>
        <v>이지인9037</v>
      </c>
      <c r="B551" s="7">
        <v>16.0</v>
      </c>
    </row>
    <row r="552" ht="15.75" customHeight="1">
      <c r="A552" s="7" t="str">
        <f>IFERROR(__xludf.DUMMYFUNCTION("""COMPUTED_VALUE"""),"이지훈2312")</f>
        <v>이지훈2312</v>
      </c>
      <c r="B552" s="7">
        <v>16.0</v>
      </c>
    </row>
    <row r="553" ht="15.75" customHeight="1">
      <c r="A553" s="7" t="str">
        <f>IFERROR(__xludf.DUMMYFUNCTION("""COMPUTED_VALUE"""),"이지훈8700")</f>
        <v>이지훈8700</v>
      </c>
      <c r="B553" s="7">
        <v>16.0</v>
      </c>
    </row>
    <row r="554" ht="15.75" customHeight="1">
      <c r="A554" s="7" t="str">
        <f>IFERROR(__xludf.DUMMYFUNCTION("""COMPUTED_VALUE"""),"이진희3899")</f>
        <v>이진희3899</v>
      </c>
      <c r="B554" s="7">
        <v>16.0</v>
      </c>
    </row>
    <row r="555" ht="15.75" customHeight="1">
      <c r="A555" s="7" t="str">
        <f>IFERROR(__xludf.DUMMYFUNCTION("""COMPUTED_VALUE"""),"이찬영7608")</f>
        <v>이찬영7608</v>
      </c>
      <c r="B555" s="7">
        <v>16.0</v>
      </c>
    </row>
    <row r="556" ht="15.75" customHeight="1">
      <c r="A556" s="7" t="str">
        <f>IFERROR(__xludf.DUMMYFUNCTION("""COMPUTED_VALUE"""),"이채연3823")</f>
        <v>이채연3823</v>
      </c>
      <c r="B556" s="7">
        <v>16.0</v>
      </c>
    </row>
    <row r="557" ht="15.75" customHeight="1">
      <c r="A557" s="7" t="str">
        <f>IFERROR(__xludf.DUMMYFUNCTION("""COMPUTED_VALUE"""),"이태우0151")</f>
        <v>이태우0151</v>
      </c>
      <c r="B557" s="7">
        <v>16.0</v>
      </c>
    </row>
    <row r="558" ht="15.75" customHeight="1">
      <c r="A558" s="7" t="str">
        <f>IFERROR(__xludf.DUMMYFUNCTION("""COMPUTED_VALUE"""),"이하은6903")</f>
        <v>이하은6903</v>
      </c>
      <c r="B558" s="7">
        <v>16.0</v>
      </c>
    </row>
    <row r="559" ht="15.75" customHeight="1">
      <c r="A559" s="7" t="str">
        <f>IFERROR(__xludf.DUMMYFUNCTION("""COMPUTED_VALUE"""),"이하준5726")</f>
        <v>이하준5726</v>
      </c>
      <c r="B559" s="7">
        <v>16.0</v>
      </c>
    </row>
    <row r="560" ht="15.75" customHeight="1">
      <c r="A560" s="7" t="str">
        <f>IFERROR(__xludf.DUMMYFUNCTION("""COMPUTED_VALUE"""),"이학준3921")</f>
        <v>이학준3921</v>
      </c>
      <c r="B560" s="7">
        <v>16.0</v>
      </c>
    </row>
    <row r="561" ht="15.75" customHeight="1">
      <c r="A561" s="7" t="str">
        <f>IFERROR(__xludf.DUMMYFUNCTION("""COMPUTED_VALUE"""),"이현민0623")</f>
        <v>이현민0623</v>
      </c>
      <c r="B561" s="7">
        <v>16.0</v>
      </c>
    </row>
    <row r="562" ht="15.75" customHeight="1">
      <c r="A562" s="7" t="str">
        <f>IFERROR(__xludf.DUMMYFUNCTION("""COMPUTED_VALUE"""),"이현민7480")</f>
        <v>이현민7480</v>
      </c>
      <c r="B562" s="7">
        <v>16.0</v>
      </c>
    </row>
    <row r="563" ht="15.75" customHeight="1">
      <c r="A563" s="7" t="str">
        <f>IFERROR(__xludf.DUMMYFUNCTION("""COMPUTED_VALUE"""),"이현주7715")</f>
        <v>이현주7715</v>
      </c>
      <c r="B563" s="7">
        <v>16.0</v>
      </c>
    </row>
    <row r="564" ht="15.75" customHeight="1">
      <c r="A564" s="7" t="str">
        <f>IFERROR(__xludf.DUMMYFUNCTION("""COMPUTED_VALUE"""),"이혜승8213")</f>
        <v>이혜승8213</v>
      </c>
      <c r="B564" s="7">
        <v>16.0</v>
      </c>
    </row>
    <row r="565" ht="15.75" customHeight="1">
      <c r="A565" s="7" t="str">
        <f>IFERROR(__xludf.DUMMYFUNCTION("""COMPUTED_VALUE"""),"이혜승9195")</f>
        <v>이혜승9195</v>
      </c>
      <c r="B565" s="7">
        <v>16.0</v>
      </c>
    </row>
    <row r="566" ht="15.75" customHeight="1">
      <c r="A566" s="7" t="str">
        <f>IFERROR(__xludf.DUMMYFUNCTION("""COMPUTED_VALUE"""),"이혜진")</f>
        <v>이혜진</v>
      </c>
      <c r="B566" s="7">
        <v>1.0</v>
      </c>
    </row>
    <row r="567" ht="15.75" customHeight="1">
      <c r="A567" s="7" t="str">
        <f>IFERROR(__xludf.DUMMYFUNCTION("""COMPUTED_VALUE"""),"이호은3004")</f>
        <v>이호은3004</v>
      </c>
      <c r="B567" s="7">
        <v>16.0</v>
      </c>
    </row>
    <row r="568" ht="15.75" customHeight="1">
      <c r="A568" s="7" t="str">
        <f>IFERROR(__xludf.DUMMYFUNCTION("""COMPUTED_VALUE"""),"이효주9412")</f>
        <v>이효주9412</v>
      </c>
      <c r="B568" s="7">
        <v>16.0</v>
      </c>
    </row>
    <row r="569" ht="15.75" customHeight="1">
      <c r="A569" s="7" t="str">
        <f>IFERROR(__xludf.DUMMYFUNCTION("""COMPUTED_VALUE"""),"이후영1558")</f>
        <v>이후영1558</v>
      </c>
      <c r="B569" s="7">
        <v>16.0</v>
      </c>
    </row>
    <row r="570" ht="15.75" customHeight="1">
      <c r="A570" s="7" t="str">
        <f>IFERROR(__xludf.DUMMYFUNCTION("""COMPUTED_VALUE"""),"임보민6528")</f>
        <v>임보민6528</v>
      </c>
      <c r="B570" s="7">
        <v>16.0</v>
      </c>
    </row>
    <row r="571" ht="15.75" customHeight="1">
      <c r="A571" s="7" t="str">
        <f>IFERROR(__xludf.DUMMYFUNCTION("""COMPUTED_VALUE"""),"임서현7063")</f>
        <v>임서현7063</v>
      </c>
      <c r="B571" s="7">
        <v>16.0</v>
      </c>
    </row>
    <row r="572" ht="15.75" customHeight="1">
      <c r="A572" s="7" t="str">
        <f>IFERROR(__xludf.DUMMYFUNCTION("""COMPUTED_VALUE"""),"임유석0328")</f>
        <v>임유석0328</v>
      </c>
      <c r="B572" s="7">
        <v>16.0</v>
      </c>
    </row>
    <row r="573" ht="15.75" customHeight="1">
      <c r="A573" s="7" t="str">
        <f>IFERROR(__xludf.DUMMYFUNCTION("""COMPUTED_VALUE"""),"임유진2465")</f>
        <v>임유진2465</v>
      </c>
      <c r="B573" s="7">
        <v>16.0</v>
      </c>
    </row>
    <row r="574" ht="15.75" customHeight="1">
      <c r="A574" s="7" t="str">
        <f>IFERROR(__xludf.DUMMYFUNCTION("""COMPUTED_VALUE"""),"임지우1770")</f>
        <v>임지우1770</v>
      </c>
      <c r="B574" s="7">
        <v>16.0</v>
      </c>
    </row>
    <row r="575" ht="15.75" customHeight="1">
      <c r="A575" s="7" t="str">
        <f>IFERROR(__xludf.DUMMYFUNCTION("""COMPUTED_VALUE"""),"임지후6829")</f>
        <v>임지후6829</v>
      </c>
      <c r="B575" s="7">
        <v>16.0</v>
      </c>
    </row>
    <row r="576" ht="15.75" customHeight="1">
      <c r="A576" s="7" t="str">
        <f>IFERROR(__xludf.DUMMYFUNCTION("""COMPUTED_VALUE"""),"임하린3311")</f>
        <v>임하린3311</v>
      </c>
      <c r="B576" s="7">
        <v>16.0</v>
      </c>
    </row>
    <row r="577" ht="15.75" customHeight="1">
      <c r="A577" s="7" t="str">
        <f>IFERROR(__xludf.DUMMYFUNCTION("""COMPUTED_VALUE"""),"임형규8711")</f>
        <v>임형규8711</v>
      </c>
      <c r="B577" s="7">
        <v>16.0</v>
      </c>
    </row>
    <row r="578" ht="15.75" customHeight="1">
      <c r="A578" s="7" t="str">
        <f>IFERROR(__xludf.DUMMYFUNCTION("""COMPUTED_VALUE"""),"장규리1946")</f>
        <v>장규리1946</v>
      </c>
      <c r="B578" s="7">
        <v>16.0</v>
      </c>
    </row>
    <row r="579" ht="15.75" customHeight="1">
      <c r="A579" s="7" t="str">
        <f>IFERROR(__xludf.DUMMYFUNCTION("""COMPUTED_VALUE"""),"장서인9593")</f>
        <v>장서인9593</v>
      </c>
      <c r="B579" s="7">
        <v>16.0</v>
      </c>
    </row>
    <row r="580" ht="15.75" customHeight="1">
      <c r="A580" s="7" t="str">
        <f>IFERROR(__xludf.DUMMYFUNCTION("""COMPUTED_VALUE"""),"장연우3976")</f>
        <v>장연우3976</v>
      </c>
      <c r="B580" s="7">
        <v>16.0</v>
      </c>
    </row>
    <row r="581" ht="15.75" customHeight="1">
      <c r="A581" s="7" t="str">
        <f>IFERROR(__xludf.DUMMYFUNCTION("""COMPUTED_VALUE"""),"장유현7693")</f>
        <v>장유현7693</v>
      </c>
      <c r="B581" s="7">
        <v>16.0</v>
      </c>
    </row>
    <row r="582" ht="15.75" customHeight="1">
      <c r="A582" s="7" t="str">
        <f>IFERROR(__xludf.DUMMYFUNCTION("""COMPUTED_VALUE"""),"장윤서2744")</f>
        <v>장윤서2744</v>
      </c>
      <c r="B582" s="7">
        <v>16.0</v>
      </c>
    </row>
    <row r="583" ht="15.75" customHeight="1">
      <c r="A583" s="7" t="str">
        <f>IFERROR(__xludf.DUMMYFUNCTION("""COMPUTED_VALUE"""),"장태웅2011")</f>
        <v>장태웅2011</v>
      </c>
      <c r="B583" s="7">
        <v>16.0</v>
      </c>
    </row>
    <row r="584" ht="15.75" customHeight="1">
      <c r="A584" s="7" t="str">
        <f>IFERROR(__xludf.DUMMYFUNCTION("""COMPUTED_VALUE"""),"전건우1448")</f>
        <v>전건우1448</v>
      </c>
      <c r="B584" s="7">
        <v>16.0</v>
      </c>
    </row>
    <row r="585" ht="15.75" customHeight="1">
      <c r="A585" s="7" t="str">
        <f>IFERROR(__xludf.DUMMYFUNCTION("""COMPUTED_VALUE"""),"전영서6156")</f>
        <v>전영서6156</v>
      </c>
      <c r="B585" s="7">
        <v>16.0</v>
      </c>
    </row>
    <row r="586" ht="15.75" customHeight="1">
      <c r="A586" s="7" t="str">
        <f>IFERROR(__xludf.DUMMYFUNCTION("""COMPUTED_VALUE"""),"전지윤2397")</f>
        <v>전지윤2397</v>
      </c>
      <c r="B586" s="7">
        <v>16.0</v>
      </c>
    </row>
    <row r="587" ht="15.75" customHeight="1">
      <c r="A587" s="7" t="str">
        <f>IFERROR(__xludf.DUMMYFUNCTION("""COMPUTED_VALUE"""),"전필경1591")</f>
        <v>전필경1591</v>
      </c>
      <c r="B587" s="7">
        <v>16.0</v>
      </c>
    </row>
    <row r="588" ht="15.75" customHeight="1">
      <c r="A588" s="7" t="str">
        <f>IFERROR(__xludf.DUMMYFUNCTION("""COMPUTED_VALUE"""),"전한3740")</f>
        <v>전한3740</v>
      </c>
      <c r="B588" s="7">
        <v>16.0</v>
      </c>
    </row>
    <row r="589" ht="15.75" customHeight="1">
      <c r="A589" s="7" t="str">
        <f>IFERROR(__xludf.DUMMYFUNCTION("""COMPUTED_VALUE"""),"전현서5455")</f>
        <v>전현서5455</v>
      </c>
      <c r="B589" s="7">
        <v>16.0</v>
      </c>
    </row>
    <row r="590" ht="15.75" customHeight="1">
      <c r="A590" s="7" t="str">
        <f>IFERROR(__xludf.DUMMYFUNCTION("""COMPUTED_VALUE"""),"전현우8037")</f>
        <v>전현우8037</v>
      </c>
      <c r="B590" s="7">
        <v>16.0</v>
      </c>
    </row>
    <row r="591" ht="15.75" customHeight="1">
      <c r="A591" s="7" t="str">
        <f>IFERROR(__xludf.DUMMYFUNCTION("""COMPUTED_VALUE"""),"정구헌5177")</f>
        <v>정구헌5177</v>
      </c>
      <c r="B591" s="7">
        <v>16.0</v>
      </c>
    </row>
    <row r="592" ht="15.75" customHeight="1">
      <c r="A592" s="7" t="str">
        <f>IFERROR(__xludf.DUMMYFUNCTION("""COMPUTED_VALUE"""),"정다은0102")</f>
        <v>정다은0102</v>
      </c>
      <c r="B592" s="7">
        <v>16.0</v>
      </c>
    </row>
    <row r="593" ht="15.75" customHeight="1">
      <c r="A593" s="7" t="str">
        <f>IFERROR(__xludf.DUMMYFUNCTION("""COMPUTED_VALUE"""),"정다인5031")</f>
        <v>정다인5031</v>
      </c>
      <c r="B593" s="7">
        <v>16.0</v>
      </c>
    </row>
    <row r="594" ht="15.75" customHeight="1">
      <c r="A594" s="7" t="str">
        <f>IFERROR(__xludf.DUMMYFUNCTION("""COMPUTED_VALUE"""),"정선우8814")</f>
        <v>정선우8814</v>
      </c>
      <c r="B594" s="7">
        <v>16.0</v>
      </c>
    </row>
    <row r="595" ht="15.75" customHeight="1">
      <c r="A595" s="7" t="str">
        <f>IFERROR(__xludf.DUMMYFUNCTION("""COMPUTED_VALUE"""),"정승민3451")</f>
        <v>정승민3451</v>
      </c>
      <c r="B595" s="7">
        <v>16.0</v>
      </c>
    </row>
    <row r="596" ht="15.75" customHeight="1">
      <c r="A596" s="7" t="str">
        <f>IFERROR(__xludf.DUMMYFUNCTION("""COMPUTED_VALUE"""),"정요셉2166")</f>
        <v>정요셉2166</v>
      </c>
      <c r="B596" s="7">
        <v>16.0</v>
      </c>
    </row>
    <row r="597" ht="15.75" customHeight="1">
      <c r="A597" s="7" t="str">
        <f>IFERROR(__xludf.DUMMYFUNCTION("""COMPUTED_VALUE"""),"정원영3775")</f>
        <v>정원영3775</v>
      </c>
      <c r="B597" s="7">
        <v>16.0</v>
      </c>
    </row>
    <row r="598" ht="15.75" customHeight="1">
      <c r="A598" s="7" t="str">
        <f>IFERROR(__xludf.DUMMYFUNCTION("""COMPUTED_VALUE"""),"정은채0710")</f>
        <v>정은채0710</v>
      </c>
      <c r="B598" s="7">
        <v>16.0</v>
      </c>
    </row>
    <row r="599" ht="15.75" customHeight="1">
      <c r="A599" s="7" t="str">
        <f>IFERROR(__xludf.DUMMYFUNCTION("""COMPUTED_VALUE"""),"정인호2362")</f>
        <v>정인호2362</v>
      </c>
      <c r="B599" s="7">
        <v>16.0</v>
      </c>
    </row>
    <row r="600" ht="15.75" customHeight="1">
      <c r="A600" s="7" t="str">
        <f>IFERROR(__xludf.DUMMYFUNCTION("""COMPUTED_VALUE"""),"정재아1991")</f>
        <v>정재아1991</v>
      </c>
      <c r="B600" s="7">
        <v>16.0</v>
      </c>
    </row>
    <row r="601" ht="15.75" customHeight="1">
      <c r="A601" s="7" t="str">
        <f>IFERROR(__xludf.DUMMYFUNCTION("""COMPUTED_VALUE"""),"정재윤6842")</f>
        <v>정재윤6842</v>
      </c>
      <c r="B601" s="7">
        <v>16.0</v>
      </c>
    </row>
    <row r="602" ht="15.75" customHeight="1">
      <c r="A602" s="7" t="str">
        <f>IFERROR(__xludf.DUMMYFUNCTION("""COMPUTED_VALUE"""),"정진아1771")</f>
        <v>정진아1771</v>
      </c>
      <c r="B602" s="7">
        <v>16.0</v>
      </c>
    </row>
    <row r="603" ht="15.75" customHeight="1">
      <c r="A603" s="7" t="str">
        <f>IFERROR(__xludf.DUMMYFUNCTION("""COMPUTED_VALUE"""),"정태환9622")</f>
        <v>정태환9622</v>
      </c>
      <c r="B603" s="7">
        <v>16.0</v>
      </c>
    </row>
    <row r="604" ht="15.75" customHeight="1">
      <c r="A604" s="7" t="str">
        <f>IFERROR(__xludf.DUMMYFUNCTION("""COMPUTED_VALUE"""),"정현우5340")</f>
        <v>정현우5340</v>
      </c>
      <c r="B604" s="7">
        <v>16.0</v>
      </c>
    </row>
    <row r="605" ht="15.75" customHeight="1">
      <c r="A605" s="7" t="str">
        <f>IFERROR(__xludf.DUMMYFUNCTION("""COMPUTED_VALUE"""),"정호현2609")</f>
        <v>정호현2609</v>
      </c>
      <c r="B605" s="7">
        <v>16.0</v>
      </c>
    </row>
    <row r="606" ht="15.75" customHeight="1">
      <c r="A606" s="7" t="str">
        <f>IFERROR(__xludf.DUMMYFUNCTION("""COMPUTED_VALUE"""),"조상원4487")</f>
        <v>조상원4487</v>
      </c>
      <c r="B606" s="7">
        <v>16.0</v>
      </c>
    </row>
    <row r="607" ht="15.75" customHeight="1">
      <c r="A607" s="7" t="str">
        <f>IFERROR(__xludf.DUMMYFUNCTION("""COMPUTED_VALUE"""),"조상혁0315")</f>
        <v>조상혁0315</v>
      </c>
      <c r="B607" s="7">
        <v>16.0</v>
      </c>
    </row>
    <row r="608" ht="15.75" customHeight="1">
      <c r="A608" s="7" t="str">
        <f>IFERROR(__xludf.DUMMYFUNCTION("""COMPUTED_VALUE"""),"조성원7897")</f>
        <v>조성원7897</v>
      </c>
      <c r="B608" s="7">
        <v>16.0</v>
      </c>
    </row>
    <row r="609" ht="15.75" customHeight="1">
      <c r="A609" s="7" t="str">
        <f>IFERROR(__xludf.DUMMYFUNCTION("""COMPUTED_VALUE"""),"조수빈5948")</f>
        <v>조수빈5948</v>
      </c>
      <c r="B609" s="7">
        <v>16.0</v>
      </c>
    </row>
    <row r="610" ht="15.75" customHeight="1">
      <c r="A610" s="7" t="str">
        <f>IFERROR(__xludf.DUMMYFUNCTION("""COMPUTED_VALUE"""),"조아현0939")</f>
        <v>조아현0939</v>
      </c>
      <c r="B610" s="7">
        <v>16.0</v>
      </c>
    </row>
    <row r="611" ht="15.75" customHeight="1">
      <c r="A611" s="7" t="str">
        <f>IFERROR(__xludf.DUMMYFUNCTION("""COMPUTED_VALUE"""),"조영백9524")</f>
        <v>조영백9524</v>
      </c>
      <c r="B611" s="7">
        <v>16.0</v>
      </c>
    </row>
    <row r="612" ht="15.75" customHeight="1">
      <c r="A612" s="7" t="str">
        <f>IFERROR(__xludf.DUMMYFUNCTION("""COMPUTED_VALUE"""),"조윤9517")</f>
        <v>조윤9517</v>
      </c>
      <c r="B612" s="7">
        <v>16.0</v>
      </c>
    </row>
    <row r="613" ht="15.75" customHeight="1">
      <c r="A613" s="7" t="str">
        <f>IFERROR(__xludf.DUMMYFUNCTION("""COMPUTED_VALUE"""),"조윤서2297")</f>
        <v>조윤서2297</v>
      </c>
      <c r="B613" s="7">
        <v>16.0</v>
      </c>
    </row>
    <row r="614" ht="15.75" customHeight="1">
      <c r="A614" s="7" t="str">
        <f>IFERROR(__xludf.DUMMYFUNCTION("""COMPUTED_VALUE"""),"조윤재3461")</f>
        <v>조윤재3461</v>
      </c>
      <c r="B614" s="7">
        <v>16.0</v>
      </c>
    </row>
    <row r="615" ht="15.75" customHeight="1">
      <c r="A615" s="7" t="str">
        <f>IFERROR(__xludf.DUMMYFUNCTION("""COMPUTED_VALUE"""),"조은희9858")</f>
        <v>조은희9858</v>
      </c>
      <c r="B615" s="7">
        <v>16.0</v>
      </c>
    </row>
    <row r="616" ht="15.75" customHeight="1">
      <c r="A616" s="7" t="str">
        <f>IFERROR(__xludf.DUMMYFUNCTION("""COMPUTED_VALUE"""),"조준희9561")</f>
        <v>조준희9561</v>
      </c>
      <c r="B616" s="7">
        <v>16.0</v>
      </c>
    </row>
    <row r="617" ht="15.75" customHeight="1">
      <c r="A617" s="7" t="str">
        <f>IFERROR(__xludf.DUMMYFUNCTION("""COMPUTED_VALUE"""),"조항진1928")</f>
        <v>조항진1928</v>
      </c>
      <c r="B617" s="7">
        <v>16.0</v>
      </c>
    </row>
    <row r="618" ht="15.75" customHeight="1">
      <c r="A618" s="7" t="str">
        <f>IFERROR(__xludf.DUMMYFUNCTION("""COMPUTED_VALUE"""),"조현승1876")</f>
        <v>조현승1876</v>
      </c>
      <c r="B618" s="7">
        <v>16.0</v>
      </c>
    </row>
    <row r="619" ht="15.75" customHeight="1">
      <c r="A619" s="7" t="str">
        <f>IFERROR(__xludf.DUMMYFUNCTION("""COMPUTED_VALUE"""),"조현우6865")</f>
        <v>조현우6865</v>
      </c>
      <c r="B619" s="7">
        <v>16.0</v>
      </c>
    </row>
    <row r="620" ht="15.75" customHeight="1">
      <c r="A620" s="7" t="str">
        <f>IFERROR(__xludf.DUMMYFUNCTION("""COMPUTED_VALUE"""),"주연우1744")</f>
        <v>주연우1744</v>
      </c>
      <c r="B620" s="7">
        <v>16.0</v>
      </c>
    </row>
    <row r="621" ht="15.75" customHeight="1">
      <c r="A621" s="7" t="str">
        <f>IFERROR(__xludf.DUMMYFUNCTION("""COMPUTED_VALUE"""),"지승준5789")</f>
        <v>지승준5789</v>
      </c>
      <c r="B621" s="7">
        <v>16.0</v>
      </c>
    </row>
    <row r="622" ht="15.75" customHeight="1">
      <c r="A622" s="7" t="str">
        <f>IFERROR(__xludf.DUMMYFUNCTION("""COMPUTED_VALUE"""),"진수아1085")</f>
        <v>진수아1085</v>
      </c>
      <c r="B622" s="7">
        <v>16.0</v>
      </c>
    </row>
    <row r="623" ht="15.75" customHeight="1">
      <c r="A623" s="7" t="str">
        <f>IFERROR(__xludf.DUMMYFUNCTION("""COMPUTED_VALUE"""),"차민정8797")</f>
        <v>차민정8797</v>
      </c>
      <c r="B623" s="7">
        <v>16.0</v>
      </c>
    </row>
    <row r="624" ht="15.75" customHeight="1">
      <c r="A624" s="7" t="str">
        <f>IFERROR(__xludf.DUMMYFUNCTION("""COMPUTED_VALUE"""),"채수빈1097")</f>
        <v>채수빈1097</v>
      </c>
      <c r="B624" s="7">
        <v>16.0</v>
      </c>
    </row>
    <row r="625" ht="15.75" customHeight="1">
      <c r="A625" s="7" t="str">
        <f>IFERROR(__xludf.DUMMYFUNCTION("""COMPUTED_VALUE"""),"채연재6841")</f>
        <v>채연재6841</v>
      </c>
      <c r="B625" s="7">
        <v>16.0</v>
      </c>
    </row>
    <row r="626" ht="15.75" customHeight="1">
      <c r="A626" s="7" t="str">
        <f>IFERROR(__xludf.DUMMYFUNCTION("""COMPUTED_VALUE"""),"최경원1895")</f>
        <v>최경원1895</v>
      </c>
      <c r="B626" s="7">
        <v>16.0</v>
      </c>
    </row>
    <row r="627" ht="15.75" customHeight="1">
      <c r="A627" s="7" t="str">
        <f>IFERROR(__xludf.DUMMYFUNCTION("""COMPUTED_VALUE"""),"최명헌1725")</f>
        <v>최명헌1725</v>
      </c>
      <c r="B627" s="7">
        <v>16.0</v>
      </c>
    </row>
    <row r="628" ht="15.75" customHeight="1">
      <c r="A628" s="7" t="str">
        <f>IFERROR(__xludf.DUMMYFUNCTION("""COMPUTED_VALUE"""),"최모세2041")</f>
        <v>최모세2041</v>
      </c>
      <c r="B628" s="7">
        <v>16.0</v>
      </c>
    </row>
    <row r="629" ht="15.75" customHeight="1">
      <c r="A629" s="7" t="str">
        <f>IFERROR(__xludf.DUMMYFUNCTION("""COMPUTED_VALUE"""),"최성연3824")</f>
        <v>최성연3824</v>
      </c>
      <c r="B629" s="7">
        <v>16.0</v>
      </c>
    </row>
    <row r="630" ht="15.75" customHeight="1">
      <c r="A630" s="7" t="str">
        <f>IFERROR(__xludf.DUMMYFUNCTION("""COMPUTED_VALUE"""),"최성은0250")</f>
        <v>최성은0250</v>
      </c>
      <c r="B630" s="7">
        <v>16.0</v>
      </c>
    </row>
    <row r="631" ht="15.75" customHeight="1">
      <c r="A631" s="7" t="str">
        <f>IFERROR(__xludf.DUMMYFUNCTION("""COMPUTED_VALUE"""),"최승빈8945")</f>
        <v>최승빈8945</v>
      </c>
      <c r="B631" s="7">
        <v>16.0</v>
      </c>
    </row>
    <row r="632" ht="15.75" customHeight="1">
      <c r="A632" s="7" t="str">
        <f>IFERROR(__xludf.DUMMYFUNCTION("""COMPUTED_VALUE"""),"최연우3363")</f>
        <v>최연우3363</v>
      </c>
      <c r="B632" s="7">
        <v>16.0</v>
      </c>
    </row>
    <row r="633" ht="15.75" customHeight="1">
      <c r="A633" s="7" t="str">
        <f>IFERROR(__xludf.DUMMYFUNCTION("""COMPUTED_VALUE"""),"최연원9450")</f>
        <v>최연원9450</v>
      </c>
      <c r="B633" s="7">
        <v>16.0</v>
      </c>
    </row>
    <row r="634" ht="15.75" customHeight="1">
      <c r="A634" s="7" t="str">
        <f>IFERROR(__xludf.DUMMYFUNCTION("""COMPUTED_VALUE"""),"최예서4554")</f>
        <v>최예서4554</v>
      </c>
      <c r="B634" s="7">
        <v>16.0</v>
      </c>
    </row>
    <row r="635" ht="15.75" customHeight="1">
      <c r="A635" s="7" t="str">
        <f>IFERROR(__xludf.DUMMYFUNCTION("""COMPUTED_VALUE"""),"최예진5486")</f>
        <v>최예진5486</v>
      </c>
      <c r="B635" s="7">
        <v>16.0</v>
      </c>
    </row>
    <row r="636" ht="15.75" customHeight="1">
      <c r="A636" s="7" t="str">
        <f>IFERROR(__xludf.DUMMYFUNCTION("""COMPUTED_VALUE"""),"최우주2739")</f>
        <v>최우주2739</v>
      </c>
      <c r="B636" s="7">
        <v>16.0</v>
      </c>
    </row>
    <row r="637" ht="15.75" customHeight="1">
      <c r="A637" s="7" t="str">
        <f>IFERROR(__xludf.DUMMYFUNCTION("""COMPUTED_VALUE"""),"최우현9385")</f>
        <v>최우현9385</v>
      </c>
      <c r="B637" s="7">
        <v>16.0</v>
      </c>
    </row>
    <row r="638" ht="15.75" customHeight="1">
      <c r="A638" s="7" t="str">
        <f>IFERROR(__xludf.DUMMYFUNCTION("""COMPUTED_VALUE"""),"최정은9852")</f>
        <v>최정은9852</v>
      </c>
      <c r="B638" s="7">
        <v>16.0</v>
      </c>
    </row>
    <row r="639" ht="15.75" customHeight="1">
      <c r="A639" s="7" t="str">
        <f>IFERROR(__xludf.DUMMYFUNCTION("""COMPUTED_VALUE"""),"최지성9764")</f>
        <v>최지성9764</v>
      </c>
      <c r="B639" s="7">
        <v>16.0</v>
      </c>
    </row>
    <row r="640" ht="15.75" customHeight="1">
      <c r="A640" s="7" t="str">
        <f>IFERROR(__xludf.DUMMYFUNCTION("""COMPUTED_VALUE"""),"최지수6201")</f>
        <v>최지수6201</v>
      </c>
      <c r="B640" s="7">
        <v>16.0</v>
      </c>
    </row>
    <row r="641" ht="15.75" customHeight="1">
      <c r="A641" s="7" t="str">
        <f>IFERROR(__xludf.DUMMYFUNCTION("""COMPUTED_VALUE"""),"최태경7637")</f>
        <v>최태경7637</v>
      </c>
      <c r="B641" s="7">
        <v>16.0</v>
      </c>
    </row>
    <row r="642" ht="15.75" customHeight="1">
      <c r="A642" s="7" t="str">
        <f>IFERROR(__xludf.DUMMYFUNCTION("""COMPUTED_VALUE"""),"최현준5933")</f>
        <v>최현준5933</v>
      </c>
      <c r="B642" s="7">
        <v>16.0</v>
      </c>
    </row>
    <row r="643" ht="15.75" customHeight="1">
      <c r="A643" s="7" t="str">
        <f>IFERROR(__xludf.DUMMYFUNCTION("""COMPUTED_VALUE"""),"최현진0275")</f>
        <v>최현진0275</v>
      </c>
      <c r="B643" s="7">
        <v>16.0</v>
      </c>
    </row>
    <row r="644" ht="15.75" customHeight="1">
      <c r="A644" s="7" t="str">
        <f>IFERROR(__xludf.DUMMYFUNCTION("""COMPUTED_VALUE"""),"최호연1078")</f>
        <v>최호연1078</v>
      </c>
      <c r="B644" s="7">
        <v>16.0</v>
      </c>
    </row>
    <row r="645" ht="15.75" customHeight="1">
      <c r="A645" s="7" t="str">
        <f>IFERROR(__xludf.DUMMYFUNCTION("""COMPUTED_VALUE"""),"한소윤6030")</f>
        <v>한소윤6030</v>
      </c>
      <c r="B645" s="7">
        <v>16.0</v>
      </c>
    </row>
    <row r="646" ht="15.75" customHeight="1">
      <c r="A646" s="7" t="str">
        <f>IFERROR(__xludf.DUMMYFUNCTION("""COMPUTED_VALUE"""),"한수빈4103")</f>
        <v>한수빈4103</v>
      </c>
      <c r="B646" s="7">
        <v>16.0</v>
      </c>
    </row>
    <row r="647" ht="15.75" customHeight="1">
      <c r="A647" s="7" t="str">
        <f>IFERROR(__xludf.DUMMYFUNCTION("""COMPUTED_VALUE"""),"한이빈9694")</f>
        <v>한이빈9694</v>
      </c>
      <c r="B647" s="7">
        <v>16.0</v>
      </c>
    </row>
    <row r="648" ht="15.75" customHeight="1">
      <c r="A648" s="7" t="str">
        <f>IFERROR(__xludf.DUMMYFUNCTION("""COMPUTED_VALUE"""),"한재윤4722")</f>
        <v>한재윤4722</v>
      </c>
      <c r="B648" s="7">
        <v>16.0</v>
      </c>
    </row>
    <row r="649" ht="15.75" customHeight="1">
      <c r="A649" s="7" t="str">
        <f>IFERROR(__xludf.DUMMYFUNCTION("""COMPUTED_VALUE"""),"한주희3938")</f>
        <v>한주희3938</v>
      </c>
      <c r="B649" s="7">
        <v>16.0</v>
      </c>
    </row>
    <row r="650" ht="15.75" customHeight="1">
      <c r="A650" s="7" t="str">
        <f>IFERROR(__xludf.DUMMYFUNCTION("""COMPUTED_VALUE"""),"한지요6979")</f>
        <v>한지요6979</v>
      </c>
      <c r="B650" s="7">
        <v>16.0</v>
      </c>
    </row>
    <row r="651" ht="15.75" customHeight="1">
      <c r="A651" s="7" t="str">
        <f>IFERROR(__xludf.DUMMYFUNCTION("""COMPUTED_VALUE"""),"함건희1005")</f>
        <v>함건희1005</v>
      </c>
      <c r="B651" s="7">
        <v>16.0</v>
      </c>
    </row>
    <row r="652" ht="15.75" customHeight="1">
      <c r="A652" s="7" t="str">
        <f>IFERROR(__xludf.DUMMYFUNCTION("""COMPUTED_VALUE"""),"함주혁2458")</f>
        <v>함주혁2458</v>
      </c>
      <c r="B652" s="7">
        <v>16.0</v>
      </c>
    </row>
    <row r="653" ht="15.75" customHeight="1">
      <c r="A653" s="7" t="str">
        <f>IFERROR(__xludf.DUMMYFUNCTION("""COMPUTED_VALUE"""),"허동국0551")</f>
        <v>허동국0551</v>
      </c>
      <c r="B653" s="7">
        <v>16.0</v>
      </c>
    </row>
    <row r="654" ht="15.75" customHeight="1">
      <c r="A654" s="7" t="str">
        <f>IFERROR(__xludf.DUMMYFUNCTION("""COMPUTED_VALUE"""),"허민2214")</f>
        <v>허민2214</v>
      </c>
      <c r="B654" s="7">
        <v>16.0</v>
      </c>
    </row>
    <row r="655" ht="15.75" customHeight="1">
      <c r="A655" s="7" t="str">
        <f>IFERROR(__xludf.DUMMYFUNCTION("""COMPUTED_VALUE"""),"허우진0236")</f>
        <v>허우진0236</v>
      </c>
      <c r="B655" s="7">
        <v>16.0</v>
      </c>
    </row>
    <row r="656" ht="15.75" customHeight="1">
      <c r="A656" s="7" t="str">
        <f>IFERROR(__xludf.DUMMYFUNCTION("""COMPUTED_VALUE"""),"허지혜1096")</f>
        <v>허지혜1096</v>
      </c>
      <c r="B656" s="7">
        <v>16.0</v>
      </c>
    </row>
    <row r="657" ht="15.75" customHeight="1">
      <c r="A657" s="7" t="str">
        <f>IFERROR(__xludf.DUMMYFUNCTION("""COMPUTED_VALUE"""),"허태경5298")</f>
        <v>허태경5298</v>
      </c>
      <c r="B657" s="7">
        <v>16.0</v>
      </c>
    </row>
    <row r="658" ht="15.75" customHeight="1">
      <c r="A658" s="4" t="str">
        <f>IFERROR(__xludf.DUMMYFUNCTION("""COMPUTED_VALUE"""),"형민서2615")</f>
        <v>형민서2615</v>
      </c>
      <c r="B658" s="4">
        <v>16.0</v>
      </c>
    </row>
    <row r="659" ht="15.75" customHeight="1">
      <c r="A659" s="4" t="str">
        <f>IFERROR(__xludf.DUMMYFUNCTION("""COMPUTED_VALUE"""),"홍규성8791")</f>
        <v>홍규성8791</v>
      </c>
      <c r="B659" s="4">
        <v>16.0</v>
      </c>
    </row>
    <row r="660" ht="15.75" customHeight="1">
      <c r="A660" s="4" t="str">
        <f>IFERROR(__xludf.DUMMYFUNCTION("""COMPUTED_VALUE"""),"홍정연7833")</f>
        <v>홍정연7833</v>
      </c>
      <c r="B660" s="4">
        <v>16.0</v>
      </c>
    </row>
    <row r="661" ht="15.75" customHeight="1">
      <c r="A661" s="4" t="str">
        <f>IFERROR(__xludf.DUMMYFUNCTION("""COMPUTED_VALUE"""),"홍해솔5683")</f>
        <v>홍해솔5683</v>
      </c>
      <c r="B661" s="4">
        <v>16.0</v>
      </c>
    </row>
    <row r="662" ht="15.75" customHeight="1">
      <c r="A662" s="4" t="str">
        <f>IFERROR(__xludf.DUMMYFUNCTION("""COMPUTED_VALUE"""),"황규진9766")</f>
        <v>황규진9766</v>
      </c>
      <c r="B662" s="4">
        <v>16.0</v>
      </c>
    </row>
    <row r="663" ht="15.75" customHeight="1">
      <c r="A663" s="4" t="str">
        <f>IFERROR(__xludf.DUMMYFUNCTION("""COMPUTED_VALUE"""),"황선웅0627")</f>
        <v>황선웅0627</v>
      </c>
      <c r="B663" s="4">
        <v>16.0</v>
      </c>
    </row>
    <row r="664" ht="15.75" customHeight="1">
      <c r="A664" s="4" t="str">
        <f>IFERROR(__xludf.DUMMYFUNCTION("""COMPUTED_VALUE"""),"황선호5885")</f>
        <v>황선호5885</v>
      </c>
      <c r="B664" s="4">
        <v>16.0</v>
      </c>
    </row>
    <row r="665" ht="15.75" customHeight="1">
      <c r="A665" s="4" t="str">
        <f>IFERROR(__xludf.DUMMYFUNCTION("""COMPUTED_VALUE"""),"황성준4580")</f>
        <v>황성준4580</v>
      </c>
      <c r="B665" s="4">
        <v>16.0</v>
      </c>
    </row>
    <row r="666" ht="15.75" customHeight="1">
      <c r="A666" s="4" t="str">
        <f>IFERROR(__xludf.DUMMYFUNCTION("""COMPUTED_VALUE"""),"황수현6530")</f>
        <v>황수현6530</v>
      </c>
      <c r="B666" s="4">
        <v>16.0</v>
      </c>
    </row>
    <row r="667" ht="15.75" customHeight="1">
      <c r="A667" s="4" t="str">
        <f>IFERROR(__xludf.DUMMYFUNCTION("""COMPUTED_VALUE"""),"황시은2437")</f>
        <v>황시은2437</v>
      </c>
      <c r="B667" s="4">
        <v>16.0</v>
      </c>
    </row>
    <row r="668" ht="15.75" customHeight="1">
      <c r="A668" s="4" t="str">
        <f>IFERROR(__xludf.DUMMYFUNCTION("""COMPUTED_VALUE"""),"황준서0113")</f>
        <v>황준서0113</v>
      </c>
      <c r="B668" s="4">
        <v>16.0</v>
      </c>
    </row>
    <row r="669" ht="15.75" customHeight="1">
      <c r="B669" s="4" t="s">
        <v>828</v>
      </c>
    </row>
    <row r="670" ht="15.75" customHeight="1">
      <c r="B670" s="4" t="s">
        <v>828</v>
      </c>
    </row>
    <row r="671" ht="15.75" customHeight="1">
      <c r="B671" s="4" t="s">
        <v>828</v>
      </c>
    </row>
    <row r="672" ht="15.75" customHeight="1">
      <c r="B672" s="4" t="s">
        <v>828</v>
      </c>
    </row>
    <row r="673" ht="15.75" customHeight="1">
      <c r="B673" s="4" t="s">
        <v>828</v>
      </c>
    </row>
    <row r="674" ht="15.75" customHeight="1">
      <c r="B674" s="4" t="s">
        <v>828</v>
      </c>
    </row>
    <row r="675" ht="15.75" customHeight="1">
      <c r="B675" s="4" t="s">
        <v>828</v>
      </c>
    </row>
    <row r="676" ht="15.75" customHeight="1">
      <c r="B676" s="4" t="s">
        <v>828</v>
      </c>
    </row>
    <row r="677" ht="15.75" customHeight="1">
      <c r="B677" s="4" t="s">
        <v>828</v>
      </c>
    </row>
    <row r="678" ht="15.75" customHeight="1">
      <c r="B678" s="4" t="s">
        <v>828</v>
      </c>
    </row>
    <row r="679" ht="15.75" customHeight="1">
      <c r="B679" s="4" t="s">
        <v>828</v>
      </c>
    </row>
    <row r="680" ht="15.75" customHeight="1">
      <c r="B680" s="4" t="s">
        <v>828</v>
      </c>
    </row>
    <row r="681" ht="15.75" customHeight="1">
      <c r="B681" s="4" t="s">
        <v>828</v>
      </c>
    </row>
    <row r="682" ht="15.75" customHeight="1">
      <c r="B682" s="4" t="s">
        <v>828</v>
      </c>
    </row>
    <row r="683" ht="15.75" customHeight="1">
      <c r="B683" s="4" t="s">
        <v>828</v>
      </c>
    </row>
    <row r="684" ht="15.75" customHeight="1">
      <c r="B684" s="4" t="s">
        <v>828</v>
      </c>
    </row>
    <row r="685" ht="15.75" customHeight="1">
      <c r="B685" s="4" t="s">
        <v>828</v>
      </c>
    </row>
    <row r="686" ht="15.75" customHeight="1">
      <c r="B686" s="4" t="s">
        <v>828</v>
      </c>
    </row>
    <row r="687" ht="15.75" customHeight="1">
      <c r="B687" s="4" t="s">
        <v>828</v>
      </c>
    </row>
    <row r="688" ht="15.75" customHeight="1">
      <c r="B688" s="4" t="s">
        <v>828</v>
      </c>
    </row>
    <row r="689" ht="15.75" customHeight="1">
      <c r="B689" s="4" t="s">
        <v>828</v>
      </c>
    </row>
    <row r="690" ht="15.75" customHeight="1">
      <c r="B690" s="4" t="s">
        <v>828</v>
      </c>
    </row>
    <row r="691" ht="15.75" customHeight="1">
      <c r="B691" s="4" t="s">
        <v>828</v>
      </c>
    </row>
    <row r="692" ht="15.75" customHeight="1">
      <c r="B692" s="4" t="s">
        <v>828</v>
      </c>
    </row>
    <row r="693" ht="15.75" customHeight="1">
      <c r="B693" s="4" t="s">
        <v>828</v>
      </c>
    </row>
    <row r="694" ht="15.75" customHeight="1">
      <c r="B694" s="4" t="s">
        <v>828</v>
      </c>
    </row>
    <row r="695" ht="15.75" customHeight="1">
      <c r="B695" s="4" t="s">
        <v>828</v>
      </c>
    </row>
    <row r="696" ht="15.75" customHeight="1">
      <c r="B696" s="4" t="s">
        <v>828</v>
      </c>
    </row>
    <row r="697" ht="15.75" customHeight="1">
      <c r="B697" s="4" t="s">
        <v>828</v>
      </c>
    </row>
    <row r="698" ht="15.75" customHeight="1">
      <c r="B698" s="4" t="s">
        <v>828</v>
      </c>
    </row>
    <row r="699" ht="15.75" customHeight="1">
      <c r="B699" s="4" t="s">
        <v>828</v>
      </c>
    </row>
    <row r="700" ht="15.75" customHeight="1">
      <c r="B700" s="4" t="s">
        <v>828</v>
      </c>
    </row>
    <row r="701" ht="15.75" customHeight="1">
      <c r="B701" s="4" t="s">
        <v>828</v>
      </c>
    </row>
    <row r="702" ht="15.75" customHeight="1">
      <c r="B702" s="4" t="s">
        <v>828</v>
      </c>
    </row>
    <row r="703" ht="15.75" customHeight="1">
      <c r="B703" s="4" t="s">
        <v>828</v>
      </c>
    </row>
    <row r="704" ht="15.75" customHeight="1">
      <c r="B704" s="4" t="s">
        <v>828</v>
      </c>
    </row>
    <row r="705" ht="15.75" customHeight="1">
      <c r="B705" s="4" t="s">
        <v>828</v>
      </c>
    </row>
    <row r="706" ht="15.75" customHeight="1">
      <c r="B706" s="4" t="s">
        <v>828</v>
      </c>
    </row>
    <row r="707" ht="15.75" customHeight="1">
      <c r="B707" s="4" t="s">
        <v>828</v>
      </c>
    </row>
    <row r="708" ht="15.75" customHeight="1">
      <c r="B708" s="4" t="s">
        <v>828</v>
      </c>
    </row>
    <row r="709" ht="15.75" customHeight="1">
      <c r="B709" s="4" t="s">
        <v>828</v>
      </c>
    </row>
    <row r="710" ht="15.75" customHeight="1">
      <c r="B710" s="4" t="s">
        <v>828</v>
      </c>
    </row>
    <row r="711" ht="15.75" customHeight="1">
      <c r="B711" s="4" t="s">
        <v>828</v>
      </c>
    </row>
    <row r="712" ht="15.75" customHeight="1">
      <c r="B712" s="4" t="s">
        <v>828</v>
      </c>
    </row>
    <row r="713" ht="15.75" customHeight="1">
      <c r="B713" s="4" t="s">
        <v>828</v>
      </c>
    </row>
    <row r="714" ht="15.75" customHeight="1">
      <c r="B714" s="4" t="s">
        <v>828</v>
      </c>
    </row>
    <row r="715" ht="15.75" customHeight="1">
      <c r="B715" s="4" t="s">
        <v>828</v>
      </c>
    </row>
    <row r="716" ht="15.75" customHeight="1">
      <c r="B716" s="4" t="s">
        <v>828</v>
      </c>
    </row>
    <row r="717" ht="15.75" customHeight="1">
      <c r="B717" s="4" t="s">
        <v>828</v>
      </c>
    </row>
    <row r="718" ht="15.75" customHeight="1">
      <c r="B718" s="4" t="s">
        <v>828</v>
      </c>
    </row>
    <row r="719" ht="15.75" customHeight="1">
      <c r="B719" s="4" t="s">
        <v>828</v>
      </c>
    </row>
    <row r="720" ht="15.75" customHeight="1">
      <c r="B720" s="4" t="s">
        <v>828</v>
      </c>
    </row>
    <row r="721" ht="15.75" customHeight="1">
      <c r="B721" s="4" t="s">
        <v>828</v>
      </c>
    </row>
    <row r="722" ht="15.75" customHeight="1">
      <c r="B722" s="4" t="s">
        <v>828</v>
      </c>
    </row>
    <row r="723" ht="15.75" customHeight="1">
      <c r="B723" s="4" t="s">
        <v>828</v>
      </c>
    </row>
    <row r="724" ht="15.75" customHeight="1">
      <c r="B724" s="4" t="s">
        <v>828</v>
      </c>
    </row>
    <row r="725" ht="15.75" customHeight="1">
      <c r="B725" s="4" t="s">
        <v>828</v>
      </c>
    </row>
    <row r="726" ht="15.75" customHeight="1">
      <c r="B726" s="4" t="s">
        <v>828</v>
      </c>
    </row>
    <row r="727" ht="15.75" customHeight="1">
      <c r="B727" s="4" t="s">
        <v>828</v>
      </c>
    </row>
    <row r="728" ht="15.75" customHeight="1">
      <c r="B728" s="4" t="s">
        <v>828</v>
      </c>
    </row>
    <row r="729" ht="15.75" customHeight="1">
      <c r="B729" s="4" t="s">
        <v>828</v>
      </c>
    </row>
    <row r="730" ht="15.75" customHeight="1">
      <c r="B730" s="4" t="s">
        <v>828</v>
      </c>
    </row>
    <row r="731" ht="15.75" customHeight="1">
      <c r="B731" s="4" t="s">
        <v>828</v>
      </c>
    </row>
    <row r="732" ht="15.75" customHeight="1">
      <c r="B732" s="4" t="s">
        <v>828</v>
      </c>
    </row>
    <row r="733" ht="15.75" customHeight="1">
      <c r="B733" s="4" t="s">
        <v>828</v>
      </c>
    </row>
    <row r="734" ht="15.75" customHeight="1">
      <c r="B734" s="4" t="s">
        <v>828</v>
      </c>
    </row>
    <row r="735" ht="15.75" customHeight="1">
      <c r="B735" s="4" t="s">
        <v>828</v>
      </c>
    </row>
    <row r="736" ht="15.75" customHeight="1">
      <c r="B736" s="4" t="s">
        <v>828</v>
      </c>
    </row>
    <row r="737" ht="15.75" customHeight="1">
      <c r="B737" s="4" t="s">
        <v>828</v>
      </c>
    </row>
    <row r="738" ht="15.75" customHeight="1">
      <c r="B738" s="4" t="s">
        <v>828</v>
      </c>
    </row>
    <row r="739" ht="15.75" customHeight="1">
      <c r="B739" s="4" t="s">
        <v>828</v>
      </c>
    </row>
    <row r="740" ht="15.75" customHeight="1">
      <c r="B740" s="4" t="s">
        <v>828</v>
      </c>
    </row>
    <row r="741" ht="15.75" customHeight="1">
      <c r="B741" s="4" t="s">
        <v>828</v>
      </c>
    </row>
    <row r="742" ht="15.75" customHeight="1">
      <c r="B742" s="4" t="s">
        <v>828</v>
      </c>
    </row>
    <row r="743" ht="15.75" customHeight="1">
      <c r="B743" s="4" t="s">
        <v>828</v>
      </c>
    </row>
    <row r="744" ht="15.75" customHeight="1">
      <c r="B744" s="4" t="s">
        <v>828</v>
      </c>
    </row>
    <row r="745" ht="15.75" customHeight="1">
      <c r="B745" s="4" t="s">
        <v>828</v>
      </c>
    </row>
    <row r="746" ht="15.75" customHeight="1">
      <c r="B746" s="4" t="s">
        <v>828</v>
      </c>
    </row>
    <row r="747" ht="15.75" customHeight="1">
      <c r="B747" s="4" t="s">
        <v>828</v>
      </c>
    </row>
    <row r="748" ht="15.75" customHeight="1">
      <c r="B748" s="4" t="s">
        <v>828</v>
      </c>
    </row>
    <row r="749" ht="15.75" customHeight="1">
      <c r="B749" s="4" t="s">
        <v>828</v>
      </c>
    </row>
    <row r="750" ht="15.75" customHeight="1">
      <c r="B750" s="4" t="s">
        <v>828</v>
      </c>
    </row>
    <row r="751" ht="15.75" customHeight="1">
      <c r="B751" s="4" t="s">
        <v>828</v>
      </c>
    </row>
    <row r="752" ht="15.75" customHeight="1">
      <c r="B752" s="4" t="s">
        <v>828</v>
      </c>
    </row>
    <row r="753" ht="15.75" customHeight="1">
      <c r="B753" s="4" t="s">
        <v>828</v>
      </c>
    </row>
    <row r="754" ht="15.75" customHeight="1">
      <c r="B754" s="4" t="s">
        <v>828</v>
      </c>
    </row>
    <row r="755" ht="15.75" customHeight="1">
      <c r="B755" s="4" t="s">
        <v>828</v>
      </c>
    </row>
    <row r="756" ht="15.75" customHeight="1">
      <c r="B756" s="4" t="s">
        <v>828</v>
      </c>
    </row>
    <row r="757" ht="15.75" customHeight="1">
      <c r="B757" s="4" t="s">
        <v>828</v>
      </c>
    </row>
    <row r="758" ht="15.75" customHeight="1">
      <c r="B758" s="4" t="s">
        <v>828</v>
      </c>
    </row>
    <row r="759" ht="15.75" customHeight="1">
      <c r="B759" s="4" t="s">
        <v>828</v>
      </c>
    </row>
    <row r="760" ht="15.75" customHeight="1">
      <c r="B760" s="4" t="s">
        <v>828</v>
      </c>
    </row>
    <row r="761" ht="15.75" customHeight="1">
      <c r="B761" s="4" t="s">
        <v>828</v>
      </c>
    </row>
    <row r="762" ht="15.75" customHeight="1">
      <c r="B762" s="4" t="s">
        <v>828</v>
      </c>
    </row>
    <row r="763" ht="15.75" customHeight="1">
      <c r="B763" s="4" t="s">
        <v>828</v>
      </c>
    </row>
    <row r="764" ht="15.75" customHeight="1">
      <c r="B764" s="4" t="s">
        <v>828</v>
      </c>
    </row>
    <row r="765" ht="15.75" customHeight="1">
      <c r="B765" s="4" t="s">
        <v>828</v>
      </c>
    </row>
    <row r="766" ht="15.75" customHeight="1">
      <c r="B766" s="4" t="s">
        <v>828</v>
      </c>
    </row>
    <row r="767" ht="15.75" customHeight="1">
      <c r="B767" s="4" t="s">
        <v>828</v>
      </c>
    </row>
    <row r="768" ht="15.75" customHeight="1">
      <c r="B768" s="4" t="s">
        <v>828</v>
      </c>
    </row>
    <row r="769" ht="15.75" customHeight="1">
      <c r="B769" s="4" t="s">
        <v>828</v>
      </c>
    </row>
    <row r="770" ht="15.75" customHeight="1">
      <c r="B770" s="4" t="s">
        <v>828</v>
      </c>
    </row>
    <row r="771" ht="15.75" customHeight="1">
      <c r="B771" s="4" t="s">
        <v>828</v>
      </c>
    </row>
    <row r="772" ht="15.75" customHeight="1">
      <c r="B772" s="4" t="s">
        <v>828</v>
      </c>
    </row>
    <row r="773" ht="15.75" customHeight="1">
      <c r="B773" s="4" t="s">
        <v>828</v>
      </c>
    </row>
    <row r="774" ht="15.75" customHeight="1">
      <c r="B774" s="4" t="s">
        <v>828</v>
      </c>
    </row>
    <row r="775" ht="15.75" customHeight="1">
      <c r="B775" s="4" t="s">
        <v>828</v>
      </c>
    </row>
    <row r="776" ht="15.75" customHeight="1">
      <c r="B776" s="4" t="s">
        <v>828</v>
      </c>
    </row>
    <row r="777" ht="15.75" customHeight="1">
      <c r="B777" s="4" t="s">
        <v>828</v>
      </c>
    </row>
    <row r="778" ht="15.75" customHeight="1">
      <c r="B778" s="4" t="s">
        <v>828</v>
      </c>
    </row>
    <row r="779" ht="15.75" customHeight="1">
      <c r="B779" s="4" t="s">
        <v>828</v>
      </c>
    </row>
    <row r="780" ht="15.75" customHeight="1">
      <c r="B780" s="4" t="s">
        <v>828</v>
      </c>
    </row>
    <row r="781" ht="15.75" customHeight="1">
      <c r="B781" s="4" t="s">
        <v>828</v>
      </c>
    </row>
    <row r="782" ht="15.75" customHeight="1">
      <c r="B782" s="4" t="s">
        <v>828</v>
      </c>
    </row>
    <row r="783" ht="15.75" customHeight="1">
      <c r="B783" s="4" t="s">
        <v>828</v>
      </c>
    </row>
    <row r="784" ht="15.75" customHeight="1">
      <c r="B784" s="4" t="s">
        <v>828</v>
      </c>
    </row>
    <row r="785" ht="15.75" customHeight="1">
      <c r="B785" s="4" t="s">
        <v>828</v>
      </c>
    </row>
    <row r="786" ht="15.75" customHeight="1">
      <c r="B786" s="4" t="s">
        <v>828</v>
      </c>
    </row>
    <row r="787" ht="15.75" customHeight="1">
      <c r="B787" s="4" t="s">
        <v>828</v>
      </c>
    </row>
    <row r="788" ht="15.75" customHeight="1">
      <c r="B788" s="4" t="s">
        <v>828</v>
      </c>
    </row>
    <row r="789" ht="15.75" customHeight="1">
      <c r="B789" s="4" t="s">
        <v>828</v>
      </c>
    </row>
    <row r="790" ht="15.75" customHeight="1">
      <c r="B790" s="4" t="s">
        <v>828</v>
      </c>
    </row>
    <row r="791" ht="15.75" customHeight="1">
      <c r="B791" s="4" t="s">
        <v>828</v>
      </c>
    </row>
    <row r="792" ht="15.75" customHeight="1">
      <c r="B792" s="4" t="s">
        <v>828</v>
      </c>
    </row>
    <row r="793" ht="15.75" customHeight="1">
      <c r="B793" s="4" t="s">
        <v>828</v>
      </c>
    </row>
    <row r="794" ht="15.75" customHeight="1">
      <c r="B794" s="4" t="s">
        <v>828</v>
      </c>
    </row>
    <row r="795" ht="15.75" customHeight="1">
      <c r="B795" s="4" t="s">
        <v>828</v>
      </c>
    </row>
    <row r="796" ht="15.75" customHeight="1">
      <c r="B796" s="4" t="s">
        <v>828</v>
      </c>
    </row>
    <row r="797" ht="15.75" customHeight="1">
      <c r="B797" s="4" t="s">
        <v>828</v>
      </c>
    </row>
    <row r="798" ht="15.75" customHeight="1">
      <c r="B798" s="4" t="s">
        <v>828</v>
      </c>
    </row>
    <row r="799" ht="15.75" customHeight="1">
      <c r="B799" s="4" t="s">
        <v>828</v>
      </c>
    </row>
    <row r="800" ht="15.75" customHeight="1">
      <c r="B800" s="4" t="s">
        <v>828</v>
      </c>
    </row>
    <row r="801" ht="15.75" customHeight="1">
      <c r="B801" s="4" t="s">
        <v>828</v>
      </c>
    </row>
    <row r="802" ht="15.75" customHeight="1">
      <c r="B802" s="4" t="s">
        <v>828</v>
      </c>
    </row>
    <row r="803" ht="15.75" customHeight="1">
      <c r="B803" s="4" t="s">
        <v>828</v>
      </c>
    </row>
    <row r="804" ht="15.75" customHeight="1">
      <c r="B804" s="4" t="s">
        <v>828</v>
      </c>
    </row>
    <row r="805" ht="15.75" customHeight="1">
      <c r="B805" s="4" t="s">
        <v>828</v>
      </c>
    </row>
    <row r="806" ht="15.75" customHeight="1">
      <c r="B806" s="4" t="s">
        <v>828</v>
      </c>
    </row>
    <row r="807" ht="15.75" customHeight="1">
      <c r="B807" s="4" t="s">
        <v>828</v>
      </c>
    </row>
    <row r="808" ht="15.75" customHeight="1">
      <c r="B808" s="4" t="s">
        <v>828</v>
      </c>
    </row>
    <row r="809" ht="15.75" customHeight="1">
      <c r="B809" s="4" t="s">
        <v>828</v>
      </c>
    </row>
    <row r="810" ht="15.75" customHeight="1">
      <c r="B810" s="4" t="s">
        <v>828</v>
      </c>
    </row>
    <row r="811" ht="15.75" customHeight="1">
      <c r="B811" s="4" t="s">
        <v>828</v>
      </c>
    </row>
    <row r="812" ht="15.75" customHeight="1">
      <c r="B812" s="4" t="s">
        <v>828</v>
      </c>
    </row>
    <row r="813" ht="15.75" customHeight="1">
      <c r="B813" s="4" t="s">
        <v>828</v>
      </c>
    </row>
    <row r="814" ht="15.75" customHeight="1">
      <c r="B814" s="4" t="s">
        <v>828</v>
      </c>
    </row>
    <row r="815" ht="15.75" customHeight="1">
      <c r="B815" s="4" t="s">
        <v>828</v>
      </c>
    </row>
    <row r="816" ht="15.75" customHeight="1">
      <c r="B816" s="4" t="s">
        <v>828</v>
      </c>
    </row>
    <row r="817" ht="15.75" customHeight="1">
      <c r="B817" s="4" t="s">
        <v>828</v>
      </c>
    </row>
    <row r="818" ht="15.75" customHeight="1">
      <c r="B818" s="4" t="s">
        <v>828</v>
      </c>
    </row>
    <row r="819" ht="15.75" customHeight="1">
      <c r="B819" s="4" t="s">
        <v>828</v>
      </c>
    </row>
    <row r="820" ht="15.75" customHeight="1">
      <c r="B820" s="4" t="s">
        <v>828</v>
      </c>
    </row>
    <row r="821" ht="15.75" customHeight="1">
      <c r="B821" s="4" t="s">
        <v>828</v>
      </c>
    </row>
    <row r="822" ht="15.75" customHeight="1">
      <c r="B822" s="4" t="s">
        <v>828</v>
      </c>
    </row>
    <row r="823" ht="15.75" customHeight="1">
      <c r="B823" s="4" t="s">
        <v>828</v>
      </c>
    </row>
    <row r="824" ht="15.75" customHeight="1">
      <c r="B824" s="4" t="s">
        <v>828</v>
      </c>
    </row>
    <row r="825" ht="15.75" customHeight="1">
      <c r="B825" s="4" t="s">
        <v>828</v>
      </c>
    </row>
    <row r="826" ht="15.75" customHeight="1">
      <c r="B826" s="4" t="s">
        <v>828</v>
      </c>
    </row>
    <row r="827" ht="15.75" customHeight="1">
      <c r="B827" s="4" t="s">
        <v>828</v>
      </c>
    </row>
    <row r="828" ht="15.75" customHeight="1">
      <c r="B828" s="4" t="s">
        <v>828</v>
      </c>
    </row>
    <row r="829" ht="15.75" customHeight="1">
      <c r="B829" s="4" t="s">
        <v>828</v>
      </c>
    </row>
    <row r="830" ht="15.75" customHeight="1">
      <c r="B830" s="4" t="s">
        <v>828</v>
      </c>
    </row>
    <row r="831" ht="15.75" customHeight="1">
      <c r="B831" s="4" t="s">
        <v>828</v>
      </c>
    </row>
    <row r="832" ht="15.75" customHeight="1">
      <c r="B832" s="4" t="s">
        <v>828</v>
      </c>
    </row>
    <row r="833" ht="15.75" customHeight="1">
      <c r="B833" s="4" t="s">
        <v>828</v>
      </c>
    </row>
    <row r="834" ht="15.75" customHeight="1">
      <c r="B834" s="4" t="s">
        <v>828</v>
      </c>
    </row>
    <row r="835" ht="15.75" customHeight="1">
      <c r="B835" s="4" t="s">
        <v>828</v>
      </c>
    </row>
    <row r="836" ht="15.75" customHeight="1">
      <c r="B836" s="4" t="s">
        <v>828</v>
      </c>
    </row>
    <row r="837" ht="15.75" customHeight="1">
      <c r="B837" s="4" t="s">
        <v>828</v>
      </c>
    </row>
    <row r="838" ht="15.75" customHeight="1">
      <c r="B838" s="4" t="s">
        <v>828</v>
      </c>
    </row>
    <row r="839" ht="15.75" customHeight="1">
      <c r="B839" s="4" t="s">
        <v>828</v>
      </c>
    </row>
    <row r="840" ht="15.75" customHeight="1">
      <c r="B840" s="4" t="s">
        <v>828</v>
      </c>
    </row>
    <row r="841" ht="15.75" customHeight="1">
      <c r="B841" s="4" t="s">
        <v>828</v>
      </c>
    </row>
    <row r="842" ht="15.75" customHeight="1">
      <c r="B842" s="4" t="s">
        <v>828</v>
      </c>
    </row>
    <row r="843" ht="15.75" customHeight="1">
      <c r="B843" s="4" t="s">
        <v>828</v>
      </c>
    </row>
    <row r="844" ht="15.75" customHeight="1">
      <c r="B844" s="4" t="s">
        <v>828</v>
      </c>
    </row>
    <row r="845" ht="15.75" customHeight="1">
      <c r="B845" s="4" t="s">
        <v>828</v>
      </c>
    </row>
    <row r="846" ht="15.75" customHeight="1">
      <c r="B846" s="4" t="s">
        <v>828</v>
      </c>
    </row>
    <row r="847" ht="15.75" customHeight="1">
      <c r="B847" s="4" t="s">
        <v>828</v>
      </c>
    </row>
    <row r="848" ht="15.75" customHeight="1">
      <c r="B848" s="4" t="s">
        <v>828</v>
      </c>
    </row>
    <row r="849" ht="15.75" customHeight="1">
      <c r="B849" s="4" t="s">
        <v>828</v>
      </c>
    </row>
    <row r="850" ht="15.75" customHeight="1">
      <c r="B850" s="4" t="s">
        <v>828</v>
      </c>
    </row>
    <row r="851" ht="15.75" customHeight="1">
      <c r="B851" s="4" t="s">
        <v>828</v>
      </c>
    </row>
    <row r="852" ht="15.75" customHeight="1">
      <c r="B852" s="4" t="s">
        <v>828</v>
      </c>
    </row>
    <row r="853" ht="15.75" customHeight="1">
      <c r="B853" s="4" t="s">
        <v>828</v>
      </c>
    </row>
    <row r="854" ht="15.75" customHeight="1">
      <c r="B854" s="4" t="s">
        <v>828</v>
      </c>
    </row>
    <row r="855" ht="15.75" customHeight="1">
      <c r="B855" s="4" t="s">
        <v>828</v>
      </c>
    </row>
    <row r="856" ht="15.75" customHeight="1">
      <c r="B856" s="4" t="s">
        <v>828</v>
      </c>
    </row>
    <row r="857" ht="15.75" customHeight="1">
      <c r="B857" s="4" t="s">
        <v>828</v>
      </c>
    </row>
    <row r="858" ht="15.75" customHeight="1">
      <c r="B858" s="4" t="s">
        <v>828</v>
      </c>
    </row>
    <row r="859" ht="15.75" customHeight="1">
      <c r="B859" s="4" t="s">
        <v>828</v>
      </c>
    </row>
    <row r="860" ht="15.75" customHeight="1">
      <c r="B860" s="4" t="s">
        <v>828</v>
      </c>
    </row>
    <row r="861" ht="15.75" customHeight="1">
      <c r="B861" s="4" t="s">
        <v>828</v>
      </c>
    </row>
    <row r="862" ht="15.75" customHeight="1">
      <c r="B862" s="4" t="s">
        <v>828</v>
      </c>
    </row>
    <row r="863" ht="15.75" customHeight="1">
      <c r="B863" s="4" t="s">
        <v>828</v>
      </c>
    </row>
    <row r="864" ht="15.75" customHeight="1">
      <c r="B864" s="4" t="s">
        <v>828</v>
      </c>
    </row>
    <row r="865" ht="15.75" customHeight="1">
      <c r="B865" s="4" t="s">
        <v>828</v>
      </c>
    </row>
    <row r="866" ht="15.75" customHeight="1">
      <c r="B866" s="4" t="s">
        <v>828</v>
      </c>
    </row>
    <row r="867" ht="15.75" customHeight="1">
      <c r="B867" s="4" t="s">
        <v>828</v>
      </c>
    </row>
    <row r="868" ht="15.75" customHeight="1">
      <c r="B868" s="4" t="s">
        <v>828</v>
      </c>
    </row>
    <row r="869" ht="15.75" customHeight="1">
      <c r="B869" s="4" t="s">
        <v>828</v>
      </c>
    </row>
    <row r="870" ht="15.75" customHeight="1">
      <c r="B870" s="4" t="s">
        <v>828</v>
      </c>
    </row>
    <row r="871" ht="15.75" customHeight="1">
      <c r="B871" s="4" t="s">
        <v>828</v>
      </c>
    </row>
    <row r="872" ht="15.75" customHeight="1">
      <c r="B872" s="4" t="s">
        <v>828</v>
      </c>
    </row>
    <row r="873" ht="15.75" customHeight="1">
      <c r="B873" s="4" t="s">
        <v>828</v>
      </c>
    </row>
    <row r="874" ht="15.75" customHeight="1">
      <c r="B874" s="4" t="s">
        <v>828</v>
      </c>
    </row>
    <row r="875" ht="15.75" customHeight="1">
      <c r="B875" s="4" t="s">
        <v>828</v>
      </c>
    </row>
    <row r="876" ht="15.75" customHeight="1">
      <c r="B876" s="4" t="s">
        <v>828</v>
      </c>
    </row>
    <row r="877" ht="15.75" customHeight="1">
      <c r="B877" s="4" t="s">
        <v>828</v>
      </c>
    </row>
    <row r="878" ht="15.75" customHeight="1">
      <c r="B878" s="4" t="s">
        <v>828</v>
      </c>
    </row>
    <row r="879" ht="15.75" customHeight="1">
      <c r="B879" s="4" t="s">
        <v>828</v>
      </c>
    </row>
    <row r="880" ht="15.75" customHeight="1">
      <c r="B880" s="4" t="s">
        <v>828</v>
      </c>
    </row>
    <row r="881" ht="15.75" customHeight="1">
      <c r="B881" s="4" t="s">
        <v>828</v>
      </c>
    </row>
    <row r="882" ht="15.75" customHeight="1">
      <c r="B882" s="4" t="s">
        <v>828</v>
      </c>
    </row>
    <row r="883" ht="15.75" customHeight="1">
      <c r="B883" s="4" t="s">
        <v>828</v>
      </c>
    </row>
    <row r="884" ht="15.75" customHeight="1">
      <c r="B884" s="4" t="s">
        <v>828</v>
      </c>
    </row>
    <row r="885" ht="15.75" customHeight="1">
      <c r="B885" s="4" t="s">
        <v>828</v>
      </c>
    </row>
    <row r="886" ht="15.75" customHeight="1">
      <c r="B886" s="4" t="s">
        <v>828</v>
      </c>
    </row>
    <row r="887" ht="15.75" customHeight="1">
      <c r="B887" s="4" t="s">
        <v>828</v>
      </c>
    </row>
    <row r="888" ht="15.75" customHeight="1">
      <c r="B888" s="4" t="s">
        <v>828</v>
      </c>
    </row>
    <row r="889" ht="15.75" customHeight="1">
      <c r="B889" s="4" t="s">
        <v>828</v>
      </c>
    </row>
    <row r="890" ht="15.75" customHeight="1">
      <c r="B890" s="4" t="s">
        <v>828</v>
      </c>
    </row>
    <row r="891" ht="15.75" customHeight="1">
      <c r="B891" s="4" t="s">
        <v>828</v>
      </c>
    </row>
    <row r="892" ht="15.75" customHeight="1">
      <c r="B892" s="4" t="s">
        <v>828</v>
      </c>
    </row>
    <row r="893" ht="15.75" customHeight="1">
      <c r="B893" s="4" t="s">
        <v>828</v>
      </c>
    </row>
    <row r="894" ht="15.75" customHeight="1">
      <c r="B894" s="4" t="s">
        <v>828</v>
      </c>
    </row>
    <row r="895" ht="15.75" customHeight="1">
      <c r="B895" s="4" t="s">
        <v>828</v>
      </c>
    </row>
    <row r="896" ht="15.75" customHeight="1">
      <c r="B896" s="4" t="s">
        <v>828</v>
      </c>
    </row>
    <row r="897" ht="15.75" customHeight="1">
      <c r="B897" s="4" t="s">
        <v>828</v>
      </c>
    </row>
    <row r="898" ht="15.75" customHeight="1">
      <c r="B898" s="4" t="s">
        <v>828</v>
      </c>
    </row>
    <row r="899" ht="15.75" customHeight="1">
      <c r="B899" s="4" t="s">
        <v>828</v>
      </c>
    </row>
    <row r="900" ht="15.75" customHeight="1">
      <c r="B900" s="4" t="s">
        <v>828</v>
      </c>
    </row>
    <row r="901" ht="15.75" customHeight="1">
      <c r="B901" s="4" t="s">
        <v>828</v>
      </c>
    </row>
    <row r="902" ht="15.75" customHeight="1">
      <c r="B902" s="4" t="s">
        <v>828</v>
      </c>
    </row>
    <row r="903" ht="15.75" customHeight="1">
      <c r="B903" s="4" t="s">
        <v>828</v>
      </c>
    </row>
    <row r="904" ht="15.75" customHeight="1">
      <c r="B904" s="4" t="s">
        <v>828</v>
      </c>
    </row>
    <row r="905" ht="15.75" customHeight="1">
      <c r="B905" s="4" t="s">
        <v>828</v>
      </c>
    </row>
    <row r="906" ht="15.75" customHeight="1">
      <c r="B906" s="4" t="s">
        <v>828</v>
      </c>
    </row>
    <row r="907" ht="15.75" customHeight="1">
      <c r="B907" s="4" t="s">
        <v>828</v>
      </c>
    </row>
    <row r="908" ht="15.75" customHeight="1">
      <c r="B908" s="4" t="s">
        <v>828</v>
      </c>
    </row>
    <row r="909" ht="15.75" customHeight="1">
      <c r="B909" s="4" t="s">
        <v>828</v>
      </c>
    </row>
    <row r="910" ht="15.75" customHeight="1">
      <c r="B910" s="4" t="s">
        <v>828</v>
      </c>
    </row>
    <row r="911" ht="15.75" customHeight="1">
      <c r="B911" s="4" t="s">
        <v>828</v>
      </c>
    </row>
    <row r="912" ht="15.75" customHeight="1">
      <c r="B912" s="4" t="s">
        <v>828</v>
      </c>
    </row>
    <row r="913" ht="15.75" customHeight="1">
      <c r="B913" s="4" t="s">
        <v>828</v>
      </c>
    </row>
    <row r="914" ht="15.75" customHeight="1">
      <c r="B914" s="4" t="s">
        <v>828</v>
      </c>
    </row>
    <row r="915" ht="15.75" customHeight="1">
      <c r="B915" s="4" t="s">
        <v>828</v>
      </c>
    </row>
    <row r="916" ht="15.75" customHeight="1">
      <c r="B916" s="4" t="s">
        <v>828</v>
      </c>
    </row>
    <row r="917" ht="15.75" customHeight="1">
      <c r="B917" s="4" t="s">
        <v>828</v>
      </c>
    </row>
    <row r="918" ht="15.75" customHeight="1">
      <c r="B918" s="4" t="s">
        <v>828</v>
      </c>
    </row>
    <row r="919" ht="15.75" customHeight="1">
      <c r="B919" s="4" t="s">
        <v>828</v>
      </c>
    </row>
    <row r="920" ht="15.75" customHeight="1">
      <c r="B920" s="4" t="s">
        <v>828</v>
      </c>
    </row>
    <row r="921" ht="15.75" customHeight="1">
      <c r="B921" s="4" t="s">
        <v>828</v>
      </c>
    </row>
    <row r="922" ht="15.75" customHeight="1">
      <c r="B922" s="4" t="s">
        <v>828</v>
      </c>
    </row>
    <row r="923" ht="15.75" customHeight="1">
      <c r="B923" s="4" t="s">
        <v>828</v>
      </c>
    </row>
    <row r="924" ht="15.75" customHeight="1">
      <c r="B924" s="4" t="s">
        <v>828</v>
      </c>
    </row>
    <row r="925" ht="15.75" customHeight="1">
      <c r="B925" s="4" t="s">
        <v>828</v>
      </c>
    </row>
    <row r="926" ht="15.75" customHeight="1">
      <c r="B926" s="4" t="s">
        <v>828</v>
      </c>
    </row>
    <row r="927" ht="15.75" customHeight="1">
      <c r="B927" s="4" t="s">
        <v>828</v>
      </c>
    </row>
    <row r="928" ht="15.75" customHeight="1">
      <c r="B928" s="4" t="s">
        <v>828</v>
      </c>
    </row>
    <row r="929" ht="15.75" customHeight="1">
      <c r="B929" s="4" t="s">
        <v>828</v>
      </c>
    </row>
    <row r="930" ht="15.75" customHeight="1">
      <c r="B930" s="4" t="s">
        <v>828</v>
      </c>
    </row>
    <row r="931" ht="15.75" customHeight="1">
      <c r="B931" s="4" t="s">
        <v>828</v>
      </c>
    </row>
    <row r="932" ht="15.75" customHeight="1">
      <c r="B932" s="4" t="s">
        <v>828</v>
      </c>
    </row>
    <row r="933" ht="15.75" customHeight="1">
      <c r="B933" s="4" t="s">
        <v>828</v>
      </c>
    </row>
    <row r="934" ht="15.75" customHeight="1">
      <c r="B934" s="4" t="s">
        <v>828</v>
      </c>
    </row>
    <row r="935" ht="15.75" customHeight="1">
      <c r="B935" s="4" t="s">
        <v>828</v>
      </c>
    </row>
    <row r="936" ht="15.75" customHeight="1">
      <c r="B936" s="4" t="s">
        <v>828</v>
      </c>
    </row>
    <row r="937" ht="15.75" customHeight="1">
      <c r="B937" s="4" t="s">
        <v>828</v>
      </c>
    </row>
    <row r="938" ht="15.75" customHeight="1">
      <c r="B938" s="4" t="s">
        <v>828</v>
      </c>
    </row>
    <row r="939" ht="15.75" customHeight="1">
      <c r="B939" s="4" t="s">
        <v>828</v>
      </c>
    </row>
    <row r="940" ht="15.75" customHeight="1">
      <c r="B940" s="4" t="s">
        <v>828</v>
      </c>
    </row>
    <row r="941" ht="15.75" customHeight="1">
      <c r="B941" s="4" t="s">
        <v>828</v>
      </c>
    </row>
    <row r="942" ht="15.75" customHeight="1">
      <c r="B942" s="4" t="s">
        <v>828</v>
      </c>
    </row>
    <row r="943" ht="15.75" customHeight="1">
      <c r="B943" s="4" t="s">
        <v>828</v>
      </c>
    </row>
    <row r="944" ht="15.75" customHeight="1">
      <c r="B944" s="4" t="s">
        <v>828</v>
      </c>
    </row>
    <row r="945" ht="15.75" customHeight="1">
      <c r="B945" s="4" t="s">
        <v>828</v>
      </c>
    </row>
    <row r="946" ht="15.75" customHeight="1">
      <c r="B946" s="4" t="s">
        <v>828</v>
      </c>
    </row>
    <row r="947" ht="15.75" customHeight="1">
      <c r="B947" s="4" t="s">
        <v>828</v>
      </c>
    </row>
    <row r="948" ht="15.75" customHeight="1">
      <c r="B948" s="4" t="s">
        <v>828</v>
      </c>
    </row>
    <row r="949" ht="15.75" customHeight="1">
      <c r="B949" s="4" t="s">
        <v>828</v>
      </c>
    </row>
    <row r="950" ht="15.75" customHeight="1">
      <c r="B950" s="4" t="s">
        <v>828</v>
      </c>
    </row>
    <row r="951" ht="15.75" customHeight="1">
      <c r="B951" s="4" t="s">
        <v>828</v>
      </c>
    </row>
    <row r="952" ht="15.75" customHeight="1">
      <c r="B952" s="4" t="s">
        <v>828</v>
      </c>
    </row>
    <row r="953" ht="15.75" customHeight="1">
      <c r="B953" s="4" t="s">
        <v>828</v>
      </c>
    </row>
    <row r="954" ht="15.75" customHeight="1">
      <c r="B954" s="4" t="s">
        <v>828</v>
      </c>
    </row>
    <row r="955" ht="15.75" customHeight="1">
      <c r="B955" s="4" t="s">
        <v>828</v>
      </c>
    </row>
    <row r="956" ht="15.75" customHeight="1">
      <c r="B956" s="4" t="s">
        <v>828</v>
      </c>
    </row>
    <row r="957" ht="15.75" customHeight="1">
      <c r="B957" s="4" t="s">
        <v>828</v>
      </c>
    </row>
    <row r="958" ht="15.75" customHeight="1">
      <c r="B958" s="4" t="s">
        <v>828</v>
      </c>
    </row>
    <row r="959" ht="15.75" customHeight="1">
      <c r="B959" s="4" t="s">
        <v>828</v>
      </c>
    </row>
    <row r="960" ht="15.75" customHeight="1">
      <c r="B960" s="4" t="s">
        <v>828</v>
      </c>
    </row>
    <row r="961" ht="15.75" customHeight="1">
      <c r="B961" s="4" t="s">
        <v>828</v>
      </c>
    </row>
    <row r="962" ht="15.75" customHeight="1">
      <c r="B962" s="4" t="s">
        <v>828</v>
      </c>
    </row>
    <row r="963" ht="15.75" customHeight="1">
      <c r="B963" s="4" t="s">
        <v>828</v>
      </c>
    </row>
    <row r="964" ht="15.75" customHeight="1">
      <c r="B964" s="4" t="s">
        <v>828</v>
      </c>
    </row>
    <row r="965" ht="15.75" customHeight="1">
      <c r="B965" s="4" t="s">
        <v>828</v>
      </c>
    </row>
    <row r="966" ht="15.75" customHeight="1">
      <c r="B966" s="4" t="s">
        <v>828</v>
      </c>
    </row>
    <row r="967" ht="15.75" customHeight="1">
      <c r="B967" s="4" t="s">
        <v>828</v>
      </c>
    </row>
    <row r="968" ht="15.75" customHeight="1">
      <c r="B968" s="4" t="s">
        <v>828</v>
      </c>
    </row>
    <row r="969" ht="15.75" customHeight="1">
      <c r="B969" s="4" t="s">
        <v>828</v>
      </c>
    </row>
    <row r="970" ht="15.75" customHeight="1">
      <c r="B970" s="4" t="s">
        <v>828</v>
      </c>
    </row>
    <row r="971" ht="15.75" customHeight="1">
      <c r="B971" s="4" t="s">
        <v>828</v>
      </c>
    </row>
    <row r="972" ht="15.75" customHeight="1">
      <c r="B972" s="4" t="s">
        <v>828</v>
      </c>
    </row>
    <row r="973" ht="15.75" customHeight="1">
      <c r="B973" s="4" t="s">
        <v>828</v>
      </c>
    </row>
    <row r="974" ht="15.75" customHeight="1">
      <c r="B974" s="4" t="s">
        <v>828</v>
      </c>
    </row>
    <row r="975" ht="15.75" customHeight="1">
      <c r="B975" s="4" t="s">
        <v>828</v>
      </c>
    </row>
    <row r="976" ht="15.75" customHeight="1">
      <c r="B976" s="4" t="s">
        <v>828</v>
      </c>
    </row>
    <row r="977" ht="15.75" customHeight="1">
      <c r="B977" s="4" t="s">
        <v>828</v>
      </c>
    </row>
    <row r="978" ht="15.75" customHeight="1">
      <c r="B978" s="4" t="s">
        <v>828</v>
      </c>
    </row>
    <row r="979" ht="15.75" customHeight="1">
      <c r="B979" s="4" t="s">
        <v>828</v>
      </c>
    </row>
    <row r="980" ht="15.75" customHeight="1">
      <c r="B980" s="4" t="s">
        <v>828</v>
      </c>
    </row>
    <row r="981" ht="15.75" customHeight="1">
      <c r="B981" s="4" t="s">
        <v>828</v>
      </c>
    </row>
    <row r="982" ht="15.75" customHeight="1">
      <c r="B982" s="4" t="s">
        <v>828</v>
      </c>
    </row>
    <row r="983" ht="15.75" customHeight="1">
      <c r="B983" s="4" t="s">
        <v>828</v>
      </c>
    </row>
    <row r="984" ht="15.75" customHeight="1">
      <c r="B984" s="4" t="s">
        <v>828</v>
      </c>
    </row>
    <row r="985" ht="15.75" customHeight="1">
      <c r="B985" s="4" t="s">
        <v>828</v>
      </c>
    </row>
    <row r="986" ht="15.75" customHeight="1">
      <c r="B986" s="4" t="s">
        <v>828</v>
      </c>
    </row>
    <row r="987" ht="15.75" customHeight="1">
      <c r="B987" s="4" t="s">
        <v>828</v>
      </c>
    </row>
    <row r="988" ht="15.75" customHeight="1">
      <c r="B988" s="4" t="s">
        <v>828</v>
      </c>
    </row>
    <row r="989" ht="15.75" customHeight="1">
      <c r="B989" s="4" t="s">
        <v>828</v>
      </c>
    </row>
    <row r="990" ht="15.75" customHeight="1">
      <c r="B990" s="4" t="s">
        <v>828</v>
      </c>
    </row>
    <row r="991" ht="15.75" customHeight="1">
      <c r="B991" s="4" t="s">
        <v>828</v>
      </c>
    </row>
    <row r="992" ht="15.75" customHeight="1">
      <c r="B992" s="4" t="s">
        <v>828</v>
      </c>
    </row>
    <row r="993" ht="15.75" customHeight="1">
      <c r="B993" s="4" t="s">
        <v>828</v>
      </c>
    </row>
    <row r="994" ht="15.75" customHeight="1">
      <c r="B994" s="4" t="s">
        <v>828</v>
      </c>
    </row>
    <row r="995" ht="15.75" customHeight="1">
      <c r="B995" s="4" t="s">
        <v>828</v>
      </c>
    </row>
    <row r="996" ht="15.75" customHeight="1">
      <c r="B996" s="4" t="s">
        <v>828</v>
      </c>
    </row>
    <row r="997" ht="15.75" customHeight="1">
      <c r="B997" s="4" t="s">
        <v>828</v>
      </c>
    </row>
    <row r="998" ht="15.75" customHeight="1">
      <c r="B998" s="4" t="s">
        <v>828</v>
      </c>
    </row>
    <row r="999" ht="15.75" customHeight="1">
      <c r="B999" s="4" t="s">
        <v>828</v>
      </c>
    </row>
    <row r="1000" ht="15.75" customHeight="1">
      <c r="B1000" s="4" t="s">
        <v>828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38.0"/>
    <col customWidth="1" min="5" max="5" width="10.0"/>
    <col customWidth="1" min="6" max="7" width="12.0"/>
    <col customWidth="1" min="8" max="8" width="10.0"/>
    <col customWidth="1" min="9" max="9" width="12.0"/>
    <col customWidth="1" min="10" max="10" width="24.0"/>
    <col customWidth="1" min="11" max="26" width="8.71"/>
  </cols>
  <sheetData>
    <row r="1">
      <c r="A1" s="5" t="s">
        <v>829</v>
      </c>
      <c r="B1" s="8" t="s">
        <v>830</v>
      </c>
      <c r="C1" s="5" t="s">
        <v>59</v>
      </c>
      <c r="D1" s="8" t="s">
        <v>831</v>
      </c>
      <c r="E1" s="5" t="s">
        <v>832</v>
      </c>
      <c r="F1" s="5" t="s">
        <v>833</v>
      </c>
      <c r="G1" s="5" t="s">
        <v>834</v>
      </c>
      <c r="H1" s="5" t="s">
        <v>835</v>
      </c>
      <c r="I1" s="5" t="s">
        <v>836</v>
      </c>
      <c r="J1" s="5" t="s">
        <v>837</v>
      </c>
    </row>
    <row r="2">
      <c r="A2" s="7" t="s">
        <v>838</v>
      </c>
      <c r="B2" s="9"/>
      <c r="C2" s="10"/>
      <c r="D2" s="10"/>
      <c r="E2" s="7">
        <v>1.0</v>
      </c>
      <c r="F2" s="7">
        <f>COUNTIF('학생반배정'!$C:$C,C2)</f>
        <v>0</v>
      </c>
      <c r="G2" s="7">
        <f t="shared" ref="G2:G85" si="1">E2*F2</f>
        <v>0</v>
      </c>
      <c r="H2" s="11" t="s">
        <v>839</v>
      </c>
      <c r="I2" s="7"/>
      <c r="J2" s="7"/>
    </row>
    <row r="3">
      <c r="A3" s="7" t="s">
        <v>840</v>
      </c>
      <c r="B3" s="9"/>
      <c r="C3" s="10"/>
      <c r="D3" s="10"/>
      <c r="E3" s="7">
        <v>1.0</v>
      </c>
      <c r="F3" s="7">
        <f>COUNTIF('학생반배정'!$C:$C,C3)</f>
        <v>0</v>
      </c>
      <c r="G3" s="7">
        <f t="shared" si="1"/>
        <v>0</v>
      </c>
      <c r="H3" s="11" t="s">
        <v>839</v>
      </c>
      <c r="I3" s="7"/>
      <c r="J3" s="7"/>
    </row>
    <row r="4">
      <c r="A4" s="7" t="s">
        <v>841</v>
      </c>
      <c r="B4" s="9"/>
      <c r="C4" s="10"/>
      <c r="D4" s="10"/>
      <c r="E4" s="7">
        <v>1.0</v>
      </c>
      <c r="F4" s="7">
        <f>COUNTIF('학생반배정'!$C:$C,C4)</f>
        <v>0</v>
      </c>
      <c r="G4" s="7">
        <f t="shared" si="1"/>
        <v>0</v>
      </c>
      <c r="H4" s="11" t="s">
        <v>839</v>
      </c>
      <c r="I4" s="7"/>
      <c r="J4" s="7"/>
    </row>
    <row r="5">
      <c r="A5" s="7" t="s">
        <v>842</v>
      </c>
      <c r="B5" s="9"/>
      <c r="C5" s="10"/>
      <c r="D5" s="10"/>
      <c r="E5" s="7">
        <v>1.0</v>
      </c>
      <c r="F5" s="7">
        <f>COUNTIF('학생반배정'!$C:$C,C5)</f>
        <v>0</v>
      </c>
      <c r="G5" s="7">
        <f t="shared" si="1"/>
        <v>0</v>
      </c>
      <c r="H5" s="11" t="s">
        <v>839</v>
      </c>
      <c r="I5" s="7"/>
      <c r="J5" s="7"/>
    </row>
    <row r="6">
      <c r="A6" s="7" t="s">
        <v>843</v>
      </c>
      <c r="B6" s="9"/>
      <c r="C6" s="10"/>
      <c r="D6" s="10"/>
      <c r="E6" s="7">
        <v>1.0</v>
      </c>
      <c r="F6" s="7">
        <f>COUNTIF('학생반배정'!$C:$C,C6)</f>
        <v>0</v>
      </c>
      <c r="G6" s="7">
        <f t="shared" si="1"/>
        <v>0</v>
      </c>
      <c r="H6" s="11" t="s">
        <v>839</v>
      </c>
      <c r="I6" s="7"/>
      <c r="J6" s="7"/>
    </row>
    <row r="7">
      <c r="A7" s="7" t="s">
        <v>844</v>
      </c>
      <c r="B7" s="9"/>
      <c r="C7" s="10"/>
      <c r="D7" s="10"/>
      <c r="E7" s="7">
        <v>1.0</v>
      </c>
      <c r="F7" s="7">
        <f>COUNTIF('학생반배정'!$C:$C,C7)</f>
        <v>0</v>
      </c>
      <c r="G7" s="7">
        <f t="shared" si="1"/>
        <v>0</v>
      </c>
      <c r="H7" s="11" t="s">
        <v>839</v>
      </c>
      <c r="I7" s="7"/>
      <c r="J7" s="7"/>
    </row>
    <row r="8">
      <c r="A8" s="7" t="s">
        <v>845</v>
      </c>
      <c r="B8" s="9"/>
      <c r="C8" s="10"/>
      <c r="D8" s="10"/>
      <c r="E8" s="7">
        <v>1.0</v>
      </c>
      <c r="F8" s="7">
        <f>COUNTIF('학생반배정'!$C:$C,C8)</f>
        <v>0</v>
      </c>
      <c r="G8" s="7">
        <f t="shared" si="1"/>
        <v>0</v>
      </c>
      <c r="H8" s="11" t="s">
        <v>839</v>
      </c>
      <c r="I8" s="7"/>
      <c r="J8" s="7"/>
    </row>
    <row r="9">
      <c r="A9" s="7" t="s">
        <v>846</v>
      </c>
      <c r="B9" s="9"/>
      <c r="C9" s="10"/>
      <c r="D9" s="10"/>
      <c r="E9" s="7">
        <v>1.0</v>
      </c>
      <c r="F9" s="7">
        <f>COUNTIF('학생반배정'!$C:$C,C9)</f>
        <v>0</v>
      </c>
      <c r="G9" s="7">
        <f t="shared" si="1"/>
        <v>0</v>
      </c>
      <c r="H9" s="11" t="s">
        <v>839</v>
      </c>
      <c r="I9" s="7"/>
      <c r="J9" s="7"/>
    </row>
    <row r="10">
      <c r="A10" s="7" t="s">
        <v>847</v>
      </c>
      <c r="B10" s="9"/>
      <c r="C10" s="10"/>
      <c r="D10" s="10"/>
      <c r="E10" s="7">
        <v>1.0</v>
      </c>
      <c r="F10" s="7">
        <f>COUNTIF('학생반배정'!$C:$C,C10)</f>
        <v>0</v>
      </c>
      <c r="G10" s="7">
        <f t="shared" si="1"/>
        <v>0</v>
      </c>
      <c r="H10" s="11" t="s">
        <v>839</v>
      </c>
      <c r="I10" s="7"/>
      <c r="J10" s="7"/>
    </row>
    <row r="11">
      <c r="A11" s="7" t="s">
        <v>848</v>
      </c>
      <c r="B11" s="9"/>
      <c r="C11" s="10"/>
      <c r="D11" s="10"/>
      <c r="E11" s="7">
        <v>1.0</v>
      </c>
      <c r="F11" s="7">
        <f>COUNTIF('학생반배정'!$C:$C,C11)</f>
        <v>0</v>
      </c>
      <c r="G11" s="7">
        <f t="shared" si="1"/>
        <v>0</v>
      </c>
      <c r="H11" s="11" t="s">
        <v>839</v>
      </c>
      <c r="I11" s="7"/>
      <c r="J11" s="7"/>
    </row>
    <row r="12">
      <c r="A12" s="7" t="s">
        <v>849</v>
      </c>
      <c r="B12" s="9"/>
      <c r="C12" s="10"/>
      <c r="D12" s="10"/>
      <c r="E12" s="7">
        <v>1.0</v>
      </c>
      <c r="F12" s="7">
        <f>COUNTIF('학생반배정'!$C:$C,C12)</f>
        <v>0</v>
      </c>
      <c r="G12" s="7">
        <f t="shared" si="1"/>
        <v>0</v>
      </c>
      <c r="H12" s="11" t="s">
        <v>839</v>
      </c>
      <c r="I12" s="7"/>
      <c r="J12" s="7"/>
    </row>
    <row r="13">
      <c r="A13" s="7" t="s">
        <v>850</v>
      </c>
      <c r="B13" s="9"/>
      <c r="C13" s="10"/>
      <c r="D13" s="10"/>
      <c r="E13" s="7">
        <v>1.0</v>
      </c>
      <c r="F13" s="7">
        <f>COUNTIF('학생반배정'!$C:$C,C13)</f>
        <v>0</v>
      </c>
      <c r="G13" s="7">
        <f t="shared" si="1"/>
        <v>0</v>
      </c>
      <c r="H13" s="11" t="s">
        <v>839</v>
      </c>
      <c r="I13" s="7"/>
      <c r="J13" s="7"/>
    </row>
    <row r="14">
      <c r="A14" s="7" t="s">
        <v>851</v>
      </c>
      <c r="B14" s="9"/>
      <c r="C14" s="10"/>
      <c r="D14" s="10"/>
      <c r="E14" s="7">
        <v>1.0</v>
      </c>
      <c r="F14" s="7">
        <f>COUNTIF('학생반배정'!$C:$C,C14)</f>
        <v>0</v>
      </c>
      <c r="G14" s="7">
        <f t="shared" si="1"/>
        <v>0</v>
      </c>
      <c r="H14" s="11" t="s">
        <v>839</v>
      </c>
      <c r="I14" s="7"/>
      <c r="J14" s="7"/>
    </row>
    <row r="15">
      <c r="A15" s="7" t="s">
        <v>852</v>
      </c>
      <c r="B15" s="9"/>
      <c r="C15" s="10"/>
      <c r="D15" s="10"/>
      <c r="E15" s="7">
        <v>1.0</v>
      </c>
      <c r="F15" s="7">
        <f>COUNTIF('학생반배정'!$C:$C,C15)</f>
        <v>0</v>
      </c>
      <c r="G15" s="7">
        <f t="shared" si="1"/>
        <v>0</v>
      </c>
      <c r="H15" s="11" t="s">
        <v>839</v>
      </c>
      <c r="I15" s="7"/>
      <c r="J15" s="7"/>
    </row>
    <row r="16">
      <c r="A16" s="7" t="s">
        <v>853</v>
      </c>
      <c r="B16" s="9"/>
      <c r="C16" s="10"/>
      <c r="D16" s="10"/>
      <c r="E16" s="7">
        <v>1.0</v>
      </c>
      <c r="F16" s="7">
        <f>COUNTIF('학생반배정'!$C:$C,C16)</f>
        <v>0</v>
      </c>
      <c r="G16" s="7">
        <f t="shared" si="1"/>
        <v>0</v>
      </c>
      <c r="H16" s="11" t="s">
        <v>839</v>
      </c>
      <c r="I16" s="7"/>
      <c r="J16" s="7"/>
    </row>
    <row r="17">
      <c r="A17" s="7" t="s">
        <v>854</v>
      </c>
      <c r="B17" s="9"/>
      <c r="C17" s="10"/>
      <c r="D17" s="10"/>
      <c r="E17" s="7">
        <v>1.0</v>
      </c>
      <c r="F17" s="7">
        <f>COUNTIF('학생반배정'!$C:$C,C17)</f>
        <v>0</v>
      </c>
      <c r="G17" s="7">
        <f t="shared" si="1"/>
        <v>0</v>
      </c>
      <c r="H17" s="11" t="s">
        <v>839</v>
      </c>
      <c r="I17" s="7"/>
      <c r="J17" s="7"/>
    </row>
    <row r="18">
      <c r="A18" s="7" t="s">
        <v>855</v>
      </c>
      <c r="B18" s="9"/>
      <c r="C18" s="10"/>
      <c r="D18" s="10"/>
      <c r="E18" s="7">
        <v>1.0</v>
      </c>
      <c r="F18" s="7">
        <f>COUNTIF('학생반배정'!$C:$C,C18)</f>
        <v>0</v>
      </c>
      <c r="G18" s="7">
        <f t="shared" si="1"/>
        <v>0</v>
      </c>
      <c r="H18" s="11" t="s">
        <v>839</v>
      </c>
      <c r="I18" s="7"/>
      <c r="J18" s="7"/>
    </row>
    <row r="19">
      <c r="A19" s="7" t="s">
        <v>856</v>
      </c>
      <c r="B19" s="9"/>
      <c r="C19" s="10"/>
      <c r="D19" s="10"/>
      <c r="E19" s="7">
        <v>1.0</v>
      </c>
      <c r="F19" s="7">
        <f>COUNTIF('학생반배정'!$C:$C,C19)</f>
        <v>0</v>
      </c>
      <c r="G19" s="7">
        <f t="shared" si="1"/>
        <v>0</v>
      </c>
      <c r="H19" s="11" t="s">
        <v>839</v>
      </c>
      <c r="I19" s="7"/>
      <c r="J19" s="7"/>
    </row>
    <row r="20">
      <c r="A20" s="7" t="s">
        <v>857</v>
      </c>
      <c r="B20" s="9"/>
      <c r="C20" s="10"/>
      <c r="D20" s="10"/>
      <c r="E20" s="7">
        <v>1.0</v>
      </c>
      <c r="F20" s="7">
        <f>COUNTIF('학생반배정'!$C:$C,C20)</f>
        <v>0</v>
      </c>
      <c r="G20" s="7">
        <f t="shared" si="1"/>
        <v>0</v>
      </c>
      <c r="H20" s="11" t="s">
        <v>839</v>
      </c>
      <c r="I20" s="7"/>
      <c r="J20" s="7"/>
    </row>
    <row r="21" ht="15.75" customHeight="1">
      <c r="A21" s="7" t="s">
        <v>858</v>
      </c>
      <c r="B21" s="9"/>
      <c r="C21" s="10"/>
      <c r="D21" s="10"/>
      <c r="E21" s="7">
        <v>1.0</v>
      </c>
      <c r="F21" s="7">
        <f>COUNTIF('학생반배정'!$C:$C,C21)</f>
        <v>0</v>
      </c>
      <c r="G21" s="7">
        <f t="shared" si="1"/>
        <v>0</v>
      </c>
      <c r="H21" s="11" t="s">
        <v>839</v>
      </c>
      <c r="I21" s="7"/>
      <c r="J21" s="7"/>
    </row>
    <row r="22" ht="15.75" customHeight="1">
      <c r="A22" s="7" t="s">
        <v>859</v>
      </c>
      <c r="B22" s="9"/>
      <c r="C22" s="10"/>
      <c r="D22" s="10"/>
      <c r="E22" s="7">
        <v>1.0</v>
      </c>
      <c r="F22" s="7">
        <f>COUNTIF('학생반배정'!$C:$C,C22)</f>
        <v>0</v>
      </c>
      <c r="G22" s="7">
        <f t="shared" si="1"/>
        <v>0</v>
      </c>
      <c r="H22" s="11" t="s">
        <v>839</v>
      </c>
      <c r="I22" s="7"/>
      <c r="J22" s="7"/>
    </row>
    <row r="23" ht="15.75" customHeight="1">
      <c r="A23" s="7" t="s">
        <v>860</v>
      </c>
      <c r="B23" s="9"/>
      <c r="C23" s="10"/>
      <c r="D23" s="10"/>
      <c r="E23" s="7">
        <v>1.0</v>
      </c>
      <c r="F23" s="7">
        <f>COUNTIF('학생반배정'!$C:$C,C23)</f>
        <v>0</v>
      </c>
      <c r="G23" s="7">
        <f t="shared" si="1"/>
        <v>0</v>
      </c>
      <c r="H23" s="11" t="s">
        <v>839</v>
      </c>
      <c r="I23" s="7"/>
      <c r="J23" s="7"/>
    </row>
    <row r="24" ht="15.75" customHeight="1">
      <c r="A24" s="7" t="s">
        <v>861</v>
      </c>
      <c r="B24" s="9"/>
      <c r="C24" s="10"/>
      <c r="D24" s="10"/>
      <c r="E24" s="7">
        <v>1.0</v>
      </c>
      <c r="F24" s="7">
        <f>COUNTIF('학생반배정'!$C:$C,C24)</f>
        <v>0</v>
      </c>
      <c r="G24" s="7">
        <f t="shared" si="1"/>
        <v>0</v>
      </c>
      <c r="H24" s="11" t="s">
        <v>839</v>
      </c>
      <c r="I24" s="7"/>
      <c r="J24" s="7"/>
    </row>
    <row r="25" ht="15.75" customHeight="1">
      <c r="A25" s="7" t="s">
        <v>862</v>
      </c>
      <c r="B25" s="9"/>
      <c r="C25" s="10"/>
      <c r="D25" s="10"/>
      <c r="E25" s="7">
        <v>1.0</v>
      </c>
      <c r="F25" s="7">
        <f>COUNTIF('학생반배정'!$C:$C,C25)</f>
        <v>0</v>
      </c>
      <c r="G25" s="7">
        <f t="shared" si="1"/>
        <v>0</v>
      </c>
      <c r="H25" s="11" t="s">
        <v>839</v>
      </c>
      <c r="I25" s="7"/>
      <c r="J25" s="7"/>
    </row>
    <row r="26" ht="15.75" customHeight="1">
      <c r="A26" s="7" t="s">
        <v>863</v>
      </c>
      <c r="B26" s="9"/>
      <c r="C26" s="10"/>
      <c r="D26" s="10"/>
      <c r="E26" s="7">
        <v>1.0</v>
      </c>
      <c r="F26" s="7">
        <f>COUNTIF('학생반배정'!$C:$C,C26)</f>
        <v>0</v>
      </c>
      <c r="G26" s="7">
        <f t="shared" si="1"/>
        <v>0</v>
      </c>
      <c r="H26" s="11" t="s">
        <v>839</v>
      </c>
      <c r="I26" s="7"/>
      <c r="J26" s="7"/>
    </row>
    <row r="27" ht="15.75" customHeight="1">
      <c r="A27" s="7" t="s">
        <v>864</v>
      </c>
      <c r="B27" s="9"/>
      <c r="C27" s="10"/>
      <c r="D27" s="10"/>
      <c r="E27" s="7">
        <v>1.0</v>
      </c>
      <c r="F27" s="7">
        <f>COUNTIF('학생반배정'!$C:$C,C27)</f>
        <v>0</v>
      </c>
      <c r="G27" s="7">
        <f t="shared" si="1"/>
        <v>0</v>
      </c>
      <c r="H27" s="11" t="s">
        <v>839</v>
      </c>
      <c r="I27" s="7"/>
      <c r="J27" s="7"/>
    </row>
    <row r="28" ht="15.75" customHeight="1">
      <c r="A28" s="7" t="s">
        <v>865</v>
      </c>
      <c r="B28" s="9"/>
      <c r="C28" s="10"/>
      <c r="D28" s="10"/>
      <c r="E28" s="7">
        <v>1.0</v>
      </c>
      <c r="F28" s="7">
        <f>COUNTIF('학생반배정'!$C:$C,C28)</f>
        <v>0</v>
      </c>
      <c r="G28" s="7">
        <f t="shared" si="1"/>
        <v>0</v>
      </c>
      <c r="H28" s="11" t="s">
        <v>839</v>
      </c>
      <c r="I28" s="7"/>
      <c r="J28" s="7"/>
    </row>
    <row r="29" ht="15.75" customHeight="1">
      <c r="A29" s="7" t="s">
        <v>866</v>
      </c>
      <c r="B29" s="9"/>
      <c r="C29" s="10"/>
      <c r="D29" s="10"/>
      <c r="E29" s="7">
        <v>1.0</v>
      </c>
      <c r="F29" s="7">
        <f>COUNTIF('학생반배정'!$C:$C,C29)</f>
        <v>0</v>
      </c>
      <c r="G29" s="7">
        <f t="shared" si="1"/>
        <v>0</v>
      </c>
      <c r="H29" s="11" t="s">
        <v>839</v>
      </c>
      <c r="I29" s="7"/>
      <c r="J29" s="7"/>
    </row>
    <row r="30" ht="15.75" customHeight="1">
      <c r="A30" s="7" t="s">
        <v>867</v>
      </c>
      <c r="B30" s="9"/>
      <c r="C30" s="10"/>
      <c r="D30" s="10"/>
      <c r="E30" s="7">
        <v>1.0</v>
      </c>
      <c r="F30" s="7">
        <f>COUNTIF('학생반배정'!$C:$C,C30)</f>
        <v>0</v>
      </c>
      <c r="G30" s="7">
        <f t="shared" si="1"/>
        <v>0</v>
      </c>
      <c r="H30" s="11" t="s">
        <v>839</v>
      </c>
      <c r="I30" s="7"/>
      <c r="J30" s="7"/>
    </row>
    <row r="31" ht="15.75" customHeight="1">
      <c r="A31" s="7" t="s">
        <v>868</v>
      </c>
      <c r="B31" s="9"/>
      <c r="C31" s="10"/>
      <c r="D31" s="10"/>
      <c r="E31" s="7">
        <v>1.0</v>
      </c>
      <c r="F31" s="7">
        <f>COUNTIF('학생반배정'!$C:$C,C31)</f>
        <v>0</v>
      </c>
      <c r="G31" s="7">
        <f t="shared" si="1"/>
        <v>0</v>
      </c>
      <c r="H31" s="11" t="s">
        <v>839</v>
      </c>
      <c r="I31" s="7"/>
      <c r="J31" s="7"/>
    </row>
    <row r="32" ht="15.75" customHeight="1">
      <c r="A32" s="7" t="s">
        <v>869</v>
      </c>
      <c r="B32" s="9"/>
      <c r="C32" s="10"/>
      <c r="D32" s="10"/>
      <c r="E32" s="7">
        <v>1.0</v>
      </c>
      <c r="F32" s="7">
        <f>COUNTIF('학생반배정'!$C:$C,C32)</f>
        <v>0</v>
      </c>
      <c r="G32" s="7">
        <f t="shared" si="1"/>
        <v>0</v>
      </c>
      <c r="H32" s="11" t="s">
        <v>839</v>
      </c>
      <c r="I32" s="7"/>
      <c r="J32" s="7"/>
    </row>
    <row r="33" ht="15.75" customHeight="1">
      <c r="A33" s="7" t="s">
        <v>870</v>
      </c>
      <c r="B33" s="9"/>
      <c r="C33" s="10"/>
      <c r="D33" s="10"/>
      <c r="E33" s="7">
        <v>1.0</v>
      </c>
      <c r="F33" s="7">
        <f>COUNTIF('학생반배정'!$C:$C,C33)</f>
        <v>0</v>
      </c>
      <c r="G33" s="7">
        <f t="shared" si="1"/>
        <v>0</v>
      </c>
      <c r="H33" s="11" t="s">
        <v>839</v>
      </c>
      <c r="I33" s="7"/>
      <c r="J33" s="7"/>
    </row>
    <row r="34" ht="15.75" customHeight="1">
      <c r="A34" s="7" t="s">
        <v>871</v>
      </c>
      <c r="B34" s="9"/>
      <c r="C34" s="10"/>
      <c r="D34" s="10"/>
      <c r="E34" s="7">
        <v>1.0</v>
      </c>
      <c r="F34" s="7">
        <f>COUNTIF('학생반배정'!$C:$C,C34)</f>
        <v>0</v>
      </c>
      <c r="G34" s="7">
        <f t="shared" si="1"/>
        <v>0</v>
      </c>
      <c r="H34" s="11" t="s">
        <v>839</v>
      </c>
      <c r="I34" s="7"/>
      <c r="J34" s="7"/>
    </row>
    <row r="35" ht="15.75" customHeight="1">
      <c r="A35" s="7" t="s">
        <v>872</v>
      </c>
      <c r="B35" s="9"/>
      <c r="C35" s="10"/>
      <c r="D35" s="10"/>
      <c r="E35" s="7">
        <v>1.0</v>
      </c>
      <c r="F35" s="7">
        <f>COUNTIF('학생반배정'!$C:$C,C35)</f>
        <v>0</v>
      </c>
      <c r="G35" s="7">
        <f t="shared" si="1"/>
        <v>0</v>
      </c>
      <c r="H35" s="11" t="s">
        <v>839</v>
      </c>
      <c r="I35" s="7"/>
      <c r="J35" s="7"/>
    </row>
    <row r="36" ht="15.75" customHeight="1">
      <c r="A36" s="7" t="s">
        <v>873</v>
      </c>
      <c r="B36" s="9"/>
      <c r="C36" s="10"/>
      <c r="D36" s="10"/>
      <c r="E36" s="7">
        <v>1.0</v>
      </c>
      <c r="F36" s="7">
        <f>COUNTIF('학생반배정'!$C:$C,C36)</f>
        <v>0</v>
      </c>
      <c r="G36" s="7">
        <f t="shared" si="1"/>
        <v>0</v>
      </c>
      <c r="H36" s="11" t="s">
        <v>839</v>
      </c>
      <c r="I36" s="7"/>
      <c r="J36" s="7"/>
    </row>
    <row r="37" ht="15.75" customHeight="1">
      <c r="A37" s="7" t="s">
        <v>874</v>
      </c>
      <c r="B37" s="9"/>
      <c r="C37" s="10"/>
      <c r="D37" s="10"/>
      <c r="E37" s="7">
        <v>1.0</v>
      </c>
      <c r="F37" s="7">
        <f>COUNTIF('학생반배정'!$C:$C,C37)</f>
        <v>0</v>
      </c>
      <c r="G37" s="7">
        <f t="shared" si="1"/>
        <v>0</v>
      </c>
      <c r="H37" s="11" t="s">
        <v>839</v>
      </c>
      <c r="I37" s="7"/>
      <c r="J37" s="7"/>
    </row>
    <row r="38" ht="15.75" customHeight="1">
      <c r="A38" s="7" t="s">
        <v>875</v>
      </c>
      <c r="B38" s="9"/>
      <c r="C38" s="10"/>
      <c r="D38" s="10"/>
      <c r="E38" s="7">
        <v>1.0</v>
      </c>
      <c r="F38" s="7">
        <f>COUNTIF('학생반배정'!$C:$C,C38)</f>
        <v>0</v>
      </c>
      <c r="G38" s="7">
        <f t="shared" si="1"/>
        <v>0</v>
      </c>
      <c r="H38" s="11" t="s">
        <v>839</v>
      </c>
      <c r="I38" s="7"/>
      <c r="J38" s="7"/>
    </row>
    <row r="39" ht="15.75" customHeight="1">
      <c r="A39" s="7" t="s">
        <v>876</v>
      </c>
      <c r="B39" s="9"/>
      <c r="C39" s="10"/>
      <c r="D39" s="10"/>
      <c r="E39" s="7">
        <v>1.0</v>
      </c>
      <c r="F39" s="7">
        <f>COUNTIF('학생반배정'!$C:$C,C39)</f>
        <v>0</v>
      </c>
      <c r="G39" s="7">
        <f t="shared" si="1"/>
        <v>0</v>
      </c>
      <c r="H39" s="11" t="s">
        <v>839</v>
      </c>
      <c r="I39" s="7"/>
      <c r="J39" s="7"/>
    </row>
    <row r="40" ht="15.75" customHeight="1">
      <c r="A40" s="7" t="s">
        <v>877</v>
      </c>
      <c r="B40" s="9"/>
      <c r="C40" s="10"/>
      <c r="D40" s="10"/>
      <c r="E40" s="7">
        <v>1.0</v>
      </c>
      <c r="F40" s="7">
        <f>COUNTIF('학생반배정'!$C:$C,C40)</f>
        <v>0</v>
      </c>
      <c r="G40" s="7">
        <f t="shared" si="1"/>
        <v>0</v>
      </c>
      <c r="H40" s="11" t="s">
        <v>839</v>
      </c>
      <c r="I40" s="7"/>
      <c r="J40" s="7"/>
    </row>
    <row r="41" ht="15.75" customHeight="1">
      <c r="A41" s="7" t="s">
        <v>878</v>
      </c>
      <c r="B41" s="9"/>
      <c r="C41" s="10"/>
      <c r="D41" s="10"/>
      <c r="E41" s="7">
        <v>1.0</v>
      </c>
      <c r="F41" s="7">
        <f>COUNTIF('학생반배정'!$C:$C,C41)</f>
        <v>0</v>
      </c>
      <c r="G41" s="7">
        <f t="shared" si="1"/>
        <v>0</v>
      </c>
      <c r="H41" s="11" t="s">
        <v>839</v>
      </c>
      <c r="I41" s="7"/>
      <c r="J41" s="7"/>
    </row>
    <row r="42" ht="15.75" customHeight="1">
      <c r="A42" s="7" t="s">
        <v>879</v>
      </c>
      <c r="B42" s="9"/>
      <c r="C42" s="10"/>
      <c r="D42" s="10"/>
      <c r="E42" s="7">
        <v>1.0</v>
      </c>
      <c r="F42" s="7">
        <f>COUNTIF('학생반배정'!$C:$C,C42)</f>
        <v>0</v>
      </c>
      <c r="G42" s="7">
        <f t="shared" si="1"/>
        <v>0</v>
      </c>
      <c r="H42" s="11" t="s">
        <v>839</v>
      </c>
      <c r="I42" s="7"/>
      <c r="J42" s="7"/>
    </row>
    <row r="43" ht="15.75" customHeight="1">
      <c r="A43" s="7" t="s">
        <v>880</v>
      </c>
      <c r="B43" s="9"/>
      <c r="C43" s="10"/>
      <c r="D43" s="10"/>
      <c r="E43" s="7">
        <v>1.0</v>
      </c>
      <c r="F43" s="7">
        <f>COUNTIF('학생반배정'!$C:$C,C43)</f>
        <v>0</v>
      </c>
      <c r="G43" s="7">
        <f t="shared" si="1"/>
        <v>0</v>
      </c>
      <c r="H43" s="11" t="s">
        <v>839</v>
      </c>
      <c r="I43" s="7"/>
      <c r="J43" s="7"/>
    </row>
    <row r="44" ht="15.75" customHeight="1">
      <c r="A44" s="7" t="s">
        <v>881</v>
      </c>
      <c r="B44" s="9"/>
      <c r="C44" s="10"/>
      <c r="D44" s="10"/>
      <c r="E44" s="7">
        <v>1.0</v>
      </c>
      <c r="F44" s="7">
        <f>COUNTIF('학생반배정'!$C:$C,C44)</f>
        <v>0</v>
      </c>
      <c r="G44" s="7">
        <f t="shared" si="1"/>
        <v>0</v>
      </c>
      <c r="H44" s="11" t="s">
        <v>839</v>
      </c>
      <c r="I44" s="7"/>
      <c r="J44" s="7"/>
    </row>
    <row r="45" ht="15.75" customHeight="1">
      <c r="A45" s="7" t="s">
        <v>882</v>
      </c>
      <c r="B45" s="9"/>
      <c r="C45" s="10"/>
      <c r="D45" s="10"/>
      <c r="E45" s="7">
        <v>1.0</v>
      </c>
      <c r="F45" s="7">
        <f>COUNTIF('학생반배정'!$C:$C,C45)</f>
        <v>0</v>
      </c>
      <c r="G45" s="7">
        <f t="shared" si="1"/>
        <v>0</v>
      </c>
      <c r="H45" s="11" t="s">
        <v>839</v>
      </c>
      <c r="I45" s="7"/>
      <c r="J45" s="7"/>
    </row>
    <row r="46" ht="15.75" customHeight="1">
      <c r="A46" s="7" t="s">
        <v>883</v>
      </c>
      <c r="B46" s="9"/>
      <c r="C46" s="10"/>
      <c r="D46" s="10"/>
      <c r="E46" s="7">
        <v>1.0</v>
      </c>
      <c r="F46" s="7">
        <f>COUNTIF('학생반배정'!$C:$C,C46)</f>
        <v>0</v>
      </c>
      <c r="G46" s="7">
        <f t="shared" si="1"/>
        <v>0</v>
      </c>
      <c r="H46" s="11" t="s">
        <v>839</v>
      </c>
      <c r="I46" s="7"/>
      <c r="J46" s="7"/>
    </row>
    <row r="47" ht="15.75" customHeight="1">
      <c r="A47" s="7" t="s">
        <v>884</v>
      </c>
      <c r="B47" s="9"/>
      <c r="C47" s="10"/>
      <c r="D47" s="10"/>
      <c r="E47" s="7">
        <v>1.0</v>
      </c>
      <c r="F47" s="7">
        <f>COUNTIF('학생반배정'!$C:$C,C47)</f>
        <v>0</v>
      </c>
      <c r="G47" s="7">
        <f t="shared" si="1"/>
        <v>0</v>
      </c>
      <c r="H47" s="11" t="s">
        <v>839</v>
      </c>
      <c r="I47" s="7"/>
      <c r="J47" s="7"/>
    </row>
    <row r="48" ht="15.75" customHeight="1">
      <c r="A48" s="7" t="s">
        <v>885</v>
      </c>
      <c r="B48" s="9"/>
      <c r="C48" s="10"/>
      <c r="D48" s="10"/>
      <c r="E48" s="7">
        <v>1.0</v>
      </c>
      <c r="F48" s="7">
        <f>COUNTIF('학생반배정'!$C:$C,C48)</f>
        <v>0</v>
      </c>
      <c r="G48" s="7">
        <f t="shared" si="1"/>
        <v>0</v>
      </c>
      <c r="H48" s="11" t="s">
        <v>839</v>
      </c>
      <c r="I48" s="7"/>
      <c r="J48" s="7"/>
    </row>
    <row r="49" ht="15.75" customHeight="1">
      <c r="A49" s="7" t="s">
        <v>886</v>
      </c>
      <c r="B49" s="9"/>
      <c r="C49" s="10"/>
      <c r="D49" s="10"/>
      <c r="E49" s="7">
        <v>1.0</v>
      </c>
      <c r="F49" s="7">
        <f>COUNTIF('학생반배정'!$C:$C,C49)</f>
        <v>0</v>
      </c>
      <c r="G49" s="7">
        <f t="shared" si="1"/>
        <v>0</v>
      </c>
      <c r="H49" s="11" t="s">
        <v>839</v>
      </c>
      <c r="I49" s="7"/>
      <c r="J49" s="7"/>
    </row>
    <row r="50" ht="15.75" customHeight="1">
      <c r="A50" s="7" t="s">
        <v>887</v>
      </c>
      <c r="B50" s="9"/>
      <c r="C50" s="10"/>
      <c r="D50" s="10"/>
      <c r="E50" s="7">
        <v>1.0</v>
      </c>
      <c r="F50" s="7">
        <f>COUNTIF('학생반배정'!$C:$C,C50)</f>
        <v>0</v>
      </c>
      <c r="G50" s="7">
        <f t="shared" si="1"/>
        <v>0</v>
      </c>
      <c r="H50" s="11" t="s">
        <v>839</v>
      </c>
      <c r="I50" s="7"/>
      <c r="J50" s="7"/>
    </row>
    <row r="51" ht="15.75" customHeight="1">
      <c r="A51" s="7" t="s">
        <v>888</v>
      </c>
      <c r="B51" s="9"/>
      <c r="C51" s="10"/>
      <c r="D51" s="10"/>
      <c r="E51" s="7">
        <v>1.0</v>
      </c>
      <c r="F51" s="7">
        <f>COUNTIF('학생반배정'!$C:$C,C51)</f>
        <v>0</v>
      </c>
      <c r="G51" s="7">
        <f t="shared" si="1"/>
        <v>0</v>
      </c>
      <c r="H51" s="11" t="s">
        <v>839</v>
      </c>
      <c r="I51" s="7"/>
      <c r="J51" s="7"/>
    </row>
    <row r="52" ht="15.75" customHeight="1">
      <c r="A52" s="3" t="s">
        <v>889</v>
      </c>
      <c r="B52" s="12"/>
      <c r="C52" s="3" t="s">
        <v>61</v>
      </c>
      <c r="D52" s="3"/>
      <c r="E52" s="3">
        <v>1.0</v>
      </c>
      <c r="F52" s="4">
        <f>COUNTIF('학생반배정'!$C:$C,C52)</f>
        <v>0</v>
      </c>
      <c r="G52" s="4">
        <f t="shared" si="1"/>
        <v>0</v>
      </c>
      <c r="H52" s="4"/>
    </row>
    <row r="53" ht="15.75" customHeight="1">
      <c r="A53" s="3" t="s">
        <v>890</v>
      </c>
      <c r="B53" s="12"/>
      <c r="C53" s="3" t="s">
        <v>61</v>
      </c>
      <c r="D53" s="3"/>
      <c r="E53" s="3">
        <v>1.0</v>
      </c>
      <c r="F53" s="4">
        <f>COUNTIF('학생반배정'!$C:$C,C53)</f>
        <v>0</v>
      </c>
      <c r="G53" s="4">
        <f t="shared" si="1"/>
        <v>0</v>
      </c>
      <c r="H53" s="4"/>
    </row>
    <row r="54" ht="15.75" customHeight="1">
      <c r="A54" s="3" t="s">
        <v>891</v>
      </c>
      <c r="B54" s="12"/>
      <c r="C54" s="3" t="s">
        <v>109</v>
      </c>
      <c r="D54" s="3"/>
      <c r="E54" s="3">
        <v>1.0</v>
      </c>
      <c r="F54" s="4">
        <f>COUNTIF('학생반배정'!$C:$C,C54)</f>
        <v>0</v>
      </c>
      <c r="G54" s="4">
        <f t="shared" si="1"/>
        <v>0</v>
      </c>
      <c r="H54" s="4"/>
    </row>
    <row r="55" ht="15.75" customHeight="1">
      <c r="A55" s="3" t="s">
        <v>892</v>
      </c>
      <c r="B55" s="12"/>
      <c r="C55" s="3" t="s">
        <v>118</v>
      </c>
      <c r="D55" s="3"/>
      <c r="E55" s="3">
        <v>1.0</v>
      </c>
      <c r="F55" s="4">
        <f>COUNTIF('학생반배정'!$C:$C,C55)</f>
        <v>0</v>
      </c>
      <c r="G55" s="4">
        <f t="shared" si="1"/>
        <v>0</v>
      </c>
      <c r="H55" s="4"/>
    </row>
    <row r="56" ht="15.75" customHeight="1">
      <c r="A56" s="3" t="s">
        <v>893</v>
      </c>
      <c r="B56" s="12"/>
      <c r="C56" s="3" t="s">
        <v>89</v>
      </c>
      <c r="D56" s="3"/>
      <c r="E56" s="3">
        <v>1.0</v>
      </c>
      <c r="F56" s="4">
        <f>COUNTIF('학생반배정'!$C:$C,C56)</f>
        <v>0</v>
      </c>
      <c r="G56" s="4">
        <f t="shared" si="1"/>
        <v>0</v>
      </c>
      <c r="H56" s="4"/>
    </row>
    <row r="57" ht="15.75" customHeight="1">
      <c r="A57" s="3" t="s">
        <v>894</v>
      </c>
      <c r="B57" s="12"/>
      <c r="C57" s="3" t="s">
        <v>89</v>
      </c>
      <c r="D57" s="3"/>
      <c r="E57" s="3">
        <v>1.0</v>
      </c>
      <c r="F57" s="4">
        <f>COUNTIF('학생반배정'!$C:$C,C57)</f>
        <v>0</v>
      </c>
      <c r="G57" s="4">
        <f t="shared" si="1"/>
        <v>0</v>
      </c>
      <c r="H57" s="4"/>
    </row>
    <row r="58" ht="15.75" customHeight="1">
      <c r="A58" s="3" t="s">
        <v>895</v>
      </c>
      <c r="B58" s="12"/>
      <c r="C58" s="3" t="s">
        <v>89</v>
      </c>
      <c r="D58" s="3"/>
      <c r="E58" s="3">
        <v>1.0</v>
      </c>
      <c r="F58" s="4">
        <f>COUNTIF('학생반배정'!$C:$C,C58)</f>
        <v>0</v>
      </c>
      <c r="G58" s="4">
        <f t="shared" si="1"/>
        <v>0</v>
      </c>
      <c r="H58" s="4"/>
    </row>
    <row r="59" ht="15.75" customHeight="1">
      <c r="A59" s="3" t="s">
        <v>896</v>
      </c>
      <c r="B59" s="12"/>
      <c r="C59" s="3" t="s">
        <v>184</v>
      </c>
      <c r="D59" s="3"/>
      <c r="E59" s="3">
        <v>1.0</v>
      </c>
      <c r="F59" s="4">
        <f>COUNTIF('학생반배정'!$C:$C,C59)</f>
        <v>0</v>
      </c>
      <c r="G59" s="4">
        <f t="shared" si="1"/>
        <v>0</v>
      </c>
      <c r="H59" s="4"/>
    </row>
    <row r="60" ht="15.75" customHeight="1">
      <c r="A60" s="3" t="s">
        <v>897</v>
      </c>
      <c r="B60" s="12"/>
      <c r="C60" s="3" t="s">
        <v>190</v>
      </c>
      <c r="D60" s="3"/>
      <c r="E60" s="3">
        <v>1.0</v>
      </c>
      <c r="F60" s="4">
        <f>COUNTIF('학생반배정'!$C:$C,C60)</f>
        <v>0</v>
      </c>
      <c r="G60" s="4">
        <f t="shared" si="1"/>
        <v>0</v>
      </c>
      <c r="H60" s="4"/>
    </row>
    <row r="61" ht="15.75" customHeight="1">
      <c r="A61" s="3" t="s">
        <v>898</v>
      </c>
      <c r="B61" s="12"/>
      <c r="E61" s="3">
        <v>1.0</v>
      </c>
      <c r="F61" s="4">
        <f>COUNTIF('학생반배정'!$C:$C,C61)</f>
        <v>0</v>
      </c>
      <c r="G61" s="4">
        <f t="shared" si="1"/>
        <v>0</v>
      </c>
      <c r="H61" s="4"/>
    </row>
    <row r="62" ht="15.75" customHeight="1">
      <c r="A62" s="3" t="s">
        <v>899</v>
      </c>
      <c r="B62" s="12"/>
      <c r="C62" s="3" t="s">
        <v>226</v>
      </c>
      <c r="D62" s="3"/>
      <c r="E62" s="3">
        <v>1.0</v>
      </c>
      <c r="F62" s="4">
        <f>COUNTIF('학생반배정'!$C:$C,C62)</f>
        <v>0</v>
      </c>
      <c r="G62" s="4">
        <f t="shared" si="1"/>
        <v>0</v>
      </c>
      <c r="H62" s="4"/>
    </row>
    <row r="63" ht="15.75" customHeight="1">
      <c r="A63" s="3" t="s">
        <v>900</v>
      </c>
      <c r="B63" s="12">
        <v>46104.0</v>
      </c>
      <c r="C63" s="3" t="s">
        <v>61</v>
      </c>
      <c r="D63" s="3" t="s">
        <v>901</v>
      </c>
      <c r="E63" s="3">
        <v>1.0</v>
      </c>
      <c r="F63" s="4">
        <f>COUNTIF('학생반배정'!$C:$C,C63)</f>
        <v>0</v>
      </c>
      <c r="G63" s="4">
        <f t="shared" si="1"/>
        <v>0</v>
      </c>
      <c r="H63" s="4"/>
    </row>
    <row r="64" ht="15.75" customHeight="1">
      <c r="A64" s="3" t="s">
        <v>902</v>
      </c>
      <c r="B64" s="12">
        <v>46107.0</v>
      </c>
      <c r="C64" s="3" t="s">
        <v>95</v>
      </c>
      <c r="D64" s="3" t="s">
        <v>903</v>
      </c>
      <c r="E64" s="3">
        <v>1.0</v>
      </c>
      <c r="F64" s="4">
        <f>COUNTIF('학생반배정'!$C:$C,C64)</f>
        <v>0</v>
      </c>
      <c r="G64" s="4">
        <f t="shared" si="1"/>
        <v>0</v>
      </c>
      <c r="H64" s="4"/>
    </row>
    <row r="65" ht="15.75" customHeight="1">
      <c r="A65" s="3" t="s">
        <v>904</v>
      </c>
      <c r="B65" s="12">
        <v>46107.0</v>
      </c>
      <c r="C65" s="3" t="s">
        <v>137</v>
      </c>
      <c r="D65" s="3" t="s">
        <v>901</v>
      </c>
      <c r="E65" s="3">
        <v>1.0</v>
      </c>
      <c r="F65" s="4">
        <f>COUNTIF('학생반배정'!$C:$C,C65)</f>
        <v>0</v>
      </c>
      <c r="G65" s="4">
        <f t="shared" si="1"/>
        <v>0</v>
      </c>
      <c r="H65" s="4"/>
    </row>
    <row r="66" ht="15.75" customHeight="1">
      <c r="A66" s="3" t="s">
        <v>905</v>
      </c>
      <c r="B66" s="12">
        <v>46109.0</v>
      </c>
      <c r="C66" s="3" t="s">
        <v>70</v>
      </c>
      <c r="D66" s="3" t="s">
        <v>903</v>
      </c>
      <c r="E66" s="3">
        <v>1.0</v>
      </c>
      <c r="F66" s="4">
        <f>COUNTIF('학생반배정'!$C:$C,C66)</f>
        <v>0</v>
      </c>
      <c r="G66" s="4">
        <f t="shared" si="1"/>
        <v>0</v>
      </c>
      <c r="H66" s="4"/>
    </row>
    <row r="67" ht="15.75" customHeight="1">
      <c r="A67" s="3" t="s">
        <v>906</v>
      </c>
      <c r="B67" s="12">
        <v>46107.0</v>
      </c>
      <c r="C67" s="3" t="s">
        <v>192</v>
      </c>
      <c r="D67" s="3" t="s">
        <v>903</v>
      </c>
      <c r="E67" s="3">
        <v>1.0</v>
      </c>
      <c r="F67" s="4">
        <f>COUNTIF('학생반배정'!$C:$C,C67)</f>
        <v>0</v>
      </c>
      <c r="G67" s="4">
        <f t="shared" si="1"/>
        <v>0</v>
      </c>
      <c r="H67" s="4"/>
    </row>
    <row r="68" ht="15.75" customHeight="1">
      <c r="A68" s="3" t="s">
        <v>907</v>
      </c>
      <c r="B68" s="12">
        <v>46107.0</v>
      </c>
      <c r="C68" s="3" t="s">
        <v>192</v>
      </c>
      <c r="D68" s="3" t="s">
        <v>903</v>
      </c>
      <c r="E68" s="3">
        <v>1.0</v>
      </c>
      <c r="F68" s="4">
        <f>COUNTIF('학생반배정'!$C:$C,C68)</f>
        <v>0</v>
      </c>
      <c r="G68" s="4">
        <f t="shared" si="1"/>
        <v>0</v>
      </c>
      <c r="H68" s="4"/>
    </row>
    <row r="69" ht="15.75" customHeight="1">
      <c r="A69" s="3" t="s">
        <v>908</v>
      </c>
      <c r="B69" s="12">
        <v>46112.0</v>
      </c>
      <c r="C69" s="3" t="s">
        <v>190</v>
      </c>
      <c r="D69" s="3" t="s">
        <v>903</v>
      </c>
      <c r="E69" s="3">
        <v>1.0</v>
      </c>
      <c r="F69" s="4">
        <f>COUNTIF('학생반배정'!$C:$C,C69)</f>
        <v>0</v>
      </c>
      <c r="G69" s="4">
        <f t="shared" si="1"/>
        <v>0</v>
      </c>
      <c r="H69" s="4"/>
    </row>
    <row r="70" ht="15.75" customHeight="1">
      <c r="A70" s="3" t="s">
        <v>909</v>
      </c>
      <c r="B70" s="12">
        <v>46114.0</v>
      </c>
      <c r="C70" s="3" t="s">
        <v>910</v>
      </c>
      <c r="D70" s="3" t="s">
        <v>903</v>
      </c>
      <c r="E70" s="3">
        <v>1.0</v>
      </c>
      <c r="F70" s="4">
        <f>COUNTIF('학생반배정'!$C:$C,C70)</f>
        <v>0</v>
      </c>
      <c r="G70" s="4">
        <f t="shared" si="1"/>
        <v>0</v>
      </c>
      <c r="H70" s="4"/>
    </row>
    <row r="71" ht="15.75" customHeight="1">
      <c r="A71" s="3" t="s">
        <v>911</v>
      </c>
      <c r="B71" s="12">
        <v>46114.0</v>
      </c>
      <c r="C71" s="3" t="s">
        <v>910</v>
      </c>
      <c r="D71" s="3" t="s">
        <v>903</v>
      </c>
      <c r="E71" s="3">
        <v>1.0</v>
      </c>
      <c r="F71" s="4">
        <f>COUNTIF('학생반배정'!$C:$C,C71)</f>
        <v>0</v>
      </c>
      <c r="G71" s="4">
        <f t="shared" si="1"/>
        <v>0</v>
      </c>
      <c r="H71" s="4"/>
    </row>
    <row r="72" ht="15.75" customHeight="1">
      <c r="A72" s="3" t="s">
        <v>912</v>
      </c>
      <c r="B72" s="12">
        <v>46114.0</v>
      </c>
      <c r="C72" s="3" t="s">
        <v>910</v>
      </c>
      <c r="D72" s="3" t="s">
        <v>903</v>
      </c>
      <c r="E72" s="3">
        <v>1.0</v>
      </c>
      <c r="F72" s="4">
        <f>COUNTIF('학생반배정'!$C:$C,C72)</f>
        <v>0</v>
      </c>
      <c r="G72" s="4">
        <f t="shared" si="1"/>
        <v>0</v>
      </c>
      <c r="H72" s="4"/>
    </row>
    <row r="73" ht="15.75" customHeight="1">
      <c r="A73" s="13" t="s">
        <v>913</v>
      </c>
      <c r="B73" s="12">
        <v>46114.0</v>
      </c>
      <c r="C73" s="3" t="s">
        <v>910</v>
      </c>
      <c r="D73" s="3" t="s">
        <v>903</v>
      </c>
      <c r="E73" s="3">
        <v>1.0</v>
      </c>
      <c r="F73" s="4">
        <f>COUNTIF('학생반배정'!$C:$C,C73)</f>
        <v>0</v>
      </c>
      <c r="G73" s="4">
        <f t="shared" si="1"/>
        <v>0</v>
      </c>
      <c r="H73" s="4"/>
    </row>
    <row r="74" ht="15.75" customHeight="1">
      <c r="A74" s="3" t="s">
        <v>914</v>
      </c>
      <c r="B74" s="12">
        <v>46114.0</v>
      </c>
      <c r="C74" s="3" t="s">
        <v>915</v>
      </c>
      <c r="D74" s="3" t="s">
        <v>903</v>
      </c>
      <c r="E74" s="3">
        <v>1.0</v>
      </c>
      <c r="F74" s="4">
        <f>COUNTIF('학생반배정'!$C:$C,C74)</f>
        <v>0</v>
      </c>
      <c r="G74" s="4">
        <f t="shared" si="1"/>
        <v>0</v>
      </c>
      <c r="H74" s="4"/>
    </row>
    <row r="75" ht="15.75" customHeight="1">
      <c r="A75" s="3" t="s">
        <v>916</v>
      </c>
      <c r="B75" s="12">
        <v>46114.0</v>
      </c>
      <c r="C75" s="3" t="s">
        <v>917</v>
      </c>
      <c r="D75" s="3" t="s">
        <v>903</v>
      </c>
      <c r="E75" s="3">
        <v>1.0</v>
      </c>
      <c r="F75" s="4">
        <f>COUNTIF('학생반배정'!$C:$C,C75)</f>
        <v>0</v>
      </c>
      <c r="G75" s="4">
        <f t="shared" si="1"/>
        <v>0</v>
      </c>
      <c r="H75" s="4"/>
    </row>
    <row r="76" ht="15.75" customHeight="1">
      <c r="A76" s="3" t="s">
        <v>918</v>
      </c>
      <c r="B76" s="12">
        <v>46115.0</v>
      </c>
      <c r="C76" s="3" t="s">
        <v>919</v>
      </c>
      <c r="D76" s="3" t="s">
        <v>903</v>
      </c>
      <c r="E76" s="3">
        <v>1.0</v>
      </c>
      <c r="F76" s="4">
        <f>COUNTIF('학생반배정'!$C:$C,C76)</f>
        <v>0</v>
      </c>
      <c r="G76" s="4">
        <f t="shared" si="1"/>
        <v>0</v>
      </c>
      <c r="H76" s="4"/>
    </row>
    <row r="77" ht="15.75" customHeight="1">
      <c r="A77" s="3" t="s">
        <v>920</v>
      </c>
      <c r="B77" s="12">
        <v>46115.0</v>
      </c>
      <c r="C77" s="3" t="s">
        <v>921</v>
      </c>
      <c r="D77" s="3" t="s">
        <v>903</v>
      </c>
      <c r="E77" s="3">
        <v>1.0</v>
      </c>
      <c r="F77" s="4">
        <f>COUNTIF('학생반배정'!$C:$C,C77)</f>
        <v>0</v>
      </c>
      <c r="G77" s="4">
        <f t="shared" si="1"/>
        <v>0</v>
      </c>
      <c r="H77" s="4"/>
    </row>
    <row r="78" ht="15.75" customHeight="1">
      <c r="A78" s="3" t="s">
        <v>922</v>
      </c>
      <c r="B78" s="12">
        <v>46116.0</v>
      </c>
      <c r="C78" s="3" t="s">
        <v>923</v>
      </c>
      <c r="D78" s="3" t="s">
        <v>903</v>
      </c>
      <c r="E78" s="3">
        <v>1.0</v>
      </c>
      <c r="F78" s="4">
        <f>COUNTIF('학생반배정'!$C:$C,C78)</f>
        <v>661</v>
      </c>
      <c r="G78" s="4">
        <f t="shared" si="1"/>
        <v>661</v>
      </c>
      <c r="H78" s="4"/>
    </row>
    <row r="79" ht="15.75" customHeight="1">
      <c r="A79" s="3" t="s">
        <v>924</v>
      </c>
      <c r="B79" s="12">
        <v>46118.0</v>
      </c>
      <c r="C79" s="3" t="s">
        <v>923</v>
      </c>
      <c r="D79" s="3" t="s">
        <v>903</v>
      </c>
      <c r="E79" s="3">
        <v>1.0</v>
      </c>
      <c r="F79" s="4">
        <f>COUNTIF('학생반배정'!$C:$C,C79)</f>
        <v>661</v>
      </c>
      <c r="G79" s="4">
        <f t="shared" si="1"/>
        <v>661</v>
      </c>
      <c r="H79" s="4"/>
    </row>
    <row r="80" ht="15.75" customHeight="1">
      <c r="A80" s="3" t="s">
        <v>925</v>
      </c>
      <c r="B80" s="12">
        <v>46118.0</v>
      </c>
      <c r="C80" s="3" t="s">
        <v>926</v>
      </c>
      <c r="D80" s="3" t="s">
        <v>903</v>
      </c>
      <c r="E80" s="3">
        <v>1.0</v>
      </c>
      <c r="F80" s="4">
        <f>COUNTIF('학생반배정'!$C:$C,C80)</f>
        <v>59</v>
      </c>
      <c r="G80" s="4">
        <f t="shared" si="1"/>
        <v>59</v>
      </c>
      <c r="H80" s="4"/>
    </row>
    <row r="81" ht="15.75" customHeight="1">
      <c r="A81" s="3" t="s">
        <v>927</v>
      </c>
      <c r="B81" s="12">
        <v>46118.0</v>
      </c>
      <c r="C81" s="3" t="s">
        <v>928</v>
      </c>
      <c r="D81" s="3" t="s">
        <v>903</v>
      </c>
      <c r="E81" s="3">
        <v>1.0</v>
      </c>
      <c r="F81" s="4">
        <f>COUNTIF('학생반배정'!$C:$C,C81)</f>
        <v>120</v>
      </c>
      <c r="G81" s="4">
        <f t="shared" si="1"/>
        <v>120</v>
      </c>
      <c r="H81" s="4"/>
    </row>
    <row r="82" ht="15.75" customHeight="1">
      <c r="A82" s="3" t="s">
        <v>929</v>
      </c>
      <c r="B82" s="12">
        <v>46118.0</v>
      </c>
      <c r="C82" s="3" t="s">
        <v>930</v>
      </c>
      <c r="D82" s="3" t="s">
        <v>903</v>
      </c>
      <c r="E82" s="3">
        <v>1.0</v>
      </c>
      <c r="F82" s="4">
        <f>COUNTIF('학생반배정'!$C:$C,C82)</f>
        <v>182</v>
      </c>
      <c r="G82" s="4">
        <f t="shared" si="1"/>
        <v>182</v>
      </c>
      <c r="H82" s="4"/>
    </row>
    <row r="83" ht="15.75" customHeight="1">
      <c r="A83" s="3" t="s">
        <v>931</v>
      </c>
      <c r="B83" s="12">
        <v>46118.0</v>
      </c>
      <c r="C83" s="3" t="s">
        <v>932</v>
      </c>
      <c r="D83" s="3" t="s">
        <v>903</v>
      </c>
      <c r="E83" s="3">
        <v>1.0</v>
      </c>
      <c r="F83" s="4">
        <f>COUNTIF('학생반배정'!$C:$C,C83)</f>
        <v>129</v>
      </c>
      <c r="G83" s="4">
        <f t="shared" si="1"/>
        <v>129</v>
      </c>
      <c r="H83" s="4"/>
    </row>
    <row r="84" ht="15.75" customHeight="1">
      <c r="A84" s="3" t="s">
        <v>933</v>
      </c>
      <c r="B84" s="12">
        <v>46118.0</v>
      </c>
      <c r="C84" s="3" t="s">
        <v>934</v>
      </c>
      <c r="D84" s="3" t="s">
        <v>903</v>
      </c>
      <c r="E84" s="3">
        <v>1.0</v>
      </c>
      <c r="F84" s="4">
        <f>COUNTIF('학생반배정'!$C:$C,C84)</f>
        <v>171</v>
      </c>
      <c r="G84" s="4">
        <f t="shared" si="1"/>
        <v>171</v>
      </c>
      <c r="H84" s="4"/>
    </row>
    <row r="85" ht="15.75" customHeight="1">
      <c r="A85" s="3" t="s">
        <v>935</v>
      </c>
      <c r="B85" s="12">
        <v>46119.0</v>
      </c>
      <c r="C85" s="3" t="s">
        <v>936</v>
      </c>
      <c r="D85" s="3" t="s">
        <v>903</v>
      </c>
      <c r="E85" s="3">
        <v>1.0</v>
      </c>
      <c r="F85" s="4">
        <f>COUNTIF('학생반배정'!$C:$C,C85)</f>
        <v>4</v>
      </c>
      <c r="G85" s="4">
        <f t="shared" si="1"/>
        <v>4</v>
      </c>
      <c r="H85" s="4"/>
    </row>
    <row r="86" ht="15.75" customHeight="1">
      <c r="A86" s="3" t="s">
        <v>937</v>
      </c>
      <c r="B86" s="12">
        <v>46121.0</v>
      </c>
      <c r="C86" s="3" t="s">
        <v>936</v>
      </c>
      <c r="D86" s="3" t="s">
        <v>903</v>
      </c>
      <c r="E86" s="3">
        <v>1.0</v>
      </c>
      <c r="F86" s="3">
        <v>4.0</v>
      </c>
      <c r="G86" s="3">
        <v>4.0</v>
      </c>
      <c r="H86" s="4"/>
    </row>
    <row r="87" ht="15.75" customHeight="1">
      <c r="A87" s="3" t="s">
        <v>938</v>
      </c>
      <c r="B87" s="12">
        <v>46121.0</v>
      </c>
      <c r="C87" s="3" t="s">
        <v>936</v>
      </c>
      <c r="D87" s="3" t="s">
        <v>903</v>
      </c>
      <c r="E87" s="3">
        <v>1.0</v>
      </c>
      <c r="F87" s="4">
        <f>COUNTIF('학생반배정'!$C:$C,C87)</f>
        <v>4</v>
      </c>
      <c r="G87" s="4">
        <f t="shared" ref="G87:G109" si="2">E87*F87</f>
        <v>4</v>
      </c>
      <c r="H87" s="4"/>
    </row>
    <row r="88" ht="15.75" customHeight="1">
      <c r="A88" s="3" t="s">
        <v>939</v>
      </c>
      <c r="B88" s="12">
        <v>46123.0</v>
      </c>
      <c r="C88" s="3" t="s">
        <v>940</v>
      </c>
      <c r="D88" s="3" t="s">
        <v>903</v>
      </c>
      <c r="E88" s="3">
        <v>1.0</v>
      </c>
      <c r="F88" s="4">
        <f>COUNTIF('학생반배정'!$C:$C,C88)</f>
        <v>656</v>
      </c>
      <c r="G88" s="4">
        <f t="shared" si="2"/>
        <v>656</v>
      </c>
      <c r="H88" s="4"/>
    </row>
    <row r="89" ht="15.75" customHeight="1">
      <c r="A89" s="3" t="s">
        <v>941</v>
      </c>
      <c r="B89" s="12">
        <v>46123.0</v>
      </c>
      <c r="C89" s="3" t="s">
        <v>942</v>
      </c>
      <c r="D89" s="3" t="s">
        <v>903</v>
      </c>
      <c r="E89" s="3">
        <v>1.0</v>
      </c>
      <c r="F89" s="4">
        <f>COUNTIF('학생반배정'!$C:$C,C89)</f>
        <v>58</v>
      </c>
      <c r="G89" s="4">
        <f t="shared" si="2"/>
        <v>58</v>
      </c>
      <c r="H89" s="4"/>
    </row>
    <row r="90" ht="15.75" customHeight="1">
      <c r="A90" s="3" t="s">
        <v>943</v>
      </c>
      <c r="B90" s="12">
        <v>46123.0</v>
      </c>
      <c r="C90" s="3" t="s">
        <v>944</v>
      </c>
      <c r="D90" s="3" t="s">
        <v>903</v>
      </c>
      <c r="E90" s="3">
        <v>1.0</v>
      </c>
      <c r="F90" s="4">
        <f>COUNTIF('학생반배정'!$C:$C,C90)</f>
        <v>118</v>
      </c>
      <c r="G90" s="4">
        <f t="shared" si="2"/>
        <v>118</v>
      </c>
      <c r="H90" s="4"/>
    </row>
    <row r="91" ht="15.75" customHeight="1">
      <c r="A91" s="3" t="s">
        <v>945</v>
      </c>
      <c r="B91" s="12">
        <v>46124.0</v>
      </c>
      <c r="C91" s="3" t="s">
        <v>946</v>
      </c>
      <c r="D91" s="3" t="s">
        <v>903</v>
      </c>
      <c r="E91" s="3">
        <v>1.0</v>
      </c>
      <c r="F91" s="4">
        <f>COUNTIF('학생반배정'!$C:$C,C91)</f>
        <v>179</v>
      </c>
      <c r="G91" s="4">
        <f t="shared" si="2"/>
        <v>179</v>
      </c>
      <c r="H91" s="4"/>
    </row>
    <row r="92" ht="15.75" customHeight="1">
      <c r="A92" s="3" t="s">
        <v>947</v>
      </c>
      <c r="B92" s="12">
        <v>46124.0</v>
      </c>
      <c r="C92" s="3" t="s">
        <v>948</v>
      </c>
      <c r="D92" s="3" t="s">
        <v>903</v>
      </c>
      <c r="E92" s="3">
        <v>1.0</v>
      </c>
      <c r="F92" s="4">
        <f>COUNTIF('학생반배정'!$C:$C,C92)</f>
        <v>129</v>
      </c>
      <c r="G92" s="4">
        <f t="shared" si="2"/>
        <v>129</v>
      </c>
      <c r="H92" s="4"/>
    </row>
    <row r="93" ht="15.75" customHeight="1">
      <c r="A93" s="3" t="s">
        <v>949</v>
      </c>
      <c r="B93" s="12">
        <v>46124.0</v>
      </c>
      <c r="C93" s="3" t="s">
        <v>950</v>
      </c>
      <c r="D93" s="3" t="s">
        <v>903</v>
      </c>
      <c r="E93" s="3">
        <v>1.0</v>
      </c>
      <c r="F93" s="4">
        <f>COUNTIF('학생반배정'!$C:$C,C93)</f>
        <v>172</v>
      </c>
      <c r="G93" s="4">
        <f t="shared" si="2"/>
        <v>172</v>
      </c>
      <c r="H93" s="4"/>
    </row>
    <row r="94" ht="15.75" customHeight="1">
      <c r="A94" s="3" t="s">
        <v>951</v>
      </c>
      <c r="B94" s="12">
        <v>46124.0</v>
      </c>
      <c r="C94" s="3" t="s">
        <v>952</v>
      </c>
      <c r="D94" s="3" t="s">
        <v>903</v>
      </c>
      <c r="E94" s="3">
        <v>1.0</v>
      </c>
      <c r="F94" s="4">
        <f>COUNTIF('학생반배정'!$C:$C,C94)</f>
        <v>177</v>
      </c>
      <c r="G94" s="4">
        <f t="shared" si="2"/>
        <v>177</v>
      </c>
      <c r="H94" s="4"/>
    </row>
    <row r="95" ht="15.75" customHeight="1">
      <c r="A95" s="3" t="s">
        <v>953</v>
      </c>
      <c r="B95" s="12">
        <v>46125.0</v>
      </c>
      <c r="C95" s="3" t="s">
        <v>936</v>
      </c>
      <c r="D95" s="3" t="s">
        <v>903</v>
      </c>
      <c r="E95" s="3">
        <v>1.0</v>
      </c>
      <c r="F95" s="4">
        <f>COUNTIF('학생반배정'!$C:$C,C95)</f>
        <v>4</v>
      </c>
      <c r="G95" s="4">
        <f t="shared" si="2"/>
        <v>4</v>
      </c>
      <c r="H95" s="4"/>
    </row>
    <row r="96" ht="15.75" customHeight="1">
      <c r="A96" s="3" t="s">
        <v>954</v>
      </c>
      <c r="B96" s="12">
        <v>46126.0</v>
      </c>
      <c r="C96" s="3" t="s">
        <v>955</v>
      </c>
      <c r="D96" s="3" t="s">
        <v>903</v>
      </c>
      <c r="E96" s="3">
        <v>1.0</v>
      </c>
      <c r="F96" s="4">
        <f>COUNTIF('학생반배정'!$C:$C,C96)</f>
        <v>128</v>
      </c>
      <c r="G96" s="4">
        <f t="shared" si="2"/>
        <v>128</v>
      </c>
      <c r="H96" s="4"/>
    </row>
    <row r="97" ht="15.75" customHeight="1">
      <c r="A97" s="3" t="s">
        <v>956</v>
      </c>
      <c r="B97" s="12">
        <v>46126.0</v>
      </c>
      <c r="C97" s="3" t="s">
        <v>955</v>
      </c>
      <c r="D97" s="3" t="s">
        <v>903</v>
      </c>
      <c r="E97" s="3">
        <v>1.0</v>
      </c>
      <c r="F97" s="4">
        <f>COUNTIF('학생반배정'!$C:$C,C97)</f>
        <v>128</v>
      </c>
      <c r="G97" s="4">
        <f t="shared" si="2"/>
        <v>128</v>
      </c>
      <c r="H97" s="4"/>
    </row>
    <row r="98" ht="15.75" customHeight="1">
      <c r="A98" s="3" t="s">
        <v>957</v>
      </c>
      <c r="B98" s="12">
        <v>46126.0</v>
      </c>
      <c r="C98" s="3" t="s">
        <v>958</v>
      </c>
      <c r="D98" s="3" t="s">
        <v>903</v>
      </c>
      <c r="E98" s="3">
        <v>1.0</v>
      </c>
      <c r="F98" s="4">
        <f>COUNTIF('학생반배정'!$C:$C,C98)</f>
        <v>25</v>
      </c>
      <c r="G98" s="4">
        <f t="shared" si="2"/>
        <v>25</v>
      </c>
      <c r="H98" s="4"/>
    </row>
    <row r="99" ht="15.75" customHeight="1">
      <c r="A99" s="3" t="s">
        <v>959</v>
      </c>
      <c r="B99" s="12">
        <v>46126.0</v>
      </c>
      <c r="C99" s="3" t="s">
        <v>955</v>
      </c>
      <c r="D99" s="3" t="s">
        <v>903</v>
      </c>
      <c r="E99" s="3">
        <v>1.0</v>
      </c>
      <c r="F99" s="4">
        <f>COUNTIF('학생반배정'!$C:$C,C99)</f>
        <v>128</v>
      </c>
      <c r="G99" s="4">
        <f t="shared" si="2"/>
        <v>128</v>
      </c>
    </row>
    <row r="100" ht="15.75" customHeight="1">
      <c r="A100" s="3" t="s">
        <v>960</v>
      </c>
      <c r="B100" s="12">
        <v>46126.0</v>
      </c>
      <c r="C100" s="3" t="s">
        <v>961</v>
      </c>
      <c r="D100" s="3" t="s">
        <v>903</v>
      </c>
      <c r="E100" s="3">
        <v>1.0</v>
      </c>
      <c r="F100" s="4">
        <f>COUNTIF('학생반배정'!$C:$C,C100)</f>
        <v>98</v>
      </c>
      <c r="G100" s="4">
        <f t="shared" si="2"/>
        <v>98</v>
      </c>
    </row>
    <row r="101" ht="15.75" customHeight="1">
      <c r="A101" s="3" t="s">
        <v>962</v>
      </c>
      <c r="B101" s="12">
        <v>46126.0</v>
      </c>
      <c r="C101" s="3" t="s">
        <v>963</v>
      </c>
      <c r="D101" s="3" t="s">
        <v>903</v>
      </c>
      <c r="E101" s="3">
        <v>1.0</v>
      </c>
      <c r="F101" s="4">
        <f>COUNTIF('학생반배정'!$C:$C,C101)</f>
        <v>14</v>
      </c>
      <c r="G101" s="4">
        <f t="shared" si="2"/>
        <v>14</v>
      </c>
    </row>
    <row r="102" ht="15.75" customHeight="1">
      <c r="A102" s="3" t="s">
        <v>964</v>
      </c>
      <c r="B102" s="12">
        <v>46126.0</v>
      </c>
      <c r="C102" s="3" t="s">
        <v>965</v>
      </c>
      <c r="D102" s="3" t="s">
        <v>903</v>
      </c>
      <c r="E102" s="3">
        <v>1.0</v>
      </c>
      <c r="F102" s="4">
        <f>COUNTIF('학생반배정'!$C:$C,C102)</f>
        <v>197</v>
      </c>
      <c r="G102" s="4">
        <f t="shared" si="2"/>
        <v>197</v>
      </c>
    </row>
    <row r="103" ht="15.75" customHeight="1">
      <c r="A103" s="3" t="s">
        <v>966</v>
      </c>
      <c r="B103" s="12">
        <v>46126.0</v>
      </c>
      <c r="C103" s="3" t="s">
        <v>965</v>
      </c>
      <c r="D103" s="3" t="s">
        <v>903</v>
      </c>
      <c r="E103" s="3">
        <v>1.0</v>
      </c>
      <c r="F103" s="4">
        <f>COUNTIF('학생반배정'!$C:$C,C103)</f>
        <v>197</v>
      </c>
      <c r="G103" s="4">
        <f t="shared" si="2"/>
        <v>197</v>
      </c>
    </row>
    <row r="104" ht="15.75" customHeight="1">
      <c r="A104" s="3" t="s">
        <v>967</v>
      </c>
      <c r="B104" s="12">
        <v>46126.0</v>
      </c>
      <c r="C104" s="3" t="s">
        <v>968</v>
      </c>
      <c r="D104" s="3" t="s">
        <v>903</v>
      </c>
      <c r="E104" s="3">
        <v>1.0</v>
      </c>
      <c r="F104" s="4">
        <f>COUNTIF('학생반배정'!$C:$C,C104)</f>
        <v>467</v>
      </c>
      <c r="G104" s="4">
        <f t="shared" si="2"/>
        <v>467</v>
      </c>
    </row>
    <row r="105" ht="15.75" customHeight="1">
      <c r="A105" s="3" t="s">
        <v>969</v>
      </c>
      <c r="B105" s="12">
        <v>46126.0</v>
      </c>
      <c r="C105" s="3" t="s">
        <v>968</v>
      </c>
      <c r="D105" s="3" t="s">
        <v>903</v>
      </c>
      <c r="E105" s="3">
        <v>1.0</v>
      </c>
      <c r="F105" s="4">
        <f>COUNTIF('학생반배정'!$C:$C,C105)</f>
        <v>467</v>
      </c>
      <c r="G105" s="4">
        <f t="shared" si="2"/>
        <v>467</v>
      </c>
    </row>
    <row r="106" ht="15.75" customHeight="1">
      <c r="A106" s="3" t="s">
        <v>970</v>
      </c>
      <c r="B106" s="12">
        <v>46126.0</v>
      </c>
      <c r="C106" s="3" t="s">
        <v>968</v>
      </c>
      <c r="D106" s="3" t="s">
        <v>903</v>
      </c>
      <c r="E106" s="3">
        <v>1.0</v>
      </c>
      <c r="F106" s="4">
        <f>COUNTIF('학생반배정'!$C:$C,C106)</f>
        <v>467</v>
      </c>
      <c r="G106" s="4">
        <f t="shared" si="2"/>
        <v>467</v>
      </c>
    </row>
    <row r="107" ht="15.75" customHeight="1">
      <c r="A107" s="3" t="s">
        <v>971</v>
      </c>
      <c r="B107" s="12">
        <v>46126.0</v>
      </c>
      <c r="C107" s="3" t="s">
        <v>968</v>
      </c>
      <c r="D107" s="3" t="s">
        <v>903</v>
      </c>
      <c r="E107" s="3">
        <v>1.0</v>
      </c>
      <c r="F107" s="4">
        <f>COUNTIF('학생반배정'!$C:$C,C107)</f>
        <v>467</v>
      </c>
      <c r="G107" s="4">
        <f t="shared" si="2"/>
        <v>467</v>
      </c>
    </row>
    <row r="108" ht="15.75" customHeight="1">
      <c r="A108" s="3" t="s">
        <v>972</v>
      </c>
      <c r="B108" s="12">
        <v>46126.0</v>
      </c>
      <c r="C108" s="3" t="s">
        <v>968</v>
      </c>
      <c r="D108" s="3" t="s">
        <v>903</v>
      </c>
      <c r="E108" s="3">
        <v>1.0</v>
      </c>
      <c r="F108" s="4">
        <f>COUNTIF('학생반배정'!$C:$C,C108)</f>
        <v>467</v>
      </c>
      <c r="G108" s="4">
        <f t="shared" si="2"/>
        <v>467</v>
      </c>
    </row>
    <row r="109" ht="15.75" customHeight="1">
      <c r="A109" s="3" t="s">
        <v>973</v>
      </c>
      <c r="B109" s="12">
        <v>46126.0</v>
      </c>
      <c r="C109" s="3" t="s">
        <v>968</v>
      </c>
      <c r="D109" s="3" t="s">
        <v>903</v>
      </c>
      <c r="E109" s="3">
        <v>1.0</v>
      </c>
      <c r="F109" s="4">
        <f>COUNTIF('학생반배정'!$C:$C,C109)</f>
        <v>467</v>
      </c>
      <c r="G109" s="4">
        <f t="shared" si="2"/>
        <v>467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qref="H2:H98">
      <formula1>"입력,실행요청,완료"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974</v>
      </c>
    </row>
    <row r="2">
      <c r="A2" s="3" t="s">
        <v>903</v>
      </c>
    </row>
    <row r="3">
      <c r="A3" s="3" t="s">
        <v>901</v>
      </c>
    </row>
    <row r="4">
      <c r="A4" s="3" t="s">
        <v>975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6" width="38.0"/>
    <col customWidth="1" min="7" max="7" width="8.0"/>
    <col customWidth="1" min="8" max="8" width="10.0"/>
    <col customWidth="1" min="9" max="9" width="16.0"/>
    <col customWidth="1" min="10" max="10" width="30.0"/>
    <col customWidth="1" min="11" max="11" width="12.0"/>
    <col customWidth="1" min="12" max="27" width="8.71"/>
  </cols>
  <sheetData>
    <row r="1">
      <c r="A1" s="5" t="s">
        <v>829</v>
      </c>
      <c r="B1" s="5" t="s">
        <v>830</v>
      </c>
      <c r="C1" s="5" t="s">
        <v>60</v>
      </c>
      <c r="D1" s="8" t="s">
        <v>976</v>
      </c>
      <c r="E1" s="8" t="s">
        <v>831</v>
      </c>
      <c r="F1" s="5" t="s">
        <v>977</v>
      </c>
      <c r="G1" s="5" t="s">
        <v>978</v>
      </c>
      <c r="H1" s="5" t="s">
        <v>979</v>
      </c>
      <c r="I1" s="5" t="s">
        <v>980</v>
      </c>
      <c r="J1" s="5" t="s">
        <v>981</v>
      </c>
      <c r="K1" s="5" t="s">
        <v>836</v>
      </c>
    </row>
    <row r="2">
      <c r="A2" s="7" t="s">
        <v>982</v>
      </c>
      <c r="B2" s="14"/>
      <c r="C2" s="10"/>
      <c r="D2" s="7"/>
      <c r="E2" s="7"/>
      <c r="F2" s="7"/>
      <c r="G2" s="7">
        <v>1.0</v>
      </c>
      <c r="H2" s="10" t="s">
        <v>983</v>
      </c>
      <c r="I2" s="10"/>
      <c r="J2" s="10"/>
      <c r="K2" s="7"/>
    </row>
    <row r="3">
      <c r="A3" s="7" t="s">
        <v>984</v>
      </c>
      <c r="B3" s="14"/>
      <c r="C3" s="10"/>
      <c r="D3" s="7"/>
      <c r="E3" s="7"/>
      <c r="F3" s="7"/>
      <c r="G3" s="7">
        <v>1.0</v>
      </c>
      <c r="H3" s="10" t="s">
        <v>983</v>
      </c>
      <c r="I3" s="10"/>
      <c r="J3" s="10"/>
      <c r="K3" s="7"/>
    </row>
    <row r="4">
      <c r="A4" s="7" t="s">
        <v>985</v>
      </c>
      <c r="B4" s="14"/>
      <c r="C4" s="10"/>
      <c r="D4" s="7"/>
      <c r="E4" s="7"/>
      <c r="F4" s="7"/>
      <c r="G4" s="7">
        <v>1.0</v>
      </c>
      <c r="H4" s="10" t="s">
        <v>983</v>
      </c>
      <c r="I4" s="10"/>
      <c r="J4" s="10"/>
      <c r="K4" s="7"/>
    </row>
    <row r="5">
      <c r="A5" s="7" t="s">
        <v>986</v>
      </c>
      <c r="B5" s="14"/>
      <c r="C5" s="10"/>
      <c r="D5" s="7"/>
      <c r="E5" s="7"/>
      <c r="F5" s="7"/>
      <c r="G5" s="7">
        <v>1.0</v>
      </c>
      <c r="H5" s="10" t="s">
        <v>983</v>
      </c>
      <c r="I5" s="10"/>
      <c r="J5" s="10"/>
      <c r="K5" s="7"/>
    </row>
    <row r="6">
      <c r="A6" s="7" t="s">
        <v>987</v>
      </c>
      <c r="B6" s="14"/>
      <c r="C6" s="10"/>
      <c r="D6" s="7"/>
      <c r="E6" s="7"/>
      <c r="F6" s="7"/>
      <c r="G6" s="7">
        <v>1.0</v>
      </c>
      <c r="H6" s="10" t="s">
        <v>983</v>
      </c>
      <c r="I6" s="10"/>
      <c r="J6" s="10"/>
      <c r="K6" s="7"/>
    </row>
    <row r="7">
      <c r="A7" s="7" t="s">
        <v>988</v>
      </c>
      <c r="B7" s="14"/>
      <c r="C7" s="10"/>
      <c r="D7" s="7"/>
      <c r="E7" s="7"/>
      <c r="F7" s="7"/>
      <c r="G7" s="7">
        <v>1.0</v>
      </c>
      <c r="H7" s="10" t="s">
        <v>983</v>
      </c>
      <c r="I7" s="10"/>
      <c r="J7" s="10"/>
      <c r="K7" s="7"/>
    </row>
    <row r="8">
      <c r="A8" s="7" t="s">
        <v>989</v>
      </c>
      <c r="B8" s="14"/>
      <c r="C8" s="10"/>
      <c r="D8" s="7"/>
      <c r="E8" s="7"/>
      <c r="F8" s="7"/>
      <c r="G8" s="7">
        <v>1.0</v>
      </c>
      <c r="H8" s="10" t="s">
        <v>983</v>
      </c>
      <c r="I8" s="10"/>
      <c r="J8" s="10"/>
      <c r="K8" s="7"/>
    </row>
    <row r="9">
      <c r="A9" s="7" t="s">
        <v>990</v>
      </c>
      <c r="B9" s="14"/>
      <c r="C9" s="10"/>
      <c r="D9" s="7"/>
      <c r="E9" s="7"/>
      <c r="F9" s="7"/>
      <c r="G9" s="7">
        <v>1.0</v>
      </c>
      <c r="H9" s="10" t="s">
        <v>983</v>
      </c>
      <c r="I9" s="10"/>
      <c r="J9" s="10"/>
      <c r="K9" s="7"/>
    </row>
    <row r="10">
      <c r="A10" s="7" t="s">
        <v>991</v>
      </c>
      <c r="B10" s="14"/>
      <c r="C10" s="10"/>
      <c r="D10" s="7"/>
      <c r="E10" s="7"/>
      <c r="F10" s="7"/>
      <c r="G10" s="7">
        <v>1.0</v>
      </c>
      <c r="H10" s="10" t="s">
        <v>983</v>
      </c>
      <c r="I10" s="10"/>
      <c r="J10" s="10"/>
      <c r="K10" s="7"/>
    </row>
    <row r="11">
      <c r="A11" s="7" t="s">
        <v>992</v>
      </c>
      <c r="B11" s="14"/>
      <c r="C11" s="10"/>
      <c r="D11" s="7"/>
      <c r="E11" s="7"/>
      <c r="F11" s="7"/>
      <c r="G11" s="7">
        <v>1.0</v>
      </c>
      <c r="H11" s="10" t="s">
        <v>983</v>
      </c>
      <c r="I11" s="10"/>
      <c r="J11" s="10"/>
      <c r="K11" s="7"/>
    </row>
    <row r="12">
      <c r="A12" s="7" t="s">
        <v>993</v>
      </c>
      <c r="B12" s="14"/>
      <c r="C12" s="10"/>
      <c r="D12" s="7"/>
      <c r="E12" s="7"/>
      <c r="F12" s="7"/>
      <c r="G12" s="7">
        <v>1.0</v>
      </c>
      <c r="H12" s="10" t="s">
        <v>983</v>
      </c>
      <c r="I12" s="10"/>
      <c r="J12" s="10"/>
      <c r="K12" s="7"/>
    </row>
    <row r="13">
      <c r="A13" s="7" t="s">
        <v>994</v>
      </c>
      <c r="B13" s="14"/>
      <c r="C13" s="10"/>
      <c r="D13" s="7"/>
      <c r="E13" s="7"/>
      <c r="F13" s="7"/>
      <c r="G13" s="7">
        <v>1.0</v>
      </c>
      <c r="H13" s="10" t="s">
        <v>983</v>
      </c>
      <c r="I13" s="10"/>
      <c r="J13" s="10"/>
      <c r="K13" s="7"/>
    </row>
    <row r="14">
      <c r="A14" s="7" t="s">
        <v>995</v>
      </c>
      <c r="B14" s="14"/>
      <c r="C14" s="10"/>
      <c r="D14" s="7"/>
      <c r="E14" s="7"/>
      <c r="F14" s="7"/>
      <c r="G14" s="7">
        <v>1.0</v>
      </c>
      <c r="H14" s="10" t="s">
        <v>983</v>
      </c>
      <c r="I14" s="10"/>
      <c r="J14" s="10"/>
      <c r="K14" s="7"/>
    </row>
    <row r="15">
      <c r="A15" s="7" t="s">
        <v>996</v>
      </c>
      <c r="B15" s="14"/>
      <c r="C15" s="10"/>
      <c r="D15" s="7"/>
      <c r="E15" s="7"/>
      <c r="F15" s="7"/>
      <c r="G15" s="7">
        <v>1.0</v>
      </c>
      <c r="H15" s="10" t="s">
        <v>983</v>
      </c>
      <c r="I15" s="10"/>
      <c r="J15" s="10"/>
      <c r="K15" s="7"/>
    </row>
    <row r="16">
      <c r="A16" s="7" t="s">
        <v>997</v>
      </c>
      <c r="B16" s="14"/>
      <c r="C16" s="10"/>
      <c r="D16" s="7"/>
      <c r="E16" s="7"/>
      <c r="F16" s="7"/>
      <c r="G16" s="7">
        <v>1.0</v>
      </c>
      <c r="H16" s="10" t="s">
        <v>983</v>
      </c>
      <c r="I16" s="10"/>
      <c r="J16" s="10"/>
      <c r="K16" s="7"/>
    </row>
    <row r="17">
      <c r="A17" s="7" t="s">
        <v>998</v>
      </c>
      <c r="B17" s="14"/>
      <c r="C17" s="10"/>
      <c r="D17" s="7"/>
      <c r="E17" s="7"/>
      <c r="F17" s="7"/>
      <c r="G17" s="7">
        <v>1.0</v>
      </c>
      <c r="H17" s="10" t="s">
        <v>983</v>
      </c>
      <c r="I17" s="10"/>
      <c r="J17" s="10"/>
      <c r="K17" s="7"/>
    </row>
    <row r="18">
      <c r="A18" s="7" t="s">
        <v>999</v>
      </c>
      <c r="B18" s="14"/>
      <c r="C18" s="10"/>
      <c r="D18" s="7"/>
      <c r="E18" s="7"/>
      <c r="F18" s="7"/>
      <c r="G18" s="7">
        <v>1.0</v>
      </c>
      <c r="H18" s="10" t="s">
        <v>983</v>
      </c>
      <c r="I18" s="10"/>
      <c r="J18" s="10"/>
      <c r="K18" s="7"/>
    </row>
    <row r="19">
      <c r="A19" s="7" t="s">
        <v>1000</v>
      </c>
      <c r="B19" s="14"/>
      <c r="C19" s="10"/>
      <c r="D19" s="7"/>
      <c r="E19" s="7"/>
      <c r="F19" s="7"/>
      <c r="G19" s="7">
        <v>1.0</v>
      </c>
      <c r="H19" s="10" t="s">
        <v>983</v>
      </c>
      <c r="I19" s="10"/>
      <c r="J19" s="10"/>
      <c r="K19" s="7"/>
    </row>
    <row r="20">
      <c r="A20" s="7" t="s">
        <v>1001</v>
      </c>
      <c r="B20" s="14"/>
      <c r="C20" s="10"/>
      <c r="D20" s="7"/>
      <c r="E20" s="7"/>
      <c r="F20" s="7"/>
      <c r="G20" s="7">
        <v>1.0</v>
      </c>
      <c r="H20" s="10" t="s">
        <v>983</v>
      </c>
      <c r="I20" s="10"/>
      <c r="J20" s="10"/>
      <c r="K20" s="7"/>
    </row>
    <row r="21" ht="15.75" customHeight="1">
      <c r="A21" s="7" t="s">
        <v>1002</v>
      </c>
      <c r="B21" s="14"/>
      <c r="C21" s="10"/>
      <c r="D21" s="7"/>
      <c r="E21" s="7"/>
      <c r="F21" s="7"/>
      <c r="G21" s="7">
        <v>1.0</v>
      </c>
      <c r="H21" s="10" t="s">
        <v>983</v>
      </c>
      <c r="I21" s="10"/>
      <c r="J21" s="10"/>
      <c r="K21" s="7"/>
    </row>
    <row r="22" ht="15.75" customHeight="1">
      <c r="A22" s="7" t="s">
        <v>1003</v>
      </c>
      <c r="B22" s="14"/>
      <c r="C22" s="10"/>
      <c r="D22" s="7"/>
      <c r="E22" s="7"/>
      <c r="F22" s="7"/>
      <c r="G22" s="7">
        <v>1.0</v>
      </c>
      <c r="H22" s="10" t="s">
        <v>983</v>
      </c>
      <c r="I22" s="10"/>
      <c r="J22" s="10"/>
      <c r="K22" s="7"/>
    </row>
    <row r="23" ht="15.75" customHeight="1">
      <c r="A23" s="7" t="s">
        <v>1004</v>
      </c>
      <c r="B23" s="14"/>
      <c r="C23" s="10"/>
      <c r="D23" s="7"/>
      <c r="E23" s="7"/>
      <c r="F23" s="7"/>
      <c r="G23" s="7">
        <v>1.0</v>
      </c>
      <c r="H23" s="10" t="s">
        <v>983</v>
      </c>
      <c r="I23" s="10"/>
      <c r="J23" s="10"/>
      <c r="K23" s="7"/>
    </row>
    <row r="24" ht="15.75" customHeight="1">
      <c r="A24" s="7" t="s">
        <v>1005</v>
      </c>
      <c r="B24" s="14"/>
      <c r="C24" s="10"/>
      <c r="D24" s="7"/>
      <c r="E24" s="7"/>
      <c r="F24" s="7"/>
      <c r="G24" s="7">
        <v>1.0</v>
      </c>
      <c r="H24" s="10" t="s">
        <v>983</v>
      </c>
      <c r="I24" s="10"/>
      <c r="J24" s="10"/>
      <c r="K24" s="7"/>
    </row>
    <row r="25" ht="15.75" customHeight="1">
      <c r="A25" s="7" t="s">
        <v>1006</v>
      </c>
      <c r="B25" s="14"/>
      <c r="C25" s="10"/>
      <c r="D25" s="7"/>
      <c r="E25" s="7"/>
      <c r="F25" s="7"/>
      <c r="G25" s="7">
        <v>1.0</v>
      </c>
      <c r="H25" s="10" t="s">
        <v>983</v>
      </c>
      <c r="I25" s="10"/>
      <c r="J25" s="10"/>
      <c r="K25" s="7"/>
    </row>
    <row r="26" ht="15.75" customHeight="1">
      <c r="A26" s="7" t="s">
        <v>1007</v>
      </c>
      <c r="B26" s="14"/>
      <c r="C26" s="10"/>
      <c r="D26" s="7"/>
      <c r="E26" s="7"/>
      <c r="F26" s="7"/>
      <c r="G26" s="7">
        <v>1.0</v>
      </c>
      <c r="H26" s="10" t="s">
        <v>983</v>
      </c>
      <c r="I26" s="10"/>
      <c r="J26" s="10"/>
      <c r="K26" s="7"/>
    </row>
    <row r="27" ht="15.75" customHeight="1">
      <c r="A27" s="7" t="s">
        <v>1008</v>
      </c>
      <c r="B27" s="14"/>
      <c r="C27" s="10"/>
      <c r="D27" s="7"/>
      <c r="E27" s="7"/>
      <c r="F27" s="7"/>
      <c r="G27" s="7">
        <v>1.0</v>
      </c>
      <c r="H27" s="10" t="s">
        <v>983</v>
      </c>
      <c r="I27" s="10"/>
      <c r="J27" s="10"/>
      <c r="K27" s="7"/>
    </row>
    <row r="28" ht="15.75" customHeight="1">
      <c r="A28" s="7" t="s">
        <v>1009</v>
      </c>
      <c r="B28" s="14"/>
      <c r="C28" s="10"/>
      <c r="D28" s="7"/>
      <c r="E28" s="7"/>
      <c r="F28" s="7"/>
      <c r="G28" s="7">
        <v>1.0</v>
      </c>
      <c r="H28" s="10" t="s">
        <v>983</v>
      </c>
      <c r="I28" s="10"/>
      <c r="J28" s="10"/>
      <c r="K28" s="7"/>
    </row>
    <row r="29" ht="15.75" customHeight="1">
      <c r="A29" s="7" t="s">
        <v>1010</v>
      </c>
      <c r="B29" s="14"/>
      <c r="C29" s="10"/>
      <c r="D29" s="7"/>
      <c r="E29" s="7"/>
      <c r="F29" s="7"/>
      <c r="G29" s="7">
        <v>1.0</v>
      </c>
      <c r="H29" s="10" t="s">
        <v>983</v>
      </c>
      <c r="I29" s="10"/>
      <c r="J29" s="10"/>
      <c r="K29" s="7"/>
    </row>
    <row r="30" ht="15.75" customHeight="1">
      <c r="A30" s="7" t="s">
        <v>1011</v>
      </c>
      <c r="B30" s="14"/>
      <c r="C30" s="10"/>
      <c r="D30" s="7"/>
      <c r="E30" s="7"/>
      <c r="F30" s="7"/>
      <c r="G30" s="7">
        <v>1.0</v>
      </c>
      <c r="H30" s="10" t="s">
        <v>983</v>
      </c>
      <c r="I30" s="10"/>
      <c r="J30" s="10"/>
      <c r="K30" s="7"/>
    </row>
    <row r="31" ht="15.75" customHeight="1">
      <c r="A31" s="7" t="s">
        <v>1012</v>
      </c>
      <c r="B31" s="14"/>
      <c r="C31" s="10"/>
      <c r="D31" s="7"/>
      <c r="E31" s="7"/>
      <c r="F31" s="7"/>
      <c r="G31" s="7">
        <v>1.0</v>
      </c>
      <c r="H31" s="10" t="s">
        <v>983</v>
      </c>
      <c r="I31" s="10"/>
      <c r="J31" s="10"/>
      <c r="K31" s="7"/>
    </row>
    <row r="32" ht="15.75" customHeight="1">
      <c r="A32" s="7" t="s">
        <v>1013</v>
      </c>
      <c r="B32" s="14"/>
      <c r="C32" s="10"/>
      <c r="D32" s="7"/>
      <c r="E32" s="7"/>
      <c r="F32" s="7"/>
      <c r="G32" s="7">
        <v>1.0</v>
      </c>
      <c r="H32" s="10" t="s">
        <v>983</v>
      </c>
      <c r="I32" s="10"/>
      <c r="J32" s="10"/>
      <c r="K32" s="7"/>
    </row>
    <row r="33" ht="15.75" customHeight="1">
      <c r="A33" s="7" t="s">
        <v>1014</v>
      </c>
      <c r="B33" s="14"/>
      <c r="C33" s="10"/>
      <c r="D33" s="7"/>
      <c r="E33" s="7"/>
      <c r="F33" s="7"/>
      <c r="G33" s="7">
        <v>1.0</v>
      </c>
      <c r="H33" s="10" t="s">
        <v>983</v>
      </c>
      <c r="I33" s="10"/>
      <c r="J33" s="10"/>
      <c r="K33" s="7"/>
    </row>
    <row r="34" ht="15.75" customHeight="1">
      <c r="A34" s="7" t="s">
        <v>1015</v>
      </c>
      <c r="B34" s="14"/>
      <c r="C34" s="10"/>
      <c r="D34" s="7"/>
      <c r="E34" s="7"/>
      <c r="F34" s="7"/>
      <c r="G34" s="7">
        <v>1.0</v>
      </c>
      <c r="H34" s="10" t="s">
        <v>983</v>
      </c>
      <c r="I34" s="10"/>
      <c r="J34" s="10"/>
      <c r="K34" s="7"/>
    </row>
    <row r="35" ht="15.75" customHeight="1">
      <c r="A35" s="7" t="s">
        <v>1016</v>
      </c>
      <c r="B35" s="14"/>
      <c r="C35" s="10"/>
      <c r="D35" s="7"/>
      <c r="E35" s="7"/>
      <c r="F35" s="7"/>
      <c r="G35" s="7">
        <v>1.0</v>
      </c>
      <c r="H35" s="10" t="s">
        <v>983</v>
      </c>
      <c r="I35" s="10"/>
      <c r="J35" s="10"/>
      <c r="K35" s="7"/>
    </row>
    <row r="36" ht="15.75" customHeight="1">
      <c r="A36" s="7" t="s">
        <v>1017</v>
      </c>
      <c r="B36" s="14"/>
      <c r="C36" s="10"/>
      <c r="D36" s="7"/>
      <c r="E36" s="7"/>
      <c r="F36" s="7"/>
      <c r="G36" s="7">
        <v>1.0</v>
      </c>
      <c r="H36" s="10" t="s">
        <v>983</v>
      </c>
      <c r="I36" s="10"/>
      <c r="J36" s="10"/>
      <c r="K36" s="7"/>
    </row>
    <row r="37" ht="15.75" customHeight="1">
      <c r="A37" s="7" t="s">
        <v>1018</v>
      </c>
      <c r="B37" s="14"/>
      <c r="C37" s="10"/>
      <c r="D37" s="7"/>
      <c r="E37" s="7"/>
      <c r="F37" s="7"/>
      <c r="G37" s="7">
        <v>1.0</v>
      </c>
      <c r="H37" s="10" t="s">
        <v>983</v>
      </c>
      <c r="I37" s="10"/>
      <c r="J37" s="10"/>
      <c r="K37" s="7"/>
    </row>
    <row r="38" ht="15.75" customHeight="1">
      <c r="A38" s="7" t="s">
        <v>1019</v>
      </c>
      <c r="B38" s="14"/>
      <c r="C38" s="10"/>
      <c r="D38" s="7"/>
      <c r="E38" s="7"/>
      <c r="F38" s="7"/>
      <c r="G38" s="7">
        <v>1.0</v>
      </c>
      <c r="H38" s="10" t="s">
        <v>983</v>
      </c>
      <c r="I38" s="10"/>
      <c r="J38" s="10"/>
      <c r="K38" s="7"/>
    </row>
    <row r="39" ht="15.75" customHeight="1">
      <c r="A39" s="7" t="s">
        <v>1020</v>
      </c>
      <c r="B39" s="14"/>
      <c r="C39" s="10"/>
      <c r="D39" s="7"/>
      <c r="E39" s="7"/>
      <c r="F39" s="7"/>
      <c r="G39" s="7">
        <v>1.0</v>
      </c>
      <c r="H39" s="10" t="s">
        <v>983</v>
      </c>
      <c r="I39" s="10"/>
      <c r="J39" s="10"/>
      <c r="K39" s="7"/>
    </row>
    <row r="40" ht="15.75" customHeight="1">
      <c r="A40" s="7" t="s">
        <v>1021</v>
      </c>
      <c r="B40" s="14"/>
      <c r="C40" s="10"/>
      <c r="D40" s="7"/>
      <c r="E40" s="7"/>
      <c r="F40" s="7"/>
      <c r="G40" s="7">
        <v>1.0</v>
      </c>
      <c r="H40" s="10" t="s">
        <v>983</v>
      </c>
      <c r="I40" s="10"/>
      <c r="J40" s="10"/>
      <c r="K40" s="7"/>
    </row>
    <row r="41" ht="15.75" customHeight="1">
      <c r="A41" s="7" t="s">
        <v>1022</v>
      </c>
      <c r="B41" s="14"/>
      <c r="C41" s="10"/>
      <c r="D41" s="7"/>
      <c r="E41" s="7"/>
      <c r="F41" s="7"/>
      <c r="G41" s="7">
        <v>1.0</v>
      </c>
      <c r="H41" s="10" t="s">
        <v>983</v>
      </c>
      <c r="I41" s="10"/>
      <c r="J41" s="10"/>
      <c r="K41" s="7"/>
    </row>
    <row r="42" ht="15.75" customHeight="1">
      <c r="A42" s="7" t="s">
        <v>1023</v>
      </c>
      <c r="B42" s="14"/>
      <c r="C42" s="10"/>
      <c r="D42" s="7"/>
      <c r="E42" s="7"/>
      <c r="F42" s="7"/>
      <c r="G42" s="7">
        <v>1.0</v>
      </c>
      <c r="H42" s="10" t="s">
        <v>983</v>
      </c>
      <c r="I42" s="10"/>
      <c r="J42" s="10"/>
      <c r="K42" s="7"/>
    </row>
    <row r="43" ht="15.75" customHeight="1">
      <c r="A43" s="7" t="s">
        <v>1024</v>
      </c>
      <c r="B43" s="14"/>
      <c r="C43" s="10"/>
      <c r="D43" s="7"/>
      <c r="E43" s="7"/>
      <c r="F43" s="7"/>
      <c r="G43" s="7">
        <v>1.0</v>
      </c>
      <c r="H43" s="10" t="s">
        <v>983</v>
      </c>
      <c r="I43" s="10"/>
      <c r="J43" s="10"/>
      <c r="K43" s="7"/>
    </row>
    <row r="44" ht="15.75" customHeight="1">
      <c r="A44" s="7" t="s">
        <v>1025</v>
      </c>
      <c r="B44" s="14"/>
      <c r="C44" s="10"/>
      <c r="D44" s="7"/>
      <c r="E44" s="7"/>
      <c r="F44" s="7"/>
      <c r="G44" s="7">
        <v>1.0</v>
      </c>
      <c r="H44" s="10" t="s">
        <v>983</v>
      </c>
      <c r="I44" s="10"/>
      <c r="J44" s="10"/>
      <c r="K44" s="7"/>
    </row>
    <row r="45" ht="15.75" customHeight="1">
      <c r="A45" s="7" t="s">
        <v>1026</v>
      </c>
      <c r="B45" s="14"/>
      <c r="C45" s="10"/>
      <c r="D45" s="7"/>
      <c r="E45" s="7"/>
      <c r="F45" s="7"/>
      <c r="G45" s="7">
        <v>1.0</v>
      </c>
      <c r="H45" s="10" t="s">
        <v>983</v>
      </c>
      <c r="I45" s="10"/>
      <c r="J45" s="10"/>
      <c r="K45" s="7"/>
    </row>
    <row r="46" ht="15.75" customHeight="1">
      <c r="A46" s="7" t="s">
        <v>1027</v>
      </c>
      <c r="B46" s="14"/>
      <c r="C46" s="10"/>
      <c r="D46" s="7"/>
      <c r="E46" s="7"/>
      <c r="F46" s="7"/>
      <c r="G46" s="7">
        <v>1.0</v>
      </c>
      <c r="H46" s="10" t="s">
        <v>983</v>
      </c>
      <c r="I46" s="10"/>
      <c r="J46" s="10"/>
      <c r="K46" s="7"/>
    </row>
    <row r="47" ht="15.75" customHeight="1">
      <c r="A47" s="7" t="s">
        <v>1028</v>
      </c>
      <c r="B47" s="14"/>
      <c r="C47" s="10"/>
      <c r="D47" s="7"/>
      <c r="E47" s="7"/>
      <c r="F47" s="7"/>
      <c r="G47" s="7">
        <v>1.0</v>
      </c>
      <c r="H47" s="10" t="s">
        <v>983</v>
      </c>
      <c r="I47" s="10"/>
      <c r="J47" s="10"/>
      <c r="K47" s="7"/>
    </row>
    <row r="48" ht="15.75" customHeight="1">
      <c r="A48" s="7" t="s">
        <v>1029</v>
      </c>
      <c r="B48" s="14"/>
      <c r="C48" s="10"/>
      <c r="D48" s="7"/>
      <c r="E48" s="7"/>
      <c r="F48" s="7"/>
      <c r="G48" s="7">
        <v>1.0</v>
      </c>
      <c r="H48" s="10" t="s">
        <v>983</v>
      </c>
      <c r="I48" s="10"/>
      <c r="J48" s="10"/>
      <c r="K48" s="7"/>
    </row>
    <row r="49" ht="15.75" customHeight="1">
      <c r="A49" s="7" t="s">
        <v>1030</v>
      </c>
      <c r="B49" s="14"/>
      <c r="C49" s="10"/>
      <c r="D49" s="7"/>
      <c r="E49" s="7"/>
      <c r="F49" s="7"/>
      <c r="G49" s="7">
        <v>1.0</v>
      </c>
      <c r="H49" s="10" t="s">
        <v>983</v>
      </c>
      <c r="I49" s="10"/>
      <c r="J49" s="10"/>
      <c r="K49" s="7"/>
    </row>
    <row r="50" ht="15.75" customHeight="1">
      <c r="A50" s="7" t="s">
        <v>1031</v>
      </c>
      <c r="B50" s="14"/>
      <c r="C50" s="10"/>
      <c r="D50" s="7"/>
      <c r="E50" s="7"/>
      <c r="F50" s="7"/>
      <c r="G50" s="7">
        <v>1.0</v>
      </c>
      <c r="H50" s="10" t="s">
        <v>983</v>
      </c>
      <c r="I50" s="10"/>
      <c r="J50" s="10"/>
      <c r="K50" s="7"/>
    </row>
    <row r="51" ht="15.75" customHeight="1">
      <c r="A51" s="7" t="s">
        <v>1032</v>
      </c>
      <c r="B51" s="14"/>
      <c r="C51" s="10"/>
      <c r="D51" s="7"/>
      <c r="E51" s="7"/>
      <c r="F51" s="7"/>
      <c r="G51" s="7">
        <v>1.0</v>
      </c>
      <c r="H51" s="10" t="s">
        <v>983</v>
      </c>
      <c r="I51" s="10"/>
      <c r="J51" s="10"/>
      <c r="K51" s="7"/>
    </row>
    <row r="52" ht="15.75" customHeight="1">
      <c r="A52" s="7" t="s">
        <v>1033</v>
      </c>
      <c r="B52" s="14"/>
      <c r="C52" s="10"/>
      <c r="D52" s="7"/>
      <c r="E52" s="7"/>
      <c r="F52" s="7"/>
      <c r="G52" s="7">
        <v>1.0</v>
      </c>
      <c r="H52" s="10" t="s">
        <v>983</v>
      </c>
      <c r="I52" s="10"/>
      <c r="J52" s="10"/>
      <c r="K52" s="7"/>
    </row>
    <row r="53" ht="15.75" customHeight="1">
      <c r="A53" s="7" t="s">
        <v>1034</v>
      </c>
      <c r="B53" s="14"/>
      <c r="C53" s="10"/>
      <c r="D53" s="7"/>
      <c r="E53" s="7"/>
      <c r="F53" s="7"/>
      <c r="G53" s="7">
        <v>1.0</v>
      </c>
      <c r="H53" s="10" t="s">
        <v>983</v>
      </c>
      <c r="I53" s="10"/>
      <c r="J53" s="10"/>
      <c r="K53" s="7"/>
    </row>
    <row r="54" ht="15.75" customHeight="1">
      <c r="A54" s="7" t="s">
        <v>1035</v>
      </c>
      <c r="B54" s="14"/>
      <c r="C54" s="10"/>
      <c r="D54" s="7"/>
      <c r="E54" s="7"/>
      <c r="F54" s="7"/>
      <c r="G54" s="7">
        <v>1.0</v>
      </c>
      <c r="H54" s="10" t="s">
        <v>983</v>
      </c>
      <c r="I54" s="10"/>
      <c r="J54" s="10"/>
      <c r="K54" s="7"/>
    </row>
    <row r="55" ht="15.75" customHeight="1">
      <c r="A55" s="7" t="s">
        <v>1036</v>
      </c>
      <c r="B55" s="14"/>
      <c r="C55" s="10"/>
      <c r="D55" s="7"/>
      <c r="E55" s="7"/>
      <c r="F55" s="7"/>
      <c r="G55" s="7">
        <v>1.0</v>
      </c>
      <c r="H55" s="10" t="s">
        <v>983</v>
      </c>
      <c r="I55" s="10"/>
      <c r="J55" s="10"/>
      <c r="K55" s="7"/>
    </row>
    <row r="56" ht="15.75" customHeight="1">
      <c r="A56" s="7" t="s">
        <v>1037</v>
      </c>
      <c r="B56" s="14"/>
      <c r="C56" s="10"/>
      <c r="D56" s="7"/>
      <c r="E56" s="7"/>
      <c r="F56" s="7"/>
      <c r="G56" s="7">
        <v>1.0</v>
      </c>
      <c r="H56" s="10" t="s">
        <v>983</v>
      </c>
      <c r="I56" s="10"/>
      <c r="J56" s="10"/>
      <c r="K56" s="7"/>
    </row>
    <row r="57" ht="15.75" customHeight="1">
      <c r="A57" s="7" t="s">
        <v>1038</v>
      </c>
      <c r="B57" s="14"/>
      <c r="C57" s="10"/>
      <c r="D57" s="7"/>
      <c r="E57" s="7"/>
      <c r="F57" s="7"/>
      <c r="G57" s="7">
        <v>1.0</v>
      </c>
      <c r="H57" s="10" t="s">
        <v>983</v>
      </c>
      <c r="I57" s="10"/>
      <c r="J57" s="10"/>
      <c r="K57" s="7"/>
    </row>
    <row r="58" ht="15.75" customHeight="1">
      <c r="A58" s="7" t="s">
        <v>1039</v>
      </c>
      <c r="B58" s="14"/>
      <c r="C58" s="10"/>
      <c r="D58" s="7"/>
      <c r="E58" s="7"/>
      <c r="F58" s="7"/>
      <c r="G58" s="7">
        <v>1.0</v>
      </c>
      <c r="H58" s="10" t="s">
        <v>983</v>
      </c>
      <c r="I58" s="10"/>
      <c r="J58" s="10"/>
      <c r="K58" s="7"/>
    </row>
    <row r="59" ht="15.75" customHeight="1">
      <c r="A59" s="7" t="s">
        <v>1040</v>
      </c>
      <c r="B59" s="14"/>
      <c r="C59" s="10"/>
      <c r="D59" s="7"/>
      <c r="E59" s="7"/>
      <c r="F59" s="7"/>
      <c r="G59" s="7">
        <v>1.0</v>
      </c>
      <c r="H59" s="10" t="s">
        <v>983</v>
      </c>
      <c r="I59" s="10"/>
      <c r="J59" s="10"/>
      <c r="K59" s="7"/>
    </row>
    <row r="60" ht="15.75" customHeight="1">
      <c r="A60" s="7" t="s">
        <v>1041</v>
      </c>
      <c r="B60" s="14"/>
      <c r="C60" s="10"/>
      <c r="D60" s="7"/>
      <c r="E60" s="7"/>
      <c r="F60" s="7"/>
      <c r="G60" s="7">
        <v>1.0</v>
      </c>
      <c r="H60" s="10" t="s">
        <v>983</v>
      </c>
      <c r="I60" s="10"/>
      <c r="J60" s="10"/>
      <c r="K60" s="7"/>
    </row>
    <row r="61" ht="15.75" customHeight="1">
      <c r="A61" s="7" t="s">
        <v>1042</v>
      </c>
      <c r="B61" s="14"/>
      <c r="C61" s="10"/>
      <c r="D61" s="7"/>
      <c r="E61" s="7"/>
      <c r="F61" s="7"/>
      <c r="G61" s="7">
        <v>1.0</v>
      </c>
      <c r="H61" s="10" t="s">
        <v>983</v>
      </c>
      <c r="I61" s="10"/>
      <c r="J61" s="10"/>
      <c r="K61" s="7"/>
    </row>
    <row r="62" ht="15.75" customHeight="1">
      <c r="A62" s="7" t="s">
        <v>1043</v>
      </c>
      <c r="B62" s="14"/>
      <c r="C62" s="10"/>
      <c r="D62" s="7"/>
      <c r="E62" s="7"/>
      <c r="F62" s="7"/>
      <c r="G62" s="7">
        <v>1.0</v>
      </c>
      <c r="H62" s="10" t="s">
        <v>983</v>
      </c>
      <c r="I62" s="10"/>
      <c r="J62" s="10"/>
      <c r="K62" s="7"/>
    </row>
    <row r="63" ht="15.75" customHeight="1">
      <c r="A63" s="7" t="s">
        <v>1044</v>
      </c>
      <c r="B63" s="14"/>
      <c r="C63" s="10"/>
      <c r="D63" s="7"/>
      <c r="E63" s="7"/>
      <c r="F63" s="7"/>
      <c r="G63" s="7">
        <v>1.0</v>
      </c>
      <c r="H63" s="10" t="s">
        <v>983</v>
      </c>
      <c r="I63" s="10"/>
      <c r="J63" s="10"/>
      <c r="K63" s="7"/>
    </row>
    <row r="64" ht="15.75" customHeight="1">
      <c r="A64" s="7" t="s">
        <v>1045</v>
      </c>
      <c r="B64" s="14"/>
      <c r="C64" s="10"/>
      <c r="D64" s="7"/>
      <c r="E64" s="7"/>
      <c r="F64" s="7"/>
      <c r="G64" s="7">
        <v>1.0</v>
      </c>
      <c r="H64" s="10" t="s">
        <v>983</v>
      </c>
      <c r="I64" s="10"/>
      <c r="J64" s="10"/>
      <c r="K64" s="7"/>
    </row>
    <row r="65" ht="15.75" customHeight="1">
      <c r="A65" s="7" t="s">
        <v>1046</v>
      </c>
      <c r="B65" s="14"/>
      <c r="C65" s="10"/>
      <c r="D65" s="7"/>
      <c r="E65" s="7"/>
      <c r="F65" s="7"/>
      <c r="G65" s="7">
        <v>1.0</v>
      </c>
      <c r="H65" s="10" t="s">
        <v>983</v>
      </c>
      <c r="I65" s="10"/>
      <c r="J65" s="10"/>
      <c r="K65" s="7"/>
    </row>
    <row r="66" ht="15.75" customHeight="1">
      <c r="A66" s="7" t="s">
        <v>1047</v>
      </c>
      <c r="B66" s="14"/>
      <c r="C66" s="10"/>
      <c r="D66" s="7"/>
      <c r="E66" s="7"/>
      <c r="F66" s="7"/>
      <c r="G66" s="7">
        <v>1.0</v>
      </c>
      <c r="H66" s="10" t="s">
        <v>983</v>
      </c>
      <c r="I66" s="10"/>
      <c r="J66" s="10"/>
      <c r="K66" s="7"/>
    </row>
    <row r="67" ht="15.75" customHeight="1">
      <c r="A67" s="7" t="s">
        <v>1048</v>
      </c>
      <c r="B67" s="14"/>
      <c r="C67" s="10"/>
      <c r="D67" s="7"/>
      <c r="E67" s="7"/>
      <c r="F67" s="7"/>
      <c r="G67" s="7">
        <v>1.0</v>
      </c>
      <c r="H67" s="10" t="s">
        <v>983</v>
      </c>
      <c r="I67" s="10"/>
      <c r="J67" s="10"/>
      <c r="K67" s="7"/>
    </row>
    <row r="68" ht="15.75" customHeight="1">
      <c r="A68" s="7" t="s">
        <v>1049</v>
      </c>
      <c r="B68" s="14"/>
      <c r="C68" s="10"/>
      <c r="D68" s="7"/>
      <c r="E68" s="7"/>
      <c r="F68" s="7"/>
      <c r="G68" s="7">
        <v>1.0</v>
      </c>
      <c r="H68" s="10" t="s">
        <v>983</v>
      </c>
      <c r="I68" s="10"/>
      <c r="J68" s="10"/>
      <c r="K68" s="7"/>
    </row>
    <row r="69" ht="15.75" customHeight="1">
      <c r="A69" s="7" t="s">
        <v>1050</v>
      </c>
      <c r="B69" s="14"/>
      <c r="C69" s="10"/>
      <c r="D69" s="7"/>
      <c r="E69" s="7"/>
      <c r="F69" s="7"/>
      <c r="G69" s="7">
        <v>1.0</v>
      </c>
      <c r="H69" s="10" t="s">
        <v>983</v>
      </c>
      <c r="I69" s="10"/>
      <c r="J69" s="10"/>
      <c r="K69" s="7"/>
    </row>
    <row r="70" ht="15.75" customHeight="1">
      <c r="A70" s="7" t="s">
        <v>1051</v>
      </c>
      <c r="B70" s="14"/>
      <c r="C70" s="10"/>
      <c r="D70" s="7"/>
      <c r="E70" s="7"/>
      <c r="F70" s="7"/>
      <c r="G70" s="7">
        <v>1.0</v>
      </c>
      <c r="H70" s="10" t="s">
        <v>983</v>
      </c>
      <c r="I70" s="10"/>
      <c r="J70" s="10"/>
      <c r="K70" s="7"/>
    </row>
    <row r="71" ht="15.75" customHeight="1">
      <c r="A71" s="7" t="s">
        <v>1052</v>
      </c>
      <c r="B71" s="14"/>
      <c r="C71" s="10"/>
      <c r="D71" s="7"/>
      <c r="E71" s="7"/>
      <c r="F71" s="7"/>
      <c r="G71" s="7">
        <v>1.0</v>
      </c>
      <c r="H71" s="10" t="s">
        <v>983</v>
      </c>
      <c r="I71" s="10"/>
      <c r="J71" s="10"/>
      <c r="K71" s="7"/>
    </row>
    <row r="72" ht="15.75" customHeight="1">
      <c r="A72" s="7" t="s">
        <v>1053</v>
      </c>
      <c r="B72" s="14"/>
      <c r="C72" s="10"/>
      <c r="D72" s="7"/>
      <c r="E72" s="7"/>
      <c r="F72" s="7"/>
      <c r="G72" s="7">
        <v>1.0</v>
      </c>
      <c r="H72" s="10" t="s">
        <v>983</v>
      </c>
      <c r="I72" s="10"/>
      <c r="J72" s="10"/>
      <c r="K72" s="7"/>
    </row>
    <row r="73" ht="15.75" customHeight="1">
      <c r="A73" s="7" t="s">
        <v>1054</v>
      </c>
      <c r="B73" s="14"/>
      <c r="C73" s="10"/>
      <c r="D73" s="7"/>
      <c r="E73" s="7"/>
      <c r="F73" s="7"/>
      <c r="G73" s="7">
        <v>1.0</v>
      </c>
      <c r="H73" s="10" t="s">
        <v>983</v>
      </c>
      <c r="I73" s="10"/>
      <c r="J73" s="10"/>
      <c r="K73" s="7"/>
    </row>
    <row r="74" ht="15.75" customHeight="1">
      <c r="A74" s="7" t="s">
        <v>1055</v>
      </c>
      <c r="B74" s="14"/>
      <c r="C74" s="10"/>
      <c r="D74" s="7"/>
      <c r="E74" s="7"/>
      <c r="F74" s="7"/>
      <c r="G74" s="7">
        <v>1.0</v>
      </c>
      <c r="H74" s="10" t="s">
        <v>983</v>
      </c>
      <c r="I74" s="10"/>
      <c r="J74" s="10"/>
      <c r="K74" s="7"/>
    </row>
    <row r="75" ht="15.75" customHeight="1">
      <c r="A75" s="7" t="s">
        <v>1056</v>
      </c>
      <c r="B75" s="14"/>
      <c r="C75" s="10"/>
      <c r="D75" s="7"/>
      <c r="E75" s="7"/>
      <c r="F75" s="7"/>
      <c r="G75" s="7">
        <v>1.0</v>
      </c>
      <c r="H75" s="10" t="s">
        <v>983</v>
      </c>
      <c r="I75" s="10"/>
      <c r="J75" s="10"/>
      <c r="K75" s="7"/>
    </row>
    <row r="76" ht="15.75" customHeight="1">
      <c r="A76" s="7" t="s">
        <v>1057</v>
      </c>
      <c r="B76" s="14"/>
      <c r="C76" s="10"/>
      <c r="D76" s="7"/>
      <c r="E76" s="7"/>
      <c r="F76" s="7"/>
      <c r="G76" s="7">
        <v>1.0</v>
      </c>
      <c r="H76" s="10" t="s">
        <v>983</v>
      </c>
      <c r="I76" s="10"/>
      <c r="J76" s="10"/>
      <c r="K76" s="7"/>
    </row>
    <row r="77" ht="15.75" customHeight="1">
      <c r="A77" s="7" t="s">
        <v>1058</v>
      </c>
      <c r="B77" s="14"/>
      <c r="C77" s="10"/>
      <c r="D77" s="7"/>
      <c r="E77" s="7"/>
      <c r="F77" s="7"/>
      <c r="G77" s="7">
        <v>1.0</v>
      </c>
      <c r="H77" s="10" t="s">
        <v>983</v>
      </c>
      <c r="I77" s="10"/>
      <c r="J77" s="10"/>
      <c r="K77" s="7"/>
    </row>
    <row r="78" ht="15.75" customHeight="1">
      <c r="A78" s="7" t="s">
        <v>1059</v>
      </c>
      <c r="B78" s="14"/>
      <c r="C78" s="10"/>
      <c r="D78" s="7"/>
      <c r="E78" s="7"/>
      <c r="F78" s="7"/>
      <c r="G78" s="7">
        <v>1.0</v>
      </c>
      <c r="H78" s="10" t="s">
        <v>983</v>
      </c>
      <c r="I78" s="10"/>
      <c r="J78" s="10"/>
      <c r="K78" s="7"/>
    </row>
    <row r="79" ht="15.75" customHeight="1">
      <c r="A79" s="7" t="s">
        <v>1060</v>
      </c>
      <c r="B79" s="14"/>
      <c r="C79" s="10"/>
      <c r="D79" s="7"/>
      <c r="E79" s="7"/>
      <c r="F79" s="7"/>
      <c r="G79" s="7">
        <v>1.0</v>
      </c>
      <c r="H79" s="10" t="s">
        <v>983</v>
      </c>
      <c r="I79" s="10"/>
      <c r="J79" s="10"/>
      <c r="K79" s="7"/>
    </row>
    <row r="80" ht="15.75" customHeight="1">
      <c r="A80" s="7" t="s">
        <v>1061</v>
      </c>
      <c r="B80" s="14"/>
      <c r="C80" s="10"/>
      <c r="D80" s="7"/>
      <c r="E80" s="7"/>
      <c r="F80" s="7"/>
      <c r="G80" s="7">
        <v>1.0</v>
      </c>
      <c r="H80" s="10" t="s">
        <v>983</v>
      </c>
      <c r="I80" s="10"/>
      <c r="J80" s="10"/>
      <c r="K80" s="7"/>
    </row>
    <row r="81" ht="15.75" customHeight="1">
      <c r="A81" s="7" t="s">
        <v>1062</v>
      </c>
      <c r="B81" s="14"/>
      <c r="C81" s="10"/>
      <c r="D81" s="7"/>
      <c r="E81" s="7"/>
      <c r="F81" s="7"/>
      <c r="G81" s="7">
        <v>1.0</v>
      </c>
      <c r="H81" s="10" t="s">
        <v>983</v>
      </c>
      <c r="I81" s="10"/>
      <c r="J81" s="10"/>
      <c r="K81" s="7"/>
    </row>
    <row r="82" ht="15.75" customHeight="1">
      <c r="A82" s="7" t="s">
        <v>1063</v>
      </c>
      <c r="B82" s="14"/>
      <c r="C82" s="10"/>
      <c r="D82" s="7"/>
      <c r="E82" s="7"/>
      <c r="F82" s="7"/>
      <c r="G82" s="7">
        <v>1.0</v>
      </c>
      <c r="H82" s="10" t="s">
        <v>983</v>
      </c>
      <c r="I82" s="10"/>
      <c r="J82" s="10"/>
      <c r="K82" s="7"/>
    </row>
    <row r="83" ht="15.75" customHeight="1">
      <c r="A83" s="7" t="s">
        <v>1064</v>
      </c>
      <c r="B83" s="14"/>
      <c r="C83" s="10"/>
      <c r="D83" s="7"/>
      <c r="E83" s="7"/>
      <c r="F83" s="7"/>
      <c r="G83" s="7">
        <v>1.0</v>
      </c>
      <c r="H83" s="10" t="s">
        <v>983</v>
      </c>
      <c r="I83" s="10"/>
      <c r="J83" s="10"/>
      <c r="K83" s="7"/>
    </row>
    <row r="84" ht="15.75" customHeight="1">
      <c r="A84" s="7" t="s">
        <v>1065</v>
      </c>
      <c r="B84" s="14"/>
      <c r="C84" s="10"/>
      <c r="D84" s="7"/>
      <c r="E84" s="7"/>
      <c r="F84" s="7"/>
      <c r="G84" s="7">
        <v>1.0</v>
      </c>
      <c r="H84" s="10" t="s">
        <v>983</v>
      </c>
      <c r="I84" s="10"/>
      <c r="J84" s="10"/>
      <c r="K84" s="7"/>
    </row>
    <row r="85" ht="15.75" customHeight="1">
      <c r="A85" s="7" t="s">
        <v>1066</v>
      </c>
      <c r="B85" s="14"/>
      <c r="C85" s="10"/>
      <c r="D85" s="7"/>
      <c r="E85" s="7"/>
      <c r="F85" s="7"/>
      <c r="G85" s="7">
        <v>1.0</v>
      </c>
      <c r="H85" s="10" t="s">
        <v>983</v>
      </c>
      <c r="I85" s="10"/>
      <c r="J85" s="10"/>
      <c r="K85" s="7"/>
    </row>
    <row r="86" ht="15.75" customHeight="1">
      <c r="A86" s="7" t="s">
        <v>1067</v>
      </c>
      <c r="B86" s="14"/>
      <c r="C86" s="10"/>
      <c r="D86" s="7"/>
      <c r="E86" s="7"/>
      <c r="F86" s="7"/>
      <c r="G86" s="7">
        <v>1.0</v>
      </c>
      <c r="H86" s="10" t="s">
        <v>983</v>
      </c>
      <c r="I86" s="10"/>
      <c r="J86" s="10"/>
      <c r="K86" s="7"/>
    </row>
    <row r="87" ht="15.75" customHeight="1">
      <c r="A87" s="7" t="s">
        <v>1068</v>
      </c>
      <c r="B87" s="14"/>
      <c r="C87" s="10"/>
      <c r="D87" s="7"/>
      <c r="E87" s="7"/>
      <c r="F87" s="7"/>
      <c r="G87" s="7">
        <v>1.0</v>
      </c>
      <c r="H87" s="10" t="s">
        <v>983</v>
      </c>
      <c r="I87" s="10"/>
      <c r="J87" s="10"/>
      <c r="K87" s="7"/>
    </row>
    <row r="88" ht="15.75" customHeight="1">
      <c r="A88" s="7" t="s">
        <v>1069</v>
      </c>
      <c r="B88" s="14"/>
      <c r="C88" s="10"/>
      <c r="D88" s="7"/>
      <c r="E88" s="7"/>
      <c r="F88" s="7"/>
      <c r="G88" s="7">
        <v>1.0</v>
      </c>
      <c r="H88" s="10" t="s">
        <v>983</v>
      </c>
      <c r="I88" s="10"/>
      <c r="J88" s="10"/>
      <c r="K88" s="7"/>
    </row>
    <row r="89" ht="15.75" customHeight="1">
      <c r="A89" s="7" t="s">
        <v>1070</v>
      </c>
      <c r="B89" s="14"/>
      <c r="C89" s="10"/>
      <c r="D89" s="7"/>
      <c r="E89" s="7"/>
      <c r="F89" s="7"/>
      <c r="G89" s="7">
        <v>1.0</v>
      </c>
      <c r="H89" s="10" t="s">
        <v>983</v>
      </c>
      <c r="I89" s="10"/>
      <c r="J89" s="10"/>
      <c r="K89" s="7"/>
    </row>
    <row r="90" ht="15.75" customHeight="1">
      <c r="A90" s="7" t="s">
        <v>1071</v>
      </c>
      <c r="B90" s="14"/>
      <c r="C90" s="10"/>
      <c r="D90" s="7"/>
      <c r="E90" s="7"/>
      <c r="F90" s="7"/>
      <c r="G90" s="7">
        <v>1.0</v>
      </c>
      <c r="H90" s="10" t="s">
        <v>983</v>
      </c>
      <c r="I90" s="10"/>
      <c r="J90" s="10"/>
      <c r="K90" s="7"/>
    </row>
    <row r="91" ht="15.75" customHeight="1">
      <c r="A91" s="7" t="s">
        <v>1072</v>
      </c>
      <c r="B91" s="14"/>
      <c r="C91" s="10"/>
      <c r="D91" s="7"/>
      <c r="E91" s="7"/>
      <c r="F91" s="7"/>
      <c r="G91" s="7">
        <v>1.0</v>
      </c>
      <c r="H91" s="10" t="s">
        <v>983</v>
      </c>
      <c r="I91" s="10"/>
      <c r="J91" s="10"/>
      <c r="K91" s="7"/>
    </row>
    <row r="92" ht="15.75" customHeight="1">
      <c r="A92" s="7" t="s">
        <v>1073</v>
      </c>
      <c r="B92" s="14"/>
      <c r="C92" s="10"/>
      <c r="D92" s="7"/>
      <c r="E92" s="7"/>
      <c r="F92" s="7"/>
      <c r="G92" s="7">
        <v>1.0</v>
      </c>
      <c r="H92" s="10" t="s">
        <v>983</v>
      </c>
      <c r="I92" s="10"/>
      <c r="J92" s="10"/>
      <c r="K92" s="7"/>
    </row>
    <row r="93" ht="15.75" customHeight="1">
      <c r="A93" s="7" t="s">
        <v>1074</v>
      </c>
      <c r="B93" s="14"/>
      <c r="C93" s="10"/>
      <c r="D93" s="7"/>
      <c r="E93" s="7"/>
      <c r="F93" s="7"/>
      <c r="G93" s="7">
        <v>1.0</v>
      </c>
      <c r="H93" s="10" t="s">
        <v>983</v>
      </c>
      <c r="I93" s="10"/>
      <c r="J93" s="10"/>
      <c r="K93" s="7"/>
    </row>
    <row r="94" ht="15.75" customHeight="1">
      <c r="A94" s="7" t="s">
        <v>1075</v>
      </c>
      <c r="B94" s="14"/>
      <c r="C94" s="10"/>
      <c r="D94" s="7"/>
      <c r="E94" s="7"/>
      <c r="F94" s="7"/>
      <c r="G94" s="7">
        <v>1.0</v>
      </c>
      <c r="H94" s="10" t="s">
        <v>983</v>
      </c>
      <c r="I94" s="10"/>
      <c r="J94" s="10"/>
      <c r="K94" s="7"/>
    </row>
    <row r="95" ht="15.75" customHeight="1">
      <c r="A95" s="7" t="s">
        <v>1076</v>
      </c>
      <c r="B95" s="14"/>
      <c r="C95" s="10"/>
      <c r="D95" s="7"/>
      <c r="E95" s="7"/>
      <c r="F95" s="7"/>
      <c r="G95" s="7">
        <v>1.0</v>
      </c>
      <c r="H95" s="10" t="s">
        <v>983</v>
      </c>
      <c r="I95" s="10"/>
      <c r="J95" s="10"/>
      <c r="K95" s="7"/>
    </row>
    <row r="96" ht="15.75" customHeight="1">
      <c r="A96" s="7" t="s">
        <v>1077</v>
      </c>
      <c r="B96" s="14"/>
      <c r="C96" s="10"/>
      <c r="D96" s="7"/>
      <c r="E96" s="7"/>
      <c r="F96" s="7"/>
      <c r="G96" s="7">
        <v>1.0</v>
      </c>
      <c r="H96" s="10" t="s">
        <v>983</v>
      </c>
      <c r="I96" s="10"/>
      <c r="J96" s="10"/>
      <c r="K96" s="7"/>
    </row>
    <row r="97" ht="15.75" customHeight="1">
      <c r="A97" s="7" t="s">
        <v>1078</v>
      </c>
      <c r="B97" s="14"/>
      <c r="C97" s="10"/>
      <c r="D97" s="7"/>
      <c r="E97" s="7"/>
      <c r="F97" s="7"/>
      <c r="G97" s="7">
        <v>1.0</v>
      </c>
      <c r="H97" s="10" t="s">
        <v>983</v>
      </c>
      <c r="I97" s="10"/>
      <c r="J97" s="10"/>
      <c r="K97" s="7"/>
    </row>
    <row r="98" ht="15.75" customHeight="1">
      <c r="A98" s="7" t="s">
        <v>1079</v>
      </c>
      <c r="B98" s="14"/>
      <c r="C98" s="10"/>
      <c r="D98" s="7"/>
      <c r="E98" s="7"/>
      <c r="F98" s="7"/>
      <c r="G98" s="7">
        <v>1.0</v>
      </c>
      <c r="H98" s="10" t="s">
        <v>983</v>
      </c>
      <c r="I98" s="10"/>
      <c r="J98" s="10"/>
      <c r="K98" s="7"/>
    </row>
    <row r="99" ht="15.75" customHeight="1">
      <c r="A99" s="7" t="s">
        <v>1080</v>
      </c>
      <c r="B99" s="14"/>
      <c r="C99" s="10"/>
      <c r="D99" s="7"/>
      <c r="E99" s="7"/>
      <c r="F99" s="7"/>
      <c r="G99" s="7">
        <v>1.0</v>
      </c>
      <c r="H99" s="10" t="s">
        <v>983</v>
      </c>
      <c r="I99" s="10"/>
      <c r="J99" s="10"/>
      <c r="K99" s="7"/>
    </row>
    <row r="100" ht="15.75" customHeight="1">
      <c r="A100" s="7" t="s">
        <v>1081</v>
      </c>
      <c r="B100" s="14"/>
      <c r="C100" s="10"/>
      <c r="D100" s="7"/>
      <c r="E100" s="7"/>
      <c r="F100" s="7"/>
      <c r="G100" s="7">
        <v>1.0</v>
      </c>
      <c r="H100" s="10" t="s">
        <v>983</v>
      </c>
      <c r="I100" s="10"/>
      <c r="J100" s="10"/>
      <c r="K100" s="7"/>
    </row>
    <row r="101" ht="15.75" customHeight="1">
      <c r="A101" s="7" t="s">
        <v>1082</v>
      </c>
      <c r="B101" s="14"/>
      <c r="C101" s="10"/>
      <c r="D101" s="7"/>
      <c r="E101" s="7"/>
      <c r="F101" s="7"/>
      <c r="G101" s="7">
        <v>1.0</v>
      </c>
      <c r="H101" s="10" t="s">
        <v>983</v>
      </c>
      <c r="I101" s="10"/>
      <c r="J101" s="10"/>
      <c r="K101" s="7"/>
    </row>
    <row r="102" ht="15.75" customHeight="1">
      <c r="A102" s="3" t="s">
        <v>1083</v>
      </c>
      <c r="B102" s="12">
        <v>46106.0</v>
      </c>
      <c r="C102" s="3" t="s">
        <v>214</v>
      </c>
      <c r="D102" s="3"/>
      <c r="E102" s="3"/>
      <c r="F102" s="3" t="s">
        <v>100</v>
      </c>
      <c r="G102" s="3">
        <v>1.0</v>
      </c>
      <c r="H102" s="3" t="s">
        <v>1084</v>
      </c>
      <c r="I102" s="3" t="s">
        <v>1085</v>
      </c>
      <c r="J102" s="3" t="s">
        <v>1086</v>
      </c>
      <c r="K102" s="3" t="s">
        <v>1087</v>
      </c>
    </row>
    <row r="103" ht="15.75" customHeight="1">
      <c r="A103" s="3" t="s">
        <v>1088</v>
      </c>
      <c r="B103" s="12">
        <v>46103.0</v>
      </c>
      <c r="C103" s="3" t="s">
        <v>290</v>
      </c>
      <c r="D103" s="3" t="s">
        <v>84</v>
      </c>
      <c r="E103" s="3"/>
      <c r="F103" s="3" t="s">
        <v>100</v>
      </c>
      <c r="G103" s="3">
        <v>1.0</v>
      </c>
      <c r="H103" s="3" t="s">
        <v>1084</v>
      </c>
      <c r="I103" s="3" t="s">
        <v>1089</v>
      </c>
    </row>
    <row r="104" ht="15.75" customHeight="1">
      <c r="A104" s="3" t="s">
        <v>1090</v>
      </c>
      <c r="B104" s="12">
        <v>46106.0</v>
      </c>
      <c r="C104" s="3" t="s">
        <v>290</v>
      </c>
      <c r="D104" s="3" t="s">
        <v>82</v>
      </c>
      <c r="E104" s="3"/>
      <c r="F104" s="3" t="s">
        <v>100</v>
      </c>
      <c r="G104" s="3">
        <v>1.0</v>
      </c>
      <c r="H104" s="3" t="s">
        <v>983</v>
      </c>
      <c r="I104" s="4"/>
    </row>
    <row r="105" ht="15.75" customHeight="1">
      <c r="A105" s="3" t="s">
        <v>1091</v>
      </c>
      <c r="B105" s="12">
        <v>46106.0</v>
      </c>
      <c r="C105" s="3" t="s">
        <v>290</v>
      </c>
      <c r="D105" s="3" t="s">
        <v>146</v>
      </c>
      <c r="E105" s="3"/>
      <c r="F105" s="3" t="s">
        <v>61</v>
      </c>
      <c r="G105" s="3">
        <v>1.0</v>
      </c>
      <c r="H105" s="3" t="s">
        <v>1084</v>
      </c>
      <c r="I105" s="3" t="s">
        <v>1092</v>
      </c>
    </row>
    <row r="106" ht="15.75" customHeight="1">
      <c r="A106" s="3" t="s">
        <v>1093</v>
      </c>
      <c r="B106" s="12">
        <v>46106.0</v>
      </c>
      <c r="C106" s="3" t="s">
        <v>567</v>
      </c>
      <c r="E106" s="3"/>
      <c r="F106" s="3" t="s">
        <v>61</v>
      </c>
      <c r="G106" s="3">
        <v>1.0</v>
      </c>
      <c r="H106" s="3" t="s">
        <v>1084</v>
      </c>
      <c r="I106" s="3" t="s">
        <v>1094</v>
      </c>
    </row>
    <row r="107" ht="15.75" customHeight="1">
      <c r="A107" s="3" t="s">
        <v>1095</v>
      </c>
      <c r="B107" s="12">
        <v>46106.0</v>
      </c>
      <c r="C107" s="3" t="s">
        <v>567</v>
      </c>
      <c r="D107" s="3" t="s">
        <v>71</v>
      </c>
      <c r="E107" s="3"/>
      <c r="F107" s="3" t="s">
        <v>61</v>
      </c>
      <c r="G107" s="3">
        <v>1.0</v>
      </c>
      <c r="H107" s="3" t="s">
        <v>983</v>
      </c>
      <c r="I107" s="4"/>
    </row>
    <row r="108" ht="15.75" customHeight="1">
      <c r="A108" s="3" t="s">
        <v>1096</v>
      </c>
      <c r="B108" s="12">
        <v>46106.0</v>
      </c>
      <c r="C108" s="3" t="s">
        <v>290</v>
      </c>
      <c r="D108" s="3" t="s">
        <v>84</v>
      </c>
      <c r="E108" s="3"/>
      <c r="F108" s="3" t="s">
        <v>61</v>
      </c>
      <c r="G108" s="3">
        <v>1.0</v>
      </c>
      <c r="H108" s="3" t="s">
        <v>1084</v>
      </c>
      <c r="I108" s="3" t="s">
        <v>1089</v>
      </c>
    </row>
    <row r="109" ht="15.75" customHeight="1">
      <c r="A109" s="3" t="s">
        <v>1097</v>
      </c>
      <c r="B109" s="12">
        <v>46106.0</v>
      </c>
      <c r="C109" s="3" t="s">
        <v>567</v>
      </c>
      <c r="D109" s="3" t="s">
        <v>63</v>
      </c>
      <c r="E109" s="3"/>
      <c r="F109" s="3" t="s">
        <v>61</v>
      </c>
      <c r="G109" s="3">
        <v>1.0</v>
      </c>
      <c r="H109" s="3" t="s">
        <v>983</v>
      </c>
      <c r="I109" s="4"/>
    </row>
    <row r="110" ht="15.75" customHeight="1">
      <c r="A110" s="3" t="s">
        <v>1098</v>
      </c>
      <c r="B110" s="12">
        <v>46106.0</v>
      </c>
      <c r="C110" s="3" t="s">
        <v>567</v>
      </c>
      <c r="D110" s="3" t="s">
        <v>63</v>
      </c>
      <c r="E110" s="3"/>
      <c r="F110" s="3" t="s">
        <v>61</v>
      </c>
      <c r="G110" s="3">
        <v>1.0</v>
      </c>
      <c r="H110" s="3" t="s">
        <v>1084</v>
      </c>
      <c r="I110" s="3" t="s">
        <v>1099</v>
      </c>
    </row>
    <row r="111" ht="15.75" customHeight="1">
      <c r="A111" s="3" t="s">
        <v>1100</v>
      </c>
      <c r="B111" s="12">
        <v>46106.0</v>
      </c>
      <c r="C111" s="3" t="s">
        <v>567</v>
      </c>
      <c r="D111" s="3" t="s">
        <v>134</v>
      </c>
      <c r="E111" s="3"/>
      <c r="F111" s="3" t="s">
        <v>61</v>
      </c>
      <c r="G111" s="3">
        <v>1.0</v>
      </c>
      <c r="H111" s="3" t="s">
        <v>1084</v>
      </c>
      <c r="I111" s="3" t="s">
        <v>1089</v>
      </c>
    </row>
    <row r="112" ht="15.75" customHeight="1">
      <c r="A112" s="3" t="s">
        <v>1101</v>
      </c>
      <c r="B112" s="12">
        <v>46106.0</v>
      </c>
      <c r="C112" s="3" t="s">
        <v>567</v>
      </c>
      <c r="D112" s="3" t="s">
        <v>131</v>
      </c>
      <c r="E112" s="3"/>
      <c r="F112" s="3" t="s">
        <v>61</v>
      </c>
      <c r="G112" s="3">
        <v>1.0</v>
      </c>
      <c r="H112" s="3" t="s">
        <v>1084</v>
      </c>
      <c r="I112" s="3" t="s">
        <v>1089</v>
      </c>
    </row>
    <row r="113" ht="15.75" customHeight="1">
      <c r="A113" s="3" t="s">
        <v>1102</v>
      </c>
      <c r="B113" s="12">
        <v>46105.0</v>
      </c>
      <c r="C113" s="3" t="s">
        <v>296</v>
      </c>
      <c r="D113" s="3" t="s">
        <v>159</v>
      </c>
      <c r="E113" s="3"/>
      <c r="F113" s="3" t="s">
        <v>61</v>
      </c>
      <c r="G113" s="3">
        <v>1.0</v>
      </c>
      <c r="H113" s="3" t="s">
        <v>983</v>
      </c>
      <c r="I113" s="4"/>
    </row>
    <row r="114" ht="15.75" customHeight="1">
      <c r="A114" s="3" t="s">
        <v>1103</v>
      </c>
      <c r="B114" s="12">
        <v>46099.0</v>
      </c>
      <c r="C114" s="3" t="s">
        <v>531</v>
      </c>
      <c r="D114" s="3" t="s">
        <v>66</v>
      </c>
      <c r="E114" s="3"/>
      <c r="F114" s="3" t="s">
        <v>61</v>
      </c>
      <c r="G114" s="3">
        <v>1.0</v>
      </c>
      <c r="H114" s="3" t="s">
        <v>983</v>
      </c>
      <c r="I114" s="4"/>
    </row>
    <row r="115" ht="15.75" customHeight="1">
      <c r="A115" s="3" t="s">
        <v>1104</v>
      </c>
      <c r="B115" s="12">
        <v>46101.0</v>
      </c>
      <c r="C115" s="3" t="s">
        <v>531</v>
      </c>
      <c r="E115" s="3"/>
      <c r="F115" s="3" t="s">
        <v>61</v>
      </c>
      <c r="G115" s="3">
        <v>1.0</v>
      </c>
      <c r="H115" s="3" t="s">
        <v>1084</v>
      </c>
      <c r="I115" s="3" t="s">
        <v>1085</v>
      </c>
    </row>
    <row r="116" ht="15.75" customHeight="1">
      <c r="A116" s="3" t="s">
        <v>1105</v>
      </c>
      <c r="B116" s="12">
        <v>46107.0</v>
      </c>
      <c r="C116" s="3" t="s">
        <v>567</v>
      </c>
      <c r="D116" s="3" t="s">
        <v>63</v>
      </c>
      <c r="E116" s="3"/>
      <c r="F116" s="3" t="s">
        <v>61</v>
      </c>
      <c r="G116" s="3">
        <v>1.0</v>
      </c>
      <c r="H116" s="3" t="s">
        <v>1084</v>
      </c>
      <c r="I116" s="3" t="s">
        <v>1089</v>
      </c>
      <c r="K116" s="3" t="s">
        <v>1087</v>
      </c>
    </row>
    <row r="117" ht="15.75" customHeight="1">
      <c r="A117" s="3" t="s">
        <v>1106</v>
      </c>
      <c r="B117" s="12">
        <v>46107.0</v>
      </c>
      <c r="C117" s="3" t="s">
        <v>567</v>
      </c>
      <c r="D117" s="3" t="s">
        <v>116</v>
      </c>
      <c r="E117" s="3"/>
      <c r="F117" s="3" t="s">
        <v>61</v>
      </c>
      <c r="G117" s="3">
        <v>1.0</v>
      </c>
      <c r="H117" s="3" t="s">
        <v>1084</v>
      </c>
      <c r="I117" s="3" t="s">
        <v>1089</v>
      </c>
      <c r="J117" s="3" t="s">
        <v>1089</v>
      </c>
      <c r="K117" s="3" t="s">
        <v>1087</v>
      </c>
    </row>
    <row r="118" ht="15.75" customHeight="1">
      <c r="A118" s="3" t="s">
        <v>1107</v>
      </c>
      <c r="B118" s="12">
        <v>46113.0</v>
      </c>
      <c r="C118" s="3" t="s">
        <v>567</v>
      </c>
      <c r="D118" s="3" t="s">
        <v>63</v>
      </c>
      <c r="E118" s="3"/>
      <c r="F118" s="3" t="s">
        <v>61</v>
      </c>
      <c r="G118" s="3">
        <v>1.0</v>
      </c>
      <c r="H118" s="3" t="s">
        <v>1084</v>
      </c>
      <c r="I118" s="3" t="s">
        <v>1099</v>
      </c>
    </row>
    <row r="119" ht="15.75" customHeight="1">
      <c r="A119" s="3" t="s">
        <v>1108</v>
      </c>
      <c r="B119" s="12">
        <v>46107.0</v>
      </c>
      <c r="C119" s="3" t="s">
        <v>62</v>
      </c>
      <c r="D119" s="3" t="s">
        <v>61</v>
      </c>
      <c r="E119" s="3" t="s">
        <v>903</v>
      </c>
      <c r="F119" s="3" t="s">
        <v>61</v>
      </c>
      <c r="G119" s="3">
        <v>1.0</v>
      </c>
      <c r="H119" s="3" t="s">
        <v>1084</v>
      </c>
      <c r="I119" s="3" t="s">
        <v>1085</v>
      </c>
      <c r="K119" s="3" t="s">
        <v>1087</v>
      </c>
    </row>
    <row r="120" ht="15.75" customHeight="1">
      <c r="A120" s="3" t="s">
        <v>1109</v>
      </c>
      <c r="B120" s="12">
        <v>46107.0</v>
      </c>
      <c r="C120" s="3" t="s">
        <v>62</v>
      </c>
      <c r="D120" s="3" t="s">
        <v>63</v>
      </c>
      <c r="E120" s="3" t="s">
        <v>903</v>
      </c>
      <c r="F120" s="3" t="s">
        <v>61</v>
      </c>
      <c r="G120" s="3">
        <v>1.0</v>
      </c>
      <c r="H120" s="3" t="s">
        <v>1084</v>
      </c>
      <c r="I120" s="3" t="s">
        <v>1092</v>
      </c>
      <c r="K120" s="3" t="s">
        <v>1110</v>
      </c>
    </row>
    <row r="121" ht="15.75" customHeight="1">
      <c r="A121" s="3" t="s">
        <v>1111</v>
      </c>
      <c r="B121" s="12">
        <v>46083.0</v>
      </c>
      <c r="C121" s="3" t="s">
        <v>62</v>
      </c>
      <c r="D121" s="3" t="s">
        <v>61</v>
      </c>
      <c r="E121" s="3" t="s">
        <v>903</v>
      </c>
      <c r="F121" s="3" t="s">
        <v>61</v>
      </c>
      <c r="G121" s="3">
        <v>1.0</v>
      </c>
      <c r="H121" s="3" t="s">
        <v>1084</v>
      </c>
      <c r="I121" s="3" t="s">
        <v>1089</v>
      </c>
      <c r="K121" s="3" t="s">
        <v>1087</v>
      </c>
    </row>
    <row r="122" ht="15.75" customHeight="1">
      <c r="A122" s="3" t="s">
        <v>1112</v>
      </c>
      <c r="B122" s="12">
        <v>46107.0</v>
      </c>
      <c r="C122" s="3" t="s">
        <v>489</v>
      </c>
      <c r="D122" s="3" t="s">
        <v>146</v>
      </c>
      <c r="E122" s="3" t="s">
        <v>903</v>
      </c>
      <c r="F122" s="3" t="s">
        <v>61</v>
      </c>
      <c r="G122" s="3">
        <v>1.0</v>
      </c>
      <c r="H122" s="3" t="s">
        <v>1084</v>
      </c>
      <c r="I122" s="3" t="s">
        <v>1089</v>
      </c>
      <c r="K122" s="3" t="s">
        <v>1113</v>
      </c>
    </row>
    <row r="123" ht="15.75" customHeight="1">
      <c r="A123" s="3" t="s">
        <v>1114</v>
      </c>
      <c r="B123" s="12">
        <v>46100.0</v>
      </c>
      <c r="C123" s="3" t="s">
        <v>174</v>
      </c>
      <c r="D123" s="3" t="s">
        <v>173</v>
      </c>
      <c r="E123" s="3" t="s">
        <v>903</v>
      </c>
      <c r="F123" s="3" t="s">
        <v>61</v>
      </c>
      <c r="G123" s="3">
        <v>1.0</v>
      </c>
      <c r="H123" s="3" t="s">
        <v>1084</v>
      </c>
      <c r="I123" s="3" t="s">
        <v>1089</v>
      </c>
      <c r="K123" s="3" t="s">
        <v>1115</v>
      </c>
    </row>
    <row r="124" ht="15.75" customHeight="1">
      <c r="A124" s="3" t="s">
        <v>1116</v>
      </c>
      <c r="B124" s="12">
        <v>46107.0</v>
      </c>
      <c r="C124" s="3" t="s">
        <v>76</v>
      </c>
      <c r="D124" s="3" t="s">
        <v>80</v>
      </c>
      <c r="E124" s="3" t="s">
        <v>901</v>
      </c>
      <c r="F124" s="3" t="s">
        <v>61</v>
      </c>
      <c r="G124" s="3">
        <v>1.0</v>
      </c>
      <c r="H124" s="3" t="s">
        <v>1084</v>
      </c>
      <c r="I124" s="3" t="s">
        <v>1092</v>
      </c>
      <c r="K124" s="13" t="s">
        <v>1117</v>
      </c>
    </row>
    <row r="125" ht="15.75" customHeight="1">
      <c r="A125" s="3" t="s">
        <v>1118</v>
      </c>
      <c r="B125" s="12">
        <v>46114.0</v>
      </c>
      <c r="C125" s="3" t="s">
        <v>62</v>
      </c>
      <c r="D125" s="3" t="s">
        <v>910</v>
      </c>
      <c r="E125" s="3" t="s">
        <v>901</v>
      </c>
      <c r="F125" s="3" t="s">
        <v>910</v>
      </c>
      <c r="G125" s="3">
        <v>1.0</v>
      </c>
      <c r="H125" s="3" t="s">
        <v>1084</v>
      </c>
      <c r="I125" s="3" t="s">
        <v>1119</v>
      </c>
      <c r="J125" s="3" t="s">
        <v>1120</v>
      </c>
      <c r="K125" s="3" t="s">
        <v>1121</v>
      </c>
    </row>
    <row r="126" ht="15.75" customHeight="1">
      <c r="A126" s="3" t="s">
        <v>1122</v>
      </c>
      <c r="B126" s="12">
        <v>46114.0</v>
      </c>
      <c r="C126" s="3" t="s">
        <v>69</v>
      </c>
      <c r="D126" s="3" t="s">
        <v>73</v>
      </c>
      <c r="E126" s="3" t="s">
        <v>903</v>
      </c>
      <c r="F126" s="3" t="s">
        <v>73</v>
      </c>
      <c r="G126" s="3">
        <v>1.0</v>
      </c>
      <c r="H126" s="3" t="s">
        <v>1084</v>
      </c>
      <c r="I126" s="3" t="s">
        <v>1119</v>
      </c>
      <c r="J126" s="3" t="s">
        <v>1123</v>
      </c>
      <c r="K126" s="3" t="s">
        <v>1124</v>
      </c>
    </row>
    <row r="127" ht="15.75" customHeight="1">
      <c r="A127" s="3" t="s">
        <v>1125</v>
      </c>
      <c r="B127" s="12">
        <v>46114.0</v>
      </c>
      <c r="C127" s="3" t="s">
        <v>465</v>
      </c>
      <c r="D127" s="3" t="s">
        <v>1126</v>
      </c>
      <c r="E127" s="3" t="s">
        <v>903</v>
      </c>
      <c r="F127" s="3" t="s">
        <v>1126</v>
      </c>
      <c r="G127" s="3">
        <v>1.0</v>
      </c>
      <c r="H127" s="3" t="s">
        <v>1084</v>
      </c>
      <c r="I127" s="3" t="s">
        <v>1089</v>
      </c>
      <c r="J127" s="3" t="s">
        <v>1089</v>
      </c>
      <c r="K127" s="3" t="s">
        <v>1121</v>
      </c>
    </row>
    <row r="128" ht="15.75" customHeight="1">
      <c r="A128" s="3" t="s">
        <v>1127</v>
      </c>
      <c r="B128" s="12">
        <v>46115.0</v>
      </c>
      <c r="C128" s="3" t="s">
        <v>823</v>
      </c>
      <c r="D128" s="3" t="s">
        <v>1128</v>
      </c>
      <c r="E128" s="3" t="s">
        <v>903</v>
      </c>
      <c r="F128" s="3" t="s">
        <v>1128</v>
      </c>
      <c r="G128" s="3">
        <v>1.0</v>
      </c>
      <c r="H128" s="3" t="s">
        <v>1084</v>
      </c>
      <c r="I128" s="3" t="s">
        <v>1119</v>
      </c>
      <c r="J128" s="3" t="s">
        <v>1129</v>
      </c>
      <c r="K128" s="3" t="s">
        <v>1124</v>
      </c>
    </row>
    <row r="129" ht="15.75" customHeight="1">
      <c r="A129" s="3" t="s">
        <v>1130</v>
      </c>
      <c r="B129" s="12">
        <v>46115.0</v>
      </c>
      <c r="C129" s="3" t="s">
        <v>1087</v>
      </c>
      <c r="D129" s="3" t="s">
        <v>917</v>
      </c>
      <c r="F129" s="3" t="s">
        <v>917</v>
      </c>
      <c r="G129" s="3">
        <v>1.0</v>
      </c>
      <c r="H129" s="3" t="s">
        <v>1084</v>
      </c>
      <c r="I129" s="3" t="s">
        <v>1119</v>
      </c>
      <c r="J129" s="3" t="s">
        <v>1131</v>
      </c>
      <c r="K129" s="3" t="s">
        <v>1132</v>
      </c>
    </row>
    <row r="130" ht="15.75" customHeight="1">
      <c r="A130" s="3" t="s">
        <v>1133</v>
      </c>
      <c r="B130" s="12">
        <v>46115.0</v>
      </c>
      <c r="C130" s="3" t="s">
        <v>1087</v>
      </c>
      <c r="D130" s="3" t="s">
        <v>1134</v>
      </c>
      <c r="E130" s="3" t="s">
        <v>903</v>
      </c>
      <c r="F130" s="3" t="s">
        <v>1134</v>
      </c>
      <c r="G130" s="3">
        <v>1.0</v>
      </c>
      <c r="H130" s="3" t="s">
        <v>1084</v>
      </c>
      <c r="I130" s="3" t="s">
        <v>1119</v>
      </c>
      <c r="J130" s="3" t="s">
        <v>1131</v>
      </c>
      <c r="K130" s="3" t="s">
        <v>1135</v>
      </c>
    </row>
    <row r="131" ht="15.75" customHeight="1">
      <c r="A131" s="3" t="s">
        <v>1136</v>
      </c>
      <c r="B131" s="12">
        <v>46115.0</v>
      </c>
      <c r="C131" s="3" t="s">
        <v>1132</v>
      </c>
      <c r="D131" s="3" t="s">
        <v>1137</v>
      </c>
      <c r="E131" s="3" t="s">
        <v>975</v>
      </c>
      <c r="F131" s="3" t="s">
        <v>1137</v>
      </c>
      <c r="G131" s="3">
        <v>1.0</v>
      </c>
      <c r="H131" s="3" t="s">
        <v>1084</v>
      </c>
      <c r="I131" s="3" t="s">
        <v>1119</v>
      </c>
      <c r="J131" s="3" t="s">
        <v>1138</v>
      </c>
      <c r="K131" s="3" t="s">
        <v>1132</v>
      </c>
    </row>
    <row r="132" ht="15.75" customHeight="1">
      <c r="A132" s="3" t="s">
        <v>1139</v>
      </c>
      <c r="B132" s="12">
        <v>46115.0</v>
      </c>
      <c r="C132" s="3" t="s">
        <v>1132</v>
      </c>
      <c r="D132" s="3" t="s">
        <v>1140</v>
      </c>
      <c r="E132" s="3" t="s">
        <v>903</v>
      </c>
      <c r="F132" s="3" t="s">
        <v>1140</v>
      </c>
      <c r="G132" s="3">
        <v>2.0</v>
      </c>
      <c r="H132" s="3" t="s">
        <v>1084</v>
      </c>
      <c r="I132" s="3" t="s">
        <v>1119</v>
      </c>
      <c r="J132" s="3" t="s">
        <v>1131</v>
      </c>
      <c r="K132" s="3" t="s">
        <v>1132</v>
      </c>
    </row>
    <row r="133" ht="15.75" customHeight="1">
      <c r="A133" s="3" t="s">
        <v>1141</v>
      </c>
      <c r="B133" s="12">
        <v>46115.0</v>
      </c>
      <c r="C133" s="3" t="s">
        <v>1132</v>
      </c>
      <c r="D133" s="3" t="s">
        <v>1142</v>
      </c>
      <c r="E133" s="3" t="s">
        <v>903</v>
      </c>
      <c r="F133" s="3" t="s">
        <v>1142</v>
      </c>
      <c r="G133" s="3">
        <v>1.0</v>
      </c>
      <c r="H133" s="3" t="s">
        <v>1084</v>
      </c>
      <c r="I133" s="3" t="s">
        <v>1119</v>
      </c>
      <c r="J133" s="3" t="s">
        <v>1131</v>
      </c>
      <c r="K133" s="3" t="s">
        <v>1132</v>
      </c>
    </row>
    <row r="134" ht="15.75" customHeight="1">
      <c r="A134" s="3" t="s">
        <v>1143</v>
      </c>
      <c r="B134" s="12">
        <v>46115.0</v>
      </c>
      <c r="C134" s="3" t="s">
        <v>1132</v>
      </c>
      <c r="D134" s="3" t="s">
        <v>1144</v>
      </c>
      <c r="E134" s="3" t="s">
        <v>903</v>
      </c>
      <c r="F134" s="3" t="s">
        <v>1144</v>
      </c>
      <c r="G134" s="3">
        <v>1.0</v>
      </c>
      <c r="H134" s="3" t="s">
        <v>1084</v>
      </c>
      <c r="I134" s="3" t="s">
        <v>1119</v>
      </c>
      <c r="J134" s="3" t="s">
        <v>1131</v>
      </c>
      <c r="K134" s="3" t="s">
        <v>1132</v>
      </c>
    </row>
    <row r="135" ht="15.75" customHeight="1">
      <c r="A135" s="3" t="s">
        <v>1145</v>
      </c>
      <c r="B135" s="12">
        <v>46115.0</v>
      </c>
      <c r="C135" s="3" t="s">
        <v>69</v>
      </c>
      <c r="D135" s="3" t="s">
        <v>72</v>
      </c>
      <c r="E135" s="3" t="s">
        <v>903</v>
      </c>
      <c r="F135" s="3" t="s">
        <v>72</v>
      </c>
      <c r="G135" s="3">
        <v>1.0</v>
      </c>
      <c r="H135" s="3" t="s">
        <v>1084</v>
      </c>
      <c r="I135" s="3" t="s">
        <v>1119</v>
      </c>
      <c r="J135" s="3" t="s">
        <v>1129</v>
      </c>
      <c r="K135" s="3" t="s">
        <v>1124</v>
      </c>
    </row>
    <row r="136" ht="15.75" customHeight="1">
      <c r="A136" s="3" t="s">
        <v>1146</v>
      </c>
      <c r="B136" s="12">
        <v>46116.0</v>
      </c>
      <c r="C136" s="3" t="s">
        <v>1147</v>
      </c>
      <c r="D136" s="3" t="s">
        <v>968</v>
      </c>
      <c r="E136" s="3" t="s">
        <v>903</v>
      </c>
      <c r="F136" s="3" t="s">
        <v>968</v>
      </c>
      <c r="G136" s="3">
        <v>1.0</v>
      </c>
      <c r="H136" s="3" t="s">
        <v>1084</v>
      </c>
      <c r="I136" s="3" t="s">
        <v>1119</v>
      </c>
      <c r="J136" s="3" t="s">
        <v>1129</v>
      </c>
      <c r="K136" s="3" t="s">
        <v>1113</v>
      </c>
    </row>
    <row r="137" ht="15.75" customHeight="1">
      <c r="A137" s="3" t="s">
        <v>1148</v>
      </c>
      <c r="B137" s="12">
        <v>46116.0</v>
      </c>
      <c r="C137" s="3" t="s">
        <v>1147</v>
      </c>
      <c r="D137" s="3" t="s">
        <v>1149</v>
      </c>
      <c r="E137" s="3" t="s">
        <v>903</v>
      </c>
      <c r="F137" s="3" t="s">
        <v>1149</v>
      </c>
      <c r="G137" s="3">
        <v>1.0</v>
      </c>
      <c r="H137" s="3" t="s">
        <v>1084</v>
      </c>
      <c r="I137" s="3" t="s">
        <v>1119</v>
      </c>
      <c r="J137" s="3" t="s">
        <v>1129</v>
      </c>
      <c r="K137" s="3" t="s">
        <v>1113</v>
      </c>
    </row>
    <row r="138" ht="15.75" customHeight="1">
      <c r="A138" s="13" t="s">
        <v>1150</v>
      </c>
      <c r="B138" s="12">
        <v>46116.0</v>
      </c>
      <c r="C138" s="3" t="s">
        <v>1147</v>
      </c>
      <c r="D138" s="3" t="s">
        <v>968</v>
      </c>
      <c r="E138" s="3" t="s">
        <v>903</v>
      </c>
      <c r="F138" s="3" t="s">
        <v>968</v>
      </c>
      <c r="G138" s="3">
        <v>1.0</v>
      </c>
      <c r="H138" s="3" t="s">
        <v>1084</v>
      </c>
      <c r="I138" s="3" t="s">
        <v>1119</v>
      </c>
      <c r="J138" s="3" t="s">
        <v>1129</v>
      </c>
      <c r="K138" s="3" t="s">
        <v>1113</v>
      </c>
    </row>
    <row r="139" ht="15.75" customHeight="1">
      <c r="A139" s="3" t="s">
        <v>1151</v>
      </c>
      <c r="B139" s="12">
        <v>46116.0</v>
      </c>
      <c r="C139" s="3" t="s">
        <v>1147</v>
      </c>
      <c r="D139" s="3" t="s">
        <v>1149</v>
      </c>
      <c r="E139" s="3" t="s">
        <v>903</v>
      </c>
      <c r="F139" s="3" t="s">
        <v>1149</v>
      </c>
      <c r="G139" s="3">
        <v>1.0</v>
      </c>
      <c r="H139" s="3" t="s">
        <v>1084</v>
      </c>
      <c r="I139" s="3" t="s">
        <v>1119</v>
      </c>
      <c r="J139" s="3" t="s">
        <v>1129</v>
      </c>
      <c r="K139" s="3" t="s">
        <v>1113</v>
      </c>
    </row>
    <row r="140" ht="15.75" customHeight="1">
      <c r="A140" s="3" t="s">
        <v>1152</v>
      </c>
      <c r="B140" s="12">
        <v>46116.0</v>
      </c>
      <c r="C140" s="3" t="s">
        <v>1147</v>
      </c>
      <c r="D140" s="3" t="s">
        <v>1153</v>
      </c>
      <c r="E140" s="3" t="s">
        <v>903</v>
      </c>
      <c r="F140" s="3" t="s">
        <v>1153</v>
      </c>
      <c r="G140" s="3">
        <v>1.0</v>
      </c>
      <c r="H140" s="3" t="s">
        <v>1084</v>
      </c>
      <c r="I140" s="3" t="s">
        <v>1119</v>
      </c>
      <c r="J140" s="3" t="s">
        <v>1129</v>
      </c>
      <c r="K140" s="3" t="s">
        <v>1113</v>
      </c>
    </row>
    <row r="141" ht="15.75" customHeight="1">
      <c r="A141" s="3" t="s">
        <v>1154</v>
      </c>
      <c r="B141" s="12">
        <v>46116.0</v>
      </c>
      <c r="C141" s="3" t="s">
        <v>1147</v>
      </c>
      <c r="D141" s="3" t="s">
        <v>1155</v>
      </c>
      <c r="E141" s="3" t="s">
        <v>903</v>
      </c>
      <c r="F141" s="3" t="s">
        <v>1155</v>
      </c>
      <c r="G141" s="3">
        <v>1.0</v>
      </c>
      <c r="H141" s="3" t="s">
        <v>1084</v>
      </c>
      <c r="I141" s="3" t="s">
        <v>1119</v>
      </c>
      <c r="J141" s="3" t="s">
        <v>1129</v>
      </c>
      <c r="K141" s="3" t="s">
        <v>1113</v>
      </c>
    </row>
    <row r="142" ht="15.75" customHeight="1">
      <c r="A142" s="3" t="s">
        <v>1156</v>
      </c>
      <c r="B142" s="12">
        <v>46116.0</v>
      </c>
      <c r="C142" s="3" t="s">
        <v>1147</v>
      </c>
      <c r="D142" s="3" t="s">
        <v>1157</v>
      </c>
      <c r="E142" s="3" t="s">
        <v>903</v>
      </c>
      <c r="F142" s="3" t="s">
        <v>1157</v>
      </c>
      <c r="G142" s="3">
        <v>1.0</v>
      </c>
      <c r="H142" s="3" t="s">
        <v>1084</v>
      </c>
      <c r="I142" s="3" t="s">
        <v>1119</v>
      </c>
      <c r="J142" s="3" t="s">
        <v>1129</v>
      </c>
      <c r="K142" s="3" t="s">
        <v>1113</v>
      </c>
    </row>
    <row r="143" ht="15.75" customHeight="1">
      <c r="A143" s="3" t="s">
        <v>1158</v>
      </c>
      <c r="B143" s="12">
        <v>46116.0</v>
      </c>
      <c r="C143" s="3" t="s">
        <v>1147</v>
      </c>
      <c r="D143" s="3" t="s">
        <v>1159</v>
      </c>
      <c r="E143" s="3" t="s">
        <v>903</v>
      </c>
      <c r="F143" s="3" t="s">
        <v>1159</v>
      </c>
      <c r="G143" s="3">
        <v>1.0</v>
      </c>
      <c r="H143" s="3" t="s">
        <v>1084</v>
      </c>
      <c r="I143" s="3" t="s">
        <v>1119</v>
      </c>
      <c r="J143" s="3" t="s">
        <v>1129</v>
      </c>
      <c r="K143" s="3" t="s">
        <v>1113</v>
      </c>
    </row>
    <row r="144" ht="15.75" customHeight="1">
      <c r="A144" s="3" t="s">
        <v>1160</v>
      </c>
      <c r="B144" s="12">
        <v>46116.0</v>
      </c>
      <c r="C144" s="3" t="s">
        <v>1161</v>
      </c>
      <c r="D144" s="3" t="s">
        <v>955</v>
      </c>
      <c r="E144" s="3" t="s">
        <v>903</v>
      </c>
      <c r="F144" s="3" t="s">
        <v>955</v>
      </c>
      <c r="G144" s="3">
        <v>1.0</v>
      </c>
      <c r="H144" s="3" t="s">
        <v>1084</v>
      </c>
      <c r="I144" s="3" t="s">
        <v>1119</v>
      </c>
      <c r="J144" s="3" t="s">
        <v>1129</v>
      </c>
      <c r="K144" s="3" t="s">
        <v>1113</v>
      </c>
    </row>
    <row r="145" ht="15.75" customHeight="1">
      <c r="A145" s="3" t="s">
        <v>1162</v>
      </c>
      <c r="B145" s="12">
        <v>46116.0</v>
      </c>
      <c r="C145" s="3" t="s">
        <v>1161</v>
      </c>
      <c r="D145" s="3" t="s">
        <v>965</v>
      </c>
      <c r="E145" s="3" t="s">
        <v>903</v>
      </c>
      <c r="F145" s="3" t="s">
        <v>965</v>
      </c>
      <c r="G145" s="3">
        <v>1.0</v>
      </c>
      <c r="H145" s="3" t="s">
        <v>1084</v>
      </c>
      <c r="I145" s="3" t="s">
        <v>1119</v>
      </c>
      <c r="J145" s="3" t="s">
        <v>1129</v>
      </c>
      <c r="K145" s="3" t="s">
        <v>1113</v>
      </c>
    </row>
    <row r="146" ht="15.75" customHeight="1">
      <c r="A146" s="3" t="s">
        <v>1163</v>
      </c>
      <c r="B146" s="12">
        <v>46116.0</v>
      </c>
      <c r="C146" s="3" t="s">
        <v>1161</v>
      </c>
      <c r="D146" s="3" t="s">
        <v>1164</v>
      </c>
      <c r="E146" s="3" t="s">
        <v>903</v>
      </c>
      <c r="F146" s="3" t="s">
        <v>1164</v>
      </c>
      <c r="G146" s="3">
        <v>1.0</v>
      </c>
      <c r="H146" s="3" t="s">
        <v>1084</v>
      </c>
      <c r="I146" s="3" t="s">
        <v>1119</v>
      </c>
      <c r="J146" s="3" t="s">
        <v>1129</v>
      </c>
      <c r="K146" s="3" t="s">
        <v>1113</v>
      </c>
    </row>
    <row r="147" ht="15.75" customHeight="1">
      <c r="A147" s="3" t="s">
        <v>1165</v>
      </c>
      <c r="B147" s="12">
        <v>46116.0</v>
      </c>
      <c r="C147" s="3" t="s">
        <v>1161</v>
      </c>
      <c r="D147" s="3" t="s">
        <v>1166</v>
      </c>
      <c r="E147" s="3" t="s">
        <v>903</v>
      </c>
      <c r="F147" s="3" t="s">
        <v>1166</v>
      </c>
      <c r="G147" s="3">
        <v>1.0</v>
      </c>
      <c r="H147" s="3" t="s">
        <v>1084</v>
      </c>
      <c r="I147" s="3" t="s">
        <v>1119</v>
      </c>
      <c r="J147" s="3" t="s">
        <v>1129</v>
      </c>
      <c r="K147" s="3" t="s">
        <v>1113</v>
      </c>
    </row>
    <row r="148" ht="15.75" customHeight="1">
      <c r="A148" s="3" t="s">
        <v>1167</v>
      </c>
      <c r="B148" s="12">
        <v>46116.0</v>
      </c>
      <c r="C148" s="3" t="s">
        <v>1161</v>
      </c>
      <c r="D148" s="3" t="s">
        <v>1168</v>
      </c>
      <c r="E148" s="3" t="s">
        <v>903</v>
      </c>
      <c r="F148" s="3" t="s">
        <v>1168</v>
      </c>
      <c r="G148" s="3">
        <v>1.0</v>
      </c>
      <c r="H148" s="3" t="s">
        <v>1084</v>
      </c>
      <c r="I148" s="3" t="s">
        <v>1119</v>
      </c>
      <c r="J148" s="3" t="s">
        <v>1129</v>
      </c>
      <c r="K148" s="3" t="s">
        <v>1113</v>
      </c>
    </row>
    <row r="149" ht="15.75" customHeight="1">
      <c r="A149" s="3" t="s">
        <v>1169</v>
      </c>
      <c r="B149" s="12">
        <v>46116.0</v>
      </c>
      <c r="C149" s="3" t="s">
        <v>1161</v>
      </c>
      <c r="D149" s="3" t="s">
        <v>1170</v>
      </c>
      <c r="E149" s="3" t="s">
        <v>903</v>
      </c>
      <c r="F149" s="3" t="s">
        <v>1170</v>
      </c>
      <c r="G149" s="3">
        <v>1.0</v>
      </c>
      <c r="H149" s="3" t="s">
        <v>1084</v>
      </c>
      <c r="I149" s="3" t="s">
        <v>1119</v>
      </c>
      <c r="J149" s="3" t="s">
        <v>1129</v>
      </c>
      <c r="K149" s="3" t="s">
        <v>1113</v>
      </c>
    </row>
    <row r="150" ht="15.75" customHeight="1">
      <c r="A150" s="3" t="s">
        <v>1171</v>
      </c>
      <c r="B150" s="12">
        <v>46116.0</v>
      </c>
      <c r="C150" s="3" t="s">
        <v>1161</v>
      </c>
      <c r="D150" s="3" t="s">
        <v>1172</v>
      </c>
      <c r="E150" s="3" t="s">
        <v>903</v>
      </c>
      <c r="F150" s="3" t="s">
        <v>1172</v>
      </c>
      <c r="G150" s="3">
        <v>1.0</v>
      </c>
      <c r="H150" s="3" t="s">
        <v>1084</v>
      </c>
      <c r="I150" s="3" t="s">
        <v>1119</v>
      </c>
      <c r="J150" s="3" t="s">
        <v>1129</v>
      </c>
      <c r="K150" s="3" t="s">
        <v>1113</v>
      </c>
    </row>
    <row r="151" ht="15.75" customHeight="1">
      <c r="A151" s="3" t="s">
        <v>1173</v>
      </c>
      <c r="B151" s="12">
        <v>46116.0</v>
      </c>
      <c r="C151" s="3" t="s">
        <v>1174</v>
      </c>
      <c r="D151" s="3" t="s">
        <v>961</v>
      </c>
      <c r="E151" s="3" t="s">
        <v>903</v>
      </c>
      <c r="F151" s="3" t="s">
        <v>961</v>
      </c>
      <c r="G151" s="3">
        <v>1.0</v>
      </c>
      <c r="H151" s="3" t="s">
        <v>1084</v>
      </c>
      <c r="I151" s="3" t="s">
        <v>1119</v>
      </c>
      <c r="J151" s="3" t="s">
        <v>1129</v>
      </c>
      <c r="K151" s="3" t="s">
        <v>1113</v>
      </c>
    </row>
    <row r="152" ht="15.75" customHeight="1">
      <c r="A152" s="3" t="s">
        <v>1175</v>
      </c>
      <c r="B152" s="12">
        <v>46116.0</v>
      </c>
      <c r="C152" s="3" t="s">
        <v>1174</v>
      </c>
      <c r="D152" s="3" t="s">
        <v>968</v>
      </c>
      <c r="E152" s="3" t="s">
        <v>903</v>
      </c>
      <c r="F152" s="3" t="s">
        <v>968</v>
      </c>
      <c r="G152" s="3">
        <v>1.0</v>
      </c>
      <c r="H152" s="3" t="s">
        <v>1084</v>
      </c>
      <c r="I152" s="3" t="s">
        <v>1119</v>
      </c>
      <c r="J152" s="3" t="s">
        <v>1129</v>
      </c>
      <c r="K152" s="3" t="s">
        <v>1113</v>
      </c>
    </row>
    <row r="153" ht="15.75" customHeight="1">
      <c r="A153" s="3" t="s">
        <v>1176</v>
      </c>
      <c r="B153" s="12">
        <v>46116.0</v>
      </c>
      <c r="C153" s="3" t="s">
        <v>1174</v>
      </c>
      <c r="D153" s="3" t="s">
        <v>1164</v>
      </c>
      <c r="E153" s="3" t="s">
        <v>903</v>
      </c>
      <c r="F153" s="3" t="s">
        <v>1164</v>
      </c>
      <c r="G153" s="3">
        <v>1.0</v>
      </c>
      <c r="H153" s="3" t="s">
        <v>1084</v>
      </c>
      <c r="I153" s="3" t="s">
        <v>1119</v>
      </c>
      <c r="J153" s="3" t="s">
        <v>1129</v>
      </c>
      <c r="K153" s="3" t="s">
        <v>1113</v>
      </c>
    </row>
    <row r="154" ht="15.75" customHeight="1">
      <c r="A154" s="3" t="s">
        <v>1177</v>
      </c>
      <c r="B154" s="12">
        <v>46116.0</v>
      </c>
      <c r="C154" s="3" t="s">
        <v>1174</v>
      </c>
      <c r="D154" s="3" t="s">
        <v>1166</v>
      </c>
      <c r="E154" s="3" t="s">
        <v>903</v>
      </c>
      <c r="F154" s="3" t="s">
        <v>1166</v>
      </c>
      <c r="G154" s="3">
        <v>1.0</v>
      </c>
      <c r="H154" s="3" t="s">
        <v>1084</v>
      </c>
      <c r="I154" s="3" t="s">
        <v>1119</v>
      </c>
      <c r="J154" s="3" t="s">
        <v>1129</v>
      </c>
      <c r="K154" s="3" t="s">
        <v>1113</v>
      </c>
    </row>
    <row r="155" ht="15.75" customHeight="1">
      <c r="A155" s="3" t="s">
        <v>1178</v>
      </c>
      <c r="B155" s="12">
        <v>46116.0</v>
      </c>
      <c r="C155" s="3" t="s">
        <v>1174</v>
      </c>
      <c r="D155" s="3" t="s">
        <v>1168</v>
      </c>
      <c r="E155" s="3" t="s">
        <v>903</v>
      </c>
      <c r="F155" s="3" t="s">
        <v>1168</v>
      </c>
      <c r="G155" s="3">
        <v>1.0</v>
      </c>
      <c r="H155" s="3" t="s">
        <v>1084</v>
      </c>
      <c r="I155" s="3" t="s">
        <v>1119</v>
      </c>
      <c r="J155" s="3" t="s">
        <v>1129</v>
      </c>
      <c r="K155" s="3" t="s">
        <v>1113</v>
      </c>
    </row>
    <row r="156" ht="15.75" customHeight="1">
      <c r="A156" s="3" t="s">
        <v>1179</v>
      </c>
      <c r="B156" s="12">
        <v>46116.0</v>
      </c>
      <c r="C156" s="3" t="s">
        <v>1174</v>
      </c>
      <c r="D156" s="3" t="s">
        <v>1170</v>
      </c>
      <c r="E156" s="3" t="s">
        <v>903</v>
      </c>
      <c r="F156" s="3" t="s">
        <v>1170</v>
      </c>
      <c r="G156" s="3">
        <v>1.0</v>
      </c>
      <c r="H156" s="3" t="s">
        <v>1084</v>
      </c>
      <c r="I156" s="3" t="s">
        <v>1119</v>
      </c>
      <c r="J156" s="3" t="s">
        <v>1129</v>
      </c>
      <c r="K156" s="3" t="s">
        <v>1113</v>
      </c>
    </row>
    <row r="157" ht="15.75" customHeight="1">
      <c r="A157" s="3" t="s">
        <v>1180</v>
      </c>
      <c r="B157" s="12">
        <v>46116.0</v>
      </c>
      <c r="C157" s="3" t="s">
        <v>1174</v>
      </c>
      <c r="D157" s="3" t="s">
        <v>1159</v>
      </c>
      <c r="E157" s="3" t="s">
        <v>903</v>
      </c>
      <c r="F157" s="3" t="s">
        <v>1159</v>
      </c>
      <c r="G157" s="3">
        <v>1.0</v>
      </c>
      <c r="H157" s="3" t="s">
        <v>1084</v>
      </c>
      <c r="I157" s="3" t="s">
        <v>1119</v>
      </c>
      <c r="J157" s="3" t="s">
        <v>1181</v>
      </c>
      <c r="K157" s="3" t="s">
        <v>1113</v>
      </c>
    </row>
    <row r="158" ht="15.75" customHeight="1">
      <c r="A158" s="3" t="s">
        <v>1182</v>
      </c>
      <c r="B158" s="12">
        <v>46116.0</v>
      </c>
      <c r="C158" s="3" t="s">
        <v>1183</v>
      </c>
      <c r="D158" s="3" t="s">
        <v>955</v>
      </c>
      <c r="E158" s="3" t="s">
        <v>903</v>
      </c>
      <c r="F158" s="3" t="s">
        <v>955</v>
      </c>
      <c r="G158" s="3">
        <v>1.0</v>
      </c>
      <c r="H158" s="3" t="s">
        <v>1084</v>
      </c>
      <c r="I158" s="3" t="s">
        <v>1119</v>
      </c>
      <c r="J158" s="3" t="s">
        <v>1129</v>
      </c>
      <c r="K158" s="3" t="s">
        <v>1113</v>
      </c>
    </row>
    <row r="159" ht="15.75" customHeight="1">
      <c r="A159" s="3" t="s">
        <v>1184</v>
      </c>
      <c r="B159" s="12">
        <v>46116.0</v>
      </c>
      <c r="C159" s="3" t="s">
        <v>1183</v>
      </c>
      <c r="D159" s="3" t="s">
        <v>968</v>
      </c>
      <c r="E159" s="3" t="s">
        <v>903</v>
      </c>
      <c r="F159" s="3" t="s">
        <v>968</v>
      </c>
      <c r="G159" s="3">
        <v>1.0</v>
      </c>
      <c r="H159" s="3" t="s">
        <v>1084</v>
      </c>
      <c r="I159" s="3" t="s">
        <v>1119</v>
      </c>
      <c r="J159" s="3" t="s">
        <v>1129</v>
      </c>
      <c r="K159" s="3" t="s">
        <v>1113</v>
      </c>
    </row>
    <row r="160" ht="15.75" customHeight="1">
      <c r="A160" s="3" t="s">
        <v>1185</v>
      </c>
      <c r="B160" s="12">
        <v>46116.0</v>
      </c>
      <c r="C160" s="3" t="s">
        <v>1183</v>
      </c>
      <c r="D160" s="3" t="s">
        <v>1164</v>
      </c>
      <c r="E160" s="3" t="s">
        <v>903</v>
      </c>
      <c r="F160" s="3" t="s">
        <v>1164</v>
      </c>
      <c r="G160" s="3">
        <v>1.0</v>
      </c>
      <c r="H160" s="3" t="s">
        <v>1084</v>
      </c>
      <c r="I160" s="3" t="s">
        <v>1119</v>
      </c>
      <c r="J160" s="3" t="s">
        <v>1129</v>
      </c>
      <c r="K160" s="3" t="s">
        <v>1113</v>
      </c>
    </row>
    <row r="161" ht="15.75" customHeight="1">
      <c r="A161" s="3" t="s">
        <v>1186</v>
      </c>
      <c r="B161" s="12">
        <v>46116.0</v>
      </c>
      <c r="C161" s="3" t="s">
        <v>1183</v>
      </c>
      <c r="D161" s="3" t="s">
        <v>1166</v>
      </c>
      <c r="E161" s="3" t="s">
        <v>903</v>
      </c>
      <c r="F161" s="3" t="s">
        <v>1166</v>
      </c>
      <c r="G161" s="3">
        <v>1.0</v>
      </c>
      <c r="H161" s="3" t="s">
        <v>1084</v>
      </c>
      <c r="I161" s="3" t="s">
        <v>1119</v>
      </c>
      <c r="J161" s="3" t="s">
        <v>1129</v>
      </c>
      <c r="K161" s="3" t="s">
        <v>1113</v>
      </c>
    </row>
    <row r="162" ht="15.75" customHeight="1">
      <c r="A162" s="3" t="s">
        <v>1187</v>
      </c>
      <c r="B162" s="12">
        <v>46116.0</v>
      </c>
      <c r="C162" s="3" t="s">
        <v>1183</v>
      </c>
      <c r="D162" s="3" t="s">
        <v>1168</v>
      </c>
      <c r="E162" s="3" t="s">
        <v>903</v>
      </c>
      <c r="F162" s="3" t="s">
        <v>1168</v>
      </c>
      <c r="G162" s="3">
        <v>1.0</v>
      </c>
      <c r="H162" s="3" t="s">
        <v>1084</v>
      </c>
      <c r="I162" s="3" t="s">
        <v>1119</v>
      </c>
      <c r="J162" s="3" t="s">
        <v>1129</v>
      </c>
      <c r="K162" s="3" t="s">
        <v>1113</v>
      </c>
    </row>
    <row r="163" ht="15.75" customHeight="1">
      <c r="A163" s="3" t="s">
        <v>1188</v>
      </c>
      <c r="B163" s="12">
        <v>46116.0</v>
      </c>
      <c r="C163" s="3" t="s">
        <v>1183</v>
      </c>
      <c r="D163" s="3" t="s">
        <v>1170</v>
      </c>
      <c r="E163" s="3" t="s">
        <v>903</v>
      </c>
      <c r="F163" s="3" t="s">
        <v>1170</v>
      </c>
      <c r="G163" s="3">
        <v>1.0</v>
      </c>
      <c r="H163" s="3" t="s">
        <v>1084</v>
      </c>
      <c r="I163" s="3" t="s">
        <v>1119</v>
      </c>
      <c r="J163" s="3" t="s">
        <v>1129</v>
      </c>
      <c r="K163" s="3" t="s">
        <v>1113</v>
      </c>
    </row>
    <row r="164" ht="15.75" customHeight="1">
      <c r="A164" s="3" t="s">
        <v>1189</v>
      </c>
      <c r="B164" s="12">
        <v>46116.0</v>
      </c>
      <c r="C164" s="3" t="s">
        <v>1183</v>
      </c>
      <c r="D164" s="3" t="s">
        <v>1190</v>
      </c>
      <c r="E164" s="3" t="s">
        <v>903</v>
      </c>
      <c r="F164" s="3" t="s">
        <v>1190</v>
      </c>
      <c r="G164" s="3">
        <v>1.0</v>
      </c>
      <c r="H164" s="3" t="s">
        <v>1084</v>
      </c>
      <c r="I164" s="3" t="s">
        <v>1119</v>
      </c>
      <c r="J164" s="3" t="s">
        <v>1129</v>
      </c>
      <c r="K164" s="3" t="s">
        <v>1113</v>
      </c>
    </row>
    <row r="165" ht="15.75" customHeight="1">
      <c r="A165" s="3" t="s">
        <v>1191</v>
      </c>
      <c r="B165" s="12">
        <v>46116.0</v>
      </c>
      <c r="C165" s="3" t="s">
        <v>1192</v>
      </c>
      <c r="D165" s="3" t="s">
        <v>968</v>
      </c>
      <c r="E165" s="3" t="s">
        <v>903</v>
      </c>
      <c r="F165" s="3" t="s">
        <v>968</v>
      </c>
      <c r="G165" s="3">
        <v>1.0</v>
      </c>
      <c r="H165" s="3" t="s">
        <v>1084</v>
      </c>
      <c r="I165" s="3" t="s">
        <v>1119</v>
      </c>
      <c r="J165" s="3" t="s">
        <v>1129</v>
      </c>
      <c r="K165" s="3" t="s">
        <v>1113</v>
      </c>
    </row>
    <row r="166" ht="15.75" customHeight="1">
      <c r="A166" s="3" t="s">
        <v>1193</v>
      </c>
      <c r="B166" s="12">
        <v>46116.0</v>
      </c>
      <c r="C166" s="3" t="s">
        <v>1192</v>
      </c>
      <c r="D166" s="3" t="s">
        <v>1164</v>
      </c>
      <c r="E166" s="3" t="s">
        <v>903</v>
      </c>
      <c r="F166" s="3" t="s">
        <v>1164</v>
      </c>
      <c r="G166" s="3">
        <v>1.0</v>
      </c>
      <c r="H166" s="3" t="s">
        <v>1084</v>
      </c>
      <c r="I166" s="3" t="s">
        <v>1119</v>
      </c>
      <c r="J166" s="3" t="s">
        <v>1129</v>
      </c>
      <c r="K166" s="3" t="s">
        <v>1113</v>
      </c>
    </row>
    <row r="167" ht="15.75" customHeight="1">
      <c r="A167" s="3" t="s">
        <v>1194</v>
      </c>
      <c r="B167" s="12">
        <v>46116.0</v>
      </c>
      <c r="C167" s="3" t="s">
        <v>1192</v>
      </c>
      <c r="D167" s="3" t="s">
        <v>1166</v>
      </c>
      <c r="E167" s="3" t="s">
        <v>903</v>
      </c>
      <c r="F167" s="3" t="s">
        <v>1166</v>
      </c>
      <c r="G167" s="3">
        <v>1.0</v>
      </c>
      <c r="H167" s="3" t="s">
        <v>1084</v>
      </c>
      <c r="I167" s="3" t="s">
        <v>1119</v>
      </c>
      <c r="J167" s="3" t="s">
        <v>1129</v>
      </c>
      <c r="K167" s="3" t="s">
        <v>1113</v>
      </c>
    </row>
    <row r="168" ht="15.75" customHeight="1">
      <c r="A168" s="3" t="s">
        <v>1195</v>
      </c>
      <c r="B168" s="12">
        <v>46116.0</v>
      </c>
      <c r="C168" s="3" t="s">
        <v>1192</v>
      </c>
      <c r="D168" s="3" t="s">
        <v>1168</v>
      </c>
      <c r="E168" s="3" t="s">
        <v>903</v>
      </c>
      <c r="F168" s="3" t="s">
        <v>1168</v>
      </c>
      <c r="G168" s="3">
        <v>1.0</v>
      </c>
      <c r="H168" s="3" t="s">
        <v>1084</v>
      </c>
      <c r="I168" s="3" t="s">
        <v>1119</v>
      </c>
      <c r="J168" s="3" t="s">
        <v>1129</v>
      </c>
      <c r="K168" s="3" t="s">
        <v>1113</v>
      </c>
    </row>
    <row r="169" ht="15.75" customHeight="1">
      <c r="A169" s="3" t="s">
        <v>1196</v>
      </c>
      <c r="B169" s="12">
        <v>46116.0</v>
      </c>
      <c r="C169" s="3" t="s">
        <v>1192</v>
      </c>
      <c r="D169" s="3" t="s">
        <v>1168</v>
      </c>
      <c r="E169" s="3" t="s">
        <v>903</v>
      </c>
      <c r="F169" s="3" t="s">
        <v>1168</v>
      </c>
      <c r="G169" s="3">
        <v>1.0</v>
      </c>
      <c r="H169" s="3" t="s">
        <v>1084</v>
      </c>
      <c r="I169" s="3" t="s">
        <v>1119</v>
      </c>
      <c r="J169" s="3" t="s">
        <v>1129</v>
      </c>
      <c r="K169" s="3" t="s">
        <v>1113</v>
      </c>
    </row>
    <row r="170" ht="15.75" customHeight="1">
      <c r="A170" s="3" t="s">
        <v>1197</v>
      </c>
      <c r="B170" s="12">
        <v>46116.0</v>
      </c>
      <c r="C170" s="3" t="s">
        <v>1192</v>
      </c>
      <c r="D170" s="3" t="s">
        <v>1170</v>
      </c>
      <c r="E170" s="3" t="s">
        <v>903</v>
      </c>
      <c r="F170" s="3" t="s">
        <v>1170</v>
      </c>
      <c r="G170" s="3">
        <v>1.0</v>
      </c>
      <c r="H170" s="3" t="s">
        <v>1084</v>
      </c>
      <c r="I170" s="3" t="s">
        <v>1119</v>
      </c>
      <c r="J170" s="3" t="s">
        <v>1129</v>
      </c>
      <c r="K170" s="3" t="s">
        <v>1113</v>
      </c>
    </row>
    <row r="171" ht="15.75" customHeight="1">
      <c r="A171" s="3" t="s">
        <v>1198</v>
      </c>
      <c r="B171" s="12">
        <v>46116.0</v>
      </c>
      <c r="C171" s="3" t="s">
        <v>1192</v>
      </c>
      <c r="D171" s="3" t="s">
        <v>1159</v>
      </c>
      <c r="E171" s="3" t="s">
        <v>903</v>
      </c>
      <c r="F171" s="3" t="s">
        <v>1159</v>
      </c>
      <c r="G171" s="3">
        <v>1.0</v>
      </c>
      <c r="H171" s="3" t="s">
        <v>1084</v>
      </c>
      <c r="I171" s="3" t="s">
        <v>1119</v>
      </c>
      <c r="J171" s="3" t="s">
        <v>1129</v>
      </c>
      <c r="K171" s="3" t="s">
        <v>1113</v>
      </c>
    </row>
    <row r="172" ht="15.75" customHeight="1">
      <c r="A172" s="3" t="s">
        <v>1199</v>
      </c>
      <c r="B172" s="12">
        <v>46116.0</v>
      </c>
      <c r="C172" s="3" t="s">
        <v>1200</v>
      </c>
      <c r="D172" s="3" t="s">
        <v>963</v>
      </c>
      <c r="E172" s="3" t="s">
        <v>903</v>
      </c>
      <c r="F172" s="3" t="s">
        <v>963</v>
      </c>
      <c r="G172" s="3">
        <v>1.0</v>
      </c>
      <c r="H172" s="3" t="s">
        <v>1084</v>
      </c>
      <c r="I172" s="3" t="s">
        <v>1119</v>
      </c>
      <c r="J172" s="3" t="s">
        <v>1129</v>
      </c>
      <c r="K172" s="3" t="s">
        <v>1113</v>
      </c>
    </row>
    <row r="173" ht="15.75" customHeight="1">
      <c r="A173" s="3" t="s">
        <v>1201</v>
      </c>
      <c r="B173" s="12">
        <v>46116.0</v>
      </c>
      <c r="C173" s="3" t="s">
        <v>1200</v>
      </c>
      <c r="D173" s="3" t="s">
        <v>963</v>
      </c>
      <c r="E173" s="3" t="s">
        <v>903</v>
      </c>
      <c r="F173" s="3" t="s">
        <v>963</v>
      </c>
      <c r="G173" s="3">
        <v>1.0</v>
      </c>
      <c r="H173" s="3" t="s">
        <v>1084</v>
      </c>
      <c r="I173" s="3" t="s">
        <v>1119</v>
      </c>
      <c r="J173" s="3" t="s">
        <v>1129</v>
      </c>
      <c r="K173" s="3" t="s">
        <v>1113</v>
      </c>
    </row>
    <row r="174" ht="15.75" customHeight="1">
      <c r="A174" s="3" t="s">
        <v>1202</v>
      </c>
      <c r="B174" s="12">
        <v>46116.0</v>
      </c>
      <c r="C174" s="3" t="s">
        <v>1200</v>
      </c>
      <c r="D174" s="3" t="s">
        <v>968</v>
      </c>
      <c r="F174" s="3" t="s">
        <v>968</v>
      </c>
      <c r="G174" s="3">
        <v>1.0</v>
      </c>
      <c r="H174" s="3" t="s">
        <v>1084</v>
      </c>
      <c r="I174" s="3" t="s">
        <v>1119</v>
      </c>
      <c r="J174" s="3" t="s">
        <v>1129</v>
      </c>
      <c r="K174" s="3" t="s">
        <v>1113</v>
      </c>
    </row>
    <row r="175" ht="15.75" customHeight="1">
      <c r="A175" s="3" t="s">
        <v>1203</v>
      </c>
      <c r="B175" s="12">
        <v>46116.0</v>
      </c>
      <c r="C175" s="3" t="s">
        <v>1200</v>
      </c>
      <c r="D175" s="3" t="s">
        <v>1149</v>
      </c>
      <c r="E175" s="3" t="s">
        <v>903</v>
      </c>
      <c r="F175" s="3" t="s">
        <v>1149</v>
      </c>
      <c r="G175" s="3">
        <v>1.0</v>
      </c>
      <c r="H175" s="3" t="s">
        <v>1084</v>
      </c>
      <c r="I175" s="3" t="s">
        <v>1119</v>
      </c>
      <c r="J175" s="3" t="s">
        <v>1129</v>
      </c>
      <c r="K175" s="3" t="s">
        <v>1113</v>
      </c>
    </row>
    <row r="176" ht="15.75" customHeight="1">
      <c r="A176" s="3" t="s">
        <v>1204</v>
      </c>
      <c r="B176" s="12">
        <v>46116.0</v>
      </c>
      <c r="C176" s="3" t="s">
        <v>1200</v>
      </c>
      <c r="D176" s="3" t="s">
        <v>1153</v>
      </c>
      <c r="E176" s="3" t="s">
        <v>903</v>
      </c>
      <c r="F176" s="3" t="s">
        <v>1153</v>
      </c>
      <c r="G176" s="3">
        <v>1.0</v>
      </c>
      <c r="H176" s="3" t="s">
        <v>1084</v>
      </c>
      <c r="I176" s="3" t="s">
        <v>1119</v>
      </c>
      <c r="J176" s="3" t="s">
        <v>1129</v>
      </c>
      <c r="K176" s="3" t="s">
        <v>1113</v>
      </c>
    </row>
    <row r="177" ht="15.75" customHeight="1">
      <c r="A177" s="3" t="s">
        <v>1205</v>
      </c>
      <c r="B177" s="12">
        <v>46116.0</v>
      </c>
      <c r="C177" s="3" t="s">
        <v>1200</v>
      </c>
      <c r="D177" s="3" t="s">
        <v>1155</v>
      </c>
      <c r="E177" s="3" t="s">
        <v>903</v>
      </c>
      <c r="F177" s="3" t="s">
        <v>1155</v>
      </c>
      <c r="G177" s="3">
        <v>1.0</v>
      </c>
      <c r="H177" s="3" t="s">
        <v>1084</v>
      </c>
      <c r="I177" s="3" t="s">
        <v>1119</v>
      </c>
      <c r="J177" s="3" t="s">
        <v>1129</v>
      </c>
      <c r="K177" s="3" t="s">
        <v>1113</v>
      </c>
    </row>
    <row r="178" ht="15.75" customHeight="1">
      <c r="A178" s="3" t="s">
        <v>1206</v>
      </c>
      <c r="B178" s="12">
        <v>46116.0</v>
      </c>
      <c r="C178" s="3" t="s">
        <v>1200</v>
      </c>
      <c r="D178" s="3" t="s">
        <v>1157</v>
      </c>
      <c r="E178" s="3" t="s">
        <v>903</v>
      </c>
      <c r="F178" s="3" t="s">
        <v>1157</v>
      </c>
      <c r="G178" s="3">
        <v>1.0</v>
      </c>
      <c r="H178" s="3" t="s">
        <v>1084</v>
      </c>
      <c r="I178" s="3" t="s">
        <v>1119</v>
      </c>
      <c r="J178" s="3" t="s">
        <v>1129</v>
      </c>
      <c r="K178" s="3" t="s">
        <v>1113</v>
      </c>
    </row>
    <row r="179" ht="15.75" customHeight="1">
      <c r="A179" s="3" t="s">
        <v>1207</v>
      </c>
      <c r="B179" s="12">
        <v>46116.0</v>
      </c>
      <c r="C179" s="3" t="s">
        <v>1200</v>
      </c>
      <c r="D179" s="3" t="s">
        <v>1208</v>
      </c>
      <c r="E179" s="3" t="s">
        <v>903</v>
      </c>
      <c r="F179" s="3" t="s">
        <v>1208</v>
      </c>
      <c r="G179" s="3">
        <v>1.0</v>
      </c>
      <c r="H179" s="3" t="s">
        <v>1084</v>
      </c>
      <c r="I179" s="3" t="s">
        <v>1119</v>
      </c>
      <c r="J179" s="3" t="s">
        <v>1129</v>
      </c>
      <c r="K179" s="3" t="s">
        <v>1113</v>
      </c>
    </row>
    <row r="180" ht="15.75" customHeight="1">
      <c r="A180" s="3" t="s">
        <v>1209</v>
      </c>
      <c r="B180" s="12">
        <v>46116.0</v>
      </c>
      <c r="C180" s="3" t="s">
        <v>1210</v>
      </c>
      <c r="D180" s="3" t="s">
        <v>968</v>
      </c>
      <c r="E180" s="3" t="s">
        <v>903</v>
      </c>
      <c r="F180" s="3" t="s">
        <v>968</v>
      </c>
      <c r="G180" s="3">
        <v>1.0</v>
      </c>
      <c r="H180" s="3" t="s">
        <v>1084</v>
      </c>
      <c r="I180" s="3" t="s">
        <v>1119</v>
      </c>
      <c r="J180" s="3" t="s">
        <v>1129</v>
      </c>
      <c r="K180" s="3" t="s">
        <v>1113</v>
      </c>
    </row>
    <row r="181" ht="15.75" customHeight="1">
      <c r="A181" s="3" t="s">
        <v>1211</v>
      </c>
      <c r="B181" s="12">
        <v>46116.0</v>
      </c>
      <c r="C181" s="3" t="s">
        <v>1210</v>
      </c>
      <c r="D181" s="3" t="s">
        <v>1164</v>
      </c>
      <c r="E181" s="3" t="s">
        <v>903</v>
      </c>
      <c r="F181" s="3" t="s">
        <v>1164</v>
      </c>
      <c r="G181" s="3">
        <v>1.0</v>
      </c>
      <c r="H181" s="3" t="s">
        <v>1084</v>
      </c>
      <c r="I181" s="3" t="s">
        <v>1119</v>
      </c>
      <c r="J181" s="3" t="s">
        <v>1129</v>
      </c>
      <c r="K181" s="3" t="s">
        <v>1113</v>
      </c>
    </row>
    <row r="182" ht="15.75" customHeight="1">
      <c r="A182" s="3" t="s">
        <v>1212</v>
      </c>
      <c r="B182" s="12">
        <v>46116.0</v>
      </c>
      <c r="C182" s="3" t="s">
        <v>1210</v>
      </c>
      <c r="D182" s="3" t="s">
        <v>1166</v>
      </c>
      <c r="E182" s="3" t="s">
        <v>903</v>
      </c>
      <c r="F182" s="3" t="s">
        <v>1166</v>
      </c>
      <c r="G182" s="3">
        <v>1.0</v>
      </c>
      <c r="H182" s="3" t="s">
        <v>1084</v>
      </c>
      <c r="I182" s="3" t="s">
        <v>1119</v>
      </c>
      <c r="J182" s="3" t="s">
        <v>1129</v>
      </c>
      <c r="K182" s="3" t="s">
        <v>1113</v>
      </c>
    </row>
    <row r="183" ht="15.75" customHeight="1">
      <c r="A183" s="3" t="s">
        <v>1213</v>
      </c>
      <c r="B183" s="12">
        <v>46116.0</v>
      </c>
      <c r="C183" s="3" t="s">
        <v>1210</v>
      </c>
      <c r="D183" s="3" t="s">
        <v>1168</v>
      </c>
      <c r="E183" s="3" t="s">
        <v>903</v>
      </c>
      <c r="F183" s="3" t="s">
        <v>1168</v>
      </c>
      <c r="G183" s="3">
        <v>1.0</v>
      </c>
      <c r="H183" s="3" t="s">
        <v>1084</v>
      </c>
      <c r="I183" s="3" t="s">
        <v>1119</v>
      </c>
      <c r="J183" s="3" t="s">
        <v>1129</v>
      </c>
      <c r="K183" s="3" t="s">
        <v>1113</v>
      </c>
    </row>
    <row r="184" ht="15.75" customHeight="1">
      <c r="A184" s="3" t="s">
        <v>1214</v>
      </c>
      <c r="B184" s="12">
        <v>46116.0</v>
      </c>
      <c r="C184" s="3" t="s">
        <v>1210</v>
      </c>
      <c r="D184" s="3" t="s">
        <v>1170</v>
      </c>
      <c r="E184" s="3" t="s">
        <v>903</v>
      </c>
      <c r="F184" s="3" t="s">
        <v>1170</v>
      </c>
      <c r="G184" s="3">
        <v>1.0</v>
      </c>
      <c r="H184" s="3" t="s">
        <v>1084</v>
      </c>
      <c r="I184" s="3" t="s">
        <v>1119</v>
      </c>
      <c r="J184" s="3" t="s">
        <v>1129</v>
      </c>
      <c r="K184" s="3" t="s">
        <v>1113</v>
      </c>
    </row>
    <row r="185" ht="15.75" customHeight="1">
      <c r="A185" s="3" t="s">
        <v>1215</v>
      </c>
      <c r="B185" s="12">
        <v>46116.0</v>
      </c>
      <c r="C185" s="3" t="s">
        <v>1210</v>
      </c>
      <c r="D185" s="3" t="s">
        <v>1216</v>
      </c>
      <c r="E185" s="3" t="s">
        <v>903</v>
      </c>
      <c r="F185" s="3" t="s">
        <v>1216</v>
      </c>
      <c r="G185" s="3">
        <v>1.0</v>
      </c>
      <c r="H185" s="3" t="s">
        <v>1084</v>
      </c>
      <c r="I185" s="3" t="s">
        <v>1119</v>
      </c>
      <c r="J185" s="3" t="s">
        <v>1129</v>
      </c>
      <c r="K185" s="3" t="s">
        <v>1113</v>
      </c>
    </row>
    <row r="186" ht="15.75" customHeight="1">
      <c r="A186" s="3" t="s">
        <v>1217</v>
      </c>
      <c r="B186" s="12">
        <v>46116.0</v>
      </c>
      <c r="C186" s="3" t="s">
        <v>1210</v>
      </c>
      <c r="D186" s="3" t="s">
        <v>1218</v>
      </c>
      <c r="E186" s="3" t="s">
        <v>903</v>
      </c>
      <c r="F186" s="3" t="s">
        <v>1218</v>
      </c>
      <c r="G186" s="3">
        <v>1.0</v>
      </c>
      <c r="H186" s="3" t="s">
        <v>1084</v>
      </c>
      <c r="I186" s="3" t="s">
        <v>1119</v>
      </c>
      <c r="J186" s="3" t="s">
        <v>1129</v>
      </c>
      <c r="K186" s="3" t="s">
        <v>1113</v>
      </c>
    </row>
    <row r="187" ht="15.75" customHeight="1">
      <c r="A187" s="3" t="s">
        <v>1219</v>
      </c>
      <c r="B187" s="12">
        <v>46116.0</v>
      </c>
      <c r="C187" s="3" t="s">
        <v>1220</v>
      </c>
      <c r="D187" s="3" t="s">
        <v>968</v>
      </c>
      <c r="E187" s="3" t="s">
        <v>903</v>
      </c>
      <c r="F187" s="3" t="s">
        <v>968</v>
      </c>
      <c r="G187" s="3">
        <v>1.0</v>
      </c>
      <c r="H187" s="3" t="s">
        <v>1084</v>
      </c>
      <c r="I187" s="3" t="s">
        <v>1119</v>
      </c>
      <c r="J187" s="3" t="s">
        <v>1129</v>
      </c>
      <c r="K187" s="3" t="s">
        <v>1113</v>
      </c>
    </row>
    <row r="188" ht="15.75" customHeight="1">
      <c r="A188" s="3" t="s">
        <v>1221</v>
      </c>
      <c r="B188" s="12">
        <v>46116.0</v>
      </c>
      <c r="C188" s="3" t="s">
        <v>1220</v>
      </c>
      <c r="D188" s="3" t="s">
        <v>1222</v>
      </c>
      <c r="E188" s="3" t="s">
        <v>903</v>
      </c>
      <c r="F188" s="3" t="s">
        <v>1222</v>
      </c>
      <c r="G188" s="3">
        <v>1.0</v>
      </c>
      <c r="H188" s="3" t="s">
        <v>1084</v>
      </c>
      <c r="I188" s="3" t="s">
        <v>1119</v>
      </c>
      <c r="J188" s="3" t="s">
        <v>1129</v>
      </c>
      <c r="K188" s="3" t="s">
        <v>1113</v>
      </c>
    </row>
    <row r="189" ht="15.75" customHeight="1">
      <c r="A189" s="3" t="s">
        <v>1223</v>
      </c>
      <c r="B189" s="12">
        <v>46116.0</v>
      </c>
      <c r="C189" s="3" t="s">
        <v>1220</v>
      </c>
      <c r="D189" s="3" t="s">
        <v>1224</v>
      </c>
      <c r="E189" s="3" t="s">
        <v>903</v>
      </c>
      <c r="F189" s="3" t="s">
        <v>1224</v>
      </c>
      <c r="G189" s="3">
        <v>1.0</v>
      </c>
      <c r="H189" s="3" t="s">
        <v>1084</v>
      </c>
      <c r="I189" s="3" t="s">
        <v>1119</v>
      </c>
      <c r="J189" s="3" t="s">
        <v>1129</v>
      </c>
      <c r="K189" s="3" t="s">
        <v>1113</v>
      </c>
    </row>
    <row r="190" ht="15.75" customHeight="1">
      <c r="A190" s="13" t="s">
        <v>1225</v>
      </c>
      <c r="B190" s="12">
        <v>46116.0</v>
      </c>
      <c r="C190" s="3" t="s">
        <v>1220</v>
      </c>
      <c r="D190" s="3" t="s">
        <v>1226</v>
      </c>
      <c r="E190" s="3" t="s">
        <v>903</v>
      </c>
      <c r="F190" s="3" t="s">
        <v>1226</v>
      </c>
      <c r="G190" s="3">
        <v>1.0</v>
      </c>
      <c r="H190" s="3" t="s">
        <v>1084</v>
      </c>
      <c r="I190" s="3" t="s">
        <v>1119</v>
      </c>
      <c r="J190" s="3" t="s">
        <v>1129</v>
      </c>
      <c r="K190" s="3" t="s">
        <v>1113</v>
      </c>
    </row>
    <row r="191" ht="15.75" customHeight="1">
      <c r="A191" s="3" t="s">
        <v>1227</v>
      </c>
      <c r="B191" s="12">
        <v>46116.0</v>
      </c>
      <c r="C191" s="3" t="s">
        <v>1220</v>
      </c>
      <c r="D191" s="3" t="s">
        <v>1228</v>
      </c>
      <c r="E191" s="3" t="s">
        <v>903</v>
      </c>
      <c r="F191" s="3" t="s">
        <v>1228</v>
      </c>
      <c r="G191" s="3">
        <v>1.0</v>
      </c>
      <c r="H191" s="3" t="s">
        <v>1084</v>
      </c>
      <c r="I191" s="3" t="s">
        <v>1119</v>
      </c>
      <c r="J191" s="3" t="s">
        <v>1129</v>
      </c>
      <c r="K191" s="3" t="s">
        <v>1113</v>
      </c>
    </row>
    <row r="192" ht="15.75" customHeight="1">
      <c r="A192" s="3" t="s">
        <v>1229</v>
      </c>
      <c r="B192" s="12">
        <v>46116.0</v>
      </c>
      <c r="C192" s="3" t="s">
        <v>1220</v>
      </c>
      <c r="D192" s="3" t="s">
        <v>1218</v>
      </c>
      <c r="E192" s="3" t="s">
        <v>903</v>
      </c>
      <c r="F192" s="3" t="s">
        <v>1218</v>
      </c>
      <c r="G192" s="3">
        <v>1.0</v>
      </c>
      <c r="H192" s="3" t="s">
        <v>1084</v>
      </c>
      <c r="I192" s="3" t="s">
        <v>1119</v>
      </c>
      <c r="J192" s="3" t="s">
        <v>1129</v>
      </c>
      <c r="K192" s="3" t="s">
        <v>1113</v>
      </c>
    </row>
    <row r="193" ht="15.75" customHeight="1">
      <c r="A193" s="3" t="s">
        <v>1230</v>
      </c>
      <c r="B193" s="12">
        <v>46116.0</v>
      </c>
      <c r="C193" s="3" t="s">
        <v>1231</v>
      </c>
      <c r="D193" s="3" t="s">
        <v>968</v>
      </c>
      <c r="E193" s="3" t="s">
        <v>903</v>
      </c>
      <c r="F193" s="3" t="s">
        <v>968</v>
      </c>
      <c r="G193" s="3">
        <v>1.0</v>
      </c>
      <c r="H193" s="3" t="s">
        <v>1084</v>
      </c>
      <c r="I193" s="3" t="s">
        <v>1119</v>
      </c>
      <c r="J193" s="3" t="s">
        <v>1129</v>
      </c>
      <c r="K193" s="3" t="s">
        <v>1113</v>
      </c>
    </row>
    <row r="194" ht="15.75" customHeight="1">
      <c r="A194" s="3" t="s">
        <v>1232</v>
      </c>
      <c r="B194" s="12">
        <v>46116.0</v>
      </c>
      <c r="C194" s="3" t="s">
        <v>1231</v>
      </c>
      <c r="D194" s="3" t="s">
        <v>1222</v>
      </c>
      <c r="E194" s="3" t="s">
        <v>903</v>
      </c>
      <c r="F194" s="3" t="s">
        <v>1222</v>
      </c>
      <c r="G194" s="3">
        <v>1.0</v>
      </c>
      <c r="H194" s="3" t="s">
        <v>1084</v>
      </c>
      <c r="I194" s="3" t="s">
        <v>1119</v>
      </c>
      <c r="J194" s="3" t="s">
        <v>1129</v>
      </c>
      <c r="K194" s="3" t="s">
        <v>1113</v>
      </c>
    </row>
    <row r="195" ht="15.75" customHeight="1">
      <c r="A195" s="3" t="s">
        <v>1233</v>
      </c>
      <c r="B195" s="12">
        <v>46116.0</v>
      </c>
      <c r="C195" s="3" t="s">
        <v>1231</v>
      </c>
      <c r="D195" s="3" t="s">
        <v>1224</v>
      </c>
      <c r="E195" s="3" t="s">
        <v>903</v>
      </c>
      <c r="F195" s="3" t="s">
        <v>1224</v>
      </c>
      <c r="G195" s="3">
        <v>1.0</v>
      </c>
      <c r="H195" s="3" t="s">
        <v>1084</v>
      </c>
      <c r="I195" s="3" t="s">
        <v>1119</v>
      </c>
      <c r="J195" s="3" t="s">
        <v>1129</v>
      </c>
      <c r="K195" s="3" t="s">
        <v>1113</v>
      </c>
    </row>
    <row r="196" ht="15.75" customHeight="1">
      <c r="A196" s="3" t="s">
        <v>1234</v>
      </c>
      <c r="B196" s="12">
        <v>46116.0</v>
      </c>
      <c r="C196" s="3" t="s">
        <v>1231</v>
      </c>
      <c r="D196" s="3" t="s">
        <v>1226</v>
      </c>
      <c r="E196" s="3" t="s">
        <v>903</v>
      </c>
      <c r="F196" s="3" t="s">
        <v>1226</v>
      </c>
      <c r="G196" s="3">
        <v>1.0</v>
      </c>
      <c r="H196" s="3" t="s">
        <v>1084</v>
      </c>
      <c r="I196" s="3" t="s">
        <v>1119</v>
      </c>
      <c r="J196" s="3" t="s">
        <v>1129</v>
      </c>
      <c r="K196" s="3" t="s">
        <v>1113</v>
      </c>
    </row>
    <row r="197" ht="15.75" customHeight="1">
      <c r="A197" s="3" t="s">
        <v>1235</v>
      </c>
      <c r="B197" s="12">
        <v>46116.0</v>
      </c>
      <c r="C197" s="3" t="s">
        <v>1231</v>
      </c>
      <c r="D197" s="3" t="s">
        <v>1228</v>
      </c>
      <c r="E197" s="3" t="s">
        <v>903</v>
      </c>
      <c r="F197" s="3" t="s">
        <v>1228</v>
      </c>
      <c r="G197" s="3">
        <v>1.0</v>
      </c>
      <c r="H197" s="3" t="s">
        <v>1084</v>
      </c>
      <c r="I197" s="3" t="s">
        <v>1119</v>
      </c>
      <c r="J197" s="3" t="s">
        <v>1129</v>
      </c>
      <c r="K197" s="3" t="s">
        <v>1113</v>
      </c>
    </row>
    <row r="198" ht="15.75" customHeight="1">
      <c r="A198" s="3" t="s">
        <v>1236</v>
      </c>
      <c r="B198" s="12">
        <v>46116.0</v>
      </c>
      <c r="C198" s="3" t="s">
        <v>1231</v>
      </c>
      <c r="D198" s="3" t="s">
        <v>1159</v>
      </c>
      <c r="E198" s="3" t="s">
        <v>903</v>
      </c>
      <c r="F198" s="3" t="s">
        <v>1159</v>
      </c>
      <c r="G198" s="3">
        <v>1.0</v>
      </c>
      <c r="H198" s="3" t="s">
        <v>1084</v>
      </c>
      <c r="I198" s="3" t="s">
        <v>1119</v>
      </c>
      <c r="J198" s="3" t="s">
        <v>1129</v>
      </c>
      <c r="K198" s="3" t="s">
        <v>1113</v>
      </c>
    </row>
    <row r="199" ht="15.75" customHeight="1">
      <c r="A199" s="3" t="s">
        <v>1237</v>
      </c>
      <c r="B199" s="12">
        <v>46116.0</v>
      </c>
      <c r="C199" s="3" t="s">
        <v>1238</v>
      </c>
      <c r="D199" s="3" t="s">
        <v>968</v>
      </c>
      <c r="E199" s="3" t="s">
        <v>903</v>
      </c>
      <c r="F199" s="3" t="s">
        <v>968</v>
      </c>
      <c r="G199" s="3">
        <v>1.0</v>
      </c>
      <c r="H199" s="3" t="s">
        <v>1084</v>
      </c>
      <c r="I199" s="3" t="s">
        <v>1119</v>
      </c>
      <c r="J199" s="3" t="s">
        <v>1129</v>
      </c>
      <c r="K199" s="3" t="s">
        <v>1113</v>
      </c>
    </row>
    <row r="200" ht="15.75" customHeight="1">
      <c r="A200" s="3" t="s">
        <v>1239</v>
      </c>
      <c r="B200" s="12">
        <v>46116.0</v>
      </c>
      <c r="C200" s="3" t="s">
        <v>1238</v>
      </c>
      <c r="D200" s="3" t="s">
        <v>1240</v>
      </c>
      <c r="E200" s="3" t="s">
        <v>903</v>
      </c>
      <c r="F200" s="3" t="s">
        <v>1240</v>
      </c>
      <c r="G200" s="3">
        <v>1.0</v>
      </c>
      <c r="H200" s="3" t="s">
        <v>1084</v>
      </c>
      <c r="I200" s="3" t="s">
        <v>1119</v>
      </c>
      <c r="J200" s="3" t="s">
        <v>1129</v>
      </c>
      <c r="K200" s="3" t="s">
        <v>1113</v>
      </c>
    </row>
    <row r="201" ht="15.75" customHeight="1">
      <c r="A201" s="3" t="s">
        <v>1241</v>
      </c>
      <c r="B201" s="12">
        <v>46116.0</v>
      </c>
      <c r="C201" s="3" t="s">
        <v>1238</v>
      </c>
      <c r="D201" s="3" t="s">
        <v>1242</v>
      </c>
      <c r="E201" s="3" t="s">
        <v>903</v>
      </c>
      <c r="F201" s="3" t="s">
        <v>1242</v>
      </c>
      <c r="G201" s="3">
        <v>1.0</v>
      </c>
      <c r="H201" s="3" t="s">
        <v>1084</v>
      </c>
      <c r="I201" s="3" t="s">
        <v>1119</v>
      </c>
      <c r="J201" s="3" t="s">
        <v>1129</v>
      </c>
      <c r="K201" s="3" t="s">
        <v>1113</v>
      </c>
    </row>
    <row r="202" ht="15.75" customHeight="1">
      <c r="A202" s="3" t="s">
        <v>1243</v>
      </c>
      <c r="B202" s="12">
        <v>46116.0</v>
      </c>
      <c r="C202" s="3" t="s">
        <v>1238</v>
      </c>
      <c r="D202" s="3" t="s">
        <v>1244</v>
      </c>
      <c r="E202" s="3" t="s">
        <v>903</v>
      </c>
      <c r="F202" s="3" t="s">
        <v>1244</v>
      </c>
      <c r="G202" s="3">
        <v>1.0</v>
      </c>
      <c r="H202" s="3" t="s">
        <v>1084</v>
      </c>
      <c r="I202" s="3" t="s">
        <v>1119</v>
      </c>
      <c r="J202" s="3" t="s">
        <v>1129</v>
      </c>
      <c r="K202" s="3" t="s">
        <v>1113</v>
      </c>
    </row>
    <row r="203" ht="15.75" customHeight="1">
      <c r="A203" s="3" t="s">
        <v>1245</v>
      </c>
      <c r="B203" s="12">
        <v>46116.0</v>
      </c>
      <c r="C203" s="3" t="s">
        <v>1238</v>
      </c>
      <c r="D203" s="3" t="s">
        <v>1246</v>
      </c>
      <c r="E203" s="3" t="s">
        <v>903</v>
      </c>
      <c r="F203" s="3" t="s">
        <v>1246</v>
      </c>
      <c r="G203" s="3">
        <v>1.0</v>
      </c>
      <c r="H203" s="3" t="s">
        <v>1084</v>
      </c>
      <c r="I203" s="3" t="s">
        <v>1119</v>
      </c>
      <c r="J203" s="3" t="s">
        <v>1129</v>
      </c>
      <c r="K203" s="3" t="s">
        <v>1113</v>
      </c>
    </row>
    <row r="204" ht="15.75" customHeight="1">
      <c r="A204" s="3" t="s">
        <v>1247</v>
      </c>
      <c r="B204" s="12">
        <v>46116.0</v>
      </c>
      <c r="C204" s="3" t="s">
        <v>1248</v>
      </c>
      <c r="D204" s="3" t="s">
        <v>955</v>
      </c>
      <c r="E204" s="3" t="s">
        <v>903</v>
      </c>
      <c r="F204" s="3" t="s">
        <v>955</v>
      </c>
      <c r="G204" s="3">
        <v>1.0</v>
      </c>
      <c r="H204" s="3" t="s">
        <v>1084</v>
      </c>
      <c r="I204" s="3" t="s">
        <v>1119</v>
      </c>
      <c r="J204" s="3" t="s">
        <v>1129</v>
      </c>
      <c r="K204" s="3" t="s">
        <v>1113</v>
      </c>
    </row>
    <row r="205" ht="15.75" customHeight="1">
      <c r="A205" s="3" t="s">
        <v>1249</v>
      </c>
      <c r="B205" s="12">
        <v>46116.0</v>
      </c>
      <c r="C205" s="3" t="s">
        <v>1248</v>
      </c>
      <c r="D205" s="3" t="s">
        <v>965</v>
      </c>
      <c r="E205" s="3" t="s">
        <v>903</v>
      </c>
      <c r="F205" s="3" t="s">
        <v>965</v>
      </c>
      <c r="G205" s="3">
        <v>1.0</v>
      </c>
      <c r="H205" s="3" t="s">
        <v>1084</v>
      </c>
      <c r="I205" s="3" t="s">
        <v>1119</v>
      </c>
      <c r="J205" s="3" t="s">
        <v>1129</v>
      </c>
      <c r="K205" s="3" t="s">
        <v>1113</v>
      </c>
    </row>
    <row r="206" ht="15.75" customHeight="1">
      <c r="A206" s="3" t="s">
        <v>1250</v>
      </c>
      <c r="B206" s="12">
        <v>46116.0</v>
      </c>
      <c r="C206" s="3" t="s">
        <v>1248</v>
      </c>
      <c r="D206" s="3" t="s">
        <v>1240</v>
      </c>
      <c r="E206" s="3" t="s">
        <v>903</v>
      </c>
      <c r="F206" s="3" t="s">
        <v>1240</v>
      </c>
      <c r="G206" s="3">
        <v>1.0</v>
      </c>
      <c r="H206" s="3" t="s">
        <v>1084</v>
      </c>
      <c r="I206" s="3" t="s">
        <v>1119</v>
      </c>
      <c r="J206" s="3" t="s">
        <v>1129</v>
      </c>
      <c r="K206" s="3" t="s">
        <v>1113</v>
      </c>
    </row>
    <row r="207" ht="15.75" customHeight="1">
      <c r="A207" s="3" t="s">
        <v>1251</v>
      </c>
      <c r="B207" s="12">
        <v>46116.0</v>
      </c>
      <c r="C207" s="3" t="s">
        <v>1248</v>
      </c>
      <c r="D207" s="3" t="s">
        <v>1242</v>
      </c>
      <c r="E207" s="3" t="s">
        <v>903</v>
      </c>
      <c r="F207" s="3" t="s">
        <v>1242</v>
      </c>
      <c r="G207" s="3">
        <v>1.0</v>
      </c>
      <c r="H207" s="3" t="s">
        <v>1084</v>
      </c>
      <c r="I207" s="3" t="s">
        <v>1119</v>
      </c>
      <c r="J207" s="3" t="s">
        <v>1129</v>
      </c>
      <c r="K207" s="3" t="s">
        <v>1113</v>
      </c>
    </row>
    <row r="208" ht="15.75" customHeight="1">
      <c r="A208" s="3" t="s">
        <v>1252</v>
      </c>
      <c r="B208" s="12">
        <v>46116.0</v>
      </c>
      <c r="C208" s="3" t="s">
        <v>1248</v>
      </c>
      <c r="D208" s="3" t="s">
        <v>1244</v>
      </c>
      <c r="E208" s="3" t="s">
        <v>903</v>
      </c>
      <c r="F208" s="3" t="s">
        <v>1244</v>
      </c>
      <c r="G208" s="3">
        <v>1.0</v>
      </c>
      <c r="H208" s="3" t="s">
        <v>1084</v>
      </c>
      <c r="I208" s="3" t="s">
        <v>1119</v>
      </c>
      <c r="J208" s="3" t="s">
        <v>1129</v>
      </c>
      <c r="K208" s="3" t="s">
        <v>1113</v>
      </c>
    </row>
    <row r="209" ht="15.75" customHeight="1">
      <c r="A209" s="3" t="s">
        <v>1253</v>
      </c>
      <c r="B209" s="12">
        <v>46116.0</v>
      </c>
      <c r="C209" s="3" t="s">
        <v>1248</v>
      </c>
      <c r="D209" s="3" t="s">
        <v>1246</v>
      </c>
      <c r="E209" s="3" t="s">
        <v>903</v>
      </c>
      <c r="F209" s="3" t="s">
        <v>1246</v>
      </c>
      <c r="G209" s="3">
        <v>1.0</v>
      </c>
      <c r="H209" s="3" t="s">
        <v>1084</v>
      </c>
      <c r="I209" s="3" t="s">
        <v>1119</v>
      </c>
      <c r="J209" s="3" t="s">
        <v>1129</v>
      </c>
      <c r="K209" s="3" t="s">
        <v>1113</v>
      </c>
    </row>
    <row r="210" ht="15.75" customHeight="1">
      <c r="A210" s="3" t="s">
        <v>1254</v>
      </c>
      <c r="B210" s="12">
        <v>46116.0</v>
      </c>
      <c r="C210" s="3" t="s">
        <v>1248</v>
      </c>
      <c r="D210" s="3" t="s">
        <v>1159</v>
      </c>
      <c r="E210" s="3" t="s">
        <v>903</v>
      </c>
      <c r="F210" s="3" t="s">
        <v>1159</v>
      </c>
      <c r="G210" s="3">
        <v>1.0</v>
      </c>
      <c r="H210" s="3" t="s">
        <v>1084</v>
      </c>
      <c r="I210" s="3" t="s">
        <v>1119</v>
      </c>
      <c r="J210" s="3" t="s">
        <v>1129</v>
      </c>
      <c r="K210" s="3" t="s">
        <v>1113</v>
      </c>
    </row>
    <row r="211" ht="15.75" customHeight="1">
      <c r="A211" s="3" t="s">
        <v>1255</v>
      </c>
      <c r="B211" s="12">
        <v>46116.0</v>
      </c>
      <c r="C211" s="3" t="s">
        <v>1256</v>
      </c>
      <c r="D211" s="3" t="s">
        <v>958</v>
      </c>
      <c r="E211" s="3" t="s">
        <v>903</v>
      </c>
      <c r="F211" s="3" t="s">
        <v>958</v>
      </c>
      <c r="G211" s="3">
        <v>1.0</v>
      </c>
      <c r="H211" s="3" t="s">
        <v>1084</v>
      </c>
      <c r="I211" s="3" t="s">
        <v>1119</v>
      </c>
      <c r="J211" s="3" t="s">
        <v>1129</v>
      </c>
      <c r="K211" s="3" t="s">
        <v>1113</v>
      </c>
    </row>
    <row r="212" ht="15.75" customHeight="1">
      <c r="A212" s="3" t="s">
        <v>1257</v>
      </c>
      <c r="B212" s="12">
        <v>46116.0</v>
      </c>
      <c r="C212" s="3" t="s">
        <v>1256</v>
      </c>
      <c r="D212" s="3" t="s">
        <v>968</v>
      </c>
      <c r="E212" s="3" t="s">
        <v>903</v>
      </c>
      <c r="F212" s="3" t="s">
        <v>968</v>
      </c>
      <c r="G212" s="3">
        <v>1.0</v>
      </c>
      <c r="H212" s="3" t="s">
        <v>1084</v>
      </c>
      <c r="I212" s="3" t="s">
        <v>1119</v>
      </c>
      <c r="J212" s="3" t="s">
        <v>1129</v>
      </c>
      <c r="K212" s="3" t="s">
        <v>1113</v>
      </c>
    </row>
    <row r="213" ht="15.75" customHeight="1">
      <c r="A213" s="3" t="s">
        <v>1258</v>
      </c>
      <c r="B213" s="12">
        <v>46116.0</v>
      </c>
      <c r="C213" s="3" t="s">
        <v>1256</v>
      </c>
      <c r="D213" s="3" t="s">
        <v>1240</v>
      </c>
      <c r="E213" s="3" t="s">
        <v>903</v>
      </c>
      <c r="F213" s="3" t="s">
        <v>1240</v>
      </c>
      <c r="G213" s="3">
        <v>1.0</v>
      </c>
      <c r="H213" s="3" t="s">
        <v>1084</v>
      </c>
      <c r="I213" s="3" t="s">
        <v>1119</v>
      </c>
      <c r="J213" s="3" t="s">
        <v>1129</v>
      </c>
      <c r="K213" s="3" t="s">
        <v>1113</v>
      </c>
    </row>
    <row r="214" ht="15.75" customHeight="1">
      <c r="A214" s="3" t="s">
        <v>1259</v>
      </c>
      <c r="B214" s="12">
        <v>46116.0</v>
      </c>
      <c r="C214" s="3" t="s">
        <v>1256</v>
      </c>
      <c r="D214" s="3" t="s">
        <v>1242</v>
      </c>
      <c r="E214" s="3" t="s">
        <v>903</v>
      </c>
      <c r="F214" s="3" t="s">
        <v>1242</v>
      </c>
      <c r="G214" s="3">
        <v>1.0</v>
      </c>
      <c r="H214" s="3" t="s">
        <v>1084</v>
      </c>
      <c r="I214" s="3" t="s">
        <v>1119</v>
      </c>
      <c r="J214" s="3" t="s">
        <v>1129</v>
      </c>
      <c r="K214" s="3" t="s">
        <v>1113</v>
      </c>
    </row>
    <row r="215" ht="15.75" customHeight="1">
      <c r="A215" s="3" t="s">
        <v>1260</v>
      </c>
      <c r="B215" s="12">
        <v>46116.0</v>
      </c>
      <c r="C215" s="3" t="s">
        <v>1256</v>
      </c>
      <c r="D215" s="3" t="s">
        <v>1244</v>
      </c>
      <c r="E215" s="3" t="s">
        <v>903</v>
      </c>
      <c r="F215" s="3" t="s">
        <v>1244</v>
      </c>
      <c r="G215" s="3">
        <v>1.0</v>
      </c>
      <c r="H215" s="3" t="s">
        <v>1084</v>
      </c>
      <c r="I215" s="3" t="s">
        <v>1119</v>
      </c>
      <c r="J215" s="3" t="s">
        <v>1129</v>
      </c>
      <c r="K215" s="3" t="s">
        <v>1113</v>
      </c>
    </row>
    <row r="216" ht="15.75" customHeight="1">
      <c r="A216" s="3" t="s">
        <v>1261</v>
      </c>
      <c r="B216" s="12">
        <v>46116.0</v>
      </c>
      <c r="C216" s="3" t="s">
        <v>1256</v>
      </c>
      <c r="D216" s="3" t="s">
        <v>1244</v>
      </c>
      <c r="E216" s="3" t="s">
        <v>903</v>
      </c>
      <c r="F216" s="3" t="s">
        <v>1244</v>
      </c>
      <c r="G216" s="3">
        <v>1.0</v>
      </c>
      <c r="H216" s="3" t="s">
        <v>1084</v>
      </c>
      <c r="I216" s="3" t="s">
        <v>1119</v>
      </c>
      <c r="J216" s="3" t="s">
        <v>1129</v>
      </c>
      <c r="K216" s="3" t="s">
        <v>1113</v>
      </c>
    </row>
    <row r="217" ht="15.75" customHeight="1">
      <c r="A217" s="3" t="s">
        <v>1262</v>
      </c>
      <c r="B217" s="12">
        <v>46116.0</v>
      </c>
      <c r="C217" s="3" t="s">
        <v>1256</v>
      </c>
      <c r="D217" s="3" t="s">
        <v>1246</v>
      </c>
      <c r="E217" s="3" t="s">
        <v>903</v>
      </c>
      <c r="F217" s="3" t="s">
        <v>1246</v>
      </c>
      <c r="G217" s="3">
        <v>1.0</v>
      </c>
      <c r="H217" s="3" t="s">
        <v>1084</v>
      </c>
      <c r="I217" s="3" t="s">
        <v>1119</v>
      </c>
      <c r="J217" s="3" t="s">
        <v>1129</v>
      </c>
      <c r="K217" s="3" t="s">
        <v>1113</v>
      </c>
    </row>
    <row r="218" ht="15.75" customHeight="1">
      <c r="A218" s="3" t="s">
        <v>1263</v>
      </c>
      <c r="B218" s="12">
        <v>46116.0</v>
      </c>
      <c r="C218" s="3" t="s">
        <v>1264</v>
      </c>
      <c r="D218" s="3" t="s">
        <v>965</v>
      </c>
      <c r="E218" s="3" t="s">
        <v>903</v>
      </c>
      <c r="F218" s="3" t="s">
        <v>965</v>
      </c>
      <c r="G218" s="3">
        <v>1.0</v>
      </c>
      <c r="H218" s="3" t="s">
        <v>1084</v>
      </c>
      <c r="I218" s="3" t="s">
        <v>1119</v>
      </c>
      <c r="J218" s="3" t="s">
        <v>1129</v>
      </c>
      <c r="K218" s="3" t="s">
        <v>1113</v>
      </c>
    </row>
    <row r="219" ht="15.75" customHeight="1">
      <c r="A219" s="3" t="s">
        <v>1265</v>
      </c>
      <c r="B219" s="12">
        <v>46116.0</v>
      </c>
      <c r="C219" s="3" t="s">
        <v>1264</v>
      </c>
      <c r="D219" s="3" t="s">
        <v>1240</v>
      </c>
      <c r="E219" s="3" t="s">
        <v>903</v>
      </c>
      <c r="F219" s="3" t="s">
        <v>1240</v>
      </c>
      <c r="G219" s="3">
        <v>1.0</v>
      </c>
      <c r="H219" s="3" t="s">
        <v>1084</v>
      </c>
      <c r="I219" s="3" t="s">
        <v>1119</v>
      </c>
      <c r="J219" s="3" t="s">
        <v>1129</v>
      </c>
      <c r="K219" s="3" t="s">
        <v>1113</v>
      </c>
    </row>
    <row r="220" ht="15.75" customHeight="1">
      <c r="A220" s="3" t="s">
        <v>1266</v>
      </c>
      <c r="B220" s="12">
        <v>46116.0</v>
      </c>
      <c r="C220" s="3" t="s">
        <v>1264</v>
      </c>
      <c r="D220" s="3" t="s">
        <v>1242</v>
      </c>
      <c r="E220" s="3" t="s">
        <v>903</v>
      </c>
      <c r="F220" s="3" t="s">
        <v>1242</v>
      </c>
      <c r="G220" s="3">
        <v>1.0</v>
      </c>
      <c r="H220" s="3" t="s">
        <v>1084</v>
      </c>
      <c r="I220" s="3" t="s">
        <v>1119</v>
      </c>
      <c r="J220" s="3" t="s">
        <v>1129</v>
      </c>
      <c r="K220" s="3" t="s">
        <v>1113</v>
      </c>
    </row>
    <row r="221" ht="15.75" customHeight="1">
      <c r="A221" s="3" t="s">
        <v>1267</v>
      </c>
      <c r="B221" s="12">
        <v>46116.0</v>
      </c>
      <c r="C221" s="3" t="s">
        <v>1264</v>
      </c>
      <c r="D221" s="3" t="s">
        <v>1244</v>
      </c>
      <c r="E221" s="3" t="s">
        <v>903</v>
      </c>
      <c r="F221" s="3" t="s">
        <v>1244</v>
      </c>
      <c r="G221" s="3">
        <v>1.0</v>
      </c>
      <c r="H221" s="3" t="s">
        <v>1084</v>
      </c>
      <c r="I221" s="3" t="s">
        <v>1119</v>
      </c>
      <c r="J221" s="3" t="s">
        <v>1129</v>
      </c>
      <c r="K221" s="3" t="s">
        <v>1113</v>
      </c>
    </row>
    <row r="222" ht="15.75" customHeight="1">
      <c r="A222" s="3" t="s">
        <v>1268</v>
      </c>
      <c r="B222" s="12">
        <v>46116.0</v>
      </c>
      <c r="C222" s="3" t="s">
        <v>1264</v>
      </c>
      <c r="D222" s="3" t="s">
        <v>1244</v>
      </c>
      <c r="E222" s="3" t="s">
        <v>903</v>
      </c>
      <c r="F222" s="3" t="s">
        <v>1244</v>
      </c>
      <c r="G222" s="3">
        <v>1.0</v>
      </c>
      <c r="H222" s="3" t="s">
        <v>1084</v>
      </c>
      <c r="I222" s="3" t="s">
        <v>1119</v>
      </c>
      <c r="J222" s="3" t="s">
        <v>1129</v>
      </c>
      <c r="K222" s="3" t="s">
        <v>1113</v>
      </c>
    </row>
    <row r="223" ht="15.75" customHeight="1">
      <c r="A223" s="3" t="s">
        <v>1269</v>
      </c>
      <c r="B223" s="12">
        <v>46116.0</v>
      </c>
      <c r="C223" s="3" t="s">
        <v>1264</v>
      </c>
      <c r="D223" s="3" t="s">
        <v>1246</v>
      </c>
      <c r="E223" s="3" t="s">
        <v>903</v>
      </c>
      <c r="F223" s="3" t="s">
        <v>1246</v>
      </c>
      <c r="G223" s="3">
        <v>1.0</v>
      </c>
      <c r="H223" s="3" t="s">
        <v>1084</v>
      </c>
      <c r="I223" s="3" t="s">
        <v>1119</v>
      </c>
      <c r="J223" s="3" t="s">
        <v>1129</v>
      </c>
      <c r="K223" s="3" t="s">
        <v>1113</v>
      </c>
    </row>
    <row r="224" ht="15.75" customHeight="1">
      <c r="A224" s="3" t="s">
        <v>1270</v>
      </c>
      <c r="B224" s="12">
        <v>46116.0</v>
      </c>
      <c r="C224" s="3" t="s">
        <v>1264</v>
      </c>
      <c r="D224" s="3" t="s">
        <v>1271</v>
      </c>
      <c r="E224" s="3" t="s">
        <v>903</v>
      </c>
      <c r="F224" s="3" t="s">
        <v>1271</v>
      </c>
      <c r="G224" s="3">
        <v>1.0</v>
      </c>
      <c r="H224" s="3" t="s">
        <v>1084</v>
      </c>
      <c r="I224" s="3" t="s">
        <v>1119</v>
      </c>
      <c r="J224" s="3" t="s">
        <v>1129</v>
      </c>
      <c r="K224" s="3" t="s">
        <v>1113</v>
      </c>
    </row>
    <row r="225" ht="15.75" customHeight="1">
      <c r="A225" s="3" t="s">
        <v>1272</v>
      </c>
      <c r="B225" s="12">
        <v>46116.0</v>
      </c>
      <c r="C225" s="3" t="s">
        <v>1273</v>
      </c>
      <c r="D225" s="3" t="s">
        <v>955</v>
      </c>
      <c r="E225" s="3" t="s">
        <v>903</v>
      </c>
      <c r="F225" s="3" t="s">
        <v>955</v>
      </c>
      <c r="G225" s="3">
        <v>1.0</v>
      </c>
      <c r="H225" s="3" t="s">
        <v>1084</v>
      </c>
      <c r="I225" s="3" t="s">
        <v>1119</v>
      </c>
      <c r="J225" s="3" t="s">
        <v>1129</v>
      </c>
      <c r="K225" s="3" t="s">
        <v>1113</v>
      </c>
    </row>
    <row r="226" ht="15.75" customHeight="1">
      <c r="A226" s="3" t="s">
        <v>1274</v>
      </c>
      <c r="B226" s="12">
        <v>46116.0</v>
      </c>
      <c r="C226" s="3" t="s">
        <v>1273</v>
      </c>
      <c r="D226" s="3" t="s">
        <v>968</v>
      </c>
      <c r="E226" s="3" t="s">
        <v>903</v>
      </c>
      <c r="F226" s="3" t="s">
        <v>968</v>
      </c>
      <c r="G226" s="3">
        <v>1.0</v>
      </c>
      <c r="H226" s="3" t="s">
        <v>1084</v>
      </c>
      <c r="I226" s="3" t="s">
        <v>1119</v>
      </c>
      <c r="J226" s="3" t="s">
        <v>1129</v>
      </c>
      <c r="K226" s="3" t="s">
        <v>1113</v>
      </c>
    </row>
    <row r="227" ht="15.75" customHeight="1">
      <c r="A227" s="3" t="s">
        <v>1275</v>
      </c>
      <c r="B227" s="12">
        <v>46116.0</v>
      </c>
      <c r="C227" s="3" t="s">
        <v>1273</v>
      </c>
      <c r="D227" s="3" t="s">
        <v>1172</v>
      </c>
      <c r="E227" s="3" t="s">
        <v>903</v>
      </c>
      <c r="F227" s="3" t="s">
        <v>1172</v>
      </c>
      <c r="G227" s="3">
        <v>1.0</v>
      </c>
      <c r="H227" s="3" t="s">
        <v>1084</v>
      </c>
      <c r="I227" s="3" t="s">
        <v>1119</v>
      </c>
      <c r="J227" s="3" t="s">
        <v>1129</v>
      </c>
      <c r="K227" s="3" t="s">
        <v>1113</v>
      </c>
    </row>
    <row r="228" ht="15.75" customHeight="1">
      <c r="A228" s="3" t="s">
        <v>1276</v>
      </c>
      <c r="B228" s="12">
        <v>46116.0</v>
      </c>
      <c r="C228" s="3" t="s">
        <v>1273</v>
      </c>
      <c r="D228" s="3" t="s">
        <v>1277</v>
      </c>
      <c r="E228" s="3" t="s">
        <v>903</v>
      </c>
      <c r="F228" s="3" t="s">
        <v>1277</v>
      </c>
      <c r="G228" s="3">
        <v>1.0</v>
      </c>
      <c r="H228" s="3" t="s">
        <v>1084</v>
      </c>
      <c r="I228" s="3" t="s">
        <v>1119</v>
      </c>
      <c r="J228" s="3" t="s">
        <v>1129</v>
      </c>
      <c r="K228" s="3" t="s">
        <v>1113</v>
      </c>
    </row>
    <row r="229" ht="15.75" customHeight="1">
      <c r="A229" s="3" t="s">
        <v>1278</v>
      </c>
      <c r="B229" s="12">
        <v>46116.0</v>
      </c>
      <c r="C229" s="3" t="s">
        <v>1273</v>
      </c>
      <c r="D229" s="3" t="s">
        <v>1279</v>
      </c>
      <c r="E229" s="3" t="s">
        <v>903</v>
      </c>
      <c r="F229" s="3" t="s">
        <v>1279</v>
      </c>
      <c r="G229" s="3">
        <v>1.0</v>
      </c>
      <c r="H229" s="3" t="s">
        <v>1084</v>
      </c>
      <c r="I229" s="3" t="s">
        <v>1119</v>
      </c>
      <c r="J229" s="3" t="s">
        <v>1129</v>
      </c>
      <c r="K229" s="3" t="s">
        <v>1113</v>
      </c>
    </row>
    <row r="230" ht="15.75" customHeight="1">
      <c r="A230" s="3" t="s">
        <v>1280</v>
      </c>
      <c r="B230" s="12">
        <v>46116.0</v>
      </c>
      <c r="C230" s="3" t="s">
        <v>1273</v>
      </c>
      <c r="D230" s="3" t="s">
        <v>1281</v>
      </c>
      <c r="E230" s="3" t="s">
        <v>903</v>
      </c>
      <c r="F230" s="3" t="s">
        <v>1281</v>
      </c>
      <c r="G230" s="3">
        <v>1.0</v>
      </c>
      <c r="H230" s="3" t="s">
        <v>1084</v>
      </c>
      <c r="I230" s="3" t="s">
        <v>1119</v>
      </c>
      <c r="J230" s="3" t="s">
        <v>1129</v>
      </c>
      <c r="K230" s="3" t="s">
        <v>1113</v>
      </c>
    </row>
    <row r="231" ht="15.75" customHeight="1">
      <c r="A231" s="3" t="s">
        <v>1282</v>
      </c>
      <c r="B231" s="12">
        <v>46116.0</v>
      </c>
      <c r="C231" s="3" t="s">
        <v>1273</v>
      </c>
      <c r="D231" s="3" t="s">
        <v>1283</v>
      </c>
      <c r="E231" s="3" t="s">
        <v>903</v>
      </c>
      <c r="F231" s="3" t="s">
        <v>1283</v>
      </c>
      <c r="G231" s="3">
        <v>1.0</v>
      </c>
      <c r="H231" s="3" t="s">
        <v>1084</v>
      </c>
      <c r="I231" s="3" t="s">
        <v>1119</v>
      </c>
      <c r="J231" s="3" t="s">
        <v>1129</v>
      </c>
      <c r="K231" s="3" t="s">
        <v>1113</v>
      </c>
    </row>
    <row r="232" ht="15.75" customHeight="1">
      <c r="A232" s="3" t="s">
        <v>1284</v>
      </c>
      <c r="B232" s="12">
        <v>46116.0</v>
      </c>
      <c r="C232" s="3" t="s">
        <v>1285</v>
      </c>
      <c r="D232" s="3" t="s">
        <v>968</v>
      </c>
      <c r="E232" s="3" t="s">
        <v>903</v>
      </c>
      <c r="F232" s="3" t="s">
        <v>968</v>
      </c>
      <c r="G232" s="3">
        <v>1.0</v>
      </c>
      <c r="H232" s="3" t="s">
        <v>1084</v>
      </c>
      <c r="I232" s="3" t="s">
        <v>1119</v>
      </c>
      <c r="J232" s="3" t="s">
        <v>1129</v>
      </c>
      <c r="K232" s="3" t="s">
        <v>1113</v>
      </c>
    </row>
    <row r="233" ht="15.75" customHeight="1">
      <c r="A233" s="3" t="s">
        <v>1286</v>
      </c>
      <c r="B233" s="12">
        <v>46116.0</v>
      </c>
      <c r="C233" s="3" t="s">
        <v>1285</v>
      </c>
      <c r="D233" s="3" t="s">
        <v>1168</v>
      </c>
      <c r="E233" s="3" t="s">
        <v>903</v>
      </c>
      <c r="F233" s="3" t="s">
        <v>1168</v>
      </c>
      <c r="G233" s="3">
        <v>1.0</v>
      </c>
      <c r="H233" s="3" t="s">
        <v>1084</v>
      </c>
      <c r="I233" s="3" t="s">
        <v>1119</v>
      </c>
      <c r="J233" s="3" t="s">
        <v>1129</v>
      </c>
      <c r="K233" s="3" t="s">
        <v>1113</v>
      </c>
    </row>
    <row r="234" ht="15.75" customHeight="1">
      <c r="A234" s="3" t="s">
        <v>1287</v>
      </c>
      <c r="B234" s="12">
        <v>46116.0</v>
      </c>
      <c r="C234" s="3" t="s">
        <v>1285</v>
      </c>
      <c r="D234" s="3" t="s">
        <v>1288</v>
      </c>
      <c r="E234" s="3" t="s">
        <v>903</v>
      </c>
      <c r="F234" s="3" t="s">
        <v>1288</v>
      </c>
      <c r="G234" s="3">
        <v>1.0</v>
      </c>
      <c r="H234" s="3" t="s">
        <v>1084</v>
      </c>
      <c r="I234" s="3" t="s">
        <v>1119</v>
      </c>
      <c r="J234" s="3" t="s">
        <v>1129</v>
      </c>
      <c r="K234" s="3" t="s">
        <v>1113</v>
      </c>
    </row>
    <row r="235" ht="15.75" customHeight="1">
      <c r="A235" s="3" t="s">
        <v>1289</v>
      </c>
      <c r="B235" s="12">
        <v>46116.0</v>
      </c>
      <c r="C235" s="3" t="s">
        <v>1285</v>
      </c>
      <c r="D235" s="3" t="s">
        <v>1288</v>
      </c>
      <c r="E235" s="3" t="s">
        <v>903</v>
      </c>
      <c r="F235" s="3" t="s">
        <v>1288</v>
      </c>
      <c r="G235" s="3">
        <v>1.0</v>
      </c>
      <c r="H235" s="3" t="s">
        <v>1084</v>
      </c>
      <c r="I235" s="3" t="s">
        <v>1119</v>
      </c>
      <c r="J235" s="3" t="s">
        <v>1129</v>
      </c>
      <c r="K235" s="3" t="s">
        <v>1113</v>
      </c>
    </row>
    <row r="236" ht="15.75" customHeight="1">
      <c r="A236" s="3" t="s">
        <v>1290</v>
      </c>
      <c r="B236" s="12">
        <v>46116.0</v>
      </c>
      <c r="C236" s="3" t="s">
        <v>1285</v>
      </c>
      <c r="D236" s="3" t="s">
        <v>1291</v>
      </c>
      <c r="E236" s="3" t="s">
        <v>903</v>
      </c>
      <c r="F236" s="3" t="s">
        <v>1291</v>
      </c>
      <c r="G236" s="3">
        <v>1.0</v>
      </c>
      <c r="H236" s="3" t="s">
        <v>1084</v>
      </c>
      <c r="I236" s="3" t="s">
        <v>1119</v>
      </c>
      <c r="J236" s="3" t="s">
        <v>1129</v>
      </c>
      <c r="K236" s="3" t="s">
        <v>1113</v>
      </c>
    </row>
    <row r="237" ht="15.75" customHeight="1">
      <c r="A237" s="3" t="s">
        <v>1292</v>
      </c>
      <c r="B237" s="12">
        <v>46116.0</v>
      </c>
      <c r="C237" s="3" t="s">
        <v>1285</v>
      </c>
      <c r="D237" s="3" t="s">
        <v>1170</v>
      </c>
      <c r="E237" s="3" t="s">
        <v>903</v>
      </c>
      <c r="F237" s="3" t="s">
        <v>1170</v>
      </c>
      <c r="G237" s="3">
        <v>1.0</v>
      </c>
      <c r="H237" s="3" t="s">
        <v>1084</v>
      </c>
      <c r="I237" s="3" t="s">
        <v>1119</v>
      </c>
      <c r="J237" s="3" t="s">
        <v>1129</v>
      </c>
      <c r="K237" s="3" t="s">
        <v>1113</v>
      </c>
    </row>
    <row r="238" ht="15.75" customHeight="1">
      <c r="A238" s="3" t="s">
        <v>1293</v>
      </c>
      <c r="B238" s="12">
        <v>46116.0</v>
      </c>
      <c r="C238" s="3" t="s">
        <v>1285</v>
      </c>
      <c r="D238" s="3" t="s">
        <v>1159</v>
      </c>
      <c r="E238" s="3" t="s">
        <v>903</v>
      </c>
      <c r="F238" s="3" t="s">
        <v>1159</v>
      </c>
      <c r="G238" s="3">
        <v>1.0</v>
      </c>
      <c r="H238" s="3" t="s">
        <v>1084</v>
      </c>
      <c r="I238" s="3" t="s">
        <v>1119</v>
      </c>
      <c r="J238" s="3" t="s">
        <v>1129</v>
      </c>
      <c r="K238" s="3" t="s">
        <v>1113</v>
      </c>
    </row>
    <row r="239" ht="15.75" customHeight="1">
      <c r="A239" s="3" t="s">
        <v>1294</v>
      </c>
      <c r="B239" s="12">
        <v>46116.0</v>
      </c>
      <c r="C239" s="3" t="s">
        <v>1295</v>
      </c>
      <c r="D239" s="3" t="s">
        <v>968</v>
      </c>
      <c r="E239" s="3" t="s">
        <v>903</v>
      </c>
      <c r="F239" s="3" t="s">
        <v>968</v>
      </c>
      <c r="G239" s="3">
        <v>1.0</v>
      </c>
      <c r="H239" s="3" t="s">
        <v>1084</v>
      </c>
      <c r="I239" s="3" t="s">
        <v>1119</v>
      </c>
      <c r="J239" s="3" t="s">
        <v>1129</v>
      </c>
      <c r="K239" s="3" t="s">
        <v>1113</v>
      </c>
    </row>
    <row r="240" ht="15.75" customHeight="1">
      <c r="A240" s="3" t="s">
        <v>1296</v>
      </c>
      <c r="B240" s="12">
        <v>46116.0</v>
      </c>
      <c r="C240" s="3" t="s">
        <v>1295</v>
      </c>
      <c r="D240" s="3" t="s">
        <v>1240</v>
      </c>
      <c r="E240" s="3" t="s">
        <v>903</v>
      </c>
      <c r="F240" s="3" t="s">
        <v>1240</v>
      </c>
      <c r="G240" s="3">
        <v>1.0</v>
      </c>
      <c r="H240" s="3" t="s">
        <v>1084</v>
      </c>
      <c r="I240" s="3" t="s">
        <v>1119</v>
      </c>
      <c r="J240" s="3" t="s">
        <v>1129</v>
      </c>
      <c r="K240" s="3" t="s">
        <v>1113</v>
      </c>
    </row>
    <row r="241" ht="15.75" customHeight="1">
      <c r="A241" s="3" t="s">
        <v>1297</v>
      </c>
      <c r="B241" s="12">
        <v>46116.0</v>
      </c>
      <c r="C241" s="3" t="s">
        <v>1295</v>
      </c>
      <c r="D241" s="3" t="s">
        <v>1242</v>
      </c>
      <c r="E241" s="3" t="s">
        <v>903</v>
      </c>
      <c r="F241" s="3" t="s">
        <v>1242</v>
      </c>
      <c r="G241" s="3">
        <v>1.0</v>
      </c>
      <c r="H241" s="3" t="s">
        <v>1084</v>
      </c>
      <c r="I241" s="3" t="s">
        <v>1119</v>
      </c>
      <c r="J241" s="3" t="s">
        <v>1129</v>
      </c>
      <c r="K241" s="3" t="s">
        <v>1113</v>
      </c>
    </row>
    <row r="242" ht="15.75" customHeight="1">
      <c r="A242" s="3" t="s">
        <v>1298</v>
      </c>
      <c r="B242" s="12">
        <v>46116.0</v>
      </c>
      <c r="C242" s="3" t="s">
        <v>1295</v>
      </c>
      <c r="D242" s="3" t="s">
        <v>1244</v>
      </c>
      <c r="E242" s="3" t="s">
        <v>903</v>
      </c>
      <c r="F242" s="3" t="s">
        <v>1244</v>
      </c>
      <c r="G242" s="3">
        <v>1.0</v>
      </c>
      <c r="H242" s="3" t="s">
        <v>1084</v>
      </c>
      <c r="I242" s="3" t="s">
        <v>1119</v>
      </c>
      <c r="J242" s="3" t="s">
        <v>1129</v>
      </c>
      <c r="K242" s="3" t="s">
        <v>1113</v>
      </c>
    </row>
    <row r="243" ht="15.75" customHeight="1">
      <c r="A243" s="3" t="s">
        <v>1299</v>
      </c>
      <c r="B243" s="12">
        <v>46116.0</v>
      </c>
      <c r="C243" s="3" t="s">
        <v>1295</v>
      </c>
      <c r="D243" s="3" t="s">
        <v>1246</v>
      </c>
      <c r="E243" s="3" t="s">
        <v>903</v>
      </c>
      <c r="F243" s="3" t="s">
        <v>1246</v>
      </c>
      <c r="G243" s="3">
        <v>1.0</v>
      </c>
      <c r="H243" s="3" t="s">
        <v>1084</v>
      </c>
      <c r="I243" s="3" t="s">
        <v>1119</v>
      </c>
      <c r="J243" s="3" t="s">
        <v>1129</v>
      </c>
      <c r="K243" s="3" t="s">
        <v>1113</v>
      </c>
    </row>
    <row r="244" ht="15.75" customHeight="1">
      <c r="A244" s="3" t="s">
        <v>1300</v>
      </c>
      <c r="B244" s="12">
        <v>46116.0</v>
      </c>
      <c r="C244" s="3" t="s">
        <v>1295</v>
      </c>
      <c r="D244" s="3" t="s">
        <v>1159</v>
      </c>
      <c r="E244" s="3" t="s">
        <v>903</v>
      </c>
      <c r="F244" s="3" t="s">
        <v>1159</v>
      </c>
      <c r="G244" s="3">
        <v>1.0</v>
      </c>
      <c r="H244" s="3" t="s">
        <v>1084</v>
      </c>
      <c r="I244" s="3" t="s">
        <v>1119</v>
      </c>
      <c r="J244" s="3" t="s">
        <v>1129</v>
      </c>
      <c r="K244" s="3" t="s">
        <v>1113</v>
      </c>
    </row>
    <row r="245" ht="15.75" customHeight="1">
      <c r="A245" s="3" t="s">
        <v>1301</v>
      </c>
      <c r="B245" s="12">
        <v>46116.0</v>
      </c>
      <c r="C245" s="3" t="s">
        <v>1302</v>
      </c>
      <c r="D245" s="3" t="s">
        <v>965</v>
      </c>
      <c r="E245" s="3" t="s">
        <v>903</v>
      </c>
      <c r="F245" s="3" t="s">
        <v>965</v>
      </c>
      <c r="G245" s="3">
        <v>1.0</v>
      </c>
      <c r="H245" s="3" t="s">
        <v>1084</v>
      </c>
      <c r="I245" s="3" t="s">
        <v>1119</v>
      </c>
      <c r="J245" s="3" t="s">
        <v>1129</v>
      </c>
      <c r="K245" s="3" t="s">
        <v>1113</v>
      </c>
    </row>
    <row r="246" ht="15.75" customHeight="1">
      <c r="A246" s="3" t="s">
        <v>1303</v>
      </c>
      <c r="B246" s="12">
        <v>46116.0</v>
      </c>
      <c r="C246" s="3" t="s">
        <v>1302</v>
      </c>
      <c r="D246" s="3" t="s">
        <v>1304</v>
      </c>
      <c r="E246" s="3" t="s">
        <v>903</v>
      </c>
      <c r="F246" s="3" t="s">
        <v>1304</v>
      </c>
      <c r="G246" s="3">
        <v>1.0</v>
      </c>
      <c r="H246" s="3" t="s">
        <v>1084</v>
      </c>
      <c r="I246" s="3" t="s">
        <v>1119</v>
      </c>
      <c r="J246" s="3" t="s">
        <v>1129</v>
      </c>
      <c r="K246" s="3" t="s">
        <v>1113</v>
      </c>
    </row>
    <row r="247" ht="15.75" customHeight="1">
      <c r="A247" s="3" t="s">
        <v>1305</v>
      </c>
      <c r="B247" s="12">
        <v>46116.0</v>
      </c>
      <c r="C247" s="3" t="s">
        <v>1302</v>
      </c>
      <c r="D247" s="3" t="s">
        <v>1306</v>
      </c>
      <c r="E247" s="3" t="s">
        <v>903</v>
      </c>
      <c r="F247" s="3" t="s">
        <v>1306</v>
      </c>
      <c r="G247" s="3">
        <v>1.0</v>
      </c>
      <c r="H247" s="3" t="s">
        <v>1084</v>
      </c>
      <c r="I247" s="3" t="s">
        <v>1119</v>
      </c>
      <c r="J247" s="3" t="s">
        <v>1129</v>
      </c>
      <c r="K247" s="3" t="s">
        <v>1113</v>
      </c>
    </row>
    <row r="248" ht="15.75" customHeight="1">
      <c r="A248" s="3" t="s">
        <v>1307</v>
      </c>
      <c r="B248" s="12">
        <v>46116.0</v>
      </c>
      <c r="C248" s="3" t="s">
        <v>1302</v>
      </c>
      <c r="D248" s="3" t="s">
        <v>1308</v>
      </c>
      <c r="E248" s="3" t="s">
        <v>903</v>
      </c>
      <c r="F248" s="3" t="s">
        <v>1308</v>
      </c>
      <c r="G248" s="3">
        <v>1.0</v>
      </c>
      <c r="H248" s="3" t="s">
        <v>1084</v>
      </c>
      <c r="I248" s="3" t="s">
        <v>1119</v>
      </c>
      <c r="J248" s="3" t="s">
        <v>1129</v>
      </c>
      <c r="K248" s="3" t="s">
        <v>1113</v>
      </c>
    </row>
    <row r="249" ht="15.75" customHeight="1">
      <c r="A249" s="3" t="s">
        <v>1309</v>
      </c>
      <c r="B249" s="12">
        <v>46116.0</v>
      </c>
      <c r="C249" s="3" t="s">
        <v>1302</v>
      </c>
      <c r="D249" s="3" t="s">
        <v>1310</v>
      </c>
      <c r="E249" s="3" t="s">
        <v>903</v>
      </c>
      <c r="F249" s="3" t="s">
        <v>1310</v>
      </c>
      <c r="G249" s="3">
        <v>1.0</v>
      </c>
      <c r="H249" s="3" t="s">
        <v>1084</v>
      </c>
      <c r="I249" s="3" t="s">
        <v>1119</v>
      </c>
      <c r="J249" s="3" t="s">
        <v>1129</v>
      </c>
      <c r="K249" s="3" t="s">
        <v>1113</v>
      </c>
    </row>
    <row r="250" ht="15.75" customHeight="1">
      <c r="A250" s="3" t="s">
        <v>1311</v>
      </c>
      <c r="B250" s="12">
        <v>46116.0</v>
      </c>
      <c r="C250" s="3" t="s">
        <v>1302</v>
      </c>
      <c r="D250" s="3" t="s">
        <v>1312</v>
      </c>
      <c r="E250" s="3" t="s">
        <v>903</v>
      </c>
      <c r="F250" s="3" t="s">
        <v>1312</v>
      </c>
      <c r="G250" s="3">
        <v>1.0</v>
      </c>
      <c r="H250" s="3" t="s">
        <v>1084</v>
      </c>
      <c r="I250" s="3" t="s">
        <v>1119</v>
      </c>
      <c r="J250" s="3" t="s">
        <v>1129</v>
      </c>
      <c r="K250" s="3" t="s">
        <v>1113</v>
      </c>
    </row>
    <row r="251" ht="15.75" customHeight="1">
      <c r="A251" s="3" t="s">
        <v>1313</v>
      </c>
      <c r="B251" s="12">
        <v>46116.0</v>
      </c>
      <c r="C251" s="3" t="s">
        <v>1314</v>
      </c>
      <c r="D251" s="3" t="s">
        <v>965</v>
      </c>
      <c r="E251" s="3" t="s">
        <v>903</v>
      </c>
      <c r="F251" s="3" t="s">
        <v>965</v>
      </c>
      <c r="G251" s="3">
        <v>1.0</v>
      </c>
      <c r="H251" s="3" t="s">
        <v>1084</v>
      </c>
      <c r="I251" s="3" t="s">
        <v>1119</v>
      </c>
      <c r="J251" s="3" t="s">
        <v>1129</v>
      </c>
      <c r="K251" s="3" t="s">
        <v>1113</v>
      </c>
    </row>
    <row r="252" ht="15.75" customHeight="1">
      <c r="A252" s="3" t="s">
        <v>1315</v>
      </c>
      <c r="B252" s="12">
        <v>46116.0</v>
      </c>
      <c r="C252" s="3" t="s">
        <v>1314</v>
      </c>
      <c r="D252" s="3" t="s">
        <v>1240</v>
      </c>
      <c r="E252" s="3" t="s">
        <v>903</v>
      </c>
      <c r="F252" s="3" t="s">
        <v>1240</v>
      </c>
      <c r="G252" s="3">
        <v>1.0</v>
      </c>
      <c r="H252" s="3" t="s">
        <v>1084</v>
      </c>
      <c r="I252" s="3" t="s">
        <v>1119</v>
      </c>
      <c r="J252" s="3" t="s">
        <v>1129</v>
      </c>
      <c r="K252" s="3" t="s">
        <v>1113</v>
      </c>
    </row>
    <row r="253" ht="15.75" customHeight="1">
      <c r="A253" s="3" t="s">
        <v>1316</v>
      </c>
      <c r="B253" s="12">
        <v>46116.0</v>
      </c>
      <c r="C253" s="3" t="s">
        <v>1314</v>
      </c>
      <c r="D253" s="3" t="s">
        <v>1242</v>
      </c>
      <c r="E253" s="3" t="s">
        <v>903</v>
      </c>
      <c r="F253" s="3" t="s">
        <v>1242</v>
      </c>
      <c r="G253" s="3">
        <v>1.0</v>
      </c>
      <c r="H253" s="3" t="s">
        <v>1084</v>
      </c>
      <c r="I253" s="3" t="s">
        <v>1119</v>
      </c>
      <c r="J253" s="3" t="s">
        <v>1129</v>
      </c>
      <c r="K253" s="3" t="s">
        <v>1113</v>
      </c>
    </row>
    <row r="254" ht="15.75" customHeight="1">
      <c r="A254" s="3" t="s">
        <v>1317</v>
      </c>
      <c r="B254" s="12">
        <v>46116.0</v>
      </c>
      <c r="C254" s="3" t="s">
        <v>1314</v>
      </c>
      <c r="D254" s="3" t="s">
        <v>1244</v>
      </c>
      <c r="E254" s="3" t="s">
        <v>903</v>
      </c>
      <c r="F254" s="3" t="s">
        <v>1244</v>
      </c>
      <c r="G254" s="3">
        <v>1.0</v>
      </c>
      <c r="H254" s="3" t="s">
        <v>1084</v>
      </c>
      <c r="I254" s="3" t="s">
        <v>1119</v>
      </c>
      <c r="J254" s="3" t="s">
        <v>1129</v>
      </c>
      <c r="K254" s="3" t="s">
        <v>1113</v>
      </c>
    </row>
    <row r="255" ht="15.75" customHeight="1">
      <c r="A255" s="3" t="s">
        <v>1318</v>
      </c>
      <c r="B255" s="12">
        <v>46116.0</v>
      </c>
      <c r="C255" s="3" t="s">
        <v>1314</v>
      </c>
      <c r="D255" s="3" t="s">
        <v>1246</v>
      </c>
      <c r="E255" s="3" t="s">
        <v>903</v>
      </c>
      <c r="F255" s="3" t="s">
        <v>1246</v>
      </c>
      <c r="G255" s="3">
        <v>1.0</v>
      </c>
      <c r="H255" s="3" t="s">
        <v>1084</v>
      </c>
      <c r="I255" s="3" t="s">
        <v>1119</v>
      </c>
      <c r="J255" s="3" t="s">
        <v>1129</v>
      </c>
      <c r="K255" s="3" t="s">
        <v>1113</v>
      </c>
    </row>
    <row r="256" ht="15.75" customHeight="1">
      <c r="A256" s="3" t="s">
        <v>1319</v>
      </c>
      <c r="B256" s="12">
        <v>46116.0</v>
      </c>
      <c r="C256" s="3" t="s">
        <v>1314</v>
      </c>
      <c r="D256" s="3" t="s">
        <v>1312</v>
      </c>
      <c r="E256" s="3" t="s">
        <v>903</v>
      </c>
      <c r="F256" s="3" t="s">
        <v>1312</v>
      </c>
      <c r="G256" s="3">
        <v>1.0</v>
      </c>
      <c r="H256" s="3" t="s">
        <v>1084</v>
      </c>
      <c r="I256" s="3" t="s">
        <v>1119</v>
      </c>
      <c r="J256" s="3" t="s">
        <v>1129</v>
      </c>
      <c r="K256" s="3" t="s">
        <v>1113</v>
      </c>
    </row>
    <row r="257" ht="15.75" customHeight="1">
      <c r="A257" s="3" t="s">
        <v>1320</v>
      </c>
      <c r="B257" s="12">
        <v>46116.0</v>
      </c>
      <c r="C257" s="3" t="s">
        <v>1321</v>
      </c>
      <c r="D257" s="3" t="s">
        <v>965</v>
      </c>
      <c r="E257" s="3" t="s">
        <v>903</v>
      </c>
      <c r="F257" s="3" t="s">
        <v>965</v>
      </c>
      <c r="G257" s="3">
        <v>1.0</v>
      </c>
      <c r="H257" s="3" t="s">
        <v>1084</v>
      </c>
      <c r="I257" s="3" t="s">
        <v>1119</v>
      </c>
      <c r="J257" s="3" t="s">
        <v>1129</v>
      </c>
      <c r="K257" s="3" t="s">
        <v>1113</v>
      </c>
    </row>
    <row r="258" ht="15.75" customHeight="1">
      <c r="A258" s="3" t="s">
        <v>1322</v>
      </c>
      <c r="B258" s="12">
        <v>46116.0</v>
      </c>
      <c r="C258" s="3" t="s">
        <v>1321</v>
      </c>
      <c r="D258" s="3" t="s">
        <v>1323</v>
      </c>
      <c r="E258" s="3" t="s">
        <v>903</v>
      </c>
      <c r="F258" s="3" t="s">
        <v>1323</v>
      </c>
      <c r="G258" s="3">
        <v>1.0</v>
      </c>
      <c r="H258" s="3" t="s">
        <v>1084</v>
      </c>
      <c r="I258" s="3" t="s">
        <v>1119</v>
      </c>
      <c r="J258" s="3" t="s">
        <v>1129</v>
      </c>
      <c r="K258" s="3" t="s">
        <v>1113</v>
      </c>
    </row>
    <row r="259" ht="15.75" customHeight="1">
      <c r="A259" s="3" t="s">
        <v>1324</v>
      </c>
      <c r="B259" s="12">
        <v>46116.0</v>
      </c>
      <c r="C259" s="3" t="s">
        <v>1321</v>
      </c>
      <c r="D259" s="3" t="s">
        <v>1168</v>
      </c>
      <c r="E259" s="3" t="s">
        <v>903</v>
      </c>
      <c r="F259" s="3" t="s">
        <v>1168</v>
      </c>
      <c r="G259" s="3">
        <v>1.0</v>
      </c>
      <c r="H259" s="3" t="s">
        <v>1084</v>
      </c>
      <c r="I259" s="3" t="s">
        <v>1119</v>
      </c>
      <c r="J259" s="3" t="s">
        <v>1129</v>
      </c>
      <c r="K259" s="3" t="s">
        <v>1113</v>
      </c>
    </row>
    <row r="260" ht="15.75" customHeight="1">
      <c r="A260" s="3" t="s">
        <v>1325</v>
      </c>
      <c r="B260" s="12">
        <v>46116.0</v>
      </c>
      <c r="C260" s="3" t="s">
        <v>1321</v>
      </c>
      <c r="D260" s="3" t="s">
        <v>1170</v>
      </c>
      <c r="E260" s="3" t="s">
        <v>903</v>
      </c>
      <c r="F260" s="3" t="s">
        <v>1170</v>
      </c>
      <c r="G260" s="3">
        <v>1.0</v>
      </c>
      <c r="H260" s="3" t="s">
        <v>1084</v>
      </c>
      <c r="I260" s="3" t="s">
        <v>1119</v>
      </c>
      <c r="J260" s="3" t="s">
        <v>1129</v>
      </c>
      <c r="K260" s="3" t="s">
        <v>1113</v>
      </c>
    </row>
    <row r="261" ht="15.75" customHeight="1">
      <c r="A261" s="3" t="s">
        <v>1326</v>
      </c>
      <c r="B261" s="12">
        <v>46116.0</v>
      </c>
      <c r="C261" s="3" t="s">
        <v>1321</v>
      </c>
      <c r="D261" s="3" t="s">
        <v>1288</v>
      </c>
      <c r="E261" s="3" t="s">
        <v>903</v>
      </c>
      <c r="F261" s="3" t="s">
        <v>1288</v>
      </c>
      <c r="G261" s="3">
        <v>1.0</v>
      </c>
      <c r="H261" s="3" t="s">
        <v>1084</v>
      </c>
      <c r="I261" s="3" t="s">
        <v>1119</v>
      </c>
      <c r="J261" s="3" t="s">
        <v>1129</v>
      </c>
      <c r="K261" s="3" t="s">
        <v>1113</v>
      </c>
    </row>
    <row r="262" ht="15.75" customHeight="1">
      <c r="A262" s="3" t="s">
        <v>1327</v>
      </c>
      <c r="B262" s="12">
        <v>46116.0</v>
      </c>
      <c r="C262" s="3" t="s">
        <v>1321</v>
      </c>
      <c r="D262" s="3" t="s">
        <v>1288</v>
      </c>
      <c r="E262" s="3" t="s">
        <v>903</v>
      </c>
      <c r="F262" s="3" t="s">
        <v>1288</v>
      </c>
      <c r="G262" s="3">
        <v>1.0</v>
      </c>
      <c r="H262" s="3" t="s">
        <v>1084</v>
      </c>
      <c r="I262" s="3" t="s">
        <v>1119</v>
      </c>
      <c r="J262" s="3" t="s">
        <v>1129</v>
      </c>
      <c r="K262" s="3" t="s">
        <v>1113</v>
      </c>
    </row>
    <row r="263" ht="15.75" customHeight="1">
      <c r="A263" s="3" t="s">
        <v>1328</v>
      </c>
      <c r="B263" s="12">
        <v>46116.0</v>
      </c>
      <c r="C263" s="3" t="s">
        <v>1329</v>
      </c>
      <c r="D263" s="3" t="s">
        <v>968</v>
      </c>
      <c r="E263" s="3" t="s">
        <v>903</v>
      </c>
      <c r="F263" s="3" t="s">
        <v>968</v>
      </c>
      <c r="G263" s="3">
        <v>1.0</v>
      </c>
      <c r="H263" s="3" t="s">
        <v>1084</v>
      </c>
      <c r="I263" s="3" t="s">
        <v>1119</v>
      </c>
      <c r="J263" s="3" t="s">
        <v>1129</v>
      </c>
      <c r="K263" s="3" t="s">
        <v>1113</v>
      </c>
    </row>
    <row r="264" ht="15.75" customHeight="1">
      <c r="A264" s="3" t="s">
        <v>1330</v>
      </c>
      <c r="B264" s="12">
        <v>46116.0</v>
      </c>
      <c r="C264" s="3" t="s">
        <v>1329</v>
      </c>
      <c r="D264" s="3" t="s">
        <v>1240</v>
      </c>
      <c r="E264" s="3" t="s">
        <v>903</v>
      </c>
      <c r="F264" s="3" t="s">
        <v>1240</v>
      </c>
      <c r="G264" s="3">
        <v>1.0</v>
      </c>
      <c r="H264" s="3" t="s">
        <v>1084</v>
      </c>
      <c r="I264" s="3" t="s">
        <v>1119</v>
      </c>
      <c r="J264" s="3" t="s">
        <v>1129</v>
      </c>
      <c r="K264" s="3" t="s">
        <v>1113</v>
      </c>
    </row>
    <row r="265" ht="15.75" customHeight="1">
      <c r="A265" s="3" t="s">
        <v>1331</v>
      </c>
      <c r="B265" s="12">
        <v>46116.0</v>
      </c>
      <c r="C265" s="3" t="s">
        <v>1329</v>
      </c>
      <c r="D265" s="3" t="s">
        <v>1242</v>
      </c>
      <c r="E265" s="3" t="s">
        <v>903</v>
      </c>
      <c r="F265" s="3" t="s">
        <v>1242</v>
      </c>
      <c r="G265" s="3">
        <v>1.0</v>
      </c>
      <c r="H265" s="3" t="s">
        <v>1084</v>
      </c>
      <c r="I265" s="3" t="s">
        <v>1119</v>
      </c>
      <c r="J265" s="3" t="s">
        <v>1129</v>
      </c>
      <c r="K265" s="3" t="s">
        <v>1113</v>
      </c>
    </row>
    <row r="266" ht="15.75" customHeight="1">
      <c r="A266" s="3" t="s">
        <v>1332</v>
      </c>
      <c r="B266" s="12">
        <v>46116.0</v>
      </c>
      <c r="C266" s="3" t="s">
        <v>1329</v>
      </c>
      <c r="D266" s="3" t="s">
        <v>1244</v>
      </c>
      <c r="E266" s="3" t="s">
        <v>903</v>
      </c>
      <c r="F266" s="3" t="s">
        <v>1244</v>
      </c>
      <c r="G266" s="3">
        <v>1.0</v>
      </c>
      <c r="H266" s="3" t="s">
        <v>1084</v>
      </c>
      <c r="I266" s="3" t="s">
        <v>1119</v>
      </c>
      <c r="J266" s="3" t="s">
        <v>1129</v>
      </c>
      <c r="K266" s="3" t="s">
        <v>1113</v>
      </c>
    </row>
    <row r="267" ht="15.75" customHeight="1">
      <c r="A267" s="3" t="s">
        <v>1333</v>
      </c>
      <c r="B267" s="12">
        <v>46116.0</v>
      </c>
      <c r="C267" s="3" t="s">
        <v>1329</v>
      </c>
      <c r="D267" s="3" t="s">
        <v>1246</v>
      </c>
      <c r="E267" s="3" t="s">
        <v>903</v>
      </c>
      <c r="F267" s="3" t="s">
        <v>1246</v>
      </c>
      <c r="G267" s="3">
        <v>1.0</v>
      </c>
      <c r="H267" s="3" t="s">
        <v>1084</v>
      </c>
      <c r="I267" s="3" t="s">
        <v>1119</v>
      </c>
      <c r="J267" s="3" t="s">
        <v>1129</v>
      </c>
      <c r="K267" s="3" t="s">
        <v>1113</v>
      </c>
    </row>
    <row r="268" ht="15.75" customHeight="1">
      <c r="A268" s="3" t="s">
        <v>1334</v>
      </c>
      <c r="B268" s="12">
        <v>46118.0</v>
      </c>
      <c r="C268" s="3" t="s">
        <v>1335</v>
      </c>
      <c r="D268" s="3" t="s">
        <v>968</v>
      </c>
      <c r="E268" s="3" t="s">
        <v>903</v>
      </c>
      <c r="F268" s="3" t="s">
        <v>968</v>
      </c>
      <c r="G268" s="3">
        <v>1.0</v>
      </c>
      <c r="H268" s="3" t="s">
        <v>1084</v>
      </c>
      <c r="I268" s="3" t="s">
        <v>1119</v>
      </c>
      <c r="J268" s="3" t="s">
        <v>1129</v>
      </c>
      <c r="K268" s="3" t="s">
        <v>1113</v>
      </c>
    </row>
    <row r="269" ht="15.75" customHeight="1">
      <c r="A269" s="3" t="s">
        <v>1336</v>
      </c>
      <c r="B269" s="12">
        <v>46118.0</v>
      </c>
      <c r="C269" s="3" t="s">
        <v>1335</v>
      </c>
      <c r="D269" s="3" t="s">
        <v>1277</v>
      </c>
      <c r="E269" s="3" t="s">
        <v>903</v>
      </c>
      <c r="F269" s="3" t="s">
        <v>1277</v>
      </c>
      <c r="G269" s="3">
        <v>1.0</v>
      </c>
      <c r="H269" s="3" t="s">
        <v>1084</v>
      </c>
      <c r="I269" s="3" t="s">
        <v>1119</v>
      </c>
      <c r="J269" s="3" t="s">
        <v>1129</v>
      </c>
      <c r="K269" s="3" t="s">
        <v>1113</v>
      </c>
    </row>
    <row r="270" ht="15.75" customHeight="1">
      <c r="A270" s="3" t="s">
        <v>1337</v>
      </c>
      <c r="B270" s="12">
        <v>46118.0</v>
      </c>
      <c r="C270" s="3" t="s">
        <v>1335</v>
      </c>
      <c r="D270" s="3" t="s">
        <v>1279</v>
      </c>
      <c r="E270" s="3" t="s">
        <v>903</v>
      </c>
      <c r="F270" s="3" t="s">
        <v>1279</v>
      </c>
      <c r="G270" s="3">
        <v>1.0</v>
      </c>
      <c r="H270" s="3" t="s">
        <v>1084</v>
      </c>
      <c r="I270" s="3" t="s">
        <v>1119</v>
      </c>
      <c r="J270" s="3" t="s">
        <v>1129</v>
      </c>
      <c r="K270" s="3" t="s">
        <v>1113</v>
      </c>
    </row>
    <row r="271" ht="15.75" customHeight="1">
      <c r="A271" s="3" t="s">
        <v>1338</v>
      </c>
      <c r="B271" s="12">
        <v>46118.0</v>
      </c>
      <c r="C271" s="3" t="s">
        <v>1335</v>
      </c>
      <c r="D271" s="3" t="s">
        <v>1281</v>
      </c>
      <c r="E271" s="3" t="s">
        <v>903</v>
      </c>
      <c r="F271" s="3" t="s">
        <v>1281</v>
      </c>
      <c r="G271" s="3">
        <v>1.0</v>
      </c>
      <c r="H271" s="3" t="s">
        <v>1084</v>
      </c>
      <c r="I271" s="3" t="s">
        <v>1119</v>
      </c>
      <c r="J271" s="3" t="s">
        <v>1129</v>
      </c>
      <c r="K271" s="3" t="s">
        <v>1113</v>
      </c>
    </row>
    <row r="272" ht="15.75" customHeight="1">
      <c r="A272" s="3" t="s">
        <v>1339</v>
      </c>
      <c r="B272" s="12">
        <v>46118.0</v>
      </c>
      <c r="C272" s="3" t="s">
        <v>1335</v>
      </c>
      <c r="D272" s="3" t="s">
        <v>1283</v>
      </c>
      <c r="E272" s="3" t="s">
        <v>903</v>
      </c>
      <c r="F272" s="3" t="s">
        <v>1283</v>
      </c>
      <c r="G272" s="3">
        <v>1.0</v>
      </c>
      <c r="H272" s="3" t="s">
        <v>1084</v>
      </c>
      <c r="I272" s="3" t="s">
        <v>1119</v>
      </c>
      <c r="J272" s="3" t="s">
        <v>1129</v>
      </c>
      <c r="K272" s="3" t="s">
        <v>1113</v>
      </c>
    </row>
    <row r="273" ht="15.75" customHeight="1">
      <c r="A273" s="3" t="s">
        <v>1340</v>
      </c>
      <c r="B273" s="12">
        <v>46118.0</v>
      </c>
      <c r="C273" s="3" t="s">
        <v>1335</v>
      </c>
      <c r="D273" s="3" t="s">
        <v>1312</v>
      </c>
      <c r="E273" s="3" t="s">
        <v>903</v>
      </c>
      <c r="F273" s="3" t="s">
        <v>1312</v>
      </c>
      <c r="G273" s="3">
        <v>1.0</v>
      </c>
      <c r="H273" s="3" t="s">
        <v>1084</v>
      </c>
      <c r="I273" s="3" t="s">
        <v>1119</v>
      </c>
      <c r="J273" s="3" t="s">
        <v>1129</v>
      </c>
      <c r="K273" s="3" t="s">
        <v>1113</v>
      </c>
    </row>
    <row r="274" ht="15.75" customHeight="1">
      <c r="A274" s="3" t="s">
        <v>1341</v>
      </c>
      <c r="B274" s="12">
        <v>46118.0</v>
      </c>
      <c r="C274" s="3" t="s">
        <v>1342</v>
      </c>
      <c r="D274" s="3" t="s">
        <v>955</v>
      </c>
      <c r="E274" s="3" t="s">
        <v>903</v>
      </c>
      <c r="F274" s="3" t="s">
        <v>955</v>
      </c>
      <c r="G274" s="3">
        <v>1.0</v>
      </c>
      <c r="H274" s="3" t="s">
        <v>1084</v>
      </c>
      <c r="I274" s="3" t="s">
        <v>1119</v>
      </c>
      <c r="J274" s="3" t="s">
        <v>1181</v>
      </c>
      <c r="K274" s="3" t="s">
        <v>1113</v>
      </c>
    </row>
    <row r="275" ht="15.75" customHeight="1">
      <c r="A275" s="3" t="s">
        <v>1343</v>
      </c>
      <c r="B275" s="12">
        <v>46118.0</v>
      </c>
      <c r="C275" s="3" t="s">
        <v>1342</v>
      </c>
      <c r="D275" s="3" t="s">
        <v>961</v>
      </c>
      <c r="E275" s="3" t="s">
        <v>903</v>
      </c>
      <c r="F275" s="3" t="s">
        <v>961</v>
      </c>
      <c r="G275" s="3">
        <v>1.0</v>
      </c>
      <c r="H275" s="3" t="s">
        <v>1084</v>
      </c>
      <c r="I275" s="3" t="s">
        <v>1119</v>
      </c>
      <c r="J275" s="3" t="s">
        <v>1129</v>
      </c>
      <c r="K275" s="3" t="s">
        <v>1113</v>
      </c>
    </row>
    <row r="276" ht="15.75" customHeight="1">
      <c r="A276" s="3" t="s">
        <v>1344</v>
      </c>
      <c r="B276" s="12">
        <v>46118.0</v>
      </c>
      <c r="C276" s="3" t="s">
        <v>1342</v>
      </c>
      <c r="D276" s="3" t="s">
        <v>1277</v>
      </c>
      <c r="E276" s="3" t="s">
        <v>903</v>
      </c>
      <c r="F276" s="3" t="s">
        <v>1277</v>
      </c>
      <c r="G276" s="3">
        <v>1.0</v>
      </c>
      <c r="H276" s="3" t="s">
        <v>1084</v>
      </c>
      <c r="I276" s="3" t="s">
        <v>1119</v>
      </c>
      <c r="J276" s="3" t="s">
        <v>1129</v>
      </c>
      <c r="K276" s="3" t="s">
        <v>1113</v>
      </c>
    </row>
    <row r="277" ht="15.75" customHeight="1">
      <c r="A277" s="3" t="s">
        <v>1345</v>
      </c>
      <c r="B277" s="12">
        <v>46118.0</v>
      </c>
      <c r="C277" s="3" t="s">
        <v>1342</v>
      </c>
      <c r="D277" s="3" t="s">
        <v>1279</v>
      </c>
      <c r="E277" s="3" t="s">
        <v>903</v>
      </c>
      <c r="F277" s="3" t="s">
        <v>1279</v>
      </c>
      <c r="G277" s="3">
        <v>1.0</v>
      </c>
      <c r="H277" s="3" t="s">
        <v>1084</v>
      </c>
      <c r="I277" s="3" t="s">
        <v>1119</v>
      </c>
      <c r="J277" s="3" t="s">
        <v>1129</v>
      </c>
      <c r="K277" s="3" t="s">
        <v>1113</v>
      </c>
    </row>
    <row r="278" ht="15.75" customHeight="1">
      <c r="A278" s="3" t="s">
        <v>1346</v>
      </c>
      <c r="B278" s="12">
        <v>46118.0</v>
      </c>
      <c r="C278" s="3" t="s">
        <v>1342</v>
      </c>
      <c r="D278" s="3" t="s">
        <v>1281</v>
      </c>
      <c r="E278" s="3" t="s">
        <v>903</v>
      </c>
      <c r="F278" s="3" t="s">
        <v>1281</v>
      </c>
      <c r="G278" s="3">
        <v>1.0</v>
      </c>
      <c r="H278" s="3" t="s">
        <v>1084</v>
      </c>
      <c r="I278" s="3" t="s">
        <v>1119</v>
      </c>
      <c r="J278" s="3" t="s">
        <v>1129</v>
      </c>
      <c r="K278" s="3" t="s">
        <v>1113</v>
      </c>
    </row>
    <row r="279" ht="15.75" customHeight="1">
      <c r="A279" s="3" t="s">
        <v>1347</v>
      </c>
      <c r="B279" s="12">
        <v>46118.0</v>
      </c>
      <c r="C279" s="3" t="s">
        <v>1342</v>
      </c>
      <c r="D279" s="3" t="s">
        <v>1283</v>
      </c>
      <c r="E279" s="3" t="s">
        <v>903</v>
      </c>
      <c r="F279" s="3" t="s">
        <v>1283</v>
      </c>
      <c r="G279" s="3">
        <v>1.0</v>
      </c>
      <c r="H279" s="3" t="s">
        <v>1084</v>
      </c>
      <c r="I279" s="3" t="s">
        <v>1119</v>
      </c>
      <c r="J279" s="3" t="s">
        <v>1129</v>
      </c>
      <c r="K279" s="3" t="s">
        <v>1113</v>
      </c>
    </row>
    <row r="280" ht="15.75" customHeight="1">
      <c r="A280" s="3" t="s">
        <v>1348</v>
      </c>
      <c r="B280" s="12">
        <v>46118.0</v>
      </c>
      <c r="C280" s="3" t="s">
        <v>1342</v>
      </c>
      <c r="D280" s="3" t="s">
        <v>1349</v>
      </c>
      <c r="E280" s="3" t="s">
        <v>903</v>
      </c>
      <c r="F280" s="3" t="s">
        <v>1349</v>
      </c>
      <c r="G280" s="3">
        <v>1.0</v>
      </c>
      <c r="H280" s="3" t="s">
        <v>1084</v>
      </c>
      <c r="I280" s="3" t="s">
        <v>1119</v>
      </c>
      <c r="J280" s="3" t="s">
        <v>1129</v>
      </c>
      <c r="K280" s="3" t="s">
        <v>1113</v>
      </c>
    </row>
    <row r="281" ht="15.75" customHeight="1">
      <c r="A281" s="3" t="s">
        <v>1350</v>
      </c>
      <c r="B281" s="12">
        <v>46118.0</v>
      </c>
      <c r="C281" s="3" t="s">
        <v>1342</v>
      </c>
      <c r="D281" s="3" t="s">
        <v>1351</v>
      </c>
      <c r="E281" s="3" t="s">
        <v>903</v>
      </c>
      <c r="F281" s="3" t="s">
        <v>1351</v>
      </c>
      <c r="G281" s="3">
        <v>1.0</v>
      </c>
      <c r="H281" s="3" t="s">
        <v>1084</v>
      </c>
      <c r="I281" s="3" t="s">
        <v>1119</v>
      </c>
      <c r="J281" s="3" t="s">
        <v>1129</v>
      </c>
      <c r="K281" s="3" t="s">
        <v>1113</v>
      </c>
    </row>
    <row r="282" ht="15.75" customHeight="1">
      <c r="A282" s="3" t="s">
        <v>1352</v>
      </c>
      <c r="B282" s="12">
        <v>46118.0</v>
      </c>
      <c r="C282" s="3" t="s">
        <v>1353</v>
      </c>
      <c r="D282" s="3" t="s">
        <v>1354</v>
      </c>
      <c r="E282" s="3" t="s">
        <v>903</v>
      </c>
      <c r="F282" s="3" t="s">
        <v>1354</v>
      </c>
      <c r="G282" s="3">
        <v>1.0</v>
      </c>
      <c r="H282" s="3" t="s">
        <v>1084</v>
      </c>
      <c r="I282" s="3" t="s">
        <v>1119</v>
      </c>
      <c r="J282" s="3" t="s">
        <v>1129</v>
      </c>
      <c r="K282" s="3" t="s">
        <v>1113</v>
      </c>
    </row>
    <row r="283" ht="15.75" customHeight="1">
      <c r="A283" s="3" t="s">
        <v>1355</v>
      </c>
      <c r="B283" s="12">
        <v>46118.0</v>
      </c>
      <c r="C283" s="3" t="s">
        <v>1342</v>
      </c>
      <c r="D283" s="3" t="s">
        <v>1354</v>
      </c>
      <c r="E283" s="3" t="s">
        <v>903</v>
      </c>
      <c r="F283" s="3" t="s">
        <v>1354</v>
      </c>
      <c r="G283" s="3">
        <v>1.0</v>
      </c>
      <c r="H283" s="3" t="s">
        <v>1084</v>
      </c>
      <c r="I283" s="3" t="s">
        <v>1119</v>
      </c>
      <c r="J283" s="3" t="s">
        <v>1129</v>
      </c>
      <c r="K283" s="3" t="s">
        <v>1113</v>
      </c>
    </row>
    <row r="284" ht="15.75" customHeight="1">
      <c r="A284" s="3" t="s">
        <v>1356</v>
      </c>
      <c r="B284" s="12">
        <v>46118.0</v>
      </c>
      <c r="C284" s="3" t="s">
        <v>710</v>
      </c>
      <c r="D284" s="3" t="s">
        <v>1354</v>
      </c>
      <c r="E284" s="3" t="s">
        <v>903</v>
      </c>
      <c r="F284" s="3" t="s">
        <v>1354</v>
      </c>
      <c r="G284" s="3">
        <v>1.0</v>
      </c>
      <c r="H284" s="3" t="s">
        <v>1084</v>
      </c>
      <c r="I284" s="3" t="s">
        <v>1085</v>
      </c>
      <c r="K284" s="3" t="s">
        <v>1113</v>
      </c>
    </row>
    <row r="285" ht="15.75" customHeight="1">
      <c r="A285" s="3" t="s">
        <v>1357</v>
      </c>
      <c r="B285" s="12">
        <v>46118.0</v>
      </c>
      <c r="C285" s="3" t="s">
        <v>1353</v>
      </c>
      <c r="D285" s="3" t="s">
        <v>923</v>
      </c>
      <c r="E285" s="3" t="s">
        <v>903</v>
      </c>
      <c r="F285" s="3" t="s">
        <v>923</v>
      </c>
      <c r="G285" s="3">
        <v>1.0</v>
      </c>
      <c r="H285" s="3" t="s">
        <v>1084</v>
      </c>
      <c r="I285" s="3" t="s">
        <v>1119</v>
      </c>
      <c r="J285" s="3" t="s">
        <v>1129</v>
      </c>
      <c r="K285" s="3" t="s">
        <v>1113</v>
      </c>
    </row>
    <row r="286" ht="15.75" customHeight="1">
      <c r="A286" s="3" t="s">
        <v>1358</v>
      </c>
      <c r="B286" s="12">
        <v>46118.0</v>
      </c>
      <c r="C286" s="3" t="s">
        <v>1353</v>
      </c>
      <c r="D286" s="3" t="s">
        <v>1240</v>
      </c>
      <c r="E286" s="3" t="s">
        <v>903</v>
      </c>
      <c r="F286" s="3" t="s">
        <v>1240</v>
      </c>
      <c r="G286" s="3">
        <v>1.0</v>
      </c>
      <c r="H286" s="3" t="s">
        <v>1084</v>
      </c>
      <c r="I286" s="3" t="s">
        <v>1119</v>
      </c>
      <c r="J286" s="3" t="s">
        <v>1129</v>
      </c>
      <c r="K286" s="3" t="s">
        <v>1113</v>
      </c>
    </row>
    <row r="287" ht="15.75" customHeight="1">
      <c r="A287" s="3" t="s">
        <v>1359</v>
      </c>
      <c r="B287" s="12">
        <v>46118.0</v>
      </c>
      <c r="C287" s="3" t="s">
        <v>1353</v>
      </c>
      <c r="D287" s="3" t="s">
        <v>1242</v>
      </c>
      <c r="E287" s="3" t="s">
        <v>903</v>
      </c>
      <c r="F287" s="3" t="s">
        <v>1242</v>
      </c>
      <c r="G287" s="3">
        <v>1.0</v>
      </c>
      <c r="H287" s="3" t="s">
        <v>1084</v>
      </c>
      <c r="I287" s="3" t="s">
        <v>1119</v>
      </c>
      <c r="J287" s="3" t="s">
        <v>1129</v>
      </c>
      <c r="K287" s="3" t="s">
        <v>1113</v>
      </c>
    </row>
    <row r="288" ht="15.75" customHeight="1">
      <c r="A288" s="3" t="s">
        <v>1360</v>
      </c>
      <c r="B288" s="12">
        <v>46118.0</v>
      </c>
      <c r="C288" s="3" t="s">
        <v>1353</v>
      </c>
      <c r="D288" s="3" t="s">
        <v>1244</v>
      </c>
      <c r="E288" s="3" t="s">
        <v>903</v>
      </c>
      <c r="F288" s="3" t="s">
        <v>1244</v>
      </c>
      <c r="G288" s="3">
        <v>1.0</v>
      </c>
      <c r="H288" s="3" t="s">
        <v>1084</v>
      </c>
      <c r="I288" s="3" t="s">
        <v>1119</v>
      </c>
      <c r="J288" s="3" t="s">
        <v>1129</v>
      </c>
      <c r="K288" s="3" t="s">
        <v>1113</v>
      </c>
    </row>
    <row r="289" ht="15.75" customHeight="1">
      <c r="A289" s="3" t="s">
        <v>1361</v>
      </c>
      <c r="B289" s="12">
        <v>46118.0</v>
      </c>
      <c r="C289" s="3" t="s">
        <v>1353</v>
      </c>
      <c r="D289" s="3" t="s">
        <v>1246</v>
      </c>
      <c r="E289" s="3" t="s">
        <v>903</v>
      </c>
      <c r="F289" s="3" t="s">
        <v>1246</v>
      </c>
      <c r="G289" s="3">
        <v>1.0</v>
      </c>
      <c r="H289" s="3" t="s">
        <v>1084</v>
      </c>
      <c r="I289" s="3" t="s">
        <v>1119</v>
      </c>
      <c r="J289" s="3" t="s">
        <v>1129</v>
      </c>
      <c r="K289" s="3" t="s">
        <v>1113</v>
      </c>
    </row>
    <row r="290" ht="15.75" customHeight="1">
      <c r="A290" s="3" t="s">
        <v>1362</v>
      </c>
      <c r="B290" s="12">
        <v>46118.0</v>
      </c>
      <c r="C290" s="3" t="s">
        <v>1353</v>
      </c>
      <c r="D290" s="3" t="s">
        <v>928</v>
      </c>
      <c r="E290" s="3" t="s">
        <v>903</v>
      </c>
      <c r="F290" s="3" t="s">
        <v>928</v>
      </c>
      <c r="G290" s="3">
        <v>1.0</v>
      </c>
      <c r="H290" s="3" t="s">
        <v>1084</v>
      </c>
      <c r="I290" s="3" t="s">
        <v>1119</v>
      </c>
      <c r="J290" s="3" t="s">
        <v>1129</v>
      </c>
      <c r="K290" s="3" t="s">
        <v>1113</v>
      </c>
    </row>
    <row r="291" ht="15.75" customHeight="1">
      <c r="A291" s="3" t="s">
        <v>1363</v>
      </c>
      <c r="B291" s="12">
        <v>46118.0</v>
      </c>
      <c r="C291" s="3" t="s">
        <v>1353</v>
      </c>
      <c r="D291" s="3" t="s">
        <v>1159</v>
      </c>
      <c r="E291" s="3" t="s">
        <v>903</v>
      </c>
      <c r="F291" s="3" t="s">
        <v>1159</v>
      </c>
      <c r="G291" s="3">
        <v>1.0</v>
      </c>
      <c r="H291" s="3" t="s">
        <v>1084</v>
      </c>
      <c r="I291" s="3" t="s">
        <v>1119</v>
      </c>
      <c r="J291" s="3" t="s">
        <v>1129</v>
      </c>
      <c r="K291" s="3" t="s">
        <v>1113</v>
      </c>
    </row>
    <row r="292" ht="15.75" customHeight="1">
      <c r="A292" s="3" t="s">
        <v>1364</v>
      </c>
      <c r="B292" s="12">
        <v>46119.0</v>
      </c>
      <c r="C292" s="3" t="s">
        <v>62</v>
      </c>
      <c r="D292" s="3" t="s">
        <v>1365</v>
      </c>
      <c r="E292" s="3" t="s">
        <v>903</v>
      </c>
      <c r="F292" s="3" t="s">
        <v>1366</v>
      </c>
      <c r="G292" s="3">
        <v>1.0</v>
      </c>
      <c r="H292" s="3" t="s">
        <v>1084</v>
      </c>
      <c r="I292" s="3" t="s">
        <v>1129</v>
      </c>
      <c r="K292" s="3" t="s">
        <v>1087</v>
      </c>
    </row>
    <row r="293" ht="15.75" customHeight="1">
      <c r="A293" s="3" t="s">
        <v>1367</v>
      </c>
      <c r="B293" s="12">
        <v>46119.0</v>
      </c>
      <c r="C293" s="3" t="s">
        <v>69</v>
      </c>
      <c r="D293" s="3" t="s">
        <v>1368</v>
      </c>
      <c r="E293" s="3" t="s">
        <v>903</v>
      </c>
      <c r="F293" s="3" t="s">
        <v>1369</v>
      </c>
      <c r="G293" s="3">
        <v>1.0</v>
      </c>
      <c r="H293" s="3" t="s">
        <v>1084</v>
      </c>
      <c r="I293" s="3" t="s">
        <v>1119</v>
      </c>
      <c r="J293" s="3" t="s">
        <v>1131</v>
      </c>
      <c r="K293" s="3" t="s">
        <v>1113</v>
      </c>
    </row>
    <row r="294" ht="15.75" customHeight="1">
      <c r="A294" s="3" t="s">
        <v>1370</v>
      </c>
      <c r="B294" s="12">
        <v>46119.0</v>
      </c>
      <c r="C294" s="3" t="s">
        <v>62</v>
      </c>
      <c r="D294" s="3" t="s">
        <v>961</v>
      </c>
      <c r="E294" s="3" t="s">
        <v>903</v>
      </c>
      <c r="F294" s="3" t="s">
        <v>961</v>
      </c>
      <c r="G294" s="3">
        <v>1.0</v>
      </c>
      <c r="H294" s="3" t="s">
        <v>1084</v>
      </c>
      <c r="I294" s="3" t="s">
        <v>1129</v>
      </c>
      <c r="K294" s="3" t="s">
        <v>1087</v>
      </c>
    </row>
    <row r="295" ht="15.75" customHeight="1">
      <c r="A295" s="3" t="s">
        <v>1371</v>
      </c>
      <c r="B295" s="12">
        <v>46119.0</v>
      </c>
      <c r="C295" s="3" t="s">
        <v>62</v>
      </c>
      <c r="D295" s="3" t="s">
        <v>1365</v>
      </c>
      <c r="E295" s="3" t="s">
        <v>903</v>
      </c>
      <c r="F295" s="3" t="s">
        <v>1366</v>
      </c>
      <c r="G295" s="3">
        <v>1.0</v>
      </c>
      <c r="H295" s="3" t="s">
        <v>1084</v>
      </c>
      <c r="I295" s="3" t="s">
        <v>1092</v>
      </c>
      <c r="K295" s="3" t="s">
        <v>1087</v>
      </c>
    </row>
    <row r="296" ht="15.75" customHeight="1">
      <c r="A296" s="3" t="s">
        <v>1372</v>
      </c>
      <c r="B296" s="12">
        <v>46121.0</v>
      </c>
      <c r="C296" s="3" t="s">
        <v>1121</v>
      </c>
      <c r="D296" s="3" t="s">
        <v>936</v>
      </c>
      <c r="E296" s="3" t="s">
        <v>903</v>
      </c>
      <c r="F296" s="3" t="s">
        <v>936</v>
      </c>
      <c r="G296" s="3">
        <v>1.0</v>
      </c>
      <c r="H296" s="3" t="s">
        <v>1084</v>
      </c>
      <c r="I296" s="3" t="s">
        <v>1129</v>
      </c>
      <c r="K296" s="3" t="s">
        <v>1121</v>
      </c>
    </row>
    <row r="297" ht="15.75" customHeight="1">
      <c r="A297" s="3" t="s">
        <v>1373</v>
      </c>
      <c r="B297" s="12">
        <v>46121.0</v>
      </c>
      <c r="C297" s="3" t="s">
        <v>62</v>
      </c>
      <c r="D297" s="3" t="s">
        <v>961</v>
      </c>
      <c r="E297" s="3" t="s">
        <v>903</v>
      </c>
      <c r="F297" s="3" t="s">
        <v>961</v>
      </c>
      <c r="G297" s="3">
        <v>1.0</v>
      </c>
      <c r="H297" s="3" t="s">
        <v>1084</v>
      </c>
      <c r="I297" s="3" t="s">
        <v>1089</v>
      </c>
      <c r="K297" s="3" t="s">
        <v>1087</v>
      </c>
    </row>
    <row r="298" ht="15.75" customHeight="1">
      <c r="A298" s="3" t="s">
        <v>1374</v>
      </c>
      <c r="B298" s="12">
        <v>46123.0</v>
      </c>
      <c r="C298" s="3" t="s">
        <v>438</v>
      </c>
      <c r="D298" s="3" t="s">
        <v>1375</v>
      </c>
      <c r="E298" s="3" t="s">
        <v>975</v>
      </c>
      <c r="F298" s="3" t="s">
        <v>1376</v>
      </c>
      <c r="G298" s="3">
        <v>1.0</v>
      </c>
      <c r="H298" s="3" t="s">
        <v>1084</v>
      </c>
      <c r="I298" s="3" t="s">
        <v>1085</v>
      </c>
      <c r="K298" s="3" t="s">
        <v>1377</v>
      </c>
    </row>
    <row r="299" ht="15.75" customHeight="1">
      <c r="A299" s="3" t="s">
        <v>1378</v>
      </c>
      <c r="B299" s="12">
        <v>46125.0</v>
      </c>
      <c r="C299" s="3" t="s">
        <v>1121</v>
      </c>
      <c r="D299" s="3" t="s">
        <v>936</v>
      </c>
      <c r="E299" s="3" t="s">
        <v>903</v>
      </c>
      <c r="F299" s="3" t="s">
        <v>936</v>
      </c>
      <c r="G299" s="3">
        <v>1.0</v>
      </c>
      <c r="H299" s="3" t="s">
        <v>1084</v>
      </c>
      <c r="I299" s="3" t="s">
        <v>1089</v>
      </c>
      <c r="K299" s="3" t="s">
        <v>1121</v>
      </c>
    </row>
    <row r="300" ht="15.75" customHeight="1">
      <c r="A300" s="3" t="s">
        <v>1379</v>
      </c>
      <c r="B300" s="12">
        <v>46126.0</v>
      </c>
      <c r="C300" s="3" t="s">
        <v>62</v>
      </c>
      <c r="D300" s="3" t="s">
        <v>961</v>
      </c>
      <c r="E300" s="3" t="s">
        <v>903</v>
      </c>
      <c r="F300" s="3" t="s">
        <v>961</v>
      </c>
      <c r="G300" s="3">
        <v>1.0</v>
      </c>
      <c r="H300" s="3" t="s">
        <v>1084</v>
      </c>
      <c r="I300" s="3" t="s">
        <v>1089</v>
      </c>
      <c r="K300" s="3" t="s">
        <v>1087</v>
      </c>
    </row>
    <row r="301" ht="15.75" customHeight="1">
      <c r="A301" s="3" t="s">
        <v>1380</v>
      </c>
      <c r="B301" s="12">
        <v>46126.0</v>
      </c>
      <c r="C301" s="3" t="s">
        <v>76</v>
      </c>
      <c r="D301" s="3" t="s">
        <v>955</v>
      </c>
      <c r="E301" s="3" t="s">
        <v>903</v>
      </c>
      <c r="F301" s="3" t="s">
        <v>955</v>
      </c>
      <c r="G301" s="3">
        <v>1.0</v>
      </c>
      <c r="H301" s="3" t="s">
        <v>1084</v>
      </c>
      <c r="I301" s="3" t="s">
        <v>1089</v>
      </c>
      <c r="K301" s="3" t="s">
        <v>1087</v>
      </c>
    </row>
    <row r="302" ht="15.75" customHeight="1">
      <c r="A302" s="3" t="s">
        <v>1381</v>
      </c>
      <c r="B302" s="12">
        <v>46126.0</v>
      </c>
      <c r="C302" s="3" t="s">
        <v>76</v>
      </c>
      <c r="D302" s="3" t="s">
        <v>1382</v>
      </c>
      <c r="E302" s="3" t="s">
        <v>903</v>
      </c>
      <c r="F302" s="3" t="s">
        <v>1383</v>
      </c>
      <c r="G302" s="3">
        <v>1.0</v>
      </c>
      <c r="H302" s="3" t="s">
        <v>1084</v>
      </c>
      <c r="I302" s="3" t="s">
        <v>1089</v>
      </c>
      <c r="K302" s="3" t="s">
        <v>1087</v>
      </c>
    </row>
    <row r="303" ht="15.75" customHeight="1">
      <c r="A303" s="3" t="s">
        <v>1384</v>
      </c>
      <c r="B303" s="12">
        <v>46126.0</v>
      </c>
      <c r="C303" s="3" t="s">
        <v>101</v>
      </c>
      <c r="D303" s="3" t="s">
        <v>923</v>
      </c>
      <c r="E303" s="3" t="s">
        <v>903</v>
      </c>
      <c r="F303" s="3" t="s">
        <v>923</v>
      </c>
      <c r="G303" s="3">
        <v>1.0</v>
      </c>
      <c r="H303" s="3" t="s">
        <v>1084</v>
      </c>
      <c r="I303" s="3" t="s">
        <v>1085</v>
      </c>
      <c r="K303" s="3" t="s">
        <v>1087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qref="H2:H199">
      <formula1>"Y,N"</formula1>
    </dataValidation>
    <dataValidation type="list" allowBlank="1" sqref="I2:I199">
      <formula1>"분실,오배부,추가지급,재배부,반이동후추가지급,기타"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1385</v>
      </c>
      <c r="B1" s="3" t="s">
        <v>60</v>
      </c>
    </row>
    <row r="2">
      <c r="A2" s="4" t="str">
        <f t="array" ref="A2:A2432">IF(B2:B2432&lt;&gt;"","STU-"&amp;TEXT(ROW(B2:B2432),"0000"),"")</f>
        <v>STU-0002</v>
      </c>
      <c r="B2" s="4" t="str">
        <f>IFERROR(__xludf.DUMMYFUNCTION("SORT(UNIQUE(FILTER('학생반배정'!B2:B2432,'학생반배정'!D2:D2432=""재원"",'학생반배정'!B2:B2432&lt;&gt;"""")))"),"(5)강연웅2804")</f>
        <v>(5)강연웅2804</v>
      </c>
    </row>
    <row r="3">
      <c r="A3" s="4" t="s">
        <v>1386</v>
      </c>
      <c r="B3" s="4" t="str">
        <f>IFERROR(__xludf.DUMMYFUNCTION("""COMPUTED_VALUE"""),"(5)강유찬8685")</f>
        <v>(5)강유찬8685</v>
      </c>
    </row>
    <row r="4">
      <c r="A4" s="4" t="s">
        <v>1387</v>
      </c>
      <c r="B4" s="4" t="str">
        <f>IFERROR(__xludf.DUMMYFUNCTION("""COMPUTED_VALUE"""),"(5)고강민8799")</f>
        <v>(5)고강민8799</v>
      </c>
    </row>
    <row r="5">
      <c r="A5" s="4" t="s">
        <v>1388</v>
      </c>
      <c r="B5" s="4" t="str">
        <f>IFERROR(__xludf.DUMMYFUNCTION("""COMPUTED_VALUE"""),"(5)김준수3824")</f>
        <v>(5)김준수3824</v>
      </c>
    </row>
    <row r="6">
      <c r="A6" s="4" t="s">
        <v>1389</v>
      </c>
      <c r="B6" s="4" t="str">
        <f>IFERROR(__xludf.DUMMYFUNCTION("""COMPUTED_VALUE"""),"(5)김진혁7053")</f>
        <v>(5)김진혁7053</v>
      </c>
    </row>
    <row r="7">
      <c r="A7" s="4" t="s">
        <v>1390</v>
      </c>
      <c r="B7" s="4" t="str">
        <f>IFERROR(__xludf.DUMMYFUNCTION("""COMPUTED_VALUE"""),"(5)문혁기2222")</f>
        <v>(5)문혁기2222</v>
      </c>
    </row>
    <row r="8">
      <c r="A8" s="4" t="s">
        <v>1391</v>
      </c>
      <c r="B8" s="4" t="str">
        <f>IFERROR(__xludf.DUMMYFUNCTION("""COMPUTED_VALUE"""),"(5)박경동8420")</f>
        <v>(5)박경동8420</v>
      </c>
    </row>
    <row r="9">
      <c r="A9" s="4" t="s">
        <v>1392</v>
      </c>
      <c r="B9" s="4" t="str">
        <f>IFERROR(__xludf.DUMMYFUNCTION("""COMPUTED_VALUE"""),"(5)방준혁8763")</f>
        <v>(5)방준혁8763</v>
      </c>
    </row>
    <row r="10">
      <c r="A10" s="4" t="s">
        <v>1393</v>
      </c>
      <c r="B10" s="4" t="str">
        <f>IFERROR(__xludf.DUMMYFUNCTION("""COMPUTED_VALUE"""),"(5)손찬우7814")</f>
        <v>(5)손찬우7814</v>
      </c>
    </row>
    <row r="11">
      <c r="A11" s="4" t="s">
        <v>1394</v>
      </c>
      <c r="B11" s="4" t="str">
        <f>IFERROR(__xludf.DUMMYFUNCTION("""COMPUTED_VALUE"""),"(5)신희건2420")</f>
        <v>(5)신희건2420</v>
      </c>
    </row>
    <row r="12">
      <c r="A12" s="4" t="s">
        <v>1395</v>
      </c>
      <c r="B12" s="4" t="str">
        <f>IFERROR(__xludf.DUMMYFUNCTION("""COMPUTED_VALUE"""),"(5)오승민8884")</f>
        <v>(5)오승민8884</v>
      </c>
    </row>
    <row r="13">
      <c r="A13" s="4" t="s">
        <v>1396</v>
      </c>
      <c r="B13" s="4" t="str">
        <f>IFERROR(__xludf.DUMMYFUNCTION("""COMPUTED_VALUE"""),"(5)유민재7079")</f>
        <v>(5)유민재7079</v>
      </c>
    </row>
    <row r="14">
      <c r="A14" s="4" t="s">
        <v>1397</v>
      </c>
      <c r="B14" s="4" t="str">
        <f>IFERROR(__xludf.DUMMYFUNCTION("""COMPUTED_VALUE"""),"(5)윤태웅1592")</f>
        <v>(5)윤태웅1592</v>
      </c>
    </row>
    <row r="15">
      <c r="A15" s="4" t="s">
        <v>1398</v>
      </c>
      <c r="B15" s="4" t="str">
        <f>IFERROR(__xludf.DUMMYFUNCTION("""COMPUTED_VALUE"""),"(5)이민욱7522")</f>
        <v>(5)이민욱7522</v>
      </c>
    </row>
    <row r="16">
      <c r="A16" s="4" t="s">
        <v>1399</v>
      </c>
      <c r="B16" s="4" t="str">
        <f>IFERROR(__xludf.DUMMYFUNCTION("""COMPUTED_VALUE"""),"(5)이영욱6966")</f>
        <v>(5)이영욱6966</v>
      </c>
    </row>
    <row r="17">
      <c r="A17" s="4" t="s">
        <v>1400</v>
      </c>
      <c r="B17" s="4" t="str">
        <f>IFERROR(__xludf.DUMMYFUNCTION("""COMPUTED_VALUE"""),"(5)이재국9609")</f>
        <v>(5)이재국9609</v>
      </c>
    </row>
    <row r="18">
      <c r="A18" s="4" t="s">
        <v>1401</v>
      </c>
      <c r="B18" s="4" t="str">
        <f>IFERROR(__xludf.DUMMYFUNCTION("""COMPUTED_VALUE"""),"(5)조준범0784")</f>
        <v>(5)조준범0784</v>
      </c>
    </row>
    <row r="19">
      <c r="A19" s="4" t="s">
        <v>1402</v>
      </c>
      <c r="B19" s="4" t="str">
        <f>IFERROR(__xludf.DUMMYFUNCTION("""COMPUTED_VALUE"""),"(5)지무경1270")</f>
        <v>(5)지무경1270</v>
      </c>
    </row>
    <row r="20">
      <c r="A20" s="4" t="s">
        <v>1403</v>
      </c>
      <c r="B20" s="4" t="str">
        <f>IFERROR(__xludf.DUMMYFUNCTION("""COMPUTED_VALUE"""),"(5)최민준4523")</f>
        <v>(5)최민준4523</v>
      </c>
    </row>
    <row r="21">
      <c r="A21" s="4" t="s">
        <v>1404</v>
      </c>
      <c r="B21" s="4" t="str">
        <f>IFERROR(__xludf.DUMMYFUNCTION("""COMPUTED_VALUE"""),"(5)하시원2339")</f>
        <v>(5)하시원2339</v>
      </c>
    </row>
    <row r="22">
      <c r="A22" s="4" t="s">
        <v>1405</v>
      </c>
      <c r="B22" s="4" t="str">
        <f>IFERROR(__xludf.DUMMYFUNCTION("""COMPUTED_VALUE"""),"(강)기영윤7318")</f>
        <v>(강)기영윤7318</v>
      </c>
    </row>
    <row r="23">
      <c r="A23" s="4" t="s">
        <v>1406</v>
      </c>
      <c r="B23" s="4" t="str">
        <f>IFERROR(__xludf.DUMMYFUNCTION("""COMPUTED_VALUE"""),"(강)김도형7747")</f>
        <v>(강)김도형7747</v>
      </c>
    </row>
    <row r="24">
      <c r="A24" s="4" t="s">
        <v>1407</v>
      </c>
      <c r="B24" s="4" t="str">
        <f>IFERROR(__xludf.DUMMYFUNCTION("""COMPUTED_VALUE"""),"(강)김민건8182")</f>
        <v>(강)김민건8182</v>
      </c>
    </row>
    <row r="25">
      <c r="A25" s="4" t="s">
        <v>1408</v>
      </c>
      <c r="B25" s="4" t="str">
        <f>IFERROR(__xludf.DUMMYFUNCTION("""COMPUTED_VALUE"""),"(강)김수홍7778")</f>
        <v>(강)김수홍7778</v>
      </c>
    </row>
    <row r="26">
      <c r="A26" s="4" t="s">
        <v>1409</v>
      </c>
      <c r="B26" s="4" t="str">
        <f>IFERROR(__xludf.DUMMYFUNCTION("""COMPUTED_VALUE"""),"(강)민준혁9223")</f>
        <v>(강)민준혁9223</v>
      </c>
    </row>
    <row r="27">
      <c r="A27" s="4" t="s">
        <v>1410</v>
      </c>
      <c r="B27" s="4" t="str">
        <f>IFERROR(__xludf.DUMMYFUNCTION("""COMPUTED_VALUE"""),"(강)박성효3234")</f>
        <v>(강)박성효3234</v>
      </c>
    </row>
    <row r="28">
      <c r="A28" s="4" t="s">
        <v>1411</v>
      </c>
      <c r="B28" s="4" t="str">
        <f>IFERROR(__xludf.DUMMYFUNCTION("""COMPUTED_VALUE"""),"(강)박주석8032")</f>
        <v>(강)박주석8032</v>
      </c>
    </row>
    <row r="29">
      <c r="A29" s="4" t="s">
        <v>1412</v>
      </c>
      <c r="B29" s="4" t="str">
        <f>IFERROR(__xludf.DUMMYFUNCTION("""COMPUTED_VALUE"""),"(강)왕효준2880")</f>
        <v>(강)왕효준2880</v>
      </c>
    </row>
    <row r="30">
      <c r="A30" s="4" t="s">
        <v>1413</v>
      </c>
      <c r="B30" s="4" t="str">
        <f>IFERROR(__xludf.DUMMYFUNCTION("""COMPUTED_VALUE"""),"(강)이도현1102")</f>
        <v>(강)이도현1102</v>
      </c>
    </row>
    <row r="31">
      <c r="A31" s="4" t="s">
        <v>1414</v>
      </c>
      <c r="B31" s="4" t="str">
        <f>IFERROR(__xludf.DUMMYFUNCTION("""COMPUTED_VALUE"""),"(강)이동건5693")</f>
        <v>(강)이동건5693</v>
      </c>
    </row>
    <row r="32">
      <c r="A32" s="4" t="s">
        <v>1415</v>
      </c>
      <c r="B32" s="4" t="str">
        <f>IFERROR(__xludf.DUMMYFUNCTION("""COMPUTED_VALUE"""),"(강)장윤건7351")</f>
        <v>(강)장윤건7351</v>
      </c>
    </row>
    <row r="33">
      <c r="A33" s="4" t="s">
        <v>1416</v>
      </c>
      <c r="B33" s="4" t="str">
        <f>IFERROR(__xludf.DUMMYFUNCTION("""COMPUTED_VALUE"""),"(개_5)김민준5243")</f>
        <v>(개_5)김민준5243</v>
      </c>
    </row>
    <row r="34">
      <c r="A34" s="4" t="s">
        <v>1417</v>
      </c>
      <c r="B34" s="4" t="str">
        <f>IFERROR(__xludf.DUMMYFUNCTION("""COMPUTED_VALUE"""),"(개_5)민정원9707")</f>
        <v>(개_5)민정원9707</v>
      </c>
    </row>
    <row r="35">
      <c r="A35" s="4" t="s">
        <v>1418</v>
      </c>
      <c r="B35" s="4" t="str">
        <f>IFERROR(__xludf.DUMMYFUNCTION("""COMPUTED_VALUE"""),"(개_5)박상현0208")</f>
        <v>(개_5)박상현0208</v>
      </c>
    </row>
    <row r="36">
      <c r="A36" s="4" t="s">
        <v>1419</v>
      </c>
      <c r="B36" s="4" t="str">
        <f>IFERROR(__xludf.DUMMYFUNCTION("""COMPUTED_VALUE"""),"(개_5)박시우7232")</f>
        <v>(개_5)박시우7232</v>
      </c>
    </row>
    <row r="37">
      <c r="A37" s="4" t="s">
        <v>1420</v>
      </c>
      <c r="B37" s="4" t="str">
        <f>IFERROR(__xludf.DUMMYFUNCTION("""COMPUTED_VALUE"""),"(개_5)방승수0714")</f>
        <v>(개_5)방승수0714</v>
      </c>
    </row>
    <row r="38">
      <c r="A38" s="4" t="s">
        <v>1421</v>
      </c>
      <c r="B38" s="4" t="str">
        <f>IFERROR(__xludf.DUMMYFUNCTION("""COMPUTED_VALUE"""),"(개_5)서은후1353")</f>
        <v>(개_5)서은후1353</v>
      </c>
    </row>
    <row r="39">
      <c r="A39" s="4" t="s">
        <v>1422</v>
      </c>
      <c r="B39" s="4" t="str">
        <f>IFERROR(__xludf.DUMMYFUNCTION("""COMPUTED_VALUE"""),"(개_5)이한결0479")</f>
        <v>(개_5)이한결0479</v>
      </c>
    </row>
    <row r="40">
      <c r="A40" s="4" t="s">
        <v>1423</v>
      </c>
      <c r="B40" s="4" t="str">
        <f>IFERROR(__xludf.DUMMYFUNCTION("""COMPUTED_VALUE"""),"(개_5)임건우5242")</f>
        <v>(개_5)임건우5242</v>
      </c>
    </row>
    <row r="41">
      <c r="A41" s="4" t="s">
        <v>1424</v>
      </c>
      <c r="B41" s="4" t="str">
        <f>IFERROR(__xludf.DUMMYFUNCTION("""COMPUTED_VALUE"""),"(개_5)임예준3266")</f>
        <v>(개_5)임예준3266</v>
      </c>
    </row>
    <row r="42">
      <c r="A42" s="4" t="s">
        <v>1425</v>
      </c>
      <c r="B42" s="4" t="str">
        <f>IFERROR(__xludf.DUMMYFUNCTION("""COMPUTED_VALUE"""),"(개_5)임재준4588")</f>
        <v>(개_5)임재준4588</v>
      </c>
    </row>
    <row r="43">
      <c r="A43" s="4" t="s">
        <v>1426</v>
      </c>
      <c r="B43" s="4" t="str">
        <f>IFERROR(__xludf.DUMMYFUNCTION("""COMPUTED_VALUE"""),"(개_5)전예준2851")</f>
        <v>(개_5)전예준2851</v>
      </c>
    </row>
    <row r="44">
      <c r="A44" s="4" t="s">
        <v>1427</v>
      </c>
      <c r="B44" s="4" t="str">
        <f>IFERROR(__xludf.DUMMYFUNCTION("""COMPUTED_VALUE"""),"(개_5)지우현4872")</f>
        <v>(개_5)지우현4872</v>
      </c>
    </row>
    <row r="45">
      <c r="A45" s="4" t="s">
        <v>1428</v>
      </c>
      <c r="B45" s="4" t="str">
        <f>IFERROR(__xludf.DUMMYFUNCTION("""COMPUTED_VALUE"""),"(개_일)고은채4346")</f>
        <v>(개_일)고은채4346</v>
      </c>
    </row>
    <row r="46">
      <c r="A46" s="4" t="s">
        <v>1429</v>
      </c>
      <c r="B46" s="4" t="str">
        <f>IFERROR(__xludf.DUMMYFUNCTION("""COMPUTED_VALUE"""),"(개_일)김시예0805")</f>
        <v>(개_일)김시예0805</v>
      </c>
    </row>
    <row r="47">
      <c r="A47" s="4" t="s">
        <v>1430</v>
      </c>
      <c r="B47" s="4" t="str">
        <f>IFERROR(__xludf.DUMMYFUNCTION("""COMPUTED_VALUE"""),"(개_일)김예담9555")</f>
        <v>(개_일)김예담9555</v>
      </c>
    </row>
    <row r="48">
      <c r="A48" s="4" t="s">
        <v>1431</v>
      </c>
      <c r="B48" s="4" t="str">
        <f>IFERROR(__xludf.DUMMYFUNCTION("""COMPUTED_VALUE"""),"(개_일)김온유5076")</f>
        <v>(개_일)김온유5076</v>
      </c>
    </row>
    <row r="49">
      <c r="A49" s="4" t="s">
        <v>1432</v>
      </c>
      <c r="B49" s="4" t="str">
        <f>IFERROR(__xludf.DUMMYFUNCTION("""COMPUTED_VALUE"""),"(개_일)김유진2847")</f>
        <v>(개_일)김유진2847</v>
      </c>
    </row>
    <row r="50">
      <c r="A50" s="4" t="s">
        <v>1433</v>
      </c>
      <c r="B50" s="4" t="str">
        <f>IFERROR(__xludf.DUMMYFUNCTION("""COMPUTED_VALUE"""),"(개_일)김태은3330")</f>
        <v>(개_일)김태은3330</v>
      </c>
    </row>
    <row r="51">
      <c r="A51" s="4" t="s">
        <v>1434</v>
      </c>
      <c r="B51" s="4" t="str">
        <f>IFERROR(__xludf.DUMMYFUNCTION("""COMPUTED_VALUE"""),"(개_일)박예영8386")</f>
        <v>(개_일)박예영8386</v>
      </c>
    </row>
    <row r="52">
      <c r="A52" s="4" t="s">
        <v>1435</v>
      </c>
      <c r="B52" s="4" t="str">
        <f>IFERROR(__xludf.DUMMYFUNCTION("""COMPUTED_VALUE"""),"(개_일)손여진3390")</f>
        <v>(개_일)손여진3390</v>
      </c>
    </row>
    <row r="53">
      <c r="A53" s="4" t="s">
        <v>1436</v>
      </c>
      <c r="B53" s="4" t="str">
        <f>IFERROR(__xludf.DUMMYFUNCTION("""COMPUTED_VALUE"""),"(개_일)양이든8316")</f>
        <v>(개_일)양이든8316</v>
      </c>
    </row>
    <row r="54">
      <c r="A54" s="4" t="s">
        <v>1437</v>
      </c>
      <c r="B54" s="4" t="str">
        <f>IFERROR(__xludf.DUMMYFUNCTION("""COMPUTED_VALUE"""),"(개_일)이서의7569")</f>
        <v>(개_일)이서의7569</v>
      </c>
    </row>
    <row r="55">
      <c r="A55" s="4" t="s">
        <v>1438</v>
      </c>
      <c r="B55" s="4" t="str">
        <f>IFERROR(__xludf.DUMMYFUNCTION("""COMPUTED_VALUE"""),"(개_일)이서현2233")</f>
        <v>(개_일)이서현2233</v>
      </c>
    </row>
    <row r="56">
      <c r="A56" s="4" t="s">
        <v>1439</v>
      </c>
      <c r="B56" s="4" t="str">
        <f>IFERROR(__xludf.DUMMYFUNCTION("""COMPUTED_VALUE"""),"(개_일)이채민4087")</f>
        <v>(개_일)이채민4087</v>
      </c>
    </row>
    <row r="57">
      <c r="A57" s="4" t="s">
        <v>1440</v>
      </c>
      <c r="B57" s="4" t="str">
        <f>IFERROR(__xludf.DUMMYFUNCTION("""COMPUTED_VALUE"""),"(개_일)임도경5128")</f>
        <v>(개_일)임도경5128</v>
      </c>
    </row>
    <row r="58">
      <c r="A58" s="4" t="s">
        <v>1441</v>
      </c>
      <c r="B58" s="4" t="str">
        <f>IFERROR(__xludf.DUMMYFUNCTION("""COMPUTED_VALUE"""),"(개_일)장시연4755")</f>
        <v>(개_일)장시연4755</v>
      </c>
    </row>
    <row r="59">
      <c r="A59" s="4" t="s">
        <v>1442</v>
      </c>
      <c r="B59" s="4" t="str">
        <f>IFERROR(__xludf.DUMMYFUNCTION("""COMPUTED_VALUE"""),"(개_일)최서윤0998")</f>
        <v>(개_일)최서윤0998</v>
      </c>
    </row>
    <row r="60">
      <c r="A60" s="4" t="s">
        <v>1443</v>
      </c>
      <c r="B60" s="4" t="str">
        <f>IFERROR(__xludf.DUMMYFUNCTION("""COMPUTED_VALUE"""),"(개_일)최정원3665")</f>
        <v>(개_일)최정원3665</v>
      </c>
    </row>
    <row r="61">
      <c r="A61" s="4" t="s">
        <v>1444</v>
      </c>
      <c r="B61" s="4" t="str">
        <f>IFERROR(__xludf.DUMMYFUNCTION("""COMPUTED_VALUE"""),"(개_일)한지수9044")</f>
        <v>(개_일)한지수9044</v>
      </c>
    </row>
    <row r="62">
      <c r="A62" s="4" t="s">
        <v>1445</v>
      </c>
      <c r="B62" s="4" t="str">
        <f>IFERROR(__xludf.DUMMYFUNCTION("""COMPUTED_VALUE"""),"(교)김가은7178")</f>
        <v>(교)김가은7178</v>
      </c>
    </row>
    <row r="63">
      <c r="A63" s="4" t="s">
        <v>1446</v>
      </c>
      <c r="B63" s="4" t="str">
        <f>IFERROR(__xludf.DUMMYFUNCTION("""COMPUTED_VALUE"""),"(교)김보민5769")</f>
        <v>(교)김보민5769</v>
      </c>
    </row>
    <row r="64">
      <c r="A64" s="4" t="s">
        <v>1447</v>
      </c>
      <c r="B64" s="4" t="str">
        <f>IFERROR(__xludf.DUMMYFUNCTION("""COMPUTED_VALUE"""),"(교)송수빈5337")</f>
        <v>(교)송수빈5337</v>
      </c>
    </row>
    <row r="65">
      <c r="A65" s="4" t="s">
        <v>1448</v>
      </c>
      <c r="B65" s="4" t="str">
        <f>IFERROR(__xludf.DUMMYFUNCTION("""COMPUTED_VALUE"""),"(교)신유정7566")</f>
        <v>(교)신유정7566</v>
      </c>
    </row>
    <row r="66">
      <c r="A66" s="4" t="s">
        <v>1449</v>
      </c>
      <c r="B66" s="4" t="str">
        <f>IFERROR(__xludf.DUMMYFUNCTION("""COMPUTED_VALUE"""),"(교)양진서5080")</f>
        <v>(교)양진서5080</v>
      </c>
    </row>
    <row r="67">
      <c r="A67" s="4" t="s">
        <v>1450</v>
      </c>
      <c r="B67" s="4" t="str">
        <f>IFERROR(__xludf.DUMMYFUNCTION("""COMPUTED_VALUE"""),"(교)윤다연9207")</f>
        <v>(교)윤다연9207</v>
      </c>
    </row>
    <row r="68">
      <c r="A68" s="4" t="s">
        <v>1451</v>
      </c>
      <c r="B68" s="4" t="str">
        <f>IFERROR(__xludf.DUMMYFUNCTION("""COMPUTED_VALUE"""),"(교)이지우0221")</f>
        <v>(교)이지우0221</v>
      </c>
    </row>
    <row r="69">
      <c r="A69" s="4" t="s">
        <v>1452</v>
      </c>
      <c r="B69" s="4" t="str">
        <f>IFERROR(__xludf.DUMMYFUNCTION("""COMPUTED_VALUE"""),"(교)조희수6471")</f>
        <v>(교)조희수6471</v>
      </c>
    </row>
    <row r="70">
      <c r="A70" s="4" t="s">
        <v>1453</v>
      </c>
      <c r="B70" s="4" t="str">
        <f>IFERROR(__xludf.DUMMYFUNCTION("""COMPUTED_VALUE"""),"(교)차소정4052")</f>
        <v>(교)차소정4052</v>
      </c>
    </row>
    <row r="71">
      <c r="A71" s="4" t="s">
        <v>1454</v>
      </c>
      <c r="B71" s="4" t="str">
        <f>IFERROR(__xludf.DUMMYFUNCTION("""COMPUTED_VALUE"""),"(교)최수민4879")</f>
        <v>(교)최수민4879</v>
      </c>
    </row>
    <row r="72">
      <c r="A72" s="4" t="s">
        <v>1455</v>
      </c>
      <c r="B72" s="4" t="str">
        <f>IFERROR(__xludf.DUMMYFUNCTION("""COMPUTED_VALUE"""),"(교)최지우7723")</f>
        <v>(교)최지우7723</v>
      </c>
    </row>
    <row r="73">
      <c r="A73" s="4" t="s">
        <v>1456</v>
      </c>
      <c r="B73" s="4" t="str">
        <f>IFERROR(__xludf.DUMMYFUNCTION("""COMPUTED_VALUE"""),"(교)한유진8417")</f>
        <v>(교)한유진8417</v>
      </c>
    </row>
    <row r="74">
      <c r="A74" s="4" t="s">
        <v>1457</v>
      </c>
      <c r="B74" s="4" t="str">
        <f>IFERROR(__xludf.DUMMYFUNCTION("""COMPUTED_VALUE"""),"(교)홍석채2964")</f>
        <v>(교)홍석채2964</v>
      </c>
    </row>
    <row r="75">
      <c r="A75" s="4" t="s">
        <v>1458</v>
      </c>
      <c r="B75" s="4" t="str">
        <f>IFERROR(__xludf.DUMMYFUNCTION("""COMPUTED_VALUE"""),"(명)고유진4984")</f>
        <v>(명)고유진4984</v>
      </c>
    </row>
    <row r="76">
      <c r="A76" s="4" t="s">
        <v>1459</v>
      </c>
      <c r="B76" s="4" t="str">
        <f>IFERROR(__xludf.DUMMYFUNCTION("""COMPUTED_VALUE"""),"(명)김건5586")</f>
        <v>(명)김건5586</v>
      </c>
    </row>
    <row r="77">
      <c r="A77" s="4" t="s">
        <v>1460</v>
      </c>
      <c r="B77" s="4" t="str">
        <f>IFERROR(__xludf.DUMMYFUNCTION("""COMPUTED_VALUE"""),"(명)이영석8582")</f>
        <v>(명)이영석8582</v>
      </c>
    </row>
    <row r="78">
      <c r="A78" s="4" t="s">
        <v>1461</v>
      </c>
      <c r="B78" s="4" t="str">
        <f>IFERROR(__xludf.DUMMYFUNCTION("""COMPUTED_VALUE"""),"(명)이준형9016")</f>
        <v>(명)이준형9016</v>
      </c>
    </row>
    <row r="79">
      <c r="A79" s="4" t="s">
        <v>1462</v>
      </c>
      <c r="B79" s="4" t="str">
        <f>IFERROR(__xludf.DUMMYFUNCTION("""COMPUTED_VALUE"""),"(베)곽나영8302")</f>
        <v>(베)곽나영8302</v>
      </c>
    </row>
    <row r="80">
      <c r="A80" s="4" t="s">
        <v>1463</v>
      </c>
      <c r="B80" s="4" t="str">
        <f>IFERROR(__xludf.DUMMYFUNCTION("""COMPUTED_VALUE"""),"(베)권소연2604")</f>
        <v>(베)권소연2604</v>
      </c>
    </row>
    <row r="81">
      <c r="A81" s="4" t="s">
        <v>1464</v>
      </c>
      <c r="B81" s="4" t="str">
        <f>IFERROR(__xludf.DUMMYFUNCTION("""COMPUTED_VALUE"""),"(베)김민정8809")</f>
        <v>(베)김민정8809</v>
      </c>
    </row>
    <row r="82">
      <c r="A82" s="4" t="s">
        <v>1465</v>
      </c>
      <c r="B82" s="4" t="str">
        <f>IFERROR(__xludf.DUMMYFUNCTION("""COMPUTED_VALUE"""),"(베)김서영4149")</f>
        <v>(베)김서영4149</v>
      </c>
    </row>
    <row r="83">
      <c r="A83" s="4" t="s">
        <v>1466</v>
      </c>
      <c r="B83" s="4" t="str">
        <f>IFERROR(__xludf.DUMMYFUNCTION("""COMPUTED_VALUE"""),"(베)김아현2812")</f>
        <v>(베)김아현2812</v>
      </c>
    </row>
    <row r="84">
      <c r="A84" s="4" t="s">
        <v>1467</v>
      </c>
      <c r="B84" s="4" t="str">
        <f>IFERROR(__xludf.DUMMYFUNCTION("""COMPUTED_VALUE"""),"(베)서은서7111")</f>
        <v>(베)서은서7111</v>
      </c>
    </row>
    <row r="85">
      <c r="A85" s="4" t="s">
        <v>1468</v>
      </c>
      <c r="B85" s="4" t="str">
        <f>IFERROR(__xludf.DUMMYFUNCTION("""COMPUTED_VALUE"""),"(베)심서현0910")</f>
        <v>(베)심서현0910</v>
      </c>
    </row>
    <row r="86">
      <c r="A86" s="4" t="s">
        <v>1469</v>
      </c>
      <c r="B86" s="4" t="str">
        <f>IFERROR(__xludf.DUMMYFUNCTION("""COMPUTED_VALUE"""),"(베)양세희5603")</f>
        <v>(베)양세희5603</v>
      </c>
    </row>
    <row r="87">
      <c r="A87" s="4" t="s">
        <v>1470</v>
      </c>
      <c r="B87" s="4" t="str">
        <f>IFERROR(__xludf.DUMMYFUNCTION("""COMPUTED_VALUE"""),"(베)오윤서6143")</f>
        <v>(베)오윤서6143</v>
      </c>
    </row>
    <row r="88">
      <c r="A88" s="4" t="s">
        <v>1471</v>
      </c>
      <c r="B88" s="4" t="str">
        <f>IFERROR(__xludf.DUMMYFUNCTION("""COMPUTED_VALUE"""),"(베)유지현2373")</f>
        <v>(베)유지현2373</v>
      </c>
    </row>
    <row r="89">
      <c r="A89" s="4" t="s">
        <v>1472</v>
      </c>
      <c r="B89" s="4" t="str">
        <f>IFERROR(__xludf.DUMMYFUNCTION("""COMPUTED_VALUE"""),"(베)윤지윤8166")</f>
        <v>(베)윤지윤8166</v>
      </c>
    </row>
    <row r="90">
      <c r="A90" s="4" t="s">
        <v>1473</v>
      </c>
      <c r="B90" s="4" t="str">
        <f>IFERROR(__xludf.DUMMYFUNCTION("""COMPUTED_VALUE"""),"(베)윤채은5226")</f>
        <v>(베)윤채은5226</v>
      </c>
    </row>
    <row r="91">
      <c r="A91" s="4" t="s">
        <v>1474</v>
      </c>
      <c r="B91" s="4" t="str">
        <f>IFERROR(__xludf.DUMMYFUNCTION("""COMPUTED_VALUE"""),"(베)이서은7948")</f>
        <v>(베)이서은7948</v>
      </c>
    </row>
    <row r="92">
      <c r="A92" s="4" t="s">
        <v>1475</v>
      </c>
      <c r="B92" s="4" t="str">
        <f>IFERROR(__xludf.DUMMYFUNCTION("""COMPUTED_VALUE"""),"(베)이수빈1704")</f>
        <v>(베)이수빈1704</v>
      </c>
    </row>
    <row r="93">
      <c r="A93" s="4" t="s">
        <v>1476</v>
      </c>
      <c r="B93" s="4" t="str">
        <f>IFERROR(__xludf.DUMMYFUNCTION("""COMPUTED_VALUE"""),"(베)이승아1688")</f>
        <v>(베)이승아1688</v>
      </c>
    </row>
    <row r="94">
      <c r="A94" s="4" t="s">
        <v>1477</v>
      </c>
      <c r="B94" s="4" t="str">
        <f>IFERROR(__xludf.DUMMYFUNCTION("""COMPUTED_VALUE"""),"(베)이윤이4965")</f>
        <v>(베)이윤이4965</v>
      </c>
    </row>
    <row r="95">
      <c r="A95" s="4" t="s">
        <v>1478</v>
      </c>
      <c r="B95" s="4" t="str">
        <f>IFERROR(__xludf.DUMMYFUNCTION("""COMPUTED_VALUE"""),"(베)이채린9683")</f>
        <v>(베)이채린9683</v>
      </c>
    </row>
    <row r="96">
      <c r="A96" s="4" t="s">
        <v>1479</v>
      </c>
      <c r="B96" s="4" t="str">
        <f>IFERROR(__xludf.DUMMYFUNCTION("""COMPUTED_VALUE"""),"(베)임유민6477")</f>
        <v>(베)임유민6477</v>
      </c>
    </row>
    <row r="97">
      <c r="A97" s="4" t="s">
        <v>1480</v>
      </c>
      <c r="B97" s="4" t="str">
        <f>IFERROR(__xludf.DUMMYFUNCTION("""COMPUTED_VALUE"""),"(베)장미소0730")</f>
        <v>(베)장미소0730</v>
      </c>
    </row>
    <row r="98">
      <c r="A98" s="4" t="s">
        <v>1481</v>
      </c>
      <c r="B98" s="4" t="str">
        <f>IFERROR(__xludf.DUMMYFUNCTION("""COMPUTED_VALUE"""),"(베)정다은4727")</f>
        <v>(베)정다은4727</v>
      </c>
    </row>
    <row r="99">
      <c r="A99" s="4" t="s">
        <v>1482</v>
      </c>
      <c r="B99" s="4" t="str">
        <f>IFERROR(__xludf.DUMMYFUNCTION("""COMPUTED_VALUE"""),"(베)정서진9562")</f>
        <v>(베)정서진9562</v>
      </c>
    </row>
    <row r="100">
      <c r="A100" s="4" t="s">
        <v>1483</v>
      </c>
      <c r="B100" s="4" t="str">
        <f>IFERROR(__xludf.DUMMYFUNCTION("""COMPUTED_VALUE"""),"(베)정예음8008")</f>
        <v>(베)정예음8008</v>
      </c>
    </row>
    <row r="101">
      <c r="A101" s="4" t="s">
        <v>1484</v>
      </c>
      <c r="B101" s="4" t="str">
        <f>IFERROR(__xludf.DUMMYFUNCTION("""COMPUTED_VALUE"""),"(베)정지우1212")</f>
        <v>(베)정지우1212</v>
      </c>
    </row>
    <row r="102">
      <c r="A102" s="4" t="s">
        <v>1485</v>
      </c>
      <c r="B102" s="4" t="str">
        <f>IFERROR(__xludf.DUMMYFUNCTION("""COMPUTED_VALUE"""),"(베)조은솔6474")</f>
        <v>(베)조은솔6474</v>
      </c>
    </row>
    <row r="103">
      <c r="A103" s="4" t="s">
        <v>1486</v>
      </c>
      <c r="B103" s="4" t="str">
        <f>IFERROR(__xludf.DUMMYFUNCTION("""COMPUTED_VALUE"""),"(베)차유진6682")</f>
        <v>(베)차유진6682</v>
      </c>
    </row>
    <row r="104">
      <c r="A104" s="4" t="s">
        <v>1487</v>
      </c>
      <c r="B104" s="4" t="str">
        <f>IFERROR(__xludf.DUMMYFUNCTION("""COMPUTED_VALUE"""),"(베)최다영2530")</f>
        <v>(베)최다영2530</v>
      </c>
    </row>
    <row r="105">
      <c r="A105" s="4" t="s">
        <v>1488</v>
      </c>
      <c r="B105" s="4" t="str">
        <f>IFERROR(__xludf.DUMMYFUNCTION("""COMPUTED_VALUE"""),"(베)홍예림3695")</f>
        <v>(베)홍예림3695</v>
      </c>
    </row>
    <row r="106">
      <c r="A106" s="4" t="s">
        <v>1489</v>
      </c>
      <c r="B106" s="4" t="str">
        <f>IFERROR(__xludf.DUMMYFUNCTION("""COMPUTED_VALUE"""),"(선)이준혁1947")</f>
        <v>(선)이준혁1947</v>
      </c>
    </row>
    <row r="107">
      <c r="A107" s="4" t="s">
        <v>1490</v>
      </c>
      <c r="B107" s="4" t="str">
        <f>IFERROR(__xludf.DUMMYFUNCTION("""COMPUTED_VALUE"""),"(선5)김동건5321")</f>
        <v>(선5)김동건5321</v>
      </c>
    </row>
    <row r="108">
      <c r="A108" s="4" t="s">
        <v>1491</v>
      </c>
      <c r="B108" s="4" t="str">
        <f>IFERROR(__xludf.DUMMYFUNCTION("""COMPUTED_VALUE"""),"(선5)김민준2056")</f>
        <v>(선5)김민준2056</v>
      </c>
    </row>
    <row r="109">
      <c r="A109" s="4" t="s">
        <v>1492</v>
      </c>
      <c r="B109" s="4" t="str">
        <f>IFERROR(__xludf.DUMMYFUNCTION("""COMPUTED_VALUE"""),"(선5)김민준4685")</f>
        <v>(선5)김민준4685</v>
      </c>
    </row>
    <row r="110">
      <c r="A110" s="4" t="s">
        <v>1493</v>
      </c>
      <c r="B110" s="4" t="str">
        <f>IFERROR(__xludf.DUMMYFUNCTION("""COMPUTED_VALUE"""),"(선5)김솔4251")</f>
        <v>(선5)김솔4251</v>
      </c>
    </row>
    <row r="111">
      <c r="A111" s="4" t="s">
        <v>1494</v>
      </c>
      <c r="B111" s="4" t="str">
        <f>IFERROR(__xludf.DUMMYFUNCTION("""COMPUTED_VALUE"""),"(선5)김연우3300")</f>
        <v>(선5)김연우3300</v>
      </c>
    </row>
    <row r="112">
      <c r="A112" s="4" t="s">
        <v>1495</v>
      </c>
      <c r="B112" s="4" t="str">
        <f>IFERROR(__xludf.DUMMYFUNCTION("""COMPUTED_VALUE"""),"(선5)박상현0851")</f>
        <v>(선5)박상현0851</v>
      </c>
    </row>
    <row r="113">
      <c r="A113" s="4" t="s">
        <v>1496</v>
      </c>
      <c r="B113" s="4" t="str">
        <f>IFERROR(__xludf.DUMMYFUNCTION("""COMPUTED_VALUE"""),"(선5)방수혁4614")</f>
        <v>(선5)방수혁4614</v>
      </c>
    </row>
    <row r="114">
      <c r="A114" s="4" t="s">
        <v>1497</v>
      </c>
      <c r="B114" s="4" t="str">
        <f>IFERROR(__xludf.DUMMYFUNCTION("""COMPUTED_VALUE"""),"(선5)유건우5209")</f>
        <v>(선5)유건우5209</v>
      </c>
    </row>
    <row r="115">
      <c r="A115" s="4" t="s">
        <v>1498</v>
      </c>
      <c r="B115" s="4" t="str">
        <f>IFERROR(__xludf.DUMMYFUNCTION("""COMPUTED_VALUE"""),"(선5)이기찬5172")</f>
        <v>(선5)이기찬5172</v>
      </c>
    </row>
    <row r="116">
      <c r="A116" s="4" t="s">
        <v>1499</v>
      </c>
      <c r="B116" s="4" t="str">
        <f>IFERROR(__xludf.DUMMYFUNCTION("""COMPUTED_VALUE"""),"(선5)이동현0896")</f>
        <v>(선5)이동현0896</v>
      </c>
    </row>
    <row r="117">
      <c r="A117" s="4" t="s">
        <v>1500</v>
      </c>
      <c r="B117" s="4" t="str">
        <f>IFERROR(__xludf.DUMMYFUNCTION("""COMPUTED_VALUE"""),"(선5)이세명2015")</f>
        <v>(선5)이세명2015</v>
      </c>
    </row>
    <row r="118">
      <c r="A118" s="4" t="s">
        <v>1501</v>
      </c>
      <c r="B118" s="4" t="str">
        <f>IFERROR(__xludf.DUMMYFUNCTION("""COMPUTED_VALUE"""),"(선5)이예준5251")</f>
        <v>(선5)이예준5251</v>
      </c>
    </row>
    <row r="119">
      <c r="A119" s="4" t="s">
        <v>1502</v>
      </c>
      <c r="B119" s="4" t="str">
        <f>IFERROR(__xludf.DUMMYFUNCTION("""COMPUTED_VALUE"""),"(선5)이정진0769")</f>
        <v>(선5)이정진0769</v>
      </c>
    </row>
    <row r="120">
      <c r="A120" s="4" t="s">
        <v>1503</v>
      </c>
      <c r="B120" s="4" t="str">
        <f>IFERROR(__xludf.DUMMYFUNCTION("""COMPUTED_VALUE"""),"(선5)이진웅4253")</f>
        <v>(선5)이진웅4253</v>
      </c>
    </row>
    <row r="121">
      <c r="A121" s="4" t="s">
        <v>1504</v>
      </c>
      <c r="B121" s="4" t="str">
        <f>IFERROR(__xludf.DUMMYFUNCTION("""COMPUTED_VALUE"""),"(선5)이혁원3309")</f>
        <v>(선5)이혁원3309</v>
      </c>
    </row>
    <row r="122">
      <c r="A122" s="4" t="s">
        <v>1505</v>
      </c>
      <c r="B122" s="4" t="str">
        <f>IFERROR(__xludf.DUMMYFUNCTION("""COMPUTED_VALUE"""),"(선5)임지원8343")</f>
        <v>(선5)임지원8343</v>
      </c>
    </row>
    <row r="123">
      <c r="A123" s="4" t="s">
        <v>1506</v>
      </c>
      <c r="B123" s="4" t="str">
        <f>IFERROR(__xludf.DUMMYFUNCTION("""COMPUTED_VALUE"""),"(선5)장은수1716")</f>
        <v>(선5)장은수1716</v>
      </c>
    </row>
    <row r="124">
      <c r="A124" s="4" t="s">
        <v>1507</v>
      </c>
      <c r="B124" s="4" t="str">
        <f>IFERROR(__xludf.DUMMYFUNCTION("""COMPUTED_VALUE"""),"(선5)정현도3979")</f>
        <v>(선5)정현도3979</v>
      </c>
    </row>
    <row r="125">
      <c r="A125" s="4" t="s">
        <v>1508</v>
      </c>
      <c r="B125" s="4" t="str">
        <f>IFERROR(__xludf.DUMMYFUNCTION("""COMPUTED_VALUE"""),"(선5)홍성현7890")</f>
        <v>(선5)홍성현7890</v>
      </c>
    </row>
    <row r="126">
      <c r="A126" s="4" t="s">
        <v>1509</v>
      </c>
      <c r="B126" s="4" t="str">
        <f>IFERROR(__xludf.DUMMYFUNCTION("""COMPUTED_VALUE"""),"(선명)강민성1732")</f>
        <v>(선명)강민성1732</v>
      </c>
    </row>
    <row r="127">
      <c r="A127" s="4" t="s">
        <v>1510</v>
      </c>
      <c r="B127" s="4" t="str">
        <f>IFERROR(__xludf.DUMMYFUNCTION("""COMPUTED_VALUE"""),"(선명)강민준1892")</f>
        <v>(선명)강민준1892</v>
      </c>
    </row>
    <row r="128">
      <c r="A128" s="4" t="s">
        <v>1511</v>
      </c>
      <c r="B128" s="4" t="str">
        <f>IFERROR(__xludf.DUMMYFUNCTION("""COMPUTED_VALUE"""),"(선명)김용현3093")</f>
        <v>(선명)김용현3093</v>
      </c>
    </row>
    <row r="129">
      <c r="A129" s="4" t="s">
        <v>1512</v>
      </c>
      <c r="B129" s="4" t="str">
        <f>IFERROR(__xludf.DUMMYFUNCTION("""COMPUTED_VALUE"""),"(선명)김정윤0506")</f>
        <v>(선명)김정윤0506</v>
      </c>
    </row>
    <row r="130">
      <c r="A130" s="4" t="s">
        <v>1513</v>
      </c>
      <c r="B130" s="4" t="str">
        <f>IFERROR(__xludf.DUMMYFUNCTION("""COMPUTED_VALUE"""),"(선명)문성현4019")</f>
        <v>(선명)문성현4019</v>
      </c>
    </row>
    <row r="131">
      <c r="A131" s="4" t="s">
        <v>1514</v>
      </c>
      <c r="B131" s="4" t="str">
        <f>IFERROR(__xludf.DUMMYFUNCTION("""COMPUTED_VALUE"""),"(선명)박주혁1772")</f>
        <v>(선명)박주혁1772</v>
      </c>
    </row>
    <row r="132">
      <c r="A132" s="4" t="s">
        <v>1515</v>
      </c>
      <c r="B132" s="4" t="str">
        <f>IFERROR(__xludf.DUMMYFUNCTION("""COMPUTED_VALUE"""),"(선명)박지우5033")</f>
        <v>(선명)박지우5033</v>
      </c>
    </row>
    <row r="133">
      <c r="A133" s="4" t="s">
        <v>1516</v>
      </c>
      <c r="B133" s="4" t="str">
        <f>IFERROR(__xludf.DUMMYFUNCTION("""COMPUTED_VALUE"""),"(선명)서지완6116")</f>
        <v>(선명)서지완6116</v>
      </c>
    </row>
    <row r="134">
      <c r="A134" s="4" t="s">
        <v>1517</v>
      </c>
      <c r="B134" s="4" t="str">
        <f>IFERROR(__xludf.DUMMYFUNCTION("""COMPUTED_VALUE"""),"(선명)안지민0361")</f>
        <v>(선명)안지민0361</v>
      </c>
    </row>
    <row r="135">
      <c r="A135" s="4" t="s">
        <v>1518</v>
      </c>
      <c r="B135" s="4" t="str">
        <f>IFERROR(__xludf.DUMMYFUNCTION("""COMPUTED_VALUE"""),"(선명)오우섭5320")</f>
        <v>(선명)오우섭5320</v>
      </c>
    </row>
    <row r="136">
      <c r="A136" s="4" t="s">
        <v>1519</v>
      </c>
      <c r="B136" s="4" t="str">
        <f>IFERROR(__xludf.DUMMYFUNCTION("""COMPUTED_VALUE"""),"(선명)원해성8438")</f>
        <v>(선명)원해성8438</v>
      </c>
    </row>
    <row r="137">
      <c r="A137" s="4" t="s">
        <v>1520</v>
      </c>
      <c r="B137" s="4" t="str">
        <f>IFERROR(__xludf.DUMMYFUNCTION("""COMPUTED_VALUE"""),"(선명)유주성1319")</f>
        <v>(선명)유주성1319</v>
      </c>
    </row>
    <row r="138">
      <c r="A138" s="4" t="s">
        <v>1521</v>
      </c>
      <c r="B138" s="4" t="str">
        <f>IFERROR(__xludf.DUMMYFUNCTION("""COMPUTED_VALUE"""),"(선명)유현동8756")</f>
        <v>(선명)유현동8756</v>
      </c>
    </row>
    <row r="139">
      <c r="A139" s="4" t="s">
        <v>1522</v>
      </c>
      <c r="B139" s="4" t="str">
        <f>IFERROR(__xludf.DUMMYFUNCTION("""COMPUTED_VALUE"""),"(선명)이교원4323")</f>
        <v>(선명)이교원4323</v>
      </c>
    </row>
    <row r="140">
      <c r="A140" s="4" t="s">
        <v>1523</v>
      </c>
      <c r="B140" s="4" t="str">
        <f>IFERROR(__xludf.DUMMYFUNCTION("""COMPUTED_VALUE"""),"(선명)이규민7242")</f>
        <v>(선명)이규민7242</v>
      </c>
    </row>
    <row r="141">
      <c r="A141" s="4" t="s">
        <v>1524</v>
      </c>
      <c r="B141" s="4" t="str">
        <f>IFERROR(__xludf.DUMMYFUNCTION("""COMPUTED_VALUE"""),"(선명)이연수1610")</f>
        <v>(선명)이연수1610</v>
      </c>
    </row>
    <row r="142">
      <c r="A142" s="4" t="s">
        <v>1525</v>
      </c>
      <c r="B142" s="4" t="str">
        <f>IFERROR(__xludf.DUMMYFUNCTION("""COMPUTED_VALUE"""),"(선명)이의진0916")</f>
        <v>(선명)이의진0916</v>
      </c>
    </row>
    <row r="143">
      <c r="A143" s="4" t="s">
        <v>1526</v>
      </c>
      <c r="B143" s="4" t="str">
        <f>IFERROR(__xludf.DUMMYFUNCTION("""COMPUTED_VALUE"""),"(선명)이재환0898")</f>
        <v>(선명)이재환0898</v>
      </c>
    </row>
    <row r="144">
      <c r="A144" s="4" t="s">
        <v>1527</v>
      </c>
      <c r="B144" s="4" t="str">
        <f>IFERROR(__xludf.DUMMYFUNCTION("""COMPUTED_VALUE"""),"(선명)이현민6622")</f>
        <v>(선명)이현민6622</v>
      </c>
    </row>
    <row r="145">
      <c r="A145" s="4" t="s">
        <v>1528</v>
      </c>
      <c r="B145" s="4" t="str">
        <f>IFERROR(__xludf.DUMMYFUNCTION("""COMPUTED_VALUE"""),"(선명)이호중8046")</f>
        <v>(선명)이호중8046</v>
      </c>
    </row>
    <row r="146">
      <c r="A146" s="4" t="s">
        <v>1529</v>
      </c>
      <c r="B146" s="4" t="str">
        <f>IFERROR(__xludf.DUMMYFUNCTION("""COMPUTED_VALUE"""),"(선명)전명욱9481")</f>
        <v>(선명)전명욱9481</v>
      </c>
    </row>
    <row r="147">
      <c r="A147" s="4" t="s">
        <v>1530</v>
      </c>
      <c r="B147" s="4" t="str">
        <f>IFERROR(__xludf.DUMMYFUNCTION("""COMPUTED_VALUE"""),"(선명)최익준3268")</f>
        <v>(선명)최익준3268</v>
      </c>
    </row>
    <row r="148">
      <c r="A148" s="4" t="s">
        <v>1531</v>
      </c>
      <c r="B148" s="4" t="str">
        <f>IFERROR(__xludf.DUMMYFUNCTION("""COMPUTED_VALUE"""),"(선아)고수민0471")</f>
        <v>(선아)고수민0471</v>
      </c>
    </row>
    <row r="149">
      <c r="A149" s="4" t="s">
        <v>1532</v>
      </c>
      <c r="B149" s="4" t="str">
        <f>IFERROR(__xludf.DUMMYFUNCTION("""COMPUTED_VALUE"""),"(선아)권나형1429")</f>
        <v>(선아)권나형1429</v>
      </c>
    </row>
    <row r="150">
      <c r="A150" s="4" t="s">
        <v>1533</v>
      </c>
      <c r="B150" s="4" t="str">
        <f>IFERROR(__xludf.DUMMYFUNCTION("""COMPUTED_VALUE"""),"(선아)김경민3077")</f>
        <v>(선아)김경민3077</v>
      </c>
    </row>
    <row r="151">
      <c r="A151" s="4" t="s">
        <v>1534</v>
      </c>
      <c r="B151" s="4" t="str">
        <f>IFERROR(__xludf.DUMMYFUNCTION("""COMPUTED_VALUE"""),"(선아)김도영3265")</f>
        <v>(선아)김도영3265</v>
      </c>
    </row>
    <row r="152">
      <c r="A152" s="4" t="s">
        <v>1535</v>
      </c>
      <c r="B152" s="4" t="str">
        <f>IFERROR(__xludf.DUMMYFUNCTION("""COMPUTED_VALUE"""),"(선아)김서아0345")</f>
        <v>(선아)김서아0345</v>
      </c>
    </row>
    <row r="153">
      <c r="A153" s="4" t="s">
        <v>1536</v>
      </c>
      <c r="B153" s="4" t="str">
        <f>IFERROR(__xludf.DUMMYFUNCTION("""COMPUTED_VALUE"""),"(선아)민채원0669")</f>
        <v>(선아)민채원0669</v>
      </c>
    </row>
    <row r="154">
      <c r="A154" s="4" t="s">
        <v>1537</v>
      </c>
      <c r="B154" s="4" t="str">
        <f>IFERROR(__xludf.DUMMYFUNCTION("""COMPUTED_VALUE"""),"(선아)석지원7441")</f>
        <v>(선아)석지원7441</v>
      </c>
    </row>
    <row r="155">
      <c r="A155" s="4" t="s">
        <v>1538</v>
      </c>
      <c r="B155" s="4" t="str">
        <f>IFERROR(__xludf.DUMMYFUNCTION("""COMPUTED_VALUE"""),"(선아)송채원4297")</f>
        <v>(선아)송채원4297</v>
      </c>
    </row>
    <row r="156">
      <c r="A156" s="4" t="s">
        <v>1539</v>
      </c>
      <c r="B156" s="4" t="str">
        <f>IFERROR(__xludf.DUMMYFUNCTION("""COMPUTED_VALUE"""),"(선아)신예지7157")</f>
        <v>(선아)신예지7157</v>
      </c>
    </row>
    <row r="157">
      <c r="A157" s="4" t="s">
        <v>1540</v>
      </c>
      <c r="B157" s="4" t="str">
        <f>IFERROR(__xludf.DUMMYFUNCTION("""COMPUTED_VALUE"""),"(선아)오채윤0494")</f>
        <v>(선아)오채윤0494</v>
      </c>
    </row>
    <row r="158">
      <c r="A158" s="4" t="s">
        <v>1541</v>
      </c>
      <c r="B158" s="4" t="str">
        <f>IFERROR(__xludf.DUMMYFUNCTION("""COMPUTED_VALUE"""),"(선아)이주희5845")</f>
        <v>(선아)이주희5845</v>
      </c>
    </row>
    <row r="159">
      <c r="A159" s="4" t="s">
        <v>1542</v>
      </c>
      <c r="B159" s="4" t="str">
        <f>IFERROR(__xludf.DUMMYFUNCTION("""COMPUTED_VALUE"""),"(선아)이하은9248")</f>
        <v>(선아)이하은9248</v>
      </c>
    </row>
    <row r="160">
      <c r="A160" s="4" t="s">
        <v>1543</v>
      </c>
      <c r="B160" s="4" t="str">
        <f>IFERROR(__xludf.DUMMYFUNCTION("""COMPUTED_VALUE"""),"(선아)임연우7885")</f>
        <v>(선아)임연우7885</v>
      </c>
    </row>
    <row r="161">
      <c r="A161" s="4" t="s">
        <v>1544</v>
      </c>
      <c r="B161" s="4" t="str">
        <f>IFERROR(__xludf.DUMMYFUNCTION("""COMPUTED_VALUE"""),"(선아)조윤서3588")</f>
        <v>(선아)조윤서3588</v>
      </c>
    </row>
    <row r="162">
      <c r="A162" s="4" t="s">
        <v>1545</v>
      </c>
      <c r="B162" s="4" t="str">
        <f>IFERROR(__xludf.DUMMYFUNCTION("""COMPUTED_VALUE"""),"(선아)최윤하9881")</f>
        <v>(선아)최윤하9881</v>
      </c>
    </row>
    <row r="163">
      <c r="A163" s="4" t="s">
        <v>1546</v>
      </c>
      <c r="B163" s="4" t="str">
        <f>IFERROR(__xludf.DUMMYFUNCTION("""COMPUTED_VALUE"""),"(선아)한가인8280")</f>
        <v>(선아)한가인8280</v>
      </c>
    </row>
    <row r="164">
      <c r="A164" s="4" t="s">
        <v>1547</v>
      </c>
      <c r="B164" s="4" t="str">
        <f>IFERROR(__xludf.DUMMYFUNCTION("""COMPUTED_VALUE"""),"(선에)고은우7243")</f>
        <v>(선에)고은우7243</v>
      </c>
    </row>
    <row r="165">
      <c r="A165" s="4" t="s">
        <v>1548</v>
      </c>
      <c r="B165" s="4" t="str">
        <f>IFERROR(__xludf.DUMMYFUNCTION("""COMPUTED_VALUE"""),"(선에)김민웅1030")</f>
        <v>(선에)김민웅1030</v>
      </c>
    </row>
    <row r="166">
      <c r="A166" s="4" t="s">
        <v>1549</v>
      </c>
      <c r="B166" s="4" t="str">
        <f>IFERROR(__xludf.DUMMYFUNCTION("""COMPUTED_VALUE"""),"(선에)김세현5789")</f>
        <v>(선에)김세현5789</v>
      </c>
    </row>
    <row r="167">
      <c r="A167" s="4" t="s">
        <v>1550</v>
      </c>
      <c r="B167" s="4" t="str">
        <f>IFERROR(__xludf.DUMMYFUNCTION("""COMPUTED_VALUE"""),"(선에)김종환2776")</f>
        <v>(선에)김종환2776</v>
      </c>
    </row>
    <row r="168">
      <c r="A168" s="4" t="s">
        <v>1551</v>
      </c>
      <c r="B168" s="4" t="str">
        <f>IFERROR(__xludf.DUMMYFUNCTION("""COMPUTED_VALUE"""),"(선에)문찬우9587")</f>
        <v>(선에)문찬우9587</v>
      </c>
    </row>
    <row r="169">
      <c r="A169" s="4" t="s">
        <v>1552</v>
      </c>
      <c r="B169" s="4" t="str">
        <f>IFERROR(__xludf.DUMMYFUNCTION("""COMPUTED_VALUE"""),"(선에)문채민7199")</f>
        <v>(선에)문채민7199</v>
      </c>
    </row>
    <row r="170">
      <c r="A170" s="4" t="s">
        <v>1553</v>
      </c>
      <c r="B170" s="4" t="str">
        <f>IFERROR(__xludf.DUMMYFUNCTION("""COMPUTED_VALUE"""),"(선에)백찬우0899")</f>
        <v>(선에)백찬우0899</v>
      </c>
    </row>
    <row r="171">
      <c r="A171" s="4" t="s">
        <v>1554</v>
      </c>
      <c r="B171" s="4" t="str">
        <f>IFERROR(__xludf.DUMMYFUNCTION("""COMPUTED_VALUE"""),"(선에)송현륭7409")</f>
        <v>(선에)송현륭7409</v>
      </c>
    </row>
    <row r="172">
      <c r="A172" s="4" t="s">
        <v>1555</v>
      </c>
      <c r="B172" s="4" t="str">
        <f>IFERROR(__xludf.DUMMYFUNCTION("""COMPUTED_VALUE"""),"(선에)신동현9599")</f>
        <v>(선에)신동현9599</v>
      </c>
    </row>
    <row r="173">
      <c r="A173" s="4" t="s">
        <v>1556</v>
      </c>
      <c r="B173" s="4" t="str">
        <f>IFERROR(__xludf.DUMMYFUNCTION("""COMPUTED_VALUE"""),"(선에)윤종호6519")</f>
        <v>(선에)윤종호6519</v>
      </c>
    </row>
    <row r="174">
      <c r="A174" s="4" t="s">
        <v>1557</v>
      </c>
      <c r="B174" s="4" t="str">
        <f>IFERROR(__xludf.DUMMYFUNCTION("""COMPUTED_VALUE"""),"(선에)이서준5506")</f>
        <v>(선에)이서준5506</v>
      </c>
    </row>
    <row r="175">
      <c r="A175" s="4" t="s">
        <v>1558</v>
      </c>
      <c r="B175" s="4" t="str">
        <f>IFERROR(__xludf.DUMMYFUNCTION("""COMPUTED_VALUE"""),"(선에)이선채1863")</f>
        <v>(선에)이선채1863</v>
      </c>
    </row>
    <row r="176">
      <c r="A176" s="4" t="s">
        <v>1559</v>
      </c>
      <c r="B176" s="4" t="str">
        <f>IFERROR(__xludf.DUMMYFUNCTION("""COMPUTED_VALUE"""),"(선에)이정우5546")</f>
        <v>(선에)이정우5546</v>
      </c>
    </row>
    <row r="177">
      <c r="A177" s="4" t="s">
        <v>1560</v>
      </c>
      <c r="B177" s="4" t="str">
        <f>IFERROR(__xludf.DUMMYFUNCTION("""COMPUTED_VALUE"""),"(선에)이주하9096")</f>
        <v>(선에)이주하9096</v>
      </c>
    </row>
    <row r="178">
      <c r="A178" s="4" t="s">
        <v>1561</v>
      </c>
      <c r="B178" s="4" t="str">
        <f>IFERROR(__xludf.DUMMYFUNCTION("""COMPUTED_VALUE"""),"(선에)임건우7179")</f>
        <v>(선에)임건우7179</v>
      </c>
    </row>
    <row r="179">
      <c r="A179" s="4" t="s">
        <v>1562</v>
      </c>
      <c r="B179" s="4" t="str">
        <f>IFERROR(__xludf.DUMMYFUNCTION("""COMPUTED_VALUE"""),"(선에)임경현7816")</f>
        <v>(선에)임경현7816</v>
      </c>
    </row>
    <row r="180">
      <c r="A180" s="4" t="s">
        <v>1563</v>
      </c>
      <c r="B180" s="4" t="str">
        <f>IFERROR(__xludf.DUMMYFUNCTION("""COMPUTED_VALUE"""),"(선에)장세현7623")</f>
        <v>(선에)장세현7623</v>
      </c>
    </row>
    <row r="181">
      <c r="A181" s="4" t="s">
        <v>1564</v>
      </c>
      <c r="B181" s="4" t="str">
        <f>IFERROR(__xludf.DUMMYFUNCTION("""COMPUTED_VALUE"""),"(선에)조현서8043")</f>
        <v>(선에)조현서8043</v>
      </c>
    </row>
    <row r="182">
      <c r="A182" s="4" t="s">
        <v>1565</v>
      </c>
      <c r="B182" s="4" t="str">
        <f>IFERROR(__xludf.DUMMYFUNCTION("""COMPUTED_VALUE"""),"(선에)주해진5722")</f>
        <v>(선에)주해진5722</v>
      </c>
    </row>
    <row r="183">
      <c r="A183" s="4" t="s">
        <v>1566</v>
      </c>
      <c r="B183" s="4" t="str">
        <f>IFERROR(__xludf.DUMMYFUNCTION("""COMPUTED_VALUE"""),"(선에)최윤호7264")</f>
        <v>(선에)최윤호7264</v>
      </c>
    </row>
    <row r="184">
      <c r="A184" s="4" t="s">
        <v>1567</v>
      </c>
      <c r="B184" s="4" t="str">
        <f>IFERROR(__xludf.DUMMYFUNCTION("""COMPUTED_VALUE"""),"(선에)최인혁1665")</f>
        <v>(선에)최인혁1665</v>
      </c>
    </row>
    <row r="185">
      <c r="A185" s="4" t="s">
        <v>1568</v>
      </c>
      <c r="B185" s="4" t="str">
        <f>IFERROR(__xludf.DUMMYFUNCTION("""COMPUTED_VALUE"""),"(선일)서윤영3302")</f>
        <v>(선일)서윤영3302</v>
      </c>
    </row>
    <row r="186">
      <c r="A186" s="4" t="s">
        <v>1569</v>
      </c>
      <c r="B186" s="4" t="str">
        <f>IFERROR(__xludf.DUMMYFUNCTION("""COMPUTED_VALUE"""),"(선일)이도희4100")</f>
        <v>(선일)이도희4100</v>
      </c>
    </row>
    <row r="187">
      <c r="A187" s="4" t="s">
        <v>1570</v>
      </c>
      <c r="B187" s="4" t="str">
        <f>IFERROR(__xludf.DUMMYFUNCTION("""COMPUTED_VALUE"""),"(선케)황서은3724")</f>
        <v>(선케)황서은3724</v>
      </c>
    </row>
    <row r="188">
      <c r="A188" s="4" t="s">
        <v>1571</v>
      </c>
      <c r="B188" s="4" t="str">
        <f>IFERROR(__xludf.DUMMYFUNCTION("""COMPUTED_VALUE"""),"(선태)곽현서0403")</f>
        <v>(선태)곽현서0403</v>
      </c>
    </row>
    <row r="189">
      <c r="A189" s="4" t="s">
        <v>1572</v>
      </c>
      <c r="B189" s="4" t="str">
        <f>IFERROR(__xludf.DUMMYFUNCTION("""COMPUTED_VALUE"""),"(선태)구연지4191")</f>
        <v>(선태)구연지4191</v>
      </c>
    </row>
    <row r="190">
      <c r="A190" s="4" t="s">
        <v>1573</v>
      </c>
      <c r="B190" s="4" t="str">
        <f>IFERROR(__xludf.DUMMYFUNCTION("""COMPUTED_VALUE"""),"(선태)김나윤9848")</f>
        <v>(선태)김나윤9848</v>
      </c>
    </row>
    <row r="191">
      <c r="A191" s="4" t="s">
        <v>1574</v>
      </c>
      <c r="B191" s="4" t="str">
        <f>IFERROR(__xludf.DUMMYFUNCTION("""COMPUTED_VALUE"""),"(선태)김민정9098")</f>
        <v>(선태)김민정9098</v>
      </c>
    </row>
    <row r="192">
      <c r="A192" s="4" t="s">
        <v>1575</v>
      </c>
      <c r="B192" s="4" t="str">
        <f>IFERROR(__xludf.DUMMYFUNCTION("""COMPUTED_VALUE"""),"(선태)김민주7503")</f>
        <v>(선태)김민주7503</v>
      </c>
    </row>
    <row r="193">
      <c r="A193" s="4" t="s">
        <v>1576</v>
      </c>
      <c r="B193" s="4" t="str">
        <f>IFERROR(__xludf.DUMMYFUNCTION("""COMPUTED_VALUE"""),"(선태)김민주9700")</f>
        <v>(선태)김민주9700</v>
      </c>
    </row>
    <row r="194">
      <c r="A194" s="4" t="s">
        <v>1577</v>
      </c>
      <c r="B194" s="4" t="str">
        <f>IFERROR(__xludf.DUMMYFUNCTION("""COMPUTED_VALUE"""),"(선태)김의정8603")</f>
        <v>(선태)김의정8603</v>
      </c>
    </row>
    <row r="195">
      <c r="A195" s="4" t="s">
        <v>1578</v>
      </c>
      <c r="B195" s="4" t="str">
        <f>IFERROR(__xludf.DUMMYFUNCTION("""COMPUTED_VALUE"""),"(선태)김재연9252")</f>
        <v>(선태)김재연9252</v>
      </c>
    </row>
    <row r="196">
      <c r="A196" s="4" t="s">
        <v>1579</v>
      </c>
      <c r="B196" s="4" t="str">
        <f>IFERROR(__xludf.DUMMYFUNCTION("""COMPUTED_VALUE"""),"(선태)김지수9640")</f>
        <v>(선태)김지수9640</v>
      </c>
    </row>
    <row r="197">
      <c r="A197" s="4" t="s">
        <v>1580</v>
      </c>
      <c r="B197" s="4" t="str">
        <f>IFERROR(__xludf.DUMMYFUNCTION("""COMPUTED_VALUE"""),"(선태)김지원9192")</f>
        <v>(선태)김지원9192</v>
      </c>
    </row>
    <row r="198">
      <c r="A198" s="4" t="s">
        <v>1581</v>
      </c>
      <c r="B198" s="4" t="str">
        <f>IFERROR(__xludf.DUMMYFUNCTION("""COMPUTED_VALUE"""),"(선태)박서현5467")</f>
        <v>(선태)박서현5467</v>
      </c>
    </row>
    <row r="199">
      <c r="A199" s="4" t="s">
        <v>1582</v>
      </c>
      <c r="B199" s="4" t="str">
        <f>IFERROR(__xludf.DUMMYFUNCTION("""COMPUTED_VALUE"""),"(선태)박시아5325")</f>
        <v>(선태)박시아5325</v>
      </c>
    </row>
    <row r="200">
      <c r="A200" s="4" t="s">
        <v>1583</v>
      </c>
      <c r="B200" s="4" t="str">
        <f>IFERROR(__xludf.DUMMYFUNCTION("""COMPUTED_VALUE"""),"(선태)박시현1278")</f>
        <v>(선태)박시현1278</v>
      </c>
    </row>
    <row r="201">
      <c r="A201" s="4" t="s">
        <v>1584</v>
      </c>
      <c r="B201" s="4" t="str">
        <f>IFERROR(__xludf.DUMMYFUNCTION("""COMPUTED_VALUE"""),"(선태)서은빈0707")</f>
        <v>(선태)서은빈0707</v>
      </c>
    </row>
    <row r="202">
      <c r="A202" s="4" t="s">
        <v>1585</v>
      </c>
      <c r="B202" s="4" t="str">
        <f>IFERROR(__xludf.DUMMYFUNCTION("""COMPUTED_VALUE"""),"(선태)성민주2407")</f>
        <v>(선태)성민주2407</v>
      </c>
    </row>
    <row r="203">
      <c r="A203" s="4" t="s">
        <v>1586</v>
      </c>
      <c r="B203" s="4" t="str">
        <f>IFERROR(__xludf.DUMMYFUNCTION("""COMPUTED_VALUE"""),"(선태)우윤선8701")</f>
        <v>(선태)우윤선8701</v>
      </c>
    </row>
    <row r="204">
      <c r="A204" s="4" t="s">
        <v>1587</v>
      </c>
      <c r="B204" s="4" t="str">
        <f>IFERROR(__xludf.DUMMYFUNCTION("""COMPUTED_VALUE"""),"(선태)이수빈7580")</f>
        <v>(선태)이수빈7580</v>
      </c>
    </row>
    <row r="205">
      <c r="A205" s="4" t="s">
        <v>1588</v>
      </c>
      <c r="B205" s="4" t="str">
        <f>IFERROR(__xludf.DUMMYFUNCTION("""COMPUTED_VALUE"""),"(선태)장지인5302")</f>
        <v>(선태)장지인5302</v>
      </c>
    </row>
    <row r="206">
      <c r="A206" s="4" t="s">
        <v>1589</v>
      </c>
      <c r="B206" s="4" t="str">
        <f>IFERROR(__xludf.DUMMYFUNCTION("""COMPUTED_VALUE"""),"(선태)정수빈2671")</f>
        <v>(선태)정수빈2671</v>
      </c>
    </row>
    <row r="207">
      <c r="A207" s="4" t="s">
        <v>1590</v>
      </c>
      <c r="B207" s="4" t="str">
        <f>IFERROR(__xludf.DUMMYFUNCTION("""COMPUTED_VALUE"""),"(선태)정혜진4689")</f>
        <v>(선태)정혜진4689</v>
      </c>
    </row>
    <row r="208">
      <c r="A208" s="4" t="s">
        <v>1591</v>
      </c>
      <c r="B208" s="4" t="str">
        <f>IFERROR(__xludf.DUMMYFUNCTION("""COMPUTED_VALUE"""),"(선태)최서연1318")</f>
        <v>(선태)최서연1318</v>
      </c>
    </row>
    <row r="209">
      <c r="A209" s="4" t="s">
        <v>1592</v>
      </c>
      <c r="B209" s="4" t="str">
        <f>IFERROR(__xludf.DUMMYFUNCTION("""COMPUTED_VALUE"""),"(선태)최서윤5306")</f>
        <v>(선태)최서윤5306</v>
      </c>
    </row>
    <row r="210">
      <c r="A210" s="4" t="s">
        <v>1593</v>
      </c>
      <c r="B210" s="4" t="str">
        <f>IFERROR(__xludf.DUMMYFUNCTION("""COMPUTED_VALUE"""),"(선태)최서윤6658")</f>
        <v>(선태)최서윤6658</v>
      </c>
    </row>
    <row r="211">
      <c r="A211" s="4" t="s">
        <v>1594</v>
      </c>
      <c r="B211" s="4" t="str">
        <f>IFERROR(__xludf.DUMMYFUNCTION("""COMPUTED_VALUE"""),"(선태)최지원2183")</f>
        <v>(선태)최지원2183</v>
      </c>
    </row>
    <row r="212">
      <c r="A212" s="4" t="s">
        <v>1595</v>
      </c>
      <c r="B212" s="4" t="str">
        <f>IFERROR(__xludf.DUMMYFUNCTION("""COMPUTED_VALUE"""),"(선태)허유진4173")</f>
        <v>(선태)허유진4173</v>
      </c>
    </row>
    <row r="213">
      <c r="A213" s="4" t="s">
        <v>1596</v>
      </c>
      <c r="B213" s="4" t="str">
        <f>IFERROR(__xludf.DUMMYFUNCTION("""COMPUTED_VALUE"""),"(선태)홍민지7100")</f>
        <v>(선태)홍민지7100</v>
      </c>
    </row>
    <row r="214">
      <c r="A214" s="4" t="s">
        <v>1597</v>
      </c>
      <c r="B214" s="4" t="str">
        <f>IFERROR(__xludf.DUMMYFUNCTION("""COMPUTED_VALUE"""),"(선태)홍연수6977")</f>
        <v>(선태)홍연수6977</v>
      </c>
    </row>
    <row r="215">
      <c r="A215" s="4" t="s">
        <v>1598</v>
      </c>
      <c r="B215" s="4" t="str">
        <f>IFERROR(__xludf.DUMMYFUNCTION("""COMPUTED_VALUE"""),"(아)김다은5516")</f>
        <v>(아)김다은5516</v>
      </c>
    </row>
    <row r="216">
      <c r="A216" s="4" t="s">
        <v>1599</v>
      </c>
      <c r="B216" s="4" t="str">
        <f>IFERROR(__xludf.DUMMYFUNCTION("""COMPUTED_VALUE"""),"(아)이송현2436")</f>
        <v>(아)이송현2436</v>
      </c>
    </row>
    <row r="217">
      <c r="A217" s="4" t="s">
        <v>1600</v>
      </c>
      <c r="B217" s="4" t="str">
        <f>IFERROR(__xludf.DUMMYFUNCTION("""COMPUTED_VALUE"""),"(아)이은주7835")</f>
        <v>(아)이은주7835</v>
      </c>
    </row>
    <row r="218">
      <c r="A218" s="4" t="s">
        <v>1601</v>
      </c>
      <c r="B218" s="4" t="str">
        <f>IFERROR(__xludf.DUMMYFUNCTION("""COMPUTED_VALUE"""),"(아)조은수0899")</f>
        <v>(아)조은수0899</v>
      </c>
    </row>
    <row r="219">
      <c r="A219" s="4" t="s">
        <v>1602</v>
      </c>
      <c r="B219" s="4" t="str">
        <f>IFERROR(__xludf.DUMMYFUNCTION("""COMPUTED_VALUE"""),"(아)황예나0608")</f>
        <v>(아)황예나0608</v>
      </c>
    </row>
    <row r="220">
      <c r="A220" s="4" t="s">
        <v>1603</v>
      </c>
      <c r="B220" s="4" t="str">
        <f>IFERROR(__xludf.DUMMYFUNCTION("""COMPUTED_VALUE"""),"(에)마준영8046")</f>
        <v>(에)마준영8046</v>
      </c>
    </row>
    <row r="221">
      <c r="A221" s="4" t="s">
        <v>1604</v>
      </c>
      <c r="B221" s="4" t="str">
        <f>IFERROR(__xludf.DUMMYFUNCTION("""COMPUTED_VALUE"""),"(에)손원석7910")</f>
        <v>(에)손원석7910</v>
      </c>
    </row>
    <row r="222">
      <c r="A222" s="4" t="s">
        <v>1605</v>
      </c>
      <c r="B222" s="4" t="str">
        <f>IFERROR(__xludf.DUMMYFUNCTION("""COMPUTED_VALUE"""),"(에)이승훈0933")</f>
        <v>(에)이승훈0933</v>
      </c>
    </row>
    <row r="223">
      <c r="A223" s="4" t="s">
        <v>1606</v>
      </c>
      <c r="B223" s="4" t="str">
        <f>IFERROR(__xludf.DUMMYFUNCTION("""COMPUTED_VALUE"""),"(에)정현우7348")</f>
        <v>(에)정현우7348</v>
      </c>
    </row>
    <row r="224">
      <c r="A224" s="4" t="s">
        <v>1607</v>
      </c>
      <c r="B224" s="4" t="str">
        <f>IFERROR(__xludf.DUMMYFUNCTION("""COMPUTED_VALUE"""),"(에)최현태6875")</f>
        <v>(에)최현태6875</v>
      </c>
    </row>
    <row r="225">
      <c r="A225" s="4" t="s">
        <v>1608</v>
      </c>
      <c r="B225" s="4" t="str">
        <f>IFERROR(__xludf.DUMMYFUNCTION("""COMPUTED_VALUE"""),"(일)권민지5147")</f>
        <v>(일)권민지5147</v>
      </c>
    </row>
    <row r="226">
      <c r="A226" s="4" t="s">
        <v>1609</v>
      </c>
      <c r="B226" s="4" t="str">
        <f>IFERROR(__xludf.DUMMYFUNCTION("""COMPUTED_VALUE"""),"(일)김현민4570")</f>
        <v>(일)김현민4570</v>
      </c>
    </row>
    <row r="227">
      <c r="A227" s="4" t="s">
        <v>1610</v>
      </c>
      <c r="B227" s="4" t="str">
        <f>IFERROR(__xludf.DUMMYFUNCTION("""COMPUTED_VALUE"""),"(정)김동연2457")</f>
        <v>(정)김동연2457</v>
      </c>
    </row>
    <row r="228">
      <c r="A228" s="4" t="s">
        <v>1611</v>
      </c>
      <c r="B228" s="4" t="str">
        <f>IFERROR(__xludf.DUMMYFUNCTION("""COMPUTED_VALUE"""),"(정)김민성1175")</f>
        <v>(정)김민성1175</v>
      </c>
    </row>
    <row r="229">
      <c r="A229" s="4" t="s">
        <v>1612</v>
      </c>
      <c r="B229" s="4" t="str">
        <f>IFERROR(__xludf.DUMMYFUNCTION("""COMPUTED_VALUE"""),"(정)김하준5123")</f>
        <v>(정)김하준5123</v>
      </c>
    </row>
    <row r="230">
      <c r="A230" s="4" t="s">
        <v>1613</v>
      </c>
      <c r="B230" s="4" t="str">
        <f>IFERROR(__xludf.DUMMYFUNCTION("""COMPUTED_VALUE"""),"(정)박정우4010")</f>
        <v>(정)박정우4010</v>
      </c>
    </row>
    <row r="231">
      <c r="A231" s="4" t="s">
        <v>1614</v>
      </c>
      <c r="B231" s="4" t="str">
        <f>IFERROR(__xludf.DUMMYFUNCTION("""COMPUTED_VALUE"""),"(정)박종익8931")</f>
        <v>(정)박종익8931</v>
      </c>
    </row>
    <row r="232">
      <c r="A232" s="4" t="s">
        <v>1615</v>
      </c>
      <c r="B232" s="4" t="str">
        <f>IFERROR(__xludf.DUMMYFUNCTION("""COMPUTED_VALUE"""),"(정)서준호7615")</f>
        <v>(정)서준호7615</v>
      </c>
    </row>
    <row r="233">
      <c r="A233" s="4" t="s">
        <v>1616</v>
      </c>
      <c r="B233" s="4" t="str">
        <f>IFERROR(__xludf.DUMMYFUNCTION("""COMPUTED_VALUE"""),"(정)손재호7632")</f>
        <v>(정)손재호7632</v>
      </c>
    </row>
    <row r="234">
      <c r="A234" s="4" t="s">
        <v>1617</v>
      </c>
      <c r="B234" s="4" t="str">
        <f>IFERROR(__xludf.DUMMYFUNCTION("""COMPUTED_VALUE"""),"(정)양성식4022")</f>
        <v>(정)양성식4022</v>
      </c>
    </row>
    <row r="235">
      <c r="A235" s="4" t="s">
        <v>1618</v>
      </c>
      <c r="B235" s="4" t="str">
        <f>IFERROR(__xludf.DUMMYFUNCTION("""COMPUTED_VALUE"""),"(정)양한슬2808")</f>
        <v>(정)양한슬2808</v>
      </c>
    </row>
    <row r="236">
      <c r="A236" s="4" t="s">
        <v>1619</v>
      </c>
      <c r="B236" s="4" t="str">
        <f>IFERROR(__xludf.DUMMYFUNCTION("""COMPUTED_VALUE"""),"(정)유수민6056")</f>
        <v>(정)유수민6056</v>
      </c>
    </row>
    <row r="237">
      <c r="A237" s="4" t="s">
        <v>1620</v>
      </c>
      <c r="B237" s="4" t="str">
        <f>IFERROR(__xludf.DUMMYFUNCTION("""COMPUTED_VALUE"""),"(정)이승민2175")</f>
        <v>(정)이승민2175</v>
      </c>
    </row>
    <row r="238">
      <c r="A238" s="4" t="s">
        <v>1621</v>
      </c>
      <c r="B238" s="4" t="str">
        <f>IFERROR(__xludf.DUMMYFUNCTION("""COMPUTED_VALUE"""),"(정)이정현7377")</f>
        <v>(정)이정현7377</v>
      </c>
    </row>
    <row r="239">
      <c r="A239" s="4" t="s">
        <v>1622</v>
      </c>
      <c r="B239" s="4" t="str">
        <f>IFERROR(__xludf.DUMMYFUNCTION("""COMPUTED_VALUE"""),"(정)이지훈4736")</f>
        <v>(정)이지훈4736</v>
      </c>
    </row>
    <row r="240">
      <c r="A240" s="4" t="s">
        <v>1623</v>
      </c>
      <c r="B240" s="4" t="str">
        <f>IFERROR(__xludf.DUMMYFUNCTION("""COMPUTED_VALUE"""),"(정)장혁준9355")</f>
        <v>(정)장혁준9355</v>
      </c>
    </row>
    <row r="241">
      <c r="A241" s="4" t="s">
        <v>1624</v>
      </c>
      <c r="B241" s="4" t="str">
        <f>IFERROR(__xludf.DUMMYFUNCTION("""COMPUTED_VALUE"""),"(정)정민욱9377")</f>
        <v>(정)정민욱9377</v>
      </c>
    </row>
    <row r="242">
      <c r="A242" s="4" t="s">
        <v>1625</v>
      </c>
      <c r="B242" s="4" t="str">
        <f>IFERROR(__xludf.DUMMYFUNCTION("""COMPUTED_VALUE"""),"(정)정지훈3166")</f>
        <v>(정)정지훈3166</v>
      </c>
    </row>
    <row r="243">
      <c r="A243" s="4" t="s">
        <v>1626</v>
      </c>
      <c r="B243" s="4" t="str">
        <f>IFERROR(__xludf.DUMMYFUNCTION("""COMPUTED_VALUE"""),"(정)채현우7675")</f>
        <v>(정)채현우7675</v>
      </c>
    </row>
    <row r="244">
      <c r="A244" s="4" t="s">
        <v>1627</v>
      </c>
      <c r="B244" s="4" t="str">
        <f>IFERROR(__xludf.DUMMYFUNCTION("""COMPUTED_VALUE"""),"(정)한지산7711")</f>
        <v>(정)한지산7711</v>
      </c>
    </row>
    <row r="245">
      <c r="A245" s="4" t="s">
        <v>1628</v>
      </c>
      <c r="B245" s="4" t="str">
        <f>IFERROR(__xludf.DUMMYFUNCTION("""COMPUTED_VALUE"""),"(정)함동근0706")</f>
        <v>(정)함동근0706</v>
      </c>
    </row>
    <row r="246">
      <c r="A246" s="4" t="s">
        <v>1629</v>
      </c>
      <c r="B246" s="4" t="str">
        <f>IFERROR(__xludf.DUMMYFUNCTION("""COMPUTED_VALUE"""),"(정)황승우8942")</f>
        <v>(정)황승우8942</v>
      </c>
    </row>
    <row r="247">
      <c r="A247" s="4" t="s">
        <v>1630</v>
      </c>
      <c r="B247" s="4" t="str">
        <f>IFERROR(__xludf.DUMMYFUNCTION("""COMPUTED_VALUE"""),"(케)강서윤2790")</f>
        <v>(케)강서윤2790</v>
      </c>
    </row>
    <row r="248">
      <c r="A248" s="4" t="s">
        <v>1631</v>
      </c>
      <c r="B248" s="4" t="str">
        <f>IFERROR(__xludf.DUMMYFUNCTION("""COMPUTED_VALUE"""),"(케)고소은3136")</f>
        <v>(케)고소은3136</v>
      </c>
    </row>
    <row r="249">
      <c r="A249" s="4" t="s">
        <v>1632</v>
      </c>
      <c r="B249" s="4" t="str">
        <f>IFERROR(__xludf.DUMMYFUNCTION("""COMPUTED_VALUE"""),"(케)고유리1925")</f>
        <v>(케)고유리1925</v>
      </c>
    </row>
    <row r="250">
      <c r="A250" s="4" t="s">
        <v>1633</v>
      </c>
      <c r="B250" s="4" t="str">
        <f>IFERROR(__xludf.DUMMYFUNCTION("""COMPUTED_VALUE"""),"(케)김나현3679")</f>
        <v>(케)김나현3679</v>
      </c>
    </row>
    <row r="251">
      <c r="A251" s="4" t="s">
        <v>1634</v>
      </c>
      <c r="B251" s="4" t="str">
        <f>IFERROR(__xludf.DUMMYFUNCTION("""COMPUTED_VALUE"""),"(케)김수겸3336")</f>
        <v>(케)김수겸3336</v>
      </c>
    </row>
    <row r="252">
      <c r="A252" s="4" t="s">
        <v>1635</v>
      </c>
      <c r="B252" s="4" t="str">
        <f>IFERROR(__xludf.DUMMYFUNCTION("""COMPUTED_VALUE"""),"(케)김연우5469")</f>
        <v>(케)김연우5469</v>
      </c>
    </row>
    <row r="253">
      <c r="A253" s="4" t="s">
        <v>1636</v>
      </c>
      <c r="B253" s="4" t="str">
        <f>IFERROR(__xludf.DUMMYFUNCTION("""COMPUTED_VALUE"""),"(케)김예지5681")</f>
        <v>(케)김예지5681</v>
      </c>
    </row>
    <row r="254">
      <c r="A254" s="4" t="s">
        <v>1637</v>
      </c>
      <c r="B254" s="4" t="str">
        <f>IFERROR(__xludf.DUMMYFUNCTION("""COMPUTED_VALUE"""),"(케)김윤서0662")</f>
        <v>(케)김윤서0662</v>
      </c>
    </row>
    <row r="255">
      <c r="A255" s="4" t="s">
        <v>1638</v>
      </c>
      <c r="B255" s="4" t="str">
        <f>IFERROR(__xludf.DUMMYFUNCTION("""COMPUTED_VALUE"""),"(케)김지아4708")</f>
        <v>(케)김지아4708</v>
      </c>
    </row>
    <row r="256">
      <c r="A256" s="4" t="s">
        <v>1639</v>
      </c>
      <c r="B256" s="4" t="str">
        <f>IFERROR(__xludf.DUMMYFUNCTION("""COMPUTED_VALUE"""),"(케)김지우4639")</f>
        <v>(케)김지우4639</v>
      </c>
    </row>
    <row r="257">
      <c r="A257" s="4" t="s">
        <v>1640</v>
      </c>
      <c r="B257" s="4" t="str">
        <f>IFERROR(__xludf.DUMMYFUNCTION("""COMPUTED_VALUE"""),"(케)김해솔1244")</f>
        <v>(케)김해솔1244</v>
      </c>
    </row>
    <row r="258">
      <c r="A258" s="4" t="s">
        <v>1641</v>
      </c>
      <c r="B258" s="4" t="str">
        <f>IFERROR(__xludf.DUMMYFUNCTION("""COMPUTED_VALUE"""),"(케)박민주9228")</f>
        <v>(케)박민주9228</v>
      </c>
    </row>
    <row r="259">
      <c r="A259" s="4" t="s">
        <v>1642</v>
      </c>
      <c r="B259" s="4" t="str">
        <f>IFERROR(__xludf.DUMMYFUNCTION("""COMPUTED_VALUE"""),"(케)박지현0096")</f>
        <v>(케)박지현0096</v>
      </c>
    </row>
    <row r="260">
      <c r="A260" s="4" t="s">
        <v>1643</v>
      </c>
      <c r="B260" s="4" t="str">
        <f>IFERROR(__xludf.DUMMYFUNCTION("""COMPUTED_VALUE"""),"(케)박채연6575")</f>
        <v>(케)박채연6575</v>
      </c>
    </row>
    <row r="261">
      <c r="A261" s="4" t="s">
        <v>1644</v>
      </c>
      <c r="B261" s="4" t="str">
        <f>IFERROR(__xludf.DUMMYFUNCTION("""COMPUTED_VALUE"""),"(케)서하윤3457")</f>
        <v>(케)서하윤3457</v>
      </c>
    </row>
    <row r="262">
      <c r="A262" s="4" t="s">
        <v>1645</v>
      </c>
      <c r="B262" s="4" t="str">
        <f>IFERROR(__xludf.DUMMYFUNCTION("""COMPUTED_VALUE"""),"(케)신윤지9575")</f>
        <v>(케)신윤지9575</v>
      </c>
    </row>
    <row r="263">
      <c r="A263" s="4" t="s">
        <v>1646</v>
      </c>
      <c r="B263" s="4" t="str">
        <f>IFERROR(__xludf.DUMMYFUNCTION("""COMPUTED_VALUE"""),"(케)안시현8180")</f>
        <v>(케)안시현8180</v>
      </c>
    </row>
    <row r="264">
      <c r="A264" s="4" t="s">
        <v>1647</v>
      </c>
      <c r="B264" s="4" t="str">
        <f>IFERROR(__xludf.DUMMYFUNCTION("""COMPUTED_VALUE"""),"(케)안예진2911")</f>
        <v>(케)안예진2911</v>
      </c>
    </row>
    <row r="265">
      <c r="A265" s="4" t="s">
        <v>1648</v>
      </c>
      <c r="B265" s="4" t="str">
        <f>IFERROR(__xludf.DUMMYFUNCTION("""COMPUTED_VALUE"""),"(케)이윤진2108")</f>
        <v>(케)이윤진2108</v>
      </c>
    </row>
    <row r="266">
      <c r="A266" s="4" t="s">
        <v>1649</v>
      </c>
      <c r="B266" s="4" t="str">
        <f>IFERROR(__xludf.DUMMYFUNCTION("""COMPUTED_VALUE"""),"(케)주지민5159")</f>
        <v>(케)주지민5159</v>
      </c>
    </row>
    <row r="267">
      <c r="A267" s="4" t="s">
        <v>1650</v>
      </c>
      <c r="B267" s="4" t="str">
        <f>IFERROR(__xludf.DUMMYFUNCTION("""COMPUTED_VALUE"""),"(케)최정민5304")</f>
        <v>(케)최정민5304</v>
      </c>
    </row>
    <row r="268">
      <c r="A268" s="4" t="s">
        <v>1651</v>
      </c>
      <c r="B268" s="4" t="str">
        <f>IFERROR(__xludf.DUMMYFUNCTION("""COMPUTED_VALUE"""),"(케)현세영7821")</f>
        <v>(케)현세영7821</v>
      </c>
    </row>
    <row r="269">
      <c r="A269" s="4" t="s">
        <v>1652</v>
      </c>
      <c r="B269" s="4" t="str">
        <f>IFERROR(__xludf.DUMMYFUNCTION("""COMPUTED_VALUE"""),"(케)홍지우1873")</f>
        <v>(케)홍지우1873</v>
      </c>
    </row>
    <row r="270">
      <c r="A270" s="4" t="s">
        <v>1653</v>
      </c>
      <c r="B270" s="4" t="str">
        <f>IFERROR(__xludf.DUMMYFUNCTION("""COMPUTED_VALUE"""),"(태)김서원8421")</f>
        <v>(태)김서원8421</v>
      </c>
    </row>
    <row r="271">
      <c r="A271" s="4" t="s">
        <v>1654</v>
      </c>
      <c r="B271" s="4" t="str">
        <f>IFERROR(__xludf.DUMMYFUNCTION("""COMPUTED_VALUE"""),"(훼)김기범3977")</f>
        <v>(훼)김기범3977</v>
      </c>
    </row>
    <row r="272">
      <c r="A272" s="4" t="s">
        <v>1655</v>
      </c>
      <c r="B272" s="4" t="str">
        <f>IFERROR(__xludf.DUMMYFUNCTION("""COMPUTED_VALUE"""),"(훼)김민재1454")</f>
        <v>(훼)김민재1454</v>
      </c>
    </row>
    <row r="273">
      <c r="A273" s="4" t="s">
        <v>1656</v>
      </c>
      <c r="B273" s="4" t="str">
        <f>IFERROR(__xludf.DUMMYFUNCTION("""COMPUTED_VALUE"""),"(훼)김정주0500")</f>
        <v>(훼)김정주0500</v>
      </c>
    </row>
    <row r="274">
      <c r="A274" s="4" t="s">
        <v>1657</v>
      </c>
      <c r="B274" s="4" t="str">
        <f>IFERROR(__xludf.DUMMYFUNCTION("""COMPUTED_VALUE"""),"(훼)김지환1228")</f>
        <v>(훼)김지환1228</v>
      </c>
    </row>
    <row r="275">
      <c r="A275" s="4" t="s">
        <v>1658</v>
      </c>
      <c r="B275" s="4" t="str">
        <f>IFERROR(__xludf.DUMMYFUNCTION("""COMPUTED_VALUE"""),"(훼)문성빈6175")</f>
        <v>(훼)문성빈6175</v>
      </c>
    </row>
    <row r="276">
      <c r="A276" s="4" t="s">
        <v>1659</v>
      </c>
      <c r="B276" s="4" t="str">
        <f>IFERROR(__xludf.DUMMYFUNCTION("""COMPUTED_VALUE"""),"(훼)서태민1520")</f>
        <v>(훼)서태민1520</v>
      </c>
    </row>
    <row r="277">
      <c r="A277" s="4" t="s">
        <v>1660</v>
      </c>
      <c r="B277" s="4" t="str">
        <f>IFERROR(__xludf.DUMMYFUNCTION("""COMPUTED_VALUE"""),"(훼)신진수8426")</f>
        <v>(훼)신진수8426</v>
      </c>
    </row>
    <row r="278">
      <c r="A278" s="4" t="s">
        <v>1661</v>
      </c>
      <c r="B278" s="4" t="str">
        <f>IFERROR(__xludf.DUMMYFUNCTION("""COMPUTED_VALUE"""),"(훼)이강토7493")</f>
        <v>(훼)이강토7493</v>
      </c>
    </row>
    <row r="279">
      <c r="A279" s="4" t="s">
        <v>1662</v>
      </c>
      <c r="B279" s="4" t="str">
        <f>IFERROR(__xludf.DUMMYFUNCTION("""COMPUTED_VALUE"""),"(훼)이건욱3659")</f>
        <v>(훼)이건욱3659</v>
      </c>
    </row>
    <row r="280">
      <c r="A280" s="4" t="s">
        <v>1663</v>
      </c>
      <c r="B280" s="4" t="str">
        <f>IFERROR(__xludf.DUMMYFUNCTION("""COMPUTED_VALUE"""),"(훼)이민재2779")</f>
        <v>(훼)이민재2779</v>
      </c>
    </row>
    <row r="281">
      <c r="A281" s="4" t="s">
        <v>1664</v>
      </c>
      <c r="B281" s="4" t="str">
        <f>IFERROR(__xludf.DUMMYFUNCTION("""COMPUTED_VALUE"""),"(훼)이서준6562")</f>
        <v>(훼)이서준6562</v>
      </c>
    </row>
    <row r="282">
      <c r="A282" s="4" t="s">
        <v>1665</v>
      </c>
      <c r="B282" s="4" t="str">
        <f>IFERROR(__xludf.DUMMYFUNCTION("""COMPUTED_VALUE"""),"(훼)이홍석4338")</f>
        <v>(훼)이홍석4338</v>
      </c>
    </row>
    <row r="283">
      <c r="A283" s="4" t="s">
        <v>1666</v>
      </c>
      <c r="B283" s="4" t="str">
        <f>IFERROR(__xludf.DUMMYFUNCTION("""COMPUTED_VALUE"""),"(훼)임여준7908")</f>
        <v>(훼)임여준7908</v>
      </c>
    </row>
    <row r="284">
      <c r="A284" s="4" t="s">
        <v>1667</v>
      </c>
      <c r="B284" s="4" t="str">
        <f>IFERROR(__xludf.DUMMYFUNCTION("""COMPUTED_VALUE"""),"(훼)조재한3741")</f>
        <v>(훼)조재한3741</v>
      </c>
    </row>
    <row r="285">
      <c r="A285" s="4" t="s">
        <v>1668</v>
      </c>
      <c r="B285" s="4" t="str">
        <f>IFERROR(__xludf.DUMMYFUNCTION("""COMPUTED_VALUE"""),"(훼)최정웅0288")</f>
        <v>(훼)최정웅0288</v>
      </c>
    </row>
    <row r="286">
      <c r="A286" s="4" t="s">
        <v>1669</v>
      </c>
      <c r="B286" s="4" t="str">
        <f>IFERROR(__xludf.DUMMYFUNCTION("""COMPUTED_VALUE"""),"(훼)최현성5004")</f>
        <v>(훼)최현성5004</v>
      </c>
    </row>
    <row r="287">
      <c r="A287" s="4" t="s">
        <v>1670</v>
      </c>
      <c r="B287" s="4" t="str">
        <f>IFERROR(__xludf.DUMMYFUNCTION("""COMPUTED_VALUE"""),"(훼)홍은찬6741")</f>
        <v>(훼)홍은찬6741</v>
      </c>
    </row>
    <row r="288">
      <c r="A288" s="4" t="s">
        <v>1671</v>
      </c>
      <c r="B288" s="4" t="str">
        <f>IFERROR(__xludf.DUMMYFUNCTION("""COMPUTED_VALUE"""),"가상진1900")</f>
        <v>가상진1900</v>
      </c>
    </row>
    <row r="289">
      <c r="A289" s="4" t="s">
        <v>1672</v>
      </c>
      <c r="B289" s="4" t="str">
        <f>IFERROR(__xludf.DUMMYFUNCTION("""COMPUTED_VALUE"""),"강문수1110")</f>
        <v>강문수1110</v>
      </c>
    </row>
    <row r="290">
      <c r="A290" s="4" t="s">
        <v>1673</v>
      </c>
      <c r="B290" s="4" t="str">
        <f>IFERROR(__xludf.DUMMYFUNCTION("""COMPUTED_VALUE"""),"강선우8939")</f>
        <v>강선우8939</v>
      </c>
    </row>
    <row r="291">
      <c r="A291" s="4" t="s">
        <v>1674</v>
      </c>
      <c r="B291" s="4" t="str">
        <f>IFERROR(__xludf.DUMMYFUNCTION("""COMPUTED_VALUE"""),"강유나1771")</f>
        <v>강유나1771</v>
      </c>
    </row>
    <row r="292">
      <c r="A292" s="4" t="s">
        <v>1675</v>
      </c>
      <c r="B292" s="4" t="str">
        <f>IFERROR(__xludf.DUMMYFUNCTION("""COMPUTED_VALUE"""),"강유찬8685")</f>
        <v>강유찬8685</v>
      </c>
    </row>
    <row r="293">
      <c r="A293" s="4" t="s">
        <v>1676</v>
      </c>
      <c r="B293" s="4" t="str">
        <f>IFERROR(__xludf.DUMMYFUNCTION("""COMPUTED_VALUE"""),"강윤하9251")</f>
        <v>강윤하9251</v>
      </c>
    </row>
    <row r="294">
      <c r="A294" s="4" t="s">
        <v>1677</v>
      </c>
      <c r="B294" s="4" t="str">
        <f>IFERROR(__xludf.DUMMYFUNCTION("""COMPUTED_VALUE"""),"강태우7482")</f>
        <v>강태우7482</v>
      </c>
    </row>
    <row r="295">
      <c r="A295" s="4" t="s">
        <v>1678</v>
      </c>
      <c r="B295" s="4" t="str">
        <f>IFERROR(__xludf.DUMMYFUNCTION("""COMPUTED_VALUE"""),"강태윤6674")</f>
        <v>강태윤6674</v>
      </c>
    </row>
    <row r="296">
      <c r="A296" s="4" t="s">
        <v>1679</v>
      </c>
      <c r="B296" s="4" t="str">
        <f>IFERROR(__xludf.DUMMYFUNCTION("""COMPUTED_VALUE"""),"강혜나4122")</f>
        <v>강혜나4122</v>
      </c>
    </row>
    <row r="297">
      <c r="A297" s="4" t="s">
        <v>1680</v>
      </c>
      <c r="B297" s="4" t="str">
        <f>IFERROR(__xludf.DUMMYFUNCTION("""COMPUTED_VALUE"""),"고도형8660")</f>
        <v>고도형8660</v>
      </c>
    </row>
    <row r="298">
      <c r="A298" s="4" t="s">
        <v>1681</v>
      </c>
      <c r="B298" s="4" t="str">
        <f>IFERROR(__xludf.DUMMYFUNCTION("""COMPUTED_VALUE"""),"고윤서2515")</f>
        <v>고윤서2515</v>
      </c>
    </row>
    <row r="299">
      <c r="A299" s="4" t="s">
        <v>1682</v>
      </c>
      <c r="B299" s="4" t="str">
        <f>IFERROR(__xludf.DUMMYFUNCTION("""COMPUTED_VALUE"""),"고은세3274")</f>
        <v>고은세3274</v>
      </c>
    </row>
    <row r="300">
      <c r="A300" s="4" t="s">
        <v>1683</v>
      </c>
      <c r="B300" s="4" t="str">
        <f>IFERROR(__xludf.DUMMYFUNCTION("""COMPUTED_VALUE"""),"고준형2978")</f>
        <v>고준형2978</v>
      </c>
    </row>
    <row r="301">
      <c r="A301" s="4" t="s">
        <v>1684</v>
      </c>
      <c r="B301" s="4" t="str">
        <f>IFERROR(__xludf.DUMMYFUNCTION("""COMPUTED_VALUE"""),"곽경훈7725")</f>
        <v>곽경훈7725</v>
      </c>
    </row>
    <row r="302">
      <c r="A302" s="4" t="s">
        <v>1685</v>
      </c>
      <c r="B302" s="4" t="str">
        <f>IFERROR(__xludf.DUMMYFUNCTION("""COMPUTED_VALUE"""),"곽은서0979")</f>
        <v>곽은서0979</v>
      </c>
    </row>
    <row r="303">
      <c r="A303" s="4" t="s">
        <v>1686</v>
      </c>
      <c r="B303" s="4" t="str">
        <f>IFERROR(__xludf.DUMMYFUNCTION("""COMPUTED_VALUE"""),"구현준6401")</f>
        <v>구현준6401</v>
      </c>
    </row>
    <row r="304">
      <c r="A304" s="4" t="s">
        <v>1687</v>
      </c>
      <c r="B304" s="4" t="str">
        <f>IFERROR(__xludf.DUMMYFUNCTION("""COMPUTED_VALUE"""),"권나영4759")</f>
        <v>권나영4759</v>
      </c>
    </row>
    <row r="305">
      <c r="A305" s="4" t="s">
        <v>1688</v>
      </c>
      <c r="B305" s="4" t="str">
        <f>IFERROR(__xludf.DUMMYFUNCTION("""COMPUTED_VALUE"""),"권민서2837")</f>
        <v>권민서2837</v>
      </c>
    </row>
    <row r="306">
      <c r="A306" s="4" t="s">
        <v>1689</v>
      </c>
      <c r="B306" s="4" t="str">
        <f>IFERROR(__xludf.DUMMYFUNCTION("""COMPUTED_VALUE"""),"권순혁5285")</f>
        <v>권순혁5285</v>
      </c>
    </row>
    <row r="307">
      <c r="A307" s="4" t="s">
        <v>1690</v>
      </c>
      <c r="B307" s="4" t="str">
        <f>IFERROR(__xludf.DUMMYFUNCTION("""COMPUTED_VALUE"""),"권준서2897")</f>
        <v>권준서2897</v>
      </c>
    </row>
    <row r="308">
      <c r="A308" s="4" t="s">
        <v>1691</v>
      </c>
      <c r="B308" s="4" t="str">
        <f>IFERROR(__xludf.DUMMYFUNCTION("""COMPUTED_VALUE"""),"권혁안8539")</f>
        <v>권혁안8539</v>
      </c>
    </row>
    <row r="309">
      <c r="A309" s="4" t="s">
        <v>1692</v>
      </c>
      <c r="B309" s="4" t="str">
        <f>IFERROR(__xludf.DUMMYFUNCTION("""COMPUTED_VALUE"""),"길도균0611")</f>
        <v>길도균0611</v>
      </c>
    </row>
    <row r="310">
      <c r="A310" s="4" t="s">
        <v>1693</v>
      </c>
      <c r="B310" s="4" t="str">
        <f>IFERROR(__xludf.DUMMYFUNCTION("""COMPUTED_VALUE"""),"김가현4206")</f>
        <v>김가현4206</v>
      </c>
    </row>
    <row r="311">
      <c r="A311" s="4" t="s">
        <v>1694</v>
      </c>
      <c r="B311" s="4" t="str">
        <f>IFERROR(__xludf.DUMMYFUNCTION("""COMPUTED_VALUE"""),"김건우1354")</f>
        <v>김건우1354</v>
      </c>
    </row>
    <row r="312">
      <c r="A312" s="4" t="s">
        <v>1695</v>
      </c>
      <c r="B312" s="4" t="str">
        <f>IFERROR(__xludf.DUMMYFUNCTION("""COMPUTED_VALUE"""),"김기완9575")</f>
        <v>김기완9575</v>
      </c>
    </row>
    <row r="313">
      <c r="A313" s="4" t="s">
        <v>1696</v>
      </c>
      <c r="B313" s="4" t="str">
        <f>IFERROR(__xludf.DUMMYFUNCTION("""COMPUTED_VALUE"""),"김나예2196")</f>
        <v>김나예2196</v>
      </c>
    </row>
    <row r="314">
      <c r="A314" s="4" t="s">
        <v>1697</v>
      </c>
      <c r="B314" s="4" t="str">
        <f>IFERROR(__xludf.DUMMYFUNCTION("""COMPUTED_VALUE"""),"김나은0227")</f>
        <v>김나은0227</v>
      </c>
    </row>
    <row r="315">
      <c r="A315" s="4" t="s">
        <v>1698</v>
      </c>
      <c r="B315" s="4" t="str">
        <f>IFERROR(__xludf.DUMMYFUNCTION("""COMPUTED_VALUE"""),"김나현7522")</f>
        <v>김나현7522</v>
      </c>
    </row>
    <row r="316">
      <c r="A316" s="4" t="s">
        <v>1699</v>
      </c>
      <c r="B316" s="4" t="str">
        <f>IFERROR(__xludf.DUMMYFUNCTION("""COMPUTED_VALUE"""),"김도연2260")</f>
        <v>김도연2260</v>
      </c>
    </row>
    <row r="317">
      <c r="A317" s="4" t="s">
        <v>1700</v>
      </c>
      <c r="B317" s="4" t="str">
        <f>IFERROR(__xludf.DUMMYFUNCTION("""COMPUTED_VALUE"""),"김도윤6461")</f>
        <v>김도윤6461</v>
      </c>
    </row>
    <row r="318">
      <c r="A318" s="4" t="s">
        <v>1701</v>
      </c>
      <c r="B318" s="4" t="str">
        <f>IFERROR(__xludf.DUMMYFUNCTION("""COMPUTED_VALUE"""),"김도형7747")</f>
        <v>김도형7747</v>
      </c>
    </row>
    <row r="319">
      <c r="A319" s="4" t="s">
        <v>1702</v>
      </c>
      <c r="B319" s="4" t="str">
        <f>IFERROR(__xludf.DUMMYFUNCTION("""COMPUTED_VALUE"""),"김동원5180")</f>
        <v>김동원5180</v>
      </c>
    </row>
    <row r="320">
      <c r="A320" s="4" t="s">
        <v>1703</v>
      </c>
      <c r="B320" s="4" t="str">
        <f>IFERROR(__xludf.DUMMYFUNCTION("""COMPUTED_VALUE"""),"김민서3076")</f>
        <v>김민서3076</v>
      </c>
    </row>
    <row r="321">
      <c r="A321" s="4" t="s">
        <v>1704</v>
      </c>
      <c r="B321" s="4" t="str">
        <f>IFERROR(__xludf.DUMMYFUNCTION("""COMPUTED_VALUE"""),"김민서9396")</f>
        <v>김민서9396</v>
      </c>
    </row>
    <row r="322">
      <c r="A322" s="4" t="s">
        <v>1705</v>
      </c>
      <c r="B322" s="4" t="str">
        <f>IFERROR(__xludf.DUMMYFUNCTION("""COMPUTED_VALUE"""),"김민성6589")</f>
        <v>김민성6589</v>
      </c>
    </row>
    <row r="323">
      <c r="A323" s="4" t="s">
        <v>1706</v>
      </c>
      <c r="B323" s="4" t="str">
        <f>IFERROR(__xludf.DUMMYFUNCTION("""COMPUTED_VALUE"""),"김민재2285")</f>
        <v>김민재2285</v>
      </c>
    </row>
    <row r="324">
      <c r="A324" s="4" t="s">
        <v>1707</v>
      </c>
      <c r="B324" s="4" t="str">
        <f>IFERROR(__xludf.DUMMYFUNCTION("""COMPUTED_VALUE"""),"김민재3830")</f>
        <v>김민재3830</v>
      </c>
    </row>
    <row r="325">
      <c r="A325" s="4" t="s">
        <v>1708</v>
      </c>
      <c r="B325" s="4" t="str">
        <f>IFERROR(__xludf.DUMMYFUNCTION("""COMPUTED_VALUE"""),"김민주0500")</f>
        <v>김민주0500</v>
      </c>
    </row>
    <row r="326">
      <c r="A326" s="4" t="s">
        <v>1709</v>
      </c>
      <c r="B326" s="4" t="str">
        <f>IFERROR(__xludf.DUMMYFUNCTION("""COMPUTED_VALUE"""),"김민지8293")</f>
        <v>김민지8293</v>
      </c>
    </row>
    <row r="327">
      <c r="A327" s="4" t="s">
        <v>1710</v>
      </c>
      <c r="B327" s="4" t="str">
        <f>IFERROR(__xludf.DUMMYFUNCTION("""COMPUTED_VALUE"""),"김민채3110")</f>
        <v>김민채3110</v>
      </c>
    </row>
    <row r="328">
      <c r="A328" s="4" t="s">
        <v>1711</v>
      </c>
      <c r="B328" s="4" t="str">
        <f>IFERROR(__xludf.DUMMYFUNCTION("""COMPUTED_VALUE"""),"김보민0654")</f>
        <v>김보민0654</v>
      </c>
    </row>
    <row r="329">
      <c r="A329" s="4" t="s">
        <v>1712</v>
      </c>
      <c r="B329" s="4" t="str">
        <f>IFERROR(__xludf.DUMMYFUNCTION("""COMPUTED_VALUE"""),"김서우9330")</f>
        <v>김서우9330</v>
      </c>
    </row>
    <row r="330">
      <c r="A330" s="4" t="s">
        <v>1713</v>
      </c>
      <c r="B330" s="4" t="str">
        <f>IFERROR(__xludf.DUMMYFUNCTION("""COMPUTED_VALUE"""),"김서진0829")</f>
        <v>김서진0829</v>
      </c>
    </row>
    <row r="331">
      <c r="A331" s="4" t="s">
        <v>1714</v>
      </c>
      <c r="B331" s="4" t="str">
        <f>IFERROR(__xludf.DUMMYFUNCTION("""COMPUTED_VALUE"""),"김석현2234")</f>
        <v>김석현2234</v>
      </c>
    </row>
    <row r="332">
      <c r="A332" s="4" t="s">
        <v>1715</v>
      </c>
      <c r="B332" s="4" t="str">
        <f>IFERROR(__xludf.DUMMYFUNCTION("""COMPUTED_VALUE"""),"김선민4296")</f>
        <v>김선민4296</v>
      </c>
    </row>
    <row r="333">
      <c r="A333" s="4" t="s">
        <v>1716</v>
      </c>
      <c r="B333" s="4" t="str">
        <f>IFERROR(__xludf.DUMMYFUNCTION("""COMPUTED_VALUE"""),"김성재4251")</f>
        <v>김성재4251</v>
      </c>
    </row>
    <row r="334">
      <c r="A334" s="4" t="s">
        <v>1717</v>
      </c>
      <c r="B334" s="4" t="str">
        <f>IFERROR(__xludf.DUMMYFUNCTION("""COMPUTED_VALUE"""),"김세은0191")</f>
        <v>김세은0191</v>
      </c>
    </row>
    <row r="335">
      <c r="A335" s="4" t="s">
        <v>1718</v>
      </c>
      <c r="B335" s="4" t="str">
        <f>IFERROR(__xludf.DUMMYFUNCTION("""COMPUTED_VALUE"""),"김소민1420")</f>
        <v>김소민1420</v>
      </c>
    </row>
    <row r="336">
      <c r="A336" s="4" t="s">
        <v>1719</v>
      </c>
      <c r="B336" s="4" t="str">
        <f>IFERROR(__xludf.DUMMYFUNCTION("""COMPUTED_VALUE"""),"김수린2998")</f>
        <v>김수린2998</v>
      </c>
    </row>
    <row r="337">
      <c r="A337" s="4" t="s">
        <v>1720</v>
      </c>
      <c r="B337" s="4" t="str">
        <f>IFERROR(__xludf.DUMMYFUNCTION("""COMPUTED_VALUE"""),"김수민6691")</f>
        <v>김수민6691</v>
      </c>
    </row>
    <row r="338">
      <c r="A338" s="4" t="s">
        <v>1721</v>
      </c>
      <c r="B338" s="4" t="str">
        <f>IFERROR(__xludf.DUMMYFUNCTION("""COMPUTED_VALUE"""),"김수은3364")</f>
        <v>김수은3364</v>
      </c>
    </row>
    <row r="339">
      <c r="A339" s="4" t="s">
        <v>1722</v>
      </c>
      <c r="B339" s="4" t="str">
        <f>IFERROR(__xludf.DUMMYFUNCTION("""COMPUTED_VALUE"""),"김수진5779")</f>
        <v>김수진5779</v>
      </c>
    </row>
    <row r="340">
      <c r="A340" s="4" t="s">
        <v>1723</v>
      </c>
      <c r="B340" s="4" t="str">
        <f>IFERROR(__xludf.DUMMYFUNCTION("""COMPUTED_VALUE"""),"김승우9086")</f>
        <v>김승우9086</v>
      </c>
    </row>
    <row r="341">
      <c r="A341" s="4" t="s">
        <v>1724</v>
      </c>
      <c r="B341" s="4" t="str">
        <f>IFERROR(__xludf.DUMMYFUNCTION("""COMPUTED_VALUE"""),"김시현3545")</f>
        <v>김시현3545</v>
      </c>
    </row>
    <row r="342">
      <c r="A342" s="4" t="s">
        <v>1725</v>
      </c>
      <c r="B342" s="4" t="str">
        <f>IFERROR(__xludf.DUMMYFUNCTION("""COMPUTED_VALUE"""),"김시현7518")</f>
        <v>김시현7518</v>
      </c>
    </row>
    <row r="343">
      <c r="A343" s="4" t="s">
        <v>1726</v>
      </c>
      <c r="B343" s="4" t="str">
        <f>IFERROR(__xludf.DUMMYFUNCTION("""COMPUTED_VALUE"""),"김아현2812")</f>
        <v>김아현2812</v>
      </c>
    </row>
    <row r="344">
      <c r="A344" s="4" t="s">
        <v>1727</v>
      </c>
      <c r="B344" s="4" t="str">
        <f>IFERROR(__xludf.DUMMYFUNCTION("""COMPUTED_VALUE"""),"김영준6659")</f>
        <v>김영준6659</v>
      </c>
    </row>
    <row r="345">
      <c r="A345" s="4" t="s">
        <v>1728</v>
      </c>
      <c r="B345" s="4" t="str">
        <f>IFERROR(__xludf.DUMMYFUNCTION("""COMPUTED_VALUE"""),"김영훈1190")</f>
        <v>김영훈1190</v>
      </c>
    </row>
    <row r="346">
      <c r="A346" s="4" t="s">
        <v>1729</v>
      </c>
      <c r="B346" s="4" t="str">
        <f>IFERROR(__xludf.DUMMYFUNCTION("""COMPUTED_VALUE"""),"김예론4700")</f>
        <v>김예론4700</v>
      </c>
    </row>
    <row r="347">
      <c r="A347" s="4" t="s">
        <v>1730</v>
      </c>
      <c r="B347" s="4" t="str">
        <f>IFERROR(__xludf.DUMMYFUNCTION("""COMPUTED_VALUE"""),"김예인7578")</f>
        <v>김예인7578</v>
      </c>
    </row>
    <row r="348">
      <c r="A348" s="4" t="s">
        <v>1731</v>
      </c>
      <c r="B348" s="4" t="str">
        <f>IFERROR(__xludf.DUMMYFUNCTION("""COMPUTED_VALUE"""),"김용진3511")</f>
        <v>김용진3511</v>
      </c>
    </row>
    <row r="349">
      <c r="A349" s="4" t="s">
        <v>1732</v>
      </c>
      <c r="B349" s="4" t="str">
        <f>IFERROR(__xludf.DUMMYFUNCTION("""COMPUTED_VALUE"""),"김우민6105")</f>
        <v>김우민6105</v>
      </c>
    </row>
    <row r="350">
      <c r="A350" s="4" t="s">
        <v>1733</v>
      </c>
      <c r="B350" s="4" t="str">
        <f>IFERROR(__xludf.DUMMYFUNCTION("""COMPUTED_VALUE"""),"김원우4548")</f>
        <v>김원우4548</v>
      </c>
    </row>
    <row r="351">
      <c r="A351" s="4" t="s">
        <v>1734</v>
      </c>
      <c r="B351" s="4" t="str">
        <f>IFERROR(__xludf.DUMMYFUNCTION("""COMPUTED_VALUE"""),"김윤도6830")</f>
        <v>김윤도6830</v>
      </c>
    </row>
    <row r="352">
      <c r="A352" s="4" t="s">
        <v>1735</v>
      </c>
      <c r="B352" s="4" t="str">
        <f>IFERROR(__xludf.DUMMYFUNCTION("""COMPUTED_VALUE"""),"김은우9416")</f>
        <v>김은우9416</v>
      </c>
    </row>
    <row r="353">
      <c r="A353" s="4" t="s">
        <v>1736</v>
      </c>
      <c r="B353" s="4" t="str">
        <f>IFERROR(__xludf.DUMMYFUNCTION("""COMPUTED_VALUE"""),"김은재4621")</f>
        <v>김은재4621</v>
      </c>
    </row>
    <row r="354">
      <c r="A354" s="4" t="s">
        <v>1737</v>
      </c>
      <c r="B354" s="4" t="str">
        <f>IFERROR(__xludf.DUMMYFUNCTION("""COMPUTED_VALUE"""),"김의동9605")</f>
        <v>김의동9605</v>
      </c>
    </row>
    <row r="355">
      <c r="A355" s="4" t="s">
        <v>1738</v>
      </c>
      <c r="B355" s="4" t="str">
        <f>IFERROR(__xludf.DUMMYFUNCTION("""COMPUTED_VALUE"""),"김재이4296")</f>
        <v>김재이4296</v>
      </c>
    </row>
    <row r="356">
      <c r="A356" s="4" t="s">
        <v>1739</v>
      </c>
      <c r="B356" s="4" t="str">
        <f>IFERROR(__xludf.DUMMYFUNCTION("""COMPUTED_VALUE"""),"김재현5675")</f>
        <v>김재현5675</v>
      </c>
    </row>
    <row r="357">
      <c r="A357" s="4" t="s">
        <v>1740</v>
      </c>
      <c r="B357" s="4" t="str">
        <f>IFERROR(__xludf.DUMMYFUNCTION("""COMPUTED_VALUE"""),"김재호3975")</f>
        <v>김재호3975</v>
      </c>
    </row>
    <row r="358">
      <c r="A358" s="4" t="s">
        <v>1741</v>
      </c>
      <c r="B358" s="4" t="str">
        <f>IFERROR(__xludf.DUMMYFUNCTION("""COMPUTED_VALUE"""),"김정욱0621")</f>
        <v>김정욱0621</v>
      </c>
    </row>
    <row r="359">
      <c r="A359" s="4" t="s">
        <v>1742</v>
      </c>
      <c r="B359" s="4" t="str">
        <f>IFERROR(__xludf.DUMMYFUNCTION("""COMPUTED_VALUE"""),"김정윤1749")</f>
        <v>김정윤1749</v>
      </c>
    </row>
    <row r="360">
      <c r="A360" s="4" t="s">
        <v>1743</v>
      </c>
      <c r="B360" s="4" t="str">
        <f>IFERROR(__xludf.DUMMYFUNCTION("""COMPUTED_VALUE"""),"김정윤3180")</f>
        <v>김정윤3180</v>
      </c>
    </row>
    <row r="361">
      <c r="A361" s="4" t="s">
        <v>1744</v>
      </c>
      <c r="B361" s="4" t="str">
        <f>IFERROR(__xludf.DUMMYFUNCTION("""COMPUTED_VALUE"""),"김정혁0804")</f>
        <v>김정혁0804</v>
      </c>
    </row>
    <row r="362">
      <c r="A362" s="4" t="s">
        <v>1745</v>
      </c>
      <c r="B362" s="4" t="str">
        <f>IFERROR(__xludf.DUMMYFUNCTION("""COMPUTED_VALUE"""),"김정환5212")</f>
        <v>김정환5212</v>
      </c>
    </row>
    <row r="363">
      <c r="A363" s="4" t="s">
        <v>1746</v>
      </c>
      <c r="B363" s="4" t="str">
        <f>IFERROR(__xludf.DUMMYFUNCTION("""COMPUTED_VALUE"""),"김주아7472")</f>
        <v>김주아7472</v>
      </c>
    </row>
    <row r="364">
      <c r="A364" s="4" t="s">
        <v>1747</v>
      </c>
      <c r="B364" s="4" t="str">
        <f>IFERROR(__xludf.DUMMYFUNCTION("""COMPUTED_VALUE"""),"김주혜7444")</f>
        <v>김주혜7444</v>
      </c>
    </row>
    <row r="365">
      <c r="A365" s="4" t="s">
        <v>1748</v>
      </c>
      <c r="B365" s="4" t="str">
        <f>IFERROR(__xludf.DUMMYFUNCTION("""COMPUTED_VALUE"""),"김준서9789")</f>
        <v>김준서9789</v>
      </c>
    </row>
    <row r="366">
      <c r="A366" s="4" t="s">
        <v>1749</v>
      </c>
      <c r="B366" s="4" t="str">
        <f>IFERROR(__xludf.DUMMYFUNCTION("""COMPUTED_VALUE"""),"김지민3823")</f>
        <v>김지민3823</v>
      </c>
    </row>
    <row r="367">
      <c r="A367" s="4" t="s">
        <v>1750</v>
      </c>
      <c r="B367" s="4" t="str">
        <f>IFERROR(__xludf.DUMMYFUNCTION("""COMPUTED_VALUE"""),"김지민9115")</f>
        <v>김지민9115</v>
      </c>
    </row>
    <row r="368">
      <c r="A368" s="4" t="s">
        <v>1751</v>
      </c>
      <c r="B368" s="4" t="str">
        <f>IFERROR(__xludf.DUMMYFUNCTION("""COMPUTED_VALUE"""),"김지성7439")</f>
        <v>김지성7439</v>
      </c>
    </row>
    <row r="369">
      <c r="A369" s="4" t="s">
        <v>1752</v>
      </c>
      <c r="B369" s="4" t="str">
        <f>IFERROR(__xludf.DUMMYFUNCTION("""COMPUTED_VALUE"""),"김지안1829")</f>
        <v>김지안1829</v>
      </c>
    </row>
    <row r="370">
      <c r="A370" s="4" t="s">
        <v>1753</v>
      </c>
      <c r="B370" s="4" t="str">
        <f>IFERROR(__xludf.DUMMYFUNCTION("""COMPUTED_VALUE"""),"김지원4341")</f>
        <v>김지원4341</v>
      </c>
    </row>
    <row r="371">
      <c r="A371" s="4" t="s">
        <v>1754</v>
      </c>
      <c r="B371" s="4" t="str">
        <f>IFERROR(__xludf.DUMMYFUNCTION("""COMPUTED_VALUE"""),"김진아5404")</f>
        <v>김진아5404</v>
      </c>
    </row>
    <row r="372">
      <c r="A372" s="4" t="s">
        <v>1755</v>
      </c>
      <c r="B372" s="4" t="str">
        <f>IFERROR(__xludf.DUMMYFUNCTION("""COMPUTED_VALUE"""),"김진영2280")</f>
        <v>김진영2280</v>
      </c>
    </row>
    <row r="373">
      <c r="A373" s="4" t="s">
        <v>1756</v>
      </c>
      <c r="B373" s="4" t="str">
        <f>IFERROR(__xludf.DUMMYFUNCTION("""COMPUTED_VALUE"""),"김찬민7093")</f>
        <v>김찬민7093</v>
      </c>
    </row>
    <row r="374">
      <c r="A374" s="4" t="s">
        <v>1757</v>
      </c>
      <c r="B374" s="4" t="str">
        <f>IFERROR(__xludf.DUMMYFUNCTION("""COMPUTED_VALUE"""),"김찬수3534")</f>
        <v>김찬수3534</v>
      </c>
    </row>
    <row r="375">
      <c r="A375" s="4" t="s">
        <v>1758</v>
      </c>
      <c r="B375" s="4" t="str">
        <f>IFERROR(__xludf.DUMMYFUNCTION("""COMPUTED_VALUE"""),"김태유7024")</f>
        <v>김태유7024</v>
      </c>
    </row>
    <row r="376">
      <c r="A376" s="4" t="s">
        <v>1759</v>
      </c>
      <c r="B376" s="4" t="str">
        <f>IFERROR(__xludf.DUMMYFUNCTION("""COMPUTED_VALUE"""),"김태현1355")</f>
        <v>김태현1355</v>
      </c>
    </row>
    <row r="377">
      <c r="A377" s="4" t="s">
        <v>1760</v>
      </c>
      <c r="B377" s="4" t="str">
        <f>IFERROR(__xludf.DUMMYFUNCTION("""COMPUTED_VALUE"""),"김태훈7752")</f>
        <v>김태훈7752</v>
      </c>
    </row>
    <row r="378">
      <c r="A378" s="4" t="s">
        <v>1761</v>
      </c>
      <c r="B378" s="4" t="str">
        <f>IFERROR(__xludf.DUMMYFUNCTION("""COMPUTED_VALUE"""),"김한솔")</f>
        <v>김한솔</v>
      </c>
    </row>
    <row r="379">
      <c r="A379" s="4" t="s">
        <v>1762</v>
      </c>
      <c r="B379" s="4" t="str">
        <f>IFERROR(__xludf.DUMMYFUNCTION("""COMPUTED_VALUE"""),"김현준0347")</f>
        <v>김현준0347</v>
      </c>
    </row>
    <row r="380">
      <c r="A380" s="4" t="s">
        <v>1763</v>
      </c>
      <c r="B380" s="4" t="str">
        <f>IFERROR(__xludf.DUMMYFUNCTION("""COMPUTED_VALUE"""),"김혜나0191")</f>
        <v>김혜나0191</v>
      </c>
    </row>
    <row r="381">
      <c r="A381" s="4" t="s">
        <v>1764</v>
      </c>
      <c r="B381" s="4" t="str">
        <f>IFERROR(__xludf.DUMMYFUNCTION("""COMPUTED_VALUE"""),"김혜림1886")</f>
        <v>김혜림1886</v>
      </c>
    </row>
    <row r="382">
      <c r="A382" s="4" t="s">
        <v>1765</v>
      </c>
      <c r="B382" s="4" t="str">
        <f>IFERROR(__xludf.DUMMYFUNCTION("""COMPUTED_VALUE"""),"김호수0050")</f>
        <v>김호수0050</v>
      </c>
    </row>
    <row r="383">
      <c r="A383" s="4" t="s">
        <v>1766</v>
      </c>
      <c r="B383" s="4" t="str">
        <f>IFERROR(__xludf.DUMMYFUNCTION("""COMPUTED_VALUE"""),"김효준7113")</f>
        <v>김효준7113</v>
      </c>
    </row>
    <row r="384">
      <c r="A384" s="4" t="s">
        <v>1767</v>
      </c>
      <c r="B384" s="4" t="str">
        <f>IFERROR(__xludf.DUMMYFUNCTION("""COMPUTED_VALUE"""),"남궁승연9135")</f>
        <v>남궁승연9135</v>
      </c>
    </row>
    <row r="385">
      <c r="A385" s="4" t="s">
        <v>1768</v>
      </c>
      <c r="B385" s="4" t="str">
        <f>IFERROR(__xludf.DUMMYFUNCTION("""COMPUTED_VALUE"""),"남수현1184")</f>
        <v>남수현1184</v>
      </c>
    </row>
    <row r="386">
      <c r="A386" s="4" t="s">
        <v>1769</v>
      </c>
      <c r="B386" s="4" t="str">
        <f>IFERROR(__xludf.DUMMYFUNCTION("""COMPUTED_VALUE"""),"남유진6939")</f>
        <v>남유진6939</v>
      </c>
    </row>
    <row r="387">
      <c r="A387" s="4" t="s">
        <v>1770</v>
      </c>
      <c r="B387" s="4" t="str">
        <f>IFERROR(__xludf.DUMMYFUNCTION("""COMPUTED_VALUE"""),"남은우1024")</f>
        <v>남은우1024</v>
      </c>
    </row>
    <row r="388">
      <c r="A388" s="4" t="s">
        <v>1771</v>
      </c>
      <c r="B388" s="4" t="str">
        <f>IFERROR(__xludf.DUMMYFUNCTION("""COMPUTED_VALUE"""),"노하연6811")</f>
        <v>노하연6811</v>
      </c>
    </row>
    <row r="389">
      <c r="A389" s="4" t="s">
        <v>1772</v>
      </c>
      <c r="B389" s="4" t="str">
        <f>IFERROR(__xludf.DUMMYFUNCTION("""COMPUTED_VALUE"""),"류도경0855")</f>
        <v>류도경0855</v>
      </c>
    </row>
    <row r="390">
      <c r="A390" s="4" t="s">
        <v>1773</v>
      </c>
      <c r="B390" s="4" t="str">
        <f>IFERROR(__xludf.DUMMYFUNCTION("""COMPUTED_VALUE"""),"류수민3394")</f>
        <v>류수민3394</v>
      </c>
    </row>
    <row r="391">
      <c r="A391" s="4" t="s">
        <v>1774</v>
      </c>
      <c r="B391" s="4" t="str">
        <f>IFERROR(__xludf.DUMMYFUNCTION("""COMPUTED_VALUE"""),"류승한1797")</f>
        <v>류승한1797</v>
      </c>
    </row>
    <row r="392">
      <c r="A392" s="4" t="s">
        <v>1775</v>
      </c>
      <c r="B392" s="4" t="str">
        <f>IFERROR(__xludf.DUMMYFUNCTION("""COMPUTED_VALUE"""),"류지원2902")</f>
        <v>류지원2902</v>
      </c>
    </row>
    <row r="393">
      <c r="A393" s="4" t="s">
        <v>1776</v>
      </c>
      <c r="B393" s="4" t="str">
        <f>IFERROR(__xludf.DUMMYFUNCTION("""COMPUTED_VALUE"""),"류지훈2150")</f>
        <v>류지훈2150</v>
      </c>
    </row>
    <row r="394">
      <c r="A394" s="4" t="s">
        <v>1777</v>
      </c>
      <c r="B394" s="4" t="str">
        <f>IFERROR(__xludf.DUMMYFUNCTION("""COMPUTED_VALUE"""),"명규민5737")</f>
        <v>명규민5737</v>
      </c>
    </row>
    <row r="395">
      <c r="A395" s="4" t="s">
        <v>1778</v>
      </c>
      <c r="B395" s="4" t="str">
        <f>IFERROR(__xludf.DUMMYFUNCTION("""COMPUTED_VALUE"""),"문가윤0131")</f>
        <v>문가윤0131</v>
      </c>
    </row>
    <row r="396">
      <c r="A396" s="4" t="s">
        <v>1779</v>
      </c>
      <c r="B396" s="4" t="str">
        <f>IFERROR(__xludf.DUMMYFUNCTION("""COMPUTED_VALUE"""),"문서진2953")</f>
        <v>문서진2953</v>
      </c>
    </row>
    <row r="397">
      <c r="A397" s="4" t="s">
        <v>1780</v>
      </c>
      <c r="B397" s="4" t="str">
        <f>IFERROR(__xludf.DUMMYFUNCTION("""COMPUTED_VALUE"""),"문승아1647")</f>
        <v>문승아1647</v>
      </c>
    </row>
    <row r="398">
      <c r="A398" s="4" t="s">
        <v>1781</v>
      </c>
      <c r="B398" s="4" t="str">
        <f>IFERROR(__xludf.DUMMYFUNCTION("""COMPUTED_VALUE"""),"문아라4000")</f>
        <v>문아라4000</v>
      </c>
    </row>
    <row r="399">
      <c r="A399" s="4" t="s">
        <v>1782</v>
      </c>
      <c r="B399" s="4" t="str">
        <f>IFERROR(__xludf.DUMMYFUNCTION("""COMPUTED_VALUE"""),"문재윤4905")</f>
        <v>문재윤4905</v>
      </c>
    </row>
    <row r="400">
      <c r="A400" s="4" t="s">
        <v>1783</v>
      </c>
      <c r="B400" s="4" t="str">
        <f>IFERROR(__xludf.DUMMYFUNCTION("""COMPUTED_VALUE"""),"문채영0263")</f>
        <v>문채영0263</v>
      </c>
    </row>
    <row r="401">
      <c r="A401" s="4" t="s">
        <v>1784</v>
      </c>
      <c r="B401" s="4" t="str">
        <f>IFERROR(__xludf.DUMMYFUNCTION("""COMPUTED_VALUE"""),"문희상8311")</f>
        <v>문희상8311</v>
      </c>
    </row>
    <row r="402">
      <c r="A402" s="4" t="s">
        <v>1785</v>
      </c>
      <c r="B402" s="4" t="str">
        <f>IFERROR(__xludf.DUMMYFUNCTION("""COMPUTED_VALUE"""),"민우진4857")</f>
        <v>민우진4857</v>
      </c>
    </row>
    <row r="403">
      <c r="A403" s="4" t="s">
        <v>1786</v>
      </c>
      <c r="B403" s="4" t="str">
        <f>IFERROR(__xludf.DUMMYFUNCTION("""COMPUTED_VALUE"""),"박가영4752")</f>
        <v>박가영4752</v>
      </c>
    </row>
    <row r="404">
      <c r="A404" s="4" t="s">
        <v>1787</v>
      </c>
      <c r="B404" s="4" t="str">
        <f>IFERROR(__xludf.DUMMYFUNCTION("""COMPUTED_VALUE"""),"박건희0951")</f>
        <v>박건희0951</v>
      </c>
    </row>
    <row r="405">
      <c r="A405" s="4" t="s">
        <v>1788</v>
      </c>
      <c r="B405" s="4" t="str">
        <f>IFERROR(__xludf.DUMMYFUNCTION("""COMPUTED_VALUE"""),"박경은5909")</f>
        <v>박경은5909</v>
      </c>
    </row>
    <row r="406">
      <c r="A406" s="4" t="s">
        <v>1789</v>
      </c>
      <c r="B406" s="4" t="str">
        <f>IFERROR(__xludf.DUMMYFUNCTION("""COMPUTED_VALUE"""),"박근형2804")</f>
        <v>박근형2804</v>
      </c>
    </row>
    <row r="407">
      <c r="A407" s="4" t="s">
        <v>1790</v>
      </c>
      <c r="B407" s="4" t="str">
        <f>IFERROR(__xludf.DUMMYFUNCTION("""COMPUTED_VALUE"""),"박동휘6515")</f>
        <v>박동휘6515</v>
      </c>
    </row>
    <row r="408">
      <c r="A408" s="4" t="s">
        <v>1791</v>
      </c>
      <c r="B408" s="4" t="str">
        <f>IFERROR(__xludf.DUMMYFUNCTION("""COMPUTED_VALUE"""),"박민서0030")</f>
        <v>박민서0030</v>
      </c>
    </row>
    <row r="409">
      <c r="A409" s="4" t="s">
        <v>1792</v>
      </c>
      <c r="B409" s="4" t="str">
        <f>IFERROR(__xludf.DUMMYFUNCTION("""COMPUTED_VALUE"""),"박민준7071")</f>
        <v>박민준7071</v>
      </c>
    </row>
    <row r="410">
      <c r="A410" s="4" t="s">
        <v>1793</v>
      </c>
      <c r="B410" s="4" t="str">
        <f>IFERROR(__xludf.DUMMYFUNCTION("""COMPUTED_VALUE"""),"박범준0221")</f>
        <v>박범준0221</v>
      </c>
    </row>
    <row r="411">
      <c r="A411" s="4" t="s">
        <v>1794</v>
      </c>
      <c r="B411" s="4" t="str">
        <f>IFERROR(__xludf.DUMMYFUNCTION("""COMPUTED_VALUE"""),"박보경2618")</f>
        <v>박보경2618</v>
      </c>
    </row>
    <row r="412">
      <c r="A412" s="4" t="s">
        <v>1795</v>
      </c>
      <c r="B412" s="4" t="str">
        <f>IFERROR(__xludf.DUMMYFUNCTION("""COMPUTED_VALUE"""),"박상언")</f>
        <v>박상언</v>
      </c>
    </row>
    <row r="413">
      <c r="A413" s="4" t="s">
        <v>1796</v>
      </c>
      <c r="B413" s="4" t="str">
        <f>IFERROR(__xludf.DUMMYFUNCTION("""COMPUTED_VALUE"""),"박상우4980")</f>
        <v>박상우4980</v>
      </c>
    </row>
    <row r="414">
      <c r="A414" s="4" t="s">
        <v>1797</v>
      </c>
      <c r="B414" s="4" t="str">
        <f>IFERROR(__xludf.DUMMYFUNCTION("""COMPUTED_VALUE"""),"박서연8436")</f>
        <v>박서연8436</v>
      </c>
    </row>
    <row r="415">
      <c r="A415" s="4" t="s">
        <v>1798</v>
      </c>
      <c r="B415" s="4" t="str">
        <f>IFERROR(__xludf.DUMMYFUNCTION("""COMPUTED_VALUE"""),"박서연8747")</f>
        <v>박서연8747</v>
      </c>
    </row>
    <row r="416">
      <c r="A416" s="4" t="s">
        <v>1799</v>
      </c>
      <c r="B416" s="4" t="str">
        <f>IFERROR(__xludf.DUMMYFUNCTION("""COMPUTED_VALUE"""),"박서인3882")</f>
        <v>박서인3882</v>
      </c>
    </row>
    <row r="417">
      <c r="A417" s="4" t="s">
        <v>1800</v>
      </c>
      <c r="B417" s="4" t="str">
        <f>IFERROR(__xludf.DUMMYFUNCTION("""COMPUTED_VALUE"""),"박서진9434")</f>
        <v>박서진9434</v>
      </c>
    </row>
    <row r="418">
      <c r="A418" s="4" t="s">
        <v>1801</v>
      </c>
      <c r="B418" s="4" t="str">
        <f>IFERROR(__xludf.DUMMYFUNCTION("""COMPUTED_VALUE"""),"박성연4815")</f>
        <v>박성연4815</v>
      </c>
    </row>
    <row r="419">
      <c r="A419" s="4" t="s">
        <v>1802</v>
      </c>
      <c r="B419" s="4" t="str">
        <f>IFERROR(__xludf.DUMMYFUNCTION("""COMPUTED_VALUE"""),"박세현0011")</f>
        <v>박세현0011</v>
      </c>
    </row>
    <row r="420">
      <c r="A420" s="4" t="s">
        <v>1803</v>
      </c>
      <c r="B420" s="4" t="str">
        <f>IFERROR(__xludf.DUMMYFUNCTION("""COMPUTED_VALUE"""),"박세현4034")</f>
        <v>박세현4034</v>
      </c>
    </row>
    <row r="421">
      <c r="A421" s="4" t="s">
        <v>1804</v>
      </c>
      <c r="B421" s="4" t="str">
        <f>IFERROR(__xludf.DUMMYFUNCTION("""COMPUTED_VALUE"""),"박소연4811")</f>
        <v>박소연4811</v>
      </c>
    </row>
    <row r="422">
      <c r="A422" s="4" t="s">
        <v>1805</v>
      </c>
      <c r="B422" s="4" t="str">
        <f>IFERROR(__xludf.DUMMYFUNCTION("""COMPUTED_VALUE"""),"박소희7674")</f>
        <v>박소희7674</v>
      </c>
    </row>
    <row r="423">
      <c r="A423" s="4" t="s">
        <v>1806</v>
      </c>
      <c r="B423" s="4" t="str">
        <f>IFERROR(__xludf.DUMMYFUNCTION("""COMPUTED_VALUE"""),"박솔우5579")</f>
        <v>박솔우5579</v>
      </c>
    </row>
    <row r="424">
      <c r="A424" s="4" t="s">
        <v>1807</v>
      </c>
      <c r="B424" s="4" t="str">
        <f>IFERROR(__xludf.DUMMYFUNCTION("""COMPUTED_VALUE"""),"박수현0806")</f>
        <v>박수현0806</v>
      </c>
    </row>
    <row r="425">
      <c r="A425" s="4" t="s">
        <v>1808</v>
      </c>
      <c r="B425" s="4" t="str">
        <f>IFERROR(__xludf.DUMMYFUNCTION("""COMPUTED_VALUE"""),"박슬찬3558")</f>
        <v>박슬찬3558</v>
      </c>
    </row>
    <row r="426">
      <c r="A426" s="4" t="s">
        <v>1809</v>
      </c>
      <c r="B426" s="4" t="str">
        <f>IFERROR(__xludf.DUMMYFUNCTION("""COMPUTED_VALUE"""),"박시연1489")</f>
        <v>박시연1489</v>
      </c>
    </row>
    <row r="427">
      <c r="A427" s="4" t="s">
        <v>1810</v>
      </c>
      <c r="B427" s="4" t="str">
        <f>IFERROR(__xludf.DUMMYFUNCTION("""COMPUTED_VALUE"""),"박시은7840")</f>
        <v>박시은7840</v>
      </c>
    </row>
    <row r="428">
      <c r="A428" s="4" t="s">
        <v>1811</v>
      </c>
      <c r="B428" s="4" t="str">
        <f>IFERROR(__xludf.DUMMYFUNCTION("""COMPUTED_VALUE"""),"박여빈8569")</f>
        <v>박여빈8569</v>
      </c>
    </row>
    <row r="429">
      <c r="A429" s="4" t="s">
        <v>1812</v>
      </c>
      <c r="B429" s="4" t="str">
        <f>IFERROR(__xludf.DUMMYFUNCTION("""COMPUTED_VALUE"""),"박예은1507")</f>
        <v>박예은1507</v>
      </c>
    </row>
    <row r="430">
      <c r="A430" s="4" t="s">
        <v>1813</v>
      </c>
      <c r="B430" s="4" t="str">
        <f>IFERROR(__xludf.DUMMYFUNCTION("""COMPUTED_VALUE"""),"박우현4628")</f>
        <v>박우현4628</v>
      </c>
    </row>
    <row r="431">
      <c r="A431" s="4" t="s">
        <v>1814</v>
      </c>
      <c r="B431" s="4" t="str">
        <f>IFERROR(__xludf.DUMMYFUNCTION("""COMPUTED_VALUE"""),"박은성9434")</f>
        <v>박은성9434</v>
      </c>
    </row>
    <row r="432">
      <c r="A432" s="4" t="s">
        <v>1815</v>
      </c>
      <c r="B432" s="4" t="str">
        <f>IFERROR(__xludf.DUMMYFUNCTION("""COMPUTED_VALUE"""),"박이흔3840")</f>
        <v>박이흔3840</v>
      </c>
    </row>
    <row r="433">
      <c r="A433" s="4" t="s">
        <v>1816</v>
      </c>
      <c r="B433" s="4" t="str">
        <f>IFERROR(__xludf.DUMMYFUNCTION("""COMPUTED_VALUE"""),"박재현0319")</f>
        <v>박재현0319</v>
      </c>
    </row>
    <row r="434">
      <c r="A434" s="4" t="s">
        <v>1817</v>
      </c>
      <c r="B434" s="4" t="str">
        <f>IFERROR(__xludf.DUMMYFUNCTION("""COMPUTED_VALUE"""),"박정운0210")</f>
        <v>박정운0210</v>
      </c>
    </row>
    <row r="435">
      <c r="A435" s="4" t="s">
        <v>1818</v>
      </c>
      <c r="B435" s="4" t="str">
        <f>IFERROR(__xludf.DUMMYFUNCTION("""COMPUTED_VALUE"""),"박정진0513")</f>
        <v>박정진0513</v>
      </c>
    </row>
    <row r="436">
      <c r="A436" s="4" t="s">
        <v>1819</v>
      </c>
      <c r="B436" s="4" t="str">
        <f>IFERROR(__xludf.DUMMYFUNCTION("""COMPUTED_VALUE"""),"박제율4968")</f>
        <v>박제율4968</v>
      </c>
    </row>
    <row r="437">
      <c r="A437" s="4" t="s">
        <v>1820</v>
      </c>
      <c r="B437" s="4" t="str">
        <f>IFERROR(__xludf.DUMMYFUNCTION("""COMPUTED_VALUE"""),"박종민7205")</f>
        <v>박종민7205</v>
      </c>
    </row>
    <row r="438">
      <c r="A438" s="4" t="s">
        <v>1821</v>
      </c>
      <c r="B438" s="4" t="str">
        <f>IFERROR(__xludf.DUMMYFUNCTION("""COMPUTED_VALUE"""),"박지승1758")</f>
        <v>박지승1758</v>
      </c>
    </row>
    <row r="439">
      <c r="A439" s="4" t="s">
        <v>1822</v>
      </c>
      <c r="B439" s="4" t="str">
        <f>IFERROR(__xludf.DUMMYFUNCTION("""COMPUTED_VALUE"""),"박지윤6706")</f>
        <v>박지윤6706</v>
      </c>
    </row>
    <row r="440">
      <c r="A440" s="4" t="s">
        <v>1823</v>
      </c>
      <c r="B440" s="4" t="str">
        <f>IFERROR(__xludf.DUMMYFUNCTION("""COMPUTED_VALUE"""),"박지효0508")</f>
        <v>박지효0508</v>
      </c>
    </row>
    <row r="441">
      <c r="A441" s="4" t="s">
        <v>1824</v>
      </c>
      <c r="B441" s="4" t="str">
        <f>IFERROR(__xludf.DUMMYFUNCTION("""COMPUTED_VALUE"""),"박찬윤5935")</f>
        <v>박찬윤5935</v>
      </c>
    </row>
    <row r="442">
      <c r="A442" s="4" t="s">
        <v>1825</v>
      </c>
      <c r="B442" s="4" t="str">
        <f>IFERROR(__xludf.DUMMYFUNCTION("""COMPUTED_VALUE"""),"박태용4040")</f>
        <v>박태용4040</v>
      </c>
    </row>
    <row r="443">
      <c r="A443" s="4" t="s">
        <v>1826</v>
      </c>
      <c r="B443" s="4" t="str">
        <f>IFERROR(__xludf.DUMMYFUNCTION("""COMPUTED_VALUE"""),"박혜인8932")</f>
        <v>박혜인8932</v>
      </c>
    </row>
    <row r="444">
      <c r="A444" s="4" t="s">
        <v>1827</v>
      </c>
      <c r="B444" s="4" t="str">
        <f>IFERROR(__xludf.DUMMYFUNCTION("""COMPUTED_VALUE"""),"반정원4865")</f>
        <v>반정원4865</v>
      </c>
    </row>
    <row r="445">
      <c r="A445" s="4" t="s">
        <v>1828</v>
      </c>
      <c r="B445" s="4" t="str">
        <f>IFERROR(__xludf.DUMMYFUNCTION("""COMPUTED_VALUE"""),"배서진3491")</f>
        <v>배서진3491</v>
      </c>
    </row>
    <row r="446">
      <c r="A446" s="4" t="s">
        <v>1829</v>
      </c>
      <c r="B446" s="4" t="str">
        <f>IFERROR(__xludf.DUMMYFUNCTION("""COMPUTED_VALUE"""),"배윤서5829")</f>
        <v>배윤서5829</v>
      </c>
    </row>
    <row r="447">
      <c r="A447" s="4" t="s">
        <v>1830</v>
      </c>
      <c r="B447" s="4" t="str">
        <f>IFERROR(__xludf.DUMMYFUNCTION("""COMPUTED_VALUE"""),"백지원0813")</f>
        <v>백지원0813</v>
      </c>
    </row>
    <row r="448">
      <c r="A448" s="4" t="s">
        <v>1831</v>
      </c>
      <c r="B448" s="4" t="str">
        <f>IFERROR(__xludf.DUMMYFUNCTION("""COMPUTED_VALUE"""),"변정윤2694")</f>
        <v>변정윤2694</v>
      </c>
    </row>
    <row r="449">
      <c r="A449" s="4" t="s">
        <v>1832</v>
      </c>
      <c r="B449" s="4" t="str">
        <f>IFERROR(__xludf.DUMMYFUNCTION("""COMPUTED_VALUE"""),"변지윤7550")</f>
        <v>변지윤7550</v>
      </c>
    </row>
    <row r="450">
      <c r="A450" s="4" t="s">
        <v>1833</v>
      </c>
      <c r="B450" s="4" t="str">
        <f>IFERROR(__xludf.DUMMYFUNCTION("""COMPUTED_VALUE"""),"변지후3922")</f>
        <v>변지후3922</v>
      </c>
    </row>
    <row r="451">
      <c r="A451" s="4" t="s">
        <v>1834</v>
      </c>
      <c r="B451" s="4" t="str">
        <f>IFERROR(__xludf.DUMMYFUNCTION("""COMPUTED_VALUE"""),"서민재7832")</f>
        <v>서민재7832</v>
      </c>
    </row>
    <row r="452">
      <c r="A452" s="4" t="s">
        <v>1835</v>
      </c>
      <c r="B452" s="4" t="str">
        <f>IFERROR(__xludf.DUMMYFUNCTION("""COMPUTED_VALUE"""),"서승현2391")</f>
        <v>서승현2391</v>
      </c>
    </row>
    <row r="453">
      <c r="A453" s="4" t="s">
        <v>1836</v>
      </c>
      <c r="B453" s="4" t="str">
        <f>IFERROR(__xludf.DUMMYFUNCTION("""COMPUTED_VALUE"""),"서재우2045")</f>
        <v>서재우2045</v>
      </c>
    </row>
    <row r="454">
      <c r="A454" s="4" t="s">
        <v>1837</v>
      </c>
      <c r="B454" s="4" t="str">
        <f>IFERROR(__xludf.DUMMYFUNCTION("""COMPUTED_VALUE"""),"서하정6347")</f>
        <v>서하정6347</v>
      </c>
    </row>
    <row r="455">
      <c r="A455" s="4" t="s">
        <v>1838</v>
      </c>
      <c r="B455" s="4" t="str">
        <f>IFERROR(__xludf.DUMMYFUNCTION("""COMPUTED_VALUE"""),"서혜승7279")</f>
        <v>서혜승7279</v>
      </c>
    </row>
    <row r="456">
      <c r="A456" s="4" t="s">
        <v>1839</v>
      </c>
      <c r="B456" s="4" t="str">
        <f>IFERROR(__xludf.DUMMYFUNCTION("""COMPUTED_VALUE"""),"성민주2407")</f>
        <v>성민주2407</v>
      </c>
    </row>
    <row r="457">
      <c r="A457" s="4" t="s">
        <v>1840</v>
      </c>
      <c r="B457" s="4" t="str">
        <f>IFERROR(__xludf.DUMMYFUNCTION("""COMPUTED_VALUE"""),"성욱현4049")</f>
        <v>성욱현4049</v>
      </c>
    </row>
    <row r="458">
      <c r="A458" s="4" t="s">
        <v>1841</v>
      </c>
      <c r="B458" s="4" t="str">
        <f>IFERROR(__xludf.DUMMYFUNCTION("""COMPUTED_VALUE"""),"성주연7429")</f>
        <v>성주연7429</v>
      </c>
    </row>
    <row r="459">
      <c r="A459" s="4" t="s">
        <v>1842</v>
      </c>
      <c r="B459" s="4" t="str">
        <f>IFERROR(__xludf.DUMMYFUNCTION("""COMPUTED_VALUE"""),"손승연3804")</f>
        <v>손승연3804</v>
      </c>
    </row>
    <row r="460">
      <c r="A460" s="4" t="s">
        <v>1843</v>
      </c>
      <c r="B460" s="4" t="str">
        <f>IFERROR(__xludf.DUMMYFUNCTION("""COMPUTED_VALUE"""),"손준혁2436")</f>
        <v>손준혁2436</v>
      </c>
    </row>
    <row r="461">
      <c r="A461" s="4" t="s">
        <v>1844</v>
      </c>
      <c r="B461" s="4" t="str">
        <f>IFERROR(__xludf.DUMMYFUNCTION("""COMPUTED_VALUE"""),"손채원9138")</f>
        <v>손채원9138</v>
      </c>
    </row>
    <row r="462">
      <c r="A462" s="4" t="s">
        <v>1845</v>
      </c>
      <c r="B462" s="4" t="str">
        <f>IFERROR(__xludf.DUMMYFUNCTION("""COMPUTED_VALUE"""),"손채원9796")</f>
        <v>손채원9796</v>
      </c>
    </row>
    <row r="463">
      <c r="A463" s="4" t="s">
        <v>1846</v>
      </c>
      <c r="B463" s="4" t="str">
        <f>IFERROR(__xludf.DUMMYFUNCTION("""COMPUTED_VALUE"""),"손현서7535")</f>
        <v>손현서7535</v>
      </c>
    </row>
    <row r="464">
      <c r="A464" s="4" t="s">
        <v>1847</v>
      </c>
      <c r="B464" s="4" t="str">
        <f>IFERROR(__xludf.DUMMYFUNCTION("""COMPUTED_VALUE"""),"송가은0305")</f>
        <v>송가은0305</v>
      </c>
    </row>
    <row r="465">
      <c r="A465" s="4" t="s">
        <v>1848</v>
      </c>
      <c r="B465" s="4" t="str">
        <f>IFERROR(__xludf.DUMMYFUNCTION("""COMPUTED_VALUE"""),"송민근2918")</f>
        <v>송민근2918</v>
      </c>
    </row>
    <row r="466">
      <c r="A466" s="4" t="s">
        <v>1849</v>
      </c>
      <c r="B466" s="4" t="str">
        <f>IFERROR(__xludf.DUMMYFUNCTION("""COMPUTED_VALUE"""),"송우진0379")</f>
        <v>송우진0379</v>
      </c>
    </row>
    <row r="467">
      <c r="A467" s="4" t="s">
        <v>1850</v>
      </c>
      <c r="B467" s="4" t="str">
        <f>IFERROR(__xludf.DUMMYFUNCTION("""COMPUTED_VALUE"""),"신가영8786")</f>
        <v>신가영8786</v>
      </c>
    </row>
    <row r="468">
      <c r="A468" s="4" t="s">
        <v>1851</v>
      </c>
      <c r="B468" s="4" t="str">
        <f>IFERROR(__xludf.DUMMYFUNCTION("""COMPUTED_VALUE"""),"신시아2475")</f>
        <v>신시아2475</v>
      </c>
    </row>
    <row r="469">
      <c r="A469" s="4" t="s">
        <v>1852</v>
      </c>
      <c r="B469" s="4" t="str">
        <f>IFERROR(__xludf.DUMMYFUNCTION("""COMPUTED_VALUE"""),"신정민2313")</f>
        <v>신정민2313</v>
      </c>
    </row>
    <row r="470">
      <c r="A470" s="4" t="s">
        <v>1853</v>
      </c>
      <c r="B470" s="4" t="str">
        <f>IFERROR(__xludf.DUMMYFUNCTION("""COMPUTED_VALUE"""),"신정욱4570")</f>
        <v>신정욱4570</v>
      </c>
    </row>
    <row r="471">
      <c r="A471" s="4" t="s">
        <v>1854</v>
      </c>
      <c r="B471" s="4" t="str">
        <f>IFERROR(__xludf.DUMMYFUNCTION("""COMPUTED_VALUE"""),"신주아7698")</f>
        <v>신주아7698</v>
      </c>
    </row>
    <row r="472">
      <c r="A472" s="4" t="s">
        <v>1855</v>
      </c>
      <c r="B472" s="4" t="str">
        <f>IFERROR(__xludf.DUMMYFUNCTION("""COMPUTED_VALUE"""),"신진희6056")</f>
        <v>신진희6056</v>
      </c>
    </row>
    <row r="473">
      <c r="A473" s="4" t="s">
        <v>1856</v>
      </c>
      <c r="B473" s="4" t="str">
        <f>IFERROR(__xludf.DUMMYFUNCTION("""COMPUTED_VALUE"""),"심서현0910")</f>
        <v>심서현0910</v>
      </c>
    </row>
    <row r="474">
      <c r="A474" s="4" t="s">
        <v>1857</v>
      </c>
      <c r="B474" s="4" t="str">
        <f>IFERROR(__xludf.DUMMYFUNCTION("""COMPUTED_VALUE"""),"심현기7530")</f>
        <v>심현기7530</v>
      </c>
    </row>
    <row r="475">
      <c r="A475" s="4" t="s">
        <v>1858</v>
      </c>
      <c r="B475" s="4" t="str">
        <f>IFERROR(__xludf.DUMMYFUNCTION("""COMPUTED_VALUE"""),"안소현6035")</f>
        <v>안소현6035</v>
      </c>
    </row>
    <row r="476">
      <c r="A476" s="4" t="s">
        <v>1859</v>
      </c>
      <c r="B476" s="4" t="str">
        <f>IFERROR(__xludf.DUMMYFUNCTION("""COMPUTED_VALUE"""),"안유정2642")</f>
        <v>안유정2642</v>
      </c>
    </row>
    <row r="477">
      <c r="A477" s="4" t="s">
        <v>1860</v>
      </c>
      <c r="B477" s="4" t="str">
        <f>IFERROR(__xludf.DUMMYFUNCTION("""COMPUTED_VALUE"""),"안태현9939")</f>
        <v>안태현9939</v>
      </c>
    </row>
    <row r="478">
      <c r="A478" s="4" t="s">
        <v>1861</v>
      </c>
      <c r="B478" s="4" t="str">
        <f>IFERROR(__xludf.DUMMYFUNCTION("""COMPUTED_VALUE"""),"안형주2701")</f>
        <v>안형주2701</v>
      </c>
    </row>
    <row r="479">
      <c r="A479" s="4" t="s">
        <v>1862</v>
      </c>
      <c r="B479" s="4" t="str">
        <f>IFERROR(__xludf.DUMMYFUNCTION("""COMPUTED_VALUE"""),"양승민0782")</f>
        <v>양승민0782</v>
      </c>
    </row>
    <row r="480">
      <c r="A480" s="4" t="s">
        <v>1863</v>
      </c>
      <c r="B480" s="4" t="str">
        <f>IFERROR(__xludf.DUMMYFUNCTION("""COMPUTED_VALUE"""),"양승빈3142")</f>
        <v>양승빈3142</v>
      </c>
    </row>
    <row r="481">
      <c r="A481" s="4" t="s">
        <v>1864</v>
      </c>
      <c r="B481" s="4" t="str">
        <f>IFERROR(__xludf.DUMMYFUNCTION("""COMPUTED_VALUE"""),"양인서3679")</f>
        <v>양인서3679</v>
      </c>
    </row>
    <row r="482">
      <c r="A482" s="4" t="s">
        <v>1865</v>
      </c>
      <c r="B482" s="4" t="str">
        <f>IFERROR(__xludf.DUMMYFUNCTION("""COMPUTED_VALUE"""),"양창연2753")</f>
        <v>양창연2753</v>
      </c>
    </row>
    <row r="483">
      <c r="A483" s="4" t="s">
        <v>1866</v>
      </c>
      <c r="B483" s="4" t="str">
        <f>IFERROR(__xludf.DUMMYFUNCTION("""COMPUTED_VALUE"""),"양현6248")</f>
        <v>양현6248</v>
      </c>
    </row>
    <row r="484">
      <c r="A484" s="4" t="s">
        <v>1867</v>
      </c>
      <c r="B484" s="4" t="str">
        <f>IFERROR(__xludf.DUMMYFUNCTION("""COMPUTED_VALUE"""),"엄선훈")</f>
        <v>엄선훈</v>
      </c>
    </row>
    <row r="485">
      <c r="A485" s="4" t="s">
        <v>1868</v>
      </c>
      <c r="B485" s="4" t="str">
        <f>IFERROR(__xludf.DUMMYFUNCTION("""COMPUTED_VALUE"""),"연준원4486")</f>
        <v>연준원4486</v>
      </c>
    </row>
    <row r="486">
      <c r="A486" s="4" t="s">
        <v>1869</v>
      </c>
      <c r="B486" s="4" t="str">
        <f>IFERROR(__xludf.DUMMYFUNCTION("""COMPUTED_VALUE"""),"오서준4493")</f>
        <v>오서준4493</v>
      </c>
    </row>
    <row r="487">
      <c r="A487" s="4" t="s">
        <v>1870</v>
      </c>
      <c r="B487" s="4" t="str">
        <f>IFERROR(__xludf.DUMMYFUNCTION("""COMPUTED_VALUE"""),"오승준8596")</f>
        <v>오승준8596</v>
      </c>
    </row>
    <row r="488">
      <c r="A488" s="4" t="s">
        <v>1871</v>
      </c>
      <c r="B488" s="4" t="str">
        <f>IFERROR(__xludf.DUMMYFUNCTION("""COMPUTED_VALUE"""),"오유빈4218")</f>
        <v>오유빈4218</v>
      </c>
    </row>
    <row r="489">
      <c r="A489" s="4" t="s">
        <v>1872</v>
      </c>
      <c r="B489" s="4" t="str">
        <f>IFERROR(__xludf.DUMMYFUNCTION("""COMPUTED_VALUE"""),"오정민6040")</f>
        <v>오정민6040</v>
      </c>
    </row>
    <row r="490">
      <c r="A490" s="4" t="s">
        <v>1873</v>
      </c>
      <c r="B490" s="4" t="str">
        <f>IFERROR(__xludf.DUMMYFUNCTION("""COMPUTED_VALUE"""),"오정후9223")</f>
        <v>오정후9223</v>
      </c>
    </row>
    <row r="491">
      <c r="A491" s="4" t="s">
        <v>1874</v>
      </c>
      <c r="B491" s="4" t="str">
        <f>IFERROR(__xludf.DUMMYFUNCTION("""COMPUTED_VALUE"""),"오지우9439")</f>
        <v>오지우9439</v>
      </c>
    </row>
    <row r="492">
      <c r="A492" s="4" t="s">
        <v>1875</v>
      </c>
      <c r="B492" s="4" t="str">
        <f>IFERROR(__xludf.DUMMYFUNCTION("""COMPUTED_VALUE"""),"오지호4522")</f>
        <v>오지호4522</v>
      </c>
    </row>
    <row r="493">
      <c r="A493" s="4" t="s">
        <v>1876</v>
      </c>
      <c r="B493" s="4" t="str">
        <f>IFERROR(__xludf.DUMMYFUNCTION("""COMPUTED_VALUE"""),"옥정민5247")</f>
        <v>옥정민5247</v>
      </c>
    </row>
    <row r="494">
      <c r="A494" s="4" t="s">
        <v>1877</v>
      </c>
      <c r="B494" s="4" t="str">
        <f>IFERROR(__xludf.DUMMYFUNCTION("""COMPUTED_VALUE"""),"옥지우4093")</f>
        <v>옥지우4093</v>
      </c>
    </row>
    <row r="495">
      <c r="A495" s="4" t="s">
        <v>1878</v>
      </c>
      <c r="B495" s="4" t="str">
        <f>IFERROR(__xludf.DUMMYFUNCTION("""COMPUTED_VALUE"""),"용청하0829")</f>
        <v>용청하0829</v>
      </c>
    </row>
    <row r="496">
      <c r="A496" s="4" t="s">
        <v>1879</v>
      </c>
      <c r="B496" s="4" t="str">
        <f>IFERROR(__xludf.DUMMYFUNCTION("""COMPUTED_VALUE"""),"우지연5909")</f>
        <v>우지연5909</v>
      </c>
    </row>
    <row r="497">
      <c r="A497" s="4" t="s">
        <v>1880</v>
      </c>
      <c r="B497" s="4" t="str">
        <f>IFERROR(__xludf.DUMMYFUNCTION("""COMPUTED_VALUE"""),"원해빈5815")</f>
        <v>원해빈5815</v>
      </c>
    </row>
    <row r="498">
      <c r="A498" s="4" t="s">
        <v>1881</v>
      </c>
      <c r="B498" s="4" t="str">
        <f>IFERROR(__xludf.DUMMYFUNCTION("""COMPUTED_VALUE"""),"유소현6634")</f>
        <v>유소현6634</v>
      </c>
    </row>
    <row r="499">
      <c r="A499" s="4" t="s">
        <v>1882</v>
      </c>
      <c r="B499" s="4" t="str">
        <f>IFERROR(__xludf.DUMMYFUNCTION("""COMPUTED_VALUE"""),"유혜림9016")</f>
        <v>유혜림9016</v>
      </c>
    </row>
    <row r="500">
      <c r="A500" s="4" t="s">
        <v>1883</v>
      </c>
      <c r="B500" s="4" t="str">
        <f>IFERROR(__xludf.DUMMYFUNCTION("""COMPUTED_VALUE"""),"윤성우1532")</f>
        <v>윤성우1532</v>
      </c>
    </row>
    <row r="501">
      <c r="A501" s="4" t="s">
        <v>1884</v>
      </c>
      <c r="B501" s="4" t="str">
        <f>IFERROR(__xludf.DUMMYFUNCTION("""COMPUTED_VALUE"""),"윤슬기5500")</f>
        <v>윤슬기5500</v>
      </c>
    </row>
    <row r="502">
      <c r="A502" s="4" t="s">
        <v>1885</v>
      </c>
      <c r="B502" s="4" t="str">
        <f>IFERROR(__xludf.DUMMYFUNCTION("""COMPUTED_VALUE"""),"이가원2812")</f>
        <v>이가원2812</v>
      </c>
    </row>
    <row r="503">
      <c r="A503" s="4" t="s">
        <v>1886</v>
      </c>
      <c r="B503" s="4" t="str">
        <f>IFERROR(__xludf.DUMMYFUNCTION("""COMPUTED_VALUE"""),"이가은6783")</f>
        <v>이가은6783</v>
      </c>
    </row>
    <row r="504">
      <c r="A504" s="4" t="s">
        <v>1887</v>
      </c>
      <c r="B504" s="4" t="str">
        <f>IFERROR(__xludf.DUMMYFUNCTION("""COMPUTED_VALUE"""),"이강건2581")</f>
        <v>이강건2581</v>
      </c>
    </row>
    <row r="505">
      <c r="A505" s="4" t="s">
        <v>1888</v>
      </c>
      <c r="B505" s="4" t="str">
        <f>IFERROR(__xludf.DUMMYFUNCTION("""COMPUTED_VALUE"""),"이경원9485")</f>
        <v>이경원9485</v>
      </c>
    </row>
    <row r="506">
      <c r="A506" s="4" t="s">
        <v>1889</v>
      </c>
      <c r="B506" s="4" t="str">
        <f>IFERROR(__xludf.DUMMYFUNCTION("""COMPUTED_VALUE"""),"이규서2304")</f>
        <v>이규서2304</v>
      </c>
    </row>
    <row r="507">
      <c r="A507" s="4" t="s">
        <v>1890</v>
      </c>
      <c r="B507" s="4" t="str">
        <f>IFERROR(__xludf.DUMMYFUNCTION("""COMPUTED_VALUE"""),"이규진4336")</f>
        <v>이규진4336</v>
      </c>
    </row>
    <row r="508">
      <c r="A508" s="4" t="s">
        <v>1891</v>
      </c>
      <c r="B508" s="4" t="str">
        <f>IFERROR(__xludf.DUMMYFUNCTION("""COMPUTED_VALUE"""),"이기백7599")</f>
        <v>이기백7599</v>
      </c>
    </row>
    <row r="509">
      <c r="A509" s="4" t="s">
        <v>1892</v>
      </c>
      <c r="B509" s="4" t="str">
        <f>IFERROR(__xludf.DUMMYFUNCTION("""COMPUTED_VALUE"""),"이다영8300")</f>
        <v>이다영8300</v>
      </c>
    </row>
    <row r="510">
      <c r="A510" s="4" t="s">
        <v>1893</v>
      </c>
      <c r="B510" s="4" t="str">
        <f>IFERROR(__xludf.DUMMYFUNCTION("""COMPUTED_VALUE"""),"이다은3254")</f>
        <v>이다은3254</v>
      </c>
    </row>
    <row r="511">
      <c r="A511" s="4" t="s">
        <v>1894</v>
      </c>
      <c r="B511" s="4" t="str">
        <f>IFERROR(__xludf.DUMMYFUNCTION("""COMPUTED_VALUE"""),"이도원1428")</f>
        <v>이도원1428</v>
      </c>
    </row>
    <row r="512">
      <c r="A512" s="4" t="s">
        <v>1895</v>
      </c>
      <c r="B512" s="4" t="str">
        <f>IFERROR(__xludf.DUMMYFUNCTION("""COMPUTED_VALUE"""),"이도윤9473")</f>
        <v>이도윤9473</v>
      </c>
    </row>
    <row r="513">
      <c r="A513" s="4" t="s">
        <v>1896</v>
      </c>
      <c r="B513" s="4" t="str">
        <f>IFERROR(__xludf.DUMMYFUNCTION("""COMPUTED_VALUE"""),"이동규2371")</f>
        <v>이동규2371</v>
      </c>
    </row>
    <row r="514">
      <c r="A514" s="4" t="s">
        <v>1897</v>
      </c>
      <c r="B514" s="4" t="str">
        <f>IFERROR(__xludf.DUMMYFUNCTION("""COMPUTED_VALUE"""),"이민규2041")</f>
        <v>이민규2041</v>
      </c>
    </row>
    <row r="515">
      <c r="A515" s="4" t="s">
        <v>1898</v>
      </c>
      <c r="B515" s="4" t="str">
        <f>IFERROR(__xludf.DUMMYFUNCTION("""COMPUTED_VALUE"""),"이민성0795")</f>
        <v>이민성0795</v>
      </c>
    </row>
    <row r="516">
      <c r="A516" s="4" t="s">
        <v>1899</v>
      </c>
      <c r="B516" s="4" t="str">
        <f>IFERROR(__xludf.DUMMYFUNCTION("""COMPUTED_VALUE"""),"이민준2939")</f>
        <v>이민준2939</v>
      </c>
    </row>
    <row r="517">
      <c r="A517" s="4" t="s">
        <v>1900</v>
      </c>
      <c r="B517" s="4" t="str">
        <f>IFERROR(__xludf.DUMMYFUNCTION("""COMPUTED_VALUE"""),"이민채5110")</f>
        <v>이민채5110</v>
      </c>
    </row>
    <row r="518">
      <c r="A518" s="4" t="s">
        <v>1901</v>
      </c>
      <c r="B518" s="4" t="str">
        <f>IFERROR(__xludf.DUMMYFUNCTION("""COMPUTED_VALUE"""),"이민하6837")</f>
        <v>이민하6837</v>
      </c>
    </row>
    <row r="519">
      <c r="A519" s="4" t="s">
        <v>1902</v>
      </c>
      <c r="B519" s="4" t="str">
        <f>IFERROR(__xludf.DUMMYFUNCTION("""COMPUTED_VALUE"""),"이서연6288")</f>
        <v>이서연6288</v>
      </c>
    </row>
    <row r="520">
      <c r="A520" s="4" t="s">
        <v>1903</v>
      </c>
      <c r="B520" s="4" t="str">
        <f>IFERROR(__xludf.DUMMYFUNCTION("""COMPUTED_VALUE"""),"이서영3039")</f>
        <v>이서영3039</v>
      </c>
    </row>
    <row r="521">
      <c r="A521" s="4" t="s">
        <v>1904</v>
      </c>
      <c r="B521" s="4" t="str">
        <f>IFERROR(__xludf.DUMMYFUNCTION("""COMPUTED_VALUE"""),"이서준3293")</f>
        <v>이서준3293</v>
      </c>
    </row>
    <row r="522">
      <c r="A522" s="4" t="s">
        <v>1905</v>
      </c>
      <c r="B522" s="4" t="str">
        <f>IFERROR(__xludf.DUMMYFUNCTION("""COMPUTED_VALUE"""),"이서현1195")</f>
        <v>이서현1195</v>
      </c>
    </row>
    <row r="523">
      <c r="A523" s="4" t="s">
        <v>1906</v>
      </c>
      <c r="B523" s="4" t="str">
        <f>IFERROR(__xludf.DUMMYFUNCTION("""COMPUTED_VALUE"""),"이선제2664")</f>
        <v>이선제2664</v>
      </c>
    </row>
    <row r="524">
      <c r="A524" s="4" t="s">
        <v>1907</v>
      </c>
      <c r="B524" s="4" t="str">
        <f>IFERROR(__xludf.DUMMYFUNCTION("""COMPUTED_VALUE"""),"이성현8116")</f>
        <v>이성현8116</v>
      </c>
    </row>
    <row r="525">
      <c r="A525" s="4" t="s">
        <v>1908</v>
      </c>
      <c r="B525" s="4" t="str">
        <f>IFERROR(__xludf.DUMMYFUNCTION("""COMPUTED_VALUE"""),"이소영6983")</f>
        <v>이소영6983</v>
      </c>
    </row>
    <row r="526">
      <c r="A526" s="4" t="s">
        <v>1909</v>
      </c>
      <c r="B526" s="4" t="str">
        <f>IFERROR(__xludf.DUMMYFUNCTION("""COMPUTED_VALUE"""),"이수빈3905")</f>
        <v>이수빈3905</v>
      </c>
    </row>
    <row r="527">
      <c r="A527" s="4" t="s">
        <v>1910</v>
      </c>
      <c r="B527" s="4" t="str">
        <f>IFERROR(__xludf.DUMMYFUNCTION("""COMPUTED_VALUE"""),"이수연2263")</f>
        <v>이수연2263</v>
      </c>
    </row>
    <row r="528">
      <c r="A528" s="4" t="s">
        <v>1911</v>
      </c>
      <c r="B528" s="4" t="str">
        <f>IFERROR(__xludf.DUMMYFUNCTION("""COMPUTED_VALUE"""),"이수하0516")</f>
        <v>이수하0516</v>
      </c>
    </row>
    <row r="529">
      <c r="A529" s="4" t="s">
        <v>1912</v>
      </c>
      <c r="B529" s="4" t="str">
        <f>IFERROR(__xludf.DUMMYFUNCTION("""COMPUTED_VALUE"""),"이승렬2389")</f>
        <v>이승렬2389</v>
      </c>
    </row>
    <row r="530">
      <c r="A530" s="4" t="s">
        <v>1913</v>
      </c>
      <c r="B530" s="4" t="str">
        <f>IFERROR(__xludf.DUMMYFUNCTION("""COMPUTED_VALUE"""),"이승아9344")</f>
        <v>이승아9344</v>
      </c>
    </row>
    <row r="531">
      <c r="A531" s="4" t="s">
        <v>1914</v>
      </c>
      <c r="B531" s="4" t="str">
        <f>IFERROR(__xludf.DUMMYFUNCTION("""COMPUTED_VALUE"""),"이승유6753")</f>
        <v>이승유6753</v>
      </c>
    </row>
    <row r="532">
      <c r="A532" s="4" t="s">
        <v>1915</v>
      </c>
      <c r="B532" s="4" t="str">
        <f>IFERROR(__xludf.DUMMYFUNCTION("""COMPUTED_VALUE"""),"이연진0661")</f>
        <v>이연진0661</v>
      </c>
    </row>
    <row r="533">
      <c r="A533" s="4" t="s">
        <v>1916</v>
      </c>
      <c r="B533" s="4" t="str">
        <f>IFERROR(__xludf.DUMMYFUNCTION("""COMPUTED_VALUE"""),"이우림6790")</f>
        <v>이우림6790</v>
      </c>
    </row>
    <row r="534">
      <c r="A534" s="4" t="s">
        <v>1917</v>
      </c>
      <c r="B534" s="4" t="str">
        <f>IFERROR(__xludf.DUMMYFUNCTION("""COMPUTED_VALUE"""),"이재호5558")</f>
        <v>이재호5558</v>
      </c>
    </row>
    <row r="535">
      <c r="A535" s="4" t="s">
        <v>1918</v>
      </c>
      <c r="B535" s="4" t="str">
        <f>IFERROR(__xludf.DUMMYFUNCTION("""COMPUTED_VALUE"""),"이정민3868")</f>
        <v>이정민3868</v>
      </c>
    </row>
    <row r="536">
      <c r="A536" s="4" t="s">
        <v>1919</v>
      </c>
      <c r="B536" s="4" t="str">
        <f>IFERROR(__xludf.DUMMYFUNCTION("""COMPUTED_VALUE"""),"이정민6369")</f>
        <v>이정민6369</v>
      </c>
    </row>
    <row r="537">
      <c r="A537" s="4" t="s">
        <v>1920</v>
      </c>
      <c r="B537" s="4" t="str">
        <f>IFERROR(__xludf.DUMMYFUNCTION("""COMPUTED_VALUE"""),"이정우1451")</f>
        <v>이정우1451</v>
      </c>
    </row>
    <row r="538">
      <c r="A538" s="4" t="s">
        <v>1921</v>
      </c>
      <c r="B538" s="4" t="str">
        <f>IFERROR(__xludf.DUMMYFUNCTION("""COMPUTED_VALUE"""),"이정윤3714")</f>
        <v>이정윤3714</v>
      </c>
    </row>
    <row r="539">
      <c r="A539" s="4" t="s">
        <v>1922</v>
      </c>
      <c r="B539" s="4" t="str">
        <f>IFERROR(__xludf.DUMMYFUNCTION("""COMPUTED_VALUE"""),"이주연1463")</f>
        <v>이주연1463</v>
      </c>
    </row>
    <row r="540">
      <c r="A540" s="4" t="s">
        <v>1923</v>
      </c>
      <c r="B540" s="4" t="str">
        <f>IFERROR(__xludf.DUMMYFUNCTION("""COMPUTED_VALUE"""),"이주영3417")</f>
        <v>이주영3417</v>
      </c>
    </row>
    <row r="541">
      <c r="A541" s="4" t="s">
        <v>1924</v>
      </c>
      <c r="B541" s="4" t="str">
        <f>IFERROR(__xludf.DUMMYFUNCTION("""COMPUTED_VALUE"""),"이주원2678")</f>
        <v>이주원2678</v>
      </c>
    </row>
    <row r="542">
      <c r="A542" s="4" t="s">
        <v>1925</v>
      </c>
      <c r="B542" s="4" t="str">
        <f>IFERROR(__xludf.DUMMYFUNCTION("""COMPUTED_VALUE"""),"이준서5488")</f>
        <v>이준서5488</v>
      </c>
    </row>
    <row r="543">
      <c r="A543" s="4" t="s">
        <v>1926</v>
      </c>
      <c r="B543" s="4" t="str">
        <f>IFERROR(__xludf.DUMMYFUNCTION("""COMPUTED_VALUE"""),"이준영2954")</f>
        <v>이준영2954</v>
      </c>
    </row>
    <row r="544">
      <c r="A544" s="4" t="s">
        <v>1927</v>
      </c>
      <c r="B544" s="4" t="str">
        <f>IFERROR(__xludf.DUMMYFUNCTION("""COMPUTED_VALUE"""),"이준혁9510")</f>
        <v>이준혁9510</v>
      </c>
    </row>
    <row r="545">
      <c r="A545" s="4" t="s">
        <v>1928</v>
      </c>
      <c r="B545" s="4" t="str">
        <f>IFERROR(__xludf.DUMMYFUNCTION("""COMPUTED_VALUE"""),"이지민1858")</f>
        <v>이지민1858</v>
      </c>
    </row>
    <row r="546">
      <c r="A546" s="4" t="s">
        <v>1929</v>
      </c>
      <c r="B546" s="4" t="str">
        <f>IFERROR(__xludf.DUMMYFUNCTION("""COMPUTED_VALUE"""),"이지민9645")</f>
        <v>이지민9645</v>
      </c>
    </row>
    <row r="547">
      <c r="A547" s="4" t="s">
        <v>1930</v>
      </c>
      <c r="B547" s="4" t="str">
        <f>IFERROR(__xludf.DUMMYFUNCTION("""COMPUTED_VALUE"""),"이지석3484")</f>
        <v>이지석3484</v>
      </c>
    </row>
    <row r="548">
      <c r="A548" s="4" t="s">
        <v>1931</v>
      </c>
      <c r="B548" s="4" t="str">
        <f>IFERROR(__xludf.DUMMYFUNCTION("""COMPUTED_VALUE"""),"이지안0249")</f>
        <v>이지안0249</v>
      </c>
    </row>
    <row r="549">
      <c r="A549" s="4" t="s">
        <v>1932</v>
      </c>
      <c r="B549" s="4" t="str">
        <f>IFERROR(__xludf.DUMMYFUNCTION("""COMPUTED_VALUE"""),"이지안7144")</f>
        <v>이지안7144</v>
      </c>
    </row>
    <row r="550">
      <c r="A550" s="4" t="s">
        <v>1933</v>
      </c>
      <c r="B550" s="4" t="str">
        <f>IFERROR(__xludf.DUMMYFUNCTION("""COMPUTED_VALUE"""),"이지연7304")</f>
        <v>이지연7304</v>
      </c>
    </row>
    <row r="551">
      <c r="A551" s="4" t="s">
        <v>1934</v>
      </c>
      <c r="B551" s="4" t="str">
        <f>IFERROR(__xludf.DUMMYFUNCTION("""COMPUTED_VALUE"""),"이지인9037")</f>
        <v>이지인9037</v>
      </c>
    </row>
    <row r="552">
      <c r="A552" s="4" t="s">
        <v>1935</v>
      </c>
      <c r="B552" s="4" t="str">
        <f>IFERROR(__xludf.DUMMYFUNCTION("""COMPUTED_VALUE"""),"이지훈2312")</f>
        <v>이지훈2312</v>
      </c>
    </row>
    <row r="553">
      <c r="A553" s="4" t="s">
        <v>1936</v>
      </c>
      <c r="B553" s="4" t="str">
        <f>IFERROR(__xludf.DUMMYFUNCTION("""COMPUTED_VALUE"""),"이지훈8700")</f>
        <v>이지훈8700</v>
      </c>
    </row>
    <row r="554">
      <c r="A554" s="4" t="s">
        <v>1937</v>
      </c>
      <c r="B554" s="4" t="str">
        <f>IFERROR(__xludf.DUMMYFUNCTION("""COMPUTED_VALUE"""),"이진희3899")</f>
        <v>이진희3899</v>
      </c>
    </row>
    <row r="555">
      <c r="A555" s="4" t="s">
        <v>1938</v>
      </c>
      <c r="B555" s="4" t="str">
        <f>IFERROR(__xludf.DUMMYFUNCTION("""COMPUTED_VALUE"""),"이찬영7608")</f>
        <v>이찬영7608</v>
      </c>
    </row>
    <row r="556">
      <c r="A556" s="4" t="s">
        <v>1939</v>
      </c>
      <c r="B556" s="4" t="str">
        <f>IFERROR(__xludf.DUMMYFUNCTION("""COMPUTED_VALUE"""),"이채연3823")</f>
        <v>이채연3823</v>
      </c>
    </row>
    <row r="557">
      <c r="A557" s="4" t="s">
        <v>1940</v>
      </c>
      <c r="B557" s="4" t="str">
        <f>IFERROR(__xludf.DUMMYFUNCTION("""COMPUTED_VALUE"""),"이태우0151")</f>
        <v>이태우0151</v>
      </c>
    </row>
    <row r="558">
      <c r="A558" s="4" t="s">
        <v>1941</v>
      </c>
      <c r="B558" s="4" t="str">
        <f>IFERROR(__xludf.DUMMYFUNCTION("""COMPUTED_VALUE"""),"이하은6903")</f>
        <v>이하은6903</v>
      </c>
    </row>
    <row r="559">
      <c r="A559" s="4" t="s">
        <v>1942</v>
      </c>
      <c r="B559" s="4" t="str">
        <f>IFERROR(__xludf.DUMMYFUNCTION("""COMPUTED_VALUE"""),"이하준5726")</f>
        <v>이하준5726</v>
      </c>
    </row>
    <row r="560">
      <c r="A560" s="4" t="s">
        <v>1943</v>
      </c>
      <c r="B560" s="4" t="str">
        <f>IFERROR(__xludf.DUMMYFUNCTION("""COMPUTED_VALUE"""),"이학준3921")</f>
        <v>이학준3921</v>
      </c>
    </row>
    <row r="561">
      <c r="A561" s="4" t="s">
        <v>1944</v>
      </c>
      <c r="B561" s="4" t="str">
        <f>IFERROR(__xludf.DUMMYFUNCTION("""COMPUTED_VALUE"""),"이현민0623")</f>
        <v>이현민0623</v>
      </c>
    </row>
    <row r="562">
      <c r="A562" s="4" t="s">
        <v>1945</v>
      </c>
      <c r="B562" s="4" t="str">
        <f>IFERROR(__xludf.DUMMYFUNCTION("""COMPUTED_VALUE"""),"이현민7480")</f>
        <v>이현민7480</v>
      </c>
    </row>
    <row r="563">
      <c r="A563" s="4" t="s">
        <v>1946</v>
      </c>
      <c r="B563" s="4" t="str">
        <f>IFERROR(__xludf.DUMMYFUNCTION("""COMPUTED_VALUE"""),"이현주7715")</f>
        <v>이현주7715</v>
      </c>
    </row>
    <row r="564">
      <c r="A564" s="4" t="s">
        <v>1947</v>
      </c>
      <c r="B564" s="4" t="str">
        <f>IFERROR(__xludf.DUMMYFUNCTION("""COMPUTED_VALUE"""),"이혜승8213")</f>
        <v>이혜승8213</v>
      </c>
    </row>
    <row r="565">
      <c r="A565" s="4" t="s">
        <v>1948</v>
      </c>
      <c r="B565" s="4" t="str">
        <f>IFERROR(__xludf.DUMMYFUNCTION("""COMPUTED_VALUE"""),"이혜승9195")</f>
        <v>이혜승9195</v>
      </c>
    </row>
    <row r="566">
      <c r="A566" s="4" t="s">
        <v>1949</v>
      </c>
      <c r="B566" s="4" t="str">
        <f>IFERROR(__xludf.DUMMYFUNCTION("""COMPUTED_VALUE"""),"이혜진")</f>
        <v>이혜진</v>
      </c>
    </row>
    <row r="567">
      <c r="A567" s="4" t="s">
        <v>1950</v>
      </c>
      <c r="B567" s="4" t="str">
        <f>IFERROR(__xludf.DUMMYFUNCTION("""COMPUTED_VALUE"""),"이호은3004")</f>
        <v>이호은3004</v>
      </c>
    </row>
    <row r="568">
      <c r="A568" s="4" t="s">
        <v>1951</v>
      </c>
      <c r="B568" s="4" t="str">
        <f>IFERROR(__xludf.DUMMYFUNCTION("""COMPUTED_VALUE"""),"이효주9412")</f>
        <v>이효주9412</v>
      </c>
    </row>
    <row r="569">
      <c r="A569" s="4" t="s">
        <v>1952</v>
      </c>
      <c r="B569" s="4" t="str">
        <f>IFERROR(__xludf.DUMMYFUNCTION("""COMPUTED_VALUE"""),"이후영1558")</f>
        <v>이후영1558</v>
      </c>
    </row>
    <row r="570">
      <c r="A570" s="4" t="s">
        <v>1953</v>
      </c>
      <c r="B570" s="4" t="str">
        <f>IFERROR(__xludf.DUMMYFUNCTION("""COMPUTED_VALUE"""),"임보민6528")</f>
        <v>임보민6528</v>
      </c>
    </row>
    <row r="571">
      <c r="A571" s="4" t="s">
        <v>1954</v>
      </c>
      <c r="B571" s="4" t="str">
        <f>IFERROR(__xludf.DUMMYFUNCTION("""COMPUTED_VALUE"""),"임서현7063")</f>
        <v>임서현7063</v>
      </c>
    </row>
    <row r="572">
      <c r="A572" s="4" t="s">
        <v>1955</v>
      </c>
      <c r="B572" s="4" t="str">
        <f>IFERROR(__xludf.DUMMYFUNCTION("""COMPUTED_VALUE"""),"임유석0328")</f>
        <v>임유석0328</v>
      </c>
    </row>
    <row r="573">
      <c r="A573" s="4" t="s">
        <v>1956</v>
      </c>
      <c r="B573" s="4" t="str">
        <f>IFERROR(__xludf.DUMMYFUNCTION("""COMPUTED_VALUE"""),"임유진2465")</f>
        <v>임유진2465</v>
      </c>
    </row>
    <row r="574">
      <c r="A574" s="4" t="s">
        <v>1957</v>
      </c>
      <c r="B574" s="4" t="str">
        <f>IFERROR(__xludf.DUMMYFUNCTION("""COMPUTED_VALUE"""),"임지우1770")</f>
        <v>임지우1770</v>
      </c>
    </row>
    <row r="575">
      <c r="A575" s="4" t="s">
        <v>1958</v>
      </c>
      <c r="B575" s="4" t="str">
        <f>IFERROR(__xludf.DUMMYFUNCTION("""COMPUTED_VALUE"""),"임지후6829")</f>
        <v>임지후6829</v>
      </c>
    </row>
    <row r="576">
      <c r="A576" s="4" t="s">
        <v>1959</v>
      </c>
      <c r="B576" s="4" t="str">
        <f>IFERROR(__xludf.DUMMYFUNCTION("""COMPUTED_VALUE"""),"임하린3311")</f>
        <v>임하린3311</v>
      </c>
    </row>
    <row r="577">
      <c r="A577" s="4" t="s">
        <v>1960</v>
      </c>
      <c r="B577" s="4" t="str">
        <f>IFERROR(__xludf.DUMMYFUNCTION("""COMPUTED_VALUE"""),"임형규8711")</f>
        <v>임형규8711</v>
      </c>
    </row>
    <row r="578">
      <c r="A578" s="4" t="s">
        <v>1961</v>
      </c>
      <c r="B578" s="4" t="str">
        <f>IFERROR(__xludf.DUMMYFUNCTION("""COMPUTED_VALUE"""),"장규리1946")</f>
        <v>장규리1946</v>
      </c>
    </row>
    <row r="579">
      <c r="A579" s="4" t="s">
        <v>1962</v>
      </c>
      <c r="B579" s="4" t="str">
        <f>IFERROR(__xludf.DUMMYFUNCTION("""COMPUTED_VALUE"""),"장서인9593")</f>
        <v>장서인9593</v>
      </c>
    </row>
    <row r="580">
      <c r="A580" s="4" t="s">
        <v>1963</v>
      </c>
      <c r="B580" s="4" t="str">
        <f>IFERROR(__xludf.DUMMYFUNCTION("""COMPUTED_VALUE"""),"장연우3976")</f>
        <v>장연우3976</v>
      </c>
    </row>
    <row r="581">
      <c r="A581" s="4" t="s">
        <v>1964</v>
      </c>
      <c r="B581" s="4" t="str">
        <f>IFERROR(__xludf.DUMMYFUNCTION("""COMPUTED_VALUE"""),"장유현7693")</f>
        <v>장유현7693</v>
      </c>
    </row>
    <row r="582">
      <c r="A582" s="4" t="s">
        <v>1965</v>
      </c>
      <c r="B582" s="4" t="str">
        <f>IFERROR(__xludf.DUMMYFUNCTION("""COMPUTED_VALUE"""),"장윤서2744")</f>
        <v>장윤서2744</v>
      </c>
    </row>
    <row r="583">
      <c r="A583" s="4" t="s">
        <v>1966</v>
      </c>
      <c r="B583" s="4" t="str">
        <f>IFERROR(__xludf.DUMMYFUNCTION("""COMPUTED_VALUE"""),"장태웅2011")</f>
        <v>장태웅2011</v>
      </c>
    </row>
    <row r="584">
      <c r="A584" s="4" t="s">
        <v>1967</v>
      </c>
      <c r="B584" s="4" t="str">
        <f>IFERROR(__xludf.DUMMYFUNCTION("""COMPUTED_VALUE"""),"전건우1448")</f>
        <v>전건우1448</v>
      </c>
    </row>
    <row r="585">
      <c r="A585" s="4" t="s">
        <v>1968</v>
      </c>
      <c r="B585" s="4" t="str">
        <f>IFERROR(__xludf.DUMMYFUNCTION("""COMPUTED_VALUE"""),"전영서6156")</f>
        <v>전영서6156</v>
      </c>
    </row>
    <row r="586">
      <c r="A586" s="4" t="s">
        <v>1969</v>
      </c>
      <c r="B586" s="4" t="str">
        <f>IFERROR(__xludf.DUMMYFUNCTION("""COMPUTED_VALUE"""),"전지윤2397")</f>
        <v>전지윤2397</v>
      </c>
    </row>
    <row r="587">
      <c r="A587" s="4" t="s">
        <v>1970</v>
      </c>
      <c r="B587" s="4" t="str">
        <f>IFERROR(__xludf.DUMMYFUNCTION("""COMPUTED_VALUE"""),"전필경1591")</f>
        <v>전필경1591</v>
      </c>
    </row>
    <row r="588">
      <c r="A588" s="4" t="s">
        <v>1971</v>
      </c>
      <c r="B588" s="4" t="str">
        <f>IFERROR(__xludf.DUMMYFUNCTION("""COMPUTED_VALUE"""),"전한3740")</f>
        <v>전한3740</v>
      </c>
    </row>
    <row r="589">
      <c r="A589" s="4" t="s">
        <v>1972</v>
      </c>
      <c r="B589" s="4" t="str">
        <f>IFERROR(__xludf.DUMMYFUNCTION("""COMPUTED_VALUE"""),"전현서5455")</f>
        <v>전현서5455</v>
      </c>
    </row>
    <row r="590">
      <c r="A590" s="4" t="s">
        <v>1973</v>
      </c>
      <c r="B590" s="4" t="str">
        <f>IFERROR(__xludf.DUMMYFUNCTION("""COMPUTED_VALUE"""),"전현우8037")</f>
        <v>전현우8037</v>
      </c>
    </row>
    <row r="591">
      <c r="A591" s="4" t="s">
        <v>1974</v>
      </c>
      <c r="B591" s="4" t="str">
        <f>IFERROR(__xludf.DUMMYFUNCTION("""COMPUTED_VALUE"""),"정구헌5177")</f>
        <v>정구헌5177</v>
      </c>
    </row>
    <row r="592">
      <c r="A592" s="4" t="s">
        <v>1975</v>
      </c>
      <c r="B592" s="4" t="str">
        <f>IFERROR(__xludf.DUMMYFUNCTION("""COMPUTED_VALUE"""),"정다은0102")</f>
        <v>정다은0102</v>
      </c>
    </row>
    <row r="593">
      <c r="A593" s="4" t="s">
        <v>1976</v>
      </c>
      <c r="B593" s="4" t="str">
        <f>IFERROR(__xludf.DUMMYFUNCTION("""COMPUTED_VALUE"""),"정다인5031")</f>
        <v>정다인5031</v>
      </c>
    </row>
    <row r="594">
      <c r="A594" s="4" t="s">
        <v>1977</v>
      </c>
      <c r="B594" s="4" t="str">
        <f>IFERROR(__xludf.DUMMYFUNCTION("""COMPUTED_VALUE"""),"정선우8814")</f>
        <v>정선우8814</v>
      </c>
    </row>
    <row r="595">
      <c r="A595" s="4" t="s">
        <v>1978</v>
      </c>
      <c r="B595" s="4" t="str">
        <f>IFERROR(__xludf.DUMMYFUNCTION("""COMPUTED_VALUE"""),"정승민3451")</f>
        <v>정승민3451</v>
      </c>
    </row>
    <row r="596">
      <c r="A596" s="4" t="s">
        <v>1979</v>
      </c>
      <c r="B596" s="4" t="str">
        <f>IFERROR(__xludf.DUMMYFUNCTION("""COMPUTED_VALUE"""),"정요셉2166")</f>
        <v>정요셉2166</v>
      </c>
    </row>
    <row r="597">
      <c r="A597" s="4" t="s">
        <v>1980</v>
      </c>
      <c r="B597" s="4" t="str">
        <f>IFERROR(__xludf.DUMMYFUNCTION("""COMPUTED_VALUE"""),"정원영3775")</f>
        <v>정원영3775</v>
      </c>
    </row>
    <row r="598">
      <c r="A598" s="4" t="s">
        <v>1981</v>
      </c>
      <c r="B598" s="4" t="str">
        <f>IFERROR(__xludf.DUMMYFUNCTION("""COMPUTED_VALUE"""),"정은채0710")</f>
        <v>정은채0710</v>
      </c>
    </row>
    <row r="599">
      <c r="A599" s="4" t="s">
        <v>1982</v>
      </c>
      <c r="B599" s="4" t="str">
        <f>IFERROR(__xludf.DUMMYFUNCTION("""COMPUTED_VALUE"""),"정인호2362")</f>
        <v>정인호2362</v>
      </c>
    </row>
    <row r="600">
      <c r="A600" s="4" t="s">
        <v>1983</v>
      </c>
      <c r="B600" s="4" t="str">
        <f>IFERROR(__xludf.DUMMYFUNCTION("""COMPUTED_VALUE"""),"정재아1991")</f>
        <v>정재아1991</v>
      </c>
    </row>
    <row r="601">
      <c r="A601" s="4" t="s">
        <v>1984</v>
      </c>
      <c r="B601" s="4" t="str">
        <f>IFERROR(__xludf.DUMMYFUNCTION("""COMPUTED_VALUE"""),"정재윤6842")</f>
        <v>정재윤6842</v>
      </c>
    </row>
    <row r="602">
      <c r="A602" s="4" t="s">
        <v>1985</v>
      </c>
      <c r="B602" s="4" t="str">
        <f>IFERROR(__xludf.DUMMYFUNCTION("""COMPUTED_VALUE"""),"정진아1771")</f>
        <v>정진아1771</v>
      </c>
    </row>
    <row r="603">
      <c r="A603" s="4" t="s">
        <v>1986</v>
      </c>
      <c r="B603" s="4" t="str">
        <f>IFERROR(__xludf.DUMMYFUNCTION("""COMPUTED_VALUE"""),"정태환9622")</f>
        <v>정태환9622</v>
      </c>
    </row>
    <row r="604">
      <c r="A604" s="4" t="s">
        <v>1987</v>
      </c>
      <c r="B604" s="4" t="str">
        <f>IFERROR(__xludf.DUMMYFUNCTION("""COMPUTED_VALUE"""),"정현우5340")</f>
        <v>정현우5340</v>
      </c>
    </row>
    <row r="605">
      <c r="A605" s="4" t="s">
        <v>1988</v>
      </c>
      <c r="B605" s="4" t="str">
        <f>IFERROR(__xludf.DUMMYFUNCTION("""COMPUTED_VALUE"""),"정호현2609")</f>
        <v>정호현2609</v>
      </c>
    </row>
    <row r="606">
      <c r="A606" s="4" t="s">
        <v>1989</v>
      </c>
      <c r="B606" s="4" t="str">
        <f>IFERROR(__xludf.DUMMYFUNCTION("""COMPUTED_VALUE"""),"조상원4487")</f>
        <v>조상원4487</v>
      </c>
    </row>
    <row r="607">
      <c r="A607" s="4" t="s">
        <v>1990</v>
      </c>
      <c r="B607" s="4" t="str">
        <f>IFERROR(__xludf.DUMMYFUNCTION("""COMPUTED_VALUE"""),"조상혁0315")</f>
        <v>조상혁0315</v>
      </c>
    </row>
    <row r="608">
      <c r="A608" s="4" t="s">
        <v>1991</v>
      </c>
      <c r="B608" s="4" t="str">
        <f>IFERROR(__xludf.DUMMYFUNCTION("""COMPUTED_VALUE"""),"조성원7897")</f>
        <v>조성원7897</v>
      </c>
    </row>
    <row r="609">
      <c r="A609" s="4" t="s">
        <v>1992</v>
      </c>
      <c r="B609" s="4" t="str">
        <f>IFERROR(__xludf.DUMMYFUNCTION("""COMPUTED_VALUE"""),"조수빈5948")</f>
        <v>조수빈5948</v>
      </c>
    </row>
    <row r="610">
      <c r="A610" s="4" t="s">
        <v>1993</v>
      </c>
      <c r="B610" s="4" t="str">
        <f>IFERROR(__xludf.DUMMYFUNCTION("""COMPUTED_VALUE"""),"조아현0939")</f>
        <v>조아현0939</v>
      </c>
    </row>
    <row r="611">
      <c r="A611" s="4" t="s">
        <v>1994</v>
      </c>
      <c r="B611" s="4" t="str">
        <f>IFERROR(__xludf.DUMMYFUNCTION("""COMPUTED_VALUE"""),"조영백9524")</f>
        <v>조영백9524</v>
      </c>
    </row>
    <row r="612">
      <c r="A612" s="4" t="s">
        <v>1995</v>
      </c>
      <c r="B612" s="4" t="str">
        <f>IFERROR(__xludf.DUMMYFUNCTION("""COMPUTED_VALUE"""),"조윤9517")</f>
        <v>조윤9517</v>
      </c>
    </row>
    <row r="613">
      <c r="A613" s="4" t="s">
        <v>1996</v>
      </c>
      <c r="B613" s="4" t="str">
        <f>IFERROR(__xludf.DUMMYFUNCTION("""COMPUTED_VALUE"""),"조윤서2297")</f>
        <v>조윤서2297</v>
      </c>
    </row>
    <row r="614">
      <c r="A614" s="4" t="s">
        <v>1997</v>
      </c>
      <c r="B614" s="4" t="str">
        <f>IFERROR(__xludf.DUMMYFUNCTION("""COMPUTED_VALUE"""),"조윤재3461")</f>
        <v>조윤재3461</v>
      </c>
    </row>
    <row r="615">
      <c r="A615" s="4" t="s">
        <v>1998</v>
      </c>
      <c r="B615" s="4" t="str">
        <f>IFERROR(__xludf.DUMMYFUNCTION("""COMPUTED_VALUE"""),"조은희9858")</f>
        <v>조은희9858</v>
      </c>
    </row>
    <row r="616">
      <c r="A616" s="4" t="s">
        <v>1999</v>
      </c>
      <c r="B616" s="4" t="str">
        <f>IFERROR(__xludf.DUMMYFUNCTION("""COMPUTED_VALUE"""),"조준희9561")</f>
        <v>조준희9561</v>
      </c>
    </row>
    <row r="617">
      <c r="A617" s="4" t="s">
        <v>2000</v>
      </c>
      <c r="B617" s="4" t="str">
        <f>IFERROR(__xludf.DUMMYFUNCTION("""COMPUTED_VALUE"""),"조항진1928")</f>
        <v>조항진1928</v>
      </c>
    </row>
    <row r="618">
      <c r="A618" s="4" t="s">
        <v>2001</v>
      </c>
      <c r="B618" s="4" t="str">
        <f>IFERROR(__xludf.DUMMYFUNCTION("""COMPUTED_VALUE"""),"조현승1876")</f>
        <v>조현승1876</v>
      </c>
    </row>
    <row r="619">
      <c r="A619" s="4" t="s">
        <v>2002</v>
      </c>
      <c r="B619" s="4" t="str">
        <f>IFERROR(__xludf.DUMMYFUNCTION("""COMPUTED_VALUE"""),"조현우6865")</f>
        <v>조현우6865</v>
      </c>
    </row>
    <row r="620">
      <c r="A620" s="4" t="s">
        <v>2003</v>
      </c>
      <c r="B620" s="4" t="str">
        <f>IFERROR(__xludf.DUMMYFUNCTION("""COMPUTED_VALUE"""),"주연우1744")</f>
        <v>주연우1744</v>
      </c>
    </row>
    <row r="621">
      <c r="A621" s="4" t="s">
        <v>2004</v>
      </c>
      <c r="B621" s="4" t="str">
        <f>IFERROR(__xludf.DUMMYFUNCTION("""COMPUTED_VALUE"""),"지승준5789")</f>
        <v>지승준5789</v>
      </c>
    </row>
    <row r="622">
      <c r="A622" s="4" t="s">
        <v>2005</v>
      </c>
      <c r="B622" s="4" t="str">
        <f>IFERROR(__xludf.DUMMYFUNCTION("""COMPUTED_VALUE"""),"진수아1085")</f>
        <v>진수아1085</v>
      </c>
    </row>
    <row r="623">
      <c r="A623" s="4" t="s">
        <v>2006</v>
      </c>
      <c r="B623" s="4" t="str">
        <f>IFERROR(__xludf.DUMMYFUNCTION("""COMPUTED_VALUE"""),"차민정8797")</f>
        <v>차민정8797</v>
      </c>
    </row>
    <row r="624">
      <c r="A624" s="4" t="s">
        <v>2007</v>
      </c>
      <c r="B624" s="4" t="str">
        <f>IFERROR(__xludf.DUMMYFUNCTION("""COMPUTED_VALUE"""),"채수빈1097")</f>
        <v>채수빈1097</v>
      </c>
    </row>
    <row r="625">
      <c r="A625" s="4" t="s">
        <v>2008</v>
      </c>
      <c r="B625" s="4" t="str">
        <f>IFERROR(__xludf.DUMMYFUNCTION("""COMPUTED_VALUE"""),"채연재6841")</f>
        <v>채연재6841</v>
      </c>
    </row>
    <row r="626">
      <c r="A626" s="4" t="s">
        <v>2009</v>
      </c>
      <c r="B626" s="4" t="str">
        <f>IFERROR(__xludf.DUMMYFUNCTION("""COMPUTED_VALUE"""),"최경원1895")</f>
        <v>최경원1895</v>
      </c>
    </row>
    <row r="627">
      <c r="A627" s="4" t="s">
        <v>2010</v>
      </c>
      <c r="B627" s="4" t="str">
        <f>IFERROR(__xludf.DUMMYFUNCTION("""COMPUTED_VALUE"""),"최명헌1725")</f>
        <v>최명헌1725</v>
      </c>
    </row>
    <row r="628">
      <c r="A628" s="4" t="s">
        <v>2011</v>
      </c>
      <c r="B628" s="4" t="str">
        <f>IFERROR(__xludf.DUMMYFUNCTION("""COMPUTED_VALUE"""),"최모세2041")</f>
        <v>최모세2041</v>
      </c>
    </row>
    <row r="629">
      <c r="A629" s="4" t="s">
        <v>2012</v>
      </c>
      <c r="B629" s="4" t="str">
        <f>IFERROR(__xludf.DUMMYFUNCTION("""COMPUTED_VALUE"""),"최성연3824")</f>
        <v>최성연3824</v>
      </c>
    </row>
    <row r="630">
      <c r="A630" s="4" t="s">
        <v>2013</v>
      </c>
      <c r="B630" s="4" t="str">
        <f>IFERROR(__xludf.DUMMYFUNCTION("""COMPUTED_VALUE"""),"최성은0250")</f>
        <v>최성은0250</v>
      </c>
    </row>
    <row r="631">
      <c r="A631" s="4" t="s">
        <v>2014</v>
      </c>
      <c r="B631" s="4" t="str">
        <f>IFERROR(__xludf.DUMMYFUNCTION("""COMPUTED_VALUE"""),"최승빈8945")</f>
        <v>최승빈8945</v>
      </c>
    </row>
    <row r="632">
      <c r="A632" s="4" t="s">
        <v>2015</v>
      </c>
      <c r="B632" s="4" t="str">
        <f>IFERROR(__xludf.DUMMYFUNCTION("""COMPUTED_VALUE"""),"최연우3363")</f>
        <v>최연우3363</v>
      </c>
    </row>
    <row r="633">
      <c r="A633" s="4" t="s">
        <v>2016</v>
      </c>
      <c r="B633" s="4" t="str">
        <f>IFERROR(__xludf.DUMMYFUNCTION("""COMPUTED_VALUE"""),"최연원9450")</f>
        <v>최연원9450</v>
      </c>
    </row>
    <row r="634">
      <c r="A634" s="4" t="s">
        <v>2017</v>
      </c>
      <c r="B634" s="4" t="str">
        <f>IFERROR(__xludf.DUMMYFUNCTION("""COMPUTED_VALUE"""),"최예서4554")</f>
        <v>최예서4554</v>
      </c>
    </row>
    <row r="635">
      <c r="A635" s="4" t="s">
        <v>2018</v>
      </c>
      <c r="B635" s="4" t="str">
        <f>IFERROR(__xludf.DUMMYFUNCTION("""COMPUTED_VALUE"""),"최예진5486")</f>
        <v>최예진5486</v>
      </c>
    </row>
    <row r="636">
      <c r="A636" s="4" t="s">
        <v>2019</v>
      </c>
      <c r="B636" s="4" t="str">
        <f>IFERROR(__xludf.DUMMYFUNCTION("""COMPUTED_VALUE"""),"최우주2739")</f>
        <v>최우주2739</v>
      </c>
    </row>
    <row r="637">
      <c r="A637" s="4" t="s">
        <v>2020</v>
      </c>
      <c r="B637" s="4" t="str">
        <f>IFERROR(__xludf.DUMMYFUNCTION("""COMPUTED_VALUE"""),"최우현9385")</f>
        <v>최우현9385</v>
      </c>
    </row>
    <row r="638">
      <c r="A638" s="4" t="s">
        <v>2021</v>
      </c>
      <c r="B638" s="4" t="str">
        <f>IFERROR(__xludf.DUMMYFUNCTION("""COMPUTED_VALUE"""),"최정은9852")</f>
        <v>최정은9852</v>
      </c>
    </row>
    <row r="639">
      <c r="A639" s="4" t="s">
        <v>2022</v>
      </c>
      <c r="B639" s="4" t="str">
        <f>IFERROR(__xludf.DUMMYFUNCTION("""COMPUTED_VALUE"""),"최지성9764")</f>
        <v>최지성9764</v>
      </c>
    </row>
    <row r="640">
      <c r="A640" s="4" t="s">
        <v>2023</v>
      </c>
      <c r="B640" s="4" t="str">
        <f>IFERROR(__xludf.DUMMYFUNCTION("""COMPUTED_VALUE"""),"최지수6201")</f>
        <v>최지수6201</v>
      </c>
    </row>
    <row r="641">
      <c r="A641" s="4" t="s">
        <v>2024</v>
      </c>
      <c r="B641" s="4" t="str">
        <f>IFERROR(__xludf.DUMMYFUNCTION("""COMPUTED_VALUE"""),"최태경7637")</f>
        <v>최태경7637</v>
      </c>
    </row>
    <row r="642">
      <c r="A642" s="4" t="s">
        <v>2025</v>
      </c>
      <c r="B642" s="4" t="str">
        <f>IFERROR(__xludf.DUMMYFUNCTION("""COMPUTED_VALUE"""),"최현준5933")</f>
        <v>최현준5933</v>
      </c>
    </row>
    <row r="643">
      <c r="A643" s="4" t="s">
        <v>2026</v>
      </c>
      <c r="B643" s="4" t="str">
        <f>IFERROR(__xludf.DUMMYFUNCTION("""COMPUTED_VALUE"""),"최현진0275")</f>
        <v>최현진0275</v>
      </c>
    </row>
    <row r="644">
      <c r="A644" s="4" t="s">
        <v>2027</v>
      </c>
      <c r="B644" s="4" t="str">
        <f>IFERROR(__xludf.DUMMYFUNCTION("""COMPUTED_VALUE"""),"최호연1078")</f>
        <v>최호연1078</v>
      </c>
    </row>
    <row r="645">
      <c r="A645" s="4" t="s">
        <v>2028</v>
      </c>
      <c r="B645" s="4" t="str">
        <f>IFERROR(__xludf.DUMMYFUNCTION("""COMPUTED_VALUE"""),"한소윤6030")</f>
        <v>한소윤6030</v>
      </c>
    </row>
    <row r="646">
      <c r="A646" s="4" t="s">
        <v>2029</v>
      </c>
      <c r="B646" s="4" t="str">
        <f>IFERROR(__xludf.DUMMYFUNCTION("""COMPUTED_VALUE"""),"한수빈4103")</f>
        <v>한수빈4103</v>
      </c>
    </row>
    <row r="647">
      <c r="A647" s="4" t="s">
        <v>2030</v>
      </c>
      <c r="B647" s="4" t="str">
        <f>IFERROR(__xludf.DUMMYFUNCTION("""COMPUTED_VALUE"""),"한이빈9694")</f>
        <v>한이빈9694</v>
      </c>
    </row>
    <row r="648">
      <c r="A648" s="4" t="s">
        <v>2031</v>
      </c>
      <c r="B648" s="4" t="str">
        <f>IFERROR(__xludf.DUMMYFUNCTION("""COMPUTED_VALUE"""),"한재윤4722")</f>
        <v>한재윤4722</v>
      </c>
    </row>
    <row r="649">
      <c r="A649" s="4" t="s">
        <v>2032</v>
      </c>
      <c r="B649" s="4" t="str">
        <f>IFERROR(__xludf.DUMMYFUNCTION("""COMPUTED_VALUE"""),"한주희3938")</f>
        <v>한주희3938</v>
      </c>
    </row>
    <row r="650">
      <c r="A650" s="4" t="s">
        <v>2033</v>
      </c>
      <c r="B650" s="4" t="str">
        <f>IFERROR(__xludf.DUMMYFUNCTION("""COMPUTED_VALUE"""),"한지요6979")</f>
        <v>한지요6979</v>
      </c>
    </row>
    <row r="651">
      <c r="A651" s="4" t="s">
        <v>2034</v>
      </c>
      <c r="B651" s="4" t="str">
        <f>IFERROR(__xludf.DUMMYFUNCTION("""COMPUTED_VALUE"""),"함건희1005")</f>
        <v>함건희1005</v>
      </c>
    </row>
    <row r="652">
      <c r="A652" s="4" t="s">
        <v>2035</v>
      </c>
      <c r="B652" s="4" t="str">
        <f>IFERROR(__xludf.DUMMYFUNCTION("""COMPUTED_VALUE"""),"함주혁2458")</f>
        <v>함주혁2458</v>
      </c>
    </row>
    <row r="653">
      <c r="A653" s="4" t="s">
        <v>2036</v>
      </c>
      <c r="B653" s="4" t="str">
        <f>IFERROR(__xludf.DUMMYFUNCTION("""COMPUTED_VALUE"""),"허동국0551")</f>
        <v>허동국0551</v>
      </c>
    </row>
    <row r="654">
      <c r="A654" s="4" t="s">
        <v>2037</v>
      </c>
      <c r="B654" s="4" t="str">
        <f>IFERROR(__xludf.DUMMYFUNCTION("""COMPUTED_VALUE"""),"허민2214")</f>
        <v>허민2214</v>
      </c>
    </row>
    <row r="655">
      <c r="A655" s="4" t="s">
        <v>2038</v>
      </c>
      <c r="B655" s="4" t="str">
        <f>IFERROR(__xludf.DUMMYFUNCTION("""COMPUTED_VALUE"""),"허우진0236")</f>
        <v>허우진0236</v>
      </c>
    </row>
    <row r="656">
      <c r="A656" s="4" t="s">
        <v>2039</v>
      </c>
      <c r="B656" s="4" t="str">
        <f>IFERROR(__xludf.DUMMYFUNCTION("""COMPUTED_VALUE"""),"허지혜1096")</f>
        <v>허지혜1096</v>
      </c>
    </row>
    <row r="657">
      <c r="A657" s="4" t="s">
        <v>2040</v>
      </c>
      <c r="B657" s="4" t="str">
        <f>IFERROR(__xludf.DUMMYFUNCTION("""COMPUTED_VALUE"""),"허태경5298")</f>
        <v>허태경5298</v>
      </c>
    </row>
    <row r="658">
      <c r="A658" s="4" t="s">
        <v>2041</v>
      </c>
      <c r="B658" s="4" t="str">
        <f>IFERROR(__xludf.DUMMYFUNCTION("""COMPUTED_VALUE"""),"형민서2615")</f>
        <v>형민서2615</v>
      </c>
    </row>
    <row r="659">
      <c r="A659" s="4" t="s">
        <v>2042</v>
      </c>
      <c r="B659" s="4" t="str">
        <f>IFERROR(__xludf.DUMMYFUNCTION("""COMPUTED_VALUE"""),"홍규성8791")</f>
        <v>홍규성8791</v>
      </c>
    </row>
    <row r="660">
      <c r="A660" s="4" t="s">
        <v>2043</v>
      </c>
      <c r="B660" s="4" t="str">
        <f>IFERROR(__xludf.DUMMYFUNCTION("""COMPUTED_VALUE"""),"홍정연7833")</f>
        <v>홍정연7833</v>
      </c>
    </row>
    <row r="661">
      <c r="A661" s="4" t="s">
        <v>2044</v>
      </c>
      <c r="B661" s="4" t="str">
        <f>IFERROR(__xludf.DUMMYFUNCTION("""COMPUTED_VALUE"""),"홍해솔5683")</f>
        <v>홍해솔5683</v>
      </c>
    </row>
    <row r="662">
      <c r="A662" s="4" t="s">
        <v>2045</v>
      </c>
      <c r="B662" s="4" t="str">
        <f>IFERROR(__xludf.DUMMYFUNCTION("""COMPUTED_VALUE"""),"황규진9766")</f>
        <v>황규진9766</v>
      </c>
    </row>
    <row r="663">
      <c r="A663" s="4" t="s">
        <v>2046</v>
      </c>
      <c r="B663" s="4" t="str">
        <f>IFERROR(__xludf.DUMMYFUNCTION("""COMPUTED_VALUE"""),"황선웅0627")</f>
        <v>황선웅0627</v>
      </c>
    </row>
    <row r="664">
      <c r="A664" s="4" t="s">
        <v>2047</v>
      </c>
      <c r="B664" s="4" t="str">
        <f>IFERROR(__xludf.DUMMYFUNCTION("""COMPUTED_VALUE"""),"황선호5885")</f>
        <v>황선호5885</v>
      </c>
    </row>
    <row r="665">
      <c r="A665" s="4" t="s">
        <v>2048</v>
      </c>
      <c r="B665" s="4" t="str">
        <f>IFERROR(__xludf.DUMMYFUNCTION("""COMPUTED_VALUE"""),"황성준4580")</f>
        <v>황성준4580</v>
      </c>
    </row>
    <row r="666">
      <c r="A666" s="4" t="s">
        <v>2049</v>
      </c>
      <c r="B666" s="4" t="str">
        <f>IFERROR(__xludf.DUMMYFUNCTION("""COMPUTED_VALUE"""),"황수현6530")</f>
        <v>황수현6530</v>
      </c>
    </row>
    <row r="667">
      <c r="A667" s="4" t="s">
        <v>2050</v>
      </c>
      <c r="B667" s="4" t="str">
        <f>IFERROR(__xludf.DUMMYFUNCTION("""COMPUTED_VALUE"""),"황시은2437")</f>
        <v>황시은2437</v>
      </c>
    </row>
    <row r="668">
      <c r="A668" s="4" t="s">
        <v>2051</v>
      </c>
      <c r="B668" s="4" t="str">
        <f>IFERROR(__xludf.DUMMYFUNCTION("""COMPUTED_VALUE"""),"황준서0113")</f>
        <v>황준서0113</v>
      </c>
    </row>
    <row r="669">
      <c r="A669" s="4" t="s">
        <v>828</v>
      </c>
    </row>
    <row r="670">
      <c r="A670" s="4" t="s">
        <v>828</v>
      </c>
    </row>
    <row r="671">
      <c r="A671" s="4" t="s">
        <v>828</v>
      </c>
    </row>
    <row r="672">
      <c r="A672" s="4" t="s">
        <v>828</v>
      </c>
    </row>
    <row r="673">
      <c r="A673" s="4" t="s">
        <v>828</v>
      </c>
    </row>
    <row r="674">
      <c r="A674" s="4" t="s">
        <v>828</v>
      </c>
    </row>
    <row r="675">
      <c r="A675" s="4" t="s">
        <v>828</v>
      </c>
    </row>
    <row r="676">
      <c r="A676" s="4" t="s">
        <v>828</v>
      </c>
    </row>
    <row r="677">
      <c r="A677" s="4" t="s">
        <v>828</v>
      </c>
    </row>
    <row r="678">
      <c r="A678" s="4" t="s">
        <v>828</v>
      </c>
    </row>
    <row r="679">
      <c r="A679" s="4" t="s">
        <v>828</v>
      </c>
    </row>
    <row r="680">
      <c r="A680" s="4" t="s">
        <v>828</v>
      </c>
    </row>
    <row r="681">
      <c r="A681" s="4" t="s">
        <v>828</v>
      </c>
    </row>
    <row r="682">
      <c r="A682" s="4" t="s">
        <v>828</v>
      </c>
    </row>
    <row r="683">
      <c r="A683" s="4" t="s">
        <v>828</v>
      </c>
    </row>
    <row r="684">
      <c r="A684" s="4" t="s">
        <v>828</v>
      </c>
    </row>
    <row r="685">
      <c r="A685" s="4" t="s">
        <v>828</v>
      </c>
    </row>
    <row r="686">
      <c r="A686" s="4" t="s">
        <v>828</v>
      </c>
    </row>
    <row r="687">
      <c r="A687" s="4" t="s">
        <v>828</v>
      </c>
    </row>
    <row r="688">
      <c r="A688" s="4" t="s">
        <v>828</v>
      </c>
    </row>
    <row r="689">
      <c r="A689" s="4" t="s">
        <v>828</v>
      </c>
    </row>
    <row r="690">
      <c r="A690" s="4" t="s">
        <v>828</v>
      </c>
    </row>
    <row r="691">
      <c r="A691" s="4" t="s">
        <v>828</v>
      </c>
    </row>
    <row r="692">
      <c r="A692" s="4" t="s">
        <v>828</v>
      </c>
    </row>
    <row r="693">
      <c r="A693" s="4" t="s">
        <v>828</v>
      </c>
    </row>
    <row r="694">
      <c r="A694" s="4" t="s">
        <v>828</v>
      </c>
    </row>
    <row r="695">
      <c r="A695" s="4" t="s">
        <v>828</v>
      </c>
    </row>
    <row r="696">
      <c r="A696" s="4" t="s">
        <v>828</v>
      </c>
    </row>
    <row r="697">
      <c r="A697" s="4" t="s">
        <v>828</v>
      </c>
    </row>
    <row r="698">
      <c r="A698" s="4" t="s">
        <v>828</v>
      </c>
    </row>
    <row r="699">
      <c r="A699" s="4" t="s">
        <v>828</v>
      </c>
    </row>
    <row r="700">
      <c r="A700" s="4" t="s">
        <v>828</v>
      </c>
    </row>
    <row r="701">
      <c r="A701" s="4" t="s">
        <v>828</v>
      </c>
    </row>
    <row r="702">
      <c r="A702" s="4" t="s">
        <v>828</v>
      </c>
    </row>
    <row r="703">
      <c r="A703" s="4" t="s">
        <v>828</v>
      </c>
    </row>
    <row r="704">
      <c r="A704" s="4" t="s">
        <v>828</v>
      </c>
    </row>
    <row r="705">
      <c r="A705" s="4" t="s">
        <v>828</v>
      </c>
    </row>
    <row r="706">
      <c r="A706" s="4" t="s">
        <v>828</v>
      </c>
    </row>
    <row r="707">
      <c r="A707" s="4" t="s">
        <v>828</v>
      </c>
    </row>
    <row r="708">
      <c r="A708" s="4" t="s">
        <v>828</v>
      </c>
    </row>
    <row r="709">
      <c r="A709" s="4" t="s">
        <v>828</v>
      </c>
    </row>
    <row r="710">
      <c r="A710" s="4" t="s">
        <v>828</v>
      </c>
    </row>
    <row r="711">
      <c r="A711" s="4" t="s">
        <v>828</v>
      </c>
    </row>
    <row r="712">
      <c r="A712" s="4" t="s">
        <v>828</v>
      </c>
    </row>
    <row r="713">
      <c r="A713" s="4" t="s">
        <v>828</v>
      </c>
    </row>
    <row r="714">
      <c r="A714" s="4" t="s">
        <v>828</v>
      </c>
    </row>
    <row r="715">
      <c r="A715" s="4" t="s">
        <v>828</v>
      </c>
    </row>
    <row r="716">
      <c r="A716" s="4" t="s">
        <v>828</v>
      </c>
    </row>
    <row r="717">
      <c r="A717" s="4" t="s">
        <v>828</v>
      </c>
    </row>
    <row r="718">
      <c r="A718" s="4" t="s">
        <v>828</v>
      </c>
    </row>
    <row r="719">
      <c r="A719" s="4" t="s">
        <v>828</v>
      </c>
    </row>
    <row r="720">
      <c r="A720" s="4" t="s">
        <v>828</v>
      </c>
    </row>
    <row r="721">
      <c r="A721" s="4" t="s">
        <v>828</v>
      </c>
    </row>
    <row r="722">
      <c r="A722" s="4" t="s">
        <v>828</v>
      </c>
    </row>
    <row r="723">
      <c r="A723" s="4" t="s">
        <v>828</v>
      </c>
    </row>
    <row r="724">
      <c r="A724" s="4" t="s">
        <v>828</v>
      </c>
    </row>
    <row r="725">
      <c r="A725" s="4" t="s">
        <v>828</v>
      </c>
    </row>
    <row r="726">
      <c r="A726" s="4" t="s">
        <v>828</v>
      </c>
    </row>
    <row r="727">
      <c r="A727" s="4" t="s">
        <v>828</v>
      </c>
    </row>
    <row r="728">
      <c r="A728" s="4" t="s">
        <v>828</v>
      </c>
    </row>
    <row r="729">
      <c r="A729" s="4" t="s">
        <v>828</v>
      </c>
    </row>
    <row r="730">
      <c r="A730" s="4" t="s">
        <v>828</v>
      </c>
    </row>
    <row r="731">
      <c r="A731" s="4" t="s">
        <v>828</v>
      </c>
    </row>
    <row r="732">
      <c r="A732" s="4" t="s">
        <v>828</v>
      </c>
    </row>
    <row r="733">
      <c r="A733" s="4" t="s">
        <v>828</v>
      </c>
    </row>
    <row r="734">
      <c r="A734" s="4" t="s">
        <v>828</v>
      </c>
    </row>
    <row r="735">
      <c r="A735" s="4" t="s">
        <v>828</v>
      </c>
    </row>
    <row r="736">
      <c r="A736" s="4" t="s">
        <v>828</v>
      </c>
    </row>
    <row r="737">
      <c r="A737" s="4" t="s">
        <v>828</v>
      </c>
    </row>
    <row r="738">
      <c r="A738" s="4" t="s">
        <v>828</v>
      </c>
    </row>
    <row r="739">
      <c r="A739" s="4" t="s">
        <v>828</v>
      </c>
    </row>
    <row r="740">
      <c r="A740" s="4" t="s">
        <v>828</v>
      </c>
    </row>
    <row r="741">
      <c r="A741" s="4" t="s">
        <v>828</v>
      </c>
    </row>
    <row r="742">
      <c r="A742" s="4" t="s">
        <v>828</v>
      </c>
    </row>
    <row r="743">
      <c r="A743" s="4" t="s">
        <v>828</v>
      </c>
    </row>
    <row r="744">
      <c r="A744" s="4" t="s">
        <v>828</v>
      </c>
    </row>
    <row r="745">
      <c r="A745" s="4" t="s">
        <v>828</v>
      </c>
    </row>
    <row r="746">
      <c r="A746" s="4" t="s">
        <v>828</v>
      </c>
    </row>
    <row r="747">
      <c r="A747" s="4" t="s">
        <v>828</v>
      </c>
    </row>
    <row r="748">
      <c r="A748" s="4" t="s">
        <v>828</v>
      </c>
    </row>
    <row r="749">
      <c r="A749" s="4" t="s">
        <v>828</v>
      </c>
    </row>
    <row r="750">
      <c r="A750" s="4" t="s">
        <v>828</v>
      </c>
    </row>
    <row r="751">
      <c r="A751" s="4" t="s">
        <v>828</v>
      </c>
    </row>
    <row r="752">
      <c r="A752" s="4" t="s">
        <v>828</v>
      </c>
    </row>
    <row r="753">
      <c r="A753" s="4" t="s">
        <v>828</v>
      </c>
    </row>
    <row r="754">
      <c r="A754" s="4" t="s">
        <v>828</v>
      </c>
    </row>
    <row r="755">
      <c r="A755" s="4" t="s">
        <v>828</v>
      </c>
    </row>
    <row r="756">
      <c r="A756" s="4" t="s">
        <v>828</v>
      </c>
    </row>
    <row r="757">
      <c r="A757" s="4" t="s">
        <v>828</v>
      </c>
    </row>
    <row r="758">
      <c r="A758" s="4" t="s">
        <v>828</v>
      </c>
    </row>
    <row r="759">
      <c r="A759" s="4" t="s">
        <v>828</v>
      </c>
    </row>
    <row r="760">
      <c r="A760" s="4" t="s">
        <v>828</v>
      </c>
    </row>
    <row r="761">
      <c r="A761" s="4" t="s">
        <v>828</v>
      </c>
    </row>
    <row r="762">
      <c r="A762" s="4" t="s">
        <v>828</v>
      </c>
    </row>
    <row r="763">
      <c r="A763" s="4" t="s">
        <v>828</v>
      </c>
    </row>
    <row r="764">
      <c r="A764" s="4" t="s">
        <v>828</v>
      </c>
    </row>
    <row r="765">
      <c r="A765" s="4" t="s">
        <v>828</v>
      </c>
    </row>
    <row r="766">
      <c r="A766" s="4" t="s">
        <v>828</v>
      </c>
    </row>
    <row r="767">
      <c r="A767" s="4" t="s">
        <v>828</v>
      </c>
    </row>
    <row r="768">
      <c r="A768" s="4" t="s">
        <v>828</v>
      </c>
    </row>
    <row r="769">
      <c r="A769" s="4" t="s">
        <v>828</v>
      </c>
    </row>
    <row r="770">
      <c r="A770" s="4" t="s">
        <v>828</v>
      </c>
    </row>
    <row r="771">
      <c r="A771" s="4" t="s">
        <v>828</v>
      </c>
    </row>
    <row r="772">
      <c r="A772" s="4" t="s">
        <v>828</v>
      </c>
    </row>
    <row r="773">
      <c r="A773" s="4" t="s">
        <v>828</v>
      </c>
    </row>
    <row r="774">
      <c r="A774" s="4" t="s">
        <v>828</v>
      </c>
    </row>
    <row r="775">
      <c r="A775" s="4" t="s">
        <v>828</v>
      </c>
    </row>
    <row r="776">
      <c r="A776" s="4" t="s">
        <v>828</v>
      </c>
    </row>
    <row r="777">
      <c r="A777" s="4" t="s">
        <v>828</v>
      </c>
    </row>
    <row r="778">
      <c r="A778" s="4" t="s">
        <v>828</v>
      </c>
    </row>
    <row r="779">
      <c r="A779" s="4" t="s">
        <v>828</v>
      </c>
    </row>
    <row r="780">
      <c r="A780" s="4" t="s">
        <v>828</v>
      </c>
    </row>
    <row r="781">
      <c r="A781" s="4" t="s">
        <v>828</v>
      </c>
    </row>
    <row r="782">
      <c r="A782" s="4" t="s">
        <v>828</v>
      </c>
    </row>
    <row r="783">
      <c r="A783" s="4" t="s">
        <v>828</v>
      </c>
    </row>
    <row r="784">
      <c r="A784" s="4" t="s">
        <v>828</v>
      </c>
    </row>
    <row r="785">
      <c r="A785" s="4" t="s">
        <v>828</v>
      </c>
    </row>
    <row r="786">
      <c r="A786" s="4" t="s">
        <v>828</v>
      </c>
    </row>
    <row r="787">
      <c r="A787" s="4" t="s">
        <v>828</v>
      </c>
    </row>
    <row r="788">
      <c r="A788" s="4" t="s">
        <v>828</v>
      </c>
    </row>
    <row r="789">
      <c r="A789" s="4" t="s">
        <v>828</v>
      </c>
    </row>
    <row r="790">
      <c r="A790" s="4" t="s">
        <v>828</v>
      </c>
    </row>
    <row r="791">
      <c r="A791" s="4" t="s">
        <v>828</v>
      </c>
    </row>
    <row r="792">
      <c r="A792" s="4" t="s">
        <v>828</v>
      </c>
    </row>
    <row r="793">
      <c r="A793" s="4" t="s">
        <v>828</v>
      </c>
    </row>
    <row r="794">
      <c r="A794" s="4" t="s">
        <v>828</v>
      </c>
    </row>
    <row r="795">
      <c r="A795" s="4" t="s">
        <v>828</v>
      </c>
    </row>
    <row r="796">
      <c r="A796" s="4" t="s">
        <v>828</v>
      </c>
    </row>
    <row r="797">
      <c r="A797" s="4" t="s">
        <v>828</v>
      </c>
    </row>
    <row r="798">
      <c r="A798" s="4" t="s">
        <v>828</v>
      </c>
    </row>
    <row r="799">
      <c r="A799" s="4" t="s">
        <v>828</v>
      </c>
    </row>
    <row r="800">
      <c r="A800" s="4" t="s">
        <v>828</v>
      </c>
    </row>
    <row r="801">
      <c r="A801" s="4" t="s">
        <v>828</v>
      </c>
    </row>
    <row r="802">
      <c r="A802" s="4" t="s">
        <v>828</v>
      </c>
    </row>
    <row r="803">
      <c r="A803" s="4" t="s">
        <v>828</v>
      </c>
    </row>
    <row r="804">
      <c r="A804" s="4" t="s">
        <v>828</v>
      </c>
    </row>
    <row r="805">
      <c r="A805" s="4" t="s">
        <v>828</v>
      </c>
    </row>
    <row r="806">
      <c r="A806" s="4" t="s">
        <v>828</v>
      </c>
    </row>
    <row r="807">
      <c r="A807" s="4" t="s">
        <v>828</v>
      </c>
    </row>
    <row r="808">
      <c r="A808" s="4" t="s">
        <v>828</v>
      </c>
    </row>
    <row r="809">
      <c r="A809" s="4" t="s">
        <v>828</v>
      </c>
    </row>
    <row r="810">
      <c r="A810" s="4" t="s">
        <v>828</v>
      </c>
    </row>
    <row r="811">
      <c r="A811" s="4" t="s">
        <v>828</v>
      </c>
    </row>
    <row r="812">
      <c r="A812" s="4" t="s">
        <v>828</v>
      </c>
    </row>
    <row r="813">
      <c r="A813" s="4" t="s">
        <v>828</v>
      </c>
    </row>
    <row r="814">
      <c r="A814" s="4" t="s">
        <v>828</v>
      </c>
    </row>
    <row r="815">
      <c r="A815" s="4" t="s">
        <v>828</v>
      </c>
    </row>
    <row r="816">
      <c r="A816" s="4" t="s">
        <v>828</v>
      </c>
    </row>
    <row r="817">
      <c r="A817" s="4" t="s">
        <v>828</v>
      </c>
    </row>
    <row r="818">
      <c r="A818" s="4" t="s">
        <v>828</v>
      </c>
    </row>
    <row r="819">
      <c r="A819" s="4" t="s">
        <v>828</v>
      </c>
    </row>
    <row r="820">
      <c r="A820" s="4" t="s">
        <v>828</v>
      </c>
    </row>
    <row r="821">
      <c r="A821" s="4" t="s">
        <v>828</v>
      </c>
    </row>
    <row r="822">
      <c r="A822" s="4" t="s">
        <v>828</v>
      </c>
    </row>
    <row r="823">
      <c r="A823" s="4" t="s">
        <v>828</v>
      </c>
    </row>
    <row r="824">
      <c r="A824" s="4" t="s">
        <v>828</v>
      </c>
    </row>
    <row r="825">
      <c r="A825" s="4" t="s">
        <v>828</v>
      </c>
    </row>
    <row r="826">
      <c r="A826" s="4" t="s">
        <v>828</v>
      </c>
    </row>
    <row r="827">
      <c r="A827" s="4" t="s">
        <v>828</v>
      </c>
    </row>
    <row r="828">
      <c r="A828" s="4" t="s">
        <v>828</v>
      </c>
    </row>
    <row r="829">
      <c r="A829" s="4" t="s">
        <v>828</v>
      </c>
    </row>
    <row r="830">
      <c r="A830" s="4" t="s">
        <v>828</v>
      </c>
    </row>
    <row r="831">
      <c r="A831" s="4" t="s">
        <v>828</v>
      </c>
    </row>
    <row r="832">
      <c r="A832" s="4" t="s">
        <v>828</v>
      </c>
    </row>
    <row r="833">
      <c r="A833" s="4" t="s">
        <v>828</v>
      </c>
    </row>
    <row r="834">
      <c r="A834" s="4" t="s">
        <v>828</v>
      </c>
    </row>
    <row r="835">
      <c r="A835" s="4" t="s">
        <v>828</v>
      </c>
    </row>
    <row r="836">
      <c r="A836" s="4" t="s">
        <v>828</v>
      </c>
    </row>
    <row r="837">
      <c r="A837" s="4" t="s">
        <v>828</v>
      </c>
    </row>
    <row r="838">
      <c r="A838" s="4" t="s">
        <v>828</v>
      </c>
    </row>
    <row r="839">
      <c r="A839" s="4" t="s">
        <v>828</v>
      </c>
    </row>
    <row r="840">
      <c r="A840" s="4" t="s">
        <v>828</v>
      </c>
    </row>
    <row r="841">
      <c r="A841" s="4" t="s">
        <v>828</v>
      </c>
    </row>
    <row r="842">
      <c r="A842" s="4" t="s">
        <v>828</v>
      </c>
    </row>
    <row r="843">
      <c r="A843" s="4" t="s">
        <v>828</v>
      </c>
    </row>
    <row r="844">
      <c r="A844" s="4" t="s">
        <v>828</v>
      </c>
    </row>
    <row r="845">
      <c r="A845" s="4" t="s">
        <v>828</v>
      </c>
    </row>
    <row r="846">
      <c r="A846" s="4" t="s">
        <v>828</v>
      </c>
    </row>
    <row r="847">
      <c r="A847" s="4" t="s">
        <v>828</v>
      </c>
    </row>
    <row r="848">
      <c r="A848" s="4" t="s">
        <v>828</v>
      </c>
    </row>
    <row r="849">
      <c r="A849" s="4" t="s">
        <v>828</v>
      </c>
    </row>
    <row r="850">
      <c r="A850" s="4" t="s">
        <v>828</v>
      </c>
    </row>
    <row r="851">
      <c r="A851" s="4" t="s">
        <v>828</v>
      </c>
    </row>
    <row r="852">
      <c r="A852" s="4" t="s">
        <v>828</v>
      </c>
    </row>
    <row r="853">
      <c r="A853" s="4" t="s">
        <v>828</v>
      </c>
    </row>
    <row r="854">
      <c r="A854" s="4" t="s">
        <v>828</v>
      </c>
    </row>
    <row r="855">
      <c r="A855" s="4" t="s">
        <v>828</v>
      </c>
    </row>
    <row r="856">
      <c r="A856" s="4" t="s">
        <v>828</v>
      </c>
    </row>
    <row r="857">
      <c r="A857" s="4" t="s">
        <v>828</v>
      </c>
    </row>
    <row r="858">
      <c r="A858" s="4" t="s">
        <v>828</v>
      </c>
    </row>
    <row r="859">
      <c r="A859" s="4" t="s">
        <v>828</v>
      </c>
    </row>
    <row r="860">
      <c r="A860" s="4" t="s">
        <v>828</v>
      </c>
    </row>
    <row r="861">
      <c r="A861" s="4" t="s">
        <v>828</v>
      </c>
    </row>
    <row r="862">
      <c r="A862" s="4" t="s">
        <v>828</v>
      </c>
    </row>
    <row r="863">
      <c r="A863" s="4" t="s">
        <v>828</v>
      </c>
    </row>
    <row r="864">
      <c r="A864" s="4" t="s">
        <v>828</v>
      </c>
    </row>
    <row r="865">
      <c r="A865" s="4" t="s">
        <v>828</v>
      </c>
    </row>
    <row r="866">
      <c r="A866" s="4" t="s">
        <v>828</v>
      </c>
    </row>
    <row r="867">
      <c r="A867" s="4" t="s">
        <v>828</v>
      </c>
    </row>
    <row r="868">
      <c r="A868" s="4" t="s">
        <v>828</v>
      </c>
    </row>
    <row r="869">
      <c r="A869" s="4" t="s">
        <v>828</v>
      </c>
    </row>
    <row r="870">
      <c r="A870" s="4" t="s">
        <v>828</v>
      </c>
    </row>
    <row r="871">
      <c r="A871" s="4" t="s">
        <v>828</v>
      </c>
    </row>
    <row r="872">
      <c r="A872" s="4" t="s">
        <v>828</v>
      </c>
    </row>
    <row r="873">
      <c r="A873" s="4" t="s">
        <v>828</v>
      </c>
    </row>
    <row r="874">
      <c r="A874" s="4" t="s">
        <v>828</v>
      </c>
    </row>
    <row r="875">
      <c r="A875" s="4" t="s">
        <v>828</v>
      </c>
    </row>
    <row r="876">
      <c r="A876" s="4" t="s">
        <v>828</v>
      </c>
    </row>
    <row r="877">
      <c r="A877" s="4" t="s">
        <v>828</v>
      </c>
    </row>
    <row r="878">
      <c r="A878" s="4" t="s">
        <v>828</v>
      </c>
    </row>
    <row r="879">
      <c r="A879" s="4" t="s">
        <v>828</v>
      </c>
    </row>
    <row r="880">
      <c r="A880" s="4" t="s">
        <v>828</v>
      </c>
    </row>
    <row r="881">
      <c r="A881" s="4" t="s">
        <v>828</v>
      </c>
    </row>
    <row r="882">
      <c r="A882" s="4" t="s">
        <v>828</v>
      </c>
    </row>
    <row r="883">
      <c r="A883" s="4" t="s">
        <v>828</v>
      </c>
    </row>
    <row r="884">
      <c r="A884" s="4" t="s">
        <v>828</v>
      </c>
    </row>
    <row r="885">
      <c r="A885" s="4" t="s">
        <v>828</v>
      </c>
    </row>
    <row r="886">
      <c r="A886" s="4" t="s">
        <v>828</v>
      </c>
    </row>
    <row r="887">
      <c r="A887" s="4" t="s">
        <v>828</v>
      </c>
    </row>
    <row r="888">
      <c r="A888" s="4" t="s">
        <v>828</v>
      </c>
    </row>
    <row r="889">
      <c r="A889" s="4" t="s">
        <v>828</v>
      </c>
    </row>
    <row r="890">
      <c r="A890" s="4" t="s">
        <v>828</v>
      </c>
    </row>
    <row r="891">
      <c r="A891" s="4" t="s">
        <v>828</v>
      </c>
    </row>
    <row r="892">
      <c r="A892" s="4" t="s">
        <v>828</v>
      </c>
    </row>
    <row r="893">
      <c r="A893" s="4" t="s">
        <v>828</v>
      </c>
    </row>
    <row r="894">
      <c r="A894" s="4" t="s">
        <v>828</v>
      </c>
    </row>
    <row r="895">
      <c r="A895" s="4" t="s">
        <v>828</v>
      </c>
    </row>
    <row r="896">
      <c r="A896" s="4" t="s">
        <v>828</v>
      </c>
    </row>
    <row r="897">
      <c r="A897" s="4" t="s">
        <v>828</v>
      </c>
    </row>
    <row r="898">
      <c r="A898" s="4" t="s">
        <v>828</v>
      </c>
    </row>
    <row r="899">
      <c r="A899" s="4" t="s">
        <v>828</v>
      </c>
    </row>
    <row r="900">
      <c r="A900" s="4" t="s">
        <v>828</v>
      </c>
    </row>
    <row r="901">
      <c r="A901" s="4" t="s">
        <v>828</v>
      </c>
    </row>
    <row r="902">
      <c r="A902" s="4" t="s">
        <v>828</v>
      </c>
    </row>
    <row r="903">
      <c r="A903" s="4" t="s">
        <v>828</v>
      </c>
    </row>
    <row r="904">
      <c r="A904" s="4" t="s">
        <v>828</v>
      </c>
    </row>
    <row r="905">
      <c r="A905" s="4" t="s">
        <v>828</v>
      </c>
    </row>
    <row r="906">
      <c r="A906" s="4" t="s">
        <v>828</v>
      </c>
    </row>
    <row r="907">
      <c r="A907" s="4" t="s">
        <v>828</v>
      </c>
    </row>
    <row r="908">
      <c r="A908" s="4" t="s">
        <v>828</v>
      </c>
    </row>
    <row r="909">
      <c r="A909" s="4" t="s">
        <v>828</v>
      </c>
    </row>
    <row r="910">
      <c r="A910" s="4" t="s">
        <v>828</v>
      </c>
    </row>
    <row r="911">
      <c r="A911" s="4" t="s">
        <v>828</v>
      </c>
    </row>
    <row r="912">
      <c r="A912" s="4" t="s">
        <v>828</v>
      </c>
    </row>
    <row r="913">
      <c r="A913" s="4" t="s">
        <v>828</v>
      </c>
    </row>
    <row r="914">
      <c r="A914" s="4" t="s">
        <v>828</v>
      </c>
    </row>
    <row r="915">
      <c r="A915" s="4" t="s">
        <v>828</v>
      </c>
    </row>
    <row r="916">
      <c r="A916" s="4" t="s">
        <v>828</v>
      </c>
    </row>
    <row r="917">
      <c r="A917" s="4" t="s">
        <v>828</v>
      </c>
    </row>
    <row r="918">
      <c r="A918" s="4" t="s">
        <v>828</v>
      </c>
    </row>
    <row r="919">
      <c r="A919" s="4" t="s">
        <v>828</v>
      </c>
    </row>
    <row r="920">
      <c r="A920" s="4" t="s">
        <v>828</v>
      </c>
    </row>
    <row r="921">
      <c r="A921" s="4" t="s">
        <v>828</v>
      </c>
    </row>
    <row r="922">
      <c r="A922" s="4" t="s">
        <v>828</v>
      </c>
    </row>
    <row r="923">
      <c r="A923" s="4" t="s">
        <v>828</v>
      </c>
    </row>
    <row r="924">
      <c r="A924" s="4" t="s">
        <v>828</v>
      </c>
    </row>
    <row r="925">
      <c r="A925" s="4" t="s">
        <v>828</v>
      </c>
    </row>
    <row r="926">
      <c r="A926" s="4" t="s">
        <v>828</v>
      </c>
    </row>
    <row r="927">
      <c r="A927" s="4" t="s">
        <v>828</v>
      </c>
    </row>
    <row r="928">
      <c r="A928" s="4" t="s">
        <v>828</v>
      </c>
    </row>
    <row r="929">
      <c r="A929" s="4" t="s">
        <v>828</v>
      </c>
    </row>
    <row r="930">
      <c r="A930" s="4" t="s">
        <v>828</v>
      </c>
    </row>
    <row r="931">
      <c r="A931" s="4" t="s">
        <v>828</v>
      </c>
    </row>
    <row r="932">
      <c r="A932" s="4" t="s">
        <v>828</v>
      </c>
    </row>
    <row r="933">
      <c r="A933" s="4" t="s">
        <v>828</v>
      </c>
    </row>
    <row r="934">
      <c r="A934" s="4" t="s">
        <v>828</v>
      </c>
    </row>
    <row r="935">
      <c r="A935" s="4" t="s">
        <v>828</v>
      </c>
    </row>
    <row r="936">
      <c r="A936" s="4" t="s">
        <v>828</v>
      </c>
    </row>
    <row r="937">
      <c r="A937" s="4" t="s">
        <v>828</v>
      </c>
    </row>
    <row r="938">
      <c r="A938" s="4" t="s">
        <v>828</v>
      </c>
    </row>
    <row r="939">
      <c r="A939" s="4" t="s">
        <v>828</v>
      </c>
    </row>
    <row r="940">
      <c r="A940" s="4" t="s">
        <v>828</v>
      </c>
    </row>
    <row r="941">
      <c r="A941" s="4" t="s">
        <v>828</v>
      </c>
    </row>
    <row r="942">
      <c r="A942" s="4" t="s">
        <v>828</v>
      </c>
    </row>
    <row r="943">
      <c r="A943" s="4" t="s">
        <v>828</v>
      </c>
    </row>
    <row r="944">
      <c r="A944" s="4" t="s">
        <v>828</v>
      </c>
    </row>
    <row r="945">
      <c r="A945" s="4" t="s">
        <v>828</v>
      </c>
    </row>
    <row r="946">
      <c r="A946" s="4" t="s">
        <v>828</v>
      </c>
    </row>
    <row r="947">
      <c r="A947" s="4" t="s">
        <v>828</v>
      </c>
    </row>
    <row r="948">
      <c r="A948" s="4" t="s">
        <v>828</v>
      </c>
    </row>
    <row r="949">
      <c r="A949" s="4" t="s">
        <v>828</v>
      </c>
    </row>
    <row r="950">
      <c r="A950" s="4" t="s">
        <v>828</v>
      </c>
    </row>
    <row r="951">
      <c r="A951" s="4" t="s">
        <v>828</v>
      </c>
    </row>
    <row r="952">
      <c r="A952" s="4" t="s">
        <v>828</v>
      </c>
    </row>
    <row r="953">
      <c r="A953" s="4" t="s">
        <v>828</v>
      </c>
    </row>
    <row r="954">
      <c r="A954" s="4" t="s">
        <v>828</v>
      </c>
    </row>
    <row r="955">
      <c r="A955" s="4" t="s">
        <v>828</v>
      </c>
    </row>
    <row r="956">
      <c r="A956" s="4" t="s">
        <v>828</v>
      </c>
    </row>
    <row r="957">
      <c r="A957" s="4" t="s">
        <v>828</v>
      </c>
    </row>
    <row r="958">
      <c r="A958" s="4" t="s">
        <v>828</v>
      </c>
    </row>
    <row r="959">
      <c r="A959" s="4" t="s">
        <v>828</v>
      </c>
    </row>
    <row r="960">
      <c r="A960" s="4" t="s">
        <v>828</v>
      </c>
    </row>
    <row r="961">
      <c r="A961" s="4" t="s">
        <v>828</v>
      </c>
    </row>
    <row r="962">
      <c r="A962" s="4" t="s">
        <v>828</v>
      </c>
    </row>
    <row r="963">
      <c r="A963" s="4" t="s">
        <v>828</v>
      </c>
    </row>
    <row r="964">
      <c r="A964" s="4" t="s">
        <v>828</v>
      </c>
    </row>
    <row r="965">
      <c r="A965" s="4" t="s">
        <v>828</v>
      </c>
    </row>
    <row r="966">
      <c r="A966" s="4" t="s">
        <v>828</v>
      </c>
    </row>
    <row r="967">
      <c r="A967" s="4" t="s">
        <v>828</v>
      </c>
    </row>
    <row r="968">
      <c r="A968" s="4" t="s">
        <v>828</v>
      </c>
    </row>
    <row r="969">
      <c r="A969" s="4" t="s">
        <v>828</v>
      </c>
    </row>
    <row r="970">
      <c r="A970" s="4" t="s">
        <v>828</v>
      </c>
    </row>
    <row r="971">
      <c r="A971" s="4" t="s">
        <v>828</v>
      </c>
    </row>
    <row r="972">
      <c r="A972" s="4" t="s">
        <v>828</v>
      </c>
    </row>
    <row r="973">
      <c r="A973" s="4" t="s">
        <v>828</v>
      </c>
    </row>
    <row r="974">
      <c r="A974" s="4" t="s">
        <v>828</v>
      </c>
    </row>
    <row r="975">
      <c r="A975" s="4" t="s">
        <v>828</v>
      </c>
    </row>
    <row r="976">
      <c r="A976" s="4" t="s">
        <v>828</v>
      </c>
    </row>
    <row r="977">
      <c r="A977" s="4" t="s">
        <v>828</v>
      </c>
    </row>
    <row r="978">
      <c r="A978" s="4" t="s">
        <v>828</v>
      </c>
    </row>
    <row r="979">
      <c r="A979" s="4" t="s">
        <v>828</v>
      </c>
    </row>
    <row r="980">
      <c r="A980" s="4" t="s">
        <v>828</v>
      </c>
    </row>
    <row r="981">
      <c r="A981" s="4" t="s">
        <v>828</v>
      </c>
    </row>
    <row r="982">
      <c r="A982" s="4" t="s">
        <v>828</v>
      </c>
    </row>
    <row r="983">
      <c r="A983" s="4" t="s">
        <v>828</v>
      </c>
    </row>
    <row r="984">
      <c r="A984" s="4" t="s">
        <v>828</v>
      </c>
    </row>
    <row r="985">
      <c r="A985" s="4" t="s">
        <v>828</v>
      </c>
    </row>
    <row r="986">
      <c r="A986" s="4" t="s">
        <v>828</v>
      </c>
    </row>
    <row r="987">
      <c r="A987" s="4" t="s">
        <v>828</v>
      </c>
    </row>
    <row r="988">
      <c r="A988" s="4" t="s">
        <v>828</v>
      </c>
    </row>
    <row r="989">
      <c r="A989" s="4" t="s">
        <v>828</v>
      </c>
    </row>
    <row r="990">
      <c r="A990" s="4" t="s">
        <v>828</v>
      </c>
    </row>
    <row r="991">
      <c r="A991" s="4" t="s">
        <v>828</v>
      </c>
    </row>
    <row r="992">
      <c r="A992" s="4" t="s">
        <v>828</v>
      </c>
    </row>
    <row r="993">
      <c r="A993" s="4" t="s">
        <v>828</v>
      </c>
    </row>
    <row r="994">
      <c r="A994" s="4" t="s">
        <v>828</v>
      </c>
    </row>
    <row r="995">
      <c r="A995" s="4" t="s">
        <v>828</v>
      </c>
    </row>
    <row r="996">
      <c r="A996" s="4" t="s">
        <v>828</v>
      </c>
    </row>
    <row r="997">
      <c r="A997" s="4" t="s">
        <v>828</v>
      </c>
    </row>
    <row r="998">
      <c r="A998" s="4" t="s">
        <v>828</v>
      </c>
    </row>
    <row r="999">
      <c r="A999" s="4" t="s">
        <v>828</v>
      </c>
    </row>
    <row r="1000">
      <c r="A1000" s="4" t="s">
        <v>828</v>
      </c>
    </row>
    <row r="1001">
      <c r="A1001" s="4" t="s">
        <v>828</v>
      </c>
    </row>
    <row r="1002">
      <c r="A1002" s="4" t="s">
        <v>828</v>
      </c>
    </row>
    <row r="1003">
      <c r="A1003" s="4" t="s">
        <v>828</v>
      </c>
    </row>
    <row r="1004">
      <c r="A1004" s="4" t="s">
        <v>828</v>
      </c>
    </row>
    <row r="1005">
      <c r="A1005" s="4" t="s">
        <v>828</v>
      </c>
    </row>
    <row r="1006">
      <c r="A1006" s="4" t="s">
        <v>828</v>
      </c>
    </row>
    <row r="1007">
      <c r="A1007" s="4" t="s">
        <v>828</v>
      </c>
    </row>
    <row r="1008">
      <c r="A1008" s="4" t="s">
        <v>828</v>
      </c>
    </row>
    <row r="1009">
      <c r="A1009" s="4" t="s">
        <v>828</v>
      </c>
    </row>
    <row r="1010">
      <c r="A1010" s="4" t="s">
        <v>828</v>
      </c>
    </row>
    <row r="1011">
      <c r="A1011" s="4" t="s">
        <v>828</v>
      </c>
    </row>
    <row r="1012">
      <c r="A1012" s="4" t="s">
        <v>828</v>
      </c>
    </row>
    <row r="1013">
      <c r="A1013" s="4" t="s">
        <v>828</v>
      </c>
    </row>
    <row r="1014">
      <c r="A1014" s="4" t="s">
        <v>828</v>
      </c>
    </row>
    <row r="1015">
      <c r="A1015" s="4" t="s">
        <v>828</v>
      </c>
    </row>
    <row r="1016">
      <c r="A1016" s="4" t="s">
        <v>828</v>
      </c>
    </row>
    <row r="1017">
      <c r="A1017" s="4" t="s">
        <v>828</v>
      </c>
    </row>
    <row r="1018">
      <c r="A1018" s="4" t="s">
        <v>828</v>
      </c>
    </row>
    <row r="1019">
      <c r="A1019" s="4" t="s">
        <v>828</v>
      </c>
    </row>
    <row r="1020">
      <c r="A1020" s="4" t="s">
        <v>828</v>
      </c>
    </row>
    <row r="1021">
      <c r="A1021" s="4" t="s">
        <v>828</v>
      </c>
    </row>
    <row r="1022">
      <c r="A1022" s="4" t="s">
        <v>828</v>
      </c>
    </row>
    <row r="1023">
      <c r="A1023" s="4" t="s">
        <v>828</v>
      </c>
    </row>
    <row r="1024">
      <c r="A1024" s="4" t="s">
        <v>828</v>
      </c>
    </row>
    <row r="1025">
      <c r="A1025" s="4" t="s">
        <v>828</v>
      </c>
    </row>
    <row r="1026">
      <c r="A1026" s="4" t="s">
        <v>828</v>
      </c>
    </row>
    <row r="1027">
      <c r="A1027" s="4" t="s">
        <v>828</v>
      </c>
    </row>
    <row r="1028">
      <c r="A1028" s="4" t="s">
        <v>828</v>
      </c>
    </row>
    <row r="1029">
      <c r="A1029" s="4" t="s">
        <v>828</v>
      </c>
    </row>
    <row r="1030">
      <c r="A1030" s="4" t="s">
        <v>828</v>
      </c>
    </row>
    <row r="1031">
      <c r="A1031" s="4" t="s">
        <v>828</v>
      </c>
    </row>
    <row r="1032">
      <c r="A1032" s="4" t="s">
        <v>828</v>
      </c>
    </row>
    <row r="1033">
      <c r="A1033" s="4" t="s">
        <v>828</v>
      </c>
    </row>
    <row r="1034">
      <c r="A1034" s="4" t="s">
        <v>828</v>
      </c>
    </row>
    <row r="1035">
      <c r="A1035" s="4" t="s">
        <v>828</v>
      </c>
    </row>
    <row r="1036">
      <c r="A1036" s="4" t="s">
        <v>828</v>
      </c>
    </row>
    <row r="1037">
      <c r="A1037" s="4" t="s">
        <v>828</v>
      </c>
    </row>
    <row r="1038">
      <c r="A1038" s="4" t="s">
        <v>828</v>
      </c>
    </row>
    <row r="1039">
      <c r="A1039" s="4" t="s">
        <v>828</v>
      </c>
    </row>
    <row r="1040">
      <c r="A1040" s="4" t="s">
        <v>828</v>
      </c>
    </row>
    <row r="1041">
      <c r="A1041" s="4" t="s">
        <v>828</v>
      </c>
    </row>
    <row r="1042">
      <c r="A1042" s="4" t="s">
        <v>828</v>
      </c>
    </row>
    <row r="1043">
      <c r="A1043" s="4" t="s">
        <v>828</v>
      </c>
    </row>
    <row r="1044">
      <c r="A1044" s="4" t="s">
        <v>828</v>
      </c>
    </row>
    <row r="1045">
      <c r="A1045" s="4" t="s">
        <v>828</v>
      </c>
    </row>
    <row r="1046">
      <c r="A1046" s="4" t="s">
        <v>828</v>
      </c>
    </row>
    <row r="1047">
      <c r="A1047" s="4" t="s">
        <v>828</v>
      </c>
    </row>
    <row r="1048">
      <c r="A1048" s="4" t="s">
        <v>828</v>
      </c>
    </row>
    <row r="1049">
      <c r="A1049" s="4" t="s">
        <v>828</v>
      </c>
    </row>
    <row r="1050">
      <c r="A1050" s="4" t="s">
        <v>828</v>
      </c>
    </row>
    <row r="1051">
      <c r="A1051" s="4" t="s">
        <v>828</v>
      </c>
    </row>
    <row r="1052">
      <c r="A1052" s="4" t="s">
        <v>828</v>
      </c>
    </row>
    <row r="1053">
      <c r="A1053" s="4" t="s">
        <v>828</v>
      </c>
    </row>
    <row r="1054">
      <c r="A1054" s="4" t="s">
        <v>828</v>
      </c>
    </row>
    <row r="1055">
      <c r="A1055" s="4" t="s">
        <v>828</v>
      </c>
    </row>
    <row r="1056">
      <c r="A1056" s="4" t="s">
        <v>828</v>
      </c>
    </row>
    <row r="1057">
      <c r="A1057" s="4" t="s">
        <v>828</v>
      </c>
    </row>
    <row r="1058">
      <c r="A1058" s="4" t="s">
        <v>828</v>
      </c>
    </row>
    <row r="1059">
      <c r="A1059" s="4" t="s">
        <v>828</v>
      </c>
    </row>
    <row r="1060">
      <c r="A1060" s="4" t="s">
        <v>828</v>
      </c>
    </row>
    <row r="1061">
      <c r="A1061" s="4" t="s">
        <v>828</v>
      </c>
    </row>
    <row r="1062">
      <c r="A1062" s="4" t="s">
        <v>828</v>
      </c>
    </row>
    <row r="1063">
      <c r="A1063" s="4" t="s">
        <v>828</v>
      </c>
    </row>
    <row r="1064">
      <c r="A1064" s="4" t="s">
        <v>828</v>
      </c>
    </row>
    <row r="1065">
      <c r="A1065" s="4" t="s">
        <v>828</v>
      </c>
    </row>
    <row r="1066">
      <c r="A1066" s="4" t="s">
        <v>828</v>
      </c>
    </row>
    <row r="1067">
      <c r="A1067" s="4" t="s">
        <v>828</v>
      </c>
    </row>
    <row r="1068">
      <c r="A1068" s="4" t="s">
        <v>828</v>
      </c>
    </row>
    <row r="1069">
      <c r="A1069" s="4" t="s">
        <v>828</v>
      </c>
    </row>
    <row r="1070">
      <c r="A1070" s="4" t="s">
        <v>828</v>
      </c>
    </row>
    <row r="1071">
      <c r="A1071" s="4" t="s">
        <v>828</v>
      </c>
    </row>
    <row r="1072">
      <c r="A1072" s="4" t="s">
        <v>828</v>
      </c>
    </row>
    <row r="1073">
      <c r="A1073" s="4" t="s">
        <v>828</v>
      </c>
    </row>
    <row r="1074">
      <c r="A1074" s="4" t="s">
        <v>828</v>
      </c>
    </row>
    <row r="1075">
      <c r="A1075" s="4" t="s">
        <v>828</v>
      </c>
    </row>
    <row r="1076">
      <c r="A1076" s="4" t="s">
        <v>828</v>
      </c>
    </row>
    <row r="1077">
      <c r="A1077" s="4" t="s">
        <v>828</v>
      </c>
    </row>
    <row r="1078">
      <c r="A1078" s="4" t="s">
        <v>828</v>
      </c>
    </row>
    <row r="1079">
      <c r="A1079" s="4" t="s">
        <v>828</v>
      </c>
    </row>
    <row r="1080">
      <c r="A1080" s="4" t="s">
        <v>828</v>
      </c>
    </row>
    <row r="1081">
      <c r="A1081" s="4" t="s">
        <v>828</v>
      </c>
    </row>
    <row r="1082">
      <c r="A1082" s="4" t="s">
        <v>828</v>
      </c>
    </row>
    <row r="1083">
      <c r="A1083" s="4" t="s">
        <v>828</v>
      </c>
    </row>
    <row r="1084">
      <c r="A1084" s="4" t="s">
        <v>828</v>
      </c>
    </row>
    <row r="1085">
      <c r="A1085" s="4" t="s">
        <v>828</v>
      </c>
    </row>
    <row r="1086">
      <c r="A1086" s="4" t="s">
        <v>828</v>
      </c>
    </row>
    <row r="1087">
      <c r="A1087" s="4" t="s">
        <v>828</v>
      </c>
    </row>
    <row r="1088">
      <c r="A1088" s="4" t="s">
        <v>828</v>
      </c>
    </row>
    <row r="1089">
      <c r="A1089" s="4" t="s">
        <v>828</v>
      </c>
    </row>
    <row r="1090">
      <c r="A1090" s="4" t="s">
        <v>828</v>
      </c>
    </row>
    <row r="1091">
      <c r="A1091" s="4" t="s">
        <v>828</v>
      </c>
    </row>
    <row r="1092">
      <c r="A1092" s="4" t="s">
        <v>828</v>
      </c>
    </row>
    <row r="1093">
      <c r="A1093" s="4" t="s">
        <v>828</v>
      </c>
    </row>
    <row r="1094">
      <c r="A1094" s="4" t="s">
        <v>828</v>
      </c>
    </row>
    <row r="1095">
      <c r="A1095" s="4" t="s">
        <v>828</v>
      </c>
    </row>
    <row r="1096">
      <c r="A1096" s="4" t="s">
        <v>828</v>
      </c>
    </row>
    <row r="1097">
      <c r="A1097" s="4" t="s">
        <v>828</v>
      </c>
    </row>
    <row r="1098">
      <c r="A1098" s="4" t="s">
        <v>828</v>
      </c>
    </row>
    <row r="1099">
      <c r="A1099" s="4" t="s">
        <v>828</v>
      </c>
    </row>
    <row r="1100">
      <c r="A1100" s="4" t="s">
        <v>828</v>
      </c>
    </row>
    <row r="1101">
      <c r="A1101" s="4" t="s">
        <v>828</v>
      </c>
    </row>
    <row r="1102">
      <c r="A1102" s="4" t="s">
        <v>828</v>
      </c>
    </row>
    <row r="1103">
      <c r="A1103" s="4" t="s">
        <v>828</v>
      </c>
    </row>
    <row r="1104">
      <c r="A1104" s="4" t="s">
        <v>828</v>
      </c>
    </row>
    <row r="1105">
      <c r="A1105" s="4" t="s">
        <v>828</v>
      </c>
    </row>
    <row r="1106">
      <c r="A1106" s="4" t="s">
        <v>828</v>
      </c>
    </row>
    <row r="1107">
      <c r="A1107" s="4" t="s">
        <v>828</v>
      </c>
    </row>
    <row r="1108">
      <c r="A1108" s="4" t="s">
        <v>828</v>
      </c>
    </row>
    <row r="1109">
      <c r="A1109" s="4" t="s">
        <v>828</v>
      </c>
    </row>
    <row r="1110">
      <c r="A1110" s="4" t="s">
        <v>828</v>
      </c>
    </row>
    <row r="1111">
      <c r="A1111" s="4" t="s">
        <v>828</v>
      </c>
    </row>
    <row r="1112">
      <c r="A1112" s="4" t="s">
        <v>828</v>
      </c>
    </row>
    <row r="1113">
      <c r="A1113" s="4" t="s">
        <v>828</v>
      </c>
    </row>
    <row r="1114">
      <c r="A1114" s="4" t="s">
        <v>828</v>
      </c>
    </row>
    <row r="1115">
      <c r="A1115" s="4" t="s">
        <v>828</v>
      </c>
    </row>
    <row r="1116">
      <c r="A1116" s="4" t="s">
        <v>828</v>
      </c>
    </row>
    <row r="1117">
      <c r="A1117" s="4" t="s">
        <v>828</v>
      </c>
    </row>
    <row r="1118">
      <c r="A1118" s="4" t="s">
        <v>828</v>
      </c>
    </row>
    <row r="1119">
      <c r="A1119" s="4" t="s">
        <v>828</v>
      </c>
    </row>
    <row r="1120">
      <c r="A1120" s="4" t="s">
        <v>828</v>
      </c>
    </row>
    <row r="1121">
      <c r="A1121" s="4" t="s">
        <v>828</v>
      </c>
    </row>
    <row r="1122">
      <c r="A1122" s="4" t="s">
        <v>828</v>
      </c>
    </row>
    <row r="1123">
      <c r="A1123" s="4" t="s">
        <v>828</v>
      </c>
    </row>
    <row r="1124">
      <c r="A1124" s="4" t="s">
        <v>828</v>
      </c>
    </row>
    <row r="1125">
      <c r="A1125" s="4" t="s">
        <v>828</v>
      </c>
    </row>
    <row r="1126">
      <c r="A1126" s="4" t="s">
        <v>828</v>
      </c>
    </row>
    <row r="1127">
      <c r="A1127" s="4" t="s">
        <v>828</v>
      </c>
    </row>
    <row r="1128">
      <c r="A1128" s="4" t="s">
        <v>828</v>
      </c>
    </row>
    <row r="1129">
      <c r="A1129" s="4" t="s">
        <v>828</v>
      </c>
    </row>
    <row r="1130">
      <c r="A1130" s="4" t="s">
        <v>828</v>
      </c>
    </row>
    <row r="1131">
      <c r="A1131" s="4" t="s">
        <v>828</v>
      </c>
    </row>
    <row r="1132">
      <c r="A1132" s="4" t="s">
        <v>828</v>
      </c>
    </row>
    <row r="1133">
      <c r="A1133" s="4" t="s">
        <v>828</v>
      </c>
    </row>
    <row r="1134">
      <c r="A1134" s="4" t="s">
        <v>828</v>
      </c>
    </row>
    <row r="1135">
      <c r="A1135" s="4" t="s">
        <v>828</v>
      </c>
    </row>
    <row r="1136">
      <c r="A1136" s="4" t="s">
        <v>828</v>
      </c>
    </row>
    <row r="1137">
      <c r="A1137" s="4" t="s">
        <v>828</v>
      </c>
    </row>
    <row r="1138">
      <c r="A1138" s="4" t="s">
        <v>828</v>
      </c>
    </row>
    <row r="1139">
      <c r="A1139" s="4" t="s">
        <v>828</v>
      </c>
    </row>
    <row r="1140">
      <c r="A1140" s="4" t="s">
        <v>828</v>
      </c>
    </row>
    <row r="1141">
      <c r="A1141" s="4" t="s">
        <v>828</v>
      </c>
    </row>
    <row r="1142">
      <c r="A1142" s="4" t="s">
        <v>828</v>
      </c>
    </row>
    <row r="1143">
      <c r="A1143" s="4" t="s">
        <v>828</v>
      </c>
    </row>
    <row r="1144">
      <c r="A1144" s="4" t="s">
        <v>828</v>
      </c>
    </row>
    <row r="1145">
      <c r="A1145" s="4" t="s">
        <v>828</v>
      </c>
    </row>
    <row r="1146">
      <c r="A1146" s="4" t="s">
        <v>828</v>
      </c>
    </row>
    <row r="1147">
      <c r="A1147" s="4" t="s">
        <v>828</v>
      </c>
    </row>
    <row r="1148">
      <c r="A1148" s="4" t="s">
        <v>828</v>
      </c>
    </row>
    <row r="1149">
      <c r="A1149" s="4" t="s">
        <v>828</v>
      </c>
    </row>
    <row r="1150">
      <c r="A1150" s="4" t="s">
        <v>828</v>
      </c>
    </row>
    <row r="1151">
      <c r="A1151" s="4" t="s">
        <v>828</v>
      </c>
    </row>
    <row r="1152">
      <c r="A1152" s="4" t="s">
        <v>828</v>
      </c>
    </row>
    <row r="1153">
      <c r="A1153" s="4" t="s">
        <v>828</v>
      </c>
    </row>
    <row r="1154">
      <c r="A1154" s="4" t="s">
        <v>828</v>
      </c>
    </row>
    <row r="1155">
      <c r="A1155" s="4" t="s">
        <v>828</v>
      </c>
    </row>
    <row r="1156">
      <c r="A1156" s="4" t="s">
        <v>828</v>
      </c>
    </row>
    <row r="1157">
      <c r="A1157" s="4" t="s">
        <v>828</v>
      </c>
    </row>
    <row r="1158">
      <c r="A1158" s="4" t="s">
        <v>828</v>
      </c>
    </row>
    <row r="1159">
      <c r="A1159" s="4" t="s">
        <v>828</v>
      </c>
    </row>
    <row r="1160">
      <c r="A1160" s="4" t="s">
        <v>828</v>
      </c>
    </row>
    <row r="1161">
      <c r="A1161" s="4" t="s">
        <v>828</v>
      </c>
    </row>
    <row r="1162">
      <c r="A1162" s="4" t="s">
        <v>828</v>
      </c>
    </row>
    <row r="1163">
      <c r="A1163" s="4" t="s">
        <v>828</v>
      </c>
    </row>
    <row r="1164">
      <c r="A1164" s="4" t="s">
        <v>828</v>
      </c>
    </row>
    <row r="1165">
      <c r="A1165" s="4" t="s">
        <v>828</v>
      </c>
    </row>
    <row r="1166">
      <c r="A1166" s="4" t="s">
        <v>828</v>
      </c>
    </row>
    <row r="1167">
      <c r="A1167" s="4" t="s">
        <v>828</v>
      </c>
    </row>
    <row r="1168">
      <c r="A1168" s="4" t="s">
        <v>828</v>
      </c>
    </row>
    <row r="1169">
      <c r="A1169" s="4" t="s">
        <v>828</v>
      </c>
    </row>
    <row r="1170">
      <c r="A1170" s="4" t="s">
        <v>828</v>
      </c>
    </row>
    <row r="1171">
      <c r="A1171" s="4" t="s">
        <v>828</v>
      </c>
    </row>
    <row r="1172">
      <c r="A1172" s="4" t="s">
        <v>828</v>
      </c>
    </row>
    <row r="1173">
      <c r="A1173" s="4" t="s">
        <v>828</v>
      </c>
    </row>
    <row r="1174">
      <c r="A1174" s="4" t="s">
        <v>828</v>
      </c>
    </row>
    <row r="1175">
      <c r="A1175" s="4" t="s">
        <v>828</v>
      </c>
    </row>
    <row r="1176">
      <c r="A1176" s="4" t="s">
        <v>828</v>
      </c>
    </row>
    <row r="1177">
      <c r="A1177" s="4" t="s">
        <v>828</v>
      </c>
    </row>
    <row r="1178">
      <c r="A1178" s="4" t="s">
        <v>828</v>
      </c>
    </row>
    <row r="1179">
      <c r="A1179" s="4" t="s">
        <v>828</v>
      </c>
    </row>
    <row r="1180">
      <c r="A1180" s="4" t="s">
        <v>828</v>
      </c>
    </row>
    <row r="1181">
      <c r="A1181" s="4" t="s">
        <v>828</v>
      </c>
    </row>
    <row r="1182">
      <c r="A1182" s="4" t="s">
        <v>828</v>
      </c>
    </row>
    <row r="1183">
      <c r="A1183" s="4" t="s">
        <v>828</v>
      </c>
    </row>
    <row r="1184">
      <c r="A1184" s="4" t="s">
        <v>828</v>
      </c>
    </row>
    <row r="1185">
      <c r="A1185" s="4" t="s">
        <v>828</v>
      </c>
    </row>
    <row r="1186">
      <c r="A1186" s="4" t="s">
        <v>828</v>
      </c>
    </row>
    <row r="1187">
      <c r="A1187" s="4" t="s">
        <v>828</v>
      </c>
    </row>
    <row r="1188">
      <c r="A1188" s="4" t="s">
        <v>828</v>
      </c>
    </row>
    <row r="1189">
      <c r="A1189" s="4" t="s">
        <v>828</v>
      </c>
    </row>
    <row r="1190">
      <c r="A1190" s="4" t="s">
        <v>828</v>
      </c>
    </row>
    <row r="1191">
      <c r="A1191" s="4" t="s">
        <v>828</v>
      </c>
    </row>
    <row r="1192">
      <c r="A1192" s="4" t="s">
        <v>828</v>
      </c>
    </row>
    <row r="1193">
      <c r="A1193" s="4" t="s">
        <v>828</v>
      </c>
    </row>
    <row r="1194">
      <c r="A1194" s="4" t="s">
        <v>828</v>
      </c>
    </row>
    <row r="1195">
      <c r="A1195" s="4" t="s">
        <v>828</v>
      </c>
    </row>
    <row r="1196">
      <c r="A1196" s="4" t="s">
        <v>828</v>
      </c>
    </row>
    <row r="1197">
      <c r="A1197" s="4" t="s">
        <v>828</v>
      </c>
    </row>
    <row r="1198">
      <c r="A1198" s="4" t="s">
        <v>828</v>
      </c>
    </row>
    <row r="1199">
      <c r="A1199" s="4" t="s">
        <v>828</v>
      </c>
    </row>
    <row r="1200">
      <c r="A1200" s="4" t="s">
        <v>828</v>
      </c>
    </row>
    <row r="1201">
      <c r="A1201" s="4" t="s">
        <v>828</v>
      </c>
    </row>
    <row r="1202">
      <c r="A1202" s="4" t="s">
        <v>828</v>
      </c>
    </row>
    <row r="1203">
      <c r="A1203" s="4" t="s">
        <v>828</v>
      </c>
    </row>
    <row r="1204">
      <c r="A1204" s="4" t="s">
        <v>828</v>
      </c>
    </row>
    <row r="1205">
      <c r="A1205" s="4" t="s">
        <v>828</v>
      </c>
    </row>
    <row r="1206">
      <c r="A1206" s="4" t="s">
        <v>828</v>
      </c>
    </row>
    <row r="1207">
      <c r="A1207" s="4" t="s">
        <v>828</v>
      </c>
    </row>
    <row r="1208">
      <c r="A1208" s="4" t="s">
        <v>828</v>
      </c>
    </row>
    <row r="1209">
      <c r="A1209" s="4" t="s">
        <v>828</v>
      </c>
    </row>
    <row r="1210">
      <c r="A1210" s="4" t="s">
        <v>828</v>
      </c>
    </row>
    <row r="1211">
      <c r="A1211" s="4" t="s">
        <v>828</v>
      </c>
    </row>
    <row r="1212">
      <c r="A1212" s="4" t="s">
        <v>828</v>
      </c>
    </row>
    <row r="1213">
      <c r="A1213" s="4" t="s">
        <v>828</v>
      </c>
    </row>
    <row r="1214">
      <c r="A1214" s="4" t="s">
        <v>828</v>
      </c>
    </row>
    <row r="1215">
      <c r="A1215" s="4" t="s">
        <v>828</v>
      </c>
    </row>
    <row r="1216">
      <c r="A1216" s="4" t="s">
        <v>828</v>
      </c>
    </row>
    <row r="1217">
      <c r="A1217" s="4" t="s">
        <v>828</v>
      </c>
    </row>
    <row r="1218">
      <c r="A1218" s="4" t="s">
        <v>828</v>
      </c>
    </row>
    <row r="1219">
      <c r="A1219" s="4" t="s">
        <v>828</v>
      </c>
    </row>
    <row r="1220">
      <c r="A1220" s="4" t="s">
        <v>828</v>
      </c>
    </row>
    <row r="1221">
      <c r="A1221" s="4" t="s">
        <v>828</v>
      </c>
    </row>
    <row r="1222">
      <c r="A1222" s="4" t="s">
        <v>828</v>
      </c>
    </row>
    <row r="1223">
      <c r="A1223" s="4" t="s">
        <v>828</v>
      </c>
    </row>
    <row r="1224">
      <c r="A1224" s="4" t="s">
        <v>828</v>
      </c>
    </row>
    <row r="1225">
      <c r="A1225" s="4" t="s">
        <v>828</v>
      </c>
    </row>
    <row r="1226">
      <c r="A1226" s="4" t="s">
        <v>828</v>
      </c>
    </row>
    <row r="1227">
      <c r="A1227" s="4" t="s">
        <v>828</v>
      </c>
    </row>
    <row r="1228">
      <c r="A1228" s="4" t="s">
        <v>828</v>
      </c>
    </row>
    <row r="1229">
      <c r="A1229" s="4" t="s">
        <v>828</v>
      </c>
    </row>
    <row r="1230">
      <c r="A1230" s="4" t="s">
        <v>828</v>
      </c>
    </row>
    <row r="1231">
      <c r="A1231" s="4" t="s">
        <v>828</v>
      </c>
    </row>
    <row r="1232">
      <c r="A1232" s="4" t="s">
        <v>828</v>
      </c>
    </row>
    <row r="1233">
      <c r="A1233" s="4" t="s">
        <v>828</v>
      </c>
    </row>
    <row r="1234">
      <c r="A1234" s="4" t="s">
        <v>828</v>
      </c>
    </row>
    <row r="1235">
      <c r="A1235" s="4" t="s">
        <v>828</v>
      </c>
    </row>
    <row r="1236">
      <c r="A1236" s="4" t="s">
        <v>828</v>
      </c>
    </row>
    <row r="1237">
      <c r="A1237" s="4" t="s">
        <v>828</v>
      </c>
    </row>
    <row r="1238">
      <c r="A1238" s="4" t="s">
        <v>828</v>
      </c>
    </row>
    <row r="1239">
      <c r="A1239" s="4" t="s">
        <v>828</v>
      </c>
    </row>
    <row r="1240">
      <c r="A1240" s="4" t="s">
        <v>828</v>
      </c>
    </row>
    <row r="1241">
      <c r="A1241" s="4" t="s">
        <v>828</v>
      </c>
    </row>
    <row r="1242">
      <c r="A1242" s="4" t="s">
        <v>828</v>
      </c>
    </row>
    <row r="1243">
      <c r="A1243" s="4" t="s">
        <v>828</v>
      </c>
    </row>
    <row r="1244">
      <c r="A1244" s="4" t="s">
        <v>828</v>
      </c>
    </row>
    <row r="1245">
      <c r="A1245" s="4" t="s">
        <v>828</v>
      </c>
    </row>
    <row r="1246">
      <c r="A1246" s="4" t="s">
        <v>828</v>
      </c>
    </row>
    <row r="1247">
      <c r="A1247" s="4" t="s">
        <v>828</v>
      </c>
    </row>
    <row r="1248">
      <c r="A1248" s="4" t="s">
        <v>828</v>
      </c>
    </row>
    <row r="1249">
      <c r="A1249" s="4" t="s">
        <v>828</v>
      </c>
    </row>
    <row r="1250">
      <c r="A1250" s="4" t="s">
        <v>828</v>
      </c>
    </row>
    <row r="1251">
      <c r="A1251" s="4" t="s">
        <v>828</v>
      </c>
    </row>
    <row r="1252">
      <c r="A1252" s="4" t="s">
        <v>828</v>
      </c>
    </row>
    <row r="1253">
      <c r="A1253" s="4" t="s">
        <v>828</v>
      </c>
    </row>
    <row r="1254">
      <c r="A1254" s="4" t="s">
        <v>828</v>
      </c>
    </row>
    <row r="1255">
      <c r="A1255" s="4" t="s">
        <v>828</v>
      </c>
    </row>
    <row r="1256">
      <c r="A1256" s="4" t="s">
        <v>828</v>
      </c>
    </row>
    <row r="1257">
      <c r="A1257" s="4" t="s">
        <v>828</v>
      </c>
    </row>
    <row r="1258">
      <c r="A1258" s="4" t="s">
        <v>828</v>
      </c>
    </row>
    <row r="1259">
      <c r="A1259" s="4" t="s">
        <v>828</v>
      </c>
    </row>
    <row r="1260">
      <c r="A1260" s="4" t="s">
        <v>828</v>
      </c>
    </row>
    <row r="1261">
      <c r="A1261" s="4" t="s">
        <v>828</v>
      </c>
    </row>
    <row r="1262">
      <c r="A1262" s="4" t="s">
        <v>828</v>
      </c>
    </row>
    <row r="1263">
      <c r="A1263" s="4" t="s">
        <v>828</v>
      </c>
    </row>
    <row r="1264">
      <c r="A1264" s="4" t="s">
        <v>828</v>
      </c>
    </row>
    <row r="1265">
      <c r="A1265" s="4" t="s">
        <v>828</v>
      </c>
    </row>
    <row r="1266">
      <c r="A1266" s="4" t="s">
        <v>828</v>
      </c>
    </row>
    <row r="1267">
      <c r="A1267" s="4" t="s">
        <v>828</v>
      </c>
    </row>
    <row r="1268">
      <c r="A1268" s="4" t="s">
        <v>828</v>
      </c>
    </row>
    <row r="1269">
      <c r="A1269" s="4" t="s">
        <v>828</v>
      </c>
    </row>
    <row r="1270">
      <c r="A1270" s="4" t="s">
        <v>828</v>
      </c>
    </row>
    <row r="1271">
      <c r="A1271" s="4" t="s">
        <v>828</v>
      </c>
    </row>
    <row r="1272">
      <c r="A1272" s="4" t="s">
        <v>828</v>
      </c>
    </row>
    <row r="1273">
      <c r="A1273" s="4" t="s">
        <v>828</v>
      </c>
    </row>
    <row r="1274">
      <c r="A1274" s="4" t="s">
        <v>828</v>
      </c>
    </row>
    <row r="1275">
      <c r="A1275" s="4" t="s">
        <v>828</v>
      </c>
    </row>
    <row r="1276">
      <c r="A1276" s="4" t="s">
        <v>828</v>
      </c>
    </row>
    <row r="1277">
      <c r="A1277" s="4" t="s">
        <v>828</v>
      </c>
    </row>
    <row r="1278">
      <c r="A1278" s="4" t="s">
        <v>828</v>
      </c>
    </row>
    <row r="1279">
      <c r="A1279" s="4" t="s">
        <v>828</v>
      </c>
    </row>
    <row r="1280">
      <c r="A1280" s="4" t="s">
        <v>828</v>
      </c>
    </row>
    <row r="1281">
      <c r="A1281" s="4" t="s">
        <v>828</v>
      </c>
    </row>
    <row r="1282">
      <c r="A1282" s="4" t="s">
        <v>828</v>
      </c>
    </row>
    <row r="1283">
      <c r="A1283" s="4" t="s">
        <v>828</v>
      </c>
    </row>
    <row r="1284">
      <c r="A1284" s="4" t="s">
        <v>828</v>
      </c>
    </row>
    <row r="1285">
      <c r="A1285" s="4" t="s">
        <v>828</v>
      </c>
    </row>
    <row r="1286">
      <c r="A1286" s="4" t="s">
        <v>828</v>
      </c>
    </row>
    <row r="1287">
      <c r="A1287" s="4" t="s">
        <v>828</v>
      </c>
    </row>
    <row r="1288">
      <c r="A1288" s="4" t="s">
        <v>828</v>
      </c>
    </row>
    <row r="1289">
      <c r="A1289" s="4" t="s">
        <v>828</v>
      </c>
    </row>
    <row r="1290">
      <c r="A1290" s="4" t="s">
        <v>828</v>
      </c>
    </row>
    <row r="1291">
      <c r="A1291" s="4" t="s">
        <v>828</v>
      </c>
    </row>
    <row r="1292">
      <c r="A1292" s="4" t="s">
        <v>828</v>
      </c>
    </row>
    <row r="1293">
      <c r="A1293" s="4" t="s">
        <v>828</v>
      </c>
    </row>
    <row r="1294">
      <c r="A1294" s="4" t="s">
        <v>828</v>
      </c>
    </row>
    <row r="1295">
      <c r="A1295" s="4" t="s">
        <v>828</v>
      </c>
    </row>
    <row r="1296">
      <c r="A1296" s="4" t="s">
        <v>828</v>
      </c>
    </row>
    <row r="1297">
      <c r="A1297" s="4" t="s">
        <v>828</v>
      </c>
    </row>
    <row r="1298">
      <c r="A1298" s="4" t="s">
        <v>828</v>
      </c>
    </row>
    <row r="1299">
      <c r="A1299" s="4" t="s">
        <v>828</v>
      </c>
    </row>
    <row r="1300">
      <c r="A1300" s="4" t="s">
        <v>828</v>
      </c>
    </row>
    <row r="1301">
      <c r="A1301" s="4" t="s">
        <v>828</v>
      </c>
    </row>
    <row r="1302">
      <c r="A1302" s="4" t="s">
        <v>828</v>
      </c>
    </row>
    <row r="1303">
      <c r="A1303" s="4" t="s">
        <v>828</v>
      </c>
    </row>
    <row r="1304">
      <c r="A1304" s="4" t="s">
        <v>828</v>
      </c>
    </row>
    <row r="1305">
      <c r="A1305" s="4" t="s">
        <v>828</v>
      </c>
    </row>
    <row r="1306">
      <c r="A1306" s="4" t="s">
        <v>828</v>
      </c>
    </row>
    <row r="1307">
      <c r="A1307" s="4" t="s">
        <v>828</v>
      </c>
    </row>
    <row r="1308">
      <c r="A1308" s="4" t="s">
        <v>828</v>
      </c>
    </row>
    <row r="1309">
      <c r="A1309" s="4" t="s">
        <v>828</v>
      </c>
    </row>
    <row r="1310">
      <c r="A1310" s="4" t="s">
        <v>828</v>
      </c>
    </row>
    <row r="1311">
      <c r="A1311" s="4" t="s">
        <v>828</v>
      </c>
    </row>
    <row r="1312">
      <c r="A1312" s="4" t="s">
        <v>828</v>
      </c>
    </row>
    <row r="1313">
      <c r="A1313" s="4" t="s">
        <v>828</v>
      </c>
    </row>
    <row r="1314">
      <c r="A1314" s="4" t="s">
        <v>828</v>
      </c>
    </row>
    <row r="1315">
      <c r="A1315" s="4" t="s">
        <v>828</v>
      </c>
    </row>
    <row r="1316">
      <c r="A1316" s="4" t="s">
        <v>828</v>
      </c>
    </row>
    <row r="1317">
      <c r="A1317" s="4" t="s">
        <v>828</v>
      </c>
    </row>
    <row r="1318">
      <c r="A1318" s="4" t="s">
        <v>828</v>
      </c>
    </row>
    <row r="1319">
      <c r="A1319" s="4" t="s">
        <v>828</v>
      </c>
    </row>
    <row r="1320">
      <c r="A1320" s="4" t="s">
        <v>828</v>
      </c>
    </row>
    <row r="1321">
      <c r="A1321" s="4" t="s">
        <v>828</v>
      </c>
    </row>
    <row r="1322">
      <c r="A1322" s="4" t="s">
        <v>828</v>
      </c>
    </row>
    <row r="1323">
      <c r="A1323" s="4" t="s">
        <v>828</v>
      </c>
    </row>
    <row r="1324">
      <c r="A1324" s="4" t="s">
        <v>828</v>
      </c>
    </row>
    <row r="1325">
      <c r="A1325" s="4" t="s">
        <v>828</v>
      </c>
    </row>
    <row r="1326">
      <c r="A1326" s="4" t="s">
        <v>828</v>
      </c>
    </row>
    <row r="1327">
      <c r="A1327" s="4" t="s">
        <v>828</v>
      </c>
    </row>
    <row r="1328">
      <c r="A1328" s="4" t="s">
        <v>828</v>
      </c>
    </row>
    <row r="1329">
      <c r="A1329" s="4" t="s">
        <v>828</v>
      </c>
    </row>
    <row r="1330">
      <c r="A1330" s="4" t="s">
        <v>828</v>
      </c>
    </row>
    <row r="1331">
      <c r="A1331" s="4" t="s">
        <v>828</v>
      </c>
    </row>
    <row r="1332">
      <c r="A1332" s="4" t="s">
        <v>828</v>
      </c>
    </row>
    <row r="1333">
      <c r="A1333" s="4" t="s">
        <v>828</v>
      </c>
    </row>
    <row r="1334">
      <c r="A1334" s="4" t="s">
        <v>828</v>
      </c>
    </row>
    <row r="1335">
      <c r="A1335" s="4" t="s">
        <v>828</v>
      </c>
    </row>
    <row r="1336">
      <c r="A1336" s="4" t="s">
        <v>828</v>
      </c>
    </row>
    <row r="1337">
      <c r="A1337" s="4" t="s">
        <v>828</v>
      </c>
    </row>
    <row r="1338">
      <c r="A1338" s="4" t="s">
        <v>828</v>
      </c>
    </row>
    <row r="1339">
      <c r="A1339" s="4" t="s">
        <v>828</v>
      </c>
    </row>
    <row r="1340">
      <c r="A1340" s="4" t="s">
        <v>828</v>
      </c>
    </row>
    <row r="1341">
      <c r="A1341" s="4" t="s">
        <v>828</v>
      </c>
    </row>
    <row r="1342">
      <c r="A1342" s="4" t="s">
        <v>828</v>
      </c>
    </row>
    <row r="1343">
      <c r="A1343" s="4" t="s">
        <v>828</v>
      </c>
    </row>
    <row r="1344">
      <c r="A1344" s="4" t="s">
        <v>828</v>
      </c>
    </row>
    <row r="1345">
      <c r="A1345" s="4" t="s">
        <v>828</v>
      </c>
    </row>
    <row r="1346">
      <c r="A1346" s="4" t="s">
        <v>828</v>
      </c>
    </row>
    <row r="1347">
      <c r="A1347" s="4" t="s">
        <v>828</v>
      </c>
    </row>
    <row r="1348">
      <c r="A1348" s="4" t="s">
        <v>828</v>
      </c>
    </row>
    <row r="1349">
      <c r="A1349" s="4" t="s">
        <v>828</v>
      </c>
    </row>
    <row r="1350">
      <c r="A1350" s="4" t="s">
        <v>828</v>
      </c>
    </row>
    <row r="1351">
      <c r="A1351" s="4" t="s">
        <v>828</v>
      </c>
    </row>
    <row r="1352">
      <c r="A1352" s="4" t="s">
        <v>828</v>
      </c>
    </row>
    <row r="1353">
      <c r="A1353" s="4" t="s">
        <v>828</v>
      </c>
    </row>
    <row r="1354">
      <c r="A1354" s="4" t="s">
        <v>828</v>
      </c>
    </row>
    <row r="1355">
      <c r="A1355" s="4" t="s">
        <v>828</v>
      </c>
    </row>
    <row r="1356">
      <c r="A1356" s="4" t="s">
        <v>828</v>
      </c>
    </row>
    <row r="1357">
      <c r="A1357" s="4" t="s">
        <v>828</v>
      </c>
    </row>
    <row r="1358">
      <c r="A1358" s="4" t="s">
        <v>828</v>
      </c>
    </row>
    <row r="1359">
      <c r="A1359" s="4" t="s">
        <v>828</v>
      </c>
    </row>
    <row r="1360">
      <c r="A1360" s="4" t="s">
        <v>828</v>
      </c>
    </row>
    <row r="1361">
      <c r="A1361" s="4" t="s">
        <v>828</v>
      </c>
    </row>
    <row r="1362">
      <c r="A1362" s="4" t="s">
        <v>828</v>
      </c>
    </row>
    <row r="1363">
      <c r="A1363" s="4" t="s">
        <v>828</v>
      </c>
    </row>
    <row r="1364">
      <c r="A1364" s="4" t="s">
        <v>828</v>
      </c>
    </row>
    <row r="1365">
      <c r="A1365" s="4" t="s">
        <v>828</v>
      </c>
    </row>
    <row r="1366">
      <c r="A1366" s="4" t="s">
        <v>828</v>
      </c>
    </row>
    <row r="1367">
      <c r="A1367" s="4" t="s">
        <v>828</v>
      </c>
    </row>
    <row r="1368">
      <c r="A1368" s="4" t="s">
        <v>828</v>
      </c>
    </row>
    <row r="1369">
      <c r="A1369" s="4" t="s">
        <v>828</v>
      </c>
    </row>
    <row r="1370">
      <c r="A1370" s="4" t="s">
        <v>828</v>
      </c>
    </row>
    <row r="1371">
      <c r="A1371" s="4" t="s">
        <v>828</v>
      </c>
    </row>
    <row r="1372">
      <c r="A1372" s="4" t="s">
        <v>828</v>
      </c>
    </row>
    <row r="1373">
      <c r="A1373" s="4" t="s">
        <v>828</v>
      </c>
    </row>
    <row r="1374">
      <c r="A1374" s="4" t="s">
        <v>828</v>
      </c>
    </row>
    <row r="1375">
      <c r="A1375" s="4" t="s">
        <v>828</v>
      </c>
    </row>
    <row r="1376">
      <c r="A1376" s="4" t="s">
        <v>828</v>
      </c>
    </row>
    <row r="1377">
      <c r="A1377" s="4" t="s">
        <v>828</v>
      </c>
    </row>
    <row r="1378">
      <c r="A1378" s="4" t="s">
        <v>828</v>
      </c>
    </row>
    <row r="1379">
      <c r="A1379" s="4" t="s">
        <v>828</v>
      </c>
    </row>
    <row r="1380">
      <c r="A1380" s="4" t="s">
        <v>828</v>
      </c>
    </row>
    <row r="1381">
      <c r="A1381" s="4" t="s">
        <v>828</v>
      </c>
    </row>
    <row r="1382">
      <c r="A1382" s="4" t="s">
        <v>828</v>
      </c>
    </row>
    <row r="1383">
      <c r="A1383" s="4" t="s">
        <v>828</v>
      </c>
    </row>
    <row r="1384">
      <c r="A1384" s="4" t="s">
        <v>828</v>
      </c>
    </row>
    <row r="1385">
      <c r="A1385" s="4" t="s">
        <v>828</v>
      </c>
    </row>
    <row r="1386">
      <c r="A1386" s="4" t="s">
        <v>828</v>
      </c>
    </row>
    <row r="1387">
      <c r="A1387" s="4" t="s">
        <v>828</v>
      </c>
    </row>
    <row r="1388">
      <c r="A1388" s="4" t="s">
        <v>828</v>
      </c>
    </row>
    <row r="1389">
      <c r="A1389" s="4" t="s">
        <v>828</v>
      </c>
    </row>
    <row r="1390">
      <c r="A1390" s="4" t="s">
        <v>828</v>
      </c>
    </row>
    <row r="1391">
      <c r="A1391" s="4" t="s">
        <v>828</v>
      </c>
    </row>
    <row r="1392">
      <c r="A1392" s="4" t="s">
        <v>828</v>
      </c>
    </row>
    <row r="1393">
      <c r="A1393" s="4" t="s">
        <v>828</v>
      </c>
    </row>
    <row r="1394">
      <c r="A1394" s="4" t="s">
        <v>828</v>
      </c>
    </row>
    <row r="1395">
      <c r="A1395" s="4" t="s">
        <v>828</v>
      </c>
    </row>
    <row r="1396">
      <c r="A1396" s="4" t="s">
        <v>828</v>
      </c>
    </row>
    <row r="1397">
      <c r="A1397" s="4" t="s">
        <v>828</v>
      </c>
    </row>
    <row r="1398">
      <c r="A1398" s="4" t="s">
        <v>828</v>
      </c>
    </row>
    <row r="1399">
      <c r="A1399" s="4" t="s">
        <v>828</v>
      </c>
    </row>
    <row r="1400">
      <c r="A1400" s="4" t="s">
        <v>828</v>
      </c>
    </row>
    <row r="1401">
      <c r="A1401" s="4" t="s">
        <v>828</v>
      </c>
    </row>
    <row r="1402">
      <c r="A1402" s="4" t="s">
        <v>828</v>
      </c>
    </row>
    <row r="1403">
      <c r="A1403" s="4" t="s">
        <v>828</v>
      </c>
    </row>
    <row r="1404">
      <c r="A1404" s="4" t="s">
        <v>828</v>
      </c>
    </row>
    <row r="1405">
      <c r="A1405" s="4" t="s">
        <v>828</v>
      </c>
    </row>
    <row r="1406">
      <c r="A1406" s="4" t="s">
        <v>828</v>
      </c>
    </row>
    <row r="1407">
      <c r="A1407" s="4" t="s">
        <v>828</v>
      </c>
    </row>
    <row r="1408">
      <c r="A1408" s="4" t="s">
        <v>828</v>
      </c>
    </row>
    <row r="1409">
      <c r="A1409" s="4" t="s">
        <v>828</v>
      </c>
    </row>
    <row r="1410">
      <c r="A1410" s="4" t="s">
        <v>828</v>
      </c>
    </row>
    <row r="1411">
      <c r="A1411" s="4" t="s">
        <v>828</v>
      </c>
    </row>
    <row r="1412">
      <c r="A1412" s="4" t="s">
        <v>828</v>
      </c>
    </row>
    <row r="1413">
      <c r="A1413" s="4" t="s">
        <v>828</v>
      </c>
    </row>
    <row r="1414">
      <c r="A1414" s="4" t="s">
        <v>828</v>
      </c>
    </row>
    <row r="1415">
      <c r="A1415" s="4" t="s">
        <v>828</v>
      </c>
    </row>
    <row r="1416">
      <c r="A1416" s="4" t="s">
        <v>828</v>
      </c>
    </row>
    <row r="1417">
      <c r="A1417" s="4" t="s">
        <v>828</v>
      </c>
    </row>
    <row r="1418">
      <c r="A1418" s="4" t="s">
        <v>828</v>
      </c>
    </row>
    <row r="1419">
      <c r="A1419" s="4" t="s">
        <v>828</v>
      </c>
    </row>
    <row r="1420">
      <c r="A1420" s="4" t="s">
        <v>828</v>
      </c>
    </row>
    <row r="1421">
      <c r="A1421" s="4" t="s">
        <v>828</v>
      </c>
    </row>
    <row r="1422">
      <c r="A1422" s="4" t="s">
        <v>828</v>
      </c>
    </row>
    <row r="1423">
      <c r="A1423" s="4" t="s">
        <v>828</v>
      </c>
    </row>
    <row r="1424">
      <c r="A1424" s="4" t="s">
        <v>828</v>
      </c>
    </row>
    <row r="1425">
      <c r="A1425" s="4" t="s">
        <v>828</v>
      </c>
    </row>
    <row r="1426">
      <c r="A1426" s="4" t="s">
        <v>828</v>
      </c>
    </row>
    <row r="1427">
      <c r="A1427" s="4" t="s">
        <v>828</v>
      </c>
    </row>
    <row r="1428">
      <c r="A1428" s="4" t="s">
        <v>828</v>
      </c>
    </row>
    <row r="1429">
      <c r="A1429" s="4" t="s">
        <v>828</v>
      </c>
    </row>
    <row r="1430">
      <c r="A1430" s="4" t="s">
        <v>828</v>
      </c>
    </row>
    <row r="1431">
      <c r="A1431" s="4" t="s">
        <v>828</v>
      </c>
    </row>
    <row r="1432">
      <c r="A1432" s="4" t="s">
        <v>828</v>
      </c>
    </row>
    <row r="1433">
      <c r="A1433" s="4" t="s">
        <v>828</v>
      </c>
    </row>
    <row r="1434">
      <c r="A1434" s="4" t="s">
        <v>828</v>
      </c>
    </row>
    <row r="1435">
      <c r="A1435" s="4" t="s">
        <v>828</v>
      </c>
    </row>
    <row r="1436">
      <c r="A1436" s="4" t="s">
        <v>828</v>
      </c>
    </row>
    <row r="1437">
      <c r="A1437" s="4" t="s">
        <v>828</v>
      </c>
    </row>
    <row r="1438">
      <c r="A1438" s="4" t="s">
        <v>828</v>
      </c>
    </row>
    <row r="1439">
      <c r="A1439" s="4" t="s">
        <v>828</v>
      </c>
    </row>
    <row r="1440">
      <c r="A1440" s="4" t="s">
        <v>828</v>
      </c>
    </row>
    <row r="1441">
      <c r="A1441" s="4" t="s">
        <v>828</v>
      </c>
    </row>
    <row r="1442">
      <c r="A1442" s="4" t="s">
        <v>828</v>
      </c>
    </row>
    <row r="1443">
      <c r="A1443" s="4" t="s">
        <v>828</v>
      </c>
    </row>
    <row r="1444">
      <c r="A1444" s="4" t="s">
        <v>828</v>
      </c>
    </row>
    <row r="1445">
      <c r="A1445" s="4" t="s">
        <v>828</v>
      </c>
    </row>
    <row r="1446">
      <c r="A1446" s="4" t="s">
        <v>828</v>
      </c>
    </row>
    <row r="1447">
      <c r="A1447" s="4" t="s">
        <v>828</v>
      </c>
    </row>
    <row r="1448">
      <c r="A1448" s="4" t="s">
        <v>828</v>
      </c>
    </row>
    <row r="1449">
      <c r="A1449" s="4" t="s">
        <v>828</v>
      </c>
    </row>
    <row r="1450">
      <c r="A1450" s="4" t="s">
        <v>828</v>
      </c>
    </row>
    <row r="1451">
      <c r="A1451" s="4" t="s">
        <v>828</v>
      </c>
    </row>
    <row r="1452">
      <c r="A1452" s="4" t="s">
        <v>828</v>
      </c>
    </row>
    <row r="1453">
      <c r="A1453" s="4" t="s">
        <v>828</v>
      </c>
    </row>
    <row r="1454">
      <c r="A1454" s="4" t="s">
        <v>828</v>
      </c>
    </row>
    <row r="1455">
      <c r="A1455" s="4" t="s">
        <v>828</v>
      </c>
    </row>
    <row r="1456">
      <c r="A1456" s="4" t="s">
        <v>828</v>
      </c>
    </row>
    <row r="1457">
      <c r="A1457" s="4" t="s">
        <v>828</v>
      </c>
    </row>
    <row r="1458">
      <c r="A1458" s="4" t="s">
        <v>828</v>
      </c>
    </row>
    <row r="1459">
      <c r="A1459" s="4" t="s">
        <v>828</v>
      </c>
    </row>
    <row r="1460">
      <c r="A1460" s="4" t="s">
        <v>828</v>
      </c>
    </row>
    <row r="1461">
      <c r="A1461" s="4" t="s">
        <v>828</v>
      </c>
    </row>
    <row r="1462">
      <c r="A1462" s="4" t="s">
        <v>828</v>
      </c>
    </row>
    <row r="1463">
      <c r="A1463" s="4" t="s">
        <v>828</v>
      </c>
    </row>
    <row r="1464">
      <c r="A1464" s="4" t="s">
        <v>828</v>
      </c>
    </row>
    <row r="1465">
      <c r="A1465" s="4" t="s">
        <v>828</v>
      </c>
    </row>
    <row r="1466">
      <c r="A1466" s="4" t="s">
        <v>828</v>
      </c>
    </row>
    <row r="1467">
      <c r="A1467" s="4" t="s">
        <v>828</v>
      </c>
    </row>
    <row r="1468">
      <c r="A1468" s="4" t="s">
        <v>828</v>
      </c>
    </row>
    <row r="1469">
      <c r="A1469" s="4" t="s">
        <v>828</v>
      </c>
    </row>
    <row r="1470">
      <c r="A1470" s="4" t="s">
        <v>828</v>
      </c>
    </row>
    <row r="1471">
      <c r="A1471" s="4" t="s">
        <v>828</v>
      </c>
    </row>
    <row r="1472">
      <c r="A1472" s="4" t="s">
        <v>828</v>
      </c>
    </row>
    <row r="1473">
      <c r="A1473" s="4" t="s">
        <v>828</v>
      </c>
    </row>
    <row r="1474">
      <c r="A1474" s="4" t="s">
        <v>828</v>
      </c>
    </row>
    <row r="1475">
      <c r="A1475" s="4" t="s">
        <v>828</v>
      </c>
    </row>
    <row r="1476">
      <c r="A1476" s="4" t="s">
        <v>828</v>
      </c>
    </row>
    <row r="1477">
      <c r="A1477" s="4" t="s">
        <v>828</v>
      </c>
    </row>
    <row r="1478">
      <c r="A1478" s="4" t="s">
        <v>828</v>
      </c>
    </row>
    <row r="1479">
      <c r="A1479" s="4" t="s">
        <v>828</v>
      </c>
    </row>
    <row r="1480">
      <c r="A1480" s="4" t="s">
        <v>828</v>
      </c>
    </row>
    <row r="1481">
      <c r="A1481" s="4" t="s">
        <v>828</v>
      </c>
    </row>
    <row r="1482">
      <c r="A1482" s="4" t="s">
        <v>828</v>
      </c>
    </row>
    <row r="1483">
      <c r="A1483" s="4" t="s">
        <v>828</v>
      </c>
    </row>
    <row r="1484">
      <c r="A1484" s="4" t="s">
        <v>828</v>
      </c>
    </row>
    <row r="1485">
      <c r="A1485" s="4" t="s">
        <v>828</v>
      </c>
    </row>
    <row r="1486">
      <c r="A1486" s="4" t="s">
        <v>828</v>
      </c>
    </row>
    <row r="1487">
      <c r="A1487" s="4" t="s">
        <v>828</v>
      </c>
    </row>
    <row r="1488">
      <c r="A1488" s="4" t="s">
        <v>828</v>
      </c>
    </row>
    <row r="1489">
      <c r="A1489" s="4" t="s">
        <v>828</v>
      </c>
    </row>
    <row r="1490">
      <c r="A1490" s="4" t="s">
        <v>828</v>
      </c>
    </row>
    <row r="1491">
      <c r="A1491" s="4" t="s">
        <v>828</v>
      </c>
    </row>
    <row r="1492">
      <c r="A1492" s="4" t="s">
        <v>828</v>
      </c>
    </row>
    <row r="1493">
      <c r="A1493" s="4" t="s">
        <v>828</v>
      </c>
    </row>
    <row r="1494">
      <c r="A1494" s="4" t="s">
        <v>828</v>
      </c>
    </row>
    <row r="1495">
      <c r="A1495" s="4" t="s">
        <v>828</v>
      </c>
    </row>
    <row r="1496">
      <c r="A1496" s="4" t="s">
        <v>828</v>
      </c>
    </row>
    <row r="1497">
      <c r="A1497" s="4" t="s">
        <v>828</v>
      </c>
    </row>
    <row r="1498">
      <c r="A1498" s="4" t="s">
        <v>828</v>
      </c>
    </row>
    <row r="1499">
      <c r="A1499" s="4" t="s">
        <v>828</v>
      </c>
    </row>
    <row r="1500">
      <c r="A1500" s="4" t="s">
        <v>828</v>
      </c>
    </row>
    <row r="1501">
      <c r="A1501" s="4" t="s">
        <v>828</v>
      </c>
    </row>
    <row r="1502">
      <c r="A1502" s="4" t="s">
        <v>828</v>
      </c>
    </row>
    <row r="1503">
      <c r="A1503" s="4" t="s">
        <v>828</v>
      </c>
    </row>
    <row r="1504">
      <c r="A1504" s="4" t="s">
        <v>828</v>
      </c>
    </row>
    <row r="1505">
      <c r="A1505" s="4" t="s">
        <v>828</v>
      </c>
    </row>
    <row r="1506">
      <c r="A1506" s="4" t="s">
        <v>828</v>
      </c>
    </row>
    <row r="1507">
      <c r="A1507" s="4" t="s">
        <v>828</v>
      </c>
    </row>
    <row r="1508">
      <c r="A1508" s="4" t="s">
        <v>828</v>
      </c>
    </row>
    <row r="1509">
      <c r="A1509" s="4" t="s">
        <v>828</v>
      </c>
    </row>
    <row r="1510">
      <c r="A1510" s="4" t="s">
        <v>828</v>
      </c>
    </row>
    <row r="1511">
      <c r="A1511" s="4" t="s">
        <v>828</v>
      </c>
    </row>
    <row r="1512">
      <c r="A1512" s="4" t="s">
        <v>828</v>
      </c>
    </row>
    <row r="1513">
      <c r="A1513" s="4" t="s">
        <v>828</v>
      </c>
    </row>
    <row r="1514">
      <c r="A1514" s="4" t="s">
        <v>828</v>
      </c>
    </row>
    <row r="1515">
      <c r="A1515" s="4" t="s">
        <v>828</v>
      </c>
    </row>
    <row r="1516">
      <c r="A1516" s="4" t="s">
        <v>828</v>
      </c>
    </row>
    <row r="1517">
      <c r="A1517" s="4" t="s">
        <v>828</v>
      </c>
    </row>
    <row r="1518">
      <c r="A1518" s="4" t="s">
        <v>828</v>
      </c>
    </row>
    <row r="1519">
      <c r="A1519" s="4" t="s">
        <v>828</v>
      </c>
    </row>
    <row r="1520">
      <c r="A1520" s="4" t="s">
        <v>828</v>
      </c>
    </row>
    <row r="1521">
      <c r="A1521" s="4" t="s">
        <v>828</v>
      </c>
    </row>
    <row r="1522">
      <c r="A1522" s="4" t="s">
        <v>828</v>
      </c>
    </row>
    <row r="1523">
      <c r="A1523" s="4" t="s">
        <v>828</v>
      </c>
    </row>
    <row r="1524">
      <c r="A1524" s="4" t="s">
        <v>828</v>
      </c>
    </row>
    <row r="1525">
      <c r="A1525" s="4" t="s">
        <v>828</v>
      </c>
    </row>
    <row r="1526">
      <c r="A1526" s="4" t="s">
        <v>828</v>
      </c>
    </row>
    <row r="1527">
      <c r="A1527" s="4" t="s">
        <v>828</v>
      </c>
    </row>
    <row r="1528">
      <c r="A1528" s="4" t="s">
        <v>828</v>
      </c>
    </row>
    <row r="1529">
      <c r="A1529" s="4" t="s">
        <v>828</v>
      </c>
    </row>
    <row r="1530">
      <c r="A1530" s="4" t="s">
        <v>828</v>
      </c>
    </row>
    <row r="1531">
      <c r="A1531" s="4" t="s">
        <v>828</v>
      </c>
    </row>
    <row r="1532">
      <c r="A1532" s="4" t="s">
        <v>828</v>
      </c>
    </row>
    <row r="1533">
      <c r="A1533" s="4" t="s">
        <v>828</v>
      </c>
    </row>
    <row r="1534">
      <c r="A1534" s="4" t="s">
        <v>828</v>
      </c>
    </row>
    <row r="1535">
      <c r="A1535" s="4" t="s">
        <v>828</v>
      </c>
    </row>
    <row r="1536">
      <c r="A1536" s="4" t="s">
        <v>828</v>
      </c>
    </row>
    <row r="1537">
      <c r="A1537" s="4" t="s">
        <v>828</v>
      </c>
    </row>
    <row r="1538">
      <c r="A1538" s="4" t="s">
        <v>828</v>
      </c>
    </row>
    <row r="1539">
      <c r="A1539" s="4" t="s">
        <v>828</v>
      </c>
    </row>
    <row r="1540">
      <c r="A1540" s="4" t="s">
        <v>828</v>
      </c>
    </row>
    <row r="1541">
      <c r="A1541" s="4" t="s">
        <v>828</v>
      </c>
    </row>
    <row r="1542">
      <c r="A1542" s="4" t="s">
        <v>828</v>
      </c>
    </row>
    <row r="1543">
      <c r="A1543" s="4" t="s">
        <v>828</v>
      </c>
    </row>
    <row r="1544">
      <c r="A1544" s="4" t="s">
        <v>828</v>
      </c>
    </row>
    <row r="1545">
      <c r="A1545" s="4" t="s">
        <v>828</v>
      </c>
    </row>
    <row r="1546">
      <c r="A1546" s="4" t="s">
        <v>828</v>
      </c>
    </row>
    <row r="1547">
      <c r="A1547" s="4" t="s">
        <v>828</v>
      </c>
    </row>
    <row r="1548">
      <c r="A1548" s="4" t="s">
        <v>828</v>
      </c>
    </row>
    <row r="1549">
      <c r="A1549" s="4" t="s">
        <v>828</v>
      </c>
    </row>
    <row r="1550">
      <c r="A1550" s="4" t="s">
        <v>828</v>
      </c>
    </row>
    <row r="1551">
      <c r="A1551" s="4" t="s">
        <v>828</v>
      </c>
    </row>
    <row r="1552">
      <c r="A1552" s="4" t="s">
        <v>828</v>
      </c>
    </row>
    <row r="1553">
      <c r="A1553" s="4" t="s">
        <v>828</v>
      </c>
    </row>
    <row r="1554">
      <c r="A1554" s="4" t="s">
        <v>828</v>
      </c>
    </row>
    <row r="1555">
      <c r="A1555" s="4" t="s">
        <v>828</v>
      </c>
    </row>
    <row r="1556">
      <c r="A1556" s="4" t="s">
        <v>828</v>
      </c>
    </row>
    <row r="1557">
      <c r="A1557" s="4" t="s">
        <v>828</v>
      </c>
    </row>
    <row r="1558">
      <c r="A1558" s="4" t="s">
        <v>828</v>
      </c>
    </row>
    <row r="1559">
      <c r="A1559" s="4" t="s">
        <v>828</v>
      </c>
    </row>
    <row r="1560">
      <c r="A1560" s="4" t="s">
        <v>828</v>
      </c>
    </row>
    <row r="1561">
      <c r="A1561" s="4" t="s">
        <v>828</v>
      </c>
    </row>
    <row r="1562">
      <c r="A1562" s="4" t="s">
        <v>828</v>
      </c>
    </row>
    <row r="1563">
      <c r="A1563" s="4" t="s">
        <v>828</v>
      </c>
    </row>
    <row r="1564">
      <c r="A1564" s="4" t="s">
        <v>828</v>
      </c>
    </row>
    <row r="1565">
      <c r="A1565" s="4" t="s">
        <v>828</v>
      </c>
    </row>
    <row r="1566">
      <c r="A1566" s="4" t="s">
        <v>828</v>
      </c>
    </row>
    <row r="1567">
      <c r="A1567" s="4" t="s">
        <v>828</v>
      </c>
    </row>
    <row r="1568">
      <c r="A1568" s="4" t="s">
        <v>828</v>
      </c>
    </row>
    <row r="1569">
      <c r="A1569" s="4" t="s">
        <v>828</v>
      </c>
    </row>
    <row r="1570">
      <c r="A1570" s="4" t="s">
        <v>828</v>
      </c>
    </row>
    <row r="1571">
      <c r="A1571" s="4" t="s">
        <v>828</v>
      </c>
    </row>
    <row r="1572">
      <c r="A1572" s="4" t="s">
        <v>828</v>
      </c>
    </row>
    <row r="1573">
      <c r="A1573" s="4" t="s">
        <v>828</v>
      </c>
    </row>
    <row r="1574">
      <c r="A1574" s="4" t="s">
        <v>828</v>
      </c>
    </row>
    <row r="1575">
      <c r="A1575" s="4" t="s">
        <v>828</v>
      </c>
    </row>
    <row r="1576">
      <c r="A1576" s="4" t="s">
        <v>828</v>
      </c>
    </row>
    <row r="1577">
      <c r="A1577" s="4" t="s">
        <v>828</v>
      </c>
    </row>
    <row r="1578">
      <c r="A1578" s="4" t="s">
        <v>828</v>
      </c>
    </row>
    <row r="1579">
      <c r="A1579" s="4" t="s">
        <v>828</v>
      </c>
    </row>
    <row r="1580">
      <c r="A1580" s="4" t="s">
        <v>828</v>
      </c>
    </row>
    <row r="1581">
      <c r="A1581" s="4" t="s">
        <v>828</v>
      </c>
    </row>
    <row r="1582">
      <c r="A1582" s="4" t="s">
        <v>828</v>
      </c>
    </row>
    <row r="1583">
      <c r="A1583" s="4" t="s">
        <v>828</v>
      </c>
    </row>
    <row r="1584">
      <c r="A1584" s="4" t="s">
        <v>828</v>
      </c>
    </row>
    <row r="1585">
      <c r="A1585" s="4" t="s">
        <v>828</v>
      </c>
    </row>
    <row r="1586">
      <c r="A1586" s="4" t="s">
        <v>828</v>
      </c>
    </row>
    <row r="1587">
      <c r="A1587" s="4" t="s">
        <v>828</v>
      </c>
    </row>
    <row r="1588">
      <c r="A1588" s="4" t="s">
        <v>828</v>
      </c>
    </row>
    <row r="1589">
      <c r="A1589" s="4" t="s">
        <v>828</v>
      </c>
    </row>
    <row r="1590">
      <c r="A1590" s="4" t="s">
        <v>828</v>
      </c>
    </row>
    <row r="1591">
      <c r="A1591" s="4" t="s">
        <v>828</v>
      </c>
    </row>
    <row r="1592">
      <c r="A1592" s="4" t="s">
        <v>828</v>
      </c>
    </row>
    <row r="1593">
      <c r="A1593" s="4" t="s">
        <v>828</v>
      </c>
    </row>
    <row r="1594">
      <c r="A1594" s="4" t="s">
        <v>828</v>
      </c>
    </row>
    <row r="1595">
      <c r="A1595" s="4" t="s">
        <v>828</v>
      </c>
    </row>
    <row r="1596">
      <c r="A1596" s="4" t="s">
        <v>828</v>
      </c>
    </row>
    <row r="1597">
      <c r="A1597" s="4" t="s">
        <v>828</v>
      </c>
    </row>
    <row r="1598">
      <c r="A1598" s="4" t="s">
        <v>828</v>
      </c>
    </row>
    <row r="1599">
      <c r="A1599" s="4" t="s">
        <v>828</v>
      </c>
    </row>
    <row r="1600">
      <c r="A1600" s="4" t="s">
        <v>828</v>
      </c>
    </row>
    <row r="1601">
      <c r="A1601" s="4" t="s">
        <v>828</v>
      </c>
    </row>
    <row r="1602">
      <c r="A1602" s="4" t="s">
        <v>828</v>
      </c>
    </row>
    <row r="1603">
      <c r="A1603" s="4" t="s">
        <v>828</v>
      </c>
    </row>
    <row r="1604">
      <c r="A1604" s="4" t="s">
        <v>828</v>
      </c>
    </row>
    <row r="1605">
      <c r="A1605" s="4" t="s">
        <v>828</v>
      </c>
    </row>
    <row r="1606">
      <c r="A1606" s="4" t="s">
        <v>828</v>
      </c>
    </row>
    <row r="1607">
      <c r="A1607" s="4" t="s">
        <v>828</v>
      </c>
    </row>
    <row r="1608">
      <c r="A1608" s="4" t="s">
        <v>828</v>
      </c>
    </row>
    <row r="1609">
      <c r="A1609" s="4" t="s">
        <v>828</v>
      </c>
    </row>
    <row r="1610">
      <c r="A1610" s="4" t="s">
        <v>828</v>
      </c>
    </row>
    <row r="1611">
      <c r="A1611" s="4" t="s">
        <v>828</v>
      </c>
    </row>
    <row r="1612">
      <c r="A1612" s="4" t="s">
        <v>828</v>
      </c>
    </row>
    <row r="1613">
      <c r="A1613" s="4" t="s">
        <v>828</v>
      </c>
    </row>
    <row r="1614">
      <c r="A1614" s="4" t="s">
        <v>828</v>
      </c>
    </row>
    <row r="1615">
      <c r="A1615" s="4" t="s">
        <v>828</v>
      </c>
    </row>
    <row r="1616">
      <c r="A1616" s="4" t="s">
        <v>828</v>
      </c>
    </row>
    <row r="1617">
      <c r="A1617" s="4" t="s">
        <v>828</v>
      </c>
    </row>
    <row r="1618">
      <c r="A1618" s="4" t="s">
        <v>828</v>
      </c>
    </row>
    <row r="1619">
      <c r="A1619" s="4" t="s">
        <v>828</v>
      </c>
    </row>
    <row r="1620">
      <c r="A1620" s="4" t="s">
        <v>828</v>
      </c>
    </row>
    <row r="1621">
      <c r="A1621" s="4" t="s">
        <v>828</v>
      </c>
    </row>
    <row r="1622">
      <c r="A1622" s="4" t="s">
        <v>828</v>
      </c>
    </row>
    <row r="1623">
      <c r="A1623" s="4" t="s">
        <v>828</v>
      </c>
    </row>
    <row r="1624">
      <c r="A1624" s="4" t="s">
        <v>828</v>
      </c>
    </row>
    <row r="1625">
      <c r="A1625" s="4" t="s">
        <v>828</v>
      </c>
    </row>
    <row r="1626">
      <c r="A1626" s="4" t="s">
        <v>828</v>
      </c>
    </row>
    <row r="1627">
      <c r="A1627" s="4" t="s">
        <v>828</v>
      </c>
    </row>
    <row r="1628">
      <c r="A1628" s="4" t="s">
        <v>828</v>
      </c>
    </row>
    <row r="1629">
      <c r="A1629" s="4" t="s">
        <v>828</v>
      </c>
    </row>
    <row r="1630">
      <c r="A1630" s="4" t="s">
        <v>828</v>
      </c>
    </row>
    <row r="1631">
      <c r="A1631" s="4" t="s">
        <v>828</v>
      </c>
    </row>
    <row r="1632">
      <c r="A1632" s="4" t="s">
        <v>828</v>
      </c>
    </row>
    <row r="1633">
      <c r="A1633" s="4" t="s">
        <v>828</v>
      </c>
    </row>
    <row r="1634">
      <c r="A1634" s="4" t="s">
        <v>828</v>
      </c>
    </row>
    <row r="1635">
      <c r="A1635" s="4" t="s">
        <v>828</v>
      </c>
    </row>
    <row r="1636">
      <c r="A1636" s="4" t="s">
        <v>828</v>
      </c>
    </row>
    <row r="1637">
      <c r="A1637" s="4" t="s">
        <v>828</v>
      </c>
    </row>
    <row r="1638">
      <c r="A1638" s="4" t="s">
        <v>828</v>
      </c>
    </row>
    <row r="1639">
      <c r="A1639" s="4" t="s">
        <v>828</v>
      </c>
    </row>
    <row r="1640">
      <c r="A1640" s="4" t="s">
        <v>828</v>
      </c>
    </row>
    <row r="1641">
      <c r="A1641" s="4" t="s">
        <v>828</v>
      </c>
    </row>
    <row r="1642">
      <c r="A1642" s="4" t="s">
        <v>828</v>
      </c>
    </row>
    <row r="1643">
      <c r="A1643" s="4" t="s">
        <v>828</v>
      </c>
    </row>
    <row r="1644">
      <c r="A1644" s="4" t="s">
        <v>828</v>
      </c>
    </row>
    <row r="1645">
      <c r="A1645" s="4" t="s">
        <v>828</v>
      </c>
    </row>
    <row r="1646">
      <c r="A1646" s="4" t="s">
        <v>828</v>
      </c>
    </row>
    <row r="1647">
      <c r="A1647" s="4" t="s">
        <v>828</v>
      </c>
    </row>
    <row r="1648">
      <c r="A1648" s="4" t="s">
        <v>828</v>
      </c>
    </row>
    <row r="1649">
      <c r="A1649" s="4" t="s">
        <v>828</v>
      </c>
    </row>
    <row r="1650">
      <c r="A1650" s="4" t="s">
        <v>828</v>
      </c>
    </row>
    <row r="1651">
      <c r="A1651" s="4" t="s">
        <v>828</v>
      </c>
    </row>
    <row r="1652">
      <c r="A1652" s="4" t="s">
        <v>828</v>
      </c>
    </row>
    <row r="1653">
      <c r="A1653" s="4" t="s">
        <v>828</v>
      </c>
    </row>
    <row r="1654">
      <c r="A1654" s="4" t="s">
        <v>828</v>
      </c>
    </row>
    <row r="1655">
      <c r="A1655" s="4" t="s">
        <v>828</v>
      </c>
    </row>
    <row r="1656">
      <c r="A1656" s="4" t="s">
        <v>828</v>
      </c>
    </row>
    <row r="1657">
      <c r="A1657" s="4" t="s">
        <v>828</v>
      </c>
    </row>
    <row r="1658">
      <c r="A1658" s="4" t="s">
        <v>828</v>
      </c>
    </row>
    <row r="1659">
      <c r="A1659" s="4" t="s">
        <v>828</v>
      </c>
    </row>
    <row r="1660">
      <c r="A1660" s="4" t="s">
        <v>828</v>
      </c>
    </row>
    <row r="1661">
      <c r="A1661" s="4" t="s">
        <v>828</v>
      </c>
    </row>
    <row r="1662">
      <c r="A1662" s="4" t="s">
        <v>828</v>
      </c>
    </row>
    <row r="1663">
      <c r="A1663" s="4" t="s">
        <v>828</v>
      </c>
    </row>
    <row r="1664">
      <c r="A1664" s="4" t="s">
        <v>828</v>
      </c>
    </row>
    <row r="1665">
      <c r="A1665" s="4" t="s">
        <v>828</v>
      </c>
    </row>
    <row r="1666">
      <c r="A1666" s="4" t="s">
        <v>828</v>
      </c>
    </row>
    <row r="1667">
      <c r="A1667" s="4" t="s">
        <v>828</v>
      </c>
    </row>
    <row r="1668">
      <c r="A1668" s="4" t="s">
        <v>828</v>
      </c>
    </row>
    <row r="1669">
      <c r="A1669" s="4" t="s">
        <v>828</v>
      </c>
    </row>
    <row r="1670">
      <c r="A1670" s="4" t="s">
        <v>828</v>
      </c>
    </row>
    <row r="1671">
      <c r="A1671" s="4" t="s">
        <v>828</v>
      </c>
    </row>
    <row r="1672">
      <c r="A1672" s="4" t="s">
        <v>828</v>
      </c>
    </row>
    <row r="1673">
      <c r="A1673" s="4" t="s">
        <v>828</v>
      </c>
    </row>
    <row r="1674">
      <c r="A1674" s="4" t="s">
        <v>828</v>
      </c>
    </row>
    <row r="1675">
      <c r="A1675" s="4" t="s">
        <v>828</v>
      </c>
    </row>
    <row r="1676">
      <c r="A1676" s="4" t="s">
        <v>828</v>
      </c>
    </row>
    <row r="1677">
      <c r="A1677" s="4" t="s">
        <v>828</v>
      </c>
    </row>
    <row r="1678">
      <c r="A1678" s="4" t="s">
        <v>828</v>
      </c>
    </row>
    <row r="1679">
      <c r="A1679" s="4" t="s">
        <v>828</v>
      </c>
    </row>
    <row r="1680">
      <c r="A1680" s="4" t="s">
        <v>828</v>
      </c>
    </row>
    <row r="1681">
      <c r="A1681" s="4" t="s">
        <v>828</v>
      </c>
    </row>
    <row r="1682">
      <c r="A1682" s="4" t="s">
        <v>828</v>
      </c>
    </row>
    <row r="1683">
      <c r="A1683" s="4" t="s">
        <v>828</v>
      </c>
    </row>
    <row r="1684">
      <c r="A1684" s="4" t="s">
        <v>828</v>
      </c>
    </row>
    <row r="1685">
      <c r="A1685" s="4" t="s">
        <v>828</v>
      </c>
    </row>
    <row r="1686">
      <c r="A1686" s="4" t="s">
        <v>828</v>
      </c>
    </row>
    <row r="1687">
      <c r="A1687" s="4" t="s">
        <v>828</v>
      </c>
    </row>
    <row r="1688">
      <c r="A1688" s="4" t="s">
        <v>828</v>
      </c>
    </row>
    <row r="1689">
      <c r="A1689" s="4" t="s">
        <v>828</v>
      </c>
    </row>
    <row r="1690">
      <c r="A1690" s="4" t="s">
        <v>828</v>
      </c>
    </row>
    <row r="1691">
      <c r="A1691" s="4" t="s">
        <v>828</v>
      </c>
    </row>
    <row r="1692">
      <c r="A1692" s="4" t="s">
        <v>828</v>
      </c>
    </row>
    <row r="1693">
      <c r="A1693" s="4" t="s">
        <v>828</v>
      </c>
    </row>
    <row r="1694">
      <c r="A1694" s="4" t="s">
        <v>828</v>
      </c>
    </row>
    <row r="1695">
      <c r="A1695" s="4" t="s">
        <v>828</v>
      </c>
    </row>
    <row r="1696">
      <c r="A1696" s="4" t="s">
        <v>828</v>
      </c>
    </row>
    <row r="1697">
      <c r="A1697" s="4" t="s">
        <v>828</v>
      </c>
    </row>
    <row r="1698">
      <c r="A1698" s="4" t="s">
        <v>828</v>
      </c>
    </row>
    <row r="1699">
      <c r="A1699" s="4" t="s">
        <v>828</v>
      </c>
    </row>
    <row r="1700">
      <c r="A1700" s="4" t="s">
        <v>828</v>
      </c>
    </row>
    <row r="1701">
      <c r="A1701" s="4" t="s">
        <v>828</v>
      </c>
    </row>
    <row r="1702">
      <c r="A1702" s="4" t="s">
        <v>828</v>
      </c>
    </row>
    <row r="1703">
      <c r="A1703" s="4" t="s">
        <v>828</v>
      </c>
    </row>
    <row r="1704">
      <c r="A1704" s="4" t="s">
        <v>828</v>
      </c>
    </row>
    <row r="1705">
      <c r="A1705" s="4" t="s">
        <v>828</v>
      </c>
    </row>
    <row r="1706">
      <c r="A1706" s="4" t="s">
        <v>828</v>
      </c>
    </row>
    <row r="1707">
      <c r="A1707" s="4" t="s">
        <v>828</v>
      </c>
    </row>
    <row r="1708">
      <c r="A1708" s="4" t="s">
        <v>828</v>
      </c>
    </row>
    <row r="1709">
      <c r="A1709" s="4" t="s">
        <v>828</v>
      </c>
    </row>
    <row r="1710">
      <c r="A1710" s="4" t="s">
        <v>828</v>
      </c>
    </row>
    <row r="1711">
      <c r="A1711" s="4" t="s">
        <v>828</v>
      </c>
    </row>
    <row r="1712">
      <c r="A1712" s="4" t="s">
        <v>828</v>
      </c>
    </row>
    <row r="1713">
      <c r="A1713" s="4" t="s">
        <v>828</v>
      </c>
    </row>
    <row r="1714">
      <c r="A1714" s="4" t="s">
        <v>828</v>
      </c>
    </row>
    <row r="1715">
      <c r="A1715" s="4" t="s">
        <v>828</v>
      </c>
    </row>
    <row r="1716">
      <c r="A1716" s="4" t="s">
        <v>828</v>
      </c>
    </row>
    <row r="1717">
      <c r="A1717" s="4" t="s">
        <v>828</v>
      </c>
    </row>
    <row r="1718">
      <c r="A1718" s="4" t="s">
        <v>828</v>
      </c>
    </row>
    <row r="1719">
      <c r="A1719" s="4" t="s">
        <v>828</v>
      </c>
    </row>
    <row r="1720">
      <c r="A1720" s="4" t="s">
        <v>828</v>
      </c>
    </row>
    <row r="1721">
      <c r="A1721" s="4" t="s">
        <v>828</v>
      </c>
    </row>
    <row r="1722">
      <c r="A1722" s="4" t="s">
        <v>828</v>
      </c>
    </row>
    <row r="1723">
      <c r="A1723" s="4" t="s">
        <v>828</v>
      </c>
    </row>
    <row r="1724">
      <c r="A1724" s="4" t="s">
        <v>828</v>
      </c>
    </row>
    <row r="1725">
      <c r="A1725" s="4" t="s">
        <v>828</v>
      </c>
    </row>
    <row r="1726">
      <c r="A1726" s="4" t="s">
        <v>828</v>
      </c>
    </row>
    <row r="1727">
      <c r="A1727" s="4" t="s">
        <v>828</v>
      </c>
    </row>
    <row r="1728">
      <c r="A1728" s="4" t="s">
        <v>828</v>
      </c>
    </row>
    <row r="1729">
      <c r="A1729" s="4" t="s">
        <v>828</v>
      </c>
    </row>
    <row r="1730">
      <c r="A1730" s="4" t="s">
        <v>828</v>
      </c>
    </row>
    <row r="1731">
      <c r="A1731" s="4" t="s">
        <v>828</v>
      </c>
    </row>
    <row r="1732">
      <c r="A1732" s="4" t="s">
        <v>828</v>
      </c>
    </row>
    <row r="1733">
      <c r="A1733" s="4" t="s">
        <v>828</v>
      </c>
    </row>
    <row r="1734">
      <c r="A1734" s="4" t="s">
        <v>828</v>
      </c>
    </row>
    <row r="1735">
      <c r="A1735" s="4" t="s">
        <v>828</v>
      </c>
    </row>
    <row r="1736">
      <c r="A1736" s="4" t="s">
        <v>828</v>
      </c>
    </row>
    <row r="1737">
      <c r="A1737" s="4" t="s">
        <v>828</v>
      </c>
    </row>
    <row r="1738">
      <c r="A1738" s="4" t="s">
        <v>828</v>
      </c>
    </row>
    <row r="1739">
      <c r="A1739" s="4" t="s">
        <v>828</v>
      </c>
    </row>
    <row r="1740">
      <c r="A1740" s="4" t="s">
        <v>828</v>
      </c>
    </row>
    <row r="1741">
      <c r="A1741" s="4" t="s">
        <v>828</v>
      </c>
    </row>
    <row r="1742">
      <c r="A1742" s="4" t="s">
        <v>828</v>
      </c>
    </row>
    <row r="1743">
      <c r="A1743" s="4" t="s">
        <v>828</v>
      </c>
    </row>
    <row r="1744">
      <c r="A1744" s="4" t="s">
        <v>828</v>
      </c>
    </row>
    <row r="1745">
      <c r="A1745" s="4" t="s">
        <v>828</v>
      </c>
    </row>
    <row r="1746">
      <c r="A1746" s="4" t="s">
        <v>828</v>
      </c>
    </row>
    <row r="1747">
      <c r="A1747" s="4" t="s">
        <v>828</v>
      </c>
    </row>
    <row r="1748">
      <c r="A1748" s="4" t="s">
        <v>828</v>
      </c>
    </row>
    <row r="1749">
      <c r="A1749" s="4" t="s">
        <v>828</v>
      </c>
    </row>
    <row r="1750">
      <c r="A1750" s="4" t="s">
        <v>828</v>
      </c>
    </row>
    <row r="1751">
      <c r="A1751" s="4" t="s">
        <v>828</v>
      </c>
    </row>
    <row r="1752">
      <c r="A1752" s="4" t="s">
        <v>828</v>
      </c>
    </row>
    <row r="1753">
      <c r="A1753" s="4" t="s">
        <v>828</v>
      </c>
    </row>
    <row r="1754">
      <c r="A1754" s="4" t="s">
        <v>828</v>
      </c>
    </row>
    <row r="1755">
      <c r="A1755" s="4" t="s">
        <v>828</v>
      </c>
    </row>
    <row r="1756">
      <c r="A1756" s="4" t="s">
        <v>828</v>
      </c>
    </row>
    <row r="1757">
      <c r="A1757" s="4" t="s">
        <v>828</v>
      </c>
    </row>
    <row r="1758">
      <c r="A1758" s="4" t="s">
        <v>828</v>
      </c>
    </row>
    <row r="1759">
      <c r="A1759" s="4" t="s">
        <v>828</v>
      </c>
    </row>
    <row r="1760">
      <c r="A1760" s="4" t="s">
        <v>828</v>
      </c>
    </row>
    <row r="1761">
      <c r="A1761" s="4" t="s">
        <v>828</v>
      </c>
    </row>
    <row r="1762">
      <c r="A1762" s="4" t="s">
        <v>828</v>
      </c>
    </row>
    <row r="1763">
      <c r="A1763" s="4" t="s">
        <v>828</v>
      </c>
    </row>
    <row r="1764">
      <c r="A1764" s="4" t="s">
        <v>828</v>
      </c>
    </row>
    <row r="1765">
      <c r="A1765" s="4" t="s">
        <v>828</v>
      </c>
    </row>
    <row r="1766">
      <c r="A1766" s="4" t="s">
        <v>828</v>
      </c>
    </row>
    <row r="1767">
      <c r="A1767" s="4" t="s">
        <v>828</v>
      </c>
    </row>
    <row r="1768">
      <c r="A1768" s="4" t="s">
        <v>828</v>
      </c>
    </row>
    <row r="1769">
      <c r="A1769" s="4" t="s">
        <v>828</v>
      </c>
    </row>
    <row r="1770">
      <c r="A1770" s="4" t="s">
        <v>828</v>
      </c>
    </row>
    <row r="1771">
      <c r="A1771" s="4" t="s">
        <v>828</v>
      </c>
    </row>
    <row r="1772">
      <c r="A1772" s="4" t="s">
        <v>828</v>
      </c>
    </row>
    <row r="1773">
      <c r="A1773" s="4" t="s">
        <v>828</v>
      </c>
    </row>
    <row r="1774">
      <c r="A1774" s="4" t="s">
        <v>828</v>
      </c>
    </row>
    <row r="1775">
      <c r="A1775" s="4" t="s">
        <v>828</v>
      </c>
    </row>
    <row r="1776">
      <c r="A1776" s="4" t="s">
        <v>828</v>
      </c>
    </row>
    <row r="1777">
      <c r="A1777" s="4" t="s">
        <v>828</v>
      </c>
    </row>
    <row r="1778">
      <c r="A1778" s="4" t="s">
        <v>828</v>
      </c>
    </row>
    <row r="1779">
      <c r="A1779" s="4" t="s">
        <v>828</v>
      </c>
    </row>
    <row r="1780">
      <c r="A1780" s="4" t="s">
        <v>828</v>
      </c>
    </row>
    <row r="1781">
      <c r="A1781" s="4" t="s">
        <v>828</v>
      </c>
    </row>
    <row r="1782">
      <c r="A1782" s="4" t="s">
        <v>828</v>
      </c>
    </row>
    <row r="1783">
      <c r="A1783" s="4" t="s">
        <v>828</v>
      </c>
    </row>
    <row r="1784">
      <c r="A1784" s="4" t="s">
        <v>828</v>
      </c>
    </row>
    <row r="1785">
      <c r="A1785" s="4" t="s">
        <v>828</v>
      </c>
    </row>
    <row r="1786">
      <c r="A1786" s="4" t="s">
        <v>828</v>
      </c>
    </row>
    <row r="1787">
      <c r="A1787" s="4" t="s">
        <v>828</v>
      </c>
    </row>
    <row r="1788">
      <c r="A1788" s="4" t="s">
        <v>828</v>
      </c>
    </row>
    <row r="1789">
      <c r="A1789" s="4" t="s">
        <v>828</v>
      </c>
    </row>
    <row r="1790">
      <c r="A1790" s="4" t="s">
        <v>828</v>
      </c>
    </row>
    <row r="1791">
      <c r="A1791" s="4" t="s">
        <v>828</v>
      </c>
    </row>
    <row r="1792">
      <c r="A1792" s="4" t="s">
        <v>828</v>
      </c>
    </row>
    <row r="1793">
      <c r="A1793" s="4" t="s">
        <v>828</v>
      </c>
    </row>
    <row r="1794">
      <c r="A1794" s="4" t="s">
        <v>828</v>
      </c>
    </row>
    <row r="1795">
      <c r="A1795" s="4" t="s">
        <v>828</v>
      </c>
    </row>
    <row r="1796">
      <c r="A1796" s="4" t="s">
        <v>828</v>
      </c>
    </row>
    <row r="1797">
      <c r="A1797" s="4" t="s">
        <v>828</v>
      </c>
    </row>
    <row r="1798">
      <c r="A1798" s="4" t="s">
        <v>828</v>
      </c>
    </row>
    <row r="1799">
      <c r="A1799" s="4" t="s">
        <v>828</v>
      </c>
    </row>
    <row r="1800">
      <c r="A1800" s="4" t="s">
        <v>828</v>
      </c>
    </row>
    <row r="1801">
      <c r="A1801" s="4" t="s">
        <v>828</v>
      </c>
    </row>
    <row r="1802">
      <c r="A1802" s="4" t="s">
        <v>828</v>
      </c>
    </row>
    <row r="1803">
      <c r="A1803" s="4" t="s">
        <v>828</v>
      </c>
    </row>
    <row r="1804">
      <c r="A1804" s="4" t="s">
        <v>828</v>
      </c>
    </row>
    <row r="1805">
      <c r="A1805" s="4" t="s">
        <v>828</v>
      </c>
    </row>
    <row r="1806">
      <c r="A1806" s="4" t="s">
        <v>828</v>
      </c>
    </row>
    <row r="1807">
      <c r="A1807" s="4" t="s">
        <v>828</v>
      </c>
    </row>
    <row r="1808">
      <c r="A1808" s="4" t="s">
        <v>828</v>
      </c>
    </row>
    <row r="1809">
      <c r="A1809" s="4" t="s">
        <v>828</v>
      </c>
    </row>
    <row r="1810">
      <c r="A1810" s="4" t="s">
        <v>828</v>
      </c>
    </row>
    <row r="1811">
      <c r="A1811" s="4" t="s">
        <v>828</v>
      </c>
    </row>
    <row r="1812">
      <c r="A1812" s="4" t="s">
        <v>828</v>
      </c>
    </row>
    <row r="1813">
      <c r="A1813" s="4" t="s">
        <v>828</v>
      </c>
    </row>
    <row r="1814">
      <c r="A1814" s="4" t="s">
        <v>828</v>
      </c>
    </row>
    <row r="1815">
      <c r="A1815" s="4" t="s">
        <v>828</v>
      </c>
    </row>
    <row r="1816">
      <c r="A1816" s="4" t="s">
        <v>828</v>
      </c>
    </row>
    <row r="1817">
      <c r="A1817" s="4" t="s">
        <v>828</v>
      </c>
    </row>
    <row r="1818">
      <c r="A1818" s="4" t="s">
        <v>828</v>
      </c>
    </row>
    <row r="1819">
      <c r="A1819" s="4" t="s">
        <v>828</v>
      </c>
    </row>
    <row r="1820">
      <c r="A1820" s="4" t="s">
        <v>828</v>
      </c>
    </row>
    <row r="1821">
      <c r="A1821" s="4" t="s">
        <v>828</v>
      </c>
    </row>
    <row r="1822">
      <c r="A1822" s="4" t="s">
        <v>828</v>
      </c>
    </row>
    <row r="1823">
      <c r="A1823" s="4" t="s">
        <v>828</v>
      </c>
    </row>
    <row r="1824">
      <c r="A1824" s="4" t="s">
        <v>828</v>
      </c>
    </row>
    <row r="1825">
      <c r="A1825" s="4" t="s">
        <v>828</v>
      </c>
    </row>
    <row r="1826">
      <c r="A1826" s="4" t="s">
        <v>828</v>
      </c>
    </row>
    <row r="1827">
      <c r="A1827" s="4" t="s">
        <v>828</v>
      </c>
    </row>
    <row r="1828">
      <c r="A1828" s="4" t="s">
        <v>828</v>
      </c>
    </row>
    <row r="1829">
      <c r="A1829" s="4" t="s">
        <v>828</v>
      </c>
    </row>
    <row r="1830">
      <c r="A1830" s="4" t="s">
        <v>828</v>
      </c>
    </row>
    <row r="1831">
      <c r="A1831" s="4" t="s">
        <v>828</v>
      </c>
    </row>
    <row r="1832">
      <c r="A1832" s="4" t="s">
        <v>828</v>
      </c>
    </row>
    <row r="1833">
      <c r="A1833" s="4" t="s">
        <v>828</v>
      </c>
    </row>
    <row r="1834">
      <c r="A1834" s="4" t="s">
        <v>828</v>
      </c>
    </row>
    <row r="1835">
      <c r="A1835" s="4" t="s">
        <v>828</v>
      </c>
    </row>
    <row r="1836">
      <c r="A1836" s="4" t="s">
        <v>828</v>
      </c>
    </row>
    <row r="1837">
      <c r="A1837" s="4" t="s">
        <v>828</v>
      </c>
    </row>
    <row r="1838">
      <c r="A1838" s="4" t="s">
        <v>828</v>
      </c>
    </row>
    <row r="1839">
      <c r="A1839" s="4" t="s">
        <v>828</v>
      </c>
    </row>
    <row r="1840">
      <c r="A1840" s="4" t="s">
        <v>828</v>
      </c>
    </row>
    <row r="1841">
      <c r="A1841" s="4" t="s">
        <v>828</v>
      </c>
    </row>
    <row r="1842">
      <c r="A1842" s="4" t="s">
        <v>828</v>
      </c>
    </row>
    <row r="1843">
      <c r="A1843" s="4" t="s">
        <v>828</v>
      </c>
    </row>
    <row r="1844">
      <c r="A1844" s="4" t="s">
        <v>828</v>
      </c>
    </row>
    <row r="1845">
      <c r="A1845" s="4" t="s">
        <v>828</v>
      </c>
    </row>
    <row r="1846">
      <c r="A1846" s="4" t="s">
        <v>828</v>
      </c>
    </row>
    <row r="1847">
      <c r="A1847" s="4" t="s">
        <v>828</v>
      </c>
    </row>
    <row r="1848">
      <c r="A1848" s="4" t="s">
        <v>828</v>
      </c>
    </row>
    <row r="1849">
      <c r="A1849" s="4" t="s">
        <v>828</v>
      </c>
    </row>
    <row r="1850">
      <c r="A1850" s="4" t="s">
        <v>828</v>
      </c>
    </row>
    <row r="1851">
      <c r="A1851" s="4" t="s">
        <v>828</v>
      </c>
    </row>
    <row r="1852">
      <c r="A1852" s="4" t="s">
        <v>828</v>
      </c>
    </row>
    <row r="1853">
      <c r="A1853" s="4" t="s">
        <v>828</v>
      </c>
    </row>
    <row r="1854">
      <c r="A1854" s="4" t="s">
        <v>828</v>
      </c>
    </row>
    <row r="1855">
      <c r="A1855" s="4" t="s">
        <v>828</v>
      </c>
    </row>
    <row r="1856">
      <c r="A1856" s="4" t="s">
        <v>828</v>
      </c>
    </row>
    <row r="1857">
      <c r="A1857" s="4" t="s">
        <v>828</v>
      </c>
    </row>
    <row r="1858">
      <c r="A1858" s="4" t="s">
        <v>828</v>
      </c>
    </row>
    <row r="1859">
      <c r="A1859" s="4" t="s">
        <v>828</v>
      </c>
    </row>
    <row r="1860">
      <c r="A1860" s="4" t="s">
        <v>828</v>
      </c>
    </row>
    <row r="1861">
      <c r="A1861" s="4" t="s">
        <v>828</v>
      </c>
    </row>
    <row r="1862">
      <c r="A1862" s="4" t="s">
        <v>828</v>
      </c>
    </row>
    <row r="1863">
      <c r="A1863" s="4" t="s">
        <v>828</v>
      </c>
    </row>
    <row r="1864">
      <c r="A1864" s="4" t="s">
        <v>828</v>
      </c>
    </row>
    <row r="1865">
      <c r="A1865" s="4" t="s">
        <v>828</v>
      </c>
    </row>
    <row r="1866">
      <c r="A1866" s="4" t="s">
        <v>828</v>
      </c>
    </row>
    <row r="1867">
      <c r="A1867" s="4" t="s">
        <v>828</v>
      </c>
    </row>
    <row r="1868">
      <c r="A1868" s="4" t="s">
        <v>828</v>
      </c>
    </row>
    <row r="1869">
      <c r="A1869" s="4" t="s">
        <v>828</v>
      </c>
    </row>
    <row r="1870">
      <c r="A1870" s="4" t="s">
        <v>828</v>
      </c>
    </row>
    <row r="1871">
      <c r="A1871" s="4" t="s">
        <v>828</v>
      </c>
    </row>
    <row r="1872">
      <c r="A1872" s="4" t="s">
        <v>828</v>
      </c>
    </row>
    <row r="1873">
      <c r="A1873" s="4" t="s">
        <v>828</v>
      </c>
    </row>
    <row r="1874">
      <c r="A1874" s="4" t="s">
        <v>828</v>
      </c>
    </row>
    <row r="1875">
      <c r="A1875" s="4" t="s">
        <v>828</v>
      </c>
    </row>
    <row r="1876">
      <c r="A1876" s="4" t="s">
        <v>828</v>
      </c>
    </row>
    <row r="1877">
      <c r="A1877" s="4" t="s">
        <v>828</v>
      </c>
    </row>
    <row r="1878">
      <c r="A1878" s="4" t="s">
        <v>828</v>
      </c>
    </row>
    <row r="1879">
      <c r="A1879" s="4" t="s">
        <v>828</v>
      </c>
    </row>
    <row r="1880">
      <c r="A1880" s="4" t="s">
        <v>828</v>
      </c>
    </row>
    <row r="1881">
      <c r="A1881" s="4" t="s">
        <v>828</v>
      </c>
    </row>
    <row r="1882">
      <c r="A1882" s="4" t="s">
        <v>828</v>
      </c>
    </row>
    <row r="1883">
      <c r="A1883" s="4" t="s">
        <v>828</v>
      </c>
    </row>
    <row r="1884">
      <c r="A1884" s="4" t="s">
        <v>828</v>
      </c>
    </row>
    <row r="1885">
      <c r="A1885" s="4" t="s">
        <v>828</v>
      </c>
    </row>
    <row r="1886">
      <c r="A1886" s="4" t="s">
        <v>828</v>
      </c>
    </row>
    <row r="1887">
      <c r="A1887" s="4" t="s">
        <v>828</v>
      </c>
    </row>
    <row r="1888">
      <c r="A1888" s="4" t="s">
        <v>828</v>
      </c>
    </row>
    <row r="1889">
      <c r="A1889" s="4" t="s">
        <v>828</v>
      </c>
    </row>
    <row r="1890">
      <c r="A1890" s="4" t="s">
        <v>828</v>
      </c>
    </row>
    <row r="1891">
      <c r="A1891" s="4" t="s">
        <v>828</v>
      </c>
    </row>
    <row r="1892">
      <c r="A1892" s="4" t="s">
        <v>828</v>
      </c>
    </row>
    <row r="1893">
      <c r="A1893" s="4" t="s">
        <v>828</v>
      </c>
    </row>
    <row r="1894">
      <c r="A1894" s="4" t="s">
        <v>828</v>
      </c>
    </row>
    <row r="1895">
      <c r="A1895" s="4" t="s">
        <v>828</v>
      </c>
    </row>
    <row r="1896">
      <c r="A1896" s="4" t="s">
        <v>828</v>
      </c>
    </row>
    <row r="1897">
      <c r="A1897" s="4" t="s">
        <v>828</v>
      </c>
    </row>
    <row r="1898">
      <c r="A1898" s="4" t="s">
        <v>828</v>
      </c>
    </row>
    <row r="1899">
      <c r="A1899" s="4" t="s">
        <v>828</v>
      </c>
    </row>
    <row r="1900">
      <c r="A1900" s="4" t="s">
        <v>828</v>
      </c>
    </row>
    <row r="1901">
      <c r="A1901" s="4" t="s">
        <v>828</v>
      </c>
    </row>
    <row r="1902">
      <c r="A1902" s="4" t="s">
        <v>828</v>
      </c>
    </row>
    <row r="1903">
      <c r="A1903" s="4" t="s">
        <v>828</v>
      </c>
    </row>
    <row r="1904">
      <c r="A1904" s="4" t="s">
        <v>828</v>
      </c>
    </row>
    <row r="1905">
      <c r="A1905" s="4" t="s">
        <v>828</v>
      </c>
    </row>
    <row r="1906">
      <c r="A1906" s="4" t="s">
        <v>828</v>
      </c>
    </row>
    <row r="1907">
      <c r="A1907" s="4" t="s">
        <v>828</v>
      </c>
    </row>
    <row r="1908">
      <c r="A1908" s="4" t="s">
        <v>828</v>
      </c>
    </row>
    <row r="1909">
      <c r="A1909" s="4" t="s">
        <v>828</v>
      </c>
    </row>
    <row r="1910">
      <c r="A1910" s="4" t="s">
        <v>828</v>
      </c>
    </row>
    <row r="1911">
      <c r="A1911" s="4" t="s">
        <v>828</v>
      </c>
    </row>
    <row r="1912">
      <c r="A1912" s="4" t="s">
        <v>828</v>
      </c>
    </row>
    <row r="1913">
      <c r="A1913" s="4" t="s">
        <v>828</v>
      </c>
    </row>
    <row r="1914">
      <c r="A1914" s="4" t="s">
        <v>828</v>
      </c>
    </row>
    <row r="1915">
      <c r="A1915" s="4" t="s">
        <v>828</v>
      </c>
    </row>
    <row r="1916">
      <c r="A1916" s="4" t="s">
        <v>828</v>
      </c>
    </row>
    <row r="1917">
      <c r="A1917" s="4" t="s">
        <v>828</v>
      </c>
    </row>
    <row r="1918">
      <c r="A1918" s="4" t="s">
        <v>828</v>
      </c>
    </row>
    <row r="1919">
      <c r="A1919" s="4" t="s">
        <v>828</v>
      </c>
    </row>
    <row r="1920">
      <c r="A1920" s="4" t="s">
        <v>828</v>
      </c>
    </row>
    <row r="1921">
      <c r="A1921" s="4" t="s">
        <v>828</v>
      </c>
    </row>
    <row r="1922">
      <c r="A1922" s="4" t="s">
        <v>828</v>
      </c>
    </row>
    <row r="1923">
      <c r="A1923" s="4" t="s">
        <v>828</v>
      </c>
    </row>
    <row r="1924">
      <c r="A1924" s="4" t="s">
        <v>828</v>
      </c>
    </row>
    <row r="1925">
      <c r="A1925" s="4" t="s">
        <v>828</v>
      </c>
    </row>
    <row r="1926">
      <c r="A1926" s="4" t="s">
        <v>828</v>
      </c>
    </row>
    <row r="1927">
      <c r="A1927" s="4" t="s">
        <v>828</v>
      </c>
    </row>
    <row r="1928">
      <c r="A1928" s="4" t="s">
        <v>828</v>
      </c>
    </row>
    <row r="1929">
      <c r="A1929" s="4" t="s">
        <v>828</v>
      </c>
    </row>
    <row r="1930">
      <c r="A1930" s="4" t="s">
        <v>828</v>
      </c>
    </row>
    <row r="1931">
      <c r="A1931" s="4" t="s">
        <v>828</v>
      </c>
    </row>
    <row r="1932">
      <c r="A1932" s="4" t="s">
        <v>828</v>
      </c>
    </row>
    <row r="1933">
      <c r="A1933" s="4" t="s">
        <v>828</v>
      </c>
    </row>
    <row r="1934">
      <c r="A1934" s="4" t="s">
        <v>828</v>
      </c>
    </row>
    <row r="1935">
      <c r="A1935" s="4" t="s">
        <v>828</v>
      </c>
    </row>
    <row r="1936">
      <c r="A1936" s="4" t="s">
        <v>828</v>
      </c>
    </row>
    <row r="1937">
      <c r="A1937" s="4" t="s">
        <v>828</v>
      </c>
    </row>
    <row r="1938">
      <c r="A1938" s="4" t="s">
        <v>828</v>
      </c>
    </row>
    <row r="1939">
      <c r="A1939" s="4" t="s">
        <v>828</v>
      </c>
    </row>
    <row r="1940">
      <c r="A1940" s="4" t="s">
        <v>828</v>
      </c>
    </row>
    <row r="1941">
      <c r="A1941" s="4" t="s">
        <v>828</v>
      </c>
    </row>
    <row r="1942">
      <c r="A1942" s="4" t="s">
        <v>828</v>
      </c>
    </row>
    <row r="1943">
      <c r="A1943" s="4" t="s">
        <v>828</v>
      </c>
    </row>
    <row r="1944">
      <c r="A1944" s="4" t="s">
        <v>828</v>
      </c>
    </row>
    <row r="1945">
      <c r="A1945" s="4" t="s">
        <v>828</v>
      </c>
    </row>
    <row r="1946">
      <c r="A1946" s="4" t="s">
        <v>828</v>
      </c>
    </row>
    <row r="1947">
      <c r="A1947" s="4" t="s">
        <v>828</v>
      </c>
    </row>
    <row r="1948">
      <c r="A1948" s="4" t="s">
        <v>828</v>
      </c>
    </row>
    <row r="1949">
      <c r="A1949" s="4" t="s">
        <v>828</v>
      </c>
    </row>
    <row r="1950">
      <c r="A1950" s="4" t="s">
        <v>828</v>
      </c>
    </row>
    <row r="1951">
      <c r="A1951" s="4" t="s">
        <v>828</v>
      </c>
    </row>
    <row r="1952">
      <c r="A1952" s="4" t="s">
        <v>828</v>
      </c>
    </row>
    <row r="1953">
      <c r="A1953" s="4" t="s">
        <v>828</v>
      </c>
    </row>
    <row r="1954">
      <c r="A1954" s="4" t="s">
        <v>828</v>
      </c>
    </row>
    <row r="1955">
      <c r="A1955" s="4" t="s">
        <v>828</v>
      </c>
    </row>
    <row r="1956">
      <c r="A1956" s="4" t="s">
        <v>828</v>
      </c>
    </row>
    <row r="1957">
      <c r="A1957" s="4" t="s">
        <v>828</v>
      </c>
    </row>
    <row r="1958">
      <c r="A1958" s="4" t="s">
        <v>828</v>
      </c>
    </row>
    <row r="1959">
      <c r="A1959" s="4" t="s">
        <v>828</v>
      </c>
    </row>
    <row r="1960">
      <c r="A1960" s="4" t="s">
        <v>828</v>
      </c>
    </row>
    <row r="1961">
      <c r="A1961" s="4" t="s">
        <v>828</v>
      </c>
    </row>
    <row r="1962">
      <c r="A1962" s="4" t="s">
        <v>828</v>
      </c>
    </row>
    <row r="1963">
      <c r="A1963" s="4" t="s">
        <v>828</v>
      </c>
    </row>
    <row r="1964">
      <c r="A1964" s="4" t="s">
        <v>828</v>
      </c>
    </row>
    <row r="1965">
      <c r="A1965" s="4" t="s">
        <v>828</v>
      </c>
    </row>
    <row r="1966">
      <c r="A1966" s="4" t="s">
        <v>828</v>
      </c>
    </row>
    <row r="1967">
      <c r="A1967" s="4" t="s">
        <v>828</v>
      </c>
    </row>
    <row r="1968">
      <c r="A1968" s="4" t="s">
        <v>828</v>
      </c>
    </row>
    <row r="1969">
      <c r="A1969" s="4" t="s">
        <v>828</v>
      </c>
    </row>
    <row r="1970">
      <c r="A1970" s="4" t="s">
        <v>828</v>
      </c>
    </row>
    <row r="1971">
      <c r="A1971" s="4" t="s">
        <v>828</v>
      </c>
    </row>
    <row r="1972">
      <c r="A1972" s="4" t="s">
        <v>828</v>
      </c>
    </row>
    <row r="1973">
      <c r="A1973" s="4" t="s">
        <v>828</v>
      </c>
    </row>
    <row r="1974">
      <c r="A1974" s="4" t="s">
        <v>828</v>
      </c>
    </row>
    <row r="1975">
      <c r="A1975" s="4" t="s">
        <v>828</v>
      </c>
    </row>
    <row r="1976">
      <c r="A1976" s="4" t="s">
        <v>828</v>
      </c>
    </row>
    <row r="1977">
      <c r="A1977" s="4" t="s">
        <v>828</v>
      </c>
    </row>
    <row r="1978">
      <c r="A1978" s="4" t="s">
        <v>828</v>
      </c>
    </row>
    <row r="1979">
      <c r="A1979" s="4" t="s">
        <v>828</v>
      </c>
    </row>
    <row r="1980">
      <c r="A1980" s="4" t="s">
        <v>828</v>
      </c>
    </row>
    <row r="1981">
      <c r="A1981" s="4" t="s">
        <v>828</v>
      </c>
    </row>
    <row r="1982">
      <c r="A1982" s="4" t="s">
        <v>828</v>
      </c>
    </row>
    <row r="1983">
      <c r="A1983" s="4" t="s">
        <v>828</v>
      </c>
    </row>
    <row r="1984">
      <c r="A1984" s="4" t="s">
        <v>828</v>
      </c>
    </row>
    <row r="1985">
      <c r="A1985" s="4" t="s">
        <v>828</v>
      </c>
    </row>
    <row r="1986">
      <c r="A1986" s="4" t="s">
        <v>828</v>
      </c>
    </row>
    <row r="1987">
      <c r="A1987" s="4" t="s">
        <v>828</v>
      </c>
    </row>
    <row r="1988">
      <c r="A1988" s="4" t="s">
        <v>828</v>
      </c>
    </row>
    <row r="1989">
      <c r="A1989" s="4" t="s">
        <v>828</v>
      </c>
    </row>
    <row r="1990">
      <c r="A1990" s="4" t="s">
        <v>828</v>
      </c>
    </row>
    <row r="1991">
      <c r="A1991" s="4" t="s">
        <v>828</v>
      </c>
    </row>
    <row r="1992">
      <c r="A1992" s="4" t="s">
        <v>828</v>
      </c>
    </row>
    <row r="1993">
      <c r="A1993" s="4" t="s">
        <v>828</v>
      </c>
    </row>
    <row r="1994">
      <c r="A1994" s="4" t="s">
        <v>828</v>
      </c>
    </row>
    <row r="1995">
      <c r="A1995" s="4" t="s">
        <v>828</v>
      </c>
    </row>
    <row r="1996">
      <c r="A1996" s="4" t="s">
        <v>828</v>
      </c>
    </row>
    <row r="1997">
      <c r="A1997" s="4" t="s">
        <v>828</v>
      </c>
    </row>
    <row r="1998">
      <c r="A1998" s="4" t="s">
        <v>828</v>
      </c>
    </row>
    <row r="1999">
      <c r="A1999" s="4" t="s">
        <v>828</v>
      </c>
    </row>
    <row r="2000">
      <c r="A2000" s="4" t="s">
        <v>828</v>
      </c>
    </row>
    <row r="2001">
      <c r="A2001" s="4" t="s">
        <v>828</v>
      </c>
    </row>
    <row r="2002">
      <c r="A2002" s="4" t="s">
        <v>828</v>
      </c>
    </row>
    <row r="2003">
      <c r="A2003" s="4" t="s">
        <v>828</v>
      </c>
    </row>
    <row r="2004">
      <c r="A2004" s="4" t="s">
        <v>828</v>
      </c>
    </row>
    <row r="2005">
      <c r="A2005" s="4" t="s">
        <v>828</v>
      </c>
    </row>
    <row r="2006">
      <c r="A2006" s="4" t="s">
        <v>828</v>
      </c>
    </row>
    <row r="2007">
      <c r="A2007" s="4" t="s">
        <v>828</v>
      </c>
    </row>
    <row r="2008">
      <c r="A2008" s="4" t="s">
        <v>828</v>
      </c>
    </row>
    <row r="2009">
      <c r="A2009" s="4" t="s">
        <v>828</v>
      </c>
    </row>
    <row r="2010">
      <c r="A2010" s="4" t="s">
        <v>828</v>
      </c>
    </row>
    <row r="2011">
      <c r="A2011" s="4" t="s">
        <v>828</v>
      </c>
    </row>
    <row r="2012">
      <c r="A2012" s="4" t="s">
        <v>828</v>
      </c>
    </row>
    <row r="2013">
      <c r="A2013" s="4" t="s">
        <v>828</v>
      </c>
    </row>
    <row r="2014">
      <c r="A2014" s="4" t="s">
        <v>828</v>
      </c>
    </row>
    <row r="2015">
      <c r="A2015" s="4" t="s">
        <v>828</v>
      </c>
    </row>
    <row r="2016">
      <c r="A2016" s="4" t="s">
        <v>828</v>
      </c>
    </row>
    <row r="2017">
      <c r="A2017" s="4" t="s">
        <v>828</v>
      </c>
    </row>
    <row r="2018">
      <c r="A2018" s="4" t="s">
        <v>828</v>
      </c>
    </row>
    <row r="2019">
      <c r="A2019" s="4" t="s">
        <v>828</v>
      </c>
    </row>
    <row r="2020">
      <c r="A2020" s="4" t="s">
        <v>828</v>
      </c>
    </row>
    <row r="2021">
      <c r="A2021" s="4" t="s">
        <v>828</v>
      </c>
    </row>
    <row r="2022">
      <c r="A2022" s="4" t="s">
        <v>828</v>
      </c>
    </row>
    <row r="2023">
      <c r="A2023" s="4" t="s">
        <v>828</v>
      </c>
    </row>
    <row r="2024">
      <c r="A2024" s="4" t="s">
        <v>828</v>
      </c>
    </row>
    <row r="2025">
      <c r="A2025" s="4" t="s">
        <v>828</v>
      </c>
    </row>
    <row r="2026">
      <c r="A2026" s="4" t="s">
        <v>828</v>
      </c>
    </row>
    <row r="2027">
      <c r="A2027" s="4" t="s">
        <v>828</v>
      </c>
    </row>
    <row r="2028">
      <c r="A2028" s="4" t="s">
        <v>828</v>
      </c>
    </row>
    <row r="2029">
      <c r="A2029" s="4" t="s">
        <v>828</v>
      </c>
    </row>
    <row r="2030">
      <c r="A2030" s="4" t="s">
        <v>828</v>
      </c>
    </row>
    <row r="2031">
      <c r="A2031" s="4" t="s">
        <v>828</v>
      </c>
    </row>
    <row r="2032">
      <c r="A2032" s="4" t="s">
        <v>828</v>
      </c>
    </row>
    <row r="2033">
      <c r="A2033" s="4" t="s">
        <v>828</v>
      </c>
    </row>
    <row r="2034">
      <c r="A2034" s="4" t="s">
        <v>828</v>
      </c>
    </row>
    <row r="2035">
      <c r="A2035" s="4" t="s">
        <v>828</v>
      </c>
    </row>
    <row r="2036">
      <c r="A2036" s="4" t="s">
        <v>828</v>
      </c>
    </row>
    <row r="2037">
      <c r="A2037" s="4" t="s">
        <v>828</v>
      </c>
    </row>
    <row r="2038">
      <c r="A2038" s="4" t="s">
        <v>828</v>
      </c>
    </row>
    <row r="2039">
      <c r="A2039" s="4" t="s">
        <v>828</v>
      </c>
    </row>
    <row r="2040">
      <c r="A2040" s="4" t="s">
        <v>828</v>
      </c>
    </row>
    <row r="2041">
      <c r="A2041" s="4" t="s">
        <v>828</v>
      </c>
    </row>
    <row r="2042">
      <c r="A2042" s="4" t="s">
        <v>828</v>
      </c>
    </row>
    <row r="2043">
      <c r="A2043" s="4" t="s">
        <v>828</v>
      </c>
    </row>
    <row r="2044">
      <c r="A2044" s="4" t="s">
        <v>828</v>
      </c>
    </row>
    <row r="2045">
      <c r="A2045" s="4" t="s">
        <v>828</v>
      </c>
    </row>
    <row r="2046">
      <c r="A2046" s="4" t="s">
        <v>828</v>
      </c>
    </row>
    <row r="2047">
      <c r="A2047" s="4" t="s">
        <v>828</v>
      </c>
    </row>
    <row r="2048">
      <c r="A2048" s="4" t="s">
        <v>828</v>
      </c>
    </row>
    <row r="2049">
      <c r="A2049" s="4" t="s">
        <v>828</v>
      </c>
    </row>
    <row r="2050">
      <c r="A2050" s="4" t="s">
        <v>828</v>
      </c>
    </row>
    <row r="2051">
      <c r="A2051" s="4" t="s">
        <v>828</v>
      </c>
    </row>
    <row r="2052">
      <c r="A2052" s="4" t="s">
        <v>828</v>
      </c>
    </row>
    <row r="2053">
      <c r="A2053" s="4" t="s">
        <v>828</v>
      </c>
    </row>
    <row r="2054">
      <c r="A2054" s="4" t="s">
        <v>828</v>
      </c>
    </row>
    <row r="2055">
      <c r="A2055" s="4" t="s">
        <v>828</v>
      </c>
    </row>
    <row r="2056">
      <c r="A2056" s="4" t="s">
        <v>828</v>
      </c>
    </row>
    <row r="2057">
      <c r="A2057" s="4" t="s">
        <v>828</v>
      </c>
    </row>
    <row r="2058">
      <c r="A2058" s="4" t="s">
        <v>828</v>
      </c>
    </row>
    <row r="2059">
      <c r="A2059" s="4" t="s">
        <v>828</v>
      </c>
    </row>
    <row r="2060">
      <c r="A2060" s="4" t="s">
        <v>828</v>
      </c>
    </row>
    <row r="2061">
      <c r="A2061" s="4" t="s">
        <v>828</v>
      </c>
    </row>
    <row r="2062">
      <c r="A2062" s="4" t="s">
        <v>828</v>
      </c>
    </row>
    <row r="2063">
      <c r="A2063" s="4" t="s">
        <v>828</v>
      </c>
    </row>
    <row r="2064">
      <c r="A2064" s="4" t="s">
        <v>828</v>
      </c>
    </row>
    <row r="2065">
      <c r="A2065" s="4" t="s">
        <v>828</v>
      </c>
    </row>
    <row r="2066">
      <c r="A2066" s="4" t="s">
        <v>828</v>
      </c>
    </row>
    <row r="2067">
      <c r="A2067" s="4" t="s">
        <v>828</v>
      </c>
    </row>
    <row r="2068">
      <c r="A2068" s="4" t="s">
        <v>828</v>
      </c>
    </row>
    <row r="2069">
      <c r="A2069" s="4" t="s">
        <v>828</v>
      </c>
    </row>
    <row r="2070">
      <c r="A2070" s="4" t="s">
        <v>828</v>
      </c>
    </row>
    <row r="2071">
      <c r="A2071" s="4" t="s">
        <v>828</v>
      </c>
    </row>
    <row r="2072">
      <c r="A2072" s="4" t="s">
        <v>828</v>
      </c>
    </row>
    <row r="2073">
      <c r="A2073" s="4" t="s">
        <v>828</v>
      </c>
    </row>
    <row r="2074">
      <c r="A2074" s="4" t="s">
        <v>828</v>
      </c>
    </row>
    <row r="2075">
      <c r="A2075" s="4" t="s">
        <v>828</v>
      </c>
    </row>
    <row r="2076">
      <c r="A2076" s="4" t="s">
        <v>828</v>
      </c>
    </row>
    <row r="2077">
      <c r="A2077" s="4" t="s">
        <v>828</v>
      </c>
    </row>
    <row r="2078">
      <c r="A2078" s="4" t="s">
        <v>828</v>
      </c>
    </row>
    <row r="2079">
      <c r="A2079" s="4" t="s">
        <v>828</v>
      </c>
    </row>
    <row r="2080">
      <c r="A2080" s="4" t="s">
        <v>828</v>
      </c>
    </row>
    <row r="2081">
      <c r="A2081" s="4" t="s">
        <v>828</v>
      </c>
    </row>
    <row r="2082">
      <c r="A2082" s="4" t="s">
        <v>828</v>
      </c>
    </row>
    <row r="2083">
      <c r="A2083" s="4" t="s">
        <v>828</v>
      </c>
    </row>
    <row r="2084">
      <c r="A2084" s="4" t="s">
        <v>828</v>
      </c>
    </row>
    <row r="2085">
      <c r="A2085" s="4" t="s">
        <v>828</v>
      </c>
    </row>
    <row r="2086">
      <c r="A2086" s="4" t="s">
        <v>828</v>
      </c>
    </row>
    <row r="2087">
      <c r="A2087" s="4" t="s">
        <v>828</v>
      </c>
    </row>
    <row r="2088">
      <c r="A2088" s="4" t="s">
        <v>828</v>
      </c>
    </row>
    <row r="2089">
      <c r="A2089" s="4" t="s">
        <v>828</v>
      </c>
    </row>
    <row r="2090">
      <c r="A2090" s="4" t="s">
        <v>828</v>
      </c>
    </row>
    <row r="2091">
      <c r="A2091" s="4" t="s">
        <v>828</v>
      </c>
    </row>
    <row r="2092">
      <c r="A2092" s="4" t="s">
        <v>828</v>
      </c>
    </row>
    <row r="2093">
      <c r="A2093" s="4" t="s">
        <v>828</v>
      </c>
    </row>
    <row r="2094">
      <c r="A2094" s="4" t="s">
        <v>828</v>
      </c>
    </row>
    <row r="2095">
      <c r="A2095" s="4" t="s">
        <v>828</v>
      </c>
    </row>
    <row r="2096">
      <c r="A2096" s="4" t="s">
        <v>828</v>
      </c>
    </row>
    <row r="2097">
      <c r="A2097" s="4" t="s">
        <v>828</v>
      </c>
    </row>
    <row r="2098">
      <c r="A2098" s="4" t="s">
        <v>828</v>
      </c>
    </row>
    <row r="2099">
      <c r="A2099" s="4" t="s">
        <v>828</v>
      </c>
    </row>
    <row r="2100">
      <c r="A2100" s="4" t="s">
        <v>828</v>
      </c>
    </row>
    <row r="2101">
      <c r="A2101" s="4" t="s">
        <v>828</v>
      </c>
    </row>
    <row r="2102">
      <c r="A2102" s="4" t="s">
        <v>828</v>
      </c>
    </row>
    <row r="2103">
      <c r="A2103" s="4" t="s">
        <v>828</v>
      </c>
    </row>
    <row r="2104">
      <c r="A2104" s="4" t="s">
        <v>828</v>
      </c>
    </row>
    <row r="2105">
      <c r="A2105" s="4" t="s">
        <v>828</v>
      </c>
    </row>
    <row r="2106">
      <c r="A2106" s="4" t="s">
        <v>828</v>
      </c>
    </row>
    <row r="2107">
      <c r="A2107" s="4" t="s">
        <v>828</v>
      </c>
    </row>
    <row r="2108">
      <c r="A2108" s="4" t="s">
        <v>828</v>
      </c>
    </row>
    <row r="2109">
      <c r="A2109" s="4" t="s">
        <v>828</v>
      </c>
    </row>
    <row r="2110">
      <c r="A2110" s="4" t="s">
        <v>828</v>
      </c>
    </row>
    <row r="2111">
      <c r="A2111" s="4" t="s">
        <v>828</v>
      </c>
    </row>
    <row r="2112">
      <c r="A2112" s="4" t="s">
        <v>828</v>
      </c>
    </row>
    <row r="2113">
      <c r="A2113" s="4" t="s">
        <v>828</v>
      </c>
    </row>
    <row r="2114">
      <c r="A2114" s="4" t="s">
        <v>828</v>
      </c>
    </row>
    <row r="2115">
      <c r="A2115" s="4" t="s">
        <v>828</v>
      </c>
    </row>
    <row r="2116">
      <c r="A2116" s="4" t="s">
        <v>828</v>
      </c>
    </row>
    <row r="2117">
      <c r="A2117" s="4" t="s">
        <v>828</v>
      </c>
    </row>
    <row r="2118">
      <c r="A2118" s="4" t="s">
        <v>828</v>
      </c>
    </row>
    <row r="2119">
      <c r="A2119" s="4" t="s">
        <v>828</v>
      </c>
    </row>
    <row r="2120">
      <c r="A2120" s="4" t="s">
        <v>828</v>
      </c>
    </row>
    <row r="2121">
      <c r="A2121" s="4" t="s">
        <v>828</v>
      </c>
    </row>
    <row r="2122">
      <c r="A2122" s="4" t="s">
        <v>828</v>
      </c>
    </row>
    <row r="2123">
      <c r="A2123" s="4" t="s">
        <v>828</v>
      </c>
    </row>
    <row r="2124">
      <c r="A2124" s="4" t="s">
        <v>828</v>
      </c>
    </row>
    <row r="2125">
      <c r="A2125" s="4" t="s">
        <v>828</v>
      </c>
    </row>
    <row r="2126">
      <c r="A2126" s="4" t="s">
        <v>828</v>
      </c>
    </row>
    <row r="2127">
      <c r="A2127" s="4" t="s">
        <v>828</v>
      </c>
    </row>
    <row r="2128">
      <c r="A2128" s="4" t="s">
        <v>828</v>
      </c>
    </row>
    <row r="2129">
      <c r="A2129" s="4" t="s">
        <v>828</v>
      </c>
    </row>
    <row r="2130">
      <c r="A2130" s="4" t="s">
        <v>828</v>
      </c>
    </row>
    <row r="2131">
      <c r="A2131" s="4" t="s">
        <v>828</v>
      </c>
    </row>
    <row r="2132">
      <c r="A2132" s="4" t="s">
        <v>828</v>
      </c>
    </row>
    <row r="2133">
      <c r="A2133" s="4" t="s">
        <v>828</v>
      </c>
    </row>
    <row r="2134">
      <c r="A2134" s="4" t="s">
        <v>828</v>
      </c>
    </row>
    <row r="2135">
      <c r="A2135" s="4" t="s">
        <v>828</v>
      </c>
    </row>
    <row r="2136">
      <c r="A2136" s="4" t="s">
        <v>828</v>
      </c>
    </row>
    <row r="2137">
      <c r="A2137" s="4" t="s">
        <v>828</v>
      </c>
    </row>
    <row r="2138">
      <c r="A2138" s="4" t="s">
        <v>828</v>
      </c>
    </row>
    <row r="2139">
      <c r="A2139" s="4" t="s">
        <v>828</v>
      </c>
    </row>
    <row r="2140">
      <c r="A2140" s="4" t="s">
        <v>828</v>
      </c>
    </row>
    <row r="2141">
      <c r="A2141" s="4" t="s">
        <v>828</v>
      </c>
    </row>
    <row r="2142">
      <c r="A2142" s="4" t="s">
        <v>828</v>
      </c>
    </row>
    <row r="2143">
      <c r="A2143" s="4" t="s">
        <v>828</v>
      </c>
    </row>
    <row r="2144">
      <c r="A2144" s="4" t="s">
        <v>828</v>
      </c>
    </row>
    <row r="2145">
      <c r="A2145" s="4" t="s">
        <v>828</v>
      </c>
    </row>
    <row r="2146">
      <c r="A2146" s="4" t="s">
        <v>828</v>
      </c>
    </row>
    <row r="2147">
      <c r="A2147" s="4" t="s">
        <v>828</v>
      </c>
    </row>
    <row r="2148">
      <c r="A2148" s="4" t="s">
        <v>828</v>
      </c>
    </row>
    <row r="2149">
      <c r="A2149" s="4" t="s">
        <v>828</v>
      </c>
    </row>
    <row r="2150">
      <c r="A2150" s="4" t="s">
        <v>828</v>
      </c>
    </row>
    <row r="2151">
      <c r="A2151" s="4" t="s">
        <v>828</v>
      </c>
    </row>
    <row r="2152">
      <c r="A2152" s="4" t="s">
        <v>828</v>
      </c>
    </row>
    <row r="2153">
      <c r="A2153" s="4" t="s">
        <v>828</v>
      </c>
    </row>
    <row r="2154">
      <c r="A2154" s="4" t="s">
        <v>828</v>
      </c>
    </row>
    <row r="2155">
      <c r="A2155" s="4" t="s">
        <v>828</v>
      </c>
    </row>
    <row r="2156">
      <c r="A2156" s="4" t="s">
        <v>828</v>
      </c>
    </row>
    <row r="2157">
      <c r="A2157" s="4" t="s">
        <v>828</v>
      </c>
    </row>
    <row r="2158">
      <c r="A2158" s="4" t="s">
        <v>828</v>
      </c>
    </row>
    <row r="2159">
      <c r="A2159" s="4" t="s">
        <v>828</v>
      </c>
    </row>
    <row r="2160">
      <c r="A2160" s="4" t="s">
        <v>828</v>
      </c>
    </row>
    <row r="2161">
      <c r="A2161" s="4" t="s">
        <v>828</v>
      </c>
    </row>
    <row r="2162">
      <c r="A2162" s="4" t="s">
        <v>828</v>
      </c>
    </row>
    <row r="2163">
      <c r="A2163" s="4" t="s">
        <v>828</v>
      </c>
    </row>
    <row r="2164">
      <c r="A2164" s="4" t="s">
        <v>828</v>
      </c>
    </row>
    <row r="2165">
      <c r="A2165" s="4" t="s">
        <v>828</v>
      </c>
    </row>
    <row r="2166">
      <c r="A2166" s="4" t="s">
        <v>828</v>
      </c>
    </row>
    <row r="2167">
      <c r="A2167" s="4" t="s">
        <v>828</v>
      </c>
    </row>
    <row r="2168">
      <c r="A2168" s="4" t="s">
        <v>828</v>
      </c>
    </row>
    <row r="2169">
      <c r="A2169" s="4" t="s">
        <v>828</v>
      </c>
    </row>
    <row r="2170">
      <c r="A2170" s="4" t="s">
        <v>828</v>
      </c>
    </row>
    <row r="2171">
      <c r="A2171" s="4" t="s">
        <v>828</v>
      </c>
    </row>
    <row r="2172">
      <c r="A2172" s="4" t="s">
        <v>828</v>
      </c>
    </row>
    <row r="2173">
      <c r="A2173" s="4" t="s">
        <v>828</v>
      </c>
    </row>
    <row r="2174">
      <c r="A2174" s="4" t="s">
        <v>828</v>
      </c>
    </row>
    <row r="2175">
      <c r="A2175" s="4" t="s">
        <v>828</v>
      </c>
    </row>
    <row r="2176">
      <c r="A2176" s="4" t="s">
        <v>828</v>
      </c>
    </row>
    <row r="2177">
      <c r="A2177" s="4" t="s">
        <v>828</v>
      </c>
    </row>
    <row r="2178">
      <c r="A2178" s="4" t="s">
        <v>828</v>
      </c>
    </row>
    <row r="2179">
      <c r="A2179" s="4" t="s">
        <v>828</v>
      </c>
    </row>
    <row r="2180">
      <c r="A2180" s="4" t="s">
        <v>828</v>
      </c>
    </row>
    <row r="2181">
      <c r="A2181" s="4" t="s">
        <v>828</v>
      </c>
    </row>
    <row r="2182">
      <c r="A2182" s="4" t="s">
        <v>828</v>
      </c>
    </row>
    <row r="2183">
      <c r="A2183" s="4" t="s">
        <v>828</v>
      </c>
    </row>
    <row r="2184">
      <c r="A2184" s="4" t="s">
        <v>828</v>
      </c>
    </row>
    <row r="2185">
      <c r="A2185" s="4" t="s">
        <v>828</v>
      </c>
    </row>
    <row r="2186">
      <c r="A2186" s="4" t="s">
        <v>828</v>
      </c>
    </row>
    <row r="2187">
      <c r="A2187" s="4" t="s">
        <v>828</v>
      </c>
    </row>
    <row r="2188">
      <c r="A2188" s="4" t="s">
        <v>828</v>
      </c>
    </row>
    <row r="2189">
      <c r="A2189" s="4" t="s">
        <v>828</v>
      </c>
    </row>
    <row r="2190">
      <c r="A2190" s="4" t="s">
        <v>828</v>
      </c>
    </row>
    <row r="2191">
      <c r="A2191" s="4" t="s">
        <v>828</v>
      </c>
    </row>
    <row r="2192">
      <c r="A2192" s="4" t="s">
        <v>828</v>
      </c>
    </row>
    <row r="2193">
      <c r="A2193" s="4" t="s">
        <v>828</v>
      </c>
    </row>
    <row r="2194">
      <c r="A2194" s="4" t="s">
        <v>828</v>
      </c>
    </row>
    <row r="2195">
      <c r="A2195" s="4" t="s">
        <v>828</v>
      </c>
    </row>
    <row r="2196">
      <c r="A2196" s="4" t="s">
        <v>828</v>
      </c>
    </row>
    <row r="2197">
      <c r="A2197" s="4" t="s">
        <v>828</v>
      </c>
    </row>
    <row r="2198">
      <c r="A2198" s="4" t="s">
        <v>828</v>
      </c>
    </row>
    <row r="2199">
      <c r="A2199" s="4" t="s">
        <v>828</v>
      </c>
    </row>
    <row r="2200">
      <c r="A2200" s="4" t="s">
        <v>828</v>
      </c>
    </row>
    <row r="2201">
      <c r="A2201" s="4" t="s">
        <v>828</v>
      </c>
    </row>
    <row r="2202">
      <c r="A2202" s="4" t="s">
        <v>828</v>
      </c>
    </row>
    <row r="2203">
      <c r="A2203" s="4" t="s">
        <v>828</v>
      </c>
    </row>
    <row r="2204">
      <c r="A2204" s="4" t="s">
        <v>828</v>
      </c>
    </row>
    <row r="2205">
      <c r="A2205" s="4" t="s">
        <v>828</v>
      </c>
    </row>
    <row r="2206">
      <c r="A2206" s="4" t="s">
        <v>828</v>
      </c>
    </row>
    <row r="2207">
      <c r="A2207" s="4" t="s">
        <v>828</v>
      </c>
    </row>
    <row r="2208">
      <c r="A2208" s="4" t="s">
        <v>828</v>
      </c>
    </row>
    <row r="2209">
      <c r="A2209" s="4" t="s">
        <v>828</v>
      </c>
    </row>
    <row r="2210">
      <c r="A2210" s="4" t="s">
        <v>828</v>
      </c>
    </row>
    <row r="2211">
      <c r="A2211" s="4" t="s">
        <v>828</v>
      </c>
    </row>
    <row r="2212">
      <c r="A2212" s="4" t="s">
        <v>828</v>
      </c>
    </row>
    <row r="2213">
      <c r="A2213" s="4" t="s">
        <v>828</v>
      </c>
    </row>
    <row r="2214">
      <c r="A2214" s="4" t="s">
        <v>828</v>
      </c>
    </row>
    <row r="2215">
      <c r="A2215" s="4" t="s">
        <v>828</v>
      </c>
    </row>
    <row r="2216">
      <c r="A2216" s="4" t="s">
        <v>828</v>
      </c>
    </row>
    <row r="2217">
      <c r="A2217" s="4" t="s">
        <v>828</v>
      </c>
    </row>
    <row r="2218">
      <c r="A2218" s="4" t="s">
        <v>828</v>
      </c>
    </row>
    <row r="2219">
      <c r="A2219" s="4" t="s">
        <v>828</v>
      </c>
    </row>
    <row r="2220">
      <c r="A2220" s="4" t="s">
        <v>828</v>
      </c>
    </row>
    <row r="2221">
      <c r="A2221" s="4" t="s">
        <v>828</v>
      </c>
    </row>
    <row r="2222">
      <c r="A2222" s="4" t="s">
        <v>828</v>
      </c>
    </row>
    <row r="2223">
      <c r="A2223" s="4" t="s">
        <v>828</v>
      </c>
    </row>
    <row r="2224">
      <c r="A2224" s="4" t="s">
        <v>828</v>
      </c>
    </row>
    <row r="2225">
      <c r="A2225" s="4" t="s">
        <v>828</v>
      </c>
    </row>
    <row r="2226">
      <c r="A2226" s="4" t="s">
        <v>828</v>
      </c>
    </row>
    <row r="2227">
      <c r="A2227" s="4" t="s">
        <v>828</v>
      </c>
    </row>
    <row r="2228">
      <c r="A2228" s="4" t="s">
        <v>828</v>
      </c>
    </row>
    <row r="2229">
      <c r="A2229" s="4" t="s">
        <v>828</v>
      </c>
    </row>
    <row r="2230">
      <c r="A2230" s="4" t="s">
        <v>828</v>
      </c>
    </row>
    <row r="2231">
      <c r="A2231" s="4" t="s">
        <v>828</v>
      </c>
    </row>
    <row r="2232">
      <c r="A2232" s="4" t="s">
        <v>828</v>
      </c>
    </row>
    <row r="2233">
      <c r="A2233" s="4" t="s">
        <v>828</v>
      </c>
    </row>
    <row r="2234">
      <c r="A2234" s="4" t="s">
        <v>828</v>
      </c>
    </row>
    <row r="2235">
      <c r="A2235" s="4" t="s">
        <v>828</v>
      </c>
    </row>
    <row r="2236">
      <c r="A2236" s="4" t="s">
        <v>828</v>
      </c>
    </row>
    <row r="2237">
      <c r="A2237" s="4" t="s">
        <v>828</v>
      </c>
    </row>
    <row r="2238">
      <c r="A2238" s="4" t="s">
        <v>828</v>
      </c>
    </row>
    <row r="2239">
      <c r="A2239" s="4" t="s">
        <v>828</v>
      </c>
    </row>
    <row r="2240">
      <c r="A2240" s="4" t="s">
        <v>828</v>
      </c>
    </row>
    <row r="2241">
      <c r="A2241" s="4" t="s">
        <v>828</v>
      </c>
    </row>
    <row r="2242">
      <c r="A2242" s="4" t="s">
        <v>828</v>
      </c>
    </row>
    <row r="2243">
      <c r="A2243" s="4" t="s">
        <v>828</v>
      </c>
    </row>
    <row r="2244">
      <c r="A2244" s="4" t="s">
        <v>828</v>
      </c>
    </row>
    <row r="2245">
      <c r="A2245" s="4" t="s">
        <v>828</v>
      </c>
    </row>
    <row r="2246">
      <c r="A2246" s="4" t="s">
        <v>828</v>
      </c>
    </row>
    <row r="2247">
      <c r="A2247" s="4" t="s">
        <v>828</v>
      </c>
    </row>
    <row r="2248">
      <c r="A2248" s="4" t="s">
        <v>828</v>
      </c>
    </row>
    <row r="2249">
      <c r="A2249" s="4" t="s">
        <v>828</v>
      </c>
    </row>
    <row r="2250">
      <c r="A2250" s="4" t="s">
        <v>828</v>
      </c>
    </row>
    <row r="2251">
      <c r="A2251" s="4" t="s">
        <v>828</v>
      </c>
    </row>
    <row r="2252">
      <c r="A2252" s="4" t="s">
        <v>828</v>
      </c>
    </row>
    <row r="2253">
      <c r="A2253" s="4" t="s">
        <v>828</v>
      </c>
    </row>
    <row r="2254">
      <c r="A2254" s="4" t="s">
        <v>828</v>
      </c>
    </row>
    <row r="2255">
      <c r="A2255" s="4" t="s">
        <v>828</v>
      </c>
    </row>
    <row r="2256">
      <c r="A2256" s="4" t="s">
        <v>828</v>
      </c>
    </row>
    <row r="2257">
      <c r="A2257" s="4" t="s">
        <v>828</v>
      </c>
    </row>
    <row r="2258">
      <c r="A2258" s="4" t="s">
        <v>828</v>
      </c>
    </row>
    <row r="2259">
      <c r="A2259" s="4" t="s">
        <v>828</v>
      </c>
    </row>
    <row r="2260">
      <c r="A2260" s="4" t="s">
        <v>828</v>
      </c>
    </row>
    <row r="2261">
      <c r="A2261" s="4" t="s">
        <v>828</v>
      </c>
    </row>
    <row r="2262">
      <c r="A2262" s="4" t="s">
        <v>828</v>
      </c>
    </row>
    <row r="2263">
      <c r="A2263" s="4" t="s">
        <v>828</v>
      </c>
    </row>
    <row r="2264">
      <c r="A2264" s="4" t="s">
        <v>828</v>
      </c>
    </row>
    <row r="2265">
      <c r="A2265" s="4" t="s">
        <v>828</v>
      </c>
    </row>
    <row r="2266">
      <c r="A2266" s="4" t="s">
        <v>828</v>
      </c>
    </row>
    <row r="2267">
      <c r="A2267" s="4" t="s">
        <v>828</v>
      </c>
    </row>
    <row r="2268">
      <c r="A2268" s="4" t="s">
        <v>828</v>
      </c>
    </row>
    <row r="2269">
      <c r="A2269" s="4" t="s">
        <v>828</v>
      </c>
    </row>
    <row r="2270">
      <c r="A2270" s="4" t="s">
        <v>828</v>
      </c>
    </row>
    <row r="2271">
      <c r="A2271" s="4" t="s">
        <v>828</v>
      </c>
    </row>
    <row r="2272">
      <c r="A2272" s="4" t="s">
        <v>828</v>
      </c>
    </row>
    <row r="2273">
      <c r="A2273" s="4" t="s">
        <v>828</v>
      </c>
    </row>
    <row r="2274">
      <c r="A2274" s="4" t="s">
        <v>828</v>
      </c>
    </row>
    <row r="2275">
      <c r="A2275" s="4" t="s">
        <v>828</v>
      </c>
    </row>
    <row r="2276">
      <c r="A2276" s="4" t="s">
        <v>828</v>
      </c>
    </row>
    <row r="2277">
      <c r="A2277" s="4" t="s">
        <v>828</v>
      </c>
    </row>
    <row r="2278">
      <c r="A2278" s="4" t="s">
        <v>828</v>
      </c>
    </row>
    <row r="2279">
      <c r="A2279" s="4" t="s">
        <v>828</v>
      </c>
    </row>
    <row r="2280">
      <c r="A2280" s="4" t="s">
        <v>828</v>
      </c>
    </row>
    <row r="2281">
      <c r="A2281" s="4" t="s">
        <v>828</v>
      </c>
    </row>
    <row r="2282">
      <c r="A2282" s="4" t="s">
        <v>828</v>
      </c>
    </row>
    <row r="2283">
      <c r="A2283" s="4" t="s">
        <v>828</v>
      </c>
    </row>
    <row r="2284">
      <c r="A2284" s="4" t="s">
        <v>828</v>
      </c>
    </row>
    <row r="2285">
      <c r="A2285" s="4" t="s">
        <v>828</v>
      </c>
    </row>
    <row r="2286">
      <c r="A2286" s="4" t="s">
        <v>828</v>
      </c>
    </row>
    <row r="2287">
      <c r="A2287" s="4" t="s">
        <v>828</v>
      </c>
    </row>
    <row r="2288">
      <c r="A2288" s="4" t="s">
        <v>828</v>
      </c>
    </row>
    <row r="2289">
      <c r="A2289" s="4" t="s">
        <v>828</v>
      </c>
    </row>
    <row r="2290">
      <c r="A2290" s="4" t="s">
        <v>828</v>
      </c>
    </row>
    <row r="2291">
      <c r="A2291" s="4" t="s">
        <v>828</v>
      </c>
    </row>
    <row r="2292">
      <c r="A2292" s="4" t="s">
        <v>828</v>
      </c>
    </row>
    <row r="2293">
      <c r="A2293" s="4" t="s">
        <v>828</v>
      </c>
    </row>
    <row r="2294">
      <c r="A2294" s="4" t="s">
        <v>828</v>
      </c>
    </row>
    <row r="2295">
      <c r="A2295" s="4" t="s">
        <v>828</v>
      </c>
    </row>
    <row r="2296">
      <c r="A2296" s="4" t="s">
        <v>828</v>
      </c>
    </row>
    <row r="2297">
      <c r="A2297" s="4" t="s">
        <v>828</v>
      </c>
    </row>
    <row r="2298">
      <c r="A2298" s="4" t="s">
        <v>828</v>
      </c>
    </row>
    <row r="2299">
      <c r="A2299" s="4" t="s">
        <v>828</v>
      </c>
    </row>
    <row r="2300">
      <c r="A2300" s="4" t="s">
        <v>828</v>
      </c>
    </row>
    <row r="2301">
      <c r="A2301" s="4" t="s">
        <v>828</v>
      </c>
    </row>
    <row r="2302">
      <c r="A2302" s="4" t="s">
        <v>828</v>
      </c>
    </row>
    <row r="2303">
      <c r="A2303" s="4" t="s">
        <v>828</v>
      </c>
    </row>
    <row r="2304">
      <c r="A2304" s="4" t="s">
        <v>828</v>
      </c>
    </row>
    <row r="2305">
      <c r="A2305" s="4" t="s">
        <v>828</v>
      </c>
    </row>
    <row r="2306">
      <c r="A2306" s="4" t="s">
        <v>828</v>
      </c>
    </row>
    <row r="2307">
      <c r="A2307" s="4" t="s">
        <v>828</v>
      </c>
    </row>
    <row r="2308">
      <c r="A2308" s="4" t="s">
        <v>828</v>
      </c>
    </row>
    <row r="2309">
      <c r="A2309" s="4" t="s">
        <v>828</v>
      </c>
    </row>
    <row r="2310">
      <c r="A2310" s="4" t="s">
        <v>828</v>
      </c>
    </row>
    <row r="2311">
      <c r="A2311" s="4" t="s">
        <v>828</v>
      </c>
    </row>
    <row r="2312">
      <c r="A2312" s="4" t="s">
        <v>828</v>
      </c>
    </row>
    <row r="2313">
      <c r="A2313" s="4" t="s">
        <v>828</v>
      </c>
    </row>
    <row r="2314">
      <c r="A2314" s="4" t="s">
        <v>828</v>
      </c>
    </row>
    <row r="2315">
      <c r="A2315" s="4" t="s">
        <v>828</v>
      </c>
    </row>
    <row r="2316">
      <c r="A2316" s="4" t="s">
        <v>828</v>
      </c>
    </row>
    <row r="2317">
      <c r="A2317" s="4" t="s">
        <v>828</v>
      </c>
    </row>
    <row r="2318">
      <c r="A2318" s="4" t="s">
        <v>828</v>
      </c>
    </row>
    <row r="2319">
      <c r="A2319" s="4" t="s">
        <v>828</v>
      </c>
    </row>
    <row r="2320">
      <c r="A2320" s="4" t="s">
        <v>828</v>
      </c>
    </row>
    <row r="2321">
      <c r="A2321" s="4" t="s">
        <v>828</v>
      </c>
    </row>
    <row r="2322">
      <c r="A2322" s="4" t="s">
        <v>828</v>
      </c>
    </row>
    <row r="2323">
      <c r="A2323" s="4" t="s">
        <v>828</v>
      </c>
    </row>
    <row r="2324">
      <c r="A2324" s="4" t="s">
        <v>828</v>
      </c>
    </row>
    <row r="2325">
      <c r="A2325" s="4" t="s">
        <v>828</v>
      </c>
    </row>
    <row r="2326">
      <c r="A2326" s="4" t="s">
        <v>828</v>
      </c>
    </row>
    <row r="2327">
      <c r="A2327" s="4" t="s">
        <v>828</v>
      </c>
    </row>
    <row r="2328">
      <c r="A2328" s="4" t="s">
        <v>828</v>
      </c>
    </row>
    <row r="2329">
      <c r="A2329" s="4" t="s">
        <v>828</v>
      </c>
    </row>
    <row r="2330">
      <c r="A2330" s="4" t="s">
        <v>828</v>
      </c>
    </row>
    <row r="2331">
      <c r="A2331" s="4" t="s">
        <v>828</v>
      </c>
    </row>
    <row r="2332">
      <c r="A2332" s="4" t="s">
        <v>828</v>
      </c>
    </row>
    <row r="2333">
      <c r="A2333" s="4" t="s">
        <v>828</v>
      </c>
    </row>
    <row r="2334">
      <c r="A2334" s="4" t="s">
        <v>828</v>
      </c>
    </row>
    <row r="2335">
      <c r="A2335" s="4" t="s">
        <v>828</v>
      </c>
    </row>
    <row r="2336">
      <c r="A2336" s="4" t="s">
        <v>828</v>
      </c>
    </row>
    <row r="2337">
      <c r="A2337" s="4" t="s">
        <v>828</v>
      </c>
    </row>
    <row r="2338">
      <c r="A2338" s="4" t="s">
        <v>828</v>
      </c>
    </row>
    <row r="2339">
      <c r="A2339" s="4" t="s">
        <v>828</v>
      </c>
    </row>
    <row r="2340">
      <c r="A2340" s="4" t="s">
        <v>828</v>
      </c>
    </row>
    <row r="2341">
      <c r="A2341" s="4" t="s">
        <v>828</v>
      </c>
    </row>
    <row r="2342">
      <c r="A2342" s="4" t="s">
        <v>828</v>
      </c>
    </row>
    <row r="2343">
      <c r="A2343" s="4" t="s">
        <v>828</v>
      </c>
    </row>
    <row r="2344">
      <c r="A2344" s="4" t="s">
        <v>828</v>
      </c>
    </row>
    <row r="2345">
      <c r="A2345" s="4" t="s">
        <v>828</v>
      </c>
    </row>
    <row r="2346">
      <c r="A2346" s="4" t="s">
        <v>828</v>
      </c>
    </row>
    <row r="2347">
      <c r="A2347" s="4" t="s">
        <v>828</v>
      </c>
    </row>
    <row r="2348">
      <c r="A2348" s="4" t="s">
        <v>828</v>
      </c>
    </row>
    <row r="2349">
      <c r="A2349" s="4" t="s">
        <v>828</v>
      </c>
    </row>
    <row r="2350">
      <c r="A2350" s="4" t="s">
        <v>828</v>
      </c>
    </row>
    <row r="2351">
      <c r="A2351" s="4" t="s">
        <v>828</v>
      </c>
    </row>
    <row r="2352">
      <c r="A2352" s="4" t="s">
        <v>828</v>
      </c>
    </row>
    <row r="2353">
      <c r="A2353" s="4" t="s">
        <v>828</v>
      </c>
    </row>
    <row r="2354">
      <c r="A2354" s="4" t="s">
        <v>828</v>
      </c>
    </row>
    <row r="2355">
      <c r="A2355" s="4" t="s">
        <v>828</v>
      </c>
    </row>
    <row r="2356">
      <c r="A2356" s="4" t="s">
        <v>828</v>
      </c>
    </row>
    <row r="2357">
      <c r="A2357" s="4" t="s">
        <v>828</v>
      </c>
    </row>
    <row r="2358">
      <c r="A2358" s="4" t="s">
        <v>828</v>
      </c>
    </row>
    <row r="2359">
      <c r="A2359" s="4" t="s">
        <v>828</v>
      </c>
    </row>
    <row r="2360">
      <c r="A2360" s="4" t="s">
        <v>828</v>
      </c>
    </row>
    <row r="2361">
      <c r="A2361" s="4" t="s">
        <v>828</v>
      </c>
    </row>
    <row r="2362">
      <c r="A2362" s="4" t="s">
        <v>828</v>
      </c>
    </row>
    <row r="2363">
      <c r="A2363" s="4" t="s">
        <v>828</v>
      </c>
    </row>
    <row r="2364">
      <c r="A2364" s="4" t="s">
        <v>828</v>
      </c>
    </row>
    <row r="2365">
      <c r="A2365" s="4" t="s">
        <v>828</v>
      </c>
    </row>
    <row r="2366">
      <c r="A2366" s="4" t="s">
        <v>828</v>
      </c>
    </row>
    <row r="2367">
      <c r="A2367" s="4" t="s">
        <v>828</v>
      </c>
    </row>
    <row r="2368">
      <c r="A2368" s="4" t="s">
        <v>828</v>
      </c>
    </row>
    <row r="2369">
      <c r="A2369" s="4" t="s">
        <v>828</v>
      </c>
    </row>
    <row r="2370">
      <c r="A2370" s="4" t="s">
        <v>828</v>
      </c>
    </row>
    <row r="2371">
      <c r="A2371" s="4" t="s">
        <v>828</v>
      </c>
    </row>
    <row r="2372">
      <c r="A2372" s="4" t="s">
        <v>828</v>
      </c>
    </row>
    <row r="2373">
      <c r="A2373" s="4" t="s">
        <v>828</v>
      </c>
    </row>
    <row r="2374">
      <c r="A2374" s="4" t="s">
        <v>828</v>
      </c>
    </row>
    <row r="2375">
      <c r="A2375" s="4" t="s">
        <v>828</v>
      </c>
    </row>
    <row r="2376">
      <c r="A2376" s="4" t="s">
        <v>828</v>
      </c>
    </row>
    <row r="2377">
      <c r="A2377" s="4" t="s">
        <v>828</v>
      </c>
    </row>
    <row r="2378">
      <c r="A2378" s="4" t="s">
        <v>828</v>
      </c>
    </row>
    <row r="2379">
      <c r="A2379" s="4" t="s">
        <v>828</v>
      </c>
    </row>
    <row r="2380">
      <c r="A2380" s="4" t="s">
        <v>828</v>
      </c>
    </row>
    <row r="2381">
      <c r="A2381" s="4" t="s">
        <v>828</v>
      </c>
    </row>
    <row r="2382">
      <c r="A2382" s="4" t="s">
        <v>828</v>
      </c>
    </row>
    <row r="2383">
      <c r="A2383" s="4" t="s">
        <v>828</v>
      </c>
    </row>
    <row r="2384">
      <c r="A2384" s="4" t="s">
        <v>828</v>
      </c>
    </row>
    <row r="2385">
      <c r="A2385" s="4" t="s">
        <v>828</v>
      </c>
    </row>
    <row r="2386">
      <c r="A2386" s="4" t="s">
        <v>828</v>
      </c>
    </row>
    <row r="2387">
      <c r="A2387" s="4" t="s">
        <v>828</v>
      </c>
    </row>
    <row r="2388">
      <c r="A2388" s="4" t="s">
        <v>828</v>
      </c>
    </row>
    <row r="2389">
      <c r="A2389" s="4" t="s">
        <v>828</v>
      </c>
    </row>
    <row r="2390">
      <c r="A2390" s="4" t="s">
        <v>828</v>
      </c>
    </row>
    <row r="2391">
      <c r="A2391" s="4" t="s">
        <v>828</v>
      </c>
    </row>
    <row r="2392">
      <c r="A2392" s="4" t="s">
        <v>828</v>
      </c>
    </row>
    <row r="2393">
      <c r="A2393" s="4" t="s">
        <v>828</v>
      </c>
    </row>
    <row r="2394">
      <c r="A2394" s="4" t="s">
        <v>828</v>
      </c>
    </row>
    <row r="2395">
      <c r="A2395" s="4" t="s">
        <v>828</v>
      </c>
    </row>
    <row r="2396">
      <c r="A2396" s="4" t="s">
        <v>828</v>
      </c>
    </row>
    <row r="2397">
      <c r="A2397" s="4" t="s">
        <v>828</v>
      </c>
    </row>
    <row r="2398">
      <c r="A2398" s="4" t="s">
        <v>828</v>
      </c>
    </row>
    <row r="2399">
      <c r="A2399" s="4" t="s">
        <v>828</v>
      </c>
    </row>
    <row r="2400">
      <c r="A2400" s="4" t="s">
        <v>828</v>
      </c>
    </row>
    <row r="2401">
      <c r="A2401" s="4" t="s">
        <v>828</v>
      </c>
    </row>
    <row r="2402">
      <c r="A2402" s="4" t="s">
        <v>828</v>
      </c>
    </row>
    <row r="2403">
      <c r="A2403" s="4" t="s">
        <v>828</v>
      </c>
    </row>
    <row r="2404">
      <c r="A2404" s="4" t="s">
        <v>828</v>
      </c>
    </row>
    <row r="2405">
      <c r="A2405" s="4" t="s">
        <v>828</v>
      </c>
    </row>
    <row r="2406">
      <c r="A2406" s="4" t="s">
        <v>828</v>
      </c>
    </row>
    <row r="2407">
      <c r="A2407" s="4" t="s">
        <v>828</v>
      </c>
    </row>
    <row r="2408">
      <c r="A2408" s="4" t="s">
        <v>828</v>
      </c>
    </row>
    <row r="2409">
      <c r="A2409" s="4" t="s">
        <v>828</v>
      </c>
    </row>
    <row r="2410">
      <c r="A2410" s="4" t="s">
        <v>828</v>
      </c>
    </row>
    <row r="2411">
      <c r="A2411" s="4" t="s">
        <v>828</v>
      </c>
    </row>
    <row r="2412">
      <c r="A2412" s="4" t="s">
        <v>828</v>
      </c>
    </row>
    <row r="2413">
      <c r="A2413" s="4" t="s">
        <v>828</v>
      </c>
    </row>
    <row r="2414">
      <c r="A2414" s="4" t="s">
        <v>828</v>
      </c>
    </row>
    <row r="2415">
      <c r="A2415" s="4" t="s">
        <v>828</v>
      </c>
    </row>
    <row r="2416">
      <c r="A2416" s="4" t="s">
        <v>828</v>
      </c>
    </row>
    <row r="2417">
      <c r="A2417" s="4" t="s">
        <v>828</v>
      </c>
    </row>
    <row r="2418">
      <c r="A2418" s="4" t="s">
        <v>828</v>
      </c>
    </row>
    <row r="2419">
      <c r="A2419" s="4" t="s">
        <v>828</v>
      </c>
    </row>
    <row r="2420">
      <c r="A2420" s="4" t="s">
        <v>828</v>
      </c>
    </row>
    <row r="2421">
      <c r="A2421" s="4" t="s">
        <v>828</v>
      </c>
    </row>
    <row r="2422">
      <c r="A2422" s="4" t="s">
        <v>828</v>
      </c>
    </row>
    <row r="2423">
      <c r="A2423" s="4" t="s">
        <v>828</v>
      </c>
    </row>
    <row r="2424">
      <c r="A2424" s="4" t="s">
        <v>828</v>
      </c>
    </row>
    <row r="2425">
      <c r="A2425" s="4" t="s">
        <v>828</v>
      </c>
    </row>
    <row r="2426">
      <c r="A2426" s="4" t="s">
        <v>828</v>
      </c>
    </row>
    <row r="2427">
      <c r="A2427" s="4" t="s">
        <v>828</v>
      </c>
    </row>
    <row r="2428">
      <c r="A2428" s="4" t="s">
        <v>828</v>
      </c>
    </row>
    <row r="2429">
      <c r="A2429" s="4" t="s">
        <v>828</v>
      </c>
    </row>
    <row r="2430">
      <c r="A2430" s="4" t="s">
        <v>828</v>
      </c>
    </row>
    <row r="2431">
      <c r="A2431" s="4" t="s">
        <v>828</v>
      </c>
    </row>
    <row r="2432">
      <c r="A2432" s="4" t="s">
        <v>828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829</v>
      </c>
      <c r="B1" s="3" t="s">
        <v>2052</v>
      </c>
      <c r="C1" s="3" t="s">
        <v>60</v>
      </c>
      <c r="D1" s="3" t="s">
        <v>2053</v>
      </c>
      <c r="E1" s="3" t="s">
        <v>2054</v>
      </c>
      <c r="F1" s="3" t="s">
        <v>978</v>
      </c>
      <c r="G1" s="3" t="s">
        <v>2055</v>
      </c>
      <c r="H1" s="3" t="s">
        <v>836</v>
      </c>
      <c r="I1" s="3" t="s">
        <v>837</v>
      </c>
      <c r="J1" s="3" t="s">
        <v>2056</v>
      </c>
    </row>
    <row r="2">
      <c r="A2" s="3" t="s">
        <v>2057</v>
      </c>
      <c r="B2" s="12">
        <v>46112.0</v>
      </c>
      <c r="C2" s="3" t="s">
        <v>62</v>
      </c>
      <c r="D2" s="3" t="s">
        <v>61</v>
      </c>
      <c r="E2" s="3" t="s">
        <v>903</v>
      </c>
      <c r="F2" s="3">
        <v>1.0</v>
      </c>
      <c r="G2" s="3" t="s">
        <v>2058</v>
      </c>
      <c r="H2" s="3" t="s">
        <v>1087</v>
      </c>
      <c r="J2" s="12">
        <v>46099.0</v>
      </c>
    </row>
    <row r="3">
      <c r="A3" s="3" t="s">
        <v>2059</v>
      </c>
      <c r="B3" s="12">
        <v>46114.0</v>
      </c>
      <c r="C3" s="3" t="s">
        <v>62</v>
      </c>
      <c r="D3" s="3" t="s">
        <v>910</v>
      </c>
      <c r="E3" s="3" t="s">
        <v>901</v>
      </c>
      <c r="F3" s="3">
        <v>1.0</v>
      </c>
      <c r="G3" s="3" t="s">
        <v>2060</v>
      </c>
      <c r="H3" s="3" t="s">
        <v>1121</v>
      </c>
      <c r="J3" s="12">
        <v>46114.0</v>
      </c>
    </row>
    <row r="4">
      <c r="A4" s="13" t="s">
        <v>2061</v>
      </c>
      <c r="B4" s="12">
        <v>46114.0</v>
      </c>
      <c r="C4" s="3" t="s">
        <v>476</v>
      </c>
      <c r="D4" s="3" t="s">
        <v>915</v>
      </c>
      <c r="E4" s="3" t="s">
        <v>903</v>
      </c>
      <c r="F4" s="3">
        <v>1.0</v>
      </c>
      <c r="G4" s="3" t="s">
        <v>2060</v>
      </c>
      <c r="H4" s="3" t="s">
        <v>1087</v>
      </c>
    </row>
    <row r="5">
      <c r="A5" s="3" t="s">
        <v>2062</v>
      </c>
      <c r="B5" s="12">
        <v>46121.0</v>
      </c>
      <c r="C5" s="3" t="s">
        <v>1121</v>
      </c>
      <c r="D5" s="3" t="s">
        <v>936</v>
      </c>
      <c r="E5" s="3" t="s">
        <v>903</v>
      </c>
      <c r="G5" s="3">
        <v>1.0</v>
      </c>
      <c r="H5" s="3" t="s">
        <v>2058</v>
      </c>
      <c r="I5" s="3" t="s">
        <v>1121</v>
      </c>
      <c r="K5" s="12">
        <v>46121.0</v>
      </c>
    </row>
    <row r="6">
      <c r="A6" s="3" t="s">
        <v>2063</v>
      </c>
      <c r="B6" s="12">
        <v>46121.0</v>
      </c>
      <c r="C6" s="3" t="s">
        <v>62</v>
      </c>
      <c r="D6" s="3" t="s">
        <v>961</v>
      </c>
      <c r="E6" s="3" t="s">
        <v>903</v>
      </c>
      <c r="F6" s="3">
        <v>1.0</v>
      </c>
      <c r="G6" s="3" t="s">
        <v>2058</v>
      </c>
      <c r="H6" s="3" t="s">
        <v>1087</v>
      </c>
      <c r="K6" s="12">
        <v>46121.0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829</v>
      </c>
      <c r="B1" s="3" t="s">
        <v>2052</v>
      </c>
      <c r="C1" s="3" t="s">
        <v>830</v>
      </c>
      <c r="D1" s="3" t="s">
        <v>59</v>
      </c>
      <c r="E1" s="3" t="s">
        <v>2054</v>
      </c>
      <c r="F1" s="3" t="s">
        <v>832</v>
      </c>
      <c r="G1" s="3" t="s">
        <v>833</v>
      </c>
      <c r="H1" s="3" t="s">
        <v>2064</v>
      </c>
      <c r="I1" s="3" t="s">
        <v>835</v>
      </c>
      <c r="J1" s="3" t="s">
        <v>836</v>
      </c>
      <c r="K1" s="3" t="s">
        <v>837</v>
      </c>
    </row>
    <row r="2">
      <c r="A2" s="3" t="s">
        <v>2065</v>
      </c>
      <c r="B2" s="12">
        <v>46119.0</v>
      </c>
      <c r="C2" s="12">
        <v>46119.0</v>
      </c>
      <c r="D2" s="3" t="s">
        <v>936</v>
      </c>
      <c r="E2" s="3" t="s">
        <v>903</v>
      </c>
      <c r="F2" s="3">
        <v>1.0</v>
      </c>
      <c r="G2" s="3">
        <v>4.0</v>
      </c>
      <c r="H2" s="3">
        <v>4.0</v>
      </c>
      <c r="J2" s="3" t="s">
        <v>1121</v>
      </c>
    </row>
    <row r="3">
      <c r="A3" s="3" t="s">
        <v>2066</v>
      </c>
      <c r="B3" s="12">
        <v>46121.0</v>
      </c>
      <c r="C3" s="12">
        <v>46121.0</v>
      </c>
      <c r="D3" s="3" t="s">
        <v>936</v>
      </c>
      <c r="E3" s="3" t="s">
        <v>903</v>
      </c>
      <c r="G3" s="3">
        <v>1.0</v>
      </c>
      <c r="H3" s="3">
        <v>5.0</v>
      </c>
      <c r="I3" s="3">
        <v>5.0</v>
      </c>
      <c r="K3" s="3" t="s">
        <v>1121</v>
      </c>
    </row>
    <row r="4">
      <c r="A4" s="3" t="s">
        <v>2067</v>
      </c>
      <c r="B4" s="12">
        <v>46126.0</v>
      </c>
      <c r="C4" s="12">
        <v>46126.0</v>
      </c>
      <c r="D4" s="3" t="s">
        <v>955</v>
      </c>
      <c r="E4" s="3" t="s">
        <v>903</v>
      </c>
      <c r="F4" s="3">
        <v>1.0</v>
      </c>
      <c r="G4" s="3">
        <v>0.0</v>
      </c>
      <c r="H4" s="3">
        <v>0.0</v>
      </c>
      <c r="J4" s="3" t="s">
        <v>1087</v>
      </c>
    </row>
    <row r="5">
      <c r="A5" s="3" t="s">
        <v>2068</v>
      </c>
      <c r="B5" s="12">
        <v>46126.0</v>
      </c>
      <c r="C5" s="12">
        <v>46126.0</v>
      </c>
      <c r="D5" s="3" t="s">
        <v>958</v>
      </c>
      <c r="E5" s="3" t="s">
        <v>903</v>
      </c>
      <c r="F5" s="3">
        <v>1.0</v>
      </c>
      <c r="G5" s="3">
        <v>0.0</v>
      </c>
      <c r="H5" s="3">
        <v>0.0</v>
      </c>
      <c r="J5" s="3" t="s">
        <v>1087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2069</v>
      </c>
      <c r="B1" s="16" t="s">
        <v>2052</v>
      </c>
      <c r="C1" s="15" t="s">
        <v>2056</v>
      </c>
      <c r="D1" s="15" t="s">
        <v>60</v>
      </c>
      <c r="E1" s="15" t="s">
        <v>59</v>
      </c>
      <c r="F1" s="15" t="s">
        <v>2070</v>
      </c>
      <c r="G1" s="15" t="s">
        <v>2054</v>
      </c>
      <c r="H1" s="15" t="s">
        <v>978</v>
      </c>
      <c r="I1" s="15" t="s">
        <v>2055</v>
      </c>
      <c r="J1" s="15" t="s">
        <v>836</v>
      </c>
      <c r="K1" s="15" t="s">
        <v>2071</v>
      </c>
      <c r="L1" s="15" t="s">
        <v>2072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3" t="s">
        <v>2073</v>
      </c>
      <c r="B2" s="12">
        <v>46119.0</v>
      </c>
      <c r="C2" s="12">
        <v>46119.0</v>
      </c>
      <c r="D2" s="3" t="s">
        <v>1121</v>
      </c>
      <c r="E2" s="3" t="s">
        <v>936</v>
      </c>
      <c r="F2" s="3" t="s">
        <v>2074</v>
      </c>
      <c r="G2" s="3" t="s">
        <v>903</v>
      </c>
      <c r="H2" s="3">
        <v>1.0</v>
      </c>
      <c r="I2" s="3" t="s">
        <v>2075</v>
      </c>
      <c r="J2" s="3" t="s">
        <v>1121</v>
      </c>
      <c r="K2" s="3" t="s">
        <v>2065</v>
      </c>
      <c r="L2" s="3" t="s">
        <v>2076</v>
      </c>
    </row>
    <row r="3">
      <c r="A3" s="3" t="s">
        <v>2077</v>
      </c>
      <c r="B3" s="12">
        <v>46119.0</v>
      </c>
      <c r="C3" s="12">
        <v>46119.0</v>
      </c>
      <c r="D3" s="3" t="s">
        <v>1132</v>
      </c>
      <c r="E3" s="3" t="s">
        <v>936</v>
      </c>
      <c r="F3" s="3" t="s">
        <v>2074</v>
      </c>
      <c r="G3" s="3" t="s">
        <v>903</v>
      </c>
      <c r="H3" s="3">
        <v>1.0</v>
      </c>
      <c r="I3" s="3" t="s">
        <v>2075</v>
      </c>
      <c r="J3" s="3" t="s">
        <v>1121</v>
      </c>
      <c r="K3" s="3" t="s">
        <v>2065</v>
      </c>
      <c r="L3" s="3" t="s">
        <v>2078</v>
      </c>
    </row>
    <row r="4">
      <c r="A4" s="3" t="s">
        <v>2079</v>
      </c>
      <c r="B4" s="12">
        <v>46119.0</v>
      </c>
      <c r="C4" s="12">
        <v>46119.0</v>
      </c>
      <c r="D4" s="3" t="s">
        <v>2080</v>
      </c>
      <c r="E4" s="3" t="s">
        <v>936</v>
      </c>
      <c r="F4" s="3" t="s">
        <v>2074</v>
      </c>
      <c r="G4" s="3" t="s">
        <v>903</v>
      </c>
      <c r="H4" s="3">
        <v>1.0</v>
      </c>
      <c r="I4" s="3" t="s">
        <v>2075</v>
      </c>
      <c r="J4" s="3" t="s">
        <v>1121</v>
      </c>
      <c r="K4" s="3" t="s">
        <v>2065</v>
      </c>
      <c r="L4" s="3" t="s">
        <v>2081</v>
      </c>
    </row>
    <row r="5">
      <c r="A5" s="3" t="s">
        <v>2082</v>
      </c>
      <c r="B5" s="12">
        <v>46119.0</v>
      </c>
      <c r="C5" s="12">
        <v>46119.0</v>
      </c>
      <c r="D5" s="3" t="s">
        <v>2083</v>
      </c>
      <c r="E5" s="3" t="s">
        <v>936</v>
      </c>
      <c r="F5" s="3" t="s">
        <v>2074</v>
      </c>
      <c r="G5" s="3" t="s">
        <v>903</v>
      </c>
      <c r="H5" s="3">
        <v>1.0</v>
      </c>
      <c r="I5" s="3" t="s">
        <v>2075</v>
      </c>
      <c r="J5" s="3" t="s">
        <v>1121</v>
      </c>
      <c r="K5" s="3" t="s">
        <v>2065</v>
      </c>
      <c r="L5" s="3" t="s">
        <v>2084</v>
      </c>
    </row>
    <row r="6">
      <c r="A6" s="3" t="s">
        <v>2085</v>
      </c>
      <c r="B6" s="12">
        <v>46121.0</v>
      </c>
      <c r="C6" s="12">
        <v>46121.0</v>
      </c>
      <c r="D6" s="3" t="s">
        <v>1121</v>
      </c>
      <c r="E6" s="3" t="s">
        <v>936</v>
      </c>
      <c r="G6" s="3" t="s">
        <v>2086</v>
      </c>
      <c r="H6" s="3" t="s">
        <v>903</v>
      </c>
      <c r="I6" s="3">
        <v>1.0</v>
      </c>
      <c r="J6" s="3" t="s">
        <v>2058</v>
      </c>
      <c r="K6" s="3" t="s">
        <v>1121</v>
      </c>
    </row>
    <row r="7">
      <c r="A7" s="3" t="s">
        <v>2087</v>
      </c>
      <c r="B7" s="12">
        <v>46121.0</v>
      </c>
      <c r="C7" s="12">
        <v>46121.0</v>
      </c>
      <c r="D7" s="3" t="s">
        <v>1121</v>
      </c>
      <c r="E7" s="3" t="s">
        <v>936</v>
      </c>
      <c r="G7" s="3" t="s">
        <v>2074</v>
      </c>
      <c r="H7" s="3" t="s">
        <v>903</v>
      </c>
      <c r="I7" s="3">
        <v>1.0</v>
      </c>
      <c r="J7" s="3" t="s">
        <v>2075</v>
      </c>
      <c r="K7" s="3" t="s">
        <v>1121</v>
      </c>
      <c r="L7" s="3" t="s">
        <v>2066</v>
      </c>
      <c r="M7" s="3" t="s">
        <v>2088</v>
      </c>
    </row>
    <row r="8">
      <c r="A8" s="3" t="s">
        <v>2089</v>
      </c>
      <c r="B8" s="12">
        <v>46121.0</v>
      </c>
      <c r="C8" s="12">
        <v>46121.0</v>
      </c>
      <c r="D8" s="3" t="s">
        <v>1121</v>
      </c>
      <c r="E8" s="3" t="s">
        <v>936</v>
      </c>
      <c r="G8" s="3" t="s">
        <v>2074</v>
      </c>
      <c r="H8" s="3" t="s">
        <v>903</v>
      </c>
      <c r="I8" s="3">
        <v>1.0</v>
      </c>
      <c r="J8" s="3" t="s">
        <v>2075</v>
      </c>
      <c r="K8" s="3" t="s">
        <v>1121</v>
      </c>
      <c r="L8" s="3" t="s">
        <v>2066</v>
      </c>
      <c r="M8" s="3" t="s">
        <v>2090</v>
      </c>
    </row>
    <row r="9">
      <c r="A9" s="3" t="s">
        <v>2091</v>
      </c>
      <c r="B9" s="12">
        <v>46121.0</v>
      </c>
      <c r="C9" s="12">
        <v>46121.0</v>
      </c>
      <c r="D9" s="3" t="s">
        <v>1132</v>
      </c>
      <c r="E9" s="3" t="s">
        <v>936</v>
      </c>
      <c r="G9" s="3" t="s">
        <v>2074</v>
      </c>
      <c r="H9" s="3" t="s">
        <v>903</v>
      </c>
      <c r="I9" s="3">
        <v>1.0</v>
      </c>
      <c r="J9" s="3" t="s">
        <v>2075</v>
      </c>
      <c r="K9" s="3" t="s">
        <v>1121</v>
      </c>
      <c r="L9" s="3" t="s">
        <v>2066</v>
      </c>
      <c r="M9" s="3" t="s">
        <v>2092</v>
      </c>
    </row>
    <row r="10">
      <c r="A10" s="3" t="s">
        <v>2093</v>
      </c>
      <c r="B10" s="12">
        <v>46121.0</v>
      </c>
      <c r="C10" s="12">
        <v>46121.0</v>
      </c>
      <c r="D10" s="3" t="s">
        <v>2080</v>
      </c>
      <c r="E10" s="3" t="s">
        <v>936</v>
      </c>
      <c r="G10" s="3" t="s">
        <v>2074</v>
      </c>
      <c r="H10" s="3" t="s">
        <v>903</v>
      </c>
      <c r="I10" s="3">
        <v>1.0</v>
      </c>
      <c r="J10" s="3" t="s">
        <v>2075</v>
      </c>
      <c r="K10" s="3" t="s">
        <v>1121</v>
      </c>
      <c r="L10" s="3" t="s">
        <v>2066</v>
      </c>
      <c r="M10" s="3" t="s">
        <v>2094</v>
      </c>
    </row>
    <row r="11">
      <c r="A11" s="3" t="s">
        <v>2095</v>
      </c>
      <c r="B11" s="12">
        <v>46121.0</v>
      </c>
      <c r="C11" s="12">
        <v>46121.0</v>
      </c>
      <c r="D11" s="3" t="s">
        <v>2083</v>
      </c>
      <c r="E11" s="3" t="s">
        <v>936</v>
      </c>
      <c r="G11" s="3" t="s">
        <v>2074</v>
      </c>
      <c r="H11" s="3" t="s">
        <v>903</v>
      </c>
      <c r="I11" s="3">
        <v>1.0</v>
      </c>
      <c r="J11" s="3" t="s">
        <v>2075</v>
      </c>
      <c r="K11" s="3" t="s">
        <v>1121</v>
      </c>
      <c r="L11" s="3" t="s">
        <v>2066</v>
      </c>
      <c r="M11" s="3" t="s">
        <v>2096</v>
      </c>
    </row>
    <row r="12">
      <c r="A12" s="3" t="s">
        <v>2097</v>
      </c>
      <c r="B12" s="12">
        <v>46121.0</v>
      </c>
      <c r="C12" s="12"/>
      <c r="D12" s="3" t="s">
        <v>62</v>
      </c>
      <c r="E12" s="3" t="s">
        <v>961</v>
      </c>
      <c r="F12" s="3" t="s">
        <v>2086</v>
      </c>
      <c r="G12" s="3" t="s">
        <v>903</v>
      </c>
      <c r="H12" s="3">
        <v>1.0</v>
      </c>
      <c r="I12" s="3" t="s">
        <v>2058</v>
      </c>
      <c r="J12" s="3" t="s">
        <v>1087</v>
      </c>
    </row>
    <row r="13">
      <c r="B13" s="12"/>
      <c r="C13" s="12"/>
    </row>
    <row r="14">
      <c r="B14" s="12"/>
      <c r="C14" s="12"/>
    </row>
    <row r="15">
      <c r="B15" s="12"/>
      <c r="C15" s="12"/>
    </row>
    <row r="16">
      <c r="B16" s="12"/>
      <c r="C16" s="12"/>
    </row>
    <row r="17">
      <c r="B17" s="12"/>
      <c r="C17" s="12"/>
    </row>
    <row r="18">
      <c r="B18" s="12"/>
      <c r="C18" s="12"/>
    </row>
    <row r="19">
      <c r="B19" s="12"/>
      <c r="C19" s="12"/>
    </row>
    <row r="20">
      <c r="B20" s="12"/>
      <c r="C20" s="12"/>
    </row>
    <row r="21">
      <c r="B21" s="12"/>
      <c r="C21" s="12"/>
    </row>
    <row r="22">
      <c r="B22" s="12"/>
      <c r="C22" s="12"/>
    </row>
    <row r="23">
      <c r="B23" s="12"/>
      <c r="C23" s="12"/>
    </row>
    <row r="24">
      <c r="B24" s="12"/>
      <c r="C24" s="12"/>
    </row>
    <row r="25">
      <c r="B25" s="12"/>
      <c r="C25" s="12"/>
    </row>
    <row r="26">
      <c r="B26" s="12"/>
      <c r="C26" s="12"/>
    </row>
    <row r="27">
      <c r="B27" s="12"/>
      <c r="C27" s="12"/>
    </row>
    <row r="28">
      <c r="B28" s="12"/>
      <c r="C28" s="12"/>
    </row>
    <row r="29">
      <c r="B29" s="12"/>
      <c r="C29" s="12"/>
    </row>
    <row r="30">
      <c r="B30" s="12"/>
      <c r="C30" s="12"/>
    </row>
    <row r="31">
      <c r="B31" s="12"/>
      <c r="C31" s="12"/>
    </row>
    <row r="32">
      <c r="B32" s="12"/>
      <c r="C32" s="12"/>
    </row>
    <row r="33">
      <c r="B33" s="12"/>
      <c r="C33" s="12"/>
    </row>
    <row r="34">
      <c r="B34" s="12"/>
      <c r="C34" s="12"/>
    </row>
    <row r="35">
      <c r="B35" s="12"/>
      <c r="C35" s="12"/>
    </row>
    <row r="36">
      <c r="B36" s="12"/>
      <c r="C36" s="12"/>
    </row>
    <row r="37">
      <c r="B37" s="12"/>
      <c r="C37" s="12"/>
    </row>
    <row r="38">
      <c r="B38" s="12"/>
      <c r="C38" s="12"/>
    </row>
    <row r="39">
      <c r="B39" s="12"/>
      <c r="C39" s="12"/>
    </row>
    <row r="40">
      <c r="B40" s="12"/>
      <c r="C40" s="12"/>
    </row>
    <row r="41">
      <c r="B41" s="12"/>
      <c r="C41" s="12"/>
    </row>
    <row r="42">
      <c r="B42" s="12"/>
      <c r="C42" s="12"/>
    </row>
    <row r="43">
      <c r="B43" s="12"/>
      <c r="C43" s="12"/>
    </row>
    <row r="44">
      <c r="B44" s="12"/>
      <c r="C44" s="12"/>
    </row>
    <row r="45">
      <c r="B45" s="12"/>
      <c r="C45" s="12"/>
    </row>
    <row r="46">
      <c r="B46" s="12"/>
      <c r="C46" s="12"/>
    </row>
    <row r="47">
      <c r="B47" s="12"/>
      <c r="C47" s="12"/>
    </row>
    <row r="48">
      <c r="B48" s="12"/>
      <c r="C48" s="12"/>
    </row>
    <row r="49">
      <c r="B49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38.0"/>
    <col customWidth="1" min="5" max="5" width="8.86"/>
    <col customWidth="1" min="6" max="6" width="15.43"/>
    <col customWidth="1" min="7" max="7" width="8.0"/>
    <col customWidth="1" min="8" max="8" width="10.0"/>
    <col customWidth="1" min="9" max="9" width="16.0"/>
    <col customWidth="1" min="10" max="10" width="30.0"/>
    <col customWidth="1" min="11" max="11" width="12.0"/>
    <col customWidth="1" min="12" max="12" width="8.71"/>
    <col customWidth="1" min="13" max="13" width="19.29"/>
  </cols>
  <sheetData>
    <row r="1">
      <c r="A1" s="5" t="s">
        <v>2098</v>
      </c>
      <c r="B1" s="5" t="s">
        <v>830</v>
      </c>
      <c r="C1" s="5" t="s">
        <v>60</v>
      </c>
      <c r="D1" s="5" t="s">
        <v>59</v>
      </c>
      <c r="E1" s="5" t="s">
        <v>2099</v>
      </c>
      <c r="F1" s="8" t="s">
        <v>831</v>
      </c>
      <c r="G1" s="5" t="s">
        <v>978</v>
      </c>
      <c r="H1" s="5" t="s">
        <v>979</v>
      </c>
      <c r="I1" s="5" t="s">
        <v>980</v>
      </c>
      <c r="J1" s="5" t="s">
        <v>981</v>
      </c>
      <c r="K1" s="5" t="s">
        <v>836</v>
      </c>
      <c r="L1" s="17" t="s">
        <v>2100</v>
      </c>
      <c r="M1" s="17" t="s">
        <v>2052</v>
      </c>
    </row>
    <row r="2">
      <c r="A2" s="6" t="s">
        <v>2101</v>
      </c>
      <c r="B2" s="18">
        <v>46114.0</v>
      </c>
      <c r="C2" s="6" t="s">
        <v>1087</v>
      </c>
      <c r="D2" s="6" t="s">
        <v>917</v>
      </c>
      <c r="E2" s="6" t="s">
        <v>2074</v>
      </c>
      <c r="F2" s="6" t="s">
        <v>903</v>
      </c>
      <c r="G2" s="6">
        <v>1.0</v>
      </c>
      <c r="H2" s="6" t="b">
        <v>0</v>
      </c>
      <c r="I2" s="7"/>
      <c r="J2" s="7"/>
      <c r="K2" s="7"/>
      <c r="L2" s="6" t="s">
        <v>2102</v>
      </c>
      <c r="M2" s="7"/>
    </row>
    <row r="3">
      <c r="A3" s="6" t="s">
        <v>2103</v>
      </c>
      <c r="B3" s="18">
        <v>46114.0</v>
      </c>
      <c r="C3" s="6" t="s">
        <v>1113</v>
      </c>
      <c r="D3" s="6" t="s">
        <v>917</v>
      </c>
      <c r="E3" s="6" t="s">
        <v>2074</v>
      </c>
      <c r="F3" s="6" t="s">
        <v>903</v>
      </c>
      <c r="G3" s="6">
        <v>1.0</v>
      </c>
      <c r="H3" s="6" t="b">
        <v>0</v>
      </c>
      <c r="I3" s="7"/>
      <c r="J3" s="7"/>
      <c r="K3" s="7"/>
      <c r="L3" s="6" t="s">
        <v>2102</v>
      </c>
      <c r="M3" s="7"/>
    </row>
    <row r="4">
      <c r="A4" s="3" t="s">
        <v>2104</v>
      </c>
      <c r="B4" s="12">
        <v>46114.0</v>
      </c>
      <c r="C4" s="3" t="s">
        <v>1121</v>
      </c>
      <c r="D4" s="3" t="s">
        <v>917</v>
      </c>
      <c r="E4" s="3" t="s">
        <v>2074</v>
      </c>
      <c r="F4" s="3" t="s">
        <v>903</v>
      </c>
      <c r="G4" s="3">
        <v>1.0</v>
      </c>
      <c r="H4" s="3" t="b">
        <v>0</v>
      </c>
      <c r="L4" s="6" t="s">
        <v>2102</v>
      </c>
    </row>
    <row r="5">
      <c r="A5" s="3" t="s">
        <v>2105</v>
      </c>
      <c r="B5" s="12">
        <v>46115.0</v>
      </c>
      <c r="C5" s="3" t="s">
        <v>823</v>
      </c>
      <c r="D5" s="3" t="s">
        <v>919</v>
      </c>
      <c r="E5" s="3" t="s">
        <v>2074</v>
      </c>
      <c r="F5" s="3" t="s">
        <v>903</v>
      </c>
      <c r="G5" s="3">
        <v>1.0</v>
      </c>
      <c r="H5" s="3" t="b">
        <v>0</v>
      </c>
      <c r="L5" s="6" t="s">
        <v>2102</v>
      </c>
    </row>
    <row r="6">
      <c r="A6" s="3" t="s">
        <v>2106</v>
      </c>
      <c r="B6" s="12">
        <v>46115.0</v>
      </c>
      <c r="C6" s="3" t="s">
        <v>823</v>
      </c>
      <c r="D6" s="3" t="s">
        <v>919</v>
      </c>
      <c r="E6" s="3" t="s">
        <v>2086</v>
      </c>
      <c r="F6" s="3" t="s">
        <v>903</v>
      </c>
      <c r="G6" s="3">
        <v>1.0</v>
      </c>
      <c r="H6" s="3" t="b">
        <v>1</v>
      </c>
      <c r="I6" s="3" t="s">
        <v>1119</v>
      </c>
      <c r="J6" s="3" t="s">
        <v>1129</v>
      </c>
      <c r="L6" s="6" t="s">
        <v>2102</v>
      </c>
    </row>
    <row r="7">
      <c r="A7" s="3" t="s">
        <v>2107</v>
      </c>
      <c r="B7" s="12">
        <v>46115.0</v>
      </c>
      <c r="C7" s="3" t="s">
        <v>823</v>
      </c>
      <c r="D7" s="3" t="s">
        <v>1128</v>
      </c>
      <c r="E7" s="3" t="s">
        <v>2086</v>
      </c>
      <c r="F7" s="3" t="s">
        <v>903</v>
      </c>
      <c r="G7" s="3">
        <v>1.0</v>
      </c>
      <c r="H7" s="3" t="b">
        <v>1</v>
      </c>
      <c r="I7" s="3" t="s">
        <v>1119</v>
      </c>
      <c r="J7" s="3" t="s">
        <v>1129</v>
      </c>
      <c r="L7" s="6" t="s">
        <v>2102</v>
      </c>
    </row>
    <row r="8">
      <c r="A8" s="3" t="s">
        <v>2108</v>
      </c>
      <c r="B8" s="12">
        <v>46115.0</v>
      </c>
      <c r="C8" s="3" t="s">
        <v>822</v>
      </c>
      <c r="D8" s="3" t="s">
        <v>921</v>
      </c>
      <c r="E8" s="3" t="s">
        <v>2074</v>
      </c>
      <c r="F8" s="3" t="s">
        <v>903</v>
      </c>
      <c r="G8" s="3">
        <v>1.0</v>
      </c>
      <c r="H8" s="3" t="b">
        <v>0</v>
      </c>
      <c r="L8" s="6" t="s">
        <v>2102</v>
      </c>
    </row>
    <row r="9">
      <c r="A9" s="3" t="s">
        <v>2109</v>
      </c>
      <c r="B9" s="12">
        <v>46115.0</v>
      </c>
      <c r="C9" s="3" t="s">
        <v>823</v>
      </c>
      <c r="D9" s="3" t="s">
        <v>921</v>
      </c>
      <c r="E9" s="3" t="s">
        <v>2074</v>
      </c>
      <c r="F9" s="3" t="s">
        <v>903</v>
      </c>
      <c r="G9" s="3">
        <v>1.0</v>
      </c>
      <c r="H9" s="3" t="b">
        <v>0</v>
      </c>
      <c r="L9" s="6" t="s">
        <v>2102</v>
      </c>
    </row>
    <row r="10">
      <c r="A10" s="3" t="s">
        <v>2110</v>
      </c>
      <c r="B10" s="12">
        <v>46115.0</v>
      </c>
      <c r="C10" s="3" t="s">
        <v>824</v>
      </c>
      <c r="D10" s="3" t="s">
        <v>921</v>
      </c>
      <c r="E10" s="3" t="s">
        <v>2074</v>
      </c>
      <c r="F10" s="3" t="s">
        <v>903</v>
      </c>
      <c r="G10" s="3">
        <v>1.0</v>
      </c>
      <c r="H10" s="3" t="b">
        <v>0</v>
      </c>
      <c r="L10" s="6" t="s">
        <v>2102</v>
      </c>
    </row>
    <row r="11">
      <c r="A11" s="3" t="s">
        <v>2111</v>
      </c>
      <c r="B11" s="12">
        <v>46115.0</v>
      </c>
      <c r="C11" s="3" t="s">
        <v>826</v>
      </c>
      <c r="D11" s="3" t="s">
        <v>921</v>
      </c>
      <c r="E11" s="3" t="s">
        <v>2074</v>
      </c>
      <c r="F11" s="3" t="s">
        <v>903</v>
      </c>
      <c r="G11" s="3">
        <v>1.0</v>
      </c>
      <c r="H11" s="3" t="b">
        <v>0</v>
      </c>
      <c r="L11" s="6" t="s">
        <v>2102</v>
      </c>
    </row>
    <row r="12">
      <c r="A12" s="3" t="s">
        <v>2112</v>
      </c>
      <c r="B12" s="12">
        <v>46115.0</v>
      </c>
      <c r="C12" s="3" t="s">
        <v>1087</v>
      </c>
      <c r="D12" s="3" t="s">
        <v>917</v>
      </c>
      <c r="E12" s="3" t="s">
        <v>2086</v>
      </c>
      <c r="G12" s="3">
        <v>1.0</v>
      </c>
      <c r="H12" s="3" t="b">
        <v>1</v>
      </c>
      <c r="I12" s="3" t="s">
        <v>1119</v>
      </c>
      <c r="J12" s="3" t="s">
        <v>1131</v>
      </c>
      <c r="L12" s="6" t="s">
        <v>2102</v>
      </c>
    </row>
    <row r="13">
      <c r="A13" s="3" t="s">
        <v>2113</v>
      </c>
      <c r="B13" s="12">
        <v>46115.0</v>
      </c>
      <c r="C13" s="3" t="s">
        <v>1087</v>
      </c>
      <c r="D13" s="3" t="s">
        <v>1134</v>
      </c>
      <c r="E13" s="3" t="s">
        <v>2086</v>
      </c>
      <c r="F13" s="3" t="s">
        <v>903</v>
      </c>
      <c r="G13" s="3">
        <v>1.0</v>
      </c>
      <c r="H13" s="3" t="b">
        <v>1</v>
      </c>
      <c r="I13" s="3" t="s">
        <v>1119</v>
      </c>
      <c r="J13" s="3" t="s">
        <v>1131</v>
      </c>
      <c r="L13" s="6" t="s">
        <v>2102</v>
      </c>
    </row>
    <row r="14">
      <c r="A14" s="3" t="s">
        <v>2114</v>
      </c>
      <c r="B14" s="12">
        <v>46115.0</v>
      </c>
      <c r="C14" s="3" t="s">
        <v>1132</v>
      </c>
      <c r="D14" s="3" t="s">
        <v>1137</v>
      </c>
      <c r="E14" s="3" t="s">
        <v>2086</v>
      </c>
      <c r="F14" s="3" t="s">
        <v>975</v>
      </c>
      <c r="G14" s="3">
        <v>1.0</v>
      </c>
      <c r="H14" s="3" t="b">
        <v>1</v>
      </c>
      <c r="I14" s="3" t="s">
        <v>1119</v>
      </c>
      <c r="J14" s="3" t="s">
        <v>1138</v>
      </c>
      <c r="L14" s="6" t="s">
        <v>2102</v>
      </c>
    </row>
    <row r="15">
      <c r="A15" s="3" t="s">
        <v>2115</v>
      </c>
      <c r="B15" s="12">
        <v>46115.0</v>
      </c>
      <c r="C15" s="3" t="s">
        <v>1132</v>
      </c>
      <c r="D15" s="3" t="s">
        <v>1140</v>
      </c>
      <c r="E15" s="3" t="s">
        <v>2086</v>
      </c>
      <c r="F15" s="3" t="s">
        <v>903</v>
      </c>
      <c r="G15" s="3">
        <v>2.0</v>
      </c>
      <c r="H15" s="3" t="b">
        <v>1</v>
      </c>
      <c r="I15" s="3" t="s">
        <v>1119</v>
      </c>
      <c r="J15" s="3" t="s">
        <v>1131</v>
      </c>
      <c r="L15" s="6" t="s">
        <v>2102</v>
      </c>
    </row>
    <row r="16">
      <c r="A16" s="3" t="s">
        <v>2116</v>
      </c>
      <c r="B16" s="12">
        <v>46115.0</v>
      </c>
      <c r="C16" s="3" t="s">
        <v>1132</v>
      </c>
      <c r="D16" s="3" t="s">
        <v>1142</v>
      </c>
      <c r="E16" s="3" t="s">
        <v>2086</v>
      </c>
      <c r="F16" s="3" t="s">
        <v>903</v>
      </c>
      <c r="G16" s="3">
        <v>1.0</v>
      </c>
      <c r="H16" s="3" t="b">
        <v>1</v>
      </c>
      <c r="I16" s="3" t="s">
        <v>1119</v>
      </c>
      <c r="J16" s="3" t="s">
        <v>1131</v>
      </c>
      <c r="L16" s="6" t="s">
        <v>2102</v>
      </c>
    </row>
    <row r="17">
      <c r="A17" s="3" t="s">
        <v>2117</v>
      </c>
      <c r="B17" s="12">
        <v>46115.0</v>
      </c>
      <c r="C17" s="3" t="s">
        <v>1132</v>
      </c>
      <c r="D17" s="3" t="s">
        <v>1144</v>
      </c>
      <c r="E17" s="3" t="s">
        <v>2086</v>
      </c>
      <c r="F17" s="3" t="s">
        <v>903</v>
      </c>
      <c r="G17" s="3">
        <v>1.0</v>
      </c>
      <c r="H17" s="3" t="b">
        <v>1</v>
      </c>
      <c r="I17" s="3" t="s">
        <v>1119</v>
      </c>
      <c r="J17" s="3" t="s">
        <v>1131</v>
      </c>
      <c r="L17" s="6" t="s">
        <v>2102</v>
      </c>
    </row>
    <row r="18">
      <c r="A18" s="3" t="s">
        <v>2118</v>
      </c>
      <c r="B18" s="12">
        <v>46115.0</v>
      </c>
      <c r="C18" s="3" t="s">
        <v>69</v>
      </c>
      <c r="D18" s="3" t="s">
        <v>72</v>
      </c>
      <c r="E18" s="3" t="s">
        <v>2086</v>
      </c>
      <c r="F18" s="3" t="s">
        <v>903</v>
      </c>
      <c r="G18" s="3">
        <v>1.0</v>
      </c>
      <c r="H18" s="3" t="b">
        <v>1</v>
      </c>
      <c r="I18" s="3" t="s">
        <v>1119</v>
      </c>
      <c r="J18" s="3" t="s">
        <v>1129</v>
      </c>
      <c r="L18" s="6" t="s">
        <v>2102</v>
      </c>
    </row>
    <row r="19">
      <c r="A19" s="3" t="s">
        <v>2119</v>
      </c>
      <c r="B19" s="12">
        <v>46116.0</v>
      </c>
      <c r="C19" s="3" t="s">
        <v>1147</v>
      </c>
      <c r="D19" s="3" t="s">
        <v>968</v>
      </c>
      <c r="E19" s="3" t="s">
        <v>2086</v>
      </c>
      <c r="F19" s="3" t="s">
        <v>903</v>
      </c>
      <c r="G19" s="3">
        <v>1.0</v>
      </c>
      <c r="H19" s="3" t="b">
        <v>1</v>
      </c>
      <c r="I19" s="3" t="s">
        <v>1119</v>
      </c>
      <c r="J19" s="3" t="s">
        <v>1129</v>
      </c>
      <c r="L19" s="6" t="s">
        <v>2102</v>
      </c>
    </row>
    <row r="20">
      <c r="A20" s="3" t="s">
        <v>2120</v>
      </c>
      <c r="B20" s="12">
        <v>46116.0</v>
      </c>
      <c r="C20" s="3" t="s">
        <v>1147</v>
      </c>
      <c r="D20" s="3" t="s">
        <v>1149</v>
      </c>
      <c r="E20" s="3" t="s">
        <v>2086</v>
      </c>
      <c r="F20" s="3" t="s">
        <v>903</v>
      </c>
      <c r="G20" s="3">
        <v>1.0</v>
      </c>
      <c r="H20" s="3" t="b">
        <v>1</v>
      </c>
      <c r="I20" s="3" t="s">
        <v>1119</v>
      </c>
      <c r="J20" s="3" t="s">
        <v>1129</v>
      </c>
      <c r="L20" s="6" t="s">
        <v>2102</v>
      </c>
    </row>
    <row r="21" ht="15.75" customHeight="1">
      <c r="A21" s="3" t="s">
        <v>2121</v>
      </c>
      <c r="B21" s="12">
        <v>46116.0</v>
      </c>
      <c r="C21" s="3" t="s">
        <v>1147</v>
      </c>
      <c r="D21" s="3" t="s">
        <v>968</v>
      </c>
      <c r="E21" s="3" t="s">
        <v>2086</v>
      </c>
      <c r="F21" s="3" t="s">
        <v>903</v>
      </c>
      <c r="G21" s="3">
        <v>1.0</v>
      </c>
      <c r="H21" s="3" t="b">
        <v>1</v>
      </c>
      <c r="I21" s="3" t="s">
        <v>1119</v>
      </c>
      <c r="J21" s="3" t="s">
        <v>1129</v>
      </c>
      <c r="L21" s="6" t="s">
        <v>2102</v>
      </c>
    </row>
    <row r="22" ht="15.75" customHeight="1">
      <c r="A22" s="3" t="s">
        <v>2122</v>
      </c>
      <c r="B22" s="12">
        <v>46116.0</v>
      </c>
      <c r="C22" s="3" t="s">
        <v>1147</v>
      </c>
      <c r="D22" s="3" t="s">
        <v>1149</v>
      </c>
      <c r="E22" s="3" t="s">
        <v>2086</v>
      </c>
      <c r="F22" s="3" t="s">
        <v>903</v>
      </c>
      <c r="G22" s="3">
        <v>1.0</v>
      </c>
      <c r="H22" s="3" t="b">
        <v>1</v>
      </c>
      <c r="I22" s="3" t="s">
        <v>1119</v>
      </c>
      <c r="J22" s="3" t="s">
        <v>1129</v>
      </c>
      <c r="L22" s="6" t="s">
        <v>2102</v>
      </c>
    </row>
    <row r="23" ht="15.75" customHeight="1">
      <c r="A23" s="3" t="s">
        <v>2123</v>
      </c>
      <c r="B23" s="12">
        <v>46116.0</v>
      </c>
      <c r="C23" s="3" t="s">
        <v>1147</v>
      </c>
      <c r="D23" s="3" t="s">
        <v>1153</v>
      </c>
      <c r="E23" s="3" t="s">
        <v>2086</v>
      </c>
      <c r="F23" s="3" t="s">
        <v>903</v>
      </c>
      <c r="G23" s="3">
        <v>1.0</v>
      </c>
      <c r="H23" s="3" t="b">
        <v>1</v>
      </c>
      <c r="I23" s="3" t="s">
        <v>1119</v>
      </c>
      <c r="J23" s="3" t="s">
        <v>1129</v>
      </c>
      <c r="L23" s="6" t="s">
        <v>2102</v>
      </c>
    </row>
    <row r="24" ht="15.75" customHeight="1">
      <c r="A24" s="3" t="s">
        <v>2124</v>
      </c>
      <c r="B24" s="12">
        <v>46116.0</v>
      </c>
      <c r="C24" s="3" t="s">
        <v>1147</v>
      </c>
      <c r="D24" s="3" t="s">
        <v>1155</v>
      </c>
      <c r="E24" s="3" t="s">
        <v>2086</v>
      </c>
      <c r="F24" s="3" t="s">
        <v>903</v>
      </c>
      <c r="G24" s="3">
        <v>1.0</v>
      </c>
      <c r="H24" s="3" t="b">
        <v>1</v>
      </c>
      <c r="I24" s="3" t="s">
        <v>1119</v>
      </c>
      <c r="J24" s="3" t="s">
        <v>1129</v>
      </c>
      <c r="L24" s="6" t="s">
        <v>2102</v>
      </c>
    </row>
    <row r="25" ht="15.75" customHeight="1">
      <c r="A25" s="3" t="s">
        <v>2125</v>
      </c>
      <c r="B25" s="12">
        <v>46116.0</v>
      </c>
      <c r="C25" s="3" t="s">
        <v>1147</v>
      </c>
      <c r="D25" s="3" t="s">
        <v>1157</v>
      </c>
      <c r="E25" s="3" t="s">
        <v>2086</v>
      </c>
      <c r="F25" s="3" t="s">
        <v>903</v>
      </c>
      <c r="G25" s="3">
        <v>1.0</v>
      </c>
      <c r="H25" s="3" t="b">
        <v>1</v>
      </c>
      <c r="I25" s="3" t="s">
        <v>1119</v>
      </c>
      <c r="J25" s="3" t="s">
        <v>1129</v>
      </c>
      <c r="L25" s="6" t="s">
        <v>2102</v>
      </c>
    </row>
    <row r="26" ht="15.75" customHeight="1">
      <c r="A26" s="3" t="s">
        <v>2126</v>
      </c>
      <c r="B26" s="12">
        <v>46116.0</v>
      </c>
      <c r="C26" s="3" t="s">
        <v>1147</v>
      </c>
      <c r="D26" s="3" t="s">
        <v>1159</v>
      </c>
      <c r="E26" s="3" t="s">
        <v>2086</v>
      </c>
      <c r="F26" s="3" t="s">
        <v>903</v>
      </c>
      <c r="G26" s="3">
        <v>1.0</v>
      </c>
      <c r="H26" s="3" t="b">
        <v>1</v>
      </c>
      <c r="I26" s="3" t="s">
        <v>1119</v>
      </c>
      <c r="J26" s="3" t="s">
        <v>1129</v>
      </c>
      <c r="L26" s="6" t="s">
        <v>2102</v>
      </c>
    </row>
    <row r="27" ht="15.75" customHeight="1">
      <c r="A27" s="3" t="s">
        <v>2127</v>
      </c>
      <c r="B27" s="12">
        <v>46116.0</v>
      </c>
      <c r="C27" s="3" t="s">
        <v>1161</v>
      </c>
      <c r="D27" s="3" t="s">
        <v>955</v>
      </c>
      <c r="E27" s="3" t="s">
        <v>2086</v>
      </c>
      <c r="F27" s="3" t="s">
        <v>903</v>
      </c>
      <c r="G27" s="3">
        <v>1.0</v>
      </c>
      <c r="H27" s="3" t="b">
        <v>1</v>
      </c>
      <c r="I27" s="3" t="s">
        <v>1119</v>
      </c>
      <c r="J27" s="3" t="s">
        <v>1129</v>
      </c>
      <c r="L27" s="6" t="s">
        <v>2102</v>
      </c>
    </row>
    <row r="28" ht="15.75" customHeight="1">
      <c r="A28" s="3" t="s">
        <v>2128</v>
      </c>
      <c r="B28" s="12">
        <v>46116.0</v>
      </c>
      <c r="C28" s="3" t="s">
        <v>1161</v>
      </c>
      <c r="D28" s="3" t="s">
        <v>965</v>
      </c>
      <c r="E28" s="3" t="s">
        <v>2086</v>
      </c>
      <c r="F28" s="3" t="s">
        <v>903</v>
      </c>
      <c r="G28" s="3">
        <v>1.0</v>
      </c>
      <c r="H28" s="3" t="b">
        <v>1</v>
      </c>
      <c r="I28" s="3" t="s">
        <v>1119</v>
      </c>
      <c r="J28" s="3" t="s">
        <v>1129</v>
      </c>
      <c r="L28" s="6" t="s">
        <v>2102</v>
      </c>
    </row>
    <row r="29" ht="15.75" customHeight="1">
      <c r="A29" s="3" t="s">
        <v>2129</v>
      </c>
      <c r="B29" s="12">
        <v>46116.0</v>
      </c>
      <c r="C29" s="3" t="s">
        <v>1161</v>
      </c>
      <c r="D29" s="3" t="s">
        <v>1164</v>
      </c>
      <c r="E29" s="3" t="s">
        <v>2086</v>
      </c>
      <c r="F29" s="3" t="s">
        <v>903</v>
      </c>
      <c r="G29" s="3">
        <v>1.0</v>
      </c>
      <c r="H29" s="3" t="b">
        <v>1</v>
      </c>
      <c r="I29" s="3" t="s">
        <v>1119</v>
      </c>
      <c r="J29" s="3" t="s">
        <v>1129</v>
      </c>
      <c r="L29" s="6" t="s">
        <v>2102</v>
      </c>
    </row>
    <row r="30" ht="15.75" customHeight="1">
      <c r="A30" s="3" t="s">
        <v>2130</v>
      </c>
      <c r="B30" s="12">
        <v>46116.0</v>
      </c>
      <c r="C30" s="3" t="s">
        <v>1161</v>
      </c>
      <c r="D30" s="3" t="s">
        <v>1166</v>
      </c>
      <c r="E30" s="3" t="s">
        <v>2086</v>
      </c>
      <c r="F30" s="3" t="s">
        <v>903</v>
      </c>
      <c r="G30" s="3">
        <v>1.0</v>
      </c>
      <c r="H30" s="3" t="b">
        <v>1</v>
      </c>
      <c r="I30" s="3" t="s">
        <v>1119</v>
      </c>
      <c r="J30" s="3" t="s">
        <v>1129</v>
      </c>
      <c r="L30" s="6" t="s">
        <v>2102</v>
      </c>
    </row>
    <row r="31" ht="15.75" customHeight="1">
      <c r="A31" s="3" t="s">
        <v>2131</v>
      </c>
      <c r="B31" s="12">
        <v>46116.0</v>
      </c>
      <c r="C31" s="3" t="s">
        <v>1161</v>
      </c>
      <c r="D31" s="3" t="s">
        <v>1168</v>
      </c>
      <c r="E31" s="3" t="s">
        <v>2086</v>
      </c>
      <c r="F31" s="3" t="s">
        <v>903</v>
      </c>
      <c r="G31" s="3">
        <v>1.0</v>
      </c>
      <c r="H31" s="3" t="b">
        <v>1</v>
      </c>
      <c r="I31" s="3" t="s">
        <v>1119</v>
      </c>
      <c r="J31" s="3" t="s">
        <v>1129</v>
      </c>
      <c r="L31" s="6" t="s">
        <v>2102</v>
      </c>
    </row>
    <row r="32" ht="15.75" customHeight="1">
      <c r="A32" s="3" t="s">
        <v>2132</v>
      </c>
      <c r="B32" s="12">
        <v>46116.0</v>
      </c>
      <c r="C32" s="3" t="s">
        <v>1161</v>
      </c>
      <c r="D32" s="3" t="s">
        <v>1170</v>
      </c>
      <c r="E32" s="3" t="s">
        <v>2086</v>
      </c>
      <c r="F32" s="3" t="s">
        <v>903</v>
      </c>
      <c r="G32" s="3">
        <v>1.0</v>
      </c>
      <c r="H32" s="3" t="b">
        <v>1</v>
      </c>
      <c r="I32" s="3" t="s">
        <v>1119</v>
      </c>
      <c r="J32" s="3" t="s">
        <v>1129</v>
      </c>
      <c r="L32" s="6" t="s">
        <v>2102</v>
      </c>
    </row>
    <row r="33" ht="15.75" customHeight="1">
      <c r="A33" s="3" t="s">
        <v>2133</v>
      </c>
      <c r="B33" s="12">
        <v>46116.0</v>
      </c>
      <c r="C33" s="3" t="s">
        <v>1161</v>
      </c>
      <c r="D33" s="3" t="s">
        <v>1172</v>
      </c>
      <c r="E33" s="3" t="s">
        <v>2086</v>
      </c>
      <c r="F33" s="3" t="s">
        <v>903</v>
      </c>
      <c r="G33" s="3">
        <v>1.0</v>
      </c>
      <c r="H33" s="3" t="b">
        <v>1</v>
      </c>
      <c r="I33" s="3" t="s">
        <v>1119</v>
      </c>
      <c r="J33" s="3" t="s">
        <v>1129</v>
      </c>
      <c r="L33" s="6" t="s">
        <v>2102</v>
      </c>
    </row>
    <row r="34" ht="15.75" customHeight="1">
      <c r="A34" s="3" t="s">
        <v>2134</v>
      </c>
      <c r="B34" s="12">
        <v>46116.0</v>
      </c>
      <c r="C34" s="3" t="s">
        <v>1174</v>
      </c>
      <c r="D34" s="3" t="s">
        <v>961</v>
      </c>
      <c r="E34" s="3" t="s">
        <v>2086</v>
      </c>
      <c r="F34" s="3" t="s">
        <v>903</v>
      </c>
      <c r="G34" s="3">
        <v>1.0</v>
      </c>
      <c r="H34" s="3" t="b">
        <v>1</v>
      </c>
      <c r="I34" s="3" t="s">
        <v>1119</v>
      </c>
      <c r="J34" s="3" t="s">
        <v>1129</v>
      </c>
      <c r="L34" s="6" t="s">
        <v>2102</v>
      </c>
    </row>
    <row r="35" ht="15.75" customHeight="1">
      <c r="A35" s="3" t="s">
        <v>2135</v>
      </c>
      <c r="B35" s="12">
        <v>46116.0</v>
      </c>
      <c r="C35" s="3" t="s">
        <v>1174</v>
      </c>
      <c r="D35" s="3" t="s">
        <v>968</v>
      </c>
      <c r="E35" s="3" t="s">
        <v>2086</v>
      </c>
      <c r="F35" s="3" t="s">
        <v>903</v>
      </c>
      <c r="G35" s="3">
        <v>1.0</v>
      </c>
      <c r="H35" s="3" t="b">
        <v>1</v>
      </c>
      <c r="I35" s="3" t="s">
        <v>1119</v>
      </c>
      <c r="J35" s="3" t="s">
        <v>1129</v>
      </c>
      <c r="L35" s="6" t="s">
        <v>2102</v>
      </c>
    </row>
    <row r="36" ht="15.75" customHeight="1">
      <c r="A36" s="3" t="s">
        <v>2136</v>
      </c>
      <c r="B36" s="12">
        <v>46116.0</v>
      </c>
      <c r="C36" s="3" t="s">
        <v>1174</v>
      </c>
      <c r="D36" s="3" t="s">
        <v>1164</v>
      </c>
      <c r="E36" s="3" t="s">
        <v>2086</v>
      </c>
      <c r="F36" s="3" t="s">
        <v>903</v>
      </c>
      <c r="G36" s="3">
        <v>1.0</v>
      </c>
      <c r="H36" s="3" t="b">
        <v>1</v>
      </c>
      <c r="I36" s="3" t="s">
        <v>1119</v>
      </c>
      <c r="J36" s="3" t="s">
        <v>1129</v>
      </c>
      <c r="L36" s="6" t="s">
        <v>2102</v>
      </c>
    </row>
    <row r="37" ht="15.75" customHeight="1">
      <c r="A37" s="3" t="s">
        <v>2137</v>
      </c>
      <c r="B37" s="12">
        <v>46116.0</v>
      </c>
      <c r="C37" s="3" t="s">
        <v>1174</v>
      </c>
      <c r="D37" s="3" t="s">
        <v>1166</v>
      </c>
      <c r="E37" s="3" t="s">
        <v>2086</v>
      </c>
      <c r="F37" s="3" t="s">
        <v>903</v>
      </c>
      <c r="G37" s="3">
        <v>1.0</v>
      </c>
      <c r="H37" s="3" t="b">
        <v>1</v>
      </c>
      <c r="I37" s="3" t="s">
        <v>1119</v>
      </c>
      <c r="J37" s="3" t="s">
        <v>1129</v>
      </c>
      <c r="L37" s="6" t="s">
        <v>2102</v>
      </c>
    </row>
    <row r="38" ht="15.75" customHeight="1">
      <c r="A38" s="3" t="s">
        <v>2138</v>
      </c>
      <c r="B38" s="12">
        <v>46116.0</v>
      </c>
      <c r="C38" s="3" t="s">
        <v>1174</v>
      </c>
      <c r="D38" s="3" t="s">
        <v>1168</v>
      </c>
      <c r="E38" s="3" t="s">
        <v>2086</v>
      </c>
      <c r="F38" s="3" t="s">
        <v>903</v>
      </c>
      <c r="G38" s="3">
        <v>1.0</v>
      </c>
      <c r="H38" s="3" t="b">
        <v>1</v>
      </c>
      <c r="I38" s="3" t="s">
        <v>1119</v>
      </c>
      <c r="J38" s="3" t="s">
        <v>1129</v>
      </c>
      <c r="L38" s="6" t="s">
        <v>2102</v>
      </c>
    </row>
    <row r="39" ht="15.75" customHeight="1">
      <c r="A39" s="3" t="s">
        <v>2139</v>
      </c>
      <c r="B39" s="12">
        <v>46116.0</v>
      </c>
      <c r="C39" s="3" t="s">
        <v>1174</v>
      </c>
      <c r="D39" s="3" t="s">
        <v>1170</v>
      </c>
      <c r="E39" s="3" t="s">
        <v>2086</v>
      </c>
      <c r="F39" s="3" t="s">
        <v>903</v>
      </c>
      <c r="G39" s="3">
        <v>1.0</v>
      </c>
      <c r="H39" s="3" t="b">
        <v>1</v>
      </c>
      <c r="I39" s="3" t="s">
        <v>1119</v>
      </c>
      <c r="J39" s="3" t="s">
        <v>1129</v>
      </c>
      <c r="L39" s="6" t="s">
        <v>2102</v>
      </c>
    </row>
    <row r="40" ht="15.75" customHeight="1">
      <c r="A40" s="3" t="s">
        <v>2140</v>
      </c>
      <c r="B40" s="12">
        <v>46116.0</v>
      </c>
      <c r="C40" s="3" t="s">
        <v>1174</v>
      </c>
      <c r="D40" s="3" t="s">
        <v>1159</v>
      </c>
      <c r="E40" s="3" t="s">
        <v>2086</v>
      </c>
      <c r="F40" s="3" t="s">
        <v>903</v>
      </c>
      <c r="G40" s="3">
        <v>1.0</v>
      </c>
      <c r="H40" s="3" t="b">
        <v>1</v>
      </c>
      <c r="I40" s="3" t="s">
        <v>1119</v>
      </c>
      <c r="J40" s="3" t="s">
        <v>1129</v>
      </c>
      <c r="L40" s="6" t="s">
        <v>2102</v>
      </c>
    </row>
    <row r="41" ht="15.75" customHeight="1">
      <c r="A41" s="3" t="s">
        <v>2141</v>
      </c>
      <c r="B41" s="12">
        <v>46116.0</v>
      </c>
      <c r="C41" s="3" t="s">
        <v>1183</v>
      </c>
      <c r="D41" s="3" t="s">
        <v>955</v>
      </c>
      <c r="E41" s="3" t="s">
        <v>2086</v>
      </c>
      <c r="F41" s="3" t="s">
        <v>903</v>
      </c>
      <c r="G41" s="3">
        <v>1.0</v>
      </c>
      <c r="H41" s="3" t="b">
        <v>1</v>
      </c>
      <c r="I41" s="3" t="s">
        <v>1119</v>
      </c>
      <c r="J41" s="3" t="s">
        <v>1129</v>
      </c>
      <c r="L41" s="3" t="s">
        <v>2102</v>
      </c>
    </row>
    <row r="42" ht="15.75" customHeight="1">
      <c r="A42" s="3" t="s">
        <v>2142</v>
      </c>
      <c r="B42" s="12">
        <v>46116.0</v>
      </c>
      <c r="C42" s="3" t="s">
        <v>1183</v>
      </c>
      <c r="D42" s="3" t="s">
        <v>968</v>
      </c>
      <c r="E42" s="3" t="s">
        <v>2086</v>
      </c>
      <c r="F42" s="3" t="s">
        <v>903</v>
      </c>
      <c r="G42" s="3">
        <v>1.0</v>
      </c>
      <c r="H42" s="3" t="b">
        <v>1</v>
      </c>
      <c r="I42" s="3" t="s">
        <v>1119</v>
      </c>
      <c r="J42" s="3" t="s">
        <v>1129</v>
      </c>
      <c r="L42" s="3" t="s">
        <v>2102</v>
      </c>
    </row>
    <row r="43" ht="15.75" customHeight="1">
      <c r="A43" s="3" t="s">
        <v>2143</v>
      </c>
      <c r="B43" s="12">
        <v>46116.0</v>
      </c>
      <c r="C43" s="3" t="s">
        <v>1183</v>
      </c>
      <c r="D43" s="3" t="s">
        <v>1164</v>
      </c>
      <c r="E43" s="3" t="s">
        <v>2086</v>
      </c>
      <c r="F43" s="3" t="s">
        <v>903</v>
      </c>
      <c r="G43" s="3">
        <v>1.0</v>
      </c>
      <c r="H43" s="3" t="b">
        <v>1</v>
      </c>
      <c r="I43" s="3" t="s">
        <v>1119</v>
      </c>
      <c r="J43" s="3" t="s">
        <v>1129</v>
      </c>
      <c r="L43" s="3" t="s">
        <v>2102</v>
      </c>
    </row>
    <row r="44" ht="15.75" customHeight="1">
      <c r="A44" s="3" t="s">
        <v>2144</v>
      </c>
      <c r="B44" s="12">
        <v>46116.0</v>
      </c>
      <c r="C44" s="3" t="s">
        <v>1183</v>
      </c>
      <c r="D44" s="3" t="s">
        <v>1166</v>
      </c>
      <c r="E44" s="3" t="s">
        <v>2086</v>
      </c>
      <c r="F44" s="3" t="s">
        <v>903</v>
      </c>
      <c r="G44" s="3">
        <v>1.0</v>
      </c>
      <c r="H44" s="3" t="b">
        <v>1</v>
      </c>
      <c r="I44" s="3" t="s">
        <v>1119</v>
      </c>
      <c r="J44" s="3" t="s">
        <v>1129</v>
      </c>
      <c r="L44" s="3" t="s">
        <v>2102</v>
      </c>
    </row>
    <row r="45" ht="15.75" customHeight="1">
      <c r="A45" s="3" t="s">
        <v>2145</v>
      </c>
      <c r="B45" s="12">
        <v>46116.0</v>
      </c>
      <c r="C45" s="3" t="s">
        <v>1183</v>
      </c>
      <c r="D45" s="3" t="s">
        <v>1168</v>
      </c>
      <c r="E45" s="3" t="s">
        <v>2086</v>
      </c>
      <c r="F45" s="3" t="s">
        <v>903</v>
      </c>
      <c r="G45" s="3">
        <v>1.0</v>
      </c>
      <c r="H45" s="3" t="b">
        <v>1</v>
      </c>
      <c r="I45" s="3" t="s">
        <v>1119</v>
      </c>
      <c r="J45" s="3" t="s">
        <v>1129</v>
      </c>
      <c r="L45" s="3" t="s">
        <v>2102</v>
      </c>
    </row>
    <row r="46" ht="15.75" customHeight="1">
      <c r="A46" s="3" t="s">
        <v>2146</v>
      </c>
      <c r="B46" s="12">
        <v>46116.0</v>
      </c>
      <c r="C46" s="3" t="s">
        <v>1183</v>
      </c>
      <c r="D46" s="3" t="s">
        <v>1170</v>
      </c>
      <c r="E46" s="3" t="s">
        <v>2086</v>
      </c>
      <c r="F46" s="3" t="s">
        <v>903</v>
      </c>
      <c r="G46" s="3">
        <v>1.0</v>
      </c>
      <c r="H46" s="3" t="b">
        <v>1</v>
      </c>
      <c r="I46" s="3" t="s">
        <v>1119</v>
      </c>
      <c r="J46" s="3" t="s">
        <v>1129</v>
      </c>
      <c r="L46" s="3" t="s">
        <v>2102</v>
      </c>
    </row>
    <row r="47" ht="15.75" customHeight="1">
      <c r="A47" s="3" t="s">
        <v>2147</v>
      </c>
      <c r="B47" s="12">
        <v>46116.0</v>
      </c>
      <c r="C47" s="3" t="s">
        <v>1183</v>
      </c>
      <c r="D47" s="3" t="s">
        <v>1190</v>
      </c>
      <c r="E47" s="3" t="s">
        <v>2086</v>
      </c>
      <c r="F47" s="3" t="s">
        <v>903</v>
      </c>
      <c r="G47" s="3">
        <v>1.0</v>
      </c>
      <c r="H47" s="3" t="b">
        <v>1</v>
      </c>
      <c r="I47" s="3" t="s">
        <v>1119</v>
      </c>
      <c r="J47" s="3" t="s">
        <v>1129</v>
      </c>
      <c r="L47" s="3" t="s">
        <v>2102</v>
      </c>
    </row>
    <row r="48" ht="15.75" customHeight="1">
      <c r="A48" s="3" t="s">
        <v>2148</v>
      </c>
      <c r="B48" s="12">
        <v>46116.0</v>
      </c>
      <c r="C48" s="3" t="s">
        <v>1192</v>
      </c>
      <c r="D48" s="3" t="s">
        <v>968</v>
      </c>
      <c r="E48" s="3" t="s">
        <v>2086</v>
      </c>
      <c r="F48" s="3" t="s">
        <v>903</v>
      </c>
      <c r="G48" s="3">
        <v>1.0</v>
      </c>
      <c r="H48" s="3" t="b">
        <v>1</v>
      </c>
      <c r="I48" s="3" t="s">
        <v>1119</v>
      </c>
      <c r="J48" s="3" t="s">
        <v>1129</v>
      </c>
      <c r="L48" s="3" t="s">
        <v>2102</v>
      </c>
    </row>
    <row r="49" ht="15.75" customHeight="1">
      <c r="A49" s="3" t="s">
        <v>2149</v>
      </c>
      <c r="B49" s="12">
        <v>46116.0</v>
      </c>
      <c r="C49" s="3" t="s">
        <v>1192</v>
      </c>
      <c r="D49" s="3" t="s">
        <v>1164</v>
      </c>
      <c r="E49" s="3" t="s">
        <v>2086</v>
      </c>
      <c r="F49" s="3" t="s">
        <v>903</v>
      </c>
      <c r="G49" s="3">
        <v>1.0</v>
      </c>
      <c r="H49" s="3" t="b">
        <v>1</v>
      </c>
      <c r="I49" s="3" t="s">
        <v>1119</v>
      </c>
      <c r="J49" s="3" t="s">
        <v>1129</v>
      </c>
      <c r="L49" s="3" t="s">
        <v>2102</v>
      </c>
    </row>
    <row r="50" ht="15.75" customHeight="1">
      <c r="A50" s="3" t="s">
        <v>2150</v>
      </c>
      <c r="B50" s="12">
        <v>46116.0</v>
      </c>
      <c r="C50" s="3" t="s">
        <v>1192</v>
      </c>
      <c r="D50" s="3" t="s">
        <v>1166</v>
      </c>
      <c r="E50" s="3" t="s">
        <v>2086</v>
      </c>
      <c r="F50" s="3" t="s">
        <v>903</v>
      </c>
      <c r="G50" s="3">
        <v>1.0</v>
      </c>
      <c r="H50" s="3" t="b">
        <v>1</v>
      </c>
      <c r="I50" s="3" t="s">
        <v>1119</v>
      </c>
      <c r="J50" s="3" t="s">
        <v>1129</v>
      </c>
      <c r="L50" s="3" t="s">
        <v>2102</v>
      </c>
    </row>
    <row r="51" ht="15.75" customHeight="1">
      <c r="A51" s="3" t="s">
        <v>2151</v>
      </c>
      <c r="B51" s="12">
        <v>46116.0</v>
      </c>
      <c r="C51" s="3" t="s">
        <v>1192</v>
      </c>
      <c r="D51" s="3" t="s">
        <v>1168</v>
      </c>
      <c r="E51" s="3" t="s">
        <v>2086</v>
      </c>
      <c r="F51" s="3" t="s">
        <v>903</v>
      </c>
      <c r="G51" s="3">
        <v>1.0</v>
      </c>
      <c r="H51" s="3" t="b">
        <v>1</v>
      </c>
      <c r="I51" s="3" t="s">
        <v>1119</v>
      </c>
      <c r="J51" s="3" t="s">
        <v>1129</v>
      </c>
      <c r="L51" s="3" t="s">
        <v>2102</v>
      </c>
    </row>
    <row r="52" ht="15.75" customHeight="1">
      <c r="A52" s="13" t="s">
        <v>2152</v>
      </c>
      <c r="B52" s="12">
        <v>46116.0</v>
      </c>
      <c r="C52" s="3" t="s">
        <v>1192</v>
      </c>
      <c r="D52" s="3" t="s">
        <v>1170</v>
      </c>
      <c r="E52" s="3" t="s">
        <v>2086</v>
      </c>
      <c r="F52" s="3" t="s">
        <v>903</v>
      </c>
      <c r="G52" s="3">
        <v>1.0</v>
      </c>
      <c r="H52" s="3" t="b">
        <v>1</v>
      </c>
      <c r="I52" s="3" t="s">
        <v>1119</v>
      </c>
      <c r="J52" s="3" t="s">
        <v>1129</v>
      </c>
      <c r="L52" s="3" t="s">
        <v>2102</v>
      </c>
    </row>
    <row r="53" ht="15.75" customHeight="1">
      <c r="A53" s="3" t="s">
        <v>2153</v>
      </c>
      <c r="B53" s="12">
        <v>46116.0</v>
      </c>
      <c r="C53" s="3" t="s">
        <v>1192</v>
      </c>
      <c r="D53" s="3" t="s">
        <v>1159</v>
      </c>
      <c r="E53" s="3" t="s">
        <v>2086</v>
      </c>
      <c r="F53" s="3" t="s">
        <v>903</v>
      </c>
      <c r="G53" s="3">
        <v>1.0</v>
      </c>
      <c r="H53" s="3" t="b">
        <v>1</v>
      </c>
      <c r="I53" s="3" t="s">
        <v>1119</v>
      </c>
      <c r="J53" s="3" t="s">
        <v>1129</v>
      </c>
      <c r="L53" s="3" t="s">
        <v>2102</v>
      </c>
    </row>
    <row r="54" ht="15.75" customHeight="1">
      <c r="A54" s="3" t="s">
        <v>2154</v>
      </c>
      <c r="B54" s="12">
        <v>46116.0</v>
      </c>
      <c r="C54" s="3" t="s">
        <v>1200</v>
      </c>
      <c r="D54" s="3" t="s">
        <v>963</v>
      </c>
      <c r="E54" s="3" t="s">
        <v>2086</v>
      </c>
      <c r="F54" s="3" t="s">
        <v>903</v>
      </c>
      <c r="G54" s="3">
        <v>1.0</v>
      </c>
      <c r="H54" s="3" t="b">
        <v>1</v>
      </c>
      <c r="I54" s="3" t="s">
        <v>1119</v>
      </c>
      <c r="J54" s="3" t="s">
        <v>1129</v>
      </c>
      <c r="L54" s="3" t="s">
        <v>2102</v>
      </c>
    </row>
    <row r="55" ht="15.75" customHeight="1">
      <c r="A55" s="3" t="s">
        <v>2155</v>
      </c>
      <c r="B55" s="12">
        <v>46116.0</v>
      </c>
      <c r="C55" s="3" t="s">
        <v>1200</v>
      </c>
      <c r="D55" s="3" t="s">
        <v>968</v>
      </c>
      <c r="E55" s="3" t="s">
        <v>2086</v>
      </c>
      <c r="F55" s="3" t="s">
        <v>903</v>
      </c>
      <c r="G55" s="3">
        <v>1.0</v>
      </c>
      <c r="H55" s="3" t="b">
        <v>1</v>
      </c>
      <c r="I55" s="3" t="s">
        <v>1119</v>
      </c>
      <c r="J55" s="3" t="s">
        <v>1129</v>
      </c>
      <c r="L55" s="3" t="s">
        <v>2102</v>
      </c>
    </row>
    <row r="56" ht="15.75" customHeight="1">
      <c r="A56" s="3" t="s">
        <v>2156</v>
      </c>
      <c r="B56" s="12">
        <v>46116.0</v>
      </c>
      <c r="C56" s="3" t="s">
        <v>1200</v>
      </c>
      <c r="D56" s="3" t="s">
        <v>1149</v>
      </c>
      <c r="E56" s="3" t="s">
        <v>2086</v>
      </c>
      <c r="F56" s="3" t="s">
        <v>903</v>
      </c>
      <c r="G56" s="3">
        <v>1.0</v>
      </c>
      <c r="H56" s="3" t="b">
        <v>1</v>
      </c>
      <c r="I56" s="3" t="s">
        <v>1119</v>
      </c>
      <c r="J56" s="3" t="s">
        <v>1129</v>
      </c>
      <c r="L56" s="3" t="s">
        <v>2102</v>
      </c>
    </row>
    <row r="57" ht="15.75" customHeight="1">
      <c r="A57" s="3" t="s">
        <v>2157</v>
      </c>
      <c r="B57" s="12">
        <v>46116.0</v>
      </c>
      <c r="C57" s="3" t="s">
        <v>1200</v>
      </c>
      <c r="D57" s="3" t="s">
        <v>1153</v>
      </c>
      <c r="E57" s="3" t="s">
        <v>2086</v>
      </c>
      <c r="F57" s="3" t="s">
        <v>903</v>
      </c>
      <c r="G57" s="3">
        <v>1.0</v>
      </c>
      <c r="H57" s="3" t="b">
        <v>1</v>
      </c>
      <c r="I57" s="3" t="s">
        <v>1119</v>
      </c>
      <c r="J57" s="3" t="s">
        <v>1129</v>
      </c>
      <c r="L57" s="3" t="s">
        <v>2102</v>
      </c>
    </row>
    <row r="58" ht="15.75" customHeight="1">
      <c r="A58" s="3" t="s">
        <v>2158</v>
      </c>
      <c r="B58" s="12">
        <v>46116.0</v>
      </c>
      <c r="C58" s="3" t="s">
        <v>1200</v>
      </c>
      <c r="D58" s="3" t="s">
        <v>1155</v>
      </c>
      <c r="E58" s="3" t="s">
        <v>2086</v>
      </c>
      <c r="F58" s="3" t="s">
        <v>903</v>
      </c>
      <c r="G58" s="3">
        <v>1.0</v>
      </c>
      <c r="H58" s="3" t="b">
        <v>1</v>
      </c>
      <c r="I58" s="3" t="s">
        <v>1119</v>
      </c>
      <c r="J58" s="3" t="s">
        <v>1129</v>
      </c>
      <c r="L58" s="3" t="s">
        <v>2102</v>
      </c>
    </row>
    <row r="59" ht="15.75" customHeight="1">
      <c r="A59" s="3" t="s">
        <v>2159</v>
      </c>
      <c r="B59" s="12">
        <v>46116.0</v>
      </c>
      <c r="C59" s="3" t="s">
        <v>1200</v>
      </c>
      <c r="D59" s="3" t="s">
        <v>1157</v>
      </c>
      <c r="E59" s="3" t="s">
        <v>2086</v>
      </c>
      <c r="F59" s="3" t="s">
        <v>903</v>
      </c>
      <c r="G59" s="3">
        <v>1.0</v>
      </c>
      <c r="H59" s="3" t="b">
        <v>1</v>
      </c>
      <c r="I59" s="3" t="s">
        <v>1119</v>
      </c>
      <c r="J59" s="3" t="s">
        <v>1129</v>
      </c>
      <c r="L59" s="3" t="s">
        <v>2102</v>
      </c>
    </row>
    <row r="60" ht="15.75" customHeight="1">
      <c r="A60" s="3" t="s">
        <v>2160</v>
      </c>
      <c r="B60" s="12">
        <v>46116.0</v>
      </c>
      <c r="C60" s="3" t="s">
        <v>1200</v>
      </c>
      <c r="D60" s="3" t="s">
        <v>1208</v>
      </c>
      <c r="E60" s="3" t="s">
        <v>2086</v>
      </c>
      <c r="F60" s="3" t="s">
        <v>903</v>
      </c>
      <c r="G60" s="3">
        <v>1.0</v>
      </c>
      <c r="H60" s="3" t="b">
        <v>1</v>
      </c>
      <c r="I60" s="3" t="s">
        <v>1119</v>
      </c>
      <c r="J60" s="3" t="s">
        <v>1129</v>
      </c>
      <c r="L60" s="3" t="s">
        <v>2102</v>
      </c>
    </row>
    <row r="61" ht="15.75" customHeight="1">
      <c r="A61" s="3" t="s">
        <v>2161</v>
      </c>
      <c r="B61" s="12">
        <v>46116.0</v>
      </c>
      <c r="C61" s="3" t="s">
        <v>1210</v>
      </c>
      <c r="D61" s="3" t="s">
        <v>968</v>
      </c>
      <c r="E61" s="3" t="s">
        <v>2086</v>
      </c>
      <c r="F61" s="3" t="s">
        <v>903</v>
      </c>
      <c r="G61" s="3">
        <v>1.0</v>
      </c>
      <c r="H61" s="3" t="b">
        <v>1</v>
      </c>
      <c r="I61" s="3" t="s">
        <v>1119</v>
      </c>
      <c r="J61" s="3" t="s">
        <v>1129</v>
      </c>
      <c r="L61" s="3" t="s">
        <v>2102</v>
      </c>
    </row>
    <row r="62" ht="15.75" customHeight="1">
      <c r="A62" s="3" t="s">
        <v>2162</v>
      </c>
      <c r="B62" s="12">
        <v>46116.0</v>
      </c>
      <c r="C62" s="3" t="s">
        <v>1210</v>
      </c>
      <c r="D62" s="3" t="s">
        <v>1164</v>
      </c>
      <c r="E62" s="3" t="s">
        <v>2086</v>
      </c>
      <c r="F62" s="3" t="s">
        <v>903</v>
      </c>
      <c r="G62" s="3">
        <v>1.0</v>
      </c>
      <c r="H62" s="3" t="b">
        <v>1</v>
      </c>
      <c r="I62" s="3" t="s">
        <v>1119</v>
      </c>
      <c r="J62" s="3" t="s">
        <v>1129</v>
      </c>
      <c r="L62" s="3" t="s">
        <v>2102</v>
      </c>
    </row>
    <row r="63" ht="15.75" customHeight="1">
      <c r="A63" s="3" t="s">
        <v>2163</v>
      </c>
      <c r="B63" s="12">
        <v>46116.0</v>
      </c>
      <c r="C63" s="3" t="s">
        <v>1210</v>
      </c>
      <c r="D63" s="3" t="s">
        <v>1166</v>
      </c>
      <c r="E63" s="3" t="s">
        <v>2086</v>
      </c>
      <c r="F63" s="3" t="s">
        <v>903</v>
      </c>
      <c r="G63" s="3">
        <v>1.0</v>
      </c>
      <c r="H63" s="3" t="b">
        <v>1</v>
      </c>
      <c r="I63" s="3" t="s">
        <v>1119</v>
      </c>
      <c r="J63" s="3" t="s">
        <v>1129</v>
      </c>
      <c r="L63" s="3" t="s">
        <v>2102</v>
      </c>
    </row>
    <row r="64" ht="15.75" customHeight="1">
      <c r="A64" s="3" t="s">
        <v>2164</v>
      </c>
      <c r="B64" s="12">
        <v>46116.0</v>
      </c>
      <c r="C64" s="3" t="s">
        <v>1210</v>
      </c>
      <c r="D64" s="3" t="s">
        <v>1168</v>
      </c>
      <c r="E64" s="3" t="s">
        <v>2086</v>
      </c>
      <c r="F64" s="3" t="s">
        <v>903</v>
      </c>
      <c r="G64" s="3">
        <v>1.0</v>
      </c>
      <c r="H64" s="3" t="b">
        <v>1</v>
      </c>
      <c r="I64" s="3" t="s">
        <v>1119</v>
      </c>
      <c r="J64" s="3" t="s">
        <v>1129</v>
      </c>
      <c r="L64" s="3" t="s">
        <v>2102</v>
      </c>
    </row>
    <row r="65" ht="15.75" customHeight="1">
      <c r="A65" s="3" t="s">
        <v>2165</v>
      </c>
      <c r="B65" s="12">
        <v>46116.0</v>
      </c>
      <c r="C65" s="3" t="s">
        <v>1210</v>
      </c>
      <c r="D65" s="3" t="s">
        <v>1170</v>
      </c>
      <c r="E65" s="3" t="s">
        <v>2086</v>
      </c>
      <c r="F65" s="3" t="s">
        <v>903</v>
      </c>
      <c r="G65" s="3">
        <v>1.0</v>
      </c>
      <c r="H65" s="3" t="b">
        <v>1</v>
      </c>
      <c r="I65" s="3" t="s">
        <v>1119</v>
      </c>
      <c r="J65" s="3" t="s">
        <v>1129</v>
      </c>
      <c r="L65" s="3" t="s">
        <v>2102</v>
      </c>
    </row>
    <row r="66" ht="15.75" customHeight="1">
      <c r="A66" s="3" t="s">
        <v>2166</v>
      </c>
      <c r="B66" s="12">
        <v>46116.0</v>
      </c>
      <c r="C66" s="3" t="s">
        <v>1210</v>
      </c>
      <c r="D66" s="3" t="s">
        <v>1216</v>
      </c>
      <c r="E66" s="3" t="s">
        <v>2086</v>
      </c>
      <c r="F66" s="3" t="s">
        <v>903</v>
      </c>
      <c r="G66" s="3">
        <v>1.0</v>
      </c>
      <c r="H66" s="3" t="b">
        <v>1</v>
      </c>
      <c r="I66" s="3" t="s">
        <v>1119</v>
      </c>
      <c r="J66" s="3" t="s">
        <v>1129</v>
      </c>
      <c r="L66" s="3" t="s">
        <v>2102</v>
      </c>
    </row>
    <row r="67" ht="15.75" customHeight="1">
      <c r="A67" s="3" t="s">
        <v>2167</v>
      </c>
      <c r="B67" s="12">
        <v>46116.0</v>
      </c>
      <c r="C67" s="3" t="s">
        <v>1210</v>
      </c>
      <c r="D67" s="3" t="s">
        <v>1218</v>
      </c>
      <c r="E67" s="3" t="s">
        <v>2086</v>
      </c>
      <c r="F67" s="3" t="s">
        <v>903</v>
      </c>
      <c r="G67" s="3">
        <v>1.0</v>
      </c>
      <c r="H67" s="3" t="b">
        <v>1</v>
      </c>
      <c r="I67" s="3" t="s">
        <v>1119</v>
      </c>
      <c r="J67" s="3" t="s">
        <v>1129</v>
      </c>
      <c r="L67" s="3" t="s">
        <v>2102</v>
      </c>
    </row>
    <row r="68" ht="15.75" customHeight="1">
      <c r="A68" s="3" t="s">
        <v>2168</v>
      </c>
      <c r="B68" s="12">
        <v>46116.0</v>
      </c>
      <c r="C68" s="3" t="s">
        <v>1220</v>
      </c>
      <c r="D68" s="3" t="s">
        <v>968</v>
      </c>
      <c r="E68" s="3" t="s">
        <v>2086</v>
      </c>
      <c r="F68" s="3" t="s">
        <v>903</v>
      </c>
      <c r="G68" s="3">
        <v>1.0</v>
      </c>
      <c r="H68" s="3" t="b">
        <v>1</v>
      </c>
      <c r="I68" s="3" t="s">
        <v>1119</v>
      </c>
      <c r="J68" s="3" t="s">
        <v>1129</v>
      </c>
      <c r="L68" s="3" t="s">
        <v>2102</v>
      </c>
    </row>
    <row r="69" ht="15.75" customHeight="1">
      <c r="A69" s="3" t="s">
        <v>2169</v>
      </c>
      <c r="B69" s="12">
        <v>46116.0</v>
      </c>
      <c r="C69" s="3" t="s">
        <v>1220</v>
      </c>
      <c r="D69" s="3" t="s">
        <v>1222</v>
      </c>
      <c r="E69" s="3" t="s">
        <v>2086</v>
      </c>
      <c r="F69" s="3" t="s">
        <v>903</v>
      </c>
      <c r="G69" s="3">
        <v>1.0</v>
      </c>
      <c r="H69" s="3" t="b">
        <v>1</v>
      </c>
      <c r="I69" s="3" t="s">
        <v>1119</v>
      </c>
      <c r="J69" s="3" t="s">
        <v>1129</v>
      </c>
      <c r="L69" s="3" t="s">
        <v>2102</v>
      </c>
    </row>
    <row r="70" ht="15.75" customHeight="1">
      <c r="A70" s="3" t="s">
        <v>2170</v>
      </c>
      <c r="B70" s="12">
        <v>46116.0</v>
      </c>
      <c r="C70" s="3" t="s">
        <v>1220</v>
      </c>
      <c r="D70" s="3" t="s">
        <v>1224</v>
      </c>
      <c r="E70" s="3" t="s">
        <v>2086</v>
      </c>
      <c r="F70" s="3" t="s">
        <v>903</v>
      </c>
      <c r="G70" s="3">
        <v>1.0</v>
      </c>
      <c r="H70" s="3" t="b">
        <v>1</v>
      </c>
      <c r="I70" s="3" t="s">
        <v>1119</v>
      </c>
      <c r="J70" s="3" t="s">
        <v>1129</v>
      </c>
      <c r="L70" s="3" t="s">
        <v>2102</v>
      </c>
    </row>
    <row r="71" ht="15.75" customHeight="1">
      <c r="A71" s="3" t="s">
        <v>2171</v>
      </c>
      <c r="B71" s="12">
        <v>46116.0</v>
      </c>
      <c r="C71" s="3" t="s">
        <v>1220</v>
      </c>
      <c r="D71" s="3" t="s">
        <v>1226</v>
      </c>
      <c r="E71" s="3" t="s">
        <v>2086</v>
      </c>
      <c r="F71" s="3" t="s">
        <v>903</v>
      </c>
      <c r="G71" s="3">
        <v>1.0</v>
      </c>
      <c r="H71" s="3" t="b">
        <v>1</v>
      </c>
      <c r="I71" s="3" t="s">
        <v>1119</v>
      </c>
      <c r="J71" s="3" t="s">
        <v>1129</v>
      </c>
      <c r="L71" s="3" t="s">
        <v>2102</v>
      </c>
    </row>
    <row r="72" ht="15.75" customHeight="1">
      <c r="A72" s="3" t="s">
        <v>2172</v>
      </c>
      <c r="B72" s="12">
        <v>46116.0</v>
      </c>
      <c r="C72" s="3" t="s">
        <v>1220</v>
      </c>
      <c r="D72" s="3" t="s">
        <v>1228</v>
      </c>
      <c r="E72" s="3" t="s">
        <v>2086</v>
      </c>
      <c r="F72" s="3" t="s">
        <v>903</v>
      </c>
      <c r="G72" s="3">
        <v>1.0</v>
      </c>
      <c r="H72" s="3" t="b">
        <v>1</v>
      </c>
      <c r="I72" s="3" t="s">
        <v>1119</v>
      </c>
      <c r="J72" s="3" t="s">
        <v>1129</v>
      </c>
      <c r="L72" s="3" t="s">
        <v>2102</v>
      </c>
    </row>
    <row r="73" ht="15.75" customHeight="1">
      <c r="A73" s="3" t="s">
        <v>2173</v>
      </c>
      <c r="B73" s="12">
        <v>46116.0</v>
      </c>
      <c r="C73" s="3" t="s">
        <v>1220</v>
      </c>
      <c r="D73" s="3" t="s">
        <v>1218</v>
      </c>
      <c r="E73" s="3" t="s">
        <v>2086</v>
      </c>
      <c r="F73" s="3" t="s">
        <v>903</v>
      </c>
      <c r="G73" s="3">
        <v>1.0</v>
      </c>
      <c r="H73" s="3" t="b">
        <v>1</v>
      </c>
      <c r="I73" s="3" t="s">
        <v>1119</v>
      </c>
      <c r="J73" s="3" t="s">
        <v>1129</v>
      </c>
      <c r="L73" s="3" t="s">
        <v>2102</v>
      </c>
    </row>
    <row r="74" ht="15.75" customHeight="1">
      <c r="A74" s="3" t="s">
        <v>2174</v>
      </c>
      <c r="B74" s="12">
        <v>46116.0</v>
      </c>
      <c r="C74" s="3" t="s">
        <v>1231</v>
      </c>
      <c r="D74" s="3" t="s">
        <v>968</v>
      </c>
      <c r="E74" s="3" t="s">
        <v>2086</v>
      </c>
      <c r="F74" s="3" t="s">
        <v>903</v>
      </c>
      <c r="G74" s="3">
        <v>1.0</v>
      </c>
      <c r="H74" s="3" t="b">
        <v>1</v>
      </c>
      <c r="I74" s="3" t="s">
        <v>1119</v>
      </c>
      <c r="J74" s="3" t="s">
        <v>1129</v>
      </c>
      <c r="L74" s="3" t="s">
        <v>2102</v>
      </c>
    </row>
    <row r="75" ht="15.75" customHeight="1">
      <c r="A75" s="3" t="s">
        <v>2175</v>
      </c>
      <c r="B75" s="12">
        <v>46116.0</v>
      </c>
      <c r="C75" s="3" t="s">
        <v>1231</v>
      </c>
      <c r="D75" s="3" t="s">
        <v>1222</v>
      </c>
      <c r="E75" s="3" t="s">
        <v>2086</v>
      </c>
      <c r="F75" s="3" t="s">
        <v>903</v>
      </c>
      <c r="G75" s="3">
        <v>1.0</v>
      </c>
      <c r="H75" s="3" t="b">
        <v>1</v>
      </c>
      <c r="I75" s="3" t="s">
        <v>1119</v>
      </c>
      <c r="J75" s="3" t="s">
        <v>1129</v>
      </c>
      <c r="L75" s="3" t="s">
        <v>2102</v>
      </c>
    </row>
    <row r="76" ht="15.75" customHeight="1">
      <c r="A76" s="3" t="s">
        <v>2176</v>
      </c>
      <c r="B76" s="12">
        <v>46116.0</v>
      </c>
      <c r="C76" s="3" t="s">
        <v>1231</v>
      </c>
      <c r="D76" s="3" t="s">
        <v>1224</v>
      </c>
      <c r="E76" s="3" t="s">
        <v>2086</v>
      </c>
      <c r="F76" s="3" t="s">
        <v>903</v>
      </c>
      <c r="G76" s="3">
        <v>1.0</v>
      </c>
      <c r="H76" s="3" t="b">
        <v>1</v>
      </c>
      <c r="I76" s="3" t="s">
        <v>1119</v>
      </c>
      <c r="J76" s="3" t="s">
        <v>1129</v>
      </c>
      <c r="L76" s="3" t="s">
        <v>2102</v>
      </c>
    </row>
    <row r="77" ht="15.75" customHeight="1">
      <c r="A77" s="3" t="s">
        <v>2177</v>
      </c>
      <c r="B77" s="12">
        <v>46116.0</v>
      </c>
      <c r="C77" s="3" t="s">
        <v>1231</v>
      </c>
      <c r="D77" s="3" t="s">
        <v>1226</v>
      </c>
      <c r="E77" s="3" t="s">
        <v>2086</v>
      </c>
      <c r="F77" s="3" t="s">
        <v>903</v>
      </c>
      <c r="G77" s="3">
        <v>1.0</v>
      </c>
      <c r="H77" s="3" t="b">
        <v>1</v>
      </c>
      <c r="I77" s="3" t="s">
        <v>1119</v>
      </c>
      <c r="J77" s="3" t="s">
        <v>1129</v>
      </c>
      <c r="L77" s="3" t="s">
        <v>2102</v>
      </c>
    </row>
    <row r="78" ht="15.75" customHeight="1">
      <c r="A78" s="3" t="s">
        <v>2178</v>
      </c>
      <c r="B78" s="12">
        <v>46116.0</v>
      </c>
      <c r="C78" s="3" t="s">
        <v>1231</v>
      </c>
      <c r="D78" s="3" t="s">
        <v>1228</v>
      </c>
      <c r="E78" s="3" t="s">
        <v>2086</v>
      </c>
      <c r="F78" s="3" t="s">
        <v>903</v>
      </c>
      <c r="G78" s="3">
        <v>1.0</v>
      </c>
      <c r="H78" s="3" t="b">
        <v>1</v>
      </c>
      <c r="I78" s="3" t="s">
        <v>1119</v>
      </c>
      <c r="J78" s="3" t="s">
        <v>1129</v>
      </c>
      <c r="L78" s="3" t="s">
        <v>2102</v>
      </c>
    </row>
    <row r="79" ht="15.75" customHeight="1">
      <c r="A79" s="3" t="s">
        <v>2179</v>
      </c>
      <c r="B79" s="12">
        <v>46116.0</v>
      </c>
      <c r="C79" s="3" t="s">
        <v>1231</v>
      </c>
      <c r="D79" s="3" t="s">
        <v>1159</v>
      </c>
      <c r="E79" s="3" t="s">
        <v>2086</v>
      </c>
      <c r="F79" s="3" t="s">
        <v>903</v>
      </c>
      <c r="G79" s="3">
        <v>1.0</v>
      </c>
      <c r="H79" s="3" t="b">
        <v>1</v>
      </c>
      <c r="I79" s="3" t="s">
        <v>1119</v>
      </c>
      <c r="J79" s="3" t="s">
        <v>1129</v>
      </c>
      <c r="L79" s="3" t="s">
        <v>2102</v>
      </c>
    </row>
    <row r="80" ht="15.75" customHeight="1">
      <c r="A80" s="3" t="s">
        <v>2180</v>
      </c>
      <c r="B80" s="12">
        <v>46116.0</v>
      </c>
      <c r="C80" s="3" t="s">
        <v>1238</v>
      </c>
      <c r="D80" s="3" t="s">
        <v>968</v>
      </c>
      <c r="E80" s="3" t="s">
        <v>2086</v>
      </c>
      <c r="F80" s="3" t="s">
        <v>903</v>
      </c>
      <c r="G80" s="3">
        <v>1.0</v>
      </c>
      <c r="H80" s="3" t="b">
        <v>1</v>
      </c>
      <c r="I80" s="3" t="s">
        <v>1119</v>
      </c>
      <c r="J80" s="3" t="s">
        <v>1129</v>
      </c>
      <c r="L80" s="3" t="s">
        <v>2102</v>
      </c>
    </row>
    <row r="81" ht="15.75" customHeight="1">
      <c r="A81" s="3" t="s">
        <v>2181</v>
      </c>
      <c r="B81" s="12">
        <v>46116.0</v>
      </c>
      <c r="C81" s="3" t="s">
        <v>1238</v>
      </c>
      <c r="D81" s="3" t="s">
        <v>1240</v>
      </c>
      <c r="E81" s="3" t="s">
        <v>2086</v>
      </c>
      <c r="F81" s="3" t="s">
        <v>903</v>
      </c>
      <c r="G81" s="3">
        <v>1.0</v>
      </c>
      <c r="H81" s="3" t="b">
        <v>1</v>
      </c>
      <c r="I81" s="3" t="s">
        <v>1119</v>
      </c>
      <c r="J81" s="3" t="s">
        <v>1129</v>
      </c>
      <c r="L81" s="3" t="s">
        <v>2102</v>
      </c>
    </row>
    <row r="82" ht="15.75" customHeight="1">
      <c r="A82" s="3" t="s">
        <v>2182</v>
      </c>
      <c r="B82" s="12">
        <v>46116.0</v>
      </c>
      <c r="C82" s="3" t="s">
        <v>1238</v>
      </c>
      <c r="D82" s="3" t="s">
        <v>1242</v>
      </c>
      <c r="E82" s="3" t="s">
        <v>2086</v>
      </c>
      <c r="F82" s="3" t="s">
        <v>903</v>
      </c>
      <c r="G82" s="3">
        <v>1.0</v>
      </c>
      <c r="H82" s="3" t="b">
        <v>1</v>
      </c>
      <c r="I82" s="3" t="s">
        <v>1119</v>
      </c>
      <c r="J82" s="3" t="s">
        <v>1129</v>
      </c>
      <c r="L82" s="3" t="s">
        <v>2102</v>
      </c>
    </row>
    <row r="83" ht="15.75" customHeight="1">
      <c r="A83" s="3" t="s">
        <v>2183</v>
      </c>
      <c r="B83" s="12">
        <v>46116.0</v>
      </c>
      <c r="C83" s="3" t="s">
        <v>1238</v>
      </c>
      <c r="D83" s="3" t="s">
        <v>1244</v>
      </c>
      <c r="E83" s="3" t="s">
        <v>2086</v>
      </c>
      <c r="F83" s="3" t="s">
        <v>903</v>
      </c>
      <c r="G83" s="3">
        <v>1.0</v>
      </c>
      <c r="H83" s="3" t="b">
        <v>1</v>
      </c>
      <c r="I83" s="3" t="s">
        <v>1119</v>
      </c>
      <c r="J83" s="3" t="s">
        <v>1129</v>
      </c>
      <c r="L83" s="3" t="s">
        <v>2102</v>
      </c>
    </row>
    <row r="84" ht="15.75" customHeight="1">
      <c r="A84" s="3" t="s">
        <v>2184</v>
      </c>
      <c r="B84" s="12">
        <v>46116.0</v>
      </c>
      <c r="C84" s="3" t="s">
        <v>1238</v>
      </c>
      <c r="D84" s="3" t="s">
        <v>1246</v>
      </c>
      <c r="E84" s="3" t="s">
        <v>2086</v>
      </c>
      <c r="F84" s="3" t="s">
        <v>903</v>
      </c>
      <c r="G84" s="3">
        <v>1.0</v>
      </c>
      <c r="H84" s="3" t="b">
        <v>1</v>
      </c>
      <c r="I84" s="3" t="s">
        <v>1119</v>
      </c>
      <c r="J84" s="3" t="s">
        <v>1129</v>
      </c>
      <c r="L84" s="3" t="s">
        <v>2102</v>
      </c>
    </row>
    <row r="85" ht="15.75" customHeight="1">
      <c r="A85" s="3" t="s">
        <v>2185</v>
      </c>
      <c r="B85" s="12">
        <v>46116.0</v>
      </c>
      <c r="C85" s="3" t="s">
        <v>1248</v>
      </c>
      <c r="D85" s="3" t="s">
        <v>955</v>
      </c>
      <c r="E85" s="3" t="s">
        <v>2086</v>
      </c>
      <c r="F85" s="3" t="s">
        <v>903</v>
      </c>
      <c r="G85" s="3">
        <v>1.0</v>
      </c>
      <c r="H85" s="3" t="b">
        <v>1</v>
      </c>
      <c r="I85" s="3" t="s">
        <v>1119</v>
      </c>
      <c r="J85" s="3" t="s">
        <v>1129</v>
      </c>
      <c r="L85" s="3" t="s">
        <v>2102</v>
      </c>
    </row>
    <row r="86" ht="15.75" customHeight="1">
      <c r="A86" s="3" t="s">
        <v>2186</v>
      </c>
      <c r="B86" s="12">
        <v>46116.0</v>
      </c>
      <c r="C86" s="3" t="s">
        <v>1248</v>
      </c>
      <c r="D86" s="3" t="s">
        <v>965</v>
      </c>
      <c r="E86" s="3" t="s">
        <v>2086</v>
      </c>
      <c r="F86" s="3" t="s">
        <v>903</v>
      </c>
      <c r="G86" s="3">
        <v>1.0</v>
      </c>
      <c r="H86" s="3" t="b">
        <v>1</v>
      </c>
      <c r="I86" s="3" t="s">
        <v>1119</v>
      </c>
      <c r="J86" s="3" t="s">
        <v>1129</v>
      </c>
      <c r="L86" s="3" t="s">
        <v>2102</v>
      </c>
    </row>
    <row r="87" ht="15.75" customHeight="1">
      <c r="A87" s="3" t="s">
        <v>2187</v>
      </c>
      <c r="B87" s="12">
        <v>46116.0</v>
      </c>
      <c r="C87" s="3" t="s">
        <v>1248</v>
      </c>
      <c r="D87" s="3" t="s">
        <v>1240</v>
      </c>
      <c r="E87" s="3" t="s">
        <v>2086</v>
      </c>
      <c r="F87" s="3" t="s">
        <v>903</v>
      </c>
      <c r="G87" s="3">
        <v>1.0</v>
      </c>
      <c r="H87" s="3" t="b">
        <v>1</v>
      </c>
      <c r="I87" s="3" t="s">
        <v>1119</v>
      </c>
      <c r="J87" s="3" t="s">
        <v>1129</v>
      </c>
      <c r="L87" s="3" t="s">
        <v>2102</v>
      </c>
    </row>
    <row r="88" ht="15.75" customHeight="1">
      <c r="A88" s="3" t="s">
        <v>2188</v>
      </c>
      <c r="B88" s="12">
        <v>46116.0</v>
      </c>
      <c r="C88" s="3" t="s">
        <v>1248</v>
      </c>
      <c r="D88" s="3" t="s">
        <v>1242</v>
      </c>
      <c r="E88" s="3" t="s">
        <v>2086</v>
      </c>
      <c r="F88" s="3" t="s">
        <v>903</v>
      </c>
      <c r="G88" s="3">
        <v>1.0</v>
      </c>
      <c r="H88" s="3" t="b">
        <v>1</v>
      </c>
      <c r="I88" s="3" t="s">
        <v>1119</v>
      </c>
      <c r="J88" s="3" t="s">
        <v>1129</v>
      </c>
      <c r="L88" s="3" t="s">
        <v>2102</v>
      </c>
    </row>
    <row r="89" ht="15.75" customHeight="1">
      <c r="A89" s="3" t="s">
        <v>2189</v>
      </c>
      <c r="B89" s="12">
        <v>46116.0</v>
      </c>
      <c r="C89" s="3" t="s">
        <v>1248</v>
      </c>
      <c r="D89" s="3" t="s">
        <v>1244</v>
      </c>
      <c r="E89" s="3" t="s">
        <v>2086</v>
      </c>
      <c r="F89" s="3" t="s">
        <v>903</v>
      </c>
      <c r="G89" s="3">
        <v>1.0</v>
      </c>
      <c r="H89" s="3" t="b">
        <v>1</v>
      </c>
      <c r="I89" s="3" t="s">
        <v>1119</v>
      </c>
      <c r="J89" s="3" t="s">
        <v>1129</v>
      </c>
      <c r="L89" s="3" t="s">
        <v>2102</v>
      </c>
    </row>
    <row r="90" ht="15.75" customHeight="1">
      <c r="A90" s="3" t="s">
        <v>2190</v>
      </c>
      <c r="B90" s="12">
        <v>46116.0</v>
      </c>
      <c r="C90" s="3" t="s">
        <v>1248</v>
      </c>
      <c r="D90" s="3" t="s">
        <v>1246</v>
      </c>
      <c r="E90" s="3" t="s">
        <v>2086</v>
      </c>
      <c r="F90" s="3" t="s">
        <v>903</v>
      </c>
      <c r="G90" s="3">
        <v>1.0</v>
      </c>
      <c r="H90" s="3" t="b">
        <v>1</v>
      </c>
      <c r="I90" s="3" t="s">
        <v>1119</v>
      </c>
      <c r="J90" s="3" t="s">
        <v>1129</v>
      </c>
      <c r="L90" s="3" t="s">
        <v>2102</v>
      </c>
    </row>
    <row r="91" ht="15.75" customHeight="1">
      <c r="A91" s="3" t="s">
        <v>2191</v>
      </c>
      <c r="B91" s="12">
        <v>46116.0</v>
      </c>
      <c r="C91" s="3" t="s">
        <v>1248</v>
      </c>
      <c r="D91" s="3" t="s">
        <v>1159</v>
      </c>
      <c r="E91" s="3" t="s">
        <v>2086</v>
      </c>
      <c r="F91" s="3" t="s">
        <v>903</v>
      </c>
      <c r="G91" s="3">
        <v>1.0</v>
      </c>
      <c r="H91" s="3" t="b">
        <v>1</v>
      </c>
      <c r="I91" s="3" t="s">
        <v>1119</v>
      </c>
      <c r="J91" s="3" t="s">
        <v>1129</v>
      </c>
      <c r="L91" s="3" t="s">
        <v>2102</v>
      </c>
    </row>
    <row r="92" ht="15.75" customHeight="1">
      <c r="A92" s="3" t="s">
        <v>2192</v>
      </c>
      <c r="B92" s="12">
        <v>46116.0</v>
      </c>
      <c r="C92" s="3" t="s">
        <v>1256</v>
      </c>
      <c r="D92" s="3" t="s">
        <v>958</v>
      </c>
      <c r="E92" s="3" t="s">
        <v>2086</v>
      </c>
      <c r="F92" s="3" t="s">
        <v>903</v>
      </c>
      <c r="G92" s="3">
        <v>1.0</v>
      </c>
      <c r="H92" s="3" t="b">
        <v>1</v>
      </c>
      <c r="I92" s="3" t="s">
        <v>1119</v>
      </c>
      <c r="J92" s="3" t="s">
        <v>1129</v>
      </c>
      <c r="L92" s="3" t="s">
        <v>2102</v>
      </c>
    </row>
    <row r="93" ht="15.75" customHeight="1">
      <c r="A93" s="3" t="s">
        <v>2193</v>
      </c>
      <c r="B93" s="12">
        <v>46116.0</v>
      </c>
      <c r="C93" s="3" t="s">
        <v>1256</v>
      </c>
      <c r="D93" s="3" t="s">
        <v>968</v>
      </c>
      <c r="E93" s="3" t="s">
        <v>2086</v>
      </c>
      <c r="F93" s="3" t="s">
        <v>903</v>
      </c>
      <c r="G93" s="3">
        <v>1.0</v>
      </c>
      <c r="H93" s="3" t="b">
        <v>1</v>
      </c>
      <c r="I93" s="3" t="s">
        <v>1119</v>
      </c>
      <c r="J93" s="3" t="s">
        <v>1129</v>
      </c>
      <c r="L93" s="3" t="s">
        <v>2102</v>
      </c>
    </row>
    <row r="94" ht="15.75" customHeight="1">
      <c r="A94" s="3" t="s">
        <v>2194</v>
      </c>
      <c r="B94" s="12">
        <v>46116.0</v>
      </c>
      <c r="C94" s="3" t="s">
        <v>1256</v>
      </c>
      <c r="D94" s="3" t="s">
        <v>1240</v>
      </c>
      <c r="E94" s="3" t="s">
        <v>2086</v>
      </c>
      <c r="F94" s="3" t="s">
        <v>903</v>
      </c>
      <c r="G94" s="3">
        <v>1.0</v>
      </c>
      <c r="H94" s="3" t="b">
        <v>1</v>
      </c>
      <c r="I94" s="3" t="s">
        <v>1119</v>
      </c>
      <c r="J94" s="3" t="s">
        <v>1129</v>
      </c>
      <c r="L94" s="3" t="s">
        <v>2102</v>
      </c>
    </row>
    <row r="95" ht="15.75" customHeight="1">
      <c r="A95" s="3" t="s">
        <v>2195</v>
      </c>
      <c r="B95" s="12">
        <v>46116.0</v>
      </c>
      <c r="C95" s="3" t="s">
        <v>1256</v>
      </c>
      <c r="D95" s="3" t="s">
        <v>1242</v>
      </c>
      <c r="E95" s="3" t="s">
        <v>2086</v>
      </c>
      <c r="F95" s="3" t="s">
        <v>903</v>
      </c>
      <c r="G95" s="3">
        <v>1.0</v>
      </c>
      <c r="H95" s="3" t="b">
        <v>1</v>
      </c>
      <c r="I95" s="3" t="s">
        <v>1119</v>
      </c>
      <c r="J95" s="3" t="s">
        <v>1129</v>
      </c>
      <c r="L95" s="3" t="s">
        <v>2102</v>
      </c>
    </row>
    <row r="96" ht="15.75" customHeight="1">
      <c r="A96" s="3" t="s">
        <v>2196</v>
      </c>
      <c r="B96" s="12">
        <v>46116.0</v>
      </c>
      <c r="C96" s="3" t="s">
        <v>1256</v>
      </c>
      <c r="D96" s="3" t="s">
        <v>1244</v>
      </c>
      <c r="E96" s="3" t="s">
        <v>2086</v>
      </c>
      <c r="F96" s="3" t="s">
        <v>903</v>
      </c>
      <c r="G96" s="3">
        <v>1.0</v>
      </c>
      <c r="H96" s="3" t="b">
        <v>1</v>
      </c>
      <c r="I96" s="3" t="s">
        <v>1119</v>
      </c>
      <c r="J96" s="3" t="s">
        <v>1129</v>
      </c>
      <c r="L96" s="3" t="s">
        <v>2102</v>
      </c>
    </row>
    <row r="97" ht="15.75" customHeight="1">
      <c r="A97" s="3" t="s">
        <v>2197</v>
      </c>
      <c r="B97" s="12">
        <v>46116.0</v>
      </c>
      <c r="C97" s="3" t="s">
        <v>1256</v>
      </c>
      <c r="D97" s="3" t="s">
        <v>1246</v>
      </c>
      <c r="E97" s="3" t="s">
        <v>2086</v>
      </c>
      <c r="F97" s="3" t="s">
        <v>903</v>
      </c>
      <c r="G97" s="3">
        <v>1.0</v>
      </c>
      <c r="H97" s="3" t="b">
        <v>1</v>
      </c>
      <c r="I97" s="3" t="s">
        <v>1119</v>
      </c>
      <c r="J97" s="3" t="s">
        <v>1129</v>
      </c>
      <c r="L97" s="3" t="s">
        <v>2102</v>
      </c>
    </row>
    <row r="98" ht="15.75" customHeight="1">
      <c r="A98" s="3" t="s">
        <v>2198</v>
      </c>
      <c r="B98" s="12">
        <v>46116.0</v>
      </c>
      <c r="C98" s="3" t="s">
        <v>1264</v>
      </c>
      <c r="D98" s="3" t="s">
        <v>965</v>
      </c>
      <c r="E98" s="3" t="s">
        <v>2086</v>
      </c>
      <c r="F98" s="3" t="s">
        <v>903</v>
      </c>
      <c r="G98" s="3">
        <v>1.0</v>
      </c>
      <c r="H98" s="3" t="b">
        <v>1</v>
      </c>
      <c r="I98" s="3" t="s">
        <v>1119</v>
      </c>
      <c r="J98" s="3" t="s">
        <v>1129</v>
      </c>
      <c r="L98" s="3" t="s">
        <v>2102</v>
      </c>
    </row>
    <row r="99" ht="15.75" customHeight="1">
      <c r="A99" s="3" t="s">
        <v>2199</v>
      </c>
      <c r="B99" s="12">
        <v>46116.0</v>
      </c>
      <c r="C99" s="3" t="s">
        <v>1264</v>
      </c>
      <c r="D99" s="3" t="s">
        <v>1240</v>
      </c>
      <c r="E99" s="3" t="s">
        <v>2086</v>
      </c>
      <c r="F99" s="3" t="s">
        <v>903</v>
      </c>
      <c r="G99" s="3">
        <v>1.0</v>
      </c>
      <c r="H99" s="3" t="b">
        <v>1</v>
      </c>
      <c r="I99" s="3" t="s">
        <v>1119</v>
      </c>
      <c r="J99" s="3" t="s">
        <v>1129</v>
      </c>
      <c r="L99" s="3" t="s">
        <v>2102</v>
      </c>
    </row>
    <row r="100" ht="15.75" customHeight="1">
      <c r="A100" s="3" t="s">
        <v>2200</v>
      </c>
      <c r="B100" s="12">
        <v>46116.0</v>
      </c>
      <c r="C100" s="3" t="s">
        <v>1264</v>
      </c>
      <c r="D100" s="3" t="s">
        <v>1242</v>
      </c>
      <c r="E100" s="3" t="s">
        <v>2086</v>
      </c>
      <c r="F100" s="3" t="s">
        <v>903</v>
      </c>
      <c r="G100" s="3">
        <v>1.0</v>
      </c>
      <c r="H100" s="3" t="b">
        <v>1</v>
      </c>
      <c r="I100" s="3" t="s">
        <v>1119</v>
      </c>
      <c r="J100" s="3" t="s">
        <v>1129</v>
      </c>
      <c r="L100" s="3" t="s">
        <v>2102</v>
      </c>
    </row>
    <row r="101" ht="15.75" customHeight="1">
      <c r="A101" s="3" t="s">
        <v>2201</v>
      </c>
      <c r="B101" s="12">
        <v>46116.0</v>
      </c>
      <c r="C101" s="3" t="s">
        <v>1264</v>
      </c>
      <c r="D101" s="3" t="s">
        <v>1244</v>
      </c>
      <c r="E101" s="3" t="s">
        <v>2086</v>
      </c>
      <c r="F101" s="3" t="s">
        <v>903</v>
      </c>
      <c r="G101" s="3">
        <v>1.0</v>
      </c>
      <c r="H101" s="3" t="b">
        <v>1</v>
      </c>
      <c r="I101" s="3" t="s">
        <v>1119</v>
      </c>
      <c r="J101" s="3" t="s">
        <v>1129</v>
      </c>
      <c r="L101" s="3" t="s">
        <v>2102</v>
      </c>
    </row>
    <row r="102" ht="15.75" customHeight="1">
      <c r="A102" s="3" t="s">
        <v>2202</v>
      </c>
      <c r="B102" s="12">
        <v>46116.0</v>
      </c>
      <c r="C102" s="3" t="s">
        <v>1264</v>
      </c>
      <c r="D102" s="3" t="s">
        <v>1246</v>
      </c>
      <c r="E102" s="3" t="s">
        <v>2086</v>
      </c>
      <c r="F102" s="3" t="s">
        <v>903</v>
      </c>
      <c r="G102" s="3">
        <v>1.0</v>
      </c>
      <c r="H102" s="3" t="b">
        <v>1</v>
      </c>
      <c r="I102" s="3" t="s">
        <v>1119</v>
      </c>
      <c r="J102" s="3" t="s">
        <v>1129</v>
      </c>
      <c r="L102" s="3" t="s">
        <v>2102</v>
      </c>
    </row>
    <row r="103" ht="15.75" customHeight="1">
      <c r="A103" s="3" t="s">
        <v>2203</v>
      </c>
      <c r="B103" s="12">
        <v>46116.0</v>
      </c>
      <c r="C103" s="3" t="s">
        <v>1264</v>
      </c>
      <c r="D103" s="3" t="s">
        <v>1271</v>
      </c>
      <c r="E103" s="3" t="s">
        <v>2086</v>
      </c>
      <c r="F103" s="3" t="s">
        <v>903</v>
      </c>
      <c r="G103" s="3">
        <v>1.0</v>
      </c>
      <c r="H103" s="3" t="b">
        <v>1</v>
      </c>
      <c r="I103" s="3" t="s">
        <v>1119</v>
      </c>
      <c r="J103" s="3" t="s">
        <v>1129</v>
      </c>
      <c r="L103" s="3" t="s">
        <v>2102</v>
      </c>
    </row>
    <row r="104" ht="15.75" customHeight="1">
      <c r="A104" s="3" t="s">
        <v>2204</v>
      </c>
      <c r="B104" s="12">
        <v>46116.0</v>
      </c>
      <c r="C104" s="3" t="s">
        <v>1273</v>
      </c>
      <c r="D104" s="3" t="s">
        <v>955</v>
      </c>
      <c r="E104" s="3" t="s">
        <v>2086</v>
      </c>
      <c r="F104" s="3" t="s">
        <v>903</v>
      </c>
      <c r="G104" s="3">
        <v>1.0</v>
      </c>
      <c r="H104" s="3" t="b">
        <v>1</v>
      </c>
      <c r="I104" s="3" t="s">
        <v>1119</v>
      </c>
      <c r="J104" s="3" t="s">
        <v>1129</v>
      </c>
      <c r="L104" s="3" t="s">
        <v>2102</v>
      </c>
    </row>
    <row r="105" ht="15.75" customHeight="1">
      <c r="A105" s="3" t="s">
        <v>2205</v>
      </c>
      <c r="B105" s="12">
        <v>46116.0</v>
      </c>
      <c r="C105" s="3" t="s">
        <v>1273</v>
      </c>
      <c r="D105" s="3" t="s">
        <v>968</v>
      </c>
      <c r="E105" s="3" t="s">
        <v>2086</v>
      </c>
      <c r="F105" s="3" t="s">
        <v>903</v>
      </c>
      <c r="G105" s="3">
        <v>1.0</v>
      </c>
      <c r="H105" s="3" t="b">
        <v>1</v>
      </c>
      <c r="I105" s="3" t="s">
        <v>1119</v>
      </c>
      <c r="J105" s="3" t="s">
        <v>1129</v>
      </c>
      <c r="L105" s="3" t="s">
        <v>2102</v>
      </c>
    </row>
    <row r="106" ht="15.75" customHeight="1">
      <c r="A106" s="3" t="s">
        <v>2206</v>
      </c>
      <c r="B106" s="12">
        <v>46116.0</v>
      </c>
      <c r="C106" s="3" t="s">
        <v>1273</v>
      </c>
      <c r="D106" s="3" t="s">
        <v>1172</v>
      </c>
      <c r="E106" s="3" t="s">
        <v>2086</v>
      </c>
      <c r="F106" s="3" t="s">
        <v>903</v>
      </c>
      <c r="G106" s="3">
        <v>1.0</v>
      </c>
      <c r="H106" s="3" t="b">
        <v>1</v>
      </c>
      <c r="I106" s="3" t="s">
        <v>1119</v>
      </c>
      <c r="J106" s="3" t="s">
        <v>1129</v>
      </c>
      <c r="L106" s="3" t="s">
        <v>2102</v>
      </c>
    </row>
    <row r="107" ht="15.75" customHeight="1">
      <c r="A107" s="3" t="s">
        <v>2207</v>
      </c>
      <c r="B107" s="12">
        <v>46116.0</v>
      </c>
      <c r="C107" s="3" t="s">
        <v>1273</v>
      </c>
      <c r="D107" s="3" t="s">
        <v>1277</v>
      </c>
      <c r="E107" s="3" t="s">
        <v>2086</v>
      </c>
      <c r="F107" s="3" t="s">
        <v>903</v>
      </c>
      <c r="G107" s="3">
        <v>1.0</v>
      </c>
      <c r="H107" s="3" t="b">
        <v>1</v>
      </c>
      <c r="I107" s="3" t="s">
        <v>1119</v>
      </c>
      <c r="J107" s="3" t="s">
        <v>1129</v>
      </c>
      <c r="L107" s="3" t="s">
        <v>2102</v>
      </c>
    </row>
    <row r="108" ht="15.75" customHeight="1">
      <c r="A108" s="3" t="s">
        <v>2208</v>
      </c>
      <c r="B108" s="12">
        <v>46116.0</v>
      </c>
      <c r="C108" s="3" t="s">
        <v>1273</v>
      </c>
      <c r="D108" s="3" t="s">
        <v>1279</v>
      </c>
      <c r="E108" s="3" t="s">
        <v>2086</v>
      </c>
      <c r="F108" s="3" t="s">
        <v>903</v>
      </c>
      <c r="G108" s="3">
        <v>1.0</v>
      </c>
      <c r="H108" s="3" t="b">
        <v>1</v>
      </c>
      <c r="I108" s="3" t="s">
        <v>1119</v>
      </c>
      <c r="J108" s="3" t="s">
        <v>1129</v>
      </c>
      <c r="L108" s="3" t="s">
        <v>2102</v>
      </c>
    </row>
    <row r="109" ht="15.75" customHeight="1">
      <c r="A109" s="3" t="s">
        <v>2209</v>
      </c>
      <c r="B109" s="12">
        <v>46116.0</v>
      </c>
      <c r="C109" s="3" t="s">
        <v>1273</v>
      </c>
      <c r="D109" s="3" t="s">
        <v>1281</v>
      </c>
      <c r="E109" s="3" t="s">
        <v>2086</v>
      </c>
      <c r="F109" s="3" t="s">
        <v>903</v>
      </c>
      <c r="G109" s="3">
        <v>1.0</v>
      </c>
      <c r="H109" s="3" t="b">
        <v>1</v>
      </c>
      <c r="I109" s="3" t="s">
        <v>1119</v>
      </c>
      <c r="J109" s="3" t="s">
        <v>1129</v>
      </c>
      <c r="L109" s="3" t="s">
        <v>2102</v>
      </c>
    </row>
    <row r="110" ht="15.75" customHeight="1">
      <c r="A110" s="3" t="s">
        <v>2210</v>
      </c>
      <c r="B110" s="12">
        <v>46116.0</v>
      </c>
      <c r="C110" s="3" t="s">
        <v>1273</v>
      </c>
      <c r="D110" s="3" t="s">
        <v>1283</v>
      </c>
      <c r="E110" s="3" t="s">
        <v>2086</v>
      </c>
      <c r="F110" s="3" t="s">
        <v>903</v>
      </c>
      <c r="G110" s="3">
        <v>1.0</v>
      </c>
      <c r="H110" s="3" t="b">
        <v>1</v>
      </c>
      <c r="I110" s="3" t="s">
        <v>1119</v>
      </c>
      <c r="J110" s="3" t="s">
        <v>1129</v>
      </c>
      <c r="L110" s="3" t="s">
        <v>2102</v>
      </c>
    </row>
    <row r="111" ht="15.75" customHeight="1">
      <c r="A111" s="3" t="s">
        <v>2211</v>
      </c>
      <c r="B111" s="12">
        <v>46116.0</v>
      </c>
      <c r="C111" s="3" t="s">
        <v>1285</v>
      </c>
      <c r="D111" s="3" t="s">
        <v>968</v>
      </c>
      <c r="E111" s="3" t="s">
        <v>2086</v>
      </c>
      <c r="F111" s="3" t="s">
        <v>903</v>
      </c>
      <c r="G111" s="3">
        <v>1.0</v>
      </c>
      <c r="H111" s="3" t="b">
        <v>1</v>
      </c>
      <c r="I111" s="3" t="s">
        <v>1119</v>
      </c>
      <c r="J111" s="3" t="s">
        <v>1129</v>
      </c>
      <c r="L111" s="3" t="s">
        <v>2102</v>
      </c>
    </row>
    <row r="112" ht="15.75" customHeight="1">
      <c r="A112" s="3" t="s">
        <v>2212</v>
      </c>
      <c r="B112" s="12">
        <v>46116.0</v>
      </c>
      <c r="C112" s="3" t="s">
        <v>1285</v>
      </c>
      <c r="D112" s="3" t="s">
        <v>1168</v>
      </c>
      <c r="E112" s="3" t="s">
        <v>2086</v>
      </c>
      <c r="F112" s="3" t="s">
        <v>903</v>
      </c>
      <c r="G112" s="3">
        <v>1.0</v>
      </c>
      <c r="H112" s="3" t="b">
        <v>1</v>
      </c>
      <c r="I112" s="3" t="s">
        <v>1119</v>
      </c>
      <c r="J112" s="3" t="s">
        <v>1129</v>
      </c>
      <c r="L112" s="3" t="s">
        <v>2102</v>
      </c>
    </row>
    <row r="113" ht="15.75" customHeight="1">
      <c r="A113" s="3" t="s">
        <v>2213</v>
      </c>
      <c r="B113" s="12">
        <v>46116.0</v>
      </c>
      <c r="C113" s="3" t="s">
        <v>1285</v>
      </c>
      <c r="D113" s="3" t="s">
        <v>1288</v>
      </c>
      <c r="E113" s="3" t="s">
        <v>2086</v>
      </c>
      <c r="F113" s="3" t="s">
        <v>903</v>
      </c>
      <c r="G113" s="3">
        <v>1.0</v>
      </c>
      <c r="H113" s="3" t="b">
        <v>1</v>
      </c>
      <c r="I113" s="3" t="s">
        <v>1119</v>
      </c>
      <c r="J113" s="3" t="s">
        <v>1129</v>
      </c>
      <c r="L113" s="3" t="s">
        <v>2102</v>
      </c>
    </row>
    <row r="114" ht="15.75" customHeight="1">
      <c r="A114" s="3" t="s">
        <v>2214</v>
      </c>
      <c r="B114" s="12">
        <v>46116.0</v>
      </c>
      <c r="C114" s="3" t="s">
        <v>1285</v>
      </c>
      <c r="D114" s="3" t="s">
        <v>1291</v>
      </c>
      <c r="E114" s="3" t="s">
        <v>2086</v>
      </c>
      <c r="F114" s="3" t="s">
        <v>903</v>
      </c>
      <c r="G114" s="3">
        <v>1.0</v>
      </c>
      <c r="H114" s="3" t="b">
        <v>1</v>
      </c>
      <c r="I114" s="3" t="s">
        <v>1119</v>
      </c>
      <c r="J114" s="3" t="s">
        <v>1129</v>
      </c>
      <c r="L114" s="3" t="s">
        <v>2102</v>
      </c>
    </row>
    <row r="115" ht="15.75" customHeight="1">
      <c r="A115" s="3" t="s">
        <v>2215</v>
      </c>
      <c r="B115" s="12">
        <v>46116.0</v>
      </c>
      <c r="C115" s="3" t="s">
        <v>1285</v>
      </c>
      <c r="D115" s="3" t="s">
        <v>1170</v>
      </c>
      <c r="E115" s="3" t="s">
        <v>2086</v>
      </c>
      <c r="F115" s="3" t="s">
        <v>903</v>
      </c>
      <c r="G115" s="3">
        <v>1.0</v>
      </c>
      <c r="H115" s="3" t="b">
        <v>1</v>
      </c>
      <c r="I115" s="3" t="s">
        <v>1119</v>
      </c>
      <c r="J115" s="3" t="s">
        <v>1129</v>
      </c>
      <c r="L115" s="3" t="s">
        <v>2102</v>
      </c>
    </row>
    <row r="116" ht="15.75" customHeight="1">
      <c r="A116" s="3" t="s">
        <v>2216</v>
      </c>
      <c r="B116" s="12">
        <v>46116.0</v>
      </c>
      <c r="C116" s="3" t="s">
        <v>1285</v>
      </c>
      <c r="D116" s="3" t="s">
        <v>1159</v>
      </c>
      <c r="E116" s="3" t="s">
        <v>2086</v>
      </c>
      <c r="F116" s="3" t="s">
        <v>903</v>
      </c>
      <c r="G116" s="3">
        <v>1.0</v>
      </c>
      <c r="H116" s="3" t="b">
        <v>1</v>
      </c>
      <c r="I116" s="3" t="s">
        <v>1119</v>
      </c>
      <c r="J116" s="3" t="s">
        <v>1129</v>
      </c>
      <c r="L116" s="3" t="s">
        <v>2102</v>
      </c>
    </row>
    <row r="117" ht="15.75" customHeight="1">
      <c r="A117" s="3" t="s">
        <v>2217</v>
      </c>
      <c r="B117" s="12">
        <v>46116.0</v>
      </c>
      <c r="C117" s="3" t="s">
        <v>1295</v>
      </c>
      <c r="D117" s="3" t="s">
        <v>968</v>
      </c>
      <c r="E117" s="3" t="s">
        <v>2086</v>
      </c>
      <c r="F117" s="3" t="s">
        <v>903</v>
      </c>
      <c r="G117" s="3">
        <v>1.0</v>
      </c>
      <c r="H117" s="3" t="b">
        <v>1</v>
      </c>
      <c r="I117" s="3" t="s">
        <v>1119</v>
      </c>
      <c r="J117" s="3" t="s">
        <v>1129</v>
      </c>
      <c r="L117" s="3" t="s">
        <v>2102</v>
      </c>
    </row>
    <row r="118" ht="15.75" customHeight="1">
      <c r="A118" s="3" t="s">
        <v>2218</v>
      </c>
      <c r="B118" s="12">
        <v>46116.0</v>
      </c>
      <c r="C118" s="3" t="s">
        <v>1295</v>
      </c>
      <c r="D118" s="3" t="s">
        <v>1240</v>
      </c>
      <c r="E118" s="3" t="s">
        <v>2086</v>
      </c>
      <c r="F118" s="3" t="s">
        <v>903</v>
      </c>
      <c r="G118" s="3">
        <v>1.0</v>
      </c>
      <c r="H118" s="3" t="b">
        <v>1</v>
      </c>
      <c r="I118" s="3" t="s">
        <v>1119</v>
      </c>
      <c r="J118" s="3" t="s">
        <v>1129</v>
      </c>
      <c r="L118" s="3" t="s">
        <v>2102</v>
      </c>
    </row>
    <row r="119" ht="15.75" customHeight="1">
      <c r="A119" s="3" t="s">
        <v>2219</v>
      </c>
      <c r="B119" s="12">
        <v>46116.0</v>
      </c>
      <c r="C119" s="3" t="s">
        <v>1295</v>
      </c>
      <c r="D119" s="3" t="s">
        <v>1242</v>
      </c>
      <c r="E119" s="3" t="s">
        <v>2086</v>
      </c>
      <c r="F119" s="3" t="s">
        <v>903</v>
      </c>
      <c r="G119" s="3">
        <v>1.0</v>
      </c>
      <c r="H119" s="3" t="b">
        <v>1</v>
      </c>
      <c r="I119" s="3" t="s">
        <v>1119</v>
      </c>
      <c r="J119" s="3" t="s">
        <v>1129</v>
      </c>
      <c r="L119" s="3" t="s">
        <v>2102</v>
      </c>
    </row>
    <row r="120" ht="15.75" customHeight="1">
      <c r="A120" s="3" t="s">
        <v>2220</v>
      </c>
      <c r="B120" s="12">
        <v>46116.0</v>
      </c>
      <c r="C120" s="3" t="s">
        <v>1295</v>
      </c>
      <c r="D120" s="3" t="s">
        <v>1244</v>
      </c>
      <c r="E120" s="3" t="s">
        <v>2086</v>
      </c>
      <c r="F120" s="3" t="s">
        <v>903</v>
      </c>
      <c r="G120" s="3">
        <v>1.0</v>
      </c>
      <c r="H120" s="3" t="b">
        <v>1</v>
      </c>
      <c r="I120" s="3" t="s">
        <v>1119</v>
      </c>
      <c r="J120" s="3" t="s">
        <v>1129</v>
      </c>
      <c r="L120" s="3" t="s">
        <v>2102</v>
      </c>
    </row>
    <row r="121" ht="15.75" customHeight="1">
      <c r="A121" s="3" t="s">
        <v>2221</v>
      </c>
      <c r="B121" s="12">
        <v>46116.0</v>
      </c>
      <c r="C121" s="3" t="s">
        <v>1295</v>
      </c>
      <c r="D121" s="3" t="s">
        <v>1246</v>
      </c>
      <c r="E121" s="3" t="s">
        <v>2086</v>
      </c>
      <c r="F121" s="3" t="s">
        <v>903</v>
      </c>
      <c r="G121" s="3">
        <v>1.0</v>
      </c>
      <c r="H121" s="3" t="b">
        <v>1</v>
      </c>
      <c r="I121" s="3" t="s">
        <v>1119</v>
      </c>
      <c r="J121" s="3" t="s">
        <v>1129</v>
      </c>
      <c r="L121" s="3" t="s">
        <v>2102</v>
      </c>
    </row>
    <row r="122" ht="15.75" customHeight="1">
      <c r="A122" s="3" t="s">
        <v>2222</v>
      </c>
      <c r="B122" s="12">
        <v>46116.0</v>
      </c>
      <c r="C122" s="3" t="s">
        <v>1295</v>
      </c>
      <c r="D122" s="3" t="s">
        <v>1159</v>
      </c>
      <c r="E122" s="3" t="s">
        <v>2086</v>
      </c>
      <c r="F122" s="3" t="s">
        <v>903</v>
      </c>
      <c r="G122" s="3">
        <v>1.0</v>
      </c>
      <c r="H122" s="3" t="b">
        <v>1</v>
      </c>
      <c r="I122" s="3" t="s">
        <v>1119</v>
      </c>
      <c r="J122" s="3" t="s">
        <v>1129</v>
      </c>
      <c r="L122" s="3" t="s">
        <v>2102</v>
      </c>
    </row>
    <row r="123" ht="15.75" customHeight="1">
      <c r="A123" s="3" t="s">
        <v>2223</v>
      </c>
      <c r="B123" s="12">
        <v>46116.0</v>
      </c>
      <c r="C123" s="3" t="s">
        <v>1302</v>
      </c>
      <c r="D123" s="3" t="s">
        <v>965</v>
      </c>
      <c r="E123" s="3" t="s">
        <v>2086</v>
      </c>
      <c r="F123" s="3" t="s">
        <v>903</v>
      </c>
      <c r="G123" s="3">
        <v>1.0</v>
      </c>
      <c r="H123" s="3" t="b">
        <v>1</v>
      </c>
      <c r="I123" s="3" t="s">
        <v>1119</v>
      </c>
      <c r="J123" s="3" t="s">
        <v>1129</v>
      </c>
      <c r="L123" s="3" t="s">
        <v>2102</v>
      </c>
    </row>
    <row r="124" ht="15.75" customHeight="1">
      <c r="A124" s="3" t="s">
        <v>2224</v>
      </c>
      <c r="B124" s="12">
        <v>46116.0</v>
      </c>
      <c r="C124" s="3" t="s">
        <v>1302</v>
      </c>
      <c r="D124" s="3" t="s">
        <v>1304</v>
      </c>
      <c r="E124" s="3" t="s">
        <v>2086</v>
      </c>
      <c r="F124" s="3" t="s">
        <v>903</v>
      </c>
      <c r="G124" s="3">
        <v>1.0</v>
      </c>
      <c r="H124" s="3" t="b">
        <v>1</v>
      </c>
      <c r="I124" s="3" t="s">
        <v>1119</v>
      </c>
      <c r="J124" s="3" t="s">
        <v>1129</v>
      </c>
      <c r="L124" s="3" t="s">
        <v>2102</v>
      </c>
    </row>
    <row r="125" ht="15.75" customHeight="1">
      <c r="A125" s="3" t="s">
        <v>2225</v>
      </c>
      <c r="B125" s="12">
        <v>46116.0</v>
      </c>
      <c r="C125" s="3" t="s">
        <v>1302</v>
      </c>
      <c r="D125" s="3" t="s">
        <v>1306</v>
      </c>
      <c r="E125" s="3" t="s">
        <v>2086</v>
      </c>
      <c r="F125" s="3" t="s">
        <v>903</v>
      </c>
      <c r="G125" s="3">
        <v>1.0</v>
      </c>
      <c r="H125" s="3" t="b">
        <v>1</v>
      </c>
      <c r="I125" s="3" t="s">
        <v>1119</v>
      </c>
      <c r="J125" s="3" t="s">
        <v>1129</v>
      </c>
      <c r="L125" s="3" t="s">
        <v>2102</v>
      </c>
    </row>
    <row r="126" ht="15.75" customHeight="1">
      <c r="A126" s="3" t="s">
        <v>2226</v>
      </c>
      <c r="B126" s="12">
        <v>46116.0</v>
      </c>
      <c r="C126" s="3" t="s">
        <v>1302</v>
      </c>
      <c r="D126" s="3" t="s">
        <v>1308</v>
      </c>
      <c r="E126" s="3" t="s">
        <v>2086</v>
      </c>
      <c r="F126" s="3" t="s">
        <v>903</v>
      </c>
      <c r="G126" s="3">
        <v>1.0</v>
      </c>
      <c r="H126" s="3" t="b">
        <v>1</v>
      </c>
      <c r="I126" s="3" t="s">
        <v>1119</v>
      </c>
      <c r="J126" s="3" t="s">
        <v>1129</v>
      </c>
      <c r="L126" s="3" t="s">
        <v>2102</v>
      </c>
    </row>
    <row r="127" ht="15.75" customHeight="1">
      <c r="A127" s="3" t="s">
        <v>2227</v>
      </c>
      <c r="B127" s="12">
        <v>46116.0</v>
      </c>
      <c r="C127" s="3" t="s">
        <v>1302</v>
      </c>
      <c r="D127" s="3" t="s">
        <v>1310</v>
      </c>
      <c r="E127" s="3" t="s">
        <v>2086</v>
      </c>
      <c r="F127" s="3" t="s">
        <v>903</v>
      </c>
      <c r="G127" s="3">
        <v>1.0</v>
      </c>
      <c r="H127" s="3" t="b">
        <v>1</v>
      </c>
      <c r="I127" s="3" t="s">
        <v>1119</v>
      </c>
      <c r="J127" s="3" t="s">
        <v>1129</v>
      </c>
      <c r="L127" s="3" t="s">
        <v>2102</v>
      </c>
    </row>
    <row r="128" ht="15.75" customHeight="1">
      <c r="A128" s="3" t="s">
        <v>2228</v>
      </c>
      <c r="B128" s="12">
        <v>46116.0</v>
      </c>
      <c r="C128" s="3" t="s">
        <v>1302</v>
      </c>
      <c r="D128" s="3" t="s">
        <v>1312</v>
      </c>
      <c r="E128" s="3" t="s">
        <v>2086</v>
      </c>
      <c r="F128" s="3" t="s">
        <v>903</v>
      </c>
      <c r="G128" s="3">
        <v>1.0</v>
      </c>
      <c r="H128" s="3" t="b">
        <v>1</v>
      </c>
      <c r="I128" s="3" t="s">
        <v>1119</v>
      </c>
      <c r="J128" s="3" t="s">
        <v>1129</v>
      </c>
      <c r="L128" s="3" t="s">
        <v>2102</v>
      </c>
    </row>
    <row r="129" ht="15.75" customHeight="1">
      <c r="A129" s="3" t="s">
        <v>2229</v>
      </c>
      <c r="B129" s="12">
        <v>46116.0</v>
      </c>
      <c r="C129" s="3" t="s">
        <v>1314</v>
      </c>
      <c r="D129" s="3" t="s">
        <v>965</v>
      </c>
      <c r="E129" s="3" t="s">
        <v>2086</v>
      </c>
      <c r="F129" s="3" t="s">
        <v>903</v>
      </c>
      <c r="G129" s="3">
        <v>1.0</v>
      </c>
      <c r="H129" s="3" t="b">
        <v>1</v>
      </c>
      <c r="I129" s="3" t="s">
        <v>1119</v>
      </c>
      <c r="J129" s="3" t="s">
        <v>1129</v>
      </c>
      <c r="L129" s="3" t="s">
        <v>2102</v>
      </c>
    </row>
    <row r="130" ht="15.75" customHeight="1">
      <c r="A130" s="3" t="s">
        <v>2230</v>
      </c>
      <c r="B130" s="12">
        <v>46116.0</v>
      </c>
      <c r="C130" s="3" t="s">
        <v>1314</v>
      </c>
      <c r="D130" s="3" t="s">
        <v>1240</v>
      </c>
      <c r="E130" s="3" t="s">
        <v>2086</v>
      </c>
      <c r="F130" s="3" t="s">
        <v>903</v>
      </c>
      <c r="G130" s="3">
        <v>1.0</v>
      </c>
      <c r="H130" s="3" t="b">
        <v>1</v>
      </c>
      <c r="I130" s="3" t="s">
        <v>1119</v>
      </c>
      <c r="J130" s="3" t="s">
        <v>1129</v>
      </c>
      <c r="L130" s="3" t="s">
        <v>2102</v>
      </c>
    </row>
    <row r="131" ht="15.75" customHeight="1">
      <c r="A131" s="3" t="s">
        <v>2231</v>
      </c>
      <c r="B131" s="12">
        <v>46116.0</v>
      </c>
      <c r="C131" s="3" t="s">
        <v>1314</v>
      </c>
      <c r="D131" s="3" t="s">
        <v>1242</v>
      </c>
      <c r="E131" s="3" t="s">
        <v>2086</v>
      </c>
      <c r="F131" s="3" t="s">
        <v>903</v>
      </c>
      <c r="G131" s="3">
        <v>1.0</v>
      </c>
      <c r="H131" s="3" t="b">
        <v>1</v>
      </c>
      <c r="I131" s="3" t="s">
        <v>1119</v>
      </c>
      <c r="J131" s="3" t="s">
        <v>1129</v>
      </c>
      <c r="L131" s="3" t="s">
        <v>2102</v>
      </c>
    </row>
    <row r="132" ht="15.75" customHeight="1">
      <c r="A132" s="3" t="s">
        <v>2232</v>
      </c>
      <c r="B132" s="12">
        <v>46116.0</v>
      </c>
      <c r="C132" s="3" t="s">
        <v>1314</v>
      </c>
      <c r="D132" s="3" t="s">
        <v>1244</v>
      </c>
      <c r="E132" s="3" t="s">
        <v>2086</v>
      </c>
      <c r="F132" s="3" t="s">
        <v>903</v>
      </c>
      <c r="G132" s="3">
        <v>1.0</v>
      </c>
      <c r="H132" s="3" t="b">
        <v>1</v>
      </c>
      <c r="I132" s="3" t="s">
        <v>1119</v>
      </c>
      <c r="J132" s="3" t="s">
        <v>1129</v>
      </c>
      <c r="L132" s="3" t="s">
        <v>2102</v>
      </c>
    </row>
    <row r="133" ht="15.75" customHeight="1">
      <c r="A133" s="3" t="s">
        <v>2233</v>
      </c>
      <c r="B133" s="12">
        <v>46116.0</v>
      </c>
      <c r="C133" s="3" t="s">
        <v>1314</v>
      </c>
      <c r="D133" s="3" t="s">
        <v>1246</v>
      </c>
      <c r="E133" s="3" t="s">
        <v>2086</v>
      </c>
      <c r="F133" s="3" t="s">
        <v>903</v>
      </c>
      <c r="G133" s="3">
        <v>1.0</v>
      </c>
      <c r="H133" s="3" t="b">
        <v>1</v>
      </c>
      <c r="I133" s="3" t="s">
        <v>1119</v>
      </c>
      <c r="J133" s="3" t="s">
        <v>1129</v>
      </c>
      <c r="L133" s="3" t="s">
        <v>2102</v>
      </c>
    </row>
    <row r="134" ht="15.75" customHeight="1">
      <c r="A134" s="3" t="s">
        <v>2234</v>
      </c>
      <c r="B134" s="12">
        <v>46116.0</v>
      </c>
      <c r="C134" s="3" t="s">
        <v>1314</v>
      </c>
      <c r="D134" s="3" t="s">
        <v>1312</v>
      </c>
      <c r="E134" s="3" t="s">
        <v>2086</v>
      </c>
      <c r="F134" s="3" t="s">
        <v>903</v>
      </c>
      <c r="G134" s="3">
        <v>1.0</v>
      </c>
      <c r="H134" s="3" t="b">
        <v>1</v>
      </c>
      <c r="I134" s="3" t="s">
        <v>1119</v>
      </c>
      <c r="J134" s="3" t="s">
        <v>1129</v>
      </c>
      <c r="L134" s="3" t="s">
        <v>2102</v>
      </c>
    </row>
    <row r="135" ht="15.75" customHeight="1">
      <c r="A135" s="3" t="s">
        <v>2235</v>
      </c>
      <c r="B135" s="12">
        <v>46116.0</v>
      </c>
      <c r="C135" s="3" t="s">
        <v>1321</v>
      </c>
      <c r="D135" s="3" t="s">
        <v>965</v>
      </c>
      <c r="E135" s="3" t="s">
        <v>2086</v>
      </c>
      <c r="F135" s="3" t="s">
        <v>903</v>
      </c>
      <c r="G135" s="3">
        <v>1.0</v>
      </c>
      <c r="H135" s="3" t="b">
        <v>1</v>
      </c>
      <c r="I135" s="3" t="s">
        <v>1119</v>
      </c>
      <c r="J135" s="3" t="s">
        <v>1129</v>
      </c>
      <c r="L135" s="3" t="s">
        <v>2102</v>
      </c>
    </row>
    <row r="136" ht="15.75" customHeight="1">
      <c r="A136" s="3" t="s">
        <v>2236</v>
      </c>
      <c r="B136" s="12">
        <v>46116.0</v>
      </c>
      <c r="C136" s="3" t="s">
        <v>1321</v>
      </c>
      <c r="D136" s="3" t="s">
        <v>1323</v>
      </c>
      <c r="E136" s="3" t="s">
        <v>2086</v>
      </c>
      <c r="F136" s="3" t="s">
        <v>903</v>
      </c>
      <c r="G136" s="3">
        <v>1.0</v>
      </c>
      <c r="H136" s="3" t="b">
        <v>1</v>
      </c>
      <c r="I136" s="3" t="s">
        <v>1119</v>
      </c>
      <c r="J136" s="3" t="s">
        <v>1129</v>
      </c>
      <c r="L136" s="3" t="s">
        <v>2102</v>
      </c>
    </row>
    <row r="137" ht="15.75" customHeight="1">
      <c r="A137" s="3" t="s">
        <v>2237</v>
      </c>
      <c r="B137" s="12">
        <v>46116.0</v>
      </c>
      <c r="C137" s="3" t="s">
        <v>1321</v>
      </c>
      <c r="D137" s="3" t="s">
        <v>1168</v>
      </c>
      <c r="E137" s="3" t="s">
        <v>2086</v>
      </c>
      <c r="F137" s="3" t="s">
        <v>903</v>
      </c>
      <c r="G137" s="3">
        <v>1.0</v>
      </c>
      <c r="H137" s="3" t="b">
        <v>1</v>
      </c>
      <c r="I137" s="3" t="s">
        <v>1119</v>
      </c>
      <c r="J137" s="3" t="s">
        <v>1129</v>
      </c>
      <c r="L137" s="3" t="s">
        <v>2102</v>
      </c>
    </row>
    <row r="138" ht="15.75" customHeight="1">
      <c r="A138" s="3" t="s">
        <v>2238</v>
      </c>
      <c r="B138" s="12">
        <v>46116.0</v>
      </c>
      <c r="C138" s="3" t="s">
        <v>1321</v>
      </c>
      <c r="D138" s="3" t="s">
        <v>1170</v>
      </c>
      <c r="E138" s="3" t="s">
        <v>2086</v>
      </c>
      <c r="F138" s="3" t="s">
        <v>903</v>
      </c>
      <c r="G138" s="3">
        <v>1.0</v>
      </c>
      <c r="H138" s="3" t="b">
        <v>1</v>
      </c>
      <c r="I138" s="3" t="s">
        <v>1119</v>
      </c>
      <c r="J138" s="3" t="s">
        <v>1129</v>
      </c>
      <c r="L138" s="3" t="s">
        <v>2102</v>
      </c>
    </row>
    <row r="139" ht="15.75" customHeight="1">
      <c r="A139" s="3" t="s">
        <v>2239</v>
      </c>
      <c r="B139" s="12">
        <v>46116.0</v>
      </c>
      <c r="C139" s="3" t="s">
        <v>1321</v>
      </c>
      <c r="D139" s="3" t="s">
        <v>1288</v>
      </c>
      <c r="E139" s="3" t="s">
        <v>2086</v>
      </c>
      <c r="F139" s="3" t="s">
        <v>903</v>
      </c>
      <c r="G139" s="3">
        <v>1.0</v>
      </c>
      <c r="H139" s="3" t="b">
        <v>1</v>
      </c>
      <c r="I139" s="3" t="s">
        <v>1119</v>
      </c>
      <c r="J139" s="3" t="s">
        <v>1129</v>
      </c>
      <c r="L139" s="3" t="s">
        <v>2102</v>
      </c>
    </row>
    <row r="140" ht="15.75" customHeight="1">
      <c r="A140" s="3" t="s">
        <v>2240</v>
      </c>
      <c r="B140" s="12">
        <v>46116.0</v>
      </c>
      <c r="C140" s="3" t="s">
        <v>1321</v>
      </c>
      <c r="D140" s="3" t="s">
        <v>1288</v>
      </c>
      <c r="E140" s="3" t="s">
        <v>2086</v>
      </c>
      <c r="F140" s="3" t="s">
        <v>903</v>
      </c>
      <c r="G140" s="3">
        <v>1.0</v>
      </c>
      <c r="H140" s="3" t="b">
        <v>1</v>
      </c>
      <c r="I140" s="3" t="s">
        <v>1119</v>
      </c>
      <c r="J140" s="3" t="s">
        <v>1129</v>
      </c>
      <c r="L140" s="3" t="s">
        <v>2102</v>
      </c>
    </row>
    <row r="141" ht="15.75" customHeight="1">
      <c r="A141" s="3" t="s">
        <v>2241</v>
      </c>
      <c r="B141" s="12">
        <v>46116.0</v>
      </c>
      <c r="C141" s="3" t="s">
        <v>1329</v>
      </c>
      <c r="D141" s="3" t="s">
        <v>968</v>
      </c>
      <c r="E141" s="3" t="s">
        <v>2086</v>
      </c>
      <c r="F141" s="3" t="s">
        <v>903</v>
      </c>
      <c r="G141" s="3">
        <v>1.0</v>
      </c>
      <c r="H141" s="3" t="b">
        <v>1</v>
      </c>
      <c r="I141" s="3" t="s">
        <v>1119</v>
      </c>
      <c r="J141" s="3" t="s">
        <v>1129</v>
      </c>
      <c r="L141" s="3" t="s">
        <v>2102</v>
      </c>
    </row>
    <row r="142" ht="15.75" customHeight="1">
      <c r="A142" s="3" t="s">
        <v>2242</v>
      </c>
      <c r="B142" s="12">
        <v>46116.0</v>
      </c>
      <c r="C142" s="3" t="s">
        <v>1329</v>
      </c>
      <c r="D142" s="3" t="s">
        <v>1240</v>
      </c>
      <c r="E142" s="3" t="s">
        <v>2086</v>
      </c>
      <c r="F142" s="3" t="s">
        <v>903</v>
      </c>
      <c r="G142" s="3">
        <v>1.0</v>
      </c>
      <c r="H142" s="3" t="b">
        <v>1</v>
      </c>
      <c r="I142" s="3" t="s">
        <v>1119</v>
      </c>
      <c r="J142" s="3" t="s">
        <v>1129</v>
      </c>
      <c r="L142" s="3" t="s">
        <v>2102</v>
      </c>
    </row>
    <row r="143" ht="15.75" customHeight="1">
      <c r="A143" s="3" t="s">
        <v>2243</v>
      </c>
      <c r="B143" s="12">
        <v>46116.0</v>
      </c>
      <c r="C143" s="3" t="s">
        <v>1329</v>
      </c>
      <c r="D143" s="3" t="s">
        <v>1242</v>
      </c>
      <c r="E143" s="3" t="s">
        <v>2086</v>
      </c>
      <c r="F143" s="3" t="s">
        <v>903</v>
      </c>
      <c r="G143" s="3">
        <v>1.0</v>
      </c>
      <c r="H143" s="3" t="b">
        <v>1</v>
      </c>
      <c r="I143" s="3" t="s">
        <v>1119</v>
      </c>
      <c r="J143" s="3" t="s">
        <v>1129</v>
      </c>
      <c r="L143" s="3" t="s">
        <v>2102</v>
      </c>
    </row>
    <row r="144" ht="15.75" customHeight="1">
      <c r="A144" s="3" t="s">
        <v>2244</v>
      </c>
      <c r="B144" s="12">
        <v>46116.0</v>
      </c>
      <c r="C144" s="3" t="s">
        <v>1329</v>
      </c>
      <c r="D144" s="3" t="s">
        <v>1244</v>
      </c>
      <c r="E144" s="3" t="s">
        <v>2086</v>
      </c>
      <c r="F144" s="3" t="s">
        <v>903</v>
      </c>
      <c r="G144" s="3">
        <v>1.0</v>
      </c>
      <c r="H144" s="3" t="b">
        <v>1</v>
      </c>
      <c r="I144" s="3" t="s">
        <v>1119</v>
      </c>
      <c r="J144" s="3" t="s">
        <v>1129</v>
      </c>
      <c r="L144" s="3" t="s">
        <v>2102</v>
      </c>
    </row>
    <row r="145" ht="15.75" customHeight="1">
      <c r="A145" s="3" t="s">
        <v>2245</v>
      </c>
      <c r="B145" s="12">
        <v>46116.0</v>
      </c>
      <c r="C145" s="3" t="s">
        <v>1329</v>
      </c>
      <c r="D145" s="3" t="s">
        <v>1246</v>
      </c>
      <c r="E145" s="3" t="s">
        <v>2086</v>
      </c>
      <c r="F145" s="3" t="s">
        <v>903</v>
      </c>
      <c r="G145" s="3">
        <v>1.0</v>
      </c>
      <c r="H145" s="3" t="b">
        <v>1</v>
      </c>
      <c r="I145" s="3" t="s">
        <v>1119</v>
      </c>
      <c r="J145" s="3" t="s">
        <v>1129</v>
      </c>
      <c r="L145" s="3" t="s">
        <v>2102</v>
      </c>
    </row>
    <row r="146" ht="15.75" customHeight="1">
      <c r="A146" s="3" t="s">
        <v>2246</v>
      </c>
      <c r="B146" s="12">
        <v>46118.0</v>
      </c>
      <c r="C146" s="3" t="s">
        <v>1335</v>
      </c>
      <c r="D146" s="3" t="s">
        <v>968</v>
      </c>
      <c r="E146" s="3" t="s">
        <v>2086</v>
      </c>
      <c r="F146" s="3" t="s">
        <v>903</v>
      </c>
      <c r="G146" s="3">
        <v>1.0</v>
      </c>
      <c r="H146" s="3" t="b">
        <v>1</v>
      </c>
      <c r="I146" s="3" t="s">
        <v>1119</v>
      </c>
      <c r="J146" s="3" t="s">
        <v>1129</v>
      </c>
      <c r="L146" s="3" t="s">
        <v>2102</v>
      </c>
    </row>
    <row r="147" ht="15.75" customHeight="1">
      <c r="A147" s="3" t="s">
        <v>2247</v>
      </c>
      <c r="B147" s="12">
        <v>46118.0</v>
      </c>
      <c r="C147" s="3" t="s">
        <v>1335</v>
      </c>
      <c r="D147" s="3" t="s">
        <v>1277</v>
      </c>
      <c r="E147" s="3" t="s">
        <v>2086</v>
      </c>
      <c r="F147" s="3" t="s">
        <v>903</v>
      </c>
      <c r="G147" s="3">
        <v>1.0</v>
      </c>
      <c r="H147" s="3" t="b">
        <v>1</v>
      </c>
      <c r="I147" s="3" t="s">
        <v>1119</v>
      </c>
      <c r="J147" s="3" t="s">
        <v>1129</v>
      </c>
      <c r="L147" s="3" t="s">
        <v>2102</v>
      </c>
    </row>
    <row r="148" ht="15.75" customHeight="1">
      <c r="A148" s="3" t="s">
        <v>2248</v>
      </c>
      <c r="B148" s="12">
        <v>46118.0</v>
      </c>
      <c r="C148" s="3" t="s">
        <v>1335</v>
      </c>
      <c r="D148" s="3" t="s">
        <v>1279</v>
      </c>
      <c r="E148" s="3" t="s">
        <v>2086</v>
      </c>
      <c r="F148" s="3" t="s">
        <v>903</v>
      </c>
      <c r="G148" s="3">
        <v>1.0</v>
      </c>
      <c r="H148" s="3" t="b">
        <v>1</v>
      </c>
      <c r="I148" s="3" t="s">
        <v>1119</v>
      </c>
      <c r="J148" s="3" t="s">
        <v>1129</v>
      </c>
      <c r="L148" s="3" t="s">
        <v>2102</v>
      </c>
    </row>
    <row r="149" ht="15.75" customHeight="1">
      <c r="A149" s="3" t="s">
        <v>2249</v>
      </c>
      <c r="B149" s="12">
        <v>46118.0</v>
      </c>
      <c r="C149" s="3" t="s">
        <v>1335</v>
      </c>
      <c r="D149" s="3" t="s">
        <v>1281</v>
      </c>
      <c r="E149" s="3" t="s">
        <v>2086</v>
      </c>
      <c r="F149" s="3" t="s">
        <v>903</v>
      </c>
      <c r="G149" s="3">
        <v>1.0</v>
      </c>
      <c r="H149" s="3" t="b">
        <v>1</v>
      </c>
      <c r="I149" s="3" t="s">
        <v>1119</v>
      </c>
      <c r="J149" s="3" t="s">
        <v>1129</v>
      </c>
      <c r="L149" s="3" t="s">
        <v>2102</v>
      </c>
    </row>
    <row r="150" ht="15.75" customHeight="1">
      <c r="A150" s="3" t="s">
        <v>2250</v>
      </c>
      <c r="B150" s="12">
        <v>46118.0</v>
      </c>
      <c r="C150" s="3" t="s">
        <v>1335</v>
      </c>
      <c r="D150" s="3" t="s">
        <v>1283</v>
      </c>
      <c r="E150" s="3" t="s">
        <v>2086</v>
      </c>
      <c r="F150" s="3" t="s">
        <v>903</v>
      </c>
      <c r="G150" s="3">
        <v>1.0</v>
      </c>
      <c r="H150" s="3" t="b">
        <v>1</v>
      </c>
      <c r="I150" s="3" t="s">
        <v>1119</v>
      </c>
      <c r="J150" s="3" t="s">
        <v>1129</v>
      </c>
      <c r="L150" s="3" t="s">
        <v>2102</v>
      </c>
    </row>
    <row r="151" ht="15.75" customHeight="1">
      <c r="A151" s="3" t="s">
        <v>2251</v>
      </c>
      <c r="B151" s="12">
        <v>46118.0</v>
      </c>
      <c r="C151" s="3" t="s">
        <v>1335</v>
      </c>
      <c r="D151" s="3" t="s">
        <v>1312</v>
      </c>
      <c r="E151" s="3" t="s">
        <v>2086</v>
      </c>
      <c r="F151" s="3" t="s">
        <v>903</v>
      </c>
      <c r="G151" s="3">
        <v>1.0</v>
      </c>
      <c r="H151" s="3" t="b">
        <v>1</v>
      </c>
      <c r="I151" s="3" t="s">
        <v>1119</v>
      </c>
      <c r="J151" s="3" t="s">
        <v>1129</v>
      </c>
      <c r="L151" s="3" t="s">
        <v>2102</v>
      </c>
    </row>
    <row r="152" ht="15.75" customHeight="1">
      <c r="A152" s="3" t="s">
        <v>2252</v>
      </c>
      <c r="B152" s="12">
        <v>46118.0</v>
      </c>
      <c r="C152" s="3" t="s">
        <v>1342</v>
      </c>
      <c r="D152" s="3" t="s">
        <v>955</v>
      </c>
      <c r="E152" s="3" t="s">
        <v>2086</v>
      </c>
      <c r="F152" s="3" t="s">
        <v>903</v>
      </c>
      <c r="G152" s="3">
        <v>1.0</v>
      </c>
      <c r="H152" s="3" t="b">
        <v>1</v>
      </c>
      <c r="I152" s="3" t="s">
        <v>1119</v>
      </c>
      <c r="J152" s="3" t="s">
        <v>1181</v>
      </c>
      <c r="L152" s="3" t="s">
        <v>2102</v>
      </c>
    </row>
    <row r="153" ht="15.75" customHeight="1">
      <c r="A153" s="3" t="s">
        <v>2253</v>
      </c>
      <c r="B153" s="12">
        <v>46118.0</v>
      </c>
      <c r="C153" s="3" t="s">
        <v>1342</v>
      </c>
      <c r="D153" s="3" t="s">
        <v>961</v>
      </c>
      <c r="E153" s="3" t="s">
        <v>2086</v>
      </c>
      <c r="F153" s="3" t="s">
        <v>903</v>
      </c>
      <c r="G153" s="3">
        <v>1.0</v>
      </c>
      <c r="H153" s="3" t="b">
        <v>1</v>
      </c>
      <c r="I153" s="3" t="s">
        <v>1119</v>
      </c>
      <c r="J153" s="3" t="s">
        <v>1129</v>
      </c>
      <c r="L153" s="3" t="s">
        <v>2102</v>
      </c>
    </row>
    <row r="154" ht="15.75" customHeight="1">
      <c r="A154" s="3" t="s">
        <v>2254</v>
      </c>
      <c r="B154" s="12">
        <v>46118.0</v>
      </c>
      <c r="C154" s="3" t="s">
        <v>1342</v>
      </c>
      <c r="D154" s="3" t="s">
        <v>1277</v>
      </c>
      <c r="E154" s="3" t="s">
        <v>2086</v>
      </c>
      <c r="F154" s="3" t="s">
        <v>903</v>
      </c>
      <c r="G154" s="3">
        <v>1.0</v>
      </c>
      <c r="H154" s="3" t="b">
        <v>1</v>
      </c>
      <c r="I154" s="3" t="s">
        <v>1119</v>
      </c>
      <c r="J154" s="3" t="s">
        <v>1129</v>
      </c>
      <c r="L154" s="3" t="s">
        <v>2102</v>
      </c>
    </row>
    <row r="155" ht="15.75" customHeight="1">
      <c r="A155" s="3" t="s">
        <v>2255</v>
      </c>
      <c r="B155" s="12">
        <v>46118.0</v>
      </c>
      <c r="C155" s="3" t="s">
        <v>1342</v>
      </c>
      <c r="D155" s="3" t="s">
        <v>1279</v>
      </c>
      <c r="E155" s="3" t="s">
        <v>2086</v>
      </c>
      <c r="F155" s="3" t="s">
        <v>903</v>
      </c>
      <c r="G155" s="3">
        <v>1.0</v>
      </c>
      <c r="H155" s="3" t="b">
        <v>1</v>
      </c>
      <c r="I155" s="3" t="s">
        <v>1119</v>
      </c>
      <c r="J155" s="3" t="s">
        <v>1129</v>
      </c>
      <c r="L155" s="3" t="s">
        <v>2102</v>
      </c>
    </row>
    <row r="156" ht="15.75" customHeight="1">
      <c r="A156" s="3" t="s">
        <v>2256</v>
      </c>
      <c r="B156" s="12">
        <v>46118.0</v>
      </c>
      <c r="C156" s="3" t="s">
        <v>1342</v>
      </c>
      <c r="D156" s="3" t="s">
        <v>1281</v>
      </c>
      <c r="E156" s="3" t="s">
        <v>2086</v>
      </c>
      <c r="F156" s="3" t="s">
        <v>903</v>
      </c>
      <c r="G156" s="3">
        <v>1.0</v>
      </c>
      <c r="H156" s="3" t="b">
        <v>1</v>
      </c>
      <c r="I156" s="3" t="s">
        <v>1119</v>
      </c>
      <c r="J156" s="3" t="s">
        <v>1129</v>
      </c>
      <c r="L156" s="3" t="s">
        <v>2102</v>
      </c>
    </row>
    <row r="157" ht="15.75" customHeight="1">
      <c r="A157" s="3" t="s">
        <v>2257</v>
      </c>
      <c r="B157" s="12">
        <v>46118.0</v>
      </c>
      <c r="C157" s="3" t="s">
        <v>1342</v>
      </c>
      <c r="D157" s="3" t="s">
        <v>1283</v>
      </c>
      <c r="E157" s="3" t="s">
        <v>2086</v>
      </c>
      <c r="F157" s="3" t="s">
        <v>903</v>
      </c>
      <c r="G157" s="3">
        <v>1.0</v>
      </c>
      <c r="H157" s="3" t="b">
        <v>1</v>
      </c>
      <c r="I157" s="3" t="s">
        <v>1119</v>
      </c>
      <c r="J157" s="3" t="s">
        <v>1129</v>
      </c>
      <c r="L157" s="3" t="s">
        <v>2102</v>
      </c>
    </row>
    <row r="158" ht="15.75" customHeight="1">
      <c r="A158" s="3" t="s">
        <v>2258</v>
      </c>
      <c r="B158" s="12">
        <v>46118.0</v>
      </c>
      <c r="C158" s="3" t="s">
        <v>62</v>
      </c>
      <c r="D158" s="3" t="s">
        <v>923</v>
      </c>
      <c r="E158" s="3" t="s">
        <v>2074</v>
      </c>
      <c r="F158" s="3" t="s">
        <v>903</v>
      </c>
      <c r="G158" s="3">
        <v>1.0</v>
      </c>
      <c r="H158" s="3" t="b">
        <v>0</v>
      </c>
      <c r="L158" s="3" t="s">
        <v>2102</v>
      </c>
    </row>
    <row r="159" ht="15.75" customHeight="1">
      <c r="A159" s="3" t="s">
        <v>2259</v>
      </c>
      <c r="B159" s="12">
        <v>46118.0</v>
      </c>
      <c r="C159" s="3" t="s">
        <v>69</v>
      </c>
      <c r="D159" s="3" t="s">
        <v>923</v>
      </c>
      <c r="E159" s="3" t="s">
        <v>2074</v>
      </c>
      <c r="F159" s="3" t="s">
        <v>903</v>
      </c>
      <c r="G159" s="3">
        <v>1.0</v>
      </c>
      <c r="H159" s="3" t="b">
        <v>0</v>
      </c>
      <c r="L159" s="3" t="s">
        <v>2102</v>
      </c>
    </row>
    <row r="160" ht="15.75" customHeight="1">
      <c r="A160" s="3" t="s">
        <v>2260</v>
      </c>
      <c r="B160" s="12">
        <v>46118.0</v>
      </c>
      <c r="C160" s="3" t="s">
        <v>76</v>
      </c>
      <c r="D160" s="3" t="s">
        <v>923</v>
      </c>
      <c r="E160" s="3" t="s">
        <v>2074</v>
      </c>
      <c r="F160" s="3" t="s">
        <v>903</v>
      </c>
      <c r="G160" s="3">
        <v>1.0</v>
      </c>
      <c r="H160" s="3" t="b">
        <v>0</v>
      </c>
      <c r="L160" s="3" t="s">
        <v>2102</v>
      </c>
    </row>
    <row r="161" ht="15.75" customHeight="1">
      <c r="A161" s="3" t="s">
        <v>2261</v>
      </c>
      <c r="B161" s="12">
        <v>46118.0</v>
      </c>
      <c r="C161" s="3" t="s">
        <v>83</v>
      </c>
      <c r="D161" s="3" t="s">
        <v>923</v>
      </c>
      <c r="E161" s="3" t="s">
        <v>2074</v>
      </c>
      <c r="F161" s="3" t="s">
        <v>903</v>
      </c>
      <c r="G161" s="3">
        <v>1.0</v>
      </c>
      <c r="H161" s="3" t="b">
        <v>0</v>
      </c>
      <c r="L161" s="3" t="s">
        <v>2102</v>
      </c>
    </row>
    <row r="162" ht="15.75" customHeight="1">
      <c r="A162" s="3" t="s">
        <v>2262</v>
      </c>
      <c r="B162" s="12">
        <v>46118.0</v>
      </c>
      <c r="C162" s="3" t="s">
        <v>90</v>
      </c>
      <c r="D162" s="3" t="s">
        <v>923</v>
      </c>
      <c r="E162" s="3" t="s">
        <v>2074</v>
      </c>
      <c r="F162" s="3" t="s">
        <v>903</v>
      </c>
      <c r="G162" s="3">
        <v>1.0</v>
      </c>
      <c r="H162" s="3" t="b">
        <v>0</v>
      </c>
      <c r="L162" s="3" t="s">
        <v>2102</v>
      </c>
    </row>
    <row r="163" ht="15.75" customHeight="1">
      <c r="A163" s="3" t="s">
        <v>2263</v>
      </c>
      <c r="B163" s="12">
        <v>46118.0</v>
      </c>
      <c r="C163" s="3" t="s">
        <v>96</v>
      </c>
      <c r="D163" s="3" t="s">
        <v>923</v>
      </c>
      <c r="E163" s="3" t="s">
        <v>2074</v>
      </c>
      <c r="F163" s="3" t="s">
        <v>903</v>
      </c>
      <c r="G163" s="3">
        <v>1.0</v>
      </c>
      <c r="H163" s="3" t="b">
        <v>0</v>
      </c>
      <c r="L163" s="3" t="s">
        <v>2102</v>
      </c>
    </row>
    <row r="164" ht="15.75" customHeight="1">
      <c r="A164" s="3" t="s">
        <v>2264</v>
      </c>
      <c r="B164" s="12">
        <v>46118.0</v>
      </c>
      <c r="C164" s="3" t="s">
        <v>101</v>
      </c>
      <c r="D164" s="3" t="s">
        <v>923</v>
      </c>
      <c r="E164" s="3" t="s">
        <v>2074</v>
      </c>
      <c r="F164" s="3" t="s">
        <v>903</v>
      </c>
      <c r="G164" s="3">
        <v>1.0</v>
      </c>
      <c r="H164" s="3" t="b">
        <v>0</v>
      </c>
      <c r="L164" s="3" t="s">
        <v>2102</v>
      </c>
    </row>
    <row r="165" ht="15.75" customHeight="1">
      <c r="A165" s="3" t="s">
        <v>2265</v>
      </c>
      <c r="B165" s="12">
        <v>46118.0</v>
      </c>
      <c r="C165" s="3" t="s">
        <v>103</v>
      </c>
      <c r="D165" s="3" t="s">
        <v>923</v>
      </c>
      <c r="E165" s="3" t="s">
        <v>2074</v>
      </c>
      <c r="F165" s="3" t="s">
        <v>903</v>
      </c>
      <c r="G165" s="3">
        <v>1.0</v>
      </c>
      <c r="H165" s="3" t="b">
        <v>0</v>
      </c>
      <c r="L165" s="3" t="s">
        <v>2102</v>
      </c>
    </row>
    <row r="166" ht="15.75" customHeight="1">
      <c r="A166" s="3" t="s">
        <v>2266</v>
      </c>
      <c r="B166" s="12">
        <v>46118.0</v>
      </c>
      <c r="C166" s="3" t="s">
        <v>108</v>
      </c>
      <c r="D166" s="3" t="s">
        <v>923</v>
      </c>
      <c r="E166" s="3" t="s">
        <v>2074</v>
      </c>
      <c r="F166" s="3" t="s">
        <v>903</v>
      </c>
      <c r="G166" s="3">
        <v>1.0</v>
      </c>
      <c r="H166" s="3" t="b">
        <v>0</v>
      </c>
      <c r="L166" s="3" t="s">
        <v>2102</v>
      </c>
    </row>
    <row r="167" ht="15.75" customHeight="1">
      <c r="A167" s="3" t="s">
        <v>2267</v>
      </c>
      <c r="B167" s="12">
        <v>46118.0</v>
      </c>
      <c r="C167" s="3" t="s">
        <v>112</v>
      </c>
      <c r="D167" s="3" t="s">
        <v>923</v>
      </c>
      <c r="E167" s="3" t="s">
        <v>2074</v>
      </c>
      <c r="F167" s="3" t="s">
        <v>903</v>
      </c>
      <c r="G167" s="3">
        <v>1.0</v>
      </c>
      <c r="H167" s="3" t="b">
        <v>0</v>
      </c>
      <c r="L167" s="3" t="s">
        <v>2102</v>
      </c>
    </row>
    <row r="168" ht="15.75" customHeight="1">
      <c r="A168" s="3" t="s">
        <v>2268</v>
      </c>
      <c r="B168" s="12">
        <v>46118.0</v>
      </c>
      <c r="C168" s="3" t="s">
        <v>115</v>
      </c>
      <c r="D168" s="3" t="s">
        <v>923</v>
      </c>
      <c r="E168" s="3" t="s">
        <v>2074</v>
      </c>
      <c r="F168" s="3" t="s">
        <v>903</v>
      </c>
      <c r="G168" s="3">
        <v>1.0</v>
      </c>
      <c r="H168" s="3" t="b">
        <v>0</v>
      </c>
      <c r="L168" s="3" t="s">
        <v>2102</v>
      </c>
    </row>
    <row r="169" ht="15.75" customHeight="1">
      <c r="A169" s="3" t="s">
        <v>2269</v>
      </c>
      <c r="B169" s="12">
        <v>46118.0</v>
      </c>
      <c r="C169" s="3" t="s">
        <v>119</v>
      </c>
      <c r="D169" s="3" t="s">
        <v>923</v>
      </c>
      <c r="E169" s="3" t="s">
        <v>2074</v>
      </c>
      <c r="F169" s="3" t="s">
        <v>903</v>
      </c>
      <c r="G169" s="3">
        <v>1.0</v>
      </c>
      <c r="H169" s="3" t="b">
        <v>0</v>
      </c>
      <c r="L169" s="3" t="s">
        <v>2102</v>
      </c>
    </row>
    <row r="170" ht="15.75" customHeight="1">
      <c r="A170" s="3" t="s">
        <v>2270</v>
      </c>
      <c r="B170" s="12">
        <v>46118.0</v>
      </c>
      <c r="C170" s="3" t="s">
        <v>121</v>
      </c>
      <c r="D170" s="3" t="s">
        <v>923</v>
      </c>
      <c r="E170" s="3" t="s">
        <v>2074</v>
      </c>
      <c r="F170" s="3" t="s">
        <v>903</v>
      </c>
      <c r="G170" s="3">
        <v>1.0</v>
      </c>
      <c r="H170" s="3" t="b">
        <v>0</v>
      </c>
      <c r="L170" s="3" t="s">
        <v>2102</v>
      </c>
    </row>
    <row r="171" ht="15.75" customHeight="1">
      <c r="A171" s="3" t="s">
        <v>2271</v>
      </c>
      <c r="B171" s="12">
        <v>46118.0</v>
      </c>
      <c r="C171" s="3" t="s">
        <v>125</v>
      </c>
      <c r="D171" s="3" t="s">
        <v>923</v>
      </c>
      <c r="E171" s="3" t="s">
        <v>2074</v>
      </c>
      <c r="F171" s="3" t="s">
        <v>903</v>
      </c>
      <c r="G171" s="3">
        <v>1.0</v>
      </c>
      <c r="H171" s="3" t="b">
        <v>0</v>
      </c>
      <c r="L171" s="3" t="s">
        <v>2102</v>
      </c>
    </row>
    <row r="172" ht="15.75" customHeight="1">
      <c r="A172" s="3" t="s">
        <v>2272</v>
      </c>
      <c r="B172" s="12">
        <v>46118.0</v>
      </c>
      <c r="C172" s="3" t="s">
        <v>128</v>
      </c>
      <c r="D172" s="3" t="s">
        <v>923</v>
      </c>
      <c r="E172" s="3" t="s">
        <v>2074</v>
      </c>
      <c r="F172" s="3" t="s">
        <v>903</v>
      </c>
      <c r="G172" s="3">
        <v>1.0</v>
      </c>
      <c r="H172" s="3" t="b">
        <v>0</v>
      </c>
      <c r="L172" s="3" t="s">
        <v>2102</v>
      </c>
    </row>
    <row r="173" ht="15.75" customHeight="1">
      <c r="A173" s="3" t="s">
        <v>2273</v>
      </c>
      <c r="B173" s="12">
        <v>46118.0</v>
      </c>
      <c r="C173" s="3" t="s">
        <v>130</v>
      </c>
      <c r="D173" s="3" t="s">
        <v>923</v>
      </c>
      <c r="E173" s="3" t="s">
        <v>2074</v>
      </c>
      <c r="F173" s="3" t="s">
        <v>903</v>
      </c>
      <c r="G173" s="3">
        <v>1.0</v>
      </c>
      <c r="H173" s="3" t="b">
        <v>0</v>
      </c>
      <c r="L173" s="3" t="s">
        <v>2102</v>
      </c>
    </row>
    <row r="174" ht="15.75" customHeight="1">
      <c r="A174" s="3" t="s">
        <v>2274</v>
      </c>
      <c r="B174" s="12">
        <v>46118.0</v>
      </c>
      <c r="C174" s="3" t="s">
        <v>133</v>
      </c>
      <c r="D174" s="3" t="s">
        <v>923</v>
      </c>
      <c r="E174" s="3" t="s">
        <v>2074</v>
      </c>
      <c r="F174" s="3" t="s">
        <v>903</v>
      </c>
      <c r="G174" s="3">
        <v>1.0</v>
      </c>
      <c r="H174" s="3" t="b">
        <v>0</v>
      </c>
      <c r="L174" s="3" t="s">
        <v>2102</v>
      </c>
    </row>
    <row r="175" ht="15.75" customHeight="1">
      <c r="A175" s="3" t="s">
        <v>2275</v>
      </c>
      <c r="B175" s="12">
        <v>46118.0</v>
      </c>
      <c r="C175" s="3" t="s">
        <v>138</v>
      </c>
      <c r="D175" s="3" t="s">
        <v>923</v>
      </c>
      <c r="E175" s="3" t="s">
        <v>2074</v>
      </c>
      <c r="F175" s="3" t="s">
        <v>903</v>
      </c>
      <c r="G175" s="3">
        <v>1.0</v>
      </c>
      <c r="H175" s="3" t="b">
        <v>0</v>
      </c>
      <c r="L175" s="3" t="s">
        <v>2102</v>
      </c>
    </row>
    <row r="176" ht="15.75" customHeight="1">
      <c r="A176" s="3" t="s">
        <v>2276</v>
      </c>
      <c r="B176" s="12">
        <v>46118.0</v>
      </c>
      <c r="C176" s="3" t="s">
        <v>140</v>
      </c>
      <c r="D176" s="3" t="s">
        <v>923</v>
      </c>
      <c r="E176" s="3" t="s">
        <v>2074</v>
      </c>
      <c r="F176" s="3" t="s">
        <v>903</v>
      </c>
      <c r="G176" s="3">
        <v>1.0</v>
      </c>
      <c r="H176" s="3" t="b">
        <v>0</v>
      </c>
      <c r="L176" s="3" t="s">
        <v>2102</v>
      </c>
    </row>
    <row r="177" ht="15.75" customHeight="1">
      <c r="A177" s="3" t="s">
        <v>2277</v>
      </c>
      <c r="B177" s="12">
        <v>46118.0</v>
      </c>
      <c r="C177" s="3" t="s">
        <v>2278</v>
      </c>
      <c r="D177" s="3" t="s">
        <v>923</v>
      </c>
      <c r="E177" s="3" t="s">
        <v>2074</v>
      </c>
      <c r="F177" s="3" t="s">
        <v>903</v>
      </c>
      <c r="G177" s="3">
        <v>1.0</v>
      </c>
      <c r="H177" s="3" t="b">
        <v>0</v>
      </c>
      <c r="L177" s="3" t="s">
        <v>2102</v>
      </c>
    </row>
    <row r="178" ht="15.75" customHeight="1">
      <c r="A178" s="3" t="s">
        <v>2279</v>
      </c>
      <c r="B178" s="12">
        <v>46118.0</v>
      </c>
      <c r="C178" s="3" t="s">
        <v>144</v>
      </c>
      <c r="D178" s="3" t="s">
        <v>923</v>
      </c>
      <c r="E178" s="3" t="s">
        <v>2074</v>
      </c>
      <c r="F178" s="3" t="s">
        <v>903</v>
      </c>
      <c r="G178" s="3">
        <v>1.0</v>
      </c>
      <c r="H178" s="3" t="b">
        <v>0</v>
      </c>
      <c r="L178" s="3" t="s">
        <v>2102</v>
      </c>
    </row>
    <row r="179" ht="15.75" customHeight="1">
      <c r="A179" s="3" t="s">
        <v>2280</v>
      </c>
      <c r="B179" s="12">
        <v>46118.0</v>
      </c>
      <c r="C179" s="3" t="s">
        <v>147</v>
      </c>
      <c r="D179" s="3" t="s">
        <v>923</v>
      </c>
      <c r="E179" s="3" t="s">
        <v>2074</v>
      </c>
      <c r="F179" s="3" t="s">
        <v>903</v>
      </c>
      <c r="G179" s="3">
        <v>1.0</v>
      </c>
      <c r="H179" s="3" t="b">
        <v>0</v>
      </c>
      <c r="L179" s="3" t="s">
        <v>2102</v>
      </c>
    </row>
    <row r="180" ht="15.75" customHeight="1">
      <c r="A180" s="13" t="s">
        <v>2281</v>
      </c>
      <c r="B180" s="12">
        <v>46118.0</v>
      </c>
      <c r="C180" s="3" t="s">
        <v>151</v>
      </c>
      <c r="D180" s="3" t="s">
        <v>923</v>
      </c>
      <c r="E180" s="3" t="s">
        <v>2074</v>
      </c>
      <c r="F180" s="3" t="s">
        <v>903</v>
      </c>
      <c r="G180" s="3">
        <v>1.0</v>
      </c>
      <c r="H180" s="3" t="b">
        <v>0</v>
      </c>
      <c r="L180" s="3" t="s">
        <v>2102</v>
      </c>
    </row>
    <row r="181" ht="15.75" customHeight="1">
      <c r="A181" s="3" t="s">
        <v>2282</v>
      </c>
      <c r="B181" s="12">
        <v>46118.0</v>
      </c>
      <c r="C181" s="3" t="s">
        <v>152</v>
      </c>
      <c r="D181" s="3" t="s">
        <v>923</v>
      </c>
      <c r="E181" s="3" t="s">
        <v>2074</v>
      </c>
      <c r="F181" s="3" t="s">
        <v>903</v>
      </c>
      <c r="G181" s="3">
        <v>1.0</v>
      </c>
      <c r="H181" s="3" t="b">
        <v>0</v>
      </c>
      <c r="L181" s="3" t="s">
        <v>2102</v>
      </c>
    </row>
    <row r="182" ht="15.75" customHeight="1">
      <c r="A182" s="3" t="s">
        <v>2283</v>
      </c>
      <c r="B182" s="12">
        <v>46118.0</v>
      </c>
      <c r="C182" s="3" t="s">
        <v>155</v>
      </c>
      <c r="D182" s="3" t="s">
        <v>923</v>
      </c>
      <c r="E182" s="3" t="s">
        <v>2074</v>
      </c>
      <c r="F182" s="3" t="s">
        <v>903</v>
      </c>
      <c r="G182" s="3">
        <v>1.0</v>
      </c>
      <c r="H182" s="3" t="b">
        <v>0</v>
      </c>
      <c r="L182" s="3" t="s">
        <v>2102</v>
      </c>
    </row>
    <row r="183" ht="15.75" customHeight="1">
      <c r="A183" s="3" t="s">
        <v>2284</v>
      </c>
      <c r="B183" s="12">
        <v>46118.0</v>
      </c>
      <c r="C183" s="3" t="s">
        <v>160</v>
      </c>
      <c r="D183" s="3" t="s">
        <v>923</v>
      </c>
      <c r="E183" s="3" t="s">
        <v>2074</v>
      </c>
      <c r="F183" s="3" t="s">
        <v>903</v>
      </c>
      <c r="G183" s="3">
        <v>1.0</v>
      </c>
      <c r="H183" s="3" t="b">
        <v>0</v>
      </c>
      <c r="L183" s="3" t="s">
        <v>2102</v>
      </c>
    </row>
    <row r="184" ht="15.75" customHeight="1">
      <c r="A184" s="3" t="s">
        <v>2285</v>
      </c>
      <c r="B184" s="12">
        <v>46118.0</v>
      </c>
      <c r="C184" s="3" t="s">
        <v>163</v>
      </c>
      <c r="D184" s="3" t="s">
        <v>923</v>
      </c>
      <c r="E184" s="3" t="s">
        <v>2074</v>
      </c>
      <c r="F184" s="3" t="s">
        <v>903</v>
      </c>
      <c r="G184" s="3">
        <v>1.0</v>
      </c>
      <c r="H184" s="3" t="b">
        <v>0</v>
      </c>
      <c r="L184" s="3" t="s">
        <v>2102</v>
      </c>
    </row>
    <row r="185" ht="15.75" customHeight="1">
      <c r="A185" s="3" t="s">
        <v>2286</v>
      </c>
      <c r="B185" s="12">
        <v>46118.0</v>
      </c>
      <c r="C185" s="3" t="s">
        <v>165</v>
      </c>
      <c r="D185" s="3" t="s">
        <v>923</v>
      </c>
      <c r="E185" s="3" t="s">
        <v>2074</v>
      </c>
      <c r="F185" s="3" t="s">
        <v>903</v>
      </c>
      <c r="G185" s="3">
        <v>1.0</v>
      </c>
      <c r="H185" s="3" t="b">
        <v>0</v>
      </c>
      <c r="L185" s="3" t="s">
        <v>2102</v>
      </c>
    </row>
    <row r="186" ht="15.75" customHeight="1">
      <c r="A186" s="3" t="s">
        <v>2287</v>
      </c>
      <c r="B186" s="12">
        <v>46118.0</v>
      </c>
      <c r="C186" s="3" t="s">
        <v>167</v>
      </c>
      <c r="D186" s="3" t="s">
        <v>923</v>
      </c>
      <c r="E186" s="3" t="s">
        <v>2074</v>
      </c>
      <c r="F186" s="3" t="s">
        <v>903</v>
      </c>
      <c r="G186" s="3">
        <v>1.0</v>
      </c>
      <c r="H186" s="3" t="b">
        <v>0</v>
      </c>
      <c r="L186" s="3" t="s">
        <v>2102</v>
      </c>
    </row>
    <row r="187" ht="15.75" customHeight="1">
      <c r="A187" s="3" t="s">
        <v>2288</v>
      </c>
      <c r="B187" s="12">
        <v>46118.0</v>
      </c>
      <c r="C187" s="3" t="s">
        <v>168</v>
      </c>
      <c r="D187" s="3" t="s">
        <v>923</v>
      </c>
      <c r="E187" s="3" t="s">
        <v>2074</v>
      </c>
      <c r="F187" s="3" t="s">
        <v>903</v>
      </c>
      <c r="G187" s="3">
        <v>1.0</v>
      </c>
      <c r="H187" s="3" t="b">
        <v>0</v>
      </c>
      <c r="L187" s="3" t="s">
        <v>2102</v>
      </c>
    </row>
    <row r="188" ht="15.75" customHeight="1">
      <c r="A188" s="3" t="s">
        <v>2289</v>
      </c>
      <c r="B188" s="12">
        <v>46118.0</v>
      </c>
      <c r="C188" s="3" t="s">
        <v>174</v>
      </c>
      <c r="D188" s="3" t="s">
        <v>923</v>
      </c>
      <c r="E188" s="3" t="s">
        <v>2074</v>
      </c>
      <c r="F188" s="3" t="s">
        <v>903</v>
      </c>
      <c r="G188" s="3">
        <v>1.0</v>
      </c>
      <c r="H188" s="3" t="b">
        <v>0</v>
      </c>
      <c r="L188" s="3" t="s">
        <v>2102</v>
      </c>
    </row>
    <row r="189" ht="15.75" customHeight="1">
      <c r="A189" s="3" t="s">
        <v>2290</v>
      </c>
      <c r="B189" s="12">
        <v>46118.0</v>
      </c>
      <c r="C189" s="3" t="s">
        <v>177</v>
      </c>
      <c r="D189" s="3" t="s">
        <v>923</v>
      </c>
      <c r="E189" s="3" t="s">
        <v>2074</v>
      </c>
      <c r="F189" s="3" t="s">
        <v>903</v>
      </c>
      <c r="G189" s="3">
        <v>1.0</v>
      </c>
      <c r="H189" s="3" t="b">
        <v>0</v>
      </c>
      <c r="L189" s="3" t="s">
        <v>2102</v>
      </c>
    </row>
    <row r="190" ht="15.75" customHeight="1">
      <c r="A190" s="3" t="s">
        <v>2291</v>
      </c>
      <c r="B190" s="12">
        <v>46118.0</v>
      </c>
      <c r="C190" s="3" t="s">
        <v>179</v>
      </c>
      <c r="D190" s="3" t="s">
        <v>923</v>
      </c>
      <c r="E190" s="3" t="s">
        <v>2074</v>
      </c>
      <c r="F190" s="3" t="s">
        <v>903</v>
      </c>
      <c r="G190" s="3">
        <v>1.0</v>
      </c>
      <c r="H190" s="3" t="b">
        <v>0</v>
      </c>
      <c r="L190" s="3" t="s">
        <v>2102</v>
      </c>
    </row>
    <row r="191" ht="15.75" customHeight="1">
      <c r="A191" s="3" t="s">
        <v>2292</v>
      </c>
      <c r="B191" s="12">
        <v>46118.0</v>
      </c>
      <c r="C191" s="3" t="s">
        <v>180</v>
      </c>
      <c r="D191" s="3" t="s">
        <v>923</v>
      </c>
      <c r="E191" s="3" t="s">
        <v>2074</v>
      </c>
      <c r="F191" s="3" t="s">
        <v>903</v>
      </c>
      <c r="G191" s="3">
        <v>1.0</v>
      </c>
      <c r="H191" s="3" t="b">
        <v>0</v>
      </c>
      <c r="L191" s="3" t="s">
        <v>2102</v>
      </c>
    </row>
    <row r="192" ht="15.75" customHeight="1">
      <c r="A192" s="3" t="s">
        <v>2293</v>
      </c>
      <c r="B192" s="12">
        <v>46118.0</v>
      </c>
      <c r="C192" s="3" t="s">
        <v>182</v>
      </c>
      <c r="D192" s="3" t="s">
        <v>923</v>
      </c>
      <c r="E192" s="3" t="s">
        <v>2074</v>
      </c>
      <c r="F192" s="3" t="s">
        <v>903</v>
      </c>
      <c r="G192" s="3">
        <v>1.0</v>
      </c>
      <c r="H192" s="3" t="b">
        <v>0</v>
      </c>
      <c r="L192" s="3" t="s">
        <v>2102</v>
      </c>
    </row>
    <row r="193" ht="15.75" customHeight="1">
      <c r="A193" s="3" t="s">
        <v>2294</v>
      </c>
      <c r="B193" s="12">
        <v>46118.0</v>
      </c>
      <c r="C193" s="3" t="s">
        <v>186</v>
      </c>
      <c r="D193" s="3" t="s">
        <v>923</v>
      </c>
      <c r="E193" s="3" t="s">
        <v>2074</v>
      </c>
      <c r="F193" s="3" t="s">
        <v>903</v>
      </c>
      <c r="G193" s="3">
        <v>1.0</v>
      </c>
      <c r="H193" s="3" t="b">
        <v>0</v>
      </c>
      <c r="L193" s="3" t="s">
        <v>2102</v>
      </c>
    </row>
    <row r="194" ht="15.75" customHeight="1">
      <c r="A194" s="3" t="s">
        <v>2295</v>
      </c>
      <c r="B194" s="12">
        <v>46118.0</v>
      </c>
      <c r="C194" s="3" t="s">
        <v>188</v>
      </c>
      <c r="D194" s="3" t="s">
        <v>923</v>
      </c>
      <c r="E194" s="3" t="s">
        <v>2074</v>
      </c>
      <c r="F194" s="3" t="s">
        <v>903</v>
      </c>
      <c r="G194" s="3">
        <v>1.0</v>
      </c>
      <c r="H194" s="3" t="b">
        <v>0</v>
      </c>
      <c r="L194" s="3" t="s">
        <v>2102</v>
      </c>
    </row>
    <row r="195" ht="15.75" customHeight="1">
      <c r="A195" s="3" t="s">
        <v>2296</v>
      </c>
      <c r="B195" s="12">
        <v>46118.0</v>
      </c>
      <c r="C195" s="3" t="s">
        <v>193</v>
      </c>
      <c r="D195" s="3" t="s">
        <v>923</v>
      </c>
      <c r="E195" s="3" t="s">
        <v>2074</v>
      </c>
      <c r="F195" s="3" t="s">
        <v>903</v>
      </c>
      <c r="G195" s="3">
        <v>1.0</v>
      </c>
      <c r="H195" s="3" t="b">
        <v>0</v>
      </c>
      <c r="L195" s="3" t="s">
        <v>2102</v>
      </c>
    </row>
    <row r="196" ht="15.75" customHeight="1">
      <c r="A196" s="3" t="s">
        <v>2297</v>
      </c>
      <c r="B196" s="12">
        <v>46118.0</v>
      </c>
      <c r="C196" s="3" t="s">
        <v>200</v>
      </c>
      <c r="D196" s="3" t="s">
        <v>923</v>
      </c>
      <c r="E196" s="3" t="s">
        <v>2074</v>
      </c>
      <c r="F196" s="3" t="s">
        <v>903</v>
      </c>
      <c r="G196" s="3">
        <v>1.0</v>
      </c>
      <c r="H196" s="3" t="b">
        <v>0</v>
      </c>
      <c r="L196" s="3" t="s">
        <v>2102</v>
      </c>
    </row>
    <row r="197" ht="15.75" customHeight="1">
      <c r="A197" s="3" t="s">
        <v>2298</v>
      </c>
      <c r="B197" s="12">
        <v>46118.0</v>
      </c>
      <c r="C197" s="3" t="s">
        <v>201</v>
      </c>
      <c r="D197" s="3" t="s">
        <v>923</v>
      </c>
      <c r="E197" s="3" t="s">
        <v>2074</v>
      </c>
      <c r="F197" s="3" t="s">
        <v>903</v>
      </c>
      <c r="G197" s="3">
        <v>1.0</v>
      </c>
      <c r="H197" s="3" t="b">
        <v>0</v>
      </c>
      <c r="L197" s="3" t="s">
        <v>2102</v>
      </c>
    </row>
    <row r="198" ht="15.75" customHeight="1">
      <c r="A198" s="3" t="s">
        <v>2299</v>
      </c>
      <c r="B198" s="12">
        <v>46118.0</v>
      </c>
      <c r="C198" s="3" t="s">
        <v>202</v>
      </c>
      <c r="D198" s="3" t="s">
        <v>923</v>
      </c>
      <c r="E198" s="3" t="s">
        <v>2074</v>
      </c>
      <c r="F198" s="3" t="s">
        <v>903</v>
      </c>
      <c r="G198" s="3">
        <v>1.0</v>
      </c>
      <c r="H198" s="3" t="b">
        <v>0</v>
      </c>
      <c r="L198" s="3" t="s">
        <v>2102</v>
      </c>
    </row>
    <row r="199" ht="15.75" customHeight="1">
      <c r="A199" s="3" t="s">
        <v>2300</v>
      </c>
      <c r="B199" s="12">
        <v>46118.0</v>
      </c>
      <c r="C199" s="3" t="s">
        <v>203</v>
      </c>
      <c r="D199" s="3" t="s">
        <v>923</v>
      </c>
      <c r="E199" s="3" t="s">
        <v>2074</v>
      </c>
      <c r="F199" s="3" t="s">
        <v>903</v>
      </c>
      <c r="G199" s="3">
        <v>1.0</v>
      </c>
      <c r="H199" s="3" t="b">
        <v>0</v>
      </c>
      <c r="L199" s="3" t="s">
        <v>2102</v>
      </c>
    </row>
    <row r="200" ht="15.75" customHeight="1">
      <c r="A200" s="3" t="s">
        <v>2301</v>
      </c>
      <c r="B200" s="12">
        <v>46118.0</v>
      </c>
      <c r="C200" s="3" t="s">
        <v>205</v>
      </c>
      <c r="D200" s="3" t="s">
        <v>923</v>
      </c>
      <c r="E200" s="3" t="s">
        <v>2074</v>
      </c>
      <c r="F200" s="3" t="s">
        <v>903</v>
      </c>
      <c r="G200" s="3">
        <v>1.0</v>
      </c>
      <c r="H200" s="3" t="b">
        <v>0</v>
      </c>
      <c r="L200" s="3" t="s">
        <v>2102</v>
      </c>
    </row>
    <row r="201" ht="15.75" customHeight="1">
      <c r="A201" s="3" t="s">
        <v>2302</v>
      </c>
      <c r="B201" s="12">
        <v>46118.0</v>
      </c>
      <c r="C201" s="3" t="s">
        <v>206</v>
      </c>
      <c r="D201" s="3" t="s">
        <v>923</v>
      </c>
      <c r="E201" s="3" t="s">
        <v>2074</v>
      </c>
      <c r="F201" s="3" t="s">
        <v>903</v>
      </c>
      <c r="G201" s="3">
        <v>1.0</v>
      </c>
      <c r="H201" s="3" t="b">
        <v>0</v>
      </c>
      <c r="L201" s="3" t="s">
        <v>2102</v>
      </c>
    </row>
    <row r="202" ht="15.75" customHeight="1">
      <c r="A202" s="3" t="s">
        <v>2303</v>
      </c>
      <c r="B202" s="12">
        <v>46118.0</v>
      </c>
      <c r="C202" s="3" t="s">
        <v>209</v>
      </c>
      <c r="D202" s="3" t="s">
        <v>923</v>
      </c>
      <c r="E202" s="3" t="s">
        <v>2074</v>
      </c>
      <c r="F202" s="3" t="s">
        <v>903</v>
      </c>
      <c r="G202" s="3">
        <v>1.0</v>
      </c>
      <c r="H202" s="3" t="b">
        <v>0</v>
      </c>
      <c r="L202" s="3" t="s">
        <v>2102</v>
      </c>
    </row>
    <row r="203" ht="15.75" customHeight="1">
      <c r="A203" s="3" t="s">
        <v>2304</v>
      </c>
      <c r="B203" s="12">
        <v>46118.0</v>
      </c>
      <c r="C203" s="3" t="s">
        <v>210</v>
      </c>
      <c r="D203" s="3" t="s">
        <v>923</v>
      </c>
      <c r="E203" s="3" t="s">
        <v>2074</v>
      </c>
      <c r="F203" s="3" t="s">
        <v>903</v>
      </c>
      <c r="G203" s="3">
        <v>1.0</v>
      </c>
      <c r="H203" s="3" t="b">
        <v>0</v>
      </c>
      <c r="L203" s="3" t="s">
        <v>2102</v>
      </c>
    </row>
    <row r="204" ht="15.75" customHeight="1">
      <c r="A204" s="3" t="s">
        <v>2305</v>
      </c>
      <c r="B204" s="12">
        <v>46118.0</v>
      </c>
      <c r="C204" s="3" t="s">
        <v>213</v>
      </c>
      <c r="D204" s="3" t="s">
        <v>923</v>
      </c>
      <c r="E204" s="3" t="s">
        <v>2074</v>
      </c>
      <c r="F204" s="3" t="s">
        <v>903</v>
      </c>
      <c r="G204" s="3">
        <v>1.0</v>
      </c>
      <c r="H204" s="3" t="b">
        <v>0</v>
      </c>
      <c r="L204" s="3" t="s">
        <v>2102</v>
      </c>
    </row>
    <row r="205" ht="15.75" customHeight="1">
      <c r="A205" s="3" t="s">
        <v>2306</v>
      </c>
      <c r="B205" s="12">
        <v>46118.0</v>
      </c>
      <c r="C205" s="3" t="s">
        <v>214</v>
      </c>
      <c r="D205" s="3" t="s">
        <v>923</v>
      </c>
      <c r="E205" s="3" t="s">
        <v>2074</v>
      </c>
      <c r="F205" s="3" t="s">
        <v>903</v>
      </c>
      <c r="G205" s="3">
        <v>1.0</v>
      </c>
      <c r="H205" s="3" t="b">
        <v>0</v>
      </c>
      <c r="L205" s="3" t="s">
        <v>2102</v>
      </c>
    </row>
    <row r="206" ht="15.75" customHeight="1">
      <c r="A206" s="3" t="s">
        <v>2307</v>
      </c>
      <c r="B206" s="12">
        <v>46118.0</v>
      </c>
      <c r="C206" s="3" t="s">
        <v>216</v>
      </c>
      <c r="D206" s="3" t="s">
        <v>923</v>
      </c>
      <c r="E206" s="3" t="s">
        <v>2074</v>
      </c>
      <c r="F206" s="3" t="s">
        <v>903</v>
      </c>
      <c r="G206" s="3">
        <v>1.0</v>
      </c>
      <c r="H206" s="3" t="b">
        <v>0</v>
      </c>
      <c r="L206" s="3" t="s">
        <v>2102</v>
      </c>
    </row>
    <row r="207" ht="15.75" customHeight="1">
      <c r="A207" s="3" t="s">
        <v>2308</v>
      </c>
      <c r="B207" s="12">
        <v>46118.0</v>
      </c>
      <c r="C207" s="3" t="s">
        <v>217</v>
      </c>
      <c r="D207" s="3" t="s">
        <v>923</v>
      </c>
      <c r="E207" s="3" t="s">
        <v>2074</v>
      </c>
      <c r="F207" s="3" t="s">
        <v>903</v>
      </c>
      <c r="G207" s="3">
        <v>1.0</v>
      </c>
      <c r="H207" s="3" t="b">
        <v>0</v>
      </c>
      <c r="L207" s="3" t="s">
        <v>2102</v>
      </c>
    </row>
    <row r="208" ht="15.75" customHeight="1">
      <c r="A208" s="3" t="s">
        <v>2309</v>
      </c>
      <c r="B208" s="12">
        <v>46118.0</v>
      </c>
      <c r="C208" s="3" t="s">
        <v>218</v>
      </c>
      <c r="D208" s="3" t="s">
        <v>923</v>
      </c>
      <c r="E208" s="3" t="s">
        <v>2074</v>
      </c>
      <c r="F208" s="3" t="s">
        <v>903</v>
      </c>
      <c r="G208" s="3">
        <v>1.0</v>
      </c>
      <c r="H208" s="3" t="b">
        <v>0</v>
      </c>
      <c r="L208" s="3" t="s">
        <v>2102</v>
      </c>
    </row>
    <row r="209" ht="15.75" customHeight="1">
      <c r="A209" s="3" t="s">
        <v>2310</v>
      </c>
      <c r="B209" s="12">
        <v>46118.0</v>
      </c>
      <c r="C209" s="3" t="s">
        <v>219</v>
      </c>
      <c r="D209" s="3" t="s">
        <v>923</v>
      </c>
      <c r="E209" s="3" t="s">
        <v>2074</v>
      </c>
      <c r="F209" s="3" t="s">
        <v>903</v>
      </c>
      <c r="G209" s="3">
        <v>1.0</v>
      </c>
      <c r="H209" s="3" t="b">
        <v>0</v>
      </c>
      <c r="L209" s="3" t="s">
        <v>2102</v>
      </c>
    </row>
    <row r="210" ht="15.75" customHeight="1">
      <c r="A210" s="3" t="s">
        <v>2311</v>
      </c>
      <c r="B210" s="12">
        <v>46118.0</v>
      </c>
      <c r="C210" s="3" t="s">
        <v>221</v>
      </c>
      <c r="D210" s="3" t="s">
        <v>923</v>
      </c>
      <c r="E210" s="3" t="s">
        <v>2074</v>
      </c>
      <c r="F210" s="3" t="s">
        <v>903</v>
      </c>
      <c r="G210" s="3">
        <v>1.0</v>
      </c>
      <c r="H210" s="3" t="b">
        <v>0</v>
      </c>
      <c r="L210" s="3" t="s">
        <v>2102</v>
      </c>
    </row>
    <row r="211" ht="15.75" customHeight="1">
      <c r="A211" s="3" t="s">
        <v>2312</v>
      </c>
      <c r="B211" s="12">
        <v>46118.0</v>
      </c>
      <c r="C211" s="3" t="s">
        <v>223</v>
      </c>
      <c r="D211" s="3" t="s">
        <v>923</v>
      </c>
      <c r="E211" s="3" t="s">
        <v>2074</v>
      </c>
      <c r="F211" s="3" t="s">
        <v>903</v>
      </c>
      <c r="G211" s="3">
        <v>1.0</v>
      </c>
      <c r="H211" s="3" t="b">
        <v>0</v>
      </c>
      <c r="L211" s="3" t="s">
        <v>2102</v>
      </c>
    </row>
    <row r="212" ht="15.75" customHeight="1">
      <c r="A212" s="3" t="s">
        <v>2313</v>
      </c>
      <c r="B212" s="12">
        <v>46118.0</v>
      </c>
      <c r="C212" s="3" t="s">
        <v>224</v>
      </c>
      <c r="D212" s="3" t="s">
        <v>923</v>
      </c>
      <c r="E212" s="3" t="s">
        <v>2074</v>
      </c>
      <c r="F212" s="3" t="s">
        <v>903</v>
      </c>
      <c r="G212" s="3">
        <v>1.0</v>
      </c>
      <c r="H212" s="3" t="b">
        <v>0</v>
      </c>
      <c r="L212" s="3" t="s">
        <v>2102</v>
      </c>
    </row>
    <row r="213" ht="15.75" customHeight="1">
      <c r="A213" s="13" t="s">
        <v>2314</v>
      </c>
      <c r="B213" s="12">
        <v>46118.0</v>
      </c>
      <c r="C213" s="3" t="s">
        <v>225</v>
      </c>
      <c r="D213" s="3" t="s">
        <v>923</v>
      </c>
      <c r="E213" s="3" t="s">
        <v>2074</v>
      </c>
      <c r="F213" s="3" t="s">
        <v>903</v>
      </c>
      <c r="G213" s="3">
        <v>1.0</v>
      </c>
      <c r="H213" s="3" t="b">
        <v>0</v>
      </c>
      <c r="L213" s="3" t="s">
        <v>2102</v>
      </c>
    </row>
    <row r="214" ht="15.75" customHeight="1">
      <c r="A214" s="3" t="s">
        <v>2315</v>
      </c>
      <c r="B214" s="12">
        <v>46118.0</v>
      </c>
      <c r="C214" s="3" t="s">
        <v>227</v>
      </c>
      <c r="D214" s="3" t="s">
        <v>923</v>
      </c>
      <c r="E214" s="3" t="s">
        <v>2074</v>
      </c>
      <c r="F214" s="3" t="s">
        <v>903</v>
      </c>
      <c r="G214" s="3">
        <v>1.0</v>
      </c>
      <c r="H214" s="3" t="b">
        <v>0</v>
      </c>
      <c r="L214" s="3" t="s">
        <v>2102</v>
      </c>
    </row>
    <row r="215" ht="15.75" customHeight="1">
      <c r="A215" s="3" t="s">
        <v>2316</v>
      </c>
      <c r="B215" s="12">
        <v>46118.0</v>
      </c>
      <c r="C215" s="3" t="s">
        <v>228</v>
      </c>
      <c r="D215" s="3" t="s">
        <v>923</v>
      </c>
      <c r="E215" s="3" t="s">
        <v>2074</v>
      </c>
      <c r="F215" s="3" t="s">
        <v>903</v>
      </c>
      <c r="G215" s="3">
        <v>1.0</v>
      </c>
      <c r="H215" s="3" t="b">
        <v>0</v>
      </c>
      <c r="L215" s="3" t="s">
        <v>2102</v>
      </c>
    </row>
    <row r="216" ht="15.75" customHeight="1">
      <c r="A216" s="3" t="s">
        <v>2317</v>
      </c>
      <c r="B216" s="12">
        <v>46118.0</v>
      </c>
      <c r="C216" s="3" t="s">
        <v>229</v>
      </c>
      <c r="D216" s="3" t="s">
        <v>923</v>
      </c>
      <c r="E216" s="3" t="s">
        <v>2074</v>
      </c>
      <c r="F216" s="3" t="s">
        <v>903</v>
      </c>
      <c r="G216" s="3">
        <v>1.0</v>
      </c>
      <c r="H216" s="3" t="b">
        <v>0</v>
      </c>
      <c r="L216" s="3" t="s">
        <v>2102</v>
      </c>
    </row>
    <row r="217" ht="15.75" customHeight="1">
      <c r="A217" s="3" t="s">
        <v>2318</v>
      </c>
      <c r="B217" s="12">
        <v>46118.0</v>
      </c>
      <c r="C217" s="3" t="s">
        <v>230</v>
      </c>
      <c r="D217" s="3" t="s">
        <v>923</v>
      </c>
      <c r="E217" s="3" t="s">
        <v>2074</v>
      </c>
      <c r="F217" s="3" t="s">
        <v>903</v>
      </c>
      <c r="G217" s="3">
        <v>1.0</v>
      </c>
      <c r="H217" s="3" t="b">
        <v>0</v>
      </c>
      <c r="L217" s="3" t="s">
        <v>2102</v>
      </c>
    </row>
    <row r="218" ht="15.75" customHeight="1">
      <c r="A218" s="3" t="s">
        <v>2319</v>
      </c>
      <c r="B218" s="12">
        <v>46118.0</v>
      </c>
      <c r="C218" s="3" t="s">
        <v>231</v>
      </c>
      <c r="D218" s="3" t="s">
        <v>923</v>
      </c>
      <c r="E218" s="3" t="s">
        <v>2074</v>
      </c>
      <c r="F218" s="3" t="s">
        <v>903</v>
      </c>
      <c r="G218" s="3">
        <v>1.0</v>
      </c>
      <c r="H218" s="3" t="b">
        <v>0</v>
      </c>
      <c r="L218" s="3" t="s">
        <v>2102</v>
      </c>
    </row>
    <row r="219" ht="15.75" customHeight="1">
      <c r="A219" s="3" t="s">
        <v>2320</v>
      </c>
      <c r="B219" s="12">
        <v>46118.0</v>
      </c>
      <c r="C219" s="3" t="s">
        <v>232</v>
      </c>
      <c r="D219" s="3" t="s">
        <v>923</v>
      </c>
      <c r="E219" s="3" t="s">
        <v>2074</v>
      </c>
      <c r="F219" s="3" t="s">
        <v>903</v>
      </c>
      <c r="G219" s="3">
        <v>1.0</v>
      </c>
      <c r="H219" s="3" t="b">
        <v>0</v>
      </c>
      <c r="L219" s="3" t="s">
        <v>2102</v>
      </c>
    </row>
    <row r="220" ht="15.75" customHeight="1">
      <c r="A220" s="3" t="s">
        <v>2321</v>
      </c>
      <c r="B220" s="12">
        <v>46118.0</v>
      </c>
      <c r="C220" s="3" t="s">
        <v>233</v>
      </c>
      <c r="D220" s="3" t="s">
        <v>923</v>
      </c>
      <c r="E220" s="3" t="s">
        <v>2074</v>
      </c>
      <c r="F220" s="3" t="s">
        <v>903</v>
      </c>
      <c r="G220" s="3">
        <v>1.0</v>
      </c>
      <c r="H220" s="3" t="b">
        <v>0</v>
      </c>
      <c r="L220" s="3" t="s">
        <v>2102</v>
      </c>
    </row>
    <row r="221" ht="15.75" customHeight="1">
      <c r="A221" s="3" t="s">
        <v>2322</v>
      </c>
      <c r="B221" s="12">
        <v>46118.0</v>
      </c>
      <c r="C221" s="3" t="s">
        <v>234</v>
      </c>
      <c r="D221" s="3" t="s">
        <v>923</v>
      </c>
      <c r="E221" s="3" t="s">
        <v>2074</v>
      </c>
      <c r="F221" s="3" t="s">
        <v>903</v>
      </c>
      <c r="G221" s="3">
        <v>1.0</v>
      </c>
      <c r="H221" s="3" t="b">
        <v>0</v>
      </c>
      <c r="L221" s="3" t="s">
        <v>2102</v>
      </c>
    </row>
    <row r="222" ht="15.75" customHeight="1">
      <c r="A222" s="3" t="s">
        <v>2323</v>
      </c>
      <c r="B222" s="12">
        <v>46118.0</v>
      </c>
      <c r="C222" s="3" t="s">
        <v>235</v>
      </c>
      <c r="D222" s="3" t="s">
        <v>923</v>
      </c>
      <c r="E222" s="3" t="s">
        <v>2074</v>
      </c>
      <c r="F222" s="3" t="s">
        <v>903</v>
      </c>
      <c r="G222" s="3">
        <v>1.0</v>
      </c>
      <c r="H222" s="3" t="b">
        <v>0</v>
      </c>
      <c r="L222" s="3" t="s">
        <v>2102</v>
      </c>
    </row>
    <row r="223" ht="15.75" customHeight="1">
      <c r="A223" s="3" t="s">
        <v>2324</v>
      </c>
      <c r="B223" s="12">
        <v>46118.0</v>
      </c>
      <c r="C223" s="3" t="s">
        <v>236</v>
      </c>
      <c r="D223" s="3" t="s">
        <v>923</v>
      </c>
      <c r="E223" s="3" t="s">
        <v>2074</v>
      </c>
      <c r="F223" s="3" t="s">
        <v>903</v>
      </c>
      <c r="G223" s="3">
        <v>1.0</v>
      </c>
      <c r="H223" s="3" t="b">
        <v>0</v>
      </c>
      <c r="L223" s="3" t="s">
        <v>2102</v>
      </c>
    </row>
    <row r="224" ht="15.75" customHeight="1">
      <c r="A224" s="3" t="s">
        <v>2325</v>
      </c>
      <c r="B224" s="12">
        <v>46118.0</v>
      </c>
      <c r="C224" s="3" t="s">
        <v>237</v>
      </c>
      <c r="D224" s="3" t="s">
        <v>923</v>
      </c>
      <c r="E224" s="3" t="s">
        <v>2074</v>
      </c>
      <c r="F224" s="3" t="s">
        <v>903</v>
      </c>
      <c r="G224" s="3">
        <v>1.0</v>
      </c>
      <c r="H224" s="3" t="b">
        <v>0</v>
      </c>
      <c r="L224" s="3" t="s">
        <v>2102</v>
      </c>
    </row>
    <row r="225" ht="15.75" customHeight="1">
      <c r="A225" s="3" t="s">
        <v>2326</v>
      </c>
      <c r="B225" s="12">
        <v>46118.0</v>
      </c>
      <c r="C225" s="3" t="s">
        <v>238</v>
      </c>
      <c r="D225" s="3" t="s">
        <v>923</v>
      </c>
      <c r="E225" s="3" t="s">
        <v>2074</v>
      </c>
      <c r="F225" s="3" t="s">
        <v>903</v>
      </c>
      <c r="G225" s="3">
        <v>1.0</v>
      </c>
      <c r="H225" s="3" t="b">
        <v>0</v>
      </c>
      <c r="L225" s="3" t="s">
        <v>2102</v>
      </c>
    </row>
    <row r="226" ht="15.75" customHeight="1">
      <c r="A226" s="3" t="s">
        <v>2327</v>
      </c>
      <c r="B226" s="12">
        <v>46118.0</v>
      </c>
      <c r="C226" s="3" t="s">
        <v>239</v>
      </c>
      <c r="D226" s="3" t="s">
        <v>923</v>
      </c>
      <c r="E226" s="3" t="s">
        <v>2074</v>
      </c>
      <c r="F226" s="3" t="s">
        <v>903</v>
      </c>
      <c r="G226" s="3">
        <v>1.0</v>
      </c>
      <c r="H226" s="3" t="b">
        <v>0</v>
      </c>
      <c r="L226" s="3" t="s">
        <v>2102</v>
      </c>
    </row>
    <row r="227" ht="15.75" customHeight="1">
      <c r="A227" s="3" t="s">
        <v>2328</v>
      </c>
      <c r="B227" s="12">
        <v>46118.0</v>
      </c>
      <c r="C227" s="3" t="s">
        <v>242</v>
      </c>
      <c r="D227" s="3" t="s">
        <v>923</v>
      </c>
      <c r="E227" s="3" t="s">
        <v>2074</v>
      </c>
      <c r="F227" s="3" t="s">
        <v>903</v>
      </c>
      <c r="G227" s="3">
        <v>1.0</v>
      </c>
      <c r="H227" s="3" t="b">
        <v>0</v>
      </c>
      <c r="L227" s="3" t="s">
        <v>2102</v>
      </c>
    </row>
    <row r="228" ht="15.75" customHeight="1">
      <c r="A228" s="3" t="s">
        <v>2329</v>
      </c>
      <c r="B228" s="12">
        <v>46118.0</v>
      </c>
      <c r="C228" s="3" t="s">
        <v>243</v>
      </c>
      <c r="D228" s="3" t="s">
        <v>923</v>
      </c>
      <c r="E228" s="3" t="s">
        <v>2074</v>
      </c>
      <c r="F228" s="3" t="s">
        <v>903</v>
      </c>
      <c r="G228" s="3">
        <v>1.0</v>
      </c>
      <c r="H228" s="3" t="b">
        <v>0</v>
      </c>
      <c r="L228" s="3" t="s">
        <v>2102</v>
      </c>
    </row>
    <row r="229" ht="15.75" customHeight="1">
      <c r="A229" s="3" t="s">
        <v>2330</v>
      </c>
      <c r="B229" s="12">
        <v>46118.0</v>
      </c>
      <c r="C229" s="3" t="s">
        <v>244</v>
      </c>
      <c r="D229" s="3" t="s">
        <v>923</v>
      </c>
      <c r="E229" s="3" t="s">
        <v>2074</v>
      </c>
      <c r="F229" s="3" t="s">
        <v>903</v>
      </c>
      <c r="G229" s="3">
        <v>1.0</v>
      </c>
      <c r="H229" s="3" t="b">
        <v>0</v>
      </c>
      <c r="L229" s="3" t="s">
        <v>2102</v>
      </c>
    </row>
    <row r="230" ht="15.75" customHeight="1">
      <c r="A230" s="3" t="s">
        <v>2331</v>
      </c>
      <c r="B230" s="12">
        <v>46118.0</v>
      </c>
      <c r="C230" s="3" t="s">
        <v>245</v>
      </c>
      <c r="D230" s="3" t="s">
        <v>923</v>
      </c>
      <c r="E230" s="3" t="s">
        <v>2074</v>
      </c>
      <c r="F230" s="3" t="s">
        <v>903</v>
      </c>
      <c r="G230" s="3">
        <v>1.0</v>
      </c>
      <c r="H230" s="3" t="b">
        <v>0</v>
      </c>
      <c r="L230" s="3" t="s">
        <v>2102</v>
      </c>
    </row>
    <row r="231" ht="15.75" customHeight="1">
      <c r="A231" s="3" t="s">
        <v>2332</v>
      </c>
      <c r="B231" s="12">
        <v>46118.0</v>
      </c>
      <c r="C231" s="3" t="s">
        <v>246</v>
      </c>
      <c r="D231" s="3" t="s">
        <v>923</v>
      </c>
      <c r="E231" s="3" t="s">
        <v>2074</v>
      </c>
      <c r="F231" s="3" t="s">
        <v>903</v>
      </c>
      <c r="G231" s="3">
        <v>1.0</v>
      </c>
      <c r="H231" s="3" t="b">
        <v>0</v>
      </c>
      <c r="L231" s="3" t="s">
        <v>2102</v>
      </c>
    </row>
    <row r="232" ht="15.75" customHeight="1">
      <c r="A232" s="3" t="s">
        <v>2333</v>
      </c>
      <c r="B232" s="12">
        <v>46118.0</v>
      </c>
      <c r="C232" s="3" t="s">
        <v>247</v>
      </c>
      <c r="D232" s="3" t="s">
        <v>923</v>
      </c>
      <c r="E232" s="3" t="s">
        <v>2074</v>
      </c>
      <c r="F232" s="3" t="s">
        <v>903</v>
      </c>
      <c r="G232" s="3">
        <v>1.0</v>
      </c>
      <c r="H232" s="3" t="b">
        <v>0</v>
      </c>
      <c r="L232" s="3" t="s">
        <v>2102</v>
      </c>
    </row>
    <row r="233" ht="15.75" customHeight="1">
      <c r="A233" s="3" t="s">
        <v>2334</v>
      </c>
      <c r="B233" s="12">
        <v>46118.0</v>
      </c>
      <c r="C233" s="3" t="s">
        <v>248</v>
      </c>
      <c r="D233" s="3" t="s">
        <v>923</v>
      </c>
      <c r="E233" s="3" t="s">
        <v>2074</v>
      </c>
      <c r="F233" s="3" t="s">
        <v>903</v>
      </c>
      <c r="G233" s="3">
        <v>1.0</v>
      </c>
      <c r="H233" s="3" t="b">
        <v>0</v>
      </c>
      <c r="L233" s="3" t="s">
        <v>2102</v>
      </c>
    </row>
    <row r="234" ht="15.75" customHeight="1">
      <c r="A234" s="3" t="s">
        <v>2335</v>
      </c>
      <c r="B234" s="12">
        <v>46118.0</v>
      </c>
      <c r="C234" s="3" t="s">
        <v>249</v>
      </c>
      <c r="D234" s="3" t="s">
        <v>923</v>
      </c>
      <c r="E234" s="3" t="s">
        <v>2074</v>
      </c>
      <c r="F234" s="3" t="s">
        <v>903</v>
      </c>
      <c r="G234" s="3">
        <v>1.0</v>
      </c>
      <c r="H234" s="3" t="b">
        <v>0</v>
      </c>
      <c r="L234" s="3" t="s">
        <v>2102</v>
      </c>
    </row>
    <row r="235" ht="15.75" customHeight="1">
      <c r="A235" s="3" t="s">
        <v>2336</v>
      </c>
      <c r="B235" s="12">
        <v>46118.0</v>
      </c>
      <c r="C235" s="3" t="s">
        <v>251</v>
      </c>
      <c r="D235" s="3" t="s">
        <v>923</v>
      </c>
      <c r="E235" s="3" t="s">
        <v>2074</v>
      </c>
      <c r="F235" s="3" t="s">
        <v>903</v>
      </c>
      <c r="G235" s="3">
        <v>1.0</v>
      </c>
      <c r="H235" s="3" t="b">
        <v>0</v>
      </c>
      <c r="L235" s="3" t="s">
        <v>2102</v>
      </c>
    </row>
    <row r="236" ht="15.75" customHeight="1">
      <c r="A236" s="3" t="s">
        <v>2337</v>
      </c>
      <c r="B236" s="12">
        <v>46118.0</v>
      </c>
      <c r="C236" s="3" t="s">
        <v>252</v>
      </c>
      <c r="D236" s="3" t="s">
        <v>923</v>
      </c>
      <c r="E236" s="3" t="s">
        <v>2074</v>
      </c>
      <c r="F236" s="3" t="s">
        <v>903</v>
      </c>
      <c r="G236" s="3">
        <v>1.0</v>
      </c>
      <c r="H236" s="3" t="b">
        <v>0</v>
      </c>
      <c r="L236" s="3" t="s">
        <v>2102</v>
      </c>
    </row>
    <row r="237" ht="15.75" customHeight="1">
      <c r="A237" s="3" t="s">
        <v>2338</v>
      </c>
      <c r="B237" s="12">
        <v>46118.0</v>
      </c>
      <c r="C237" s="3" t="s">
        <v>253</v>
      </c>
      <c r="D237" s="3" t="s">
        <v>923</v>
      </c>
      <c r="E237" s="3" t="s">
        <v>2074</v>
      </c>
      <c r="F237" s="3" t="s">
        <v>903</v>
      </c>
      <c r="G237" s="3">
        <v>1.0</v>
      </c>
      <c r="H237" s="3" t="b">
        <v>0</v>
      </c>
      <c r="L237" s="3" t="s">
        <v>2102</v>
      </c>
    </row>
    <row r="238" ht="15.75" customHeight="1">
      <c r="A238" s="3" t="s">
        <v>2339</v>
      </c>
      <c r="B238" s="12">
        <v>46118.0</v>
      </c>
      <c r="C238" s="3" t="s">
        <v>254</v>
      </c>
      <c r="D238" s="3" t="s">
        <v>923</v>
      </c>
      <c r="E238" s="3" t="s">
        <v>2074</v>
      </c>
      <c r="F238" s="3" t="s">
        <v>903</v>
      </c>
      <c r="G238" s="3">
        <v>1.0</v>
      </c>
      <c r="H238" s="3" t="b">
        <v>0</v>
      </c>
      <c r="L238" s="3" t="s">
        <v>2102</v>
      </c>
    </row>
    <row r="239" ht="15.75" customHeight="1">
      <c r="A239" s="3" t="s">
        <v>2340</v>
      </c>
      <c r="B239" s="12">
        <v>46118.0</v>
      </c>
      <c r="C239" s="3" t="s">
        <v>255</v>
      </c>
      <c r="D239" s="3" t="s">
        <v>923</v>
      </c>
      <c r="E239" s="3" t="s">
        <v>2074</v>
      </c>
      <c r="F239" s="3" t="s">
        <v>903</v>
      </c>
      <c r="G239" s="3">
        <v>1.0</v>
      </c>
      <c r="H239" s="3" t="b">
        <v>0</v>
      </c>
      <c r="L239" s="3" t="s">
        <v>2102</v>
      </c>
    </row>
    <row r="240" ht="15.75" customHeight="1">
      <c r="A240" s="3" t="s">
        <v>2341</v>
      </c>
      <c r="B240" s="12">
        <v>46118.0</v>
      </c>
      <c r="C240" s="3" t="s">
        <v>256</v>
      </c>
      <c r="D240" s="3" t="s">
        <v>923</v>
      </c>
      <c r="E240" s="3" t="s">
        <v>2074</v>
      </c>
      <c r="F240" s="3" t="s">
        <v>903</v>
      </c>
      <c r="G240" s="3">
        <v>1.0</v>
      </c>
      <c r="H240" s="3" t="b">
        <v>0</v>
      </c>
      <c r="L240" s="3" t="s">
        <v>2102</v>
      </c>
    </row>
    <row r="241" ht="15.75" customHeight="1">
      <c r="A241" s="3" t="s">
        <v>2342</v>
      </c>
      <c r="B241" s="12">
        <v>46118.0</v>
      </c>
      <c r="C241" s="3" t="s">
        <v>257</v>
      </c>
      <c r="D241" s="3" t="s">
        <v>923</v>
      </c>
      <c r="E241" s="3" t="s">
        <v>2074</v>
      </c>
      <c r="F241" s="3" t="s">
        <v>903</v>
      </c>
      <c r="G241" s="3">
        <v>1.0</v>
      </c>
      <c r="H241" s="3" t="b">
        <v>0</v>
      </c>
      <c r="L241" s="3" t="s">
        <v>2102</v>
      </c>
    </row>
    <row r="242" ht="15.75" customHeight="1">
      <c r="A242" s="3" t="s">
        <v>2343</v>
      </c>
      <c r="B242" s="12">
        <v>46118.0</v>
      </c>
      <c r="C242" s="3" t="s">
        <v>258</v>
      </c>
      <c r="D242" s="3" t="s">
        <v>923</v>
      </c>
      <c r="E242" s="3" t="s">
        <v>2074</v>
      </c>
      <c r="F242" s="3" t="s">
        <v>903</v>
      </c>
      <c r="G242" s="3">
        <v>1.0</v>
      </c>
      <c r="H242" s="3" t="b">
        <v>0</v>
      </c>
      <c r="L242" s="3" t="s">
        <v>2102</v>
      </c>
    </row>
    <row r="243" ht="15.75" customHeight="1">
      <c r="A243" s="13" t="s">
        <v>2344</v>
      </c>
      <c r="B243" s="12">
        <v>46118.0</v>
      </c>
      <c r="C243" s="3" t="s">
        <v>259</v>
      </c>
      <c r="D243" s="3" t="s">
        <v>923</v>
      </c>
      <c r="E243" s="3" t="s">
        <v>2074</v>
      </c>
      <c r="F243" s="3" t="s">
        <v>903</v>
      </c>
      <c r="G243" s="3">
        <v>1.0</v>
      </c>
      <c r="H243" s="3" t="b">
        <v>0</v>
      </c>
      <c r="L243" s="3" t="s">
        <v>2102</v>
      </c>
    </row>
    <row r="244" ht="15.75" customHeight="1">
      <c r="A244" s="3" t="s">
        <v>2345</v>
      </c>
      <c r="B244" s="12">
        <v>46118.0</v>
      </c>
      <c r="C244" s="3" t="s">
        <v>260</v>
      </c>
      <c r="D244" s="3" t="s">
        <v>923</v>
      </c>
      <c r="E244" s="3" t="s">
        <v>2074</v>
      </c>
      <c r="F244" s="3" t="s">
        <v>903</v>
      </c>
      <c r="G244" s="3">
        <v>1.0</v>
      </c>
      <c r="H244" s="3" t="b">
        <v>0</v>
      </c>
      <c r="L244" s="3" t="s">
        <v>2102</v>
      </c>
    </row>
    <row r="245" ht="15.75" customHeight="1">
      <c r="A245" s="3" t="s">
        <v>2346</v>
      </c>
      <c r="B245" s="12">
        <v>46118.0</v>
      </c>
      <c r="C245" s="3" t="s">
        <v>2347</v>
      </c>
      <c r="D245" s="3" t="s">
        <v>923</v>
      </c>
      <c r="E245" s="3" t="s">
        <v>2074</v>
      </c>
      <c r="F245" s="3" t="s">
        <v>903</v>
      </c>
      <c r="G245" s="3">
        <v>1.0</v>
      </c>
      <c r="H245" s="3" t="b">
        <v>0</v>
      </c>
      <c r="L245" s="3" t="s">
        <v>2102</v>
      </c>
    </row>
    <row r="246" ht="15.75" customHeight="1">
      <c r="A246" s="3" t="s">
        <v>2348</v>
      </c>
      <c r="B246" s="12">
        <v>46118.0</v>
      </c>
      <c r="C246" s="3" t="s">
        <v>261</v>
      </c>
      <c r="D246" s="3" t="s">
        <v>923</v>
      </c>
      <c r="E246" s="3" t="s">
        <v>2074</v>
      </c>
      <c r="F246" s="3" t="s">
        <v>903</v>
      </c>
      <c r="G246" s="3">
        <v>1.0</v>
      </c>
      <c r="H246" s="3" t="b">
        <v>0</v>
      </c>
      <c r="L246" s="3" t="s">
        <v>2102</v>
      </c>
    </row>
    <row r="247" ht="15.75" customHeight="1">
      <c r="A247" s="3" t="s">
        <v>2349</v>
      </c>
      <c r="B247" s="12">
        <v>46118.0</v>
      </c>
      <c r="C247" s="3" t="s">
        <v>262</v>
      </c>
      <c r="D247" s="3" t="s">
        <v>923</v>
      </c>
      <c r="E247" s="3" t="s">
        <v>2074</v>
      </c>
      <c r="F247" s="3" t="s">
        <v>903</v>
      </c>
      <c r="G247" s="3">
        <v>1.0</v>
      </c>
      <c r="H247" s="3" t="b">
        <v>0</v>
      </c>
      <c r="L247" s="3" t="s">
        <v>2102</v>
      </c>
    </row>
    <row r="248" ht="15.75" customHeight="1">
      <c r="A248" s="3" t="s">
        <v>2350</v>
      </c>
      <c r="B248" s="12">
        <v>46118.0</v>
      </c>
      <c r="C248" s="3" t="s">
        <v>264</v>
      </c>
      <c r="D248" s="3" t="s">
        <v>923</v>
      </c>
      <c r="E248" s="3" t="s">
        <v>2074</v>
      </c>
      <c r="F248" s="3" t="s">
        <v>903</v>
      </c>
      <c r="G248" s="3">
        <v>1.0</v>
      </c>
      <c r="H248" s="3" t="b">
        <v>0</v>
      </c>
      <c r="L248" s="3" t="s">
        <v>2102</v>
      </c>
    </row>
    <row r="249" ht="15.75" customHeight="1">
      <c r="A249" s="3" t="s">
        <v>2351</v>
      </c>
      <c r="B249" s="12">
        <v>46118.0</v>
      </c>
      <c r="C249" s="3" t="s">
        <v>265</v>
      </c>
      <c r="D249" s="3" t="s">
        <v>923</v>
      </c>
      <c r="E249" s="3" t="s">
        <v>2074</v>
      </c>
      <c r="F249" s="3" t="s">
        <v>903</v>
      </c>
      <c r="G249" s="3">
        <v>1.0</v>
      </c>
      <c r="H249" s="3" t="b">
        <v>0</v>
      </c>
      <c r="L249" s="3" t="s">
        <v>2102</v>
      </c>
    </row>
    <row r="250" ht="15.75" customHeight="1">
      <c r="A250" s="3" t="s">
        <v>2352</v>
      </c>
      <c r="B250" s="12">
        <v>46118.0</v>
      </c>
      <c r="C250" s="3" t="s">
        <v>266</v>
      </c>
      <c r="D250" s="3" t="s">
        <v>923</v>
      </c>
      <c r="E250" s="3" t="s">
        <v>2074</v>
      </c>
      <c r="F250" s="3" t="s">
        <v>903</v>
      </c>
      <c r="G250" s="3">
        <v>1.0</v>
      </c>
      <c r="H250" s="3" t="b">
        <v>0</v>
      </c>
      <c r="L250" s="3" t="s">
        <v>2102</v>
      </c>
    </row>
    <row r="251" ht="15.75" customHeight="1">
      <c r="A251" s="3" t="s">
        <v>2353</v>
      </c>
      <c r="B251" s="12">
        <v>46118.0</v>
      </c>
      <c r="C251" s="3" t="s">
        <v>267</v>
      </c>
      <c r="D251" s="3" t="s">
        <v>923</v>
      </c>
      <c r="E251" s="3" t="s">
        <v>2074</v>
      </c>
      <c r="F251" s="3" t="s">
        <v>903</v>
      </c>
      <c r="G251" s="3">
        <v>1.0</v>
      </c>
      <c r="H251" s="3" t="b">
        <v>0</v>
      </c>
      <c r="L251" s="3" t="s">
        <v>2102</v>
      </c>
    </row>
    <row r="252" ht="15.75" customHeight="1">
      <c r="A252" s="3" t="s">
        <v>2354</v>
      </c>
      <c r="B252" s="12">
        <v>46118.0</v>
      </c>
      <c r="C252" s="3" t="s">
        <v>1295</v>
      </c>
      <c r="D252" s="3" t="s">
        <v>923</v>
      </c>
      <c r="E252" s="3" t="s">
        <v>2074</v>
      </c>
      <c r="F252" s="3" t="s">
        <v>903</v>
      </c>
      <c r="G252" s="3">
        <v>1.0</v>
      </c>
      <c r="H252" s="3" t="b">
        <v>0</v>
      </c>
      <c r="L252" s="3" t="s">
        <v>2102</v>
      </c>
    </row>
    <row r="253" ht="15.75" customHeight="1">
      <c r="A253" s="3" t="s">
        <v>2355</v>
      </c>
      <c r="B253" s="12">
        <v>46118.0</v>
      </c>
      <c r="C253" s="3" t="s">
        <v>268</v>
      </c>
      <c r="D253" s="3" t="s">
        <v>923</v>
      </c>
      <c r="E253" s="3" t="s">
        <v>2074</v>
      </c>
      <c r="F253" s="3" t="s">
        <v>903</v>
      </c>
      <c r="G253" s="3">
        <v>1.0</v>
      </c>
      <c r="H253" s="3" t="b">
        <v>0</v>
      </c>
      <c r="L253" s="3" t="s">
        <v>2102</v>
      </c>
    </row>
    <row r="254" ht="15.75" customHeight="1">
      <c r="A254" s="3" t="s">
        <v>2356</v>
      </c>
      <c r="B254" s="12">
        <v>46118.0</v>
      </c>
      <c r="C254" s="3" t="s">
        <v>269</v>
      </c>
      <c r="D254" s="3" t="s">
        <v>923</v>
      </c>
      <c r="E254" s="3" t="s">
        <v>2074</v>
      </c>
      <c r="F254" s="3" t="s">
        <v>903</v>
      </c>
      <c r="G254" s="3">
        <v>1.0</v>
      </c>
      <c r="H254" s="3" t="b">
        <v>0</v>
      </c>
      <c r="L254" s="3" t="s">
        <v>2102</v>
      </c>
    </row>
    <row r="255" ht="15.75" customHeight="1">
      <c r="A255" s="3" t="s">
        <v>2357</v>
      </c>
      <c r="B255" s="12">
        <v>46118.0</v>
      </c>
      <c r="C255" s="3" t="s">
        <v>270</v>
      </c>
      <c r="D255" s="3" t="s">
        <v>923</v>
      </c>
      <c r="E255" s="3" t="s">
        <v>2074</v>
      </c>
      <c r="F255" s="3" t="s">
        <v>903</v>
      </c>
      <c r="G255" s="3">
        <v>1.0</v>
      </c>
      <c r="H255" s="3" t="b">
        <v>0</v>
      </c>
      <c r="L255" s="3" t="s">
        <v>2102</v>
      </c>
    </row>
    <row r="256" ht="15.75" customHeight="1">
      <c r="A256" s="3" t="s">
        <v>2358</v>
      </c>
      <c r="B256" s="12">
        <v>46118.0</v>
      </c>
      <c r="C256" s="3" t="s">
        <v>271</v>
      </c>
      <c r="D256" s="3" t="s">
        <v>923</v>
      </c>
      <c r="E256" s="3" t="s">
        <v>2074</v>
      </c>
      <c r="F256" s="3" t="s">
        <v>903</v>
      </c>
      <c r="G256" s="3">
        <v>1.0</v>
      </c>
      <c r="H256" s="3" t="b">
        <v>0</v>
      </c>
      <c r="L256" s="3" t="s">
        <v>2102</v>
      </c>
    </row>
    <row r="257" ht="15.75" customHeight="1">
      <c r="A257" s="3" t="s">
        <v>2359</v>
      </c>
      <c r="B257" s="12">
        <v>46118.0</v>
      </c>
      <c r="C257" s="3" t="s">
        <v>272</v>
      </c>
      <c r="D257" s="3" t="s">
        <v>923</v>
      </c>
      <c r="E257" s="3" t="s">
        <v>2074</v>
      </c>
      <c r="F257" s="3" t="s">
        <v>903</v>
      </c>
      <c r="G257" s="3">
        <v>1.0</v>
      </c>
      <c r="H257" s="3" t="b">
        <v>0</v>
      </c>
      <c r="L257" s="3" t="s">
        <v>2102</v>
      </c>
    </row>
    <row r="258" ht="15.75" customHeight="1">
      <c r="A258" s="3" t="s">
        <v>2360</v>
      </c>
      <c r="B258" s="12">
        <v>46118.0</v>
      </c>
      <c r="C258" s="3" t="s">
        <v>273</v>
      </c>
      <c r="D258" s="3" t="s">
        <v>923</v>
      </c>
      <c r="E258" s="3" t="s">
        <v>2074</v>
      </c>
      <c r="F258" s="3" t="s">
        <v>903</v>
      </c>
      <c r="G258" s="3">
        <v>1.0</v>
      </c>
      <c r="H258" s="3" t="b">
        <v>0</v>
      </c>
      <c r="L258" s="3" t="s">
        <v>2102</v>
      </c>
    </row>
    <row r="259" ht="15.75" customHeight="1">
      <c r="A259" s="3" t="s">
        <v>2361</v>
      </c>
      <c r="B259" s="12">
        <v>46118.0</v>
      </c>
      <c r="C259" s="3" t="s">
        <v>274</v>
      </c>
      <c r="D259" s="3" t="s">
        <v>923</v>
      </c>
      <c r="E259" s="3" t="s">
        <v>2074</v>
      </c>
      <c r="F259" s="3" t="s">
        <v>903</v>
      </c>
      <c r="G259" s="3">
        <v>1.0</v>
      </c>
      <c r="H259" s="3" t="b">
        <v>0</v>
      </c>
      <c r="L259" s="3" t="s">
        <v>2102</v>
      </c>
    </row>
    <row r="260" ht="15.75" customHeight="1">
      <c r="A260" s="3" t="s">
        <v>2362</v>
      </c>
      <c r="B260" s="12">
        <v>46118.0</v>
      </c>
      <c r="C260" s="3" t="s">
        <v>275</v>
      </c>
      <c r="D260" s="3" t="s">
        <v>923</v>
      </c>
      <c r="E260" s="3" t="s">
        <v>2074</v>
      </c>
      <c r="F260" s="3" t="s">
        <v>903</v>
      </c>
      <c r="G260" s="3">
        <v>1.0</v>
      </c>
      <c r="H260" s="3" t="b">
        <v>0</v>
      </c>
      <c r="L260" s="3" t="s">
        <v>2102</v>
      </c>
    </row>
    <row r="261" ht="15.75" customHeight="1">
      <c r="A261" s="3" t="s">
        <v>2363</v>
      </c>
      <c r="B261" s="12">
        <v>46118.0</v>
      </c>
      <c r="C261" s="3" t="s">
        <v>276</v>
      </c>
      <c r="D261" s="3" t="s">
        <v>923</v>
      </c>
      <c r="E261" s="3" t="s">
        <v>2074</v>
      </c>
      <c r="F261" s="3" t="s">
        <v>903</v>
      </c>
      <c r="G261" s="3">
        <v>1.0</v>
      </c>
      <c r="H261" s="3" t="b">
        <v>0</v>
      </c>
      <c r="L261" s="3" t="s">
        <v>2102</v>
      </c>
    </row>
    <row r="262" ht="15.75" customHeight="1">
      <c r="A262" s="3" t="s">
        <v>2364</v>
      </c>
      <c r="B262" s="12">
        <v>46118.0</v>
      </c>
      <c r="C262" s="3" t="s">
        <v>2365</v>
      </c>
      <c r="D262" s="3" t="s">
        <v>923</v>
      </c>
      <c r="E262" s="3" t="s">
        <v>2074</v>
      </c>
      <c r="F262" s="3" t="s">
        <v>903</v>
      </c>
      <c r="G262" s="3">
        <v>1.0</v>
      </c>
      <c r="H262" s="3" t="b">
        <v>0</v>
      </c>
      <c r="L262" s="3" t="s">
        <v>2102</v>
      </c>
    </row>
    <row r="263" ht="15.75" customHeight="1">
      <c r="A263" s="3" t="s">
        <v>2366</v>
      </c>
      <c r="B263" s="12">
        <v>46118.0</v>
      </c>
      <c r="C263" s="3" t="s">
        <v>277</v>
      </c>
      <c r="D263" s="3" t="s">
        <v>923</v>
      </c>
      <c r="E263" s="3" t="s">
        <v>2074</v>
      </c>
      <c r="F263" s="3" t="s">
        <v>903</v>
      </c>
      <c r="G263" s="3">
        <v>1.0</v>
      </c>
      <c r="H263" s="3" t="b">
        <v>0</v>
      </c>
      <c r="L263" s="3" t="s">
        <v>2102</v>
      </c>
    </row>
    <row r="264" ht="15.75" customHeight="1">
      <c r="A264" s="3" t="s">
        <v>2367</v>
      </c>
      <c r="B264" s="12">
        <v>46118.0</v>
      </c>
      <c r="C264" s="3" t="s">
        <v>278</v>
      </c>
      <c r="D264" s="3" t="s">
        <v>923</v>
      </c>
      <c r="E264" s="3" t="s">
        <v>2074</v>
      </c>
      <c r="F264" s="3" t="s">
        <v>903</v>
      </c>
      <c r="G264" s="3">
        <v>1.0</v>
      </c>
      <c r="H264" s="3" t="b">
        <v>0</v>
      </c>
      <c r="L264" s="3" t="s">
        <v>2102</v>
      </c>
    </row>
    <row r="265" ht="15.75" customHeight="1">
      <c r="A265" s="3" t="s">
        <v>2368</v>
      </c>
      <c r="B265" s="12">
        <v>46118.0</v>
      </c>
      <c r="C265" s="3" t="s">
        <v>279</v>
      </c>
      <c r="D265" s="3" t="s">
        <v>923</v>
      </c>
      <c r="E265" s="3" t="s">
        <v>2074</v>
      </c>
      <c r="F265" s="3" t="s">
        <v>903</v>
      </c>
      <c r="G265" s="3">
        <v>1.0</v>
      </c>
      <c r="H265" s="3" t="b">
        <v>0</v>
      </c>
      <c r="L265" s="3" t="s">
        <v>2102</v>
      </c>
    </row>
    <row r="266" ht="15.75" customHeight="1">
      <c r="A266" s="3" t="s">
        <v>2369</v>
      </c>
      <c r="B266" s="12">
        <v>46118.0</v>
      </c>
      <c r="C266" s="3" t="s">
        <v>280</v>
      </c>
      <c r="D266" s="3" t="s">
        <v>923</v>
      </c>
      <c r="E266" s="3" t="s">
        <v>2074</v>
      </c>
      <c r="F266" s="3" t="s">
        <v>903</v>
      </c>
      <c r="G266" s="3">
        <v>1.0</v>
      </c>
      <c r="H266" s="3" t="b">
        <v>0</v>
      </c>
      <c r="L266" s="3" t="s">
        <v>2102</v>
      </c>
    </row>
    <row r="267" ht="15.75" customHeight="1">
      <c r="A267" s="3" t="s">
        <v>2370</v>
      </c>
      <c r="B267" s="12">
        <v>46118.0</v>
      </c>
      <c r="C267" s="3" t="s">
        <v>281</v>
      </c>
      <c r="D267" s="3" t="s">
        <v>923</v>
      </c>
      <c r="E267" s="3" t="s">
        <v>2074</v>
      </c>
      <c r="F267" s="3" t="s">
        <v>903</v>
      </c>
      <c r="G267" s="3">
        <v>1.0</v>
      </c>
      <c r="H267" s="3" t="b">
        <v>0</v>
      </c>
      <c r="L267" s="3" t="s">
        <v>2102</v>
      </c>
    </row>
    <row r="268" ht="15.75" customHeight="1">
      <c r="A268" s="3" t="s">
        <v>2371</v>
      </c>
      <c r="B268" s="12">
        <v>46118.0</v>
      </c>
      <c r="C268" s="3" t="s">
        <v>283</v>
      </c>
      <c r="D268" s="3" t="s">
        <v>923</v>
      </c>
      <c r="E268" s="3" t="s">
        <v>2074</v>
      </c>
      <c r="F268" s="3" t="s">
        <v>903</v>
      </c>
      <c r="G268" s="3">
        <v>1.0</v>
      </c>
      <c r="H268" s="3" t="b">
        <v>0</v>
      </c>
      <c r="L268" s="3" t="s">
        <v>2102</v>
      </c>
    </row>
    <row r="269" ht="15.75" customHeight="1">
      <c r="A269" s="3" t="s">
        <v>2372</v>
      </c>
      <c r="B269" s="12">
        <v>46118.0</v>
      </c>
      <c r="C269" s="3" t="s">
        <v>284</v>
      </c>
      <c r="D269" s="3" t="s">
        <v>923</v>
      </c>
      <c r="E269" s="3" t="s">
        <v>2074</v>
      </c>
      <c r="F269" s="3" t="s">
        <v>903</v>
      </c>
      <c r="G269" s="3">
        <v>1.0</v>
      </c>
      <c r="H269" s="3" t="b">
        <v>0</v>
      </c>
      <c r="L269" s="3" t="s">
        <v>2102</v>
      </c>
    </row>
    <row r="270" ht="15.75" customHeight="1">
      <c r="A270" s="13" t="s">
        <v>2373</v>
      </c>
      <c r="B270" s="12">
        <v>46118.0</v>
      </c>
      <c r="C270" s="3" t="s">
        <v>285</v>
      </c>
      <c r="D270" s="3" t="s">
        <v>923</v>
      </c>
      <c r="E270" s="3" t="s">
        <v>2074</v>
      </c>
      <c r="F270" s="3" t="s">
        <v>903</v>
      </c>
      <c r="G270" s="3">
        <v>1.0</v>
      </c>
      <c r="H270" s="3" t="b">
        <v>0</v>
      </c>
      <c r="L270" s="3" t="s">
        <v>2102</v>
      </c>
    </row>
    <row r="271" ht="15.75" customHeight="1">
      <c r="A271" s="3" t="s">
        <v>2374</v>
      </c>
      <c r="B271" s="12">
        <v>46118.0</v>
      </c>
      <c r="C271" s="3" t="s">
        <v>286</v>
      </c>
      <c r="D271" s="3" t="s">
        <v>923</v>
      </c>
      <c r="E271" s="3" t="s">
        <v>2074</v>
      </c>
      <c r="F271" s="3" t="s">
        <v>903</v>
      </c>
      <c r="G271" s="3">
        <v>1.0</v>
      </c>
      <c r="H271" s="3" t="b">
        <v>0</v>
      </c>
      <c r="L271" s="3" t="s">
        <v>2102</v>
      </c>
    </row>
    <row r="272" ht="15.75" customHeight="1">
      <c r="A272" s="13" t="s">
        <v>2375</v>
      </c>
      <c r="B272" s="12">
        <v>46118.0</v>
      </c>
      <c r="C272" s="3" t="s">
        <v>287</v>
      </c>
      <c r="D272" s="3" t="s">
        <v>923</v>
      </c>
      <c r="E272" s="3" t="s">
        <v>2074</v>
      </c>
      <c r="F272" s="3" t="s">
        <v>903</v>
      </c>
      <c r="G272" s="3">
        <v>1.0</v>
      </c>
      <c r="H272" s="3" t="b">
        <v>0</v>
      </c>
      <c r="L272" s="3" t="s">
        <v>2102</v>
      </c>
    </row>
    <row r="273" ht="15.75" customHeight="1">
      <c r="A273" s="3" t="s">
        <v>2376</v>
      </c>
      <c r="B273" s="12">
        <v>46118.0</v>
      </c>
      <c r="C273" s="3" t="s">
        <v>288</v>
      </c>
      <c r="D273" s="3" t="s">
        <v>923</v>
      </c>
      <c r="E273" s="3" t="s">
        <v>2074</v>
      </c>
      <c r="F273" s="3" t="s">
        <v>903</v>
      </c>
      <c r="G273" s="3">
        <v>1.0</v>
      </c>
      <c r="H273" s="3" t="b">
        <v>0</v>
      </c>
      <c r="L273" s="3" t="s">
        <v>2102</v>
      </c>
    </row>
    <row r="274" ht="15.75" customHeight="1">
      <c r="A274" s="3" t="s">
        <v>2377</v>
      </c>
      <c r="B274" s="12">
        <v>46118.0</v>
      </c>
      <c r="C274" s="3" t="s">
        <v>289</v>
      </c>
      <c r="D274" s="3" t="s">
        <v>923</v>
      </c>
      <c r="E274" s="3" t="s">
        <v>2074</v>
      </c>
      <c r="F274" s="3" t="s">
        <v>903</v>
      </c>
      <c r="G274" s="3">
        <v>1.0</v>
      </c>
      <c r="H274" s="3" t="b">
        <v>0</v>
      </c>
      <c r="L274" s="3" t="s">
        <v>2102</v>
      </c>
    </row>
    <row r="275" ht="15.75" customHeight="1">
      <c r="A275" s="3" t="s">
        <v>2378</v>
      </c>
      <c r="B275" s="12">
        <v>46118.0</v>
      </c>
      <c r="C275" s="3" t="s">
        <v>291</v>
      </c>
      <c r="D275" s="3" t="s">
        <v>923</v>
      </c>
      <c r="E275" s="3" t="s">
        <v>2074</v>
      </c>
      <c r="F275" s="3" t="s">
        <v>903</v>
      </c>
      <c r="G275" s="3">
        <v>1.0</v>
      </c>
      <c r="H275" s="3" t="b">
        <v>0</v>
      </c>
      <c r="L275" s="3" t="s">
        <v>2102</v>
      </c>
    </row>
    <row r="276" ht="15.75" customHeight="1">
      <c r="A276" s="3" t="s">
        <v>2379</v>
      </c>
      <c r="B276" s="12">
        <v>46118.0</v>
      </c>
      <c r="C276" s="3" t="s">
        <v>293</v>
      </c>
      <c r="D276" s="3" t="s">
        <v>923</v>
      </c>
      <c r="E276" s="3" t="s">
        <v>2074</v>
      </c>
      <c r="F276" s="3" t="s">
        <v>903</v>
      </c>
      <c r="G276" s="3">
        <v>1.0</v>
      </c>
      <c r="H276" s="3" t="b">
        <v>0</v>
      </c>
      <c r="L276" s="3" t="s">
        <v>2102</v>
      </c>
    </row>
    <row r="277" ht="15.75" customHeight="1">
      <c r="A277" s="3" t="s">
        <v>2380</v>
      </c>
      <c r="B277" s="12">
        <v>46118.0</v>
      </c>
      <c r="C277" s="3" t="s">
        <v>294</v>
      </c>
      <c r="D277" s="3" t="s">
        <v>923</v>
      </c>
      <c r="E277" s="3" t="s">
        <v>2074</v>
      </c>
      <c r="F277" s="3" t="s">
        <v>903</v>
      </c>
      <c r="G277" s="3">
        <v>1.0</v>
      </c>
      <c r="H277" s="3" t="b">
        <v>0</v>
      </c>
      <c r="L277" s="3" t="s">
        <v>2102</v>
      </c>
    </row>
    <row r="278" ht="15.75" customHeight="1">
      <c r="A278" s="3" t="s">
        <v>2381</v>
      </c>
      <c r="B278" s="12">
        <v>46118.0</v>
      </c>
      <c r="C278" s="3" t="s">
        <v>295</v>
      </c>
      <c r="D278" s="3" t="s">
        <v>923</v>
      </c>
      <c r="E278" s="3" t="s">
        <v>2074</v>
      </c>
      <c r="F278" s="3" t="s">
        <v>903</v>
      </c>
      <c r="G278" s="3">
        <v>1.0</v>
      </c>
      <c r="H278" s="3" t="b">
        <v>0</v>
      </c>
      <c r="L278" s="3" t="s">
        <v>2102</v>
      </c>
    </row>
    <row r="279" ht="15.75" customHeight="1">
      <c r="A279" s="3" t="s">
        <v>2382</v>
      </c>
      <c r="B279" s="12">
        <v>46118.0</v>
      </c>
      <c r="C279" s="3" t="s">
        <v>296</v>
      </c>
      <c r="D279" s="3" t="s">
        <v>923</v>
      </c>
      <c r="E279" s="3" t="s">
        <v>2074</v>
      </c>
      <c r="F279" s="3" t="s">
        <v>903</v>
      </c>
      <c r="G279" s="3">
        <v>1.0</v>
      </c>
      <c r="H279" s="3" t="b">
        <v>0</v>
      </c>
      <c r="L279" s="3" t="s">
        <v>2102</v>
      </c>
    </row>
    <row r="280" ht="15.75" customHeight="1">
      <c r="A280" s="3" t="s">
        <v>2383</v>
      </c>
      <c r="B280" s="12">
        <v>46118.0</v>
      </c>
      <c r="C280" s="3" t="s">
        <v>297</v>
      </c>
      <c r="D280" s="3" t="s">
        <v>923</v>
      </c>
      <c r="E280" s="3" t="s">
        <v>2074</v>
      </c>
      <c r="F280" s="3" t="s">
        <v>903</v>
      </c>
      <c r="G280" s="3">
        <v>1.0</v>
      </c>
      <c r="H280" s="3" t="b">
        <v>0</v>
      </c>
      <c r="L280" s="3" t="s">
        <v>2102</v>
      </c>
    </row>
    <row r="281" ht="15.75" customHeight="1">
      <c r="A281" s="3" t="s">
        <v>2384</v>
      </c>
      <c r="B281" s="12">
        <v>46118.0</v>
      </c>
      <c r="C281" s="3" t="s">
        <v>298</v>
      </c>
      <c r="D281" s="3" t="s">
        <v>923</v>
      </c>
      <c r="E281" s="3" t="s">
        <v>2074</v>
      </c>
      <c r="F281" s="3" t="s">
        <v>903</v>
      </c>
      <c r="G281" s="3">
        <v>1.0</v>
      </c>
      <c r="H281" s="3" t="b">
        <v>0</v>
      </c>
      <c r="L281" s="3" t="s">
        <v>2102</v>
      </c>
    </row>
    <row r="282" ht="15.75" customHeight="1">
      <c r="A282" s="3" t="s">
        <v>2385</v>
      </c>
      <c r="B282" s="12">
        <v>46118.0</v>
      </c>
      <c r="C282" s="3" t="s">
        <v>299</v>
      </c>
      <c r="D282" s="3" t="s">
        <v>923</v>
      </c>
      <c r="E282" s="3" t="s">
        <v>2074</v>
      </c>
      <c r="F282" s="3" t="s">
        <v>903</v>
      </c>
      <c r="G282" s="3">
        <v>1.0</v>
      </c>
      <c r="H282" s="3" t="b">
        <v>0</v>
      </c>
      <c r="L282" s="3" t="s">
        <v>2102</v>
      </c>
    </row>
    <row r="283" ht="15.75" customHeight="1">
      <c r="A283" s="3" t="s">
        <v>2386</v>
      </c>
      <c r="B283" s="12">
        <v>46118.0</v>
      </c>
      <c r="C283" s="3" t="s">
        <v>300</v>
      </c>
      <c r="D283" s="3" t="s">
        <v>923</v>
      </c>
      <c r="E283" s="3" t="s">
        <v>2074</v>
      </c>
      <c r="F283" s="3" t="s">
        <v>903</v>
      </c>
      <c r="G283" s="3">
        <v>1.0</v>
      </c>
      <c r="H283" s="3" t="b">
        <v>0</v>
      </c>
      <c r="L283" s="3" t="s">
        <v>2102</v>
      </c>
    </row>
    <row r="284" ht="15.75" customHeight="1">
      <c r="A284" s="3" t="s">
        <v>2387</v>
      </c>
      <c r="B284" s="12">
        <v>46118.0</v>
      </c>
      <c r="C284" s="3" t="s">
        <v>301</v>
      </c>
      <c r="D284" s="3" t="s">
        <v>923</v>
      </c>
      <c r="E284" s="3" t="s">
        <v>2074</v>
      </c>
      <c r="F284" s="3" t="s">
        <v>903</v>
      </c>
      <c r="G284" s="3">
        <v>1.0</v>
      </c>
      <c r="H284" s="3" t="b">
        <v>0</v>
      </c>
      <c r="L284" s="3" t="s">
        <v>2102</v>
      </c>
    </row>
    <row r="285" ht="15.75" customHeight="1">
      <c r="A285" s="3" t="s">
        <v>2388</v>
      </c>
      <c r="B285" s="12">
        <v>46118.0</v>
      </c>
      <c r="C285" s="3" t="s">
        <v>302</v>
      </c>
      <c r="D285" s="3" t="s">
        <v>923</v>
      </c>
      <c r="E285" s="3" t="s">
        <v>2074</v>
      </c>
      <c r="F285" s="3" t="s">
        <v>903</v>
      </c>
      <c r="G285" s="3">
        <v>1.0</v>
      </c>
      <c r="H285" s="3" t="b">
        <v>0</v>
      </c>
      <c r="L285" s="3" t="s">
        <v>2102</v>
      </c>
    </row>
    <row r="286" ht="15.75" customHeight="1">
      <c r="A286" s="3" t="s">
        <v>2389</v>
      </c>
      <c r="B286" s="12">
        <v>46118.0</v>
      </c>
      <c r="C286" s="3" t="s">
        <v>303</v>
      </c>
      <c r="D286" s="3" t="s">
        <v>923</v>
      </c>
      <c r="E286" s="3" t="s">
        <v>2074</v>
      </c>
      <c r="F286" s="3" t="s">
        <v>903</v>
      </c>
      <c r="G286" s="3">
        <v>1.0</v>
      </c>
      <c r="H286" s="3" t="b">
        <v>0</v>
      </c>
      <c r="L286" s="3" t="s">
        <v>2102</v>
      </c>
    </row>
    <row r="287" ht="15.75" customHeight="1">
      <c r="A287" s="3" t="s">
        <v>2390</v>
      </c>
      <c r="B287" s="12">
        <v>46118.0</v>
      </c>
      <c r="C287" s="3" t="s">
        <v>304</v>
      </c>
      <c r="D287" s="3" t="s">
        <v>923</v>
      </c>
      <c r="E287" s="3" t="s">
        <v>2074</v>
      </c>
      <c r="F287" s="3" t="s">
        <v>903</v>
      </c>
      <c r="G287" s="3">
        <v>1.0</v>
      </c>
      <c r="H287" s="3" t="b">
        <v>0</v>
      </c>
      <c r="L287" s="3" t="s">
        <v>2102</v>
      </c>
    </row>
    <row r="288" ht="15.75" customHeight="1">
      <c r="A288" s="3" t="s">
        <v>2391</v>
      </c>
      <c r="B288" s="12">
        <v>46118.0</v>
      </c>
      <c r="C288" s="3" t="s">
        <v>305</v>
      </c>
      <c r="D288" s="3" t="s">
        <v>923</v>
      </c>
      <c r="E288" s="3" t="s">
        <v>2074</v>
      </c>
      <c r="F288" s="3" t="s">
        <v>903</v>
      </c>
      <c r="G288" s="3">
        <v>1.0</v>
      </c>
      <c r="H288" s="3" t="b">
        <v>0</v>
      </c>
      <c r="L288" s="3" t="s">
        <v>2102</v>
      </c>
    </row>
    <row r="289" ht="15.75" customHeight="1">
      <c r="A289" s="3" t="s">
        <v>2392</v>
      </c>
      <c r="B289" s="12">
        <v>46118.0</v>
      </c>
      <c r="C289" s="3" t="s">
        <v>306</v>
      </c>
      <c r="D289" s="3" t="s">
        <v>923</v>
      </c>
      <c r="E289" s="3" t="s">
        <v>2074</v>
      </c>
      <c r="F289" s="3" t="s">
        <v>903</v>
      </c>
      <c r="G289" s="3">
        <v>1.0</v>
      </c>
      <c r="H289" s="3" t="b">
        <v>0</v>
      </c>
      <c r="L289" s="3" t="s">
        <v>2102</v>
      </c>
    </row>
    <row r="290" ht="15.75" customHeight="1">
      <c r="A290" s="3" t="s">
        <v>2393</v>
      </c>
      <c r="B290" s="12">
        <v>46118.0</v>
      </c>
      <c r="C290" s="3" t="s">
        <v>307</v>
      </c>
      <c r="D290" s="3" t="s">
        <v>923</v>
      </c>
      <c r="E290" s="3" t="s">
        <v>2074</v>
      </c>
      <c r="F290" s="3" t="s">
        <v>903</v>
      </c>
      <c r="G290" s="3">
        <v>1.0</v>
      </c>
      <c r="H290" s="3" t="b">
        <v>0</v>
      </c>
      <c r="L290" s="3" t="s">
        <v>2102</v>
      </c>
    </row>
    <row r="291" ht="15.75" customHeight="1">
      <c r="A291" s="3" t="s">
        <v>2394</v>
      </c>
      <c r="B291" s="12">
        <v>46118.0</v>
      </c>
      <c r="C291" s="3" t="s">
        <v>308</v>
      </c>
      <c r="D291" s="3" t="s">
        <v>923</v>
      </c>
      <c r="E291" s="3" t="s">
        <v>2074</v>
      </c>
      <c r="F291" s="3" t="s">
        <v>903</v>
      </c>
      <c r="G291" s="3">
        <v>1.0</v>
      </c>
      <c r="H291" s="3" t="b">
        <v>0</v>
      </c>
      <c r="L291" s="3" t="s">
        <v>2102</v>
      </c>
    </row>
    <row r="292" ht="15.75" customHeight="1">
      <c r="A292" s="3" t="s">
        <v>2395</v>
      </c>
      <c r="B292" s="12">
        <v>46118.0</v>
      </c>
      <c r="C292" s="3" t="s">
        <v>309</v>
      </c>
      <c r="D292" s="3" t="s">
        <v>923</v>
      </c>
      <c r="E292" s="3" t="s">
        <v>2074</v>
      </c>
      <c r="F292" s="3" t="s">
        <v>903</v>
      </c>
      <c r="G292" s="3">
        <v>1.0</v>
      </c>
      <c r="H292" s="3" t="b">
        <v>0</v>
      </c>
      <c r="L292" s="3" t="s">
        <v>2102</v>
      </c>
    </row>
    <row r="293" ht="15.75" customHeight="1">
      <c r="A293" s="3" t="s">
        <v>2396</v>
      </c>
      <c r="B293" s="12">
        <v>46118.0</v>
      </c>
      <c r="C293" s="3" t="s">
        <v>310</v>
      </c>
      <c r="D293" s="3" t="s">
        <v>923</v>
      </c>
      <c r="E293" s="3" t="s">
        <v>2074</v>
      </c>
      <c r="F293" s="3" t="s">
        <v>903</v>
      </c>
      <c r="G293" s="3">
        <v>1.0</v>
      </c>
      <c r="H293" s="3" t="b">
        <v>0</v>
      </c>
      <c r="L293" s="3" t="s">
        <v>2102</v>
      </c>
    </row>
    <row r="294" ht="15.75" customHeight="1">
      <c r="A294" s="3" t="s">
        <v>2397</v>
      </c>
      <c r="B294" s="12">
        <v>46118.0</v>
      </c>
      <c r="C294" s="3" t="s">
        <v>311</v>
      </c>
      <c r="D294" s="3" t="s">
        <v>923</v>
      </c>
      <c r="E294" s="3" t="s">
        <v>2074</v>
      </c>
      <c r="F294" s="3" t="s">
        <v>903</v>
      </c>
      <c r="G294" s="3">
        <v>1.0</v>
      </c>
      <c r="H294" s="3" t="b">
        <v>0</v>
      </c>
      <c r="L294" s="3" t="s">
        <v>2102</v>
      </c>
    </row>
    <row r="295" ht="15.75" customHeight="1">
      <c r="A295" s="3" t="s">
        <v>2398</v>
      </c>
      <c r="B295" s="12">
        <v>46118.0</v>
      </c>
      <c r="C295" s="3" t="s">
        <v>312</v>
      </c>
      <c r="D295" s="3" t="s">
        <v>923</v>
      </c>
      <c r="E295" s="3" t="s">
        <v>2074</v>
      </c>
      <c r="F295" s="3" t="s">
        <v>903</v>
      </c>
      <c r="G295" s="3">
        <v>1.0</v>
      </c>
      <c r="H295" s="3" t="b">
        <v>0</v>
      </c>
      <c r="L295" s="3" t="s">
        <v>2102</v>
      </c>
    </row>
    <row r="296" ht="15.75" customHeight="1">
      <c r="A296" s="3" t="s">
        <v>2399</v>
      </c>
      <c r="B296" s="12">
        <v>46118.0</v>
      </c>
      <c r="C296" s="3" t="s">
        <v>313</v>
      </c>
      <c r="D296" s="3" t="s">
        <v>923</v>
      </c>
      <c r="E296" s="3" t="s">
        <v>2074</v>
      </c>
      <c r="F296" s="3" t="s">
        <v>903</v>
      </c>
      <c r="G296" s="3">
        <v>1.0</v>
      </c>
      <c r="H296" s="3" t="b">
        <v>0</v>
      </c>
      <c r="L296" s="3" t="s">
        <v>2102</v>
      </c>
    </row>
    <row r="297" ht="15.75" customHeight="1">
      <c r="A297" s="3" t="s">
        <v>2400</v>
      </c>
      <c r="B297" s="12">
        <v>46118.0</v>
      </c>
      <c r="C297" s="3" t="s">
        <v>314</v>
      </c>
      <c r="D297" s="3" t="s">
        <v>923</v>
      </c>
      <c r="E297" s="3" t="s">
        <v>2074</v>
      </c>
      <c r="F297" s="3" t="s">
        <v>903</v>
      </c>
      <c r="G297" s="3">
        <v>1.0</v>
      </c>
      <c r="H297" s="3" t="b">
        <v>0</v>
      </c>
      <c r="L297" s="3" t="s">
        <v>2102</v>
      </c>
    </row>
    <row r="298" ht="15.75" customHeight="1">
      <c r="A298" s="3" t="s">
        <v>2401</v>
      </c>
      <c r="B298" s="12">
        <v>46118.0</v>
      </c>
      <c r="C298" s="3" t="s">
        <v>315</v>
      </c>
      <c r="D298" s="3" t="s">
        <v>923</v>
      </c>
      <c r="E298" s="3" t="s">
        <v>2074</v>
      </c>
      <c r="F298" s="3" t="s">
        <v>903</v>
      </c>
      <c r="G298" s="3">
        <v>1.0</v>
      </c>
      <c r="H298" s="3" t="b">
        <v>0</v>
      </c>
      <c r="L298" s="3" t="s">
        <v>2102</v>
      </c>
    </row>
    <row r="299" ht="15.75" customHeight="1">
      <c r="A299" s="3" t="s">
        <v>2402</v>
      </c>
      <c r="B299" s="12">
        <v>46118.0</v>
      </c>
      <c r="C299" s="3" t="s">
        <v>316</v>
      </c>
      <c r="D299" s="3" t="s">
        <v>923</v>
      </c>
      <c r="E299" s="3" t="s">
        <v>2074</v>
      </c>
      <c r="F299" s="3" t="s">
        <v>903</v>
      </c>
      <c r="G299" s="3">
        <v>1.0</v>
      </c>
      <c r="H299" s="3" t="b">
        <v>0</v>
      </c>
      <c r="L299" s="3" t="s">
        <v>2102</v>
      </c>
    </row>
    <row r="300" ht="15.75" customHeight="1">
      <c r="A300" s="3" t="s">
        <v>2403</v>
      </c>
      <c r="B300" s="12">
        <v>46118.0</v>
      </c>
      <c r="C300" s="3" t="s">
        <v>317</v>
      </c>
      <c r="D300" s="3" t="s">
        <v>923</v>
      </c>
      <c r="E300" s="3" t="s">
        <v>2074</v>
      </c>
      <c r="F300" s="3" t="s">
        <v>903</v>
      </c>
      <c r="G300" s="3">
        <v>1.0</v>
      </c>
      <c r="H300" s="3" t="b">
        <v>0</v>
      </c>
      <c r="L300" s="3" t="s">
        <v>2102</v>
      </c>
    </row>
    <row r="301" ht="15.75" customHeight="1">
      <c r="A301" s="3" t="s">
        <v>2404</v>
      </c>
      <c r="B301" s="12">
        <v>46118.0</v>
      </c>
      <c r="C301" s="3" t="s">
        <v>318</v>
      </c>
      <c r="D301" s="3" t="s">
        <v>923</v>
      </c>
      <c r="E301" s="3" t="s">
        <v>2074</v>
      </c>
      <c r="F301" s="3" t="s">
        <v>903</v>
      </c>
      <c r="G301" s="3">
        <v>1.0</v>
      </c>
      <c r="H301" s="3" t="b">
        <v>0</v>
      </c>
      <c r="L301" s="3" t="s">
        <v>2102</v>
      </c>
    </row>
    <row r="302" ht="15.75" customHeight="1">
      <c r="A302" s="3" t="s">
        <v>2405</v>
      </c>
      <c r="B302" s="12">
        <v>46118.0</v>
      </c>
      <c r="C302" s="3" t="s">
        <v>319</v>
      </c>
      <c r="D302" s="3" t="s">
        <v>923</v>
      </c>
      <c r="E302" s="3" t="s">
        <v>2074</v>
      </c>
      <c r="F302" s="3" t="s">
        <v>903</v>
      </c>
      <c r="G302" s="3">
        <v>1.0</v>
      </c>
      <c r="H302" s="3" t="b">
        <v>0</v>
      </c>
      <c r="L302" s="3" t="s">
        <v>2102</v>
      </c>
    </row>
    <row r="303" ht="15.75" customHeight="1">
      <c r="A303" s="3" t="s">
        <v>2406</v>
      </c>
      <c r="B303" s="12">
        <v>46118.0</v>
      </c>
      <c r="C303" s="3" t="s">
        <v>320</v>
      </c>
      <c r="D303" s="3" t="s">
        <v>923</v>
      </c>
      <c r="E303" s="3" t="s">
        <v>2074</v>
      </c>
      <c r="F303" s="3" t="s">
        <v>903</v>
      </c>
      <c r="G303" s="3">
        <v>1.0</v>
      </c>
      <c r="H303" s="3" t="b">
        <v>0</v>
      </c>
      <c r="L303" s="3" t="s">
        <v>2102</v>
      </c>
    </row>
    <row r="304" ht="15.75" customHeight="1">
      <c r="A304" s="3" t="s">
        <v>2407</v>
      </c>
      <c r="B304" s="12">
        <v>46118.0</v>
      </c>
      <c r="C304" s="3" t="s">
        <v>321</v>
      </c>
      <c r="D304" s="3" t="s">
        <v>923</v>
      </c>
      <c r="E304" s="3" t="s">
        <v>2074</v>
      </c>
      <c r="F304" s="3" t="s">
        <v>903</v>
      </c>
      <c r="G304" s="3">
        <v>1.0</v>
      </c>
      <c r="H304" s="3" t="b">
        <v>0</v>
      </c>
      <c r="L304" s="3" t="s">
        <v>2102</v>
      </c>
    </row>
    <row r="305" ht="15.75" customHeight="1">
      <c r="A305" s="3" t="s">
        <v>2408</v>
      </c>
      <c r="B305" s="12">
        <v>46118.0</v>
      </c>
      <c r="C305" s="3" t="s">
        <v>322</v>
      </c>
      <c r="D305" s="3" t="s">
        <v>923</v>
      </c>
      <c r="E305" s="3" t="s">
        <v>2074</v>
      </c>
      <c r="F305" s="3" t="s">
        <v>903</v>
      </c>
      <c r="G305" s="3">
        <v>1.0</v>
      </c>
      <c r="H305" s="3" t="b">
        <v>0</v>
      </c>
      <c r="L305" s="3" t="s">
        <v>2102</v>
      </c>
    </row>
    <row r="306" ht="15.75" customHeight="1">
      <c r="A306" s="3" t="s">
        <v>2409</v>
      </c>
      <c r="B306" s="12">
        <v>46118.0</v>
      </c>
      <c r="C306" s="3" t="s">
        <v>323</v>
      </c>
      <c r="D306" s="3" t="s">
        <v>923</v>
      </c>
      <c r="E306" s="3" t="s">
        <v>2074</v>
      </c>
      <c r="F306" s="3" t="s">
        <v>903</v>
      </c>
      <c r="G306" s="3">
        <v>1.0</v>
      </c>
      <c r="H306" s="3" t="b">
        <v>0</v>
      </c>
      <c r="L306" s="3" t="s">
        <v>2102</v>
      </c>
    </row>
    <row r="307" ht="15.75" customHeight="1">
      <c r="A307" s="3" t="s">
        <v>2410</v>
      </c>
      <c r="B307" s="12">
        <v>46118.0</v>
      </c>
      <c r="C307" s="3" t="s">
        <v>324</v>
      </c>
      <c r="D307" s="3" t="s">
        <v>923</v>
      </c>
      <c r="E307" s="3" t="s">
        <v>2074</v>
      </c>
      <c r="F307" s="3" t="s">
        <v>903</v>
      </c>
      <c r="G307" s="3">
        <v>1.0</v>
      </c>
      <c r="H307" s="3" t="b">
        <v>0</v>
      </c>
      <c r="L307" s="3" t="s">
        <v>2102</v>
      </c>
    </row>
    <row r="308" ht="15.75" customHeight="1">
      <c r="A308" s="3" t="s">
        <v>2411</v>
      </c>
      <c r="B308" s="12">
        <v>46118.0</v>
      </c>
      <c r="C308" s="3" t="s">
        <v>325</v>
      </c>
      <c r="D308" s="3" t="s">
        <v>923</v>
      </c>
      <c r="E308" s="3" t="s">
        <v>2074</v>
      </c>
      <c r="F308" s="3" t="s">
        <v>903</v>
      </c>
      <c r="G308" s="3">
        <v>1.0</v>
      </c>
      <c r="H308" s="3" t="b">
        <v>0</v>
      </c>
      <c r="L308" s="3" t="s">
        <v>2102</v>
      </c>
    </row>
    <row r="309" ht="15.75" customHeight="1">
      <c r="A309" s="3" t="s">
        <v>2412</v>
      </c>
      <c r="B309" s="12">
        <v>46118.0</v>
      </c>
      <c r="C309" s="3" t="s">
        <v>326</v>
      </c>
      <c r="D309" s="3" t="s">
        <v>923</v>
      </c>
      <c r="E309" s="3" t="s">
        <v>2074</v>
      </c>
      <c r="F309" s="3" t="s">
        <v>903</v>
      </c>
      <c r="G309" s="3">
        <v>1.0</v>
      </c>
      <c r="H309" s="3" t="b">
        <v>0</v>
      </c>
      <c r="L309" s="3" t="s">
        <v>2102</v>
      </c>
    </row>
    <row r="310" ht="15.75" customHeight="1">
      <c r="A310" s="3" t="s">
        <v>2413</v>
      </c>
      <c r="B310" s="12">
        <v>46118.0</v>
      </c>
      <c r="C310" s="3" t="s">
        <v>327</v>
      </c>
      <c r="D310" s="3" t="s">
        <v>923</v>
      </c>
      <c r="E310" s="3" t="s">
        <v>2074</v>
      </c>
      <c r="F310" s="3" t="s">
        <v>903</v>
      </c>
      <c r="G310" s="3">
        <v>1.0</v>
      </c>
      <c r="H310" s="3" t="b">
        <v>0</v>
      </c>
      <c r="L310" s="3" t="s">
        <v>2102</v>
      </c>
    </row>
    <row r="311" ht="15.75" customHeight="1">
      <c r="A311" s="3" t="s">
        <v>2414</v>
      </c>
      <c r="B311" s="12">
        <v>46118.0</v>
      </c>
      <c r="C311" s="3" t="s">
        <v>328</v>
      </c>
      <c r="D311" s="3" t="s">
        <v>923</v>
      </c>
      <c r="E311" s="3" t="s">
        <v>2074</v>
      </c>
      <c r="F311" s="3" t="s">
        <v>903</v>
      </c>
      <c r="G311" s="3">
        <v>1.0</v>
      </c>
      <c r="H311" s="3" t="b">
        <v>0</v>
      </c>
      <c r="L311" s="3" t="s">
        <v>2102</v>
      </c>
    </row>
    <row r="312" ht="15.75" customHeight="1">
      <c r="A312" s="3" t="s">
        <v>2415</v>
      </c>
      <c r="B312" s="12">
        <v>46118.0</v>
      </c>
      <c r="C312" s="3" t="s">
        <v>329</v>
      </c>
      <c r="D312" s="3" t="s">
        <v>923</v>
      </c>
      <c r="E312" s="3" t="s">
        <v>2074</v>
      </c>
      <c r="F312" s="3" t="s">
        <v>903</v>
      </c>
      <c r="G312" s="3">
        <v>1.0</v>
      </c>
      <c r="H312" s="3" t="b">
        <v>0</v>
      </c>
      <c r="L312" s="3" t="s">
        <v>2102</v>
      </c>
    </row>
    <row r="313" ht="15.75" customHeight="1">
      <c r="A313" s="3" t="s">
        <v>2416</v>
      </c>
      <c r="B313" s="12">
        <v>46118.0</v>
      </c>
      <c r="C313" s="3" t="s">
        <v>330</v>
      </c>
      <c r="D313" s="3" t="s">
        <v>923</v>
      </c>
      <c r="E313" s="3" t="s">
        <v>2074</v>
      </c>
      <c r="F313" s="3" t="s">
        <v>903</v>
      </c>
      <c r="G313" s="3">
        <v>1.0</v>
      </c>
      <c r="H313" s="3" t="b">
        <v>0</v>
      </c>
      <c r="L313" s="3" t="s">
        <v>2102</v>
      </c>
    </row>
    <row r="314" ht="15.75" customHeight="1">
      <c r="A314" s="3" t="s">
        <v>2417</v>
      </c>
      <c r="B314" s="12">
        <v>46118.0</v>
      </c>
      <c r="C314" s="3" t="s">
        <v>331</v>
      </c>
      <c r="D314" s="3" t="s">
        <v>923</v>
      </c>
      <c r="E314" s="3" t="s">
        <v>2074</v>
      </c>
      <c r="F314" s="3" t="s">
        <v>903</v>
      </c>
      <c r="G314" s="3">
        <v>1.0</v>
      </c>
      <c r="H314" s="3" t="b">
        <v>0</v>
      </c>
      <c r="L314" s="3" t="s">
        <v>2102</v>
      </c>
    </row>
    <row r="315" ht="15.75" customHeight="1">
      <c r="A315" s="3" t="s">
        <v>2418</v>
      </c>
      <c r="B315" s="12">
        <v>46118.0</v>
      </c>
      <c r="C315" s="3" t="s">
        <v>332</v>
      </c>
      <c r="D315" s="3" t="s">
        <v>923</v>
      </c>
      <c r="E315" s="3" t="s">
        <v>2074</v>
      </c>
      <c r="F315" s="3" t="s">
        <v>903</v>
      </c>
      <c r="G315" s="3">
        <v>1.0</v>
      </c>
      <c r="H315" s="3" t="b">
        <v>0</v>
      </c>
      <c r="L315" s="3" t="s">
        <v>2102</v>
      </c>
    </row>
    <row r="316" ht="15.75" customHeight="1">
      <c r="A316" s="3" t="s">
        <v>2419</v>
      </c>
      <c r="B316" s="12">
        <v>46118.0</v>
      </c>
      <c r="C316" s="3" t="s">
        <v>333</v>
      </c>
      <c r="D316" s="3" t="s">
        <v>923</v>
      </c>
      <c r="E316" s="3" t="s">
        <v>2074</v>
      </c>
      <c r="F316" s="3" t="s">
        <v>903</v>
      </c>
      <c r="G316" s="3">
        <v>1.0</v>
      </c>
      <c r="H316" s="3" t="b">
        <v>0</v>
      </c>
      <c r="L316" s="3" t="s">
        <v>2102</v>
      </c>
    </row>
    <row r="317" ht="15.75" customHeight="1">
      <c r="A317" s="3" t="s">
        <v>2420</v>
      </c>
      <c r="B317" s="12">
        <v>46118.0</v>
      </c>
      <c r="C317" s="3" t="s">
        <v>334</v>
      </c>
      <c r="D317" s="3" t="s">
        <v>923</v>
      </c>
      <c r="E317" s="3" t="s">
        <v>2074</v>
      </c>
      <c r="F317" s="3" t="s">
        <v>903</v>
      </c>
      <c r="G317" s="3">
        <v>1.0</v>
      </c>
      <c r="H317" s="3" t="b">
        <v>0</v>
      </c>
      <c r="L317" s="3" t="s">
        <v>2102</v>
      </c>
    </row>
    <row r="318" ht="15.75" customHeight="1">
      <c r="A318" s="3" t="s">
        <v>2421</v>
      </c>
      <c r="B318" s="12">
        <v>46118.0</v>
      </c>
      <c r="C318" s="3" t="s">
        <v>335</v>
      </c>
      <c r="D318" s="3" t="s">
        <v>923</v>
      </c>
      <c r="E318" s="3" t="s">
        <v>2074</v>
      </c>
      <c r="F318" s="3" t="s">
        <v>903</v>
      </c>
      <c r="G318" s="3">
        <v>1.0</v>
      </c>
      <c r="H318" s="3" t="b">
        <v>0</v>
      </c>
      <c r="L318" s="3" t="s">
        <v>2102</v>
      </c>
    </row>
    <row r="319" ht="15.75" customHeight="1">
      <c r="A319" s="3" t="s">
        <v>2422</v>
      </c>
      <c r="B319" s="12">
        <v>46118.0</v>
      </c>
      <c r="C319" s="3" t="s">
        <v>336</v>
      </c>
      <c r="D319" s="3" t="s">
        <v>923</v>
      </c>
      <c r="E319" s="3" t="s">
        <v>2074</v>
      </c>
      <c r="F319" s="3" t="s">
        <v>903</v>
      </c>
      <c r="G319" s="3">
        <v>1.0</v>
      </c>
      <c r="H319" s="3" t="b">
        <v>0</v>
      </c>
      <c r="L319" s="3" t="s">
        <v>2102</v>
      </c>
    </row>
    <row r="320" ht="15.75" customHeight="1">
      <c r="A320" s="3" t="s">
        <v>2423</v>
      </c>
      <c r="B320" s="12">
        <v>46118.0</v>
      </c>
      <c r="C320" s="3" t="s">
        <v>337</v>
      </c>
      <c r="D320" s="3" t="s">
        <v>923</v>
      </c>
      <c r="E320" s="3" t="s">
        <v>2074</v>
      </c>
      <c r="F320" s="3" t="s">
        <v>903</v>
      </c>
      <c r="G320" s="3">
        <v>1.0</v>
      </c>
      <c r="H320" s="3" t="b">
        <v>0</v>
      </c>
      <c r="L320" s="3" t="s">
        <v>2102</v>
      </c>
    </row>
    <row r="321" ht="15.75" customHeight="1">
      <c r="A321" s="3" t="s">
        <v>2424</v>
      </c>
      <c r="B321" s="12">
        <v>46118.0</v>
      </c>
      <c r="C321" s="3" t="s">
        <v>338</v>
      </c>
      <c r="D321" s="3" t="s">
        <v>923</v>
      </c>
      <c r="E321" s="3" t="s">
        <v>2074</v>
      </c>
      <c r="F321" s="3" t="s">
        <v>903</v>
      </c>
      <c r="G321" s="3">
        <v>1.0</v>
      </c>
      <c r="H321" s="3" t="b">
        <v>0</v>
      </c>
      <c r="L321" s="3" t="s">
        <v>2102</v>
      </c>
    </row>
    <row r="322" ht="15.75" customHeight="1">
      <c r="A322" s="3" t="s">
        <v>2425</v>
      </c>
      <c r="B322" s="12">
        <v>46118.0</v>
      </c>
      <c r="C322" s="3" t="s">
        <v>339</v>
      </c>
      <c r="D322" s="3" t="s">
        <v>923</v>
      </c>
      <c r="E322" s="3" t="s">
        <v>2074</v>
      </c>
      <c r="F322" s="3" t="s">
        <v>903</v>
      </c>
      <c r="G322" s="3">
        <v>1.0</v>
      </c>
      <c r="H322" s="3" t="b">
        <v>0</v>
      </c>
      <c r="L322" s="3" t="s">
        <v>2102</v>
      </c>
    </row>
    <row r="323" ht="15.75" customHeight="1">
      <c r="A323" s="3" t="s">
        <v>2426</v>
      </c>
      <c r="B323" s="12">
        <v>46118.0</v>
      </c>
      <c r="C323" s="3" t="s">
        <v>340</v>
      </c>
      <c r="D323" s="3" t="s">
        <v>923</v>
      </c>
      <c r="E323" s="3" t="s">
        <v>2074</v>
      </c>
      <c r="F323" s="3" t="s">
        <v>903</v>
      </c>
      <c r="G323" s="3">
        <v>1.0</v>
      </c>
      <c r="H323" s="3" t="b">
        <v>0</v>
      </c>
      <c r="L323" s="3" t="s">
        <v>2102</v>
      </c>
    </row>
    <row r="324" ht="15.75" customHeight="1">
      <c r="A324" s="3" t="s">
        <v>2427</v>
      </c>
      <c r="B324" s="12">
        <v>46118.0</v>
      </c>
      <c r="C324" s="3" t="s">
        <v>341</v>
      </c>
      <c r="D324" s="3" t="s">
        <v>923</v>
      </c>
      <c r="E324" s="3" t="s">
        <v>2074</v>
      </c>
      <c r="F324" s="3" t="s">
        <v>903</v>
      </c>
      <c r="G324" s="3">
        <v>1.0</v>
      </c>
      <c r="H324" s="3" t="b">
        <v>0</v>
      </c>
      <c r="L324" s="3" t="s">
        <v>2102</v>
      </c>
    </row>
    <row r="325" ht="15.75" customHeight="1">
      <c r="A325" s="3" t="s">
        <v>2428</v>
      </c>
      <c r="B325" s="12">
        <v>46118.0</v>
      </c>
      <c r="C325" s="3" t="s">
        <v>342</v>
      </c>
      <c r="D325" s="3" t="s">
        <v>923</v>
      </c>
      <c r="E325" s="3" t="s">
        <v>2074</v>
      </c>
      <c r="F325" s="3" t="s">
        <v>903</v>
      </c>
      <c r="G325" s="3">
        <v>1.0</v>
      </c>
      <c r="H325" s="3" t="b">
        <v>0</v>
      </c>
      <c r="L325" s="3" t="s">
        <v>2102</v>
      </c>
    </row>
    <row r="326" ht="15.75" customHeight="1">
      <c r="A326" s="3" t="s">
        <v>2429</v>
      </c>
      <c r="B326" s="12">
        <v>46118.0</v>
      </c>
      <c r="C326" s="3" t="s">
        <v>343</v>
      </c>
      <c r="D326" s="3" t="s">
        <v>923</v>
      </c>
      <c r="E326" s="3" t="s">
        <v>2074</v>
      </c>
      <c r="F326" s="3" t="s">
        <v>903</v>
      </c>
      <c r="G326" s="3">
        <v>1.0</v>
      </c>
      <c r="H326" s="3" t="b">
        <v>0</v>
      </c>
      <c r="L326" s="3" t="s">
        <v>2102</v>
      </c>
    </row>
    <row r="327" ht="15.75" customHeight="1">
      <c r="A327" s="3" t="s">
        <v>2430</v>
      </c>
      <c r="B327" s="12">
        <v>46118.0</v>
      </c>
      <c r="C327" s="3" t="s">
        <v>344</v>
      </c>
      <c r="D327" s="3" t="s">
        <v>923</v>
      </c>
      <c r="E327" s="3" t="s">
        <v>2074</v>
      </c>
      <c r="F327" s="3" t="s">
        <v>903</v>
      </c>
      <c r="G327" s="3">
        <v>1.0</v>
      </c>
      <c r="H327" s="3" t="b">
        <v>0</v>
      </c>
      <c r="L327" s="3" t="s">
        <v>2102</v>
      </c>
    </row>
    <row r="328" ht="15.75" customHeight="1">
      <c r="A328" s="3" t="s">
        <v>2431</v>
      </c>
      <c r="B328" s="12">
        <v>46118.0</v>
      </c>
      <c r="C328" s="3" t="s">
        <v>345</v>
      </c>
      <c r="D328" s="3" t="s">
        <v>923</v>
      </c>
      <c r="E328" s="3" t="s">
        <v>2074</v>
      </c>
      <c r="F328" s="3" t="s">
        <v>903</v>
      </c>
      <c r="G328" s="3">
        <v>1.0</v>
      </c>
      <c r="H328" s="3" t="b">
        <v>0</v>
      </c>
      <c r="L328" s="3" t="s">
        <v>2102</v>
      </c>
    </row>
    <row r="329" ht="15.75" customHeight="1">
      <c r="A329" s="3" t="s">
        <v>2432</v>
      </c>
      <c r="B329" s="12">
        <v>46118.0</v>
      </c>
      <c r="C329" s="3" t="s">
        <v>346</v>
      </c>
      <c r="D329" s="3" t="s">
        <v>923</v>
      </c>
      <c r="E329" s="3" t="s">
        <v>2074</v>
      </c>
      <c r="F329" s="3" t="s">
        <v>903</v>
      </c>
      <c r="G329" s="3">
        <v>1.0</v>
      </c>
      <c r="H329" s="3" t="b">
        <v>0</v>
      </c>
      <c r="L329" s="3" t="s">
        <v>2102</v>
      </c>
    </row>
    <row r="330" ht="15.75" customHeight="1">
      <c r="A330" s="3" t="s">
        <v>2433</v>
      </c>
      <c r="B330" s="12">
        <v>46118.0</v>
      </c>
      <c r="C330" s="3" t="s">
        <v>348</v>
      </c>
      <c r="D330" s="3" t="s">
        <v>923</v>
      </c>
      <c r="E330" s="3" t="s">
        <v>2074</v>
      </c>
      <c r="F330" s="3" t="s">
        <v>903</v>
      </c>
      <c r="G330" s="3">
        <v>1.0</v>
      </c>
      <c r="H330" s="3" t="b">
        <v>0</v>
      </c>
      <c r="L330" s="3" t="s">
        <v>2102</v>
      </c>
    </row>
    <row r="331" ht="15.75" customHeight="1">
      <c r="A331" s="3" t="s">
        <v>2434</v>
      </c>
      <c r="B331" s="12">
        <v>46118.0</v>
      </c>
      <c r="C331" s="3" t="s">
        <v>349</v>
      </c>
      <c r="D331" s="3" t="s">
        <v>923</v>
      </c>
      <c r="E331" s="3" t="s">
        <v>2074</v>
      </c>
      <c r="F331" s="3" t="s">
        <v>903</v>
      </c>
      <c r="G331" s="3">
        <v>1.0</v>
      </c>
      <c r="H331" s="3" t="b">
        <v>0</v>
      </c>
      <c r="L331" s="3" t="s">
        <v>2102</v>
      </c>
    </row>
    <row r="332" ht="15.75" customHeight="1">
      <c r="A332" s="3" t="s">
        <v>2435</v>
      </c>
      <c r="B332" s="12">
        <v>46118.0</v>
      </c>
      <c r="C332" s="3" t="s">
        <v>350</v>
      </c>
      <c r="D332" s="3" t="s">
        <v>923</v>
      </c>
      <c r="E332" s="3" t="s">
        <v>2074</v>
      </c>
      <c r="F332" s="3" t="s">
        <v>903</v>
      </c>
      <c r="G332" s="3">
        <v>1.0</v>
      </c>
      <c r="H332" s="3" t="b">
        <v>0</v>
      </c>
      <c r="L332" s="3" t="s">
        <v>2102</v>
      </c>
    </row>
    <row r="333" ht="15.75" customHeight="1">
      <c r="A333" s="3" t="s">
        <v>2436</v>
      </c>
      <c r="B333" s="12">
        <v>46118.0</v>
      </c>
      <c r="C333" s="3" t="s">
        <v>351</v>
      </c>
      <c r="D333" s="3" t="s">
        <v>923</v>
      </c>
      <c r="E333" s="3" t="s">
        <v>2074</v>
      </c>
      <c r="F333" s="3" t="s">
        <v>903</v>
      </c>
      <c r="G333" s="3">
        <v>1.0</v>
      </c>
      <c r="H333" s="3" t="b">
        <v>0</v>
      </c>
      <c r="L333" s="3" t="s">
        <v>2102</v>
      </c>
    </row>
    <row r="334" ht="15.75" customHeight="1">
      <c r="A334" s="3" t="s">
        <v>2437</v>
      </c>
      <c r="B334" s="12">
        <v>46118.0</v>
      </c>
      <c r="C334" s="3" t="s">
        <v>352</v>
      </c>
      <c r="D334" s="3" t="s">
        <v>923</v>
      </c>
      <c r="E334" s="3" t="s">
        <v>2074</v>
      </c>
      <c r="F334" s="3" t="s">
        <v>903</v>
      </c>
      <c r="G334" s="3">
        <v>1.0</v>
      </c>
      <c r="H334" s="3" t="b">
        <v>0</v>
      </c>
      <c r="L334" s="3" t="s">
        <v>2102</v>
      </c>
    </row>
    <row r="335" ht="15.75" customHeight="1">
      <c r="A335" s="3" t="s">
        <v>2438</v>
      </c>
      <c r="B335" s="12">
        <v>46118.0</v>
      </c>
      <c r="C335" s="3" t="s">
        <v>353</v>
      </c>
      <c r="D335" s="3" t="s">
        <v>923</v>
      </c>
      <c r="E335" s="3" t="s">
        <v>2074</v>
      </c>
      <c r="F335" s="3" t="s">
        <v>903</v>
      </c>
      <c r="G335" s="3">
        <v>1.0</v>
      </c>
      <c r="H335" s="3" t="b">
        <v>0</v>
      </c>
      <c r="L335" s="3" t="s">
        <v>2102</v>
      </c>
    </row>
    <row r="336" ht="15.75" customHeight="1">
      <c r="A336" s="3" t="s">
        <v>2439</v>
      </c>
      <c r="B336" s="12">
        <v>46118.0</v>
      </c>
      <c r="C336" s="3" t="s">
        <v>354</v>
      </c>
      <c r="D336" s="3" t="s">
        <v>923</v>
      </c>
      <c r="E336" s="3" t="s">
        <v>2074</v>
      </c>
      <c r="F336" s="3" t="s">
        <v>903</v>
      </c>
      <c r="G336" s="3">
        <v>1.0</v>
      </c>
      <c r="H336" s="3" t="b">
        <v>0</v>
      </c>
      <c r="L336" s="3" t="s">
        <v>2102</v>
      </c>
    </row>
    <row r="337" ht="15.75" customHeight="1">
      <c r="A337" s="3" t="s">
        <v>2440</v>
      </c>
      <c r="B337" s="12">
        <v>46118.0</v>
      </c>
      <c r="C337" s="3" t="s">
        <v>355</v>
      </c>
      <c r="D337" s="3" t="s">
        <v>923</v>
      </c>
      <c r="E337" s="3" t="s">
        <v>2074</v>
      </c>
      <c r="F337" s="3" t="s">
        <v>903</v>
      </c>
      <c r="G337" s="3">
        <v>1.0</v>
      </c>
      <c r="H337" s="3" t="b">
        <v>0</v>
      </c>
      <c r="L337" s="3" t="s">
        <v>2102</v>
      </c>
    </row>
    <row r="338" ht="15.75" customHeight="1">
      <c r="A338" s="3" t="s">
        <v>2441</v>
      </c>
      <c r="B338" s="12">
        <v>46118.0</v>
      </c>
      <c r="C338" s="3" t="s">
        <v>356</v>
      </c>
      <c r="D338" s="3" t="s">
        <v>923</v>
      </c>
      <c r="E338" s="3" t="s">
        <v>2074</v>
      </c>
      <c r="F338" s="3" t="s">
        <v>903</v>
      </c>
      <c r="G338" s="3">
        <v>1.0</v>
      </c>
      <c r="H338" s="3" t="b">
        <v>0</v>
      </c>
      <c r="L338" s="3" t="s">
        <v>2102</v>
      </c>
    </row>
    <row r="339" ht="15.75" customHeight="1">
      <c r="A339" s="3" t="s">
        <v>2442</v>
      </c>
      <c r="B339" s="12">
        <v>46118.0</v>
      </c>
      <c r="C339" s="3" t="s">
        <v>357</v>
      </c>
      <c r="D339" s="3" t="s">
        <v>923</v>
      </c>
      <c r="E339" s="3" t="s">
        <v>2074</v>
      </c>
      <c r="F339" s="3" t="s">
        <v>903</v>
      </c>
      <c r="G339" s="3">
        <v>1.0</v>
      </c>
      <c r="H339" s="3" t="b">
        <v>0</v>
      </c>
      <c r="L339" s="3" t="s">
        <v>2102</v>
      </c>
    </row>
    <row r="340" ht="15.75" customHeight="1">
      <c r="A340" s="3" t="s">
        <v>2443</v>
      </c>
      <c r="B340" s="12">
        <v>46118.0</v>
      </c>
      <c r="C340" s="3" t="s">
        <v>358</v>
      </c>
      <c r="D340" s="3" t="s">
        <v>923</v>
      </c>
      <c r="E340" s="3" t="s">
        <v>2074</v>
      </c>
      <c r="F340" s="3" t="s">
        <v>903</v>
      </c>
      <c r="G340" s="3">
        <v>1.0</v>
      </c>
      <c r="H340" s="3" t="b">
        <v>0</v>
      </c>
      <c r="L340" s="3" t="s">
        <v>2102</v>
      </c>
    </row>
    <row r="341" ht="15.75" customHeight="1">
      <c r="A341" s="3" t="s">
        <v>2444</v>
      </c>
      <c r="B341" s="12">
        <v>46118.0</v>
      </c>
      <c r="C341" s="3" t="s">
        <v>359</v>
      </c>
      <c r="D341" s="3" t="s">
        <v>923</v>
      </c>
      <c r="E341" s="3" t="s">
        <v>2074</v>
      </c>
      <c r="F341" s="3" t="s">
        <v>903</v>
      </c>
      <c r="G341" s="3">
        <v>1.0</v>
      </c>
      <c r="H341" s="3" t="b">
        <v>0</v>
      </c>
      <c r="L341" s="3" t="s">
        <v>2102</v>
      </c>
    </row>
    <row r="342" ht="15.75" customHeight="1">
      <c r="A342" s="3" t="s">
        <v>2445</v>
      </c>
      <c r="B342" s="12">
        <v>46118.0</v>
      </c>
      <c r="C342" s="3" t="s">
        <v>360</v>
      </c>
      <c r="D342" s="3" t="s">
        <v>923</v>
      </c>
      <c r="E342" s="3" t="s">
        <v>2074</v>
      </c>
      <c r="F342" s="3" t="s">
        <v>903</v>
      </c>
      <c r="G342" s="3">
        <v>1.0</v>
      </c>
      <c r="H342" s="3" t="b">
        <v>0</v>
      </c>
      <c r="L342" s="3" t="s">
        <v>2102</v>
      </c>
    </row>
    <row r="343" ht="15.75" customHeight="1">
      <c r="A343" s="3" t="s">
        <v>2446</v>
      </c>
      <c r="B343" s="12">
        <v>46118.0</v>
      </c>
      <c r="C343" s="3" t="s">
        <v>361</v>
      </c>
      <c r="D343" s="3" t="s">
        <v>923</v>
      </c>
      <c r="E343" s="3" t="s">
        <v>2074</v>
      </c>
      <c r="F343" s="3" t="s">
        <v>903</v>
      </c>
      <c r="G343" s="3">
        <v>1.0</v>
      </c>
      <c r="H343" s="3" t="b">
        <v>0</v>
      </c>
      <c r="L343" s="3" t="s">
        <v>2102</v>
      </c>
    </row>
    <row r="344" ht="15.75" customHeight="1">
      <c r="A344" s="3" t="s">
        <v>2447</v>
      </c>
      <c r="B344" s="12">
        <v>46118.0</v>
      </c>
      <c r="C344" s="3" t="s">
        <v>362</v>
      </c>
      <c r="D344" s="3" t="s">
        <v>923</v>
      </c>
      <c r="E344" s="3" t="s">
        <v>2074</v>
      </c>
      <c r="F344" s="3" t="s">
        <v>903</v>
      </c>
      <c r="G344" s="3">
        <v>1.0</v>
      </c>
      <c r="H344" s="3" t="b">
        <v>0</v>
      </c>
      <c r="L344" s="3" t="s">
        <v>2102</v>
      </c>
    </row>
    <row r="345" ht="15.75" customHeight="1">
      <c r="A345" s="3" t="s">
        <v>2448</v>
      </c>
      <c r="B345" s="12">
        <v>46118.0</v>
      </c>
      <c r="C345" s="3" t="s">
        <v>363</v>
      </c>
      <c r="D345" s="3" t="s">
        <v>923</v>
      </c>
      <c r="E345" s="3" t="s">
        <v>2074</v>
      </c>
      <c r="F345" s="3" t="s">
        <v>903</v>
      </c>
      <c r="G345" s="3">
        <v>1.0</v>
      </c>
      <c r="H345" s="3" t="b">
        <v>0</v>
      </c>
      <c r="L345" s="3" t="s">
        <v>2102</v>
      </c>
    </row>
    <row r="346" ht="15.75" customHeight="1">
      <c r="A346" s="3" t="s">
        <v>2449</v>
      </c>
      <c r="B346" s="12">
        <v>46118.0</v>
      </c>
      <c r="C346" s="3" t="s">
        <v>365</v>
      </c>
      <c r="D346" s="3" t="s">
        <v>923</v>
      </c>
      <c r="E346" s="3" t="s">
        <v>2074</v>
      </c>
      <c r="F346" s="3" t="s">
        <v>903</v>
      </c>
      <c r="G346" s="3">
        <v>1.0</v>
      </c>
      <c r="H346" s="3" t="b">
        <v>0</v>
      </c>
      <c r="L346" s="3" t="s">
        <v>2102</v>
      </c>
    </row>
    <row r="347" ht="15.75" customHeight="1">
      <c r="A347" s="3" t="s">
        <v>2450</v>
      </c>
      <c r="B347" s="12">
        <v>46118.0</v>
      </c>
      <c r="C347" s="3" t="s">
        <v>366</v>
      </c>
      <c r="D347" s="3" t="s">
        <v>923</v>
      </c>
      <c r="E347" s="3" t="s">
        <v>2074</v>
      </c>
      <c r="F347" s="3" t="s">
        <v>903</v>
      </c>
      <c r="G347" s="3">
        <v>1.0</v>
      </c>
      <c r="H347" s="3" t="b">
        <v>0</v>
      </c>
      <c r="L347" s="3" t="s">
        <v>2102</v>
      </c>
    </row>
    <row r="348" ht="15.75" customHeight="1">
      <c r="A348" s="3" t="s">
        <v>2451</v>
      </c>
      <c r="B348" s="12">
        <v>46118.0</v>
      </c>
      <c r="C348" s="3" t="s">
        <v>367</v>
      </c>
      <c r="D348" s="3" t="s">
        <v>923</v>
      </c>
      <c r="E348" s="3" t="s">
        <v>2074</v>
      </c>
      <c r="F348" s="3" t="s">
        <v>903</v>
      </c>
      <c r="G348" s="3">
        <v>1.0</v>
      </c>
      <c r="H348" s="3" t="b">
        <v>0</v>
      </c>
      <c r="L348" s="3" t="s">
        <v>2102</v>
      </c>
    </row>
    <row r="349" ht="15.75" customHeight="1">
      <c r="A349" s="3" t="s">
        <v>2452</v>
      </c>
      <c r="B349" s="12">
        <v>46118.0</v>
      </c>
      <c r="C349" s="3" t="s">
        <v>368</v>
      </c>
      <c r="D349" s="3" t="s">
        <v>923</v>
      </c>
      <c r="E349" s="3" t="s">
        <v>2074</v>
      </c>
      <c r="F349" s="3" t="s">
        <v>903</v>
      </c>
      <c r="G349" s="3">
        <v>1.0</v>
      </c>
      <c r="H349" s="3" t="b">
        <v>0</v>
      </c>
      <c r="L349" s="3" t="s">
        <v>2102</v>
      </c>
    </row>
    <row r="350" ht="15.75" customHeight="1">
      <c r="A350" s="3" t="s">
        <v>2453</v>
      </c>
      <c r="B350" s="12">
        <v>46118.0</v>
      </c>
      <c r="C350" s="3" t="s">
        <v>369</v>
      </c>
      <c r="D350" s="3" t="s">
        <v>923</v>
      </c>
      <c r="E350" s="3" t="s">
        <v>2074</v>
      </c>
      <c r="F350" s="3" t="s">
        <v>903</v>
      </c>
      <c r="G350" s="3">
        <v>1.0</v>
      </c>
      <c r="H350" s="3" t="b">
        <v>0</v>
      </c>
      <c r="L350" s="3" t="s">
        <v>2102</v>
      </c>
    </row>
    <row r="351" ht="15.75" customHeight="1">
      <c r="A351" s="3" t="s">
        <v>2454</v>
      </c>
      <c r="B351" s="12">
        <v>46118.0</v>
      </c>
      <c r="C351" s="3" t="s">
        <v>370</v>
      </c>
      <c r="D351" s="3" t="s">
        <v>923</v>
      </c>
      <c r="E351" s="3" t="s">
        <v>2074</v>
      </c>
      <c r="F351" s="3" t="s">
        <v>903</v>
      </c>
      <c r="G351" s="3">
        <v>1.0</v>
      </c>
      <c r="H351" s="3" t="b">
        <v>0</v>
      </c>
      <c r="L351" s="3" t="s">
        <v>2102</v>
      </c>
    </row>
    <row r="352" ht="15.75" customHeight="1">
      <c r="A352" s="3" t="s">
        <v>2455</v>
      </c>
      <c r="B352" s="12">
        <v>46118.0</v>
      </c>
      <c r="C352" s="3" t="s">
        <v>371</v>
      </c>
      <c r="D352" s="3" t="s">
        <v>923</v>
      </c>
      <c r="E352" s="3" t="s">
        <v>2074</v>
      </c>
      <c r="F352" s="3" t="s">
        <v>903</v>
      </c>
      <c r="G352" s="3">
        <v>1.0</v>
      </c>
      <c r="H352" s="3" t="b">
        <v>0</v>
      </c>
      <c r="L352" s="3" t="s">
        <v>2102</v>
      </c>
    </row>
    <row r="353" ht="15.75" customHeight="1">
      <c r="A353" s="3" t="s">
        <v>2456</v>
      </c>
      <c r="B353" s="12">
        <v>46118.0</v>
      </c>
      <c r="C353" s="3" t="s">
        <v>372</v>
      </c>
      <c r="D353" s="3" t="s">
        <v>923</v>
      </c>
      <c r="E353" s="3" t="s">
        <v>2074</v>
      </c>
      <c r="F353" s="3" t="s">
        <v>903</v>
      </c>
      <c r="G353" s="3">
        <v>1.0</v>
      </c>
      <c r="H353" s="3" t="b">
        <v>0</v>
      </c>
      <c r="L353" s="3" t="s">
        <v>2102</v>
      </c>
    </row>
    <row r="354" ht="15.75" customHeight="1">
      <c r="A354" s="3" t="s">
        <v>2457</v>
      </c>
      <c r="B354" s="12">
        <v>46118.0</v>
      </c>
      <c r="C354" s="3" t="s">
        <v>373</v>
      </c>
      <c r="D354" s="3" t="s">
        <v>923</v>
      </c>
      <c r="E354" s="3" t="s">
        <v>2074</v>
      </c>
      <c r="F354" s="3" t="s">
        <v>903</v>
      </c>
      <c r="G354" s="3">
        <v>1.0</v>
      </c>
      <c r="H354" s="3" t="b">
        <v>0</v>
      </c>
      <c r="L354" s="3" t="s">
        <v>2102</v>
      </c>
    </row>
    <row r="355" ht="15.75" customHeight="1">
      <c r="A355" s="3" t="s">
        <v>2458</v>
      </c>
      <c r="B355" s="12">
        <v>46118.0</v>
      </c>
      <c r="C355" s="3" t="s">
        <v>374</v>
      </c>
      <c r="D355" s="3" t="s">
        <v>923</v>
      </c>
      <c r="E355" s="3" t="s">
        <v>2074</v>
      </c>
      <c r="F355" s="3" t="s">
        <v>903</v>
      </c>
      <c r="G355" s="3">
        <v>1.0</v>
      </c>
      <c r="H355" s="3" t="b">
        <v>0</v>
      </c>
      <c r="L355" s="3" t="s">
        <v>2102</v>
      </c>
    </row>
    <row r="356" ht="15.75" customHeight="1">
      <c r="A356" s="3" t="s">
        <v>2459</v>
      </c>
      <c r="B356" s="12">
        <v>46118.0</v>
      </c>
      <c r="C356" s="3" t="s">
        <v>375</v>
      </c>
      <c r="D356" s="3" t="s">
        <v>923</v>
      </c>
      <c r="E356" s="3" t="s">
        <v>2074</v>
      </c>
      <c r="F356" s="3" t="s">
        <v>903</v>
      </c>
      <c r="G356" s="3">
        <v>1.0</v>
      </c>
      <c r="H356" s="3" t="b">
        <v>0</v>
      </c>
      <c r="L356" s="3" t="s">
        <v>2102</v>
      </c>
    </row>
    <row r="357" ht="15.75" customHeight="1">
      <c r="A357" s="3" t="s">
        <v>2460</v>
      </c>
      <c r="B357" s="12">
        <v>46118.0</v>
      </c>
      <c r="C357" s="3" t="s">
        <v>376</v>
      </c>
      <c r="D357" s="3" t="s">
        <v>923</v>
      </c>
      <c r="E357" s="3" t="s">
        <v>2074</v>
      </c>
      <c r="F357" s="3" t="s">
        <v>903</v>
      </c>
      <c r="G357" s="3">
        <v>1.0</v>
      </c>
      <c r="H357" s="3" t="b">
        <v>0</v>
      </c>
      <c r="L357" s="3" t="s">
        <v>2102</v>
      </c>
    </row>
    <row r="358" ht="15.75" customHeight="1">
      <c r="A358" s="3" t="s">
        <v>2461</v>
      </c>
      <c r="B358" s="12">
        <v>46118.0</v>
      </c>
      <c r="C358" s="3" t="s">
        <v>377</v>
      </c>
      <c r="D358" s="3" t="s">
        <v>923</v>
      </c>
      <c r="E358" s="3" t="s">
        <v>2074</v>
      </c>
      <c r="F358" s="3" t="s">
        <v>903</v>
      </c>
      <c r="G358" s="3">
        <v>1.0</v>
      </c>
      <c r="H358" s="3" t="b">
        <v>0</v>
      </c>
      <c r="L358" s="3" t="s">
        <v>2102</v>
      </c>
    </row>
    <row r="359" ht="15.75" customHeight="1">
      <c r="A359" s="3" t="s">
        <v>2462</v>
      </c>
      <c r="B359" s="12">
        <v>46118.0</v>
      </c>
      <c r="C359" s="3" t="s">
        <v>378</v>
      </c>
      <c r="D359" s="3" t="s">
        <v>923</v>
      </c>
      <c r="E359" s="3" t="s">
        <v>2074</v>
      </c>
      <c r="F359" s="3" t="s">
        <v>903</v>
      </c>
      <c r="G359" s="3">
        <v>1.0</v>
      </c>
      <c r="H359" s="3" t="b">
        <v>0</v>
      </c>
      <c r="L359" s="3" t="s">
        <v>2102</v>
      </c>
    </row>
    <row r="360" ht="15.75" customHeight="1">
      <c r="A360" s="3" t="s">
        <v>2463</v>
      </c>
      <c r="B360" s="12">
        <v>46118.0</v>
      </c>
      <c r="C360" s="3" t="s">
        <v>380</v>
      </c>
      <c r="D360" s="3" t="s">
        <v>923</v>
      </c>
      <c r="E360" s="3" t="s">
        <v>2074</v>
      </c>
      <c r="F360" s="3" t="s">
        <v>903</v>
      </c>
      <c r="G360" s="3">
        <v>1.0</v>
      </c>
      <c r="H360" s="3" t="b">
        <v>0</v>
      </c>
      <c r="L360" s="3" t="s">
        <v>2102</v>
      </c>
    </row>
    <row r="361" ht="15.75" customHeight="1">
      <c r="A361" s="3" t="s">
        <v>2464</v>
      </c>
      <c r="B361" s="12">
        <v>46118.0</v>
      </c>
      <c r="C361" s="3" t="s">
        <v>382</v>
      </c>
      <c r="D361" s="3" t="s">
        <v>923</v>
      </c>
      <c r="E361" s="3" t="s">
        <v>2074</v>
      </c>
      <c r="F361" s="3" t="s">
        <v>903</v>
      </c>
      <c r="G361" s="3">
        <v>1.0</v>
      </c>
      <c r="H361" s="3" t="b">
        <v>0</v>
      </c>
      <c r="L361" s="3" t="s">
        <v>2102</v>
      </c>
    </row>
    <row r="362" ht="15.75" customHeight="1">
      <c r="A362" s="3" t="s">
        <v>2465</v>
      </c>
      <c r="B362" s="12">
        <v>46118.0</v>
      </c>
      <c r="C362" s="3" t="s">
        <v>383</v>
      </c>
      <c r="D362" s="3" t="s">
        <v>923</v>
      </c>
      <c r="E362" s="3" t="s">
        <v>2074</v>
      </c>
      <c r="F362" s="3" t="s">
        <v>903</v>
      </c>
      <c r="G362" s="3">
        <v>1.0</v>
      </c>
      <c r="H362" s="3" t="b">
        <v>0</v>
      </c>
      <c r="L362" s="3" t="s">
        <v>2102</v>
      </c>
    </row>
    <row r="363" ht="15.75" customHeight="1">
      <c r="A363" s="3" t="s">
        <v>2466</v>
      </c>
      <c r="B363" s="12">
        <v>46118.0</v>
      </c>
      <c r="C363" s="3" t="s">
        <v>384</v>
      </c>
      <c r="D363" s="3" t="s">
        <v>923</v>
      </c>
      <c r="E363" s="3" t="s">
        <v>2074</v>
      </c>
      <c r="F363" s="3" t="s">
        <v>903</v>
      </c>
      <c r="G363" s="3">
        <v>1.0</v>
      </c>
      <c r="H363" s="3" t="b">
        <v>0</v>
      </c>
      <c r="L363" s="3" t="s">
        <v>2102</v>
      </c>
    </row>
    <row r="364" ht="15.75" customHeight="1">
      <c r="A364" s="3" t="s">
        <v>2467</v>
      </c>
      <c r="B364" s="12">
        <v>46118.0</v>
      </c>
      <c r="C364" s="3" t="s">
        <v>385</v>
      </c>
      <c r="D364" s="3" t="s">
        <v>923</v>
      </c>
      <c r="E364" s="3" t="s">
        <v>2074</v>
      </c>
      <c r="F364" s="3" t="s">
        <v>903</v>
      </c>
      <c r="G364" s="3">
        <v>1.0</v>
      </c>
      <c r="H364" s="3" t="b">
        <v>0</v>
      </c>
      <c r="L364" s="3" t="s">
        <v>2102</v>
      </c>
    </row>
    <row r="365" ht="15.75" customHeight="1">
      <c r="A365" s="3" t="s">
        <v>2468</v>
      </c>
      <c r="B365" s="12">
        <v>46118.0</v>
      </c>
      <c r="C365" s="3" t="s">
        <v>386</v>
      </c>
      <c r="D365" s="3" t="s">
        <v>923</v>
      </c>
      <c r="E365" s="3" t="s">
        <v>2074</v>
      </c>
      <c r="F365" s="3" t="s">
        <v>903</v>
      </c>
      <c r="G365" s="3">
        <v>1.0</v>
      </c>
      <c r="H365" s="3" t="b">
        <v>0</v>
      </c>
      <c r="L365" s="3" t="s">
        <v>2102</v>
      </c>
    </row>
    <row r="366" ht="15.75" customHeight="1">
      <c r="A366" s="3" t="s">
        <v>2469</v>
      </c>
      <c r="B366" s="12">
        <v>46118.0</v>
      </c>
      <c r="C366" s="3" t="s">
        <v>387</v>
      </c>
      <c r="D366" s="3" t="s">
        <v>923</v>
      </c>
      <c r="E366" s="3" t="s">
        <v>2074</v>
      </c>
      <c r="F366" s="3" t="s">
        <v>903</v>
      </c>
      <c r="G366" s="3">
        <v>1.0</v>
      </c>
      <c r="H366" s="3" t="b">
        <v>0</v>
      </c>
      <c r="L366" s="3" t="s">
        <v>2102</v>
      </c>
    </row>
    <row r="367" ht="15.75" customHeight="1">
      <c r="A367" s="3" t="s">
        <v>2470</v>
      </c>
      <c r="B367" s="12">
        <v>46118.0</v>
      </c>
      <c r="C367" s="3" t="s">
        <v>388</v>
      </c>
      <c r="D367" s="3" t="s">
        <v>923</v>
      </c>
      <c r="E367" s="3" t="s">
        <v>2074</v>
      </c>
      <c r="F367" s="3" t="s">
        <v>903</v>
      </c>
      <c r="G367" s="3">
        <v>1.0</v>
      </c>
      <c r="H367" s="3" t="b">
        <v>0</v>
      </c>
      <c r="L367" s="3" t="s">
        <v>2102</v>
      </c>
    </row>
    <row r="368" ht="15.75" customHeight="1">
      <c r="A368" s="3" t="s">
        <v>2471</v>
      </c>
      <c r="B368" s="12">
        <v>46118.0</v>
      </c>
      <c r="C368" s="3" t="s">
        <v>389</v>
      </c>
      <c r="D368" s="3" t="s">
        <v>923</v>
      </c>
      <c r="E368" s="3" t="s">
        <v>2074</v>
      </c>
      <c r="F368" s="3" t="s">
        <v>903</v>
      </c>
      <c r="G368" s="3">
        <v>1.0</v>
      </c>
      <c r="H368" s="3" t="b">
        <v>0</v>
      </c>
      <c r="L368" s="3" t="s">
        <v>2102</v>
      </c>
    </row>
    <row r="369" ht="15.75" customHeight="1">
      <c r="A369" s="3" t="s">
        <v>2472</v>
      </c>
      <c r="B369" s="12">
        <v>46118.0</v>
      </c>
      <c r="C369" s="3" t="s">
        <v>390</v>
      </c>
      <c r="D369" s="3" t="s">
        <v>923</v>
      </c>
      <c r="E369" s="3" t="s">
        <v>2074</v>
      </c>
      <c r="F369" s="3" t="s">
        <v>903</v>
      </c>
      <c r="G369" s="3">
        <v>1.0</v>
      </c>
      <c r="H369" s="3" t="b">
        <v>0</v>
      </c>
      <c r="L369" s="3" t="s">
        <v>2102</v>
      </c>
    </row>
    <row r="370" ht="15.75" customHeight="1">
      <c r="A370" s="3" t="s">
        <v>2473</v>
      </c>
      <c r="B370" s="12">
        <v>46118.0</v>
      </c>
      <c r="C370" s="3" t="s">
        <v>391</v>
      </c>
      <c r="D370" s="3" t="s">
        <v>923</v>
      </c>
      <c r="E370" s="3" t="s">
        <v>2074</v>
      </c>
      <c r="F370" s="3" t="s">
        <v>903</v>
      </c>
      <c r="G370" s="3">
        <v>1.0</v>
      </c>
      <c r="H370" s="3" t="b">
        <v>0</v>
      </c>
      <c r="L370" s="3" t="s">
        <v>2102</v>
      </c>
    </row>
    <row r="371" ht="15.75" customHeight="1">
      <c r="A371" s="3" t="s">
        <v>2474</v>
      </c>
      <c r="B371" s="12">
        <v>46118.0</v>
      </c>
      <c r="C371" s="3" t="s">
        <v>1314</v>
      </c>
      <c r="D371" s="3" t="s">
        <v>923</v>
      </c>
      <c r="E371" s="3" t="s">
        <v>2074</v>
      </c>
      <c r="F371" s="3" t="s">
        <v>903</v>
      </c>
      <c r="G371" s="3">
        <v>1.0</v>
      </c>
      <c r="H371" s="3" t="b">
        <v>0</v>
      </c>
      <c r="L371" s="3" t="s">
        <v>2102</v>
      </c>
    </row>
    <row r="372" ht="15.75" customHeight="1">
      <c r="A372" s="3" t="s">
        <v>2475</v>
      </c>
      <c r="B372" s="12">
        <v>46118.0</v>
      </c>
      <c r="C372" s="3" t="s">
        <v>392</v>
      </c>
      <c r="D372" s="3" t="s">
        <v>923</v>
      </c>
      <c r="E372" s="3" t="s">
        <v>2074</v>
      </c>
      <c r="F372" s="3" t="s">
        <v>903</v>
      </c>
      <c r="G372" s="3">
        <v>1.0</v>
      </c>
      <c r="H372" s="3" t="b">
        <v>0</v>
      </c>
      <c r="L372" s="3" t="s">
        <v>2102</v>
      </c>
    </row>
    <row r="373" ht="15.75" customHeight="1">
      <c r="A373" s="13" t="s">
        <v>2476</v>
      </c>
      <c r="B373" s="12">
        <v>46118.0</v>
      </c>
      <c r="C373" s="3" t="s">
        <v>393</v>
      </c>
      <c r="D373" s="3" t="s">
        <v>923</v>
      </c>
      <c r="E373" s="3" t="s">
        <v>2074</v>
      </c>
      <c r="F373" s="3" t="s">
        <v>903</v>
      </c>
      <c r="G373" s="3">
        <v>1.0</v>
      </c>
      <c r="H373" s="3" t="b">
        <v>0</v>
      </c>
      <c r="L373" s="3" t="s">
        <v>2102</v>
      </c>
    </row>
    <row r="374" ht="15.75" customHeight="1">
      <c r="A374" s="3" t="s">
        <v>2477</v>
      </c>
      <c r="B374" s="12">
        <v>46118.0</v>
      </c>
      <c r="C374" s="3" t="s">
        <v>394</v>
      </c>
      <c r="D374" s="3" t="s">
        <v>923</v>
      </c>
      <c r="E374" s="3" t="s">
        <v>2074</v>
      </c>
      <c r="F374" s="3" t="s">
        <v>903</v>
      </c>
      <c r="G374" s="3">
        <v>1.0</v>
      </c>
      <c r="H374" s="3" t="b">
        <v>0</v>
      </c>
      <c r="L374" s="3" t="s">
        <v>2102</v>
      </c>
    </row>
    <row r="375" ht="15.75" customHeight="1">
      <c r="A375" s="3" t="s">
        <v>2478</v>
      </c>
      <c r="B375" s="12">
        <v>46118.0</v>
      </c>
      <c r="C375" s="3" t="s">
        <v>395</v>
      </c>
      <c r="D375" s="3" t="s">
        <v>923</v>
      </c>
      <c r="E375" s="3" t="s">
        <v>2074</v>
      </c>
      <c r="F375" s="3" t="s">
        <v>903</v>
      </c>
      <c r="G375" s="3">
        <v>1.0</v>
      </c>
      <c r="H375" s="3" t="b">
        <v>0</v>
      </c>
      <c r="L375" s="3" t="s">
        <v>2102</v>
      </c>
    </row>
    <row r="376" ht="15.75" customHeight="1">
      <c r="A376" s="3" t="s">
        <v>2479</v>
      </c>
      <c r="B376" s="12">
        <v>46118.0</v>
      </c>
      <c r="C376" s="3" t="s">
        <v>2480</v>
      </c>
      <c r="D376" s="3" t="s">
        <v>923</v>
      </c>
      <c r="E376" s="3" t="s">
        <v>2074</v>
      </c>
      <c r="F376" s="3" t="s">
        <v>903</v>
      </c>
      <c r="G376" s="3">
        <v>1.0</v>
      </c>
      <c r="H376" s="3" t="b">
        <v>0</v>
      </c>
      <c r="L376" s="3" t="s">
        <v>2102</v>
      </c>
    </row>
    <row r="377" ht="15.75" customHeight="1">
      <c r="A377" s="3" t="s">
        <v>2481</v>
      </c>
      <c r="B377" s="12">
        <v>46118.0</v>
      </c>
      <c r="C377" s="3" t="s">
        <v>2482</v>
      </c>
      <c r="D377" s="3" t="s">
        <v>923</v>
      </c>
      <c r="E377" s="3" t="s">
        <v>2074</v>
      </c>
      <c r="F377" s="3" t="s">
        <v>903</v>
      </c>
      <c r="G377" s="3">
        <v>1.0</v>
      </c>
      <c r="H377" s="3" t="b">
        <v>0</v>
      </c>
      <c r="L377" s="3" t="s">
        <v>2102</v>
      </c>
    </row>
    <row r="378" ht="15.75" customHeight="1">
      <c r="A378" s="3" t="s">
        <v>2483</v>
      </c>
      <c r="B378" s="12">
        <v>46118.0</v>
      </c>
      <c r="C378" s="3" t="s">
        <v>396</v>
      </c>
      <c r="D378" s="3" t="s">
        <v>923</v>
      </c>
      <c r="E378" s="3" t="s">
        <v>2074</v>
      </c>
      <c r="F378" s="3" t="s">
        <v>903</v>
      </c>
      <c r="G378" s="3">
        <v>1.0</v>
      </c>
      <c r="H378" s="3" t="b">
        <v>0</v>
      </c>
      <c r="L378" s="3" t="s">
        <v>2102</v>
      </c>
    </row>
    <row r="379" ht="15.75" customHeight="1">
      <c r="A379" s="3" t="s">
        <v>2484</v>
      </c>
      <c r="B379" s="12">
        <v>46118.0</v>
      </c>
      <c r="C379" s="3" t="s">
        <v>397</v>
      </c>
      <c r="D379" s="3" t="s">
        <v>923</v>
      </c>
      <c r="E379" s="3" t="s">
        <v>2074</v>
      </c>
      <c r="F379" s="3" t="s">
        <v>903</v>
      </c>
      <c r="G379" s="3">
        <v>1.0</v>
      </c>
      <c r="H379" s="3" t="b">
        <v>0</v>
      </c>
      <c r="L379" s="3" t="s">
        <v>2102</v>
      </c>
    </row>
    <row r="380" ht="15.75" customHeight="1">
      <c r="A380" s="3" t="s">
        <v>2485</v>
      </c>
      <c r="B380" s="12">
        <v>46118.0</v>
      </c>
      <c r="C380" s="3" t="s">
        <v>398</v>
      </c>
      <c r="D380" s="3" t="s">
        <v>923</v>
      </c>
      <c r="E380" s="3" t="s">
        <v>2074</v>
      </c>
      <c r="F380" s="3" t="s">
        <v>903</v>
      </c>
      <c r="G380" s="3">
        <v>1.0</v>
      </c>
      <c r="H380" s="3" t="b">
        <v>0</v>
      </c>
      <c r="L380" s="3" t="s">
        <v>2102</v>
      </c>
    </row>
    <row r="381" ht="15.75" customHeight="1">
      <c r="A381" s="3" t="s">
        <v>2486</v>
      </c>
      <c r="B381" s="12">
        <v>46118.0</v>
      </c>
      <c r="C381" s="3" t="s">
        <v>399</v>
      </c>
      <c r="D381" s="3" t="s">
        <v>923</v>
      </c>
      <c r="E381" s="3" t="s">
        <v>2074</v>
      </c>
      <c r="F381" s="3" t="s">
        <v>903</v>
      </c>
      <c r="G381" s="3">
        <v>1.0</v>
      </c>
      <c r="H381" s="3" t="b">
        <v>0</v>
      </c>
      <c r="L381" s="3" t="s">
        <v>2102</v>
      </c>
    </row>
    <row r="382" ht="15.75" customHeight="1">
      <c r="A382" s="3" t="s">
        <v>2487</v>
      </c>
      <c r="B382" s="12">
        <v>46118.0</v>
      </c>
      <c r="C382" s="3" t="s">
        <v>400</v>
      </c>
      <c r="D382" s="3" t="s">
        <v>923</v>
      </c>
      <c r="E382" s="3" t="s">
        <v>2074</v>
      </c>
      <c r="F382" s="3" t="s">
        <v>903</v>
      </c>
      <c r="G382" s="3">
        <v>1.0</v>
      </c>
      <c r="H382" s="3" t="b">
        <v>0</v>
      </c>
      <c r="L382" s="3" t="s">
        <v>2102</v>
      </c>
    </row>
    <row r="383" ht="15.75" customHeight="1">
      <c r="A383" s="3" t="s">
        <v>2488</v>
      </c>
      <c r="B383" s="12">
        <v>46118.0</v>
      </c>
      <c r="C383" s="3" t="s">
        <v>401</v>
      </c>
      <c r="D383" s="3" t="s">
        <v>923</v>
      </c>
      <c r="E383" s="3" t="s">
        <v>2074</v>
      </c>
      <c r="F383" s="3" t="s">
        <v>903</v>
      </c>
      <c r="G383" s="3">
        <v>1.0</v>
      </c>
      <c r="H383" s="3" t="b">
        <v>0</v>
      </c>
      <c r="L383" s="3" t="s">
        <v>2102</v>
      </c>
    </row>
    <row r="384" ht="15.75" customHeight="1">
      <c r="A384" s="3" t="s">
        <v>2489</v>
      </c>
      <c r="B384" s="12">
        <v>46118.0</v>
      </c>
      <c r="C384" s="3" t="s">
        <v>402</v>
      </c>
      <c r="D384" s="3" t="s">
        <v>923</v>
      </c>
      <c r="E384" s="3" t="s">
        <v>2074</v>
      </c>
      <c r="F384" s="3" t="s">
        <v>903</v>
      </c>
      <c r="G384" s="3">
        <v>1.0</v>
      </c>
      <c r="H384" s="3" t="b">
        <v>0</v>
      </c>
      <c r="L384" s="3" t="s">
        <v>2102</v>
      </c>
    </row>
    <row r="385" ht="15.75" customHeight="1">
      <c r="A385" s="3" t="s">
        <v>2490</v>
      </c>
      <c r="B385" s="12">
        <v>46118.0</v>
      </c>
      <c r="C385" s="3" t="s">
        <v>403</v>
      </c>
      <c r="D385" s="3" t="s">
        <v>923</v>
      </c>
      <c r="E385" s="3" t="s">
        <v>2074</v>
      </c>
      <c r="F385" s="3" t="s">
        <v>903</v>
      </c>
      <c r="G385" s="3">
        <v>1.0</v>
      </c>
      <c r="H385" s="3" t="b">
        <v>0</v>
      </c>
      <c r="L385" s="3" t="s">
        <v>2102</v>
      </c>
    </row>
    <row r="386" ht="15.75" customHeight="1">
      <c r="A386" s="3" t="s">
        <v>2491</v>
      </c>
      <c r="B386" s="12">
        <v>46118.0</v>
      </c>
      <c r="C386" s="3" t="s">
        <v>404</v>
      </c>
      <c r="D386" s="3" t="s">
        <v>923</v>
      </c>
      <c r="E386" s="3" t="s">
        <v>2074</v>
      </c>
      <c r="F386" s="3" t="s">
        <v>903</v>
      </c>
      <c r="G386" s="3">
        <v>1.0</v>
      </c>
      <c r="H386" s="3" t="b">
        <v>0</v>
      </c>
      <c r="L386" s="3" t="s">
        <v>2102</v>
      </c>
    </row>
    <row r="387" ht="15.75" customHeight="1">
      <c r="A387" s="3" t="s">
        <v>2492</v>
      </c>
      <c r="B387" s="12">
        <v>46118.0</v>
      </c>
      <c r="C387" s="3" t="s">
        <v>405</v>
      </c>
      <c r="D387" s="3" t="s">
        <v>923</v>
      </c>
      <c r="E387" s="3" t="s">
        <v>2074</v>
      </c>
      <c r="F387" s="3" t="s">
        <v>903</v>
      </c>
      <c r="G387" s="3">
        <v>1.0</v>
      </c>
      <c r="H387" s="3" t="b">
        <v>0</v>
      </c>
      <c r="L387" s="3" t="s">
        <v>2102</v>
      </c>
    </row>
    <row r="388" ht="15.75" customHeight="1">
      <c r="A388" s="3" t="s">
        <v>2493</v>
      </c>
      <c r="B388" s="12">
        <v>46118.0</v>
      </c>
      <c r="C388" s="3" t="s">
        <v>406</v>
      </c>
      <c r="D388" s="3" t="s">
        <v>923</v>
      </c>
      <c r="E388" s="3" t="s">
        <v>2074</v>
      </c>
      <c r="F388" s="3" t="s">
        <v>903</v>
      </c>
      <c r="G388" s="3">
        <v>1.0</v>
      </c>
      <c r="H388" s="3" t="b">
        <v>0</v>
      </c>
      <c r="L388" s="3" t="s">
        <v>2102</v>
      </c>
    </row>
    <row r="389" ht="15.75" customHeight="1">
      <c r="A389" s="3" t="s">
        <v>2494</v>
      </c>
      <c r="B389" s="12">
        <v>46118.0</v>
      </c>
      <c r="C389" s="3" t="s">
        <v>407</v>
      </c>
      <c r="D389" s="3" t="s">
        <v>923</v>
      </c>
      <c r="E389" s="3" t="s">
        <v>2074</v>
      </c>
      <c r="F389" s="3" t="s">
        <v>903</v>
      </c>
      <c r="G389" s="3">
        <v>1.0</v>
      </c>
      <c r="H389" s="3" t="b">
        <v>0</v>
      </c>
      <c r="L389" s="3" t="s">
        <v>2102</v>
      </c>
    </row>
    <row r="390" ht="15.75" customHeight="1">
      <c r="A390" s="3" t="s">
        <v>2495</v>
      </c>
      <c r="B390" s="12">
        <v>46118.0</v>
      </c>
      <c r="C390" s="3" t="s">
        <v>408</v>
      </c>
      <c r="D390" s="3" t="s">
        <v>923</v>
      </c>
      <c r="E390" s="3" t="s">
        <v>2074</v>
      </c>
      <c r="F390" s="3" t="s">
        <v>903</v>
      </c>
      <c r="G390" s="3">
        <v>1.0</v>
      </c>
      <c r="H390" s="3" t="b">
        <v>0</v>
      </c>
      <c r="L390" s="3" t="s">
        <v>2102</v>
      </c>
    </row>
    <row r="391" ht="15.75" customHeight="1">
      <c r="A391" s="3" t="s">
        <v>2496</v>
      </c>
      <c r="B391" s="12">
        <v>46118.0</v>
      </c>
      <c r="C391" s="3" t="s">
        <v>409</v>
      </c>
      <c r="D391" s="3" t="s">
        <v>923</v>
      </c>
      <c r="E391" s="3" t="s">
        <v>2074</v>
      </c>
      <c r="F391" s="3" t="s">
        <v>903</v>
      </c>
      <c r="G391" s="3">
        <v>1.0</v>
      </c>
      <c r="H391" s="3" t="b">
        <v>0</v>
      </c>
      <c r="L391" s="3" t="s">
        <v>2102</v>
      </c>
    </row>
    <row r="392" ht="15.75" customHeight="1">
      <c r="A392" s="3" t="s">
        <v>2497</v>
      </c>
      <c r="B392" s="12">
        <v>46118.0</v>
      </c>
      <c r="C392" s="3" t="s">
        <v>410</v>
      </c>
      <c r="D392" s="3" t="s">
        <v>923</v>
      </c>
      <c r="E392" s="3" t="s">
        <v>2074</v>
      </c>
      <c r="F392" s="3" t="s">
        <v>903</v>
      </c>
      <c r="G392" s="3">
        <v>1.0</v>
      </c>
      <c r="H392" s="3" t="b">
        <v>0</v>
      </c>
      <c r="L392" s="3" t="s">
        <v>2102</v>
      </c>
    </row>
    <row r="393" ht="15.75" customHeight="1">
      <c r="A393" s="3" t="s">
        <v>2498</v>
      </c>
      <c r="B393" s="12">
        <v>46118.0</v>
      </c>
      <c r="C393" s="3" t="s">
        <v>411</v>
      </c>
      <c r="D393" s="3" t="s">
        <v>923</v>
      </c>
      <c r="E393" s="3" t="s">
        <v>2074</v>
      </c>
      <c r="F393" s="3" t="s">
        <v>903</v>
      </c>
      <c r="G393" s="3">
        <v>1.0</v>
      </c>
      <c r="H393" s="3" t="b">
        <v>0</v>
      </c>
      <c r="L393" s="3" t="s">
        <v>2102</v>
      </c>
    </row>
    <row r="394" ht="15.75" customHeight="1">
      <c r="A394" s="3" t="s">
        <v>2499</v>
      </c>
      <c r="B394" s="12">
        <v>46118.0</v>
      </c>
      <c r="C394" s="3" t="s">
        <v>412</v>
      </c>
      <c r="D394" s="3" t="s">
        <v>923</v>
      </c>
      <c r="E394" s="3" t="s">
        <v>2074</v>
      </c>
      <c r="F394" s="3" t="s">
        <v>903</v>
      </c>
      <c r="G394" s="3">
        <v>1.0</v>
      </c>
      <c r="H394" s="3" t="b">
        <v>0</v>
      </c>
      <c r="L394" s="3" t="s">
        <v>2102</v>
      </c>
    </row>
    <row r="395" ht="15.75" customHeight="1">
      <c r="A395" s="3" t="s">
        <v>2500</v>
      </c>
      <c r="B395" s="12">
        <v>46118.0</v>
      </c>
      <c r="C395" s="3" t="s">
        <v>413</v>
      </c>
      <c r="D395" s="3" t="s">
        <v>923</v>
      </c>
      <c r="E395" s="3" t="s">
        <v>2074</v>
      </c>
      <c r="F395" s="3" t="s">
        <v>903</v>
      </c>
      <c r="G395" s="3">
        <v>1.0</v>
      </c>
      <c r="H395" s="3" t="b">
        <v>0</v>
      </c>
      <c r="L395" s="3" t="s">
        <v>2102</v>
      </c>
    </row>
    <row r="396" ht="15.75" customHeight="1">
      <c r="A396" s="3" t="s">
        <v>2501</v>
      </c>
      <c r="B396" s="12">
        <v>46118.0</v>
      </c>
      <c r="C396" s="3" t="s">
        <v>414</v>
      </c>
      <c r="D396" s="3" t="s">
        <v>923</v>
      </c>
      <c r="E396" s="3" t="s">
        <v>2074</v>
      </c>
      <c r="F396" s="3" t="s">
        <v>903</v>
      </c>
      <c r="G396" s="3">
        <v>1.0</v>
      </c>
      <c r="H396" s="3" t="b">
        <v>0</v>
      </c>
      <c r="L396" s="3" t="s">
        <v>2102</v>
      </c>
    </row>
    <row r="397" ht="15.75" customHeight="1">
      <c r="A397" s="3" t="s">
        <v>2502</v>
      </c>
      <c r="B397" s="12">
        <v>46118.0</v>
      </c>
      <c r="C397" s="3" t="s">
        <v>415</v>
      </c>
      <c r="D397" s="3" t="s">
        <v>923</v>
      </c>
      <c r="E397" s="3" t="s">
        <v>2074</v>
      </c>
      <c r="F397" s="3" t="s">
        <v>903</v>
      </c>
      <c r="G397" s="3">
        <v>1.0</v>
      </c>
      <c r="H397" s="3" t="b">
        <v>0</v>
      </c>
      <c r="L397" s="3" t="s">
        <v>2102</v>
      </c>
    </row>
    <row r="398" ht="15.75" customHeight="1">
      <c r="A398" s="3" t="s">
        <v>2503</v>
      </c>
      <c r="B398" s="12">
        <v>46118.0</v>
      </c>
      <c r="C398" s="3" t="s">
        <v>416</v>
      </c>
      <c r="D398" s="3" t="s">
        <v>923</v>
      </c>
      <c r="E398" s="3" t="s">
        <v>2074</v>
      </c>
      <c r="F398" s="3" t="s">
        <v>903</v>
      </c>
      <c r="G398" s="3">
        <v>1.0</v>
      </c>
      <c r="H398" s="3" t="b">
        <v>0</v>
      </c>
      <c r="L398" s="3" t="s">
        <v>2102</v>
      </c>
    </row>
    <row r="399" ht="15.75" customHeight="1">
      <c r="A399" s="3" t="s">
        <v>2504</v>
      </c>
      <c r="B399" s="12">
        <v>46118.0</v>
      </c>
      <c r="C399" s="3" t="s">
        <v>2505</v>
      </c>
      <c r="D399" s="3" t="s">
        <v>923</v>
      </c>
      <c r="E399" s="3" t="s">
        <v>2074</v>
      </c>
      <c r="F399" s="3" t="s">
        <v>903</v>
      </c>
      <c r="G399" s="3">
        <v>1.0</v>
      </c>
      <c r="H399" s="3" t="b">
        <v>0</v>
      </c>
      <c r="L399" s="3" t="s">
        <v>2102</v>
      </c>
    </row>
    <row r="400" ht="15.75" customHeight="1">
      <c r="A400" s="3" t="s">
        <v>2506</v>
      </c>
      <c r="B400" s="12">
        <v>46118.0</v>
      </c>
      <c r="C400" s="3" t="s">
        <v>417</v>
      </c>
      <c r="D400" s="3" t="s">
        <v>923</v>
      </c>
      <c r="E400" s="3" t="s">
        <v>2074</v>
      </c>
      <c r="F400" s="3" t="s">
        <v>903</v>
      </c>
      <c r="G400" s="3">
        <v>1.0</v>
      </c>
      <c r="H400" s="3" t="b">
        <v>0</v>
      </c>
      <c r="L400" s="3" t="s">
        <v>2102</v>
      </c>
    </row>
    <row r="401" ht="15.75" customHeight="1">
      <c r="A401" s="3" t="s">
        <v>2507</v>
      </c>
      <c r="B401" s="12">
        <v>46118.0</v>
      </c>
      <c r="C401" s="3" t="s">
        <v>418</v>
      </c>
      <c r="D401" s="3" t="s">
        <v>923</v>
      </c>
      <c r="E401" s="3" t="s">
        <v>2074</v>
      </c>
      <c r="F401" s="3" t="s">
        <v>903</v>
      </c>
      <c r="G401" s="3">
        <v>1.0</v>
      </c>
      <c r="H401" s="3" t="b">
        <v>0</v>
      </c>
      <c r="L401" s="3" t="s">
        <v>2102</v>
      </c>
    </row>
    <row r="402" ht="15.75" customHeight="1">
      <c r="A402" s="3" t="s">
        <v>2508</v>
      </c>
      <c r="B402" s="12">
        <v>46118.0</v>
      </c>
      <c r="C402" s="3" t="s">
        <v>419</v>
      </c>
      <c r="D402" s="3" t="s">
        <v>923</v>
      </c>
      <c r="E402" s="3" t="s">
        <v>2074</v>
      </c>
      <c r="F402" s="3" t="s">
        <v>903</v>
      </c>
      <c r="G402" s="3">
        <v>1.0</v>
      </c>
      <c r="H402" s="3" t="b">
        <v>0</v>
      </c>
      <c r="L402" s="3" t="s">
        <v>2102</v>
      </c>
    </row>
    <row r="403" ht="15.75" customHeight="1">
      <c r="A403" s="3" t="s">
        <v>2509</v>
      </c>
      <c r="B403" s="12">
        <v>46118.0</v>
      </c>
      <c r="C403" s="3" t="s">
        <v>420</v>
      </c>
      <c r="D403" s="3" t="s">
        <v>923</v>
      </c>
      <c r="E403" s="3" t="s">
        <v>2074</v>
      </c>
      <c r="F403" s="3" t="s">
        <v>903</v>
      </c>
      <c r="G403" s="3">
        <v>1.0</v>
      </c>
      <c r="H403" s="3" t="b">
        <v>0</v>
      </c>
      <c r="L403" s="3" t="s">
        <v>2102</v>
      </c>
    </row>
    <row r="404" ht="15.75" customHeight="1">
      <c r="A404" s="3" t="s">
        <v>2510</v>
      </c>
      <c r="B404" s="12">
        <v>46118.0</v>
      </c>
      <c r="C404" s="3" t="s">
        <v>421</v>
      </c>
      <c r="D404" s="3" t="s">
        <v>923</v>
      </c>
      <c r="E404" s="3" t="s">
        <v>2074</v>
      </c>
      <c r="F404" s="3" t="s">
        <v>903</v>
      </c>
      <c r="G404" s="3">
        <v>1.0</v>
      </c>
      <c r="H404" s="3" t="b">
        <v>0</v>
      </c>
      <c r="L404" s="3" t="s">
        <v>2102</v>
      </c>
    </row>
    <row r="405" ht="15.75" customHeight="1">
      <c r="A405" s="3" t="s">
        <v>2511</v>
      </c>
      <c r="B405" s="12">
        <v>46118.0</v>
      </c>
      <c r="C405" s="3" t="s">
        <v>422</v>
      </c>
      <c r="D405" s="3" t="s">
        <v>923</v>
      </c>
      <c r="E405" s="3" t="s">
        <v>2074</v>
      </c>
      <c r="F405" s="3" t="s">
        <v>903</v>
      </c>
      <c r="G405" s="3">
        <v>1.0</v>
      </c>
      <c r="H405" s="3" t="b">
        <v>0</v>
      </c>
      <c r="L405" s="3" t="s">
        <v>2102</v>
      </c>
    </row>
    <row r="406" ht="15.75" customHeight="1">
      <c r="A406" s="3" t="s">
        <v>2512</v>
      </c>
      <c r="B406" s="12">
        <v>46118.0</v>
      </c>
      <c r="C406" s="3" t="s">
        <v>423</v>
      </c>
      <c r="D406" s="3" t="s">
        <v>923</v>
      </c>
      <c r="E406" s="3" t="s">
        <v>2074</v>
      </c>
      <c r="F406" s="3" t="s">
        <v>903</v>
      </c>
      <c r="G406" s="3">
        <v>1.0</v>
      </c>
      <c r="H406" s="3" t="b">
        <v>0</v>
      </c>
      <c r="L406" s="3" t="s">
        <v>2102</v>
      </c>
    </row>
    <row r="407" ht="15.75" customHeight="1">
      <c r="A407" s="3" t="s">
        <v>2513</v>
      </c>
      <c r="B407" s="12">
        <v>46118.0</v>
      </c>
      <c r="C407" s="3" t="s">
        <v>424</v>
      </c>
      <c r="D407" s="3" t="s">
        <v>923</v>
      </c>
      <c r="E407" s="3" t="s">
        <v>2074</v>
      </c>
      <c r="F407" s="3" t="s">
        <v>903</v>
      </c>
      <c r="G407" s="3">
        <v>1.0</v>
      </c>
      <c r="H407" s="3" t="b">
        <v>0</v>
      </c>
      <c r="L407" s="3" t="s">
        <v>2102</v>
      </c>
    </row>
    <row r="408" ht="15.75" customHeight="1">
      <c r="A408" s="3" t="s">
        <v>2514</v>
      </c>
      <c r="B408" s="12">
        <v>46118.0</v>
      </c>
      <c r="C408" s="3" t="s">
        <v>425</v>
      </c>
      <c r="D408" s="3" t="s">
        <v>923</v>
      </c>
      <c r="E408" s="3" t="s">
        <v>2074</v>
      </c>
      <c r="F408" s="3" t="s">
        <v>903</v>
      </c>
      <c r="G408" s="3">
        <v>1.0</v>
      </c>
      <c r="H408" s="3" t="b">
        <v>0</v>
      </c>
      <c r="L408" s="3" t="s">
        <v>2102</v>
      </c>
    </row>
    <row r="409" ht="15.75" customHeight="1">
      <c r="A409" s="3" t="s">
        <v>2515</v>
      </c>
      <c r="B409" s="12">
        <v>46118.0</v>
      </c>
      <c r="C409" s="3" t="s">
        <v>426</v>
      </c>
      <c r="D409" s="3" t="s">
        <v>923</v>
      </c>
      <c r="E409" s="3" t="s">
        <v>2074</v>
      </c>
      <c r="F409" s="3" t="s">
        <v>903</v>
      </c>
      <c r="G409" s="3">
        <v>1.0</v>
      </c>
      <c r="H409" s="3" t="b">
        <v>0</v>
      </c>
      <c r="L409" s="3" t="s">
        <v>2102</v>
      </c>
    </row>
    <row r="410" ht="15.75" customHeight="1">
      <c r="A410" s="3" t="s">
        <v>2516</v>
      </c>
      <c r="B410" s="12">
        <v>46118.0</v>
      </c>
      <c r="C410" s="3" t="s">
        <v>427</v>
      </c>
      <c r="D410" s="3" t="s">
        <v>923</v>
      </c>
      <c r="E410" s="3" t="s">
        <v>2074</v>
      </c>
      <c r="F410" s="3" t="s">
        <v>903</v>
      </c>
      <c r="G410" s="3">
        <v>1.0</v>
      </c>
      <c r="H410" s="3" t="b">
        <v>0</v>
      </c>
      <c r="L410" s="3" t="s">
        <v>2102</v>
      </c>
    </row>
    <row r="411" ht="15.75" customHeight="1">
      <c r="A411" s="3" t="s">
        <v>2517</v>
      </c>
      <c r="B411" s="12">
        <v>46118.0</v>
      </c>
      <c r="C411" s="3" t="s">
        <v>428</v>
      </c>
      <c r="D411" s="3" t="s">
        <v>923</v>
      </c>
      <c r="E411" s="3" t="s">
        <v>2074</v>
      </c>
      <c r="F411" s="3" t="s">
        <v>903</v>
      </c>
      <c r="G411" s="3">
        <v>1.0</v>
      </c>
      <c r="H411" s="3" t="b">
        <v>0</v>
      </c>
      <c r="L411" s="3" t="s">
        <v>2102</v>
      </c>
    </row>
    <row r="412" ht="15.75" customHeight="1">
      <c r="A412" s="3" t="s">
        <v>2518</v>
      </c>
      <c r="B412" s="12">
        <v>46118.0</v>
      </c>
      <c r="C412" s="3" t="s">
        <v>429</v>
      </c>
      <c r="D412" s="3" t="s">
        <v>923</v>
      </c>
      <c r="E412" s="3" t="s">
        <v>2074</v>
      </c>
      <c r="F412" s="3" t="s">
        <v>903</v>
      </c>
      <c r="G412" s="3">
        <v>1.0</v>
      </c>
      <c r="H412" s="3" t="b">
        <v>0</v>
      </c>
      <c r="L412" s="3" t="s">
        <v>2102</v>
      </c>
    </row>
    <row r="413" ht="15.75" customHeight="1">
      <c r="A413" s="3" t="s">
        <v>2519</v>
      </c>
      <c r="B413" s="12">
        <v>46118.0</v>
      </c>
      <c r="C413" s="3" t="s">
        <v>430</v>
      </c>
      <c r="D413" s="3" t="s">
        <v>923</v>
      </c>
      <c r="E413" s="3" t="s">
        <v>2074</v>
      </c>
      <c r="F413" s="3" t="s">
        <v>903</v>
      </c>
      <c r="G413" s="3">
        <v>1.0</v>
      </c>
      <c r="H413" s="3" t="b">
        <v>0</v>
      </c>
      <c r="L413" s="3" t="s">
        <v>2102</v>
      </c>
    </row>
    <row r="414" ht="15.75" customHeight="1">
      <c r="A414" s="3" t="s">
        <v>2520</v>
      </c>
      <c r="B414" s="12">
        <v>46118.0</v>
      </c>
      <c r="C414" s="3" t="s">
        <v>431</v>
      </c>
      <c r="D414" s="3" t="s">
        <v>923</v>
      </c>
      <c r="E414" s="3" t="s">
        <v>2074</v>
      </c>
      <c r="F414" s="3" t="s">
        <v>903</v>
      </c>
      <c r="G414" s="3">
        <v>1.0</v>
      </c>
      <c r="H414" s="3" t="b">
        <v>0</v>
      </c>
      <c r="L414" s="3" t="s">
        <v>2102</v>
      </c>
    </row>
    <row r="415" ht="15.75" customHeight="1">
      <c r="A415" s="3" t="s">
        <v>2521</v>
      </c>
      <c r="B415" s="12">
        <v>46118.0</v>
      </c>
      <c r="C415" s="3" t="s">
        <v>432</v>
      </c>
      <c r="D415" s="3" t="s">
        <v>923</v>
      </c>
      <c r="E415" s="3" t="s">
        <v>2074</v>
      </c>
      <c r="F415" s="3" t="s">
        <v>903</v>
      </c>
      <c r="G415" s="3">
        <v>1.0</v>
      </c>
      <c r="H415" s="3" t="b">
        <v>0</v>
      </c>
      <c r="L415" s="3" t="s">
        <v>2102</v>
      </c>
    </row>
    <row r="416" ht="15.75" customHeight="1">
      <c r="A416" s="3" t="s">
        <v>2522</v>
      </c>
      <c r="B416" s="12">
        <v>46118.0</v>
      </c>
      <c r="C416" s="3" t="s">
        <v>433</v>
      </c>
      <c r="D416" s="3" t="s">
        <v>923</v>
      </c>
      <c r="E416" s="3" t="s">
        <v>2074</v>
      </c>
      <c r="F416" s="3" t="s">
        <v>903</v>
      </c>
      <c r="G416" s="3">
        <v>1.0</v>
      </c>
      <c r="H416" s="3" t="b">
        <v>0</v>
      </c>
      <c r="L416" s="3" t="s">
        <v>2102</v>
      </c>
    </row>
    <row r="417" ht="15.75" customHeight="1">
      <c r="A417" s="3" t="s">
        <v>2523</v>
      </c>
      <c r="B417" s="12">
        <v>46118.0</v>
      </c>
      <c r="C417" s="3" t="s">
        <v>434</v>
      </c>
      <c r="D417" s="3" t="s">
        <v>923</v>
      </c>
      <c r="E417" s="3" t="s">
        <v>2074</v>
      </c>
      <c r="F417" s="3" t="s">
        <v>903</v>
      </c>
      <c r="G417" s="3">
        <v>1.0</v>
      </c>
      <c r="H417" s="3" t="b">
        <v>0</v>
      </c>
      <c r="L417" s="3" t="s">
        <v>2102</v>
      </c>
    </row>
    <row r="418" ht="15.75" customHeight="1">
      <c r="A418" s="3" t="s">
        <v>2524</v>
      </c>
      <c r="B418" s="12">
        <v>46118.0</v>
      </c>
      <c r="C418" s="3" t="s">
        <v>435</v>
      </c>
      <c r="D418" s="3" t="s">
        <v>923</v>
      </c>
      <c r="E418" s="3" t="s">
        <v>2074</v>
      </c>
      <c r="F418" s="3" t="s">
        <v>903</v>
      </c>
      <c r="G418" s="3">
        <v>1.0</v>
      </c>
      <c r="H418" s="3" t="b">
        <v>0</v>
      </c>
      <c r="L418" s="3" t="s">
        <v>2102</v>
      </c>
    </row>
    <row r="419" ht="15.75" customHeight="1">
      <c r="A419" s="3" t="s">
        <v>2525</v>
      </c>
      <c r="B419" s="12">
        <v>46118.0</v>
      </c>
      <c r="C419" s="3" t="s">
        <v>436</v>
      </c>
      <c r="D419" s="3" t="s">
        <v>923</v>
      </c>
      <c r="E419" s="3" t="s">
        <v>2074</v>
      </c>
      <c r="F419" s="3" t="s">
        <v>903</v>
      </c>
      <c r="G419" s="3">
        <v>1.0</v>
      </c>
      <c r="H419" s="3" t="b">
        <v>0</v>
      </c>
      <c r="L419" s="3" t="s">
        <v>2102</v>
      </c>
    </row>
    <row r="420" ht="15.75" customHeight="1">
      <c r="A420" s="3" t="s">
        <v>2526</v>
      </c>
      <c r="B420" s="12">
        <v>46118.0</v>
      </c>
      <c r="C420" s="3" t="s">
        <v>437</v>
      </c>
      <c r="D420" s="3" t="s">
        <v>923</v>
      </c>
      <c r="E420" s="3" t="s">
        <v>2074</v>
      </c>
      <c r="F420" s="3" t="s">
        <v>903</v>
      </c>
      <c r="G420" s="3">
        <v>1.0</v>
      </c>
      <c r="H420" s="3" t="b">
        <v>0</v>
      </c>
      <c r="L420" s="3" t="s">
        <v>2102</v>
      </c>
    </row>
    <row r="421" ht="15.75" customHeight="1">
      <c r="A421" s="3" t="s">
        <v>2527</v>
      </c>
      <c r="B421" s="12">
        <v>46118.0</v>
      </c>
      <c r="C421" s="3" t="s">
        <v>438</v>
      </c>
      <c r="D421" s="3" t="s">
        <v>923</v>
      </c>
      <c r="E421" s="3" t="s">
        <v>2074</v>
      </c>
      <c r="F421" s="3" t="s">
        <v>903</v>
      </c>
      <c r="G421" s="3">
        <v>1.0</v>
      </c>
      <c r="H421" s="3" t="b">
        <v>0</v>
      </c>
      <c r="L421" s="3" t="s">
        <v>2102</v>
      </c>
    </row>
    <row r="422" ht="15.75" customHeight="1">
      <c r="A422" s="13" t="s">
        <v>2528</v>
      </c>
      <c r="B422" s="12">
        <v>46118.0</v>
      </c>
      <c r="C422" s="3" t="s">
        <v>439</v>
      </c>
      <c r="D422" s="3" t="s">
        <v>923</v>
      </c>
      <c r="E422" s="3" t="s">
        <v>2074</v>
      </c>
      <c r="F422" s="3" t="s">
        <v>903</v>
      </c>
      <c r="G422" s="3">
        <v>1.0</v>
      </c>
      <c r="H422" s="3" t="b">
        <v>0</v>
      </c>
      <c r="L422" s="3" t="s">
        <v>2102</v>
      </c>
    </row>
    <row r="423" ht="15.75" customHeight="1">
      <c r="A423" s="3" t="s">
        <v>2529</v>
      </c>
      <c r="B423" s="12">
        <v>46118.0</v>
      </c>
      <c r="C423" s="3" t="s">
        <v>440</v>
      </c>
      <c r="D423" s="3" t="s">
        <v>923</v>
      </c>
      <c r="E423" s="3" t="s">
        <v>2074</v>
      </c>
      <c r="F423" s="3" t="s">
        <v>903</v>
      </c>
      <c r="G423" s="3">
        <v>1.0</v>
      </c>
      <c r="H423" s="3" t="b">
        <v>0</v>
      </c>
      <c r="L423" s="3" t="s">
        <v>2102</v>
      </c>
    </row>
    <row r="424" ht="15.75" customHeight="1">
      <c r="A424" s="3" t="s">
        <v>2530</v>
      </c>
      <c r="B424" s="12">
        <v>46118.0</v>
      </c>
      <c r="C424" s="3" t="s">
        <v>441</v>
      </c>
      <c r="D424" s="3" t="s">
        <v>923</v>
      </c>
      <c r="E424" s="3" t="s">
        <v>2074</v>
      </c>
      <c r="F424" s="3" t="s">
        <v>903</v>
      </c>
      <c r="G424" s="3">
        <v>1.0</v>
      </c>
      <c r="H424" s="3" t="b">
        <v>0</v>
      </c>
      <c r="L424" s="3" t="s">
        <v>2102</v>
      </c>
    </row>
    <row r="425" ht="15.75" customHeight="1">
      <c r="A425" s="3" t="s">
        <v>2531</v>
      </c>
      <c r="B425" s="12">
        <v>46118.0</v>
      </c>
      <c r="C425" s="3" t="s">
        <v>443</v>
      </c>
      <c r="D425" s="3" t="s">
        <v>923</v>
      </c>
      <c r="E425" s="3" t="s">
        <v>2074</v>
      </c>
      <c r="F425" s="3" t="s">
        <v>903</v>
      </c>
      <c r="G425" s="3">
        <v>1.0</v>
      </c>
      <c r="H425" s="3" t="b">
        <v>0</v>
      </c>
      <c r="L425" s="3" t="s">
        <v>2102</v>
      </c>
    </row>
    <row r="426" ht="15.75" customHeight="1">
      <c r="A426" s="3" t="s">
        <v>2532</v>
      </c>
      <c r="B426" s="12">
        <v>46118.0</v>
      </c>
      <c r="C426" s="3" t="s">
        <v>445</v>
      </c>
      <c r="D426" s="3" t="s">
        <v>923</v>
      </c>
      <c r="E426" s="3" t="s">
        <v>2074</v>
      </c>
      <c r="F426" s="3" t="s">
        <v>903</v>
      </c>
      <c r="G426" s="3">
        <v>1.0</v>
      </c>
      <c r="H426" s="3" t="b">
        <v>0</v>
      </c>
      <c r="L426" s="3" t="s">
        <v>2102</v>
      </c>
    </row>
    <row r="427" ht="15.75" customHeight="1">
      <c r="A427" s="3" t="s">
        <v>2533</v>
      </c>
      <c r="B427" s="12">
        <v>46118.0</v>
      </c>
      <c r="C427" s="3" t="s">
        <v>446</v>
      </c>
      <c r="D427" s="3" t="s">
        <v>923</v>
      </c>
      <c r="E427" s="3" t="s">
        <v>2074</v>
      </c>
      <c r="F427" s="3" t="s">
        <v>903</v>
      </c>
      <c r="G427" s="3">
        <v>1.0</v>
      </c>
      <c r="H427" s="3" t="b">
        <v>0</v>
      </c>
      <c r="L427" s="3" t="s">
        <v>2102</v>
      </c>
    </row>
    <row r="428" ht="15.75" customHeight="1">
      <c r="A428" s="3" t="s">
        <v>2534</v>
      </c>
      <c r="B428" s="12">
        <v>46118.0</v>
      </c>
      <c r="C428" s="3" t="s">
        <v>2535</v>
      </c>
      <c r="D428" s="3" t="s">
        <v>923</v>
      </c>
      <c r="E428" s="3" t="s">
        <v>2074</v>
      </c>
      <c r="F428" s="3" t="s">
        <v>903</v>
      </c>
      <c r="G428" s="3">
        <v>1.0</v>
      </c>
      <c r="H428" s="3" t="b">
        <v>0</v>
      </c>
      <c r="L428" s="3" t="s">
        <v>2102</v>
      </c>
    </row>
    <row r="429" ht="15.75" customHeight="1">
      <c r="A429" s="3" t="s">
        <v>2536</v>
      </c>
      <c r="B429" s="12">
        <v>46118.0</v>
      </c>
      <c r="C429" s="3" t="s">
        <v>447</v>
      </c>
      <c r="D429" s="3" t="s">
        <v>923</v>
      </c>
      <c r="E429" s="3" t="s">
        <v>2074</v>
      </c>
      <c r="F429" s="3" t="s">
        <v>903</v>
      </c>
      <c r="G429" s="3">
        <v>1.0</v>
      </c>
      <c r="H429" s="3" t="b">
        <v>0</v>
      </c>
      <c r="L429" s="3" t="s">
        <v>2102</v>
      </c>
    </row>
    <row r="430" ht="15.75" customHeight="1">
      <c r="A430" s="3" t="s">
        <v>2537</v>
      </c>
      <c r="B430" s="12">
        <v>46118.0</v>
      </c>
      <c r="C430" s="3" t="s">
        <v>448</v>
      </c>
      <c r="D430" s="3" t="s">
        <v>923</v>
      </c>
      <c r="E430" s="3" t="s">
        <v>2074</v>
      </c>
      <c r="F430" s="3" t="s">
        <v>903</v>
      </c>
      <c r="G430" s="3">
        <v>1.0</v>
      </c>
      <c r="H430" s="3" t="b">
        <v>0</v>
      </c>
      <c r="L430" s="3" t="s">
        <v>2102</v>
      </c>
    </row>
    <row r="431" ht="15.75" customHeight="1">
      <c r="A431" s="3" t="s">
        <v>2538</v>
      </c>
      <c r="B431" s="12">
        <v>46118.0</v>
      </c>
      <c r="C431" s="3" t="s">
        <v>449</v>
      </c>
      <c r="D431" s="3" t="s">
        <v>923</v>
      </c>
      <c r="E431" s="3" t="s">
        <v>2074</v>
      </c>
      <c r="F431" s="3" t="s">
        <v>903</v>
      </c>
      <c r="G431" s="3">
        <v>1.0</v>
      </c>
      <c r="H431" s="3" t="b">
        <v>0</v>
      </c>
      <c r="L431" s="3" t="s">
        <v>2102</v>
      </c>
    </row>
    <row r="432" ht="15.75" customHeight="1">
      <c r="A432" s="3" t="s">
        <v>2539</v>
      </c>
      <c r="B432" s="12">
        <v>46118.0</v>
      </c>
      <c r="C432" s="3" t="s">
        <v>450</v>
      </c>
      <c r="D432" s="3" t="s">
        <v>923</v>
      </c>
      <c r="E432" s="3" t="s">
        <v>2074</v>
      </c>
      <c r="F432" s="3" t="s">
        <v>903</v>
      </c>
      <c r="G432" s="3">
        <v>1.0</v>
      </c>
      <c r="H432" s="3" t="b">
        <v>0</v>
      </c>
      <c r="L432" s="3" t="s">
        <v>2102</v>
      </c>
    </row>
    <row r="433" ht="15.75" customHeight="1">
      <c r="A433" s="3" t="s">
        <v>2540</v>
      </c>
      <c r="B433" s="12">
        <v>46118.0</v>
      </c>
      <c r="C433" s="3" t="s">
        <v>451</v>
      </c>
      <c r="D433" s="3" t="s">
        <v>923</v>
      </c>
      <c r="E433" s="3" t="s">
        <v>2074</v>
      </c>
      <c r="F433" s="3" t="s">
        <v>903</v>
      </c>
      <c r="G433" s="3">
        <v>1.0</v>
      </c>
      <c r="H433" s="3" t="b">
        <v>0</v>
      </c>
      <c r="L433" s="3" t="s">
        <v>2102</v>
      </c>
    </row>
    <row r="434" ht="15.75" customHeight="1">
      <c r="A434" s="3" t="s">
        <v>2541</v>
      </c>
      <c r="B434" s="12">
        <v>46118.0</v>
      </c>
      <c r="C434" s="3" t="s">
        <v>452</v>
      </c>
      <c r="D434" s="3" t="s">
        <v>923</v>
      </c>
      <c r="E434" s="3" t="s">
        <v>2074</v>
      </c>
      <c r="F434" s="3" t="s">
        <v>903</v>
      </c>
      <c r="G434" s="3">
        <v>1.0</v>
      </c>
      <c r="H434" s="3" t="b">
        <v>0</v>
      </c>
      <c r="L434" s="3" t="s">
        <v>2102</v>
      </c>
    </row>
    <row r="435" ht="15.75" customHeight="1">
      <c r="A435" s="3" t="s">
        <v>2542</v>
      </c>
      <c r="B435" s="12">
        <v>46118.0</v>
      </c>
      <c r="C435" s="3" t="s">
        <v>453</v>
      </c>
      <c r="D435" s="3" t="s">
        <v>923</v>
      </c>
      <c r="E435" s="3" t="s">
        <v>2074</v>
      </c>
      <c r="F435" s="3" t="s">
        <v>903</v>
      </c>
      <c r="G435" s="3">
        <v>1.0</v>
      </c>
      <c r="H435" s="3" t="b">
        <v>0</v>
      </c>
      <c r="L435" s="3" t="s">
        <v>2102</v>
      </c>
    </row>
    <row r="436" ht="15.75" customHeight="1">
      <c r="A436" s="3" t="s">
        <v>2543</v>
      </c>
      <c r="B436" s="12">
        <v>46118.0</v>
      </c>
      <c r="C436" s="3" t="s">
        <v>454</v>
      </c>
      <c r="D436" s="3" t="s">
        <v>923</v>
      </c>
      <c r="E436" s="3" t="s">
        <v>2074</v>
      </c>
      <c r="F436" s="3" t="s">
        <v>903</v>
      </c>
      <c r="G436" s="3">
        <v>1.0</v>
      </c>
      <c r="H436" s="3" t="b">
        <v>0</v>
      </c>
      <c r="L436" s="3" t="s">
        <v>2102</v>
      </c>
    </row>
    <row r="437" ht="15.75" customHeight="1">
      <c r="A437" s="3" t="s">
        <v>2544</v>
      </c>
      <c r="B437" s="12">
        <v>46118.0</v>
      </c>
      <c r="C437" s="3" t="s">
        <v>455</v>
      </c>
      <c r="D437" s="3" t="s">
        <v>923</v>
      </c>
      <c r="E437" s="3" t="s">
        <v>2074</v>
      </c>
      <c r="F437" s="3" t="s">
        <v>903</v>
      </c>
      <c r="G437" s="3">
        <v>1.0</v>
      </c>
      <c r="H437" s="3" t="b">
        <v>0</v>
      </c>
      <c r="L437" s="3" t="s">
        <v>2102</v>
      </c>
    </row>
    <row r="438" ht="15.75" customHeight="1">
      <c r="A438" s="3" t="s">
        <v>2545</v>
      </c>
      <c r="B438" s="12">
        <v>46118.0</v>
      </c>
      <c r="C438" s="3" t="s">
        <v>456</v>
      </c>
      <c r="D438" s="3" t="s">
        <v>923</v>
      </c>
      <c r="E438" s="3" t="s">
        <v>2074</v>
      </c>
      <c r="F438" s="3" t="s">
        <v>903</v>
      </c>
      <c r="G438" s="3">
        <v>1.0</v>
      </c>
      <c r="H438" s="3" t="b">
        <v>0</v>
      </c>
      <c r="L438" s="3" t="s">
        <v>2102</v>
      </c>
    </row>
    <row r="439" ht="15.75" customHeight="1">
      <c r="A439" s="3" t="s">
        <v>2546</v>
      </c>
      <c r="B439" s="12">
        <v>46118.0</v>
      </c>
      <c r="C439" s="3" t="s">
        <v>457</v>
      </c>
      <c r="D439" s="3" t="s">
        <v>923</v>
      </c>
      <c r="E439" s="3" t="s">
        <v>2074</v>
      </c>
      <c r="F439" s="3" t="s">
        <v>903</v>
      </c>
      <c r="G439" s="3">
        <v>1.0</v>
      </c>
      <c r="H439" s="3" t="b">
        <v>0</v>
      </c>
      <c r="L439" s="3" t="s">
        <v>2102</v>
      </c>
    </row>
    <row r="440" ht="15.75" customHeight="1">
      <c r="A440" s="3" t="s">
        <v>2547</v>
      </c>
      <c r="B440" s="12">
        <v>46118.0</v>
      </c>
      <c r="C440" s="3" t="s">
        <v>458</v>
      </c>
      <c r="D440" s="3" t="s">
        <v>923</v>
      </c>
      <c r="E440" s="3" t="s">
        <v>2074</v>
      </c>
      <c r="F440" s="3" t="s">
        <v>903</v>
      </c>
      <c r="G440" s="3">
        <v>1.0</v>
      </c>
      <c r="H440" s="3" t="b">
        <v>0</v>
      </c>
      <c r="L440" s="3" t="s">
        <v>2102</v>
      </c>
    </row>
    <row r="441" ht="15.75" customHeight="1">
      <c r="A441" s="3" t="s">
        <v>2548</v>
      </c>
      <c r="B441" s="12">
        <v>46118.0</v>
      </c>
      <c r="C441" s="3" t="s">
        <v>459</v>
      </c>
      <c r="D441" s="3" t="s">
        <v>923</v>
      </c>
      <c r="E441" s="3" t="s">
        <v>2074</v>
      </c>
      <c r="F441" s="3" t="s">
        <v>903</v>
      </c>
      <c r="G441" s="3">
        <v>1.0</v>
      </c>
      <c r="H441" s="3" t="b">
        <v>0</v>
      </c>
      <c r="L441" s="3" t="s">
        <v>2102</v>
      </c>
    </row>
    <row r="442" ht="15.75" customHeight="1">
      <c r="A442" s="3" t="s">
        <v>2549</v>
      </c>
      <c r="B442" s="12">
        <v>46118.0</v>
      </c>
      <c r="C442" s="3" t="s">
        <v>460</v>
      </c>
      <c r="D442" s="3" t="s">
        <v>923</v>
      </c>
      <c r="E442" s="3" t="s">
        <v>2074</v>
      </c>
      <c r="F442" s="3" t="s">
        <v>903</v>
      </c>
      <c r="G442" s="3">
        <v>1.0</v>
      </c>
      <c r="H442" s="3" t="b">
        <v>0</v>
      </c>
      <c r="L442" s="3" t="s">
        <v>2102</v>
      </c>
    </row>
    <row r="443" ht="15.75" customHeight="1">
      <c r="A443" s="3" t="s">
        <v>2550</v>
      </c>
      <c r="B443" s="12">
        <v>46118.0</v>
      </c>
      <c r="C443" s="3" t="s">
        <v>461</v>
      </c>
      <c r="D443" s="3" t="s">
        <v>923</v>
      </c>
      <c r="E443" s="3" t="s">
        <v>2074</v>
      </c>
      <c r="F443" s="3" t="s">
        <v>903</v>
      </c>
      <c r="G443" s="3">
        <v>1.0</v>
      </c>
      <c r="H443" s="3" t="b">
        <v>0</v>
      </c>
      <c r="L443" s="3" t="s">
        <v>2102</v>
      </c>
    </row>
    <row r="444" ht="15.75" customHeight="1">
      <c r="A444" s="3" t="s">
        <v>2551</v>
      </c>
      <c r="B444" s="12">
        <v>46118.0</v>
      </c>
      <c r="C444" s="3" t="s">
        <v>462</v>
      </c>
      <c r="D444" s="3" t="s">
        <v>923</v>
      </c>
      <c r="E444" s="3" t="s">
        <v>2074</v>
      </c>
      <c r="F444" s="3" t="s">
        <v>903</v>
      </c>
      <c r="G444" s="3">
        <v>1.0</v>
      </c>
      <c r="H444" s="3" t="b">
        <v>0</v>
      </c>
      <c r="L444" s="3" t="s">
        <v>2102</v>
      </c>
    </row>
    <row r="445" ht="15.75" customHeight="1">
      <c r="A445" s="3" t="s">
        <v>2552</v>
      </c>
      <c r="B445" s="12">
        <v>46118.0</v>
      </c>
      <c r="C445" s="3" t="s">
        <v>463</v>
      </c>
      <c r="D445" s="3" t="s">
        <v>923</v>
      </c>
      <c r="E445" s="3" t="s">
        <v>2074</v>
      </c>
      <c r="F445" s="3" t="s">
        <v>903</v>
      </c>
      <c r="G445" s="3">
        <v>1.0</v>
      </c>
      <c r="H445" s="3" t="b">
        <v>0</v>
      </c>
      <c r="L445" s="3" t="s">
        <v>2102</v>
      </c>
    </row>
    <row r="446" ht="15.75" customHeight="1">
      <c r="A446" s="3" t="s">
        <v>2553</v>
      </c>
      <c r="B446" s="12">
        <v>46118.0</v>
      </c>
      <c r="C446" s="3" t="s">
        <v>464</v>
      </c>
      <c r="D446" s="3" t="s">
        <v>923</v>
      </c>
      <c r="E446" s="3" t="s">
        <v>2074</v>
      </c>
      <c r="F446" s="3" t="s">
        <v>903</v>
      </c>
      <c r="G446" s="3">
        <v>1.0</v>
      </c>
      <c r="H446" s="3" t="b">
        <v>0</v>
      </c>
      <c r="L446" s="3" t="s">
        <v>2102</v>
      </c>
    </row>
    <row r="447" ht="15.75" customHeight="1">
      <c r="A447" s="3" t="s">
        <v>2554</v>
      </c>
      <c r="B447" s="12">
        <v>46118.0</v>
      </c>
      <c r="C447" s="3" t="s">
        <v>465</v>
      </c>
      <c r="D447" s="3" t="s">
        <v>923</v>
      </c>
      <c r="E447" s="3" t="s">
        <v>2074</v>
      </c>
      <c r="F447" s="3" t="s">
        <v>903</v>
      </c>
      <c r="G447" s="3">
        <v>1.0</v>
      </c>
      <c r="H447" s="3" t="b">
        <v>0</v>
      </c>
      <c r="L447" s="3" t="s">
        <v>2102</v>
      </c>
    </row>
    <row r="448" ht="15.75" customHeight="1">
      <c r="A448" s="3" t="s">
        <v>2555</v>
      </c>
      <c r="B448" s="12">
        <v>46118.0</v>
      </c>
      <c r="C448" s="3" t="s">
        <v>466</v>
      </c>
      <c r="D448" s="3" t="s">
        <v>923</v>
      </c>
      <c r="E448" s="3" t="s">
        <v>2074</v>
      </c>
      <c r="F448" s="3" t="s">
        <v>903</v>
      </c>
      <c r="G448" s="3">
        <v>1.0</v>
      </c>
      <c r="H448" s="3" t="b">
        <v>0</v>
      </c>
      <c r="L448" s="3" t="s">
        <v>2102</v>
      </c>
    </row>
    <row r="449" ht="15.75" customHeight="1">
      <c r="A449" s="3" t="s">
        <v>2556</v>
      </c>
      <c r="B449" s="12">
        <v>46118.0</v>
      </c>
      <c r="C449" s="3" t="s">
        <v>467</v>
      </c>
      <c r="D449" s="3" t="s">
        <v>923</v>
      </c>
      <c r="E449" s="3" t="s">
        <v>2074</v>
      </c>
      <c r="F449" s="3" t="s">
        <v>903</v>
      </c>
      <c r="G449" s="3">
        <v>1.0</v>
      </c>
      <c r="H449" s="3" t="b">
        <v>0</v>
      </c>
      <c r="L449" s="3" t="s">
        <v>2102</v>
      </c>
    </row>
    <row r="450" ht="15.75" customHeight="1">
      <c r="A450" s="3" t="s">
        <v>2557</v>
      </c>
      <c r="B450" s="12">
        <v>46118.0</v>
      </c>
      <c r="C450" s="3" t="s">
        <v>468</v>
      </c>
      <c r="D450" s="3" t="s">
        <v>923</v>
      </c>
      <c r="E450" s="3" t="s">
        <v>2074</v>
      </c>
      <c r="F450" s="3" t="s">
        <v>903</v>
      </c>
      <c r="G450" s="3">
        <v>1.0</v>
      </c>
      <c r="H450" s="3" t="b">
        <v>0</v>
      </c>
      <c r="L450" s="3" t="s">
        <v>2102</v>
      </c>
    </row>
    <row r="451" ht="15.75" customHeight="1">
      <c r="A451" s="3" t="s">
        <v>2558</v>
      </c>
      <c r="B451" s="12">
        <v>46118.0</v>
      </c>
      <c r="C451" s="3" t="s">
        <v>469</v>
      </c>
      <c r="D451" s="3" t="s">
        <v>923</v>
      </c>
      <c r="E451" s="3" t="s">
        <v>2074</v>
      </c>
      <c r="F451" s="3" t="s">
        <v>903</v>
      </c>
      <c r="G451" s="3">
        <v>1.0</v>
      </c>
      <c r="H451" s="3" t="b">
        <v>0</v>
      </c>
      <c r="L451" s="3" t="s">
        <v>2102</v>
      </c>
    </row>
    <row r="452" ht="15.75" customHeight="1">
      <c r="A452" s="3" t="s">
        <v>2559</v>
      </c>
      <c r="B452" s="12">
        <v>46118.0</v>
      </c>
      <c r="C452" s="3" t="s">
        <v>470</v>
      </c>
      <c r="D452" s="3" t="s">
        <v>923</v>
      </c>
      <c r="E452" s="3" t="s">
        <v>2074</v>
      </c>
      <c r="F452" s="3" t="s">
        <v>903</v>
      </c>
      <c r="G452" s="3">
        <v>1.0</v>
      </c>
      <c r="H452" s="3" t="b">
        <v>0</v>
      </c>
      <c r="L452" s="3" t="s">
        <v>2102</v>
      </c>
    </row>
    <row r="453" ht="15.75" customHeight="1">
      <c r="A453" s="3" t="s">
        <v>2560</v>
      </c>
      <c r="B453" s="12">
        <v>46118.0</v>
      </c>
      <c r="C453" s="3" t="s">
        <v>471</v>
      </c>
      <c r="D453" s="3" t="s">
        <v>923</v>
      </c>
      <c r="E453" s="3" t="s">
        <v>2074</v>
      </c>
      <c r="F453" s="3" t="s">
        <v>903</v>
      </c>
      <c r="G453" s="3">
        <v>1.0</v>
      </c>
      <c r="H453" s="3" t="b">
        <v>0</v>
      </c>
      <c r="L453" s="3" t="s">
        <v>2102</v>
      </c>
    </row>
    <row r="454" ht="15.75" customHeight="1">
      <c r="A454" s="3" t="s">
        <v>2561</v>
      </c>
      <c r="B454" s="12">
        <v>46118.0</v>
      </c>
      <c r="C454" s="3" t="s">
        <v>472</v>
      </c>
      <c r="D454" s="3" t="s">
        <v>923</v>
      </c>
      <c r="E454" s="3" t="s">
        <v>2074</v>
      </c>
      <c r="F454" s="3" t="s">
        <v>903</v>
      </c>
      <c r="G454" s="3">
        <v>1.0</v>
      </c>
      <c r="H454" s="3" t="b">
        <v>0</v>
      </c>
      <c r="L454" s="3" t="s">
        <v>2102</v>
      </c>
    </row>
    <row r="455" ht="15.75" customHeight="1">
      <c r="A455" s="3" t="s">
        <v>2562</v>
      </c>
      <c r="B455" s="12">
        <v>46118.0</v>
      </c>
      <c r="C455" s="3" t="s">
        <v>473</v>
      </c>
      <c r="D455" s="3" t="s">
        <v>923</v>
      </c>
      <c r="E455" s="3" t="s">
        <v>2074</v>
      </c>
      <c r="F455" s="3" t="s">
        <v>903</v>
      </c>
      <c r="G455" s="3">
        <v>1.0</v>
      </c>
      <c r="H455" s="3" t="b">
        <v>0</v>
      </c>
      <c r="L455" s="3" t="s">
        <v>2102</v>
      </c>
    </row>
    <row r="456" ht="15.75" customHeight="1">
      <c r="A456" s="3" t="s">
        <v>2563</v>
      </c>
      <c r="B456" s="12">
        <v>46118.0</v>
      </c>
      <c r="C456" s="3" t="s">
        <v>474</v>
      </c>
      <c r="D456" s="3" t="s">
        <v>923</v>
      </c>
      <c r="E456" s="3" t="s">
        <v>2074</v>
      </c>
      <c r="F456" s="3" t="s">
        <v>903</v>
      </c>
      <c r="G456" s="3">
        <v>1.0</v>
      </c>
      <c r="H456" s="3" t="b">
        <v>0</v>
      </c>
      <c r="L456" s="3" t="s">
        <v>2102</v>
      </c>
    </row>
    <row r="457" ht="15.75" customHeight="1">
      <c r="A457" s="3" t="s">
        <v>2564</v>
      </c>
      <c r="B457" s="12">
        <v>46118.0</v>
      </c>
      <c r="C457" s="3" t="s">
        <v>475</v>
      </c>
      <c r="D457" s="3" t="s">
        <v>923</v>
      </c>
      <c r="E457" s="3" t="s">
        <v>2074</v>
      </c>
      <c r="F457" s="3" t="s">
        <v>903</v>
      </c>
      <c r="G457" s="3">
        <v>1.0</v>
      </c>
      <c r="H457" s="3" t="b">
        <v>0</v>
      </c>
      <c r="L457" s="3" t="s">
        <v>2102</v>
      </c>
    </row>
    <row r="458" ht="15.75" customHeight="1">
      <c r="A458" s="3" t="s">
        <v>2565</v>
      </c>
      <c r="B458" s="12">
        <v>46118.0</v>
      </c>
      <c r="C458" s="3" t="s">
        <v>476</v>
      </c>
      <c r="D458" s="3" t="s">
        <v>923</v>
      </c>
      <c r="E458" s="3" t="s">
        <v>2074</v>
      </c>
      <c r="F458" s="3" t="s">
        <v>903</v>
      </c>
      <c r="G458" s="3">
        <v>1.0</v>
      </c>
      <c r="H458" s="3" t="b">
        <v>0</v>
      </c>
      <c r="L458" s="3" t="s">
        <v>2102</v>
      </c>
    </row>
    <row r="459" ht="15.75" customHeight="1">
      <c r="A459" s="3" t="s">
        <v>2566</v>
      </c>
      <c r="B459" s="12">
        <v>46118.0</v>
      </c>
      <c r="C459" s="3" t="s">
        <v>477</v>
      </c>
      <c r="D459" s="3" t="s">
        <v>923</v>
      </c>
      <c r="E459" s="3" t="s">
        <v>2074</v>
      </c>
      <c r="F459" s="3" t="s">
        <v>903</v>
      </c>
      <c r="G459" s="3">
        <v>1.0</v>
      </c>
      <c r="H459" s="3" t="b">
        <v>0</v>
      </c>
      <c r="L459" s="3" t="s">
        <v>2102</v>
      </c>
    </row>
    <row r="460" ht="15.75" customHeight="1">
      <c r="A460" s="3" t="s">
        <v>2567</v>
      </c>
      <c r="B460" s="12">
        <v>46118.0</v>
      </c>
      <c r="C460" s="3" t="s">
        <v>478</v>
      </c>
      <c r="D460" s="3" t="s">
        <v>923</v>
      </c>
      <c r="E460" s="3" t="s">
        <v>2074</v>
      </c>
      <c r="F460" s="3" t="s">
        <v>903</v>
      </c>
      <c r="G460" s="3">
        <v>1.0</v>
      </c>
      <c r="H460" s="3" t="b">
        <v>0</v>
      </c>
      <c r="L460" s="3" t="s">
        <v>2102</v>
      </c>
    </row>
    <row r="461" ht="15.75" customHeight="1">
      <c r="A461" s="3" t="s">
        <v>2568</v>
      </c>
      <c r="B461" s="12">
        <v>46118.0</v>
      </c>
      <c r="C461" s="3" t="s">
        <v>479</v>
      </c>
      <c r="D461" s="3" t="s">
        <v>923</v>
      </c>
      <c r="E461" s="3" t="s">
        <v>2074</v>
      </c>
      <c r="F461" s="3" t="s">
        <v>903</v>
      </c>
      <c r="G461" s="3">
        <v>1.0</v>
      </c>
      <c r="H461" s="3" t="b">
        <v>0</v>
      </c>
      <c r="L461" s="3" t="s">
        <v>2102</v>
      </c>
    </row>
    <row r="462" ht="15.75" customHeight="1">
      <c r="A462" s="3" t="s">
        <v>2569</v>
      </c>
      <c r="B462" s="12">
        <v>46118.0</v>
      </c>
      <c r="C462" s="3" t="s">
        <v>480</v>
      </c>
      <c r="D462" s="3" t="s">
        <v>923</v>
      </c>
      <c r="E462" s="3" t="s">
        <v>2074</v>
      </c>
      <c r="F462" s="3" t="s">
        <v>903</v>
      </c>
      <c r="G462" s="3">
        <v>1.0</v>
      </c>
      <c r="H462" s="3" t="b">
        <v>0</v>
      </c>
      <c r="L462" s="3" t="s">
        <v>2102</v>
      </c>
    </row>
    <row r="463" ht="15.75" customHeight="1">
      <c r="A463" s="3" t="s">
        <v>2570</v>
      </c>
      <c r="B463" s="12">
        <v>46118.0</v>
      </c>
      <c r="C463" s="3" t="s">
        <v>481</v>
      </c>
      <c r="D463" s="3" t="s">
        <v>923</v>
      </c>
      <c r="E463" s="3" t="s">
        <v>2074</v>
      </c>
      <c r="F463" s="3" t="s">
        <v>903</v>
      </c>
      <c r="G463" s="3">
        <v>1.0</v>
      </c>
      <c r="H463" s="3" t="b">
        <v>0</v>
      </c>
      <c r="L463" s="3" t="s">
        <v>2102</v>
      </c>
    </row>
    <row r="464" ht="15.75" customHeight="1">
      <c r="A464" s="3" t="s">
        <v>2571</v>
      </c>
      <c r="B464" s="12">
        <v>46118.0</v>
      </c>
      <c r="C464" s="3" t="s">
        <v>482</v>
      </c>
      <c r="D464" s="3" t="s">
        <v>923</v>
      </c>
      <c r="E464" s="3" t="s">
        <v>2074</v>
      </c>
      <c r="F464" s="3" t="s">
        <v>903</v>
      </c>
      <c r="G464" s="3">
        <v>1.0</v>
      </c>
      <c r="H464" s="3" t="b">
        <v>0</v>
      </c>
      <c r="L464" s="3" t="s">
        <v>2102</v>
      </c>
    </row>
    <row r="465" ht="15.75" customHeight="1">
      <c r="A465" s="3" t="s">
        <v>2572</v>
      </c>
      <c r="B465" s="12">
        <v>46118.0</v>
      </c>
      <c r="C465" s="3" t="s">
        <v>483</v>
      </c>
      <c r="D465" s="3" t="s">
        <v>923</v>
      </c>
      <c r="E465" s="3" t="s">
        <v>2074</v>
      </c>
      <c r="F465" s="3" t="s">
        <v>903</v>
      </c>
      <c r="G465" s="3">
        <v>1.0</v>
      </c>
      <c r="H465" s="3" t="b">
        <v>0</v>
      </c>
      <c r="L465" s="3" t="s">
        <v>2102</v>
      </c>
    </row>
    <row r="466" ht="15.75" customHeight="1">
      <c r="A466" s="3" t="s">
        <v>2573</v>
      </c>
      <c r="B466" s="12">
        <v>46118.0</v>
      </c>
      <c r="C466" s="3" t="s">
        <v>484</v>
      </c>
      <c r="D466" s="3" t="s">
        <v>923</v>
      </c>
      <c r="E466" s="3" t="s">
        <v>2074</v>
      </c>
      <c r="F466" s="3" t="s">
        <v>903</v>
      </c>
      <c r="G466" s="3">
        <v>1.0</v>
      </c>
      <c r="H466" s="3" t="b">
        <v>0</v>
      </c>
      <c r="L466" s="3" t="s">
        <v>2102</v>
      </c>
    </row>
    <row r="467" ht="15.75" customHeight="1">
      <c r="A467" s="3" t="s">
        <v>2574</v>
      </c>
      <c r="B467" s="12">
        <v>46118.0</v>
      </c>
      <c r="C467" s="3" t="s">
        <v>485</v>
      </c>
      <c r="D467" s="3" t="s">
        <v>923</v>
      </c>
      <c r="E467" s="3" t="s">
        <v>2074</v>
      </c>
      <c r="F467" s="3" t="s">
        <v>903</v>
      </c>
      <c r="G467" s="3">
        <v>1.0</v>
      </c>
      <c r="H467" s="3" t="b">
        <v>0</v>
      </c>
      <c r="L467" s="3" t="s">
        <v>2102</v>
      </c>
    </row>
    <row r="468" ht="15.75" customHeight="1">
      <c r="A468" s="3" t="s">
        <v>2575</v>
      </c>
      <c r="B468" s="12">
        <v>46118.0</v>
      </c>
      <c r="C468" s="3" t="s">
        <v>1231</v>
      </c>
      <c r="D468" s="3" t="s">
        <v>923</v>
      </c>
      <c r="E468" s="3" t="s">
        <v>2074</v>
      </c>
      <c r="F468" s="3" t="s">
        <v>903</v>
      </c>
      <c r="G468" s="3">
        <v>1.0</v>
      </c>
      <c r="H468" s="3" t="b">
        <v>0</v>
      </c>
      <c r="L468" s="3" t="s">
        <v>2102</v>
      </c>
    </row>
    <row r="469" ht="15.75" customHeight="1">
      <c r="A469" s="3" t="s">
        <v>2576</v>
      </c>
      <c r="B469" s="12">
        <v>46118.0</v>
      </c>
      <c r="C469" s="3" t="s">
        <v>486</v>
      </c>
      <c r="D469" s="3" t="s">
        <v>923</v>
      </c>
      <c r="E469" s="3" t="s">
        <v>2074</v>
      </c>
      <c r="F469" s="3" t="s">
        <v>903</v>
      </c>
      <c r="G469" s="3">
        <v>1.0</v>
      </c>
      <c r="H469" s="3" t="b">
        <v>0</v>
      </c>
      <c r="L469" s="3" t="s">
        <v>2102</v>
      </c>
    </row>
    <row r="470" ht="15.75" customHeight="1">
      <c r="A470" s="3" t="s">
        <v>2577</v>
      </c>
      <c r="B470" s="12">
        <v>46118.0</v>
      </c>
      <c r="C470" s="3" t="s">
        <v>487</v>
      </c>
      <c r="D470" s="3" t="s">
        <v>923</v>
      </c>
      <c r="E470" s="3" t="s">
        <v>2074</v>
      </c>
      <c r="F470" s="3" t="s">
        <v>903</v>
      </c>
      <c r="G470" s="3">
        <v>1.0</v>
      </c>
      <c r="H470" s="3" t="b">
        <v>0</v>
      </c>
      <c r="L470" s="3" t="s">
        <v>2102</v>
      </c>
    </row>
    <row r="471" ht="15.75" customHeight="1">
      <c r="A471" s="3" t="s">
        <v>2578</v>
      </c>
      <c r="B471" s="12">
        <v>46118.0</v>
      </c>
      <c r="C471" s="3" t="s">
        <v>488</v>
      </c>
      <c r="D471" s="3" t="s">
        <v>923</v>
      </c>
      <c r="E471" s="3" t="s">
        <v>2074</v>
      </c>
      <c r="F471" s="3" t="s">
        <v>903</v>
      </c>
      <c r="G471" s="3">
        <v>1.0</v>
      </c>
      <c r="H471" s="3" t="b">
        <v>0</v>
      </c>
      <c r="L471" s="3" t="s">
        <v>2102</v>
      </c>
    </row>
    <row r="472" ht="15.75" customHeight="1">
      <c r="A472" s="3" t="s">
        <v>2579</v>
      </c>
      <c r="B472" s="12">
        <v>46118.0</v>
      </c>
      <c r="C472" s="3" t="s">
        <v>490</v>
      </c>
      <c r="D472" s="3" t="s">
        <v>923</v>
      </c>
      <c r="E472" s="3" t="s">
        <v>2074</v>
      </c>
      <c r="F472" s="3" t="s">
        <v>903</v>
      </c>
      <c r="G472" s="3">
        <v>1.0</v>
      </c>
      <c r="H472" s="3" t="b">
        <v>0</v>
      </c>
      <c r="L472" s="3" t="s">
        <v>2102</v>
      </c>
    </row>
    <row r="473" ht="15.75" customHeight="1">
      <c r="A473" s="3" t="s">
        <v>2580</v>
      </c>
      <c r="B473" s="12">
        <v>46118.0</v>
      </c>
      <c r="C473" s="3" t="s">
        <v>491</v>
      </c>
      <c r="D473" s="3" t="s">
        <v>923</v>
      </c>
      <c r="E473" s="3" t="s">
        <v>2074</v>
      </c>
      <c r="F473" s="3" t="s">
        <v>903</v>
      </c>
      <c r="G473" s="3">
        <v>1.0</v>
      </c>
      <c r="H473" s="3" t="b">
        <v>0</v>
      </c>
      <c r="L473" s="3" t="s">
        <v>2102</v>
      </c>
    </row>
    <row r="474" ht="15.75" customHeight="1">
      <c r="A474" s="3" t="s">
        <v>2581</v>
      </c>
      <c r="B474" s="12">
        <v>46118.0</v>
      </c>
      <c r="C474" s="3" t="s">
        <v>492</v>
      </c>
      <c r="D474" s="3" t="s">
        <v>923</v>
      </c>
      <c r="E474" s="3" t="s">
        <v>2074</v>
      </c>
      <c r="F474" s="3" t="s">
        <v>903</v>
      </c>
      <c r="G474" s="3">
        <v>1.0</v>
      </c>
      <c r="H474" s="3" t="b">
        <v>0</v>
      </c>
      <c r="L474" s="3" t="s">
        <v>2102</v>
      </c>
    </row>
    <row r="475" ht="15.75" customHeight="1">
      <c r="A475" s="3" t="s">
        <v>2582</v>
      </c>
      <c r="B475" s="12">
        <v>46118.0</v>
      </c>
      <c r="C475" s="3" t="s">
        <v>493</v>
      </c>
      <c r="D475" s="3" t="s">
        <v>923</v>
      </c>
      <c r="E475" s="3" t="s">
        <v>2074</v>
      </c>
      <c r="F475" s="3" t="s">
        <v>903</v>
      </c>
      <c r="G475" s="3">
        <v>1.0</v>
      </c>
      <c r="H475" s="3" t="b">
        <v>0</v>
      </c>
      <c r="L475" s="3" t="s">
        <v>2102</v>
      </c>
    </row>
    <row r="476" ht="15.75" customHeight="1">
      <c r="A476" s="3" t="s">
        <v>2583</v>
      </c>
      <c r="B476" s="12">
        <v>46118.0</v>
      </c>
      <c r="C476" s="3" t="s">
        <v>494</v>
      </c>
      <c r="D476" s="3" t="s">
        <v>923</v>
      </c>
      <c r="E476" s="3" t="s">
        <v>2074</v>
      </c>
      <c r="F476" s="3" t="s">
        <v>903</v>
      </c>
      <c r="G476" s="3">
        <v>1.0</v>
      </c>
      <c r="H476" s="3" t="b">
        <v>0</v>
      </c>
      <c r="L476" s="3" t="s">
        <v>2102</v>
      </c>
    </row>
    <row r="477" ht="15.75" customHeight="1">
      <c r="A477" s="3" t="s">
        <v>2584</v>
      </c>
      <c r="B477" s="12">
        <v>46118.0</v>
      </c>
      <c r="C477" s="3" t="s">
        <v>495</v>
      </c>
      <c r="D477" s="3" t="s">
        <v>923</v>
      </c>
      <c r="E477" s="3" t="s">
        <v>2074</v>
      </c>
      <c r="F477" s="3" t="s">
        <v>903</v>
      </c>
      <c r="G477" s="3">
        <v>1.0</v>
      </c>
      <c r="H477" s="3" t="b">
        <v>0</v>
      </c>
      <c r="L477" s="3" t="s">
        <v>2102</v>
      </c>
    </row>
    <row r="478" ht="15.75" customHeight="1">
      <c r="A478" s="3" t="s">
        <v>2585</v>
      </c>
      <c r="B478" s="12">
        <v>46118.0</v>
      </c>
      <c r="C478" s="3" t="s">
        <v>496</v>
      </c>
      <c r="D478" s="3" t="s">
        <v>923</v>
      </c>
      <c r="E478" s="3" t="s">
        <v>2074</v>
      </c>
      <c r="F478" s="3" t="s">
        <v>903</v>
      </c>
      <c r="G478" s="3">
        <v>1.0</v>
      </c>
      <c r="H478" s="3" t="b">
        <v>0</v>
      </c>
      <c r="L478" s="3" t="s">
        <v>2102</v>
      </c>
    </row>
    <row r="479" ht="15.75" customHeight="1">
      <c r="A479" s="3" t="s">
        <v>2586</v>
      </c>
      <c r="B479" s="12">
        <v>46118.0</v>
      </c>
      <c r="C479" s="3" t="s">
        <v>497</v>
      </c>
      <c r="D479" s="3" t="s">
        <v>923</v>
      </c>
      <c r="E479" s="3" t="s">
        <v>2074</v>
      </c>
      <c r="F479" s="3" t="s">
        <v>903</v>
      </c>
      <c r="G479" s="3">
        <v>1.0</v>
      </c>
      <c r="H479" s="3" t="b">
        <v>0</v>
      </c>
      <c r="L479" s="3" t="s">
        <v>2102</v>
      </c>
    </row>
    <row r="480" ht="15.75" customHeight="1">
      <c r="A480" s="3" t="s">
        <v>2587</v>
      </c>
      <c r="B480" s="12">
        <v>46118.0</v>
      </c>
      <c r="C480" s="3" t="s">
        <v>498</v>
      </c>
      <c r="D480" s="3" t="s">
        <v>923</v>
      </c>
      <c r="E480" s="3" t="s">
        <v>2074</v>
      </c>
      <c r="F480" s="3" t="s">
        <v>903</v>
      </c>
      <c r="G480" s="3">
        <v>1.0</v>
      </c>
      <c r="H480" s="3" t="b">
        <v>0</v>
      </c>
      <c r="L480" s="3" t="s">
        <v>2102</v>
      </c>
    </row>
    <row r="481" ht="15.75" customHeight="1">
      <c r="A481" s="3" t="s">
        <v>2588</v>
      </c>
      <c r="B481" s="12">
        <v>46118.0</v>
      </c>
      <c r="C481" s="3" t="s">
        <v>1174</v>
      </c>
      <c r="D481" s="3" t="s">
        <v>923</v>
      </c>
      <c r="E481" s="3" t="s">
        <v>2074</v>
      </c>
      <c r="F481" s="3" t="s">
        <v>903</v>
      </c>
      <c r="G481" s="3">
        <v>1.0</v>
      </c>
      <c r="H481" s="3" t="b">
        <v>0</v>
      </c>
      <c r="L481" s="3" t="s">
        <v>2102</v>
      </c>
    </row>
    <row r="482" ht="15.75" customHeight="1">
      <c r="A482" s="3" t="s">
        <v>2589</v>
      </c>
      <c r="B482" s="12">
        <v>46118.0</v>
      </c>
      <c r="C482" s="3" t="s">
        <v>499</v>
      </c>
      <c r="D482" s="3" t="s">
        <v>923</v>
      </c>
      <c r="E482" s="3" t="s">
        <v>2074</v>
      </c>
      <c r="F482" s="3" t="s">
        <v>903</v>
      </c>
      <c r="G482" s="3">
        <v>1.0</v>
      </c>
      <c r="H482" s="3" t="b">
        <v>0</v>
      </c>
      <c r="L482" s="3" t="s">
        <v>2102</v>
      </c>
    </row>
    <row r="483" ht="15.75" customHeight="1">
      <c r="A483" s="3" t="s">
        <v>2590</v>
      </c>
      <c r="B483" s="12">
        <v>46118.0</v>
      </c>
      <c r="C483" s="3" t="s">
        <v>500</v>
      </c>
      <c r="D483" s="3" t="s">
        <v>923</v>
      </c>
      <c r="E483" s="3" t="s">
        <v>2074</v>
      </c>
      <c r="F483" s="3" t="s">
        <v>903</v>
      </c>
      <c r="G483" s="3">
        <v>1.0</v>
      </c>
      <c r="H483" s="3" t="b">
        <v>0</v>
      </c>
      <c r="L483" s="3" t="s">
        <v>2102</v>
      </c>
    </row>
    <row r="484" ht="15.75" customHeight="1">
      <c r="A484" s="3" t="s">
        <v>2591</v>
      </c>
      <c r="B484" s="12">
        <v>46118.0</v>
      </c>
      <c r="C484" s="3" t="s">
        <v>501</v>
      </c>
      <c r="D484" s="3" t="s">
        <v>923</v>
      </c>
      <c r="E484" s="3" t="s">
        <v>2074</v>
      </c>
      <c r="F484" s="3" t="s">
        <v>903</v>
      </c>
      <c r="G484" s="3">
        <v>1.0</v>
      </c>
      <c r="H484" s="3" t="b">
        <v>0</v>
      </c>
      <c r="L484" s="3" t="s">
        <v>2102</v>
      </c>
    </row>
    <row r="485" ht="15.75" customHeight="1">
      <c r="A485" s="3" t="s">
        <v>2592</v>
      </c>
      <c r="B485" s="12">
        <v>46118.0</v>
      </c>
      <c r="C485" s="3" t="s">
        <v>502</v>
      </c>
      <c r="D485" s="3" t="s">
        <v>923</v>
      </c>
      <c r="E485" s="3" t="s">
        <v>2074</v>
      </c>
      <c r="F485" s="3" t="s">
        <v>903</v>
      </c>
      <c r="G485" s="3">
        <v>1.0</v>
      </c>
      <c r="H485" s="3" t="b">
        <v>0</v>
      </c>
      <c r="L485" s="3" t="s">
        <v>2102</v>
      </c>
    </row>
    <row r="486" ht="15.75" customHeight="1">
      <c r="A486" s="3" t="s">
        <v>2593</v>
      </c>
      <c r="B486" s="12">
        <v>46118.0</v>
      </c>
      <c r="C486" s="3" t="s">
        <v>503</v>
      </c>
      <c r="D486" s="3" t="s">
        <v>923</v>
      </c>
      <c r="E486" s="3" t="s">
        <v>2074</v>
      </c>
      <c r="F486" s="3" t="s">
        <v>903</v>
      </c>
      <c r="G486" s="3">
        <v>1.0</v>
      </c>
      <c r="H486" s="3" t="b">
        <v>0</v>
      </c>
      <c r="L486" s="3" t="s">
        <v>2102</v>
      </c>
    </row>
    <row r="487" ht="15.75" customHeight="1">
      <c r="A487" s="3" t="s">
        <v>2594</v>
      </c>
      <c r="B487" s="12">
        <v>46118.0</v>
      </c>
      <c r="C487" s="3" t="s">
        <v>504</v>
      </c>
      <c r="D487" s="3" t="s">
        <v>923</v>
      </c>
      <c r="E487" s="3" t="s">
        <v>2074</v>
      </c>
      <c r="F487" s="3" t="s">
        <v>903</v>
      </c>
      <c r="G487" s="3">
        <v>1.0</v>
      </c>
      <c r="H487" s="3" t="b">
        <v>0</v>
      </c>
      <c r="L487" s="3" t="s">
        <v>2102</v>
      </c>
    </row>
    <row r="488" ht="15.75" customHeight="1">
      <c r="A488" s="3" t="s">
        <v>2595</v>
      </c>
      <c r="B488" s="12">
        <v>46118.0</v>
      </c>
      <c r="C488" s="3" t="s">
        <v>505</v>
      </c>
      <c r="D488" s="3" t="s">
        <v>923</v>
      </c>
      <c r="E488" s="3" t="s">
        <v>2074</v>
      </c>
      <c r="F488" s="3" t="s">
        <v>903</v>
      </c>
      <c r="G488" s="3">
        <v>1.0</v>
      </c>
      <c r="H488" s="3" t="b">
        <v>0</v>
      </c>
      <c r="L488" s="3" t="s">
        <v>2102</v>
      </c>
    </row>
    <row r="489" ht="15.75" customHeight="1">
      <c r="A489" s="3" t="s">
        <v>2596</v>
      </c>
      <c r="B489" s="12">
        <v>46118.0</v>
      </c>
      <c r="C489" s="3" t="s">
        <v>506</v>
      </c>
      <c r="D489" s="3" t="s">
        <v>923</v>
      </c>
      <c r="E489" s="3" t="s">
        <v>2074</v>
      </c>
      <c r="F489" s="3" t="s">
        <v>903</v>
      </c>
      <c r="G489" s="3">
        <v>1.0</v>
      </c>
      <c r="H489" s="3" t="b">
        <v>0</v>
      </c>
      <c r="L489" s="3" t="s">
        <v>2102</v>
      </c>
    </row>
    <row r="490" ht="15.75" customHeight="1">
      <c r="A490" s="3" t="s">
        <v>2597</v>
      </c>
      <c r="B490" s="12">
        <v>46118.0</v>
      </c>
      <c r="C490" s="3" t="s">
        <v>507</v>
      </c>
      <c r="D490" s="3" t="s">
        <v>923</v>
      </c>
      <c r="E490" s="3" t="s">
        <v>2074</v>
      </c>
      <c r="F490" s="3" t="s">
        <v>903</v>
      </c>
      <c r="G490" s="3">
        <v>1.0</v>
      </c>
      <c r="H490" s="3" t="b">
        <v>0</v>
      </c>
      <c r="L490" s="3" t="s">
        <v>2102</v>
      </c>
    </row>
    <row r="491" ht="15.75" customHeight="1">
      <c r="A491" s="3" t="s">
        <v>2598</v>
      </c>
      <c r="B491" s="12">
        <v>46118.0</v>
      </c>
      <c r="C491" s="3" t="s">
        <v>508</v>
      </c>
      <c r="D491" s="3" t="s">
        <v>923</v>
      </c>
      <c r="E491" s="3" t="s">
        <v>2074</v>
      </c>
      <c r="F491" s="3" t="s">
        <v>903</v>
      </c>
      <c r="G491" s="3">
        <v>1.0</v>
      </c>
      <c r="H491" s="3" t="b">
        <v>0</v>
      </c>
      <c r="L491" s="3" t="s">
        <v>2102</v>
      </c>
    </row>
    <row r="492" ht="15.75" customHeight="1">
      <c r="A492" s="3" t="s">
        <v>2599</v>
      </c>
      <c r="B492" s="12">
        <v>46118.0</v>
      </c>
      <c r="C492" s="3" t="s">
        <v>509</v>
      </c>
      <c r="D492" s="3" t="s">
        <v>923</v>
      </c>
      <c r="E492" s="3" t="s">
        <v>2074</v>
      </c>
      <c r="F492" s="3" t="s">
        <v>903</v>
      </c>
      <c r="G492" s="3">
        <v>1.0</v>
      </c>
      <c r="H492" s="3" t="b">
        <v>0</v>
      </c>
      <c r="L492" s="3" t="s">
        <v>2102</v>
      </c>
    </row>
    <row r="493" ht="15.75" customHeight="1">
      <c r="A493" s="3" t="s">
        <v>2600</v>
      </c>
      <c r="B493" s="12">
        <v>46118.0</v>
      </c>
      <c r="C493" s="3" t="s">
        <v>510</v>
      </c>
      <c r="D493" s="3" t="s">
        <v>923</v>
      </c>
      <c r="E493" s="3" t="s">
        <v>2074</v>
      </c>
      <c r="F493" s="3" t="s">
        <v>903</v>
      </c>
      <c r="G493" s="3">
        <v>1.0</v>
      </c>
      <c r="H493" s="3" t="b">
        <v>0</v>
      </c>
      <c r="L493" s="3" t="s">
        <v>2102</v>
      </c>
    </row>
    <row r="494" ht="15.75" customHeight="1">
      <c r="A494" s="3" t="s">
        <v>2601</v>
      </c>
      <c r="B494" s="12">
        <v>46118.0</v>
      </c>
      <c r="C494" s="3" t="s">
        <v>511</v>
      </c>
      <c r="D494" s="3" t="s">
        <v>923</v>
      </c>
      <c r="E494" s="3" t="s">
        <v>2074</v>
      </c>
      <c r="F494" s="3" t="s">
        <v>903</v>
      </c>
      <c r="G494" s="3">
        <v>1.0</v>
      </c>
      <c r="H494" s="3" t="b">
        <v>0</v>
      </c>
      <c r="L494" s="3" t="s">
        <v>2102</v>
      </c>
    </row>
    <row r="495" ht="15.75" customHeight="1">
      <c r="A495" s="3" t="s">
        <v>2602</v>
      </c>
      <c r="B495" s="12">
        <v>46118.0</v>
      </c>
      <c r="C495" s="3" t="s">
        <v>512</v>
      </c>
      <c r="D495" s="3" t="s">
        <v>923</v>
      </c>
      <c r="E495" s="3" t="s">
        <v>2074</v>
      </c>
      <c r="F495" s="3" t="s">
        <v>903</v>
      </c>
      <c r="G495" s="3">
        <v>1.0</v>
      </c>
      <c r="H495" s="3" t="b">
        <v>0</v>
      </c>
      <c r="L495" s="3" t="s">
        <v>2102</v>
      </c>
    </row>
    <row r="496" ht="15.75" customHeight="1">
      <c r="A496" s="3" t="s">
        <v>2603</v>
      </c>
      <c r="B496" s="12">
        <v>46118.0</v>
      </c>
      <c r="C496" s="3" t="s">
        <v>513</v>
      </c>
      <c r="D496" s="3" t="s">
        <v>923</v>
      </c>
      <c r="E496" s="3" t="s">
        <v>2074</v>
      </c>
      <c r="F496" s="3" t="s">
        <v>903</v>
      </c>
      <c r="G496" s="3">
        <v>1.0</v>
      </c>
      <c r="H496" s="3" t="b">
        <v>0</v>
      </c>
      <c r="L496" s="3" t="s">
        <v>2102</v>
      </c>
    </row>
    <row r="497" ht="15.75" customHeight="1">
      <c r="A497" s="3" t="s">
        <v>2604</v>
      </c>
      <c r="B497" s="12">
        <v>46118.0</v>
      </c>
      <c r="C497" s="3" t="s">
        <v>514</v>
      </c>
      <c r="D497" s="3" t="s">
        <v>923</v>
      </c>
      <c r="E497" s="3" t="s">
        <v>2074</v>
      </c>
      <c r="F497" s="3" t="s">
        <v>903</v>
      </c>
      <c r="G497" s="3">
        <v>1.0</v>
      </c>
      <c r="H497" s="3" t="b">
        <v>0</v>
      </c>
      <c r="L497" s="3" t="s">
        <v>2102</v>
      </c>
    </row>
    <row r="498" ht="15.75" customHeight="1">
      <c r="A498" s="3" t="s">
        <v>2605</v>
      </c>
      <c r="B498" s="12">
        <v>46118.0</v>
      </c>
      <c r="C498" s="3" t="s">
        <v>515</v>
      </c>
      <c r="D498" s="3" t="s">
        <v>923</v>
      </c>
      <c r="E498" s="3" t="s">
        <v>2074</v>
      </c>
      <c r="F498" s="3" t="s">
        <v>903</v>
      </c>
      <c r="G498" s="3">
        <v>1.0</v>
      </c>
      <c r="H498" s="3" t="b">
        <v>0</v>
      </c>
      <c r="L498" s="3" t="s">
        <v>2102</v>
      </c>
    </row>
    <row r="499" ht="15.75" customHeight="1">
      <c r="A499" s="3" t="s">
        <v>2606</v>
      </c>
      <c r="B499" s="12">
        <v>46118.0</v>
      </c>
      <c r="C499" s="3" t="s">
        <v>516</v>
      </c>
      <c r="D499" s="3" t="s">
        <v>923</v>
      </c>
      <c r="E499" s="3" t="s">
        <v>2074</v>
      </c>
      <c r="F499" s="3" t="s">
        <v>903</v>
      </c>
      <c r="G499" s="3">
        <v>1.0</v>
      </c>
      <c r="H499" s="3" t="b">
        <v>0</v>
      </c>
      <c r="L499" s="3" t="s">
        <v>2102</v>
      </c>
    </row>
    <row r="500" ht="15.75" customHeight="1">
      <c r="A500" s="3" t="s">
        <v>2607</v>
      </c>
      <c r="B500" s="12">
        <v>46118.0</v>
      </c>
      <c r="C500" s="3" t="s">
        <v>517</v>
      </c>
      <c r="D500" s="3" t="s">
        <v>923</v>
      </c>
      <c r="E500" s="3" t="s">
        <v>2074</v>
      </c>
      <c r="F500" s="3" t="s">
        <v>903</v>
      </c>
      <c r="G500" s="3">
        <v>1.0</v>
      </c>
      <c r="H500" s="3" t="b">
        <v>0</v>
      </c>
      <c r="L500" s="3" t="s">
        <v>2102</v>
      </c>
    </row>
    <row r="501" ht="15.75" customHeight="1">
      <c r="A501" s="3" t="s">
        <v>2608</v>
      </c>
      <c r="B501" s="12">
        <v>46118.0</v>
      </c>
      <c r="C501" s="3" t="s">
        <v>518</v>
      </c>
      <c r="D501" s="3" t="s">
        <v>923</v>
      </c>
      <c r="E501" s="3" t="s">
        <v>2074</v>
      </c>
      <c r="F501" s="3" t="s">
        <v>903</v>
      </c>
      <c r="G501" s="3">
        <v>1.0</v>
      </c>
      <c r="H501" s="3" t="b">
        <v>0</v>
      </c>
      <c r="L501" s="3" t="s">
        <v>2102</v>
      </c>
    </row>
    <row r="502" ht="15.75" customHeight="1">
      <c r="A502" s="3" t="s">
        <v>2609</v>
      </c>
      <c r="B502" s="12">
        <v>46118.0</v>
      </c>
      <c r="C502" s="3" t="s">
        <v>520</v>
      </c>
      <c r="D502" s="3" t="s">
        <v>923</v>
      </c>
      <c r="E502" s="3" t="s">
        <v>2074</v>
      </c>
      <c r="F502" s="3" t="s">
        <v>903</v>
      </c>
      <c r="G502" s="3">
        <v>1.0</v>
      </c>
      <c r="H502" s="3" t="b">
        <v>0</v>
      </c>
      <c r="L502" s="3" t="s">
        <v>2102</v>
      </c>
    </row>
    <row r="503" ht="15.75" customHeight="1">
      <c r="A503" s="3" t="s">
        <v>2610</v>
      </c>
      <c r="B503" s="12">
        <v>46118.0</v>
      </c>
      <c r="C503" s="3" t="s">
        <v>521</v>
      </c>
      <c r="D503" s="3" t="s">
        <v>923</v>
      </c>
      <c r="E503" s="3" t="s">
        <v>2074</v>
      </c>
      <c r="F503" s="3" t="s">
        <v>903</v>
      </c>
      <c r="G503" s="3">
        <v>1.0</v>
      </c>
      <c r="H503" s="3" t="b">
        <v>0</v>
      </c>
      <c r="L503" s="3" t="s">
        <v>2102</v>
      </c>
    </row>
    <row r="504" ht="15.75" customHeight="1">
      <c r="A504" s="3" t="s">
        <v>2611</v>
      </c>
      <c r="B504" s="12">
        <v>46118.0</v>
      </c>
      <c r="C504" s="3" t="s">
        <v>522</v>
      </c>
      <c r="D504" s="3" t="s">
        <v>923</v>
      </c>
      <c r="E504" s="3" t="s">
        <v>2074</v>
      </c>
      <c r="F504" s="3" t="s">
        <v>903</v>
      </c>
      <c r="G504" s="3">
        <v>1.0</v>
      </c>
      <c r="H504" s="3" t="b">
        <v>0</v>
      </c>
      <c r="L504" s="3" t="s">
        <v>2102</v>
      </c>
    </row>
    <row r="505" ht="15.75" customHeight="1">
      <c r="A505" s="3" t="s">
        <v>2612</v>
      </c>
      <c r="B505" s="12">
        <v>46118.0</v>
      </c>
      <c r="C505" s="3" t="s">
        <v>523</v>
      </c>
      <c r="D505" s="3" t="s">
        <v>923</v>
      </c>
      <c r="E505" s="3" t="s">
        <v>2074</v>
      </c>
      <c r="F505" s="3" t="s">
        <v>903</v>
      </c>
      <c r="G505" s="3">
        <v>1.0</v>
      </c>
      <c r="H505" s="3" t="b">
        <v>0</v>
      </c>
      <c r="L505" s="3" t="s">
        <v>2102</v>
      </c>
    </row>
    <row r="506" ht="15.75" customHeight="1">
      <c r="A506" s="3" t="s">
        <v>2613</v>
      </c>
      <c r="B506" s="12">
        <v>46118.0</v>
      </c>
      <c r="C506" s="3" t="s">
        <v>524</v>
      </c>
      <c r="D506" s="3" t="s">
        <v>923</v>
      </c>
      <c r="E506" s="3" t="s">
        <v>2074</v>
      </c>
      <c r="F506" s="3" t="s">
        <v>903</v>
      </c>
      <c r="G506" s="3">
        <v>1.0</v>
      </c>
      <c r="H506" s="3" t="b">
        <v>0</v>
      </c>
      <c r="L506" s="3" t="s">
        <v>2102</v>
      </c>
    </row>
    <row r="507" ht="15.75" customHeight="1">
      <c r="A507" s="3" t="s">
        <v>2614</v>
      </c>
      <c r="B507" s="12">
        <v>46118.0</v>
      </c>
      <c r="C507" s="3" t="s">
        <v>525</v>
      </c>
      <c r="D507" s="3" t="s">
        <v>923</v>
      </c>
      <c r="E507" s="3" t="s">
        <v>2074</v>
      </c>
      <c r="F507" s="3" t="s">
        <v>903</v>
      </c>
      <c r="G507" s="3">
        <v>1.0</v>
      </c>
      <c r="H507" s="3" t="b">
        <v>0</v>
      </c>
      <c r="L507" s="3" t="s">
        <v>2102</v>
      </c>
    </row>
    <row r="508" ht="15.75" customHeight="1">
      <c r="A508" s="3" t="s">
        <v>2615</v>
      </c>
      <c r="B508" s="12">
        <v>46118.0</v>
      </c>
      <c r="C508" s="3" t="s">
        <v>526</v>
      </c>
      <c r="D508" s="3" t="s">
        <v>923</v>
      </c>
      <c r="E508" s="3" t="s">
        <v>2074</v>
      </c>
      <c r="F508" s="3" t="s">
        <v>903</v>
      </c>
      <c r="G508" s="3">
        <v>1.0</v>
      </c>
      <c r="H508" s="3" t="b">
        <v>0</v>
      </c>
      <c r="L508" s="3" t="s">
        <v>2102</v>
      </c>
    </row>
    <row r="509" ht="15.75" customHeight="1">
      <c r="A509" s="3" t="s">
        <v>2616</v>
      </c>
      <c r="B509" s="12">
        <v>46118.0</v>
      </c>
      <c r="C509" s="3" t="s">
        <v>527</v>
      </c>
      <c r="D509" s="3" t="s">
        <v>923</v>
      </c>
      <c r="E509" s="3" t="s">
        <v>2074</v>
      </c>
      <c r="F509" s="3" t="s">
        <v>903</v>
      </c>
      <c r="G509" s="3">
        <v>1.0</v>
      </c>
      <c r="H509" s="3" t="b">
        <v>0</v>
      </c>
      <c r="L509" s="3" t="s">
        <v>2102</v>
      </c>
    </row>
    <row r="510" ht="15.75" customHeight="1">
      <c r="A510" s="3" t="s">
        <v>2617</v>
      </c>
      <c r="B510" s="12">
        <v>46118.0</v>
      </c>
      <c r="C510" s="3" t="s">
        <v>528</v>
      </c>
      <c r="D510" s="3" t="s">
        <v>923</v>
      </c>
      <c r="E510" s="3" t="s">
        <v>2074</v>
      </c>
      <c r="F510" s="3" t="s">
        <v>903</v>
      </c>
      <c r="G510" s="3">
        <v>1.0</v>
      </c>
      <c r="H510" s="3" t="b">
        <v>0</v>
      </c>
      <c r="L510" s="3" t="s">
        <v>2102</v>
      </c>
    </row>
    <row r="511" ht="15.75" customHeight="1">
      <c r="A511" s="3" t="s">
        <v>2618</v>
      </c>
      <c r="B511" s="12">
        <v>46118.0</v>
      </c>
      <c r="C511" s="3" t="s">
        <v>529</v>
      </c>
      <c r="D511" s="3" t="s">
        <v>923</v>
      </c>
      <c r="E511" s="3" t="s">
        <v>2074</v>
      </c>
      <c r="F511" s="3" t="s">
        <v>903</v>
      </c>
      <c r="G511" s="3">
        <v>1.0</v>
      </c>
      <c r="H511" s="3" t="b">
        <v>0</v>
      </c>
      <c r="L511" s="3" t="s">
        <v>2102</v>
      </c>
    </row>
    <row r="512" ht="15.75" customHeight="1">
      <c r="A512" s="3" t="s">
        <v>2619</v>
      </c>
      <c r="B512" s="12">
        <v>46118.0</v>
      </c>
      <c r="C512" s="3" t="s">
        <v>530</v>
      </c>
      <c r="D512" s="3" t="s">
        <v>923</v>
      </c>
      <c r="E512" s="3" t="s">
        <v>2074</v>
      </c>
      <c r="F512" s="3" t="s">
        <v>903</v>
      </c>
      <c r="G512" s="3">
        <v>1.0</v>
      </c>
      <c r="H512" s="3" t="b">
        <v>0</v>
      </c>
      <c r="L512" s="3" t="s">
        <v>2102</v>
      </c>
    </row>
    <row r="513" ht="15.75" customHeight="1">
      <c r="A513" s="3" t="s">
        <v>2620</v>
      </c>
      <c r="B513" s="12">
        <v>46118.0</v>
      </c>
      <c r="C513" s="3" t="s">
        <v>532</v>
      </c>
      <c r="D513" s="3" t="s">
        <v>923</v>
      </c>
      <c r="E513" s="3" t="s">
        <v>2074</v>
      </c>
      <c r="F513" s="3" t="s">
        <v>903</v>
      </c>
      <c r="G513" s="3">
        <v>1.0</v>
      </c>
      <c r="H513" s="3" t="b">
        <v>0</v>
      </c>
      <c r="L513" s="3" t="s">
        <v>2102</v>
      </c>
    </row>
    <row r="514" ht="15.75" customHeight="1">
      <c r="A514" s="3" t="s">
        <v>2621</v>
      </c>
      <c r="B514" s="12">
        <v>46118.0</v>
      </c>
      <c r="C514" s="3" t="s">
        <v>533</v>
      </c>
      <c r="D514" s="3" t="s">
        <v>923</v>
      </c>
      <c r="E514" s="3" t="s">
        <v>2074</v>
      </c>
      <c r="F514" s="3" t="s">
        <v>903</v>
      </c>
      <c r="G514" s="3">
        <v>1.0</v>
      </c>
      <c r="H514" s="3" t="b">
        <v>0</v>
      </c>
      <c r="L514" s="3" t="s">
        <v>2102</v>
      </c>
    </row>
    <row r="515" ht="15.75" customHeight="1">
      <c r="A515" s="3" t="s">
        <v>2622</v>
      </c>
      <c r="B515" s="12">
        <v>46118.0</v>
      </c>
      <c r="C515" s="3" t="s">
        <v>534</v>
      </c>
      <c r="D515" s="3" t="s">
        <v>923</v>
      </c>
      <c r="E515" s="3" t="s">
        <v>2074</v>
      </c>
      <c r="F515" s="3" t="s">
        <v>903</v>
      </c>
      <c r="G515" s="3">
        <v>1.0</v>
      </c>
      <c r="H515" s="3" t="b">
        <v>0</v>
      </c>
      <c r="L515" s="3" t="s">
        <v>2102</v>
      </c>
    </row>
    <row r="516" ht="15.75" customHeight="1">
      <c r="A516" s="3" t="s">
        <v>2623</v>
      </c>
      <c r="B516" s="12">
        <v>46118.0</v>
      </c>
      <c r="C516" s="3" t="s">
        <v>535</v>
      </c>
      <c r="D516" s="3" t="s">
        <v>923</v>
      </c>
      <c r="E516" s="3" t="s">
        <v>2074</v>
      </c>
      <c r="F516" s="3" t="s">
        <v>903</v>
      </c>
      <c r="G516" s="3">
        <v>1.0</v>
      </c>
      <c r="H516" s="3" t="b">
        <v>0</v>
      </c>
      <c r="L516" s="3" t="s">
        <v>2102</v>
      </c>
    </row>
    <row r="517" ht="15.75" customHeight="1">
      <c r="A517" s="3" t="s">
        <v>2624</v>
      </c>
      <c r="B517" s="12">
        <v>46118.0</v>
      </c>
      <c r="C517" s="3" t="s">
        <v>1192</v>
      </c>
      <c r="D517" s="3" t="s">
        <v>923</v>
      </c>
      <c r="E517" s="3" t="s">
        <v>2074</v>
      </c>
      <c r="F517" s="3" t="s">
        <v>903</v>
      </c>
      <c r="G517" s="3">
        <v>1.0</v>
      </c>
      <c r="H517" s="3" t="b">
        <v>0</v>
      </c>
      <c r="L517" s="3" t="s">
        <v>2102</v>
      </c>
    </row>
    <row r="518" ht="15.75" customHeight="1">
      <c r="A518" s="3" t="s">
        <v>2625</v>
      </c>
      <c r="B518" s="12">
        <v>46118.0</v>
      </c>
      <c r="C518" s="3" t="s">
        <v>536</v>
      </c>
      <c r="D518" s="3" t="s">
        <v>923</v>
      </c>
      <c r="E518" s="3" t="s">
        <v>2074</v>
      </c>
      <c r="F518" s="3" t="s">
        <v>903</v>
      </c>
      <c r="G518" s="3">
        <v>1.0</v>
      </c>
      <c r="H518" s="3" t="b">
        <v>0</v>
      </c>
      <c r="L518" s="3" t="s">
        <v>2102</v>
      </c>
    </row>
    <row r="519" ht="15.75" customHeight="1">
      <c r="A519" s="3" t="s">
        <v>2626</v>
      </c>
      <c r="B519" s="12">
        <v>46118.0</v>
      </c>
      <c r="C519" s="3" t="s">
        <v>537</v>
      </c>
      <c r="D519" s="3" t="s">
        <v>923</v>
      </c>
      <c r="E519" s="3" t="s">
        <v>2074</v>
      </c>
      <c r="F519" s="3" t="s">
        <v>903</v>
      </c>
      <c r="G519" s="3">
        <v>1.0</v>
      </c>
      <c r="H519" s="3" t="b">
        <v>0</v>
      </c>
      <c r="L519" s="3" t="s">
        <v>2102</v>
      </c>
    </row>
    <row r="520" ht="15.75" customHeight="1">
      <c r="A520" s="3" t="s">
        <v>2627</v>
      </c>
      <c r="B520" s="12">
        <v>46118.0</v>
      </c>
      <c r="C520" s="3" t="s">
        <v>538</v>
      </c>
      <c r="D520" s="3" t="s">
        <v>923</v>
      </c>
      <c r="E520" s="3" t="s">
        <v>2074</v>
      </c>
      <c r="F520" s="3" t="s">
        <v>903</v>
      </c>
      <c r="G520" s="3">
        <v>1.0</v>
      </c>
      <c r="H520" s="3" t="b">
        <v>0</v>
      </c>
      <c r="L520" s="3" t="s">
        <v>2102</v>
      </c>
    </row>
    <row r="521" ht="15.75" customHeight="1">
      <c r="A521" s="3" t="s">
        <v>2628</v>
      </c>
      <c r="B521" s="12">
        <v>46118.0</v>
      </c>
      <c r="C521" s="3" t="s">
        <v>539</v>
      </c>
      <c r="D521" s="3" t="s">
        <v>923</v>
      </c>
      <c r="E521" s="3" t="s">
        <v>2074</v>
      </c>
      <c r="F521" s="3" t="s">
        <v>903</v>
      </c>
      <c r="G521" s="3">
        <v>1.0</v>
      </c>
      <c r="H521" s="3" t="b">
        <v>0</v>
      </c>
      <c r="L521" s="3" t="s">
        <v>2102</v>
      </c>
    </row>
    <row r="522" ht="15.75" customHeight="1">
      <c r="A522" s="3" t="s">
        <v>2629</v>
      </c>
      <c r="B522" s="12">
        <v>46118.0</v>
      </c>
      <c r="C522" s="3" t="s">
        <v>540</v>
      </c>
      <c r="D522" s="3" t="s">
        <v>923</v>
      </c>
      <c r="E522" s="3" t="s">
        <v>2074</v>
      </c>
      <c r="F522" s="3" t="s">
        <v>903</v>
      </c>
      <c r="G522" s="3">
        <v>1.0</v>
      </c>
      <c r="H522" s="3" t="b">
        <v>0</v>
      </c>
      <c r="L522" s="3" t="s">
        <v>2102</v>
      </c>
    </row>
    <row r="523" ht="15.75" customHeight="1">
      <c r="A523" s="3" t="s">
        <v>2630</v>
      </c>
      <c r="B523" s="12">
        <v>46118.0</v>
      </c>
      <c r="C523" s="3" t="s">
        <v>1161</v>
      </c>
      <c r="D523" s="3" t="s">
        <v>923</v>
      </c>
      <c r="E523" s="3" t="s">
        <v>2074</v>
      </c>
      <c r="F523" s="3" t="s">
        <v>903</v>
      </c>
      <c r="G523" s="3">
        <v>1.0</v>
      </c>
      <c r="H523" s="3" t="b">
        <v>0</v>
      </c>
      <c r="L523" s="3" t="s">
        <v>2102</v>
      </c>
    </row>
    <row r="524" ht="15.75" customHeight="1">
      <c r="A524" s="3" t="s">
        <v>2631</v>
      </c>
      <c r="B524" s="12">
        <v>46118.0</v>
      </c>
      <c r="C524" s="3" t="s">
        <v>541</v>
      </c>
      <c r="D524" s="3" t="s">
        <v>923</v>
      </c>
      <c r="E524" s="3" t="s">
        <v>2074</v>
      </c>
      <c r="F524" s="3" t="s">
        <v>903</v>
      </c>
      <c r="G524" s="3">
        <v>1.0</v>
      </c>
      <c r="H524" s="3" t="b">
        <v>0</v>
      </c>
      <c r="L524" s="3" t="s">
        <v>2102</v>
      </c>
    </row>
    <row r="525" ht="15.75" customHeight="1">
      <c r="A525" s="3" t="s">
        <v>2632</v>
      </c>
      <c r="B525" s="12">
        <v>46118.0</v>
      </c>
      <c r="C525" s="3" t="s">
        <v>542</v>
      </c>
      <c r="D525" s="3" t="s">
        <v>923</v>
      </c>
      <c r="E525" s="3" t="s">
        <v>2074</v>
      </c>
      <c r="F525" s="3" t="s">
        <v>903</v>
      </c>
      <c r="G525" s="3">
        <v>1.0</v>
      </c>
      <c r="H525" s="3" t="b">
        <v>0</v>
      </c>
      <c r="L525" s="3" t="s">
        <v>2102</v>
      </c>
    </row>
    <row r="526" ht="15.75" customHeight="1">
      <c r="A526" s="3" t="s">
        <v>2633</v>
      </c>
      <c r="B526" s="12">
        <v>46118.0</v>
      </c>
      <c r="C526" s="3" t="s">
        <v>543</v>
      </c>
      <c r="D526" s="3" t="s">
        <v>923</v>
      </c>
      <c r="E526" s="3" t="s">
        <v>2074</v>
      </c>
      <c r="F526" s="3" t="s">
        <v>903</v>
      </c>
      <c r="G526" s="3">
        <v>1.0</v>
      </c>
      <c r="H526" s="3" t="b">
        <v>0</v>
      </c>
      <c r="L526" s="3" t="s">
        <v>2102</v>
      </c>
    </row>
    <row r="527" ht="15.75" customHeight="1">
      <c r="A527" s="3" t="s">
        <v>2634</v>
      </c>
      <c r="B527" s="12">
        <v>46118.0</v>
      </c>
      <c r="C527" s="3" t="s">
        <v>544</v>
      </c>
      <c r="D527" s="3" t="s">
        <v>923</v>
      </c>
      <c r="E527" s="3" t="s">
        <v>2074</v>
      </c>
      <c r="F527" s="3" t="s">
        <v>903</v>
      </c>
      <c r="G527" s="3">
        <v>1.0</v>
      </c>
      <c r="H527" s="3" t="b">
        <v>0</v>
      </c>
      <c r="L527" s="3" t="s">
        <v>2102</v>
      </c>
    </row>
    <row r="528" ht="15.75" customHeight="1">
      <c r="A528" s="3" t="s">
        <v>2635</v>
      </c>
      <c r="B528" s="12">
        <v>46118.0</v>
      </c>
      <c r="C528" s="3" t="s">
        <v>545</v>
      </c>
      <c r="D528" s="3" t="s">
        <v>923</v>
      </c>
      <c r="E528" s="3" t="s">
        <v>2074</v>
      </c>
      <c r="F528" s="3" t="s">
        <v>903</v>
      </c>
      <c r="G528" s="3">
        <v>1.0</v>
      </c>
      <c r="H528" s="3" t="b">
        <v>0</v>
      </c>
      <c r="L528" s="3" t="s">
        <v>2102</v>
      </c>
    </row>
    <row r="529" ht="15.75" customHeight="1">
      <c r="A529" s="3" t="s">
        <v>2636</v>
      </c>
      <c r="B529" s="12">
        <v>46118.0</v>
      </c>
      <c r="C529" s="3" t="s">
        <v>546</v>
      </c>
      <c r="D529" s="3" t="s">
        <v>923</v>
      </c>
      <c r="E529" s="3" t="s">
        <v>2074</v>
      </c>
      <c r="F529" s="3" t="s">
        <v>903</v>
      </c>
      <c r="G529" s="3">
        <v>1.0</v>
      </c>
      <c r="H529" s="3" t="b">
        <v>0</v>
      </c>
      <c r="L529" s="3" t="s">
        <v>2102</v>
      </c>
    </row>
    <row r="530" ht="15.75" customHeight="1">
      <c r="A530" s="3" t="s">
        <v>2637</v>
      </c>
      <c r="B530" s="12">
        <v>46118.0</v>
      </c>
      <c r="C530" s="3" t="s">
        <v>547</v>
      </c>
      <c r="D530" s="3" t="s">
        <v>923</v>
      </c>
      <c r="E530" s="3" t="s">
        <v>2074</v>
      </c>
      <c r="F530" s="3" t="s">
        <v>903</v>
      </c>
      <c r="G530" s="3">
        <v>1.0</v>
      </c>
      <c r="H530" s="3" t="b">
        <v>0</v>
      </c>
      <c r="L530" s="3" t="s">
        <v>2102</v>
      </c>
    </row>
    <row r="531" ht="15.75" customHeight="1">
      <c r="A531" s="3" t="s">
        <v>2638</v>
      </c>
      <c r="B531" s="12">
        <v>46118.0</v>
      </c>
      <c r="C531" s="3" t="s">
        <v>548</v>
      </c>
      <c r="D531" s="3" t="s">
        <v>923</v>
      </c>
      <c r="E531" s="3" t="s">
        <v>2074</v>
      </c>
      <c r="F531" s="3" t="s">
        <v>903</v>
      </c>
      <c r="G531" s="3">
        <v>1.0</v>
      </c>
      <c r="H531" s="3" t="b">
        <v>0</v>
      </c>
      <c r="L531" s="3" t="s">
        <v>2102</v>
      </c>
    </row>
    <row r="532" ht="15.75" customHeight="1">
      <c r="A532" s="3" t="s">
        <v>2639</v>
      </c>
      <c r="B532" s="12">
        <v>46118.0</v>
      </c>
      <c r="C532" s="3" t="s">
        <v>549</v>
      </c>
      <c r="D532" s="3" t="s">
        <v>923</v>
      </c>
      <c r="E532" s="3" t="s">
        <v>2074</v>
      </c>
      <c r="F532" s="3" t="s">
        <v>903</v>
      </c>
      <c r="G532" s="3">
        <v>1.0</v>
      </c>
      <c r="H532" s="3" t="b">
        <v>0</v>
      </c>
      <c r="L532" s="3" t="s">
        <v>2102</v>
      </c>
    </row>
    <row r="533" ht="15.75" customHeight="1">
      <c r="A533" s="3" t="s">
        <v>2640</v>
      </c>
      <c r="B533" s="12">
        <v>46118.0</v>
      </c>
      <c r="C533" s="3" t="s">
        <v>551</v>
      </c>
      <c r="D533" s="3" t="s">
        <v>923</v>
      </c>
      <c r="E533" s="3" t="s">
        <v>2074</v>
      </c>
      <c r="F533" s="3" t="s">
        <v>903</v>
      </c>
      <c r="G533" s="3">
        <v>1.0</v>
      </c>
      <c r="H533" s="3" t="b">
        <v>0</v>
      </c>
      <c r="L533" s="3" t="s">
        <v>2102</v>
      </c>
    </row>
    <row r="534" ht="15.75" customHeight="1">
      <c r="A534" s="3" t="s">
        <v>2641</v>
      </c>
      <c r="B534" s="12">
        <v>46118.0</v>
      </c>
      <c r="C534" s="3" t="s">
        <v>552</v>
      </c>
      <c r="D534" s="3" t="s">
        <v>923</v>
      </c>
      <c r="E534" s="3" t="s">
        <v>2074</v>
      </c>
      <c r="F534" s="3" t="s">
        <v>903</v>
      </c>
      <c r="G534" s="3">
        <v>1.0</v>
      </c>
      <c r="H534" s="3" t="b">
        <v>0</v>
      </c>
      <c r="L534" s="3" t="s">
        <v>2102</v>
      </c>
    </row>
    <row r="535" ht="15.75" customHeight="1">
      <c r="A535" s="3" t="s">
        <v>2642</v>
      </c>
      <c r="B535" s="12">
        <v>46118.0</v>
      </c>
      <c r="C535" s="3" t="s">
        <v>553</v>
      </c>
      <c r="D535" s="3" t="s">
        <v>923</v>
      </c>
      <c r="E535" s="3" t="s">
        <v>2074</v>
      </c>
      <c r="F535" s="3" t="s">
        <v>903</v>
      </c>
      <c r="G535" s="3">
        <v>1.0</v>
      </c>
      <c r="H535" s="3" t="b">
        <v>0</v>
      </c>
      <c r="L535" s="3" t="s">
        <v>2102</v>
      </c>
    </row>
    <row r="536" ht="15.75" customHeight="1">
      <c r="A536" s="3" t="s">
        <v>2643</v>
      </c>
      <c r="B536" s="12">
        <v>46118.0</v>
      </c>
      <c r="C536" s="3" t="s">
        <v>554</v>
      </c>
      <c r="D536" s="3" t="s">
        <v>923</v>
      </c>
      <c r="E536" s="3" t="s">
        <v>2074</v>
      </c>
      <c r="F536" s="3" t="s">
        <v>903</v>
      </c>
      <c r="G536" s="3">
        <v>1.0</v>
      </c>
      <c r="H536" s="3" t="b">
        <v>0</v>
      </c>
      <c r="L536" s="3" t="s">
        <v>2102</v>
      </c>
    </row>
    <row r="537" ht="15.75" customHeight="1">
      <c r="A537" s="3" t="s">
        <v>2644</v>
      </c>
      <c r="B537" s="12">
        <v>46118.0</v>
      </c>
      <c r="C537" s="3" t="s">
        <v>555</v>
      </c>
      <c r="D537" s="3" t="s">
        <v>923</v>
      </c>
      <c r="E537" s="3" t="s">
        <v>2074</v>
      </c>
      <c r="F537" s="3" t="s">
        <v>903</v>
      </c>
      <c r="G537" s="3">
        <v>1.0</v>
      </c>
      <c r="H537" s="3" t="b">
        <v>0</v>
      </c>
      <c r="L537" s="3" t="s">
        <v>2102</v>
      </c>
    </row>
    <row r="538" ht="15.75" customHeight="1">
      <c r="A538" s="3" t="s">
        <v>2645</v>
      </c>
      <c r="B538" s="12">
        <v>46118.0</v>
      </c>
      <c r="C538" s="3" t="s">
        <v>556</v>
      </c>
      <c r="D538" s="3" t="s">
        <v>923</v>
      </c>
      <c r="E538" s="3" t="s">
        <v>2074</v>
      </c>
      <c r="F538" s="3" t="s">
        <v>903</v>
      </c>
      <c r="G538" s="3">
        <v>1.0</v>
      </c>
      <c r="H538" s="3" t="b">
        <v>0</v>
      </c>
      <c r="L538" s="3" t="s">
        <v>2102</v>
      </c>
    </row>
    <row r="539" ht="15.75" customHeight="1">
      <c r="A539" s="3" t="s">
        <v>2646</v>
      </c>
      <c r="B539" s="12">
        <v>46118.0</v>
      </c>
      <c r="C539" s="3" t="s">
        <v>558</v>
      </c>
      <c r="D539" s="3" t="s">
        <v>923</v>
      </c>
      <c r="E539" s="3" t="s">
        <v>2074</v>
      </c>
      <c r="F539" s="3" t="s">
        <v>903</v>
      </c>
      <c r="G539" s="3">
        <v>1.0</v>
      </c>
      <c r="H539" s="3" t="b">
        <v>0</v>
      </c>
      <c r="L539" s="3" t="s">
        <v>2102</v>
      </c>
    </row>
    <row r="540" ht="15.75" customHeight="1">
      <c r="A540" s="3" t="s">
        <v>2647</v>
      </c>
      <c r="B540" s="12">
        <v>46118.0</v>
      </c>
      <c r="C540" s="3" t="s">
        <v>559</v>
      </c>
      <c r="D540" s="3" t="s">
        <v>923</v>
      </c>
      <c r="E540" s="3" t="s">
        <v>2074</v>
      </c>
      <c r="F540" s="3" t="s">
        <v>903</v>
      </c>
      <c r="G540" s="3">
        <v>1.0</v>
      </c>
      <c r="H540" s="3" t="b">
        <v>0</v>
      </c>
      <c r="L540" s="3" t="s">
        <v>2102</v>
      </c>
    </row>
    <row r="541" ht="15.75" customHeight="1">
      <c r="A541" s="3" t="s">
        <v>2648</v>
      </c>
      <c r="B541" s="12">
        <v>46118.0</v>
      </c>
      <c r="C541" s="3" t="s">
        <v>560</v>
      </c>
      <c r="D541" s="3" t="s">
        <v>923</v>
      </c>
      <c r="E541" s="3" t="s">
        <v>2074</v>
      </c>
      <c r="F541" s="3" t="s">
        <v>903</v>
      </c>
      <c r="G541" s="3">
        <v>1.0</v>
      </c>
      <c r="H541" s="3" t="b">
        <v>0</v>
      </c>
      <c r="L541" s="3" t="s">
        <v>2102</v>
      </c>
    </row>
    <row r="542" ht="15.75" customHeight="1">
      <c r="A542" s="3" t="s">
        <v>2649</v>
      </c>
      <c r="B542" s="12">
        <v>46118.0</v>
      </c>
      <c r="C542" s="3" t="s">
        <v>561</v>
      </c>
      <c r="D542" s="3" t="s">
        <v>923</v>
      </c>
      <c r="E542" s="3" t="s">
        <v>2074</v>
      </c>
      <c r="F542" s="3" t="s">
        <v>903</v>
      </c>
      <c r="G542" s="3">
        <v>1.0</v>
      </c>
      <c r="H542" s="3" t="b">
        <v>0</v>
      </c>
      <c r="L542" s="3" t="s">
        <v>2102</v>
      </c>
    </row>
    <row r="543" ht="15.75" customHeight="1">
      <c r="A543" s="3" t="s">
        <v>2650</v>
      </c>
      <c r="B543" s="12">
        <v>46118.0</v>
      </c>
      <c r="C543" s="3" t="s">
        <v>562</v>
      </c>
      <c r="D543" s="3" t="s">
        <v>923</v>
      </c>
      <c r="E543" s="3" t="s">
        <v>2074</v>
      </c>
      <c r="F543" s="3" t="s">
        <v>903</v>
      </c>
      <c r="G543" s="3">
        <v>1.0</v>
      </c>
      <c r="H543" s="3" t="b">
        <v>0</v>
      </c>
      <c r="L543" s="3" t="s">
        <v>2102</v>
      </c>
    </row>
    <row r="544" ht="15.75" customHeight="1">
      <c r="A544" s="3" t="s">
        <v>2651</v>
      </c>
      <c r="B544" s="12">
        <v>46118.0</v>
      </c>
      <c r="C544" s="3" t="s">
        <v>563</v>
      </c>
      <c r="D544" s="3" t="s">
        <v>923</v>
      </c>
      <c r="E544" s="3" t="s">
        <v>2074</v>
      </c>
      <c r="F544" s="3" t="s">
        <v>903</v>
      </c>
      <c r="G544" s="3">
        <v>1.0</v>
      </c>
      <c r="H544" s="3" t="b">
        <v>0</v>
      </c>
      <c r="L544" s="3" t="s">
        <v>2102</v>
      </c>
    </row>
    <row r="545" ht="15.75" customHeight="1">
      <c r="A545" s="3" t="s">
        <v>2652</v>
      </c>
      <c r="B545" s="12">
        <v>46118.0</v>
      </c>
      <c r="C545" s="3" t="s">
        <v>564</v>
      </c>
      <c r="D545" s="3" t="s">
        <v>923</v>
      </c>
      <c r="E545" s="3" t="s">
        <v>2074</v>
      </c>
      <c r="F545" s="3" t="s">
        <v>903</v>
      </c>
      <c r="G545" s="3">
        <v>1.0</v>
      </c>
      <c r="H545" s="3" t="b">
        <v>0</v>
      </c>
      <c r="L545" s="3" t="s">
        <v>2102</v>
      </c>
    </row>
    <row r="546" ht="15.75" customHeight="1">
      <c r="A546" s="3" t="s">
        <v>2653</v>
      </c>
      <c r="B546" s="12">
        <v>46118.0</v>
      </c>
      <c r="C546" s="3" t="s">
        <v>565</v>
      </c>
      <c r="D546" s="3" t="s">
        <v>923</v>
      </c>
      <c r="E546" s="3" t="s">
        <v>2074</v>
      </c>
      <c r="F546" s="3" t="s">
        <v>903</v>
      </c>
      <c r="G546" s="3">
        <v>1.0</v>
      </c>
      <c r="H546" s="3" t="b">
        <v>0</v>
      </c>
      <c r="L546" s="3" t="s">
        <v>2102</v>
      </c>
    </row>
    <row r="547" ht="15.75" customHeight="1">
      <c r="A547" s="3" t="s">
        <v>2654</v>
      </c>
      <c r="B547" s="12">
        <v>46118.0</v>
      </c>
      <c r="C547" s="3" t="s">
        <v>566</v>
      </c>
      <c r="D547" s="3" t="s">
        <v>923</v>
      </c>
      <c r="E547" s="3" t="s">
        <v>2074</v>
      </c>
      <c r="F547" s="3" t="s">
        <v>903</v>
      </c>
      <c r="G547" s="3">
        <v>1.0</v>
      </c>
      <c r="H547" s="3" t="b">
        <v>0</v>
      </c>
      <c r="L547" s="3" t="s">
        <v>2102</v>
      </c>
    </row>
    <row r="548" ht="15.75" customHeight="1">
      <c r="A548" s="3" t="s">
        <v>2655</v>
      </c>
      <c r="B548" s="12">
        <v>46118.0</v>
      </c>
      <c r="C548" s="3" t="s">
        <v>567</v>
      </c>
      <c r="D548" s="3" t="s">
        <v>923</v>
      </c>
      <c r="E548" s="3" t="s">
        <v>2074</v>
      </c>
      <c r="F548" s="3" t="s">
        <v>903</v>
      </c>
      <c r="G548" s="3">
        <v>1.0</v>
      </c>
      <c r="H548" s="3" t="b">
        <v>0</v>
      </c>
      <c r="L548" s="3" t="s">
        <v>2102</v>
      </c>
    </row>
    <row r="549" ht="15.75" customHeight="1">
      <c r="A549" s="3" t="s">
        <v>2656</v>
      </c>
      <c r="B549" s="12">
        <v>46118.0</v>
      </c>
      <c r="C549" s="3" t="s">
        <v>568</v>
      </c>
      <c r="D549" s="3" t="s">
        <v>923</v>
      </c>
      <c r="E549" s="3" t="s">
        <v>2074</v>
      </c>
      <c r="F549" s="3" t="s">
        <v>903</v>
      </c>
      <c r="G549" s="3">
        <v>1.0</v>
      </c>
      <c r="H549" s="3" t="b">
        <v>0</v>
      </c>
      <c r="L549" s="3" t="s">
        <v>2102</v>
      </c>
    </row>
    <row r="550" ht="15.75" customHeight="1">
      <c r="A550" s="3" t="s">
        <v>2657</v>
      </c>
      <c r="B550" s="12">
        <v>46118.0</v>
      </c>
      <c r="C550" s="3" t="s">
        <v>569</v>
      </c>
      <c r="D550" s="3" t="s">
        <v>923</v>
      </c>
      <c r="E550" s="3" t="s">
        <v>2074</v>
      </c>
      <c r="F550" s="3" t="s">
        <v>903</v>
      </c>
      <c r="G550" s="3">
        <v>1.0</v>
      </c>
      <c r="H550" s="3" t="b">
        <v>0</v>
      </c>
      <c r="L550" s="3" t="s">
        <v>2102</v>
      </c>
    </row>
    <row r="551" ht="15.75" customHeight="1">
      <c r="A551" s="3" t="s">
        <v>2658</v>
      </c>
      <c r="B551" s="12">
        <v>46118.0</v>
      </c>
      <c r="C551" s="3" t="s">
        <v>570</v>
      </c>
      <c r="D551" s="3" t="s">
        <v>923</v>
      </c>
      <c r="E551" s="3" t="s">
        <v>2074</v>
      </c>
      <c r="F551" s="3" t="s">
        <v>903</v>
      </c>
      <c r="G551" s="3">
        <v>1.0</v>
      </c>
      <c r="H551" s="3" t="b">
        <v>0</v>
      </c>
      <c r="L551" s="3" t="s">
        <v>2102</v>
      </c>
    </row>
    <row r="552" ht="15.75" customHeight="1">
      <c r="A552" s="3" t="s">
        <v>2659</v>
      </c>
      <c r="B552" s="12">
        <v>46118.0</v>
      </c>
      <c r="C552" s="3" t="s">
        <v>571</v>
      </c>
      <c r="D552" s="3" t="s">
        <v>923</v>
      </c>
      <c r="E552" s="3" t="s">
        <v>2074</v>
      </c>
      <c r="F552" s="3" t="s">
        <v>903</v>
      </c>
      <c r="G552" s="3">
        <v>1.0</v>
      </c>
      <c r="H552" s="3" t="b">
        <v>0</v>
      </c>
      <c r="L552" s="3" t="s">
        <v>2102</v>
      </c>
    </row>
    <row r="553" ht="15.75" customHeight="1">
      <c r="A553" s="3" t="s">
        <v>2660</v>
      </c>
      <c r="B553" s="12">
        <v>46118.0</v>
      </c>
      <c r="C553" s="3" t="s">
        <v>572</v>
      </c>
      <c r="D553" s="3" t="s">
        <v>923</v>
      </c>
      <c r="E553" s="3" t="s">
        <v>2074</v>
      </c>
      <c r="F553" s="3" t="s">
        <v>903</v>
      </c>
      <c r="G553" s="3">
        <v>1.0</v>
      </c>
      <c r="H553" s="3" t="b">
        <v>0</v>
      </c>
      <c r="L553" s="3" t="s">
        <v>2102</v>
      </c>
    </row>
    <row r="554" ht="15.75" customHeight="1">
      <c r="A554" s="3" t="s">
        <v>2661</v>
      </c>
      <c r="B554" s="12">
        <v>46118.0</v>
      </c>
      <c r="C554" s="3" t="s">
        <v>573</v>
      </c>
      <c r="D554" s="3" t="s">
        <v>923</v>
      </c>
      <c r="E554" s="3" t="s">
        <v>2074</v>
      </c>
      <c r="F554" s="3" t="s">
        <v>903</v>
      </c>
      <c r="G554" s="3">
        <v>1.0</v>
      </c>
      <c r="H554" s="3" t="b">
        <v>0</v>
      </c>
      <c r="L554" s="3" t="s">
        <v>2102</v>
      </c>
    </row>
    <row r="555" ht="15.75" customHeight="1">
      <c r="A555" s="3" t="s">
        <v>2662</v>
      </c>
      <c r="B555" s="12">
        <v>46118.0</v>
      </c>
      <c r="C555" s="3" t="s">
        <v>574</v>
      </c>
      <c r="D555" s="3" t="s">
        <v>923</v>
      </c>
      <c r="E555" s="3" t="s">
        <v>2074</v>
      </c>
      <c r="F555" s="3" t="s">
        <v>903</v>
      </c>
      <c r="G555" s="3">
        <v>1.0</v>
      </c>
      <c r="H555" s="3" t="b">
        <v>0</v>
      </c>
      <c r="L555" s="3" t="s">
        <v>2102</v>
      </c>
    </row>
    <row r="556" ht="15.75" customHeight="1">
      <c r="A556" s="3" t="s">
        <v>2663</v>
      </c>
      <c r="B556" s="12">
        <v>46118.0</v>
      </c>
      <c r="C556" s="3" t="s">
        <v>575</v>
      </c>
      <c r="D556" s="3" t="s">
        <v>923</v>
      </c>
      <c r="E556" s="3" t="s">
        <v>2074</v>
      </c>
      <c r="F556" s="3" t="s">
        <v>903</v>
      </c>
      <c r="G556" s="3">
        <v>1.0</v>
      </c>
      <c r="H556" s="3" t="b">
        <v>0</v>
      </c>
      <c r="L556" s="3" t="s">
        <v>2102</v>
      </c>
    </row>
    <row r="557" ht="15.75" customHeight="1">
      <c r="A557" s="3" t="s">
        <v>2664</v>
      </c>
      <c r="B557" s="12">
        <v>46118.0</v>
      </c>
      <c r="C557" s="3" t="s">
        <v>576</v>
      </c>
      <c r="D557" s="3" t="s">
        <v>923</v>
      </c>
      <c r="E557" s="3" t="s">
        <v>2074</v>
      </c>
      <c r="F557" s="3" t="s">
        <v>903</v>
      </c>
      <c r="G557" s="3">
        <v>1.0</v>
      </c>
      <c r="H557" s="3" t="b">
        <v>0</v>
      </c>
      <c r="L557" s="3" t="s">
        <v>2102</v>
      </c>
    </row>
    <row r="558" ht="15.75" customHeight="1">
      <c r="A558" s="3" t="s">
        <v>2665</v>
      </c>
      <c r="B558" s="12">
        <v>46118.0</v>
      </c>
      <c r="C558" s="3" t="s">
        <v>577</v>
      </c>
      <c r="D558" s="3" t="s">
        <v>923</v>
      </c>
      <c r="E558" s="3" t="s">
        <v>2074</v>
      </c>
      <c r="F558" s="3" t="s">
        <v>903</v>
      </c>
      <c r="G558" s="3">
        <v>1.0</v>
      </c>
      <c r="H558" s="3" t="b">
        <v>0</v>
      </c>
      <c r="L558" s="3" t="s">
        <v>2102</v>
      </c>
    </row>
    <row r="559" ht="15.75" customHeight="1">
      <c r="A559" s="3" t="s">
        <v>2666</v>
      </c>
      <c r="B559" s="12">
        <v>46118.0</v>
      </c>
      <c r="C559" s="3" t="s">
        <v>578</v>
      </c>
      <c r="D559" s="3" t="s">
        <v>923</v>
      </c>
      <c r="E559" s="3" t="s">
        <v>2074</v>
      </c>
      <c r="F559" s="3" t="s">
        <v>903</v>
      </c>
      <c r="G559" s="3">
        <v>1.0</v>
      </c>
      <c r="H559" s="3" t="b">
        <v>0</v>
      </c>
      <c r="L559" s="3" t="s">
        <v>2102</v>
      </c>
    </row>
    <row r="560" ht="15.75" customHeight="1">
      <c r="A560" s="3" t="s">
        <v>2667</v>
      </c>
      <c r="B560" s="12">
        <v>46118.0</v>
      </c>
      <c r="C560" s="3" t="s">
        <v>579</v>
      </c>
      <c r="D560" s="3" t="s">
        <v>923</v>
      </c>
      <c r="E560" s="3" t="s">
        <v>2074</v>
      </c>
      <c r="F560" s="3" t="s">
        <v>903</v>
      </c>
      <c r="G560" s="3">
        <v>1.0</v>
      </c>
      <c r="H560" s="3" t="b">
        <v>0</v>
      </c>
      <c r="L560" s="3" t="s">
        <v>2102</v>
      </c>
    </row>
    <row r="561" ht="15.75" customHeight="1">
      <c r="A561" s="3" t="s">
        <v>2668</v>
      </c>
      <c r="B561" s="12">
        <v>46118.0</v>
      </c>
      <c r="C561" s="3" t="s">
        <v>580</v>
      </c>
      <c r="D561" s="3" t="s">
        <v>923</v>
      </c>
      <c r="E561" s="3" t="s">
        <v>2074</v>
      </c>
      <c r="F561" s="3" t="s">
        <v>903</v>
      </c>
      <c r="G561" s="3">
        <v>1.0</v>
      </c>
      <c r="H561" s="3" t="b">
        <v>0</v>
      </c>
      <c r="L561" s="3" t="s">
        <v>2102</v>
      </c>
    </row>
    <row r="562" ht="15.75" customHeight="1">
      <c r="A562" s="3" t="s">
        <v>2669</v>
      </c>
      <c r="B562" s="12">
        <v>46118.0</v>
      </c>
      <c r="C562" s="3" t="s">
        <v>581</v>
      </c>
      <c r="D562" s="3" t="s">
        <v>923</v>
      </c>
      <c r="E562" s="3" t="s">
        <v>2074</v>
      </c>
      <c r="F562" s="3" t="s">
        <v>903</v>
      </c>
      <c r="G562" s="3">
        <v>1.0</v>
      </c>
      <c r="H562" s="3" t="b">
        <v>0</v>
      </c>
      <c r="L562" s="3" t="s">
        <v>2102</v>
      </c>
    </row>
    <row r="563" ht="15.75" customHeight="1">
      <c r="A563" s="13" t="s">
        <v>2670</v>
      </c>
      <c r="B563" s="12">
        <v>46118.0</v>
      </c>
      <c r="C563" s="3" t="s">
        <v>582</v>
      </c>
      <c r="D563" s="3" t="s">
        <v>923</v>
      </c>
      <c r="E563" s="3" t="s">
        <v>2074</v>
      </c>
      <c r="F563" s="3" t="s">
        <v>903</v>
      </c>
      <c r="G563" s="3">
        <v>1.0</v>
      </c>
      <c r="H563" s="3" t="b">
        <v>0</v>
      </c>
      <c r="L563" s="3" t="s">
        <v>2102</v>
      </c>
    </row>
    <row r="564" ht="15.75" customHeight="1">
      <c r="A564" s="3" t="s">
        <v>2671</v>
      </c>
      <c r="B564" s="12">
        <v>46118.0</v>
      </c>
      <c r="C564" s="3" t="s">
        <v>583</v>
      </c>
      <c r="D564" s="3" t="s">
        <v>923</v>
      </c>
      <c r="E564" s="3" t="s">
        <v>2074</v>
      </c>
      <c r="F564" s="3" t="s">
        <v>903</v>
      </c>
      <c r="G564" s="3">
        <v>1.0</v>
      </c>
      <c r="H564" s="3" t="b">
        <v>0</v>
      </c>
      <c r="L564" s="3" t="s">
        <v>2102</v>
      </c>
    </row>
    <row r="565" ht="15.75" customHeight="1">
      <c r="A565" s="3" t="s">
        <v>2672</v>
      </c>
      <c r="B565" s="12">
        <v>46118.0</v>
      </c>
      <c r="C565" s="3" t="s">
        <v>584</v>
      </c>
      <c r="D565" s="3" t="s">
        <v>923</v>
      </c>
      <c r="E565" s="3" t="s">
        <v>2074</v>
      </c>
      <c r="F565" s="3" t="s">
        <v>903</v>
      </c>
      <c r="G565" s="3">
        <v>1.0</v>
      </c>
      <c r="H565" s="3" t="b">
        <v>0</v>
      </c>
      <c r="L565" s="3" t="s">
        <v>2102</v>
      </c>
    </row>
    <row r="566" ht="15.75" customHeight="1">
      <c r="A566" s="3" t="s">
        <v>2673</v>
      </c>
      <c r="B566" s="12">
        <v>46118.0</v>
      </c>
      <c r="C566" s="3" t="s">
        <v>585</v>
      </c>
      <c r="D566" s="3" t="s">
        <v>923</v>
      </c>
      <c r="E566" s="3" t="s">
        <v>2074</v>
      </c>
      <c r="F566" s="3" t="s">
        <v>903</v>
      </c>
      <c r="G566" s="3">
        <v>1.0</v>
      </c>
      <c r="H566" s="3" t="b">
        <v>0</v>
      </c>
      <c r="L566" s="3" t="s">
        <v>2102</v>
      </c>
    </row>
    <row r="567" ht="15.75" customHeight="1">
      <c r="A567" s="3" t="s">
        <v>2674</v>
      </c>
      <c r="B567" s="12">
        <v>46118.0</v>
      </c>
      <c r="C567" s="3" t="s">
        <v>586</v>
      </c>
      <c r="D567" s="3" t="s">
        <v>923</v>
      </c>
      <c r="E567" s="3" t="s">
        <v>2074</v>
      </c>
      <c r="F567" s="3" t="s">
        <v>903</v>
      </c>
      <c r="G567" s="3">
        <v>1.0</v>
      </c>
      <c r="H567" s="3" t="b">
        <v>0</v>
      </c>
      <c r="L567" s="3" t="s">
        <v>2102</v>
      </c>
    </row>
    <row r="568" ht="15.75" customHeight="1">
      <c r="A568" s="3" t="s">
        <v>2675</v>
      </c>
      <c r="B568" s="12">
        <v>46118.0</v>
      </c>
      <c r="C568" s="3" t="s">
        <v>587</v>
      </c>
      <c r="D568" s="3" t="s">
        <v>923</v>
      </c>
      <c r="E568" s="3" t="s">
        <v>2074</v>
      </c>
      <c r="F568" s="3" t="s">
        <v>903</v>
      </c>
      <c r="G568" s="3">
        <v>1.0</v>
      </c>
      <c r="H568" s="3" t="b">
        <v>0</v>
      </c>
      <c r="L568" s="3" t="s">
        <v>2102</v>
      </c>
    </row>
    <row r="569" ht="15.75" customHeight="1">
      <c r="A569" s="3" t="s">
        <v>2676</v>
      </c>
      <c r="B569" s="12">
        <v>46118.0</v>
      </c>
      <c r="C569" s="3" t="s">
        <v>588</v>
      </c>
      <c r="D569" s="3" t="s">
        <v>923</v>
      </c>
      <c r="E569" s="3" t="s">
        <v>2074</v>
      </c>
      <c r="F569" s="3" t="s">
        <v>903</v>
      </c>
      <c r="G569" s="3">
        <v>1.0</v>
      </c>
      <c r="H569" s="3" t="b">
        <v>0</v>
      </c>
      <c r="L569" s="3" t="s">
        <v>2102</v>
      </c>
    </row>
    <row r="570" ht="15.75" customHeight="1">
      <c r="A570" s="3" t="s">
        <v>2677</v>
      </c>
      <c r="B570" s="12">
        <v>46118.0</v>
      </c>
      <c r="C570" s="3" t="s">
        <v>589</v>
      </c>
      <c r="D570" s="3" t="s">
        <v>923</v>
      </c>
      <c r="E570" s="3" t="s">
        <v>2074</v>
      </c>
      <c r="F570" s="3" t="s">
        <v>903</v>
      </c>
      <c r="G570" s="3">
        <v>1.0</v>
      </c>
      <c r="H570" s="3" t="b">
        <v>0</v>
      </c>
      <c r="L570" s="3" t="s">
        <v>2102</v>
      </c>
    </row>
    <row r="571" ht="15.75" customHeight="1">
      <c r="A571" s="3" t="s">
        <v>2678</v>
      </c>
      <c r="B571" s="12">
        <v>46118.0</v>
      </c>
      <c r="C571" s="3" t="s">
        <v>590</v>
      </c>
      <c r="D571" s="3" t="s">
        <v>923</v>
      </c>
      <c r="E571" s="3" t="s">
        <v>2074</v>
      </c>
      <c r="F571" s="3" t="s">
        <v>903</v>
      </c>
      <c r="G571" s="3">
        <v>1.0</v>
      </c>
      <c r="H571" s="3" t="b">
        <v>0</v>
      </c>
      <c r="L571" s="3" t="s">
        <v>2102</v>
      </c>
    </row>
    <row r="572" ht="15.75" customHeight="1">
      <c r="A572" s="3" t="s">
        <v>2679</v>
      </c>
      <c r="B572" s="12">
        <v>46118.0</v>
      </c>
      <c r="C572" s="3" t="s">
        <v>591</v>
      </c>
      <c r="D572" s="3" t="s">
        <v>923</v>
      </c>
      <c r="E572" s="3" t="s">
        <v>2074</v>
      </c>
      <c r="F572" s="3" t="s">
        <v>903</v>
      </c>
      <c r="G572" s="3">
        <v>1.0</v>
      </c>
      <c r="H572" s="3" t="b">
        <v>0</v>
      </c>
      <c r="L572" s="3" t="s">
        <v>2102</v>
      </c>
    </row>
    <row r="573" ht="15.75" customHeight="1">
      <c r="A573" s="3" t="s">
        <v>2680</v>
      </c>
      <c r="B573" s="12">
        <v>46118.0</v>
      </c>
      <c r="C573" s="3" t="s">
        <v>592</v>
      </c>
      <c r="D573" s="3" t="s">
        <v>923</v>
      </c>
      <c r="E573" s="3" t="s">
        <v>2074</v>
      </c>
      <c r="F573" s="3" t="s">
        <v>903</v>
      </c>
      <c r="G573" s="3">
        <v>1.0</v>
      </c>
      <c r="H573" s="3" t="b">
        <v>0</v>
      </c>
      <c r="L573" s="3" t="s">
        <v>2102</v>
      </c>
    </row>
    <row r="574" ht="15.75" customHeight="1">
      <c r="A574" s="3" t="s">
        <v>2681</v>
      </c>
      <c r="B574" s="12">
        <v>46118.0</v>
      </c>
      <c r="C574" s="3" t="s">
        <v>593</v>
      </c>
      <c r="D574" s="3" t="s">
        <v>923</v>
      </c>
      <c r="E574" s="3" t="s">
        <v>2074</v>
      </c>
      <c r="F574" s="3" t="s">
        <v>903</v>
      </c>
      <c r="G574" s="3">
        <v>1.0</v>
      </c>
      <c r="H574" s="3" t="b">
        <v>0</v>
      </c>
      <c r="L574" s="3" t="s">
        <v>2102</v>
      </c>
    </row>
    <row r="575" ht="15.75" customHeight="1">
      <c r="A575" s="3" t="s">
        <v>2682</v>
      </c>
      <c r="B575" s="12">
        <v>46118.0</v>
      </c>
      <c r="C575" s="3" t="s">
        <v>594</v>
      </c>
      <c r="D575" s="3" t="s">
        <v>923</v>
      </c>
      <c r="E575" s="3" t="s">
        <v>2074</v>
      </c>
      <c r="F575" s="3" t="s">
        <v>903</v>
      </c>
      <c r="G575" s="3">
        <v>1.0</v>
      </c>
      <c r="H575" s="3" t="b">
        <v>0</v>
      </c>
      <c r="L575" s="3" t="s">
        <v>2102</v>
      </c>
    </row>
    <row r="576" ht="15.75" customHeight="1">
      <c r="A576" s="3" t="s">
        <v>2683</v>
      </c>
      <c r="B576" s="12">
        <v>46118.0</v>
      </c>
      <c r="C576" s="3" t="s">
        <v>1285</v>
      </c>
      <c r="D576" s="3" t="s">
        <v>923</v>
      </c>
      <c r="E576" s="3" t="s">
        <v>2074</v>
      </c>
      <c r="F576" s="3" t="s">
        <v>903</v>
      </c>
      <c r="G576" s="3">
        <v>1.0</v>
      </c>
      <c r="H576" s="3" t="b">
        <v>0</v>
      </c>
      <c r="L576" s="3" t="s">
        <v>2102</v>
      </c>
    </row>
    <row r="577" ht="15.75" customHeight="1">
      <c r="A577" s="3" t="s">
        <v>2684</v>
      </c>
      <c r="B577" s="12">
        <v>46118.0</v>
      </c>
      <c r="C577" s="3" t="s">
        <v>595</v>
      </c>
      <c r="D577" s="3" t="s">
        <v>923</v>
      </c>
      <c r="E577" s="3" t="s">
        <v>2074</v>
      </c>
      <c r="F577" s="3" t="s">
        <v>903</v>
      </c>
      <c r="G577" s="3">
        <v>1.0</v>
      </c>
      <c r="H577" s="3" t="b">
        <v>0</v>
      </c>
      <c r="L577" s="3" t="s">
        <v>2102</v>
      </c>
    </row>
    <row r="578" ht="15.75" customHeight="1">
      <c r="A578" s="3" t="s">
        <v>2685</v>
      </c>
      <c r="B578" s="12">
        <v>46118.0</v>
      </c>
      <c r="C578" s="3" t="s">
        <v>596</v>
      </c>
      <c r="D578" s="3" t="s">
        <v>923</v>
      </c>
      <c r="E578" s="3" t="s">
        <v>2074</v>
      </c>
      <c r="F578" s="3" t="s">
        <v>903</v>
      </c>
      <c r="G578" s="3">
        <v>1.0</v>
      </c>
      <c r="H578" s="3" t="b">
        <v>0</v>
      </c>
      <c r="L578" s="3" t="s">
        <v>2102</v>
      </c>
    </row>
    <row r="579" ht="15.75" customHeight="1">
      <c r="A579" s="3" t="s">
        <v>2686</v>
      </c>
      <c r="B579" s="12">
        <v>46118.0</v>
      </c>
      <c r="C579" s="3" t="s">
        <v>597</v>
      </c>
      <c r="D579" s="3" t="s">
        <v>923</v>
      </c>
      <c r="E579" s="3" t="s">
        <v>2074</v>
      </c>
      <c r="F579" s="3" t="s">
        <v>903</v>
      </c>
      <c r="G579" s="3">
        <v>1.0</v>
      </c>
      <c r="H579" s="3" t="b">
        <v>0</v>
      </c>
      <c r="L579" s="3" t="s">
        <v>2102</v>
      </c>
    </row>
    <row r="580" ht="15.75" customHeight="1">
      <c r="A580" s="3" t="s">
        <v>2687</v>
      </c>
      <c r="B580" s="12">
        <v>46118.0</v>
      </c>
      <c r="C580" s="3" t="s">
        <v>598</v>
      </c>
      <c r="D580" s="3" t="s">
        <v>923</v>
      </c>
      <c r="E580" s="3" t="s">
        <v>2074</v>
      </c>
      <c r="F580" s="3" t="s">
        <v>903</v>
      </c>
      <c r="G580" s="3">
        <v>1.0</v>
      </c>
      <c r="H580" s="3" t="b">
        <v>0</v>
      </c>
      <c r="L580" s="3" t="s">
        <v>2102</v>
      </c>
    </row>
    <row r="581" ht="15.75" customHeight="1">
      <c r="A581" s="3" t="s">
        <v>2688</v>
      </c>
      <c r="B581" s="12">
        <v>46118.0</v>
      </c>
      <c r="C581" s="3" t="s">
        <v>600</v>
      </c>
      <c r="D581" s="3" t="s">
        <v>923</v>
      </c>
      <c r="E581" s="3" t="s">
        <v>2074</v>
      </c>
      <c r="F581" s="3" t="s">
        <v>903</v>
      </c>
      <c r="G581" s="3">
        <v>1.0</v>
      </c>
      <c r="H581" s="3" t="b">
        <v>0</v>
      </c>
      <c r="L581" s="3" t="s">
        <v>2102</v>
      </c>
    </row>
    <row r="582" ht="15.75" customHeight="1">
      <c r="A582" s="3" t="s">
        <v>2689</v>
      </c>
      <c r="B582" s="12">
        <v>46118.0</v>
      </c>
      <c r="C582" s="3" t="s">
        <v>601</v>
      </c>
      <c r="D582" s="3" t="s">
        <v>923</v>
      </c>
      <c r="E582" s="3" t="s">
        <v>2074</v>
      </c>
      <c r="F582" s="3" t="s">
        <v>903</v>
      </c>
      <c r="G582" s="3">
        <v>1.0</v>
      </c>
      <c r="H582" s="3" t="b">
        <v>0</v>
      </c>
      <c r="L582" s="3" t="s">
        <v>2102</v>
      </c>
    </row>
    <row r="583" ht="15.75" customHeight="1">
      <c r="A583" s="3" t="s">
        <v>2690</v>
      </c>
      <c r="B583" s="12">
        <v>46118.0</v>
      </c>
      <c r="C583" s="3" t="s">
        <v>602</v>
      </c>
      <c r="D583" s="3" t="s">
        <v>923</v>
      </c>
      <c r="E583" s="3" t="s">
        <v>2074</v>
      </c>
      <c r="F583" s="3" t="s">
        <v>903</v>
      </c>
      <c r="G583" s="3">
        <v>1.0</v>
      </c>
      <c r="H583" s="3" t="b">
        <v>0</v>
      </c>
      <c r="L583" s="3" t="s">
        <v>2102</v>
      </c>
    </row>
    <row r="584" ht="15.75" customHeight="1">
      <c r="A584" s="3" t="s">
        <v>2691</v>
      </c>
      <c r="B584" s="12">
        <v>46118.0</v>
      </c>
      <c r="C584" s="3" t="s">
        <v>603</v>
      </c>
      <c r="D584" s="3" t="s">
        <v>923</v>
      </c>
      <c r="E584" s="3" t="s">
        <v>2074</v>
      </c>
      <c r="F584" s="3" t="s">
        <v>903</v>
      </c>
      <c r="G584" s="3">
        <v>1.0</v>
      </c>
      <c r="H584" s="3" t="b">
        <v>0</v>
      </c>
      <c r="L584" s="3" t="s">
        <v>2102</v>
      </c>
    </row>
    <row r="585" ht="15.75" customHeight="1">
      <c r="A585" s="3" t="s">
        <v>2692</v>
      </c>
      <c r="B585" s="12">
        <v>46118.0</v>
      </c>
      <c r="C585" s="3" t="s">
        <v>604</v>
      </c>
      <c r="D585" s="3" t="s">
        <v>923</v>
      </c>
      <c r="E585" s="3" t="s">
        <v>2074</v>
      </c>
      <c r="F585" s="3" t="s">
        <v>903</v>
      </c>
      <c r="G585" s="3">
        <v>1.0</v>
      </c>
      <c r="H585" s="3" t="b">
        <v>0</v>
      </c>
      <c r="L585" s="3" t="s">
        <v>2102</v>
      </c>
    </row>
    <row r="586" ht="15.75" customHeight="1">
      <c r="A586" s="3" t="s">
        <v>2693</v>
      </c>
      <c r="B586" s="12">
        <v>46118.0</v>
      </c>
      <c r="C586" s="3" t="s">
        <v>605</v>
      </c>
      <c r="D586" s="3" t="s">
        <v>923</v>
      </c>
      <c r="E586" s="3" t="s">
        <v>2074</v>
      </c>
      <c r="F586" s="3" t="s">
        <v>903</v>
      </c>
      <c r="G586" s="3">
        <v>1.0</v>
      </c>
      <c r="H586" s="3" t="b">
        <v>0</v>
      </c>
      <c r="L586" s="3" t="s">
        <v>2102</v>
      </c>
    </row>
    <row r="587" ht="15.75" customHeight="1">
      <c r="A587" s="3" t="s">
        <v>2694</v>
      </c>
      <c r="B587" s="12">
        <v>46118.0</v>
      </c>
      <c r="C587" s="3" t="s">
        <v>606</v>
      </c>
      <c r="D587" s="3" t="s">
        <v>923</v>
      </c>
      <c r="E587" s="3" t="s">
        <v>2074</v>
      </c>
      <c r="F587" s="3" t="s">
        <v>903</v>
      </c>
      <c r="G587" s="3">
        <v>1.0</v>
      </c>
      <c r="H587" s="3" t="b">
        <v>0</v>
      </c>
      <c r="L587" s="3" t="s">
        <v>2102</v>
      </c>
    </row>
    <row r="588" ht="15.75" customHeight="1">
      <c r="A588" s="3" t="s">
        <v>2695</v>
      </c>
      <c r="B588" s="12">
        <v>46118.0</v>
      </c>
      <c r="C588" s="3" t="s">
        <v>607</v>
      </c>
      <c r="D588" s="3" t="s">
        <v>923</v>
      </c>
      <c r="E588" s="3" t="s">
        <v>2074</v>
      </c>
      <c r="F588" s="3" t="s">
        <v>903</v>
      </c>
      <c r="G588" s="3">
        <v>1.0</v>
      </c>
      <c r="H588" s="3" t="b">
        <v>0</v>
      </c>
      <c r="L588" s="3" t="s">
        <v>2102</v>
      </c>
    </row>
    <row r="589" ht="15.75" customHeight="1">
      <c r="A589" s="3" t="s">
        <v>2696</v>
      </c>
      <c r="B589" s="12">
        <v>46118.0</v>
      </c>
      <c r="C589" s="3" t="s">
        <v>608</v>
      </c>
      <c r="D589" s="3" t="s">
        <v>923</v>
      </c>
      <c r="E589" s="3" t="s">
        <v>2074</v>
      </c>
      <c r="F589" s="3" t="s">
        <v>903</v>
      </c>
      <c r="G589" s="3">
        <v>1.0</v>
      </c>
      <c r="H589" s="3" t="b">
        <v>0</v>
      </c>
      <c r="L589" s="3" t="s">
        <v>2102</v>
      </c>
    </row>
    <row r="590" ht="15.75" customHeight="1">
      <c r="A590" s="3" t="s">
        <v>2697</v>
      </c>
      <c r="B590" s="12">
        <v>46118.0</v>
      </c>
      <c r="C590" s="3" t="s">
        <v>609</v>
      </c>
      <c r="D590" s="3" t="s">
        <v>923</v>
      </c>
      <c r="E590" s="3" t="s">
        <v>2074</v>
      </c>
      <c r="F590" s="3" t="s">
        <v>903</v>
      </c>
      <c r="G590" s="3">
        <v>1.0</v>
      </c>
      <c r="H590" s="3" t="b">
        <v>0</v>
      </c>
      <c r="L590" s="3" t="s">
        <v>2102</v>
      </c>
    </row>
    <row r="591" ht="15.75" customHeight="1">
      <c r="A591" s="3" t="s">
        <v>2698</v>
      </c>
      <c r="B591" s="12">
        <v>46118.0</v>
      </c>
      <c r="C591" s="3" t="s">
        <v>610</v>
      </c>
      <c r="D591" s="3" t="s">
        <v>923</v>
      </c>
      <c r="E591" s="3" t="s">
        <v>2074</v>
      </c>
      <c r="F591" s="3" t="s">
        <v>903</v>
      </c>
      <c r="G591" s="3">
        <v>1.0</v>
      </c>
      <c r="H591" s="3" t="b">
        <v>0</v>
      </c>
      <c r="L591" s="3" t="s">
        <v>2102</v>
      </c>
    </row>
    <row r="592" ht="15.75" customHeight="1">
      <c r="A592" s="3" t="s">
        <v>2699</v>
      </c>
      <c r="B592" s="12">
        <v>46118.0</v>
      </c>
      <c r="C592" s="3" t="s">
        <v>1264</v>
      </c>
      <c r="D592" s="3" t="s">
        <v>923</v>
      </c>
      <c r="E592" s="3" t="s">
        <v>2074</v>
      </c>
      <c r="F592" s="3" t="s">
        <v>903</v>
      </c>
      <c r="G592" s="3">
        <v>1.0</v>
      </c>
      <c r="H592" s="3" t="b">
        <v>0</v>
      </c>
      <c r="L592" s="3" t="s">
        <v>2102</v>
      </c>
    </row>
    <row r="593" ht="15.75" customHeight="1">
      <c r="A593" s="3" t="s">
        <v>2700</v>
      </c>
      <c r="B593" s="12">
        <v>46118.0</v>
      </c>
      <c r="C593" s="3" t="s">
        <v>611</v>
      </c>
      <c r="D593" s="3" t="s">
        <v>923</v>
      </c>
      <c r="E593" s="3" t="s">
        <v>2074</v>
      </c>
      <c r="F593" s="3" t="s">
        <v>903</v>
      </c>
      <c r="G593" s="3">
        <v>1.0</v>
      </c>
      <c r="H593" s="3" t="b">
        <v>0</v>
      </c>
      <c r="L593" s="3" t="s">
        <v>2102</v>
      </c>
    </row>
    <row r="594" ht="15.75" customHeight="1">
      <c r="A594" s="3" t="s">
        <v>2701</v>
      </c>
      <c r="B594" s="12">
        <v>46118.0</v>
      </c>
      <c r="C594" s="3" t="s">
        <v>612</v>
      </c>
      <c r="D594" s="3" t="s">
        <v>923</v>
      </c>
      <c r="E594" s="3" t="s">
        <v>2074</v>
      </c>
      <c r="F594" s="3" t="s">
        <v>903</v>
      </c>
      <c r="G594" s="3">
        <v>1.0</v>
      </c>
      <c r="H594" s="3" t="b">
        <v>0</v>
      </c>
      <c r="L594" s="3" t="s">
        <v>2102</v>
      </c>
    </row>
    <row r="595" ht="15.75" customHeight="1">
      <c r="A595" s="3" t="s">
        <v>2702</v>
      </c>
      <c r="B595" s="12">
        <v>46118.0</v>
      </c>
      <c r="C595" s="3" t="s">
        <v>613</v>
      </c>
      <c r="D595" s="3" t="s">
        <v>923</v>
      </c>
      <c r="E595" s="3" t="s">
        <v>2074</v>
      </c>
      <c r="F595" s="3" t="s">
        <v>903</v>
      </c>
      <c r="G595" s="3">
        <v>1.0</v>
      </c>
      <c r="H595" s="3" t="b">
        <v>0</v>
      </c>
      <c r="L595" s="3" t="s">
        <v>2102</v>
      </c>
    </row>
    <row r="596" ht="15.75" customHeight="1">
      <c r="A596" s="3" t="s">
        <v>2703</v>
      </c>
      <c r="B596" s="12">
        <v>46118.0</v>
      </c>
      <c r="C596" s="3" t="s">
        <v>615</v>
      </c>
      <c r="D596" s="3" t="s">
        <v>923</v>
      </c>
      <c r="E596" s="3" t="s">
        <v>2074</v>
      </c>
      <c r="F596" s="3" t="s">
        <v>903</v>
      </c>
      <c r="G596" s="3">
        <v>1.0</v>
      </c>
      <c r="H596" s="3" t="b">
        <v>0</v>
      </c>
      <c r="L596" s="3" t="s">
        <v>2102</v>
      </c>
    </row>
    <row r="597" ht="15.75" customHeight="1">
      <c r="A597" s="3" t="s">
        <v>2704</v>
      </c>
      <c r="B597" s="12">
        <v>46118.0</v>
      </c>
      <c r="C597" s="3" t="s">
        <v>616</v>
      </c>
      <c r="D597" s="3" t="s">
        <v>923</v>
      </c>
      <c r="E597" s="3" t="s">
        <v>2074</v>
      </c>
      <c r="F597" s="3" t="s">
        <v>903</v>
      </c>
      <c r="G597" s="3">
        <v>1.0</v>
      </c>
      <c r="H597" s="3" t="b">
        <v>0</v>
      </c>
      <c r="L597" s="3" t="s">
        <v>2102</v>
      </c>
    </row>
    <row r="598" ht="15.75" customHeight="1">
      <c r="A598" s="3" t="s">
        <v>2705</v>
      </c>
      <c r="B598" s="12">
        <v>46118.0</v>
      </c>
      <c r="C598" s="3" t="s">
        <v>617</v>
      </c>
      <c r="D598" s="3" t="s">
        <v>923</v>
      </c>
      <c r="E598" s="3" t="s">
        <v>2074</v>
      </c>
      <c r="F598" s="3" t="s">
        <v>903</v>
      </c>
      <c r="G598" s="3">
        <v>1.0</v>
      </c>
      <c r="H598" s="3" t="b">
        <v>0</v>
      </c>
      <c r="L598" s="3" t="s">
        <v>2102</v>
      </c>
    </row>
    <row r="599" ht="15.75" customHeight="1">
      <c r="A599" s="3" t="s">
        <v>2706</v>
      </c>
      <c r="B599" s="12">
        <v>46118.0</v>
      </c>
      <c r="C599" s="3" t="s">
        <v>618</v>
      </c>
      <c r="D599" s="3" t="s">
        <v>923</v>
      </c>
      <c r="E599" s="3" t="s">
        <v>2074</v>
      </c>
      <c r="F599" s="3" t="s">
        <v>903</v>
      </c>
      <c r="G599" s="3">
        <v>1.0</v>
      </c>
      <c r="H599" s="3" t="b">
        <v>0</v>
      </c>
      <c r="L599" s="3" t="s">
        <v>2102</v>
      </c>
    </row>
    <row r="600" ht="15.75" customHeight="1">
      <c r="A600" s="3" t="s">
        <v>2707</v>
      </c>
      <c r="B600" s="12">
        <v>46118.0</v>
      </c>
      <c r="C600" s="3" t="s">
        <v>619</v>
      </c>
      <c r="D600" s="3" t="s">
        <v>923</v>
      </c>
      <c r="E600" s="3" t="s">
        <v>2074</v>
      </c>
      <c r="F600" s="3" t="s">
        <v>903</v>
      </c>
      <c r="G600" s="3">
        <v>1.0</v>
      </c>
      <c r="H600" s="3" t="b">
        <v>0</v>
      </c>
      <c r="L600" s="3" t="s">
        <v>2102</v>
      </c>
    </row>
    <row r="601" ht="15.75" customHeight="1">
      <c r="A601" s="3" t="s">
        <v>2708</v>
      </c>
      <c r="B601" s="12">
        <v>46118.0</v>
      </c>
      <c r="C601" s="3" t="s">
        <v>620</v>
      </c>
      <c r="D601" s="3" t="s">
        <v>923</v>
      </c>
      <c r="E601" s="3" t="s">
        <v>2074</v>
      </c>
      <c r="F601" s="3" t="s">
        <v>903</v>
      </c>
      <c r="G601" s="3">
        <v>1.0</v>
      </c>
      <c r="H601" s="3" t="b">
        <v>0</v>
      </c>
      <c r="L601" s="3" t="s">
        <v>2102</v>
      </c>
    </row>
    <row r="602" ht="15.75" customHeight="1">
      <c r="A602" s="3" t="s">
        <v>2709</v>
      </c>
      <c r="B602" s="12">
        <v>46118.0</v>
      </c>
      <c r="C602" s="3" t="s">
        <v>621</v>
      </c>
      <c r="D602" s="3" t="s">
        <v>923</v>
      </c>
      <c r="E602" s="3" t="s">
        <v>2074</v>
      </c>
      <c r="F602" s="3" t="s">
        <v>903</v>
      </c>
      <c r="G602" s="3">
        <v>1.0</v>
      </c>
      <c r="H602" s="3" t="b">
        <v>0</v>
      </c>
      <c r="L602" s="3" t="s">
        <v>2102</v>
      </c>
    </row>
    <row r="603" ht="15.75" customHeight="1">
      <c r="A603" s="3" t="s">
        <v>2710</v>
      </c>
      <c r="B603" s="12">
        <v>46118.0</v>
      </c>
      <c r="C603" s="3" t="s">
        <v>622</v>
      </c>
      <c r="D603" s="3" t="s">
        <v>923</v>
      </c>
      <c r="E603" s="3" t="s">
        <v>2074</v>
      </c>
      <c r="F603" s="3" t="s">
        <v>903</v>
      </c>
      <c r="G603" s="3">
        <v>1.0</v>
      </c>
      <c r="H603" s="3" t="b">
        <v>0</v>
      </c>
      <c r="L603" s="3" t="s">
        <v>2102</v>
      </c>
    </row>
    <row r="604" ht="15.75" customHeight="1">
      <c r="A604" s="3" t="s">
        <v>2711</v>
      </c>
      <c r="B604" s="12">
        <v>46118.0</v>
      </c>
      <c r="C604" s="3" t="s">
        <v>623</v>
      </c>
      <c r="D604" s="3" t="s">
        <v>923</v>
      </c>
      <c r="E604" s="3" t="s">
        <v>2074</v>
      </c>
      <c r="F604" s="3" t="s">
        <v>903</v>
      </c>
      <c r="G604" s="3">
        <v>1.0</v>
      </c>
      <c r="H604" s="3" t="b">
        <v>0</v>
      </c>
      <c r="L604" s="3" t="s">
        <v>2102</v>
      </c>
    </row>
    <row r="605" ht="15.75" customHeight="1">
      <c r="A605" s="3" t="s">
        <v>2712</v>
      </c>
      <c r="B605" s="12">
        <v>46118.0</v>
      </c>
      <c r="C605" s="3" t="s">
        <v>624</v>
      </c>
      <c r="D605" s="3" t="s">
        <v>923</v>
      </c>
      <c r="E605" s="3" t="s">
        <v>2074</v>
      </c>
      <c r="F605" s="3" t="s">
        <v>903</v>
      </c>
      <c r="G605" s="3">
        <v>1.0</v>
      </c>
      <c r="H605" s="3" t="b">
        <v>0</v>
      </c>
      <c r="L605" s="3" t="s">
        <v>2102</v>
      </c>
    </row>
    <row r="606" ht="15.75" customHeight="1">
      <c r="A606" s="3" t="s">
        <v>2713</v>
      </c>
      <c r="B606" s="12">
        <v>46118.0</v>
      </c>
      <c r="C606" s="3" t="s">
        <v>1210</v>
      </c>
      <c r="D606" s="3" t="s">
        <v>923</v>
      </c>
      <c r="E606" s="3" t="s">
        <v>2074</v>
      </c>
      <c r="F606" s="3" t="s">
        <v>903</v>
      </c>
      <c r="G606" s="3">
        <v>1.0</v>
      </c>
      <c r="H606" s="3" t="b">
        <v>0</v>
      </c>
      <c r="L606" s="3" t="s">
        <v>2102</v>
      </c>
    </row>
    <row r="607" ht="15.75" customHeight="1">
      <c r="A607" s="3" t="s">
        <v>2714</v>
      </c>
      <c r="B607" s="12">
        <v>46118.0</v>
      </c>
      <c r="C607" s="3" t="s">
        <v>625</v>
      </c>
      <c r="D607" s="3" t="s">
        <v>923</v>
      </c>
      <c r="E607" s="3" t="s">
        <v>2074</v>
      </c>
      <c r="F607" s="3" t="s">
        <v>903</v>
      </c>
      <c r="G607" s="3">
        <v>1.0</v>
      </c>
      <c r="H607" s="3" t="b">
        <v>0</v>
      </c>
      <c r="L607" s="3" t="s">
        <v>2102</v>
      </c>
    </row>
    <row r="608" ht="15.75" customHeight="1">
      <c r="A608" s="3" t="s">
        <v>2715</v>
      </c>
      <c r="B608" s="12">
        <v>46118.0</v>
      </c>
      <c r="C608" s="3" t="s">
        <v>626</v>
      </c>
      <c r="D608" s="3" t="s">
        <v>923</v>
      </c>
      <c r="E608" s="3" t="s">
        <v>2074</v>
      </c>
      <c r="F608" s="3" t="s">
        <v>903</v>
      </c>
      <c r="G608" s="3">
        <v>1.0</v>
      </c>
      <c r="H608" s="3" t="b">
        <v>0</v>
      </c>
      <c r="L608" s="3" t="s">
        <v>2102</v>
      </c>
    </row>
    <row r="609" ht="15.75" customHeight="1">
      <c r="A609" s="3" t="s">
        <v>2716</v>
      </c>
      <c r="B609" s="12">
        <v>46118.0</v>
      </c>
      <c r="C609" s="3" t="s">
        <v>627</v>
      </c>
      <c r="D609" s="3" t="s">
        <v>923</v>
      </c>
      <c r="E609" s="3" t="s">
        <v>2074</v>
      </c>
      <c r="F609" s="3" t="s">
        <v>903</v>
      </c>
      <c r="G609" s="3">
        <v>1.0</v>
      </c>
      <c r="H609" s="3" t="b">
        <v>0</v>
      </c>
      <c r="L609" s="3" t="s">
        <v>2102</v>
      </c>
    </row>
    <row r="610" ht="15.75" customHeight="1">
      <c r="A610" s="3" t="s">
        <v>2717</v>
      </c>
      <c r="B610" s="12">
        <v>46118.0</v>
      </c>
      <c r="C610" s="3" t="s">
        <v>628</v>
      </c>
      <c r="D610" s="3" t="s">
        <v>923</v>
      </c>
      <c r="E610" s="3" t="s">
        <v>2074</v>
      </c>
      <c r="F610" s="3" t="s">
        <v>903</v>
      </c>
      <c r="G610" s="3">
        <v>1.0</v>
      </c>
      <c r="H610" s="3" t="b">
        <v>0</v>
      </c>
      <c r="L610" s="3" t="s">
        <v>2102</v>
      </c>
    </row>
    <row r="611" ht="15.75" customHeight="1">
      <c r="A611" s="3" t="s">
        <v>2718</v>
      </c>
      <c r="B611" s="12">
        <v>46118.0</v>
      </c>
      <c r="C611" s="3" t="s">
        <v>629</v>
      </c>
      <c r="D611" s="3" t="s">
        <v>923</v>
      </c>
      <c r="E611" s="3" t="s">
        <v>2074</v>
      </c>
      <c r="F611" s="3" t="s">
        <v>903</v>
      </c>
      <c r="G611" s="3">
        <v>1.0</v>
      </c>
      <c r="H611" s="3" t="b">
        <v>0</v>
      </c>
      <c r="L611" s="3" t="s">
        <v>2102</v>
      </c>
    </row>
    <row r="612" ht="15.75" customHeight="1">
      <c r="A612" s="13" t="s">
        <v>2719</v>
      </c>
      <c r="B612" s="12">
        <v>46118.0</v>
      </c>
      <c r="C612" s="3" t="s">
        <v>630</v>
      </c>
      <c r="D612" s="3" t="s">
        <v>923</v>
      </c>
      <c r="E612" s="3" t="s">
        <v>2074</v>
      </c>
      <c r="F612" s="3" t="s">
        <v>903</v>
      </c>
      <c r="G612" s="3">
        <v>1.0</v>
      </c>
      <c r="H612" s="3" t="b">
        <v>0</v>
      </c>
      <c r="L612" s="3" t="s">
        <v>2102</v>
      </c>
    </row>
    <row r="613" ht="15.75" customHeight="1">
      <c r="A613" s="13" t="s">
        <v>2720</v>
      </c>
      <c r="B613" s="12">
        <v>46118.0</v>
      </c>
      <c r="C613" s="3" t="s">
        <v>631</v>
      </c>
      <c r="D613" s="3" t="s">
        <v>923</v>
      </c>
      <c r="E613" s="3" t="s">
        <v>2074</v>
      </c>
      <c r="F613" s="3" t="s">
        <v>903</v>
      </c>
      <c r="G613" s="3">
        <v>1.0</v>
      </c>
      <c r="H613" s="3" t="b">
        <v>0</v>
      </c>
      <c r="L613" s="3" t="s">
        <v>2102</v>
      </c>
    </row>
    <row r="614" ht="15.75" customHeight="1">
      <c r="A614" s="3" t="s">
        <v>2721</v>
      </c>
      <c r="B614" s="12">
        <v>46118.0</v>
      </c>
      <c r="C614" s="3" t="s">
        <v>632</v>
      </c>
      <c r="D614" s="3" t="s">
        <v>923</v>
      </c>
      <c r="E614" s="3" t="s">
        <v>2074</v>
      </c>
      <c r="F614" s="3" t="s">
        <v>903</v>
      </c>
      <c r="G614" s="3">
        <v>1.0</v>
      </c>
      <c r="H614" s="3" t="b">
        <v>0</v>
      </c>
      <c r="L614" s="3" t="s">
        <v>2102</v>
      </c>
    </row>
    <row r="615" ht="15.75" customHeight="1">
      <c r="A615" s="3" t="s">
        <v>2722</v>
      </c>
      <c r="B615" s="12">
        <v>46118.0</v>
      </c>
      <c r="C615" s="3" t="s">
        <v>633</v>
      </c>
      <c r="D615" s="3" t="s">
        <v>923</v>
      </c>
      <c r="E615" s="3" t="s">
        <v>2074</v>
      </c>
      <c r="F615" s="3" t="s">
        <v>903</v>
      </c>
      <c r="G615" s="3">
        <v>1.0</v>
      </c>
      <c r="H615" s="3" t="b">
        <v>0</v>
      </c>
      <c r="L615" s="3" t="s">
        <v>2102</v>
      </c>
    </row>
    <row r="616" ht="15.75" customHeight="1">
      <c r="A616" s="3" t="s">
        <v>2723</v>
      </c>
      <c r="B616" s="12">
        <v>46118.0</v>
      </c>
      <c r="C616" s="3" t="s">
        <v>634</v>
      </c>
      <c r="D616" s="3" t="s">
        <v>923</v>
      </c>
      <c r="E616" s="3" t="s">
        <v>2074</v>
      </c>
      <c r="F616" s="3" t="s">
        <v>903</v>
      </c>
      <c r="G616" s="3">
        <v>1.0</v>
      </c>
      <c r="H616" s="3" t="b">
        <v>0</v>
      </c>
      <c r="L616" s="3" t="s">
        <v>2102</v>
      </c>
    </row>
    <row r="617" ht="15.75" customHeight="1">
      <c r="A617" s="3" t="s">
        <v>2724</v>
      </c>
      <c r="B617" s="12">
        <v>46118.0</v>
      </c>
      <c r="C617" s="3" t="s">
        <v>635</v>
      </c>
      <c r="D617" s="3" t="s">
        <v>923</v>
      </c>
      <c r="E617" s="3" t="s">
        <v>2074</v>
      </c>
      <c r="F617" s="3" t="s">
        <v>903</v>
      </c>
      <c r="G617" s="3">
        <v>1.0</v>
      </c>
      <c r="H617" s="3" t="b">
        <v>0</v>
      </c>
      <c r="L617" s="3" t="s">
        <v>2102</v>
      </c>
    </row>
    <row r="618" ht="15.75" customHeight="1">
      <c r="A618" s="3" t="s">
        <v>2725</v>
      </c>
      <c r="B618" s="12">
        <v>46118.0</v>
      </c>
      <c r="C618" s="3" t="s">
        <v>2726</v>
      </c>
      <c r="D618" s="3" t="s">
        <v>923</v>
      </c>
      <c r="E618" s="3" t="s">
        <v>2074</v>
      </c>
      <c r="F618" s="3" t="s">
        <v>903</v>
      </c>
      <c r="G618" s="3">
        <v>1.0</v>
      </c>
      <c r="H618" s="3" t="b">
        <v>0</v>
      </c>
      <c r="L618" s="3" t="s">
        <v>2102</v>
      </c>
    </row>
    <row r="619" ht="15.75" customHeight="1">
      <c r="A619" s="3" t="s">
        <v>2727</v>
      </c>
      <c r="B619" s="12">
        <v>46118.0</v>
      </c>
      <c r="C619" s="3" t="s">
        <v>636</v>
      </c>
      <c r="D619" s="3" t="s">
        <v>923</v>
      </c>
      <c r="E619" s="3" t="s">
        <v>2074</v>
      </c>
      <c r="F619" s="3" t="s">
        <v>903</v>
      </c>
      <c r="G619" s="3">
        <v>1.0</v>
      </c>
      <c r="H619" s="3" t="b">
        <v>0</v>
      </c>
      <c r="L619" s="3" t="s">
        <v>2102</v>
      </c>
    </row>
    <row r="620" ht="15.75" customHeight="1">
      <c r="A620" s="3" t="s">
        <v>2728</v>
      </c>
      <c r="B620" s="12">
        <v>46118.0</v>
      </c>
      <c r="C620" s="3" t="s">
        <v>637</v>
      </c>
      <c r="D620" s="3" t="s">
        <v>923</v>
      </c>
      <c r="E620" s="3" t="s">
        <v>2074</v>
      </c>
      <c r="F620" s="3" t="s">
        <v>903</v>
      </c>
      <c r="G620" s="3">
        <v>1.0</v>
      </c>
      <c r="H620" s="3" t="b">
        <v>0</v>
      </c>
      <c r="L620" s="3" t="s">
        <v>2102</v>
      </c>
    </row>
    <row r="621" ht="15.75" customHeight="1">
      <c r="A621" s="3" t="s">
        <v>2729</v>
      </c>
      <c r="B621" s="12">
        <v>46118.0</v>
      </c>
      <c r="C621" s="3" t="s">
        <v>638</v>
      </c>
      <c r="D621" s="3" t="s">
        <v>923</v>
      </c>
      <c r="E621" s="3" t="s">
        <v>2074</v>
      </c>
      <c r="F621" s="3" t="s">
        <v>903</v>
      </c>
      <c r="G621" s="3">
        <v>1.0</v>
      </c>
      <c r="H621" s="3" t="b">
        <v>0</v>
      </c>
      <c r="L621" s="3" t="s">
        <v>2102</v>
      </c>
    </row>
    <row r="622" ht="15.75" customHeight="1">
      <c r="A622" s="3" t="s">
        <v>2730</v>
      </c>
      <c r="B622" s="12">
        <v>46118.0</v>
      </c>
      <c r="C622" s="3" t="s">
        <v>639</v>
      </c>
      <c r="D622" s="3" t="s">
        <v>923</v>
      </c>
      <c r="E622" s="3" t="s">
        <v>2074</v>
      </c>
      <c r="F622" s="3" t="s">
        <v>903</v>
      </c>
      <c r="G622" s="3">
        <v>1.0</v>
      </c>
      <c r="H622" s="3" t="b">
        <v>0</v>
      </c>
      <c r="L622" s="3" t="s">
        <v>2102</v>
      </c>
    </row>
    <row r="623" ht="15.75" customHeight="1">
      <c r="A623" s="3" t="s">
        <v>2731</v>
      </c>
      <c r="B623" s="12">
        <v>46118.0</v>
      </c>
      <c r="C623" s="3" t="s">
        <v>640</v>
      </c>
      <c r="D623" s="3" t="s">
        <v>923</v>
      </c>
      <c r="E623" s="3" t="s">
        <v>2074</v>
      </c>
      <c r="F623" s="3" t="s">
        <v>903</v>
      </c>
      <c r="G623" s="3">
        <v>1.0</v>
      </c>
      <c r="H623" s="3" t="b">
        <v>0</v>
      </c>
      <c r="L623" s="3" t="s">
        <v>2102</v>
      </c>
    </row>
    <row r="624" ht="15.75" customHeight="1">
      <c r="A624" s="3" t="s">
        <v>2732</v>
      </c>
      <c r="B624" s="12">
        <v>46118.0</v>
      </c>
      <c r="C624" s="3" t="s">
        <v>641</v>
      </c>
      <c r="D624" s="3" t="s">
        <v>923</v>
      </c>
      <c r="E624" s="3" t="s">
        <v>2074</v>
      </c>
      <c r="F624" s="3" t="s">
        <v>903</v>
      </c>
      <c r="G624" s="3">
        <v>1.0</v>
      </c>
      <c r="H624" s="3" t="b">
        <v>0</v>
      </c>
      <c r="L624" s="3" t="s">
        <v>2102</v>
      </c>
    </row>
    <row r="625" ht="15.75" customHeight="1">
      <c r="A625" s="3" t="s">
        <v>2733</v>
      </c>
      <c r="B625" s="12">
        <v>46118.0</v>
      </c>
      <c r="C625" s="3" t="s">
        <v>642</v>
      </c>
      <c r="D625" s="3" t="s">
        <v>923</v>
      </c>
      <c r="E625" s="3" t="s">
        <v>2074</v>
      </c>
      <c r="F625" s="3" t="s">
        <v>903</v>
      </c>
      <c r="G625" s="3">
        <v>1.0</v>
      </c>
      <c r="H625" s="3" t="b">
        <v>0</v>
      </c>
      <c r="L625" s="3" t="s">
        <v>2102</v>
      </c>
    </row>
    <row r="626" ht="15.75" customHeight="1">
      <c r="A626" s="3" t="s">
        <v>2734</v>
      </c>
      <c r="B626" s="12">
        <v>46118.0</v>
      </c>
      <c r="C626" s="3" t="s">
        <v>643</v>
      </c>
      <c r="D626" s="3" t="s">
        <v>923</v>
      </c>
      <c r="E626" s="3" t="s">
        <v>2074</v>
      </c>
      <c r="F626" s="3" t="s">
        <v>903</v>
      </c>
      <c r="G626" s="3">
        <v>1.0</v>
      </c>
      <c r="H626" s="3" t="b">
        <v>0</v>
      </c>
      <c r="L626" s="3" t="s">
        <v>2102</v>
      </c>
    </row>
    <row r="627" ht="15.75" customHeight="1">
      <c r="A627" s="3" t="s">
        <v>2735</v>
      </c>
      <c r="B627" s="12">
        <v>46118.0</v>
      </c>
      <c r="C627" s="3" t="s">
        <v>644</v>
      </c>
      <c r="D627" s="3" t="s">
        <v>923</v>
      </c>
      <c r="E627" s="3" t="s">
        <v>2074</v>
      </c>
      <c r="F627" s="3" t="s">
        <v>903</v>
      </c>
      <c r="G627" s="3">
        <v>1.0</v>
      </c>
      <c r="H627" s="3" t="b">
        <v>0</v>
      </c>
      <c r="L627" s="3" t="s">
        <v>2102</v>
      </c>
    </row>
    <row r="628" ht="15.75" customHeight="1">
      <c r="A628" s="3" t="s">
        <v>2736</v>
      </c>
      <c r="B628" s="12">
        <v>46118.0</v>
      </c>
      <c r="C628" s="3" t="s">
        <v>645</v>
      </c>
      <c r="D628" s="3" t="s">
        <v>923</v>
      </c>
      <c r="E628" s="3" t="s">
        <v>2074</v>
      </c>
      <c r="F628" s="3" t="s">
        <v>903</v>
      </c>
      <c r="G628" s="3">
        <v>1.0</v>
      </c>
      <c r="H628" s="3" t="b">
        <v>0</v>
      </c>
      <c r="L628" s="3" t="s">
        <v>2102</v>
      </c>
    </row>
    <row r="629" ht="15.75" customHeight="1">
      <c r="A629" s="3" t="s">
        <v>2737</v>
      </c>
      <c r="B629" s="12">
        <v>46118.0</v>
      </c>
      <c r="C629" s="3" t="s">
        <v>646</v>
      </c>
      <c r="D629" s="3" t="s">
        <v>923</v>
      </c>
      <c r="E629" s="3" t="s">
        <v>2074</v>
      </c>
      <c r="F629" s="3" t="s">
        <v>903</v>
      </c>
      <c r="G629" s="3">
        <v>1.0</v>
      </c>
      <c r="H629" s="3" t="b">
        <v>0</v>
      </c>
      <c r="L629" s="3" t="s">
        <v>2102</v>
      </c>
    </row>
    <row r="630" ht="15.75" customHeight="1">
      <c r="A630" s="3" t="s">
        <v>2738</v>
      </c>
      <c r="B630" s="12">
        <v>46118.0</v>
      </c>
      <c r="C630" s="3" t="s">
        <v>647</v>
      </c>
      <c r="D630" s="3" t="s">
        <v>923</v>
      </c>
      <c r="E630" s="3" t="s">
        <v>2074</v>
      </c>
      <c r="F630" s="3" t="s">
        <v>903</v>
      </c>
      <c r="G630" s="3">
        <v>1.0</v>
      </c>
      <c r="H630" s="3" t="b">
        <v>0</v>
      </c>
      <c r="L630" s="3" t="s">
        <v>2102</v>
      </c>
    </row>
    <row r="631" ht="15.75" customHeight="1">
      <c r="A631" s="3" t="s">
        <v>2739</v>
      </c>
      <c r="B631" s="12">
        <v>46118.0</v>
      </c>
      <c r="C631" s="3" t="s">
        <v>648</v>
      </c>
      <c r="D631" s="3" t="s">
        <v>923</v>
      </c>
      <c r="E631" s="3" t="s">
        <v>2074</v>
      </c>
      <c r="F631" s="3" t="s">
        <v>903</v>
      </c>
      <c r="G631" s="3">
        <v>1.0</v>
      </c>
      <c r="H631" s="3" t="b">
        <v>0</v>
      </c>
      <c r="L631" s="3" t="s">
        <v>2102</v>
      </c>
    </row>
    <row r="632" ht="15.75" customHeight="1">
      <c r="A632" s="3" t="s">
        <v>2740</v>
      </c>
      <c r="B632" s="12">
        <v>46118.0</v>
      </c>
      <c r="C632" s="3" t="s">
        <v>649</v>
      </c>
      <c r="D632" s="3" t="s">
        <v>923</v>
      </c>
      <c r="E632" s="3" t="s">
        <v>2074</v>
      </c>
      <c r="F632" s="3" t="s">
        <v>903</v>
      </c>
      <c r="G632" s="3">
        <v>1.0</v>
      </c>
      <c r="H632" s="3" t="b">
        <v>0</v>
      </c>
      <c r="L632" s="3" t="s">
        <v>2102</v>
      </c>
    </row>
    <row r="633" ht="15.75" customHeight="1">
      <c r="A633" s="3" t="s">
        <v>2741</v>
      </c>
      <c r="B633" s="12">
        <v>46118.0</v>
      </c>
      <c r="C633" s="3" t="s">
        <v>650</v>
      </c>
      <c r="D633" s="3" t="s">
        <v>923</v>
      </c>
      <c r="E633" s="3" t="s">
        <v>2074</v>
      </c>
      <c r="F633" s="3" t="s">
        <v>903</v>
      </c>
      <c r="G633" s="3">
        <v>1.0</v>
      </c>
      <c r="H633" s="3" t="b">
        <v>0</v>
      </c>
      <c r="L633" s="3" t="s">
        <v>2102</v>
      </c>
    </row>
    <row r="634" ht="15.75" customHeight="1">
      <c r="A634" s="3" t="s">
        <v>2742</v>
      </c>
      <c r="B634" s="12">
        <v>46118.0</v>
      </c>
      <c r="C634" s="3" t="s">
        <v>651</v>
      </c>
      <c r="D634" s="3" t="s">
        <v>923</v>
      </c>
      <c r="E634" s="3" t="s">
        <v>2074</v>
      </c>
      <c r="F634" s="3" t="s">
        <v>903</v>
      </c>
      <c r="G634" s="3">
        <v>1.0</v>
      </c>
      <c r="H634" s="3" t="b">
        <v>0</v>
      </c>
      <c r="L634" s="3" t="s">
        <v>2102</v>
      </c>
    </row>
    <row r="635" ht="15.75" customHeight="1">
      <c r="A635" s="3" t="s">
        <v>2743</v>
      </c>
      <c r="B635" s="12">
        <v>46118.0</v>
      </c>
      <c r="C635" s="3" t="s">
        <v>653</v>
      </c>
      <c r="D635" s="3" t="s">
        <v>923</v>
      </c>
      <c r="E635" s="3" t="s">
        <v>2074</v>
      </c>
      <c r="F635" s="3" t="s">
        <v>903</v>
      </c>
      <c r="G635" s="3">
        <v>1.0</v>
      </c>
      <c r="H635" s="3" t="b">
        <v>0</v>
      </c>
      <c r="L635" s="3" t="s">
        <v>2102</v>
      </c>
    </row>
    <row r="636" ht="15.75" customHeight="1">
      <c r="A636" s="3" t="s">
        <v>2744</v>
      </c>
      <c r="B636" s="12">
        <v>46118.0</v>
      </c>
      <c r="C636" s="3" t="s">
        <v>654</v>
      </c>
      <c r="D636" s="3" t="s">
        <v>923</v>
      </c>
      <c r="E636" s="3" t="s">
        <v>2074</v>
      </c>
      <c r="F636" s="3" t="s">
        <v>903</v>
      </c>
      <c r="G636" s="3">
        <v>1.0</v>
      </c>
      <c r="H636" s="3" t="b">
        <v>0</v>
      </c>
      <c r="L636" s="3" t="s">
        <v>2102</v>
      </c>
    </row>
    <row r="637" ht="15.75" customHeight="1">
      <c r="A637" s="3" t="s">
        <v>2745</v>
      </c>
      <c r="B637" s="12">
        <v>46118.0</v>
      </c>
      <c r="C637" s="3" t="s">
        <v>655</v>
      </c>
      <c r="D637" s="3" t="s">
        <v>923</v>
      </c>
      <c r="E637" s="3" t="s">
        <v>2074</v>
      </c>
      <c r="F637" s="3" t="s">
        <v>903</v>
      </c>
      <c r="G637" s="3">
        <v>1.0</v>
      </c>
      <c r="H637" s="3" t="b">
        <v>0</v>
      </c>
      <c r="L637" s="3" t="s">
        <v>2102</v>
      </c>
    </row>
    <row r="638" ht="15.75" customHeight="1">
      <c r="A638" s="3" t="s">
        <v>2746</v>
      </c>
      <c r="B638" s="12">
        <v>46118.0</v>
      </c>
      <c r="C638" s="3" t="s">
        <v>656</v>
      </c>
      <c r="D638" s="3" t="s">
        <v>923</v>
      </c>
      <c r="E638" s="3" t="s">
        <v>2074</v>
      </c>
      <c r="F638" s="3" t="s">
        <v>903</v>
      </c>
      <c r="G638" s="3">
        <v>1.0</v>
      </c>
      <c r="H638" s="3" t="b">
        <v>0</v>
      </c>
      <c r="L638" s="3" t="s">
        <v>2102</v>
      </c>
    </row>
    <row r="639" ht="15.75" customHeight="1">
      <c r="A639" s="3" t="s">
        <v>2747</v>
      </c>
      <c r="B639" s="12">
        <v>46118.0</v>
      </c>
      <c r="C639" s="3" t="s">
        <v>657</v>
      </c>
      <c r="D639" s="3" t="s">
        <v>923</v>
      </c>
      <c r="E639" s="3" t="s">
        <v>2074</v>
      </c>
      <c r="F639" s="3" t="s">
        <v>903</v>
      </c>
      <c r="G639" s="3">
        <v>1.0</v>
      </c>
      <c r="H639" s="3" t="b">
        <v>0</v>
      </c>
      <c r="L639" s="3" t="s">
        <v>2102</v>
      </c>
    </row>
    <row r="640" ht="15.75" customHeight="1">
      <c r="A640" s="3" t="s">
        <v>2748</v>
      </c>
      <c r="B640" s="12">
        <v>46118.0</v>
      </c>
      <c r="C640" s="3" t="s">
        <v>658</v>
      </c>
      <c r="D640" s="3" t="s">
        <v>923</v>
      </c>
      <c r="E640" s="3" t="s">
        <v>2074</v>
      </c>
      <c r="F640" s="3" t="s">
        <v>903</v>
      </c>
      <c r="G640" s="3">
        <v>1.0</v>
      </c>
      <c r="H640" s="3" t="b">
        <v>0</v>
      </c>
      <c r="L640" s="3" t="s">
        <v>2102</v>
      </c>
    </row>
    <row r="641" ht="15.75" customHeight="1">
      <c r="A641" s="3" t="s">
        <v>2749</v>
      </c>
      <c r="B641" s="12">
        <v>46118.0</v>
      </c>
      <c r="C641" s="3" t="s">
        <v>659</v>
      </c>
      <c r="D641" s="3" t="s">
        <v>923</v>
      </c>
      <c r="E641" s="3" t="s">
        <v>2074</v>
      </c>
      <c r="F641" s="3" t="s">
        <v>903</v>
      </c>
      <c r="G641" s="3">
        <v>1.0</v>
      </c>
      <c r="H641" s="3" t="b">
        <v>0</v>
      </c>
      <c r="L641" s="3" t="s">
        <v>2102</v>
      </c>
    </row>
    <row r="642" ht="15.75" customHeight="1">
      <c r="A642" s="3" t="s">
        <v>2750</v>
      </c>
      <c r="B642" s="12">
        <v>46118.0</v>
      </c>
      <c r="C642" s="3" t="s">
        <v>660</v>
      </c>
      <c r="D642" s="3" t="s">
        <v>923</v>
      </c>
      <c r="E642" s="3" t="s">
        <v>2074</v>
      </c>
      <c r="F642" s="3" t="s">
        <v>903</v>
      </c>
      <c r="G642" s="3">
        <v>1.0</v>
      </c>
      <c r="H642" s="3" t="b">
        <v>0</v>
      </c>
      <c r="L642" s="3" t="s">
        <v>2102</v>
      </c>
    </row>
    <row r="643" ht="15.75" customHeight="1">
      <c r="A643" s="3" t="s">
        <v>2751</v>
      </c>
      <c r="B643" s="12">
        <v>46118.0</v>
      </c>
      <c r="C643" s="3" t="s">
        <v>1302</v>
      </c>
      <c r="D643" s="3" t="s">
        <v>923</v>
      </c>
      <c r="E643" s="3" t="s">
        <v>2074</v>
      </c>
      <c r="F643" s="3" t="s">
        <v>903</v>
      </c>
      <c r="G643" s="3">
        <v>1.0</v>
      </c>
      <c r="H643" s="3" t="b">
        <v>0</v>
      </c>
      <c r="L643" s="3" t="s">
        <v>2102</v>
      </c>
    </row>
    <row r="644" ht="15.75" customHeight="1">
      <c r="A644" s="3" t="s">
        <v>2752</v>
      </c>
      <c r="B644" s="12">
        <v>46118.0</v>
      </c>
      <c r="C644" s="3" t="s">
        <v>662</v>
      </c>
      <c r="D644" s="3" t="s">
        <v>923</v>
      </c>
      <c r="E644" s="3" t="s">
        <v>2074</v>
      </c>
      <c r="F644" s="3" t="s">
        <v>903</v>
      </c>
      <c r="G644" s="3">
        <v>1.0</v>
      </c>
      <c r="H644" s="3" t="b">
        <v>0</v>
      </c>
      <c r="L644" s="3" t="s">
        <v>2102</v>
      </c>
    </row>
    <row r="645" ht="15.75" customHeight="1">
      <c r="A645" s="3" t="s">
        <v>2753</v>
      </c>
      <c r="B645" s="12">
        <v>46118.0</v>
      </c>
      <c r="C645" s="3" t="s">
        <v>663</v>
      </c>
      <c r="D645" s="3" t="s">
        <v>923</v>
      </c>
      <c r="E645" s="3" t="s">
        <v>2074</v>
      </c>
      <c r="F645" s="3" t="s">
        <v>903</v>
      </c>
      <c r="G645" s="3">
        <v>1.0</v>
      </c>
      <c r="H645" s="3" t="b">
        <v>0</v>
      </c>
      <c r="L645" s="3" t="s">
        <v>2102</v>
      </c>
    </row>
    <row r="646" ht="15.75" customHeight="1">
      <c r="A646" s="3" t="s">
        <v>2754</v>
      </c>
      <c r="B646" s="12">
        <v>46118.0</v>
      </c>
      <c r="C646" s="3" t="s">
        <v>665</v>
      </c>
      <c r="D646" s="3" t="s">
        <v>923</v>
      </c>
      <c r="E646" s="3" t="s">
        <v>2074</v>
      </c>
      <c r="F646" s="3" t="s">
        <v>903</v>
      </c>
      <c r="G646" s="3">
        <v>1.0</v>
      </c>
      <c r="H646" s="3" t="b">
        <v>0</v>
      </c>
      <c r="L646" s="3" t="s">
        <v>2102</v>
      </c>
    </row>
    <row r="647" ht="15.75" customHeight="1">
      <c r="A647" s="3" t="s">
        <v>2755</v>
      </c>
      <c r="B647" s="12">
        <v>46118.0</v>
      </c>
      <c r="C647" s="3" t="s">
        <v>666</v>
      </c>
      <c r="D647" s="3" t="s">
        <v>923</v>
      </c>
      <c r="E647" s="3" t="s">
        <v>2074</v>
      </c>
      <c r="F647" s="3" t="s">
        <v>903</v>
      </c>
      <c r="G647" s="3">
        <v>1.0</v>
      </c>
      <c r="H647" s="3" t="b">
        <v>0</v>
      </c>
      <c r="L647" s="3" t="s">
        <v>2102</v>
      </c>
    </row>
    <row r="648" ht="15.75" customHeight="1">
      <c r="A648" s="3" t="s">
        <v>2756</v>
      </c>
      <c r="B648" s="12">
        <v>46118.0</v>
      </c>
      <c r="C648" s="3" t="s">
        <v>667</v>
      </c>
      <c r="D648" s="3" t="s">
        <v>923</v>
      </c>
      <c r="E648" s="3" t="s">
        <v>2074</v>
      </c>
      <c r="F648" s="3" t="s">
        <v>903</v>
      </c>
      <c r="G648" s="3">
        <v>1.0</v>
      </c>
      <c r="H648" s="3" t="b">
        <v>0</v>
      </c>
      <c r="L648" s="3" t="s">
        <v>2102</v>
      </c>
    </row>
    <row r="649" ht="15.75" customHeight="1">
      <c r="A649" s="3" t="s">
        <v>2757</v>
      </c>
      <c r="B649" s="12">
        <v>46118.0</v>
      </c>
      <c r="C649" s="3" t="s">
        <v>668</v>
      </c>
      <c r="D649" s="3" t="s">
        <v>923</v>
      </c>
      <c r="E649" s="3" t="s">
        <v>2074</v>
      </c>
      <c r="F649" s="3" t="s">
        <v>903</v>
      </c>
      <c r="G649" s="3">
        <v>1.0</v>
      </c>
      <c r="H649" s="3" t="b">
        <v>0</v>
      </c>
      <c r="L649" s="3" t="s">
        <v>2102</v>
      </c>
    </row>
    <row r="650" ht="15.75" customHeight="1">
      <c r="A650" s="3" t="s">
        <v>2758</v>
      </c>
      <c r="B650" s="12">
        <v>46118.0</v>
      </c>
      <c r="C650" s="3" t="s">
        <v>669</v>
      </c>
      <c r="D650" s="3" t="s">
        <v>923</v>
      </c>
      <c r="E650" s="3" t="s">
        <v>2074</v>
      </c>
      <c r="F650" s="3" t="s">
        <v>903</v>
      </c>
      <c r="G650" s="3">
        <v>1.0</v>
      </c>
      <c r="H650" s="3" t="b">
        <v>0</v>
      </c>
      <c r="L650" s="3" t="s">
        <v>2102</v>
      </c>
    </row>
    <row r="651" ht="15.75" customHeight="1">
      <c r="A651" s="3" t="s">
        <v>2759</v>
      </c>
      <c r="B651" s="12">
        <v>46118.0</v>
      </c>
      <c r="C651" s="3" t="s">
        <v>670</v>
      </c>
      <c r="D651" s="3" t="s">
        <v>923</v>
      </c>
      <c r="E651" s="3" t="s">
        <v>2074</v>
      </c>
      <c r="F651" s="3" t="s">
        <v>903</v>
      </c>
      <c r="G651" s="3">
        <v>1.0</v>
      </c>
      <c r="H651" s="3" t="b">
        <v>0</v>
      </c>
      <c r="L651" s="3" t="s">
        <v>2102</v>
      </c>
    </row>
    <row r="652" ht="15.75" customHeight="1">
      <c r="A652" s="3" t="s">
        <v>2760</v>
      </c>
      <c r="B652" s="12">
        <v>46118.0</v>
      </c>
      <c r="C652" s="3" t="s">
        <v>671</v>
      </c>
      <c r="D652" s="3" t="s">
        <v>923</v>
      </c>
      <c r="E652" s="3" t="s">
        <v>2074</v>
      </c>
      <c r="F652" s="3" t="s">
        <v>903</v>
      </c>
      <c r="G652" s="3">
        <v>1.0</v>
      </c>
      <c r="H652" s="3" t="b">
        <v>0</v>
      </c>
      <c r="L652" s="3" t="s">
        <v>2102</v>
      </c>
    </row>
    <row r="653" ht="15.75" customHeight="1">
      <c r="A653" s="3" t="s">
        <v>2761</v>
      </c>
      <c r="B653" s="12">
        <v>46118.0</v>
      </c>
      <c r="C653" s="3" t="s">
        <v>672</v>
      </c>
      <c r="D653" s="3" t="s">
        <v>923</v>
      </c>
      <c r="E653" s="3" t="s">
        <v>2074</v>
      </c>
      <c r="F653" s="3" t="s">
        <v>903</v>
      </c>
      <c r="G653" s="3">
        <v>1.0</v>
      </c>
      <c r="H653" s="3" t="b">
        <v>0</v>
      </c>
      <c r="L653" s="3" t="s">
        <v>2102</v>
      </c>
    </row>
    <row r="654" ht="15.75" customHeight="1">
      <c r="A654" s="3" t="s">
        <v>2762</v>
      </c>
      <c r="B654" s="12">
        <v>46118.0</v>
      </c>
      <c r="C654" s="3" t="s">
        <v>673</v>
      </c>
      <c r="D654" s="3" t="s">
        <v>923</v>
      </c>
      <c r="E654" s="3" t="s">
        <v>2074</v>
      </c>
      <c r="F654" s="3" t="s">
        <v>903</v>
      </c>
      <c r="G654" s="3">
        <v>1.0</v>
      </c>
      <c r="H654" s="3" t="b">
        <v>0</v>
      </c>
      <c r="L654" s="3" t="s">
        <v>2102</v>
      </c>
    </row>
    <row r="655" ht="15.75" customHeight="1">
      <c r="A655" s="3" t="s">
        <v>2763</v>
      </c>
      <c r="B655" s="12">
        <v>46118.0</v>
      </c>
      <c r="C655" s="3" t="s">
        <v>674</v>
      </c>
      <c r="D655" s="3" t="s">
        <v>923</v>
      </c>
      <c r="E655" s="3" t="s">
        <v>2074</v>
      </c>
      <c r="F655" s="3" t="s">
        <v>903</v>
      </c>
      <c r="G655" s="3">
        <v>1.0</v>
      </c>
      <c r="H655" s="3" t="b">
        <v>0</v>
      </c>
      <c r="L655" s="3" t="s">
        <v>2102</v>
      </c>
    </row>
    <row r="656" ht="15.75" customHeight="1">
      <c r="A656" s="3" t="s">
        <v>2764</v>
      </c>
      <c r="B656" s="12">
        <v>46118.0</v>
      </c>
      <c r="C656" s="3" t="s">
        <v>675</v>
      </c>
      <c r="D656" s="3" t="s">
        <v>923</v>
      </c>
      <c r="E656" s="3" t="s">
        <v>2074</v>
      </c>
      <c r="F656" s="3" t="s">
        <v>903</v>
      </c>
      <c r="G656" s="3">
        <v>1.0</v>
      </c>
      <c r="H656" s="3" t="b">
        <v>0</v>
      </c>
      <c r="L656" s="3" t="s">
        <v>2102</v>
      </c>
    </row>
    <row r="657" ht="15.75" customHeight="1">
      <c r="A657" s="3" t="s">
        <v>2765</v>
      </c>
      <c r="B657" s="12">
        <v>46118.0</v>
      </c>
      <c r="C657" s="3" t="s">
        <v>676</v>
      </c>
      <c r="D657" s="3" t="s">
        <v>923</v>
      </c>
      <c r="E657" s="3" t="s">
        <v>2074</v>
      </c>
      <c r="F657" s="3" t="s">
        <v>903</v>
      </c>
      <c r="G657" s="3">
        <v>1.0</v>
      </c>
      <c r="H657" s="3" t="b">
        <v>0</v>
      </c>
      <c r="L657" s="3" t="s">
        <v>2102</v>
      </c>
    </row>
    <row r="658" ht="15.75" customHeight="1">
      <c r="A658" s="3" t="s">
        <v>2766</v>
      </c>
      <c r="B658" s="12">
        <v>46118.0</v>
      </c>
      <c r="C658" s="3" t="s">
        <v>677</v>
      </c>
      <c r="D658" s="3" t="s">
        <v>923</v>
      </c>
      <c r="E658" s="3" t="s">
        <v>2074</v>
      </c>
      <c r="F658" s="3" t="s">
        <v>903</v>
      </c>
      <c r="G658" s="3">
        <v>1.0</v>
      </c>
      <c r="H658" s="3" t="b">
        <v>0</v>
      </c>
      <c r="L658" s="3" t="s">
        <v>2102</v>
      </c>
    </row>
    <row r="659" ht="15.75" customHeight="1">
      <c r="A659" s="3" t="s">
        <v>2767</v>
      </c>
      <c r="B659" s="12">
        <v>46118.0</v>
      </c>
      <c r="C659" s="3" t="s">
        <v>678</v>
      </c>
      <c r="D659" s="3" t="s">
        <v>923</v>
      </c>
      <c r="E659" s="3" t="s">
        <v>2074</v>
      </c>
      <c r="F659" s="3" t="s">
        <v>903</v>
      </c>
      <c r="G659" s="3">
        <v>1.0</v>
      </c>
      <c r="H659" s="3" t="b">
        <v>0</v>
      </c>
      <c r="L659" s="3" t="s">
        <v>2102</v>
      </c>
    </row>
    <row r="660" ht="15.75" customHeight="1">
      <c r="A660" s="3" t="s">
        <v>2768</v>
      </c>
      <c r="B660" s="12">
        <v>46118.0</v>
      </c>
      <c r="C660" s="3" t="s">
        <v>679</v>
      </c>
      <c r="D660" s="3" t="s">
        <v>923</v>
      </c>
      <c r="E660" s="3" t="s">
        <v>2074</v>
      </c>
      <c r="F660" s="3" t="s">
        <v>903</v>
      </c>
      <c r="G660" s="3">
        <v>1.0</v>
      </c>
      <c r="H660" s="3" t="b">
        <v>0</v>
      </c>
      <c r="L660" s="3" t="s">
        <v>2102</v>
      </c>
    </row>
    <row r="661" ht="15.75" customHeight="1">
      <c r="A661" s="3" t="s">
        <v>2769</v>
      </c>
      <c r="B661" s="12">
        <v>46118.0</v>
      </c>
      <c r="C661" s="3" t="s">
        <v>2770</v>
      </c>
      <c r="D661" s="3" t="s">
        <v>923</v>
      </c>
      <c r="E661" s="3" t="s">
        <v>2074</v>
      </c>
      <c r="F661" s="3" t="s">
        <v>903</v>
      </c>
      <c r="G661" s="3">
        <v>1.0</v>
      </c>
      <c r="H661" s="3" t="b">
        <v>0</v>
      </c>
      <c r="L661" s="3" t="s">
        <v>2102</v>
      </c>
    </row>
    <row r="662" ht="15.75" customHeight="1">
      <c r="A662" s="3" t="s">
        <v>2771</v>
      </c>
      <c r="B662" s="12">
        <v>46118.0</v>
      </c>
      <c r="C662" s="3" t="s">
        <v>680</v>
      </c>
      <c r="D662" s="3" t="s">
        <v>923</v>
      </c>
      <c r="E662" s="3" t="s">
        <v>2074</v>
      </c>
      <c r="F662" s="3" t="s">
        <v>903</v>
      </c>
      <c r="G662" s="3">
        <v>1.0</v>
      </c>
      <c r="H662" s="3" t="b">
        <v>0</v>
      </c>
      <c r="L662" s="3" t="s">
        <v>2102</v>
      </c>
    </row>
    <row r="663" ht="15.75" customHeight="1">
      <c r="A663" s="3" t="s">
        <v>2772</v>
      </c>
      <c r="B663" s="12">
        <v>46118.0</v>
      </c>
      <c r="C663" s="3" t="s">
        <v>681</v>
      </c>
      <c r="D663" s="3" t="s">
        <v>923</v>
      </c>
      <c r="E663" s="3" t="s">
        <v>2074</v>
      </c>
      <c r="F663" s="3" t="s">
        <v>903</v>
      </c>
      <c r="G663" s="3">
        <v>1.0</v>
      </c>
      <c r="H663" s="3" t="b">
        <v>0</v>
      </c>
      <c r="L663" s="3" t="s">
        <v>2102</v>
      </c>
    </row>
    <row r="664" ht="15.75" customHeight="1">
      <c r="A664" s="3" t="s">
        <v>2773</v>
      </c>
      <c r="B664" s="12">
        <v>46118.0</v>
      </c>
      <c r="C664" s="3" t="s">
        <v>682</v>
      </c>
      <c r="D664" s="3" t="s">
        <v>923</v>
      </c>
      <c r="E664" s="3" t="s">
        <v>2074</v>
      </c>
      <c r="F664" s="3" t="s">
        <v>903</v>
      </c>
      <c r="G664" s="3">
        <v>1.0</v>
      </c>
      <c r="H664" s="3" t="b">
        <v>0</v>
      </c>
      <c r="L664" s="3" t="s">
        <v>2102</v>
      </c>
    </row>
    <row r="665" ht="15.75" customHeight="1">
      <c r="A665" s="3" t="s">
        <v>2774</v>
      </c>
      <c r="B665" s="12">
        <v>46118.0</v>
      </c>
      <c r="C665" s="3" t="s">
        <v>683</v>
      </c>
      <c r="D665" s="3" t="s">
        <v>923</v>
      </c>
      <c r="E665" s="3" t="s">
        <v>2074</v>
      </c>
      <c r="F665" s="3" t="s">
        <v>903</v>
      </c>
      <c r="G665" s="3">
        <v>1.0</v>
      </c>
      <c r="H665" s="3" t="b">
        <v>0</v>
      </c>
      <c r="L665" s="3" t="s">
        <v>2102</v>
      </c>
    </row>
    <row r="666" ht="15.75" customHeight="1">
      <c r="A666" s="3" t="s">
        <v>2775</v>
      </c>
      <c r="B666" s="12">
        <v>46118.0</v>
      </c>
      <c r="C666" s="3" t="s">
        <v>684</v>
      </c>
      <c r="D666" s="3" t="s">
        <v>923</v>
      </c>
      <c r="E666" s="3" t="s">
        <v>2074</v>
      </c>
      <c r="F666" s="3" t="s">
        <v>903</v>
      </c>
      <c r="G666" s="3">
        <v>1.0</v>
      </c>
      <c r="H666" s="3" t="b">
        <v>0</v>
      </c>
      <c r="L666" s="3" t="s">
        <v>2102</v>
      </c>
    </row>
    <row r="667" ht="15.75" customHeight="1">
      <c r="A667" s="3" t="s">
        <v>2776</v>
      </c>
      <c r="B667" s="12">
        <v>46118.0</v>
      </c>
      <c r="C667" s="3" t="s">
        <v>685</v>
      </c>
      <c r="D667" s="3" t="s">
        <v>923</v>
      </c>
      <c r="E667" s="3" t="s">
        <v>2074</v>
      </c>
      <c r="F667" s="3" t="s">
        <v>903</v>
      </c>
      <c r="G667" s="3">
        <v>1.0</v>
      </c>
      <c r="H667" s="3" t="b">
        <v>0</v>
      </c>
      <c r="L667" s="3" t="s">
        <v>2102</v>
      </c>
    </row>
    <row r="668" ht="15.75" customHeight="1">
      <c r="A668" s="13" t="s">
        <v>2777</v>
      </c>
      <c r="B668" s="12">
        <v>46118.0</v>
      </c>
      <c r="C668" s="3" t="s">
        <v>686</v>
      </c>
      <c r="D668" s="3" t="s">
        <v>923</v>
      </c>
      <c r="E668" s="3" t="s">
        <v>2074</v>
      </c>
      <c r="F668" s="3" t="s">
        <v>903</v>
      </c>
      <c r="G668" s="3">
        <v>1.0</v>
      </c>
      <c r="H668" s="3" t="b">
        <v>0</v>
      </c>
      <c r="L668" s="3" t="s">
        <v>2102</v>
      </c>
    </row>
    <row r="669" ht="15.75" customHeight="1">
      <c r="A669" s="3" t="s">
        <v>2778</v>
      </c>
      <c r="B669" s="12">
        <v>46118.0</v>
      </c>
      <c r="C669" s="3" t="s">
        <v>687</v>
      </c>
      <c r="D669" s="3" t="s">
        <v>923</v>
      </c>
      <c r="E669" s="3" t="s">
        <v>2074</v>
      </c>
      <c r="F669" s="3" t="s">
        <v>903</v>
      </c>
      <c r="G669" s="3">
        <v>1.0</v>
      </c>
      <c r="H669" s="3" t="b">
        <v>0</v>
      </c>
      <c r="L669" s="3" t="s">
        <v>2102</v>
      </c>
    </row>
    <row r="670" ht="15.75" customHeight="1">
      <c r="A670" s="3" t="s">
        <v>2779</v>
      </c>
      <c r="B670" s="12">
        <v>46118.0</v>
      </c>
      <c r="C670" s="3" t="s">
        <v>688</v>
      </c>
      <c r="D670" s="3" t="s">
        <v>923</v>
      </c>
      <c r="E670" s="3" t="s">
        <v>2074</v>
      </c>
      <c r="F670" s="3" t="s">
        <v>903</v>
      </c>
      <c r="G670" s="3">
        <v>1.0</v>
      </c>
      <c r="H670" s="3" t="b">
        <v>0</v>
      </c>
      <c r="L670" s="3" t="s">
        <v>2102</v>
      </c>
    </row>
    <row r="671" ht="15.75" customHeight="1">
      <c r="A671" s="3" t="s">
        <v>2780</v>
      </c>
      <c r="B671" s="12">
        <v>46118.0</v>
      </c>
      <c r="C671" s="3" t="s">
        <v>689</v>
      </c>
      <c r="D671" s="3" t="s">
        <v>923</v>
      </c>
      <c r="E671" s="3" t="s">
        <v>2074</v>
      </c>
      <c r="F671" s="3" t="s">
        <v>903</v>
      </c>
      <c r="G671" s="3">
        <v>1.0</v>
      </c>
      <c r="H671" s="3" t="b">
        <v>0</v>
      </c>
      <c r="L671" s="3" t="s">
        <v>2102</v>
      </c>
    </row>
    <row r="672" ht="15.75" customHeight="1">
      <c r="A672" s="3" t="s">
        <v>2781</v>
      </c>
      <c r="B672" s="12">
        <v>46118.0</v>
      </c>
      <c r="C672" s="3" t="s">
        <v>690</v>
      </c>
      <c r="D672" s="3" t="s">
        <v>923</v>
      </c>
      <c r="E672" s="3" t="s">
        <v>2074</v>
      </c>
      <c r="F672" s="3" t="s">
        <v>903</v>
      </c>
      <c r="G672" s="3">
        <v>1.0</v>
      </c>
      <c r="H672" s="3" t="b">
        <v>0</v>
      </c>
      <c r="L672" s="3" t="s">
        <v>2102</v>
      </c>
    </row>
    <row r="673" ht="15.75" customHeight="1">
      <c r="A673" s="3" t="s">
        <v>2782</v>
      </c>
      <c r="B673" s="12">
        <v>46118.0</v>
      </c>
      <c r="C673" s="3" t="s">
        <v>691</v>
      </c>
      <c r="D673" s="3" t="s">
        <v>923</v>
      </c>
      <c r="E673" s="3" t="s">
        <v>2074</v>
      </c>
      <c r="F673" s="3" t="s">
        <v>903</v>
      </c>
      <c r="G673" s="3">
        <v>1.0</v>
      </c>
      <c r="H673" s="3" t="b">
        <v>0</v>
      </c>
      <c r="L673" s="3" t="s">
        <v>2102</v>
      </c>
    </row>
    <row r="674" ht="15.75" customHeight="1">
      <c r="A674" s="3" t="s">
        <v>2783</v>
      </c>
      <c r="B674" s="12">
        <v>46118.0</v>
      </c>
      <c r="C674" s="3" t="s">
        <v>692</v>
      </c>
      <c r="D674" s="3" t="s">
        <v>923</v>
      </c>
      <c r="E674" s="3" t="s">
        <v>2074</v>
      </c>
      <c r="F674" s="3" t="s">
        <v>903</v>
      </c>
      <c r="G674" s="3">
        <v>1.0</v>
      </c>
      <c r="H674" s="3" t="b">
        <v>0</v>
      </c>
      <c r="L674" s="3" t="s">
        <v>2102</v>
      </c>
    </row>
    <row r="675" ht="15.75" customHeight="1">
      <c r="A675" s="3" t="s">
        <v>2784</v>
      </c>
      <c r="B675" s="12">
        <v>46118.0</v>
      </c>
      <c r="C675" s="3" t="s">
        <v>693</v>
      </c>
      <c r="D675" s="3" t="s">
        <v>923</v>
      </c>
      <c r="E675" s="3" t="s">
        <v>2074</v>
      </c>
      <c r="F675" s="3" t="s">
        <v>903</v>
      </c>
      <c r="G675" s="3">
        <v>1.0</v>
      </c>
      <c r="H675" s="3" t="b">
        <v>0</v>
      </c>
      <c r="L675" s="3" t="s">
        <v>2102</v>
      </c>
    </row>
    <row r="676" ht="15.75" customHeight="1">
      <c r="A676" s="3" t="s">
        <v>2785</v>
      </c>
      <c r="B676" s="12">
        <v>46118.0</v>
      </c>
      <c r="C676" s="3" t="s">
        <v>694</v>
      </c>
      <c r="D676" s="3" t="s">
        <v>923</v>
      </c>
      <c r="E676" s="3" t="s">
        <v>2074</v>
      </c>
      <c r="F676" s="3" t="s">
        <v>903</v>
      </c>
      <c r="G676" s="3">
        <v>1.0</v>
      </c>
      <c r="H676" s="3" t="b">
        <v>0</v>
      </c>
      <c r="L676" s="3" t="s">
        <v>2102</v>
      </c>
    </row>
    <row r="677" ht="15.75" customHeight="1">
      <c r="A677" s="3" t="s">
        <v>2786</v>
      </c>
      <c r="B677" s="12">
        <v>46118.0</v>
      </c>
      <c r="C677" s="3" t="s">
        <v>695</v>
      </c>
      <c r="D677" s="3" t="s">
        <v>923</v>
      </c>
      <c r="E677" s="3" t="s">
        <v>2074</v>
      </c>
      <c r="F677" s="3" t="s">
        <v>903</v>
      </c>
      <c r="G677" s="3">
        <v>1.0</v>
      </c>
      <c r="H677" s="3" t="b">
        <v>0</v>
      </c>
      <c r="L677" s="3" t="s">
        <v>2102</v>
      </c>
    </row>
    <row r="678" ht="15.75" customHeight="1">
      <c r="A678" s="3" t="s">
        <v>2787</v>
      </c>
      <c r="B678" s="12">
        <v>46118.0</v>
      </c>
      <c r="C678" s="3" t="s">
        <v>696</v>
      </c>
      <c r="D678" s="3" t="s">
        <v>923</v>
      </c>
      <c r="E678" s="3" t="s">
        <v>2074</v>
      </c>
      <c r="F678" s="3" t="s">
        <v>903</v>
      </c>
      <c r="G678" s="3">
        <v>1.0</v>
      </c>
      <c r="H678" s="3" t="b">
        <v>0</v>
      </c>
      <c r="L678" s="3" t="s">
        <v>2102</v>
      </c>
    </row>
    <row r="679" ht="15.75" customHeight="1">
      <c r="A679" s="3" t="s">
        <v>2788</v>
      </c>
      <c r="B679" s="12">
        <v>46118.0</v>
      </c>
      <c r="C679" s="3" t="s">
        <v>697</v>
      </c>
      <c r="D679" s="3" t="s">
        <v>923</v>
      </c>
      <c r="E679" s="3" t="s">
        <v>2074</v>
      </c>
      <c r="F679" s="3" t="s">
        <v>903</v>
      </c>
      <c r="G679" s="3">
        <v>1.0</v>
      </c>
      <c r="H679" s="3" t="b">
        <v>0</v>
      </c>
      <c r="L679" s="3" t="s">
        <v>2102</v>
      </c>
    </row>
    <row r="680" ht="15.75" customHeight="1">
      <c r="A680" s="3" t="s">
        <v>2789</v>
      </c>
      <c r="B680" s="12">
        <v>46118.0</v>
      </c>
      <c r="C680" s="3" t="s">
        <v>698</v>
      </c>
      <c r="D680" s="3" t="s">
        <v>923</v>
      </c>
      <c r="E680" s="3" t="s">
        <v>2074</v>
      </c>
      <c r="F680" s="3" t="s">
        <v>903</v>
      </c>
      <c r="G680" s="3">
        <v>1.0</v>
      </c>
      <c r="H680" s="3" t="b">
        <v>0</v>
      </c>
      <c r="L680" s="3" t="s">
        <v>2102</v>
      </c>
    </row>
    <row r="681" ht="15.75" customHeight="1">
      <c r="A681" s="3" t="s">
        <v>2790</v>
      </c>
      <c r="B681" s="12">
        <v>46118.0</v>
      </c>
      <c r="C681" s="3" t="s">
        <v>699</v>
      </c>
      <c r="D681" s="3" t="s">
        <v>923</v>
      </c>
      <c r="E681" s="3" t="s">
        <v>2074</v>
      </c>
      <c r="F681" s="3" t="s">
        <v>903</v>
      </c>
      <c r="G681" s="3">
        <v>1.0</v>
      </c>
      <c r="H681" s="3" t="b">
        <v>0</v>
      </c>
      <c r="L681" s="3" t="s">
        <v>2102</v>
      </c>
    </row>
    <row r="682" ht="15.75" customHeight="1">
      <c r="A682" s="3" t="s">
        <v>2791</v>
      </c>
      <c r="B682" s="12">
        <v>46118.0</v>
      </c>
      <c r="C682" s="3" t="s">
        <v>700</v>
      </c>
      <c r="D682" s="3" t="s">
        <v>923</v>
      </c>
      <c r="E682" s="3" t="s">
        <v>2074</v>
      </c>
      <c r="F682" s="3" t="s">
        <v>903</v>
      </c>
      <c r="G682" s="3">
        <v>1.0</v>
      </c>
      <c r="H682" s="3" t="b">
        <v>0</v>
      </c>
      <c r="L682" s="3" t="s">
        <v>2102</v>
      </c>
    </row>
    <row r="683" ht="15.75" customHeight="1">
      <c r="A683" s="3" t="s">
        <v>2792</v>
      </c>
      <c r="B683" s="12">
        <v>46118.0</v>
      </c>
      <c r="C683" s="3" t="s">
        <v>701</v>
      </c>
      <c r="D683" s="3" t="s">
        <v>923</v>
      </c>
      <c r="E683" s="3" t="s">
        <v>2074</v>
      </c>
      <c r="F683" s="3" t="s">
        <v>903</v>
      </c>
      <c r="G683" s="3">
        <v>1.0</v>
      </c>
      <c r="H683" s="3" t="b">
        <v>0</v>
      </c>
      <c r="L683" s="3" t="s">
        <v>2102</v>
      </c>
    </row>
    <row r="684" ht="15.75" customHeight="1">
      <c r="A684" s="3" t="s">
        <v>2793</v>
      </c>
      <c r="B684" s="12">
        <v>46118.0</v>
      </c>
      <c r="C684" s="3" t="s">
        <v>2794</v>
      </c>
      <c r="D684" s="3" t="s">
        <v>923</v>
      </c>
      <c r="E684" s="3" t="s">
        <v>2074</v>
      </c>
      <c r="F684" s="3" t="s">
        <v>903</v>
      </c>
      <c r="G684" s="3">
        <v>1.0</v>
      </c>
      <c r="H684" s="3" t="b">
        <v>0</v>
      </c>
      <c r="L684" s="3" t="s">
        <v>2102</v>
      </c>
    </row>
    <row r="685" ht="15.75" customHeight="1">
      <c r="A685" s="3" t="s">
        <v>2795</v>
      </c>
      <c r="B685" s="12">
        <v>46118.0</v>
      </c>
      <c r="C685" s="3" t="s">
        <v>703</v>
      </c>
      <c r="D685" s="3" t="s">
        <v>923</v>
      </c>
      <c r="E685" s="3" t="s">
        <v>2074</v>
      </c>
      <c r="F685" s="3" t="s">
        <v>903</v>
      </c>
      <c r="G685" s="3">
        <v>1.0</v>
      </c>
      <c r="H685" s="3" t="b">
        <v>0</v>
      </c>
      <c r="L685" s="3" t="s">
        <v>2102</v>
      </c>
    </row>
    <row r="686" ht="15.75" customHeight="1">
      <c r="A686" s="3" t="s">
        <v>2796</v>
      </c>
      <c r="B686" s="12">
        <v>46118.0</v>
      </c>
      <c r="C686" s="3" t="s">
        <v>704</v>
      </c>
      <c r="D686" s="3" t="s">
        <v>923</v>
      </c>
      <c r="E686" s="3" t="s">
        <v>2074</v>
      </c>
      <c r="F686" s="3" t="s">
        <v>903</v>
      </c>
      <c r="G686" s="3">
        <v>1.0</v>
      </c>
      <c r="H686" s="3" t="b">
        <v>0</v>
      </c>
      <c r="L686" s="3" t="s">
        <v>2102</v>
      </c>
    </row>
    <row r="687" ht="15.75" customHeight="1">
      <c r="A687" s="3" t="s">
        <v>2797</v>
      </c>
      <c r="B687" s="12">
        <v>46118.0</v>
      </c>
      <c r="C687" s="3" t="s">
        <v>705</v>
      </c>
      <c r="D687" s="3" t="s">
        <v>923</v>
      </c>
      <c r="E687" s="3" t="s">
        <v>2074</v>
      </c>
      <c r="F687" s="3" t="s">
        <v>903</v>
      </c>
      <c r="G687" s="3">
        <v>1.0</v>
      </c>
      <c r="H687" s="3" t="b">
        <v>0</v>
      </c>
      <c r="L687" s="3" t="s">
        <v>2102</v>
      </c>
    </row>
    <row r="688" ht="15.75" customHeight="1">
      <c r="A688" s="3" t="s">
        <v>2798</v>
      </c>
      <c r="B688" s="12">
        <v>46118.0</v>
      </c>
      <c r="C688" s="3" t="s">
        <v>706</v>
      </c>
      <c r="D688" s="3" t="s">
        <v>923</v>
      </c>
      <c r="E688" s="3" t="s">
        <v>2074</v>
      </c>
      <c r="F688" s="3" t="s">
        <v>903</v>
      </c>
      <c r="G688" s="3">
        <v>1.0</v>
      </c>
      <c r="H688" s="3" t="b">
        <v>0</v>
      </c>
      <c r="L688" s="3" t="s">
        <v>2102</v>
      </c>
    </row>
    <row r="689" ht="15.75" customHeight="1">
      <c r="A689" s="3" t="s">
        <v>2799</v>
      </c>
      <c r="B689" s="12">
        <v>46118.0</v>
      </c>
      <c r="C689" s="3" t="s">
        <v>707</v>
      </c>
      <c r="D689" s="3" t="s">
        <v>923</v>
      </c>
      <c r="E689" s="3" t="s">
        <v>2074</v>
      </c>
      <c r="F689" s="3" t="s">
        <v>903</v>
      </c>
      <c r="G689" s="3">
        <v>1.0</v>
      </c>
      <c r="H689" s="3" t="b">
        <v>0</v>
      </c>
      <c r="L689" s="3" t="s">
        <v>2102</v>
      </c>
    </row>
    <row r="690" ht="15.75" customHeight="1">
      <c r="A690" s="3" t="s">
        <v>2800</v>
      </c>
      <c r="B690" s="12">
        <v>46118.0</v>
      </c>
      <c r="C690" s="3" t="s">
        <v>708</v>
      </c>
      <c r="D690" s="3" t="s">
        <v>923</v>
      </c>
      <c r="E690" s="3" t="s">
        <v>2074</v>
      </c>
      <c r="F690" s="3" t="s">
        <v>903</v>
      </c>
      <c r="G690" s="3">
        <v>1.0</v>
      </c>
      <c r="H690" s="3" t="b">
        <v>0</v>
      </c>
      <c r="L690" s="3" t="s">
        <v>2102</v>
      </c>
    </row>
    <row r="691" ht="15.75" customHeight="1">
      <c r="A691" s="3" t="s">
        <v>2801</v>
      </c>
      <c r="B691" s="12">
        <v>46118.0</v>
      </c>
      <c r="C691" s="3" t="s">
        <v>709</v>
      </c>
      <c r="D691" s="3" t="s">
        <v>923</v>
      </c>
      <c r="E691" s="3" t="s">
        <v>2074</v>
      </c>
      <c r="F691" s="3" t="s">
        <v>903</v>
      </c>
      <c r="G691" s="3">
        <v>1.0</v>
      </c>
      <c r="H691" s="3" t="b">
        <v>0</v>
      </c>
      <c r="L691" s="3" t="s">
        <v>2102</v>
      </c>
    </row>
    <row r="692" ht="15.75" customHeight="1">
      <c r="A692" s="3" t="s">
        <v>2802</v>
      </c>
      <c r="B692" s="12">
        <v>46118.0</v>
      </c>
      <c r="C692" s="3" t="s">
        <v>710</v>
      </c>
      <c r="D692" s="3" t="s">
        <v>923</v>
      </c>
      <c r="E692" s="3" t="s">
        <v>2074</v>
      </c>
      <c r="F692" s="3" t="s">
        <v>903</v>
      </c>
      <c r="G692" s="3">
        <v>1.0</v>
      </c>
      <c r="H692" s="3" t="b">
        <v>0</v>
      </c>
      <c r="L692" s="3" t="s">
        <v>2102</v>
      </c>
    </row>
    <row r="693" ht="15.75" customHeight="1">
      <c r="A693" s="3" t="s">
        <v>2803</v>
      </c>
      <c r="B693" s="12">
        <v>46118.0</v>
      </c>
      <c r="C693" s="3" t="s">
        <v>711</v>
      </c>
      <c r="D693" s="3" t="s">
        <v>923</v>
      </c>
      <c r="E693" s="3" t="s">
        <v>2074</v>
      </c>
      <c r="F693" s="3" t="s">
        <v>903</v>
      </c>
      <c r="G693" s="3">
        <v>1.0</v>
      </c>
      <c r="H693" s="3" t="b">
        <v>0</v>
      </c>
      <c r="L693" s="3" t="s">
        <v>2102</v>
      </c>
    </row>
    <row r="694" ht="15.75" customHeight="1">
      <c r="A694" s="3" t="s">
        <v>2804</v>
      </c>
      <c r="B694" s="12">
        <v>46118.0</v>
      </c>
      <c r="C694" s="3" t="s">
        <v>712</v>
      </c>
      <c r="D694" s="3" t="s">
        <v>923</v>
      </c>
      <c r="E694" s="3" t="s">
        <v>2074</v>
      </c>
      <c r="F694" s="3" t="s">
        <v>903</v>
      </c>
      <c r="G694" s="3">
        <v>1.0</v>
      </c>
      <c r="H694" s="3" t="b">
        <v>0</v>
      </c>
      <c r="L694" s="3" t="s">
        <v>2102</v>
      </c>
    </row>
    <row r="695" ht="15.75" customHeight="1">
      <c r="A695" s="3" t="s">
        <v>2805</v>
      </c>
      <c r="B695" s="12">
        <v>46118.0</v>
      </c>
      <c r="C695" s="3" t="s">
        <v>713</v>
      </c>
      <c r="D695" s="3" t="s">
        <v>923</v>
      </c>
      <c r="E695" s="3" t="s">
        <v>2074</v>
      </c>
      <c r="F695" s="3" t="s">
        <v>903</v>
      </c>
      <c r="G695" s="3">
        <v>1.0</v>
      </c>
      <c r="H695" s="3" t="b">
        <v>0</v>
      </c>
      <c r="L695" s="3" t="s">
        <v>2102</v>
      </c>
    </row>
    <row r="696" ht="15.75" customHeight="1">
      <c r="A696" s="3" t="s">
        <v>2806</v>
      </c>
      <c r="B696" s="12">
        <v>46118.0</v>
      </c>
      <c r="C696" s="3" t="s">
        <v>714</v>
      </c>
      <c r="D696" s="3" t="s">
        <v>923</v>
      </c>
      <c r="E696" s="3" t="s">
        <v>2074</v>
      </c>
      <c r="F696" s="3" t="s">
        <v>903</v>
      </c>
      <c r="G696" s="3">
        <v>1.0</v>
      </c>
      <c r="H696" s="3" t="b">
        <v>0</v>
      </c>
      <c r="L696" s="3" t="s">
        <v>2102</v>
      </c>
    </row>
    <row r="697" ht="15.75" customHeight="1">
      <c r="A697" s="3" t="s">
        <v>2807</v>
      </c>
      <c r="B697" s="12">
        <v>46118.0</v>
      </c>
      <c r="C697" s="3" t="s">
        <v>715</v>
      </c>
      <c r="D697" s="3" t="s">
        <v>923</v>
      </c>
      <c r="E697" s="3" t="s">
        <v>2074</v>
      </c>
      <c r="F697" s="3" t="s">
        <v>903</v>
      </c>
      <c r="G697" s="3">
        <v>1.0</v>
      </c>
      <c r="H697" s="3" t="b">
        <v>0</v>
      </c>
      <c r="L697" s="3" t="s">
        <v>2102</v>
      </c>
    </row>
    <row r="698" ht="15.75" customHeight="1">
      <c r="A698" s="3" t="s">
        <v>2808</v>
      </c>
      <c r="B698" s="12">
        <v>46118.0</v>
      </c>
      <c r="C698" s="3" t="s">
        <v>1200</v>
      </c>
      <c r="D698" s="3" t="s">
        <v>923</v>
      </c>
      <c r="E698" s="3" t="s">
        <v>2074</v>
      </c>
      <c r="F698" s="3" t="s">
        <v>903</v>
      </c>
      <c r="G698" s="3">
        <v>1.0</v>
      </c>
      <c r="H698" s="3" t="b">
        <v>0</v>
      </c>
      <c r="L698" s="3" t="s">
        <v>2102</v>
      </c>
    </row>
    <row r="699" ht="15.75" customHeight="1">
      <c r="A699" s="3" t="s">
        <v>2809</v>
      </c>
      <c r="B699" s="12">
        <v>46118.0</v>
      </c>
      <c r="C699" s="3" t="s">
        <v>716</v>
      </c>
      <c r="D699" s="3" t="s">
        <v>923</v>
      </c>
      <c r="E699" s="3" t="s">
        <v>2074</v>
      </c>
      <c r="F699" s="3" t="s">
        <v>903</v>
      </c>
      <c r="G699" s="3">
        <v>1.0</v>
      </c>
      <c r="H699" s="3" t="b">
        <v>0</v>
      </c>
      <c r="L699" s="3" t="s">
        <v>2102</v>
      </c>
    </row>
    <row r="700" ht="15.75" customHeight="1">
      <c r="A700" s="3" t="s">
        <v>2810</v>
      </c>
      <c r="B700" s="12">
        <v>46118.0</v>
      </c>
      <c r="C700" s="3" t="s">
        <v>717</v>
      </c>
      <c r="D700" s="3" t="s">
        <v>923</v>
      </c>
      <c r="E700" s="3" t="s">
        <v>2074</v>
      </c>
      <c r="F700" s="3" t="s">
        <v>903</v>
      </c>
      <c r="G700" s="3">
        <v>1.0</v>
      </c>
      <c r="H700" s="3" t="b">
        <v>0</v>
      </c>
      <c r="L700" s="3" t="s">
        <v>2102</v>
      </c>
    </row>
    <row r="701" ht="15.75" customHeight="1">
      <c r="A701" s="3" t="s">
        <v>2811</v>
      </c>
      <c r="B701" s="12">
        <v>46118.0</v>
      </c>
      <c r="C701" s="3" t="s">
        <v>718</v>
      </c>
      <c r="D701" s="3" t="s">
        <v>923</v>
      </c>
      <c r="E701" s="3" t="s">
        <v>2074</v>
      </c>
      <c r="F701" s="3" t="s">
        <v>903</v>
      </c>
      <c r="G701" s="3">
        <v>1.0</v>
      </c>
      <c r="H701" s="3" t="b">
        <v>0</v>
      </c>
      <c r="L701" s="3" t="s">
        <v>2102</v>
      </c>
    </row>
    <row r="702" ht="15.75" customHeight="1">
      <c r="A702" s="3" t="s">
        <v>2812</v>
      </c>
      <c r="B702" s="12">
        <v>46118.0</v>
      </c>
      <c r="C702" s="3" t="s">
        <v>719</v>
      </c>
      <c r="D702" s="3" t="s">
        <v>923</v>
      </c>
      <c r="E702" s="3" t="s">
        <v>2074</v>
      </c>
      <c r="F702" s="3" t="s">
        <v>903</v>
      </c>
      <c r="G702" s="3">
        <v>1.0</v>
      </c>
      <c r="H702" s="3" t="b">
        <v>0</v>
      </c>
      <c r="L702" s="3" t="s">
        <v>2102</v>
      </c>
    </row>
    <row r="703" ht="15.75" customHeight="1">
      <c r="A703" s="3" t="s">
        <v>2813</v>
      </c>
      <c r="B703" s="12">
        <v>46118.0</v>
      </c>
      <c r="C703" s="3" t="s">
        <v>720</v>
      </c>
      <c r="D703" s="3" t="s">
        <v>923</v>
      </c>
      <c r="E703" s="3" t="s">
        <v>2074</v>
      </c>
      <c r="F703" s="3" t="s">
        <v>903</v>
      </c>
      <c r="G703" s="3">
        <v>1.0</v>
      </c>
      <c r="H703" s="3" t="b">
        <v>0</v>
      </c>
      <c r="L703" s="3" t="s">
        <v>2102</v>
      </c>
    </row>
    <row r="704" ht="15.75" customHeight="1">
      <c r="A704" s="3" t="s">
        <v>2814</v>
      </c>
      <c r="B704" s="12">
        <v>46118.0</v>
      </c>
      <c r="C704" s="3" t="s">
        <v>721</v>
      </c>
      <c r="D704" s="3" t="s">
        <v>923</v>
      </c>
      <c r="E704" s="3" t="s">
        <v>2074</v>
      </c>
      <c r="F704" s="3" t="s">
        <v>903</v>
      </c>
      <c r="G704" s="3">
        <v>1.0</v>
      </c>
      <c r="H704" s="3" t="b">
        <v>0</v>
      </c>
      <c r="L704" s="3" t="s">
        <v>2102</v>
      </c>
    </row>
    <row r="705" ht="15.75" customHeight="1">
      <c r="A705" s="3" t="s">
        <v>2815</v>
      </c>
      <c r="B705" s="12">
        <v>46118.0</v>
      </c>
      <c r="C705" s="3" t="s">
        <v>722</v>
      </c>
      <c r="D705" s="3" t="s">
        <v>923</v>
      </c>
      <c r="E705" s="3" t="s">
        <v>2074</v>
      </c>
      <c r="F705" s="3" t="s">
        <v>903</v>
      </c>
      <c r="G705" s="3">
        <v>1.0</v>
      </c>
      <c r="H705" s="3" t="b">
        <v>0</v>
      </c>
      <c r="L705" s="3" t="s">
        <v>2102</v>
      </c>
    </row>
    <row r="706" ht="15.75" customHeight="1">
      <c r="A706" s="3" t="s">
        <v>2816</v>
      </c>
      <c r="B706" s="12">
        <v>46118.0</v>
      </c>
      <c r="C706" s="3" t="s">
        <v>723</v>
      </c>
      <c r="D706" s="3" t="s">
        <v>923</v>
      </c>
      <c r="E706" s="3" t="s">
        <v>2074</v>
      </c>
      <c r="F706" s="3" t="s">
        <v>903</v>
      </c>
      <c r="G706" s="3">
        <v>1.0</v>
      </c>
      <c r="H706" s="3" t="b">
        <v>0</v>
      </c>
      <c r="L706" s="3" t="s">
        <v>2102</v>
      </c>
    </row>
    <row r="707" ht="15.75" customHeight="1">
      <c r="A707" s="3" t="s">
        <v>2817</v>
      </c>
      <c r="B707" s="12">
        <v>46118.0</v>
      </c>
      <c r="C707" s="3" t="s">
        <v>724</v>
      </c>
      <c r="D707" s="3" t="s">
        <v>923</v>
      </c>
      <c r="E707" s="3" t="s">
        <v>2074</v>
      </c>
      <c r="F707" s="3" t="s">
        <v>903</v>
      </c>
      <c r="G707" s="3">
        <v>1.0</v>
      </c>
      <c r="H707" s="3" t="b">
        <v>0</v>
      </c>
      <c r="L707" s="3" t="s">
        <v>2102</v>
      </c>
    </row>
    <row r="708" ht="15.75" customHeight="1">
      <c r="A708" s="3" t="s">
        <v>2818</v>
      </c>
      <c r="B708" s="12">
        <v>46118.0</v>
      </c>
      <c r="C708" s="3" t="s">
        <v>725</v>
      </c>
      <c r="D708" s="3" t="s">
        <v>923</v>
      </c>
      <c r="E708" s="3" t="s">
        <v>2074</v>
      </c>
      <c r="F708" s="3" t="s">
        <v>903</v>
      </c>
      <c r="G708" s="3">
        <v>1.0</v>
      </c>
      <c r="H708" s="3" t="b">
        <v>0</v>
      </c>
      <c r="L708" s="3" t="s">
        <v>2102</v>
      </c>
    </row>
    <row r="709" ht="15.75" customHeight="1">
      <c r="A709" s="3" t="s">
        <v>2819</v>
      </c>
      <c r="B709" s="12">
        <v>46118.0</v>
      </c>
      <c r="C709" s="3" t="s">
        <v>726</v>
      </c>
      <c r="D709" s="3" t="s">
        <v>923</v>
      </c>
      <c r="E709" s="3" t="s">
        <v>2074</v>
      </c>
      <c r="F709" s="3" t="s">
        <v>903</v>
      </c>
      <c r="G709" s="3">
        <v>1.0</v>
      </c>
      <c r="H709" s="3" t="b">
        <v>0</v>
      </c>
      <c r="L709" s="3" t="s">
        <v>2102</v>
      </c>
    </row>
    <row r="710" ht="15.75" customHeight="1">
      <c r="A710" s="3" t="s">
        <v>2820</v>
      </c>
      <c r="B710" s="12">
        <v>46118.0</v>
      </c>
      <c r="C710" s="3" t="s">
        <v>727</v>
      </c>
      <c r="D710" s="3" t="s">
        <v>923</v>
      </c>
      <c r="E710" s="3" t="s">
        <v>2074</v>
      </c>
      <c r="F710" s="3" t="s">
        <v>903</v>
      </c>
      <c r="G710" s="3">
        <v>1.0</v>
      </c>
      <c r="H710" s="3" t="b">
        <v>0</v>
      </c>
      <c r="L710" s="3" t="s">
        <v>2102</v>
      </c>
    </row>
    <row r="711" ht="15.75" customHeight="1">
      <c r="A711" s="3" t="s">
        <v>2821</v>
      </c>
      <c r="B711" s="12">
        <v>46118.0</v>
      </c>
      <c r="C711" s="3" t="s">
        <v>728</v>
      </c>
      <c r="D711" s="3" t="s">
        <v>923</v>
      </c>
      <c r="E711" s="3" t="s">
        <v>2074</v>
      </c>
      <c r="F711" s="3" t="s">
        <v>903</v>
      </c>
      <c r="G711" s="3">
        <v>1.0</v>
      </c>
      <c r="H711" s="3" t="b">
        <v>0</v>
      </c>
      <c r="L711" s="3" t="s">
        <v>2102</v>
      </c>
    </row>
    <row r="712" ht="15.75" customHeight="1">
      <c r="A712" s="3" t="s">
        <v>2822</v>
      </c>
      <c r="B712" s="12">
        <v>46118.0</v>
      </c>
      <c r="C712" s="3" t="s">
        <v>729</v>
      </c>
      <c r="D712" s="3" t="s">
        <v>923</v>
      </c>
      <c r="E712" s="3" t="s">
        <v>2074</v>
      </c>
      <c r="F712" s="3" t="s">
        <v>903</v>
      </c>
      <c r="G712" s="3">
        <v>1.0</v>
      </c>
      <c r="H712" s="3" t="b">
        <v>0</v>
      </c>
      <c r="L712" s="3" t="s">
        <v>2102</v>
      </c>
    </row>
    <row r="713" ht="15.75" customHeight="1">
      <c r="A713" s="3" t="s">
        <v>2823</v>
      </c>
      <c r="B713" s="12">
        <v>46118.0</v>
      </c>
      <c r="C713" s="3" t="s">
        <v>2824</v>
      </c>
      <c r="D713" s="3" t="s">
        <v>923</v>
      </c>
      <c r="E713" s="3" t="s">
        <v>2074</v>
      </c>
      <c r="F713" s="3" t="s">
        <v>903</v>
      </c>
      <c r="G713" s="3">
        <v>1.0</v>
      </c>
      <c r="H713" s="3" t="b">
        <v>0</v>
      </c>
      <c r="L713" s="3" t="s">
        <v>2102</v>
      </c>
    </row>
    <row r="714" ht="15.75" customHeight="1">
      <c r="A714" s="3" t="s">
        <v>2825</v>
      </c>
      <c r="B714" s="12">
        <v>46118.0</v>
      </c>
      <c r="C714" s="3" t="s">
        <v>730</v>
      </c>
      <c r="D714" s="3" t="s">
        <v>923</v>
      </c>
      <c r="E714" s="3" t="s">
        <v>2074</v>
      </c>
      <c r="F714" s="3" t="s">
        <v>903</v>
      </c>
      <c r="G714" s="3">
        <v>1.0</v>
      </c>
      <c r="H714" s="3" t="b">
        <v>0</v>
      </c>
      <c r="L714" s="3" t="s">
        <v>2102</v>
      </c>
    </row>
    <row r="715" ht="15.75" customHeight="1">
      <c r="A715" s="3" t="s">
        <v>2826</v>
      </c>
      <c r="B715" s="12">
        <v>46118.0</v>
      </c>
      <c r="C715" s="3" t="s">
        <v>731</v>
      </c>
      <c r="D715" s="3" t="s">
        <v>923</v>
      </c>
      <c r="E715" s="3" t="s">
        <v>2074</v>
      </c>
      <c r="F715" s="3" t="s">
        <v>903</v>
      </c>
      <c r="G715" s="3">
        <v>1.0</v>
      </c>
      <c r="H715" s="3" t="b">
        <v>0</v>
      </c>
      <c r="L715" s="3" t="s">
        <v>2102</v>
      </c>
    </row>
    <row r="716" ht="15.75" customHeight="1">
      <c r="A716" s="3" t="s">
        <v>2827</v>
      </c>
      <c r="B716" s="12">
        <v>46118.0</v>
      </c>
      <c r="C716" s="3" t="s">
        <v>732</v>
      </c>
      <c r="D716" s="3" t="s">
        <v>923</v>
      </c>
      <c r="E716" s="3" t="s">
        <v>2074</v>
      </c>
      <c r="F716" s="3" t="s">
        <v>903</v>
      </c>
      <c r="G716" s="3">
        <v>1.0</v>
      </c>
      <c r="H716" s="3" t="b">
        <v>0</v>
      </c>
      <c r="L716" s="3" t="s">
        <v>2102</v>
      </c>
    </row>
    <row r="717" ht="15.75" customHeight="1">
      <c r="A717" s="13" t="s">
        <v>2828</v>
      </c>
      <c r="B717" s="12">
        <v>46118.0</v>
      </c>
      <c r="C717" s="3" t="s">
        <v>733</v>
      </c>
      <c r="D717" s="3" t="s">
        <v>923</v>
      </c>
      <c r="E717" s="3" t="s">
        <v>2074</v>
      </c>
      <c r="F717" s="3" t="s">
        <v>903</v>
      </c>
      <c r="G717" s="3">
        <v>1.0</v>
      </c>
      <c r="H717" s="3" t="b">
        <v>0</v>
      </c>
      <c r="L717" s="3" t="s">
        <v>2102</v>
      </c>
    </row>
    <row r="718" ht="15.75" customHeight="1">
      <c r="A718" s="3" t="s">
        <v>2829</v>
      </c>
      <c r="B718" s="12">
        <v>46118.0</v>
      </c>
      <c r="C718" s="3" t="s">
        <v>734</v>
      </c>
      <c r="D718" s="3" t="s">
        <v>923</v>
      </c>
      <c r="E718" s="3" t="s">
        <v>2074</v>
      </c>
      <c r="F718" s="3" t="s">
        <v>903</v>
      </c>
      <c r="G718" s="3">
        <v>1.0</v>
      </c>
      <c r="H718" s="3" t="b">
        <v>0</v>
      </c>
      <c r="L718" s="3" t="s">
        <v>2102</v>
      </c>
    </row>
    <row r="719" ht="15.75" customHeight="1">
      <c r="A719" s="3" t="s">
        <v>2830</v>
      </c>
      <c r="B719" s="12">
        <v>46118.0</v>
      </c>
      <c r="C719" s="3" t="s">
        <v>735</v>
      </c>
      <c r="D719" s="3" t="s">
        <v>923</v>
      </c>
      <c r="E719" s="3" t="s">
        <v>2074</v>
      </c>
      <c r="F719" s="3" t="s">
        <v>903</v>
      </c>
      <c r="G719" s="3">
        <v>1.0</v>
      </c>
      <c r="H719" s="3" t="b">
        <v>0</v>
      </c>
      <c r="L719" s="3" t="s">
        <v>2102</v>
      </c>
    </row>
    <row r="720" ht="15.75" customHeight="1">
      <c r="A720" s="3" t="s">
        <v>2831</v>
      </c>
      <c r="B720" s="12">
        <v>46118.0</v>
      </c>
      <c r="C720" s="3" t="s">
        <v>1238</v>
      </c>
      <c r="D720" s="3" t="s">
        <v>923</v>
      </c>
      <c r="E720" s="3" t="s">
        <v>2074</v>
      </c>
      <c r="F720" s="3" t="s">
        <v>903</v>
      </c>
      <c r="G720" s="3">
        <v>1.0</v>
      </c>
      <c r="H720" s="3" t="b">
        <v>0</v>
      </c>
      <c r="L720" s="3" t="s">
        <v>2102</v>
      </c>
    </row>
    <row r="721" ht="15.75" customHeight="1">
      <c r="A721" s="3" t="s">
        <v>2832</v>
      </c>
      <c r="B721" s="12">
        <v>46118.0</v>
      </c>
      <c r="C721" s="3" t="s">
        <v>737</v>
      </c>
      <c r="D721" s="3" t="s">
        <v>923</v>
      </c>
      <c r="E721" s="3" t="s">
        <v>2074</v>
      </c>
      <c r="F721" s="3" t="s">
        <v>903</v>
      </c>
      <c r="G721" s="3">
        <v>1.0</v>
      </c>
      <c r="H721" s="3" t="b">
        <v>0</v>
      </c>
      <c r="L721" s="3" t="s">
        <v>2102</v>
      </c>
    </row>
    <row r="722" ht="15.75" customHeight="1">
      <c r="A722" s="3" t="s">
        <v>2833</v>
      </c>
      <c r="B722" s="12">
        <v>46118.0</v>
      </c>
      <c r="C722" s="3" t="s">
        <v>738</v>
      </c>
      <c r="D722" s="3" t="s">
        <v>923</v>
      </c>
      <c r="E722" s="3" t="s">
        <v>2074</v>
      </c>
      <c r="F722" s="3" t="s">
        <v>903</v>
      </c>
      <c r="G722" s="3">
        <v>1.0</v>
      </c>
      <c r="H722" s="3" t="b">
        <v>0</v>
      </c>
      <c r="L722" s="3" t="s">
        <v>2102</v>
      </c>
    </row>
    <row r="723" ht="15.75" customHeight="1">
      <c r="A723" s="3" t="s">
        <v>2834</v>
      </c>
      <c r="B723" s="12">
        <v>46118.0</v>
      </c>
      <c r="C723" s="3" t="s">
        <v>739</v>
      </c>
      <c r="D723" s="3" t="s">
        <v>923</v>
      </c>
      <c r="E723" s="3" t="s">
        <v>2074</v>
      </c>
      <c r="F723" s="3" t="s">
        <v>903</v>
      </c>
      <c r="G723" s="3">
        <v>1.0</v>
      </c>
      <c r="H723" s="3" t="b">
        <v>0</v>
      </c>
      <c r="L723" s="3" t="s">
        <v>2102</v>
      </c>
    </row>
    <row r="724" ht="15.75" customHeight="1">
      <c r="A724" s="3" t="s">
        <v>2835</v>
      </c>
      <c r="B724" s="12">
        <v>46118.0</v>
      </c>
      <c r="C724" s="3" t="s">
        <v>740</v>
      </c>
      <c r="D724" s="3" t="s">
        <v>923</v>
      </c>
      <c r="E724" s="3" t="s">
        <v>2074</v>
      </c>
      <c r="F724" s="3" t="s">
        <v>903</v>
      </c>
      <c r="G724" s="3">
        <v>1.0</v>
      </c>
      <c r="H724" s="3" t="b">
        <v>0</v>
      </c>
      <c r="L724" s="3" t="s">
        <v>2102</v>
      </c>
    </row>
    <row r="725" ht="15.75" customHeight="1">
      <c r="A725" s="3" t="s">
        <v>2836</v>
      </c>
      <c r="B725" s="12">
        <v>46118.0</v>
      </c>
      <c r="C725" s="3" t="s">
        <v>741</v>
      </c>
      <c r="D725" s="3" t="s">
        <v>923</v>
      </c>
      <c r="E725" s="3" t="s">
        <v>2074</v>
      </c>
      <c r="F725" s="3" t="s">
        <v>903</v>
      </c>
      <c r="G725" s="3">
        <v>1.0</v>
      </c>
      <c r="H725" s="3" t="b">
        <v>0</v>
      </c>
      <c r="L725" s="3" t="s">
        <v>2102</v>
      </c>
    </row>
    <row r="726" ht="15.75" customHeight="1">
      <c r="A726" s="3" t="s">
        <v>2837</v>
      </c>
      <c r="B726" s="12">
        <v>46118.0</v>
      </c>
      <c r="C726" s="3" t="s">
        <v>742</v>
      </c>
      <c r="D726" s="3" t="s">
        <v>923</v>
      </c>
      <c r="E726" s="3" t="s">
        <v>2074</v>
      </c>
      <c r="F726" s="3" t="s">
        <v>903</v>
      </c>
      <c r="G726" s="3">
        <v>1.0</v>
      </c>
      <c r="H726" s="3" t="b">
        <v>0</v>
      </c>
      <c r="L726" s="3" t="s">
        <v>2102</v>
      </c>
    </row>
    <row r="727" ht="15.75" customHeight="1">
      <c r="A727" s="3" t="s">
        <v>2838</v>
      </c>
      <c r="B727" s="12">
        <v>46118.0</v>
      </c>
      <c r="C727" s="3" t="s">
        <v>743</v>
      </c>
      <c r="D727" s="3" t="s">
        <v>923</v>
      </c>
      <c r="E727" s="3" t="s">
        <v>2074</v>
      </c>
      <c r="F727" s="3" t="s">
        <v>903</v>
      </c>
      <c r="G727" s="3">
        <v>1.0</v>
      </c>
      <c r="H727" s="3" t="b">
        <v>0</v>
      </c>
      <c r="L727" s="3" t="s">
        <v>2102</v>
      </c>
    </row>
    <row r="728" ht="15.75" customHeight="1">
      <c r="A728" s="3" t="s">
        <v>2839</v>
      </c>
      <c r="B728" s="12">
        <v>46118.0</v>
      </c>
      <c r="C728" s="3" t="s">
        <v>1321</v>
      </c>
      <c r="D728" s="3" t="s">
        <v>923</v>
      </c>
      <c r="E728" s="3" t="s">
        <v>2074</v>
      </c>
      <c r="F728" s="3" t="s">
        <v>903</v>
      </c>
      <c r="G728" s="3">
        <v>1.0</v>
      </c>
      <c r="H728" s="3" t="b">
        <v>0</v>
      </c>
      <c r="L728" s="3" t="s">
        <v>2102</v>
      </c>
    </row>
    <row r="729" ht="15.75" customHeight="1">
      <c r="A729" s="3" t="s">
        <v>2840</v>
      </c>
      <c r="B729" s="12">
        <v>46118.0</v>
      </c>
      <c r="C729" s="3" t="s">
        <v>744</v>
      </c>
      <c r="D729" s="3" t="s">
        <v>923</v>
      </c>
      <c r="E729" s="3" t="s">
        <v>2074</v>
      </c>
      <c r="F729" s="3" t="s">
        <v>903</v>
      </c>
      <c r="G729" s="3">
        <v>1.0</v>
      </c>
      <c r="H729" s="3" t="b">
        <v>0</v>
      </c>
      <c r="L729" s="3" t="s">
        <v>2102</v>
      </c>
    </row>
    <row r="730" ht="15.75" customHeight="1">
      <c r="A730" s="3" t="s">
        <v>2841</v>
      </c>
      <c r="B730" s="12">
        <v>46118.0</v>
      </c>
      <c r="C730" s="3" t="s">
        <v>745</v>
      </c>
      <c r="D730" s="3" t="s">
        <v>923</v>
      </c>
      <c r="E730" s="3" t="s">
        <v>2074</v>
      </c>
      <c r="F730" s="3" t="s">
        <v>903</v>
      </c>
      <c r="G730" s="3">
        <v>1.0</v>
      </c>
      <c r="H730" s="3" t="b">
        <v>0</v>
      </c>
      <c r="L730" s="3" t="s">
        <v>2102</v>
      </c>
    </row>
    <row r="731" ht="15.75" customHeight="1">
      <c r="A731" s="3" t="s">
        <v>2842</v>
      </c>
      <c r="B731" s="12">
        <v>46118.0</v>
      </c>
      <c r="C731" s="3" t="s">
        <v>746</v>
      </c>
      <c r="D731" s="3" t="s">
        <v>923</v>
      </c>
      <c r="E731" s="3" t="s">
        <v>2074</v>
      </c>
      <c r="F731" s="3" t="s">
        <v>903</v>
      </c>
      <c r="G731" s="3">
        <v>1.0</v>
      </c>
      <c r="H731" s="3" t="b">
        <v>0</v>
      </c>
      <c r="L731" s="3" t="s">
        <v>2102</v>
      </c>
    </row>
    <row r="732" ht="15.75" customHeight="1">
      <c r="A732" s="3" t="s">
        <v>2843</v>
      </c>
      <c r="B732" s="12">
        <v>46118.0</v>
      </c>
      <c r="C732" s="3" t="s">
        <v>747</v>
      </c>
      <c r="D732" s="3" t="s">
        <v>923</v>
      </c>
      <c r="E732" s="3" t="s">
        <v>2074</v>
      </c>
      <c r="F732" s="3" t="s">
        <v>903</v>
      </c>
      <c r="G732" s="3">
        <v>1.0</v>
      </c>
      <c r="H732" s="3" t="b">
        <v>0</v>
      </c>
      <c r="L732" s="3" t="s">
        <v>2102</v>
      </c>
    </row>
    <row r="733" ht="15.75" customHeight="1">
      <c r="A733" s="3" t="s">
        <v>2844</v>
      </c>
      <c r="B733" s="12">
        <v>46118.0</v>
      </c>
      <c r="C733" s="3" t="s">
        <v>748</v>
      </c>
      <c r="D733" s="3" t="s">
        <v>923</v>
      </c>
      <c r="E733" s="3" t="s">
        <v>2074</v>
      </c>
      <c r="F733" s="3" t="s">
        <v>903</v>
      </c>
      <c r="G733" s="3">
        <v>1.0</v>
      </c>
      <c r="H733" s="3" t="b">
        <v>0</v>
      </c>
      <c r="L733" s="3" t="s">
        <v>2102</v>
      </c>
    </row>
    <row r="734" ht="15.75" customHeight="1">
      <c r="A734" s="3" t="s">
        <v>2845</v>
      </c>
      <c r="B734" s="12">
        <v>46118.0</v>
      </c>
      <c r="C734" s="3" t="s">
        <v>749</v>
      </c>
      <c r="D734" s="3" t="s">
        <v>923</v>
      </c>
      <c r="E734" s="3" t="s">
        <v>2074</v>
      </c>
      <c r="F734" s="3" t="s">
        <v>903</v>
      </c>
      <c r="G734" s="3">
        <v>1.0</v>
      </c>
      <c r="H734" s="3" t="b">
        <v>0</v>
      </c>
      <c r="L734" s="3" t="s">
        <v>2102</v>
      </c>
    </row>
    <row r="735" ht="15.75" customHeight="1">
      <c r="A735" s="3" t="s">
        <v>2846</v>
      </c>
      <c r="B735" s="12">
        <v>46118.0</v>
      </c>
      <c r="C735" s="3" t="s">
        <v>750</v>
      </c>
      <c r="D735" s="3" t="s">
        <v>923</v>
      </c>
      <c r="E735" s="3" t="s">
        <v>2074</v>
      </c>
      <c r="F735" s="3" t="s">
        <v>903</v>
      </c>
      <c r="G735" s="3">
        <v>1.0</v>
      </c>
      <c r="H735" s="3" t="b">
        <v>0</v>
      </c>
      <c r="L735" s="3" t="s">
        <v>2102</v>
      </c>
    </row>
    <row r="736" ht="15.75" customHeight="1">
      <c r="A736" s="3" t="s">
        <v>2847</v>
      </c>
      <c r="B736" s="12">
        <v>46118.0</v>
      </c>
      <c r="C736" s="3" t="s">
        <v>751</v>
      </c>
      <c r="D736" s="3" t="s">
        <v>923</v>
      </c>
      <c r="E736" s="3" t="s">
        <v>2074</v>
      </c>
      <c r="F736" s="3" t="s">
        <v>903</v>
      </c>
      <c r="G736" s="3">
        <v>1.0</v>
      </c>
      <c r="H736" s="3" t="b">
        <v>0</v>
      </c>
      <c r="L736" s="3" t="s">
        <v>2102</v>
      </c>
    </row>
    <row r="737" ht="15.75" customHeight="1">
      <c r="A737" s="3" t="s">
        <v>2848</v>
      </c>
      <c r="B737" s="12">
        <v>46118.0</v>
      </c>
      <c r="C737" s="3" t="s">
        <v>752</v>
      </c>
      <c r="D737" s="3" t="s">
        <v>923</v>
      </c>
      <c r="E737" s="3" t="s">
        <v>2074</v>
      </c>
      <c r="F737" s="3" t="s">
        <v>903</v>
      </c>
      <c r="G737" s="3">
        <v>1.0</v>
      </c>
      <c r="H737" s="3" t="b">
        <v>0</v>
      </c>
      <c r="L737" s="3" t="s">
        <v>2102</v>
      </c>
    </row>
    <row r="738" ht="15.75" customHeight="1">
      <c r="A738" s="3" t="s">
        <v>2849</v>
      </c>
      <c r="B738" s="12">
        <v>46118.0</v>
      </c>
      <c r="C738" s="3" t="s">
        <v>753</v>
      </c>
      <c r="D738" s="3" t="s">
        <v>923</v>
      </c>
      <c r="E738" s="3" t="s">
        <v>2074</v>
      </c>
      <c r="F738" s="3" t="s">
        <v>903</v>
      </c>
      <c r="G738" s="3">
        <v>1.0</v>
      </c>
      <c r="H738" s="3" t="b">
        <v>0</v>
      </c>
      <c r="L738" s="3" t="s">
        <v>2102</v>
      </c>
    </row>
    <row r="739" ht="15.75" customHeight="1">
      <c r="A739" s="3" t="s">
        <v>2850</v>
      </c>
      <c r="B739" s="12">
        <v>46118.0</v>
      </c>
      <c r="C739" s="3" t="s">
        <v>754</v>
      </c>
      <c r="D739" s="3" t="s">
        <v>923</v>
      </c>
      <c r="E739" s="3" t="s">
        <v>2074</v>
      </c>
      <c r="F739" s="3" t="s">
        <v>903</v>
      </c>
      <c r="G739" s="3">
        <v>1.0</v>
      </c>
      <c r="H739" s="3" t="b">
        <v>0</v>
      </c>
      <c r="L739" s="3" t="s">
        <v>2102</v>
      </c>
    </row>
    <row r="740" ht="15.75" customHeight="1">
      <c r="A740" s="3" t="s">
        <v>2851</v>
      </c>
      <c r="B740" s="12">
        <v>46118.0</v>
      </c>
      <c r="C740" s="3" t="s">
        <v>755</v>
      </c>
      <c r="D740" s="3" t="s">
        <v>923</v>
      </c>
      <c r="E740" s="3" t="s">
        <v>2074</v>
      </c>
      <c r="F740" s="3" t="s">
        <v>903</v>
      </c>
      <c r="G740" s="3">
        <v>1.0</v>
      </c>
      <c r="H740" s="3" t="b">
        <v>0</v>
      </c>
      <c r="L740" s="3" t="s">
        <v>2102</v>
      </c>
    </row>
    <row r="741" ht="15.75" customHeight="1">
      <c r="A741" s="3" t="s">
        <v>2852</v>
      </c>
      <c r="B741" s="12">
        <v>46118.0</v>
      </c>
      <c r="C741" s="3" t="s">
        <v>756</v>
      </c>
      <c r="D741" s="3" t="s">
        <v>923</v>
      </c>
      <c r="E741" s="3" t="s">
        <v>2074</v>
      </c>
      <c r="F741" s="3" t="s">
        <v>903</v>
      </c>
      <c r="G741" s="3">
        <v>1.0</v>
      </c>
      <c r="H741" s="3" t="b">
        <v>0</v>
      </c>
      <c r="L741" s="3" t="s">
        <v>2102</v>
      </c>
    </row>
    <row r="742" ht="15.75" customHeight="1">
      <c r="A742" s="3" t="s">
        <v>2853</v>
      </c>
      <c r="B742" s="12">
        <v>46118.0</v>
      </c>
      <c r="C742" s="3" t="s">
        <v>757</v>
      </c>
      <c r="D742" s="3" t="s">
        <v>923</v>
      </c>
      <c r="E742" s="3" t="s">
        <v>2074</v>
      </c>
      <c r="F742" s="3" t="s">
        <v>903</v>
      </c>
      <c r="G742" s="3">
        <v>1.0</v>
      </c>
      <c r="H742" s="3" t="b">
        <v>0</v>
      </c>
      <c r="L742" s="3" t="s">
        <v>2102</v>
      </c>
    </row>
    <row r="743" ht="15.75" customHeight="1">
      <c r="A743" s="3" t="s">
        <v>2854</v>
      </c>
      <c r="B743" s="12">
        <v>46118.0</v>
      </c>
      <c r="C743" s="3" t="s">
        <v>758</v>
      </c>
      <c r="D743" s="3" t="s">
        <v>923</v>
      </c>
      <c r="E743" s="3" t="s">
        <v>2074</v>
      </c>
      <c r="F743" s="3" t="s">
        <v>903</v>
      </c>
      <c r="G743" s="3">
        <v>1.0</v>
      </c>
      <c r="H743" s="3" t="b">
        <v>0</v>
      </c>
      <c r="L743" s="3" t="s">
        <v>2102</v>
      </c>
    </row>
    <row r="744" ht="15.75" customHeight="1">
      <c r="A744" s="3" t="s">
        <v>2855</v>
      </c>
      <c r="B744" s="12">
        <v>46118.0</v>
      </c>
      <c r="C744" s="3" t="s">
        <v>759</v>
      </c>
      <c r="D744" s="3" t="s">
        <v>923</v>
      </c>
      <c r="E744" s="3" t="s">
        <v>2074</v>
      </c>
      <c r="F744" s="3" t="s">
        <v>903</v>
      </c>
      <c r="G744" s="3">
        <v>1.0</v>
      </c>
      <c r="H744" s="3" t="b">
        <v>0</v>
      </c>
      <c r="L744" s="3" t="s">
        <v>2102</v>
      </c>
    </row>
    <row r="745" ht="15.75" customHeight="1">
      <c r="A745" s="3" t="s">
        <v>2856</v>
      </c>
      <c r="B745" s="12">
        <v>46118.0</v>
      </c>
      <c r="C745" s="3" t="s">
        <v>760</v>
      </c>
      <c r="D745" s="3" t="s">
        <v>923</v>
      </c>
      <c r="E745" s="3" t="s">
        <v>2074</v>
      </c>
      <c r="F745" s="3" t="s">
        <v>903</v>
      </c>
      <c r="G745" s="3">
        <v>1.0</v>
      </c>
      <c r="H745" s="3" t="b">
        <v>0</v>
      </c>
      <c r="L745" s="3" t="s">
        <v>2102</v>
      </c>
    </row>
    <row r="746" ht="15.75" customHeight="1">
      <c r="A746" s="3" t="s">
        <v>2857</v>
      </c>
      <c r="B746" s="12">
        <v>46118.0</v>
      </c>
      <c r="C746" s="3" t="s">
        <v>761</v>
      </c>
      <c r="D746" s="3" t="s">
        <v>923</v>
      </c>
      <c r="E746" s="3" t="s">
        <v>2074</v>
      </c>
      <c r="F746" s="3" t="s">
        <v>903</v>
      </c>
      <c r="G746" s="3">
        <v>1.0</v>
      </c>
      <c r="H746" s="3" t="b">
        <v>0</v>
      </c>
      <c r="L746" s="3" t="s">
        <v>2102</v>
      </c>
    </row>
    <row r="747" ht="15.75" customHeight="1">
      <c r="A747" s="3" t="s">
        <v>2858</v>
      </c>
      <c r="B747" s="12">
        <v>46118.0</v>
      </c>
      <c r="C747" s="3" t="s">
        <v>1273</v>
      </c>
      <c r="D747" s="3" t="s">
        <v>923</v>
      </c>
      <c r="E747" s="3" t="s">
        <v>2074</v>
      </c>
      <c r="F747" s="3" t="s">
        <v>903</v>
      </c>
      <c r="G747" s="3">
        <v>1.0</v>
      </c>
      <c r="H747" s="3" t="b">
        <v>0</v>
      </c>
      <c r="L747" s="3" t="s">
        <v>2102</v>
      </c>
    </row>
    <row r="748" ht="15.75" customHeight="1">
      <c r="A748" s="3" t="s">
        <v>2859</v>
      </c>
      <c r="B748" s="12">
        <v>46118.0</v>
      </c>
      <c r="C748" s="3" t="s">
        <v>762</v>
      </c>
      <c r="D748" s="3" t="s">
        <v>923</v>
      </c>
      <c r="E748" s="3" t="s">
        <v>2074</v>
      </c>
      <c r="F748" s="3" t="s">
        <v>903</v>
      </c>
      <c r="G748" s="3">
        <v>1.0</v>
      </c>
      <c r="H748" s="3" t="b">
        <v>0</v>
      </c>
      <c r="L748" s="3" t="s">
        <v>2102</v>
      </c>
    </row>
    <row r="749" ht="15.75" customHeight="1">
      <c r="A749" s="3" t="s">
        <v>2860</v>
      </c>
      <c r="B749" s="12">
        <v>46118.0</v>
      </c>
      <c r="C749" s="3" t="s">
        <v>763</v>
      </c>
      <c r="D749" s="3" t="s">
        <v>923</v>
      </c>
      <c r="E749" s="3" t="s">
        <v>2074</v>
      </c>
      <c r="F749" s="3" t="s">
        <v>903</v>
      </c>
      <c r="G749" s="3">
        <v>1.0</v>
      </c>
      <c r="H749" s="3" t="b">
        <v>0</v>
      </c>
      <c r="L749" s="3" t="s">
        <v>2102</v>
      </c>
    </row>
    <row r="750" ht="15.75" customHeight="1">
      <c r="A750" s="3" t="s">
        <v>2861</v>
      </c>
      <c r="B750" s="12">
        <v>46118.0</v>
      </c>
      <c r="C750" s="3" t="s">
        <v>764</v>
      </c>
      <c r="D750" s="3" t="s">
        <v>923</v>
      </c>
      <c r="E750" s="3" t="s">
        <v>2074</v>
      </c>
      <c r="F750" s="3" t="s">
        <v>903</v>
      </c>
      <c r="G750" s="3">
        <v>1.0</v>
      </c>
      <c r="H750" s="3" t="b">
        <v>0</v>
      </c>
      <c r="L750" s="3" t="s">
        <v>2102</v>
      </c>
    </row>
    <row r="751" ht="15.75" customHeight="1">
      <c r="A751" s="3" t="s">
        <v>2862</v>
      </c>
      <c r="B751" s="12">
        <v>46118.0</v>
      </c>
      <c r="C751" s="3" t="s">
        <v>1147</v>
      </c>
      <c r="D751" s="3" t="s">
        <v>923</v>
      </c>
      <c r="E751" s="3" t="s">
        <v>2074</v>
      </c>
      <c r="F751" s="3" t="s">
        <v>903</v>
      </c>
      <c r="G751" s="3">
        <v>1.0</v>
      </c>
      <c r="H751" s="3" t="b">
        <v>0</v>
      </c>
      <c r="L751" s="3" t="s">
        <v>2102</v>
      </c>
    </row>
    <row r="752" ht="15.75" customHeight="1">
      <c r="A752" s="3" t="s">
        <v>2863</v>
      </c>
      <c r="B752" s="12">
        <v>46118.0</v>
      </c>
      <c r="C752" s="3" t="s">
        <v>765</v>
      </c>
      <c r="D752" s="3" t="s">
        <v>923</v>
      </c>
      <c r="E752" s="3" t="s">
        <v>2074</v>
      </c>
      <c r="F752" s="3" t="s">
        <v>903</v>
      </c>
      <c r="G752" s="3">
        <v>1.0</v>
      </c>
      <c r="H752" s="3" t="b">
        <v>0</v>
      </c>
      <c r="L752" s="3" t="s">
        <v>2102</v>
      </c>
    </row>
    <row r="753" ht="15.75" customHeight="1">
      <c r="A753" s="3" t="s">
        <v>2864</v>
      </c>
      <c r="B753" s="12">
        <v>46118.0</v>
      </c>
      <c r="C753" s="3" t="s">
        <v>766</v>
      </c>
      <c r="D753" s="3" t="s">
        <v>923</v>
      </c>
      <c r="E753" s="3" t="s">
        <v>2074</v>
      </c>
      <c r="F753" s="3" t="s">
        <v>903</v>
      </c>
      <c r="G753" s="3">
        <v>1.0</v>
      </c>
      <c r="H753" s="3" t="b">
        <v>0</v>
      </c>
      <c r="L753" s="3" t="s">
        <v>2102</v>
      </c>
    </row>
    <row r="754" ht="15.75" customHeight="1">
      <c r="A754" s="3" t="s">
        <v>2865</v>
      </c>
      <c r="B754" s="12">
        <v>46118.0</v>
      </c>
      <c r="C754" s="3" t="s">
        <v>767</v>
      </c>
      <c r="D754" s="3" t="s">
        <v>923</v>
      </c>
      <c r="E754" s="3" t="s">
        <v>2074</v>
      </c>
      <c r="F754" s="3" t="s">
        <v>903</v>
      </c>
      <c r="G754" s="3">
        <v>1.0</v>
      </c>
      <c r="H754" s="3" t="b">
        <v>0</v>
      </c>
      <c r="L754" s="3" t="s">
        <v>2102</v>
      </c>
    </row>
    <row r="755" ht="15.75" customHeight="1">
      <c r="A755" s="3" t="s">
        <v>2866</v>
      </c>
      <c r="B755" s="12">
        <v>46118.0</v>
      </c>
      <c r="C755" s="3" t="s">
        <v>768</v>
      </c>
      <c r="D755" s="3" t="s">
        <v>923</v>
      </c>
      <c r="E755" s="3" t="s">
        <v>2074</v>
      </c>
      <c r="F755" s="3" t="s">
        <v>903</v>
      </c>
      <c r="G755" s="3">
        <v>1.0</v>
      </c>
      <c r="H755" s="3" t="b">
        <v>0</v>
      </c>
      <c r="L755" s="3" t="s">
        <v>2102</v>
      </c>
    </row>
    <row r="756" ht="15.75" customHeight="1">
      <c r="A756" s="3" t="s">
        <v>2867</v>
      </c>
      <c r="B756" s="12">
        <v>46118.0</v>
      </c>
      <c r="C756" s="3" t="s">
        <v>769</v>
      </c>
      <c r="D756" s="3" t="s">
        <v>923</v>
      </c>
      <c r="E756" s="3" t="s">
        <v>2074</v>
      </c>
      <c r="F756" s="3" t="s">
        <v>903</v>
      </c>
      <c r="G756" s="3">
        <v>1.0</v>
      </c>
      <c r="H756" s="3" t="b">
        <v>0</v>
      </c>
      <c r="L756" s="3" t="s">
        <v>2102</v>
      </c>
    </row>
    <row r="757" ht="15.75" customHeight="1">
      <c r="A757" s="3" t="s">
        <v>2868</v>
      </c>
      <c r="B757" s="12">
        <v>46118.0</v>
      </c>
      <c r="C757" s="3" t="s">
        <v>770</v>
      </c>
      <c r="D757" s="3" t="s">
        <v>923</v>
      </c>
      <c r="E757" s="3" t="s">
        <v>2074</v>
      </c>
      <c r="F757" s="3" t="s">
        <v>903</v>
      </c>
      <c r="G757" s="3">
        <v>1.0</v>
      </c>
      <c r="H757" s="3" t="b">
        <v>0</v>
      </c>
      <c r="L757" s="3" t="s">
        <v>2102</v>
      </c>
    </row>
    <row r="758" ht="15.75" customHeight="1">
      <c r="A758" s="13" t="s">
        <v>2869</v>
      </c>
      <c r="B758" s="12">
        <v>46118.0</v>
      </c>
      <c r="C758" s="3" t="s">
        <v>771</v>
      </c>
      <c r="D758" s="3" t="s">
        <v>923</v>
      </c>
      <c r="E758" s="3" t="s">
        <v>2074</v>
      </c>
      <c r="F758" s="3" t="s">
        <v>903</v>
      </c>
      <c r="G758" s="3">
        <v>1.0</v>
      </c>
      <c r="H758" s="3" t="b">
        <v>0</v>
      </c>
      <c r="L758" s="3" t="s">
        <v>2102</v>
      </c>
    </row>
    <row r="759" ht="15.75" customHeight="1">
      <c r="A759" s="3" t="s">
        <v>2870</v>
      </c>
      <c r="B759" s="12">
        <v>46118.0</v>
      </c>
      <c r="C759" s="3" t="s">
        <v>772</v>
      </c>
      <c r="D759" s="3" t="s">
        <v>923</v>
      </c>
      <c r="E759" s="3" t="s">
        <v>2074</v>
      </c>
      <c r="F759" s="3" t="s">
        <v>903</v>
      </c>
      <c r="G759" s="3">
        <v>1.0</v>
      </c>
      <c r="H759" s="3" t="b">
        <v>0</v>
      </c>
      <c r="L759" s="3" t="s">
        <v>2102</v>
      </c>
    </row>
    <row r="760" ht="15.75" customHeight="1">
      <c r="A760" s="3" t="s">
        <v>2871</v>
      </c>
      <c r="B760" s="12">
        <v>46118.0</v>
      </c>
      <c r="C760" s="3" t="s">
        <v>773</v>
      </c>
      <c r="D760" s="3" t="s">
        <v>923</v>
      </c>
      <c r="E760" s="3" t="s">
        <v>2074</v>
      </c>
      <c r="F760" s="3" t="s">
        <v>903</v>
      </c>
      <c r="G760" s="3">
        <v>1.0</v>
      </c>
      <c r="H760" s="3" t="b">
        <v>0</v>
      </c>
      <c r="L760" s="3" t="s">
        <v>2102</v>
      </c>
    </row>
    <row r="761" ht="15.75" customHeight="1">
      <c r="A761" s="3" t="s">
        <v>2872</v>
      </c>
      <c r="B761" s="12">
        <v>46118.0</v>
      </c>
      <c r="C761" s="3" t="s">
        <v>774</v>
      </c>
      <c r="D761" s="3" t="s">
        <v>923</v>
      </c>
      <c r="E761" s="3" t="s">
        <v>2074</v>
      </c>
      <c r="F761" s="3" t="s">
        <v>903</v>
      </c>
      <c r="G761" s="3">
        <v>1.0</v>
      </c>
      <c r="H761" s="3" t="b">
        <v>0</v>
      </c>
      <c r="L761" s="3" t="s">
        <v>2102</v>
      </c>
    </row>
    <row r="762" ht="15.75" customHeight="1">
      <c r="A762" s="3" t="s">
        <v>2873</v>
      </c>
      <c r="B762" s="12">
        <v>46118.0</v>
      </c>
      <c r="C762" s="3" t="s">
        <v>775</v>
      </c>
      <c r="D762" s="3" t="s">
        <v>923</v>
      </c>
      <c r="E762" s="3" t="s">
        <v>2074</v>
      </c>
      <c r="F762" s="3" t="s">
        <v>903</v>
      </c>
      <c r="G762" s="3">
        <v>1.0</v>
      </c>
      <c r="H762" s="3" t="b">
        <v>0</v>
      </c>
      <c r="L762" s="3" t="s">
        <v>2102</v>
      </c>
    </row>
    <row r="763" ht="15.75" customHeight="1">
      <c r="A763" s="3" t="s">
        <v>2874</v>
      </c>
      <c r="B763" s="12">
        <v>46118.0</v>
      </c>
      <c r="C763" s="3" t="s">
        <v>776</v>
      </c>
      <c r="D763" s="3" t="s">
        <v>923</v>
      </c>
      <c r="E763" s="3" t="s">
        <v>2074</v>
      </c>
      <c r="F763" s="3" t="s">
        <v>903</v>
      </c>
      <c r="G763" s="3">
        <v>1.0</v>
      </c>
      <c r="H763" s="3" t="b">
        <v>0</v>
      </c>
      <c r="L763" s="3" t="s">
        <v>2102</v>
      </c>
    </row>
    <row r="764" ht="15.75" customHeight="1">
      <c r="A764" s="3" t="s">
        <v>2875</v>
      </c>
      <c r="B764" s="12">
        <v>46118.0</v>
      </c>
      <c r="C764" s="3" t="s">
        <v>1248</v>
      </c>
      <c r="D764" s="3" t="s">
        <v>923</v>
      </c>
      <c r="E764" s="3" t="s">
        <v>2074</v>
      </c>
      <c r="F764" s="3" t="s">
        <v>903</v>
      </c>
      <c r="G764" s="3">
        <v>1.0</v>
      </c>
      <c r="H764" s="3" t="b">
        <v>0</v>
      </c>
      <c r="L764" s="3" t="s">
        <v>2102</v>
      </c>
    </row>
    <row r="765" ht="15.75" customHeight="1">
      <c r="A765" s="3" t="s">
        <v>2876</v>
      </c>
      <c r="B765" s="12">
        <v>46118.0</v>
      </c>
      <c r="C765" s="3" t="s">
        <v>777</v>
      </c>
      <c r="D765" s="3" t="s">
        <v>923</v>
      </c>
      <c r="E765" s="3" t="s">
        <v>2074</v>
      </c>
      <c r="F765" s="3" t="s">
        <v>903</v>
      </c>
      <c r="G765" s="3">
        <v>1.0</v>
      </c>
      <c r="H765" s="3" t="b">
        <v>0</v>
      </c>
      <c r="L765" s="3" t="s">
        <v>2102</v>
      </c>
    </row>
    <row r="766" ht="15.75" customHeight="1">
      <c r="A766" s="3" t="s">
        <v>2877</v>
      </c>
      <c r="B766" s="12">
        <v>46118.0</v>
      </c>
      <c r="C766" s="3" t="s">
        <v>778</v>
      </c>
      <c r="D766" s="3" t="s">
        <v>923</v>
      </c>
      <c r="E766" s="3" t="s">
        <v>2074</v>
      </c>
      <c r="F766" s="3" t="s">
        <v>903</v>
      </c>
      <c r="G766" s="3">
        <v>1.0</v>
      </c>
      <c r="H766" s="3" t="b">
        <v>0</v>
      </c>
      <c r="L766" s="3" t="s">
        <v>2102</v>
      </c>
    </row>
    <row r="767" ht="15.75" customHeight="1">
      <c r="A767" s="3" t="s">
        <v>2878</v>
      </c>
      <c r="B767" s="12">
        <v>46118.0</v>
      </c>
      <c r="C767" s="3" t="s">
        <v>779</v>
      </c>
      <c r="D767" s="3" t="s">
        <v>923</v>
      </c>
      <c r="E767" s="3" t="s">
        <v>2074</v>
      </c>
      <c r="F767" s="3" t="s">
        <v>903</v>
      </c>
      <c r="G767" s="3">
        <v>1.0</v>
      </c>
      <c r="H767" s="3" t="b">
        <v>0</v>
      </c>
      <c r="L767" s="3" t="s">
        <v>2102</v>
      </c>
    </row>
    <row r="768" ht="15.75" customHeight="1">
      <c r="A768" s="3" t="s">
        <v>2879</v>
      </c>
      <c r="B768" s="12">
        <v>46118.0</v>
      </c>
      <c r="C768" s="3" t="s">
        <v>780</v>
      </c>
      <c r="D768" s="3" t="s">
        <v>923</v>
      </c>
      <c r="E768" s="3" t="s">
        <v>2074</v>
      </c>
      <c r="F768" s="3" t="s">
        <v>903</v>
      </c>
      <c r="G768" s="3">
        <v>1.0</v>
      </c>
      <c r="H768" s="3" t="b">
        <v>0</v>
      </c>
      <c r="L768" s="3" t="s">
        <v>2102</v>
      </c>
    </row>
    <row r="769" ht="15.75" customHeight="1">
      <c r="A769" s="3" t="s">
        <v>2880</v>
      </c>
      <c r="B769" s="12">
        <v>46118.0</v>
      </c>
      <c r="C769" s="3" t="s">
        <v>781</v>
      </c>
      <c r="D769" s="3" t="s">
        <v>923</v>
      </c>
      <c r="E769" s="3" t="s">
        <v>2074</v>
      </c>
      <c r="F769" s="3" t="s">
        <v>903</v>
      </c>
      <c r="G769" s="3">
        <v>1.0</v>
      </c>
      <c r="H769" s="3" t="b">
        <v>0</v>
      </c>
      <c r="L769" s="3" t="s">
        <v>2102</v>
      </c>
    </row>
    <row r="770" ht="15.75" customHeight="1">
      <c r="A770" s="3" t="s">
        <v>2881</v>
      </c>
      <c r="B770" s="12">
        <v>46118.0</v>
      </c>
      <c r="C770" s="3" t="s">
        <v>782</v>
      </c>
      <c r="D770" s="3" t="s">
        <v>923</v>
      </c>
      <c r="E770" s="3" t="s">
        <v>2074</v>
      </c>
      <c r="F770" s="3" t="s">
        <v>903</v>
      </c>
      <c r="G770" s="3">
        <v>1.0</v>
      </c>
      <c r="H770" s="3" t="b">
        <v>0</v>
      </c>
      <c r="L770" s="3" t="s">
        <v>2102</v>
      </c>
    </row>
    <row r="771" ht="15.75" customHeight="1">
      <c r="A771" s="3" t="s">
        <v>2882</v>
      </c>
      <c r="B771" s="12">
        <v>46118.0</v>
      </c>
      <c r="C771" s="3" t="s">
        <v>783</v>
      </c>
      <c r="D771" s="3" t="s">
        <v>923</v>
      </c>
      <c r="E771" s="3" t="s">
        <v>2074</v>
      </c>
      <c r="F771" s="3" t="s">
        <v>903</v>
      </c>
      <c r="G771" s="3">
        <v>1.0</v>
      </c>
      <c r="H771" s="3" t="b">
        <v>0</v>
      </c>
      <c r="L771" s="3" t="s">
        <v>2102</v>
      </c>
    </row>
    <row r="772" ht="15.75" customHeight="1">
      <c r="A772" s="3" t="s">
        <v>2883</v>
      </c>
      <c r="B772" s="12">
        <v>46118.0</v>
      </c>
      <c r="C772" s="3" t="s">
        <v>785</v>
      </c>
      <c r="D772" s="3" t="s">
        <v>923</v>
      </c>
      <c r="E772" s="3" t="s">
        <v>2074</v>
      </c>
      <c r="F772" s="3" t="s">
        <v>903</v>
      </c>
      <c r="G772" s="3">
        <v>1.0</v>
      </c>
      <c r="H772" s="3" t="b">
        <v>0</v>
      </c>
      <c r="L772" s="3" t="s">
        <v>2102</v>
      </c>
    </row>
    <row r="773" ht="15.75" customHeight="1">
      <c r="A773" s="3" t="s">
        <v>2884</v>
      </c>
      <c r="B773" s="12">
        <v>46118.0</v>
      </c>
      <c r="C773" s="3" t="s">
        <v>786</v>
      </c>
      <c r="D773" s="3" t="s">
        <v>923</v>
      </c>
      <c r="E773" s="3" t="s">
        <v>2074</v>
      </c>
      <c r="F773" s="3" t="s">
        <v>903</v>
      </c>
      <c r="G773" s="3">
        <v>1.0</v>
      </c>
      <c r="H773" s="3" t="b">
        <v>0</v>
      </c>
      <c r="L773" s="3" t="s">
        <v>2102</v>
      </c>
    </row>
    <row r="774" ht="15.75" customHeight="1">
      <c r="A774" s="3" t="s">
        <v>2885</v>
      </c>
      <c r="B774" s="12">
        <v>46118.0</v>
      </c>
      <c r="C774" s="3" t="s">
        <v>787</v>
      </c>
      <c r="D774" s="3" t="s">
        <v>923</v>
      </c>
      <c r="E774" s="3" t="s">
        <v>2074</v>
      </c>
      <c r="F774" s="3" t="s">
        <v>903</v>
      </c>
      <c r="G774" s="3">
        <v>1.0</v>
      </c>
      <c r="H774" s="3" t="b">
        <v>0</v>
      </c>
      <c r="L774" s="3" t="s">
        <v>2102</v>
      </c>
    </row>
    <row r="775" ht="15.75" customHeight="1">
      <c r="A775" s="3" t="s">
        <v>2886</v>
      </c>
      <c r="B775" s="12">
        <v>46118.0</v>
      </c>
      <c r="C775" s="3" t="s">
        <v>788</v>
      </c>
      <c r="D775" s="3" t="s">
        <v>923</v>
      </c>
      <c r="E775" s="3" t="s">
        <v>2074</v>
      </c>
      <c r="F775" s="3" t="s">
        <v>903</v>
      </c>
      <c r="G775" s="3">
        <v>1.0</v>
      </c>
      <c r="H775" s="3" t="b">
        <v>0</v>
      </c>
      <c r="L775" s="3" t="s">
        <v>2102</v>
      </c>
    </row>
    <row r="776" ht="15.75" customHeight="1">
      <c r="A776" s="3" t="s">
        <v>2887</v>
      </c>
      <c r="B776" s="12">
        <v>46118.0</v>
      </c>
      <c r="C776" s="3" t="s">
        <v>789</v>
      </c>
      <c r="D776" s="3" t="s">
        <v>923</v>
      </c>
      <c r="E776" s="3" t="s">
        <v>2074</v>
      </c>
      <c r="F776" s="3" t="s">
        <v>903</v>
      </c>
      <c r="G776" s="3">
        <v>1.0</v>
      </c>
      <c r="H776" s="3" t="b">
        <v>0</v>
      </c>
      <c r="L776" s="3" t="s">
        <v>2102</v>
      </c>
    </row>
    <row r="777" ht="15.75" customHeight="1">
      <c r="A777" s="3" t="s">
        <v>2888</v>
      </c>
      <c r="B777" s="12">
        <v>46118.0</v>
      </c>
      <c r="C777" s="3" t="s">
        <v>790</v>
      </c>
      <c r="D777" s="3" t="s">
        <v>923</v>
      </c>
      <c r="E777" s="3" t="s">
        <v>2074</v>
      </c>
      <c r="F777" s="3" t="s">
        <v>903</v>
      </c>
      <c r="G777" s="3">
        <v>1.0</v>
      </c>
      <c r="H777" s="3" t="b">
        <v>0</v>
      </c>
      <c r="L777" s="3" t="s">
        <v>2102</v>
      </c>
    </row>
    <row r="778" ht="15.75" customHeight="1">
      <c r="A778" s="3" t="s">
        <v>2889</v>
      </c>
      <c r="B778" s="12">
        <v>46118.0</v>
      </c>
      <c r="C778" s="3" t="s">
        <v>791</v>
      </c>
      <c r="D778" s="3" t="s">
        <v>923</v>
      </c>
      <c r="E778" s="3" t="s">
        <v>2074</v>
      </c>
      <c r="F778" s="3" t="s">
        <v>903</v>
      </c>
      <c r="G778" s="3">
        <v>1.0</v>
      </c>
      <c r="H778" s="3" t="b">
        <v>0</v>
      </c>
      <c r="L778" s="3" t="s">
        <v>2102</v>
      </c>
    </row>
    <row r="779" ht="15.75" customHeight="1">
      <c r="A779" s="3" t="s">
        <v>2890</v>
      </c>
      <c r="B779" s="12">
        <v>46118.0</v>
      </c>
      <c r="C779" s="3" t="s">
        <v>792</v>
      </c>
      <c r="D779" s="3" t="s">
        <v>923</v>
      </c>
      <c r="E779" s="3" t="s">
        <v>2074</v>
      </c>
      <c r="F779" s="3" t="s">
        <v>903</v>
      </c>
      <c r="G779" s="3">
        <v>1.0</v>
      </c>
      <c r="H779" s="3" t="b">
        <v>0</v>
      </c>
      <c r="L779" s="3" t="s">
        <v>2102</v>
      </c>
    </row>
    <row r="780" ht="15.75" customHeight="1">
      <c r="A780" s="3" t="s">
        <v>2891</v>
      </c>
      <c r="B780" s="12">
        <v>46118.0</v>
      </c>
      <c r="C780" s="3" t="s">
        <v>793</v>
      </c>
      <c r="D780" s="3" t="s">
        <v>923</v>
      </c>
      <c r="E780" s="3" t="s">
        <v>2074</v>
      </c>
      <c r="F780" s="3" t="s">
        <v>903</v>
      </c>
      <c r="G780" s="3">
        <v>1.0</v>
      </c>
      <c r="H780" s="3" t="b">
        <v>0</v>
      </c>
      <c r="L780" s="3" t="s">
        <v>2102</v>
      </c>
    </row>
    <row r="781" ht="15.75" customHeight="1">
      <c r="A781" s="3" t="s">
        <v>2892</v>
      </c>
      <c r="B781" s="12">
        <v>46118.0</v>
      </c>
      <c r="C781" s="3" t="s">
        <v>2893</v>
      </c>
      <c r="D781" s="3" t="s">
        <v>923</v>
      </c>
      <c r="E781" s="3" t="s">
        <v>2074</v>
      </c>
      <c r="F781" s="3" t="s">
        <v>903</v>
      </c>
      <c r="G781" s="3">
        <v>1.0</v>
      </c>
      <c r="H781" s="3" t="b">
        <v>0</v>
      </c>
      <c r="L781" s="3" t="s">
        <v>2102</v>
      </c>
    </row>
    <row r="782" ht="15.75" customHeight="1">
      <c r="A782" s="3" t="s">
        <v>2894</v>
      </c>
      <c r="B782" s="12">
        <v>46118.0</v>
      </c>
      <c r="C782" s="3" t="s">
        <v>1329</v>
      </c>
      <c r="D782" s="3" t="s">
        <v>923</v>
      </c>
      <c r="E782" s="3" t="s">
        <v>2074</v>
      </c>
      <c r="F782" s="3" t="s">
        <v>903</v>
      </c>
      <c r="G782" s="3">
        <v>1.0</v>
      </c>
      <c r="H782" s="3" t="b">
        <v>0</v>
      </c>
      <c r="L782" s="3" t="s">
        <v>2102</v>
      </c>
    </row>
    <row r="783" ht="15.75" customHeight="1">
      <c r="A783" s="3" t="s">
        <v>2895</v>
      </c>
      <c r="B783" s="12">
        <v>46118.0</v>
      </c>
      <c r="C783" s="3" t="s">
        <v>1183</v>
      </c>
      <c r="D783" s="3" t="s">
        <v>923</v>
      </c>
      <c r="E783" s="3" t="s">
        <v>2074</v>
      </c>
      <c r="F783" s="3" t="s">
        <v>903</v>
      </c>
      <c r="G783" s="3">
        <v>1.0</v>
      </c>
      <c r="H783" s="3" t="b">
        <v>0</v>
      </c>
      <c r="L783" s="3" t="s">
        <v>2102</v>
      </c>
    </row>
    <row r="784" ht="15.75" customHeight="1">
      <c r="A784" s="3" t="s">
        <v>2896</v>
      </c>
      <c r="B784" s="12">
        <v>46118.0</v>
      </c>
      <c r="C784" s="3" t="s">
        <v>794</v>
      </c>
      <c r="D784" s="3" t="s">
        <v>923</v>
      </c>
      <c r="E784" s="3" t="s">
        <v>2074</v>
      </c>
      <c r="F784" s="3" t="s">
        <v>903</v>
      </c>
      <c r="G784" s="3">
        <v>1.0</v>
      </c>
      <c r="H784" s="3" t="b">
        <v>0</v>
      </c>
      <c r="L784" s="3" t="s">
        <v>2102</v>
      </c>
    </row>
    <row r="785" ht="15.75" customHeight="1">
      <c r="A785" s="3" t="s">
        <v>2897</v>
      </c>
      <c r="B785" s="12">
        <v>46118.0</v>
      </c>
      <c r="C785" s="3" t="s">
        <v>795</v>
      </c>
      <c r="D785" s="3" t="s">
        <v>923</v>
      </c>
      <c r="E785" s="3" t="s">
        <v>2074</v>
      </c>
      <c r="F785" s="3" t="s">
        <v>903</v>
      </c>
      <c r="G785" s="3">
        <v>1.0</v>
      </c>
      <c r="H785" s="3" t="b">
        <v>0</v>
      </c>
      <c r="L785" s="3" t="s">
        <v>2102</v>
      </c>
    </row>
    <row r="786" ht="15.75" customHeight="1">
      <c r="A786" s="3" t="s">
        <v>2898</v>
      </c>
      <c r="B786" s="12">
        <v>46118.0</v>
      </c>
      <c r="C786" s="3" t="s">
        <v>796</v>
      </c>
      <c r="D786" s="3" t="s">
        <v>923</v>
      </c>
      <c r="E786" s="3" t="s">
        <v>2074</v>
      </c>
      <c r="F786" s="3" t="s">
        <v>903</v>
      </c>
      <c r="G786" s="3">
        <v>1.0</v>
      </c>
      <c r="H786" s="3" t="b">
        <v>0</v>
      </c>
      <c r="L786" s="3" t="s">
        <v>2102</v>
      </c>
    </row>
    <row r="787" ht="15.75" customHeight="1">
      <c r="A787" s="3" t="s">
        <v>2899</v>
      </c>
      <c r="B787" s="12">
        <v>46118.0</v>
      </c>
      <c r="C787" s="3" t="s">
        <v>797</v>
      </c>
      <c r="D787" s="3" t="s">
        <v>923</v>
      </c>
      <c r="E787" s="3" t="s">
        <v>2074</v>
      </c>
      <c r="F787" s="3" t="s">
        <v>903</v>
      </c>
      <c r="G787" s="3">
        <v>1.0</v>
      </c>
      <c r="H787" s="3" t="b">
        <v>0</v>
      </c>
      <c r="L787" s="3" t="s">
        <v>2102</v>
      </c>
    </row>
    <row r="788" ht="15.75" customHeight="1">
      <c r="A788" s="3" t="s">
        <v>2900</v>
      </c>
      <c r="B788" s="12">
        <v>46118.0</v>
      </c>
      <c r="C788" s="3" t="s">
        <v>798</v>
      </c>
      <c r="D788" s="3" t="s">
        <v>923</v>
      </c>
      <c r="E788" s="3" t="s">
        <v>2074</v>
      </c>
      <c r="F788" s="3" t="s">
        <v>903</v>
      </c>
      <c r="G788" s="3">
        <v>1.0</v>
      </c>
      <c r="H788" s="3" t="b">
        <v>0</v>
      </c>
      <c r="L788" s="3" t="s">
        <v>2102</v>
      </c>
    </row>
    <row r="789" ht="15.75" customHeight="1">
      <c r="A789" s="3" t="s">
        <v>2901</v>
      </c>
      <c r="B789" s="12">
        <v>46118.0</v>
      </c>
      <c r="C789" s="3" t="s">
        <v>799</v>
      </c>
      <c r="D789" s="3" t="s">
        <v>923</v>
      </c>
      <c r="E789" s="3" t="s">
        <v>2074</v>
      </c>
      <c r="F789" s="3" t="s">
        <v>903</v>
      </c>
      <c r="G789" s="3">
        <v>1.0</v>
      </c>
      <c r="H789" s="3" t="b">
        <v>0</v>
      </c>
      <c r="L789" s="3" t="s">
        <v>2102</v>
      </c>
    </row>
    <row r="790" ht="15.75" customHeight="1">
      <c r="A790" s="3" t="s">
        <v>2902</v>
      </c>
      <c r="B790" s="12">
        <v>46118.0</v>
      </c>
      <c r="C790" s="3" t="s">
        <v>801</v>
      </c>
      <c r="D790" s="3" t="s">
        <v>923</v>
      </c>
      <c r="E790" s="3" t="s">
        <v>2074</v>
      </c>
      <c r="F790" s="3" t="s">
        <v>903</v>
      </c>
      <c r="G790" s="3">
        <v>1.0</v>
      </c>
      <c r="H790" s="3" t="b">
        <v>0</v>
      </c>
      <c r="L790" s="3" t="s">
        <v>2102</v>
      </c>
    </row>
    <row r="791" ht="15.75" customHeight="1">
      <c r="A791" s="3" t="s">
        <v>2903</v>
      </c>
      <c r="B791" s="12">
        <v>46118.0</v>
      </c>
      <c r="C791" s="3" t="s">
        <v>802</v>
      </c>
      <c r="D791" s="3" t="s">
        <v>923</v>
      </c>
      <c r="E791" s="3" t="s">
        <v>2074</v>
      </c>
      <c r="F791" s="3" t="s">
        <v>903</v>
      </c>
      <c r="G791" s="3">
        <v>1.0</v>
      </c>
      <c r="H791" s="3" t="b">
        <v>0</v>
      </c>
      <c r="L791" s="3" t="s">
        <v>2102</v>
      </c>
    </row>
    <row r="792" ht="15.75" customHeight="1">
      <c r="A792" s="3" t="s">
        <v>2904</v>
      </c>
      <c r="B792" s="12">
        <v>46118.0</v>
      </c>
      <c r="C792" s="3" t="s">
        <v>803</v>
      </c>
      <c r="D792" s="3" t="s">
        <v>923</v>
      </c>
      <c r="E792" s="3" t="s">
        <v>2074</v>
      </c>
      <c r="F792" s="3" t="s">
        <v>903</v>
      </c>
      <c r="G792" s="3">
        <v>1.0</v>
      </c>
      <c r="H792" s="3" t="b">
        <v>0</v>
      </c>
      <c r="L792" s="3" t="s">
        <v>2102</v>
      </c>
    </row>
    <row r="793" ht="15.75" customHeight="1">
      <c r="A793" s="3" t="s">
        <v>2905</v>
      </c>
      <c r="B793" s="12">
        <v>46118.0</v>
      </c>
      <c r="C793" s="3" t="s">
        <v>804</v>
      </c>
      <c r="D793" s="3" t="s">
        <v>923</v>
      </c>
      <c r="E793" s="3" t="s">
        <v>2074</v>
      </c>
      <c r="F793" s="3" t="s">
        <v>903</v>
      </c>
      <c r="G793" s="3">
        <v>1.0</v>
      </c>
      <c r="H793" s="3" t="b">
        <v>0</v>
      </c>
      <c r="L793" s="3" t="s">
        <v>2102</v>
      </c>
    </row>
    <row r="794" ht="15.75" customHeight="1">
      <c r="A794" s="3" t="s">
        <v>2906</v>
      </c>
      <c r="B794" s="12">
        <v>46118.0</v>
      </c>
      <c r="C794" s="3" t="s">
        <v>805</v>
      </c>
      <c r="D794" s="3" t="s">
        <v>923</v>
      </c>
      <c r="E794" s="3" t="s">
        <v>2074</v>
      </c>
      <c r="F794" s="3" t="s">
        <v>903</v>
      </c>
      <c r="G794" s="3">
        <v>1.0</v>
      </c>
      <c r="H794" s="3" t="b">
        <v>0</v>
      </c>
      <c r="L794" s="3" t="s">
        <v>2102</v>
      </c>
    </row>
    <row r="795" ht="15.75" customHeight="1">
      <c r="A795" s="3" t="s">
        <v>2907</v>
      </c>
      <c r="B795" s="12">
        <v>46118.0</v>
      </c>
      <c r="C795" s="3" t="s">
        <v>806</v>
      </c>
      <c r="D795" s="3" t="s">
        <v>923</v>
      </c>
      <c r="E795" s="3" t="s">
        <v>2074</v>
      </c>
      <c r="F795" s="3" t="s">
        <v>903</v>
      </c>
      <c r="G795" s="3">
        <v>1.0</v>
      </c>
      <c r="H795" s="3" t="b">
        <v>0</v>
      </c>
      <c r="L795" s="3" t="s">
        <v>2102</v>
      </c>
    </row>
    <row r="796" ht="15.75" customHeight="1">
      <c r="A796" s="3" t="s">
        <v>2908</v>
      </c>
      <c r="B796" s="12">
        <v>46118.0</v>
      </c>
      <c r="C796" s="3" t="s">
        <v>807</v>
      </c>
      <c r="D796" s="3" t="s">
        <v>923</v>
      </c>
      <c r="E796" s="3" t="s">
        <v>2074</v>
      </c>
      <c r="F796" s="3" t="s">
        <v>903</v>
      </c>
      <c r="G796" s="3">
        <v>1.0</v>
      </c>
      <c r="H796" s="3" t="b">
        <v>0</v>
      </c>
      <c r="L796" s="3" t="s">
        <v>2102</v>
      </c>
    </row>
    <row r="797" ht="15.75" customHeight="1">
      <c r="A797" s="3" t="s">
        <v>2909</v>
      </c>
      <c r="B797" s="12">
        <v>46118.0</v>
      </c>
      <c r="C797" s="3" t="s">
        <v>808</v>
      </c>
      <c r="D797" s="3" t="s">
        <v>923</v>
      </c>
      <c r="E797" s="3" t="s">
        <v>2074</v>
      </c>
      <c r="F797" s="3" t="s">
        <v>903</v>
      </c>
      <c r="G797" s="3">
        <v>1.0</v>
      </c>
      <c r="H797" s="3" t="b">
        <v>0</v>
      </c>
      <c r="L797" s="3" t="s">
        <v>2102</v>
      </c>
    </row>
    <row r="798" ht="15.75" customHeight="1">
      <c r="A798" s="3" t="s">
        <v>2910</v>
      </c>
      <c r="B798" s="12">
        <v>46118.0</v>
      </c>
      <c r="C798" s="3" t="s">
        <v>810</v>
      </c>
      <c r="D798" s="3" t="s">
        <v>923</v>
      </c>
      <c r="E798" s="3" t="s">
        <v>2074</v>
      </c>
      <c r="F798" s="3" t="s">
        <v>903</v>
      </c>
      <c r="G798" s="3">
        <v>1.0</v>
      </c>
      <c r="H798" s="3" t="b">
        <v>0</v>
      </c>
      <c r="L798" s="3" t="s">
        <v>2102</v>
      </c>
    </row>
    <row r="799" ht="15.75" customHeight="1">
      <c r="A799" s="3" t="s">
        <v>2911</v>
      </c>
      <c r="B799" s="12">
        <v>46118.0</v>
      </c>
      <c r="C799" s="3" t="s">
        <v>811</v>
      </c>
      <c r="D799" s="3" t="s">
        <v>923</v>
      </c>
      <c r="E799" s="3" t="s">
        <v>2074</v>
      </c>
      <c r="F799" s="3" t="s">
        <v>903</v>
      </c>
      <c r="G799" s="3">
        <v>1.0</v>
      </c>
      <c r="H799" s="3" t="b">
        <v>0</v>
      </c>
      <c r="L799" s="3" t="s">
        <v>2102</v>
      </c>
    </row>
    <row r="800" ht="15.75" customHeight="1">
      <c r="A800" s="3" t="s">
        <v>2912</v>
      </c>
      <c r="B800" s="12">
        <v>46118.0</v>
      </c>
      <c r="C800" s="3" t="s">
        <v>812</v>
      </c>
      <c r="D800" s="3" t="s">
        <v>923</v>
      </c>
      <c r="E800" s="3" t="s">
        <v>2074</v>
      </c>
      <c r="F800" s="3" t="s">
        <v>903</v>
      </c>
      <c r="G800" s="3">
        <v>1.0</v>
      </c>
      <c r="H800" s="3" t="b">
        <v>0</v>
      </c>
      <c r="L800" s="3" t="s">
        <v>2102</v>
      </c>
    </row>
    <row r="801" ht="15.75" customHeight="1">
      <c r="A801" s="3" t="s">
        <v>2913</v>
      </c>
      <c r="B801" s="12">
        <v>46118.0</v>
      </c>
      <c r="C801" s="3" t="s">
        <v>813</v>
      </c>
      <c r="D801" s="3" t="s">
        <v>923</v>
      </c>
      <c r="E801" s="3" t="s">
        <v>2074</v>
      </c>
      <c r="F801" s="3" t="s">
        <v>903</v>
      </c>
      <c r="G801" s="3">
        <v>1.0</v>
      </c>
      <c r="H801" s="3" t="b">
        <v>0</v>
      </c>
      <c r="L801" s="3" t="s">
        <v>2102</v>
      </c>
    </row>
    <row r="802" ht="15.75" customHeight="1">
      <c r="A802" s="3" t="s">
        <v>2914</v>
      </c>
      <c r="B802" s="12">
        <v>46118.0</v>
      </c>
      <c r="C802" s="3" t="s">
        <v>814</v>
      </c>
      <c r="D802" s="3" t="s">
        <v>923</v>
      </c>
      <c r="E802" s="3" t="s">
        <v>2074</v>
      </c>
      <c r="F802" s="3" t="s">
        <v>903</v>
      </c>
      <c r="G802" s="3">
        <v>1.0</v>
      </c>
      <c r="H802" s="3" t="b">
        <v>0</v>
      </c>
      <c r="L802" s="3" t="s">
        <v>2102</v>
      </c>
    </row>
    <row r="803" ht="15.75" customHeight="1">
      <c r="A803" s="3" t="s">
        <v>2915</v>
      </c>
      <c r="B803" s="12">
        <v>46118.0</v>
      </c>
      <c r="C803" s="3" t="s">
        <v>815</v>
      </c>
      <c r="D803" s="3" t="s">
        <v>923</v>
      </c>
      <c r="E803" s="3" t="s">
        <v>2074</v>
      </c>
      <c r="F803" s="3" t="s">
        <v>903</v>
      </c>
      <c r="G803" s="3">
        <v>1.0</v>
      </c>
      <c r="H803" s="3" t="b">
        <v>0</v>
      </c>
      <c r="L803" s="3" t="s">
        <v>2102</v>
      </c>
    </row>
    <row r="804" ht="15.75" customHeight="1">
      <c r="A804" s="3" t="s">
        <v>2916</v>
      </c>
      <c r="B804" s="12">
        <v>46118.0</v>
      </c>
      <c r="C804" s="3" t="s">
        <v>816</v>
      </c>
      <c r="D804" s="3" t="s">
        <v>923</v>
      </c>
      <c r="E804" s="3" t="s">
        <v>2074</v>
      </c>
      <c r="F804" s="3" t="s">
        <v>903</v>
      </c>
      <c r="G804" s="3">
        <v>1.0</v>
      </c>
      <c r="H804" s="3" t="b">
        <v>0</v>
      </c>
      <c r="L804" s="3" t="s">
        <v>2102</v>
      </c>
    </row>
    <row r="805" ht="15.75" customHeight="1">
      <c r="A805" s="3" t="s">
        <v>2917</v>
      </c>
      <c r="B805" s="12">
        <v>46118.0</v>
      </c>
      <c r="C805" s="3" t="s">
        <v>817</v>
      </c>
      <c r="D805" s="3" t="s">
        <v>923</v>
      </c>
      <c r="E805" s="3" t="s">
        <v>2074</v>
      </c>
      <c r="F805" s="3" t="s">
        <v>903</v>
      </c>
      <c r="G805" s="3">
        <v>1.0</v>
      </c>
      <c r="H805" s="3" t="b">
        <v>0</v>
      </c>
      <c r="L805" s="3" t="s">
        <v>2102</v>
      </c>
    </row>
    <row r="806" ht="15.75" customHeight="1">
      <c r="A806" s="3" t="s">
        <v>2918</v>
      </c>
      <c r="B806" s="12">
        <v>46118.0</v>
      </c>
      <c r="C806" s="3" t="s">
        <v>818</v>
      </c>
      <c r="D806" s="3" t="s">
        <v>923</v>
      </c>
      <c r="E806" s="3" t="s">
        <v>2074</v>
      </c>
      <c r="F806" s="3" t="s">
        <v>903</v>
      </c>
      <c r="G806" s="3">
        <v>1.0</v>
      </c>
      <c r="H806" s="3" t="b">
        <v>0</v>
      </c>
      <c r="L806" s="3" t="s">
        <v>2102</v>
      </c>
    </row>
    <row r="807" ht="15.75" customHeight="1">
      <c r="A807" s="3" t="s">
        <v>2919</v>
      </c>
      <c r="B807" s="12">
        <v>46118.0</v>
      </c>
      <c r="C807" s="3" t="s">
        <v>819</v>
      </c>
      <c r="D807" s="3" t="s">
        <v>923</v>
      </c>
      <c r="E807" s="3" t="s">
        <v>2074</v>
      </c>
      <c r="F807" s="3" t="s">
        <v>903</v>
      </c>
      <c r="G807" s="3">
        <v>1.0</v>
      </c>
      <c r="H807" s="3" t="b">
        <v>0</v>
      </c>
      <c r="L807" s="3" t="s">
        <v>2102</v>
      </c>
    </row>
    <row r="808" ht="15.75" customHeight="1">
      <c r="A808" s="3" t="s">
        <v>2920</v>
      </c>
      <c r="B808" s="12">
        <v>46118.0</v>
      </c>
      <c r="C808" s="3" t="s">
        <v>820</v>
      </c>
      <c r="D808" s="3" t="s">
        <v>923</v>
      </c>
      <c r="E808" s="3" t="s">
        <v>2074</v>
      </c>
      <c r="F808" s="3" t="s">
        <v>903</v>
      </c>
      <c r="G808" s="3">
        <v>1.0</v>
      </c>
      <c r="H808" s="3" t="b">
        <v>0</v>
      </c>
      <c r="L808" s="3" t="s">
        <v>2102</v>
      </c>
    </row>
    <row r="809" ht="15.75" customHeight="1">
      <c r="A809" s="3" t="s">
        <v>2921</v>
      </c>
      <c r="B809" s="12">
        <v>46118.0</v>
      </c>
      <c r="C809" s="3" t="s">
        <v>821</v>
      </c>
      <c r="D809" s="3" t="s">
        <v>923</v>
      </c>
      <c r="E809" s="3" t="s">
        <v>2074</v>
      </c>
      <c r="F809" s="3" t="s">
        <v>903</v>
      </c>
      <c r="G809" s="3">
        <v>1.0</v>
      </c>
      <c r="H809" s="3" t="b">
        <v>0</v>
      </c>
      <c r="L809" s="3" t="s">
        <v>2102</v>
      </c>
    </row>
    <row r="810" ht="15.75" customHeight="1">
      <c r="A810" s="3" t="s">
        <v>2922</v>
      </c>
      <c r="B810" s="12">
        <v>46118.0</v>
      </c>
      <c r="C810" s="3" t="s">
        <v>822</v>
      </c>
      <c r="D810" s="3" t="s">
        <v>923</v>
      </c>
      <c r="E810" s="3" t="s">
        <v>2074</v>
      </c>
      <c r="F810" s="3" t="s">
        <v>903</v>
      </c>
      <c r="G810" s="3">
        <v>1.0</v>
      </c>
      <c r="H810" s="3" t="b">
        <v>0</v>
      </c>
      <c r="L810" s="3" t="s">
        <v>2102</v>
      </c>
    </row>
    <row r="811" ht="15.75" customHeight="1">
      <c r="A811" s="3" t="s">
        <v>2923</v>
      </c>
      <c r="B811" s="12">
        <v>46118.0</v>
      </c>
      <c r="C811" s="3" t="s">
        <v>823</v>
      </c>
      <c r="D811" s="3" t="s">
        <v>923</v>
      </c>
      <c r="E811" s="3" t="s">
        <v>2074</v>
      </c>
      <c r="F811" s="3" t="s">
        <v>903</v>
      </c>
      <c r="G811" s="3">
        <v>1.0</v>
      </c>
      <c r="H811" s="3" t="b">
        <v>0</v>
      </c>
      <c r="L811" s="3" t="s">
        <v>2102</v>
      </c>
    </row>
    <row r="812" ht="15.75" customHeight="1">
      <c r="A812" s="3" t="s">
        <v>2924</v>
      </c>
      <c r="B812" s="12">
        <v>46118.0</v>
      </c>
      <c r="C812" s="3" t="s">
        <v>824</v>
      </c>
      <c r="D812" s="3" t="s">
        <v>923</v>
      </c>
      <c r="E812" s="3" t="s">
        <v>2074</v>
      </c>
      <c r="F812" s="3" t="s">
        <v>903</v>
      </c>
      <c r="G812" s="3">
        <v>1.0</v>
      </c>
      <c r="H812" s="3" t="b">
        <v>0</v>
      </c>
      <c r="L812" s="3" t="s">
        <v>2102</v>
      </c>
    </row>
    <row r="813" ht="15.75" customHeight="1">
      <c r="A813" s="3" t="s">
        <v>2925</v>
      </c>
      <c r="B813" s="12">
        <v>46118.0</v>
      </c>
      <c r="C813" s="3" t="s">
        <v>826</v>
      </c>
      <c r="D813" s="3" t="s">
        <v>923</v>
      </c>
      <c r="E813" s="3" t="s">
        <v>2074</v>
      </c>
      <c r="F813" s="3" t="s">
        <v>903</v>
      </c>
      <c r="G813" s="3">
        <v>1.0</v>
      </c>
      <c r="H813" s="3" t="b">
        <v>0</v>
      </c>
      <c r="L813" s="3" t="s">
        <v>2102</v>
      </c>
    </row>
    <row r="814" ht="15.75" customHeight="1">
      <c r="A814" s="3" t="s">
        <v>2926</v>
      </c>
      <c r="B814" s="12">
        <v>46118.0</v>
      </c>
      <c r="C814" s="3" t="s">
        <v>1342</v>
      </c>
      <c r="D814" s="3" t="s">
        <v>923</v>
      </c>
      <c r="E814" s="3" t="s">
        <v>2074</v>
      </c>
      <c r="F814" s="3" t="s">
        <v>903</v>
      </c>
      <c r="G814" s="3">
        <v>1.0</v>
      </c>
      <c r="H814" s="3" t="b">
        <v>0</v>
      </c>
      <c r="L814" s="3" t="s">
        <v>2102</v>
      </c>
    </row>
    <row r="815" ht="15.75" customHeight="1">
      <c r="A815" s="3" t="s">
        <v>2927</v>
      </c>
      <c r="B815" s="12">
        <v>46118.0</v>
      </c>
      <c r="C815" s="3" t="s">
        <v>163</v>
      </c>
      <c r="D815" s="3" t="s">
        <v>926</v>
      </c>
      <c r="E815" s="3" t="s">
        <v>2074</v>
      </c>
      <c r="F815" s="3" t="s">
        <v>903</v>
      </c>
      <c r="G815" s="3">
        <v>1.0</v>
      </c>
      <c r="H815" s="3" t="b">
        <v>0</v>
      </c>
      <c r="L815" s="3" t="s">
        <v>2102</v>
      </c>
    </row>
    <row r="816" ht="15.75" customHeight="1">
      <c r="A816" s="3" t="s">
        <v>2928</v>
      </c>
      <c r="B816" s="12">
        <v>46118.0</v>
      </c>
      <c r="C816" s="3" t="s">
        <v>177</v>
      </c>
      <c r="D816" s="3" t="s">
        <v>926</v>
      </c>
      <c r="E816" s="3" t="s">
        <v>2074</v>
      </c>
      <c r="F816" s="3" t="s">
        <v>903</v>
      </c>
      <c r="G816" s="3">
        <v>1.0</v>
      </c>
      <c r="H816" s="3" t="b">
        <v>0</v>
      </c>
      <c r="L816" s="3" t="s">
        <v>2102</v>
      </c>
    </row>
    <row r="817" ht="15.75" customHeight="1">
      <c r="A817" s="3" t="s">
        <v>2929</v>
      </c>
      <c r="B817" s="12">
        <v>46118.0</v>
      </c>
      <c r="C817" s="3" t="s">
        <v>201</v>
      </c>
      <c r="D817" s="3" t="s">
        <v>926</v>
      </c>
      <c r="E817" s="3" t="s">
        <v>2074</v>
      </c>
      <c r="F817" s="3" t="s">
        <v>903</v>
      </c>
      <c r="G817" s="3">
        <v>1.0</v>
      </c>
      <c r="H817" s="3" t="b">
        <v>0</v>
      </c>
      <c r="L817" s="3" t="s">
        <v>2102</v>
      </c>
    </row>
    <row r="818" ht="15.75" customHeight="1">
      <c r="A818" s="3" t="s">
        <v>2930</v>
      </c>
      <c r="B818" s="12">
        <v>46118.0</v>
      </c>
      <c r="C818" s="3" t="s">
        <v>209</v>
      </c>
      <c r="D818" s="3" t="s">
        <v>926</v>
      </c>
      <c r="E818" s="3" t="s">
        <v>2074</v>
      </c>
      <c r="F818" s="3" t="s">
        <v>903</v>
      </c>
      <c r="G818" s="3">
        <v>1.0</v>
      </c>
      <c r="H818" s="3" t="b">
        <v>0</v>
      </c>
      <c r="L818" s="3" t="s">
        <v>2102</v>
      </c>
    </row>
    <row r="819" ht="15.75" customHeight="1">
      <c r="A819" s="3" t="s">
        <v>2931</v>
      </c>
      <c r="B819" s="12">
        <v>46118.0</v>
      </c>
      <c r="C819" s="3" t="s">
        <v>221</v>
      </c>
      <c r="D819" s="3" t="s">
        <v>926</v>
      </c>
      <c r="E819" s="3" t="s">
        <v>2074</v>
      </c>
      <c r="F819" s="3" t="s">
        <v>903</v>
      </c>
      <c r="G819" s="3">
        <v>1.0</v>
      </c>
      <c r="H819" s="3" t="b">
        <v>0</v>
      </c>
      <c r="L819" s="3" t="s">
        <v>2102</v>
      </c>
    </row>
    <row r="820" ht="15.75" customHeight="1">
      <c r="A820" s="3" t="s">
        <v>2932</v>
      </c>
      <c r="B820" s="12">
        <v>46118.0</v>
      </c>
      <c r="C820" s="3" t="s">
        <v>224</v>
      </c>
      <c r="D820" s="3" t="s">
        <v>926</v>
      </c>
      <c r="E820" s="3" t="s">
        <v>2074</v>
      </c>
      <c r="F820" s="3" t="s">
        <v>903</v>
      </c>
      <c r="G820" s="3">
        <v>1.0</v>
      </c>
      <c r="H820" s="3" t="b">
        <v>0</v>
      </c>
      <c r="L820" s="3" t="s">
        <v>2102</v>
      </c>
    </row>
    <row r="821" ht="15.75" customHeight="1">
      <c r="A821" s="3" t="s">
        <v>2933</v>
      </c>
      <c r="B821" s="12">
        <v>46118.0</v>
      </c>
      <c r="C821" s="3" t="s">
        <v>227</v>
      </c>
      <c r="D821" s="3" t="s">
        <v>926</v>
      </c>
      <c r="E821" s="3" t="s">
        <v>2074</v>
      </c>
      <c r="F821" s="3" t="s">
        <v>903</v>
      </c>
      <c r="G821" s="3">
        <v>1.0</v>
      </c>
      <c r="H821" s="3" t="b">
        <v>0</v>
      </c>
      <c r="L821" s="3" t="s">
        <v>2102</v>
      </c>
    </row>
    <row r="822" ht="15.75" customHeight="1">
      <c r="A822" s="3" t="s">
        <v>2934</v>
      </c>
      <c r="B822" s="12">
        <v>46118.0</v>
      </c>
      <c r="C822" s="3" t="s">
        <v>254</v>
      </c>
      <c r="D822" s="3" t="s">
        <v>926</v>
      </c>
      <c r="E822" s="3" t="s">
        <v>2074</v>
      </c>
      <c r="F822" s="3" t="s">
        <v>903</v>
      </c>
      <c r="G822" s="3">
        <v>1.0</v>
      </c>
      <c r="H822" s="3" t="b">
        <v>0</v>
      </c>
      <c r="L822" s="3" t="s">
        <v>2102</v>
      </c>
    </row>
    <row r="823" ht="15.75" customHeight="1">
      <c r="A823" s="3" t="s">
        <v>2935</v>
      </c>
      <c r="B823" s="12">
        <v>46118.0</v>
      </c>
      <c r="C823" s="3" t="s">
        <v>269</v>
      </c>
      <c r="D823" s="3" t="s">
        <v>926</v>
      </c>
      <c r="E823" s="3" t="s">
        <v>2074</v>
      </c>
      <c r="F823" s="3" t="s">
        <v>903</v>
      </c>
      <c r="G823" s="3">
        <v>1.0</v>
      </c>
      <c r="H823" s="3" t="b">
        <v>0</v>
      </c>
      <c r="L823" s="3" t="s">
        <v>2102</v>
      </c>
    </row>
    <row r="824" ht="15.75" customHeight="1">
      <c r="A824" s="3" t="s">
        <v>2936</v>
      </c>
      <c r="B824" s="12">
        <v>46118.0</v>
      </c>
      <c r="C824" s="3" t="s">
        <v>281</v>
      </c>
      <c r="D824" s="3" t="s">
        <v>926</v>
      </c>
      <c r="E824" s="3" t="s">
        <v>2074</v>
      </c>
      <c r="F824" s="3" t="s">
        <v>903</v>
      </c>
      <c r="G824" s="3">
        <v>1.0</v>
      </c>
      <c r="H824" s="3" t="b">
        <v>0</v>
      </c>
      <c r="L824" s="3" t="s">
        <v>2102</v>
      </c>
    </row>
    <row r="825" ht="15.75" customHeight="1">
      <c r="A825" s="3" t="s">
        <v>2937</v>
      </c>
      <c r="B825" s="12">
        <v>46118.0</v>
      </c>
      <c r="C825" s="3" t="s">
        <v>287</v>
      </c>
      <c r="D825" s="3" t="s">
        <v>926</v>
      </c>
      <c r="E825" s="3" t="s">
        <v>2074</v>
      </c>
      <c r="F825" s="3" t="s">
        <v>903</v>
      </c>
      <c r="G825" s="3">
        <v>1.0</v>
      </c>
      <c r="H825" s="3" t="b">
        <v>0</v>
      </c>
      <c r="L825" s="3" t="s">
        <v>2102</v>
      </c>
    </row>
    <row r="826" ht="15.75" customHeight="1">
      <c r="A826" s="3" t="s">
        <v>2938</v>
      </c>
      <c r="B826" s="12">
        <v>46118.0</v>
      </c>
      <c r="C826" s="3" t="s">
        <v>288</v>
      </c>
      <c r="D826" s="3" t="s">
        <v>926</v>
      </c>
      <c r="E826" s="3" t="s">
        <v>2074</v>
      </c>
      <c r="F826" s="3" t="s">
        <v>903</v>
      </c>
      <c r="G826" s="3">
        <v>1.0</v>
      </c>
      <c r="H826" s="3" t="b">
        <v>0</v>
      </c>
      <c r="L826" s="3" t="s">
        <v>2102</v>
      </c>
    </row>
    <row r="827" ht="15.75" customHeight="1">
      <c r="A827" s="3" t="s">
        <v>2939</v>
      </c>
      <c r="B827" s="12">
        <v>46118.0</v>
      </c>
      <c r="C827" s="3" t="s">
        <v>289</v>
      </c>
      <c r="D827" s="3" t="s">
        <v>926</v>
      </c>
      <c r="E827" s="3" t="s">
        <v>2074</v>
      </c>
      <c r="F827" s="3" t="s">
        <v>903</v>
      </c>
      <c r="G827" s="3">
        <v>1.0</v>
      </c>
      <c r="H827" s="3" t="b">
        <v>0</v>
      </c>
      <c r="L827" s="3" t="s">
        <v>2102</v>
      </c>
    </row>
    <row r="828" ht="15.75" customHeight="1">
      <c r="A828" s="3" t="s">
        <v>2940</v>
      </c>
      <c r="B828" s="12">
        <v>46118.0</v>
      </c>
      <c r="C828" s="3" t="s">
        <v>298</v>
      </c>
      <c r="D828" s="3" t="s">
        <v>926</v>
      </c>
      <c r="E828" s="3" t="s">
        <v>2074</v>
      </c>
      <c r="F828" s="3" t="s">
        <v>903</v>
      </c>
      <c r="G828" s="3">
        <v>1.0</v>
      </c>
      <c r="H828" s="3" t="b">
        <v>0</v>
      </c>
      <c r="L828" s="3" t="s">
        <v>2102</v>
      </c>
    </row>
    <row r="829" ht="15.75" customHeight="1">
      <c r="A829" s="3" t="s">
        <v>2941</v>
      </c>
      <c r="B829" s="12">
        <v>46118.0</v>
      </c>
      <c r="C829" s="3" t="s">
        <v>316</v>
      </c>
      <c r="D829" s="3" t="s">
        <v>926</v>
      </c>
      <c r="E829" s="3" t="s">
        <v>2074</v>
      </c>
      <c r="F829" s="3" t="s">
        <v>903</v>
      </c>
      <c r="G829" s="3">
        <v>1.0</v>
      </c>
      <c r="H829" s="3" t="b">
        <v>0</v>
      </c>
      <c r="L829" s="3" t="s">
        <v>2102</v>
      </c>
    </row>
    <row r="830" ht="15.75" customHeight="1">
      <c r="A830" s="3" t="s">
        <v>2942</v>
      </c>
      <c r="B830" s="12">
        <v>46118.0</v>
      </c>
      <c r="C830" s="3" t="s">
        <v>332</v>
      </c>
      <c r="D830" s="3" t="s">
        <v>926</v>
      </c>
      <c r="E830" s="3" t="s">
        <v>2074</v>
      </c>
      <c r="F830" s="3" t="s">
        <v>903</v>
      </c>
      <c r="G830" s="3">
        <v>1.0</v>
      </c>
      <c r="H830" s="3" t="b">
        <v>0</v>
      </c>
      <c r="L830" s="3" t="s">
        <v>2102</v>
      </c>
    </row>
    <row r="831" ht="15.75" customHeight="1">
      <c r="A831" s="3" t="s">
        <v>2943</v>
      </c>
      <c r="B831" s="12">
        <v>46118.0</v>
      </c>
      <c r="C831" s="3" t="s">
        <v>344</v>
      </c>
      <c r="D831" s="3" t="s">
        <v>926</v>
      </c>
      <c r="E831" s="3" t="s">
        <v>2074</v>
      </c>
      <c r="F831" s="3" t="s">
        <v>903</v>
      </c>
      <c r="G831" s="3">
        <v>1.0</v>
      </c>
      <c r="H831" s="3" t="b">
        <v>0</v>
      </c>
      <c r="L831" s="3" t="s">
        <v>2102</v>
      </c>
    </row>
    <row r="832" ht="15.75" customHeight="1">
      <c r="A832" s="3" t="s">
        <v>2944</v>
      </c>
      <c r="B832" s="12">
        <v>46118.0</v>
      </c>
      <c r="C832" s="3" t="s">
        <v>351</v>
      </c>
      <c r="D832" s="3" t="s">
        <v>926</v>
      </c>
      <c r="E832" s="3" t="s">
        <v>2074</v>
      </c>
      <c r="F832" s="3" t="s">
        <v>903</v>
      </c>
      <c r="G832" s="3">
        <v>1.0</v>
      </c>
      <c r="H832" s="3" t="b">
        <v>0</v>
      </c>
      <c r="L832" s="3" t="s">
        <v>2102</v>
      </c>
    </row>
    <row r="833" ht="15.75" customHeight="1">
      <c r="A833" s="3" t="s">
        <v>2945</v>
      </c>
      <c r="B833" s="12">
        <v>46118.0</v>
      </c>
      <c r="C833" s="3" t="s">
        <v>357</v>
      </c>
      <c r="D833" s="3" t="s">
        <v>926</v>
      </c>
      <c r="E833" s="3" t="s">
        <v>2074</v>
      </c>
      <c r="F833" s="3" t="s">
        <v>903</v>
      </c>
      <c r="G833" s="3">
        <v>1.0</v>
      </c>
      <c r="H833" s="3" t="b">
        <v>0</v>
      </c>
      <c r="L833" s="3" t="s">
        <v>2102</v>
      </c>
    </row>
    <row r="834" ht="15.75" customHeight="1">
      <c r="A834" s="3" t="s">
        <v>2946</v>
      </c>
      <c r="B834" s="12">
        <v>46118.0</v>
      </c>
      <c r="C834" s="3" t="s">
        <v>359</v>
      </c>
      <c r="D834" s="3" t="s">
        <v>926</v>
      </c>
      <c r="E834" s="3" t="s">
        <v>2074</v>
      </c>
      <c r="F834" s="3" t="s">
        <v>903</v>
      </c>
      <c r="G834" s="3">
        <v>1.0</v>
      </c>
      <c r="H834" s="3" t="b">
        <v>0</v>
      </c>
      <c r="L834" s="3" t="s">
        <v>2102</v>
      </c>
    </row>
    <row r="835" ht="15.75" customHeight="1">
      <c r="A835" s="3" t="s">
        <v>2947</v>
      </c>
      <c r="B835" s="12">
        <v>46118.0</v>
      </c>
      <c r="C835" s="3" t="s">
        <v>370</v>
      </c>
      <c r="D835" s="3" t="s">
        <v>926</v>
      </c>
      <c r="E835" s="3" t="s">
        <v>2074</v>
      </c>
      <c r="F835" s="3" t="s">
        <v>903</v>
      </c>
      <c r="G835" s="3">
        <v>1.0</v>
      </c>
      <c r="H835" s="3" t="b">
        <v>0</v>
      </c>
      <c r="L835" s="3" t="s">
        <v>2102</v>
      </c>
    </row>
    <row r="836" ht="15.75" customHeight="1">
      <c r="A836" s="3" t="s">
        <v>2948</v>
      </c>
      <c r="B836" s="12">
        <v>46118.0</v>
      </c>
      <c r="C836" s="3" t="s">
        <v>373</v>
      </c>
      <c r="D836" s="3" t="s">
        <v>926</v>
      </c>
      <c r="E836" s="3" t="s">
        <v>2074</v>
      </c>
      <c r="F836" s="3" t="s">
        <v>903</v>
      </c>
      <c r="G836" s="3">
        <v>1.0</v>
      </c>
      <c r="H836" s="3" t="b">
        <v>0</v>
      </c>
      <c r="L836" s="3" t="s">
        <v>2102</v>
      </c>
    </row>
    <row r="837" ht="15.75" customHeight="1">
      <c r="A837" s="3" t="s">
        <v>2949</v>
      </c>
      <c r="B837" s="12">
        <v>46118.0</v>
      </c>
      <c r="C837" s="3" t="s">
        <v>374</v>
      </c>
      <c r="D837" s="3" t="s">
        <v>926</v>
      </c>
      <c r="E837" s="3" t="s">
        <v>2074</v>
      </c>
      <c r="F837" s="3" t="s">
        <v>903</v>
      </c>
      <c r="G837" s="3">
        <v>1.0</v>
      </c>
      <c r="H837" s="3" t="b">
        <v>0</v>
      </c>
      <c r="L837" s="3" t="s">
        <v>2102</v>
      </c>
    </row>
    <row r="838" ht="15.75" customHeight="1">
      <c r="A838" s="3" t="s">
        <v>2950</v>
      </c>
      <c r="B838" s="12">
        <v>46118.0</v>
      </c>
      <c r="C838" s="3" t="s">
        <v>378</v>
      </c>
      <c r="D838" s="3" t="s">
        <v>926</v>
      </c>
      <c r="E838" s="3" t="s">
        <v>2074</v>
      </c>
      <c r="F838" s="3" t="s">
        <v>903</v>
      </c>
      <c r="G838" s="3">
        <v>1.0</v>
      </c>
      <c r="H838" s="3" t="b">
        <v>0</v>
      </c>
      <c r="L838" s="3" t="s">
        <v>2102</v>
      </c>
    </row>
    <row r="839" ht="15.75" customHeight="1">
      <c r="A839" s="3" t="s">
        <v>2951</v>
      </c>
      <c r="B839" s="12">
        <v>46118.0</v>
      </c>
      <c r="C839" s="3" t="s">
        <v>383</v>
      </c>
      <c r="D839" s="3" t="s">
        <v>926</v>
      </c>
      <c r="E839" s="3" t="s">
        <v>2074</v>
      </c>
      <c r="F839" s="3" t="s">
        <v>903</v>
      </c>
      <c r="G839" s="3">
        <v>1.0</v>
      </c>
      <c r="H839" s="3" t="b">
        <v>0</v>
      </c>
      <c r="L839" s="3" t="s">
        <v>2102</v>
      </c>
    </row>
    <row r="840" ht="15.75" customHeight="1">
      <c r="A840" s="3" t="s">
        <v>2952</v>
      </c>
      <c r="B840" s="12">
        <v>46118.0</v>
      </c>
      <c r="C840" s="3" t="s">
        <v>388</v>
      </c>
      <c r="D840" s="3" t="s">
        <v>926</v>
      </c>
      <c r="E840" s="3" t="s">
        <v>2074</v>
      </c>
      <c r="F840" s="3" t="s">
        <v>903</v>
      </c>
      <c r="G840" s="3">
        <v>1.0</v>
      </c>
      <c r="H840" s="3" t="b">
        <v>0</v>
      </c>
      <c r="L840" s="3" t="s">
        <v>2102</v>
      </c>
    </row>
    <row r="841" ht="15.75" customHeight="1">
      <c r="A841" s="3" t="s">
        <v>2953</v>
      </c>
      <c r="B841" s="12">
        <v>46118.0</v>
      </c>
      <c r="C841" s="3" t="s">
        <v>395</v>
      </c>
      <c r="D841" s="3" t="s">
        <v>926</v>
      </c>
      <c r="E841" s="3" t="s">
        <v>2074</v>
      </c>
      <c r="F841" s="3" t="s">
        <v>903</v>
      </c>
      <c r="G841" s="3">
        <v>1.0</v>
      </c>
      <c r="H841" s="3" t="b">
        <v>0</v>
      </c>
      <c r="L841" s="3" t="s">
        <v>2102</v>
      </c>
    </row>
    <row r="842" ht="15.75" customHeight="1">
      <c r="A842" s="3" t="s">
        <v>2954</v>
      </c>
      <c r="B842" s="12">
        <v>46118.0</v>
      </c>
      <c r="C842" s="3" t="s">
        <v>396</v>
      </c>
      <c r="D842" s="3" t="s">
        <v>926</v>
      </c>
      <c r="E842" s="3" t="s">
        <v>2074</v>
      </c>
      <c r="F842" s="3" t="s">
        <v>903</v>
      </c>
      <c r="G842" s="3">
        <v>1.0</v>
      </c>
      <c r="H842" s="3" t="b">
        <v>0</v>
      </c>
      <c r="L842" s="3" t="s">
        <v>2102</v>
      </c>
    </row>
    <row r="843" ht="15.75" customHeight="1">
      <c r="A843" s="3" t="s">
        <v>2955</v>
      </c>
      <c r="B843" s="12">
        <v>46118.0</v>
      </c>
      <c r="C843" s="3" t="s">
        <v>397</v>
      </c>
      <c r="D843" s="3" t="s">
        <v>926</v>
      </c>
      <c r="E843" s="3" t="s">
        <v>2074</v>
      </c>
      <c r="F843" s="3" t="s">
        <v>903</v>
      </c>
      <c r="G843" s="3">
        <v>1.0</v>
      </c>
      <c r="H843" s="3" t="b">
        <v>0</v>
      </c>
      <c r="L843" s="3" t="s">
        <v>2102</v>
      </c>
    </row>
    <row r="844" ht="15.75" customHeight="1">
      <c r="A844" s="3" t="s">
        <v>2956</v>
      </c>
      <c r="B844" s="12">
        <v>46118.0</v>
      </c>
      <c r="C844" s="3" t="s">
        <v>422</v>
      </c>
      <c r="D844" s="3" t="s">
        <v>926</v>
      </c>
      <c r="E844" s="3" t="s">
        <v>2074</v>
      </c>
      <c r="F844" s="3" t="s">
        <v>903</v>
      </c>
      <c r="G844" s="3">
        <v>1.0</v>
      </c>
      <c r="H844" s="3" t="b">
        <v>0</v>
      </c>
      <c r="L844" s="3" t="s">
        <v>2102</v>
      </c>
    </row>
    <row r="845" ht="15.75" customHeight="1">
      <c r="A845" s="3" t="s">
        <v>2957</v>
      </c>
      <c r="B845" s="12">
        <v>46118.0</v>
      </c>
      <c r="C845" s="3" t="s">
        <v>445</v>
      </c>
      <c r="D845" s="3" t="s">
        <v>926</v>
      </c>
      <c r="E845" s="3" t="s">
        <v>2074</v>
      </c>
      <c r="F845" s="3" t="s">
        <v>903</v>
      </c>
      <c r="G845" s="3">
        <v>1.0</v>
      </c>
      <c r="H845" s="3" t="b">
        <v>0</v>
      </c>
      <c r="L845" s="3" t="s">
        <v>2102</v>
      </c>
    </row>
    <row r="846" ht="15.75" customHeight="1">
      <c r="A846" s="3" t="s">
        <v>2958</v>
      </c>
      <c r="B846" s="12">
        <v>46118.0</v>
      </c>
      <c r="C846" s="3" t="s">
        <v>476</v>
      </c>
      <c r="D846" s="3" t="s">
        <v>926</v>
      </c>
      <c r="E846" s="3" t="s">
        <v>2074</v>
      </c>
      <c r="F846" s="3" t="s">
        <v>903</v>
      </c>
      <c r="G846" s="3">
        <v>1.0</v>
      </c>
      <c r="H846" s="3" t="b">
        <v>0</v>
      </c>
      <c r="L846" s="3" t="s">
        <v>2102</v>
      </c>
    </row>
    <row r="847" ht="15.75" customHeight="1">
      <c r="A847" s="3" t="s">
        <v>2959</v>
      </c>
      <c r="B847" s="12">
        <v>46118.0</v>
      </c>
      <c r="C847" s="3" t="s">
        <v>486</v>
      </c>
      <c r="D847" s="3" t="s">
        <v>926</v>
      </c>
      <c r="E847" s="3" t="s">
        <v>2074</v>
      </c>
      <c r="F847" s="3" t="s">
        <v>903</v>
      </c>
      <c r="G847" s="3">
        <v>1.0</v>
      </c>
      <c r="H847" s="3" t="b">
        <v>0</v>
      </c>
      <c r="L847" s="3" t="s">
        <v>2102</v>
      </c>
    </row>
    <row r="848" ht="15.75" customHeight="1">
      <c r="A848" s="3" t="s">
        <v>2960</v>
      </c>
      <c r="B848" s="12">
        <v>46118.0</v>
      </c>
      <c r="C848" s="3" t="s">
        <v>491</v>
      </c>
      <c r="D848" s="3" t="s">
        <v>926</v>
      </c>
      <c r="E848" s="3" t="s">
        <v>2074</v>
      </c>
      <c r="F848" s="3" t="s">
        <v>903</v>
      </c>
      <c r="G848" s="3">
        <v>1.0</v>
      </c>
      <c r="H848" s="3" t="b">
        <v>0</v>
      </c>
      <c r="L848" s="3" t="s">
        <v>2102</v>
      </c>
    </row>
    <row r="849" ht="15.75" customHeight="1">
      <c r="A849" s="3" t="s">
        <v>2961</v>
      </c>
      <c r="B849" s="12">
        <v>46118.0</v>
      </c>
      <c r="C849" s="3" t="s">
        <v>514</v>
      </c>
      <c r="D849" s="3" t="s">
        <v>926</v>
      </c>
      <c r="E849" s="3" t="s">
        <v>2074</v>
      </c>
      <c r="F849" s="3" t="s">
        <v>903</v>
      </c>
      <c r="G849" s="3">
        <v>1.0</v>
      </c>
      <c r="H849" s="3" t="b">
        <v>0</v>
      </c>
      <c r="L849" s="3" t="s">
        <v>2102</v>
      </c>
    </row>
    <row r="850" ht="15.75" customHeight="1">
      <c r="A850" s="3" t="s">
        <v>2962</v>
      </c>
      <c r="B850" s="12">
        <v>46118.0</v>
      </c>
      <c r="C850" s="3" t="s">
        <v>516</v>
      </c>
      <c r="D850" s="3" t="s">
        <v>926</v>
      </c>
      <c r="E850" s="3" t="s">
        <v>2074</v>
      </c>
      <c r="F850" s="3" t="s">
        <v>903</v>
      </c>
      <c r="G850" s="3">
        <v>1.0</v>
      </c>
      <c r="H850" s="3" t="b">
        <v>0</v>
      </c>
      <c r="L850" s="3" t="s">
        <v>2102</v>
      </c>
    </row>
    <row r="851" ht="15.75" customHeight="1">
      <c r="A851" s="3" t="s">
        <v>2963</v>
      </c>
      <c r="B851" s="12">
        <v>46118.0</v>
      </c>
      <c r="C851" s="3" t="s">
        <v>539</v>
      </c>
      <c r="D851" s="3" t="s">
        <v>926</v>
      </c>
      <c r="E851" s="3" t="s">
        <v>2074</v>
      </c>
      <c r="F851" s="3" t="s">
        <v>903</v>
      </c>
      <c r="G851" s="3">
        <v>1.0</v>
      </c>
      <c r="H851" s="3" t="b">
        <v>0</v>
      </c>
      <c r="L851" s="3" t="s">
        <v>2102</v>
      </c>
    </row>
    <row r="852" ht="15.75" customHeight="1">
      <c r="A852" s="3" t="s">
        <v>2964</v>
      </c>
      <c r="B852" s="12">
        <v>46118.0</v>
      </c>
      <c r="C852" s="3" t="s">
        <v>560</v>
      </c>
      <c r="D852" s="3" t="s">
        <v>926</v>
      </c>
      <c r="E852" s="3" t="s">
        <v>2074</v>
      </c>
      <c r="F852" s="3" t="s">
        <v>903</v>
      </c>
      <c r="G852" s="3">
        <v>1.0</v>
      </c>
      <c r="H852" s="3" t="b">
        <v>0</v>
      </c>
      <c r="L852" s="3" t="s">
        <v>2102</v>
      </c>
    </row>
    <row r="853" ht="15.75" customHeight="1">
      <c r="A853" s="3" t="s">
        <v>2965</v>
      </c>
      <c r="B853" s="12">
        <v>46118.0</v>
      </c>
      <c r="C853" s="3" t="s">
        <v>590</v>
      </c>
      <c r="D853" s="3" t="s">
        <v>926</v>
      </c>
      <c r="E853" s="3" t="s">
        <v>2074</v>
      </c>
      <c r="F853" s="3" t="s">
        <v>903</v>
      </c>
      <c r="G853" s="3">
        <v>1.0</v>
      </c>
      <c r="H853" s="3" t="b">
        <v>0</v>
      </c>
      <c r="L853" s="3" t="s">
        <v>2102</v>
      </c>
    </row>
    <row r="854" ht="15.75" customHeight="1">
      <c r="A854" s="3" t="s">
        <v>2966</v>
      </c>
      <c r="B854" s="12">
        <v>46118.0</v>
      </c>
      <c r="C854" s="3" t="s">
        <v>605</v>
      </c>
      <c r="D854" s="3" t="s">
        <v>926</v>
      </c>
      <c r="E854" s="3" t="s">
        <v>2074</v>
      </c>
      <c r="F854" s="3" t="s">
        <v>903</v>
      </c>
      <c r="G854" s="3">
        <v>1.0</v>
      </c>
      <c r="H854" s="3" t="b">
        <v>0</v>
      </c>
      <c r="L854" s="3" t="s">
        <v>2102</v>
      </c>
    </row>
    <row r="855" ht="15.75" customHeight="1">
      <c r="A855" s="3" t="s">
        <v>2967</v>
      </c>
      <c r="B855" s="12">
        <v>46118.0</v>
      </c>
      <c r="C855" s="3" t="s">
        <v>628</v>
      </c>
      <c r="D855" s="3" t="s">
        <v>926</v>
      </c>
      <c r="E855" s="3" t="s">
        <v>2074</v>
      </c>
      <c r="F855" s="3" t="s">
        <v>903</v>
      </c>
      <c r="G855" s="3">
        <v>1.0</v>
      </c>
      <c r="H855" s="3" t="b">
        <v>0</v>
      </c>
      <c r="L855" s="3" t="s">
        <v>2102</v>
      </c>
    </row>
    <row r="856" ht="15.75" customHeight="1">
      <c r="A856" s="3" t="s">
        <v>2968</v>
      </c>
      <c r="B856" s="12">
        <v>46118.0</v>
      </c>
      <c r="C856" s="3" t="s">
        <v>632</v>
      </c>
      <c r="D856" s="3" t="s">
        <v>926</v>
      </c>
      <c r="E856" s="3" t="s">
        <v>2074</v>
      </c>
      <c r="F856" s="3" t="s">
        <v>903</v>
      </c>
      <c r="G856" s="3">
        <v>1.0</v>
      </c>
      <c r="H856" s="3" t="b">
        <v>0</v>
      </c>
      <c r="L856" s="3" t="s">
        <v>2102</v>
      </c>
    </row>
    <row r="857" ht="15.75" customHeight="1">
      <c r="A857" s="3" t="s">
        <v>2969</v>
      </c>
      <c r="B857" s="12">
        <v>46118.0</v>
      </c>
      <c r="C857" s="3" t="s">
        <v>635</v>
      </c>
      <c r="D857" s="3" t="s">
        <v>926</v>
      </c>
      <c r="E857" s="3" t="s">
        <v>2074</v>
      </c>
      <c r="F857" s="3" t="s">
        <v>903</v>
      </c>
      <c r="G857" s="3">
        <v>1.0</v>
      </c>
      <c r="H857" s="3" t="b">
        <v>0</v>
      </c>
      <c r="L857" s="3" t="s">
        <v>2102</v>
      </c>
    </row>
    <row r="858" ht="15.75" customHeight="1">
      <c r="A858" s="3" t="s">
        <v>2970</v>
      </c>
      <c r="B858" s="12">
        <v>46118.0</v>
      </c>
      <c r="C858" s="3" t="s">
        <v>665</v>
      </c>
      <c r="D858" s="3" t="s">
        <v>926</v>
      </c>
      <c r="E858" s="3" t="s">
        <v>2074</v>
      </c>
      <c r="F858" s="3" t="s">
        <v>903</v>
      </c>
      <c r="G858" s="3">
        <v>1.0</v>
      </c>
      <c r="H858" s="3" t="b">
        <v>0</v>
      </c>
      <c r="L858" s="3" t="s">
        <v>2102</v>
      </c>
    </row>
    <row r="859" ht="15.75" customHeight="1">
      <c r="A859" s="3" t="s">
        <v>2971</v>
      </c>
      <c r="B859" s="12">
        <v>46118.0</v>
      </c>
      <c r="C859" s="3" t="s">
        <v>680</v>
      </c>
      <c r="D859" s="3" t="s">
        <v>926</v>
      </c>
      <c r="E859" s="3" t="s">
        <v>2074</v>
      </c>
      <c r="F859" s="3" t="s">
        <v>903</v>
      </c>
      <c r="G859" s="3">
        <v>1.0</v>
      </c>
      <c r="H859" s="3" t="b">
        <v>0</v>
      </c>
      <c r="L859" s="3" t="s">
        <v>2102</v>
      </c>
    </row>
    <row r="860" ht="15.75" customHeight="1">
      <c r="A860" s="3" t="s">
        <v>2972</v>
      </c>
      <c r="B860" s="12">
        <v>46118.0</v>
      </c>
      <c r="C860" s="3" t="s">
        <v>693</v>
      </c>
      <c r="D860" s="3" t="s">
        <v>926</v>
      </c>
      <c r="E860" s="3" t="s">
        <v>2074</v>
      </c>
      <c r="F860" s="3" t="s">
        <v>903</v>
      </c>
      <c r="G860" s="3">
        <v>1.0</v>
      </c>
      <c r="H860" s="3" t="b">
        <v>0</v>
      </c>
      <c r="L860" s="3" t="s">
        <v>2102</v>
      </c>
    </row>
    <row r="861" ht="15.75" customHeight="1">
      <c r="A861" s="3" t="s">
        <v>2973</v>
      </c>
      <c r="B861" s="12">
        <v>46118.0</v>
      </c>
      <c r="C861" s="3" t="s">
        <v>696</v>
      </c>
      <c r="D861" s="3" t="s">
        <v>926</v>
      </c>
      <c r="E861" s="3" t="s">
        <v>2074</v>
      </c>
      <c r="F861" s="3" t="s">
        <v>903</v>
      </c>
      <c r="G861" s="3">
        <v>1.0</v>
      </c>
      <c r="H861" s="3" t="b">
        <v>0</v>
      </c>
      <c r="L861" s="3" t="s">
        <v>2102</v>
      </c>
    </row>
    <row r="862" ht="15.75" customHeight="1">
      <c r="A862" s="3" t="s">
        <v>2974</v>
      </c>
      <c r="B862" s="12">
        <v>46118.0</v>
      </c>
      <c r="C862" s="3" t="s">
        <v>731</v>
      </c>
      <c r="D862" s="3" t="s">
        <v>926</v>
      </c>
      <c r="E862" s="3" t="s">
        <v>2074</v>
      </c>
      <c r="F862" s="3" t="s">
        <v>903</v>
      </c>
      <c r="G862" s="3">
        <v>1.0</v>
      </c>
      <c r="H862" s="3" t="b">
        <v>0</v>
      </c>
      <c r="L862" s="3" t="s">
        <v>2102</v>
      </c>
    </row>
    <row r="863" ht="15.75" customHeight="1">
      <c r="A863" s="3" t="s">
        <v>2975</v>
      </c>
      <c r="B863" s="12">
        <v>46118.0</v>
      </c>
      <c r="C863" s="3" t="s">
        <v>732</v>
      </c>
      <c r="D863" s="3" t="s">
        <v>926</v>
      </c>
      <c r="E863" s="3" t="s">
        <v>2074</v>
      </c>
      <c r="F863" s="3" t="s">
        <v>903</v>
      </c>
      <c r="G863" s="3">
        <v>1.0</v>
      </c>
      <c r="H863" s="3" t="b">
        <v>0</v>
      </c>
      <c r="L863" s="3" t="s">
        <v>2102</v>
      </c>
    </row>
    <row r="864" ht="15.75" customHeight="1">
      <c r="A864" s="3" t="s">
        <v>2976</v>
      </c>
      <c r="B864" s="12">
        <v>46118.0</v>
      </c>
      <c r="C864" s="3" t="s">
        <v>751</v>
      </c>
      <c r="D864" s="3" t="s">
        <v>926</v>
      </c>
      <c r="E864" s="3" t="s">
        <v>2074</v>
      </c>
      <c r="F864" s="3" t="s">
        <v>903</v>
      </c>
      <c r="G864" s="3">
        <v>1.0</v>
      </c>
      <c r="H864" s="3" t="b">
        <v>0</v>
      </c>
      <c r="L864" s="3" t="s">
        <v>2102</v>
      </c>
    </row>
    <row r="865" ht="15.75" customHeight="1">
      <c r="A865" s="3" t="s">
        <v>2977</v>
      </c>
      <c r="B865" s="12">
        <v>46118.0</v>
      </c>
      <c r="C865" s="3" t="s">
        <v>759</v>
      </c>
      <c r="D865" s="3" t="s">
        <v>926</v>
      </c>
      <c r="E865" s="3" t="s">
        <v>2074</v>
      </c>
      <c r="F865" s="3" t="s">
        <v>903</v>
      </c>
      <c r="G865" s="3">
        <v>1.0</v>
      </c>
      <c r="H865" s="3" t="b">
        <v>0</v>
      </c>
      <c r="L865" s="3" t="s">
        <v>2102</v>
      </c>
    </row>
    <row r="866" ht="15.75" customHeight="1">
      <c r="A866" s="3" t="s">
        <v>2978</v>
      </c>
      <c r="B866" s="12">
        <v>46118.0</v>
      </c>
      <c r="C866" s="3" t="s">
        <v>1273</v>
      </c>
      <c r="D866" s="3" t="s">
        <v>926</v>
      </c>
      <c r="E866" s="3" t="s">
        <v>2074</v>
      </c>
      <c r="F866" s="3" t="s">
        <v>903</v>
      </c>
      <c r="G866" s="3">
        <v>1.0</v>
      </c>
      <c r="H866" s="3" t="b">
        <v>0</v>
      </c>
      <c r="L866" s="3" t="s">
        <v>2102</v>
      </c>
    </row>
    <row r="867" ht="15.75" customHeight="1">
      <c r="A867" s="3" t="s">
        <v>2979</v>
      </c>
      <c r="B867" s="12">
        <v>46118.0</v>
      </c>
      <c r="C867" s="3" t="s">
        <v>763</v>
      </c>
      <c r="D867" s="3" t="s">
        <v>926</v>
      </c>
      <c r="E867" s="3" t="s">
        <v>2074</v>
      </c>
      <c r="F867" s="3" t="s">
        <v>903</v>
      </c>
      <c r="G867" s="3">
        <v>1.0</v>
      </c>
      <c r="H867" s="3" t="b">
        <v>0</v>
      </c>
      <c r="L867" s="3" t="s">
        <v>2102</v>
      </c>
    </row>
    <row r="868" ht="15.75" customHeight="1">
      <c r="A868" s="13" t="s">
        <v>2980</v>
      </c>
      <c r="B868" s="12">
        <v>46118.0</v>
      </c>
      <c r="C868" s="3" t="s">
        <v>789</v>
      </c>
      <c r="D868" s="3" t="s">
        <v>926</v>
      </c>
      <c r="E868" s="3" t="s">
        <v>2074</v>
      </c>
      <c r="F868" s="3" t="s">
        <v>903</v>
      </c>
      <c r="G868" s="3">
        <v>1.0</v>
      </c>
      <c r="H868" s="3" t="b">
        <v>0</v>
      </c>
      <c r="L868" s="3" t="s">
        <v>2102</v>
      </c>
    </row>
    <row r="869" ht="15.75" customHeight="1">
      <c r="A869" s="3" t="s">
        <v>2981</v>
      </c>
      <c r="B869" s="12">
        <v>46118.0</v>
      </c>
      <c r="C869" s="3" t="s">
        <v>795</v>
      </c>
      <c r="D869" s="3" t="s">
        <v>926</v>
      </c>
      <c r="E869" s="3" t="s">
        <v>2074</v>
      </c>
      <c r="F869" s="3" t="s">
        <v>903</v>
      </c>
      <c r="G869" s="3">
        <v>1.0</v>
      </c>
      <c r="H869" s="3" t="b">
        <v>0</v>
      </c>
      <c r="L869" s="3" t="s">
        <v>2102</v>
      </c>
    </row>
    <row r="870" ht="15.75" customHeight="1">
      <c r="A870" s="3" t="s">
        <v>2982</v>
      </c>
      <c r="B870" s="12">
        <v>46118.0</v>
      </c>
      <c r="C870" s="3" t="s">
        <v>814</v>
      </c>
      <c r="D870" s="3" t="s">
        <v>926</v>
      </c>
      <c r="E870" s="3" t="s">
        <v>2074</v>
      </c>
      <c r="F870" s="3" t="s">
        <v>903</v>
      </c>
      <c r="G870" s="3">
        <v>1.0</v>
      </c>
      <c r="H870" s="3" t="b">
        <v>0</v>
      </c>
      <c r="L870" s="3" t="s">
        <v>2102</v>
      </c>
    </row>
    <row r="871" ht="15.75" customHeight="1">
      <c r="A871" s="3" t="s">
        <v>2983</v>
      </c>
      <c r="B871" s="12">
        <v>46118.0</v>
      </c>
      <c r="C871" s="3" t="s">
        <v>826</v>
      </c>
      <c r="D871" s="3" t="s">
        <v>926</v>
      </c>
      <c r="E871" s="3" t="s">
        <v>2074</v>
      </c>
      <c r="F871" s="3" t="s">
        <v>903</v>
      </c>
      <c r="G871" s="3">
        <v>1.0</v>
      </c>
      <c r="H871" s="3" t="b">
        <v>0</v>
      </c>
      <c r="L871" s="3" t="s">
        <v>2102</v>
      </c>
    </row>
    <row r="872" ht="15.75" customHeight="1">
      <c r="A872" s="3" t="s">
        <v>2984</v>
      </c>
      <c r="B872" s="12">
        <v>46118.0</v>
      </c>
      <c r="C872" s="3" t="s">
        <v>1342</v>
      </c>
      <c r="D872" s="3" t="s">
        <v>926</v>
      </c>
      <c r="E872" s="3" t="s">
        <v>2074</v>
      </c>
      <c r="F872" s="3" t="s">
        <v>903</v>
      </c>
      <c r="G872" s="3">
        <v>1.0</v>
      </c>
      <c r="H872" s="3" t="b">
        <v>0</v>
      </c>
      <c r="L872" s="3" t="s">
        <v>2102</v>
      </c>
    </row>
    <row r="873" ht="15.75" customHeight="1">
      <c r="A873" s="3" t="s">
        <v>2985</v>
      </c>
      <c r="B873" s="12">
        <v>46118.0</v>
      </c>
      <c r="C873" s="3" t="s">
        <v>115</v>
      </c>
      <c r="D873" s="3" t="s">
        <v>928</v>
      </c>
      <c r="E873" s="3" t="s">
        <v>2074</v>
      </c>
      <c r="F873" s="3" t="s">
        <v>903</v>
      </c>
      <c r="G873" s="3">
        <v>1.0</v>
      </c>
      <c r="H873" s="3" t="b">
        <v>0</v>
      </c>
      <c r="L873" s="3" t="s">
        <v>2102</v>
      </c>
    </row>
    <row r="874" ht="15.75" customHeight="1">
      <c r="A874" s="3" t="s">
        <v>2986</v>
      </c>
      <c r="B874" s="12">
        <v>46118.0</v>
      </c>
      <c r="C874" s="3" t="s">
        <v>130</v>
      </c>
      <c r="D874" s="3" t="s">
        <v>928</v>
      </c>
      <c r="E874" s="3" t="s">
        <v>2074</v>
      </c>
      <c r="F874" s="3" t="s">
        <v>903</v>
      </c>
      <c r="G874" s="3">
        <v>1.0</v>
      </c>
      <c r="H874" s="3" t="b">
        <v>0</v>
      </c>
      <c r="L874" s="3" t="s">
        <v>2102</v>
      </c>
    </row>
    <row r="875" ht="15.75" customHeight="1">
      <c r="A875" s="3" t="s">
        <v>2987</v>
      </c>
      <c r="B875" s="12">
        <v>46118.0</v>
      </c>
      <c r="C875" s="3" t="s">
        <v>152</v>
      </c>
      <c r="D875" s="3" t="s">
        <v>928</v>
      </c>
      <c r="E875" s="3" t="s">
        <v>2074</v>
      </c>
      <c r="F875" s="3" t="s">
        <v>903</v>
      </c>
      <c r="G875" s="3">
        <v>1.0</v>
      </c>
      <c r="H875" s="3" t="b">
        <v>0</v>
      </c>
      <c r="L875" s="3" t="s">
        <v>2102</v>
      </c>
    </row>
    <row r="876" ht="15.75" customHeight="1">
      <c r="A876" s="3" t="s">
        <v>2988</v>
      </c>
      <c r="B876" s="12">
        <v>46118.0</v>
      </c>
      <c r="C876" s="3" t="s">
        <v>186</v>
      </c>
      <c r="D876" s="3" t="s">
        <v>928</v>
      </c>
      <c r="E876" s="3" t="s">
        <v>2074</v>
      </c>
      <c r="F876" s="3" t="s">
        <v>903</v>
      </c>
      <c r="G876" s="3">
        <v>1.0</v>
      </c>
      <c r="H876" s="3" t="b">
        <v>0</v>
      </c>
      <c r="L876" s="3" t="s">
        <v>2102</v>
      </c>
    </row>
    <row r="877" ht="15.75" customHeight="1">
      <c r="A877" s="3" t="s">
        <v>2989</v>
      </c>
      <c r="B877" s="12">
        <v>46118.0</v>
      </c>
      <c r="C877" s="3" t="s">
        <v>188</v>
      </c>
      <c r="D877" s="3" t="s">
        <v>928</v>
      </c>
      <c r="E877" s="3" t="s">
        <v>2074</v>
      </c>
      <c r="F877" s="3" t="s">
        <v>903</v>
      </c>
      <c r="G877" s="3">
        <v>1.0</v>
      </c>
      <c r="H877" s="3" t="b">
        <v>0</v>
      </c>
      <c r="L877" s="3" t="s">
        <v>2102</v>
      </c>
    </row>
    <row r="878" ht="15.75" customHeight="1">
      <c r="A878" s="3" t="s">
        <v>2990</v>
      </c>
      <c r="B878" s="12">
        <v>46118.0</v>
      </c>
      <c r="C878" s="3" t="s">
        <v>213</v>
      </c>
      <c r="D878" s="3" t="s">
        <v>928</v>
      </c>
      <c r="E878" s="3" t="s">
        <v>2074</v>
      </c>
      <c r="F878" s="3" t="s">
        <v>903</v>
      </c>
      <c r="G878" s="3">
        <v>1.0</v>
      </c>
      <c r="H878" s="3" t="b">
        <v>0</v>
      </c>
      <c r="L878" s="3" t="s">
        <v>2102</v>
      </c>
    </row>
    <row r="879" ht="15.75" customHeight="1">
      <c r="A879" s="3" t="s">
        <v>2991</v>
      </c>
      <c r="B879" s="12">
        <v>46118.0</v>
      </c>
      <c r="C879" s="3" t="s">
        <v>238</v>
      </c>
      <c r="D879" s="3" t="s">
        <v>928</v>
      </c>
      <c r="E879" s="3" t="s">
        <v>2074</v>
      </c>
      <c r="F879" s="3" t="s">
        <v>903</v>
      </c>
      <c r="G879" s="3">
        <v>1.0</v>
      </c>
      <c r="H879" s="3" t="b">
        <v>0</v>
      </c>
      <c r="L879" s="3" t="s">
        <v>2102</v>
      </c>
    </row>
    <row r="880" ht="15.75" customHeight="1">
      <c r="A880" s="3" t="s">
        <v>2992</v>
      </c>
      <c r="B880" s="12">
        <v>46118.0</v>
      </c>
      <c r="C880" s="3" t="s">
        <v>239</v>
      </c>
      <c r="D880" s="3" t="s">
        <v>928</v>
      </c>
      <c r="E880" s="3" t="s">
        <v>2074</v>
      </c>
      <c r="F880" s="3" t="s">
        <v>903</v>
      </c>
      <c r="G880" s="3">
        <v>1.0</v>
      </c>
      <c r="H880" s="3" t="b">
        <v>0</v>
      </c>
      <c r="L880" s="3" t="s">
        <v>2102</v>
      </c>
    </row>
    <row r="881" ht="15.75" customHeight="1">
      <c r="A881" s="3" t="s">
        <v>2993</v>
      </c>
      <c r="B881" s="12">
        <v>46118.0</v>
      </c>
      <c r="C881" s="3" t="s">
        <v>245</v>
      </c>
      <c r="D881" s="3" t="s">
        <v>928</v>
      </c>
      <c r="E881" s="3" t="s">
        <v>2074</v>
      </c>
      <c r="F881" s="3" t="s">
        <v>903</v>
      </c>
      <c r="G881" s="3">
        <v>1.0</v>
      </c>
      <c r="H881" s="3" t="b">
        <v>0</v>
      </c>
      <c r="L881" s="3" t="s">
        <v>2102</v>
      </c>
    </row>
    <row r="882" ht="15.75" customHeight="1">
      <c r="A882" s="3" t="s">
        <v>2994</v>
      </c>
      <c r="B882" s="12">
        <v>46118.0</v>
      </c>
      <c r="C882" s="3" t="s">
        <v>247</v>
      </c>
      <c r="D882" s="3" t="s">
        <v>928</v>
      </c>
      <c r="E882" s="3" t="s">
        <v>2074</v>
      </c>
      <c r="F882" s="3" t="s">
        <v>903</v>
      </c>
      <c r="G882" s="3">
        <v>1.0</v>
      </c>
      <c r="H882" s="3" t="b">
        <v>0</v>
      </c>
      <c r="L882" s="3" t="s">
        <v>2102</v>
      </c>
    </row>
    <row r="883" ht="15.75" customHeight="1">
      <c r="A883" s="3" t="s">
        <v>2995</v>
      </c>
      <c r="B883" s="12">
        <v>46118.0</v>
      </c>
      <c r="C883" s="3" t="s">
        <v>248</v>
      </c>
      <c r="D883" s="3" t="s">
        <v>928</v>
      </c>
      <c r="E883" s="3" t="s">
        <v>2074</v>
      </c>
      <c r="F883" s="3" t="s">
        <v>903</v>
      </c>
      <c r="G883" s="3">
        <v>1.0</v>
      </c>
      <c r="H883" s="3" t="b">
        <v>0</v>
      </c>
      <c r="L883" s="3" t="s">
        <v>2102</v>
      </c>
    </row>
    <row r="884" ht="15.75" customHeight="1">
      <c r="A884" s="3" t="s">
        <v>2996</v>
      </c>
      <c r="B884" s="12">
        <v>46118.0</v>
      </c>
      <c r="C884" s="3" t="s">
        <v>255</v>
      </c>
      <c r="D884" s="3" t="s">
        <v>928</v>
      </c>
      <c r="E884" s="3" t="s">
        <v>2074</v>
      </c>
      <c r="F884" s="3" t="s">
        <v>903</v>
      </c>
      <c r="G884" s="3">
        <v>1.0</v>
      </c>
      <c r="H884" s="3" t="b">
        <v>0</v>
      </c>
      <c r="L884" s="3" t="s">
        <v>2102</v>
      </c>
    </row>
    <row r="885" ht="15.75" customHeight="1">
      <c r="A885" s="3" t="s">
        <v>2997</v>
      </c>
      <c r="B885" s="12">
        <v>46118.0</v>
      </c>
      <c r="C885" s="3" t="s">
        <v>262</v>
      </c>
      <c r="D885" s="3" t="s">
        <v>928</v>
      </c>
      <c r="E885" s="3" t="s">
        <v>2074</v>
      </c>
      <c r="F885" s="3" t="s">
        <v>903</v>
      </c>
      <c r="G885" s="3">
        <v>1.0</v>
      </c>
      <c r="H885" s="3" t="b">
        <v>0</v>
      </c>
      <c r="L885" s="3" t="s">
        <v>2102</v>
      </c>
    </row>
    <row r="886" ht="15.75" customHeight="1">
      <c r="A886" s="3" t="s">
        <v>2998</v>
      </c>
      <c r="B886" s="12">
        <v>46118.0</v>
      </c>
      <c r="C886" s="3" t="s">
        <v>1295</v>
      </c>
      <c r="D886" s="3" t="s">
        <v>928</v>
      </c>
      <c r="E886" s="3" t="s">
        <v>2074</v>
      </c>
      <c r="F886" s="3" t="s">
        <v>903</v>
      </c>
      <c r="G886" s="3">
        <v>1.0</v>
      </c>
      <c r="H886" s="3" t="b">
        <v>0</v>
      </c>
      <c r="L886" s="3" t="s">
        <v>2102</v>
      </c>
    </row>
    <row r="887" ht="15.75" customHeight="1">
      <c r="A887" s="3" t="s">
        <v>2999</v>
      </c>
      <c r="B887" s="12">
        <v>46118.0</v>
      </c>
      <c r="C887" s="3" t="s">
        <v>270</v>
      </c>
      <c r="D887" s="3" t="s">
        <v>928</v>
      </c>
      <c r="E887" s="3" t="s">
        <v>2074</v>
      </c>
      <c r="F887" s="3" t="s">
        <v>903</v>
      </c>
      <c r="G887" s="3">
        <v>1.0</v>
      </c>
      <c r="H887" s="3" t="b">
        <v>0</v>
      </c>
      <c r="L887" s="3" t="s">
        <v>2102</v>
      </c>
    </row>
    <row r="888" ht="15.75" customHeight="1">
      <c r="A888" s="3" t="s">
        <v>3000</v>
      </c>
      <c r="B888" s="12">
        <v>46118.0</v>
      </c>
      <c r="C888" s="3" t="s">
        <v>273</v>
      </c>
      <c r="D888" s="3" t="s">
        <v>928</v>
      </c>
      <c r="E888" s="3" t="s">
        <v>2074</v>
      </c>
      <c r="F888" s="3" t="s">
        <v>903</v>
      </c>
      <c r="G888" s="3">
        <v>1.0</v>
      </c>
      <c r="H888" s="3" t="b">
        <v>0</v>
      </c>
      <c r="L888" s="3" t="s">
        <v>2102</v>
      </c>
    </row>
    <row r="889" ht="15.75" customHeight="1">
      <c r="A889" s="3" t="s">
        <v>3001</v>
      </c>
      <c r="B889" s="12">
        <v>46118.0</v>
      </c>
      <c r="C889" s="3" t="s">
        <v>278</v>
      </c>
      <c r="D889" s="3" t="s">
        <v>928</v>
      </c>
      <c r="E889" s="3" t="s">
        <v>2074</v>
      </c>
      <c r="F889" s="3" t="s">
        <v>903</v>
      </c>
      <c r="G889" s="3">
        <v>1.0</v>
      </c>
      <c r="H889" s="3" t="b">
        <v>0</v>
      </c>
      <c r="L889" s="3" t="s">
        <v>2102</v>
      </c>
    </row>
    <row r="890" ht="15.75" customHeight="1">
      <c r="A890" s="13" t="s">
        <v>3002</v>
      </c>
      <c r="B890" s="12">
        <v>46118.0</v>
      </c>
      <c r="C890" s="3" t="s">
        <v>291</v>
      </c>
      <c r="D890" s="3" t="s">
        <v>928</v>
      </c>
      <c r="E890" s="3" t="s">
        <v>2074</v>
      </c>
      <c r="F890" s="3" t="s">
        <v>903</v>
      </c>
      <c r="G890" s="3">
        <v>1.0</v>
      </c>
      <c r="H890" s="3" t="b">
        <v>0</v>
      </c>
      <c r="L890" s="3" t="s">
        <v>2102</v>
      </c>
    </row>
    <row r="891" ht="15.75" customHeight="1">
      <c r="A891" s="3" t="s">
        <v>3003</v>
      </c>
      <c r="B891" s="12">
        <v>46118.0</v>
      </c>
      <c r="C891" s="3" t="s">
        <v>305</v>
      </c>
      <c r="D891" s="3" t="s">
        <v>928</v>
      </c>
      <c r="E891" s="3" t="s">
        <v>2074</v>
      </c>
      <c r="F891" s="3" t="s">
        <v>903</v>
      </c>
      <c r="G891" s="3">
        <v>1.0</v>
      </c>
      <c r="H891" s="3" t="b">
        <v>0</v>
      </c>
      <c r="L891" s="3" t="s">
        <v>2102</v>
      </c>
    </row>
    <row r="892" ht="15.75" customHeight="1">
      <c r="A892" s="3" t="s">
        <v>3004</v>
      </c>
      <c r="B892" s="12">
        <v>46118.0</v>
      </c>
      <c r="C892" s="3" t="s">
        <v>315</v>
      </c>
      <c r="D892" s="3" t="s">
        <v>928</v>
      </c>
      <c r="E892" s="3" t="s">
        <v>2074</v>
      </c>
      <c r="F892" s="3" t="s">
        <v>903</v>
      </c>
      <c r="G892" s="3">
        <v>1.0</v>
      </c>
      <c r="H892" s="3" t="b">
        <v>0</v>
      </c>
      <c r="L892" s="3" t="s">
        <v>2102</v>
      </c>
    </row>
    <row r="893" ht="15.75" customHeight="1">
      <c r="A893" s="3" t="s">
        <v>3005</v>
      </c>
      <c r="B893" s="12">
        <v>46118.0</v>
      </c>
      <c r="C893" s="3" t="s">
        <v>327</v>
      </c>
      <c r="D893" s="3" t="s">
        <v>928</v>
      </c>
      <c r="E893" s="3" t="s">
        <v>2074</v>
      </c>
      <c r="F893" s="3" t="s">
        <v>903</v>
      </c>
      <c r="G893" s="3">
        <v>1.0</v>
      </c>
      <c r="H893" s="3" t="b">
        <v>0</v>
      </c>
      <c r="L893" s="3" t="s">
        <v>2102</v>
      </c>
    </row>
    <row r="894" ht="15.75" customHeight="1">
      <c r="A894" s="3" t="s">
        <v>3006</v>
      </c>
      <c r="B894" s="12">
        <v>46118.0</v>
      </c>
      <c r="C894" s="3" t="s">
        <v>341</v>
      </c>
      <c r="D894" s="3" t="s">
        <v>928</v>
      </c>
      <c r="E894" s="3" t="s">
        <v>2074</v>
      </c>
      <c r="F894" s="3" t="s">
        <v>903</v>
      </c>
      <c r="G894" s="3">
        <v>1.0</v>
      </c>
      <c r="H894" s="3" t="b">
        <v>0</v>
      </c>
      <c r="L894" s="3" t="s">
        <v>2102</v>
      </c>
    </row>
    <row r="895" ht="15.75" customHeight="1">
      <c r="A895" s="3" t="s">
        <v>3007</v>
      </c>
      <c r="B895" s="12">
        <v>46118.0</v>
      </c>
      <c r="C895" s="3" t="s">
        <v>349</v>
      </c>
      <c r="D895" s="3" t="s">
        <v>928</v>
      </c>
      <c r="E895" s="3" t="s">
        <v>2074</v>
      </c>
      <c r="F895" s="3" t="s">
        <v>903</v>
      </c>
      <c r="G895" s="3">
        <v>1.0</v>
      </c>
      <c r="H895" s="3" t="b">
        <v>0</v>
      </c>
      <c r="L895" s="3" t="s">
        <v>2102</v>
      </c>
    </row>
    <row r="896" ht="15.75" customHeight="1">
      <c r="A896" s="3" t="s">
        <v>3008</v>
      </c>
      <c r="B896" s="12">
        <v>46118.0</v>
      </c>
      <c r="C896" s="3" t="s">
        <v>350</v>
      </c>
      <c r="D896" s="3" t="s">
        <v>928</v>
      </c>
      <c r="E896" s="3" t="s">
        <v>2074</v>
      </c>
      <c r="F896" s="3" t="s">
        <v>903</v>
      </c>
      <c r="G896" s="3">
        <v>1.0</v>
      </c>
      <c r="H896" s="3" t="b">
        <v>0</v>
      </c>
      <c r="L896" s="3" t="s">
        <v>2102</v>
      </c>
    </row>
    <row r="897" ht="15.75" customHeight="1">
      <c r="A897" s="3" t="s">
        <v>3009</v>
      </c>
      <c r="B897" s="12">
        <v>46118.0</v>
      </c>
      <c r="C897" s="3" t="s">
        <v>354</v>
      </c>
      <c r="D897" s="3" t="s">
        <v>928</v>
      </c>
      <c r="E897" s="3" t="s">
        <v>2074</v>
      </c>
      <c r="F897" s="3" t="s">
        <v>903</v>
      </c>
      <c r="G897" s="3">
        <v>1.0</v>
      </c>
      <c r="H897" s="3" t="b">
        <v>0</v>
      </c>
      <c r="L897" s="3" t="s">
        <v>2102</v>
      </c>
    </row>
    <row r="898" ht="15.75" customHeight="1">
      <c r="A898" s="3" t="s">
        <v>3010</v>
      </c>
      <c r="B898" s="12">
        <v>46118.0</v>
      </c>
      <c r="C898" s="3" t="s">
        <v>361</v>
      </c>
      <c r="D898" s="3" t="s">
        <v>928</v>
      </c>
      <c r="E898" s="3" t="s">
        <v>2074</v>
      </c>
      <c r="F898" s="3" t="s">
        <v>903</v>
      </c>
      <c r="G898" s="3">
        <v>1.0</v>
      </c>
      <c r="H898" s="3" t="b">
        <v>0</v>
      </c>
      <c r="L898" s="3" t="s">
        <v>2102</v>
      </c>
    </row>
    <row r="899" ht="15.75" customHeight="1">
      <c r="A899" s="3" t="s">
        <v>3011</v>
      </c>
      <c r="B899" s="12">
        <v>46118.0</v>
      </c>
      <c r="C899" s="3" t="s">
        <v>368</v>
      </c>
      <c r="D899" s="3" t="s">
        <v>928</v>
      </c>
      <c r="E899" s="3" t="s">
        <v>2074</v>
      </c>
      <c r="F899" s="3" t="s">
        <v>903</v>
      </c>
      <c r="G899" s="3">
        <v>1.0</v>
      </c>
      <c r="H899" s="3" t="b">
        <v>0</v>
      </c>
      <c r="L899" s="3" t="s">
        <v>2102</v>
      </c>
    </row>
    <row r="900" ht="15.75" customHeight="1">
      <c r="A900" s="3" t="s">
        <v>3012</v>
      </c>
      <c r="B900" s="12">
        <v>46118.0</v>
      </c>
      <c r="C900" s="3" t="s">
        <v>369</v>
      </c>
      <c r="D900" s="3" t="s">
        <v>928</v>
      </c>
      <c r="E900" s="3" t="s">
        <v>2074</v>
      </c>
      <c r="F900" s="3" t="s">
        <v>903</v>
      </c>
      <c r="G900" s="3">
        <v>1.0</v>
      </c>
      <c r="H900" s="3" t="b">
        <v>0</v>
      </c>
      <c r="L900" s="3" t="s">
        <v>2102</v>
      </c>
    </row>
    <row r="901" ht="15.75" customHeight="1">
      <c r="A901" s="3" t="s">
        <v>3013</v>
      </c>
      <c r="B901" s="12">
        <v>46118.0</v>
      </c>
      <c r="C901" s="3" t="s">
        <v>377</v>
      </c>
      <c r="D901" s="3" t="s">
        <v>928</v>
      </c>
      <c r="E901" s="3" t="s">
        <v>2074</v>
      </c>
      <c r="F901" s="3" t="s">
        <v>903</v>
      </c>
      <c r="G901" s="3">
        <v>1.0</v>
      </c>
      <c r="H901" s="3" t="b">
        <v>0</v>
      </c>
      <c r="L901" s="3" t="s">
        <v>2102</v>
      </c>
    </row>
    <row r="902" ht="15.75" customHeight="1">
      <c r="A902" s="3" t="s">
        <v>3014</v>
      </c>
      <c r="B902" s="12">
        <v>46118.0</v>
      </c>
      <c r="C902" s="3" t="s">
        <v>392</v>
      </c>
      <c r="D902" s="3" t="s">
        <v>928</v>
      </c>
      <c r="E902" s="3" t="s">
        <v>2074</v>
      </c>
      <c r="F902" s="3" t="s">
        <v>903</v>
      </c>
      <c r="G902" s="3">
        <v>1.0</v>
      </c>
      <c r="H902" s="3" t="b">
        <v>0</v>
      </c>
      <c r="L902" s="3" t="s">
        <v>2102</v>
      </c>
    </row>
    <row r="903" ht="15.75" customHeight="1">
      <c r="A903" s="3" t="s">
        <v>3015</v>
      </c>
      <c r="B903" s="12">
        <v>46118.0</v>
      </c>
      <c r="C903" s="3" t="s">
        <v>402</v>
      </c>
      <c r="D903" s="3" t="s">
        <v>928</v>
      </c>
      <c r="E903" s="3" t="s">
        <v>2074</v>
      </c>
      <c r="F903" s="3" t="s">
        <v>903</v>
      </c>
      <c r="G903" s="3">
        <v>1.0</v>
      </c>
      <c r="H903" s="3" t="b">
        <v>0</v>
      </c>
      <c r="L903" s="3" t="s">
        <v>2102</v>
      </c>
    </row>
    <row r="904" ht="15.75" customHeight="1">
      <c r="A904" s="3" t="s">
        <v>3016</v>
      </c>
      <c r="B904" s="12">
        <v>46118.0</v>
      </c>
      <c r="C904" s="3" t="s">
        <v>409</v>
      </c>
      <c r="D904" s="3" t="s">
        <v>928</v>
      </c>
      <c r="E904" s="3" t="s">
        <v>2074</v>
      </c>
      <c r="F904" s="3" t="s">
        <v>903</v>
      </c>
      <c r="G904" s="3">
        <v>1.0</v>
      </c>
      <c r="H904" s="3" t="b">
        <v>0</v>
      </c>
      <c r="L904" s="3" t="s">
        <v>2102</v>
      </c>
    </row>
    <row r="905" ht="15.75" customHeight="1">
      <c r="A905" s="3" t="s">
        <v>3017</v>
      </c>
      <c r="B905" s="12">
        <v>46118.0</v>
      </c>
      <c r="C905" s="3" t="s">
        <v>410</v>
      </c>
      <c r="D905" s="3" t="s">
        <v>928</v>
      </c>
      <c r="E905" s="3" t="s">
        <v>2074</v>
      </c>
      <c r="F905" s="3" t="s">
        <v>903</v>
      </c>
      <c r="G905" s="3">
        <v>1.0</v>
      </c>
      <c r="H905" s="3" t="b">
        <v>0</v>
      </c>
      <c r="L905" s="3" t="s">
        <v>2102</v>
      </c>
    </row>
    <row r="906" ht="15.75" customHeight="1">
      <c r="A906" s="3" t="s">
        <v>3018</v>
      </c>
      <c r="B906" s="12">
        <v>46118.0</v>
      </c>
      <c r="C906" s="3" t="s">
        <v>418</v>
      </c>
      <c r="D906" s="3" t="s">
        <v>928</v>
      </c>
      <c r="E906" s="3" t="s">
        <v>2074</v>
      </c>
      <c r="F906" s="3" t="s">
        <v>903</v>
      </c>
      <c r="G906" s="3">
        <v>1.0</v>
      </c>
      <c r="H906" s="3" t="b">
        <v>0</v>
      </c>
      <c r="L906" s="3" t="s">
        <v>2102</v>
      </c>
    </row>
    <row r="907" ht="15.75" customHeight="1">
      <c r="A907" s="3" t="s">
        <v>3019</v>
      </c>
      <c r="B907" s="12">
        <v>46118.0</v>
      </c>
      <c r="C907" s="3" t="s">
        <v>424</v>
      </c>
      <c r="D907" s="3" t="s">
        <v>928</v>
      </c>
      <c r="E907" s="3" t="s">
        <v>2074</v>
      </c>
      <c r="F907" s="3" t="s">
        <v>903</v>
      </c>
      <c r="G907" s="3">
        <v>1.0</v>
      </c>
      <c r="H907" s="3" t="b">
        <v>0</v>
      </c>
      <c r="L907" s="3" t="s">
        <v>2102</v>
      </c>
    </row>
    <row r="908" ht="15.75" customHeight="1">
      <c r="A908" s="3" t="s">
        <v>3020</v>
      </c>
      <c r="B908" s="12">
        <v>46118.0</v>
      </c>
      <c r="C908" s="3" t="s">
        <v>427</v>
      </c>
      <c r="D908" s="3" t="s">
        <v>928</v>
      </c>
      <c r="E908" s="3" t="s">
        <v>2074</v>
      </c>
      <c r="F908" s="3" t="s">
        <v>903</v>
      </c>
      <c r="G908" s="3">
        <v>1.0</v>
      </c>
      <c r="H908" s="3" t="b">
        <v>0</v>
      </c>
      <c r="L908" s="3" t="s">
        <v>2102</v>
      </c>
    </row>
    <row r="909" ht="15.75" customHeight="1">
      <c r="A909" s="3" t="s">
        <v>3021</v>
      </c>
      <c r="B909" s="12">
        <v>46118.0</v>
      </c>
      <c r="C909" s="3" t="s">
        <v>431</v>
      </c>
      <c r="D909" s="3" t="s">
        <v>928</v>
      </c>
      <c r="E909" s="3" t="s">
        <v>2074</v>
      </c>
      <c r="F909" s="3" t="s">
        <v>903</v>
      </c>
      <c r="G909" s="3">
        <v>1.0</v>
      </c>
      <c r="H909" s="3" t="b">
        <v>0</v>
      </c>
      <c r="L909" s="3" t="s">
        <v>2102</v>
      </c>
    </row>
    <row r="910" ht="15.75" customHeight="1">
      <c r="A910" s="3" t="s">
        <v>3022</v>
      </c>
      <c r="B910" s="12">
        <v>46118.0</v>
      </c>
      <c r="C910" s="3" t="s">
        <v>433</v>
      </c>
      <c r="D910" s="3" t="s">
        <v>928</v>
      </c>
      <c r="E910" s="3" t="s">
        <v>2074</v>
      </c>
      <c r="F910" s="3" t="s">
        <v>903</v>
      </c>
      <c r="G910" s="3">
        <v>1.0</v>
      </c>
      <c r="H910" s="3" t="b">
        <v>0</v>
      </c>
      <c r="L910" s="3" t="s">
        <v>2102</v>
      </c>
    </row>
    <row r="911" ht="15.75" customHeight="1">
      <c r="A911" s="3" t="s">
        <v>3023</v>
      </c>
      <c r="B911" s="12">
        <v>46118.0</v>
      </c>
      <c r="C911" s="3" t="s">
        <v>437</v>
      </c>
      <c r="D911" s="3" t="s">
        <v>928</v>
      </c>
      <c r="E911" s="3" t="s">
        <v>2074</v>
      </c>
      <c r="F911" s="3" t="s">
        <v>903</v>
      </c>
      <c r="G911" s="3">
        <v>1.0</v>
      </c>
      <c r="H911" s="3" t="b">
        <v>0</v>
      </c>
      <c r="L911" s="3" t="s">
        <v>2102</v>
      </c>
    </row>
    <row r="912" ht="15.75" customHeight="1">
      <c r="A912" s="3" t="s">
        <v>3024</v>
      </c>
      <c r="B912" s="12">
        <v>46118.0</v>
      </c>
      <c r="C912" s="3" t="s">
        <v>453</v>
      </c>
      <c r="D912" s="3" t="s">
        <v>928</v>
      </c>
      <c r="E912" s="3" t="s">
        <v>2074</v>
      </c>
      <c r="F912" s="3" t="s">
        <v>903</v>
      </c>
      <c r="G912" s="3">
        <v>1.0</v>
      </c>
      <c r="H912" s="3" t="b">
        <v>0</v>
      </c>
      <c r="L912" s="3" t="s">
        <v>2102</v>
      </c>
    </row>
    <row r="913" ht="15.75" customHeight="1">
      <c r="A913" s="3" t="s">
        <v>3025</v>
      </c>
      <c r="B913" s="12">
        <v>46118.0</v>
      </c>
      <c r="C913" s="3" t="s">
        <v>454</v>
      </c>
      <c r="D913" s="3" t="s">
        <v>928</v>
      </c>
      <c r="E913" s="3" t="s">
        <v>2074</v>
      </c>
      <c r="F913" s="3" t="s">
        <v>903</v>
      </c>
      <c r="G913" s="3">
        <v>1.0</v>
      </c>
      <c r="H913" s="3" t="b">
        <v>0</v>
      </c>
      <c r="L913" s="3" t="s">
        <v>2102</v>
      </c>
    </row>
    <row r="914" ht="15.75" customHeight="1">
      <c r="A914" s="3" t="s">
        <v>3026</v>
      </c>
      <c r="B914" s="12">
        <v>46118.0</v>
      </c>
      <c r="C914" s="3" t="s">
        <v>456</v>
      </c>
      <c r="D914" s="3" t="s">
        <v>928</v>
      </c>
      <c r="E914" s="3" t="s">
        <v>2074</v>
      </c>
      <c r="F914" s="3" t="s">
        <v>903</v>
      </c>
      <c r="G914" s="3">
        <v>1.0</v>
      </c>
      <c r="H914" s="3" t="b">
        <v>0</v>
      </c>
      <c r="L914" s="3" t="s">
        <v>2102</v>
      </c>
    </row>
    <row r="915" ht="15.75" customHeight="1">
      <c r="A915" s="3" t="s">
        <v>3027</v>
      </c>
      <c r="B915" s="12">
        <v>46118.0</v>
      </c>
      <c r="C915" s="3" t="s">
        <v>459</v>
      </c>
      <c r="D915" s="3" t="s">
        <v>928</v>
      </c>
      <c r="E915" s="3" t="s">
        <v>2074</v>
      </c>
      <c r="F915" s="3" t="s">
        <v>903</v>
      </c>
      <c r="G915" s="3">
        <v>1.0</v>
      </c>
      <c r="H915" s="3" t="b">
        <v>0</v>
      </c>
      <c r="L915" s="3" t="s">
        <v>2102</v>
      </c>
    </row>
    <row r="916" ht="15.75" customHeight="1">
      <c r="A916" s="3" t="s">
        <v>3028</v>
      </c>
      <c r="B916" s="12">
        <v>46118.0</v>
      </c>
      <c r="C916" s="3" t="s">
        <v>461</v>
      </c>
      <c r="D916" s="3" t="s">
        <v>928</v>
      </c>
      <c r="E916" s="3" t="s">
        <v>2074</v>
      </c>
      <c r="F916" s="3" t="s">
        <v>903</v>
      </c>
      <c r="G916" s="3">
        <v>1.0</v>
      </c>
      <c r="H916" s="3" t="b">
        <v>0</v>
      </c>
      <c r="L916" s="3" t="s">
        <v>2102</v>
      </c>
    </row>
    <row r="917" ht="15.75" customHeight="1">
      <c r="A917" s="3" t="s">
        <v>3029</v>
      </c>
      <c r="B917" s="12">
        <v>46118.0</v>
      </c>
      <c r="C917" s="3" t="s">
        <v>468</v>
      </c>
      <c r="D917" s="3" t="s">
        <v>928</v>
      </c>
      <c r="E917" s="3" t="s">
        <v>2074</v>
      </c>
      <c r="F917" s="3" t="s">
        <v>903</v>
      </c>
      <c r="G917" s="3">
        <v>1.0</v>
      </c>
      <c r="H917" s="3" t="b">
        <v>0</v>
      </c>
      <c r="L917" s="3" t="s">
        <v>2102</v>
      </c>
    </row>
    <row r="918" ht="15.75" customHeight="1">
      <c r="A918" s="3" t="s">
        <v>3030</v>
      </c>
      <c r="B918" s="12">
        <v>46118.0</v>
      </c>
      <c r="C918" s="3" t="s">
        <v>471</v>
      </c>
      <c r="D918" s="3" t="s">
        <v>928</v>
      </c>
      <c r="E918" s="3" t="s">
        <v>2074</v>
      </c>
      <c r="F918" s="3" t="s">
        <v>903</v>
      </c>
      <c r="G918" s="3">
        <v>1.0</v>
      </c>
      <c r="H918" s="3" t="b">
        <v>0</v>
      </c>
      <c r="L918" s="3" t="s">
        <v>2102</v>
      </c>
    </row>
    <row r="919" ht="15.75" customHeight="1">
      <c r="A919" s="3" t="s">
        <v>3031</v>
      </c>
      <c r="B919" s="12">
        <v>46118.0</v>
      </c>
      <c r="C919" s="3" t="s">
        <v>475</v>
      </c>
      <c r="D919" s="3" t="s">
        <v>928</v>
      </c>
      <c r="E919" s="3" t="s">
        <v>2074</v>
      </c>
      <c r="F919" s="3" t="s">
        <v>903</v>
      </c>
      <c r="G919" s="3">
        <v>1.0</v>
      </c>
      <c r="H919" s="3" t="b">
        <v>0</v>
      </c>
      <c r="L919" s="3" t="s">
        <v>2102</v>
      </c>
    </row>
    <row r="920" ht="15.75" customHeight="1">
      <c r="A920" s="3" t="s">
        <v>3032</v>
      </c>
      <c r="B920" s="12">
        <v>46118.0</v>
      </c>
      <c r="C920" s="3" t="s">
        <v>482</v>
      </c>
      <c r="D920" s="3" t="s">
        <v>928</v>
      </c>
      <c r="E920" s="3" t="s">
        <v>2074</v>
      </c>
      <c r="F920" s="3" t="s">
        <v>903</v>
      </c>
      <c r="G920" s="3">
        <v>1.0</v>
      </c>
      <c r="H920" s="3" t="b">
        <v>0</v>
      </c>
      <c r="L920" s="3" t="s">
        <v>2102</v>
      </c>
    </row>
    <row r="921" ht="15.75" customHeight="1">
      <c r="A921" s="3" t="s">
        <v>3033</v>
      </c>
      <c r="B921" s="12">
        <v>46118.0</v>
      </c>
      <c r="C921" s="3" t="s">
        <v>1231</v>
      </c>
      <c r="D921" s="3" t="s">
        <v>928</v>
      </c>
      <c r="E921" s="3" t="s">
        <v>2074</v>
      </c>
      <c r="F921" s="3" t="s">
        <v>903</v>
      </c>
      <c r="G921" s="3">
        <v>1.0</v>
      </c>
      <c r="H921" s="3" t="b">
        <v>0</v>
      </c>
      <c r="L921" s="3" t="s">
        <v>2102</v>
      </c>
    </row>
    <row r="922" ht="15.75" customHeight="1">
      <c r="A922" s="3" t="s">
        <v>3034</v>
      </c>
      <c r="B922" s="12">
        <v>46118.0</v>
      </c>
      <c r="C922" s="3" t="s">
        <v>495</v>
      </c>
      <c r="D922" s="3" t="s">
        <v>928</v>
      </c>
      <c r="E922" s="3" t="s">
        <v>2074</v>
      </c>
      <c r="F922" s="3" t="s">
        <v>903</v>
      </c>
      <c r="G922" s="3">
        <v>1.0</v>
      </c>
      <c r="H922" s="3" t="b">
        <v>0</v>
      </c>
      <c r="L922" s="3" t="s">
        <v>2102</v>
      </c>
    </row>
    <row r="923" ht="15.75" customHeight="1">
      <c r="A923" s="3" t="s">
        <v>3035</v>
      </c>
      <c r="B923" s="12">
        <v>46118.0</v>
      </c>
      <c r="C923" s="3" t="s">
        <v>501</v>
      </c>
      <c r="D923" s="3" t="s">
        <v>928</v>
      </c>
      <c r="E923" s="3" t="s">
        <v>2074</v>
      </c>
      <c r="F923" s="3" t="s">
        <v>903</v>
      </c>
      <c r="G923" s="3">
        <v>1.0</v>
      </c>
      <c r="H923" s="3" t="b">
        <v>0</v>
      </c>
      <c r="L923" s="3" t="s">
        <v>2102</v>
      </c>
    </row>
    <row r="924" ht="15.75" customHeight="1">
      <c r="A924" s="3" t="s">
        <v>3036</v>
      </c>
      <c r="B924" s="12">
        <v>46118.0</v>
      </c>
      <c r="C924" s="3" t="s">
        <v>517</v>
      </c>
      <c r="D924" s="3" t="s">
        <v>928</v>
      </c>
      <c r="E924" s="3" t="s">
        <v>2074</v>
      </c>
      <c r="F924" s="3" t="s">
        <v>903</v>
      </c>
      <c r="G924" s="3">
        <v>1.0</v>
      </c>
      <c r="H924" s="3" t="b">
        <v>0</v>
      </c>
      <c r="L924" s="3" t="s">
        <v>2102</v>
      </c>
    </row>
    <row r="925" ht="15.75" customHeight="1">
      <c r="A925" s="3" t="s">
        <v>3037</v>
      </c>
      <c r="B925" s="12">
        <v>46118.0</v>
      </c>
      <c r="C925" s="3" t="s">
        <v>523</v>
      </c>
      <c r="D925" s="3" t="s">
        <v>928</v>
      </c>
      <c r="E925" s="3" t="s">
        <v>2074</v>
      </c>
      <c r="F925" s="3" t="s">
        <v>903</v>
      </c>
      <c r="G925" s="3">
        <v>1.0</v>
      </c>
      <c r="H925" s="3" t="b">
        <v>0</v>
      </c>
      <c r="L925" s="3" t="s">
        <v>2102</v>
      </c>
    </row>
    <row r="926" ht="15.75" customHeight="1">
      <c r="A926" s="3" t="s">
        <v>3038</v>
      </c>
      <c r="B926" s="12">
        <v>46118.0</v>
      </c>
      <c r="C926" s="3" t="s">
        <v>538</v>
      </c>
      <c r="D926" s="3" t="s">
        <v>928</v>
      </c>
      <c r="E926" s="3" t="s">
        <v>2074</v>
      </c>
      <c r="F926" s="3" t="s">
        <v>903</v>
      </c>
      <c r="G926" s="3">
        <v>1.0</v>
      </c>
      <c r="H926" s="3" t="b">
        <v>0</v>
      </c>
      <c r="L926" s="3" t="s">
        <v>2102</v>
      </c>
    </row>
    <row r="927" ht="15.75" customHeight="1">
      <c r="A927" s="3" t="s">
        <v>3039</v>
      </c>
      <c r="B927" s="12">
        <v>46118.0</v>
      </c>
      <c r="C927" s="3" t="s">
        <v>552</v>
      </c>
      <c r="D927" s="3" t="s">
        <v>928</v>
      </c>
      <c r="E927" s="3" t="s">
        <v>2074</v>
      </c>
      <c r="F927" s="3" t="s">
        <v>903</v>
      </c>
      <c r="G927" s="3">
        <v>1.0</v>
      </c>
      <c r="H927" s="3" t="b">
        <v>0</v>
      </c>
      <c r="L927" s="3" t="s">
        <v>2102</v>
      </c>
    </row>
    <row r="928" ht="15.75" customHeight="1">
      <c r="A928" s="3" t="s">
        <v>3040</v>
      </c>
      <c r="B928" s="12">
        <v>46118.0</v>
      </c>
      <c r="C928" s="3" t="s">
        <v>559</v>
      </c>
      <c r="D928" s="3" t="s">
        <v>928</v>
      </c>
      <c r="E928" s="3" t="s">
        <v>2074</v>
      </c>
      <c r="F928" s="3" t="s">
        <v>903</v>
      </c>
      <c r="G928" s="3">
        <v>1.0</v>
      </c>
      <c r="H928" s="3" t="b">
        <v>0</v>
      </c>
      <c r="L928" s="3" t="s">
        <v>2102</v>
      </c>
    </row>
    <row r="929" ht="15.75" customHeight="1">
      <c r="A929" s="3" t="s">
        <v>3041</v>
      </c>
      <c r="B929" s="12">
        <v>46118.0</v>
      </c>
      <c r="C929" s="3" t="s">
        <v>563</v>
      </c>
      <c r="D929" s="3" t="s">
        <v>928</v>
      </c>
      <c r="E929" s="3" t="s">
        <v>2074</v>
      </c>
      <c r="F929" s="3" t="s">
        <v>903</v>
      </c>
      <c r="G929" s="3">
        <v>1.0</v>
      </c>
      <c r="H929" s="3" t="b">
        <v>0</v>
      </c>
      <c r="L929" s="3" t="s">
        <v>2102</v>
      </c>
    </row>
    <row r="930" ht="15.75" customHeight="1">
      <c r="A930" s="3" t="s">
        <v>3042</v>
      </c>
      <c r="B930" s="12">
        <v>46118.0</v>
      </c>
      <c r="C930" s="3" t="s">
        <v>565</v>
      </c>
      <c r="D930" s="3" t="s">
        <v>928</v>
      </c>
      <c r="E930" s="3" t="s">
        <v>2074</v>
      </c>
      <c r="F930" s="3" t="s">
        <v>903</v>
      </c>
      <c r="G930" s="3">
        <v>1.0</v>
      </c>
      <c r="H930" s="3" t="b">
        <v>0</v>
      </c>
      <c r="L930" s="3" t="s">
        <v>2102</v>
      </c>
    </row>
    <row r="931" ht="15.75" customHeight="1">
      <c r="A931" s="3" t="s">
        <v>3043</v>
      </c>
      <c r="B931" s="12">
        <v>46118.0</v>
      </c>
      <c r="C931" s="3" t="s">
        <v>567</v>
      </c>
      <c r="D931" s="3" t="s">
        <v>928</v>
      </c>
      <c r="E931" s="3" t="s">
        <v>2074</v>
      </c>
      <c r="F931" s="3" t="s">
        <v>903</v>
      </c>
      <c r="G931" s="3">
        <v>1.0</v>
      </c>
      <c r="H931" s="3" t="b">
        <v>0</v>
      </c>
      <c r="L931" s="3" t="s">
        <v>2102</v>
      </c>
    </row>
    <row r="932" ht="15.75" customHeight="1">
      <c r="A932" s="3" t="s">
        <v>3044</v>
      </c>
      <c r="B932" s="12">
        <v>46118.0</v>
      </c>
      <c r="C932" s="3" t="s">
        <v>569</v>
      </c>
      <c r="D932" s="3" t="s">
        <v>928</v>
      </c>
      <c r="E932" s="3" t="s">
        <v>2074</v>
      </c>
      <c r="F932" s="3" t="s">
        <v>903</v>
      </c>
      <c r="G932" s="3">
        <v>1.0</v>
      </c>
      <c r="H932" s="3" t="b">
        <v>0</v>
      </c>
      <c r="L932" s="3" t="s">
        <v>2102</v>
      </c>
    </row>
    <row r="933" ht="15.75" customHeight="1">
      <c r="A933" s="3" t="s">
        <v>3045</v>
      </c>
      <c r="B933" s="12">
        <v>46118.0</v>
      </c>
      <c r="C933" s="3" t="s">
        <v>572</v>
      </c>
      <c r="D933" s="3" t="s">
        <v>928</v>
      </c>
      <c r="E933" s="3" t="s">
        <v>2074</v>
      </c>
      <c r="F933" s="3" t="s">
        <v>903</v>
      </c>
      <c r="G933" s="3">
        <v>1.0</v>
      </c>
      <c r="H933" s="3" t="b">
        <v>0</v>
      </c>
      <c r="L933" s="3" t="s">
        <v>2102</v>
      </c>
    </row>
    <row r="934" ht="15.75" customHeight="1">
      <c r="A934" s="3" t="s">
        <v>3046</v>
      </c>
      <c r="B934" s="12">
        <v>46118.0</v>
      </c>
      <c r="C934" s="3" t="s">
        <v>582</v>
      </c>
      <c r="D934" s="3" t="s">
        <v>928</v>
      </c>
      <c r="E934" s="3" t="s">
        <v>2074</v>
      </c>
      <c r="F934" s="3" t="s">
        <v>903</v>
      </c>
      <c r="G934" s="3">
        <v>1.0</v>
      </c>
      <c r="H934" s="3" t="b">
        <v>0</v>
      </c>
      <c r="L934" s="3" t="s">
        <v>2102</v>
      </c>
    </row>
    <row r="935" ht="15.75" customHeight="1">
      <c r="A935" s="3" t="s">
        <v>3047</v>
      </c>
      <c r="B935" s="12">
        <v>46118.0</v>
      </c>
      <c r="C935" s="3" t="s">
        <v>591</v>
      </c>
      <c r="D935" s="3" t="s">
        <v>928</v>
      </c>
      <c r="E935" s="3" t="s">
        <v>2074</v>
      </c>
      <c r="F935" s="3" t="s">
        <v>903</v>
      </c>
      <c r="G935" s="3">
        <v>1.0</v>
      </c>
      <c r="H935" s="3" t="b">
        <v>0</v>
      </c>
      <c r="L935" s="3" t="s">
        <v>2102</v>
      </c>
    </row>
    <row r="936" ht="15.75" customHeight="1">
      <c r="A936" s="3" t="s">
        <v>3048</v>
      </c>
      <c r="B936" s="12">
        <v>46118.0</v>
      </c>
      <c r="C936" s="3" t="s">
        <v>595</v>
      </c>
      <c r="D936" s="3" t="s">
        <v>928</v>
      </c>
      <c r="E936" s="3" t="s">
        <v>2074</v>
      </c>
      <c r="F936" s="3" t="s">
        <v>903</v>
      </c>
      <c r="G936" s="3">
        <v>1.0</v>
      </c>
      <c r="H936" s="3" t="b">
        <v>0</v>
      </c>
      <c r="L936" s="3" t="s">
        <v>2102</v>
      </c>
    </row>
    <row r="937" ht="15.75" customHeight="1">
      <c r="A937" s="3" t="s">
        <v>3049</v>
      </c>
      <c r="B937" s="12">
        <v>46118.0</v>
      </c>
      <c r="C937" s="3" t="s">
        <v>596</v>
      </c>
      <c r="D937" s="3" t="s">
        <v>928</v>
      </c>
      <c r="E937" s="3" t="s">
        <v>2074</v>
      </c>
      <c r="F937" s="3" t="s">
        <v>903</v>
      </c>
      <c r="G937" s="3">
        <v>1.0</v>
      </c>
      <c r="H937" s="3" t="b">
        <v>0</v>
      </c>
      <c r="L937" s="3" t="s">
        <v>2102</v>
      </c>
    </row>
    <row r="938" ht="15.75" customHeight="1">
      <c r="A938" s="3" t="s">
        <v>3050</v>
      </c>
      <c r="B938" s="12">
        <v>46118.0</v>
      </c>
      <c r="C938" s="3" t="s">
        <v>606</v>
      </c>
      <c r="D938" s="3" t="s">
        <v>928</v>
      </c>
      <c r="E938" s="3" t="s">
        <v>2074</v>
      </c>
      <c r="F938" s="3" t="s">
        <v>903</v>
      </c>
      <c r="G938" s="3">
        <v>1.0</v>
      </c>
      <c r="H938" s="3" t="b">
        <v>0</v>
      </c>
      <c r="L938" s="3" t="s">
        <v>2102</v>
      </c>
    </row>
    <row r="939" ht="15.75" customHeight="1">
      <c r="A939" s="3" t="s">
        <v>3051</v>
      </c>
      <c r="B939" s="12">
        <v>46118.0</v>
      </c>
      <c r="C939" s="3" t="s">
        <v>612</v>
      </c>
      <c r="D939" s="3" t="s">
        <v>928</v>
      </c>
      <c r="E939" s="3" t="s">
        <v>2074</v>
      </c>
      <c r="F939" s="3" t="s">
        <v>903</v>
      </c>
      <c r="G939" s="3">
        <v>1.0</v>
      </c>
      <c r="H939" s="3" t="b">
        <v>0</v>
      </c>
      <c r="L939" s="3" t="s">
        <v>2102</v>
      </c>
    </row>
    <row r="940" ht="15.75" customHeight="1">
      <c r="A940" s="3" t="s">
        <v>3052</v>
      </c>
      <c r="B940" s="12">
        <v>46118.0</v>
      </c>
      <c r="C940" s="3" t="s">
        <v>621</v>
      </c>
      <c r="D940" s="3" t="s">
        <v>928</v>
      </c>
      <c r="E940" s="3" t="s">
        <v>2074</v>
      </c>
      <c r="F940" s="3" t="s">
        <v>903</v>
      </c>
      <c r="G940" s="3">
        <v>1.0</v>
      </c>
      <c r="H940" s="3" t="b">
        <v>0</v>
      </c>
      <c r="L940" s="3" t="s">
        <v>2102</v>
      </c>
    </row>
    <row r="941" ht="15.75" customHeight="1">
      <c r="A941" s="3" t="s">
        <v>3053</v>
      </c>
      <c r="B941" s="12">
        <v>46118.0</v>
      </c>
      <c r="C941" s="3" t="s">
        <v>630</v>
      </c>
      <c r="D941" s="3" t="s">
        <v>928</v>
      </c>
      <c r="E941" s="3" t="s">
        <v>2074</v>
      </c>
      <c r="F941" s="3" t="s">
        <v>903</v>
      </c>
      <c r="G941" s="3">
        <v>1.0</v>
      </c>
      <c r="H941" s="3" t="b">
        <v>0</v>
      </c>
      <c r="L941" s="3" t="s">
        <v>2102</v>
      </c>
    </row>
    <row r="942" ht="15.75" customHeight="1">
      <c r="A942" s="3" t="s">
        <v>3054</v>
      </c>
      <c r="B942" s="12">
        <v>46118.0</v>
      </c>
      <c r="C942" s="3" t="s">
        <v>637</v>
      </c>
      <c r="D942" s="3" t="s">
        <v>928</v>
      </c>
      <c r="E942" s="3" t="s">
        <v>2074</v>
      </c>
      <c r="F942" s="3" t="s">
        <v>903</v>
      </c>
      <c r="G942" s="3">
        <v>1.0</v>
      </c>
      <c r="H942" s="3" t="b">
        <v>0</v>
      </c>
      <c r="L942" s="3" t="s">
        <v>2102</v>
      </c>
    </row>
    <row r="943" ht="15.75" customHeight="1">
      <c r="A943" s="3" t="s">
        <v>3055</v>
      </c>
      <c r="B943" s="12">
        <v>46118.0</v>
      </c>
      <c r="C943" s="3" t="s">
        <v>638</v>
      </c>
      <c r="D943" s="3" t="s">
        <v>928</v>
      </c>
      <c r="E943" s="3" t="s">
        <v>2074</v>
      </c>
      <c r="F943" s="3" t="s">
        <v>903</v>
      </c>
      <c r="G943" s="3">
        <v>1.0</v>
      </c>
      <c r="H943" s="3" t="b">
        <v>0</v>
      </c>
      <c r="L943" s="3" t="s">
        <v>2102</v>
      </c>
    </row>
    <row r="944" ht="15.75" customHeight="1">
      <c r="A944" s="3" t="s">
        <v>3056</v>
      </c>
      <c r="B944" s="12">
        <v>46118.0</v>
      </c>
      <c r="C944" s="3" t="s">
        <v>643</v>
      </c>
      <c r="D944" s="3" t="s">
        <v>928</v>
      </c>
      <c r="E944" s="3" t="s">
        <v>2074</v>
      </c>
      <c r="F944" s="3" t="s">
        <v>903</v>
      </c>
      <c r="G944" s="3">
        <v>1.0</v>
      </c>
      <c r="H944" s="3" t="b">
        <v>0</v>
      </c>
      <c r="L944" s="3" t="s">
        <v>2102</v>
      </c>
    </row>
    <row r="945" ht="15.75" customHeight="1">
      <c r="A945" s="3" t="s">
        <v>3057</v>
      </c>
      <c r="B945" s="12">
        <v>46118.0</v>
      </c>
      <c r="C945" s="3" t="s">
        <v>644</v>
      </c>
      <c r="D945" s="3" t="s">
        <v>928</v>
      </c>
      <c r="E945" s="3" t="s">
        <v>2074</v>
      </c>
      <c r="F945" s="3" t="s">
        <v>903</v>
      </c>
      <c r="G945" s="3">
        <v>1.0</v>
      </c>
      <c r="H945" s="3" t="b">
        <v>0</v>
      </c>
      <c r="L945" s="3" t="s">
        <v>2102</v>
      </c>
    </row>
    <row r="946" ht="15.75" customHeight="1">
      <c r="A946" s="3" t="s">
        <v>3058</v>
      </c>
      <c r="B946" s="12">
        <v>46118.0</v>
      </c>
      <c r="C946" s="3" t="s">
        <v>646</v>
      </c>
      <c r="D946" s="3" t="s">
        <v>928</v>
      </c>
      <c r="E946" s="3" t="s">
        <v>2074</v>
      </c>
      <c r="F946" s="3" t="s">
        <v>903</v>
      </c>
      <c r="G946" s="3">
        <v>1.0</v>
      </c>
      <c r="H946" s="3" t="b">
        <v>0</v>
      </c>
      <c r="L946" s="3" t="s">
        <v>2102</v>
      </c>
    </row>
    <row r="947" ht="15.75" customHeight="1">
      <c r="A947" s="3" t="s">
        <v>3059</v>
      </c>
      <c r="B947" s="12">
        <v>46118.0</v>
      </c>
      <c r="C947" s="3" t="s">
        <v>647</v>
      </c>
      <c r="D947" s="3" t="s">
        <v>928</v>
      </c>
      <c r="E947" s="3" t="s">
        <v>2074</v>
      </c>
      <c r="F947" s="3" t="s">
        <v>903</v>
      </c>
      <c r="G947" s="3">
        <v>1.0</v>
      </c>
      <c r="H947" s="3" t="b">
        <v>0</v>
      </c>
      <c r="L947" s="3" t="s">
        <v>2102</v>
      </c>
    </row>
    <row r="948" ht="15.75" customHeight="1">
      <c r="A948" s="3" t="s">
        <v>3060</v>
      </c>
      <c r="B948" s="12">
        <v>46118.0</v>
      </c>
      <c r="C948" s="3" t="s">
        <v>651</v>
      </c>
      <c r="D948" s="3" t="s">
        <v>928</v>
      </c>
      <c r="E948" s="3" t="s">
        <v>2074</v>
      </c>
      <c r="F948" s="3" t="s">
        <v>903</v>
      </c>
      <c r="G948" s="3">
        <v>1.0</v>
      </c>
      <c r="H948" s="3" t="b">
        <v>0</v>
      </c>
      <c r="L948" s="3" t="s">
        <v>2102</v>
      </c>
    </row>
    <row r="949" ht="15.75" customHeight="1">
      <c r="A949" s="3" t="s">
        <v>3061</v>
      </c>
      <c r="B949" s="12">
        <v>46118.0</v>
      </c>
      <c r="C949" s="3" t="s">
        <v>653</v>
      </c>
      <c r="D949" s="3" t="s">
        <v>928</v>
      </c>
      <c r="E949" s="3" t="s">
        <v>2074</v>
      </c>
      <c r="F949" s="3" t="s">
        <v>903</v>
      </c>
      <c r="G949" s="3">
        <v>1.0</v>
      </c>
      <c r="H949" s="3" t="b">
        <v>0</v>
      </c>
      <c r="L949" s="3" t="s">
        <v>2102</v>
      </c>
    </row>
    <row r="950" ht="15.75" customHeight="1">
      <c r="A950" s="3" t="s">
        <v>3062</v>
      </c>
      <c r="B950" s="12">
        <v>46118.0</v>
      </c>
      <c r="C950" s="3" t="s">
        <v>656</v>
      </c>
      <c r="D950" s="3" t="s">
        <v>928</v>
      </c>
      <c r="E950" s="3" t="s">
        <v>2074</v>
      </c>
      <c r="F950" s="3" t="s">
        <v>903</v>
      </c>
      <c r="G950" s="3">
        <v>1.0</v>
      </c>
      <c r="H950" s="3" t="b">
        <v>0</v>
      </c>
      <c r="L950" s="3" t="s">
        <v>2102</v>
      </c>
    </row>
    <row r="951" ht="15.75" customHeight="1">
      <c r="A951" s="3" t="s">
        <v>3063</v>
      </c>
      <c r="B951" s="12">
        <v>46118.0</v>
      </c>
      <c r="C951" s="3" t="s">
        <v>657</v>
      </c>
      <c r="D951" s="3" t="s">
        <v>928</v>
      </c>
      <c r="E951" s="3" t="s">
        <v>2074</v>
      </c>
      <c r="F951" s="3" t="s">
        <v>903</v>
      </c>
      <c r="G951" s="3">
        <v>1.0</v>
      </c>
      <c r="H951" s="3" t="b">
        <v>0</v>
      </c>
      <c r="L951" s="3" t="s">
        <v>2102</v>
      </c>
    </row>
    <row r="952" ht="15.75" customHeight="1">
      <c r="A952" s="3" t="s">
        <v>3064</v>
      </c>
      <c r="B952" s="12">
        <v>46118.0</v>
      </c>
      <c r="C952" s="3" t="s">
        <v>659</v>
      </c>
      <c r="D952" s="3" t="s">
        <v>928</v>
      </c>
      <c r="E952" s="3" t="s">
        <v>2074</v>
      </c>
      <c r="F952" s="3" t="s">
        <v>903</v>
      </c>
      <c r="G952" s="3">
        <v>1.0</v>
      </c>
      <c r="H952" s="3" t="b">
        <v>0</v>
      </c>
      <c r="L952" s="3" t="s">
        <v>2102</v>
      </c>
    </row>
    <row r="953" ht="15.75" customHeight="1">
      <c r="A953" s="3" t="s">
        <v>3065</v>
      </c>
      <c r="B953" s="12">
        <v>46118.0</v>
      </c>
      <c r="C953" s="3" t="s">
        <v>663</v>
      </c>
      <c r="D953" s="3" t="s">
        <v>928</v>
      </c>
      <c r="E953" s="3" t="s">
        <v>2074</v>
      </c>
      <c r="F953" s="3" t="s">
        <v>903</v>
      </c>
      <c r="G953" s="3">
        <v>1.0</v>
      </c>
      <c r="H953" s="3" t="b">
        <v>0</v>
      </c>
      <c r="L953" s="3" t="s">
        <v>2102</v>
      </c>
    </row>
    <row r="954" ht="15.75" customHeight="1">
      <c r="A954" s="3" t="s">
        <v>3066</v>
      </c>
      <c r="B954" s="12">
        <v>46118.0</v>
      </c>
      <c r="C954" s="3" t="s">
        <v>674</v>
      </c>
      <c r="D954" s="3" t="s">
        <v>928</v>
      </c>
      <c r="E954" s="3" t="s">
        <v>2074</v>
      </c>
      <c r="F954" s="3" t="s">
        <v>903</v>
      </c>
      <c r="G954" s="3">
        <v>1.0</v>
      </c>
      <c r="H954" s="3" t="b">
        <v>0</v>
      </c>
      <c r="L954" s="3" t="s">
        <v>2102</v>
      </c>
    </row>
    <row r="955" ht="15.75" customHeight="1">
      <c r="A955" s="3" t="s">
        <v>3067</v>
      </c>
      <c r="B955" s="12">
        <v>46118.0</v>
      </c>
      <c r="C955" s="3" t="s">
        <v>2770</v>
      </c>
      <c r="D955" s="3" t="s">
        <v>928</v>
      </c>
      <c r="E955" s="3" t="s">
        <v>2074</v>
      </c>
      <c r="F955" s="3" t="s">
        <v>903</v>
      </c>
      <c r="G955" s="3">
        <v>1.0</v>
      </c>
      <c r="H955" s="3" t="b">
        <v>0</v>
      </c>
      <c r="L955" s="3" t="s">
        <v>2102</v>
      </c>
    </row>
    <row r="956" ht="15.75" customHeight="1">
      <c r="A956" s="3" t="s">
        <v>3068</v>
      </c>
      <c r="B956" s="12">
        <v>46118.0</v>
      </c>
      <c r="C956" s="3" t="s">
        <v>692</v>
      </c>
      <c r="D956" s="3" t="s">
        <v>928</v>
      </c>
      <c r="E956" s="3" t="s">
        <v>2074</v>
      </c>
      <c r="F956" s="3" t="s">
        <v>903</v>
      </c>
      <c r="G956" s="3">
        <v>1.0</v>
      </c>
      <c r="H956" s="3" t="b">
        <v>0</v>
      </c>
      <c r="L956" s="3" t="s">
        <v>2102</v>
      </c>
    </row>
    <row r="957" ht="15.75" customHeight="1">
      <c r="A957" s="3" t="s">
        <v>3069</v>
      </c>
      <c r="B957" s="12">
        <v>46118.0</v>
      </c>
      <c r="C957" s="3" t="s">
        <v>697</v>
      </c>
      <c r="D957" s="3" t="s">
        <v>928</v>
      </c>
      <c r="E957" s="3" t="s">
        <v>2074</v>
      </c>
      <c r="F957" s="3" t="s">
        <v>903</v>
      </c>
      <c r="G957" s="3">
        <v>1.0</v>
      </c>
      <c r="H957" s="3" t="b">
        <v>0</v>
      </c>
      <c r="L957" s="3" t="s">
        <v>2102</v>
      </c>
    </row>
    <row r="958" ht="15.75" customHeight="1">
      <c r="A958" s="3" t="s">
        <v>3070</v>
      </c>
      <c r="B958" s="12">
        <v>46118.0</v>
      </c>
      <c r="C958" s="3" t="s">
        <v>700</v>
      </c>
      <c r="D958" s="3" t="s">
        <v>928</v>
      </c>
      <c r="E958" s="3" t="s">
        <v>2074</v>
      </c>
      <c r="F958" s="3" t="s">
        <v>903</v>
      </c>
      <c r="G958" s="3">
        <v>1.0</v>
      </c>
      <c r="H958" s="3" t="b">
        <v>0</v>
      </c>
      <c r="L958" s="3" t="s">
        <v>2102</v>
      </c>
    </row>
    <row r="959" ht="15.75" customHeight="1">
      <c r="A959" s="3" t="s">
        <v>3071</v>
      </c>
      <c r="B959" s="12">
        <v>46118.0</v>
      </c>
      <c r="C959" s="3" t="s">
        <v>703</v>
      </c>
      <c r="D959" s="3" t="s">
        <v>928</v>
      </c>
      <c r="E959" s="3" t="s">
        <v>2074</v>
      </c>
      <c r="F959" s="3" t="s">
        <v>903</v>
      </c>
      <c r="G959" s="3">
        <v>1.0</v>
      </c>
      <c r="H959" s="3" t="b">
        <v>0</v>
      </c>
      <c r="L959" s="3" t="s">
        <v>2102</v>
      </c>
    </row>
    <row r="960" ht="15.75" customHeight="1">
      <c r="A960" s="3" t="s">
        <v>3072</v>
      </c>
      <c r="B960" s="12">
        <v>46118.0</v>
      </c>
      <c r="C960" s="3" t="s">
        <v>705</v>
      </c>
      <c r="D960" s="3" t="s">
        <v>928</v>
      </c>
      <c r="E960" s="3" t="s">
        <v>2074</v>
      </c>
      <c r="F960" s="3" t="s">
        <v>903</v>
      </c>
      <c r="G960" s="3">
        <v>1.0</v>
      </c>
      <c r="H960" s="3" t="b">
        <v>0</v>
      </c>
      <c r="L960" s="3" t="s">
        <v>2102</v>
      </c>
    </row>
    <row r="961" ht="15.75" customHeight="1">
      <c r="A961" s="3" t="s">
        <v>3073</v>
      </c>
      <c r="B961" s="12">
        <v>46118.0</v>
      </c>
      <c r="C961" s="3" t="s">
        <v>706</v>
      </c>
      <c r="D961" s="3" t="s">
        <v>928</v>
      </c>
      <c r="E961" s="3" t="s">
        <v>2074</v>
      </c>
      <c r="F961" s="3" t="s">
        <v>903</v>
      </c>
      <c r="G961" s="3">
        <v>1.0</v>
      </c>
      <c r="H961" s="3" t="b">
        <v>0</v>
      </c>
      <c r="L961" s="3" t="s">
        <v>2102</v>
      </c>
    </row>
    <row r="962" ht="15.75" customHeight="1">
      <c r="A962" s="3" t="s">
        <v>3074</v>
      </c>
      <c r="B962" s="12">
        <v>46118.0</v>
      </c>
      <c r="C962" s="3" t="s">
        <v>712</v>
      </c>
      <c r="D962" s="3" t="s">
        <v>928</v>
      </c>
      <c r="E962" s="3" t="s">
        <v>2074</v>
      </c>
      <c r="F962" s="3" t="s">
        <v>903</v>
      </c>
      <c r="G962" s="3">
        <v>1.0</v>
      </c>
      <c r="H962" s="3" t="b">
        <v>0</v>
      </c>
      <c r="L962" s="3" t="s">
        <v>2102</v>
      </c>
    </row>
    <row r="963" ht="15.75" customHeight="1">
      <c r="A963" s="3" t="s">
        <v>3075</v>
      </c>
      <c r="B963" s="12">
        <v>46118.0</v>
      </c>
      <c r="C963" s="3" t="s">
        <v>714</v>
      </c>
      <c r="D963" s="3" t="s">
        <v>928</v>
      </c>
      <c r="E963" s="3" t="s">
        <v>2074</v>
      </c>
      <c r="F963" s="3" t="s">
        <v>903</v>
      </c>
      <c r="G963" s="3">
        <v>1.0</v>
      </c>
      <c r="H963" s="3" t="b">
        <v>0</v>
      </c>
      <c r="L963" s="3" t="s">
        <v>2102</v>
      </c>
    </row>
    <row r="964" ht="15.75" customHeight="1">
      <c r="A964" s="3" t="s">
        <v>3076</v>
      </c>
      <c r="B964" s="12">
        <v>46118.0</v>
      </c>
      <c r="C964" s="3" t="s">
        <v>715</v>
      </c>
      <c r="D964" s="3" t="s">
        <v>928</v>
      </c>
      <c r="E964" s="3" t="s">
        <v>2074</v>
      </c>
      <c r="F964" s="3" t="s">
        <v>903</v>
      </c>
      <c r="G964" s="3">
        <v>1.0</v>
      </c>
      <c r="H964" s="3" t="b">
        <v>0</v>
      </c>
      <c r="L964" s="3" t="s">
        <v>2102</v>
      </c>
    </row>
    <row r="965" ht="15.75" customHeight="1">
      <c r="A965" s="3" t="s">
        <v>3077</v>
      </c>
      <c r="B965" s="12">
        <v>46118.0</v>
      </c>
      <c r="C965" s="3" t="s">
        <v>721</v>
      </c>
      <c r="D965" s="3" t="s">
        <v>928</v>
      </c>
      <c r="E965" s="3" t="s">
        <v>2074</v>
      </c>
      <c r="F965" s="3" t="s">
        <v>903</v>
      </c>
      <c r="G965" s="3">
        <v>1.0</v>
      </c>
      <c r="H965" s="3" t="b">
        <v>0</v>
      </c>
      <c r="L965" s="3" t="s">
        <v>2102</v>
      </c>
    </row>
    <row r="966" ht="15.75" customHeight="1">
      <c r="A966" s="3" t="s">
        <v>3078</v>
      </c>
      <c r="B966" s="12">
        <v>46118.0</v>
      </c>
      <c r="C966" s="3" t="s">
        <v>725</v>
      </c>
      <c r="D966" s="3" t="s">
        <v>928</v>
      </c>
      <c r="E966" s="3" t="s">
        <v>2074</v>
      </c>
      <c r="F966" s="3" t="s">
        <v>903</v>
      </c>
      <c r="G966" s="3">
        <v>1.0</v>
      </c>
      <c r="H966" s="3" t="b">
        <v>0</v>
      </c>
      <c r="L966" s="3" t="s">
        <v>2102</v>
      </c>
    </row>
    <row r="967" ht="15.75" customHeight="1">
      <c r="A967" s="3" t="s">
        <v>3079</v>
      </c>
      <c r="B967" s="12">
        <v>46118.0</v>
      </c>
      <c r="C967" s="3" t="s">
        <v>729</v>
      </c>
      <c r="D967" s="3" t="s">
        <v>928</v>
      </c>
      <c r="E967" s="3" t="s">
        <v>2074</v>
      </c>
      <c r="F967" s="3" t="s">
        <v>903</v>
      </c>
      <c r="G967" s="3">
        <v>1.0</v>
      </c>
      <c r="H967" s="3" t="b">
        <v>0</v>
      </c>
      <c r="L967" s="3" t="s">
        <v>2102</v>
      </c>
    </row>
    <row r="968" ht="15.75" customHeight="1">
      <c r="A968" s="3" t="s">
        <v>3080</v>
      </c>
      <c r="B968" s="12">
        <v>46118.0</v>
      </c>
      <c r="C968" s="3" t="s">
        <v>734</v>
      </c>
      <c r="D968" s="3" t="s">
        <v>928</v>
      </c>
      <c r="E968" s="3" t="s">
        <v>2074</v>
      </c>
      <c r="F968" s="3" t="s">
        <v>903</v>
      </c>
      <c r="G968" s="3">
        <v>1.0</v>
      </c>
      <c r="H968" s="3" t="b">
        <v>0</v>
      </c>
      <c r="L968" s="3" t="s">
        <v>2102</v>
      </c>
    </row>
    <row r="969" ht="15.75" customHeight="1">
      <c r="A969" s="3" t="s">
        <v>3081</v>
      </c>
      <c r="B969" s="12">
        <v>46118.0</v>
      </c>
      <c r="C969" s="3" t="s">
        <v>740</v>
      </c>
      <c r="D969" s="3" t="s">
        <v>928</v>
      </c>
      <c r="E969" s="3" t="s">
        <v>2074</v>
      </c>
      <c r="F969" s="3" t="s">
        <v>903</v>
      </c>
      <c r="G969" s="3">
        <v>1.0</v>
      </c>
      <c r="H969" s="3" t="b">
        <v>0</v>
      </c>
      <c r="L969" s="3" t="s">
        <v>2102</v>
      </c>
    </row>
    <row r="970" ht="15.75" customHeight="1">
      <c r="A970" s="3" t="s">
        <v>3082</v>
      </c>
      <c r="B970" s="12">
        <v>46118.0</v>
      </c>
      <c r="C970" s="3" t="s">
        <v>741</v>
      </c>
      <c r="D970" s="3" t="s">
        <v>928</v>
      </c>
      <c r="E970" s="3" t="s">
        <v>2074</v>
      </c>
      <c r="F970" s="3" t="s">
        <v>903</v>
      </c>
      <c r="G970" s="3">
        <v>1.0</v>
      </c>
      <c r="H970" s="3" t="b">
        <v>0</v>
      </c>
      <c r="L970" s="3" t="s">
        <v>2102</v>
      </c>
    </row>
    <row r="971" ht="15.75" customHeight="1">
      <c r="A971" s="3" t="s">
        <v>3083</v>
      </c>
      <c r="B971" s="12">
        <v>46118.0</v>
      </c>
      <c r="C971" s="3" t="s">
        <v>761</v>
      </c>
      <c r="D971" s="3" t="s">
        <v>928</v>
      </c>
      <c r="E971" s="3" t="s">
        <v>2074</v>
      </c>
      <c r="F971" s="3" t="s">
        <v>903</v>
      </c>
      <c r="G971" s="3">
        <v>1.0</v>
      </c>
      <c r="H971" s="3" t="b">
        <v>0</v>
      </c>
      <c r="L971" s="3" t="s">
        <v>2102</v>
      </c>
    </row>
    <row r="972" ht="15.75" customHeight="1">
      <c r="A972" s="3" t="s">
        <v>3084</v>
      </c>
      <c r="B972" s="12">
        <v>46118.0</v>
      </c>
      <c r="C972" s="3" t="s">
        <v>768</v>
      </c>
      <c r="D972" s="3" t="s">
        <v>928</v>
      </c>
      <c r="E972" s="3" t="s">
        <v>2074</v>
      </c>
      <c r="F972" s="3" t="s">
        <v>903</v>
      </c>
      <c r="G972" s="3">
        <v>1.0</v>
      </c>
      <c r="H972" s="3" t="b">
        <v>0</v>
      </c>
      <c r="L972" s="3" t="s">
        <v>2102</v>
      </c>
    </row>
    <row r="973" ht="15.75" customHeight="1">
      <c r="A973" s="3" t="s">
        <v>3085</v>
      </c>
      <c r="B973" s="12">
        <v>46118.0</v>
      </c>
      <c r="C973" s="3" t="s">
        <v>1248</v>
      </c>
      <c r="D973" s="3" t="s">
        <v>928</v>
      </c>
      <c r="E973" s="3" t="s">
        <v>2074</v>
      </c>
      <c r="F973" s="3" t="s">
        <v>903</v>
      </c>
      <c r="G973" s="3">
        <v>1.0</v>
      </c>
      <c r="H973" s="3" t="b">
        <v>0</v>
      </c>
      <c r="L973" s="3" t="s">
        <v>2102</v>
      </c>
    </row>
    <row r="974" ht="15.75" customHeight="1">
      <c r="A974" s="3" t="s">
        <v>3086</v>
      </c>
      <c r="B974" s="12">
        <v>46118.0</v>
      </c>
      <c r="C974" s="3" t="s">
        <v>778</v>
      </c>
      <c r="D974" s="3" t="s">
        <v>928</v>
      </c>
      <c r="E974" s="3" t="s">
        <v>2074</v>
      </c>
      <c r="F974" s="3" t="s">
        <v>903</v>
      </c>
      <c r="G974" s="3">
        <v>1.0</v>
      </c>
      <c r="H974" s="3" t="b">
        <v>0</v>
      </c>
      <c r="L974" s="3" t="s">
        <v>2102</v>
      </c>
    </row>
    <row r="975" ht="15.75" customHeight="1">
      <c r="A975" s="3" t="s">
        <v>3087</v>
      </c>
      <c r="B975" s="12">
        <v>46118.0</v>
      </c>
      <c r="C975" s="3" t="s">
        <v>785</v>
      </c>
      <c r="D975" s="3" t="s">
        <v>928</v>
      </c>
      <c r="E975" s="3" t="s">
        <v>2074</v>
      </c>
      <c r="F975" s="3" t="s">
        <v>903</v>
      </c>
      <c r="G975" s="3">
        <v>1.0</v>
      </c>
      <c r="H975" s="3" t="b">
        <v>0</v>
      </c>
      <c r="L975" s="3" t="s">
        <v>2102</v>
      </c>
    </row>
    <row r="976" ht="15.75" customHeight="1">
      <c r="A976" s="3" t="s">
        <v>3088</v>
      </c>
      <c r="B976" s="12">
        <v>46118.0</v>
      </c>
      <c r="C976" s="3" t="s">
        <v>786</v>
      </c>
      <c r="D976" s="3" t="s">
        <v>928</v>
      </c>
      <c r="E976" s="3" t="s">
        <v>2074</v>
      </c>
      <c r="F976" s="3" t="s">
        <v>903</v>
      </c>
      <c r="G976" s="3">
        <v>1.0</v>
      </c>
      <c r="H976" s="3" t="b">
        <v>0</v>
      </c>
      <c r="L976" s="3" t="s">
        <v>2102</v>
      </c>
    </row>
    <row r="977" ht="15.75" customHeight="1">
      <c r="A977" s="3" t="s">
        <v>3089</v>
      </c>
      <c r="B977" s="12">
        <v>46118.0</v>
      </c>
      <c r="C977" s="3" t="s">
        <v>790</v>
      </c>
      <c r="D977" s="3" t="s">
        <v>928</v>
      </c>
      <c r="E977" s="3" t="s">
        <v>2074</v>
      </c>
      <c r="F977" s="3" t="s">
        <v>903</v>
      </c>
      <c r="G977" s="3">
        <v>1.0</v>
      </c>
      <c r="H977" s="3" t="b">
        <v>0</v>
      </c>
      <c r="L977" s="3" t="s">
        <v>2102</v>
      </c>
    </row>
    <row r="978" ht="15.75" customHeight="1">
      <c r="A978" s="3" t="s">
        <v>3090</v>
      </c>
      <c r="B978" s="12">
        <v>46118.0</v>
      </c>
      <c r="C978" s="3" t="s">
        <v>791</v>
      </c>
      <c r="D978" s="3" t="s">
        <v>928</v>
      </c>
      <c r="E978" s="3" t="s">
        <v>2074</v>
      </c>
      <c r="F978" s="3" t="s">
        <v>903</v>
      </c>
      <c r="G978" s="3">
        <v>1.0</v>
      </c>
      <c r="H978" s="3" t="b">
        <v>0</v>
      </c>
      <c r="L978" s="3" t="s">
        <v>2102</v>
      </c>
    </row>
    <row r="979" ht="15.75" customHeight="1">
      <c r="A979" s="3" t="s">
        <v>3091</v>
      </c>
      <c r="B979" s="12">
        <v>46118.0</v>
      </c>
      <c r="C979" s="3" t="s">
        <v>2893</v>
      </c>
      <c r="D979" s="3" t="s">
        <v>928</v>
      </c>
      <c r="E979" s="3" t="s">
        <v>2074</v>
      </c>
      <c r="F979" s="3" t="s">
        <v>903</v>
      </c>
      <c r="G979" s="3">
        <v>1.0</v>
      </c>
      <c r="H979" s="3" t="b">
        <v>0</v>
      </c>
      <c r="L979" s="3" t="s">
        <v>2102</v>
      </c>
    </row>
    <row r="980" ht="15.75" customHeight="1">
      <c r="A980" s="3" t="s">
        <v>3092</v>
      </c>
      <c r="B980" s="12">
        <v>46118.0</v>
      </c>
      <c r="C980" s="3" t="s">
        <v>796</v>
      </c>
      <c r="D980" s="3" t="s">
        <v>928</v>
      </c>
      <c r="E980" s="3" t="s">
        <v>2074</v>
      </c>
      <c r="F980" s="3" t="s">
        <v>903</v>
      </c>
      <c r="G980" s="3">
        <v>1.0</v>
      </c>
      <c r="H980" s="3" t="b">
        <v>0</v>
      </c>
      <c r="L980" s="3" t="s">
        <v>2102</v>
      </c>
    </row>
    <row r="981" ht="15.75" customHeight="1">
      <c r="A981" s="3" t="s">
        <v>3093</v>
      </c>
      <c r="B981" s="12">
        <v>46118.0</v>
      </c>
      <c r="C981" s="3" t="s">
        <v>798</v>
      </c>
      <c r="D981" s="3" t="s">
        <v>928</v>
      </c>
      <c r="E981" s="3" t="s">
        <v>2074</v>
      </c>
      <c r="F981" s="3" t="s">
        <v>903</v>
      </c>
      <c r="G981" s="3">
        <v>1.0</v>
      </c>
      <c r="H981" s="3" t="b">
        <v>0</v>
      </c>
      <c r="L981" s="3" t="s">
        <v>2102</v>
      </c>
    </row>
    <row r="982" ht="15.75" customHeight="1">
      <c r="A982" s="3" t="s">
        <v>3094</v>
      </c>
      <c r="B982" s="12">
        <v>46118.0</v>
      </c>
      <c r="C982" s="3" t="s">
        <v>804</v>
      </c>
      <c r="D982" s="3" t="s">
        <v>928</v>
      </c>
      <c r="E982" s="3" t="s">
        <v>2074</v>
      </c>
      <c r="F982" s="3" t="s">
        <v>903</v>
      </c>
      <c r="G982" s="3">
        <v>1.0</v>
      </c>
      <c r="H982" s="3" t="b">
        <v>0</v>
      </c>
      <c r="L982" s="3" t="s">
        <v>2102</v>
      </c>
    </row>
    <row r="983" ht="15.75" customHeight="1">
      <c r="A983" s="3" t="s">
        <v>3095</v>
      </c>
      <c r="B983" s="12">
        <v>46118.0</v>
      </c>
      <c r="C983" s="3" t="s">
        <v>805</v>
      </c>
      <c r="D983" s="3" t="s">
        <v>928</v>
      </c>
      <c r="E983" s="3" t="s">
        <v>2074</v>
      </c>
      <c r="F983" s="3" t="s">
        <v>903</v>
      </c>
      <c r="G983" s="3">
        <v>1.0</v>
      </c>
      <c r="H983" s="3" t="b">
        <v>0</v>
      </c>
      <c r="L983" s="3" t="s">
        <v>2102</v>
      </c>
    </row>
    <row r="984" ht="15.75" customHeight="1">
      <c r="A984" s="3" t="s">
        <v>3096</v>
      </c>
      <c r="B984" s="12">
        <v>46118.0</v>
      </c>
      <c r="C984" s="3" t="s">
        <v>807</v>
      </c>
      <c r="D984" s="3" t="s">
        <v>928</v>
      </c>
      <c r="E984" s="3" t="s">
        <v>2074</v>
      </c>
      <c r="F984" s="3" t="s">
        <v>903</v>
      </c>
      <c r="G984" s="3">
        <v>1.0</v>
      </c>
      <c r="H984" s="3" t="b">
        <v>0</v>
      </c>
      <c r="L984" s="3" t="s">
        <v>2102</v>
      </c>
    </row>
    <row r="985" ht="15.75" customHeight="1">
      <c r="A985" s="3" t="s">
        <v>3097</v>
      </c>
      <c r="B985" s="12">
        <v>46118.0</v>
      </c>
      <c r="C985" s="3" t="s">
        <v>812</v>
      </c>
      <c r="D985" s="3" t="s">
        <v>928</v>
      </c>
      <c r="E985" s="3" t="s">
        <v>2074</v>
      </c>
      <c r="F985" s="3" t="s">
        <v>903</v>
      </c>
      <c r="G985" s="3">
        <v>1.0</v>
      </c>
      <c r="H985" s="3" t="b">
        <v>0</v>
      </c>
      <c r="L985" s="3" t="s">
        <v>2102</v>
      </c>
    </row>
    <row r="986" ht="15.75" customHeight="1">
      <c r="A986" s="3" t="s">
        <v>3098</v>
      </c>
      <c r="B986" s="12">
        <v>46118.0</v>
      </c>
      <c r="C986" s="3" t="s">
        <v>813</v>
      </c>
      <c r="D986" s="3" t="s">
        <v>928</v>
      </c>
      <c r="E986" s="3" t="s">
        <v>2074</v>
      </c>
      <c r="F986" s="3" t="s">
        <v>903</v>
      </c>
      <c r="G986" s="3">
        <v>1.0</v>
      </c>
      <c r="H986" s="3" t="b">
        <v>0</v>
      </c>
      <c r="L986" s="3" t="s">
        <v>2102</v>
      </c>
    </row>
    <row r="987" ht="15.75" customHeight="1">
      <c r="A987" s="3" t="s">
        <v>3099</v>
      </c>
      <c r="B987" s="12">
        <v>46118.0</v>
      </c>
      <c r="C987" s="3" t="s">
        <v>815</v>
      </c>
      <c r="D987" s="3" t="s">
        <v>928</v>
      </c>
      <c r="E987" s="3" t="s">
        <v>2074</v>
      </c>
      <c r="F987" s="3" t="s">
        <v>903</v>
      </c>
      <c r="G987" s="3">
        <v>1.0</v>
      </c>
      <c r="H987" s="3" t="b">
        <v>0</v>
      </c>
      <c r="L987" s="3" t="s">
        <v>2102</v>
      </c>
    </row>
    <row r="988" ht="15.75" customHeight="1">
      <c r="A988" s="3" t="s">
        <v>3100</v>
      </c>
      <c r="B988" s="12">
        <v>46118.0</v>
      </c>
      <c r="C988" s="3" t="s">
        <v>821</v>
      </c>
      <c r="D988" s="3" t="s">
        <v>928</v>
      </c>
      <c r="E988" s="3" t="s">
        <v>2074</v>
      </c>
      <c r="F988" s="3" t="s">
        <v>903</v>
      </c>
      <c r="G988" s="3">
        <v>1.0</v>
      </c>
      <c r="H988" s="3" t="b">
        <v>0</v>
      </c>
      <c r="L988" s="3" t="s">
        <v>2102</v>
      </c>
    </row>
    <row r="989" ht="15.75" customHeight="1">
      <c r="A989" s="3" t="s">
        <v>3101</v>
      </c>
      <c r="B989" s="12">
        <v>46118.0</v>
      </c>
      <c r="C989" s="3" t="s">
        <v>823</v>
      </c>
      <c r="D989" s="3" t="s">
        <v>928</v>
      </c>
      <c r="E989" s="3" t="s">
        <v>2074</v>
      </c>
      <c r="F989" s="3" t="s">
        <v>903</v>
      </c>
      <c r="G989" s="3">
        <v>1.0</v>
      </c>
      <c r="H989" s="3" t="b">
        <v>0</v>
      </c>
      <c r="L989" s="3" t="s">
        <v>2102</v>
      </c>
    </row>
    <row r="990" ht="15.75" customHeight="1">
      <c r="A990" s="3" t="s">
        <v>3102</v>
      </c>
      <c r="B990" s="12">
        <v>46118.0</v>
      </c>
      <c r="C990" s="3" t="s">
        <v>824</v>
      </c>
      <c r="D990" s="3" t="s">
        <v>928</v>
      </c>
      <c r="E990" s="3" t="s">
        <v>2074</v>
      </c>
      <c r="F990" s="3" t="s">
        <v>903</v>
      </c>
      <c r="G990" s="3">
        <v>1.0</v>
      </c>
      <c r="H990" s="3" t="b">
        <v>0</v>
      </c>
      <c r="L990" s="3" t="s">
        <v>2102</v>
      </c>
    </row>
    <row r="991" ht="15.75" customHeight="1">
      <c r="A991" s="3" t="s">
        <v>3103</v>
      </c>
      <c r="B991" s="12">
        <v>46118.0</v>
      </c>
      <c r="C991" s="3" t="s">
        <v>62</v>
      </c>
      <c r="D991" s="3" t="s">
        <v>930</v>
      </c>
      <c r="E991" s="3" t="s">
        <v>2074</v>
      </c>
      <c r="F991" s="3" t="s">
        <v>903</v>
      </c>
      <c r="G991" s="3">
        <v>1.0</v>
      </c>
      <c r="H991" s="3" t="b">
        <v>0</v>
      </c>
      <c r="L991" s="3" t="s">
        <v>2102</v>
      </c>
    </row>
    <row r="992" ht="15.75" customHeight="1">
      <c r="A992" s="3" t="s">
        <v>3104</v>
      </c>
      <c r="B992" s="12">
        <v>46118.0</v>
      </c>
      <c r="C992" s="3" t="s">
        <v>76</v>
      </c>
      <c r="D992" s="3" t="s">
        <v>930</v>
      </c>
      <c r="E992" s="3" t="s">
        <v>2074</v>
      </c>
      <c r="F992" s="3" t="s">
        <v>903</v>
      </c>
      <c r="G992" s="3">
        <v>1.0</v>
      </c>
      <c r="H992" s="3" t="b">
        <v>0</v>
      </c>
      <c r="L992" s="3" t="s">
        <v>2102</v>
      </c>
    </row>
    <row r="993" ht="15.75" customHeight="1">
      <c r="A993" s="3" t="s">
        <v>3105</v>
      </c>
      <c r="B993" s="12">
        <v>46118.0</v>
      </c>
      <c r="C993" s="3" t="s">
        <v>83</v>
      </c>
      <c r="D993" s="3" t="s">
        <v>930</v>
      </c>
      <c r="E993" s="3" t="s">
        <v>2074</v>
      </c>
      <c r="F993" s="3" t="s">
        <v>903</v>
      </c>
      <c r="G993" s="3">
        <v>1.0</v>
      </c>
      <c r="H993" s="3" t="b">
        <v>0</v>
      </c>
      <c r="L993" s="3" t="s">
        <v>2102</v>
      </c>
    </row>
    <row r="994" ht="15.75" customHeight="1">
      <c r="A994" s="3" t="s">
        <v>3106</v>
      </c>
      <c r="B994" s="12">
        <v>46118.0</v>
      </c>
      <c r="C994" s="3" t="s">
        <v>112</v>
      </c>
      <c r="D994" s="3" t="s">
        <v>930</v>
      </c>
      <c r="E994" s="3" t="s">
        <v>2074</v>
      </c>
      <c r="F994" s="3" t="s">
        <v>903</v>
      </c>
      <c r="G994" s="3">
        <v>1.0</v>
      </c>
      <c r="H994" s="3" t="b">
        <v>0</v>
      </c>
      <c r="L994" s="3" t="s">
        <v>2102</v>
      </c>
    </row>
    <row r="995" ht="15.75" customHeight="1">
      <c r="A995" s="3" t="s">
        <v>3107</v>
      </c>
      <c r="B995" s="12">
        <v>46118.0</v>
      </c>
      <c r="C995" s="3" t="s">
        <v>119</v>
      </c>
      <c r="D995" s="3" t="s">
        <v>930</v>
      </c>
      <c r="E995" s="3" t="s">
        <v>2074</v>
      </c>
      <c r="F995" s="3" t="s">
        <v>903</v>
      </c>
      <c r="G995" s="3">
        <v>1.0</v>
      </c>
      <c r="H995" s="3" t="b">
        <v>0</v>
      </c>
      <c r="L995" s="3" t="s">
        <v>2102</v>
      </c>
    </row>
    <row r="996" ht="15.75" customHeight="1">
      <c r="A996" s="3" t="s">
        <v>3108</v>
      </c>
      <c r="B996" s="12">
        <v>46118.0</v>
      </c>
      <c r="C996" s="3" t="s">
        <v>121</v>
      </c>
      <c r="D996" s="3" t="s">
        <v>930</v>
      </c>
      <c r="E996" s="3" t="s">
        <v>2074</v>
      </c>
      <c r="F996" s="3" t="s">
        <v>903</v>
      </c>
      <c r="G996" s="3">
        <v>1.0</v>
      </c>
      <c r="H996" s="3" t="b">
        <v>0</v>
      </c>
      <c r="L996" s="3" t="s">
        <v>2102</v>
      </c>
    </row>
    <row r="997" ht="15.75" customHeight="1">
      <c r="A997" s="3" t="s">
        <v>3109</v>
      </c>
      <c r="B997" s="12">
        <v>46118.0</v>
      </c>
      <c r="C997" s="3" t="s">
        <v>125</v>
      </c>
      <c r="D997" s="3" t="s">
        <v>930</v>
      </c>
      <c r="E997" s="3" t="s">
        <v>2074</v>
      </c>
      <c r="F997" s="3" t="s">
        <v>903</v>
      </c>
      <c r="G997" s="3">
        <v>1.0</v>
      </c>
      <c r="H997" s="3" t="b">
        <v>0</v>
      </c>
      <c r="L997" s="3" t="s">
        <v>2102</v>
      </c>
    </row>
    <row r="998" ht="15.75" customHeight="1">
      <c r="A998" s="3" t="s">
        <v>3110</v>
      </c>
      <c r="B998" s="12">
        <v>46118.0</v>
      </c>
      <c r="C998" s="3" t="s">
        <v>133</v>
      </c>
      <c r="D998" s="3" t="s">
        <v>930</v>
      </c>
      <c r="E998" s="3" t="s">
        <v>2074</v>
      </c>
      <c r="F998" s="3" t="s">
        <v>903</v>
      </c>
      <c r="G998" s="3">
        <v>1.0</v>
      </c>
      <c r="H998" s="3" t="b">
        <v>0</v>
      </c>
      <c r="L998" s="3" t="s">
        <v>2102</v>
      </c>
    </row>
    <row r="999" ht="15.75" customHeight="1">
      <c r="A999" s="3" t="s">
        <v>3111</v>
      </c>
      <c r="B999" s="12">
        <v>46118.0</v>
      </c>
      <c r="C999" s="3" t="s">
        <v>138</v>
      </c>
      <c r="D999" s="3" t="s">
        <v>930</v>
      </c>
      <c r="E999" s="3" t="s">
        <v>2074</v>
      </c>
      <c r="F999" s="3" t="s">
        <v>903</v>
      </c>
      <c r="G999" s="3">
        <v>1.0</v>
      </c>
      <c r="H999" s="3" t="b">
        <v>0</v>
      </c>
      <c r="L999" s="3" t="s">
        <v>2102</v>
      </c>
    </row>
    <row r="1000" ht="15.75" customHeight="1">
      <c r="A1000" s="3" t="s">
        <v>3112</v>
      </c>
      <c r="B1000" s="12">
        <v>46118.0</v>
      </c>
      <c r="C1000" s="3" t="s">
        <v>2278</v>
      </c>
      <c r="D1000" s="3" t="s">
        <v>930</v>
      </c>
      <c r="E1000" s="3" t="s">
        <v>2074</v>
      </c>
      <c r="F1000" s="3" t="s">
        <v>903</v>
      </c>
      <c r="G1000" s="3">
        <v>1.0</v>
      </c>
      <c r="H1000" s="3" t="b">
        <v>0</v>
      </c>
      <c r="L1000" s="3" t="s">
        <v>2102</v>
      </c>
    </row>
    <row r="1001" ht="15.75" customHeight="1">
      <c r="A1001" s="3" t="s">
        <v>3113</v>
      </c>
      <c r="B1001" s="12">
        <v>46118.0</v>
      </c>
      <c r="C1001" s="3" t="s">
        <v>144</v>
      </c>
      <c r="D1001" s="3" t="s">
        <v>930</v>
      </c>
      <c r="E1001" s="3" t="s">
        <v>2074</v>
      </c>
      <c r="F1001" s="3" t="s">
        <v>903</v>
      </c>
      <c r="G1001" s="3">
        <v>1.0</v>
      </c>
      <c r="H1001" s="3" t="b">
        <v>0</v>
      </c>
      <c r="L1001" s="3" t="s">
        <v>2102</v>
      </c>
    </row>
    <row r="1002" ht="15.75" customHeight="1">
      <c r="A1002" s="3" t="s">
        <v>3114</v>
      </c>
      <c r="B1002" s="12">
        <v>46118.0</v>
      </c>
      <c r="C1002" s="3" t="s">
        <v>151</v>
      </c>
      <c r="D1002" s="3" t="s">
        <v>930</v>
      </c>
      <c r="E1002" s="3" t="s">
        <v>2074</v>
      </c>
      <c r="F1002" s="3" t="s">
        <v>903</v>
      </c>
      <c r="G1002" s="3">
        <v>1.0</v>
      </c>
      <c r="H1002" s="3" t="b">
        <v>0</v>
      </c>
      <c r="L1002" s="3" t="s">
        <v>2102</v>
      </c>
    </row>
    <row r="1003" ht="15.75" customHeight="1">
      <c r="A1003" s="3" t="s">
        <v>3115</v>
      </c>
      <c r="B1003" s="12">
        <v>46118.0</v>
      </c>
      <c r="C1003" s="3" t="s">
        <v>155</v>
      </c>
      <c r="D1003" s="3" t="s">
        <v>930</v>
      </c>
      <c r="E1003" s="3" t="s">
        <v>2074</v>
      </c>
      <c r="F1003" s="3" t="s">
        <v>903</v>
      </c>
      <c r="G1003" s="3">
        <v>1.0</v>
      </c>
      <c r="H1003" s="3" t="b">
        <v>0</v>
      </c>
      <c r="L1003" s="3" t="s">
        <v>2102</v>
      </c>
    </row>
    <row r="1004" ht="15.75" customHeight="1">
      <c r="A1004" s="3" t="s">
        <v>3116</v>
      </c>
      <c r="B1004" s="12">
        <v>46118.0</v>
      </c>
      <c r="C1004" s="3" t="s">
        <v>165</v>
      </c>
      <c r="D1004" s="3" t="s">
        <v>930</v>
      </c>
      <c r="E1004" s="3" t="s">
        <v>2074</v>
      </c>
      <c r="F1004" s="3" t="s">
        <v>903</v>
      </c>
      <c r="G1004" s="3">
        <v>1.0</v>
      </c>
      <c r="H1004" s="3" t="b">
        <v>0</v>
      </c>
      <c r="L1004" s="3" t="s">
        <v>2102</v>
      </c>
    </row>
    <row r="1005" ht="15.75" customHeight="1">
      <c r="A1005" s="3" t="s">
        <v>3117</v>
      </c>
      <c r="B1005" s="12">
        <v>46118.0</v>
      </c>
      <c r="C1005" s="3" t="s">
        <v>168</v>
      </c>
      <c r="D1005" s="3" t="s">
        <v>930</v>
      </c>
      <c r="E1005" s="3" t="s">
        <v>2074</v>
      </c>
      <c r="F1005" s="3" t="s">
        <v>903</v>
      </c>
      <c r="G1005" s="3">
        <v>1.0</v>
      </c>
      <c r="H1005" s="3" t="b">
        <v>0</v>
      </c>
      <c r="L1005" s="3" t="s">
        <v>2102</v>
      </c>
    </row>
    <row r="1006" ht="15.75" customHeight="1">
      <c r="A1006" s="3" t="s">
        <v>3118</v>
      </c>
      <c r="B1006" s="12">
        <v>46118.0</v>
      </c>
      <c r="C1006" s="3" t="s">
        <v>179</v>
      </c>
      <c r="D1006" s="3" t="s">
        <v>930</v>
      </c>
      <c r="E1006" s="3" t="s">
        <v>2074</v>
      </c>
      <c r="F1006" s="3" t="s">
        <v>903</v>
      </c>
      <c r="G1006" s="3">
        <v>1.0</v>
      </c>
      <c r="H1006" s="3" t="b">
        <v>0</v>
      </c>
      <c r="L1006" s="3" t="s">
        <v>2102</v>
      </c>
    </row>
    <row r="1007" ht="15.75" customHeight="1">
      <c r="A1007" s="3" t="s">
        <v>3119</v>
      </c>
      <c r="B1007" s="12">
        <v>46118.0</v>
      </c>
      <c r="C1007" s="3" t="s">
        <v>182</v>
      </c>
      <c r="D1007" s="3" t="s">
        <v>930</v>
      </c>
      <c r="E1007" s="3" t="s">
        <v>2074</v>
      </c>
      <c r="F1007" s="3" t="s">
        <v>903</v>
      </c>
      <c r="G1007" s="3">
        <v>1.0</v>
      </c>
      <c r="H1007" s="3" t="b">
        <v>0</v>
      </c>
      <c r="L1007" s="3" t="s">
        <v>2102</v>
      </c>
    </row>
    <row r="1008" ht="15.75" customHeight="1">
      <c r="A1008" s="3" t="s">
        <v>3120</v>
      </c>
      <c r="B1008" s="12">
        <v>46118.0</v>
      </c>
      <c r="C1008" s="3" t="s">
        <v>200</v>
      </c>
      <c r="D1008" s="3" t="s">
        <v>930</v>
      </c>
      <c r="E1008" s="3" t="s">
        <v>2074</v>
      </c>
      <c r="F1008" s="3" t="s">
        <v>903</v>
      </c>
      <c r="G1008" s="3">
        <v>1.0</v>
      </c>
      <c r="H1008" s="3" t="b">
        <v>0</v>
      </c>
      <c r="L1008" s="3" t="s">
        <v>2102</v>
      </c>
    </row>
    <row r="1009" ht="15.75" customHeight="1">
      <c r="A1009" s="3" t="s">
        <v>3121</v>
      </c>
      <c r="B1009" s="12">
        <v>46118.0</v>
      </c>
      <c r="C1009" s="3" t="s">
        <v>205</v>
      </c>
      <c r="D1009" s="3" t="s">
        <v>930</v>
      </c>
      <c r="E1009" s="3" t="s">
        <v>2074</v>
      </c>
      <c r="F1009" s="3" t="s">
        <v>903</v>
      </c>
      <c r="G1009" s="3">
        <v>1.0</v>
      </c>
      <c r="H1009" s="3" t="b">
        <v>0</v>
      </c>
      <c r="L1009" s="3" t="s">
        <v>2102</v>
      </c>
    </row>
    <row r="1010" ht="15.75" customHeight="1">
      <c r="A1010" s="3" t="s">
        <v>3122</v>
      </c>
      <c r="B1010" s="12">
        <v>46118.0</v>
      </c>
      <c r="C1010" s="3" t="s">
        <v>214</v>
      </c>
      <c r="D1010" s="3" t="s">
        <v>930</v>
      </c>
      <c r="E1010" s="3" t="s">
        <v>2074</v>
      </c>
      <c r="F1010" s="3" t="s">
        <v>903</v>
      </c>
      <c r="G1010" s="3">
        <v>1.0</v>
      </c>
      <c r="H1010" s="3" t="b">
        <v>0</v>
      </c>
      <c r="L1010" s="3" t="s">
        <v>2102</v>
      </c>
    </row>
    <row r="1011" ht="15.75" customHeight="1">
      <c r="A1011" s="3" t="s">
        <v>3123</v>
      </c>
      <c r="B1011" s="12">
        <v>46118.0</v>
      </c>
      <c r="C1011" s="3" t="s">
        <v>225</v>
      </c>
      <c r="D1011" s="3" t="s">
        <v>930</v>
      </c>
      <c r="E1011" s="3" t="s">
        <v>2074</v>
      </c>
      <c r="F1011" s="3" t="s">
        <v>903</v>
      </c>
      <c r="G1011" s="3">
        <v>1.0</v>
      </c>
      <c r="H1011" s="3" t="b">
        <v>0</v>
      </c>
      <c r="L1011" s="3" t="s">
        <v>2102</v>
      </c>
    </row>
    <row r="1012" ht="15.75" customHeight="1">
      <c r="A1012" s="3" t="s">
        <v>3124</v>
      </c>
      <c r="B1012" s="12">
        <v>46118.0</v>
      </c>
      <c r="C1012" s="3" t="s">
        <v>228</v>
      </c>
      <c r="D1012" s="3" t="s">
        <v>930</v>
      </c>
      <c r="E1012" s="3" t="s">
        <v>2074</v>
      </c>
      <c r="F1012" s="3" t="s">
        <v>903</v>
      </c>
      <c r="G1012" s="3">
        <v>1.0</v>
      </c>
      <c r="H1012" s="3" t="b">
        <v>0</v>
      </c>
      <c r="L1012" s="3" t="s">
        <v>2102</v>
      </c>
    </row>
    <row r="1013" ht="15.75" customHeight="1">
      <c r="A1013" s="3" t="s">
        <v>3125</v>
      </c>
      <c r="B1013" s="12">
        <v>46118.0</v>
      </c>
      <c r="C1013" s="3" t="s">
        <v>229</v>
      </c>
      <c r="D1013" s="3" t="s">
        <v>930</v>
      </c>
      <c r="E1013" s="3" t="s">
        <v>2074</v>
      </c>
      <c r="F1013" s="3" t="s">
        <v>903</v>
      </c>
      <c r="G1013" s="3">
        <v>1.0</v>
      </c>
      <c r="H1013" s="3" t="b">
        <v>0</v>
      </c>
      <c r="L1013" s="3" t="s">
        <v>2102</v>
      </c>
    </row>
    <row r="1014" ht="15.75" customHeight="1">
      <c r="A1014" s="3" t="s">
        <v>3126</v>
      </c>
      <c r="B1014" s="12">
        <v>46118.0</v>
      </c>
      <c r="C1014" s="3" t="s">
        <v>231</v>
      </c>
      <c r="D1014" s="3" t="s">
        <v>930</v>
      </c>
      <c r="E1014" s="3" t="s">
        <v>2074</v>
      </c>
      <c r="F1014" s="3" t="s">
        <v>903</v>
      </c>
      <c r="G1014" s="3">
        <v>1.0</v>
      </c>
      <c r="H1014" s="3" t="b">
        <v>0</v>
      </c>
      <c r="L1014" s="3" t="s">
        <v>2102</v>
      </c>
    </row>
    <row r="1015" ht="15.75" customHeight="1">
      <c r="A1015" s="13" t="s">
        <v>3127</v>
      </c>
      <c r="B1015" s="12">
        <v>46118.0</v>
      </c>
      <c r="C1015" s="3" t="s">
        <v>232</v>
      </c>
      <c r="D1015" s="3" t="s">
        <v>930</v>
      </c>
      <c r="E1015" s="3" t="s">
        <v>2074</v>
      </c>
      <c r="F1015" s="3" t="s">
        <v>903</v>
      </c>
      <c r="G1015" s="3">
        <v>1.0</v>
      </c>
      <c r="H1015" s="3" t="b">
        <v>0</v>
      </c>
      <c r="L1015" s="3" t="s">
        <v>2102</v>
      </c>
    </row>
    <row r="1016" ht="15.75" customHeight="1">
      <c r="A1016" s="3" t="s">
        <v>3128</v>
      </c>
      <c r="B1016" s="12">
        <v>46118.0</v>
      </c>
      <c r="C1016" s="3" t="s">
        <v>235</v>
      </c>
      <c r="D1016" s="3" t="s">
        <v>930</v>
      </c>
      <c r="E1016" s="3" t="s">
        <v>2074</v>
      </c>
      <c r="F1016" s="3" t="s">
        <v>903</v>
      </c>
      <c r="G1016" s="3">
        <v>1.0</v>
      </c>
      <c r="H1016" s="3" t="b">
        <v>0</v>
      </c>
      <c r="L1016" s="3" t="s">
        <v>2102</v>
      </c>
    </row>
    <row r="1017" ht="15.75" customHeight="1">
      <c r="A1017" s="3" t="s">
        <v>3129</v>
      </c>
      <c r="B1017" s="12">
        <v>46118.0</v>
      </c>
      <c r="C1017" s="3" t="s">
        <v>237</v>
      </c>
      <c r="D1017" s="3" t="s">
        <v>930</v>
      </c>
      <c r="E1017" s="3" t="s">
        <v>2074</v>
      </c>
      <c r="F1017" s="3" t="s">
        <v>903</v>
      </c>
      <c r="G1017" s="3">
        <v>1.0</v>
      </c>
      <c r="H1017" s="3" t="b">
        <v>0</v>
      </c>
      <c r="L1017" s="3" t="s">
        <v>2102</v>
      </c>
    </row>
    <row r="1018" ht="15.75" customHeight="1">
      <c r="A1018" s="3" t="s">
        <v>3130</v>
      </c>
      <c r="B1018" s="12">
        <v>46118.0</v>
      </c>
      <c r="C1018" s="3" t="s">
        <v>246</v>
      </c>
      <c r="D1018" s="3" t="s">
        <v>930</v>
      </c>
      <c r="E1018" s="3" t="s">
        <v>2074</v>
      </c>
      <c r="F1018" s="3" t="s">
        <v>903</v>
      </c>
      <c r="G1018" s="3">
        <v>1.0</v>
      </c>
      <c r="H1018" s="3" t="b">
        <v>0</v>
      </c>
      <c r="L1018" s="3" t="s">
        <v>2102</v>
      </c>
    </row>
    <row r="1019" ht="15.75" customHeight="1">
      <c r="A1019" s="3" t="s">
        <v>3131</v>
      </c>
      <c r="B1019" s="12">
        <v>46118.0</v>
      </c>
      <c r="C1019" s="3" t="s">
        <v>249</v>
      </c>
      <c r="D1019" s="3" t="s">
        <v>930</v>
      </c>
      <c r="E1019" s="3" t="s">
        <v>2074</v>
      </c>
      <c r="F1019" s="3" t="s">
        <v>903</v>
      </c>
      <c r="G1019" s="3">
        <v>1.0</v>
      </c>
      <c r="H1019" s="3" t="b">
        <v>0</v>
      </c>
      <c r="L1019" s="3" t="s">
        <v>2102</v>
      </c>
    </row>
    <row r="1020" ht="15.75" customHeight="1">
      <c r="A1020" s="3" t="s">
        <v>3132</v>
      </c>
      <c r="B1020" s="12">
        <v>46118.0</v>
      </c>
      <c r="C1020" s="3" t="s">
        <v>256</v>
      </c>
      <c r="D1020" s="3" t="s">
        <v>930</v>
      </c>
      <c r="E1020" s="3" t="s">
        <v>2074</v>
      </c>
      <c r="F1020" s="3" t="s">
        <v>903</v>
      </c>
      <c r="G1020" s="3">
        <v>1.0</v>
      </c>
      <c r="H1020" s="3" t="b">
        <v>0</v>
      </c>
      <c r="L1020" s="3" t="s">
        <v>2102</v>
      </c>
    </row>
    <row r="1021" ht="15.75" customHeight="1">
      <c r="A1021" s="3" t="s">
        <v>3133</v>
      </c>
      <c r="B1021" s="12">
        <v>46118.0</v>
      </c>
      <c r="C1021" s="3" t="s">
        <v>261</v>
      </c>
      <c r="D1021" s="3" t="s">
        <v>930</v>
      </c>
      <c r="E1021" s="3" t="s">
        <v>2074</v>
      </c>
      <c r="F1021" s="3" t="s">
        <v>903</v>
      </c>
      <c r="G1021" s="3">
        <v>1.0</v>
      </c>
      <c r="H1021" s="3" t="b">
        <v>0</v>
      </c>
      <c r="L1021" s="3" t="s">
        <v>2102</v>
      </c>
    </row>
    <row r="1022" ht="15.75" customHeight="1">
      <c r="A1022" s="3" t="s">
        <v>3134</v>
      </c>
      <c r="B1022" s="12">
        <v>46118.0</v>
      </c>
      <c r="C1022" s="3" t="s">
        <v>274</v>
      </c>
      <c r="D1022" s="3" t="s">
        <v>930</v>
      </c>
      <c r="E1022" s="3" t="s">
        <v>2074</v>
      </c>
      <c r="F1022" s="3" t="s">
        <v>903</v>
      </c>
      <c r="G1022" s="3">
        <v>1.0</v>
      </c>
      <c r="H1022" s="3" t="b">
        <v>0</v>
      </c>
      <c r="L1022" s="3" t="s">
        <v>2102</v>
      </c>
    </row>
    <row r="1023" ht="15.75" customHeight="1">
      <c r="A1023" s="3" t="s">
        <v>3135</v>
      </c>
      <c r="B1023" s="12">
        <v>46118.0</v>
      </c>
      <c r="C1023" s="3" t="s">
        <v>276</v>
      </c>
      <c r="D1023" s="3" t="s">
        <v>930</v>
      </c>
      <c r="E1023" s="3" t="s">
        <v>2074</v>
      </c>
      <c r="F1023" s="3" t="s">
        <v>903</v>
      </c>
      <c r="G1023" s="3">
        <v>1.0</v>
      </c>
      <c r="H1023" s="3" t="b">
        <v>0</v>
      </c>
      <c r="L1023" s="3" t="s">
        <v>2102</v>
      </c>
    </row>
    <row r="1024" ht="15.75" customHeight="1">
      <c r="A1024" s="3" t="s">
        <v>3136</v>
      </c>
      <c r="B1024" s="12">
        <v>46118.0</v>
      </c>
      <c r="C1024" s="3" t="s">
        <v>283</v>
      </c>
      <c r="D1024" s="3" t="s">
        <v>930</v>
      </c>
      <c r="E1024" s="3" t="s">
        <v>2074</v>
      </c>
      <c r="F1024" s="3" t="s">
        <v>903</v>
      </c>
      <c r="G1024" s="3">
        <v>1.0</v>
      </c>
      <c r="H1024" s="3" t="b">
        <v>0</v>
      </c>
      <c r="L1024" s="3" t="s">
        <v>2102</v>
      </c>
    </row>
    <row r="1025" ht="15.75" customHeight="1">
      <c r="A1025" s="3" t="s">
        <v>3137</v>
      </c>
      <c r="B1025" s="12">
        <v>46118.0</v>
      </c>
      <c r="C1025" s="3" t="s">
        <v>285</v>
      </c>
      <c r="D1025" s="3" t="s">
        <v>930</v>
      </c>
      <c r="E1025" s="3" t="s">
        <v>2074</v>
      </c>
      <c r="F1025" s="3" t="s">
        <v>903</v>
      </c>
      <c r="G1025" s="3">
        <v>1.0</v>
      </c>
      <c r="H1025" s="3" t="b">
        <v>0</v>
      </c>
      <c r="L1025" s="3" t="s">
        <v>2102</v>
      </c>
    </row>
    <row r="1026" ht="15.75" customHeight="1">
      <c r="A1026" s="3" t="s">
        <v>3138</v>
      </c>
      <c r="B1026" s="12">
        <v>46118.0</v>
      </c>
      <c r="C1026" s="3" t="s">
        <v>293</v>
      </c>
      <c r="D1026" s="3" t="s">
        <v>930</v>
      </c>
      <c r="E1026" s="3" t="s">
        <v>2074</v>
      </c>
      <c r="F1026" s="3" t="s">
        <v>903</v>
      </c>
      <c r="G1026" s="3">
        <v>1.0</v>
      </c>
      <c r="H1026" s="3" t="b">
        <v>0</v>
      </c>
      <c r="L1026" s="3" t="s">
        <v>2102</v>
      </c>
    </row>
    <row r="1027" ht="15.75" customHeight="1">
      <c r="A1027" s="3" t="s">
        <v>3139</v>
      </c>
      <c r="B1027" s="12">
        <v>46118.0</v>
      </c>
      <c r="C1027" s="3" t="s">
        <v>296</v>
      </c>
      <c r="D1027" s="3" t="s">
        <v>930</v>
      </c>
      <c r="E1027" s="3" t="s">
        <v>2074</v>
      </c>
      <c r="F1027" s="3" t="s">
        <v>903</v>
      </c>
      <c r="G1027" s="3">
        <v>1.0</v>
      </c>
      <c r="H1027" s="3" t="b">
        <v>0</v>
      </c>
      <c r="L1027" s="3" t="s">
        <v>2102</v>
      </c>
    </row>
    <row r="1028" ht="15.75" customHeight="1">
      <c r="A1028" s="3" t="s">
        <v>3140</v>
      </c>
      <c r="B1028" s="12">
        <v>46118.0</v>
      </c>
      <c r="C1028" s="3" t="s">
        <v>299</v>
      </c>
      <c r="D1028" s="3" t="s">
        <v>930</v>
      </c>
      <c r="E1028" s="3" t="s">
        <v>2074</v>
      </c>
      <c r="F1028" s="3" t="s">
        <v>903</v>
      </c>
      <c r="G1028" s="3">
        <v>1.0</v>
      </c>
      <c r="H1028" s="3" t="b">
        <v>0</v>
      </c>
      <c r="L1028" s="3" t="s">
        <v>2102</v>
      </c>
    </row>
    <row r="1029" ht="15.75" customHeight="1">
      <c r="A1029" s="3" t="s">
        <v>3141</v>
      </c>
      <c r="B1029" s="12">
        <v>46118.0</v>
      </c>
      <c r="C1029" s="3" t="s">
        <v>300</v>
      </c>
      <c r="D1029" s="3" t="s">
        <v>930</v>
      </c>
      <c r="E1029" s="3" t="s">
        <v>2074</v>
      </c>
      <c r="F1029" s="3" t="s">
        <v>903</v>
      </c>
      <c r="G1029" s="3">
        <v>1.0</v>
      </c>
      <c r="H1029" s="3" t="b">
        <v>0</v>
      </c>
      <c r="L1029" s="3" t="s">
        <v>2102</v>
      </c>
    </row>
    <row r="1030" ht="15.75" customHeight="1">
      <c r="A1030" s="3" t="s">
        <v>3142</v>
      </c>
      <c r="B1030" s="12">
        <v>46118.0</v>
      </c>
      <c r="C1030" s="3" t="s">
        <v>301</v>
      </c>
      <c r="D1030" s="3" t="s">
        <v>930</v>
      </c>
      <c r="E1030" s="3" t="s">
        <v>2074</v>
      </c>
      <c r="F1030" s="3" t="s">
        <v>903</v>
      </c>
      <c r="G1030" s="3">
        <v>1.0</v>
      </c>
      <c r="H1030" s="3" t="b">
        <v>0</v>
      </c>
      <c r="L1030" s="3" t="s">
        <v>2102</v>
      </c>
    </row>
    <row r="1031" ht="15.75" customHeight="1">
      <c r="A1031" s="3" t="s">
        <v>3143</v>
      </c>
      <c r="B1031" s="12">
        <v>46118.0</v>
      </c>
      <c r="C1031" s="3" t="s">
        <v>302</v>
      </c>
      <c r="D1031" s="3" t="s">
        <v>930</v>
      </c>
      <c r="E1031" s="3" t="s">
        <v>2074</v>
      </c>
      <c r="F1031" s="3" t="s">
        <v>903</v>
      </c>
      <c r="G1031" s="3">
        <v>1.0</v>
      </c>
      <c r="H1031" s="3" t="b">
        <v>0</v>
      </c>
      <c r="L1031" s="3" t="s">
        <v>2102</v>
      </c>
    </row>
    <row r="1032" ht="15.75" customHeight="1">
      <c r="A1032" s="3" t="s">
        <v>3144</v>
      </c>
      <c r="B1032" s="12">
        <v>46118.0</v>
      </c>
      <c r="C1032" s="3" t="s">
        <v>308</v>
      </c>
      <c r="D1032" s="3" t="s">
        <v>930</v>
      </c>
      <c r="E1032" s="3" t="s">
        <v>2074</v>
      </c>
      <c r="F1032" s="3" t="s">
        <v>903</v>
      </c>
      <c r="G1032" s="3">
        <v>1.0</v>
      </c>
      <c r="H1032" s="3" t="b">
        <v>0</v>
      </c>
      <c r="L1032" s="3" t="s">
        <v>2102</v>
      </c>
    </row>
    <row r="1033" ht="15.75" customHeight="1">
      <c r="A1033" s="3" t="s">
        <v>3145</v>
      </c>
      <c r="B1033" s="12">
        <v>46118.0</v>
      </c>
      <c r="C1033" s="3" t="s">
        <v>309</v>
      </c>
      <c r="D1033" s="3" t="s">
        <v>930</v>
      </c>
      <c r="E1033" s="3" t="s">
        <v>2074</v>
      </c>
      <c r="F1033" s="3" t="s">
        <v>903</v>
      </c>
      <c r="G1033" s="3">
        <v>1.0</v>
      </c>
      <c r="H1033" s="3" t="b">
        <v>0</v>
      </c>
      <c r="L1033" s="3" t="s">
        <v>2102</v>
      </c>
    </row>
    <row r="1034" ht="15.75" customHeight="1">
      <c r="A1034" s="3" t="s">
        <v>3146</v>
      </c>
      <c r="B1034" s="12">
        <v>46118.0</v>
      </c>
      <c r="C1034" s="3" t="s">
        <v>314</v>
      </c>
      <c r="D1034" s="3" t="s">
        <v>930</v>
      </c>
      <c r="E1034" s="3" t="s">
        <v>2074</v>
      </c>
      <c r="F1034" s="3" t="s">
        <v>903</v>
      </c>
      <c r="G1034" s="3">
        <v>1.0</v>
      </c>
      <c r="H1034" s="3" t="b">
        <v>0</v>
      </c>
      <c r="L1034" s="3" t="s">
        <v>2102</v>
      </c>
    </row>
    <row r="1035" ht="15.75" customHeight="1">
      <c r="A1035" s="3" t="s">
        <v>3147</v>
      </c>
      <c r="B1035" s="12">
        <v>46118.0</v>
      </c>
      <c r="C1035" s="3" t="s">
        <v>318</v>
      </c>
      <c r="D1035" s="3" t="s">
        <v>930</v>
      </c>
      <c r="E1035" s="3" t="s">
        <v>2074</v>
      </c>
      <c r="F1035" s="3" t="s">
        <v>903</v>
      </c>
      <c r="G1035" s="3">
        <v>1.0</v>
      </c>
      <c r="H1035" s="3" t="b">
        <v>0</v>
      </c>
      <c r="L1035" s="3" t="s">
        <v>2102</v>
      </c>
    </row>
    <row r="1036" ht="15.75" customHeight="1">
      <c r="A1036" s="3" t="s">
        <v>3148</v>
      </c>
      <c r="B1036" s="12">
        <v>46118.0</v>
      </c>
      <c r="C1036" s="3" t="s">
        <v>321</v>
      </c>
      <c r="D1036" s="3" t="s">
        <v>930</v>
      </c>
      <c r="E1036" s="3" t="s">
        <v>2074</v>
      </c>
      <c r="F1036" s="3" t="s">
        <v>903</v>
      </c>
      <c r="G1036" s="3">
        <v>1.0</v>
      </c>
      <c r="H1036" s="3" t="b">
        <v>0</v>
      </c>
      <c r="L1036" s="3" t="s">
        <v>2102</v>
      </c>
    </row>
    <row r="1037" ht="15.75" customHeight="1">
      <c r="A1037" s="3" t="s">
        <v>3149</v>
      </c>
      <c r="B1037" s="12">
        <v>46118.0</v>
      </c>
      <c r="C1037" s="3" t="s">
        <v>324</v>
      </c>
      <c r="D1037" s="3" t="s">
        <v>930</v>
      </c>
      <c r="E1037" s="3" t="s">
        <v>2074</v>
      </c>
      <c r="F1037" s="3" t="s">
        <v>903</v>
      </c>
      <c r="G1037" s="3">
        <v>1.0</v>
      </c>
      <c r="H1037" s="3" t="b">
        <v>0</v>
      </c>
      <c r="L1037" s="3" t="s">
        <v>2102</v>
      </c>
    </row>
    <row r="1038" ht="15.75" customHeight="1">
      <c r="A1038" s="3" t="s">
        <v>3150</v>
      </c>
      <c r="B1038" s="12">
        <v>46118.0</v>
      </c>
      <c r="C1038" s="3" t="s">
        <v>326</v>
      </c>
      <c r="D1038" s="3" t="s">
        <v>930</v>
      </c>
      <c r="E1038" s="3" t="s">
        <v>2074</v>
      </c>
      <c r="F1038" s="3" t="s">
        <v>903</v>
      </c>
      <c r="G1038" s="3">
        <v>1.0</v>
      </c>
      <c r="H1038" s="3" t="b">
        <v>0</v>
      </c>
      <c r="L1038" s="3" t="s">
        <v>2102</v>
      </c>
    </row>
    <row r="1039" ht="15.75" customHeight="1">
      <c r="A1039" s="3" t="s">
        <v>3151</v>
      </c>
      <c r="B1039" s="12">
        <v>46118.0</v>
      </c>
      <c r="C1039" s="3" t="s">
        <v>328</v>
      </c>
      <c r="D1039" s="3" t="s">
        <v>930</v>
      </c>
      <c r="E1039" s="3" t="s">
        <v>2074</v>
      </c>
      <c r="F1039" s="3" t="s">
        <v>903</v>
      </c>
      <c r="G1039" s="3">
        <v>1.0</v>
      </c>
      <c r="H1039" s="3" t="b">
        <v>0</v>
      </c>
      <c r="L1039" s="3" t="s">
        <v>2102</v>
      </c>
    </row>
    <row r="1040" ht="15.75" customHeight="1">
      <c r="A1040" s="3" t="s">
        <v>3152</v>
      </c>
      <c r="B1040" s="12">
        <v>46118.0</v>
      </c>
      <c r="C1040" s="3" t="s">
        <v>336</v>
      </c>
      <c r="D1040" s="3" t="s">
        <v>930</v>
      </c>
      <c r="E1040" s="3" t="s">
        <v>2074</v>
      </c>
      <c r="F1040" s="3" t="s">
        <v>903</v>
      </c>
      <c r="G1040" s="3">
        <v>1.0</v>
      </c>
      <c r="H1040" s="3" t="b">
        <v>0</v>
      </c>
      <c r="L1040" s="3" t="s">
        <v>2102</v>
      </c>
    </row>
    <row r="1041" ht="15.75" customHeight="1">
      <c r="A1041" s="3" t="s">
        <v>3153</v>
      </c>
      <c r="B1041" s="12">
        <v>46118.0</v>
      </c>
      <c r="C1041" s="3" t="s">
        <v>338</v>
      </c>
      <c r="D1041" s="3" t="s">
        <v>930</v>
      </c>
      <c r="E1041" s="3" t="s">
        <v>2074</v>
      </c>
      <c r="F1041" s="3" t="s">
        <v>903</v>
      </c>
      <c r="G1041" s="3">
        <v>1.0</v>
      </c>
      <c r="H1041" s="3" t="b">
        <v>0</v>
      </c>
      <c r="L1041" s="3" t="s">
        <v>2102</v>
      </c>
    </row>
    <row r="1042" ht="15.75" customHeight="1">
      <c r="A1042" s="3" t="s">
        <v>3154</v>
      </c>
      <c r="B1042" s="12">
        <v>46118.0</v>
      </c>
      <c r="C1042" s="3" t="s">
        <v>345</v>
      </c>
      <c r="D1042" s="3" t="s">
        <v>930</v>
      </c>
      <c r="E1042" s="3" t="s">
        <v>2074</v>
      </c>
      <c r="F1042" s="3" t="s">
        <v>903</v>
      </c>
      <c r="G1042" s="3">
        <v>1.0</v>
      </c>
      <c r="H1042" s="3" t="b">
        <v>0</v>
      </c>
      <c r="L1042" s="3" t="s">
        <v>2102</v>
      </c>
    </row>
    <row r="1043" ht="15.75" customHeight="1">
      <c r="A1043" s="3" t="s">
        <v>3155</v>
      </c>
      <c r="B1043" s="12">
        <v>46118.0</v>
      </c>
      <c r="C1043" s="3" t="s">
        <v>346</v>
      </c>
      <c r="D1043" s="3" t="s">
        <v>930</v>
      </c>
      <c r="E1043" s="3" t="s">
        <v>2074</v>
      </c>
      <c r="F1043" s="3" t="s">
        <v>903</v>
      </c>
      <c r="G1043" s="3">
        <v>1.0</v>
      </c>
      <c r="H1043" s="3" t="b">
        <v>0</v>
      </c>
      <c r="L1043" s="3" t="s">
        <v>2102</v>
      </c>
    </row>
    <row r="1044" ht="15.75" customHeight="1">
      <c r="A1044" s="3" t="s">
        <v>3156</v>
      </c>
      <c r="B1044" s="12">
        <v>46118.0</v>
      </c>
      <c r="C1044" s="3" t="s">
        <v>353</v>
      </c>
      <c r="D1044" s="3" t="s">
        <v>930</v>
      </c>
      <c r="E1044" s="3" t="s">
        <v>2074</v>
      </c>
      <c r="F1044" s="3" t="s">
        <v>903</v>
      </c>
      <c r="G1044" s="3">
        <v>1.0</v>
      </c>
      <c r="H1044" s="3" t="b">
        <v>0</v>
      </c>
      <c r="L1044" s="3" t="s">
        <v>2102</v>
      </c>
    </row>
    <row r="1045" ht="15.75" customHeight="1">
      <c r="A1045" s="3" t="s">
        <v>3157</v>
      </c>
      <c r="B1045" s="12">
        <v>46118.0</v>
      </c>
      <c r="C1045" s="3" t="s">
        <v>366</v>
      </c>
      <c r="D1045" s="3" t="s">
        <v>930</v>
      </c>
      <c r="E1045" s="3" t="s">
        <v>2074</v>
      </c>
      <c r="F1045" s="3" t="s">
        <v>903</v>
      </c>
      <c r="G1045" s="3">
        <v>1.0</v>
      </c>
      <c r="H1045" s="3" t="b">
        <v>0</v>
      </c>
      <c r="L1045" s="3" t="s">
        <v>2102</v>
      </c>
    </row>
    <row r="1046" ht="15.75" customHeight="1">
      <c r="A1046" s="3" t="s">
        <v>3158</v>
      </c>
      <c r="B1046" s="12">
        <v>46118.0</v>
      </c>
      <c r="C1046" s="3" t="s">
        <v>372</v>
      </c>
      <c r="D1046" s="3" t="s">
        <v>930</v>
      </c>
      <c r="E1046" s="3" t="s">
        <v>2074</v>
      </c>
      <c r="F1046" s="3" t="s">
        <v>903</v>
      </c>
      <c r="G1046" s="3">
        <v>1.0</v>
      </c>
      <c r="H1046" s="3" t="b">
        <v>0</v>
      </c>
      <c r="L1046" s="3" t="s">
        <v>2102</v>
      </c>
    </row>
    <row r="1047" ht="15.75" customHeight="1">
      <c r="A1047" s="3" t="s">
        <v>3159</v>
      </c>
      <c r="B1047" s="12">
        <v>46118.0</v>
      </c>
      <c r="C1047" s="3" t="s">
        <v>375</v>
      </c>
      <c r="D1047" s="3" t="s">
        <v>930</v>
      </c>
      <c r="E1047" s="3" t="s">
        <v>2074</v>
      </c>
      <c r="F1047" s="3" t="s">
        <v>903</v>
      </c>
      <c r="G1047" s="3">
        <v>1.0</v>
      </c>
      <c r="H1047" s="3" t="b">
        <v>0</v>
      </c>
      <c r="L1047" s="3" t="s">
        <v>2102</v>
      </c>
    </row>
    <row r="1048" ht="15.75" customHeight="1">
      <c r="A1048" s="3" t="s">
        <v>3160</v>
      </c>
      <c r="B1048" s="12">
        <v>46118.0</v>
      </c>
      <c r="C1048" s="3" t="s">
        <v>2480</v>
      </c>
      <c r="D1048" s="3" t="s">
        <v>930</v>
      </c>
      <c r="E1048" s="3" t="s">
        <v>2074</v>
      </c>
      <c r="F1048" s="3" t="s">
        <v>903</v>
      </c>
      <c r="G1048" s="3">
        <v>1.0</v>
      </c>
      <c r="H1048" s="3" t="b">
        <v>0</v>
      </c>
      <c r="L1048" s="3" t="s">
        <v>2102</v>
      </c>
    </row>
    <row r="1049" ht="15.75" customHeight="1">
      <c r="A1049" s="3" t="s">
        <v>3161</v>
      </c>
      <c r="B1049" s="12">
        <v>46118.0</v>
      </c>
      <c r="C1049" s="3" t="s">
        <v>2482</v>
      </c>
      <c r="D1049" s="3" t="s">
        <v>930</v>
      </c>
      <c r="E1049" s="3" t="s">
        <v>2074</v>
      </c>
      <c r="F1049" s="3" t="s">
        <v>903</v>
      </c>
      <c r="G1049" s="3">
        <v>1.0</v>
      </c>
      <c r="H1049" s="3" t="b">
        <v>0</v>
      </c>
      <c r="L1049" s="3" t="s">
        <v>2102</v>
      </c>
    </row>
    <row r="1050" ht="15.75" customHeight="1">
      <c r="A1050" s="3" t="s">
        <v>3162</v>
      </c>
      <c r="B1050" s="12">
        <v>46118.0</v>
      </c>
      <c r="C1050" s="3" t="s">
        <v>398</v>
      </c>
      <c r="D1050" s="3" t="s">
        <v>930</v>
      </c>
      <c r="E1050" s="3" t="s">
        <v>2074</v>
      </c>
      <c r="F1050" s="3" t="s">
        <v>903</v>
      </c>
      <c r="G1050" s="3">
        <v>1.0</v>
      </c>
      <c r="H1050" s="3" t="b">
        <v>0</v>
      </c>
      <c r="L1050" s="3" t="s">
        <v>2102</v>
      </c>
    </row>
    <row r="1051" ht="15.75" customHeight="1">
      <c r="A1051" s="3" t="s">
        <v>3163</v>
      </c>
      <c r="B1051" s="12">
        <v>46118.0</v>
      </c>
      <c r="C1051" s="3" t="s">
        <v>399</v>
      </c>
      <c r="D1051" s="3" t="s">
        <v>930</v>
      </c>
      <c r="E1051" s="3" t="s">
        <v>2074</v>
      </c>
      <c r="F1051" s="3" t="s">
        <v>903</v>
      </c>
      <c r="G1051" s="3">
        <v>1.0</v>
      </c>
      <c r="H1051" s="3" t="b">
        <v>0</v>
      </c>
      <c r="L1051" s="3" t="s">
        <v>2102</v>
      </c>
    </row>
    <row r="1052" ht="15.75" customHeight="1">
      <c r="A1052" s="3" t="s">
        <v>3164</v>
      </c>
      <c r="B1052" s="12">
        <v>46118.0</v>
      </c>
      <c r="C1052" s="3" t="s">
        <v>403</v>
      </c>
      <c r="D1052" s="3" t="s">
        <v>930</v>
      </c>
      <c r="E1052" s="3" t="s">
        <v>2074</v>
      </c>
      <c r="F1052" s="3" t="s">
        <v>903</v>
      </c>
      <c r="G1052" s="3">
        <v>1.0</v>
      </c>
      <c r="H1052" s="3" t="b">
        <v>0</v>
      </c>
      <c r="L1052" s="3" t="s">
        <v>2102</v>
      </c>
    </row>
    <row r="1053" ht="15.75" customHeight="1">
      <c r="A1053" s="3" t="s">
        <v>3165</v>
      </c>
      <c r="B1053" s="12">
        <v>46118.0</v>
      </c>
      <c r="C1053" s="3" t="s">
        <v>411</v>
      </c>
      <c r="D1053" s="3" t="s">
        <v>930</v>
      </c>
      <c r="E1053" s="3" t="s">
        <v>2074</v>
      </c>
      <c r="F1053" s="3" t="s">
        <v>903</v>
      </c>
      <c r="G1053" s="3">
        <v>1.0</v>
      </c>
      <c r="H1053" s="3" t="b">
        <v>0</v>
      </c>
      <c r="L1053" s="3" t="s">
        <v>2102</v>
      </c>
    </row>
    <row r="1054" ht="15.75" customHeight="1">
      <c r="A1054" s="3" t="s">
        <v>3166</v>
      </c>
      <c r="B1054" s="12">
        <v>46118.0</v>
      </c>
      <c r="C1054" s="3" t="s">
        <v>412</v>
      </c>
      <c r="D1054" s="3" t="s">
        <v>930</v>
      </c>
      <c r="E1054" s="3" t="s">
        <v>2074</v>
      </c>
      <c r="F1054" s="3" t="s">
        <v>903</v>
      </c>
      <c r="G1054" s="3">
        <v>1.0</v>
      </c>
      <c r="H1054" s="3" t="b">
        <v>0</v>
      </c>
      <c r="L1054" s="3" t="s">
        <v>2102</v>
      </c>
    </row>
    <row r="1055" ht="15.75" customHeight="1">
      <c r="A1055" s="3" t="s">
        <v>3167</v>
      </c>
      <c r="B1055" s="12">
        <v>46118.0</v>
      </c>
      <c r="C1055" s="3" t="s">
        <v>414</v>
      </c>
      <c r="D1055" s="3" t="s">
        <v>930</v>
      </c>
      <c r="E1055" s="3" t="s">
        <v>2074</v>
      </c>
      <c r="F1055" s="3" t="s">
        <v>903</v>
      </c>
      <c r="G1055" s="3">
        <v>1.0</v>
      </c>
      <c r="H1055" s="3" t="b">
        <v>0</v>
      </c>
      <c r="L1055" s="3" t="s">
        <v>2102</v>
      </c>
    </row>
    <row r="1056" ht="15.75" customHeight="1">
      <c r="A1056" s="3" t="s">
        <v>3168</v>
      </c>
      <c r="B1056" s="12">
        <v>46118.0</v>
      </c>
      <c r="C1056" s="3" t="s">
        <v>416</v>
      </c>
      <c r="D1056" s="3" t="s">
        <v>930</v>
      </c>
      <c r="E1056" s="3" t="s">
        <v>2074</v>
      </c>
      <c r="F1056" s="3" t="s">
        <v>903</v>
      </c>
      <c r="G1056" s="3">
        <v>1.0</v>
      </c>
      <c r="H1056" s="3" t="b">
        <v>0</v>
      </c>
      <c r="L1056" s="3" t="s">
        <v>2102</v>
      </c>
    </row>
    <row r="1057" ht="15.75" customHeight="1">
      <c r="A1057" s="3" t="s">
        <v>3169</v>
      </c>
      <c r="B1057" s="12">
        <v>46118.0</v>
      </c>
      <c r="C1057" s="3" t="s">
        <v>430</v>
      </c>
      <c r="D1057" s="3" t="s">
        <v>930</v>
      </c>
      <c r="E1057" s="3" t="s">
        <v>2074</v>
      </c>
      <c r="F1057" s="3" t="s">
        <v>903</v>
      </c>
      <c r="G1057" s="3">
        <v>1.0</v>
      </c>
      <c r="H1057" s="3" t="b">
        <v>0</v>
      </c>
      <c r="L1057" s="3" t="s">
        <v>2102</v>
      </c>
    </row>
    <row r="1058" ht="15.75" customHeight="1">
      <c r="A1058" s="3" t="s">
        <v>3170</v>
      </c>
      <c r="B1058" s="12">
        <v>46118.0</v>
      </c>
      <c r="C1058" s="3" t="s">
        <v>432</v>
      </c>
      <c r="D1058" s="3" t="s">
        <v>930</v>
      </c>
      <c r="E1058" s="3" t="s">
        <v>2074</v>
      </c>
      <c r="F1058" s="3" t="s">
        <v>903</v>
      </c>
      <c r="G1058" s="3">
        <v>1.0</v>
      </c>
      <c r="H1058" s="3" t="b">
        <v>0</v>
      </c>
      <c r="L1058" s="3" t="s">
        <v>2102</v>
      </c>
    </row>
    <row r="1059" ht="15.75" customHeight="1">
      <c r="A1059" s="3" t="s">
        <v>3171</v>
      </c>
      <c r="B1059" s="12">
        <v>46118.0</v>
      </c>
      <c r="C1059" s="3" t="s">
        <v>435</v>
      </c>
      <c r="D1059" s="3" t="s">
        <v>930</v>
      </c>
      <c r="E1059" s="3" t="s">
        <v>2074</v>
      </c>
      <c r="F1059" s="3" t="s">
        <v>903</v>
      </c>
      <c r="G1059" s="3">
        <v>1.0</v>
      </c>
      <c r="H1059" s="3" t="b">
        <v>0</v>
      </c>
      <c r="L1059" s="3" t="s">
        <v>2102</v>
      </c>
    </row>
    <row r="1060" ht="15.75" customHeight="1">
      <c r="A1060" s="3" t="s">
        <v>3172</v>
      </c>
      <c r="B1060" s="12">
        <v>46118.0</v>
      </c>
      <c r="C1060" s="3" t="s">
        <v>436</v>
      </c>
      <c r="D1060" s="3" t="s">
        <v>930</v>
      </c>
      <c r="E1060" s="3" t="s">
        <v>2074</v>
      </c>
      <c r="F1060" s="3" t="s">
        <v>903</v>
      </c>
      <c r="G1060" s="3">
        <v>1.0</v>
      </c>
      <c r="H1060" s="3" t="b">
        <v>0</v>
      </c>
      <c r="L1060" s="3" t="s">
        <v>2102</v>
      </c>
    </row>
    <row r="1061" ht="15.75" customHeight="1">
      <c r="A1061" s="3" t="s">
        <v>3173</v>
      </c>
      <c r="B1061" s="12">
        <v>46118.0</v>
      </c>
      <c r="C1061" s="3" t="s">
        <v>446</v>
      </c>
      <c r="D1061" s="3" t="s">
        <v>930</v>
      </c>
      <c r="E1061" s="3" t="s">
        <v>2074</v>
      </c>
      <c r="F1061" s="3" t="s">
        <v>903</v>
      </c>
      <c r="G1061" s="3">
        <v>1.0</v>
      </c>
      <c r="H1061" s="3" t="b">
        <v>0</v>
      </c>
      <c r="L1061" s="3" t="s">
        <v>2102</v>
      </c>
    </row>
    <row r="1062" ht="15.75" customHeight="1">
      <c r="A1062" s="3" t="s">
        <v>3174</v>
      </c>
      <c r="B1062" s="12">
        <v>46118.0</v>
      </c>
      <c r="C1062" s="3" t="s">
        <v>448</v>
      </c>
      <c r="D1062" s="3" t="s">
        <v>930</v>
      </c>
      <c r="E1062" s="3" t="s">
        <v>2074</v>
      </c>
      <c r="F1062" s="3" t="s">
        <v>903</v>
      </c>
      <c r="G1062" s="3">
        <v>1.0</v>
      </c>
      <c r="H1062" s="3" t="b">
        <v>0</v>
      </c>
      <c r="L1062" s="3" t="s">
        <v>2102</v>
      </c>
    </row>
    <row r="1063" ht="15.75" customHeight="1">
      <c r="A1063" s="3" t="s">
        <v>3175</v>
      </c>
      <c r="B1063" s="12">
        <v>46118.0</v>
      </c>
      <c r="C1063" s="3" t="s">
        <v>449</v>
      </c>
      <c r="D1063" s="3" t="s">
        <v>930</v>
      </c>
      <c r="E1063" s="3" t="s">
        <v>2074</v>
      </c>
      <c r="F1063" s="3" t="s">
        <v>903</v>
      </c>
      <c r="G1063" s="3">
        <v>1.0</v>
      </c>
      <c r="H1063" s="3" t="b">
        <v>0</v>
      </c>
      <c r="L1063" s="3" t="s">
        <v>2102</v>
      </c>
    </row>
    <row r="1064" ht="15.75" customHeight="1">
      <c r="A1064" s="3" t="s">
        <v>3176</v>
      </c>
      <c r="B1064" s="12">
        <v>46118.0</v>
      </c>
      <c r="C1064" s="3" t="s">
        <v>450</v>
      </c>
      <c r="D1064" s="3" t="s">
        <v>930</v>
      </c>
      <c r="E1064" s="3" t="s">
        <v>2074</v>
      </c>
      <c r="F1064" s="3" t="s">
        <v>903</v>
      </c>
      <c r="G1064" s="3">
        <v>1.0</v>
      </c>
      <c r="H1064" s="3" t="b">
        <v>0</v>
      </c>
      <c r="L1064" s="3" t="s">
        <v>2102</v>
      </c>
    </row>
    <row r="1065" ht="15.75" customHeight="1">
      <c r="A1065" s="3" t="s">
        <v>3177</v>
      </c>
      <c r="B1065" s="12">
        <v>46118.0</v>
      </c>
      <c r="C1065" s="3" t="s">
        <v>451</v>
      </c>
      <c r="D1065" s="3" t="s">
        <v>930</v>
      </c>
      <c r="E1065" s="3" t="s">
        <v>2074</v>
      </c>
      <c r="F1065" s="3" t="s">
        <v>903</v>
      </c>
      <c r="G1065" s="3">
        <v>1.0</v>
      </c>
      <c r="H1065" s="3" t="b">
        <v>0</v>
      </c>
      <c r="L1065" s="3" t="s">
        <v>2102</v>
      </c>
    </row>
    <row r="1066" ht="15.75" customHeight="1">
      <c r="A1066" s="3" t="s">
        <v>3178</v>
      </c>
      <c r="B1066" s="12">
        <v>46118.0</v>
      </c>
      <c r="C1066" s="3" t="s">
        <v>455</v>
      </c>
      <c r="D1066" s="3" t="s">
        <v>930</v>
      </c>
      <c r="E1066" s="3" t="s">
        <v>2074</v>
      </c>
      <c r="F1066" s="3" t="s">
        <v>903</v>
      </c>
      <c r="G1066" s="3">
        <v>1.0</v>
      </c>
      <c r="H1066" s="3" t="b">
        <v>0</v>
      </c>
      <c r="L1066" s="3" t="s">
        <v>2102</v>
      </c>
    </row>
    <row r="1067" ht="15.75" customHeight="1">
      <c r="A1067" s="3" t="s">
        <v>3179</v>
      </c>
      <c r="B1067" s="12">
        <v>46118.0</v>
      </c>
      <c r="C1067" s="3" t="s">
        <v>460</v>
      </c>
      <c r="D1067" s="3" t="s">
        <v>930</v>
      </c>
      <c r="E1067" s="3" t="s">
        <v>2074</v>
      </c>
      <c r="F1067" s="3" t="s">
        <v>903</v>
      </c>
      <c r="G1067" s="3">
        <v>1.0</v>
      </c>
      <c r="H1067" s="3" t="b">
        <v>0</v>
      </c>
      <c r="L1067" s="3" t="s">
        <v>2102</v>
      </c>
    </row>
    <row r="1068" ht="15.75" customHeight="1">
      <c r="A1068" s="3" t="s">
        <v>3180</v>
      </c>
      <c r="B1068" s="12">
        <v>46118.0</v>
      </c>
      <c r="C1068" s="3" t="s">
        <v>462</v>
      </c>
      <c r="D1068" s="3" t="s">
        <v>930</v>
      </c>
      <c r="E1068" s="3" t="s">
        <v>2074</v>
      </c>
      <c r="F1068" s="3" t="s">
        <v>903</v>
      </c>
      <c r="G1068" s="3">
        <v>1.0</v>
      </c>
      <c r="H1068" s="3" t="b">
        <v>0</v>
      </c>
      <c r="L1068" s="3" t="s">
        <v>2102</v>
      </c>
    </row>
    <row r="1069" ht="15.75" customHeight="1">
      <c r="A1069" s="3" t="s">
        <v>3181</v>
      </c>
      <c r="B1069" s="12">
        <v>46118.0</v>
      </c>
      <c r="C1069" s="3" t="s">
        <v>465</v>
      </c>
      <c r="D1069" s="3" t="s">
        <v>930</v>
      </c>
      <c r="E1069" s="3" t="s">
        <v>2074</v>
      </c>
      <c r="F1069" s="3" t="s">
        <v>903</v>
      </c>
      <c r="G1069" s="3">
        <v>1.0</v>
      </c>
      <c r="H1069" s="3" t="b">
        <v>0</v>
      </c>
      <c r="L1069" s="3" t="s">
        <v>2102</v>
      </c>
    </row>
    <row r="1070" ht="15.75" customHeight="1">
      <c r="A1070" s="3" t="s">
        <v>3182</v>
      </c>
      <c r="B1070" s="12">
        <v>46118.0</v>
      </c>
      <c r="C1070" s="3" t="s">
        <v>469</v>
      </c>
      <c r="D1070" s="3" t="s">
        <v>930</v>
      </c>
      <c r="E1070" s="3" t="s">
        <v>2074</v>
      </c>
      <c r="F1070" s="3" t="s">
        <v>903</v>
      </c>
      <c r="G1070" s="3">
        <v>1.0</v>
      </c>
      <c r="H1070" s="3" t="b">
        <v>0</v>
      </c>
      <c r="L1070" s="3" t="s">
        <v>2102</v>
      </c>
    </row>
    <row r="1071" ht="15.75" customHeight="1">
      <c r="A1071" s="3" t="s">
        <v>3183</v>
      </c>
      <c r="B1071" s="12">
        <v>46118.0</v>
      </c>
      <c r="C1071" s="3" t="s">
        <v>472</v>
      </c>
      <c r="D1071" s="3" t="s">
        <v>930</v>
      </c>
      <c r="E1071" s="3" t="s">
        <v>2074</v>
      </c>
      <c r="F1071" s="3" t="s">
        <v>903</v>
      </c>
      <c r="G1071" s="3">
        <v>1.0</v>
      </c>
      <c r="H1071" s="3" t="b">
        <v>0</v>
      </c>
      <c r="L1071" s="3" t="s">
        <v>2102</v>
      </c>
    </row>
    <row r="1072" ht="15.75" customHeight="1">
      <c r="A1072" s="3" t="s">
        <v>3184</v>
      </c>
      <c r="B1072" s="12">
        <v>46118.0</v>
      </c>
      <c r="C1072" s="3" t="s">
        <v>477</v>
      </c>
      <c r="D1072" s="3" t="s">
        <v>930</v>
      </c>
      <c r="E1072" s="3" t="s">
        <v>2074</v>
      </c>
      <c r="F1072" s="3" t="s">
        <v>903</v>
      </c>
      <c r="G1072" s="3">
        <v>1.0</v>
      </c>
      <c r="H1072" s="3" t="b">
        <v>0</v>
      </c>
      <c r="L1072" s="3" t="s">
        <v>2102</v>
      </c>
    </row>
    <row r="1073" ht="15.75" customHeight="1">
      <c r="A1073" s="3" t="s">
        <v>3185</v>
      </c>
      <c r="B1073" s="12">
        <v>46118.0</v>
      </c>
      <c r="C1073" s="3" t="s">
        <v>479</v>
      </c>
      <c r="D1073" s="3" t="s">
        <v>930</v>
      </c>
      <c r="E1073" s="3" t="s">
        <v>2074</v>
      </c>
      <c r="F1073" s="3" t="s">
        <v>903</v>
      </c>
      <c r="G1073" s="3">
        <v>1.0</v>
      </c>
      <c r="H1073" s="3" t="b">
        <v>0</v>
      </c>
      <c r="L1073" s="3" t="s">
        <v>2102</v>
      </c>
    </row>
    <row r="1074" ht="15.75" customHeight="1">
      <c r="A1074" s="3" t="s">
        <v>3186</v>
      </c>
      <c r="B1074" s="12">
        <v>46118.0</v>
      </c>
      <c r="C1074" s="3" t="s">
        <v>483</v>
      </c>
      <c r="D1074" s="3" t="s">
        <v>930</v>
      </c>
      <c r="E1074" s="3" t="s">
        <v>2074</v>
      </c>
      <c r="F1074" s="3" t="s">
        <v>903</v>
      </c>
      <c r="G1074" s="3">
        <v>1.0</v>
      </c>
      <c r="H1074" s="3" t="b">
        <v>0</v>
      </c>
      <c r="L1074" s="3" t="s">
        <v>2102</v>
      </c>
    </row>
    <row r="1075" ht="15.75" customHeight="1">
      <c r="A1075" s="3" t="s">
        <v>3187</v>
      </c>
      <c r="B1075" s="12">
        <v>46118.0</v>
      </c>
      <c r="C1075" s="3" t="s">
        <v>488</v>
      </c>
      <c r="D1075" s="3" t="s">
        <v>930</v>
      </c>
      <c r="E1075" s="3" t="s">
        <v>2074</v>
      </c>
      <c r="F1075" s="3" t="s">
        <v>903</v>
      </c>
      <c r="G1075" s="3">
        <v>1.0</v>
      </c>
      <c r="H1075" s="3" t="b">
        <v>0</v>
      </c>
      <c r="L1075" s="3" t="s">
        <v>2102</v>
      </c>
    </row>
    <row r="1076" ht="15.75" customHeight="1">
      <c r="A1076" s="3" t="s">
        <v>3188</v>
      </c>
      <c r="B1076" s="12">
        <v>46118.0</v>
      </c>
      <c r="C1076" s="3" t="s">
        <v>498</v>
      </c>
      <c r="D1076" s="3" t="s">
        <v>930</v>
      </c>
      <c r="E1076" s="3" t="s">
        <v>2074</v>
      </c>
      <c r="F1076" s="3" t="s">
        <v>903</v>
      </c>
      <c r="G1076" s="3">
        <v>1.0</v>
      </c>
      <c r="H1076" s="3" t="b">
        <v>0</v>
      </c>
      <c r="L1076" s="3" t="s">
        <v>2102</v>
      </c>
    </row>
    <row r="1077" ht="15.75" customHeight="1">
      <c r="A1077" s="3" t="s">
        <v>3189</v>
      </c>
      <c r="B1077" s="12">
        <v>46118.0</v>
      </c>
      <c r="C1077" s="3" t="s">
        <v>502</v>
      </c>
      <c r="D1077" s="3" t="s">
        <v>930</v>
      </c>
      <c r="E1077" s="3" t="s">
        <v>2074</v>
      </c>
      <c r="F1077" s="3" t="s">
        <v>903</v>
      </c>
      <c r="G1077" s="3">
        <v>1.0</v>
      </c>
      <c r="H1077" s="3" t="b">
        <v>0</v>
      </c>
      <c r="L1077" s="3" t="s">
        <v>2102</v>
      </c>
    </row>
    <row r="1078" ht="15.75" customHeight="1">
      <c r="A1078" s="3" t="s">
        <v>3190</v>
      </c>
      <c r="B1078" s="12">
        <v>46118.0</v>
      </c>
      <c r="C1078" s="3" t="s">
        <v>507</v>
      </c>
      <c r="D1078" s="3" t="s">
        <v>930</v>
      </c>
      <c r="E1078" s="3" t="s">
        <v>2074</v>
      </c>
      <c r="F1078" s="3" t="s">
        <v>903</v>
      </c>
      <c r="G1078" s="3">
        <v>1.0</v>
      </c>
      <c r="H1078" s="3" t="b">
        <v>0</v>
      </c>
      <c r="L1078" s="3" t="s">
        <v>2102</v>
      </c>
    </row>
    <row r="1079" ht="15.75" customHeight="1">
      <c r="A1079" s="3" t="s">
        <v>3191</v>
      </c>
      <c r="B1079" s="12">
        <v>46118.0</v>
      </c>
      <c r="C1079" s="3" t="s">
        <v>510</v>
      </c>
      <c r="D1079" s="3" t="s">
        <v>930</v>
      </c>
      <c r="E1079" s="3" t="s">
        <v>2074</v>
      </c>
      <c r="F1079" s="3" t="s">
        <v>903</v>
      </c>
      <c r="G1079" s="3">
        <v>1.0</v>
      </c>
      <c r="H1079" s="3" t="b">
        <v>0</v>
      </c>
      <c r="L1079" s="3" t="s">
        <v>2102</v>
      </c>
    </row>
    <row r="1080" ht="15.75" customHeight="1">
      <c r="A1080" s="3" t="s">
        <v>3192</v>
      </c>
      <c r="B1080" s="12">
        <v>46118.0</v>
      </c>
      <c r="C1080" s="3" t="s">
        <v>513</v>
      </c>
      <c r="D1080" s="3" t="s">
        <v>930</v>
      </c>
      <c r="E1080" s="3" t="s">
        <v>2074</v>
      </c>
      <c r="F1080" s="3" t="s">
        <v>903</v>
      </c>
      <c r="G1080" s="3">
        <v>1.0</v>
      </c>
      <c r="H1080" s="3" t="b">
        <v>0</v>
      </c>
      <c r="L1080" s="3" t="s">
        <v>2102</v>
      </c>
    </row>
    <row r="1081" ht="15.75" customHeight="1">
      <c r="A1081" s="3" t="s">
        <v>3193</v>
      </c>
      <c r="B1081" s="12">
        <v>46118.0</v>
      </c>
      <c r="C1081" s="3" t="s">
        <v>515</v>
      </c>
      <c r="D1081" s="3" t="s">
        <v>930</v>
      </c>
      <c r="E1081" s="3" t="s">
        <v>2074</v>
      </c>
      <c r="F1081" s="3" t="s">
        <v>903</v>
      </c>
      <c r="G1081" s="3">
        <v>1.0</v>
      </c>
      <c r="H1081" s="3" t="b">
        <v>0</v>
      </c>
      <c r="L1081" s="3" t="s">
        <v>2102</v>
      </c>
    </row>
    <row r="1082" ht="15.75" customHeight="1">
      <c r="A1082" s="3" t="s">
        <v>3194</v>
      </c>
      <c r="B1082" s="12">
        <v>46118.0</v>
      </c>
      <c r="C1082" s="3" t="s">
        <v>518</v>
      </c>
      <c r="D1082" s="3" t="s">
        <v>930</v>
      </c>
      <c r="E1082" s="3" t="s">
        <v>2074</v>
      </c>
      <c r="F1082" s="3" t="s">
        <v>903</v>
      </c>
      <c r="G1082" s="3">
        <v>1.0</v>
      </c>
      <c r="H1082" s="3" t="b">
        <v>0</v>
      </c>
      <c r="L1082" s="3" t="s">
        <v>2102</v>
      </c>
    </row>
    <row r="1083" ht="15.75" customHeight="1">
      <c r="A1083" s="13" t="s">
        <v>3195</v>
      </c>
      <c r="B1083" s="12">
        <v>46118.0</v>
      </c>
      <c r="C1083" s="3" t="s">
        <v>520</v>
      </c>
      <c r="D1083" s="3" t="s">
        <v>930</v>
      </c>
      <c r="E1083" s="3" t="s">
        <v>2074</v>
      </c>
      <c r="F1083" s="3" t="s">
        <v>903</v>
      </c>
      <c r="G1083" s="3">
        <v>1.0</v>
      </c>
      <c r="H1083" s="3" t="b">
        <v>0</v>
      </c>
      <c r="L1083" s="3" t="s">
        <v>2102</v>
      </c>
    </row>
    <row r="1084" ht="15.75" customHeight="1">
      <c r="A1084" s="3" t="s">
        <v>3196</v>
      </c>
      <c r="B1084" s="12">
        <v>46118.0</v>
      </c>
      <c r="C1084" s="3" t="s">
        <v>522</v>
      </c>
      <c r="D1084" s="3" t="s">
        <v>930</v>
      </c>
      <c r="E1084" s="3" t="s">
        <v>2074</v>
      </c>
      <c r="F1084" s="3" t="s">
        <v>903</v>
      </c>
      <c r="G1084" s="3">
        <v>1.0</v>
      </c>
      <c r="H1084" s="3" t="b">
        <v>0</v>
      </c>
      <c r="L1084" s="3" t="s">
        <v>2102</v>
      </c>
    </row>
    <row r="1085" ht="15.75" customHeight="1">
      <c r="A1085" s="3" t="s">
        <v>3197</v>
      </c>
      <c r="B1085" s="12">
        <v>46118.0</v>
      </c>
      <c r="C1085" s="3" t="s">
        <v>533</v>
      </c>
      <c r="D1085" s="3" t="s">
        <v>930</v>
      </c>
      <c r="E1085" s="3" t="s">
        <v>2074</v>
      </c>
      <c r="F1085" s="3" t="s">
        <v>903</v>
      </c>
      <c r="G1085" s="3">
        <v>1.0</v>
      </c>
      <c r="H1085" s="3" t="b">
        <v>0</v>
      </c>
      <c r="L1085" s="3" t="s">
        <v>2102</v>
      </c>
    </row>
    <row r="1086" ht="15.75" customHeight="1">
      <c r="A1086" s="3" t="s">
        <v>3198</v>
      </c>
      <c r="B1086" s="12">
        <v>46118.0</v>
      </c>
      <c r="C1086" s="3" t="s">
        <v>534</v>
      </c>
      <c r="D1086" s="3" t="s">
        <v>930</v>
      </c>
      <c r="E1086" s="3" t="s">
        <v>2074</v>
      </c>
      <c r="F1086" s="3" t="s">
        <v>903</v>
      </c>
      <c r="G1086" s="3">
        <v>1.0</v>
      </c>
      <c r="H1086" s="3" t="b">
        <v>0</v>
      </c>
      <c r="L1086" s="3" t="s">
        <v>2102</v>
      </c>
    </row>
    <row r="1087" ht="15.75" customHeight="1">
      <c r="A1087" s="3" t="s">
        <v>3199</v>
      </c>
      <c r="B1087" s="12">
        <v>46118.0</v>
      </c>
      <c r="C1087" s="3" t="s">
        <v>540</v>
      </c>
      <c r="D1087" s="3" t="s">
        <v>930</v>
      </c>
      <c r="E1087" s="3" t="s">
        <v>2074</v>
      </c>
      <c r="F1087" s="3" t="s">
        <v>903</v>
      </c>
      <c r="G1087" s="3">
        <v>1.0</v>
      </c>
      <c r="H1087" s="3" t="b">
        <v>0</v>
      </c>
      <c r="L1087" s="3" t="s">
        <v>2102</v>
      </c>
    </row>
    <row r="1088" ht="15.75" customHeight="1">
      <c r="A1088" s="3" t="s">
        <v>3200</v>
      </c>
      <c r="B1088" s="12">
        <v>46118.0</v>
      </c>
      <c r="C1088" s="3" t="s">
        <v>543</v>
      </c>
      <c r="D1088" s="3" t="s">
        <v>930</v>
      </c>
      <c r="E1088" s="3" t="s">
        <v>2074</v>
      </c>
      <c r="F1088" s="3" t="s">
        <v>903</v>
      </c>
      <c r="G1088" s="3">
        <v>1.0</v>
      </c>
      <c r="H1088" s="3" t="b">
        <v>0</v>
      </c>
      <c r="L1088" s="3" t="s">
        <v>2102</v>
      </c>
    </row>
    <row r="1089" ht="15.75" customHeight="1">
      <c r="A1089" s="3" t="s">
        <v>3201</v>
      </c>
      <c r="B1089" s="12">
        <v>46118.0</v>
      </c>
      <c r="C1089" s="3" t="s">
        <v>545</v>
      </c>
      <c r="D1089" s="3" t="s">
        <v>930</v>
      </c>
      <c r="E1089" s="3" t="s">
        <v>2074</v>
      </c>
      <c r="F1089" s="3" t="s">
        <v>903</v>
      </c>
      <c r="G1089" s="3">
        <v>1.0</v>
      </c>
      <c r="H1089" s="3" t="b">
        <v>0</v>
      </c>
      <c r="L1089" s="3" t="s">
        <v>2102</v>
      </c>
    </row>
    <row r="1090" ht="15.75" customHeight="1">
      <c r="A1090" s="3" t="s">
        <v>3202</v>
      </c>
      <c r="B1090" s="12">
        <v>46118.0</v>
      </c>
      <c r="C1090" s="3" t="s">
        <v>547</v>
      </c>
      <c r="D1090" s="3" t="s">
        <v>930</v>
      </c>
      <c r="E1090" s="3" t="s">
        <v>2074</v>
      </c>
      <c r="F1090" s="3" t="s">
        <v>903</v>
      </c>
      <c r="G1090" s="3">
        <v>1.0</v>
      </c>
      <c r="H1090" s="3" t="b">
        <v>0</v>
      </c>
      <c r="L1090" s="3" t="s">
        <v>2102</v>
      </c>
    </row>
    <row r="1091" ht="15.75" customHeight="1">
      <c r="A1091" s="3" t="s">
        <v>3203</v>
      </c>
      <c r="B1091" s="12">
        <v>46118.0</v>
      </c>
      <c r="C1091" s="3" t="s">
        <v>548</v>
      </c>
      <c r="D1091" s="3" t="s">
        <v>930</v>
      </c>
      <c r="E1091" s="3" t="s">
        <v>2074</v>
      </c>
      <c r="F1091" s="3" t="s">
        <v>903</v>
      </c>
      <c r="G1091" s="3">
        <v>1.0</v>
      </c>
      <c r="H1091" s="3" t="b">
        <v>0</v>
      </c>
      <c r="L1091" s="3" t="s">
        <v>2102</v>
      </c>
    </row>
    <row r="1092" ht="15.75" customHeight="1">
      <c r="A1092" s="3" t="s">
        <v>3204</v>
      </c>
      <c r="B1092" s="12">
        <v>46118.0</v>
      </c>
      <c r="C1092" s="3" t="s">
        <v>551</v>
      </c>
      <c r="D1092" s="3" t="s">
        <v>930</v>
      </c>
      <c r="E1092" s="3" t="s">
        <v>2074</v>
      </c>
      <c r="F1092" s="3" t="s">
        <v>903</v>
      </c>
      <c r="G1092" s="3">
        <v>1.0</v>
      </c>
      <c r="H1092" s="3" t="b">
        <v>0</v>
      </c>
      <c r="L1092" s="3" t="s">
        <v>2102</v>
      </c>
    </row>
    <row r="1093" ht="15.75" customHeight="1">
      <c r="A1093" s="3" t="s">
        <v>3205</v>
      </c>
      <c r="B1093" s="12">
        <v>46118.0</v>
      </c>
      <c r="C1093" s="3" t="s">
        <v>553</v>
      </c>
      <c r="D1093" s="3" t="s">
        <v>930</v>
      </c>
      <c r="E1093" s="3" t="s">
        <v>2074</v>
      </c>
      <c r="F1093" s="3" t="s">
        <v>903</v>
      </c>
      <c r="G1093" s="3">
        <v>1.0</v>
      </c>
      <c r="H1093" s="3" t="b">
        <v>0</v>
      </c>
      <c r="L1093" s="3" t="s">
        <v>2102</v>
      </c>
    </row>
    <row r="1094" ht="15.75" customHeight="1">
      <c r="A1094" s="3" t="s">
        <v>3206</v>
      </c>
      <c r="B1094" s="12">
        <v>46118.0</v>
      </c>
      <c r="C1094" s="3" t="s">
        <v>562</v>
      </c>
      <c r="D1094" s="3" t="s">
        <v>930</v>
      </c>
      <c r="E1094" s="3" t="s">
        <v>2074</v>
      </c>
      <c r="F1094" s="3" t="s">
        <v>903</v>
      </c>
      <c r="G1094" s="3">
        <v>1.0</v>
      </c>
      <c r="H1094" s="3" t="b">
        <v>0</v>
      </c>
      <c r="L1094" s="3" t="s">
        <v>2102</v>
      </c>
    </row>
    <row r="1095" ht="15.75" customHeight="1">
      <c r="A1095" s="3" t="s">
        <v>3207</v>
      </c>
      <c r="B1095" s="12">
        <v>46118.0</v>
      </c>
      <c r="C1095" s="3" t="s">
        <v>566</v>
      </c>
      <c r="D1095" s="3" t="s">
        <v>930</v>
      </c>
      <c r="E1095" s="3" t="s">
        <v>2074</v>
      </c>
      <c r="F1095" s="3" t="s">
        <v>903</v>
      </c>
      <c r="G1095" s="3">
        <v>1.0</v>
      </c>
      <c r="H1095" s="3" t="b">
        <v>0</v>
      </c>
      <c r="L1095" s="3" t="s">
        <v>2102</v>
      </c>
    </row>
    <row r="1096" ht="15.75" customHeight="1">
      <c r="A1096" s="3" t="s">
        <v>3208</v>
      </c>
      <c r="B1096" s="12">
        <v>46118.0</v>
      </c>
      <c r="C1096" s="3" t="s">
        <v>571</v>
      </c>
      <c r="D1096" s="3" t="s">
        <v>930</v>
      </c>
      <c r="E1096" s="3" t="s">
        <v>2074</v>
      </c>
      <c r="F1096" s="3" t="s">
        <v>903</v>
      </c>
      <c r="G1096" s="3">
        <v>1.0</v>
      </c>
      <c r="H1096" s="3" t="b">
        <v>0</v>
      </c>
      <c r="L1096" s="3" t="s">
        <v>2102</v>
      </c>
    </row>
    <row r="1097" ht="15.75" customHeight="1">
      <c r="A1097" s="3" t="s">
        <v>3209</v>
      </c>
      <c r="B1097" s="12">
        <v>46118.0</v>
      </c>
      <c r="C1097" s="3" t="s">
        <v>573</v>
      </c>
      <c r="D1097" s="3" t="s">
        <v>930</v>
      </c>
      <c r="E1097" s="3" t="s">
        <v>2074</v>
      </c>
      <c r="F1097" s="3" t="s">
        <v>903</v>
      </c>
      <c r="G1097" s="3">
        <v>1.0</v>
      </c>
      <c r="H1097" s="3" t="b">
        <v>0</v>
      </c>
      <c r="L1097" s="3" t="s">
        <v>2102</v>
      </c>
    </row>
    <row r="1098" ht="15.75" customHeight="1">
      <c r="A1098" s="3" t="s">
        <v>3210</v>
      </c>
      <c r="B1098" s="12">
        <v>46118.0</v>
      </c>
      <c r="C1098" s="3" t="s">
        <v>581</v>
      </c>
      <c r="D1098" s="3" t="s">
        <v>930</v>
      </c>
      <c r="E1098" s="3" t="s">
        <v>2074</v>
      </c>
      <c r="F1098" s="3" t="s">
        <v>903</v>
      </c>
      <c r="G1098" s="3">
        <v>1.0</v>
      </c>
      <c r="H1098" s="3" t="b">
        <v>0</v>
      </c>
      <c r="L1098" s="3" t="s">
        <v>2102</v>
      </c>
    </row>
    <row r="1099" ht="15.75" customHeight="1">
      <c r="A1099" s="3" t="s">
        <v>3211</v>
      </c>
      <c r="B1099" s="12">
        <v>46118.0</v>
      </c>
      <c r="C1099" s="3" t="s">
        <v>587</v>
      </c>
      <c r="D1099" s="3" t="s">
        <v>930</v>
      </c>
      <c r="E1099" s="3" t="s">
        <v>2074</v>
      </c>
      <c r="F1099" s="3" t="s">
        <v>903</v>
      </c>
      <c r="G1099" s="3">
        <v>1.0</v>
      </c>
      <c r="H1099" s="3" t="b">
        <v>0</v>
      </c>
      <c r="L1099" s="3" t="s">
        <v>2102</v>
      </c>
    </row>
    <row r="1100" ht="15.75" customHeight="1">
      <c r="A1100" s="3" t="s">
        <v>3212</v>
      </c>
      <c r="B1100" s="12">
        <v>46118.0</v>
      </c>
      <c r="C1100" s="3" t="s">
        <v>594</v>
      </c>
      <c r="D1100" s="3" t="s">
        <v>930</v>
      </c>
      <c r="E1100" s="3" t="s">
        <v>2074</v>
      </c>
      <c r="F1100" s="3" t="s">
        <v>903</v>
      </c>
      <c r="G1100" s="3">
        <v>1.0</v>
      </c>
      <c r="H1100" s="3" t="b">
        <v>0</v>
      </c>
      <c r="L1100" s="3" t="s">
        <v>2102</v>
      </c>
    </row>
    <row r="1101" ht="15.75" customHeight="1">
      <c r="A1101" s="3" t="s">
        <v>3213</v>
      </c>
      <c r="B1101" s="12">
        <v>46118.0</v>
      </c>
      <c r="C1101" s="3" t="s">
        <v>597</v>
      </c>
      <c r="D1101" s="3" t="s">
        <v>930</v>
      </c>
      <c r="E1101" s="3" t="s">
        <v>2074</v>
      </c>
      <c r="F1101" s="3" t="s">
        <v>903</v>
      </c>
      <c r="G1101" s="3">
        <v>1.0</v>
      </c>
      <c r="H1101" s="3" t="b">
        <v>0</v>
      </c>
      <c r="L1101" s="3" t="s">
        <v>2102</v>
      </c>
    </row>
    <row r="1102" ht="15.75" customHeight="1">
      <c r="A1102" s="3" t="s">
        <v>3214</v>
      </c>
      <c r="B1102" s="12">
        <v>46118.0</v>
      </c>
      <c r="C1102" s="3" t="s">
        <v>601</v>
      </c>
      <c r="D1102" s="3" t="s">
        <v>930</v>
      </c>
      <c r="E1102" s="3" t="s">
        <v>2074</v>
      </c>
      <c r="F1102" s="3" t="s">
        <v>903</v>
      </c>
      <c r="G1102" s="3">
        <v>1.0</v>
      </c>
      <c r="H1102" s="3" t="b">
        <v>0</v>
      </c>
      <c r="L1102" s="3" t="s">
        <v>2102</v>
      </c>
    </row>
    <row r="1103" ht="15.75" customHeight="1">
      <c r="A1103" s="3" t="s">
        <v>3215</v>
      </c>
      <c r="B1103" s="12">
        <v>46118.0</v>
      </c>
      <c r="C1103" s="3" t="s">
        <v>602</v>
      </c>
      <c r="D1103" s="3" t="s">
        <v>930</v>
      </c>
      <c r="E1103" s="3" t="s">
        <v>2074</v>
      </c>
      <c r="F1103" s="3" t="s">
        <v>903</v>
      </c>
      <c r="G1103" s="3">
        <v>1.0</v>
      </c>
      <c r="H1103" s="3" t="b">
        <v>0</v>
      </c>
      <c r="L1103" s="3" t="s">
        <v>2102</v>
      </c>
    </row>
    <row r="1104" ht="15.75" customHeight="1">
      <c r="A1104" s="3" t="s">
        <v>3216</v>
      </c>
      <c r="B1104" s="12">
        <v>46118.0</v>
      </c>
      <c r="C1104" s="3" t="s">
        <v>603</v>
      </c>
      <c r="D1104" s="3" t="s">
        <v>930</v>
      </c>
      <c r="E1104" s="3" t="s">
        <v>2074</v>
      </c>
      <c r="F1104" s="3" t="s">
        <v>903</v>
      </c>
      <c r="G1104" s="3">
        <v>1.0</v>
      </c>
      <c r="H1104" s="3" t="b">
        <v>0</v>
      </c>
      <c r="L1104" s="3" t="s">
        <v>2102</v>
      </c>
    </row>
    <row r="1105" ht="15.75" customHeight="1">
      <c r="A1105" s="3" t="s">
        <v>3217</v>
      </c>
      <c r="B1105" s="12">
        <v>46118.0</v>
      </c>
      <c r="C1105" s="3" t="s">
        <v>604</v>
      </c>
      <c r="D1105" s="3" t="s">
        <v>930</v>
      </c>
      <c r="E1105" s="3" t="s">
        <v>2074</v>
      </c>
      <c r="F1105" s="3" t="s">
        <v>903</v>
      </c>
      <c r="G1105" s="3">
        <v>1.0</v>
      </c>
      <c r="H1105" s="3" t="b">
        <v>0</v>
      </c>
      <c r="L1105" s="3" t="s">
        <v>2102</v>
      </c>
    </row>
    <row r="1106" ht="15.75" customHeight="1">
      <c r="A1106" s="3" t="s">
        <v>3218</v>
      </c>
      <c r="B1106" s="12">
        <v>46118.0</v>
      </c>
      <c r="C1106" s="3" t="s">
        <v>607</v>
      </c>
      <c r="D1106" s="3" t="s">
        <v>930</v>
      </c>
      <c r="E1106" s="3" t="s">
        <v>2074</v>
      </c>
      <c r="F1106" s="3" t="s">
        <v>903</v>
      </c>
      <c r="G1106" s="3">
        <v>1.0</v>
      </c>
      <c r="H1106" s="3" t="b">
        <v>0</v>
      </c>
      <c r="L1106" s="3" t="s">
        <v>2102</v>
      </c>
    </row>
    <row r="1107" ht="15.75" customHeight="1">
      <c r="A1107" s="3" t="s">
        <v>3219</v>
      </c>
      <c r="B1107" s="12">
        <v>46118.0</v>
      </c>
      <c r="C1107" s="3" t="s">
        <v>609</v>
      </c>
      <c r="D1107" s="3" t="s">
        <v>930</v>
      </c>
      <c r="E1107" s="3" t="s">
        <v>2074</v>
      </c>
      <c r="F1107" s="3" t="s">
        <v>903</v>
      </c>
      <c r="G1107" s="3">
        <v>1.0</v>
      </c>
      <c r="H1107" s="3" t="b">
        <v>0</v>
      </c>
      <c r="L1107" s="3" t="s">
        <v>2102</v>
      </c>
    </row>
    <row r="1108" ht="15.75" customHeight="1">
      <c r="A1108" s="3" t="s">
        <v>3220</v>
      </c>
      <c r="B1108" s="12">
        <v>46118.0</v>
      </c>
      <c r="C1108" s="3" t="s">
        <v>616</v>
      </c>
      <c r="D1108" s="3" t="s">
        <v>930</v>
      </c>
      <c r="E1108" s="3" t="s">
        <v>2074</v>
      </c>
      <c r="F1108" s="3" t="s">
        <v>903</v>
      </c>
      <c r="G1108" s="3">
        <v>1.0</v>
      </c>
      <c r="H1108" s="3" t="b">
        <v>0</v>
      </c>
      <c r="L1108" s="3" t="s">
        <v>2102</v>
      </c>
    </row>
    <row r="1109" ht="15.75" customHeight="1">
      <c r="A1109" s="3" t="s">
        <v>3221</v>
      </c>
      <c r="B1109" s="12">
        <v>46118.0</v>
      </c>
      <c r="C1109" s="3" t="s">
        <v>617</v>
      </c>
      <c r="D1109" s="3" t="s">
        <v>930</v>
      </c>
      <c r="E1109" s="3" t="s">
        <v>2074</v>
      </c>
      <c r="F1109" s="3" t="s">
        <v>903</v>
      </c>
      <c r="G1109" s="3">
        <v>1.0</v>
      </c>
      <c r="H1109" s="3" t="b">
        <v>0</v>
      </c>
      <c r="L1109" s="3" t="s">
        <v>2102</v>
      </c>
    </row>
    <row r="1110" ht="15.75" customHeight="1">
      <c r="A1110" s="3" t="s">
        <v>3222</v>
      </c>
      <c r="B1110" s="12">
        <v>46118.0</v>
      </c>
      <c r="C1110" s="3" t="s">
        <v>618</v>
      </c>
      <c r="D1110" s="3" t="s">
        <v>930</v>
      </c>
      <c r="E1110" s="3" t="s">
        <v>2074</v>
      </c>
      <c r="F1110" s="3" t="s">
        <v>903</v>
      </c>
      <c r="G1110" s="3">
        <v>1.0</v>
      </c>
      <c r="H1110" s="3" t="b">
        <v>0</v>
      </c>
      <c r="L1110" s="3" t="s">
        <v>2102</v>
      </c>
    </row>
    <row r="1111" ht="15.75" customHeight="1">
      <c r="A1111" s="3" t="s">
        <v>3223</v>
      </c>
      <c r="B1111" s="12">
        <v>46118.0</v>
      </c>
      <c r="C1111" s="3" t="s">
        <v>623</v>
      </c>
      <c r="D1111" s="3" t="s">
        <v>930</v>
      </c>
      <c r="E1111" s="3" t="s">
        <v>2074</v>
      </c>
      <c r="F1111" s="3" t="s">
        <v>903</v>
      </c>
      <c r="G1111" s="3">
        <v>1.0</v>
      </c>
      <c r="H1111" s="3" t="b">
        <v>0</v>
      </c>
      <c r="L1111" s="3" t="s">
        <v>2102</v>
      </c>
    </row>
    <row r="1112" ht="15.75" customHeight="1">
      <c r="A1112" s="3" t="s">
        <v>3224</v>
      </c>
      <c r="B1112" s="12">
        <v>46118.0</v>
      </c>
      <c r="C1112" s="3" t="s">
        <v>624</v>
      </c>
      <c r="D1112" s="3" t="s">
        <v>930</v>
      </c>
      <c r="E1112" s="3" t="s">
        <v>2074</v>
      </c>
      <c r="F1112" s="3" t="s">
        <v>903</v>
      </c>
      <c r="G1112" s="3">
        <v>1.0</v>
      </c>
      <c r="H1112" s="3" t="b">
        <v>0</v>
      </c>
      <c r="L1112" s="3" t="s">
        <v>2102</v>
      </c>
    </row>
    <row r="1113" ht="15.75" customHeight="1">
      <c r="A1113" s="3" t="s">
        <v>3225</v>
      </c>
      <c r="B1113" s="12">
        <v>46118.0</v>
      </c>
      <c r="C1113" s="3" t="s">
        <v>626</v>
      </c>
      <c r="D1113" s="3" t="s">
        <v>930</v>
      </c>
      <c r="E1113" s="3" t="s">
        <v>2074</v>
      </c>
      <c r="F1113" s="3" t="s">
        <v>903</v>
      </c>
      <c r="G1113" s="3">
        <v>1.0</v>
      </c>
      <c r="H1113" s="3" t="b">
        <v>0</v>
      </c>
      <c r="L1113" s="3" t="s">
        <v>2102</v>
      </c>
    </row>
    <row r="1114" ht="15.75" customHeight="1">
      <c r="A1114" s="3" t="s">
        <v>3226</v>
      </c>
      <c r="B1114" s="12">
        <v>46118.0</v>
      </c>
      <c r="C1114" s="3" t="s">
        <v>633</v>
      </c>
      <c r="D1114" s="3" t="s">
        <v>930</v>
      </c>
      <c r="E1114" s="3" t="s">
        <v>2074</v>
      </c>
      <c r="F1114" s="3" t="s">
        <v>903</v>
      </c>
      <c r="G1114" s="3">
        <v>1.0</v>
      </c>
      <c r="H1114" s="3" t="b">
        <v>0</v>
      </c>
      <c r="L1114" s="3" t="s">
        <v>2102</v>
      </c>
    </row>
    <row r="1115" ht="15.75" customHeight="1">
      <c r="A1115" s="3" t="s">
        <v>3227</v>
      </c>
      <c r="B1115" s="12">
        <v>46118.0</v>
      </c>
      <c r="C1115" s="3" t="s">
        <v>634</v>
      </c>
      <c r="D1115" s="3" t="s">
        <v>930</v>
      </c>
      <c r="E1115" s="3" t="s">
        <v>2074</v>
      </c>
      <c r="F1115" s="3" t="s">
        <v>903</v>
      </c>
      <c r="G1115" s="3">
        <v>1.0</v>
      </c>
      <c r="H1115" s="3" t="b">
        <v>0</v>
      </c>
      <c r="L1115" s="3" t="s">
        <v>2102</v>
      </c>
    </row>
    <row r="1116" ht="15.75" customHeight="1">
      <c r="A1116" s="3" t="s">
        <v>3228</v>
      </c>
      <c r="B1116" s="12">
        <v>46118.0</v>
      </c>
      <c r="C1116" s="3" t="s">
        <v>639</v>
      </c>
      <c r="D1116" s="3" t="s">
        <v>930</v>
      </c>
      <c r="E1116" s="3" t="s">
        <v>2074</v>
      </c>
      <c r="F1116" s="3" t="s">
        <v>903</v>
      </c>
      <c r="G1116" s="3">
        <v>1.0</v>
      </c>
      <c r="H1116" s="3" t="b">
        <v>0</v>
      </c>
      <c r="L1116" s="3" t="s">
        <v>2102</v>
      </c>
    </row>
    <row r="1117" ht="15.75" customHeight="1">
      <c r="A1117" s="3" t="s">
        <v>3229</v>
      </c>
      <c r="B1117" s="12">
        <v>46118.0</v>
      </c>
      <c r="C1117" s="3" t="s">
        <v>649</v>
      </c>
      <c r="D1117" s="3" t="s">
        <v>930</v>
      </c>
      <c r="E1117" s="3" t="s">
        <v>2074</v>
      </c>
      <c r="F1117" s="3" t="s">
        <v>903</v>
      </c>
      <c r="G1117" s="3">
        <v>1.0</v>
      </c>
      <c r="H1117" s="3" t="b">
        <v>0</v>
      </c>
      <c r="L1117" s="3" t="s">
        <v>2102</v>
      </c>
    </row>
    <row r="1118" ht="15.75" customHeight="1">
      <c r="A1118" s="3" t="s">
        <v>3230</v>
      </c>
      <c r="B1118" s="12">
        <v>46118.0</v>
      </c>
      <c r="C1118" s="3" t="s">
        <v>650</v>
      </c>
      <c r="D1118" s="3" t="s">
        <v>930</v>
      </c>
      <c r="E1118" s="3" t="s">
        <v>2074</v>
      </c>
      <c r="F1118" s="3" t="s">
        <v>903</v>
      </c>
      <c r="G1118" s="3">
        <v>1.0</v>
      </c>
      <c r="H1118" s="3" t="b">
        <v>0</v>
      </c>
      <c r="L1118" s="3" t="s">
        <v>2102</v>
      </c>
    </row>
    <row r="1119" ht="15.75" customHeight="1">
      <c r="A1119" s="13" t="s">
        <v>3231</v>
      </c>
      <c r="B1119" s="12">
        <v>46118.0</v>
      </c>
      <c r="C1119" s="3" t="s">
        <v>654</v>
      </c>
      <c r="D1119" s="3" t="s">
        <v>930</v>
      </c>
      <c r="E1119" s="3" t="s">
        <v>2074</v>
      </c>
      <c r="F1119" s="3" t="s">
        <v>903</v>
      </c>
      <c r="G1119" s="3">
        <v>1.0</v>
      </c>
      <c r="H1119" s="3" t="b">
        <v>0</v>
      </c>
      <c r="L1119" s="3" t="s">
        <v>2102</v>
      </c>
    </row>
    <row r="1120" ht="15.75" customHeight="1">
      <c r="A1120" s="3" t="s">
        <v>3232</v>
      </c>
      <c r="B1120" s="12">
        <v>46118.0</v>
      </c>
      <c r="C1120" s="3" t="s">
        <v>660</v>
      </c>
      <c r="D1120" s="3" t="s">
        <v>930</v>
      </c>
      <c r="E1120" s="3" t="s">
        <v>2074</v>
      </c>
      <c r="F1120" s="3" t="s">
        <v>903</v>
      </c>
      <c r="G1120" s="3">
        <v>1.0</v>
      </c>
      <c r="H1120" s="3" t="b">
        <v>0</v>
      </c>
      <c r="L1120" s="3" t="s">
        <v>2102</v>
      </c>
    </row>
    <row r="1121" ht="15.75" customHeight="1">
      <c r="A1121" s="3" t="s">
        <v>3233</v>
      </c>
      <c r="B1121" s="12">
        <v>46118.0</v>
      </c>
      <c r="C1121" s="3" t="s">
        <v>1302</v>
      </c>
      <c r="D1121" s="3" t="s">
        <v>930</v>
      </c>
      <c r="E1121" s="3" t="s">
        <v>2074</v>
      </c>
      <c r="F1121" s="3" t="s">
        <v>903</v>
      </c>
      <c r="G1121" s="3">
        <v>1.0</v>
      </c>
      <c r="H1121" s="3" t="b">
        <v>0</v>
      </c>
      <c r="L1121" s="3" t="s">
        <v>2102</v>
      </c>
    </row>
    <row r="1122" ht="15.75" customHeight="1">
      <c r="A1122" s="3" t="s">
        <v>3234</v>
      </c>
      <c r="B1122" s="12">
        <v>46118.0</v>
      </c>
      <c r="C1122" s="3" t="s">
        <v>666</v>
      </c>
      <c r="D1122" s="3" t="s">
        <v>930</v>
      </c>
      <c r="E1122" s="3" t="s">
        <v>2074</v>
      </c>
      <c r="F1122" s="3" t="s">
        <v>903</v>
      </c>
      <c r="G1122" s="3">
        <v>1.0</v>
      </c>
      <c r="H1122" s="3" t="b">
        <v>0</v>
      </c>
      <c r="L1122" s="3" t="s">
        <v>2102</v>
      </c>
    </row>
    <row r="1123" ht="15.75" customHeight="1">
      <c r="A1123" s="3" t="s">
        <v>3235</v>
      </c>
      <c r="B1123" s="12">
        <v>46118.0</v>
      </c>
      <c r="C1123" s="3" t="s">
        <v>668</v>
      </c>
      <c r="D1123" s="3" t="s">
        <v>930</v>
      </c>
      <c r="E1123" s="3" t="s">
        <v>2074</v>
      </c>
      <c r="F1123" s="3" t="s">
        <v>903</v>
      </c>
      <c r="G1123" s="3">
        <v>1.0</v>
      </c>
      <c r="H1123" s="3" t="b">
        <v>0</v>
      </c>
      <c r="L1123" s="3" t="s">
        <v>2102</v>
      </c>
    </row>
    <row r="1124" ht="15.75" customHeight="1">
      <c r="A1124" s="3" t="s">
        <v>3236</v>
      </c>
      <c r="B1124" s="12">
        <v>46118.0</v>
      </c>
      <c r="C1124" s="3" t="s">
        <v>669</v>
      </c>
      <c r="D1124" s="3" t="s">
        <v>930</v>
      </c>
      <c r="E1124" s="3" t="s">
        <v>2074</v>
      </c>
      <c r="F1124" s="3" t="s">
        <v>903</v>
      </c>
      <c r="G1124" s="3">
        <v>1.0</v>
      </c>
      <c r="H1124" s="3" t="b">
        <v>0</v>
      </c>
      <c r="L1124" s="3" t="s">
        <v>2102</v>
      </c>
    </row>
    <row r="1125" ht="15.75" customHeight="1">
      <c r="A1125" s="3" t="s">
        <v>3237</v>
      </c>
      <c r="B1125" s="12">
        <v>46118.0</v>
      </c>
      <c r="C1125" s="3" t="s">
        <v>671</v>
      </c>
      <c r="D1125" s="3" t="s">
        <v>930</v>
      </c>
      <c r="E1125" s="3" t="s">
        <v>2074</v>
      </c>
      <c r="F1125" s="3" t="s">
        <v>903</v>
      </c>
      <c r="G1125" s="3">
        <v>1.0</v>
      </c>
      <c r="H1125" s="3" t="b">
        <v>0</v>
      </c>
      <c r="L1125" s="3" t="s">
        <v>2102</v>
      </c>
    </row>
    <row r="1126" ht="15.75" customHeight="1">
      <c r="A1126" s="3" t="s">
        <v>3238</v>
      </c>
      <c r="B1126" s="12">
        <v>46118.0</v>
      </c>
      <c r="C1126" s="3" t="s">
        <v>673</v>
      </c>
      <c r="D1126" s="3" t="s">
        <v>930</v>
      </c>
      <c r="E1126" s="3" t="s">
        <v>2074</v>
      </c>
      <c r="F1126" s="3" t="s">
        <v>903</v>
      </c>
      <c r="G1126" s="3">
        <v>1.0</v>
      </c>
      <c r="H1126" s="3" t="b">
        <v>0</v>
      </c>
      <c r="L1126" s="3" t="s">
        <v>2102</v>
      </c>
    </row>
    <row r="1127" ht="15.75" customHeight="1">
      <c r="A1127" s="3" t="s">
        <v>3239</v>
      </c>
      <c r="B1127" s="12">
        <v>46118.0</v>
      </c>
      <c r="C1127" s="3" t="s">
        <v>676</v>
      </c>
      <c r="D1127" s="3" t="s">
        <v>930</v>
      </c>
      <c r="E1127" s="3" t="s">
        <v>2074</v>
      </c>
      <c r="F1127" s="3" t="s">
        <v>903</v>
      </c>
      <c r="G1127" s="3">
        <v>1.0</v>
      </c>
      <c r="H1127" s="3" t="b">
        <v>0</v>
      </c>
      <c r="L1127" s="3" t="s">
        <v>2102</v>
      </c>
    </row>
    <row r="1128" ht="15.75" customHeight="1">
      <c r="A1128" s="3" t="s">
        <v>3240</v>
      </c>
      <c r="B1128" s="12">
        <v>46118.0</v>
      </c>
      <c r="C1128" s="3" t="s">
        <v>685</v>
      </c>
      <c r="D1128" s="3" t="s">
        <v>930</v>
      </c>
      <c r="E1128" s="3" t="s">
        <v>2074</v>
      </c>
      <c r="F1128" s="3" t="s">
        <v>903</v>
      </c>
      <c r="G1128" s="3">
        <v>1.0</v>
      </c>
      <c r="H1128" s="3" t="b">
        <v>0</v>
      </c>
      <c r="L1128" s="3" t="s">
        <v>2102</v>
      </c>
    </row>
    <row r="1129" ht="15.75" customHeight="1">
      <c r="A1129" s="3" t="s">
        <v>3241</v>
      </c>
      <c r="B1129" s="12">
        <v>46118.0</v>
      </c>
      <c r="C1129" s="3" t="s">
        <v>698</v>
      </c>
      <c r="D1129" s="3" t="s">
        <v>930</v>
      </c>
      <c r="E1129" s="3" t="s">
        <v>2074</v>
      </c>
      <c r="F1129" s="3" t="s">
        <v>903</v>
      </c>
      <c r="G1129" s="3">
        <v>1.0</v>
      </c>
      <c r="H1129" s="3" t="b">
        <v>0</v>
      </c>
      <c r="L1129" s="3" t="s">
        <v>2102</v>
      </c>
    </row>
    <row r="1130" ht="15.75" customHeight="1">
      <c r="A1130" s="3" t="s">
        <v>3242</v>
      </c>
      <c r="B1130" s="12">
        <v>46118.0</v>
      </c>
      <c r="C1130" s="3" t="s">
        <v>2794</v>
      </c>
      <c r="D1130" s="3" t="s">
        <v>930</v>
      </c>
      <c r="E1130" s="3" t="s">
        <v>2074</v>
      </c>
      <c r="F1130" s="3" t="s">
        <v>903</v>
      </c>
      <c r="G1130" s="3">
        <v>1.0</v>
      </c>
      <c r="H1130" s="3" t="b">
        <v>0</v>
      </c>
      <c r="L1130" s="3" t="s">
        <v>2102</v>
      </c>
    </row>
    <row r="1131" ht="15.75" customHeight="1">
      <c r="A1131" s="3" t="s">
        <v>3243</v>
      </c>
      <c r="B1131" s="12">
        <v>46118.0</v>
      </c>
      <c r="C1131" s="3" t="s">
        <v>704</v>
      </c>
      <c r="D1131" s="3" t="s">
        <v>930</v>
      </c>
      <c r="E1131" s="3" t="s">
        <v>2074</v>
      </c>
      <c r="F1131" s="3" t="s">
        <v>903</v>
      </c>
      <c r="G1131" s="3">
        <v>1.0</v>
      </c>
      <c r="H1131" s="3" t="b">
        <v>0</v>
      </c>
      <c r="L1131" s="3" t="s">
        <v>2102</v>
      </c>
    </row>
    <row r="1132" ht="15.75" customHeight="1">
      <c r="A1132" s="3" t="s">
        <v>3244</v>
      </c>
      <c r="B1132" s="12">
        <v>46118.0</v>
      </c>
      <c r="C1132" s="3" t="s">
        <v>707</v>
      </c>
      <c r="D1132" s="3" t="s">
        <v>930</v>
      </c>
      <c r="E1132" s="3" t="s">
        <v>2074</v>
      </c>
      <c r="F1132" s="3" t="s">
        <v>903</v>
      </c>
      <c r="G1132" s="3">
        <v>1.0</v>
      </c>
      <c r="H1132" s="3" t="b">
        <v>0</v>
      </c>
      <c r="L1132" s="3" t="s">
        <v>2102</v>
      </c>
    </row>
    <row r="1133" ht="15.75" customHeight="1">
      <c r="A1133" s="3" t="s">
        <v>3245</v>
      </c>
      <c r="B1133" s="12">
        <v>46118.0</v>
      </c>
      <c r="C1133" s="3" t="s">
        <v>708</v>
      </c>
      <c r="D1133" s="3" t="s">
        <v>930</v>
      </c>
      <c r="E1133" s="3" t="s">
        <v>2074</v>
      </c>
      <c r="F1133" s="3" t="s">
        <v>903</v>
      </c>
      <c r="G1133" s="3">
        <v>1.0</v>
      </c>
      <c r="H1133" s="3" t="b">
        <v>0</v>
      </c>
      <c r="L1133" s="3" t="s">
        <v>2102</v>
      </c>
    </row>
    <row r="1134" ht="15.75" customHeight="1">
      <c r="A1134" s="3" t="s">
        <v>3246</v>
      </c>
      <c r="B1134" s="12">
        <v>46118.0</v>
      </c>
      <c r="C1134" s="3" t="s">
        <v>709</v>
      </c>
      <c r="D1134" s="3" t="s">
        <v>930</v>
      </c>
      <c r="E1134" s="3" t="s">
        <v>2074</v>
      </c>
      <c r="F1134" s="3" t="s">
        <v>903</v>
      </c>
      <c r="G1134" s="3">
        <v>1.0</v>
      </c>
      <c r="H1134" s="3" t="b">
        <v>0</v>
      </c>
      <c r="L1134" s="3" t="s">
        <v>2102</v>
      </c>
    </row>
    <row r="1135" ht="15.75" customHeight="1">
      <c r="A1135" s="3" t="s">
        <v>3247</v>
      </c>
      <c r="B1135" s="12">
        <v>46118.0</v>
      </c>
      <c r="C1135" s="3" t="s">
        <v>710</v>
      </c>
      <c r="D1135" s="3" t="s">
        <v>930</v>
      </c>
      <c r="E1135" s="3" t="s">
        <v>2074</v>
      </c>
      <c r="F1135" s="3" t="s">
        <v>903</v>
      </c>
      <c r="G1135" s="3">
        <v>1.0</v>
      </c>
      <c r="H1135" s="3" t="b">
        <v>0</v>
      </c>
      <c r="L1135" s="3" t="s">
        <v>2102</v>
      </c>
    </row>
    <row r="1136" ht="15.75" customHeight="1">
      <c r="A1136" s="3" t="s">
        <v>3248</v>
      </c>
      <c r="B1136" s="12">
        <v>46118.0</v>
      </c>
      <c r="C1136" s="3" t="s">
        <v>1200</v>
      </c>
      <c r="D1136" s="3" t="s">
        <v>930</v>
      </c>
      <c r="E1136" s="3" t="s">
        <v>2074</v>
      </c>
      <c r="F1136" s="3" t="s">
        <v>903</v>
      </c>
      <c r="G1136" s="3">
        <v>1.0</v>
      </c>
      <c r="H1136" s="3" t="b">
        <v>0</v>
      </c>
      <c r="L1136" s="3" t="s">
        <v>2102</v>
      </c>
    </row>
    <row r="1137" ht="15.75" customHeight="1">
      <c r="A1137" s="3" t="s">
        <v>3249</v>
      </c>
      <c r="B1137" s="12">
        <v>46118.0</v>
      </c>
      <c r="C1137" s="3" t="s">
        <v>723</v>
      </c>
      <c r="D1137" s="3" t="s">
        <v>930</v>
      </c>
      <c r="E1137" s="3" t="s">
        <v>2074</v>
      </c>
      <c r="F1137" s="3" t="s">
        <v>903</v>
      </c>
      <c r="G1137" s="3">
        <v>1.0</v>
      </c>
      <c r="H1137" s="3" t="b">
        <v>0</v>
      </c>
      <c r="L1137" s="3" t="s">
        <v>2102</v>
      </c>
    </row>
    <row r="1138" ht="15.75" customHeight="1">
      <c r="A1138" s="3" t="s">
        <v>3250</v>
      </c>
      <c r="B1138" s="12">
        <v>46118.0</v>
      </c>
      <c r="C1138" s="3" t="s">
        <v>727</v>
      </c>
      <c r="D1138" s="3" t="s">
        <v>930</v>
      </c>
      <c r="E1138" s="3" t="s">
        <v>2074</v>
      </c>
      <c r="F1138" s="3" t="s">
        <v>903</v>
      </c>
      <c r="G1138" s="3">
        <v>1.0</v>
      </c>
      <c r="H1138" s="3" t="b">
        <v>0</v>
      </c>
      <c r="L1138" s="3" t="s">
        <v>2102</v>
      </c>
    </row>
    <row r="1139" ht="15.75" customHeight="1">
      <c r="A1139" s="3" t="s">
        <v>3251</v>
      </c>
      <c r="B1139" s="12">
        <v>46118.0</v>
      </c>
      <c r="C1139" s="3" t="s">
        <v>728</v>
      </c>
      <c r="D1139" s="3" t="s">
        <v>930</v>
      </c>
      <c r="E1139" s="3" t="s">
        <v>2074</v>
      </c>
      <c r="F1139" s="3" t="s">
        <v>903</v>
      </c>
      <c r="G1139" s="3">
        <v>1.0</v>
      </c>
      <c r="H1139" s="3" t="b">
        <v>0</v>
      </c>
      <c r="L1139" s="3" t="s">
        <v>2102</v>
      </c>
    </row>
    <row r="1140" ht="15.75" customHeight="1">
      <c r="A1140" s="3" t="s">
        <v>3252</v>
      </c>
      <c r="B1140" s="12">
        <v>46118.0</v>
      </c>
      <c r="C1140" s="3" t="s">
        <v>2824</v>
      </c>
      <c r="D1140" s="3" t="s">
        <v>930</v>
      </c>
      <c r="E1140" s="3" t="s">
        <v>2074</v>
      </c>
      <c r="F1140" s="3" t="s">
        <v>903</v>
      </c>
      <c r="G1140" s="3">
        <v>1.0</v>
      </c>
      <c r="H1140" s="3" t="b">
        <v>0</v>
      </c>
      <c r="L1140" s="3" t="s">
        <v>2102</v>
      </c>
    </row>
    <row r="1141" ht="15.75" customHeight="1">
      <c r="A1141" s="3" t="s">
        <v>3253</v>
      </c>
      <c r="B1141" s="12">
        <v>46118.0</v>
      </c>
      <c r="C1141" s="3" t="s">
        <v>730</v>
      </c>
      <c r="D1141" s="3" t="s">
        <v>930</v>
      </c>
      <c r="E1141" s="3" t="s">
        <v>2074</v>
      </c>
      <c r="F1141" s="3" t="s">
        <v>903</v>
      </c>
      <c r="G1141" s="3">
        <v>1.0</v>
      </c>
      <c r="H1141" s="3" t="b">
        <v>0</v>
      </c>
      <c r="L1141" s="3" t="s">
        <v>2102</v>
      </c>
    </row>
    <row r="1142" ht="15.75" customHeight="1">
      <c r="A1142" s="3" t="s">
        <v>3254</v>
      </c>
      <c r="B1142" s="12">
        <v>46118.0</v>
      </c>
      <c r="C1142" s="3" t="s">
        <v>737</v>
      </c>
      <c r="D1142" s="3" t="s">
        <v>930</v>
      </c>
      <c r="E1142" s="3" t="s">
        <v>2074</v>
      </c>
      <c r="F1142" s="3" t="s">
        <v>903</v>
      </c>
      <c r="G1142" s="3">
        <v>1.0</v>
      </c>
      <c r="H1142" s="3" t="b">
        <v>0</v>
      </c>
      <c r="L1142" s="3" t="s">
        <v>2102</v>
      </c>
    </row>
    <row r="1143" ht="15.75" customHeight="1">
      <c r="A1143" s="3" t="s">
        <v>3255</v>
      </c>
      <c r="B1143" s="12">
        <v>46118.0</v>
      </c>
      <c r="C1143" s="3" t="s">
        <v>738</v>
      </c>
      <c r="D1143" s="3" t="s">
        <v>930</v>
      </c>
      <c r="E1143" s="3" t="s">
        <v>2074</v>
      </c>
      <c r="F1143" s="3" t="s">
        <v>903</v>
      </c>
      <c r="G1143" s="3">
        <v>1.0</v>
      </c>
      <c r="H1143" s="3" t="b">
        <v>0</v>
      </c>
      <c r="L1143" s="3" t="s">
        <v>2102</v>
      </c>
    </row>
    <row r="1144" ht="15.75" customHeight="1">
      <c r="A1144" s="3" t="s">
        <v>3256</v>
      </c>
      <c r="B1144" s="12">
        <v>46118.0</v>
      </c>
      <c r="C1144" s="3" t="s">
        <v>739</v>
      </c>
      <c r="D1144" s="3" t="s">
        <v>930</v>
      </c>
      <c r="E1144" s="3" t="s">
        <v>2074</v>
      </c>
      <c r="F1144" s="3" t="s">
        <v>903</v>
      </c>
      <c r="G1144" s="3">
        <v>1.0</v>
      </c>
      <c r="H1144" s="3" t="b">
        <v>0</v>
      </c>
      <c r="L1144" s="3" t="s">
        <v>2102</v>
      </c>
    </row>
    <row r="1145" ht="15.75" customHeight="1">
      <c r="A1145" s="3" t="s">
        <v>3257</v>
      </c>
      <c r="B1145" s="12">
        <v>46118.0</v>
      </c>
      <c r="C1145" s="3" t="s">
        <v>742</v>
      </c>
      <c r="D1145" s="3" t="s">
        <v>930</v>
      </c>
      <c r="E1145" s="3" t="s">
        <v>2074</v>
      </c>
      <c r="F1145" s="3" t="s">
        <v>903</v>
      </c>
      <c r="G1145" s="3">
        <v>1.0</v>
      </c>
      <c r="H1145" s="3" t="b">
        <v>0</v>
      </c>
      <c r="L1145" s="3" t="s">
        <v>2102</v>
      </c>
    </row>
    <row r="1146" ht="15.75" customHeight="1">
      <c r="A1146" s="3" t="s">
        <v>3258</v>
      </c>
      <c r="B1146" s="12">
        <v>46118.0</v>
      </c>
      <c r="C1146" s="3" t="s">
        <v>744</v>
      </c>
      <c r="D1146" s="3" t="s">
        <v>930</v>
      </c>
      <c r="E1146" s="3" t="s">
        <v>2074</v>
      </c>
      <c r="F1146" s="3" t="s">
        <v>903</v>
      </c>
      <c r="G1146" s="3">
        <v>1.0</v>
      </c>
      <c r="H1146" s="3" t="b">
        <v>0</v>
      </c>
      <c r="L1146" s="3" t="s">
        <v>2102</v>
      </c>
    </row>
    <row r="1147" ht="15.75" customHeight="1">
      <c r="A1147" s="3" t="s">
        <v>3259</v>
      </c>
      <c r="B1147" s="12">
        <v>46118.0</v>
      </c>
      <c r="C1147" s="3" t="s">
        <v>746</v>
      </c>
      <c r="D1147" s="3" t="s">
        <v>930</v>
      </c>
      <c r="E1147" s="3" t="s">
        <v>2074</v>
      </c>
      <c r="F1147" s="3" t="s">
        <v>903</v>
      </c>
      <c r="G1147" s="3">
        <v>1.0</v>
      </c>
      <c r="H1147" s="3" t="b">
        <v>0</v>
      </c>
      <c r="L1147" s="3" t="s">
        <v>2102</v>
      </c>
    </row>
    <row r="1148" ht="15.75" customHeight="1">
      <c r="A1148" s="3" t="s">
        <v>3260</v>
      </c>
      <c r="B1148" s="12">
        <v>46118.0</v>
      </c>
      <c r="C1148" s="3" t="s">
        <v>747</v>
      </c>
      <c r="D1148" s="3" t="s">
        <v>930</v>
      </c>
      <c r="E1148" s="3" t="s">
        <v>2074</v>
      </c>
      <c r="F1148" s="3" t="s">
        <v>903</v>
      </c>
      <c r="G1148" s="3">
        <v>1.0</v>
      </c>
      <c r="H1148" s="3" t="b">
        <v>0</v>
      </c>
      <c r="L1148" s="3" t="s">
        <v>2102</v>
      </c>
    </row>
    <row r="1149" ht="15.75" customHeight="1">
      <c r="A1149" s="3" t="s">
        <v>3261</v>
      </c>
      <c r="B1149" s="12">
        <v>46118.0</v>
      </c>
      <c r="C1149" s="3" t="s">
        <v>748</v>
      </c>
      <c r="D1149" s="3" t="s">
        <v>930</v>
      </c>
      <c r="E1149" s="3" t="s">
        <v>2074</v>
      </c>
      <c r="F1149" s="3" t="s">
        <v>903</v>
      </c>
      <c r="G1149" s="3">
        <v>1.0</v>
      </c>
      <c r="H1149" s="3" t="b">
        <v>0</v>
      </c>
      <c r="L1149" s="3" t="s">
        <v>2102</v>
      </c>
    </row>
    <row r="1150" ht="15.75" customHeight="1">
      <c r="A1150" s="3" t="s">
        <v>3262</v>
      </c>
      <c r="B1150" s="12">
        <v>46118.0</v>
      </c>
      <c r="C1150" s="3" t="s">
        <v>750</v>
      </c>
      <c r="D1150" s="3" t="s">
        <v>930</v>
      </c>
      <c r="E1150" s="3" t="s">
        <v>2074</v>
      </c>
      <c r="F1150" s="3" t="s">
        <v>903</v>
      </c>
      <c r="G1150" s="3">
        <v>1.0</v>
      </c>
      <c r="H1150" s="3" t="b">
        <v>0</v>
      </c>
      <c r="L1150" s="3" t="s">
        <v>2102</v>
      </c>
    </row>
    <row r="1151" ht="15.75" customHeight="1">
      <c r="A1151" s="3" t="s">
        <v>3263</v>
      </c>
      <c r="B1151" s="12">
        <v>46118.0</v>
      </c>
      <c r="C1151" s="3" t="s">
        <v>756</v>
      </c>
      <c r="D1151" s="3" t="s">
        <v>930</v>
      </c>
      <c r="E1151" s="3" t="s">
        <v>2074</v>
      </c>
      <c r="F1151" s="3" t="s">
        <v>903</v>
      </c>
      <c r="G1151" s="3">
        <v>1.0</v>
      </c>
      <c r="H1151" s="3" t="b">
        <v>0</v>
      </c>
      <c r="L1151" s="3" t="s">
        <v>2102</v>
      </c>
    </row>
    <row r="1152" ht="15.75" customHeight="1">
      <c r="A1152" s="3" t="s">
        <v>3264</v>
      </c>
      <c r="B1152" s="12">
        <v>46118.0</v>
      </c>
      <c r="C1152" s="3" t="s">
        <v>758</v>
      </c>
      <c r="D1152" s="3" t="s">
        <v>930</v>
      </c>
      <c r="E1152" s="3" t="s">
        <v>2074</v>
      </c>
      <c r="F1152" s="3" t="s">
        <v>903</v>
      </c>
      <c r="G1152" s="3">
        <v>1.0</v>
      </c>
      <c r="H1152" s="3" t="b">
        <v>0</v>
      </c>
      <c r="L1152" s="3" t="s">
        <v>2102</v>
      </c>
    </row>
    <row r="1153" ht="15.75" customHeight="1">
      <c r="A1153" s="3" t="s">
        <v>3265</v>
      </c>
      <c r="B1153" s="12">
        <v>46118.0</v>
      </c>
      <c r="C1153" s="3" t="s">
        <v>762</v>
      </c>
      <c r="D1153" s="3" t="s">
        <v>930</v>
      </c>
      <c r="E1153" s="3" t="s">
        <v>2074</v>
      </c>
      <c r="F1153" s="3" t="s">
        <v>903</v>
      </c>
      <c r="G1153" s="3">
        <v>1.0</v>
      </c>
      <c r="H1153" s="3" t="b">
        <v>0</v>
      </c>
      <c r="L1153" s="3" t="s">
        <v>2102</v>
      </c>
    </row>
    <row r="1154" ht="15.75" customHeight="1">
      <c r="A1154" s="3" t="s">
        <v>3266</v>
      </c>
      <c r="B1154" s="12">
        <v>46118.0</v>
      </c>
      <c r="C1154" s="3" t="s">
        <v>764</v>
      </c>
      <c r="D1154" s="3" t="s">
        <v>930</v>
      </c>
      <c r="E1154" s="3" t="s">
        <v>2074</v>
      </c>
      <c r="F1154" s="3" t="s">
        <v>903</v>
      </c>
      <c r="G1154" s="3">
        <v>1.0</v>
      </c>
      <c r="H1154" s="3" t="b">
        <v>0</v>
      </c>
      <c r="L1154" s="3" t="s">
        <v>2102</v>
      </c>
    </row>
    <row r="1155" ht="15.75" customHeight="1">
      <c r="A1155" s="3" t="s">
        <v>3267</v>
      </c>
      <c r="B1155" s="12">
        <v>46118.0</v>
      </c>
      <c r="C1155" s="3" t="s">
        <v>1147</v>
      </c>
      <c r="D1155" s="3" t="s">
        <v>930</v>
      </c>
      <c r="E1155" s="3" t="s">
        <v>2074</v>
      </c>
      <c r="F1155" s="3" t="s">
        <v>903</v>
      </c>
      <c r="G1155" s="3">
        <v>1.0</v>
      </c>
      <c r="H1155" s="3" t="b">
        <v>0</v>
      </c>
      <c r="L1155" s="3" t="s">
        <v>2102</v>
      </c>
    </row>
    <row r="1156" ht="15.75" customHeight="1">
      <c r="A1156" s="3" t="s">
        <v>3268</v>
      </c>
      <c r="B1156" s="12">
        <v>46118.0</v>
      </c>
      <c r="C1156" s="3" t="s">
        <v>766</v>
      </c>
      <c r="D1156" s="3" t="s">
        <v>930</v>
      </c>
      <c r="E1156" s="3" t="s">
        <v>2074</v>
      </c>
      <c r="F1156" s="3" t="s">
        <v>903</v>
      </c>
      <c r="G1156" s="3">
        <v>1.0</v>
      </c>
      <c r="H1156" s="3" t="b">
        <v>0</v>
      </c>
      <c r="L1156" s="3" t="s">
        <v>2102</v>
      </c>
    </row>
    <row r="1157" ht="15.75" customHeight="1">
      <c r="A1157" s="3" t="s">
        <v>3269</v>
      </c>
      <c r="B1157" s="12">
        <v>46118.0</v>
      </c>
      <c r="C1157" s="3" t="s">
        <v>767</v>
      </c>
      <c r="D1157" s="3" t="s">
        <v>930</v>
      </c>
      <c r="E1157" s="3" t="s">
        <v>2074</v>
      </c>
      <c r="F1157" s="3" t="s">
        <v>903</v>
      </c>
      <c r="G1157" s="3">
        <v>1.0</v>
      </c>
      <c r="H1157" s="3" t="b">
        <v>0</v>
      </c>
      <c r="L1157" s="3" t="s">
        <v>2102</v>
      </c>
    </row>
    <row r="1158" ht="15.75" customHeight="1">
      <c r="A1158" s="3" t="s">
        <v>3270</v>
      </c>
      <c r="B1158" s="12">
        <v>46118.0</v>
      </c>
      <c r="C1158" s="3" t="s">
        <v>769</v>
      </c>
      <c r="D1158" s="3" t="s">
        <v>930</v>
      </c>
      <c r="E1158" s="3" t="s">
        <v>2074</v>
      </c>
      <c r="F1158" s="3" t="s">
        <v>903</v>
      </c>
      <c r="G1158" s="3">
        <v>1.0</v>
      </c>
      <c r="H1158" s="3" t="b">
        <v>0</v>
      </c>
      <c r="L1158" s="3" t="s">
        <v>2102</v>
      </c>
    </row>
    <row r="1159" ht="15.75" customHeight="1">
      <c r="A1159" s="3" t="s">
        <v>3271</v>
      </c>
      <c r="B1159" s="12">
        <v>46118.0</v>
      </c>
      <c r="C1159" s="3" t="s">
        <v>770</v>
      </c>
      <c r="D1159" s="3" t="s">
        <v>930</v>
      </c>
      <c r="E1159" s="3" t="s">
        <v>2074</v>
      </c>
      <c r="F1159" s="3" t="s">
        <v>903</v>
      </c>
      <c r="G1159" s="3">
        <v>1.0</v>
      </c>
      <c r="H1159" s="3" t="b">
        <v>0</v>
      </c>
      <c r="L1159" s="3" t="s">
        <v>2102</v>
      </c>
    </row>
    <row r="1160" ht="15.75" customHeight="1">
      <c r="A1160" s="3" t="s">
        <v>3272</v>
      </c>
      <c r="B1160" s="12">
        <v>46118.0</v>
      </c>
      <c r="C1160" s="3" t="s">
        <v>771</v>
      </c>
      <c r="D1160" s="3" t="s">
        <v>930</v>
      </c>
      <c r="E1160" s="3" t="s">
        <v>2074</v>
      </c>
      <c r="F1160" s="3" t="s">
        <v>903</v>
      </c>
      <c r="G1160" s="3">
        <v>1.0</v>
      </c>
      <c r="H1160" s="3" t="b">
        <v>0</v>
      </c>
      <c r="L1160" s="3" t="s">
        <v>2102</v>
      </c>
    </row>
    <row r="1161" ht="15.75" customHeight="1">
      <c r="A1161" s="3" t="s">
        <v>3273</v>
      </c>
      <c r="B1161" s="12">
        <v>46118.0</v>
      </c>
      <c r="C1161" s="3" t="s">
        <v>774</v>
      </c>
      <c r="D1161" s="3" t="s">
        <v>930</v>
      </c>
      <c r="E1161" s="3" t="s">
        <v>2074</v>
      </c>
      <c r="F1161" s="3" t="s">
        <v>903</v>
      </c>
      <c r="G1161" s="3">
        <v>1.0</v>
      </c>
      <c r="H1161" s="3" t="b">
        <v>0</v>
      </c>
      <c r="L1161" s="3" t="s">
        <v>2102</v>
      </c>
    </row>
    <row r="1162" ht="15.75" customHeight="1">
      <c r="A1162" s="3" t="s">
        <v>3274</v>
      </c>
      <c r="B1162" s="12">
        <v>46118.0</v>
      </c>
      <c r="C1162" s="3" t="s">
        <v>776</v>
      </c>
      <c r="D1162" s="3" t="s">
        <v>930</v>
      </c>
      <c r="E1162" s="3" t="s">
        <v>2074</v>
      </c>
      <c r="F1162" s="3" t="s">
        <v>903</v>
      </c>
      <c r="G1162" s="3">
        <v>1.0</v>
      </c>
      <c r="H1162" s="3" t="b">
        <v>0</v>
      </c>
      <c r="L1162" s="3" t="s">
        <v>2102</v>
      </c>
    </row>
    <row r="1163" ht="15.75" customHeight="1">
      <c r="A1163" s="3" t="s">
        <v>3275</v>
      </c>
      <c r="B1163" s="12">
        <v>46118.0</v>
      </c>
      <c r="C1163" s="3" t="s">
        <v>788</v>
      </c>
      <c r="D1163" s="3" t="s">
        <v>930</v>
      </c>
      <c r="E1163" s="3" t="s">
        <v>2074</v>
      </c>
      <c r="F1163" s="3" t="s">
        <v>903</v>
      </c>
      <c r="G1163" s="3">
        <v>1.0</v>
      </c>
      <c r="H1163" s="3" t="b">
        <v>0</v>
      </c>
      <c r="L1163" s="3" t="s">
        <v>2102</v>
      </c>
    </row>
    <row r="1164" ht="15.75" customHeight="1">
      <c r="A1164" s="3" t="s">
        <v>3276</v>
      </c>
      <c r="B1164" s="12">
        <v>46118.0</v>
      </c>
      <c r="C1164" s="3" t="s">
        <v>793</v>
      </c>
      <c r="D1164" s="3" t="s">
        <v>930</v>
      </c>
      <c r="E1164" s="3" t="s">
        <v>2074</v>
      </c>
      <c r="F1164" s="3" t="s">
        <v>903</v>
      </c>
      <c r="G1164" s="3">
        <v>1.0</v>
      </c>
      <c r="H1164" s="3" t="b">
        <v>0</v>
      </c>
      <c r="L1164" s="3" t="s">
        <v>2102</v>
      </c>
    </row>
    <row r="1165" ht="15.75" customHeight="1">
      <c r="A1165" s="3" t="s">
        <v>3277</v>
      </c>
      <c r="B1165" s="12">
        <v>46118.0</v>
      </c>
      <c r="C1165" s="3" t="s">
        <v>801</v>
      </c>
      <c r="D1165" s="3" t="s">
        <v>930</v>
      </c>
      <c r="E1165" s="3" t="s">
        <v>2074</v>
      </c>
      <c r="F1165" s="3" t="s">
        <v>903</v>
      </c>
      <c r="G1165" s="3">
        <v>1.0</v>
      </c>
      <c r="H1165" s="3" t="b">
        <v>0</v>
      </c>
      <c r="L1165" s="3" t="s">
        <v>2102</v>
      </c>
    </row>
    <row r="1166" ht="15.75" customHeight="1">
      <c r="A1166" s="3" t="s">
        <v>3278</v>
      </c>
      <c r="B1166" s="12">
        <v>46118.0</v>
      </c>
      <c r="C1166" s="3" t="s">
        <v>802</v>
      </c>
      <c r="D1166" s="3" t="s">
        <v>930</v>
      </c>
      <c r="E1166" s="3" t="s">
        <v>2074</v>
      </c>
      <c r="F1166" s="3" t="s">
        <v>903</v>
      </c>
      <c r="G1166" s="3">
        <v>1.0</v>
      </c>
      <c r="H1166" s="3" t="b">
        <v>0</v>
      </c>
      <c r="L1166" s="3" t="s">
        <v>2102</v>
      </c>
    </row>
    <row r="1167" ht="15.75" customHeight="1">
      <c r="A1167" s="3" t="s">
        <v>3279</v>
      </c>
      <c r="B1167" s="12">
        <v>46118.0</v>
      </c>
      <c r="C1167" s="3" t="s">
        <v>803</v>
      </c>
      <c r="D1167" s="3" t="s">
        <v>930</v>
      </c>
      <c r="E1167" s="3" t="s">
        <v>2074</v>
      </c>
      <c r="F1167" s="3" t="s">
        <v>903</v>
      </c>
      <c r="G1167" s="3">
        <v>1.0</v>
      </c>
      <c r="H1167" s="3" t="b">
        <v>0</v>
      </c>
      <c r="L1167" s="3" t="s">
        <v>2102</v>
      </c>
    </row>
    <row r="1168" ht="15.75" customHeight="1">
      <c r="A1168" s="3" t="s">
        <v>3280</v>
      </c>
      <c r="B1168" s="12">
        <v>46118.0</v>
      </c>
      <c r="C1168" s="3" t="s">
        <v>808</v>
      </c>
      <c r="D1168" s="3" t="s">
        <v>930</v>
      </c>
      <c r="E1168" s="3" t="s">
        <v>2074</v>
      </c>
      <c r="F1168" s="3" t="s">
        <v>903</v>
      </c>
      <c r="G1168" s="3">
        <v>1.0</v>
      </c>
      <c r="H1168" s="3" t="b">
        <v>0</v>
      </c>
      <c r="L1168" s="3" t="s">
        <v>2102</v>
      </c>
    </row>
    <row r="1169" ht="15.75" customHeight="1">
      <c r="A1169" s="3" t="s">
        <v>3281</v>
      </c>
      <c r="B1169" s="12">
        <v>46118.0</v>
      </c>
      <c r="C1169" s="3" t="s">
        <v>811</v>
      </c>
      <c r="D1169" s="3" t="s">
        <v>930</v>
      </c>
      <c r="E1169" s="3" t="s">
        <v>2074</v>
      </c>
      <c r="F1169" s="3" t="s">
        <v>903</v>
      </c>
      <c r="G1169" s="3">
        <v>1.0</v>
      </c>
      <c r="H1169" s="3" t="b">
        <v>0</v>
      </c>
      <c r="L1169" s="3" t="s">
        <v>2102</v>
      </c>
    </row>
    <row r="1170" ht="15.75" customHeight="1">
      <c r="A1170" s="13" t="s">
        <v>3282</v>
      </c>
      <c r="B1170" s="12">
        <v>46118.0</v>
      </c>
      <c r="C1170" s="3" t="s">
        <v>817</v>
      </c>
      <c r="D1170" s="3" t="s">
        <v>930</v>
      </c>
      <c r="E1170" s="3" t="s">
        <v>2074</v>
      </c>
      <c r="F1170" s="3" t="s">
        <v>903</v>
      </c>
      <c r="G1170" s="3">
        <v>1.0</v>
      </c>
      <c r="H1170" s="3" t="b">
        <v>0</v>
      </c>
      <c r="L1170" s="3" t="s">
        <v>2102</v>
      </c>
    </row>
    <row r="1171" ht="15.75" customHeight="1">
      <c r="A1171" s="3" t="s">
        <v>3283</v>
      </c>
      <c r="B1171" s="12">
        <v>46118.0</v>
      </c>
      <c r="C1171" s="3" t="s">
        <v>818</v>
      </c>
      <c r="D1171" s="3" t="s">
        <v>930</v>
      </c>
      <c r="E1171" s="3" t="s">
        <v>2074</v>
      </c>
      <c r="F1171" s="3" t="s">
        <v>903</v>
      </c>
      <c r="G1171" s="3">
        <v>1.0</v>
      </c>
      <c r="H1171" s="3" t="b">
        <v>0</v>
      </c>
      <c r="L1171" s="3" t="s">
        <v>2102</v>
      </c>
    </row>
    <row r="1172" ht="15.75" customHeight="1">
      <c r="A1172" s="3" t="s">
        <v>3284</v>
      </c>
      <c r="B1172" s="12">
        <v>46118.0</v>
      </c>
      <c r="C1172" s="3" t="s">
        <v>819</v>
      </c>
      <c r="D1172" s="3" t="s">
        <v>930</v>
      </c>
      <c r="E1172" s="3" t="s">
        <v>2074</v>
      </c>
      <c r="F1172" s="3" t="s">
        <v>903</v>
      </c>
      <c r="G1172" s="3">
        <v>1.0</v>
      </c>
      <c r="H1172" s="3" t="b">
        <v>0</v>
      </c>
      <c r="L1172" s="3" t="s">
        <v>2102</v>
      </c>
    </row>
    <row r="1173" ht="15.75" customHeight="1">
      <c r="A1173" s="3" t="s">
        <v>3285</v>
      </c>
      <c r="B1173" s="12">
        <v>46118.0</v>
      </c>
      <c r="C1173" s="3" t="s">
        <v>90</v>
      </c>
      <c r="D1173" s="3" t="s">
        <v>932</v>
      </c>
      <c r="E1173" s="3" t="s">
        <v>2074</v>
      </c>
      <c r="F1173" s="3" t="s">
        <v>903</v>
      </c>
      <c r="G1173" s="3">
        <v>1.0</v>
      </c>
      <c r="H1173" s="3" t="b">
        <v>0</v>
      </c>
      <c r="L1173" s="3" t="s">
        <v>2102</v>
      </c>
    </row>
    <row r="1174" ht="15.75" customHeight="1">
      <c r="A1174" s="3" t="s">
        <v>3286</v>
      </c>
      <c r="B1174" s="12">
        <v>46118.0</v>
      </c>
      <c r="C1174" s="3" t="s">
        <v>96</v>
      </c>
      <c r="D1174" s="3" t="s">
        <v>932</v>
      </c>
      <c r="E1174" s="3" t="s">
        <v>2074</v>
      </c>
      <c r="F1174" s="3" t="s">
        <v>903</v>
      </c>
      <c r="G1174" s="3">
        <v>1.0</v>
      </c>
      <c r="H1174" s="3" t="b">
        <v>0</v>
      </c>
      <c r="L1174" s="3" t="s">
        <v>2102</v>
      </c>
    </row>
    <row r="1175" ht="15.75" customHeight="1">
      <c r="A1175" s="3" t="s">
        <v>3287</v>
      </c>
      <c r="B1175" s="12">
        <v>46118.0</v>
      </c>
      <c r="C1175" s="3" t="s">
        <v>101</v>
      </c>
      <c r="D1175" s="3" t="s">
        <v>932</v>
      </c>
      <c r="E1175" s="3" t="s">
        <v>2074</v>
      </c>
      <c r="F1175" s="3" t="s">
        <v>903</v>
      </c>
      <c r="G1175" s="3">
        <v>1.0</v>
      </c>
      <c r="H1175" s="3" t="b">
        <v>0</v>
      </c>
      <c r="L1175" s="3" t="s">
        <v>2102</v>
      </c>
    </row>
    <row r="1176" ht="15.75" customHeight="1">
      <c r="A1176" s="3" t="s">
        <v>3288</v>
      </c>
      <c r="B1176" s="12">
        <v>46118.0</v>
      </c>
      <c r="C1176" s="3" t="s">
        <v>103</v>
      </c>
      <c r="D1176" s="3" t="s">
        <v>932</v>
      </c>
      <c r="E1176" s="3" t="s">
        <v>2074</v>
      </c>
      <c r="F1176" s="3" t="s">
        <v>903</v>
      </c>
      <c r="G1176" s="3">
        <v>1.0</v>
      </c>
      <c r="H1176" s="3" t="b">
        <v>0</v>
      </c>
      <c r="L1176" s="3" t="s">
        <v>2102</v>
      </c>
    </row>
    <row r="1177" ht="15.75" customHeight="1">
      <c r="A1177" s="3" t="s">
        <v>3289</v>
      </c>
      <c r="B1177" s="12">
        <v>46118.0</v>
      </c>
      <c r="C1177" s="3" t="s">
        <v>108</v>
      </c>
      <c r="D1177" s="3" t="s">
        <v>932</v>
      </c>
      <c r="E1177" s="3" t="s">
        <v>2074</v>
      </c>
      <c r="F1177" s="3" t="s">
        <v>903</v>
      </c>
      <c r="G1177" s="3">
        <v>1.0</v>
      </c>
      <c r="H1177" s="3" t="b">
        <v>0</v>
      </c>
      <c r="L1177" s="3" t="s">
        <v>2102</v>
      </c>
    </row>
    <row r="1178" ht="15.75" customHeight="1">
      <c r="A1178" s="3" t="s">
        <v>3290</v>
      </c>
      <c r="B1178" s="12">
        <v>46118.0</v>
      </c>
      <c r="C1178" s="3" t="s">
        <v>128</v>
      </c>
      <c r="D1178" s="3" t="s">
        <v>932</v>
      </c>
      <c r="E1178" s="3" t="s">
        <v>2074</v>
      </c>
      <c r="F1178" s="3" t="s">
        <v>903</v>
      </c>
      <c r="G1178" s="3">
        <v>1.0</v>
      </c>
      <c r="H1178" s="3" t="b">
        <v>0</v>
      </c>
      <c r="L1178" s="3" t="s">
        <v>2102</v>
      </c>
    </row>
    <row r="1179" ht="15.75" customHeight="1">
      <c r="A1179" s="3" t="s">
        <v>3291</v>
      </c>
      <c r="B1179" s="12">
        <v>46118.0</v>
      </c>
      <c r="C1179" s="3" t="s">
        <v>160</v>
      </c>
      <c r="D1179" s="3" t="s">
        <v>932</v>
      </c>
      <c r="E1179" s="3" t="s">
        <v>2074</v>
      </c>
      <c r="F1179" s="3" t="s">
        <v>903</v>
      </c>
      <c r="G1179" s="3">
        <v>1.0</v>
      </c>
      <c r="H1179" s="3" t="b">
        <v>0</v>
      </c>
      <c r="L1179" s="3" t="s">
        <v>2102</v>
      </c>
    </row>
    <row r="1180" ht="15.75" customHeight="1">
      <c r="A1180" s="3" t="s">
        <v>3292</v>
      </c>
      <c r="B1180" s="12">
        <v>46118.0</v>
      </c>
      <c r="C1180" s="3" t="s">
        <v>202</v>
      </c>
      <c r="D1180" s="3" t="s">
        <v>932</v>
      </c>
      <c r="E1180" s="3" t="s">
        <v>2074</v>
      </c>
      <c r="F1180" s="3" t="s">
        <v>903</v>
      </c>
      <c r="G1180" s="3">
        <v>1.0</v>
      </c>
      <c r="H1180" s="3" t="b">
        <v>0</v>
      </c>
      <c r="L1180" s="3" t="s">
        <v>2102</v>
      </c>
    </row>
    <row r="1181" ht="15.75" customHeight="1">
      <c r="A1181" s="3" t="s">
        <v>3293</v>
      </c>
      <c r="B1181" s="12">
        <v>46118.0</v>
      </c>
      <c r="C1181" s="3" t="s">
        <v>203</v>
      </c>
      <c r="D1181" s="3" t="s">
        <v>932</v>
      </c>
      <c r="E1181" s="3" t="s">
        <v>2074</v>
      </c>
      <c r="F1181" s="3" t="s">
        <v>903</v>
      </c>
      <c r="G1181" s="3">
        <v>1.0</v>
      </c>
      <c r="H1181" s="3" t="b">
        <v>0</v>
      </c>
      <c r="L1181" s="3" t="s">
        <v>2102</v>
      </c>
    </row>
    <row r="1182" ht="15.75" customHeight="1">
      <c r="A1182" s="3" t="s">
        <v>3294</v>
      </c>
      <c r="B1182" s="12">
        <v>46118.0</v>
      </c>
      <c r="C1182" s="3" t="s">
        <v>206</v>
      </c>
      <c r="D1182" s="3" t="s">
        <v>932</v>
      </c>
      <c r="E1182" s="3" t="s">
        <v>2074</v>
      </c>
      <c r="F1182" s="3" t="s">
        <v>903</v>
      </c>
      <c r="G1182" s="3">
        <v>1.0</v>
      </c>
      <c r="H1182" s="3" t="b">
        <v>0</v>
      </c>
      <c r="L1182" s="3" t="s">
        <v>2102</v>
      </c>
    </row>
    <row r="1183" ht="15.75" customHeight="1">
      <c r="A1183" s="3" t="s">
        <v>3295</v>
      </c>
      <c r="B1183" s="12">
        <v>46118.0</v>
      </c>
      <c r="C1183" s="3" t="s">
        <v>210</v>
      </c>
      <c r="D1183" s="3" t="s">
        <v>932</v>
      </c>
      <c r="E1183" s="3" t="s">
        <v>2074</v>
      </c>
      <c r="F1183" s="3" t="s">
        <v>903</v>
      </c>
      <c r="G1183" s="3">
        <v>1.0</v>
      </c>
      <c r="H1183" s="3" t="b">
        <v>0</v>
      </c>
      <c r="L1183" s="3" t="s">
        <v>2102</v>
      </c>
    </row>
    <row r="1184" ht="15.75" customHeight="1">
      <c r="A1184" s="3" t="s">
        <v>3296</v>
      </c>
      <c r="B1184" s="12">
        <v>46118.0</v>
      </c>
      <c r="C1184" s="3" t="s">
        <v>219</v>
      </c>
      <c r="D1184" s="3" t="s">
        <v>932</v>
      </c>
      <c r="E1184" s="3" t="s">
        <v>2074</v>
      </c>
      <c r="F1184" s="3" t="s">
        <v>903</v>
      </c>
      <c r="G1184" s="3">
        <v>1.0</v>
      </c>
      <c r="H1184" s="3" t="b">
        <v>0</v>
      </c>
      <c r="L1184" s="3" t="s">
        <v>2102</v>
      </c>
    </row>
    <row r="1185" ht="15.75" customHeight="1">
      <c r="A1185" s="3" t="s">
        <v>3297</v>
      </c>
      <c r="B1185" s="12">
        <v>46118.0</v>
      </c>
      <c r="C1185" s="3" t="s">
        <v>223</v>
      </c>
      <c r="D1185" s="3" t="s">
        <v>932</v>
      </c>
      <c r="E1185" s="3" t="s">
        <v>2074</v>
      </c>
      <c r="F1185" s="3" t="s">
        <v>903</v>
      </c>
      <c r="G1185" s="3">
        <v>1.0</v>
      </c>
      <c r="H1185" s="3" t="b">
        <v>0</v>
      </c>
      <c r="L1185" s="3" t="s">
        <v>2102</v>
      </c>
    </row>
    <row r="1186" ht="15.75" customHeight="1">
      <c r="A1186" s="3" t="s">
        <v>3298</v>
      </c>
      <c r="B1186" s="12">
        <v>46118.0</v>
      </c>
      <c r="C1186" s="3" t="s">
        <v>230</v>
      </c>
      <c r="D1186" s="3" t="s">
        <v>932</v>
      </c>
      <c r="E1186" s="3" t="s">
        <v>2074</v>
      </c>
      <c r="F1186" s="3" t="s">
        <v>903</v>
      </c>
      <c r="G1186" s="3">
        <v>1.0</v>
      </c>
      <c r="H1186" s="3" t="b">
        <v>0</v>
      </c>
      <c r="L1186" s="3" t="s">
        <v>2102</v>
      </c>
    </row>
    <row r="1187" ht="15.75" customHeight="1">
      <c r="A1187" s="13" t="s">
        <v>3299</v>
      </c>
      <c r="B1187" s="12">
        <v>46118.0</v>
      </c>
      <c r="C1187" s="3" t="s">
        <v>234</v>
      </c>
      <c r="D1187" s="3" t="s">
        <v>932</v>
      </c>
      <c r="E1187" s="3" t="s">
        <v>2074</v>
      </c>
      <c r="F1187" s="3" t="s">
        <v>903</v>
      </c>
      <c r="G1187" s="3">
        <v>1.0</v>
      </c>
      <c r="H1187" s="3" t="b">
        <v>0</v>
      </c>
      <c r="L1187" s="3" t="s">
        <v>2102</v>
      </c>
    </row>
    <row r="1188" ht="15.75" customHeight="1">
      <c r="A1188" s="3" t="s">
        <v>3300</v>
      </c>
      <c r="B1188" s="12">
        <v>46118.0</v>
      </c>
      <c r="C1188" s="3" t="s">
        <v>236</v>
      </c>
      <c r="D1188" s="3" t="s">
        <v>932</v>
      </c>
      <c r="E1188" s="3" t="s">
        <v>2074</v>
      </c>
      <c r="F1188" s="3" t="s">
        <v>903</v>
      </c>
      <c r="G1188" s="3">
        <v>1.0</v>
      </c>
      <c r="H1188" s="3" t="b">
        <v>0</v>
      </c>
      <c r="L1188" s="3" t="s">
        <v>2102</v>
      </c>
    </row>
    <row r="1189" ht="15.75" customHeight="1">
      <c r="A1189" s="3" t="s">
        <v>3301</v>
      </c>
      <c r="B1189" s="12">
        <v>46118.0</v>
      </c>
      <c r="C1189" s="3" t="s">
        <v>243</v>
      </c>
      <c r="D1189" s="3" t="s">
        <v>932</v>
      </c>
      <c r="E1189" s="3" t="s">
        <v>2074</v>
      </c>
      <c r="F1189" s="3" t="s">
        <v>903</v>
      </c>
      <c r="G1189" s="3">
        <v>1.0</v>
      </c>
      <c r="H1189" s="3" t="b">
        <v>0</v>
      </c>
      <c r="L1189" s="3" t="s">
        <v>2102</v>
      </c>
    </row>
    <row r="1190" ht="15.75" customHeight="1">
      <c r="A1190" s="3" t="s">
        <v>3302</v>
      </c>
      <c r="B1190" s="12">
        <v>46118.0</v>
      </c>
      <c r="C1190" s="3" t="s">
        <v>244</v>
      </c>
      <c r="D1190" s="3" t="s">
        <v>932</v>
      </c>
      <c r="E1190" s="3" t="s">
        <v>2074</v>
      </c>
      <c r="F1190" s="3" t="s">
        <v>903</v>
      </c>
      <c r="G1190" s="3">
        <v>1.0</v>
      </c>
      <c r="H1190" s="3" t="b">
        <v>0</v>
      </c>
      <c r="L1190" s="3" t="s">
        <v>2102</v>
      </c>
    </row>
    <row r="1191" ht="15.75" customHeight="1">
      <c r="A1191" s="3" t="s">
        <v>3303</v>
      </c>
      <c r="B1191" s="12">
        <v>46118.0</v>
      </c>
      <c r="C1191" s="3" t="s">
        <v>253</v>
      </c>
      <c r="D1191" s="3" t="s">
        <v>932</v>
      </c>
      <c r="E1191" s="3" t="s">
        <v>2074</v>
      </c>
      <c r="F1191" s="3" t="s">
        <v>903</v>
      </c>
      <c r="G1191" s="3">
        <v>1.0</v>
      </c>
      <c r="H1191" s="3" t="b">
        <v>0</v>
      </c>
      <c r="L1191" s="3" t="s">
        <v>2102</v>
      </c>
    </row>
    <row r="1192" ht="15.75" customHeight="1">
      <c r="A1192" s="3" t="s">
        <v>3304</v>
      </c>
      <c r="B1192" s="12">
        <v>46118.0</v>
      </c>
      <c r="C1192" s="3" t="s">
        <v>257</v>
      </c>
      <c r="D1192" s="3" t="s">
        <v>932</v>
      </c>
      <c r="E1192" s="3" t="s">
        <v>2074</v>
      </c>
      <c r="F1192" s="3" t="s">
        <v>903</v>
      </c>
      <c r="G1192" s="3">
        <v>1.0</v>
      </c>
      <c r="H1192" s="3" t="b">
        <v>0</v>
      </c>
      <c r="L1192" s="3" t="s">
        <v>2102</v>
      </c>
    </row>
    <row r="1193" ht="15.75" customHeight="1">
      <c r="A1193" s="3" t="s">
        <v>3305</v>
      </c>
      <c r="B1193" s="12">
        <v>46118.0</v>
      </c>
      <c r="C1193" s="3" t="s">
        <v>258</v>
      </c>
      <c r="D1193" s="3" t="s">
        <v>932</v>
      </c>
      <c r="E1193" s="3" t="s">
        <v>2074</v>
      </c>
      <c r="F1193" s="3" t="s">
        <v>903</v>
      </c>
      <c r="G1193" s="3">
        <v>1.0</v>
      </c>
      <c r="H1193" s="3" t="b">
        <v>0</v>
      </c>
      <c r="L1193" s="3" t="s">
        <v>2102</v>
      </c>
    </row>
    <row r="1194" ht="15.75" customHeight="1">
      <c r="A1194" s="3" t="s">
        <v>3306</v>
      </c>
      <c r="B1194" s="12">
        <v>46118.0</v>
      </c>
      <c r="C1194" s="3" t="s">
        <v>259</v>
      </c>
      <c r="D1194" s="3" t="s">
        <v>932</v>
      </c>
      <c r="E1194" s="3" t="s">
        <v>2074</v>
      </c>
      <c r="F1194" s="3" t="s">
        <v>903</v>
      </c>
      <c r="G1194" s="3">
        <v>1.0</v>
      </c>
      <c r="H1194" s="3" t="b">
        <v>0</v>
      </c>
      <c r="L1194" s="3" t="s">
        <v>2102</v>
      </c>
    </row>
    <row r="1195" ht="15.75" customHeight="1">
      <c r="A1195" s="3" t="s">
        <v>3307</v>
      </c>
      <c r="B1195" s="12">
        <v>46118.0</v>
      </c>
      <c r="C1195" s="3" t="s">
        <v>260</v>
      </c>
      <c r="D1195" s="3" t="s">
        <v>932</v>
      </c>
      <c r="E1195" s="3" t="s">
        <v>2074</v>
      </c>
      <c r="F1195" s="3" t="s">
        <v>903</v>
      </c>
      <c r="G1195" s="3">
        <v>1.0</v>
      </c>
      <c r="H1195" s="3" t="b">
        <v>0</v>
      </c>
      <c r="L1195" s="3" t="s">
        <v>2102</v>
      </c>
    </row>
    <row r="1196" ht="15.75" customHeight="1">
      <c r="A1196" s="3" t="s">
        <v>3308</v>
      </c>
      <c r="B1196" s="12">
        <v>46118.0</v>
      </c>
      <c r="C1196" s="3" t="s">
        <v>268</v>
      </c>
      <c r="D1196" s="3" t="s">
        <v>932</v>
      </c>
      <c r="E1196" s="3" t="s">
        <v>2074</v>
      </c>
      <c r="F1196" s="3" t="s">
        <v>903</v>
      </c>
      <c r="G1196" s="3">
        <v>1.0</v>
      </c>
      <c r="H1196" s="3" t="b">
        <v>0</v>
      </c>
      <c r="L1196" s="3" t="s">
        <v>2102</v>
      </c>
    </row>
    <row r="1197" ht="15.75" customHeight="1">
      <c r="A1197" s="3" t="s">
        <v>3309</v>
      </c>
      <c r="B1197" s="12">
        <v>46118.0</v>
      </c>
      <c r="C1197" s="3" t="s">
        <v>272</v>
      </c>
      <c r="D1197" s="3" t="s">
        <v>932</v>
      </c>
      <c r="E1197" s="3" t="s">
        <v>2074</v>
      </c>
      <c r="F1197" s="3" t="s">
        <v>903</v>
      </c>
      <c r="G1197" s="3">
        <v>1.0</v>
      </c>
      <c r="H1197" s="3" t="b">
        <v>0</v>
      </c>
      <c r="L1197" s="3" t="s">
        <v>2102</v>
      </c>
    </row>
    <row r="1198" ht="15.75" customHeight="1">
      <c r="A1198" s="3" t="s">
        <v>3310</v>
      </c>
      <c r="B1198" s="12">
        <v>46118.0</v>
      </c>
      <c r="C1198" s="3" t="s">
        <v>2365</v>
      </c>
      <c r="D1198" s="3" t="s">
        <v>932</v>
      </c>
      <c r="E1198" s="3" t="s">
        <v>2074</v>
      </c>
      <c r="F1198" s="3" t="s">
        <v>903</v>
      </c>
      <c r="G1198" s="3">
        <v>1.0</v>
      </c>
      <c r="H1198" s="3" t="b">
        <v>0</v>
      </c>
      <c r="L1198" s="3" t="s">
        <v>2102</v>
      </c>
    </row>
    <row r="1199" ht="15.75" customHeight="1">
      <c r="A1199" s="3" t="s">
        <v>3311</v>
      </c>
      <c r="B1199" s="12">
        <v>46118.0</v>
      </c>
      <c r="C1199" s="3" t="s">
        <v>279</v>
      </c>
      <c r="D1199" s="3" t="s">
        <v>932</v>
      </c>
      <c r="E1199" s="3" t="s">
        <v>2074</v>
      </c>
      <c r="F1199" s="3" t="s">
        <v>903</v>
      </c>
      <c r="G1199" s="3">
        <v>1.0</v>
      </c>
      <c r="H1199" s="3" t="b">
        <v>0</v>
      </c>
      <c r="L1199" s="3" t="s">
        <v>2102</v>
      </c>
    </row>
    <row r="1200" ht="15.75" customHeight="1">
      <c r="A1200" s="3" t="s">
        <v>3312</v>
      </c>
      <c r="B1200" s="12">
        <v>46118.0</v>
      </c>
      <c r="C1200" s="3" t="s">
        <v>280</v>
      </c>
      <c r="D1200" s="3" t="s">
        <v>932</v>
      </c>
      <c r="E1200" s="3" t="s">
        <v>2074</v>
      </c>
      <c r="F1200" s="3" t="s">
        <v>903</v>
      </c>
      <c r="G1200" s="3">
        <v>1.0</v>
      </c>
      <c r="H1200" s="3" t="b">
        <v>0</v>
      </c>
      <c r="L1200" s="3" t="s">
        <v>2102</v>
      </c>
    </row>
    <row r="1201" ht="15.75" customHeight="1">
      <c r="A1201" s="3" t="s">
        <v>3313</v>
      </c>
      <c r="B1201" s="12">
        <v>46118.0</v>
      </c>
      <c r="C1201" s="3" t="s">
        <v>303</v>
      </c>
      <c r="D1201" s="3" t="s">
        <v>932</v>
      </c>
      <c r="E1201" s="3" t="s">
        <v>2074</v>
      </c>
      <c r="F1201" s="3" t="s">
        <v>903</v>
      </c>
      <c r="G1201" s="3">
        <v>1.0</v>
      </c>
      <c r="H1201" s="3" t="b">
        <v>0</v>
      </c>
      <c r="L1201" s="3" t="s">
        <v>2102</v>
      </c>
    </row>
    <row r="1202" ht="15.75" customHeight="1">
      <c r="A1202" s="3" t="s">
        <v>3314</v>
      </c>
      <c r="B1202" s="12">
        <v>46118.0</v>
      </c>
      <c r="C1202" s="3" t="s">
        <v>304</v>
      </c>
      <c r="D1202" s="3" t="s">
        <v>932</v>
      </c>
      <c r="E1202" s="3" t="s">
        <v>2074</v>
      </c>
      <c r="F1202" s="3" t="s">
        <v>903</v>
      </c>
      <c r="G1202" s="3">
        <v>1.0</v>
      </c>
      <c r="H1202" s="3" t="b">
        <v>0</v>
      </c>
      <c r="L1202" s="3" t="s">
        <v>2102</v>
      </c>
    </row>
    <row r="1203" ht="15.75" customHeight="1">
      <c r="A1203" s="13" t="s">
        <v>3315</v>
      </c>
      <c r="B1203" s="12">
        <v>46118.0</v>
      </c>
      <c r="C1203" s="3" t="s">
        <v>307</v>
      </c>
      <c r="D1203" s="3" t="s">
        <v>932</v>
      </c>
      <c r="E1203" s="3" t="s">
        <v>2074</v>
      </c>
      <c r="F1203" s="3" t="s">
        <v>903</v>
      </c>
      <c r="G1203" s="3">
        <v>1.0</v>
      </c>
      <c r="H1203" s="3" t="b">
        <v>0</v>
      </c>
      <c r="L1203" s="3" t="s">
        <v>2102</v>
      </c>
    </row>
    <row r="1204" ht="15.75" customHeight="1">
      <c r="A1204" s="3" t="s">
        <v>3316</v>
      </c>
      <c r="B1204" s="12">
        <v>46118.0</v>
      </c>
      <c r="C1204" s="3" t="s">
        <v>310</v>
      </c>
      <c r="D1204" s="3" t="s">
        <v>932</v>
      </c>
      <c r="E1204" s="3" t="s">
        <v>2074</v>
      </c>
      <c r="F1204" s="3" t="s">
        <v>903</v>
      </c>
      <c r="G1204" s="3">
        <v>1.0</v>
      </c>
      <c r="H1204" s="3" t="b">
        <v>0</v>
      </c>
      <c r="L1204" s="3" t="s">
        <v>2102</v>
      </c>
    </row>
    <row r="1205" ht="15.75" customHeight="1">
      <c r="A1205" s="3" t="s">
        <v>3317</v>
      </c>
      <c r="B1205" s="12">
        <v>46118.0</v>
      </c>
      <c r="C1205" s="3" t="s">
        <v>312</v>
      </c>
      <c r="D1205" s="3" t="s">
        <v>932</v>
      </c>
      <c r="E1205" s="3" t="s">
        <v>2074</v>
      </c>
      <c r="F1205" s="3" t="s">
        <v>903</v>
      </c>
      <c r="G1205" s="3">
        <v>1.0</v>
      </c>
      <c r="H1205" s="3" t="b">
        <v>0</v>
      </c>
      <c r="L1205" s="3" t="s">
        <v>2102</v>
      </c>
    </row>
    <row r="1206" ht="15.75" customHeight="1">
      <c r="A1206" s="3" t="s">
        <v>3318</v>
      </c>
      <c r="B1206" s="12">
        <v>46118.0</v>
      </c>
      <c r="C1206" s="3" t="s">
        <v>313</v>
      </c>
      <c r="D1206" s="3" t="s">
        <v>932</v>
      </c>
      <c r="E1206" s="3" t="s">
        <v>2074</v>
      </c>
      <c r="F1206" s="3" t="s">
        <v>903</v>
      </c>
      <c r="G1206" s="3">
        <v>1.0</v>
      </c>
      <c r="H1206" s="3" t="b">
        <v>0</v>
      </c>
      <c r="L1206" s="3" t="s">
        <v>2102</v>
      </c>
    </row>
    <row r="1207" ht="15.75" customHeight="1">
      <c r="A1207" s="3" t="s">
        <v>3319</v>
      </c>
      <c r="B1207" s="12">
        <v>46118.0</v>
      </c>
      <c r="C1207" s="3" t="s">
        <v>323</v>
      </c>
      <c r="D1207" s="3" t="s">
        <v>932</v>
      </c>
      <c r="E1207" s="3" t="s">
        <v>2074</v>
      </c>
      <c r="F1207" s="3" t="s">
        <v>903</v>
      </c>
      <c r="G1207" s="3">
        <v>1.0</v>
      </c>
      <c r="H1207" s="3" t="b">
        <v>0</v>
      </c>
      <c r="L1207" s="3" t="s">
        <v>2102</v>
      </c>
    </row>
    <row r="1208" ht="15.75" customHeight="1">
      <c r="A1208" s="3" t="s">
        <v>3320</v>
      </c>
      <c r="B1208" s="12">
        <v>46118.0</v>
      </c>
      <c r="C1208" s="3" t="s">
        <v>330</v>
      </c>
      <c r="D1208" s="3" t="s">
        <v>932</v>
      </c>
      <c r="E1208" s="3" t="s">
        <v>2074</v>
      </c>
      <c r="F1208" s="3" t="s">
        <v>903</v>
      </c>
      <c r="G1208" s="3">
        <v>1.0</v>
      </c>
      <c r="H1208" s="3" t="b">
        <v>0</v>
      </c>
      <c r="L1208" s="3" t="s">
        <v>2102</v>
      </c>
    </row>
    <row r="1209" ht="15.75" customHeight="1">
      <c r="A1209" s="3" t="s">
        <v>3321</v>
      </c>
      <c r="B1209" s="12">
        <v>46118.0</v>
      </c>
      <c r="C1209" s="3" t="s">
        <v>335</v>
      </c>
      <c r="D1209" s="3" t="s">
        <v>932</v>
      </c>
      <c r="E1209" s="3" t="s">
        <v>2074</v>
      </c>
      <c r="F1209" s="3" t="s">
        <v>903</v>
      </c>
      <c r="G1209" s="3">
        <v>1.0</v>
      </c>
      <c r="H1209" s="3" t="b">
        <v>0</v>
      </c>
      <c r="L1209" s="3" t="s">
        <v>2102</v>
      </c>
    </row>
    <row r="1210" ht="15.75" customHeight="1">
      <c r="A1210" s="3" t="s">
        <v>3322</v>
      </c>
      <c r="B1210" s="12">
        <v>46118.0</v>
      </c>
      <c r="C1210" s="3" t="s">
        <v>343</v>
      </c>
      <c r="D1210" s="3" t="s">
        <v>932</v>
      </c>
      <c r="E1210" s="3" t="s">
        <v>2074</v>
      </c>
      <c r="F1210" s="3" t="s">
        <v>903</v>
      </c>
      <c r="G1210" s="3">
        <v>1.0</v>
      </c>
      <c r="H1210" s="3" t="b">
        <v>0</v>
      </c>
      <c r="L1210" s="3" t="s">
        <v>2102</v>
      </c>
    </row>
    <row r="1211" ht="15.75" customHeight="1">
      <c r="A1211" s="3" t="s">
        <v>3323</v>
      </c>
      <c r="B1211" s="12">
        <v>46118.0</v>
      </c>
      <c r="C1211" s="3" t="s">
        <v>348</v>
      </c>
      <c r="D1211" s="3" t="s">
        <v>932</v>
      </c>
      <c r="E1211" s="3" t="s">
        <v>2074</v>
      </c>
      <c r="F1211" s="3" t="s">
        <v>903</v>
      </c>
      <c r="G1211" s="3">
        <v>1.0</v>
      </c>
      <c r="H1211" s="3" t="b">
        <v>0</v>
      </c>
      <c r="L1211" s="3" t="s">
        <v>2102</v>
      </c>
    </row>
    <row r="1212" ht="15.75" customHeight="1">
      <c r="A1212" s="3" t="s">
        <v>3324</v>
      </c>
      <c r="B1212" s="12">
        <v>46118.0</v>
      </c>
      <c r="C1212" s="3" t="s">
        <v>355</v>
      </c>
      <c r="D1212" s="3" t="s">
        <v>932</v>
      </c>
      <c r="E1212" s="3" t="s">
        <v>2074</v>
      </c>
      <c r="F1212" s="3" t="s">
        <v>903</v>
      </c>
      <c r="G1212" s="3">
        <v>1.0</v>
      </c>
      <c r="H1212" s="3" t="b">
        <v>0</v>
      </c>
      <c r="L1212" s="3" t="s">
        <v>2102</v>
      </c>
    </row>
    <row r="1213" ht="15.75" customHeight="1">
      <c r="A1213" s="3" t="s">
        <v>3325</v>
      </c>
      <c r="B1213" s="12">
        <v>46118.0</v>
      </c>
      <c r="C1213" s="3" t="s">
        <v>367</v>
      </c>
      <c r="D1213" s="3" t="s">
        <v>932</v>
      </c>
      <c r="E1213" s="3" t="s">
        <v>2074</v>
      </c>
      <c r="F1213" s="3" t="s">
        <v>903</v>
      </c>
      <c r="G1213" s="3">
        <v>1.0</v>
      </c>
      <c r="H1213" s="3" t="b">
        <v>0</v>
      </c>
      <c r="L1213" s="3" t="s">
        <v>2102</v>
      </c>
    </row>
    <row r="1214" ht="15.75" customHeight="1">
      <c r="A1214" s="3" t="s">
        <v>3326</v>
      </c>
      <c r="B1214" s="12">
        <v>46118.0</v>
      </c>
      <c r="C1214" s="3" t="s">
        <v>371</v>
      </c>
      <c r="D1214" s="3" t="s">
        <v>932</v>
      </c>
      <c r="E1214" s="3" t="s">
        <v>2074</v>
      </c>
      <c r="F1214" s="3" t="s">
        <v>903</v>
      </c>
      <c r="G1214" s="3">
        <v>1.0</v>
      </c>
      <c r="H1214" s="3" t="b">
        <v>0</v>
      </c>
      <c r="L1214" s="3" t="s">
        <v>2102</v>
      </c>
    </row>
    <row r="1215" ht="15.75" customHeight="1">
      <c r="A1215" s="3" t="s">
        <v>3327</v>
      </c>
      <c r="B1215" s="12">
        <v>46118.0</v>
      </c>
      <c r="C1215" s="3" t="s">
        <v>384</v>
      </c>
      <c r="D1215" s="3" t="s">
        <v>932</v>
      </c>
      <c r="E1215" s="3" t="s">
        <v>2074</v>
      </c>
      <c r="F1215" s="3" t="s">
        <v>903</v>
      </c>
      <c r="G1215" s="3">
        <v>1.0</v>
      </c>
      <c r="H1215" s="3" t="b">
        <v>0</v>
      </c>
      <c r="L1215" s="3" t="s">
        <v>2102</v>
      </c>
    </row>
    <row r="1216" ht="15.75" customHeight="1">
      <c r="A1216" s="3" t="s">
        <v>3328</v>
      </c>
      <c r="B1216" s="12">
        <v>46118.0</v>
      </c>
      <c r="C1216" s="3" t="s">
        <v>385</v>
      </c>
      <c r="D1216" s="3" t="s">
        <v>932</v>
      </c>
      <c r="E1216" s="3" t="s">
        <v>2074</v>
      </c>
      <c r="F1216" s="3" t="s">
        <v>903</v>
      </c>
      <c r="G1216" s="3">
        <v>1.0</v>
      </c>
      <c r="H1216" s="3" t="b">
        <v>0</v>
      </c>
      <c r="L1216" s="3" t="s">
        <v>2102</v>
      </c>
    </row>
    <row r="1217" ht="15.75" customHeight="1">
      <c r="A1217" s="3" t="s">
        <v>3329</v>
      </c>
      <c r="B1217" s="12">
        <v>46118.0</v>
      </c>
      <c r="C1217" s="3" t="s">
        <v>389</v>
      </c>
      <c r="D1217" s="3" t="s">
        <v>932</v>
      </c>
      <c r="E1217" s="3" t="s">
        <v>2074</v>
      </c>
      <c r="F1217" s="3" t="s">
        <v>903</v>
      </c>
      <c r="G1217" s="3">
        <v>1.0</v>
      </c>
      <c r="H1217" s="3" t="b">
        <v>0</v>
      </c>
      <c r="L1217" s="3" t="s">
        <v>2102</v>
      </c>
    </row>
    <row r="1218" ht="15.75" customHeight="1">
      <c r="A1218" s="3" t="s">
        <v>3330</v>
      </c>
      <c r="B1218" s="12">
        <v>46118.0</v>
      </c>
      <c r="C1218" s="3" t="s">
        <v>391</v>
      </c>
      <c r="D1218" s="3" t="s">
        <v>932</v>
      </c>
      <c r="E1218" s="3" t="s">
        <v>2074</v>
      </c>
      <c r="F1218" s="3" t="s">
        <v>903</v>
      </c>
      <c r="G1218" s="3">
        <v>1.0</v>
      </c>
      <c r="H1218" s="3" t="b">
        <v>0</v>
      </c>
      <c r="L1218" s="3" t="s">
        <v>2102</v>
      </c>
    </row>
    <row r="1219" ht="15.75" customHeight="1">
      <c r="A1219" s="3" t="s">
        <v>3331</v>
      </c>
      <c r="B1219" s="12">
        <v>46118.0</v>
      </c>
      <c r="C1219" s="3" t="s">
        <v>393</v>
      </c>
      <c r="D1219" s="3" t="s">
        <v>932</v>
      </c>
      <c r="E1219" s="3" t="s">
        <v>2074</v>
      </c>
      <c r="F1219" s="3" t="s">
        <v>903</v>
      </c>
      <c r="G1219" s="3">
        <v>1.0</v>
      </c>
      <c r="H1219" s="3" t="b">
        <v>0</v>
      </c>
      <c r="L1219" s="3" t="s">
        <v>2102</v>
      </c>
    </row>
    <row r="1220" ht="15.75" customHeight="1">
      <c r="A1220" s="3" t="s">
        <v>3332</v>
      </c>
      <c r="B1220" s="12">
        <v>46118.0</v>
      </c>
      <c r="C1220" s="3" t="s">
        <v>394</v>
      </c>
      <c r="D1220" s="3" t="s">
        <v>932</v>
      </c>
      <c r="E1220" s="3" t="s">
        <v>2074</v>
      </c>
      <c r="F1220" s="3" t="s">
        <v>903</v>
      </c>
      <c r="G1220" s="3">
        <v>1.0</v>
      </c>
      <c r="H1220" s="3" t="b">
        <v>0</v>
      </c>
      <c r="L1220" s="3" t="s">
        <v>2102</v>
      </c>
    </row>
    <row r="1221" ht="15.75" customHeight="1">
      <c r="A1221" s="3" t="s">
        <v>3333</v>
      </c>
      <c r="B1221" s="12">
        <v>46118.0</v>
      </c>
      <c r="C1221" s="3" t="s">
        <v>401</v>
      </c>
      <c r="D1221" s="3" t="s">
        <v>932</v>
      </c>
      <c r="E1221" s="3" t="s">
        <v>2074</v>
      </c>
      <c r="F1221" s="3" t="s">
        <v>903</v>
      </c>
      <c r="G1221" s="3">
        <v>1.0</v>
      </c>
      <c r="H1221" s="3" t="b">
        <v>0</v>
      </c>
      <c r="L1221" s="3" t="s">
        <v>2102</v>
      </c>
    </row>
    <row r="1222" ht="15.75" customHeight="1">
      <c r="A1222" s="3" t="s">
        <v>3334</v>
      </c>
      <c r="B1222" s="12">
        <v>46118.0</v>
      </c>
      <c r="C1222" s="3" t="s">
        <v>405</v>
      </c>
      <c r="D1222" s="3" t="s">
        <v>932</v>
      </c>
      <c r="E1222" s="3" t="s">
        <v>2074</v>
      </c>
      <c r="F1222" s="3" t="s">
        <v>903</v>
      </c>
      <c r="G1222" s="3">
        <v>1.0</v>
      </c>
      <c r="H1222" s="3" t="b">
        <v>0</v>
      </c>
      <c r="L1222" s="3" t="s">
        <v>2102</v>
      </c>
    </row>
    <row r="1223" ht="15.75" customHeight="1">
      <c r="A1223" s="3" t="s">
        <v>3335</v>
      </c>
      <c r="B1223" s="12">
        <v>46118.0</v>
      </c>
      <c r="C1223" s="3" t="s">
        <v>406</v>
      </c>
      <c r="D1223" s="3" t="s">
        <v>932</v>
      </c>
      <c r="E1223" s="3" t="s">
        <v>2074</v>
      </c>
      <c r="F1223" s="3" t="s">
        <v>903</v>
      </c>
      <c r="G1223" s="3">
        <v>1.0</v>
      </c>
      <c r="H1223" s="3" t="b">
        <v>0</v>
      </c>
      <c r="L1223" s="3" t="s">
        <v>2102</v>
      </c>
    </row>
    <row r="1224" ht="15.75" customHeight="1">
      <c r="A1224" s="3" t="s">
        <v>3336</v>
      </c>
      <c r="B1224" s="12">
        <v>46118.0</v>
      </c>
      <c r="C1224" s="3" t="s">
        <v>413</v>
      </c>
      <c r="D1224" s="3" t="s">
        <v>932</v>
      </c>
      <c r="E1224" s="3" t="s">
        <v>2074</v>
      </c>
      <c r="F1224" s="3" t="s">
        <v>903</v>
      </c>
      <c r="G1224" s="3">
        <v>1.0</v>
      </c>
      <c r="H1224" s="3" t="b">
        <v>0</v>
      </c>
      <c r="L1224" s="3" t="s">
        <v>2102</v>
      </c>
    </row>
    <row r="1225" ht="15.75" customHeight="1">
      <c r="A1225" s="3" t="s">
        <v>3337</v>
      </c>
      <c r="B1225" s="12">
        <v>46118.0</v>
      </c>
      <c r="C1225" s="3" t="s">
        <v>420</v>
      </c>
      <c r="D1225" s="3" t="s">
        <v>932</v>
      </c>
      <c r="E1225" s="3" t="s">
        <v>2074</v>
      </c>
      <c r="F1225" s="3" t="s">
        <v>903</v>
      </c>
      <c r="G1225" s="3">
        <v>1.0</v>
      </c>
      <c r="H1225" s="3" t="b">
        <v>0</v>
      </c>
      <c r="L1225" s="3" t="s">
        <v>2102</v>
      </c>
    </row>
    <row r="1226" ht="15.75" customHeight="1">
      <c r="A1226" s="3" t="s">
        <v>3338</v>
      </c>
      <c r="B1226" s="12">
        <v>46118.0</v>
      </c>
      <c r="C1226" s="3" t="s">
        <v>421</v>
      </c>
      <c r="D1226" s="3" t="s">
        <v>932</v>
      </c>
      <c r="E1226" s="3" t="s">
        <v>2074</v>
      </c>
      <c r="F1226" s="3" t="s">
        <v>903</v>
      </c>
      <c r="G1226" s="3">
        <v>1.0</v>
      </c>
      <c r="H1226" s="3" t="b">
        <v>0</v>
      </c>
      <c r="L1226" s="3" t="s">
        <v>2102</v>
      </c>
    </row>
    <row r="1227" ht="15.75" customHeight="1">
      <c r="A1227" s="3" t="s">
        <v>3339</v>
      </c>
      <c r="B1227" s="12">
        <v>46118.0</v>
      </c>
      <c r="C1227" s="3" t="s">
        <v>423</v>
      </c>
      <c r="D1227" s="3" t="s">
        <v>932</v>
      </c>
      <c r="E1227" s="3" t="s">
        <v>2074</v>
      </c>
      <c r="F1227" s="3" t="s">
        <v>903</v>
      </c>
      <c r="G1227" s="3">
        <v>1.0</v>
      </c>
      <c r="H1227" s="3" t="b">
        <v>0</v>
      </c>
      <c r="L1227" s="3" t="s">
        <v>2102</v>
      </c>
    </row>
    <row r="1228" ht="15.75" customHeight="1">
      <c r="A1228" s="3" t="s">
        <v>3340</v>
      </c>
      <c r="B1228" s="12">
        <v>46118.0</v>
      </c>
      <c r="C1228" s="3" t="s">
        <v>425</v>
      </c>
      <c r="D1228" s="3" t="s">
        <v>932</v>
      </c>
      <c r="E1228" s="3" t="s">
        <v>2074</v>
      </c>
      <c r="F1228" s="3" t="s">
        <v>903</v>
      </c>
      <c r="G1228" s="3">
        <v>1.0</v>
      </c>
      <c r="H1228" s="3" t="b">
        <v>0</v>
      </c>
      <c r="L1228" s="3" t="s">
        <v>2102</v>
      </c>
    </row>
    <row r="1229" ht="15.75" customHeight="1">
      <c r="A1229" s="3" t="s">
        <v>3341</v>
      </c>
      <c r="B1229" s="12">
        <v>46118.0</v>
      </c>
      <c r="C1229" s="3" t="s">
        <v>426</v>
      </c>
      <c r="D1229" s="3" t="s">
        <v>932</v>
      </c>
      <c r="E1229" s="3" t="s">
        <v>2074</v>
      </c>
      <c r="F1229" s="3" t="s">
        <v>903</v>
      </c>
      <c r="G1229" s="3">
        <v>1.0</v>
      </c>
      <c r="H1229" s="3" t="b">
        <v>0</v>
      </c>
      <c r="L1229" s="3" t="s">
        <v>2102</v>
      </c>
    </row>
    <row r="1230" ht="15.75" customHeight="1">
      <c r="A1230" s="3" t="s">
        <v>3342</v>
      </c>
      <c r="B1230" s="12">
        <v>46118.0</v>
      </c>
      <c r="C1230" s="3" t="s">
        <v>428</v>
      </c>
      <c r="D1230" s="3" t="s">
        <v>932</v>
      </c>
      <c r="E1230" s="3" t="s">
        <v>2074</v>
      </c>
      <c r="F1230" s="3" t="s">
        <v>903</v>
      </c>
      <c r="G1230" s="3">
        <v>1.0</v>
      </c>
      <c r="H1230" s="3" t="b">
        <v>0</v>
      </c>
      <c r="L1230" s="3" t="s">
        <v>2102</v>
      </c>
    </row>
    <row r="1231" ht="15.75" customHeight="1">
      <c r="A1231" s="3" t="s">
        <v>3343</v>
      </c>
      <c r="B1231" s="12">
        <v>46118.0</v>
      </c>
      <c r="C1231" s="3" t="s">
        <v>429</v>
      </c>
      <c r="D1231" s="3" t="s">
        <v>932</v>
      </c>
      <c r="E1231" s="3" t="s">
        <v>2074</v>
      </c>
      <c r="F1231" s="3" t="s">
        <v>903</v>
      </c>
      <c r="G1231" s="3">
        <v>1.0</v>
      </c>
      <c r="H1231" s="3" t="b">
        <v>0</v>
      </c>
      <c r="L1231" s="3" t="s">
        <v>2102</v>
      </c>
    </row>
    <row r="1232" ht="15.75" customHeight="1">
      <c r="A1232" s="3" t="s">
        <v>3344</v>
      </c>
      <c r="B1232" s="12">
        <v>46118.0</v>
      </c>
      <c r="C1232" s="3" t="s">
        <v>434</v>
      </c>
      <c r="D1232" s="3" t="s">
        <v>932</v>
      </c>
      <c r="E1232" s="3" t="s">
        <v>2074</v>
      </c>
      <c r="F1232" s="3" t="s">
        <v>903</v>
      </c>
      <c r="G1232" s="3">
        <v>1.0</v>
      </c>
      <c r="H1232" s="3" t="b">
        <v>0</v>
      </c>
      <c r="L1232" s="3" t="s">
        <v>2102</v>
      </c>
    </row>
    <row r="1233" ht="15.75" customHeight="1">
      <c r="A1233" s="3" t="s">
        <v>3345</v>
      </c>
      <c r="B1233" s="12">
        <v>46118.0</v>
      </c>
      <c r="C1233" s="3" t="s">
        <v>438</v>
      </c>
      <c r="D1233" s="3" t="s">
        <v>932</v>
      </c>
      <c r="E1233" s="3" t="s">
        <v>2074</v>
      </c>
      <c r="F1233" s="3" t="s">
        <v>903</v>
      </c>
      <c r="G1233" s="3">
        <v>1.0</v>
      </c>
      <c r="H1233" s="3" t="b">
        <v>0</v>
      </c>
      <c r="L1233" s="3" t="s">
        <v>2102</v>
      </c>
    </row>
    <row r="1234" ht="15.75" customHeight="1">
      <c r="A1234" s="3" t="s">
        <v>3346</v>
      </c>
      <c r="B1234" s="12">
        <v>46118.0</v>
      </c>
      <c r="C1234" s="3" t="s">
        <v>443</v>
      </c>
      <c r="D1234" s="3" t="s">
        <v>932</v>
      </c>
      <c r="E1234" s="3" t="s">
        <v>2074</v>
      </c>
      <c r="F1234" s="3" t="s">
        <v>903</v>
      </c>
      <c r="G1234" s="3">
        <v>1.0</v>
      </c>
      <c r="H1234" s="3" t="b">
        <v>0</v>
      </c>
      <c r="L1234" s="3" t="s">
        <v>2102</v>
      </c>
    </row>
    <row r="1235" ht="15.75" customHeight="1">
      <c r="A1235" s="3" t="s">
        <v>3347</v>
      </c>
      <c r="B1235" s="12">
        <v>46118.0</v>
      </c>
      <c r="C1235" s="3" t="s">
        <v>2535</v>
      </c>
      <c r="D1235" s="3" t="s">
        <v>932</v>
      </c>
      <c r="E1235" s="3" t="s">
        <v>2074</v>
      </c>
      <c r="F1235" s="3" t="s">
        <v>903</v>
      </c>
      <c r="G1235" s="3">
        <v>1.0</v>
      </c>
      <c r="H1235" s="3" t="b">
        <v>0</v>
      </c>
      <c r="L1235" s="3" t="s">
        <v>2102</v>
      </c>
    </row>
    <row r="1236" ht="15.75" customHeight="1">
      <c r="A1236" s="3" t="s">
        <v>3348</v>
      </c>
      <c r="B1236" s="12">
        <v>46118.0</v>
      </c>
      <c r="C1236" s="3" t="s">
        <v>463</v>
      </c>
      <c r="D1236" s="3" t="s">
        <v>932</v>
      </c>
      <c r="E1236" s="3" t="s">
        <v>2074</v>
      </c>
      <c r="F1236" s="3" t="s">
        <v>903</v>
      </c>
      <c r="G1236" s="3">
        <v>1.0</v>
      </c>
      <c r="H1236" s="3" t="b">
        <v>0</v>
      </c>
      <c r="L1236" s="3" t="s">
        <v>2102</v>
      </c>
    </row>
    <row r="1237" ht="15.75" customHeight="1">
      <c r="A1237" s="3" t="s">
        <v>3349</v>
      </c>
      <c r="B1237" s="12">
        <v>46118.0</v>
      </c>
      <c r="C1237" s="3" t="s">
        <v>470</v>
      </c>
      <c r="D1237" s="3" t="s">
        <v>932</v>
      </c>
      <c r="E1237" s="3" t="s">
        <v>2074</v>
      </c>
      <c r="F1237" s="3" t="s">
        <v>903</v>
      </c>
      <c r="G1237" s="3">
        <v>1.0</v>
      </c>
      <c r="H1237" s="3" t="b">
        <v>0</v>
      </c>
      <c r="L1237" s="3" t="s">
        <v>2102</v>
      </c>
    </row>
    <row r="1238" ht="15.75" customHeight="1">
      <c r="A1238" s="3" t="s">
        <v>3350</v>
      </c>
      <c r="B1238" s="12">
        <v>46118.0</v>
      </c>
      <c r="C1238" s="3" t="s">
        <v>474</v>
      </c>
      <c r="D1238" s="3" t="s">
        <v>932</v>
      </c>
      <c r="E1238" s="3" t="s">
        <v>2074</v>
      </c>
      <c r="F1238" s="3" t="s">
        <v>903</v>
      </c>
      <c r="G1238" s="3">
        <v>1.0</v>
      </c>
      <c r="H1238" s="3" t="b">
        <v>0</v>
      </c>
      <c r="L1238" s="3" t="s">
        <v>2102</v>
      </c>
    </row>
    <row r="1239" ht="15.75" customHeight="1">
      <c r="A1239" s="3" t="s">
        <v>3351</v>
      </c>
      <c r="B1239" s="12">
        <v>46118.0</v>
      </c>
      <c r="C1239" s="3" t="s">
        <v>478</v>
      </c>
      <c r="D1239" s="3" t="s">
        <v>932</v>
      </c>
      <c r="E1239" s="3" t="s">
        <v>2074</v>
      </c>
      <c r="F1239" s="3" t="s">
        <v>903</v>
      </c>
      <c r="G1239" s="3">
        <v>1.0</v>
      </c>
      <c r="H1239" s="3" t="b">
        <v>0</v>
      </c>
      <c r="L1239" s="3" t="s">
        <v>2102</v>
      </c>
    </row>
    <row r="1240" ht="15.75" customHeight="1">
      <c r="A1240" s="3" t="s">
        <v>3352</v>
      </c>
      <c r="B1240" s="12">
        <v>46118.0</v>
      </c>
      <c r="C1240" s="3" t="s">
        <v>484</v>
      </c>
      <c r="D1240" s="3" t="s">
        <v>932</v>
      </c>
      <c r="E1240" s="3" t="s">
        <v>2074</v>
      </c>
      <c r="F1240" s="3" t="s">
        <v>903</v>
      </c>
      <c r="G1240" s="3">
        <v>1.0</v>
      </c>
      <c r="H1240" s="3" t="b">
        <v>0</v>
      </c>
      <c r="L1240" s="3" t="s">
        <v>2102</v>
      </c>
    </row>
    <row r="1241" ht="15.75" customHeight="1">
      <c r="A1241" s="3" t="s">
        <v>3353</v>
      </c>
      <c r="B1241" s="12">
        <v>46118.0</v>
      </c>
      <c r="C1241" s="3" t="s">
        <v>487</v>
      </c>
      <c r="D1241" s="3" t="s">
        <v>932</v>
      </c>
      <c r="E1241" s="3" t="s">
        <v>2074</v>
      </c>
      <c r="F1241" s="3" t="s">
        <v>903</v>
      </c>
      <c r="G1241" s="3">
        <v>1.0</v>
      </c>
      <c r="H1241" s="3" t="b">
        <v>0</v>
      </c>
      <c r="L1241" s="3" t="s">
        <v>2102</v>
      </c>
    </row>
    <row r="1242" ht="15.75" customHeight="1">
      <c r="A1242" s="3" t="s">
        <v>3354</v>
      </c>
      <c r="B1242" s="12">
        <v>46118.0</v>
      </c>
      <c r="C1242" s="3" t="s">
        <v>490</v>
      </c>
      <c r="D1242" s="3" t="s">
        <v>932</v>
      </c>
      <c r="E1242" s="3" t="s">
        <v>2074</v>
      </c>
      <c r="F1242" s="3" t="s">
        <v>903</v>
      </c>
      <c r="G1242" s="3">
        <v>1.0</v>
      </c>
      <c r="H1242" s="3" t="b">
        <v>0</v>
      </c>
      <c r="L1242" s="3" t="s">
        <v>2102</v>
      </c>
    </row>
    <row r="1243" ht="15.75" customHeight="1">
      <c r="A1243" s="3" t="s">
        <v>3355</v>
      </c>
      <c r="B1243" s="12">
        <v>46118.0</v>
      </c>
      <c r="C1243" s="3" t="s">
        <v>493</v>
      </c>
      <c r="D1243" s="3" t="s">
        <v>932</v>
      </c>
      <c r="E1243" s="3" t="s">
        <v>2074</v>
      </c>
      <c r="F1243" s="3" t="s">
        <v>903</v>
      </c>
      <c r="G1243" s="3">
        <v>1.0</v>
      </c>
      <c r="H1243" s="3" t="b">
        <v>0</v>
      </c>
      <c r="L1243" s="3" t="s">
        <v>2102</v>
      </c>
    </row>
    <row r="1244" ht="15.75" customHeight="1">
      <c r="A1244" s="3" t="s">
        <v>3356</v>
      </c>
      <c r="B1244" s="12">
        <v>46118.0</v>
      </c>
      <c r="C1244" s="3" t="s">
        <v>494</v>
      </c>
      <c r="D1244" s="3" t="s">
        <v>932</v>
      </c>
      <c r="E1244" s="3" t="s">
        <v>2074</v>
      </c>
      <c r="F1244" s="3" t="s">
        <v>903</v>
      </c>
      <c r="G1244" s="3">
        <v>1.0</v>
      </c>
      <c r="H1244" s="3" t="b">
        <v>0</v>
      </c>
      <c r="L1244" s="3" t="s">
        <v>2102</v>
      </c>
    </row>
    <row r="1245" ht="15.75" customHeight="1">
      <c r="A1245" s="3" t="s">
        <v>3357</v>
      </c>
      <c r="B1245" s="12">
        <v>46118.0</v>
      </c>
      <c r="C1245" s="3" t="s">
        <v>1174</v>
      </c>
      <c r="D1245" s="3" t="s">
        <v>932</v>
      </c>
      <c r="E1245" s="3" t="s">
        <v>2074</v>
      </c>
      <c r="F1245" s="3" t="s">
        <v>903</v>
      </c>
      <c r="G1245" s="3">
        <v>1.0</v>
      </c>
      <c r="H1245" s="3" t="b">
        <v>0</v>
      </c>
      <c r="L1245" s="3" t="s">
        <v>2102</v>
      </c>
    </row>
    <row r="1246" ht="15.75" customHeight="1">
      <c r="A1246" s="3" t="s">
        <v>3358</v>
      </c>
      <c r="B1246" s="12">
        <v>46118.0</v>
      </c>
      <c r="C1246" s="3" t="s">
        <v>499</v>
      </c>
      <c r="D1246" s="3" t="s">
        <v>932</v>
      </c>
      <c r="E1246" s="3" t="s">
        <v>2074</v>
      </c>
      <c r="F1246" s="3" t="s">
        <v>903</v>
      </c>
      <c r="G1246" s="3">
        <v>1.0</v>
      </c>
      <c r="H1246" s="3" t="b">
        <v>0</v>
      </c>
      <c r="L1246" s="3" t="s">
        <v>2102</v>
      </c>
    </row>
    <row r="1247" ht="15.75" customHeight="1">
      <c r="A1247" s="3" t="s">
        <v>3359</v>
      </c>
      <c r="B1247" s="12">
        <v>46118.0</v>
      </c>
      <c r="C1247" s="3" t="s">
        <v>500</v>
      </c>
      <c r="D1247" s="3" t="s">
        <v>932</v>
      </c>
      <c r="E1247" s="3" t="s">
        <v>2074</v>
      </c>
      <c r="F1247" s="3" t="s">
        <v>903</v>
      </c>
      <c r="G1247" s="3">
        <v>1.0</v>
      </c>
      <c r="H1247" s="3" t="b">
        <v>0</v>
      </c>
      <c r="L1247" s="3" t="s">
        <v>2102</v>
      </c>
    </row>
    <row r="1248" ht="15.75" customHeight="1">
      <c r="A1248" s="3" t="s">
        <v>3360</v>
      </c>
      <c r="B1248" s="12">
        <v>46118.0</v>
      </c>
      <c r="C1248" s="3" t="s">
        <v>503</v>
      </c>
      <c r="D1248" s="3" t="s">
        <v>932</v>
      </c>
      <c r="E1248" s="3" t="s">
        <v>2074</v>
      </c>
      <c r="F1248" s="3" t="s">
        <v>903</v>
      </c>
      <c r="G1248" s="3">
        <v>1.0</v>
      </c>
      <c r="H1248" s="3" t="b">
        <v>0</v>
      </c>
      <c r="L1248" s="3" t="s">
        <v>2102</v>
      </c>
    </row>
    <row r="1249" ht="15.75" customHeight="1">
      <c r="A1249" s="3" t="s">
        <v>3361</v>
      </c>
      <c r="B1249" s="12">
        <v>46118.0</v>
      </c>
      <c r="C1249" s="3" t="s">
        <v>504</v>
      </c>
      <c r="D1249" s="3" t="s">
        <v>932</v>
      </c>
      <c r="E1249" s="3" t="s">
        <v>2074</v>
      </c>
      <c r="F1249" s="3" t="s">
        <v>903</v>
      </c>
      <c r="G1249" s="3">
        <v>1.0</v>
      </c>
      <c r="H1249" s="3" t="b">
        <v>0</v>
      </c>
      <c r="L1249" s="3" t="s">
        <v>2102</v>
      </c>
    </row>
    <row r="1250" ht="15.75" customHeight="1">
      <c r="A1250" s="3" t="s">
        <v>3362</v>
      </c>
      <c r="B1250" s="12">
        <v>46118.0</v>
      </c>
      <c r="C1250" s="3" t="s">
        <v>508</v>
      </c>
      <c r="D1250" s="3" t="s">
        <v>932</v>
      </c>
      <c r="E1250" s="3" t="s">
        <v>2074</v>
      </c>
      <c r="F1250" s="3" t="s">
        <v>903</v>
      </c>
      <c r="G1250" s="3">
        <v>1.0</v>
      </c>
      <c r="H1250" s="3" t="b">
        <v>0</v>
      </c>
      <c r="L1250" s="3" t="s">
        <v>2102</v>
      </c>
    </row>
    <row r="1251" ht="15.75" customHeight="1">
      <c r="A1251" s="3" t="s">
        <v>3363</v>
      </c>
      <c r="B1251" s="12">
        <v>46118.0</v>
      </c>
      <c r="C1251" s="3" t="s">
        <v>512</v>
      </c>
      <c r="D1251" s="3" t="s">
        <v>932</v>
      </c>
      <c r="E1251" s="3" t="s">
        <v>2074</v>
      </c>
      <c r="F1251" s="3" t="s">
        <v>903</v>
      </c>
      <c r="G1251" s="3">
        <v>1.0</v>
      </c>
      <c r="H1251" s="3" t="b">
        <v>0</v>
      </c>
      <c r="L1251" s="3" t="s">
        <v>2102</v>
      </c>
    </row>
    <row r="1252" ht="15.75" customHeight="1">
      <c r="A1252" s="3" t="s">
        <v>3364</v>
      </c>
      <c r="B1252" s="12">
        <v>46118.0</v>
      </c>
      <c r="C1252" s="3" t="s">
        <v>521</v>
      </c>
      <c r="D1252" s="3" t="s">
        <v>932</v>
      </c>
      <c r="E1252" s="3" t="s">
        <v>2074</v>
      </c>
      <c r="F1252" s="3" t="s">
        <v>903</v>
      </c>
      <c r="G1252" s="3">
        <v>1.0</v>
      </c>
      <c r="H1252" s="3" t="b">
        <v>0</v>
      </c>
      <c r="L1252" s="3" t="s">
        <v>2102</v>
      </c>
    </row>
    <row r="1253" ht="15.75" customHeight="1">
      <c r="A1253" s="3" t="s">
        <v>3365</v>
      </c>
      <c r="B1253" s="12">
        <v>46118.0</v>
      </c>
      <c r="C1253" s="3" t="s">
        <v>525</v>
      </c>
      <c r="D1253" s="3" t="s">
        <v>932</v>
      </c>
      <c r="E1253" s="3" t="s">
        <v>2074</v>
      </c>
      <c r="F1253" s="3" t="s">
        <v>903</v>
      </c>
      <c r="G1253" s="3">
        <v>1.0</v>
      </c>
      <c r="H1253" s="3" t="b">
        <v>0</v>
      </c>
      <c r="L1253" s="3" t="s">
        <v>2102</v>
      </c>
    </row>
    <row r="1254" ht="15.75" customHeight="1">
      <c r="A1254" s="3" t="s">
        <v>3366</v>
      </c>
      <c r="B1254" s="12">
        <v>46118.0</v>
      </c>
      <c r="C1254" s="3" t="s">
        <v>530</v>
      </c>
      <c r="D1254" s="3" t="s">
        <v>932</v>
      </c>
      <c r="E1254" s="3" t="s">
        <v>2074</v>
      </c>
      <c r="F1254" s="3" t="s">
        <v>903</v>
      </c>
      <c r="G1254" s="3">
        <v>1.0</v>
      </c>
      <c r="H1254" s="3" t="b">
        <v>0</v>
      </c>
      <c r="L1254" s="3" t="s">
        <v>2102</v>
      </c>
    </row>
    <row r="1255" ht="15.75" customHeight="1">
      <c r="A1255" s="3" t="s">
        <v>3367</v>
      </c>
      <c r="B1255" s="12">
        <v>46118.0</v>
      </c>
      <c r="C1255" s="3" t="s">
        <v>1192</v>
      </c>
      <c r="D1255" s="3" t="s">
        <v>932</v>
      </c>
      <c r="E1255" s="3" t="s">
        <v>2074</v>
      </c>
      <c r="F1255" s="3" t="s">
        <v>903</v>
      </c>
      <c r="G1255" s="3">
        <v>1.0</v>
      </c>
      <c r="H1255" s="3" t="b">
        <v>0</v>
      </c>
      <c r="L1255" s="3" t="s">
        <v>2102</v>
      </c>
    </row>
    <row r="1256" ht="15.75" customHeight="1">
      <c r="A1256" s="3" t="s">
        <v>3368</v>
      </c>
      <c r="B1256" s="12">
        <v>46118.0</v>
      </c>
      <c r="C1256" s="3" t="s">
        <v>1161</v>
      </c>
      <c r="D1256" s="3" t="s">
        <v>932</v>
      </c>
      <c r="E1256" s="3" t="s">
        <v>2074</v>
      </c>
      <c r="F1256" s="3" t="s">
        <v>903</v>
      </c>
      <c r="G1256" s="3">
        <v>1.0</v>
      </c>
      <c r="H1256" s="3" t="b">
        <v>0</v>
      </c>
      <c r="L1256" s="3" t="s">
        <v>2102</v>
      </c>
    </row>
    <row r="1257" ht="15.75" customHeight="1">
      <c r="A1257" s="3" t="s">
        <v>3369</v>
      </c>
      <c r="B1257" s="12">
        <v>46118.0</v>
      </c>
      <c r="C1257" s="3" t="s">
        <v>546</v>
      </c>
      <c r="D1257" s="3" t="s">
        <v>932</v>
      </c>
      <c r="E1257" s="3" t="s">
        <v>2074</v>
      </c>
      <c r="F1257" s="3" t="s">
        <v>903</v>
      </c>
      <c r="G1257" s="3">
        <v>1.0</v>
      </c>
      <c r="H1257" s="3" t="b">
        <v>0</v>
      </c>
      <c r="L1257" s="3" t="s">
        <v>2102</v>
      </c>
    </row>
    <row r="1258" ht="15.75" customHeight="1">
      <c r="A1258" s="3" t="s">
        <v>3370</v>
      </c>
      <c r="B1258" s="12">
        <v>46118.0</v>
      </c>
      <c r="C1258" s="3" t="s">
        <v>554</v>
      </c>
      <c r="D1258" s="3" t="s">
        <v>932</v>
      </c>
      <c r="E1258" s="3" t="s">
        <v>2074</v>
      </c>
      <c r="F1258" s="3" t="s">
        <v>903</v>
      </c>
      <c r="G1258" s="3">
        <v>1.0</v>
      </c>
      <c r="H1258" s="3" t="b">
        <v>0</v>
      </c>
      <c r="L1258" s="3" t="s">
        <v>2102</v>
      </c>
    </row>
    <row r="1259" ht="15.75" customHeight="1">
      <c r="A1259" s="3" t="s">
        <v>3371</v>
      </c>
      <c r="B1259" s="12">
        <v>46118.0</v>
      </c>
      <c r="C1259" s="3" t="s">
        <v>555</v>
      </c>
      <c r="D1259" s="3" t="s">
        <v>932</v>
      </c>
      <c r="E1259" s="3" t="s">
        <v>2074</v>
      </c>
      <c r="F1259" s="3" t="s">
        <v>903</v>
      </c>
      <c r="G1259" s="3">
        <v>1.0</v>
      </c>
      <c r="H1259" s="3" t="b">
        <v>0</v>
      </c>
      <c r="L1259" s="3" t="s">
        <v>2102</v>
      </c>
    </row>
    <row r="1260" ht="15.75" customHeight="1">
      <c r="A1260" s="3" t="s">
        <v>3372</v>
      </c>
      <c r="B1260" s="12">
        <v>46118.0</v>
      </c>
      <c r="C1260" s="3" t="s">
        <v>556</v>
      </c>
      <c r="D1260" s="3" t="s">
        <v>932</v>
      </c>
      <c r="E1260" s="3" t="s">
        <v>2074</v>
      </c>
      <c r="F1260" s="3" t="s">
        <v>903</v>
      </c>
      <c r="G1260" s="3">
        <v>1.0</v>
      </c>
      <c r="H1260" s="3" t="b">
        <v>0</v>
      </c>
      <c r="L1260" s="3" t="s">
        <v>2102</v>
      </c>
    </row>
    <row r="1261" ht="15.75" customHeight="1">
      <c r="A1261" s="3" t="s">
        <v>3373</v>
      </c>
      <c r="B1261" s="12">
        <v>46118.0</v>
      </c>
      <c r="C1261" s="3" t="s">
        <v>558</v>
      </c>
      <c r="D1261" s="3" t="s">
        <v>932</v>
      </c>
      <c r="E1261" s="3" t="s">
        <v>2074</v>
      </c>
      <c r="F1261" s="3" t="s">
        <v>903</v>
      </c>
      <c r="G1261" s="3">
        <v>1.0</v>
      </c>
      <c r="H1261" s="3" t="b">
        <v>0</v>
      </c>
      <c r="L1261" s="3" t="s">
        <v>2102</v>
      </c>
    </row>
    <row r="1262" ht="15.75" customHeight="1">
      <c r="A1262" s="3" t="s">
        <v>3374</v>
      </c>
      <c r="B1262" s="12">
        <v>46118.0</v>
      </c>
      <c r="C1262" s="3" t="s">
        <v>570</v>
      </c>
      <c r="D1262" s="3" t="s">
        <v>932</v>
      </c>
      <c r="E1262" s="3" t="s">
        <v>2074</v>
      </c>
      <c r="F1262" s="3" t="s">
        <v>903</v>
      </c>
      <c r="G1262" s="3">
        <v>1.0</v>
      </c>
      <c r="H1262" s="3" t="b">
        <v>0</v>
      </c>
      <c r="L1262" s="3" t="s">
        <v>2102</v>
      </c>
    </row>
    <row r="1263" ht="15.75" customHeight="1">
      <c r="A1263" s="3" t="s">
        <v>3375</v>
      </c>
      <c r="B1263" s="12">
        <v>46118.0</v>
      </c>
      <c r="C1263" s="3" t="s">
        <v>576</v>
      </c>
      <c r="D1263" s="3" t="s">
        <v>932</v>
      </c>
      <c r="E1263" s="3" t="s">
        <v>2074</v>
      </c>
      <c r="F1263" s="3" t="s">
        <v>903</v>
      </c>
      <c r="G1263" s="3">
        <v>1.0</v>
      </c>
      <c r="H1263" s="3" t="b">
        <v>0</v>
      </c>
      <c r="L1263" s="3" t="s">
        <v>2102</v>
      </c>
    </row>
    <row r="1264" ht="15.75" customHeight="1">
      <c r="A1264" s="3" t="s">
        <v>3376</v>
      </c>
      <c r="B1264" s="12">
        <v>46118.0</v>
      </c>
      <c r="C1264" s="3" t="s">
        <v>577</v>
      </c>
      <c r="D1264" s="3" t="s">
        <v>932</v>
      </c>
      <c r="E1264" s="3" t="s">
        <v>2074</v>
      </c>
      <c r="F1264" s="3" t="s">
        <v>903</v>
      </c>
      <c r="G1264" s="3">
        <v>1.0</v>
      </c>
      <c r="H1264" s="3" t="b">
        <v>0</v>
      </c>
      <c r="L1264" s="3" t="s">
        <v>2102</v>
      </c>
    </row>
    <row r="1265" ht="15.75" customHeight="1">
      <c r="A1265" s="3" t="s">
        <v>3377</v>
      </c>
      <c r="B1265" s="12">
        <v>46118.0</v>
      </c>
      <c r="C1265" s="3" t="s">
        <v>593</v>
      </c>
      <c r="D1265" s="3" t="s">
        <v>932</v>
      </c>
      <c r="E1265" s="3" t="s">
        <v>2074</v>
      </c>
      <c r="F1265" s="3" t="s">
        <v>903</v>
      </c>
      <c r="G1265" s="3">
        <v>1.0</v>
      </c>
      <c r="H1265" s="3" t="b">
        <v>0</v>
      </c>
      <c r="L1265" s="3" t="s">
        <v>2102</v>
      </c>
    </row>
    <row r="1266" ht="15.75" customHeight="1">
      <c r="A1266" s="3" t="s">
        <v>3378</v>
      </c>
      <c r="B1266" s="12">
        <v>46118.0</v>
      </c>
      <c r="C1266" s="3" t="s">
        <v>1285</v>
      </c>
      <c r="D1266" s="3" t="s">
        <v>932</v>
      </c>
      <c r="E1266" s="3" t="s">
        <v>2074</v>
      </c>
      <c r="F1266" s="3" t="s">
        <v>903</v>
      </c>
      <c r="G1266" s="3">
        <v>1.0</v>
      </c>
      <c r="H1266" s="3" t="b">
        <v>0</v>
      </c>
      <c r="L1266" s="3" t="s">
        <v>2102</v>
      </c>
    </row>
    <row r="1267" ht="15.75" customHeight="1">
      <c r="A1267" s="3" t="s">
        <v>3379</v>
      </c>
      <c r="B1267" s="12">
        <v>46118.0</v>
      </c>
      <c r="C1267" s="3" t="s">
        <v>622</v>
      </c>
      <c r="D1267" s="3" t="s">
        <v>932</v>
      </c>
      <c r="E1267" s="3" t="s">
        <v>2074</v>
      </c>
      <c r="F1267" s="3" t="s">
        <v>903</v>
      </c>
      <c r="G1267" s="3">
        <v>1.0</v>
      </c>
      <c r="H1267" s="3" t="b">
        <v>0</v>
      </c>
      <c r="L1267" s="3" t="s">
        <v>2102</v>
      </c>
    </row>
    <row r="1268" ht="15.75" customHeight="1">
      <c r="A1268" s="3" t="s">
        <v>3380</v>
      </c>
      <c r="B1268" s="12">
        <v>46118.0</v>
      </c>
      <c r="C1268" s="3" t="s">
        <v>1210</v>
      </c>
      <c r="D1268" s="3" t="s">
        <v>932</v>
      </c>
      <c r="E1268" s="3" t="s">
        <v>2074</v>
      </c>
      <c r="F1268" s="3" t="s">
        <v>903</v>
      </c>
      <c r="G1268" s="3">
        <v>1.0</v>
      </c>
      <c r="H1268" s="3" t="b">
        <v>0</v>
      </c>
      <c r="L1268" s="3" t="s">
        <v>2102</v>
      </c>
    </row>
    <row r="1269" ht="15.75" customHeight="1">
      <c r="A1269" s="3" t="s">
        <v>3381</v>
      </c>
      <c r="B1269" s="12">
        <v>46118.0</v>
      </c>
      <c r="C1269" s="3" t="s">
        <v>625</v>
      </c>
      <c r="D1269" s="3" t="s">
        <v>932</v>
      </c>
      <c r="E1269" s="3" t="s">
        <v>2074</v>
      </c>
      <c r="F1269" s="3" t="s">
        <v>903</v>
      </c>
      <c r="G1269" s="3">
        <v>1.0</v>
      </c>
      <c r="H1269" s="3" t="b">
        <v>0</v>
      </c>
      <c r="L1269" s="3" t="s">
        <v>2102</v>
      </c>
    </row>
    <row r="1270" ht="15.75" customHeight="1">
      <c r="A1270" s="3" t="s">
        <v>3382</v>
      </c>
      <c r="B1270" s="12">
        <v>46118.0</v>
      </c>
      <c r="C1270" s="3" t="s">
        <v>636</v>
      </c>
      <c r="D1270" s="3" t="s">
        <v>932</v>
      </c>
      <c r="E1270" s="3" t="s">
        <v>2074</v>
      </c>
      <c r="F1270" s="3" t="s">
        <v>903</v>
      </c>
      <c r="G1270" s="3">
        <v>1.0</v>
      </c>
      <c r="H1270" s="3" t="b">
        <v>0</v>
      </c>
      <c r="L1270" s="3" t="s">
        <v>2102</v>
      </c>
    </row>
    <row r="1271" ht="15.75" customHeight="1">
      <c r="A1271" s="3" t="s">
        <v>3383</v>
      </c>
      <c r="B1271" s="12">
        <v>46118.0</v>
      </c>
      <c r="C1271" s="3" t="s">
        <v>640</v>
      </c>
      <c r="D1271" s="3" t="s">
        <v>932</v>
      </c>
      <c r="E1271" s="3" t="s">
        <v>2074</v>
      </c>
      <c r="F1271" s="3" t="s">
        <v>903</v>
      </c>
      <c r="G1271" s="3">
        <v>1.0</v>
      </c>
      <c r="H1271" s="3" t="b">
        <v>0</v>
      </c>
      <c r="L1271" s="3" t="s">
        <v>2102</v>
      </c>
    </row>
    <row r="1272" ht="15.75" customHeight="1">
      <c r="A1272" s="3" t="s">
        <v>3384</v>
      </c>
      <c r="B1272" s="12">
        <v>46118.0</v>
      </c>
      <c r="C1272" s="3" t="s">
        <v>648</v>
      </c>
      <c r="D1272" s="3" t="s">
        <v>932</v>
      </c>
      <c r="E1272" s="3" t="s">
        <v>2074</v>
      </c>
      <c r="F1272" s="3" t="s">
        <v>903</v>
      </c>
      <c r="G1272" s="3">
        <v>1.0</v>
      </c>
      <c r="H1272" s="3" t="b">
        <v>0</v>
      </c>
      <c r="L1272" s="3" t="s">
        <v>2102</v>
      </c>
    </row>
    <row r="1273" ht="15.75" customHeight="1">
      <c r="A1273" s="3" t="s">
        <v>3385</v>
      </c>
      <c r="B1273" s="12">
        <v>46118.0</v>
      </c>
      <c r="C1273" s="3" t="s">
        <v>655</v>
      </c>
      <c r="D1273" s="3" t="s">
        <v>932</v>
      </c>
      <c r="E1273" s="3" t="s">
        <v>2074</v>
      </c>
      <c r="F1273" s="3" t="s">
        <v>903</v>
      </c>
      <c r="G1273" s="3">
        <v>1.0</v>
      </c>
      <c r="H1273" s="3" t="b">
        <v>0</v>
      </c>
      <c r="L1273" s="3" t="s">
        <v>2102</v>
      </c>
    </row>
    <row r="1274" ht="15.75" customHeight="1">
      <c r="A1274" s="3" t="s">
        <v>3386</v>
      </c>
      <c r="B1274" s="12">
        <v>46118.0</v>
      </c>
      <c r="C1274" s="3" t="s">
        <v>667</v>
      </c>
      <c r="D1274" s="3" t="s">
        <v>932</v>
      </c>
      <c r="E1274" s="3" t="s">
        <v>2074</v>
      </c>
      <c r="F1274" s="3" t="s">
        <v>903</v>
      </c>
      <c r="G1274" s="3">
        <v>1.0</v>
      </c>
      <c r="H1274" s="3" t="b">
        <v>0</v>
      </c>
      <c r="L1274" s="3" t="s">
        <v>2102</v>
      </c>
    </row>
    <row r="1275" ht="15.75" customHeight="1">
      <c r="A1275" s="3" t="s">
        <v>3387</v>
      </c>
      <c r="B1275" s="12">
        <v>46118.0</v>
      </c>
      <c r="C1275" s="3" t="s">
        <v>670</v>
      </c>
      <c r="D1275" s="3" t="s">
        <v>932</v>
      </c>
      <c r="E1275" s="3" t="s">
        <v>2074</v>
      </c>
      <c r="F1275" s="3" t="s">
        <v>903</v>
      </c>
      <c r="G1275" s="3">
        <v>1.0</v>
      </c>
      <c r="H1275" s="3" t="b">
        <v>0</v>
      </c>
      <c r="L1275" s="3" t="s">
        <v>2102</v>
      </c>
    </row>
    <row r="1276" ht="15.75" customHeight="1">
      <c r="A1276" s="3" t="s">
        <v>3388</v>
      </c>
      <c r="B1276" s="12">
        <v>46118.0</v>
      </c>
      <c r="C1276" s="3" t="s">
        <v>679</v>
      </c>
      <c r="D1276" s="3" t="s">
        <v>932</v>
      </c>
      <c r="E1276" s="3" t="s">
        <v>2074</v>
      </c>
      <c r="F1276" s="3" t="s">
        <v>903</v>
      </c>
      <c r="G1276" s="3">
        <v>1.0</v>
      </c>
      <c r="H1276" s="3" t="b">
        <v>0</v>
      </c>
      <c r="L1276" s="3" t="s">
        <v>2102</v>
      </c>
    </row>
    <row r="1277" ht="15.75" customHeight="1">
      <c r="A1277" s="3" t="s">
        <v>3389</v>
      </c>
      <c r="B1277" s="12">
        <v>46118.0</v>
      </c>
      <c r="C1277" s="3" t="s">
        <v>682</v>
      </c>
      <c r="D1277" s="3" t="s">
        <v>932</v>
      </c>
      <c r="E1277" s="3" t="s">
        <v>2074</v>
      </c>
      <c r="F1277" s="3" t="s">
        <v>903</v>
      </c>
      <c r="G1277" s="3">
        <v>1.0</v>
      </c>
      <c r="H1277" s="3" t="b">
        <v>0</v>
      </c>
      <c r="L1277" s="3" t="s">
        <v>2102</v>
      </c>
    </row>
    <row r="1278" ht="15.75" customHeight="1">
      <c r="A1278" s="3" t="s">
        <v>3390</v>
      </c>
      <c r="B1278" s="12">
        <v>46118.0</v>
      </c>
      <c r="C1278" s="3" t="s">
        <v>683</v>
      </c>
      <c r="D1278" s="3" t="s">
        <v>932</v>
      </c>
      <c r="E1278" s="3" t="s">
        <v>2074</v>
      </c>
      <c r="F1278" s="3" t="s">
        <v>903</v>
      </c>
      <c r="G1278" s="3">
        <v>1.0</v>
      </c>
      <c r="H1278" s="3" t="b">
        <v>0</v>
      </c>
      <c r="L1278" s="3" t="s">
        <v>2102</v>
      </c>
    </row>
    <row r="1279" ht="15.75" customHeight="1">
      <c r="A1279" s="3" t="s">
        <v>3391</v>
      </c>
      <c r="B1279" s="12">
        <v>46118.0</v>
      </c>
      <c r="C1279" s="3" t="s">
        <v>684</v>
      </c>
      <c r="D1279" s="3" t="s">
        <v>932</v>
      </c>
      <c r="E1279" s="3" t="s">
        <v>2074</v>
      </c>
      <c r="F1279" s="3" t="s">
        <v>903</v>
      </c>
      <c r="G1279" s="3">
        <v>1.0</v>
      </c>
      <c r="H1279" s="3" t="b">
        <v>0</v>
      </c>
      <c r="L1279" s="3" t="s">
        <v>2102</v>
      </c>
    </row>
    <row r="1280" ht="15.75" customHeight="1">
      <c r="A1280" s="3" t="s">
        <v>3392</v>
      </c>
      <c r="B1280" s="12">
        <v>46118.0</v>
      </c>
      <c r="C1280" s="3" t="s">
        <v>686</v>
      </c>
      <c r="D1280" s="3" t="s">
        <v>932</v>
      </c>
      <c r="E1280" s="3" t="s">
        <v>2074</v>
      </c>
      <c r="F1280" s="3" t="s">
        <v>903</v>
      </c>
      <c r="G1280" s="3">
        <v>1.0</v>
      </c>
      <c r="H1280" s="3" t="b">
        <v>0</v>
      </c>
      <c r="L1280" s="3" t="s">
        <v>2102</v>
      </c>
    </row>
    <row r="1281" ht="15.75" customHeight="1">
      <c r="A1281" s="3" t="s">
        <v>3393</v>
      </c>
      <c r="B1281" s="12">
        <v>46118.0</v>
      </c>
      <c r="C1281" s="3" t="s">
        <v>689</v>
      </c>
      <c r="D1281" s="3" t="s">
        <v>932</v>
      </c>
      <c r="E1281" s="3" t="s">
        <v>2074</v>
      </c>
      <c r="F1281" s="3" t="s">
        <v>903</v>
      </c>
      <c r="G1281" s="3">
        <v>1.0</v>
      </c>
      <c r="H1281" s="3" t="b">
        <v>0</v>
      </c>
      <c r="L1281" s="3" t="s">
        <v>2102</v>
      </c>
    </row>
    <row r="1282" ht="15.75" customHeight="1">
      <c r="A1282" s="3" t="s">
        <v>3394</v>
      </c>
      <c r="B1282" s="12">
        <v>46118.0</v>
      </c>
      <c r="C1282" s="3" t="s">
        <v>694</v>
      </c>
      <c r="D1282" s="3" t="s">
        <v>932</v>
      </c>
      <c r="E1282" s="3" t="s">
        <v>2074</v>
      </c>
      <c r="F1282" s="3" t="s">
        <v>903</v>
      </c>
      <c r="G1282" s="3">
        <v>1.0</v>
      </c>
      <c r="H1282" s="3" t="b">
        <v>0</v>
      </c>
      <c r="L1282" s="3" t="s">
        <v>2102</v>
      </c>
    </row>
    <row r="1283" ht="15.75" customHeight="1">
      <c r="A1283" s="3" t="s">
        <v>3395</v>
      </c>
      <c r="B1283" s="12">
        <v>46118.0</v>
      </c>
      <c r="C1283" s="3" t="s">
        <v>699</v>
      </c>
      <c r="D1283" s="3" t="s">
        <v>932</v>
      </c>
      <c r="E1283" s="3" t="s">
        <v>2074</v>
      </c>
      <c r="F1283" s="3" t="s">
        <v>903</v>
      </c>
      <c r="G1283" s="3">
        <v>1.0</v>
      </c>
      <c r="H1283" s="3" t="b">
        <v>0</v>
      </c>
      <c r="L1283" s="3" t="s">
        <v>2102</v>
      </c>
    </row>
    <row r="1284" ht="15.75" customHeight="1">
      <c r="A1284" s="3" t="s">
        <v>3396</v>
      </c>
      <c r="B1284" s="12">
        <v>46118.0</v>
      </c>
      <c r="C1284" s="3" t="s">
        <v>713</v>
      </c>
      <c r="D1284" s="3" t="s">
        <v>932</v>
      </c>
      <c r="E1284" s="3" t="s">
        <v>2074</v>
      </c>
      <c r="F1284" s="3" t="s">
        <v>903</v>
      </c>
      <c r="G1284" s="3">
        <v>1.0</v>
      </c>
      <c r="H1284" s="3" t="b">
        <v>0</v>
      </c>
      <c r="L1284" s="3" t="s">
        <v>2102</v>
      </c>
    </row>
    <row r="1285" ht="15.75" customHeight="1">
      <c r="A1285" s="3" t="s">
        <v>3397</v>
      </c>
      <c r="B1285" s="12">
        <v>46118.0</v>
      </c>
      <c r="C1285" s="3" t="s">
        <v>717</v>
      </c>
      <c r="D1285" s="3" t="s">
        <v>932</v>
      </c>
      <c r="E1285" s="3" t="s">
        <v>2074</v>
      </c>
      <c r="F1285" s="3" t="s">
        <v>903</v>
      </c>
      <c r="G1285" s="3">
        <v>1.0</v>
      </c>
      <c r="H1285" s="3" t="b">
        <v>0</v>
      </c>
      <c r="L1285" s="3" t="s">
        <v>2102</v>
      </c>
    </row>
    <row r="1286" ht="15.75" customHeight="1">
      <c r="A1286" s="3" t="s">
        <v>3398</v>
      </c>
      <c r="B1286" s="12">
        <v>46118.0</v>
      </c>
      <c r="C1286" s="3" t="s">
        <v>718</v>
      </c>
      <c r="D1286" s="3" t="s">
        <v>932</v>
      </c>
      <c r="E1286" s="3" t="s">
        <v>2074</v>
      </c>
      <c r="F1286" s="3" t="s">
        <v>903</v>
      </c>
      <c r="G1286" s="3">
        <v>1.0</v>
      </c>
      <c r="H1286" s="3" t="b">
        <v>0</v>
      </c>
      <c r="L1286" s="3" t="s">
        <v>2102</v>
      </c>
    </row>
    <row r="1287" ht="15.75" customHeight="1">
      <c r="A1287" s="3" t="s">
        <v>3399</v>
      </c>
      <c r="B1287" s="12">
        <v>46118.0</v>
      </c>
      <c r="C1287" s="3" t="s">
        <v>720</v>
      </c>
      <c r="D1287" s="3" t="s">
        <v>932</v>
      </c>
      <c r="E1287" s="3" t="s">
        <v>2074</v>
      </c>
      <c r="F1287" s="3" t="s">
        <v>903</v>
      </c>
      <c r="G1287" s="3">
        <v>1.0</v>
      </c>
      <c r="H1287" s="3" t="b">
        <v>0</v>
      </c>
      <c r="L1287" s="3" t="s">
        <v>2102</v>
      </c>
    </row>
    <row r="1288" ht="15.75" customHeight="1">
      <c r="A1288" s="3" t="s">
        <v>3400</v>
      </c>
      <c r="B1288" s="12">
        <v>46118.0</v>
      </c>
      <c r="C1288" s="3" t="s">
        <v>722</v>
      </c>
      <c r="D1288" s="3" t="s">
        <v>932</v>
      </c>
      <c r="E1288" s="3" t="s">
        <v>2074</v>
      </c>
      <c r="F1288" s="3" t="s">
        <v>903</v>
      </c>
      <c r="G1288" s="3">
        <v>1.0</v>
      </c>
      <c r="H1288" s="3" t="b">
        <v>0</v>
      </c>
      <c r="L1288" s="3" t="s">
        <v>2102</v>
      </c>
    </row>
    <row r="1289" ht="15.75" customHeight="1">
      <c r="A1289" s="3" t="s">
        <v>3401</v>
      </c>
      <c r="B1289" s="12">
        <v>46118.0</v>
      </c>
      <c r="C1289" s="3" t="s">
        <v>733</v>
      </c>
      <c r="D1289" s="3" t="s">
        <v>932</v>
      </c>
      <c r="E1289" s="3" t="s">
        <v>2074</v>
      </c>
      <c r="F1289" s="3" t="s">
        <v>903</v>
      </c>
      <c r="G1289" s="3">
        <v>1.0</v>
      </c>
      <c r="H1289" s="3" t="b">
        <v>0</v>
      </c>
      <c r="L1289" s="3" t="s">
        <v>2102</v>
      </c>
    </row>
    <row r="1290" ht="15.75" customHeight="1">
      <c r="A1290" s="3" t="s">
        <v>3402</v>
      </c>
      <c r="B1290" s="12">
        <v>46118.0</v>
      </c>
      <c r="C1290" s="3" t="s">
        <v>1321</v>
      </c>
      <c r="D1290" s="3" t="s">
        <v>932</v>
      </c>
      <c r="E1290" s="3" t="s">
        <v>2074</v>
      </c>
      <c r="F1290" s="3" t="s">
        <v>903</v>
      </c>
      <c r="G1290" s="3">
        <v>1.0</v>
      </c>
      <c r="H1290" s="3" t="b">
        <v>0</v>
      </c>
      <c r="L1290" s="3" t="s">
        <v>2102</v>
      </c>
    </row>
    <row r="1291" ht="15.75" customHeight="1">
      <c r="A1291" s="3" t="s">
        <v>3403</v>
      </c>
      <c r="B1291" s="12">
        <v>46118.0</v>
      </c>
      <c r="C1291" s="3" t="s">
        <v>749</v>
      </c>
      <c r="D1291" s="3" t="s">
        <v>932</v>
      </c>
      <c r="E1291" s="3" t="s">
        <v>2074</v>
      </c>
      <c r="F1291" s="3" t="s">
        <v>903</v>
      </c>
      <c r="G1291" s="3">
        <v>1.0</v>
      </c>
      <c r="H1291" s="3" t="b">
        <v>0</v>
      </c>
      <c r="L1291" s="3" t="s">
        <v>2102</v>
      </c>
    </row>
    <row r="1292" ht="15.75" customHeight="1">
      <c r="A1292" s="3" t="s">
        <v>3404</v>
      </c>
      <c r="B1292" s="12">
        <v>46118.0</v>
      </c>
      <c r="C1292" s="3" t="s">
        <v>752</v>
      </c>
      <c r="D1292" s="3" t="s">
        <v>932</v>
      </c>
      <c r="E1292" s="3" t="s">
        <v>2074</v>
      </c>
      <c r="F1292" s="3" t="s">
        <v>903</v>
      </c>
      <c r="G1292" s="3">
        <v>1.0</v>
      </c>
      <c r="H1292" s="3" t="b">
        <v>0</v>
      </c>
      <c r="L1292" s="3" t="s">
        <v>2102</v>
      </c>
    </row>
    <row r="1293" ht="15.75" customHeight="1">
      <c r="A1293" s="3" t="s">
        <v>3405</v>
      </c>
      <c r="B1293" s="12">
        <v>46118.0</v>
      </c>
      <c r="C1293" s="3" t="s">
        <v>753</v>
      </c>
      <c r="D1293" s="3" t="s">
        <v>932</v>
      </c>
      <c r="E1293" s="3" t="s">
        <v>2074</v>
      </c>
      <c r="F1293" s="3" t="s">
        <v>903</v>
      </c>
      <c r="G1293" s="3">
        <v>1.0</v>
      </c>
      <c r="H1293" s="3" t="b">
        <v>0</v>
      </c>
      <c r="L1293" s="3" t="s">
        <v>2102</v>
      </c>
    </row>
    <row r="1294" ht="15.75" customHeight="1">
      <c r="A1294" s="3" t="s">
        <v>3406</v>
      </c>
      <c r="B1294" s="12">
        <v>46118.0</v>
      </c>
      <c r="C1294" s="3" t="s">
        <v>765</v>
      </c>
      <c r="D1294" s="3" t="s">
        <v>932</v>
      </c>
      <c r="E1294" s="3" t="s">
        <v>2074</v>
      </c>
      <c r="F1294" s="3" t="s">
        <v>903</v>
      </c>
      <c r="G1294" s="3">
        <v>1.0</v>
      </c>
      <c r="H1294" s="3" t="b">
        <v>0</v>
      </c>
      <c r="L1294" s="3" t="s">
        <v>2102</v>
      </c>
    </row>
    <row r="1295" ht="15.75" customHeight="1">
      <c r="A1295" s="3" t="s">
        <v>3407</v>
      </c>
      <c r="B1295" s="12">
        <v>46118.0</v>
      </c>
      <c r="C1295" s="3" t="s">
        <v>773</v>
      </c>
      <c r="D1295" s="3" t="s">
        <v>932</v>
      </c>
      <c r="E1295" s="3" t="s">
        <v>2074</v>
      </c>
      <c r="F1295" s="3" t="s">
        <v>903</v>
      </c>
      <c r="G1295" s="3">
        <v>1.0</v>
      </c>
      <c r="H1295" s="3" t="b">
        <v>0</v>
      </c>
      <c r="L1295" s="3" t="s">
        <v>2102</v>
      </c>
    </row>
    <row r="1296" ht="15.75" customHeight="1">
      <c r="A1296" s="3" t="s">
        <v>3408</v>
      </c>
      <c r="B1296" s="12">
        <v>46118.0</v>
      </c>
      <c r="C1296" s="3" t="s">
        <v>777</v>
      </c>
      <c r="D1296" s="3" t="s">
        <v>932</v>
      </c>
      <c r="E1296" s="3" t="s">
        <v>2074</v>
      </c>
      <c r="F1296" s="3" t="s">
        <v>903</v>
      </c>
      <c r="G1296" s="3">
        <v>1.0</v>
      </c>
      <c r="H1296" s="3" t="b">
        <v>0</v>
      </c>
      <c r="L1296" s="3" t="s">
        <v>2102</v>
      </c>
    </row>
    <row r="1297" ht="15.75" customHeight="1">
      <c r="A1297" s="3" t="s">
        <v>3409</v>
      </c>
      <c r="B1297" s="12">
        <v>46118.0</v>
      </c>
      <c r="C1297" s="3" t="s">
        <v>779</v>
      </c>
      <c r="D1297" s="3" t="s">
        <v>932</v>
      </c>
      <c r="E1297" s="3" t="s">
        <v>2074</v>
      </c>
      <c r="F1297" s="3" t="s">
        <v>903</v>
      </c>
      <c r="G1297" s="3">
        <v>1.0</v>
      </c>
      <c r="H1297" s="3" t="b">
        <v>0</v>
      </c>
      <c r="L1297" s="3" t="s">
        <v>2102</v>
      </c>
    </row>
    <row r="1298" ht="15.75" customHeight="1">
      <c r="A1298" s="3" t="s">
        <v>3410</v>
      </c>
      <c r="B1298" s="12">
        <v>46118.0</v>
      </c>
      <c r="C1298" s="3" t="s">
        <v>1183</v>
      </c>
      <c r="D1298" s="3" t="s">
        <v>932</v>
      </c>
      <c r="E1298" s="3" t="s">
        <v>2074</v>
      </c>
      <c r="F1298" s="3" t="s">
        <v>903</v>
      </c>
      <c r="G1298" s="3">
        <v>1.0</v>
      </c>
      <c r="H1298" s="3" t="b">
        <v>0</v>
      </c>
      <c r="L1298" s="3" t="s">
        <v>2102</v>
      </c>
    </row>
    <row r="1299" ht="15.75" customHeight="1">
      <c r="A1299" s="3" t="s">
        <v>3411</v>
      </c>
      <c r="B1299" s="12">
        <v>46118.0</v>
      </c>
      <c r="C1299" s="3" t="s">
        <v>794</v>
      </c>
      <c r="D1299" s="3" t="s">
        <v>932</v>
      </c>
      <c r="E1299" s="3" t="s">
        <v>2074</v>
      </c>
      <c r="F1299" s="3" t="s">
        <v>903</v>
      </c>
      <c r="G1299" s="3">
        <v>1.0</v>
      </c>
      <c r="H1299" s="3" t="b">
        <v>0</v>
      </c>
      <c r="L1299" s="3" t="s">
        <v>2102</v>
      </c>
    </row>
    <row r="1300" ht="15.75" customHeight="1">
      <c r="A1300" s="3" t="s">
        <v>3412</v>
      </c>
      <c r="B1300" s="12">
        <v>46118.0</v>
      </c>
      <c r="C1300" s="3" t="s">
        <v>797</v>
      </c>
      <c r="D1300" s="3" t="s">
        <v>932</v>
      </c>
      <c r="E1300" s="3" t="s">
        <v>2074</v>
      </c>
      <c r="F1300" s="3" t="s">
        <v>903</v>
      </c>
      <c r="G1300" s="3">
        <v>1.0</v>
      </c>
      <c r="H1300" s="3" t="b">
        <v>0</v>
      </c>
      <c r="L1300" s="3" t="s">
        <v>2102</v>
      </c>
    </row>
    <row r="1301" ht="15.75" customHeight="1">
      <c r="A1301" s="3" t="s">
        <v>3413</v>
      </c>
      <c r="B1301" s="12">
        <v>46118.0</v>
      </c>
      <c r="C1301" s="3" t="s">
        <v>806</v>
      </c>
      <c r="D1301" s="3" t="s">
        <v>932</v>
      </c>
      <c r="E1301" s="3" t="s">
        <v>2074</v>
      </c>
      <c r="F1301" s="3" t="s">
        <v>903</v>
      </c>
      <c r="G1301" s="3">
        <v>1.0</v>
      </c>
      <c r="H1301" s="3" t="b">
        <v>0</v>
      </c>
      <c r="L1301" s="3" t="s">
        <v>2102</v>
      </c>
    </row>
    <row r="1302" ht="15.75" customHeight="1">
      <c r="A1302" s="3" t="s">
        <v>3414</v>
      </c>
      <c r="B1302" s="12">
        <v>46118.0</v>
      </c>
      <c r="C1302" s="3" t="s">
        <v>69</v>
      </c>
      <c r="D1302" s="3" t="s">
        <v>934</v>
      </c>
      <c r="E1302" s="3" t="s">
        <v>2074</v>
      </c>
      <c r="F1302" s="3" t="s">
        <v>903</v>
      </c>
      <c r="G1302" s="3">
        <v>1.0</v>
      </c>
      <c r="H1302" s="3" t="b">
        <v>0</v>
      </c>
      <c r="L1302" s="3" t="s">
        <v>2102</v>
      </c>
    </row>
    <row r="1303" ht="15.75" customHeight="1">
      <c r="A1303" s="3" t="s">
        <v>3415</v>
      </c>
      <c r="B1303" s="12">
        <v>46118.0</v>
      </c>
      <c r="C1303" s="3" t="s">
        <v>140</v>
      </c>
      <c r="D1303" s="3" t="s">
        <v>934</v>
      </c>
      <c r="E1303" s="3" t="s">
        <v>2074</v>
      </c>
      <c r="F1303" s="3" t="s">
        <v>903</v>
      </c>
      <c r="G1303" s="3">
        <v>1.0</v>
      </c>
      <c r="H1303" s="3" t="b">
        <v>0</v>
      </c>
      <c r="L1303" s="3" t="s">
        <v>2102</v>
      </c>
    </row>
    <row r="1304" ht="15.75" customHeight="1">
      <c r="A1304" s="3" t="s">
        <v>3416</v>
      </c>
      <c r="B1304" s="12">
        <v>46118.0</v>
      </c>
      <c r="C1304" s="3" t="s">
        <v>147</v>
      </c>
      <c r="D1304" s="3" t="s">
        <v>934</v>
      </c>
      <c r="E1304" s="3" t="s">
        <v>2074</v>
      </c>
      <c r="F1304" s="3" t="s">
        <v>903</v>
      </c>
      <c r="G1304" s="3">
        <v>1.0</v>
      </c>
      <c r="H1304" s="3" t="b">
        <v>0</v>
      </c>
      <c r="L1304" s="3" t="s">
        <v>2102</v>
      </c>
    </row>
    <row r="1305" ht="15.75" customHeight="1">
      <c r="A1305" s="3" t="s">
        <v>3417</v>
      </c>
      <c r="B1305" s="12">
        <v>46118.0</v>
      </c>
      <c r="C1305" s="3" t="s">
        <v>167</v>
      </c>
      <c r="D1305" s="3" t="s">
        <v>934</v>
      </c>
      <c r="E1305" s="3" t="s">
        <v>2074</v>
      </c>
      <c r="F1305" s="3" t="s">
        <v>903</v>
      </c>
      <c r="G1305" s="3">
        <v>1.0</v>
      </c>
      <c r="H1305" s="3" t="b">
        <v>0</v>
      </c>
      <c r="L1305" s="3" t="s">
        <v>2102</v>
      </c>
    </row>
    <row r="1306" ht="15.75" customHeight="1">
      <c r="A1306" s="3" t="s">
        <v>3418</v>
      </c>
      <c r="B1306" s="12">
        <v>46118.0</v>
      </c>
      <c r="C1306" s="3" t="s">
        <v>174</v>
      </c>
      <c r="D1306" s="3" t="s">
        <v>934</v>
      </c>
      <c r="E1306" s="3" t="s">
        <v>2074</v>
      </c>
      <c r="F1306" s="3" t="s">
        <v>903</v>
      </c>
      <c r="G1306" s="3">
        <v>1.0</v>
      </c>
      <c r="H1306" s="3" t="b">
        <v>0</v>
      </c>
      <c r="L1306" s="3" t="s">
        <v>2102</v>
      </c>
    </row>
    <row r="1307" ht="15.75" customHeight="1">
      <c r="A1307" s="3" t="s">
        <v>3419</v>
      </c>
      <c r="B1307" s="12">
        <v>46118.0</v>
      </c>
      <c r="C1307" s="3" t="s">
        <v>180</v>
      </c>
      <c r="D1307" s="3" t="s">
        <v>934</v>
      </c>
      <c r="E1307" s="3" t="s">
        <v>2074</v>
      </c>
      <c r="F1307" s="3" t="s">
        <v>903</v>
      </c>
      <c r="G1307" s="3">
        <v>1.0</v>
      </c>
      <c r="H1307" s="3" t="b">
        <v>0</v>
      </c>
      <c r="L1307" s="3" t="s">
        <v>2102</v>
      </c>
    </row>
    <row r="1308" ht="15.75" customHeight="1">
      <c r="A1308" s="3" t="s">
        <v>3420</v>
      </c>
      <c r="B1308" s="12">
        <v>46118.0</v>
      </c>
      <c r="C1308" s="3" t="s">
        <v>193</v>
      </c>
      <c r="D1308" s="3" t="s">
        <v>934</v>
      </c>
      <c r="E1308" s="3" t="s">
        <v>2074</v>
      </c>
      <c r="F1308" s="3" t="s">
        <v>903</v>
      </c>
      <c r="G1308" s="3">
        <v>1.0</v>
      </c>
      <c r="H1308" s="3" t="b">
        <v>0</v>
      </c>
      <c r="L1308" s="3" t="s">
        <v>2102</v>
      </c>
    </row>
    <row r="1309" ht="15.75" customHeight="1">
      <c r="A1309" s="3" t="s">
        <v>3421</v>
      </c>
      <c r="B1309" s="12">
        <v>46118.0</v>
      </c>
      <c r="C1309" s="3" t="s">
        <v>216</v>
      </c>
      <c r="D1309" s="3" t="s">
        <v>934</v>
      </c>
      <c r="E1309" s="3" t="s">
        <v>2074</v>
      </c>
      <c r="F1309" s="3" t="s">
        <v>903</v>
      </c>
      <c r="G1309" s="3">
        <v>1.0</v>
      </c>
      <c r="H1309" s="3" t="b">
        <v>0</v>
      </c>
      <c r="L1309" s="3" t="s">
        <v>2102</v>
      </c>
    </row>
    <row r="1310" ht="15.75" customHeight="1">
      <c r="A1310" s="3" t="s">
        <v>3422</v>
      </c>
      <c r="B1310" s="12">
        <v>46118.0</v>
      </c>
      <c r="C1310" s="3" t="s">
        <v>217</v>
      </c>
      <c r="D1310" s="3" t="s">
        <v>934</v>
      </c>
      <c r="E1310" s="3" t="s">
        <v>2074</v>
      </c>
      <c r="F1310" s="3" t="s">
        <v>903</v>
      </c>
      <c r="G1310" s="3">
        <v>1.0</v>
      </c>
      <c r="H1310" s="3" t="b">
        <v>0</v>
      </c>
      <c r="L1310" s="3" t="s">
        <v>2102</v>
      </c>
    </row>
    <row r="1311" ht="15.75" customHeight="1">
      <c r="A1311" s="3" t="s">
        <v>3423</v>
      </c>
      <c r="B1311" s="12">
        <v>46118.0</v>
      </c>
      <c r="C1311" s="3" t="s">
        <v>218</v>
      </c>
      <c r="D1311" s="3" t="s">
        <v>934</v>
      </c>
      <c r="E1311" s="3" t="s">
        <v>2074</v>
      </c>
      <c r="F1311" s="3" t="s">
        <v>903</v>
      </c>
      <c r="G1311" s="3">
        <v>1.0</v>
      </c>
      <c r="H1311" s="3" t="b">
        <v>0</v>
      </c>
      <c r="L1311" s="3" t="s">
        <v>2102</v>
      </c>
    </row>
    <row r="1312" ht="15.75" customHeight="1">
      <c r="A1312" s="3" t="s">
        <v>3424</v>
      </c>
      <c r="B1312" s="12">
        <v>46118.0</v>
      </c>
      <c r="C1312" s="3" t="s">
        <v>233</v>
      </c>
      <c r="D1312" s="3" t="s">
        <v>934</v>
      </c>
      <c r="E1312" s="3" t="s">
        <v>2074</v>
      </c>
      <c r="F1312" s="3" t="s">
        <v>903</v>
      </c>
      <c r="G1312" s="3">
        <v>1.0</v>
      </c>
      <c r="H1312" s="3" t="b">
        <v>0</v>
      </c>
      <c r="L1312" s="3" t="s">
        <v>2102</v>
      </c>
    </row>
    <row r="1313" ht="15.75" customHeight="1">
      <c r="A1313" s="3" t="s">
        <v>3425</v>
      </c>
      <c r="B1313" s="12">
        <v>46118.0</v>
      </c>
      <c r="C1313" s="3" t="s">
        <v>242</v>
      </c>
      <c r="D1313" s="3" t="s">
        <v>934</v>
      </c>
      <c r="E1313" s="3" t="s">
        <v>2074</v>
      </c>
      <c r="F1313" s="3" t="s">
        <v>903</v>
      </c>
      <c r="G1313" s="3">
        <v>1.0</v>
      </c>
      <c r="H1313" s="3" t="b">
        <v>0</v>
      </c>
      <c r="L1313" s="3" t="s">
        <v>2102</v>
      </c>
    </row>
    <row r="1314" ht="15.75" customHeight="1">
      <c r="A1314" s="3" t="s">
        <v>3426</v>
      </c>
      <c r="B1314" s="12">
        <v>46118.0</v>
      </c>
      <c r="C1314" s="3" t="s">
        <v>251</v>
      </c>
      <c r="D1314" s="3" t="s">
        <v>934</v>
      </c>
      <c r="E1314" s="3" t="s">
        <v>2074</v>
      </c>
      <c r="F1314" s="3" t="s">
        <v>903</v>
      </c>
      <c r="G1314" s="3">
        <v>1.0</v>
      </c>
      <c r="H1314" s="3" t="b">
        <v>0</v>
      </c>
      <c r="L1314" s="3" t="s">
        <v>2102</v>
      </c>
    </row>
    <row r="1315" ht="15.75" customHeight="1">
      <c r="A1315" s="3" t="s">
        <v>3427</v>
      </c>
      <c r="B1315" s="12">
        <v>46118.0</v>
      </c>
      <c r="C1315" s="3" t="s">
        <v>252</v>
      </c>
      <c r="D1315" s="3" t="s">
        <v>934</v>
      </c>
      <c r="E1315" s="3" t="s">
        <v>2074</v>
      </c>
      <c r="F1315" s="3" t="s">
        <v>903</v>
      </c>
      <c r="G1315" s="3">
        <v>1.0</v>
      </c>
      <c r="H1315" s="3" t="b">
        <v>0</v>
      </c>
      <c r="L1315" s="3" t="s">
        <v>2102</v>
      </c>
    </row>
    <row r="1316" ht="15.75" customHeight="1">
      <c r="A1316" s="3" t="s">
        <v>3428</v>
      </c>
      <c r="B1316" s="12">
        <v>46118.0</v>
      </c>
      <c r="C1316" s="3" t="s">
        <v>2347</v>
      </c>
      <c r="D1316" s="3" t="s">
        <v>934</v>
      </c>
      <c r="E1316" s="3" t="s">
        <v>2074</v>
      </c>
      <c r="F1316" s="3" t="s">
        <v>903</v>
      </c>
      <c r="G1316" s="3">
        <v>1.0</v>
      </c>
      <c r="H1316" s="3" t="b">
        <v>0</v>
      </c>
      <c r="L1316" s="3" t="s">
        <v>2102</v>
      </c>
    </row>
    <row r="1317" ht="15.75" customHeight="1">
      <c r="A1317" s="3" t="s">
        <v>3429</v>
      </c>
      <c r="B1317" s="12">
        <v>46118.0</v>
      </c>
      <c r="C1317" s="3" t="s">
        <v>264</v>
      </c>
      <c r="D1317" s="3" t="s">
        <v>934</v>
      </c>
      <c r="E1317" s="3" t="s">
        <v>2074</v>
      </c>
      <c r="F1317" s="3" t="s">
        <v>903</v>
      </c>
      <c r="G1317" s="3">
        <v>1.0</v>
      </c>
      <c r="H1317" s="3" t="b">
        <v>0</v>
      </c>
      <c r="L1317" s="3" t="s">
        <v>2102</v>
      </c>
    </row>
    <row r="1318" ht="15.75" customHeight="1">
      <c r="A1318" s="3" t="s">
        <v>3430</v>
      </c>
      <c r="B1318" s="12">
        <v>46118.0</v>
      </c>
      <c r="C1318" s="3" t="s">
        <v>265</v>
      </c>
      <c r="D1318" s="3" t="s">
        <v>934</v>
      </c>
      <c r="E1318" s="3" t="s">
        <v>2074</v>
      </c>
      <c r="F1318" s="3" t="s">
        <v>903</v>
      </c>
      <c r="G1318" s="3">
        <v>1.0</v>
      </c>
      <c r="H1318" s="3" t="b">
        <v>0</v>
      </c>
      <c r="L1318" s="3" t="s">
        <v>2102</v>
      </c>
    </row>
    <row r="1319" ht="15.75" customHeight="1">
      <c r="A1319" s="3" t="s">
        <v>3431</v>
      </c>
      <c r="B1319" s="12">
        <v>46118.0</v>
      </c>
      <c r="C1319" s="3" t="s">
        <v>266</v>
      </c>
      <c r="D1319" s="3" t="s">
        <v>934</v>
      </c>
      <c r="E1319" s="3" t="s">
        <v>2074</v>
      </c>
      <c r="F1319" s="3" t="s">
        <v>903</v>
      </c>
      <c r="G1319" s="3">
        <v>1.0</v>
      </c>
      <c r="H1319" s="3" t="b">
        <v>0</v>
      </c>
      <c r="L1319" s="3" t="s">
        <v>2102</v>
      </c>
    </row>
    <row r="1320" ht="15.75" customHeight="1">
      <c r="A1320" s="3" t="s">
        <v>3432</v>
      </c>
      <c r="B1320" s="12">
        <v>46118.0</v>
      </c>
      <c r="C1320" s="3" t="s">
        <v>267</v>
      </c>
      <c r="D1320" s="3" t="s">
        <v>934</v>
      </c>
      <c r="E1320" s="3" t="s">
        <v>2074</v>
      </c>
      <c r="F1320" s="3" t="s">
        <v>903</v>
      </c>
      <c r="G1320" s="3">
        <v>1.0</v>
      </c>
      <c r="H1320" s="3" t="b">
        <v>0</v>
      </c>
      <c r="L1320" s="3" t="s">
        <v>2102</v>
      </c>
    </row>
    <row r="1321" ht="15.75" customHeight="1">
      <c r="A1321" s="3" t="s">
        <v>3433</v>
      </c>
      <c r="B1321" s="12">
        <v>46118.0</v>
      </c>
      <c r="C1321" s="3" t="s">
        <v>271</v>
      </c>
      <c r="D1321" s="3" t="s">
        <v>934</v>
      </c>
      <c r="E1321" s="3" t="s">
        <v>2074</v>
      </c>
      <c r="F1321" s="3" t="s">
        <v>903</v>
      </c>
      <c r="G1321" s="3">
        <v>1.0</v>
      </c>
      <c r="H1321" s="3" t="b">
        <v>0</v>
      </c>
      <c r="L1321" s="3" t="s">
        <v>2102</v>
      </c>
    </row>
    <row r="1322" ht="15.75" customHeight="1">
      <c r="A1322" s="3" t="s">
        <v>3434</v>
      </c>
      <c r="B1322" s="12">
        <v>46118.0</v>
      </c>
      <c r="C1322" s="3" t="s">
        <v>275</v>
      </c>
      <c r="D1322" s="3" t="s">
        <v>934</v>
      </c>
      <c r="E1322" s="3" t="s">
        <v>2074</v>
      </c>
      <c r="F1322" s="3" t="s">
        <v>903</v>
      </c>
      <c r="G1322" s="3">
        <v>1.0</v>
      </c>
      <c r="H1322" s="3" t="b">
        <v>0</v>
      </c>
      <c r="L1322" s="3" t="s">
        <v>2102</v>
      </c>
    </row>
    <row r="1323" ht="15.75" customHeight="1">
      <c r="A1323" s="3" t="s">
        <v>3435</v>
      </c>
      <c r="B1323" s="12">
        <v>46118.0</v>
      </c>
      <c r="C1323" s="3" t="s">
        <v>277</v>
      </c>
      <c r="D1323" s="3" t="s">
        <v>934</v>
      </c>
      <c r="E1323" s="3" t="s">
        <v>2074</v>
      </c>
      <c r="F1323" s="3" t="s">
        <v>903</v>
      </c>
      <c r="G1323" s="3">
        <v>1.0</v>
      </c>
      <c r="H1323" s="3" t="b">
        <v>0</v>
      </c>
      <c r="L1323" s="3" t="s">
        <v>2102</v>
      </c>
    </row>
    <row r="1324" ht="15.75" customHeight="1">
      <c r="A1324" s="3" t="s">
        <v>3436</v>
      </c>
      <c r="B1324" s="12">
        <v>46118.0</v>
      </c>
      <c r="C1324" s="3" t="s">
        <v>284</v>
      </c>
      <c r="D1324" s="3" t="s">
        <v>934</v>
      </c>
      <c r="E1324" s="3" t="s">
        <v>2074</v>
      </c>
      <c r="F1324" s="3" t="s">
        <v>903</v>
      </c>
      <c r="G1324" s="3">
        <v>1.0</v>
      </c>
      <c r="H1324" s="3" t="b">
        <v>0</v>
      </c>
      <c r="L1324" s="3" t="s">
        <v>2102</v>
      </c>
    </row>
    <row r="1325" ht="15.75" customHeight="1">
      <c r="A1325" s="3" t="s">
        <v>3437</v>
      </c>
      <c r="B1325" s="12">
        <v>46118.0</v>
      </c>
      <c r="C1325" s="3" t="s">
        <v>286</v>
      </c>
      <c r="D1325" s="3" t="s">
        <v>934</v>
      </c>
      <c r="E1325" s="3" t="s">
        <v>2074</v>
      </c>
      <c r="F1325" s="3" t="s">
        <v>903</v>
      </c>
      <c r="G1325" s="3">
        <v>1.0</v>
      </c>
      <c r="H1325" s="3" t="b">
        <v>0</v>
      </c>
      <c r="L1325" s="3" t="s">
        <v>2102</v>
      </c>
    </row>
    <row r="1326" ht="15.75" customHeight="1">
      <c r="A1326" s="3" t="s">
        <v>3438</v>
      </c>
      <c r="B1326" s="12">
        <v>46118.0</v>
      </c>
      <c r="C1326" s="3" t="s">
        <v>294</v>
      </c>
      <c r="D1326" s="3" t="s">
        <v>934</v>
      </c>
      <c r="E1326" s="3" t="s">
        <v>2074</v>
      </c>
      <c r="F1326" s="3" t="s">
        <v>903</v>
      </c>
      <c r="G1326" s="3">
        <v>1.0</v>
      </c>
      <c r="H1326" s="3" t="b">
        <v>0</v>
      </c>
      <c r="L1326" s="3" t="s">
        <v>2102</v>
      </c>
    </row>
    <row r="1327" ht="15.75" customHeight="1">
      <c r="A1327" s="3" t="s">
        <v>3439</v>
      </c>
      <c r="B1327" s="12">
        <v>46118.0</v>
      </c>
      <c r="C1327" s="3" t="s">
        <v>295</v>
      </c>
      <c r="D1327" s="3" t="s">
        <v>934</v>
      </c>
      <c r="E1327" s="3" t="s">
        <v>2074</v>
      </c>
      <c r="F1327" s="3" t="s">
        <v>903</v>
      </c>
      <c r="G1327" s="3">
        <v>1.0</v>
      </c>
      <c r="H1327" s="3" t="b">
        <v>0</v>
      </c>
      <c r="L1327" s="3" t="s">
        <v>2102</v>
      </c>
    </row>
    <row r="1328" ht="15.75" customHeight="1">
      <c r="A1328" s="3" t="s">
        <v>3440</v>
      </c>
      <c r="B1328" s="12">
        <v>46118.0</v>
      </c>
      <c r="C1328" s="3" t="s">
        <v>297</v>
      </c>
      <c r="D1328" s="3" t="s">
        <v>934</v>
      </c>
      <c r="E1328" s="3" t="s">
        <v>2074</v>
      </c>
      <c r="F1328" s="3" t="s">
        <v>903</v>
      </c>
      <c r="G1328" s="3">
        <v>1.0</v>
      </c>
      <c r="H1328" s="3" t="b">
        <v>0</v>
      </c>
      <c r="L1328" s="3" t="s">
        <v>2102</v>
      </c>
    </row>
    <row r="1329" ht="15.75" customHeight="1">
      <c r="A1329" s="3" t="s">
        <v>3441</v>
      </c>
      <c r="B1329" s="12">
        <v>46118.0</v>
      </c>
      <c r="C1329" s="3" t="s">
        <v>306</v>
      </c>
      <c r="D1329" s="3" t="s">
        <v>934</v>
      </c>
      <c r="E1329" s="3" t="s">
        <v>2074</v>
      </c>
      <c r="F1329" s="3" t="s">
        <v>903</v>
      </c>
      <c r="G1329" s="3">
        <v>1.0</v>
      </c>
      <c r="H1329" s="3" t="b">
        <v>0</v>
      </c>
      <c r="L1329" s="3" t="s">
        <v>2102</v>
      </c>
    </row>
    <row r="1330" ht="15.75" customHeight="1">
      <c r="A1330" s="3" t="s">
        <v>3442</v>
      </c>
      <c r="B1330" s="12">
        <v>46118.0</v>
      </c>
      <c r="C1330" s="3" t="s">
        <v>311</v>
      </c>
      <c r="D1330" s="3" t="s">
        <v>934</v>
      </c>
      <c r="E1330" s="3" t="s">
        <v>2074</v>
      </c>
      <c r="F1330" s="3" t="s">
        <v>903</v>
      </c>
      <c r="G1330" s="3">
        <v>1.0</v>
      </c>
      <c r="H1330" s="3" t="b">
        <v>0</v>
      </c>
      <c r="L1330" s="3" t="s">
        <v>2102</v>
      </c>
    </row>
    <row r="1331" ht="15.75" customHeight="1">
      <c r="A1331" s="3" t="s">
        <v>3443</v>
      </c>
      <c r="B1331" s="12">
        <v>46118.0</v>
      </c>
      <c r="C1331" s="3" t="s">
        <v>317</v>
      </c>
      <c r="D1331" s="3" t="s">
        <v>934</v>
      </c>
      <c r="E1331" s="3" t="s">
        <v>2074</v>
      </c>
      <c r="F1331" s="3" t="s">
        <v>903</v>
      </c>
      <c r="G1331" s="3">
        <v>1.0</v>
      </c>
      <c r="H1331" s="3" t="b">
        <v>0</v>
      </c>
      <c r="L1331" s="3" t="s">
        <v>2102</v>
      </c>
    </row>
    <row r="1332" ht="15.75" customHeight="1">
      <c r="A1332" s="3" t="s">
        <v>3444</v>
      </c>
      <c r="B1332" s="12">
        <v>46118.0</v>
      </c>
      <c r="C1332" s="3" t="s">
        <v>319</v>
      </c>
      <c r="D1332" s="3" t="s">
        <v>934</v>
      </c>
      <c r="E1332" s="3" t="s">
        <v>2074</v>
      </c>
      <c r="F1332" s="3" t="s">
        <v>903</v>
      </c>
      <c r="G1332" s="3">
        <v>1.0</v>
      </c>
      <c r="H1332" s="3" t="b">
        <v>0</v>
      </c>
      <c r="L1332" s="3" t="s">
        <v>2102</v>
      </c>
    </row>
    <row r="1333" ht="15.75" customHeight="1">
      <c r="A1333" s="3" t="s">
        <v>3445</v>
      </c>
      <c r="B1333" s="12">
        <v>46118.0</v>
      </c>
      <c r="C1333" s="3" t="s">
        <v>320</v>
      </c>
      <c r="D1333" s="3" t="s">
        <v>934</v>
      </c>
      <c r="E1333" s="3" t="s">
        <v>2074</v>
      </c>
      <c r="F1333" s="3" t="s">
        <v>903</v>
      </c>
      <c r="G1333" s="3">
        <v>1.0</v>
      </c>
      <c r="H1333" s="3" t="b">
        <v>0</v>
      </c>
      <c r="L1333" s="3" t="s">
        <v>2102</v>
      </c>
    </row>
    <row r="1334" ht="15.75" customHeight="1">
      <c r="A1334" s="3" t="s">
        <v>3446</v>
      </c>
      <c r="B1334" s="12">
        <v>46118.0</v>
      </c>
      <c r="C1334" s="3" t="s">
        <v>322</v>
      </c>
      <c r="D1334" s="3" t="s">
        <v>934</v>
      </c>
      <c r="E1334" s="3" t="s">
        <v>2074</v>
      </c>
      <c r="F1334" s="3" t="s">
        <v>903</v>
      </c>
      <c r="G1334" s="3">
        <v>1.0</v>
      </c>
      <c r="H1334" s="3" t="b">
        <v>0</v>
      </c>
      <c r="L1334" s="3" t="s">
        <v>2102</v>
      </c>
    </row>
    <row r="1335" ht="15.75" customHeight="1">
      <c r="A1335" s="3" t="s">
        <v>3447</v>
      </c>
      <c r="B1335" s="12">
        <v>46118.0</v>
      </c>
      <c r="C1335" s="3" t="s">
        <v>325</v>
      </c>
      <c r="D1335" s="3" t="s">
        <v>934</v>
      </c>
      <c r="E1335" s="3" t="s">
        <v>2074</v>
      </c>
      <c r="F1335" s="3" t="s">
        <v>903</v>
      </c>
      <c r="G1335" s="3">
        <v>1.0</v>
      </c>
      <c r="H1335" s="3" t="b">
        <v>0</v>
      </c>
      <c r="L1335" s="3" t="s">
        <v>2102</v>
      </c>
    </row>
    <row r="1336" ht="15.75" customHeight="1">
      <c r="A1336" s="3" t="s">
        <v>3448</v>
      </c>
      <c r="B1336" s="12">
        <v>46118.0</v>
      </c>
      <c r="C1336" s="3" t="s">
        <v>329</v>
      </c>
      <c r="D1336" s="3" t="s">
        <v>934</v>
      </c>
      <c r="E1336" s="3" t="s">
        <v>2074</v>
      </c>
      <c r="F1336" s="3" t="s">
        <v>903</v>
      </c>
      <c r="G1336" s="3">
        <v>1.0</v>
      </c>
      <c r="H1336" s="3" t="b">
        <v>0</v>
      </c>
      <c r="L1336" s="3" t="s">
        <v>2102</v>
      </c>
    </row>
    <row r="1337" ht="15.75" customHeight="1">
      <c r="A1337" s="3" t="s">
        <v>3449</v>
      </c>
      <c r="B1337" s="12">
        <v>46118.0</v>
      </c>
      <c r="C1337" s="3" t="s">
        <v>331</v>
      </c>
      <c r="D1337" s="3" t="s">
        <v>934</v>
      </c>
      <c r="E1337" s="3" t="s">
        <v>2074</v>
      </c>
      <c r="F1337" s="3" t="s">
        <v>903</v>
      </c>
      <c r="G1337" s="3">
        <v>1.0</v>
      </c>
      <c r="H1337" s="3" t="b">
        <v>0</v>
      </c>
      <c r="L1337" s="3" t="s">
        <v>2102</v>
      </c>
    </row>
    <row r="1338" ht="15.75" customHeight="1">
      <c r="A1338" s="3" t="s">
        <v>3450</v>
      </c>
      <c r="B1338" s="12">
        <v>46118.0</v>
      </c>
      <c r="C1338" s="3" t="s">
        <v>333</v>
      </c>
      <c r="D1338" s="3" t="s">
        <v>934</v>
      </c>
      <c r="E1338" s="3" t="s">
        <v>2074</v>
      </c>
      <c r="F1338" s="3" t="s">
        <v>903</v>
      </c>
      <c r="G1338" s="3">
        <v>1.0</v>
      </c>
      <c r="H1338" s="3" t="b">
        <v>0</v>
      </c>
      <c r="L1338" s="3" t="s">
        <v>2102</v>
      </c>
    </row>
    <row r="1339" ht="15.75" customHeight="1">
      <c r="A1339" s="3" t="s">
        <v>3451</v>
      </c>
      <c r="B1339" s="12">
        <v>46118.0</v>
      </c>
      <c r="C1339" s="3" t="s">
        <v>334</v>
      </c>
      <c r="D1339" s="3" t="s">
        <v>934</v>
      </c>
      <c r="E1339" s="3" t="s">
        <v>2074</v>
      </c>
      <c r="F1339" s="3" t="s">
        <v>903</v>
      </c>
      <c r="G1339" s="3">
        <v>1.0</v>
      </c>
      <c r="H1339" s="3" t="b">
        <v>0</v>
      </c>
      <c r="L1339" s="3" t="s">
        <v>2102</v>
      </c>
    </row>
    <row r="1340" ht="15.75" customHeight="1">
      <c r="A1340" s="3" t="s">
        <v>3452</v>
      </c>
      <c r="B1340" s="12">
        <v>46118.0</v>
      </c>
      <c r="C1340" s="3" t="s">
        <v>337</v>
      </c>
      <c r="D1340" s="3" t="s">
        <v>934</v>
      </c>
      <c r="E1340" s="3" t="s">
        <v>2074</v>
      </c>
      <c r="F1340" s="3" t="s">
        <v>903</v>
      </c>
      <c r="G1340" s="3">
        <v>1.0</v>
      </c>
      <c r="H1340" s="3" t="b">
        <v>0</v>
      </c>
      <c r="L1340" s="3" t="s">
        <v>2102</v>
      </c>
    </row>
    <row r="1341" ht="15.75" customHeight="1">
      <c r="A1341" s="3" t="s">
        <v>3453</v>
      </c>
      <c r="B1341" s="12">
        <v>46118.0</v>
      </c>
      <c r="C1341" s="3" t="s">
        <v>339</v>
      </c>
      <c r="D1341" s="3" t="s">
        <v>934</v>
      </c>
      <c r="E1341" s="3" t="s">
        <v>2074</v>
      </c>
      <c r="F1341" s="3" t="s">
        <v>903</v>
      </c>
      <c r="G1341" s="3">
        <v>1.0</v>
      </c>
      <c r="H1341" s="3" t="b">
        <v>0</v>
      </c>
      <c r="L1341" s="3" t="s">
        <v>2102</v>
      </c>
    </row>
    <row r="1342" ht="15.75" customHeight="1">
      <c r="A1342" s="3" t="s">
        <v>3454</v>
      </c>
      <c r="B1342" s="12">
        <v>46118.0</v>
      </c>
      <c r="C1342" s="3" t="s">
        <v>340</v>
      </c>
      <c r="D1342" s="3" t="s">
        <v>934</v>
      </c>
      <c r="E1342" s="3" t="s">
        <v>2074</v>
      </c>
      <c r="F1342" s="3" t="s">
        <v>903</v>
      </c>
      <c r="G1342" s="3">
        <v>1.0</v>
      </c>
      <c r="H1342" s="3" t="b">
        <v>0</v>
      </c>
      <c r="L1342" s="3" t="s">
        <v>2102</v>
      </c>
    </row>
    <row r="1343" ht="15.75" customHeight="1">
      <c r="A1343" s="3" t="s">
        <v>3455</v>
      </c>
      <c r="B1343" s="12">
        <v>46118.0</v>
      </c>
      <c r="C1343" s="3" t="s">
        <v>342</v>
      </c>
      <c r="D1343" s="3" t="s">
        <v>934</v>
      </c>
      <c r="E1343" s="3" t="s">
        <v>2074</v>
      </c>
      <c r="F1343" s="3" t="s">
        <v>903</v>
      </c>
      <c r="G1343" s="3">
        <v>1.0</v>
      </c>
      <c r="H1343" s="3" t="b">
        <v>0</v>
      </c>
      <c r="L1343" s="3" t="s">
        <v>2102</v>
      </c>
    </row>
    <row r="1344" ht="15.75" customHeight="1">
      <c r="A1344" s="3" t="s">
        <v>3456</v>
      </c>
      <c r="B1344" s="12">
        <v>46118.0</v>
      </c>
      <c r="C1344" s="3" t="s">
        <v>352</v>
      </c>
      <c r="D1344" s="3" t="s">
        <v>934</v>
      </c>
      <c r="E1344" s="3" t="s">
        <v>2074</v>
      </c>
      <c r="F1344" s="3" t="s">
        <v>903</v>
      </c>
      <c r="G1344" s="3">
        <v>1.0</v>
      </c>
      <c r="H1344" s="3" t="b">
        <v>0</v>
      </c>
      <c r="L1344" s="3" t="s">
        <v>2102</v>
      </c>
    </row>
    <row r="1345" ht="15.75" customHeight="1">
      <c r="A1345" s="13" t="s">
        <v>3457</v>
      </c>
      <c r="B1345" s="12">
        <v>46118.0</v>
      </c>
      <c r="C1345" s="3" t="s">
        <v>356</v>
      </c>
      <c r="D1345" s="3" t="s">
        <v>934</v>
      </c>
      <c r="E1345" s="3" t="s">
        <v>2074</v>
      </c>
      <c r="F1345" s="3" t="s">
        <v>903</v>
      </c>
      <c r="G1345" s="3">
        <v>1.0</v>
      </c>
      <c r="H1345" s="3" t="b">
        <v>0</v>
      </c>
      <c r="L1345" s="3" t="s">
        <v>2102</v>
      </c>
    </row>
    <row r="1346" ht="15.75" customHeight="1">
      <c r="A1346" s="3" t="s">
        <v>3458</v>
      </c>
      <c r="B1346" s="12">
        <v>46118.0</v>
      </c>
      <c r="C1346" s="3" t="s">
        <v>358</v>
      </c>
      <c r="D1346" s="3" t="s">
        <v>934</v>
      </c>
      <c r="E1346" s="3" t="s">
        <v>2074</v>
      </c>
      <c r="F1346" s="3" t="s">
        <v>903</v>
      </c>
      <c r="G1346" s="3">
        <v>1.0</v>
      </c>
      <c r="H1346" s="3" t="b">
        <v>0</v>
      </c>
      <c r="L1346" s="3" t="s">
        <v>2102</v>
      </c>
    </row>
    <row r="1347" ht="15.75" customHeight="1">
      <c r="A1347" s="3" t="s">
        <v>3459</v>
      </c>
      <c r="B1347" s="12">
        <v>46118.0</v>
      </c>
      <c r="C1347" s="3" t="s">
        <v>360</v>
      </c>
      <c r="D1347" s="3" t="s">
        <v>934</v>
      </c>
      <c r="E1347" s="3" t="s">
        <v>2074</v>
      </c>
      <c r="F1347" s="3" t="s">
        <v>903</v>
      </c>
      <c r="G1347" s="3">
        <v>1.0</v>
      </c>
      <c r="H1347" s="3" t="b">
        <v>0</v>
      </c>
      <c r="L1347" s="3" t="s">
        <v>2102</v>
      </c>
    </row>
    <row r="1348" ht="15.75" customHeight="1">
      <c r="A1348" s="3" t="s">
        <v>3460</v>
      </c>
      <c r="B1348" s="12">
        <v>46118.0</v>
      </c>
      <c r="C1348" s="3" t="s">
        <v>362</v>
      </c>
      <c r="D1348" s="3" t="s">
        <v>934</v>
      </c>
      <c r="E1348" s="3" t="s">
        <v>2074</v>
      </c>
      <c r="F1348" s="3" t="s">
        <v>903</v>
      </c>
      <c r="G1348" s="3">
        <v>1.0</v>
      </c>
      <c r="H1348" s="3" t="b">
        <v>0</v>
      </c>
      <c r="L1348" s="3" t="s">
        <v>2102</v>
      </c>
    </row>
    <row r="1349" ht="15.75" customHeight="1">
      <c r="A1349" s="3" t="s">
        <v>3461</v>
      </c>
      <c r="B1349" s="12">
        <v>46118.0</v>
      </c>
      <c r="C1349" s="3" t="s">
        <v>363</v>
      </c>
      <c r="D1349" s="3" t="s">
        <v>934</v>
      </c>
      <c r="E1349" s="3" t="s">
        <v>2074</v>
      </c>
      <c r="F1349" s="3" t="s">
        <v>903</v>
      </c>
      <c r="G1349" s="3">
        <v>1.0</v>
      </c>
      <c r="H1349" s="3" t="b">
        <v>0</v>
      </c>
      <c r="L1349" s="3" t="s">
        <v>2102</v>
      </c>
    </row>
    <row r="1350" ht="15.75" customHeight="1">
      <c r="A1350" s="3" t="s">
        <v>3462</v>
      </c>
      <c r="B1350" s="12">
        <v>46118.0</v>
      </c>
      <c r="C1350" s="3" t="s">
        <v>365</v>
      </c>
      <c r="D1350" s="3" t="s">
        <v>934</v>
      </c>
      <c r="E1350" s="3" t="s">
        <v>2074</v>
      </c>
      <c r="F1350" s="3" t="s">
        <v>903</v>
      </c>
      <c r="G1350" s="3">
        <v>1.0</v>
      </c>
      <c r="H1350" s="3" t="b">
        <v>0</v>
      </c>
      <c r="L1350" s="3" t="s">
        <v>2102</v>
      </c>
    </row>
    <row r="1351" ht="15.75" customHeight="1">
      <c r="A1351" s="3" t="s">
        <v>3463</v>
      </c>
      <c r="B1351" s="12">
        <v>46118.0</v>
      </c>
      <c r="C1351" s="3" t="s">
        <v>376</v>
      </c>
      <c r="D1351" s="3" t="s">
        <v>934</v>
      </c>
      <c r="E1351" s="3" t="s">
        <v>2074</v>
      </c>
      <c r="F1351" s="3" t="s">
        <v>903</v>
      </c>
      <c r="G1351" s="3">
        <v>1.0</v>
      </c>
      <c r="H1351" s="3" t="b">
        <v>0</v>
      </c>
      <c r="L1351" s="3" t="s">
        <v>2102</v>
      </c>
    </row>
    <row r="1352" ht="15.75" customHeight="1">
      <c r="A1352" s="3" t="s">
        <v>3464</v>
      </c>
      <c r="B1352" s="12">
        <v>46118.0</v>
      </c>
      <c r="C1352" s="3" t="s">
        <v>380</v>
      </c>
      <c r="D1352" s="3" t="s">
        <v>934</v>
      </c>
      <c r="E1352" s="3" t="s">
        <v>2074</v>
      </c>
      <c r="F1352" s="3" t="s">
        <v>903</v>
      </c>
      <c r="G1352" s="3">
        <v>1.0</v>
      </c>
      <c r="H1352" s="3" t="b">
        <v>0</v>
      </c>
      <c r="L1352" s="3" t="s">
        <v>2102</v>
      </c>
    </row>
    <row r="1353" ht="15.75" customHeight="1">
      <c r="A1353" s="3" t="s">
        <v>3465</v>
      </c>
      <c r="B1353" s="12">
        <v>46118.0</v>
      </c>
      <c r="C1353" s="3" t="s">
        <v>382</v>
      </c>
      <c r="D1353" s="3" t="s">
        <v>934</v>
      </c>
      <c r="E1353" s="3" t="s">
        <v>2074</v>
      </c>
      <c r="F1353" s="3" t="s">
        <v>903</v>
      </c>
      <c r="G1353" s="3">
        <v>1.0</v>
      </c>
      <c r="H1353" s="3" t="b">
        <v>0</v>
      </c>
      <c r="L1353" s="3" t="s">
        <v>2102</v>
      </c>
    </row>
    <row r="1354" ht="15.75" customHeight="1">
      <c r="A1354" s="3" t="s">
        <v>3466</v>
      </c>
      <c r="B1354" s="12">
        <v>46118.0</v>
      </c>
      <c r="C1354" s="3" t="s">
        <v>386</v>
      </c>
      <c r="D1354" s="3" t="s">
        <v>934</v>
      </c>
      <c r="E1354" s="3" t="s">
        <v>2074</v>
      </c>
      <c r="F1354" s="3" t="s">
        <v>903</v>
      </c>
      <c r="G1354" s="3">
        <v>1.0</v>
      </c>
      <c r="H1354" s="3" t="b">
        <v>0</v>
      </c>
      <c r="L1354" s="3" t="s">
        <v>2102</v>
      </c>
    </row>
    <row r="1355" ht="15.75" customHeight="1">
      <c r="A1355" s="3" t="s">
        <v>3467</v>
      </c>
      <c r="B1355" s="12">
        <v>46118.0</v>
      </c>
      <c r="C1355" s="3" t="s">
        <v>387</v>
      </c>
      <c r="D1355" s="3" t="s">
        <v>934</v>
      </c>
      <c r="E1355" s="3" t="s">
        <v>2074</v>
      </c>
      <c r="F1355" s="3" t="s">
        <v>903</v>
      </c>
      <c r="G1355" s="3">
        <v>1.0</v>
      </c>
      <c r="H1355" s="3" t="b">
        <v>0</v>
      </c>
      <c r="L1355" s="3" t="s">
        <v>2102</v>
      </c>
    </row>
    <row r="1356" ht="15.75" customHeight="1">
      <c r="A1356" s="3" t="s">
        <v>3468</v>
      </c>
      <c r="B1356" s="12">
        <v>46118.0</v>
      </c>
      <c r="C1356" s="3" t="s">
        <v>390</v>
      </c>
      <c r="D1356" s="3" t="s">
        <v>934</v>
      </c>
      <c r="E1356" s="3" t="s">
        <v>2074</v>
      </c>
      <c r="F1356" s="3" t="s">
        <v>903</v>
      </c>
      <c r="G1356" s="3">
        <v>1.0</v>
      </c>
      <c r="H1356" s="3" t="b">
        <v>0</v>
      </c>
      <c r="L1356" s="3" t="s">
        <v>2102</v>
      </c>
    </row>
    <row r="1357" ht="15.75" customHeight="1">
      <c r="A1357" s="3" t="s">
        <v>3469</v>
      </c>
      <c r="B1357" s="12">
        <v>46118.0</v>
      </c>
      <c r="C1357" s="3" t="s">
        <v>1314</v>
      </c>
      <c r="D1357" s="3" t="s">
        <v>934</v>
      </c>
      <c r="E1357" s="3" t="s">
        <v>2074</v>
      </c>
      <c r="F1357" s="3" t="s">
        <v>903</v>
      </c>
      <c r="G1357" s="3">
        <v>1.0</v>
      </c>
      <c r="H1357" s="3" t="b">
        <v>0</v>
      </c>
      <c r="L1357" s="3" t="s">
        <v>2102</v>
      </c>
    </row>
    <row r="1358" ht="15.75" customHeight="1">
      <c r="A1358" s="3" t="s">
        <v>3470</v>
      </c>
      <c r="B1358" s="12">
        <v>46118.0</v>
      </c>
      <c r="C1358" s="3" t="s">
        <v>400</v>
      </c>
      <c r="D1358" s="3" t="s">
        <v>934</v>
      </c>
      <c r="E1358" s="3" t="s">
        <v>2074</v>
      </c>
      <c r="F1358" s="3" t="s">
        <v>903</v>
      </c>
      <c r="G1358" s="3">
        <v>1.0</v>
      </c>
      <c r="H1358" s="3" t="b">
        <v>0</v>
      </c>
      <c r="L1358" s="3" t="s">
        <v>2102</v>
      </c>
    </row>
    <row r="1359" ht="15.75" customHeight="1">
      <c r="A1359" s="3" t="s">
        <v>3471</v>
      </c>
      <c r="B1359" s="12">
        <v>46118.0</v>
      </c>
      <c r="C1359" s="3" t="s">
        <v>404</v>
      </c>
      <c r="D1359" s="3" t="s">
        <v>934</v>
      </c>
      <c r="E1359" s="3" t="s">
        <v>2074</v>
      </c>
      <c r="F1359" s="3" t="s">
        <v>903</v>
      </c>
      <c r="G1359" s="3">
        <v>1.0</v>
      </c>
      <c r="H1359" s="3" t="b">
        <v>0</v>
      </c>
      <c r="L1359" s="3" t="s">
        <v>2102</v>
      </c>
    </row>
    <row r="1360" ht="15.75" customHeight="1">
      <c r="A1360" s="3" t="s">
        <v>3472</v>
      </c>
      <c r="B1360" s="12">
        <v>46118.0</v>
      </c>
      <c r="C1360" s="3" t="s">
        <v>407</v>
      </c>
      <c r="D1360" s="3" t="s">
        <v>934</v>
      </c>
      <c r="E1360" s="3" t="s">
        <v>2074</v>
      </c>
      <c r="F1360" s="3" t="s">
        <v>903</v>
      </c>
      <c r="G1360" s="3">
        <v>1.0</v>
      </c>
      <c r="H1360" s="3" t="b">
        <v>0</v>
      </c>
      <c r="L1360" s="3" t="s">
        <v>2102</v>
      </c>
    </row>
    <row r="1361" ht="15.75" customHeight="1">
      <c r="A1361" s="3" t="s">
        <v>3473</v>
      </c>
      <c r="B1361" s="12">
        <v>46118.0</v>
      </c>
      <c r="C1361" s="3" t="s">
        <v>408</v>
      </c>
      <c r="D1361" s="3" t="s">
        <v>934</v>
      </c>
      <c r="E1361" s="3" t="s">
        <v>2074</v>
      </c>
      <c r="F1361" s="3" t="s">
        <v>903</v>
      </c>
      <c r="G1361" s="3">
        <v>1.0</v>
      </c>
      <c r="H1361" s="3" t="b">
        <v>0</v>
      </c>
      <c r="L1361" s="3" t="s">
        <v>2102</v>
      </c>
    </row>
    <row r="1362" ht="15.75" customHeight="1">
      <c r="A1362" s="3" t="s">
        <v>3474</v>
      </c>
      <c r="B1362" s="12">
        <v>46118.0</v>
      </c>
      <c r="C1362" s="3" t="s">
        <v>415</v>
      </c>
      <c r="D1362" s="3" t="s">
        <v>934</v>
      </c>
      <c r="E1362" s="3" t="s">
        <v>2074</v>
      </c>
      <c r="F1362" s="3" t="s">
        <v>903</v>
      </c>
      <c r="G1362" s="3">
        <v>1.0</v>
      </c>
      <c r="H1362" s="3" t="b">
        <v>0</v>
      </c>
      <c r="L1362" s="3" t="s">
        <v>2102</v>
      </c>
    </row>
    <row r="1363" ht="15.75" customHeight="1">
      <c r="A1363" s="3" t="s">
        <v>3475</v>
      </c>
      <c r="B1363" s="12">
        <v>46118.0</v>
      </c>
      <c r="C1363" s="3" t="s">
        <v>2505</v>
      </c>
      <c r="D1363" s="3" t="s">
        <v>934</v>
      </c>
      <c r="E1363" s="3" t="s">
        <v>2074</v>
      </c>
      <c r="F1363" s="3" t="s">
        <v>903</v>
      </c>
      <c r="G1363" s="3">
        <v>1.0</v>
      </c>
      <c r="H1363" s="3" t="b">
        <v>0</v>
      </c>
      <c r="L1363" s="3" t="s">
        <v>2102</v>
      </c>
    </row>
    <row r="1364" ht="15.75" customHeight="1">
      <c r="A1364" s="3" t="s">
        <v>3476</v>
      </c>
      <c r="B1364" s="12">
        <v>46118.0</v>
      </c>
      <c r="C1364" s="3" t="s">
        <v>417</v>
      </c>
      <c r="D1364" s="3" t="s">
        <v>934</v>
      </c>
      <c r="E1364" s="3" t="s">
        <v>2074</v>
      </c>
      <c r="F1364" s="3" t="s">
        <v>903</v>
      </c>
      <c r="G1364" s="3">
        <v>1.0</v>
      </c>
      <c r="H1364" s="3" t="b">
        <v>0</v>
      </c>
      <c r="L1364" s="3" t="s">
        <v>2102</v>
      </c>
    </row>
    <row r="1365" ht="15.75" customHeight="1">
      <c r="A1365" s="3" t="s">
        <v>3477</v>
      </c>
      <c r="B1365" s="12">
        <v>46118.0</v>
      </c>
      <c r="C1365" s="3" t="s">
        <v>419</v>
      </c>
      <c r="D1365" s="3" t="s">
        <v>934</v>
      </c>
      <c r="E1365" s="3" t="s">
        <v>2074</v>
      </c>
      <c r="F1365" s="3" t="s">
        <v>903</v>
      </c>
      <c r="G1365" s="3">
        <v>1.0</v>
      </c>
      <c r="H1365" s="3" t="b">
        <v>0</v>
      </c>
      <c r="L1365" s="3" t="s">
        <v>2102</v>
      </c>
    </row>
    <row r="1366" ht="15.75" customHeight="1">
      <c r="A1366" s="3" t="s">
        <v>3478</v>
      </c>
      <c r="B1366" s="12">
        <v>46118.0</v>
      </c>
      <c r="C1366" s="3" t="s">
        <v>439</v>
      </c>
      <c r="D1366" s="3" t="s">
        <v>934</v>
      </c>
      <c r="E1366" s="3" t="s">
        <v>2074</v>
      </c>
      <c r="F1366" s="3" t="s">
        <v>903</v>
      </c>
      <c r="G1366" s="3">
        <v>1.0</v>
      </c>
      <c r="H1366" s="3" t="b">
        <v>0</v>
      </c>
      <c r="L1366" s="3" t="s">
        <v>2102</v>
      </c>
    </row>
    <row r="1367" ht="15.75" customHeight="1">
      <c r="A1367" s="3" t="s">
        <v>3479</v>
      </c>
      <c r="B1367" s="12">
        <v>46118.0</v>
      </c>
      <c r="C1367" s="3" t="s">
        <v>440</v>
      </c>
      <c r="D1367" s="3" t="s">
        <v>934</v>
      </c>
      <c r="E1367" s="3" t="s">
        <v>2074</v>
      </c>
      <c r="F1367" s="3" t="s">
        <v>903</v>
      </c>
      <c r="G1367" s="3">
        <v>1.0</v>
      </c>
      <c r="H1367" s="3" t="b">
        <v>0</v>
      </c>
      <c r="L1367" s="3" t="s">
        <v>2102</v>
      </c>
    </row>
    <row r="1368" ht="15.75" customHeight="1">
      <c r="A1368" s="3" t="s">
        <v>3480</v>
      </c>
      <c r="B1368" s="12">
        <v>46118.0</v>
      </c>
      <c r="C1368" s="3" t="s">
        <v>441</v>
      </c>
      <c r="D1368" s="3" t="s">
        <v>934</v>
      </c>
      <c r="E1368" s="3" t="s">
        <v>2074</v>
      </c>
      <c r="F1368" s="3" t="s">
        <v>903</v>
      </c>
      <c r="G1368" s="3">
        <v>1.0</v>
      </c>
      <c r="H1368" s="3" t="b">
        <v>0</v>
      </c>
      <c r="L1368" s="3" t="s">
        <v>2102</v>
      </c>
    </row>
    <row r="1369" ht="15.75" customHeight="1">
      <c r="A1369" s="3" t="s">
        <v>3481</v>
      </c>
      <c r="B1369" s="12">
        <v>46118.0</v>
      </c>
      <c r="C1369" s="3" t="s">
        <v>447</v>
      </c>
      <c r="D1369" s="3" t="s">
        <v>934</v>
      </c>
      <c r="E1369" s="3" t="s">
        <v>2074</v>
      </c>
      <c r="F1369" s="3" t="s">
        <v>903</v>
      </c>
      <c r="G1369" s="3">
        <v>1.0</v>
      </c>
      <c r="H1369" s="3" t="b">
        <v>0</v>
      </c>
      <c r="L1369" s="3" t="s">
        <v>2102</v>
      </c>
    </row>
    <row r="1370" ht="15.75" customHeight="1">
      <c r="A1370" s="3" t="s">
        <v>3482</v>
      </c>
      <c r="B1370" s="12">
        <v>46118.0</v>
      </c>
      <c r="C1370" s="3" t="s">
        <v>452</v>
      </c>
      <c r="D1370" s="3" t="s">
        <v>934</v>
      </c>
      <c r="E1370" s="3" t="s">
        <v>2074</v>
      </c>
      <c r="F1370" s="3" t="s">
        <v>903</v>
      </c>
      <c r="G1370" s="3">
        <v>1.0</v>
      </c>
      <c r="H1370" s="3" t="b">
        <v>0</v>
      </c>
      <c r="L1370" s="3" t="s">
        <v>2102</v>
      </c>
    </row>
    <row r="1371" ht="15.75" customHeight="1">
      <c r="A1371" s="3" t="s">
        <v>3483</v>
      </c>
      <c r="B1371" s="12">
        <v>46118.0</v>
      </c>
      <c r="C1371" s="3" t="s">
        <v>457</v>
      </c>
      <c r="D1371" s="3" t="s">
        <v>934</v>
      </c>
      <c r="E1371" s="3" t="s">
        <v>2074</v>
      </c>
      <c r="F1371" s="3" t="s">
        <v>903</v>
      </c>
      <c r="G1371" s="3">
        <v>1.0</v>
      </c>
      <c r="H1371" s="3" t="b">
        <v>0</v>
      </c>
      <c r="L1371" s="3" t="s">
        <v>2102</v>
      </c>
    </row>
    <row r="1372" ht="15.75" customHeight="1">
      <c r="A1372" s="3" t="s">
        <v>3484</v>
      </c>
      <c r="B1372" s="12">
        <v>46118.0</v>
      </c>
      <c r="C1372" s="3" t="s">
        <v>458</v>
      </c>
      <c r="D1372" s="3" t="s">
        <v>934</v>
      </c>
      <c r="E1372" s="3" t="s">
        <v>2074</v>
      </c>
      <c r="F1372" s="3" t="s">
        <v>903</v>
      </c>
      <c r="G1372" s="3">
        <v>1.0</v>
      </c>
      <c r="H1372" s="3" t="b">
        <v>0</v>
      </c>
      <c r="L1372" s="3" t="s">
        <v>2102</v>
      </c>
    </row>
    <row r="1373" ht="15.75" customHeight="1">
      <c r="A1373" s="3" t="s">
        <v>3485</v>
      </c>
      <c r="B1373" s="12">
        <v>46118.0</v>
      </c>
      <c r="C1373" s="3" t="s">
        <v>464</v>
      </c>
      <c r="D1373" s="3" t="s">
        <v>934</v>
      </c>
      <c r="E1373" s="3" t="s">
        <v>2074</v>
      </c>
      <c r="F1373" s="3" t="s">
        <v>903</v>
      </c>
      <c r="G1373" s="3">
        <v>1.0</v>
      </c>
      <c r="H1373" s="3" t="b">
        <v>0</v>
      </c>
      <c r="L1373" s="3" t="s">
        <v>2102</v>
      </c>
    </row>
    <row r="1374" ht="15.75" customHeight="1">
      <c r="A1374" s="3" t="s">
        <v>3486</v>
      </c>
      <c r="B1374" s="12">
        <v>46118.0</v>
      </c>
      <c r="C1374" s="3" t="s">
        <v>466</v>
      </c>
      <c r="D1374" s="3" t="s">
        <v>934</v>
      </c>
      <c r="E1374" s="3" t="s">
        <v>2074</v>
      </c>
      <c r="F1374" s="3" t="s">
        <v>903</v>
      </c>
      <c r="G1374" s="3">
        <v>1.0</v>
      </c>
      <c r="H1374" s="3" t="b">
        <v>0</v>
      </c>
      <c r="L1374" s="3" t="s">
        <v>2102</v>
      </c>
    </row>
    <row r="1375" ht="15.75" customHeight="1">
      <c r="A1375" s="3" t="s">
        <v>3487</v>
      </c>
      <c r="B1375" s="12">
        <v>46118.0</v>
      </c>
      <c r="C1375" s="3" t="s">
        <v>467</v>
      </c>
      <c r="D1375" s="3" t="s">
        <v>934</v>
      </c>
      <c r="E1375" s="3" t="s">
        <v>2074</v>
      </c>
      <c r="F1375" s="3" t="s">
        <v>903</v>
      </c>
      <c r="G1375" s="3">
        <v>1.0</v>
      </c>
      <c r="H1375" s="3" t="b">
        <v>0</v>
      </c>
      <c r="L1375" s="3" t="s">
        <v>2102</v>
      </c>
    </row>
    <row r="1376" ht="15.75" customHeight="1">
      <c r="A1376" s="3" t="s">
        <v>3488</v>
      </c>
      <c r="B1376" s="12">
        <v>46118.0</v>
      </c>
      <c r="C1376" s="3" t="s">
        <v>473</v>
      </c>
      <c r="D1376" s="3" t="s">
        <v>934</v>
      </c>
      <c r="E1376" s="3" t="s">
        <v>2074</v>
      </c>
      <c r="F1376" s="3" t="s">
        <v>903</v>
      </c>
      <c r="G1376" s="3">
        <v>1.0</v>
      </c>
      <c r="H1376" s="3" t="b">
        <v>0</v>
      </c>
      <c r="L1376" s="3" t="s">
        <v>2102</v>
      </c>
    </row>
    <row r="1377" ht="15.75" customHeight="1">
      <c r="A1377" s="3" t="s">
        <v>3489</v>
      </c>
      <c r="B1377" s="12">
        <v>46118.0</v>
      </c>
      <c r="C1377" s="3" t="s">
        <v>480</v>
      </c>
      <c r="D1377" s="3" t="s">
        <v>934</v>
      </c>
      <c r="E1377" s="3" t="s">
        <v>2074</v>
      </c>
      <c r="F1377" s="3" t="s">
        <v>903</v>
      </c>
      <c r="G1377" s="3">
        <v>1.0</v>
      </c>
      <c r="H1377" s="3" t="b">
        <v>0</v>
      </c>
      <c r="L1377" s="3" t="s">
        <v>2102</v>
      </c>
    </row>
    <row r="1378" ht="15.75" customHeight="1">
      <c r="A1378" s="3" t="s">
        <v>3490</v>
      </c>
      <c r="B1378" s="12">
        <v>46118.0</v>
      </c>
      <c r="C1378" s="3" t="s">
        <v>481</v>
      </c>
      <c r="D1378" s="3" t="s">
        <v>934</v>
      </c>
      <c r="E1378" s="3" t="s">
        <v>2074</v>
      </c>
      <c r="F1378" s="3" t="s">
        <v>903</v>
      </c>
      <c r="G1378" s="3">
        <v>1.0</v>
      </c>
      <c r="H1378" s="3" t="b">
        <v>0</v>
      </c>
      <c r="L1378" s="3" t="s">
        <v>2102</v>
      </c>
    </row>
    <row r="1379" ht="15.75" customHeight="1">
      <c r="A1379" s="3" t="s">
        <v>3491</v>
      </c>
      <c r="B1379" s="12">
        <v>46118.0</v>
      </c>
      <c r="C1379" s="3" t="s">
        <v>485</v>
      </c>
      <c r="D1379" s="3" t="s">
        <v>934</v>
      </c>
      <c r="E1379" s="3" t="s">
        <v>2074</v>
      </c>
      <c r="F1379" s="3" t="s">
        <v>903</v>
      </c>
      <c r="G1379" s="3">
        <v>1.0</v>
      </c>
      <c r="H1379" s="3" t="b">
        <v>0</v>
      </c>
      <c r="L1379" s="3" t="s">
        <v>2102</v>
      </c>
    </row>
    <row r="1380" ht="15.75" customHeight="1">
      <c r="A1380" s="3" t="s">
        <v>3492</v>
      </c>
      <c r="B1380" s="12">
        <v>46118.0</v>
      </c>
      <c r="C1380" s="3" t="s">
        <v>492</v>
      </c>
      <c r="D1380" s="3" t="s">
        <v>934</v>
      </c>
      <c r="E1380" s="3" t="s">
        <v>2074</v>
      </c>
      <c r="F1380" s="3" t="s">
        <v>903</v>
      </c>
      <c r="G1380" s="3">
        <v>1.0</v>
      </c>
      <c r="H1380" s="3" t="b">
        <v>0</v>
      </c>
      <c r="L1380" s="3" t="s">
        <v>2102</v>
      </c>
    </row>
    <row r="1381" ht="15.75" customHeight="1">
      <c r="A1381" s="3" t="s">
        <v>3493</v>
      </c>
      <c r="B1381" s="12">
        <v>46118.0</v>
      </c>
      <c r="C1381" s="3" t="s">
        <v>496</v>
      </c>
      <c r="D1381" s="3" t="s">
        <v>934</v>
      </c>
      <c r="E1381" s="3" t="s">
        <v>2074</v>
      </c>
      <c r="F1381" s="3" t="s">
        <v>903</v>
      </c>
      <c r="G1381" s="3">
        <v>1.0</v>
      </c>
      <c r="H1381" s="3" t="b">
        <v>0</v>
      </c>
      <c r="L1381" s="3" t="s">
        <v>2102</v>
      </c>
    </row>
    <row r="1382" ht="15.75" customHeight="1">
      <c r="A1382" s="3" t="s">
        <v>3494</v>
      </c>
      <c r="B1382" s="12">
        <v>46118.0</v>
      </c>
      <c r="C1382" s="3" t="s">
        <v>497</v>
      </c>
      <c r="D1382" s="3" t="s">
        <v>934</v>
      </c>
      <c r="E1382" s="3" t="s">
        <v>2074</v>
      </c>
      <c r="F1382" s="3" t="s">
        <v>903</v>
      </c>
      <c r="G1382" s="3">
        <v>1.0</v>
      </c>
      <c r="H1382" s="3" t="b">
        <v>0</v>
      </c>
      <c r="L1382" s="3" t="s">
        <v>2102</v>
      </c>
    </row>
    <row r="1383" ht="15.75" customHeight="1">
      <c r="A1383" s="3" t="s">
        <v>3495</v>
      </c>
      <c r="B1383" s="12">
        <v>46118.0</v>
      </c>
      <c r="C1383" s="3" t="s">
        <v>505</v>
      </c>
      <c r="D1383" s="3" t="s">
        <v>934</v>
      </c>
      <c r="E1383" s="3" t="s">
        <v>2074</v>
      </c>
      <c r="F1383" s="3" t="s">
        <v>903</v>
      </c>
      <c r="G1383" s="3">
        <v>1.0</v>
      </c>
      <c r="H1383" s="3" t="b">
        <v>0</v>
      </c>
      <c r="L1383" s="3" t="s">
        <v>2102</v>
      </c>
    </row>
    <row r="1384" ht="15.75" customHeight="1">
      <c r="A1384" s="3" t="s">
        <v>3496</v>
      </c>
      <c r="B1384" s="12">
        <v>46118.0</v>
      </c>
      <c r="C1384" s="3" t="s">
        <v>506</v>
      </c>
      <c r="D1384" s="3" t="s">
        <v>934</v>
      </c>
      <c r="E1384" s="3" t="s">
        <v>2074</v>
      </c>
      <c r="F1384" s="3" t="s">
        <v>903</v>
      </c>
      <c r="G1384" s="3">
        <v>1.0</v>
      </c>
      <c r="H1384" s="3" t="b">
        <v>0</v>
      </c>
      <c r="L1384" s="3" t="s">
        <v>2102</v>
      </c>
    </row>
    <row r="1385" ht="15.75" customHeight="1">
      <c r="A1385" s="3" t="s">
        <v>3497</v>
      </c>
      <c r="B1385" s="12">
        <v>46118.0</v>
      </c>
      <c r="C1385" s="3" t="s">
        <v>509</v>
      </c>
      <c r="D1385" s="3" t="s">
        <v>934</v>
      </c>
      <c r="E1385" s="3" t="s">
        <v>2074</v>
      </c>
      <c r="F1385" s="3" t="s">
        <v>903</v>
      </c>
      <c r="G1385" s="3">
        <v>1.0</v>
      </c>
      <c r="H1385" s="3" t="b">
        <v>0</v>
      </c>
      <c r="L1385" s="3" t="s">
        <v>2102</v>
      </c>
    </row>
    <row r="1386" ht="15.75" customHeight="1">
      <c r="A1386" s="3" t="s">
        <v>3498</v>
      </c>
      <c r="B1386" s="12">
        <v>46118.0</v>
      </c>
      <c r="C1386" s="3" t="s">
        <v>511</v>
      </c>
      <c r="D1386" s="3" t="s">
        <v>934</v>
      </c>
      <c r="E1386" s="3" t="s">
        <v>2074</v>
      </c>
      <c r="F1386" s="3" t="s">
        <v>903</v>
      </c>
      <c r="G1386" s="3">
        <v>1.0</v>
      </c>
      <c r="H1386" s="3" t="b">
        <v>0</v>
      </c>
      <c r="L1386" s="3" t="s">
        <v>2102</v>
      </c>
    </row>
    <row r="1387" ht="15.75" customHeight="1">
      <c r="A1387" s="3" t="s">
        <v>3499</v>
      </c>
      <c r="B1387" s="12">
        <v>46118.0</v>
      </c>
      <c r="C1387" s="3" t="s">
        <v>524</v>
      </c>
      <c r="D1387" s="3" t="s">
        <v>934</v>
      </c>
      <c r="E1387" s="3" t="s">
        <v>2074</v>
      </c>
      <c r="F1387" s="3" t="s">
        <v>903</v>
      </c>
      <c r="G1387" s="3">
        <v>1.0</v>
      </c>
      <c r="H1387" s="3" t="b">
        <v>0</v>
      </c>
      <c r="L1387" s="3" t="s">
        <v>2102</v>
      </c>
    </row>
    <row r="1388" ht="15.75" customHeight="1">
      <c r="A1388" s="3" t="s">
        <v>3500</v>
      </c>
      <c r="B1388" s="12">
        <v>46118.0</v>
      </c>
      <c r="C1388" s="3" t="s">
        <v>526</v>
      </c>
      <c r="D1388" s="3" t="s">
        <v>934</v>
      </c>
      <c r="E1388" s="3" t="s">
        <v>2074</v>
      </c>
      <c r="F1388" s="3" t="s">
        <v>903</v>
      </c>
      <c r="G1388" s="3">
        <v>1.0</v>
      </c>
      <c r="H1388" s="3" t="b">
        <v>0</v>
      </c>
      <c r="L1388" s="3" t="s">
        <v>2102</v>
      </c>
    </row>
    <row r="1389" ht="15.75" customHeight="1">
      <c r="A1389" s="3" t="s">
        <v>3501</v>
      </c>
      <c r="B1389" s="12">
        <v>46118.0</v>
      </c>
      <c r="C1389" s="3" t="s">
        <v>527</v>
      </c>
      <c r="D1389" s="3" t="s">
        <v>934</v>
      </c>
      <c r="E1389" s="3" t="s">
        <v>2074</v>
      </c>
      <c r="F1389" s="3" t="s">
        <v>903</v>
      </c>
      <c r="G1389" s="3">
        <v>1.0</v>
      </c>
      <c r="H1389" s="3" t="b">
        <v>0</v>
      </c>
      <c r="L1389" s="3" t="s">
        <v>2102</v>
      </c>
    </row>
    <row r="1390" ht="15.75" customHeight="1">
      <c r="A1390" s="3" t="s">
        <v>3502</v>
      </c>
      <c r="B1390" s="12">
        <v>46118.0</v>
      </c>
      <c r="C1390" s="3" t="s">
        <v>528</v>
      </c>
      <c r="D1390" s="3" t="s">
        <v>934</v>
      </c>
      <c r="E1390" s="3" t="s">
        <v>2074</v>
      </c>
      <c r="F1390" s="3" t="s">
        <v>903</v>
      </c>
      <c r="G1390" s="3">
        <v>1.0</v>
      </c>
      <c r="H1390" s="3" t="b">
        <v>0</v>
      </c>
      <c r="L1390" s="3" t="s">
        <v>2102</v>
      </c>
    </row>
    <row r="1391" ht="15.75" customHeight="1">
      <c r="A1391" s="3" t="s">
        <v>3503</v>
      </c>
      <c r="B1391" s="12">
        <v>46118.0</v>
      </c>
      <c r="C1391" s="3" t="s">
        <v>529</v>
      </c>
      <c r="D1391" s="3" t="s">
        <v>934</v>
      </c>
      <c r="E1391" s="3" t="s">
        <v>2074</v>
      </c>
      <c r="F1391" s="3" t="s">
        <v>903</v>
      </c>
      <c r="G1391" s="3">
        <v>1.0</v>
      </c>
      <c r="H1391" s="3" t="b">
        <v>0</v>
      </c>
      <c r="L1391" s="3" t="s">
        <v>2102</v>
      </c>
    </row>
    <row r="1392" ht="15.75" customHeight="1">
      <c r="A1392" s="3" t="s">
        <v>3504</v>
      </c>
      <c r="B1392" s="12">
        <v>46118.0</v>
      </c>
      <c r="C1392" s="3" t="s">
        <v>532</v>
      </c>
      <c r="D1392" s="3" t="s">
        <v>934</v>
      </c>
      <c r="E1392" s="3" t="s">
        <v>2074</v>
      </c>
      <c r="F1392" s="3" t="s">
        <v>903</v>
      </c>
      <c r="G1392" s="3">
        <v>1.0</v>
      </c>
      <c r="H1392" s="3" t="b">
        <v>0</v>
      </c>
      <c r="L1392" s="3" t="s">
        <v>2102</v>
      </c>
    </row>
    <row r="1393" ht="15.75" customHeight="1">
      <c r="A1393" s="3" t="s">
        <v>3505</v>
      </c>
      <c r="B1393" s="12">
        <v>46118.0</v>
      </c>
      <c r="C1393" s="3" t="s">
        <v>535</v>
      </c>
      <c r="D1393" s="3" t="s">
        <v>934</v>
      </c>
      <c r="E1393" s="3" t="s">
        <v>2074</v>
      </c>
      <c r="F1393" s="3" t="s">
        <v>903</v>
      </c>
      <c r="G1393" s="3">
        <v>1.0</v>
      </c>
      <c r="H1393" s="3" t="b">
        <v>0</v>
      </c>
      <c r="L1393" s="3" t="s">
        <v>2102</v>
      </c>
    </row>
    <row r="1394" ht="15.75" customHeight="1">
      <c r="A1394" s="3" t="s">
        <v>3506</v>
      </c>
      <c r="B1394" s="12">
        <v>46118.0</v>
      </c>
      <c r="C1394" s="3" t="s">
        <v>536</v>
      </c>
      <c r="D1394" s="3" t="s">
        <v>934</v>
      </c>
      <c r="E1394" s="3" t="s">
        <v>2074</v>
      </c>
      <c r="F1394" s="3" t="s">
        <v>903</v>
      </c>
      <c r="G1394" s="3">
        <v>1.0</v>
      </c>
      <c r="H1394" s="3" t="b">
        <v>0</v>
      </c>
      <c r="L1394" s="3" t="s">
        <v>2102</v>
      </c>
    </row>
    <row r="1395" ht="15.75" customHeight="1">
      <c r="A1395" s="3" t="s">
        <v>3507</v>
      </c>
      <c r="B1395" s="12">
        <v>46118.0</v>
      </c>
      <c r="C1395" s="3" t="s">
        <v>537</v>
      </c>
      <c r="D1395" s="3" t="s">
        <v>934</v>
      </c>
      <c r="E1395" s="3" t="s">
        <v>2074</v>
      </c>
      <c r="F1395" s="3" t="s">
        <v>903</v>
      </c>
      <c r="G1395" s="3">
        <v>1.0</v>
      </c>
      <c r="H1395" s="3" t="b">
        <v>0</v>
      </c>
      <c r="L1395" s="3" t="s">
        <v>2102</v>
      </c>
    </row>
    <row r="1396" ht="15.75" customHeight="1">
      <c r="A1396" s="3" t="s">
        <v>3508</v>
      </c>
      <c r="B1396" s="12">
        <v>46118.0</v>
      </c>
      <c r="C1396" s="3" t="s">
        <v>541</v>
      </c>
      <c r="D1396" s="3" t="s">
        <v>934</v>
      </c>
      <c r="E1396" s="3" t="s">
        <v>2074</v>
      </c>
      <c r="F1396" s="3" t="s">
        <v>903</v>
      </c>
      <c r="G1396" s="3">
        <v>1.0</v>
      </c>
      <c r="H1396" s="3" t="b">
        <v>0</v>
      </c>
      <c r="L1396" s="3" t="s">
        <v>2102</v>
      </c>
    </row>
    <row r="1397" ht="15.75" customHeight="1">
      <c r="A1397" s="3" t="s">
        <v>3509</v>
      </c>
      <c r="B1397" s="12">
        <v>46118.0</v>
      </c>
      <c r="C1397" s="3" t="s">
        <v>542</v>
      </c>
      <c r="D1397" s="3" t="s">
        <v>934</v>
      </c>
      <c r="E1397" s="3" t="s">
        <v>2074</v>
      </c>
      <c r="F1397" s="3" t="s">
        <v>903</v>
      </c>
      <c r="G1397" s="3">
        <v>1.0</v>
      </c>
      <c r="H1397" s="3" t="b">
        <v>0</v>
      </c>
      <c r="L1397" s="3" t="s">
        <v>2102</v>
      </c>
    </row>
    <row r="1398" ht="15.75" customHeight="1">
      <c r="A1398" s="3" t="s">
        <v>3510</v>
      </c>
      <c r="B1398" s="12">
        <v>46118.0</v>
      </c>
      <c r="C1398" s="3" t="s">
        <v>544</v>
      </c>
      <c r="D1398" s="3" t="s">
        <v>934</v>
      </c>
      <c r="E1398" s="3" t="s">
        <v>2074</v>
      </c>
      <c r="F1398" s="3" t="s">
        <v>903</v>
      </c>
      <c r="G1398" s="3">
        <v>1.0</v>
      </c>
      <c r="H1398" s="3" t="b">
        <v>0</v>
      </c>
      <c r="L1398" s="3" t="s">
        <v>2102</v>
      </c>
    </row>
    <row r="1399" ht="15.75" customHeight="1">
      <c r="A1399" s="3" t="s">
        <v>3511</v>
      </c>
      <c r="B1399" s="12">
        <v>46118.0</v>
      </c>
      <c r="C1399" s="3" t="s">
        <v>549</v>
      </c>
      <c r="D1399" s="3" t="s">
        <v>934</v>
      </c>
      <c r="E1399" s="3" t="s">
        <v>2074</v>
      </c>
      <c r="F1399" s="3" t="s">
        <v>903</v>
      </c>
      <c r="G1399" s="3">
        <v>1.0</v>
      </c>
      <c r="H1399" s="3" t="b">
        <v>0</v>
      </c>
      <c r="L1399" s="3" t="s">
        <v>2102</v>
      </c>
    </row>
    <row r="1400" ht="15.75" customHeight="1">
      <c r="A1400" s="3" t="s">
        <v>3512</v>
      </c>
      <c r="B1400" s="12">
        <v>46118.0</v>
      </c>
      <c r="C1400" s="3" t="s">
        <v>561</v>
      </c>
      <c r="D1400" s="3" t="s">
        <v>934</v>
      </c>
      <c r="E1400" s="3" t="s">
        <v>2074</v>
      </c>
      <c r="F1400" s="3" t="s">
        <v>903</v>
      </c>
      <c r="G1400" s="3">
        <v>1.0</v>
      </c>
      <c r="H1400" s="3" t="b">
        <v>0</v>
      </c>
      <c r="L1400" s="3" t="s">
        <v>2102</v>
      </c>
    </row>
    <row r="1401" ht="15.75" customHeight="1">
      <c r="A1401" s="3" t="s">
        <v>3513</v>
      </c>
      <c r="B1401" s="12">
        <v>46118.0</v>
      </c>
      <c r="C1401" s="3" t="s">
        <v>564</v>
      </c>
      <c r="D1401" s="3" t="s">
        <v>934</v>
      </c>
      <c r="E1401" s="3" t="s">
        <v>2074</v>
      </c>
      <c r="F1401" s="3" t="s">
        <v>903</v>
      </c>
      <c r="G1401" s="3">
        <v>1.0</v>
      </c>
      <c r="H1401" s="3" t="b">
        <v>0</v>
      </c>
      <c r="L1401" s="3" t="s">
        <v>2102</v>
      </c>
    </row>
    <row r="1402" ht="15.75" customHeight="1">
      <c r="A1402" s="3" t="s">
        <v>3514</v>
      </c>
      <c r="B1402" s="12">
        <v>46118.0</v>
      </c>
      <c r="C1402" s="3" t="s">
        <v>568</v>
      </c>
      <c r="D1402" s="3" t="s">
        <v>934</v>
      </c>
      <c r="E1402" s="3" t="s">
        <v>2074</v>
      </c>
      <c r="F1402" s="3" t="s">
        <v>903</v>
      </c>
      <c r="G1402" s="3">
        <v>1.0</v>
      </c>
      <c r="H1402" s="3" t="b">
        <v>0</v>
      </c>
      <c r="L1402" s="3" t="s">
        <v>2102</v>
      </c>
    </row>
    <row r="1403" ht="15.75" customHeight="1">
      <c r="A1403" s="3" t="s">
        <v>3515</v>
      </c>
      <c r="B1403" s="12">
        <v>46118.0</v>
      </c>
      <c r="C1403" s="3" t="s">
        <v>574</v>
      </c>
      <c r="D1403" s="3" t="s">
        <v>934</v>
      </c>
      <c r="E1403" s="3" t="s">
        <v>2074</v>
      </c>
      <c r="F1403" s="3" t="s">
        <v>903</v>
      </c>
      <c r="G1403" s="3">
        <v>1.0</v>
      </c>
      <c r="H1403" s="3" t="b">
        <v>0</v>
      </c>
      <c r="L1403" s="3" t="s">
        <v>2102</v>
      </c>
    </row>
    <row r="1404" ht="15.75" customHeight="1">
      <c r="A1404" s="3" t="s">
        <v>3516</v>
      </c>
      <c r="B1404" s="12">
        <v>46118.0</v>
      </c>
      <c r="C1404" s="3" t="s">
        <v>575</v>
      </c>
      <c r="D1404" s="3" t="s">
        <v>934</v>
      </c>
      <c r="E1404" s="3" t="s">
        <v>2074</v>
      </c>
      <c r="F1404" s="3" t="s">
        <v>903</v>
      </c>
      <c r="G1404" s="3">
        <v>1.0</v>
      </c>
      <c r="H1404" s="3" t="b">
        <v>0</v>
      </c>
      <c r="L1404" s="3" t="s">
        <v>2102</v>
      </c>
    </row>
    <row r="1405" ht="15.75" customHeight="1">
      <c r="A1405" s="3" t="s">
        <v>3517</v>
      </c>
      <c r="B1405" s="12">
        <v>46118.0</v>
      </c>
      <c r="C1405" s="3" t="s">
        <v>578</v>
      </c>
      <c r="D1405" s="3" t="s">
        <v>934</v>
      </c>
      <c r="E1405" s="3" t="s">
        <v>2074</v>
      </c>
      <c r="F1405" s="3" t="s">
        <v>903</v>
      </c>
      <c r="G1405" s="3">
        <v>1.0</v>
      </c>
      <c r="H1405" s="3" t="b">
        <v>0</v>
      </c>
      <c r="L1405" s="3" t="s">
        <v>2102</v>
      </c>
    </row>
    <row r="1406" ht="15.75" customHeight="1">
      <c r="A1406" s="13" t="s">
        <v>3518</v>
      </c>
      <c r="B1406" s="12">
        <v>46118.0</v>
      </c>
      <c r="C1406" s="3" t="s">
        <v>579</v>
      </c>
      <c r="D1406" s="3" t="s">
        <v>934</v>
      </c>
      <c r="E1406" s="3" t="s">
        <v>2074</v>
      </c>
      <c r="F1406" s="3" t="s">
        <v>903</v>
      </c>
      <c r="G1406" s="3">
        <v>1.0</v>
      </c>
      <c r="H1406" s="3" t="b">
        <v>0</v>
      </c>
      <c r="L1406" s="3" t="s">
        <v>2102</v>
      </c>
    </row>
    <row r="1407" ht="15.75" customHeight="1">
      <c r="A1407" s="3" t="s">
        <v>3519</v>
      </c>
      <c r="B1407" s="12">
        <v>46118.0</v>
      </c>
      <c r="C1407" s="3" t="s">
        <v>580</v>
      </c>
      <c r="D1407" s="3" t="s">
        <v>934</v>
      </c>
      <c r="E1407" s="3" t="s">
        <v>2074</v>
      </c>
      <c r="F1407" s="3" t="s">
        <v>903</v>
      </c>
      <c r="G1407" s="3">
        <v>1.0</v>
      </c>
      <c r="H1407" s="3" t="b">
        <v>0</v>
      </c>
      <c r="L1407" s="3" t="s">
        <v>2102</v>
      </c>
    </row>
    <row r="1408" ht="15.75" customHeight="1">
      <c r="A1408" s="3" t="s">
        <v>3520</v>
      </c>
      <c r="B1408" s="12">
        <v>46118.0</v>
      </c>
      <c r="C1408" s="3" t="s">
        <v>583</v>
      </c>
      <c r="D1408" s="3" t="s">
        <v>934</v>
      </c>
      <c r="E1408" s="3" t="s">
        <v>2074</v>
      </c>
      <c r="F1408" s="3" t="s">
        <v>903</v>
      </c>
      <c r="G1408" s="3">
        <v>1.0</v>
      </c>
      <c r="H1408" s="3" t="b">
        <v>0</v>
      </c>
      <c r="L1408" s="3" t="s">
        <v>2102</v>
      </c>
    </row>
    <row r="1409" ht="15.75" customHeight="1">
      <c r="A1409" s="3" t="s">
        <v>3521</v>
      </c>
      <c r="B1409" s="12">
        <v>46118.0</v>
      </c>
      <c r="C1409" s="3" t="s">
        <v>584</v>
      </c>
      <c r="D1409" s="3" t="s">
        <v>934</v>
      </c>
      <c r="E1409" s="3" t="s">
        <v>2074</v>
      </c>
      <c r="F1409" s="3" t="s">
        <v>903</v>
      </c>
      <c r="G1409" s="3">
        <v>1.0</v>
      </c>
      <c r="H1409" s="3" t="b">
        <v>0</v>
      </c>
      <c r="L1409" s="3" t="s">
        <v>2102</v>
      </c>
    </row>
    <row r="1410" ht="15.75" customHeight="1">
      <c r="A1410" s="3" t="s">
        <v>3522</v>
      </c>
      <c r="B1410" s="12">
        <v>46118.0</v>
      </c>
      <c r="C1410" s="3" t="s">
        <v>585</v>
      </c>
      <c r="D1410" s="3" t="s">
        <v>934</v>
      </c>
      <c r="E1410" s="3" t="s">
        <v>2074</v>
      </c>
      <c r="F1410" s="3" t="s">
        <v>903</v>
      </c>
      <c r="G1410" s="3">
        <v>1.0</v>
      </c>
      <c r="H1410" s="3" t="b">
        <v>0</v>
      </c>
      <c r="L1410" s="3" t="s">
        <v>2102</v>
      </c>
    </row>
    <row r="1411" ht="15.75" customHeight="1">
      <c r="A1411" s="3" t="s">
        <v>3523</v>
      </c>
      <c r="B1411" s="12">
        <v>46118.0</v>
      </c>
      <c r="C1411" s="3" t="s">
        <v>586</v>
      </c>
      <c r="D1411" s="3" t="s">
        <v>934</v>
      </c>
      <c r="E1411" s="3" t="s">
        <v>2074</v>
      </c>
      <c r="F1411" s="3" t="s">
        <v>903</v>
      </c>
      <c r="G1411" s="3">
        <v>1.0</v>
      </c>
      <c r="H1411" s="3" t="b">
        <v>0</v>
      </c>
      <c r="L1411" s="3" t="s">
        <v>2102</v>
      </c>
    </row>
    <row r="1412" ht="15.75" customHeight="1">
      <c r="A1412" s="13" t="s">
        <v>3524</v>
      </c>
      <c r="B1412" s="12">
        <v>46118.0</v>
      </c>
      <c r="C1412" s="3" t="s">
        <v>588</v>
      </c>
      <c r="D1412" s="3" t="s">
        <v>934</v>
      </c>
      <c r="E1412" s="3" t="s">
        <v>2074</v>
      </c>
      <c r="F1412" s="3" t="s">
        <v>903</v>
      </c>
      <c r="G1412" s="3">
        <v>1.0</v>
      </c>
      <c r="H1412" s="3" t="b">
        <v>0</v>
      </c>
      <c r="L1412" s="3" t="s">
        <v>2102</v>
      </c>
    </row>
    <row r="1413" ht="15.75" customHeight="1">
      <c r="A1413" s="3" t="s">
        <v>3525</v>
      </c>
      <c r="B1413" s="12">
        <v>46118.0</v>
      </c>
      <c r="C1413" s="3" t="s">
        <v>589</v>
      </c>
      <c r="D1413" s="3" t="s">
        <v>934</v>
      </c>
      <c r="E1413" s="3" t="s">
        <v>2074</v>
      </c>
      <c r="F1413" s="3" t="s">
        <v>903</v>
      </c>
      <c r="G1413" s="3">
        <v>1.0</v>
      </c>
      <c r="H1413" s="3" t="b">
        <v>0</v>
      </c>
      <c r="L1413" s="3" t="s">
        <v>2102</v>
      </c>
    </row>
    <row r="1414" ht="15.75" customHeight="1">
      <c r="A1414" s="3" t="s">
        <v>3526</v>
      </c>
      <c r="B1414" s="12">
        <v>46118.0</v>
      </c>
      <c r="C1414" s="3" t="s">
        <v>592</v>
      </c>
      <c r="D1414" s="3" t="s">
        <v>934</v>
      </c>
      <c r="E1414" s="3" t="s">
        <v>2074</v>
      </c>
      <c r="F1414" s="3" t="s">
        <v>903</v>
      </c>
      <c r="G1414" s="3">
        <v>1.0</v>
      </c>
      <c r="H1414" s="3" t="b">
        <v>0</v>
      </c>
      <c r="L1414" s="3" t="s">
        <v>2102</v>
      </c>
    </row>
    <row r="1415" ht="15.75" customHeight="1">
      <c r="A1415" s="3" t="s">
        <v>3527</v>
      </c>
      <c r="B1415" s="12">
        <v>46118.0</v>
      </c>
      <c r="C1415" s="3" t="s">
        <v>598</v>
      </c>
      <c r="D1415" s="3" t="s">
        <v>934</v>
      </c>
      <c r="E1415" s="3" t="s">
        <v>2074</v>
      </c>
      <c r="F1415" s="3" t="s">
        <v>903</v>
      </c>
      <c r="G1415" s="3">
        <v>1.0</v>
      </c>
      <c r="H1415" s="3" t="b">
        <v>0</v>
      </c>
      <c r="L1415" s="3" t="s">
        <v>2102</v>
      </c>
    </row>
    <row r="1416" ht="15.75" customHeight="1">
      <c r="A1416" s="3" t="s">
        <v>3528</v>
      </c>
      <c r="B1416" s="12">
        <v>46118.0</v>
      </c>
      <c r="C1416" s="3" t="s">
        <v>600</v>
      </c>
      <c r="D1416" s="3" t="s">
        <v>934</v>
      </c>
      <c r="E1416" s="3" t="s">
        <v>2074</v>
      </c>
      <c r="F1416" s="3" t="s">
        <v>903</v>
      </c>
      <c r="G1416" s="3">
        <v>1.0</v>
      </c>
      <c r="H1416" s="3" t="b">
        <v>0</v>
      </c>
      <c r="L1416" s="3" t="s">
        <v>2102</v>
      </c>
    </row>
    <row r="1417" ht="15.75" customHeight="1">
      <c r="A1417" s="3" t="s">
        <v>3529</v>
      </c>
      <c r="B1417" s="12">
        <v>46118.0</v>
      </c>
      <c r="C1417" s="3" t="s">
        <v>608</v>
      </c>
      <c r="D1417" s="3" t="s">
        <v>934</v>
      </c>
      <c r="E1417" s="3" t="s">
        <v>2074</v>
      </c>
      <c r="F1417" s="3" t="s">
        <v>903</v>
      </c>
      <c r="G1417" s="3">
        <v>1.0</v>
      </c>
      <c r="H1417" s="3" t="b">
        <v>0</v>
      </c>
      <c r="L1417" s="3" t="s">
        <v>2102</v>
      </c>
    </row>
    <row r="1418" ht="15.75" customHeight="1">
      <c r="A1418" s="3" t="s">
        <v>3530</v>
      </c>
      <c r="B1418" s="12">
        <v>46118.0</v>
      </c>
      <c r="C1418" s="3" t="s">
        <v>610</v>
      </c>
      <c r="D1418" s="3" t="s">
        <v>934</v>
      </c>
      <c r="E1418" s="3" t="s">
        <v>2074</v>
      </c>
      <c r="F1418" s="3" t="s">
        <v>903</v>
      </c>
      <c r="G1418" s="3">
        <v>1.0</v>
      </c>
      <c r="H1418" s="3" t="b">
        <v>0</v>
      </c>
      <c r="L1418" s="3" t="s">
        <v>2102</v>
      </c>
    </row>
    <row r="1419" ht="15.75" customHeight="1">
      <c r="A1419" s="3" t="s">
        <v>3531</v>
      </c>
      <c r="B1419" s="12">
        <v>46118.0</v>
      </c>
      <c r="C1419" s="3" t="s">
        <v>1264</v>
      </c>
      <c r="D1419" s="3" t="s">
        <v>934</v>
      </c>
      <c r="E1419" s="3" t="s">
        <v>2074</v>
      </c>
      <c r="F1419" s="3" t="s">
        <v>903</v>
      </c>
      <c r="G1419" s="3">
        <v>1.0</v>
      </c>
      <c r="H1419" s="3" t="b">
        <v>0</v>
      </c>
      <c r="L1419" s="3" t="s">
        <v>2102</v>
      </c>
    </row>
    <row r="1420" ht="15.75" customHeight="1">
      <c r="A1420" s="3" t="s">
        <v>3532</v>
      </c>
      <c r="B1420" s="12">
        <v>46118.0</v>
      </c>
      <c r="C1420" s="3" t="s">
        <v>611</v>
      </c>
      <c r="D1420" s="3" t="s">
        <v>934</v>
      </c>
      <c r="E1420" s="3" t="s">
        <v>2074</v>
      </c>
      <c r="F1420" s="3" t="s">
        <v>903</v>
      </c>
      <c r="G1420" s="3">
        <v>1.0</v>
      </c>
      <c r="H1420" s="3" t="b">
        <v>0</v>
      </c>
      <c r="L1420" s="3" t="s">
        <v>2102</v>
      </c>
    </row>
    <row r="1421" ht="15.75" customHeight="1">
      <c r="A1421" s="3" t="s">
        <v>3533</v>
      </c>
      <c r="B1421" s="12">
        <v>46118.0</v>
      </c>
      <c r="C1421" s="3" t="s">
        <v>613</v>
      </c>
      <c r="D1421" s="3" t="s">
        <v>934</v>
      </c>
      <c r="E1421" s="3" t="s">
        <v>2074</v>
      </c>
      <c r="F1421" s="3" t="s">
        <v>903</v>
      </c>
      <c r="G1421" s="3">
        <v>1.0</v>
      </c>
      <c r="H1421" s="3" t="b">
        <v>0</v>
      </c>
      <c r="L1421" s="3" t="s">
        <v>2102</v>
      </c>
    </row>
    <row r="1422" ht="15.75" customHeight="1">
      <c r="A1422" s="3" t="s">
        <v>3534</v>
      </c>
      <c r="B1422" s="12">
        <v>46118.0</v>
      </c>
      <c r="C1422" s="3" t="s">
        <v>615</v>
      </c>
      <c r="D1422" s="3" t="s">
        <v>934</v>
      </c>
      <c r="E1422" s="3" t="s">
        <v>2074</v>
      </c>
      <c r="F1422" s="3" t="s">
        <v>903</v>
      </c>
      <c r="G1422" s="3">
        <v>1.0</v>
      </c>
      <c r="H1422" s="3" t="b">
        <v>0</v>
      </c>
      <c r="L1422" s="3" t="s">
        <v>2102</v>
      </c>
    </row>
    <row r="1423" ht="15.75" customHeight="1">
      <c r="A1423" s="3" t="s">
        <v>3535</v>
      </c>
      <c r="B1423" s="12">
        <v>46118.0</v>
      </c>
      <c r="C1423" s="3" t="s">
        <v>619</v>
      </c>
      <c r="D1423" s="3" t="s">
        <v>934</v>
      </c>
      <c r="E1423" s="3" t="s">
        <v>2074</v>
      </c>
      <c r="F1423" s="3" t="s">
        <v>903</v>
      </c>
      <c r="G1423" s="3">
        <v>1.0</v>
      </c>
      <c r="H1423" s="3" t="b">
        <v>0</v>
      </c>
      <c r="L1423" s="3" t="s">
        <v>2102</v>
      </c>
    </row>
    <row r="1424" ht="15.75" customHeight="1">
      <c r="A1424" s="3" t="s">
        <v>3536</v>
      </c>
      <c r="B1424" s="12">
        <v>46118.0</v>
      </c>
      <c r="C1424" s="3" t="s">
        <v>620</v>
      </c>
      <c r="D1424" s="3" t="s">
        <v>934</v>
      </c>
      <c r="E1424" s="3" t="s">
        <v>2074</v>
      </c>
      <c r="F1424" s="3" t="s">
        <v>903</v>
      </c>
      <c r="G1424" s="3">
        <v>1.0</v>
      </c>
      <c r="H1424" s="3" t="b">
        <v>0</v>
      </c>
      <c r="L1424" s="3" t="s">
        <v>2102</v>
      </c>
    </row>
    <row r="1425" ht="15.75" customHeight="1">
      <c r="A1425" s="3" t="s">
        <v>3537</v>
      </c>
      <c r="B1425" s="12">
        <v>46118.0</v>
      </c>
      <c r="C1425" s="3" t="s">
        <v>627</v>
      </c>
      <c r="D1425" s="3" t="s">
        <v>934</v>
      </c>
      <c r="E1425" s="3" t="s">
        <v>2074</v>
      </c>
      <c r="F1425" s="3" t="s">
        <v>903</v>
      </c>
      <c r="G1425" s="3">
        <v>1.0</v>
      </c>
      <c r="H1425" s="3" t="b">
        <v>0</v>
      </c>
      <c r="L1425" s="3" t="s">
        <v>2102</v>
      </c>
    </row>
    <row r="1426" ht="15.75" customHeight="1">
      <c r="A1426" s="3" t="s">
        <v>3538</v>
      </c>
      <c r="B1426" s="12">
        <v>46118.0</v>
      </c>
      <c r="C1426" s="3" t="s">
        <v>629</v>
      </c>
      <c r="D1426" s="3" t="s">
        <v>934</v>
      </c>
      <c r="E1426" s="3" t="s">
        <v>2074</v>
      </c>
      <c r="F1426" s="3" t="s">
        <v>903</v>
      </c>
      <c r="G1426" s="3">
        <v>1.0</v>
      </c>
      <c r="H1426" s="3" t="b">
        <v>0</v>
      </c>
      <c r="L1426" s="3" t="s">
        <v>2102</v>
      </c>
    </row>
    <row r="1427" ht="15.75" customHeight="1">
      <c r="A1427" s="3" t="s">
        <v>3539</v>
      </c>
      <c r="B1427" s="12">
        <v>46118.0</v>
      </c>
      <c r="C1427" s="3" t="s">
        <v>631</v>
      </c>
      <c r="D1427" s="3" t="s">
        <v>934</v>
      </c>
      <c r="E1427" s="3" t="s">
        <v>2074</v>
      </c>
      <c r="F1427" s="3" t="s">
        <v>903</v>
      </c>
      <c r="G1427" s="3">
        <v>1.0</v>
      </c>
      <c r="H1427" s="3" t="b">
        <v>0</v>
      </c>
      <c r="L1427" s="3" t="s">
        <v>2102</v>
      </c>
    </row>
    <row r="1428" ht="15.75" customHeight="1">
      <c r="A1428" s="13" t="s">
        <v>3540</v>
      </c>
      <c r="B1428" s="12">
        <v>46118.0</v>
      </c>
      <c r="C1428" s="3" t="s">
        <v>2726</v>
      </c>
      <c r="D1428" s="3" t="s">
        <v>934</v>
      </c>
      <c r="E1428" s="3" t="s">
        <v>2074</v>
      </c>
      <c r="F1428" s="3" t="s">
        <v>903</v>
      </c>
      <c r="G1428" s="3">
        <v>1.0</v>
      </c>
      <c r="H1428" s="3" t="b">
        <v>0</v>
      </c>
      <c r="L1428" s="3" t="s">
        <v>2102</v>
      </c>
    </row>
    <row r="1429" ht="15.75" customHeight="1">
      <c r="A1429" s="3" t="s">
        <v>3541</v>
      </c>
      <c r="B1429" s="12">
        <v>46118.0</v>
      </c>
      <c r="C1429" s="3" t="s">
        <v>641</v>
      </c>
      <c r="D1429" s="3" t="s">
        <v>934</v>
      </c>
      <c r="E1429" s="3" t="s">
        <v>2074</v>
      </c>
      <c r="F1429" s="3" t="s">
        <v>903</v>
      </c>
      <c r="G1429" s="3">
        <v>1.0</v>
      </c>
      <c r="H1429" s="3" t="b">
        <v>0</v>
      </c>
      <c r="L1429" s="3" t="s">
        <v>2102</v>
      </c>
    </row>
    <row r="1430" ht="15.75" customHeight="1">
      <c r="A1430" s="3" t="s">
        <v>3542</v>
      </c>
      <c r="B1430" s="12">
        <v>46118.0</v>
      </c>
      <c r="C1430" s="3" t="s">
        <v>642</v>
      </c>
      <c r="D1430" s="3" t="s">
        <v>934</v>
      </c>
      <c r="E1430" s="3" t="s">
        <v>2074</v>
      </c>
      <c r="F1430" s="3" t="s">
        <v>903</v>
      </c>
      <c r="G1430" s="3">
        <v>1.0</v>
      </c>
      <c r="H1430" s="3" t="b">
        <v>0</v>
      </c>
      <c r="L1430" s="3" t="s">
        <v>2102</v>
      </c>
    </row>
    <row r="1431" ht="15.75" customHeight="1">
      <c r="A1431" s="3" t="s">
        <v>3543</v>
      </c>
      <c r="B1431" s="12">
        <v>46118.0</v>
      </c>
      <c r="C1431" s="3" t="s">
        <v>645</v>
      </c>
      <c r="D1431" s="3" t="s">
        <v>934</v>
      </c>
      <c r="E1431" s="3" t="s">
        <v>2074</v>
      </c>
      <c r="F1431" s="3" t="s">
        <v>903</v>
      </c>
      <c r="G1431" s="3">
        <v>1.0</v>
      </c>
      <c r="H1431" s="3" t="b">
        <v>0</v>
      </c>
      <c r="L1431" s="3" t="s">
        <v>2102</v>
      </c>
    </row>
    <row r="1432" ht="15.75" customHeight="1">
      <c r="A1432" s="3" t="s">
        <v>3544</v>
      </c>
      <c r="B1432" s="12">
        <v>46118.0</v>
      </c>
      <c r="C1432" s="3" t="s">
        <v>658</v>
      </c>
      <c r="D1432" s="3" t="s">
        <v>934</v>
      </c>
      <c r="E1432" s="3" t="s">
        <v>2074</v>
      </c>
      <c r="F1432" s="3" t="s">
        <v>903</v>
      </c>
      <c r="G1432" s="3">
        <v>1.0</v>
      </c>
      <c r="H1432" s="3" t="b">
        <v>0</v>
      </c>
      <c r="L1432" s="3" t="s">
        <v>2102</v>
      </c>
    </row>
    <row r="1433" ht="15.75" customHeight="1">
      <c r="A1433" s="3" t="s">
        <v>3545</v>
      </c>
      <c r="B1433" s="12">
        <v>46118.0</v>
      </c>
      <c r="C1433" s="3" t="s">
        <v>662</v>
      </c>
      <c r="D1433" s="3" t="s">
        <v>934</v>
      </c>
      <c r="E1433" s="3" t="s">
        <v>2074</v>
      </c>
      <c r="F1433" s="3" t="s">
        <v>903</v>
      </c>
      <c r="G1433" s="3">
        <v>1.0</v>
      </c>
      <c r="H1433" s="3" t="b">
        <v>0</v>
      </c>
      <c r="L1433" s="3" t="s">
        <v>2102</v>
      </c>
    </row>
    <row r="1434" ht="15.75" customHeight="1">
      <c r="A1434" s="3" t="s">
        <v>3546</v>
      </c>
      <c r="B1434" s="12">
        <v>46118.0</v>
      </c>
      <c r="C1434" s="3" t="s">
        <v>672</v>
      </c>
      <c r="D1434" s="3" t="s">
        <v>934</v>
      </c>
      <c r="E1434" s="3" t="s">
        <v>2074</v>
      </c>
      <c r="F1434" s="3" t="s">
        <v>903</v>
      </c>
      <c r="G1434" s="3">
        <v>1.0</v>
      </c>
      <c r="H1434" s="3" t="b">
        <v>0</v>
      </c>
      <c r="L1434" s="3" t="s">
        <v>2102</v>
      </c>
    </row>
    <row r="1435" ht="15.75" customHeight="1">
      <c r="A1435" s="3" t="s">
        <v>3547</v>
      </c>
      <c r="B1435" s="12">
        <v>46118.0</v>
      </c>
      <c r="C1435" s="3" t="s">
        <v>675</v>
      </c>
      <c r="D1435" s="3" t="s">
        <v>934</v>
      </c>
      <c r="E1435" s="3" t="s">
        <v>2074</v>
      </c>
      <c r="F1435" s="3" t="s">
        <v>903</v>
      </c>
      <c r="G1435" s="3">
        <v>1.0</v>
      </c>
      <c r="H1435" s="3" t="b">
        <v>0</v>
      </c>
      <c r="L1435" s="3" t="s">
        <v>2102</v>
      </c>
    </row>
    <row r="1436" ht="15.75" customHeight="1">
      <c r="A1436" s="3" t="s">
        <v>3548</v>
      </c>
      <c r="B1436" s="12">
        <v>46118.0</v>
      </c>
      <c r="C1436" s="3" t="s">
        <v>677</v>
      </c>
      <c r="D1436" s="3" t="s">
        <v>934</v>
      </c>
      <c r="E1436" s="3" t="s">
        <v>2074</v>
      </c>
      <c r="F1436" s="3" t="s">
        <v>903</v>
      </c>
      <c r="G1436" s="3">
        <v>1.0</v>
      </c>
      <c r="H1436" s="3" t="b">
        <v>0</v>
      </c>
      <c r="L1436" s="3" t="s">
        <v>2102</v>
      </c>
    </row>
    <row r="1437" ht="15.75" customHeight="1">
      <c r="A1437" s="3" t="s">
        <v>3549</v>
      </c>
      <c r="B1437" s="12">
        <v>46118.0</v>
      </c>
      <c r="C1437" s="3" t="s">
        <v>678</v>
      </c>
      <c r="D1437" s="3" t="s">
        <v>934</v>
      </c>
      <c r="E1437" s="3" t="s">
        <v>2074</v>
      </c>
      <c r="F1437" s="3" t="s">
        <v>903</v>
      </c>
      <c r="G1437" s="3">
        <v>1.0</v>
      </c>
      <c r="H1437" s="3" t="b">
        <v>0</v>
      </c>
      <c r="L1437" s="3" t="s">
        <v>2102</v>
      </c>
    </row>
    <row r="1438" ht="15.75" customHeight="1">
      <c r="A1438" s="3" t="s">
        <v>3550</v>
      </c>
      <c r="B1438" s="12">
        <v>46118.0</v>
      </c>
      <c r="C1438" s="3" t="s">
        <v>681</v>
      </c>
      <c r="D1438" s="3" t="s">
        <v>934</v>
      </c>
      <c r="E1438" s="3" t="s">
        <v>2074</v>
      </c>
      <c r="F1438" s="3" t="s">
        <v>903</v>
      </c>
      <c r="G1438" s="3">
        <v>1.0</v>
      </c>
      <c r="H1438" s="3" t="b">
        <v>0</v>
      </c>
      <c r="L1438" s="3" t="s">
        <v>2102</v>
      </c>
    </row>
    <row r="1439" ht="15.75" customHeight="1">
      <c r="A1439" s="3" t="s">
        <v>3551</v>
      </c>
      <c r="B1439" s="12">
        <v>46118.0</v>
      </c>
      <c r="C1439" s="3" t="s">
        <v>687</v>
      </c>
      <c r="D1439" s="3" t="s">
        <v>934</v>
      </c>
      <c r="E1439" s="3" t="s">
        <v>2074</v>
      </c>
      <c r="F1439" s="3" t="s">
        <v>903</v>
      </c>
      <c r="G1439" s="3">
        <v>1.0</v>
      </c>
      <c r="H1439" s="3" t="b">
        <v>0</v>
      </c>
      <c r="L1439" s="3" t="s">
        <v>2102</v>
      </c>
    </row>
    <row r="1440" ht="15.75" customHeight="1">
      <c r="A1440" s="3" t="s">
        <v>3552</v>
      </c>
      <c r="B1440" s="12">
        <v>46118.0</v>
      </c>
      <c r="C1440" s="3" t="s">
        <v>688</v>
      </c>
      <c r="D1440" s="3" t="s">
        <v>934</v>
      </c>
      <c r="E1440" s="3" t="s">
        <v>2074</v>
      </c>
      <c r="F1440" s="3" t="s">
        <v>903</v>
      </c>
      <c r="G1440" s="3">
        <v>1.0</v>
      </c>
      <c r="H1440" s="3" t="b">
        <v>0</v>
      </c>
      <c r="L1440" s="3" t="s">
        <v>2102</v>
      </c>
    </row>
    <row r="1441" ht="15.75" customHeight="1">
      <c r="A1441" s="3" t="s">
        <v>3553</v>
      </c>
      <c r="B1441" s="12">
        <v>46118.0</v>
      </c>
      <c r="C1441" s="3" t="s">
        <v>690</v>
      </c>
      <c r="D1441" s="3" t="s">
        <v>934</v>
      </c>
      <c r="E1441" s="3" t="s">
        <v>2074</v>
      </c>
      <c r="F1441" s="3" t="s">
        <v>903</v>
      </c>
      <c r="G1441" s="3">
        <v>1.0</v>
      </c>
      <c r="H1441" s="3" t="b">
        <v>0</v>
      </c>
      <c r="L1441" s="3" t="s">
        <v>2102</v>
      </c>
    </row>
    <row r="1442" ht="15.75" customHeight="1">
      <c r="A1442" s="3" t="s">
        <v>3554</v>
      </c>
      <c r="B1442" s="12">
        <v>46118.0</v>
      </c>
      <c r="C1442" s="3" t="s">
        <v>691</v>
      </c>
      <c r="D1442" s="3" t="s">
        <v>934</v>
      </c>
      <c r="E1442" s="3" t="s">
        <v>2074</v>
      </c>
      <c r="F1442" s="3" t="s">
        <v>903</v>
      </c>
      <c r="G1442" s="3">
        <v>1.0</v>
      </c>
      <c r="H1442" s="3" t="b">
        <v>0</v>
      </c>
      <c r="L1442" s="3" t="s">
        <v>2102</v>
      </c>
    </row>
    <row r="1443" ht="15.75" customHeight="1">
      <c r="A1443" s="3" t="s">
        <v>3555</v>
      </c>
      <c r="B1443" s="12">
        <v>46118.0</v>
      </c>
      <c r="C1443" s="3" t="s">
        <v>695</v>
      </c>
      <c r="D1443" s="3" t="s">
        <v>934</v>
      </c>
      <c r="E1443" s="3" t="s">
        <v>2074</v>
      </c>
      <c r="F1443" s="3" t="s">
        <v>903</v>
      </c>
      <c r="G1443" s="3">
        <v>1.0</v>
      </c>
      <c r="H1443" s="3" t="b">
        <v>0</v>
      </c>
      <c r="L1443" s="3" t="s">
        <v>2102</v>
      </c>
    </row>
    <row r="1444" ht="15.75" customHeight="1">
      <c r="A1444" s="3" t="s">
        <v>3556</v>
      </c>
      <c r="B1444" s="12">
        <v>46118.0</v>
      </c>
      <c r="C1444" s="3" t="s">
        <v>701</v>
      </c>
      <c r="D1444" s="3" t="s">
        <v>934</v>
      </c>
      <c r="E1444" s="3" t="s">
        <v>2074</v>
      </c>
      <c r="F1444" s="3" t="s">
        <v>903</v>
      </c>
      <c r="G1444" s="3">
        <v>1.0</v>
      </c>
      <c r="H1444" s="3" t="b">
        <v>0</v>
      </c>
      <c r="L1444" s="3" t="s">
        <v>2102</v>
      </c>
    </row>
    <row r="1445" ht="15.75" customHeight="1">
      <c r="A1445" s="3" t="s">
        <v>3557</v>
      </c>
      <c r="B1445" s="12">
        <v>46118.0</v>
      </c>
      <c r="C1445" s="3" t="s">
        <v>711</v>
      </c>
      <c r="D1445" s="3" t="s">
        <v>934</v>
      </c>
      <c r="E1445" s="3" t="s">
        <v>2074</v>
      </c>
      <c r="F1445" s="3" t="s">
        <v>903</v>
      </c>
      <c r="G1445" s="3">
        <v>1.0</v>
      </c>
      <c r="H1445" s="3" t="b">
        <v>0</v>
      </c>
      <c r="L1445" s="3" t="s">
        <v>2102</v>
      </c>
    </row>
    <row r="1446" ht="15.75" customHeight="1">
      <c r="A1446" s="3" t="s">
        <v>3558</v>
      </c>
      <c r="B1446" s="12">
        <v>46118.0</v>
      </c>
      <c r="C1446" s="3" t="s">
        <v>716</v>
      </c>
      <c r="D1446" s="3" t="s">
        <v>934</v>
      </c>
      <c r="E1446" s="3" t="s">
        <v>2074</v>
      </c>
      <c r="F1446" s="3" t="s">
        <v>903</v>
      </c>
      <c r="G1446" s="3">
        <v>1.0</v>
      </c>
      <c r="H1446" s="3" t="b">
        <v>0</v>
      </c>
      <c r="L1446" s="3" t="s">
        <v>2102</v>
      </c>
    </row>
    <row r="1447" ht="15.75" customHeight="1">
      <c r="A1447" s="3" t="s">
        <v>3559</v>
      </c>
      <c r="B1447" s="12">
        <v>46118.0</v>
      </c>
      <c r="C1447" s="3" t="s">
        <v>719</v>
      </c>
      <c r="D1447" s="3" t="s">
        <v>934</v>
      </c>
      <c r="E1447" s="3" t="s">
        <v>2074</v>
      </c>
      <c r="F1447" s="3" t="s">
        <v>903</v>
      </c>
      <c r="G1447" s="3">
        <v>1.0</v>
      </c>
      <c r="H1447" s="3" t="b">
        <v>0</v>
      </c>
      <c r="L1447" s="3" t="s">
        <v>2102</v>
      </c>
    </row>
    <row r="1448" ht="15.75" customHeight="1">
      <c r="A1448" s="3" t="s">
        <v>3560</v>
      </c>
      <c r="B1448" s="12">
        <v>46118.0</v>
      </c>
      <c r="C1448" s="3" t="s">
        <v>724</v>
      </c>
      <c r="D1448" s="3" t="s">
        <v>934</v>
      </c>
      <c r="E1448" s="3" t="s">
        <v>2074</v>
      </c>
      <c r="F1448" s="3" t="s">
        <v>903</v>
      </c>
      <c r="G1448" s="3">
        <v>1.0</v>
      </c>
      <c r="H1448" s="3" t="b">
        <v>0</v>
      </c>
      <c r="L1448" s="3" t="s">
        <v>2102</v>
      </c>
    </row>
    <row r="1449" ht="15.75" customHeight="1">
      <c r="A1449" s="3" t="s">
        <v>3561</v>
      </c>
      <c r="B1449" s="12">
        <v>46118.0</v>
      </c>
      <c r="C1449" s="3" t="s">
        <v>726</v>
      </c>
      <c r="D1449" s="3" t="s">
        <v>934</v>
      </c>
      <c r="E1449" s="3" t="s">
        <v>2074</v>
      </c>
      <c r="F1449" s="3" t="s">
        <v>903</v>
      </c>
      <c r="G1449" s="3">
        <v>1.0</v>
      </c>
      <c r="H1449" s="3" t="b">
        <v>0</v>
      </c>
      <c r="L1449" s="3" t="s">
        <v>2102</v>
      </c>
    </row>
    <row r="1450" ht="15.75" customHeight="1">
      <c r="A1450" s="3" t="s">
        <v>3562</v>
      </c>
      <c r="B1450" s="12">
        <v>46118.0</v>
      </c>
      <c r="C1450" s="3" t="s">
        <v>735</v>
      </c>
      <c r="D1450" s="3" t="s">
        <v>934</v>
      </c>
      <c r="E1450" s="3" t="s">
        <v>2074</v>
      </c>
      <c r="F1450" s="3" t="s">
        <v>903</v>
      </c>
      <c r="G1450" s="3">
        <v>1.0</v>
      </c>
      <c r="H1450" s="3" t="b">
        <v>0</v>
      </c>
      <c r="L1450" s="3" t="s">
        <v>2102</v>
      </c>
    </row>
    <row r="1451" ht="15.75" customHeight="1">
      <c r="A1451" s="3" t="s">
        <v>3563</v>
      </c>
      <c r="B1451" s="12">
        <v>46118.0</v>
      </c>
      <c r="C1451" s="3" t="s">
        <v>1238</v>
      </c>
      <c r="D1451" s="3" t="s">
        <v>934</v>
      </c>
      <c r="E1451" s="3" t="s">
        <v>2074</v>
      </c>
      <c r="F1451" s="3" t="s">
        <v>903</v>
      </c>
      <c r="G1451" s="3">
        <v>1.0</v>
      </c>
      <c r="H1451" s="3" t="b">
        <v>0</v>
      </c>
      <c r="L1451" s="3" t="s">
        <v>2102</v>
      </c>
    </row>
    <row r="1452" ht="15.75" customHeight="1">
      <c r="A1452" s="3" t="s">
        <v>3564</v>
      </c>
      <c r="B1452" s="12">
        <v>46118.0</v>
      </c>
      <c r="C1452" s="3" t="s">
        <v>743</v>
      </c>
      <c r="D1452" s="3" t="s">
        <v>934</v>
      </c>
      <c r="E1452" s="3" t="s">
        <v>2074</v>
      </c>
      <c r="F1452" s="3" t="s">
        <v>903</v>
      </c>
      <c r="G1452" s="3">
        <v>1.0</v>
      </c>
      <c r="H1452" s="3" t="b">
        <v>0</v>
      </c>
      <c r="L1452" s="3" t="s">
        <v>2102</v>
      </c>
    </row>
    <row r="1453" ht="15.75" customHeight="1">
      <c r="A1453" s="3" t="s">
        <v>3565</v>
      </c>
      <c r="B1453" s="12">
        <v>46118.0</v>
      </c>
      <c r="C1453" s="3" t="s">
        <v>745</v>
      </c>
      <c r="D1453" s="3" t="s">
        <v>934</v>
      </c>
      <c r="E1453" s="3" t="s">
        <v>2074</v>
      </c>
      <c r="F1453" s="3" t="s">
        <v>903</v>
      </c>
      <c r="G1453" s="3">
        <v>1.0</v>
      </c>
      <c r="H1453" s="3" t="b">
        <v>0</v>
      </c>
      <c r="L1453" s="3" t="s">
        <v>2102</v>
      </c>
    </row>
    <row r="1454" ht="15.75" customHeight="1">
      <c r="A1454" s="3" t="s">
        <v>3566</v>
      </c>
      <c r="B1454" s="12">
        <v>46118.0</v>
      </c>
      <c r="C1454" s="3" t="s">
        <v>754</v>
      </c>
      <c r="D1454" s="3" t="s">
        <v>934</v>
      </c>
      <c r="E1454" s="3" t="s">
        <v>2074</v>
      </c>
      <c r="F1454" s="3" t="s">
        <v>903</v>
      </c>
      <c r="G1454" s="3">
        <v>1.0</v>
      </c>
      <c r="H1454" s="3" t="b">
        <v>0</v>
      </c>
      <c r="L1454" s="3" t="s">
        <v>2102</v>
      </c>
    </row>
    <row r="1455" ht="15.75" customHeight="1">
      <c r="A1455" s="3" t="s">
        <v>3567</v>
      </c>
      <c r="B1455" s="12">
        <v>46118.0</v>
      </c>
      <c r="C1455" s="3" t="s">
        <v>755</v>
      </c>
      <c r="D1455" s="3" t="s">
        <v>934</v>
      </c>
      <c r="E1455" s="3" t="s">
        <v>2074</v>
      </c>
      <c r="F1455" s="3" t="s">
        <v>903</v>
      </c>
      <c r="G1455" s="3">
        <v>1.0</v>
      </c>
      <c r="H1455" s="3" t="b">
        <v>0</v>
      </c>
      <c r="L1455" s="3" t="s">
        <v>2102</v>
      </c>
    </row>
    <row r="1456" ht="15.75" customHeight="1">
      <c r="A1456" s="3" t="s">
        <v>3568</v>
      </c>
      <c r="B1456" s="12">
        <v>46118.0</v>
      </c>
      <c r="C1456" s="3" t="s">
        <v>757</v>
      </c>
      <c r="D1456" s="3" t="s">
        <v>934</v>
      </c>
      <c r="E1456" s="3" t="s">
        <v>2074</v>
      </c>
      <c r="F1456" s="3" t="s">
        <v>903</v>
      </c>
      <c r="G1456" s="3">
        <v>1.0</v>
      </c>
      <c r="H1456" s="3" t="b">
        <v>0</v>
      </c>
      <c r="L1456" s="3" t="s">
        <v>2102</v>
      </c>
    </row>
    <row r="1457" ht="15.75" customHeight="1">
      <c r="A1457" s="3" t="s">
        <v>3569</v>
      </c>
      <c r="B1457" s="12">
        <v>46118.0</v>
      </c>
      <c r="C1457" s="3" t="s">
        <v>760</v>
      </c>
      <c r="D1457" s="3" t="s">
        <v>934</v>
      </c>
      <c r="E1457" s="3" t="s">
        <v>2074</v>
      </c>
      <c r="F1457" s="3" t="s">
        <v>903</v>
      </c>
      <c r="G1457" s="3">
        <v>1.0</v>
      </c>
      <c r="H1457" s="3" t="b">
        <v>0</v>
      </c>
      <c r="L1457" s="3" t="s">
        <v>2102</v>
      </c>
    </row>
    <row r="1458" ht="15.75" customHeight="1">
      <c r="A1458" s="3" t="s">
        <v>3570</v>
      </c>
      <c r="B1458" s="12">
        <v>46118.0</v>
      </c>
      <c r="C1458" s="3" t="s">
        <v>772</v>
      </c>
      <c r="D1458" s="3" t="s">
        <v>934</v>
      </c>
      <c r="E1458" s="3" t="s">
        <v>2074</v>
      </c>
      <c r="F1458" s="3" t="s">
        <v>903</v>
      </c>
      <c r="G1458" s="3">
        <v>1.0</v>
      </c>
      <c r="H1458" s="3" t="b">
        <v>0</v>
      </c>
      <c r="L1458" s="3" t="s">
        <v>2102</v>
      </c>
    </row>
    <row r="1459" ht="15.75" customHeight="1">
      <c r="A1459" s="3" t="s">
        <v>3571</v>
      </c>
      <c r="B1459" s="12">
        <v>46118.0</v>
      </c>
      <c r="C1459" s="3" t="s">
        <v>775</v>
      </c>
      <c r="D1459" s="3" t="s">
        <v>934</v>
      </c>
      <c r="E1459" s="3" t="s">
        <v>2074</v>
      </c>
      <c r="F1459" s="3" t="s">
        <v>903</v>
      </c>
      <c r="G1459" s="3">
        <v>1.0</v>
      </c>
      <c r="H1459" s="3" t="b">
        <v>0</v>
      </c>
      <c r="L1459" s="3" t="s">
        <v>2102</v>
      </c>
    </row>
    <row r="1460" ht="15.75" customHeight="1">
      <c r="A1460" s="3" t="s">
        <v>3572</v>
      </c>
      <c r="B1460" s="12">
        <v>46118.0</v>
      </c>
      <c r="C1460" s="3" t="s">
        <v>780</v>
      </c>
      <c r="D1460" s="3" t="s">
        <v>934</v>
      </c>
      <c r="E1460" s="3" t="s">
        <v>2074</v>
      </c>
      <c r="F1460" s="3" t="s">
        <v>903</v>
      </c>
      <c r="G1460" s="3">
        <v>1.0</v>
      </c>
      <c r="H1460" s="3" t="b">
        <v>0</v>
      </c>
      <c r="L1460" s="3" t="s">
        <v>2102</v>
      </c>
    </row>
    <row r="1461" ht="15.75" customHeight="1">
      <c r="A1461" s="3" t="s">
        <v>3573</v>
      </c>
      <c r="B1461" s="12">
        <v>46118.0</v>
      </c>
      <c r="C1461" s="3" t="s">
        <v>781</v>
      </c>
      <c r="D1461" s="3" t="s">
        <v>934</v>
      </c>
      <c r="E1461" s="3" t="s">
        <v>2074</v>
      </c>
      <c r="F1461" s="3" t="s">
        <v>903</v>
      </c>
      <c r="G1461" s="3">
        <v>1.0</v>
      </c>
      <c r="H1461" s="3" t="b">
        <v>0</v>
      </c>
      <c r="L1461" s="3" t="s">
        <v>2102</v>
      </c>
    </row>
    <row r="1462" ht="15.75" customHeight="1">
      <c r="A1462" s="3" t="s">
        <v>3574</v>
      </c>
      <c r="B1462" s="12">
        <v>46118.0</v>
      </c>
      <c r="C1462" s="3" t="s">
        <v>782</v>
      </c>
      <c r="D1462" s="3" t="s">
        <v>934</v>
      </c>
      <c r="E1462" s="3" t="s">
        <v>2074</v>
      </c>
      <c r="F1462" s="3" t="s">
        <v>903</v>
      </c>
      <c r="G1462" s="3">
        <v>1.0</v>
      </c>
      <c r="H1462" s="3" t="b">
        <v>0</v>
      </c>
      <c r="L1462" s="3" t="s">
        <v>2102</v>
      </c>
    </row>
    <row r="1463" ht="15.75" customHeight="1">
      <c r="A1463" s="3" t="s">
        <v>3575</v>
      </c>
      <c r="B1463" s="12">
        <v>46118.0</v>
      </c>
      <c r="C1463" s="3" t="s">
        <v>783</v>
      </c>
      <c r="D1463" s="3" t="s">
        <v>934</v>
      </c>
      <c r="E1463" s="3" t="s">
        <v>2074</v>
      </c>
      <c r="F1463" s="3" t="s">
        <v>903</v>
      </c>
      <c r="G1463" s="3">
        <v>1.0</v>
      </c>
      <c r="H1463" s="3" t="b">
        <v>0</v>
      </c>
      <c r="L1463" s="3" t="s">
        <v>2102</v>
      </c>
    </row>
    <row r="1464" ht="15.75" customHeight="1">
      <c r="A1464" s="3" t="s">
        <v>3576</v>
      </c>
      <c r="B1464" s="12">
        <v>46118.0</v>
      </c>
      <c r="C1464" s="3" t="s">
        <v>787</v>
      </c>
      <c r="D1464" s="3" t="s">
        <v>934</v>
      </c>
      <c r="E1464" s="3" t="s">
        <v>2074</v>
      </c>
      <c r="F1464" s="3" t="s">
        <v>903</v>
      </c>
      <c r="G1464" s="3">
        <v>1.0</v>
      </c>
      <c r="H1464" s="3" t="b">
        <v>0</v>
      </c>
      <c r="L1464" s="3" t="s">
        <v>2102</v>
      </c>
    </row>
    <row r="1465" ht="15.75" customHeight="1">
      <c r="A1465" s="3" t="s">
        <v>3577</v>
      </c>
      <c r="B1465" s="12">
        <v>46118.0</v>
      </c>
      <c r="C1465" s="3" t="s">
        <v>792</v>
      </c>
      <c r="D1465" s="3" t="s">
        <v>934</v>
      </c>
      <c r="E1465" s="3" t="s">
        <v>2074</v>
      </c>
      <c r="F1465" s="3" t="s">
        <v>903</v>
      </c>
      <c r="G1465" s="3">
        <v>1.0</v>
      </c>
      <c r="H1465" s="3" t="b">
        <v>0</v>
      </c>
      <c r="L1465" s="3" t="s">
        <v>2102</v>
      </c>
    </row>
    <row r="1466" ht="15.75" customHeight="1">
      <c r="A1466" s="3" t="s">
        <v>3578</v>
      </c>
      <c r="B1466" s="12">
        <v>46118.0</v>
      </c>
      <c r="C1466" s="3" t="s">
        <v>1329</v>
      </c>
      <c r="D1466" s="3" t="s">
        <v>934</v>
      </c>
      <c r="E1466" s="3" t="s">
        <v>2074</v>
      </c>
      <c r="F1466" s="3" t="s">
        <v>903</v>
      </c>
      <c r="G1466" s="3">
        <v>1.0</v>
      </c>
      <c r="H1466" s="3" t="b">
        <v>0</v>
      </c>
      <c r="L1466" s="3" t="s">
        <v>2102</v>
      </c>
    </row>
    <row r="1467" ht="15.75" customHeight="1">
      <c r="A1467" s="3" t="s">
        <v>3579</v>
      </c>
      <c r="B1467" s="12">
        <v>46118.0</v>
      </c>
      <c r="C1467" s="3" t="s">
        <v>799</v>
      </c>
      <c r="D1467" s="3" t="s">
        <v>934</v>
      </c>
      <c r="E1467" s="3" t="s">
        <v>2074</v>
      </c>
      <c r="F1467" s="3" t="s">
        <v>903</v>
      </c>
      <c r="G1467" s="3">
        <v>1.0</v>
      </c>
      <c r="H1467" s="3" t="b">
        <v>0</v>
      </c>
      <c r="L1467" s="3" t="s">
        <v>2102</v>
      </c>
    </row>
    <row r="1468" ht="15.75" customHeight="1">
      <c r="A1468" s="3" t="s">
        <v>3580</v>
      </c>
      <c r="B1468" s="12">
        <v>46118.0</v>
      </c>
      <c r="C1468" s="3" t="s">
        <v>810</v>
      </c>
      <c r="D1468" s="3" t="s">
        <v>934</v>
      </c>
      <c r="E1468" s="3" t="s">
        <v>2074</v>
      </c>
      <c r="F1468" s="3" t="s">
        <v>903</v>
      </c>
      <c r="G1468" s="3">
        <v>1.0</v>
      </c>
      <c r="H1468" s="3" t="b">
        <v>0</v>
      </c>
      <c r="L1468" s="3" t="s">
        <v>2102</v>
      </c>
    </row>
    <row r="1469" ht="15.75" customHeight="1">
      <c r="A1469" s="3" t="s">
        <v>3581</v>
      </c>
      <c r="B1469" s="12">
        <v>46118.0</v>
      </c>
      <c r="C1469" s="3" t="s">
        <v>816</v>
      </c>
      <c r="D1469" s="3" t="s">
        <v>934</v>
      </c>
      <c r="E1469" s="3" t="s">
        <v>2074</v>
      </c>
      <c r="F1469" s="3" t="s">
        <v>903</v>
      </c>
      <c r="G1469" s="3">
        <v>1.0</v>
      </c>
      <c r="H1469" s="3" t="b">
        <v>0</v>
      </c>
      <c r="L1469" s="3" t="s">
        <v>2102</v>
      </c>
    </row>
    <row r="1470" ht="15.75" customHeight="1">
      <c r="A1470" s="3" t="s">
        <v>3582</v>
      </c>
      <c r="B1470" s="12">
        <v>46118.0</v>
      </c>
      <c r="C1470" s="3" t="s">
        <v>820</v>
      </c>
      <c r="D1470" s="3" t="s">
        <v>934</v>
      </c>
      <c r="E1470" s="3" t="s">
        <v>2074</v>
      </c>
      <c r="F1470" s="3" t="s">
        <v>903</v>
      </c>
      <c r="G1470" s="3">
        <v>1.0</v>
      </c>
      <c r="H1470" s="3" t="b">
        <v>0</v>
      </c>
      <c r="L1470" s="3" t="s">
        <v>2102</v>
      </c>
    </row>
    <row r="1471" ht="15.75" customHeight="1">
      <c r="A1471" s="3" t="s">
        <v>3583</v>
      </c>
      <c r="B1471" s="12">
        <v>46118.0</v>
      </c>
      <c r="C1471" s="3" t="s">
        <v>822</v>
      </c>
      <c r="D1471" s="3" t="s">
        <v>934</v>
      </c>
      <c r="E1471" s="3" t="s">
        <v>2074</v>
      </c>
      <c r="F1471" s="3" t="s">
        <v>903</v>
      </c>
      <c r="G1471" s="3">
        <v>1.0</v>
      </c>
      <c r="H1471" s="3" t="b">
        <v>0</v>
      </c>
      <c r="L1471" s="3" t="s">
        <v>2102</v>
      </c>
    </row>
    <row r="1472" ht="15.75" customHeight="1">
      <c r="A1472" s="3" t="s">
        <v>3584</v>
      </c>
      <c r="B1472" s="12">
        <v>46118.0</v>
      </c>
      <c r="C1472" s="3" t="s">
        <v>1353</v>
      </c>
      <c r="D1472" s="3" t="s">
        <v>1354</v>
      </c>
      <c r="E1472" s="3" t="s">
        <v>2086</v>
      </c>
      <c r="F1472" s="3" t="s">
        <v>903</v>
      </c>
      <c r="G1472" s="3">
        <v>1.0</v>
      </c>
      <c r="H1472" s="3" t="b">
        <v>1</v>
      </c>
      <c r="I1472" s="3" t="s">
        <v>1119</v>
      </c>
      <c r="J1472" s="3" t="s">
        <v>1129</v>
      </c>
      <c r="L1472" s="3" t="s">
        <v>2102</v>
      </c>
    </row>
    <row r="1473" ht="15.75" customHeight="1">
      <c r="A1473" s="3" t="s">
        <v>3585</v>
      </c>
      <c r="B1473" s="12">
        <v>46118.0</v>
      </c>
      <c r="C1473" s="3" t="s">
        <v>1342</v>
      </c>
      <c r="D1473" s="3" t="s">
        <v>1354</v>
      </c>
      <c r="E1473" s="3" t="s">
        <v>2086</v>
      </c>
      <c r="F1473" s="3" t="s">
        <v>903</v>
      </c>
      <c r="G1473" s="3">
        <v>1.0</v>
      </c>
      <c r="H1473" s="3" t="b">
        <v>1</v>
      </c>
      <c r="I1473" s="3" t="s">
        <v>1119</v>
      </c>
      <c r="J1473" s="3" t="s">
        <v>1129</v>
      </c>
      <c r="L1473" s="3" t="s">
        <v>2102</v>
      </c>
    </row>
    <row r="1474" ht="15.75" customHeight="1">
      <c r="A1474" s="3" t="s">
        <v>3586</v>
      </c>
      <c r="B1474" s="12">
        <v>46118.0</v>
      </c>
      <c r="C1474" s="3" t="s">
        <v>710</v>
      </c>
      <c r="D1474" s="3" t="s">
        <v>1354</v>
      </c>
      <c r="E1474" s="3" t="s">
        <v>2086</v>
      </c>
      <c r="F1474" s="3" t="s">
        <v>903</v>
      </c>
      <c r="G1474" s="3">
        <v>1.0</v>
      </c>
      <c r="H1474" s="3" t="b">
        <v>1</v>
      </c>
      <c r="I1474" s="3" t="s">
        <v>1085</v>
      </c>
      <c r="L1474" s="3" t="s">
        <v>2102</v>
      </c>
    </row>
    <row r="1475" ht="15.75" customHeight="1">
      <c r="A1475" s="3" t="s">
        <v>3587</v>
      </c>
      <c r="B1475" s="12">
        <v>46118.0</v>
      </c>
      <c r="C1475" s="3" t="s">
        <v>1353</v>
      </c>
      <c r="D1475" s="3" t="s">
        <v>923</v>
      </c>
      <c r="E1475" s="3" t="s">
        <v>2086</v>
      </c>
      <c r="F1475" s="3" t="s">
        <v>903</v>
      </c>
      <c r="G1475" s="3">
        <v>1.0</v>
      </c>
      <c r="H1475" s="3" t="b">
        <v>1</v>
      </c>
      <c r="I1475" s="3" t="s">
        <v>1119</v>
      </c>
      <c r="J1475" s="3" t="s">
        <v>1129</v>
      </c>
      <c r="L1475" s="3" t="s">
        <v>2102</v>
      </c>
    </row>
    <row r="1476" ht="15.75" customHeight="1">
      <c r="A1476" s="3" t="s">
        <v>3588</v>
      </c>
      <c r="B1476" s="12">
        <v>46118.0</v>
      </c>
      <c r="C1476" s="3" t="s">
        <v>1353</v>
      </c>
      <c r="D1476" s="3" t="s">
        <v>1240</v>
      </c>
      <c r="E1476" s="3" t="s">
        <v>2086</v>
      </c>
      <c r="F1476" s="3" t="s">
        <v>903</v>
      </c>
      <c r="G1476" s="3">
        <v>1.0</v>
      </c>
      <c r="H1476" s="3" t="b">
        <v>1</v>
      </c>
      <c r="I1476" s="3" t="s">
        <v>1119</v>
      </c>
      <c r="J1476" s="3" t="s">
        <v>1129</v>
      </c>
      <c r="L1476" s="3" t="s">
        <v>2102</v>
      </c>
    </row>
    <row r="1477" ht="15.75" customHeight="1">
      <c r="A1477" s="3" t="s">
        <v>3589</v>
      </c>
      <c r="B1477" s="12">
        <v>46118.0</v>
      </c>
      <c r="C1477" s="3" t="s">
        <v>1353</v>
      </c>
      <c r="D1477" s="3" t="s">
        <v>1242</v>
      </c>
      <c r="E1477" s="3" t="s">
        <v>2086</v>
      </c>
      <c r="F1477" s="3" t="s">
        <v>903</v>
      </c>
      <c r="G1477" s="3">
        <v>1.0</v>
      </c>
      <c r="H1477" s="3" t="b">
        <v>1</v>
      </c>
      <c r="I1477" s="3" t="s">
        <v>1119</v>
      </c>
      <c r="J1477" s="3" t="s">
        <v>1129</v>
      </c>
      <c r="L1477" s="3" t="s">
        <v>2102</v>
      </c>
    </row>
    <row r="1478" ht="15.75" customHeight="1">
      <c r="A1478" s="3" t="s">
        <v>3590</v>
      </c>
      <c r="B1478" s="12">
        <v>46118.0</v>
      </c>
      <c r="C1478" s="3" t="s">
        <v>1353</v>
      </c>
      <c r="D1478" s="3" t="s">
        <v>1244</v>
      </c>
      <c r="E1478" s="3" t="s">
        <v>2086</v>
      </c>
      <c r="F1478" s="3" t="s">
        <v>903</v>
      </c>
      <c r="G1478" s="3">
        <v>1.0</v>
      </c>
      <c r="H1478" s="3" t="b">
        <v>1</v>
      </c>
      <c r="I1478" s="3" t="s">
        <v>1119</v>
      </c>
      <c r="J1478" s="3" t="s">
        <v>1129</v>
      </c>
      <c r="L1478" s="3" t="s">
        <v>2102</v>
      </c>
    </row>
    <row r="1479" ht="15.75" customHeight="1">
      <c r="A1479" s="3" t="s">
        <v>3591</v>
      </c>
      <c r="B1479" s="12">
        <v>46118.0</v>
      </c>
      <c r="C1479" s="3" t="s">
        <v>1353</v>
      </c>
      <c r="D1479" s="3" t="s">
        <v>1246</v>
      </c>
      <c r="E1479" s="3" t="s">
        <v>2086</v>
      </c>
      <c r="F1479" s="3" t="s">
        <v>903</v>
      </c>
      <c r="G1479" s="3">
        <v>1.0</v>
      </c>
      <c r="H1479" s="3" t="b">
        <v>1</v>
      </c>
      <c r="I1479" s="3" t="s">
        <v>1119</v>
      </c>
      <c r="J1479" s="3" t="s">
        <v>1129</v>
      </c>
      <c r="L1479" s="3" t="s">
        <v>2102</v>
      </c>
    </row>
    <row r="1480" ht="15.75" customHeight="1">
      <c r="A1480" s="3" t="s">
        <v>3592</v>
      </c>
      <c r="B1480" s="12">
        <v>46118.0</v>
      </c>
      <c r="C1480" s="3" t="s">
        <v>1353</v>
      </c>
      <c r="D1480" s="3" t="s">
        <v>928</v>
      </c>
      <c r="E1480" s="3" t="s">
        <v>2086</v>
      </c>
      <c r="F1480" s="3" t="s">
        <v>903</v>
      </c>
      <c r="G1480" s="3">
        <v>1.0</v>
      </c>
      <c r="H1480" s="3" t="b">
        <v>1</v>
      </c>
      <c r="I1480" s="3" t="s">
        <v>1119</v>
      </c>
      <c r="J1480" s="3" t="s">
        <v>1129</v>
      </c>
      <c r="L1480" s="3" t="s">
        <v>2102</v>
      </c>
    </row>
    <row r="1481" ht="15.75" customHeight="1">
      <c r="A1481" s="3" t="s">
        <v>3593</v>
      </c>
      <c r="B1481" s="12">
        <v>46118.0</v>
      </c>
      <c r="C1481" s="3" t="s">
        <v>1353</v>
      </c>
      <c r="D1481" s="3" t="s">
        <v>1159</v>
      </c>
      <c r="E1481" s="3" t="s">
        <v>2086</v>
      </c>
      <c r="F1481" s="3" t="s">
        <v>903</v>
      </c>
      <c r="G1481" s="3">
        <v>1.0</v>
      </c>
      <c r="H1481" s="3" t="b">
        <v>1</v>
      </c>
      <c r="I1481" s="3" t="s">
        <v>1119</v>
      </c>
      <c r="J1481" s="3" t="s">
        <v>1129</v>
      </c>
      <c r="L1481" s="3" t="s">
        <v>2102</v>
      </c>
    </row>
    <row r="1482" ht="15.75" customHeight="1">
      <c r="A1482" s="3" t="s">
        <v>3594</v>
      </c>
      <c r="B1482" s="12">
        <v>46119.0</v>
      </c>
      <c r="C1482" s="3" t="s">
        <v>76</v>
      </c>
      <c r="D1482" s="3" t="s">
        <v>1382</v>
      </c>
      <c r="E1482" s="3" t="s">
        <v>2086</v>
      </c>
      <c r="F1482" s="3" t="s">
        <v>903</v>
      </c>
      <c r="G1482" s="3">
        <v>1.0</v>
      </c>
      <c r="H1482" s="3" t="b">
        <v>1</v>
      </c>
      <c r="I1482" s="3" t="s">
        <v>1092</v>
      </c>
      <c r="L1482" s="3" t="s">
        <v>2102</v>
      </c>
    </row>
    <row r="1483" ht="15.75" customHeight="1">
      <c r="A1483" s="3" t="s">
        <v>3595</v>
      </c>
      <c r="B1483" s="12">
        <v>46119.0</v>
      </c>
      <c r="C1483" s="3" t="s">
        <v>62</v>
      </c>
      <c r="D1483" s="3" t="s">
        <v>961</v>
      </c>
      <c r="E1483" s="3" t="s">
        <v>2086</v>
      </c>
      <c r="F1483" s="3" t="s">
        <v>903</v>
      </c>
      <c r="G1483" s="3">
        <v>1.0</v>
      </c>
      <c r="H1483" s="3" t="b">
        <v>1</v>
      </c>
      <c r="I1483" s="3" t="s">
        <v>1129</v>
      </c>
      <c r="K1483" s="3" t="s">
        <v>1087</v>
      </c>
      <c r="L1483" s="3" t="s">
        <v>2102</v>
      </c>
    </row>
    <row r="1484" ht="15.75" customHeight="1">
      <c r="A1484" s="3" t="s">
        <v>3596</v>
      </c>
      <c r="B1484" s="12">
        <v>46119.0</v>
      </c>
      <c r="C1484" s="3" t="s">
        <v>62</v>
      </c>
      <c r="D1484" s="3" t="s">
        <v>923</v>
      </c>
      <c r="E1484" s="3" t="s">
        <v>2086</v>
      </c>
      <c r="F1484" s="3" t="s">
        <v>903</v>
      </c>
      <c r="G1484" s="3">
        <v>1.0</v>
      </c>
      <c r="H1484" s="3" t="b">
        <v>1</v>
      </c>
      <c r="I1484" s="3" t="s">
        <v>1129</v>
      </c>
      <c r="K1484" s="3" t="s">
        <v>1087</v>
      </c>
      <c r="L1484" s="3" t="s">
        <v>2102</v>
      </c>
    </row>
    <row r="1485" ht="15.75" customHeight="1">
      <c r="A1485" s="3" t="s">
        <v>3597</v>
      </c>
      <c r="B1485" s="12">
        <v>46119.0</v>
      </c>
      <c r="C1485" s="3" t="s">
        <v>62</v>
      </c>
      <c r="D1485" s="3" t="s">
        <v>965</v>
      </c>
      <c r="E1485" s="3" t="s">
        <v>2086</v>
      </c>
      <c r="F1485" s="3" t="s">
        <v>903</v>
      </c>
      <c r="G1485" s="3">
        <v>1.0</v>
      </c>
      <c r="H1485" s="3" t="b">
        <v>1</v>
      </c>
      <c r="I1485" s="3" t="s">
        <v>1129</v>
      </c>
      <c r="K1485" s="3" t="s">
        <v>1087</v>
      </c>
      <c r="L1485" s="3" t="s">
        <v>2102</v>
      </c>
    </row>
    <row r="1486" ht="15.75" customHeight="1">
      <c r="A1486" s="3" t="s">
        <v>3598</v>
      </c>
      <c r="B1486" s="12">
        <v>46119.0</v>
      </c>
      <c r="C1486" s="3" t="s">
        <v>62</v>
      </c>
      <c r="D1486" s="3" t="s">
        <v>1149</v>
      </c>
      <c r="E1486" s="3" t="s">
        <v>2086</v>
      </c>
      <c r="F1486" s="3" t="s">
        <v>903</v>
      </c>
      <c r="G1486" s="3">
        <v>1.0</v>
      </c>
      <c r="H1486" s="3" t="b">
        <v>1</v>
      </c>
      <c r="I1486" s="3" t="s">
        <v>1129</v>
      </c>
      <c r="K1486" s="3" t="s">
        <v>1087</v>
      </c>
      <c r="L1486" s="3" t="s">
        <v>2102</v>
      </c>
    </row>
    <row r="1487" ht="15.75" customHeight="1">
      <c r="A1487" s="3" t="s">
        <v>3599</v>
      </c>
      <c r="B1487" s="12">
        <v>46119.0</v>
      </c>
      <c r="C1487" s="3" t="s">
        <v>62</v>
      </c>
      <c r="D1487" s="3" t="s">
        <v>1153</v>
      </c>
      <c r="E1487" s="3" t="s">
        <v>2086</v>
      </c>
      <c r="F1487" s="3" t="s">
        <v>903</v>
      </c>
      <c r="G1487" s="3">
        <v>1.0</v>
      </c>
      <c r="H1487" s="3" t="b">
        <v>1</v>
      </c>
      <c r="I1487" s="3" t="s">
        <v>1129</v>
      </c>
      <c r="K1487" s="3" t="s">
        <v>1087</v>
      </c>
      <c r="L1487" s="3" t="s">
        <v>2102</v>
      </c>
    </row>
    <row r="1488" ht="15.75" customHeight="1">
      <c r="A1488" s="3" t="s">
        <v>3600</v>
      </c>
      <c r="B1488" s="12">
        <v>46119.0</v>
      </c>
      <c r="C1488" s="3" t="s">
        <v>62</v>
      </c>
      <c r="D1488" s="3" t="s">
        <v>1155</v>
      </c>
      <c r="E1488" s="3" t="s">
        <v>2086</v>
      </c>
      <c r="F1488" s="3" t="s">
        <v>903</v>
      </c>
      <c r="G1488" s="3">
        <v>1.0</v>
      </c>
      <c r="H1488" s="3" t="b">
        <v>1</v>
      </c>
      <c r="I1488" s="3" t="s">
        <v>1129</v>
      </c>
      <c r="K1488" s="3" t="s">
        <v>1087</v>
      </c>
      <c r="L1488" s="3" t="s">
        <v>2102</v>
      </c>
    </row>
    <row r="1489" ht="15.75" customHeight="1">
      <c r="A1489" s="3" t="s">
        <v>3601</v>
      </c>
      <c r="B1489" s="12">
        <v>46119.0</v>
      </c>
      <c r="C1489" s="3" t="s">
        <v>62</v>
      </c>
      <c r="D1489" s="3" t="s">
        <v>1157</v>
      </c>
      <c r="E1489" s="3" t="s">
        <v>2086</v>
      </c>
      <c r="F1489" s="3" t="s">
        <v>903</v>
      </c>
      <c r="G1489" s="3">
        <v>1.0</v>
      </c>
      <c r="H1489" s="3" t="b">
        <v>1</v>
      </c>
      <c r="I1489" s="3" t="s">
        <v>1129</v>
      </c>
      <c r="K1489" s="3" t="s">
        <v>1087</v>
      </c>
      <c r="L1489" s="3" t="s">
        <v>2102</v>
      </c>
    </row>
    <row r="1490" ht="15.75" customHeight="1">
      <c r="A1490" s="3" t="s">
        <v>3602</v>
      </c>
      <c r="B1490" s="12">
        <v>46119.0</v>
      </c>
      <c r="C1490" s="3" t="s">
        <v>62</v>
      </c>
      <c r="D1490" s="3" t="s">
        <v>930</v>
      </c>
      <c r="E1490" s="3" t="s">
        <v>2086</v>
      </c>
      <c r="F1490" s="3" t="s">
        <v>903</v>
      </c>
      <c r="G1490" s="3">
        <v>1.0</v>
      </c>
      <c r="H1490" s="3" t="b">
        <v>1</v>
      </c>
      <c r="I1490" s="3" t="s">
        <v>1129</v>
      </c>
      <c r="K1490" s="3" t="s">
        <v>1087</v>
      </c>
      <c r="L1490" s="3" t="s">
        <v>2102</v>
      </c>
    </row>
    <row r="1491" ht="15.75" customHeight="1">
      <c r="A1491" s="3" t="s">
        <v>3603</v>
      </c>
      <c r="B1491" s="12">
        <v>46119.0</v>
      </c>
      <c r="C1491" s="3" t="s">
        <v>62</v>
      </c>
      <c r="D1491" s="3" t="s">
        <v>1354</v>
      </c>
      <c r="E1491" s="3" t="s">
        <v>2086</v>
      </c>
      <c r="F1491" s="3" t="s">
        <v>903</v>
      </c>
      <c r="G1491" s="3">
        <v>1.0</v>
      </c>
      <c r="H1491" s="3" t="b">
        <v>1</v>
      </c>
      <c r="I1491" s="3" t="s">
        <v>1129</v>
      </c>
      <c r="K1491" s="3" t="s">
        <v>1087</v>
      </c>
      <c r="L1491" s="3" t="s">
        <v>2102</v>
      </c>
    </row>
    <row r="1492" ht="15.75" customHeight="1">
      <c r="A1492" s="3" t="s">
        <v>3604</v>
      </c>
      <c r="B1492" s="12">
        <v>46119.0</v>
      </c>
      <c r="C1492" s="3" t="s">
        <v>62</v>
      </c>
      <c r="D1492" s="3" t="s">
        <v>3605</v>
      </c>
      <c r="E1492" s="3" t="s">
        <v>2086</v>
      </c>
      <c r="F1492" s="3" t="s">
        <v>903</v>
      </c>
      <c r="G1492" s="3">
        <v>1.0</v>
      </c>
      <c r="H1492" s="3" t="b">
        <v>1</v>
      </c>
      <c r="I1492" s="3" t="s">
        <v>1129</v>
      </c>
      <c r="K1492" s="3" t="s">
        <v>1087</v>
      </c>
      <c r="L1492" s="3" t="s">
        <v>2102</v>
      </c>
    </row>
    <row r="1493" ht="15.75" customHeight="1">
      <c r="A1493" s="3" t="s">
        <v>3606</v>
      </c>
      <c r="B1493" s="12">
        <v>46119.0</v>
      </c>
      <c r="C1493" s="3" t="s">
        <v>69</v>
      </c>
      <c r="D1493" s="3" t="s">
        <v>955</v>
      </c>
      <c r="E1493" s="3" t="s">
        <v>2086</v>
      </c>
      <c r="F1493" s="3" t="s">
        <v>903</v>
      </c>
      <c r="G1493" s="3">
        <v>1.0</v>
      </c>
      <c r="H1493" s="3" t="b">
        <v>1</v>
      </c>
      <c r="I1493" s="3" t="s">
        <v>1119</v>
      </c>
      <c r="K1493" s="3" t="s">
        <v>1113</v>
      </c>
      <c r="L1493" s="3" t="s">
        <v>2102</v>
      </c>
    </row>
    <row r="1494" ht="15.75" customHeight="1">
      <c r="A1494" s="3" t="s">
        <v>3607</v>
      </c>
      <c r="B1494" s="12">
        <v>46119.0</v>
      </c>
      <c r="C1494" s="3" t="s">
        <v>69</v>
      </c>
      <c r="D1494" s="3" t="s">
        <v>923</v>
      </c>
      <c r="E1494" s="3" t="s">
        <v>2086</v>
      </c>
      <c r="F1494" s="3" t="s">
        <v>903</v>
      </c>
      <c r="G1494" s="3">
        <v>1.0</v>
      </c>
      <c r="H1494" s="3" t="b">
        <v>1</v>
      </c>
      <c r="I1494" s="3" t="s">
        <v>1119</v>
      </c>
      <c r="K1494" s="3" t="s">
        <v>1113</v>
      </c>
      <c r="L1494" s="3" t="s">
        <v>2102</v>
      </c>
    </row>
    <row r="1495" ht="15.75" customHeight="1">
      <c r="A1495" s="3" t="s">
        <v>3608</v>
      </c>
      <c r="B1495" s="12">
        <v>46119.0</v>
      </c>
      <c r="C1495" s="3" t="s">
        <v>69</v>
      </c>
      <c r="D1495" s="3" t="s">
        <v>968</v>
      </c>
      <c r="E1495" s="3" t="s">
        <v>2086</v>
      </c>
      <c r="F1495" s="3" t="s">
        <v>903</v>
      </c>
      <c r="G1495" s="3">
        <v>1.0</v>
      </c>
      <c r="H1495" s="3" t="b">
        <v>1</v>
      </c>
      <c r="I1495" s="3" t="s">
        <v>1119</v>
      </c>
      <c r="K1495" s="3" t="s">
        <v>1113</v>
      </c>
      <c r="L1495" s="3" t="s">
        <v>2102</v>
      </c>
    </row>
    <row r="1496" ht="15.75" customHeight="1">
      <c r="A1496" s="3" t="s">
        <v>2076</v>
      </c>
      <c r="B1496" s="12">
        <v>46119.0</v>
      </c>
      <c r="C1496" s="3" t="s">
        <v>1121</v>
      </c>
      <c r="D1496" s="3" t="s">
        <v>936</v>
      </c>
      <c r="E1496" s="3" t="s">
        <v>2074</v>
      </c>
      <c r="F1496" s="3" t="s">
        <v>903</v>
      </c>
      <c r="G1496" s="3">
        <v>1.0</v>
      </c>
      <c r="H1496" s="3" t="b">
        <v>0</v>
      </c>
      <c r="L1496" s="3" t="s">
        <v>3609</v>
      </c>
      <c r="M1496" s="13" t="s">
        <v>3610</v>
      </c>
    </row>
    <row r="1497" ht="15.75" customHeight="1">
      <c r="A1497" s="3" t="s">
        <v>2078</v>
      </c>
      <c r="B1497" s="12">
        <v>46119.0</v>
      </c>
      <c r="C1497" s="3" t="s">
        <v>1132</v>
      </c>
      <c r="D1497" s="3" t="s">
        <v>936</v>
      </c>
      <c r="E1497" s="3" t="s">
        <v>2074</v>
      </c>
      <c r="F1497" s="3" t="s">
        <v>903</v>
      </c>
      <c r="G1497" s="3">
        <v>1.0</v>
      </c>
      <c r="H1497" s="3" t="b">
        <v>0</v>
      </c>
      <c r="L1497" s="3" t="s">
        <v>3609</v>
      </c>
      <c r="M1497" s="13" t="s">
        <v>3610</v>
      </c>
    </row>
    <row r="1498" ht="15.75" customHeight="1">
      <c r="A1498" s="3" t="s">
        <v>2081</v>
      </c>
      <c r="B1498" s="12">
        <v>46119.0</v>
      </c>
      <c r="C1498" s="3" t="s">
        <v>2080</v>
      </c>
      <c r="D1498" s="3" t="s">
        <v>936</v>
      </c>
      <c r="E1498" s="3" t="s">
        <v>2074</v>
      </c>
      <c r="F1498" s="3" t="s">
        <v>903</v>
      </c>
      <c r="G1498" s="3">
        <v>1.0</v>
      </c>
      <c r="H1498" s="3" t="b">
        <v>0</v>
      </c>
      <c r="L1498" s="3" t="s">
        <v>3609</v>
      </c>
      <c r="M1498" s="13" t="s">
        <v>3610</v>
      </c>
    </row>
    <row r="1499" ht="15.75" customHeight="1">
      <c r="A1499" s="3" t="s">
        <v>2084</v>
      </c>
      <c r="B1499" s="12">
        <v>46119.0</v>
      </c>
      <c r="C1499" s="3" t="s">
        <v>2083</v>
      </c>
      <c r="D1499" s="3" t="s">
        <v>936</v>
      </c>
      <c r="E1499" s="3" t="s">
        <v>2074</v>
      </c>
      <c r="F1499" s="3" t="s">
        <v>903</v>
      </c>
      <c r="G1499" s="3">
        <v>1.0</v>
      </c>
      <c r="H1499" s="3" t="b">
        <v>0</v>
      </c>
      <c r="L1499" s="3" t="s">
        <v>3609</v>
      </c>
      <c r="M1499" s="13" t="s">
        <v>3610</v>
      </c>
    </row>
    <row r="1500" ht="15.75" customHeight="1">
      <c r="A1500" s="3" t="s">
        <v>3611</v>
      </c>
      <c r="B1500" s="12">
        <v>46119.0</v>
      </c>
      <c r="C1500" s="3" t="s">
        <v>62</v>
      </c>
      <c r="D1500" s="3" t="s">
        <v>961</v>
      </c>
      <c r="E1500" s="3" t="s">
        <v>2086</v>
      </c>
      <c r="F1500" s="3" t="s">
        <v>903</v>
      </c>
      <c r="G1500" s="3">
        <v>1.0</v>
      </c>
      <c r="H1500" s="3" t="b">
        <v>1</v>
      </c>
      <c r="I1500" s="3" t="s">
        <v>1129</v>
      </c>
      <c r="K1500" s="3" t="s">
        <v>1087</v>
      </c>
      <c r="L1500" s="3"/>
    </row>
    <row r="1501" ht="15.75" customHeight="1">
      <c r="A1501" s="3" t="s">
        <v>3612</v>
      </c>
      <c r="B1501" s="12">
        <v>46119.0</v>
      </c>
      <c r="C1501" s="3" t="s">
        <v>62</v>
      </c>
      <c r="D1501" s="3" t="s">
        <v>961</v>
      </c>
      <c r="E1501" s="3" t="s">
        <v>2086</v>
      </c>
      <c r="F1501" s="3" t="s">
        <v>903</v>
      </c>
      <c r="G1501" s="3">
        <v>1.0</v>
      </c>
      <c r="H1501" s="3" t="b">
        <v>1</v>
      </c>
      <c r="I1501" s="3" t="s">
        <v>1092</v>
      </c>
      <c r="K1501" s="3" t="s">
        <v>1087</v>
      </c>
      <c r="L1501" s="3"/>
    </row>
    <row r="1502" ht="15.75" customHeight="1">
      <c r="A1502" s="3" t="s">
        <v>3613</v>
      </c>
      <c r="B1502" s="12">
        <v>46119.0</v>
      </c>
      <c r="C1502" s="3" t="s">
        <v>62</v>
      </c>
      <c r="D1502" s="3" t="s">
        <v>923</v>
      </c>
      <c r="E1502" s="3" t="s">
        <v>2086</v>
      </c>
      <c r="F1502" s="3" t="s">
        <v>903</v>
      </c>
      <c r="G1502" s="3">
        <v>1.0</v>
      </c>
      <c r="H1502" s="3" t="b">
        <v>1</v>
      </c>
      <c r="I1502" s="3" t="s">
        <v>1092</v>
      </c>
      <c r="K1502" s="3" t="s">
        <v>1087</v>
      </c>
      <c r="L1502" s="3"/>
    </row>
    <row r="1503" ht="15.75" customHeight="1">
      <c r="A1503" s="3" t="s">
        <v>3614</v>
      </c>
      <c r="B1503" s="12">
        <v>46119.0</v>
      </c>
      <c r="C1503" s="3" t="s">
        <v>62</v>
      </c>
      <c r="D1503" s="3" t="s">
        <v>965</v>
      </c>
      <c r="E1503" s="3" t="s">
        <v>2086</v>
      </c>
      <c r="F1503" s="3" t="s">
        <v>903</v>
      </c>
      <c r="G1503" s="3">
        <v>1.0</v>
      </c>
      <c r="H1503" s="3" t="b">
        <v>1</v>
      </c>
      <c r="I1503" s="3" t="s">
        <v>1092</v>
      </c>
      <c r="K1503" s="3" t="s">
        <v>1087</v>
      </c>
      <c r="L1503" s="3"/>
    </row>
    <row r="1504" ht="15.75" customHeight="1">
      <c r="A1504" s="3" t="s">
        <v>3615</v>
      </c>
      <c r="B1504" s="12">
        <v>46119.0</v>
      </c>
      <c r="C1504" s="3" t="s">
        <v>62</v>
      </c>
      <c r="D1504" s="3" t="s">
        <v>1149</v>
      </c>
      <c r="E1504" s="3" t="s">
        <v>2086</v>
      </c>
      <c r="F1504" s="3" t="s">
        <v>903</v>
      </c>
      <c r="G1504" s="3">
        <v>1.0</v>
      </c>
      <c r="H1504" s="3" t="b">
        <v>1</v>
      </c>
      <c r="I1504" s="3" t="s">
        <v>1092</v>
      </c>
      <c r="K1504" s="3" t="s">
        <v>1087</v>
      </c>
      <c r="L1504" s="3"/>
    </row>
    <row r="1505" ht="15.75" customHeight="1">
      <c r="A1505" s="3" t="s">
        <v>3616</v>
      </c>
      <c r="B1505" s="12">
        <v>46119.0</v>
      </c>
      <c r="C1505" s="3" t="s">
        <v>62</v>
      </c>
      <c r="D1505" s="3" t="s">
        <v>1153</v>
      </c>
      <c r="E1505" s="3" t="s">
        <v>2086</v>
      </c>
      <c r="F1505" s="3" t="s">
        <v>903</v>
      </c>
      <c r="G1505" s="3">
        <v>1.0</v>
      </c>
      <c r="H1505" s="3" t="b">
        <v>1</v>
      </c>
      <c r="I1505" s="3" t="s">
        <v>1092</v>
      </c>
      <c r="K1505" s="3" t="s">
        <v>1087</v>
      </c>
      <c r="L1505" s="3"/>
    </row>
    <row r="1506" ht="15.75" customHeight="1">
      <c r="A1506" s="3" t="s">
        <v>3617</v>
      </c>
      <c r="B1506" s="12">
        <v>46119.0</v>
      </c>
      <c r="C1506" s="3" t="s">
        <v>62</v>
      </c>
      <c r="D1506" s="3" t="s">
        <v>1155</v>
      </c>
      <c r="E1506" s="3" t="s">
        <v>2086</v>
      </c>
      <c r="F1506" s="3" t="s">
        <v>903</v>
      </c>
      <c r="G1506" s="3">
        <v>1.0</v>
      </c>
      <c r="H1506" s="3" t="b">
        <v>1</v>
      </c>
      <c r="I1506" s="3" t="s">
        <v>1092</v>
      </c>
      <c r="K1506" s="3" t="s">
        <v>1087</v>
      </c>
      <c r="L1506" s="3"/>
    </row>
    <row r="1507" ht="15.75" customHeight="1">
      <c r="A1507" s="3" t="s">
        <v>3618</v>
      </c>
      <c r="B1507" s="12">
        <v>46119.0</v>
      </c>
      <c r="C1507" s="3" t="s">
        <v>62</v>
      </c>
      <c r="D1507" s="3" t="s">
        <v>1157</v>
      </c>
      <c r="E1507" s="3" t="s">
        <v>2086</v>
      </c>
      <c r="F1507" s="3" t="s">
        <v>903</v>
      </c>
      <c r="G1507" s="3">
        <v>1.0</v>
      </c>
      <c r="H1507" s="3" t="b">
        <v>1</v>
      </c>
      <c r="I1507" s="3" t="s">
        <v>1092</v>
      </c>
      <c r="K1507" s="3" t="s">
        <v>1087</v>
      </c>
      <c r="L1507" s="3"/>
    </row>
    <row r="1508" ht="15.75" customHeight="1">
      <c r="A1508" s="3" t="s">
        <v>3619</v>
      </c>
      <c r="B1508" s="12">
        <v>46119.0</v>
      </c>
      <c r="C1508" s="3" t="s">
        <v>62</v>
      </c>
      <c r="D1508" s="3" t="s">
        <v>930</v>
      </c>
      <c r="E1508" s="3" t="s">
        <v>2086</v>
      </c>
      <c r="F1508" s="3" t="s">
        <v>903</v>
      </c>
      <c r="G1508" s="3">
        <v>1.0</v>
      </c>
      <c r="H1508" s="3" t="b">
        <v>1</v>
      </c>
      <c r="I1508" s="3" t="s">
        <v>1092</v>
      </c>
      <c r="K1508" s="3" t="s">
        <v>1087</v>
      </c>
      <c r="L1508" s="3"/>
    </row>
    <row r="1509" ht="15.75" customHeight="1">
      <c r="A1509" s="3" t="s">
        <v>3620</v>
      </c>
      <c r="B1509" s="12">
        <v>46119.0</v>
      </c>
      <c r="C1509" s="3" t="s">
        <v>62</v>
      </c>
      <c r="D1509" s="3" t="s">
        <v>1354</v>
      </c>
      <c r="E1509" s="3" t="s">
        <v>2086</v>
      </c>
      <c r="F1509" s="3" t="s">
        <v>903</v>
      </c>
      <c r="G1509" s="3">
        <v>1.0</v>
      </c>
      <c r="H1509" s="3" t="b">
        <v>1</v>
      </c>
      <c r="I1509" s="3" t="s">
        <v>1092</v>
      </c>
      <c r="K1509" s="3" t="s">
        <v>1087</v>
      </c>
      <c r="L1509" s="3"/>
    </row>
    <row r="1510" ht="15.75" customHeight="1">
      <c r="A1510" s="3" t="s">
        <v>3621</v>
      </c>
      <c r="B1510" s="12">
        <v>46119.0</v>
      </c>
      <c r="C1510" s="3" t="s">
        <v>62</v>
      </c>
      <c r="D1510" s="3" t="s">
        <v>3605</v>
      </c>
      <c r="E1510" s="3" t="s">
        <v>2086</v>
      </c>
      <c r="F1510" s="3" t="s">
        <v>903</v>
      </c>
      <c r="G1510" s="3">
        <v>1.0</v>
      </c>
      <c r="H1510" s="3" t="b">
        <v>1</v>
      </c>
      <c r="I1510" s="3" t="s">
        <v>1092</v>
      </c>
      <c r="K1510" s="3" t="s">
        <v>1087</v>
      </c>
      <c r="L1510" s="3"/>
    </row>
    <row r="1511" ht="15.75" customHeight="1">
      <c r="A1511" s="3" t="s">
        <v>2088</v>
      </c>
      <c r="B1511" s="12">
        <v>46121.0</v>
      </c>
      <c r="C1511" s="3" t="s">
        <v>1121</v>
      </c>
      <c r="D1511" s="3" t="s">
        <v>936</v>
      </c>
      <c r="E1511" s="3" t="s">
        <v>2086</v>
      </c>
      <c r="F1511" s="3" t="s">
        <v>903</v>
      </c>
      <c r="G1511" s="3">
        <v>1.0</v>
      </c>
      <c r="H1511" s="3" t="b">
        <v>1</v>
      </c>
      <c r="I1511" s="3" t="s">
        <v>1129</v>
      </c>
      <c r="K1511" s="3" t="s">
        <v>1121</v>
      </c>
      <c r="L1511" s="3"/>
    </row>
    <row r="1512" ht="15.75" customHeight="1">
      <c r="A1512" s="3" t="s">
        <v>2090</v>
      </c>
      <c r="B1512" s="12">
        <v>46121.0</v>
      </c>
      <c r="C1512" s="3" t="s">
        <v>1121</v>
      </c>
      <c r="D1512" s="3" t="s">
        <v>936</v>
      </c>
      <c r="E1512" s="3" t="s">
        <v>2074</v>
      </c>
      <c r="F1512" s="3" t="s">
        <v>903</v>
      </c>
      <c r="G1512" s="3">
        <v>1.0</v>
      </c>
      <c r="H1512" s="3" t="b">
        <v>0</v>
      </c>
      <c r="L1512" s="3" t="s">
        <v>2102</v>
      </c>
    </row>
    <row r="1513" ht="15.75" customHeight="1">
      <c r="A1513" s="3" t="s">
        <v>2092</v>
      </c>
      <c r="B1513" s="12">
        <v>46121.0</v>
      </c>
      <c r="C1513" s="3" t="s">
        <v>1132</v>
      </c>
      <c r="D1513" s="3" t="s">
        <v>936</v>
      </c>
      <c r="E1513" s="3" t="s">
        <v>2074</v>
      </c>
      <c r="F1513" s="3" t="s">
        <v>903</v>
      </c>
      <c r="G1513" s="3">
        <v>1.0</v>
      </c>
      <c r="H1513" s="3" t="b">
        <v>0</v>
      </c>
      <c r="L1513" s="3" t="s">
        <v>2102</v>
      </c>
    </row>
    <row r="1514" ht="15.75" customHeight="1">
      <c r="A1514" s="3" t="s">
        <v>2094</v>
      </c>
      <c r="B1514" s="12">
        <v>46121.0</v>
      </c>
      <c r="C1514" s="3" t="s">
        <v>2080</v>
      </c>
      <c r="D1514" s="3" t="s">
        <v>936</v>
      </c>
      <c r="E1514" s="3" t="s">
        <v>2074</v>
      </c>
      <c r="F1514" s="3" t="s">
        <v>903</v>
      </c>
      <c r="G1514" s="3">
        <v>1.0</v>
      </c>
      <c r="H1514" s="3" t="b">
        <v>0</v>
      </c>
      <c r="L1514" s="3" t="s">
        <v>2102</v>
      </c>
    </row>
    <row r="1515" ht="15.75" customHeight="1">
      <c r="A1515" s="3" t="s">
        <v>2096</v>
      </c>
      <c r="B1515" s="12">
        <v>46121.0</v>
      </c>
      <c r="C1515" s="3" t="s">
        <v>2083</v>
      </c>
      <c r="D1515" s="3" t="s">
        <v>936</v>
      </c>
      <c r="E1515" s="3" t="s">
        <v>2074</v>
      </c>
      <c r="F1515" s="3" t="s">
        <v>903</v>
      </c>
      <c r="G1515" s="3">
        <v>1.0</v>
      </c>
      <c r="H1515" s="3" t="b">
        <v>0</v>
      </c>
      <c r="L1515" s="3" t="s">
        <v>2102</v>
      </c>
    </row>
    <row r="1516" ht="15.75" customHeight="1">
      <c r="A1516" s="3" t="s">
        <v>3622</v>
      </c>
      <c r="B1516" s="12">
        <v>46121.0</v>
      </c>
      <c r="C1516" s="3" t="s">
        <v>62</v>
      </c>
      <c r="D1516" s="3" t="s">
        <v>961</v>
      </c>
      <c r="E1516" s="3" t="s">
        <v>2086</v>
      </c>
      <c r="F1516" s="3" t="s">
        <v>903</v>
      </c>
      <c r="G1516" s="3">
        <v>1.0</v>
      </c>
      <c r="H1516" s="3" t="b">
        <v>1</v>
      </c>
      <c r="I1516" s="3" t="s">
        <v>1089</v>
      </c>
      <c r="K1516" s="3" t="s">
        <v>1087</v>
      </c>
      <c r="L1516" s="3" t="s">
        <v>2102</v>
      </c>
    </row>
    <row r="1517" ht="15.75" customHeight="1">
      <c r="A1517" s="3" t="s">
        <v>3623</v>
      </c>
      <c r="B1517" s="12">
        <v>46125.0</v>
      </c>
      <c r="C1517" s="3" t="s">
        <v>1121</v>
      </c>
      <c r="D1517" s="3" t="s">
        <v>936</v>
      </c>
      <c r="E1517" s="3" t="s">
        <v>2086</v>
      </c>
      <c r="F1517" s="3" t="s">
        <v>903</v>
      </c>
      <c r="G1517" s="3">
        <v>1.0</v>
      </c>
      <c r="H1517" s="3" t="b">
        <v>1</v>
      </c>
      <c r="I1517" s="3" t="s">
        <v>1089</v>
      </c>
      <c r="K1517" s="3" t="s">
        <v>1121</v>
      </c>
      <c r="L1517" s="3" t="s">
        <v>2102</v>
      </c>
    </row>
    <row r="1518" ht="15.75" customHeight="1">
      <c r="A1518" s="3" t="s">
        <v>3624</v>
      </c>
      <c r="B1518" s="12">
        <v>46126.0</v>
      </c>
      <c r="C1518" s="3" t="s">
        <v>62</v>
      </c>
      <c r="D1518" s="3" t="s">
        <v>961</v>
      </c>
      <c r="E1518" s="3" t="s">
        <v>2086</v>
      </c>
      <c r="F1518" s="3" t="s">
        <v>903</v>
      </c>
      <c r="G1518" s="3">
        <v>1.0</v>
      </c>
      <c r="H1518" s="3" t="b">
        <v>1</v>
      </c>
      <c r="I1518" s="3" t="s">
        <v>1089</v>
      </c>
      <c r="K1518" s="3" t="s">
        <v>1087</v>
      </c>
      <c r="L1518" s="3" t="s">
        <v>2102</v>
      </c>
    </row>
    <row r="1519" ht="15.75" customHeight="1">
      <c r="A1519" s="3" t="s">
        <v>3625</v>
      </c>
      <c r="B1519" s="12">
        <v>46126.0</v>
      </c>
      <c r="C1519" s="3" t="s">
        <v>76</v>
      </c>
      <c r="D1519" s="3" t="s">
        <v>955</v>
      </c>
      <c r="E1519" s="3" t="s">
        <v>2086</v>
      </c>
      <c r="F1519" s="3" t="s">
        <v>903</v>
      </c>
      <c r="G1519" s="3">
        <v>1.0</v>
      </c>
      <c r="H1519" s="3" t="b">
        <v>1</v>
      </c>
      <c r="I1519" s="3" t="s">
        <v>1089</v>
      </c>
      <c r="K1519" s="3" t="s">
        <v>1087</v>
      </c>
      <c r="L1519" s="3" t="s">
        <v>2102</v>
      </c>
    </row>
    <row r="1520" ht="15.75" customHeight="1">
      <c r="A1520" s="3" t="s">
        <v>3626</v>
      </c>
      <c r="B1520" s="12">
        <v>46126.0</v>
      </c>
      <c r="C1520" s="3" t="s">
        <v>76</v>
      </c>
      <c r="D1520" s="3" t="s">
        <v>955</v>
      </c>
      <c r="E1520" s="3" t="s">
        <v>2086</v>
      </c>
      <c r="F1520" s="3" t="s">
        <v>903</v>
      </c>
      <c r="G1520" s="3">
        <v>1.0</v>
      </c>
      <c r="H1520" s="3" t="b">
        <v>1</v>
      </c>
      <c r="I1520" s="3" t="s">
        <v>1089</v>
      </c>
      <c r="K1520" s="3" t="s">
        <v>1087</v>
      </c>
      <c r="L1520" s="3" t="s">
        <v>2102</v>
      </c>
    </row>
    <row r="1521" ht="15.75" customHeight="1">
      <c r="A1521" s="3" t="s">
        <v>3627</v>
      </c>
      <c r="B1521" s="12">
        <v>46126.0</v>
      </c>
      <c r="C1521" s="3" t="s">
        <v>76</v>
      </c>
      <c r="D1521" s="3" t="s">
        <v>923</v>
      </c>
      <c r="E1521" s="3" t="s">
        <v>2086</v>
      </c>
      <c r="F1521" s="3" t="s">
        <v>903</v>
      </c>
      <c r="G1521" s="3">
        <v>1.0</v>
      </c>
      <c r="H1521" s="3" t="b">
        <v>1</v>
      </c>
      <c r="I1521" s="3" t="s">
        <v>1089</v>
      </c>
      <c r="K1521" s="3" t="s">
        <v>1087</v>
      </c>
      <c r="L1521" s="3" t="s">
        <v>2102</v>
      </c>
    </row>
    <row r="1522" ht="15.75" customHeight="1">
      <c r="A1522" s="3" t="s">
        <v>3628</v>
      </c>
      <c r="B1522" s="12">
        <v>46126.0</v>
      </c>
      <c r="C1522" s="3" t="s">
        <v>101</v>
      </c>
      <c r="D1522" s="3" t="s">
        <v>923</v>
      </c>
      <c r="E1522" s="3" t="s">
        <v>2086</v>
      </c>
      <c r="F1522" s="3" t="s">
        <v>903</v>
      </c>
      <c r="G1522" s="3">
        <v>1.0</v>
      </c>
      <c r="H1522" s="3" t="b">
        <v>1</v>
      </c>
      <c r="I1522" s="3" t="s">
        <v>1085</v>
      </c>
      <c r="K1522" s="3" t="s">
        <v>1087</v>
      </c>
      <c r="L1522" s="3" t="s">
        <v>2102</v>
      </c>
    </row>
    <row r="1523" ht="15.75" customHeight="1">
      <c r="A1523" s="3"/>
      <c r="B1523" s="12"/>
      <c r="C1523" s="3"/>
      <c r="D1523" s="3"/>
      <c r="E1523" s="3"/>
      <c r="F1523" s="3"/>
      <c r="G1523" s="3"/>
      <c r="H1523" s="3"/>
      <c r="L1523" s="3"/>
    </row>
    <row r="1524" ht="15.75" customHeight="1">
      <c r="A1524" s="3"/>
      <c r="B1524" s="12"/>
      <c r="C1524" s="3"/>
      <c r="D1524" s="3"/>
      <c r="E1524" s="3"/>
      <c r="F1524" s="3"/>
      <c r="G1524" s="3"/>
      <c r="H1524" s="3"/>
      <c r="L1524" s="3"/>
    </row>
    <row r="1525" ht="15.75" customHeight="1">
      <c r="A1525" s="3"/>
      <c r="B1525" s="12"/>
      <c r="C1525" s="3"/>
      <c r="D1525" s="3"/>
      <c r="E1525" s="3"/>
      <c r="F1525" s="3"/>
      <c r="G1525" s="3"/>
      <c r="H1525" s="3"/>
      <c r="L1525" s="3"/>
    </row>
    <row r="1526" ht="15.75" customHeight="1">
      <c r="A1526" s="3"/>
      <c r="B1526" s="12"/>
      <c r="C1526" s="3"/>
      <c r="D1526" s="3"/>
      <c r="E1526" s="3"/>
      <c r="F1526" s="3"/>
      <c r="G1526" s="3"/>
      <c r="H1526" s="3"/>
      <c r="L1526" s="3"/>
    </row>
    <row r="1527" ht="15.75" customHeight="1">
      <c r="A1527" s="3"/>
      <c r="B1527" s="12"/>
      <c r="C1527" s="3"/>
      <c r="D1527" s="3"/>
      <c r="E1527" s="3"/>
      <c r="F1527" s="3"/>
      <c r="G1527" s="3"/>
      <c r="H1527" s="3"/>
      <c r="L1527" s="3"/>
    </row>
    <row r="1528" ht="15.75" customHeight="1">
      <c r="A1528" s="3"/>
      <c r="B1528" s="12"/>
      <c r="C1528" s="3"/>
      <c r="D1528" s="3"/>
      <c r="E1528" s="3"/>
      <c r="F1528" s="3"/>
      <c r="G1528" s="3"/>
      <c r="H1528" s="3"/>
      <c r="L1528" s="3"/>
    </row>
    <row r="1529" ht="15.75" customHeight="1">
      <c r="A1529" s="3"/>
      <c r="B1529" s="12"/>
      <c r="C1529" s="3"/>
      <c r="D1529" s="3"/>
      <c r="E1529" s="3"/>
      <c r="F1529" s="3"/>
      <c r="G1529" s="3"/>
      <c r="H1529" s="3"/>
      <c r="L1529" s="3"/>
    </row>
    <row r="1530" ht="15.75" customHeight="1">
      <c r="A1530" s="3"/>
      <c r="B1530" s="12"/>
      <c r="C1530" s="3"/>
      <c r="D1530" s="3"/>
      <c r="E1530" s="3"/>
      <c r="F1530" s="3"/>
      <c r="G1530" s="3"/>
      <c r="H1530" s="3"/>
      <c r="L1530" s="3"/>
    </row>
    <row r="1531" ht="15.75" customHeight="1">
      <c r="A1531" s="3"/>
      <c r="B1531" s="12"/>
      <c r="C1531" s="3"/>
      <c r="D1531" s="3"/>
      <c r="E1531" s="3"/>
      <c r="F1531" s="3"/>
      <c r="G1531" s="3"/>
      <c r="H1531" s="3"/>
      <c r="L1531" s="3"/>
    </row>
    <row r="1532" ht="15.75" customHeight="1">
      <c r="A1532" s="3"/>
      <c r="B1532" s="12"/>
      <c r="C1532" s="3"/>
      <c r="D1532" s="3"/>
      <c r="E1532" s="3"/>
      <c r="F1532" s="3"/>
      <c r="G1532" s="3"/>
      <c r="H1532" s="3"/>
      <c r="L1532" s="3"/>
    </row>
    <row r="1533" ht="15.75" customHeight="1">
      <c r="A1533" s="3"/>
      <c r="B1533" s="12"/>
      <c r="C1533" s="3"/>
      <c r="D1533" s="3"/>
      <c r="E1533" s="3"/>
      <c r="F1533" s="3"/>
      <c r="G1533" s="3"/>
      <c r="H1533" s="3"/>
      <c r="L1533" s="3"/>
    </row>
    <row r="1534" ht="15.75" customHeight="1">
      <c r="A1534" s="3"/>
      <c r="B1534" s="12"/>
      <c r="C1534" s="3"/>
      <c r="D1534" s="3"/>
      <c r="E1534" s="3"/>
      <c r="F1534" s="3"/>
      <c r="G1534" s="3"/>
      <c r="H1534" s="3"/>
      <c r="L1534" s="3"/>
    </row>
    <row r="1535" ht="15.75" customHeight="1">
      <c r="A1535" s="3"/>
      <c r="B1535" s="12"/>
      <c r="C1535" s="3"/>
      <c r="D1535" s="3"/>
      <c r="E1535" s="3"/>
      <c r="F1535" s="3"/>
      <c r="G1535" s="3"/>
      <c r="H1535" s="3"/>
      <c r="L1535" s="3"/>
    </row>
    <row r="1536" ht="15.75" customHeight="1">
      <c r="A1536" s="3"/>
      <c r="B1536" s="12"/>
      <c r="C1536" s="3"/>
      <c r="D1536" s="3"/>
      <c r="E1536" s="3"/>
      <c r="F1536" s="3"/>
      <c r="G1536" s="3"/>
      <c r="H1536" s="3"/>
      <c r="L1536" s="3"/>
    </row>
    <row r="1537" ht="15.75" customHeight="1">
      <c r="A1537" s="3"/>
      <c r="B1537" s="12"/>
      <c r="C1537" s="3"/>
      <c r="D1537" s="3"/>
      <c r="E1537" s="3"/>
      <c r="F1537" s="3"/>
      <c r="G1537" s="3"/>
      <c r="H1537" s="3"/>
      <c r="L1537" s="3"/>
    </row>
    <row r="1538" ht="15.75" customHeight="1">
      <c r="A1538" s="3"/>
      <c r="B1538" s="12"/>
      <c r="C1538" s="3"/>
      <c r="D1538" s="3"/>
      <c r="E1538" s="3"/>
      <c r="F1538" s="3"/>
      <c r="G1538" s="3"/>
      <c r="H1538" s="3"/>
      <c r="L1538" s="3"/>
    </row>
    <row r="1539" ht="15.75" customHeight="1">
      <c r="A1539" s="3"/>
      <c r="B1539" s="12"/>
      <c r="C1539" s="3"/>
      <c r="D1539" s="3"/>
      <c r="E1539" s="3"/>
      <c r="F1539" s="3"/>
      <c r="G1539" s="3"/>
      <c r="H1539" s="3"/>
      <c r="L1539" s="3"/>
    </row>
    <row r="1540" ht="15.75" customHeight="1">
      <c r="A1540" s="3"/>
      <c r="B1540" s="12"/>
      <c r="C1540" s="3"/>
      <c r="D1540" s="3"/>
      <c r="E1540" s="3"/>
      <c r="F1540" s="3"/>
      <c r="G1540" s="3"/>
      <c r="H1540" s="3"/>
      <c r="L1540" s="3"/>
    </row>
    <row r="1541" ht="15.75" customHeight="1">
      <c r="A1541" s="3"/>
      <c r="B1541" s="12"/>
      <c r="C1541" s="3"/>
      <c r="D1541" s="3"/>
      <c r="E1541" s="3"/>
      <c r="F1541" s="3"/>
      <c r="G1541" s="3"/>
      <c r="H1541" s="3"/>
      <c r="L1541" s="3"/>
    </row>
    <row r="1542" ht="15.75" customHeight="1">
      <c r="A1542" s="3"/>
      <c r="B1542" s="12"/>
      <c r="C1542" s="3"/>
      <c r="D1542" s="3"/>
      <c r="E1542" s="3"/>
      <c r="F1542" s="3"/>
      <c r="G1542" s="3"/>
      <c r="H1542" s="3"/>
      <c r="L1542" s="3"/>
    </row>
    <row r="1543" ht="15.75" customHeight="1">
      <c r="A1543" s="3"/>
      <c r="B1543" s="12"/>
      <c r="C1543" s="3"/>
      <c r="D1543" s="3"/>
      <c r="E1543" s="3"/>
      <c r="F1543" s="3"/>
      <c r="G1543" s="3"/>
      <c r="H1543" s="3"/>
      <c r="L1543" s="3"/>
    </row>
    <row r="1544" ht="15.75" customHeight="1">
      <c r="A1544" s="3"/>
      <c r="B1544" s="12"/>
      <c r="C1544" s="3"/>
      <c r="D1544" s="3"/>
      <c r="E1544" s="3"/>
      <c r="F1544" s="3"/>
      <c r="G1544" s="3"/>
      <c r="H1544" s="3"/>
      <c r="L1544" s="3"/>
    </row>
    <row r="1545" ht="15.75" customHeight="1">
      <c r="A1545" s="3"/>
      <c r="B1545" s="12"/>
      <c r="C1545" s="3"/>
      <c r="D1545" s="3"/>
      <c r="E1545" s="3"/>
      <c r="F1545" s="3"/>
      <c r="G1545" s="3"/>
      <c r="H1545" s="3"/>
      <c r="L1545" s="3"/>
    </row>
    <row r="1546" ht="15.75" customHeight="1">
      <c r="A1546" s="3"/>
      <c r="B1546" s="12"/>
      <c r="C1546" s="3"/>
      <c r="D1546" s="3"/>
      <c r="E1546" s="3"/>
      <c r="F1546" s="3"/>
      <c r="G1546" s="3"/>
      <c r="H1546" s="3"/>
      <c r="L1546" s="3"/>
    </row>
    <row r="1547" ht="15.75" customHeight="1">
      <c r="A1547" s="3"/>
      <c r="B1547" s="12"/>
      <c r="C1547" s="3"/>
      <c r="D1547" s="3"/>
      <c r="E1547" s="3"/>
      <c r="F1547" s="3"/>
      <c r="G1547" s="3"/>
      <c r="H1547" s="3"/>
      <c r="L1547" s="3"/>
    </row>
    <row r="1548" ht="15.75" customHeight="1">
      <c r="A1548" s="3"/>
      <c r="B1548" s="12"/>
      <c r="C1548" s="3"/>
      <c r="D1548" s="3"/>
      <c r="E1548" s="3"/>
      <c r="F1548" s="3"/>
      <c r="G1548" s="3"/>
      <c r="H1548" s="3"/>
      <c r="L1548" s="3"/>
    </row>
    <row r="1549" ht="15.75" customHeight="1">
      <c r="A1549" s="3"/>
      <c r="B1549" s="12"/>
      <c r="C1549" s="3"/>
      <c r="D1549" s="3"/>
      <c r="E1549" s="3"/>
      <c r="F1549" s="3"/>
      <c r="G1549" s="3"/>
      <c r="H1549" s="3"/>
      <c r="L1549" s="3"/>
    </row>
    <row r="1550" ht="15.75" customHeight="1">
      <c r="A1550" s="3"/>
      <c r="B1550" s="12"/>
      <c r="C1550" s="3"/>
      <c r="D1550" s="3"/>
      <c r="E1550" s="3"/>
      <c r="F1550" s="3"/>
      <c r="G1550" s="3"/>
      <c r="H1550" s="3"/>
      <c r="L1550" s="3"/>
    </row>
    <row r="1551" ht="15.75" customHeight="1">
      <c r="A1551" s="3"/>
      <c r="B1551" s="12"/>
      <c r="C1551" s="3"/>
      <c r="D1551" s="3"/>
      <c r="E1551" s="3"/>
      <c r="F1551" s="3"/>
      <c r="G1551" s="3"/>
      <c r="H1551" s="3"/>
      <c r="L1551" s="3"/>
    </row>
    <row r="1552" ht="15.75" customHeight="1">
      <c r="A1552" s="3"/>
      <c r="B1552" s="12"/>
      <c r="C1552" s="3"/>
      <c r="D1552" s="3"/>
      <c r="E1552" s="3"/>
      <c r="F1552" s="3"/>
      <c r="G1552" s="3"/>
      <c r="H1552" s="3"/>
      <c r="L1552" s="3"/>
    </row>
    <row r="1553" ht="15.75" customHeight="1">
      <c r="A1553" s="3"/>
      <c r="B1553" s="12"/>
      <c r="C1553" s="3"/>
      <c r="D1553" s="3"/>
      <c r="E1553" s="3"/>
      <c r="F1553" s="3"/>
      <c r="G1553" s="3"/>
      <c r="H1553" s="3"/>
      <c r="L1553" s="3"/>
    </row>
    <row r="1554" ht="15.75" customHeight="1">
      <c r="A1554" s="3"/>
      <c r="B1554" s="12"/>
      <c r="C1554" s="3"/>
      <c r="D1554" s="3"/>
      <c r="E1554" s="3"/>
      <c r="F1554" s="3"/>
      <c r="G1554" s="3"/>
      <c r="H1554" s="3"/>
      <c r="L1554" s="3"/>
    </row>
    <row r="1555" ht="15.75" customHeight="1">
      <c r="A1555" s="3"/>
      <c r="B1555" s="12"/>
      <c r="C1555" s="3"/>
      <c r="D1555" s="3"/>
      <c r="E1555" s="3"/>
      <c r="F1555" s="3"/>
      <c r="G1555" s="3"/>
      <c r="H1555" s="3"/>
      <c r="L1555" s="3"/>
    </row>
    <row r="1556" ht="15.75" customHeight="1">
      <c r="A1556" s="3"/>
      <c r="B1556" s="12"/>
      <c r="C1556" s="3"/>
      <c r="D1556" s="3"/>
      <c r="E1556" s="3"/>
      <c r="F1556" s="3"/>
      <c r="G1556" s="3"/>
      <c r="H1556" s="3"/>
      <c r="L1556" s="3"/>
    </row>
    <row r="1557" ht="15.75" customHeight="1">
      <c r="A1557" s="3"/>
      <c r="B1557" s="12"/>
      <c r="C1557" s="3"/>
      <c r="D1557" s="3"/>
      <c r="E1557" s="3"/>
      <c r="F1557" s="3"/>
      <c r="G1557" s="3"/>
      <c r="H1557" s="3"/>
      <c r="L1557" s="3"/>
    </row>
    <row r="1558" ht="15.75" customHeight="1">
      <c r="A1558" s="3"/>
      <c r="B1558" s="12"/>
      <c r="C1558" s="3"/>
      <c r="D1558" s="3"/>
      <c r="E1558" s="3"/>
      <c r="F1558" s="3"/>
      <c r="G1558" s="3"/>
      <c r="H1558" s="3"/>
      <c r="L1558" s="3"/>
    </row>
    <row r="1559" ht="15.75" customHeight="1">
      <c r="A1559" s="3"/>
      <c r="B1559" s="12"/>
      <c r="C1559" s="3"/>
      <c r="D1559" s="3"/>
      <c r="E1559" s="3"/>
      <c r="F1559" s="3"/>
      <c r="G1559" s="3"/>
      <c r="H1559" s="3"/>
      <c r="L1559" s="3"/>
    </row>
    <row r="1560" ht="15.75" customHeight="1">
      <c r="A1560" s="3"/>
      <c r="B1560" s="12"/>
      <c r="C1560" s="3"/>
      <c r="D1560" s="3"/>
      <c r="E1560" s="3"/>
      <c r="F1560" s="3"/>
      <c r="G1560" s="3"/>
      <c r="H1560" s="3"/>
      <c r="L1560" s="3"/>
    </row>
    <row r="1561" ht="15.75" customHeight="1">
      <c r="A1561" s="3"/>
      <c r="B1561" s="12"/>
      <c r="C1561" s="3"/>
      <c r="D1561" s="3"/>
      <c r="E1561" s="3"/>
      <c r="F1561" s="3"/>
      <c r="G1561" s="3"/>
      <c r="H1561" s="3"/>
      <c r="L1561" s="3"/>
    </row>
    <row r="1562" ht="15.75" customHeight="1">
      <c r="A1562" s="3"/>
      <c r="B1562" s="12"/>
      <c r="C1562" s="3"/>
      <c r="D1562" s="3"/>
      <c r="E1562" s="3"/>
      <c r="F1562" s="3"/>
      <c r="G1562" s="3"/>
      <c r="H1562" s="3"/>
      <c r="L1562" s="3"/>
    </row>
    <row r="1563" ht="15.75" customHeight="1">
      <c r="A1563" s="3"/>
      <c r="B1563" s="12"/>
      <c r="C1563" s="3"/>
      <c r="D1563" s="3"/>
      <c r="E1563" s="3"/>
      <c r="F1563" s="3"/>
      <c r="G1563" s="3"/>
      <c r="H1563" s="3"/>
      <c r="L1563" s="3"/>
    </row>
    <row r="1564" ht="15.75" customHeight="1">
      <c r="A1564" s="3"/>
      <c r="B1564" s="12"/>
      <c r="C1564" s="3"/>
      <c r="D1564" s="3"/>
      <c r="E1564" s="3"/>
      <c r="F1564" s="3"/>
      <c r="G1564" s="3"/>
      <c r="H1564" s="3"/>
      <c r="L1564" s="3"/>
    </row>
    <row r="1565" ht="15.75" customHeight="1">
      <c r="A1565" s="3"/>
      <c r="B1565" s="12"/>
      <c r="C1565" s="3"/>
      <c r="D1565" s="3"/>
      <c r="E1565" s="3"/>
      <c r="F1565" s="3"/>
      <c r="G1565" s="3"/>
      <c r="H1565" s="3"/>
      <c r="L1565" s="3"/>
    </row>
    <row r="1566" ht="15.75" customHeight="1">
      <c r="A1566" s="3"/>
      <c r="B1566" s="12"/>
      <c r="C1566" s="3"/>
      <c r="D1566" s="3"/>
      <c r="E1566" s="3"/>
      <c r="F1566" s="3"/>
      <c r="G1566" s="3"/>
      <c r="H1566" s="3"/>
      <c r="L1566" s="3"/>
    </row>
    <row r="1567" ht="15.75" customHeight="1">
      <c r="A1567" s="3"/>
      <c r="B1567" s="12"/>
      <c r="C1567" s="3"/>
      <c r="D1567" s="3"/>
      <c r="E1567" s="3"/>
      <c r="F1567" s="3"/>
      <c r="G1567" s="3"/>
      <c r="H1567" s="3"/>
      <c r="L1567" s="3"/>
    </row>
    <row r="1568" ht="15.75" customHeight="1">
      <c r="A1568" s="3"/>
      <c r="B1568" s="12"/>
      <c r="C1568" s="3"/>
      <c r="D1568" s="3"/>
      <c r="E1568" s="3"/>
      <c r="F1568" s="3"/>
      <c r="G1568" s="3"/>
      <c r="H1568" s="3"/>
      <c r="L1568" s="3"/>
    </row>
    <row r="1569" ht="15.75" customHeight="1">
      <c r="A1569" s="3"/>
      <c r="B1569" s="12"/>
      <c r="C1569" s="3"/>
      <c r="D1569" s="3"/>
      <c r="E1569" s="3"/>
      <c r="F1569" s="3"/>
      <c r="G1569" s="3"/>
      <c r="H1569" s="3"/>
      <c r="L1569" s="3"/>
    </row>
    <row r="1570" ht="15.75" customHeight="1">
      <c r="A1570" s="3"/>
      <c r="B1570" s="12"/>
      <c r="C1570" s="3"/>
      <c r="D1570" s="3"/>
      <c r="E1570" s="3"/>
      <c r="F1570" s="3"/>
      <c r="G1570" s="3"/>
      <c r="H1570" s="3"/>
      <c r="L1570" s="3"/>
    </row>
    <row r="1571" ht="15.75" customHeight="1">
      <c r="A1571" s="3"/>
      <c r="B1571" s="12"/>
      <c r="C1571" s="3"/>
      <c r="D1571" s="3"/>
      <c r="E1571" s="3"/>
      <c r="F1571" s="3"/>
      <c r="G1571" s="3"/>
      <c r="H1571" s="3"/>
      <c r="L1571" s="3"/>
    </row>
    <row r="1572" ht="15.75" customHeight="1">
      <c r="A1572" s="3"/>
      <c r="B1572" s="12"/>
      <c r="C1572" s="3"/>
      <c r="D1572" s="3"/>
      <c r="E1572" s="3"/>
      <c r="F1572" s="3"/>
      <c r="G1572" s="3"/>
      <c r="H1572" s="3"/>
      <c r="L1572" s="3"/>
    </row>
    <row r="1573" ht="15.75" customHeight="1">
      <c r="A1573" s="3"/>
      <c r="B1573" s="12"/>
      <c r="C1573" s="3"/>
      <c r="D1573" s="3"/>
      <c r="E1573" s="3"/>
      <c r="F1573" s="3"/>
      <c r="G1573" s="3"/>
      <c r="H1573" s="3"/>
      <c r="L1573" s="3"/>
    </row>
    <row r="1574" ht="15.75" customHeight="1">
      <c r="A1574" s="3"/>
      <c r="B1574" s="12"/>
      <c r="C1574" s="3"/>
      <c r="D1574" s="3"/>
      <c r="E1574" s="3"/>
      <c r="F1574" s="3"/>
      <c r="G1574" s="3"/>
      <c r="H1574" s="3"/>
      <c r="L1574" s="3"/>
    </row>
    <row r="1575" ht="15.75" customHeight="1">
      <c r="A1575" s="3"/>
      <c r="B1575" s="12"/>
      <c r="C1575" s="3"/>
      <c r="D1575" s="3"/>
      <c r="E1575" s="3"/>
      <c r="F1575" s="3"/>
      <c r="G1575" s="3"/>
      <c r="H1575" s="3"/>
      <c r="L1575" s="3"/>
    </row>
    <row r="1576" ht="15.75" customHeight="1">
      <c r="A1576" s="3"/>
      <c r="B1576" s="12"/>
      <c r="C1576" s="3"/>
      <c r="D1576" s="3"/>
      <c r="E1576" s="3"/>
      <c r="F1576" s="3"/>
      <c r="G1576" s="3"/>
      <c r="H1576" s="3"/>
      <c r="L1576" s="3"/>
    </row>
    <row r="1577" ht="15.75" customHeight="1">
      <c r="A1577" s="3"/>
      <c r="B1577" s="12"/>
      <c r="C1577" s="3"/>
      <c r="D1577" s="3"/>
      <c r="E1577" s="3"/>
      <c r="F1577" s="3"/>
      <c r="G1577" s="3"/>
      <c r="H1577" s="3"/>
      <c r="L1577" s="3"/>
    </row>
    <row r="1578" ht="15.75" customHeight="1">
      <c r="A1578" s="3"/>
      <c r="B1578" s="12"/>
      <c r="C1578" s="3"/>
      <c r="D1578" s="3"/>
      <c r="E1578" s="3"/>
      <c r="F1578" s="3"/>
      <c r="G1578" s="3"/>
      <c r="H1578" s="3"/>
      <c r="L1578" s="3"/>
    </row>
    <row r="1579" ht="15.75" customHeight="1">
      <c r="A1579" s="3"/>
      <c r="B1579" s="12"/>
      <c r="C1579" s="3"/>
      <c r="D1579" s="3"/>
      <c r="E1579" s="3"/>
      <c r="F1579" s="3"/>
      <c r="G1579" s="3"/>
      <c r="H1579" s="3"/>
      <c r="L1579" s="3"/>
    </row>
    <row r="1580" ht="15.75" customHeight="1">
      <c r="A1580" s="3"/>
      <c r="B1580" s="12"/>
      <c r="C1580" s="3"/>
      <c r="D1580" s="3"/>
      <c r="E1580" s="3"/>
      <c r="F1580" s="3"/>
      <c r="G1580" s="3"/>
      <c r="H1580" s="3"/>
      <c r="L1580" s="3"/>
    </row>
    <row r="1581" ht="15.75" customHeight="1">
      <c r="A1581" s="3"/>
      <c r="B1581" s="12"/>
      <c r="C1581" s="3"/>
      <c r="D1581" s="3"/>
      <c r="E1581" s="3"/>
      <c r="F1581" s="3"/>
      <c r="G1581" s="3"/>
      <c r="H1581" s="3"/>
      <c r="L1581" s="3"/>
    </row>
    <row r="1582" ht="15.75" customHeight="1">
      <c r="A1582" s="3"/>
      <c r="B1582" s="12"/>
      <c r="C1582" s="3"/>
      <c r="D1582" s="3"/>
      <c r="E1582" s="3"/>
      <c r="F1582" s="3"/>
      <c r="G1582" s="3"/>
      <c r="H1582" s="3"/>
      <c r="L1582" s="3"/>
    </row>
    <row r="1583" ht="15.75" customHeight="1">
      <c r="A1583" s="3"/>
      <c r="B1583" s="12"/>
      <c r="C1583" s="3"/>
      <c r="D1583" s="3"/>
      <c r="E1583" s="3"/>
      <c r="F1583" s="3"/>
      <c r="G1583" s="3"/>
      <c r="H1583" s="3"/>
      <c r="L1583" s="3"/>
    </row>
    <row r="1584" ht="15.75" customHeight="1">
      <c r="A1584" s="3"/>
      <c r="B1584" s="12"/>
      <c r="C1584" s="3"/>
      <c r="D1584" s="3"/>
      <c r="E1584" s="3"/>
      <c r="F1584" s="3"/>
      <c r="G1584" s="3"/>
      <c r="H1584" s="3"/>
      <c r="L1584" s="3"/>
    </row>
    <row r="1585" ht="15.75" customHeight="1">
      <c r="A1585" s="3"/>
      <c r="B1585" s="12"/>
      <c r="C1585" s="3"/>
      <c r="D1585" s="3"/>
      <c r="E1585" s="3"/>
      <c r="F1585" s="3"/>
      <c r="G1585" s="3"/>
      <c r="H1585" s="3"/>
      <c r="L1585" s="3"/>
    </row>
    <row r="1586" ht="15.75" customHeight="1">
      <c r="A1586" s="3"/>
      <c r="B1586" s="12"/>
      <c r="C1586" s="3"/>
      <c r="D1586" s="3"/>
      <c r="E1586" s="3"/>
      <c r="F1586" s="3"/>
      <c r="G1586" s="3"/>
      <c r="H1586" s="3"/>
      <c r="L1586" s="3"/>
    </row>
    <row r="1587" ht="15.75" customHeight="1">
      <c r="A1587" s="3"/>
      <c r="B1587" s="12"/>
      <c r="C1587" s="3"/>
      <c r="D1587" s="3"/>
      <c r="E1587" s="3"/>
      <c r="F1587" s="3"/>
      <c r="G1587" s="3"/>
      <c r="H1587" s="3"/>
      <c r="L1587" s="3"/>
    </row>
    <row r="1588" ht="15.75" customHeight="1">
      <c r="A1588" s="3"/>
      <c r="B1588" s="12"/>
      <c r="C1588" s="3"/>
      <c r="D1588" s="3"/>
      <c r="E1588" s="3"/>
      <c r="F1588" s="3"/>
      <c r="G1588" s="3"/>
      <c r="H1588" s="3"/>
      <c r="L1588" s="3"/>
    </row>
    <row r="1589" ht="15.75" customHeight="1">
      <c r="A1589" s="3"/>
      <c r="B1589" s="12"/>
      <c r="C1589" s="3"/>
      <c r="D1589" s="3"/>
      <c r="E1589" s="3"/>
      <c r="F1589" s="3"/>
      <c r="G1589" s="3"/>
      <c r="H1589" s="3"/>
      <c r="L1589" s="3"/>
    </row>
    <row r="1590" ht="15.75" customHeight="1">
      <c r="A1590" s="3"/>
      <c r="B1590" s="12"/>
      <c r="C1590" s="3"/>
      <c r="D1590" s="3"/>
      <c r="E1590" s="3"/>
      <c r="F1590" s="3"/>
      <c r="G1590" s="3"/>
      <c r="H1590" s="3"/>
      <c r="L1590" s="3"/>
    </row>
    <row r="1591" ht="15.75" customHeight="1">
      <c r="A1591" s="3"/>
      <c r="B1591" s="12"/>
      <c r="C1591" s="3"/>
      <c r="D1591" s="3"/>
      <c r="E1591" s="3"/>
      <c r="F1591" s="3"/>
      <c r="G1591" s="3"/>
      <c r="H1591" s="3"/>
      <c r="L1591" s="3"/>
    </row>
    <row r="1592" ht="15.75" customHeight="1">
      <c r="A1592" s="3"/>
      <c r="B1592" s="12"/>
      <c r="C1592" s="3"/>
      <c r="D1592" s="3"/>
      <c r="E1592" s="3"/>
      <c r="F1592" s="3"/>
      <c r="G1592" s="3"/>
      <c r="H1592" s="3"/>
      <c r="L1592" s="3"/>
    </row>
    <row r="1593" ht="15.75" customHeight="1">
      <c r="A1593" s="3"/>
      <c r="B1593" s="12"/>
      <c r="C1593" s="3"/>
      <c r="D1593" s="3"/>
      <c r="E1593" s="3"/>
      <c r="F1593" s="3"/>
      <c r="G1593" s="3"/>
      <c r="H1593" s="3"/>
      <c r="L1593" s="3"/>
    </row>
    <row r="1594" ht="15.75" customHeight="1">
      <c r="A1594" s="3"/>
      <c r="B1594" s="12"/>
      <c r="C1594" s="3"/>
      <c r="D1594" s="3"/>
      <c r="E1594" s="3"/>
      <c r="F1594" s="3"/>
      <c r="G1594" s="3"/>
      <c r="H1594" s="3"/>
      <c r="L1594" s="3"/>
    </row>
    <row r="1595" ht="15.75" customHeight="1">
      <c r="A1595" s="3"/>
      <c r="B1595" s="12"/>
      <c r="C1595" s="3"/>
      <c r="D1595" s="3"/>
      <c r="E1595" s="3"/>
      <c r="F1595" s="3"/>
      <c r="G1595" s="3"/>
      <c r="H1595" s="3"/>
      <c r="L1595" s="3"/>
    </row>
    <row r="1596" ht="15.75" customHeight="1">
      <c r="A1596" s="3"/>
      <c r="B1596" s="12"/>
      <c r="C1596" s="3"/>
      <c r="D1596" s="3"/>
      <c r="E1596" s="3"/>
      <c r="F1596" s="3"/>
      <c r="G1596" s="3"/>
      <c r="H1596" s="3"/>
      <c r="L1596" s="3"/>
    </row>
    <row r="1597" ht="15.75" customHeight="1">
      <c r="A1597" s="3"/>
      <c r="B1597" s="12"/>
      <c r="C1597" s="3"/>
      <c r="D1597" s="3"/>
      <c r="E1597" s="3"/>
      <c r="F1597" s="3"/>
      <c r="G1597" s="3"/>
      <c r="H1597" s="3"/>
      <c r="L1597" s="3"/>
    </row>
    <row r="1598" ht="15.75" customHeight="1">
      <c r="A1598" s="3"/>
      <c r="B1598" s="12"/>
      <c r="C1598" s="3"/>
      <c r="D1598" s="3"/>
      <c r="E1598" s="3"/>
      <c r="F1598" s="3"/>
      <c r="G1598" s="3"/>
      <c r="H1598" s="3"/>
      <c r="L1598" s="3"/>
    </row>
    <row r="1599" ht="15.75" customHeight="1">
      <c r="A1599" s="3"/>
      <c r="B1599" s="12"/>
      <c r="C1599" s="3"/>
      <c r="D1599" s="3"/>
      <c r="E1599" s="3"/>
      <c r="F1599" s="3"/>
      <c r="G1599" s="3"/>
      <c r="H1599" s="3"/>
      <c r="L1599" s="3"/>
    </row>
    <row r="1600" ht="15.75" customHeight="1">
      <c r="A1600" s="3"/>
      <c r="B1600" s="12"/>
      <c r="C1600" s="3"/>
      <c r="D1600" s="3"/>
      <c r="E1600" s="3"/>
      <c r="F1600" s="3"/>
      <c r="G1600" s="3"/>
      <c r="H1600" s="3"/>
      <c r="L1600" s="3"/>
    </row>
    <row r="1601" ht="15.75" customHeight="1">
      <c r="A1601" s="3"/>
      <c r="B1601" s="12"/>
      <c r="C1601" s="3"/>
      <c r="D1601" s="3"/>
      <c r="E1601" s="3"/>
      <c r="F1601" s="3"/>
      <c r="G1601" s="3"/>
      <c r="H1601" s="3"/>
      <c r="L1601" s="3"/>
    </row>
    <row r="1602" ht="15.75" customHeight="1">
      <c r="A1602" s="3"/>
      <c r="B1602" s="12"/>
      <c r="C1602" s="3"/>
      <c r="D1602" s="3"/>
      <c r="E1602" s="3"/>
      <c r="F1602" s="3"/>
      <c r="G1602" s="3"/>
      <c r="H1602" s="3"/>
      <c r="L1602" s="3"/>
    </row>
    <row r="1603" ht="15.75" customHeight="1">
      <c r="A1603" s="3"/>
      <c r="B1603" s="12"/>
      <c r="C1603" s="3"/>
      <c r="D1603" s="3"/>
      <c r="E1603" s="3"/>
      <c r="F1603" s="3"/>
      <c r="G1603" s="3"/>
      <c r="H1603" s="3"/>
      <c r="L1603" s="3"/>
    </row>
    <row r="1604" ht="15.75" customHeight="1">
      <c r="A1604" s="3"/>
      <c r="B1604" s="12"/>
      <c r="C1604" s="3"/>
      <c r="D1604" s="3"/>
      <c r="E1604" s="3"/>
      <c r="F1604" s="3"/>
      <c r="G1604" s="3"/>
      <c r="H1604" s="3"/>
      <c r="L1604" s="3"/>
    </row>
    <row r="1605" ht="15.75" customHeight="1">
      <c r="A1605" s="3"/>
      <c r="B1605" s="12"/>
      <c r="C1605" s="3"/>
      <c r="D1605" s="3"/>
      <c r="E1605" s="3"/>
      <c r="F1605" s="3"/>
      <c r="G1605" s="3"/>
      <c r="H1605" s="3"/>
      <c r="L1605" s="3"/>
    </row>
    <row r="1606" ht="15.75" customHeight="1">
      <c r="A1606" s="3"/>
      <c r="B1606" s="12"/>
      <c r="C1606" s="3"/>
      <c r="D1606" s="3"/>
      <c r="E1606" s="3"/>
      <c r="F1606" s="3"/>
      <c r="G1606" s="3"/>
      <c r="H1606" s="3"/>
      <c r="L1606" s="3"/>
    </row>
    <row r="1607" ht="15.75" customHeight="1">
      <c r="A1607" s="3"/>
      <c r="B1607" s="12"/>
      <c r="C1607" s="3"/>
      <c r="D1607" s="3"/>
      <c r="E1607" s="3"/>
      <c r="F1607" s="3"/>
      <c r="G1607" s="3"/>
      <c r="H1607" s="3"/>
      <c r="L1607" s="3"/>
    </row>
    <row r="1608" ht="15.75" customHeight="1">
      <c r="A1608" s="3"/>
      <c r="B1608" s="12"/>
      <c r="C1608" s="3"/>
      <c r="D1608" s="3"/>
      <c r="E1608" s="3"/>
      <c r="F1608" s="3"/>
      <c r="G1608" s="3"/>
      <c r="H1608" s="3"/>
      <c r="L1608" s="3"/>
    </row>
    <row r="1609" ht="15.75" customHeight="1">
      <c r="A1609" s="3"/>
      <c r="B1609" s="12"/>
      <c r="C1609" s="3"/>
      <c r="D1609" s="3"/>
      <c r="E1609" s="3"/>
      <c r="F1609" s="3"/>
      <c r="G1609" s="3"/>
      <c r="H1609" s="3"/>
      <c r="L1609" s="3"/>
    </row>
    <row r="1610" ht="15.75" customHeight="1">
      <c r="A1610" s="3"/>
      <c r="B1610" s="12"/>
      <c r="C1610" s="3"/>
      <c r="D1610" s="3"/>
      <c r="E1610" s="3"/>
      <c r="F1610" s="3"/>
      <c r="G1610" s="3"/>
      <c r="H1610" s="3"/>
      <c r="L1610" s="3"/>
    </row>
    <row r="1611" ht="15.75" customHeight="1">
      <c r="A1611" s="3"/>
      <c r="B1611" s="12"/>
      <c r="C1611" s="3"/>
      <c r="D1611" s="3"/>
      <c r="E1611" s="3"/>
      <c r="F1611" s="3"/>
      <c r="G1611" s="3"/>
      <c r="H1611" s="3"/>
      <c r="L1611" s="3"/>
    </row>
    <row r="1612" ht="15.75" customHeight="1">
      <c r="A1612" s="3"/>
      <c r="B1612" s="12"/>
      <c r="C1612" s="3"/>
      <c r="D1612" s="3"/>
      <c r="E1612" s="3"/>
      <c r="F1612" s="3"/>
      <c r="G1612" s="3"/>
      <c r="H1612" s="3"/>
      <c r="L1612" s="3"/>
    </row>
    <row r="1613" ht="15.75" customHeight="1">
      <c r="A1613" s="3"/>
      <c r="B1613" s="12"/>
      <c r="C1613" s="3"/>
      <c r="D1613" s="3"/>
      <c r="E1613" s="3"/>
      <c r="F1613" s="3"/>
      <c r="G1613" s="3"/>
      <c r="H1613" s="3"/>
      <c r="L1613" s="3"/>
    </row>
    <row r="1614" ht="15.75" customHeight="1">
      <c r="A1614" s="3"/>
      <c r="B1614" s="12"/>
      <c r="C1614" s="3"/>
      <c r="D1614" s="3"/>
      <c r="E1614" s="3"/>
      <c r="F1614" s="3"/>
      <c r="G1614" s="3"/>
      <c r="H1614" s="3"/>
      <c r="L1614" s="3"/>
    </row>
    <row r="1615" ht="15.75" customHeight="1">
      <c r="A1615" s="3"/>
      <c r="B1615" s="12"/>
      <c r="C1615" s="3"/>
      <c r="D1615" s="3"/>
      <c r="E1615" s="3"/>
      <c r="F1615" s="3"/>
      <c r="G1615" s="3"/>
      <c r="H1615" s="3"/>
      <c r="L1615" s="3"/>
    </row>
    <row r="1616" ht="15.75" customHeight="1">
      <c r="A1616" s="3"/>
      <c r="B1616" s="12"/>
      <c r="C1616" s="3"/>
      <c r="D1616" s="3"/>
      <c r="E1616" s="3"/>
      <c r="F1616" s="3"/>
      <c r="G1616" s="3"/>
      <c r="H1616" s="3"/>
      <c r="L1616" s="3"/>
    </row>
    <row r="1617" ht="15.75" customHeight="1">
      <c r="A1617" s="3"/>
      <c r="B1617" s="12"/>
      <c r="C1617" s="3"/>
      <c r="D1617" s="3"/>
      <c r="E1617" s="3"/>
      <c r="F1617" s="3"/>
      <c r="G1617" s="3"/>
      <c r="H1617" s="3"/>
      <c r="L1617" s="3"/>
    </row>
    <row r="1618" ht="15.75" customHeight="1">
      <c r="A1618" s="3"/>
      <c r="B1618" s="12"/>
      <c r="C1618" s="3"/>
      <c r="D1618" s="3"/>
      <c r="E1618" s="3"/>
      <c r="F1618" s="3"/>
      <c r="G1618" s="3"/>
      <c r="H1618" s="3"/>
      <c r="L1618" s="3"/>
    </row>
    <row r="1619" ht="15.75" customHeight="1">
      <c r="A1619" s="3"/>
      <c r="B1619" s="12"/>
      <c r="C1619" s="3"/>
      <c r="D1619" s="3"/>
      <c r="E1619" s="3"/>
      <c r="F1619" s="3"/>
      <c r="G1619" s="3"/>
      <c r="H1619" s="3"/>
      <c r="L1619" s="3"/>
    </row>
    <row r="1620" ht="15.75" customHeight="1">
      <c r="A1620" s="3"/>
      <c r="B1620" s="12"/>
      <c r="C1620" s="3"/>
      <c r="D1620" s="3"/>
      <c r="E1620" s="3"/>
      <c r="F1620" s="3"/>
      <c r="G1620" s="3"/>
      <c r="H1620" s="3"/>
      <c r="L1620" s="3"/>
    </row>
    <row r="1621" ht="15.75" customHeight="1">
      <c r="A1621" s="3"/>
      <c r="B1621" s="12"/>
      <c r="C1621" s="3"/>
      <c r="D1621" s="3"/>
      <c r="E1621" s="3"/>
      <c r="F1621" s="3"/>
      <c r="G1621" s="3"/>
      <c r="H1621" s="3"/>
      <c r="L1621" s="3"/>
    </row>
    <row r="1622" ht="15.75" customHeight="1">
      <c r="A1622" s="3"/>
      <c r="B1622" s="12"/>
      <c r="C1622" s="3"/>
      <c r="D1622" s="3"/>
      <c r="E1622" s="3"/>
      <c r="F1622" s="3"/>
      <c r="G1622" s="3"/>
      <c r="H1622" s="3"/>
      <c r="L1622" s="3"/>
    </row>
    <row r="1623" ht="15.75" customHeight="1">
      <c r="A1623" s="3"/>
      <c r="B1623" s="12"/>
      <c r="C1623" s="3"/>
      <c r="D1623" s="3"/>
      <c r="E1623" s="3"/>
      <c r="F1623" s="3"/>
      <c r="G1623" s="3"/>
      <c r="H1623" s="3"/>
      <c r="L1623" s="3"/>
    </row>
    <row r="1624" ht="15.75" customHeight="1">
      <c r="A1624" s="3"/>
      <c r="B1624" s="12"/>
      <c r="C1624" s="3"/>
      <c r="D1624" s="3"/>
      <c r="E1624" s="3"/>
      <c r="F1624" s="3"/>
      <c r="G1624" s="3"/>
      <c r="H1624" s="3"/>
      <c r="L1624" s="3"/>
    </row>
    <row r="1625" ht="15.75" customHeight="1">
      <c r="A1625" s="3"/>
      <c r="B1625" s="12"/>
      <c r="C1625" s="3"/>
      <c r="D1625" s="3"/>
      <c r="E1625" s="3"/>
      <c r="F1625" s="3"/>
      <c r="G1625" s="3"/>
      <c r="H1625" s="3"/>
      <c r="L1625" s="3"/>
    </row>
    <row r="1626" ht="15.75" customHeight="1">
      <c r="A1626" s="3"/>
      <c r="B1626" s="12"/>
      <c r="C1626" s="3"/>
      <c r="D1626" s="3"/>
      <c r="E1626" s="3"/>
      <c r="F1626" s="3"/>
      <c r="G1626" s="3"/>
      <c r="H1626" s="3"/>
      <c r="L1626" s="3"/>
    </row>
    <row r="1627" ht="15.75" customHeight="1">
      <c r="A1627" s="3"/>
      <c r="B1627" s="12"/>
      <c r="C1627" s="3"/>
      <c r="D1627" s="3"/>
      <c r="E1627" s="3"/>
      <c r="F1627" s="3"/>
      <c r="G1627" s="3"/>
      <c r="H1627" s="3"/>
      <c r="L1627" s="3"/>
    </row>
    <row r="1628" ht="15.75" customHeight="1">
      <c r="A1628" s="3"/>
      <c r="B1628" s="12"/>
      <c r="C1628" s="3"/>
      <c r="D1628" s="3"/>
      <c r="E1628" s="3"/>
      <c r="F1628" s="3"/>
      <c r="G1628" s="3"/>
      <c r="H1628" s="3"/>
      <c r="L1628" s="3"/>
    </row>
    <row r="1629" ht="15.75" customHeight="1">
      <c r="A1629" s="3"/>
      <c r="B1629" s="12"/>
      <c r="C1629" s="3"/>
      <c r="D1629" s="3"/>
      <c r="E1629" s="3"/>
      <c r="F1629" s="3"/>
      <c r="G1629" s="3"/>
      <c r="H1629" s="3"/>
      <c r="L1629" s="3"/>
    </row>
    <row r="1630" ht="15.75" customHeight="1">
      <c r="A1630" s="3"/>
      <c r="B1630" s="12"/>
      <c r="C1630" s="3"/>
      <c r="D1630" s="3"/>
      <c r="E1630" s="3"/>
      <c r="F1630" s="3"/>
      <c r="G1630" s="3"/>
      <c r="H1630" s="3"/>
      <c r="L1630" s="3"/>
    </row>
    <row r="1631" ht="15.75" customHeight="1">
      <c r="A1631" s="3"/>
      <c r="B1631" s="12"/>
      <c r="C1631" s="3"/>
      <c r="D1631" s="3"/>
      <c r="E1631" s="3"/>
      <c r="F1631" s="3"/>
      <c r="G1631" s="3"/>
      <c r="H1631" s="3"/>
      <c r="L1631" s="3"/>
    </row>
    <row r="1632" ht="15.75" customHeight="1">
      <c r="A1632" s="3"/>
      <c r="B1632" s="12"/>
      <c r="C1632" s="3"/>
      <c r="D1632" s="3"/>
      <c r="E1632" s="3"/>
      <c r="F1632" s="3"/>
      <c r="G1632" s="3"/>
      <c r="H1632" s="3"/>
      <c r="L1632" s="3"/>
    </row>
    <row r="1633" ht="15.75" customHeight="1">
      <c r="A1633" s="3"/>
      <c r="B1633" s="12"/>
      <c r="C1633" s="3"/>
      <c r="D1633" s="3"/>
      <c r="E1633" s="3"/>
      <c r="F1633" s="3"/>
      <c r="G1633" s="3"/>
      <c r="H1633" s="3"/>
      <c r="L1633" s="3"/>
    </row>
    <row r="1634" ht="15.75" customHeight="1">
      <c r="A1634" s="3"/>
      <c r="B1634" s="12"/>
      <c r="C1634" s="3"/>
      <c r="D1634" s="3"/>
      <c r="E1634" s="3"/>
      <c r="F1634" s="3"/>
      <c r="G1634" s="3"/>
      <c r="H1634" s="3"/>
      <c r="L1634" s="3"/>
    </row>
    <row r="1635" ht="15.75" customHeight="1">
      <c r="A1635" s="3"/>
      <c r="B1635" s="12"/>
      <c r="C1635" s="3"/>
      <c r="D1635" s="3"/>
      <c r="E1635" s="3"/>
      <c r="F1635" s="3"/>
      <c r="G1635" s="3"/>
      <c r="H1635" s="3"/>
      <c r="L1635" s="3"/>
    </row>
    <row r="1636" ht="15.75" customHeight="1">
      <c r="A1636" s="3"/>
      <c r="B1636" s="12"/>
      <c r="C1636" s="3"/>
      <c r="D1636" s="3"/>
      <c r="E1636" s="3"/>
      <c r="F1636" s="3"/>
      <c r="G1636" s="3"/>
      <c r="H1636" s="3"/>
      <c r="L1636" s="3"/>
    </row>
    <row r="1637" ht="15.75" customHeight="1">
      <c r="A1637" s="3"/>
      <c r="B1637" s="12"/>
      <c r="C1637" s="3"/>
      <c r="D1637" s="3"/>
      <c r="E1637" s="3"/>
      <c r="F1637" s="3"/>
      <c r="G1637" s="3"/>
      <c r="H1637" s="3"/>
      <c r="L1637" s="3"/>
    </row>
    <row r="1638" ht="15.75" customHeight="1">
      <c r="A1638" s="3"/>
      <c r="B1638" s="12"/>
      <c r="C1638" s="3"/>
      <c r="D1638" s="3"/>
      <c r="E1638" s="3"/>
      <c r="F1638" s="3"/>
      <c r="G1638" s="3"/>
      <c r="H1638" s="3"/>
      <c r="L1638" s="3"/>
    </row>
    <row r="1639" ht="15.75" customHeight="1">
      <c r="A1639" s="3"/>
      <c r="B1639" s="12"/>
      <c r="C1639" s="3"/>
      <c r="D1639" s="3"/>
      <c r="E1639" s="3"/>
      <c r="F1639" s="3"/>
      <c r="G1639" s="3"/>
      <c r="H1639" s="3"/>
      <c r="L1639" s="3"/>
    </row>
    <row r="1640" ht="15.75" customHeight="1">
      <c r="A1640" s="3"/>
      <c r="B1640" s="12"/>
      <c r="C1640" s="3"/>
      <c r="D1640" s="3"/>
      <c r="E1640" s="3"/>
      <c r="F1640" s="3"/>
      <c r="G1640" s="3"/>
      <c r="H1640" s="3"/>
      <c r="L1640" s="3"/>
    </row>
    <row r="1641" ht="15.75" customHeight="1">
      <c r="A1641" s="3"/>
      <c r="B1641" s="12"/>
      <c r="C1641" s="3"/>
      <c r="D1641" s="3"/>
      <c r="E1641" s="3"/>
      <c r="F1641" s="3"/>
      <c r="G1641" s="3"/>
      <c r="H1641" s="3"/>
      <c r="L1641" s="3"/>
    </row>
    <row r="1642" ht="15.75" customHeight="1">
      <c r="A1642" s="3"/>
      <c r="B1642" s="12"/>
      <c r="C1642" s="3"/>
      <c r="D1642" s="3"/>
      <c r="E1642" s="3"/>
      <c r="F1642" s="3"/>
      <c r="G1642" s="3"/>
      <c r="H1642" s="3"/>
      <c r="L1642" s="3"/>
    </row>
    <row r="1643" ht="15.75" customHeight="1">
      <c r="A1643" s="3"/>
      <c r="B1643" s="12"/>
      <c r="C1643" s="3"/>
      <c r="D1643" s="3"/>
      <c r="E1643" s="3"/>
      <c r="F1643" s="3"/>
      <c r="G1643" s="3"/>
      <c r="H1643" s="3"/>
      <c r="L1643" s="3"/>
    </row>
    <row r="1644" ht="15.75" customHeight="1">
      <c r="A1644" s="3"/>
      <c r="B1644" s="12"/>
      <c r="C1644" s="3"/>
      <c r="D1644" s="3"/>
      <c r="E1644" s="3"/>
      <c r="F1644" s="3"/>
      <c r="G1644" s="3"/>
      <c r="H1644" s="3"/>
      <c r="L1644" s="3"/>
    </row>
    <row r="1645" ht="15.75" customHeight="1">
      <c r="A1645" s="3"/>
      <c r="B1645" s="12"/>
      <c r="C1645" s="3"/>
      <c r="D1645" s="3"/>
      <c r="E1645" s="3"/>
      <c r="F1645" s="3"/>
      <c r="G1645" s="3"/>
      <c r="H1645" s="3"/>
      <c r="L1645" s="3"/>
    </row>
    <row r="1646" ht="15.75" customHeight="1">
      <c r="A1646" s="3"/>
      <c r="B1646" s="12"/>
      <c r="C1646" s="3"/>
      <c r="D1646" s="3"/>
      <c r="E1646" s="3"/>
      <c r="F1646" s="3"/>
      <c r="G1646" s="3"/>
      <c r="H1646" s="3"/>
      <c r="L1646" s="3"/>
    </row>
    <row r="1647" ht="15.75" customHeight="1">
      <c r="A1647" s="3"/>
      <c r="B1647" s="12"/>
      <c r="C1647" s="3"/>
      <c r="D1647" s="3"/>
      <c r="E1647" s="3"/>
      <c r="F1647" s="3"/>
      <c r="G1647" s="3"/>
      <c r="H1647" s="3"/>
      <c r="L1647" s="3"/>
    </row>
    <row r="1648" ht="15.75" customHeight="1">
      <c r="A1648" s="3"/>
      <c r="B1648" s="12"/>
      <c r="C1648" s="3"/>
      <c r="D1648" s="3"/>
      <c r="E1648" s="3"/>
      <c r="F1648" s="3"/>
      <c r="G1648" s="3"/>
      <c r="H1648" s="3"/>
      <c r="L1648" s="3"/>
    </row>
    <row r="1649" ht="15.75" customHeight="1">
      <c r="A1649" s="3"/>
      <c r="B1649" s="12"/>
      <c r="C1649" s="3"/>
      <c r="D1649" s="3"/>
      <c r="E1649" s="3"/>
      <c r="F1649" s="3"/>
      <c r="G1649" s="3"/>
      <c r="H1649" s="3"/>
      <c r="L1649" s="3"/>
    </row>
    <row r="1650" ht="15.75" customHeight="1">
      <c r="A1650" s="3"/>
      <c r="B1650" s="12"/>
      <c r="C1650" s="3"/>
      <c r="D1650" s="3"/>
      <c r="E1650" s="3"/>
      <c r="F1650" s="3"/>
      <c r="G1650" s="3"/>
      <c r="H1650" s="3"/>
      <c r="L1650" s="3"/>
    </row>
    <row r="1651" ht="15.75" customHeight="1">
      <c r="A1651" s="3"/>
      <c r="B1651" s="12"/>
      <c r="C1651" s="3"/>
      <c r="D1651" s="3"/>
      <c r="E1651" s="3"/>
      <c r="F1651" s="3"/>
      <c r="G1651" s="3"/>
      <c r="H1651" s="3"/>
      <c r="L1651" s="3"/>
    </row>
    <row r="1652" ht="15.75" customHeight="1">
      <c r="A1652" s="3"/>
      <c r="B1652" s="12"/>
      <c r="C1652" s="3"/>
      <c r="D1652" s="3"/>
      <c r="E1652" s="3"/>
      <c r="F1652" s="3"/>
      <c r="G1652" s="3"/>
      <c r="H1652" s="3"/>
      <c r="L1652" s="3"/>
    </row>
    <row r="1653" ht="15.75" customHeight="1">
      <c r="A1653" s="3"/>
      <c r="B1653" s="12"/>
      <c r="C1653" s="3"/>
      <c r="D1653" s="3"/>
      <c r="E1653" s="3"/>
      <c r="F1653" s="3"/>
      <c r="G1653" s="3"/>
      <c r="H1653" s="3"/>
      <c r="L1653" s="3"/>
    </row>
    <row r="1654" ht="15.75" customHeight="1">
      <c r="A1654" s="3"/>
      <c r="B1654" s="12"/>
      <c r="C1654" s="3"/>
      <c r="D1654" s="3"/>
      <c r="E1654" s="3"/>
      <c r="F1654" s="3"/>
      <c r="G1654" s="3"/>
      <c r="H1654" s="3"/>
      <c r="L1654" s="3"/>
    </row>
    <row r="1655" ht="15.75" customHeight="1">
      <c r="A1655" s="3"/>
      <c r="B1655" s="12"/>
      <c r="C1655" s="3"/>
      <c r="D1655" s="3"/>
      <c r="E1655" s="3"/>
      <c r="F1655" s="3"/>
      <c r="G1655" s="3"/>
      <c r="H1655" s="3"/>
      <c r="L1655" s="3"/>
    </row>
    <row r="1656" ht="15.75" customHeight="1">
      <c r="A1656" s="3"/>
      <c r="B1656" s="12"/>
      <c r="C1656" s="3"/>
      <c r="D1656" s="3"/>
      <c r="E1656" s="3"/>
      <c r="F1656" s="3"/>
      <c r="G1656" s="3"/>
      <c r="H1656" s="3"/>
      <c r="L1656" s="3"/>
    </row>
    <row r="1657" ht="15.75" customHeight="1">
      <c r="A1657" s="3"/>
      <c r="B1657" s="12"/>
      <c r="C1657" s="3"/>
      <c r="D1657" s="3"/>
      <c r="E1657" s="3"/>
      <c r="F1657" s="3"/>
      <c r="G1657" s="3"/>
      <c r="H1657" s="3"/>
      <c r="L1657" s="3"/>
    </row>
    <row r="1658" ht="15.75" customHeight="1">
      <c r="A1658" s="3"/>
      <c r="B1658" s="12"/>
      <c r="C1658" s="3"/>
      <c r="D1658" s="3"/>
      <c r="E1658" s="3"/>
      <c r="F1658" s="3"/>
      <c r="G1658" s="3"/>
      <c r="H1658" s="3"/>
      <c r="L1658" s="3"/>
    </row>
    <row r="1659" ht="15.75" customHeight="1">
      <c r="A1659" s="3"/>
      <c r="B1659" s="12"/>
      <c r="C1659" s="3"/>
      <c r="D1659" s="3"/>
      <c r="E1659" s="3"/>
      <c r="F1659" s="3"/>
      <c r="G1659" s="3"/>
      <c r="H1659" s="3"/>
      <c r="L1659" s="3"/>
    </row>
    <row r="1660" ht="15.75" customHeight="1">
      <c r="A1660" s="3"/>
      <c r="B1660" s="12"/>
      <c r="C1660" s="3"/>
      <c r="D1660" s="3"/>
      <c r="E1660" s="3"/>
      <c r="F1660" s="3"/>
      <c r="G1660" s="3"/>
      <c r="H1660" s="3"/>
      <c r="L1660" s="3"/>
    </row>
    <row r="1661" ht="15.75" customHeight="1">
      <c r="A1661" s="3"/>
      <c r="B1661" s="12"/>
      <c r="C1661" s="3"/>
      <c r="D1661" s="3"/>
      <c r="E1661" s="3"/>
      <c r="F1661" s="3"/>
      <c r="G1661" s="3"/>
      <c r="H1661" s="3"/>
      <c r="L1661" s="3"/>
    </row>
    <row r="1662" ht="15.75" customHeight="1">
      <c r="A1662" s="3"/>
      <c r="B1662" s="12"/>
      <c r="C1662" s="3"/>
      <c r="D1662" s="3"/>
      <c r="E1662" s="3"/>
      <c r="F1662" s="3"/>
      <c r="G1662" s="3"/>
      <c r="H1662" s="3"/>
      <c r="L1662" s="3"/>
    </row>
    <row r="1663" ht="15.75" customHeight="1">
      <c r="A1663" s="3"/>
      <c r="B1663" s="12"/>
      <c r="C1663" s="3"/>
      <c r="D1663" s="3"/>
      <c r="E1663" s="3"/>
      <c r="F1663" s="3"/>
      <c r="G1663" s="3"/>
      <c r="H1663" s="3"/>
      <c r="L1663" s="3"/>
    </row>
    <row r="1664" ht="15.75" customHeight="1">
      <c r="A1664" s="3"/>
      <c r="B1664" s="12"/>
      <c r="C1664" s="3"/>
      <c r="D1664" s="3"/>
      <c r="E1664" s="3"/>
      <c r="F1664" s="3"/>
      <c r="G1664" s="3"/>
      <c r="H1664" s="3"/>
      <c r="L1664" s="3"/>
    </row>
    <row r="1665" ht="15.75" customHeight="1">
      <c r="A1665" s="3"/>
      <c r="B1665" s="12"/>
      <c r="C1665" s="3"/>
      <c r="D1665" s="3"/>
      <c r="E1665" s="3"/>
      <c r="F1665" s="3"/>
      <c r="G1665" s="3"/>
      <c r="H1665" s="3"/>
      <c r="L1665" s="3"/>
    </row>
    <row r="1666" ht="15.75" customHeight="1">
      <c r="A1666" s="3"/>
      <c r="B1666" s="12"/>
      <c r="C1666" s="3"/>
      <c r="D1666" s="3"/>
      <c r="E1666" s="3"/>
      <c r="F1666" s="3"/>
      <c r="G1666" s="3"/>
      <c r="H1666" s="3"/>
      <c r="L1666" s="3"/>
    </row>
    <row r="1667" ht="15.75" customHeight="1">
      <c r="A1667" s="3"/>
      <c r="B1667" s="12"/>
      <c r="C1667" s="3"/>
      <c r="D1667" s="3"/>
      <c r="E1667" s="3"/>
      <c r="F1667" s="3"/>
      <c r="G1667" s="3"/>
      <c r="H1667" s="3"/>
      <c r="L1667" s="3"/>
    </row>
    <row r="1668" ht="15.75" customHeight="1">
      <c r="A1668" s="3"/>
      <c r="B1668" s="12"/>
      <c r="C1668" s="3"/>
      <c r="D1668" s="3"/>
      <c r="E1668" s="3"/>
      <c r="F1668" s="3"/>
      <c r="G1668" s="3"/>
      <c r="H1668" s="3"/>
      <c r="L1668" s="3"/>
    </row>
    <row r="1669" ht="15.75" customHeight="1">
      <c r="A1669" s="3"/>
      <c r="B1669" s="12"/>
      <c r="C1669" s="3"/>
      <c r="D1669" s="3"/>
      <c r="E1669" s="3"/>
      <c r="F1669" s="3"/>
      <c r="G1669" s="3"/>
      <c r="H1669" s="3"/>
      <c r="L1669" s="3"/>
    </row>
    <row r="1670" ht="15.75" customHeight="1">
      <c r="A1670" s="3"/>
      <c r="B1670" s="12"/>
      <c r="C1670" s="3"/>
      <c r="D1670" s="3"/>
      <c r="E1670" s="3"/>
      <c r="F1670" s="3"/>
      <c r="G1670" s="3"/>
      <c r="H1670" s="3"/>
      <c r="L1670" s="3"/>
    </row>
    <row r="1671" ht="15.75" customHeight="1">
      <c r="A1671" s="3"/>
      <c r="B1671" s="12"/>
      <c r="C1671" s="3"/>
      <c r="D1671" s="3"/>
      <c r="E1671" s="3"/>
      <c r="F1671" s="3"/>
      <c r="G1671" s="3"/>
      <c r="H1671" s="3"/>
      <c r="L1671" s="3"/>
    </row>
    <row r="1672" ht="15.75" customHeight="1">
      <c r="A1672" s="3"/>
      <c r="B1672" s="12"/>
      <c r="C1672" s="3"/>
      <c r="D1672" s="3"/>
      <c r="E1672" s="3"/>
      <c r="F1672" s="3"/>
      <c r="G1672" s="3"/>
      <c r="H1672" s="3"/>
      <c r="L1672" s="3"/>
    </row>
    <row r="1673" ht="15.75" customHeight="1">
      <c r="A1673" s="3"/>
      <c r="B1673" s="12"/>
      <c r="C1673" s="3"/>
      <c r="D1673" s="3"/>
      <c r="E1673" s="3"/>
      <c r="F1673" s="3"/>
      <c r="G1673" s="3"/>
      <c r="H1673" s="3"/>
      <c r="L1673" s="3"/>
    </row>
    <row r="1674" ht="15.75" customHeight="1">
      <c r="A1674" s="3"/>
      <c r="B1674" s="12"/>
      <c r="C1674" s="3"/>
      <c r="D1674" s="3"/>
      <c r="E1674" s="3"/>
      <c r="F1674" s="3"/>
      <c r="G1674" s="3"/>
      <c r="H1674" s="3"/>
      <c r="L1674" s="3"/>
    </row>
    <row r="1675" ht="15.75" customHeight="1">
      <c r="A1675" s="3"/>
      <c r="B1675" s="12"/>
      <c r="C1675" s="3"/>
      <c r="D1675" s="3"/>
      <c r="E1675" s="3"/>
      <c r="F1675" s="3"/>
      <c r="G1675" s="3"/>
      <c r="H1675" s="3"/>
      <c r="L1675" s="3"/>
    </row>
    <row r="1676" ht="15.75" customHeight="1">
      <c r="A1676" s="3"/>
      <c r="B1676" s="12"/>
      <c r="C1676" s="3"/>
      <c r="D1676" s="3"/>
      <c r="E1676" s="3"/>
      <c r="F1676" s="3"/>
      <c r="G1676" s="3"/>
      <c r="H1676" s="3"/>
      <c r="L1676" s="3"/>
    </row>
    <row r="1677" ht="15.75" customHeight="1">
      <c r="A1677" s="3"/>
      <c r="B1677" s="12"/>
      <c r="C1677" s="3"/>
      <c r="D1677" s="3"/>
      <c r="E1677" s="3"/>
      <c r="F1677" s="3"/>
      <c r="G1677" s="3"/>
      <c r="H1677" s="3"/>
      <c r="L1677" s="3"/>
    </row>
    <row r="1678" ht="15.75" customHeight="1">
      <c r="A1678" s="3"/>
      <c r="B1678" s="12"/>
      <c r="C1678" s="3"/>
      <c r="D1678" s="3"/>
      <c r="E1678" s="3"/>
      <c r="F1678" s="3"/>
      <c r="G1678" s="3"/>
      <c r="H1678" s="3"/>
      <c r="L1678" s="3"/>
    </row>
    <row r="1679" ht="15.75" customHeight="1">
      <c r="A1679" s="3"/>
      <c r="B1679" s="12"/>
      <c r="C1679" s="3"/>
      <c r="D1679" s="3"/>
      <c r="E1679" s="3"/>
      <c r="F1679" s="3"/>
      <c r="G1679" s="3"/>
      <c r="H1679" s="3"/>
      <c r="L1679" s="3"/>
    </row>
    <row r="1680" ht="15.75" customHeight="1">
      <c r="A1680" s="3"/>
      <c r="B1680" s="12"/>
      <c r="C1680" s="3"/>
      <c r="D1680" s="3"/>
      <c r="E1680" s="3"/>
      <c r="F1680" s="3"/>
      <c r="G1680" s="3"/>
      <c r="H1680" s="3"/>
      <c r="L1680" s="3"/>
    </row>
    <row r="1681" ht="15.75" customHeight="1">
      <c r="A1681" s="3"/>
      <c r="B1681" s="12"/>
      <c r="C1681" s="3"/>
      <c r="D1681" s="3"/>
      <c r="E1681" s="3"/>
      <c r="F1681" s="3"/>
      <c r="G1681" s="3"/>
      <c r="H1681" s="3"/>
      <c r="L1681" s="3"/>
    </row>
    <row r="1682" ht="15.75" customHeight="1">
      <c r="A1682" s="3"/>
      <c r="B1682" s="12"/>
      <c r="C1682" s="3"/>
      <c r="D1682" s="3"/>
      <c r="E1682" s="3"/>
      <c r="F1682" s="3"/>
      <c r="G1682" s="3"/>
      <c r="H1682" s="3"/>
      <c r="L1682" s="3"/>
    </row>
    <row r="1683" ht="15.75" customHeight="1">
      <c r="A1683" s="3"/>
      <c r="B1683" s="12"/>
      <c r="C1683" s="3"/>
      <c r="D1683" s="3"/>
      <c r="E1683" s="3"/>
      <c r="F1683" s="3"/>
      <c r="G1683" s="3"/>
      <c r="H1683" s="3"/>
      <c r="L1683" s="3"/>
    </row>
    <row r="1684" ht="15.75" customHeight="1">
      <c r="A1684" s="3"/>
      <c r="B1684" s="12"/>
      <c r="C1684" s="3"/>
      <c r="D1684" s="3"/>
      <c r="E1684" s="3"/>
      <c r="F1684" s="3"/>
      <c r="G1684" s="3"/>
      <c r="H1684" s="3"/>
      <c r="L1684" s="3"/>
    </row>
    <row r="1685" ht="15.75" customHeight="1">
      <c r="A1685" s="3"/>
      <c r="B1685" s="12"/>
      <c r="C1685" s="3"/>
      <c r="D1685" s="3"/>
      <c r="E1685" s="3"/>
      <c r="F1685" s="3"/>
      <c r="G1685" s="3"/>
      <c r="H1685" s="3"/>
      <c r="L1685" s="3"/>
    </row>
    <row r="1686" ht="15.75" customHeight="1">
      <c r="A1686" s="3"/>
      <c r="B1686" s="12"/>
      <c r="C1686" s="3"/>
      <c r="D1686" s="3"/>
      <c r="E1686" s="3"/>
      <c r="F1686" s="3"/>
      <c r="G1686" s="3"/>
      <c r="H1686" s="3"/>
      <c r="L1686" s="3"/>
    </row>
    <row r="1687" ht="15.75" customHeight="1">
      <c r="A1687" s="3"/>
      <c r="B1687" s="12"/>
      <c r="C1687" s="3"/>
      <c r="D1687" s="3"/>
      <c r="E1687" s="3"/>
      <c r="F1687" s="3"/>
      <c r="G1687" s="3"/>
      <c r="H1687" s="3"/>
      <c r="L1687" s="3"/>
    </row>
    <row r="1688" ht="15.75" customHeight="1">
      <c r="A1688" s="3"/>
      <c r="B1688" s="12"/>
      <c r="C1688" s="3"/>
      <c r="D1688" s="3"/>
      <c r="E1688" s="3"/>
      <c r="F1688" s="3"/>
      <c r="G1688" s="3"/>
      <c r="H1688" s="3"/>
      <c r="L1688" s="3"/>
    </row>
    <row r="1689" ht="15.75" customHeight="1">
      <c r="A1689" s="3"/>
      <c r="B1689" s="12"/>
      <c r="C1689" s="3"/>
      <c r="D1689" s="3"/>
      <c r="E1689" s="3"/>
      <c r="F1689" s="3"/>
      <c r="G1689" s="3"/>
      <c r="H1689" s="3"/>
      <c r="L1689" s="3"/>
    </row>
    <row r="1690" ht="15.75" customHeight="1">
      <c r="A1690" s="3"/>
      <c r="B1690" s="12"/>
      <c r="C1690" s="3"/>
      <c r="D1690" s="3"/>
      <c r="E1690" s="3"/>
      <c r="F1690" s="3"/>
      <c r="G1690" s="3"/>
      <c r="H1690" s="3"/>
      <c r="L1690" s="3"/>
    </row>
    <row r="1691" ht="15.75" customHeight="1">
      <c r="A1691" s="3"/>
      <c r="B1691" s="12"/>
      <c r="C1691" s="3"/>
      <c r="D1691" s="3"/>
      <c r="E1691" s="3"/>
      <c r="F1691" s="3"/>
      <c r="G1691" s="3"/>
      <c r="H1691" s="3"/>
      <c r="L1691" s="3"/>
    </row>
    <row r="1692" ht="15.75" customHeight="1">
      <c r="A1692" s="3"/>
      <c r="B1692" s="12"/>
      <c r="C1692" s="3"/>
      <c r="D1692" s="3"/>
      <c r="E1692" s="3"/>
      <c r="F1692" s="3"/>
      <c r="G1692" s="3"/>
      <c r="H1692" s="3"/>
      <c r="L1692" s="3"/>
    </row>
    <row r="1693" ht="15.75" customHeight="1">
      <c r="A1693" s="3"/>
      <c r="B1693" s="12"/>
      <c r="C1693" s="3"/>
      <c r="D1693" s="3"/>
      <c r="E1693" s="3"/>
      <c r="F1693" s="3"/>
      <c r="G1693" s="3"/>
      <c r="H1693" s="3"/>
      <c r="L1693" s="3"/>
    </row>
    <row r="1694" ht="15.75" customHeight="1">
      <c r="A1694" s="3"/>
      <c r="B1694" s="12"/>
      <c r="C1694" s="3"/>
      <c r="D1694" s="3"/>
      <c r="E1694" s="3"/>
      <c r="F1694" s="3"/>
      <c r="G1694" s="3"/>
      <c r="H1694" s="3"/>
      <c r="L1694" s="3"/>
    </row>
    <row r="1695" ht="15.75" customHeight="1">
      <c r="A1695" s="3"/>
      <c r="B1695" s="12"/>
      <c r="C1695" s="3"/>
      <c r="D1695" s="3"/>
      <c r="E1695" s="3"/>
      <c r="F1695" s="3"/>
      <c r="G1695" s="3"/>
      <c r="H1695" s="3"/>
      <c r="L1695" s="3"/>
    </row>
    <row r="1696" ht="15.75" customHeight="1">
      <c r="A1696" s="3"/>
      <c r="B1696" s="12"/>
      <c r="C1696" s="3"/>
      <c r="D1696" s="3"/>
      <c r="E1696" s="3"/>
      <c r="F1696" s="3"/>
      <c r="G1696" s="3"/>
      <c r="H1696" s="3"/>
      <c r="L1696" s="3"/>
    </row>
    <row r="1697" ht="15.75" customHeight="1">
      <c r="A1697" s="3"/>
      <c r="B1697" s="12"/>
      <c r="C1697" s="3"/>
      <c r="D1697" s="3"/>
      <c r="E1697" s="3"/>
      <c r="F1697" s="3"/>
      <c r="G1697" s="3"/>
      <c r="H1697" s="3"/>
      <c r="L1697" s="3"/>
    </row>
    <row r="1698" ht="15.75" customHeight="1">
      <c r="A1698" s="3"/>
      <c r="B1698" s="12"/>
      <c r="C1698" s="3"/>
      <c r="D1698" s="3"/>
      <c r="E1698" s="3"/>
      <c r="F1698" s="3"/>
      <c r="G1698" s="3"/>
      <c r="H1698" s="3"/>
      <c r="L1698" s="3"/>
    </row>
    <row r="1699" ht="15.75" customHeight="1">
      <c r="A1699" s="3"/>
      <c r="B1699" s="12"/>
      <c r="C1699" s="3"/>
      <c r="D1699" s="3"/>
      <c r="E1699" s="3"/>
      <c r="F1699" s="3"/>
      <c r="G1699" s="3"/>
      <c r="H1699" s="3"/>
      <c r="L1699" s="3"/>
    </row>
    <row r="1700" ht="15.75" customHeight="1">
      <c r="A1700" s="3"/>
      <c r="B1700" s="12"/>
      <c r="C1700" s="3"/>
      <c r="D1700" s="3"/>
      <c r="E1700" s="3"/>
      <c r="F1700" s="3"/>
      <c r="G1700" s="3"/>
      <c r="H1700" s="3"/>
      <c r="L1700" s="3"/>
    </row>
    <row r="1701" ht="15.75" customHeight="1">
      <c r="A1701" s="3"/>
      <c r="B1701" s="12"/>
      <c r="C1701" s="3"/>
      <c r="D1701" s="3"/>
      <c r="E1701" s="3"/>
      <c r="F1701" s="3"/>
      <c r="G1701" s="3"/>
      <c r="H1701" s="3"/>
      <c r="L1701" s="3"/>
    </row>
    <row r="1702" ht="15.75" customHeight="1">
      <c r="A1702" s="3"/>
      <c r="B1702" s="12"/>
      <c r="C1702" s="3"/>
      <c r="D1702" s="3"/>
      <c r="E1702" s="3"/>
      <c r="F1702" s="3"/>
      <c r="G1702" s="3"/>
      <c r="H1702" s="3"/>
      <c r="L1702" s="3"/>
    </row>
    <row r="1703" ht="15.75" customHeight="1">
      <c r="A1703" s="3"/>
      <c r="B1703" s="12"/>
      <c r="C1703" s="3"/>
      <c r="D1703" s="3"/>
      <c r="E1703" s="3"/>
      <c r="F1703" s="3"/>
      <c r="G1703" s="3"/>
      <c r="H1703" s="3"/>
      <c r="L1703" s="3"/>
    </row>
    <row r="1704" ht="15.75" customHeight="1">
      <c r="A1704" s="3"/>
      <c r="B1704" s="12"/>
      <c r="C1704" s="3"/>
      <c r="D1704" s="3"/>
      <c r="E1704" s="3"/>
      <c r="F1704" s="3"/>
      <c r="G1704" s="3"/>
      <c r="H1704" s="3"/>
      <c r="L1704" s="3"/>
    </row>
    <row r="1705" ht="15.75" customHeight="1">
      <c r="A1705" s="3"/>
      <c r="B1705" s="12"/>
      <c r="C1705" s="3"/>
      <c r="D1705" s="3"/>
      <c r="E1705" s="3"/>
      <c r="F1705" s="3"/>
      <c r="G1705" s="3"/>
      <c r="H1705" s="3"/>
      <c r="L1705" s="3"/>
    </row>
    <row r="1706" ht="15.75" customHeight="1">
      <c r="A1706" s="3"/>
      <c r="B1706" s="12"/>
      <c r="C1706" s="3"/>
      <c r="D1706" s="3"/>
      <c r="E1706" s="3"/>
      <c r="F1706" s="3"/>
      <c r="G1706" s="3"/>
      <c r="H1706" s="3"/>
      <c r="L1706" s="3"/>
    </row>
    <row r="1707" ht="15.75" customHeight="1">
      <c r="A1707" s="3"/>
      <c r="B1707" s="12"/>
      <c r="C1707" s="3"/>
      <c r="D1707" s="3"/>
      <c r="E1707" s="3"/>
      <c r="F1707" s="3"/>
      <c r="G1707" s="3"/>
      <c r="H1707" s="3"/>
      <c r="L1707" s="3"/>
    </row>
    <row r="1708" ht="15.75" customHeight="1">
      <c r="A1708" s="3"/>
      <c r="B1708" s="12"/>
      <c r="C1708" s="3"/>
      <c r="D1708" s="3"/>
      <c r="E1708" s="3"/>
      <c r="F1708" s="3"/>
      <c r="G1708" s="3"/>
      <c r="H1708" s="3"/>
      <c r="L1708" s="3"/>
    </row>
    <row r="1709" ht="15.75" customHeight="1">
      <c r="A1709" s="3"/>
      <c r="B1709" s="12"/>
      <c r="C1709" s="3"/>
      <c r="D1709" s="3"/>
      <c r="E1709" s="3"/>
      <c r="F1709" s="3"/>
      <c r="G1709" s="3"/>
      <c r="H1709" s="3"/>
      <c r="L1709" s="3"/>
    </row>
    <row r="1710" ht="15.75" customHeight="1">
      <c r="A1710" s="3"/>
      <c r="B1710" s="12"/>
      <c r="C1710" s="3"/>
      <c r="D1710" s="3"/>
      <c r="E1710" s="3"/>
      <c r="F1710" s="3"/>
      <c r="G1710" s="3"/>
      <c r="H1710" s="3"/>
      <c r="L1710" s="3"/>
    </row>
    <row r="1711" ht="15.75" customHeight="1">
      <c r="A1711" s="3"/>
      <c r="B1711" s="12"/>
      <c r="C1711" s="3"/>
      <c r="D1711" s="3"/>
      <c r="E1711" s="3"/>
      <c r="F1711" s="3"/>
      <c r="G1711" s="3"/>
      <c r="H1711" s="3"/>
      <c r="L1711" s="3"/>
    </row>
    <row r="1712" ht="15.75" customHeight="1">
      <c r="A1712" s="3"/>
      <c r="B1712" s="12"/>
      <c r="C1712" s="3"/>
      <c r="D1712" s="3"/>
      <c r="E1712" s="3"/>
      <c r="F1712" s="3"/>
      <c r="G1712" s="3"/>
      <c r="H1712" s="3"/>
      <c r="L1712" s="3"/>
    </row>
    <row r="1713" ht="15.75" customHeight="1">
      <c r="A1713" s="3"/>
      <c r="B1713" s="12"/>
      <c r="C1713" s="3"/>
      <c r="D1713" s="3"/>
      <c r="E1713" s="3"/>
      <c r="F1713" s="3"/>
      <c r="G1713" s="3"/>
      <c r="H1713" s="3"/>
      <c r="L1713" s="3"/>
    </row>
    <row r="1714" ht="15.75" customHeight="1">
      <c r="A1714" s="3"/>
      <c r="B1714" s="12"/>
      <c r="C1714" s="3"/>
      <c r="D1714" s="3"/>
      <c r="E1714" s="3"/>
      <c r="F1714" s="3"/>
      <c r="G1714" s="3"/>
      <c r="H1714" s="3"/>
      <c r="L1714" s="3"/>
    </row>
    <row r="1715" ht="15.75" customHeight="1">
      <c r="A1715" s="3"/>
      <c r="B1715" s="12"/>
      <c r="C1715" s="3"/>
      <c r="D1715" s="3"/>
      <c r="E1715" s="3"/>
      <c r="F1715" s="3"/>
      <c r="G1715" s="3"/>
      <c r="H1715" s="3"/>
      <c r="L1715" s="3"/>
    </row>
    <row r="1716" ht="15.75" customHeight="1">
      <c r="A1716" s="3"/>
      <c r="B1716" s="12"/>
      <c r="C1716" s="3"/>
      <c r="D1716" s="3"/>
      <c r="E1716" s="3"/>
      <c r="F1716" s="3"/>
      <c r="G1716" s="3"/>
      <c r="H1716" s="3"/>
      <c r="L1716" s="3"/>
    </row>
    <row r="1717" ht="15.75" customHeight="1">
      <c r="A1717" s="3"/>
      <c r="B1717" s="12"/>
      <c r="C1717" s="3"/>
      <c r="D1717" s="3"/>
      <c r="E1717" s="3"/>
      <c r="F1717" s="3"/>
      <c r="G1717" s="3"/>
      <c r="H1717" s="3"/>
      <c r="L1717" s="3"/>
    </row>
    <row r="1718" ht="15.75" customHeight="1">
      <c r="A1718" s="3"/>
      <c r="B1718" s="12"/>
      <c r="C1718" s="3"/>
      <c r="D1718" s="3"/>
      <c r="E1718" s="3"/>
      <c r="F1718" s="3"/>
      <c r="G1718" s="3"/>
      <c r="H1718" s="3"/>
      <c r="L1718" s="3"/>
    </row>
    <row r="1719" ht="15.75" customHeight="1">
      <c r="A1719" s="3"/>
      <c r="B1719" s="12"/>
      <c r="C1719" s="3"/>
      <c r="D1719" s="3"/>
      <c r="E1719" s="3"/>
      <c r="F1719" s="3"/>
      <c r="G1719" s="3"/>
      <c r="H1719" s="3"/>
      <c r="L1719" s="3"/>
    </row>
    <row r="1720" ht="15.75" customHeight="1">
      <c r="A1720" s="3"/>
      <c r="B1720" s="12"/>
      <c r="C1720" s="3"/>
      <c r="D1720" s="3"/>
      <c r="E1720" s="3"/>
      <c r="F1720" s="3"/>
      <c r="G1720" s="3"/>
      <c r="H1720" s="3"/>
      <c r="L1720" s="3"/>
    </row>
    <row r="1721" ht="15.75" customHeight="1">
      <c r="A1721" s="3"/>
      <c r="B1721" s="12"/>
      <c r="C1721" s="3"/>
      <c r="D1721" s="3"/>
      <c r="E1721" s="3"/>
      <c r="F1721" s="3"/>
      <c r="G1721" s="3"/>
      <c r="H1721" s="3"/>
      <c r="L1721" s="3"/>
    </row>
    <row r="1722" ht="15.75" customHeight="1">
      <c r="A1722" s="3"/>
      <c r="B1722" s="12"/>
      <c r="C1722" s="3"/>
      <c r="D1722" s="3"/>
      <c r="E1722" s="3"/>
      <c r="F1722" s="3"/>
      <c r="G1722" s="3"/>
      <c r="H1722" s="3"/>
      <c r="L1722" s="3"/>
    </row>
    <row r="1723" ht="15.75" customHeight="1">
      <c r="A1723" s="3"/>
      <c r="B1723" s="12"/>
      <c r="C1723" s="3"/>
      <c r="D1723" s="3"/>
      <c r="E1723" s="3"/>
      <c r="F1723" s="3"/>
      <c r="G1723" s="3"/>
      <c r="H1723" s="3"/>
      <c r="L1723" s="3"/>
    </row>
    <row r="1724" ht="15.75" customHeight="1">
      <c r="A1724" s="3"/>
      <c r="B1724" s="12"/>
      <c r="C1724" s="3"/>
      <c r="D1724" s="3"/>
      <c r="E1724" s="3"/>
      <c r="F1724" s="3"/>
      <c r="G1724" s="3"/>
      <c r="H1724" s="3"/>
      <c r="L1724" s="3"/>
    </row>
    <row r="1725" ht="15.75" customHeight="1">
      <c r="A1725" s="3"/>
      <c r="B1725" s="12"/>
      <c r="C1725" s="3"/>
      <c r="D1725" s="3"/>
      <c r="E1725" s="3"/>
      <c r="F1725" s="3"/>
      <c r="G1725" s="3"/>
      <c r="H1725" s="3"/>
      <c r="L1725" s="3"/>
    </row>
    <row r="1726" ht="15.75" customHeight="1">
      <c r="A1726" s="3"/>
      <c r="B1726" s="12"/>
      <c r="C1726" s="3"/>
      <c r="D1726" s="3"/>
      <c r="E1726" s="3"/>
      <c r="F1726" s="3"/>
      <c r="G1726" s="3"/>
      <c r="H1726" s="3"/>
      <c r="L1726" s="3"/>
    </row>
    <row r="1727" ht="15.75" customHeight="1">
      <c r="A1727" s="3"/>
      <c r="B1727" s="12"/>
      <c r="C1727" s="3"/>
      <c r="D1727" s="3"/>
      <c r="E1727" s="3"/>
      <c r="F1727" s="3"/>
      <c r="G1727" s="3"/>
      <c r="H1727" s="3"/>
      <c r="L1727" s="3"/>
    </row>
    <row r="1728" ht="15.75" customHeight="1">
      <c r="A1728" s="3"/>
      <c r="B1728" s="12"/>
      <c r="C1728" s="3"/>
      <c r="D1728" s="3"/>
      <c r="E1728" s="3"/>
      <c r="F1728" s="3"/>
      <c r="G1728" s="3"/>
      <c r="H1728" s="3"/>
      <c r="L1728" s="3"/>
    </row>
    <row r="1729" ht="15.75" customHeight="1">
      <c r="A1729" s="3"/>
      <c r="B1729" s="12"/>
      <c r="C1729" s="3"/>
      <c r="D1729" s="3"/>
      <c r="E1729" s="3"/>
      <c r="F1729" s="3"/>
      <c r="G1729" s="3"/>
      <c r="H1729" s="3"/>
      <c r="L1729" s="3"/>
    </row>
    <row r="1730" ht="15.75" customHeight="1">
      <c r="A1730" s="3"/>
      <c r="B1730" s="12"/>
      <c r="C1730" s="3"/>
      <c r="D1730" s="3"/>
      <c r="E1730" s="3"/>
      <c r="F1730" s="3"/>
      <c r="G1730" s="3"/>
      <c r="H1730" s="3"/>
      <c r="L1730" s="3"/>
    </row>
    <row r="1731" ht="15.75" customHeight="1">
      <c r="A1731" s="3"/>
      <c r="B1731" s="12"/>
      <c r="C1731" s="3"/>
      <c r="D1731" s="3"/>
      <c r="E1731" s="3"/>
      <c r="F1731" s="3"/>
      <c r="G1731" s="3"/>
      <c r="H1731" s="3"/>
      <c r="L1731" s="3"/>
    </row>
    <row r="1732" ht="15.75" customHeight="1">
      <c r="A1732" s="3"/>
      <c r="B1732" s="12"/>
      <c r="C1732" s="3"/>
      <c r="D1732" s="3"/>
      <c r="E1732" s="3"/>
      <c r="F1732" s="3"/>
      <c r="G1732" s="3"/>
      <c r="H1732" s="3"/>
      <c r="L1732" s="3"/>
    </row>
    <row r="1733" ht="15.75" customHeight="1">
      <c r="A1733" s="3"/>
      <c r="B1733" s="12"/>
      <c r="C1733" s="3"/>
      <c r="D1733" s="3"/>
      <c r="E1733" s="3"/>
      <c r="F1733" s="3"/>
      <c r="G1733" s="3"/>
      <c r="H1733" s="3"/>
      <c r="L1733" s="3"/>
    </row>
    <row r="1734" ht="15.75" customHeight="1">
      <c r="A1734" s="3"/>
      <c r="B1734" s="12"/>
      <c r="C1734" s="3"/>
      <c r="D1734" s="3"/>
      <c r="E1734" s="3"/>
      <c r="F1734" s="3"/>
      <c r="G1734" s="3"/>
      <c r="H1734" s="3"/>
      <c r="L1734" s="3"/>
    </row>
    <row r="1735" ht="15.75" customHeight="1">
      <c r="A1735" s="3"/>
      <c r="B1735" s="12"/>
      <c r="C1735" s="3"/>
      <c r="D1735" s="3"/>
      <c r="E1735" s="3"/>
      <c r="F1735" s="3"/>
      <c r="G1735" s="3"/>
      <c r="H1735" s="3"/>
      <c r="L1735" s="3"/>
    </row>
    <row r="1736" ht="15.75" customHeight="1">
      <c r="A1736" s="3"/>
      <c r="B1736" s="12"/>
      <c r="C1736" s="3"/>
      <c r="D1736" s="3"/>
      <c r="E1736" s="3"/>
      <c r="F1736" s="3"/>
      <c r="G1736" s="3"/>
      <c r="H1736" s="3"/>
      <c r="L1736" s="3"/>
    </row>
    <row r="1737" ht="15.75" customHeight="1">
      <c r="A1737" s="3"/>
      <c r="B1737" s="12"/>
      <c r="C1737" s="3"/>
      <c r="D1737" s="3"/>
      <c r="E1737" s="3"/>
      <c r="F1737" s="3"/>
      <c r="G1737" s="3"/>
      <c r="H1737" s="3"/>
      <c r="L1737" s="3"/>
    </row>
    <row r="1738" ht="15.75" customHeight="1">
      <c r="A1738" s="3"/>
      <c r="B1738" s="12"/>
      <c r="C1738" s="3"/>
      <c r="D1738" s="3"/>
      <c r="E1738" s="3"/>
      <c r="F1738" s="3"/>
      <c r="G1738" s="3"/>
      <c r="H1738" s="3"/>
      <c r="L1738" s="3"/>
    </row>
    <row r="1739" ht="15.75" customHeight="1">
      <c r="A1739" s="3"/>
      <c r="B1739" s="12"/>
      <c r="C1739" s="3"/>
      <c r="D1739" s="3"/>
      <c r="E1739" s="3"/>
      <c r="F1739" s="3"/>
      <c r="G1739" s="3"/>
      <c r="H1739" s="3"/>
      <c r="L1739" s="3"/>
    </row>
    <row r="1740" ht="15.75" customHeight="1">
      <c r="A1740" s="3"/>
      <c r="B1740" s="12"/>
      <c r="C1740" s="3"/>
      <c r="D1740" s="3"/>
      <c r="E1740" s="3"/>
      <c r="F1740" s="3"/>
      <c r="G1740" s="3"/>
      <c r="H1740" s="3"/>
      <c r="L1740" s="3"/>
    </row>
    <row r="1741" ht="15.75" customHeight="1">
      <c r="A1741" s="3"/>
      <c r="B1741" s="12"/>
      <c r="C1741" s="3"/>
      <c r="D1741" s="3"/>
      <c r="E1741" s="3"/>
      <c r="F1741" s="3"/>
      <c r="G1741" s="3"/>
      <c r="H1741" s="3"/>
      <c r="L1741" s="3"/>
    </row>
    <row r="1742" ht="15.75" customHeight="1">
      <c r="A1742" s="3"/>
      <c r="B1742" s="12"/>
      <c r="C1742" s="3"/>
      <c r="D1742" s="3"/>
      <c r="E1742" s="3"/>
      <c r="F1742" s="3"/>
      <c r="G1742" s="3"/>
      <c r="H1742" s="3"/>
      <c r="L1742" s="3"/>
    </row>
    <row r="1743" ht="15.75" customHeight="1">
      <c r="A1743" s="3"/>
      <c r="B1743" s="12"/>
      <c r="C1743" s="3"/>
      <c r="D1743" s="3"/>
      <c r="E1743" s="3"/>
      <c r="F1743" s="3"/>
      <c r="G1743" s="3"/>
      <c r="H1743" s="3"/>
      <c r="L1743" s="3"/>
    </row>
    <row r="1744" ht="15.75" customHeight="1">
      <c r="A1744" s="3"/>
      <c r="B1744" s="12"/>
      <c r="C1744" s="3"/>
      <c r="D1744" s="3"/>
      <c r="E1744" s="3"/>
      <c r="F1744" s="3"/>
      <c r="G1744" s="3"/>
      <c r="H1744" s="3"/>
      <c r="L1744" s="3"/>
    </row>
    <row r="1745" ht="15.75" customHeight="1">
      <c r="A1745" s="3"/>
      <c r="B1745" s="12"/>
      <c r="C1745" s="3"/>
      <c r="D1745" s="3"/>
      <c r="E1745" s="3"/>
      <c r="F1745" s="3"/>
      <c r="G1745" s="3"/>
      <c r="H1745" s="3"/>
      <c r="L1745" s="3"/>
    </row>
    <row r="1746" ht="15.75" customHeight="1">
      <c r="A1746" s="3"/>
      <c r="B1746" s="12"/>
      <c r="C1746" s="3"/>
      <c r="D1746" s="3"/>
      <c r="E1746" s="3"/>
      <c r="F1746" s="3"/>
      <c r="G1746" s="3"/>
      <c r="H1746" s="3"/>
      <c r="L1746" s="3"/>
    </row>
    <row r="1747" ht="15.75" customHeight="1">
      <c r="A1747" s="3"/>
      <c r="B1747" s="12"/>
      <c r="C1747" s="3"/>
      <c r="D1747" s="3"/>
      <c r="E1747" s="3"/>
      <c r="F1747" s="3"/>
      <c r="G1747" s="3"/>
      <c r="H1747" s="3"/>
      <c r="L1747" s="3"/>
    </row>
    <row r="1748" ht="15.75" customHeight="1">
      <c r="A1748" s="3"/>
      <c r="B1748" s="12"/>
      <c r="C1748" s="3"/>
      <c r="D1748" s="3"/>
      <c r="E1748" s="3"/>
      <c r="F1748" s="3"/>
      <c r="G1748" s="3"/>
      <c r="H1748" s="3"/>
      <c r="L1748" s="3"/>
    </row>
    <row r="1749" ht="15.75" customHeight="1">
      <c r="A1749" s="3"/>
      <c r="B1749" s="12"/>
      <c r="C1749" s="3"/>
      <c r="D1749" s="3"/>
      <c r="E1749" s="3"/>
      <c r="F1749" s="3"/>
      <c r="G1749" s="3"/>
      <c r="H1749" s="3"/>
      <c r="L1749" s="3"/>
    </row>
    <row r="1750" ht="15.75" customHeight="1">
      <c r="A1750" s="3"/>
      <c r="B1750" s="12"/>
      <c r="C1750" s="3"/>
      <c r="D1750" s="3"/>
      <c r="E1750" s="3"/>
      <c r="F1750" s="3"/>
      <c r="G1750" s="3"/>
      <c r="H1750" s="3"/>
      <c r="L1750" s="3"/>
    </row>
    <row r="1751" ht="15.75" customHeight="1">
      <c r="A1751" s="3"/>
      <c r="B1751" s="12"/>
      <c r="C1751" s="3"/>
      <c r="D1751" s="3"/>
      <c r="E1751" s="3"/>
      <c r="F1751" s="3"/>
      <c r="G1751" s="3"/>
      <c r="H1751" s="3"/>
      <c r="L1751" s="3"/>
    </row>
    <row r="1752" ht="15.75" customHeight="1">
      <c r="A1752" s="3"/>
      <c r="B1752" s="12"/>
      <c r="C1752" s="3"/>
      <c r="D1752" s="3"/>
      <c r="E1752" s="3"/>
      <c r="F1752" s="3"/>
      <c r="G1752" s="3"/>
      <c r="H1752" s="3"/>
      <c r="L1752" s="3"/>
    </row>
    <row r="1753" ht="15.75" customHeight="1">
      <c r="A1753" s="3"/>
      <c r="B1753" s="12"/>
      <c r="C1753" s="3"/>
      <c r="D1753" s="3"/>
      <c r="E1753" s="3"/>
      <c r="F1753" s="3"/>
      <c r="G1753" s="3"/>
      <c r="H1753" s="3"/>
      <c r="L1753" s="3"/>
    </row>
    <row r="1754" ht="15.75" customHeight="1">
      <c r="A1754" s="3"/>
      <c r="B1754" s="12"/>
      <c r="C1754" s="3"/>
      <c r="D1754" s="3"/>
      <c r="E1754" s="3"/>
      <c r="F1754" s="3"/>
      <c r="G1754" s="3"/>
      <c r="H1754" s="3"/>
      <c r="L1754" s="3"/>
    </row>
    <row r="1755" ht="15.75" customHeight="1">
      <c r="A1755" s="3"/>
      <c r="B1755" s="12"/>
      <c r="C1755" s="3"/>
      <c r="D1755" s="3"/>
      <c r="E1755" s="3"/>
      <c r="F1755" s="3"/>
      <c r="G1755" s="3"/>
      <c r="H1755" s="3"/>
      <c r="L1755" s="3"/>
    </row>
    <row r="1756" ht="15.75" customHeight="1">
      <c r="A1756" s="3"/>
      <c r="B1756" s="12"/>
      <c r="C1756" s="3"/>
      <c r="D1756" s="3"/>
      <c r="E1756" s="3"/>
      <c r="F1756" s="3"/>
      <c r="G1756" s="3"/>
      <c r="H1756" s="3"/>
      <c r="L1756" s="3"/>
    </row>
    <row r="1757" ht="15.75" customHeight="1">
      <c r="A1757" s="3"/>
      <c r="B1757" s="12"/>
      <c r="C1757" s="3"/>
      <c r="D1757" s="3"/>
      <c r="E1757" s="3"/>
      <c r="F1757" s="3"/>
      <c r="G1757" s="3"/>
      <c r="H1757" s="3"/>
      <c r="L1757" s="3"/>
    </row>
    <row r="1758" ht="15.75" customHeight="1">
      <c r="A1758" s="3"/>
      <c r="B1758" s="12"/>
      <c r="C1758" s="3"/>
      <c r="D1758" s="3"/>
      <c r="E1758" s="3"/>
      <c r="F1758" s="3"/>
      <c r="G1758" s="3"/>
      <c r="H1758" s="3"/>
      <c r="L1758" s="3"/>
    </row>
    <row r="1759" ht="15.75" customHeight="1">
      <c r="A1759" s="3"/>
      <c r="B1759" s="12"/>
      <c r="C1759" s="3"/>
      <c r="D1759" s="3"/>
      <c r="E1759" s="3"/>
      <c r="F1759" s="3"/>
      <c r="G1759" s="3"/>
      <c r="H1759" s="3"/>
      <c r="L1759" s="3"/>
    </row>
    <row r="1760" ht="15.75" customHeight="1">
      <c r="A1760" s="3"/>
      <c r="B1760" s="12"/>
      <c r="C1760" s="3"/>
      <c r="D1760" s="3"/>
      <c r="E1760" s="3"/>
      <c r="F1760" s="3"/>
      <c r="G1760" s="3"/>
      <c r="H1760" s="3"/>
      <c r="L1760" s="3"/>
    </row>
    <row r="1761" ht="15.75" customHeight="1">
      <c r="A1761" s="3"/>
      <c r="B1761" s="12"/>
      <c r="C1761" s="3"/>
      <c r="D1761" s="3"/>
      <c r="E1761" s="3"/>
      <c r="F1761" s="3"/>
      <c r="G1761" s="3"/>
      <c r="H1761" s="3"/>
      <c r="L1761" s="3"/>
    </row>
    <row r="1762" ht="15.75" customHeight="1">
      <c r="A1762" s="3"/>
      <c r="B1762" s="12"/>
      <c r="C1762" s="3"/>
      <c r="D1762" s="3"/>
      <c r="E1762" s="3"/>
      <c r="F1762" s="3"/>
      <c r="G1762" s="3"/>
      <c r="H1762" s="3"/>
      <c r="L1762" s="3"/>
    </row>
    <row r="1763" ht="15.75" customHeight="1">
      <c r="A1763" s="3"/>
      <c r="B1763" s="12"/>
      <c r="C1763" s="3"/>
      <c r="D1763" s="3"/>
      <c r="E1763" s="3"/>
      <c r="F1763" s="3"/>
      <c r="G1763" s="3"/>
      <c r="H1763" s="3"/>
      <c r="L1763" s="3"/>
    </row>
    <row r="1764" ht="15.75" customHeight="1">
      <c r="A1764" s="3"/>
      <c r="B1764" s="12"/>
      <c r="C1764" s="3"/>
      <c r="D1764" s="3"/>
      <c r="E1764" s="3"/>
      <c r="F1764" s="3"/>
      <c r="G1764" s="3"/>
      <c r="H1764" s="3"/>
      <c r="L1764" s="3"/>
    </row>
    <row r="1765" ht="15.75" customHeight="1">
      <c r="A1765" s="3"/>
      <c r="B1765" s="12"/>
      <c r="C1765" s="3"/>
      <c r="D1765" s="3"/>
      <c r="E1765" s="3"/>
      <c r="F1765" s="3"/>
      <c r="G1765" s="3"/>
      <c r="H1765" s="3"/>
      <c r="L1765" s="3"/>
    </row>
    <row r="1766" ht="15.75" customHeight="1">
      <c r="A1766" s="3"/>
      <c r="B1766" s="12"/>
      <c r="C1766" s="3"/>
      <c r="D1766" s="3"/>
      <c r="E1766" s="3"/>
      <c r="F1766" s="3"/>
      <c r="G1766" s="3"/>
      <c r="H1766" s="3"/>
      <c r="L1766" s="3"/>
    </row>
    <row r="1767" ht="15.75" customHeight="1">
      <c r="A1767" s="3"/>
      <c r="B1767" s="12"/>
      <c r="C1767" s="3"/>
      <c r="D1767" s="3"/>
      <c r="E1767" s="3"/>
      <c r="F1767" s="3"/>
      <c r="G1767" s="3"/>
      <c r="H1767" s="3"/>
      <c r="L1767" s="3"/>
    </row>
    <row r="1768" ht="15.75" customHeight="1">
      <c r="A1768" s="3"/>
      <c r="B1768" s="12"/>
      <c r="C1768" s="3"/>
      <c r="D1768" s="3"/>
      <c r="E1768" s="3"/>
      <c r="F1768" s="3"/>
      <c r="G1768" s="3"/>
      <c r="H1768" s="3"/>
      <c r="L1768" s="3"/>
    </row>
    <row r="1769" ht="15.75" customHeight="1">
      <c r="A1769" s="3"/>
      <c r="B1769" s="12"/>
      <c r="C1769" s="3"/>
      <c r="D1769" s="3"/>
      <c r="E1769" s="3"/>
      <c r="F1769" s="3"/>
      <c r="G1769" s="3"/>
      <c r="H1769" s="3"/>
      <c r="L1769" s="3"/>
    </row>
    <row r="1770" ht="15.75" customHeight="1">
      <c r="A1770" s="3"/>
      <c r="B1770" s="12"/>
      <c r="C1770" s="3"/>
      <c r="D1770" s="3"/>
      <c r="E1770" s="3"/>
      <c r="F1770" s="3"/>
      <c r="G1770" s="3"/>
      <c r="H1770" s="3"/>
      <c r="L1770" s="3"/>
    </row>
    <row r="1771" ht="15.75" customHeight="1">
      <c r="A1771" s="3"/>
      <c r="B1771" s="12"/>
      <c r="C1771" s="3"/>
      <c r="D1771" s="3"/>
      <c r="E1771" s="3"/>
      <c r="F1771" s="3"/>
      <c r="G1771" s="3"/>
      <c r="H1771" s="3"/>
      <c r="L1771" s="3"/>
    </row>
    <row r="1772" ht="15.75" customHeight="1">
      <c r="A1772" s="3"/>
      <c r="B1772" s="12"/>
      <c r="C1772" s="3"/>
      <c r="D1772" s="3"/>
      <c r="E1772" s="3"/>
      <c r="F1772" s="3"/>
      <c r="G1772" s="3"/>
      <c r="H1772" s="3"/>
      <c r="L1772" s="3"/>
    </row>
    <row r="1773" ht="15.75" customHeight="1">
      <c r="A1773" s="3"/>
      <c r="B1773" s="12"/>
      <c r="C1773" s="3"/>
      <c r="D1773" s="3"/>
      <c r="E1773" s="3"/>
      <c r="F1773" s="3"/>
      <c r="G1773" s="3"/>
      <c r="H1773" s="3"/>
      <c r="L1773" s="3"/>
    </row>
    <row r="1774" ht="15.75" customHeight="1">
      <c r="A1774" s="3"/>
      <c r="B1774" s="12"/>
      <c r="C1774" s="3"/>
      <c r="D1774" s="3"/>
      <c r="E1774" s="3"/>
      <c r="F1774" s="3"/>
      <c r="G1774" s="3"/>
      <c r="H1774" s="3"/>
      <c r="L1774" s="3"/>
    </row>
    <row r="1775" ht="15.75" customHeight="1">
      <c r="A1775" s="3"/>
      <c r="B1775" s="12"/>
      <c r="C1775" s="3"/>
      <c r="D1775" s="3"/>
      <c r="E1775" s="3"/>
      <c r="F1775" s="3"/>
      <c r="G1775" s="3"/>
      <c r="H1775" s="3"/>
      <c r="L1775" s="3"/>
    </row>
    <row r="1776" ht="15.75" customHeight="1">
      <c r="A1776" s="3"/>
      <c r="B1776" s="12"/>
      <c r="C1776" s="3"/>
      <c r="D1776" s="3"/>
      <c r="E1776" s="3"/>
      <c r="F1776" s="3"/>
      <c r="G1776" s="3"/>
      <c r="H1776" s="3"/>
      <c r="L1776" s="3"/>
    </row>
    <row r="1777" ht="15.75" customHeight="1">
      <c r="A1777" s="3"/>
      <c r="B1777" s="12"/>
      <c r="C1777" s="3"/>
      <c r="D1777" s="3"/>
      <c r="E1777" s="3"/>
      <c r="F1777" s="3"/>
      <c r="G1777" s="3"/>
      <c r="H1777" s="3"/>
      <c r="L1777" s="3"/>
    </row>
    <row r="1778" ht="15.75" customHeight="1">
      <c r="A1778" s="3"/>
      <c r="B1778" s="12"/>
      <c r="C1778" s="3"/>
      <c r="D1778" s="3"/>
      <c r="E1778" s="3"/>
      <c r="F1778" s="3"/>
      <c r="G1778" s="3"/>
      <c r="H1778" s="3"/>
      <c r="L1778" s="3"/>
    </row>
    <row r="1779" ht="15.75" customHeight="1">
      <c r="A1779" s="3"/>
      <c r="B1779" s="12"/>
      <c r="C1779" s="3"/>
      <c r="D1779" s="3"/>
      <c r="E1779" s="3"/>
      <c r="F1779" s="3"/>
      <c r="G1779" s="3"/>
      <c r="H1779" s="3"/>
      <c r="L1779" s="3"/>
    </row>
    <row r="1780" ht="15.75" customHeight="1">
      <c r="A1780" s="3"/>
      <c r="B1780" s="12"/>
      <c r="C1780" s="3"/>
      <c r="D1780" s="3"/>
      <c r="E1780" s="3"/>
      <c r="F1780" s="3"/>
      <c r="G1780" s="3"/>
      <c r="H1780" s="3"/>
      <c r="L1780" s="3"/>
    </row>
    <row r="1781" ht="15.75" customHeight="1">
      <c r="A1781" s="3"/>
      <c r="B1781" s="12"/>
      <c r="C1781" s="3"/>
      <c r="D1781" s="3"/>
      <c r="E1781" s="3"/>
      <c r="F1781" s="3"/>
      <c r="G1781" s="3"/>
      <c r="H1781" s="3"/>
      <c r="L1781" s="3"/>
    </row>
    <row r="1782" ht="15.75" customHeight="1">
      <c r="A1782" s="3"/>
      <c r="B1782" s="12"/>
      <c r="C1782" s="3"/>
      <c r="D1782" s="3"/>
      <c r="E1782" s="3"/>
      <c r="F1782" s="3"/>
      <c r="G1782" s="3"/>
      <c r="H1782" s="3"/>
      <c r="L1782" s="3"/>
    </row>
    <row r="1783" ht="15.75" customHeight="1">
      <c r="A1783" s="3"/>
      <c r="B1783" s="12"/>
      <c r="C1783" s="3"/>
      <c r="D1783" s="3"/>
      <c r="E1783" s="3"/>
      <c r="F1783" s="3"/>
      <c r="G1783" s="3"/>
      <c r="H1783" s="3"/>
      <c r="L1783" s="3"/>
    </row>
    <row r="1784" ht="15.75" customHeight="1">
      <c r="A1784" s="3"/>
      <c r="B1784" s="12"/>
      <c r="C1784" s="3"/>
      <c r="D1784" s="3"/>
      <c r="E1784" s="3"/>
      <c r="F1784" s="3"/>
      <c r="G1784" s="3"/>
      <c r="H1784" s="3"/>
      <c r="L1784" s="3"/>
    </row>
    <row r="1785" ht="15.75" customHeight="1">
      <c r="A1785" s="3"/>
      <c r="B1785" s="12"/>
      <c r="C1785" s="3"/>
      <c r="D1785" s="3"/>
      <c r="E1785" s="3"/>
      <c r="F1785" s="3"/>
      <c r="G1785" s="3"/>
      <c r="H1785" s="3"/>
      <c r="L1785" s="3"/>
    </row>
    <row r="1786" ht="15.75" customHeight="1">
      <c r="A1786" s="3"/>
      <c r="B1786" s="12"/>
      <c r="C1786" s="3"/>
      <c r="D1786" s="3"/>
      <c r="E1786" s="3"/>
      <c r="F1786" s="3"/>
      <c r="G1786" s="3"/>
      <c r="H1786" s="3"/>
      <c r="L1786" s="3"/>
    </row>
    <row r="1787" ht="15.75" customHeight="1">
      <c r="A1787" s="3"/>
      <c r="B1787" s="12"/>
      <c r="C1787" s="3"/>
      <c r="D1787" s="3"/>
      <c r="E1787" s="3"/>
      <c r="F1787" s="3"/>
      <c r="G1787" s="3"/>
      <c r="H1787" s="3"/>
      <c r="L1787" s="3"/>
    </row>
    <row r="1788" ht="15.75" customHeight="1">
      <c r="A1788" s="3"/>
      <c r="B1788" s="12"/>
      <c r="C1788" s="3"/>
      <c r="D1788" s="3"/>
      <c r="E1788" s="3"/>
      <c r="F1788" s="3"/>
      <c r="G1788" s="3"/>
      <c r="H1788" s="3"/>
      <c r="L1788" s="3"/>
    </row>
    <row r="1789" ht="15.75" customHeight="1">
      <c r="A1789" s="3"/>
      <c r="B1789" s="12"/>
      <c r="C1789" s="3"/>
      <c r="D1789" s="3"/>
      <c r="E1789" s="3"/>
      <c r="F1789" s="3"/>
      <c r="G1789" s="3"/>
      <c r="H1789" s="3"/>
      <c r="L1789" s="3"/>
    </row>
    <row r="1790" ht="15.75" customHeight="1">
      <c r="A1790" s="3"/>
      <c r="B1790" s="12"/>
      <c r="C1790" s="3"/>
      <c r="D1790" s="3"/>
      <c r="E1790" s="3"/>
      <c r="F1790" s="3"/>
      <c r="G1790" s="3"/>
      <c r="H1790" s="3"/>
      <c r="L1790" s="3"/>
    </row>
    <row r="1791" ht="15.75" customHeight="1">
      <c r="A1791" s="3"/>
      <c r="B1791" s="12"/>
      <c r="C1791" s="3"/>
      <c r="D1791" s="3"/>
      <c r="E1791" s="3"/>
      <c r="F1791" s="3"/>
      <c r="G1791" s="3"/>
      <c r="H1791" s="3"/>
      <c r="L1791" s="3"/>
    </row>
    <row r="1792" ht="15.75" customHeight="1">
      <c r="A1792" s="3"/>
      <c r="B1792" s="12"/>
      <c r="C1792" s="3"/>
      <c r="D1792" s="3"/>
      <c r="E1792" s="3"/>
      <c r="F1792" s="3"/>
      <c r="G1792" s="3"/>
      <c r="H1792" s="3"/>
      <c r="L1792" s="3"/>
    </row>
    <row r="1793" ht="15.75" customHeight="1">
      <c r="A1793" s="3"/>
      <c r="B1793" s="12"/>
      <c r="C1793" s="3"/>
      <c r="D1793" s="3"/>
      <c r="E1793" s="3"/>
      <c r="F1793" s="3"/>
      <c r="G1793" s="3"/>
      <c r="H1793" s="3"/>
      <c r="L1793" s="3"/>
    </row>
    <row r="1794" ht="15.75" customHeight="1">
      <c r="A1794" s="3"/>
      <c r="B1794" s="12"/>
      <c r="C1794" s="3"/>
      <c r="D1794" s="3"/>
      <c r="E1794" s="3"/>
      <c r="F1794" s="3"/>
      <c r="G1794" s="3"/>
      <c r="H1794" s="3"/>
      <c r="L1794" s="3"/>
    </row>
    <row r="1795" ht="15.75" customHeight="1">
      <c r="A1795" s="3"/>
      <c r="B1795" s="12"/>
      <c r="C1795" s="3"/>
      <c r="D1795" s="3"/>
      <c r="E1795" s="3"/>
      <c r="F1795" s="3"/>
      <c r="G1795" s="3"/>
      <c r="H1795" s="3"/>
      <c r="L1795" s="3"/>
    </row>
    <row r="1796" ht="15.75" customHeight="1">
      <c r="A1796" s="3"/>
      <c r="B1796" s="12"/>
      <c r="C1796" s="3"/>
      <c r="D1796" s="3"/>
      <c r="E1796" s="3"/>
      <c r="F1796" s="3"/>
      <c r="G1796" s="3"/>
      <c r="H1796" s="3"/>
      <c r="L1796" s="3"/>
    </row>
    <row r="1797" ht="15.75" customHeight="1">
      <c r="A1797" s="3"/>
      <c r="B1797" s="12"/>
      <c r="C1797" s="3"/>
      <c r="D1797" s="3"/>
      <c r="E1797" s="3"/>
      <c r="F1797" s="3"/>
      <c r="G1797" s="3"/>
      <c r="H1797" s="3"/>
      <c r="L1797" s="3"/>
    </row>
    <row r="1798" ht="15.75" customHeight="1">
      <c r="A1798" s="3"/>
      <c r="B1798" s="12"/>
      <c r="C1798" s="3"/>
      <c r="D1798" s="3"/>
      <c r="E1798" s="3"/>
      <c r="F1798" s="3"/>
      <c r="G1798" s="3"/>
      <c r="H1798" s="3"/>
      <c r="L1798" s="3"/>
    </row>
    <row r="1799" ht="15.75" customHeight="1">
      <c r="A1799" s="3"/>
      <c r="B1799" s="12"/>
      <c r="C1799" s="3"/>
      <c r="D1799" s="3"/>
      <c r="E1799" s="3"/>
      <c r="F1799" s="3"/>
      <c r="G1799" s="3"/>
      <c r="H1799" s="3"/>
      <c r="L1799" s="3"/>
    </row>
    <row r="1800" ht="15.75" customHeight="1">
      <c r="A1800" s="3"/>
      <c r="B1800" s="12"/>
      <c r="C1800" s="3"/>
      <c r="D1800" s="3"/>
      <c r="E1800" s="3"/>
      <c r="F1800" s="3"/>
      <c r="G1800" s="3"/>
      <c r="H1800" s="3"/>
      <c r="L1800" s="3"/>
    </row>
    <row r="1801" ht="15.75" customHeight="1">
      <c r="A1801" s="3"/>
      <c r="B1801" s="12"/>
      <c r="C1801" s="3"/>
      <c r="D1801" s="3"/>
      <c r="E1801" s="3"/>
      <c r="F1801" s="3"/>
      <c r="G1801" s="3"/>
      <c r="H1801" s="3"/>
      <c r="L1801" s="3"/>
    </row>
    <row r="1802" ht="15.75" customHeight="1">
      <c r="A1802" s="3"/>
      <c r="B1802" s="12"/>
      <c r="C1802" s="3"/>
      <c r="D1802" s="3"/>
      <c r="E1802" s="3"/>
      <c r="F1802" s="3"/>
      <c r="G1802" s="3"/>
      <c r="H1802" s="3"/>
      <c r="L1802" s="3"/>
    </row>
    <row r="1803" ht="15.75" customHeight="1">
      <c r="A1803" s="3"/>
      <c r="B1803" s="12"/>
      <c r="C1803" s="3"/>
      <c r="D1803" s="3"/>
      <c r="E1803" s="3"/>
      <c r="F1803" s="3"/>
      <c r="G1803" s="3"/>
      <c r="H1803" s="3"/>
      <c r="L1803" s="3"/>
    </row>
    <row r="1804" ht="15.75" customHeight="1">
      <c r="A1804" s="3"/>
      <c r="B1804" s="12"/>
      <c r="C1804" s="3"/>
      <c r="D1804" s="3"/>
      <c r="E1804" s="3"/>
      <c r="F1804" s="3"/>
      <c r="G1804" s="3"/>
      <c r="H1804" s="3"/>
      <c r="L1804" s="3"/>
    </row>
    <row r="1805" ht="15.75" customHeight="1">
      <c r="A1805" s="3"/>
      <c r="B1805" s="12"/>
      <c r="C1805" s="3"/>
      <c r="D1805" s="3"/>
      <c r="E1805" s="3"/>
      <c r="F1805" s="3"/>
      <c r="G1805" s="3"/>
      <c r="H1805" s="3"/>
      <c r="L1805" s="3"/>
    </row>
    <row r="1806" ht="15.75" customHeight="1">
      <c r="A1806" s="3"/>
      <c r="B1806" s="12"/>
      <c r="C1806" s="3"/>
      <c r="D1806" s="3"/>
      <c r="E1806" s="3"/>
      <c r="F1806" s="3"/>
      <c r="G1806" s="3"/>
      <c r="H1806" s="3"/>
      <c r="L1806" s="3"/>
    </row>
    <row r="1807" ht="15.75" customHeight="1">
      <c r="A1807" s="3"/>
      <c r="B1807" s="12"/>
      <c r="C1807" s="3"/>
      <c r="D1807" s="3"/>
      <c r="E1807" s="3"/>
      <c r="F1807" s="3"/>
      <c r="G1807" s="3"/>
      <c r="H1807" s="3"/>
      <c r="L1807" s="3"/>
    </row>
    <row r="1808" ht="15.75" customHeight="1">
      <c r="A1808" s="3"/>
      <c r="B1808" s="12"/>
      <c r="C1808" s="3"/>
      <c r="D1808" s="3"/>
      <c r="E1808" s="3"/>
      <c r="F1808" s="3"/>
      <c r="G1808" s="3"/>
      <c r="H1808" s="3"/>
      <c r="L1808" s="3"/>
    </row>
    <row r="1809" ht="15.75" customHeight="1">
      <c r="A1809" s="3"/>
      <c r="B1809" s="12"/>
      <c r="C1809" s="3"/>
      <c r="D1809" s="3"/>
      <c r="E1809" s="3"/>
      <c r="F1809" s="3"/>
      <c r="G1809" s="3"/>
      <c r="H1809" s="3"/>
      <c r="L1809" s="3"/>
    </row>
    <row r="1810" ht="15.75" customHeight="1">
      <c r="A1810" s="3"/>
      <c r="B1810" s="12"/>
      <c r="C1810" s="3"/>
      <c r="D1810" s="3"/>
      <c r="E1810" s="3"/>
      <c r="F1810" s="3"/>
      <c r="G1810" s="3"/>
      <c r="H1810" s="3"/>
      <c r="L1810" s="3"/>
    </row>
    <row r="1811" ht="15.75" customHeight="1">
      <c r="A1811" s="3"/>
      <c r="B1811" s="12"/>
      <c r="C1811" s="3"/>
      <c r="D1811" s="3"/>
      <c r="E1811" s="3"/>
      <c r="F1811" s="3"/>
      <c r="G1811" s="3"/>
      <c r="H1811" s="3"/>
      <c r="L1811" s="3"/>
    </row>
    <row r="1812" ht="15.75" customHeight="1">
      <c r="A1812" s="3"/>
      <c r="B1812" s="12"/>
      <c r="C1812" s="3"/>
      <c r="D1812" s="3"/>
      <c r="E1812" s="3"/>
      <c r="F1812" s="3"/>
      <c r="G1812" s="3"/>
      <c r="H1812" s="3"/>
      <c r="L1812" s="3"/>
    </row>
    <row r="1813" ht="15.75" customHeight="1">
      <c r="A1813" s="3"/>
      <c r="B1813" s="12"/>
      <c r="C1813" s="3"/>
      <c r="D1813" s="3"/>
      <c r="E1813" s="3"/>
      <c r="F1813" s="3"/>
      <c r="G1813" s="3"/>
      <c r="H1813" s="3"/>
      <c r="L1813" s="3"/>
    </row>
    <row r="1814" ht="15.75" customHeight="1">
      <c r="A1814" s="3"/>
      <c r="B1814" s="12"/>
      <c r="C1814" s="3"/>
      <c r="D1814" s="3"/>
      <c r="E1814" s="3"/>
      <c r="F1814" s="3"/>
      <c r="G1814" s="3"/>
      <c r="H1814" s="3"/>
      <c r="L1814" s="3"/>
    </row>
    <row r="1815" ht="15.75" customHeight="1">
      <c r="A1815" s="3"/>
      <c r="B1815" s="12"/>
      <c r="C1815" s="3"/>
      <c r="D1815" s="3"/>
      <c r="E1815" s="3"/>
      <c r="F1815" s="3"/>
      <c r="G1815" s="3"/>
      <c r="H1815" s="3"/>
      <c r="L1815" s="3"/>
    </row>
    <row r="1816" ht="15.75" customHeight="1">
      <c r="A1816" s="3"/>
      <c r="B1816" s="12"/>
      <c r="C1816" s="3"/>
      <c r="D1816" s="3"/>
      <c r="E1816" s="3"/>
      <c r="F1816" s="3"/>
      <c r="G1816" s="3"/>
      <c r="H1816" s="3"/>
      <c r="L1816" s="3"/>
    </row>
    <row r="1817" ht="15.75" customHeight="1">
      <c r="A1817" s="3"/>
      <c r="B1817" s="12"/>
      <c r="C1817" s="3"/>
      <c r="D1817" s="3"/>
      <c r="E1817" s="3"/>
      <c r="F1817" s="3"/>
      <c r="G1817" s="3"/>
      <c r="H1817" s="3"/>
      <c r="L1817" s="3"/>
    </row>
    <row r="1818" ht="15.75" customHeight="1">
      <c r="A1818" s="3"/>
      <c r="B1818" s="12"/>
      <c r="C1818" s="3"/>
      <c r="D1818" s="3"/>
      <c r="E1818" s="3"/>
      <c r="F1818" s="3"/>
      <c r="G1818" s="3"/>
      <c r="H1818" s="3"/>
      <c r="L1818" s="3"/>
    </row>
    <row r="1819" ht="15.75" customHeight="1">
      <c r="A1819" s="3"/>
      <c r="B1819" s="12"/>
      <c r="C1819" s="3"/>
      <c r="D1819" s="3"/>
      <c r="E1819" s="3"/>
      <c r="F1819" s="3"/>
      <c r="G1819" s="3"/>
      <c r="H1819" s="3"/>
      <c r="L1819" s="3"/>
    </row>
    <row r="1820" ht="15.75" customHeight="1">
      <c r="A1820" s="3"/>
      <c r="B1820" s="12"/>
      <c r="C1820" s="3"/>
      <c r="D1820" s="3"/>
      <c r="E1820" s="3"/>
      <c r="F1820" s="3"/>
      <c r="G1820" s="3"/>
      <c r="H1820" s="3"/>
      <c r="L1820" s="3"/>
    </row>
    <row r="1821" ht="15.75" customHeight="1">
      <c r="A1821" s="3"/>
      <c r="B1821" s="12"/>
      <c r="C1821" s="3"/>
      <c r="D1821" s="3"/>
      <c r="E1821" s="3"/>
      <c r="F1821" s="3"/>
      <c r="G1821" s="3"/>
      <c r="H1821" s="3"/>
      <c r="L1821" s="3"/>
    </row>
    <row r="1822" ht="15.75" customHeight="1">
      <c r="A1822" s="3"/>
      <c r="B1822" s="12"/>
      <c r="C1822" s="3"/>
      <c r="D1822" s="3"/>
      <c r="E1822" s="3"/>
      <c r="F1822" s="3"/>
      <c r="G1822" s="3"/>
      <c r="H1822" s="3"/>
      <c r="L1822" s="3"/>
    </row>
    <row r="1823" ht="15.75" customHeight="1">
      <c r="A1823" s="3"/>
      <c r="B1823" s="12"/>
      <c r="C1823" s="3"/>
      <c r="D1823" s="3"/>
      <c r="E1823" s="3"/>
      <c r="F1823" s="3"/>
      <c r="G1823" s="3"/>
      <c r="H1823" s="3"/>
      <c r="L1823" s="3"/>
    </row>
    <row r="1824" ht="15.75" customHeight="1">
      <c r="A1824" s="3"/>
      <c r="B1824" s="12"/>
      <c r="C1824" s="3"/>
      <c r="D1824" s="3"/>
      <c r="E1824" s="3"/>
      <c r="F1824" s="3"/>
      <c r="G1824" s="3"/>
      <c r="H1824" s="3"/>
      <c r="L1824" s="3"/>
    </row>
    <row r="1825" ht="15.75" customHeight="1">
      <c r="A1825" s="3"/>
      <c r="B1825" s="12"/>
      <c r="C1825" s="3"/>
      <c r="D1825" s="3"/>
      <c r="E1825" s="3"/>
      <c r="F1825" s="3"/>
      <c r="G1825" s="3"/>
      <c r="H1825" s="3"/>
      <c r="L1825" s="3"/>
    </row>
    <row r="1826" ht="15.75" customHeight="1">
      <c r="A1826" s="3"/>
      <c r="B1826" s="12"/>
      <c r="C1826" s="3"/>
      <c r="D1826" s="3"/>
      <c r="E1826" s="3"/>
      <c r="F1826" s="3"/>
      <c r="G1826" s="3"/>
      <c r="H1826" s="3"/>
      <c r="L1826" s="3"/>
    </row>
    <row r="1827" ht="15.75" customHeight="1">
      <c r="A1827" s="3"/>
      <c r="B1827" s="12"/>
      <c r="C1827" s="3"/>
      <c r="D1827" s="3"/>
      <c r="E1827" s="3"/>
      <c r="F1827" s="3"/>
      <c r="G1827" s="3"/>
      <c r="H1827" s="3"/>
      <c r="L1827" s="3"/>
    </row>
    <row r="1828" ht="15.75" customHeight="1">
      <c r="A1828" s="3"/>
      <c r="B1828" s="12"/>
      <c r="C1828" s="3"/>
      <c r="D1828" s="3"/>
      <c r="E1828" s="3"/>
      <c r="F1828" s="3"/>
      <c r="G1828" s="3"/>
      <c r="H1828" s="3"/>
      <c r="L1828" s="3"/>
    </row>
    <row r="1829" ht="15.75" customHeight="1">
      <c r="A1829" s="3"/>
      <c r="B1829" s="12"/>
      <c r="C1829" s="3"/>
      <c r="D1829" s="3"/>
      <c r="E1829" s="3"/>
      <c r="F1829" s="3"/>
      <c r="G1829" s="3"/>
      <c r="H1829" s="3"/>
      <c r="L1829" s="3"/>
    </row>
    <row r="1830" ht="15.75" customHeight="1">
      <c r="A1830" s="3"/>
      <c r="B1830" s="12"/>
      <c r="C1830" s="3"/>
      <c r="D1830" s="3"/>
      <c r="E1830" s="3"/>
      <c r="F1830" s="3"/>
      <c r="G1830" s="3"/>
      <c r="H1830" s="3"/>
      <c r="L1830" s="3"/>
    </row>
    <row r="1831" ht="15.75" customHeight="1">
      <c r="A1831" s="3"/>
      <c r="B1831" s="12"/>
      <c r="C1831" s="3"/>
      <c r="D1831" s="3"/>
      <c r="E1831" s="3"/>
      <c r="F1831" s="3"/>
      <c r="G1831" s="3"/>
      <c r="H1831" s="3"/>
      <c r="L1831" s="3"/>
    </row>
    <row r="1832" ht="15.75" customHeight="1">
      <c r="A1832" s="3"/>
      <c r="B1832" s="12"/>
      <c r="C1832" s="3"/>
      <c r="D1832" s="3"/>
      <c r="E1832" s="3"/>
      <c r="F1832" s="3"/>
      <c r="G1832" s="3"/>
      <c r="H1832" s="3"/>
      <c r="L1832" s="3"/>
    </row>
    <row r="1833" ht="15.75" customHeight="1">
      <c r="A1833" s="3"/>
      <c r="B1833" s="12"/>
      <c r="C1833" s="3"/>
      <c r="D1833" s="3"/>
      <c r="E1833" s="3"/>
      <c r="F1833" s="3"/>
      <c r="G1833" s="3"/>
      <c r="H1833" s="3"/>
      <c r="L1833" s="3"/>
    </row>
    <row r="1834" ht="15.75" customHeight="1">
      <c r="A1834" s="3"/>
      <c r="B1834" s="12"/>
      <c r="C1834" s="3"/>
      <c r="D1834" s="3"/>
      <c r="E1834" s="3"/>
      <c r="F1834" s="3"/>
      <c r="G1834" s="3"/>
      <c r="H1834" s="3"/>
      <c r="L1834" s="3"/>
    </row>
    <row r="1835" ht="15.75" customHeight="1">
      <c r="A1835" s="3"/>
      <c r="B1835" s="12"/>
      <c r="C1835" s="3"/>
      <c r="D1835" s="3"/>
      <c r="E1835" s="3"/>
      <c r="F1835" s="3"/>
      <c r="G1835" s="3"/>
      <c r="H1835" s="3"/>
      <c r="L1835" s="3"/>
    </row>
    <row r="1836" ht="15.75" customHeight="1">
      <c r="A1836" s="3"/>
      <c r="B1836" s="12"/>
      <c r="C1836" s="3"/>
      <c r="D1836" s="3"/>
      <c r="E1836" s="3"/>
      <c r="F1836" s="3"/>
      <c r="G1836" s="3"/>
      <c r="H1836" s="3"/>
      <c r="L1836" s="3"/>
    </row>
    <row r="1837" ht="15.75" customHeight="1">
      <c r="A1837" s="3"/>
      <c r="B1837" s="12"/>
      <c r="C1837" s="3"/>
      <c r="D1837" s="3"/>
      <c r="E1837" s="3"/>
      <c r="F1837" s="3"/>
      <c r="G1837" s="3"/>
      <c r="H1837" s="3"/>
      <c r="L1837" s="3"/>
    </row>
    <row r="1838" ht="15.75" customHeight="1">
      <c r="A1838" s="3"/>
      <c r="B1838" s="12"/>
      <c r="C1838" s="3"/>
      <c r="D1838" s="3"/>
      <c r="E1838" s="3"/>
      <c r="F1838" s="3"/>
      <c r="G1838" s="3"/>
      <c r="H1838" s="3"/>
      <c r="L1838" s="3"/>
    </row>
    <row r="1839" ht="15.75" customHeight="1">
      <c r="A1839" s="3"/>
      <c r="B1839" s="12"/>
      <c r="C1839" s="3"/>
      <c r="D1839" s="3"/>
      <c r="E1839" s="3"/>
      <c r="F1839" s="3"/>
      <c r="G1839" s="3"/>
      <c r="H1839" s="3"/>
      <c r="L1839" s="3"/>
    </row>
    <row r="1840" ht="15.75" customHeight="1">
      <c r="A1840" s="3"/>
      <c r="B1840" s="12"/>
      <c r="C1840" s="3"/>
      <c r="D1840" s="3"/>
      <c r="E1840" s="3"/>
      <c r="F1840" s="3"/>
      <c r="G1840" s="3"/>
      <c r="H1840" s="3"/>
      <c r="L1840" s="3"/>
    </row>
    <row r="1841" ht="15.75" customHeight="1">
      <c r="A1841" s="3"/>
      <c r="B1841" s="12"/>
      <c r="C1841" s="3"/>
      <c r="D1841" s="3"/>
      <c r="E1841" s="3"/>
      <c r="F1841" s="3"/>
      <c r="G1841" s="3"/>
      <c r="H1841" s="3"/>
      <c r="L1841" s="3"/>
    </row>
    <row r="1842" ht="15.75" customHeight="1">
      <c r="A1842" s="3"/>
      <c r="B1842" s="12"/>
      <c r="C1842" s="3"/>
      <c r="D1842" s="3"/>
      <c r="E1842" s="3"/>
      <c r="F1842" s="3"/>
      <c r="G1842" s="3"/>
      <c r="H1842" s="3"/>
      <c r="L1842" s="3"/>
    </row>
    <row r="1843" ht="15.75" customHeight="1">
      <c r="A1843" s="3"/>
      <c r="B1843" s="12"/>
      <c r="C1843" s="3"/>
      <c r="D1843" s="3"/>
      <c r="E1843" s="3"/>
      <c r="F1843" s="3"/>
      <c r="G1843" s="3"/>
      <c r="H1843" s="3"/>
      <c r="L1843" s="3"/>
    </row>
    <row r="1844" ht="15.75" customHeight="1">
      <c r="A1844" s="3"/>
      <c r="B1844" s="12"/>
      <c r="C1844" s="3"/>
      <c r="D1844" s="3"/>
      <c r="E1844" s="3"/>
      <c r="F1844" s="3"/>
      <c r="G1844" s="3"/>
      <c r="H1844" s="3"/>
      <c r="L1844" s="3"/>
    </row>
    <row r="1845" ht="15.75" customHeight="1">
      <c r="A1845" s="3"/>
      <c r="B1845" s="12"/>
      <c r="C1845" s="3"/>
      <c r="D1845" s="3"/>
      <c r="E1845" s="3"/>
      <c r="F1845" s="3"/>
      <c r="G1845" s="3"/>
      <c r="H1845" s="3"/>
      <c r="L1845" s="3"/>
    </row>
    <row r="1846" ht="15.75" customHeight="1">
      <c r="A1846" s="3"/>
      <c r="B1846" s="12"/>
      <c r="C1846" s="3"/>
      <c r="D1846" s="3"/>
      <c r="E1846" s="3"/>
      <c r="F1846" s="3"/>
      <c r="G1846" s="3"/>
      <c r="H1846" s="3"/>
      <c r="L1846" s="3"/>
    </row>
    <row r="1847" ht="15.75" customHeight="1">
      <c r="A1847" s="3"/>
      <c r="B1847" s="12"/>
      <c r="C1847" s="3"/>
      <c r="D1847" s="3"/>
      <c r="E1847" s="3"/>
      <c r="F1847" s="3"/>
      <c r="G1847" s="3"/>
      <c r="H1847" s="3"/>
      <c r="L1847" s="3"/>
    </row>
    <row r="1848" ht="15.75" customHeight="1">
      <c r="A1848" s="3"/>
      <c r="B1848" s="12"/>
      <c r="C1848" s="3"/>
      <c r="D1848" s="3"/>
      <c r="E1848" s="3"/>
      <c r="F1848" s="3"/>
      <c r="G1848" s="3"/>
      <c r="H1848" s="3"/>
      <c r="L1848" s="3"/>
    </row>
    <row r="1849" ht="15.75" customHeight="1">
      <c r="A1849" s="3"/>
      <c r="B1849" s="12"/>
      <c r="C1849" s="3"/>
      <c r="D1849" s="3"/>
      <c r="E1849" s="3"/>
      <c r="F1849" s="3"/>
      <c r="G1849" s="3"/>
      <c r="H1849" s="3"/>
      <c r="L1849" s="3"/>
    </row>
    <row r="1850" ht="15.75" customHeight="1">
      <c r="A1850" s="3"/>
      <c r="B1850" s="12"/>
      <c r="C1850" s="3"/>
      <c r="D1850" s="3"/>
      <c r="E1850" s="3"/>
      <c r="F1850" s="3"/>
      <c r="G1850" s="3"/>
      <c r="H1850" s="3"/>
      <c r="L1850" s="3"/>
    </row>
    <row r="1851" ht="15.75" customHeight="1">
      <c r="A1851" s="3"/>
      <c r="B1851" s="12"/>
      <c r="C1851" s="3"/>
      <c r="D1851" s="3"/>
      <c r="E1851" s="3"/>
      <c r="F1851" s="3"/>
      <c r="G1851" s="3"/>
      <c r="H1851" s="3"/>
      <c r="L1851" s="3"/>
    </row>
    <row r="1852" ht="15.75" customHeight="1">
      <c r="A1852" s="3"/>
      <c r="B1852" s="12"/>
      <c r="C1852" s="3"/>
      <c r="D1852" s="3"/>
      <c r="E1852" s="3"/>
      <c r="F1852" s="3"/>
      <c r="G1852" s="3"/>
      <c r="H1852" s="3"/>
      <c r="L1852" s="3"/>
    </row>
    <row r="1853" ht="15.75" customHeight="1">
      <c r="A1853" s="3"/>
      <c r="B1853" s="12"/>
      <c r="C1853" s="3"/>
      <c r="D1853" s="3"/>
      <c r="E1853" s="3"/>
      <c r="F1853" s="3"/>
      <c r="G1853" s="3"/>
      <c r="H1853" s="3"/>
      <c r="L1853" s="3"/>
    </row>
    <row r="1854" ht="15.75" customHeight="1">
      <c r="A1854" s="3"/>
      <c r="B1854" s="12"/>
      <c r="C1854" s="3"/>
      <c r="D1854" s="3"/>
      <c r="E1854" s="3"/>
      <c r="F1854" s="3"/>
      <c r="G1854" s="3"/>
      <c r="H1854" s="3"/>
      <c r="L1854" s="3"/>
    </row>
    <row r="1855" ht="15.75" customHeight="1">
      <c r="A1855" s="3"/>
      <c r="B1855" s="12"/>
      <c r="C1855" s="3"/>
      <c r="D1855" s="3"/>
      <c r="E1855" s="3"/>
      <c r="F1855" s="3"/>
      <c r="G1855" s="3"/>
      <c r="H1855" s="3"/>
      <c r="L1855" s="3"/>
    </row>
    <row r="1856" ht="15.75" customHeight="1">
      <c r="A1856" s="3"/>
      <c r="B1856" s="12"/>
      <c r="C1856" s="3"/>
      <c r="D1856" s="3"/>
      <c r="E1856" s="3"/>
      <c r="F1856" s="3"/>
      <c r="G1856" s="3"/>
      <c r="H1856" s="3"/>
      <c r="L1856" s="3"/>
    </row>
    <row r="1857" ht="15.75" customHeight="1">
      <c r="A1857" s="3"/>
      <c r="B1857" s="12"/>
      <c r="C1857" s="3"/>
      <c r="D1857" s="3"/>
      <c r="E1857" s="3"/>
      <c r="F1857" s="3"/>
      <c r="G1857" s="3"/>
      <c r="H1857" s="3"/>
      <c r="L1857" s="3"/>
    </row>
    <row r="1858" ht="15.75" customHeight="1">
      <c r="A1858" s="3"/>
      <c r="B1858" s="12"/>
      <c r="C1858" s="3"/>
      <c r="D1858" s="3"/>
      <c r="E1858" s="3"/>
      <c r="F1858" s="3"/>
      <c r="G1858" s="3"/>
      <c r="H1858" s="3"/>
      <c r="L1858" s="3"/>
    </row>
    <row r="1859" ht="15.75" customHeight="1">
      <c r="A1859" s="3"/>
      <c r="B1859" s="12"/>
      <c r="C1859" s="3"/>
      <c r="D1859" s="3"/>
      <c r="E1859" s="3"/>
      <c r="F1859" s="3"/>
      <c r="G1859" s="3"/>
      <c r="H1859" s="3"/>
      <c r="L1859" s="3"/>
    </row>
    <row r="1860" ht="15.75" customHeight="1">
      <c r="A1860" s="3"/>
      <c r="B1860" s="12"/>
      <c r="C1860" s="3"/>
      <c r="D1860" s="3"/>
      <c r="E1860" s="3"/>
      <c r="F1860" s="3"/>
      <c r="G1860" s="3"/>
      <c r="H1860" s="3"/>
      <c r="L1860" s="3"/>
    </row>
    <row r="1861" ht="15.75" customHeight="1">
      <c r="A1861" s="3"/>
      <c r="B1861" s="12"/>
      <c r="C1861" s="3"/>
      <c r="D1861" s="3"/>
      <c r="E1861" s="3"/>
      <c r="F1861" s="3"/>
      <c r="G1861" s="3"/>
      <c r="H1861" s="3"/>
      <c r="L1861" s="3"/>
    </row>
    <row r="1862" ht="15.75" customHeight="1">
      <c r="A1862" s="3"/>
      <c r="B1862" s="12"/>
      <c r="C1862" s="3"/>
      <c r="D1862" s="3"/>
      <c r="E1862" s="3"/>
      <c r="F1862" s="3"/>
      <c r="G1862" s="3"/>
      <c r="H1862" s="3"/>
      <c r="L1862" s="3"/>
    </row>
    <row r="1863" ht="15.75" customHeight="1">
      <c r="A1863" s="3"/>
      <c r="B1863" s="12"/>
      <c r="C1863" s="3"/>
      <c r="D1863" s="3"/>
      <c r="E1863" s="3"/>
      <c r="F1863" s="3"/>
      <c r="G1863" s="3"/>
      <c r="H1863" s="3"/>
      <c r="L1863" s="3"/>
    </row>
    <row r="1864" ht="15.75" customHeight="1">
      <c r="A1864" s="3"/>
      <c r="B1864" s="12"/>
      <c r="C1864" s="3"/>
      <c r="D1864" s="3"/>
      <c r="E1864" s="3"/>
      <c r="F1864" s="3"/>
      <c r="G1864" s="3"/>
      <c r="H1864" s="3"/>
      <c r="L1864" s="3"/>
    </row>
    <row r="1865" ht="15.75" customHeight="1">
      <c r="A1865" s="3"/>
      <c r="B1865" s="12"/>
      <c r="C1865" s="3"/>
      <c r="D1865" s="3"/>
      <c r="E1865" s="3"/>
      <c r="F1865" s="3"/>
      <c r="G1865" s="3"/>
      <c r="H1865" s="3"/>
      <c r="L1865" s="3"/>
    </row>
    <row r="1866" ht="15.75" customHeight="1">
      <c r="A1866" s="3"/>
      <c r="B1866" s="12"/>
      <c r="C1866" s="3"/>
      <c r="D1866" s="3"/>
      <c r="E1866" s="3"/>
      <c r="F1866" s="3"/>
      <c r="G1866" s="3"/>
      <c r="H1866" s="3"/>
      <c r="L1866" s="3"/>
    </row>
    <row r="1867" ht="15.75" customHeight="1">
      <c r="A1867" s="3"/>
      <c r="B1867" s="12"/>
      <c r="C1867" s="3"/>
      <c r="D1867" s="3"/>
      <c r="E1867" s="3"/>
      <c r="F1867" s="3"/>
      <c r="G1867" s="3"/>
      <c r="H1867" s="3"/>
      <c r="L1867" s="3"/>
    </row>
    <row r="1868" ht="15.75" customHeight="1">
      <c r="A1868" s="3"/>
      <c r="B1868" s="12"/>
      <c r="C1868" s="3"/>
      <c r="D1868" s="3"/>
      <c r="E1868" s="3"/>
      <c r="F1868" s="3"/>
      <c r="G1868" s="3"/>
      <c r="H1868" s="3"/>
      <c r="L1868" s="3"/>
    </row>
    <row r="1869" ht="15.75" customHeight="1">
      <c r="A1869" s="3"/>
      <c r="B1869" s="12"/>
      <c r="C1869" s="3"/>
      <c r="D1869" s="3"/>
      <c r="E1869" s="3"/>
      <c r="F1869" s="3"/>
      <c r="G1869" s="3"/>
      <c r="H1869" s="3"/>
      <c r="L1869" s="3"/>
    </row>
    <row r="1870" ht="15.75" customHeight="1">
      <c r="A1870" s="3"/>
      <c r="B1870" s="12"/>
      <c r="C1870" s="3"/>
      <c r="D1870" s="3"/>
      <c r="E1870" s="3"/>
      <c r="F1870" s="3"/>
      <c r="G1870" s="3"/>
      <c r="H1870" s="3"/>
      <c r="L1870" s="3"/>
    </row>
    <row r="1871" ht="15.75" customHeight="1">
      <c r="A1871" s="3"/>
      <c r="B1871" s="12"/>
      <c r="C1871" s="3"/>
      <c r="D1871" s="3"/>
      <c r="E1871" s="3"/>
      <c r="F1871" s="3"/>
      <c r="G1871" s="3"/>
      <c r="H1871" s="3"/>
      <c r="L1871" s="3"/>
    </row>
    <row r="1872" ht="15.75" customHeight="1">
      <c r="A1872" s="3"/>
      <c r="B1872" s="12"/>
      <c r="C1872" s="3"/>
      <c r="D1872" s="3"/>
      <c r="E1872" s="3"/>
      <c r="F1872" s="3"/>
      <c r="G1872" s="3"/>
      <c r="H1872" s="3"/>
      <c r="L1872" s="3"/>
    </row>
    <row r="1873" ht="15.75" customHeight="1">
      <c r="A1873" s="3"/>
      <c r="B1873" s="12"/>
      <c r="C1873" s="3"/>
      <c r="D1873" s="3"/>
      <c r="E1873" s="3"/>
      <c r="F1873" s="3"/>
      <c r="G1873" s="3"/>
      <c r="H1873" s="3"/>
      <c r="L1873" s="3"/>
    </row>
    <row r="1874" ht="15.75" customHeight="1">
      <c r="A1874" s="3"/>
      <c r="B1874" s="12"/>
      <c r="C1874" s="3"/>
      <c r="D1874" s="3"/>
      <c r="E1874" s="3"/>
      <c r="F1874" s="3"/>
      <c r="G1874" s="3"/>
      <c r="H1874" s="3"/>
      <c r="L1874" s="3"/>
    </row>
    <row r="1875" ht="15.75" customHeight="1">
      <c r="A1875" s="3"/>
      <c r="B1875" s="12"/>
      <c r="C1875" s="3"/>
      <c r="D1875" s="3"/>
      <c r="E1875" s="3"/>
      <c r="F1875" s="3"/>
      <c r="G1875" s="3"/>
      <c r="H1875" s="3"/>
      <c r="L1875" s="3"/>
    </row>
    <row r="1876" ht="15.75" customHeight="1">
      <c r="A1876" s="3"/>
      <c r="B1876" s="12"/>
      <c r="C1876" s="3"/>
      <c r="D1876" s="3"/>
      <c r="E1876" s="3"/>
      <c r="F1876" s="3"/>
      <c r="G1876" s="3"/>
      <c r="H1876" s="3"/>
      <c r="L1876" s="3"/>
    </row>
    <row r="1877" ht="15.75" customHeight="1">
      <c r="A1877" s="3"/>
      <c r="B1877" s="12"/>
      <c r="C1877" s="3"/>
      <c r="D1877" s="3"/>
      <c r="E1877" s="3"/>
      <c r="F1877" s="3"/>
      <c r="G1877" s="3"/>
      <c r="H1877" s="3"/>
      <c r="L1877" s="3"/>
    </row>
    <row r="1878" ht="15.75" customHeight="1">
      <c r="A1878" s="3"/>
      <c r="B1878" s="12"/>
      <c r="C1878" s="3"/>
      <c r="D1878" s="3"/>
      <c r="E1878" s="3"/>
      <c r="F1878" s="3"/>
      <c r="G1878" s="3"/>
      <c r="H1878" s="3"/>
      <c r="L1878" s="3"/>
    </row>
    <row r="1879" ht="15.75" customHeight="1">
      <c r="A1879" s="3"/>
      <c r="B1879" s="12"/>
      <c r="C1879" s="3"/>
      <c r="D1879" s="3"/>
      <c r="E1879" s="3"/>
      <c r="F1879" s="3"/>
      <c r="G1879" s="3"/>
      <c r="H1879" s="3"/>
      <c r="L1879" s="3"/>
    </row>
    <row r="1880" ht="15.75" customHeight="1">
      <c r="A1880" s="3"/>
      <c r="B1880" s="12"/>
      <c r="C1880" s="3"/>
      <c r="D1880" s="3"/>
      <c r="E1880" s="3"/>
      <c r="F1880" s="3"/>
      <c r="G1880" s="3"/>
      <c r="H1880" s="3"/>
      <c r="L1880" s="3"/>
    </row>
    <row r="1881" ht="15.75" customHeight="1">
      <c r="A1881" s="3"/>
      <c r="B1881" s="12"/>
      <c r="C1881" s="3"/>
      <c r="D1881" s="3"/>
      <c r="E1881" s="3"/>
      <c r="F1881" s="3"/>
      <c r="G1881" s="3"/>
      <c r="H1881" s="3"/>
      <c r="L1881" s="3"/>
    </row>
    <row r="1882" ht="15.75" customHeight="1">
      <c r="A1882" s="3"/>
      <c r="B1882" s="12"/>
      <c r="C1882" s="3"/>
      <c r="D1882" s="3"/>
      <c r="E1882" s="3"/>
      <c r="F1882" s="3"/>
      <c r="G1882" s="3"/>
      <c r="H1882" s="3"/>
      <c r="L1882" s="3"/>
    </row>
    <row r="1883" ht="15.75" customHeight="1">
      <c r="A1883" s="3"/>
      <c r="B1883" s="12"/>
      <c r="C1883" s="3"/>
      <c r="D1883" s="3"/>
      <c r="E1883" s="3"/>
      <c r="F1883" s="3"/>
      <c r="G1883" s="3"/>
      <c r="H1883" s="3"/>
      <c r="L1883" s="3"/>
    </row>
    <row r="1884" ht="15.75" customHeight="1">
      <c r="A1884" s="3"/>
      <c r="B1884" s="12"/>
      <c r="C1884" s="3"/>
      <c r="D1884" s="3"/>
      <c r="E1884" s="3"/>
      <c r="F1884" s="3"/>
      <c r="G1884" s="3"/>
      <c r="H1884" s="3"/>
      <c r="L1884" s="3"/>
    </row>
    <row r="1885" ht="15.75" customHeight="1">
      <c r="A1885" s="3"/>
      <c r="B1885" s="12"/>
      <c r="C1885" s="3"/>
      <c r="D1885" s="3"/>
      <c r="E1885" s="3"/>
      <c r="F1885" s="3"/>
      <c r="G1885" s="3"/>
      <c r="H1885" s="3"/>
      <c r="L1885" s="3"/>
    </row>
    <row r="1886" ht="15.75" customHeight="1">
      <c r="A1886" s="3"/>
      <c r="B1886" s="12"/>
      <c r="C1886" s="3"/>
      <c r="D1886" s="3"/>
      <c r="E1886" s="3"/>
      <c r="F1886" s="3"/>
      <c r="G1886" s="3"/>
      <c r="H1886" s="3"/>
      <c r="L1886" s="3"/>
    </row>
    <row r="1887" ht="15.75" customHeight="1">
      <c r="A1887" s="3"/>
      <c r="B1887" s="12"/>
      <c r="C1887" s="3"/>
      <c r="D1887" s="3"/>
      <c r="E1887" s="3"/>
      <c r="F1887" s="3"/>
      <c r="G1887" s="3"/>
      <c r="H1887" s="3"/>
      <c r="L1887" s="3"/>
    </row>
    <row r="1888" ht="15.75" customHeight="1">
      <c r="A1888" s="3"/>
      <c r="B1888" s="12"/>
      <c r="C1888" s="3"/>
      <c r="D1888" s="3"/>
      <c r="E1888" s="3"/>
      <c r="F1888" s="3"/>
      <c r="G1888" s="3"/>
      <c r="H1888" s="3"/>
      <c r="L1888" s="3"/>
    </row>
    <row r="1889" ht="15.75" customHeight="1">
      <c r="A1889" s="3"/>
      <c r="B1889" s="12"/>
      <c r="C1889" s="3"/>
      <c r="D1889" s="3"/>
      <c r="E1889" s="3"/>
      <c r="F1889" s="3"/>
      <c r="G1889" s="3"/>
      <c r="H1889" s="3"/>
      <c r="L1889" s="3"/>
    </row>
    <row r="1890" ht="15.75" customHeight="1">
      <c r="A1890" s="3"/>
      <c r="B1890" s="12"/>
      <c r="C1890" s="3"/>
      <c r="D1890" s="3"/>
      <c r="E1890" s="3"/>
      <c r="F1890" s="3"/>
      <c r="G1890" s="3"/>
      <c r="H1890" s="3"/>
      <c r="L1890" s="3"/>
    </row>
    <row r="1891" ht="15.75" customHeight="1">
      <c r="A1891" s="3"/>
      <c r="B1891" s="12"/>
      <c r="C1891" s="3"/>
      <c r="D1891" s="3"/>
      <c r="E1891" s="3"/>
      <c r="F1891" s="3"/>
      <c r="G1891" s="3"/>
      <c r="H1891" s="3"/>
      <c r="L1891" s="3"/>
    </row>
    <row r="1892" ht="15.75" customHeight="1">
      <c r="A1892" s="3"/>
      <c r="B1892" s="12"/>
      <c r="C1892" s="3"/>
      <c r="D1892" s="3"/>
      <c r="E1892" s="3"/>
      <c r="F1892" s="3"/>
      <c r="G1892" s="3"/>
      <c r="H1892" s="3"/>
      <c r="L1892" s="3"/>
    </row>
    <row r="1893" ht="15.75" customHeight="1">
      <c r="A1893" s="3"/>
      <c r="B1893" s="12"/>
      <c r="C1893" s="3"/>
      <c r="D1893" s="3"/>
      <c r="E1893" s="3"/>
      <c r="F1893" s="3"/>
      <c r="G1893" s="3"/>
      <c r="H1893" s="3"/>
      <c r="L1893" s="3"/>
    </row>
    <row r="1894" ht="15.75" customHeight="1">
      <c r="A1894" s="3"/>
      <c r="B1894" s="12"/>
      <c r="C1894" s="3"/>
      <c r="D1894" s="3"/>
      <c r="E1894" s="3"/>
      <c r="F1894" s="3"/>
      <c r="G1894" s="3"/>
      <c r="H1894" s="3"/>
      <c r="L1894" s="3"/>
    </row>
    <row r="1895" ht="15.75" customHeight="1">
      <c r="A1895" s="3"/>
      <c r="B1895" s="12"/>
      <c r="C1895" s="3"/>
      <c r="D1895" s="3"/>
      <c r="E1895" s="3"/>
      <c r="F1895" s="3"/>
      <c r="G1895" s="3"/>
      <c r="H1895" s="3"/>
      <c r="L1895" s="3"/>
    </row>
    <row r="1896" ht="15.75" customHeight="1">
      <c r="A1896" s="3"/>
      <c r="B1896" s="12"/>
      <c r="C1896" s="3"/>
      <c r="D1896" s="3"/>
      <c r="E1896" s="3"/>
      <c r="F1896" s="3"/>
      <c r="G1896" s="3"/>
      <c r="H1896" s="3"/>
      <c r="L1896" s="3"/>
    </row>
    <row r="1897" ht="15.75" customHeight="1">
      <c r="A1897" s="3"/>
      <c r="B1897" s="12"/>
      <c r="C1897" s="3"/>
      <c r="D1897" s="3"/>
      <c r="E1897" s="3"/>
      <c r="F1897" s="3"/>
      <c r="G1897" s="3"/>
      <c r="H1897" s="3"/>
      <c r="L1897" s="3"/>
    </row>
    <row r="1898" ht="15.75" customHeight="1">
      <c r="A1898" s="3"/>
      <c r="B1898" s="12"/>
      <c r="C1898" s="3"/>
      <c r="D1898" s="3"/>
      <c r="E1898" s="3"/>
      <c r="F1898" s="3"/>
      <c r="G1898" s="3"/>
      <c r="H1898" s="3"/>
      <c r="L1898" s="3"/>
    </row>
    <row r="1899" ht="15.75" customHeight="1">
      <c r="A1899" s="3"/>
      <c r="B1899" s="12"/>
      <c r="C1899" s="3"/>
      <c r="D1899" s="3"/>
      <c r="E1899" s="3"/>
      <c r="F1899" s="3"/>
      <c r="G1899" s="3"/>
      <c r="H1899" s="3"/>
      <c r="L1899" s="3"/>
    </row>
    <row r="1900" ht="15.75" customHeight="1">
      <c r="A1900" s="3"/>
      <c r="B1900" s="12"/>
      <c r="C1900" s="3"/>
      <c r="D1900" s="3"/>
      <c r="E1900" s="3"/>
      <c r="F1900" s="3"/>
      <c r="G1900" s="3"/>
      <c r="H1900" s="3"/>
      <c r="L1900" s="3"/>
    </row>
    <row r="1901" ht="15.75" customHeight="1">
      <c r="A1901" s="3"/>
      <c r="B1901" s="12"/>
      <c r="C1901" s="3"/>
      <c r="D1901" s="3"/>
      <c r="E1901" s="3"/>
      <c r="F1901" s="3"/>
      <c r="G1901" s="3"/>
      <c r="H1901" s="3"/>
      <c r="L1901" s="3"/>
    </row>
    <row r="1902" ht="15.75" customHeight="1">
      <c r="A1902" s="3"/>
      <c r="B1902" s="12"/>
      <c r="C1902" s="3"/>
      <c r="D1902" s="3"/>
      <c r="E1902" s="3"/>
      <c r="F1902" s="3"/>
      <c r="G1902" s="3"/>
      <c r="H1902" s="3"/>
      <c r="L1902" s="3"/>
    </row>
    <row r="1903" ht="15.75" customHeight="1">
      <c r="A1903" s="3"/>
      <c r="B1903" s="12"/>
      <c r="C1903" s="3"/>
      <c r="D1903" s="3"/>
      <c r="E1903" s="3"/>
      <c r="F1903" s="3"/>
      <c r="G1903" s="3"/>
      <c r="H1903" s="3"/>
      <c r="L1903" s="3"/>
    </row>
    <row r="1904" ht="15.75" customHeight="1">
      <c r="A1904" s="3"/>
      <c r="B1904" s="12"/>
      <c r="C1904" s="3"/>
      <c r="D1904" s="3"/>
      <c r="E1904" s="3"/>
      <c r="F1904" s="3"/>
      <c r="G1904" s="3"/>
      <c r="H1904" s="3"/>
      <c r="L1904" s="3"/>
    </row>
    <row r="1905" ht="15.75" customHeight="1">
      <c r="A1905" s="3"/>
      <c r="B1905" s="12"/>
      <c r="C1905" s="3"/>
      <c r="D1905" s="3"/>
      <c r="E1905" s="3"/>
      <c r="F1905" s="3"/>
      <c r="G1905" s="3"/>
      <c r="H1905" s="3"/>
      <c r="L1905" s="3"/>
    </row>
    <row r="1906" ht="15.75" customHeight="1">
      <c r="A1906" s="3"/>
      <c r="B1906" s="12"/>
      <c r="C1906" s="3"/>
      <c r="D1906" s="3"/>
      <c r="E1906" s="3"/>
      <c r="F1906" s="3"/>
      <c r="G1906" s="3"/>
      <c r="H1906" s="3"/>
      <c r="L1906" s="3"/>
    </row>
    <row r="1907" ht="15.75" customHeight="1">
      <c r="A1907" s="3"/>
      <c r="B1907" s="12"/>
      <c r="C1907" s="3"/>
      <c r="D1907" s="3"/>
      <c r="E1907" s="3"/>
      <c r="F1907" s="3"/>
      <c r="G1907" s="3"/>
      <c r="H1907" s="3"/>
      <c r="L1907" s="3"/>
    </row>
    <row r="1908" ht="15.75" customHeight="1">
      <c r="A1908" s="3"/>
      <c r="B1908" s="12"/>
      <c r="C1908" s="3"/>
      <c r="D1908" s="3"/>
      <c r="E1908" s="3"/>
      <c r="F1908" s="3"/>
      <c r="G1908" s="3"/>
      <c r="H1908" s="3"/>
      <c r="L1908" s="3"/>
    </row>
    <row r="1909" ht="15.75" customHeight="1">
      <c r="A1909" s="3"/>
      <c r="B1909" s="12"/>
      <c r="C1909" s="3"/>
      <c r="D1909" s="3"/>
      <c r="E1909" s="3"/>
      <c r="F1909" s="3"/>
      <c r="G1909" s="3"/>
      <c r="H1909" s="3"/>
      <c r="L1909" s="3"/>
    </row>
    <row r="1910" ht="15.75" customHeight="1">
      <c r="A1910" s="3"/>
      <c r="B1910" s="12"/>
      <c r="C1910" s="3"/>
      <c r="D1910" s="3"/>
      <c r="E1910" s="3"/>
      <c r="F1910" s="3"/>
      <c r="G1910" s="3"/>
      <c r="H1910" s="3"/>
      <c r="L1910" s="3"/>
    </row>
    <row r="1911" ht="15.75" customHeight="1">
      <c r="A1911" s="3"/>
      <c r="B1911" s="12"/>
      <c r="C1911" s="3"/>
      <c r="D1911" s="3"/>
      <c r="E1911" s="3"/>
      <c r="F1911" s="3"/>
      <c r="G1911" s="3"/>
      <c r="H1911" s="3"/>
      <c r="L1911" s="3"/>
    </row>
    <row r="1912" ht="15.75" customHeight="1">
      <c r="A1912" s="3"/>
      <c r="B1912" s="12"/>
      <c r="C1912" s="3"/>
      <c r="D1912" s="3"/>
      <c r="E1912" s="3"/>
      <c r="F1912" s="3"/>
      <c r="G1912" s="3"/>
      <c r="H1912" s="3"/>
      <c r="L1912" s="3"/>
    </row>
    <row r="1913" ht="15.75" customHeight="1">
      <c r="A1913" s="3"/>
      <c r="B1913" s="12"/>
      <c r="C1913" s="3"/>
      <c r="D1913" s="3"/>
      <c r="E1913" s="3"/>
      <c r="F1913" s="3"/>
      <c r="G1913" s="3"/>
      <c r="H1913" s="3"/>
      <c r="L1913" s="3"/>
    </row>
    <row r="1914" ht="15.75" customHeight="1">
      <c r="A1914" s="3"/>
      <c r="B1914" s="12"/>
      <c r="C1914" s="3"/>
      <c r="D1914" s="3"/>
      <c r="E1914" s="3"/>
      <c r="F1914" s="3"/>
      <c r="G1914" s="3"/>
      <c r="H1914" s="3"/>
      <c r="L1914" s="3"/>
    </row>
    <row r="1915" ht="15.75" customHeight="1">
      <c r="A1915" s="3"/>
      <c r="B1915" s="12"/>
      <c r="C1915" s="3"/>
      <c r="D1915" s="3"/>
      <c r="E1915" s="3"/>
      <c r="F1915" s="3"/>
      <c r="G1915" s="3"/>
      <c r="H1915" s="3"/>
      <c r="L1915" s="3"/>
    </row>
    <row r="1916" ht="15.75" customHeight="1">
      <c r="A1916" s="3"/>
      <c r="B1916" s="12"/>
      <c r="C1916" s="3"/>
      <c r="D1916" s="3"/>
      <c r="E1916" s="3"/>
      <c r="F1916" s="3"/>
      <c r="G1916" s="3"/>
      <c r="H1916" s="3"/>
      <c r="L1916" s="3"/>
    </row>
    <row r="1917" ht="15.75" customHeight="1">
      <c r="A1917" s="3"/>
      <c r="B1917" s="12"/>
      <c r="C1917" s="3"/>
      <c r="D1917" s="3"/>
      <c r="E1917" s="3"/>
      <c r="F1917" s="3"/>
      <c r="G1917" s="3"/>
      <c r="H1917" s="3"/>
      <c r="L1917" s="3"/>
    </row>
    <row r="1918" ht="15.75" customHeight="1">
      <c r="A1918" s="3"/>
      <c r="B1918" s="12"/>
      <c r="C1918" s="3"/>
      <c r="D1918" s="3"/>
      <c r="E1918" s="3"/>
      <c r="F1918" s="3"/>
      <c r="G1918" s="3"/>
      <c r="H1918" s="3"/>
      <c r="L1918" s="3"/>
    </row>
    <row r="1919" ht="15.75" customHeight="1">
      <c r="A1919" s="3"/>
      <c r="B1919" s="12"/>
      <c r="C1919" s="3"/>
      <c r="D1919" s="3"/>
      <c r="E1919" s="3"/>
      <c r="F1919" s="3"/>
      <c r="G1919" s="3"/>
      <c r="H1919" s="3"/>
      <c r="L1919" s="3"/>
    </row>
    <row r="1920" ht="15.75" customHeight="1">
      <c r="A1920" s="3"/>
      <c r="B1920" s="12"/>
      <c r="C1920" s="3"/>
      <c r="D1920" s="3"/>
      <c r="E1920" s="3"/>
      <c r="F1920" s="3"/>
      <c r="G1920" s="3"/>
      <c r="H1920" s="3"/>
      <c r="L1920" s="3"/>
    </row>
    <row r="1921" ht="15.75" customHeight="1">
      <c r="A1921" s="3"/>
      <c r="B1921" s="12"/>
      <c r="C1921" s="3"/>
      <c r="D1921" s="3"/>
      <c r="E1921" s="3"/>
      <c r="F1921" s="3"/>
      <c r="G1921" s="3"/>
      <c r="H1921" s="3"/>
      <c r="L1921" s="3"/>
    </row>
    <row r="1922" ht="15.75" customHeight="1">
      <c r="A1922" s="3"/>
      <c r="B1922" s="12"/>
      <c r="C1922" s="3"/>
      <c r="D1922" s="3"/>
      <c r="E1922" s="3"/>
      <c r="F1922" s="3"/>
      <c r="G1922" s="3"/>
      <c r="H1922" s="3"/>
      <c r="L1922" s="3"/>
    </row>
    <row r="1923" ht="15.75" customHeight="1">
      <c r="A1923" s="3"/>
      <c r="B1923" s="12"/>
      <c r="C1923" s="3"/>
      <c r="D1923" s="3"/>
      <c r="E1923" s="3"/>
      <c r="F1923" s="3"/>
      <c r="G1923" s="3"/>
      <c r="H1923" s="3"/>
      <c r="L1923" s="3"/>
    </row>
    <row r="1924" ht="15.75" customHeight="1">
      <c r="A1924" s="3"/>
      <c r="B1924" s="12"/>
      <c r="C1924" s="3"/>
      <c r="D1924" s="3"/>
      <c r="E1924" s="3"/>
      <c r="F1924" s="3"/>
      <c r="G1924" s="3"/>
      <c r="H1924" s="3"/>
      <c r="L1924" s="3"/>
    </row>
    <row r="1925" ht="15.75" customHeight="1">
      <c r="A1925" s="3"/>
      <c r="B1925" s="12"/>
      <c r="C1925" s="3"/>
      <c r="D1925" s="3"/>
      <c r="E1925" s="3"/>
      <c r="F1925" s="3"/>
      <c r="G1925" s="3"/>
      <c r="H1925" s="3"/>
      <c r="L1925" s="3"/>
    </row>
    <row r="1926" ht="15.75" customHeight="1">
      <c r="A1926" s="3"/>
      <c r="B1926" s="12"/>
      <c r="C1926" s="3"/>
      <c r="D1926" s="3"/>
      <c r="E1926" s="3"/>
      <c r="F1926" s="3"/>
      <c r="G1926" s="3"/>
      <c r="H1926" s="3"/>
      <c r="L1926" s="3"/>
    </row>
    <row r="1927" ht="15.75" customHeight="1">
      <c r="A1927" s="3"/>
      <c r="B1927" s="12"/>
      <c r="C1927" s="3"/>
      <c r="D1927" s="3"/>
      <c r="E1927" s="3"/>
      <c r="F1927" s="3"/>
      <c r="G1927" s="3"/>
      <c r="H1927" s="3"/>
      <c r="L1927" s="3"/>
    </row>
    <row r="1928" ht="15.75" customHeight="1">
      <c r="A1928" s="3"/>
      <c r="B1928" s="12"/>
      <c r="C1928" s="3"/>
      <c r="D1928" s="3"/>
      <c r="E1928" s="3"/>
      <c r="F1928" s="3"/>
      <c r="G1928" s="3"/>
      <c r="H1928" s="3"/>
      <c r="L1928" s="3"/>
    </row>
    <row r="1929" ht="15.75" customHeight="1">
      <c r="A1929" s="3"/>
      <c r="B1929" s="12"/>
      <c r="C1929" s="3"/>
      <c r="D1929" s="3"/>
      <c r="E1929" s="3"/>
      <c r="F1929" s="3"/>
      <c r="G1929" s="3"/>
      <c r="H1929" s="3"/>
      <c r="L1929" s="3"/>
    </row>
    <row r="1930" ht="15.75" customHeight="1">
      <c r="A1930" s="3"/>
      <c r="B1930" s="12"/>
      <c r="C1930" s="3"/>
      <c r="D1930" s="3"/>
      <c r="E1930" s="3"/>
      <c r="F1930" s="3"/>
      <c r="G1930" s="3"/>
      <c r="H1930" s="3"/>
      <c r="L1930" s="3"/>
    </row>
    <row r="1931" ht="15.75" customHeight="1">
      <c r="A1931" s="3"/>
      <c r="B1931" s="12"/>
      <c r="C1931" s="3"/>
      <c r="D1931" s="3"/>
      <c r="E1931" s="3"/>
      <c r="F1931" s="3"/>
      <c r="G1931" s="3"/>
      <c r="H1931" s="3"/>
      <c r="L1931" s="3"/>
    </row>
    <row r="1932" ht="15.75" customHeight="1">
      <c r="A1932" s="3"/>
      <c r="B1932" s="12"/>
      <c r="C1932" s="3"/>
      <c r="D1932" s="3"/>
      <c r="E1932" s="3"/>
      <c r="F1932" s="3"/>
      <c r="G1932" s="3"/>
      <c r="H1932" s="3"/>
      <c r="L1932" s="3"/>
    </row>
    <row r="1933" ht="15.75" customHeight="1">
      <c r="A1933" s="3"/>
      <c r="B1933" s="12"/>
      <c r="C1933" s="3"/>
      <c r="D1933" s="3"/>
      <c r="E1933" s="3"/>
      <c r="F1933" s="3"/>
      <c r="G1933" s="3"/>
      <c r="H1933" s="3"/>
      <c r="L1933" s="3"/>
    </row>
    <row r="1934" ht="15.75" customHeight="1">
      <c r="A1934" s="3"/>
      <c r="B1934" s="12"/>
      <c r="C1934" s="3"/>
      <c r="D1934" s="3"/>
      <c r="E1934" s="3"/>
      <c r="F1934" s="3"/>
      <c r="G1934" s="3"/>
      <c r="H1934" s="3"/>
      <c r="L1934" s="3"/>
    </row>
    <row r="1935" ht="15.75" customHeight="1">
      <c r="A1935" s="3"/>
      <c r="B1935" s="12"/>
      <c r="C1935" s="3"/>
      <c r="D1935" s="3"/>
      <c r="E1935" s="3"/>
      <c r="F1935" s="3"/>
      <c r="G1935" s="3"/>
      <c r="H1935" s="3"/>
      <c r="L1935" s="3"/>
    </row>
    <row r="1936" ht="15.75" customHeight="1">
      <c r="A1936" s="3"/>
      <c r="B1936" s="12"/>
      <c r="C1936" s="3"/>
      <c r="D1936" s="3"/>
      <c r="E1936" s="3"/>
      <c r="F1936" s="3"/>
      <c r="G1936" s="3"/>
      <c r="H1936" s="3"/>
      <c r="L1936" s="3"/>
    </row>
    <row r="1937" ht="15.75" customHeight="1">
      <c r="A1937" s="3"/>
      <c r="B1937" s="12"/>
      <c r="C1937" s="3"/>
      <c r="D1937" s="3"/>
      <c r="E1937" s="3"/>
      <c r="F1937" s="3"/>
      <c r="G1937" s="3"/>
      <c r="H1937" s="3"/>
      <c r="L1937" s="3"/>
    </row>
    <row r="1938" ht="15.75" customHeight="1">
      <c r="A1938" s="3"/>
      <c r="B1938" s="12"/>
      <c r="C1938" s="3"/>
      <c r="D1938" s="3"/>
      <c r="E1938" s="3"/>
      <c r="F1938" s="3"/>
      <c r="G1938" s="3"/>
      <c r="H1938" s="3"/>
      <c r="L1938" s="3"/>
    </row>
    <row r="1939" ht="15.75" customHeight="1">
      <c r="A1939" s="3"/>
      <c r="B1939" s="12"/>
      <c r="C1939" s="3"/>
      <c r="D1939" s="3"/>
      <c r="E1939" s="3"/>
      <c r="F1939" s="3"/>
      <c r="G1939" s="3"/>
      <c r="H1939" s="3"/>
      <c r="L1939" s="3"/>
    </row>
    <row r="1940" ht="15.75" customHeight="1">
      <c r="A1940" s="3"/>
      <c r="B1940" s="12"/>
      <c r="C1940" s="3"/>
      <c r="D1940" s="3"/>
      <c r="E1940" s="3"/>
      <c r="F1940" s="3"/>
      <c r="G1940" s="3"/>
      <c r="H1940" s="3"/>
      <c r="L1940" s="3"/>
    </row>
    <row r="1941" ht="15.75" customHeight="1">
      <c r="A1941" s="3"/>
      <c r="B1941" s="12"/>
      <c r="C1941" s="3"/>
      <c r="D1941" s="3"/>
      <c r="E1941" s="3"/>
      <c r="F1941" s="3"/>
      <c r="G1941" s="3"/>
      <c r="H1941" s="3"/>
      <c r="L1941" s="3"/>
    </row>
    <row r="1942" ht="15.75" customHeight="1">
      <c r="A1942" s="3"/>
      <c r="B1942" s="12"/>
      <c r="C1942" s="3"/>
      <c r="D1942" s="3"/>
      <c r="E1942" s="3"/>
      <c r="F1942" s="3"/>
      <c r="G1942" s="3"/>
      <c r="H1942" s="3"/>
      <c r="L1942" s="3"/>
    </row>
    <row r="1943" ht="15.75" customHeight="1">
      <c r="A1943" s="3"/>
      <c r="B1943" s="12"/>
      <c r="C1943" s="3"/>
      <c r="D1943" s="3"/>
      <c r="E1943" s="3"/>
      <c r="F1943" s="3"/>
      <c r="G1943" s="3"/>
      <c r="H1943" s="3"/>
      <c r="L1943" s="3"/>
    </row>
    <row r="1944" ht="15.75" customHeight="1">
      <c r="A1944" s="3"/>
      <c r="B1944" s="12"/>
      <c r="C1944" s="3"/>
      <c r="D1944" s="3"/>
      <c r="E1944" s="3"/>
      <c r="F1944" s="3"/>
      <c r="G1944" s="3"/>
      <c r="H1944" s="3"/>
      <c r="L1944" s="3"/>
    </row>
    <row r="1945" ht="15.75" customHeight="1">
      <c r="A1945" s="3"/>
      <c r="B1945" s="12"/>
      <c r="C1945" s="3"/>
      <c r="D1945" s="3"/>
      <c r="E1945" s="3"/>
      <c r="F1945" s="3"/>
      <c r="G1945" s="3"/>
      <c r="H1945" s="3"/>
      <c r="L1945" s="3"/>
    </row>
    <row r="1946" ht="15.75" customHeight="1">
      <c r="A1946" s="3"/>
      <c r="B1946" s="12"/>
      <c r="C1946" s="3"/>
      <c r="D1946" s="3"/>
      <c r="E1946" s="3"/>
      <c r="F1946" s="3"/>
      <c r="G1946" s="3"/>
      <c r="H1946" s="3"/>
      <c r="L1946" s="3"/>
    </row>
    <row r="1947" ht="15.75" customHeight="1">
      <c r="A1947" s="3"/>
      <c r="B1947" s="12"/>
      <c r="C1947" s="3"/>
      <c r="D1947" s="3"/>
      <c r="E1947" s="3"/>
      <c r="F1947" s="3"/>
      <c r="G1947" s="3"/>
      <c r="H1947" s="3"/>
      <c r="L1947" s="3"/>
    </row>
    <row r="1948" ht="15.75" customHeight="1">
      <c r="A1948" s="3"/>
      <c r="B1948" s="12"/>
      <c r="C1948" s="3"/>
      <c r="D1948" s="3"/>
      <c r="E1948" s="3"/>
      <c r="F1948" s="3"/>
      <c r="G1948" s="3"/>
      <c r="H1948" s="3"/>
      <c r="L1948" s="3"/>
    </row>
    <row r="1949" ht="15.75" customHeight="1">
      <c r="A1949" s="3"/>
      <c r="B1949" s="12"/>
      <c r="C1949" s="3"/>
      <c r="D1949" s="3"/>
      <c r="E1949" s="3"/>
      <c r="F1949" s="3"/>
      <c r="G1949" s="3"/>
      <c r="H1949" s="3"/>
      <c r="L1949" s="3"/>
    </row>
    <row r="1950" ht="15.75" customHeight="1">
      <c r="A1950" s="3"/>
      <c r="B1950" s="12"/>
      <c r="C1950" s="3"/>
      <c r="D1950" s="3"/>
      <c r="E1950" s="3"/>
      <c r="F1950" s="3"/>
      <c r="G1950" s="3"/>
      <c r="H1950" s="3"/>
      <c r="L1950" s="3"/>
    </row>
    <row r="1951" ht="15.75" customHeight="1">
      <c r="A1951" s="3"/>
      <c r="B1951" s="12"/>
      <c r="C1951" s="3"/>
      <c r="D1951" s="3"/>
      <c r="E1951" s="3"/>
      <c r="F1951" s="3"/>
      <c r="G1951" s="3"/>
      <c r="H1951" s="3"/>
      <c r="L1951" s="3"/>
    </row>
    <row r="1952" ht="15.75" customHeight="1">
      <c r="A1952" s="3"/>
      <c r="B1952" s="12"/>
      <c r="C1952" s="3"/>
      <c r="D1952" s="3"/>
      <c r="E1952" s="3"/>
      <c r="F1952" s="3"/>
      <c r="G1952" s="3"/>
      <c r="H1952" s="3"/>
      <c r="L1952" s="3"/>
    </row>
    <row r="1953" ht="15.75" customHeight="1">
      <c r="A1953" s="3"/>
      <c r="B1953" s="12"/>
      <c r="C1953" s="3"/>
      <c r="D1953" s="3"/>
      <c r="E1953" s="3"/>
      <c r="F1953" s="3"/>
      <c r="G1953" s="3"/>
      <c r="H1953" s="3"/>
      <c r="L1953" s="3"/>
    </row>
    <row r="1954" ht="15.75" customHeight="1">
      <c r="A1954" s="3"/>
      <c r="B1954" s="12"/>
      <c r="C1954" s="3"/>
      <c r="D1954" s="3"/>
      <c r="E1954" s="3"/>
      <c r="F1954" s="3"/>
      <c r="G1954" s="3"/>
      <c r="H1954" s="3"/>
      <c r="L1954" s="3"/>
    </row>
    <row r="1955" ht="15.75" customHeight="1">
      <c r="A1955" s="3"/>
      <c r="B1955" s="12"/>
      <c r="C1955" s="3"/>
      <c r="D1955" s="3"/>
      <c r="E1955" s="3"/>
      <c r="F1955" s="3"/>
      <c r="G1955" s="3"/>
      <c r="H1955" s="3"/>
      <c r="L1955" s="3"/>
    </row>
    <row r="1956" ht="15.75" customHeight="1">
      <c r="A1956" s="3"/>
      <c r="B1956" s="12"/>
      <c r="C1956" s="3"/>
      <c r="D1956" s="3"/>
      <c r="E1956" s="3"/>
      <c r="F1956" s="3"/>
      <c r="G1956" s="3"/>
      <c r="H1956" s="3"/>
      <c r="L1956" s="3"/>
    </row>
    <row r="1957" ht="15.75" customHeight="1">
      <c r="A1957" s="3"/>
      <c r="B1957" s="12"/>
      <c r="C1957" s="3"/>
      <c r="D1957" s="3"/>
      <c r="E1957" s="3"/>
      <c r="F1957" s="3"/>
      <c r="G1957" s="3"/>
      <c r="H1957" s="3"/>
      <c r="L1957" s="3"/>
    </row>
    <row r="1958" ht="15.75" customHeight="1">
      <c r="A1958" s="3"/>
      <c r="B1958" s="12"/>
      <c r="C1958" s="3"/>
      <c r="D1958" s="3"/>
      <c r="E1958" s="3"/>
      <c r="F1958" s="3"/>
      <c r="G1958" s="3"/>
      <c r="H1958" s="3"/>
      <c r="L1958" s="3"/>
    </row>
    <row r="1959" ht="15.75" customHeight="1">
      <c r="A1959" s="3"/>
      <c r="B1959" s="12"/>
      <c r="C1959" s="3"/>
      <c r="D1959" s="3"/>
      <c r="E1959" s="3"/>
      <c r="F1959" s="3"/>
      <c r="G1959" s="3"/>
      <c r="H1959" s="3"/>
      <c r="L1959" s="3"/>
    </row>
    <row r="1960" ht="15.75" customHeight="1">
      <c r="A1960" s="3"/>
      <c r="B1960" s="12"/>
      <c r="C1960" s="3"/>
      <c r="D1960" s="3"/>
      <c r="E1960" s="3"/>
      <c r="F1960" s="3"/>
      <c r="G1960" s="3"/>
      <c r="H1960" s="3"/>
      <c r="L1960" s="3"/>
    </row>
    <row r="1961" ht="15.75" customHeight="1">
      <c r="A1961" s="3"/>
      <c r="B1961" s="12"/>
      <c r="C1961" s="3"/>
      <c r="D1961" s="3"/>
      <c r="E1961" s="3"/>
      <c r="F1961" s="3"/>
      <c r="G1961" s="3"/>
      <c r="H1961" s="3"/>
      <c r="L1961" s="3"/>
    </row>
    <row r="1962" ht="15.75" customHeight="1">
      <c r="A1962" s="3"/>
      <c r="B1962" s="12"/>
      <c r="C1962" s="3"/>
      <c r="D1962" s="3"/>
      <c r="E1962" s="3"/>
      <c r="F1962" s="3"/>
      <c r="G1962" s="3"/>
      <c r="H1962" s="3"/>
      <c r="L1962" s="3"/>
    </row>
    <row r="1963" ht="15.75" customHeight="1">
      <c r="A1963" s="3"/>
      <c r="B1963" s="12"/>
      <c r="C1963" s="3"/>
      <c r="D1963" s="3"/>
      <c r="E1963" s="3"/>
      <c r="F1963" s="3"/>
      <c r="G1963" s="3"/>
      <c r="H1963" s="3"/>
      <c r="L1963" s="3"/>
    </row>
    <row r="1964" ht="15.75" customHeight="1">
      <c r="A1964" s="3"/>
      <c r="B1964" s="12"/>
      <c r="C1964" s="3"/>
      <c r="D1964" s="3"/>
      <c r="E1964" s="3"/>
      <c r="F1964" s="3"/>
      <c r="G1964" s="3"/>
      <c r="H1964" s="3"/>
      <c r="L1964" s="3"/>
    </row>
    <row r="1965" ht="15.75" customHeight="1">
      <c r="A1965" s="3"/>
      <c r="B1965" s="12"/>
      <c r="C1965" s="3"/>
      <c r="D1965" s="3"/>
      <c r="E1965" s="3"/>
      <c r="F1965" s="3"/>
      <c r="G1965" s="3"/>
      <c r="H1965" s="3"/>
      <c r="L1965" s="3"/>
    </row>
    <row r="1966" ht="15.75" customHeight="1">
      <c r="A1966" s="3"/>
      <c r="B1966" s="12"/>
      <c r="C1966" s="3"/>
      <c r="D1966" s="3"/>
      <c r="E1966" s="3"/>
      <c r="F1966" s="3"/>
      <c r="G1966" s="3"/>
      <c r="H1966" s="3"/>
      <c r="L1966" s="3"/>
    </row>
    <row r="1967" ht="15.75" customHeight="1">
      <c r="A1967" s="3"/>
      <c r="B1967" s="12"/>
      <c r="C1967" s="3"/>
      <c r="D1967" s="3"/>
      <c r="E1967" s="3"/>
      <c r="F1967" s="3"/>
      <c r="G1967" s="3"/>
      <c r="H1967" s="3"/>
      <c r="L1967" s="3"/>
    </row>
    <row r="1968" ht="15.75" customHeight="1">
      <c r="A1968" s="3"/>
      <c r="B1968" s="12"/>
      <c r="C1968" s="3"/>
      <c r="D1968" s="3"/>
      <c r="E1968" s="3"/>
      <c r="F1968" s="3"/>
      <c r="G1968" s="3"/>
      <c r="H1968" s="3"/>
      <c r="L1968" s="3"/>
    </row>
    <row r="1969" ht="15.75" customHeight="1">
      <c r="A1969" s="3"/>
      <c r="B1969" s="12"/>
      <c r="C1969" s="3"/>
      <c r="D1969" s="3"/>
      <c r="E1969" s="3"/>
      <c r="F1969" s="3"/>
      <c r="G1969" s="3"/>
      <c r="H1969" s="3"/>
      <c r="L1969" s="3"/>
    </row>
    <row r="1970" ht="15.75" customHeight="1">
      <c r="A1970" s="3"/>
      <c r="B1970" s="12"/>
      <c r="C1970" s="3"/>
      <c r="D1970" s="3"/>
      <c r="E1970" s="3"/>
      <c r="F1970" s="3"/>
      <c r="G1970" s="3"/>
      <c r="H1970" s="3"/>
      <c r="L1970" s="3"/>
    </row>
    <row r="1971" ht="15.75" customHeight="1">
      <c r="A1971" s="3"/>
      <c r="B1971" s="12"/>
      <c r="C1971" s="3"/>
      <c r="D1971" s="3"/>
      <c r="E1971" s="3"/>
      <c r="F1971" s="3"/>
      <c r="G1971" s="3"/>
      <c r="H1971" s="3"/>
      <c r="L1971" s="3"/>
    </row>
    <row r="1972" ht="15.75" customHeight="1">
      <c r="A1972" s="3"/>
      <c r="B1972" s="12"/>
      <c r="C1972" s="3"/>
      <c r="D1972" s="3"/>
      <c r="E1972" s="3"/>
      <c r="F1972" s="3"/>
      <c r="G1972" s="3"/>
      <c r="H1972" s="3"/>
      <c r="L1972" s="3"/>
    </row>
    <row r="1973" ht="15.75" customHeight="1">
      <c r="A1973" s="3"/>
      <c r="B1973" s="12"/>
      <c r="C1973" s="3"/>
      <c r="D1973" s="3"/>
      <c r="E1973" s="3"/>
      <c r="F1973" s="3"/>
      <c r="G1973" s="3"/>
      <c r="H1973" s="3"/>
      <c r="L1973" s="3"/>
    </row>
    <row r="1974" ht="15.75" customHeight="1">
      <c r="A1974" s="3"/>
      <c r="B1974" s="12"/>
      <c r="C1974" s="3"/>
      <c r="D1974" s="3"/>
      <c r="E1974" s="3"/>
      <c r="F1974" s="3"/>
      <c r="G1974" s="3"/>
      <c r="H1974" s="3"/>
      <c r="L1974" s="3"/>
    </row>
    <row r="1975" ht="15.75" customHeight="1">
      <c r="A1975" s="3"/>
      <c r="B1975" s="12"/>
      <c r="C1975" s="3"/>
      <c r="D1975" s="3"/>
      <c r="E1975" s="3"/>
      <c r="F1975" s="3"/>
      <c r="G1975" s="3"/>
      <c r="H1975" s="3"/>
      <c r="L1975" s="3"/>
    </row>
    <row r="1976" ht="15.75" customHeight="1">
      <c r="A1976" s="3"/>
      <c r="B1976" s="12"/>
      <c r="C1976" s="3"/>
      <c r="D1976" s="3"/>
      <c r="E1976" s="3"/>
      <c r="F1976" s="3"/>
      <c r="G1976" s="3"/>
      <c r="H1976" s="3"/>
      <c r="L1976" s="3"/>
    </row>
    <row r="1977" ht="15.75" customHeight="1">
      <c r="A1977" s="3"/>
      <c r="B1977" s="12"/>
      <c r="C1977" s="3"/>
      <c r="D1977" s="3"/>
      <c r="E1977" s="3"/>
      <c r="F1977" s="3"/>
      <c r="G1977" s="3"/>
      <c r="H1977" s="3"/>
      <c r="L1977" s="3"/>
    </row>
    <row r="1978" ht="15.75" customHeight="1">
      <c r="A1978" s="3"/>
      <c r="B1978" s="12"/>
      <c r="C1978" s="3"/>
      <c r="D1978" s="3"/>
      <c r="E1978" s="3"/>
      <c r="F1978" s="3"/>
      <c r="G1978" s="3"/>
      <c r="H1978" s="3"/>
      <c r="L1978" s="3"/>
    </row>
    <row r="1979" ht="15.75" customHeight="1">
      <c r="A1979" s="3"/>
      <c r="B1979" s="12"/>
      <c r="C1979" s="3"/>
      <c r="D1979" s="3"/>
      <c r="E1979" s="3"/>
      <c r="F1979" s="3"/>
      <c r="G1979" s="3"/>
      <c r="H1979" s="3"/>
      <c r="L1979" s="3"/>
    </row>
    <row r="1980" ht="15.75" customHeight="1">
      <c r="A1980" s="3"/>
      <c r="B1980" s="12"/>
      <c r="C1980" s="3"/>
      <c r="D1980" s="3"/>
      <c r="E1980" s="3"/>
      <c r="F1980" s="3"/>
      <c r="G1980" s="3"/>
      <c r="H1980" s="3"/>
      <c r="L1980" s="3"/>
    </row>
    <row r="1981" ht="15.75" customHeight="1">
      <c r="A1981" s="3"/>
      <c r="B1981" s="12"/>
      <c r="C1981" s="3"/>
      <c r="D1981" s="3"/>
      <c r="E1981" s="3"/>
      <c r="F1981" s="3"/>
      <c r="G1981" s="3"/>
      <c r="H1981" s="3"/>
      <c r="L1981" s="3"/>
    </row>
    <row r="1982" ht="15.75" customHeight="1">
      <c r="A1982" s="3"/>
      <c r="B1982" s="12"/>
      <c r="C1982" s="3"/>
      <c r="D1982" s="3"/>
      <c r="E1982" s="3"/>
      <c r="F1982" s="3"/>
      <c r="G1982" s="3"/>
      <c r="H1982" s="3"/>
      <c r="L1982" s="3"/>
    </row>
    <row r="1983" ht="15.75" customHeight="1">
      <c r="A1983" s="3"/>
      <c r="B1983" s="12"/>
      <c r="C1983" s="3"/>
      <c r="D1983" s="3"/>
      <c r="E1983" s="3"/>
      <c r="F1983" s="3"/>
      <c r="G1983" s="3"/>
      <c r="H1983" s="3"/>
      <c r="L1983" s="3"/>
    </row>
    <row r="1984" ht="15.75" customHeight="1">
      <c r="A1984" s="3"/>
      <c r="B1984" s="12"/>
      <c r="C1984" s="3"/>
      <c r="D1984" s="3"/>
      <c r="E1984" s="3"/>
      <c r="F1984" s="3"/>
      <c r="G1984" s="3"/>
      <c r="H1984" s="3"/>
      <c r="L1984" s="3"/>
    </row>
    <row r="1985" ht="15.75" customHeight="1">
      <c r="A1985" s="3"/>
      <c r="B1985" s="12"/>
      <c r="C1985" s="3"/>
      <c r="D1985" s="3"/>
      <c r="E1985" s="3"/>
      <c r="F1985" s="3"/>
      <c r="G1985" s="3"/>
      <c r="H1985" s="3"/>
      <c r="L1985" s="3"/>
    </row>
    <row r="1986" ht="15.75" customHeight="1">
      <c r="A1986" s="3"/>
      <c r="B1986" s="12"/>
      <c r="C1986" s="3"/>
      <c r="D1986" s="3"/>
      <c r="E1986" s="3"/>
      <c r="F1986" s="3"/>
      <c r="G1986" s="3"/>
      <c r="H1986" s="3"/>
      <c r="L1986" s="3"/>
    </row>
    <row r="1987" ht="15.75" customHeight="1">
      <c r="A1987" s="3"/>
      <c r="B1987" s="12"/>
      <c r="C1987" s="3"/>
      <c r="D1987" s="3"/>
      <c r="E1987" s="3"/>
      <c r="F1987" s="3"/>
      <c r="G1987" s="3"/>
      <c r="H1987" s="3"/>
      <c r="L1987" s="3"/>
    </row>
    <row r="1988" ht="15.75" customHeight="1">
      <c r="A1988" s="3"/>
      <c r="B1988" s="12"/>
      <c r="C1988" s="3"/>
      <c r="D1988" s="3"/>
      <c r="E1988" s="3"/>
      <c r="F1988" s="3"/>
      <c r="G1988" s="3"/>
      <c r="H1988" s="3"/>
      <c r="L1988" s="3"/>
    </row>
    <row r="1989" ht="15.75" customHeight="1">
      <c r="A1989" s="3"/>
      <c r="B1989" s="12"/>
      <c r="C1989" s="3"/>
      <c r="D1989" s="3"/>
      <c r="E1989" s="3"/>
      <c r="F1989" s="3"/>
      <c r="G1989" s="3"/>
      <c r="H1989" s="3"/>
      <c r="L1989" s="3"/>
    </row>
    <row r="1990" ht="15.75" customHeight="1">
      <c r="A1990" s="3"/>
      <c r="B1990" s="12"/>
      <c r="C1990" s="3"/>
      <c r="D1990" s="3"/>
      <c r="E1990" s="3"/>
      <c r="F1990" s="3"/>
      <c r="G1990" s="3"/>
      <c r="H1990" s="3"/>
      <c r="L1990" s="3"/>
    </row>
    <row r="1991" ht="15.75" customHeight="1">
      <c r="A1991" s="3"/>
      <c r="B1991" s="12"/>
      <c r="C1991" s="3"/>
      <c r="D1991" s="3"/>
      <c r="E1991" s="3"/>
      <c r="F1991" s="3"/>
      <c r="G1991" s="3"/>
      <c r="H1991" s="3"/>
      <c r="L1991" s="3"/>
    </row>
    <row r="1992" ht="15.75" customHeight="1">
      <c r="A1992" s="3"/>
      <c r="B1992" s="12"/>
      <c r="C1992" s="3"/>
      <c r="D1992" s="3"/>
      <c r="E1992" s="3"/>
      <c r="F1992" s="3"/>
      <c r="G1992" s="3"/>
      <c r="H1992" s="3"/>
      <c r="L1992" s="3"/>
    </row>
    <row r="1993" ht="15.75" customHeight="1">
      <c r="A1993" s="3"/>
      <c r="B1993" s="12"/>
      <c r="C1993" s="3"/>
      <c r="D1993" s="3"/>
      <c r="E1993" s="3"/>
      <c r="F1993" s="3"/>
      <c r="G1993" s="3"/>
      <c r="H1993" s="3"/>
      <c r="L1993" s="3"/>
    </row>
    <row r="1994" ht="15.75" customHeight="1">
      <c r="A1994" s="3"/>
      <c r="B1994" s="12"/>
      <c r="C1994" s="3"/>
      <c r="D1994" s="3"/>
      <c r="E1994" s="3"/>
      <c r="F1994" s="3"/>
      <c r="G1994" s="3"/>
      <c r="H1994" s="3"/>
      <c r="L1994" s="3"/>
    </row>
    <row r="1995" ht="15.75" customHeight="1">
      <c r="A1995" s="3"/>
      <c r="B1995" s="12"/>
      <c r="C1995" s="3"/>
      <c r="D1995" s="3"/>
      <c r="E1995" s="3"/>
      <c r="F1995" s="3"/>
      <c r="G1995" s="3"/>
      <c r="H1995" s="3"/>
      <c r="L1995" s="3"/>
    </row>
    <row r="1996" ht="15.75" customHeight="1">
      <c r="A1996" s="3"/>
      <c r="B1996" s="12"/>
      <c r="C1996" s="3"/>
      <c r="D1996" s="3"/>
      <c r="E1996" s="3"/>
      <c r="F1996" s="3"/>
      <c r="G1996" s="3"/>
      <c r="H1996" s="3"/>
      <c r="L1996" s="3"/>
    </row>
    <row r="1997" ht="15.75" customHeight="1">
      <c r="A1997" s="3"/>
      <c r="B1997" s="12"/>
      <c r="C1997" s="3"/>
      <c r="D1997" s="3"/>
      <c r="E1997" s="3"/>
      <c r="F1997" s="3"/>
      <c r="G1997" s="3"/>
      <c r="H1997" s="3"/>
      <c r="L1997" s="3"/>
    </row>
    <row r="1998" ht="15.75" customHeight="1">
      <c r="A1998" s="3"/>
      <c r="B1998" s="12"/>
      <c r="C1998" s="3"/>
      <c r="D1998" s="3"/>
      <c r="E1998" s="3"/>
      <c r="F1998" s="3"/>
      <c r="G1998" s="3"/>
      <c r="H1998" s="3"/>
      <c r="L1998" s="3"/>
    </row>
    <row r="1999" ht="15.75" customHeight="1">
      <c r="A1999" s="3"/>
      <c r="B1999" s="12"/>
      <c r="C1999" s="3"/>
      <c r="D1999" s="3"/>
      <c r="E1999" s="3"/>
      <c r="F1999" s="3"/>
      <c r="G1999" s="3"/>
      <c r="H1999" s="3"/>
      <c r="L1999" s="3"/>
    </row>
    <row r="2000" ht="15.75" customHeight="1">
      <c r="A2000" s="3"/>
      <c r="B2000" s="12"/>
      <c r="C2000" s="3"/>
      <c r="D2000" s="3"/>
      <c r="E2000" s="3"/>
      <c r="F2000" s="3"/>
      <c r="G2000" s="3"/>
      <c r="H2000" s="3"/>
      <c r="L2000" s="3"/>
    </row>
    <row r="2001" ht="15.75" customHeight="1">
      <c r="A2001" s="3"/>
      <c r="B2001" s="12"/>
      <c r="C2001" s="3"/>
      <c r="D2001" s="3"/>
      <c r="E2001" s="3"/>
      <c r="F2001" s="3"/>
      <c r="G2001" s="3"/>
      <c r="H2001" s="3"/>
      <c r="L2001" s="3"/>
    </row>
    <row r="2002" ht="15.75" customHeight="1">
      <c r="A2002" s="3"/>
      <c r="B2002" s="12"/>
      <c r="C2002" s="3"/>
      <c r="D2002" s="3"/>
      <c r="E2002" s="3"/>
      <c r="F2002" s="3"/>
      <c r="G2002" s="3"/>
      <c r="H2002" s="3"/>
      <c r="L2002" s="3"/>
    </row>
    <row r="2003" ht="15.75" customHeight="1">
      <c r="A2003" s="3"/>
      <c r="B2003" s="12"/>
      <c r="C2003" s="3"/>
      <c r="D2003" s="3"/>
      <c r="E2003" s="3"/>
      <c r="F2003" s="3"/>
      <c r="G2003" s="3"/>
      <c r="H2003" s="3"/>
      <c r="L2003" s="3"/>
    </row>
    <row r="2004" ht="15.75" customHeight="1">
      <c r="A2004" s="3"/>
      <c r="B2004" s="12"/>
      <c r="C2004" s="3"/>
      <c r="D2004" s="3"/>
      <c r="E2004" s="3"/>
      <c r="F2004" s="3"/>
      <c r="G2004" s="3"/>
      <c r="H2004" s="3"/>
      <c r="L2004" s="3"/>
    </row>
    <row r="2005" ht="15.75" customHeight="1">
      <c r="A2005" s="3"/>
      <c r="B2005" s="12"/>
      <c r="C2005" s="3"/>
      <c r="D2005" s="3"/>
      <c r="E2005" s="3"/>
      <c r="F2005" s="3"/>
      <c r="G2005" s="3"/>
      <c r="H2005" s="3"/>
      <c r="L2005" s="3"/>
    </row>
    <row r="2006" ht="15.75" customHeight="1">
      <c r="A2006" s="3"/>
      <c r="B2006" s="12"/>
      <c r="C2006" s="3"/>
      <c r="D2006" s="3"/>
      <c r="E2006" s="3"/>
      <c r="F2006" s="3"/>
      <c r="G2006" s="3"/>
      <c r="H2006" s="3"/>
      <c r="L2006" s="3"/>
    </row>
    <row r="2007" ht="15.75" customHeight="1">
      <c r="A2007" s="3"/>
      <c r="B2007" s="12"/>
      <c r="C2007" s="3"/>
      <c r="D2007" s="3"/>
      <c r="E2007" s="3"/>
      <c r="F2007" s="3"/>
      <c r="G2007" s="3"/>
      <c r="H2007" s="3"/>
      <c r="L2007" s="3"/>
    </row>
    <row r="2008" ht="15.75" customHeight="1">
      <c r="A2008" s="3"/>
      <c r="B2008" s="12"/>
      <c r="C2008" s="3"/>
      <c r="D2008" s="3"/>
      <c r="E2008" s="3"/>
      <c r="F2008" s="3"/>
      <c r="G2008" s="3"/>
      <c r="H2008" s="3"/>
      <c r="L2008" s="3"/>
    </row>
    <row r="2009" ht="15.75" customHeight="1">
      <c r="A2009" s="3"/>
      <c r="B2009" s="12"/>
      <c r="C2009" s="3"/>
      <c r="D2009" s="3"/>
      <c r="E2009" s="3"/>
      <c r="F2009" s="3"/>
      <c r="G2009" s="3"/>
      <c r="H2009" s="3"/>
      <c r="L2009" s="3"/>
    </row>
    <row r="2010" ht="15.75" customHeight="1">
      <c r="A2010" s="3"/>
      <c r="B2010" s="12"/>
      <c r="C2010" s="3"/>
      <c r="D2010" s="3"/>
      <c r="E2010" s="3"/>
      <c r="F2010" s="3"/>
      <c r="G2010" s="3"/>
      <c r="H2010" s="3"/>
      <c r="L2010" s="3"/>
    </row>
    <row r="2011" ht="15.75" customHeight="1">
      <c r="A2011" s="3"/>
      <c r="B2011" s="12"/>
      <c r="C2011" s="3"/>
      <c r="D2011" s="3"/>
      <c r="E2011" s="3"/>
      <c r="F2011" s="3"/>
      <c r="G2011" s="3"/>
      <c r="H2011" s="3"/>
      <c r="L2011" s="3"/>
    </row>
    <row r="2012" ht="15.75" customHeight="1">
      <c r="A2012" s="3"/>
      <c r="B2012" s="12"/>
      <c r="C2012" s="3"/>
      <c r="D2012" s="3"/>
      <c r="E2012" s="3"/>
      <c r="F2012" s="3"/>
      <c r="G2012" s="3"/>
      <c r="H2012" s="3"/>
      <c r="L2012" s="3"/>
    </row>
    <row r="2013" ht="15.75" customHeight="1">
      <c r="A2013" s="3"/>
      <c r="B2013" s="12"/>
      <c r="C2013" s="3"/>
      <c r="D2013" s="3"/>
      <c r="E2013" s="3"/>
      <c r="F2013" s="3"/>
      <c r="G2013" s="3"/>
      <c r="H2013" s="3"/>
      <c r="L2013" s="3"/>
    </row>
    <row r="2014" ht="15.75" customHeight="1">
      <c r="A2014" s="3"/>
      <c r="B2014" s="12"/>
      <c r="C2014" s="3"/>
      <c r="D2014" s="3"/>
      <c r="E2014" s="3"/>
      <c r="F2014" s="3"/>
      <c r="G2014" s="3"/>
      <c r="H2014" s="3"/>
      <c r="L2014" s="3"/>
    </row>
    <row r="2015" ht="15.75" customHeight="1">
      <c r="A2015" s="3"/>
      <c r="B2015" s="12"/>
      <c r="C2015" s="3"/>
      <c r="D2015" s="3"/>
      <c r="E2015" s="3"/>
      <c r="F2015" s="3"/>
      <c r="G2015" s="3"/>
      <c r="H2015" s="3"/>
      <c r="L2015" s="3"/>
    </row>
    <row r="2016" ht="15.75" customHeight="1">
      <c r="A2016" s="3"/>
      <c r="B2016" s="12"/>
      <c r="C2016" s="3"/>
      <c r="D2016" s="3"/>
      <c r="E2016" s="3"/>
      <c r="F2016" s="3"/>
      <c r="G2016" s="3"/>
      <c r="H2016" s="3"/>
      <c r="L2016" s="3"/>
    </row>
    <row r="2017" ht="15.75" customHeight="1">
      <c r="A2017" s="3"/>
      <c r="B2017" s="12"/>
      <c r="C2017" s="3"/>
      <c r="D2017" s="3"/>
      <c r="E2017" s="3"/>
      <c r="F2017" s="3"/>
      <c r="G2017" s="3"/>
      <c r="H2017" s="3"/>
      <c r="L2017" s="3"/>
    </row>
    <row r="2018" ht="15.75" customHeight="1">
      <c r="A2018" s="3"/>
      <c r="B2018" s="12"/>
      <c r="C2018" s="3"/>
      <c r="D2018" s="3"/>
      <c r="E2018" s="3"/>
      <c r="F2018" s="3"/>
      <c r="G2018" s="3"/>
      <c r="H2018" s="3"/>
      <c r="L2018" s="3"/>
    </row>
    <row r="2019" ht="15.75" customHeight="1">
      <c r="A2019" s="3"/>
      <c r="B2019" s="12"/>
      <c r="C2019" s="3"/>
      <c r="D2019" s="3"/>
      <c r="E2019" s="3"/>
      <c r="F2019" s="3"/>
      <c r="G2019" s="3"/>
      <c r="H2019" s="3"/>
      <c r="L2019" s="3"/>
    </row>
    <row r="2020" ht="15.75" customHeight="1">
      <c r="A2020" s="3"/>
      <c r="B2020" s="12"/>
      <c r="C2020" s="3"/>
      <c r="D2020" s="3"/>
      <c r="E2020" s="3"/>
      <c r="F2020" s="3"/>
      <c r="G2020" s="3"/>
      <c r="H2020" s="3"/>
      <c r="L2020" s="3"/>
    </row>
    <row r="2021" ht="15.75" customHeight="1">
      <c r="A2021" s="3"/>
      <c r="B2021" s="12"/>
      <c r="C2021" s="3"/>
      <c r="D2021" s="3"/>
      <c r="E2021" s="3"/>
      <c r="F2021" s="3"/>
      <c r="G2021" s="3"/>
      <c r="H2021" s="3"/>
      <c r="L2021" s="3"/>
    </row>
    <row r="2022" ht="15.75" customHeight="1">
      <c r="A2022" s="3"/>
      <c r="B2022" s="12"/>
      <c r="C2022" s="3"/>
      <c r="D2022" s="3"/>
      <c r="E2022" s="3"/>
      <c r="F2022" s="3"/>
      <c r="G2022" s="3"/>
      <c r="H2022" s="3"/>
      <c r="L2022" s="3"/>
    </row>
    <row r="2023" ht="15.75" customHeight="1">
      <c r="A2023" s="3"/>
      <c r="B2023" s="12"/>
      <c r="C2023" s="3"/>
      <c r="D2023" s="3"/>
      <c r="E2023" s="3"/>
      <c r="F2023" s="3"/>
      <c r="G2023" s="3"/>
      <c r="H2023" s="3"/>
      <c r="L2023" s="3"/>
    </row>
    <row r="2024" ht="15.75" customHeight="1">
      <c r="A2024" s="3"/>
      <c r="B2024" s="12"/>
      <c r="C2024" s="3"/>
      <c r="D2024" s="3"/>
      <c r="E2024" s="3"/>
      <c r="F2024" s="3"/>
      <c r="G2024" s="3"/>
      <c r="H2024" s="3"/>
      <c r="L2024" s="3"/>
    </row>
    <row r="2025" ht="15.75" customHeight="1">
      <c r="A2025" s="3"/>
      <c r="B2025" s="12"/>
      <c r="C2025" s="3"/>
      <c r="D2025" s="3"/>
      <c r="E2025" s="3"/>
      <c r="F2025" s="3"/>
      <c r="G2025" s="3"/>
      <c r="H2025" s="3"/>
      <c r="L2025" s="3"/>
    </row>
    <row r="2026" ht="15.75" customHeight="1">
      <c r="A2026" s="3"/>
      <c r="B2026" s="12"/>
      <c r="C2026" s="3"/>
      <c r="D2026" s="3"/>
      <c r="E2026" s="3"/>
      <c r="F2026" s="3"/>
      <c r="G2026" s="3"/>
      <c r="H2026" s="3"/>
      <c r="L2026" s="3"/>
    </row>
    <row r="2027" ht="15.75" customHeight="1">
      <c r="A2027" s="3"/>
      <c r="B2027" s="12"/>
      <c r="C2027" s="3"/>
      <c r="D2027" s="3"/>
      <c r="E2027" s="3"/>
      <c r="F2027" s="3"/>
      <c r="G2027" s="3"/>
      <c r="H2027" s="3"/>
      <c r="L2027" s="3"/>
    </row>
    <row r="2028" ht="15.75" customHeight="1">
      <c r="A2028" s="3"/>
      <c r="B2028" s="12"/>
      <c r="C2028" s="3"/>
      <c r="D2028" s="3"/>
      <c r="E2028" s="3"/>
      <c r="F2028" s="3"/>
      <c r="G2028" s="3"/>
      <c r="H2028" s="3"/>
      <c r="L2028" s="3"/>
    </row>
    <row r="2029" ht="15.75" customHeight="1">
      <c r="A2029" s="3"/>
      <c r="B2029" s="12"/>
      <c r="C2029" s="3"/>
      <c r="D2029" s="3"/>
      <c r="E2029" s="3"/>
      <c r="F2029" s="3"/>
      <c r="G2029" s="3"/>
      <c r="H2029" s="3"/>
      <c r="L2029" s="3"/>
    </row>
    <row r="2030" ht="15.75" customHeight="1">
      <c r="A2030" s="3"/>
      <c r="B2030" s="12"/>
      <c r="C2030" s="3"/>
      <c r="D2030" s="3"/>
      <c r="E2030" s="3"/>
      <c r="F2030" s="3"/>
      <c r="G2030" s="3"/>
      <c r="H2030" s="3"/>
      <c r="L2030" s="3"/>
    </row>
    <row r="2031" ht="15.75" customHeight="1">
      <c r="A2031" s="3"/>
      <c r="B2031" s="12"/>
      <c r="C2031" s="3"/>
      <c r="D2031" s="3"/>
      <c r="E2031" s="3"/>
      <c r="F2031" s="3"/>
      <c r="G2031" s="3"/>
      <c r="H2031" s="3"/>
      <c r="L2031" s="3"/>
    </row>
    <row r="2032" ht="15.75" customHeight="1">
      <c r="A2032" s="3"/>
      <c r="B2032" s="12"/>
      <c r="C2032" s="3"/>
      <c r="D2032" s="3"/>
      <c r="E2032" s="3"/>
      <c r="F2032" s="3"/>
      <c r="G2032" s="3"/>
      <c r="H2032" s="3"/>
      <c r="L2032" s="3"/>
    </row>
    <row r="2033" ht="15.75" customHeight="1">
      <c r="A2033" s="3"/>
      <c r="B2033" s="12"/>
      <c r="C2033" s="3"/>
      <c r="D2033" s="3"/>
      <c r="E2033" s="3"/>
      <c r="F2033" s="3"/>
      <c r="G2033" s="3"/>
      <c r="H2033" s="3"/>
      <c r="L2033" s="3"/>
    </row>
    <row r="2034" ht="15.75" customHeight="1">
      <c r="A2034" s="3"/>
      <c r="B2034" s="12"/>
      <c r="C2034" s="3"/>
      <c r="D2034" s="3"/>
      <c r="E2034" s="3"/>
      <c r="F2034" s="3"/>
      <c r="G2034" s="3"/>
      <c r="H2034" s="3"/>
      <c r="L2034" s="3"/>
    </row>
    <row r="2035" ht="15.75" customHeight="1">
      <c r="A2035" s="3"/>
      <c r="B2035" s="12"/>
      <c r="C2035" s="3"/>
      <c r="D2035" s="3"/>
      <c r="E2035" s="3"/>
      <c r="F2035" s="3"/>
      <c r="G2035" s="3"/>
      <c r="H2035" s="3"/>
      <c r="L2035" s="3"/>
    </row>
    <row r="2036" ht="15.75" customHeight="1">
      <c r="A2036" s="3"/>
      <c r="B2036" s="12"/>
      <c r="C2036" s="3"/>
      <c r="D2036" s="3"/>
      <c r="E2036" s="3"/>
      <c r="F2036" s="3"/>
      <c r="G2036" s="3"/>
      <c r="H2036" s="3"/>
      <c r="L2036" s="3"/>
    </row>
    <row r="2037" ht="15.75" customHeight="1">
      <c r="A2037" s="3"/>
      <c r="B2037" s="12"/>
      <c r="C2037" s="3"/>
      <c r="D2037" s="3"/>
      <c r="E2037" s="3"/>
      <c r="F2037" s="3"/>
      <c r="G2037" s="3"/>
      <c r="H2037" s="3"/>
      <c r="L2037" s="3"/>
    </row>
    <row r="2038" ht="15.75" customHeight="1">
      <c r="A2038" s="3"/>
      <c r="B2038" s="12"/>
      <c r="C2038" s="3"/>
      <c r="D2038" s="3"/>
      <c r="E2038" s="3"/>
      <c r="F2038" s="3"/>
      <c r="G2038" s="3"/>
      <c r="H2038" s="3"/>
      <c r="L2038" s="3"/>
    </row>
    <row r="2039" ht="15.75" customHeight="1">
      <c r="A2039" s="3"/>
      <c r="B2039" s="12"/>
      <c r="C2039" s="3"/>
      <c r="D2039" s="3"/>
      <c r="E2039" s="3"/>
      <c r="F2039" s="3"/>
      <c r="G2039" s="3"/>
      <c r="H2039" s="3"/>
      <c r="L2039" s="3"/>
    </row>
    <row r="2040" ht="15.75" customHeight="1">
      <c r="A2040" s="3"/>
      <c r="B2040" s="12"/>
      <c r="C2040" s="3"/>
      <c r="D2040" s="3"/>
      <c r="E2040" s="3"/>
      <c r="F2040" s="3"/>
      <c r="G2040" s="3"/>
      <c r="H2040" s="3"/>
      <c r="L2040" s="3"/>
    </row>
    <row r="2041" ht="15.75" customHeight="1">
      <c r="A2041" s="3"/>
      <c r="B2041" s="12"/>
      <c r="C2041" s="3"/>
      <c r="D2041" s="3"/>
      <c r="E2041" s="3"/>
      <c r="F2041" s="3"/>
      <c r="G2041" s="3"/>
      <c r="H2041" s="3"/>
      <c r="L2041" s="3"/>
    </row>
    <row r="2042" ht="15.75" customHeight="1">
      <c r="A2042" s="3"/>
      <c r="B2042" s="12"/>
      <c r="C2042" s="3"/>
      <c r="D2042" s="3"/>
      <c r="E2042" s="3"/>
      <c r="F2042" s="3"/>
      <c r="G2042" s="3"/>
      <c r="H2042" s="3"/>
      <c r="L2042" s="3"/>
    </row>
    <row r="2043" ht="15.75" customHeight="1">
      <c r="A2043" s="3"/>
      <c r="B2043" s="12"/>
      <c r="C2043" s="3"/>
      <c r="D2043" s="3"/>
      <c r="E2043" s="3"/>
      <c r="F2043" s="3"/>
      <c r="G2043" s="3"/>
      <c r="H2043" s="3"/>
      <c r="L2043" s="3"/>
    </row>
    <row r="2044" ht="15.75" customHeight="1">
      <c r="A2044" s="3"/>
      <c r="B2044" s="12"/>
      <c r="C2044" s="3"/>
      <c r="D2044" s="3"/>
      <c r="E2044" s="3"/>
      <c r="F2044" s="3"/>
      <c r="G2044" s="3"/>
      <c r="H2044" s="3"/>
      <c r="L2044" s="3"/>
    </row>
    <row r="2045" ht="15.75" customHeight="1">
      <c r="A2045" s="3"/>
      <c r="B2045" s="12"/>
      <c r="C2045" s="3"/>
      <c r="D2045" s="3"/>
      <c r="E2045" s="3"/>
      <c r="F2045" s="3"/>
      <c r="G2045" s="3"/>
      <c r="H2045" s="3"/>
      <c r="L2045" s="3"/>
    </row>
    <row r="2046" ht="15.75" customHeight="1">
      <c r="A2046" s="3"/>
      <c r="B2046" s="12"/>
      <c r="C2046" s="3"/>
      <c r="D2046" s="3"/>
      <c r="E2046" s="3"/>
      <c r="F2046" s="3"/>
      <c r="G2046" s="3"/>
      <c r="H2046" s="3"/>
      <c r="L2046" s="3"/>
    </row>
    <row r="2047" ht="15.75" customHeight="1">
      <c r="A2047" s="3"/>
      <c r="B2047" s="12"/>
      <c r="C2047" s="3"/>
      <c r="D2047" s="3"/>
      <c r="E2047" s="3"/>
      <c r="F2047" s="3"/>
      <c r="G2047" s="3"/>
      <c r="H2047" s="3"/>
      <c r="L2047" s="3"/>
    </row>
    <row r="2048" ht="15.75" customHeight="1">
      <c r="A2048" s="3"/>
      <c r="B2048" s="12"/>
      <c r="C2048" s="3"/>
      <c r="D2048" s="3"/>
      <c r="E2048" s="3"/>
      <c r="F2048" s="3"/>
      <c r="G2048" s="3"/>
      <c r="H2048" s="3"/>
      <c r="L2048" s="3"/>
    </row>
    <row r="2049" ht="15.75" customHeight="1">
      <c r="A2049" s="3"/>
      <c r="B2049" s="12"/>
      <c r="C2049" s="3"/>
      <c r="D2049" s="3"/>
      <c r="E2049" s="3"/>
      <c r="F2049" s="3"/>
      <c r="G2049" s="3"/>
      <c r="H2049" s="3"/>
      <c r="L2049" s="3"/>
    </row>
    <row r="2050" ht="15.75" customHeight="1">
      <c r="A2050" s="3"/>
      <c r="B2050" s="12"/>
      <c r="C2050" s="3"/>
      <c r="D2050" s="3"/>
      <c r="E2050" s="3"/>
      <c r="F2050" s="3"/>
      <c r="G2050" s="3"/>
      <c r="H2050" s="3"/>
      <c r="L2050" s="3"/>
    </row>
    <row r="2051" ht="15.75" customHeight="1">
      <c r="A2051" s="3"/>
      <c r="B2051" s="12"/>
      <c r="C2051" s="3"/>
      <c r="D2051" s="3"/>
      <c r="E2051" s="3"/>
      <c r="F2051" s="3"/>
      <c r="G2051" s="3"/>
      <c r="H2051" s="3"/>
      <c r="L2051" s="3"/>
    </row>
    <row r="2052" ht="15.75" customHeight="1">
      <c r="A2052" s="3"/>
      <c r="B2052" s="12"/>
      <c r="C2052" s="3"/>
      <c r="D2052" s="3"/>
      <c r="E2052" s="3"/>
      <c r="F2052" s="3"/>
      <c r="G2052" s="3"/>
      <c r="H2052" s="3"/>
      <c r="L2052" s="3"/>
    </row>
    <row r="2053" ht="15.75" customHeight="1">
      <c r="A2053" s="3"/>
      <c r="B2053" s="12"/>
      <c r="C2053" s="3"/>
      <c r="D2053" s="3"/>
      <c r="E2053" s="3"/>
      <c r="F2053" s="3"/>
      <c r="G2053" s="3"/>
      <c r="H2053" s="3"/>
      <c r="L2053" s="3"/>
    </row>
    <row r="2054" ht="15.75" customHeight="1">
      <c r="A2054" s="3"/>
      <c r="B2054" s="12"/>
      <c r="C2054" s="3"/>
      <c r="D2054" s="3"/>
      <c r="E2054" s="3"/>
      <c r="F2054" s="3"/>
      <c r="G2054" s="3"/>
      <c r="H2054" s="3"/>
      <c r="L2054" s="3"/>
    </row>
    <row r="2055" ht="15.75" customHeight="1">
      <c r="A2055" s="3"/>
      <c r="B2055" s="12"/>
      <c r="C2055" s="3"/>
      <c r="D2055" s="3"/>
      <c r="E2055" s="3"/>
      <c r="F2055" s="3"/>
      <c r="G2055" s="3"/>
      <c r="H2055" s="3"/>
      <c r="L2055" s="3"/>
    </row>
    <row r="2056" ht="15.75" customHeight="1">
      <c r="A2056" s="3"/>
      <c r="B2056" s="12"/>
      <c r="C2056" s="3"/>
      <c r="D2056" s="3"/>
      <c r="E2056" s="3"/>
      <c r="F2056" s="3"/>
      <c r="G2056" s="3"/>
      <c r="H2056" s="3"/>
      <c r="L2056" s="3"/>
    </row>
    <row r="2057" ht="15.75" customHeight="1">
      <c r="A2057" s="3"/>
      <c r="B2057" s="12"/>
      <c r="C2057" s="3"/>
      <c r="D2057" s="3"/>
      <c r="E2057" s="3"/>
      <c r="F2057" s="3"/>
      <c r="G2057" s="3"/>
      <c r="H2057" s="3"/>
      <c r="L2057" s="3"/>
    </row>
    <row r="2058" ht="15.75" customHeight="1">
      <c r="A2058" s="3"/>
      <c r="B2058" s="12"/>
      <c r="C2058" s="3"/>
      <c r="D2058" s="3"/>
      <c r="E2058" s="3"/>
      <c r="F2058" s="3"/>
      <c r="G2058" s="3"/>
      <c r="H2058" s="3"/>
      <c r="L2058" s="3"/>
    </row>
    <row r="2059" ht="15.75" customHeight="1">
      <c r="A2059" s="3"/>
      <c r="B2059" s="12"/>
      <c r="C2059" s="3"/>
      <c r="D2059" s="3"/>
      <c r="E2059" s="3"/>
      <c r="F2059" s="3"/>
      <c r="G2059" s="3"/>
      <c r="H2059" s="3"/>
      <c r="L2059" s="3"/>
    </row>
    <row r="2060" ht="15.75" customHeight="1">
      <c r="A2060" s="3"/>
      <c r="B2060" s="12"/>
      <c r="C2060" s="3"/>
      <c r="D2060" s="3"/>
      <c r="E2060" s="3"/>
      <c r="F2060" s="3"/>
      <c r="G2060" s="3"/>
      <c r="H2060" s="3"/>
      <c r="L2060" s="3"/>
    </row>
    <row r="2061" ht="15.75" customHeight="1">
      <c r="A2061" s="3"/>
      <c r="B2061" s="12"/>
      <c r="C2061" s="3"/>
      <c r="D2061" s="3"/>
      <c r="E2061" s="3"/>
      <c r="F2061" s="3"/>
      <c r="G2061" s="3"/>
      <c r="H2061" s="3"/>
      <c r="L2061" s="3"/>
    </row>
    <row r="2062" ht="15.75" customHeight="1">
      <c r="A2062" s="3"/>
      <c r="B2062" s="12"/>
      <c r="C2062" s="3"/>
      <c r="D2062" s="3"/>
      <c r="E2062" s="3"/>
      <c r="F2062" s="3"/>
      <c r="G2062" s="3"/>
      <c r="H2062" s="3"/>
      <c r="L2062" s="3"/>
    </row>
    <row r="2063" ht="15.75" customHeight="1">
      <c r="A2063" s="3"/>
      <c r="B2063" s="12"/>
      <c r="C2063" s="3"/>
      <c r="D2063" s="3"/>
      <c r="E2063" s="3"/>
      <c r="F2063" s="3"/>
      <c r="G2063" s="3"/>
      <c r="H2063" s="3"/>
      <c r="L2063" s="3"/>
    </row>
    <row r="2064" ht="15.75" customHeight="1">
      <c r="A2064" s="3"/>
      <c r="B2064" s="12"/>
      <c r="C2064" s="3"/>
      <c r="D2064" s="3"/>
      <c r="E2064" s="3"/>
      <c r="F2064" s="3"/>
      <c r="G2064" s="3"/>
      <c r="H2064" s="3"/>
      <c r="L2064" s="3"/>
    </row>
    <row r="2065" ht="15.75" customHeight="1">
      <c r="A2065" s="3"/>
      <c r="B2065" s="12"/>
      <c r="C2065" s="3"/>
      <c r="D2065" s="3"/>
      <c r="E2065" s="3"/>
      <c r="F2065" s="3"/>
      <c r="G2065" s="3"/>
      <c r="H2065" s="3"/>
      <c r="L2065" s="3"/>
    </row>
    <row r="2066" ht="15.75" customHeight="1">
      <c r="A2066" s="3"/>
      <c r="B2066" s="12"/>
      <c r="C2066" s="3"/>
      <c r="D2066" s="3"/>
      <c r="E2066" s="3"/>
      <c r="F2066" s="3"/>
      <c r="G2066" s="3"/>
      <c r="H2066" s="3"/>
      <c r="L2066" s="3"/>
    </row>
    <row r="2067" ht="15.75" customHeight="1">
      <c r="A2067" s="3"/>
      <c r="B2067" s="12"/>
      <c r="C2067" s="3"/>
      <c r="D2067" s="3"/>
      <c r="E2067" s="3"/>
      <c r="F2067" s="3"/>
      <c r="G2067" s="3"/>
      <c r="H2067" s="3"/>
      <c r="L2067" s="3"/>
    </row>
    <row r="2068" ht="15.75" customHeight="1">
      <c r="A2068" s="3"/>
      <c r="B2068" s="12"/>
      <c r="C2068" s="3"/>
      <c r="D2068" s="3"/>
      <c r="E2068" s="3"/>
      <c r="F2068" s="3"/>
      <c r="G2068" s="3"/>
      <c r="H2068" s="3"/>
      <c r="L2068" s="3"/>
    </row>
    <row r="2069" ht="15.75" customHeight="1">
      <c r="A2069" s="3"/>
      <c r="B2069" s="12"/>
      <c r="C2069" s="3"/>
      <c r="D2069" s="3"/>
      <c r="E2069" s="3"/>
      <c r="F2069" s="3"/>
      <c r="G2069" s="3"/>
      <c r="H2069" s="3"/>
      <c r="L2069" s="3"/>
    </row>
    <row r="2070" ht="15.75" customHeight="1">
      <c r="A2070" s="3"/>
      <c r="B2070" s="12"/>
      <c r="C2070" s="3"/>
      <c r="D2070" s="3"/>
      <c r="E2070" s="3"/>
      <c r="F2070" s="3"/>
      <c r="G2070" s="3"/>
      <c r="H2070" s="3"/>
      <c r="L2070" s="3"/>
    </row>
    <row r="2071" ht="15.75" customHeight="1">
      <c r="A2071" s="3"/>
      <c r="B2071" s="12"/>
      <c r="C2071" s="3"/>
      <c r="D2071" s="3"/>
      <c r="E2071" s="3"/>
      <c r="F2071" s="3"/>
      <c r="G2071" s="3"/>
      <c r="H2071" s="3"/>
      <c r="L2071" s="3"/>
    </row>
    <row r="2072" ht="15.75" customHeight="1">
      <c r="A2072" s="3"/>
      <c r="B2072" s="12"/>
      <c r="C2072" s="3"/>
      <c r="D2072" s="3"/>
      <c r="E2072" s="3"/>
      <c r="F2072" s="3"/>
      <c r="G2072" s="3"/>
      <c r="H2072" s="3"/>
      <c r="L2072" s="3"/>
    </row>
    <row r="2073" ht="15.75" customHeight="1">
      <c r="A2073" s="3"/>
      <c r="B2073" s="12"/>
      <c r="C2073" s="3"/>
      <c r="D2073" s="3"/>
      <c r="E2073" s="3"/>
      <c r="F2073" s="3"/>
      <c r="G2073" s="3"/>
      <c r="H2073" s="3"/>
      <c r="L2073" s="3"/>
    </row>
    <row r="2074" ht="15.75" customHeight="1">
      <c r="A2074" s="3"/>
      <c r="B2074" s="12"/>
      <c r="C2074" s="3"/>
      <c r="D2074" s="3"/>
      <c r="E2074" s="3"/>
      <c r="F2074" s="3"/>
      <c r="G2074" s="3"/>
      <c r="H2074" s="3"/>
      <c r="L2074" s="3"/>
    </row>
    <row r="2075" ht="15.75" customHeight="1">
      <c r="A2075" s="3"/>
      <c r="B2075" s="12"/>
      <c r="C2075" s="3"/>
      <c r="D2075" s="3"/>
      <c r="E2075" s="3"/>
      <c r="F2075" s="3"/>
      <c r="G2075" s="3"/>
      <c r="H2075" s="3"/>
      <c r="L2075" s="3"/>
    </row>
    <row r="2076" ht="15.75" customHeight="1">
      <c r="A2076" s="3"/>
      <c r="B2076" s="12"/>
      <c r="C2076" s="3"/>
      <c r="D2076" s="3"/>
      <c r="E2076" s="3"/>
      <c r="F2076" s="3"/>
      <c r="G2076" s="3"/>
      <c r="H2076" s="3"/>
      <c r="L2076" s="3"/>
    </row>
    <row r="2077" ht="15.75" customHeight="1">
      <c r="A2077" s="3"/>
      <c r="B2077" s="12"/>
      <c r="C2077" s="3"/>
      <c r="D2077" s="3"/>
      <c r="E2077" s="3"/>
      <c r="F2077" s="3"/>
      <c r="G2077" s="3"/>
      <c r="H2077" s="3"/>
      <c r="L2077" s="3"/>
    </row>
    <row r="2078" ht="15.75" customHeight="1">
      <c r="A2078" s="3"/>
      <c r="B2078" s="12"/>
      <c r="C2078" s="3"/>
      <c r="D2078" s="3"/>
      <c r="E2078" s="3"/>
      <c r="F2078" s="3"/>
      <c r="G2078" s="3"/>
      <c r="H2078" s="3"/>
      <c r="L2078" s="3"/>
    </row>
    <row r="2079" ht="15.75" customHeight="1">
      <c r="A2079" s="3"/>
      <c r="B2079" s="12"/>
      <c r="C2079" s="3"/>
      <c r="D2079" s="3"/>
      <c r="E2079" s="3"/>
      <c r="F2079" s="3"/>
      <c r="G2079" s="3"/>
      <c r="H2079" s="3"/>
      <c r="L2079" s="3"/>
    </row>
    <row r="2080" ht="15.75" customHeight="1">
      <c r="A2080" s="3"/>
      <c r="B2080" s="12"/>
      <c r="C2080" s="3"/>
      <c r="D2080" s="3"/>
      <c r="E2080" s="3"/>
      <c r="F2080" s="3"/>
      <c r="G2080" s="3"/>
      <c r="H2080" s="3"/>
      <c r="L2080" s="3"/>
    </row>
    <row r="2081" ht="15.75" customHeight="1">
      <c r="A2081" s="3"/>
      <c r="B2081" s="12"/>
      <c r="C2081" s="3"/>
      <c r="D2081" s="3"/>
      <c r="E2081" s="3"/>
      <c r="F2081" s="3"/>
      <c r="G2081" s="3"/>
      <c r="H2081" s="3"/>
      <c r="L2081" s="3"/>
    </row>
    <row r="2082" ht="15.75" customHeight="1">
      <c r="A2082" s="3"/>
      <c r="B2082" s="12"/>
      <c r="C2082" s="3"/>
      <c r="D2082" s="3"/>
      <c r="E2082" s="3"/>
      <c r="F2082" s="3"/>
      <c r="G2082" s="3"/>
      <c r="H2082" s="3"/>
      <c r="L2082" s="3"/>
    </row>
    <row r="2083" ht="15.75" customHeight="1">
      <c r="A2083" s="3"/>
      <c r="B2083" s="12"/>
      <c r="C2083" s="3"/>
      <c r="D2083" s="3"/>
      <c r="E2083" s="3"/>
      <c r="F2083" s="3"/>
      <c r="G2083" s="3"/>
      <c r="H2083" s="3"/>
      <c r="L2083" s="3"/>
    </row>
    <row r="2084" ht="15.75" customHeight="1">
      <c r="A2084" s="3"/>
      <c r="B2084" s="12"/>
      <c r="C2084" s="3"/>
      <c r="D2084" s="3"/>
      <c r="E2084" s="3"/>
      <c r="F2084" s="3"/>
      <c r="G2084" s="3"/>
      <c r="H2084" s="3"/>
      <c r="L2084" s="3"/>
    </row>
    <row r="2085" ht="15.75" customHeight="1">
      <c r="A2085" s="3"/>
      <c r="B2085" s="12"/>
      <c r="C2085" s="3"/>
      <c r="D2085" s="3"/>
      <c r="E2085" s="3"/>
      <c r="F2085" s="3"/>
      <c r="G2085" s="3"/>
      <c r="H2085" s="3"/>
      <c r="L2085" s="3"/>
    </row>
    <row r="2086" ht="15.75" customHeight="1">
      <c r="A2086" s="3"/>
      <c r="B2086" s="12"/>
      <c r="C2086" s="3"/>
      <c r="D2086" s="3"/>
      <c r="E2086" s="3"/>
      <c r="F2086" s="3"/>
      <c r="G2086" s="3"/>
      <c r="H2086" s="3"/>
      <c r="L2086" s="3"/>
    </row>
    <row r="2087" ht="15.75" customHeight="1">
      <c r="A2087" s="3"/>
      <c r="B2087" s="12"/>
      <c r="C2087" s="3"/>
      <c r="D2087" s="3"/>
      <c r="E2087" s="3"/>
      <c r="F2087" s="3"/>
      <c r="G2087" s="3"/>
      <c r="H2087" s="3"/>
      <c r="L2087" s="3"/>
    </row>
    <row r="2088" ht="15.75" customHeight="1">
      <c r="A2088" s="3"/>
      <c r="B2088" s="12"/>
      <c r="C2088" s="3"/>
      <c r="D2088" s="3"/>
      <c r="E2088" s="3"/>
      <c r="F2088" s="3"/>
      <c r="G2088" s="3"/>
      <c r="H2088" s="3"/>
      <c r="L2088" s="3"/>
    </row>
    <row r="2089" ht="15.75" customHeight="1">
      <c r="A2089" s="3"/>
      <c r="B2089" s="12"/>
      <c r="C2089" s="3"/>
      <c r="D2089" s="3"/>
      <c r="E2089" s="3"/>
      <c r="F2089" s="3"/>
      <c r="G2089" s="3"/>
      <c r="H2089" s="3"/>
      <c r="L2089" s="3"/>
    </row>
    <row r="2090" ht="15.75" customHeight="1">
      <c r="A2090" s="3"/>
      <c r="B2090" s="12"/>
      <c r="C2090" s="3"/>
      <c r="D2090" s="3"/>
      <c r="E2090" s="3"/>
      <c r="F2090" s="3"/>
      <c r="G2090" s="3"/>
      <c r="H2090" s="3"/>
      <c r="L2090" s="3"/>
    </row>
    <row r="2091" ht="15.75" customHeight="1">
      <c r="A2091" s="3"/>
      <c r="B2091" s="12"/>
      <c r="C2091" s="3"/>
      <c r="D2091" s="3"/>
      <c r="E2091" s="3"/>
      <c r="F2091" s="3"/>
      <c r="G2091" s="3"/>
      <c r="H2091" s="3"/>
      <c r="L2091" s="3"/>
    </row>
    <row r="2092" ht="15.75" customHeight="1">
      <c r="A2092" s="3"/>
      <c r="B2092" s="12"/>
      <c r="C2092" s="3"/>
      <c r="D2092" s="3"/>
      <c r="E2092" s="3"/>
      <c r="F2092" s="3"/>
      <c r="G2092" s="3"/>
      <c r="H2092" s="3"/>
      <c r="L2092" s="3"/>
    </row>
    <row r="2093" ht="15.75" customHeight="1">
      <c r="A2093" s="3"/>
      <c r="B2093" s="12"/>
      <c r="C2093" s="3"/>
      <c r="D2093" s="3"/>
      <c r="E2093" s="3"/>
      <c r="F2093" s="3"/>
      <c r="G2093" s="3"/>
      <c r="H2093" s="3"/>
      <c r="L2093" s="3"/>
    </row>
    <row r="2094" ht="15.75" customHeight="1">
      <c r="A2094" s="3"/>
      <c r="B2094" s="12"/>
      <c r="C2094" s="3"/>
      <c r="D2094" s="3"/>
      <c r="E2094" s="3"/>
      <c r="F2094" s="3"/>
      <c r="G2094" s="3"/>
      <c r="H2094" s="3"/>
      <c r="L2094" s="3"/>
    </row>
    <row r="2095" ht="15.75" customHeight="1">
      <c r="A2095" s="3"/>
      <c r="B2095" s="12"/>
      <c r="C2095" s="3"/>
      <c r="D2095" s="3"/>
      <c r="E2095" s="3"/>
      <c r="F2095" s="3"/>
      <c r="G2095" s="3"/>
      <c r="H2095" s="3"/>
      <c r="L2095" s="3"/>
    </row>
    <row r="2096" ht="15.75" customHeight="1">
      <c r="A2096" s="3"/>
      <c r="B2096" s="12"/>
      <c r="C2096" s="3"/>
      <c r="D2096" s="3"/>
      <c r="E2096" s="3"/>
      <c r="F2096" s="3"/>
      <c r="G2096" s="3"/>
      <c r="H2096" s="3"/>
      <c r="L2096" s="3"/>
    </row>
    <row r="2097" ht="15.75" customHeight="1">
      <c r="A2097" s="3"/>
      <c r="B2097" s="12"/>
      <c r="C2097" s="3"/>
      <c r="D2097" s="3"/>
      <c r="E2097" s="3"/>
      <c r="F2097" s="3"/>
      <c r="G2097" s="3"/>
      <c r="H2097" s="3"/>
      <c r="L2097" s="3"/>
    </row>
    <row r="2098" ht="15.75" customHeight="1">
      <c r="A2098" s="3"/>
      <c r="B2098" s="12"/>
      <c r="C2098" s="3"/>
      <c r="D2098" s="3"/>
      <c r="E2098" s="3"/>
      <c r="F2098" s="3"/>
      <c r="G2098" s="3"/>
      <c r="H2098" s="3"/>
      <c r="L2098" s="3"/>
    </row>
    <row r="2099" ht="15.75" customHeight="1">
      <c r="A2099" s="3"/>
      <c r="B2099" s="12"/>
      <c r="C2099" s="3"/>
      <c r="D2099" s="3"/>
      <c r="E2099" s="3"/>
      <c r="F2099" s="3"/>
      <c r="G2099" s="3"/>
      <c r="H2099" s="3"/>
      <c r="L2099" s="3"/>
    </row>
    <row r="2100" ht="15.75" customHeight="1">
      <c r="A2100" s="3"/>
      <c r="B2100" s="12"/>
      <c r="C2100" s="3"/>
      <c r="D2100" s="3"/>
      <c r="E2100" s="3"/>
      <c r="F2100" s="3"/>
      <c r="G2100" s="3"/>
      <c r="H2100" s="3"/>
      <c r="L2100" s="3"/>
    </row>
    <row r="2101" ht="15.75" customHeight="1">
      <c r="A2101" s="3"/>
      <c r="B2101" s="12"/>
      <c r="C2101" s="3"/>
      <c r="D2101" s="3"/>
      <c r="E2101" s="3"/>
      <c r="F2101" s="3"/>
      <c r="G2101" s="3"/>
      <c r="H2101" s="3"/>
      <c r="L2101" s="3"/>
    </row>
    <row r="2102" ht="15.75" customHeight="1">
      <c r="A2102" s="3"/>
      <c r="B2102" s="12"/>
      <c r="C2102" s="3"/>
      <c r="D2102" s="3"/>
      <c r="E2102" s="3"/>
      <c r="F2102" s="3"/>
      <c r="G2102" s="3"/>
      <c r="H2102" s="3"/>
      <c r="L2102" s="3"/>
    </row>
    <row r="2103" ht="15.75" customHeight="1">
      <c r="A2103" s="3"/>
      <c r="B2103" s="12"/>
      <c r="C2103" s="3"/>
      <c r="D2103" s="3"/>
      <c r="E2103" s="3"/>
      <c r="F2103" s="3"/>
      <c r="G2103" s="3"/>
      <c r="H2103" s="3"/>
      <c r="L2103" s="3"/>
    </row>
    <row r="2104" ht="15.75" customHeight="1">
      <c r="A2104" s="3"/>
      <c r="B2104" s="12"/>
      <c r="C2104" s="3"/>
      <c r="D2104" s="3"/>
      <c r="E2104" s="3"/>
      <c r="F2104" s="3"/>
      <c r="G2104" s="3"/>
      <c r="H2104" s="3"/>
      <c r="L2104" s="3"/>
    </row>
    <row r="2105" ht="15.75" customHeight="1">
      <c r="A2105" s="3"/>
      <c r="B2105" s="12"/>
      <c r="C2105" s="3"/>
      <c r="D2105" s="3"/>
      <c r="E2105" s="3"/>
      <c r="F2105" s="3"/>
      <c r="G2105" s="3"/>
      <c r="H2105" s="3"/>
      <c r="L2105" s="3"/>
    </row>
    <row r="2106" ht="15.75" customHeight="1">
      <c r="A2106" s="3"/>
      <c r="B2106" s="12"/>
      <c r="C2106" s="3"/>
      <c r="D2106" s="3"/>
      <c r="E2106" s="3"/>
      <c r="F2106" s="3"/>
      <c r="G2106" s="3"/>
      <c r="H2106" s="3"/>
      <c r="L2106" s="3"/>
    </row>
    <row r="2107" ht="15.75" customHeight="1">
      <c r="A2107" s="3"/>
      <c r="B2107" s="12"/>
      <c r="C2107" s="3"/>
      <c r="D2107" s="3"/>
      <c r="E2107" s="3"/>
      <c r="F2107" s="3"/>
      <c r="G2107" s="3"/>
      <c r="H2107" s="3"/>
      <c r="L2107" s="3"/>
    </row>
    <row r="2108" ht="15.75" customHeight="1">
      <c r="A2108" s="3"/>
      <c r="B2108" s="12"/>
      <c r="C2108" s="3"/>
      <c r="D2108" s="3"/>
      <c r="E2108" s="3"/>
      <c r="F2108" s="3"/>
      <c r="G2108" s="3"/>
      <c r="H2108" s="3"/>
      <c r="L2108" s="3"/>
    </row>
    <row r="2109" ht="15.75" customHeight="1">
      <c r="A2109" s="3"/>
      <c r="B2109" s="12"/>
      <c r="C2109" s="3"/>
      <c r="D2109" s="3"/>
      <c r="E2109" s="3"/>
      <c r="F2109" s="3"/>
      <c r="G2109" s="3"/>
      <c r="H2109" s="3"/>
      <c r="L2109" s="3"/>
    </row>
    <row r="2110" ht="15.75" customHeight="1">
      <c r="A2110" s="3"/>
      <c r="B2110" s="12"/>
      <c r="C2110" s="3"/>
      <c r="D2110" s="3"/>
      <c r="E2110" s="3"/>
      <c r="F2110" s="3"/>
      <c r="G2110" s="3"/>
      <c r="H2110" s="3"/>
      <c r="L2110" s="3"/>
    </row>
    <row r="2111" ht="15.75" customHeight="1">
      <c r="A2111" s="3"/>
      <c r="B2111" s="12"/>
      <c r="C2111" s="3"/>
      <c r="D2111" s="3"/>
      <c r="E2111" s="3"/>
      <c r="F2111" s="3"/>
      <c r="G2111" s="3"/>
      <c r="H2111" s="3"/>
      <c r="L2111" s="3"/>
    </row>
    <row r="2112" ht="15.75" customHeight="1">
      <c r="A2112" s="3"/>
      <c r="B2112" s="12"/>
      <c r="C2112" s="3"/>
      <c r="D2112" s="3"/>
      <c r="E2112" s="3"/>
      <c r="F2112" s="3"/>
      <c r="G2112" s="3"/>
      <c r="H2112" s="3"/>
      <c r="L2112" s="3"/>
    </row>
    <row r="2113" ht="15.75" customHeight="1">
      <c r="A2113" s="3"/>
      <c r="B2113" s="12"/>
      <c r="C2113" s="3"/>
      <c r="D2113" s="3"/>
      <c r="E2113" s="3"/>
      <c r="F2113" s="3"/>
      <c r="G2113" s="3"/>
      <c r="H2113" s="3"/>
      <c r="L2113" s="3"/>
    </row>
    <row r="2114" ht="15.75" customHeight="1">
      <c r="A2114" s="3"/>
      <c r="B2114" s="12"/>
      <c r="C2114" s="3"/>
      <c r="D2114" s="3"/>
      <c r="E2114" s="3"/>
      <c r="F2114" s="3"/>
      <c r="G2114" s="3"/>
      <c r="H2114" s="3"/>
      <c r="L2114" s="3"/>
    </row>
    <row r="2115" ht="15.75" customHeight="1">
      <c r="A2115" s="3"/>
      <c r="B2115" s="12"/>
      <c r="C2115" s="3"/>
      <c r="D2115" s="3"/>
      <c r="E2115" s="3"/>
      <c r="F2115" s="3"/>
      <c r="G2115" s="3"/>
      <c r="H2115" s="3"/>
      <c r="L2115" s="3"/>
    </row>
    <row r="2116" ht="15.75" customHeight="1">
      <c r="A2116" s="3"/>
      <c r="B2116" s="12"/>
      <c r="C2116" s="3"/>
      <c r="D2116" s="3"/>
      <c r="E2116" s="3"/>
      <c r="F2116" s="3"/>
      <c r="G2116" s="3"/>
      <c r="H2116" s="3"/>
      <c r="L2116" s="3"/>
    </row>
    <row r="2117" ht="15.75" customHeight="1">
      <c r="A2117" s="3"/>
      <c r="B2117" s="12"/>
      <c r="C2117" s="3"/>
      <c r="D2117" s="3"/>
      <c r="E2117" s="3"/>
      <c r="F2117" s="3"/>
      <c r="G2117" s="3"/>
      <c r="H2117" s="3"/>
      <c r="L2117" s="3"/>
    </row>
    <row r="2118" ht="15.75" customHeight="1">
      <c r="A2118" s="3"/>
      <c r="B2118" s="12"/>
      <c r="C2118" s="3"/>
      <c r="D2118" s="3"/>
      <c r="E2118" s="3"/>
      <c r="F2118" s="3"/>
      <c r="G2118" s="3"/>
      <c r="H2118" s="3"/>
      <c r="L2118" s="3"/>
    </row>
    <row r="2119" ht="15.75" customHeight="1">
      <c r="A2119" s="3"/>
      <c r="B2119" s="12"/>
      <c r="C2119" s="3"/>
      <c r="D2119" s="3"/>
      <c r="E2119" s="3"/>
      <c r="F2119" s="3"/>
      <c r="G2119" s="3"/>
      <c r="H2119" s="3"/>
      <c r="L2119" s="3"/>
    </row>
    <row r="2120" ht="15.75" customHeight="1">
      <c r="A2120" s="3"/>
      <c r="B2120" s="12"/>
      <c r="C2120" s="3"/>
      <c r="D2120" s="3"/>
      <c r="E2120" s="3"/>
      <c r="F2120" s="3"/>
      <c r="G2120" s="3"/>
      <c r="H2120" s="3"/>
      <c r="L2120" s="3"/>
    </row>
    <row r="2121" ht="15.75" customHeight="1">
      <c r="A2121" s="3"/>
      <c r="B2121" s="12"/>
      <c r="C2121" s="3"/>
      <c r="D2121" s="3"/>
      <c r="E2121" s="3"/>
      <c r="F2121" s="3"/>
      <c r="G2121" s="3"/>
      <c r="H2121" s="3"/>
      <c r="L2121" s="3"/>
    </row>
    <row r="2122" ht="15.75" customHeight="1">
      <c r="A2122" s="3"/>
      <c r="B2122" s="12"/>
      <c r="C2122" s="3"/>
      <c r="D2122" s="3"/>
      <c r="E2122" s="3"/>
      <c r="F2122" s="3"/>
      <c r="G2122" s="3"/>
      <c r="H2122" s="3"/>
      <c r="L2122" s="3"/>
    </row>
    <row r="2123" ht="15.75" customHeight="1">
      <c r="A2123" s="3"/>
      <c r="B2123" s="12"/>
      <c r="C2123" s="3"/>
      <c r="D2123" s="3"/>
      <c r="E2123" s="3"/>
      <c r="F2123" s="3"/>
      <c r="G2123" s="3"/>
      <c r="H2123" s="3"/>
      <c r="L2123" s="3"/>
    </row>
    <row r="2124" ht="15.75" customHeight="1">
      <c r="A2124" s="3"/>
      <c r="B2124" s="12"/>
      <c r="C2124" s="3"/>
      <c r="D2124" s="3"/>
      <c r="E2124" s="3"/>
      <c r="F2124" s="3"/>
      <c r="G2124" s="3"/>
      <c r="H2124" s="3"/>
      <c r="L2124" s="3"/>
    </row>
    <row r="2125" ht="15.75" customHeight="1">
      <c r="A2125" s="3"/>
      <c r="B2125" s="12"/>
      <c r="C2125" s="3"/>
      <c r="D2125" s="3"/>
      <c r="E2125" s="3"/>
      <c r="F2125" s="3"/>
      <c r="G2125" s="3"/>
      <c r="H2125" s="3"/>
      <c r="L2125" s="3"/>
    </row>
    <row r="2126" ht="15.75" customHeight="1">
      <c r="A2126" s="3"/>
      <c r="B2126" s="12"/>
      <c r="C2126" s="3"/>
      <c r="D2126" s="3"/>
      <c r="E2126" s="3"/>
      <c r="F2126" s="3"/>
      <c r="G2126" s="3"/>
      <c r="H2126" s="3"/>
      <c r="L2126" s="3"/>
    </row>
    <row r="2127" ht="15.75" customHeight="1">
      <c r="A2127" s="3"/>
      <c r="B2127" s="12"/>
      <c r="C2127" s="3"/>
      <c r="D2127" s="3"/>
      <c r="E2127" s="3"/>
      <c r="F2127" s="3"/>
      <c r="G2127" s="3"/>
      <c r="H2127" s="3"/>
      <c r="L2127" s="3"/>
    </row>
    <row r="2128" ht="15.75" customHeight="1">
      <c r="A2128" s="3"/>
      <c r="B2128" s="12"/>
      <c r="C2128" s="3"/>
      <c r="D2128" s="3"/>
      <c r="E2128" s="3"/>
      <c r="F2128" s="3"/>
      <c r="G2128" s="3"/>
      <c r="H2128" s="3"/>
      <c r="L2128" s="3"/>
    </row>
    <row r="2129" ht="15.75" customHeight="1">
      <c r="A2129" s="3"/>
      <c r="B2129" s="12"/>
      <c r="C2129" s="3"/>
      <c r="D2129" s="3"/>
      <c r="E2129" s="3"/>
      <c r="F2129" s="3"/>
      <c r="G2129" s="3"/>
      <c r="H2129" s="3"/>
      <c r="L2129" s="3"/>
    </row>
    <row r="2130" ht="15.75" customHeight="1">
      <c r="A2130" s="3"/>
      <c r="B2130" s="12"/>
      <c r="C2130" s="3"/>
      <c r="D2130" s="3"/>
      <c r="E2130" s="3"/>
      <c r="F2130" s="3"/>
      <c r="G2130" s="3"/>
      <c r="H2130" s="3"/>
      <c r="L2130" s="3"/>
    </row>
    <row r="2131" ht="15.75" customHeight="1">
      <c r="A2131" s="3"/>
      <c r="B2131" s="12"/>
      <c r="C2131" s="3"/>
      <c r="D2131" s="3"/>
      <c r="E2131" s="3"/>
      <c r="F2131" s="3"/>
      <c r="G2131" s="3"/>
      <c r="H2131" s="3"/>
      <c r="L2131" s="3"/>
    </row>
    <row r="2132" ht="15.75" customHeight="1">
      <c r="A2132" s="3"/>
      <c r="B2132" s="12"/>
      <c r="C2132" s="3"/>
      <c r="D2132" s="3"/>
      <c r="E2132" s="3"/>
      <c r="F2132" s="3"/>
      <c r="G2132" s="3"/>
      <c r="H2132" s="3"/>
      <c r="L2132" s="3"/>
    </row>
    <row r="2133" ht="15.75" customHeight="1">
      <c r="A2133" s="3"/>
      <c r="B2133" s="12"/>
      <c r="C2133" s="3"/>
      <c r="D2133" s="3"/>
      <c r="E2133" s="3"/>
      <c r="F2133" s="3"/>
      <c r="G2133" s="3"/>
      <c r="H2133" s="3"/>
      <c r="L2133" s="3"/>
    </row>
    <row r="2134" ht="15.75" customHeight="1">
      <c r="A2134" s="3"/>
      <c r="B2134" s="12"/>
      <c r="C2134" s="3"/>
      <c r="D2134" s="3"/>
      <c r="E2134" s="3"/>
      <c r="F2134" s="3"/>
      <c r="G2134" s="3"/>
      <c r="H2134" s="3"/>
      <c r="L2134" s="3"/>
    </row>
    <row r="2135" ht="15.75" customHeight="1">
      <c r="A2135" s="3"/>
      <c r="B2135" s="12"/>
      <c r="C2135" s="3"/>
      <c r="D2135" s="3"/>
      <c r="E2135" s="3"/>
      <c r="F2135" s="3"/>
      <c r="G2135" s="3"/>
      <c r="H2135" s="3"/>
      <c r="L2135" s="3"/>
    </row>
    <row r="2136" ht="15.75" customHeight="1">
      <c r="A2136" s="3"/>
      <c r="B2136" s="12"/>
      <c r="C2136" s="3"/>
      <c r="D2136" s="3"/>
      <c r="E2136" s="3"/>
      <c r="F2136" s="3"/>
      <c r="G2136" s="3"/>
      <c r="H2136" s="3"/>
      <c r="L2136" s="3"/>
    </row>
    <row r="2137" ht="15.75" customHeight="1">
      <c r="A2137" s="3"/>
      <c r="B2137" s="12"/>
      <c r="C2137" s="3"/>
      <c r="D2137" s="3"/>
      <c r="E2137" s="3"/>
      <c r="F2137" s="3"/>
      <c r="G2137" s="3"/>
      <c r="H2137" s="3"/>
      <c r="L2137" s="3"/>
    </row>
    <row r="2138" ht="15.75" customHeight="1">
      <c r="A2138" s="3"/>
      <c r="B2138" s="12"/>
      <c r="C2138" s="3"/>
      <c r="D2138" s="3"/>
      <c r="E2138" s="3"/>
      <c r="F2138" s="3"/>
      <c r="G2138" s="3"/>
      <c r="H2138" s="3"/>
      <c r="L2138" s="3"/>
    </row>
    <row r="2139" ht="15.75" customHeight="1">
      <c r="A2139" s="3"/>
      <c r="B2139" s="12"/>
      <c r="C2139" s="3"/>
      <c r="D2139" s="3"/>
      <c r="E2139" s="3"/>
      <c r="F2139" s="3"/>
      <c r="G2139" s="3"/>
      <c r="H2139" s="3"/>
      <c r="L2139" s="3"/>
    </row>
    <row r="2140" ht="15.75" customHeight="1">
      <c r="A2140" s="3"/>
      <c r="B2140" s="12"/>
      <c r="C2140" s="3"/>
      <c r="D2140" s="3"/>
      <c r="E2140" s="3"/>
      <c r="F2140" s="3"/>
      <c r="G2140" s="3"/>
      <c r="H2140" s="3"/>
      <c r="L2140" s="3"/>
    </row>
    <row r="2141" ht="15.75" customHeight="1">
      <c r="A2141" s="3"/>
      <c r="B2141" s="12"/>
      <c r="C2141" s="3"/>
      <c r="D2141" s="3"/>
      <c r="E2141" s="3"/>
      <c r="F2141" s="3"/>
      <c r="G2141" s="3"/>
      <c r="H2141" s="3"/>
      <c r="L2141" s="3"/>
    </row>
    <row r="2142" ht="15.75" customHeight="1">
      <c r="A2142" s="3"/>
      <c r="B2142" s="12"/>
      <c r="C2142" s="3"/>
      <c r="D2142" s="3"/>
      <c r="E2142" s="3"/>
      <c r="F2142" s="3"/>
      <c r="G2142" s="3"/>
      <c r="H2142" s="3"/>
      <c r="L2142" s="3"/>
    </row>
    <row r="2143" ht="15.75" customHeight="1">
      <c r="A2143" s="3"/>
      <c r="B2143" s="12"/>
      <c r="C2143" s="3"/>
      <c r="D2143" s="3"/>
      <c r="E2143" s="3"/>
      <c r="F2143" s="3"/>
      <c r="G2143" s="3"/>
      <c r="H2143" s="3"/>
      <c r="L2143" s="3"/>
    </row>
    <row r="2144" ht="15.75" customHeight="1">
      <c r="A2144" s="3"/>
      <c r="B2144" s="12"/>
      <c r="C2144" s="3"/>
      <c r="D2144" s="3"/>
      <c r="E2144" s="3"/>
      <c r="F2144" s="3"/>
      <c r="G2144" s="3"/>
      <c r="H2144" s="3"/>
      <c r="L2144" s="3"/>
    </row>
    <row r="2145" ht="15.75" customHeight="1">
      <c r="A2145" s="3"/>
      <c r="B2145" s="12"/>
      <c r="C2145" s="3"/>
      <c r="D2145" s="3"/>
      <c r="E2145" s="3"/>
      <c r="F2145" s="3"/>
      <c r="G2145" s="3"/>
      <c r="H2145" s="3"/>
      <c r="L2145" s="3"/>
    </row>
    <row r="2146" ht="15.75" customHeight="1">
      <c r="A2146" s="3"/>
      <c r="B2146" s="12"/>
      <c r="C2146" s="3"/>
      <c r="D2146" s="3"/>
      <c r="E2146" s="3"/>
      <c r="F2146" s="3"/>
      <c r="G2146" s="3"/>
      <c r="H2146" s="3"/>
      <c r="L2146" s="3"/>
    </row>
    <row r="2147" ht="15.75" customHeight="1">
      <c r="A2147" s="3"/>
      <c r="B2147" s="12"/>
      <c r="C2147" s="3"/>
      <c r="D2147" s="3"/>
      <c r="E2147" s="3"/>
      <c r="F2147" s="3"/>
      <c r="G2147" s="3"/>
      <c r="H2147" s="3"/>
      <c r="L2147" s="3"/>
    </row>
    <row r="2148" ht="15.75" customHeight="1">
      <c r="A2148" s="3"/>
      <c r="B2148" s="12"/>
      <c r="C2148" s="3"/>
      <c r="D2148" s="3"/>
      <c r="E2148" s="3"/>
      <c r="F2148" s="3"/>
      <c r="G2148" s="3"/>
      <c r="H2148" s="3"/>
      <c r="L2148" s="3"/>
    </row>
    <row r="2149" ht="15.75" customHeight="1">
      <c r="A2149" s="3"/>
      <c r="B2149" s="12"/>
      <c r="C2149" s="3"/>
      <c r="D2149" s="3"/>
      <c r="E2149" s="3"/>
      <c r="F2149" s="3"/>
      <c r="G2149" s="3"/>
      <c r="H2149" s="3"/>
      <c r="L2149" s="3"/>
    </row>
    <row r="2150" ht="15.75" customHeight="1">
      <c r="A2150" s="3"/>
      <c r="B2150" s="12"/>
      <c r="C2150" s="3"/>
      <c r="D2150" s="3"/>
      <c r="E2150" s="3"/>
      <c r="F2150" s="3"/>
      <c r="G2150" s="3"/>
      <c r="H2150" s="3"/>
      <c r="L2150" s="3"/>
    </row>
    <row r="2151" ht="15.75" customHeight="1">
      <c r="A2151" s="3"/>
      <c r="B2151" s="12"/>
      <c r="C2151" s="3"/>
      <c r="D2151" s="3"/>
      <c r="E2151" s="3"/>
      <c r="F2151" s="3"/>
      <c r="G2151" s="3"/>
      <c r="H2151" s="3"/>
      <c r="L2151" s="3"/>
    </row>
    <row r="2152" ht="15.75" customHeight="1">
      <c r="A2152" s="3"/>
      <c r="B2152" s="12"/>
      <c r="C2152" s="3"/>
      <c r="D2152" s="3"/>
      <c r="E2152" s="3"/>
      <c r="F2152" s="3"/>
      <c r="G2152" s="3"/>
      <c r="H2152" s="3"/>
      <c r="L2152" s="3"/>
    </row>
    <row r="2153" ht="15.75" customHeight="1">
      <c r="A2153" s="3"/>
      <c r="B2153" s="12"/>
      <c r="C2153" s="3"/>
      <c r="D2153" s="3"/>
      <c r="E2153" s="3"/>
      <c r="F2153" s="3"/>
      <c r="G2153" s="3"/>
      <c r="H2153" s="3"/>
      <c r="L2153" s="3"/>
    </row>
    <row r="2154" ht="15.75" customHeight="1">
      <c r="A2154" s="3"/>
      <c r="B2154" s="12"/>
      <c r="C2154" s="3"/>
      <c r="D2154" s="3"/>
      <c r="E2154" s="3"/>
      <c r="F2154" s="3"/>
      <c r="G2154" s="3"/>
      <c r="H2154" s="3"/>
      <c r="L2154" s="3"/>
    </row>
    <row r="2155" ht="15.75" customHeight="1">
      <c r="A2155" s="3"/>
      <c r="B2155" s="12"/>
      <c r="C2155" s="3"/>
      <c r="D2155" s="3"/>
      <c r="E2155" s="3"/>
      <c r="F2155" s="3"/>
      <c r="G2155" s="3"/>
      <c r="H2155" s="3"/>
      <c r="L2155" s="3"/>
    </row>
    <row r="2156" ht="15.75" customHeight="1">
      <c r="A2156" s="3"/>
      <c r="B2156" s="12"/>
      <c r="C2156" s="3"/>
      <c r="D2156" s="3"/>
      <c r="E2156" s="3"/>
      <c r="F2156" s="3"/>
      <c r="G2156" s="3"/>
      <c r="H2156" s="3"/>
      <c r="L2156" s="3"/>
    </row>
    <row r="2157" ht="15.75" customHeight="1">
      <c r="A2157" s="3"/>
      <c r="B2157" s="12"/>
      <c r="C2157" s="3"/>
      <c r="D2157" s="3"/>
      <c r="E2157" s="3"/>
      <c r="F2157" s="3"/>
      <c r="G2157" s="3"/>
      <c r="H2157" s="3"/>
      <c r="L2157" s="3"/>
    </row>
    <row r="2158" ht="15.75" customHeight="1">
      <c r="A2158" s="3"/>
      <c r="B2158" s="12"/>
      <c r="C2158" s="3"/>
      <c r="D2158" s="3"/>
      <c r="E2158" s="3"/>
      <c r="F2158" s="3"/>
      <c r="G2158" s="3"/>
      <c r="H2158" s="3"/>
      <c r="L2158" s="3"/>
    </row>
    <row r="2159" ht="15.75" customHeight="1">
      <c r="A2159" s="3"/>
      <c r="B2159" s="12"/>
      <c r="C2159" s="3"/>
      <c r="D2159" s="3"/>
      <c r="E2159" s="3"/>
      <c r="F2159" s="3"/>
      <c r="G2159" s="3"/>
      <c r="H2159" s="3"/>
      <c r="L2159" s="3"/>
    </row>
    <row r="2160" ht="15.75" customHeight="1">
      <c r="A2160" s="3"/>
      <c r="B2160" s="12"/>
      <c r="C2160" s="3"/>
      <c r="D2160" s="3"/>
      <c r="E2160" s="3"/>
      <c r="F2160" s="3"/>
      <c r="G2160" s="3"/>
      <c r="H2160" s="3"/>
      <c r="L2160" s="3"/>
    </row>
    <row r="2161" ht="15.75" customHeight="1">
      <c r="A2161" s="3"/>
      <c r="B2161" s="12"/>
      <c r="C2161" s="3"/>
      <c r="D2161" s="3"/>
      <c r="E2161" s="3"/>
      <c r="F2161" s="3"/>
      <c r="G2161" s="3"/>
      <c r="H2161" s="3"/>
      <c r="L2161" s="3"/>
    </row>
    <row r="2162" ht="15.75" customHeight="1">
      <c r="A2162" s="3"/>
      <c r="B2162" s="12"/>
      <c r="C2162" s="3"/>
      <c r="D2162" s="3"/>
      <c r="E2162" s="3"/>
      <c r="F2162" s="3"/>
      <c r="G2162" s="3"/>
      <c r="H2162" s="3"/>
      <c r="L2162" s="3"/>
    </row>
    <row r="2163" ht="15.75" customHeight="1">
      <c r="A2163" s="3"/>
      <c r="B2163" s="12"/>
      <c r="C2163" s="3"/>
      <c r="D2163" s="3"/>
      <c r="E2163" s="3"/>
      <c r="F2163" s="3"/>
      <c r="G2163" s="3"/>
      <c r="H2163" s="3"/>
      <c r="L2163" s="3"/>
    </row>
    <row r="2164" ht="15.75" customHeight="1">
      <c r="A2164" s="3"/>
      <c r="B2164" s="12"/>
      <c r="C2164" s="3"/>
      <c r="D2164" s="3"/>
      <c r="E2164" s="3"/>
      <c r="F2164" s="3"/>
      <c r="G2164" s="3"/>
      <c r="H2164" s="3"/>
      <c r="L2164" s="3"/>
    </row>
    <row r="2165" ht="15.75" customHeight="1">
      <c r="A2165" s="3"/>
      <c r="B2165" s="12"/>
      <c r="C2165" s="3"/>
      <c r="D2165" s="3"/>
      <c r="E2165" s="3"/>
      <c r="F2165" s="3"/>
      <c r="G2165" s="3"/>
      <c r="H2165" s="3"/>
      <c r="L2165" s="3"/>
    </row>
    <row r="2166" ht="15.75" customHeight="1">
      <c r="A2166" s="3"/>
      <c r="B2166" s="12"/>
      <c r="C2166" s="3"/>
      <c r="D2166" s="3"/>
      <c r="E2166" s="3"/>
      <c r="F2166" s="3"/>
      <c r="G2166" s="3"/>
      <c r="H2166" s="3"/>
      <c r="L2166" s="3"/>
    </row>
    <row r="2167" ht="15.75" customHeight="1">
      <c r="A2167" s="3"/>
      <c r="B2167" s="12"/>
      <c r="C2167" s="3"/>
      <c r="D2167" s="3"/>
      <c r="E2167" s="3"/>
      <c r="F2167" s="3"/>
      <c r="G2167" s="3"/>
      <c r="H2167" s="3"/>
      <c r="L2167" s="3"/>
    </row>
    <row r="2168" ht="15.75" customHeight="1">
      <c r="A2168" s="3"/>
      <c r="B2168" s="12"/>
      <c r="C2168" s="3"/>
      <c r="D2168" s="3"/>
      <c r="E2168" s="3"/>
      <c r="F2168" s="3"/>
      <c r="G2168" s="3"/>
      <c r="H2168" s="3"/>
      <c r="L2168" s="3"/>
    </row>
    <row r="2169" ht="15.75" customHeight="1">
      <c r="A2169" s="3"/>
      <c r="B2169" s="12"/>
      <c r="C2169" s="3"/>
      <c r="D2169" s="3"/>
      <c r="E2169" s="3"/>
      <c r="F2169" s="3"/>
      <c r="G2169" s="3"/>
      <c r="H2169" s="3"/>
      <c r="L2169" s="3"/>
    </row>
    <row r="2170" ht="15.75" customHeight="1">
      <c r="A2170" s="3"/>
      <c r="B2170" s="12"/>
      <c r="C2170" s="3"/>
      <c r="D2170" s="3"/>
      <c r="E2170" s="3"/>
      <c r="F2170" s="3"/>
      <c r="G2170" s="3"/>
      <c r="H2170" s="3"/>
      <c r="L2170" s="3"/>
    </row>
    <row r="2171" ht="15.75" customHeight="1">
      <c r="A2171" s="3"/>
      <c r="B2171" s="12"/>
      <c r="C2171" s="3"/>
      <c r="D2171" s="3"/>
      <c r="E2171" s="3"/>
      <c r="F2171" s="3"/>
      <c r="G2171" s="3"/>
      <c r="H2171" s="3"/>
      <c r="L2171" s="3"/>
    </row>
    <row r="2172" ht="15.75" customHeight="1">
      <c r="A2172" s="3"/>
      <c r="B2172" s="12"/>
      <c r="C2172" s="3"/>
      <c r="D2172" s="3"/>
      <c r="E2172" s="3"/>
      <c r="F2172" s="3"/>
      <c r="G2172" s="3"/>
      <c r="H2172" s="3"/>
      <c r="L2172" s="3"/>
    </row>
    <row r="2173" ht="15.75" customHeight="1">
      <c r="A2173" s="3"/>
      <c r="B2173" s="12"/>
      <c r="C2173" s="3"/>
      <c r="D2173" s="3"/>
      <c r="E2173" s="3"/>
      <c r="F2173" s="3"/>
      <c r="G2173" s="3"/>
      <c r="H2173" s="3"/>
      <c r="L2173" s="3"/>
    </row>
    <row r="2174" ht="15.75" customHeight="1">
      <c r="A2174" s="3"/>
      <c r="B2174" s="12"/>
      <c r="C2174" s="3"/>
      <c r="D2174" s="3"/>
      <c r="E2174" s="3"/>
      <c r="F2174" s="3"/>
      <c r="G2174" s="3"/>
      <c r="H2174" s="3"/>
      <c r="L2174" s="3"/>
    </row>
    <row r="2175" ht="15.75" customHeight="1">
      <c r="A2175" s="3"/>
      <c r="B2175" s="12"/>
      <c r="C2175" s="3"/>
      <c r="D2175" s="3"/>
      <c r="E2175" s="3"/>
      <c r="F2175" s="3"/>
      <c r="G2175" s="3"/>
      <c r="H2175" s="3"/>
      <c r="L2175" s="3"/>
    </row>
    <row r="2176" ht="15.75" customHeight="1">
      <c r="A2176" s="3"/>
      <c r="B2176" s="12"/>
      <c r="C2176" s="3"/>
      <c r="D2176" s="3"/>
      <c r="E2176" s="3"/>
      <c r="F2176" s="3"/>
      <c r="G2176" s="3"/>
      <c r="H2176" s="3"/>
      <c r="L2176" s="3"/>
    </row>
    <row r="2177" ht="15.75" customHeight="1">
      <c r="A2177" s="3"/>
      <c r="B2177" s="12"/>
      <c r="C2177" s="3"/>
      <c r="D2177" s="3"/>
      <c r="E2177" s="3"/>
      <c r="F2177" s="3"/>
      <c r="G2177" s="3"/>
      <c r="H2177" s="3"/>
      <c r="L2177" s="3"/>
    </row>
    <row r="2178" ht="15.75" customHeight="1">
      <c r="A2178" s="3"/>
      <c r="B2178" s="12"/>
      <c r="C2178" s="3"/>
      <c r="D2178" s="3"/>
      <c r="E2178" s="3"/>
      <c r="F2178" s="3"/>
      <c r="G2178" s="3"/>
      <c r="H2178" s="3"/>
      <c r="L2178" s="3"/>
    </row>
    <row r="2179" ht="15.75" customHeight="1">
      <c r="A2179" s="3"/>
      <c r="B2179" s="12"/>
      <c r="C2179" s="3"/>
      <c r="D2179" s="3"/>
      <c r="E2179" s="3"/>
      <c r="F2179" s="3"/>
      <c r="G2179" s="3"/>
      <c r="H2179" s="3"/>
      <c r="L2179" s="3"/>
    </row>
    <row r="2180" ht="15.75" customHeight="1">
      <c r="A2180" s="3"/>
      <c r="B2180" s="12"/>
      <c r="C2180" s="3"/>
      <c r="D2180" s="3"/>
      <c r="E2180" s="3"/>
      <c r="F2180" s="3"/>
      <c r="G2180" s="3"/>
      <c r="H2180" s="3"/>
      <c r="L2180" s="3"/>
    </row>
    <row r="2181" ht="15.75" customHeight="1">
      <c r="A2181" s="3"/>
      <c r="B2181" s="12"/>
      <c r="C2181" s="3"/>
      <c r="D2181" s="3"/>
      <c r="E2181" s="3"/>
      <c r="F2181" s="3"/>
      <c r="G2181" s="3"/>
      <c r="H2181" s="3"/>
      <c r="L2181" s="3"/>
    </row>
    <row r="2182" ht="15.75" customHeight="1">
      <c r="A2182" s="3"/>
      <c r="B2182" s="12"/>
      <c r="C2182" s="3"/>
      <c r="D2182" s="3"/>
      <c r="E2182" s="3"/>
      <c r="F2182" s="3"/>
      <c r="G2182" s="3"/>
      <c r="H2182" s="3"/>
      <c r="L2182" s="3"/>
    </row>
    <row r="2183" ht="15.75" customHeight="1">
      <c r="A2183" s="3"/>
      <c r="B2183" s="12"/>
      <c r="C2183" s="3"/>
      <c r="D2183" s="3"/>
      <c r="E2183" s="3"/>
      <c r="F2183" s="3"/>
      <c r="G2183" s="3"/>
      <c r="H2183" s="3"/>
      <c r="L2183" s="3"/>
    </row>
    <row r="2184" ht="15.75" customHeight="1">
      <c r="A2184" s="3"/>
      <c r="B2184" s="12"/>
      <c r="C2184" s="3"/>
      <c r="D2184" s="3"/>
      <c r="E2184" s="3"/>
      <c r="F2184" s="3"/>
      <c r="G2184" s="3"/>
      <c r="H2184" s="3"/>
      <c r="L2184" s="3"/>
    </row>
    <row r="2185" ht="15.75" customHeight="1">
      <c r="A2185" s="3"/>
      <c r="B2185" s="12"/>
      <c r="C2185" s="3"/>
      <c r="D2185" s="3"/>
      <c r="E2185" s="3"/>
      <c r="F2185" s="3"/>
      <c r="G2185" s="3"/>
      <c r="H2185" s="3"/>
      <c r="L2185" s="3"/>
    </row>
    <row r="2186" ht="15.75" customHeight="1">
      <c r="A2186" s="3"/>
      <c r="B2186" s="12"/>
      <c r="C2186" s="3"/>
      <c r="D2186" s="3"/>
      <c r="E2186" s="3"/>
      <c r="F2186" s="3"/>
      <c r="G2186" s="3"/>
      <c r="H2186" s="3"/>
      <c r="L2186" s="3"/>
    </row>
    <row r="2187" ht="15.75" customHeight="1">
      <c r="A2187" s="3"/>
      <c r="B2187" s="12"/>
      <c r="C2187" s="3"/>
      <c r="D2187" s="3"/>
      <c r="E2187" s="3"/>
      <c r="F2187" s="3"/>
      <c r="G2187" s="3"/>
      <c r="H2187" s="3"/>
      <c r="L2187" s="3"/>
    </row>
    <row r="2188" ht="15.75" customHeight="1">
      <c r="A2188" s="3"/>
      <c r="B2188" s="12"/>
      <c r="C2188" s="3"/>
      <c r="D2188" s="3"/>
      <c r="E2188" s="3"/>
      <c r="F2188" s="3"/>
      <c r="G2188" s="3"/>
      <c r="H2188" s="3"/>
      <c r="L2188" s="3"/>
    </row>
    <row r="2189" ht="15.75" customHeight="1">
      <c r="A2189" s="3"/>
      <c r="B2189" s="12"/>
      <c r="C2189" s="3"/>
      <c r="D2189" s="3"/>
      <c r="E2189" s="3"/>
      <c r="F2189" s="3"/>
      <c r="G2189" s="3"/>
      <c r="H2189" s="3"/>
      <c r="L2189" s="3"/>
    </row>
    <row r="2190" ht="15.75" customHeight="1">
      <c r="A2190" s="3"/>
      <c r="B2190" s="12"/>
      <c r="C2190" s="3"/>
      <c r="D2190" s="3"/>
      <c r="E2190" s="3"/>
      <c r="F2190" s="3"/>
      <c r="G2190" s="3"/>
      <c r="H2190" s="3"/>
      <c r="L2190" s="3"/>
    </row>
    <row r="2191" ht="15.75" customHeight="1">
      <c r="A2191" s="3"/>
      <c r="B2191" s="12"/>
      <c r="C2191" s="3"/>
      <c r="D2191" s="3"/>
      <c r="E2191" s="3"/>
      <c r="F2191" s="3"/>
      <c r="G2191" s="3"/>
      <c r="H2191" s="3"/>
      <c r="L2191" s="3"/>
    </row>
    <row r="2192" ht="15.75" customHeight="1">
      <c r="A2192" s="3"/>
      <c r="B2192" s="12"/>
      <c r="C2192" s="3"/>
      <c r="D2192" s="3"/>
      <c r="E2192" s="3"/>
      <c r="F2192" s="3"/>
      <c r="G2192" s="3"/>
      <c r="H2192" s="3"/>
      <c r="L2192" s="3"/>
    </row>
    <row r="2193" ht="15.75" customHeight="1">
      <c r="A2193" s="3"/>
      <c r="B2193" s="12"/>
      <c r="C2193" s="3"/>
      <c r="D2193" s="3"/>
      <c r="E2193" s="3"/>
      <c r="F2193" s="3"/>
      <c r="G2193" s="3"/>
      <c r="H2193" s="3"/>
      <c r="L2193" s="3"/>
    </row>
    <row r="2194" ht="15.75" customHeight="1">
      <c r="A2194" s="3"/>
      <c r="B2194" s="12"/>
      <c r="C2194" s="3"/>
      <c r="D2194" s="3"/>
      <c r="E2194" s="3"/>
      <c r="F2194" s="3"/>
      <c r="G2194" s="3"/>
      <c r="H2194" s="3"/>
      <c r="L2194" s="3"/>
    </row>
    <row r="2195" ht="15.75" customHeight="1">
      <c r="A2195" s="3"/>
      <c r="B2195" s="12"/>
      <c r="C2195" s="3"/>
      <c r="D2195" s="3"/>
      <c r="E2195" s="3"/>
      <c r="F2195" s="3"/>
      <c r="G2195" s="3"/>
      <c r="H2195" s="3"/>
      <c r="L2195" s="3"/>
    </row>
    <row r="2196" ht="15.75" customHeight="1">
      <c r="A2196" s="3"/>
      <c r="B2196" s="12"/>
      <c r="C2196" s="3"/>
      <c r="D2196" s="3"/>
      <c r="E2196" s="3"/>
      <c r="F2196" s="3"/>
      <c r="G2196" s="3"/>
      <c r="H2196" s="3"/>
      <c r="L2196" s="3"/>
    </row>
    <row r="2197" ht="15.75" customHeight="1">
      <c r="A2197" s="3"/>
      <c r="B2197" s="12"/>
      <c r="C2197" s="3"/>
      <c r="D2197" s="3"/>
      <c r="E2197" s="3"/>
      <c r="F2197" s="3"/>
      <c r="G2197" s="3"/>
      <c r="H2197" s="3"/>
      <c r="L2197" s="3"/>
    </row>
    <row r="2198" ht="15.75" customHeight="1">
      <c r="A2198" s="3"/>
      <c r="B2198" s="12"/>
      <c r="C2198" s="3"/>
      <c r="D2198" s="3"/>
      <c r="E2198" s="3"/>
      <c r="F2198" s="3"/>
      <c r="G2198" s="3"/>
      <c r="H2198" s="3"/>
      <c r="L2198" s="3"/>
    </row>
    <row r="2199" ht="15.75" customHeight="1">
      <c r="A2199" s="3"/>
      <c r="B2199" s="12"/>
      <c r="C2199" s="3"/>
      <c r="D2199" s="3"/>
      <c r="E2199" s="3"/>
      <c r="F2199" s="3"/>
      <c r="G2199" s="3"/>
      <c r="H2199" s="3"/>
      <c r="L2199" s="3"/>
    </row>
    <row r="2200" ht="15.75" customHeight="1">
      <c r="A2200" s="3"/>
      <c r="B2200" s="12"/>
      <c r="C2200" s="3"/>
      <c r="D2200" s="3"/>
      <c r="E2200" s="3"/>
      <c r="F2200" s="3"/>
      <c r="G2200" s="3"/>
      <c r="H2200" s="3"/>
      <c r="L2200" s="3"/>
    </row>
    <row r="2201" ht="15.75" customHeight="1">
      <c r="A2201" s="3"/>
      <c r="B2201" s="12"/>
      <c r="C2201" s="3"/>
      <c r="D2201" s="3"/>
      <c r="E2201" s="3"/>
      <c r="F2201" s="3"/>
      <c r="G2201" s="3"/>
      <c r="H2201" s="3"/>
      <c r="L2201" s="3"/>
    </row>
    <row r="2202" ht="15.75" customHeight="1">
      <c r="A2202" s="3"/>
      <c r="B2202" s="12"/>
      <c r="C2202" s="3"/>
      <c r="D2202" s="3"/>
      <c r="E2202" s="3"/>
      <c r="F2202" s="3"/>
      <c r="G2202" s="3"/>
      <c r="H2202" s="3"/>
      <c r="L2202" s="3"/>
    </row>
    <row r="2203" ht="15.75" customHeight="1">
      <c r="A2203" s="3"/>
      <c r="B2203" s="12"/>
      <c r="C2203" s="3"/>
      <c r="D2203" s="3"/>
      <c r="E2203" s="3"/>
      <c r="F2203" s="3"/>
      <c r="G2203" s="3"/>
      <c r="H2203" s="3"/>
      <c r="L2203" s="3"/>
    </row>
    <row r="2204" ht="15.75" customHeight="1">
      <c r="A2204" s="3"/>
      <c r="B2204" s="12"/>
      <c r="C2204" s="3"/>
      <c r="D2204" s="3"/>
      <c r="E2204" s="3"/>
      <c r="F2204" s="3"/>
      <c r="G2204" s="3"/>
      <c r="H2204" s="3"/>
      <c r="L2204" s="3"/>
    </row>
    <row r="2205" ht="15.75" customHeight="1">
      <c r="A2205" s="3"/>
      <c r="B2205" s="12"/>
      <c r="C2205" s="3"/>
      <c r="D2205" s="3"/>
      <c r="E2205" s="3"/>
      <c r="F2205" s="3"/>
      <c r="G2205" s="3"/>
      <c r="H2205" s="3"/>
      <c r="L2205" s="3"/>
    </row>
    <row r="2206" ht="15.75" customHeight="1">
      <c r="A2206" s="3"/>
      <c r="B2206" s="12"/>
      <c r="C2206" s="3"/>
      <c r="D2206" s="3"/>
      <c r="E2206" s="3"/>
      <c r="F2206" s="3"/>
      <c r="G2206" s="3"/>
      <c r="H2206" s="3"/>
      <c r="L2206" s="3"/>
    </row>
    <row r="2207" ht="15.75" customHeight="1">
      <c r="A2207" s="3"/>
      <c r="B2207" s="12"/>
      <c r="C2207" s="3"/>
      <c r="D2207" s="3"/>
      <c r="E2207" s="3"/>
      <c r="F2207" s="3"/>
      <c r="G2207" s="3"/>
      <c r="H2207" s="3"/>
      <c r="L2207" s="3"/>
    </row>
    <row r="2208" ht="15.75" customHeight="1">
      <c r="A2208" s="3"/>
      <c r="B2208" s="12"/>
      <c r="C2208" s="3"/>
      <c r="D2208" s="3"/>
      <c r="E2208" s="3"/>
      <c r="F2208" s="3"/>
      <c r="G2208" s="3"/>
      <c r="H2208" s="3"/>
      <c r="L2208" s="3"/>
    </row>
    <row r="2209" ht="15.75" customHeight="1">
      <c r="A2209" s="3"/>
      <c r="B2209" s="12"/>
      <c r="C2209" s="3"/>
      <c r="D2209" s="3"/>
      <c r="E2209" s="3"/>
      <c r="F2209" s="3"/>
      <c r="G2209" s="3"/>
      <c r="H2209" s="3"/>
      <c r="L2209" s="3"/>
    </row>
    <row r="2210" ht="15.75" customHeight="1">
      <c r="A2210" s="3"/>
      <c r="B2210" s="12"/>
      <c r="C2210" s="3"/>
      <c r="D2210" s="3"/>
      <c r="E2210" s="3"/>
      <c r="F2210" s="3"/>
      <c r="G2210" s="3"/>
      <c r="H2210" s="3"/>
      <c r="L2210" s="3"/>
    </row>
    <row r="2211" ht="15.75" customHeight="1">
      <c r="A2211" s="3"/>
      <c r="B2211" s="12"/>
      <c r="C2211" s="3"/>
      <c r="D2211" s="3"/>
      <c r="E2211" s="3"/>
      <c r="F2211" s="3"/>
      <c r="G2211" s="3"/>
      <c r="H2211" s="3"/>
      <c r="L2211" s="3"/>
    </row>
    <row r="2212" ht="15.75" customHeight="1">
      <c r="A2212" s="3"/>
      <c r="B2212" s="12"/>
      <c r="C2212" s="3"/>
      <c r="D2212" s="3"/>
      <c r="E2212" s="3"/>
      <c r="F2212" s="3"/>
      <c r="G2212" s="3"/>
      <c r="H2212" s="3"/>
      <c r="L2212" s="3"/>
    </row>
    <row r="2213" ht="15.75" customHeight="1">
      <c r="A2213" s="3"/>
      <c r="B2213" s="12"/>
      <c r="C2213" s="3"/>
      <c r="D2213" s="3"/>
      <c r="E2213" s="3"/>
      <c r="F2213" s="3"/>
      <c r="G2213" s="3"/>
      <c r="H2213" s="3"/>
      <c r="L2213" s="3"/>
    </row>
    <row r="2214" ht="15.75" customHeight="1">
      <c r="A2214" s="3"/>
      <c r="B2214" s="12"/>
      <c r="C2214" s="3"/>
      <c r="D2214" s="3"/>
      <c r="E2214" s="3"/>
      <c r="F2214" s="3"/>
      <c r="G2214" s="3"/>
      <c r="H2214" s="3"/>
      <c r="L2214" s="3"/>
    </row>
    <row r="2215" ht="15.75" customHeight="1">
      <c r="A2215" s="3"/>
      <c r="B2215" s="12"/>
      <c r="C2215" s="3"/>
      <c r="D2215" s="3"/>
      <c r="E2215" s="3"/>
      <c r="F2215" s="3"/>
      <c r="G2215" s="3"/>
      <c r="H2215" s="3"/>
      <c r="L2215" s="3"/>
    </row>
    <row r="2216" ht="15.75" customHeight="1">
      <c r="A2216" s="3"/>
      <c r="B2216" s="12"/>
      <c r="C2216" s="3"/>
      <c r="D2216" s="3"/>
      <c r="E2216" s="3"/>
      <c r="F2216" s="3"/>
      <c r="G2216" s="3"/>
      <c r="H2216" s="3"/>
      <c r="L2216" s="3"/>
    </row>
    <row r="2217" ht="15.75" customHeight="1">
      <c r="A2217" s="3"/>
      <c r="B2217" s="12"/>
      <c r="C2217" s="3"/>
      <c r="D2217" s="3"/>
      <c r="E2217" s="3"/>
      <c r="F2217" s="3"/>
      <c r="G2217" s="3"/>
      <c r="H2217" s="3"/>
      <c r="L2217" s="3"/>
    </row>
    <row r="2218" ht="15.75" customHeight="1">
      <c r="A2218" s="3"/>
      <c r="B2218" s="12"/>
      <c r="C2218" s="3"/>
      <c r="D2218" s="3"/>
      <c r="E2218" s="3"/>
      <c r="F2218" s="3"/>
      <c r="G2218" s="3"/>
      <c r="H2218" s="3"/>
      <c r="L2218" s="3"/>
    </row>
    <row r="2219" ht="15.75" customHeight="1">
      <c r="A2219" s="3"/>
      <c r="B2219" s="12"/>
      <c r="C2219" s="3"/>
      <c r="D2219" s="3"/>
      <c r="E2219" s="3"/>
      <c r="F2219" s="3"/>
      <c r="G2219" s="3"/>
      <c r="H2219" s="3"/>
      <c r="L2219" s="3"/>
    </row>
    <row r="2220" ht="15.75" customHeight="1">
      <c r="A2220" s="3"/>
      <c r="B2220" s="12"/>
      <c r="C2220" s="3"/>
      <c r="D2220" s="3"/>
      <c r="E2220" s="3"/>
      <c r="F2220" s="3"/>
      <c r="G2220" s="3"/>
      <c r="H2220" s="3"/>
      <c r="L2220" s="3"/>
    </row>
    <row r="2221" ht="15.75" customHeight="1">
      <c r="A2221" s="3"/>
      <c r="B2221" s="12"/>
      <c r="C2221" s="3"/>
      <c r="D2221" s="3"/>
      <c r="E2221" s="3"/>
      <c r="F2221" s="3"/>
      <c r="G2221" s="3"/>
      <c r="H2221" s="3"/>
      <c r="L2221" s="3"/>
    </row>
    <row r="2222" ht="15.75" customHeight="1">
      <c r="A2222" s="3"/>
      <c r="B2222" s="12"/>
      <c r="C2222" s="3"/>
      <c r="D2222" s="3"/>
      <c r="E2222" s="3"/>
      <c r="F2222" s="3"/>
      <c r="G2222" s="3"/>
      <c r="H2222" s="3"/>
      <c r="L2222" s="3"/>
    </row>
    <row r="2223" ht="15.75" customHeight="1">
      <c r="A2223" s="3"/>
      <c r="B2223" s="12"/>
      <c r="C2223" s="3"/>
      <c r="D2223" s="3"/>
      <c r="E2223" s="3"/>
      <c r="F2223" s="3"/>
      <c r="G2223" s="3"/>
      <c r="H2223" s="3"/>
      <c r="L2223" s="3"/>
    </row>
    <row r="2224" ht="15.75" customHeight="1">
      <c r="A2224" s="3"/>
      <c r="B2224" s="12"/>
      <c r="C2224" s="3"/>
      <c r="D2224" s="3"/>
      <c r="E2224" s="3"/>
      <c r="F2224" s="3"/>
      <c r="G2224" s="3"/>
      <c r="H2224" s="3"/>
      <c r="L2224" s="3"/>
    </row>
    <row r="2225" ht="15.75" customHeight="1">
      <c r="A2225" s="3"/>
      <c r="B2225" s="12"/>
      <c r="C2225" s="3"/>
      <c r="D2225" s="3"/>
      <c r="E2225" s="3"/>
      <c r="F2225" s="3"/>
      <c r="G2225" s="3"/>
      <c r="H2225" s="3"/>
      <c r="L2225" s="3"/>
    </row>
    <row r="2226" ht="15.75" customHeight="1">
      <c r="A2226" s="3"/>
      <c r="B2226" s="12"/>
      <c r="C2226" s="3"/>
      <c r="D2226" s="3"/>
      <c r="E2226" s="3"/>
      <c r="F2226" s="3"/>
      <c r="G2226" s="3"/>
      <c r="H2226" s="3"/>
      <c r="L2226" s="3"/>
    </row>
    <row r="2227" ht="15.75" customHeight="1">
      <c r="A2227" s="3"/>
      <c r="B2227" s="12"/>
      <c r="C2227" s="3"/>
      <c r="D2227" s="3"/>
      <c r="E2227" s="3"/>
      <c r="F2227" s="3"/>
      <c r="G2227" s="3"/>
      <c r="H2227" s="3"/>
      <c r="L2227" s="3"/>
    </row>
    <row r="2228" ht="15.75" customHeight="1">
      <c r="A2228" s="3"/>
      <c r="B2228" s="12"/>
      <c r="C2228" s="3"/>
      <c r="D2228" s="3"/>
      <c r="E2228" s="3"/>
      <c r="F2228" s="3"/>
      <c r="G2228" s="3"/>
      <c r="H2228" s="3"/>
      <c r="L2228" s="3"/>
    </row>
    <row r="2229" ht="15.75" customHeight="1">
      <c r="A2229" s="3"/>
      <c r="B2229" s="12"/>
      <c r="C2229" s="3"/>
      <c r="D2229" s="3"/>
      <c r="E2229" s="3"/>
      <c r="F2229" s="3"/>
      <c r="G2229" s="3"/>
      <c r="H2229" s="3"/>
      <c r="L2229" s="3"/>
    </row>
    <row r="2230" ht="15.75" customHeight="1">
      <c r="A2230" s="3"/>
      <c r="B2230" s="12"/>
      <c r="C2230" s="3"/>
      <c r="D2230" s="3"/>
      <c r="E2230" s="3"/>
      <c r="F2230" s="3"/>
      <c r="G2230" s="3"/>
      <c r="H2230" s="3"/>
      <c r="L2230" s="3"/>
    </row>
    <row r="2231" ht="15.75" customHeight="1">
      <c r="A2231" s="3"/>
      <c r="B2231" s="12"/>
      <c r="C2231" s="3"/>
      <c r="D2231" s="3"/>
      <c r="E2231" s="3"/>
      <c r="F2231" s="3"/>
      <c r="G2231" s="3"/>
      <c r="H2231" s="3"/>
      <c r="L2231" s="3"/>
    </row>
    <row r="2232" ht="15.75" customHeight="1">
      <c r="A2232" s="3"/>
      <c r="B2232" s="12"/>
      <c r="C2232" s="3"/>
      <c r="D2232" s="3"/>
      <c r="E2232" s="3"/>
      <c r="F2232" s="3"/>
      <c r="G2232" s="3"/>
      <c r="H2232" s="3"/>
      <c r="L2232" s="3"/>
    </row>
    <row r="2233" ht="15.75" customHeight="1">
      <c r="A2233" s="3"/>
      <c r="B2233" s="12"/>
      <c r="C2233" s="3"/>
      <c r="D2233" s="3"/>
      <c r="E2233" s="3"/>
      <c r="F2233" s="3"/>
      <c r="G2233" s="3"/>
      <c r="H2233" s="3"/>
      <c r="L2233" s="3"/>
    </row>
    <row r="2234" ht="15.75" customHeight="1">
      <c r="A2234" s="3"/>
      <c r="B2234" s="12"/>
      <c r="C2234" s="3"/>
      <c r="D2234" s="3"/>
      <c r="E2234" s="3"/>
      <c r="F2234" s="3"/>
      <c r="G2234" s="3"/>
      <c r="H2234" s="3"/>
      <c r="L2234" s="3"/>
    </row>
    <row r="2235" ht="15.75" customHeight="1">
      <c r="A2235" s="3"/>
      <c r="B2235" s="12"/>
      <c r="C2235" s="3"/>
      <c r="D2235" s="3"/>
      <c r="E2235" s="3"/>
      <c r="F2235" s="3"/>
      <c r="G2235" s="3"/>
      <c r="H2235" s="3"/>
      <c r="L2235" s="3"/>
    </row>
    <row r="2236" ht="15.75" customHeight="1">
      <c r="A2236" s="3"/>
      <c r="B2236" s="12"/>
      <c r="C2236" s="3"/>
      <c r="D2236" s="3"/>
      <c r="E2236" s="3"/>
      <c r="F2236" s="3"/>
      <c r="G2236" s="3"/>
      <c r="H2236" s="3"/>
      <c r="L2236" s="3"/>
    </row>
    <row r="2237" ht="15.75" customHeight="1">
      <c r="A2237" s="3"/>
      <c r="B2237" s="12"/>
      <c r="C2237" s="3"/>
      <c r="D2237" s="3"/>
      <c r="E2237" s="3"/>
      <c r="F2237" s="3"/>
      <c r="G2237" s="3"/>
      <c r="H2237" s="3"/>
      <c r="L2237" s="3"/>
    </row>
    <row r="2238" ht="15.75" customHeight="1">
      <c r="A2238" s="3"/>
      <c r="B2238" s="12"/>
      <c r="C2238" s="3"/>
      <c r="D2238" s="3"/>
      <c r="E2238" s="3"/>
      <c r="F2238" s="3"/>
      <c r="G2238" s="3"/>
      <c r="H2238" s="3"/>
      <c r="L2238" s="3"/>
    </row>
    <row r="2239" ht="15.75" customHeight="1">
      <c r="A2239" s="3"/>
      <c r="B2239" s="12"/>
      <c r="C2239" s="3"/>
      <c r="D2239" s="3"/>
      <c r="E2239" s="3"/>
      <c r="F2239" s="3"/>
      <c r="G2239" s="3"/>
      <c r="H2239" s="3"/>
      <c r="L2239" s="3"/>
    </row>
    <row r="2240" ht="15.75" customHeight="1">
      <c r="A2240" s="3"/>
      <c r="B2240" s="12"/>
      <c r="C2240" s="3"/>
      <c r="D2240" s="3"/>
      <c r="E2240" s="3"/>
      <c r="F2240" s="3"/>
      <c r="G2240" s="3"/>
      <c r="H2240" s="3"/>
      <c r="L2240" s="3"/>
    </row>
    <row r="2241" ht="15.75" customHeight="1">
      <c r="A2241" s="3"/>
      <c r="B2241" s="12"/>
      <c r="C2241" s="3"/>
      <c r="D2241" s="3"/>
      <c r="E2241" s="3"/>
      <c r="F2241" s="3"/>
      <c r="G2241" s="3"/>
      <c r="H2241" s="3"/>
      <c r="L2241" s="3"/>
    </row>
    <row r="2242" ht="15.75" customHeight="1">
      <c r="A2242" s="3"/>
      <c r="B2242" s="12"/>
      <c r="C2242" s="3"/>
      <c r="D2242" s="3"/>
      <c r="E2242" s="3"/>
      <c r="F2242" s="3"/>
      <c r="G2242" s="3"/>
      <c r="H2242" s="3"/>
      <c r="L2242" s="3"/>
    </row>
    <row r="2243" ht="15.75" customHeight="1">
      <c r="A2243" s="3"/>
      <c r="B2243" s="12"/>
      <c r="C2243" s="3"/>
      <c r="D2243" s="3"/>
      <c r="E2243" s="3"/>
      <c r="F2243" s="3"/>
      <c r="G2243" s="3"/>
      <c r="H2243" s="3"/>
      <c r="L2243" s="3"/>
    </row>
    <row r="2244" ht="15.75" customHeight="1">
      <c r="A2244" s="3"/>
      <c r="B2244" s="12"/>
      <c r="C2244" s="3"/>
      <c r="D2244" s="3"/>
      <c r="E2244" s="3"/>
      <c r="F2244" s="3"/>
      <c r="G2244" s="3"/>
      <c r="H2244" s="3"/>
      <c r="L2244" s="3"/>
    </row>
    <row r="2245" ht="15.75" customHeight="1">
      <c r="A2245" s="3"/>
      <c r="B2245" s="12"/>
      <c r="C2245" s="3"/>
      <c r="D2245" s="3"/>
      <c r="E2245" s="3"/>
      <c r="F2245" s="3"/>
      <c r="G2245" s="3"/>
      <c r="H2245" s="3"/>
      <c r="L2245" s="3"/>
    </row>
    <row r="2246" ht="15.75" customHeight="1">
      <c r="A2246" s="3"/>
      <c r="B2246" s="12"/>
      <c r="C2246" s="3"/>
      <c r="D2246" s="3"/>
      <c r="E2246" s="3"/>
      <c r="F2246" s="3"/>
      <c r="G2246" s="3"/>
      <c r="H2246" s="3"/>
      <c r="L2246" s="3"/>
    </row>
    <row r="2247" ht="15.75" customHeight="1">
      <c r="A2247" s="3"/>
      <c r="B2247" s="12"/>
      <c r="C2247" s="3"/>
      <c r="D2247" s="3"/>
      <c r="E2247" s="3"/>
      <c r="F2247" s="3"/>
      <c r="G2247" s="3"/>
      <c r="H2247" s="3"/>
      <c r="L2247" s="3"/>
    </row>
    <row r="2248" ht="15.75" customHeight="1">
      <c r="A2248" s="3"/>
      <c r="B2248" s="12"/>
      <c r="C2248" s="3"/>
      <c r="D2248" s="3"/>
      <c r="E2248" s="3"/>
      <c r="F2248" s="3"/>
      <c r="G2248" s="3"/>
      <c r="H2248" s="3"/>
      <c r="L2248" s="3"/>
    </row>
    <row r="2249" ht="15.75" customHeight="1">
      <c r="A2249" s="3"/>
      <c r="B2249" s="12"/>
      <c r="C2249" s="3"/>
      <c r="D2249" s="3"/>
      <c r="E2249" s="3"/>
      <c r="F2249" s="3"/>
      <c r="G2249" s="3"/>
      <c r="H2249" s="3"/>
      <c r="L2249" s="3"/>
    </row>
    <row r="2250" ht="15.75" customHeight="1">
      <c r="A2250" s="3"/>
      <c r="B2250" s="12"/>
      <c r="C2250" s="3"/>
      <c r="D2250" s="3"/>
      <c r="E2250" s="3"/>
      <c r="F2250" s="3"/>
      <c r="G2250" s="3"/>
      <c r="H2250" s="3"/>
      <c r="L2250" s="3"/>
    </row>
    <row r="2251" ht="15.75" customHeight="1">
      <c r="A2251" s="3"/>
      <c r="B2251" s="12"/>
      <c r="C2251" s="3"/>
      <c r="D2251" s="3"/>
      <c r="E2251" s="3"/>
      <c r="F2251" s="3"/>
      <c r="G2251" s="3"/>
      <c r="H2251" s="3"/>
      <c r="L2251" s="3"/>
    </row>
    <row r="2252" ht="15.75" customHeight="1">
      <c r="A2252" s="3"/>
      <c r="B2252" s="12"/>
      <c r="C2252" s="3"/>
      <c r="D2252" s="3"/>
      <c r="E2252" s="3"/>
      <c r="F2252" s="3"/>
      <c r="G2252" s="3"/>
      <c r="H2252" s="3"/>
      <c r="L2252" s="3"/>
    </row>
    <row r="2253" ht="15.75" customHeight="1">
      <c r="A2253" s="3"/>
      <c r="B2253" s="12"/>
      <c r="C2253" s="3"/>
      <c r="D2253" s="3"/>
      <c r="E2253" s="3"/>
      <c r="F2253" s="3"/>
      <c r="G2253" s="3"/>
      <c r="H2253" s="3"/>
      <c r="L2253" s="3"/>
    </row>
    <row r="2254" ht="15.75" customHeight="1">
      <c r="A2254" s="3"/>
      <c r="B2254" s="12"/>
      <c r="C2254" s="3"/>
      <c r="D2254" s="3"/>
      <c r="E2254" s="3"/>
      <c r="F2254" s="3"/>
      <c r="G2254" s="3"/>
      <c r="H2254" s="3"/>
      <c r="L2254" s="3"/>
    </row>
    <row r="2255" ht="15.75" customHeight="1">
      <c r="A2255" s="3"/>
      <c r="B2255" s="12"/>
      <c r="C2255" s="3"/>
      <c r="D2255" s="3"/>
      <c r="E2255" s="3"/>
      <c r="F2255" s="3"/>
      <c r="G2255" s="3"/>
      <c r="H2255" s="3"/>
      <c r="L2255" s="3"/>
    </row>
    <row r="2256" ht="15.75" customHeight="1">
      <c r="A2256" s="3"/>
      <c r="B2256" s="12"/>
      <c r="C2256" s="3"/>
      <c r="D2256" s="3"/>
      <c r="E2256" s="3"/>
      <c r="F2256" s="3"/>
      <c r="G2256" s="3"/>
      <c r="H2256" s="3"/>
      <c r="L2256" s="3"/>
    </row>
    <row r="2257" ht="15.75" customHeight="1">
      <c r="A2257" s="3"/>
      <c r="B2257" s="12"/>
      <c r="C2257" s="3"/>
      <c r="D2257" s="3"/>
      <c r="E2257" s="3"/>
      <c r="F2257" s="3"/>
      <c r="G2257" s="3"/>
      <c r="H2257" s="3"/>
      <c r="L2257" s="3"/>
    </row>
    <row r="2258" ht="15.75" customHeight="1">
      <c r="A2258" s="3"/>
      <c r="B2258" s="12"/>
      <c r="C2258" s="3"/>
      <c r="D2258" s="3"/>
      <c r="E2258" s="3"/>
      <c r="F2258" s="3"/>
      <c r="G2258" s="3"/>
      <c r="H2258" s="3"/>
      <c r="L2258" s="3"/>
    </row>
    <row r="2259" ht="15.75" customHeight="1">
      <c r="A2259" s="3"/>
      <c r="B2259" s="12"/>
      <c r="C2259" s="3"/>
      <c r="D2259" s="3"/>
      <c r="E2259" s="3"/>
      <c r="F2259" s="3"/>
      <c r="G2259" s="3"/>
      <c r="H2259" s="3"/>
      <c r="L2259" s="3"/>
    </row>
    <row r="2260" ht="15.75" customHeight="1">
      <c r="A2260" s="3"/>
      <c r="B2260" s="12"/>
      <c r="C2260" s="3"/>
      <c r="D2260" s="3"/>
      <c r="E2260" s="3"/>
      <c r="F2260" s="3"/>
      <c r="G2260" s="3"/>
      <c r="H2260" s="3"/>
      <c r="L2260" s="3"/>
    </row>
    <row r="2261" ht="15.75" customHeight="1">
      <c r="A2261" s="3"/>
      <c r="B2261" s="12"/>
      <c r="C2261" s="3"/>
      <c r="D2261" s="3"/>
      <c r="E2261" s="3"/>
      <c r="F2261" s="3"/>
      <c r="G2261" s="3"/>
      <c r="H2261" s="3"/>
      <c r="L2261" s="3"/>
    </row>
    <row r="2262" ht="15.75" customHeight="1">
      <c r="A2262" s="3"/>
      <c r="B2262" s="12"/>
      <c r="C2262" s="3"/>
      <c r="D2262" s="3"/>
      <c r="E2262" s="3"/>
      <c r="F2262" s="3"/>
      <c r="G2262" s="3"/>
      <c r="H2262" s="3"/>
      <c r="L2262" s="3"/>
    </row>
    <row r="2263" ht="15.75" customHeight="1">
      <c r="A2263" s="3"/>
      <c r="B2263" s="12"/>
      <c r="C2263" s="3"/>
      <c r="D2263" s="3"/>
      <c r="E2263" s="3"/>
      <c r="F2263" s="3"/>
      <c r="G2263" s="3"/>
      <c r="H2263" s="3"/>
      <c r="L2263" s="3"/>
    </row>
    <row r="2264" ht="15.75" customHeight="1">
      <c r="A2264" s="3"/>
      <c r="B2264" s="12"/>
      <c r="C2264" s="3"/>
      <c r="D2264" s="3"/>
      <c r="E2264" s="3"/>
      <c r="F2264" s="3"/>
      <c r="G2264" s="3"/>
      <c r="H2264" s="3"/>
      <c r="L2264" s="3"/>
    </row>
    <row r="2265" ht="15.75" customHeight="1">
      <c r="A2265" s="3"/>
      <c r="B2265" s="12"/>
      <c r="C2265" s="3"/>
      <c r="D2265" s="3"/>
      <c r="E2265" s="3"/>
      <c r="F2265" s="3"/>
      <c r="G2265" s="3"/>
      <c r="H2265" s="3"/>
      <c r="L2265" s="3"/>
    </row>
    <row r="2266" ht="15.75" customHeight="1">
      <c r="A2266" s="3"/>
      <c r="B2266" s="12"/>
      <c r="C2266" s="3"/>
      <c r="D2266" s="3"/>
      <c r="E2266" s="3"/>
      <c r="F2266" s="3"/>
      <c r="G2266" s="3"/>
      <c r="H2266" s="3"/>
      <c r="L2266" s="3"/>
    </row>
    <row r="2267" ht="15.75" customHeight="1">
      <c r="A2267" s="3"/>
      <c r="B2267" s="12"/>
      <c r="C2267" s="3"/>
      <c r="D2267" s="3"/>
      <c r="E2267" s="3"/>
      <c r="F2267" s="3"/>
      <c r="G2267" s="3"/>
      <c r="H2267" s="3"/>
      <c r="L2267" s="3"/>
    </row>
    <row r="2268" ht="15.75" customHeight="1">
      <c r="A2268" s="3"/>
      <c r="B2268" s="12"/>
      <c r="C2268" s="3"/>
      <c r="D2268" s="3"/>
      <c r="E2268" s="3"/>
      <c r="F2268" s="3"/>
      <c r="G2268" s="3"/>
      <c r="H2268" s="3"/>
      <c r="L2268" s="3"/>
    </row>
    <row r="2269" ht="15.75" customHeight="1">
      <c r="A2269" s="3"/>
      <c r="B2269" s="12"/>
      <c r="C2269" s="3"/>
      <c r="D2269" s="3"/>
      <c r="E2269" s="3"/>
      <c r="F2269" s="3"/>
      <c r="G2269" s="3"/>
      <c r="H2269" s="3"/>
      <c r="L2269" s="3"/>
    </row>
    <row r="2270" ht="15.75" customHeight="1">
      <c r="A2270" s="3"/>
      <c r="B2270" s="12"/>
      <c r="C2270" s="3"/>
      <c r="D2270" s="3"/>
      <c r="E2270" s="3"/>
      <c r="F2270" s="3"/>
      <c r="G2270" s="3"/>
      <c r="H2270" s="3"/>
      <c r="L2270" s="3"/>
    </row>
    <row r="2271" ht="15.75" customHeight="1">
      <c r="A2271" s="3"/>
      <c r="B2271" s="12"/>
      <c r="C2271" s="3"/>
      <c r="D2271" s="3"/>
      <c r="E2271" s="3"/>
      <c r="F2271" s="3"/>
      <c r="G2271" s="3"/>
      <c r="H2271" s="3"/>
      <c r="L2271" s="3"/>
    </row>
    <row r="2272" ht="15.75" customHeight="1">
      <c r="A2272" s="3"/>
      <c r="B2272" s="12"/>
      <c r="C2272" s="3"/>
      <c r="D2272" s="3"/>
      <c r="E2272" s="3"/>
      <c r="F2272" s="3"/>
      <c r="G2272" s="3"/>
      <c r="H2272" s="3"/>
      <c r="L2272" s="3"/>
    </row>
    <row r="2273" ht="15.75" customHeight="1">
      <c r="A2273" s="3"/>
      <c r="B2273" s="12"/>
      <c r="C2273" s="3"/>
      <c r="D2273" s="3"/>
      <c r="E2273" s="3"/>
      <c r="F2273" s="3"/>
      <c r="G2273" s="3"/>
      <c r="H2273" s="3"/>
      <c r="L2273" s="3"/>
    </row>
    <row r="2274" ht="15.75" customHeight="1">
      <c r="A2274" s="3"/>
      <c r="B2274" s="12"/>
      <c r="C2274" s="3"/>
      <c r="D2274" s="3"/>
      <c r="E2274" s="3"/>
      <c r="F2274" s="3"/>
      <c r="G2274" s="3"/>
      <c r="H2274" s="3"/>
      <c r="L2274" s="3"/>
    </row>
    <row r="2275" ht="15.75" customHeight="1">
      <c r="A2275" s="3"/>
      <c r="B2275" s="12"/>
      <c r="C2275" s="3"/>
      <c r="D2275" s="3"/>
      <c r="E2275" s="3"/>
      <c r="F2275" s="3"/>
      <c r="G2275" s="3"/>
      <c r="H2275" s="3"/>
      <c r="L2275" s="3"/>
    </row>
    <row r="2276" ht="15.75" customHeight="1">
      <c r="A2276" s="3"/>
      <c r="B2276" s="12"/>
      <c r="C2276" s="3"/>
      <c r="D2276" s="3"/>
      <c r="E2276" s="3"/>
      <c r="F2276" s="3"/>
      <c r="G2276" s="3"/>
      <c r="H2276" s="3"/>
      <c r="L2276" s="3"/>
    </row>
    <row r="2277" ht="15.75" customHeight="1">
      <c r="A2277" s="3"/>
      <c r="B2277" s="12"/>
      <c r="C2277" s="3"/>
      <c r="D2277" s="3"/>
      <c r="E2277" s="3"/>
      <c r="F2277" s="3"/>
      <c r="G2277" s="3"/>
      <c r="H2277" s="3"/>
      <c r="L2277" s="3"/>
    </row>
    <row r="2278" ht="15.75" customHeight="1">
      <c r="A2278" s="3"/>
      <c r="B2278" s="12"/>
      <c r="C2278" s="3"/>
      <c r="D2278" s="3"/>
      <c r="E2278" s="3"/>
      <c r="F2278" s="3"/>
      <c r="G2278" s="3"/>
      <c r="H2278" s="3"/>
      <c r="L2278" s="3"/>
    </row>
    <row r="2279" ht="15.75" customHeight="1">
      <c r="A2279" s="3"/>
      <c r="B2279" s="12"/>
      <c r="C2279" s="3"/>
      <c r="D2279" s="3"/>
      <c r="E2279" s="3"/>
      <c r="F2279" s="3"/>
      <c r="G2279" s="3"/>
      <c r="H2279" s="3"/>
      <c r="L2279" s="3"/>
    </row>
    <row r="2280" ht="15.75" customHeight="1">
      <c r="A2280" s="3"/>
      <c r="B2280" s="12"/>
      <c r="C2280" s="3"/>
      <c r="D2280" s="3"/>
      <c r="E2280" s="3"/>
      <c r="F2280" s="3"/>
      <c r="G2280" s="3"/>
      <c r="H2280" s="3"/>
      <c r="L2280" s="3"/>
    </row>
    <row r="2281" ht="15.75" customHeight="1">
      <c r="A2281" s="3"/>
      <c r="B2281" s="12"/>
      <c r="C2281" s="3"/>
      <c r="D2281" s="3"/>
      <c r="E2281" s="3"/>
      <c r="F2281" s="3"/>
      <c r="G2281" s="3"/>
      <c r="H2281" s="3"/>
      <c r="L2281" s="3"/>
    </row>
    <row r="2282" ht="15.75" customHeight="1">
      <c r="A2282" s="3"/>
      <c r="B2282" s="12"/>
      <c r="C2282" s="3"/>
      <c r="D2282" s="3"/>
      <c r="E2282" s="3"/>
      <c r="F2282" s="3"/>
      <c r="G2282" s="3"/>
      <c r="H2282" s="3"/>
      <c r="L2282" s="3"/>
    </row>
    <row r="2283" ht="15.75" customHeight="1">
      <c r="A2283" s="3"/>
      <c r="B2283" s="12"/>
      <c r="C2283" s="3"/>
      <c r="D2283" s="3"/>
      <c r="E2283" s="3"/>
      <c r="F2283" s="3"/>
      <c r="G2283" s="3"/>
      <c r="H2283" s="3"/>
      <c r="L2283" s="3"/>
    </row>
    <row r="2284" ht="15.75" customHeight="1">
      <c r="A2284" s="3"/>
      <c r="B2284" s="12"/>
      <c r="C2284" s="3"/>
      <c r="D2284" s="3"/>
      <c r="E2284" s="3"/>
      <c r="F2284" s="3"/>
      <c r="G2284" s="3"/>
      <c r="H2284" s="3"/>
      <c r="L2284" s="3"/>
    </row>
    <row r="2285" ht="15.75" customHeight="1">
      <c r="A2285" s="3"/>
      <c r="B2285" s="12"/>
      <c r="C2285" s="3"/>
      <c r="D2285" s="3"/>
      <c r="E2285" s="3"/>
      <c r="F2285" s="3"/>
      <c r="G2285" s="3"/>
      <c r="H2285" s="3"/>
      <c r="L2285" s="3"/>
    </row>
    <row r="2286" ht="15.75" customHeight="1">
      <c r="A2286" s="3"/>
      <c r="B2286" s="12"/>
      <c r="C2286" s="3"/>
      <c r="D2286" s="3"/>
      <c r="E2286" s="3"/>
      <c r="F2286" s="3"/>
      <c r="G2286" s="3"/>
      <c r="H2286" s="3"/>
      <c r="L2286" s="3"/>
    </row>
    <row r="2287" ht="15.75" customHeight="1">
      <c r="A2287" s="3"/>
      <c r="B2287" s="12"/>
      <c r="C2287" s="3"/>
      <c r="D2287" s="3"/>
      <c r="E2287" s="3"/>
      <c r="F2287" s="3"/>
      <c r="G2287" s="3"/>
      <c r="H2287" s="3"/>
      <c r="L2287" s="3"/>
    </row>
    <row r="2288" ht="15.75" customHeight="1">
      <c r="A2288" s="3"/>
      <c r="B2288" s="12"/>
      <c r="C2288" s="3"/>
      <c r="D2288" s="3"/>
      <c r="E2288" s="3"/>
      <c r="F2288" s="3"/>
      <c r="G2288" s="3"/>
      <c r="H2288" s="3"/>
      <c r="L2288" s="3"/>
    </row>
    <row r="2289" ht="15.75" customHeight="1">
      <c r="A2289" s="3"/>
      <c r="B2289" s="12"/>
      <c r="C2289" s="3"/>
      <c r="D2289" s="3"/>
      <c r="E2289" s="3"/>
      <c r="F2289" s="3"/>
      <c r="G2289" s="3"/>
      <c r="H2289" s="3"/>
      <c r="L2289" s="3"/>
    </row>
    <row r="2290" ht="15.75" customHeight="1">
      <c r="A2290" s="3"/>
      <c r="B2290" s="12"/>
      <c r="C2290" s="3"/>
      <c r="D2290" s="3"/>
      <c r="E2290" s="3"/>
      <c r="F2290" s="3"/>
      <c r="G2290" s="3"/>
      <c r="H2290" s="3"/>
      <c r="L2290" s="3"/>
    </row>
    <row r="2291" ht="15.75" customHeight="1">
      <c r="A2291" s="3"/>
      <c r="B2291" s="12"/>
      <c r="C2291" s="3"/>
      <c r="D2291" s="3"/>
      <c r="E2291" s="3"/>
      <c r="F2291" s="3"/>
      <c r="G2291" s="3"/>
      <c r="H2291" s="3"/>
      <c r="L2291" s="3"/>
    </row>
    <row r="2292" ht="15.75" customHeight="1">
      <c r="A2292" s="3"/>
      <c r="B2292" s="12"/>
      <c r="C2292" s="3"/>
      <c r="D2292" s="3"/>
      <c r="E2292" s="3"/>
      <c r="F2292" s="3"/>
      <c r="G2292" s="3"/>
      <c r="H2292" s="3"/>
      <c r="L2292" s="3"/>
    </row>
    <row r="2293" ht="15.75" customHeight="1">
      <c r="A2293" s="3"/>
      <c r="B2293" s="12"/>
      <c r="C2293" s="3"/>
      <c r="D2293" s="3"/>
      <c r="E2293" s="3"/>
      <c r="F2293" s="3"/>
      <c r="G2293" s="3"/>
      <c r="H2293" s="3"/>
      <c r="L2293" s="3"/>
    </row>
    <row r="2294" ht="15.75" customHeight="1">
      <c r="A2294" s="3"/>
      <c r="B2294" s="12"/>
      <c r="C2294" s="3"/>
      <c r="D2294" s="3"/>
      <c r="E2294" s="3"/>
      <c r="F2294" s="3"/>
      <c r="G2294" s="3"/>
      <c r="H2294" s="3"/>
      <c r="L2294" s="3"/>
    </row>
    <row r="2295" ht="15.75" customHeight="1">
      <c r="A2295" s="3"/>
      <c r="B2295" s="12"/>
      <c r="C2295" s="3"/>
      <c r="D2295" s="3"/>
      <c r="E2295" s="3"/>
      <c r="F2295" s="3"/>
      <c r="G2295" s="3"/>
      <c r="H2295" s="3"/>
      <c r="L2295" s="3"/>
    </row>
    <row r="2296" ht="15.75" customHeight="1">
      <c r="A2296" s="3"/>
      <c r="B2296" s="12"/>
      <c r="C2296" s="3"/>
      <c r="D2296" s="3"/>
      <c r="E2296" s="3"/>
      <c r="F2296" s="3"/>
      <c r="G2296" s="3"/>
      <c r="H2296" s="3"/>
      <c r="L2296" s="3"/>
    </row>
    <row r="2297" ht="15.75" customHeight="1">
      <c r="A2297" s="3"/>
      <c r="B2297" s="12"/>
      <c r="C2297" s="3"/>
      <c r="D2297" s="3"/>
      <c r="E2297" s="3"/>
      <c r="F2297" s="3"/>
      <c r="G2297" s="3"/>
      <c r="H2297" s="3"/>
      <c r="L2297" s="3"/>
    </row>
    <row r="2298" ht="15.75" customHeight="1">
      <c r="A2298" s="3"/>
      <c r="B2298" s="12"/>
      <c r="C2298" s="3"/>
      <c r="D2298" s="3"/>
      <c r="E2298" s="3"/>
      <c r="F2298" s="3"/>
      <c r="G2298" s="3"/>
      <c r="H2298" s="3"/>
      <c r="L2298" s="3"/>
    </row>
    <row r="2299" ht="15.75" customHeight="1">
      <c r="A2299" s="3"/>
      <c r="B2299" s="12"/>
      <c r="C2299" s="3"/>
      <c r="D2299" s="3"/>
      <c r="E2299" s="3"/>
      <c r="F2299" s="3"/>
      <c r="G2299" s="3"/>
      <c r="H2299" s="3"/>
      <c r="L2299" s="3"/>
    </row>
    <row r="2300" ht="15.75" customHeight="1">
      <c r="A2300" s="3"/>
      <c r="B2300" s="12"/>
      <c r="C2300" s="3"/>
      <c r="D2300" s="3"/>
      <c r="E2300" s="3"/>
      <c r="F2300" s="3"/>
      <c r="G2300" s="3"/>
      <c r="H2300" s="3"/>
      <c r="L2300" s="3"/>
    </row>
    <row r="2301" ht="15.75" customHeight="1">
      <c r="A2301" s="3"/>
      <c r="B2301" s="12"/>
      <c r="C2301" s="3"/>
      <c r="D2301" s="3"/>
      <c r="E2301" s="3"/>
      <c r="F2301" s="3"/>
      <c r="G2301" s="3"/>
      <c r="H2301" s="3"/>
      <c r="L2301" s="3"/>
    </row>
    <row r="2302" ht="15.75" customHeight="1">
      <c r="A2302" s="3"/>
      <c r="B2302" s="12"/>
      <c r="C2302" s="3"/>
      <c r="D2302" s="3"/>
      <c r="E2302" s="3"/>
      <c r="F2302" s="3"/>
      <c r="G2302" s="3"/>
      <c r="H2302" s="3"/>
      <c r="L2302" s="3"/>
    </row>
    <row r="2303" ht="15.75" customHeight="1">
      <c r="A2303" s="3"/>
      <c r="B2303" s="12"/>
      <c r="C2303" s="3"/>
      <c r="D2303" s="3"/>
      <c r="E2303" s="3"/>
      <c r="F2303" s="3"/>
      <c r="G2303" s="3"/>
      <c r="H2303" s="3"/>
      <c r="L2303" s="3"/>
    </row>
    <row r="2304" ht="15.75" customHeight="1">
      <c r="A2304" s="3"/>
      <c r="B2304" s="12"/>
      <c r="C2304" s="3"/>
      <c r="D2304" s="3"/>
      <c r="E2304" s="3"/>
      <c r="F2304" s="3"/>
      <c r="G2304" s="3"/>
      <c r="H2304" s="3"/>
      <c r="L2304" s="3"/>
    </row>
    <row r="2305" ht="15.75" customHeight="1">
      <c r="A2305" s="3"/>
      <c r="B2305" s="12"/>
      <c r="C2305" s="3"/>
      <c r="D2305" s="3"/>
      <c r="E2305" s="3"/>
      <c r="F2305" s="3"/>
      <c r="G2305" s="3"/>
      <c r="H2305" s="3"/>
      <c r="L2305" s="3"/>
    </row>
    <row r="2306" ht="15.75" customHeight="1">
      <c r="A2306" s="3"/>
      <c r="B2306" s="12"/>
      <c r="C2306" s="3"/>
      <c r="D2306" s="3"/>
      <c r="E2306" s="3"/>
      <c r="F2306" s="3"/>
      <c r="G2306" s="3"/>
      <c r="H2306" s="3"/>
      <c r="L2306" s="3"/>
    </row>
    <row r="2307" ht="15.75" customHeight="1">
      <c r="A2307" s="3"/>
      <c r="B2307" s="12"/>
      <c r="C2307" s="3"/>
      <c r="D2307" s="3"/>
      <c r="E2307" s="3"/>
      <c r="F2307" s="3"/>
      <c r="G2307" s="3"/>
      <c r="H2307" s="3"/>
      <c r="L2307" s="3"/>
    </row>
    <row r="2308" ht="15.75" customHeight="1">
      <c r="A2308" s="3"/>
      <c r="B2308" s="12"/>
      <c r="C2308" s="3"/>
      <c r="D2308" s="3"/>
      <c r="E2308" s="3"/>
      <c r="F2308" s="3"/>
      <c r="G2308" s="3"/>
      <c r="H2308" s="3"/>
      <c r="L2308" s="3"/>
    </row>
    <row r="2309" ht="15.75" customHeight="1">
      <c r="A2309" s="3"/>
      <c r="B2309" s="12"/>
      <c r="C2309" s="3"/>
      <c r="D2309" s="3"/>
      <c r="E2309" s="3"/>
      <c r="F2309" s="3"/>
      <c r="G2309" s="3"/>
      <c r="H2309" s="3"/>
      <c r="L2309" s="3"/>
    </row>
    <row r="2310" ht="15.75" customHeight="1">
      <c r="A2310" s="3"/>
      <c r="B2310" s="12"/>
      <c r="C2310" s="3"/>
      <c r="D2310" s="3"/>
      <c r="E2310" s="3"/>
      <c r="F2310" s="3"/>
      <c r="G2310" s="3"/>
      <c r="H2310" s="3"/>
      <c r="L2310" s="3"/>
    </row>
    <row r="2311" ht="15.75" customHeight="1">
      <c r="A2311" s="3"/>
      <c r="B2311" s="12"/>
      <c r="C2311" s="3"/>
      <c r="D2311" s="3"/>
      <c r="E2311" s="3"/>
      <c r="F2311" s="3"/>
      <c r="G2311" s="3"/>
      <c r="H2311" s="3"/>
      <c r="L2311" s="3"/>
    </row>
    <row r="2312" ht="15.75" customHeight="1">
      <c r="A2312" s="3"/>
      <c r="B2312" s="12"/>
      <c r="C2312" s="3"/>
      <c r="D2312" s="3"/>
      <c r="E2312" s="3"/>
      <c r="F2312" s="3"/>
      <c r="G2312" s="3"/>
      <c r="H2312" s="3"/>
      <c r="L2312" s="3"/>
    </row>
    <row r="2313" ht="15.75" customHeight="1">
      <c r="A2313" s="3"/>
      <c r="B2313" s="12"/>
      <c r="C2313" s="3"/>
      <c r="D2313" s="3"/>
      <c r="E2313" s="3"/>
      <c r="F2313" s="3"/>
      <c r="G2313" s="3"/>
      <c r="H2313" s="3"/>
      <c r="L2313" s="3"/>
    </row>
    <row r="2314" ht="15.75" customHeight="1">
      <c r="A2314" s="3"/>
      <c r="B2314" s="12"/>
      <c r="C2314" s="3"/>
      <c r="D2314" s="3"/>
      <c r="E2314" s="3"/>
      <c r="F2314" s="3"/>
      <c r="G2314" s="3"/>
      <c r="H2314" s="3"/>
      <c r="L2314" s="3"/>
    </row>
    <row r="2315" ht="15.75" customHeight="1">
      <c r="A2315" s="3"/>
      <c r="B2315" s="12"/>
      <c r="C2315" s="3"/>
      <c r="D2315" s="3"/>
      <c r="E2315" s="3"/>
      <c r="F2315" s="3"/>
      <c r="G2315" s="3"/>
      <c r="H2315" s="3"/>
      <c r="L2315" s="3"/>
    </row>
    <row r="2316" ht="15.75" customHeight="1">
      <c r="A2316" s="3"/>
      <c r="B2316" s="12"/>
      <c r="C2316" s="3"/>
      <c r="D2316" s="3"/>
      <c r="E2316" s="3"/>
      <c r="F2316" s="3"/>
      <c r="G2316" s="3"/>
      <c r="H2316" s="3"/>
      <c r="L2316" s="3"/>
    </row>
    <row r="2317" ht="15.75" customHeight="1">
      <c r="A2317" s="3"/>
      <c r="B2317" s="12"/>
      <c r="C2317" s="3"/>
      <c r="D2317" s="3"/>
      <c r="E2317" s="3"/>
      <c r="F2317" s="3"/>
      <c r="G2317" s="3"/>
      <c r="H2317" s="3"/>
      <c r="L2317" s="3"/>
    </row>
    <row r="2318" ht="15.75" customHeight="1">
      <c r="A2318" s="3"/>
      <c r="B2318" s="12"/>
      <c r="C2318" s="3"/>
      <c r="D2318" s="3"/>
      <c r="E2318" s="3"/>
      <c r="F2318" s="3"/>
      <c r="G2318" s="3"/>
      <c r="H2318" s="3"/>
      <c r="L2318" s="3"/>
    </row>
    <row r="2319" ht="15.75" customHeight="1">
      <c r="A2319" s="3"/>
      <c r="B2319" s="12"/>
      <c r="C2319" s="3"/>
      <c r="D2319" s="3"/>
      <c r="E2319" s="3"/>
      <c r="F2319" s="3"/>
      <c r="G2319" s="3"/>
      <c r="H2319" s="3"/>
      <c r="L2319" s="3"/>
    </row>
    <row r="2320" ht="15.75" customHeight="1">
      <c r="A2320" s="3"/>
      <c r="B2320" s="12"/>
      <c r="C2320" s="3"/>
      <c r="D2320" s="3"/>
      <c r="E2320" s="3"/>
      <c r="F2320" s="3"/>
      <c r="G2320" s="3"/>
      <c r="H2320" s="3"/>
      <c r="L2320" s="3"/>
    </row>
    <row r="2321" ht="15.75" customHeight="1">
      <c r="A2321" s="3"/>
      <c r="B2321" s="12"/>
      <c r="C2321" s="3"/>
      <c r="D2321" s="3"/>
      <c r="E2321" s="3"/>
      <c r="F2321" s="3"/>
      <c r="G2321" s="3"/>
      <c r="H2321" s="3"/>
      <c r="L2321" s="3"/>
    </row>
    <row r="2322" ht="15.75" customHeight="1">
      <c r="A2322" s="3"/>
      <c r="B2322" s="12"/>
      <c r="C2322" s="3"/>
      <c r="D2322" s="3"/>
      <c r="E2322" s="3"/>
      <c r="F2322" s="3"/>
      <c r="G2322" s="3"/>
      <c r="H2322" s="3"/>
      <c r="L2322" s="3"/>
    </row>
    <row r="2323" ht="15.75" customHeight="1">
      <c r="A2323" s="3"/>
      <c r="B2323" s="12"/>
      <c r="C2323" s="3"/>
      <c r="D2323" s="3"/>
      <c r="E2323" s="3"/>
      <c r="F2323" s="3"/>
      <c r="G2323" s="3"/>
      <c r="H2323" s="3"/>
      <c r="L2323" s="3"/>
    </row>
    <row r="2324" ht="15.75" customHeight="1">
      <c r="A2324" s="3"/>
      <c r="B2324" s="12"/>
      <c r="C2324" s="3"/>
      <c r="D2324" s="3"/>
      <c r="E2324" s="3"/>
      <c r="F2324" s="3"/>
      <c r="G2324" s="3"/>
      <c r="H2324" s="3"/>
      <c r="L2324" s="3"/>
    </row>
    <row r="2325" ht="15.75" customHeight="1">
      <c r="A2325" s="3"/>
      <c r="B2325" s="12"/>
      <c r="C2325" s="3"/>
      <c r="D2325" s="3"/>
      <c r="E2325" s="3"/>
      <c r="F2325" s="3"/>
      <c r="G2325" s="3"/>
      <c r="H2325" s="3"/>
      <c r="L2325" s="3"/>
    </row>
    <row r="2326" ht="15.75" customHeight="1">
      <c r="A2326" s="3"/>
      <c r="B2326" s="12"/>
      <c r="C2326" s="3"/>
      <c r="D2326" s="3"/>
      <c r="E2326" s="3"/>
      <c r="F2326" s="3"/>
      <c r="G2326" s="3"/>
      <c r="H2326" s="3"/>
      <c r="L2326" s="3"/>
    </row>
    <row r="2327" ht="15.75" customHeight="1">
      <c r="A2327" s="3"/>
      <c r="B2327" s="12"/>
      <c r="C2327" s="3"/>
      <c r="D2327" s="3"/>
      <c r="E2327" s="3"/>
      <c r="F2327" s="3"/>
      <c r="G2327" s="3"/>
      <c r="H2327" s="3"/>
      <c r="L2327" s="3"/>
    </row>
    <row r="2328" ht="15.75" customHeight="1">
      <c r="A2328" s="3"/>
      <c r="B2328" s="12"/>
      <c r="C2328" s="3"/>
      <c r="D2328" s="3"/>
      <c r="E2328" s="3"/>
      <c r="F2328" s="3"/>
      <c r="G2328" s="3"/>
      <c r="H2328" s="3"/>
      <c r="L2328" s="3"/>
    </row>
    <row r="2329" ht="15.75" customHeight="1">
      <c r="A2329" s="3"/>
      <c r="B2329" s="12"/>
      <c r="C2329" s="3"/>
      <c r="D2329" s="3"/>
      <c r="E2329" s="3"/>
      <c r="F2329" s="3"/>
      <c r="G2329" s="3"/>
      <c r="H2329" s="3"/>
      <c r="L2329" s="3"/>
    </row>
    <row r="2330" ht="15.75" customHeight="1">
      <c r="A2330" s="3"/>
      <c r="B2330" s="12"/>
      <c r="C2330" s="3"/>
      <c r="D2330" s="3"/>
      <c r="E2330" s="3"/>
      <c r="F2330" s="3"/>
      <c r="G2330" s="3"/>
      <c r="H2330" s="3"/>
      <c r="L2330" s="3"/>
    </row>
    <row r="2331" ht="15.75" customHeight="1">
      <c r="A2331" s="3"/>
      <c r="B2331" s="12"/>
      <c r="C2331" s="3"/>
      <c r="D2331" s="3"/>
      <c r="E2331" s="3"/>
      <c r="F2331" s="3"/>
      <c r="G2331" s="3"/>
      <c r="H2331" s="3"/>
      <c r="L2331" s="3"/>
    </row>
    <row r="2332" ht="15.75" customHeight="1">
      <c r="A2332" s="3"/>
      <c r="B2332" s="12"/>
      <c r="C2332" s="3"/>
      <c r="D2332" s="3"/>
      <c r="E2332" s="3"/>
      <c r="F2332" s="3"/>
      <c r="G2332" s="3"/>
      <c r="H2332" s="3"/>
      <c r="L2332" s="3"/>
    </row>
    <row r="2333" ht="15.75" customHeight="1">
      <c r="A2333" s="3"/>
      <c r="B2333" s="12"/>
      <c r="C2333" s="3"/>
      <c r="D2333" s="3"/>
      <c r="E2333" s="3"/>
      <c r="F2333" s="3"/>
      <c r="G2333" s="3"/>
      <c r="H2333" s="3"/>
      <c r="L2333" s="3"/>
    </row>
    <row r="2334" ht="15.75" customHeight="1">
      <c r="A2334" s="3"/>
      <c r="B2334" s="12"/>
      <c r="C2334" s="3"/>
      <c r="D2334" s="3"/>
      <c r="E2334" s="3"/>
      <c r="F2334" s="3"/>
      <c r="G2334" s="3"/>
      <c r="H2334" s="3"/>
      <c r="L2334" s="3"/>
    </row>
    <row r="2335" ht="15.75" customHeight="1">
      <c r="A2335" s="3"/>
      <c r="B2335" s="12"/>
      <c r="C2335" s="3"/>
      <c r="D2335" s="3"/>
      <c r="E2335" s="3"/>
      <c r="F2335" s="3"/>
      <c r="G2335" s="3"/>
      <c r="H2335" s="3"/>
      <c r="L2335" s="3"/>
    </row>
    <row r="2336" ht="15.75" customHeight="1">
      <c r="A2336" s="3"/>
      <c r="B2336" s="12"/>
      <c r="C2336" s="3"/>
      <c r="D2336" s="3"/>
      <c r="E2336" s="3"/>
      <c r="F2336" s="3"/>
      <c r="G2336" s="3"/>
      <c r="H2336" s="3"/>
      <c r="L2336" s="3"/>
    </row>
    <row r="2337" ht="15.75" customHeight="1">
      <c r="A2337" s="3"/>
      <c r="B2337" s="12"/>
      <c r="C2337" s="3"/>
      <c r="D2337" s="3"/>
      <c r="E2337" s="3"/>
      <c r="F2337" s="3"/>
      <c r="G2337" s="3"/>
      <c r="H2337" s="3"/>
      <c r="L2337" s="3"/>
    </row>
    <row r="2338" ht="15.75" customHeight="1">
      <c r="A2338" s="3"/>
      <c r="B2338" s="12"/>
      <c r="C2338" s="3"/>
      <c r="D2338" s="3"/>
      <c r="E2338" s="3"/>
      <c r="F2338" s="3"/>
      <c r="G2338" s="3"/>
      <c r="H2338" s="3"/>
      <c r="L2338" s="3"/>
    </row>
    <row r="2339" ht="15.75" customHeight="1">
      <c r="A2339" s="3"/>
      <c r="B2339" s="12"/>
      <c r="C2339" s="3"/>
      <c r="D2339" s="3"/>
      <c r="E2339" s="3"/>
      <c r="F2339" s="3"/>
      <c r="G2339" s="3"/>
      <c r="H2339" s="3"/>
      <c r="L2339" s="3"/>
    </row>
    <row r="2340" ht="15.75" customHeight="1">
      <c r="A2340" s="3"/>
      <c r="B2340" s="12"/>
      <c r="C2340" s="3"/>
      <c r="D2340" s="3"/>
      <c r="E2340" s="3"/>
      <c r="F2340" s="3"/>
      <c r="G2340" s="3"/>
      <c r="H2340" s="3"/>
      <c r="L2340" s="3"/>
    </row>
    <row r="2341" ht="15.75" customHeight="1">
      <c r="A2341" s="3"/>
      <c r="B2341" s="12"/>
      <c r="C2341" s="3"/>
      <c r="D2341" s="3"/>
      <c r="E2341" s="3"/>
      <c r="F2341" s="3"/>
      <c r="G2341" s="3"/>
      <c r="H2341" s="3"/>
      <c r="L2341" s="3"/>
    </row>
    <row r="2342" ht="15.75" customHeight="1">
      <c r="A2342" s="3"/>
      <c r="B2342" s="12"/>
      <c r="C2342" s="3"/>
      <c r="D2342" s="3"/>
      <c r="E2342" s="3"/>
      <c r="F2342" s="3"/>
      <c r="G2342" s="3"/>
      <c r="H2342" s="3"/>
      <c r="L2342" s="3"/>
    </row>
    <row r="2343" ht="15.75" customHeight="1">
      <c r="A2343" s="3"/>
      <c r="B2343" s="12"/>
      <c r="C2343" s="3"/>
      <c r="D2343" s="3"/>
      <c r="E2343" s="3"/>
      <c r="F2343" s="3"/>
      <c r="G2343" s="3"/>
      <c r="H2343" s="3"/>
      <c r="L2343" s="3"/>
    </row>
    <row r="2344" ht="15.75" customHeight="1">
      <c r="A2344" s="3"/>
      <c r="B2344" s="12"/>
      <c r="C2344" s="3"/>
      <c r="D2344" s="3"/>
      <c r="E2344" s="3"/>
      <c r="F2344" s="3"/>
      <c r="G2344" s="3"/>
      <c r="H2344" s="3"/>
      <c r="L2344" s="3"/>
    </row>
    <row r="2345" ht="15.75" customHeight="1">
      <c r="A2345" s="3"/>
      <c r="B2345" s="12"/>
      <c r="C2345" s="3"/>
      <c r="D2345" s="3"/>
      <c r="E2345" s="3"/>
      <c r="F2345" s="3"/>
      <c r="G2345" s="3"/>
      <c r="H2345" s="3"/>
      <c r="L2345" s="3"/>
    </row>
    <row r="2346" ht="15.75" customHeight="1">
      <c r="A2346" s="3"/>
      <c r="B2346" s="12"/>
      <c r="C2346" s="3"/>
      <c r="D2346" s="3"/>
      <c r="E2346" s="3"/>
      <c r="F2346" s="3"/>
      <c r="G2346" s="3"/>
      <c r="H2346" s="3"/>
      <c r="L2346" s="3"/>
    </row>
    <row r="2347" ht="15.75" customHeight="1">
      <c r="A2347" s="3"/>
      <c r="B2347" s="12"/>
      <c r="C2347" s="3"/>
      <c r="D2347" s="3"/>
      <c r="E2347" s="3"/>
      <c r="F2347" s="3"/>
      <c r="G2347" s="3"/>
      <c r="H2347" s="3"/>
      <c r="L2347" s="3"/>
    </row>
    <row r="2348" ht="15.75" customHeight="1">
      <c r="A2348" s="3"/>
      <c r="B2348" s="12"/>
      <c r="C2348" s="3"/>
      <c r="D2348" s="3"/>
      <c r="E2348" s="3"/>
      <c r="F2348" s="3"/>
      <c r="G2348" s="3"/>
      <c r="H2348" s="3"/>
      <c r="L2348" s="3"/>
    </row>
    <row r="2349" ht="15.75" customHeight="1">
      <c r="A2349" s="3"/>
      <c r="B2349" s="12"/>
      <c r="C2349" s="3"/>
      <c r="D2349" s="3"/>
      <c r="E2349" s="3"/>
      <c r="F2349" s="3"/>
      <c r="G2349" s="3"/>
      <c r="H2349" s="3"/>
      <c r="L2349" s="3"/>
    </row>
    <row r="2350" ht="15.75" customHeight="1">
      <c r="A2350" s="3"/>
      <c r="B2350" s="12"/>
      <c r="C2350" s="3"/>
      <c r="D2350" s="3"/>
      <c r="E2350" s="3"/>
      <c r="F2350" s="3"/>
      <c r="G2350" s="3"/>
      <c r="H2350" s="3"/>
      <c r="L2350" s="3"/>
    </row>
    <row r="2351" ht="15.75" customHeight="1">
      <c r="A2351" s="3"/>
      <c r="B2351" s="12"/>
      <c r="C2351" s="3"/>
      <c r="D2351" s="3"/>
      <c r="E2351" s="3"/>
      <c r="F2351" s="3"/>
      <c r="G2351" s="3"/>
      <c r="H2351" s="3"/>
      <c r="L2351" s="3"/>
    </row>
    <row r="2352" ht="15.75" customHeight="1">
      <c r="A2352" s="3"/>
      <c r="B2352" s="12"/>
      <c r="C2352" s="3"/>
      <c r="D2352" s="3"/>
      <c r="E2352" s="3"/>
      <c r="F2352" s="3"/>
      <c r="G2352" s="3"/>
      <c r="H2352" s="3"/>
      <c r="L2352" s="3"/>
    </row>
    <row r="2353" ht="15.75" customHeight="1">
      <c r="A2353" s="3"/>
      <c r="B2353" s="12"/>
      <c r="C2353" s="3"/>
      <c r="D2353" s="3"/>
      <c r="E2353" s="3"/>
      <c r="F2353" s="3"/>
      <c r="G2353" s="3"/>
      <c r="H2353" s="3"/>
      <c r="L2353" s="3"/>
    </row>
    <row r="2354" ht="15.75" customHeight="1">
      <c r="A2354" s="3"/>
      <c r="B2354" s="12"/>
      <c r="C2354" s="3"/>
      <c r="D2354" s="3"/>
      <c r="E2354" s="3"/>
      <c r="F2354" s="3"/>
      <c r="G2354" s="3"/>
      <c r="H2354" s="3"/>
      <c r="L2354" s="3"/>
    </row>
    <row r="2355" ht="15.75" customHeight="1">
      <c r="A2355" s="3"/>
      <c r="B2355" s="12"/>
      <c r="C2355" s="3"/>
      <c r="D2355" s="3"/>
      <c r="E2355" s="3"/>
      <c r="F2355" s="3"/>
      <c r="G2355" s="3"/>
      <c r="H2355" s="3"/>
      <c r="L2355" s="3"/>
    </row>
    <row r="2356" ht="15.75" customHeight="1">
      <c r="A2356" s="3"/>
      <c r="B2356" s="12"/>
      <c r="C2356" s="3"/>
      <c r="D2356" s="3"/>
      <c r="E2356" s="3"/>
      <c r="F2356" s="3"/>
      <c r="G2356" s="3"/>
      <c r="H2356" s="3"/>
      <c r="L2356" s="3"/>
    </row>
    <row r="2357" ht="15.75" customHeight="1">
      <c r="A2357" s="3"/>
      <c r="B2357" s="12"/>
      <c r="C2357" s="3"/>
      <c r="D2357" s="3"/>
      <c r="E2357" s="3"/>
      <c r="F2357" s="3"/>
      <c r="G2357" s="3"/>
      <c r="H2357" s="3"/>
      <c r="L2357" s="3"/>
    </row>
    <row r="2358" ht="15.75" customHeight="1">
      <c r="A2358" s="3"/>
      <c r="B2358" s="12"/>
      <c r="C2358" s="3"/>
      <c r="D2358" s="3"/>
      <c r="E2358" s="3"/>
      <c r="F2358" s="3"/>
      <c r="G2358" s="3"/>
      <c r="H2358" s="3"/>
      <c r="L2358" s="3"/>
    </row>
    <row r="2359" ht="15.75" customHeight="1">
      <c r="A2359" s="3"/>
      <c r="B2359" s="12"/>
      <c r="C2359" s="3"/>
      <c r="D2359" s="3"/>
      <c r="E2359" s="3"/>
      <c r="F2359" s="3"/>
      <c r="G2359" s="3"/>
      <c r="H2359" s="3"/>
      <c r="L2359" s="3"/>
    </row>
    <row r="2360" ht="15.75" customHeight="1">
      <c r="A2360" s="3"/>
      <c r="B2360" s="12"/>
      <c r="C2360" s="3"/>
      <c r="D2360" s="3"/>
      <c r="E2360" s="3"/>
      <c r="F2360" s="3"/>
      <c r="G2360" s="3"/>
      <c r="H2360" s="3"/>
      <c r="L2360" s="3"/>
    </row>
    <row r="2361" ht="15.75" customHeight="1">
      <c r="A2361" s="3"/>
      <c r="B2361" s="12"/>
      <c r="C2361" s="3"/>
      <c r="D2361" s="3"/>
      <c r="E2361" s="3"/>
      <c r="F2361" s="3"/>
      <c r="G2361" s="3"/>
      <c r="H2361" s="3"/>
      <c r="L2361" s="3"/>
    </row>
    <row r="2362" ht="15.75" customHeight="1">
      <c r="A2362" s="3"/>
      <c r="B2362" s="12"/>
      <c r="C2362" s="3"/>
      <c r="D2362" s="3"/>
      <c r="E2362" s="3"/>
      <c r="F2362" s="3"/>
      <c r="G2362" s="3"/>
      <c r="H2362" s="3"/>
      <c r="L2362" s="3"/>
    </row>
    <row r="2363" ht="15.75" customHeight="1">
      <c r="A2363" s="3"/>
      <c r="B2363" s="12"/>
      <c r="C2363" s="3"/>
      <c r="D2363" s="3"/>
      <c r="E2363" s="3"/>
      <c r="F2363" s="3"/>
      <c r="G2363" s="3"/>
      <c r="H2363" s="3"/>
      <c r="L2363" s="3"/>
    </row>
    <row r="2364" ht="15.75" customHeight="1">
      <c r="A2364" s="3"/>
      <c r="B2364" s="12"/>
      <c r="C2364" s="3"/>
      <c r="D2364" s="3"/>
      <c r="E2364" s="3"/>
      <c r="F2364" s="3"/>
      <c r="G2364" s="3"/>
      <c r="H2364" s="3"/>
      <c r="L2364" s="3"/>
    </row>
    <row r="2365" ht="15.75" customHeight="1">
      <c r="A2365" s="3"/>
      <c r="B2365" s="12"/>
      <c r="C2365" s="3"/>
      <c r="D2365" s="3"/>
      <c r="E2365" s="3"/>
      <c r="F2365" s="3"/>
      <c r="G2365" s="3"/>
      <c r="H2365" s="3"/>
      <c r="L2365" s="3"/>
    </row>
    <row r="2366" ht="15.75" customHeight="1">
      <c r="A2366" s="3"/>
      <c r="B2366" s="12"/>
      <c r="C2366" s="3"/>
      <c r="D2366" s="3"/>
      <c r="E2366" s="3"/>
      <c r="F2366" s="3"/>
      <c r="G2366" s="3"/>
      <c r="H2366" s="3"/>
      <c r="L2366" s="3"/>
    </row>
    <row r="2367" ht="15.75" customHeight="1">
      <c r="A2367" s="3"/>
      <c r="B2367" s="12"/>
      <c r="C2367" s="3"/>
      <c r="D2367" s="3"/>
      <c r="E2367" s="3"/>
      <c r="F2367" s="3"/>
      <c r="G2367" s="3"/>
      <c r="H2367" s="3"/>
      <c r="L2367" s="3"/>
    </row>
    <row r="2368" ht="15.75" customHeight="1">
      <c r="A2368" s="3"/>
      <c r="B2368" s="12"/>
      <c r="C2368" s="3"/>
      <c r="D2368" s="3"/>
      <c r="E2368" s="3"/>
      <c r="F2368" s="3"/>
      <c r="G2368" s="3"/>
      <c r="H2368" s="3"/>
      <c r="L2368" s="3"/>
    </row>
    <row r="2369" ht="15.75" customHeight="1">
      <c r="A2369" s="3"/>
      <c r="B2369" s="12"/>
      <c r="C2369" s="3"/>
      <c r="D2369" s="3"/>
      <c r="E2369" s="3"/>
      <c r="F2369" s="3"/>
      <c r="G2369" s="3"/>
      <c r="H2369" s="3"/>
      <c r="L2369" s="3"/>
    </row>
    <row r="2370" ht="15.75" customHeight="1">
      <c r="A2370" s="3"/>
      <c r="B2370" s="12"/>
      <c r="C2370" s="3"/>
      <c r="D2370" s="3"/>
      <c r="E2370" s="3"/>
      <c r="F2370" s="3"/>
      <c r="G2370" s="3"/>
      <c r="H2370" s="3"/>
      <c r="L2370" s="3"/>
    </row>
    <row r="2371" ht="15.75" customHeight="1">
      <c r="A2371" s="3"/>
      <c r="B2371" s="12"/>
      <c r="C2371" s="3"/>
      <c r="D2371" s="3"/>
      <c r="E2371" s="3"/>
      <c r="F2371" s="3"/>
      <c r="G2371" s="3"/>
      <c r="H2371" s="3"/>
      <c r="L2371" s="3"/>
    </row>
    <row r="2372" ht="15.75" customHeight="1">
      <c r="A2372" s="3"/>
      <c r="B2372" s="12"/>
      <c r="C2372" s="3"/>
      <c r="D2372" s="3"/>
      <c r="E2372" s="3"/>
      <c r="F2372" s="3"/>
      <c r="G2372" s="3"/>
      <c r="H2372" s="3"/>
      <c r="L2372" s="3"/>
    </row>
    <row r="2373" ht="15.75" customHeight="1">
      <c r="A2373" s="3"/>
      <c r="B2373" s="12"/>
      <c r="C2373" s="3"/>
      <c r="D2373" s="3"/>
      <c r="E2373" s="3"/>
      <c r="F2373" s="3"/>
      <c r="G2373" s="3"/>
      <c r="H2373" s="3"/>
      <c r="L2373" s="3"/>
    </row>
    <row r="2374" ht="15.75" customHeight="1">
      <c r="A2374" s="3"/>
      <c r="B2374" s="12"/>
      <c r="C2374" s="3"/>
      <c r="D2374" s="3"/>
      <c r="E2374" s="3"/>
      <c r="F2374" s="3"/>
      <c r="G2374" s="3"/>
      <c r="H2374" s="3"/>
      <c r="L2374" s="3"/>
    </row>
    <row r="2375" ht="15.75" customHeight="1">
      <c r="A2375" s="3"/>
      <c r="B2375" s="12"/>
      <c r="C2375" s="3"/>
      <c r="D2375" s="3"/>
      <c r="E2375" s="3"/>
      <c r="F2375" s="3"/>
      <c r="G2375" s="3"/>
      <c r="H2375" s="3"/>
      <c r="L2375" s="3"/>
    </row>
    <row r="2376" ht="15.75" customHeight="1">
      <c r="A2376" s="3"/>
      <c r="B2376" s="12"/>
      <c r="C2376" s="3"/>
      <c r="D2376" s="3"/>
      <c r="E2376" s="3"/>
      <c r="F2376" s="3"/>
      <c r="G2376" s="3"/>
      <c r="H2376" s="3"/>
      <c r="L2376" s="3"/>
    </row>
    <row r="2377" ht="15.75" customHeight="1">
      <c r="A2377" s="3"/>
      <c r="B2377" s="12"/>
      <c r="C2377" s="3"/>
      <c r="D2377" s="3"/>
      <c r="E2377" s="3"/>
      <c r="F2377" s="3"/>
      <c r="G2377" s="3"/>
      <c r="H2377" s="3"/>
      <c r="L2377" s="3"/>
    </row>
    <row r="2378" ht="15.75" customHeight="1">
      <c r="A2378" s="3"/>
      <c r="B2378" s="12"/>
      <c r="C2378" s="3"/>
      <c r="D2378" s="3"/>
      <c r="E2378" s="3"/>
      <c r="F2378" s="3"/>
      <c r="G2378" s="3"/>
      <c r="H2378" s="3"/>
      <c r="L2378" s="3"/>
    </row>
    <row r="2379" ht="15.75" customHeight="1">
      <c r="A2379" s="3"/>
      <c r="B2379" s="12"/>
      <c r="C2379" s="3"/>
      <c r="D2379" s="3"/>
      <c r="E2379" s="3"/>
      <c r="F2379" s="3"/>
      <c r="G2379" s="3"/>
      <c r="H2379" s="3"/>
      <c r="L2379" s="3"/>
    </row>
    <row r="2380" ht="15.75" customHeight="1">
      <c r="A2380" s="3"/>
      <c r="B2380" s="12"/>
      <c r="C2380" s="3"/>
      <c r="D2380" s="3"/>
      <c r="E2380" s="3"/>
      <c r="F2380" s="3"/>
      <c r="G2380" s="3"/>
      <c r="H2380" s="3"/>
      <c r="L2380" s="3"/>
    </row>
    <row r="2381" ht="15.75" customHeight="1">
      <c r="A2381" s="3"/>
      <c r="B2381" s="12"/>
      <c r="C2381" s="3"/>
      <c r="D2381" s="3"/>
      <c r="E2381" s="3"/>
      <c r="F2381" s="3"/>
      <c r="G2381" s="3"/>
      <c r="H2381" s="3"/>
      <c r="L2381" s="3"/>
    </row>
    <row r="2382" ht="15.75" customHeight="1">
      <c r="A2382" s="3"/>
      <c r="B2382" s="12"/>
      <c r="C2382" s="3"/>
      <c r="D2382" s="3"/>
      <c r="E2382" s="3"/>
      <c r="F2382" s="3"/>
      <c r="G2382" s="3"/>
      <c r="H2382" s="3"/>
      <c r="L2382" s="3"/>
    </row>
    <row r="2383" ht="15.75" customHeight="1">
      <c r="A2383" s="3"/>
      <c r="B2383" s="12"/>
      <c r="C2383" s="3"/>
      <c r="D2383" s="3"/>
      <c r="E2383" s="3"/>
      <c r="F2383" s="3"/>
      <c r="G2383" s="3"/>
      <c r="H2383" s="3"/>
      <c r="L2383" s="3"/>
    </row>
    <row r="2384" ht="15.75" customHeight="1">
      <c r="A2384" s="3"/>
      <c r="B2384" s="12"/>
      <c r="C2384" s="3"/>
      <c r="D2384" s="3"/>
      <c r="E2384" s="3"/>
      <c r="F2384" s="3"/>
      <c r="G2384" s="3"/>
      <c r="H2384" s="3"/>
      <c r="L2384" s="3"/>
    </row>
    <row r="2385" ht="15.75" customHeight="1">
      <c r="A2385" s="3"/>
      <c r="B2385" s="12"/>
      <c r="C2385" s="3"/>
      <c r="D2385" s="3"/>
      <c r="E2385" s="3"/>
      <c r="F2385" s="3"/>
      <c r="G2385" s="3"/>
      <c r="H2385" s="3"/>
      <c r="L2385" s="3"/>
    </row>
    <row r="2386" ht="15.75" customHeight="1">
      <c r="A2386" s="3"/>
      <c r="B2386" s="12"/>
      <c r="C2386" s="3"/>
      <c r="D2386" s="3"/>
      <c r="E2386" s="3"/>
      <c r="F2386" s="3"/>
      <c r="G2386" s="3"/>
      <c r="H2386" s="3"/>
      <c r="L2386" s="3"/>
    </row>
    <row r="2387" ht="15.75" customHeight="1">
      <c r="A2387" s="3"/>
      <c r="B2387" s="12"/>
      <c r="C2387" s="3"/>
      <c r="D2387" s="3"/>
      <c r="E2387" s="3"/>
      <c r="F2387" s="3"/>
      <c r="G2387" s="3"/>
      <c r="H2387" s="3"/>
      <c r="L2387" s="3"/>
    </row>
    <row r="2388" ht="15.75" customHeight="1">
      <c r="A2388" s="3"/>
      <c r="B2388" s="12"/>
      <c r="C2388" s="3"/>
      <c r="D2388" s="3"/>
      <c r="E2388" s="3"/>
      <c r="F2388" s="3"/>
      <c r="G2388" s="3"/>
      <c r="H2388" s="3"/>
      <c r="L2388" s="3"/>
    </row>
    <row r="2389" ht="15.75" customHeight="1">
      <c r="A2389" s="3"/>
      <c r="B2389" s="12"/>
      <c r="C2389" s="3"/>
      <c r="D2389" s="3"/>
      <c r="E2389" s="3"/>
      <c r="F2389" s="3"/>
      <c r="G2389" s="3"/>
      <c r="H2389" s="3"/>
      <c r="L2389" s="3"/>
    </row>
    <row r="2390" ht="15.75" customHeight="1">
      <c r="A2390" s="3"/>
      <c r="B2390" s="12"/>
      <c r="C2390" s="3"/>
      <c r="D2390" s="3"/>
      <c r="E2390" s="3"/>
      <c r="F2390" s="3"/>
      <c r="G2390" s="3"/>
      <c r="H2390" s="3"/>
      <c r="L2390" s="3"/>
    </row>
    <row r="2391" ht="15.75" customHeight="1">
      <c r="A2391" s="3"/>
      <c r="B2391" s="12"/>
      <c r="C2391" s="3"/>
      <c r="D2391" s="3"/>
      <c r="E2391" s="3"/>
      <c r="F2391" s="3"/>
      <c r="G2391" s="3"/>
      <c r="H2391" s="3"/>
      <c r="L2391" s="3"/>
    </row>
    <row r="2392" ht="15.75" customHeight="1">
      <c r="A2392" s="3"/>
      <c r="B2392" s="12"/>
      <c r="C2392" s="3"/>
      <c r="D2392" s="3"/>
      <c r="E2392" s="3"/>
      <c r="F2392" s="3"/>
      <c r="G2392" s="3"/>
      <c r="H2392" s="3"/>
      <c r="L2392" s="3"/>
    </row>
    <row r="2393" ht="15.75" customHeight="1">
      <c r="A2393" s="3"/>
      <c r="B2393" s="12"/>
      <c r="C2393" s="3"/>
      <c r="D2393" s="3"/>
      <c r="E2393" s="3"/>
      <c r="F2393" s="3"/>
      <c r="G2393" s="3"/>
      <c r="H2393" s="3"/>
      <c r="L2393" s="3"/>
    </row>
    <row r="2394" ht="15.75" customHeight="1">
      <c r="A2394" s="3"/>
      <c r="B2394" s="12"/>
      <c r="C2394" s="3"/>
      <c r="D2394" s="3"/>
      <c r="E2394" s="3"/>
      <c r="F2394" s="3"/>
      <c r="G2394" s="3"/>
      <c r="H2394" s="3"/>
      <c r="L2394" s="3"/>
    </row>
    <row r="2395" ht="15.75" customHeight="1">
      <c r="A2395" s="3"/>
      <c r="B2395" s="12"/>
      <c r="C2395" s="3"/>
      <c r="D2395" s="3"/>
      <c r="E2395" s="3"/>
      <c r="F2395" s="3"/>
      <c r="G2395" s="3"/>
      <c r="H2395" s="3"/>
      <c r="L2395" s="3"/>
    </row>
    <row r="2396" ht="15.75" customHeight="1">
      <c r="A2396" s="3"/>
      <c r="B2396" s="12"/>
      <c r="C2396" s="3"/>
      <c r="D2396" s="3"/>
      <c r="E2396" s="3"/>
      <c r="F2396" s="3"/>
      <c r="G2396" s="3"/>
      <c r="H2396" s="3"/>
      <c r="L2396" s="3"/>
    </row>
    <row r="2397" ht="15.75" customHeight="1">
      <c r="A2397" s="3"/>
      <c r="B2397" s="12"/>
      <c r="C2397" s="3"/>
      <c r="D2397" s="3"/>
      <c r="E2397" s="3"/>
      <c r="F2397" s="3"/>
      <c r="G2397" s="3"/>
      <c r="H2397" s="3"/>
      <c r="L2397" s="3"/>
    </row>
    <row r="2398" ht="15.75" customHeight="1">
      <c r="A2398" s="3"/>
      <c r="B2398" s="12"/>
      <c r="C2398" s="3"/>
      <c r="D2398" s="3"/>
      <c r="E2398" s="3"/>
      <c r="F2398" s="3"/>
      <c r="G2398" s="3"/>
      <c r="H2398" s="3"/>
      <c r="L2398" s="3"/>
    </row>
    <row r="2399" ht="15.75" customHeight="1">
      <c r="A2399" s="3"/>
      <c r="B2399" s="12"/>
      <c r="C2399" s="3"/>
      <c r="D2399" s="3"/>
      <c r="E2399" s="3"/>
      <c r="F2399" s="3"/>
      <c r="G2399" s="3"/>
      <c r="H2399" s="3"/>
      <c r="L2399" s="3"/>
    </row>
    <row r="2400" ht="15.75" customHeight="1">
      <c r="A2400" s="3"/>
      <c r="B2400" s="12"/>
      <c r="C2400" s="3"/>
      <c r="D2400" s="3"/>
      <c r="E2400" s="3"/>
      <c r="F2400" s="3"/>
      <c r="G2400" s="3"/>
      <c r="H2400" s="3"/>
      <c r="L2400" s="3"/>
    </row>
    <row r="2401" ht="15.75" customHeight="1">
      <c r="A2401" s="3"/>
      <c r="B2401" s="12"/>
      <c r="C2401" s="3"/>
      <c r="D2401" s="3"/>
      <c r="E2401" s="3"/>
      <c r="F2401" s="3"/>
      <c r="G2401" s="3"/>
      <c r="H2401" s="3"/>
      <c r="L2401" s="3"/>
    </row>
    <row r="2402" ht="15.75" customHeight="1">
      <c r="A2402" s="3"/>
      <c r="B2402" s="12"/>
      <c r="C2402" s="3"/>
      <c r="D2402" s="3"/>
      <c r="E2402" s="3"/>
      <c r="F2402" s="3"/>
      <c r="G2402" s="3"/>
      <c r="H2402" s="3"/>
      <c r="L2402" s="3"/>
    </row>
    <row r="2403" ht="15.75" customHeight="1">
      <c r="A2403" s="3"/>
      <c r="B2403" s="12"/>
      <c r="C2403" s="3"/>
      <c r="D2403" s="3"/>
      <c r="E2403" s="3"/>
      <c r="F2403" s="3"/>
      <c r="G2403" s="3"/>
      <c r="H2403" s="3"/>
      <c r="L2403" s="3"/>
    </row>
    <row r="2404" ht="15.75" customHeight="1">
      <c r="A2404" s="3"/>
      <c r="B2404" s="12"/>
      <c r="C2404" s="3"/>
      <c r="D2404" s="3"/>
      <c r="E2404" s="3"/>
      <c r="F2404" s="3"/>
      <c r="G2404" s="3"/>
      <c r="H2404" s="3"/>
      <c r="L2404" s="3"/>
    </row>
    <row r="2405" ht="15.75" customHeight="1">
      <c r="A2405" s="3"/>
      <c r="B2405" s="12"/>
      <c r="C2405" s="3"/>
      <c r="D2405" s="3"/>
      <c r="E2405" s="3"/>
      <c r="F2405" s="3"/>
      <c r="G2405" s="3"/>
      <c r="H2405" s="3"/>
      <c r="L2405" s="3"/>
    </row>
    <row r="2406" ht="15.75" customHeight="1">
      <c r="A2406" s="3"/>
      <c r="B2406" s="12"/>
      <c r="C2406" s="3"/>
      <c r="D2406" s="3"/>
      <c r="E2406" s="3"/>
      <c r="F2406" s="3"/>
      <c r="G2406" s="3"/>
      <c r="H2406" s="3"/>
      <c r="L2406" s="3"/>
    </row>
    <row r="2407" ht="15.75" customHeight="1">
      <c r="A2407" s="3"/>
      <c r="B2407" s="12"/>
      <c r="C2407" s="3"/>
      <c r="D2407" s="3"/>
      <c r="E2407" s="3"/>
      <c r="F2407" s="3"/>
      <c r="G2407" s="3"/>
      <c r="H2407" s="3"/>
      <c r="L2407" s="3"/>
    </row>
    <row r="2408" ht="15.75" customHeight="1">
      <c r="A2408" s="3"/>
      <c r="B2408" s="12"/>
      <c r="C2408" s="3"/>
      <c r="D2408" s="3"/>
      <c r="E2408" s="3"/>
      <c r="F2408" s="3"/>
      <c r="G2408" s="3"/>
      <c r="H2408" s="3"/>
      <c r="L2408" s="3"/>
    </row>
    <row r="2409" ht="15.75" customHeight="1">
      <c r="A2409" s="3"/>
      <c r="B2409" s="12"/>
      <c r="C2409" s="3"/>
      <c r="D2409" s="3"/>
      <c r="E2409" s="3"/>
      <c r="F2409" s="3"/>
      <c r="G2409" s="3"/>
      <c r="H2409" s="3"/>
      <c r="L2409" s="3"/>
    </row>
    <row r="2410" ht="15.75" customHeight="1">
      <c r="A2410" s="3"/>
      <c r="B2410" s="12"/>
      <c r="C2410" s="3"/>
      <c r="D2410" s="3"/>
      <c r="E2410" s="3"/>
      <c r="F2410" s="3"/>
      <c r="G2410" s="3"/>
      <c r="H2410" s="3"/>
      <c r="L2410" s="3"/>
    </row>
    <row r="2411" ht="15.75" customHeight="1">
      <c r="A2411" s="3"/>
      <c r="B2411" s="12"/>
      <c r="C2411" s="3"/>
      <c r="D2411" s="3"/>
      <c r="E2411" s="3"/>
      <c r="F2411" s="3"/>
      <c r="G2411" s="3"/>
      <c r="H2411" s="3"/>
      <c r="L2411" s="3"/>
    </row>
    <row r="2412" ht="15.75" customHeight="1">
      <c r="A2412" s="3"/>
      <c r="B2412" s="12"/>
      <c r="C2412" s="3"/>
      <c r="D2412" s="3"/>
      <c r="E2412" s="3"/>
      <c r="F2412" s="3"/>
      <c r="G2412" s="3"/>
      <c r="H2412" s="3"/>
      <c r="L2412" s="3"/>
    </row>
    <row r="2413" ht="15.75" customHeight="1">
      <c r="A2413" s="3"/>
      <c r="B2413" s="12"/>
      <c r="C2413" s="3"/>
      <c r="D2413" s="3"/>
      <c r="E2413" s="3"/>
      <c r="F2413" s="3"/>
      <c r="G2413" s="3"/>
      <c r="H2413" s="3"/>
      <c r="L2413" s="3"/>
    </row>
    <row r="2414" ht="15.75" customHeight="1">
      <c r="A2414" s="3"/>
      <c r="B2414" s="12"/>
      <c r="C2414" s="3"/>
      <c r="D2414" s="3"/>
      <c r="E2414" s="3"/>
      <c r="F2414" s="3"/>
      <c r="G2414" s="3"/>
      <c r="H2414" s="3"/>
      <c r="L2414" s="3"/>
    </row>
    <row r="2415" ht="15.75" customHeight="1">
      <c r="A2415" s="3"/>
      <c r="B2415" s="12"/>
      <c r="C2415" s="3"/>
      <c r="D2415" s="3"/>
      <c r="E2415" s="3"/>
      <c r="F2415" s="3"/>
      <c r="G2415" s="3"/>
      <c r="H2415" s="3"/>
      <c r="L2415" s="3"/>
    </row>
    <row r="2416" ht="15.75" customHeight="1">
      <c r="A2416" s="3"/>
      <c r="B2416" s="12"/>
      <c r="C2416" s="3"/>
      <c r="D2416" s="3"/>
      <c r="E2416" s="3"/>
      <c r="F2416" s="3"/>
      <c r="G2416" s="3"/>
      <c r="H2416" s="3"/>
      <c r="L2416" s="3"/>
    </row>
    <row r="2417" ht="15.75" customHeight="1">
      <c r="A2417" s="3"/>
      <c r="B2417" s="12"/>
      <c r="C2417" s="3"/>
      <c r="D2417" s="3"/>
      <c r="E2417" s="3"/>
      <c r="F2417" s="3"/>
      <c r="G2417" s="3"/>
      <c r="H2417" s="3"/>
      <c r="L2417" s="3"/>
    </row>
    <row r="2418" ht="15.75" customHeight="1">
      <c r="A2418" s="3"/>
      <c r="B2418" s="12"/>
      <c r="C2418" s="3"/>
      <c r="D2418" s="3"/>
      <c r="E2418" s="3"/>
      <c r="F2418" s="3"/>
      <c r="G2418" s="3"/>
      <c r="H2418" s="3"/>
      <c r="L2418" s="3"/>
    </row>
    <row r="2419" ht="15.75" customHeight="1">
      <c r="A2419" s="3"/>
      <c r="B2419" s="12"/>
      <c r="C2419" s="3"/>
      <c r="D2419" s="3"/>
      <c r="E2419" s="3"/>
      <c r="F2419" s="3"/>
      <c r="G2419" s="3"/>
      <c r="H2419" s="3"/>
      <c r="L2419" s="3"/>
    </row>
    <row r="2420" ht="15.75" customHeight="1">
      <c r="A2420" s="3"/>
      <c r="B2420" s="12"/>
      <c r="C2420" s="3"/>
      <c r="D2420" s="3"/>
      <c r="E2420" s="3"/>
      <c r="F2420" s="3"/>
      <c r="G2420" s="3"/>
      <c r="H2420" s="3"/>
      <c r="L2420" s="3"/>
    </row>
    <row r="2421" ht="15.75" customHeight="1">
      <c r="A2421" s="3"/>
      <c r="B2421" s="12"/>
      <c r="C2421" s="3"/>
      <c r="D2421" s="3"/>
      <c r="E2421" s="3"/>
      <c r="F2421" s="3"/>
      <c r="G2421" s="3"/>
      <c r="H2421" s="3"/>
      <c r="L2421" s="3"/>
    </row>
    <row r="2422" ht="15.75" customHeight="1">
      <c r="A2422" s="3"/>
      <c r="B2422" s="12"/>
      <c r="C2422" s="3"/>
      <c r="D2422" s="3"/>
      <c r="E2422" s="3"/>
      <c r="F2422" s="3"/>
      <c r="G2422" s="3"/>
      <c r="H2422" s="3"/>
      <c r="L2422" s="3"/>
    </row>
    <row r="2423" ht="15.75" customHeight="1">
      <c r="A2423" s="3"/>
      <c r="B2423" s="12"/>
      <c r="C2423" s="3"/>
      <c r="D2423" s="3"/>
      <c r="E2423" s="3"/>
      <c r="F2423" s="3"/>
      <c r="G2423" s="3"/>
      <c r="H2423" s="3"/>
      <c r="L2423" s="3"/>
    </row>
    <row r="2424" ht="15.75" customHeight="1">
      <c r="A2424" s="3"/>
      <c r="B2424" s="12"/>
      <c r="C2424" s="3"/>
      <c r="D2424" s="3"/>
      <c r="E2424" s="3"/>
      <c r="F2424" s="3"/>
      <c r="G2424" s="3"/>
      <c r="H2424" s="3"/>
      <c r="L2424" s="3"/>
    </row>
    <row r="2425" ht="15.75" customHeight="1">
      <c r="A2425" s="3"/>
      <c r="B2425" s="12"/>
      <c r="C2425" s="3"/>
      <c r="D2425" s="3"/>
      <c r="E2425" s="3"/>
      <c r="F2425" s="3"/>
      <c r="G2425" s="3"/>
      <c r="H2425" s="3"/>
      <c r="L2425" s="3"/>
    </row>
    <row r="2426" ht="15.75" customHeight="1">
      <c r="A2426" s="3"/>
      <c r="B2426" s="12"/>
      <c r="C2426" s="3"/>
      <c r="D2426" s="3"/>
      <c r="E2426" s="3"/>
      <c r="F2426" s="3"/>
      <c r="G2426" s="3"/>
      <c r="H2426" s="3"/>
      <c r="L2426" s="3"/>
    </row>
    <row r="2427" ht="15.75" customHeight="1">
      <c r="A2427" s="3"/>
      <c r="B2427" s="12"/>
      <c r="C2427" s="3"/>
      <c r="D2427" s="3"/>
      <c r="E2427" s="3"/>
      <c r="F2427" s="3"/>
      <c r="G2427" s="3"/>
      <c r="H2427" s="3"/>
      <c r="L2427" s="3"/>
    </row>
    <row r="2428" ht="15.75" customHeight="1">
      <c r="A2428" s="3"/>
      <c r="B2428" s="12"/>
      <c r="C2428" s="3"/>
      <c r="D2428" s="3"/>
      <c r="E2428" s="3"/>
      <c r="F2428" s="3"/>
      <c r="G2428" s="3"/>
      <c r="H2428" s="3"/>
      <c r="L2428" s="3"/>
    </row>
    <row r="2429" ht="15.75" customHeight="1">
      <c r="A2429" s="3"/>
      <c r="B2429" s="12"/>
      <c r="C2429" s="3"/>
      <c r="D2429" s="3"/>
      <c r="E2429" s="3"/>
      <c r="F2429" s="3"/>
      <c r="G2429" s="3"/>
      <c r="H2429" s="3"/>
      <c r="L2429" s="3"/>
    </row>
    <row r="2430" ht="15.75" customHeight="1">
      <c r="A2430" s="3"/>
      <c r="B2430" s="12"/>
      <c r="C2430" s="3"/>
      <c r="D2430" s="3"/>
      <c r="E2430" s="3"/>
      <c r="F2430" s="3"/>
      <c r="G2430" s="3"/>
      <c r="H2430" s="3"/>
      <c r="L2430" s="3"/>
    </row>
    <row r="2431" ht="15.75" customHeight="1">
      <c r="A2431" s="3"/>
      <c r="B2431" s="12"/>
      <c r="C2431" s="3"/>
      <c r="D2431" s="3"/>
      <c r="E2431" s="3"/>
      <c r="F2431" s="3"/>
      <c r="G2431" s="3"/>
      <c r="H2431" s="3"/>
      <c r="L2431" s="3"/>
    </row>
    <row r="2432" ht="15.75" customHeight="1">
      <c r="A2432" s="3"/>
      <c r="B2432" s="12"/>
      <c r="C2432" s="3"/>
      <c r="D2432" s="3"/>
      <c r="E2432" s="3"/>
      <c r="F2432" s="3"/>
      <c r="G2432" s="3"/>
      <c r="H2432" s="3"/>
      <c r="L2432" s="3"/>
    </row>
    <row r="2433" ht="15.75" customHeight="1">
      <c r="A2433" s="3"/>
      <c r="B2433" s="12"/>
      <c r="C2433" s="3"/>
      <c r="D2433" s="3"/>
      <c r="E2433" s="3"/>
      <c r="F2433" s="3"/>
      <c r="G2433" s="3"/>
      <c r="H2433" s="3"/>
      <c r="L2433" s="3"/>
    </row>
    <row r="2434" ht="15.75" customHeight="1">
      <c r="A2434" s="3"/>
      <c r="B2434" s="12"/>
      <c r="C2434" s="3"/>
      <c r="D2434" s="3"/>
      <c r="E2434" s="3"/>
      <c r="F2434" s="3"/>
      <c r="G2434" s="3"/>
      <c r="H2434" s="3"/>
      <c r="L2434" s="3"/>
    </row>
    <row r="2435" ht="15.75" customHeight="1">
      <c r="A2435" s="3"/>
      <c r="B2435" s="12"/>
      <c r="C2435" s="3"/>
      <c r="D2435" s="3"/>
      <c r="E2435" s="3"/>
      <c r="F2435" s="3"/>
      <c r="G2435" s="3"/>
      <c r="H2435" s="3"/>
      <c r="L2435" s="3"/>
    </row>
    <row r="2436" ht="15.75" customHeight="1">
      <c r="A2436" s="3"/>
      <c r="B2436" s="12"/>
      <c r="C2436" s="3"/>
      <c r="D2436" s="3"/>
      <c r="E2436" s="3"/>
      <c r="F2436" s="3"/>
      <c r="G2436" s="3"/>
      <c r="H2436" s="3"/>
      <c r="L2436" s="3"/>
    </row>
    <row r="2437" ht="15.75" customHeight="1">
      <c r="A2437" s="3"/>
      <c r="B2437" s="12"/>
      <c r="C2437" s="3"/>
      <c r="D2437" s="3"/>
      <c r="E2437" s="3"/>
      <c r="F2437" s="3"/>
      <c r="G2437" s="3"/>
      <c r="H2437" s="3"/>
      <c r="L2437" s="3"/>
    </row>
    <row r="2438" ht="15.75" customHeight="1">
      <c r="A2438" s="3"/>
      <c r="B2438" s="12"/>
      <c r="C2438" s="3"/>
      <c r="D2438" s="3"/>
      <c r="E2438" s="3"/>
      <c r="F2438" s="3"/>
      <c r="G2438" s="3"/>
      <c r="H2438" s="3"/>
      <c r="L2438" s="3"/>
    </row>
    <row r="2439" ht="15.75" customHeight="1">
      <c r="A2439" s="3"/>
      <c r="B2439" s="12"/>
      <c r="C2439" s="3"/>
      <c r="D2439" s="3"/>
      <c r="E2439" s="3"/>
      <c r="F2439" s="3"/>
      <c r="G2439" s="3"/>
      <c r="H2439" s="3"/>
      <c r="L2439" s="3"/>
    </row>
    <row r="2440" ht="15.75" customHeight="1">
      <c r="A2440" s="3"/>
      <c r="B2440" s="12"/>
      <c r="C2440" s="3"/>
      <c r="D2440" s="3"/>
      <c r="E2440" s="3"/>
      <c r="F2440" s="3"/>
      <c r="G2440" s="3"/>
      <c r="H2440" s="3"/>
      <c r="L2440" s="3"/>
    </row>
    <row r="2441" ht="15.75" customHeight="1">
      <c r="A2441" s="3"/>
      <c r="B2441" s="12"/>
      <c r="C2441" s="3"/>
      <c r="D2441" s="3"/>
      <c r="E2441" s="3"/>
      <c r="F2441" s="3"/>
      <c r="G2441" s="3"/>
      <c r="H2441" s="3"/>
      <c r="L2441" s="3"/>
    </row>
    <row r="2442" ht="15.75" customHeight="1">
      <c r="A2442" s="3"/>
      <c r="B2442" s="12"/>
      <c r="C2442" s="3"/>
      <c r="D2442" s="3"/>
      <c r="E2442" s="3"/>
      <c r="F2442" s="3"/>
      <c r="G2442" s="3"/>
      <c r="H2442" s="3"/>
      <c r="L2442" s="3"/>
    </row>
    <row r="2443" ht="15.75" customHeight="1">
      <c r="A2443" s="3"/>
      <c r="B2443" s="12"/>
      <c r="C2443" s="3"/>
      <c r="D2443" s="3"/>
      <c r="E2443" s="3"/>
      <c r="F2443" s="3"/>
      <c r="G2443" s="3"/>
      <c r="H2443" s="3"/>
      <c r="L2443" s="3"/>
    </row>
    <row r="2444" ht="15.75" customHeight="1">
      <c r="A2444" s="3"/>
      <c r="B2444" s="12"/>
      <c r="C2444" s="3"/>
      <c r="D2444" s="3"/>
      <c r="E2444" s="3"/>
      <c r="F2444" s="3"/>
      <c r="G2444" s="3"/>
      <c r="H2444" s="3"/>
      <c r="L2444" s="3"/>
    </row>
    <row r="2445" ht="15.75" customHeight="1">
      <c r="A2445" s="3"/>
      <c r="B2445" s="12"/>
      <c r="C2445" s="3"/>
      <c r="D2445" s="3"/>
      <c r="E2445" s="3"/>
      <c r="F2445" s="3"/>
      <c r="G2445" s="3"/>
      <c r="H2445" s="3"/>
      <c r="L2445" s="3"/>
    </row>
    <row r="2446" ht="15.75" customHeight="1">
      <c r="A2446" s="3"/>
      <c r="B2446" s="12"/>
      <c r="C2446" s="3"/>
      <c r="D2446" s="3"/>
      <c r="E2446" s="3"/>
      <c r="F2446" s="3"/>
      <c r="G2446" s="3"/>
      <c r="H2446" s="3"/>
      <c r="L2446" s="3"/>
    </row>
    <row r="2447" ht="15.75" customHeight="1">
      <c r="A2447" s="3"/>
      <c r="B2447" s="12"/>
      <c r="C2447" s="3"/>
      <c r="D2447" s="3"/>
      <c r="E2447" s="3"/>
      <c r="F2447" s="3"/>
      <c r="G2447" s="3"/>
      <c r="H2447" s="3"/>
      <c r="L2447" s="3"/>
    </row>
    <row r="2448" ht="15.75" customHeight="1">
      <c r="A2448" s="3"/>
      <c r="B2448" s="12"/>
      <c r="C2448" s="3"/>
      <c r="D2448" s="3"/>
      <c r="E2448" s="3"/>
      <c r="F2448" s="3"/>
      <c r="G2448" s="3"/>
      <c r="H2448" s="3"/>
      <c r="L2448" s="3"/>
    </row>
    <row r="2449" ht="15.75" customHeight="1">
      <c r="A2449" s="3"/>
      <c r="B2449" s="12"/>
      <c r="C2449" s="3"/>
      <c r="D2449" s="3"/>
      <c r="E2449" s="3"/>
      <c r="F2449" s="3"/>
      <c r="G2449" s="3"/>
      <c r="H2449" s="3"/>
      <c r="L2449" s="3"/>
    </row>
    <row r="2450" ht="15.75" customHeight="1">
      <c r="A2450" s="3"/>
      <c r="B2450" s="12"/>
      <c r="C2450" s="3"/>
      <c r="D2450" s="3"/>
      <c r="E2450" s="3"/>
      <c r="F2450" s="3"/>
      <c r="G2450" s="3"/>
      <c r="H2450" s="3"/>
      <c r="L2450" s="3"/>
    </row>
    <row r="2451" ht="15.75" customHeight="1">
      <c r="A2451" s="3"/>
      <c r="B2451" s="12"/>
      <c r="C2451" s="3"/>
      <c r="D2451" s="3"/>
      <c r="E2451" s="3"/>
      <c r="F2451" s="3"/>
      <c r="G2451" s="3"/>
      <c r="H2451" s="3"/>
      <c r="L2451" s="3"/>
    </row>
    <row r="2452" ht="15.75" customHeight="1">
      <c r="A2452" s="3"/>
      <c r="B2452" s="12"/>
      <c r="C2452" s="3"/>
      <c r="D2452" s="3"/>
      <c r="E2452" s="3"/>
      <c r="F2452" s="3"/>
      <c r="G2452" s="3"/>
      <c r="H2452" s="3"/>
      <c r="L2452" s="3"/>
    </row>
    <row r="2453" ht="15.75" customHeight="1">
      <c r="A2453" s="3"/>
      <c r="B2453" s="12"/>
      <c r="C2453" s="3"/>
      <c r="D2453" s="3"/>
      <c r="E2453" s="3"/>
      <c r="F2453" s="3"/>
      <c r="G2453" s="3"/>
      <c r="H2453" s="3"/>
      <c r="L2453" s="3"/>
    </row>
    <row r="2454" ht="15.75" customHeight="1">
      <c r="A2454" s="3"/>
      <c r="B2454" s="12"/>
      <c r="C2454" s="3"/>
      <c r="D2454" s="3"/>
      <c r="E2454" s="3"/>
      <c r="F2454" s="3"/>
      <c r="G2454" s="3"/>
      <c r="H2454" s="3"/>
      <c r="L2454" s="3"/>
    </row>
    <row r="2455" ht="15.75" customHeight="1">
      <c r="A2455" s="3"/>
      <c r="B2455" s="12"/>
      <c r="C2455" s="3"/>
      <c r="D2455" s="3"/>
      <c r="E2455" s="3"/>
      <c r="F2455" s="3"/>
      <c r="G2455" s="3"/>
      <c r="H2455" s="3"/>
      <c r="L2455" s="3"/>
    </row>
    <row r="2456" ht="15.75" customHeight="1">
      <c r="A2456" s="3"/>
      <c r="B2456" s="12"/>
      <c r="C2456" s="3"/>
      <c r="D2456" s="3"/>
      <c r="E2456" s="3"/>
      <c r="F2456" s="3"/>
      <c r="G2456" s="3"/>
      <c r="H2456" s="3"/>
      <c r="L2456" s="3"/>
    </row>
    <row r="2457" ht="15.75" customHeight="1">
      <c r="A2457" s="3"/>
      <c r="B2457" s="12"/>
      <c r="C2457" s="3"/>
      <c r="D2457" s="3"/>
      <c r="E2457" s="3"/>
      <c r="F2457" s="3"/>
      <c r="G2457" s="3"/>
      <c r="H2457" s="3"/>
      <c r="L2457" s="3"/>
    </row>
    <row r="2458" ht="15.75" customHeight="1">
      <c r="A2458" s="3"/>
      <c r="B2458" s="12"/>
      <c r="C2458" s="3"/>
      <c r="D2458" s="3"/>
      <c r="E2458" s="3"/>
      <c r="F2458" s="3"/>
      <c r="G2458" s="3"/>
      <c r="H2458" s="3"/>
      <c r="L2458" s="3"/>
    </row>
    <row r="2459" ht="15.75" customHeight="1">
      <c r="A2459" s="3"/>
      <c r="B2459" s="12"/>
      <c r="C2459" s="3"/>
      <c r="D2459" s="3"/>
      <c r="E2459" s="3"/>
      <c r="F2459" s="3"/>
      <c r="G2459" s="3"/>
      <c r="H2459" s="3"/>
      <c r="L2459" s="3"/>
    </row>
    <row r="2460" ht="15.75" customHeight="1">
      <c r="A2460" s="3"/>
      <c r="B2460" s="12"/>
      <c r="C2460" s="3"/>
      <c r="D2460" s="3"/>
      <c r="E2460" s="3"/>
      <c r="F2460" s="3"/>
      <c r="G2460" s="3"/>
      <c r="H2460" s="3"/>
      <c r="L2460" s="3"/>
    </row>
    <row r="2461" ht="15.75" customHeight="1">
      <c r="A2461" s="3"/>
      <c r="B2461" s="12"/>
      <c r="C2461" s="3"/>
      <c r="D2461" s="3"/>
      <c r="E2461" s="3"/>
      <c r="F2461" s="3"/>
      <c r="G2461" s="3"/>
      <c r="H2461" s="3"/>
      <c r="L2461" s="3"/>
    </row>
    <row r="2462" ht="15.75" customHeight="1">
      <c r="A2462" s="3"/>
      <c r="B2462" s="12"/>
      <c r="C2462" s="3"/>
      <c r="D2462" s="3"/>
      <c r="E2462" s="3"/>
      <c r="F2462" s="3"/>
      <c r="G2462" s="3"/>
      <c r="H2462" s="3"/>
      <c r="L2462" s="3"/>
    </row>
    <row r="2463" ht="15.75" customHeight="1">
      <c r="A2463" s="3"/>
      <c r="B2463" s="12"/>
      <c r="C2463" s="3"/>
      <c r="D2463" s="3"/>
      <c r="E2463" s="3"/>
      <c r="F2463" s="3"/>
      <c r="G2463" s="3"/>
      <c r="H2463" s="3"/>
      <c r="L2463" s="3"/>
    </row>
    <row r="2464" ht="15.75" customHeight="1">
      <c r="A2464" s="3"/>
      <c r="B2464" s="12"/>
      <c r="C2464" s="3"/>
      <c r="D2464" s="3"/>
      <c r="E2464" s="3"/>
      <c r="F2464" s="3"/>
      <c r="G2464" s="3"/>
      <c r="H2464" s="3"/>
      <c r="L2464" s="3"/>
    </row>
    <row r="2465" ht="15.75" customHeight="1">
      <c r="A2465" s="3"/>
      <c r="B2465" s="12"/>
      <c r="C2465" s="3"/>
      <c r="D2465" s="3"/>
      <c r="E2465" s="3"/>
      <c r="F2465" s="3"/>
      <c r="G2465" s="3"/>
      <c r="H2465" s="3"/>
      <c r="L2465" s="3"/>
    </row>
    <row r="2466" ht="15.75" customHeight="1">
      <c r="A2466" s="3"/>
      <c r="B2466" s="12"/>
      <c r="C2466" s="3"/>
      <c r="D2466" s="3"/>
      <c r="E2466" s="3"/>
      <c r="F2466" s="3"/>
      <c r="G2466" s="3"/>
      <c r="H2466" s="3"/>
      <c r="L2466" s="3"/>
    </row>
    <row r="2467" ht="15.75" customHeight="1">
      <c r="A2467" s="3"/>
      <c r="B2467" s="12"/>
      <c r="C2467" s="3"/>
      <c r="D2467" s="3"/>
      <c r="E2467" s="3"/>
      <c r="F2467" s="3"/>
      <c r="G2467" s="3"/>
      <c r="H2467" s="3"/>
      <c r="L2467" s="3"/>
    </row>
    <row r="2468" ht="15.75" customHeight="1">
      <c r="A2468" s="3"/>
      <c r="B2468" s="12"/>
      <c r="C2468" s="3"/>
      <c r="D2468" s="3"/>
      <c r="E2468" s="3"/>
      <c r="F2468" s="3"/>
      <c r="G2468" s="3"/>
      <c r="H2468" s="3"/>
      <c r="L2468" s="3"/>
    </row>
    <row r="2469" ht="15.75" customHeight="1">
      <c r="A2469" s="3"/>
      <c r="B2469" s="12"/>
      <c r="C2469" s="3"/>
      <c r="D2469" s="3"/>
      <c r="E2469" s="3"/>
      <c r="F2469" s="3"/>
      <c r="G2469" s="3"/>
      <c r="H2469" s="3"/>
      <c r="L2469" s="3"/>
    </row>
    <row r="2470" ht="15.75" customHeight="1">
      <c r="A2470" s="3"/>
      <c r="B2470" s="12"/>
      <c r="C2470" s="3"/>
      <c r="D2470" s="3"/>
      <c r="E2470" s="3"/>
      <c r="F2470" s="3"/>
      <c r="G2470" s="3"/>
      <c r="H2470" s="3"/>
      <c r="L2470" s="3"/>
    </row>
    <row r="2471" ht="15.75" customHeight="1">
      <c r="A2471" s="3"/>
      <c r="B2471" s="12"/>
      <c r="C2471" s="3"/>
      <c r="D2471" s="3"/>
      <c r="E2471" s="3"/>
      <c r="F2471" s="3"/>
      <c r="G2471" s="3"/>
      <c r="H2471" s="3"/>
      <c r="L2471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3" width="10.0"/>
    <col customWidth="1" min="4" max="24" width="8.71"/>
  </cols>
  <sheetData>
    <row r="1">
      <c r="A1" s="5" t="s">
        <v>59</v>
      </c>
      <c r="B1" s="5" t="s">
        <v>3629</v>
      </c>
      <c r="C1" s="5" t="s">
        <v>3630</v>
      </c>
    </row>
    <row r="2">
      <c r="A2" s="19" t="s">
        <v>955</v>
      </c>
      <c r="B2" s="20" t="s">
        <v>3631</v>
      </c>
      <c r="C2" s="20" t="s">
        <v>1084</v>
      </c>
    </row>
    <row r="3">
      <c r="A3" s="19" t="s">
        <v>958</v>
      </c>
      <c r="B3" s="6" t="s">
        <v>3631</v>
      </c>
      <c r="C3" s="6" t="s">
        <v>1084</v>
      </c>
    </row>
    <row r="4">
      <c r="A4" s="19" t="s">
        <v>961</v>
      </c>
      <c r="B4" s="20" t="s">
        <v>3631</v>
      </c>
      <c r="C4" s="20" t="s">
        <v>1084</v>
      </c>
    </row>
    <row r="5">
      <c r="A5" s="19" t="s">
        <v>963</v>
      </c>
      <c r="B5" s="20" t="s">
        <v>3631</v>
      </c>
      <c r="C5" s="20" t="s">
        <v>1084</v>
      </c>
    </row>
    <row r="6">
      <c r="A6" s="19" t="s">
        <v>965</v>
      </c>
      <c r="B6" s="20" t="s">
        <v>3631</v>
      </c>
      <c r="C6" s="20" t="s">
        <v>1084</v>
      </c>
    </row>
    <row r="7">
      <c r="A7" s="19" t="s">
        <v>968</v>
      </c>
      <c r="B7" s="20" t="s">
        <v>3631</v>
      </c>
      <c r="C7" s="20" t="s">
        <v>1084</v>
      </c>
    </row>
    <row r="8">
      <c r="A8" s="19" t="s">
        <v>3632</v>
      </c>
      <c r="B8" s="20" t="s">
        <v>3631</v>
      </c>
      <c r="C8" s="20" t="s">
        <v>1084</v>
      </c>
    </row>
    <row r="9">
      <c r="A9" s="19" t="s">
        <v>3633</v>
      </c>
      <c r="B9" s="6" t="s">
        <v>3631</v>
      </c>
      <c r="C9" s="20" t="s">
        <v>1084</v>
      </c>
    </row>
    <row r="10">
      <c r="A10" s="19" t="s">
        <v>3634</v>
      </c>
      <c r="B10" s="6" t="s">
        <v>3631</v>
      </c>
      <c r="C10" s="20" t="s">
        <v>1084</v>
      </c>
    </row>
    <row r="11">
      <c r="A11" s="19" t="s">
        <v>3635</v>
      </c>
      <c r="B11" s="6" t="s">
        <v>3631</v>
      </c>
      <c r="C11" s="6" t="s">
        <v>1084</v>
      </c>
    </row>
    <row r="12">
      <c r="A12" s="19" t="s">
        <v>1149</v>
      </c>
      <c r="B12" s="6" t="s">
        <v>3631</v>
      </c>
      <c r="C12" s="6" t="s">
        <v>1084</v>
      </c>
    </row>
    <row r="13">
      <c r="A13" s="19" t="s">
        <v>1153</v>
      </c>
      <c r="B13" s="6" t="s">
        <v>3631</v>
      </c>
      <c r="C13" s="6" t="s">
        <v>1084</v>
      </c>
    </row>
    <row r="14">
      <c r="A14" s="19" t="s">
        <v>1155</v>
      </c>
      <c r="B14" s="6" t="s">
        <v>3631</v>
      </c>
      <c r="C14" s="6" t="s">
        <v>1084</v>
      </c>
    </row>
    <row r="15">
      <c r="A15" s="19" t="s">
        <v>1157</v>
      </c>
      <c r="B15" s="6" t="s">
        <v>3631</v>
      </c>
      <c r="C15" s="6" t="s">
        <v>1084</v>
      </c>
    </row>
    <row r="16">
      <c r="A16" s="19" t="s">
        <v>1240</v>
      </c>
      <c r="B16" s="6" t="s">
        <v>3631</v>
      </c>
      <c r="C16" s="6" t="s">
        <v>1084</v>
      </c>
    </row>
    <row r="17">
      <c r="A17" s="19" t="s">
        <v>1242</v>
      </c>
      <c r="B17" s="6" t="s">
        <v>3631</v>
      </c>
      <c r="C17" s="6" t="s">
        <v>1084</v>
      </c>
    </row>
    <row r="18" ht="15.75" customHeight="1">
      <c r="A18" s="19" t="s">
        <v>1244</v>
      </c>
      <c r="B18" s="6" t="s">
        <v>3631</v>
      </c>
      <c r="C18" s="6" t="s">
        <v>1084</v>
      </c>
    </row>
    <row r="19" ht="15.75" customHeight="1">
      <c r="A19" s="19" t="s">
        <v>1246</v>
      </c>
      <c r="B19" s="6" t="s">
        <v>3631</v>
      </c>
      <c r="C19" s="6" t="s">
        <v>1084</v>
      </c>
    </row>
    <row r="20" ht="15.75" customHeight="1">
      <c r="A20" s="19" t="s">
        <v>3636</v>
      </c>
      <c r="B20" s="6" t="s">
        <v>3631</v>
      </c>
      <c r="C20" s="6" t="s">
        <v>1084</v>
      </c>
    </row>
    <row r="21" ht="15.75" customHeight="1">
      <c r="A21" s="19" t="s">
        <v>3637</v>
      </c>
      <c r="B21" s="6" t="s">
        <v>3631</v>
      </c>
      <c r="C21" s="6" t="s">
        <v>1084</v>
      </c>
    </row>
    <row r="22" ht="15.75" customHeight="1">
      <c r="A22" s="19" t="s">
        <v>3638</v>
      </c>
      <c r="B22" s="6" t="s">
        <v>3639</v>
      </c>
      <c r="C22" s="6" t="s">
        <v>1084</v>
      </c>
    </row>
    <row r="23" ht="15.75" customHeight="1">
      <c r="A23" s="19" t="s">
        <v>926</v>
      </c>
      <c r="B23" s="6" t="s">
        <v>3639</v>
      </c>
      <c r="C23" s="6" t="s">
        <v>1084</v>
      </c>
    </row>
    <row r="24" ht="15.75" customHeight="1">
      <c r="A24" s="19" t="s">
        <v>928</v>
      </c>
      <c r="B24" s="6" t="s">
        <v>3639</v>
      </c>
      <c r="C24" s="6" t="s">
        <v>1084</v>
      </c>
    </row>
    <row r="25" ht="15.75" customHeight="1">
      <c r="A25" s="19" t="s">
        <v>930</v>
      </c>
      <c r="B25" s="6" t="s">
        <v>3639</v>
      </c>
      <c r="C25" s="6" t="s">
        <v>1084</v>
      </c>
    </row>
    <row r="26" ht="15.75" customHeight="1">
      <c r="A26" s="19" t="s">
        <v>932</v>
      </c>
      <c r="B26" s="6" t="s">
        <v>3639</v>
      </c>
      <c r="C26" s="6" t="s">
        <v>1084</v>
      </c>
    </row>
    <row r="27" ht="15.75" customHeight="1">
      <c r="A27" s="19" t="s">
        <v>934</v>
      </c>
      <c r="B27" s="6" t="s">
        <v>3639</v>
      </c>
      <c r="C27" s="6" t="s">
        <v>1084</v>
      </c>
    </row>
    <row r="28" ht="15.75" customHeight="1">
      <c r="A28" s="19" t="s">
        <v>3640</v>
      </c>
      <c r="B28" s="6" t="s">
        <v>3631</v>
      </c>
      <c r="C28" s="6" t="s">
        <v>1084</v>
      </c>
    </row>
    <row r="29" ht="15.75" customHeight="1">
      <c r="A29" s="19" t="s">
        <v>1323</v>
      </c>
      <c r="B29" s="6" t="s">
        <v>3631</v>
      </c>
      <c r="C29" s="6" t="s">
        <v>1084</v>
      </c>
    </row>
    <row r="30" ht="15.75" customHeight="1">
      <c r="A30" s="19" t="s">
        <v>1164</v>
      </c>
      <c r="B30" s="6" t="s">
        <v>3631</v>
      </c>
      <c r="C30" s="6" t="s">
        <v>1084</v>
      </c>
    </row>
    <row r="31" ht="15.75" customHeight="1">
      <c r="A31" s="19" t="s">
        <v>1166</v>
      </c>
      <c r="B31" s="6" t="s">
        <v>3631</v>
      </c>
      <c r="C31" s="6" t="s">
        <v>1084</v>
      </c>
    </row>
    <row r="32" ht="15.75" customHeight="1">
      <c r="A32" s="19" t="s">
        <v>1168</v>
      </c>
      <c r="B32" s="6" t="s">
        <v>3631</v>
      </c>
      <c r="C32" s="6" t="s">
        <v>1084</v>
      </c>
    </row>
    <row r="33" ht="15.75" customHeight="1">
      <c r="A33" s="19" t="s">
        <v>1170</v>
      </c>
      <c r="B33" s="6" t="s">
        <v>3631</v>
      </c>
      <c r="C33" s="6" t="s">
        <v>1084</v>
      </c>
    </row>
    <row r="34" ht="15.75" customHeight="1">
      <c r="A34" s="19" t="s">
        <v>1288</v>
      </c>
      <c r="B34" s="6" t="s">
        <v>3631</v>
      </c>
      <c r="C34" s="6" t="s">
        <v>1084</v>
      </c>
    </row>
    <row r="35" ht="15.75" customHeight="1">
      <c r="A35" s="19" t="s">
        <v>1291</v>
      </c>
      <c r="B35" s="6" t="s">
        <v>3631</v>
      </c>
      <c r="C35" s="6" t="s">
        <v>1084</v>
      </c>
    </row>
    <row r="36" ht="15.75" customHeight="1">
      <c r="A36" s="19" t="s">
        <v>3641</v>
      </c>
      <c r="B36" s="6" t="s">
        <v>3631</v>
      </c>
      <c r="C36" s="6" t="s">
        <v>1084</v>
      </c>
    </row>
    <row r="37" ht="15.75" customHeight="1">
      <c r="A37" s="19" t="s">
        <v>1304</v>
      </c>
      <c r="B37" s="6" t="s">
        <v>3631</v>
      </c>
      <c r="C37" s="6" t="s">
        <v>1084</v>
      </c>
    </row>
    <row r="38" ht="15.75" customHeight="1">
      <c r="A38" s="19" t="s">
        <v>1306</v>
      </c>
      <c r="B38" s="6" t="s">
        <v>3631</v>
      </c>
      <c r="C38" s="6" t="s">
        <v>1084</v>
      </c>
    </row>
    <row r="39" ht="15.75" customHeight="1">
      <c r="A39" s="19" t="s">
        <v>3642</v>
      </c>
      <c r="B39" s="6" t="s">
        <v>3631</v>
      </c>
      <c r="C39" s="6" t="s">
        <v>1084</v>
      </c>
    </row>
    <row r="40" ht="15.75" customHeight="1">
      <c r="A40" s="19" t="s">
        <v>1308</v>
      </c>
      <c r="B40" s="6" t="s">
        <v>3631</v>
      </c>
      <c r="C40" s="6" t="s">
        <v>1084</v>
      </c>
    </row>
    <row r="41" ht="15.75" customHeight="1">
      <c r="A41" s="19" t="s">
        <v>1310</v>
      </c>
      <c r="B41" s="6" t="s">
        <v>3631</v>
      </c>
      <c r="C41" s="6" t="s">
        <v>1084</v>
      </c>
    </row>
    <row r="42" ht="15.75" customHeight="1">
      <c r="A42" s="19" t="s">
        <v>1222</v>
      </c>
      <c r="B42" s="6" t="s">
        <v>3631</v>
      </c>
      <c r="C42" s="6" t="s">
        <v>1084</v>
      </c>
    </row>
    <row r="43" ht="15.75" customHeight="1">
      <c r="A43" s="19" t="s">
        <v>1224</v>
      </c>
      <c r="B43" s="6" t="s">
        <v>3631</v>
      </c>
      <c r="C43" s="6" t="s">
        <v>1084</v>
      </c>
    </row>
    <row r="44" ht="15.75" customHeight="1">
      <c r="A44" s="19" t="s">
        <v>1226</v>
      </c>
      <c r="B44" s="6" t="s">
        <v>3631</v>
      </c>
      <c r="C44" s="6" t="s">
        <v>1084</v>
      </c>
    </row>
    <row r="45" ht="15.75" customHeight="1">
      <c r="A45" s="19" t="s">
        <v>1228</v>
      </c>
      <c r="B45" s="6" t="s">
        <v>3631</v>
      </c>
      <c r="C45" s="6" t="s">
        <v>1084</v>
      </c>
    </row>
    <row r="46" ht="15.75" customHeight="1">
      <c r="A46" s="19" t="s">
        <v>3605</v>
      </c>
      <c r="B46" s="6" t="s">
        <v>3631</v>
      </c>
      <c r="C46" s="6" t="s">
        <v>1084</v>
      </c>
    </row>
    <row r="47" ht="15.75" customHeight="1">
      <c r="A47" s="19" t="s">
        <v>1172</v>
      </c>
      <c r="B47" s="6" t="s">
        <v>3631</v>
      </c>
      <c r="C47" s="6" t="s">
        <v>1084</v>
      </c>
    </row>
    <row r="48" ht="15.75" customHeight="1">
      <c r="A48" s="19" t="s">
        <v>1312</v>
      </c>
      <c r="B48" s="6" t="s">
        <v>3631</v>
      </c>
      <c r="C48" s="6" t="s">
        <v>1084</v>
      </c>
    </row>
    <row r="49" ht="15.75" customHeight="1">
      <c r="A49" s="19" t="s">
        <v>3643</v>
      </c>
      <c r="B49" s="6" t="s">
        <v>3631</v>
      </c>
      <c r="C49" s="6" t="s">
        <v>1084</v>
      </c>
    </row>
    <row r="50" ht="15.75" customHeight="1">
      <c r="A50" s="19" t="s">
        <v>3644</v>
      </c>
      <c r="B50" s="6" t="s">
        <v>3631</v>
      </c>
      <c r="C50" s="6" t="s">
        <v>1084</v>
      </c>
    </row>
    <row r="51" ht="15.75" customHeight="1">
      <c r="A51" s="19" t="s">
        <v>1190</v>
      </c>
      <c r="B51" s="6" t="s">
        <v>3631</v>
      </c>
      <c r="C51" s="6" t="s">
        <v>1084</v>
      </c>
    </row>
    <row r="52" ht="15.75" customHeight="1">
      <c r="A52" s="19" t="s">
        <v>1208</v>
      </c>
      <c r="B52" s="6" t="s">
        <v>3631</v>
      </c>
      <c r="C52" s="6" t="s">
        <v>1084</v>
      </c>
    </row>
    <row r="53" ht="15.75" customHeight="1">
      <c r="A53" s="19" t="s">
        <v>1159</v>
      </c>
      <c r="B53" s="6" t="s">
        <v>3631</v>
      </c>
      <c r="C53" s="6" t="s">
        <v>1084</v>
      </c>
    </row>
    <row r="54" ht="15.75" customHeight="1">
      <c r="A54" s="19" t="s">
        <v>3645</v>
      </c>
      <c r="B54" s="6" t="s">
        <v>3631</v>
      </c>
      <c r="C54" s="6" t="s">
        <v>1084</v>
      </c>
    </row>
    <row r="55" ht="15.75" customHeight="1">
      <c r="A55" s="19" t="s">
        <v>3646</v>
      </c>
      <c r="B55" s="6" t="s">
        <v>3631</v>
      </c>
      <c r="C55" s="6" t="s">
        <v>1084</v>
      </c>
    </row>
    <row r="56" ht="15.75" customHeight="1">
      <c r="A56" s="19" t="s">
        <v>952</v>
      </c>
      <c r="B56" s="6" t="s">
        <v>3631</v>
      </c>
      <c r="C56" s="6" t="s">
        <v>1084</v>
      </c>
    </row>
    <row r="57" ht="15.75" customHeight="1">
      <c r="A57" s="19" t="s">
        <v>3647</v>
      </c>
      <c r="B57" s="6" t="s">
        <v>3631</v>
      </c>
      <c r="C57" s="6" t="s">
        <v>1084</v>
      </c>
    </row>
    <row r="58" ht="15.75" customHeight="1">
      <c r="A58" s="19" t="s">
        <v>3648</v>
      </c>
      <c r="B58" s="6" t="s">
        <v>3631</v>
      </c>
      <c r="C58" s="6" t="s">
        <v>1084</v>
      </c>
    </row>
    <row r="59" ht="15.75" customHeight="1">
      <c r="A59" s="19" t="s">
        <v>3649</v>
      </c>
      <c r="B59" s="6" t="s">
        <v>3631</v>
      </c>
      <c r="C59" s="6" t="s">
        <v>1084</v>
      </c>
    </row>
    <row r="60" ht="15.75" customHeight="1">
      <c r="A60" s="19" t="s">
        <v>1277</v>
      </c>
      <c r="B60" s="6" t="s">
        <v>3631</v>
      </c>
      <c r="C60" s="6" t="s">
        <v>1084</v>
      </c>
    </row>
    <row r="61" ht="15.75" customHeight="1">
      <c r="A61" s="19" t="s">
        <v>1279</v>
      </c>
      <c r="B61" s="6" t="s">
        <v>3631</v>
      </c>
      <c r="C61" s="6" t="s">
        <v>1084</v>
      </c>
    </row>
    <row r="62" ht="15.75" customHeight="1">
      <c r="A62" s="19" t="s">
        <v>3650</v>
      </c>
      <c r="B62" s="6" t="s">
        <v>3631</v>
      </c>
      <c r="C62" s="6" t="s">
        <v>1084</v>
      </c>
    </row>
    <row r="63" ht="15.75" customHeight="1">
      <c r="A63" s="19" t="s">
        <v>1283</v>
      </c>
      <c r="B63" s="6" t="s">
        <v>3631</v>
      </c>
      <c r="C63" s="6" t="s">
        <v>1084</v>
      </c>
    </row>
    <row r="64" ht="15.75" customHeight="1">
      <c r="A64" s="19" t="s">
        <v>1281</v>
      </c>
      <c r="B64" s="6" t="s">
        <v>3631</v>
      </c>
      <c r="C64" s="6" t="s">
        <v>1084</v>
      </c>
    </row>
    <row r="65" ht="15.75" customHeight="1">
      <c r="A65" s="19" t="s">
        <v>1216</v>
      </c>
      <c r="B65" s="6" t="s">
        <v>3631</v>
      </c>
      <c r="C65" s="6" t="s">
        <v>1084</v>
      </c>
    </row>
    <row r="66" ht="15.75" customHeight="1">
      <c r="A66" s="19" t="s">
        <v>1218</v>
      </c>
      <c r="B66" s="6" t="s">
        <v>3631</v>
      </c>
      <c r="C66" s="6" t="s">
        <v>1084</v>
      </c>
    </row>
    <row r="67" ht="15.75" customHeight="1">
      <c r="A67" s="19" t="s">
        <v>1271</v>
      </c>
      <c r="B67" s="6" t="s">
        <v>3631</v>
      </c>
      <c r="C67" s="6" t="s">
        <v>1084</v>
      </c>
    </row>
    <row r="68" ht="15.75" customHeight="1">
      <c r="A68" s="6" t="s">
        <v>923</v>
      </c>
      <c r="B68" s="6" t="s">
        <v>3639</v>
      </c>
      <c r="C68" s="6" t="s">
        <v>1084</v>
      </c>
    </row>
    <row r="69" ht="15.75" customHeight="1">
      <c r="A69" s="6" t="s">
        <v>1354</v>
      </c>
      <c r="B69" s="6" t="s">
        <v>3651</v>
      </c>
      <c r="C69" s="6" t="s">
        <v>1084</v>
      </c>
    </row>
    <row r="70" ht="15.75" customHeight="1">
      <c r="A70" s="6" t="s">
        <v>936</v>
      </c>
      <c r="B70" s="6" t="s">
        <v>3631</v>
      </c>
      <c r="C70" s="6" t="s">
        <v>1084</v>
      </c>
    </row>
    <row r="71" ht="15.75" customHeight="1">
      <c r="A71" s="19" t="s">
        <v>942</v>
      </c>
      <c r="B71" s="6" t="s">
        <v>3631</v>
      </c>
      <c r="C71" s="6" t="s">
        <v>1084</v>
      </c>
    </row>
    <row r="72" ht="15.75" customHeight="1">
      <c r="A72" s="19" t="s">
        <v>944</v>
      </c>
      <c r="B72" s="6" t="s">
        <v>3631</v>
      </c>
      <c r="C72" s="6" t="s">
        <v>1084</v>
      </c>
    </row>
    <row r="73" ht="15.75" customHeight="1">
      <c r="A73" s="19" t="s">
        <v>946</v>
      </c>
      <c r="B73" s="6" t="s">
        <v>3631</v>
      </c>
      <c r="C73" s="6" t="s">
        <v>1084</v>
      </c>
    </row>
    <row r="74" ht="15.75" customHeight="1">
      <c r="A74" s="19" t="s">
        <v>948</v>
      </c>
      <c r="B74" s="6" t="s">
        <v>3631</v>
      </c>
      <c r="C74" s="6" t="s">
        <v>1084</v>
      </c>
    </row>
    <row r="75" ht="15.75" customHeight="1">
      <c r="A75" s="19" t="s">
        <v>950</v>
      </c>
      <c r="B75" s="6" t="s">
        <v>3631</v>
      </c>
      <c r="C75" s="6" t="s">
        <v>1084</v>
      </c>
    </row>
    <row r="76" ht="15.75" customHeight="1">
      <c r="A76" s="6" t="s">
        <v>940</v>
      </c>
      <c r="B76" s="6" t="s">
        <v>3631</v>
      </c>
      <c r="C76" s="6" t="s">
        <v>1084</v>
      </c>
    </row>
    <row r="77" ht="15.75" customHeight="1">
      <c r="A77" s="21" t="s">
        <v>3652</v>
      </c>
      <c r="B77" s="6" t="s">
        <v>3631</v>
      </c>
      <c r="C77" s="6" t="s">
        <v>1084</v>
      </c>
    </row>
    <row r="78" ht="15.75" customHeight="1">
      <c r="A78" s="22" t="s">
        <v>3653</v>
      </c>
      <c r="B78" s="6" t="s">
        <v>3631</v>
      </c>
      <c r="C78" s="6" t="s">
        <v>1084</v>
      </c>
    </row>
    <row r="79" ht="15.75" customHeight="1">
      <c r="A79" s="23" t="s">
        <v>1349</v>
      </c>
      <c r="B79" s="6" t="s">
        <v>3631</v>
      </c>
      <c r="C79" s="6" t="s">
        <v>1084</v>
      </c>
    </row>
    <row r="80" ht="15.75" customHeight="1">
      <c r="A80" s="24" t="s">
        <v>1351</v>
      </c>
      <c r="B80" s="6" t="s">
        <v>3631</v>
      </c>
      <c r="C80" s="6" t="s">
        <v>1084</v>
      </c>
    </row>
    <row r="81" ht="15.75" customHeight="1">
      <c r="A81" s="21" t="s">
        <v>3654</v>
      </c>
      <c r="B81" s="6" t="s">
        <v>3631</v>
      </c>
      <c r="C81" s="6" t="s">
        <v>1084</v>
      </c>
    </row>
    <row r="82" ht="15.75" customHeight="1">
      <c r="A82" s="22" t="s">
        <v>3655</v>
      </c>
      <c r="B82" s="6" t="s">
        <v>3631</v>
      </c>
      <c r="C82" s="6" t="s">
        <v>1084</v>
      </c>
    </row>
    <row r="83" ht="15.75" customHeight="1">
      <c r="A83" s="23" t="s">
        <v>3656</v>
      </c>
      <c r="B83" s="6" t="s">
        <v>3631</v>
      </c>
      <c r="C83" s="6" t="s">
        <v>1084</v>
      </c>
    </row>
    <row r="84" ht="15.75" customHeight="1">
      <c r="A84" s="24" t="s">
        <v>3657</v>
      </c>
      <c r="B84" s="6" t="s">
        <v>3631</v>
      </c>
      <c r="C84" s="6" t="s">
        <v>1084</v>
      </c>
    </row>
    <row r="85" ht="15.75" customHeight="1">
      <c r="A85" s="21" t="s">
        <v>952</v>
      </c>
      <c r="B85" s="6" t="s">
        <v>3631</v>
      </c>
      <c r="C85" s="6" t="s">
        <v>1084</v>
      </c>
    </row>
    <row r="86" ht="15.75" customHeight="1">
      <c r="A86" s="22" t="s">
        <v>3647</v>
      </c>
      <c r="B86" s="6" t="s">
        <v>3631</v>
      </c>
      <c r="C86" s="6" t="s">
        <v>1084</v>
      </c>
    </row>
    <row r="87" ht="15.75" customHeight="1">
      <c r="A87" s="6"/>
      <c r="B87" s="6" t="s">
        <v>3631</v>
      </c>
      <c r="C87" s="6" t="s">
        <v>1084</v>
      </c>
    </row>
    <row r="88" ht="15.75" customHeight="1">
      <c r="A88" s="6"/>
      <c r="B88" s="6" t="s">
        <v>3631</v>
      </c>
      <c r="C88" s="6" t="s">
        <v>1084</v>
      </c>
    </row>
    <row r="89" ht="15.75" customHeight="1">
      <c r="A89" s="6"/>
      <c r="B89" s="6" t="s">
        <v>3631</v>
      </c>
      <c r="C89" s="6" t="s">
        <v>1084</v>
      </c>
    </row>
    <row r="90" ht="15.75" customHeight="1">
      <c r="A90" s="6"/>
      <c r="B90" s="6" t="s">
        <v>3631</v>
      </c>
      <c r="C90" s="6" t="s">
        <v>1084</v>
      </c>
    </row>
    <row r="91" ht="15.75" customHeight="1">
      <c r="A91" s="6"/>
      <c r="B91" s="6" t="s">
        <v>3631</v>
      </c>
      <c r="C91" s="6" t="s">
        <v>1084</v>
      </c>
    </row>
    <row r="92" ht="15.75" customHeight="1">
      <c r="A92" s="6"/>
      <c r="B92" s="6" t="s">
        <v>3631</v>
      </c>
      <c r="C92" s="6" t="s">
        <v>1084</v>
      </c>
    </row>
    <row r="93" ht="15.75" customHeight="1">
      <c r="A93" s="6"/>
      <c r="B93" s="6" t="s">
        <v>3631</v>
      </c>
      <c r="C93" s="6" t="s">
        <v>1084</v>
      </c>
    </row>
    <row r="94" ht="15.75" customHeight="1">
      <c r="A94" s="6"/>
      <c r="B94" s="6" t="s">
        <v>3631</v>
      </c>
      <c r="C94" s="6" t="s">
        <v>1084</v>
      </c>
    </row>
    <row r="95" ht="15.75" customHeight="1">
      <c r="A95" s="6"/>
      <c r="B95" s="6" t="s">
        <v>3631</v>
      </c>
      <c r="C95" s="6" t="s">
        <v>1084</v>
      </c>
    </row>
    <row r="96" ht="15.75" customHeight="1">
      <c r="A96" s="6"/>
      <c r="B96" s="6" t="s">
        <v>3631</v>
      </c>
      <c r="C96" s="6" t="s">
        <v>1084</v>
      </c>
    </row>
    <row r="97" ht="15.75" customHeight="1">
      <c r="A97" s="6"/>
      <c r="B97" s="6" t="s">
        <v>3631</v>
      </c>
      <c r="C97" s="6" t="s">
        <v>1084</v>
      </c>
    </row>
    <row r="98" ht="15.75" customHeight="1">
      <c r="A98" s="6"/>
      <c r="B98" s="6" t="s">
        <v>3631</v>
      </c>
      <c r="C98" s="6" t="s">
        <v>1084</v>
      </c>
    </row>
    <row r="99" ht="15.75" customHeight="1">
      <c r="A99" s="6"/>
      <c r="B99" s="6" t="s">
        <v>3631</v>
      </c>
      <c r="C99" s="6" t="s">
        <v>1084</v>
      </c>
    </row>
    <row r="100" ht="15.75" customHeight="1">
      <c r="A100" s="6"/>
      <c r="B100" s="6" t="s">
        <v>3631</v>
      </c>
      <c r="C100" s="6" t="s">
        <v>1084</v>
      </c>
    </row>
    <row r="101" ht="15.75" customHeight="1">
      <c r="A101" s="6"/>
      <c r="B101" s="6" t="s">
        <v>3631</v>
      </c>
      <c r="C101" s="6" t="s">
        <v>1084</v>
      </c>
    </row>
    <row r="102" ht="15.75" customHeight="1">
      <c r="A102" s="6"/>
      <c r="B102" s="6" t="s">
        <v>3631</v>
      </c>
      <c r="C102" s="6" t="s">
        <v>1084</v>
      </c>
    </row>
    <row r="103" ht="15.75" customHeight="1">
      <c r="A103" s="6"/>
      <c r="B103" s="6" t="s">
        <v>3631</v>
      </c>
      <c r="C103" s="6" t="s">
        <v>1084</v>
      </c>
    </row>
    <row r="104" ht="15.75" customHeight="1">
      <c r="A104" s="6"/>
      <c r="B104" s="6" t="s">
        <v>3631</v>
      </c>
      <c r="C104" s="6" t="s">
        <v>1084</v>
      </c>
    </row>
    <row r="105" ht="15.75" customHeight="1">
      <c r="A105" s="6"/>
      <c r="B105" s="6" t="s">
        <v>3631</v>
      </c>
      <c r="C105" s="6" t="s">
        <v>1084</v>
      </c>
    </row>
    <row r="106" ht="15.75" customHeight="1">
      <c r="A106" s="6"/>
      <c r="B106" s="6" t="s">
        <v>3631</v>
      </c>
      <c r="C106" s="6" t="s">
        <v>1084</v>
      </c>
    </row>
    <row r="107" ht="15.75" customHeight="1">
      <c r="A107" s="6"/>
      <c r="B107" s="6" t="s">
        <v>3631</v>
      </c>
      <c r="C107" s="6" t="s">
        <v>1084</v>
      </c>
    </row>
    <row r="108" ht="15.75" customHeight="1">
      <c r="A108" s="6"/>
      <c r="B108" s="6" t="s">
        <v>3631</v>
      </c>
      <c r="C108" s="6" t="s">
        <v>1084</v>
      </c>
    </row>
    <row r="109" ht="15.75" customHeight="1">
      <c r="B109" s="6" t="s">
        <v>3631</v>
      </c>
      <c r="C109" s="6" t="s">
        <v>1084</v>
      </c>
    </row>
    <row r="110" ht="15.75" customHeight="1">
      <c r="B110" s="6" t="s">
        <v>3631</v>
      </c>
      <c r="C110" s="6" t="s">
        <v>1084</v>
      </c>
    </row>
    <row r="111" ht="15.75" customHeight="1">
      <c r="A111" s="6"/>
      <c r="B111" s="6" t="s">
        <v>3631</v>
      </c>
      <c r="C111" s="6" t="s">
        <v>1084</v>
      </c>
    </row>
    <row r="112" ht="15.75" customHeight="1">
      <c r="A112" s="6"/>
      <c r="B112" s="6" t="s">
        <v>3639</v>
      </c>
      <c r="C112" s="6" t="s">
        <v>1084</v>
      </c>
    </row>
    <row r="113" ht="15.75" customHeight="1">
      <c r="A113" s="6"/>
      <c r="B113" s="6" t="s">
        <v>3639</v>
      </c>
      <c r="C113" s="6" t="s">
        <v>1084</v>
      </c>
    </row>
    <row r="114" ht="15.75" customHeight="1">
      <c r="A114" s="6"/>
      <c r="B114" s="6" t="s">
        <v>3639</v>
      </c>
      <c r="C114" s="6" t="s">
        <v>1084</v>
      </c>
    </row>
    <row r="115" ht="15.75" customHeight="1">
      <c r="A115" s="6"/>
      <c r="B115" s="6" t="s">
        <v>3639</v>
      </c>
      <c r="C115" s="6" t="s">
        <v>1084</v>
      </c>
    </row>
    <row r="116" ht="15.75" customHeight="1">
      <c r="A116" s="6"/>
      <c r="B116" s="6" t="s">
        <v>3639</v>
      </c>
      <c r="C116" s="6" t="s">
        <v>1084</v>
      </c>
    </row>
    <row r="117" ht="15.75" customHeight="1">
      <c r="A117" s="6"/>
      <c r="B117" s="6" t="s">
        <v>3639</v>
      </c>
      <c r="C117" s="6" t="s">
        <v>1084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5" t="s">
        <v>59</v>
      </c>
      <c r="B1" s="5" t="s">
        <v>60</v>
      </c>
    </row>
    <row r="2">
      <c r="A2" s="7" t="s">
        <v>61</v>
      </c>
      <c r="B2" s="7" t="s">
        <v>62</v>
      </c>
    </row>
    <row r="3">
      <c r="A3" s="7" t="s">
        <v>63</v>
      </c>
      <c r="B3" s="7" t="s">
        <v>62</v>
      </c>
    </row>
    <row r="4">
      <c r="A4" s="7" t="s">
        <v>64</v>
      </c>
      <c r="B4" s="7" t="s">
        <v>62</v>
      </c>
    </row>
    <row r="5">
      <c r="A5" s="7" t="s">
        <v>65</v>
      </c>
      <c r="B5" s="7" t="s">
        <v>62</v>
      </c>
    </row>
    <row r="6">
      <c r="A6" s="7" t="s">
        <v>66</v>
      </c>
      <c r="B6" s="7" t="s">
        <v>62</v>
      </c>
    </row>
    <row r="7">
      <c r="A7" s="7" t="s">
        <v>67</v>
      </c>
      <c r="B7" s="7" t="s">
        <v>62</v>
      </c>
    </row>
    <row r="8">
      <c r="A8" s="6" t="s">
        <v>910</v>
      </c>
      <c r="B8" s="6" t="s">
        <v>62</v>
      </c>
    </row>
    <row r="9">
      <c r="A9" s="6" t="s">
        <v>1126</v>
      </c>
      <c r="B9" s="6" t="s">
        <v>62</v>
      </c>
    </row>
    <row r="10">
      <c r="A10" s="7" t="s">
        <v>68</v>
      </c>
      <c r="B10" s="7" t="s">
        <v>69</v>
      </c>
    </row>
    <row r="11">
      <c r="A11" s="7" t="s">
        <v>70</v>
      </c>
      <c r="B11" s="7" t="s">
        <v>69</v>
      </c>
    </row>
    <row r="12">
      <c r="A12" s="7" t="s">
        <v>71</v>
      </c>
      <c r="B12" s="7" t="s">
        <v>69</v>
      </c>
    </row>
    <row r="13">
      <c r="A13" s="7" t="s">
        <v>72</v>
      </c>
      <c r="B13" s="7" t="s">
        <v>69</v>
      </c>
    </row>
    <row r="14">
      <c r="A14" s="7" t="s">
        <v>73</v>
      </c>
      <c r="B14" s="7" t="s">
        <v>69</v>
      </c>
    </row>
    <row r="15">
      <c r="A15" s="7" t="s">
        <v>74</v>
      </c>
      <c r="B15" s="7" t="s">
        <v>69</v>
      </c>
    </row>
    <row r="16">
      <c r="A16" s="6" t="s">
        <v>910</v>
      </c>
      <c r="B16" s="6" t="s">
        <v>69</v>
      </c>
    </row>
    <row r="17">
      <c r="A17" s="7" t="s">
        <v>75</v>
      </c>
      <c r="B17" s="7" t="s">
        <v>76</v>
      </c>
    </row>
    <row r="18">
      <c r="A18" s="7" t="s">
        <v>77</v>
      </c>
      <c r="B18" s="7" t="s">
        <v>76</v>
      </c>
    </row>
    <row r="19">
      <c r="A19" s="7" t="s">
        <v>78</v>
      </c>
      <c r="B19" s="7" t="s">
        <v>76</v>
      </c>
    </row>
    <row r="20">
      <c r="A20" s="7" t="s">
        <v>79</v>
      </c>
      <c r="B20" s="7" t="s">
        <v>76</v>
      </c>
    </row>
    <row r="21" ht="15.75" customHeight="1">
      <c r="A21" s="7" t="s">
        <v>80</v>
      </c>
      <c r="B21" s="7" t="s">
        <v>76</v>
      </c>
    </row>
    <row r="22" ht="15.75" customHeight="1">
      <c r="A22" s="7" t="s">
        <v>81</v>
      </c>
      <c r="B22" s="7" t="s">
        <v>76</v>
      </c>
    </row>
    <row r="23" ht="15.75" customHeight="1">
      <c r="A23" s="6" t="s">
        <v>910</v>
      </c>
      <c r="B23" s="6" t="s">
        <v>76</v>
      </c>
    </row>
    <row r="24" ht="15.75" customHeight="1">
      <c r="A24" s="6" t="s">
        <v>1126</v>
      </c>
      <c r="B24" s="6" t="s">
        <v>76</v>
      </c>
    </row>
    <row r="25" ht="15.75" customHeight="1">
      <c r="A25" s="7" t="s">
        <v>82</v>
      </c>
      <c r="B25" s="7" t="s">
        <v>83</v>
      </c>
    </row>
    <row r="26" ht="15.75" customHeight="1">
      <c r="A26" s="7" t="s">
        <v>84</v>
      </c>
      <c r="B26" s="7" t="s">
        <v>83</v>
      </c>
    </row>
    <row r="27" ht="15.75" customHeight="1">
      <c r="A27" s="7" t="s">
        <v>85</v>
      </c>
      <c r="B27" s="7" t="s">
        <v>83</v>
      </c>
    </row>
    <row r="28" ht="15.75" customHeight="1">
      <c r="A28" s="7" t="s">
        <v>86</v>
      </c>
      <c r="B28" s="7" t="s">
        <v>83</v>
      </c>
    </row>
    <row r="29" ht="15.75" customHeight="1">
      <c r="A29" s="7" t="s">
        <v>87</v>
      </c>
      <c r="B29" s="7" t="s">
        <v>83</v>
      </c>
    </row>
    <row r="30" ht="15.75" customHeight="1">
      <c r="A30" s="7" t="s">
        <v>88</v>
      </c>
      <c r="B30" s="7" t="s">
        <v>83</v>
      </c>
    </row>
    <row r="31" ht="15.75" customHeight="1">
      <c r="A31" s="6" t="s">
        <v>910</v>
      </c>
      <c r="B31" s="6" t="s">
        <v>83</v>
      </c>
    </row>
    <row r="32" ht="15.75" customHeight="1">
      <c r="A32" s="6" t="s">
        <v>1126</v>
      </c>
      <c r="B32" s="6" t="s">
        <v>83</v>
      </c>
    </row>
    <row r="33" ht="15.75" customHeight="1">
      <c r="A33" s="7" t="s">
        <v>89</v>
      </c>
      <c r="B33" s="7" t="s">
        <v>90</v>
      </c>
    </row>
    <row r="34" ht="15.75" customHeight="1">
      <c r="A34" s="7" t="s">
        <v>91</v>
      </c>
      <c r="B34" s="7" t="s">
        <v>90</v>
      </c>
    </row>
    <row r="35" ht="15.75" customHeight="1">
      <c r="A35" s="7" t="s">
        <v>92</v>
      </c>
      <c r="B35" s="7" t="s">
        <v>90</v>
      </c>
    </row>
    <row r="36" ht="15.75" customHeight="1">
      <c r="A36" s="7" t="s">
        <v>72</v>
      </c>
      <c r="B36" s="7" t="s">
        <v>90</v>
      </c>
    </row>
    <row r="37" ht="15.75" customHeight="1">
      <c r="A37" s="7" t="s">
        <v>93</v>
      </c>
      <c r="B37" s="7" t="s">
        <v>90</v>
      </c>
    </row>
    <row r="38" ht="15.75" customHeight="1">
      <c r="A38" s="7" t="s">
        <v>94</v>
      </c>
      <c r="B38" s="7" t="s">
        <v>90</v>
      </c>
    </row>
    <row r="39" ht="15.75" customHeight="1">
      <c r="A39" s="6" t="s">
        <v>910</v>
      </c>
      <c r="B39" s="6" t="s">
        <v>90</v>
      </c>
    </row>
    <row r="40" ht="15.75" customHeight="1">
      <c r="A40" s="7" t="s">
        <v>95</v>
      </c>
      <c r="B40" s="7" t="s">
        <v>96</v>
      </c>
    </row>
    <row r="41" ht="15.75" customHeight="1">
      <c r="A41" s="7" t="s">
        <v>97</v>
      </c>
      <c r="B41" s="7" t="s">
        <v>96</v>
      </c>
    </row>
    <row r="42" ht="15.75" customHeight="1">
      <c r="A42" s="7" t="s">
        <v>98</v>
      </c>
      <c r="B42" s="7" t="s">
        <v>96</v>
      </c>
    </row>
    <row r="43" ht="15.75" customHeight="1">
      <c r="A43" s="7" t="s">
        <v>99</v>
      </c>
      <c r="B43" s="7" t="s">
        <v>96</v>
      </c>
    </row>
    <row r="44" ht="15.75" customHeight="1">
      <c r="A44" s="7" t="s">
        <v>93</v>
      </c>
      <c r="B44" s="7" t="s">
        <v>96</v>
      </c>
    </row>
    <row r="45" ht="15.75" customHeight="1">
      <c r="A45" s="7" t="s">
        <v>74</v>
      </c>
      <c r="B45" s="7" t="s">
        <v>96</v>
      </c>
    </row>
    <row r="46" ht="15.75" customHeight="1">
      <c r="A46" s="6" t="s">
        <v>910</v>
      </c>
      <c r="B46" s="6" t="s">
        <v>96</v>
      </c>
    </row>
    <row r="47" ht="15.75" customHeight="1">
      <c r="A47" s="7" t="s">
        <v>100</v>
      </c>
      <c r="B47" s="7" t="s">
        <v>101</v>
      </c>
    </row>
    <row r="48" ht="15.75" customHeight="1">
      <c r="A48" s="7" t="s">
        <v>102</v>
      </c>
      <c r="B48" s="7" t="s">
        <v>101</v>
      </c>
    </row>
    <row r="49" ht="15.75" customHeight="1">
      <c r="A49" s="7" t="s">
        <v>85</v>
      </c>
      <c r="B49" s="7" t="s">
        <v>101</v>
      </c>
    </row>
    <row r="50" ht="15.75" customHeight="1">
      <c r="A50" s="7" t="s">
        <v>99</v>
      </c>
      <c r="B50" s="7" t="s">
        <v>101</v>
      </c>
    </row>
    <row r="51" ht="15.75" customHeight="1">
      <c r="A51" s="7" t="s">
        <v>93</v>
      </c>
      <c r="B51" s="7" t="s">
        <v>101</v>
      </c>
    </row>
    <row r="52" ht="15.75" customHeight="1">
      <c r="A52" s="7" t="s">
        <v>74</v>
      </c>
      <c r="B52" s="7" t="s">
        <v>101</v>
      </c>
    </row>
    <row r="53" ht="15.75" customHeight="1">
      <c r="A53" s="6" t="s">
        <v>910</v>
      </c>
      <c r="B53" s="6" t="s">
        <v>101</v>
      </c>
    </row>
    <row r="54" ht="15.75" customHeight="1">
      <c r="A54" s="7" t="s">
        <v>95</v>
      </c>
      <c r="B54" s="7" t="s">
        <v>103</v>
      </c>
    </row>
    <row r="55" ht="15.75" customHeight="1">
      <c r="A55" s="7" t="s">
        <v>97</v>
      </c>
      <c r="B55" s="7" t="s">
        <v>103</v>
      </c>
    </row>
    <row r="56" ht="15.75" customHeight="1">
      <c r="A56" s="7" t="s">
        <v>104</v>
      </c>
      <c r="B56" s="7" t="s">
        <v>103</v>
      </c>
    </row>
    <row r="57" ht="15.75" customHeight="1">
      <c r="A57" s="7" t="s">
        <v>105</v>
      </c>
      <c r="B57" s="7" t="s">
        <v>103</v>
      </c>
    </row>
    <row r="58" ht="15.75" customHeight="1">
      <c r="A58" s="7" t="s">
        <v>106</v>
      </c>
      <c r="B58" s="7" t="s">
        <v>103</v>
      </c>
    </row>
    <row r="59" ht="15.75" customHeight="1">
      <c r="A59" s="7" t="s">
        <v>107</v>
      </c>
      <c r="B59" s="7" t="s">
        <v>103</v>
      </c>
    </row>
    <row r="60" ht="15.75" customHeight="1">
      <c r="A60" s="6" t="s">
        <v>910</v>
      </c>
      <c r="B60" s="6" t="s">
        <v>103</v>
      </c>
    </row>
    <row r="61" ht="15.75" customHeight="1">
      <c r="A61" s="7" t="s">
        <v>75</v>
      </c>
      <c r="B61" s="7" t="s">
        <v>108</v>
      </c>
    </row>
    <row r="62" ht="15.75" customHeight="1">
      <c r="A62" s="7" t="s">
        <v>109</v>
      </c>
      <c r="B62" s="7" t="s">
        <v>108</v>
      </c>
    </row>
    <row r="63" ht="15.75" customHeight="1">
      <c r="A63" s="7" t="s">
        <v>104</v>
      </c>
      <c r="B63" s="7" t="s">
        <v>108</v>
      </c>
    </row>
    <row r="64" ht="15.75" customHeight="1">
      <c r="A64" s="7" t="s">
        <v>110</v>
      </c>
      <c r="B64" s="7" t="s">
        <v>108</v>
      </c>
    </row>
    <row r="65" ht="15.75" customHeight="1">
      <c r="A65" s="7" t="s">
        <v>106</v>
      </c>
      <c r="B65" s="7" t="s">
        <v>108</v>
      </c>
    </row>
    <row r="66" ht="15.75" customHeight="1">
      <c r="A66" s="7" t="s">
        <v>111</v>
      </c>
      <c r="B66" s="7" t="s">
        <v>108</v>
      </c>
    </row>
    <row r="67" ht="15.75" customHeight="1">
      <c r="A67" s="6" t="s">
        <v>910</v>
      </c>
      <c r="B67" s="6" t="s">
        <v>108</v>
      </c>
    </row>
    <row r="68" ht="15.75" customHeight="1">
      <c r="A68" s="7" t="s">
        <v>61</v>
      </c>
      <c r="B68" s="7" t="s">
        <v>112</v>
      </c>
    </row>
    <row r="69" ht="15.75" customHeight="1">
      <c r="A69" s="7" t="s">
        <v>92</v>
      </c>
      <c r="B69" s="7" t="s">
        <v>112</v>
      </c>
    </row>
    <row r="70" ht="15.75" customHeight="1">
      <c r="A70" s="7" t="s">
        <v>71</v>
      </c>
      <c r="B70" s="7" t="s">
        <v>112</v>
      </c>
    </row>
    <row r="71" ht="15.75" customHeight="1">
      <c r="A71" s="7" t="s">
        <v>79</v>
      </c>
      <c r="B71" s="7" t="s">
        <v>112</v>
      </c>
    </row>
    <row r="72" ht="15.75" customHeight="1">
      <c r="A72" s="7" t="s">
        <v>113</v>
      </c>
      <c r="B72" s="7" t="s">
        <v>112</v>
      </c>
    </row>
    <row r="73" ht="15.75" customHeight="1">
      <c r="A73" s="7" t="s">
        <v>74</v>
      </c>
      <c r="B73" s="7" t="s">
        <v>112</v>
      </c>
    </row>
    <row r="74" ht="15.75" customHeight="1">
      <c r="A74" s="6" t="s">
        <v>910</v>
      </c>
      <c r="B74" s="6" t="s">
        <v>112</v>
      </c>
    </row>
    <row r="75" ht="15.75" customHeight="1">
      <c r="A75" s="6" t="s">
        <v>1126</v>
      </c>
      <c r="B75" s="6" t="s">
        <v>112</v>
      </c>
    </row>
    <row r="76" ht="15.75" customHeight="1">
      <c r="A76" s="7" t="s">
        <v>114</v>
      </c>
      <c r="B76" s="7" t="s">
        <v>115</v>
      </c>
    </row>
    <row r="77" ht="15.75" customHeight="1">
      <c r="A77" s="7" t="s">
        <v>75</v>
      </c>
      <c r="B77" s="7" t="s">
        <v>115</v>
      </c>
    </row>
    <row r="78" ht="15.75" customHeight="1">
      <c r="A78" s="7" t="s">
        <v>104</v>
      </c>
      <c r="B78" s="7" t="s">
        <v>115</v>
      </c>
    </row>
    <row r="79" ht="15.75" customHeight="1">
      <c r="A79" s="7" t="s">
        <v>116</v>
      </c>
      <c r="B79" s="7" t="s">
        <v>115</v>
      </c>
    </row>
    <row r="80" ht="15.75" customHeight="1">
      <c r="A80" s="7" t="s">
        <v>117</v>
      </c>
      <c r="B80" s="7" t="s">
        <v>115</v>
      </c>
    </row>
    <row r="81" ht="15.75" customHeight="1">
      <c r="A81" s="7" t="s">
        <v>118</v>
      </c>
      <c r="B81" s="7" t="s">
        <v>115</v>
      </c>
    </row>
    <row r="82" ht="15.75" customHeight="1">
      <c r="A82" s="6" t="s">
        <v>910</v>
      </c>
      <c r="B82" s="6" t="s">
        <v>115</v>
      </c>
    </row>
    <row r="83" ht="15.75" customHeight="1">
      <c r="A83" s="7" t="s">
        <v>100</v>
      </c>
      <c r="B83" s="7" t="s">
        <v>119</v>
      </c>
    </row>
    <row r="84" ht="15.75" customHeight="1">
      <c r="A84" s="7" t="s">
        <v>77</v>
      </c>
      <c r="B84" s="7" t="s">
        <v>119</v>
      </c>
    </row>
    <row r="85" ht="15.75" customHeight="1">
      <c r="A85" s="7" t="s">
        <v>120</v>
      </c>
      <c r="B85" s="7" t="s">
        <v>119</v>
      </c>
    </row>
    <row r="86" ht="15.75" customHeight="1">
      <c r="A86" s="7" t="s">
        <v>65</v>
      </c>
      <c r="B86" s="7" t="s">
        <v>119</v>
      </c>
    </row>
    <row r="87" ht="15.75" customHeight="1">
      <c r="A87" s="7" t="s">
        <v>113</v>
      </c>
      <c r="B87" s="7" t="s">
        <v>119</v>
      </c>
    </row>
    <row r="88" ht="15.75" customHeight="1">
      <c r="A88" s="7" t="s">
        <v>67</v>
      </c>
      <c r="B88" s="7" t="s">
        <v>119</v>
      </c>
    </row>
    <row r="89" ht="15.75" customHeight="1">
      <c r="A89" s="6" t="s">
        <v>910</v>
      </c>
      <c r="B89" s="6" t="s">
        <v>119</v>
      </c>
    </row>
    <row r="90" ht="15.75" customHeight="1">
      <c r="A90" s="6" t="s">
        <v>1126</v>
      </c>
      <c r="B90" s="6" t="s">
        <v>119</v>
      </c>
    </row>
    <row r="91" ht="15.75" customHeight="1">
      <c r="A91" s="7" t="s">
        <v>70</v>
      </c>
      <c r="B91" s="7" t="s">
        <v>121</v>
      </c>
    </row>
    <row r="92" ht="15.75" customHeight="1">
      <c r="A92" s="7" t="s">
        <v>122</v>
      </c>
      <c r="B92" s="7" t="s">
        <v>121</v>
      </c>
    </row>
    <row r="93" ht="15.75" customHeight="1">
      <c r="A93" s="7" t="s">
        <v>78</v>
      </c>
      <c r="B93" s="7" t="s">
        <v>121</v>
      </c>
    </row>
    <row r="94" ht="15.75" customHeight="1">
      <c r="A94" s="7" t="s">
        <v>123</v>
      </c>
      <c r="B94" s="7" t="s">
        <v>121</v>
      </c>
    </row>
    <row r="95" ht="15.75" customHeight="1">
      <c r="A95" s="7" t="s">
        <v>124</v>
      </c>
      <c r="B95" s="7" t="s">
        <v>121</v>
      </c>
    </row>
    <row r="96" ht="15.75" customHeight="1">
      <c r="A96" s="7" t="s">
        <v>111</v>
      </c>
      <c r="B96" s="7" t="s">
        <v>121</v>
      </c>
    </row>
    <row r="97" ht="15.75" customHeight="1">
      <c r="A97" s="6" t="s">
        <v>910</v>
      </c>
      <c r="B97" s="6" t="s">
        <v>121</v>
      </c>
    </row>
    <row r="98" ht="15.75" customHeight="1">
      <c r="A98" s="7" t="s">
        <v>75</v>
      </c>
      <c r="B98" s="7" t="s">
        <v>125</v>
      </c>
    </row>
    <row r="99" ht="15.75" customHeight="1">
      <c r="A99" s="7" t="s">
        <v>77</v>
      </c>
      <c r="B99" s="7" t="s">
        <v>125</v>
      </c>
    </row>
    <row r="100" ht="15.75" customHeight="1">
      <c r="A100" s="7" t="s">
        <v>120</v>
      </c>
      <c r="B100" s="7" t="s">
        <v>125</v>
      </c>
    </row>
    <row r="101" ht="15.75" customHeight="1">
      <c r="A101" s="7" t="s">
        <v>105</v>
      </c>
      <c r="B101" s="7" t="s">
        <v>125</v>
      </c>
    </row>
    <row r="102" ht="15.75" customHeight="1">
      <c r="A102" s="7" t="s">
        <v>126</v>
      </c>
      <c r="B102" s="7" t="s">
        <v>125</v>
      </c>
    </row>
    <row r="103" ht="15.75" customHeight="1">
      <c r="A103" s="7" t="s">
        <v>127</v>
      </c>
      <c r="B103" s="7" t="s">
        <v>125</v>
      </c>
    </row>
    <row r="104" ht="15.75" customHeight="1">
      <c r="A104" s="6" t="s">
        <v>910</v>
      </c>
      <c r="B104" s="6" t="s">
        <v>125</v>
      </c>
    </row>
    <row r="105" ht="15.75" customHeight="1">
      <c r="A105" s="7" t="s">
        <v>82</v>
      </c>
      <c r="B105" s="7" t="s">
        <v>128</v>
      </c>
    </row>
    <row r="106" ht="15.75" customHeight="1">
      <c r="A106" s="7" t="s">
        <v>129</v>
      </c>
      <c r="B106" s="7" t="s">
        <v>128</v>
      </c>
    </row>
    <row r="107" ht="15.75" customHeight="1">
      <c r="A107" s="7" t="s">
        <v>77</v>
      </c>
      <c r="B107" s="7" t="s">
        <v>128</v>
      </c>
    </row>
    <row r="108" ht="15.75" customHeight="1">
      <c r="A108" s="7" t="s">
        <v>79</v>
      </c>
      <c r="B108" s="7" t="s">
        <v>128</v>
      </c>
    </row>
    <row r="109" ht="15.75" customHeight="1">
      <c r="A109" s="7" t="s">
        <v>93</v>
      </c>
      <c r="B109" s="7" t="s">
        <v>128</v>
      </c>
    </row>
    <row r="110" ht="15.75" customHeight="1">
      <c r="A110" s="7" t="s">
        <v>94</v>
      </c>
      <c r="B110" s="7" t="s">
        <v>128</v>
      </c>
    </row>
    <row r="111" ht="15.75" customHeight="1">
      <c r="A111" s="6" t="s">
        <v>910</v>
      </c>
      <c r="B111" s="6" t="s">
        <v>128</v>
      </c>
    </row>
    <row r="112" ht="15.75" customHeight="1">
      <c r="A112" s="7" t="s">
        <v>75</v>
      </c>
      <c r="B112" s="7" t="s">
        <v>130</v>
      </c>
    </row>
    <row r="113" ht="15.75" customHeight="1">
      <c r="A113" s="7" t="s">
        <v>109</v>
      </c>
      <c r="B113" s="7" t="s">
        <v>130</v>
      </c>
    </row>
    <row r="114" ht="15.75" customHeight="1">
      <c r="A114" s="7" t="s">
        <v>104</v>
      </c>
      <c r="B114" s="7" t="s">
        <v>130</v>
      </c>
    </row>
    <row r="115" ht="15.75" customHeight="1">
      <c r="A115" s="7" t="s">
        <v>99</v>
      </c>
      <c r="B115" s="7" t="s">
        <v>130</v>
      </c>
    </row>
    <row r="116" ht="15.75" customHeight="1">
      <c r="A116" s="7" t="s">
        <v>131</v>
      </c>
      <c r="B116" s="7" t="s">
        <v>130</v>
      </c>
    </row>
    <row r="117" ht="15.75" customHeight="1">
      <c r="A117" s="7" t="s">
        <v>94</v>
      </c>
      <c r="B117" s="7" t="s">
        <v>130</v>
      </c>
    </row>
    <row r="118" ht="15.75" customHeight="1">
      <c r="A118" s="6" t="s">
        <v>910</v>
      </c>
      <c r="B118" s="6" t="s">
        <v>130</v>
      </c>
    </row>
    <row r="119" ht="15.75" customHeight="1">
      <c r="A119" s="7" t="s">
        <v>132</v>
      </c>
      <c r="B119" s="7" t="s">
        <v>133</v>
      </c>
    </row>
    <row r="120" ht="15.75" customHeight="1">
      <c r="A120" s="7" t="s">
        <v>134</v>
      </c>
      <c r="B120" s="7" t="s">
        <v>133</v>
      </c>
    </row>
    <row r="121" ht="15.75" customHeight="1">
      <c r="A121" s="7" t="s">
        <v>71</v>
      </c>
      <c r="B121" s="7" t="s">
        <v>133</v>
      </c>
    </row>
    <row r="122" ht="15.75" customHeight="1">
      <c r="A122" s="7" t="s">
        <v>135</v>
      </c>
      <c r="B122" s="7" t="s">
        <v>133</v>
      </c>
    </row>
    <row r="123" ht="15.75" customHeight="1">
      <c r="A123" s="7" t="s">
        <v>124</v>
      </c>
      <c r="B123" s="7" t="s">
        <v>133</v>
      </c>
    </row>
    <row r="124" ht="15.75" customHeight="1">
      <c r="A124" s="7" t="s">
        <v>136</v>
      </c>
      <c r="B124" s="7" t="s">
        <v>133</v>
      </c>
    </row>
    <row r="125" ht="15.75" customHeight="1">
      <c r="A125" s="6" t="s">
        <v>910</v>
      </c>
      <c r="B125" s="6" t="s">
        <v>133</v>
      </c>
    </row>
    <row r="126" ht="15.75" customHeight="1">
      <c r="A126" s="7" t="s">
        <v>137</v>
      </c>
      <c r="B126" s="7" t="s">
        <v>138</v>
      </c>
    </row>
    <row r="127" ht="15.75" customHeight="1">
      <c r="A127" s="7" t="s">
        <v>97</v>
      </c>
      <c r="B127" s="7" t="s">
        <v>138</v>
      </c>
    </row>
    <row r="128" ht="15.75" customHeight="1">
      <c r="A128" s="7" t="s">
        <v>98</v>
      </c>
      <c r="B128" s="7" t="s">
        <v>138</v>
      </c>
    </row>
    <row r="129" ht="15.75" customHeight="1">
      <c r="A129" s="7" t="s">
        <v>135</v>
      </c>
      <c r="B129" s="7" t="s">
        <v>138</v>
      </c>
    </row>
    <row r="130" ht="15.75" customHeight="1">
      <c r="A130" s="7" t="s">
        <v>124</v>
      </c>
      <c r="B130" s="7" t="s">
        <v>138</v>
      </c>
    </row>
    <row r="131" ht="15.75" customHeight="1">
      <c r="A131" s="7" t="s">
        <v>139</v>
      </c>
      <c r="B131" s="7" t="s">
        <v>138</v>
      </c>
    </row>
    <row r="132" ht="15.75" customHeight="1">
      <c r="A132" s="6" t="s">
        <v>910</v>
      </c>
      <c r="B132" s="6" t="s">
        <v>138</v>
      </c>
    </row>
    <row r="133" ht="15.75" customHeight="1">
      <c r="A133" s="7" t="s">
        <v>100</v>
      </c>
      <c r="B133" s="7" t="s">
        <v>140</v>
      </c>
    </row>
    <row r="134" ht="15.75" customHeight="1">
      <c r="A134" s="7" t="s">
        <v>137</v>
      </c>
      <c r="B134" s="7" t="s">
        <v>140</v>
      </c>
    </row>
    <row r="135" ht="15.75" customHeight="1">
      <c r="A135" s="7" t="s">
        <v>141</v>
      </c>
      <c r="B135" s="7" t="s">
        <v>140</v>
      </c>
    </row>
    <row r="136" ht="15.75" customHeight="1">
      <c r="A136" s="7" t="s">
        <v>99</v>
      </c>
      <c r="B136" s="7" t="s">
        <v>140</v>
      </c>
    </row>
    <row r="137" ht="15.75" customHeight="1">
      <c r="A137" s="7" t="s">
        <v>142</v>
      </c>
      <c r="B137" s="7" t="s">
        <v>140</v>
      </c>
    </row>
    <row r="138" ht="15.75" customHeight="1">
      <c r="A138" s="7" t="s">
        <v>81</v>
      </c>
      <c r="B138" s="7" t="s">
        <v>140</v>
      </c>
    </row>
    <row r="139" ht="15.75" customHeight="1">
      <c r="A139" s="6" t="s">
        <v>910</v>
      </c>
      <c r="B139" s="6" t="s">
        <v>140</v>
      </c>
    </row>
    <row r="140" ht="15.75" customHeight="1">
      <c r="A140" s="6" t="s">
        <v>910</v>
      </c>
      <c r="B140" s="6" t="s">
        <v>2278</v>
      </c>
    </row>
    <row r="141" ht="15.75" customHeight="1">
      <c r="A141" s="6" t="s">
        <v>1126</v>
      </c>
      <c r="B141" s="6" t="s">
        <v>2278</v>
      </c>
    </row>
    <row r="142" ht="15.75" customHeight="1">
      <c r="A142" s="7" t="s">
        <v>143</v>
      </c>
      <c r="B142" s="7" t="s">
        <v>144</v>
      </c>
    </row>
    <row r="143" ht="15.75" customHeight="1">
      <c r="A143" s="7" t="s">
        <v>102</v>
      </c>
      <c r="B143" s="7" t="s">
        <v>144</v>
      </c>
    </row>
    <row r="144" ht="15.75" customHeight="1">
      <c r="A144" s="7" t="s">
        <v>85</v>
      </c>
      <c r="B144" s="7" t="s">
        <v>144</v>
      </c>
    </row>
    <row r="145" ht="15.75" customHeight="1">
      <c r="A145" s="7" t="s">
        <v>123</v>
      </c>
      <c r="B145" s="7" t="s">
        <v>144</v>
      </c>
    </row>
    <row r="146" ht="15.75" customHeight="1">
      <c r="A146" s="7" t="s">
        <v>126</v>
      </c>
      <c r="B146" s="7" t="s">
        <v>144</v>
      </c>
    </row>
    <row r="147" ht="15.75" customHeight="1">
      <c r="A147" s="7" t="s">
        <v>145</v>
      </c>
      <c r="B147" s="7" t="s">
        <v>144</v>
      </c>
    </row>
    <row r="148" ht="15.75" customHeight="1">
      <c r="A148" s="6" t="s">
        <v>910</v>
      </c>
      <c r="B148" s="6" t="s">
        <v>144</v>
      </c>
    </row>
    <row r="149" ht="15.75" customHeight="1">
      <c r="A149" s="7" t="s">
        <v>146</v>
      </c>
      <c r="B149" s="7" t="s">
        <v>147</v>
      </c>
    </row>
    <row r="150" ht="15.75" customHeight="1">
      <c r="A150" s="7" t="s">
        <v>148</v>
      </c>
      <c r="B150" s="7" t="s">
        <v>147</v>
      </c>
    </row>
    <row r="151" ht="15.75" customHeight="1">
      <c r="A151" s="7" t="s">
        <v>78</v>
      </c>
      <c r="B151" s="7" t="s">
        <v>147</v>
      </c>
    </row>
    <row r="152" ht="15.75" customHeight="1">
      <c r="A152" s="7" t="s">
        <v>149</v>
      </c>
      <c r="B152" s="7" t="s">
        <v>147</v>
      </c>
    </row>
    <row r="153" ht="15.75" customHeight="1">
      <c r="A153" s="7" t="s">
        <v>150</v>
      </c>
      <c r="B153" s="7" t="s">
        <v>147</v>
      </c>
    </row>
    <row r="154" ht="15.75" customHeight="1">
      <c r="A154" s="7" t="s">
        <v>107</v>
      </c>
      <c r="B154" s="7" t="s">
        <v>147</v>
      </c>
    </row>
    <row r="155" ht="15.75" customHeight="1">
      <c r="A155" s="6" t="s">
        <v>910</v>
      </c>
      <c r="B155" s="6" t="s">
        <v>147</v>
      </c>
    </row>
    <row r="156" ht="15.75" customHeight="1">
      <c r="A156" s="7" t="s">
        <v>143</v>
      </c>
      <c r="B156" s="7" t="s">
        <v>151</v>
      </c>
    </row>
    <row r="157" ht="15.75" customHeight="1">
      <c r="A157" s="7" t="s">
        <v>63</v>
      </c>
      <c r="B157" s="7" t="s">
        <v>151</v>
      </c>
    </row>
    <row r="158" ht="15.75" customHeight="1">
      <c r="A158" s="7" t="s">
        <v>129</v>
      </c>
      <c r="B158" s="7" t="s">
        <v>151</v>
      </c>
    </row>
    <row r="159" ht="15.75" customHeight="1">
      <c r="A159" s="7" t="s">
        <v>79</v>
      </c>
      <c r="B159" s="7" t="s">
        <v>151</v>
      </c>
    </row>
    <row r="160" ht="15.75" customHeight="1">
      <c r="A160" s="7" t="s">
        <v>87</v>
      </c>
      <c r="B160" s="7" t="s">
        <v>151</v>
      </c>
    </row>
    <row r="161" ht="15.75" customHeight="1">
      <c r="A161" s="7" t="s">
        <v>81</v>
      </c>
      <c r="B161" s="7" t="s">
        <v>151</v>
      </c>
    </row>
    <row r="162" ht="15.75" customHeight="1">
      <c r="A162" s="6" t="s">
        <v>910</v>
      </c>
      <c r="B162" s="6" t="s">
        <v>151</v>
      </c>
    </row>
    <row r="163" ht="15.75" customHeight="1">
      <c r="A163" s="6" t="s">
        <v>1126</v>
      </c>
      <c r="B163" s="6" t="s">
        <v>151</v>
      </c>
    </row>
    <row r="164" ht="15.75" customHeight="1">
      <c r="A164" s="7" t="s">
        <v>70</v>
      </c>
      <c r="B164" s="7" t="s">
        <v>152</v>
      </c>
    </row>
    <row r="165" ht="15.75" customHeight="1">
      <c r="A165" s="7" t="s">
        <v>153</v>
      </c>
      <c r="B165" s="7" t="s">
        <v>152</v>
      </c>
    </row>
    <row r="166" ht="15.75" customHeight="1">
      <c r="A166" s="7" t="s">
        <v>141</v>
      </c>
      <c r="B166" s="7" t="s">
        <v>152</v>
      </c>
    </row>
    <row r="167" ht="15.75" customHeight="1">
      <c r="A167" s="7" t="s">
        <v>86</v>
      </c>
      <c r="B167" s="7" t="s">
        <v>152</v>
      </c>
    </row>
    <row r="168" ht="15.75" customHeight="1">
      <c r="A168" s="7" t="s">
        <v>131</v>
      </c>
      <c r="B168" s="7" t="s">
        <v>152</v>
      </c>
    </row>
    <row r="169" ht="15.75" customHeight="1">
      <c r="A169" s="7" t="s">
        <v>154</v>
      </c>
      <c r="B169" s="7" t="s">
        <v>152</v>
      </c>
    </row>
    <row r="170" ht="15.75" customHeight="1">
      <c r="A170" s="6" t="s">
        <v>910</v>
      </c>
      <c r="B170" s="6" t="s">
        <v>152</v>
      </c>
    </row>
    <row r="171" ht="15.75" customHeight="1">
      <c r="A171" s="7" t="s">
        <v>148</v>
      </c>
      <c r="B171" s="7" t="s">
        <v>155</v>
      </c>
    </row>
    <row r="172" ht="15.75" customHeight="1">
      <c r="A172" s="7" t="s">
        <v>156</v>
      </c>
      <c r="B172" s="7" t="s">
        <v>155</v>
      </c>
    </row>
    <row r="173" ht="15.75" customHeight="1">
      <c r="A173" s="7" t="s">
        <v>120</v>
      </c>
      <c r="B173" s="7" t="s">
        <v>155</v>
      </c>
    </row>
    <row r="174" ht="15.75" customHeight="1">
      <c r="A174" s="7" t="s">
        <v>157</v>
      </c>
      <c r="B174" s="7" t="s">
        <v>155</v>
      </c>
    </row>
    <row r="175" ht="15.75" customHeight="1">
      <c r="A175" s="7" t="s">
        <v>126</v>
      </c>
      <c r="B175" s="7" t="s">
        <v>155</v>
      </c>
    </row>
    <row r="176" ht="15.75" customHeight="1">
      <c r="A176" s="7" t="s">
        <v>158</v>
      </c>
      <c r="B176" s="7" t="s">
        <v>155</v>
      </c>
    </row>
    <row r="177" ht="15.75" customHeight="1">
      <c r="A177" s="6" t="s">
        <v>910</v>
      </c>
      <c r="B177" s="6" t="s">
        <v>155</v>
      </c>
    </row>
    <row r="178" ht="15.75" customHeight="1">
      <c r="A178" s="7" t="s">
        <v>159</v>
      </c>
      <c r="B178" s="7" t="s">
        <v>160</v>
      </c>
    </row>
    <row r="179" ht="15.75" customHeight="1">
      <c r="A179" s="7" t="s">
        <v>161</v>
      </c>
      <c r="B179" s="7" t="s">
        <v>160</v>
      </c>
    </row>
    <row r="180" ht="15.75" customHeight="1">
      <c r="A180" s="7" t="s">
        <v>141</v>
      </c>
      <c r="B180" s="7" t="s">
        <v>160</v>
      </c>
    </row>
    <row r="181" ht="15.75" customHeight="1">
      <c r="A181" s="7" t="s">
        <v>110</v>
      </c>
      <c r="B181" s="7" t="s">
        <v>160</v>
      </c>
    </row>
    <row r="182" ht="15.75" customHeight="1">
      <c r="A182" s="7" t="s">
        <v>162</v>
      </c>
      <c r="B182" s="7" t="s">
        <v>160</v>
      </c>
    </row>
    <row r="183" ht="15.75" customHeight="1">
      <c r="A183" s="7" t="s">
        <v>111</v>
      </c>
      <c r="B183" s="7" t="s">
        <v>160</v>
      </c>
    </row>
    <row r="184" ht="15.75" customHeight="1">
      <c r="A184" s="6" t="s">
        <v>910</v>
      </c>
      <c r="B184" s="6" t="s">
        <v>160</v>
      </c>
    </row>
    <row r="185" ht="15.75" customHeight="1">
      <c r="A185" s="7" t="s">
        <v>68</v>
      </c>
      <c r="B185" s="7" t="s">
        <v>163</v>
      </c>
    </row>
    <row r="186" ht="15.75" customHeight="1">
      <c r="A186" s="7" t="s">
        <v>70</v>
      </c>
      <c r="B186" s="7" t="s">
        <v>163</v>
      </c>
    </row>
    <row r="187" ht="15.75" customHeight="1">
      <c r="A187" s="7" t="s">
        <v>105</v>
      </c>
      <c r="B187" s="7" t="s">
        <v>163</v>
      </c>
    </row>
    <row r="188" ht="15.75" customHeight="1">
      <c r="A188" s="7" t="s">
        <v>164</v>
      </c>
      <c r="B188" s="7" t="s">
        <v>163</v>
      </c>
    </row>
    <row r="189" ht="15.75" customHeight="1">
      <c r="A189" s="7" t="s">
        <v>145</v>
      </c>
      <c r="B189" s="7" t="s">
        <v>163</v>
      </c>
    </row>
    <row r="190" ht="15.75" customHeight="1">
      <c r="A190" s="6" t="s">
        <v>910</v>
      </c>
      <c r="B190" s="6" t="s">
        <v>163</v>
      </c>
    </row>
    <row r="191" ht="15.75" customHeight="1">
      <c r="A191" s="7" t="s">
        <v>75</v>
      </c>
      <c r="B191" s="7" t="s">
        <v>165</v>
      </c>
    </row>
    <row r="192" ht="15.75" customHeight="1">
      <c r="A192" s="7" t="s">
        <v>85</v>
      </c>
      <c r="B192" s="7" t="s">
        <v>165</v>
      </c>
    </row>
    <row r="193" ht="15.75" customHeight="1">
      <c r="A193" s="7" t="s">
        <v>78</v>
      </c>
      <c r="B193" s="7" t="s">
        <v>165</v>
      </c>
    </row>
    <row r="194" ht="15.75" customHeight="1">
      <c r="A194" s="7" t="s">
        <v>166</v>
      </c>
      <c r="B194" s="7" t="s">
        <v>165</v>
      </c>
    </row>
    <row r="195" ht="15.75" customHeight="1">
      <c r="A195" s="7" t="s">
        <v>124</v>
      </c>
      <c r="B195" s="7" t="s">
        <v>165</v>
      </c>
    </row>
    <row r="196" ht="15.75" customHeight="1">
      <c r="A196" s="7" t="s">
        <v>139</v>
      </c>
      <c r="B196" s="7" t="s">
        <v>165</v>
      </c>
    </row>
    <row r="197" ht="15.75" customHeight="1">
      <c r="A197" s="6" t="s">
        <v>910</v>
      </c>
      <c r="B197" s="6" t="s">
        <v>165</v>
      </c>
    </row>
    <row r="198" ht="15.75" customHeight="1">
      <c r="A198" s="7" t="s">
        <v>70</v>
      </c>
      <c r="B198" s="7" t="s">
        <v>167</v>
      </c>
    </row>
    <row r="199" ht="15.75" customHeight="1">
      <c r="A199" s="7" t="s">
        <v>84</v>
      </c>
      <c r="B199" s="7" t="s">
        <v>167</v>
      </c>
    </row>
    <row r="200" ht="15.75" customHeight="1">
      <c r="A200" s="7" t="s">
        <v>156</v>
      </c>
      <c r="B200" s="7" t="s">
        <v>167</v>
      </c>
    </row>
    <row r="201" ht="15.75" customHeight="1">
      <c r="A201" s="7" t="s">
        <v>86</v>
      </c>
      <c r="B201" s="7" t="s">
        <v>167</v>
      </c>
    </row>
    <row r="202" ht="15.75" customHeight="1">
      <c r="A202" s="7" t="s">
        <v>142</v>
      </c>
      <c r="B202" s="7" t="s">
        <v>167</v>
      </c>
    </row>
    <row r="203" ht="15.75" customHeight="1">
      <c r="A203" s="7" t="s">
        <v>154</v>
      </c>
      <c r="B203" s="7" t="s">
        <v>167</v>
      </c>
    </row>
    <row r="204" ht="15.75" customHeight="1">
      <c r="A204" s="6" t="s">
        <v>910</v>
      </c>
      <c r="B204" s="6" t="s">
        <v>167</v>
      </c>
    </row>
    <row r="205" ht="15.75" customHeight="1">
      <c r="A205" s="7" t="s">
        <v>68</v>
      </c>
      <c r="B205" s="7" t="s">
        <v>168</v>
      </c>
    </row>
    <row r="206" ht="15.75" customHeight="1">
      <c r="A206" s="7" t="s">
        <v>169</v>
      </c>
      <c r="B206" s="7" t="s">
        <v>168</v>
      </c>
    </row>
    <row r="207" ht="15.75" customHeight="1">
      <c r="A207" s="7" t="s">
        <v>170</v>
      </c>
      <c r="B207" s="7" t="s">
        <v>168</v>
      </c>
    </row>
    <row r="208" ht="15.75" customHeight="1">
      <c r="A208" s="7" t="s">
        <v>149</v>
      </c>
      <c r="B208" s="7" t="s">
        <v>168</v>
      </c>
    </row>
    <row r="209" ht="15.75" customHeight="1">
      <c r="A209" s="7" t="s">
        <v>124</v>
      </c>
      <c r="B209" s="7" t="s">
        <v>168</v>
      </c>
    </row>
    <row r="210" ht="15.75" customHeight="1">
      <c r="A210" s="7" t="s">
        <v>171</v>
      </c>
      <c r="B210" s="7" t="s">
        <v>168</v>
      </c>
    </row>
    <row r="211" ht="15.75" customHeight="1">
      <c r="A211" s="6" t="s">
        <v>910</v>
      </c>
      <c r="B211" s="6" t="s">
        <v>168</v>
      </c>
    </row>
    <row r="212" ht="15.75" customHeight="1">
      <c r="A212" s="7" t="s">
        <v>143</v>
      </c>
      <c r="B212" s="7" t="s">
        <v>172</v>
      </c>
    </row>
    <row r="213" ht="15.75" customHeight="1">
      <c r="A213" s="7" t="s">
        <v>95</v>
      </c>
      <c r="B213" s="7" t="s">
        <v>172</v>
      </c>
    </row>
    <row r="214" ht="15.75" customHeight="1">
      <c r="A214" s="7" t="s">
        <v>129</v>
      </c>
      <c r="B214" s="7" t="s">
        <v>172</v>
      </c>
    </row>
    <row r="215" ht="15.75" customHeight="1">
      <c r="A215" s="7" t="s">
        <v>105</v>
      </c>
      <c r="B215" s="7" t="s">
        <v>172</v>
      </c>
    </row>
    <row r="216" ht="15.75" customHeight="1">
      <c r="A216" s="7" t="s">
        <v>150</v>
      </c>
      <c r="B216" s="7" t="s">
        <v>172</v>
      </c>
    </row>
    <row r="217" ht="15.75" customHeight="1">
      <c r="A217" s="7" t="s">
        <v>171</v>
      </c>
      <c r="B217" s="7" t="s">
        <v>172</v>
      </c>
    </row>
    <row r="218" ht="15.75" customHeight="1">
      <c r="A218" s="7" t="s">
        <v>173</v>
      </c>
      <c r="B218" s="7" t="s">
        <v>174</v>
      </c>
    </row>
    <row r="219" ht="15.75" customHeight="1">
      <c r="A219" s="7" t="s">
        <v>132</v>
      </c>
      <c r="B219" s="7" t="s">
        <v>174</v>
      </c>
    </row>
    <row r="220" ht="15.75" customHeight="1">
      <c r="A220" s="7" t="s">
        <v>175</v>
      </c>
      <c r="B220" s="7" t="s">
        <v>174</v>
      </c>
    </row>
    <row r="221" ht="15.75" customHeight="1">
      <c r="A221" s="7" t="s">
        <v>176</v>
      </c>
      <c r="B221" s="7" t="s">
        <v>174</v>
      </c>
    </row>
    <row r="222" ht="15.75" customHeight="1">
      <c r="A222" s="7" t="s">
        <v>150</v>
      </c>
      <c r="B222" s="7" t="s">
        <v>174</v>
      </c>
    </row>
    <row r="223" ht="15.75" customHeight="1">
      <c r="A223" s="7" t="s">
        <v>127</v>
      </c>
      <c r="B223" s="7" t="s">
        <v>174</v>
      </c>
    </row>
    <row r="224" ht="15.75" customHeight="1">
      <c r="A224" s="6" t="s">
        <v>910</v>
      </c>
      <c r="B224" s="6" t="s">
        <v>174</v>
      </c>
    </row>
    <row r="225" ht="15.75" customHeight="1">
      <c r="A225" s="7" t="s">
        <v>146</v>
      </c>
      <c r="B225" s="7" t="s">
        <v>177</v>
      </c>
    </row>
    <row r="226" ht="15.75" customHeight="1">
      <c r="A226" s="7" t="s">
        <v>169</v>
      </c>
      <c r="B226" s="7" t="s">
        <v>177</v>
      </c>
    </row>
    <row r="227" ht="15.75" customHeight="1">
      <c r="A227" s="7" t="s">
        <v>178</v>
      </c>
      <c r="B227" s="7" t="s">
        <v>177</v>
      </c>
    </row>
    <row r="228" ht="15.75" customHeight="1">
      <c r="A228" s="7" t="s">
        <v>105</v>
      </c>
      <c r="B228" s="7" t="s">
        <v>177</v>
      </c>
    </row>
    <row r="229" ht="15.75" customHeight="1">
      <c r="A229" s="7" t="s">
        <v>164</v>
      </c>
      <c r="B229" s="7" t="s">
        <v>177</v>
      </c>
    </row>
    <row r="230" ht="15.75" customHeight="1">
      <c r="A230" s="7" t="s">
        <v>107</v>
      </c>
      <c r="B230" s="7" t="s">
        <v>177</v>
      </c>
    </row>
    <row r="231" ht="15.75" customHeight="1">
      <c r="A231" s="6" t="s">
        <v>910</v>
      </c>
      <c r="B231" s="6" t="s">
        <v>177</v>
      </c>
    </row>
    <row r="232" ht="15.75" customHeight="1">
      <c r="A232" s="7" t="s">
        <v>70</v>
      </c>
      <c r="B232" s="7" t="s">
        <v>179</v>
      </c>
    </row>
    <row r="233" ht="15.75" customHeight="1">
      <c r="A233" s="7" t="s">
        <v>84</v>
      </c>
      <c r="B233" s="7" t="s">
        <v>179</v>
      </c>
    </row>
    <row r="234" ht="15.75" customHeight="1">
      <c r="A234" s="7" t="s">
        <v>85</v>
      </c>
      <c r="B234" s="7" t="s">
        <v>179</v>
      </c>
    </row>
    <row r="235" ht="15.75" customHeight="1">
      <c r="A235" s="7" t="s">
        <v>116</v>
      </c>
      <c r="B235" s="7" t="s">
        <v>179</v>
      </c>
    </row>
    <row r="236" ht="15.75" customHeight="1">
      <c r="A236" s="7" t="s">
        <v>113</v>
      </c>
      <c r="B236" s="7" t="s">
        <v>179</v>
      </c>
    </row>
    <row r="237" ht="15.75" customHeight="1">
      <c r="A237" s="7" t="s">
        <v>154</v>
      </c>
      <c r="B237" s="7" t="s">
        <v>179</v>
      </c>
    </row>
    <row r="238" ht="15.75" customHeight="1">
      <c r="A238" s="6" t="s">
        <v>910</v>
      </c>
      <c r="B238" s="6" t="s">
        <v>179</v>
      </c>
    </row>
    <row r="239" ht="15.75" customHeight="1">
      <c r="A239" s="6" t="s">
        <v>1126</v>
      </c>
      <c r="B239" s="6" t="s">
        <v>179</v>
      </c>
    </row>
    <row r="240" ht="15.75" customHeight="1">
      <c r="A240" s="7" t="s">
        <v>159</v>
      </c>
      <c r="B240" s="7" t="s">
        <v>180</v>
      </c>
    </row>
    <row r="241" ht="15.75" customHeight="1">
      <c r="A241" s="7" t="s">
        <v>161</v>
      </c>
      <c r="B241" s="7" t="s">
        <v>180</v>
      </c>
    </row>
    <row r="242" ht="15.75" customHeight="1">
      <c r="A242" s="7" t="s">
        <v>141</v>
      </c>
      <c r="B242" s="7" t="s">
        <v>180</v>
      </c>
    </row>
    <row r="243" ht="15.75" customHeight="1">
      <c r="A243" s="7" t="s">
        <v>176</v>
      </c>
      <c r="B243" s="7" t="s">
        <v>180</v>
      </c>
    </row>
    <row r="244" ht="15.75" customHeight="1">
      <c r="A244" s="7" t="s">
        <v>181</v>
      </c>
      <c r="B244" s="7" t="s">
        <v>180</v>
      </c>
    </row>
    <row r="245" ht="15.75" customHeight="1">
      <c r="A245" s="7" t="s">
        <v>107</v>
      </c>
      <c r="B245" s="7" t="s">
        <v>180</v>
      </c>
    </row>
    <row r="246" ht="15.75" customHeight="1">
      <c r="A246" s="6" t="s">
        <v>910</v>
      </c>
      <c r="B246" s="6" t="s">
        <v>180</v>
      </c>
    </row>
    <row r="247" ht="15.75" customHeight="1">
      <c r="A247" s="7" t="s">
        <v>114</v>
      </c>
      <c r="B247" s="7" t="s">
        <v>182</v>
      </c>
    </row>
    <row r="248" ht="15.75" customHeight="1">
      <c r="A248" s="7" t="s">
        <v>169</v>
      </c>
      <c r="B248" s="7" t="s">
        <v>182</v>
      </c>
    </row>
    <row r="249" ht="15.75" customHeight="1">
      <c r="A249" s="7" t="s">
        <v>183</v>
      </c>
      <c r="B249" s="7" t="s">
        <v>182</v>
      </c>
    </row>
    <row r="250" ht="15.75" customHeight="1">
      <c r="A250" s="7" t="s">
        <v>184</v>
      </c>
      <c r="B250" s="7" t="s">
        <v>182</v>
      </c>
    </row>
    <row r="251" ht="15.75" customHeight="1">
      <c r="A251" s="7" t="s">
        <v>80</v>
      </c>
      <c r="B251" s="7" t="s">
        <v>182</v>
      </c>
    </row>
    <row r="252" ht="15.75" customHeight="1">
      <c r="A252" s="7" t="s">
        <v>185</v>
      </c>
      <c r="B252" s="7" t="s">
        <v>182</v>
      </c>
    </row>
    <row r="253" ht="15.75" customHeight="1">
      <c r="A253" s="6" t="s">
        <v>910</v>
      </c>
      <c r="B253" s="6" t="s">
        <v>182</v>
      </c>
    </row>
    <row r="254" ht="15.75" customHeight="1">
      <c r="A254" s="6" t="s">
        <v>1126</v>
      </c>
      <c r="B254" s="6" t="s">
        <v>182</v>
      </c>
    </row>
    <row r="255" ht="15.75" customHeight="1">
      <c r="A255" s="7" t="s">
        <v>100</v>
      </c>
      <c r="B255" s="7" t="s">
        <v>186</v>
      </c>
    </row>
    <row r="256" ht="15.75" customHeight="1">
      <c r="A256" s="7" t="s">
        <v>137</v>
      </c>
      <c r="B256" s="7" t="s">
        <v>186</v>
      </c>
    </row>
    <row r="257" ht="15.75" customHeight="1">
      <c r="A257" s="7" t="s">
        <v>104</v>
      </c>
      <c r="B257" s="7" t="s">
        <v>186</v>
      </c>
    </row>
    <row r="258" ht="15.75" customHeight="1">
      <c r="A258" s="7" t="s">
        <v>176</v>
      </c>
      <c r="B258" s="7" t="s">
        <v>186</v>
      </c>
    </row>
    <row r="259" ht="15.75" customHeight="1">
      <c r="A259" s="7" t="s">
        <v>187</v>
      </c>
      <c r="B259" s="7" t="s">
        <v>186</v>
      </c>
    </row>
    <row r="260" ht="15.75" customHeight="1">
      <c r="A260" s="7" t="s">
        <v>171</v>
      </c>
      <c r="B260" s="7" t="s">
        <v>186</v>
      </c>
    </row>
    <row r="261" ht="15.75" customHeight="1">
      <c r="A261" s="6" t="s">
        <v>910</v>
      </c>
      <c r="B261" s="6" t="s">
        <v>186</v>
      </c>
    </row>
    <row r="262" ht="15.75" customHeight="1">
      <c r="A262" s="7" t="s">
        <v>159</v>
      </c>
      <c r="B262" s="7" t="s">
        <v>188</v>
      </c>
    </row>
    <row r="263" ht="15.75" customHeight="1">
      <c r="A263" s="7" t="s">
        <v>161</v>
      </c>
      <c r="B263" s="7" t="s">
        <v>188</v>
      </c>
    </row>
    <row r="264" ht="15.75" customHeight="1">
      <c r="A264" s="7" t="s">
        <v>178</v>
      </c>
      <c r="B264" s="7" t="s">
        <v>188</v>
      </c>
    </row>
    <row r="265" ht="15.75" customHeight="1">
      <c r="A265" s="7" t="s">
        <v>189</v>
      </c>
      <c r="B265" s="7" t="s">
        <v>188</v>
      </c>
    </row>
    <row r="266" ht="15.75" customHeight="1">
      <c r="A266" s="7" t="s">
        <v>117</v>
      </c>
      <c r="B266" s="7" t="s">
        <v>188</v>
      </c>
    </row>
    <row r="267" ht="15.75" customHeight="1">
      <c r="A267" s="7" t="s">
        <v>67</v>
      </c>
      <c r="B267" s="7" t="s">
        <v>188</v>
      </c>
    </row>
    <row r="268" ht="15.75" customHeight="1">
      <c r="A268" s="6" t="s">
        <v>910</v>
      </c>
      <c r="B268" s="6" t="s">
        <v>188</v>
      </c>
    </row>
    <row r="269" ht="15.75" customHeight="1">
      <c r="A269" s="7" t="s">
        <v>190</v>
      </c>
      <c r="B269" s="7" t="s">
        <v>191</v>
      </c>
    </row>
    <row r="270" ht="15.75" customHeight="1">
      <c r="A270" s="7" t="s">
        <v>146</v>
      </c>
      <c r="B270" s="7" t="s">
        <v>191</v>
      </c>
    </row>
    <row r="271" ht="15.75" customHeight="1">
      <c r="A271" s="7" t="s">
        <v>192</v>
      </c>
      <c r="B271" s="7" t="s">
        <v>191</v>
      </c>
    </row>
    <row r="272" ht="15.75" customHeight="1">
      <c r="A272" s="7" t="s">
        <v>116</v>
      </c>
      <c r="B272" s="7" t="s">
        <v>191</v>
      </c>
    </row>
    <row r="273" ht="15.75" customHeight="1">
      <c r="A273" s="7" t="s">
        <v>66</v>
      </c>
      <c r="B273" s="7" t="s">
        <v>191</v>
      </c>
    </row>
    <row r="274" ht="15.75" customHeight="1">
      <c r="A274" s="7" t="s">
        <v>154</v>
      </c>
      <c r="B274" s="7" t="s">
        <v>191</v>
      </c>
    </row>
    <row r="275" ht="15.75" customHeight="1">
      <c r="A275" s="7" t="s">
        <v>82</v>
      </c>
      <c r="B275" s="7" t="s">
        <v>193</v>
      </c>
    </row>
    <row r="276" ht="15.75" customHeight="1">
      <c r="A276" s="7" t="s">
        <v>194</v>
      </c>
      <c r="B276" s="7" t="s">
        <v>193</v>
      </c>
    </row>
    <row r="277" ht="15.75" customHeight="1">
      <c r="A277" s="7" t="s">
        <v>141</v>
      </c>
      <c r="B277" s="7" t="s">
        <v>193</v>
      </c>
    </row>
    <row r="278" ht="15.75" customHeight="1">
      <c r="A278" s="7" t="s">
        <v>195</v>
      </c>
      <c r="B278" s="7" t="s">
        <v>193</v>
      </c>
    </row>
    <row r="279" ht="15.75" customHeight="1">
      <c r="A279" s="7" t="s">
        <v>196</v>
      </c>
      <c r="B279" s="7" t="s">
        <v>193</v>
      </c>
    </row>
    <row r="280" ht="15.75" customHeight="1">
      <c r="A280" s="7" t="s">
        <v>136</v>
      </c>
      <c r="B280" s="7" t="s">
        <v>193</v>
      </c>
    </row>
    <row r="281" ht="15.75" customHeight="1">
      <c r="A281" s="6" t="s">
        <v>910</v>
      </c>
      <c r="B281" s="6" t="s">
        <v>193</v>
      </c>
    </row>
    <row r="282" ht="15.75" customHeight="1">
      <c r="A282" s="7" t="s">
        <v>190</v>
      </c>
      <c r="B282" s="7" t="s">
        <v>197</v>
      </c>
    </row>
    <row r="283" ht="15.75" customHeight="1">
      <c r="A283" s="7" t="s">
        <v>198</v>
      </c>
      <c r="B283" s="7" t="s">
        <v>197</v>
      </c>
    </row>
    <row r="284" ht="15.75" customHeight="1">
      <c r="A284" s="7" t="s">
        <v>122</v>
      </c>
      <c r="B284" s="7" t="s">
        <v>197</v>
      </c>
    </row>
    <row r="285" ht="15.75" customHeight="1">
      <c r="A285" s="7" t="s">
        <v>184</v>
      </c>
      <c r="B285" s="7" t="s">
        <v>197</v>
      </c>
    </row>
    <row r="286" ht="15.75" customHeight="1">
      <c r="A286" s="7" t="s">
        <v>66</v>
      </c>
      <c r="B286" s="7" t="s">
        <v>197</v>
      </c>
    </row>
    <row r="287" ht="15.75" customHeight="1">
      <c r="A287" s="7" t="s">
        <v>199</v>
      </c>
      <c r="B287" s="7" t="s">
        <v>197</v>
      </c>
    </row>
    <row r="288" ht="15.75" customHeight="1">
      <c r="A288" s="7" t="s">
        <v>82</v>
      </c>
      <c r="B288" s="7" t="s">
        <v>200</v>
      </c>
    </row>
    <row r="289" ht="15.75" customHeight="1">
      <c r="A289" s="7" t="s">
        <v>114</v>
      </c>
      <c r="B289" s="7" t="s">
        <v>200</v>
      </c>
    </row>
    <row r="290" ht="15.75" customHeight="1">
      <c r="A290" s="7" t="s">
        <v>120</v>
      </c>
      <c r="B290" s="7" t="s">
        <v>200</v>
      </c>
    </row>
    <row r="291" ht="15.75" customHeight="1">
      <c r="A291" s="7" t="s">
        <v>116</v>
      </c>
      <c r="B291" s="7" t="s">
        <v>200</v>
      </c>
    </row>
    <row r="292" ht="15.75" customHeight="1">
      <c r="A292" s="7" t="s">
        <v>66</v>
      </c>
      <c r="B292" s="7" t="s">
        <v>200</v>
      </c>
    </row>
    <row r="293" ht="15.75" customHeight="1">
      <c r="A293" s="7" t="s">
        <v>118</v>
      </c>
      <c r="B293" s="7" t="s">
        <v>200</v>
      </c>
    </row>
    <row r="294" ht="15.75" customHeight="1">
      <c r="A294" s="6" t="s">
        <v>910</v>
      </c>
      <c r="B294" s="6" t="s">
        <v>200</v>
      </c>
    </row>
    <row r="295" ht="15.75" customHeight="1">
      <c r="A295" s="6" t="s">
        <v>1126</v>
      </c>
      <c r="B295" s="6" t="s">
        <v>200</v>
      </c>
    </row>
    <row r="296" ht="15.75" customHeight="1">
      <c r="A296" s="7" t="s">
        <v>100</v>
      </c>
      <c r="B296" s="7" t="s">
        <v>201</v>
      </c>
    </row>
    <row r="297" ht="15.75" customHeight="1">
      <c r="A297" s="7" t="s">
        <v>137</v>
      </c>
      <c r="B297" s="7" t="s">
        <v>201</v>
      </c>
    </row>
    <row r="298" ht="15.75" customHeight="1">
      <c r="A298" s="7" t="s">
        <v>141</v>
      </c>
      <c r="B298" s="7" t="s">
        <v>201</v>
      </c>
    </row>
    <row r="299" ht="15.75" customHeight="1">
      <c r="A299" s="7" t="s">
        <v>176</v>
      </c>
      <c r="B299" s="7" t="s">
        <v>201</v>
      </c>
    </row>
    <row r="300" ht="15.75" customHeight="1">
      <c r="A300" s="7" t="s">
        <v>164</v>
      </c>
      <c r="B300" s="7" t="s">
        <v>201</v>
      </c>
    </row>
    <row r="301" ht="15.75" customHeight="1">
      <c r="A301" s="7" t="s">
        <v>107</v>
      </c>
      <c r="B301" s="7" t="s">
        <v>201</v>
      </c>
    </row>
    <row r="302" ht="15.75" customHeight="1">
      <c r="A302" s="6" t="s">
        <v>910</v>
      </c>
      <c r="B302" s="6" t="s">
        <v>201</v>
      </c>
    </row>
    <row r="303" ht="15.75" customHeight="1">
      <c r="A303" s="7" t="s">
        <v>68</v>
      </c>
      <c r="B303" s="7" t="s">
        <v>202</v>
      </c>
    </row>
    <row r="304" ht="15.75" customHeight="1">
      <c r="A304" s="7" t="s">
        <v>169</v>
      </c>
      <c r="B304" s="7" t="s">
        <v>202</v>
      </c>
    </row>
    <row r="305" ht="15.75" customHeight="1">
      <c r="A305" s="7" t="s">
        <v>141</v>
      </c>
      <c r="B305" s="7" t="s">
        <v>202</v>
      </c>
    </row>
    <row r="306" ht="15.75" customHeight="1">
      <c r="A306" s="7" t="s">
        <v>149</v>
      </c>
      <c r="B306" s="7" t="s">
        <v>202</v>
      </c>
    </row>
    <row r="307" ht="15.75" customHeight="1">
      <c r="A307" s="7" t="s">
        <v>162</v>
      </c>
      <c r="B307" s="7" t="s">
        <v>202</v>
      </c>
    </row>
    <row r="308" ht="15.75" customHeight="1">
      <c r="A308" s="7" t="s">
        <v>171</v>
      </c>
      <c r="B308" s="7" t="s">
        <v>202</v>
      </c>
    </row>
    <row r="309" ht="15.75" customHeight="1">
      <c r="A309" s="6" t="s">
        <v>910</v>
      </c>
      <c r="B309" s="6" t="s">
        <v>202</v>
      </c>
    </row>
    <row r="310" ht="15.75" customHeight="1">
      <c r="A310" s="7" t="s">
        <v>173</v>
      </c>
      <c r="B310" s="7" t="s">
        <v>203</v>
      </c>
    </row>
    <row r="311" ht="15.75" customHeight="1">
      <c r="A311" s="7" t="s">
        <v>132</v>
      </c>
      <c r="B311" s="7" t="s">
        <v>203</v>
      </c>
    </row>
    <row r="312" ht="15.75" customHeight="1">
      <c r="A312" s="7" t="s">
        <v>178</v>
      </c>
      <c r="B312" s="7" t="s">
        <v>203</v>
      </c>
    </row>
    <row r="313" ht="15.75" customHeight="1">
      <c r="A313" s="7" t="s">
        <v>176</v>
      </c>
      <c r="B313" s="7" t="s">
        <v>203</v>
      </c>
    </row>
    <row r="314" ht="15.75" customHeight="1">
      <c r="A314" s="7" t="s">
        <v>162</v>
      </c>
      <c r="B314" s="7" t="s">
        <v>203</v>
      </c>
    </row>
    <row r="315" ht="15.75" customHeight="1">
      <c r="A315" s="7" t="s">
        <v>145</v>
      </c>
      <c r="B315" s="7" t="s">
        <v>203</v>
      </c>
    </row>
    <row r="316" ht="15.75" customHeight="1">
      <c r="A316" s="6" t="s">
        <v>910</v>
      </c>
      <c r="B316" s="6" t="s">
        <v>203</v>
      </c>
    </row>
    <row r="317" ht="15.75" customHeight="1">
      <c r="A317" s="7" t="s">
        <v>204</v>
      </c>
      <c r="B317" s="7" t="s">
        <v>205</v>
      </c>
    </row>
    <row r="318" ht="15.75" customHeight="1">
      <c r="A318" s="7" t="s">
        <v>64</v>
      </c>
      <c r="B318" s="7" t="s">
        <v>205</v>
      </c>
    </row>
    <row r="319" ht="15.75" customHeight="1">
      <c r="A319" s="7" t="s">
        <v>156</v>
      </c>
      <c r="B319" s="7" t="s">
        <v>205</v>
      </c>
    </row>
    <row r="320" ht="15.75" customHeight="1">
      <c r="A320" s="7" t="s">
        <v>189</v>
      </c>
      <c r="B320" s="7" t="s">
        <v>205</v>
      </c>
    </row>
    <row r="321" ht="15.75" customHeight="1">
      <c r="A321" s="7" t="s">
        <v>113</v>
      </c>
      <c r="B321" s="7" t="s">
        <v>205</v>
      </c>
    </row>
    <row r="322" ht="15.75" customHeight="1">
      <c r="A322" s="7" t="s">
        <v>154</v>
      </c>
      <c r="B322" s="7" t="s">
        <v>205</v>
      </c>
    </row>
    <row r="323" ht="15.75" customHeight="1">
      <c r="A323" s="6" t="s">
        <v>910</v>
      </c>
      <c r="B323" s="6" t="s">
        <v>205</v>
      </c>
    </row>
    <row r="324" ht="15.75" customHeight="1">
      <c r="A324" s="6" t="s">
        <v>1126</v>
      </c>
      <c r="B324" s="6" t="s">
        <v>205</v>
      </c>
    </row>
    <row r="325" ht="15.75" customHeight="1">
      <c r="A325" s="7" t="s">
        <v>114</v>
      </c>
      <c r="B325" s="7" t="s">
        <v>206</v>
      </c>
    </row>
    <row r="326" ht="15.75" customHeight="1">
      <c r="A326" s="7" t="s">
        <v>169</v>
      </c>
      <c r="B326" s="7" t="s">
        <v>206</v>
      </c>
    </row>
    <row r="327" ht="15.75" customHeight="1">
      <c r="A327" s="7" t="s">
        <v>183</v>
      </c>
      <c r="B327" s="7" t="s">
        <v>206</v>
      </c>
    </row>
    <row r="328" ht="15.75" customHeight="1">
      <c r="A328" s="7" t="s">
        <v>207</v>
      </c>
      <c r="B328" s="7" t="s">
        <v>206</v>
      </c>
    </row>
    <row r="329" ht="15.75" customHeight="1">
      <c r="A329" s="7" t="s">
        <v>208</v>
      </c>
      <c r="B329" s="7" t="s">
        <v>206</v>
      </c>
    </row>
    <row r="330" ht="15.75" customHeight="1">
      <c r="A330" s="7" t="s">
        <v>118</v>
      </c>
      <c r="B330" s="7" t="s">
        <v>206</v>
      </c>
    </row>
    <row r="331" ht="15.75" customHeight="1">
      <c r="A331" s="6" t="s">
        <v>910</v>
      </c>
      <c r="B331" s="6" t="s">
        <v>206</v>
      </c>
    </row>
    <row r="332" ht="15.75" customHeight="1">
      <c r="A332" s="7" t="s">
        <v>159</v>
      </c>
      <c r="B332" s="7" t="s">
        <v>209</v>
      </c>
    </row>
    <row r="333" ht="15.75" customHeight="1">
      <c r="A333" s="7" t="s">
        <v>97</v>
      </c>
      <c r="B333" s="7" t="s">
        <v>209</v>
      </c>
    </row>
    <row r="334" ht="15.75" customHeight="1">
      <c r="A334" s="7" t="s">
        <v>104</v>
      </c>
      <c r="B334" s="7" t="s">
        <v>209</v>
      </c>
    </row>
    <row r="335" ht="15.75" customHeight="1">
      <c r="A335" s="7" t="s">
        <v>157</v>
      </c>
      <c r="B335" s="7" t="s">
        <v>209</v>
      </c>
    </row>
    <row r="336" ht="15.75" customHeight="1">
      <c r="A336" s="7" t="s">
        <v>164</v>
      </c>
      <c r="B336" s="7" t="s">
        <v>209</v>
      </c>
    </row>
    <row r="337" ht="15.75" customHeight="1">
      <c r="A337" s="7" t="s">
        <v>107</v>
      </c>
      <c r="B337" s="7" t="s">
        <v>209</v>
      </c>
    </row>
    <row r="338" ht="15.75" customHeight="1">
      <c r="A338" s="6" t="s">
        <v>910</v>
      </c>
      <c r="B338" s="6" t="s">
        <v>209</v>
      </c>
    </row>
    <row r="339" ht="15.75" customHeight="1">
      <c r="A339" s="7" t="s">
        <v>173</v>
      </c>
      <c r="B339" s="7" t="s">
        <v>210</v>
      </c>
    </row>
    <row r="340" ht="15.75" customHeight="1">
      <c r="A340" s="7" t="s">
        <v>85</v>
      </c>
      <c r="B340" s="7" t="s">
        <v>210</v>
      </c>
    </row>
    <row r="341" ht="15.75" customHeight="1">
      <c r="A341" s="7" t="s">
        <v>175</v>
      </c>
      <c r="B341" s="7" t="s">
        <v>210</v>
      </c>
    </row>
    <row r="342" ht="15.75" customHeight="1">
      <c r="A342" s="7" t="s">
        <v>211</v>
      </c>
      <c r="B342" s="7" t="s">
        <v>210</v>
      </c>
    </row>
    <row r="343" ht="15.75" customHeight="1">
      <c r="A343" s="7" t="s">
        <v>106</v>
      </c>
      <c r="B343" s="7" t="s">
        <v>210</v>
      </c>
    </row>
    <row r="344" ht="15.75" customHeight="1">
      <c r="A344" s="7" t="s">
        <v>212</v>
      </c>
      <c r="B344" s="7" t="s">
        <v>210</v>
      </c>
    </row>
    <row r="345" ht="15.75" customHeight="1">
      <c r="A345" s="6" t="s">
        <v>910</v>
      </c>
      <c r="B345" s="6" t="s">
        <v>210</v>
      </c>
    </row>
    <row r="346" ht="15.75" customHeight="1">
      <c r="A346" s="7" t="s">
        <v>75</v>
      </c>
      <c r="B346" s="7" t="s">
        <v>213</v>
      </c>
    </row>
    <row r="347" ht="15.75" customHeight="1">
      <c r="A347" s="7" t="s">
        <v>85</v>
      </c>
      <c r="B347" s="7" t="s">
        <v>213</v>
      </c>
    </row>
    <row r="348" ht="15.75" customHeight="1">
      <c r="A348" s="7" t="s">
        <v>98</v>
      </c>
      <c r="B348" s="7" t="s">
        <v>213</v>
      </c>
    </row>
    <row r="349" ht="15.75" customHeight="1">
      <c r="A349" s="7" t="s">
        <v>207</v>
      </c>
      <c r="B349" s="7" t="s">
        <v>213</v>
      </c>
    </row>
    <row r="350" ht="15.75" customHeight="1">
      <c r="A350" s="7" t="s">
        <v>131</v>
      </c>
      <c r="B350" s="7" t="s">
        <v>213</v>
      </c>
    </row>
    <row r="351" ht="15.75" customHeight="1">
      <c r="A351" s="7" t="s">
        <v>118</v>
      </c>
      <c r="B351" s="7" t="s">
        <v>213</v>
      </c>
    </row>
    <row r="352" ht="15.75" customHeight="1">
      <c r="A352" s="6" t="s">
        <v>910</v>
      </c>
      <c r="B352" s="6" t="s">
        <v>213</v>
      </c>
    </row>
    <row r="353" ht="15.75" customHeight="1">
      <c r="A353" s="7" t="s">
        <v>61</v>
      </c>
      <c r="B353" s="7" t="s">
        <v>214</v>
      </c>
    </row>
    <row r="354" ht="15.75" customHeight="1">
      <c r="A354" s="7" t="s">
        <v>215</v>
      </c>
      <c r="B354" s="7" t="s">
        <v>214</v>
      </c>
    </row>
    <row r="355" ht="15.75" customHeight="1">
      <c r="A355" s="7" t="s">
        <v>92</v>
      </c>
      <c r="B355" s="7" t="s">
        <v>214</v>
      </c>
    </row>
    <row r="356" ht="15.75" customHeight="1">
      <c r="A356" s="7" t="s">
        <v>207</v>
      </c>
      <c r="B356" s="7" t="s">
        <v>214</v>
      </c>
    </row>
    <row r="357" ht="15.75" customHeight="1">
      <c r="A357" s="7" t="s">
        <v>87</v>
      </c>
      <c r="B357" s="7" t="s">
        <v>214</v>
      </c>
    </row>
    <row r="358" ht="15.75" customHeight="1">
      <c r="A358" s="7" t="s">
        <v>154</v>
      </c>
      <c r="B358" s="7" t="s">
        <v>214</v>
      </c>
    </row>
    <row r="359" ht="15.75" customHeight="1">
      <c r="A359" s="6" t="s">
        <v>910</v>
      </c>
      <c r="B359" s="6" t="s">
        <v>214</v>
      </c>
    </row>
    <row r="360" ht="15.75" customHeight="1">
      <c r="A360" s="6" t="s">
        <v>1126</v>
      </c>
      <c r="B360" s="6" t="s">
        <v>214</v>
      </c>
    </row>
    <row r="361" ht="15.75" customHeight="1">
      <c r="A361" s="7" t="s">
        <v>70</v>
      </c>
      <c r="B361" s="7" t="s">
        <v>216</v>
      </c>
    </row>
    <row r="362" ht="15.75" customHeight="1">
      <c r="A362" s="7" t="s">
        <v>122</v>
      </c>
      <c r="B362" s="7" t="s">
        <v>216</v>
      </c>
    </row>
    <row r="363" ht="15.75" customHeight="1">
      <c r="A363" s="7" t="s">
        <v>78</v>
      </c>
      <c r="B363" s="7" t="s">
        <v>216</v>
      </c>
    </row>
    <row r="364" ht="15.75" customHeight="1">
      <c r="A364" s="7" t="s">
        <v>195</v>
      </c>
      <c r="B364" s="7" t="s">
        <v>216</v>
      </c>
    </row>
    <row r="365" ht="15.75" customHeight="1">
      <c r="A365" s="7" t="s">
        <v>196</v>
      </c>
      <c r="B365" s="7" t="s">
        <v>216</v>
      </c>
    </row>
    <row r="366" ht="15.75" customHeight="1">
      <c r="A366" s="7" t="s">
        <v>212</v>
      </c>
      <c r="B366" s="7" t="s">
        <v>216</v>
      </c>
    </row>
    <row r="367" ht="15.75" customHeight="1">
      <c r="A367" s="6" t="s">
        <v>910</v>
      </c>
      <c r="B367" s="6" t="s">
        <v>216</v>
      </c>
    </row>
    <row r="368" ht="15.75" customHeight="1">
      <c r="A368" s="7" t="s">
        <v>190</v>
      </c>
      <c r="B368" s="7" t="s">
        <v>217</v>
      </c>
    </row>
    <row r="369" ht="15.75" customHeight="1">
      <c r="A369" s="7" t="s">
        <v>92</v>
      </c>
      <c r="B369" s="7" t="s">
        <v>217</v>
      </c>
    </row>
    <row r="370" ht="15.75" customHeight="1">
      <c r="A370" s="7" t="s">
        <v>178</v>
      </c>
      <c r="B370" s="7" t="s">
        <v>217</v>
      </c>
    </row>
    <row r="371" ht="15.75" customHeight="1">
      <c r="A371" s="7" t="s">
        <v>211</v>
      </c>
      <c r="B371" s="7" t="s">
        <v>217</v>
      </c>
    </row>
    <row r="372" ht="15.75" customHeight="1">
      <c r="A372" s="7" t="s">
        <v>150</v>
      </c>
      <c r="B372" s="7" t="s">
        <v>217</v>
      </c>
    </row>
    <row r="373" ht="15.75" customHeight="1">
      <c r="A373" s="7" t="s">
        <v>139</v>
      </c>
      <c r="B373" s="7" t="s">
        <v>217</v>
      </c>
    </row>
    <row r="374" ht="15.75" customHeight="1">
      <c r="A374" s="6" t="s">
        <v>910</v>
      </c>
      <c r="B374" s="6" t="s">
        <v>217</v>
      </c>
    </row>
    <row r="375" ht="15.75" customHeight="1">
      <c r="A375" s="7" t="s">
        <v>204</v>
      </c>
      <c r="B375" s="7" t="s">
        <v>218</v>
      </c>
    </row>
    <row r="376" ht="15.75" customHeight="1">
      <c r="A376" s="7" t="s">
        <v>63</v>
      </c>
      <c r="B376" s="7" t="s">
        <v>218</v>
      </c>
    </row>
    <row r="377" ht="15.75" customHeight="1">
      <c r="A377" s="7" t="s">
        <v>192</v>
      </c>
      <c r="B377" s="7" t="s">
        <v>218</v>
      </c>
    </row>
    <row r="378" ht="15.75" customHeight="1">
      <c r="A378" s="7" t="s">
        <v>189</v>
      </c>
      <c r="B378" s="7" t="s">
        <v>218</v>
      </c>
    </row>
    <row r="379" ht="15.75" customHeight="1">
      <c r="A379" s="7" t="s">
        <v>142</v>
      </c>
      <c r="B379" s="7" t="s">
        <v>218</v>
      </c>
    </row>
    <row r="380" ht="15.75" customHeight="1">
      <c r="A380" s="7" t="s">
        <v>88</v>
      </c>
      <c r="B380" s="7" t="s">
        <v>218</v>
      </c>
    </row>
    <row r="381" ht="15.75" customHeight="1">
      <c r="A381" s="6" t="s">
        <v>910</v>
      </c>
      <c r="B381" s="6" t="s">
        <v>218</v>
      </c>
    </row>
    <row r="382" ht="15.75" customHeight="1">
      <c r="A382" s="7" t="s">
        <v>68</v>
      </c>
      <c r="B382" s="7" t="s">
        <v>219</v>
      </c>
    </row>
    <row r="383" ht="15.75" customHeight="1">
      <c r="A383" s="7" t="s">
        <v>169</v>
      </c>
      <c r="B383" s="7" t="s">
        <v>219</v>
      </c>
    </row>
    <row r="384" ht="15.75" customHeight="1">
      <c r="A384" s="7" t="s">
        <v>183</v>
      </c>
      <c r="B384" s="7" t="s">
        <v>219</v>
      </c>
    </row>
    <row r="385" ht="15.75" customHeight="1">
      <c r="A385" s="7" t="s">
        <v>195</v>
      </c>
      <c r="B385" s="7" t="s">
        <v>219</v>
      </c>
    </row>
    <row r="386" ht="15.75" customHeight="1">
      <c r="A386" s="7" t="s">
        <v>106</v>
      </c>
      <c r="B386" s="7" t="s">
        <v>219</v>
      </c>
    </row>
    <row r="387" ht="15.75" customHeight="1">
      <c r="A387" s="7" t="s">
        <v>220</v>
      </c>
      <c r="B387" s="7" t="s">
        <v>219</v>
      </c>
    </row>
    <row r="388" ht="15.75" customHeight="1">
      <c r="A388" s="6" t="s">
        <v>910</v>
      </c>
      <c r="B388" s="6" t="s">
        <v>219</v>
      </c>
    </row>
    <row r="389" ht="15.75" customHeight="1">
      <c r="A389" s="7" t="s">
        <v>159</v>
      </c>
      <c r="B389" s="7" t="s">
        <v>221</v>
      </c>
    </row>
    <row r="390" ht="15.75" customHeight="1">
      <c r="A390" s="7" t="s">
        <v>161</v>
      </c>
      <c r="B390" s="7" t="s">
        <v>221</v>
      </c>
    </row>
    <row r="391" ht="15.75" customHeight="1">
      <c r="A391" s="7" t="s">
        <v>170</v>
      </c>
      <c r="B391" s="7" t="s">
        <v>221</v>
      </c>
    </row>
    <row r="392" ht="15.75" customHeight="1">
      <c r="A392" s="7" t="s">
        <v>157</v>
      </c>
      <c r="B392" s="7" t="s">
        <v>221</v>
      </c>
    </row>
    <row r="393" ht="15.75" customHeight="1">
      <c r="A393" s="7" t="s">
        <v>222</v>
      </c>
      <c r="B393" s="7" t="s">
        <v>221</v>
      </c>
    </row>
    <row r="394" ht="15.75" customHeight="1">
      <c r="A394" s="7" t="s">
        <v>127</v>
      </c>
      <c r="B394" s="7" t="s">
        <v>221</v>
      </c>
    </row>
    <row r="395" ht="15.75" customHeight="1">
      <c r="A395" s="6" t="s">
        <v>910</v>
      </c>
      <c r="B395" s="6" t="s">
        <v>221</v>
      </c>
    </row>
    <row r="396" ht="15.75" customHeight="1">
      <c r="A396" s="7" t="s">
        <v>132</v>
      </c>
      <c r="B396" s="7" t="s">
        <v>223</v>
      </c>
    </row>
    <row r="397" ht="15.75" customHeight="1">
      <c r="A397" s="7" t="s">
        <v>134</v>
      </c>
      <c r="B397" s="7" t="s">
        <v>223</v>
      </c>
    </row>
    <row r="398" ht="15.75" customHeight="1">
      <c r="A398" s="7" t="s">
        <v>183</v>
      </c>
      <c r="B398" s="7" t="s">
        <v>223</v>
      </c>
    </row>
    <row r="399" ht="15.75" customHeight="1">
      <c r="A399" s="7" t="s">
        <v>110</v>
      </c>
      <c r="B399" s="7" t="s">
        <v>223</v>
      </c>
    </row>
    <row r="400" ht="15.75" customHeight="1">
      <c r="A400" s="7" t="s">
        <v>162</v>
      </c>
      <c r="B400" s="7" t="s">
        <v>223</v>
      </c>
    </row>
    <row r="401" ht="15.75" customHeight="1">
      <c r="A401" s="7" t="s">
        <v>107</v>
      </c>
      <c r="B401" s="7" t="s">
        <v>223</v>
      </c>
    </row>
    <row r="402" ht="15.75" customHeight="1">
      <c r="A402" s="6" t="s">
        <v>910</v>
      </c>
      <c r="B402" s="6" t="s">
        <v>223</v>
      </c>
    </row>
    <row r="403" ht="15.75" customHeight="1">
      <c r="A403" s="7" t="s">
        <v>100</v>
      </c>
      <c r="B403" s="7" t="s">
        <v>224</v>
      </c>
    </row>
    <row r="404" ht="15.75" customHeight="1">
      <c r="A404" s="7" t="s">
        <v>95</v>
      </c>
      <c r="B404" s="7" t="s">
        <v>224</v>
      </c>
    </row>
    <row r="405" ht="15.75" customHeight="1">
      <c r="A405" s="7" t="s">
        <v>104</v>
      </c>
      <c r="B405" s="7" t="s">
        <v>224</v>
      </c>
    </row>
    <row r="406" ht="15.75" customHeight="1">
      <c r="A406" s="7" t="s">
        <v>149</v>
      </c>
      <c r="B406" s="7" t="s">
        <v>224</v>
      </c>
    </row>
    <row r="407" ht="15.75" customHeight="1">
      <c r="A407" s="7" t="s">
        <v>222</v>
      </c>
      <c r="B407" s="7" t="s">
        <v>224</v>
      </c>
    </row>
    <row r="408" ht="15.75" customHeight="1">
      <c r="A408" s="7" t="s">
        <v>171</v>
      </c>
      <c r="B408" s="7" t="s">
        <v>224</v>
      </c>
    </row>
    <row r="409" ht="15.75" customHeight="1">
      <c r="A409" s="6" t="s">
        <v>910</v>
      </c>
      <c r="B409" s="6" t="s">
        <v>224</v>
      </c>
    </row>
    <row r="410" ht="15.75" customHeight="1">
      <c r="A410" s="7" t="s">
        <v>143</v>
      </c>
      <c r="B410" s="7" t="s">
        <v>225</v>
      </c>
    </row>
    <row r="411" ht="15.75" customHeight="1">
      <c r="A411" s="7" t="s">
        <v>159</v>
      </c>
      <c r="B411" s="7" t="s">
        <v>225</v>
      </c>
    </row>
    <row r="412" ht="15.75" customHeight="1">
      <c r="A412" s="7" t="s">
        <v>129</v>
      </c>
      <c r="B412" s="7" t="s">
        <v>225</v>
      </c>
    </row>
    <row r="413" ht="15.75" customHeight="1">
      <c r="A413" s="7" t="s">
        <v>86</v>
      </c>
      <c r="B413" s="7" t="s">
        <v>225</v>
      </c>
    </row>
    <row r="414" ht="15.75" customHeight="1">
      <c r="A414" s="7" t="s">
        <v>66</v>
      </c>
      <c r="B414" s="7" t="s">
        <v>225</v>
      </c>
    </row>
    <row r="415" ht="15.75" customHeight="1">
      <c r="A415" s="7" t="s">
        <v>185</v>
      </c>
      <c r="B415" s="7" t="s">
        <v>225</v>
      </c>
    </row>
    <row r="416" ht="15.75" customHeight="1">
      <c r="A416" s="6" t="s">
        <v>910</v>
      </c>
      <c r="B416" s="6" t="s">
        <v>225</v>
      </c>
    </row>
    <row r="417" ht="15.75" customHeight="1">
      <c r="A417" s="6" t="s">
        <v>1126</v>
      </c>
      <c r="B417" s="6" t="s">
        <v>225</v>
      </c>
    </row>
    <row r="418" ht="15.75" customHeight="1">
      <c r="A418" s="7" t="s">
        <v>226</v>
      </c>
      <c r="B418" s="7" t="s">
        <v>227</v>
      </c>
    </row>
    <row r="419" ht="15.75" customHeight="1">
      <c r="A419" s="7" t="s">
        <v>109</v>
      </c>
      <c r="B419" s="7" t="s">
        <v>227</v>
      </c>
    </row>
    <row r="420" ht="15.75" customHeight="1">
      <c r="A420" s="7" t="s">
        <v>104</v>
      </c>
      <c r="B420" s="7" t="s">
        <v>227</v>
      </c>
    </row>
    <row r="421" ht="15.75" customHeight="1">
      <c r="A421" s="7" t="s">
        <v>105</v>
      </c>
      <c r="B421" s="7" t="s">
        <v>227</v>
      </c>
    </row>
    <row r="422" ht="15.75" customHeight="1">
      <c r="A422" s="7" t="s">
        <v>222</v>
      </c>
      <c r="B422" s="7" t="s">
        <v>227</v>
      </c>
    </row>
    <row r="423" ht="15.75" customHeight="1">
      <c r="A423" s="7" t="s">
        <v>111</v>
      </c>
      <c r="B423" s="7" t="s">
        <v>227</v>
      </c>
    </row>
    <row r="424" ht="15.75" customHeight="1">
      <c r="A424" s="6" t="s">
        <v>910</v>
      </c>
      <c r="B424" s="6" t="s">
        <v>227</v>
      </c>
    </row>
    <row r="425" ht="15.75" customHeight="1">
      <c r="A425" s="7" t="s">
        <v>204</v>
      </c>
      <c r="B425" s="7" t="s">
        <v>228</v>
      </c>
    </row>
    <row r="426" ht="15.75" customHeight="1">
      <c r="A426" s="7" t="s">
        <v>192</v>
      </c>
      <c r="B426" s="7" t="s">
        <v>228</v>
      </c>
    </row>
    <row r="427" ht="15.75" customHeight="1">
      <c r="A427" s="7" t="s">
        <v>92</v>
      </c>
      <c r="B427" s="7" t="s">
        <v>228</v>
      </c>
    </row>
    <row r="428" ht="15.75" customHeight="1">
      <c r="A428" s="7" t="s">
        <v>184</v>
      </c>
      <c r="B428" s="7" t="s">
        <v>228</v>
      </c>
    </row>
    <row r="429" ht="15.75" customHeight="1">
      <c r="A429" s="7" t="s">
        <v>66</v>
      </c>
      <c r="B429" s="7" t="s">
        <v>228</v>
      </c>
    </row>
    <row r="430" ht="15.75" customHeight="1">
      <c r="A430" s="7" t="s">
        <v>88</v>
      </c>
      <c r="B430" s="7" t="s">
        <v>228</v>
      </c>
    </row>
    <row r="431" ht="15.75" customHeight="1">
      <c r="A431" s="6" t="s">
        <v>910</v>
      </c>
      <c r="B431" s="6" t="s">
        <v>228</v>
      </c>
    </row>
    <row r="432" ht="15.75" customHeight="1">
      <c r="A432" s="6" t="s">
        <v>1126</v>
      </c>
      <c r="B432" s="6" t="s">
        <v>228</v>
      </c>
    </row>
    <row r="433" ht="15.75" customHeight="1">
      <c r="A433" s="7" t="s">
        <v>226</v>
      </c>
      <c r="B433" s="7" t="s">
        <v>229</v>
      </c>
    </row>
    <row r="434" ht="15.75" customHeight="1">
      <c r="A434" s="7" t="s">
        <v>198</v>
      </c>
      <c r="B434" s="7" t="s">
        <v>229</v>
      </c>
    </row>
    <row r="435" ht="15.75" customHeight="1">
      <c r="A435" s="7" t="s">
        <v>156</v>
      </c>
      <c r="B435" s="7" t="s">
        <v>229</v>
      </c>
    </row>
    <row r="436" ht="15.75" customHeight="1">
      <c r="A436" s="7" t="s">
        <v>189</v>
      </c>
      <c r="B436" s="7" t="s">
        <v>229</v>
      </c>
    </row>
    <row r="437" ht="15.75" customHeight="1">
      <c r="A437" s="7" t="s">
        <v>66</v>
      </c>
      <c r="B437" s="7" t="s">
        <v>229</v>
      </c>
    </row>
    <row r="438" ht="15.75" customHeight="1">
      <c r="A438" s="7" t="s">
        <v>88</v>
      </c>
      <c r="B438" s="7" t="s">
        <v>229</v>
      </c>
    </row>
    <row r="439" ht="15.75" customHeight="1">
      <c r="A439" s="6" t="s">
        <v>910</v>
      </c>
      <c r="B439" s="6" t="s">
        <v>229</v>
      </c>
    </row>
    <row r="440" ht="15.75" customHeight="1">
      <c r="A440" s="6" t="s">
        <v>1126</v>
      </c>
      <c r="B440" s="6" t="s">
        <v>229</v>
      </c>
    </row>
    <row r="441" ht="15.75" customHeight="1">
      <c r="A441" s="7" t="s">
        <v>68</v>
      </c>
      <c r="B441" s="7" t="s">
        <v>230</v>
      </c>
    </row>
    <row r="442" ht="15.75" customHeight="1">
      <c r="A442" s="7" t="s">
        <v>169</v>
      </c>
      <c r="B442" s="7" t="s">
        <v>230</v>
      </c>
    </row>
    <row r="443" ht="15.75" customHeight="1">
      <c r="A443" s="7" t="s">
        <v>178</v>
      </c>
      <c r="B443" s="7" t="s">
        <v>230</v>
      </c>
    </row>
    <row r="444" ht="15.75" customHeight="1">
      <c r="A444" s="7" t="s">
        <v>149</v>
      </c>
      <c r="B444" s="7" t="s">
        <v>230</v>
      </c>
    </row>
    <row r="445" ht="15.75" customHeight="1">
      <c r="A445" s="7" t="s">
        <v>106</v>
      </c>
      <c r="B445" s="7" t="s">
        <v>230</v>
      </c>
    </row>
    <row r="446" ht="15.75" customHeight="1">
      <c r="A446" s="7" t="s">
        <v>107</v>
      </c>
      <c r="B446" s="7" t="s">
        <v>230</v>
      </c>
    </row>
    <row r="447" ht="15.75" customHeight="1">
      <c r="A447" s="6" t="s">
        <v>910</v>
      </c>
      <c r="B447" s="6" t="s">
        <v>230</v>
      </c>
    </row>
    <row r="448" ht="15.75" customHeight="1">
      <c r="A448" s="7" t="s">
        <v>161</v>
      </c>
      <c r="B448" s="7" t="s">
        <v>231</v>
      </c>
    </row>
    <row r="449" ht="15.75" customHeight="1">
      <c r="A449" s="7" t="s">
        <v>77</v>
      </c>
      <c r="B449" s="7" t="s">
        <v>231</v>
      </c>
    </row>
    <row r="450" ht="15.75" customHeight="1">
      <c r="A450" s="7" t="s">
        <v>170</v>
      </c>
      <c r="B450" s="7" t="s">
        <v>231</v>
      </c>
    </row>
    <row r="451" ht="15.75" customHeight="1">
      <c r="A451" s="7" t="s">
        <v>116</v>
      </c>
      <c r="B451" s="7" t="s">
        <v>231</v>
      </c>
    </row>
    <row r="452" ht="15.75" customHeight="1">
      <c r="A452" s="7" t="s">
        <v>87</v>
      </c>
      <c r="B452" s="7" t="s">
        <v>231</v>
      </c>
    </row>
    <row r="453" ht="15.75" customHeight="1">
      <c r="A453" s="7" t="s">
        <v>67</v>
      </c>
      <c r="B453" s="7" t="s">
        <v>231</v>
      </c>
    </row>
    <row r="454" ht="15.75" customHeight="1">
      <c r="A454" s="6" t="s">
        <v>910</v>
      </c>
      <c r="B454" s="6" t="s">
        <v>231</v>
      </c>
    </row>
    <row r="455" ht="15.75" customHeight="1">
      <c r="A455" s="6" t="s">
        <v>1126</v>
      </c>
      <c r="B455" s="6" t="s">
        <v>231</v>
      </c>
    </row>
    <row r="456" ht="15.75" customHeight="1">
      <c r="A456" s="7" t="s">
        <v>143</v>
      </c>
      <c r="B456" s="7" t="s">
        <v>232</v>
      </c>
    </row>
    <row r="457" ht="15.75" customHeight="1">
      <c r="A457" s="7" t="s">
        <v>129</v>
      </c>
      <c r="B457" s="7" t="s">
        <v>232</v>
      </c>
    </row>
    <row r="458" ht="15.75" customHeight="1">
      <c r="A458" s="7" t="s">
        <v>156</v>
      </c>
      <c r="B458" s="7" t="s">
        <v>232</v>
      </c>
    </row>
    <row r="459" ht="15.75" customHeight="1">
      <c r="A459" s="7" t="s">
        <v>86</v>
      </c>
      <c r="B459" s="7" t="s">
        <v>232</v>
      </c>
    </row>
    <row r="460" ht="15.75" customHeight="1">
      <c r="A460" s="7" t="s">
        <v>80</v>
      </c>
      <c r="B460" s="7" t="s">
        <v>232</v>
      </c>
    </row>
    <row r="461" ht="15.75" customHeight="1">
      <c r="A461" s="7" t="s">
        <v>118</v>
      </c>
      <c r="B461" s="7" t="s">
        <v>232</v>
      </c>
    </row>
    <row r="462" ht="15.75" customHeight="1">
      <c r="A462" s="6" t="s">
        <v>910</v>
      </c>
      <c r="B462" s="6" t="s">
        <v>232</v>
      </c>
    </row>
    <row r="463" ht="15.75" customHeight="1">
      <c r="A463" s="6" t="s">
        <v>1126</v>
      </c>
      <c r="B463" s="6" t="s">
        <v>232</v>
      </c>
    </row>
    <row r="464" ht="15.75" customHeight="1">
      <c r="A464" s="7" t="s">
        <v>132</v>
      </c>
      <c r="B464" s="7" t="s">
        <v>233</v>
      </c>
    </row>
    <row r="465" ht="15.75" customHeight="1">
      <c r="A465" s="7" t="s">
        <v>161</v>
      </c>
      <c r="B465" s="7" t="s">
        <v>233</v>
      </c>
    </row>
    <row r="466" ht="15.75" customHeight="1">
      <c r="A466" s="7" t="s">
        <v>141</v>
      </c>
      <c r="B466" s="7" t="s">
        <v>233</v>
      </c>
    </row>
    <row r="467" ht="15.75" customHeight="1">
      <c r="A467" s="7" t="s">
        <v>207</v>
      </c>
      <c r="B467" s="7" t="s">
        <v>233</v>
      </c>
    </row>
    <row r="468" ht="15.75" customHeight="1">
      <c r="A468" s="7" t="s">
        <v>73</v>
      </c>
      <c r="B468" s="7" t="s">
        <v>233</v>
      </c>
    </row>
    <row r="469" ht="15.75" customHeight="1">
      <c r="A469" s="7" t="s">
        <v>185</v>
      </c>
      <c r="B469" s="7" t="s">
        <v>233</v>
      </c>
    </row>
    <row r="470" ht="15.75" customHeight="1">
      <c r="A470" s="6" t="s">
        <v>910</v>
      </c>
      <c r="B470" s="6" t="s">
        <v>233</v>
      </c>
    </row>
    <row r="471" ht="15.75" customHeight="1">
      <c r="A471" s="7" t="s">
        <v>70</v>
      </c>
      <c r="B471" s="7" t="s">
        <v>234</v>
      </c>
    </row>
    <row r="472" ht="15.75" customHeight="1">
      <c r="A472" s="7" t="s">
        <v>156</v>
      </c>
      <c r="B472" s="7" t="s">
        <v>234</v>
      </c>
    </row>
    <row r="473" ht="15.75" customHeight="1">
      <c r="A473" s="7" t="s">
        <v>78</v>
      </c>
      <c r="B473" s="7" t="s">
        <v>234</v>
      </c>
    </row>
    <row r="474" ht="15.75" customHeight="1">
      <c r="A474" s="7" t="s">
        <v>176</v>
      </c>
      <c r="B474" s="7" t="s">
        <v>234</v>
      </c>
    </row>
    <row r="475" ht="15.75" customHeight="1">
      <c r="A475" s="7" t="s">
        <v>162</v>
      </c>
      <c r="B475" s="7" t="s">
        <v>234</v>
      </c>
    </row>
    <row r="476" ht="15.75" customHeight="1">
      <c r="A476" s="7" t="s">
        <v>111</v>
      </c>
      <c r="B476" s="7" t="s">
        <v>234</v>
      </c>
    </row>
    <row r="477" ht="15.75" customHeight="1">
      <c r="A477" s="6" t="s">
        <v>910</v>
      </c>
      <c r="B477" s="6" t="s">
        <v>234</v>
      </c>
    </row>
    <row r="478" ht="15.75" customHeight="1">
      <c r="A478" s="7" t="s">
        <v>70</v>
      </c>
      <c r="B478" s="7" t="s">
        <v>235</v>
      </c>
    </row>
    <row r="479" ht="15.75" customHeight="1">
      <c r="A479" s="7" t="s">
        <v>215</v>
      </c>
      <c r="B479" s="7" t="s">
        <v>235</v>
      </c>
    </row>
    <row r="480" ht="15.75" customHeight="1">
      <c r="A480" s="7" t="s">
        <v>92</v>
      </c>
      <c r="B480" s="7" t="s">
        <v>235</v>
      </c>
    </row>
    <row r="481" ht="15.75" customHeight="1">
      <c r="A481" s="7" t="s">
        <v>184</v>
      </c>
      <c r="B481" s="7" t="s">
        <v>235</v>
      </c>
    </row>
    <row r="482" ht="15.75" customHeight="1">
      <c r="A482" s="7" t="s">
        <v>66</v>
      </c>
      <c r="B482" s="7" t="s">
        <v>235</v>
      </c>
    </row>
    <row r="483" ht="15.75" customHeight="1">
      <c r="A483" s="7" t="s">
        <v>154</v>
      </c>
      <c r="B483" s="7" t="s">
        <v>235</v>
      </c>
    </row>
    <row r="484" ht="15.75" customHeight="1">
      <c r="A484" s="6" t="s">
        <v>910</v>
      </c>
      <c r="B484" s="6" t="s">
        <v>235</v>
      </c>
    </row>
    <row r="485" ht="15.75" customHeight="1">
      <c r="A485" s="6" t="s">
        <v>1126</v>
      </c>
      <c r="B485" s="6" t="s">
        <v>235</v>
      </c>
    </row>
    <row r="486" ht="15.75" customHeight="1">
      <c r="A486" s="7" t="s">
        <v>226</v>
      </c>
      <c r="B486" s="7" t="s">
        <v>236</v>
      </c>
    </row>
    <row r="487" ht="15.75" customHeight="1">
      <c r="A487" s="7" t="s">
        <v>198</v>
      </c>
      <c r="B487" s="7" t="s">
        <v>236</v>
      </c>
    </row>
    <row r="488" ht="15.75" customHeight="1">
      <c r="A488" s="7" t="s">
        <v>122</v>
      </c>
      <c r="B488" s="7" t="s">
        <v>236</v>
      </c>
    </row>
    <row r="489" ht="15.75" customHeight="1">
      <c r="A489" s="7" t="s">
        <v>110</v>
      </c>
      <c r="B489" s="7" t="s">
        <v>236</v>
      </c>
    </row>
    <row r="490" ht="15.75" customHeight="1">
      <c r="A490" s="7" t="s">
        <v>162</v>
      </c>
      <c r="B490" s="7" t="s">
        <v>236</v>
      </c>
    </row>
    <row r="491" ht="15.75" customHeight="1">
      <c r="A491" s="7" t="s">
        <v>111</v>
      </c>
      <c r="B491" s="7" t="s">
        <v>236</v>
      </c>
    </row>
    <row r="492" ht="15.75" customHeight="1">
      <c r="A492" s="6" t="s">
        <v>910</v>
      </c>
      <c r="B492" s="6" t="s">
        <v>236</v>
      </c>
    </row>
    <row r="493" ht="15.75" customHeight="1">
      <c r="A493" s="7" t="s">
        <v>63</v>
      </c>
      <c r="B493" s="7" t="s">
        <v>237</v>
      </c>
    </row>
    <row r="494" ht="15.75" customHeight="1">
      <c r="A494" s="7" t="s">
        <v>161</v>
      </c>
      <c r="B494" s="7" t="s">
        <v>237</v>
      </c>
    </row>
    <row r="495" ht="15.75" customHeight="1">
      <c r="A495" s="7" t="s">
        <v>178</v>
      </c>
      <c r="B495" s="7" t="s">
        <v>237</v>
      </c>
    </row>
    <row r="496" ht="15.75" customHeight="1">
      <c r="A496" s="7" t="s">
        <v>184</v>
      </c>
      <c r="B496" s="7" t="s">
        <v>237</v>
      </c>
    </row>
    <row r="497" ht="15.75" customHeight="1">
      <c r="A497" s="7" t="s">
        <v>80</v>
      </c>
      <c r="B497" s="7" t="s">
        <v>237</v>
      </c>
    </row>
    <row r="498" ht="15.75" customHeight="1">
      <c r="A498" s="7" t="s">
        <v>88</v>
      </c>
      <c r="B498" s="7" t="s">
        <v>237</v>
      </c>
    </row>
    <row r="499" ht="15.75" customHeight="1">
      <c r="A499" s="6" t="s">
        <v>910</v>
      </c>
      <c r="B499" s="6" t="s">
        <v>237</v>
      </c>
    </row>
    <row r="500" ht="15.75" customHeight="1">
      <c r="A500" s="6" t="s">
        <v>1126</v>
      </c>
      <c r="B500" s="6" t="s">
        <v>237</v>
      </c>
    </row>
    <row r="501" ht="15.75" customHeight="1">
      <c r="A501" s="7" t="s">
        <v>173</v>
      </c>
      <c r="B501" s="7" t="s">
        <v>238</v>
      </c>
    </row>
    <row r="502" ht="15.75" customHeight="1">
      <c r="A502" s="7" t="s">
        <v>63</v>
      </c>
      <c r="B502" s="7" t="s">
        <v>238</v>
      </c>
    </row>
    <row r="503" ht="15.75" customHeight="1">
      <c r="A503" s="7" t="s">
        <v>170</v>
      </c>
      <c r="B503" s="7" t="s">
        <v>238</v>
      </c>
    </row>
    <row r="504" ht="15.75" customHeight="1">
      <c r="A504" s="7" t="s">
        <v>79</v>
      </c>
      <c r="B504" s="7" t="s">
        <v>238</v>
      </c>
    </row>
    <row r="505" ht="15.75" customHeight="1">
      <c r="A505" s="7" t="s">
        <v>117</v>
      </c>
      <c r="B505" s="7" t="s">
        <v>238</v>
      </c>
    </row>
    <row r="506" ht="15.75" customHeight="1">
      <c r="A506" s="7" t="s">
        <v>74</v>
      </c>
      <c r="B506" s="7" t="s">
        <v>238</v>
      </c>
    </row>
    <row r="507" ht="15.75" customHeight="1">
      <c r="A507" s="6" t="s">
        <v>910</v>
      </c>
      <c r="B507" s="6" t="s">
        <v>238</v>
      </c>
    </row>
    <row r="508" ht="15.75" customHeight="1">
      <c r="A508" s="7" t="s">
        <v>95</v>
      </c>
      <c r="B508" s="7" t="s">
        <v>239</v>
      </c>
    </row>
    <row r="509" ht="15.75" customHeight="1">
      <c r="A509" s="7" t="s">
        <v>161</v>
      </c>
      <c r="B509" s="7" t="s">
        <v>239</v>
      </c>
    </row>
    <row r="510" ht="15.75" customHeight="1">
      <c r="A510" s="7" t="s">
        <v>170</v>
      </c>
      <c r="B510" s="7" t="s">
        <v>239</v>
      </c>
    </row>
    <row r="511" ht="15.75" customHeight="1">
      <c r="A511" s="7" t="s">
        <v>240</v>
      </c>
      <c r="B511" s="7" t="s">
        <v>239</v>
      </c>
    </row>
    <row r="512" ht="15.75" customHeight="1">
      <c r="A512" s="7" t="s">
        <v>117</v>
      </c>
      <c r="B512" s="7" t="s">
        <v>239</v>
      </c>
    </row>
    <row r="513" ht="15.75" customHeight="1">
      <c r="A513" s="7" t="s">
        <v>241</v>
      </c>
      <c r="B513" s="7" t="s">
        <v>239</v>
      </c>
    </row>
    <row r="514" ht="15.75" customHeight="1">
      <c r="A514" s="6" t="s">
        <v>910</v>
      </c>
      <c r="B514" s="6" t="s">
        <v>239</v>
      </c>
    </row>
    <row r="515" ht="15.75" customHeight="1">
      <c r="A515" s="7" t="s">
        <v>159</v>
      </c>
      <c r="B515" s="7" t="s">
        <v>242</v>
      </c>
    </row>
    <row r="516" ht="15.75" customHeight="1">
      <c r="A516" s="7" t="s">
        <v>97</v>
      </c>
      <c r="B516" s="7" t="s">
        <v>242</v>
      </c>
    </row>
    <row r="517" ht="15.75" customHeight="1">
      <c r="A517" s="7" t="s">
        <v>104</v>
      </c>
      <c r="B517" s="7" t="s">
        <v>242</v>
      </c>
    </row>
    <row r="518" ht="15.75" customHeight="1">
      <c r="A518" s="7" t="s">
        <v>110</v>
      </c>
      <c r="B518" s="7" t="s">
        <v>242</v>
      </c>
    </row>
    <row r="519" ht="15.75" customHeight="1">
      <c r="A519" s="7" t="s">
        <v>181</v>
      </c>
      <c r="B519" s="7" t="s">
        <v>242</v>
      </c>
    </row>
    <row r="520" ht="15.75" customHeight="1">
      <c r="A520" s="7" t="s">
        <v>107</v>
      </c>
      <c r="B520" s="7" t="s">
        <v>242</v>
      </c>
    </row>
    <row r="521" ht="15.75" customHeight="1">
      <c r="A521" s="6" t="s">
        <v>910</v>
      </c>
      <c r="B521" s="6" t="s">
        <v>242</v>
      </c>
    </row>
    <row r="522" ht="15.75" customHeight="1">
      <c r="A522" s="7" t="s">
        <v>134</v>
      </c>
      <c r="B522" s="7" t="s">
        <v>243</v>
      </c>
    </row>
    <row r="523" ht="15.75" customHeight="1">
      <c r="A523" s="7" t="s">
        <v>85</v>
      </c>
      <c r="B523" s="7" t="s">
        <v>243</v>
      </c>
    </row>
    <row r="524" ht="15.75" customHeight="1">
      <c r="A524" s="7" t="s">
        <v>170</v>
      </c>
      <c r="B524" s="7" t="s">
        <v>243</v>
      </c>
    </row>
    <row r="525" ht="15.75" customHeight="1">
      <c r="A525" s="7" t="s">
        <v>135</v>
      </c>
      <c r="B525" s="7" t="s">
        <v>243</v>
      </c>
    </row>
    <row r="526" ht="15.75" customHeight="1">
      <c r="A526" s="7" t="s">
        <v>162</v>
      </c>
      <c r="B526" s="7" t="s">
        <v>243</v>
      </c>
    </row>
    <row r="527" ht="15.75" customHeight="1">
      <c r="A527" s="7" t="s">
        <v>139</v>
      </c>
      <c r="B527" s="7" t="s">
        <v>243</v>
      </c>
    </row>
    <row r="528" ht="15.75" customHeight="1">
      <c r="A528" s="6" t="s">
        <v>910</v>
      </c>
      <c r="B528" s="6" t="s">
        <v>243</v>
      </c>
    </row>
    <row r="529" ht="15.75" customHeight="1">
      <c r="A529" s="7" t="s">
        <v>114</v>
      </c>
      <c r="B529" s="7" t="s">
        <v>244</v>
      </c>
    </row>
    <row r="530" ht="15.75" customHeight="1">
      <c r="A530" s="7" t="s">
        <v>148</v>
      </c>
      <c r="B530" s="7" t="s">
        <v>244</v>
      </c>
    </row>
    <row r="531" ht="15.75" customHeight="1">
      <c r="A531" s="7" t="s">
        <v>192</v>
      </c>
      <c r="B531" s="7" t="s">
        <v>244</v>
      </c>
    </row>
    <row r="532" ht="15.75" customHeight="1">
      <c r="A532" s="7" t="s">
        <v>99</v>
      </c>
      <c r="B532" s="7" t="s">
        <v>244</v>
      </c>
    </row>
    <row r="533" ht="15.75" customHeight="1">
      <c r="A533" s="7" t="s">
        <v>208</v>
      </c>
      <c r="B533" s="7" t="s">
        <v>244</v>
      </c>
    </row>
    <row r="534" ht="15.75" customHeight="1">
      <c r="A534" s="7" t="s">
        <v>94</v>
      </c>
      <c r="B534" s="7" t="s">
        <v>244</v>
      </c>
    </row>
    <row r="535" ht="15.75" customHeight="1">
      <c r="A535" s="6" t="s">
        <v>910</v>
      </c>
      <c r="B535" s="6" t="s">
        <v>244</v>
      </c>
    </row>
    <row r="536" ht="15.75" customHeight="1">
      <c r="A536" s="7" t="s">
        <v>148</v>
      </c>
      <c r="B536" s="7" t="s">
        <v>245</v>
      </c>
    </row>
    <row r="537" ht="15.75" customHeight="1">
      <c r="A537" s="7" t="s">
        <v>156</v>
      </c>
      <c r="B537" s="7" t="s">
        <v>245</v>
      </c>
    </row>
    <row r="538" ht="15.75" customHeight="1">
      <c r="A538" s="7" t="s">
        <v>120</v>
      </c>
      <c r="B538" s="7" t="s">
        <v>245</v>
      </c>
    </row>
    <row r="539" ht="15.75" customHeight="1">
      <c r="A539" s="7" t="s">
        <v>157</v>
      </c>
      <c r="B539" s="7" t="s">
        <v>245</v>
      </c>
    </row>
    <row r="540" ht="15.75" customHeight="1">
      <c r="A540" s="7" t="s">
        <v>187</v>
      </c>
      <c r="B540" s="7" t="s">
        <v>245</v>
      </c>
    </row>
    <row r="541" ht="15.75" customHeight="1">
      <c r="A541" s="7" t="s">
        <v>111</v>
      </c>
      <c r="B541" s="7" t="s">
        <v>245</v>
      </c>
    </row>
    <row r="542" ht="15.75" customHeight="1">
      <c r="A542" s="6" t="s">
        <v>910</v>
      </c>
      <c r="B542" s="6" t="s">
        <v>245</v>
      </c>
    </row>
    <row r="543" ht="15.75" customHeight="1">
      <c r="A543" s="7" t="s">
        <v>143</v>
      </c>
      <c r="B543" s="7" t="s">
        <v>246</v>
      </c>
    </row>
    <row r="544" ht="15.75" customHeight="1">
      <c r="A544" s="7" t="s">
        <v>102</v>
      </c>
      <c r="B544" s="7" t="s">
        <v>246</v>
      </c>
    </row>
    <row r="545" ht="15.75" customHeight="1">
      <c r="A545" s="7" t="s">
        <v>85</v>
      </c>
      <c r="B545" s="7" t="s">
        <v>246</v>
      </c>
    </row>
    <row r="546" ht="15.75" customHeight="1">
      <c r="A546" s="7" t="s">
        <v>184</v>
      </c>
      <c r="B546" s="7" t="s">
        <v>246</v>
      </c>
    </row>
    <row r="547" ht="15.75" customHeight="1">
      <c r="A547" s="7" t="s">
        <v>66</v>
      </c>
      <c r="B547" s="7" t="s">
        <v>246</v>
      </c>
    </row>
    <row r="548" ht="15.75" customHeight="1">
      <c r="A548" s="7" t="s">
        <v>88</v>
      </c>
      <c r="B548" s="7" t="s">
        <v>246</v>
      </c>
    </row>
    <row r="549" ht="15.75" customHeight="1">
      <c r="A549" s="6" t="s">
        <v>910</v>
      </c>
      <c r="B549" s="6" t="s">
        <v>246</v>
      </c>
    </row>
    <row r="550" ht="15.75" customHeight="1">
      <c r="A550" s="6" t="s">
        <v>1126</v>
      </c>
      <c r="B550" s="6" t="s">
        <v>246</v>
      </c>
    </row>
    <row r="551" ht="15.75" customHeight="1">
      <c r="A551" s="7" t="s">
        <v>148</v>
      </c>
      <c r="B551" s="7" t="s">
        <v>247</v>
      </c>
    </row>
    <row r="552" ht="15.75" customHeight="1">
      <c r="A552" s="7" t="s">
        <v>122</v>
      </c>
      <c r="B552" s="7" t="s">
        <v>247</v>
      </c>
    </row>
    <row r="553" ht="15.75" customHeight="1">
      <c r="A553" s="7" t="s">
        <v>120</v>
      </c>
      <c r="B553" s="7" t="s">
        <v>247</v>
      </c>
    </row>
    <row r="554" ht="15.75" customHeight="1">
      <c r="A554" s="7" t="s">
        <v>207</v>
      </c>
      <c r="B554" s="7" t="s">
        <v>247</v>
      </c>
    </row>
    <row r="555" ht="15.75" customHeight="1">
      <c r="A555" s="7" t="s">
        <v>131</v>
      </c>
      <c r="B555" s="7" t="s">
        <v>247</v>
      </c>
    </row>
    <row r="556" ht="15.75" customHeight="1">
      <c r="A556" s="7" t="s">
        <v>199</v>
      </c>
      <c r="B556" s="7" t="s">
        <v>247</v>
      </c>
    </row>
    <row r="557" ht="15.75" customHeight="1">
      <c r="A557" s="6" t="s">
        <v>910</v>
      </c>
      <c r="B557" s="6" t="s">
        <v>247</v>
      </c>
    </row>
    <row r="558" ht="15.75" customHeight="1">
      <c r="A558" s="7" t="s">
        <v>143</v>
      </c>
      <c r="B558" s="7" t="s">
        <v>248</v>
      </c>
    </row>
    <row r="559" ht="15.75" customHeight="1">
      <c r="A559" s="7" t="s">
        <v>159</v>
      </c>
      <c r="B559" s="7" t="s">
        <v>248</v>
      </c>
    </row>
    <row r="560" ht="15.75" customHeight="1">
      <c r="A560" s="7" t="s">
        <v>71</v>
      </c>
      <c r="B560" s="7" t="s">
        <v>248</v>
      </c>
    </row>
    <row r="561" ht="15.75" customHeight="1">
      <c r="A561" s="7" t="s">
        <v>184</v>
      </c>
      <c r="B561" s="7" t="s">
        <v>248</v>
      </c>
    </row>
    <row r="562" ht="15.75" customHeight="1">
      <c r="A562" s="7" t="s">
        <v>117</v>
      </c>
      <c r="B562" s="7" t="s">
        <v>248</v>
      </c>
    </row>
    <row r="563" ht="15.75" customHeight="1">
      <c r="A563" s="7" t="s">
        <v>118</v>
      </c>
      <c r="B563" s="7" t="s">
        <v>248</v>
      </c>
    </row>
    <row r="564" ht="15.75" customHeight="1">
      <c r="A564" s="6" t="s">
        <v>910</v>
      </c>
      <c r="B564" s="6" t="s">
        <v>248</v>
      </c>
    </row>
    <row r="565" ht="15.75" customHeight="1">
      <c r="A565" s="7" t="s">
        <v>89</v>
      </c>
      <c r="B565" s="7" t="s">
        <v>249</v>
      </c>
    </row>
    <row r="566" ht="15.75" customHeight="1">
      <c r="A566" s="7" t="s">
        <v>153</v>
      </c>
      <c r="B566" s="7" t="s">
        <v>249</v>
      </c>
    </row>
    <row r="567" ht="15.75" customHeight="1">
      <c r="A567" s="7" t="s">
        <v>104</v>
      </c>
      <c r="B567" s="7" t="s">
        <v>249</v>
      </c>
    </row>
    <row r="568" ht="15.75" customHeight="1">
      <c r="A568" s="7" t="s">
        <v>86</v>
      </c>
      <c r="B568" s="7" t="s">
        <v>249</v>
      </c>
    </row>
    <row r="569" ht="15.75" customHeight="1">
      <c r="A569" s="7" t="s">
        <v>87</v>
      </c>
      <c r="B569" s="7" t="s">
        <v>249</v>
      </c>
    </row>
    <row r="570" ht="15.75" customHeight="1">
      <c r="A570" s="7" t="s">
        <v>88</v>
      </c>
      <c r="B570" s="7" t="s">
        <v>249</v>
      </c>
    </row>
    <row r="571" ht="15.75" customHeight="1">
      <c r="A571" s="6" t="s">
        <v>910</v>
      </c>
      <c r="B571" s="6" t="s">
        <v>249</v>
      </c>
    </row>
    <row r="572" ht="15.75" customHeight="1">
      <c r="A572" s="6" t="s">
        <v>1126</v>
      </c>
      <c r="B572" s="6" t="s">
        <v>249</v>
      </c>
    </row>
    <row r="573" ht="15.75" customHeight="1">
      <c r="A573" s="7" t="s">
        <v>89</v>
      </c>
      <c r="B573" s="7" t="s">
        <v>250</v>
      </c>
    </row>
    <row r="574" ht="15.75" customHeight="1">
      <c r="A574" s="7" t="s">
        <v>114</v>
      </c>
      <c r="B574" s="7" t="s">
        <v>250</v>
      </c>
    </row>
    <row r="575" ht="15.75" customHeight="1">
      <c r="A575" s="7" t="s">
        <v>102</v>
      </c>
      <c r="B575" s="7" t="s">
        <v>250</v>
      </c>
    </row>
    <row r="576" ht="15.75" customHeight="1">
      <c r="A576" s="7" t="s">
        <v>65</v>
      </c>
      <c r="B576" s="7" t="s">
        <v>250</v>
      </c>
    </row>
    <row r="577" ht="15.75" customHeight="1">
      <c r="A577" s="7" t="s">
        <v>142</v>
      </c>
      <c r="B577" s="7" t="s">
        <v>250</v>
      </c>
    </row>
    <row r="578" ht="15.75" customHeight="1">
      <c r="A578" s="7" t="s">
        <v>199</v>
      </c>
      <c r="B578" s="7" t="s">
        <v>250</v>
      </c>
    </row>
    <row r="579" ht="15.75" customHeight="1">
      <c r="A579" s="7" t="s">
        <v>173</v>
      </c>
      <c r="B579" s="7" t="s">
        <v>251</v>
      </c>
    </row>
    <row r="580" ht="15.75" customHeight="1">
      <c r="A580" s="7" t="s">
        <v>132</v>
      </c>
      <c r="B580" s="7" t="s">
        <v>251</v>
      </c>
    </row>
    <row r="581" ht="15.75" customHeight="1">
      <c r="A581" s="7" t="s">
        <v>98</v>
      </c>
      <c r="B581" s="7" t="s">
        <v>251</v>
      </c>
    </row>
    <row r="582" ht="15.75" customHeight="1">
      <c r="A582" s="7" t="s">
        <v>86</v>
      </c>
      <c r="B582" s="7" t="s">
        <v>251</v>
      </c>
    </row>
    <row r="583" ht="15.75" customHeight="1">
      <c r="A583" s="7" t="s">
        <v>142</v>
      </c>
      <c r="B583" s="7" t="s">
        <v>251</v>
      </c>
    </row>
    <row r="584" ht="15.75" customHeight="1">
      <c r="A584" s="7" t="s">
        <v>118</v>
      </c>
      <c r="B584" s="7" t="s">
        <v>251</v>
      </c>
    </row>
    <row r="585" ht="15.75" customHeight="1">
      <c r="A585" s="6" t="s">
        <v>910</v>
      </c>
      <c r="B585" s="6" t="s">
        <v>251</v>
      </c>
    </row>
    <row r="586" ht="15.75" customHeight="1">
      <c r="A586" s="7" t="s">
        <v>63</v>
      </c>
      <c r="B586" s="7" t="s">
        <v>252</v>
      </c>
    </row>
    <row r="587" ht="15.75" customHeight="1">
      <c r="A587" s="7" t="s">
        <v>134</v>
      </c>
      <c r="B587" s="7" t="s">
        <v>252</v>
      </c>
    </row>
    <row r="588" ht="15.75" customHeight="1">
      <c r="A588" s="7" t="s">
        <v>175</v>
      </c>
      <c r="B588" s="7" t="s">
        <v>252</v>
      </c>
    </row>
    <row r="589" ht="15.75" customHeight="1">
      <c r="A589" s="7" t="s">
        <v>123</v>
      </c>
      <c r="B589" s="7" t="s">
        <v>252</v>
      </c>
    </row>
    <row r="590" ht="15.75" customHeight="1">
      <c r="A590" s="7" t="s">
        <v>196</v>
      </c>
      <c r="B590" s="7" t="s">
        <v>252</v>
      </c>
    </row>
    <row r="591" ht="15.75" customHeight="1">
      <c r="A591" s="7" t="s">
        <v>171</v>
      </c>
      <c r="B591" s="7" t="s">
        <v>252</v>
      </c>
    </row>
    <row r="592" ht="15.75" customHeight="1">
      <c r="A592" s="6" t="s">
        <v>910</v>
      </c>
      <c r="B592" s="6" t="s">
        <v>252</v>
      </c>
    </row>
    <row r="593" ht="15.75" customHeight="1">
      <c r="A593" s="7" t="s">
        <v>204</v>
      </c>
      <c r="B593" s="7" t="s">
        <v>253</v>
      </c>
    </row>
    <row r="594" ht="15.75" customHeight="1">
      <c r="A594" s="7" t="s">
        <v>192</v>
      </c>
      <c r="B594" s="7" t="s">
        <v>253</v>
      </c>
    </row>
    <row r="595" ht="15.75" customHeight="1">
      <c r="A595" s="7" t="s">
        <v>194</v>
      </c>
      <c r="B595" s="7" t="s">
        <v>253</v>
      </c>
    </row>
    <row r="596" ht="15.75" customHeight="1">
      <c r="A596" s="7" t="s">
        <v>184</v>
      </c>
      <c r="B596" s="7" t="s">
        <v>253</v>
      </c>
    </row>
    <row r="597" ht="15.75" customHeight="1">
      <c r="A597" s="7" t="s">
        <v>93</v>
      </c>
      <c r="B597" s="7" t="s">
        <v>253</v>
      </c>
    </row>
    <row r="598" ht="15.75" customHeight="1">
      <c r="A598" s="7" t="s">
        <v>199</v>
      </c>
      <c r="B598" s="7" t="s">
        <v>253</v>
      </c>
    </row>
    <row r="599" ht="15.75" customHeight="1">
      <c r="A599" s="6" t="s">
        <v>910</v>
      </c>
      <c r="B599" s="6" t="s">
        <v>253</v>
      </c>
    </row>
    <row r="600" ht="15.75" customHeight="1">
      <c r="A600" s="7" t="s">
        <v>148</v>
      </c>
      <c r="B600" s="7" t="s">
        <v>254</v>
      </c>
    </row>
    <row r="601" ht="15.75" customHeight="1">
      <c r="A601" s="7" t="s">
        <v>156</v>
      </c>
      <c r="B601" s="7" t="s">
        <v>254</v>
      </c>
    </row>
    <row r="602" ht="15.75" customHeight="1">
      <c r="A602" s="7" t="s">
        <v>120</v>
      </c>
      <c r="B602" s="7" t="s">
        <v>254</v>
      </c>
    </row>
    <row r="603" ht="15.75" customHeight="1">
      <c r="A603" s="7" t="s">
        <v>176</v>
      </c>
      <c r="B603" s="7" t="s">
        <v>254</v>
      </c>
    </row>
    <row r="604" ht="15.75" customHeight="1">
      <c r="A604" s="7" t="s">
        <v>164</v>
      </c>
      <c r="B604" s="7" t="s">
        <v>254</v>
      </c>
    </row>
    <row r="605" ht="15.75" customHeight="1">
      <c r="A605" s="7" t="s">
        <v>127</v>
      </c>
      <c r="B605" s="7" t="s">
        <v>254</v>
      </c>
    </row>
    <row r="606" ht="15.75" customHeight="1">
      <c r="A606" s="6" t="s">
        <v>910</v>
      </c>
      <c r="B606" s="6" t="s">
        <v>254</v>
      </c>
    </row>
    <row r="607" ht="15.75" customHeight="1">
      <c r="A607" s="7" t="s">
        <v>169</v>
      </c>
      <c r="B607" s="7" t="s">
        <v>255</v>
      </c>
    </row>
    <row r="608" ht="15.75" customHeight="1">
      <c r="A608" s="7" t="s">
        <v>194</v>
      </c>
      <c r="B608" s="7" t="s">
        <v>255</v>
      </c>
    </row>
    <row r="609" ht="15.75" customHeight="1">
      <c r="A609" s="7" t="s">
        <v>178</v>
      </c>
      <c r="B609" s="7" t="s">
        <v>255</v>
      </c>
    </row>
    <row r="610" ht="15.75" customHeight="1">
      <c r="A610" s="7" t="s">
        <v>110</v>
      </c>
      <c r="B610" s="7" t="s">
        <v>255</v>
      </c>
    </row>
    <row r="611" ht="15.75" customHeight="1">
      <c r="A611" s="7" t="s">
        <v>187</v>
      </c>
      <c r="B611" s="7" t="s">
        <v>255</v>
      </c>
    </row>
    <row r="612" ht="15.75" customHeight="1">
      <c r="A612" s="7" t="s">
        <v>158</v>
      </c>
      <c r="B612" s="7" t="s">
        <v>255</v>
      </c>
    </row>
    <row r="613" ht="15.75" customHeight="1">
      <c r="A613" s="6" t="s">
        <v>910</v>
      </c>
      <c r="B613" s="6" t="s">
        <v>255</v>
      </c>
    </row>
    <row r="614" ht="15.75" customHeight="1">
      <c r="A614" s="7" t="s">
        <v>61</v>
      </c>
      <c r="B614" s="7" t="s">
        <v>256</v>
      </c>
    </row>
    <row r="615" ht="15.75" customHeight="1">
      <c r="A615" s="7" t="s">
        <v>63</v>
      </c>
      <c r="B615" s="7" t="s">
        <v>256</v>
      </c>
    </row>
    <row r="616" ht="15.75" customHeight="1">
      <c r="A616" s="7" t="s">
        <v>215</v>
      </c>
      <c r="B616" s="7" t="s">
        <v>256</v>
      </c>
    </row>
    <row r="617" ht="15.75" customHeight="1">
      <c r="A617" s="7" t="s">
        <v>79</v>
      </c>
      <c r="B617" s="7" t="s">
        <v>256</v>
      </c>
    </row>
    <row r="618" ht="15.75" customHeight="1">
      <c r="A618" s="7" t="s">
        <v>80</v>
      </c>
      <c r="B618" s="7" t="s">
        <v>256</v>
      </c>
    </row>
    <row r="619" ht="15.75" customHeight="1">
      <c r="A619" s="7" t="s">
        <v>94</v>
      </c>
      <c r="B619" s="7" t="s">
        <v>256</v>
      </c>
    </row>
    <row r="620" ht="15.75" customHeight="1">
      <c r="A620" s="6" t="s">
        <v>910</v>
      </c>
      <c r="B620" s="6" t="s">
        <v>256</v>
      </c>
    </row>
    <row r="621" ht="15.75" customHeight="1">
      <c r="A621" s="6" t="s">
        <v>1126</v>
      </c>
      <c r="B621" s="6" t="s">
        <v>256</v>
      </c>
    </row>
    <row r="622" ht="15.75" customHeight="1">
      <c r="A622" s="7" t="s">
        <v>70</v>
      </c>
      <c r="B622" s="7" t="s">
        <v>257</v>
      </c>
    </row>
    <row r="623" ht="15.75" customHeight="1">
      <c r="A623" s="7" t="s">
        <v>194</v>
      </c>
      <c r="B623" s="7" t="s">
        <v>257</v>
      </c>
    </row>
    <row r="624" ht="15.75" customHeight="1">
      <c r="A624" s="7" t="s">
        <v>71</v>
      </c>
      <c r="B624" s="7" t="s">
        <v>257</v>
      </c>
    </row>
    <row r="625" ht="15.75" customHeight="1">
      <c r="A625" s="7" t="s">
        <v>149</v>
      </c>
      <c r="B625" s="7" t="s">
        <v>257</v>
      </c>
    </row>
    <row r="626" ht="15.75" customHeight="1">
      <c r="A626" s="7" t="s">
        <v>162</v>
      </c>
      <c r="B626" s="7" t="s">
        <v>257</v>
      </c>
    </row>
    <row r="627" ht="15.75" customHeight="1">
      <c r="A627" s="7" t="s">
        <v>171</v>
      </c>
      <c r="B627" s="7" t="s">
        <v>257</v>
      </c>
    </row>
    <row r="628" ht="15.75" customHeight="1">
      <c r="A628" s="6" t="s">
        <v>910</v>
      </c>
      <c r="B628" s="6" t="s">
        <v>257</v>
      </c>
    </row>
    <row r="629" ht="15.75" customHeight="1">
      <c r="A629" s="7" t="s">
        <v>75</v>
      </c>
      <c r="B629" s="7" t="s">
        <v>258</v>
      </c>
    </row>
    <row r="630" ht="15.75" customHeight="1">
      <c r="A630" s="7" t="s">
        <v>156</v>
      </c>
      <c r="B630" s="7" t="s">
        <v>258</v>
      </c>
    </row>
    <row r="631" ht="15.75" customHeight="1">
      <c r="A631" s="7" t="s">
        <v>120</v>
      </c>
      <c r="B631" s="7" t="s">
        <v>258</v>
      </c>
    </row>
    <row r="632" ht="15.75" customHeight="1">
      <c r="A632" s="7" t="s">
        <v>157</v>
      </c>
      <c r="B632" s="7" t="s">
        <v>258</v>
      </c>
    </row>
    <row r="633" ht="15.75" customHeight="1">
      <c r="A633" s="7" t="s">
        <v>162</v>
      </c>
      <c r="B633" s="7" t="s">
        <v>258</v>
      </c>
    </row>
    <row r="634" ht="15.75" customHeight="1">
      <c r="A634" s="7" t="s">
        <v>111</v>
      </c>
      <c r="B634" s="7" t="s">
        <v>258</v>
      </c>
    </row>
    <row r="635" ht="15.75" customHeight="1">
      <c r="A635" s="6" t="s">
        <v>910</v>
      </c>
      <c r="B635" s="6" t="s">
        <v>258</v>
      </c>
    </row>
    <row r="636" ht="15.75" customHeight="1">
      <c r="A636" s="7" t="s">
        <v>173</v>
      </c>
      <c r="B636" s="7" t="s">
        <v>259</v>
      </c>
    </row>
    <row r="637" ht="15.75" customHeight="1">
      <c r="A637" s="7" t="s">
        <v>194</v>
      </c>
      <c r="B637" s="7" t="s">
        <v>259</v>
      </c>
    </row>
    <row r="638" ht="15.75" customHeight="1">
      <c r="A638" s="7" t="s">
        <v>71</v>
      </c>
      <c r="B638" s="7" t="s">
        <v>259</v>
      </c>
    </row>
    <row r="639" ht="15.75" customHeight="1">
      <c r="A639" s="7" t="s">
        <v>110</v>
      </c>
      <c r="B639" s="7" t="s">
        <v>259</v>
      </c>
    </row>
    <row r="640" ht="15.75" customHeight="1">
      <c r="A640" s="7" t="s">
        <v>106</v>
      </c>
      <c r="B640" s="7" t="s">
        <v>259</v>
      </c>
    </row>
    <row r="641" ht="15.75" customHeight="1">
      <c r="A641" s="7" t="s">
        <v>171</v>
      </c>
      <c r="B641" s="7" t="s">
        <v>259</v>
      </c>
    </row>
    <row r="642" ht="15.75" customHeight="1">
      <c r="A642" s="6" t="s">
        <v>910</v>
      </c>
      <c r="B642" s="6" t="s">
        <v>259</v>
      </c>
    </row>
    <row r="643" ht="15.75" customHeight="1">
      <c r="A643" s="7" t="s">
        <v>143</v>
      </c>
      <c r="B643" s="7" t="s">
        <v>260</v>
      </c>
    </row>
    <row r="644" ht="15.75" customHeight="1">
      <c r="A644" s="7" t="s">
        <v>63</v>
      </c>
      <c r="B644" s="7" t="s">
        <v>260</v>
      </c>
    </row>
    <row r="645" ht="15.75" customHeight="1">
      <c r="A645" s="7" t="s">
        <v>192</v>
      </c>
      <c r="B645" s="7" t="s">
        <v>260</v>
      </c>
    </row>
    <row r="646" ht="15.75" customHeight="1">
      <c r="A646" s="7" t="s">
        <v>72</v>
      </c>
      <c r="B646" s="7" t="s">
        <v>260</v>
      </c>
    </row>
    <row r="647" ht="15.75" customHeight="1">
      <c r="A647" s="7" t="s">
        <v>208</v>
      </c>
      <c r="B647" s="7" t="s">
        <v>260</v>
      </c>
    </row>
    <row r="648" ht="15.75" customHeight="1">
      <c r="A648" s="7" t="s">
        <v>94</v>
      </c>
      <c r="B648" s="7" t="s">
        <v>260</v>
      </c>
    </row>
    <row r="649" ht="15.75" customHeight="1">
      <c r="A649" s="6" t="s">
        <v>910</v>
      </c>
      <c r="B649" s="6" t="s">
        <v>260</v>
      </c>
    </row>
    <row r="650" ht="15.75" customHeight="1">
      <c r="A650" s="6" t="s">
        <v>910</v>
      </c>
      <c r="B650" s="6" t="s">
        <v>2347</v>
      </c>
    </row>
    <row r="651" ht="15.75" customHeight="1">
      <c r="A651" s="7" t="s">
        <v>169</v>
      </c>
      <c r="B651" s="7" t="s">
        <v>261</v>
      </c>
    </row>
    <row r="652" ht="15.75" customHeight="1">
      <c r="A652" s="7" t="s">
        <v>85</v>
      </c>
      <c r="B652" s="7" t="s">
        <v>261</v>
      </c>
    </row>
    <row r="653" ht="15.75" customHeight="1">
      <c r="A653" s="7" t="s">
        <v>170</v>
      </c>
      <c r="B653" s="7" t="s">
        <v>261</v>
      </c>
    </row>
    <row r="654" ht="15.75" customHeight="1">
      <c r="A654" s="7" t="s">
        <v>166</v>
      </c>
      <c r="B654" s="7" t="s">
        <v>261</v>
      </c>
    </row>
    <row r="655" ht="15.75" customHeight="1">
      <c r="A655" s="7" t="s">
        <v>126</v>
      </c>
      <c r="B655" s="7" t="s">
        <v>261</v>
      </c>
    </row>
    <row r="656" ht="15.75" customHeight="1">
      <c r="A656" s="7" t="s">
        <v>220</v>
      </c>
      <c r="B656" s="7" t="s">
        <v>261</v>
      </c>
    </row>
    <row r="657" ht="15.75" customHeight="1">
      <c r="A657" s="6" t="s">
        <v>910</v>
      </c>
      <c r="B657" s="6" t="s">
        <v>261</v>
      </c>
    </row>
    <row r="658" ht="15.75" customHeight="1">
      <c r="A658" s="7" t="s">
        <v>159</v>
      </c>
      <c r="B658" s="7" t="s">
        <v>262</v>
      </c>
    </row>
    <row r="659" ht="15.75" customHeight="1">
      <c r="A659" s="7" t="s">
        <v>134</v>
      </c>
      <c r="B659" s="7" t="s">
        <v>262</v>
      </c>
    </row>
    <row r="660" ht="15.75" customHeight="1">
      <c r="A660" s="7" t="s">
        <v>175</v>
      </c>
      <c r="B660" s="7" t="s">
        <v>262</v>
      </c>
    </row>
    <row r="661" ht="15.75" customHeight="1">
      <c r="A661" s="7" t="s">
        <v>157</v>
      </c>
      <c r="B661" s="7" t="s">
        <v>262</v>
      </c>
    </row>
    <row r="662" ht="15.75" customHeight="1">
      <c r="A662" s="7" t="s">
        <v>187</v>
      </c>
      <c r="B662" s="7" t="s">
        <v>262</v>
      </c>
    </row>
    <row r="663" ht="15.75" customHeight="1">
      <c r="A663" s="7" t="s">
        <v>111</v>
      </c>
      <c r="B663" s="7" t="s">
        <v>262</v>
      </c>
    </row>
    <row r="664" ht="15.75" customHeight="1">
      <c r="A664" s="6" t="s">
        <v>910</v>
      </c>
      <c r="B664" s="6" t="s">
        <v>262</v>
      </c>
    </row>
    <row r="665" ht="15.75" customHeight="1">
      <c r="A665" s="7" t="s">
        <v>97</v>
      </c>
      <c r="B665" s="7" t="s">
        <v>263</v>
      </c>
    </row>
    <row r="666" ht="15.75" customHeight="1">
      <c r="A666" s="7" t="s">
        <v>92</v>
      </c>
      <c r="B666" s="7" t="s">
        <v>263</v>
      </c>
    </row>
    <row r="667" ht="15.75" customHeight="1">
      <c r="A667" s="7" t="s">
        <v>104</v>
      </c>
      <c r="B667" s="7" t="s">
        <v>263</v>
      </c>
    </row>
    <row r="668" ht="15.75" customHeight="1">
      <c r="A668" s="7" t="s">
        <v>110</v>
      </c>
      <c r="B668" s="7" t="s">
        <v>263</v>
      </c>
    </row>
    <row r="669" ht="15.75" customHeight="1">
      <c r="A669" s="7" t="s">
        <v>106</v>
      </c>
      <c r="B669" s="7" t="s">
        <v>263</v>
      </c>
    </row>
    <row r="670" ht="15.75" customHeight="1">
      <c r="A670" s="7" t="s">
        <v>127</v>
      </c>
      <c r="B670" s="7" t="s">
        <v>263</v>
      </c>
    </row>
    <row r="671" ht="15.75" customHeight="1">
      <c r="A671" s="7" t="s">
        <v>169</v>
      </c>
      <c r="B671" s="7" t="s">
        <v>264</v>
      </c>
    </row>
    <row r="672" ht="15.75" customHeight="1">
      <c r="A672" s="7" t="s">
        <v>183</v>
      </c>
      <c r="B672" s="7" t="s">
        <v>264</v>
      </c>
    </row>
    <row r="673" ht="15.75" customHeight="1">
      <c r="A673" s="7" t="s">
        <v>153</v>
      </c>
      <c r="B673" s="7" t="s">
        <v>264</v>
      </c>
    </row>
    <row r="674" ht="15.75" customHeight="1">
      <c r="A674" s="7" t="s">
        <v>166</v>
      </c>
      <c r="B674" s="7" t="s">
        <v>264</v>
      </c>
    </row>
    <row r="675" ht="15.75" customHeight="1">
      <c r="A675" s="7" t="s">
        <v>181</v>
      </c>
      <c r="B675" s="7" t="s">
        <v>264</v>
      </c>
    </row>
    <row r="676" ht="15.75" customHeight="1">
      <c r="A676" s="7" t="s">
        <v>139</v>
      </c>
      <c r="B676" s="7" t="s">
        <v>264</v>
      </c>
    </row>
    <row r="677" ht="15.75" customHeight="1">
      <c r="A677" s="6" t="s">
        <v>910</v>
      </c>
      <c r="B677" s="6" t="s">
        <v>264</v>
      </c>
    </row>
    <row r="678" ht="15.75" customHeight="1">
      <c r="A678" s="7" t="s">
        <v>169</v>
      </c>
      <c r="B678" s="7" t="s">
        <v>265</v>
      </c>
    </row>
    <row r="679" ht="15.75" customHeight="1">
      <c r="A679" s="7" t="s">
        <v>122</v>
      </c>
      <c r="B679" s="7" t="s">
        <v>265</v>
      </c>
    </row>
    <row r="680" ht="15.75" customHeight="1">
      <c r="A680" s="7" t="s">
        <v>170</v>
      </c>
      <c r="B680" s="7" t="s">
        <v>265</v>
      </c>
    </row>
    <row r="681" ht="15.75" customHeight="1">
      <c r="A681" s="7" t="s">
        <v>110</v>
      </c>
      <c r="B681" s="7" t="s">
        <v>265</v>
      </c>
    </row>
    <row r="682" ht="15.75" customHeight="1">
      <c r="A682" s="7" t="s">
        <v>150</v>
      </c>
      <c r="B682" s="7" t="s">
        <v>265</v>
      </c>
    </row>
    <row r="683" ht="15.75" customHeight="1">
      <c r="A683" s="7" t="s">
        <v>158</v>
      </c>
      <c r="B683" s="7" t="s">
        <v>265</v>
      </c>
    </row>
    <row r="684" ht="15.75" customHeight="1">
      <c r="A684" s="6" t="s">
        <v>910</v>
      </c>
      <c r="B684" s="6" t="s">
        <v>265</v>
      </c>
    </row>
    <row r="685" ht="15.75" customHeight="1">
      <c r="A685" s="7" t="s">
        <v>173</v>
      </c>
      <c r="B685" s="7" t="s">
        <v>266</v>
      </c>
    </row>
    <row r="686" ht="15.75" customHeight="1">
      <c r="A686" s="7" t="s">
        <v>85</v>
      </c>
      <c r="B686" s="7" t="s">
        <v>266</v>
      </c>
    </row>
    <row r="687" ht="15.75" customHeight="1">
      <c r="A687" s="7" t="s">
        <v>120</v>
      </c>
      <c r="B687" s="7" t="s">
        <v>266</v>
      </c>
    </row>
    <row r="688" ht="15.75" customHeight="1">
      <c r="A688" s="7" t="s">
        <v>166</v>
      </c>
      <c r="B688" s="7" t="s">
        <v>266</v>
      </c>
    </row>
    <row r="689" ht="15.75" customHeight="1">
      <c r="A689" s="7" t="s">
        <v>150</v>
      </c>
      <c r="B689" s="7" t="s">
        <v>266</v>
      </c>
    </row>
    <row r="690" ht="15.75" customHeight="1">
      <c r="A690" s="7" t="s">
        <v>220</v>
      </c>
      <c r="B690" s="7" t="s">
        <v>266</v>
      </c>
    </row>
    <row r="691" ht="15.75" customHeight="1">
      <c r="A691" s="6" t="s">
        <v>910</v>
      </c>
      <c r="B691" s="6" t="s">
        <v>266</v>
      </c>
    </row>
    <row r="692" ht="15.75" customHeight="1">
      <c r="A692" s="7" t="s">
        <v>146</v>
      </c>
      <c r="B692" s="7" t="s">
        <v>267</v>
      </c>
    </row>
    <row r="693" ht="15.75" customHeight="1">
      <c r="A693" s="7" t="s">
        <v>148</v>
      </c>
      <c r="B693" s="7" t="s">
        <v>267</v>
      </c>
    </row>
    <row r="694" ht="15.75" customHeight="1">
      <c r="A694" s="7" t="s">
        <v>120</v>
      </c>
      <c r="B694" s="7" t="s">
        <v>267</v>
      </c>
    </row>
    <row r="695" ht="15.75" customHeight="1">
      <c r="A695" s="7" t="s">
        <v>123</v>
      </c>
      <c r="B695" s="7" t="s">
        <v>267</v>
      </c>
    </row>
    <row r="696" ht="15.75" customHeight="1">
      <c r="A696" s="7" t="s">
        <v>196</v>
      </c>
      <c r="B696" s="7" t="s">
        <v>267</v>
      </c>
    </row>
    <row r="697" ht="15.75" customHeight="1">
      <c r="A697" s="7" t="s">
        <v>158</v>
      </c>
      <c r="B697" s="7" t="s">
        <v>267</v>
      </c>
    </row>
    <row r="698" ht="15.75" customHeight="1">
      <c r="A698" s="6" t="s">
        <v>910</v>
      </c>
      <c r="B698" s="6" t="s">
        <v>267</v>
      </c>
    </row>
    <row r="699" ht="15.75" customHeight="1">
      <c r="A699" s="7" t="s">
        <v>82</v>
      </c>
      <c r="B699" s="7" t="s">
        <v>268</v>
      </c>
    </row>
    <row r="700" ht="15.75" customHeight="1">
      <c r="A700" s="7" t="s">
        <v>114</v>
      </c>
      <c r="B700" s="7" t="s">
        <v>268</v>
      </c>
    </row>
    <row r="701" ht="15.75" customHeight="1">
      <c r="A701" s="7" t="s">
        <v>84</v>
      </c>
      <c r="B701" s="7" t="s">
        <v>268</v>
      </c>
    </row>
    <row r="702" ht="15.75" customHeight="1">
      <c r="A702" s="7" t="s">
        <v>79</v>
      </c>
      <c r="B702" s="7" t="s">
        <v>268</v>
      </c>
    </row>
    <row r="703" ht="15.75" customHeight="1">
      <c r="A703" s="7" t="s">
        <v>93</v>
      </c>
      <c r="B703" s="7" t="s">
        <v>268</v>
      </c>
    </row>
    <row r="704" ht="15.75" customHeight="1">
      <c r="A704" s="7" t="s">
        <v>94</v>
      </c>
      <c r="B704" s="7" t="s">
        <v>268</v>
      </c>
    </row>
    <row r="705" ht="15.75" customHeight="1">
      <c r="A705" s="6" t="s">
        <v>910</v>
      </c>
      <c r="B705" s="6" t="s">
        <v>268</v>
      </c>
    </row>
    <row r="706" ht="15.75" customHeight="1">
      <c r="A706" s="7" t="s">
        <v>132</v>
      </c>
      <c r="B706" s="7" t="s">
        <v>269</v>
      </c>
    </row>
    <row r="707" ht="15.75" customHeight="1">
      <c r="A707" s="7" t="s">
        <v>97</v>
      </c>
      <c r="B707" s="7" t="s">
        <v>269</v>
      </c>
    </row>
    <row r="708" ht="15.75" customHeight="1">
      <c r="A708" s="7" t="s">
        <v>78</v>
      </c>
      <c r="B708" s="7" t="s">
        <v>269</v>
      </c>
    </row>
    <row r="709" ht="15.75" customHeight="1">
      <c r="A709" s="7" t="s">
        <v>211</v>
      </c>
      <c r="B709" s="7" t="s">
        <v>269</v>
      </c>
    </row>
    <row r="710" ht="15.75" customHeight="1">
      <c r="A710" s="7" t="s">
        <v>222</v>
      </c>
      <c r="B710" s="7" t="s">
        <v>269</v>
      </c>
    </row>
    <row r="711" ht="15.75" customHeight="1">
      <c r="A711" s="7" t="s">
        <v>212</v>
      </c>
      <c r="B711" s="7" t="s">
        <v>269</v>
      </c>
    </row>
    <row r="712" ht="15.75" customHeight="1">
      <c r="A712" s="6" t="s">
        <v>910</v>
      </c>
      <c r="B712" s="6" t="s">
        <v>269</v>
      </c>
    </row>
    <row r="713" ht="15.75" customHeight="1">
      <c r="A713" s="7" t="s">
        <v>63</v>
      </c>
      <c r="B713" s="7" t="s">
        <v>270</v>
      </c>
    </row>
    <row r="714" ht="15.75" customHeight="1">
      <c r="A714" s="7" t="s">
        <v>161</v>
      </c>
      <c r="B714" s="7" t="s">
        <v>270</v>
      </c>
    </row>
    <row r="715" ht="15.75" customHeight="1">
      <c r="A715" s="7" t="s">
        <v>78</v>
      </c>
      <c r="B715" s="7" t="s">
        <v>270</v>
      </c>
    </row>
    <row r="716" ht="15.75" customHeight="1">
      <c r="A716" s="7" t="s">
        <v>240</v>
      </c>
      <c r="B716" s="7" t="s">
        <v>270</v>
      </c>
    </row>
    <row r="717" ht="15.75" customHeight="1">
      <c r="A717" s="7" t="s">
        <v>117</v>
      </c>
      <c r="B717" s="7" t="s">
        <v>270</v>
      </c>
    </row>
    <row r="718" ht="15.75" customHeight="1">
      <c r="A718" s="7" t="s">
        <v>74</v>
      </c>
      <c r="B718" s="7" t="s">
        <v>270</v>
      </c>
    </row>
    <row r="719" ht="15.75" customHeight="1">
      <c r="A719" s="6" t="s">
        <v>910</v>
      </c>
      <c r="B719" s="6" t="s">
        <v>270</v>
      </c>
    </row>
    <row r="720" ht="15.75" customHeight="1">
      <c r="A720" s="7" t="s">
        <v>169</v>
      </c>
      <c r="B720" s="7" t="s">
        <v>271</v>
      </c>
    </row>
    <row r="721" ht="15.75" customHeight="1">
      <c r="A721" s="7" t="s">
        <v>85</v>
      </c>
      <c r="B721" s="7" t="s">
        <v>271</v>
      </c>
    </row>
    <row r="722" ht="15.75" customHeight="1">
      <c r="A722" s="7" t="s">
        <v>170</v>
      </c>
      <c r="B722" s="7" t="s">
        <v>271</v>
      </c>
    </row>
    <row r="723" ht="15.75" customHeight="1">
      <c r="A723" s="7" t="s">
        <v>211</v>
      </c>
      <c r="B723" s="7" t="s">
        <v>271</v>
      </c>
    </row>
    <row r="724" ht="15.75" customHeight="1">
      <c r="A724" s="7" t="s">
        <v>150</v>
      </c>
      <c r="B724" s="7" t="s">
        <v>271</v>
      </c>
    </row>
    <row r="725" ht="15.75" customHeight="1">
      <c r="A725" s="7" t="s">
        <v>212</v>
      </c>
      <c r="B725" s="7" t="s">
        <v>271</v>
      </c>
    </row>
    <row r="726" ht="15.75" customHeight="1">
      <c r="A726" s="6" t="s">
        <v>910</v>
      </c>
      <c r="B726" s="6" t="s">
        <v>271</v>
      </c>
    </row>
    <row r="727" ht="15.75" customHeight="1">
      <c r="A727" s="7" t="s">
        <v>82</v>
      </c>
      <c r="B727" s="7" t="s">
        <v>272</v>
      </c>
    </row>
    <row r="728" ht="15.75" customHeight="1">
      <c r="A728" s="7" t="s">
        <v>68</v>
      </c>
      <c r="B728" s="7" t="s">
        <v>272</v>
      </c>
    </row>
    <row r="729" ht="15.75" customHeight="1">
      <c r="A729" s="7" t="s">
        <v>98</v>
      </c>
      <c r="B729" s="7" t="s">
        <v>272</v>
      </c>
    </row>
    <row r="730" ht="15.75" customHeight="1">
      <c r="A730" s="7" t="s">
        <v>86</v>
      </c>
      <c r="B730" s="7" t="s">
        <v>272</v>
      </c>
    </row>
    <row r="731" ht="15.75" customHeight="1">
      <c r="A731" s="7" t="s">
        <v>93</v>
      </c>
      <c r="B731" s="7" t="s">
        <v>272</v>
      </c>
    </row>
    <row r="732" ht="15.75" customHeight="1">
      <c r="A732" s="7" t="s">
        <v>67</v>
      </c>
      <c r="B732" s="7" t="s">
        <v>272</v>
      </c>
    </row>
    <row r="733" ht="15.75" customHeight="1">
      <c r="A733" s="6" t="s">
        <v>910</v>
      </c>
      <c r="B733" s="6" t="s">
        <v>272</v>
      </c>
    </row>
    <row r="734" ht="15.75" customHeight="1">
      <c r="A734" s="7" t="s">
        <v>100</v>
      </c>
      <c r="B734" s="7" t="s">
        <v>273</v>
      </c>
    </row>
    <row r="735" ht="15.75" customHeight="1">
      <c r="A735" s="7" t="s">
        <v>132</v>
      </c>
      <c r="B735" s="7" t="s">
        <v>273</v>
      </c>
    </row>
    <row r="736" ht="15.75" customHeight="1">
      <c r="A736" s="7" t="s">
        <v>104</v>
      </c>
      <c r="B736" s="7" t="s">
        <v>273</v>
      </c>
    </row>
    <row r="737" ht="15.75" customHeight="1">
      <c r="A737" s="7" t="s">
        <v>86</v>
      </c>
      <c r="B737" s="7" t="s">
        <v>273</v>
      </c>
    </row>
    <row r="738" ht="15.75" customHeight="1">
      <c r="A738" s="7" t="s">
        <v>117</v>
      </c>
      <c r="B738" s="7" t="s">
        <v>273</v>
      </c>
    </row>
    <row r="739" ht="15.75" customHeight="1">
      <c r="A739" s="7" t="s">
        <v>88</v>
      </c>
      <c r="B739" s="7" t="s">
        <v>273</v>
      </c>
    </row>
    <row r="740" ht="15.75" customHeight="1">
      <c r="A740" s="6" t="s">
        <v>910</v>
      </c>
      <c r="B740" s="6" t="s">
        <v>273</v>
      </c>
    </row>
    <row r="741" ht="15.75" customHeight="1">
      <c r="A741" s="7" t="s">
        <v>82</v>
      </c>
      <c r="B741" s="7" t="s">
        <v>274</v>
      </c>
    </row>
    <row r="742" ht="15.75" customHeight="1">
      <c r="A742" s="7" t="s">
        <v>84</v>
      </c>
      <c r="B742" s="7" t="s">
        <v>274</v>
      </c>
    </row>
    <row r="743" ht="15.75" customHeight="1">
      <c r="A743" s="7" t="s">
        <v>85</v>
      </c>
      <c r="B743" s="7" t="s">
        <v>274</v>
      </c>
    </row>
    <row r="744" ht="15.75" customHeight="1">
      <c r="A744" s="7" t="s">
        <v>207</v>
      </c>
      <c r="B744" s="7" t="s">
        <v>274</v>
      </c>
    </row>
    <row r="745" ht="15.75" customHeight="1">
      <c r="A745" s="7" t="s">
        <v>80</v>
      </c>
      <c r="B745" s="7" t="s">
        <v>274</v>
      </c>
    </row>
    <row r="746" ht="15.75" customHeight="1">
      <c r="A746" s="7" t="s">
        <v>185</v>
      </c>
      <c r="B746" s="7" t="s">
        <v>274</v>
      </c>
    </row>
    <row r="747" ht="15.75" customHeight="1">
      <c r="A747" s="6" t="s">
        <v>910</v>
      </c>
      <c r="B747" s="6" t="s">
        <v>274</v>
      </c>
    </row>
    <row r="748" ht="15.75" customHeight="1">
      <c r="A748" s="6" t="s">
        <v>1126</v>
      </c>
      <c r="B748" s="6" t="s">
        <v>274</v>
      </c>
    </row>
    <row r="749" ht="15.75" customHeight="1">
      <c r="A749" s="7" t="s">
        <v>161</v>
      </c>
      <c r="B749" s="7" t="s">
        <v>275</v>
      </c>
    </row>
    <row r="750" ht="15.75" customHeight="1">
      <c r="A750" s="7" t="s">
        <v>153</v>
      </c>
      <c r="B750" s="7" t="s">
        <v>275</v>
      </c>
    </row>
    <row r="751" ht="15.75" customHeight="1">
      <c r="A751" s="7" t="s">
        <v>141</v>
      </c>
      <c r="B751" s="7" t="s">
        <v>275</v>
      </c>
    </row>
    <row r="752" ht="15.75" customHeight="1">
      <c r="A752" s="7" t="s">
        <v>195</v>
      </c>
      <c r="B752" s="7" t="s">
        <v>275</v>
      </c>
    </row>
    <row r="753" ht="15.75" customHeight="1">
      <c r="A753" s="7" t="s">
        <v>150</v>
      </c>
      <c r="B753" s="7" t="s">
        <v>275</v>
      </c>
    </row>
    <row r="754" ht="15.75" customHeight="1">
      <c r="A754" s="7" t="s">
        <v>139</v>
      </c>
      <c r="B754" s="7" t="s">
        <v>275</v>
      </c>
    </row>
    <row r="755" ht="15.75" customHeight="1">
      <c r="A755" s="6" t="s">
        <v>910</v>
      </c>
      <c r="B755" s="6" t="s">
        <v>275</v>
      </c>
    </row>
    <row r="756" ht="15.75" customHeight="1">
      <c r="A756" s="7" t="s">
        <v>143</v>
      </c>
      <c r="B756" s="7" t="s">
        <v>276</v>
      </c>
    </row>
    <row r="757" ht="15.75" customHeight="1">
      <c r="A757" s="7" t="s">
        <v>159</v>
      </c>
      <c r="B757" s="7" t="s">
        <v>276</v>
      </c>
    </row>
    <row r="758" ht="15.75" customHeight="1">
      <c r="A758" s="7" t="s">
        <v>129</v>
      </c>
      <c r="B758" s="7" t="s">
        <v>276</v>
      </c>
    </row>
    <row r="759" ht="15.75" customHeight="1">
      <c r="A759" s="7" t="s">
        <v>86</v>
      </c>
      <c r="B759" s="7" t="s">
        <v>276</v>
      </c>
    </row>
    <row r="760" ht="15.75" customHeight="1">
      <c r="A760" s="7" t="s">
        <v>66</v>
      </c>
      <c r="B760" s="7" t="s">
        <v>276</v>
      </c>
    </row>
    <row r="761" ht="15.75" customHeight="1">
      <c r="A761" s="7" t="s">
        <v>88</v>
      </c>
      <c r="B761" s="7" t="s">
        <v>276</v>
      </c>
    </row>
    <row r="762" ht="15.75" customHeight="1">
      <c r="A762" s="6" t="s">
        <v>910</v>
      </c>
      <c r="B762" s="6" t="s">
        <v>276</v>
      </c>
    </row>
    <row r="763" ht="15.75" customHeight="1">
      <c r="A763" s="6" t="s">
        <v>1126</v>
      </c>
      <c r="B763" s="6" t="s">
        <v>276</v>
      </c>
    </row>
    <row r="764" ht="15.75" customHeight="1">
      <c r="A764" s="6" t="s">
        <v>910</v>
      </c>
      <c r="B764" s="6" t="s">
        <v>2365</v>
      </c>
    </row>
    <row r="765" ht="15.75" customHeight="1">
      <c r="A765" s="7" t="s">
        <v>146</v>
      </c>
      <c r="B765" s="7" t="s">
        <v>277</v>
      </c>
    </row>
    <row r="766" ht="15.75" customHeight="1">
      <c r="A766" s="7" t="s">
        <v>75</v>
      </c>
      <c r="B766" s="7" t="s">
        <v>277</v>
      </c>
    </row>
    <row r="767" ht="15.75" customHeight="1">
      <c r="A767" s="7" t="s">
        <v>98</v>
      </c>
      <c r="B767" s="7" t="s">
        <v>277</v>
      </c>
    </row>
    <row r="768" ht="15.75" customHeight="1">
      <c r="A768" s="7" t="s">
        <v>184</v>
      </c>
      <c r="B768" s="7" t="s">
        <v>277</v>
      </c>
    </row>
    <row r="769" ht="15.75" customHeight="1">
      <c r="A769" s="7" t="s">
        <v>73</v>
      </c>
      <c r="B769" s="7" t="s">
        <v>277</v>
      </c>
    </row>
    <row r="770" ht="15.75" customHeight="1">
      <c r="A770" s="7" t="s">
        <v>199</v>
      </c>
      <c r="B770" s="7" t="s">
        <v>277</v>
      </c>
    </row>
    <row r="771" ht="15.75" customHeight="1">
      <c r="A771" s="6" t="s">
        <v>910</v>
      </c>
      <c r="B771" s="6" t="s">
        <v>277</v>
      </c>
    </row>
    <row r="772" ht="15.75" customHeight="1">
      <c r="A772" s="7" t="s">
        <v>63</v>
      </c>
      <c r="B772" s="7" t="s">
        <v>278</v>
      </c>
    </row>
    <row r="773" ht="15.75" customHeight="1">
      <c r="A773" s="7" t="s">
        <v>161</v>
      </c>
      <c r="B773" s="7" t="s">
        <v>278</v>
      </c>
    </row>
    <row r="774" ht="15.75" customHeight="1">
      <c r="A774" s="7" t="s">
        <v>141</v>
      </c>
      <c r="B774" s="7" t="s">
        <v>278</v>
      </c>
    </row>
    <row r="775" ht="15.75" customHeight="1">
      <c r="A775" s="7" t="s">
        <v>65</v>
      </c>
      <c r="B775" s="7" t="s">
        <v>278</v>
      </c>
    </row>
    <row r="776" ht="15.75" customHeight="1">
      <c r="A776" s="7" t="s">
        <v>117</v>
      </c>
      <c r="B776" s="7" t="s">
        <v>278</v>
      </c>
    </row>
    <row r="777" ht="15.75" customHeight="1">
      <c r="A777" s="7" t="s">
        <v>67</v>
      </c>
      <c r="B777" s="7" t="s">
        <v>278</v>
      </c>
    </row>
    <row r="778" ht="15.75" customHeight="1">
      <c r="A778" s="6" t="s">
        <v>910</v>
      </c>
      <c r="B778" s="6" t="s">
        <v>278</v>
      </c>
    </row>
    <row r="779" ht="15.75" customHeight="1">
      <c r="A779" s="7" t="s">
        <v>97</v>
      </c>
      <c r="B779" s="7" t="s">
        <v>279</v>
      </c>
    </row>
    <row r="780" ht="15.75" customHeight="1">
      <c r="A780" s="7" t="s">
        <v>153</v>
      </c>
      <c r="B780" s="7" t="s">
        <v>279</v>
      </c>
    </row>
    <row r="781" ht="15.75" customHeight="1">
      <c r="A781" s="7" t="s">
        <v>104</v>
      </c>
      <c r="B781" s="7" t="s">
        <v>279</v>
      </c>
    </row>
    <row r="782" ht="15.75" customHeight="1">
      <c r="A782" s="7" t="s">
        <v>166</v>
      </c>
      <c r="B782" s="7" t="s">
        <v>279</v>
      </c>
    </row>
    <row r="783" ht="15.75" customHeight="1">
      <c r="A783" s="7" t="s">
        <v>106</v>
      </c>
      <c r="B783" s="7" t="s">
        <v>279</v>
      </c>
    </row>
    <row r="784" ht="15.75" customHeight="1">
      <c r="A784" s="7" t="s">
        <v>139</v>
      </c>
      <c r="B784" s="7" t="s">
        <v>279</v>
      </c>
    </row>
    <row r="785" ht="15.75" customHeight="1">
      <c r="A785" s="6" t="s">
        <v>910</v>
      </c>
      <c r="B785" s="6" t="s">
        <v>279</v>
      </c>
    </row>
    <row r="786" ht="15.75" customHeight="1">
      <c r="A786" s="7" t="s">
        <v>100</v>
      </c>
      <c r="B786" s="7" t="s">
        <v>280</v>
      </c>
    </row>
    <row r="787" ht="15.75" customHeight="1">
      <c r="A787" s="7" t="s">
        <v>137</v>
      </c>
      <c r="B787" s="7" t="s">
        <v>280</v>
      </c>
    </row>
    <row r="788" ht="15.75" customHeight="1">
      <c r="A788" s="7" t="s">
        <v>78</v>
      </c>
      <c r="B788" s="7" t="s">
        <v>280</v>
      </c>
    </row>
    <row r="789" ht="15.75" customHeight="1">
      <c r="A789" s="7" t="s">
        <v>135</v>
      </c>
      <c r="B789" s="7" t="s">
        <v>280</v>
      </c>
    </row>
    <row r="790" ht="15.75" customHeight="1">
      <c r="A790" s="7" t="s">
        <v>106</v>
      </c>
      <c r="B790" s="7" t="s">
        <v>280</v>
      </c>
    </row>
    <row r="791" ht="15.75" customHeight="1">
      <c r="A791" s="7" t="s">
        <v>220</v>
      </c>
      <c r="B791" s="7" t="s">
        <v>280</v>
      </c>
    </row>
    <row r="792" ht="15.75" customHeight="1">
      <c r="A792" s="6" t="s">
        <v>910</v>
      </c>
      <c r="B792" s="6" t="s">
        <v>280</v>
      </c>
    </row>
    <row r="793" ht="15.75" customHeight="1">
      <c r="A793" s="7" t="s">
        <v>68</v>
      </c>
      <c r="B793" s="7" t="s">
        <v>281</v>
      </c>
    </row>
    <row r="794" ht="15.75" customHeight="1">
      <c r="A794" s="7" t="s">
        <v>75</v>
      </c>
      <c r="B794" s="7" t="s">
        <v>281</v>
      </c>
    </row>
    <row r="795" ht="15.75" customHeight="1">
      <c r="A795" s="7" t="s">
        <v>98</v>
      </c>
      <c r="B795" s="7" t="s">
        <v>281</v>
      </c>
    </row>
    <row r="796" ht="15.75" customHeight="1">
      <c r="A796" s="7" t="s">
        <v>105</v>
      </c>
      <c r="B796" s="7" t="s">
        <v>281</v>
      </c>
    </row>
    <row r="797" ht="15.75" customHeight="1">
      <c r="A797" s="7" t="s">
        <v>164</v>
      </c>
      <c r="B797" s="7" t="s">
        <v>281</v>
      </c>
    </row>
    <row r="798" ht="15.75" customHeight="1">
      <c r="A798" s="7" t="s">
        <v>107</v>
      </c>
      <c r="B798" s="7" t="s">
        <v>281</v>
      </c>
    </row>
    <row r="799" ht="15.75" customHeight="1">
      <c r="A799" s="6" t="s">
        <v>910</v>
      </c>
      <c r="B799" s="6" t="s">
        <v>281</v>
      </c>
    </row>
    <row r="800" ht="15.75" customHeight="1">
      <c r="A800" s="7" t="s">
        <v>137</v>
      </c>
      <c r="B800" s="7" t="s">
        <v>282</v>
      </c>
    </row>
    <row r="801" ht="15.75" customHeight="1">
      <c r="A801" s="7" t="s">
        <v>97</v>
      </c>
      <c r="B801" s="7" t="s">
        <v>282</v>
      </c>
    </row>
    <row r="802" ht="15.75" customHeight="1">
      <c r="A802" s="7" t="s">
        <v>104</v>
      </c>
      <c r="B802" s="7" t="s">
        <v>282</v>
      </c>
    </row>
    <row r="803" ht="15.75" customHeight="1">
      <c r="A803" s="7" t="s">
        <v>157</v>
      </c>
      <c r="B803" s="7" t="s">
        <v>282</v>
      </c>
    </row>
    <row r="804" ht="15.75" customHeight="1">
      <c r="A804" s="7" t="s">
        <v>162</v>
      </c>
      <c r="B804" s="7" t="s">
        <v>282</v>
      </c>
    </row>
    <row r="805" ht="15.75" customHeight="1">
      <c r="A805" s="7" t="s">
        <v>127</v>
      </c>
      <c r="B805" s="7" t="s">
        <v>282</v>
      </c>
    </row>
    <row r="806" ht="15.75" customHeight="1">
      <c r="A806" s="7" t="s">
        <v>161</v>
      </c>
      <c r="B806" s="7" t="s">
        <v>283</v>
      </c>
    </row>
    <row r="807" ht="15.75" customHeight="1">
      <c r="A807" s="7" t="s">
        <v>194</v>
      </c>
      <c r="B807" s="7" t="s">
        <v>283</v>
      </c>
    </row>
    <row r="808" ht="15.75" customHeight="1">
      <c r="A808" s="7" t="s">
        <v>141</v>
      </c>
      <c r="B808" s="7" t="s">
        <v>283</v>
      </c>
    </row>
    <row r="809" ht="15.75" customHeight="1">
      <c r="A809" s="7" t="s">
        <v>99</v>
      </c>
      <c r="B809" s="7" t="s">
        <v>283</v>
      </c>
    </row>
    <row r="810" ht="15.75" customHeight="1">
      <c r="A810" s="7" t="s">
        <v>66</v>
      </c>
      <c r="B810" s="7" t="s">
        <v>283</v>
      </c>
    </row>
    <row r="811" ht="15.75" customHeight="1">
      <c r="A811" s="7" t="s">
        <v>74</v>
      </c>
      <c r="B811" s="7" t="s">
        <v>283</v>
      </c>
    </row>
    <row r="812" ht="15.75" customHeight="1">
      <c r="A812" s="6" t="s">
        <v>910</v>
      </c>
      <c r="B812" s="6" t="s">
        <v>283</v>
      </c>
    </row>
    <row r="813" ht="15.75" customHeight="1">
      <c r="A813" s="6" t="s">
        <v>1126</v>
      </c>
      <c r="B813" s="6" t="s">
        <v>283</v>
      </c>
    </row>
    <row r="814" ht="15.75" customHeight="1">
      <c r="A814" s="7" t="s">
        <v>143</v>
      </c>
      <c r="B814" s="7" t="s">
        <v>284</v>
      </c>
    </row>
    <row r="815" ht="15.75" customHeight="1">
      <c r="A815" s="7" t="s">
        <v>192</v>
      </c>
      <c r="B815" s="7" t="s">
        <v>284</v>
      </c>
    </row>
    <row r="816" ht="15.75" customHeight="1">
      <c r="A816" s="7" t="s">
        <v>194</v>
      </c>
      <c r="B816" s="7" t="s">
        <v>284</v>
      </c>
    </row>
    <row r="817" ht="15.75" customHeight="1">
      <c r="A817" s="7" t="s">
        <v>184</v>
      </c>
      <c r="B817" s="7" t="s">
        <v>284</v>
      </c>
    </row>
    <row r="818" ht="15.75" customHeight="1">
      <c r="A818" s="7" t="s">
        <v>73</v>
      </c>
      <c r="B818" s="7" t="s">
        <v>284</v>
      </c>
    </row>
    <row r="819" ht="15.75" customHeight="1">
      <c r="A819" s="7" t="s">
        <v>118</v>
      </c>
      <c r="B819" s="7" t="s">
        <v>284</v>
      </c>
    </row>
    <row r="820" ht="15.75" customHeight="1">
      <c r="A820" s="6" t="s">
        <v>910</v>
      </c>
      <c r="B820" s="6" t="s">
        <v>284</v>
      </c>
    </row>
    <row r="821" ht="15.75" customHeight="1">
      <c r="A821" s="7" t="s">
        <v>75</v>
      </c>
      <c r="B821" s="7" t="s">
        <v>285</v>
      </c>
    </row>
    <row r="822" ht="15.75" customHeight="1">
      <c r="A822" s="7" t="s">
        <v>85</v>
      </c>
      <c r="B822" s="7" t="s">
        <v>285</v>
      </c>
    </row>
    <row r="823" ht="15.75" customHeight="1">
      <c r="A823" s="7" t="s">
        <v>98</v>
      </c>
      <c r="B823" s="7" t="s">
        <v>285</v>
      </c>
    </row>
    <row r="824" ht="15.75" customHeight="1">
      <c r="A824" s="7" t="s">
        <v>184</v>
      </c>
      <c r="B824" s="7" t="s">
        <v>285</v>
      </c>
    </row>
    <row r="825" ht="15.75" customHeight="1">
      <c r="A825" s="7" t="s">
        <v>80</v>
      </c>
      <c r="B825" s="7" t="s">
        <v>285</v>
      </c>
    </row>
    <row r="826" ht="15.75" customHeight="1">
      <c r="A826" s="7" t="s">
        <v>67</v>
      </c>
      <c r="B826" s="7" t="s">
        <v>285</v>
      </c>
    </row>
    <row r="827" ht="15.75" customHeight="1">
      <c r="A827" s="6" t="s">
        <v>910</v>
      </c>
      <c r="B827" s="6" t="s">
        <v>285</v>
      </c>
    </row>
    <row r="828" ht="15.75" customHeight="1">
      <c r="A828" s="6" t="s">
        <v>1126</v>
      </c>
      <c r="B828" s="6" t="s">
        <v>285</v>
      </c>
    </row>
    <row r="829" ht="15.75" customHeight="1">
      <c r="A829" s="7" t="s">
        <v>63</v>
      </c>
      <c r="B829" s="7" t="s">
        <v>286</v>
      </c>
    </row>
    <row r="830" ht="15.75" customHeight="1">
      <c r="A830" s="7" t="s">
        <v>100</v>
      </c>
      <c r="B830" s="7" t="s">
        <v>286</v>
      </c>
    </row>
    <row r="831" ht="15.75" customHeight="1">
      <c r="A831" s="7" t="s">
        <v>141</v>
      </c>
      <c r="B831" s="7" t="s">
        <v>286</v>
      </c>
    </row>
    <row r="832" ht="15.75" customHeight="1">
      <c r="A832" s="7" t="s">
        <v>166</v>
      </c>
      <c r="B832" s="7" t="s">
        <v>286</v>
      </c>
    </row>
    <row r="833" ht="15.75" customHeight="1">
      <c r="A833" s="7" t="s">
        <v>196</v>
      </c>
      <c r="B833" s="7" t="s">
        <v>286</v>
      </c>
    </row>
    <row r="834" ht="15.75" customHeight="1">
      <c r="A834" s="7" t="s">
        <v>212</v>
      </c>
      <c r="B834" s="7" t="s">
        <v>286</v>
      </c>
    </row>
    <row r="835" ht="15.75" customHeight="1">
      <c r="A835" s="6" t="s">
        <v>910</v>
      </c>
      <c r="B835" s="6" t="s">
        <v>286</v>
      </c>
    </row>
    <row r="836" ht="15.75" customHeight="1">
      <c r="A836" s="7" t="s">
        <v>169</v>
      </c>
      <c r="B836" s="7" t="s">
        <v>287</v>
      </c>
    </row>
    <row r="837" ht="15.75" customHeight="1">
      <c r="A837" s="7" t="s">
        <v>183</v>
      </c>
      <c r="B837" s="7" t="s">
        <v>287</v>
      </c>
    </row>
    <row r="838" ht="15.75" customHeight="1">
      <c r="A838" s="7" t="s">
        <v>109</v>
      </c>
      <c r="B838" s="7" t="s">
        <v>287</v>
      </c>
    </row>
    <row r="839" ht="15.75" customHeight="1">
      <c r="A839" s="7" t="s">
        <v>123</v>
      </c>
      <c r="B839" s="7" t="s">
        <v>287</v>
      </c>
    </row>
    <row r="840" ht="15.75" customHeight="1">
      <c r="A840" s="7" t="s">
        <v>164</v>
      </c>
      <c r="B840" s="7" t="s">
        <v>287</v>
      </c>
    </row>
    <row r="841" ht="15.75" customHeight="1">
      <c r="A841" s="7" t="s">
        <v>111</v>
      </c>
      <c r="B841" s="7" t="s">
        <v>287</v>
      </c>
    </row>
    <row r="842" ht="15.75" customHeight="1">
      <c r="A842" s="6" t="s">
        <v>910</v>
      </c>
      <c r="B842" s="6" t="s">
        <v>287</v>
      </c>
    </row>
    <row r="843" ht="15.75" customHeight="1">
      <c r="A843" s="7" t="s">
        <v>148</v>
      </c>
      <c r="B843" s="7" t="s">
        <v>288</v>
      </c>
    </row>
    <row r="844" ht="15.75" customHeight="1">
      <c r="A844" s="7" t="s">
        <v>156</v>
      </c>
      <c r="B844" s="7" t="s">
        <v>288</v>
      </c>
    </row>
    <row r="845" ht="15.75" customHeight="1">
      <c r="A845" s="7" t="s">
        <v>120</v>
      </c>
      <c r="B845" s="7" t="s">
        <v>288</v>
      </c>
    </row>
    <row r="846" ht="15.75" customHeight="1">
      <c r="A846" s="7" t="s">
        <v>211</v>
      </c>
      <c r="B846" s="7" t="s">
        <v>288</v>
      </c>
    </row>
    <row r="847" ht="15.75" customHeight="1">
      <c r="A847" s="7" t="s">
        <v>164</v>
      </c>
      <c r="B847" s="7" t="s">
        <v>288</v>
      </c>
    </row>
    <row r="848" ht="15.75" customHeight="1">
      <c r="A848" s="7" t="s">
        <v>220</v>
      </c>
      <c r="B848" s="7" t="s">
        <v>288</v>
      </c>
    </row>
    <row r="849" ht="15.75" customHeight="1">
      <c r="A849" s="6" t="s">
        <v>910</v>
      </c>
      <c r="B849" s="6" t="s">
        <v>288</v>
      </c>
    </row>
    <row r="850" ht="15.75" customHeight="1">
      <c r="A850" s="7" t="s">
        <v>148</v>
      </c>
      <c r="B850" s="7" t="s">
        <v>289</v>
      </c>
    </row>
    <row r="851" ht="15.75" customHeight="1">
      <c r="A851" s="7" t="s">
        <v>122</v>
      </c>
      <c r="B851" s="7" t="s">
        <v>289</v>
      </c>
    </row>
    <row r="852" ht="15.75" customHeight="1">
      <c r="A852" s="7" t="s">
        <v>120</v>
      </c>
      <c r="B852" s="7" t="s">
        <v>289</v>
      </c>
    </row>
    <row r="853" ht="15.75" customHeight="1">
      <c r="A853" s="7" t="s">
        <v>135</v>
      </c>
      <c r="B853" s="7" t="s">
        <v>289</v>
      </c>
    </row>
    <row r="854" ht="15.75" customHeight="1">
      <c r="A854" s="7" t="s">
        <v>164</v>
      </c>
      <c r="B854" s="7" t="s">
        <v>289</v>
      </c>
    </row>
    <row r="855" ht="15.75" customHeight="1">
      <c r="A855" s="7" t="s">
        <v>136</v>
      </c>
      <c r="B855" s="7" t="s">
        <v>289</v>
      </c>
    </row>
    <row r="856" ht="15.75" customHeight="1">
      <c r="A856" s="6" t="s">
        <v>910</v>
      </c>
      <c r="B856" s="6" t="s">
        <v>289</v>
      </c>
    </row>
    <row r="857" ht="15.75" customHeight="1">
      <c r="A857" s="7" t="s">
        <v>146</v>
      </c>
      <c r="B857" s="7" t="s">
        <v>290</v>
      </c>
    </row>
    <row r="858" ht="15.75" customHeight="1">
      <c r="A858" s="7" t="s">
        <v>82</v>
      </c>
      <c r="B858" s="7" t="s">
        <v>290</v>
      </c>
    </row>
    <row r="859" ht="15.75" customHeight="1">
      <c r="A859" s="7" t="s">
        <v>84</v>
      </c>
      <c r="B859" s="7" t="s">
        <v>290</v>
      </c>
    </row>
    <row r="860" ht="15.75" customHeight="1">
      <c r="A860" s="7" t="s">
        <v>116</v>
      </c>
      <c r="B860" s="7" t="s">
        <v>290</v>
      </c>
    </row>
    <row r="861" ht="15.75" customHeight="1">
      <c r="A861" s="7" t="s">
        <v>113</v>
      </c>
      <c r="B861" s="7" t="s">
        <v>290</v>
      </c>
    </row>
    <row r="862" ht="15.75" customHeight="1">
      <c r="A862" s="7" t="s">
        <v>199</v>
      </c>
      <c r="B862" s="7" t="s">
        <v>290</v>
      </c>
    </row>
    <row r="863" ht="15.75" customHeight="1">
      <c r="A863" s="7" t="s">
        <v>226</v>
      </c>
      <c r="B863" s="7" t="s">
        <v>291</v>
      </c>
    </row>
    <row r="864" ht="15.75" customHeight="1">
      <c r="A864" s="7" t="s">
        <v>198</v>
      </c>
      <c r="B864" s="7" t="s">
        <v>291</v>
      </c>
    </row>
    <row r="865" ht="15.75" customHeight="1">
      <c r="A865" s="7" t="s">
        <v>156</v>
      </c>
      <c r="B865" s="7" t="s">
        <v>291</v>
      </c>
    </row>
    <row r="866" ht="15.75" customHeight="1">
      <c r="A866" s="7" t="s">
        <v>189</v>
      </c>
      <c r="B866" s="7" t="s">
        <v>291</v>
      </c>
    </row>
    <row r="867" ht="15.75" customHeight="1">
      <c r="A867" s="7" t="s">
        <v>117</v>
      </c>
      <c r="B867" s="7" t="s">
        <v>291</v>
      </c>
    </row>
    <row r="868" ht="15.75" customHeight="1">
      <c r="A868" s="7" t="s">
        <v>67</v>
      </c>
      <c r="B868" s="7" t="s">
        <v>291</v>
      </c>
    </row>
    <row r="869" ht="15.75" customHeight="1">
      <c r="A869" s="6" t="s">
        <v>910</v>
      </c>
      <c r="B869" s="6" t="s">
        <v>291</v>
      </c>
    </row>
    <row r="870" ht="15.75" customHeight="1">
      <c r="A870" s="7" t="s">
        <v>137</v>
      </c>
      <c r="B870" s="7" t="s">
        <v>292</v>
      </c>
    </row>
    <row r="871" ht="15.75" customHeight="1">
      <c r="A871" s="7" t="s">
        <v>134</v>
      </c>
      <c r="B871" s="7" t="s">
        <v>292</v>
      </c>
    </row>
    <row r="872" ht="15.75" customHeight="1">
      <c r="A872" s="7" t="s">
        <v>178</v>
      </c>
      <c r="B872" s="7" t="s">
        <v>292</v>
      </c>
    </row>
    <row r="873" ht="15.75" customHeight="1">
      <c r="A873" s="7" t="s">
        <v>211</v>
      </c>
      <c r="B873" s="7" t="s">
        <v>292</v>
      </c>
    </row>
    <row r="874" ht="15.75" customHeight="1">
      <c r="A874" s="7" t="s">
        <v>106</v>
      </c>
      <c r="B874" s="7" t="s">
        <v>292</v>
      </c>
    </row>
    <row r="875" ht="15.75" customHeight="1">
      <c r="A875" s="7" t="s">
        <v>139</v>
      </c>
      <c r="B875" s="7" t="s">
        <v>292</v>
      </c>
    </row>
    <row r="876" ht="15.75" customHeight="1">
      <c r="A876" s="7" t="s">
        <v>190</v>
      </c>
      <c r="B876" s="7" t="s">
        <v>293</v>
      </c>
    </row>
    <row r="877" ht="15.75" customHeight="1">
      <c r="A877" s="7" t="s">
        <v>146</v>
      </c>
      <c r="B877" s="7" t="s">
        <v>293</v>
      </c>
    </row>
    <row r="878" ht="15.75" customHeight="1">
      <c r="A878" s="7" t="s">
        <v>120</v>
      </c>
      <c r="B878" s="7" t="s">
        <v>293</v>
      </c>
    </row>
    <row r="879" ht="15.75" customHeight="1">
      <c r="A879" s="7" t="s">
        <v>189</v>
      </c>
      <c r="B879" s="7" t="s">
        <v>293</v>
      </c>
    </row>
    <row r="880" ht="15.75" customHeight="1">
      <c r="A880" s="7" t="s">
        <v>66</v>
      </c>
      <c r="B880" s="7" t="s">
        <v>293</v>
      </c>
    </row>
    <row r="881" ht="15.75" customHeight="1">
      <c r="A881" s="7" t="s">
        <v>199</v>
      </c>
      <c r="B881" s="7" t="s">
        <v>293</v>
      </c>
    </row>
    <row r="882" ht="15.75" customHeight="1">
      <c r="A882" s="6" t="s">
        <v>910</v>
      </c>
      <c r="B882" s="6" t="s">
        <v>293</v>
      </c>
    </row>
    <row r="883" ht="15.75" customHeight="1">
      <c r="A883" s="6" t="s">
        <v>1126</v>
      </c>
      <c r="B883" s="6" t="s">
        <v>293</v>
      </c>
    </row>
    <row r="884" ht="15.75" customHeight="1">
      <c r="A884" s="7" t="s">
        <v>146</v>
      </c>
      <c r="B884" s="7" t="s">
        <v>294</v>
      </c>
    </row>
    <row r="885" ht="15.75" customHeight="1">
      <c r="A885" s="7" t="s">
        <v>82</v>
      </c>
      <c r="B885" s="7" t="s">
        <v>294</v>
      </c>
    </row>
    <row r="886" ht="15.75" customHeight="1">
      <c r="A886" s="7" t="s">
        <v>98</v>
      </c>
      <c r="B886" s="7" t="s">
        <v>294</v>
      </c>
    </row>
    <row r="887" ht="15.75" customHeight="1">
      <c r="A887" s="7" t="s">
        <v>176</v>
      </c>
      <c r="B887" s="7" t="s">
        <v>294</v>
      </c>
    </row>
    <row r="888" ht="15.75" customHeight="1">
      <c r="A888" s="7" t="s">
        <v>150</v>
      </c>
      <c r="B888" s="7" t="s">
        <v>294</v>
      </c>
    </row>
    <row r="889" ht="15.75" customHeight="1">
      <c r="A889" s="7" t="s">
        <v>145</v>
      </c>
      <c r="B889" s="7" t="s">
        <v>294</v>
      </c>
    </row>
    <row r="890" ht="15.75" customHeight="1">
      <c r="A890" s="6" t="s">
        <v>910</v>
      </c>
      <c r="B890" s="6" t="s">
        <v>294</v>
      </c>
    </row>
    <row r="891" ht="15.75" customHeight="1">
      <c r="A891" s="7" t="s">
        <v>132</v>
      </c>
      <c r="B891" s="7" t="s">
        <v>295</v>
      </c>
    </row>
    <row r="892" ht="15.75" customHeight="1">
      <c r="A892" s="7" t="s">
        <v>97</v>
      </c>
      <c r="B892" s="7" t="s">
        <v>295</v>
      </c>
    </row>
    <row r="893" ht="15.75" customHeight="1">
      <c r="A893" s="7" t="s">
        <v>64</v>
      </c>
      <c r="B893" s="7" t="s">
        <v>295</v>
      </c>
    </row>
    <row r="894" ht="15.75" customHeight="1">
      <c r="A894" s="7" t="s">
        <v>211</v>
      </c>
      <c r="B894" s="7" t="s">
        <v>295</v>
      </c>
    </row>
    <row r="895" ht="15.75" customHeight="1">
      <c r="A895" s="7" t="s">
        <v>181</v>
      </c>
      <c r="B895" s="7" t="s">
        <v>295</v>
      </c>
    </row>
    <row r="896" ht="15.75" customHeight="1">
      <c r="A896" s="7" t="s">
        <v>212</v>
      </c>
      <c r="B896" s="7" t="s">
        <v>295</v>
      </c>
    </row>
    <row r="897" ht="15.75" customHeight="1">
      <c r="A897" s="6" t="s">
        <v>910</v>
      </c>
      <c r="B897" s="6" t="s">
        <v>295</v>
      </c>
    </row>
    <row r="898" ht="15.75" customHeight="1">
      <c r="A898" s="7" t="s">
        <v>204</v>
      </c>
      <c r="B898" s="7" t="s">
        <v>296</v>
      </c>
    </row>
    <row r="899" ht="15.75" customHeight="1">
      <c r="A899" s="7" t="s">
        <v>159</v>
      </c>
      <c r="B899" s="7" t="s">
        <v>296</v>
      </c>
    </row>
    <row r="900" ht="15.75" customHeight="1">
      <c r="A900" s="7" t="s">
        <v>215</v>
      </c>
      <c r="B900" s="7" t="s">
        <v>296</v>
      </c>
    </row>
    <row r="901" ht="15.75" customHeight="1">
      <c r="A901" s="7" t="s">
        <v>184</v>
      </c>
      <c r="B901" s="7" t="s">
        <v>296</v>
      </c>
    </row>
    <row r="902" ht="15.75" customHeight="1">
      <c r="A902" s="7" t="s">
        <v>87</v>
      </c>
      <c r="B902" s="7" t="s">
        <v>296</v>
      </c>
    </row>
    <row r="903" ht="15.75" customHeight="1">
      <c r="A903" s="7" t="s">
        <v>88</v>
      </c>
      <c r="B903" s="7" t="s">
        <v>296</v>
      </c>
    </row>
    <row r="904" ht="15.75" customHeight="1">
      <c r="A904" s="6" t="s">
        <v>910</v>
      </c>
      <c r="B904" s="6" t="s">
        <v>296</v>
      </c>
    </row>
    <row r="905" ht="15.75" customHeight="1">
      <c r="A905" s="6" t="s">
        <v>1126</v>
      </c>
      <c r="B905" s="6" t="s">
        <v>296</v>
      </c>
    </row>
    <row r="906" ht="15.75" customHeight="1">
      <c r="A906" s="7" t="s">
        <v>70</v>
      </c>
      <c r="B906" s="7" t="s">
        <v>297</v>
      </c>
    </row>
    <row r="907" ht="15.75" customHeight="1">
      <c r="A907" s="7" t="s">
        <v>194</v>
      </c>
      <c r="B907" s="7" t="s">
        <v>297</v>
      </c>
    </row>
    <row r="908" ht="15.75" customHeight="1">
      <c r="A908" s="7" t="s">
        <v>178</v>
      </c>
      <c r="B908" s="7" t="s">
        <v>297</v>
      </c>
    </row>
    <row r="909" ht="15.75" customHeight="1">
      <c r="A909" s="7" t="s">
        <v>149</v>
      </c>
      <c r="B909" s="7" t="s">
        <v>297</v>
      </c>
    </row>
    <row r="910" ht="15.75" customHeight="1">
      <c r="A910" s="7" t="s">
        <v>150</v>
      </c>
      <c r="B910" s="7" t="s">
        <v>297</v>
      </c>
    </row>
    <row r="911" ht="15.75" customHeight="1">
      <c r="A911" s="7" t="s">
        <v>127</v>
      </c>
      <c r="B911" s="7" t="s">
        <v>297</v>
      </c>
    </row>
    <row r="912" ht="15.75" customHeight="1">
      <c r="A912" s="6" t="s">
        <v>910</v>
      </c>
      <c r="B912" s="6" t="s">
        <v>297</v>
      </c>
    </row>
    <row r="913" ht="15.75" customHeight="1">
      <c r="A913" s="7" t="s">
        <v>95</v>
      </c>
      <c r="B913" s="7" t="s">
        <v>298</v>
      </c>
    </row>
    <row r="914" ht="15.75" customHeight="1">
      <c r="A914" s="7" t="s">
        <v>161</v>
      </c>
      <c r="B914" s="7" t="s">
        <v>298</v>
      </c>
    </row>
    <row r="915" ht="15.75" customHeight="1">
      <c r="A915" s="7" t="s">
        <v>178</v>
      </c>
      <c r="B915" s="7" t="s">
        <v>298</v>
      </c>
    </row>
    <row r="916" ht="15.75" customHeight="1">
      <c r="A916" s="7" t="s">
        <v>105</v>
      </c>
      <c r="B916" s="7" t="s">
        <v>298</v>
      </c>
    </row>
    <row r="917" ht="15.75" customHeight="1">
      <c r="A917" s="7" t="s">
        <v>164</v>
      </c>
      <c r="B917" s="7" t="s">
        <v>298</v>
      </c>
    </row>
    <row r="918" ht="15.75" customHeight="1">
      <c r="A918" s="7" t="s">
        <v>158</v>
      </c>
      <c r="B918" s="7" t="s">
        <v>298</v>
      </c>
    </row>
    <row r="919" ht="15.75" customHeight="1">
      <c r="A919" s="6" t="s">
        <v>910</v>
      </c>
      <c r="B919" s="6" t="s">
        <v>298</v>
      </c>
    </row>
    <row r="920" ht="15.75" customHeight="1">
      <c r="A920" s="7" t="s">
        <v>97</v>
      </c>
      <c r="B920" s="7" t="s">
        <v>299</v>
      </c>
    </row>
    <row r="921" ht="15.75" customHeight="1">
      <c r="A921" s="7" t="s">
        <v>84</v>
      </c>
      <c r="B921" s="7" t="s">
        <v>299</v>
      </c>
    </row>
    <row r="922" ht="15.75" customHeight="1">
      <c r="A922" s="7" t="s">
        <v>85</v>
      </c>
      <c r="B922" s="7" t="s">
        <v>299</v>
      </c>
    </row>
    <row r="923" ht="15.75" customHeight="1">
      <c r="A923" s="7" t="s">
        <v>116</v>
      </c>
      <c r="B923" s="7" t="s">
        <v>299</v>
      </c>
    </row>
    <row r="924" ht="15.75" customHeight="1">
      <c r="A924" s="7" t="s">
        <v>80</v>
      </c>
      <c r="B924" s="7" t="s">
        <v>299</v>
      </c>
    </row>
    <row r="925" ht="15.75" customHeight="1">
      <c r="A925" s="7" t="s">
        <v>88</v>
      </c>
      <c r="B925" s="7" t="s">
        <v>299</v>
      </c>
    </row>
    <row r="926" ht="15.75" customHeight="1">
      <c r="A926" s="6" t="s">
        <v>910</v>
      </c>
      <c r="B926" s="6" t="s">
        <v>299</v>
      </c>
    </row>
    <row r="927" ht="15.75" customHeight="1">
      <c r="A927" s="6" t="s">
        <v>1126</v>
      </c>
      <c r="B927" s="6" t="s">
        <v>299</v>
      </c>
    </row>
    <row r="928" ht="15.75" customHeight="1">
      <c r="A928" s="7" t="s">
        <v>89</v>
      </c>
      <c r="B928" s="7" t="s">
        <v>300</v>
      </c>
    </row>
    <row r="929" ht="15.75" customHeight="1">
      <c r="A929" s="7" t="s">
        <v>153</v>
      </c>
      <c r="B929" s="7" t="s">
        <v>300</v>
      </c>
    </row>
    <row r="930" ht="15.75" customHeight="1">
      <c r="A930" s="7" t="s">
        <v>178</v>
      </c>
      <c r="B930" s="7" t="s">
        <v>300</v>
      </c>
    </row>
    <row r="931" ht="15.75" customHeight="1">
      <c r="A931" s="7" t="s">
        <v>189</v>
      </c>
      <c r="B931" s="7" t="s">
        <v>300</v>
      </c>
    </row>
    <row r="932" ht="15.75" customHeight="1">
      <c r="A932" s="7" t="s">
        <v>113</v>
      </c>
      <c r="B932" s="7" t="s">
        <v>300</v>
      </c>
    </row>
    <row r="933" ht="15.75" customHeight="1">
      <c r="A933" s="7" t="s">
        <v>199</v>
      </c>
      <c r="B933" s="7" t="s">
        <v>300</v>
      </c>
    </row>
    <row r="934" ht="15.75" customHeight="1">
      <c r="A934" s="6" t="s">
        <v>910</v>
      </c>
      <c r="B934" s="6" t="s">
        <v>300</v>
      </c>
    </row>
    <row r="935" ht="15.75" customHeight="1">
      <c r="A935" s="6" t="s">
        <v>1126</v>
      </c>
      <c r="B935" s="6" t="s">
        <v>300</v>
      </c>
    </row>
    <row r="936" ht="15.75" customHeight="1">
      <c r="A936" s="7" t="s">
        <v>137</v>
      </c>
      <c r="B936" s="7" t="s">
        <v>301</v>
      </c>
    </row>
    <row r="937" ht="15.75" customHeight="1">
      <c r="A937" s="7" t="s">
        <v>161</v>
      </c>
      <c r="B937" s="7" t="s">
        <v>301</v>
      </c>
    </row>
    <row r="938" ht="15.75" customHeight="1">
      <c r="A938" s="7" t="s">
        <v>84</v>
      </c>
      <c r="B938" s="7" t="s">
        <v>301</v>
      </c>
    </row>
    <row r="939" ht="15.75" customHeight="1">
      <c r="A939" s="7" t="s">
        <v>189</v>
      </c>
      <c r="B939" s="7" t="s">
        <v>301</v>
      </c>
    </row>
    <row r="940" ht="15.75" customHeight="1">
      <c r="A940" s="7" t="s">
        <v>87</v>
      </c>
      <c r="B940" s="7" t="s">
        <v>301</v>
      </c>
    </row>
    <row r="941" ht="15.75" customHeight="1">
      <c r="A941" s="7" t="s">
        <v>118</v>
      </c>
      <c r="B941" s="7" t="s">
        <v>301</v>
      </c>
    </row>
    <row r="942" ht="15.75" customHeight="1">
      <c r="A942" s="6" t="s">
        <v>910</v>
      </c>
      <c r="B942" s="6" t="s">
        <v>301</v>
      </c>
    </row>
    <row r="943" ht="15.75" customHeight="1">
      <c r="A943" s="6" t="s">
        <v>1126</v>
      </c>
      <c r="B943" s="6" t="s">
        <v>301</v>
      </c>
    </row>
    <row r="944" ht="15.75" customHeight="1">
      <c r="A944" s="7" t="s">
        <v>132</v>
      </c>
      <c r="B944" s="7" t="s">
        <v>302</v>
      </c>
    </row>
    <row r="945" ht="15.75" customHeight="1">
      <c r="A945" s="7" t="s">
        <v>161</v>
      </c>
      <c r="B945" s="7" t="s">
        <v>302</v>
      </c>
    </row>
    <row r="946" ht="15.75" customHeight="1">
      <c r="A946" s="7" t="s">
        <v>71</v>
      </c>
      <c r="B946" s="7" t="s">
        <v>302</v>
      </c>
    </row>
    <row r="947" ht="15.75" customHeight="1">
      <c r="A947" s="7" t="s">
        <v>195</v>
      </c>
      <c r="B947" s="7" t="s">
        <v>302</v>
      </c>
    </row>
    <row r="948" ht="15.75" customHeight="1">
      <c r="A948" s="7" t="s">
        <v>126</v>
      </c>
      <c r="B948" s="7" t="s">
        <v>302</v>
      </c>
    </row>
    <row r="949" ht="15.75" customHeight="1">
      <c r="A949" s="7" t="s">
        <v>139</v>
      </c>
      <c r="B949" s="7" t="s">
        <v>302</v>
      </c>
    </row>
    <row r="950" ht="15.75" customHeight="1">
      <c r="A950" s="6" t="s">
        <v>910</v>
      </c>
      <c r="B950" s="6" t="s">
        <v>302</v>
      </c>
    </row>
    <row r="951" ht="15.75" customHeight="1">
      <c r="A951" s="7" t="s">
        <v>100</v>
      </c>
      <c r="B951" s="7" t="s">
        <v>303</v>
      </c>
    </row>
    <row r="952" ht="15.75" customHeight="1">
      <c r="A952" s="7" t="s">
        <v>95</v>
      </c>
      <c r="B952" s="7" t="s">
        <v>303</v>
      </c>
    </row>
    <row r="953" ht="15.75" customHeight="1">
      <c r="A953" s="7" t="s">
        <v>141</v>
      </c>
      <c r="B953" s="7" t="s">
        <v>303</v>
      </c>
    </row>
    <row r="954" ht="15.75" customHeight="1">
      <c r="A954" s="7" t="s">
        <v>105</v>
      </c>
      <c r="B954" s="7" t="s">
        <v>303</v>
      </c>
    </row>
    <row r="955" ht="15.75" customHeight="1">
      <c r="A955" s="7" t="s">
        <v>106</v>
      </c>
      <c r="B955" s="7" t="s">
        <v>303</v>
      </c>
    </row>
    <row r="956" ht="15.75" customHeight="1">
      <c r="A956" s="7" t="s">
        <v>127</v>
      </c>
      <c r="B956" s="7" t="s">
        <v>303</v>
      </c>
    </row>
    <row r="957" ht="15.75" customHeight="1">
      <c r="A957" s="6" t="s">
        <v>910</v>
      </c>
      <c r="B957" s="6" t="s">
        <v>303</v>
      </c>
    </row>
    <row r="958" ht="15.75" customHeight="1">
      <c r="A958" s="7" t="s">
        <v>190</v>
      </c>
      <c r="B958" s="7" t="s">
        <v>304</v>
      </c>
    </row>
    <row r="959" ht="15.75" customHeight="1">
      <c r="A959" s="7" t="s">
        <v>68</v>
      </c>
      <c r="B959" s="7" t="s">
        <v>304</v>
      </c>
    </row>
    <row r="960" ht="15.75" customHeight="1">
      <c r="A960" s="7" t="s">
        <v>129</v>
      </c>
      <c r="B960" s="7" t="s">
        <v>304</v>
      </c>
    </row>
    <row r="961" ht="15.75" customHeight="1">
      <c r="A961" s="7" t="s">
        <v>240</v>
      </c>
      <c r="B961" s="7" t="s">
        <v>304</v>
      </c>
    </row>
    <row r="962" ht="15.75" customHeight="1">
      <c r="A962" s="7" t="s">
        <v>208</v>
      </c>
      <c r="B962" s="7" t="s">
        <v>304</v>
      </c>
    </row>
    <row r="963" ht="15.75" customHeight="1">
      <c r="A963" s="7" t="s">
        <v>74</v>
      </c>
      <c r="B963" s="7" t="s">
        <v>304</v>
      </c>
    </row>
    <row r="964" ht="15.75" customHeight="1">
      <c r="A964" s="6" t="s">
        <v>910</v>
      </c>
      <c r="B964" s="6" t="s">
        <v>304</v>
      </c>
    </row>
    <row r="965" ht="15.75" customHeight="1">
      <c r="A965" s="7" t="s">
        <v>100</v>
      </c>
      <c r="B965" s="7" t="s">
        <v>305</v>
      </c>
    </row>
    <row r="966" ht="15.75" customHeight="1">
      <c r="A966" s="7" t="s">
        <v>137</v>
      </c>
      <c r="B966" s="7" t="s">
        <v>305</v>
      </c>
    </row>
    <row r="967" ht="15.75" customHeight="1">
      <c r="A967" s="7" t="s">
        <v>141</v>
      </c>
      <c r="B967" s="7" t="s">
        <v>305</v>
      </c>
    </row>
    <row r="968" ht="15.75" customHeight="1">
      <c r="A968" s="7" t="s">
        <v>116</v>
      </c>
      <c r="B968" s="7" t="s">
        <v>305</v>
      </c>
    </row>
    <row r="969" ht="15.75" customHeight="1">
      <c r="A969" s="7" t="s">
        <v>117</v>
      </c>
      <c r="B969" s="7" t="s">
        <v>305</v>
      </c>
    </row>
    <row r="970" ht="15.75" customHeight="1">
      <c r="A970" s="7" t="s">
        <v>185</v>
      </c>
      <c r="B970" s="7" t="s">
        <v>305</v>
      </c>
    </row>
    <row r="971" ht="15.75" customHeight="1">
      <c r="A971" s="6" t="s">
        <v>910</v>
      </c>
      <c r="B971" s="6" t="s">
        <v>305</v>
      </c>
    </row>
    <row r="972" ht="15.75" customHeight="1">
      <c r="A972" s="7" t="s">
        <v>100</v>
      </c>
      <c r="B972" s="7" t="s">
        <v>306</v>
      </c>
    </row>
    <row r="973" ht="15.75" customHeight="1">
      <c r="A973" s="7" t="s">
        <v>132</v>
      </c>
      <c r="B973" s="7" t="s">
        <v>306</v>
      </c>
    </row>
    <row r="974" ht="15.75" customHeight="1">
      <c r="A974" s="7" t="s">
        <v>198</v>
      </c>
      <c r="B974" s="7" t="s">
        <v>306</v>
      </c>
    </row>
    <row r="975" ht="15.75" customHeight="1">
      <c r="A975" s="7" t="s">
        <v>123</v>
      </c>
      <c r="B975" s="7" t="s">
        <v>306</v>
      </c>
    </row>
    <row r="976" ht="15.75" customHeight="1">
      <c r="A976" s="7" t="s">
        <v>181</v>
      </c>
      <c r="B976" s="7" t="s">
        <v>306</v>
      </c>
    </row>
    <row r="977" ht="15.75" customHeight="1">
      <c r="A977" s="7" t="s">
        <v>127</v>
      </c>
      <c r="B977" s="7" t="s">
        <v>306</v>
      </c>
    </row>
    <row r="978" ht="15.75" customHeight="1">
      <c r="A978" s="6" t="s">
        <v>910</v>
      </c>
      <c r="B978" s="6" t="s">
        <v>306</v>
      </c>
    </row>
    <row r="979" ht="15.75" customHeight="1">
      <c r="A979" s="7" t="s">
        <v>100</v>
      </c>
      <c r="B979" s="7" t="s">
        <v>307</v>
      </c>
    </row>
    <row r="980" ht="15.75" customHeight="1">
      <c r="A980" s="7" t="s">
        <v>92</v>
      </c>
      <c r="B980" s="7" t="s">
        <v>307</v>
      </c>
    </row>
    <row r="981" ht="15.75" customHeight="1">
      <c r="A981" s="7" t="s">
        <v>104</v>
      </c>
      <c r="B981" s="7" t="s">
        <v>307</v>
      </c>
    </row>
    <row r="982" ht="15.75" customHeight="1">
      <c r="A982" s="7" t="s">
        <v>72</v>
      </c>
      <c r="B982" s="7" t="s">
        <v>307</v>
      </c>
    </row>
    <row r="983" ht="15.75" customHeight="1">
      <c r="A983" s="7" t="s">
        <v>208</v>
      </c>
      <c r="B983" s="7" t="s">
        <v>307</v>
      </c>
    </row>
    <row r="984" ht="15.75" customHeight="1">
      <c r="A984" s="7" t="s">
        <v>74</v>
      </c>
      <c r="B984" s="7" t="s">
        <v>307</v>
      </c>
    </row>
    <row r="985" ht="15.75" customHeight="1">
      <c r="A985" s="6" t="s">
        <v>910</v>
      </c>
      <c r="B985" s="6" t="s">
        <v>307</v>
      </c>
    </row>
    <row r="986" ht="15.75" customHeight="1">
      <c r="A986" s="7" t="s">
        <v>190</v>
      </c>
      <c r="B986" s="7" t="s">
        <v>308</v>
      </c>
    </row>
    <row r="987" ht="15.75" customHeight="1">
      <c r="A987" s="7" t="s">
        <v>92</v>
      </c>
      <c r="B987" s="7" t="s">
        <v>308</v>
      </c>
    </row>
    <row r="988" ht="15.75" customHeight="1">
      <c r="A988" s="7" t="s">
        <v>104</v>
      </c>
      <c r="B988" s="7" t="s">
        <v>308</v>
      </c>
    </row>
    <row r="989" ht="15.75" customHeight="1">
      <c r="A989" s="7" t="s">
        <v>184</v>
      </c>
      <c r="B989" s="7" t="s">
        <v>308</v>
      </c>
    </row>
    <row r="990" ht="15.75" customHeight="1">
      <c r="A990" s="7" t="s">
        <v>66</v>
      </c>
      <c r="B990" s="7" t="s">
        <v>308</v>
      </c>
    </row>
    <row r="991" ht="15.75" customHeight="1">
      <c r="A991" s="7" t="s">
        <v>154</v>
      </c>
      <c r="B991" s="7" t="s">
        <v>308</v>
      </c>
    </row>
    <row r="992" ht="15.75" customHeight="1">
      <c r="A992" s="6" t="s">
        <v>910</v>
      </c>
      <c r="B992" s="6" t="s">
        <v>308</v>
      </c>
    </row>
    <row r="993" ht="15.75" customHeight="1">
      <c r="A993" s="6" t="s">
        <v>1126</v>
      </c>
      <c r="B993" s="6" t="s">
        <v>308</v>
      </c>
    </row>
    <row r="994" ht="15.75" customHeight="1">
      <c r="A994" s="7" t="s">
        <v>100</v>
      </c>
      <c r="B994" s="7" t="s">
        <v>309</v>
      </c>
    </row>
    <row r="995" ht="15.75" customHeight="1">
      <c r="A995" s="7" t="s">
        <v>132</v>
      </c>
      <c r="B995" s="7" t="s">
        <v>309</v>
      </c>
    </row>
    <row r="996" ht="15.75" customHeight="1">
      <c r="A996" s="7" t="s">
        <v>141</v>
      </c>
      <c r="B996" s="7" t="s">
        <v>309</v>
      </c>
    </row>
    <row r="997" ht="15.75" customHeight="1">
      <c r="A997" s="7" t="s">
        <v>207</v>
      </c>
      <c r="B997" s="7" t="s">
        <v>309</v>
      </c>
    </row>
    <row r="998" ht="15.75" customHeight="1">
      <c r="A998" s="7" t="s">
        <v>66</v>
      </c>
      <c r="B998" s="7" t="s">
        <v>309</v>
      </c>
    </row>
    <row r="999" ht="15.75" customHeight="1">
      <c r="A999" s="7" t="s">
        <v>67</v>
      </c>
      <c r="B999" s="7" t="s">
        <v>309</v>
      </c>
    </row>
    <row r="1000" ht="15.75" customHeight="1">
      <c r="A1000" s="6" t="s">
        <v>910</v>
      </c>
      <c r="B1000" s="6" t="s">
        <v>309</v>
      </c>
    </row>
    <row r="1001" ht="15.75" customHeight="1">
      <c r="A1001" s="6" t="s">
        <v>1126</v>
      </c>
      <c r="B1001" s="6" t="s">
        <v>309</v>
      </c>
    </row>
    <row r="1002" ht="15.75" customHeight="1">
      <c r="A1002" s="7" t="s">
        <v>146</v>
      </c>
      <c r="B1002" s="7" t="s">
        <v>310</v>
      </c>
    </row>
    <row r="1003" ht="15.75" customHeight="1">
      <c r="A1003" s="7" t="s">
        <v>82</v>
      </c>
      <c r="B1003" s="7" t="s">
        <v>310</v>
      </c>
    </row>
    <row r="1004" ht="15.75" customHeight="1">
      <c r="A1004" s="7" t="s">
        <v>120</v>
      </c>
      <c r="B1004" s="7" t="s">
        <v>310</v>
      </c>
    </row>
    <row r="1005" ht="15.75" customHeight="1">
      <c r="A1005" s="7" t="s">
        <v>123</v>
      </c>
      <c r="B1005" s="7" t="s">
        <v>310</v>
      </c>
    </row>
    <row r="1006" ht="15.75" customHeight="1">
      <c r="A1006" s="7" t="s">
        <v>106</v>
      </c>
      <c r="B1006" s="7" t="s">
        <v>310</v>
      </c>
    </row>
    <row r="1007" ht="15.75" customHeight="1">
      <c r="A1007" s="7" t="s">
        <v>171</v>
      </c>
      <c r="B1007" s="7" t="s">
        <v>310</v>
      </c>
    </row>
    <row r="1008" ht="15.75" customHeight="1">
      <c r="A1008" s="6" t="s">
        <v>910</v>
      </c>
      <c r="B1008" s="6" t="s">
        <v>310</v>
      </c>
    </row>
    <row r="1009" ht="15.75" customHeight="1">
      <c r="A1009" s="7" t="s">
        <v>82</v>
      </c>
      <c r="B1009" s="7" t="s">
        <v>311</v>
      </c>
    </row>
    <row r="1010" ht="15.75" customHeight="1">
      <c r="A1010" s="7" t="s">
        <v>98</v>
      </c>
      <c r="B1010" s="7" t="s">
        <v>311</v>
      </c>
    </row>
    <row r="1011" ht="15.75" customHeight="1">
      <c r="A1011" s="7" t="s">
        <v>122</v>
      </c>
      <c r="B1011" s="7" t="s">
        <v>311</v>
      </c>
    </row>
    <row r="1012" ht="15.75" customHeight="1">
      <c r="A1012" s="7" t="s">
        <v>207</v>
      </c>
      <c r="B1012" s="7" t="s">
        <v>311</v>
      </c>
    </row>
    <row r="1013" ht="15.75" customHeight="1">
      <c r="A1013" s="7" t="s">
        <v>142</v>
      </c>
      <c r="B1013" s="7" t="s">
        <v>311</v>
      </c>
    </row>
    <row r="1014" ht="15.75" customHeight="1">
      <c r="A1014" s="7" t="s">
        <v>88</v>
      </c>
      <c r="B1014" s="7" t="s">
        <v>311</v>
      </c>
    </row>
    <row r="1015" ht="15.75" customHeight="1">
      <c r="A1015" s="6" t="s">
        <v>910</v>
      </c>
      <c r="B1015" s="6" t="s">
        <v>311</v>
      </c>
    </row>
    <row r="1016" ht="15.75" customHeight="1">
      <c r="A1016" s="7" t="s">
        <v>226</v>
      </c>
      <c r="B1016" s="7" t="s">
        <v>312</v>
      </c>
    </row>
    <row r="1017" ht="15.75" customHeight="1">
      <c r="A1017" s="7" t="s">
        <v>198</v>
      </c>
      <c r="B1017" s="7" t="s">
        <v>312</v>
      </c>
    </row>
    <row r="1018" ht="15.75" customHeight="1">
      <c r="A1018" s="7" t="s">
        <v>156</v>
      </c>
      <c r="B1018" s="7" t="s">
        <v>312</v>
      </c>
    </row>
    <row r="1019" ht="15.75" customHeight="1">
      <c r="A1019" s="7" t="s">
        <v>157</v>
      </c>
      <c r="B1019" s="7" t="s">
        <v>312</v>
      </c>
    </row>
    <row r="1020" ht="15.75" customHeight="1">
      <c r="A1020" s="7" t="s">
        <v>106</v>
      </c>
      <c r="B1020" s="7" t="s">
        <v>312</v>
      </c>
    </row>
    <row r="1021" ht="15.75" customHeight="1">
      <c r="A1021" s="7" t="s">
        <v>127</v>
      </c>
      <c r="B1021" s="7" t="s">
        <v>312</v>
      </c>
    </row>
    <row r="1022" ht="15.75" customHeight="1">
      <c r="A1022" s="6" t="s">
        <v>910</v>
      </c>
      <c r="B1022" s="6" t="s">
        <v>312</v>
      </c>
    </row>
    <row r="1023" ht="15.75" customHeight="1">
      <c r="A1023" s="7" t="s">
        <v>68</v>
      </c>
      <c r="B1023" s="7" t="s">
        <v>313</v>
      </c>
    </row>
    <row r="1024" ht="15.75" customHeight="1">
      <c r="A1024" s="7" t="s">
        <v>148</v>
      </c>
      <c r="B1024" s="7" t="s">
        <v>313</v>
      </c>
    </row>
    <row r="1025" ht="15.75" customHeight="1">
      <c r="A1025" s="7" t="s">
        <v>120</v>
      </c>
      <c r="B1025" s="7" t="s">
        <v>313</v>
      </c>
    </row>
    <row r="1026" ht="15.75" customHeight="1">
      <c r="A1026" s="7" t="s">
        <v>176</v>
      </c>
      <c r="B1026" s="7" t="s">
        <v>313</v>
      </c>
    </row>
    <row r="1027" ht="15.75" customHeight="1">
      <c r="A1027" s="7" t="s">
        <v>106</v>
      </c>
      <c r="B1027" s="7" t="s">
        <v>313</v>
      </c>
    </row>
    <row r="1028" ht="15.75" customHeight="1">
      <c r="A1028" s="7" t="s">
        <v>127</v>
      </c>
      <c r="B1028" s="7" t="s">
        <v>313</v>
      </c>
    </row>
    <row r="1029" ht="15.75" customHeight="1">
      <c r="A1029" s="6" t="s">
        <v>910</v>
      </c>
      <c r="B1029" s="6" t="s">
        <v>313</v>
      </c>
    </row>
    <row r="1030" ht="15.75" customHeight="1">
      <c r="A1030" s="7" t="s">
        <v>148</v>
      </c>
      <c r="B1030" s="7" t="s">
        <v>314</v>
      </c>
    </row>
    <row r="1031" ht="15.75" customHeight="1">
      <c r="A1031" s="7" t="s">
        <v>84</v>
      </c>
      <c r="B1031" s="7" t="s">
        <v>314</v>
      </c>
    </row>
    <row r="1032" ht="15.75" customHeight="1">
      <c r="A1032" s="7" t="s">
        <v>85</v>
      </c>
      <c r="B1032" s="7" t="s">
        <v>314</v>
      </c>
    </row>
    <row r="1033" ht="15.75" customHeight="1">
      <c r="A1033" s="7" t="s">
        <v>207</v>
      </c>
      <c r="B1033" s="7" t="s">
        <v>314</v>
      </c>
    </row>
    <row r="1034" ht="15.75" customHeight="1">
      <c r="A1034" s="7" t="s">
        <v>113</v>
      </c>
      <c r="B1034" s="7" t="s">
        <v>314</v>
      </c>
    </row>
    <row r="1035" ht="15.75" customHeight="1">
      <c r="A1035" s="7" t="s">
        <v>199</v>
      </c>
      <c r="B1035" s="7" t="s">
        <v>314</v>
      </c>
    </row>
    <row r="1036" ht="15.75" customHeight="1">
      <c r="A1036" s="6" t="s">
        <v>910</v>
      </c>
      <c r="B1036" s="6" t="s">
        <v>314</v>
      </c>
    </row>
    <row r="1037" ht="15.75" customHeight="1">
      <c r="A1037" s="6" t="s">
        <v>1126</v>
      </c>
      <c r="B1037" s="6" t="s">
        <v>314</v>
      </c>
    </row>
    <row r="1038" ht="15.75" customHeight="1">
      <c r="A1038" s="7" t="s">
        <v>95</v>
      </c>
      <c r="B1038" s="7" t="s">
        <v>315</v>
      </c>
    </row>
    <row r="1039" ht="15.75" customHeight="1">
      <c r="A1039" s="7" t="s">
        <v>161</v>
      </c>
      <c r="B1039" s="7" t="s">
        <v>315</v>
      </c>
    </row>
    <row r="1040" ht="15.75" customHeight="1">
      <c r="A1040" s="7" t="s">
        <v>178</v>
      </c>
      <c r="B1040" s="7" t="s">
        <v>315</v>
      </c>
    </row>
    <row r="1041" ht="15.75" customHeight="1">
      <c r="A1041" s="7" t="s">
        <v>105</v>
      </c>
      <c r="B1041" s="7" t="s">
        <v>315</v>
      </c>
    </row>
    <row r="1042" ht="15.75" customHeight="1">
      <c r="A1042" s="7" t="s">
        <v>187</v>
      </c>
      <c r="B1042" s="7" t="s">
        <v>315</v>
      </c>
    </row>
    <row r="1043" ht="15.75" customHeight="1">
      <c r="A1043" s="7" t="s">
        <v>107</v>
      </c>
      <c r="B1043" s="7" t="s">
        <v>315</v>
      </c>
    </row>
    <row r="1044" ht="15.75" customHeight="1">
      <c r="A1044" s="6" t="s">
        <v>910</v>
      </c>
      <c r="B1044" s="6" t="s">
        <v>315</v>
      </c>
    </row>
    <row r="1045" ht="15.75" customHeight="1">
      <c r="A1045" s="7" t="s">
        <v>114</v>
      </c>
      <c r="B1045" s="7" t="s">
        <v>316</v>
      </c>
    </row>
    <row r="1046" ht="15.75" customHeight="1">
      <c r="A1046" s="7" t="s">
        <v>169</v>
      </c>
      <c r="B1046" s="7" t="s">
        <v>316</v>
      </c>
    </row>
    <row r="1047" ht="15.75" customHeight="1">
      <c r="A1047" s="7" t="s">
        <v>170</v>
      </c>
      <c r="B1047" s="7" t="s">
        <v>316</v>
      </c>
    </row>
    <row r="1048" ht="15.75" customHeight="1">
      <c r="A1048" s="7" t="s">
        <v>123</v>
      </c>
      <c r="B1048" s="7" t="s">
        <v>316</v>
      </c>
    </row>
    <row r="1049" ht="15.75" customHeight="1">
      <c r="A1049" s="7" t="s">
        <v>164</v>
      </c>
      <c r="B1049" s="7" t="s">
        <v>316</v>
      </c>
    </row>
    <row r="1050" ht="15.75" customHeight="1">
      <c r="A1050" s="7" t="s">
        <v>171</v>
      </c>
      <c r="B1050" s="7" t="s">
        <v>316</v>
      </c>
    </row>
    <row r="1051" ht="15.75" customHeight="1">
      <c r="A1051" s="6" t="s">
        <v>910</v>
      </c>
      <c r="B1051" s="6" t="s">
        <v>316</v>
      </c>
    </row>
    <row r="1052" ht="15.75" customHeight="1">
      <c r="A1052" s="7" t="s">
        <v>146</v>
      </c>
      <c r="B1052" s="7" t="s">
        <v>317</v>
      </c>
    </row>
    <row r="1053" ht="15.75" customHeight="1">
      <c r="A1053" s="7" t="s">
        <v>148</v>
      </c>
      <c r="B1053" s="7" t="s">
        <v>317</v>
      </c>
    </row>
    <row r="1054" ht="15.75" customHeight="1">
      <c r="A1054" s="7" t="s">
        <v>84</v>
      </c>
      <c r="B1054" s="7" t="s">
        <v>317</v>
      </c>
    </row>
    <row r="1055" ht="15.75" customHeight="1">
      <c r="A1055" s="7" t="s">
        <v>184</v>
      </c>
      <c r="B1055" s="7" t="s">
        <v>317</v>
      </c>
    </row>
    <row r="1056" ht="15.75" customHeight="1">
      <c r="A1056" s="7" t="s">
        <v>73</v>
      </c>
      <c r="B1056" s="7" t="s">
        <v>317</v>
      </c>
    </row>
    <row r="1057" ht="15.75" customHeight="1">
      <c r="A1057" s="7" t="s">
        <v>199</v>
      </c>
      <c r="B1057" s="7" t="s">
        <v>317</v>
      </c>
    </row>
    <row r="1058" ht="15.75" customHeight="1">
      <c r="A1058" s="6" t="s">
        <v>910</v>
      </c>
      <c r="B1058" s="6" t="s">
        <v>317</v>
      </c>
    </row>
    <row r="1059" ht="15.75" customHeight="1">
      <c r="A1059" s="7" t="s">
        <v>132</v>
      </c>
      <c r="B1059" s="7" t="s">
        <v>318</v>
      </c>
    </row>
    <row r="1060" ht="15.75" customHeight="1">
      <c r="A1060" s="7" t="s">
        <v>161</v>
      </c>
      <c r="B1060" s="7" t="s">
        <v>318</v>
      </c>
    </row>
    <row r="1061" ht="15.75" customHeight="1">
      <c r="A1061" s="7" t="s">
        <v>78</v>
      </c>
      <c r="B1061" s="7" t="s">
        <v>318</v>
      </c>
    </row>
    <row r="1062" ht="15.75" customHeight="1">
      <c r="A1062" s="7" t="s">
        <v>211</v>
      </c>
      <c r="B1062" s="7" t="s">
        <v>318</v>
      </c>
    </row>
    <row r="1063" ht="15.75" customHeight="1">
      <c r="A1063" s="7" t="s">
        <v>124</v>
      </c>
      <c r="B1063" s="7" t="s">
        <v>318</v>
      </c>
    </row>
    <row r="1064" ht="15.75" customHeight="1">
      <c r="A1064" s="7" t="s">
        <v>212</v>
      </c>
      <c r="B1064" s="7" t="s">
        <v>318</v>
      </c>
    </row>
    <row r="1065" ht="15.75" customHeight="1">
      <c r="A1065" s="6" t="s">
        <v>910</v>
      </c>
      <c r="B1065" s="6" t="s">
        <v>318</v>
      </c>
    </row>
    <row r="1066" ht="15.75" customHeight="1">
      <c r="A1066" s="7" t="s">
        <v>143</v>
      </c>
      <c r="B1066" s="7" t="s">
        <v>319</v>
      </c>
    </row>
    <row r="1067" ht="15.75" customHeight="1">
      <c r="A1067" s="7" t="s">
        <v>63</v>
      </c>
      <c r="B1067" s="7" t="s">
        <v>319</v>
      </c>
    </row>
    <row r="1068" ht="15.75" customHeight="1">
      <c r="A1068" s="7" t="s">
        <v>129</v>
      </c>
      <c r="B1068" s="7" t="s">
        <v>319</v>
      </c>
    </row>
    <row r="1069" ht="15.75" customHeight="1">
      <c r="A1069" s="7" t="s">
        <v>184</v>
      </c>
      <c r="B1069" s="7" t="s">
        <v>319</v>
      </c>
    </row>
    <row r="1070" ht="15.75" customHeight="1">
      <c r="A1070" s="7" t="s">
        <v>73</v>
      </c>
      <c r="B1070" s="7" t="s">
        <v>319</v>
      </c>
    </row>
    <row r="1071" ht="15.75" customHeight="1">
      <c r="A1071" s="7" t="s">
        <v>199</v>
      </c>
      <c r="B1071" s="7" t="s">
        <v>319</v>
      </c>
    </row>
    <row r="1072" ht="15.75" customHeight="1">
      <c r="A1072" s="6" t="s">
        <v>910</v>
      </c>
      <c r="B1072" s="6" t="s">
        <v>319</v>
      </c>
    </row>
    <row r="1073" ht="15.75" customHeight="1">
      <c r="A1073" s="7" t="s">
        <v>190</v>
      </c>
      <c r="B1073" s="7" t="s">
        <v>320</v>
      </c>
    </row>
    <row r="1074" ht="15.75" customHeight="1">
      <c r="A1074" s="7" t="s">
        <v>146</v>
      </c>
      <c r="B1074" s="7" t="s">
        <v>320</v>
      </c>
    </row>
    <row r="1075" ht="15.75" customHeight="1">
      <c r="A1075" s="7" t="s">
        <v>129</v>
      </c>
      <c r="B1075" s="7" t="s">
        <v>320</v>
      </c>
    </row>
    <row r="1076" ht="15.75" customHeight="1">
      <c r="A1076" s="7" t="s">
        <v>189</v>
      </c>
      <c r="B1076" s="7" t="s">
        <v>320</v>
      </c>
    </row>
    <row r="1077" ht="15.75" customHeight="1">
      <c r="A1077" s="7" t="s">
        <v>142</v>
      </c>
      <c r="B1077" s="7" t="s">
        <v>320</v>
      </c>
    </row>
    <row r="1078" ht="15.75" customHeight="1">
      <c r="A1078" s="7" t="s">
        <v>185</v>
      </c>
      <c r="B1078" s="7" t="s">
        <v>320</v>
      </c>
    </row>
    <row r="1079" ht="15.75" customHeight="1">
      <c r="A1079" s="6" t="s">
        <v>910</v>
      </c>
      <c r="B1079" s="6" t="s">
        <v>320</v>
      </c>
    </row>
    <row r="1080" ht="15.75" customHeight="1">
      <c r="A1080" s="7" t="s">
        <v>70</v>
      </c>
      <c r="B1080" s="7" t="s">
        <v>321</v>
      </c>
    </row>
    <row r="1081" ht="15.75" customHeight="1">
      <c r="A1081" s="7" t="s">
        <v>153</v>
      </c>
      <c r="B1081" s="7" t="s">
        <v>321</v>
      </c>
    </row>
    <row r="1082" ht="15.75" customHeight="1">
      <c r="A1082" s="7" t="s">
        <v>141</v>
      </c>
      <c r="B1082" s="7" t="s">
        <v>321</v>
      </c>
    </row>
    <row r="1083" ht="15.75" customHeight="1">
      <c r="A1083" s="7" t="s">
        <v>176</v>
      </c>
      <c r="B1083" s="7" t="s">
        <v>321</v>
      </c>
    </row>
    <row r="1084" ht="15.75" customHeight="1">
      <c r="A1084" s="7" t="s">
        <v>126</v>
      </c>
      <c r="B1084" s="7" t="s">
        <v>321</v>
      </c>
    </row>
    <row r="1085" ht="15.75" customHeight="1">
      <c r="A1085" s="7" t="s">
        <v>145</v>
      </c>
      <c r="B1085" s="7" t="s">
        <v>321</v>
      </c>
    </row>
    <row r="1086" ht="15.75" customHeight="1">
      <c r="A1086" s="6" t="s">
        <v>910</v>
      </c>
      <c r="B1086" s="6" t="s">
        <v>321</v>
      </c>
    </row>
    <row r="1087" ht="15.75" customHeight="1">
      <c r="A1087" s="7" t="s">
        <v>159</v>
      </c>
      <c r="B1087" s="7" t="s">
        <v>322</v>
      </c>
    </row>
    <row r="1088" ht="15.75" customHeight="1">
      <c r="A1088" s="7" t="s">
        <v>134</v>
      </c>
      <c r="B1088" s="7" t="s">
        <v>322</v>
      </c>
    </row>
    <row r="1089" ht="15.75" customHeight="1">
      <c r="A1089" s="7" t="s">
        <v>175</v>
      </c>
      <c r="B1089" s="7" t="s">
        <v>322</v>
      </c>
    </row>
    <row r="1090" ht="15.75" customHeight="1">
      <c r="A1090" s="7" t="s">
        <v>135</v>
      </c>
      <c r="B1090" s="7" t="s">
        <v>322</v>
      </c>
    </row>
    <row r="1091" ht="15.75" customHeight="1">
      <c r="A1091" s="7" t="s">
        <v>181</v>
      </c>
      <c r="B1091" s="7" t="s">
        <v>322</v>
      </c>
    </row>
    <row r="1092" ht="15.75" customHeight="1">
      <c r="A1092" s="7" t="s">
        <v>220</v>
      </c>
      <c r="B1092" s="7" t="s">
        <v>322</v>
      </c>
    </row>
    <row r="1093" ht="15.75" customHeight="1">
      <c r="A1093" s="6" t="s">
        <v>910</v>
      </c>
      <c r="B1093" s="6" t="s">
        <v>322</v>
      </c>
    </row>
    <row r="1094" ht="15.75" customHeight="1">
      <c r="A1094" s="7" t="s">
        <v>70</v>
      </c>
      <c r="B1094" s="7" t="s">
        <v>323</v>
      </c>
    </row>
    <row r="1095" ht="15.75" customHeight="1">
      <c r="A1095" s="7" t="s">
        <v>122</v>
      </c>
      <c r="B1095" s="7" t="s">
        <v>323</v>
      </c>
    </row>
    <row r="1096" ht="15.75" customHeight="1">
      <c r="A1096" s="7" t="s">
        <v>175</v>
      </c>
      <c r="B1096" s="7" t="s">
        <v>323</v>
      </c>
    </row>
    <row r="1097" ht="15.75" customHeight="1">
      <c r="A1097" s="7" t="s">
        <v>166</v>
      </c>
      <c r="B1097" s="7" t="s">
        <v>323</v>
      </c>
    </row>
    <row r="1098" ht="15.75" customHeight="1">
      <c r="A1098" s="7" t="s">
        <v>106</v>
      </c>
      <c r="B1098" s="7" t="s">
        <v>323</v>
      </c>
    </row>
    <row r="1099" ht="15.75" customHeight="1">
      <c r="A1099" s="7" t="s">
        <v>136</v>
      </c>
      <c r="B1099" s="7" t="s">
        <v>323</v>
      </c>
    </row>
    <row r="1100" ht="15.75" customHeight="1">
      <c r="A1100" s="6" t="s">
        <v>910</v>
      </c>
      <c r="B1100" s="6" t="s">
        <v>323</v>
      </c>
    </row>
    <row r="1101" ht="15.75" customHeight="1">
      <c r="A1101" s="7" t="s">
        <v>148</v>
      </c>
      <c r="B1101" s="7" t="s">
        <v>324</v>
      </c>
    </row>
    <row r="1102" ht="15.75" customHeight="1">
      <c r="A1102" s="7" t="s">
        <v>192</v>
      </c>
      <c r="B1102" s="7" t="s">
        <v>324</v>
      </c>
    </row>
    <row r="1103" ht="15.75" customHeight="1">
      <c r="A1103" s="7" t="s">
        <v>194</v>
      </c>
      <c r="B1103" s="7" t="s">
        <v>324</v>
      </c>
    </row>
    <row r="1104" ht="15.75" customHeight="1">
      <c r="A1104" s="7" t="s">
        <v>184</v>
      </c>
      <c r="B1104" s="7" t="s">
        <v>324</v>
      </c>
    </row>
    <row r="1105" ht="15.75" customHeight="1">
      <c r="A1105" s="7" t="s">
        <v>113</v>
      </c>
      <c r="B1105" s="7" t="s">
        <v>324</v>
      </c>
    </row>
    <row r="1106" ht="15.75" customHeight="1">
      <c r="A1106" s="7" t="s">
        <v>67</v>
      </c>
      <c r="B1106" s="7" t="s">
        <v>324</v>
      </c>
    </row>
    <row r="1107" ht="15.75" customHeight="1">
      <c r="A1107" s="6" t="s">
        <v>910</v>
      </c>
      <c r="B1107" s="6" t="s">
        <v>324</v>
      </c>
    </row>
    <row r="1108" ht="15.75" customHeight="1">
      <c r="A1108" s="6" t="s">
        <v>1126</v>
      </c>
      <c r="B1108" s="6" t="s">
        <v>324</v>
      </c>
    </row>
    <row r="1109" ht="15.75" customHeight="1">
      <c r="A1109" s="7" t="s">
        <v>82</v>
      </c>
      <c r="B1109" s="7" t="s">
        <v>325</v>
      </c>
    </row>
    <row r="1110" ht="15.75" customHeight="1">
      <c r="A1110" s="7" t="s">
        <v>192</v>
      </c>
      <c r="B1110" s="7" t="s">
        <v>325</v>
      </c>
    </row>
    <row r="1111" ht="15.75" customHeight="1">
      <c r="A1111" s="7" t="s">
        <v>109</v>
      </c>
      <c r="B1111" s="7" t="s">
        <v>325</v>
      </c>
    </row>
    <row r="1112" ht="15.75" customHeight="1">
      <c r="A1112" s="7" t="s">
        <v>166</v>
      </c>
      <c r="B1112" s="7" t="s">
        <v>325</v>
      </c>
    </row>
    <row r="1113" ht="15.75" customHeight="1">
      <c r="A1113" s="7" t="s">
        <v>181</v>
      </c>
      <c r="B1113" s="7" t="s">
        <v>325</v>
      </c>
    </row>
    <row r="1114" ht="15.75" customHeight="1">
      <c r="A1114" s="7" t="s">
        <v>212</v>
      </c>
      <c r="B1114" s="7" t="s">
        <v>325</v>
      </c>
    </row>
    <row r="1115" ht="15.75" customHeight="1">
      <c r="A1115" s="6" t="s">
        <v>910</v>
      </c>
      <c r="B1115" s="6" t="s">
        <v>325</v>
      </c>
    </row>
    <row r="1116" ht="15.75" customHeight="1">
      <c r="A1116" s="7" t="s">
        <v>82</v>
      </c>
      <c r="B1116" s="7" t="s">
        <v>326</v>
      </c>
    </row>
    <row r="1117" ht="15.75" customHeight="1">
      <c r="A1117" s="7" t="s">
        <v>156</v>
      </c>
      <c r="B1117" s="7" t="s">
        <v>326</v>
      </c>
    </row>
    <row r="1118" ht="15.75" customHeight="1">
      <c r="A1118" s="7" t="s">
        <v>98</v>
      </c>
      <c r="B1118" s="7" t="s">
        <v>326</v>
      </c>
    </row>
    <row r="1119" ht="15.75" customHeight="1">
      <c r="A1119" s="7" t="s">
        <v>195</v>
      </c>
      <c r="B1119" s="7" t="s">
        <v>326</v>
      </c>
    </row>
    <row r="1120" ht="15.75" customHeight="1">
      <c r="A1120" s="7" t="s">
        <v>124</v>
      </c>
      <c r="B1120" s="7" t="s">
        <v>326</v>
      </c>
    </row>
    <row r="1121" ht="15.75" customHeight="1">
      <c r="A1121" s="7" t="s">
        <v>220</v>
      </c>
      <c r="B1121" s="7" t="s">
        <v>326</v>
      </c>
    </row>
    <row r="1122" ht="15.75" customHeight="1">
      <c r="A1122" s="6" t="s">
        <v>910</v>
      </c>
      <c r="B1122" s="6" t="s">
        <v>326</v>
      </c>
    </row>
    <row r="1123" ht="15.75" customHeight="1">
      <c r="A1123" s="7" t="s">
        <v>114</v>
      </c>
      <c r="B1123" s="7" t="s">
        <v>327</v>
      </c>
    </row>
    <row r="1124" ht="15.75" customHeight="1">
      <c r="A1124" s="7" t="s">
        <v>70</v>
      </c>
      <c r="B1124" s="7" t="s">
        <v>327</v>
      </c>
    </row>
    <row r="1125" ht="15.75" customHeight="1">
      <c r="A1125" s="7" t="s">
        <v>78</v>
      </c>
      <c r="B1125" s="7" t="s">
        <v>327</v>
      </c>
    </row>
    <row r="1126" ht="15.75" customHeight="1">
      <c r="A1126" s="7" t="s">
        <v>240</v>
      </c>
      <c r="B1126" s="7" t="s">
        <v>327</v>
      </c>
    </row>
    <row r="1127" ht="15.75" customHeight="1">
      <c r="A1127" s="7" t="s">
        <v>117</v>
      </c>
      <c r="B1127" s="7" t="s">
        <v>327</v>
      </c>
    </row>
    <row r="1128" ht="15.75" customHeight="1">
      <c r="A1128" s="7" t="s">
        <v>81</v>
      </c>
      <c r="B1128" s="7" t="s">
        <v>327</v>
      </c>
    </row>
    <row r="1129" ht="15.75" customHeight="1">
      <c r="A1129" s="6" t="s">
        <v>910</v>
      </c>
      <c r="B1129" s="6" t="s">
        <v>327</v>
      </c>
    </row>
    <row r="1130" ht="15.75" customHeight="1">
      <c r="A1130" s="7" t="s">
        <v>82</v>
      </c>
      <c r="B1130" s="7" t="s">
        <v>328</v>
      </c>
    </row>
    <row r="1131" ht="15.75" customHeight="1">
      <c r="A1131" s="7" t="s">
        <v>122</v>
      </c>
      <c r="B1131" s="7" t="s">
        <v>328</v>
      </c>
    </row>
    <row r="1132" ht="15.75" customHeight="1">
      <c r="A1132" s="7" t="s">
        <v>78</v>
      </c>
      <c r="B1132" s="7" t="s">
        <v>328</v>
      </c>
    </row>
    <row r="1133" ht="15.75" customHeight="1">
      <c r="A1133" s="7" t="s">
        <v>207</v>
      </c>
      <c r="B1133" s="7" t="s">
        <v>328</v>
      </c>
    </row>
    <row r="1134" ht="15.75" customHeight="1">
      <c r="A1134" s="7" t="s">
        <v>87</v>
      </c>
      <c r="B1134" s="7" t="s">
        <v>328</v>
      </c>
    </row>
    <row r="1135" ht="15.75" customHeight="1">
      <c r="A1135" s="7" t="s">
        <v>88</v>
      </c>
      <c r="B1135" s="7" t="s">
        <v>328</v>
      </c>
    </row>
    <row r="1136" ht="15.75" customHeight="1">
      <c r="A1136" s="6" t="s">
        <v>910</v>
      </c>
      <c r="B1136" s="6" t="s">
        <v>328</v>
      </c>
    </row>
    <row r="1137" ht="15.75" customHeight="1">
      <c r="A1137" s="6" t="s">
        <v>1126</v>
      </c>
      <c r="B1137" s="6" t="s">
        <v>328</v>
      </c>
    </row>
    <row r="1138" ht="15.75" customHeight="1">
      <c r="A1138" s="7" t="s">
        <v>134</v>
      </c>
      <c r="B1138" s="7" t="s">
        <v>329</v>
      </c>
    </row>
    <row r="1139" ht="15.75" customHeight="1">
      <c r="A1139" s="7" t="s">
        <v>85</v>
      </c>
      <c r="B1139" s="7" t="s">
        <v>329</v>
      </c>
    </row>
    <row r="1140" ht="15.75" customHeight="1">
      <c r="A1140" s="7" t="s">
        <v>175</v>
      </c>
      <c r="B1140" s="7" t="s">
        <v>329</v>
      </c>
    </row>
    <row r="1141" ht="15.75" customHeight="1">
      <c r="A1141" s="7" t="s">
        <v>166</v>
      </c>
      <c r="B1141" s="7" t="s">
        <v>329</v>
      </c>
    </row>
    <row r="1142" ht="15.75" customHeight="1">
      <c r="A1142" s="7" t="s">
        <v>196</v>
      </c>
      <c r="B1142" s="7" t="s">
        <v>329</v>
      </c>
    </row>
    <row r="1143" ht="15.75" customHeight="1">
      <c r="A1143" s="7" t="s">
        <v>212</v>
      </c>
      <c r="B1143" s="7" t="s">
        <v>329</v>
      </c>
    </row>
    <row r="1144" ht="15.75" customHeight="1">
      <c r="A1144" s="6" t="s">
        <v>910</v>
      </c>
      <c r="B1144" s="6" t="s">
        <v>329</v>
      </c>
    </row>
    <row r="1145" ht="15.75" customHeight="1">
      <c r="A1145" s="7" t="s">
        <v>148</v>
      </c>
      <c r="B1145" s="7" t="s">
        <v>330</v>
      </c>
    </row>
    <row r="1146" ht="15.75" customHeight="1">
      <c r="A1146" s="7" t="s">
        <v>156</v>
      </c>
      <c r="B1146" s="7" t="s">
        <v>330</v>
      </c>
    </row>
    <row r="1147" ht="15.75" customHeight="1">
      <c r="A1147" s="7" t="s">
        <v>120</v>
      </c>
      <c r="B1147" s="7" t="s">
        <v>330</v>
      </c>
    </row>
    <row r="1148" ht="15.75" customHeight="1">
      <c r="A1148" s="7" t="s">
        <v>166</v>
      </c>
      <c r="B1148" s="7" t="s">
        <v>330</v>
      </c>
    </row>
    <row r="1149" ht="15.75" customHeight="1">
      <c r="A1149" s="7" t="s">
        <v>162</v>
      </c>
      <c r="B1149" s="7" t="s">
        <v>330</v>
      </c>
    </row>
    <row r="1150" ht="15.75" customHeight="1">
      <c r="A1150" s="7" t="s">
        <v>220</v>
      </c>
      <c r="B1150" s="7" t="s">
        <v>330</v>
      </c>
    </row>
    <row r="1151" ht="15.75" customHeight="1">
      <c r="A1151" s="6" t="s">
        <v>910</v>
      </c>
      <c r="B1151" s="6" t="s">
        <v>330</v>
      </c>
    </row>
    <row r="1152" ht="15.75" customHeight="1">
      <c r="A1152" s="7" t="s">
        <v>114</v>
      </c>
      <c r="B1152" s="7" t="s">
        <v>331</v>
      </c>
    </row>
    <row r="1153" ht="15.75" customHeight="1">
      <c r="A1153" s="7" t="s">
        <v>75</v>
      </c>
      <c r="B1153" s="7" t="s">
        <v>331</v>
      </c>
    </row>
    <row r="1154" ht="15.75" customHeight="1">
      <c r="A1154" s="7" t="s">
        <v>98</v>
      </c>
      <c r="B1154" s="7" t="s">
        <v>331</v>
      </c>
    </row>
    <row r="1155" ht="15.75" customHeight="1">
      <c r="A1155" s="7" t="s">
        <v>195</v>
      </c>
      <c r="B1155" s="7" t="s">
        <v>331</v>
      </c>
    </row>
    <row r="1156" ht="15.75" customHeight="1">
      <c r="A1156" s="7" t="s">
        <v>196</v>
      </c>
      <c r="B1156" s="7" t="s">
        <v>331</v>
      </c>
    </row>
    <row r="1157" ht="15.75" customHeight="1">
      <c r="A1157" s="7" t="s">
        <v>136</v>
      </c>
      <c r="B1157" s="7" t="s">
        <v>331</v>
      </c>
    </row>
    <row r="1158" ht="15.75" customHeight="1">
      <c r="A1158" s="6" t="s">
        <v>910</v>
      </c>
      <c r="B1158" s="6" t="s">
        <v>331</v>
      </c>
    </row>
    <row r="1159" ht="15.75" customHeight="1">
      <c r="A1159" s="7" t="s">
        <v>114</v>
      </c>
      <c r="B1159" s="7" t="s">
        <v>332</v>
      </c>
    </row>
    <row r="1160" ht="15.75" customHeight="1">
      <c r="A1160" s="7" t="s">
        <v>148</v>
      </c>
      <c r="B1160" s="7" t="s">
        <v>332</v>
      </c>
    </row>
    <row r="1161" ht="15.75" customHeight="1">
      <c r="A1161" s="7" t="s">
        <v>120</v>
      </c>
      <c r="B1161" s="7" t="s">
        <v>332</v>
      </c>
    </row>
    <row r="1162" ht="15.75" customHeight="1">
      <c r="A1162" s="7" t="s">
        <v>135</v>
      </c>
      <c r="B1162" s="7" t="s">
        <v>332</v>
      </c>
    </row>
    <row r="1163" ht="15.75" customHeight="1">
      <c r="A1163" s="7" t="s">
        <v>222</v>
      </c>
      <c r="B1163" s="7" t="s">
        <v>332</v>
      </c>
    </row>
    <row r="1164" ht="15.75" customHeight="1">
      <c r="A1164" s="7" t="s">
        <v>212</v>
      </c>
      <c r="B1164" s="7" t="s">
        <v>332</v>
      </c>
    </row>
    <row r="1165" ht="15.75" customHeight="1">
      <c r="A1165" s="6" t="s">
        <v>910</v>
      </c>
      <c r="B1165" s="6" t="s">
        <v>332</v>
      </c>
    </row>
    <row r="1166" ht="15.75" customHeight="1">
      <c r="A1166" s="7" t="s">
        <v>148</v>
      </c>
      <c r="B1166" s="7" t="s">
        <v>333</v>
      </c>
    </row>
    <row r="1167" ht="15.75" customHeight="1">
      <c r="A1167" s="7" t="s">
        <v>156</v>
      </c>
      <c r="B1167" s="7" t="s">
        <v>333</v>
      </c>
    </row>
    <row r="1168" ht="15.75" customHeight="1">
      <c r="A1168" s="7" t="s">
        <v>120</v>
      </c>
      <c r="B1168" s="7" t="s">
        <v>333</v>
      </c>
    </row>
    <row r="1169" ht="15.75" customHeight="1">
      <c r="A1169" s="7" t="s">
        <v>166</v>
      </c>
      <c r="B1169" s="7" t="s">
        <v>333</v>
      </c>
    </row>
    <row r="1170" ht="15.75" customHeight="1">
      <c r="A1170" s="7" t="s">
        <v>196</v>
      </c>
      <c r="B1170" s="7" t="s">
        <v>333</v>
      </c>
    </row>
    <row r="1171" ht="15.75" customHeight="1">
      <c r="A1171" s="7" t="s">
        <v>220</v>
      </c>
      <c r="B1171" s="7" t="s">
        <v>333</v>
      </c>
    </row>
    <row r="1172" ht="15.75" customHeight="1">
      <c r="A1172" s="6" t="s">
        <v>910</v>
      </c>
      <c r="B1172" s="6" t="s">
        <v>333</v>
      </c>
    </row>
    <row r="1173" ht="15.75" customHeight="1">
      <c r="A1173" s="7" t="s">
        <v>146</v>
      </c>
      <c r="B1173" s="7" t="s">
        <v>334</v>
      </c>
    </row>
    <row r="1174" ht="15.75" customHeight="1">
      <c r="A1174" s="7" t="s">
        <v>148</v>
      </c>
      <c r="B1174" s="7" t="s">
        <v>334</v>
      </c>
    </row>
    <row r="1175" ht="15.75" customHeight="1">
      <c r="A1175" s="7" t="s">
        <v>120</v>
      </c>
      <c r="B1175" s="7" t="s">
        <v>334</v>
      </c>
    </row>
    <row r="1176" ht="15.75" customHeight="1">
      <c r="A1176" s="7" t="s">
        <v>184</v>
      </c>
      <c r="B1176" s="7" t="s">
        <v>334</v>
      </c>
    </row>
    <row r="1177" ht="15.75" customHeight="1">
      <c r="A1177" s="7" t="s">
        <v>142</v>
      </c>
      <c r="B1177" s="7" t="s">
        <v>334</v>
      </c>
    </row>
    <row r="1178" ht="15.75" customHeight="1">
      <c r="A1178" s="7" t="s">
        <v>67</v>
      </c>
      <c r="B1178" s="7" t="s">
        <v>334</v>
      </c>
    </row>
    <row r="1179" ht="15.75" customHeight="1">
      <c r="A1179" s="6" t="s">
        <v>910</v>
      </c>
      <c r="B1179" s="6" t="s">
        <v>334</v>
      </c>
    </row>
    <row r="1180" ht="15.75" customHeight="1">
      <c r="A1180" s="7" t="s">
        <v>95</v>
      </c>
      <c r="B1180" s="7" t="s">
        <v>335</v>
      </c>
    </row>
    <row r="1181" ht="15.75" customHeight="1">
      <c r="A1181" s="7" t="s">
        <v>161</v>
      </c>
      <c r="B1181" s="7" t="s">
        <v>335</v>
      </c>
    </row>
    <row r="1182" ht="15.75" customHeight="1">
      <c r="A1182" s="7" t="s">
        <v>129</v>
      </c>
      <c r="B1182" s="7" t="s">
        <v>335</v>
      </c>
    </row>
    <row r="1183" ht="15.75" customHeight="1">
      <c r="A1183" s="7" t="s">
        <v>149</v>
      </c>
      <c r="B1183" s="7" t="s">
        <v>335</v>
      </c>
    </row>
    <row r="1184" ht="15.75" customHeight="1">
      <c r="A1184" s="7" t="s">
        <v>106</v>
      </c>
      <c r="B1184" s="7" t="s">
        <v>335</v>
      </c>
    </row>
    <row r="1185" ht="15.75" customHeight="1">
      <c r="A1185" s="7" t="s">
        <v>158</v>
      </c>
      <c r="B1185" s="7" t="s">
        <v>335</v>
      </c>
    </row>
    <row r="1186" ht="15.75" customHeight="1">
      <c r="A1186" s="6" t="s">
        <v>910</v>
      </c>
      <c r="B1186" s="6" t="s">
        <v>335</v>
      </c>
    </row>
    <row r="1187" ht="15.75" customHeight="1">
      <c r="A1187" s="7" t="s">
        <v>161</v>
      </c>
      <c r="B1187" s="7" t="s">
        <v>336</v>
      </c>
    </row>
    <row r="1188" ht="15.75" customHeight="1">
      <c r="A1188" s="7" t="s">
        <v>77</v>
      </c>
      <c r="B1188" s="7" t="s">
        <v>336</v>
      </c>
    </row>
    <row r="1189" ht="15.75" customHeight="1">
      <c r="A1189" s="7" t="s">
        <v>175</v>
      </c>
      <c r="B1189" s="7" t="s">
        <v>336</v>
      </c>
    </row>
    <row r="1190" ht="15.75" customHeight="1">
      <c r="A1190" s="7" t="s">
        <v>116</v>
      </c>
      <c r="B1190" s="7" t="s">
        <v>336</v>
      </c>
    </row>
    <row r="1191" ht="15.75" customHeight="1">
      <c r="A1191" s="7" t="s">
        <v>87</v>
      </c>
      <c r="B1191" s="7" t="s">
        <v>336</v>
      </c>
    </row>
    <row r="1192" ht="15.75" customHeight="1">
      <c r="A1192" s="7" t="s">
        <v>185</v>
      </c>
      <c r="B1192" s="7" t="s">
        <v>336</v>
      </c>
    </row>
    <row r="1193" ht="15.75" customHeight="1">
      <c r="A1193" s="6" t="s">
        <v>910</v>
      </c>
      <c r="B1193" s="6" t="s">
        <v>336</v>
      </c>
    </row>
    <row r="1194" ht="15.75" customHeight="1">
      <c r="A1194" s="6" t="s">
        <v>1126</v>
      </c>
      <c r="B1194" s="6" t="s">
        <v>336</v>
      </c>
    </row>
    <row r="1195" ht="15.75" customHeight="1">
      <c r="A1195" s="7" t="s">
        <v>161</v>
      </c>
      <c r="B1195" s="7" t="s">
        <v>337</v>
      </c>
    </row>
    <row r="1196" ht="15.75" customHeight="1">
      <c r="A1196" s="7" t="s">
        <v>194</v>
      </c>
      <c r="B1196" s="7" t="s">
        <v>337</v>
      </c>
    </row>
    <row r="1197" ht="15.75" customHeight="1">
      <c r="A1197" s="7" t="s">
        <v>71</v>
      </c>
      <c r="B1197" s="7" t="s">
        <v>337</v>
      </c>
    </row>
    <row r="1198" ht="15.75" customHeight="1">
      <c r="A1198" s="7" t="s">
        <v>105</v>
      </c>
      <c r="B1198" s="7" t="s">
        <v>337</v>
      </c>
    </row>
    <row r="1199" ht="15.75" customHeight="1">
      <c r="A1199" s="7" t="s">
        <v>150</v>
      </c>
      <c r="B1199" s="7" t="s">
        <v>337</v>
      </c>
    </row>
    <row r="1200" ht="15.75" customHeight="1">
      <c r="A1200" s="7" t="s">
        <v>158</v>
      </c>
      <c r="B1200" s="7" t="s">
        <v>337</v>
      </c>
    </row>
    <row r="1201" ht="15.75" customHeight="1">
      <c r="A1201" s="6" t="s">
        <v>910</v>
      </c>
      <c r="B1201" s="6" t="s">
        <v>337</v>
      </c>
    </row>
    <row r="1202" ht="15.75" customHeight="1">
      <c r="A1202" s="7" t="s">
        <v>61</v>
      </c>
      <c r="B1202" s="7" t="s">
        <v>338</v>
      </c>
    </row>
    <row r="1203" ht="15.75" customHeight="1">
      <c r="A1203" s="7" t="s">
        <v>63</v>
      </c>
      <c r="B1203" s="7" t="s">
        <v>338</v>
      </c>
    </row>
    <row r="1204" ht="15.75" customHeight="1">
      <c r="A1204" s="7" t="s">
        <v>215</v>
      </c>
      <c r="B1204" s="7" t="s">
        <v>338</v>
      </c>
    </row>
    <row r="1205" ht="15.75" customHeight="1">
      <c r="A1205" s="7" t="s">
        <v>184</v>
      </c>
      <c r="B1205" s="7" t="s">
        <v>338</v>
      </c>
    </row>
    <row r="1206" ht="15.75" customHeight="1">
      <c r="A1206" s="7" t="s">
        <v>80</v>
      </c>
      <c r="B1206" s="7" t="s">
        <v>338</v>
      </c>
    </row>
    <row r="1207" ht="15.75" customHeight="1">
      <c r="A1207" s="7" t="s">
        <v>185</v>
      </c>
      <c r="B1207" s="7" t="s">
        <v>338</v>
      </c>
    </row>
    <row r="1208" ht="15.75" customHeight="1">
      <c r="A1208" s="6" t="s">
        <v>910</v>
      </c>
      <c r="B1208" s="6" t="s">
        <v>338</v>
      </c>
    </row>
    <row r="1209" ht="15.75" customHeight="1">
      <c r="A1209" s="6" t="s">
        <v>1126</v>
      </c>
      <c r="B1209" s="6" t="s">
        <v>338</v>
      </c>
    </row>
    <row r="1210" ht="15.75" customHeight="1">
      <c r="A1210" s="7" t="s">
        <v>68</v>
      </c>
      <c r="B1210" s="7" t="s">
        <v>339</v>
      </c>
    </row>
    <row r="1211" ht="15.75" customHeight="1">
      <c r="A1211" s="7" t="s">
        <v>148</v>
      </c>
      <c r="B1211" s="7" t="s">
        <v>339</v>
      </c>
    </row>
    <row r="1212" ht="15.75" customHeight="1">
      <c r="A1212" s="7" t="s">
        <v>84</v>
      </c>
      <c r="B1212" s="7" t="s">
        <v>339</v>
      </c>
    </row>
    <row r="1213" ht="15.75" customHeight="1">
      <c r="A1213" s="7" t="s">
        <v>157</v>
      </c>
      <c r="B1213" s="7" t="s">
        <v>339</v>
      </c>
    </row>
    <row r="1214" ht="15.75" customHeight="1">
      <c r="A1214" s="7" t="s">
        <v>196</v>
      </c>
      <c r="B1214" s="7" t="s">
        <v>339</v>
      </c>
    </row>
    <row r="1215" ht="15.75" customHeight="1">
      <c r="A1215" s="7" t="s">
        <v>111</v>
      </c>
      <c r="B1215" s="7" t="s">
        <v>339</v>
      </c>
    </row>
    <row r="1216" ht="15.75" customHeight="1">
      <c r="A1216" s="6" t="s">
        <v>910</v>
      </c>
      <c r="B1216" s="6" t="s">
        <v>339</v>
      </c>
    </row>
    <row r="1217" ht="15.75" customHeight="1">
      <c r="A1217" s="7" t="s">
        <v>61</v>
      </c>
      <c r="B1217" s="7" t="s">
        <v>340</v>
      </c>
    </row>
    <row r="1218" ht="15.75" customHeight="1">
      <c r="A1218" s="7" t="s">
        <v>64</v>
      </c>
      <c r="B1218" s="7" t="s">
        <v>340</v>
      </c>
    </row>
    <row r="1219" ht="15.75" customHeight="1">
      <c r="A1219" s="7" t="s">
        <v>77</v>
      </c>
      <c r="B1219" s="7" t="s">
        <v>340</v>
      </c>
    </row>
    <row r="1220" ht="15.75" customHeight="1">
      <c r="A1220" s="7" t="s">
        <v>116</v>
      </c>
      <c r="B1220" s="7" t="s">
        <v>340</v>
      </c>
    </row>
    <row r="1221" ht="15.75" customHeight="1">
      <c r="A1221" s="7" t="s">
        <v>142</v>
      </c>
      <c r="B1221" s="7" t="s">
        <v>340</v>
      </c>
    </row>
    <row r="1222" ht="15.75" customHeight="1">
      <c r="A1222" s="7" t="s">
        <v>118</v>
      </c>
      <c r="B1222" s="7" t="s">
        <v>340</v>
      </c>
    </row>
    <row r="1223" ht="15.75" customHeight="1">
      <c r="A1223" s="6" t="s">
        <v>910</v>
      </c>
      <c r="B1223" s="6" t="s">
        <v>340</v>
      </c>
    </row>
    <row r="1224" ht="15.75" customHeight="1">
      <c r="A1224" s="7" t="s">
        <v>148</v>
      </c>
      <c r="B1224" s="7" t="s">
        <v>341</v>
      </c>
    </row>
    <row r="1225" ht="15.75" customHeight="1">
      <c r="A1225" s="7" t="s">
        <v>194</v>
      </c>
      <c r="B1225" s="7" t="s">
        <v>341</v>
      </c>
    </row>
    <row r="1226" ht="15.75" customHeight="1">
      <c r="A1226" s="7" t="s">
        <v>104</v>
      </c>
      <c r="B1226" s="7" t="s">
        <v>341</v>
      </c>
    </row>
    <row r="1227" ht="15.75" customHeight="1">
      <c r="A1227" s="7" t="s">
        <v>123</v>
      </c>
      <c r="B1227" s="7" t="s">
        <v>341</v>
      </c>
    </row>
    <row r="1228" ht="15.75" customHeight="1">
      <c r="A1228" s="7" t="s">
        <v>187</v>
      </c>
      <c r="B1228" s="7" t="s">
        <v>341</v>
      </c>
    </row>
    <row r="1229" ht="15.75" customHeight="1">
      <c r="A1229" s="7" t="s">
        <v>127</v>
      </c>
      <c r="B1229" s="7" t="s">
        <v>341</v>
      </c>
    </row>
    <row r="1230" ht="15.75" customHeight="1">
      <c r="A1230" s="6" t="s">
        <v>910</v>
      </c>
      <c r="B1230" s="6" t="s">
        <v>341</v>
      </c>
    </row>
    <row r="1231" ht="15.75" customHeight="1">
      <c r="A1231" s="7" t="s">
        <v>159</v>
      </c>
      <c r="B1231" s="7" t="s">
        <v>342</v>
      </c>
    </row>
    <row r="1232" ht="15.75" customHeight="1">
      <c r="A1232" s="7" t="s">
        <v>134</v>
      </c>
      <c r="B1232" s="7" t="s">
        <v>342</v>
      </c>
    </row>
    <row r="1233" ht="15.75" customHeight="1">
      <c r="A1233" s="7" t="s">
        <v>71</v>
      </c>
      <c r="B1233" s="7" t="s">
        <v>342</v>
      </c>
    </row>
    <row r="1234" ht="15.75" customHeight="1">
      <c r="A1234" s="7" t="s">
        <v>176</v>
      </c>
      <c r="B1234" s="7" t="s">
        <v>342</v>
      </c>
    </row>
    <row r="1235" ht="15.75" customHeight="1">
      <c r="A1235" s="7" t="s">
        <v>181</v>
      </c>
      <c r="B1235" s="7" t="s">
        <v>342</v>
      </c>
    </row>
    <row r="1236" ht="15.75" customHeight="1">
      <c r="A1236" s="7" t="s">
        <v>158</v>
      </c>
      <c r="B1236" s="7" t="s">
        <v>342</v>
      </c>
    </row>
    <row r="1237" ht="15.75" customHeight="1">
      <c r="A1237" s="6" t="s">
        <v>910</v>
      </c>
      <c r="B1237" s="6" t="s">
        <v>342</v>
      </c>
    </row>
    <row r="1238" ht="15.75" customHeight="1">
      <c r="A1238" s="7" t="s">
        <v>143</v>
      </c>
      <c r="B1238" s="7" t="s">
        <v>343</v>
      </c>
    </row>
    <row r="1239" ht="15.75" customHeight="1">
      <c r="A1239" s="7" t="s">
        <v>95</v>
      </c>
      <c r="B1239" s="7" t="s">
        <v>343</v>
      </c>
    </row>
    <row r="1240" ht="15.75" customHeight="1">
      <c r="A1240" s="7" t="s">
        <v>129</v>
      </c>
      <c r="B1240" s="7" t="s">
        <v>343</v>
      </c>
    </row>
    <row r="1241" ht="15.75" customHeight="1">
      <c r="A1241" s="7" t="s">
        <v>99</v>
      </c>
      <c r="B1241" s="7" t="s">
        <v>343</v>
      </c>
    </row>
    <row r="1242" ht="15.75" customHeight="1">
      <c r="A1242" s="7" t="s">
        <v>93</v>
      </c>
      <c r="B1242" s="7" t="s">
        <v>343</v>
      </c>
    </row>
    <row r="1243" ht="15.75" customHeight="1">
      <c r="A1243" s="7" t="s">
        <v>241</v>
      </c>
      <c r="B1243" s="7" t="s">
        <v>343</v>
      </c>
    </row>
    <row r="1244" ht="15.75" customHeight="1">
      <c r="A1244" s="6" t="s">
        <v>910</v>
      </c>
      <c r="B1244" s="6" t="s">
        <v>343</v>
      </c>
    </row>
    <row r="1245" ht="15.75" customHeight="1">
      <c r="A1245" s="7" t="s">
        <v>100</v>
      </c>
      <c r="B1245" s="7" t="s">
        <v>344</v>
      </c>
    </row>
    <row r="1246" ht="15.75" customHeight="1">
      <c r="A1246" s="7" t="s">
        <v>92</v>
      </c>
      <c r="B1246" s="7" t="s">
        <v>344</v>
      </c>
    </row>
    <row r="1247" ht="15.75" customHeight="1">
      <c r="A1247" s="7" t="s">
        <v>104</v>
      </c>
      <c r="B1247" s="7" t="s">
        <v>344</v>
      </c>
    </row>
    <row r="1248" ht="15.75" customHeight="1">
      <c r="A1248" s="7" t="s">
        <v>105</v>
      </c>
      <c r="B1248" s="7" t="s">
        <v>344</v>
      </c>
    </row>
    <row r="1249" ht="15.75" customHeight="1">
      <c r="A1249" s="7" t="s">
        <v>164</v>
      </c>
      <c r="B1249" s="7" t="s">
        <v>344</v>
      </c>
    </row>
    <row r="1250" ht="15.75" customHeight="1">
      <c r="A1250" s="7" t="s">
        <v>107</v>
      </c>
      <c r="B1250" s="7" t="s">
        <v>344</v>
      </c>
    </row>
    <row r="1251" ht="15.75" customHeight="1">
      <c r="A1251" s="6" t="s">
        <v>910</v>
      </c>
      <c r="B1251" s="6" t="s">
        <v>344</v>
      </c>
    </row>
    <row r="1252" ht="15.75" customHeight="1">
      <c r="A1252" s="7" t="s">
        <v>190</v>
      </c>
      <c r="B1252" s="7" t="s">
        <v>345</v>
      </c>
    </row>
    <row r="1253" ht="15.75" customHeight="1">
      <c r="A1253" s="7" t="s">
        <v>146</v>
      </c>
      <c r="B1253" s="7" t="s">
        <v>345</v>
      </c>
    </row>
    <row r="1254" ht="15.75" customHeight="1">
      <c r="A1254" s="7" t="s">
        <v>120</v>
      </c>
      <c r="B1254" s="7" t="s">
        <v>345</v>
      </c>
    </row>
    <row r="1255" ht="15.75" customHeight="1">
      <c r="A1255" s="7" t="s">
        <v>189</v>
      </c>
      <c r="B1255" s="7" t="s">
        <v>345</v>
      </c>
    </row>
    <row r="1256" ht="15.75" customHeight="1">
      <c r="A1256" s="7" t="s">
        <v>113</v>
      </c>
      <c r="B1256" s="7" t="s">
        <v>345</v>
      </c>
    </row>
    <row r="1257" ht="15.75" customHeight="1">
      <c r="A1257" s="7" t="s">
        <v>185</v>
      </c>
      <c r="B1257" s="7" t="s">
        <v>345</v>
      </c>
    </row>
    <row r="1258" ht="15.75" customHeight="1">
      <c r="A1258" s="6" t="s">
        <v>910</v>
      </c>
      <c r="B1258" s="6" t="s">
        <v>345</v>
      </c>
    </row>
    <row r="1259" ht="15.75" customHeight="1">
      <c r="A1259" s="6" t="s">
        <v>1126</v>
      </c>
      <c r="B1259" s="6" t="s">
        <v>345</v>
      </c>
    </row>
    <row r="1260" ht="15.75" customHeight="1">
      <c r="A1260" s="7" t="s">
        <v>159</v>
      </c>
      <c r="B1260" s="7" t="s">
        <v>346</v>
      </c>
    </row>
    <row r="1261" ht="15.75" customHeight="1">
      <c r="A1261" s="7" t="s">
        <v>161</v>
      </c>
      <c r="B1261" s="7" t="s">
        <v>346</v>
      </c>
    </row>
    <row r="1262" ht="15.75" customHeight="1">
      <c r="A1262" s="7" t="s">
        <v>170</v>
      </c>
      <c r="B1262" s="7" t="s">
        <v>346</v>
      </c>
    </row>
    <row r="1263" ht="15.75" customHeight="1">
      <c r="A1263" s="7" t="s">
        <v>123</v>
      </c>
      <c r="B1263" s="7" t="s">
        <v>346</v>
      </c>
    </row>
    <row r="1264" ht="15.75" customHeight="1">
      <c r="A1264" s="7" t="s">
        <v>126</v>
      </c>
      <c r="B1264" s="7" t="s">
        <v>346</v>
      </c>
    </row>
    <row r="1265" ht="15.75" customHeight="1">
      <c r="A1265" s="7" t="s">
        <v>107</v>
      </c>
      <c r="B1265" s="7" t="s">
        <v>346</v>
      </c>
    </row>
    <row r="1266" ht="15.75" customHeight="1">
      <c r="A1266" s="6" t="s">
        <v>910</v>
      </c>
      <c r="B1266" s="6" t="s">
        <v>346</v>
      </c>
    </row>
    <row r="1267" ht="15.75" customHeight="1">
      <c r="A1267" s="7" t="s">
        <v>169</v>
      </c>
      <c r="B1267" s="7" t="s">
        <v>347</v>
      </c>
    </row>
    <row r="1268" ht="15.75" customHeight="1">
      <c r="A1268" s="7" t="s">
        <v>183</v>
      </c>
      <c r="B1268" s="7" t="s">
        <v>347</v>
      </c>
    </row>
    <row r="1269" ht="15.75" customHeight="1">
      <c r="A1269" s="7" t="s">
        <v>194</v>
      </c>
      <c r="B1269" s="7" t="s">
        <v>347</v>
      </c>
    </row>
    <row r="1270" ht="15.75" customHeight="1">
      <c r="A1270" s="7" t="s">
        <v>123</v>
      </c>
      <c r="B1270" s="7" t="s">
        <v>347</v>
      </c>
    </row>
    <row r="1271" ht="15.75" customHeight="1">
      <c r="A1271" s="7" t="s">
        <v>187</v>
      </c>
      <c r="B1271" s="7" t="s">
        <v>347</v>
      </c>
    </row>
    <row r="1272" ht="15.75" customHeight="1">
      <c r="A1272" s="7" t="s">
        <v>111</v>
      </c>
      <c r="B1272" s="7" t="s">
        <v>347</v>
      </c>
    </row>
    <row r="1273" ht="15.75" customHeight="1">
      <c r="A1273" s="7" t="s">
        <v>75</v>
      </c>
      <c r="B1273" s="7" t="s">
        <v>348</v>
      </c>
    </row>
    <row r="1274" ht="15.75" customHeight="1">
      <c r="A1274" s="7" t="s">
        <v>156</v>
      </c>
      <c r="B1274" s="7" t="s">
        <v>348</v>
      </c>
    </row>
    <row r="1275" ht="15.75" customHeight="1">
      <c r="A1275" s="7" t="s">
        <v>98</v>
      </c>
      <c r="B1275" s="7" t="s">
        <v>348</v>
      </c>
    </row>
    <row r="1276" ht="15.75" customHeight="1">
      <c r="A1276" s="7" t="s">
        <v>176</v>
      </c>
      <c r="B1276" s="7" t="s">
        <v>348</v>
      </c>
    </row>
    <row r="1277" ht="15.75" customHeight="1">
      <c r="A1277" s="7" t="s">
        <v>106</v>
      </c>
      <c r="B1277" s="7" t="s">
        <v>348</v>
      </c>
    </row>
    <row r="1278" ht="15.75" customHeight="1">
      <c r="A1278" s="7" t="s">
        <v>171</v>
      </c>
      <c r="B1278" s="7" t="s">
        <v>348</v>
      </c>
    </row>
    <row r="1279" ht="15.75" customHeight="1">
      <c r="A1279" s="6" t="s">
        <v>910</v>
      </c>
      <c r="B1279" s="6" t="s">
        <v>348</v>
      </c>
    </row>
    <row r="1280" ht="15.75" customHeight="1">
      <c r="A1280" s="7" t="s">
        <v>173</v>
      </c>
      <c r="B1280" s="7" t="s">
        <v>349</v>
      </c>
    </row>
    <row r="1281" ht="15.75" customHeight="1">
      <c r="A1281" s="7" t="s">
        <v>132</v>
      </c>
      <c r="B1281" s="7" t="s">
        <v>349</v>
      </c>
    </row>
    <row r="1282" ht="15.75" customHeight="1">
      <c r="A1282" s="7" t="s">
        <v>178</v>
      </c>
      <c r="B1282" s="7" t="s">
        <v>349</v>
      </c>
    </row>
    <row r="1283" ht="15.75" customHeight="1">
      <c r="A1283" s="7" t="s">
        <v>135</v>
      </c>
      <c r="B1283" s="7" t="s">
        <v>349</v>
      </c>
    </row>
    <row r="1284" ht="15.75" customHeight="1">
      <c r="A1284" s="7" t="s">
        <v>187</v>
      </c>
      <c r="B1284" s="7" t="s">
        <v>349</v>
      </c>
    </row>
    <row r="1285" ht="15.75" customHeight="1">
      <c r="A1285" s="7" t="s">
        <v>139</v>
      </c>
      <c r="B1285" s="7" t="s">
        <v>349</v>
      </c>
    </row>
    <row r="1286" ht="15.75" customHeight="1">
      <c r="A1286" s="6" t="s">
        <v>910</v>
      </c>
      <c r="B1286" s="6" t="s">
        <v>349</v>
      </c>
    </row>
    <row r="1287" ht="15.75" customHeight="1">
      <c r="A1287" s="7" t="s">
        <v>95</v>
      </c>
      <c r="B1287" s="7" t="s">
        <v>350</v>
      </c>
    </row>
    <row r="1288" ht="15.75" customHeight="1">
      <c r="A1288" s="7" t="s">
        <v>161</v>
      </c>
      <c r="B1288" s="7" t="s">
        <v>350</v>
      </c>
    </row>
    <row r="1289" ht="15.75" customHeight="1">
      <c r="A1289" s="7" t="s">
        <v>170</v>
      </c>
      <c r="B1289" s="7" t="s">
        <v>350</v>
      </c>
    </row>
    <row r="1290" ht="15.75" customHeight="1">
      <c r="A1290" s="7" t="s">
        <v>99</v>
      </c>
      <c r="B1290" s="7" t="s">
        <v>350</v>
      </c>
    </row>
    <row r="1291" ht="15.75" customHeight="1">
      <c r="A1291" s="7" t="s">
        <v>117</v>
      </c>
      <c r="B1291" s="7" t="s">
        <v>350</v>
      </c>
    </row>
    <row r="1292" ht="15.75" customHeight="1">
      <c r="A1292" s="7" t="s">
        <v>74</v>
      </c>
      <c r="B1292" s="7" t="s">
        <v>350</v>
      </c>
    </row>
    <row r="1293" ht="15.75" customHeight="1">
      <c r="A1293" s="6" t="s">
        <v>910</v>
      </c>
      <c r="B1293" s="6" t="s">
        <v>350</v>
      </c>
    </row>
    <row r="1294" ht="15.75" customHeight="1">
      <c r="A1294" s="7" t="s">
        <v>132</v>
      </c>
      <c r="B1294" s="7" t="s">
        <v>351</v>
      </c>
    </row>
    <row r="1295" ht="15.75" customHeight="1">
      <c r="A1295" s="7" t="s">
        <v>97</v>
      </c>
      <c r="B1295" s="7" t="s">
        <v>351</v>
      </c>
    </row>
    <row r="1296" ht="15.75" customHeight="1">
      <c r="A1296" s="7" t="s">
        <v>120</v>
      </c>
      <c r="B1296" s="7" t="s">
        <v>351</v>
      </c>
    </row>
    <row r="1297" ht="15.75" customHeight="1">
      <c r="A1297" s="7" t="s">
        <v>123</v>
      </c>
      <c r="B1297" s="7" t="s">
        <v>351</v>
      </c>
    </row>
    <row r="1298" ht="15.75" customHeight="1">
      <c r="A1298" s="7" t="s">
        <v>164</v>
      </c>
      <c r="B1298" s="7" t="s">
        <v>351</v>
      </c>
    </row>
    <row r="1299" ht="15.75" customHeight="1">
      <c r="A1299" s="7" t="s">
        <v>171</v>
      </c>
      <c r="B1299" s="7" t="s">
        <v>351</v>
      </c>
    </row>
    <row r="1300" ht="15.75" customHeight="1">
      <c r="A1300" s="6" t="s">
        <v>910</v>
      </c>
      <c r="B1300" s="6" t="s">
        <v>351</v>
      </c>
    </row>
    <row r="1301" ht="15.75" customHeight="1">
      <c r="A1301" s="7" t="s">
        <v>159</v>
      </c>
      <c r="B1301" s="7" t="s">
        <v>352</v>
      </c>
    </row>
    <row r="1302" ht="15.75" customHeight="1">
      <c r="A1302" s="7" t="s">
        <v>134</v>
      </c>
      <c r="B1302" s="7" t="s">
        <v>352</v>
      </c>
    </row>
    <row r="1303" ht="15.75" customHeight="1">
      <c r="A1303" s="7" t="s">
        <v>175</v>
      </c>
      <c r="B1303" s="7" t="s">
        <v>352</v>
      </c>
    </row>
    <row r="1304" ht="15.75" customHeight="1">
      <c r="A1304" s="7" t="s">
        <v>135</v>
      </c>
      <c r="B1304" s="7" t="s">
        <v>352</v>
      </c>
    </row>
    <row r="1305" ht="15.75" customHeight="1">
      <c r="A1305" s="7" t="s">
        <v>150</v>
      </c>
      <c r="B1305" s="7" t="s">
        <v>352</v>
      </c>
    </row>
    <row r="1306" ht="15.75" customHeight="1">
      <c r="A1306" s="7" t="s">
        <v>139</v>
      </c>
      <c r="B1306" s="7" t="s">
        <v>352</v>
      </c>
    </row>
    <row r="1307" ht="15.75" customHeight="1">
      <c r="A1307" s="6" t="s">
        <v>910</v>
      </c>
      <c r="B1307" s="6" t="s">
        <v>352</v>
      </c>
    </row>
    <row r="1308" ht="15.75" customHeight="1">
      <c r="A1308" s="7" t="s">
        <v>173</v>
      </c>
      <c r="B1308" s="7" t="s">
        <v>353</v>
      </c>
    </row>
    <row r="1309" ht="15.75" customHeight="1">
      <c r="A1309" s="7" t="s">
        <v>159</v>
      </c>
      <c r="B1309" s="7" t="s">
        <v>353</v>
      </c>
    </row>
    <row r="1310" ht="15.75" customHeight="1">
      <c r="A1310" s="7" t="s">
        <v>178</v>
      </c>
      <c r="B1310" s="7" t="s">
        <v>353</v>
      </c>
    </row>
    <row r="1311" ht="15.75" customHeight="1">
      <c r="A1311" s="7" t="s">
        <v>176</v>
      </c>
      <c r="B1311" s="7" t="s">
        <v>353</v>
      </c>
    </row>
    <row r="1312" ht="15.75" customHeight="1">
      <c r="A1312" s="7" t="s">
        <v>126</v>
      </c>
      <c r="B1312" s="7" t="s">
        <v>353</v>
      </c>
    </row>
    <row r="1313" ht="15.75" customHeight="1">
      <c r="A1313" s="7" t="s">
        <v>145</v>
      </c>
      <c r="B1313" s="7" t="s">
        <v>353</v>
      </c>
    </row>
    <row r="1314" ht="15.75" customHeight="1">
      <c r="A1314" s="6" t="s">
        <v>910</v>
      </c>
      <c r="B1314" s="6" t="s">
        <v>353</v>
      </c>
    </row>
    <row r="1315" ht="15.75" customHeight="1">
      <c r="A1315" s="7" t="s">
        <v>61</v>
      </c>
      <c r="B1315" s="7" t="s">
        <v>354</v>
      </c>
    </row>
    <row r="1316" ht="15.75" customHeight="1">
      <c r="A1316" s="7" t="s">
        <v>137</v>
      </c>
      <c r="B1316" s="7" t="s">
        <v>354</v>
      </c>
    </row>
    <row r="1317" ht="15.75" customHeight="1">
      <c r="A1317" s="7" t="s">
        <v>215</v>
      </c>
      <c r="B1317" s="7" t="s">
        <v>354</v>
      </c>
    </row>
    <row r="1318" ht="15.75" customHeight="1">
      <c r="A1318" s="7" t="s">
        <v>116</v>
      </c>
      <c r="B1318" s="7" t="s">
        <v>354</v>
      </c>
    </row>
    <row r="1319" ht="15.75" customHeight="1">
      <c r="A1319" s="7" t="s">
        <v>117</v>
      </c>
      <c r="B1319" s="7" t="s">
        <v>354</v>
      </c>
    </row>
    <row r="1320" ht="15.75" customHeight="1">
      <c r="A1320" s="7" t="s">
        <v>118</v>
      </c>
      <c r="B1320" s="7" t="s">
        <v>354</v>
      </c>
    </row>
    <row r="1321" ht="15.75" customHeight="1">
      <c r="A1321" s="6" t="s">
        <v>910</v>
      </c>
      <c r="B1321" s="6" t="s">
        <v>354</v>
      </c>
    </row>
    <row r="1322" ht="15.75" customHeight="1">
      <c r="A1322" s="7" t="s">
        <v>161</v>
      </c>
      <c r="B1322" s="7" t="s">
        <v>355</v>
      </c>
    </row>
    <row r="1323" ht="15.75" customHeight="1">
      <c r="A1323" s="7" t="s">
        <v>77</v>
      </c>
      <c r="B1323" s="7" t="s">
        <v>355</v>
      </c>
    </row>
    <row r="1324" ht="15.75" customHeight="1">
      <c r="A1324" s="7" t="s">
        <v>170</v>
      </c>
      <c r="B1324" s="7" t="s">
        <v>355</v>
      </c>
    </row>
    <row r="1325" ht="15.75" customHeight="1">
      <c r="A1325" s="7" t="s">
        <v>65</v>
      </c>
      <c r="B1325" s="7" t="s">
        <v>355</v>
      </c>
    </row>
    <row r="1326" ht="15.75" customHeight="1">
      <c r="A1326" s="7" t="s">
        <v>93</v>
      </c>
      <c r="B1326" s="7" t="s">
        <v>355</v>
      </c>
    </row>
    <row r="1327" ht="15.75" customHeight="1">
      <c r="A1327" s="7" t="s">
        <v>154</v>
      </c>
      <c r="B1327" s="7" t="s">
        <v>355</v>
      </c>
    </row>
    <row r="1328" ht="15.75" customHeight="1">
      <c r="A1328" s="6" t="s">
        <v>910</v>
      </c>
      <c r="B1328" s="6" t="s">
        <v>355</v>
      </c>
    </row>
    <row r="1329" ht="15.75" customHeight="1">
      <c r="A1329" s="7" t="s">
        <v>97</v>
      </c>
      <c r="B1329" s="7" t="s">
        <v>356</v>
      </c>
    </row>
    <row r="1330" ht="15.75" customHeight="1">
      <c r="A1330" s="7" t="s">
        <v>109</v>
      </c>
      <c r="B1330" s="7" t="s">
        <v>356</v>
      </c>
    </row>
    <row r="1331" ht="15.75" customHeight="1">
      <c r="A1331" s="7" t="s">
        <v>141</v>
      </c>
      <c r="B1331" s="7" t="s">
        <v>356</v>
      </c>
    </row>
    <row r="1332" ht="15.75" customHeight="1">
      <c r="A1332" s="7" t="s">
        <v>116</v>
      </c>
      <c r="B1332" s="7" t="s">
        <v>356</v>
      </c>
    </row>
    <row r="1333" ht="15.75" customHeight="1">
      <c r="A1333" s="7" t="s">
        <v>142</v>
      </c>
      <c r="B1333" s="7" t="s">
        <v>356</v>
      </c>
    </row>
    <row r="1334" ht="15.75" customHeight="1">
      <c r="A1334" s="7" t="s">
        <v>199</v>
      </c>
      <c r="B1334" s="7" t="s">
        <v>356</v>
      </c>
    </row>
    <row r="1335" ht="15.75" customHeight="1">
      <c r="A1335" s="6" t="s">
        <v>910</v>
      </c>
      <c r="B1335" s="6" t="s">
        <v>356</v>
      </c>
    </row>
    <row r="1336" ht="15.75" customHeight="1">
      <c r="A1336" s="7" t="s">
        <v>100</v>
      </c>
      <c r="B1336" s="7" t="s">
        <v>357</v>
      </c>
    </row>
    <row r="1337" ht="15.75" customHeight="1">
      <c r="A1337" s="7" t="s">
        <v>95</v>
      </c>
      <c r="B1337" s="7" t="s">
        <v>357</v>
      </c>
    </row>
    <row r="1338" ht="15.75" customHeight="1">
      <c r="A1338" s="7" t="s">
        <v>104</v>
      </c>
      <c r="B1338" s="7" t="s">
        <v>357</v>
      </c>
    </row>
    <row r="1339" ht="15.75" customHeight="1">
      <c r="A1339" s="7" t="s">
        <v>105</v>
      </c>
      <c r="B1339" s="7" t="s">
        <v>357</v>
      </c>
    </row>
    <row r="1340" ht="15.75" customHeight="1">
      <c r="A1340" s="7" t="s">
        <v>222</v>
      </c>
      <c r="B1340" s="7" t="s">
        <v>357</v>
      </c>
    </row>
    <row r="1341" ht="15.75" customHeight="1">
      <c r="A1341" s="7" t="s">
        <v>127</v>
      </c>
      <c r="B1341" s="7" t="s">
        <v>357</v>
      </c>
    </row>
    <row r="1342" ht="15.75" customHeight="1">
      <c r="A1342" s="6" t="s">
        <v>910</v>
      </c>
      <c r="B1342" s="6" t="s">
        <v>357</v>
      </c>
    </row>
    <row r="1343" ht="15.75" customHeight="1">
      <c r="A1343" s="7" t="s">
        <v>75</v>
      </c>
      <c r="B1343" s="7" t="s">
        <v>358</v>
      </c>
    </row>
    <row r="1344" ht="15.75" customHeight="1">
      <c r="A1344" s="7" t="s">
        <v>102</v>
      </c>
      <c r="B1344" s="7" t="s">
        <v>358</v>
      </c>
    </row>
    <row r="1345" ht="15.75" customHeight="1">
      <c r="A1345" s="7" t="s">
        <v>122</v>
      </c>
      <c r="B1345" s="7" t="s">
        <v>358</v>
      </c>
    </row>
    <row r="1346" ht="15.75" customHeight="1">
      <c r="A1346" s="7" t="s">
        <v>207</v>
      </c>
      <c r="B1346" s="7" t="s">
        <v>358</v>
      </c>
    </row>
    <row r="1347" ht="15.75" customHeight="1">
      <c r="A1347" s="7" t="s">
        <v>73</v>
      </c>
      <c r="B1347" s="7" t="s">
        <v>358</v>
      </c>
    </row>
    <row r="1348" ht="15.75" customHeight="1">
      <c r="A1348" s="7" t="s">
        <v>67</v>
      </c>
      <c r="B1348" s="7" t="s">
        <v>358</v>
      </c>
    </row>
    <row r="1349" ht="15.75" customHeight="1">
      <c r="A1349" s="6" t="s">
        <v>910</v>
      </c>
      <c r="B1349" s="6" t="s">
        <v>358</v>
      </c>
    </row>
    <row r="1350" ht="15.75" customHeight="1">
      <c r="A1350" s="7" t="s">
        <v>169</v>
      </c>
      <c r="B1350" s="7" t="s">
        <v>359</v>
      </c>
    </row>
    <row r="1351" ht="15.75" customHeight="1">
      <c r="A1351" s="7" t="s">
        <v>183</v>
      </c>
      <c r="B1351" s="7" t="s">
        <v>359</v>
      </c>
    </row>
    <row r="1352" ht="15.75" customHeight="1">
      <c r="A1352" s="7" t="s">
        <v>194</v>
      </c>
      <c r="B1352" s="7" t="s">
        <v>359</v>
      </c>
    </row>
    <row r="1353" ht="15.75" customHeight="1">
      <c r="A1353" s="7" t="s">
        <v>123</v>
      </c>
      <c r="B1353" s="7" t="s">
        <v>359</v>
      </c>
    </row>
    <row r="1354" ht="15.75" customHeight="1">
      <c r="A1354" s="7" t="s">
        <v>164</v>
      </c>
      <c r="B1354" s="7" t="s">
        <v>359</v>
      </c>
    </row>
    <row r="1355" ht="15.75" customHeight="1">
      <c r="A1355" s="7" t="s">
        <v>145</v>
      </c>
      <c r="B1355" s="7" t="s">
        <v>359</v>
      </c>
    </row>
    <row r="1356" ht="15.75" customHeight="1">
      <c r="A1356" s="6" t="s">
        <v>910</v>
      </c>
      <c r="B1356" s="6" t="s">
        <v>359</v>
      </c>
    </row>
    <row r="1357" ht="15.75" customHeight="1">
      <c r="A1357" s="7" t="s">
        <v>75</v>
      </c>
      <c r="B1357" s="7" t="s">
        <v>360</v>
      </c>
    </row>
    <row r="1358" ht="15.75" customHeight="1">
      <c r="A1358" s="7" t="s">
        <v>122</v>
      </c>
      <c r="B1358" s="7" t="s">
        <v>360</v>
      </c>
    </row>
    <row r="1359" ht="15.75" customHeight="1">
      <c r="A1359" s="7" t="s">
        <v>120</v>
      </c>
      <c r="B1359" s="7" t="s">
        <v>360</v>
      </c>
    </row>
    <row r="1360" ht="15.75" customHeight="1">
      <c r="A1360" s="7" t="s">
        <v>195</v>
      </c>
      <c r="B1360" s="7" t="s">
        <v>360</v>
      </c>
    </row>
    <row r="1361" ht="15.75" customHeight="1">
      <c r="A1361" s="7" t="s">
        <v>181</v>
      </c>
      <c r="B1361" s="7" t="s">
        <v>360</v>
      </c>
    </row>
    <row r="1362" ht="15.75" customHeight="1">
      <c r="A1362" s="7" t="s">
        <v>212</v>
      </c>
      <c r="B1362" s="7" t="s">
        <v>360</v>
      </c>
    </row>
    <row r="1363" ht="15.75" customHeight="1">
      <c r="A1363" s="6" t="s">
        <v>910</v>
      </c>
      <c r="B1363" s="6" t="s">
        <v>360</v>
      </c>
    </row>
    <row r="1364" ht="15.75" customHeight="1">
      <c r="A1364" s="7" t="s">
        <v>161</v>
      </c>
      <c r="B1364" s="7" t="s">
        <v>361</v>
      </c>
    </row>
    <row r="1365" ht="15.75" customHeight="1">
      <c r="A1365" s="7" t="s">
        <v>122</v>
      </c>
      <c r="B1365" s="7" t="s">
        <v>361</v>
      </c>
    </row>
    <row r="1366" ht="15.75" customHeight="1">
      <c r="A1366" s="7" t="s">
        <v>170</v>
      </c>
      <c r="B1366" s="7" t="s">
        <v>361</v>
      </c>
    </row>
    <row r="1367" ht="15.75" customHeight="1">
      <c r="A1367" s="7" t="s">
        <v>166</v>
      </c>
      <c r="B1367" s="7" t="s">
        <v>361</v>
      </c>
    </row>
    <row r="1368" ht="15.75" customHeight="1">
      <c r="A1368" s="7" t="s">
        <v>187</v>
      </c>
      <c r="B1368" s="7" t="s">
        <v>361</v>
      </c>
    </row>
    <row r="1369" ht="15.75" customHeight="1">
      <c r="A1369" s="7" t="s">
        <v>136</v>
      </c>
      <c r="B1369" s="7" t="s">
        <v>361</v>
      </c>
    </row>
    <row r="1370" ht="15.75" customHeight="1">
      <c r="A1370" s="6" t="s">
        <v>910</v>
      </c>
      <c r="B1370" s="6" t="s">
        <v>361</v>
      </c>
    </row>
    <row r="1371" ht="15.75" customHeight="1">
      <c r="A1371" s="7" t="s">
        <v>190</v>
      </c>
      <c r="B1371" s="7" t="s">
        <v>362</v>
      </c>
    </row>
    <row r="1372" ht="15.75" customHeight="1">
      <c r="A1372" s="7" t="s">
        <v>114</v>
      </c>
      <c r="B1372" s="7" t="s">
        <v>362</v>
      </c>
    </row>
    <row r="1373" ht="15.75" customHeight="1">
      <c r="A1373" s="7" t="s">
        <v>129</v>
      </c>
      <c r="B1373" s="7" t="s">
        <v>362</v>
      </c>
    </row>
    <row r="1374" ht="15.75" customHeight="1">
      <c r="A1374" s="7" t="s">
        <v>184</v>
      </c>
      <c r="B1374" s="7" t="s">
        <v>362</v>
      </c>
    </row>
    <row r="1375" ht="15.75" customHeight="1">
      <c r="A1375" s="7" t="s">
        <v>142</v>
      </c>
      <c r="B1375" s="7" t="s">
        <v>362</v>
      </c>
    </row>
    <row r="1376" ht="15.75" customHeight="1">
      <c r="A1376" s="7" t="s">
        <v>185</v>
      </c>
      <c r="B1376" s="7" t="s">
        <v>362</v>
      </c>
    </row>
    <row r="1377" ht="15.75" customHeight="1">
      <c r="A1377" s="6" t="s">
        <v>910</v>
      </c>
      <c r="B1377" s="6" t="s">
        <v>362</v>
      </c>
    </row>
    <row r="1378" ht="15.75" customHeight="1">
      <c r="A1378" s="7" t="s">
        <v>70</v>
      </c>
      <c r="B1378" s="7" t="s">
        <v>363</v>
      </c>
    </row>
    <row r="1379" ht="15.75" customHeight="1">
      <c r="A1379" s="7" t="s">
        <v>92</v>
      </c>
      <c r="B1379" s="7" t="s">
        <v>363</v>
      </c>
    </row>
    <row r="1380" ht="15.75" customHeight="1">
      <c r="A1380" s="7" t="s">
        <v>71</v>
      </c>
      <c r="B1380" s="7" t="s">
        <v>363</v>
      </c>
    </row>
    <row r="1381" ht="15.75" customHeight="1">
      <c r="A1381" s="7" t="s">
        <v>135</v>
      </c>
      <c r="B1381" s="7" t="s">
        <v>363</v>
      </c>
    </row>
    <row r="1382" ht="15.75" customHeight="1">
      <c r="A1382" s="7" t="s">
        <v>181</v>
      </c>
      <c r="B1382" s="7" t="s">
        <v>363</v>
      </c>
    </row>
    <row r="1383" ht="15.75" customHeight="1">
      <c r="A1383" s="7" t="s">
        <v>136</v>
      </c>
      <c r="B1383" s="7" t="s">
        <v>363</v>
      </c>
    </row>
    <row r="1384" ht="15.75" customHeight="1">
      <c r="A1384" s="6" t="s">
        <v>910</v>
      </c>
      <c r="B1384" s="6" t="s">
        <v>363</v>
      </c>
    </row>
    <row r="1385" ht="15.75" customHeight="1">
      <c r="A1385" s="7" t="s">
        <v>137</v>
      </c>
      <c r="B1385" s="7" t="s">
        <v>364</v>
      </c>
    </row>
    <row r="1386" ht="15.75" customHeight="1">
      <c r="A1386" s="7" t="s">
        <v>161</v>
      </c>
      <c r="B1386" s="7" t="s">
        <v>364</v>
      </c>
    </row>
    <row r="1387" ht="15.75" customHeight="1">
      <c r="A1387" s="7" t="s">
        <v>64</v>
      </c>
      <c r="B1387" s="7" t="s">
        <v>364</v>
      </c>
    </row>
    <row r="1388" ht="15.75" customHeight="1">
      <c r="A1388" s="7" t="s">
        <v>189</v>
      </c>
      <c r="B1388" s="7" t="s">
        <v>364</v>
      </c>
    </row>
    <row r="1389" ht="15.75" customHeight="1">
      <c r="A1389" s="7" t="s">
        <v>73</v>
      </c>
      <c r="B1389" s="7" t="s">
        <v>364</v>
      </c>
    </row>
    <row r="1390" ht="15.75" customHeight="1">
      <c r="A1390" s="7" t="s">
        <v>185</v>
      </c>
      <c r="B1390" s="7" t="s">
        <v>364</v>
      </c>
    </row>
    <row r="1391" ht="15.75" customHeight="1">
      <c r="A1391" s="7" t="s">
        <v>159</v>
      </c>
      <c r="B1391" s="7" t="s">
        <v>365</v>
      </c>
    </row>
    <row r="1392" ht="15.75" customHeight="1">
      <c r="A1392" s="7" t="s">
        <v>97</v>
      </c>
      <c r="B1392" s="7" t="s">
        <v>365</v>
      </c>
    </row>
    <row r="1393" ht="15.75" customHeight="1">
      <c r="A1393" s="7" t="s">
        <v>104</v>
      </c>
      <c r="B1393" s="7" t="s">
        <v>365</v>
      </c>
    </row>
    <row r="1394" ht="15.75" customHeight="1">
      <c r="A1394" s="7" t="s">
        <v>211</v>
      </c>
      <c r="B1394" s="7" t="s">
        <v>365</v>
      </c>
    </row>
    <row r="1395" ht="15.75" customHeight="1">
      <c r="A1395" s="7" t="s">
        <v>150</v>
      </c>
      <c r="B1395" s="7" t="s">
        <v>365</v>
      </c>
    </row>
    <row r="1396" ht="15.75" customHeight="1">
      <c r="A1396" s="7" t="s">
        <v>139</v>
      </c>
      <c r="B1396" s="7" t="s">
        <v>365</v>
      </c>
    </row>
    <row r="1397" ht="15.75" customHeight="1">
      <c r="A1397" s="6" t="s">
        <v>910</v>
      </c>
      <c r="B1397" s="6" t="s">
        <v>365</v>
      </c>
    </row>
    <row r="1398" ht="15.75" customHeight="1">
      <c r="A1398" s="7" t="s">
        <v>114</v>
      </c>
      <c r="B1398" s="7" t="s">
        <v>366</v>
      </c>
    </row>
    <row r="1399" ht="15.75" customHeight="1">
      <c r="A1399" s="7" t="s">
        <v>70</v>
      </c>
      <c r="B1399" s="7" t="s">
        <v>366</v>
      </c>
    </row>
    <row r="1400" ht="15.75" customHeight="1">
      <c r="A1400" s="7" t="s">
        <v>71</v>
      </c>
      <c r="B1400" s="7" t="s">
        <v>366</v>
      </c>
    </row>
    <row r="1401" ht="15.75" customHeight="1">
      <c r="A1401" s="7" t="s">
        <v>184</v>
      </c>
      <c r="B1401" s="7" t="s">
        <v>366</v>
      </c>
    </row>
    <row r="1402" ht="15.75" customHeight="1">
      <c r="A1402" s="7" t="s">
        <v>80</v>
      </c>
      <c r="B1402" s="7" t="s">
        <v>366</v>
      </c>
    </row>
    <row r="1403" ht="15.75" customHeight="1">
      <c r="A1403" s="7" t="s">
        <v>185</v>
      </c>
      <c r="B1403" s="7" t="s">
        <v>366</v>
      </c>
    </row>
    <row r="1404" ht="15.75" customHeight="1">
      <c r="A1404" s="6" t="s">
        <v>910</v>
      </c>
      <c r="B1404" s="6" t="s">
        <v>366</v>
      </c>
    </row>
    <row r="1405" ht="15.75" customHeight="1">
      <c r="A1405" s="6" t="s">
        <v>1126</v>
      </c>
      <c r="B1405" s="6" t="s">
        <v>366</v>
      </c>
    </row>
    <row r="1406" ht="15.75" customHeight="1">
      <c r="A1406" s="7" t="s">
        <v>146</v>
      </c>
      <c r="B1406" s="7" t="s">
        <v>367</v>
      </c>
    </row>
    <row r="1407" ht="15.75" customHeight="1">
      <c r="A1407" s="7" t="s">
        <v>148</v>
      </c>
      <c r="B1407" s="7" t="s">
        <v>367</v>
      </c>
    </row>
    <row r="1408" ht="15.75" customHeight="1">
      <c r="A1408" s="7" t="s">
        <v>120</v>
      </c>
      <c r="B1408" s="7" t="s">
        <v>367</v>
      </c>
    </row>
    <row r="1409" ht="15.75" customHeight="1">
      <c r="A1409" s="7" t="s">
        <v>195</v>
      </c>
      <c r="B1409" s="7" t="s">
        <v>367</v>
      </c>
    </row>
    <row r="1410" ht="15.75" customHeight="1">
      <c r="A1410" s="7" t="s">
        <v>162</v>
      </c>
      <c r="B1410" s="7" t="s">
        <v>367</v>
      </c>
    </row>
    <row r="1411" ht="15.75" customHeight="1">
      <c r="A1411" s="7" t="s">
        <v>220</v>
      </c>
      <c r="B1411" s="7" t="s">
        <v>367</v>
      </c>
    </row>
    <row r="1412" ht="15.75" customHeight="1">
      <c r="A1412" s="6" t="s">
        <v>910</v>
      </c>
      <c r="B1412" s="6" t="s">
        <v>367</v>
      </c>
    </row>
    <row r="1413" ht="15.75" customHeight="1">
      <c r="A1413" s="7" t="s">
        <v>143</v>
      </c>
      <c r="B1413" s="7" t="s">
        <v>368</v>
      </c>
    </row>
    <row r="1414" ht="15.75" customHeight="1">
      <c r="A1414" s="7" t="s">
        <v>137</v>
      </c>
      <c r="B1414" s="7" t="s">
        <v>368</v>
      </c>
    </row>
    <row r="1415" ht="15.75" customHeight="1">
      <c r="A1415" s="7" t="s">
        <v>129</v>
      </c>
      <c r="B1415" s="7" t="s">
        <v>368</v>
      </c>
    </row>
    <row r="1416" ht="15.75" customHeight="1">
      <c r="A1416" s="7" t="s">
        <v>176</v>
      </c>
      <c r="B1416" s="7" t="s">
        <v>368</v>
      </c>
    </row>
    <row r="1417" ht="15.75" customHeight="1">
      <c r="A1417" s="7" t="s">
        <v>187</v>
      </c>
      <c r="B1417" s="7" t="s">
        <v>368</v>
      </c>
    </row>
    <row r="1418" ht="15.75" customHeight="1">
      <c r="A1418" s="7" t="s">
        <v>145</v>
      </c>
      <c r="B1418" s="7" t="s">
        <v>368</v>
      </c>
    </row>
    <row r="1419" ht="15.75" customHeight="1">
      <c r="A1419" s="6" t="s">
        <v>910</v>
      </c>
      <c r="B1419" s="6" t="s">
        <v>368</v>
      </c>
    </row>
    <row r="1420" ht="15.75" customHeight="1">
      <c r="A1420" s="7" t="s">
        <v>146</v>
      </c>
      <c r="B1420" s="7" t="s">
        <v>369</v>
      </c>
    </row>
    <row r="1421" ht="15.75" customHeight="1">
      <c r="A1421" s="7" t="s">
        <v>75</v>
      </c>
      <c r="B1421" s="7" t="s">
        <v>369</v>
      </c>
    </row>
    <row r="1422" ht="15.75" customHeight="1">
      <c r="A1422" s="7" t="s">
        <v>120</v>
      </c>
      <c r="B1422" s="7" t="s">
        <v>369</v>
      </c>
    </row>
    <row r="1423" ht="15.75" customHeight="1">
      <c r="A1423" s="7" t="s">
        <v>207</v>
      </c>
      <c r="B1423" s="7" t="s">
        <v>369</v>
      </c>
    </row>
    <row r="1424" ht="15.75" customHeight="1">
      <c r="A1424" s="7" t="s">
        <v>131</v>
      </c>
      <c r="B1424" s="7" t="s">
        <v>369</v>
      </c>
    </row>
    <row r="1425" ht="15.75" customHeight="1">
      <c r="A1425" s="7" t="s">
        <v>118</v>
      </c>
      <c r="B1425" s="7" t="s">
        <v>369</v>
      </c>
    </row>
    <row r="1426" ht="15.75" customHeight="1">
      <c r="A1426" s="6" t="s">
        <v>910</v>
      </c>
      <c r="B1426" s="6" t="s">
        <v>369</v>
      </c>
    </row>
    <row r="1427" ht="15.75" customHeight="1">
      <c r="A1427" s="7" t="s">
        <v>169</v>
      </c>
      <c r="B1427" s="7" t="s">
        <v>370</v>
      </c>
    </row>
    <row r="1428" ht="15.75" customHeight="1">
      <c r="A1428" s="7" t="s">
        <v>153</v>
      </c>
      <c r="B1428" s="7" t="s">
        <v>370</v>
      </c>
    </row>
    <row r="1429" ht="15.75" customHeight="1">
      <c r="A1429" s="7" t="s">
        <v>178</v>
      </c>
      <c r="B1429" s="7" t="s">
        <v>370</v>
      </c>
    </row>
    <row r="1430" ht="15.75" customHeight="1">
      <c r="A1430" s="7" t="s">
        <v>176</v>
      </c>
      <c r="B1430" s="7" t="s">
        <v>370</v>
      </c>
    </row>
    <row r="1431" ht="15.75" customHeight="1">
      <c r="A1431" s="7" t="s">
        <v>164</v>
      </c>
      <c r="B1431" s="7" t="s">
        <v>370</v>
      </c>
    </row>
    <row r="1432" ht="15.75" customHeight="1">
      <c r="A1432" s="7" t="s">
        <v>145</v>
      </c>
      <c r="B1432" s="7" t="s">
        <v>370</v>
      </c>
    </row>
    <row r="1433" ht="15.75" customHeight="1">
      <c r="A1433" s="6" t="s">
        <v>910</v>
      </c>
      <c r="B1433" s="6" t="s">
        <v>370</v>
      </c>
    </row>
    <row r="1434" ht="15.75" customHeight="1">
      <c r="A1434" s="7" t="s">
        <v>61</v>
      </c>
      <c r="B1434" s="7" t="s">
        <v>371</v>
      </c>
    </row>
    <row r="1435" ht="15.75" customHeight="1">
      <c r="A1435" s="7" t="s">
        <v>63</v>
      </c>
      <c r="B1435" s="7" t="s">
        <v>371</v>
      </c>
    </row>
    <row r="1436" ht="15.75" customHeight="1">
      <c r="A1436" s="7" t="s">
        <v>102</v>
      </c>
      <c r="B1436" s="7" t="s">
        <v>371</v>
      </c>
    </row>
    <row r="1437" ht="15.75" customHeight="1">
      <c r="A1437" s="7" t="s">
        <v>65</v>
      </c>
      <c r="B1437" s="7" t="s">
        <v>371</v>
      </c>
    </row>
    <row r="1438" ht="15.75" customHeight="1">
      <c r="A1438" s="7" t="s">
        <v>208</v>
      </c>
      <c r="B1438" s="7" t="s">
        <v>371</v>
      </c>
    </row>
    <row r="1439" ht="15.75" customHeight="1">
      <c r="A1439" s="7" t="s">
        <v>154</v>
      </c>
      <c r="B1439" s="7" t="s">
        <v>371</v>
      </c>
    </row>
    <row r="1440" ht="15.75" customHeight="1">
      <c r="A1440" s="6" t="s">
        <v>910</v>
      </c>
      <c r="B1440" s="6" t="s">
        <v>371</v>
      </c>
    </row>
    <row r="1441" ht="15.75" customHeight="1">
      <c r="A1441" s="7" t="s">
        <v>82</v>
      </c>
      <c r="B1441" s="7" t="s">
        <v>372</v>
      </c>
    </row>
    <row r="1442" ht="15.75" customHeight="1">
      <c r="A1442" s="7" t="s">
        <v>192</v>
      </c>
      <c r="B1442" s="7" t="s">
        <v>372</v>
      </c>
    </row>
    <row r="1443" ht="15.75" customHeight="1">
      <c r="A1443" s="7" t="s">
        <v>92</v>
      </c>
      <c r="B1443" s="7" t="s">
        <v>372</v>
      </c>
    </row>
    <row r="1444" ht="15.75" customHeight="1">
      <c r="A1444" s="7" t="s">
        <v>189</v>
      </c>
      <c r="B1444" s="7" t="s">
        <v>372</v>
      </c>
    </row>
    <row r="1445" ht="15.75" customHeight="1">
      <c r="A1445" s="7" t="s">
        <v>87</v>
      </c>
      <c r="B1445" s="7" t="s">
        <v>372</v>
      </c>
    </row>
    <row r="1446" ht="15.75" customHeight="1">
      <c r="A1446" s="7" t="s">
        <v>185</v>
      </c>
      <c r="B1446" s="7" t="s">
        <v>372</v>
      </c>
    </row>
    <row r="1447" ht="15.75" customHeight="1">
      <c r="A1447" s="6" t="s">
        <v>910</v>
      </c>
      <c r="B1447" s="6" t="s">
        <v>372</v>
      </c>
    </row>
    <row r="1448" ht="15.75" customHeight="1">
      <c r="A1448" s="6" t="s">
        <v>1126</v>
      </c>
      <c r="B1448" s="6" t="s">
        <v>372</v>
      </c>
    </row>
    <row r="1449" ht="15.75" customHeight="1">
      <c r="A1449" s="7" t="s">
        <v>70</v>
      </c>
      <c r="B1449" s="7" t="s">
        <v>373</v>
      </c>
    </row>
    <row r="1450" ht="15.75" customHeight="1">
      <c r="A1450" s="7" t="s">
        <v>109</v>
      </c>
      <c r="B1450" s="7" t="s">
        <v>373</v>
      </c>
    </row>
    <row r="1451" ht="15.75" customHeight="1">
      <c r="A1451" s="7" t="s">
        <v>104</v>
      </c>
      <c r="B1451" s="7" t="s">
        <v>373</v>
      </c>
    </row>
    <row r="1452" ht="15.75" customHeight="1">
      <c r="A1452" s="7" t="s">
        <v>105</v>
      </c>
      <c r="B1452" s="7" t="s">
        <v>373</v>
      </c>
    </row>
    <row r="1453" ht="15.75" customHeight="1">
      <c r="A1453" s="7" t="s">
        <v>164</v>
      </c>
      <c r="B1453" s="7" t="s">
        <v>373</v>
      </c>
    </row>
    <row r="1454" ht="15.75" customHeight="1">
      <c r="A1454" s="7" t="s">
        <v>107</v>
      </c>
      <c r="B1454" s="7" t="s">
        <v>373</v>
      </c>
    </row>
    <row r="1455" ht="15.75" customHeight="1">
      <c r="A1455" s="6" t="s">
        <v>910</v>
      </c>
      <c r="B1455" s="6" t="s">
        <v>373</v>
      </c>
    </row>
    <row r="1456" ht="15.75" customHeight="1">
      <c r="A1456" s="7" t="s">
        <v>68</v>
      </c>
      <c r="B1456" s="7" t="s">
        <v>374</v>
      </c>
    </row>
    <row r="1457" ht="15.75" customHeight="1">
      <c r="A1457" s="7" t="s">
        <v>148</v>
      </c>
      <c r="B1457" s="7" t="s">
        <v>374</v>
      </c>
    </row>
    <row r="1458" ht="15.75" customHeight="1">
      <c r="A1458" s="7" t="s">
        <v>120</v>
      </c>
      <c r="B1458" s="7" t="s">
        <v>374</v>
      </c>
    </row>
    <row r="1459" ht="15.75" customHeight="1">
      <c r="A1459" s="7" t="s">
        <v>166</v>
      </c>
      <c r="B1459" s="7" t="s">
        <v>374</v>
      </c>
    </row>
    <row r="1460" ht="15.75" customHeight="1">
      <c r="A1460" s="7" t="s">
        <v>164</v>
      </c>
      <c r="B1460" s="7" t="s">
        <v>374</v>
      </c>
    </row>
    <row r="1461" ht="15.75" customHeight="1">
      <c r="A1461" s="7" t="s">
        <v>220</v>
      </c>
      <c r="B1461" s="7" t="s">
        <v>374</v>
      </c>
    </row>
    <row r="1462" ht="15.75" customHeight="1">
      <c r="A1462" s="6" t="s">
        <v>910</v>
      </c>
      <c r="B1462" s="6" t="s">
        <v>374</v>
      </c>
    </row>
    <row r="1463" ht="15.75" customHeight="1">
      <c r="A1463" s="7" t="s">
        <v>61</v>
      </c>
      <c r="B1463" s="7" t="s">
        <v>375</v>
      </c>
    </row>
    <row r="1464" ht="15.75" customHeight="1">
      <c r="A1464" s="7" t="s">
        <v>215</v>
      </c>
      <c r="B1464" s="7" t="s">
        <v>375</v>
      </c>
    </row>
    <row r="1465" ht="15.75" customHeight="1">
      <c r="A1465" s="7" t="s">
        <v>92</v>
      </c>
      <c r="B1465" s="7" t="s">
        <v>375</v>
      </c>
    </row>
    <row r="1466" ht="15.75" customHeight="1">
      <c r="A1466" s="7" t="s">
        <v>116</v>
      </c>
      <c r="B1466" s="7" t="s">
        <v>375</v>
      </c>
    </row>
    <row r="1467" ht="15.75" customHeight="1">
      <c r="A1467" s="7" t="s">
        <v>113</v>
      </c>
      <c r="B1467" s="7" t="s">
        <v>375</v>
      </c>
    </row>
    <row r="1468" ht="15.75" customHeight="1">
      <c r="A1468" s="7" t="s">
        <v>185</v>
      </c>
      <c r="B1468" s="7" t="s">
        <v>375</v>
      </c>
    </row>
    <row r="1469" ht="15.75" customHeight="1">
      <c r="A1469" s="6" t="s">
        <v>910</v>
      </c>
      <c r="B1469" s="6" t="s">
        <v>375</v>
      </c>
    </row>
    <row r="1470" ht="15.75" customHeight="1">
      <c r="A1470" s="6" t="s">
        <v>1126</v>
      </c>
      <c r="B1470" s="6" t="s">
        <v>375</v>
      </c>
    </row>
    <row r="1471" ht="15.75" customHeight="1">
      <c r="A1471" s="7" t="s">
        <v>148</v>
      </c>
      <c r="B1471" s="7" t="s">
        <v>376</v>
      </c>
    </row>
    <row r="1472" ht="15.75" customHeight="1">
      <c r="A1472" s="7" t="s">
        <v>156</v>
      </c>
      <c r="B1472" s="7" t="s">
        <v>376</v>
      </c>
    </row>
    <row r="1473" ht="15.75" customHeight="1">
      <c r="A1473" s="7" t="s">
        <v>120</v>
      </c>
      <c r="B1473" s="7" t="s">
        <v>376</v>
      </c>
    </row>
    <row r="1474" ht="15.75" customHeight="1">
      <c r="A1474" s="7" t="s">
        <v>157</v>
      </c>
      <c r="B1474" s="7" t="s">
        <v>376</v>
      </c>
    </row>
    <row r="1475" ht="15.75" customHeight="1">
      <c r="A1475" s="7" t="s">
        <v>181</v>
      </c>
      <c r="B1475" s="7" t="s">
        <v>376</v>
      </c>
    </row>
    <row r="1476" ht="15.75" customHeight="1">
      <c r="A1476" s="7" t="s">
        <v>158</v>
      </c>
      <c r="B1476" s="7" t="s">
        <v>376</v>
      </c>
    </row>
    <row r="1477" ht="15.75" customHeight="1">
      <c r="A1477" s="6" t="s">
        <v>910</v>
      </c>
      <c r="B1477" s="6" t="s">
        <v>376</v>
      </c>
    </row>
    <row r="1478" ht="15.75" customHeight="1">
      <c r="A1478" s="7" t="s">
        <v>100</v>
      </c>
      <c r="B1478" s="7" t="s">
        <v>377</v>
      </c>
    </row>
    <row r="1479" ht="15.75" customHeight="1">
      <c r="A1479" s="7" t="s">
        <v>194</v>
      </c>
      <c r="B1479" s="7" t="s">
        <v>377</v>
      </c>
    </row>
    <row r="1480" ht="15.75" customHeight="1">
      <c r="A1480" s="7" t="s">
        <v>104</v>
      </c>
      <c r="B1480" s="7" t="s">
        <v>377</v>
      </c>
    </row>
    <row r="1481" ht="15.75" customHeight="1">
      <c r="A1481" s="7" t="s">
        <v>211</v>
      </c>
      <c r="B1481" s="7" t="s">
        <v>377</v>
      </c>
    </row>
    <row r="1482" ht="15.75" customHeight="1">
      <c r="A1482" s="7" t="s">
        <v>187</v>
      </c>
      <c r="B1482" s="7" t="s">
        <v>377</v>
      </c>
    </row>
    <row r="1483" ht="15.75" customHeight="1">
      <c r="A1483" s="7" t="s">
        <v>136</v>
      </c>
      <c r="B1483" s="7" t="s">
        <v>377</v>
      </c>
    </row>
    <row r="1484" ht="15.75" customHeight="1">
      <c r="A1484" s="6" t="s">
        <v>910</v>
      </c>
      <c r="B1484" s="6" t="s">
        <v>377</v>
      </c>
    </row>
    <row r="1485" ht="15.75" customHeight="1">
      <c r="A1485" s="7" t="s">
        <v>173</v>
      </c>
      <c r="B1485" s="7" t="s">
        <v>378</v>
      </c>
    </row>
    <row r="1486" ht="15.75" customHeight="1">
      <c r="A1486" s="7" t="s">
        <v>63</v>
      </c>
      <c r="B1486" s="7" t="s">
        <v>378</v>
      </c>
    </row>
    <row r="1487" ht="15.75" customHeight="1">
      <c r="A1487" s="7" t="s">
        <v>175</v>
      </c>
      <c r="B1487" s="7" t="s">
        <v>378</v>
      </c>
    </row>
    <row r="1488" ht="15.75" customHeight="1">
      <c r="A1488" s="7" t="s">
        <v>176</v>
      </c>
      <c r="B1488" s="7" t="s">
        <v>378</v>
      </c>
    </row>
    <row r="1489" ht="15.75" customHeight="1">
      <c r="A1489" s="7" t="s">
        <v>164</v>
      </c>
      <c r="B1489" s="7" t="s">
        <v>378</v>
      </c>
    </row>
    <row r="1490" ht="15.75" customHeight="1">
      <c r="A1490" s="7" t="s">
        <v>145</v>
      </c>
      <c r="B1490" s="7" t="s">
        <v>378</v>
      </c>
    </row>
    <row r="1491" ht="15.75" customHeight="1">
      <c r="A1491" s="6" t="s">
        <v>910</v>
      </c>
      <c r="B1491" s="6" t="s">
        <v>378</v>
      </c>
    </row>
    <row r="1492" ht="15.75" customHeight="1">
      <c r="A1492" s="7" t="s">
        <v>70</v>
      </c>
      <c r="B1492" s="7" t="s">
        <v>379</v>
      </c>
    </row>
    <row r="1493" ht="15.75" customHeight="1">
      <c r="A1493" s="7" t="s">
        <v>156</v>
      </c>
      <c r="B1493" s="7" t="s">
        <v>379</v>
      </c>
    </row>
    <row r="1494" ht="15.75" customHeight="1">
      <c r="A1494" s="7" t="s">
        <v>78</v>
      </c>
      <c r="B1494" s="7" t="s">
        <v>379</v>
      </c>
    </row>
    <row r="1495" ht="15.75" customHeight="1">
      <c r="A1495" s="7" t="s">
        <v>195</v>
      </c>
      <c r="B1495" s="7" t="s">
        <v>379</v>
      </c>
    </row>
    <row r="1496" ht="15.75" customHeight="1">
      <c r="A1496" s="7" t="s">
        <v>164</v>
      </c>
      <c r="B1496" s="7" t="s">
        <v>379</v>
      </c>
    </row>
    <row r="1497" ht="15.75" customHeight="1">
      <c r="A1497" s="7" t="s">
        <v>220</v>
      </c>
      <c r="B1497" s="7" t="s">
        <v>379</v>
      </c>
    </row>
    <row r="1498" ht="15.75" customHeight="1">
      <c r="A1498" s="7" t="s">
        <v>61</v>
      </c>
      <c r="B1498" s="7" t="s">
        <v>380</v>
      </c>
    </row>
    <row r="1499" ht="15.75" customHeight="1">
      <c r="A1499" s="7" t="s">
        <v>215</v>
      </c>
      <c r="B1499" s="7" t="s">
        <v>380</v>
      </c>
    </row>
    <row r="1500" ht="15.75" customHeight="1">
      <c r="A1500" s="7" t="s">
        <v>92</v>
      </c>
      <c r="B1500" s="7" t="s">
        <v>380</v>
      </c>
    </row>
    <row r="1501" ht="15.75" customHeight="1">
      <c r="A1501" s="7" t="s">
        <v>189</v>
      </c>
      <c r="B1501" s="7" t="s">
        <v>380</v>
      </c>
    </row>
    <row r="1502" ht="15.75" customHeight="1">
      <c r="A1502" s="7" t="s">
        <v>73</v>
      </c>
      <c r="B1502" s="7" t="s">
        <v>380</v>
      </c>
    </row>
    <row r="1503" ht="15.75" customHeight="1">
      <c r="A1503" s="7" t="s">
        <v>67</v>
      </c>
      <c r="B1503" s="7" t="s">
        <v>380</v>
      </c>
    </row>
    <row r="1504" ht="15.75" customHeight="1">
      <c r="A1504" s="6" t="s">
        <v>910</v>
      </c>
      <c r="B1504" s="6" t="s">
        <v>380</v>
      </c>
    </row>
    <row r="1505" ht="15.75" customHeight="1">
      <c r="A1505" s="7" t="s">
        <v>143</v>
      </c>
      <c r="B1505" s="7" t="s">
        <v>381</v>
      </c>
    </row>
    <row r="1506" ht="15.75" customHeight="1">
      <c r="A1506" s="7" t="s">
        <v>192</v>
      </c>
      <c r="B1506" s="7" t="s">
        <v>381</v>
      </c>
    </row>
    <row r="1507" ht="15.75" customHeight="1">
      <c r="A1507" s="7" t="s">
        <v>109</v>
      </c>
      <c r="B1507" s="7" t="s">
        <v>381</v>
      </c>
    </row>
    <row r="1508" ht="15.75" customHeight="1">
      <c r="A1508" s="7" t="s">
        <v>65</v>
      </c>
      <c r="B1508" s="7" t="s">
        <v>381</v>
      </c>
    </row>
    <row r="1509" ht="15.75" customHeight="1">
      <c r="A1509" s="7" t="s">
        <v>208</v>
      </c>
      <c r="B1509" s="7" t="s">
        <v>381</v>
      </c>
    </row>
    <row r="1510" ht="15.75" customHeight="1">
      <c r="A1510" s="7" t="s">
        <v>67</v>
      </c>
      <c r="B1510" s="7" t="s">
        <v>381</v>
      </c>
    </row>
    <row r="1511" ht="15.75" customHeight="1">
      <c r="A1511" s="7" t="s">
        <v>70</v>
      </c>
      <c r="B1511" s="7" t="s">
        <v>382</v>
      </c>
    </row>
    <row r="1512" ht="15.75" customHeight="1">
      <c r="A1512" s="7" t="s">
        <v>92</v>
      </c>
      <c r="B1512" s="7" t="s">
        <v>382</v>
      </c>
    </row>
    <row r="1513" ht="15.75" customHeight="1">
      <c r="A1513" s="7" t="s">
        <v>141</v>
      </c>
      <c r="B1513" s="7" t="s">
        <v>382</v>
      </c>
    </row>
    <row r="1514" ht="15.75" customHeight="1">
      <c r="A1514" s="7" t="s">
        <v>116</v>
      </c>
      <c r="B1514" s="7" t="s">
        <v>382</v>
      </c>
    </row>
    <row r="1515" ht="15.75" customHeight="1">
      <c r="A1515" s="7" t="s">
        <v>73</v>
      </c>
      <c r="B1515" s="7" t="s">
        <v>382</v>
      </c>
    </row>
    <row r="1516" ht="15.75" customHeight="1">
      <c r="A1516" s="7" t="s">
        <v>118</v>
      </c>
      <c r="B1516" s="7" t="s">
        <v>382</v>
      </c>
    </row>
    <row r="1517" ht="15.75" customHeight="1">
      <c r="A1517" s="6" t="s">
        <v>910</v>
      </c>
      <c r="B1517" s="6" t="s">
        <v>382</v>
      </c>
    </row>
    <row r="1518" ht="15.75" customHeight="1">
      <c r="A1518" s="7" t="s">
        <v>95</v>
      </c>
      <c r="B1518" s="7" t="s">
        <v>383</v>
      </c>
    </row>
    <row r="1519" ht="15.75" customHeight="1">
      <c r="A1519" s="7" t="s">
        <v>134</v>
      </c>
      <c r="B1519" s="7" t="s">
        <v>383</v>
      </c>
    </row>
    <row r="1520" ht="15.75" customHeight="1">
      <c r="A1520" s="7" t="s">
        <v>183</v>
      </c>
      <c r="B1520" s="7" t="s">
        <v>383</v>
      </c>
    </row>
    <row r="1521" ht="15.75" customHeight="1">
      <c r="A1521" s="7" t="s">
        <v>105</v>
      </c>
      <c r="B1521" s="7" t="s">
        <v>383</v>
      </c>
    </row>
    <row r="1522" ht="15.75" customHeight="1">
      <c r="A1522" s="7" t="s">
        <v>164</v>
      </c>
      <c r="B1522" s="7" t="s">
        <v>383</v>
      </c>
    </row>
    <row r="1523" ht="15.75" customHeight="1">
      <c r="A1523" s="7" t="s">
        <v>158</v>
      </c>
      <c r="B1523" s="7" t="s">
        <v>383</v>
      </c>
    </row>
    <row r="1524" ht="15.75" customHeight="1">
      <c r="A1524" s="6" t="s">
        <v>910</v>
      </c>
      <c r="B1524" s="6" t="s">
        <v>383</v>
      </c>
    </row>
    <row r="1525" ht="15.75" customHeight="1">
      <c r="A1525" s="7" t="s">
        <v>61</v>
      </c>
      <c r="B1525" s="7" t="s">
        <v>384</v>
      </c>
    </row>
    <row r="1526" ht="15.75" customHeight="1">
      <c r="A1526" s="7" t="s">
        <v>153</v>
      </c>
      <c r="B1526" s="7" t="s">
        <v>384</v>
      </c>
    </row>
    <row r="1527" ht="15.75" customHeight="1">
      <c r="A1527" s="7" t="s">
        <v>141</v>
      </c>
      <c r="B1527" s="7" t="s">
        <v>384</v>
      </c>
    </row>
    <row r="1528" ht="15.75" customHeight="1">
      <c r="A1528" s="7" t="s">
        <v>189</v>
      </c>
      <c r="B1528" s="7" t="s">
        <v>384</v>
      </c>
    </row>
    <row r="1529" ht="15.75" customHeight="1">
      <c r="A1529" s="7" t="s">
        <v>208</v>
      </c>
      <c r="B1529" s="7" t="s">
        <v>384</v>
      </c>
    </row>
    <row r="1530" ht="15.75" customHeight="1">
      <c r="A1530" s="7" t="s">
        <v>118</v>
      </c>
      <c r="B1530" s="7" t="s">
        <v>384</v>
      </c>
    </row>
    <row r="1531" ht="15.75" customHeight="1">
      <c r="A1531" s="6" t="s">
        <v>910</v>
      </c>
      <c r="B1531" s="6" t="s">
        <v>384</v>
      </c>
    </row>
    <row r="1532" ht="15.75" customHeight="1">
      <c r="A1532" s="7" t="s">
        <v>134</v>
      </c>
      <c r="B1532" s="7" t="s">
        <v>385</v>
      </c>
    </row>
    <row r="1533" ht="15.75" customHeight="1">
      <c r="A1533" s="7" t="s">
        <v>153</v>
      </c>
      <c r="B1533" s="7" t="s">
        <v>385</v>
      </c>
    </row>
    <row r="1534" ht="15.75" customHeight="1">
      <c r="A1534" s="7" t="s">
        <v>71</v>
      </c>
      <c r="B1534" s="7" t="s">
        <v>385</v>
      </c>
    </row>
    <row r="1535" ht="15.75" customHeight="1">
      <c r="A1535" s="7" t="s">
        <v>157</v>
      </c>
      <c r="B1535" s="7" t="s">
        <v>385</v>
      </c>
    </row>
    <row r="1536" ht="15.75" customHeight="1">
      <c r="A1536" s="7" t="s">
        <v>106</v>
      </c>
      <c r="B1536" s="7" t="s">
        <v>385</v>
      </c>
    </row>
    <row r="1537" ht="15.75" customHeight="1">
      <c r="A1537" s="7" t="s">
        <v>158</v>
      </c>
      <c r="B1537" s="7" t="s">
        <v>385</v>
      </c>
    </row>
    <row r="1538" ht="15.75" customHeight="1">
      <c r="A1538" s="6" t="s">
        <v>910</v>
      </c>
      <c r="B1538" s="6" t="s">
        <v>385</v>
      </c>
    </row>
    <row r="1539" ht="15.75" customHeight="1">
      <c r="A1539" s="7" t="s">
        <v>159</v>
      </c>
      <c r="B1539" s="7" t="s">
        <v>386</v>
      </c>
    </row>
    <row r="1540" ht="15.75" customHeight="1">
      <c r="A1540" s="7" t="s">
        <v>134</v>
      </c>
      <c r="B1540" s="7" t="s">
        <v>386</v>
      </c>
    </row>
    <row r="1541" ht="15.75" customHeight="1">
      <c r="A1541" s="7" t="s">
        <v>183</v>
      </c>
      <c r="B1541" s="7" t="s">
        <v>386</v>
      </c>
    </row>
    <row r="1542" ht="15.75" customHeight="1">
      <c r="A1542" s="7" t="s">
        <v>166</v>
      </c>
      <c r="B1542" s="7" t="s">
        <v>386</v>
      </c>
    </row>
    <row r="1543" ht="15.75" customHeight="1">
      <c r="A1543" s="7" t="s">
        <v>181</v>
      </c>
      <c r="B1543" s="7" t="s">
        <v>386</v>
      </c>
    </row>
    <row r="1544" ht="15.75" customHeight="1">
      <c r="A1544" s="7" t="s">
        <v>139</v>
      </c>
      <c r="B1544" s="7" t="s">
        <v>386</v>
      </c>
    </row>
    <row r="1545" ht="15.75" customHeight="1">
      <c r="A1545" s="6" t="s">
        <v>910</v>
      </c>
      <c r="B1545" s="6" t="s">
        <v>386</v>
      </c>
    </row>
    <row r="1546" ht="15.75" customHeight="1">
      <c r="A1546" s="7" t="s">
        <v>63</v>
      </c>
      <c r="B1546" s="7" t="s">
        <v>387</v>
      </c>
    </row>
    <row r="1547" ht="15.75" customHeight="1">
      <c r="A1547" s="7" t="s">
        <v>134</v>
      </c>
      <c r="B1547" s="7" t="s">
        <v>387</v>
      </c>
    </row>
    <row r="1548" ht="15.75" customHeight="1">
      <c r="A1548" s="7" t="s">
        <v>64</v>
      </c>
      <c r="B1548" s="7" t="s">
        <v>387</v>
      </c>
    </row>
    <row r="1549" ht="15.75" customHeight="1">
      <c r="A1549" s="7" t="s">
        <v>207</v>
      </c>
      <c r="B1549" s="7" t="s">
        <v>387</v>
      </c>
    </row>
    <row r="1550" ht="15.75" customHeight="1">
      <c r="A1550" s="7" t="s">
        <v>142</v>
      </c>
      <c r="B1550" s="7" t="s">
        <v>387</v>
      </c>
    </row>
    <row r="1551" ht="15.75" customHeight="1">
      <c r="A1551" s="7" t="s">
        <v>88</v>
      </c>
      <c r="B1551" s="7" t="s">
        <v>387</v>
      </c>
    </row>
    <row r="1552" ht="15.75" customHeight="1">
      <c r="A1552" s="6" t="s">
        <v>910</v>
      </c>
      <c r="B1552" s="6" t="s">
        <v>387</v>
      </c>
    </row>
    <row r="1553" ht="15.75" customHeight="1">
      <c r="A1553" s="7" t="s">
        <v>169</v>
      </c>
      <c r="B1553" s="7" t="s">
        <v>388</v>
      </c>
    </row>
    <row r="1554" ht="15.75" customHeight="1">
      <c r="A1554" s="7" t="s">
        <v>183</v>
      </c>
      <c r="B1554" s="7" t="s">
        <v>388</v>
      </c>
    </row>
    <row r="1555" ht="15.75" customHeight="1">
      <c r="A1555" s="7" t="s">
        <v>109</v>
      </c>
      <c r="B1555" s="7" t="s">
        <v>388</v>
      </c>
    </row>
    <row r="1556" ht="15.75" customHeight="1">
      <c r="A1556" s="7" t="s">
        <v>123</v>
      </c>
      <c r="B1556" s="7" t="s">
        <v>388</v>
      </c>
    </row>
    <row r="1557" ht="15.75" customHeight="1">
      <c r="A1557" s="7" t="s">
        <v>222</v>
      </c>
      <c r="B1557" s="7" t="s">
        <v>388</v>
      </c>
    </row>
    <row r="1558" ht="15.75" customHeight="1">
      <c r="A1558" s="7" t="s">
        <v>171</v>
      </c>
      <c r="B1558" s="7" t="s">
        <v>388</v>
      </c>
    </row>
    <row r="1559" ht="15.75" customHeight="1">
      <c r="A1559" s="6" t="s">
        <v>910</v>
      </c>
      <c r="B1559" s="6" t="s">
        <v>388</v>
      </c>
    </row>
    <row r="1560" ht="15.75" customHeight="1">
      <c r="A1560" s="7" t="s">
        <v>114</v>
      </c>
      <c r="B1560" s="7" t="s">
        <v>389</v>
      </c>
    </row>
    <row r="1561" ht="15.75" customHeight="1">
      <c r="A1561" s="7" t="s">
        <v>70</v>
      </c>
      <c r="B1561" s="7" t="s">
        <v>389</v>
      </c>
    </row>
    <row r="1562" ht="15.75" customHeight="1">
      <c r="A1562" s="7" t="s">
        <v>71</v>
      </c>
      <c r="B1562" s="7" t="s">
        <v>389</v>
      </c>
    </row>
    <row r="1563" ht="15.75" customHeight="1">
      <c r="A1563" s="7" t="s">
        <v>207</v>
      </c>
      <c r="B1563" s="7" t="s">
        <v>389</v>
      </c>
    </row>
    <row r="1564" ht="15.75" customHeight="1">
      <c r="A1564" s="7" t="s">
        <v>208</v>
      </c>
      <c r="B1564" s="7" t="s">
        <v>389</v>
      </c>
    </row>
    <row r="1565" ht="15.75" customHeight="1">
      <c r="A1565" s="7" t="s">
        <v>67</v>
      </c>
      <c r="B1565" s="7" t="s">
        <v>389</v>
      </c>
    </row>
    <row r="1566" ht="15.75" customHeight="1">
      <c r="A1566" s="6" t="s">
        <v>910</v>
      </c>
      <c r="B1566" s="6" t="s">
        <v>389</v>
      </c>
    </row>
    <row r="1567" ht="15.75" customHeight="1">
      <c r="A1567" s="7" t="s">
        <v>132</v>
      </c>
      <c r="B1567" s="7" t="s">
        <v>390</v>
      </c>
    </row>
    <row r="1568" ht="15.75" customHeight="1">
      <c r="A1568" s="7" t="s">
        <v>134</v>
      </c>
      <c r="B1568" s="7" t="s">
        <v>390</v>
      </c>
    </row>
    <row r="1569" ht="15.75" customHeight="1">
      <c r="A1569" s="7" t="s">
        <v>183</v>
      </c>
      <c r="B1569" s="7" t="s">
        <v>390</v>
      </c>
    </row>
    <row r="1570" ht="15.75" customHeight="1">
      <c r="A1570" s="7" t="s">
        <v>195</v>
      </c>
      <c r="B1570" s="7" t="s">
        <v>390</v>
      </c>
    </row>
    <row r="1571" ht="15.75" customHeight="1">
      <c r="A1571" s="7" t="s">
        <v>196</v>
      </c>
      <c r="B1571" s="7" t="s">
        <v>390</v>
      </c>
    </row>
    <row r="1572" ht="15.75" customHeight="1">
      <c r="A1572" s="7" t="s">
        <v>220</v>
      </c>
      <c r="B1572" s="7" t="s">
        <v>390</v>
      </c>
    </row>
    <row r="1573" ht="15.75" customHeight="1">
      <c r="A1573" s="6" t="s">
        <v>910</v>
      </c>
      <c r="B1573" s="6" t="s">
        <v>390</v>
      </c>
    </row>
    <row r="1574" ht="15.75" customHeight="1">
      <c r="A1574" s="7" t="s">
        <v>134</v>
      </c>
      <c r="B1574" s="7" t="s">
        <v>391</v>
      </c>
    </row>
    <row r="1575" ht="15.75" customHeight="1">
      <c r="A1575" s="7" t="s">
        <v>85</v>
      </c>
      <c r="B1575" s="7" t="s">
        <v>391</v>
      </c>
    </row>
    <row r="1576" ht="15.75" customHeight="1">
      <c r="A1576" s="7" t="s">
        <v>175</v>
      </c>
      <c r="B1576" s="7" t="s">
        <v>391</v>
      </c>
    </row>
    <row r="1577" ht="15.75" customHeight="1">
      <c r="A1577" s="7" t="s">
        <v>195</v>
      </c>
      <c r="B1577" s="7" t="s">
        <v>391</v>
      </c>
    </row>
    <row r="1578" ht="15.75" customHeight="1">
      <c r="A1578" s="7" t="s">
        <v>162</v>
      </c>
      <c r="B1578" s="7" t="s">
        <v>391</v>
      </c>
    </row>
    <row r="1579" ht="15.75" customHeight="1">
      <c r="A1579" s="7" t="s">
        <v>212</v>
      </c>
      <c r="B1579" s="7" t="s">
        <v>391</v>
      </c>
    </row>
    <row r="1580" ht="15.75" customHeight="1">
      <c r="A1580" s="6" t="s">
        <v>910</v>
      </c>
      <c r="B1580" s="6" t="s">
        <v>391</v>
      </c>
    </row>
    <row r="1581" ht="15.75" customHeight="1">
      <c r="A1581" s="7" t="s">
        <v>63</v>
      </c>
      <c r="B1581" s="7" t="s">
        <v>392</v>
      </c>
    </row>
    <row r="1582" ht="15.75" customHeight="1">
      <c r="A1582" s="7" t="s">
        <v>100</v>
      </c>
      <c r="B1582" s="7" t="s">
        <v>392</v>
      </c>
    </row>
    <row r="1583" ht="15.75" customHeight="1">
      <c r="A1583" s="7" t="s">
        <v>104</v>
      </c>
      <c r="B1583" s="7" t="s">
        <v>392</v>
      </c>
    </row>
    <row r="1584" ht="15.75" customHeight="1">
      <c r="A1584" s="7" t="s">
        <v>176</v>
      </c>
      <c r="B1584" s="7" t="s">
        <v>392</v>
      </c>
    </row>
    <row r="1585" ht="15.75" customHeight="1">
      <c r="A1585" s="7" t="s">
        <v>187</v>
      </c>
      <c r="B1585" s="7" t="s">
        <v>392</v>
      </c>
    </row>
    <row r="1586" ht="15.75" customHeight="1">
      <c r="A1586" s="7" t="s">
        <v>145</v>
      </c>
      <c r="B1586" s="7" t="s">
        <v>392</v>
      </c>
    </row>
    <row r="1587" ht="15.75" customHeight="1">
      <c r="A1587" s="6" t="s">
        <v>910</v>
      </c>
      <c r="B1587" s="6" t="s">
        <v>392</v>
      </c>
    </row>
    <row r="1588" ht="15.75" customHeight="1">
      <c r="A1588" s="7" t="s">
        <v>190</v>
      </c>
      <c r="B1588" s="7" t="s">
        <v>393</v>
      </c>
    </row>
    <row r="1589" ht="15.75" customHeight="1">
      <c r="A1589" s="7" t="s">
        <v>68</v>
      </c>
      <c r="B1589" s="7" t="s">
        <v>393</v>
      </c>
    </row>
    <row r="1590" ht="15.75" customHeight="1">
      <c r="A1590" s="7" t="s">
        <v>78</v>
      </c>
      <c r="B1590" s="7" t="s">
        <v>393</v>
      </c>
    </row>
    <row r="1591" ht="15.75" customHeight="1">
      <c r="A1591" s="7" t="s">
        <v>149</v>
      </c>
      <c r="B1591" s="7" t="s">
        <v>393</v>
      </c>
    </row>
    <row r="1592" ht="15.75" customHeight="1">
      <c r="A1592" s="7" t="s">
        <v>106</v>
      </c>
      <c r="B1592" s="7" t="s">
        <v>393</v>
      </c>
    </row>
    <row r="1593" ht="15.75" customHeight="1">
      <c r="A1593" s="7" t="s">
        <v>107</v>
      </c>
      <c r="B1593" s="7" t="s">
        <v>393</v>
      </c>
    </row>
    <row r="1594" ht="15.75" customHeight="1">
      <c r="A1594" s="6" t="s">
        <v>910</v>
      </c>
      <c r="B1594" s="6" t="s">
        <v>393</v>
      </c>
    </row>
    <row r="1595" ht="15.75" customHeight="1">
      <c r="A1595" s="7" t="s">
        <v>204</v>
      </c>
      <c r="B1595" s="7" t="s">
        <v>394</v>
      </c>
    </row>
    <row r="1596" ht="15.75" customHeight="1">
      <c r="A1596" s="7" t="s">
        <v>137</v>
      </c>
      <c r="B1596" s="7" t="s">
        <v>394</v>
      </c>
    </row>
    <row r="1597" ht="15.75" customHeight="1">
      <c r="A1597" s="7" t="s">
        <v>215</v>
      </c>
      <c r="B1597" s="7" t="s">
        <v>394</v>
      </c>
    </row>
    <row r="1598" ht="15.75" customHeight="1">
      <c r="A1598" s="7" t="s">
        <v>240</v>
      </c>
      <c r="B1598" s="7" t="s">
        <v>394</v>
      </c>
    </row>
    <row r="1599" ht="15.75" customHeight="1">
      <c r="A1599" s="7" t="s">
        <v>208</v>
      </c>
      <c r="B1599" s="7" t="s">
        <v>394</v>
      </c>
    </row>
    <row r="1600" ht="15.75" customHeight="1">
      <c r="A1600" s="7" t="s">
        <v>94</v>
      </c>
      <c r="B1600" s="7" t="s">
        <v>394</v>
      </c>
    </row>
    <row r="1601" ht="15.75" customHeight="1">
      <c r="A1601" s="6" t="s">
        <v>910</v>
      </c>
      <c r="B1601" s="6" t="s">
        <v>394</v>
      </c>
    </row>
    <row r="1602" ht="15.75" customHeight="1">
      <c r="A1602" s="7" t="s">
        <v>95</v>
      </c>
      <c r="B1602" s="7" t="s">
        <v>395</v>
      </c>
    </row>
    <row r="1603" ht="15.75" customHeight="1">
      <c r="A1603" s="7" t="s">
        <v>134</v>
      </c>
      <c r="B1603" s="7" t="s">
        <v>395</v>
      </c>
    </row>
    <row r="1604" ht="15.75" customHeight="1">
      <c r="A1604" s="7" t="s">
        <v>129</v>
      </c>
      <c r="B1604" s="7" t="s">
        <v>395</v>
      </c>
    </row>
    <row r="1605" ht="15.75" customHeight="1">
      <c r="A1605" s="7" t="s">
        <v>149</v>
      </c>
      <c r="B1605" s="7" t="s">
        <v>395</v>
      </c>
    </row>
    <row r="1606" ht="15.75" customHeight="1">
      <c r="A1606" s="7" t="s">
        <v>222</v>
      </c>
      <c r="B1606" s="7" t="s">
        <v>395</v>
      </c>
    </row>
    <row r="1607" ht="15.75" customHeight="1">
      <c r="A1607" s="7" t="s">
        <v>171</v>
      </c>
      <c r="B1607" s="7" t="s">
        <v>395</v>
      </c>
    </row>
    <row r="1608" ht="15.75" customHeight="1">
      <c r="A1608" s="6" t="s">
        <v>910</v>
      </c>
      <c r="B1608" s="6" t="s">
        <v>395</v>
      </c>
    </row>
    <row r="1609" ht="15.75" customHeight="1">
      <c r="A1609" s="6" t="s">
        <v>910</v>
      </c>
      <c r="B1609" s="6" t="s">
        <v>2480</v>
      </c>
    </row>
    <row r="1610" ht="15.75" customHeight="1">
      <c r="A1610" s="6" t="s">
        <v>1126</v>
      </c>
      <c r="B1610" s="6" t="s">
        <v>2480</v>
      </c>
    </row>
    <row r="1611" ht="15.75" customHeight="1">
      <c r="A1611" s="6" t="s">
        <v>910</v>
      </c>
      <c r="B1611" s="6" t="s">
        <v>2482</v>
      </c>
    </row>
    <row r="1612" ht="15.75" customHeight="1">
      <c r="A1612" s="7" t="s">
        <v>95</v>
      </c>
      <c r="B1612" s="7" t="s">
        <v>396</v>
      </c>
    </row>
    <row r="1613" ht="15.75" customHeight="1">
      <c r="A1613" s="7" t="s">
        <v>134</v>
      </c>
      <c r="B1613" s="7" t="s">
        <v>396</v>
      </c>
    </row>
    <row r="1614" ht="15.75" customHeight="1">
      <c r="A1614" s="7" t="s">
        <v>170</v>
      </c>
      <c r="B1614" s="7" t="s">
        <v>396</v>
      </c>
    </row>
    <row r="1615" ht="15.75" customHeight="1">
      <c r="A1615" s="7" t="s">
        <v>149</v>
      </c>
      <c r="B1615" s="7" t="s">
        <v>396</v>
      </c>
    </row>
    <row r="1616" ht="15.75" customHeight="1">
      <c r="A1616" s="7" t="s">
        <v>222</v>
      </c>
      <c r="B1616" s="7" t="s">
        <v>396</v>
      </c>
    </row>
    <row r="1617" ht="15.75" customHeight="1">
      <c r="A1617" s="7" t="s">
        <v>171</v>
      </c>
      <c r="B1617" s="7" t="s">
        <v>396</v>
      </c>
    </row>
    <row r="1618" ht="15.75" customHeight="1">
      <c r="A1618" s="6" t="s">
        <v>910</v>
      </c>
      <c r="B1618" s="6" t="s">
        <v>396</v>
      </c>
    </row>
    <row r="1619" ht="15.75" customHeight="1">
      <c r="A1619" s="7" t="s">
        <v>82</v>
      </c>
      <c r="B1619" s="7" t="s">
        <v>397</v>
      </c>
    </row>
    <row r="1620" ht="15.75" customHeight="1">
      <c r="A1620" s="7" t="s">
        <v>109</v>
      </c>
      <c r="B1620" s="7" t="s">
        <v>397</v>
      </c>
    </row>
    <row r="1621" ht="15.75" customHeight="1">
      <c r="A1621" s="7" t="s">
        <v>104</v>
      </c>
      <c r="B1621" s="7" t="s">
        <v>397</v>
      </c>
    </row>
    <row r="1622" ht="15.75" customHeight="1">
      <c r="A1622" s="7" t="s">
        <v>149</v>
      </c>
      <c r="B1622" s="7" t="s">
        <v>397</v>
      </c>
    </row>
    <row r="1623" ht="15.75" customHeight="1">
      <c r="A1623" s="7" t="s">
        <v>222</v>
      </c>
      <c r="B1623" s="7" t="s">
        <v>397</v>
      </c>
    </row>
    <row r="1624" ht="15.75" customHeight="1">
      <c r="A1624" s="7" t="s">
        <v>107</v>
      </c>
      <c r="B1624" s="7" t="s">
        <v>397</v>
      </c>
    </row>
    <row r="1625" ht="15.75" customHeight="1">
      <c r="A1625" s="6" t="s">
        <v>910</v>
      </c>
      <c r="B1625" s="6" t="s">
        <v>397</v>
      </c>
    </row>
    <row r="1626" ht="15.75" customHeight="1">
      <c r="A1626" s="7" t="s">
        <v>132</v>
      </c>
      <c r="B1626" s="7" t="s">
        <v>398</v>
      </c>
    </row>
    <row r="1627" ht="15.75" customHeight="1">
      <c r="A1627" s="7" t="s">
        <v>97</v>
      </c>
      <c r="B1627" s="7" t="s">
        <v>398</v>
      </c>
    </row>
    <row r="1628" ht="15.75" customHeight="1">
      <c r="A1628" s="7" t="s">
        <v>120</v>
      </c>
      <c r="B1628" s="7" t="s">
        <v>398</v>
      </c>
    </row>
    <row r="1629" ht="15.75" customHeight="1">
      <c r="A1629" s="7" t="s">
        <v>110</v>
      </c>
      <c r="B1629" s="7" t="s">
        <v>398</v>
      </c>
    </row>
    <row r="1630" ht="15.75" customHeight="1">
      <c r="A1630" s="7" t="s">
        <v>124</v>
      </c>
      <c r="B1630" s="7" t="s">
        <v>398</v>
      </c>
    </row>
    <row r="1631" ht="15.75" customHeight="1">
      <c r="A1631" s="7" t="s">
        <v>158</v>
      </c>
      <c r="B1631" s="7" t="s">
        <v>398</v>
      </c>
    </row>
    <row r="1632" ht="15.75" customHeight="1">
      <c r="A1632" s="6" t="s">
        <v>910</v>
      </c>
      <c r="B1632" s="6" t="s">
        <v>398</v>
      </c>
    </row>
    <row r="1633" ht="15.75" customHeight="1">
      <c r="A1633" s="7" t="s">
        <v>143</v>
      </c>
      <c r="B1633" s="7" t="s">
        <v>399</v>
      </c>
    </row>
    <row r="1634" ht="15.75" customHeight="1">
      <c r="A1634" s="7" t="s">
        <v>198</v>
      </c>
      <c r="B1634" s="7" t="s">
        <v>399</v>
      </c>
    </row>
    <row r="1635" ht="15.75" customHeight="1">
      <c r="A1635" s="7" t="s">
        <v>85</v>
      </c>
      <c r="B1635" s="7" t="s">
        <v>399</v>
      </c>
    </row>
    <row r="1636" ht="15.75" customHeight="1">
      <c r="A1636" s="7" t="s">
        <v>240</v>
      </c>
      <c r="B1636" s="7" t="s">
        <v>399</v>
      </c>
    </row>
    <row r="1637" ht="15.75" customHeight="1">
      <c r="A1637" s="7" t="s">
        <v>66</v>
      </c>
      <c r="B1637" s="7" t="s">
        <v>399</v>
      </c>
    </row>
    <row r="1638" ht="15.75" customHeight="1">
      <c r="A1638" s="7" t="s">
        <v>81</v>
      </c>
      <c r="B1638" s="7" t="s">
        <v>399</v>
      </c>
    </row>
    <row r="1639" ht="15.75" customHeight="1">
      <c r="A1639" s="6" t="s">
        <v>910</v>
      </c>
      <c r="B1639" s="6" t="s">
        <v>399</v>
      </c>
    </row>
    <row r="1640" ht="15.75" customHeight="1">
      <c r="A1640" s="6" t="s">
        <v>1126</v>
      </c>
      <c r="B1640" s="6" t="s">
        <v>399</v>
      </c>
    </row>
    <row r="1641" ht="15.75" customHeight="1">
      <c r="A1641" s="7" t="s">
        <v>226</v>
      </c>
      <c r="B1641" s="7" t="s">
        <v>400</v>
      </c>
    </row>
    <row r="1642" ht="15.75" customHeight="1">
      <c r="A1642" s="7" t="s">
        <v>100</v>
      </c>
      <c r="B1642" s="7" t="s">
        <v>400</v>
      </c>
    </row>
    <row r="1643" ht="15.75" customHeight="1">
      <c r="A1643" s="7" t="s">
        <v>194</v>
      </c>
      <c r="B1643" s="7" t="s">
        <v>400</v>
      </c>
    </row>
    <row r="1644" ht="15.75" customHeight="1">
      <c r="A1644" s="7" t="s">
        <v>240</v>
      </c>
      <c r="B1644" s="7" t="s">
        <v>400</v>
      </c>
    </row>
    <row r="1645" ht="15.75" customHeight="1">
      <c r="A1645" s="7" t="s">
        <v>142</v>
      </c>
      <c r="B1645" s="7" t="s">
        <v>400</v>
      </c>
    </row>
    <row r="1646" ht="15.75" customHeight="1">
      <c r="A1646" s="7" t="s">
        <v>241</v>
      </c>
      <c r="B1646" s="7" t="s">
        <v>400</v>
      </c>
    </row>
    <row r="1647" ht="15.75" customHeight="1">
      <c r="A1647" s="6" t="s">
        <v>910</v>
      </c>
      <c r="B1647" s="6" t="s">
        <v>400</v>
      </c>
    </row>
    <row r="1648" ht="15.75" customHeight="1">
      <c r="A1648" s="7" t="s">
        <v>61</v>
      </c>
      <c r="B1648" s="7" t="s">
        <v>401</v>
      </c>
    </row>
    <row r="1649" ht="15.75" customHeight="1">
      <c r="A1649" s="7" t="s">
        <v>91</v>
      </c>
      <c r="B1649" s="7" t="s">
        <v>401</v>
      </c>
    </row>
    <row r="1650" ht="15.75" customHeight="1">
      <c r="A1650" s="7" t="s">
        <v>109</v>
      </c>
      <c r="B1650" s="7" t="s">
        <v>401</v>
      </c>
    </row>
    <row r="1651" ht="15.75" customHeight="1">
      <c r="A1651" s="7" t="s">
        <v>240</v>
      </c>
      <c r="B1651" s="7" t="s">
        <v>401</v>
      </c>
    </row>
    <row r="1652" ht="15.75" customHeight="1">
      <c r="A1652" s="7" t="s">
        <v>208</v>
      </c>
      <c r="B1652" s="7" t="s">
        <v>401</v>
      </c>
    </row>
    <row r="1653" ht="15.75" customHeight="1">
      <c r="A1653" s="7" t="s">
        <v>241</v>
      </c>
      <c r="B1653" s="7" t="s">
        <v>401</v>
      </c>
    </row>
    <row r="1654" ht="15.75" customHeight="1">
      <c r="A1654" s="6" t="s">
        <v>910</v>
      </c>
      <c r="B1654" s="6" t="s">
        <v>401</v>
      </c>
    </row>
    <row r="1655" ht="15.75" customHeight="1">
      <c r="A1655" s="7" t="s">
        <v>134</v>
      </c>
      <c r="B1655" s="7" t="s">
        <v>402</v>
      </c>
    </row>
    <row r="1656" ht="15.75" customHeight="1">
      <c r="A1656" s="7" t="s">
        <v>77</v>
      </c>
      <c r="B1656" s="7" t="s">
        <v>402</v>
      </c>
    </row>
    <row r="1657" ht="15.75" customHeight="1">
      <c r="A1657" s="7" t="s">
        <v>175</v>
      </c>
      <c r="B1657" s="7" t="s">
        <v>402</v>
      </c>
    </row>
    <row r="1658" ht="15.75" customHeight="1">
      <c r="A1658" s="7" t="s">
        <v>240</v>
      </c>
      <c r="B1658" s="7" t="s">
        <v>402</v>
      </c>
    </row>
    <row r="1659" ht="15.75" customHeight="1">
      <c r="A1659" s="7" t="s">
        <v>117</v>
      </c>
      <c r="B1659" s="7" t="s">
        <v>402</v>
      </c>
    </row>
    <row r="1660" ht="15.75" customHeight="1">
      <c r="A1660" s="7" t="s">
        <v>81</v>
      </c>
      <c r="B1660" s="7" t="s">
        <v>402</v>
      </c>
    </row>
    <row r="1661" ht="15.75" customHeight="1">
      <c r="A1661" s="6" t="s">
        <v>910</v>
      </c>
      <c r="B1661" s="6" t="s">
        <v>402</v>
      </c>
    </row>
    <row r="1662" ht="15.75" customHeight="1">
      <c r="A1662" s="7" t="s">
        <v>82</v>
      </c>
      <c r="B1662" s="7" t="s">
        <v>403</v>
      </c>
    </row>
    <row r="1663" ht="15.75" customHeight="1">
      <c r="A1663" s="7" t="s">
        <v>198</v>
      </c>
      <c r="B1663" s="7" t="s">
        <v>403</v>
      </c>
    </row>
    <row r="1664" ht="15.75" customHeight="1">
      <c r="A1664" s="7" t="s">
        <v>156</v>
      </c>
      <c r="B1664" s="7" t="s">
        <v>403</v>
      </c>
    </row>
    <row r="1665" ht="15.75" customHeight="1">
      <c r="A1665" s="7" t="s">
        <v>86</v>
      </c>
      <c r="B1665" s="7" t="s">
        <v>403</v>
      </c>
    </row>
    <row r="1666" ht="15.75" customHeight="1">
      <c r="A1666" s="7" t="s">
        <v>87</v>
      </c>
      <c r="B1666" s="7" t="s">
        <v>403</v>
      </c>
    </row>
    <row r="1667" ht="15.75" customHeight="1">
      <c r="A1667" s="7" t="s">
        <v>185</v>
      </c>
      <c r="B1667" s="7" t="s">
        <v>403</v>
      </c>
    </row>
    <row r="1668" ht="15.75" customHeight="1">
      <c r="A1668" s="6" t="s">
        <v>910</v>
      </c>
      <c r="B1668" s="6" t="s">
        <v>403</v>
      </c>
    </row>
    <row r="1669" ht="15.75" customHeight="1">
      <c r="A1669" s="6" t="s">
        <v>1126</v>
      </c>
      <c r="B1669" s="6" t="s">
        <v>403</v>
      </c>
    </row>
    <row r="1670" ht="15.75" customHeight="1">
      <c r="A1670" s="7" t="s">
        <v>148</v>
      </c>
      <c r="B1670" s="7" t="s">
        <v>404</v>
      </c>
    </row>
    <row r="1671" ht="15.75" customHeight="1">
      <c r="A1671" s="7" t="s">
        <v>77</v>
      </c>
      <c r="B1671" s="7" t="s">
        <v>404</v>
      </c>
    </row>
    <row r="1672" ht="15.75" customHeight="1">
      <c r="A1672" s="7" t="s">
        <v>78</v>
      </c>
      <c r="B1672" s="7" t="s">
        <v>404</v>
      </c>
    </row>
    <row r="1673" ht="15.75" customHeight="1">
      <c r="A1673" s="7" t="s">
        <v>72</v>
      </c>
      <c r="B1673" s="7" t="s">
        <v>404</v>
      </c>
    </row>
    <row r="1674" ht="15.75" customHeight="1">
      <c r="A1674" s="7" t="s">
        <v>142</v>
      </c>
      <c r="B1674" s="7" t="s">
        <v>404</v>
      </c>
    </row>
    <row r="1675" ht="15.75" customHeight="1">
      <c r="A1675" s="7" t="s">
        <v>94</v>
      </c>
      <c r="B1675" s="7" t="s">
        <v>404</v>
      </c>
    </row>
    <row r="1676" ht="15.75" customHeight="1">
      <c r="A1676" s="6" t="s">
        <v>910</v>
      </c>
      <c r="B1676" s="6" t="s">
        <v>404</v>
      </c>
    </row>
    <row r="1677" ht="15.75" customHeight="1">
      <c r="A1677" s="7" t="s">
        <v>95</v>
      </c>
      <c r="B1677" s="7" t="s">
        <v>405</v>
      </c>
    </row>
    <row r="1678" ht="15.75" customHeight="1">
      <c r="A1678" s="7" t="s">
        <v>97</v>
      </c>
      <c r="B1678" s="7" t="s">
        <v>405</v>
      </c>
    </row>
    <row r="1679" ht="15.75" customHeight="1">
      <c r="A1679" s="7" t="s">
        <v>104</v>
      </c>
      <c r="B1679" s="7" t="s">
        <v>405</v>
      </c>
    </row>
    <row r="1680" ht="15.75" customHeight="1">
      <c r="A1680" s="7" t="s">
        <v>99</v>
      </c>
      <c r="B1680" s="7" t="s">
        <v>405</v>
      </c>
    </row>
    <row r="1681" ht="15.75" customHeight="1">
      <c r="A1681" s="7" t="s">
        <v>93</v>
      </c>
      <c r="B1681" s="7" t="s">
        <v>405</v>
      </c>
    </row>
    <row r="1682" ht="15.75" customHeight="1">
      <c r="A1682" s="7" t="s">
        <v>241</v>
      </c>
      <c r="B1682" s="7" t="s">
        <v>405</v>
      </c>
    </row>
    <row r="1683" ht="15.75" customHeight="1">
      <c r="A1683" s="6" t="s">
        <v>910</v>
      </c>
      <c r="B1683" s="6" t="s">
        <v>405</v>
      </c>
    </row>
    <row r="1684" ht="15.75" customHeight="1">
      <c r="A1684" s="7" t="s">
        <v>159</v>
      </c>
      <c r="B1684" s="7" t="s">
        <v>406</v>
      </c>
    </row>
    <row r="1685" ht="15.75" customHeight="1">
      <c r="A1685" s="7" t="s">
        <v>169</v>
      </c>
      <c r="B1685" s="7" t="s">
        <v>406</v>
      </c>
    </row>
    <row r="1686" ht="15.75" customHeight="1">
      <c r="A1686" s="7" t="s">
        <v>71</v>
      </c>
      <c r="B1686" s="7" t="s">
        <v>406</v>
      </c>
    </row>
    <row r="1687" ht="15.75" customHeight="1">
      <c r="A1687" s="7" t="s">
        <v>123</v>
      </c>
      <c r="B1687" s="7" t="s">
        <v>406</v>
      </c>
    </row>
    <row r="1688" ht="15.75" customHeight="1">
      <c r="A1688" s="7" t="s">
        <v>162</v>
      </c>
      <c r="B1688" s="7" t="s">
        <v>406</v>
      </c>
    </row>
    <row r="1689" ht="15.75" customHeight="1">
      <c r="A1689" s="7" t="s">
        <v>171</v>
      </c>
      <c r="B1689" s="7" t="s">
        <v>406</v>
      </c>
    </row>
    <row r="1690" ht="15.75" customHeight="1">
      <c r="A1690" s="6" t="s">
        <v>910</v>
      </c>
      <c r="B1690" s="6" t="s">
        <v>406</v>
      </c>
    </row>
    <row r="1691" ht="15.75" customHeight="1">
      <c r="A1691" s="7" t="s">
        <v>68</v>
      </c>
      <c r="B1691" s="7" t="s">
        <v>407</v>
      </c>
    </row>
    <row r="1692" ht="15.75" customHeight="1">
      <c r="A1692" s="7" t="s">
        <v>169</v>
      </c>
      <c r="B1692" s="7" t="s">
        <v>407</v>
      </c>
    </row>
    <row r="1693" ht="15.75" customHeight="1">
      <c r="A1693" s="7" t="s">
        <v>178</v>
      </c>
      <c r="B1693" s="7" t="s">
        <v>407</v>
      </c>
    </row>
    <row r="1694" ht="15.75" customHeight="1">
      <c r="A1694" s="7" t="s">
        <v>149</v>
      </c>
      <c r="B1694" s="7" t="s">
        <v>407</v>
      </c>
    </row>
    <row r="1695" ht="15.75" customHeight="1">
      <c r="A1695" s="7" t="s">
        <v>150</v>
      </c>
      <c r="B1695" s="7" t="s">
        <v>407</v>
      </c>
    </row>
    <row r="1696" ht="15.75" customHeight="1">
      <c r="A1696" s="7" t="s">
        <v>171</v>
      </c>
      <c r="B1696" s="7" t="s">
        <v>407</v>
      </c>
    </row>
    <row r="1697" ht="15.75" customHeight="1">
      <c r="A1697" s="6" t="s">
        <v>910</v>
      </c>
      <c r="B1697" s="6" t="s">
        <v>407</v>
      </c>
    </row>
    <row r="1698" ht="15.75" customHeight="1">
      <c r="A1698" s="7" t="s">
        <v>190</v>
      </c>
      <c r="B1698" s="7" t="s">
        <v>408</v>
      </c>
    </row>
    <row r="1699" ht="15.75" customHeight="1">
      <c r="A1699" s="7" t="s">
        <v>146</v>
      </c>
      <c r="B1699" s="7" t="s">
        <v>408</v>
      </c>
    </row>
    <row r="1700" ht="15.75" customHeight="1">
      <c r="A1700" s="7" t="s">
        <v>78</v>
      </c>
      <c r="B1700" s="7" t="s">
        <v>408</v>
      </c>
    </row>
    <row r="1701" ht="15.75" customHeight="1">
      <c r="A1701" s="7" t="s">
        <v>195</v>
      </c>
      <c r="B1701" s="7" t="s">
        <v>408</v>
      </c>
    </row>
    <row r="1702" ht="15.75" customHeight="1">
      <c r="A1702" s="7" t="s">
        <v>181</v>
      </c>
      <c r="B1702" s="7" t="s">
        <v>408</v>
      </c>
    </row>
    <row r="1703" ht="15.75" customHeight="1">
      <c r="A1703" s="7" t="s">
        <v>136</v>
      </c>
      <c r="B1703" s="7" t="s">
        <v>408</v>
      </c>
    </row>
    <row r="1704" ht="15.75" customHeight="1">
      <c r="A1704" s="6" t="s">
        <v>910</v>
      </c>
      <c r="B1704" s="6" t="s">
        <v>408</v>
      </c>
    </row>
    <row r="1705" ht="15.75" customHeight="1">
      <c r="A1705" s="7" t="s">
        <v>95</v>
      </c>
      <c r="B1705" s="7" t="s">
        <v>409</v>
      </c>
    </row>
    <row r="1706" ht="15.75" customHeight="1">
      <c r="A1706" s="7" t="s">
        <v>97</v>
      </c>
      <c r="B1706" s="7" t="s">
        <v>409</v>
      </c>
    </row>
    <row r="1707" ht="15.75" customHeight="1">
      <c r="A1707" s="7" t="s">
        <v>104</v>
      </c>
      <c r="B1707" s="7" t="s">
        <v>409</v>
      </c>
    </row>
    <row r="1708" ht="15.75" customHeight="1">
      <c r="A1708" s="7" t="s">
        <v>105</v>
      </c>
      <c r="B1708" s="7" t="s">
        <v>409</v>
      </c>
    </row>
    <row r="1709" ht="15.75" customHeight="1">
      <c r="A1709" s="7" t="s">
        <v>187</v>
      </c>
      <c r="B1709" s="7" t="s">
        <v>409</v>
      </c>
    </row>
    <row r="1710" ht="15.75" customHeight="1">
      <c r="A1710" s="7" t="s">
        <v>127</v>
      </c>
      <c r="B1710" s="7" t="s">
        <v>409</v>
      </c>
    </row>
    <row r="1711" ht="15.75" customHeight="1">
      <c r="A1711" s="6" t="s">
        <v>910</v>
      </c>
      <c r="B1711" s="6" t="s">
        <v>409</v>
      </c>
    </row>
    <row r="1712" ht="15.75" customHeight="1">
      <c r="A1712" s="7" t="s">
        <v>82</v>
      </c>
      <c r="B1712" s="7" t="s">
        <v>410</v>
      </c>
    </row>
    <row r="1713" ht="15.75" customHeight="1">
      <c r="A1713" s="7" t="s">
        <v>153</v>
      </c>
      <c r="B1713" s="7" t="s">
        <v>410</v>
      </c>
    </row>
    <row r="1714" ht="15.75" customHeight="1">
      <c r="A1714" s="7" t="s">
        <v>141</v>
      </c>
      <c r="B1714" s="7" t="s">
        <v>410</v>
      </c>
    </row>
    <row r="1715" ht="15.75" customHeight="1">
      <c r="A1715" s="7" t="s">
        <v>86</v>
      </c>
      <c r="B1715" s="7" t="s">
        <v>410</v>
      </c>
    </row>
    <row r="1716" ht="15.75" customHeight="1">
      <c r="A1716" s="7" t="s">
        <v>131</v>
      </c>
      <c r="B1716" s="7" t="s">
        <v>410</v>
      </c>
    </row>
    <row r="1717" ht="15.75" customHeight="1">
      <c r="A1717" s="7" t="s">
        <v>118</v>
      </c>
      <c r="B1717" s="7" t="s">
        <v>410</v>
      </c>
    </row>
    <row r="1718" ht="15.75" customHeight="1">
      <c r="A1718" s="6" t="s">
        <v>910</v>
      </c>
      <c r="B1718" s="6" t="s">
        <v>410</v>
      </c>
    </row>
    <row r="1719" ht="15.75" customHeight="1">
      <c r="A1719" s="7" t="s">
        <v>190</v>
      </c>
      <c r="B1719" s="7" t="s">
        <v>411</v>
      </c>
    </row>
    <row r="1720" ht="15.75" customHeight="1">
      <c r="A1720" s="7" t="s">
        <v>198</v>
      </c>
      <c r="B1720" s="7" t="s">
        <v>411</v>
      </c>
    </row>
    <row r="1721" ht="15.75" customHeight="1">
      <c r="A1721" s="7" t="s">
        <v>77</v>
      </c>
      <c r="B1721" s="7" t="s">
        <v>411</v>
      </c>
    </row>
    <row r="1722" ht="15.75" customHeight="1">
      <c r="A1722" s="7" t="s">
        <v>79</v>
      </c>
      <c r="B1722" s="7" t="s">
        <v>411</v>
      </c>
    </row>
    <row r="1723" ht="15.75" customHeight="1">
      <c r="A1723" s="7" t="s">
        <v>87</v>
      </c>
      <c r="B1723" s="7" t="s">
        <v>411</v>
      </c>
    </row>
    <row r="1724" ht="15.75" customHeight="1">
      <c r="A1724" s="7" t="s">
        <v>241</v>
      </c>
      <c r="B1724" s="7" t="s">
        <v>411</v>
      </c>
    </row>
    <row r="1725" ht="15.75" customHeight="1">
      <c r="A1725" s="6" t="s">
        <v>910</v>
      </c>
      <c r="B1725" s="6" t="s">
        <v>411</v>
      </c>
    </row>
    <row r="1726" ht="15.75" customHeight="1">
      <c r="A1726" s="6" t="s">
        <v>1126</v>
      </c>
      <c r="B1726" s="6" t="s">
        <v>411</v>
      </c>
    </row>
    <row r="1727" ht="15.75" customHeight="1">
      <c r="A1727" s="7" t="s">
        <v>226</v>
      </c>
      <c r="B1727" s="7" t="s">
        <v>412</v>
      </c>
    </row>
    <row r="1728" ht="15.75" customHeight="1">
      <c r="A1728" s="7" t="s">
        <v>68</v>
      </c>
      <c r="B1728" s="7" t="s">
        <v>412</v>
      </c>
    </row>
    <row r="1729" ht="15.75" customHeight="1">
      <c r="A1729" s="7" t="s">
        <v>198</v>
      </c>
      <c r="B1729" s="7" t="s">
        <v>412</v>
      </c>
    </row>
    <row r="1730" ht="15.75" customHeight="1">
      <c r="A1730" s="7" t="s">
        <v>149</v>
      </c>
      <c r="B1730" s="7" t="s">
        <v>412</v>
      </c>
    </row>
    <row r="1731" ht="15.75" customHeight="1">
      <c r="A1731" s="7" t="s">
        <v>124</v>
      </c>
      <c r="B1731" s="7" t="s">
        <v>412</v>
      </c>
    </row>
    <row r="1732" ht="15.75" customHeight="1">
      <c r="A1732" s="7" t="s">
        <v>107</v>
      </c>
      <c r="B1732" s="7" t="s">
        <v>412</v>
      </c>
    </row>
    <row r="1733" ht="15.75" customHeight="1">
      <c r="A1733" s="6" t="s">
        <v>910</v>
      </c>
      <c r="B1733" s="6" t="s">
        <v>412</v>
      </c>
    </row>
    <row r="1734" ht="15.75" customHeight="1">
      <c r="A1734" s="7" t="s">
        <v>68</v>
      </c>
      <c r="B1734" s="7" t="s">
        <v>413</v>
      </c>
    </row>
    <row r="1735" ht="15.75" customHeight="1">
      <c r="A1735" s="7" t="s">
        <v>75</v>
      </c>
      <c r="B1735" s="7" t="s">
        <v>413</v>
      </c>
    </row>
    <row r="1736" ht="15.75" customHeight="1">
      <c r="A1736" s="7" t="s">
        <v>120</v>
      </c>
      <c r="B1736" s="7" t="s">
        <v>413</v>
      </c>
    </row>
    <row r="1737" ht="15.75" customHeight="1">
      <c r="A1737" s="7" t="s">
        <v>105</v>
      </c>
      <c r="B1737" s="7" t="s">
        <v>413</v>
      </c>
    </row>
    <row r="1738" ht="15.75" customHeight="1">
      <c r="A1738" s="7" t="s">
        <v>162</v>
      </c>
      <c r="B1738" s="7" t="s">
        <v>413</v>
      </c>
    </row>
    <row r="1739" ht="15.75" customHeight="1">
      <c r="A1739" s="7" t="s">
        <v>107</v>
      </c>
      <c r="B1739" s="7" t="s">
        <v>413</v>
      </c>
    </row>
    <row r="1740" ht="15.75" customHeight="1">
      <c r="A1740" s="6" t="s">
        <v>910</v>
      </c>
      <c r="B1740" s="6" t="s">
        <v>413</v>
      </c>
    </row>
    <row r="1741" ht="15.75" customHeight="1">
      <c r="A1741" s="7" t="s">
        <v>100</v>
      </c>
      <c r="B1741" s="7" t="s">
        <v>414</v>
      </c>
    </row>
    <row r="1742" ht="15.75" customHeight="1">
      <c r="A1742" s="7" t="s">
        <v>132</v>
      </c>
      <c r="B1742" s="7" t="s">
        <v>414</v>
      </c>
    </row>
    <row r="1743" ht="15.75" customHeight="1">
      <c r="A1743" s="7" t="s">
        <v>141</v>
      </c>
      <c r="B1743" s="7" t="s">
        <v>414</v>
      </c>
    </row>
    <row r="1744" ht="15.75" customHeight="1">
      <c r="A1744" s="7" t="s">
        <v>184</v>
      </c>
      <c r="B1744" s="7" t="s">
        <v>414</v>
      </c>
    </row>
    <row r="1745" ht="15.75" customHeight="1">
      <c r="A1745" s="7" t="s">
        <v>80</v>
      </c>
      <c r="B1745" s="7" t="s">
        <v>414</v>
      </c>
    </row>
    <row r="1746" ht="15.75" customHeight="1">
      <c r="A1746" s="7" t="s">
        <v>185</v>
      </c>
      <c r="B1746" s="7" t="s">
        <v>414</v>
      </c>
    </row>
    <row r="1747" ht="15.75" customHeight="1">
      <c r="A1747" s="6" t="s">
        <v>910</v>
      </c>
      <c r="B1747" s="6" t="s">
        <v>414</v>
      </c>
    </row>
    <row r="1748" ht="15.75" customHeight="1">
      <c r="A1748" s="6" t="s">
        <v>1126</v>
      </c>
      <c r="B1748" s="6" t="s">
        <v>414</v>
      </c>
    </row>
    <row r="1749" ht="15.75" customHeight="1">
      <c r="A1749" s="7" t="s">
        <v>100</v>
      </c>
      <c r="B1749" s="7" t="s">
        <v>415</v>
      </c>
    </row>
    <row r="1750" ht="15.75" customHeight="1">
      <c r="A1750" s="7" t="s">
        <v>137</v>
      </c>
      <c r="B1750" s="7" t="s">
        <v>415</v>
      </c>
    </row>
    <row r="1751" ht="15.75" customHeight="1">
      <c r="A1751" s="7" t="s">
        <v>141</v>
      </c>
      <c r="B1751" s="7" t="s">
        <v>415</v>
      </c>
    </row>
    <row r="1752" ht="15.75" customHeight="1">
      <c r="A1752" s="7" t="s">
        <v>240</v>
      </c>
      <c r="B1752" s="7" t="s">
        <v>415</v>
      </c>
    </row>
    <row r="1753" ht="15.75" customHeight="1">
      <c r="A1753" s="7" t="s">
        <v>73</v>
      </c>
      <c r="B1753" s="7" t="s">
        <v>415</v>
      </c>
    </row>
    <row r="1754" ht="15.75" customHeight="1">
      <c r="A1754" s="7" t="s">
        <v>94</v>
      </c>
      <c r="B1754" s="7" t="s">
        <v>415</v>
      </c>
    </row>
    <row r="1755" ht="15.75" customHeight="1">
      <c r="A1755" s="6" t="s">
        <v>910</v>
      </c>
      <c r="B1755" s="6" t="s">
        <v>415</v>
      </c>
    </row>
    <row r="1756" ht="15.75" customHeight="1">
      <c r="A1756" s="7" t="s">
        <v>100</v>
      </c>
      <c r="B1756" s="7" t="s">
        <v>416</v>
      </c>
    </row>
    <row r="1757" ht="15.75" customHeight="1">
      <c r="A1757" s="7" t="s">
        <v>132</v>
      </c>
      <c r="B1757" s="7" t="s">
        <v>416</v>
      </c>
    </row>
    <row r="1758" ht="15.75" customHeight="1">
      <c r="A1758" s="7" t="s">
        <v>91</v>
      </c>
      <c r="B1758" s="7" t="s">
        <v>416</v>
      </c>
    </row>
    <row r="1759" ht="15.75" customHeight="1">
      <c r="A1759" s="7" t="s">
        <v>184</v>
      </c>
      <c r="B1759" s="7" t="s">
        <v>416</v>
      </c>
    </row>
    <row r="1760" ht="15.75" customHeight="1">
      <c r="A1760" s="7" t="s">
        <v>80</v>
      </c>
      <c r="B1760" s="7" t="s">
        <v>416</v>
      </c>
    </row>
    <row r="1761" ht="15.75" customHeight="1">
      <c r="A1761" s="7" t="s">
        <v>185</v>
      </c>
      <c r="B1761" s="7" t="s">
        <v>416</v>
      </c>
    </row>
    <row r="1762" ht="15.75" customHeight="1">
      <c r="A1762" s="6" t="s">
        <v>910</v>
      </c>
      <c r="B1762" s="6" t="s">
        <v>416</v>
      </c>
    </row>
    <row r="1763" ht="15.75" customHeight="1">
      <c r="A1763" s="6" t="s">
        <v>1126</v>
      </c>
      <c r="B1763" s="6" t="s">
        <v>416</v>
      </c>
    </row>
    <row r="1764" ht="15.75" customHeight="1">
      <c r="A1764" s="6" t="s">
        <v>910</v>
      </c>
      <c r="B1764" s="6" t="s">
        <v>2505</v>
      </c>
    </row>
    <row r="1765" ht="15.75" customHeight="1">
      <c r="A1765" s="7" t="s">
        <v>61</v>
      </c>
      <c r="B1765" s="7" t="s">
        <v>417</v>
      </c>
    </row>
    <row r="1766" ht="15.75" customHeight="1">
      <c r="A1766" s="7" t="s">
        <v>132</v>
      </c>
      <c r="B1766" s="7" t="s">
        <v>417</v>
      </c>
    </row>
    <row r="1767" ht="15.75" customHeight="1">
      <c r="A1767" s="7" t="s">
        <v>120</v>
      </c>
      <c r="B1767" s="7" t="s">
        <v>417</v>
      </c>
    </row>
    <row r="1768" ht="15.75" customHeight="1">
      <c r="A1768" s="7" t="s">
        <v>207</v>
      </c>
      <c r="B1768" s="7" t="s">
        <v>417</v>
      </c>
    </row>
    <row r="1769" ht="15.75" customHeight="1">
      <c r="A1769" s="7" t="s">
        <v>73</v>
      </c>
      <c r="B1769" s="7" t="s">
        <v>417</v>
      </c>
    </row>
    <row r="1770" ht="15.75" customHeight="1">
      <c r="A1770" s="7" t="s">
        <v>185</v>
      </c>
      <c r="B1770" s="7" t="s">
        <v>417</v>
      </c>
    </row>
    <row r="1771" ht="15.75" customHeight="1">
      <c r="A1771" s="6" t="s">
        <v>910</v>
      </c>
      <c r="B1771" s="6" t="s">
        <v>417</v>
      </c>
    </row>
    <row r="1772" ht="15.75" customHeight="1">
      <c r="A1772" s="7" t="s">
        <v>82</v>
      </c>
      <c r="B1772" s="7" t="s">
        <v>418</v>
      </c>
    </row>
    <row r="1773" ht="15.75" customHeight="1">
      <c r="A1773" s="7" t="s">
        <v>183</v>
      </c>
      <c r="B1773" s="7" t="s">
        <v>418</v>
      </c>
    </row>
    <row r="1774" ht="15.75" customHeight="1">
      <c r="A1774" s="7" t="s">
        <v>153</v>
      </c>
      <c r="B1774" s="7" t="s">
        <v>418</v>
      </c>
    </row>
    <row r="1775" ht="15.75" customHeight="1">
      <c r="A1775" s="7" t="s">
        <v>135</v>
      </c>
      <c r="B1775" s="7" t="s">
        <v>418</v>
      </c>
    </row>
    <row r="1776" ht="15.75" customHeight="1">
      <c r="A1776" s="7" t="s">
        <v>187</v>
      </c>
      <c r="B1776" s="7" t="s">
        <v>418</v>
      </c>
    </row>
    <row r="1777" ht="15.75" customHeight="1">
      <c r="A1777" s="7" t="s">
        <v>139</v>
      </c>
      <c r="B1777" s="7" t="s">
        <v>418</v>
      </c>
    </row>
    <row r="1778" ht="15.75" customHeight="1">
      <c r="A1778" s="6" t="s">
        <v>910</v>
      </c>
      <c r="B1778" s="6" t="s">
        <v>418</v>
      </c>
    </row>
    <row r="1779" ht="15.75" customHeight="1">
      <c r="A1779" s="7" t="s">
        <v>63</v>
      </c>
      <c r="B1779" s="7" t="s">
        <v>419</v>
      </c>
    </row>
    <row r="1780" ht="15.75" customHeight="1">
      <c r="A1780" s="7" t="s">
        <v>134</v>
      </c>
      <c r="B1780" s="7" t="s">
        <v>419</v>
      </c>
    </row>
    <row r="1781" ht="15.75" customHeight="1">
      <c r="A1781" s="7" t="s">
        <v>71</v>
      </c>
      <c r="B1781" s="7" t="s">
        <v>419</v>
      </c>
    </row>
    <row r="1782" ht="15.75" customHeight="1">
      <c r="A1782" s="7" t="s">
        <v>166</v>
      </c>
      <c r="B1782" s="7" t="s">
        <v>419</v>
      </c>
    </row>
    <row r="1783" ht="15.75" customHeight="1">
      <c r="A1783" s="7" t="s">
        <v>196</v>
      </c>
      <c r="B1783" s="7" t="s">
        <v>419</v>
      </c>
    </row>
    <row r="1784" ht="15.75" customHeight="1">
      <c r="A1784" s="7" t="s">
        <v>220</v>
      </c>
      <c r="B1784" s="7" t="s">
        <v>419</v>
      </c>
    </row>
    <row r="1785" ht="15.75" customHeight="1">
      <c r="A1785" s="6" t="s">
        <v>910</v>
      </c>
      <c r="B1785" s="6" t="s">
        <v>419</v>
      </c>
    </row>
    <row r="1786" ht="15.75" customHeight="1">
      <c r="A1786" s="7" t="s">
        <v>89</v>
      </c>
      <c r="B1786" s="7" t="s">
        <v>420</v>
      </c>
    </row>
    <row r="1787" ht="15.75" customHeight="1">
      <c r="A1787" s="7" t="s">
        <v>77</v>
      </c>
      <c r="B1787" s="7" t="s">
        <v>420</v>
      </c>
    </row>
    <row r="1788" ht="15.75" customHeight="1">
      <c r="A1788" s="7" t="s">
        <v>120</v>
      </c>
      <c r="B1788" s="7" t="s">
        <v>420</v>
      </c>
    </row>
    <row r="1789" ht="15.75" customHeight="1">
      <c r="A1789" s="7" t="s">
        <v>79</v>
      </c>
      <c r="B1789" s="7" t="s">
        <v>420</v>
      </c>
    </row>
    <row r="1790" ht="15.75" customHeight="1">
      <c r="A1790" s="7" t="s">
        <v>208</v>
      </c>
      <c r="B1790" s="7" t="s">
        <v>420</v>
      </c>
    </row>
    <row r="1791" ht="15.75" customHeight="1">
      <c r="A1791" s="7" t="s">
        <v>241</v>
      </c>
      <c r="B1791" s="7" t="s">
        <v>420</v>
      </c>
    </row>
    <row r="1792" ht="15.75" customHeight="1">
      <c r="A1792" s="6" t="s">
        <v>910</v>
      </c>
      <c r="B1792" s="6" t="s">
        <v>420</v>
      </c>
    </row>
    <row r="1793" ht="15.75" customHeight="1">
      <c r="A1793" s="7" t="s">
        <v>143</v>
      </c>
      <c r="B1793" s="7" t="s">
        <v>421</v>
      </c>
    </row>
    <row r="1794" ht="15.75" customHeight="1">
      <c r="A1794" s="7" t="s">
        <v>137</v>
      </c>
      <c r="B1794" s="7" t="s">
        <v>421</v>
      </c>
    </row>
    <row r="1795" ht="15.75" customHeight="1">
      <c r="A1795" s="7" t="s">
        <v>91</v>
      </c>
      <c r="B1795" s="7" t="s">
        <v>421</v>
      </c>
    </row>
    <row r="1796" ht="15.75" customHeight="1">
      <c r="A1796" s="7" t="s">
        <v>72</v>
      </c>
      <c r="B1796" s="7" t="s">
        <v>421</v>
      </c>
    </row>
    <row r="1797" ht="15.75" customHeight="1">
      <c r="A1797" s="7" t="s">
        <v>93</v>
      </c>
      <c r="B1797" s="7" t="s">
        <v>421</v>
      </c>
    </row>
    <row r="1798" ht="15.75" customHeight="1">
      <c r="A1798" s="7" t="s">
        <v>94</v>
      </c>
      <c r="B1798" s="7" t="s">
        <v>421</v>
      </c>
    </row>
    <row r="1799" ht="15.75" customHeight="1">
      <c r="A1799" s="6" t="s">
        <v>910</v>
      </c>
      <c r="B1799" s="6" t="s">
        <v>421</v>
      </c>
    </row>
    <row r="1800" ht="15.75" customHeight="1">
      <c r="A1800" s="7" t="s">
        <v>95</v>
      </c>
      <c r="B1800" s="7" t="s">
        <v>422</v>
      </c>
    </row>
    <row r="1801" ht="15.75" customHeight="1">
      <c r="A1801" s="7" t="s">
        <v>97</v>
      </c>
      <c r="B1801" s="7" t="s">
        <v>422</v>
      </c>
    </row>
    <row r="1802" ht="15.75" customHeight="1">
      <c r="A1802" s="7" t="s">
        <v>104</v>
      </c>
      <c r="B1802" s="7" t="s">
        <v>422</v>
      </c>
    </row>
    <row r="1803" ht="15.75" customHeight="1">
      <c r="A1803" s="7" t="s">
        <v>149</v>
      </c>
      <c r="B1803" s="7" t="s">
        <v>422</v>
      </c>
    </row>
    <row r="1804" ht="15.75" customHeight="1">
      <c r="A1804" s="7" t="s">
        <v>222</v>
      </c>
      <c r="B1804" s="7" t="s">
        <v>422</v>
      </c>
    </row>
    <row r="1805" ht="15.75" customHeight="1">
      <c r="A1805" s="7" t="s">
        <v>171</v>
      </c>
      <c r="B1805" s="7" t="s">
        <v>422</v>
      </c>
    </row>
    <row r="1806" ht="15.75" customHeight="1">
      <c r="A1806" s="6" t="s">
        <v>910</v>
      </c>
      <c r="B1806" s="6" t="s">
        <v>422</v>
      </c>
    </row>
    <row r="1807" ht="15.75" customHeight="1">
      <c r="A1807" s="7" t="s">
        <v>134</v>
      </c>
      <c r="B1807" s="7" t="s">
        <v>423</v>
      </c>
    </row>
    <row r="1808" ht="15.75" customHeight="1">
      <c r="A1808" s="7" t="s">
        <v>183</v>
      </c>
      <c r="B1808" s="7" t="s">
        <v>423</v>
      </c>
    </row>
    <row r="1809" ht="15.75" customHeight="1">
      <c r="A1809" s="7" t="s">
        <v>194</v>
      </c>
      <c r="B1809" s="7" t="s">
        <v>423</v>
      </c>
    </row>
    <row r="1810" ht="15.75" customHeight="1">
      <c r="A1810" s="7" t="s">
        <v>149</v>
      </c>
      <c r="B1810" s="7" t="s">
        <v>423</v>
      </c>
    </row>
    <row r="1811" ht="15.75" customHeight="1">
      <c r="A1811" s="7" t="s">
        <v>162</v>
      </c>
      <c r="B1811" s="7" t="s">
        <v>423</v>
      </c>
    </row>
    <row r="1812" ht="15.75" customHeight="1">
      <c r="A1812" s="7" t="s">
        <v>171</v>
      </c>
      <c r="B1812" s="7" t="s">
        <v>423</v>
      </c>
    </row>
    <row r="1813" ht="15.75" customHeight="1">
      <c r="A1813" s="6" t="s">
        <v>910</v>
      </c>
      <c r="B1813" s="6" t="s">
        <v>423</v>
      </c>
    </row>
    <row r="1814" ht="15.75" customHeight="1">
      <c r="A1814" s="7" t="s">
        <v>226</v>
      </c>
      <c r="B1814" s="7" t="s">
        <v>424</v>
      </c>
    </row>
    <row r="1815" ht="15.75" customHeight="1">
      <c r="A1815" s="7" t="s">
        <v>198</v>
      </c>
      <c r="B1815" s="7" t="s">
        <v>424</v>
      </c>
    </row>
    <row r="1816" ht="15.75" customHeight="1">
      <c r="A1816" s="7" t="s">
        <v>77</v>
      </c>
      <c r="B1816" s="7" t="s">
        <v>424</v>
      </c>
    </row>
    <row r="1817" ht="15.75" customHeight="1">
      <c r="A1817" s="7" t="s">
        <v>99</v>
      </c>
      <c r="B1817" s="7" t="s">
        <v>424</v>
      </c>
    </row>
    <row r="1818" ht="15.75" customHeight="1">
      <c r="A1818" s="7" t="s">
        <v>131</v>
      </c>
      <c r="B1818" s="7" t="s">
        <v>424</v>
      </c>
    </row>
    <row r="1819" ht="15.75" customHeight="1">
      <c r="A1819" s="7" t="s">
        <v>74</v>
      </c>
      <c r="B1819" s="7" t="s">
        <v>424</v>
      </c>
    </row>
    <row r="1820" ht="15.75" customHeight="1">
      <c r="A1820" s="6" t="s">
        <v>910</v>
      </c>
      <c r="B1820" s="6" t="s">
        <v>424</v>
      </c>
    </row>
    <row r="1821" ht="15.75" customHeight="1">
      <c r="A1821" s="7" t="s">
        <v>82</v>
      </c>
      <c r="B1821" s="7" t="s">
        <v>425</v>
      </c>
    </row>
    <row r="1822" ht="15.75" customHeight="1">
      <c r="A1822" s="7" t="s">
        <v>122</v>
      </c>
      <c r="B1822" s="7" t="s">
        <v>425</v>
      </c>
    </row>
    <row r="1823" ht="15.75" customHeight="1">
      <c r="A1823" s="7" t="s">
        <v>78</v>
      </c>
      <c r="B1823" s="7" t="s">
        <v>425</v>
      </c>
    </row>
    <row r="1824" ht="15.75" customHeight="1">
      <c r="A1824" s="7" t="s">
        <v>123</v>
      </c>
      <c r="B1824" s="7" t="s">
        <v>425</v>
      </c>
    </row>
    <row r="1825" ht="15.75" customHeight="1">
      <c r="A1825" s="7" t="s">
        <v>106</v>
      </c>
      <c r="B1825" s="7" t="s">
        <v>425</v>
      </c>
    </row>
    <row r="1826" ht="15.75" customHeight="1">
      <c r="A1826" s="7" t="s">
        <v>107</v>
      </c>
      <c r="B1826" s="7" t="s">
        <v>425</v>
      </c>
    </row>
    <row r="1827" ht="15.75" customHeight="1">
      <c r="A1827" s="6" t="s">
        <v>910</v>
      </c>
      <c r="B1827" s="6" t="s">
        <v>425</v>
      </c>
    </row>
    <row r="1828" ht="15.75" customHeight="1">
      <c r="A1828" s="7" t="s">
        <v>169</v>
      </c>
      <c r="B1828" s="7" t="s">
        <v>426</v>
      </c>
    </row>
    <row r="1829" ht="15.75" customHeight="1">
      <c r="A1829" s="7" t="s">
        <v>183</v>
      </c>
      <c r="B1829" s="7" t="s">
        <v>426</v>
      </c>
    </row>
    <row r="1830" ht="15.75" customHeight="1">
      <c r="A1830" s="7" t="s">
        <v>194</v>
      </c>
      <c r="B1830" s="7" t="s">
        <v>426</v>
      </c>
    </row>
    <row r="1831" ht="15.75" customHeight="1">
      <c r="A1831" s="7" t="s">
        <v>110</v>
      </c>
      <c r="B1831" s="7" t="s">
        <v>426</v>
      </c>
    </row>
    <row r="1832" ht="15.75" customHeight="1">
      <c r="A1832" s="7" t="s">
        <v>162</v>
      </c>
      <c r="B1832" s="7" t="s">
        <v>426</v>
      </c>
    </row>
    <row r="1833" ht="15.75" customHeight="1">
      <c r="A1833" s="7" t="s">
        <v>127</v>
      </c>
      <c r="B1833" s="7" t="s">
        <v>426</v>
      </c>
    </row>
    <row r="1834" ht="15.75" customHeight="1">
      <c r="A1834" s="6" t="s">
        <v>910</v>
      </c>
      <c r="B1834" s="6" t="s">
        <v>426</v>
      </c>
    </row>
    <row r="1835" ht="15.75" customHeight="1">
      <c r="A1835" s="7" t="s">
        <v>148</v>
      </c>
      <c r="B1835" s="7" t="s">
        <v>427</v>
      </c>
    </row>
    <row r="1836" ht="15.75" customHeight="1">
      <c r="A1836" s="7" t="s">
        <v>156</v>
      </c>
      <c r="B1836" s="7" t="s">
        <v>427</v>
      </c>
    </row>
    <row r="1837" ht="15.75" customHeight="1">
      <c r="A1837" s="7" t="s">
        <v>120</v>
      </c>
      <c r="B1837" s="7" t="s">
        <v>427</v>
      </c>
    </row>
    <row r="1838" ht="15.75" customHeight="1">
      <c r="A1838" s="7" t="s">
        <v>86</v>
      </c>
      <c r="B1838" s="7" t="s">
        <v>427</v>
      </c>
    </row>
    <row r="1839" ht="15.75" customHeight="1">
      <c r="A1839" s="7" t="s">
        <v>131</v>
      </c>
      <c r="B1839" s="7" t="s">
        <v>427</v>
      </c>
    </row>
    <row r="1840" ht="15.75" customHeight="1">
      <c r="A1840" s="7" t="s">
        <v>199</v>
      </c>
      <c r="B1840" s="7" t="s">
        <v>427</v>
      </c>
    </row>
    <row r="1841" ht="15.75" customHeight="1">
      <c r="A1841" s="6" t="s">
        <v>910</v>
      </c>
      <c r="B1841" s="6" t="s">
        <v>427</v>
      </c>
    </row>
    <row r="1842" ht="15.75" customHeight="1">
      <c r="A1842" s="7" t="s">
        <v>95</v>
      </c>
      <c r="B1842" s="7" t="s">
        <v>428</v>
      </c>
    </row>
    <row r="1843" ht="15.75" customHeight="1">
      <c r="A1843" s="7" t="s">
        <v>97</v>
      </c>
      <c r="B1843" s="7" t="s">
        <v>428</v>
      </c>
    </row>
    <row r="1844" ht="15.75" customHeight="1">
      <c r="A1844" s="7" t="s">
        <v>104</v>
      </c>
      <c r="B1844" s="7" t="s">
        <v>428</v>
      </c>
    </row>
    <row r="1845" ht="15.75" customHeight="1">
      <c r="A1845" s="7" t="s">
        <v>240</v>
      </c>
      <c r="B1845" s="7" t="s">
        <v>428</v>
      </c>
    </row>
    <row r="1846" ht="15.75" customHeight="1">
      <c r="A1846" s="7" t="s">
        <v>93</v>
      </c>
      <c r="B1846" s="7" t="s">
        <v>428</v>
      </c>
    </row>
    <row r="1847" ht="15.75" customHeight="1">
      <c r="A1847" s="7" t="s">
        <v>241</v>
      </c>
      <c r="B1847" s="7" t="s">
        <v>428</v>
      </c>
    </row>
    <row r="1848" ht="15.75" customHeight="1">
      <c r="A1848" s="6" t="s">
        <v>910</v>
      </c>
      <c r="B1848" s="6" t="s">
        <v>428</v>
      </c>
    </row>
    <row r="1849" ht="15.75" customHeight="1">
      <c r="A1849" s="7" t="s">
        <v>61</v>
      </c>
      <c r="B1849" s="7" t="s">
        <v>429</v>
      </c>
    </row>
    <row r="1850" ht="15.75" customHeight="1">
      <c r="A1850" s="7" t="s">
        <v>95</v>
      </c>
      <c r="B1850" s="7" t="s">
        <v>429</v>
      </c>
    </row>
    <row r="1851" ht="15.75" customHeight="1">
      <c r="A1851" s="7" t="s">
        <v>71</v>
      </c>
      <c r="B1851" s="7" t="s">
        <v>429</v>
      </c>
    </row>
    <row r="1852" ht="15.75" customHeight="1">
      <c r="A1852" s="7" t="s">
        <v>99</v>
      </c>
      <c r="B1852" s="7" t="s">
        <v>429</v>
      </c>
    </row>
    <row r="1853" ht="15.75" customHeight="1">
      <c r="A1853" s="7" t="s">
        <v>93</v>
      </c>
      <c r="B1853" s="7" t="s">
        <v>429</v>
      </c>
    </row>
    <row r="1854" ht="15.75" customHeight="1">
      <c r="A1854" s="7" t="s">
        <v>74</v>
      </c>
      <c r="B1854" s="7" t="s">
        <v>429</v>
      </c>
    </row>
    <row r="1855" ht="15.75" customHeight="1">
      <c r="A1855" s="6" t="s">
        <v>910</v>
      </c>
      <c r="B1855" s="6" t="s">
        <v>429</v>
      </c>
    </row>
    <row r="1856" ht="15.75" customHeight="1">
      <c r="A1856" s="7" t="s">
        <v>61</v>
      </c>
      <c r="B1856" s="7" t="s">
        <v>430</v>
      </c>
    </row>
    <row r="1857" ht="15.75" customHeight="1">
      <c r="A1857" s="7" t="s">
        <v>63</v>
      </c>
      <c r="B1857" s="7" t="s">
        <v>430</v>
      </c>
    </row>
    <row r="1858" ht="15.75" customHeight="1">
      <c r="A1858" s="7" t="s">
        <v>170</v>
      </c>
      <c r="B1858" s="7" t="s">
        <v>430</v>
      </c>
    </row>
    <row r="1859" ht="15.75" customHeight="1">
      <c r="A1859" s="7" t="s">
        <v>240</v>
      </c>
      <c r="B1859" s="7" t="s">
        <v>430</v>
      </c>
    </row>
    <row r="1860" ht="15.75" customHeight="1">
      <c r="A1860" s="7" t="s">
        <v>113</v>
      </c>
      <c r="B1860" s="7" t="s">
        <v>430</v>
      </c>
    </row>
    <row r="1861" ht="15.75" customHeight="1">
      <c r="A1861" s="7" t="s">
        <v>74</v>
      </c>
      <c r="B1861" s="7" t="s">
        <v>430</v>
      </c>
    </row>
    <row r="1862" ht="15.75" customHeight="1">
      <c r="A1862" s="6" t="s">
        <v>910</v>
      </c>
      <c r="B1862" s="6" t="s">
        <v>430</v>
      </c>
    </row>
    <row r="1863" ht="15.75" customHeight="1">
      <c r="A1863" s="6" t="s">
        <v>1126</v>
      </c>
      <c r="B1863" s="6" t="s">
        <v>430</v>
      </c>
    </row>
    <row r="1864" ht="15.75" customHeight="1">
      <c r="A1864" s="7" t="s">
        <v>173</v>
      </c>
      <c r="B1864" s="7" t="s">
        <v>431</v>
      </c>
    </row>
    <row r="1865" ht="15.75" customHeight="1">
      <c r="A1865" s="7" t="s">
        <v>137</v>
      </c>
      <c r="B1865" s="7" t="s">
        <v>431</v>
      </c>
    </row>
    <row r="1866" ht="15.75" customHeight="1">
      <c r="A1866" s="7" t="s">
        <v>178</v>
      </c>
      <c r="B1866" s="7" t="s">
        <v>431</v>
      </c>
    </row>
    <row r="1867" ht="15.75" customHeight="1">
      <c r="A1867" s="7" t="s">
        <v>240</v>
      </c>
      <c r="B1867" s="7" t="s">
        <v>431</v>
      </c>
    </row>
    <row r="1868" ht="15.75" customHeight="1">
      <c r="A1868" s="7" t="s">
        <v>117</v>
      </c>
      <c r="B1868" s="7" t="s">
        <v>431</v>
      </c>
    </row>
    <row r="1869" ht="15.75" customHeight="1">
      <c r="A1869" s="7" t="s">
        <v>81</v>
      </c>
      <c r="B1869" s="7" t="s">
        <v>431</v>
      </c>
    </row>
    <row r="1870" ht="15.75" customHeight="1">
      <c r="A1870" s="6" t="s">
        <v>910</v>
      </c>
      <c r="B1870" s="6" t="s">
        <v>431</v>
      </c>
    </row>
    <row r="1871" ht="15.75" customHeight="1">
      <c r="A1871" s="7" t="s">
        <v>146</v>
      </c>
      <c r="B1871" s="7" t="s">
        <v>432</v>
      </c>
    </row>
    <row r="1872" ht="15.75" customHeight="1">
      <c r="A1872" s="7" t="s">
        <v>70</v>
      </c>
      <c r="B1872" s="7" t="s">
        <v>432</v>
      </c>
    </row>
    <row r="1873" ht="15.75" customHeight="1">
      <c r="A1873" s="7" t="s">
        <v>64</v>
      </c>
      <c r="B1873" s="7" t="s">
        <v>432</v>
      </c>
    </row>
    <row r="1874" ht="15.75" customHeight="1">
      <c r="A1874" s="7" t="s">
        <v>116</v>
      </c>
      <c r="B1874" s="7" t="s">
        <v>432</v>
      </c>
    </row>
    <row r="1875" ht="15.75" customHeight="1">
      <c r="A1875" s="7" t="s">
        <v>80</v>
      </c>
      <c r="B1875" s="7" t="s">
        <v>432</v>
      </c>
    </row>
    <row r="1876" ht="15.75" customHeight="1">
      <c r="A1876" s="7" t="s">
        <v>67</v>
      </c>
      <c r="B1876" s="7" t="s">
        <v>432</v>
      </c>
    </row>
    <row r="1877" ht="15.75" customHeight="1">
      <c r="A1877" s="6" t="s">
        <v>910</v>
      </c>
      <c r="B1877" s="6" t="s">
        <v>432</v>
      </c>
    </row>
    <row r="1878" ht="15.75" customHeight="1">
      <c r="A1878" s="6" t="s">
        <v>1126</v>
      </c>
      <c r="B1878" s="6" t="s">
        <v>432</v>
      </c>
    </row>
    <row r="1879" ht="15.75" customHeight="1">
      <c r="A1879" s="7" t="s">
        <v>70</v>
      </c>
      <c r="B1879" s="7" t="s">
        <v>433</v>
      </c>
    </row>
    <row r="1880" ht="15.75" customHeight="1">
      <c r="A1880" s="7" t="s">
        <v>153</v>
      </c>
      <c r="B1880" s="7" t="s">
        <v>433</v>
      </c>
    </row>
    <row r="1881" ht="15.75" customHeight="1">
      <c r="A1881" s="7" t="s">
        <v>178</v>
      </c>
      <c r="B1881" s="7" t="s">
        <v>433</v>
      </c>
    </row>
    <row r="1882" ht="15.75" customHeight="1">
      <c r="A1882" s="7" t="s">
        <v>86</v>
      </c>
      <c r="B1882" s="7" t="s">
        <v>433</v>
      </c>
    </row>
    <row r="1883" ht="15.75" customHeight="1">
      <c r="A1883" s="7" t="s">
        <v>117</v>
      </c>
      <c r="B1883" s="7" t="s">
        <v>433</v>
      </c>
    </row>
    <row r="1884" ht="15.75" customHeight="1">
      <c r="A1884" s="7" t="s">
        <v>199</v>
      </c>
      <c r="B1884" s="7" t="s">
        <v>433</v>
      </c>
    </row>
    <row r="1885" ht="15.75" customHeight="1">
      <c r="A1885" s="6" t="s">
        <v>910</v>
      </c>
      <c r="B1885" s="6" t="s">
        <v>433</v>
      </c>
    </row>
    <row r="1886" ht="15.75" customHeight="1">
      <c r="A1886" s="7" t="s">
        <v>169</v>
      </c>
      <c r="B1886" s="7" t="s">
        <v>434</v>
      </c>
    </row>
    <row r="1887" ht="15.75" customHeight="1">
      <c r="A1887" s="7" t="s">
        <v>92</v>
      </c>
      <c r="B1887" s="7" t="s">
        <v>434</v>
      </c>
    </row>
    <row r="1888" ht="15.75" customHeight="1">
      <c r="A1888" s="7" t="s">
        <v>71</v>
      </c>
      <c r="B1888" s="7" t="s">
        <v>434</v>
      </c>
    </row>
    <row r="1889" ht="15.75" customHeight="1">
      <c r="A1889" s="7" t="s">
        <v>123</v>
      </c>
      <c r="B1889" s="7" t="s">
        <v>434</v>
      </c>
    </row>
    <row r="1890" ht="15.75" customHeight="1">
      <c r="A1890" s="7" t="s">
        <v>106</v>
      </c>
      <c r="B1890" s="7" t="s">
        <v>434</v>
      </c>
    </row>
    <row r="1891" ht="15.75" customHeight="1">
      <c r="A1891" s="7" t="s">
        <v>158</v>
      </c>
      <c r="B1891" s="7" t="s">
        <v>434</v>
      </c>
    </row>
    <row r="1892" ht="15.75" customHeight="1">
      <c r="A1892" s="6" t="s">
        <v>910</v>
      </c>
      <c r="B1892" s="6" t="s">
        <v>434</v>
      </c>
    </row>
    <row r="1893" ht="15.75" customHeight="1">
      <c r="A1893" s="7" t="s">
        <v>143</v>
      </c>
      <c r="B1893" s="7" t="s">
        <v>435</v>
      </c>
    </row>
    <row r="1894" ht="15.75" customHeight="1">
      <c r="A1894" s="7" t="s">
        <v>63</v>
      </c>
      <c r="B1894" s="7" t="s">
        <v>435</v>
      </c>
    </row>
    <row r="1895" ht="15.75" customHeight="1">
      <c r="A1895" s="7" t="s">
        <v>98</v>
      </c>
      <c r="B1895" s="7" t="s">
        <v>435</v>
      </c>
    </row>
    <row r="1896" ht="15.75" customHeight="1">
      <c r="A1896" s="7" t="s">
        <v>79</v>
      </c>
      <c r="B1896" s="7" t="s">
        <v>435</v>
      </c>
    </row>
    <row r="1897" ht="15.75" customHeight="1">
      <c r="A1897" s="7" t="s">
        <v>66</v>
      </c>
      <c r="B1897" s="7" t="s">
        <v>435</v>
      </c>
    </row>
    <row r="1898" ht="15.75" customHeight="1">
      <c r="A1898" s="7" t="s">
        <v>81</v>
      </c>
      <c r="B1898" s="7" t="s">
        <v>435</v>
      </c>
    </row>
    <row r="1899" ht="15.75" customHeight="1">
      <c r="A1899" s="6" t="s">
        <v>910</v>
      </c>
      <c r="B1899" s="6" t="s">
        <v>435</v>
      </c>
    </row>
    <row r="1900" ht="15.75" customHeight="1">
      <c r="A1900" s="6" t="s">
        <v>1126</v>
      </c>
      <c r="B1900" s="6" t="s">
        <v>435</v>
      </c>
    </row>
    <row r="1901" ht="15.75" customHeight="1">
      <c r="A1901" s="7" t="s">
        <v>226</v>
      </c>
      <c r="B1901" s="7" t="s">
        <v>436</v>
      </c>
    </row>
    <row r="1902" ht="15.75" customHeight="1">
      <c r="A1902" s="7" t="s">
        <v>198</v>
      </c>
      <c r="B1902" s="7" t="s">
        <v>436</v>
      </c>
    </row>
    <row r="1903" ht="15.75" customHeight="1">
      <c r="A1903" s="7" t="s">
        <v>85</v>
      </c>
      <c r="B1903" s="7" t="s">
        <v>436</v>
      </c>
    </row>
    <row r="1904" ht="15.75" customHeight="1">
      <c r="A1904" s="7" t="s">
        <v>166</v>
      </c>
      <c r="B1904" s="7" t="s">
        <v>436</v>
      </c>
    </row>
    <row r="1905" ht="15.75" customHeight="1">
      <c r="A1905" s="7" t="s">
        <v>124</v>
      </c>
      <c r="B1905" s="7" t="s">
        <v>436</v>
      </c>
    </row>
    <row r="1906" ht="15.75" customHeight="1">
      <c r="A1906" s="7" t="s">
        <v>220</v>
      </c>
      <c r="B1906" s="7" t="s">
        <v>436</v>
      </c>
    </row>
    <row r="1907" ht="15.75" customHeight="1">
      <c r="A1907" s="6" t="s">
        <v>910</v>
      </c>
      <c r="B1907" s="6" t="s">
        <v>436</v>
      </c>
    </row>
    <row r="1908" ht="15.75" customHeight="1">
      <c r="A1908" s="7" t="s">
        <v>173</v>
      </c>
      <c r="B1908" s="7" t="s">
        <v>437</v>
      </c>
    </row>
    <row r="1909" ht="15.75" customHeight="1">
      <c r="A1909" s="7" t="s">
        <v>137</v>
      </c>
      <c r="B1909" s="7" t="s">
        <v>437</v>
      </c>
    </row>
    <row r="1910" ht="15.75" customHeight="1">
      <c r="A1910" s="7" t="s">
        <v>120</v>
      </c>
      <c r="B1910" s="7" t="s">
        <v>437</v>
      </c>
    </row>
    <row r="1911" ht="15.75" customHeight="1">
      <c r="A1911" s="7" t="s">
        <v>65</v>
      </c>
      <c r="B1911" s="7" t="s">
        <v>437</v>
      </c>
    </row>
    <row r="1912" ht="15.75" customHeight="1">
      <c r="A1912" s="7" t="s">
        <v>131</v>
      </c>
      <c r="B1912" s="7" t="s">
        <v>437</v>
      </c>
    </row>
    <row r="1913" ht="15.75" customHeight="1">
      <c r="A1913" s="7" t="s">
        <v>67</v>
      </c>
      <c r="B1913" s="7" t="s">
        <v>437</v>
      </c>
    </row>
    <row r="1914" ht="15.75" customHeight="1">
      <c r="A1914" s="6" t="s">
        <v>910</v>
      </c>
      <c r="B1914" s="6" t="s">
        <v>437</v>
      </c>
    </row>
    <row r="1915" ht="15.75" customHeight="1">
      <c r="A1915" s="7" t="s">
        <v>169</v>
      </c>
      <c r="B1915" s="7" t="s">
        <v>438</v>
      </c>
    </row>
    <row r="1916" ht="15.75" customHeight="1">
      <c r="A1916" s="7" t="s">
        <v>109</v>
      </c>
      <c r="B1916" s="7" t="s">
        <v>438</v>
      </c>
    </row>
    <row r="1917" ht="15.75" customHeight="1">
      <c r="A1917" s="7" t="s">
        <v>178</v>
      </c>
      <c r="B1917" s="7" t="s">
        <v>438</v>
      </c>
    </row>
    <row r="1918" ht="15.75" customHeight="1">
      <c r="A1918" s="7" t="s">
        <v>240</v>
      </c>
      <c r="B1918" s="7" t="s">
        <v>438</v>
      </c>
    </row>
    <row r="1919" ht="15.75" customHeight="1">
      <c r="A1919" s="7" t="s">
        <v>208</v>
      </c>
      <c r="B1919" s="7" t="s">
        <v>438</v>
      </c>
    </row>
    <row r="1920" ht="15.75" customHeight="1">
      <c r="A1920" s="7" t="s">
        <v>74</v>
      </c>
      <c r="B1920" s="7" t="s">
        <v>438</v>
      </c>
    </row>
    <row r="1921" ht="15.75" customHeight="1">
      <c r="A1921" s="6" t="s">
        <v>910</v>
      </c>
      <c r="B1921" s="6" t="s">
        <v>438</v>
      </c>
    </row>
    <row r="1922" ht="15.75" customHeight="1">
      <c r="A1922" s="7" t="s">
        <v>148</v>
      </c>
      <c r="B1922" s="7" t="s">
        <v>439</v>
      </c>
    </row>
    <row r="1923" ht="15.75" customHeight="1">
      <c r="A1923" s="7" t="s">
        <v>183</v>
      </c>
      <c r="B1923" s="7" t="s">
        <v>439</v>
      </c>
    </row>
    <row r="1924" ht="15.75" customHeight="1">
      <c r="A1924" s="7" t="s">
        <v>109</v>
      </c>
      <c r="B1924" s="7" t="s">
        <v>439</v>
      </c>
    </row>
    <row r="1925" ht="15.75" customHeight="1">
      <c r="A1925" s="7" t="s">
        <v>99</v>
      </c>
      <c r="B1925" s="7" t="s">
        <v>439</v>
      </c>
    </row>
    <row r="1926" ht="15.75" customHeight="1">
      <c r="A1926" s="7" t="s">
        <v>73</v>
      </c>
      <c r="B1926" s="7" t="s">
        <v>439</v>
      </c>
    </row>
    <row r="1927" ht="15.75" customHeight="1">
      <c r="A1927" s="7" t="s">
        <v>81</v>
      </c>
      <c r="B1927" s="7" t="s">
        <v>439</v>
      </c>
    </row>
    <row r="1928" ht="15.75" customHeight="1">
      <c r="A1928" s="6" t="s">
        <v>910</v>
      </c>
      <c r="B1928" s="6" t="s">
        <v>439</v>
      </c>
    </row>
    <row r="1929" ht="15.75" customHeight="1">
      <c r="A1929" s="7" t="s">
        <v>100</v>
      </c>
      <c r="B1929" s="7" t="s">
        <v>440</v>
      </c>
    </row>
    <row r="1930" ht="15.75" customHeight="1">
      <c r="A1930" s="7" t="s">
        <v>137</v>
      </c>
      <c r="B1930" s="7" t="s">
        <v>440</v>
      </c>
    </row>
    <row r="1931" ht="15.75" customHeight="1">
      <c r="A1931" s="7" t="s">
        <v>78</v>
      </c>
      <c r="B1931" s="7" t="s">
        <v>440</v>
      </c>
    </row>
    <row r="1932" ht="15.75" customHeight="1">
      <c r="A1932" s="7" t="s">
        <v>176</v>
      </c>
      <c r="B1932" s="7" t="s">
        <v>440</v>
      </c>
    </row>
    <row r="1933" ht="15.75" customHeight="1">
      <c r="A1933" s="7" t="s">
        <v>181</v>
      </c>
      <c r="B1933" s="7" t="s">
        <v>440</v>
      </c>
    </row>
    <row r="1934" ht="15.75" customHeight="1">
      <c r="A1934" s="7" t="s">
        <v>145</v>
      </c>
      <c r="B1934" s="7" t="s">
        <v>440</v>
      </c>
    </row>
    <row r="1935" ht="15.75" customHeight="1">
      <c r="A1935" s="6" t="s">
        <v>910</v>
      </c>
      <c r="B1935" s="6" t="s">
        <v>440</v>
      </c>
    </row>
    <row r="1936" ht="15.75" customHeight="1">
      <c r="A1936" s="7" t="s">
        <v>148</v>
      </c>
      <c r="B1936" s="7" t="s">
        <v>441</v>
      </c>
    </row>
    <row r="1937" ht="15.75" customHeight="1">
      <c r="A1937" s="7" t="s">
        <v>85</v>
      </c>
      <c r="B1937" s="7" t="s">
        <v>441</v>
      </c>
    </row>
    <row r="1938" ht="15.75" customHeight="1">
      <c r="A1938" s="7" t="s">
        <v>120</v>
      </c>
      <c r="B1938" s="7" t="s">
        <v>441</v>
      </c>
    </row>
    <row r="1939" ht="15.75" customHeight="1">
      <c r="A1939" s="7" t="s">
        <v>86</v>
      </c>
      <c r="B1939" s="7" t="s">
        <v>441</v>
      </c>
    </row>
    <row r="1940" ht="15.75" customHeight="1">
      <c r="A1940" s="7" t="s">
        <v>142</v>
      </c>
      <c r="B1940" s="7" t="s">
        <v>441</v>
      </c>
    </row>
    <row r="1941" ht="15.75" customHeight="1">
      <c r="A1941" s="7" t="s">
        <v>154</v>
      </c>
      <c r="B1941" s="7" t="s">
        <v>441</v>
      </c>
    </row>
    <row r="1942" ht="15.75" customHeight="1">
      <c r="A1942" s="6" t="s">
        <v>910</v>
      </c>
      <c r="B1942" s="6" t="s">
        <v>441</v>
      </c>
    </row>
    <row r="1943" ht="15.75" customHeight="1">
      <c r="A1943" s="7" t="s">
        <v>169</v>
      </c>
      <c r="B1943" s="7" t="s">
        <v>442</v>
      </c>
    </row>
    <row r="1944" ht="15.75" customHeight="1">
      <c r="A1944" s="7" t="s">
        <v>77</v>
      </c>
      <c r="B1944" s="7" t="s">
        <v>442</v>
      </c>
    </row>
    <row r="1945" ht="15.75" customHeight="1">
      <c r="A1945" s="7" t="s">
        <v>170</v>
      </c>
      <c r="B1945" s="7" t="s">
        <v>442</v>
      </c>
    </row>
    <row r="1946" ht="15.75" customHeight="1">
      <c r="A1946" s="7" t="s">
        <v>240</v>
      </c>
      <c r="B1946" s="7" t="s">
        <v>442</v>
      </c>
    </row>
    <row r="1947" ht="15.75" customHeight="1">
      <c r="A1947" s="7" t="s">
        <v>117</v>
      </c>
      <c r="B1947" s="7" t="s">
        <v>442</v>
      </c>
    </row>
    <row r="1948" ht="15.75" customHeight="1">
      <c r="A1948" s="7" t="s">
        <v>241</v>
      </c>
      <c r="B1948" s="7" t="s">
        <v>442</v>
      </c>
    </row>
    <row r="1949" ht="15.75" customHeight="1">
      <c r="A1949" s="7" t="s">
        <v>114</v>
      </c>
      <c r="B1949" s="7" t="s">
        <v>443</v>
      </c>
    </row>
    <row r="1950" ht="15.75" customHeight="1">
      <c r="A1950" s="7" t="s">
        <v>169</v>
      </c>
      <c r="B1950" s="7" t="s">
        <v>443</v>
      </c>
    </row>
    <row r="1951" ht="15.75" customHeight="1">
      <c r="A1951" s="7" t="s">
        <v>175</v>
      </c>
      <c r="B1951" s="7" t="s">
        <v>443</v>
      </c>
    </row>
    <row r="1952" ht="15.75" customHeight="1">
      <c r="A1952" s="7" t="s">
        <v>99</v>
      </c>
      <c r="B1952" s="7" t="s">
        <v>443</v>
      </c>
    </row>
    <row r="1953" ht="15.75" customHeight="1">
      <c r="A1953" s="7" t="s">
        <v>208</v>
      </c>
      <c r="B1953" s="7" t="s">
        <v>443</v>
      </c>
    </row>
    <row r="1954" ht="15.75" customHeight="1">
      <c r="A1954" s="7" t="s">
        <v>94</v>
      </c>
      <c r="B1954" s="7" t="s">
        <v>443</v>
      </c>
    </row>
    <row r="1955" ht="15.75" customHeight="1">
      <c r="A1955" s="6" t="s">
        <v>910</v>
      </c>
      <c r="B1955" s="6" t="s">
        <v>443</v>
      </c>
    </row>
    <row r="1956" ht="15.75" customHeight="1">
      <c r="A1956" s="7" t="s">
        <v>226</v>
      </c>
      <c r="B1956" s="7" t="s">
        <v>444</v>
      </c>
    </row>
    <row r="1957" ht="15.75" customHeight="1">
      <c r="A1957" s="7" t="s">
        <v>198</v>
      </c>
      <c r="B1957" s="7" t="s">
        <v>444</v>
      </c>
    </row>
    <row r="1958" ht="15.75" customHeight="1">
      <c r="A1958" s="7" t="s">
        <v>156</v>
      </c>
      <c r="B1958" s="7" t="s">
        <v>444</v>
      </c>
    </row>
    <row r="1959" ht="15.75" customHeight="1">
      <c r="A1959" s="7" t="s">
        <v>157</v>
      </c>
      <c r="B1959" s="7" t="s">
        <v>444</v>
      </c>
    </row>
    <row r="1960" ht="15.75" customHeight="1">
      <c r="A1960" s="7" t="s">
        <v>162</v>
      </c>
      <c r="B1960" s="7" t="s">
        <v>444</v>
      </c>
    </row>
    <row r="1961" ht="15.75" customHeight="1">
      <c r="A1961" s="7" t="s">
        <v>111</v>
      </c>
      <c r="B1961" s="7" t="s">
        <v>444</v>
      </c>
    </row>
    <row r="1962" ht="15.75" customHeight="1">
      <c r="A1962" s="7" t="s">
        <v>146</v>
      </c>
      <c r="B1962" s="7" t="s">
        <v>445</v>
      </c>
    </row>
    <row r="1963" ht="15.75" customHeight="1">
      <c r="A1963" s="7" t="s">
        <v>148</v>
      </c>
      <c r="B1963" s="7" t="s">
        <v>445</v>
      </c>
    </row>
    <row r="1964" ht="15.75" customHeight="1">
      <c r="A1964" s="7" t="s">
        <v>78</v>
      </c>
      <c r="B1964" s="7" t="s">
        <v>445</v>
      </c>
    </row>
    <row r="1965" ht="15.75" customHeight="1">
      <c r="A1965" s="7" t="s">
        <v>110</v>
      </c>
      <c r="B1965" s="7" t="s">
        <v>445</v>
      </c>
    </row>
    <row r="1966" ht="15.75" customHeight="1">
      <c r="A1966" s="7" t="s">
        <v>164</v>
      </c>
      <c r="B1966" s="7" t="s">
        <v>445</v>
      </c>
    </row>
    <row r="1967" ht="15.75" customHeight="1">
      <c r="A1967" s="7" t="s">
        <v>107</v>
      </c>
      <c r="B1967" s="7" t="s">
        <v>445</v>
      </c>
    </row>
    <row r="1968" ht="15.75" customHeight="1">
      <c r="A1968" s="6" t="s">
        <v>910</v>
      </c>
      <c r="B1968" s="6" t="s">
        <v>445</v>
      </c>
    </row>
    <row r="1969" ht="15.75" customHeight="1">
      <c r="A1969" s="7" t="s">
        <v>61</v>
      </c>
      <c r="B1969" s="7" t="s">
        <v>446</v>
      </c>
    </row>
    <row r="1970" ht="15.75" customHeight="1">
      <c r="A1970" s="7" t="s">
        <v>215</v>
      </c>
      <c r="B1970" s="7" t="s">
        <v>446</v>
      </c>
    </row>
    <row r="1971" ht="15.75" customHeight="1">
      <c r="A1971" s="7" t="s">
        <v>153</v>
      </c>
      <c r="B1971" s="7" t="s">
        <v>446</v>
      </c>
    </row>
    <row r="1972" ht="15.75" customHeight="1">
      <c r="A1972" s="7" t="s">
        <v>157</v>
      </c>
      <c r="B1972" s="7" t="s">
        <v>446</v>
      </c>
    </row>
    <row r="1973" ht="15.75" customHeight="1">
      <c r="A1973" s="7" t="s">
        <v>126</v>
      </c>
      <c r="B1973" s="7" t="s">
        <v>446</v>
      </c>
    </row>
    <row r="1974" ht="15.75" customHeight="1">
      <c r="A1974" s="7" t="s">
        <v>145</v>
      </c>
      <c r="B1974" s="7" t="s">
        <v>446</v>
      </c>
    </row>
    <row r="1975" ht="15.75" customHeight="1">
      <c r="A1975" s="6" t="s">
        <v>910</v>
      </c>
      <c r="B1975" s="6" t="s">
        <v>446</v>
      </c>
    </row>
    <row r="1976" ht="15.75" customHeight="1">
      <c r="A1976" s="6" t="s">
        <v>910</v>
      </c>
      <c r="B1976" s="6" t="s">
        <v>2535</v>
      </c>
    </row>
    <row r="1977" ht="15.75" customHeight="1">
      <c r="A1977" s="7" t="s">
        <v>82</v>
      </c>
      <c r="B1977" s="7" t="s">
        <v>447</v>
      </c>
    </row>
    <row r="1978" ht="15.75" customHeight="1">
      <c r="A1978" s="7" t="s">
        <v>84</v>
      </c>
      <c r="B1978" s="7" t="s">
        <v>447</v>
      </c>
    </row>
    <row r="1979" ht="15.75" customHeight="1">
      <c r="A1979" s="7" t="s">
        <v>122</v>
      </c>
      <c r="B1979" s="7" t="s">
        <v>447</v>
      </c>
    </row>
    <row r="1980" ht="15.75" customHeight="1">
      <c r="A1980" s="7" t="s">
        <v>123</v>
      </c>
      <c r="B1980" s="7" t="s">
        <v>447</v>
      </c>
    </row>
    <row r="1981" ht="15.75" customHeight="1">
      <c r="A1981" s="7" t="s">
        <v>196</v>
      </c>
      <c r="B1981" s="7" t="s">
        <v>447</v>
      </c>
    </row>
    <row r="1982" ht="15.75" customHeight="1">
      <c r="A1982" s="7" t="s">
        <v>111</v>
      </c>
      <c r="B1982" s="7" t="s">
        <v>447</v>
      </c>
    </row>
    <row r="1983" ht="15.75" customHeight="1">
      <c r="A1983" s="6" t="s">
        <v>910</v>
      </c>
      <c r="B1983" s="6" t="s">
        <v>447</v>
      </c>
    </row>
    <row r="1984" ht="15.75" customHeight="1">
      <c r="A1984" s="7" t="s">
        <v>70</v>
      </c>
      <c r="B1984" s="7" t="s">
        <v>448</v>
      </c>
    </row>
    <row r="1985" ht="15.75" customHeight="1">
      <c r="A1985" s="7" t="s">
        <v>109</v>
      </c>
      <c r="B1985" s="7" t="s">
        <v>448</v>
      </c>
    </row>
    <row r="1986" ht="15.75" customHeight="1">
      <c r="A1986" s="7" t="s">
        <v>71</v>
      </c>
      <c r="B1986" s="7" t="s">
        <v>448</v>
      </c>
    </row>
    <row r="1987" ht="15.75" customHeight="1">
      <c r="A1987" s="7" t="s">
        <v>79</v>
      </c>
      <c r="B1987" s="7" t="s">
        <v>448</v>
      </c>
    </row>
    <row r="1988" ht="15.75" customHeight="1">
      <c r="A1988" s="7" t="s">
        <v>113</v>
      </c>
      <c r="B1988" s="7" t="s">
        <v>448</v>
      </c>
    </row>
    <row r="1989" ht="15.75" customHeight="1">
      <c r="A1989" s="7" t="s">
        <v>81</v>
      </c>
      <c r="B1989" s="7" t="s">
        <v>448</v>
      </c>
    </row>
    <row r="1990" ht="15.75" customHeight="1">
      <c r="A1990" s="6" t="s">
        <v>910</v>
      </c>
      <c r="B1990" s="6" t="s">
        <v>448</v>
      </c>
    </row>
    <row r="1991" ht="15.75" customHeight="1">
      <c r="A1991" s="6" t="s">
        <v>1126</v>
      </c>
      <c r="B1991" s="6" t="s">
        <v>448</v>
      </c>
    </row>
    <row r="1992" ht="15.75" customHeight="1">
      <c r="A1992" s="7" t="s">
        <v>89</v>
      </c>
      <c r="B1992" s="7" t="s">
        <v>449</v>
      </c>
    </row>
    <row r="1993" ht="15.75" customHeight="1">
      <c r="A1993" s="7" t="s">
        <v>114</v>
      </c>
      <c r="B1993" s="7" t="s">
        <v>449</v>
      </c>
    </row>
    <row r="1994" ht="15.75" customHeight="1">
      <c r="A1994" s="7" t="s">
        <v>178</v>
      </c>
      <c r="B1994" s="7" t="s">
        <v>449</v>
      </c>
    </row>
    <row r="1995" ht="15.75" customHeight="1">
      <c r="A1995" s="7" t="s">
        <v>72</v>
      </c>
      <c r="B1995" s="7" t="s">
        <v>449</v>
      </c>
    </row>
    <row r="1996" ht="15.75" customHeight="1">
      <c r="A1996" s="7" t="s">
        <v>113</v>
      </c>
      <c r="B1996" s="7" t="s">
        <v>449</v>
      </c>
    </row>
    <row r="1997" ht="15.75" customHeight="1">
      <c r="A1997" s="7" t="s">
        <v>94</v>
      </c>
      <c r="B1997" s="7" t="s">
        <v>449</v>
      </c>
    </row>
    <row r="1998" ht="15.75" customHeight="1">
      <c r="A1998" s="6" t="s">
        <v>910</v>
      </c>
      <c r="B1998" s="6" t="s">
        <v>449</v>
      </c>
    </row>
    <row r="1999" ht="15.75" customHeight="1">
      <c r="A1999" s="6" t="s">
        <v>1126</v>
      </c>
      <c r="B1999" s="6" t="s">
        <v>449</v>
      </c>
    </row>
    <row r="2000" ht="15.75" customHeight="1">
      <c r="A2000" s="7" t="s">
        <v>61</v>
      </c>
      <c r="B2000" s="7" t="s">
        <v>450</v>
      </c>
    </row>
    <row r="2001" ht="15.75" customHeight="1">
      <c r="A2001" s="7" t="s">
        <v>102</v>
      </c>
      <c r="B2001" s="7" t="s">
        <v>450</v>
      </c>
    </row>
    <row r="2002" ht="15.75" customHeight="1">
      <c r="A2002" s="7" t="s">
        <v>85</v>
      </c>
      <c r="B2002" s="7" t="s">
        <v>450</v>
      </c>
    </row>
    <row r="2003" ht="15.75" customHeight="1">
      <c r="A2003" s="7" t="s">
        <v>99</v>
      </c>
      <c r="B2003" s="7" t="s">
        <v>450</v>
      </c>
    </row>
    <row r="2004" ht="15.75" customHeight="1">
      <c r="A2004" s="7" t="s">
        <v>66</v>
      </c>
      <c r="B2004" s="7" t="s">
        <v>450</v>
      </c>
    </row>
    <row r="2005" ht="15.75" customHeight="1">
      <c r="A2005" s="7" t="s">
        <v>94</v>
      </c>
      <c r="B2005" s="7" t="s">
        <v>450</v>
      </c>
    </row>
    <row r="2006" ht="15.75" customHeight="1">
      <c r="A2006" s="6" t="s">
        <v>910</v>
      </c>
      <c r="B2006" s="6" t="s">
        <v>450</v>
      </c>
    </row>
    <row r="2007" ht="15.75" customHeight="1">
      <c r="A2007" s="6" t="s">
        <v>1126</v>
      </c>
      <c r="B2007" s="6" t="s">
        <v>450</v>
      </c>
    </row>
    <row r="2008" ht="15.75" customHeight="1">
      <c r="A2008" s="7" t="s">
        <v>82</v>
      </c>
      <c r="B2008" s="7" t="s">
        <v>451</v>
      </c>
    </row>
    <row r="2009" ht="15.75" customHeight="1">
      <c r="A2009" s="7" t="s">
        <v>64</v>
      </c>
      <c r="B2009" s="7" t="s">
        <v>451</v>
      </c>
    </row>
    <row r="2010" ht="15.75" customHeight="1">
      <c r="A2010" s="7" t="s">
        <v>85</v>
      </c>
      <c r="B2010" s="7" t="s">
        <v>451</v>
      </c>
    </row>
    <row r="2011" ht="15.75" customHeight="1">
      <c r="A2011" s="7" t="s">
        <v>207</v>
      </c>
      <c r="B2011" s="7" t="s">
        <v>451</v>
      </c>
    </row>
    <row r="2012" ht="15.75" customHeight="1">
      <c r="A2012" s="7" t="s">
        <v>87</v>
      </c>
      <c r="B2012" s="7" t="s">
        <v>451</v>
      </c>
    </row>
    <row r="2013" ht="15.75" customHeight="1">
      <c r="A2013" s="7" t="s">
        <v>185</v>
      </c>
      <c r="B2013" s="7" t="s">
        <v>451</v>
      </c>
    </row>
    <row r="2014" ht="15.75" customHeight="1">
      <c r="A2014" s="6" t="s">
        <v>910</v>
      </c>
      <c r="B2014" s="6" t="s">
        <v>451</v>
      </c>
    </row>
    <row r="2015" ht="15.75" customHeight="1">
      <c r="A2015" s="6" t="s">
        <v>1126</v>
      </c>
      <c r="B2015" s="6" t="s">
        <v>451</v>
      </c>
    </row>
    <row r="2016" ht="15.75" customHeight="1">
      <c r="A2016" s="7" t="s">
        <v>100</v>
      </c>
      <c r="B2016" s="7" t="s">
        <v>452</v>
      </c>
    </row>
    <row r="2017" ht="15.75" customHeight="1">
      <c r="A2017" s="7" t="s">
        <v>153</v>
      </c>
      <c r="B2017" s="7" t="s">
        <v>452</v>
      </c>
    </row>
    <row r="2018" ht="15.75" customHeight="1">
      <c r="A2018" s="7" t="s">
        <v>141</v>
      </c>
      <c r="B2018" s="7" t="s">
        <v>452</v>
      </c>
    </row>
    <row r="2019" ht="15.75" customHeight="1">
      <c r="A2019" s="7" t="s">
        <v>157</v>
      </c>
      <c r="B2019" s="7" t="s">
        <v>452</v>
      </c>
    </row>
    <row r="2020" ht="15.75" customHeight="1">
      <c r="A2020" s="7" t="s">
        <v>196</v>
      </c>
      <c r="B2020" s="7" t="s">
        <v>452</v>
      </c>
    </row>
    <row r="2021" ht="15.75" customHeight="1">
      <c r="A2021" s="7" t="s">
        <v>111</v>
      </c>
      <c r="B2021" s="7" t="s">
        <v>452</v>
      </c>
    </row>
    <row r="2022" ht="15.75" customHeight="1">
      <c r="A2022" s="6" t="s">
        <v>910</v>
      </c>
      <c r="B2022" s="6" t="s">
        <v>452</v>
      </c>
    </row>
    <row r="2023" ht="15.75" customHeight="1">
      <c r="A2023" s="7" t="s">
        <v>159</v>
      </c>
      <c r="B2023" s="7" t="s">
        <v>453</v>
      </c>
    </row>
    <row r="2024" ht="15.75" customHeight="1">
      <c r="A2024" s="7" t="s">
        <v>134</v>
      </c>
      <c r="B2024" s="7" t="s">
        <v>453</v>
      </c>
    </row>
    <row r="2025" ht="15.75" customHeight="1">
      <c r="A2025" s="7" t="s">
        <v>183</v>
      </c>
      <c r="B2025" s="7" t="s">
        <v>453</v>
      </c>
    </row>
    <row r="2026" ht="15.75" customHeight="1">
      <c r="A2026" s="7" t="s">
        <v>86</v>
      </c>
      <c r="B2026" s="7" t="s">
        <v>453</v>
      </c>
    </row>
    <row r="2027" ht="15.75" customHeight="1">
      <c r="A2027" s="7" t="s">
        <v>131</v>
      </c>
      <c r="B2027" s="7" t="s">
        <v>453</v>
      </c>
    </row>
    <row r="2028" ht="15.75" customHeight="1">
      <c r="A2028" s="7" t="s">
        <v>154</v>
      </c>
      <c r="B2028" s="7" t="s">
        <v>453</v>
      </c>
    </row>
    <row r="2029" ht="15.75" customHeight="1">
      <c r="A2029" s="6" t="s">
        <v>910</v>
      </c>
      <c r="B2029" s="6" t="s">
        <v>453</v>
      </c>
    </row>
    <row r="2030" ht="15.75" customHeight="1">
      <c r="A2030" s="7" t="s">
        <v>146</v>
      </c>
      <c r="B2030" s="7" t="s">
        <v>454</v>
      </c>
    </row>
    <row r="2031" ht="15.75" customHeight="1">
      <c r="A2031" s="7" t="s">
        <v>169</v>
      </c>
      <c r="B2031" s="7" t="s">
        <v>454</v>
      </c>
    </row>
    <row r="2032" ht="15.75" customHeight="1">
      <c r="A2032" s="7" t="s">
        <v>198</v>
      </c>
      <c r="B2032" s="7" t="s">
        <v>454</v>
      </c>
    </row>
    <row r="2033" ht="15.75" customHeight="1">
      <c r="A2033" s="7" t="s">
        <v>99</v>
      </c>
      <c r="B2033" s="7" t="s">
        <v>454</v>
      </c>
    </row>
    <row r="2034" ht="15.75" customHeight="1">
      <c r="A2034" s="7" t="s">
        <v>131</v>
      </c>
      <c r="B2034" s="7" t="s">
        <v>454</v>
      </c>
    </row>
    <row r="2035" ht="15.75" customHeight="1">
      <c r="A2035" s="7" t="s">
        <v>94</v>
      </c>
      <c r="B2035" s="7" t="s">
        <v>454</v>
      </c>
    </row>
    <row r="2036" ht="15.75" customHeight="1">
      <c r="A2036" s="6" t="s">
        <v>910</v>
      </c>
      <c r="B2036" s="6" t="s">
        <v>454</v>
      </c>
    </row>
    <row r="2037" ht="15.75" customHeight="1">
      <c r="A2037" s="7" t="s">
        <v>97</v>
      </c>
      <c r="B2037" s="7" t="s">
        <v>455</v>
      </c>
    </row>
    <row r="2038" ht="15.75" customHeight="1">
      <c r="A2038" s="7" t="s">
        <v>64</v>
      </c>
      <c r="B2038" s="7" t="s">
        <v>455</v>
      </c>
    </row>
    <row r="2039" ht="15.75" customHeight="1">
      <c r="A2039" s="7" t="s">
        <v>85</v>
      </c>
      <c r="B2039" s="7" t="s">
        <v>455</v>
      </c>
    </row>
    <row r="2040" ht="15.75" customHeight="1">
      <c r="A2040" s="7" t="s">
        <v>184</v>
      </c>
      <c r="B2040" s="7" t="s">
        <v>455</v>
      </c>
    </row>
    <row r="2041" ht="15.75" customHeight="1">
      <c r="A2041" s="7" t="s">
        <v>113</v>
      </c>
      <c r="B2041" s="7" t="s">
        <v>455</v>
      </c>
    </row>
    <row r="2042" ht="15.75" customHeight="1">
      <c r="A2042" s="7" t="s">
        <v>199</v>
      </c>
      <c r="B2042" s="7" t="s">
        <v>455</v>
      </c>
    </row>
    <row r="2043" ht="15.75" customHeight="1">
      <c r="A2043" s="6" t="s">
        <v>910</v>
      </c>
      <c r="B2043" s="6" t="s">
        <v>455</v>
      </c>
    </row>
    <row r="2044" ht="15.75" customHeight="1">
      <c r="A2044" s="6" t="s">
        <v>1126</v>
      </c>
      <c r="B2044" s="6" t="s">
        <v>455</v>
      </c>
    </row>
    <row r="2045" ht="15.75" customHeight="1">
      <c r="A2045" s="7" t="s">
        <v>190</v>
      </c>
      <c r="B2045" s="7" t="s">
        <v>456</v>
      </c>
    </row>
    <row r="2046" ht="15.75" customHeight="1">
      <c r="A2046" s="7" t="s">
        <v>92</v>
      </c>
      <c r="B2046" s="7" t="s">
        <v>456</v>
      </c>
    </row>
    <row r="2047" ht="15.75" customHeight="1">
      <c r="A2047" s="7" t="s">
        <v>178</v>
      </c>
      <c r="B2047" s="7" t="s">
        <v>456</v>
      </c>
    </row>
    <row r="2048" ht="15.75" customHeight="1">
      <c r="A2048" s="7" t="s">
        <v>207</v>
      </c>
      <c r="B2048" s="7" t="s">
        <v>456</v>
      </c>
    </row>
    <row r="2049" ht="15.75" customHeight="1">
      <c r="A2049" s="7" t="s">
        <v>131</v>
      </c>
      <c r="B2049" s="7" t="s">
        <v>456</v>
      </c>
    </row>
    <row r="2050" ht="15.75" customHeight="1">
      <c r="A2050" s="7" t="s">
        <v>199</v>
      </c>
      <c r="B2050" s="7" t="s">
        <v>456</v>
      </c>
    </row>
    <row r="2051" ht="15.75" customHeight="1">
      <c r="A2051" s="6" t="s">
        <v>910</v>
      </c>
      <c r="B2051" s="6" t="s">
        <v>456</v>
      </c>
    </row>
    <row r="2052" ht="15.75" customHeight="1">
      <c r="A2052" s="7" t="s">
        <v>146</v>
      </c>
      <c r="B2052" s="7" t="s">
        <v>457</v>
      </c>
    </row>
    <row r="2053" ht="15.75" customHeight="1">
      <c r="A2053" s="7" t="s">
        <v>82</v>
      </c>
      <c r="B2053" s="7" t="s">
        <v>457</v>
      </c>
    </row>
    <row r="2054" ht="15.75" customHeight="1">
      <c r="A2054" s="7" t="s">
        <v>120</v>
      </c>
      <c r="B2054" s="7" t="s">
        <v>457</v>
      </c>
    </row>
    <row r="2055" ht="15.75" customHeight="1">
      <c r="A2055" s="7" t="s">
        <v>65</v>
      </c>
      <c r="B2055" s="7" t="s">
        <v>457</v>
      </c>
    </row>
    <row r="2056" ht="15.75" customHeight="1">
      <c r="A2056" s="7" t="s">
        <v>142</v>
      </c>
      <c r="B2056" s="7" t="s">
        <v>457</v>
      </c>
    </row>
    <row r="2057" ht="15.75" customHeight="1">
      <c r="A2057" s="7" t="s">
        <v>154</v>
      </c>
      <c r="B2057" s="7" t="s">
        <v>457</v>
      </c>
    </row>
    <row r="2058" ht="15.75" customHeight="1">
      <c r="A2058" s="6" t="s">
        <v>910</v>
      </c>
      <c r="B2058" s="6" t="s">
        <v>457</v>
      </c>
    </row>
    <row r="2059" ht="15.75" customHeight="1">
      <c r="A2059" s="7" t="s">
        <v>63</v>
      </c>
      <c r="B2059" s="7" t="s">
        <v>458</v>
      </c>
    </row>
    <row r="2060" ht="15.75" customHeight="1">
      <c r="A2060" s="7" t="s">
        <v>100</v>
      </c>
      <c r="B2060" s="7" t="s">
        <v>458</v>
      </c>
    </row>
    <row r="2061" ht="15.75" customHeight="1">
      <c r="A2061" s="7" t="s">
        <v>104</v>
      </c>
      <c r="B2061" s="7" t="s">
        <v>458</v>
      </c>
    </row>
    <row r="2062" ht="15.75" customHeight="1">
      <c r="A2062" s="7" t="s">
        <v>211</v>
      </c>
      <c r="B2062" s="7" t="s">
        <v>458</v>
      </c>
    </row>
    <row r="2063" ht="15.75" customHeight="1">
      <c r="A2063" s="7" t="s">
        <v>181</v>
      </c>
      <c r="B2063" s="7" t="s">
        <v>458</v>
      </c>
    </row>
    <row r="2064" ht="15.75" customHeight="1">
      <c r="A2064" s="7" t="s">
        <v>139</v>
      </c>
      <c r="B2064" s="7" t="s">
        <v>458</v>
      </c>
    </row>
    <row r="2065" ht="15.75" customHeight="1">
      <c r="A2065" s="6" t="s">
        <v>910</v>
      </c>
      <c r="B2065" s="6" t="s">
        <v>458</v>
      </c>
    </row>
    <row r="2066" ht="15.75" customHeight="1">
      <c r="A2066" s="7" t="s">
        <v>169</v>
      </c>
      <c r="B2066" s="7" t="s">
        <v>459</v>
      </c>
    </row>
    <row r="2067" ht="15.75" customHeight="1">
      <c r="A2067" s="7" t="s">
        <v>153</v>
      </c>
      <c r="B2067" s="7" t="s">
        <v>459</v>
      </c>
    </row>
    <row r="2068" ht="15.75" customHeight="1">
      <c r="A2068" s="7" t="s">
        <v>178</v>
      </c>
      <c r="B2068" s="7" t="s">
        <v>459</v>
      </c>
    </row>
    <row r="2069" ht="15.75" customHeight="1">
      <c r="A2069" s="7" t="s">
        <v>176</v>
      </c>
      <c r="B2069" s="7" t="s">
        <v>459</v>
      </c>
    </row>
    <row r="2070" ht="15.75" customHeight="1">
      <c r="A2070" s="7" t="s">
        <v>187</v>
      </c>
      <c r="B2070" s="7" t="s">
        <v>459</v>
      </c>
    </row>
    <row r="2071" ht="15.75" customHeight="1">
      <c r="A2071" s="7" t="s">
        <v>111</v>
      </c>
      <c r="B2071" s="7" t="s">
        <v>459</v>
      </c>
    </row>
    <row r="2072" ht="15.75" customHeight="1">
      <c r="A2072" s="6" t="s">
        <v>910</v>
      </c>
      <c r="B2072" s="6" t="s">
        <v>459</v>
      </c>
    </row>
    <row r="2073" ht="15.75" customHeight="1">
      <c r="A2073" s="7" t="s">
        <v>132</v>
      </c>
      <c r="B2073" s="7" t="s">
        <v>460</v>
      </c>
    </row>
    <row r="2074" ht="15.75" customHeight="1">
      <c r="A2074" s="7" t="s">
        <v>97</v>
      </c>
      <c r="B2074" s="7" t="s">
        <v>460</v>
      </c>
    </row>
    <row r="2075" ht="15.75" customHeight="1">
      <c r="A2075" s="7" t="s">
        <v>104</v>
      </c>
      <c r="B2075" s="7" t="s">
        <v>460</v>
      </c>
    </row>
    <row r="2076" ht="15.75" customHeight="1">
      <c r="A2076" s="7" t="s">
        <v>110</v>
      </c>
      <c r="B2076" s="7" t="s">
        <v>460</v>
      </c>
    </row>
    <row r="2077" ht="15.75" customHeight="1">
      <c r="A2077" s="7" t="s">
        <v>124</v>
      </c>
      <c r="B2077" s="7" t="s">
        <v>460</v>
      </c>
    </row>
    <row r="2078" ht="15.75" customHeight="1">
      <c r="A2078" s="7" t="s">
        <v>145</v>
      </c>
      <c r="B2078" s="7" t="s">
        <v>460</v>
      </c>
    </row>
    <row r="2079" ht="15.75" customHeight="1">
      <c r="A2079" s="6" t="s">
        <v>910</v>
      </c>
      <c r="B2079" s="6" t="s">
        <v>460</v>
      </c>
    </row>
    <row r="2080" ht="15.75" customHeight="1">
      <c r="A2080" s="7" t="s">
        <v>114</v>
      </c>
      <c r="B2080" s="7" t="s">
        <v>461</v>
      </c>
    </row>
    <row r="2081" ht="15.75" customHeight="1">
      <c r="A2081" s="7" t="s">
        <v>148</v>
      </c>
      <c r="B2081" s="7" t="s">
        <v>461</v>
      </c>
    </row>
    <row r="2082" ht="15.75" customHeight="1">
      <c r="A2082" s="7" t="s">
        <v>141</v>
      </c>
      <c r="B2082" s="7" t="s">
        <v>461</v>
      </c>
    </row>
    <row r="2083" ht="15.75" customHeight="1">
      <c r="A2083" s="7" t="s">
        <v>240</v>
      </c>
      <c r="B2083" s="7" t="s">
        <v>461</v>
      </c>
    </row>
    <row r="2084" ht="15.75" customHeight="1">
      <c r="A2084" s="7" t="s">
        <v>131</v>
      </c>
      <c r="B2084" s="7" t="s">
        <v>461</v>
      </c>
    </row>
    <row r="2085" ht="15.75" customHeight="1">
      <c r="A2085" s="7" t="s">
        <v>94</v>
      </c>
      <c r="B2085" s="7" t="s">
        <v>461</v>
      </c>
    </row>
    <row r="2086" ht="15.75" customHeight="1">
      <c r="A2086" s="6" t="s">
        <v>910</v>
      </c>
      <c r="B2086" s="6" t="s">
        <v>461</v>
      </c>
    </row>
    <row r="2087" ht="15.75" customHeight="1">
      <c r="A2087" s="7" t="s">
        <v>159</v>
      </c>
      <c r="B2087" s="7" t="s">
        <v>462</v>
      </c>
    </row>
    <row r="2088" ht="15.75" customHeight="1">
      <c r="A2088" s="7" t="s">
        <v>134</v>
      </c>
      <c r="B2088" s="7" t="s">
        <v>462</v>
      </c>
    </row>
    <row r="2089" ht="15.75" customHeight="1">
      <c r="A2089" s="7" t="s">
        <v>175</v>
      </c>
      <c r="B2089" s="7" t="s">
        <v>462</v>
      </c>
    </row>
    <row r="2090" ht="15.75" customHeight="1">
      <c r="A2090" s="7" t="s">
        <v>157</v>
      </c>
      <c r="B2090" s="7" t="s">
        <v>462</v>
      </c>
    </row>
    <row r="2091" ht="15.75" customHeight="1">
      <c r="A2091" s="7" t="s">
        <v>124</v>
      </c>
      <c r="B2091" s="7" t="s">
        <v>462</v>
      </c>
    </row>
    <row r="2092" ht="15.75" customHeight="1">
      <c r="A2092" s="7" t="s">
        <v>145</v>
      </c>
      <c r="B2092" s="7" t="s">
        <v>462</v>
      </c>
    </row>
    <row r="2093" ht="15.75" customHeight="1">
      <c r="A2093" s="6" t="s">
        <v>910</v>
      </c>
      <c r="B2093" s="6" t="s">
        <v>462</v>
      </c>
    </row>
    <row r="2094" ht="15.75" customHeight="1">
      <c r="A2094" s="7" t="s">
        <v>169</v>
      </c>
      <c r="B2094" s="7" t="s">
        <v>463</v>
      </c>
    </row>
    <row r="2095" ht="15.75" customHeight="1">
      <c r="A2095" s="7" t="s">
        <v>153</v>
      </c>
      <c r="B2095" s="7" t="s">
        <v>463</v>
      </c>
    </row>
    <row r="2096" ht="15.75" customHeight="1">
      <c r="A2096" s="7" t="s">
        <v>178</v>
      </c>
      <c r="B2096" s="7" t="s">
        <v>463</v>
      </c>
    </row>
    <row r="2097" ht="15.75" customHeight="1">
      <c r="A2097" s="7" t="s">
        <v>135</v>
      </c>
      <c r="B2097" s="7" t="s">
        <v>463</v>
      </c>
    </row>
    <row r="2098" ht="15.75" customHeight="1">
      <c r="A2098" s="7" t="s">
        <v>162</v>
      </c>
      <c r="B2098" s="7" t="s">
        <v>463</v>
      </c>
    </row>
    <row r="2099" ht="15.75" customHeight="1">
      <c r="A2099" s="7" t="s">
        <v>139</v>
      </c>
      <c r="B2099" s="7" t="s">
        <v>463</v>
      </c>
    </row>
    <row r="2100" ht="15.75" customHeight="1">
      <c r="A2100" s="6" t="s">
        <v>910</v>
      </c>
      <c r="B2100" s="6" t="s">
        <v>463</v>
      </c>
    </row>
    <row r="2101" ht="15.75" customHeight="1">
      <c r="A2101" s="7" t="s">
        <v>89</v>
      </c>
      <c r="B2101" s="7" t="s">
        <v>464</v>
      </c>
    </row>
    <row r="2102" ht="15.75" customHeight="1">
      <c r="A2102" s="7" t="s">
        <v>68</v>
      </c>
      <c r="B2102" s="7" t="s">
        <v>464</v>
      </c>
    </row>
    <row r="2103" ht="15.75" customHeight="1">
      <c r="A2103" s="7" t="s">
        <v>170</v>
      </c>
      <c r="B2103" s="7" t="s">
        <v>464</v>
      </c>
    </row>
    <row r="2104" ht="15.75" customHeight="1">
      <c r="A2104" s="7" t="s">
        <v>166</v>
      </c>
      <c r="B2104" s="7" t="s">
        <v>464</v>
      </c>
    </row>
    <row r="2105" ht="15.75" customHeight="1">
      <c r="A2105" s="7" t="s">
        <v>181</v>
      </c>
      <c r="B2105" s="7" t="s">
        <v>464</v>
      </c>
    </row>
    <row r="2106" ht="15.75" customHeight="1">
      <c r="A2106" s="7" t="s">
        <v>220</v>
      </c>
      <c r="B2106" s="7" t="s">
        <v>464</v>
      </c>
    </row>
    <row r="2107" ht="15.75" customHeight="1">
      <c r="A2107" s="6" t="s">
        <v>910</v>
      </c>
      <c r="B2107" s="6" t="s">
        <v>464</v>
      </c>
    </row>
    <row r="2108" ht="15.75" customHeight="1">
      <c r="A2108" s="7" t="s">
        <v>100</v>
      </c>
      <c r="B2108" s="7" t="s">
        <v>465</v>
      </c>
    </row>
    <row r="2109" ht="15.75" customHeight="1">
      <c r="A2109" s="7" t="s">
        <v>137</v>
      </c>
      <c r="B2109" s="7" t="s">
        <v>465</v>
      </c>
    </row>
    <row r="2110" ht="15.75" customHeight="1">
      <c r="A2110" s="7" t="s">
        <v>215</v>
      </c>
      <c r="B2110" s="7" t="s">
        <v>465</v>
      </c>
    </row>
    <row r="2111" ht="15.75" customHeight="1">
      <c r="A2111" s="7" t="s">
        <v>72</v>
      </c>
      <c r="B2111" s="7" t="s">
        <v>465</v>
      </c>
    </row>
    <row r="2112" ht="15.75" customHeight="1">
      <c r="A2112" s="7" t="s">
        <v>113</v>
      </c>
      <c r="B2112" s="7" t="s">
        <v>465</v>
      </c>
    </row>
    <row r="2113" ht="15.75" customHeight="1">
      <c r="A2113" s="7" t="s">
        <v>81</v>
      </c>
      <c r="B2113" s="7" t="s">
        <v>465</v>
      </c>
    </row>
    <row r="2114" ht="15.75" customHeight="1">
      <c r="A2114" s="6" t="s">
        <v>910</v>
      </c>
      <c r="B2114" s="6" t="s">
        <v>465</v>
      </c>
    </row>
    <row r="2115" ht="15.75" customHeight="1">
      <c r="A2115" s="6" t="s">
        <v>1126</v>
      </c>
      <c r="B2115" s="6" t="s">
        <v>465</v>
      </c>
    </row>
    <row r="2116" ht="15.75" customHeight="1">
      <c r="A2116" s="7" t="s">
        <v>161</v>
      </c>
      <c r="B2116" s="7" t="s">
        <v>466</v>
      </c>
    </row>
    <row r="2117" ht="15.75" customHeight="1">
      <c r="A2117" s="7" t="s">
        <v>153</v>
      </c>
      <c r="B2117" s="7" t="s">
        <v>466</v>
      </c>
    </row>
    <row r="2118" ht="15.75" customHeight="1">
      <c r="A2118" s="7" t="s">
        <v>141</v>
      </c>
      <c r="B2118" s="7" t="s">
        <v>466</v>
      </c>
    </row>
    <row r="2119" ht="15.75" customHeight="1">
      <c r="A2119" s="7" t="s">
        <v>176</v>
      </c>
      <c r="B2119" s="7" t="s">
        <v>466</v>
      </c>
    </row>
    <row r="2120" ht="15.75" customHeight="1">
      <c r="A2120" s="7" t="s">
        <v>181</v>
      </c>
      <c r="B2120" s="7" t="s">
        <v>466</v>
      </c>
    </row>
    <row r="2121" ht="15.75" customHeight="1">
      <c r="A2121" s="7" t="s">
        <v>158</v>
      </c>
      <c r="B2121" s="7" t="s">
        <v>466</v>
      </c>
    </row>
    <row r="2122" ht="15.75" customHeight="1">
      <c r="A2122" s="6" t="s">
        <v>910</v>
      </c>
      <c r="B2122" s="6" t="s">
        <v>466</v>
      </c>
    </row>
    <row r="2123" ht="15.75" customHeight="1">
      <c r="A2123" s="7" t="s">
        <v>169</v>
      </c>
      <c r="B2123" s="7" t="s">
        <v>467</v>
      </c>
    </row>
    <row r="2124" ht="15.75" customHeight="1">
      <c r="A2124" s="7" t="s">
        <v>92</v>
      </c>
      <c r="B2124" s="7" t="s">
        <v>467</v>
      </c>
    </row>
    <row r="2125" ht="15.75" customHeight="1">
      <c r="A2125" s="7" t="s">
        <v>178</v>
      </c>
      <c r="B2125" s="7" t="s">
        <v>467</v>
      </c>
    </row>
    <row r="2126" ht="15.75" customHeight="1">
      <c r="A2126" s="7" t="s">
        <v>211</v>
      </c>
      <c r="B2126" s="7" t="s">
        <v>467</v>
      </c>
    </row>
    <row r="2127" ht="15.75" customHeight="1">
      <c r="A2127" s="7" t="s">
        <v>150</v>
      </c>
      <c r="B2127" s="7" t="s">
        <v>467</v>
      </c>
    </row>
    <row r="2128" ht="15.75" customHeight="1">
      <c r="A2128" s="7" t="s">
        <v>212</v>
      </c>
      <c r="B2128" s="7" t="s">
        <v>467</v>
      </c>
    </row>
    <row r="2129" ht="15.75" customHeight="1">
      <c r="A2129" s="6" t="s">
        <v>910</v>
      </c>
      <c r="B2129" s="6" t="s">
        <v>467</v>
      </c>
    </row>
    <row r="2130" ht="15.75" customHeight="1">
      <c r="A2130" s="7" t="s">
        <v>63</v>
      </c>
      <c r="B2130" s="7" t="s">
        <v>468</v>
      </c>
    </row>
    <row r="2131" ht="15.75" customHeight="1">
      <c r="A2131" s="7" t="s">
        <v>134</v>
      </c>
      <c r="B2131" s="7" t="s">
        <v>468</v>
      </c>
    </row>
    <row r="2132" ht="15.75" customHeight="1">
      <c r="A2132" s="7" t="s">
        <v>183</v>
      </c>
      <c r="B2132" s="7" t="s">
        <v>468</v>
      </c>
    </row>
    <row r="2133" ht="15.75" customHeight="1">
      <c r="A2133" s="7" t="s">
        <v>166</v>
      </c>
      <c r="B2133" s="7" t="s">
        <v>468</v>
      </c>
    </row>
    <row r="2134" ht="15.75" customHeight="1">
      <c r="A2134" s="7" t="s">
        <v>187</v>
      </c>
      <c r="B2134" s="7" t="s">
        <v>468</v>
      </c>
    </row>
    <row r="2135" ht="15.75" customHeight="1">
      <c r="A2135" s="7" t="s">
        <v>212</v>
      </c>
      <c r="B2135" s="7" t="s">
        <v>468</v>
      </c>
    </row>
    <row r="2136" ht="15.75" customHeight="1">
      <c r="A2136" s="6" t="s">
        <v>910</v>
      </c>
      <c r="B2136" s="6" t="s">
        <v>468</v>
      </c>
    </row>
    <row r="2137" ht="15.75" customHeight="1">
      <c r="A2137" s="7" t="s">
        <v>159</v>
      </c>
      <c r="B2137" s="7" t="s">
        <v>469</v>
      </c>
    </row>
    <row r="2138" ht="15.75" customHeight="1">
      <c r="A2138" s="7" t="s">
        <v>97</v>
      </c>
      <c r="B2138" s="7" t="s">
        <v>469</v>
      </c>
    </row>
    <row r="2139" ht="15.75" customHeight="1">
      <c r="A2139" s="7" t="s">
        <v>91</v>
      </c>
      <c r="B2139" s="7" t="s">
        <v>469</v>
      </c>
    </row>
    <row r="2140" ht="15.75" customHeight="1">
      <c r="A2140" s="7" t="s">
        <v>207</v>
      </c>
      <c r="B2140" s="7" t="s">
        <v>469</v>
      </c>
    </row>
    <row r="2141" ht="15.75" customHeight="1">
      <c r="A2141" s="7" t="s">
        <v>80</v>
      </c>
      <c r="B2141" s="7" t="s">
        <v>469</v>
      </c>
    </row>
    <row r="2142" ht="15.75" customHeight="1">
      <c r="A2142" s="7" t="s">
        <v>88</v>
      </c>
      <c r="B2142" s="7" t="s">
        <v>469</v>
      </c>
    </row>
    <row r="2143" ht="15.75" customHeight="1">
      <c r="A2143" s="6" t="s">
        <v>910</v>
      </c>
      <c r="B2143" s="6" t="s">
        <v>469</v>
      </c>
    </row>
    <row r="2144" ht="15.75" customHeight="1">
      <c r="A2144" s="6" t="s">
        <v>1126</v>
      </c>
      <c r="B2144" s="6" t="s">
        <v>469</v>
      </c>
    </row>
    <row r="2145" ht="15.75" customHeight="1">
      <c r="A2145" s="7" t="s">
        <v>97</v>
      </c>
      <c r="B2145" s="7" t="s">
        <v>470</v>
      </c>
    </row>
    <row r="2146" ht="15.75" customHeight="1">
      <c r="A2146" s="7" t="s">
        <v>194</v>
      </c>
      <c r="B2146" s="7" t="s">
        <v>470</v>
      </c>
    </row>
    <row r="2147" ht="15.75" customHeight="1">
      <c r="A2147" s="7" t="s">
        <v>104</v>
      </c>
      <c r="B2147" s="7" t="s">
        <v>470</v>
      </c>
    </row>
    <row r="2148" ht="15.75" customHeight="1">
      <c r="A2148" s="7" t="s">
        <v>105</v>
      </c>
      <c r="B2148" s="7" t="s">
        <v>470</v>
      </c>
    </row>
    <row r="2149" ht="15.75" customHeight="1">
      <c r="A2149" s="7" t="s">
        <v>106</v>
      </c>
      <c r="B2149" s="7" t="s">
        <v>470</v>
      </c>
    </row>
    <row r="2150" ht="15.75" customHeight="1">
      <c r="A2150" s="7" t="s">
        <v>107</v>
      </c>
      <c r="B2150" s="7" t="s">
        <v>470</v>
      </c>
    </row>
    <row r="2151" ht="15.75" customHeight="1">
      <c r="A2151" s="6" t="s">
        <v>910</v>
      </c>
      <c r="B2151" s="6" t="s">
        <v>470</v>
      </c>
    </row>
    <row r="2152" ht="15.75" customHeight="1">
      <c r="A2152" s="7" t="s">
        <v>70</v>
      </c>
      <c r="B2152" s="7" t="s">
        <v>471</v>
      </c>
    </row>
    <row r="2153" ht="15.75" customHeight="1">
      <c r="A2153" s="7" t="s">
        <v>153</v>
      </c>
      <c r="B2153" s="7" t="s">
        <v>471</v>
      </c>
    </row>
    <row r="2154" ht="15.75" customHeight="1">
      <c r="A2154" s="7" t="s">
        <v>71</v>
      </c>
      <c r="B2154" s="7" t="s">
        <v>471</v>
      </c>
    </row>
    <row r="2155" ht="15.75" customHeight="1">
      <c r="A2155" s="7" t="s">
        <v>86</v>
      </c>
      <c r="B2155" s="7" t="s">
        <v>471</v>
      </c>
    </row>
    <row r="2156" ht="15.75" customHeight="1">
      <c r="A2156" s="7" t="s">
        <v>131</v>
      </c>
      <c r="B2156" s="7" t="s">
        <v>471</v>
      </c>
    </row>
    <row r="2157" ht="15.75" customHeight="1">
      <c r="A2157" s="7" t="s">
        <v>185</v>
      </c>
      <c r="B2157" s="7" t="s">
        <v>471</v>
      </c>
    </row>
    <row r="2158" ht="15.75" customHeight="1">
      <c r="A2158" s="6" t="s">
        <v>910</v>
      </c>
      <c r="B2158" s="6" t="s">
        <v>471</v>
      </c>
    </row>
    <row r="2159" ht="15.75" customHeight="1">
      <c r="A2159" s="7" t="s">
        <v>226</v>
      </c>
      <c r="B2159" s="7" t="s">
        <v>472</v>
      </c>
    </row>
    <row r="2160" ht="15.75" customHeight="1">
      <c r="A2160" s="7" t="s">
        <v>198</v>
      </c>
      <c r="B2160" s="7" t="s">
        <v>472</v>
      </c>
    </row>
    <row r="2161" ht="15.75" customHeight="1">
      <c r="A2161" s="7" t="s">
        <v>77</v>
      </c>
      <c r="B2161" s="7" t="s">
        <v>472</v>
      </c>
    </row>
    <row r="2162" ht="15.75" customHeight="1">
      <c r="A2162" s="7" t="s">
        <v>79</v>
      </c>
      <c r="B2162" s="7" t="s">
        <v>472</v>
      </c>
    </row>
    <row r="2163" ht="15.75" customHeight="1">
      <c r="A2163" s="7" t="s">
        <v>87</v>
      </c>
      <c r="B2163" s="7" t="s">
        <v>472</v>
      </c>
    </row>
    <row r="2164" ht="15.75" customHeight="1">
      <c r="A2164" s="7" t="s">
        <v>74</v>
      </c>
      <c r="B2164" s="7" t="s">
        <v>472</v>
      </c>
    </row>
    <row r="2165" ht="15.75" customHeight="1">
      <c r="A2165" s="6" t="s">
        <v>910</v>
      </c>
      <c r="B2165" s="6" t="s">
        <v>472</v>
      </c>
    </row>
    <row r="2166" ht="15.75" customHeight="1">
      <c r="A2166" s="6" t="s">
        <v>1126</v>
      </c>
      <c r="B2166" s="6" t="s">
        <v>472</v>
      </c>
    </row>
    <row r="2167" ht="15.75" customHeight="1">
      <c r="A2167" s="7" t="s">
        <v>159</v>
      </c>
      <c r="B2167" s="7" t="s">
        <v>473</v>
      </c>
    </row>
    <row r="2168" ht="15.75" customHeight="1">
      <c r="A2168" s="7" t="s">
        <v>97</v>
      </c>
      <c r="B2168" s="7" t="s">
        <v>473</v>
      </c>
    </row>
    <row r="2169" ht="15.75" customHeight="1">
      <c r="A2169" s="7" t="s">
        <v>98</v>
      </c>
      <c r="B2169" s="7" t="s">
        <v>473</v>
      </c>
    </row>
    <row r="2170" ht="15.75" customHeight="1">
      <c r="A2170" s="7" t="s">
        <v>110</v>
      </c>
      <c r="B2170" s="7" t="s">
        <v>473</v>
      </c>
    </row>
    <row r="2171" ht="15.75" customHeight="1">
      <c r="A2171" s="7" t="s">
        <v>150</v>
      </c>
      <c r="B2171" s="7" t="s">
        <v>473</v>
      </c>
    </row>
    <row r="2172" ht="15.75" customHeight="1">
      <c r="A2172" s="7" t="s">
        <v>127</v>
      </c>
      <c r="B2172" s="7" t="s">
        <v>473</v>
      </c>
    </row>
    <row r="2173" ht="15.75" customHeight="1">
      <c r="A2173" s="6" t="s">
        <v>910</v>
      </c>
      <c r="B2173" s="6" t="s">
        <v>473</v>
      </c>
    </row>
    <row r="2174" ht="15.75" customHeight="1">
      <c r="A2174" s="7" t="s">
        <v>190</v>
      </c>
      <c r="B2174" s="7" t="s">
        <v>474</v>
      </c>
    </row>
    <row r="2175" ht="15.75" customHeight="1">
      <c r="A2175" s="7" t="s">
        <v>129</v>
      </c>
      <c r="B2175" s="7" t="s">
        <v>474</v>
      </c>
    </row>
    <row r="2176" ht="15.75" customHeight="1">
      <c r="A2176" s="7" t="s">
        <v>85</v>
      </c>
      <c r="B2176" s="7" t="s">
        <v>474</v>
      </c>
    </row>
    <row r="2177" ht="15.75" customHeight="1">
      <c r="A2177" s="7" t="s">
        <v>72</v>
      </c>
      <c r="B2177" s="7" t="s">
        <v>474</v>
      </c>
    </row>
    <row r="2178" ht="15.75" customHeight="1">
      <c r="A2178" s="7" t="s">
        <v>93</v>
      </c>
      <c r="B2178" s="7" t="s">
        <v>474</v>
      </c>
    </row>
    <row r="2179" ht="15.75" customHeight="1">
      <c r="A2179" s="7" t="s">
        <v>241</v>
      </c>
      <c r="B2179" s="7" t="s">
        <v>474</v>
      </c>
    </row>
    <row r="2180" ht="15.75" customHeight="1">
      <c r="A2180" s="6" t="s">
        <v>910</v>
      </c>
      <c r="B2180" s="6" t="s">
        <v>474</v>
      </c>
    </row>
    <row r="2181" ht="15.75" customHeight="1">
      <c r="A2181" s="7" t="s">
        <v>134</v>
      </c>
      <c r="B2181" s="7" t="s">
        <v>475</v>
      </c>
    </row>
    <row r="2182" ht="15.75" customHeight="1">
      <c r="A2182" s="7" t="s">
        <v>194</v>
      </c>
      <c r="B2182" s="7" t="s">
        <v>475</v>
      </c>
    </row>
    <row r="2183" ht="15.75" customHeight="1">
      <c r="A2183" s="7" t="s">
        <v>71</v>
      </c>
      <c r="B2183" s="7" t="s">
        <v>475</v>
      </c>
    </row>
    <row r="2184" ht="15.75" customHeight="1">
      <c r="A2184" s="7" t="s">
        <v>207</v>
      </c>
      <c r="B2184" s="7" t="s">
        <v>475</v>
      </c>
    </row>
    <row r="2185" ht="15.75" customHeight="1">
      <c r="A2185" s="7" t="s">
        <v>117</v>
      </c>
      <c r="B2185" s="7" t="s">
        <v>475</v>
      </c>
    </row>
    <row r="2186" ht="15.75" customHeight="1">
      <c r="A2186" s="7" t="s">
        <v>67</v>
      </c>
      <c r="B2186" s="7" t="s">
        <v>475</v>
      </c>
    </row>
    <row r="2187" ht="15.75" customHeight="1">
      <c r="A2187" s="6" t="s">
        <v>910</v>
      </c>
      <c r="B2187" s="6" t="s">
        <v>475</v>
      </c>
    </row>
    <row r="2188" ht="15.75" customHeight="1">
      <c r="A2188" s="7" t="s">
        <v>95</v>
      </c>
      <c r="B2188" s="7" t="s">
        <v>476</v>
      </c>
    </row>
    <row r="2189" ht="15.75" customHeight="1">
      <c r="A2189" s="7" t="s">
        <v>97</v>
      </c>
      <c r="B2189" s="7" t="s">
        <v>476</v>
      </c>
    </row>
    <row r="2190" ht="15.75" customHeight="1">
      <c r="A2190" s="7" t="s">
        <v>104</v>
      </c>
      <c r="B2190" s="7" t="s">
        <v>476</v>
      </c>
    </row>
    <row r="2191" ht="15.75" customHeight="1">
      <c r="A2191" s="7" t="s">
        <v>105</v>
      </c>
      <c r="B2191" s="7" t="s">
        <v>476</v>
      </c>
    </row>
    <row r="2192" ht="15.75" customHeight="1">
      <c r="A2192" s="7" t="s">
        <v>222</v>
      </c>
      <c r="B2192" s="7" t="s">
        <v>476</v>
      </c>
    </row>
    <row r="2193" ht="15.75" customHeight="1">
      <c r="A2193" s="7" t="s">
        <v>107</v>
      </c>
      <c r="B2193" s="7" t="s">
        <v>476</v>
      </c>
    </row>
    <row r="2194" ht="15.75" customHeight="1">
      <c r="A2194" s="6" t="s">
        <v>910</v>
      </c>
      <c r="B2194" s="6" t="s">
        <v>476</v>
      </c>
    </row>
    <row r="2195" ht="15.75" customHeight="1">
      <c r="A2195" s="7" t="s">
        <v>75</v>
      </c>
      <c r="B2195" s="7" t="s">
        <v>477</v>
      </c>
    </row>
    <row r="2196" ht="15.75" customHeight="1">
      <c r="A2196" s="7" t="s">
        <v>122</v>
      </c>
      <c r="B2196" s="7" t="s">
        <v>477</v>
      </c>
    </row>
    <row r="2197" ht="15.75" customHeight="1">
      <c r="A2197" s="7" t="s">
        <v>120</v>
      </c>
      <c r="B2197" s="7" t="s">
        <v>477</v>
      </c>
    </row>
    <row r="2198" ht="15.75" customHeight="1">
      <c r="A2198" s="7" t="s">
        <v>207</v>
      </c>
      <c r="B2198" s="7" t="s">
        <v>477</v>
      </c>
    </row>
    <row r="2199" ht="15.75" customHeight="1">
      <c r="A2199" s="7" t="s">
        <v>66</v>
      </c>
      <c r="B2199" s="7" t="s">
        <v>477</v>
      </c>
    </row>
    <row r="2200" ht="15.75" customHeight="1">
      <c r="A2200" s="7" t="s">
        <v>88</v>
      </c>
      <c r="B2200" s="7" t="s">
        <v>477</v>
      </c>
    </row>
    <row r="2201" ht="15.75" customHeight="1">
      <c r="A2201" s="6" t="s">
        <v>910</v>
      </c>
      <c r="B2201" s="6" t="s">
        <v>477</v>
      </c>
    </row>
    <row r="2202" ht="15.75" customHeight="1">
      <c r="A2202" s="6" t="s">
        <v>1126</v>
      </c>
      <c r="B2202" s="6" t="s">
        <v>477</v>
      </c>
    </row>
    <row r="2203" ht="15.75" customHeight="1">
      <c r="A2203" s="7" t="s">
        <v>173</v>
      </c>
      <c r="B2203" s="7" t="s">
        <v>478</v>
      </c>
    </row>
    <row r="2204" ht="15.75" customHeight="1">
      <c r="A2204" s="7" t="s">
        <v>132</v>
      </c>
      <c r="B2204" s="7" t="s">
        <v>478</v>
      </c>
    </row>
    <row r="2205" ht="15.75" customHeight="1">
      <c r="A2205" s="7" t="s">
        <v>178</v>
      </c>
      <c r="B2205" s="7" t="s">
        <v>478</v>
      </c>
    </row>
    <row r="2206" ht="15.75" customHeight="1">
      <c r="A2206" s="7" t="s">
        <v>195</v>
      </c>
      <c r="B2206" s="7" t="s">
        <v>478</v>
      </c>
    </row>
    <row r="2207" ht="15.75" customHeight="1">
      <c r="A2207" s="7" t="s">
        <v>106</v>
      </c>
      <c r="B2207" s="7" t="s">
        <v>478</v>
      </c>
    </row>
    <row r="2208" ht="15.75" customHeight="1">
      <c r="A2208" s="7" t="s">
        <v>136</v>
      </c>
      <c r="B2208" s="7" t="s">
        <v>478</v>
      </c>
    </row>
    <row r="2209" ht="15.75" customHeight="1">
      <c r="A2209" s="6" t="s">
        <v>910</v>
      </c>
      <c r="B2209" s="6" t="s">
        <v>478</v>
      </c>
    </row>
    <row r="2210" ht="15.75" customHeight="1">
      <c r="A2210" s="7" t="s">
        <v>137</v>
      </c>
      <c r="B2210" s="7" t="s">
        <v>479</v>
      </c>
    </row>
    <row r="2211" ht="15.75" customHeight="1">
      <c r="A2211" s="7" t="s">
        <v>134</v>
      </c>
      <c r="B2211" s="7" t="s">
        <v>479</v>
      </c>
    </row>
    <row r="2212" ht="15.75" customHeight="1">
      <c r="A2212" s="7" t="s">
        <v>175</v>
      </c>
      <c r="B2212" s="7" t="s">
        <v>479</v>
      </c>
    </row>
    <row r="2213" ht="15.75" customHeight="1">
      <c r="A2213" s="7" t="s">
        <v>176</v>
      </c>
      <c r="B2213" s="7" t="s">
        <v>479</v>
      </c>
    </row>
    <row r="2214" ht="15.75" customHeight="1">
      <c r="A2214" s="7" t="s">
        <v>124</v>
      </c>
      <c r="B2214" s="7" t="s">
        <v>479</v>
      </c>
    </row>
    <row r="2215" ht="15.75" customHeight="1">
      <c r="A2215" s="7" t="s">
        <v>145</v>
      </c>
      <c r="B2215" s="7" t="s">
        <v>479</v>
      </c>
    </row>
    <row r="2216" ht="15.75" customHeight="1">
      <c r="A2216" s="6" t="s">
        <v>910</v>
      </c>
      <c r="B2216" s="6" t="s">
        <v>479</v>
      </c>
    </row>
    <row r="2217" ht="15.75" customHeight="1">
      <c r="A2217" s="7" t="s">
        <v>75</v>
      </c>
      <c r="B2217" s="7" t="s">
        <v>480</v>
      </c>
    </row>
    <row r="2218" ht="15.75" customHeight="1">
      <c r="A2218" s="7" t="s">
        <v>156</v>
      </c>
      <c r="B2218" s="7" t="s">
        <v>480</v>
      </c>
    </row>
    <row r="2219" ht="15.75" customHeight="1">
      <c r="A2219" s="7" t="s">
        <v>120</v>
      </c>
      <c r="B2219" s="7" t="s">
        <v>480</v>
      </c>
    </row>
    <row r="2220" ht="15.75" customHeight="1">
      <c r="A2220" s="7" t="s">
        <v>195</v>
      </c>
      <c r="B2220" s="7" t="s">
        <v>480</v>
      </c>
    </row>
    <row r="2221" ht="15.75" customHeight="1">
      <c r="A2221" s="7" t="s">
        <v>150</v>
      </c>
      <c r="B2221" s="7" t="s">
        <v>480</v>
      </c>
    </row>
    <row r="2222" ht="15.75" customHeight="1">
      <c r="A2222" s="7" t="s">
        <v>220</v>
      </c>
      <c r="B2222" s="7" t="s">
        <v>480</v>
      </c>
    </row>
    <row r="2223" ht="15.75" customHeight="1">
      <c r="A2223" s="6" t="s">
        <v>910</v>
      </c>
      <c r="B2223" s="6" t="s">
        <v>480</v>
      </c>
    </row>
    <row r="2224" ht="15.75" customHeight="1">
      <c r="A2224" s="7" t="s">
        <v>134</v>
      </c>
      <c r="B2224" s="7" t="s">
        <v>481</v>
      </c>
    </row>
    <row r="2225" ht="15.75" customHeight="1">
      <c r="A2225" s="7" t="s">
        <v>198</v>
      </c>
      <c r="B2225" s="7" t="s">
        <v>481</v>
      </c>
    </row>
    <row r="2226" ht="15.75" customHeight="1">
      <c r="A2226" s="7" t="s">
        <v>85</v>
      </c>
      <c r="B2226" s="7" t="s">
        <v>481</v>
      </c>
    </row>
    <row r="2227" ht="15.75" customHeight="1">
      <c r="A2227" s="7" t="s">
        <v>184</v>
      </c>
      <c r="B2227" s="7" t="s">
        <v>481</v>
      </c>
    </row>
    <row r="2228" ht="15.75" customHeight="1">
      <c r="A2228" s="7" t="s">
        <v>142</v>
      </c>
      <c r="B2228" s="7" t="s">
        <v>481</v>
      </c>
    </row>
    <row r="2229" ht="15.75" customHeight="1">
      <c r="A2229" s="7" t="s">
        <v>185</v>
      </c>
      <c r="B2229" s="7" t="s">
        <v>481</v>
      </c>
    </row>
    <row r="2230" ht="15.75" customHeight="1">
      <c r="A2230" s="6" t="s">
        <v>910</v>
      </c>
      <c r="B2230" s="6" t="s">
        <v>481</v>
      </c>
    </row>
    <row r="2231" ht="15.75" customHeight="1">
      <c r="A2231" s="7" t="s">
        <v>173</v>
      </c>
      <c r="B2231" s="7" t="s">
        <v>482</v>
      </c>
    </row>
    <row r="2232" ht="15.75" customHeight="1">
      <c r="A2232" s="7" t="s">
        <v>132</v>
      </c>
      <c r="B2232" s="7" t="s">
        <v>482</v>
      </c>
    </row>
    <row r="2233" ht="15.75" customHeight="1">
      <c r="A2233" s="7" t="s">
        <v>71</v>
      </c>
      <c r="B2233" s="7" t="s">
        <v>482</v>
      </c>
    </row>
    <row r="2234" ht="15.75" customHeight="1">
      <c r="A2234" s="7" t="s">
        <v>189</v>
      </c>
      <c r="B2234" s="7" t="s">
        <v>482</v>
      </c>
    </row>
    <row r="2235" ht="15.75" customHeight="1">
      <c r="A2235" s="7" t="s">
        <v>117</v>
      </c>
      <c r="B2235" s="7" t="s">
        <v>482</v>
      </c>
    </row>
    <row r="2236" ht="15.75" customHeight="1">
      <c r="A2236" s="7" t="s">
        <v>118</v>
      </c>
      <c r="B2236" s="7" t="s">
        <v>482</v>
      </c>
    </row>
    <row r="2237" ht="15.75" customHeight="1">
      <c r="A2237" s="6" t="s">
        <v>910</v>
      </c>
      <c r="B2237" s="6" t="s">
        <v>482</v>
      </c>
    </row>
    <row r="2238" ht="15.75" customHeight="1">
      <c r="A2238" s="7" t="s">
        <v>204</v>
      </c>
      <c r="B2238" s="7" t="s">
        <v>483</v>
      </c>
    </row>
    <row r="2239" ht="15.75" customHeight="1">
      <c r="A2239" s="7" t="s">
        <v>63</v>
      </c>
      <c r="B2239" s="7" t="s">
        <v>483</v>
      </c>
    </row>
    <row r="2240" ht="15.75" customHeight="1">
      <c r="A2240" s="7" t="s">
        <v>116</v>
      </c>
      <c r="B2240" s="7" t="s">
        <v>483</v>
      </c>
    </row>
    <row r="2241" ht="15.75" customHeight="1">
      <c r="A2241" s="7" t="s">
        <v>87</v>
      </c>
      <c r="B2241" s="7" t="s">
        <v>483</v>
      </c>
    </row>
    <row r="2242" ht="15.75" customHeight="1">
      <c r="A2242" s="7" t="s">
        <v>67</v>
      </c>
      <c r="B2242" s="7" t="s">
        <v>483</v>
      </c>
    </row>
    <row r="2243" ht="15.75" customHeight="1">
      <c r="A2243" s="6" t="s">
        <v>910</v>
      </c>
      <c r="B2243" s="6" t="s">
        <v>483</v>
      </c>
    </row>
    <row r="2244" ht="15.75" customHeight="1">
      <c r="A2244" s="6" t="s">
        <v>1126</v>
      </c>
      <c r="B2244" s="6" t="s">
        <v>483</v>
      </c>
    </row>
    <row r="2245" ht="15.75" customHeight="1">
      <c r="A2245" s="7" t="s">
        <v>61</v>
      </c>
      <c r="B2245" s="7" t="s">
        <v>484</v>
      </c>
    </row>
    <row r="2246" ht="15.75" customHeight="1">
      <c r="A2246" s="7" t="s">
        <v>159</v>
      </c>
      <c r="B2246" s="7" t="s">
        <v>484</v>
      </c>
    </row>
    <row r="2247" ht="15.75" customHeight="1">
      <c r="A2247" s="7" t="s">
        <v>215</v>
      </c>
      <c r="B2247" s="7" t="s">
        <v>484</v>
      </c>
    </row>
    <row r="2248" ht="15.75" customHeight="1">
      <c r="A2248" s="7" t="s">
        <v>184</v>
      </c>
      <c r="B2248" s="7" t="s">
        <v>484</v>
      </c>
    </row>
    <row r="2249" ht="15.75" customHeight="1">
      <c r="A2249" s="7" t="s">
        <v>208</v>
      </c>
      <c r="B2249" s="7" t="s">
        <v>484</v>
      </c>
    </row>
    <row r="2250" ht="15.75" customHeight="1">
      <c r="A2250" s="7" t="s">
        <v>88</v>
      </c>
      <c r="B2250" s="7" t="s">
        <v>484</v>
      </c>
    </row>
    <row r="2251" ht="15.75" customHeight="1">
      <c r="A2251" s="6" t="s">
        <v>910</v>
      </c>
      <c r="B2251" s="6" t="s">
        <v>484</v>
      </c>
    </row>
    <row r="2252" ht="15.75" customHeight="1">
      <c r="A2252" s="7" t="s">
        <v>61</v>
      </c>
      <c r="B2252" s="7" t="s">
        <v>485</v>
      </c>
    </row>
    <row r="2253" ht="15.75" customHeight="1">
      <c r="A2253" s="7" t="s">
        <v>159</v>
      </c>
      <c r="B2253" s="7" t="s">
        <v>485</v>
      </c>
    </row>
    <row r="2254" ht="15.75" customHeight="1">
      <c r="A2254" s="7" t="s">
        <v>215</v>
      </c>
      <c r="B2254" s="7" t="s">
        <v>485</v>
      </c>
    </row>
    <row r="2255" ht="15.75" customHeight="1">
      <c r="A2255" s="7" t="s">
        <v>176</v>
      </c>
      <c r="B2255" s="7" t="s">
        <v>485</v>
      </c>
    </row>
    <row r="2256" ht="15.75" customHeight="1">
      <c r="A2256" s="7" t="s">
        <v>181</v>
      </c>
      <c r="B2256" s="7" t="s">
        <v>485</v>
      </c>
    </row>
    <row r="2257" ht="15.75" customHeight="1">
      <c r="A2257" s="7" t="s">
        <v>158</v>
      </c>
      <c r="B2257" s="7" t="s">
        <v>485</v>
      </c>
    </row>
    <row r="2258" ht="15.75" customHeight="1">
      <c r="A2258" s="6" t="s">
        <v>910</v>
      </c>
      <c r="B2258" s="6" t="s">
        <v>485</v>
      </c>
    </row>
    <row r="2259" ht="15.75" customHeight="1">
      <c r="A2259" s="7" t="s">
        <v>100</v>
      </c>
      <c r="B2259" s="7" t="s">
        <v>486</v>
      </c>
    </row>
    <row r="2260" ht="15.75" customHeight="1">
      <c r="A2260" s="7" t="s">
        <v>132</v>
      </c>
      <c r="B2260" s="7" t="s">
        <v>486</v>
      </c>
    </row>
    <row r="2261" ht="15.75" customHeight="1">
      <c r="A2261" s="7" t="s">
        <v>64</v>
      </c>
      <c r="B2261" s="7" t="s">
        <v>486</v>
      </c>
    </row>
    <row r="2262" ht="15.75" customHeight="1">
      <c r="A2262" s="7" t="s">
        <v>135</v>
      </c>
      <c r="B2262" s="7" t="s">
        <v>486</v>
      </c>
    </row>
    <row r="2263" ht="15.75" customHeight="1">
      <c r="A2263" s="7" t="s">
        <v>164</v>
      </c>
      <c r="B2263" s="7" t="s">
        <v>486</v>
      </c>
    </row>
    <row r="2264" ht="15.75" customHeight="1">
      <c r="A2264" s="7" t="s">
        <v>212</v>
      </c>
      <c r="B2264" s="7" t="s">
        <v>486</v>
      </c>
    </row>
    <row r="2265" ht="15.75" customHeight="1">
      <c r="A2265" s="6" t="s">
        <v>910</v>
      </c>
      <c r="B2265" s="6" t="s">
        <v>486</v>
      </c>
    </row>
    <row r="2266" ht="15.75" customHeight="1">
      <c r="A2266" s="7" t="s">
        <v>75</v>
      </c>
      <c r="B2266" s="7" t="s">
        <v>487</v>
      </c>
    </row>
    <row r="2267" ht="15.75" customHeight="1">
      <c r="A2267" s="7" t="s">
        <v>122</v>
      </c>
      <c r="B2267" s="7" t="s">
        <v>487</v>
      </c>
    </row>
    <row r="2268" ht="15.75" customHeight="1">
      <c r="A2268" s="7" t="s">
        <v>120</v>
      </c>
      <c r="B2268" s="7" t="s">
        <v>487</v>
      </c>
    </row>
    <row r="2269" ht="15.75" customHeight="1">
      <c r="A2269" s="7" t="s">
        <v>123</v>
      </c>
      <c r="B2269" s="7" t="s">
        <v>487</v>
      </c>
    </row>
    <row r="2270" ht="15.75" customHeight="1">
      <c r="A2270" s="7" t="s">
        <v>106</v>
      </c>
      <c r="B2270" s="7" t="s">
        <v>487</v>
      </c>
    </row>
    <row r="2271" ht="15.75" customHeight="1">
      <c r="A2271" s="7" t="s">
        <v>145</v>
      </c>
      <c r="B2271" s="7" t="s">
        <v>487</v>
      </c>
    </row>
    <row r="2272" ht="15.75" customHeight="1">
      <c r="A2272" s="6" t="s">
        <v>910</v>
      </c>
      <c r="B2272" s="6" t="s">
        <v>487</v>
      </c>
    </row>
    <row r="2273" ht="15.75" customHeight="1">
      <c r="A2273" s="7" t="s">
        <v>143</v>
      </c>
      <c r="B2273" s="7" t="s">
        <v>488</v>
      </c>
    </row>
    <row r="2274" ht="15.75" customHeight="1">
      <c r="A2274" s="7" t="s">
        <v>156</v>
      </c>
      <c r="B2274" s="7" t="s">
        <v>488</v>
      </c>
    </row>
    <row r="2275" ht="15.75" customHeight="1">
      <c r="A2275" s="7" t="s">
        <v>120</v>
      </c>
      <c r="B2275" s="7" t="s">
        <v>488</v>
      </c>
    </row>
    <row r="2276" ht="15.75" customHeight="1">
      <c r="A2276" s="7" t="s">
        <v>86</v>
      </c>
      <c r="B2276" s="7" t="s">
        <v>488</v>
      </c>
    </row>
    <row r="2277" ht="15.75" customHeight="1">
      <c r="A2277" s="7" t="s">
        <v>113</v>
      </c>
      <c r="B2277" s="7" t="s">
        <v>488</v>
      </c>
    </row>
    <row r="2278" ht="15.75" customHeight="1">
      <c r="A2278" s="7" t="s">
        <v>154</v>
      </c>
      <c r="B2278" s="7" t="s">
        <v>488</v>
      </c>
    </row>
    <row r="2279" ht="15.75" customHeight="1">
      <c r="A2279" s="6" t="s">
        <v>910</v>
      </c>
      <c r="B2279" s="6" t="s">
        <v>488</v>
      </c>
    </row>
    <row r="2280" ht="15.75" customHeight="1">
      <c r="A2280" s="6" t="s">
        <v>1126</v>
      </c>
      <c r="B2280" s="6" t="s">
        <v>488</v>
      </c>
    </row>
    <row r="2281" ht="15.75" customHeight="1">
      <c r="A2281" s="7" t="s">
        <v>146</v>
      </c>
      <c r="B2281" s="7" t="s">
        <v>489</v>
      </c>
    </row>
    <row r="2282" ht="15.75" customHeight="1">
      <c r="A2282" s="7" t="s">
        <v>75</v>
      </c>
      <c r="B2282" s="7" t="s">
        <v>489</v>
      </c>
    </row>
    <row r="2283" ht="15.75" customHeight="1">
      <c r="A2283" s="7" t="s">
        <v>84</v>
      </c>
      <c r="B2283" s="7" t="s">
        <v>489</v>
      </c>
    </row>
    <row r="2284" ht="15.75" customHeight="1">
      <c r="A2284" s="7" t="s">
        <v>240</v>
      </c>
      <c r="B2284" s="7" t="s">
        <v>489</v>
      </c>
    </row>
    <row r="2285" ht="15.75" customHeight="1">
      <c r="A2285" s="7" t="s">
        <v>73</v>
      </c>
      <c r="B2285" s="7" t="s">
        <v>489</v>
      </c>
    </row>
    <row r="2286" ht="15.75" customHeight="1">
      <c r="A2286" s="7" t="s">
        <v>241</v>
      </c>
      <c r="B2286" s="7" t="s">
        <v>489</v>
      </c>
    </row>
    <row r="2287" ht="15.75" customHeight="1">
      <c r="A2287" s="7" t="s">
        <v>161</v>
      </c>
      <c r="B2287" s="7" t="s">
        <v>490</v>
      </c>
    </row>
    <row r="2288" ht="15.75" customHeight="1">
      <c r="A2288" s="7" t="s">
        <v>153</v>
      </c>
      <c r="B2288" s="7" t="s">
        <v>490</v>
      </c>
    </row>
    <row r="2289" ht="15.75" customHeight="1">
      <c r="A2289" s="7" t="s">
        <v>178</v>
      </c>
      <c r="B2289" s="7" t="s">
        <v>490</v>
      </c>
    </row>
    <row r="2290" ht="15.75" customHeight="1">
      <c r="A2290" s="7" t="s">
        <v>211</v>
      </c>
      <c r="B2290" s="7" t="s">
        <v>490</v>
      </c>
    </row>
    <row r="2291" ht="15.75" customHeight="1">
      <c r="A2291" s="7" t="s">
        <v>106</v>
      </c>
      <c r="B2291" s="7" t="s">
        <v>490</v>
      </c>
    </row>
    <row r="2292" ht="15.75" customHeight="1">
      <c r="A2292" s="7" t="s">
        <v>220</v>
      </c>
      <c r="B2292" s="7" t="s">
        <v>490</v>
      </c>
    </row>
    <row r="2293" ht="15.75" customHeight="1">
      <c r="A2293" s="6" t="s">
        <v>910</v>
      </c>
      <c r="B2293" s="6" t="s">
        <v>490</v>
      </c>
    </row>
    <row r="2294" ht="15.75" customHeight="1">
      <c r="A2294" s="7" t="s">
        <v>226</v>
      </c>
      <c r="B2294" s="7" t="s">
        <v>491</v>
      </c>
    </row>
    <row r="2295" ht="15.75" customHeight="1">
      <c r="A2295" s="7" t="s">
        <v>183</v>
      </c>
      <c r="B2295" s="7" t="s">
        <v>491</v>
      </c>
    </row>
    <row r="2296" ht="15.75" customHeight="1">
      <c r="A2296" s="7" t="s">
        <v>194</v>
      </c>
      <c r="B2296" s="7" t="s">
        <v>491</v>
      </c>
    </row>
    <row r="2297" ht="15.75" customHeight="1">
      <c r="A2297" s="7" t="s">
        <v>123</v>
      </c>
      <c r="B2297" s="7" t="s">
        <v>491</v>
      </c>
    </row>
    <row r="2298" ht="15.75" customHeight="1">
      <c r="A2298" s="7" t="s">
        <v>222</v>
      </c>
      <c r="B2298" s="7" t="s">
        <v>491</v>
      </c>
    </row>
    <row r="2299" ht="15.75" customHeight="1">
      <c r="A2299" s="7" t="s">
        <v>158</v>
      </c>
      <c r="B2299" s="7" t="s">
        <v>491</v>
      </c>
    </row>
    <row r="2300" ht="15.75" customHeight="1">
      <c r="A2300" s="6" t="s">
        <v>910</v>
      </c>
      <c r="B2300" s="6" t="s">
        <v>491</v>
      </c>
    </row>
    <row r="2301" ht="15.75" customHeight="1">
      <c r="A2301" s="7" t="s">
        <v>68</v>
      </c>
      <c r="B2301" s="7" t="s">
        <v>492</v>
      </c>
    </row>
    <row r="2302" ht="15.75" customHeight="1">
      <c r="A2302" s="7" t="s">
        <v>148</v>
      </c>
      <c r="B2302" s="7" t="s">
        <v>492</v>
      </c>
    </row>
    <row r="2303" ht="15.75" customHeight="1">
      <c r="A2303" s="7" t="s">
        <v>84</v>
      </c>
      <c r="B2303" s="7" t="s">
        <v>492</v>
      </c>
    </row>
    <row r="2304" ht="15.75" customHeight="1">
      <c r="A2304" s="7" t="s">
        <v>86</v>
      </c>
      <c r="B2304" s="7" t="s">
        <v>492</v>
      </c>
    </row>
    <row r="2305" ht="15.75" customHeight="1">
      <c r="A2305" s="7" t="s">
        <v>142</v>
      </c>
      <c r="B2305" s="7" t="s">
        <v>492</v>
      </c>
    </row>
    <row r="2306" ht="15.75" customHeight="1">
      <c r="A2306" s="7" t="s">
        <v>185</v>
      </c>
      <c r="B2306" s="7" t="s">
        <v>492</v>
      </c>
    </row>
    <row r="2307" ht="15.75" customHeight="1">
      <c r="A2307" s="6" t="s">
        <v>910</v>
      </c>
      <c r="B2307" s="6" t="s">
        <v>492</v>
      </c>
    </row>
    <row r="2308" ht="15.75" customHeight="1">
      <c r="A2308" s="7" t="s">
        <v>190</v>
      </c>
      <c r="B2308" s="7" t="s">
        <v>493</v>
      </c>
    </row>
    <row r="2309" ht="15.75" customHeight="1">
      <c r="A2309" s="7" t="s">
        <v>68</v>
      </c>
      <c r="B2309" s="7" t="s">
        <v>493</v>
      </c>
    </row>
    <row r="2310" ht="15.75" customHeight="1">
      <c r="A2310" s="7" t="s">
        <v>178</v>
      </c>
      <c r="B2310" s="7" t="s">
        <v>493</v>
      </c>
    </row>
    <row r="2311" ht="15.75" customHeight="1">
      <c r="A2311" s="7" t="s">
        <v>72</v>
      </c>
      <c r="B2311" s="7" t="s">
        <v>493</v>
      </c>
    </row>
    <row r="2312" ht="15.75" customHeight="1">
      <c r="A2312" s="7" t="s">
        <v>208</v>
      </c>
      <c r="B2312" s="7" t="s">
        <v>493</v>
      </c>
    </row>
    <row r="2313" ht="15.75" customHeight="1">
      <c r="A2313" s="7" t="s">
        <v>241</v>
      </c>
      <c r="B2313" s="7" t="s">
        <v>493</v>
      </c>
    </row>
    <row r="2314" ht="15.75" customHeight="1">
      <c r="A2314" s="6" t="s">
        <v>910</v>
      </c>
      <c r="B2314" s="6" t="s">
        <v>493</v>
      </c>
    </row>
    <row r="2315" ht="15.75" customHeight="1">
      <c r="A2315" s="7" t="s">
        <v>75</v>
      </c>
      <c r="B2315" s="7" t="s">
        <v>494</v>
      </c>
    </row>
    <row r="2316" ht="15.75" customHeight="1">
      <c r="A2316" s="7" t="s">
        <v>194</v>
      </c>
      <c r="B2316" s="7" t="s">
        <v>494</v>
      </c>
    </row>
    <row r="2317" ht="15.75" customHeight="1">
      <c r="A2317" s="7" t="s">
        <v>141</v>
      </c>
      <c r="B2317" s="7" t="s">
        <v>494</v>
      </c>
    </row>
    <row r="2318" ht="15.75" customHeight="1">
      <c r="A2318" s="7" t="s">
        <v>105</v>
      </c>
      <c r="B2318" s="7" t="s">
        <v>494</v>
      </c>
    </row>
    <row r="2319" ht="15.75" customHeight="1">
      <c r="A2319" s="7" t="s">
        <v>106</v>
      </c>
      <c r="B2319" s="7" t="s">
        <v>494</v>
      </c>
    </row>
    <row r="2320" ht="15.75" customHeight="1">
      <c r="A2320" s="7" t="s">
        <v>107</v>
      </c>
      <c r="B2320" s="7" t="s">
        <v>494</v>
      </c>
    </row>
    <row r="2321" ht="15.75" customHeight="1">
      <c r="A2321" s="6" t="s">
        <v>910</v>
      </c>
      <c r="B2321" s="6" t="s">
        <v>494</v>
      </c>
    </row>
    <row r="2322" ht="15.75" customHeight="1">
      <c r="A2322" s="7" t="s">
        <v>82</v>
      </c>
      <c r="B2322" s="7" t="s">
        <v>495</v>
      </c>
    </row>
    <row r="2323" ht="15.75" customHeight="1">
      <c r="A2323" s="7" t="s">
        <v>122</v>
      </c>
      <c r="B2323" s="7" t="s">
        <v>495</v>
      </c>
    </row>
    <row r="2324" ht="15.75" customHeight="1">
      <c r="A2324" s="7" t="s">
        <v>120</v>
      </c>
      <c r="B2324" s="7" t="s">
        <v>495</v>
      </c>
    </row>
    <row r="2325" ht="15.75" customHeight="1">
      <c r="A2325" s="7" t="s">
        <v>207</v>
      </c>
      <c r="B2325" s="7" t="s">
        <v>495</v>
      </c>
    </row>
    <row r="2326" ht="15.75" customHeight="1">
      <c r="A2326" s="7" t="s">
        <v>131</v>
      </c>
      <c r="B2326" s="7" t="s">
        <v>495</v>
      </c>
    </row>
    <row r="2327" ht="15.75" customHeight="1">
      <c r="A2327" s="7" t="s">
        <v>118</v>
      </c>
      <c r="B2327" s="7" t="s">
        <v>495</v>
      </c>
    </row>
    <row r="2328" ht="15.75" customHeight="1">
      <c r="A2328" s="6" t="s">
        <v>910</v>
      </c>
      <c r="B2328" s="6" t="s">
        <v>495</v>
      </c>
    </row>
    <row r="2329" ht="15.75" customHeight="1">
      <c r="A2329" s="7" t="s">
        <v>161</v>
      </c>
      <c r="B2329" s="7" t="s">
        <v>496</v>
      </c>
    </row>
    <row r="2330" ht="15.75" customHeight="1">
      <c r="A2330" s="7" t="s">
        <v>153</v>
      </c>
      <c r="B2330" s="7" t="s">
        <v>496</v>
      </c>
    </row>
    <row r="2331" ht="15.75" customHeight="1">
      <c r="A2331" s="7" t="s">
        <v>71</v>
      </c>
      <c r="B2331" s="7" t="s">
        <v>496</v>
      </c>
    </row>
    <row r="2332" ht="15.75" customHeight="1">
      <c r="A2332" s="7" t="s">
        <v>195</v>
      </c>
      <c r="B2332" s="7" t="s">
        <v>496</v>
      </c>
    </row>
    <row r="2333" ht="15.75" customHeight="1">
      <c r="A2333" s="7" t="s">
        <v>150</v>
      </c>
      <c r="B2333" s="7" t="s">
        <v>496</v>
      </c>
    </row>
    <row r="2334" ht="15.75" customHeight="1">
      <c r="A2334" s="7" t="s">
        <v>139</v>
      </c>
      <c r="B2334" s="7" t="s">
        <v>496</v>
      </c>
    </row>
    <row r="2335" ht="15.75" customHeight="1">
      <c r="A2335" s="6" t="s">
        <v>910</v>
      </c>
      <c r="B2335" s="6" t="s">
        <v>496</v>
      </c>
    </row>
    <row r="2336" ht="15.75" customHeight="1">
      <c r="A2336" s="7" t="s">
        <v>100</v>
      </c>
      <c r="B2336" s="7" t="s">
        <v>497</v>
      </c>
    </row>
    <row r="2337" ht="15.75" customHeight="1">
      <c r="A2337" s="7" t="s">
        <v>153</v>
      </c>
      <c r="B2337" s="7" t="s">
        <v>497</v>
      </c>
    </row>
    <row r="2338" ht="15.75" customHeight="1">
      <c r="A2338" s="7" t="s">
        <v>141</v>
      </c>
      <c r="B2338" s="7" t="s">
        <v>497</v>
      </c>
    </row>
    <row r="2339" ht="15.75" customHeight="1">
      <c r="A2339" s="7" t="s">
        <v>86</v>
      </c>
      <c r="B2339" s="7" t="s">
        <v>497</v>
      </c>
    </row>
    <row r="2340" ht="15.75" customHeight="1">
      <c r="A2340" s="7" t="s">
        <v>142</v>
      </c>
      <c r="B2340" s="7" t="s">
        <v>497</v>
      </c>
    </row>
    <row r="2341" ht="15.75" customHeight="1">
      <c r="A2341" s="7" t="s">
        <v>199</v>
      </c>
      <c r="B2341" s="7" t="s">
        <v>497</v>
      </c>
    </row>
    <row r="2342" ht="15.75" customHeight="1">
      <c r="A2342" s="6" t="s">
        <v>910</v>
      </c>
      <c r="B2342" s="6" t="s">
        <v>497</v>
      </c>
    </row>
    <row r="2343" ht="15.75" customHeight="1">
      <c r="A2343" s="7" t="s">
        <v>63</v>
      </c>
      <c r="B2343" s="7" t="s">
        <v>498</v>
      </c>
    </row>
    <row r="2344" ht="15.75" customHeight="1">
      <c r="A2344" s="7" t="s">
        <v>161</v>
      </c>
      <c r="B2344" s="7" t="s">
        <v>498</v>
      </c>
    </row>
    <row r="2345" ht="15.75" customHeight="1">
      <c r="A2345" s="7" t="s">
        <v>175</v>
      </c>
      <c r="B2345" s="7" t="s">
        <v>498</v>
      </c>
    </row>
    <row r="2346" ht="15.75" customHeight="1">
      <c r="A2346" s="7" t="s">
        <v>207</v>
      </c>
      <c r="B2346" s="7" t="s">
        <v>498</v>
      </c>
    </row>
    <row r="2347" ht="15.75" customHeight="1">
      <c r="A2347" s="7" t="s">
        <v>66</v>
      </c>
      <c r="B2347" s="7" t="s">
        <v>498</v>
      </c>
    </row>
    <row r="2348" ht="15.75" customHeight="1">
      <c r="A2348" s="7" t="s">
        <v>67</v>
      </c>
      <c r="B2348" s="7" t="s">
        <v>498</v>
      </c>
    </row>
    <row r="2349" ht="15.75" customHeight="1">
      <c r="A2349" s="6" t="s">
        <v>910</v>
      </c>
      <c r="B2349" s="6" t="s">
        <v>498</v>
      </c>
    </row>
    <row r="2350" ht="15.75" customHeight="1">
      <c r="A2350" s="6" t="s">
        <v>1126</v>
      </c>
      <c r="B2350" s="6" t="s">
        <v>498</v>
      </c>
    </row>
    <row r="2351" ht="15.75" customHeight="1">
      <c r="A2351" s="7" t="s">
        <v>61</v>
      </c>
      <c r="B2351" s="7" t="s">
        <v>499</v>
      </c>
    </row>
    <row r="2352" ht="15.75" customHeight="1">
      <c r="A2352" s="7" t="s">
        <v>63</v>
      </c>
      <c r="B2352" s="7" t="s">
        <v>499</v>
      </c>
    </row>
    <row r="2353" ht="15.75" customHeight="1">
      <c r="A2353" s="7" t="s">
        <v>91</v>
      </c>
      <c r="B2353" s="7" t="s">
        <v>499</v>
      </c>
    </row>
    <row r="2354" ht="15.75" customHeight="1">
      <c r="A2354" s="7" t="s">
        <v>65</v>
      </c>
      <c r="B2354" s="7" t="s">
        <v>499</v>
      </c>
    </row>
    <row r="2355" ht="15.75" customHeight="1">
      <c r="A2355" s="7" t="s">
        <v>93</v>
      </c>
      <c r="B2355" s="7" t="s">
        <v>499</v>
      </c>
    </row>
    <row r="2356" ht="15.75" customHeight="1">
      <c r="A2356" s="7" t="s">
        <v>118</v>
      </c>
      <c r="B2356" s="7" t="s">
        <v>499</v>
      </c>
    </row>
    <row r="2357" ht="15.75" customHeight="1">
      <c r="A2357" s="6" t="s">
        <v>910</v>
      </c>
      <c r="B2357" s="6" t="s">
        <v>499</v>
      </c>
    </row>
    <row r="2358" ht="15.75" customHeight="1">
      <c r="A2358" s="7" t="s">
        <v>156</v>
      </c>
      <c r="B2358" s="7" t="s">
        <v>500</v>
      </c>
    </row>
    <row r="2359" ht="15.75" customHeight="1">
      <c r="A2359" s="7" t="s">
        <v>86</v>
      </c>
      <c r="B2359" s="7" t="s">
        <v>500</v>
      </c>
    </row>
    <row r="2360" ht="15.75" customHeight="1">
      <c r="A2360" s="7" t="s">
        <v>93</v>
      </c>
      <c r="B2360" s="7" t="s">
        <v>500</v>
      </c>
    </row>
    <row r="2361" ht="15.75" customHeight="1">
      <c r="A2361" s="7" t="s">
        <v>154</v>
      </c>
      <c r="B2361" s="7" t="s">
        <v>500</v>
      </c>
    </row>
    <row r="2362" ht="15.75" customHeight="1">
      <c r="A2362" s="6" t="s">
        <v>910</v>
      </c>
      <c r="B2362" s="6" t="s">
        <v>500</v>
      </c>
    </row>
    <row r="2363" ht="15.75" customHeight="1">
      <c r="A2363" s="7" t="s">
        <v>169</v>
      </c>
      <c r="B2363" s="7" t="s">
        <v>501</v>
      </c>
    </row>
    <row r="2364" ht="15.75" customHeight="1">
      <c r="A2364" s="7" t="s">
        <v>109</v>
      </c>
      <c r="B2364" s="7" t="s">
        <v>501</v>
      </c>
    </row>
    <row r="2365" ht="15.75" customHeight="1">
      <c r="A2365" s="7" t="s">
        <v>178</v>
      </c>
      <c r="B2365" s="7" t="s">
        <v>501</v>
      </c>
    </row>
    <row r="2366" ht="15.75" customHeight="1">
      <c r="A2366" s="7" t="s">
        <v>195</v>
      </c>
      <c r="B2366" s="7" t="s">
        <v>501</v>
      </c>
    </row>
    <row r="2367" ht="15.75" customHeight="1">
      <c r="A2367" s="7" t="s">
        <v>187</v>
      </c>
      <c r="B2367" s="7" t="s">
        <v>501</v>
      </c>
    </row>
    <row r="2368" ht="15.75" customHeight="1">
      <c r="A2368" s="7" t="s">
        <v>212</v>
      </c>
      <c r="B2368" s="7" t="s">
        <v>501</v>
      </c>
    </row>
    <row r="2369" ht="15.75" customHeight="1">
      <c r="A2369" s="6" t="s">
        <v>910</v>
      </c>
      <c r="B2369" s="6" t="s">
        <v>501</v>
      </c>
    </row>
    <row r="2370" ht="15.75" customHeight="1">
      <c r="A2370" s="7" t="s">
        <v>82</v>
      </c>
      <c r="B2370" s="7" t="s">
        <v>502</v>
      </c>
    </row>
    <row r="2371" ht="15.75" customHeight="1">
      <c r="A2371" s="7" t="s">
        <v>122</v>
      </c>
      <c r="B2371" s="7" t="s">
        <v>502</v>
      </c>
    </row>
    <row r="2372" ht="15.75" customHeight="1">
      <c r="A2372" s="7" t="s">
        <v>78</v>
      </c>
      <c r="B2372" s="7" t="s">
        <v>502</v>
      </c>
    </row>
    <row r="2373" ht="15.75" customHeight="1">
      <c r="A2373" s="7" t="s">
        <v>211</v>
      </c>
      <c r="B2373" s="7" t="s">
        <v>502</v>
      </c>
    </row>
    <row r="2374" ht="15.75" customHeight="1">
      <c r="A2374" s="7" t="s">
        <v>126</v>
      </c>
      <c r="B2374" s="7" t="s">
        <v>502</v>
      </c>
    </row>
    <row r="2375" ht="15.75" customHeight="1">
      <c r="A2375" s="7" t="s">
        <v>136</v>
      </c>
      <c r="B2375" s="7" t="s">
        <v>502</v>
      </c>
    </row>
    <row r="2376" ht="15.75" customHeight="1">
      <c r="A2376" s="6" t="s">
        <v>910</v>
      </c>
      <c r="B2376" s="6" t="s">
        <v>502</v>
      </c>
    </row>
    <row r="2377" ht="15.75" customHeight="1">
      <c r="A2377" s="7" t="s">
        <v>148</v>
      </c>
      <c r="B2377" s="7" t="s">
        <v>503</v>
      </c>
    </row>
    <row r="2378" ht="15.75" customHeight="1">
      <c r="A2378" s="7" t="s">
        <v>122</v>
      </c>
      <c r="B2378" s="7" t="s">
        <v>503</v>
      </c>
    </row>
    <row r="2379" ht="15.75" customHeight="1">
      <c r="A2379" s="7" t="s">
        <v>120</v>
      </c>
      <c r="B2379" s="7" t="s">
        <v>503</v>
      </c>
    </row>
    <row r="2380" ht="15.75" customHeight="1">
      <c r="A2380" s="7" t="s">
        <v>195</v>
      </c>
      <c r="B2380" s="7" t="s">
        <v>503</v>
      </c>
    </row>
    <row r="2381" ht="15.75" customHeight="1">
      <c r="A2381" s="7" t="s">
        <v>106</v>
      </c>
      <c r="B2381" s="7" t="s">
        <v>503</v>
      </c>
    </row>
    <row r="2382" ht="15.75" customHeight="1">
      <c r="A2382" s="7" t="s">
        <v>136</v>
      </c>
      <c r="B2382" s="7" t="s">
        <v>503</v>
      </c>
    </row>
    <row r="2383" ht="15.75" customHeight="1">
      <c r="A2383" s="6" t="s">
        <v>910</v>
      </c>
      <c r="B2383" s="6" t="s">
        <v>503</v>
      </c>
    </row>
    <row r="2384" ht="15.75" customHeight="1">
      <c r="A2384" s="7" t="s">
        <v>95</v>
      </c>
      <c r="B2384" s="7" t="s">
        <v>504</v>
      </c>
    </row>
    <row r="2385" ht="15.75" customHeight="1">
      <c r="A2385" s="7" t="s">
        <v>134</v>
      </c>
      <c r="B2385" s="7" t="s">
        <v>504</v>
      </c>
    </row>
    <row r="2386" ht="15.75" customHeight="1">
      <c r="A2386" s="7" t="s">
        <v>183</v>
      </c>
      <c r="B2386" s="7" t="s">
        <v>504</v>
      </c>
    </row>
    <row r="2387" ht="15.75" customHeight="1">
      <c r="A2387" s="7" t="s">
        <v>72</v>
      </c>
      <c r="B2387" s="7" t="s">
        <v>504</v>
      </c>
    </row>
    <row r="2388" ht="15.75" customHeight="1">
      <c r="A2388" s="7" t="s">
        <v>208</v>
      </c>
      <c r="B2388" s="7" t="s">
        <v>504</v>
      </c>
    </row>
    <row r="2389" ht="15.75" customHeight="1">
      <c r="A2389" s="7" t="s">
        <v>74</v>
      </c>
      <c r="B2389" s="7" t="s">
        <v>504</v>
      </c>
    </row>
    <row r="2390" ht="15.75" customHeight="1">
      <c r="A2390" s="6" t="s">
        <v>910</v>
      </c>
      <c r="B2390" s="6" t="s">
        <v>504</v>
      </c>
    </row>
    <row r="2391" ht="15.75" customHeight="1">
      <c r="A2391" s="7" t="s">
        <v>63</v>
      </c>
      <c r="B2391" s="7" t="s">
        <v>505</v>
      </c>
    </row>
    <row r="2392" ht="15.75" customHeight="1">
      <c r="A2392" s="7" t="s">
        <v>161</v>
      </c>
      <c r="B2392" s="7" t="s">
        <v>505</v>
      </c>
    </row>
    <row r="2393" ht="15.75" customHeight="1">
      <c r="A2393" s="7" t="s">
        <v>175</v>
      </c>
      <c r="B2393" s="7" t="s">
        <v>505</v>
      </c>
    </row>
    <row r="2394" ht="15.75" customHeight="1">
      <c r="A2394" s="7" t="s">
        <v>135</v>
      </c>
      <c r="B2394" s="7" t="s">
        <v>505</v>
      </c>
    </row>
    <row r="2395" ht="15.75" customHeight="1">
      <c r="A2395" s="7" t="s">
        <v>150</v>
      </c>
      <c r="B2395" s="7" t="s">
        <v>505</v>
      </c>
    </row>
    <row r="2396" ht="15.75" customHeight="1">
      <c r="A2396" s="7" t="s">
        <v>139</v>
      </c>
      <c r="B2396" s="7" t="s">
        <v>505</v>
      </c>
    </row>
    <row r="2397" ht="15.75" customHeight="1">
      <c r="A2397" s="6" t="s">
        <v>910</v>
      </c>
      <c r="B2397" s="6" t="s">
        <v>505</v>
      </c>
    </row>
    <row r="2398" ht="15.75" customHeight="1">
      <c r="A2398" s="7" t="s">
        <v>82</v>
      </c>
      <c r="B2398" s="7" t="s">
        <v>506</v>
      </c>
    </row>
    <row r="2399" ht="15.75" customHeight="1">
      <c r="A2399" s="7" t="s">
        <v>109</v>
      </c>
      <c r="B2399" s="7" t="s">
        <v>506</v>
      </c>
    </row>
    <row r="2400" ht="15.75" customHeight="1">
      <c r="A2400" s="7" t="s">
        <v>141</v>
      </c>
      <c r="B2400" s="7" t="s">
        <v>506</v>
      </c>
    </row>
    <row r="2401" ht="15.75" customHeight="1">
      <c r="A2401" s="7" t="s">
        <v>135</v>
      </c>
      <c r="B2401" s="7" t="s">
        <v>506</v>
      </c>
    </row>
    <row r="2402" ht="15.75" customHeight="1">
      <c r="A2402" s="7" t="s">
        <v>181</v>
      </c>
      <c r="B2402" s="7" t="s">
        <v>506</v>
      </c>
    </row>
    <row r="2403" ht="15.75" customHeight="1">
      <c r="A2403" s="7" t="s">
        <v>212</v>
      </c>
      <c r="B2403" s="7" t="s">
        <v>506</v>
      </c>
    </row>
    <row r="2404" ht="15.75" customHeight="1">
      <c r="A2404" s="6" t="s">
        <v>910</v>
      </c>
      <c r="B2404" s="6" t="s">
        <v>506</v>
      </c>
    </row>
    <row r="2405" ht="15.75" customHeight="1">
      <c r="A2405" s="7" t="s">
        <v>82</v>
      </c>
      <c r="B2405" s="7" t="s">
        <v>507</v>
      </c>
    </row>
    <row r="2406" ht="15.75" customHeight="1">
      <c r="A2406" s="7" t="s">
        <v>192</v>
      </c>
      <c r="B2406" s="7" t="s">
        <v>507</v>
      </c>
    </row>
    <row r="2407" ht="15.75" customHeight="1">
      <c r="A2407" s="7" t="s">
        <v>92</v>
      </c>
      <c r="B2407" s="7" t="s">
        <v>507</v>
      </c>
    </row>
    <row r="2408" ht="15.75" customHeight="1">
      <c r="A2408" s="7" t="s">
        <v>184</v>
      </c>
      <c r="B2408" s="7" t="s">
        <v>507</v>
      </c>
    </row>
    <row r="2409" ht="15.75" customHeight="1">
      <c r="A2409" s="7" t="s">
        <v>66</v>
      </c>
      <c r="B2409" s="7" t="s">
        <v>507</v>
      </c>
    </row>
    <row r="2410" ht="15.75" customHeight="1">
      <c r="A2410" s="7" t="s">
        <v>185</v>
      </c>
      <c r="B2410" s="7" t="s">
        <v>507</v>
      </c>
    </row>
    <row r="2411" ht="15.75" customHeight="1">
      <c r="A2411" s="6" t="s">
        <v>910</v>
      </c>
      <c r="B2411" s="6" t="s">
        <v>507</v>
      </c>
    </row>
    <row r="2412" ht="15.75" customHeight="1">
      <c r="A2412" s="6" t="s">
        <v>1126</v>
      </c>
      <c r="B2412" s="6" t="s">
        <v>507</v>
      </c>
    </row>
    <row r="2413" ht="15.75" customHeight="1">
      <c r="A2413" s="7" t="s">
        <v>100</v>
      </c>
      <c r="B2413" s="7" t="s">
        <v>508</v>
      </c>
    </row>
    <row r="2414" ht="15.75" customHeight="1">
      <c r="A2414" s="7" t="s">
        <v>137</v>
      </c>
      <c r="B2414" s="7" t="s">
        <v>508</v>
      </c>
    </row>
    <row r="2415" ht="15.75" customHeight="1">
      <c r="A2415" s="7" t="s">
        <v>141</v>
      </c>
      <c r="B2415" s="7" t="s">
        <v>508</v>
      </c>
    </row>
    <row r="2416" ht="15.75" customHeight="1">
      <c r="A2416" s="7" t="s">
        <v>176</v>
      </c>
      <c r="B2416" s="7" t="s">
        <v>508</v>
      </c>
    </row>
    <row r="2417" ht="15.75" customHeight="1">
      <c r="A2417" s="7" t="s">
        <v>106</v>
      </c>
      <c r="B2417" s="7" t="s">
        <v>508</v>
      </c>
    </row>
    <row r="2418" ht="15.75" customHeight="1">
      <c r="A2418" s="7" t="s">
        <v>127</v>
      </c>
      <c r="B2418" s="7" t="s">
        <v>508</v>
      </c>
    </row>
    <row r="2419" ht="15.75" customHeight="1">
      <c r="A2419" s="6" t="s">
        <v>910</v>
      </c>
      <c r="B2419" s="6" t="s">
        <v>508</v>
      </c>
    </row>
    <row r="2420" ht="15.75" customHeight="1">
      <c r="A2420" s="7" t="s">
        <v>70</v>
      </c>
      <c r="B2420" s="7" t="s">
        <v>509</v>
      </c>
    </row>
    <row r="2421" ht="15.75" customHeight="1">
      <c r="A2421" s="7" t="s">
        <v>122</v>
      </c>
      <c r="B2421" s="7" t="s">
        <v>509</v>
      </c>
    </row>
    <row r="2422" ht="15.75" customHeight="1">
      <c r="A2422" s="7" t="s">
        <v>78</v>
      </c>
      <c r="B2422" s="7" t="s">
        <v>509</v>
      </c>
    </row>
    <row r="2423" ht="15.75" customHeight="1">
      <c r="A2423" s="7" t="s">
        <v>123</v>
      </c>
      <c r="B2423" s="7" t="s">
        <v>509</v>
      </c>
    </row>
    <row r="2424" ht="15.75" customHeight="1">
      <c r="A2424" s="7" t="s">
        <v>196</v>
      </c>
      <c r="B2424" s="7" t="s">
        <v>509</v>
      </c>
    </row>
    <row r="2425" ht="15.75" customHeight="1">
      <c r="A2425" s="7" t="s">
        <v>111</v>
      </c>
      <c r="B2425" s="7" t="s">
        <v>509</v>
      </c>
    </row>
    <row r="2426" ht="15.75" customHeight="1">
      <c r="A2426" s="6" t="s">
        <v>910</v>
      </c>
      <c r="B2426" s="6" t="s">
        <v>509</v>
      </c>
    </row>
    <row r="2427" ht="15.75" customHeight="1">
      <c r="A2427" s="7" t="s">
        <v>82</v>
      </c>
      <c r="B2427" s="7" t="s">
        <v>510</v>
      </c>
    </row>
    <row r="2428" ht="15.75" customHeight="1">
      <c r="A2428" s="7" t="s">
        <v>159</v>
      </c>
      <c r="B2428" s="7" t="s">
        <v>510</v>
      </c>
    </row>
    <row r="2429" ht="15.75" customHeight="1">
      <c r="A2429" s="7" t="s">
        <v>192</v>
      </c>
      <c r="B2429" s="7" t="s">
        <v>510</v>
      </c>
    </row>
    <row r="2430" ht="15.75" customHeight="1">
      <c r="A2430" s="7" t="s">
        <v>79</v>
      </c>
      <c r="B2430" s="7" t="s">
        <v>510</v>
      </c>
    </row>
    <row r="2431" ht="15.75" customHeight="1">
      <c r="A2431" s="7" t="s">
        <v>87</v>
      </c>
      <c r="B2431" s="7" t="s">
        <v>510</v>
      </c>
    </row>
    <row r="2432" ht="15.75" customHeight="1">
      <c r="A2432" s="7" t="s">
        <v>81</v>
      </c>
      <c r="B2432" s="7" t="s">
        <v>510</v>
      </c>
    </row>
    <row r="2433" ht="15.75" customHeight="1">
      <c r="A2433" s="6" t="s">
        <v>910</v>
      </c>
      <c r="B2433" s="6" t="s">
        <v>510</v>
      </c>
    </row>
    <row r="2434" ht="15.75" customHeight="1">
      <c r="A2434" s="6" t="s">
        <v>1126</v>
      </c>
      <c r="B2434" s="6" t="s">
        <v>510</v>
      </c>
    </row>
    <row r="2435" ht="15.75" customHeight="1">
      <c r="A2435" s="7" t="s">
        <v>89</v>
      </c>
      <c r="B2435" s="7" t="s">
        <v>511</v>
      </c>
    </row>
    <row r="2436" ht="15.75" customHeight="1">
      <c r="A2436" s="7" t="s">
        <v>194</v>
      </c>
      <c r="B2436" s="7" t="s">
        <v>511</v>
      </c>
    </row>
    <row r="2437" ht="15.75" customHeight="1">
      <c r="A2437" s="7" t="s">
        <v>104</v>
      </c>
      <c r="B2437" s="7" t="s">
        <v>511</v>
      </c>
    </row>
    <row r="2438" ht="15.75" customHeight="1">
      <c r="A2438" s="7" t="s">
        <v>135</v>
      </c>
      <c r="B2438" s="7" t="s">
        <v>511</v>
      </c>
    </row>
    <row r="2439" ht="15.75" customHeight="1">
      <c r="A2439" s="7" t="s">
        <v>181</v>
      </c>
      <c r="B2439" s="7" t="s">
        <v>511</v>
      </c>
    </row>
    <row r="2440" ht="15.75" customHeight="1">
      <c r="A2440" s="7" t="s">
        <v>136</v>
      </c>
      <c r="B2440" s="7" t="s">
        <v>511</v>
      </c>
    </row>
    <row r="2441" ht="15.75" customHeight="1">
      <c r="A2441" s="6" t="s">
        <v>910</v>
      </c>
      <c r="B2441" s="6" t="s">
        <v>511</v>
      </c>
    </row>
    <row r="2442" ht="15.75" customHeight="1">
      <c r="A2442" s="7" t="s">
        <v>68</v>
      </c>
      <c r="B2442" s="7" t="s">
        <v>512</v>
      </c>
    </row>
    <row r="2443" ht="15.75" customHeight="1">
      <c r="A2443" s="7" t="s">
        <v>75</v>
      </c>
      <c r="B2443" s="7" t="s">
        <v>512</v>
      </c>
    </row>
    <row r="2444" ht="15.75" customHeight="1">
      <c r="A2444" s="7" t="s">
        <v>98</v>
      </c>
      <c r="B2444" s="7" t="s">
        <v>512</v>
      </c>
    </row>
    <row r="2445" ht="15.75" customHeight="1">
      <c r="A2445" s="7" t="s">
        <v>149</v>
      </c>
      <c r="B2445" s="7" t="s">
        <v>512</v>
      </c>
    </row>
    <row r="2446" ht="15.75" customHeight="1">
      <c r="A2446" s="7" t="s">
        <v>106</v>
      </c>
      <c r="B2446" s="7" t="s">
        <v>512</v>
      </c>
    </row>
    <row r="2447" ht="15.75" customHeight="1">
      <c r="A2447" s="7" t="s">
        <v>171</v>
      </c>
      <c r="B2447" s="7" t="s">
        <v>512</v>
      </c>
    </row>
    <row r="2448" ht="15.75" customHeight="1">
      <c r="A2448" s="6" t="s">
        <v>910</v>
      </c>
      <c r="B2448" s="6" t="s">
        <v>512</v>
      </c>
    </row>
    <row r="2449" ht="15.75" customHeight="1">
      <c r="A2449" s="7" t="s">
        <v>61</v>
      </c>
      <c r="B2449" s="7" t="s">
        <v>513</v>
      </c>
    </row>
    <row r="2450" ht="15.75" customHeight="1">
      <c r="A2450" s="7" t="s">
        <v>159</v>
      </c>
      <c r="B2450" s="7" t="s">
        <v>513</v>
      </c>
    </row>
    <row r="2451" ht="15.75" customHeight="1">
      <c r="A2451" s="7" t="s">
        <v>215</v>
      </c>
      <c r="B2451" s="7" t="s">
        <v>513</v>
      </c>
    </row>
    <row r="2452" ht="15.75" customHeight="1">
      <c r="A2452" s="7" t="s">
        <v>207</v>
      </c>
      <c r="B2452" s="7" t="s">
        <v>513</v>
      </c>
    </row>
    <row r="2453" ht="15.75" customHeight="1">
      <c r="A2453" s="7" t="s">
        <v>113</v>
      </c>
      <c r="B2453" s="7" t="s">
        <v>513</v>
      </c>
    </row>
    <row r="2454" ht="15.75" customHeight="1">
      <c r="A2454" s="7" t="s">
        <v>185</v>
      </c>
      <c r="B2454" s="7" t="s">
        <v>513</v>
      </c>
    </row>
    <row r="2455" ht="15.75" customHeight="1">
      <c r="A2455" s="6" t="s">
        <v>910</v>
      </c>
      <c r="B2455" s="6" t="s">
        <v>513</v>
      </c>
    </row>
    <row r="2456" ht="15.75" customHeight="1">
      <c r="A2456" s="6" t="s">
        <v>1126</v>
      </c>
      <c r="B2456" s="6" t="s">
        <v>513</v>
      </c>
    </row>
    <row r="2457" ht="15.75" customHeight="1">
      <c r="A2457" s="7" t="s">
        <v>82</v>
      </c>
      <c r="B2457" s="7" t="s">
        <v>514</v>
      </c>
    </row>
    <row r="2458" ht="15.75" customHeight="1">
      <c r="A2458" s="7" t="s">
        <v>68</v>
      </c>
      <c r="B2458" s="7" t="s">
        <v>514</v>
      </c>
    </row>
    <row r="2459" ht="15.75" customHeight="1">
      <c r="A2459" s="7" t="s">
        <v>98</v>
      </c>
      <c r="B2459" s="7" t="s">
        <v>514</v>
      </c>
    </row>
    <row r="2460" ht="15.75" customHeight="1">
      <c r="A2460" s="7" t="s">
        <v>135</v>
      </c>
      <c r="B2460" s="7" t="s">
        <v>514</v>
      </c>
    </row>
    <row r="2461" ht="15.75" customHeight="1">
      <c r="A2461" s="7" t="s">
        <v>222</v>
      </c>
      <c r="B2461" s="7" t="s">
        <v>514</v>
      </c>
    </row>
    <row r="2462" ht="15.75" customHeight="1">
      <c r="A2462" s="7" t="s">
        <v>139</v>
      </c>
      <c r="B2462" s="7" t="s">
        <v>514</v>
      </c>
    </row>
    <row r="2463" ht="15.75" customHeight="1">
      <c r="A2463" s="6" t="s">
        <v>910</v>
      </c>
      <c r="B2463" s="6" t="s">
        <v>514</v>
      </c>
    </row>
    <row r="2464" ht="15.75" customHeight="1">
      <c r="A2464" s="7" t="s">
        <v>161</v>
      </c>
      <c r="B2464" s="7" t="s">
        <v>515</v>
      </c>
    </row>
    <row r="2465" ht="15.75" customHeight="1">
      <c r="A2465" s="7" t="s">
        <v>85</v>
      </c>
      <c r="B2465" s="7" t="s">
        <v>515</v>
      </c>
    </row>
    <row r="2466" ht="15.75" customHeight="1">
      <c r="A2466" s="7" t="s">
        <v>120</v>
      </c>
      <c r="B2466" s="7" t="s">
        <v>515</v>
      </c>
    </row>
    <row r="2467" ht="15.75" customHeight="1">
      <c r="A2467" s="7" t="s">
        <v>65</v>
      </c>
      <c r="B2467" s="7" t="s">
        <v>515</v>
      </c>
    </row>
    <row r="2468" ht="15.75" customHeight="1">
      <c r="A2468" s="7" t="s">
        <v>113</v>
      </c>
      <c r="B2468" s="7" t="s">
        <v>515</v>
      </c>
    </row>
    <row r="2469" ht="15.75" customHeight="1">
      <c r="A2469" s="7" t="s">
        <v>199</v>
      </c>
      <c r="B2469" s="7" t="s">
        <v>515</v>
      </c>
    </row>
    <row r="2470" ht="15.75" customHeight="1">
      <c r="A2470" s="6" t="s">
        <v>910</v>
      </c>
      <c r="B2470" s="6" t="s">
        <v>515</v>
      </c>
    </row>
    <row r="2471" ht="15.75" customHeight="1">
      <c r="A2471" s="6" t="s">
        <v>1126</v>
      </c>
      <c r="B2471" s="6" t="s">
        <v>515</v>
      </c>
    </row>
    <row r="2472" ht="15.75" customHeight="1">
      <c r="A2472" s="7" t="s">
        <v>226</v>
      </c>
      <c r="B2472" s="7" t="s">
        <v>516</v>
      </c>
    </row>
    <row r="2473" ht="15.75" customHeight="1">
      <c r="A2473" s="7" t="s">
        <v>122</v>
      </c>
      <c r="B2473" s="7" t="s">
        <v>516</v>
      </c>
    </row>
    <row r="2474" ht="15.75" customHeight="1">
      <c r="A2474" s="7" t="s">
        <v>120</v>
      </c>
      <c r="B2474" s="7" t="s">
        <v>516</v>
      </c>
    </row>
    <row r="2475" ht="15.75" customHeight="1">
      <c r="A2475" s="7" t="s">
        <v>123</v>
      </c>
      <c r="B2475" s="7" t="s">
        <v>516</v>
      </c>
    </row>
    <row r="2476" ht="15.75" customHeight="1">
      <c r="A2476" s="7" t="s">
        <v>222</v>
      </c>
      <c r="B2476" s="7" t="s">
        <v>516</v>
      </c>
    </row>
    <row r="2477" ht="15.75" customHeight="1">
      <c r="A2477" s="7" t="s">
        <v>171</v>
      </c>
      <c r="B2477" s="7" t="s">
        <v>516</v>
      </c>
    </row>
    <row r="2478" ht="15.75" customHeight="1">
      <c r="A2478" s="6" t="s">
        <v>910</v>
      </c>
      <c r="B2478" s="6" t="s">
        <v>516</v>
      </c>
    </row>
    <row r="2479" ht="15.75" customHeight="1">
      <c r="A2479" s="7" t="s">
        <v>134</v>
      </c>
      <c r="B2479" s="7" t="s">
        <v>517</v>
      </c>
    </row>
    <row r="2480" ht="15.75" customHeight="1">
      <c r="A2480" s="7" t="s">
        <v>183</v>
      </c>
      <c r="B2480" s="7" t="s">
        <v>517</v>
      </c>
    </row>
    <row r="2481" ht="15.75" customHeight="1">
      <c r="A2481" s="7" t="s">
        <v>109</v>
      </c>
      <c r="B2481" s="7" t="s">
        <v>517</v>
      </c>
    </row>
    <row r="2482" ht="15.75" customHeight="1">
      <c r="A2482" s="7" t="s">
        <v>240</v>
      </c>
      <c r="B2482" s="7" t="s">
        <v>517</v>
      </c>
    </row>
    <row r="2483" ht="15.75" customHeight="1">
      <c r="A2483" s="7" t="s">
        <v>131</v>
      </c>
      <c r="B2483" s="7" t="s">
        <v>517</v>
      </c>
    </row>
    <row r="2484" ht="15.75" customHeight="1">
      <c r="A2484" s="7" t="s">
        <v>81</v>
      </c>
      <c r="B2484" s="7" t="s">
        <v>517</v>
      </c>
    </row>
    <row r="2485" ht="15.75" customHeight="1">
      <c r="A2485" s="6" t="s">
        <v>910</v>
      </c>
      <c r="B2485" s="6" t="s">
        <v>517</v>
      </c>
    </row>
    <row r="2486" ht="15.75" customHeight="1">
      <c r="A2486" s="7" t="s">
        <v>70</v>
      </c>
      <c r="B2486" s="7" t="s">
        <v>518</v>
      </c>
    </row>
    <row r="2487" ht="15.75" customHeight="1">
      <c r="A2487" s="7" t="s">
        <v>92</v>
      </c>
      <c r="B2487" s="7" t="s">
        <v>518</v>
      </c>
    </row>
    <row r="2488" ht="15.75" customHeight="1">
      <c r="A2488" s="7" t="s">
        <v>141</v>
      </c>
      <c r="B2488" s="7" t="s">
        <v>518</v>
      </c>
    </row>
    <row r="2489" ht="15.75" customHeight="1">
      <c r="A2489" s="7" t="s">
        <v>110</v>
      </c>
      <c r="B2489" s="7" t="s">
        <v>518</v>
      </c>
    </row>
    <row r="2490" ht="15.75" customHeight="1">
      <c r="A2490" s="7" t="s">
        <v>124</v>
      </c>
      <c r="B2490" s="7" t="s">
        <v>518</v>
      </c>
    </row>
    <row r="2491" ht="15.75" customHeight="1">
      <c r="A2491" s="7" t="s">
        <v>107</v>
      </c>
      <c r="B2491" s="7" t="s">
        <v>518</v>
      </c>
    </row>
    <row r="2492" ht="15.75" customHeight="1">
      <c r="A2492" s="6" t="s">
        <v>910</v>
      </c>
      <c r="B2492" s="6" t="s">
        <v>518</v>
      </c>
    </row>
    <row r="2493" ht="15.75" customHeight="1">
      <c r="A2493" s="7" t="s">
        <v>137</v>
      </c>
      <c r="B2493" s="7" t="s">
        <v>519</v>
      </c>
    </row>
    <row r="2494" ht="15.75" customHeight="1">
      <c r="A2494" s="7" t="s">
        <v>134</v>
      </c>
      <c r="B2494" s="7" t="s">
        <v>519</v>
      </c>
    </row>
    <row r="2495" ht="15.75" customHeight="1">
      <c r="A2495" s="7" t="s">
        <v>175</v>
      </c>
      <c r="B2495" s="7" t="s">
        <v>519</v>
      </c>
    </row>
    <row r="2496" ht="15.75" customHeight="1">
      <c r="A2496" s="7" t="s">
        <v>211</v>
      </c>
      <c r="B2496" s="7" t="s">
        <v>519</v>
      </c>
    </row>
    <row r="2497" ht="15.75" customHeight="1">
      <c r="A2497" s="7" t="s">
        <v>181</v>
      </c>
      <c r="B2497" s="7" t="s">
        <v>519</v>
      </c>
    </row>
    <row r="2498" ht="15.75" customHeight="1">
      <c r="A2498" s="7" t="s">
        <v>139</v>
      </c>
      <c r="B2498" s="7" t="s">
        <v>519</v>
      </c>
    </row>
    <row r="2499" ht="15.75" customHeight="1">
      <c r="A2499" s="7" t="s">
        <v>146</v>
      </c>
      <c r="B2499" s="7" t="s">
        <v>520</v>
      </c>
    </row>
    <row r="2500" ht="15.75" customHeight="1">
      <c r="A2500" s="7" t="s">
        <v>148</v>
      </c>
      <c r="B2500" s="7" t="s">
        <v>520</v>
      </c>
    </row>
    <row r="2501" ht="15.75" customHeight="1">
      <c r="A2501" s="7" t="s">
        <v>78</v>
      </c>
      <c r="B2501" s="7" t="s">
        <v>520</v>
      </c>
    </row>
    <row r="2502" ht="15.75" customHeight="1">
      <c r="A2502" s="7" t="s">
        <v>79</v>
      </c>
      <c r="B2502" s="7" t="s">
        <v>520</v>
      </c>
    </row>
    <row r="2503" ht="15.75" customHeight="1">
      <c r="A2503" s="7" t="s">
        <v>80</v>
      </c>
      <c r="B2503" s="7" t="s">
        <v>520</v>
      </c>
    </row>
    <row r="2504" ht="15.75" customHeight="1">
      <c r="A2504" s="7" t="s">
        <v>241</v>
      </c>
      <c r="B2504" s="7" t="s">
        <v>520</v>
      </c>
    </row>
    <row r="2505" ht="15.75" customHeight="1">
      <c r="A2505" s="6" t="s">
        <v>910</v>
      </c>
      <c r="B2505" s="6" t="s">
        <v>520</v>
      </c>
    </row>
    <row r="2506" ht="15.75" customHeight="1">
      <c r="A2506" s="6" t="s">
        <v>1126</v>
      </c>
      <c r="B2506" s="6" t="s">
        <v>520</v>
      </c>
    </row>
    <row r="2507" ht="15.75" customHeight="1">
      <c r="A2507" s="7" t="s">
        <v>169</v>
      </c>
      <c r="B2507" s="7" t="s">
        <v>521</v>
      </c>
    </row>
    <row r="2508" ht="15.75" customHeight="1">
      <c r="A2508" s="7" t="s">
        <v>156</v>
      </c>
      <c r="B2508" s="7" t="s">
        <v>521</v>
      </c>
    </row>
    <row r="2509" ht="15.75" customHeight="1">
      <c r="A2509" s="7" t="s">
        <v>170</v>
      </c>
      <c r="B2509" s="7" t="s">
        <v>521</v>
      </c>
    </row>
    <row r="2510" ht="15.75" customHeight="1">
      <c r="A2510" s="7" t="s">
        <v>211</v>
      </c>
      <c r="B2510" s="7" t="s">
        <v>521</v>
      </c>
    </row>
    <row r="2511" ht="15.75" customHeight="1">
      <c r="A2511" s="7" t="s">
        <v>162</v>
      </c>
      <c r="B2511" s="7" t="s">
        <v>521</v>
      </c>
    </row>
    <row r="2512" ht="15.75" customHeight="1">
      <c r="A2512" s="7" t="s">
        <v>139</v>
      </c>
      <c r="B2512" s="7" t="s">
        <v>521</v>
      </c>
    </row>
    <row r="2513" ht="15.75" customHeight="1">
      <c r="A2513" s="6" t="s">
        <v>910</v>
      </c>
      <c r="B2513" s="6" t="s">
        <v>521</v>
      </c>
    </row>
    <row r="2514" ht="15.75" customHeight="1">
      <c r="A2514" s="7" t="s">
        <v>146</v>
      </c>
      <c r="B2514" s="7" t="s">
        <v>522</v>
      </c>
    </row>
    <row r="2515" ht="15.75" customHeight="1">
      <c r="A2515" s="7" t="s">
        <v>148</v>
      </c>
      <c r="B2515" s="7" t="s">
        <v>522</v>
      </c>
    </row>
    <row r="2516" ht="15.75" customHeight="1">
      <c r="A2516" s="7" t="s">
        <v>192</v>
      </c>
      <c r="B2516" s="7" t="s">
        <v>522</v>
      </c>
    </row>
    <row r="2517" ht="15.75" customHeight="1">
      <c r="A2517" s="7" t="s">
        <v>207</v>
      </c>
      <c r="B2517" s="7" t="s">
        <v>522</v>
      </c>
    </row>
    <row r="2518" ht="15.75" customHeight="1">
      <c r="A2518" s="7" t="s">
        <v>87</v>
      </c>
      <c r="B2518" s="7" t="s">
        <v>522</v>
      </c>
    </row>
    <row r="2519" ht="15.75" customHeight="1">
      <c r="A2519" s="7" t="s">
        <v>185</v>
      </c>
      <c r="B2519" s="7" t="s">
        <v>522</v>
      </c>
    </row>
    <row r="2520" ht="15.75" customHeight="1">
      <c r="A2520" s="6" t="s">
        <v>910</v>
      </c>
      <c r="B2520" s="6" t="s">
        <v>522</v>
      </c>
    </row>
    <row r="2521" ht="15.75" customHeight="1">
      <c r="A2521" s="6" t="s">
        <v>1126</v>
      </c>
      <c r="B2521" s="6" t="s">
        <v>522</v>
      </c>
    </row>
    <row r="2522" ht="15.75" customHeight="1">
      <c r="A2522" s="7" t="s">
        <v>114</v>
      </c>
      <c r="B2522" s="7" t="s">
        <v>523</v>
      </c>
    </row>
    <row r="2523" ht="15.75" customHeight="1">
      <c r="A2523" s="7" t="s">
        <v>70</v>
      </c>
      <c r="B2523" s="7" t="s">
        <v>523</v>
      </c>
    </row>
    <row r="2524" ht="15.75" customHeight="1">
      <c r="A2524" s="7" t="s">
        <v>175</v>
      </c>
      <c r="B2524" s="7" t="s">
        <v>523</v>
      </c>
    </row>
    <row r="2525" ht="15.75" customHeight="1">
      <c r="A2525" s="7" t="s">
        <v>116</v>
      </c>
      <c r="B2525" s="7" t="s">
        <v>523</v>
      </c>
    </row>
    <row r="2526" ht="15.75" customHeight="1">
      <c r="A2526" s="7" t="s">
        <v>131</v>
      </c>
      <c r="B2526" s="7" t="s">
        <v>523</v>
      </c>
    </row>
    <row r="2527" ht="15.75" customHeight="1">
      <c r="A2527" s="7" t="s">
        <v>199</v>
      </c>
      <c r="B2527" s="7" t="s">
        <v>523</v>
      </c>
    </row>
    <row r="2528" ht="15.75" customHeight="1">
      <c r="A2528" s="6" t="s">
        <v>910</v>
      </c>
      <c r="B2528" s="6" t="s">
        <v>523</v>
      </c>
    </row>
    <row r="2529" ht="15.75" customHeight="1">
      <c r="A2529" s="7" t="s">
        <v>226</v>
      </c>
      <c r="B2529" s="7" t="s">
        <v>524</v>
      </c>
    </row>
    <row r="2530" ht="15.75" customHeight="1">
      <c r="A2530" s="7" t="s">
        <v>98</v>
      </c>
      <c r="B2530" s="7" t="s">
        <v>524</v>
      </c>
    </row>
    <row r="2531" ht="15.75" customHeight="1">
      <c r="A2531" s="7" t="s">
        <v>122</v>
      </c>
      <c r="B2531" s="7" t="s">
        <v>524</v>
      </c>
    </row>
    <row r="2532" ht="15.75" customHeight="1">
      <c r="A2532" s="7" t="s">
        <v>123</v>
      </c>
      <c r="B2532" s="7" t="s">
        <v>524</v>
      </c>
    </row>
    <row r="2533" ht="15.75" customHeight="1">
      <c r="A2533" s="7" t="s">
        <v>150</v>
      </c>
      <c r="B2533" s="7" t="s">
        <v>524</v>
      </c>
    </row>
    <row r="2534" ht="15.75" customHeight="1">
      <c r="A2534" s="7" t="s">
        <v>145</v>
      </c>
      <c r="B2534" s="7" t="s">
        <v>524</v>
      </c>
    </row>
    <row r="2535" ht="15.75" customHeight="1">
      <c r="A2535" s="6" t="s">
        <v>910</v>
      </c>
      <c r="B2535" s="6" t="s">
        <v>524</v>
      </c>
    </row>
    <row r="2536" ht="15.75" customHeight="1">
      <c r="A2536" s="7" t="s">
        <v>137</v>
      </c>
      <c r="B2536" s="7" t="s">
        <v>525</v>
      </c>
    </row>
    <row r="2537" ht="15.75" customHeight="1">
      <c r="A2537" s="7" t="s">
        <v>134</v>
      </c>
      <c r="B2537" s="7" t="s">
        <v>525</v>
      </c>
    </row>
    <row r="2538" ht="15.75" customHeight="1">
      <c r="A2538" s="7" t="s">
        <v>178</v>
      </c>
      <c r="B2538" s="7" t="s">
        <v>525</v>
      </c>
    </row>
    <row r="2539" ht="15.75" customHeight="1">
      <c r="A2539" s="7" t="s">
        <v>157</v>
      </c>
      <c r="B2539" s="7" t="s">
        <v>525</v>
      </c>
    </row>
    <row r="2540" ht="15.75" customHeight="1">
      <c r="A2540" s="7" t="s">
        <v>106</v>
      </c>
      <c r="B2540" s="7" t="s">
        <v>525</v>
      </c>
    </row>
    <row r="2541" ht="15.75" customHeight="1">
      <c r="A2541" s="7" t="s">
        <v>171</v>
      </c>
      <c r="B2541" s="7" t="s">
        <v>525</v>
      </c>
    </row>
    <row r="2542" ht="15.75" customHeight="1">
      <c r="A2542" s="6" t="s">
        <v>910</v>
      </c>
      <c r="B2542" s="6" t="s">
        <v>525</v>
      </c>
    </row>
    <row r="2543" ht="15.75" customHeight="1">
      <c r="A2543" s="7" t="s">
        <v>148</v>
      </c>
      <c r="B2543" s="7" t="s">
        <v>526</v>
      </c>
    </row>
    <row r="2544" ht="15.75" customHeight="1">
      <c r="A2544" s="7" t="s">
        <v>92</v>
      </c>
      <c r="B2544" s="7" t="s">
        <v>526</v>
      </c>
    </row>
    <row r="2545" ht="15.75" customHeight="1">
      <c r="A2545" s="7" t="s">
        <v>141</v>
      </c>
      <c r="B2545" s="7" t="s">
        <v>526</v>
      </c>
    </row>
    <row r="2546" ht="15.75" customHeight="1">
      <c r="A2546" s="7" t="s">
        <v>123</v>
      </c>
      <c r="B2546" s="7" t="s">
        <v>526</v>
      </c>
    </row>
    <row r="2547" ht="15.75" customHeight="1">
      <c r="A2547" s="7" t="s">
        <v>196</v>
      </c>
      <c r="B2547" s="7" t="s">
        <v>526</v>
      </c>
    </row>
    <row r="2548" ht="15.75" customHeight="1">
      <c r="A2548" s="7" t="s">
        <v>145</v>
      </c>
      <c r="B2548" s="7" t="s">
        <v>526</v>
      </c>
    </row>
    <row r="2549" ht="15.75" customHeight="1">
      <c r="A2549" s="6" t="s">
        <v>910</v>
      </c>
      <c r="B2549" s="6" t="s">
        <v>526</v>
      </c>
    </row>
    <row r="2550" ht="15.75" customHeight="1">
      <c r="A2550" s="7" t="s">
        <v>100</v>
      </c>
      <c r="B2550" s="7" t="s">
        <v>527</v>
      </c>
    </row>
    <row r="2551" ht="15.75" customHeight="1">
      <c r="A2551" s="7" t="s">
        <v>85</v>
      </c>
      <c r="B2551" s="7" t="s">
        <v>527</v>
      </c>
    </row>
    <row r="2552" ht="15.75" customHeight="1">
      <c r="A2552" s="7" t="s">
        <v>78</v>
      </c>
      <c r="B2552" s="7" t="s">
        <v>527</v>
      </c>
    </row>
    <row r="2553" ht="15.75" customHeight="1">
      <c r="A2553" s="7" t="s">
        <v>240</v>
      </c>
      <c r="B2553" s="7" t="s">
        <v>527</v>
      </c>
    </row>
    <row r="2554" ht="15.75" customHeight="1">
      <c r="A2554" s="7" t="s">
        <v>73</v>
      </c>
      <c r="B2554" s="7" t="s">
        <v>527</v>
      </c>
    </row>
    <row r="2555" ht="15.75" customHeight="1">
      <c r="A2555" s="7" t="s">
        <v>94</v>
      </c>
      <c r="B2555" s="7" t="s">
        <v>527</v>
      </c>
    </row>
    <row r="2556" ht="15.75" customHeight="1">
      <c r="A2556" s="6" t="s">
        <v>910</v>
      </c>
      <c r="B2556" s="6" t="s">
        <v>527</v>
      </c>
    </row>
    <row r="2557" ht="15.75" customHeight="1">
      <c r="A2557" s="7" t="s">
        <v>146</v>
      </c>
      <c r="B2557" s="7" t="s">
        <v>528</v>
      </c>
    </row>
    <row r="2558" ht="15.75" customHeight="1">
      <c r="A2558" s="7" t="s">
        <v>169</v>
      </c>
      <c r="B2558" s="7" t="s">
        <v>528</v>
      </c>
    </row>
    <row r="2559" ht="15.75" customHeight="1">
      <c r="A2559" s="7" t="s">
        <v>178</v>
      </c>
      <c r="B2559" s="7" t="s">
        <v>528</v>
      </c>
    </row>
    <row r="2560" ht="15.75" customHeight="1">
      <c r="A2560" s="7" t="s">
        <v>195</v>
      </c>
      <c r="B2560" s="7" t="s">
        <v>528</v>
      </c>
    </row>
    <row r="2561" ht="15.75" customHeight="1">
      <c r="A2561" s="7" t="s">
        <v>196</v>
      </c>
      <c r="B2561" s="7" t="s">
        <v>528</v>
      </c>
    </row>
    <row r="2562" ht="15.75" customHeight="1">
      <c r="A2562" s="7" t="s">
        <v>136</v>
      </c>
      <c r="B2562" s="7" t="s">
        <v>528</v>
      </c>
    </row>
    <row r="2563" ht="15.75" customHeight="1">
      <c r="A2563" s="6" t="s">
        <v>910</v>
      </c>
      <c r="B2563" s="6" t="s">
        <v>528</v>
      </c>
    </row>
    <row r="2564" ht="15.75" customHeight="1">
      <c r="A2564" s="7" t="s">
        <v>169</v>
      </c>
      <c r="B2564" s="7" t="s">
        <v>529</v>
      </c>
    </row>
    <row r="2565" ht="15.75" customHeight="1">
      <c r="A2565" s="7" t="s">
        <v>194</v>
      </c>
      <c r="B2565" s="7" t="s">
        <v>529</v>
      </c>
    </row>
    <row r="2566" ht="15.75" customHeight="1">
      <c r="A2566" s="7" t="s">
        <v>141</v>
      </c>
      <c r="B2566" s="7" t="s">
        <v>529</v>
      </c>
    </row>
    <row r="2567" ht="15.75" customHeight="1">
      <c r="A2567" s="7" t="s">
        <v>123</v>
      </c>
      <c r="B2567" s="7" t="s">
        <v>529</v>
      </c>
    </row>
    <row r="2568" ht="15.75" customHeight="1">
      <c r="A2568" s="7" t="s">
        <v>196</v>
      </c>
      <c r="B2568" s="7" t="s">
        <v>529</v>
      </c>
    </row>
    <row r="2569" ht="15.75" customHeight="1">
      <c r="A2569" s="7" t="s">
        <v>145</v>
      </c>
      <c r="B2569" s="7" t="s">
        <v>529</v>
      </c>
    </row>
    <row r="2570" ht="15.75" customHeight="1">
      <c r="A2570" s="6" t="s">
        <v>910</v>
      </c>
      <c r="B2570" s="6" t="s">
        <v>529</v>
      </c>
    </row>
    <row r="2571" ht="15.75" customHeight="1">
      <c r="A2571" s="7" t="s">
        <v>190</v>
      </c>
      <c r="B2571" s="7" t="s">
        <v>530</v>
      </c>
    </row>
    <row r="2572" ht="15.75" customHeight="1">
      <c r="A2572" s="7" t="s">
        <v>146</v>
      </c>
      <c r="B2572" s="7" t="s">
        <v>530</v>
      </c>
    </row>
    <row r="2573" ht="15.75" customHeight="1">
      <c r="A2573" s="7" t="s">
        <v>198</v>
      </c>
      <c r="B2573" s="7" t="s">
        <v>530</v>
      </c>
    </row>
    <row r="2574" ht="15.75" customHeight="1">
      <c r="A2574" s="7" t="s">
        <v>79</v>
      </c>
      <c r="B2574" s="7" t="s">
        <v>530</v>
      </c>
    </row>
    <row r="2575" ht="15.75" customHeight="1">
      <c r="A2575" s="7" t="s">
        <v>93</v>
      </c>
      <c r="B2575" s="7" t="s">
        <v>530</v>
      </c>
    </row>
    <row r="2576" ht="15.75" customHeight="1">
      <c r="A2576" s="7" t="s">
        <v>81</v>
      </c>
      <c r="B2576" s="7" t="s">
        <v>530</v>
      </c>
    </row>
    <row r="2577" ht="15.75" customHeight="1">
      <c r="A2577" s="6" t="s">
        <v>910</v>
      </c>
      <c r="B2577" s="6" t="s">
        <v>530</v>
      </c>
    </row>
    <row r="2578" ht="15.75" customHeight="1">
      <c r="A2578" s="7" t="s">
        <v>61</v>
      </c>
      <c r="B2578" s="7" t="s">
        <v>531</v>
      </c>
    </row>
    <row r="2579" ht="15.75" customHeight="1">
      <c r="A2579" s="7" t="s">
        <v>215</v>
      </c>
      <c r="B2579" s="7" t="s">
        <v>531</v>
      </c>
    </row>
    <row r="2580" ht="15.75" customHeight="1">
      <c r="A2580" s="7" t="s">
        <v>92</v>
      </c>
      <c r="B2580" s="7" t="s">
        <v>531</v>
      </c>
    </row>
    <row r="2581" ht="15.75" customHeight="1">
      <c r="A2581" s="7" t="s">
        <v>184</v>
      </c>
      <c r="B2581" s="7" t="s">
        <v>531</v>
      </c>
    </row>
    <row r="2582" ht="15.75" customHeight="1">
      <c r="A2582" s="7" t="s">
        <v>66</v>
      </c>
      <c r="B2582" s="7" t="s">
        <v>531</v>
      </c>
    </row>
    <row r="2583" ht="15.75" customHeight="1">
      <c r="A2583" s="7" t="s">
        <v>154</v>
      </c>
      <c r="B2583" s="7" t="s">
        <v>531</v>
      </c>
    </row>
    <row r="2584" ht="15.75" customHeight="1">
      <c r="A2584" s="7" t="s">
        <v>137</v>
      </c>
      <c r="B2584" s="7" t="s">
        <v>532</v>
      </c>
    </row>
    <row r="2585" ht="15.75" customHeight="1">
      <c r="A2585" s="7" t="s">
        <v>134</v>
      </c>
      <c r="B2585" s="7" t="s">
        <v>532</v>
      </c>
    </row>
    <row r="2586" ht="15.75" customHeight="1">
      <c r="A2586" s="7" t="s">
        <v>175</v>
      </c>
      <c r="B2586" s="7" t="s">
        <v>532</v>
      </c>
    </row>
    <row r="2587" ht="15.75" customHeight="1">
      <c r="A2587" s="7" t="s">
        <v>166</v>
      </c>
      <c r="B2587" s="7" t="s">
        <v>532</v>
      </c>
    </row>
    <row r="2588" ht="15.75" customHeight="1">
      <c r="A2588" s="7" t="s">
        <v>150</v>
      </c>
      <c r="B2588" s="7" t="s">
        <v>532</v>
      </c>
    </row>
    <row r="2589" ht="15.75" customHeight="1">
      <c r="A2589" s="7" t="s">
        <v>220</v>
      </c>
      <c r="B2589" s="7" t="s">
        <v>532</v>
      </c>
    </row>
    <row r="2590" ht="15.75" customHeight="1">
      <c r="A2590" s="6" t="s">
        <v>910</v>
      </c>
      <c r="B2590" s="6" t="s">
        <v>532</v>
      </c>
    </row>
    <row r="2591" ht="15.75" customHeight="1">
      <c r="A2591" s="7" t="s">
        <v>134</v>
      </c>
      <c r="B2591" s="7" t="s">
        <v>533</v>
      </c>
    </row>
    <row r="2592" ht="15.75" customHeight="1">
      <c r="A2592" s="7" t="s">
        <v>85</v>
      </c>
      <c r="B2592" s="7" t="s">
        <v>533</v>
      </c>
    </row>
    <row r="2593" ht="15.75" customHeight="1">
      <c r="A2593" s="7" t="s">
        <v>175</v>
      </c>
      <c r="B2593" s="7" t="s">
        <v>533</v>
      </c>
    </row>
    <row r="2594" ht="15.75" customHeight="1">
      <c r="A2594" s="7" t="s">
        <v>195</v>
      </c>
      <c r="B2594" s="7" t="s">
        <v>533</v>
      </c>
    </row>
    <row r="2595" ht="15.75" customHeight="1">
      <c r="A2595" s="7" t="s">
        <v>126</v>
      </c>
      <c r="B2595" s="7" t="s">
        <v>533</v>
      </c>
    </row>
    <row r="2596" ht="15.75" customHeight="1">
      <c r="A2596" s="7" t="s">
        <v>220</v>
      </c>
      <c r="B2596" s="7" t="s">
        <v>533</v>
      </c>
    </row>
    <row r="2597" ht="15.75" customHeight="1">
      <c r="A2597" s="6" t="s">
        <v>910</v>
      </c>
      <c r="B2597" s="6" t="s">
        <v>533</v>
      </c>
    </row>
    <row r="2598" ht="15.75" customHeight="1">
      <c r="A2598" s="7" t="s">
        <v>204</v>
      </c>
      <c r="B2598" s="7" t="s">
        <v>534</v>
      </c>
    </row>
    <row r="2599" ht="15.75" customHeight="1">
      <c r="A2599" s="7" t="s">
        <v>137</v>
      </c>
      <c r="B2599" s="7" t="s">
        <v>534</v>
      </c>
    </row>
    <row r="2600" ht="15.75" customHeight="1">
      <c r="A2600" s="7" t="s">
        <v>71</v>
      </c>
      <c r="B2600" s="7" t="s">
        <v>534</v>
      </c>
    </row>
    <row r="2601" ht="15.75" customHeight="1">
      <c r="A2601" s="7" t="s">
        <v>65</v>
      </c>
      <c r="B2601" s="7" t="s">
        <v>534</v>
      </c>
    </row>
    <row r="2602" ht="15.75" customHeight="1">
      <c r="A2602" s="7" t="s">
        <v>80</v>
      </c>
      <c r="B2602" s="7" t="s">
        <v>534</v>
      </c>
    </row>
    <row r="2603" ht="15.75" customHeight="1">
      <c r="A2603" s="7" t="s">
        <v>154</v>
      </c>
      <c r="B2603" s="7" t="s">
        <v>534</v>
      </c>
    </row>
    <row r="2604" ht="15.75" customHeight="1">
      <c r="A2604" s="6" t="s">
        <v>910</v>
      </c>
      <c r="B2604" s="6" t="s">
        <v>534</v>
      </c>
    </row>
    <row r="2605" ht="15.75" customHeight="1">
      <c r="A2605" s="6" t="s">
        <v>1126</v>
      </c>
      <c r="B2605" s="6" t="s">
        <v>534</v>
      </c>
    </row>
    <row r="2606" ht="15.75" customHeight="1">
      <c r="A2606" s="7" t="s">
        <v>70</v>
      </c>
      <c r="B2606" s="7" t="s">
        <v>535</v>
      </c>
    </row>
    <row r="2607" ht="15.75" customHeight="1">
      <c r="A2607" s="7" t="s">
        <v>92</v>
      </c>
      <c r="B2607" s="7" t="s">
        <v>535</v>
      </c>
    </row>
    <row r="2608" ht="15.75" customHeight="1">
      <c r="A2608" s="7" t="s">
        <v>178</v>
      </c>
      <c r="B2608" s="7" t="s">
        <v>535</v>
      </c>
    </row>
    <row r="2609" ht="15.75" customHeight="1">
      <c r="A2609" s="7" t="s">
        <v>135</v>
      </c>
      <c r="B2609" s="7" t="s">
        <v>535</v>
      </c>
    </row>
    <row r="2610" ht="15.75" customHeight="1">
      <c r="A2610" s="7" t="s">
        <v>150</v>
      </c>
      <c r="B2610" s="7" t="s">
        <v>535</v>
      </c>
    </row>
    <row r="2611" ht="15.75" customHeight="1">
      <c r="A2611" s="7" t="s">
        <v>220</v>
      </c>
      <c r="B2611" s="7" t="s">
        <v>535</v>
      </c>
    </row>
    <row r="2612" ht="15.75" customHeight="1">
      <c r="A2612" s="6" t="s">
        <v>910</v>
      </c>
      <c r="B2612" s="6" t="s">
        <v>535</v>
      </c>
    </row>
    <row r="2613" ht="15.75" customHeight="1">
      <c r="A2613" s="7" t="s">
        <v>146</v>
      </c>
      <c r="B2613" s="7" t="s">
        <v>536</v>
      </c>
    </row>
    <row r="2614" ht="15.75" customHeight="1">
      <c r="A2614" s="7" t="s">
        <v>148</v>
      </c>
      <c r="B2614" s="7" t="s">
        <v>536</v>
      </c>
    </row>
    <row r="2615" ht="15.75" customHeight="1">
      <c r="A2615" s="7" t="s">
        <v>120</v>
      </c>
      <c r="B2615" s="7" t="s">
        <v>536</v>
      </c>
    </row>
    <row r="2616" ht="15.75" customHeight="1">
      <c r="A2616" s="7" t="s">
        <v>211</v>
      </c>
      <c r="B2616" s="7" t="s">
        <v>536</v>
      </c>
    </row>
    <row r="2617" ht="15.75" customHeight="1">
      <c r="A2617" s="7" t="s">
        <v>181</v>
      </c>
      <c r="B2617" s="7" t="s">
        <v>536</v>
      </c>
    </row>
    <row r="2618" ht="15.75" customHeight="1">
      <c r="A2618" s="7" t="s">
        <v>212</v>
      </c>
      <c r="B2618" s="7" t="s">
        <v>536</v>
      </c>
    </row>
    <row r="2619" ht="15.75" customHeight="1">
      <c r="A2619" s="6" t="s">
        <v>910</v>
      </c>
      <c r="B2619" s="6" t="s">
        <v>536</v>
      </c>
    </row>
    <row r="2620" ht="15.75" customHeight="1">
      <c r="A2620" s="7" t="s">
        <v>100</v>
      </c>
      <c r="B2620" s="7" t="s">
        <v>537</v>
      </c>
    </row>
    <row r="2621" ht="15.75" customHeight="1">
      <c r="A2621" s="7" t="s">
        <v>159</v>
      </c>
      <c r="B2621" s="7" t="s">
        <v>537</v>
      </c>
    </row>
    <row r="2622" ht="15.75" customHeight="1">
      <c r="A2622" s="7" t="s">
        <v>78</v>
      </c>
      <c r="B2622" s="7" t="s">
        <v>537</v>
      </c>
    </row>
    <row r="2623" ht="15.75" customHeight="1">
      <c r="A2623" s="7" t="s">
        <v>123</v>
      </c>
      <c r="B2623" s="7" t="s">
        <v>537</v>
      </c>
    </row>
    <row r="2624" ht="15.75" customHeight="1">
      <c r="A2624" s="7" t="s">
        <v>196</v>
      </c>
      <c r="B2624" s="7" t="s">
        <v>537</v>
      </c>
    </row>
    <row r="2625" ht="15.75" customHeight="1">
      <c r="A2625" s="7" t="s">
        <v>158</v>
      </c>
      <c r="B2625" s="7" t="s">
        <v>537</v>
      </c>
    </row>
    <row r="2626" ht="15.75" customHeight="1">
      <c r="A2626" s="6" t="s">
        <v>910</v>
      </c>
      <c r="B2626" s="6" t="s">
        <v>537</v>
      </c>
    </row>
    <row r="2627" ht="15.75" customHeight="1">
      <c r="A2627" s="7" t="s">
        <v>169</v>
      </c>
      <c r="B2627" s="7" t="s">
        <v>538</v>
      </c>
    </row>
    <row r="2628" ht="15.75" customHeight="1">
      <c r="A2628" s="7" t="s">
        <v>156</v>
      </c>
      <c r="B2628" s="7" t="s">
        <v>538</v>
      </c>
    </row>
    <row r="2629" ht="15.75" customHeight="1">
      <c r="A2629" s="7" t="s">
        <v>175</v>
      </c>
      <c r="B2629" s="7" t="s">
        <v>538</v>
      </c>
    </row>
    <row r="2630" ht="15.75" customHeight="1">
      <c r="A2630" s="7" t="s">
        <v>195</v>
      </c>
      <c r="B2630" s="7" t="s">
        <v>538</v>
      </c>
    </row>
    <row r="2631" ht="15.75" customHeight="1">
      <c r="A2631" s="7" t="s">
        <v>187</v>
      </c>
      <c r="B2631" s="7" t="s">
        <v>538</v>
      </c>
    </row>
    <row r="2632" ht="15.75" customHeight="1">
      <c r="A2632" s="7" t="s">
        <v>139</v>
      </c>
      <c r="B2632" s="7" t="s">
        <v>538</v>
      </c>
    </row>
    <row r="2633" ht="15.75" customHeight="1">
      <c r="A2633" s="6" t="s">
        <v>910</v>
      </c>
      <c r="B2633" s="6" t="s">
        <v>538</v>
      </c>
    </row>
    <row r="2634" ht="15.75" customHeight="1">
      <c r="A2634" s="7" t="s">
        <v>173</v>
      </c>
      <c r="B2634" s="7" t="s">
        <v>539</v>
      </c>
    </row>
    <row r="2635" ht="15.75" customHeight="1">
      <c r="A2635" s="7" t="s">
        <v>194</v>
      </c>
      <c r="B2635" s="7" t="s">
        <v>539</v>
      </c>
    </row>
    <row r="2636" ht="15.75" customHeight="1">
      <c r="A2636" s="7" t="s">
        <v>71</v>
      </c>
      <c r="B2636" s="7" t="s">
        <v>539</v>
      </c>
    </row>
    <row r="2637" ht="15.75" customHeight="1">
      <c r="A2637" s="7" t="s">
        <v>135</v>
      </c>
      <c r="B2637" s="7" t="s">
        <v>539</v>
      </c>
    </row>
    <row r="2638" ht="15.75" customHeight="1">
      <c r="A2638" s="7" t="s">
        <v>222</v>
      </c>
      <c r="B2638" s="7" t="s">
        <v>539</v>
      </c>
    </row>
    <row r="2639" ht="15.75" customHeight="1">
      <c r="A2639" s="7" t="s">
        <v>212</v>
      </c>
      <c r="B2639" s="7" t="s">
        <v>539</v>
      </c>
    </row>
    <row r="2640" ht="15.75" customHeight="1">
      <c r="A2640" s="6" t="s">
        <v>910</v>
      </c>
      <c r="B2640" s="6" t="s">
        <v>539</v>
      </c>
    </row>
    <row r="2641" ht="15.75" customHeight="1">
      <c r="A2641" s="7" t="s">
        <v>161</v>
      </c>
      <c r="B2641" s="7" t="s">
        <v>540</v>
      </c>
    </row>
    <row r="2642" ht="15.75" customHeight="1">
      <c r="A2642" s="7" t="s">
        <v>85</v>
      </c>
      <c r="B2642" s="7" t="s">
        <v>540</v>
      </c>
    </row>
    <row r="2643" ht="15.75" customHeight="1">
      <c r="A2643" s="7" t="s">
        <v>175</v>
      </c>
      <c r="B2643" s="7" t="s">
        <v>540</v>
      </c>
    </row>
    <row r="2644" ht="15.75" customHeight="1">
      <c r="A2644" s="7" t="s">
        <v>189</v>
      </c>
      <c r="B2644" s="7" t="s">
        <v>540</v>
      </c>
    </row>
    <row r="2645" ht="15.75" customHeight="1">
      <c r="A2645" s="7" t="s">
        <v>87</v>
      </c>
      <c r="B2645" s="7" t="s">
        <v>540</v>
      </c>
    </row>
    <row r="2646" ht="15.75" customHeight="1">
      <c r="A2646" s="7" t="s">
        <v>88</v>
      </c>
      <c r="B2646" s="7" t="s">
        <v>540</v>
      </c>
    </row>
    <row r="2647" ht="15.75" customHeight="1">
      <c r="A2647" s="6" t="s">
        <v>910</v>
      </c>
      <c r="B2647" s="6" t="s">
        <v>540</v>
      </c>
    </row>
    <row r="2648" ht="15.75" customHeight="1">
      <c r="A2648" s="6" t="s">
        <v>1126</v>
      </c>
      <c r="B2648" s="6" t="s">
        <v>540</v>
      </c>
    </row>
    <row r="2649" ht="15.75" customHeight="1">
      <c r="A2649" s="7" t="s">
        <v>75</v>
      </c>
      <c r="B2649" s="7" t="s">
        <v>541</v>
      </c>
    </row>
    <row r="2650" ht="15.75" customHeight="1">
      <c r="A2650" s="7" t="s">
        <v>98</v>
      </c>
      <c r="B2650" s="7" t="s">
        <v>541</v>
      </c>
    </row>
    <row r="2651" ht="15.75" customHeight="1">
      <c r="A2651" s="7" t="s">
        <v>122</v>
      </c>
      <c r="B2651" s="7" t="s">
        <v>541</v>
      </c>
    </row>
    <row r="2652" ht="15.75" customHeight="1">
      <c r="A2652" s="7" t="s">
        <v>110</v>
      </c>
      <c r="B2652" s="7" t="s">
        <v>541</v>
      </c>
    </row>
    <row r="2653" ht="15.75" customHeight="1">
      <c r="A2653" s="7" t="s">
        <v>150</v>
      </c>
      <c r="B2653" s="7" t="s">
        <v>541</v>
      </c>
    </row>
    <row r="2654" ht="15.75" customHeight="1">
      <c r="A2654" s="7" t="s">
        <v>171</v>
      </c>
      <c r="B2654" s="7" t="s">
        <v>541</v>
      </c>
    </row>
    <row r="2655" ht="15.75" customHeight="1">
      <c r="A2655" s="6" t="s">
        <v>910</v>
      </c>
      <c r="B2655" s="6" t="s">
        <v>541</v>
      </c>
    </row>
    <row r="2656" ht="15.75" customHeight="1">
      <c r="A2656" s="7" t="s">
        <v>89</v>
      </c>
      <c r="B2656" s="7" t="s">
        <v>542</v>
      </c>
    </row>
    <row r="2657" ht="15.75" customHeight="1">
      <c r="A2657" s="7" t="s">
        <v>68</v>
      </c>
      <c r="B2657" s="7" t="s">
        <v>542</v>
      </c>
    </row>
    <row r="2658" ht="15.75" customHeight="1">
      <c r="A2658" s="7" t="s">
        <v>170</v>
      </c>
      <c r="B2658" s="7" t="s">
        <v>542</v>
      </c>
    </row>
    <row r="2659" ht="15.75" customHeight="1">
      <c r="A2659" s="7" t="s">
        <v>99</v>
      </c>
      <c r="B2659" s="7" t="s">
        <v>542</v>
      </c>
    </row>
    <row r="2660" ht="15.75" customHeight="1">
      <c r="A2660" s="7" t="s">
        <v>73</v>
      </c>
      <c r="B2660" s="7" t="s">
        <v>542</v>
      </c>
    </row>
    <row r="2661" ht="15.75" customHeight="1">
      <c r="A2661" s="7" t="s">
        <v>241</v>
      </c>
      <c r="B2661" s="7" t="s">
        <v>542</v>
      </c>
    </row>
    <row r="2662" ht="15.75" customHeight="1">
      <c r="A2662" s="6" t="s">
        <v>910</v>
      </c>
      <c r="B2662" s="6" t="s">
        <v>542</v>
      </c>
    </row>
    <row r="2663" ht="15.75" customHeight="1">
      <c r="A2663" s="7" t="s">
        <v>137</v>
      </c>
      <c r="B2663" s="7" t="s">
        <v>543</v>
      </c>
    </row>
    <row r="2664" ht="15.75" customHeight="1">
      <c r="A2664" s="7" t="s">
        <v>161</v>
      </c>
      <c r="B2664" s="7" t="s">
        <v>543</v>
      </c>
    </row>
    <row r="2665" ht="15.75" customHeight="1">
      <c r="A2665" s="7" t="s">
        <v>141</v>
      </c>
      <c r="B2665" s="7" t="s">
        <v>543</v>
      </c>
    </row>
    <row r="2666" ht="15.75" customHeight="1">
      <c r="A2666" s="7" t="s">
        <v>65</v>
      </c>
      <c r="B2666" s="7" t="s">
        <v>543</v>
      </c>
    </row>
    <row r="2667" ht="15.75" customHeight="1">
      <c r="A2667" s="7" t="s">
        <v>113</v>
      </c>
      <c r="B2667" s="7" t="s">
        <v>543</v>
      </c>
    </row>
    <row r="2668" ht="15.75" customHeight="1">
      <c r="A2668" s="7" t="s">
        <v>88</v>
      </c>
      <c r="B2668" s="7" t="s">
        <v>543</v>
      </c>
    </row>
    <row r="2669" ht="15.75" customHeight="1">
      <c r="A2669" s="6" t="s">
        <v>910</v>
      </c>
      <c r="B2669" s="6" t="s">
        <v>543</v>
      </c>
    </row>
    <row r="2670" ht="15.75" customHeight="1">
      <c r="A2670" s="6" t="s">
        <v>1126</v>
      </c>
      <c r="B2670" s="6" t="s">
        <v>543</v>
      </c>
    </row>
    <row r="2671" ht="15.75" customHeight="1">
      <c r="A2671" s="7" t="s">
        <v>68</v>
      </c>
      <c r="B2671" s="7" t="s">
        <v>544</v>
      </c>
    </row>
    <row r="2672" ht="15.75" customHeight="1">
      <c r="A2672" s="7" t="s">
        <v>169</v>
      </c>
      <c r="B2672" s="7" t="s">
        <v>544</v>
      </c>
    </row>
    <row r="2673" ht="15.75" customHeight="1">
      <c r="A2673" s="7" t="s">
        <v>178</v>
      </c>
      <c r="B2673" s="7" t="s">
        <v>544</v>
      </c>
    </row>
    <row r="2674" ht="15.75" customHeight="1">
      <c r="A2674" s="7" t="s">
        <v>176</v>
      </c>
      <c r="B2674" s="7" t="s">
        <v>544</v>
      </c>
    </row>
    <row r="2675" ht="15.75" customHeight="1">
      <c r="A2675" s="7" t="s">
        <v>181</v>
      </c>
      <c r="B2675" s="7" t="s">
        <v>544</v>
      </c>
    </row>
    <row r="2676" ht="15.75" customHeight="1">
      <c r="A2676" s="7" t="s">
        <v>145</v>
      </c>
      <c r="B2676" s="7" t="s">
        <v>544</v>
      </c>
    </row>
    <row r="2677" ht="15.75" customHeight="1">
      <c r="A2677" s="6" t="s">
        <v>910</v>
      </c>
      <c r="B2677" s="6" t="s">
        <v>544</v>
      </c>
    </row>
    <row r="2678" ht="15.75" customHeight="1">
      <c r="A2678" s="7" t="s">
        <v>226</v>
      </c>
      <c r="B2678" s="7" t="s">
        <v>545</v>
      </c>
    </row>
    <row r="2679" ht="15.75" customHeight="1">
      <c r="A2679" s="7" t="s">
        <v>146</v>
      </c>
      <c r="B2679" s="7" t="s">
        <v>545</v>
      </c>
    </row>
    <row r="2680" ht="15.75" customHeight="1">
      <c r="A2680" s="7" t="s">
        <v>198</v>
      </c>
      <c r="B2680" s="7" t="s">
        <v>545</v>
      </c>
    </row>
    <row r="2681" ht="15.75" customHeight="1">
      <c r="A2681" s="7" t="s">
        <v>166</v>
      </c>
      <c r="B2681" s="7" t="s">
        <v>545</v>
      </c>
    </row>
    <row r="2682" ht="15.75" customHeight="1">
      <c r="A2682" s="7" t="s">
        <v>126</v>
      </c>
      <c r="B2682" s="7" t="s">
        <v>545</v>
      </c>
    </row>
    <row r="2683" ht="15.75" customHeight="1">
      <c r="A2683" s="7" t="s">
        <v>136</v>
      </c>
      <c r="B2683" s="7" t="s">
        <v>545</v>
      </c>
    </row>
    <row r="2684" ht="15.75" customHeight="1">
      <c r="A2684" s="6" t="s">
        <v>910</v>
      </c>
      <c r="B2684" s="6" t="s">
        <v>545</v>
      </c>
    </row>
    <row r="2685" ht="15.75" customHeight="1">
      <c r="A2685" s="7" t="s">
        <v>61</v>
      </c>
      <c r="B2685" s="7" t="s">
        <v>546</v>
      </c>
    </row>
    <row r="2686" ht="15.75" customHeight="1">
      <c r="A2686" s="7" t="s">
        <v>63</v>
      </c>
      <c r="B2686" s="7" t="s">
        <v>546</v>
      </c>
    </row>
    <row r="2687" ht="15.75" customHeight="1">
      <c r="A2687" s="7" t="s">
        <v>102</v>
      </c>
      <c r="B2687" s="7" t="s">
        <v>546</v>
      </c>
    </row>
    <row r="2688" ht="15.75" customHeight="1">
      <c r="A2688" s="7" t="s">
        <v>72</v>
      </c>
      <c r="B2688" s="7" t="s">
        <v>546</v>
      </c>
    </row>
    <row r="2689" ht="15.75" customHeight="1">
      <c r="A2689" s="7" t="s">
        <v>93</v>
      </c>
      <c r="B2689" s="7" t="s">
        <v>546</v>
      </c>
    </row>
    <row r="2690" ht="15.75" customHeight="1">
      <c r="A2690" s="7" t="s">
        <v>241</v>
      </c>
      <c r="B2690" s="7" t="s">
        <v>546</v>
      </c>
    </row>
    <row r="2691" ht="15.75" customHeight="1">
      <c r="A2691" s="6" t="s">
        <v>910</v>
      </c>
      <c r="B2691" s="6" t="s">
        <v>546</v>
      </c>
    </row>
    <row r="2692" ht="15.75" customHeight="1">
      <c r="A2692" s="7" t="s">
        <v>63</v>
      </c>
      <c r="B2692" s="7" t="s">
        <v>547</v>
      </c>
    </row>
    <row r="2693" ht="15.75" customHeight="1">
      <c r="A2693" s="7" t="s">
        <v>100</v>
      </c>
      <c r="B2693" s="7" t="s">
        <v>547</v>
      </c>
    </row>
    <row r="2694" ht="15.75" customHeight="1">
      <c r="A2694" s="7" t="s">
        <v>104</v>
      </c>
      <c r="B2694" s="7" t="s">
        <v>547</v>
      </c>
    </row>
    <row r="2695" ht="15.75" customHeight="1">
      <c r="A2695" s="7" t="s">
        <v>79</v>
      </c>
      <c r="B2695" s="7" t="s">
        <v>547</v>
      </c>
    </row>
    <row r="2696" ht="15.75" customHeight="1">
      <c r="A2696" s="7" t="s">
        <v>66</v>
      </c>
      <c r="B2696" s="7" t="s">
        <v>547</v>
      </c>
    </row>
    <row r="2697" ht="15.75" customHeight="1">
      <c r="A2697" s="7" t="s">
        <v>94</v>
      </c>
      <c r="B2697" s="7" t="s">
        <v>547</v>
      </c>
    </row>
    <row r="2698" ht="15.75" customHeight="1">
      <c r="A2698" s="6" t="s">
        <v>910</v>
      </c>
      <c r="B2698" s="6" t="s">
        <v>547</v>
      </c>
    </row>
    <row r="2699" ht="15.75" customHeight="1">
      <c r="A2699" s="6" t="s">
        <v>1126</v>
      </c>
      <c r="B2699" s="6" t="s">
        <v>547</v>
      </c>
    </row>
    <row r="2700" ht="15.75" customHeight="1">
      <c r="A2700" s="7" t="s">
        <v>97</v>
      </c>
      <c r="B2700" s="7" t="s">
        <v>548</v>
      </c>
    </row>
    <row r="2701" ht="15.75" customHeight="1">
      <c r="A2701" s="7" t="s">
        <v>156</v>
      </c>
      <c r="B2701" s="7" t="s">
        <v>548</v>
      </c>
    </row>
    <row r="2702" ht="15.75" customHeight="1">
      <c r="A2702" s="7" t="s">
        <v>78</v>
      </c>
      <c r="B2702" s="7" t="s">
        <v>548</v>
      </c>
    </row>
    <row r="2703" ht="15.75" customHeight="1">
      <c r="A2703" s="7" t="s">
        <v>166</v>
      </c>
      <c r="B2703" s="7" t="s">
        <v>548</v>
      </c>
    </row>
    <row r="2704" ht="15.75" customHeight="1">
      <c r="A2704" s="7" t="s">
        <v>126</v>
      </c>
      <c r="B2704" s="7" t="s">
        <v>548</v>
      </c>
    </row>
    <row r="2705" ht="15.75" customHeight="1">
      <c r="A2705" s="7" t="s">
        <v>139</v>
      </c>
      <c r="B2705" s="7" t="s">
        <v>548</v>
      </c>
    </row>
    <row r="2706" ht="15.75" customHeight="1">
      <c r="A2706" s="6" t="s">
        <v>910</v>
      </c>
      <c r="B2706" s="6" t="s">
        <v>548</v>
      </c>
    </row>
    <row r="2707" ht="15.75" customHeight="1">
      <c r="A2707" s="7" t="s">
        <v>161</v>
      </c>
      <c r="B2707" s="7" t="s">
        <v>549</v>
      </c>
    </row>
    <row r="2708" ht="15.75" customHeight="1">
      <c r="A2708" s="7" t="s">
        <v>153</v>
      </c>
      <c r="B2708" s="7" t="s">
        <v>549</v>
      </c>
    </row>
    <row r="2709" ht="15.75" customHeight="1">
      <c r="A2709" s="7" t="s">
        <v>141</v>
      </c>
      <c r="B2709" s="7" t="s">
        <v>549</v>
      </c>
    </row>
    <row r="2710" ht="15.75" customHeight="1">
      <c r="A2710" s="7" t="s">
        <v>176</v>
      </c>
      <c r="B2710" s="7" t="s">
        <v>549</v>
      </c>
    </row>
    <row r="2711" ht="15.75" customHeight="1">
      <c r="A2711" s="7" t="s">
        <v>196</v>
      </c>
      <c r="B2711" s="7" t="s">
        <v>549</v>
      </c>
    </row>
    <row r="2712" ht="15.75" customHeight="1">
      <c r="A2712" s="7" t="s">
        <v>145</v>
      </c>
      <c r="B2712" s="7" t="s">
        <v>549</v>
      </c>
    </row>
    <row r="2713" ht="15.75" customHeight="1">
      <c r="A2713" s="6" t="s">
        <v>910</v>
      </c>
      <c r="B2713" s="6" t="s">
        <v>549</v>
      </c>
    </row>
    <row r="2714" ht="15.75" customHeight="1">
      <c r="A2714" s="7" t="s">
        <v>169</v>
      </c>
      <c r="B2714" s="7" t="s">
        <v>550</v>
      </c>
    </row>
    <row r="2715" ht="15.75" customHeight="1">
      <c r="A2715" s="7" t="s">
        <v>77</v>
      </c>
      <c r="B2715" s="7" t="s">
        <v>550</v>
      </c>
    </row>
    <row r="2716" ht="15.75" customHeight="1">
      <c r="A2716" s="7" t="s">
        <v>170</v>
      </c>
      <c r="B2716" s="7" t="s">
        <v>550</v>
      </c>
    </row>
    <row r="2717" ht="15.75" customHeight="1">
      <c r="A2717" s="7" t="s">
        <v>79</v>
      </c>
      <c r="B2717" s="7" t="s">
        <v>550</v>
      </c>
    </row>
    <row r="2718" ht="15.75" customHeight="1">
      <c r="A2718" s="7" t="s">
        <v>93</v>
      </c>
      <c r="B2718" s="7" t="s">
        <v>550</v>
      </c>
    </row>
    <row r="2719" ht="15.75" customHeight="1">
      <c r="A2719" s="7" t="s">
        <v>241</v>
      </c>
      <c r="B2719" s="7" t="s">
        <v>550</v>
      </c>
    </row>
    <row r="2720" ht="15.75" customHeight="1">
      <c r="A2720" s="7" t="s">
        <v>89</v>
      </c>
      <c r="B2720" s="7" t="s">
        <v>551</v>
      </c>
    </row>
    <row r="2721" ht="15.75" customHeight="1">
      <c r="A2721" s="7" t="s">
        <v>146</v>
      </c>
      <c r="B2721" s="7" t="s">
        <v>551</v>
      </c>
    </row>
    <row r="2722" ht="15.75" customHeight="1">
      <c r="A2722" s="7" t="s">
        <v>178</v>
      </c>
      <c r="B2722" s="7" t="s">
        <v>551</v>
      </c>
    </row>
    <row r="2723" ht="15.75" customHeight="1">
      <c r="A2723" s="7" t="s">
        <v>79</v>
      </c>
      <c r="B2723" s="7" t="s">
        <v>551</v>
      </c>
    </row>
    <row r="2724" ht="15.75" customHeight="1">
      <c r="A2724" s="7" t="s">
        <v>87</v>
      </c>
      <c r="B2724" s="7" t="s">
        <v>551</v>
      </c>
    </row>
    <row r="2725" ht="15.75" customHeight="1">
      <c r="A2725" s="7" t="s">
        <v>241</v>
      </c>
      <c r="B2725" s="7" t="s">
        <v>551</v>
      </c>
    </row>
    <row r="2726" ht="15.75" customHeight="1">
      <c r="A2726" s="6" t="s">
        <v>910</v>
      </c>
      <c r="B2726" s="6" t="s">
        <v>551</v>
      </c>
    </row>
    <row r="2727" ht="15.75" customHeight="1">
      <c r="A2727" s="6" t="s">
        <v>1126</v>
      </c>
      <c r="B2727" s="6" t="s">
        <v>551</v>
      </c>
    </row>
    <row r="2728" ht="15.75" customHeight="1">
      <c r="A2728" s="7" t="s">
        <v>82</v>
      </c>
      <c r="B2728" s="7" t="s">
        <v>552</v>
      </c>
    </row>
    <row r="2729" ht="15.75" customHeight="1">
      <c r="A2729" s="7" t="s">
        <v>153</v>
      </c>
      <c r="B2729" s="7" t="s">
        <v>552</v>
      </c>
    </row>
    <row r="2730" ht="15.75" customHeight="1">
      <c r="A2730" s="7" t="s">
        <v>141</v>
      </c>
      <c r="B2730" s="7" t="s">
        <v>552</v>
      </c>
    </row>
    <row r="2731" ht="15.75" customHeight="1">
      <c r="A2731" s="7" t="s">
        <v>86</v>
      </c>
      <c r="B2731" s="7" t="s">
        <v>552</v>
      </c>
    </row>
    <row r="2732" ht="15.75" customHeight="1">
      <c r="A2732" s="7" t="s">
        <v>117</v>
      </c>
      <c r="B2732" s="7" t="s">
        <v>552</v>
      </c>
    </row>
    <row r="2733" ht="15.75" customHeight="1">
      <c r="A2733" s="7" t="s">
        <v>67</v>
      </c>
      <c r="B2733" s="7" t="s">
        <v>552</v>
      </c>
    </row>
    <row r="2734" ht="15.75" customHeight="1">
      <c r="A2734" s="6" t="s">
        <v>910</v>
      </c>
      <c r="B2734" s="6" t="s">
        <v>552</v>
      </c>
    </row>
    <row r="2735" ht="15.75" customHeight="1">
      <c r="A2735" s="7" t="s">
        <v>95</v>
      </c>
      <c r="B2735" s="7" t="s">
        <v>553</v>
      </c>
    </row>
    <row r="2736" ht="15.75" customHeight="1">
      <c r="A2736" s="7" t="s">
        <v>97</v>
      </c>
      <c r="B2736" s="7" t="s">
        <v>553</v>
      </c>
    </row>
    <row r="2737" ht="15.75" customHeight="1">
      <c r="A2737" s="7" t="s">
        <v>84</v>
      </c>
      <c r="B2737" s="7" t="s">
        <v>553</v>
      </c>
    </row>
    <row r="2738" ht="15.75" customHeight="1">
      <c r="A2738" s="7" t="s">
        <v>99</v>
      </c>
      <c r="B2738" s="7" t="s">
        <v>553</v>
      </c>
    </row>
    <row r="2739" ht="15.75" customHeight="1">
      <c r="A2739" s="7" t="s">
        <v>113</v>
      </c>
      <c r="B2739" s="7" t="s">
        <v>553</v>
      </c>
    </row>
    <row r="2740" ht="15.75" customHeight="1">
      <c r="A2740" s="7" t="s">
        <v>241</v>
      </c>
      <c r="B2740" s="7" t="s">
        <v>553</v>
      </c>
    </row>
    <row r="2741" ht="15.75" customHeight="1">
      <c r="A2741" s="6" t="s">
        <v>910</v>
      </c>
      <c r="B2741" s="6" t="s">
        <v>553</v>
      </c>
    </row>
    <row r="2742" ht="15.75" customHeight="1">
      <c r="A2742" s="6" t="s">
        <v>1126</v>
      </c>
      <c r="B2742" s="6" t="s">
        <v>553</v>
      </c>
    </row>
    <row r="2743" ht="15.75" customHeight="1">
      <c r="A2743" s="7" t="s">
        <v>61</v>
      </c>
      <c r="B2743" s="7" t="s">
        <v>554</v>
      </c>
    </row>
    <row r="2744" ht="15.75" customHeight="1">
      <c r="A2744" s="7" t="s">
        <v>63</v>
      </c>
      <c r="B2744" s="7" t="s">
        <v>554</v>
      </c>
    </row>
    <row r="2745" ht="15.75" customHeight="1">
      <c r="A2745" s="7" t="s">
        <v>170</v>
      </c>
      <c r="B2745" s="7" t="s">
        <v>554</v>
      </c>
    </row>
    <row r="2746" ht="15.75" customHeight="1">
      <c r="A2746" s="7" t="s">
        <v>240</v>
      </c>
      <c r="B2746" s="7" t="s">
        <v>554</v>
      </c>
    </row>
    <row r="2747" ht="15.75" customHeight="1">
      <c r="A2747" s="7" t="s">
        <v>93</v>
      </c>
      <c r="B2747" s="7" t="s">
        <v>554</v>
      </c>
    </row>
    <row r="2748" ht="15.75" customHeight="1">
      <c r="A2748" s="7" t="s">
        <v>74</v>
      </c>
      <c r="B2748" s="7" t="s">
        <v>554</v>
      </c>
    </row>
    <row r="2749" ht="15.75" customHeight="1">
      <c r="A2749" s="6" t="s">
        <v>910</v>
      </c>
      <c r="B2749" s="6" t="s">
        <v>554</v>
      </c>
    </row>
    <row r="2750" ht="15.75" customHeight="1">
      <c r="A2750" s="7" t="s">
        <v>148</v>
      </c>
      <c r="B2750" s="7" t="s">
        <v>555</v>
      </c>
    </row>
    <row r="2751" ht="15.75" customHeight="1">
      <c r="A2751" s="7" t="s">
        <v>192</v>
      </c>
      <c r="B2751" s="7" t="s">
        <v>555</v>
      </c>
    </row>
    <row r="2752" ht="15.75" customHeight="1">
      <c r="A2752" s="7" t="s">
        <v>92</v>
      </c>
      <c r="B2752" s="7" t="s">
        <v>555</v>
      </c>
    </row>
    <row r="2753" ht="15.75" customHeight="1">
      <c r="A2753" s="7" t="s">
        <v>184</v>
      </c>
      <c r="B2753" s="7" t="s">
        <v>555</v>
      </c>
    </row>
    <row r="2754" ht="15.75" customHeight="1">
      <c r="A2754" s="7" t="s">
        <v>208</v>
      </c>
      <c r="B2754" s="7" t="s">
        <v>555</v>
      </c>
    </row>
    <row r="2755" ht="15.75" customHeight="1">
      <c r="A2755" s="7" t="s">
        <v>88</v>
      </c>
      <c r="B2755" s="7" t="s">
        <v>555</v>
      </c>
    </row>
    <row r="2756" ht="15.75" customHeight="1">
      <c r="A2756" s="6" t="s">
        <v>910</v>
      </c>
      <c r="B2756" s="6" t="s">
        <v>555</v>
      </c>
    </row>
    <row r="2757" ht="15.75" customHeight="1">
      <c r="A2757" s="7" t="s">
        <v>89</v>
      </c>
      <c r="B2757" s="7" t="s">
        <v>556</v>
      </c>
    </row>
    <row r="2758" ht="15.75" customHeight="1">
      <c r="A2758" s="7" t="s">
        <v>68</v>
      </c>
      <c r="B2758" s="7" t="s">
        <v>556</v>
      </c>
    </row>
    <row r="2759" ht="15.75" customHeight="1">
      <c r="A2759" s="7" t="s">
        <v>178</v>
      </c>
      <c r="B2759" s="7" t="s">
        <v>556</v>
      </c>
    </row>
    <row r="2760" ht="15.75" customHeight="1">
      <c r="A2760" s="7" t="s">
        <v>99</v>
      </c>
      <c r="B2760" s="7" t="s">
        <v>556</v>
      </c>
    </row>
    <row r="2761" ht="15.75" customHeight="1">
      <c r="A2761" s="7" t="s">
        <v>93</v>
      </c>
      <c r="B2761" s="7" t="s">
        <v>556</v>
      </c>
    </row>
    <row r="2762" ht="15.75" customHeight="1">
      <c r="A2762" s="7" t="s">
        <v>241</v>
      </c>
      <c r="B2762" s="7" t="s">
        <v>556</v>
      </c>
    </row>
    <row r="2763" ht="15.75" customHeight="1">
      <c r="A2763" s="6" t="s">
        <v>910</v>
      </c>
      <c r="B2763" s="6" t="s">
        <v>556</v>
      </c>
    </row>
    <row r="2764" ht="15.75" customHeight="1">
      <c r="A2764" s="7" t="s">
        <v>134</v>
      </c>
      <c r="B2764" s="7" t="s">
        <v>557</v>
      </c>
    </row>
    <row r="2765" ht="15.75" customHeight="1">
      <c r="A2765" s="7" t="s">
        <v>85</v>
      </c>
      <c r="B2765" s="7" t="s">
        <v>557</v>
      </c>
    </row>
    <row r="2766" ht="15.75" customHeight="1">
      <c r="A2766" s="7" t="s">
        <v>175</v>
      </c>
      <c r="B2766" s="7" t="s">
        <v>557</v>
      </c>
    </row>
    <row r="2767" ht="15.75" customHeight="1">
      <c r="A2767" s="7" t="s">
        <v>176</v>
      </c>
      <c r="B2767" s="7" t="s">
        <v>557</v>
      </c>
    </row>
    <row r="2768" ht="15.75" customHeight="1">
      <c r="A2768" s="7" t="s">
        <v>126</v>
      </c>
      <c r="B2768" s="7" t="s">
        <v>557</v>
      </c>
    </row>
    <row r="2769" ht="15.75" customHeight="1">
      <c r="A2769" s="7" t="s">
        <v>145</v>
      </c>
      <c r="B2769" s="7" t="s">
        <v>557</v>
      </c>
    </row>
    <row r="2770" ht="15.75" customHeight="1">
      <c r="A2770" s="7" t="s">
        <v>159</v>
      </c>
      <c r="B2770" s="7" t="s">
        <v>558</v>
      </c>
    </row>
    <row r="2771" ht="15.75" customHeight="1">
      <c r="A2771" s="7" t="s">
        <v>161</v>
      </c>
      <c r="B2771" s="7" t="s">
        <v>558</v>
      </c>
    </row>
    <row r="2772" ht="15.75" customHeight="1">
      <c r="A2772" s="7" t="s">
        <v>175</v>
      </c>
      <c r="B2772" s="7" t="s">
        <v>558</v>
      </c>
    </row>
    <row r="2773" ht="15.75" customHeight="1">
      <c r="A2773" s="7" t="s">
        <v>207</v>
      </c>
      <c r="B2773" s="7" t="s">
        <v>558</v>
      </c>
    </row>
    <row r="2774" ht="15.75" customHeight="1">
      <c r="A2774" s="7" t="s">
        <v>93</v>
      </c>
      <c r="B2774" s="7" t="s">
        <v>558</v>
      </c>
    </row>
    <row r="2775" ht="15.75" customHeight="1">
      <c r="A2775" s="7" t="s">
        <v>154</v>
      </c>
      <c r="B2775" s="7" t="s">
        <v>558</v>
      </c>
    </row>
    <row r="2776" ht="15.75" customHeight="1">
      <c r="A2776" s="6" t="s">
        <v>910</v>
      </c>
      <c r="B2776" s="6" t="s">
        <v>558</v>
      </c>
    </row>
    <row r="2777" ht="15.75" customHeight="1">
      <c r="A2777" s="7" t="s">
        <v>114</v>
      </c>
      <c r="B2777" s="7" t="s">
        <v>559</v>
      </c>
    </row>
    <row r="2778" ht="15.75" customHeight="1">
      <c r="A2778" s="7" t="s">
        <v>75</v>
      </c>
      <c r="B2778" s="7" t="s">
        <v>559</v>
      </c>
    </row>
    <row r="2779" ht="15.75" customHeight="1">
      <c r="A2779" s="7" t="s">
        <v>104</v>
      </c>
      <c r="B2779" s="7" t="s">
        <v>559</v>
      </c>
    </row>
    <row r="2780" ht="15.75" customHeight="1">
      <c r="A2780" s="7" t="s">
        <v>65</v>
      </c>
      <c r="B2780" s="7" t="s">
        <v>559</v>
      </c>
    </row>
    <row r="2781" ht="15.75" customHeight="1">
      <c r="A2781" s="7" t="s">
        <v>117</v>
      </c>
      <c r="B2781" s="7" t="s">
        <v>559</v>
      </c>
    </row>
    <row r="2782" ht="15.75" customHeight="1">
      <c r="A2782" s="7" t="s">
        <v>118</v>
      </c>
      <c r="B2782" s="7" t="s">
        <v>559</v>
      </c>
    </row>
    <row r="2783" ht="15.75" customHeight="1">
      <c r="A2783" s="6" t="s">
        <v>910</v>
      </c>
      <c r="B2783" s="6" t="s">
        <v>559</v>
      </c>
    </row>
    <row r="2784" ht="15.75" customHeight="1">
      <c r="A2784" s="7" t="s">
        <v>114</v>
      </c>
      <c r="B2784" s="7" t="s">
        <v>560</v>
      </c>
    </row>
    <row r="2785" ht="15.75" customHeight="1">
      <c r="A2785" s="7" t="s">
        <v>169</v>
      </c>
      <c r="B2785" s="7" t="s">
        <v>560</v>
      </c>
    </row>
    <row r="2786" ht="15.75" customHeight="1">
      <c r="A2786" s="7" t="s">
        <v>178</v>
      </c>
      <c r="B2786" s="7" t="s">
        <v>560</v>
      </c>
    </row>
    <row r="2787" ht="15.75" customHeight="1">
      <c r="A2787" s="7" t="s">
        <v>110</v>
      </c>
      <c r="B2787" s="7" t="s">
        <v>560</v>
      </c>
    </row>
    <row r="2788" ht="15.75" customHeight="1">
      <c r="A2788" s="7" t="s">
        <v>222</v>
      </c>
      <c r="B2788" s="7" t="s">
        <v>560</v>
      </c>
    </row>
    <row r="2789" ht="15.75" customHeight="1">
      <c r="A2789" s="7" t="s">
        <v>171</v>
      </c>
      <c r="B2789" s="7" t="s">
        <v>560</v>
      </c>
    </row>
    <row r="2790" ht="15.75" customHeight="1">
      <c r="A2790" s="6" t="s">
        <v>910</v>
      </c>
      <c r="B2790" s="6" t="s">
        <v>560</v>
      </c>
    </row>
    <row r="2791" ht="15.75" customHeight="1">
      <c r="A2791" s="7" t="s">
        <v>173</v>
      </c>
      <c r="B2791" s="7" t="s">
        <v>561</v>
      </c>
    </row>
    <row r="2792" ht="15.75" customHeight="1">
      <c r="A2792" s="7" t="s">
        <v>153</v>
      </c>
      <c r="B2792" s="7" t="s">
        <v>561</v>
      </c>
    </row>
    <row r="2793" ht="15.75" customHeight="1">
      <c r="A2793" s="7" t="s">
        <v>71</v>
      </c>
      <c r="B2793" s="7" t="s">
        <v>561</v>
      </c>
    </row>
    <row r="2794" ht="15.75" customHeight="1">
      <c r="A2794" s="7" t="s">
        <v>157</v>
      </c>
      <c r="B2794" s="7" t="s">
        <v>561</v>
      </c>
    </row>
    <row r="2795" ht="15.75" customHeight="1">
      <c r="A2795" s="7" t="s">
        <v>196</v>
      </c>
      <c r="B2795" s="7" t="s">
        <v>561</v>
      </c>
    </row>
    <row r="2796" ht="15.75" customHeight="1">
      <c r="A2796" s="7" t="s">
        <v>127</v>
      </c>
      <c r="B2796" s="7" t="s">
        <v>561</v>
      </c>
    </row>
    <row r="2797" ht="15.75" customHeight="1">
      <c r="A2797" s="6" t="s">
        <v>910</v>
      </c>
      <c r="B2797" s="6" t="s">
        <v>561</v>
      </c>
    </row>
    <row r="2798" ht="15.75" customHeight="1">
      <c r="A2798" s="7" t="s">
        <v>190</v>
      </c>
      <c r="B2798" s="7" t="s">
        <v>562</v>
      </c>
    </row>
    <row r="2799" ht="15.75" customHeight="1">
      <c r="A2799" s="7" t="s">
        <v>102</v>
      </c>
      <c r="B2799" s="7" t="s">
        <v>562</v>
      </c>
    </row>
    <row r="2800" ht="15.75" customHeight="1">
      <c r="A2800" s="7" t="s">
        <v>85</v>
      </c>
      <c r="B2800" s="7" t="s">
        <v>562</v>
      </c>
    </row>
    <row r="2801" ht="15.75" customHeight="1">
      <c r="A2801" s="7" t="s">
        <v>184</v>
      </c>
      <c r="B2801" s="7" t="s">
        <v>562</v>
      </c>
    </row>
    <row r="2802" ht="15.75" customHeight="1">
      <c r="A2802" s="7" t="s">
        <v>66</v>
      </c>
      <c r="B2802" s="7" t="s">
        <v>562</v>
      </c>
    </row>
    <row r="2803" ht="15.75" customHeight="1">
      <c r="A2803" s="7" t="s">
        <v>185</v>
      </c>
      <c r="B2803" s="7" t="s">
        <v>562</v>
      </c>
    </row>
    <row r="2804" ht="15.75" customHeight="1">
      <c r="A2804" s="6" t="s">
        <v>910</v>
      </c>
      <c r="B2804" s="6" t="s">
        <v>562</v>
      </c>
    </row>
    <row r="2805" ht="15.75" customHeight="1">
      <c r="A2805" s="6" t="s">
        <v>1126</v>
      </c>
      <c r="B2805" s="6" t="s">
        <v>562</v>
      </c>
    </row>
    <row r="2806" ht="15.75" customHeight="1">
      <c r="A2806" s="7" t="s">
        <v>100</v>
      </c>
      <c r="B2806" s="7" t="s">
        <v>563</v>
      </c>
    </row>
    <row r="2807" ht="15.75" customHeight="1">
      <c r="A2807" s="7" t="s">
        <v>153</v>
      </c>
      <c r="B2807" s="7" t="s">
        <v>563</v>
      </c>
    </row>
    <row r="2808" ht="15.75" customHeight="1">
      <c r="A2808" s="7" t="s">
        <v>141</v>
      </c>
      <c r="B2808" s="7" t="s">
        <v>563</v>
      </c>
    </row>
    <row r="2809" ht="15.75" customHeight="1">
      <c r="A2809" s="7" t="s">
        <v>189</v>
      </c>
      <c r="B2809" s="7" t="s">
        <v>563</v>
      </c>
    </row>
    <row r="2810" ht="15.75" customHeight="1">
      <c r="A2810" s="7" t="s">
        <v>117</v>
      </c>
      <c r="B2810" s="7" t="s">
        <v>563</v>
      </c>
    </row>
    <row r="2811" ht="15.75" customHeight="1">
      <c r="A2811" s="7" t="s">
        <v>199</v>
      </c>
      <c r="B2811" s="7" t="s">
        <v>563</v>
      </c>
    </row>
    <row r="2812" ht="15.75" customHeight="1">
      <c r="A2812" s="6" t="s">
        <v>910</v>
      </c>
      <c r="B2812" s="6" t="s">
        <v>563</v>
      </c>
    </row>
    <row r="2813" ht="15.75" customHeight="1">
      <c r="A2813" s="7" t="s">
        <v>204</v>
      </c>
      <c r="B2813" s="7" t="s">
        <v>564</v>
      </c>
    </row>
    <row r="2814" ht="15.75" customHeight="1">
      <c r="A2814" s="7" t="s">
        <v>192</v>
      </c>
      <c r="B2814" s="7" t="s">
        <v>564</v>
      </c>
    </row>
    <row r="2815" ht="15.75" customHeight="1">
      <c r="A2815" s="7" t="s">
        <v>153</v>
      </c>
      <c r="B2815" s="7" t="s">
        <v>564</v>
      </c>
    </row>
    <row r="2816" ht="15.75" customHeight="1">
      <c r="A2816" s="7" t="s">
        <v>189</v>
      </c>
      <c r="B2816" s="7" t="s">
        <v>564</v>
      </c>
    </row>
    <row r="2817" ht="15.75" customHeight="1">
      <c r="A2817" s="7" t="s">
        <v>142</v>
      </c>
      <c r="B2817" s="7" t="s">
        <v>564</v>
      </c>
    </row>
    <row r="2818" ht="15.75" customHeight="1">
      <c r="A2818" s="7" t="s">
        <v>67</v>
      </c>
      <c r="B2818" s="7" t="s">
        <v>564</v>
      </c>
    </row>
    <row r="2819" ht="15.75" customHeight="1">
      <c r="A2819" s="6" t="s">
        <v>910</v>
      </c>
      <c r="B2819" s="6" t="s">
        <v>564</v>
      </c>
    </row>
    <row r="2820" ht="15.75" customHeight="1">
      <c r="A2820" s="7" t="s">
        <v>169</v>
      </c>
      <c r="B2820" s="7" t="s">
        <v>565</v>
      </c>
    </row>
    <row r="2821" ht="15.75" customHeight="1">
      <c r="A2821" s="7" t="s">
        <v>183</v>
      </c>
      <c r="B2821" s="7" t="s">
        <v>565</v>
      </c>
    </row>
    <row r="2822" ht="15.75" customHeight="1">
      <c r="A2822" s="7" t="s">
        <v>153</v>
      </c>
      <c r="B2822" s="7" t="s">
        <v>565</v>
      </c>
    </row>
    <row r="2823" ht="15.75" customHeight="1">
      <c r="A2823" s="7" t="s">
        <v>86</v>
      </c>
      <c r="B2823" s="7" t="s">
        <v>565</v>
      </c>
    </row>
    <row r="2824" ht="15.75" customHeight="1">
      <c r="A2824" s="7" t="s">
        <v>117</v>
      </c>
      <c r="B2824" s="7" t="s">
        <v>565</v>
      </c>
    </row>
    <row r="2825" ht="15.75" customHeight="1">
      <c r="A2825" s="7" t="s">
        <v>154</v>
      </c>
      <c r="B2825" s="7" t="s">
        <v>565</v>
      </c>
    </row>
    <row r="2826" ht="15.75" customHeight="1">
      <c r="A2826" s="6" t="s">
        <v>910</v>
      </c>
      <c r="B2826" s="6" t="s">
        <v>565</v>
      </c>
    </row>
    <row r="2827" ht="15.75" customHeight="1">
      <c r="A2827" s="7" t="s">
        <v>148</v>
      </c>
      <c r="B2827" s="7" t="s">
        <v>566</v>
      </c>
    </row>
    <row r="2828" ht="15.75" customHeight="1">
      <c r="A2828" s="7" t="s">
        <v>85</v>
      </c>
      <c r="B2828" s="7" t="s">
        <v>566</v>
      </c>
    </row>
    <row r="2829" ht="15.75" customHeight="1">
      <c r="A2829" s="7" t="s">
        <v>78</v>
      </c>
      <c r="B2829" s="7" t="s">
        <v>566</v>
      </c>
    </row>
    <row r="2830" ht="15.75" customHeight="1">
      <c r="A2830" s="7" t="s">
        <v>86</v>
      </c>
      <c r="B2830" s="7" t="s">
        <v>566</v>
      </c>
    </row>
    <row r="2831" ht="15.75" customHeight="1">
      <c r="A2831" s="7" t="s">
        <v>113</v>
      </c>
      <c r="B2831" s="7" t="s">
        <v>566</v>
      </c>
    </row>
    <row r="2832" ht="15.75" customHeight="1">
      <c r="A2832" s="7" t="s">
        <v>199</v>
      </c>
      <c r="B2832" s="7" t="s">
        <v>566</v>
      </c>
    </row>
    <row r="2833" ht="15.75" customHeight="1">
      <c r="A2833" s="6" t="s">
        <v>910</v>
      </c>
      <c r="B2833" s="6" t="s">
        <v>566</v>
      </c>
    </row>
    <row r="2834" ht="15.75" customHeight="1">
      <c r="A2834" s="6" t="s">
        <v>1126</v>
      </c>
      <c r="B2834" s="6" t="s">
        <v>566</v>
      </c>
    </row>
    <row r="2835" ht="15.75" customHeight="1">
      <c r="A2835" s="7" t="s">
        <v>63</v>
      </c>
      <c r="B2835" s="7" t="s">
        <v>567</v>
      </c>
    </row>
    <row r="2836" ht="15.75" customHeight="1">
      <c r="A2836" s="7" t="s">
        <v>134</v>
      </c>
      <c r="B2836" s="7" t="s">
        <v>567</v>
      </c>
    </row>
    <row r="2837" ht="15.75" customHeight="1">
      <c r="A2837" s="7" t="s">
        <v>71</v>
      </c>
      <c r="B2837" s="7" t="s">
        <v>567</v>
      </c>
    </row>
    <row r="2838" ht="15.75" customHeight="1">
      <c r="A2838" s="7" t="s">
        <v>116</v>
      </c>
      <c r="B2838" s="7" t="s">
        <v>567</v>
      </c>
    </row>
    <row r="2839" ht="15.75" customHeight="1">
      <c r="A2839" s="7" t="s">
        <v>131</v>
      </c>
      <c r="B2839" s="7" t="s">
        <v>567</v>
      </c>
    </row>
    <row r="2840" ht="15.75" customHeight="1">
      <c r="A2840" s="7" t="s">
        <v>118</v>
      </c>
      <c r="B2840" s="7" t="s">
        <v>567</v>
      </c>
    </row>
    <row r="2841" ht="15.75" customHeight="1">
      <c r="A2841" s="6" t="s">
        <v>910</v>
      </c>
      <c r="B2841" s="6" t="s">
        <v>567</v>
      </c>
    </row>
    <row r="2842" ht="15.75" customHeight="1">
      <c r="A2842" s="7" t="s">
        <v>226</v>
      </c>
      <c r="B2842" s="7" t="s">
        <v>568</v>
      </c>
    </row>
    <row r="2843" ht="15.75" customHeight="1">
      <c r="A2843" s="7" t="s">
        <v>109</v>
      </c>
      <c r="B2843" s="7" t="s">
        <v>568</v>
      </c>
    </row>
    <row r="2844" ht="15.75" customHeight="1">
      <c r="A2844" s="7" t="s">
        <v>178</v>
      </c>
      <c r="B2844" s="7" t="s">
        <v>568</v>
      </c>
    </row>
    <row r="2845" ht="15.75" customHeight="1">
      <c r="A2845" s="7" t="s">
        <v>110</v>
      </c>
      <c r="B2845" s="7" t="s">
        <v>568</v>
      </c>
    </row>
    <row r="2846" ht="15.75" customHeight="1">
      <c r="A2846" s="7" t="s">
        <v>196</v>
      </c>
      <c r="B2846" s="7" t="s">
        <v>568</v>
      </c>
    </row>
    <row r="2847" ht="15.75" customHeight="1">
      <c r="A2847" s="7" t="s">
        <v>107</v>
      </c>
      <c r="B2847" s="7" t="s">
        <v>568</v>
      </c>
    </row>
    <row r="2848" ht="15.75" customHeight="1">
      <c r="A2848" s="6" t="s">
        <v>910</v>
      </c>
      <c r="B2848" s="6" t="s">
        <v>568</v>
      </c>
    </row>
    <row r="2849" ht="15.75" customHeight="1">
      <c r="A2849" s="7" t="s">
        <v>159</v>
      </c>
      <c r="B2849" s="7" t="s">
        <v>569</v>
      </c>
    </row>
    <row r="2850" ht="15.75" customHeight="1">
      <c r="A2850" s="7" t="s">
        <v>134</v>
      </c>
      <c r="B2850" s="7" t="s">
        <v>569</v>
      </c>
    </row>
    <row r="2851" ht="15.75" customHeight="1">
      <c r="A2851" s="7" t="s">
        <v>175</v>
      </c>
      <c r="B2851" s="7" t="s">
        <v>569</v>
      </c>
    </row>
    <row r="2852" ht="15.75" customHeight="1">
      <c r="A2852" s="7" t="s">
        <v>184</v>
      </c>
      <c r="B2852" s="7" t="s">
        <v>569</v>
      </c>
    </row>
    <row r="2853" ht="15.75" customHeight="1">
      <c r="A2853" s="7" t="s">
        <v>117</v>
      </c>
      <c r="B2853" s="7" t="s">
        <v>569</v>
      </c>
    </row>
    <row r="2854" ht="15.75" customHeight="1">
      <c r="A2854" s="7" t="s">
        <v>88</v>
      </c>
      <c r="B2854" s="7" t="s">
        <v>569</v>
      </c>
    </row>
    <row r="2855" ht="15.75" customHeight="1">
      <c r="A2855" s="6" t="s">
        <v>910</v>
      </c>
      <c r="B2855" s="6" t="s">
        <v>569</v>
      </c>
    </row>
    <row r="2856" ht="15.75" customHeight="1">
      <c r="A2856" s="7" t="s">
        <v>63</v>
      </c>
      <c r="B2856" s="7" t="s">
        <v>570</v>
      </c>
    </row>
    <row r="2857" ht="15.75" customHeight="1">
      <c r="A2857" s="7" t="s">
        <v>97</v>
      </c>
      <c r="B2857" s="7" t="s">
        <v>570</v>
      </c>
    </row>
    <row r="2858" ht="15.75" customHeight="1">
      <c r="A2858" s="7" t="s">
        <v>104</v>
      </c>
      <c r="B2858" s="7" t="s">
        <v>570</v>
      </c>
    </row>
    <row r="2859" ht="15.75" customHeight="1">
      <c r="A2859" s="7" t="s">
        <v>65</v>
      </c>
      <c r="B2859" s="7" t="s">
        <v>570</v>
      </c>
    </row>
    <row r="2860" ht="15.75" customHeight="1">
      <c r="A2860" s="7" t="s">
        <v>208</v>
      </c>
      <c r="B2860" s="7" t="s">
        <v>570</v>
      </c>
    </row>
    <row r="2861" ht="15.75" customHeight="1">
      <c r="A2861" s="7" t="s">
        <v>154</v>
      </c>
      <c r="B2861" s="7" t="s">
        <v>570</v>
      </c>
    </row>
    <row r="2862" ht="15.75" customHeight="1">
      <c r="A2862" s="6" t="s">
        <v>910</v>
      </c>
      <c r="B2862" s="6" t="s">
        <v>570</v>
      </c>
    </row>
    <row r="2863" ht="15.75" customHeight="1">
      <c r="A2863" s="7" t="s">
        <v>61</v>
      </c>
      <c r="B2863" s="7" t="s">
        <v>571</v>
      </c>
    </row>
    <row r="2864" ht="15.75" customHeight="1">
      <c r="A2864" s="7" t="s">
        <v>137</v>
      </c>
      <c r="B2864" s="7" t="s">
        <v>571</v>
      </c>
    </row>
    <row r="2865" ht="15.75" customHeight="1">
      <c r="A2865" s="7" t="s">
        <v>71</v>
      </c>
      <c r="B2865" s="7" t="s">
        <v>571</v>
      </c>
    </row>
    <row r="2866" ht="15.75" customHeight="1">
      <c r="A2866" s="7" t="s">
        <v>176</v>
      </c>
      <c r="B2866" s="7" t="s">
        <v>571</v>
      </c>
    </row>
    <row r="2867" ht="15.75" customHeight="1">
      <c r="A2867" s="7" t="s">
        <v>126</v>
      </c>
      <c r="B2867" s="7" t="s">
        <v>571</v>
      </c>
    </row>
    <row r="2868" ht="15.75" customHeight="1">
      <c r="A2868" s="7" t="s">
        <v>107</v>
      </c>
      <c r="B2868" s="7" t="s">
        <v>571</v>
      </c>
    </row>
    <row r="2869" ht="15.75" customHeight="1">
      <c r="A2869" s="6" t="s">
        <v>910</v>
      </c>
      <c r="B2869" s="6" t="s">
        <v>571</v>
      </c>
    </row>
    <row r="2870" ht="15.75" customHeight="1">
      <c r="A2870" s="7" t="s">
        <v>70</v>
      </c>
      <c r="B2870" s="7" t="s">
        <v>572</v>
      </c>
    </row>
    <row r="2871" ht="15.75" customHeight="1">
      <c r="A2871" s="7" t="s">
        <v>198</v>
      </c>
      <c r="B2871" s="7" t="s">
        <v>572</v>
      </c>
    </row>
    <row r="2872" ht="15.75" customHeight="1">
      <c r="A2872" s="7" t="s">
        <v>85</v>
      </c>
      <c r="B2872" s="7" t="s">
        <v>572</v>
      </c>
    </row>
    <row r="2873" ht="15.75" customHeight="1">
      <c r="A2873" s="7" t="s">
        <v>207</v>
      </c>
      <c r="B2873" s="7" t="s">
        <v>572</v>
      </c>
    </row>
    <row r="2874" ht="15.75" customHeight="1">
      <c r="A2874" s="7" t="s">
        <v>117</v>
      </c>
      <c r="B2874" s="7" t="s">
        <v>572</v>
      </c>
    </row>
    <row r="2875" ht="15.75" customHeight="1">
      <c r="A2875" s="7" t="s">
        <v>67</v>
      </c>
      <c r="B2875" s="7" t="s">
        <v>572</v>
      </c>
    </row>
    <row r="2876" ht="15.75" customHeight="1">
      <c r="A2876" s="6" t="s">
        <v>910</v>
      </c>
      <c r="B2876" s="6" t="s">
        <v>572</v>
      </c>
    </row>
    <row r="2877" ht="15.75" customHeight="1">
      <c r="A2877" s="7" t="s">
        <v>97</v>
      </c>
      <c r="B2877" s="7" t="s">
        <v>573</v>
      </c>
    </row>
    <row r="2878" ht="15.75" customHeight="1">
      <c r="A2878" s="7" t="s">
        <v>64</v>
      </c>
      <c r="B2878" s="7" t="s">
        <v>573</v>
      </c>
    </row>
    <row r="2879" ht="15.75" customHeight="1">
      <c r="A2879" s="7" t="s">
        <v>77</v>
      </c>
      <c r="B2879" s="7" t="s">
        <v>573</v>
      </c>
    </row>
    <row r="2880" ht="15.75" customHeight="1">
      <c r="A2880" s="7" t="s">
        <v>79</v>
      </c>
      <c r="B2880" s="7" t="s">
        <v>573</v>
      </c>
    </row>
    <row r="2881" ht="15.75" customHeight="1">
      <c r="A2881" s="7" t="s">
        <v>66</v>
      </c>
      <c r="B2881" s="7" t="s">
        <v>573</v>
      </c>
    </row>
    <row r="2882" ht="15.75" customHeight="1">
      <c r="A2882" s="7" t="s">
        <v>81</v>
      </c>
      <c r="B2882" s="7" t="s">
        <v>573</v>
      </c>
    </row>
    <row r="2883" ht="15.75" customHeight="1">
      <c r="A2883" s="6" t="s">
        <v>910</v>
      </c>
      <c r="B2883" s="6" t="s">
        <v>573</v>
      </c>
    </row>
    <row r="2884" ht="15.75" customHeight="1">
      <c r="A2884" s="6" t="s">
        <v>1126</v>
      </c>
      <c r="B2884" s="6" t="s">
        <v>573</v>
      </c>
    </row>
    <row r="2885" ht="15.75" customHeight="1">
      <c r="A2885" s="7" t="s">
        <v>68</v>
      </c>
      <c r="B2885" s="7" t="s">
        <v>574</v>
      </c>
    </row>
    <row r="2886" ht="15.75" customHeight="1">
      <c r="A2886" s="7" t="s">
        <v>148</v>
      </c>
      <c r="B2886" s="7" t="s">
        <v>574</v>
      </c>
    </row>
    <row r="2887" ht="15.75" customHeight="1">
      <c r="A2887" s="7" t="s">
        <v>84</v>
      </c>
      <c r="B2887" s="7" t="s">
        <v>574</v>
      </c>
    </row>
    <row r="2888" ht="15.75" customHeight="1">
      <c r="A2888" s="7" t="s">
        <v>72</v>
      </c>
      <c r="B2888" s="7" t="s">
        <v>574</v>
      </c>
    </row>
    <row r="2889" ht="15.75" customHeight="1">
      <c r="A2889" s="7" t="s">
        <v>73</v>
      </c>
      <c r="B2889" s="7" t="s">
        <v>574</v>
      </c>
    </row>
    <row r="2890" ht="15.75" customHeight="1">
      <c r="A2890" s="7" t="s">
        <v>241</v>
      </c>
      <c r="B2890" s="7" t="s">
        <v>574</v>
      </c>
    </row>
    <row r="2891" ht="15.75" customHeight="1">
      <c r="A2891" s="6" t="s">
        <v>910</v>
      </c>
      <c r="B2891" s="6" t="s">
        <v>574</v>
      </c>
    </row>
    <row r="2892" ht="15.75" customHeight="1">
      <c r="A2892" s="7" t="s">
        <v>89</v>
      </c>
      <c r="B2892" s="7" t="s">
        <v>575</v>
      </c>
    </row>
    <row r="2893" ht="15.75" customHeight="1">
      <c r="A2893" s="7" t="s">
        <v>92</v>
      </c>
      <c r="B2893" s="7" t="s">
        <v>575</v>
      </c>
    </row>
    <row r="2894" ht="15.75" customHeight="1">
      <c r="A2894" s="7" t="s">
        <v>178</v>
      </c>
      <c r="B2894" s="7" t="s">
        <v>575</v>
      </c>
    </row>
    <row r="2895" ht="15.75" customHeight="1">
      <c r="A2895" s="7" t="s">
        <v>240</v>
      </c>
      <c r="B2895" s="7" t="s">
        <v>575</v>
      </c>
    </row>
    <row r="2896" ht="15.75" customHeight="1">
      <c r="A2896" s="7" t="s">
        <v>73</v>
      </c>
      <c r="B2896" s="7" t="s">
        <v>575</v>
      </c>
    </row>
    <row r="2897" ht="15.75" customHeight="1">
      <c r="A2897" s="7" t="s">
        <v>241</v>
      </c>
      <c r="B2897" s="7" t="s">
        <v>575</v>
      </c>
    </row>
    <row r="2898" ht="15.75" customHeight="1">
      <c r="A2898" s="6" t="s">
        <v>910</v>
      </c>
      <c r="B2898" s="6" t="s">
        <v>575</v>
      </c>
    </row>
    <row r="2899" ht="15.75" customHeight="1">
      <c r="A2899" s="7" t="s">
        <v>89</v>
      </c>
      <c r="B2899" s="7" t="s">
        <v>576</v>
      </c>
    </row>
    <row r="2900" ht="15.75" customHeight="1">
      <c r="A2900" s="7" t="s">
        <v>194</v>
      </c>
      <c r="B2900" s="7" t="s">
        <v>576</v>
      </c>
    </row>
    <row r="2901" ht="15.75" customHeight="1">
      <c r="A2901" s="7" t="s">
        <v>178</v>
      </c>
      <c r="B2901" s="7" t="s">
        <v>576</v>
      </c>
    </row>
    <row r="2902" ht="15.75" customHeight="1">
      <c r="A2902" s="7" t="s">
        <v>110</v>
      </c>
      <c r="B2902" s="7" t="s">
        <v>576</v>
      </c>
    </row>
    <row r="2903" ht="15.75" customHeight="1">
      <c r="A2903" s="7" t="s">
        <v>162</v>
      </c>
      <c r="B2903" s="7" t="s">
        <v>576</v>
      </c>
    </row>
    <row r="2904" ht="15.75" customHeight="1">
      <c r="A2904" s="7" t="s">
        <v>107</v>
      </c>
      <c r="B2904" s="7" t="s">
        <v>576</v>
      </c>
    </row>
    <row r="2905" ht="15.75" customHeight="1">
      <c r="A2905" s="6" t="s">
        <v>910</v>
      </c>
      <c r="B2905" s="6" t="s">
        <v>576</v>
      </c>
    </row>
    <row r="2906" ht="15.75" customHeight="1">
      <c r="A2906" s="7" t="s">
        <v>132</v>
      </c>
      <c r="B2906" s="7" t="s">
        <v>577</v>
      </c>
    </row>
    <row r="2907" ht="15.75" customHeight="1">
      <c r="A2907" s="7" t="s">
        <v>97</v>
      </c>
      <c r="B2907" s="7" t="s">
        <v>577</v>
      </c>
    </row>
    <row r="2908" ht="15.75" customHeight="1">
      <c r="A2908" s="7" t="s">
        <v>104</v>
      </c>
      <c r="B2908" s="7" t="s">
        <v>577</v>
      </c>
    </row>
    <row r="2909" ht="15.75" customHeight="1">
      <c r="A2909" s="7" t="s">
        <v>123</v>
      </c>
      <c r="B2909" s="7" t="s">
        <v>577</v>
      </c>
    </row>
    <row r="2910" ht="15.75" customHeight="1">
      <c r="A2910" s="7" t="s">
        <v>106</v>
      </c>
      <c r="B2910" s="7" t="s">
        <v>577</v>
      </c>
    </row>
    <row r="2911" ht="15.75" customHeight="1">
      <c r="A2911" s="7" t="s">
        <v>111</v>
      </c>
      <c r="B2911" s="7" t="s">
        <v>577</v>
      </c>
    </row>
    <row r="2912" ht="15.75" customHeight="1">
      <c r="A2912" s="6" t="s">
        <v>910</v>
      </c>
      <c r="B2912" s="6" t="s">
        <v>577</v>
      </c>
    </row>
    <row r="2913" ht="15.75" customHeight="1">
      <c r="A2913" s="7" t="s">
        <v>75</v>
      </c>
      <c r="B2913" s="7" t="s">
        <v>578</v>
      </c>
    </row>
    <row r="2914" ht="15.75" customHeight="1">
      <c r="A2914" s="7" t="s">
        <v>156</v>
      </c>
      <c r="B2914" s="7" t="s">
        <v>578</v>
      </c>
    </row>
    <row r="2915" ht="15.75" customHeight="1">
      <c r="A2915" s="7" t="s">
        <v>98</v>
      </c>
      <c r="B2915" s="7" t="s">
        <v>578</v>
      </c>
    </row>
    <row r="2916" ht="15.75" customHeight="1">
      <c r="A2916" s="7" t="s">
        <v>157</v>
      </c>
      <c r="B2916" s="7" t="s">
        <v>578</v>
      </c>
    </row>
    <row r="2917" ht="15.75" customHeight="1">
      <c r="A2917" s="7" t="s">
        <v>150</v>
      </c>
      <c r="B2917" s="7" t="s">
        <v>578</v>
      </c>
    </row>
    <row r="2918" ht="15.75" customHeight="1">
      <c r="A2918" s="7" t="s">
        <v>158</v>
      </c>
      <c r="B2918" s="7" t="s">
        <v>578</v>
      </c>
    </row>
    <row r="2919" ht="15.75" customHeight="1">
      <c r="A2919" s="6" t="s">
        <v>910</v>
      </c>
      <c r="B2919" s="6" t="s">
        <v>578</v>
      </c>
    </row>
    <row r="2920" ht="15.75" customHeight="1">
      <c r="A2920" s="7" t="s">
        <v>82</v>
      </c>
      <c r="B2920" s="7" t="s">
        <v>579</v>
      </c>
    </row>
    <row r="2921" ht="15.75" customHeight="1">
      <c r="A2921" s="7" t="s">
        <v>84</v>
      </c>
      <c r="B2921" s="7" t="s">
        <v>579</v>
      </c>
    </row>
    <row r="2922" ht="15.75" customHeight="1">
      <c r="A2922" s="7" t="s">
        <v>85</v>
      </c>
      <c r="B2922" s="7" t="s">
        <v>579</v>
      </c>
    </row>
    <row r="2923" ht="15.75" customHeight="1">
      <c r="A2923" s="7" t="s">
        <v>135</v>
      </c>
      <c r="B2923" s="7" t="s">
        <v>579</v>
      </c>
    </row>
    <row r="2924" ht="15.75" customHeight="1">
      <c r="A2924" s="7" t="s">
        <v>196</v>
      </c>
      <c r="B2924" s="7" t="s">
        <v>579</v>
      </c>
    </row>
    <row r="2925" ht="15.75" customHeight="1">
      <c r="A2925" s="7" t="s">
        <v>212</v>
      </c>
      <c r="B2925" s="7" t="s">
        <v>579</v>
      </c>
    </row>
    <row r="2926" ht="15.75" customHeight="1">
      <c r="A2926" s="6" t="s">
        <v>910</v>
      </c>
      <c r="B2926" s="6" t="s">
        <v>579</v>
      </c>
    </row>
    <row r="2927" ht="15.75" customHeight="1">
      <c r="A2927" s="7" t="s">
        <v>190</v>
      </c>
      <c r="B2927" s="7" t="s">
        <v>580</v>
      </c>
    </row>
    <row r="2928" ht="15.75" customHeight="1">
      <c r="A2928" s="7" t="s">
        <v>153</v>
      </c>
      <c r="B2928" s="7" t="s">
        <v>580</v>
      </c>
    </row>
    <row r="2929" ht="15.75" customHeight="1">
      <c r="A2929" s="7" t="s">
        <v>104</v>
      </c>
      <c r="B2929" s="7" t="s">
        <v>580</v>
      </c>
    </row>
    <row r="2930" ht="15.75" customHeight="1">
      <c r="A2930" s="7" t="s">
        <v>189</v>
      </c>
      <c r="B2930" s="7" t="s">
        <v>580</v>
      </c>
    </row>
    <row r="2931" ht="15.75" customHeight="1">
      <c r="A2931" s="7" t="s">
        <v>142</v>
      </c>
      <c r="B2931" s="7" t="s">
        <v>580</v>
      </c>
    </row>
    <row r="2932" ht="15.75" customHeight="1">
      <c r="A2932" s="7" t="s">
        <v>185</v>
      </c>
      <c r="B2932" s="7" t="s">
        <v>580</v>
      </c>
    </row>
    <row r="2933" ht="15.75" customHeight="1">
      <c r="A2933" s="6" t="s">
        <v>910</v>
      </c>
      <c r="B2933" s="6" t="s">
        <v>580</v>
      </c>
    </row>
    <row r="2934" ht="15.75" customHeight="1">
      <c r="A2934" s="7" t="s">
        <v>226</v>
      </c>
      <c r="B2934" s="7" t="s">
        <v>581</v>
      </c>
    </row>
    <row r="2935" ht="15.75" customHeight="1">
      <c r="A2935" s="7" t="s">
        <v>153</v>
      </c>
      <c r="B2935" s="7" t="s">
        <v>581</v>
      </c>
    </row>
    <row r="2936" ht="15.75" customHeight="1">
      <c r="A2936" s="7" t="s">
        <v>178</v>
      </c>
      <c r="B2936" s="7" t="s">
        <v>581</v>
      </c>
    </row>
    <row r="2937" ht="15.75" customHeight="1">
      <c r="A2937" s="7" t="s">
        <v>86</v>
      </c>
      <c r="B2937" s="7" t="s">
        <v>581</v>
      </c>
    </row>
    <row r="2938" ht="15.75" customHeight="1">
      <c r="A2938" s="7" t="s">
        <v>113</v>
      </c>
      <c r="B2938" s="7" t="s">
        <v>581</v>
      </c>
    </row>
    <row r="2939" ht="15.75" customHeight="1">
      <c r="A2939" s="7" t="s">
        <v>185</v>
      </c>
      <c r="B2939" s="7" t="s">
        <v>581</v>
      </c>
    </row>
    <row r="2940" ht="15.75" customHeight="1">
      <c r="A2940" s="6" t="s">
        <v>910</v>
      </c>
      <c r="B2940" s="6" t="s">
        <v>581</v>
      </c>
    </row>
    <row r="2941" ht="15.75" customHeight="1">
      <c r="A2941" s="6" t="s">
        <v>1126</v>
      </c>
      <c r="B2941" s="6" t="s">
        <v>581</v>
      </c>
    </row>
    <row r="2942" ht="15.75" customHeight="1">
      <c r="A2942" s="7" t="s">
        <v>82</v>
      </c>
      <c r="B2942" s="7" t="s">
        <v>582</v>
      </c>
    </row>
    <row r="2943" ht="15.75" customHeight="1">
      <c r="A2943" s="7" t="s">
        <v>98</v>
      </c>
      <c r="B2943" s="7" t="s">
        <v>582</v>
      </c>
    </row>
    <row r="2944" ht="15.75" customHeight="1">
      <c r="A2944" s="7" t="s">
        <v>77</v>
      </c>
      <c r="B2944" s="7" t="s">
        <v>582</v>
      </c>
    </row>
    <row r="2945" ht="15.75" customHeight="1">
      <c r="A2945" s="7" t="s">
        <v>99</v>
      </c>
      <c r="B2945" s="7" t="s">
        <v>582</v>
      </c>
    </row>
    <row r="2946" ht="15.75" customHeight="1">
      <c r="A2946" s="7" t="s">
        <v>131</v>
      </c>
      <c r="B2946" s="7" t="s">
        <v>582</v>
      </c>
    </row>
    <row r="2947" ht="15.75" customHeight="1">
      <c r="A2947" s="7" t="s">
        <v>94</v>
      </c>
      <c r="B2947" s="7" t="s">
        <v>582</v>
      </c>
    </row>
    <row r="2948" ht="15.75" customHeight="1">
      <c r="A2948" s="6" t="s">
        <v>910</v>
      </c>
      <c r="B2948" s="6" t="s">
        <v>582</v>
      </c>
    </row>
    <row r="2949" ht="15.75" customHeight="1">
      <c r="A2949" s="7" t="s">
        <v>148</v>
      </c>
      <c r="B2949" s="7" t="s">
        <v>583</v>
      </c>
    </row>
    <row r="2950" ht="15.75" customHeight="1">
      <c r="A2950" s="7" t="s">
        <v>98</v>
      </c>
      <c r="B2950" s="7" t="s">
        <v>583</v>
      </c>
    </row>
    <row r="2951" ht="15.75" customHeight="1">
      <c r="A2951" s="7" t="s">
        <v>122</v>
      </c>
      <c r="B2951" s="7" t="s">
        <v>583</v>
      </c>
    </row>
    <row r="2952" ht="15.75" customHeight="1">
      <c r="A2952" s="7" t="s">
        <v>123</v>
      </c>
      <c r="B2952" s="7" t="s">
        <v>583</v>
      </c>
    </row>
    <row r="2953" ht="15.75" customHeight="1">
      <c r="A2953" s="7" t="s">
        <v>181</v>
      </c>
      <c r="B2953" s="7" t="s">
        <v>583</v>
      </c>
    </row>
    <row r="2954" ht="15.75" customHeight="1">
      <c r="A2954" s="7" t="s">
        <v>111</v>
      </c>
      <c r="B2954" s="7" t="s">
        <v>583</v>
      </c>
    </row>
    <row r="2955" ht="15.75" customHeight="1">
      <c r="A2955" s="6" t="s">
        <v>910</v>
      </c>
      <c r="B2955" s="6" t="s">
        <v>583</v>
      </c>
    </row>
    <row r="2956" ht="15.75" customHeight="1">
      <c r="A2956" s="7" t="s">
        <v>114</v>
      </c>
      <c r="B2956" s="7" t="s">
        <v>584</v>
      </c>
    </row>
    <row r="2957" ht="15.75" customHeight="1">
      <c r="A2957" s="7" t="s">
        <v>75</v>
      </c>
      <c r="B2957" s="7" t="s">
        <v>584</v>
      </c>
    </row>
    <row r="2958" ht="15.75" customHeight="1">
      <c r="A2958" s="7" t="s">
        <v>98</v>
      </c>
      <c r="B2958" s="7" t="s">
        <v>584</v>
      </c>
    </row>
    <row r="2959" ht="15.75" customHeight="1">
      <c r="A2959" s="7" t="s">
        <v>79</v>
      </c>
      <c r="B2959" s="7" t="s">
        <v>584</v>
      </c>
    </row>
    <row r="2960" ht="15.75" customHeight="1">
      <c r="A2960" s="7" t="s">
        <v>73</v>
      </c>
      <c r="B2960" s="7" t="s">
        <v>584</v>
      </c>
    </row>
    <row r="2961" ht="15.75" customHeight="1">
      <c r="A2961" s="7" t="s">
        <v>94</v>
      </c>
      <c r="B2961" s="7" t="s">
        <v>584</v>
      </c>
    </row>
    <row r="2962" ht="15.75" customHeight="1">
      <c r="A2962" s="6" t="s">
        <v>910</v>
      </c>
      <c r="B2962" s="6" t="s">
        <v>584</v>
      </c>
    </row>
    <row r="2963" ht="15.75" customHeight="1">
      <c r="A2963" s="7" t="s">
        <v>137</v>
      </c>
      <c r="B2963" s="7" t="s">
        <v>585</v>
      </c>
    </row>
    <row r="2964" ht="15.75" customHeight="1">
      <c r="A2964" s="7" t="s">
        <v>161</v>
      </c>
      <c r="B2964" s="7" t="s">
        <v>585</v>
      </c>
    </row>
    <row r="2965" ht="15.75" customHeight="1">
      <c r="A2965" s="7" t="s">
        <v>141</v>
      </c>
      <c r="B2965" s="7" t="s">
        <v>585</v>
      </c>
    </row>
    <row r="2966" ht="15.75" customHeight="1">
      <c r="A2966" s="7" t="s">
        <v>211</v>
      </c>
      <c r="B2966" s="7" t="s">
        <v>585</v>
      </c>
    </row>
    <row r="2967" ht="15.75" customHeight="1">
      <c r="A2967" s="7" t="s">
        <v>181</v>
      </c>
      <c r="B2967" s="7" t="s">
        <v>585</v>
      </c>
    </row>
    <row r="2968" ht="15.75" customHeight="1">
      <c r="A2968" s="7" t="s">
        <v>139</v>
      </c>
      <c r="B2968" s="7" t="s">
        <v>585</v>
      </c>
    </row>
    <row r="2969" ht="15.75" customHeight="1">
      <c r="A2969" s="6" t="s">
        <v>910</v>
      </c>
      <c r="B2969" s="6" t="s">
        <v>585</v>
      </c>
    </row>
    <row r="2970" ht="15.75" customHeight="1">
      <c r="A2970" s="7" t="s">
        <v>100</v>
      </c>
      <c r="B2970" s="7" t="s">
        <v>586</v>
      </c>
    </row>
    <row r="2971" ht="15.75" customHeight="1">
      <c r="A2971" s="7" t="s">
        <v>159</v>
      </c>
      <c r="B2971" s="7" t="s">
        <v>586</v>
      </c>
    </row>
    <row r="2972" ht="15.75" customHeight="1">
      <c r="A2972" s="7" t="s">
        <v>78</v>
      </c>
      <c r="B2972" s="7" t="s">
        <v>586</v>
      </c>
    </row>
    <row r="2973" ht="15.75" customHeight="1">
      <c r="A2973" s="7" t="s">
        <v>184</v>
      </c>
      <c r="B2973" s="7" t="s">
        <v>586</v>
      </c>
    </row>
    <row r="2974" ht="15.75" customHeight="1">
      <c r="A2974" s="7" t="s">
        <v>73</v>
      </c>
      <c r="B2974" s="7" t="s">
        <v>586</v>
      </c>
    </row>
    <row r="2975" ht="15.75" customHeight="1">
      <c r="A2975" s="7" t="s">
        <v>88</v>
      </c>
      <c r="B2975" s="7" t="s">
        <v>586</v>
      </c>
    </row>
    <row r="2976" ht="15.75" customHeight="1">
      <c r="A2976" s="6" t="s">
        <v>910</v>
      </c>
      <c r="B2976" s="6" t="s">
        <v>586</v>
      </c>
    </row>
    <row r="2977" ht="15.75" customHeight="1">
      <c r="A2977" s="7" t="s">
        <v>75</v>
      </c>
      <c r="B2977" s="7" t="s">
        <v>587</v>
      </c>
    </row>
    <row r="2978" ht="15.75" customHeight="1">
      <c r="A2978" s="7" t="s">
        <v>153</v>
      </c>
      <c r="B2978" s="7" t="s">
        <v>587</v>
      </c>
    </row>
    <row r="2979" ht="15.75" customHeight="1">
      <c r="A2979" s="7" t="s">
        <v>104</v>
      </c>
      <c r="B2979" s="7" t="s">
        <v>587</v>
      </c>
    </row>
    <row r="2980" ht="15.75" customHeight="1">
      <c r="A2980" s="7" t="s">
        <v>166</v>
      </c>
      <c r="B2980" s="7" t="s">
        <v>587</v>
      </c>
    </row>
    <row r="2981" ht="15.75" customHeight="1">
      <c r="A2981" s="7" t="s">
        <v>124</v>
      </c>
      <c r="B2981" s="7" t="s">
        <v>587</v>
      </c>
    </row>
    <row r="2982" ht="15.75" customHeight="1">
      <c r="A2982" s="7" t="s">
        <v>220</v>
      </c>
      <c r="B2982" s="7" t="s">
        <v>587</v>
      </c>
    </row>
    <row r="2983" ht="15.75" customHeight="1">
      <c r="A2983" s="6" t="s">
        <v>910</v>
      </c>
      <c r="B2983" s="6" t="s">
        <v>587</v>
      </c>
    </row>
    <row r="2984" ht="15.75" customHeight="1">
      <c r="A2984" s="7" t="s">
        <v>61</v>
      </c>
      <c r="B2984" s="7" t="s">
        <v>588</v>
      </c>
    </row>
    <row r="2985" ht="15.75" customHeight="1">
      <c r="A2985" s="7" t="s">
        <v>63</v>
      </c>
      <c r="B2985" s="7" t="s">
        <v>588</v>
      </c>
    </row>
    <row r="2986" ht="15.75" customHeight="1">
      <c r="A2986" s="7" t="s">
        <v>215</v>
      </c>
      <c r="B2986" s="7" t="s">
        <v>588</v>
      </c>
    </row>
    <row r="2987" ht="15.75" customHeight="1">
      <c r="A2987" s="7" t="s">
        <v>110</v>
      </c>
      <c r="B2987" s="7" t="s">
        <v>588</v>
      </c>
    </row>
    <row r="2988" ht="15.75" customHeight="1">
      <c r="A2988" s="7" t="s">
        <v>196</v>
      </c>
      <c r="B2988" s="7" t="s">
        <v>588</v>
      </c>
    </row>
    <row r="2989" ht="15.75" customHeight="1">
      <c r="A2989" s="7" t="s">
        <v>145</v>
      </c>
      <c r="B2989" s="7" t="s">
        <v>588</v>
      </c>
    </row>
    <row r="2990" ht="15.75" customHeight="1">
      <c r="A2990" s="6" t="s">
        <v>910</v>
      </c>
      <c r="B2990" s="6" t="s">
        <v>588</v>
      </c>
    </row>
    <row r="2991" ht="15.75" customHeight="1">
      <c r="A2991" s="7" t="s">
        <v>159</v>
      </c>
      <c r="B2991" s="7" t="s">
        <v>589</v>
      </c>
    </row>
    <row r="2992" ht="15.75" customHeight="1">
      <c r="A2992" s="7" t="s">
        <v>134</v>
      </c>
      <c r="B2992" s="7" t="s">
        <v>589</v>
      </c>
    </row>
    <row r="2993" ht="15.75" customHeight="1">
      <c r="A2993" s="7" t="s">
        <v>175</v>
      </c>
      <c r="B2993" s="7" t="s">
        <v>589</v>
      </c>
    </row>
    <row r="2994" ht="15.75" customHeight="1">
      <c r="A2994" s="7" t="s">
        <v>207</v>
      </c>
      <c r="B2994" s="7" t="s">
        <v>589</v>
      </c>
    </row>
    <row r="2995" ht="15.75" customHeight="1">
      <c r="A2995" s="7" t="s">
        <v>142</v>
      </c>
      <c r="B2995" s="7" t="s">
        <v>589</v>
      </c>
    </row>
    <row r="2996" ht="15.75" customHeight="1">
      <c r="A2996" s="7" t="s">
        <v>88</v>
      </c>
      <c r="B2996" s="7" t="s">
        <v>589</v>
      </c>
    </row>
    <row r="2997" ht="15.75" customHeight="1">
      <c r="A2997" s="6" t="s">
        <v>910</v>
      </c>
      <c r="B2997" s="6" t="s">
        <v>589</v>
      </c>
    </row>
    <row r="2998" ht="15.75" customHeight="1">
      <c r="A2998" s="7" t="s">
        <v>132</v>
      </c>
      <c r="B2998" s="7" t="s">
        <v>590</v>
      </c>
    </row>
    <row r="2999" ht="15.75" customHeight="1">
      <c r="A2999" s="7" t="s">
        <v>134</v>
      </c>
      <c r="B2999" s="7" t="s">
        <v>590</v>
      </c>
    </row>
    <row r="3000" ht="15.75" customHeight="1">
      <c r="A3000" s="7" t="s">
        <v>178</v>
      </c>
      <c r="B3000" s="7" t="s">
        <v>590</v>
      </c>
    </row>
    <row r="3001" ht="15.75" customHeight="1">
      <c r="A3001" s="7" t="s">
        <v>123</v>
      </c>
      <c r="B3001" s="7" t="s">
        <v>590</v>
      </c>
    </row>
    <row r="3002" ht="15.75" customHeight="1">
      <c r="A3002" s="7" t="s">
        <v>222</v>
      </c>
      <c r="B3002" s="7" t="s">
        <v>590</v>
      </c>
    </row>
    <row r="3003" ht="15.75" customHeight="1">
      <c r="A3003" s="7" t="s">
        <v>145</v>
      </c>
      <c r="B3003" s="7" t="s">
        <v>590</v>
      </c>
    </row>
    <row r="3004" ht="15.75" customHeight="1">
      <c r="A3004" s="6" t="s">
        <v>910</v>
      </c>
      <c r="B3004" s="6" t="s">
        <v>590</v>
      </c>
    </row>
    <row r="3005" ht="15.75" customHeight="1">
      <c r="A3005" s="7" t="s">
        <v>169</v>
      </c>
      <c r="B3005" s="7" t="s">
        <v>591</v>
      </c>
    </row>
    <row r="3006" ht="15.75" customHeight="1">
      <c r="A3006" s="7" t="s">
        <v>156</v>
      </c>
      <c r="B3006" s="7" t="s">
        <v>591</v>
      </c>
    </row>
    <row r="3007" ht="15.75" customHeight="1">
      <c r="A3007" s="7" t="s">
        <v>170</v>
      </c>
      <c r="B3007" s="7" t="s">
        <v>591</v>
      </c>
    </row>
    <row r="3008" ht="15.75" customHeight="1">
      <c r="A3008" s="7" t="s">
        <v>157</v>
      </c>
      <c r="B3008" s="7" t="s">
        <v>591</v>
      </c>
    </row>
    <row r="3009" ht="15.75" customHeight="1">
      <c r="A3009" s="7" t="s">
        <v>187</v>
      </c>
      <c r="B3009" s="7" t="s">
        <v>591</v>
      </c>
    </row>
    <row r="3010" ht="15.75" customHeight="1">
      <c r="A3010" s="7" t="s">
        <v>111</v>
      </c>
      <c r="B3010" s="7" t="s">
        <v>591</v>
      </c>
    </row>
    <row r="3011" ht="15.75" customHeight="1">
      <c r="A3011" s="6" t="s">
        <v>910</v>
      </c>
      <c r="B3011" s="6" t="s">
        <v>591</v>
      </c>
    </row>
    <row r="3012" ht="15.75" customHeight="1">
      <c r="A3012" s="7" t="s">
        <v>143</v>
      </c>
      <c r="B3012" s="7" t="s">
        <v>592</v>
      </c>
    </row>
    <row r="3013" ht="15.75" customHeight="1">
      <c r="A3013" s="7" t="s">
        <v>95</v>
      </c>
      <c r="B3013" s="7" t="s">
        <v>592</v>
      </c>
    </row>
    <row r="3014" ht="15.75" customHeight="1">
      <c r="A3014" s="7" t="s">
        <v>71</v>
      </c>
      <c r="B3014" s="7" t="s">
        <v>592</v>
      </c>
    </row>
    <row r="3015" ht="15.75" customHeight="1">
      <c r="A3015" s="7" t="s">
        <v>99</v>
      </c>
      <c r="B3015" s="7" t="s">
        <v>592</v>
      </c>
    </row>
    <row r="3016" ht="15.75" customHeight="1">
      <c r="A3016" s="7" t="s">
        <v>73</v>
      </c>
      <c r="B3016" s="7" t="s">
        <v>592</v>
      </c>
    </row>
    <row r="3017" ht="15.75" customHeight="1">
      <c r="A3017" s="7" t="s">
        <v>74</v>
      </c>
      <c r="B3017" s="7" t="s">
        <v>592</v>
      </c>
    </row>
    <row r="3018" ht="15.75" customHeight="1">
      <c r="A3018" s="6" t="s">
        <v>910</v>
      </c>
      <c r="B3018" s="6" t="s">
        <v>592</v>
      </c>
    </row>
    <row r="3019" ht="15.75" customHeight="1">
      <c r="A3019" s="7" t="s">
        <v>134</v>
      </c>
      <c r="B3019" s="7" t="s">
        <v>593</v>
      </c>
    </row>
    <row r="3020" ht="15.75" customHeight="1">
      <c r="A3020" s="7" t="s">
        <v>77</v>
      </c>
      <c r="B3020" s="7" t="s">
        <v>593</v>
      </c>
    </row>
    <row r="3021" ht="15.75" customHeight="1">
      <c r="A3021" s="7" t="s">
        <v>170</v>
      </c>
      <c r="B3021" s="7" t="s">
        <v>593</v>
      </c>
    </row>
    <row r="3022" ht="15.75" customHeight="1">
      <c r="A3022" s="7" t="s">
        <v>72</v>
      </c>
      <c r="B3022" s="7" t="s">
        <v>593</v>
      </c>
    </row>
    <row r="3023" ht="15.75" customHeight="1">
      <c r="A3023" s="7" t="s">
        <v>208</v>
      </c>
      <c r="B3023" s="7" t="s">
        <v>593</v>
      </c>
    </row>
    <row r="3024" ht="15.75" customHeight="1">
      <c r="A3024" s="7" t="s">
        <v>74</v>
      </c>
      <c r="B3024" s="7" t="s">
        <v>593</v>
      </c>
    </row>
    <row r="3025" ht="15.75" customHeight="1">
      <c r="A3025" s="6" t="s">
        <v>910</v>
      </c>
      <c r="B3025" s="6" t="s">
        <v>593</v>
      </c>
    </row>
    <row r="3026" ht="15.75" customHeight="1">
      <c r="A3026" s="7" t="s">
        <v>82</v>
      </c>
      <c r="B3026" s="7" t="s">
        <v>594</v>
      </c>
    </row>
    <row r="3027" ht="15.75" customHeight="1">
      <c r="A3027" s="7" t="s">
        <v>109</v>
      </c>
      <c r="B3027" s="7" t="s">
        <v>594</v>
      </c>
    </row>
    <row r="3028" ht="15.75" customHeight="1">
      <c r="A3028" s="7" t="s">
        <v>141</v>
      </c>
      <c r="B3028" s="7" t="s">
        <v>594</v>
      </c>
    </row>
    <row r="3029" ht="15.75" customHeight="1">
      <c r="A3029" s="7" t="s">
        <v>110</v>
      </c>
      <c r="B3029" s="7" t="s">
        <v>594</v>
      </c>
    </row>
    <row r="3030" ht="15.75" customHeight="1">
      <c r="A3030" s="7" t="s">
        <v>126</v>
      </c>
      <c r="B3030" s="7" t="s">
        <v>594</v>
      </c>
    </row>
    <row r="3031" ht="15.75" customHeight="1">
      <c r="A3031" s="7" t="s">
        <v>145</v>
      </c>
      <c r="B3031" s="7" t="s">
        <v>594</v>
      </c>
    </row>
    <row r="3032" ht="15.75" customHeight="1">
      <c r="A3032" s="6" t="s">
        <v>910</v>
      </c>
      <c r="B3032" s="6" t="s">
        <v>594</v>
      </c>
    </row>
    <row r="3033" ht="15.75" customHeight="1">
      <c r="A3033" s="7" t="s">
        <v>190</v>
      </c>
      <c r="B3033" s="7" t="s">
        <v>595</v>
      </c>
    </row>
    <row r="3034" ht="15.75" customHeight="1">
      <c r="A3034" s="7" t="s">
        <v>77</v>
      </c>
      <c r="B3034" s="7" t="s">
        <v>595</v>
      </c>
    </row>
    <row r="3035" ht="15.75" customHeight="1">
      <c r="A3035" s="7" t="s">
        <v>120</v>
      </c>
      <c r="B3035" s="7" t="s">
        <v>595</v>
      </c>
    </row>
    <row r="3036" ht="15.75" customHeight="1">
      <c r="A3036" s="7" t="s">
        <v>116</v>
      </c>
      <c r="B3036" s="7" t="s">
        <v>595</v>
      </c>
    </row>
    <row r="3037" ht="15.75" customHeight="1">
      <c r="A3037" s="7" t="s">
        <v>117</v>
      </c>
      <c r="B3037" s="7" t="s">
        <v>595</v>
      </c>
    </row>
    <row r="3038" ht="15.75" customHeight="1">
      <c r="A3038" s="7" t="s">
        <v>154</v>
      </c>
      <c r="B3038" s="7" t="s">
        <v>595</v>
      </c>
    </row>
    <row r="3039" ht="15.75" customHeight="1">
      <c r="A3039" s="6" t="s">
        <v>910</v>
      </c>
      <c r="B3039" s="6" t="s">
        <v>595</v>
      </c>
    </row>
    <row r="3040" ht="15.75" customHeight="1">
      <c r="A3040" s="7" t="s">
        <v>70</v>
      </c>
      <c r="B3040" s="7" t="s">
        <v>596</v>
      </c>
    </row>
    <row r="3041" ht="15.75" customHeight="1">
      <c r="A3041" s="7" t="s">
        <v>194</v>
      </c>
      <c r="B3041" s="7" t="s">
        <v>596</v>
      </c>
    </row>
    <row r="3042" ht="15.75" customHeight="1">
      <c r="A3042" s="7" t="s">
        <v>71</v>
      </c>
      <c r="B3042" s="7" t="s">
        <v>596</v>
      </c>
    </row>
    <row r="3043" ht="15.75" customHeight="1">
      <c r="A3043" s="7" t="s">
        <v>207</v>
      </c>
      <c r="B3043" s="7" t="s">
        <v>596</v>
      </c>
    </row>
    <row r="3044" ht="15.75" customHeight="1">
      <c r="A3044" s="7" t="s">
        <v>131</v>
      </c>
      <c r="B3044" s="7" t="s">
        <v>596</v>
      </c>
    </row>
    <row r="3045" ht="15.75" customHeight="1">
      <c r="A3045" s="7" t="s">
        <v>154</v>
      </c>
      <c r="B3045" s="7" t="s">
        <v>596</v>
      </c>
    </row>
    <row r="3046" ht="15.75" customHeight="1">
      <c r="A3046" s="6" t="s">
        <v>910</v>
      </c>
      <c r="B3046" s="6" t="s">
        <v>596</v>
      </c>
    </row>
    <row r="3047" ht="15.75" customHeight="1">
      <c r="A3047" s="7" t="s">
        <v>169</v>
      </c>
      <c r="B3047" s="7" t="s">
        <v>597</v>
      </c>
    </row>
    <row r="3048" ht="15.75" customHeight="1">
      <c r="A3048" s="7" t="s">
        <v>122</v>
      </c>
      <c r="B3048" s="7" t="s">
        <v>597</v>
      </c>
    </row>
    <row r="3049" ht="15.75" customHeight="1">
      <c r="A3049" s="7" t="s">
        <v>170</v>
      </c>
      <c r="B3049" s="7" t="s">
        <v>597</v>
      </c>
    </row>
    <row r="3050" ht="15.75" customHeight="1">
      <c r="A3050" s="7" t="s">
        <v>166</v>
      </c>
      <c r="B3050" s="7" t="s">
        <v>597</v>
      </c>
    </row>
    <row r="3051" ht="15.75" customHeight="1">
      <c r="A3051" s="7" t="s">
        <v>126</v>
      </c>
      <c r="B3051" s="7" t="s">
        <v>597</v>
      </c>
    </row>
    <row r="3052" ht="15.75" customHeight="1">
      <c r="A3052" s="7" t="s">
        <v>212</v>
      </c>
      <c r="B3052" s="7" t="s">
        <v>597</v>
      </c>
    </row>
    <row r="3053" ht="15.75" customHeight="1">
      <c r="A3053" s="6" t="s">
        <v>910</v>
      </c>
      <c r="B3053" s="6" t="s">
        <v>597</v>
      </c>
    </row>
    <row r="3054" ht="15.75" customHeight="1">
      <c r="A3054" s="7" t="s">
        <v>169</v>
      </c>
      <c r="B3054" s="7" t="s">
        <v>598</v>
      </c>
    </row>
    <row r="3055" ht="15.75" customHeight="1">
      <c r="A3055" s="7" t="s">
        <v>156</v>
      </c>
      <c r="B3055" s="7" t="s">
        <v>598</v>
      </c>
    </row>
    <row r="3056" ht="15.75" customHeight="1">
      <c r="A3056" s="7" t="s">
        <v>78</v>
      </c>
      <c r="B3056" s="7" t="s">
        <v>598</v>
      </c>
    </row>
    <row r="3057" ht="15.75" customHeight="1">
      <c r="A3057" s="7" t="s">
        <v>211</v>
      </c>
      <c r="B3057" s="7" t="s">
        <v>598</v>
      </c>
    </row>
    <row r="3058" ht="15.75" customHeight="1">
      <c r="A3058" s="7" t="s">
        <v>181</v>
      </c>
      <c r="B3058" s="7" t="s">
        <v>598</v>
      </c>
    </row>
    <row r="3059" ht="15.75" customHeight="1">
      <c r="A3059" s="7" t="s">
        <v>220</v>
      </c>
      <c r="B3059" s="7" t="s">
        <v>598</v>
      </c>
    </row>
    <row r="3060" ht="15.75" customHeight="1">
      <c r="A3060" s="6" t="s">
        <v>910</v>
      </c>
      <c r="B3060" s="6" t="s">
        <v>598</v>
      </c>
    </row>
    <row r="3061" ht="15.75" customHeight="1">
      <c r="A3061" s="7" t="s">
        <v>61</v>
      </c>
      <c r="B3061" s="7" t="s">
        <v>599</v>
      </c>
    </row>
    <row r="3062" ht="15.75" customHeight="1">
      <c r="A3062" s="7" t="s">
        <v>156</v>
      </c>
      <c r="B3062" s="7" t="s">
        <v>599</v>
      </c>
    </row>
    <row r="3063" ht="15.75" customHeight="1">
      <c r="A3063" s="7" t="s">
        <v>175</v>
      </c>
      <c r="B3063" s="7" t="s">
        <v>599</v>
      </c>
    </row>
    <row r="3064" ht="15.75" customHeight="1">
      <c r="A3064" s="7" t="s">
        <v>189</v>
      </c>
      <c r="B3064" s="7" t="s">
        <v>599</v>
      </c>
    </row>
    <row r="3065" ht="15.75" customHeight="1">
      <c r="A3065" s="7" t="s">
        <v>87</v>
      </c>
      <c r="B3065" s="7" t="s">
        <v>599</v>
      </c>
    </row>
    <row r="3066" ht="15.75" customHeight="1">
      <c r="A3066" s="7" t="s">
        <v>199</v>
      </c>
      <c r="B3066" s="7" t="s">
        <v>599</v>
      </c>
    </row>
    <row r="3067" ht="15.75" customHeight="1">
      <c r="A3067" s="7" t="s">
        <v>63</v>
      </c>
      <c r="B3067" s="7" t="s">
        <v>600</v>
      </c>
    </row>
    <row r="3068" ht="15.75" customHeight="1">
      <c r="A3068" s="7" t="s">
        <v>100</v>
      </c>
      <c r="B3068" s="7" t="s">
        <v>600</v>
      </c>
    </row>
    <row r="3069" ht="15.75" customHeight="1">
      <c r="A3069" s="7" t="s">
        <v>64</v>
      </c>
      <c r="B3069" s="7" t="s">
        <v>600</v>
      </c>
    </row>
    <row r="3070" ht="15.75" customHeight="1">
      <c r="A3070" s="7" t="s">
        <v>207</v>
      </c>
      <c r="B3070" s="7" t="s">
        <v>600</v>
      </c>
    </row>
    <row r="3071" ht="15.75" customHeight="1">
      <c r="A3071" s="7" t="s">
        <v>142</v>
      </c>
      <c r="B3071" s="7" t="s">
        <v>600</v>
      </c>
    </row>
    <row r="3072" ht="15.75" customHeight="1">
      <c r="A3072" s="7" t="s">
        <v>154</v>
      </c>
      <c r="B3072" s="7" t="s">
        <v>600</v>
      </c>
    </row>
    <row r="3073" ht="15.75" customHeight="1">
      <c r="A3073" s="6" t="s">
        <v>910</v>
      </c>
      <c r="B3073" s="6" t="s">
        <v>600</v>
      </c>
    </row>
    <row r="3074" ht="15.75" customHeight="1">
      <c r="A3074" s="7" t="s">
        <v>143</v>
      </c>
      <c r="B3074" s="7" t="s">
        <v>601</v>
      </c>
    </row>
    <row r="3075" ht="15.75" customHeight="1">
      <c r="A3075" s="7" t="s">
        <v>63</v>
      </c>
      <c r="B3075" s="7" t="s">
        <v>601</v>
      </c>
    </row>
    <row r="3076" ht="15.75" customHeight="1">
      <c r="A3076" s="7" t="s">
        <v>178</v>
      </c>
      <c r="B3076" s="7" t="s">
        <v>601</v>
      </c>
    </row>
    <row r="3077" ht="15.75" customHeight="1">
      <c r="A3077" s="7" t="s">
        <v>116</v>
      </c>
      <c r="B3077" s="7" t="s">
        <v>601</v>
      </c>
    </row>
    <row r="3078" ht="15.75" customHeight="1">
      <c r="A3078" s="7" t="s">
        <v>66</v>
      </c>
      <c r="B3078" s="7" t="s">
        <v>601</v>
      </c>
    </row>
    <row r="3079" ht="15.75" customHeight="1">
      <c r="A3079" s="7" t="s">
        <v>67</v>
      </c>
      <c r="B3079" s="7" t="s">
        <v>601</v>
      </c>
    </row>
    <row r="3080" ht="15.75" customHeight="1">
      <c r="A3080" s="6" t="s">
        <v>910</v>
      </c>
      <c r="B3080" s="6" t="s">
        <v>601</v>
      </c>
    </row>
    <row r="3081" ht="15.75" customHeight="1">
      <c r="A3081" s="6" t="s">
        <v>1126</v>
      </c>
      <c r="B3081" s="6" t="s">
        <v>601</v>
      </c>
    </row>
    <row r="3082" ht="15.75" customHeight="1">
      <c r="A3082" s="7" t="s">
        <v>204</v>
      </c>
      <c r="B3082" s="7" t="s">
        <v>602</v>
      </c>
    </row>
    <row r="3083" ht="15.75" customHeight="1">
      <c r="A3083" s="7" t="s">
        <v>132</v>
      </c>
      <c r="B3083" s="7" t="s">
        <v>602</v>
      </c>
    </row>
    <row r="3084" ht="15.75" customHeight="1">
      <c r="A3084" s="7" t="s">
        <v>215</v>
      </c>
      <c r="B3084" s="7" t="s">
        <v>602</v>
      </c>
    </row>
    <row r="3085" ht="15.75" customHeight="1">
      <c r="A3085" s="7" t="s">
        <v>86</v>
      </c>
      <c r="B3085" s="7" t="s">
        <v>602</v>
      </c>
    </row>
    <row r="3086" ht="15.75" customHeight="1">
      <c r="A3086" s="7" t="s">
        <v>87</v>
      </c>
      <c r="B3086" s="7" t="s">
        <v>602</v>
      </c>
    </row>
    <row r="3087" ht="15.75" customHeight="1">
      <c r="A3087" s="7" t="s">
        <v>185</v>
      </c>
      <c r="B3087" s="7" t="s">
        <v>602</v>
      </c>
    </row>
    <row r="3088" ht="15.75" customHeight="1">
      <c r="A3088" s="6" t="s">
        <v>910</v>
      </c>
      <c r="B3088" s="6" t="s">
        <v>602</v>
      </c>
    </row>
    <row r="3089" ht="15.75" customHeight="1">
      <c r="A3089" s="6" t="s">
        <v>1126</v>
      </c>
      <c r="B3089" s="6" t="s">
        <v>602</v>
      </c>
    </row>
    <row r="3090" ht="15.75" customHeight="1">
      <c r="A3090" s="7" t="s">
        <v>97</v>
      </c>
      <c r="B3090" s="7" t="s">
        <v>603</v>
      </c>
    </row>
    <row r="3091" ht="15.75" customHeight="1">
      <c r="A3091" s="7" t="s">
        <v>91</v>
      </c>
      <c r="B3091" s="7" t="s">
        <v>603</v>
      </c>
    </row>
    <row r="3092" ht="15.75" customHeight="1">
      <c r="A3092" s="7" t="s">
        <v>194</v>
      </c>
      <c r="B3092" s="7" t="s">
        <v>603</v>
      </c>
    </row>
    <row r="3093" ht="15.75" customHeight="1">
      <c r="A3093" s="7" t="s">
        <v>207</v>
      </c>
      <c r="B3093" s="7" t="s">
        <v>603</v>
      </c>
    </row>
    <row r="3094" ht="15.75" customHeight="1">
      <c r="A3094" s="7" t="s">
        <v>66</v>
      </c>
      <c r="B3094" s="7" t="s">
        <v>603</v>
      </c>
    </row>
    <row r="3095" ht="15.75" customHeight="1">
      <c r="A3095" s="7" t="s">
        <v>88</v>
      </c>
      <c r="B3095" s="7" t="s">
        <v>603</v>
      </c>
    </row>
    <row r="3096" ht="15.75" customHeight="1">
      <c r="A3096" s="6" t="s">
        <v>910</v>
      </c>
      <c r="B3096" s="6" t="s">
        <v>603</v>
      </c>
    </row>
    <row r="3097" ht="15.75" customHeight="1">
      <c r="A3097" s="6" t="s">
        <v>1126</v>
      </c>
      <c r="B3097" s="6" t="s">
        <v>603</v>
      </c>
    </row>
    <row r="3098" ht="15.75" customHeight="1">
      <c r="A3098" s="7" t="s">
        <v>169</v>
      </c>
      <c r="B3098" s="7" t="s">
        <v>604</v>
      </c>
    </row>
    <row r="3099" ht="15.75" customHeight="1">
      <c r="A3099" s="7" t="s">
        <v>102</v>
      </c>
      <c r="B3099" s="7" t="s">
        <v>604</v>
      </c>
    </row>
    <row r="3100" ht="15.75" customHeight="1">
      <c r="A3100" s="7" t="s">
        <v>77</v>
      </c>
      <c r="B3100" s="7" t="s">
        <v>604</v>
      </c>
    </row>
    <row r="3101" ht="15.75" customHeight="1">
      <c r="A3101" s="7" t="s">
        <v>116</v>
      </c>
      <c r="B3101" s="7" t="s">
        <v>604</v>
      </c>
    </row>
    <row r="3102" ht="15.75" customHeight="1">
      <c r="A3102" s="7" t="s">
        <v>113</v>
      </c>
      <c r="B3102" s="7" t="s">
        <v>604</v>
      </c>
    </row>
    <row r="3103" ht="15.75" customHeight="1">
      <c r="A3103" s="7" t="s">
        <v>185</v>
      </c>
      <c r="B3103" s="7" t="s">
        <v>604</v>
      </c>
    </row>
    <row r="3104" ht="15.75" customHeight="1">
      <c r="A3104" s="6" t="s">
        <v>910</v>
      </c>
      <c r="B3104" s="6" t="s">
        <v>604</v>
      </c>
    </row>
    <row r="3105" ht="15.75" customHeight="1">
      <c r="A3105" s="6" t="s">
        <v>1126</v>
      </c>
      <c r="B3105" s="6" t="s">
        <v>604</v>
      </c>
    </row>
    <row r="3106" ht="15.75" customHeight="1">
      <c r="A3106" s="7" t="s">
        <v>68</v>
      </c>
      <c r="B3106" s="7" t="s">
        <v>605</v>
      </c>
    </row>
    <row r="3107" ht="15.75" customHeight="1">
      <c r="A3107" s="7" t="s">
        <v>169</v>
      </c>
      <c r="B3107" s="7" t="s">
        <v>605</v>
      </c>
    </row>
    <row r="3108" ht="15.75" customHeight="1">
      <c r="A3108" s="7" t="s">
        <v>198</v>
      </c>
      <c r="B3108" s="7" t="s">
        <v>605</v>
      </c>
    </row>
    <row r="3109" ht="15.75" customHeight="1">
      <c r="A3109" s="7" t="s">
        <v>149</v>
      </c>
      <c r="B3109" s="7" t="s">
        <v>605</v>
      </c>
    </row>
    <row r="3110" ht="15.75" customHeight="1">
      <c r="A3110" s="7" t="s">
        <v>222</v>
      </c>
      <c r="B3110" s="7" t="s">
        <v>605</v>
      </c>
    </row>
    <row r="3111" ht="15.75" customHeight="1">
      <c r="A3111" s="7" t="s">
        <v>171</v>
      </c>
      <c r="B3111" s="7" t="s">
        <v>605</v>
      </c>
    </row>
    <row r="3112" ht="15.75" customHeight="1">
      <c r="A3112" s="6" t="s">
        <v>910</v>
      </c>
      <c r="B3112" s="6" t="s">
        <v>605</v>
      </c>
    </row>
    <row r="3113" ht="15.75" customHeight="1">
      <c r="A3113" s="7" t="s">
        <v>146</v>
      </c>
      <c r="B3113" s="7" t="s">
        <v>606</v>
      </c>
    </row>
    <row r="3114" ht="15.75" customHeight="1">
      <c r="A3114" s="7" t="s">
        <v>75</v>
      </c>
      <c r="B3114" s="7" t="s">
        <v>606</v>
      </c>
    </row>
    <row r="3115" ht="15.75" customHeight="1">
      <c r="A3115" s="7" t="s">
        <v>98</v>
      </c>
      <c r="B3115" s="7" t="s">
        <v>606</v>
      </c>
    </row>
    <row r="3116" ht="15.75" customHeight="1">
      <c r="A3116" s="7" t="s">
        <v>86</v>
      </c>
      <c r="B3116" s="7" t="s">
        <v>606</v>
      </c>
    </row>
    <row r="3117" ht="15.75" customHeight="1">
      <c r="A3117" s="7" t="s">
        <v>131</v>
      </c>
      <c r="B3117" s="7" t="s">
        <v>606</v>
      </c>
    </row>
    <row r="3118" ht="15.75" customHeight="1">
      <c r="A3118" s="7" t="s">
        <v>88</v>
      </c>
      <c r="B3118" s="7" t="s">
        <v>606</v>
      </c>
    </row>
    <row r="3119" ht="15.75" customHeight="1">
      <c r="A3119" s="6" t="s">
        <v>910</v>
      </c>
      <c r="B3119" s="6" t="s">
        <v>606</v>
      </c>
    </row>
    <row r="3120" ht="15.75" customHeight="1">
      <c r="A3120" s="7" t="s">
        <v>146</v>
      </c>
      <c r="B3120" s="7" t="s">
        <v>607</v>
      </c>
    </row>
    <row r="3121" ht="15.75" customHeight="1">
      <c r="A3121" s="7" t="s">
        <v>70</v>
      </c>
      <c r="B3121" s="7" t="s">
        <v>607</v>
      </c>
    </row>
    <row r="3122" ht="15.75" customHeight="1">
      <c r="A3122" s="7" t="s">
        <v>71</v>
      </c>
      <c r="B3122" s="7" t="s">
        <v>607</v>
      </c>
    </row>
    <row r="3123" ht="15.75" customHeight="1">
      <c r="A3123" s="7" t="s">
        <v>166</v>
      </c>
      <c r="B3123" s="7" t="s">
        <v>607</v>
      </c>
    </row>
    <row r="3124" ht="15.75" customHeight="1">
      <c r="A3124" s="7" t="s">
        <v>126</v>
      </c>
      <c r="B3124" s="7" t="s">
        <v>607</v>
      </c>
    </row>
    <row r="3125" ht="15.75" customHeight="1">
      <c r="A3125" s="7" t="s">
        <v>220</v>
      </c>
      <c r="B3125" s="7" t="s">
        <v>607</v>
      </c>
    </row>
    <row r="3126" ht="15.75" customHeight="1">
      <c r="A3126" s="6" t="s">
        <v>910</v>
      </c>
      <c r="B3126" s="6" t="s">
        <v>607</v>
      </c>
    </row>
    <row r="3127" ht="15.75" customHeight="1">
      <c r="A3127" s="7" t="s">
        <v>82</v>
      </c>
      <c r="B3127" s="7" t="s">
        <v>608</v>
      </c>
    </row>
    <row r="3128" ht="15.75" customHeight="1">
      <c r="A3128" s="7" t="s">
        <v>194</v>
      </c>
      <c r="B3128" s="7" t="s">
        <v>608</v>
      </c>
    </row>
    <row r="3129" ht="15.75" customHeight="1">
      <c r="A3129" s="7" t="s">
        <v>141</v>
      </c>
      <c r="B3129" s="7" t="s">
        <v>608</v>
      </c>
    </row>
    <row r="3130" ht="15.75" customHeight="1">
      <c r="A3130" s="7" t="s">
        <v>195</v>
      </c>
      <c r="B3130" s="7" t="s">
        <v>608</v>
      </c>
    </row>
    <row r="3131" ht="15.75" customHeight="1">
      <c r="A3131" s="7" t="s">
        <v>150</v>
      </c>
      <c r="B3131" s="7" t="s">
        <v>608</v>
      </c>
    </row>
    <row r="3132" ht="15.75" customHeight="1">
      <c r="A3132" s="7" t="s">
        <v>136</v>
      </c>
      <c r="B3132" s="7" t="s">
        <v>608</v>
      </c>
    </row>
    <row r="3133" ht="15.75" customHeight="1">
      <c r="A3133" s="6" t="s">
        <v>910</v>
      </c>
      <c r="B3133" s="6" t="s">
        <v>608</v>
      </c>
    </row>
    <row r="3134" ht="15.75" customHeight="1">
      <c r="A3134" s="7" t="s">
        <v>146</v>
      </c>
      <c r="B3134" s="7" t="s">
        <v>609</v>
      </c>
    </row>
    <row r="3135" ht="15.75" customHeight="1">
      <c r="A3135" s="7" t="s">
        <v>75</v>
      </c>
      <c r="B3135" s="7" t="s">
        <v>609</v>
      </c>
    </row>
    <row r="3136" ht="15.75" customHeight="1">
      <c r="A3136" s="7" t="s">
        <v>98</v>
      </c>
      <c r="B3136" s="7" t="s">
        <v>609</v>
      </c>
    </row>
    <row r="3137" ht="15.75" customHeight="1">
      <c r="A3137" s="7" t="s">
        <v>176</v>
      </c>
      <c r="B3137" s="7" t="s">
        <v>609</v>
      </c>
    </row>
    <row r="3138" ht="15.75" customHeight="1">
      <c r="A3138" s="7" t="s">
        <v>126</v>
      </c>
      <c r="B3138" s="7" t="s">
        <v>609</v>
      </c>
    </row>
    <row r="3139" ht="15.75" customHeight="1">
      <c r="A3139" s="7" t="s">
        <v>145</v>
      </c>
      <c r="B3139" s="7" t="s">
        <v>609</v>
      </c>
    </row>
    <row r="3140" ht="15.75" customHeight="1">
      <c r="A3140" s="6" t="s">
        <v>910</v>
      </c>
      <c r="B3140" s="6" t="s">
        <v>609</v>
      </c>
    </row>
    <row r="3141" ht="15.75" customHeight="1">
      <c r="A3141" s="7" t="s">
        <v>169</v>
      </c>
      <c r="B3141" s="7" t="s">
        <v>610</v>
      </c>
    </row>
    <row r="3142" ht="15.75" customHeight="1">
      <c r="A3142" s="7" t="s">
        <v>183</v>
      </c>
      <c r="B3142" s="7" t="s">
        <v>610</v>
      </c>
    </row>
    <row r="3143" ht="15.75" customHeight="1">
      <c r="A3143" s="7" t="s">
        <v>153</v>
      </c>
      <c r="B3143" s="7" t="s">
        <v>610</v>
      </c>
    </row>
    <row r="3144" ht="15.75" customHeight="1">
      <c r="A3144" s="7" t="s">
        <v>135</v>
      </c>
      <c r="B3144" s="7" t="s">
        <v>610</v>
      </c>
    </row>
    <row r="3145" ht="15.75" customHeight="1">
      <c r="A3145" s="7" t="s">
        <v>196</v>
      </c>
      <c r="B3145" s="7" t="s">
        <v>610</v>
      </c>
    </row>
    <row r="3146" ht="15.75" customHeight="1">
      <c r="A3146" s="7" t="s">
        <v>220</v>
      </c>
      <c r="B3146" s="7" t="s">
        <v>610</v>
      </c>
    </row>
    <row r="3147" ht="15.75" customHeight="1">
      <c r="A3147" s="6" t="s">
        <v>910</v>
      </c>
      <c r="B3147" s="6" t="s">
        <v>610</v>
      </c>
    </row>
    <row r="3148" ht="15.75" customHeight="1">
      <c r="A3148" s="7" t="s">
        <v>161</v>
      </c>
      <c r="B3148" s="7" t="s">
        <v>611</v>
      </c>
    </row>
    <row r="3149" ht="15.75" customHeight="1">
      <c r="A3149" s="7" t="s">
        <v>156</v>
      </c>
      <c r="B3149" s="7" t="s">
        <v>611</v>
      </c>
    </row>
    <row r="3150" ht="15.75" customHeight="1">
      <c r="A3150" s="7" t="s">
        <v>120</v>
      </c>
      <c r="B3150" s="7" t="s">
        <v>611</v>
      </c>
    </row>
    <row r="3151" ht="15.75" customHeight="1">
      <c r="A3151" s="7" t="s">
        <v>189</v>
      </c>
      <c r="B3151" s="7" t="s">
        <v>611</v>
      </c>
    </row>
    <row r="3152" ht="15.75" customHeight="1">
      <c r="A3152" s="7" t="s">
        <v>142</v>
      </c>
      <c r="B3152" s="7" t="s">
        <v>611</v>
      </c>
    </row>
    <row r="3153" ht="15.75" customHeight="1">
      <c r="A3153" s="7" t="s">
        <v>154</v>
      </c>
      <c r="B3153" s="7" t="s">
        <v>611</v>
      </c>
    </row>
    <row r="3154" ht="15.75" customHeight="1">
      <c r="A3154" s="6" t="s">
        <v>910</v>
      </c>
      <c r="B3154" s="6" t="s">
        <v>611</v>
      </c>
    </row>
    <row r="3155" ht="15.75" customHeight="1">
      <c r="A3155" s="7" t="s">
        <v>169</v>
      </c>
      <c r="B3155" s="7" t="s">
        <v>612</v>
      </c>
    </row>
    <row r="3156" ht="15.75" customHeight="1">
      <c r="A3156" s="7" t="s">
        <v>183</v>
      </c>
      <c r="B3156" s="7" t="s">
        <v>612</v>
      </c>
    </row>
    <row r="3157" ht="15.75" customHeight="1">
      <c r="A3157" s="7" t="s">
        <v>109</v>
      </c>
      <c r="B3157" s="7" t="s">
        <v>612</v>
      </c>
    </row>
    <row r="3158" ht="15.75" customHeight="1">
      <c r="A3158" s="7" t="s">
        <v>72</v>
      </c>
      <c r="B3158" s="7" t="s">
        <v>612</v>
      </c>
    </row>
    <row r="3159" ht="15.75" customHeight="1">
      <c r="A3159" s="7" t="s">
        <v>117</v>
      </c>
      <c r="B3159" s="7" t="s">
        <v>612</v>
      </c>
    </row>
    <row r="3160" ht="15.75" customHeight="1">
      <c r="A3160" s="7" t="s">
        <v>74</v>
      </c>
      <c r="B3160" s="7" t="s">
        <v>612</v>
      </c>
    </row>
    <row r="3161" ht="15.75" customHeight="1">
      <c r="A3161" s="6" t="s">
        <v>910</v>
      </c>
      <c r="B3161" s="6" t="s">
        <v>612</v>
      </c>
    </row>
    <row r="3162" ht="15.75" customHeight="1">
      <c r="A3162" s="7" t="s">
        <v>63</v>
      </c>
      <c r="B3162" s="7" t="s">
        <v>613</v>
      </c>
    </row>
    <row r="3163" ht="15.75" customHeight="1">
      <c r="A3163" s="7" t="s">
        <v>161</v>
      </c>
      <c r="B3163" s="7" t="s">
        <v>613</v>
      </c>
    </row>
    <row r="3164" ht="15.75" customHeight="1">
      <c r="A3164" s="7" t="s">
        <v>175</v>
      </c>
      <c r="B3164" s="7" t="s">
        <v>613</v>
      </c>
    </row>
    <row r="3165" ht="15.75" customHeight="1">
      <c r="A3165" s="7" t="s">
        <v>211</v>
      </c>
      <c r="B3165" s="7" t="s">
        <v>613</v>
      </c>
    </row>
    <row r="3166" ht="15.75" customHeight="1">
      <c r="A3166" s="7" t="s">
        <v>150</v>
      </c>
      <c r="B3166" s="7" t="s">
        <v>613</v>
      </c>
    </row>
    <row r="3167" ht="15.75" customHeight="1">
      <c r="A3167" s="7" t="s">
        <v>220</v>
      </c>
      <c r="B3167" s="7" t="s">
        <v>613</v>
      </c>
    </row>
    <row r="3168" ht="15.75" customHeight="1">
      <c r="A3168" s="6" t="s">
        <v>910</v>
      </c>
      <c r="B3168" s="6" t="s">
        <v>613</v>
      </c>
    </row>
    <row r="3169" ht="15.75" customHeight="1">
      <c r="A3169" s="7" t="s">
        <v>70</v>
      </c>
      <c r="B3169" s="7" t="s">
        <v>614</v>
      </c>
    </row>
    <row r="3170" ht="15.75" customHeight="1">
      <c r="A3170" s="7" t="s">
        <v>156</v>
      </c>
      <c r="B3170" s="7" t="s">
        <v>614</v>
      </c>
    </row>
    <row r="3171" ht="15.75" customHeight="1">
      <c r="A3171" s="7" t="s">
        <v>175</v>
      </c>
      <c r="B3171" s="7" t="s">
        <v>614</v>
      </c>
    </row>
    <row r="3172" ht="15.75" customHeight="1">
      <c r="A3172" s="7" t="s">
        <v>157</v>
      </c>
      <c r="B3172" s="7" t="s">
        <v>614</v>
      </c>
    </row>
    <row r="3173" ht="15.75" customHeight="1">
      <c r="A3173" s="7" t="s">
        <v>181</v>
      </c>
      <c r="B3173" s="7" t="s">
        <v>614</v>
      </c>
    </row>
    <row r="3174" ht="15.75" customHeight="1">
      <c r="A3174" s="7" t="s">
        <v>158</v>
      </c>
      <c r="B3174" s="7" t="s">
        <v>614</v>
      </c>
    </row>
    <row r="3175" ht="15.75" customHeight="1">
      <c r="A3175" s="7" t="s">
        <v>63</v>
      </c>
      <c r="B3175" s="7" t="s">
        <v>615</v>
      </c>
    </row>
    <row r="3176" ht="15.75" customHeight="1">
      <c r="A3176" s="7" t="s">
        <v>134</v>
      </c>
      <c r="B3176" s="7" t="s">
        <v>615</v>
      </c>
    </row>
    <row r="3177" ht="15.75" customHeight="1">
      <c r="A3177" s="7" t="s">
        <v>175</v>
      </c>
      <c r="B3177" s="7" t="s">
        <v>615</v>
      </c>
    </row>
    <row r="3178" ht="15.75" customHeight="1">
      <c r="A3178" s="7" t="s">
        <v>195</v>
      </c>
      <c r="B3178" s="7" t="s">
        <v>615</v>
      </c>
    </row>
    <row r="3179" ht="15.75" customHeight="1">
      <c r="A3179" s="7" t="s">
        <v>196</v>
      </c>
      <c r="B3179" s="7" t="s">
        <v>615</v>
      </c>
    </row>
    <row r="3180" ht="15.75" customHeight="1">
      <c r="A3180" s="7" t="s">
        <v>212</v>
      </c>
      <c r="B3180" s="7" t="s">
        <v>615</v>
      </c>
    </row>
    <row r="3181" ht="15.75" customHeight="1">
      <c r="A3181" s="6" t="s">
        <v>910</v>
      </c>
      <c r="B3181" s="6" t="s">
        <v>615</v>
      </c>
    </row>
    <row r="3182" ht="15.75" customHeight="1">
      <c r="A3182" s="7" t="s">
        <v>146</v>
      </c>
      <c r="B3182" s="7" t="s">
        <v>616</v>
      </c>
    </row>
    <row r="3183" ht="15.75" customHeight="1">
      <c r="A3183" s="7" t="s">
        <v>169</v>
      </c>
      <c r="B3183" s="7" t="s">
        <v>616</v>
      </c>
    </row>
    <row r="3184" ht="15.75" customHeight="1">
      <c r="A3184" s="7" t="s">
        <v>78</v>
      </c>
      <c r="B3184" s="7" t="s">
        <v>616</v>
      </c>
    </row>
    <row r="3185" ht="15.75" customHeight="1">
      <c r="A3185" s="7" t="s">
        <v>65</v>
      </c>
      <c r="B3185" s="7" t="s">
        <v>616</v>
      </c>
    </row>
    <row r="3186" ht="15.75" customHeight="1">
      <c r="A3186" s="7" t="s">
        <v>87</v>
      </c>
      <c r="B3186" s="7" t="s">
        <v>616</v>
      </c>
    </row>
    <row r="3187" ht="15.75" customHeight="1">
      <c r="A3187" s="7" t="s">
        <v>88</v>
      </c>
      <c r="B3187" s="7" t="s">
        <v>616</v>
      </c>
    </row>
    <row r="3188" ht="15.75" customHeight="1">
      <c r="A3188" s="6" t="s">
        <v>910</v>
      </c>
      <c r="B3188" s="6" t="s">
        <v>616</v>
      </c>
    </row>
    <row r="3189" ht="15.75" customHeight="1">
      <c r="A3189" s="6" t="s">
        <v>1126</v>
      </c>
      <c r="B3189" s="6" t="s">
        <v>616</v>
      </c>
    </row>
    <row r="3190" ht="15.75" customHeight="1">
      <c r="A3190" s="7" t="s">
        <v>82</v>
      </c>
      <c r="B3190" s="7" t="s">
        <v>617</v>
      </c>
    </row>
    <row r="3191" ht="15.75" customHeight="1">
      <c r="A3191" s="7" t="s">
        <v>192</v>
      </c>
      <c r="B3191" s="7" t="s">
        <v>617</v>
      </c>
    </row>
    <row r="3192" ht="15.75" customHeight="1">
      <c r="A3192" s="7" t="s">
        <v>92</v>
      </c>
      <c r="B3192" s="7" t="s">
        <v>617</v>
      </c>
    </row>
    <row r="3193" ht="15.75" customHeight="1">
      <c r="A3193" s="7" t="s">
        <v>207</v>
      </c>
      <c r="B3193" s="7" t="s">
        <v>617</v>
      </c>
    </row>
    <row r="3194" ht="15.75" customHeight="1">
      <c r="A3194" s="7" t="s">
        <v>80</v>
      </c>
      <c r="B3194" s="7" t="s">
        <v>617</v>
      </c>
    </row>
    <row r="3195" ht="15.75" customHeight="1">
      <c r="A3195" s="7" t="s">
        <v>67</v>
      </c>
      <c r="B3195" s="7" t="s">
        <v>617</v>
      </c>
    </row>
    <row r="3196" ht="15.75" customHeight="1">
      <c r="A3196" s="6" t="s">
        <v>910</v>
      </c>
      <c r="B3196" s="6" t="s">
        <v>617</v>
      </c>
    </row>
    <row r="3197" ht="15.75" customHeight="1">
      <c r="A3197" s="6" t="s">
        <v>1126</v>
      </c>
      <c r="B3197" s="6" t="s">
        <v>617</v>
      </c>
    </row>
    <row r="3198" ht="15.75" customHeight="1">
      <c r="A3198" s="7" t="s">
        <v>70</v>
      </c>
      <c r="B3198" s="7" t="s">
        <v>618</v>
      </c>
    </row>
    <row r="3199" ht="15.75" customHeight="1">
      <c r="A3199" s="7" t="s">
        <v>85</v>
      </c>
      <c r="B3199" s="7" t="s">
        <v>618</v>
      </c>
    </row>
    <row r="3200" ht="15.75" customHeight="1">
      <c r="A3200" s="7" t="s">
        <v>78</v>
      </c>
      <c r="B3200" s="7" t="s">
        <v>618</v>
      </c>
    </row>
    <row r="3201" ht="15.75" customHeight="1">
      <c r="A3201" s="7" t="s">
        <v>149</v>
      </c>
      <c r="B3201" s="7" t="s">
        <v>618</v>
      </c>
    </row>
    <row r="3202" ht="15.75" customHeight="1">
      <c r="A3202" s="7" t="s">
        <v>126</v>
      </c>
      <c r="B3202" s="7" t="s">
        <v>618</v>
      </c>
    </row>
    <row r="3203" ht="15.75" customHeight="1">
      <c r="A3203" s="7" t="s">
        <v>111</v>
      </c>
      <c r="B3203" s="7" t="s">
        <v>618</v>
      </c>
    </row>
    <row r="3204" ht="15.75" customHeight="1">
      <c r="A3204" s="6" t="s">
        <v>910</v>
      </c>
      <c r="B3204" s="6" t="s">
        <v>618</v>
      </c>
    </row>
    <row r="3205" ht="15.75" customHeight="1">
      <c r="A3205" s="7" t="s">
        <v>134</v>
      </c>
      <c r="B3205" s="7" t="s">
        <v>619</v>
      </c>
    </row>
    <row r="3206" ht="15.75" customHeight="1">
      <c r="A3206" s="7" t="s">
        <v>183</v>
      </c>
      <c r="B3206" s="7" t="s">
        <v>619</v>
      </c>
    </row>
    <row r="3207" ht="15.75" customHeight="1">
      <c r="A3207" s="7" t="s">
        <v>109</v>
      </c>
      <c r="B3207" s="7" t="s">
        <v>619</v>
      </c>
    </row>
    <row r="3208" ht="15.75" customHeight="1">
      <c r="A3208" s="7" t="s">
        <v>195</v>
      </c>
      <c r="B3208" s="7" t="s">
        <v>619</v>
      </c>
    </row>
    <row r="3209" ht="15.75" customHeight="1">
      <c r="A3209" s="7" t="s">
        <v>150</v>
      </c>
      <c r="B3209" s="7" t="s">
        <v>619</v>
      </c>
    </row>
    <row r="3210" ht="15.75" customHeight="1">
      <c r="A3210" s="7" t="s">
        <v>212</v>
      </c>
      <c r="B3210" s="7" t="s">
        <v>619</v>
      </c>
    </row>
    <row r="3211" ht="15.75" customHeight="1">
      <c r="A3211" s="6" t="s">
        <v>910</v>
      </c>
      <c r="B3211" s="6" t="s">
        <v>619</v>
      </c>
    </row>
    <row r="3212" ht="15.75" customHeight="1">
      <c r="A3212" s="7" t="s">
        <v>63</v>
      </c>
      <c r="B3212" s="7" t="s">
        <v>620</v>
      </c>
    </row>
    <row r="3213" ht="15.75" customHeight="1">
      <c r="A3213" s="7" t="s">
        <v>161</v>
      </c>
      <c r="B3213" s="7" t="s">
        <v>620</v>
      </c>
    </row>
    <row r="3214" ht="15.75" customHeight="1">
      <c r="A3214" s="7" t="s">
        <v>129</v>
      </c>
      <c r="B3214" s="7" t="s">
        <v>620</v>
      </c>
    </row>
    <row r="3215" ht="15.75" customHeight="1">
      <c r="A3215" s="7" t="s">
        <v>240</v>
      </c>
      <c r="B3215" s="7" t="s">
        <v>620</v>
      </c>
    </row>
    <row r="3216" ht="15.75" customHeight="1">
      <c r="A3216" s="7" t="s">
        <v>73</v>
      </c>
      <c r="B3216" s="7" t="s">
        <v>620</v>
      </c>
    </row>
    <row r="3217" ht="15.75" customHeight="1">
      <c r="A3217" s="7" t="s">
        <v>74</v>
      </c>
      <c r="B3217" s="7" t="s">
        <v>620</v>
      </c>
    </row>
    <row r="3218" ht="15.75" customHeight="1">
      <c r="A3218" s="6" t="s">
        <v>910</v>
      </c>
      <c r="B3218" s="6" t="s">
        <v>620</v>
      </c>
    </row>
    <row r="3219" ht="15.75" customHeight="1">
      <c r="A3219" s="7" t="s">
        <v>63</v>
      </c>
      <c r="B3219" s="7" t="s">
        <v>621</v>
      </c>
    </row>
    <row r="3220" ht="15.75" customHeight="1">
      <c r="A3220" s="7" t="s">
        <v>97</v>
      </c>
      <c r="B3220" s="7" t="s">
        <v>621</v>
      </c>
    </row>
    <row r="3221" ht="15.75" customHeight="1">
      <c r="A3221" s="7" t="s">
        <v>104</v>
      </c>
      <c r="B3221" s="7" t="s">
        <v>621</v>
      </c>
    </row>
    <row r="3222" ht="15.75" customHeight="1">
      <c r="A3222" s="7" t="s">
        <v>195</v>
      </c>
      <c r="B3222" s="7" t="s">
        <v>621</v>
      </c>
    </row>
    <row r="3223" ht="15.75" customHeight="1">
      <c r="A3223" s="7" t="s">
        <v>187</v>
      </c>
      <c r="B3223" s="7" t="s">
        <v>621</v>
      </c>
    </row>
    <row r="3224" ht="15.75" customHeight="1">
      <c r="A3224" s="7" t="s">
        <v>220</v>
      </c>
      <c r="B3224" s="7" t="s">
        <v>621</v>
      </c>
    </row>
    <row r="3225" ht="15.75" customHeight="1">
      <c r="A3225" s="6" t="s">
        <v>910</v>
      </c>
      <c r="B3225" s="6" t="s">
        <v>621</v>
      </c>
    </row>
    <row r="3226" ht="15.75" customHeight="1">
      <c r="A3226" s="7" t="s">
        <v>146</v>
      </c>
      <c r="B3226" s="7" t="s">
        <v>622</v>
      </c>
    </row>
    <row r="3227" ht="15.75" customHeight="1">
      <c r="A3227" s="7" t="s">
        <v>169</v>
      </c>
      <c r="B3227" s="7" t="s">
        <v>622</v>
      </c>
    </row>
    <row r="3228" ht="15.75" customHeight="1">
      <c r="A3228" s="7" t="s">
        <v>178</v>
      </c>
      <c r="B3228" s="7" t="s">
        <v>622</v>
      </c>
    </row>
    <row r="3229" ht="15.75" customHeight="1">
      <c r="A3229" s="7" t="s">
        <v>207</v>
      </c>
      <c r="B3229" s="7" t="s">
        <v>622</v>
      </c>
    </row>
    <row r="3230" ht="15.75" customHeight="1">
      <c r="A3230" s="7" t="s">
        <v>208</v>
      </c>
      <c r="B3230" s="7" t="s">
        <v>622</v>
      </c>
    </row>
    <row r="3231" ht="15.75" customHeight="1">
      <c r="A3231" s="7" t="s">
        <v>88</v>
      </c>
      <c r="B3231" s="7" t="s">
        <v>622</v>
      </c>
    </row>
    <row r="3232" ht="15.75" customHeight="1">
      <c r="A3232" s="6" t="s">
        <v>910</v>
      </c>
      <c r="B3232" s="6" t="s">
        <v>622</v>
      </c>
    </row>
    <row r="3233" ht="15.75" customHeight="1">
      <c r="A3233" s="7" t="s">
        <v>61</v>
      </c>
      <c r="B3233" s="7" t="s">
        <v>623</v>
      </c>
    </row>
    <row r="3234" ht="15.75" customHeight="1">
      <c r="A3234" s="7" t="s">
        <v>63</v>
      </c>
      <c r="B3234" s="7" t="s">
        <v>623</v>
      </c>
    </row>
    <row r="3235" ht="15.75" customHeight="1">
      <c r="A3235" s="7" t="s">
        <v>215</v>
      </c>
      <c r="B3235" s="7" t="s">
        <v>623</v>
      </c>
    </row>
    <row r="3236" ht="15.75" customHeight="1">
      <c r="A3236" s="7" t="s">
        <v>189</v>
      </c>
      <c r="B3236" s="7" t="s">
        <v>623</v>
      </c>
    </row>
    <row r="3237" ht="15.75" customHeight="1">
      <c r="A3237" s="7" t="s">
        <v>80</v>
      </c>
      <c r="B3237" s="7" t="s">
        <v>623</v>
      </c>
    </row>
    <row r="3238" ht="15.75" customHeight="1">
      <c r="A3238" s="7" t="s">
        <v>185</v>
      </c>
      <c r="B3238" s="7" t="s">
        <v>623</v>
      </c>
    </row>
    <row r="3239" ht="15.75" customHeight="1">
      <c r="A3239" s="6" t="s">
        <v>910</v>
      </c>
      <c r="B3239" s="6" t="s">
        <v>623</v>
      </c>
    </row>
    <row r="3240" ht="15.75" customHeight="1">
      <c r="A3240" s="6" t="s">
        <v>1126</v>
      </c>
      <c r="B3240" s="6" t="s">
        <v>623</v>
      </c>
    </row>
    <row r="3241" ht="15.75" customHeight="1">
      <c r="A3241" s="7" t="s">
        <v>190</v>
      </c>
      <c r="B3241" s="7" t="s">
        <v>624</v>
      </c>
    </row>
    <row r="3242" ht="15.75" customHeight="1">
      <c r="A3242" s="7" t="s">
        <v>91</v>
      </c>
      <c r="B3242" s="7" t="s">
        <v>624</v>
      </c>
    </row>
    <row r="3243" ht="15.75" customHeight="1">
      <c r="A3243" s="7" t="s">
        <v>92</v>
      </c>
      <c r="B3243" s="7" t="s">
        <v>624</v>
      </c>
    </row>
    <row r="3244" ht="15.75" customHeight="1">
      <c r="A3244" s="7" t="s">
        <v>184</v>
      </c>
      <c r="B3244" s="7" t="s">
        <v>624</v>
      </c>
    </row>
    <row r="3245" ht="15.75" customHeight="1">
      <c r="A3245" s="7" t="s">
        <v>113</v>
      </c>
      <c r="B3245" s="7" t="s">
        <v>624</v>
      </c>
    </row>
    <row r="3246" ht="15.75" customHeight="1">
      <c r="A3246" s="7" t="s">
        <v>185</v>
      </c>
      <c r="B3246" s="7" t="s">
        <v>624</v>
      </c>
    </row>
    <row r="3247" ht="15.75" customHeight="1">
      <c r="A3247" s="6" t="s">
        <v>910</v>
      </c>
      <c r="B3247" s="6" t="s">
        <v>624</v>
      </c>
    </row>
    <row r="3248" ht="15.75" customHeight="1">
      <c r="A3248" s="6" t="s">
        <v>1126</v>
      </c>
      <c r="B3248" s="6" t="s">
        <v>624</v>
      </c>
    </row>
    <row r="3249" ht="15.75" customHeight="1">
      <c r="A3249" s="7" t="s">
        <v>68</v>
      </c>
      <c r="B3249" s="7" t="s">
        <v>625</v>
      </c>
    </row>
    <row r="3250" ht="15.75" customHeight="1">
      <c r="A3250" s="7" t="s">
        <v>75</v>
      </c>
      <c r="B3250" s="7" t="s">
        <v>625</v>
      </c>
    </row>
    <row r="3251" ht="15.75" customHeight="1">
      <c r="A3251" s="7" t="s">
        <v>120</v>
      </c>
      <c r="B3251" s="7" t="s">
        <v>625</v>
      </c>
    </row>
    <row r="3252" ht="15.75" customHeight="1">
      <c r="A3252" s="7" t="s">
        <v>135</v>
      </c>
      <c r="B3252" s="7" t="s">
        <v>625</v>
      </c>
    </row>
    <row r="3253" ht="15.75" customHeight="1">
      <c r="A3253" s="7" t="s">
        <v>162</v>
      </c>
      <c r="B3253" s="7" t="s">
        <v>625</v>
      </c>
    </row>
    <row r="3254" ht="15.75" customHeight="1">
      <c r="A3254" s="7" t="s">
        <v>139</v>
      </c>
      <c r="B3254" s="7" t="s">
        <v>625</v>
      </c>
    </row>
    <row r="3255" ht="15.75" customHeight="1">
      <c r="A3255" s="6" t="s">
        <v>910</v>
      </c>
      <c r="B3255" s="6" t="s">
        <v>625</v>
      </c>
    </row>
    <row r="3256" ht="15.75" customHeight="1">
      <c r="A3256" s="7" t="s">
        <v>68</v>
      </c>
      <c r="B3256" s="7" t="s">
        <v>626</v>
      </c>
    </row>
    <row r="3257" ht="15.75" customHeight="1">
      <c r="A3257" s="7" t="s">
        <v>169</v>
      </c>
      <c r="B3257" s="7" t="s">
        <v>626</v>
      </c>
    </row>
    <row r="3258" ht="15.75" customHeight="1">
      <c r="A3258" s="7" t="s">
        <v>183</v>
      </c>
      <c r="B3258" s="7" t="s">
        <v>626</v>
      </c>
    </row>
    <row r="3259" ht="15.75" customHeight="1">
      <c r="A3259" s="7" t="s">
        <v>166</v>
      </c>
      <c r="B3259" s="7" t="s">
        <v>626</v>
      </c>
    </row>
    <row r="3260" ht="15.75" customHeight="1">
      <c r="A3260" s="7" t="s">
        <v>124</v>
      </c>
      <c r="B3260" s="7" t="s">
        <v>626</v>
      </c>
    </row>
    <row r="3261" ht="15.75" customHeight="1">
      <c r="A3261" s="7" t="s">
        <v>220</v>
      </c>
      <c r="B3261" s="7" t="s">
        <v>626</v>
      </c>
    </row>
    <row r="3262" ht="15.75" customHeight="1">
      <c r="A3262" s="6" t="s">
        <v>910</v>
      </c>
      <c r="B3262" s="6" t="s">
        <v>626</v>
      </c>
    </row>
    <row r="3263" ht="15.75" customHeight="1">
      <c r="A3263" s="7" t="s">
        <v>134</v>
      </c>
      <c r="B3263" s="7" t="s">
        <v>627</v>
      </c>
    </row>
    <row r="3264" ht="15.75" customHeight="1">
      <c r="A3264" s="7" t="s">
        <v>85</v>
      </c>
      <c r="B3264" s="7" t="s">
        <v>627</v>
      </c>
    </row>
    <row r="3265" ht="15.75" customHeight="1">
      <c r="A3265" s="7" t="s">
        <v>175</v>
      </c>
      <c r="B3265" s="7" t="s">
        <v>627</v>
      </c>
    </row>
    <row r="3266" ht="15.75" customHeight="1">
      <c r="A3266" s="7" t="s">
        <v>176</v>
      </c>
      <c r="B3266" s="7" t="s">
        <v>627</v>
      </c>
    </row>
    <row r="3267" ht="15.75" customHeight="1">
      <c r="A3267" s="7" t="s">
        <v>181</v>
      </c>
      <c r="B3267" s="7" t="s">
        <v>627</v>
      </c>
    </row>
    <row r="3268" ht="15.75" customHeight="1">
      <c r="A3268" s="7" t="s">
        <v>145</v>
      </c>
      <c r="B3268" s="7" t="s">
        <v>627</v>
      </c>
    </row>
    <row r="3269" ht="15.75" customHeight="1">
      <c r="A3269" s="6" t="s">
        <v>910</v>
      </c>
      <c r="B3269" s="6" t="s">
        <v>627</v>
      </c>
    </row>
    <row r="3270" ht="15.75" customHeight="1">
      <c r="A3270" s="7" t="s">
        <v>173</v>
      </c>
      <c r="B3270" s="7" t="s">
        <v>628</v>
      </c>
    </row>
    <row r="3271" ht="15.75" customHeight="1">
      <c r="A3271" s="7" t="s">
        <v>98</v>
      </c>
      <c r="B3271" s="7" t="s">
        <v>628</v>
      </c>
    </row>
    <row r="3272" ht="15.75" customHeight="1">
      <c r="A3272" s="7" t="s">
        <v>77</v>
      </c>
      <c r="B3272" s="7" t="s">
        <v>628</v>
      </c>
    </row>
    <row r="3273" ht="15.75" customHeight="1">
      <c r="A3273" s="7" t="s">
        <v>105</v>
      </c>
      <c r="B3273" s="7" t="s">
        <v>628</v>
      </c>
    </row>
    <row r="3274" ht="15.75" customHeight="1">
      <c r="A3274" s="7" t="s">
        <v>222</v>
      </c>
      <c r="B3274" s="7" t="s">
        <v>628</v>
      </c>
    </row>
    <row r="3275" ht="15.75" customHeight="1">
      <c r="A3275" s="7" t="s">
        <v>107</v>
      </c>
      <c r="B3275" s="7" t="s">
        <v>628</v>
      </c>
    </row>
    <row r="3276" ht="15.75" customHeight="1">
      <c r="A3276" s="6" t="s">
        <v>910</v>
      </c>
      <c r="B3276" s="6" t="s">
        <v>628</v>
      </c>
    </row>
    <row r="3277" ht="15.75" customHeight="1">
      <c r="A3277" s="7" t="s">
        <v>173</v>
      </c>
      <c r="B3277" s="7" t="s">
        <v>629</v>
      </c>
    </row>
    <row r="3278" ht="15.75" customHeight="1">
      <c r="A3278" s="7" t="s">
        <v>132</v>
      </c>
      <c r="B3278" s="7" t="s">
        <v>629</v>
      </c>
    </row>
    <row r="3279" ht="15.75" customHeight="1">
      <c r="A3279" s="7" t="s">
        <v>175</v>
      </c>
      <c r="B3279" s="7" t="s">
        <v>629</v>
      </c>
    </row>
    <row r="3280" ht="15.75" customHeight="1">
      <c r="A3280" s="7" t="s">
        <v>123</v>
      </c>
      <c r="B3280" s="7" t="s">
        <v>629</v>
      </c>
    </row>
    <row r="3281" ht="15.75" customHeight="1">
      <c r="A3281" s="7" t="s">
        <v>150</v>
      </c>
      <c r="B3281" s="7" t="s">
        <v>629</v>
      </c>
    </row>
    <row r="3282" ht="15.75" customHeight="1">
      <c r="A3282" s="7" t="s">
        <v>107</v>
      </c>
      <c r="B3282" s="7" t="s">
        <v>629</v>
      </c>
    </row>
    <row r="3283" ht="15.75" customHeight="1">
      <c r="A3283" s="6" t="s">
        <v>910</v>
      </c>
      <c r="B3283" s="6" t="s">
        <v>629</v>
      </c>
    </row>
    <row r="3284" ht="15.75" customHeight="1">
      <c r="A3284" s="7" t="s">
        <v>173</v>
      </c>
      <c r="B3284" s="7" t="s">
        <v>630</v>
      </c>
    </row>
    <row r="3285" ht="15.75" customHeight="1">
      <c r="A3285" s="7" t="s">
        <v>92</v>
      </c>
      <c r="B3285" s="7" t="s">
        <v>630</v>
      </c>
    </row>
    <row r="3286" ht="15.75" customHeight="1">
      <c r="A3286" s="7" t="s">
        <v>178</v>
      </c>
      <c r="B3286" s="7" t="s">
        <v>630</v>
      </c>
    </row>
    <row r="3287" ht="15.75" customHeight="1">
      <c r="A3287" s="7" t="s">
        <v>99</v>
      </c>
      <c r="B3287" s="7" t="s">
        <v>630</v>
      </c>
    </row>
    <row r="3288" ht="15.75" customHeight="1">
      <c r="A3288" s="7" t="s">
        <v>131</v>
      </c>
      <c r="B3288" s="7" t="s">
        <v>630</v>
      </c>
    </row>
    <row r="3289" ht="15.75" customHeight="1">
      <c r="A3289" s="7" t="s">
        <v>74</v>
      </c>
      <c r="B3289" s="7" t="s">
        <v>630</v>
      </c>
    </row>
    <row r="3290" ht="15.75" customHeight="1">
      <c r="A3290" s="6" t="s">
        <v>910</v>
      </c>
      <c r="B3290" s="6" t="s">
        <v>630</v>
      </c>
    </row>
    <row r="3291" ht="15.75" customHeight="1">
      <c r="A3291" s="7" t="s">
        <v>89</v>
      </c>
      <c r="B3291" s="7" t="s">
        <v>631</v>
      </c>
    </row>
    <row r="3292" ht="15.75" customHeight="1">
      <c r="A3292" s="7" t="s">
        <v>92</v>
      </c>
      <c r="B3292" s="7" t="s">
        <v>631</v>
      </c>
    </row>
    <row r="3293" ht="15.75" customHeight="1">
      <c r="A3293" s="7" t="s">
        <v>178</v>
      </c>
      <c r="B3293" s="7" t="s">
        <v>631</v>
      </c>
    </row>
    <row r="3294" ht="15.75" customHeight="1">
      <c r="A3294" s="7" t="s">
        <v>240</v>
      </c>
      <c r="B3294" s="7" t="s">
        <v>631</v>
      </c>
    </row>
    <row r="3295" ht="15.75" customHeight="1">
      <c r="A3295" s="7" t="s">
        <v>73</v>
      </c>
      <c r="B3295" s="7" t="s">
        <v>631</v>
      </c>
    </row>
    <row r="3296" ht="15.75" customHeight="1">
      <c r="A3296" s="7" t="s">
        <v>94</v>
      </c>
      <c r="B3296" s="7" t="s">
        <v>631</v>
      </c>
    </row>
    <row r="3297" ht="15.75" customHeight="1">
      <c r="A3297" s="6" t="s">
        <v>910</v>
      </c>
      <c r="B3297" s="6" t="s">
        <v>631</v>
      </c>
    </row>
    <row r="3298" ht="15.75" customHeight="1">
      <c r="A3298" s="7" t="s">
        <v>95</v>
      </c>
      <c r="B3298" s="7" t="s">
        <v>632</v>
      </c>
    </row>
    <row r="3299" ht="15.75" customHeight="1">
      <c r="A3299" s="7" t="s">
        <v>97</v>
      </c>
      <c r="B3299" s="7" t="s">
        <v>632</v>
      </c>
    </row>
    <row r="3300" ht="15.75" customHeight="1">
      <c r="A3300" s="7" t="s">
        <v>104</v>
      </c>
      <c r="B3300" s="7" t="s">
        <v>632</v>
      </c>
    </row>
    <row r="3301" ht="15.75" customHeight="1">
      <c r="A3301" s="7" t="s">
        <v>149</v>
      </c>
      <c r="B3301" s="7" t="s">
        <v>632</v>
      </c>
    </row>
    <row r="3302" ht="15.75" customHeight="1">
      <c r="A3302" s="7" t="s">
        <v>222</v>
      </c>
      <c r="B3302" s="7" t="s">
        <v>632</v>
      </c>
    </row>
    <row r="3303" ht="15.75" customHeight="1">
      <c r="A3303" s="7" t="s">
        <v>107</v>
      </c>
      <c r="B3303" s="7" t="s">
        <v>632</v>
      </c>
    </row>
    <row r="3304" ht="15.75" customHeight="1">
      <c r="A3304" s="6" t="s">
        <v>910</v>
      </c>
      <c r="B3304" s="6" t="s">
        <v>632</v>
      </c>
    </row>
    <row r="3305" ht="15.75" customHeight="1">
      <c r="A3305" s="7" t="s">
        <v>75</v>
      </c>
      <c r="B3305" s="7" t="s">
        <v>633</v>
      </c>
    </row>
    <row r="3306" ht="15.75" customHeight="1">
      <c r="A3306" s="7" t="s">
        <v>85</v>
      </c>
      <c r="B3306" s="7" t="s">
        <v>633</v>
      </c>
    </row>
    <row r="3307" ht="15.75" customHeight="1">
      <c r="A3307" s="7" t="s">
        <v>98</v>
      </c>
      <c r="B3307" s="7" t="s">
        <v>633</v>
      </c>
    </row>
    <row r="3308" ht="15.75" customHeight="1">
      <c r="A3308" s="7" t="s">
        <v>110</v>
      </c>
      <c r="B3308" s="7" t="s">
        <v>633</v>
      </c>
    </row>
    <row r="3309" ht="15.75" customHeight="1">
      <c r="A3309" s="7" t="s">
        <v>124</v>
      </c>
      <c r="B3309" s="7" t="s">
        <v>633</v>
      </c>
    </row>
    <row r="3310" ht="15.75" customHeight="1">
      <c r="A3310" s="7" t="s">
        <v>158</v>
      </c>
      <c r="B3310" s="7" t="s">
        <v>633</v>
      </c>
    </row>
    <row r="3311" ht="15.75" customHeight="1">
      <c r="A3311" s="6" t="s">
        <v>910</v>
      </c>
      <c r="B3311" s="6" t="s">
        <v>633</v>
      </c>
    </row>
    <row r="3312" ht="15.75" customHeight="1">
      <c r="A3312" s="7" t="s">
        <v>137</v>
      </c>
      <c r="B3312" s="7" t="s">
        <v>634</v>
      </c>
    </row>
    <row r="3313" ht="15.75" customHeight="1">
      <c r="A3313" s="7" t="s">
        <v>134</v>
      </c>
      <c r="B3313" s="7" t="s">
        <v>634</v>
      </c>
    </row>
    <row r="3314" ht="15.75" customHeight="1">
      <c r="A3314" s="7" t="s">
        <v>183</v>
      </c>
      <c r="B3314" s="7" t="s">
        <v>634</v>
      </c>
    </row>
    <row r="3315" ht="15.75" customHeight="1">
      <c r="A3315" s="7" t="s">
        <v>157</v>
      </c>
      <c r="B3315" s="7" t="s">
        <v>634</v>
      </c>
    </row>
    <row r="3316" ht="15.75" customHeight="1">
      <c r="A3316" s="7" t="s">
        <v>126</v>
      </c>
      <c r="B3316" s="7" t="s">
        <v>634</v>
      </c>
    </row>
    <row r="3317" ht="15.75" customHeight="1">
      <c r="A3317" s="7" t="s">
        <v>158</v>
      </c>
      <c r="B3317" s="7" t="s">
        <v>634</v>
      </c>
    </row>
    <row r="3318" ht="15.75" customHeight="1">
      <c r="A3318" s="6" t="s">
        <v>910</v>
      </c>
      <c r="B3318" s="6" t="s">
        <v>634</v>
      </c>
    </row>
    <row r="3319" ht="15.75" customHeight="1">
      <c r="A3319" s="7" t="s">
        <v>70</v>
      </c>
      <c r="B3319" s="7" t="s">
        <v>635</v>
      </c>
    </row>
    <row r="3320" ht="15.75" customHeight="1">
      <c r="A3320" s="7" t="s">
        <v>77</v>
      </c>
      <c r="B3320" s="7" t="s">
        <v>635</v>
      </c>
    </row>
    <row r="3321" ht="15.75" customHeight="1">
      <c r="A3321" s="7" t="s">
        <v>78</v>
      </c>
      <c r="B3321" s="7" t="s">
        <v>635</v>
      </c>
    </row>
    <row r="3322" ht="15.75" customHeight="1">
      <c r="A3322" s="7" t="s">
        <v>149</v>
      </c>
      <c r="B3322" s="7" t="s">
        <v>635</v>
      </c>
    </row>
    <row r="3323" ht="15.75" customHeight="1">
      <c r="A3323" s="7" t="s">
        <v>164</v>
      </c>
      <c r="B3323" s="7" t="s">
        <v>635</v>
      </c>
    </row>
    <row r="3324" ht="15.75" customHeight="1">
      <c r="A3324" s="7" t="s">
        <v>158</v>
      </c>
      <c r="B3324" s="7" t="s">
        <v>635</v>
      </c>
    </row>
    <row r="3325" ht="15.75" customHeight="1">
      <c r="A3325" s="6" t="s">
        <v>910</v>
      </c>
      <c r="B3325" s="6" t="s">
        <v>635</v>
      </c>
    </row>
    <row r="3326" ht="15.75" customHeight="1">
      <c r="A3326" s="6" t="s">
        <v>910</v>
      </c>
      <c r="B3326" s="6" t="s">
        <v>2726</v>
      </c>
    </row>
    <row r="3327" ht="15.75" customHeight="1">
      <c r="A3327" s="7" t="s">
        <v>95</v>
      </c>
      <c r="B3327" s="7" t="s">
        <v>636</v>
      </c>
    </row>
    <row r="3328" ht="15.75" customHeight="1">
      <c r="A3328" s="7" t="s">
        <v>97</v>
      </c>
      <c r="B3328" s="7" t="s">
        <v>636</v>
      </c>
    </row>
    <row r="3329" ht="15.75" customHeight="1">
      <c r="A3329" s="7" t="s">
        <v>98</v>
      </c>
      <c r="B3329" s="7" t="s">
        <v>636</v>
      </c>
    </row>
    <row r="3330" ht="15.75" customHeight="1">
      <c r="A3330" s="7" t="s">
        <v>105</v>
      </c>
      <c r="B3330" s="7" t="s">
        <v>636</v>
      </c>
    </row>
    <row r="3331" ht="15.75" customHeight="1">
      <c r="A3331" s="7" t="s">
        <v>162</v>
      </c>
      <c r="B3331" s="7" t="s">
        <v>636</v>
      </c>
    </row>
    <row r="3332" ht="15.75" customHeight="1">
      <c r="A3332" s="7" t="s">
        <v>171</v>
      </c>
      <c r="B3332" s="7" t="s">
        <v>636</v>
      </c>
    </row>
    <row r="3333" ht="15.75" customHeight="1">
      <c r="A3333" s="6" t="s">
        <v>910</v>
      </c>
      <c r="B3333" s="6" t="s">
        <v>636</v>
      </c>
    </row>
    <row r="3334" ht="15.75" customHeight="1">
      <c r="A3334" s="7" t="s">
        <v>75</v>
      </c>
      <c r="B3334" s="7" t="s">
        <v>637</v>
      </c>
    </row>
    <row r="3335" ht="15.75" customHeight="1">
      <c r="A3335" s="7" t="s">
        <v>98</v>
      </c>
      <c r="B3335" s="7" t="s">
        <v>637</v>
      </c>
    </row>
    <row r="3336" ht="15.75" customHeight="1">
      <c r="A3336" s="7" t="s">
        <v>122</v>
      </c>
      <c r="B3336" s="7" t="s">
        <v>637</v>
      </c>
    </row>
    <row r="3337" ht="15.75" customHeight="1">
      <c r="A3337" s="7" t="s">
        <v>110</v>
      </c>
      <c r="B3337" s="7" t="s">
        <v>637</v>
      </c>
    </row>
    <row r="3338" ht="15.75" customHeight="1">
      <c r="A3338" s="7" t="s">
        <v>187</v>
      </c>
      <c r="B3338" s="7" t="s">
        <v>637</v>
      </c>
    </row>
    <row r="3339" ht="15.75" customHeight="1">
      <c r="A3339" s="7" t="s">
        <v>127</v>
      </c>
      <c r="B3339" s="7" t="s">
        <v>637</v>
      </c>
    </row>
    <row r="3340" ht="15.75" customHeight="1">
      <c r="A3340" s="6" t="s">
        <v>910</v>
      </c>
      <c r="B3340" s="6" t="s">
        <v>637</v>
      </c>
    </row>
    <row r="3341" ht="15.75" customHeight="1">
      <c r="A3341" s="7" t="s">
        <v>159</v>
      </c>
      <c r="B3341" s="7" t="s">
        <v>638</v>
      </c>
    </row>
    <row r="3342" ht="15.75" customHeight="1">
      <c r="A3342" s="7" t="s">
        <v>97</v>
      </c>
      <c r="B3342" s="7" t="s">
        <v>638</v>
      </c>
    </row>
    <row r="3343" ht="15.75" customHeight="1">
      <c r="A3343" s="7" t="s">
        <v>104</v>
      </c>
      <c r="B3343" s="7" t="s">
        <v>638</v>
      </c>
    </row>
    <row r="3344" ht="15.75" customHeight="1">
      <c r="A3344" s="7" t="s">
        <v>123</v>
      </c>
      <c r="B3344" s="7" t="s">
        <v>638</v>
      </c>
    </row>
    <row r="3345" ht="15.75" customHeight="1">
      <c r="A3345" s="7" t="s">
        <v>187</v>
      </c>
      <c r="B3345" s="7" t="s">
        <v>638</v>
      </c>
    </row>
    <row r="3346" ht="15.75" customHeight="1">
      <c r="A3346" s="7" t="s">
        <v>127</v>
      </c>
      <c r="B3346" s="7" t="s">
        <v>638</v>
      </c>
    </row>
    <row r="3347" ht="15.75" customHeight="1">
      <c r="A3347" s="6" t="s">
        <v>910</v>
      </c>
      <c r="B3347" s="6" t="s">
        <v>638</v>
      </c>
    </row>
    <row r="3348" ht="15.75" customHeight="1">
      <c r="A3348" s="7" t="s">
        <v>146</v>
      </c>
      <c r="B3348" s="7" t="s">
        <v>639</v>
      </c>
    </row>
    <row r="3349" ht="15.75" customHeight="1">
      <c r="A3349" s="7" t="s">
        <v>82</v>
      </c>
      <c r="B3349" s="7" t="s">
        <v>639</v>
      </c>
    </row>
    <row r="3350" ht="15.75" customHeight="1">
      <c r="A3350" s="7" t="s">
        <v>98</v>
      </c>
      <c r="B3350" s="7" t="s">
        <v>639</v>
      </c>
    </row>
    <row r="3351" ht="15.75" customHeight="1">
      <c r="A3351" s="7" t="s">
        <v>195</v>
      </c>
      <c r="B3351" s="7" t="s">
        <v>639</v>
      </c>
    </row>
    <row r="3352" ht="15.75" customHeight="1">
      <c r="A3352" s="7" t="s">
        <v>126</v>
      </c>
      <c r="B3352" s="7" t="s">
        <v>639</v>
      </c>
    </row>
    <row r="3353" ht="15.75" customHeight="1">
      <c r="A3353" s="7" t="s">
        <v>139</v>
      </c>
      <c r="B3353" s="7" t="s">
        <v>639</v>
      </c>
    </row>
    <row r="3354" ht="15.75" customHeight="1">
      <c r="A3354" s="6" t="s">
        <v>910</v>
      </c>
      <c r="B3354" s="6" t="s">
        <v>639</v>
      </c>
    </row>
    <row r="3355" ht="15.75" customHeight="1">
      <c r="A3355" s="7" t="s">
        <v>61</v>
      </c>
      <c r="B3355" s="7" t="s">
        <v>640</v>
      </c>
    </row>
    <row r="3356" ht="15.75" customHeight="1">
      <c r="A3356" s="7" t="s">
        <v>92</v>
      </c>
      <c r="B3356" s="7" t="s">
        <v>640</v>
      </c>
    </row>
    <row r="3357" ht="15.75" customHeight="1">
      <c r="A3357" s="7" t="s">
        <v>178</v>
      </c>
      <c r="B3357" s="7" t="s">
        <v>640</v>
      </c>
    </row>
    <row r="3358" ht="15.75" customHeight="1">
      <c r="A3358" s="7" t="s">
        <v>86</v>
      </c>
      <c r="B3358" s="7" t="s">
        <v>640</v>
      </c>
    </row>
    <row r="3359" ht="15.75" customHeight="1">
      <c r="A3359" s="7" t="s">
        <v>93</v>
      </c>
      <c r="B3359" s="7" t="s">
        <v>640</v>
      </c>
    </row>
    <row r="3360" ht="15.75" customHeight="1">
      <c r="A3360" s="7" t="s">
        <v>118</v>
      </c>
      <c r="B3360" s="7" t="s">
        <v>640</v>
      </c>
    </row>
    <row r="3361" ht="15.75" customHeight="1">
      <c r="A3361" s="6" t="s">
        <v>910</v>
      </c>
      <c r="B3361" s="6" t="s">
        <v>640</v>
      </c>
    </row>
    <row r="3362" ht="15.75" customHeight="1">
      <c r="A3362" s="7" t="s">
        <v>169</v>
      </c>
      <c r="B3362" s="7" t="s">
        <v>641</v>
      </c>
    </row>
    <row r="3363" ht="15.75" customHeight="1">
      <c r="A3363" s="7" t="s">
        <v>183</v>
      </c>
      <c r="B3363" s="7" t="s">
        <v>641</v>
      </c>
    </row>
    <row r="3364" ht="15.75" customHeight="1">
      <c r="A3364" s="7" t="s">
        <v>153</v>
      </c>
      <c r="B3364" s="7" t="s">
        <v>641</v>
      </c>
    </row>
    <row r="3365" ht="15.75" customHeight="1">
      <c r="A3365" s="7" t="s">
        <v>157</v>
      </c>
      <c r="B3365" s="7" t="s">
        <v>641</v>
      </c>
    </row>
    <row r="3366" ht="15.75" customHeight="1">
      <c r="A3366" s="7" t="s">
        <v>181</v>
      </c>
      <c r="B3366" s="7" t="s">
        <v>641</v>
      </c>
    </row>
    <row r="3367" ht="15.75" customHeight="1">
      <c r="A3367" s="7" t="s">
        <v>107</v>
      </c>
      <c r="B3367" s="7" t="s">
        <v>641</v>
      </c>
    </row>
    <row r="3368" ht="15.75" customHeight="1">
      <c r="A3368" s="6" t="s">
        <v>910</v>
      </c>
      <c r="B3368" s="6" t="s">
        <v>641</v>
      </c>
    </row>
    <row r="3369" ht="15.75" customHeight="1">
      <c r="A3369" s="7" t="s">
        <v>100</v>
      </c>
      <c r="B3369" s="7" t="s">
        <v>642</v>
      </c>
    </row>
    <row r="3370" ht="15.75" customHeight="1">
      <c r="A3370" s="7" t="s">
        <v>132</v>
      </c>
      <c r="B3370" s="7" t="s">
        <v>642</v>
      </c>
    </row>
    <row r="3371" ht="15.75" customHeight="1">
      <c r="A3371" s="7" t="s">
        <v>104</v>
      </c>
      <c r="B3371" s="7" t="s">
        <v>642</v>
      </c>
    </row>
    <row r="3372" ht="15.75" customHeight="1">
      <c r="A3372" s="7" t="s">
        <v>184</v>
      </c>
      <c r="B3372" s="7" t="s">
        <v>642</v>
      </c>
    </row>
    <row r="3373" ht="15.75" customHeight="1">
      <c r="A3373" s="7" t="s">
        <v>142</v>
      </c>
      <c r="B3373" s="7" t="s">
        <v>642</v>
      </c>
    </row>
    <row r="3374" ht="15.75" customHeight="1">
      <c r="A3374" s="7" t="s">
        <v>88</v>
      </c>
      <c r="B3374" s="7" t="s">
        <v>642</v>
      </c>
    </row>
    <row r="3375" ht="15.75" customHeight="1">
      <c r="A3375" s="6" t="s">
        <v>910</v>
      </c>
      <c r="B3375" s="6" t="s">
        <v>642</v>
      </c>
    </row>
    <row r="3376" ht="15.75" customHeight="1">
      <c r="A3376" s="7" t="s">
        <v>114</v>
      </c>
      <c r="B3376" s="7" t="s">
        <v>643</v>
      </c>
    </row>
    <row r="3377" ht="15.75" customHeight="1">
      <c r="A3377" s="7" t="s">
        <v>169</v>
      </c>
      <c r="B3377" s="7" t="s">
        <v>643</v>
      </c>
    </row>
    <row r="3378" ht="15.75" customHeight="1">
      <c r="A3378" s="7" t="s">
        <v>183</v>
      </c>
      <c r="B3378" s="7" t="s">
        <v>643</v>
      </c>
    </row>
    <row r="3379" ht="15.75" customHeight="1">
      <c r="A3379" s="7" t="s">
        <v>65</v>
      </c>
      <c r="B3379" s="7" t="s">
        <v>643</v>
      </c>
    </row>
    <row r="3380" ht="15.75" customHeight="1">
      <c r="A3380" s="7" t="s">
        <v>131</v>
      </c>
      <c r="B3380" s="7" t="s">
        <v>643</v>
      </c>
    </row>
    <row r="3381" ht="15.75" customHeight="1">
      <c r="A3381" s="7" t="s">
        <v>67</v>
      </c>
      <c r="B3381" s="7" t="s">
        <v>643</v>
      </c>
    </row>
    <row r="3382" ht="15.75" customHeight="1">
      <c r="A3382" s="6" t="s">
        <v>910</v>
      </c>
      <c r="B3382" s="6" t="s">
        <v>643</v>
      </c>
    </row>
    <row r="3383" ht="15.75" customHeight="1">
      <c r="A3383" s="7" t="s">
        <v>148</v>
      </c>
      <c r="B3383" s="7" t="s">
        <v>644</v>
      </c>
    </row>
    <row r="3384" ht="15.75" customHeight="1">
      <c r="A3384" s="7" t="s">
        <v>84</v>
      </c>
      <c r="B3384" s="7" t="s">
        <v>644</v>
      </c>
    </row>
    <row r="3385" ht="15.75" customHeight="1">
      <c r="A3385" s="7" t="s">
        <v>156</v>
      </c>
      <c r="B3385" s="7" t="s">
        <v>644</v>
      </c>
    </row>
    <row r="3386" ht="15.75" customHeight="1">
      <c r="A3386" s="7" t="s">
        <v>189</v>
      </c>
      <c r="B3386" s="7" t="s">
        <v>644</v>
      </c>
    </row>
    <row r="3387" ht="15.75" customHeight="1">
      <c r="A3387" s="7" t="s">
        <v>117</v>
      </c>
      <c r="B3387" s="7" t="s">
        <v>644</v>
      </c>
    </row>
    <row r="3388" ht="15.75" customHeight="1">
      <c r="A3388" s="7" t="s">
        <v>118</v>
      </c>
      <c r="B3388" s="7" t="s">
        <v>644</v>
      </c>
    </row>
    <row r="3389" ht="15.75" customHeight="1">
      <c r="A3389" s="6" t="s">
        <v>910</v>
      </c>
      <c r="B3389" s="6" t="s">
        <v>644</v>
      </c>
    </row>
    <row r="3390" ht="15.75" customHeight="1">
      <c r="A3390" s="7" t="s">
        <v>226</v>
      </c>
      <c r="B3390" s="7" t="s">
        <v>645</v>
      </c>
    </row>
    <row r="3391" ht="15.75" customHeight="1">
      <c r="A3391" s="7" t="s">
        <v>198</v>
      </c>
      <c r="B3391" s="7" t="s">
        <v>645</v>
      </c>
    </row>
    <row r="3392" ht="15.75" customHeight="1">
      <c r="A3392" s="7" t="s">
        <v>194</v>
      </c>
      <c r="B3392" s="7" t="s">
        <v>645</v>
      </c>
    </row>
    <row r="3393" ht="15.75" customHeight="1">
      <c r="A3393" s="7" t="s">
        <v>123</v>
      </c>
      <c r="B3393" s="7" t="s">
        <v>645</v>
      </c>
    </row>
    <row r="3394" ht="15.75" customHeight="1">
      <c r="A3394" s="7" t="s">
        <v>181</v>
      </c>
      <c r="B3394" s="7" t="s">
        <v>645</v>
      </c>
    </row>
    <row r="3395" ht="15.75" customHeight="1">
      <c r="A3395" s="7" t="s">
        <v>107</v>
      </c>
      <c r="B3395" s="7" t="s">
        <v>645</v>
      </c>
    </row>
    <row r="3396" ht="15.75" customHeight="1">
      <c r="A3396" s="6" t="s">
        <v>910</v>
      </c>
      <c r="B3396" s="6" t="s">
        <v>645</v>
      </c>
    </row>
    <row r="3397" ht="15.75" customHeight="1">
      <c r="A3397" s="7" t="s">
        <v>70</v>
      </c>
      <c r="B3397" s="7" t="s">
        <v>646</v>
      </c>
    </row>
    <row r="3398" ht="15.75" customHeight="1">
      <c r="A3398" s="7" t="s">
        <v>109</v>
      </c>
      <c r="B3398" s="7" t="s">
        <v>646</v>
      </c>
    </row>
    <row r="3399" ht="15.75" customHeight="1">
      <c r="A3399" s="7" t="s">
        <v>71</v>
      </c>
      <c r="B3399" s="7" t="s">
        <v>646</v>
      </c>
    </row>
    <row r="3400" ht="15.75" customHeight="1">
      <c r="A3400" s="7" t="s">
        <v>65</v>
      </c>
      <c r="B3400" s="7" t="s">
        <v>646</v>
      </c>
    </row>
    <row r="3401" ht="15.75" customHeight="1">
      <c r="A3401" s="7" t="s">
        <v>131</v>
      </c>
      <c r="B3401" s="7" t="s">
        <v>646</v>
      </c>
    </row>
    <row r="3402" ht="15.75" customHeight="1">
      <c r="A3402" s="7" t="s">
        <v>88</v>
      </c>
      <c r="B3402" s="7" t="s">
        <v>646</v>
      </c>
    </row>
    <row r="3403" ht="15.75" customHeight="1">
      <c r="A3403" s="6" t="s">
        <v>910</v>
      </c>
      <c r="B3403" s="6" t="s">
        <v>646</v>
      </c>
    </row>
    <row r="3404" ht="15.75" customHeight="1">
      <c r="A3404" s="7" t="s">
        <v>100</v>
      </c>
      <c r="B3404" s="7" t="s">
        <v>647</v>
      </c>
    </row>
    <row r="3405" ht="15.75" customHeight="1">
      <c r="A3405" s="7" t="s">
        <v>137</v>
      </c>
      <c r="B3405" s="7" t="s">
        <v>647</v>
      </c>
    </row>
    <row r="3406" ht="15.75" customHeight="1">
      <c r="A3406" s="7" t="s">
        <v>141</v>
      </c>
      <c r="B3406" s="7" t="s">
        <v>647</v>
      </c>
    </row>
    <row r="3407" ht="15.75" customHeight="1">
      <c r="A3407" s="7" t="s">
        <v>189</v>
      </c>
      <c r="B3407" s="7" t="s">
        <v>647</v>
      </c>
    </row>
    <row r="3408" ht="15.75" customHeight="1">
      <c r="A3408" s="7" t="s">
        <v>117</v>
      </c>
      <c r="B3408" s="7" t="s">
        <v>647</v>
      </c>
    </row>
    <row r="3409" ht="15.75" customHeight="1">
      <c r="A3409" s="7" t="s">
        <v>67</v>
      </c>
      <c r="B3409" s="7" t="s">
        <v>647</v>
      </c>
    </row>
    <row r="3410" ht="15.75" customHeight="1">
      <c r="A3410" s="6" t="s">
        <v>910</v>
      </c>
      <c r="B3410" s="6" t="s">
        <v>647</v>
      </c>
    </row>
    <row r="3411" ht="15.75" customHeight="1">
      <c r="A3411" s="7" t="s">
        <v>100</v>
      </c>
      <c r="B3411" s="7" t="s">
        <v>648</v>
      </c>
    </row>
    <row r="3412" ht="15.75" customHeight="1">
      <c r="A3412" s="7" t="s">
        <v>95</v>
      </c>
      <c r="B3412" s="7" t="s">
        <v>648</v>
      </c>
    </row>
    <row r="3413" ht="15.75" customHeight="1">
      <c r="A3413" s="7" t="s">
        <v>104</v>
      </c>
      <c r="B3413" s="7" t="s">
        <v>648</v>
      </c>
    </row>
    <row r="3414" ht="15.75" customHeight="1">
      <c r="A3414" s="7" t="s">
        <v>105</v>
      </c>
      <c r="B3414" s="7" t="s">
        <v>648</v>
      </c>
    </row>
    <row r="3415" ht="15.75" customHeight="1">
      <c r="A3415" s="7" t="s">
        <v>106</v>
      </c>
      <c r="B3415" s="7" t="s">
        <v>648</v>
      </c>
    </row>
    <row r="3416" ht="15.75" customHeight="1">
      <c r="A3416" s="7" t="s">
        <v>111</v>
      </c>
      <c r="B3416" s="7" t="s">
        <v>648</v>
      </c>
    </row>
    <row r="3417" ht="15.75" customHeight="1">
      <c r="A3417" s="6" t="s">
        <v>910</v>
      </c>
      <c r="B3417" s="6" t="s">
        <v>648</v>
      </c>
    </row>
    <row r="3418" ht="15.75" customHeight="1">
      <c r="A3418" s="7" t="s">
        <v>100</v>
      </c>
      <c r="B3418" s="7" t="s">
        <v>649</v>
      </c>
    </row>
    <row r="3419" ht="15.75" customHeight="1">
      <c r="A3419" s="7" t="s">
        <v>192</v>
      </c>
      <c r="B3419" s="7" t="s">
        <v>649</v>
      </c>
    </row>
    <row r="3420" ht="15.75" customHeight="1">
      <c r="A3420" s="7" t="s">
        <v>153</v>
      </c>
      <c r="B3420" s="7" t="s">
        <v>649</v>
      </c>
    </row>
    <row r="3421" ht="15.75" customHeight="1">
      <c r="A3421" s="7" t="s">
        <v>189</v>
      </c>
      <c r="B3421" s="7" t="s">
        <v>649</v>
      </c>
    </row>
    <row r="3422" ht="15.75" customHeight="1">
      <c r="A3422" s="7" t="s">
        <v>113</v>
      </c>
      <c r="B3422" s="7" t="s">
        <v>649</v>
      </c>
    </row>
    <row r="3423" ht="15.75" customHeight="1">
      <c r="A3423" s="7" t="s">
        <v>118</v>
      </c>
      <c r="B3423" s="7" t="s">
        <v>649</v>
      </c>
    </row>
    <row r="3424" ht="15.75" customHeight="1">
      <c r="A3424" s="6" t="s">
        <v>910</v>
      </c>
      <c r="B3424" s="6" t="s">
        <v>649</v>
      </c>
    </row>
    <row r="3425" ht="15.75" customHeight="1">
      <c r="A3425" s="6" t="s">
        <v>1126</v>
      </c>
      <c r="B3425" s="6" t="s">
        <v>649</v>
      </c>
    </row>
    <row r="3426" ht="15.75" customHeight="1">
      <c r="A3426" s="7" t="s">
        <v>226</v>
      </c>
      <c r="B3426" s="7" t="s">
        <v>650</v>
      </c>
    </row>
    <row r="3427" ht="15.75" customHeight="1">
      <c r="A3427" s="7" t="s">
        <v>114</v>
      </c>
      <c r="B3427" s="7" t="s">
        <v>650</v>
      </c>
    </row>
    <row r="3428" ht="15.75" customHeight="1">
      <c r="A3428" s="7" t="s">
        <v>178</v>
      </c>
      <c r="B3428" s="7" t="s">
        <v>650</v>
      </c>
    </row>
    <row r="3429" ht="15.75" customHeight="1">
      <c r="A3429" s="7" t="s">
        <v>184</v>
      </c>
      <c r="B3429" s="7" t="s">
        <v>650</v>
      </c>
    </row>
    <row r="3430" ht="15.75" customHeight="1">
      <c r="A3430" s="7" t="s">
        <v>87</v>
      </c>
      <c r="B3430" s="7" t="s">
        <v>650</v>
      </c>
    </row>
    <row r="3431" ht="15.75" customHeight="1">
      <c r="A3431" s="7" t="s">
        <v>185</v>
      </c>
      <c r="B3431" s="7" t="s">
        <v>650</v>
      </c>
    </row>
    <row r="3432" ht="15.75" customHeight="1">
      <c r="A3432" s="6" t="s">
        <v>910</v>
      </c>
      <c r="B3432" s="6" t="s">
        <v>650</v>
      </c>
    </row>
    <row r="3433" ht="15.75" customHeight="1">
      <c r="A3433" s="6" t="s">
        <v>1126</v>
      </c>
      <c r="B3433" s="6" t="s">
        <v>650</v>
      </c>
    </row>
    <row r="3434" ht="15.75" customHeight="1">
      <c r="A3434" s="7" t="s">
        <v>63</v>
      </c>
      <c r="B3434" s="7" t="s">
        <v>651</v>
      </c>
    </row>
    <row r="3435" ht="15.75" customHeight="1">
      <c r="A3435" s="7" t="s">
        <v>134</v>
      </c>
      <c r="B3435" s="7" t="s">
        <v>651</v>
      </c>
    </row>
    <row r="3436" ht="15.75" customHeight="1">
      <c r="A3436" s="7" t="s">
        <v>175</v>
      </c>
      <c r="B3436" s="7" t="s">
        <v>651</v>
      </c>
    </row>
    <row r="3437" ht="15.75" customHeight="1">
      <c r="A3437" s="7" t="s">
        <v>184</v>
      </c>
      <c r="B3437" s="7" t="s">
        <v>651</v>
      </c>
    </row>
    <row r="3438" ht="15.75" customHeight="1">
      <c r="A3438" s="7" t="s">
        <v>117</v>
      </c>
      <c r="B3438" s="7" t="s">
        <v>651</v>
      </c>
    </row>
    <row r="3439" ht="15.75" customHeight="1">
      <c r="A3439" s="7" t="s">
        <v>154</v>
      </c>
      <c r="B3439" s="7" t="s">
        <v>651</v>
      </c>
    </row>
    <row r="3440" ht="15.75" customHeight="1">
      <c r="A3440" s="6" t="s">
        <v>910</v>
      </c>
      <c r="B3440" s="6" t="s">
        <v>651</v>
      </c>
    </row>
    <row r="3441" ht="15.75" customHeight="1">
      <c r="A3441" s="7" t="s">
        <v>169</v>
      </c>
      <c r="B3441" s="7" t="s">
        <v>652</v>
      </c>
    </row>
    <row r="3442" ht="15.75" customHeight="1">
      <c r="A3442" s="7" t="s">
        <v>183</v>
      </c>
      <c r="B3442" s="7" t="s">
        <v>652</v>
      </c>
    </row>
    <row r="3443" ht="15.75" customHeight="1">
      <c r="A3443" s="7" t="s">
        <v>153</v>
      </c>
      <c r="B3443" s="7" t="s">
        <v>652</v>
      </c>
    </row>
    <row r="3444" ht="15.75" customHeight="1">
      <c r="A3444" s="7" t="s">
        <v>176</v>
      </c>
      <c r="B3444" s="7" t="s">
        <v>652</v>
      </c>
    </row>
    <row r="3445" ht="15.75" customHeight="1">
      <c r="A3445" s="7" t="s">
        <v>196</v>
      </c>
      <c r="B3445" s="7" t="s">
        <v>652</v>
      </c>
    </row>
    <row r="3446" ht="15.75" customHeight="1">
      <c r="A3446" s="7" t="s">
        <v>127</v>
      </c>
      <c r="B3446" s="7" t="s">
        <v>652</v>
      </c>
    </row>
    <row r="3447" ht="15.75" customHeight="1">
      <c r="A3447" s="7" t="s">
        <v>161</v>
      </c>
      <c r="B3447" s="7" t="s">
        <v>653</v>
      </c>
    </row>
    <row r="3448" ht="15.75" customHeight="1">
      <c r="A3448" s="7" t="s">
        <v>109</v>
      </c>
      <c r="B3448" s="7" t="s">
        <v>653</v>
      </c>
    </row>
    <row r="3449" ht="15.75" customHeight="1">
      <c r="A3449" s="7" t="s">
        <v>71</v>
      </c>
      <c r="B3449" s="7" t="s">
        <v>653</v>
      </c>
    </row>
    <row r="3450" ht="15.75" customHeight="1">
      <c r="A3450" s="7" t="s">
        <v>65</v>
      </c>
      <c r="B3450" s="7" t="s">
        <v>653</v>
      </c>
    </row>
    <row r="3451" ht="15.75" customHeight="1">
      <c r="A3451" s="7" t="s">
        <v>117</v>
      </c>
      <c r="B3451" s="7" t="s">
        <v>653</v>
      </c>
    </row>
    <row r="3452" ht="15.75" customHeight="1">
      <c r="A3452" s="7" t="s">
        <v>67</v>
      </c>
      <c r="B3452" s="7" t="s">
        <v>653</v>
      </c>
    </row>
    <row r="3453" ht="15.75" customHeight="1">
      <c r="A3453" s="6" t="s">
        <v>910</v>
      </c>
      <c r="B3453" s="6" t="s">
        <v>653</v>
      </c>
    </row>
    <row r="3454" ht="15.75" customHeight="1">
      <c r="A3454" s="7" t="s">
        <v>70</v>
      </c>
      <c r="B3454" s="7" t="s">
        <v>654</v>
      </c>
    </row>
    <row r="3455" ht="15.75" customHeight="1">
      <c r="A3455" s="7" t="s">
        <v>122</v>
      </c>
      <c r="B3455" s="7" t="s">
        <v>654</v>
      </c>
    </row>
    <row r="3456" ht="15.75" customHeight="1">
      <c r="A3456" s="7" t="s">
        <v>175</v>
      </c>
      <c r="B3456" s="7" t="s">
        <v>654</v>
      </c>
    </row>
    <row r="3457" ht="15.75" customHeight="1">
      <c r="A3457" s="7" t="s">
        <v>110</v>
      </c>
      <c r="B3457" s="7" t="s">
        <v>654</v>
      </c>
    </row>
    <row r="3458" ht="15.75" customHeight="1">
      <c r="A3458" s="7" t="s">
        <v>124</v>
      </c>
      <c r="B3458" s="7" t="s">
        <v>654</v>
      </c>
    </row>
    <row r="3459" ht="15.75" customHeight="1">
      <c r="A3459" s="7" t="s">
        <v>107</v>
      </c>
      <c r="B3459" s="7" t="s">
        <v>654</v>
      </c>
    </row>
    <row r="3460" ht="15.75" customHeight="1">
      <c r="A3460" s="6" t="s">
        <v>910</v>
      </c>
      <c r="B3460" s="6" t="s">
        <v>654</v>
      </c>
    </row>
    <row r="3461" ht="15.75" customHeight="1">
      <c r="A3461" s="7" t="s">
        <v>137</v>
      </c>
      <c r="B3461" s="7" t="s">
        <v>655</v>
      </c>
    </row>
    <row r="3462" ht="15.75" customHeight="1">
      <c r="A3462" s="7" t="s">
        <v>161</v>
      </c>
      <c r="B3462" s="7" t="s">
        <v>655</v>
      </c>
    </row>
    <row r="3463" ht="15.75" customHeight="1">
      <c r="A3463" s="7" t="s">
        <v>175</v>
      </c>
      <c r="B3463" s="7" t="s">
        <v>655</v>
      </c>
    </row>
    <row r="3464" ht="15.75" customHeight="1">
      <c r="A3464" s="7" t="s">
        <v>116</v>
      </c>
      <c r="B3464" s="7" t="s">
        <v>655</v>
      </c>
    </row>
    <row r="3465" ht="15.75" customHeight="1">
      <c r="A3465" s="7" t="s">
        <v>208</v>
      </c>
      <c r="B3465" s="7" t="s">
        <v>655</v>
      </c>
    </row>
    <row r="3466" ht="15.75" customHeight="1">
      <c r="A3466" s="7" t="s">
        <v>185</v>
      </c>
      <c r="B3466" s="7" t="s">
        <v>655</v>
      </c>
    </row>
    <row r="3467" ht="15.75" customHeight="1">
      <c r="A3467" s="6" t="s">
        <v>910</v>
      </c>
      <c r="B3467" s="6" t="s">
        <v>655</v>
      </c>
    </row>
    <row r="3468" ht="15.75" customHeight="1">
      <c r="A3468" s="7" t="s">
        <v>226</v>
      </c>
      <c r="B3468" s="7" t="s">
        <v>656</v>
      </c>
    </row>
    <row r="3469" ht="15.75" customHeight="1">
      <c r="A3469" s="7" t="s">
        <v>156</v>
      </c>
      <c r="B3469" s="7" t="s">
        <v>656</v>
      </c>
    </row>
    <row r="3470" ht="15.75" customHeight="1">
      <c r="A3470" s="7" t="s">
        <v>170</v>
      </c>
      <c r="B3470" s="7" t="s">
        <v>656</v>
      </c>
    </row>
    <row r="3471" ht="15.75" customHeight="1">
      <c r="A3471" s="7" t="s">
        <v>86</v>
      </c>
      <c r="B3471" s="7" t="s">
        <v>656</v>
      </c>
    </row>
    <row r="3472" ht="15.75" customHeight="1">
      <c r="A3472" s="7" t="s">
        <v>131</v>
      </c>
      <c r="B3472" s="7" t="s">
        <v>656</v>
      </c>
    </row>
    <row r="3473" ht="15.75" customHeight="1">
      <c r="A3473" s="7" t="s">
        <v>118</v>
      </c>
      <c r="B3473" s="7" t="s">
        <v>656</v>
      </c>
    </row>
    <row r="3474" ht="15.75" customHeight="1">
      <c r="A3474" s="6" t="s">
        <v>910</v>
      </c>
      <c r="B3474" s="6" t="s">
        <v>656</v>
      </c>
    </row>
    <row r="3475" ht="15.75" customHeight="1">
      <c r="A3475" s="7" t="s">
        <v>159</v>
      </c>
      <c r="B3475" s="7" t="s">
        <v>657</v>
      </c>
    </row>
    <row r="3476" ht="15.75" customHeight="1">
      <c r="A3476" s="7" t="s">
        <v>161</v>
      </c>
      <c r="B3476" s="7" t="s">
        <v>657</v>
      </c>
    </row>
    <row r="3477" ht="15.75" customHeight="1">
      <c r="A3477" s="7" t="s">
        <v>175</v>
      </c>
      <c r="B3477" s="7" t="s">
        <v>657</v>
      </c>
    </row>
    <row r="3478" ht="15.75" customHeight="1">
      <c r="A3478" s="7" t="s">
        <v>189</v>
      </c>
      <c r="B3478" s="7" t="s">
        <v>657</v>
      </c>
    </row>
    <row r="3479" ht="15.75" customHeight="1">
      <c r="A3479" s="7" t="s">
        <v>117</v>
      </c>
      <c r="B3479" s="7" t="s">
        <v>657</v>
      </c>
    </row>
    <row r="3480" ht="15.75" customHeight="1">
      <c r="A3480" s="7" t="s">
        <v>199</v>
      </c>
      <c r="B3480" s="7" t="s">
        <v>657</v>
      </c>
    </row>
    <row r="3481" ht="15.75" customHeight="1">
      <c r="A3481" s="6" t="s">
        <v>910</v>
      </c>
      <c r="B3481" s="6" t="s">
        <v>657</v>
      </c>
    </row>
    <row r="3482" ht="15.75" customHeight="1">
      <c r="A3482" s="7" t="s">
        <v>100</v>
      </c>
      <c r="B3482" s="7" t="s">
        <v>658</v>
      </c>
    </row>
    <row r="3483" ht="15.75" customHeight="1">
      <c r="A3483" s="7" t="s">
        <v>194</v>
      </c>
      <c r="B3483" s="7" t="s">
        <v>658</v>
      </c>
    </row>
    <row r="3484" ht="15.75" customHeight="1">
      <c r="A3484" s="7" t="s">
        <v>104</v>
      </c>
      <c r="B3484" s="7" t="s">
        <v>658</v>
      </c>
    </row>
    <row r="3485" ht="15.75" customHeight="1">
      <c r="A3485" s="7" t="s">
        <v>211</v>
      </c>
      <c r="B3485" s="7" t="s">
        <v>658</v>
      </c>
    </row>
    <row r="3486" ht="15.75" customHeight="1">
      <c r="A3486" s="7" t="s">
        <v>181</v>
      </c>
      <c r="B3486" s="7" t="s">
        <v>658</v>
      </c>
    </row>
    <row r="3487" ht="15.75" customHeight="1">
      <c r="A3487" s="7" t="s">
        <v>136</v>
      </c>
      <c r="B3487" s="7" t="s">
        <v>658</v>
      </c>
    </row>
    <row r="3488" ht="15.75" customHeight="1">
      <c r="A3488" s="6" t="s">
        <v>910</v>
      </c>
      <c r="B3488" s="6" t="s">
        <v>658</v>
      </c>
    </row>
    <row r="3489" ht="15.75" customHeight="1">
      <c r="A3489" s="7" t="s">
        <v>173</v>
      </c>
      <c r="B3489" s="7" t="s">
        <v>659</v>
      </c>
    </row>
    <row r="3490" ht="15.75" customHeight="1">
      <c r="A3490" s="7" t="s">
        <v>132</v>
      </c>
      <c r="B3490" s="7" t="s">
        <v>659</v>
      </c>
    </row>
    <row r="3491" ht="15.75" customHeight="1">
      <c r="A3491" s="7" t="s">
        <v>104</v>
      </c>
      <c r="B3491" s="7" t="s">
        <v>659</v>
      </c>
    </row>
    <row r="3492" ht="15.75" customHeight="1">
      <c r="A3492" s="7" t="s">
        <v>207</v>
      </c>
      <c r="B3492" s="7" t="s">
        <v>659</v>
      </c>
    </row>
    <row r="3493" ht="15.75" customHeight="1">
      <c r="A3493" s="7" t="s">
        <v>117</v>
      </c>
      <c r="B3493" s="7" t="s">
        <v>659</v>
      </c>
    </row>
    <row r="3494" ht="15.75" customHeight="1">
      <c r="A3494" s="7" t="s">
        <v>118</v>
      </c>
      <c r="B3494" s="7" t="s">
        <v>659</v>
      </c>
    </row>
    <row r="3495" ht="15.75" customHeight="1">
      <c r="A3495" s="6" t="s">
        <v>910</v>
      </c>
      <c r="B3495" s="6" t="s">
        <v>659</v>
      </c>
    </row>
    <row r="3496" ht="15.75" customHeight="1">
      <c r="A3496" s="7" t="s">
        <v>173</v>
      </c>
      <c r="B3496" s="7" t="s">
        <v>660</v>
      </c>
    </row>
    <row r="3497" ht="15.75" customHeight="1">
      <c r="A3497" s="7" t="s">
        <v>132</v>
      </c>
      <c r="B3497" s="7" t="s">
        <v>660</v>
      </c>
    </row>
    <row r="3498" ht="15.75" customHeight="1">
      <c r="A3498" s="7" t="s">
        <v>71</v>
      </c>
      <c r="B3498" s="7" t="s">
        <v>660</v>
      </c>
    </row>
    <row r="3499" ht="15.75" customHeight="1">
      <c r="A3499" s="7" t="s">
        <v>123</v>
      </c>
      <c r="B3499" s="7" t="s">
        <v>660</v>
      </c>
    </row>
    <row r="3500" ht="15.75" customHeight="1">
      <c r="A3500" s="7" t="s">
        <v>126</v>
      </c>
      <c r="B3500" s="7" t="s">
        <v>660</v>
      </c>
    </row>
    <row r="3501" ht="15.75" customHeight="1">
      <c r="A3501" s="7" t="s">
        <v>107</v>
      </c>
      <c r="B3501" s="7" t="s">
        <v>660</v>
      </c>
    </row>
    <row r="3502" ht="15.75" customHeight="1">
      <c r="A3502" s="6" t="s">
        <v>910</v>
      </c>
      <c r="B3502" s="6" t="s">
        <v>660</v>
      </c>
    </row>
    <row r="3503" ht="15.75" customHeight="1">
      <c r="A3503" s="7" t="s">
        <v>114</v>
      </c>
      <c r="B3503" s="7" t="s">
        <v>661</v>
      </c>
    </row>
    <row r="3504" ht="15.75" customHeight="1">
      <c r="A3504" s="7" t="s">
        <v>148</v>
      </c>
      <c r="B3504" s="7" t="s">
        <v>661</v>
      </c>
    </row>
    <row r="3505" ht="15.75" customHeight="1">
      <c r="A3505" s="7" t="s">
        <v>129</v>
      </c>
      <c r="B3505" s="7" t="s">
        <v>661</v>
      </c>
    </row>
    <row r="3506" ht="15.75" customHeight="1">
      <c r="A3506" s="7" t="s">
        <v>79</v>
      </c>
      <c r="B3506" s="7" t="s">
        <v>661</v>
      </c>
    </row>
    <row r="3507" ht="15.75" customHeight="1">
      <c r="A3507" s="7" t="s">
        <v>208</v>
      </c>
      <c r="B3507" s="7" t="s">
        <v>661</v>
      </c>
    </row>
    <row r="3508" ht="15.75" customHeight="1">
      <c r="A3508" s="7" t="s">
        <v>94</v>
      </c>
      <c r="B3508" s="7" t="s">
        <v>661</v>
      </c>
    </row>
    <row r="3509" ht="15.75" customHeight="1">
      <c r="A3509" s="7" t="s">
        <v>70</v>
      </c>
      <c r="B3509" s="7" t="s">
        <v>662</v>
      </c>
    </row>
    <row r="3510" ht="15.75" customHeight="1">
      <c r="A3510" s="7" t="s">
        <v>153</v>
      </c>
      <c r="B3510" s="7" t="s">
        <v>662</v>
      </c>
    </row>
    <row r="3511" ht="15.75" customHeight="1">
      <c r="A3511" s="7" t="s">
        <v>141</v>
      </c>
      <c r="B3511" s="7" t="s">
        <v>662</v>
      </c>
    </row>
    <row r="3512" ht="15.75" customHeight="1">
      <c r="A3512" s="7" t="s">
        <v>176</v>
      </c>
      <c r="B3512" s="7" t="s">
        <v>662</v>
      </c>
    </row>
    <row r="3513" ht="15.75" customHeight="1">
      <c r="A3513" s="7" t="s">
        <v>181</v>
      </c>
      <c r="B3513" s="7" t="s">
        <v>662</v>
      </c>
    </row>
    <row r="3514" ht="15.75" customHeight="1">
      <c r="A3514" s="7" t="s">
        <v>145</v>
      </c>
      <c r="B3514" s="7" t="s">
        <v>662</v>
      </c>
    </row>
    <row r="3515" ht="15.75" customHeight="1">
      <c r="A3515" s="6" t="s">
        <v>910</v>
      </c>
      <c r="B3515" s="6" t="s">
        <v>662</v>
      </c>
    </row>
    <row r="3516" ht="15.75" customHeight="1">
      <c r="A3516" s="7" t="s">
        <v>134</v>
      </c>
      <c r="B3516" s="7" t="s">
        <v>663</v>
      </c>
    </row>
    <row r="3517" ht="15.75" customHeight="1">
      <c r="A3517" s="7" t="s">
        <v>77</v>
      </c>
      <c r="B3517" s="7" t="s">
        <v>663</v>
      </c>
    </row>
    <row r="3518" ht="15.75" customHeight="1">
      <c r="A3518" s="7" t="s">
        <v>175</v>
      </c>
      <c r="B3518" s="7" t="s">
        <v>663</v>
      </c>
    </row>
    <row r="3519" ht="15.75" customHeight="1">
      <c r="A3519" s="7" t="s">
        <v>99</v>
      </c>
      <c r="B3519" s="7" t="s">
        <v>663</v>
      </c>
    </row>
    <row r="3520" ht="15.75" customHeight="1">
      <c r="A3520" s="7" t="s">
        <v>131</v>
      </c>
      <c r="B3520" s="7" t="s">
        <v>663</v>
      </c>
    </row>
    <row r="3521" ht="15.75" customHeight="1">
      <c r="A3521" s="7" t="s">
        <v>241</v>
      </c>
      <c r="B3521" s="7" t="s">
        <v>663</v>
      </c>
    </row>
    <row r="3522" ht="15.75" customHeight="1">
      <c r="A3522" s="6" t="s">
        <v>910</v>
      </c>
      <c r="B3522" s="6" t="s">
        <v>663</v>
      </c>
    </row>
    <row r="3523" ht="15.75" customHeight="1">
      <c r="A3523" s="7" t="s">
        <v>146</v>
      </c>
      <c r="B3523" s="7" t="s">
        <v>664</v>
      </c>
    </row>
    <row r="3524" ht="15.75" customHeight="1">
      <c r="A3524" s="7" t="s">
        <v>148</v>
      </c>
      <c r="B3524" s="7" t="s">
        <v>664</v>
      </c>
    </row>
    <row r="3525" ht="15.75" customHeight="1">
      <c r="A3525" s="7" t="s">
        <v>78</v>
      </c>
      <c r="B3525" s="7" t="s">
        <v>664</v>
      </c>
    </row>
    <row r="3526" ht="15.75" customHeight="1">
      <c r="A3526" s="7" t="s">
        <v>72</v>
      </c>
      <c r="B3526" s="7" t="s">
        <v>664</v>
      </c>
    </row>
    <row r="3527" ht="15.75" customHeight="1">
      <c r="A3527" s="7" t="s">
        <v>66</v>
      </c>
      <c r="B3527" s="7" t="s">
        <v>664</v>
      </c>
    </row>
    <row r="3528" ht="15.75" customHeight="1">
      <c r="A3528" s="7" t="s">
        <v>81</v>
      </c>
      <c r="B3528" s="7" t="s">
        <v>664</v>
      </c>
    </row>
    <row r="3529" ht="15.75" customHeight="1">
      <c r="A3529" s="7" t="s">
        <v>137</v>
      </c>
      <c r="B3529" s="7" t="s">
        <v>665</v>
      </c>
    </row>
    <row r="3530" ht="15.75" customHeight="1">
      <c r="A3530" s="7" t="s">
        <v>134</v>
      </c>
      <c r="B3530" s="7" t="s">
        <v>665</v>
      </c>
    </row>
    <row r="3531" ht="15.75" customHeight="1">
      <c r="A3531" s="7" t="s">
        <v>175</v>
      </c>
      <c r="B3531" s="7" t="s">
        <v>665</v>
      </c>
    </row>
    <row r="3532" ht="15.75" customHeight="1">
      <c r="A3532" s="7" t="s">
        <v>195</v>
      </c>
      <c r="B3532" s="7" t="s">
        <v>665</v>
      </c>
    </row>
    <row r="3533" ht="15.75" customHeight="1">
      <c r="A3533" s="7" t="s">
        <v>164</v>
      </c>
      <c r="B3533" s="7" t="s">
        <v>665</v>
      </c>
    </row>
    <row r="3534" ht="15.75" customHeight="1">
      <c r="A3534" s="7" t="s">
        <v>220</v>
      </c>
      <c r="B3534" s="7" t="s">
        <v>665</v>
      </c>
    </row>
    <row r="3535" ht="15.75" customHeight="1">
      <c r="A3535" s="6" t="s">
        <v>910</v>
      </c>
      <c r="B3535" s="6" t="s">
        <v>665</v>
      </c>
    </row>
    <row r="3536" ht="15.75" customHeight="1">
      <c r="A3536" s="7" t="s">
        <v>61</v>
      </c>
      <c r="B3536" s="7" t="s">
        <v>666</v>
      </c>
    </row>
    <row r="3537" ht="15.75" customHeight="1">
      <c r="A3537" s="7" t="s">
        <v>63</v>
      </c>
      <c r="B3537" s="7" t="s">
        <v>666</v>
      </c>
    </row>
    <row r="3538" ht="15.75" customHeight="1">
      <c r="A3538" s="7" t="s">
        <v>91</v>
      </c>
      <c r="B3538" s="7" t="s">
        <v>666</v>
      </c>
    </row>
    <row r="3539" ht="15.75" customHeight="1">
      <c r="A3539" s="7" t="s">
        <v>207</v>
      </c>
      <c r="B3539" s="7" t="s">
        <v>666</v>
      </c>
    </row>
    <row r="3540" ht="15.75" customHeight="1">
      <c r="A3540" s="7" t="s">
        <v>113</v>
      </c>
      <c r="B3540" s="7" t="s">
        <v>666</v>
      </c>
    </row>
    <row r="3541" ht="15.75" customHeight="1">
      <c r="A3541" s="7" t="s">
        <v>185</v>
      </c>
      <c r="B3541" s="7" t="s">
        <v>666</v>
      </c>
    </row>
    <row r="3542" ht="15.75" customHeight="1">
      <c r="A3542" s="6" t="s">
        <v>910</v>
      </c>
      <c r="B3542" s="6" t="s">
        <v>666</v>
      </c>
    </row>
    <row r="3543" ht="15.75" customHeight="1">
      <c r="A3543" s="6" t="s">
        <v>1126</v>
      </c>
      <c r="B3543" s="6" t="s">
        <v>666</v>
      </c>
    </row>
    <row r="3544" ht="15.75" customHeight="1">
      <c r="A3544" s="7" t="s">
        <v>169</v>
      </c>
      <c r="B3544" s="7" t="s">
        <v>667</v>
      </c>
    </row>
    <row r="3545" ht="15.75" customHeight="1">
      <c r="A3545" s="7" t="s">
        <v>183</v>
      </c>
      <c r="B3545" s="7" t="s">
        <v>667</v>
      </c>
    </row>
    <row r="3546" ht="15.75" customHeight="1">
      <c r="A3546" s="7" t="s">
        <v>109</v>
      </c>
      <c r="B3546" s="7" t="s">
        <v>667</v>
      </c>
    </row>
    <row r="3547" ht="15.75" customHeight="1">
      <c r="A3547" s="7" t="s">
        <v>110</v>
      </c>
      <c r="B3547" s="7" t="s">
        <v>667</v>
      </c>
    </row>
    <row r="3548" ht="15.75" customHeight="1">
      <c r="A3548" s="7" t="s">
        <v>106</v>
      </c>
      <c r="B3548" s="7" t="s">
        <v>667</v>
      </c>
    </row>
    <row r="3549" ht="15.75" customHeight="1">
      <c r="A3549" s="7" t="s">
        <v>111</v>
      </c>
      <c r="B3549" s="7" t="s">
        <v>667</v>
      </c>
    </row>
    <row r="3550" ht="15.75" customHeight="1">
      <c r="A3550" s="6" t="s">
        <v>910</v>
      </c>
      <c r="B3550" s="6" t="s">
        <v>667</v>
      </c>
    </row>
    <row r="3551" ht="15.75" customHeight="1">
      <c r="A3551" s="7" t="s">
        <v>148</v>
      </c>
      <c r="B3551" s="7" t="s">
        <v>668</v>
      </c>
    </row>
    <row r="3552" ht="15.75" customHeight="1">
      <c r="A3552" s="7" t="s">
        <v>84</v>
      </c>
      <c r="B3552" s="7" t="s">
        <v>668</v>
      </c>
    </row>
    <row r="3553" ht="15.75" customHeight="1">
      <c r="A3553" s="7" t="s">
        <v>122</v>
      </c>
      <c r="B3553" s="7" t="s">
        <v>668</v>
      </c>
    </row>
    <row r="3554" ht="15.75" customHeight="1">
      <c r="A3554" s="7" t="s">
        <v>184</v>
      </c>
      <c r="B3554" s="7" t="s">
        <v>668</v>
      </c>
    </row>
    <row r="3555" ht="15.75" customHeight="1">
      <c r="A3555" s="7" t="s">
        <v>87</v>
      </c>
      <c r="B3555" s="7" t="s">
        <v>668</v>
      </c>
    </row>
    <row r="3556" ht="15.75" customHeight="1">
      <c r="A3556" s="7" t="s">
        <v>185</v>
      </c>
      <c r="B3556" s="7" t="s">
        <v>668</v>
      </c>
    </row>
    <row r="3557" ht="15.75" customHeight="1">
      <c r="A3557" s="6" t="s">
        <v>910</v>
      </c>
      <c r="B3557" s="6" t="s">
        <v>668</v>
      </c>
    </row>
    <row r="3558" ht="15.75" customHeight="1">
      <c r="A3558" s="6" t="s">
        <v>1126</v>
      </c>
      <c r="B3558" s="6" t="s">
        <v>668</v>
      </c>
    </row>
    <row r="3559" ht="15.75" customHeight="1">
      <c r="A3559" s="7" t="s">
        <v>89</v>
      </c>
      <c r="B3559" s="7" t="s">
        <v>669</v>
      </c>
    </row>
    <row r="3560" ht="15.75" customHeight="1">
      <c r="A3560" s="7" t="s">
        <v>92</v>
      </c>
      <c r="B3560" s="7" t="s">
        <v>669</v>
      </c>
    </row>
    <row r="3561" ht="15.75" customHeight="1">
      <c r="A3561" s="7" t="s">
        <v>178</v>
      </c>
      <c r="B3561" s="7" t="s">
        <v>669</v>
      </c>
    </row>
    <row r="3562" ht="15.75" customHeight="1">
      <c r="A3562" s="7" t="s">
        <v>176</v>
      </c>
      <c r="B3562" s="7" t="s">
        <v>669</v>
      </c>
    </row>
    <row r="3563" ht="15.75" customHeight="1">
      <c r="A3563" s="7" t="s">
        <v>124</v>
      </c>
      <c r="B3563" s="7" t="s">
        <v>669</v>
      </c>
    </row>
    <row r="3564" ht="15.75" customHeight="1">
      <c r="A3564" s="7" t="s">
        <v>145</v>
      </c>
      <c r="B3564" s="7" t="s">
        <v>669</v>
      </c>
    </row>
    <row r="3565" ht="15.75" customHeight="1">
      <c r="A3565" s="6" t="s">
        <v>910</v>
      </c>
      <c r="B3565" s="6" t="s">
        <v>669</v>
      </c>
    </row>
    <row r="3566" ht="15.75" customHeight="1">
      <c r="A3566" s="7" t="s">
        <v>194</v>
      </c>
      <c r="B3566" s="7" t="s">
        <v>670</v>
      </c>
    </row>
    <row r="3567" ht="15.75" customHeight="1">
      <c r="A3567" s="7" t="s">
        <v>141</v>
      </c>
      <c r="B3567" s="7" t="s">
        <v>670</v>
      </c>
    </row>
    <row r="3568" ht="15.75" customHeight="1">
      <c r="A3568" s="7" t="s">
        <v>72</v>
      </c>
      <c r="B3568" s="7" t="s">
        <v>670</v>
      </c>
    </row>
    <row r="3569" ht="15.75" customHeight="1">
      <c r="A3569" s="7" t="s">
        <v>208</v>
      </c>
      <c r="B3569" s="7" t="s">
        <v>670</v>
      </c>
    </row>
    <row r="3570" ht="15.75" customHeight="1">
      <c r="A3570" s="7" t="s">
        <v>74</v>
      </c>
      <c r="B3570" s="7" t="s">
        <v>670</v>
      </c>
    </row>
    <row r="3571" ht="15.75" customHeight="1">
      <c r="A3571" s="6" t="s">
        <v>910</v>
      </c>
      <c r="B3571" s="6" t="s">
        <v>670</v>
      </c>
    </row>
    <row r="3572" ht="15.75" customHeight="1">
      <c r="A3572" s="7" t="s">
        <v>132</v>
      </c>
      <c r="B3572" s="7" t="s">
        <v>671</v>
      </c>
    </row>
    <row r="3573" ht="15.75" customHeight="1">
      <c r="A3573" s="7" t="s">
        <v>134</v>
      </c>
      <c r="B3573" s="7" t="s">
        <v>671</v>
      </c>
    </row>
    <row r="3574" ht="15.75" customHeight="1">
      <c r="A3574" s="7" t="s">
        <v>183</v>
      </c>
      <c r="B3574" s="7" t="s">
        <v>671</v>
      </c>
    </row>
    <row r="3575" ht="15.75" customHeight="1">
      <c r="A3575" s="7" t="s">
        <v>149</v>
      </c>
      <c r="B3575" s="7" t="s">
        <v>671</v>
      </c>
    </row>
    <row r="3576" ht="15.75" customHeight="1">
      <c r="A3576" s="7" t="s">
        <v>126</v>
      </c>
      <c r="B3576" s="7" t="s">
        <v>671</v>
      </c>
    </row>
    <row r="3577" ht="15.75" customHeight="1">
      <c r="A3577" s="7" t="s">
        <v>145</v>
      </c>
      <c r="B3577" s="7" t="s">
        <v>671</v>
      </c>
    </row>
    <row r="3578" ht="15.75" customHeight="1">
      <c r="A3578" s="6" t="s">
        <v>910</v>
      </c>
      <c r="B3578" s="6" t="s">
        <v>671</v>
      </c>
    </row>
    <row r="3579" ht="15.75" customHeight="1">
      <c r="A3579" s="7" t="s">
        <v>134</v>
      </c>
      <c r="B3579" s="7" t="s">
        <v>672</v>
      </c>
    </row>
    <row r="3580" ht="15.75" customHeight="1">
      <c r="A3580" s="7" t="s">
        <v>85</v>
      </c>
      <c r="B3580" s="7" t="s">
        <v>672</v>
      </c>
    </row>
    <row r="3581" ht="15.75" customHeight="1">
      <c r="A3581" s="7" t="s">
        <v>175</v>
      </c>
      <c r="B3581" s="7" t="s">
        <v>672</v>
      </c>
    </row>
    <row r="3582" ht="15.75" customHeight="1">
      <c r="A3582" s="7" t="s">
        <v>176</v>
      </c>
      <c r="B3582" s="7" t="s">
        <v>672</v>
      </c>
    </row>
    <row r="3583" ht="15.75" customHeight="1">
      <c r="A3583" s="7" t="s">
        <v>150</v>
      </c>
      <c r="B3583" s="7" t="s">
        <v>672</v>
      </c>
    </row>
    <row r="3584" ht="15.75" customHeight="1">
      <c r="A3584" s="7" t="s">
        <v>158</v>
      </c>
      <c r="B3584" s="7" t="s">
        <v>672</v>
      </c>
    </row>
    <row r="3585" ht="15.75" customHeight="1">
      <c r="A3585" s="6" t="s">
        <v>910</v>
      </c>
      <c r="B3585" s="6" t="s">
        <v>672</v>
      </c>
    </row>
    <row r="3586" ht="15.75" customHeight="1">
      <c r="A3586" s="7" t="s">
        <v>70</v>
      </c>
      <c r="B3586" s="7" t="s">
        <v>673</v>
      </c>
    </row>
    <row r="3587" ht="15.75" customHeight="1">
      <c r="A3587" s="7" t="s">
        <v>64</v>
      </c>
      <c r="B3587" s="7" t="s">
        <v>673</v>
      </c>
    </row>
    <row r="3588" ht="15.75" customHeight="1">
      <c r="A3588" s="7" t="s">
        <v>85</v>
      </c>
      <c r="B3588" s="7" t="s">
        <v>673</v>
      </c>
    </row>
    <row r="3589" ht="15.75" customHeight="1">
      <c r="A3589" s="7" t="s">
        <v>184</v>
      </c>
      <c r="B3589" s="7" t="s">
        <v>673</v>
      </c>
    </row>
    <row r="3590" ht="15.75" customHeight="1">
      <c r="A3590" s="7" t="s">
        <v>80</v>
      </c>
      <c r="B3590" s="7" t="s">
        <v>673</v>
      </c>
    </row>
    <row r="3591" ht="15.75" customHeight="1">
      <c r="A3591" s="7" t="s">
        <v>88</v>
      </c>
      <c r="B3591" s="7" t="s">
        <v>673</v>
      </c>
    </row>
    <row r="3592" ht="15.75" customHeight="1">
      <c r="A3592" s="6" t="s">
        <v>910</v>
      </c>
      <c r="B3592" s="6" t="s">
        <v>673</v>
      </c>
    </row>
    <row r="3593" ht="15.75" customHeight="1">
      <c r="A3593" s="6" t="s">
        <v>1126</v>
      </c>
      <c r="B3593" s="6" t="s">
        <v>673</v>
      </c>
    </row>
    <row r="3594" ht="15.75" customHeight="1">
      <c r="A3594" s="7" t="s">
        <v>137</v>
      </c>
      <c r="B3594" s="7" t="s">
        <v>674</v>
      </c>
    </row>
    <row r="3595" ht="15.75" customHeight="1">
      <c r="A3595" s="7" t="s">
        <v>97</v>
      </c>
      <c r="B3595" s="7" t="s">
        <v>674</v>
      </c>
    </row>
    <row r="3596" ht="15.75" customHeight="1">
      <c r="A3596" s="7" t="s">
        <v>104</v>
      </c>
      <c r="B3596" s="7" t="s">
        <v>674</v>
      </c>
    </row>
    <row r="3597" ht="15.75" customHeight="1">
      <c r="A3597" s="7" t="s">
        <v>240</v>
      </c>
      <c r="B3597" s="7" t="s">
        <v>674</v>
      </c>
    </row>
    <row r="3598" ht="15.75" customHeight="1">
      <c r="A3598" s="7" t="s">
        <v>131</v>
      </c>
      <c r="B3598" s="7" t="s">
        <v>674</v>
      </c>
    </row>
    <row r="3599" ht="15.75" customHeight="1">
      <c r="A3599" s="7" t="s">
        <v>81</v>
      </c>
      <c r="B3599" s="7" t="s">
        <v>674</v>
      </c>
    </row>
    <row r="3600" ht="15.75" customHeight="1">
      <c r="A3600" s="6" t="s">
        <v>910</v>
      </c>
      <c r="B3600" s="6" t="s">
        <v>674</v>
      </c>
    </row>
    <row r="3601" ht="15.75" customHeight="1">
      <c r="A3601" s="7" t="s">
        <v>75</v>
      </c>
      <c r="B3601" s="7" t="s">
        <v>675</v>
      </c>
    </row>
    <row r="3602" ht="15.75" customHeight="1">
      <c r="A3602" s="7" t="s">
        <v>156</v>
      </c>
      <c r="B3602" s="7" t="s">
        <v>675</v>
      </c>
    </row>
    <row r="3603" ht="15.75" customHeight="1">
      <c r="A3603" s="7" t="s">
        <v>98</v>
      </c>
      <c r="B3603" s="7" t="s">
        <v>675</v>
      </c>
    </row>
    <row r="3604" ht="15.75" customHeight="1">
      <c r="A3604" s="7" t="s">
        <v>135</v>
      </c>
      <c r="B3604" s="7" t="s">
        <v>675</v>
      </c>
    </row>
    <row r="3605" ht="15.75" customHeight="1">
      <c r="A3605" s="7" t="s">
        <v>150</v>
      </c>
      <c r="B3605" s="7" t="s">
        <v>675</v>
      </c>
    </row>
    <row r="3606" ht="15.75" customHeight="1">
      <c r="A3606" s="7" t="s">
        <v>139</v>
      </c>
      <c r="B3606" s="7" t="s">
        <v>675</v>
      </c>
    </row>
    <row r="3607" ht="15.75" customHeight="1">
      <c r="A3607" s="6" t="s">
        <v>910</v>
      </c>
      <c r="B3607" s="6" t="s">
        <v>675</v>
      </c>
    </row>
    <row r="3608" ht="15.75" customHeight="1">
      <c r="A3608" s="7" t="s">
        <v>148</v>
      </c>
      <c r="B3608" s="7" t="s">
        <v>676</v>
      </c>
    </row>
    <row r="3609" ht="15.75" customHeight="1">
      <c r="A3609" s="7" t="s">
        <v>156</v>
      </c>
      <c r="B3609" s="7" t="s">
        <v>676</v>
      </c>
    </row>
    <row r="3610" ht="15.75" customHeight="1">
      <c r="A3610" s="7" t="s">
        <v>120</v>
      </c>
      <c r="B3610" s="7" t="s">
        <v>676</v>
      </c>
    </row>
    <row r="3611" ht="15.75" customHeight="1">
      <c r="A3611" s="7" t="s">
        <v>189</v>
      </c>
      <c r="B3611" s="7" t="s">
        <v>676</v>
      </c>
    </row>
    <row r="3612" ht="15.75" customHeight="1">
      <c r="A3612" s="7" t="s">
        <v>80</v>
      </c>
      <c r="B3612" s="7" t="s">
        <v>676</v>
      </c>
    </row>
    <row r="3613" ht="15.75" customHeight="1">
      <c r="A3613" s="7" t="s">
        <v>118</v>
      </c>
      <c r="B3613" s="7" t="s">
        <v>676</v>
      </c>
    </row>
    <row r="3614" ht="15.75" customHeight="1">
      <c r="A3614" s="6" t="s">
        <v>910</v>
      </c>
      <c r="B3614" s="6" t="s">
        <v>676</v>
      </c>
    </row>
    <row r="3615" ht="15.75" customHeight="1">
      <c r="A3615" s="6" t="s">
        <v>1126</v>
      </c>
      <c r="B3615" s="6" t="s">
        <v>676</v>
      </c>
    </row>
    <row r="3616" ht="15.75" customHeight="1">
      <c r="A3616" s="7" t="s">
        <v>70</v>
      </c>
      <c r="B3616" s="7" t="s">
        <v>677</v>
      </c>
    </row>
    <row r="3617" ht="15.75" customHeight="1">
      <c r="A3617" s="7" t="s">
        <v>122</v>
      </c>
      <c r="B3617" s="7" t="s">
        <v>677</v>
      </c>
    </row>
    <row r="3618" ht="15.75" customHeight="1">
      <c r="A3618" s="7" t="s">
        <v>175</v>
      </c>
      <c r="B3618" s="7" t="s">
        <v>677</v>
      </c>
    </row>
    <row r="3619" ht="15.75" customHeight="1">
      <c r="A3619" s="7" t="s">
        <v>166</v>
      </c>
      <c r="B3619" s="7" t="s">
        <v>677</v>
      </c>
    </row>
    <row r="3620" ht="15.75" customHeight="1">
      <c r="A3620" s="7" t="s">
        <v>181</v>
      </c>
      <c r="B3620" s="7" t="s">
        <v>677</v>
      </c>
    </row>
    <row r="3621" ht="15.75" customHeight="1">
      <c r="A3621" s="7" t="s">
        <v>212</v>
      </c>
      <c r="B3621" s="7" t="s">
        <v>677</v>
      </c>
    </row>
    <row r="3622" ht="15.75" customHeight="1">
      <c r="A3622" s="6" t="s">
        <v>910</v>
      </c>
      <c r="B3622" s="6" t="s">
        <v>677</v>
      </c>
    </row>
    <row r="3623" ht="15.75" customHeight="1">
      <c r="A3623" s="7" t="s">
        <v>61</v>
      </c>
      <c r="B3623" s="7" t="s">
        <v>678</v>
      </c>
    </row>
    <row r="3624" ht="15.75" customHeight="1">
      <c r="A3624" s="7" t="s">
        <v>91</v>
      </c>
      <c r="B3624" s="7" t="s">
        <v>678</v>
      </c>
    </row>
    <row r="3625" ht="15.75" customHeight="1">
      <c r="A3625" s="7" t="s">
        <v>92</v>
      </c>
      <c r="B3625" s="7" t="s">
        <v>678</v>
      </c>
    </row>
    <row r="3626" ht="15.75" customHeight="1">
      <c r="A3626" s="7" t="s">
        <v>65</v>
      </c>
      <c r="B3626" s="7" t="s">
        <v>678</v>
      </c>
    </row>
    <row r="3627" ht="15.75" customHeight="1">
      <c r="A3627" s="7" t="s">
        <v>73</v>
      </c>
      <c r="B3627" s="7" t="s">
        <v>678</v>
      </c>
    </row>
    <row r="3628" ht="15.75" customHeight="1">
      <c r="A3628" s="7" t="s">
        <v>67</v>
      </c>
      <c r="B3628" s="7" t="s">
        <v>678</v>
      </c>
    </row>
    <row r="3629" ht="15.75" customHeight="1">
      <c r="A3629" s="6" t="s">
        <v>910</v>
      </c>
      <c r="B3629" s="6" t="s">
        <v>678</v>
      </c>
    </row>
    <row r="3630" ht="15.75" customHeight="1">
      <c r="A3630" s="7" t="s">
        <v>161</v>
      </c>
      <c r="B3630" s="7" t="s">
        <v>679</v>
      </c>
    </row>
    <row r="3631" ht="15.75" customHeight="1">
      <c r="A3631" s="7" t="s">
        <v>153</v>
      </c>
      <c r="B3631" s="7" t="s">
        <v>679</v>
      </c>
    </row>
    <row r="3632" ht="15.75" customHeight="1">
      <c r="A3632" s="7" t="s">
        <v>141</v>
      </c>
      <c r="B3632" s="7" t="s">
        <v>679</v>
      </c>
    </row>
    <row r="3633" ht="15.75" customHeight="1">
      <c r="A3633" s="7" t="s">
        <v>157</v>
      </c>
      <c r="B3633" s="7" t="s">
        <v>679</v>
      </c>
    </row>
    <row r="3634" ht="15.75" customHeight="1">
      <c r="A3634" s="7" t="s">
        <v>162</v>
      </c>
      <c r="B3634" s="7" t="s">
        <v>679</v>
      </c>
    </row>
    <row r="3635" ht="15.75" customHeight="1">
      <c r="A3635" s="7" t="s">
        <v>127</v>
      </c>
      <c r="B3635" s="7" t="s">
        <v>679</v>
      </c>
    </row>
    <row r="3636" ht="15.75" customHeight="1">
      <c r="A3636" s="6" t="s">
        <v>910</v>
      </c>
      <c r="B3636" s="6" t="s">
        <v>679</v>
      </c>
    </row>
    <row r="3637" ht="15.75" customHeight="1">
      <c r="A3637" s="6" t="s">
        <v>910</v>
      </c>
      <c r="B3637" s="6" t="s">
        <v>2770</v>
      </c>
    </row>
    <row r="3638" ht="15.75" customHeight="1">
      <c r="A3638" s="7" t="s">
        <v>95</v>
      </c>
      <c r="B3638" s="7" t="s">
        <v>680</v>
      </c>
    </row>
    <row r="3639" ht="15.75" customHeight="1">
      <c r="A3639" s="7" t="s">
        <v>97</v>
      </c>
      <c r="B3639" s="7" t="s">
        <v>680</v>
      </c>
    </row>
    <row r="3640" ht="15.75" customHeight="1">
      <c r="A3640" s="7" t="s">
        <v>104</v>
      </c>
      <c r="B3640" s="7" t="s">
        <v>680</v>
      </c>
    </row>
    <row r="3641" ht="15.75" customHeight="1">
      <c r="A3641" s="7" t="s">
        <v>149</v>
      </c>
      <c r="B3641" s="7" t="s">
        <v>680</v>
      </c>
    </row>
    <row r="3642" ht="15.75" customHeight="1">
      <c r="A3642" s="7" t="s">
        <v>164</v>
      </c>
      <c r="B3642" s="7" t="s">
        <v>680</v>
      </c>
    </row>
    <row r="3643" ht="15.75" customHeight="1">
      <c r="A3643" s="7" t="s">
        <v>171</v>
      </c>
      <c r="B3643" s="7" t="s">
        <v>680</v>
      </c>
    </row>
    <row r="3644" ht="15.75" customHeight="1">
      <c r="A3644" s="6" t="s">
        <v>910</v>
      </c>
      <c r="B3644" s="6" t="s">
        <v>680</v>
      </c>
    </row>
    <row r="3645" ht="15.75" customHeight="1">
      <c r="A3645" s="7" t="s">
        <v>159</v>
      </c>
      <c r="B3645" s="7" t="s">
        <v>681</v>
      </c>
    </row>
    <row r="3646" ht="15.75" customHeight="1">
      <c r="A3646" s="7" t="s">
        <v>161</v>
      </c>
      <c r="B3646" s="7" t="s">
        <v>681</v>
      </c>
    </row>
    <row r="3647" ht="15.75" customHeight="1">
      <c r="A3647" s="7" t="s">
        <v>178</v>
      </c>
      <c r="B3647" s="7" t="s">
        <v>681</v>
      </c>
    </row>
    <row r="3648" ht="15.75" customHeight="1">
      <c r="A3648" s="7" t="s">
        <v>123</v>
      </c>
      <c r="B3648" s="7" t="s">
        <v>681</v>
      </c>
    </row>
    <row r="3649" ht="15.75" customHeight="1">
      <c r="A3649" s="7" t="s">
        <v>196</v>
      </c>
      <c r="B3649" s="7" t="s">
        <v>681</v>
      </c>
    </row>
    <row r="3650" ht="15.75" customHeight="1">
      <c r="A3650" s="7" t="s">
        <v>158</v>
      </c>
      <c r="B3650" s="7" t="s">
        <v>681</v>
      </c>
    </row>
    <row r="3651" ht="15.75" customHeight="1">
      <c r="A3651" s="6" t="s">
        <v>910</v>
      </c>
      <c r="B3651" s="6" t="s">
        <v>681</v>
      </c>
    </row>
    <row r="3652" ht="15.75" customHeight="1">
      <c r="A3652" s="7" t="s">
        <v>146</v>
      </c>
      <c r="B3652" s="7" t="s">
        <v>682</v>
      </c>
    </row>
    <row r="3653" ht="15.75" customHeight="1">
      <c r="A3653" s="7" t="s">
        <v>148</v>
      </c>
      <c r="B3653" s="7" t="s">
        <v>682</v>
      </c>
    </row>
    <row r="3654" ht="15.75" customHeight="1">
      <c r="A3654" s="7" t="s">
        <v>120</v>
      </c>
      <c r="B3654" s="7" t="s">
        <v>682</v>
      </c>
    </row>
    <row r="3655" ht="15.75" customHeight="1">
      <c r="A3655" s="7" t="s">
        <v>211</v>
      </c>
      <c r="B3655" s="7" t="s">
        <v>682</v>
      </c>
    </row>
    <row r="3656" ht="15.75" customHeight="1">
      <c r="A3656" s="7" t="s">
        <v>106</v>
      </c>
      <c r="B3656" s="7" t="s">
        <v>682</v>
      </c>
    </row>
    <row r="3657" ht="15.75" customHeight="1">
      <c r="A3657" s="7" t="s">
        <v>212</v>
      </c>
      <c r="B3657" s="7" t="s">
        <v>682</v>
      </c>
    </row>
    <row r="3658" ht="15.75" customHeight="1">
      <c r="A3658" s="6" t="s">
        <v>910</v>
      </c>
      <c r="B3658" s="6" t="s">
        <v>682</v>
      </c>
    </row>
    <row r="3659" ht="15.75" customHeight="1">
      <c r="A3659" s="7" t="s">
        <v>63</v>
      </c>
      <c r="B3659" s="7" t="s">
        <v>683</v>
      </c>
    </row>
    <row r="3660" ht="15.75" customHeight="1">
      <c r="A3660" s="7" t="s">
        <v>134</v>
      </c>
      <c r="B3660" s="7" t="s">
        <v>683</v>
      </c>
    </row>
    <row r="3661" ht="15.75" customHeight="1">
      <c r="A3661" s="7" t="s">
        <v>175</v>
      </c>
      <c r="B3661" s="7" t="s">
        <v>683</v>
      </c>
    </row>
    <row r="3662" ht="15.75" customHeight="1">
      <c r="A3662" s="7" t="s">
        <v>211</v>
      </c>
      <c r="B3662" s="7" t="s">
        <v>683</v>
      </c>
    </row>
    <row r="3663" ht="15.75" customHeight="1">
      <c r="A3663" s="7" t="s">
        <v>106</v>
      </c>
      <c r="B3663" s="7" t="s">
        <v>683</v>
      </c>
    </row>
    <row r="3664" ht="15.75" customHeight="1">
      <c r="A3664" s="7" t="s">
        <v>212</v>
      </c>
      <c r="B3664" s="7" t="s">
        <v>683</v>
      </c>
    </row>
    <row r="3665" ht="15.75" customHeight="1">
      <c r="A3665" s="6" t="s">
        <v>910</v>
      </c>
      <c r="B3665" s="6" t="s">
        <v>683</v>
      </c>
    </row>
    <row r="3666" ht="15.75" customHeight="1">
      <c r="A3666" s="7" t="s">
        <v>173</v>
      </c>
      <c r="B3666" s="7" t="s">
        <v>684</v>
      </c>
    </row>
    <row r="3667" ht="15.75" customHeight="1">
      <c r="A3667" s="7" t="s">
        <v>132</v>
      </c>
      <c r="B3667" s="7" t="s">
        <v>684</v>
      </c>
    </row>
    <row r="3668" ht="15.75" customHeight="1">
      <c r="A3668" s="7" t="s">
        <v>170</v>
      </c>
      <c r="B3668" s="7" t="s">
        <v>684</v>
      </c>
    </row>
    <row r="3669" ht="15.75" customHeight="1">
      <c r="A3669" s="7" t="s">
        <v>211</v>
      </c>
      <c r="B3669" s="7" t="s">
        <v>684</v>
      </c>
    </row>
    <row r="3670" ht="15.75" customHeight="1">
      <c r="A3670" s="7" t="s">
        <v>106</v>
      </c>
      <c r="B3670" s="7" t="s">
        <v>684</v>
      </c>
    </row>
    <row r="3671" ht="15.75" customHeight="1">
      <c r="A3671" s="7" t="s">
        <v>139</v>
      </c>
      <c r="B3671" s="7" t="s">
        <v>684</v>
      </c>
    </row>
    <row r="3672" ht="15.75" customHeight="1">
      <c r="A3672" s="6" t="s">
        <v>910</v>
      </c>
      <c r="B3672" s="6" t="s">
        <v>684</v>
      </c>
    </row>
    <row r="3673" ht="15.75" customHeight="1">
      <c r="A3673" s="7" t="s">
        <v>146</v>
      </c>
      <c r="B3673" s="7" t="s">
        <v>685</v>
      </c>
    </row>
    <row r="3674" ht="15.75" customHeight="1">
      <c r="A3674" s="7" t="s">
        <v>75</v>
      </c>
      <c r="B3674" s="7" t="s">
        <v>685</v>
      </c>
    </row>
    <row r="3675" ht="15.75" customHeight="1">
      <c r="A3675" s="7" t="s">
        <v>98</v>
      </c>
      <c r="B3675" s="7" t="s">
        <v>685</v>
      </c>
    </row>
    <row r="3676" ht="15.75" customHeight="1">
      <c r="A3676" s="7" t="s">
        <v>65</v>
      </c>
      <c r="B3676" s="7" t="s">
        <v>685</v>
      </c>
    </row>
    <row r="3677" ht="15.75" customHeight="1">
      <c r="A3677" s="7" t="s">
        <v>66</v>
      </c>
      <c r="B3677" s="7" t="s">
        <v>685</v>
      </c>
    </row>
    <row r="3678" ht="15.75" customHeight="1">
      <c r="A3678" s="7" t="s">
        <v>154</v>
      </c>
      <c r="B3678" s="7" t="s">
        <v>685</v>
      </c>
    </row>
    <row r="3679" ht="15.75" customHeight="1">
      <c r="A3679" s="6" t="s">
        <v>910</v>
      </c>
      <c r="B3679" s="6" t="s">
        <v>685</v>
      </c>
    </row>
    <row r="3680" ht="15.75" customHeight="1">
      <c r="A3680" s="6" t="s">
        <v>1126</v>
      </c>
      <c r="B3680" s="6" t="s">
        <v>685</v>
      </c>
    </row>
    <row r="3681" ht="15.75" customHeight="1">
      <c r="A3681" s="7" t="s">
        <v>173</v>
      </c>
      <c r="B3681" s="7" t="s">
        <v>686</v>
      </c>
    </row>
    <row r="3682" ht="15.75" customHeight="1">
      <c r="A3682" s="7" t="s">
        <v>198</v>
      </c>
      <c r="B3682" s="7" t="s">
        <v>686</v>
      </c>
    </row>
    <row r="3683" ht="15.75" customHeight="1">
      <c r="A3683" s="7" t="s">
        <v>77</v>
      </c>
      <c r="B3683" s="7" t="s">
        <v>686</v>
      </c>
    </row>
    <row r="3684" ht="15.75" customHeight="1">
      <c r="A3684" s="7" t="s">
        <v>65</v>
      </c>
      <c r="B3684" s="7" t="s">
        <v>686</v>
      </c>
    </row>
    <row r="3685" ht="15.75" customHeight="1">
      <c r="A3685" s="7" t="s">
        <v>208</v>
      </c>
      <c r="B3685" s="7" t="s">
        <v>686</v>
      </c>
    </row>
    <row r="3686" ht="15.75" customHeight="1">
      <c r="A3686" s="7" t="s">
        <v>67</v>
      </c>
      <c r="B3686" s="7" t="s">
        <v>686</v>
      </c>
    </row>
    <row r="3687" ht="15.75" customHeight="1">
      <c r="A3687" s="6" t="s">
        <v>910</v>
      </c>
      <c r="B3687" s="6" t="s">
        <v>686</v>
      </c>
    </row>
    <row r="3688" ht="15.75" customHeight="1">
      <c r="A3688" s="7" t="s">
        <v>97</v>
      </c>
      <c r="B3688" s="7" t="s">
        <v>687</v>
      </c>
    </row>
    <row r="3689" ht="15.75" customHeight="1">
      <c r="A3689" s="7" t="s">
        <v>109</v>
      </c>
      <c r="B3689" s="7" t="s">
        <v>687</v>
      </c>
    </row>
    <row r="3690" ht="15.75" customHeight="1">
      <c r="A3690" s="7" t="s">
        <v>104</v>
      </c>
      <c r="B3690" s="7" t="s">
        <v>687</v>
      </c>
    </row>
    <row r="3691" ht="15.75" customHeight="1">
      <c r="A3691" s="7" t="s">
        <v>123</v>
      </c>
      <c r="B3691" s="7" t="s">
        <v>687</v>
      </c>
    </row>
    <row r="3692" ht="15.75" customHeight="1">
      <c r="A3692" s="7" t="s">
        <v>181</v>
      </c>
      <c r="B3692" s="7" t="s">
        <v>687</v>
      </c>
    </row>
    <row r="3693" ht="15.75" customHeight="1">
      <c r="A3693" s="7" t="s">
        <v>127</v>
      </c>
      <c r="B3693" s="7" t="s">
        <v>687</v>
      </c>
    </row>
    <row r="3694" ht="15.75" customHeight="1">
      <c r="A3694" s="6" t="s">
        <v>910</v>
      </c>
      <c r="B3694" s="6" t="s">
        <v>687</v>
      </c>
    </row>
    <row r="3695" ht="15.75" customHeight="1">
      <c r="A3695" s="7" t="s">
        <v>70</v>
      </c>
      <c r="B3695" s="7" t="s">
        <v>688</v>
      </c>
    </row>
    <row r="3696" ht="15.75" customHeight="1">
      <c r="A3696" s="7" t="s">
        <v>156</v>
      </c>
      <c r="B3696" s="7" t="s">
        <v>688</v>
      </c>
    </row>
    <row r="3697" ht="15.75" customHeight="1">
      <c r="A3697" s="7" t="s">
        <v>120</v>
      </c>
      <c r="B3697" s="7" t="s">
        <v>688</v>
      </c>
    </row>
    <row r="3698" ht="15.75" customHeight="1">
      <c r="A3698" s="7" t="s">
        <v>211</v>
      </c>
      <c r="B3698" s="7" t="s">
        <v>688</v>
      </c>
    </row>
    <row r="3699" ht="15.75" customHeight="1">
      <c r="A3699" s="7" t="s">
        <v>196</v>
      </c>
      <c r="B3699" s="7" t="s">
        <v>688</v>
      </c>
    </row>
    <row r="3700" ht="15.75" customHeight="1">
      <c r="A3700" s="7" t="s">
        <v>220</v>
      </c>
      <c r="B3700" s="7" t="s">
        <v>688</v>
      </c>
    </row>
    <row r="3701" ht="15.75" customHeight="1">
      <c r="A3701" s="6" t="s">
        <v>910</v>
      </c>
      <c r="B3701" s="6" t="s">
        <v>688</v>
      </c>
    </row>
    <row r="3702" ht="15.75" customHeight="1">
      <c r="A3702" s="7" t="s">
        <v>89</v>
      </c>
      <c r="B3702" s="7" t="s">
        <v>689</v>
      </c>
    </row>
    <row r="3703" ht="15.75" customHeight="1">
      <c r="A3703" s="7" t="s">
        <v>146</v>
      </c>
      <c r="B3703" s="7" t="s">
        <v>689</v>
      </c>
    </row>
    <row r="3704" ht="15.75" customHeight="1">
      <c r="A3704" s="7" t="s">
        <v>99</v>
      </c>
      <c r="B3704" s="7" t="s">
        <v>689</v>
      </c>
    </row>
    <row r="3705" ht="15.75" customHeight="1">
      <c r="A3705" s="7" t="s">
        <v>93</v>
      </c>
      <c r="B3705" s="7" t="s">
        <v>689</v>
      </c>
    </row>
    <row r="3706" ht="15.75" customHeight="1">
      <c r="A3706" s="7" t="s">
        <v>241</v>
      </c>
      <c r="B3706" s="7" t="s">
        <v>689</v>
      </c>
    </row>
    <row r="3707" ht="15.75" customHeight="1">
      <c r="A3707" s="6" t="s">
        <v>910</v>
      </c>
      <c r="B3707" s="6" t="s">
        <v>689</v>
      </c>
    </row>
    <row r="3708" ht="15.75" customHeight="1">
      <c r="A3708" s="7" t="s">
        <v>137</v>
      </c>
      <c r="B3708" s="7" t="s">
        <v>690</v>
      </c>
    </row>
    <row r="3709" ht="15.75" customHeight="1">
      <c r="A3709" s="7" t="s">
        <v>134</v>
      </c>
      <c r="B3709" s="7" t="s">
        <v>690</v>
      </c>
    </row>
    <row r="3710" ht="15.75" customHeight="1">
      <c r="A3710" s="7" t="s">
        <v>183</v>
      </c>
      <c r="B3710" s="7" t="s">
        <v>690</v>
      </c>
    </row>
    <row r="3711" ht="15.75" customHeight="1">
      <c r="A3711" s="7" t="s">
        <v>65</v>
      </c>
      <c r="B3711" s="7" t="s">
        <v>690</v>
      </c>
    </row>
    <row r="3712" ht="15.75" customHeight="1">
      <c r="A3712" s="7" t="s">
        <v>73</v>
      </c>
      <c r="B3712" s="7" t="s">
        <v>690</v>
      </c>
    </row>
    <row r="3713" ht="15.75" customHeight="1">
      <c r="A3713" s="7" t="s">
        <v>118</v>
      </c>
      <c r="B3713" s="7" t="s">
        <v>690</v>
      </c>
    </row>
    <row r="3714" ht="15.75" customHeight="1">
      <c r="A3714" s="6" t="s">
        <v>910</v>
      </c>
      <c r="B3714" s="6" t="s">
        <v>690</v>
      </c>
    </row>
    <row r="3715" ht="15.75" customHeight="1">
      <c r="A3715" s="7" t="s">
        <v>143</v>
      </c>
      <c r="B3715" s="7" t="s">
        <v>691</v>
      </c>
    </row>
    <row r="3716" ht="15.75" customHeight="1">
      <c r="A3716" s="7" t="s">
        <v>63</v>
      </c>
      <c r="B3716" s="7" t="s">
        <v>691</v>
      </c>
    </row>
    <row r="3717" ht="15.75" customHeight="1">
      <c r="A3717" s="7" t="s">
        <v>129</v>
      </c>
      <c r="B3717" s="7" t="s">
        <v>691</v>
      </c>
    </row>
    <row r="3718" ht="15.75" customHeight="1">
      <c r="A3718" s="7" t="s">
        <v>79</v>
      </c>
      <c r="B3718" s="7" t="s">
        <v>691</v>
      </c>
    </row>
    <row r="3719" ht="15.75" customHeight="1">
      <c r="A3719" s="7" t="s">
        <v>142</v>
      </c>
      <c r="B3719" s="7" t="s">
        <v>691</v>
      </c>
    </row>
    <row r="3720" ht="15.75" customHeight="1">
      <c r="A3720" s="7" t="s">
        <v>81</v>
      </c>
      <c r="B3720" s="7" t="s">
        <v>691</v>
      </c>
    </row>
    <row r="3721" ht="15.75" customHeight="1">
      <c r="A3721" s="6" t="s">
        <v>910</v>
      </c>
      <c r="B3721" s="6" t="s">
        <v>691</v>
      </c>
    </row>
    <row r="3722" ht="15.75" customHeight="1">
      <c r="A3722" s="7" t="s">
        <v>134</v>
      </c>
      <c r="B3722" s="7" t="s">
        <v>692</v>
      </c>
    </row>
    <row r="3723" ht="15.75" customHeight="1">
      <c r="A3723" s="7" t="s">
        <v>92</v>
      </c>
      <c r="B3723" s="7" t="s">
        <v>692</v>
      </c>
    </row>
    <row r="3724" ht="15.75" customHeight="1">
      <c r="A3724" s="7" t="s">
        <v>183</v>
      </c>
      <c r="B3724" s="7" t="s">
        <v>692</v>
      </c>
    </row>
    <row r="3725" ht="15.75" customHeight="1">
      <c r="A3725" s="7" t="s">
        <v>123</v>
      </c>
      <c r="B3725" s="7" t="s">
        <v>692</v>
      </c>
    </row>
    <row r="3726" ht="15.75" customHeight="1">
      <c r="A3726" s="7" t="s">
        <v>187</v>
      </c>
      <c r="B3726" s="7" t="s">
        <v>692</v>
      </c>
    </row>
    <row r="3727" ht="15.75" customHeight="1">
      <c r="A3727" s="7" t="s">
        <v>158</v>
      </c>
      <c r="B3727" s="7" t="s">
        <v>692</v>
      </c>
    </row>
    <row r="3728" ht="15.75" customHeight="1">
      <c r="A3728" s="6" t="s">
        <v>910</v>
      </c>
      <c r="B3728" s="6" t="s">
        <v>692</v>
      </c>
    </row>
    <row r="3729" ht="15.75" customHeight="1">
      <c r="A3729" s="7" t="s">
        <v>70</v>
      </c>
      <c r="B3729" s="7" t="s">
        <v>693</v>
      </c>
    </row>
    <row r="3730" ht="15.75" customHeight="1">
      <c r="A3730" s="7" t="s">
        <v>198</v>
      </c>
      <c r="B3730" s="7" t="s">
        <v>693</v>
      </c>
    </row>
    <row r="3731" ht="15.75" customHeight="1">
      <c r="A3731" s="7" t="s">
        <v>156</v>
      </c>
      <c r="B3731" s="7" t="s">
        <v>693</v>
      </c>
    </row>
    <row r="3732" ht="15.75" customHeight="1">
      <c r="A3732" s="7" t="s">
        <v>176</v>
      </c>
      <c r="B3732" s="7" t="s">
        <v>693</v>
      </c>
    </row>
    <row r="3733" ht="15.75" customHeight="1">
      <c r="A3733" s="7" t="s">
        <v>222</v>
      </c>
      <c r="B3733" s="7" t="s">
        <v>693</v>
      </c>
    </row>
    <row r="3734" ht="15.75" customHeight="1">
      <c r="A3734" s="7" t="s">
        <v>127</v>
      </c>
      <c r="B3734" s="7" t="s">
        <v>693</v>
      </c>
    </row>
    <row r="3735" ht="15.75" customHeight="1">
      <c r="A3735" s="6" t="s">
        <v>910</v>
      </c>
      <c r="B3735" s="6" t="s">
        <v>693</v>
      </c>
    </row>
    <row r="3736" ht="15.75" customHeight="1">
      <c r="A3736" s="7" t="s">
        <v>82</v>
      </c>
      <c r="B3736" s="7" t="s">
        <v>694</v>
      </c>
    </row>
    <row r="3737" ht="15.75" customHeight="1">
      <c r="A3737" s="7" t="s">
        <v>68</v>
      </c>
      <c r="B3737" s="7" t="s">
        <v>694</v>
      </c>
    </row>
    <row r="3738" ht="15.75" customHeight="1">
      <c r="A3738" s="7" t="s">
        <v>192</v>
      </c>
      <c r="B3738" s="7" t="s">
        <v>694</v>
      </c>
    </row>
    <row r="3739" ht="15.75" customHeight="1">
      <c r="A3739" s="7" t="s">
        <v>99</v>
      </c>
      <c r="B3739" s="7" t="s">
        <v>694</v>
      </c>
    </row>
    <row r="3740" ht="15.75" customHeight="1">
      <c r="A3740" s="7" t="s">
        <v>208</v>
      </c>
      <c r="B3740" s="7" t="s">
        <v>694</v>
      </c>
    </row>
    <row r="3741" ht="15.75" customHeight="1">
      <c r="A3741" s="7" t="s">
        <v>241</v>
      </c>
      <c r="B3741" s="7" t="s">
        <v>694</v>
      </c>
    </row>
    <row r="3742" ht="15.75" customHeight="1">
      <c r="A3742" s="6" t="s">
        <v>910</v>
      </c>
      <c r="B3742" s="6" t="s">
        <v>694</v>
      </c>
    </row>
    <row r="3743" ht="15.75" customHeight="1">
      <c r="A3743" s="7" t="s">
        <v>146</v>
      </c>
      <c r="B3743" s="7" t="s">
        <v>695</v>
      </c>
    </row>
    <row r="3744" ht="15.75" customHeight="1">
      <c r="A3744" s="7" t="s">
        <v>148</v>
      </c>
      <c r="B3744" s="7" t="s">
        <v>695</v>
      </c>
    </row>
    <row r="3745" ht="15.75" customHeight="1">
      <c r="A3745" s="7" t="s">
        <v>78</v>
      </c>
      <c r="B3745" s="7" t="s">
        <v>695</v>
      </c>
    </row>
    <row r="3746" ht="15.75" customHeight="1">
      <c r="A3746" s="7" t="s">
        <v>211</v>
      </c>
      <c r="B3746" s="7" t="s">
        <v>695</v>
      </c>
    </row>
    <row r="3747" ht="15.75" customHeight="1">
      <c r="A3747" s="7" t="s">
        <v>196</v>
      </c>
      <c r="B3747" s="7" t="s">
        <v>695</v>
      </c>
    </row>
    <row r="3748" ht="15.75" customHeight="1">
      <c r="A3748" s="7" t="s">
        <v>212</v>
      </c>
      <c r="B3748" s="7" t="s">
        <v>695</v>
      </c>
    </row>
    <row r="3749" ht="15.75" customHeight="1">
      <c r="A3749" s="6" t="s">
        <v>910</v>
      </c>
      <c r="B3749" s="6" t="s">
        <v>695</v>
      </c>
    </row>
    <row r="3750" ht="15.75" customHeight="1">
      <c r="A3750" s="7" t="s">
        <v>146</v>
      </c>
      <c r="B3750" s="7" t="s">
        <v>696</v>
      </c>
    </row>
    <row r="3751" ht="15.75" customHeight="1">
      <c r="A3751" s="7" t="s">
        <v>70</v>
      </c>
      <c r="B3751" s="7" t="s">
        <v>696</v>
      </c>
    </row>
    <row r="3752" ht="15.75" customHeight="1">
      <c r="A3752" s="7" t="s">
        <v>78</v>
      </c>
      <c r="B3752" s="7" t="s">
        <v>696</v>
      </c>
    </row>
    <row r="3753" ht="15.75" customHeight="1">
      <c r="A3753" s="7" t="s">
        <v>176</v>
      </c>
      <c r="B3753" s="7" t="s">
        <v>696</v>
      </c>
    </row>
    <row r="3754" ht="15.75" customHeight="1">
      <c r="A3754" s="7" t="s">
        <v>164</v>
      </c>
      <c r="B3754" s="7" t="s">
        <v>696</v>
      </c>
    </row>
    <row r="3755" ht="15.75" customHeight="1">
      <c r="A3755" s="7" t="s">
        <v>145</v>
      </c>
      <c r="B3755" s="7" t="s">
        <v>696</v>
      </c>
    </row>
    <row r="3756" ht="15.75" customHeight="1">
      <c r="A3756" s="6" t="s">
        <v>910</v>
      </c>
      <c r="B3756" s="6" t="s">
        <v>696</v>
      </c>
    </row>
    <row r="3757" ht="15.75" customHeight="1">
      <c r="A3757" s="7" t="s">
        <v>82</v>
      </c>
      <c r="B3757" s="7" t="s">
        <v>697</v>
      </c>
    </row>
    <row r="3758" ht="15.75" customHeight="1">
      <c r="A3758" s="7" t="s">
        <v>114</v>
      </c>
      <c r="B3758" s="7" t="s">
        <v>697</v>
      </c>
    </row>
    <row r="3759" ht="15.75" customHeight="1">
      <c r="A3759" s="7" t="s">
        <v>120</v>
      </c>
      <c r="B3759" s="7" t="s">
        <v>697</v>
      </c>
    </row>
    <row r="3760" ht="15.75" customHeight="1">
      <c r="A3760" s="7" t="s">
        <v>72</v>
      </c>
      <c r="B3760" s="7" t="s">
        <v>697</v>
      </c>
    </row>
    <row r="3761" ht="15.75" customHeight="1">
      <c r="A3761" s="7" t="s">
        <v>117</v>
      </c>
      <c r="B3761" s="7" t="s">
        <v>697</v>
      </c>
    </row>
    <row r="3762" ht="15.75" customHeight="1">
      <c r="A3762" s="7" t="s">
        <v>94</v>
      </c>
      <c r="B3762" s="7" t="s">
        <v>697</v>
      </c>
    </row>
    <row r="3763" ht="15.75" customHeight="1">
      <c r="A3763" s="6" t="s">
        <v>910</v>
      </c>
      <c r="B3763" s="6" t="s">
        <v>697</v>
      </c>
    </row>
    <row r="3764" ht="15.75" customHeight="1">
      <c r="A3764" s="7" t="s">
        <v>148</v>
      </c>
      <c r="B3764" s="7" t="s">
        <v>698</v>
      </c>
    </row>
    <row r="3765" ht="15.75" customHeight="1">
      <c r="A3765" s="7" t="s">
        <v>85</v>
      </c>
      <c r="B3765" s="7" t="s">
        <v>698</v>
      </c>
    </row>
    <row r="3766" ht="15.75" customHeight="1">
      <c r="A3766" s="7" t="s">
        <v>120</v>
      </c>
      <c r="B3766" s="7" t="s">
        <v>698</v>
      </c>
    </row>
    <row r="3767" ht="15.75" customHeight="1">
      <c r="A3767" s="7" t="s">
        <v>207</v>
      </c>
      <c r="B3767" s="7" t="s">
        <v>698</v>
      </c>
    </row>
    <row r="3768" ht="15.75" customHeight="1">
      <c r="A3768" s="7" t="s">
        <v>80</v>
      </c>
      <c r="B3768" s="7" t="s">
        <v>698</v>
      </c>
    </row>
    <row r="3769" ht="15.75" customHeight="1">
      <c r="A3769" s="7" t="s">
        <v>88</v>
      </c>
      <c r="B3769" s="7" t="s">
        <v>698</v>
      </c>
    </row>
    <row r="3770" ht="15.75" customHeight="1">
      <c r="A3770" s="6" t="s">
        <v>910</v>
      </c>
      <c r="B3770" s="6" t="s">
        <v>698</v>
      </c>
    </row>
    <row r="3771" ht="15.75" customHeight="1">
      <c r="A3771" s="6" t="s">
        <v>1126</v>
      </c>
      <c r="B3771" s="6" t="s">
        <v>698</v>
      </c>
    </row>
    <row r="3772" ht="15.75" customHeight="1">
      <c r="A3772" s="7" t="s">
        <v>97</v>
      </c>
      <c r="B3772" s="7" t="s">
        <v>699</v>
      </c>
    </row>
    <row r="3773" ht="15.75" customHeight="1">
      <c r="A3773" s="7" t="s">
        <v>92</v>
      </c>
      <c r="B3773" s="7" t="s">
        <v>699</v>
      </c>
    </row>
    <row r="3774" ht="15.75" customHeight="1">
      <c r="A3774" s="7" t="s">
        <v>141</v>
      </c>
      <c r="B3774" s="7" t="s">
        <v>699</v>
      </c>
    </row>
    <row r="3775" ht="15.75" customHeight="1">
      <c r="A3775" s="7" t="s">
        <v>72</v>
      </c>
      <c r="B3775" s="7" t="s">
        <v>699</v>
      </c>
    </row>
    <row r="3776" ht="15.75" customHeight="1">
      <c r="A3776" s="7" t="s">
        <v>93</v>
      </c>
      <c r="B3776" s="7" t="s">
        <v>699</v>
      </c>
    </row>
    <row r="3777" ht="15.75" customHeight="1">
      <c r="A3777" s="7" t="s">
        <v>74</v>
      </c>
      <c r="B3777" s="7" t="s">
        <v>699</v>
      </c>
    </row>
    <row r="3778" ht="15.75" customHeight="1">
      <c r="A3778" s="6" t="s">
        <v>910</v>
      </c>
      <c r="B3778" s="6" t="s">
        <v>699</v>
      </c>
    </row>
    <row r="3779" ht="15.75" customHeight="1">
      <c r="A3779" s="7" t="s">
        <v>148</v>
      </c>
      <c r="B3779" s="7" t="s">
        <v>700</v>
      </c>
    </row>
    <row r="3780" ht="15.75" customHeight="1">
      <c r="A3780" s="7" t="s">
        <v>129</v>
      </c>
      <c r="B3780" s="7" t="s">
        <v>700</v>
      </c>
    </row>
    <row r="3781" ht="15.75" customHeight="1">
      <c r="A3781" s="7" t="s">
        <v>77</v>
      </c>
      <c r="B3781" s="7" t="s">
        <v>700</v>
      </c>
    </row>
    <row r="3782" ht="15.75" customHeight="1">
      <c r="A3782" s="7" t="s">
        <v>99</v>
      </c>
      <c r="B3782" s="7" t="s">
        <v>700</v>
      </c>
    </row>
    <row r="3783" ht="15.75" customHeight="1">
      <c r="A3783" s="7" t="s">
        <v>131</v>
      </c>
      <c r="B3783" s="7" t="s">
        <v>700</v>
      </c>
    </row>
    <row r="3784" ht="15.75" customHeight="1">
      <c r="A3784" s="7" t="s">
        <v>74</v>
      </c>
      <c r="B3784" s="7" t="s">
        <v>700</v>
      </c>
    </row>
    <row r="3785" ht="15.75" customHeight="1">
      <c r="A3785" s="6" t="s">
        <v>910</v>
      </c>
      <c r="B3785" s="6" t="s">
        <v>700</v>
      </c>
    </row>
    <row r="3786" ht="15.75" customHeight="1">
      <c r="A3786" s="7" t="s">
        <v>226</v>
      </c>
      <c r="B3786" s="7" t="s">
        <v>701</v>
      </c>
    </row>
    <row r="3787" ht="15.75" customHeight="1">
      <c r="A3787" s="7" t="s">
        <v>198</v>
      </c>
      <c r="B3787" s="7" t="s">
        <v>701</v>
      </c>
    </row>
    <row r="3788" ht="15.75" customHeight="1">
      <c r="A3788" s="7" t="s">
        <v>156</v>
      </c>
      <c r="B3788" s="7" t="s">
        <v>701</v>
      </c>
    </row>
    <row r="3789" ht="15.75" customHeight="1">
      <c r="A3789" s="7" t="s">
        <v>157</v>
      </c>
      <c r="B3789" s="7" t="s">
        <v>701</v>
      </c>
    </row>
    <row r="3790" ht="15.75" customHeight="1">
      <c r="A3790" s="7" t="s">
        <v>150</v>
      </c>
      <c r="B3790" s="7" t="s">
        <v>701</v>
      </c>
    </row>
    <row r="3791" ht="15.75" customHeight="1">
      <c r="A3791" s="7" t="s">
        <v>107</v>
      </c>
      <c r="B3791" s="7" t="s">
        <v>701</v>
      </c>
    </row>
    <row r="3792" ht="15.75" customHeight="1">
      <c r="A3792" s="6" t="s">
        <v>910</v>
      </c>
      <c r="B3792" s="6" t="s">
        <v>701</v>
      </c>
    </row>
    <row r="3793" ht="15.75" customHeight="1">
      <c r="A3793" s="7" t="s">
        <v>137</v>
      </c>
      <c r="B3793" s="7" t="s">
        <v>702</v>
      </c>
    </row>
    <row r="3794" ht="15.75" customHeight="1">
      <c r="A3794" s="7" t="s">
        <v>161</v>
      </c>
      <c r="B3794" s="7" t="s">
        <v>702</v>
      </c>
    </row>
    <row r="3795" ht="15.75" customHeight="1">
      <c r="A3795" s="7" t="s">
        <v>170</v>
      </c>
      <c r="B3795" s="7" t="s">
        <v>702</v>
      </c>
    </row>
    <row r="3796" ht="15.75" customHeight="1">
      <c r="A3796" s="7" t="s">
        <v>99</v>
      </c>
      <c r="B3796" s="7" t="s">
        <v>702</v>
      </c>
    </row>
    <row r="3797" ht="15.75" customHeight="1">
      <c r="A3797" s="7" t="s">
        <v>93</v>
      </c>
      <c r="B3797" s="7" t="s">
        <v>702</v>
      </c>
    </row>
    <row r="3798" ht="15.75" customHeight="1">
      <c r="A3798" s="7" t="s">
        <v>94</v>
      </c>
      <c r="B3798" s="7" t="s">
        <v>702</v>
      </c>
    </row>
    <row r="3799" ht="15.75" customHeight="1">
      <c r="A3799" s="6" t="s">
        <v>910</v>
      </c>
      <c r="B3799" s="6" t="s">
        <v>2794</v>
      </c>
    </row>
    <row r="3800" ht="15.75" customHeight="1">
      <c r="A3800" s="6" t="s">
        <v>1126</v>
      </c>
      <c r="B3800" s="6" t="s">
        <v>2794</v>
      </c>
    </row>
    <row r="3801" ht="15.75" customHeight="1">
      <c r="A3801" s="7" t="s">
        <v>63</v>
      </c>
      <c r="B3801" s="7" t="s">
        <v>703</v>
      </c>
    </row>
    <row r="3802" ht="15.75" customHeight="1">
      <c r="A3802" s="7" t="s">
        <v>97</v>
      </c>
      <c r="B3802" s="7" t="s">
        <v>703</v>
      </c>
    </row>
    <row r="3803" ht="15.75" customHeight="1">
      <c r="A3803" s="7" t="s">
        <v>98</v>
      </c>
      <c r="B3803" s="7" t="s">
        <v>703</v>
      </c>
    </row>
    <row r="3804" ht="15.75" customHeight="1">
      <c r="A3804" s="7" t="s">
        <v>123</v>
      </c>
      <c r="B3804" s="7" t="s">
        <v>703</v>
      </c>
    </row>
    <row r="3805" ht="15.75" customHeight="1">
      <c r="A3805" s="7" t="s">
        <v>187</v>
      </c>
      <c r="B3805" s="7" t="s">
        <v>703</v>
      </c>
    </row>
    <row r="3806" ht="15.75" customHeight="1">
      <c r="A3806" s="7" t="s">
        <v>171</v>
      </c>
      <c r="B3806" s="7" t="s">
        <v>703</v>
      </c>
    </row>
    <row r="3807" ht="15.75" customHeight="1">
      <c r="A3807" s="6" t="s">
        <v>910</v>
      </c>
      <c r="B3807" s="6" t="s">
        <v>703</v>
      </c>
    </row>
    <row r="3808" ht="15.75" customHeight="1">
      <c r="A3808" s="7" t="s">
        <v>89</v>
      </c>
      <c r="B3808" s="7" t="s">
        <v>704</v>
      </c>
    </row>
    <row r="3809" ht="15.75" customHeight="1">
      <c r="A3809" s="7" t="s">
        <v>64</v>
      </c>
      <c r="B3809" s="7" t="s">
        <v>704</v>
      </c>
    </row>
    <row r="3810" ht="15.75" customHeight="1">
      <c r="A3810" s="7" t="s">
        <v>122</v>
      </c>
      <c r="B3810" s="7" t="s">
        <v>704</v>
      </c>
    </row>
    <row r="3811" ht="15.75" customHeight="1">
      <c r="A3811" s="7" t="s">
        <v>184</v>
      </c>
      <c r="B3811" s="7" t="s">
        <v>704</v>
      </c>
    </row>
    <row r="3812" ht="15.75" customHeight="1">
      <c r="A3812" s="7" t="s">
        <v>87</v>
      </c>
      <c r="B3812" s="7" t="s">
        <v>704</v>
      </c>
    </row>
    <row r="3813" ht="15.75" customHeight="1">
      <c r="A3813" s="7" t="s">
        <v>199</v>
      </c>
      <c r="B3813" s="7" t="s">
        <v>704</v>
      </c>
    </row>
    <row r="3814" ht="15.75" customHeight="1">
      <c r="A3814" s="6" t="s">
        <v>910</v>
      </c>
      <c r="B3814" s="6" t="s">
        <v>704</v>
      </c>
    </row>
    <row r="3815" ht="15.75" customHeight="1">
      <c r="A3815" s="6" t="s">
        <v>1126</v>
      </c>
      <c r="B3815" s="6" t="s">
        <v>704</v>
      </c>
    </row>
    <row r="3816" ht="15.75" customHeight="1">
      <c r="A3816" s="7" t="s">
        <v>114</v>
      </c>
      <c r="B3816" s="7" t="s">
        <v>705</v>
      </c>
    </row>
    <row r="3817" ht="15.75" customHeight="1">
      <c r="A3817" s="7" t="s">
        <v>148</v>
      </c>
      <c r="B3817" s="7" t="s">
        <v>705</v>
      </c>
    </row>
    <row r="3818" ht="15.75" customHeight="1">
      <c r="A3818" s="7" t="s">
        <v>120</v>
      </c>
      <c r="B3818" s="7" t="s">
        <v>705</v>
      </c>
    </row>
    <row r="3819" ht="15.75" customHeight="1">
      <c r="A3819" s="7" t="s">
        <v>79</v>
      </c>
      <c r="B3819" s="7" t="s">
        <v>705</v>
      </c>
    </row>
    <row r="3820" ht="15.75" customHeight="1">
      <c r="A3820" s="7" t="s">
        <v>131</v>
      </c>
      <c r="B3820" s="7" t="s">
        <v>705</v>
      </c>
    </row>
    <row r="3821" ht="15.75" customHeight="1">
      <c r="A3821" s="7" t="s">
        <v>94</v>
      </c>
      <c r="B3821" s="7" t="s">
        <v>705</v>
      </c>
    </row>
    <row r="3822" ht="15.75" customHeight="1">
      <c r="A3822" s="6" t="s">
        <v>910</v>
      </c>
      <c r="B3822" s="6" t="s">
        <v>705</v>
      </c>
    </row>
    <row r="3823" ht="15.75" customHeight="1">
      <c r="A3823" s="7" t="s">
        <v>114</v>
      </c>
      <c r="B3823" s="7" t="s">
        <v>706</v>
      </c>
    </row>
    <row r="3824" ht="15.75" customHeight="1">
      <c r="A3824" s="7" t="s">
        <v>75</v>
      </c>
      <c r="B3824" s="7" t="s">
        <v>706</v>
      </c>
    </row>
    <row r="3825" ht="15.75" customHeight="1">
      <c r="A3825" s="7" t="s">
        <v>98</v>
      </c>
      <c r="B3825" s="7" t="s">
        <v>706</v>
      </c>
    </row>
    <row r="3826" ht="15.75" customHeight="1">
      <c r="A3826" s="7" t="s">
        <v>211</v>
      </c>
      <c r="B3826" s="7" t="s">
        <v>706</v>
      </c>
    </row>
    <row r="3827" ht="15.75" customHeight="1">
      <c r="A3827" s="7" t="s">
        <v>187</v>
      </c>
      <c r="B3827" s="7" t="s">
        <v>706</v>
      </c>
    </row>
    <row r="3828" ht="15.75" customHeight="1">
      <c r="A3828" s="7" t="s">
        <v>212</v>
      </c>
      <c r="B3828" s="7" t="s">
        <v>706</v>
      </c>
    </row>
    <row r="3829" ht="15.75" customHeight="1">
      <c r="A3829" s="6" t="s">
        <v>910</v>
      </c>
      <c r="B3829" s="6" t="s">
        <v>706</v>
      </c>
    </row>
    <row r="3830" ht="15.75" customHeight="1">
      <c r="A3830" s="7" t="s">
        <v>75</v>
      </c>
      <c r="B3830" s="7" t="s">
        <v>707</v>
      </c>
    </row>
    <row r="3831" ht="15.75" customHeight="1">
      <c r="A3831" s="7" t="s">
        <v>156</v>
      </c>
      <c r="B3831" s="7" t="s">
        <v>707</v>
      </c>
    </row>
    <row r="3832" ht="15.75" customHeight="1">
      <c r="A3832" s="7" t="s">
        <v>98</v>
      </c>
      <c r="B3832" s="7" t="s">
        <v>707</v>
      </c>
    </row>
    <row r="3833" ht="15.75" customHeight="1">
      <c r="A3833" s="7" t="s">
        <v>157</v>
      </c>
      <c r="B3833" s="7" t="s">
        <v>707</v>
      </c>
    </row>
    <row r="3834" ht="15.75" customHeight="1">
      <c r="A3834" s="7" t="s">
        <v>126</v>
      </c>
      <c r="B3834" s="7" t="s">
        <v>707</v>
      </c>
    </row>
    <row r="3835" ht="15.75" customHeight="1">
      <c r="A3835" s="7" t="s">
        <v>158</v>
      </c>
      <c r="B3835" s="7" t="s">
        <v>707</v>
      </c>
    </row>
    <row r="3836" ht="15.75" customHeight="1">
      <c r="A3836" s="6" t="s">
        <v>910</v>
      </c>
      <c r="B3836" s="6" t="s">
        <v>707</v>
      </c>
    </row>
    <row r="3837" ht="15.75" customHeight="1">
      <c r="A3837" s="7" t="s">
        <v>169</v>
      </c>
      <c r="B3837" s="7" t="s">
        <v>708</v>
      </c>
    </row>
    <row r="3838" ht="15.75" customHeight="1">
      <c r="A3838" s="7" t="s">
        <v>122</v>
      </c>
      <c r="B3838" s="7" t="s">
        <v>708</v>
      </c>
    </row>
    <row r="3839" ht="15.75" customHeight="1">
      <c r="A3839" s="7" t="s">
        <v>170</v>
      </c>
      <c r="B3839" s="7" t="s">
        <v>708</v>
      </c>
    </row>
    <row r="3840" ht="15.75" customHeight="1">
      <c r="A3840" s="7" t="s">
        <v>110</v>
      </c>
      <c r="B3840" s="7" t="s">
        <v>708</v>
      </c>
    </row>
    <row r="3841" ht="15.75" customHeight="1">
      <c r="A3841" s="7" t="s">
        <v>124</v>
      </c>
      <c r="B3841" s="7" t="s">
        <v>708</v>
      </c>
    </row>
    <row r="3842" ht="15.75" customHeight="1">
      <c r="A3842" s="7" t="s">
        <v>158</v>
      </c>
      <c r="B3842" s="7" t="s">
        <v>708</v>
      </c>
    </row>
    <row r="3843" ht="15.75" customHeight="1">
      <c r="A3843" s="6" t="s">
        <v>910</v>
      </c>
      <c r="B3843" s="6" t="s">
        <v>708</v>
      </c>
    </row>
    <row r="3844" ht="15.75" customHeight="1">
      <c r="A3844" s="7" t="s">
        <v>114</v>
      </c>
      <c r="B3844" s="7" t="s">
        <v>709</v>
      </c>
    </row>
    <row r="3845" ht="15.75" customHeight="1">
      <c r="A3845" s="7" t="s">
        <v>70</v>
      </c>
      <c r="B3845" s="7" t="s">
        <v>709</v>
      </c>
    </row>
    <row r="3846" ht="15.75" customHeight="1">
      <c r="A3846" s="7" t="s">
        <v>178</v>
      </c>
      <c r="B3846" s="7" t="s">
        <v>709</v>
      </c>
    </row>
    <row r="3847" ht="15.75" customHeight="1">
      <c r="A3847" s="7" t="s">
        <v>240</v>
      </c>
      <c r="B3847" s="7" t="s">
        <v>709</v>
      </c>
    </row>
    <row r="3848" ht="15.75" customHeight="1">
      <c r="A3848" s="7" t="s">
        <v>80</v>
      </c>
      <c r="B3848" s="7" t="s">
        <v>709</v>
      </c>
    </row>
    <row r="3849" ht="15.75" customHeight="1">
      <c r="A3849" s="7" t="s">
        <v>81</v>
      </c>
      <c r="B3849" s="7" t="s">
        <v>709</v>
      </c>
    </row>
    <row r="3850" ht="15.75" customHeight="1">
      <c r="A3850" s="6" t="s">
        <v>910</v>
      </c>
      <c r="B3850" s="6" t="s">
        <v>709</v>
      </c>
    </row>
    <row r="3851" ht="15.75" customHeight="1">
      <c r="A3851" s="6" t="s">
        <v>1126</v>
      </c>
      <c r="B3851" s="6" t="s">
        <v>709</v>
      </c>
    </row>
    <row r="3852" ht="15.75" customHeight="1">
      <c r="A3852" s="7" t="s">
        <v>70</v>
      </c>
      <c r="B3852" s="7" t="s">
        <v>710</v>
      </c>
    </row>
    <row r="3853" ht="15.75" customHeight="1">
      <c r="A3853" s="7" t="s">
        <v>64</v>
      </c>
      <c r="B3853" s="7" t="s">
        <v>710</v>
      </c>
    </row>
    <row r="3854" ht="15.75" customHeight="1">
      <c r="A3854" s="7" t="s">
        <v>85</v>
      </c>
      <c r="B3854" s="7" t="s">
        <v>710</v>
      </c>
    </row>
    <row r="3855" ht="15.75" customHeight="1">
      <c r="A3855" s="7" t="s">
        <v>184</v>
      </c>
      <c r="B3855" s="7" t="s">
        <v>710</v>
      </c>
    </row>
    <row r="3856" ht="15.75" customHeight="1">
      <c r="A3856" s="7" t="s">
        <v>87</v>
      </c>
      <c r="B3856" s="7" t="s">
        <v>710</v>
      </c>
    </row>
    <row r="3857" ht="15.75" customHeight="1">
      <c r="A3857" s="7" t="s">
        <v>88</v>
      </c>
      <c r="B3857" s="7" t="s">
        <v>710</v>
      </c>
    </row>
    <row r="3858" ht="15.75" customHeight="1">
      <c r="A3858" s="6" t="s">
        <v>910</v>
      </c>
      <c r="B3858" s="6" t="s">
        <v>710</v>
      </c>
    </row>
    <row r="3859" ht="15.75" customHeight="1">
      <c r="A3859" s="6" t="s">
        <v>1126</v>
      </c>
      <c r="B3859" s="6" t="s">
        <v>710</v>
      </c>
    </row>
    <row r="3860" ht="15.75" customHeight="1">
      <c r="A3860" s="7" t="s">
        <v>63</v>
      </c>
      <c r="B3860" s="7" t="s">
        <v>711</v>
      </c>
    </row>
    <row r="3861" ht="15.75" customHeight="1">
      <c r="A3861" s="7" t="s">
        <v>161</v>
      </c>
      <c r="B3861" s="7" t="s">
        <v>711</v>
      </c>
    </row>
    <row r="3862" ht="15.75" customHeight="1">
      <c r="A3862" s="7" t="s">
        <v>178</v>
      </c>
      <c r="B3862" s="7" t="s">
        <v>711</v>
      </c>
    </row>
    <row r="3863" ht="15.75" customHeight="1">
      <c r="A3863" s="7" t="s">
        <v>207</v>
      </c>
      <c r="B3863" s="7" t="s">
        <v>711</v>
      </c>
    </row>
    <row r="3864" ht="15.75" customHeight="1">
      <c r="A3864" s="7" t="s">
        <v>73</v>
      </c>
      <c r="B3864" s="7" t="s">
        <v>711</v>
      </c>
    </row>
    <row r="3865" ht="15.75" customHeight="1">
      <c r="A3865" s="7" t="s">
        <v>199</v>
      </c>
      <c r="B3865" s="7" t="s">
        <v>711</v>
      </c>
    </row>
    <row r="3866" ht="15.75" customHeight="1">
      <c r="A3866" s="6" t="s">
        <v>910</v>
      </c>
      <c r="B3866" s="6" t="s">
        <v>711</v>
      </c>
    </row>
    <row r="3867" ht="15.75" customHeight="1">
      <c r="A3867" s="7" t="s">
        <v>82</v>
      </c>
      <c r="B3867" s="7" t="s">
        <v>712</v>
      </c>
    </row>
    <row r="3868" ht="15.75" customHeight="1">
      <c r="A3868" s="7" t="s">
        <v>109</v>
      </c>
      <c r="B3868" s="7" t="s">
        <v>712</v>
      </c>
    </row>
    <row r="3869" ht="15.75" customHeight="1">
      <c r="A3869" s="7" t="s">
        <v>141</v>
      </c>
      <c r="B3869" s="7" t="s">
        <v>712</v>
      </c>
    </row>
    <row r="3870" ht="15.75" customHeight="1">
      <c r="A3870" s="7" t="s">
        <v>116</v>
      </c>
      <c r="B3870" s="7" t="s">
        <v>712</v>
      </c>
    </row>
    <row r="3871" ht="15.75" customHeight="1">
      <c r="A3871" s="7" t="s">
        <v>117</v>
      </c>
      <c r="B3871" s="7" t="s">
        <v>712</v>
      </c>
    </row>
    <row r="3872" ht="15.75" customHeight="1">
      <c r="A3872" s="7" t="s">
        <v>154</v>
      </c>
      <c r="B3872" s="7" t="s">
        <v>712</v>
      </c>
    </row>
    <row r="3873" ht="15.75" customHeight="1">
      <c r="A3873" s="6" t="s">
        <v>910</v>
      </c>
      <c r="B3873" s="6" t="s">
        <v>712</v>
      </c>
    </row>
    <row r="3874" ht="15.75" customHeight="1">
      <c r="A3874" s="7" t="s">
        <v>190</v>
      </c>
      <c r="B3874" s="7" t="s">
        <v>713</v>
      </c>
    </row>
    <row r="3875" ht="15.75" customHeight="1">
      <c r="A3875" s="7" t="s">
        <v>114</v>
      </c>
      <c r="B3875" s="7" t="s">
        <v>713</v>
      </c>
    </row>
    <row r="3876" ht="15.75" customHeight="1">
      <c r="A3876" s="7" t="s">
        <v>129</v>
      </c>
      <c r="B3876" s="7" t="s">
        <v>713</v>
      </c>
    </row>
    <row r="3877" ht="15.75" customHeight="1">
      <c r="A3877" s="7" t="s">
        <v>116</v>
      </c>
      <c r="B3877" s="7" t="s">
        <v>713</v>
      </c>
    </row>
    <row r="3878" ht="15.75" customHeight="1">
      <c r="A3878" s="7" t="s">
        <v>208</v>
      </c>
      <c r="B3878" s="7" t="s">
        <v>713</v>
      </c>
    </row>
    <row r="3879" ht="15.75" customHeight="1">
      <c r="A3879" s="7" t="s">
        <v>199</v>
      </c>
      <c r="B3879" s="7" t="s">
        <v>713</v>
      </c>
    </row>
    <row r="3880" ht="15.75" customHeight="1">
      <c r="A3880" s="6" t="s">
        <v>910</v>
      </c>
      <c r="B3880" s="6" t="s">
        <v>713</v>
      </c>
    </row>
    <row r="3881" ht="15.75" customHeight="1">
      <c r="A3881" s="7" t="s">
        <v>137</v>
      </c>
      <c r="B3881" s="7" t="s">
        <v>714</v>
      </c>
    </row>
    <row r="3882" ht="15.75" customHeight="1">
      <c r="A3882" s="7" t="s">
        <v>134</v>
      </c>
      <c r="B3882" s="7" t="s">
        <v>714</v>
      </c>
    </row>
    <row r="3883" ht="15.75" customHeight="1">
      <c r="A3883" s="7" t="s">
        <v>175</v>
      </c>
      <c r="B3883" s="7" t="s">
        <v>714</v>
      </c>
    </row>
    <row r="3884" ht="15.75" customHeight="1">
      <c r="A3884" s="7" t="s">
        <v>86</v>
      </c>
      <c r="B3884" s="7" t="s">
        <v>714</v>
      </c>
    </row>
    <row r="3885" ht="15.75" customHeight="1">
      <c r="A3885" s="7" t="s">
        <v>131</v>
      </c>
      <c r="B3885" s="7" t="s">
        <v>714</v>
      </c>
    </row>
    <row r="3886" ht="15.75" customHeight="1">
      <c r="A3886" s="7" t="s">
        <v>118</v>
      </c>
      <c r="B3886" s="7" t="s">
        <v>714</v>
      </c>
    </row>
    <row r="3887" ht="15.75" customHeight="1">
      <c r="A3887" s="6" t="s">
        <v>910</v>
      </c>
      <c r="B3887" s="6" t="s">
        <v>714</v>
      </c>
    </row>
    <row r="3888" ht="15.75" customHeight="1">
      <c r="A3888" s="7" t="s">
        <v>68</v>
      </c>
      <c r="B3888" s="7" t="s">
        <v>715</v>
      </c>
    </row>
    <row r="3889" ht="15.75" customHeight="1">
      <c r="A3889" s="7" t="s">
        <v>70</v>
      </c>
      <c r="B3889" s="7" t="s">
        <v>715</v>
      </c>
    </row>
    <row r="3890" ht="15.75" customHeight="1">
      <c r="A3890" s="7" t="s">
        <v>64</v>
      </c>
      <c r="B3890" s="7" t="s">
        <v>715</v>
      </c>
    </row>
    <row r="3891" ht="15.75" customHeight="1">
      <c r="A3891" s="7" t="s">
        <v>176</v>
      </c>
      <c r="B3891" s="7" t="s">
        <v>715</v>
      </c>
    </row>
    <row r="3892" ht="15.75" customHeight="1">
      <c r="A3892" s="7" t="s">
        <v>187</v>
      </c>
      <c r="B3892" s="7" t="s">
        <v>715</v>
      </c>
    </row>
    <row r="3893" ht="15.75" customHeight="1">
      <c r="A3893" s="7" t="s">
        <v>145</v>
      </c>
      <c r="B3893" s="7" t="s">
        <v>715</v>
      </c>
    </row>
    <row r="3894" ht="15.75" customHeight="1">
      <c r="A3894" s="6" t="s">
        <v>910</v>
      </c>
      <c r="B3894" s="6" t="s">
        <v>715</v>
      </c>
    </row>
    <row r="3895" ht="15.75" customHeight="1">
      <c r="A3895" s="7" t="s">
        <v>226</v>
      </c>
      <c r="B3895" s="7" t="s">
        <v>716</v>
      </c>
    </row>
    <row r="3896" ht="15.75" customHeight="1">
      <c r="A3896" s="7" t="s">
        <v>122</v>
      </c>
      <c r="B3896" s="7" t="s">
        <v>716</v>
      </c>
    </row>
    <row r="3897" ht="15.75" customHeight="1">
      <c r="A3897" s="7" t="s">
        <v>120</v>
      </c>
      <c r="B3897" s="7" t="s">
        <v>716</v>
      </c>
    </row>
    <row r="3898" ht="15.75" customHeight="1">
      <c r="A3898" s="7" t="s">
        <v>166</v>
      </c>
      <c r="B3898" s="7" t="s">
        <v>716</v>
      </c>
    </row>
    <row r="3899" ht="15.75" customHeight="1">
      <c r="A3899" s="7" t="s">
        <v>181</v>
      </c>
      <c r="B3899" s="7" t="s">
        <v>716</v>
      </c>
    </row>
    <row r="3900" ht="15.75" customHeight="1">
      <c r="A3900" s="7" t="s">
        <v>136</v>
      </c>
      <c r="B3900" s="7" t="s">
        <v>716</v>
      </c>
    </row>
    <row r="3901" ht="15.75" customHeight="1">
      <c r="A3901" s="6" t="s">
        <v>910</v>
      </c>
      <c r="B3901" s="6" t="s">
        <v>716</v>
      </c>
    </row>
    <row r="3902" ht="15.75" customHeight="1">
      <c r="A3902" s="7" t="s">
        <v>226</v>
      </c>
      <c r="B3902" s="7" t="s">
        <v>717</v>
      </c>
    </row>
    <row r="3903" ht="15.75" customHeight="1">
      <c r="A3903" s="7" t="s">
        <v>114</v>
      </c>
      <c r="B3903" s="7" t="s">
        <v>717</v>
      </c>
    </row>
    <row r="3904" ht="15.75" customHeight="1">
      <c r="A3904" s="7" t="s">
        <v>198</v>
      </c>
      <c r="B3904" s="7" t="s">
        <v>717</v>
      </c>
    </row>
    <row r="3905" ht="15.75" customHeight="1">
      <c r="A3905" s="7" t="s">
        <v>110</v>
      </c>
      <c r="B3905" s="7" t="s">
        <v>717</v>
      </c>
    </row>
    <row r="3906" ht="15.75" customHeight="1">
      <c r="A3906" s="7" t="s">
        <v>106</v>
      </c>
      <c r="B3906" s="7" t="s">
        <v>717</v>
      </c>
    </row>
    <row r="3907" ht="15.75" customHeight="1">
      <c r="A3907" s="7" t="s">
        <v>127</v>
      </c>
      <c r="B3907" s="7" t="s">
        <v>717</v>
      </c>
    </row>
    <row r="3908" ht="15.75" customHeight="1">
      <c r="A3908" s="6" t="s">
        <v>910</v>
      </c>
      <c r="B3908" s="6" t="s">
        <v>717</v>
      </c>
    </row>
    <row r="3909" ht="15.75" customHeight="1">
      <c r="A3909" s="7" t="s">
        <v>89</v>
      </c>
      <c r="B3909" s="7" t="s">
        <v>718</v>
      </c>
    </row>
    <row r="3910" ht="15.75" customHeight="1">
      <c r="A3910" s="7" t="s">
        <v>109</v>
      </c>
      <c r="B3910" s="7" t="s">
        <v>718</v>
      </c>
    </row>
    <row r="3911" ht="15.75" customHeight="1">
      <c r="A3911" s="7" t="s">
        <v>178</v>
      </c>
      <c r="B3911" s="7" t="s">
        <v>718</v>
      </c>
    </row>
    <row r="3912" ht="15.75" customHeight="1">
      <c r="A3912" s="7" t="s">
        <v>207</v>
      </c>
      <c r="B3912" s="7" t="s">
        <v>718</v>
      </c>
    </row>
    <row r="3913" ht="15.75" customHeight="1">
      <c r="A3913" s="7" t="s">
        <v>208</v>
      </c>
      <c r="B3913" s="7" t="s">
        <v>718</v>
      </c>
    </row>
    <row r="3914" ht="15.75" customHeight="1">
      <c r="A3914" s="7" t="s">
        <v>118</v>
      </c>
      <c r="B3914" s="7" t="s">
        <v>718</v>
      </c>
    </row>
    <row r="3915" ht="15.75" customHeight="1">
      <c r="A3915" s="6" t="s">
        <v>910</v>
      </c>
      <c r="B3915" s="6" t="s">
        <v>718</v>
      </c>
    </row>
    <row r="3916" ht="15.75" customHeight="1">
      <c r="A3916" s="7" t="s">
        <v>169</v>
      </c>
      <c r="B3916" s="7" t="s">
        <v>719</v>
      </c>
    </row>
    <row r="3917" ht="15.75" customHeight="1">
      <c r="A3917" s="7" t="s">
        <v>64</v>
      </c>
      <c r="B3917" s="7" t="s">
        <v>719</v>
      </c>
    </row>
    <row r="3918" ht="15.75" customHeight="1">
      <c r="A3918" s="7" t="s">
        <v>77</v>
      </c>
      <c r="B3918" s="7" t="s">
        <v>719</v>
      </c>
    </row>
    <row r="3919" ht="15.75" customHeight="1">
      <c r="A3919" s="7" t="s">
        <v>79</v>
      </c>
      <c r="B3919" s="7" t="s">
        <v>719</v>
      </c>
    </row>
    <row r="3920" ht="15.75" customHeight="1">
      <c r="A3920" s="7" t="s">
        <v>142</v>
      </c>
      <c r="B3920" s="7" t="s">
        <v>719</v>
      </c>
    </row>
    <row r="3921" ht="15.75" customHeight="1">
      <c r="A3921" s="7" t="s">
        <v>81</v>
      </c>
      <c r="B3921" s="7" t="s">
        <v>719</v>
      </c>
    </row>
    <row r="3922" ht="15.75" customHeight="1">
      <c r="A3922" s="6" t="s">
        <v>910</v>
      </c>
      <c r="B3922" s="6" t="s">
        <v>719</v>
      </c>
    </row>
    <row r="3923" ht="15.75" customHeight="1">
      <c r="A3923" s="7" t="s">
        <v>132</v>
      </c>
      <c r="B3923" s="7" t="s">
        <v>720</v>
      </c>
    </row>
    <row r="3924" ht="15.75" customHeight="1">
      <c r="A3924" s="7" t="s">
        <v>161</v>
      </c>
      <c r="B3924" s="7" t="s">
        <v>720</v>
      </c>
    </row>
    <row r="3925" ht="15.75" customHeight="1">
      <c r="A3925" s="7" t="s">
        <v>78</v>
      </c>
      <c r="B3925" s="7" t="s">
        <v>720</v>
      </c>
    </row>
    <row r="3926" ht="15.75" customHeight="1">
      <c r="A3926" s="7" t="s">
        <v>110</v>
      </c>
      <c r="B3926" s="7" t="s">
        <v>720</v>
      </c>
    </row>
    <row r="3927" ht="15.75" customHeight="1">
      <c r="A3927" s="7" t="s">
        <v>106</v>
      </c>
      <c r="B3927" s="7" t="s">
        <v>720</v>
      </c>
    </row>
    <row r="3928" ht="15.75" customHeight="1">
      <c r="A3928" s="7" t="s">
        <v>127</v>
      </c>
      <c r="B3928" s="7" t="s">
        <v>720</v>
      </c>
    </row>
    <row r="3929" ht="15.75" customHeight="1">
      <c r="A3929" s="6" t="s">
        <v>910</v>
      </c>
      <c r="B3929" s="6" t="s">
        <v>720</v>
      </c>
    </row>
    <row r="3930" ht="15.75" customHeight="1">
      <c r="A3930" s="7" t="s">
        <v>63</v>
      </c>
      <c r="B3930" s="7" t="s">
        <v>721</v>
      </c>
    </row>
    <row r="3931" ht="15.75" customHeight="1">
      <c r="A3931" s="7" t="s">
        <v>134</v>
      </c>
      <c r="B3931" s="7" t="s">
        <v>721</v>
      </c>
    </row>
    <row r="3932" ht="15.75" customHeight="1">
      <c r="A3932" s="7" t="s">
        <v>175</v>
      </c>
      <c r="B3932" s="7" t="s">
        <v>721</v>
      </c>
    </row>
    <row r="3933" ht="15.75" customHeight="1">
      <c r="A3933" s="7" t="s">
        <v>116</v>
      </c>
      <c r="B3933" s="7" t="s">
        <v>721</v>
      </c>
    </row>
    <row r="3934" ht="15.75" customHeight="1">
      <c r="A3934" s="7" t="s">
        <v>131</v>
      </c>
      <c r="B3934" s="7" t="s">
        <v>721</v>
      </c>
    </row>
    <row r="3935" ht="15.75" customHeight="1">
      <c r="A3935" s="7" t="s">
        <v>88</v>
      </c>
      <c r="B3935" s="7" t="s">
        <v>721</v>
      </c>
    </row>
    <row r="3936" ht="15.75" customHeight="1">
      <c r="A3936" s="6" t="s">
        <v>910</v>
      </c>
      <c r="B3936" s="6" t="s">
        <v>721</v>
      </c>
    </row>
    <row r="3937" ht="15.75" customHeight="1">
      <c r="A3937" s="7" t="s">
        <v>146</v>
      </c>
      <c r="B3937" s="7" t="s">
        <v>722</v>
      </c>
    </row>
    <row r="3938" ht="15.75" customHeight="1">
      <c r="A3938" s="7" t="s">
        <v>70</v>
      </c>
      <c r="B3938" s="7" t="s">
        <v>722</v>
      </c>
    </row>
    <row r="3939" ht="15.75" customHeight="1">
      <c r="A3939" s="7" t="s">
        <v>78</v>
      </c>
      <c r="B3939" s="7" t="s">
        <v>722</v>
      </c>
    </row>
    <row r="3940" ht="15.75" customHeight="1">
      <c r="A3940" s="7" t="s">
        <v>149</v>
      </c>
      <c r="B3940" s="7" t="s">
        <v>722</v>
      </c>
    </row>
    <row r="3941" ht="15.75" customHeight="1">
      <c r="A3941" s="7" t="s">
        <v>106</v>
      </c>
      <c r="B3941" s="7" t="s">
        <v>722</v>
      </c>
    </row>
    <row r="3942" ht="15.75" customHeight="1">
      <c r="A3942" s="7" t="s">
        <v>111</v>
      </c>
      <c r="B3942" s="7" t="s">
        <v>722</v>
      </c>
    </row>
    <row r="3943" ht="15.75" customHeight="1">
      <c r="A3943" s="6" t="s">
        <v>910</v>
      </c>
      <c r="B3943" s="6" t="s">
        <v>722</v>
      </c>
    </row>
    <row r="3944" ht="15.75" customHeight="1">
      <c r="A3944" s="7" t="s">
        <v>70</v>
      </c>
      <c r="B3944" s="7" t="s">
        <v>723</v>
      </c>
    </row>
    <row r="3945" ht="15.75" customHeight="1">
      <c r="A3945" s="7" t="s">
        <v>92</v>
      </c>
      <c r="B3945" s="7" t="s">
        <v>723</v>
      </c>
    </row>
    <row r="3946" ht="15.75" customHeight="1">
      <c r="A3946" s="7" t="s">
        <v>141</v>
      </c>
      <c r="B3946" s="7" t="s">
        <v>723</v>
      </c>
    </row>
    <row r="3947" ht="15.75" customHeight="1">
      <c r="A3947" s="7" t="s">
        <v>176</v>
      </c>
      <c r="B3947" s="7" t="s">
        <v>723</v>
      </c>
    </row>
    <row r="3948" ht="15.75" customHeight="1">
      <c r="A3948" s="7" t="s">
        <v>126</v>
      </c>
      <c r="B3948" s="7" t="s">
        <v>723</v>
      </c>
    </row>
    <row r="3949" ht="15.75" customHeight="1">
      <c r="A3949" s="7" t="s">
        <v>145</v>
      </c>
      <c r="B3949" s="7" t="s">
        <v>723</v>
      </c>
    </row>
    <row r="3950" ht="15.75" customHeight="1">
      <c r="A3950" s="6" t="s">
        <v>910</v>
      </c>
      <c r="B3950" s="6" t="s">
        <v>723</v>
      </c>
    </row>
    <row r="3951" ht="15.75" customHeight="1">
      <c r="A3951" s="7" t="s">
        <v>169</v>
      </c>
      <c r="B3951" s="7" t="s">
        <v>724</v>
      </c>
    </row>
    <row r="3952" ht="15.75" customHeight="1">
      <c r="A3952" s="7" t="s">
        <v>183</v>
      </c>
      <c r="B3952" s="7" t="s">
        <v>724</v>
      </c>
    </row>
    <row r="3953" ht="15.75" customHeight="1">
      <c r="A3953" s="7" t="s">
        <v>109</v>
      </c>
      <c r="B3953" s="7" t="s">
        <v>724</v>
      </c>
    </row>
    <row r="3954" ht="15.75" customHeight="1">
      <c r="A3954" s="7" t="s">
        <v>211</v>
      </c>
      <c r="B3954" s="7" t="s">
        <v>724</v>
      </c>
    </row>
    <row r="3955" ht="15.75" customHeight="1">
      <c r="A3955" s="7" t="s">
        <v>181</v>
      </c>
      <c r="B3955" s="7" t="s">
        <v>724</v>
      </c>
    </row>
    <row r="3956" ht="15.75" customHeight="1">
      <c r="A3956" s="7" t="s">
        <v>136</v>
      </c>
      <c r="B3956" s="7" t="s">
        <v>724</v>
      </c>
    </row>
    <row r="3957" ht="15.75" customHeight="1">
      <c r="A3957" s="6" t="s">
        <v>910</v>
      </c>
      <c r="B3957" s="6" t="s">
        <v>724</v>
      </c>
    </row>
    <row r="3958" ht="15.75" customHeight="1">
      <c r="A3958" s="7" t="s">
        <v>226</v>
      </c>
      <c r="B3958" s="7" t="s">
        <v>725</v>
      </c>
    </row>
    <row r="3959" ht="15.75" customHeight="1">
      <c r="A3959" s="7" t="s">
        <v>198</v>
      </c>
      <c r="B3959" s="7" t="s">
        <v>725</v>
      </c>
    </row>
    <row r="3960" ht="15.75" customHeight="1">
      <c r="A3960" s="7" t="s">
        <v>122</v>
      </c>
      <c r="B3960" s="7" t="s">
        <v>725</v>
      </c>
    </row>
    <row r="3961" ht="15.75" customHeight="1">
      <c r="A3961" s="7" t="s">
        <v>166</v>
      </c>
      <c r="B3961" s="7" t="s">
        <v>725</v>
      </c>
    </row>
    <row r="3962" ht="15.75" customHeight="1">
      <c r="A3962" s="7" t="s">
        <v>187</v>
      </c>
      <c r="B3962" s="7" t="s">
        <v>725</v>
      </c>
    </row>
    <row r="3963" ht="15.75" customHeight="1">
      <c r="A3963" s="7" t="s">
        <v>136</v>
      </c>
      <c r="B3963" s="7" t="s">
        <v>725</v>
      </c>
    </row>
    <row r="3964" ht="15.75" customHeight="1">
      <c r="A3964" s="6" t="s">
        <v>910</v>
      </c>
      <c r="B3964" s="6" t="s">
        <v>725</v>
      </c>
    </row>
    <row r="3965" ht="15.75" customHeight="1">
      <c r="A3965" s="7" t="s">
        <v>82</v>
      </c>
      <c r="B3965" s="7" t="s">
        <v>726</v>
      </c>
    </row>
    <row r="3966" ht="15.75" customHeight="1">
      <c r="A3966" s="7" t="s">
        <v>192</v>
      </c>
      <c r="B3966" s="7" t="s">
        <v>726</v>
      </c>
    </row>
    <row r="3967" ht="15.75" customHeight="1">
      <c r="A3967" s="7" t="s">
        <v>92</v>
      </c>
      <c r="B3967" s="7" t="s">
        <v>726</v>
      </c>
    </row>
    <row r="3968" ht="15.75" customHeight="1">
      <c r="A3968" s="7" t="s">
        <v>166</v>
      </c>
      <c r="B3968" s="7" t="s">
        <v>726</v>
      </c>
    </row>
    <row r="3969" ht="15.75" customHeight="1">
      <c r="A3969" s="7" t="s">
        <v>181</v>
      </c>
      <c r="B3969" s="7" t="s">
        <v>726</v>
      </c>
    </row>
    <row r="3970" ht="15.75" customHeight="1">
      <c r="A3970" s="7" t="s">
        <v>139</v>
      </c>
      <c r="B3970" s="7" t="s">
        <v>726</v>
      </c>
    </row>
    <row r="3971" ht="15.75" customHeight="1">
      <c r="A3971" s="6" t="s">
        <v>910</v>
      </c>
      <c r="B3971" s="6" t="s">
        <v>726</v>
      </c>
    </row>
    <row r="3972" ht="15.75" customHeight="1">
      <c r="A3972" s="7" t="s">
        <v>70</v>
      </c>
      <c r="B3972" s="7" t="s">
        <v>727</v>
      </c>
    </row>
    <row r="3973" ht="15.75" customHeight="1">
      <c r="A3973" s="7" t="s">
        <v>109</v>
      </c>
      <c r="B3973" s="7" t="s">
        <v>727</v>
      </c>
    </row>
    <row r="3974" ht="15.75" customHeight="1">
      <c r="A3974" s="7" t="s">
        <v>141</v>
      </c>
      <c r="B3974" s="7" t="s">
        <v>727</v>
      </c>
    </row>
    <row r="3975" ht="15.75" customHeight="1">
      <c r="A3975" s="7" t="s">
        <v>116</v>
      </c>
      <c r="B3975" s="7" t="s">
        <v>727</v>
      </c>
    </row>
    <row r="3976" ht="15.75" customHeight="1">
      <c r="A3976" s="7" t="s">
        <v>66</v>
      </c>
      <c r="B3976" s="7" t="s">
        <v>727</v>
      </c>
    </row>
    <row r="3977" ht="15.75" customHeight="1">
      <c r="A3977" s="7" t="s">
        <v>67</v>
      </c>
      <c r="B3977" s="7" t="s">
        <v>727</v>
      </c>
    </row>
    <row r="3978" ht="15.75" customHeight="1">
      <c r="A3978" s="6" t="s">
        <v>910</v>
      </c>
      <c r="B3978" s="6" t="s">
        <v>727</v>
      </c>
    </row>
    <row r="3979" ht="15.75" customHeight="1">
      <c r="A3979" s="6" t="s">
        <v>1126</v>
      </c>
      <c r="B3979" s="6" t="s">
        <v>727</v>
      </c>
    </row>
    <row r="3980" ht="15.75" customHeight="1">
      <c r="A3980" s="7" t="s">
        <v>61</v>
      </c>
      <c r="B3980" s="7" t="s">
        <v>728</v>
      </c>
    </row>
    <row r="3981" ht="15.75" customHeight="1">
      <c r="A3981" s="7" t="s">
        <v>63</v>
      </c>
      <c r="B3981" s="7" t="s">
        <v>728</v>
      </c>
    </row>
    <row r="3982" ht="15.75" customHeight="1">
      <c r="A3982" s="7" t="s">
        <v>78</v>
      </c>
      <c r="B3982" s="7" t="s">
        <v>728</v>
      </c>
    </row>
    <row r="3983" ht="15.75" customHeight="1">
      <c r="A3983" s="7" t="s">
        <v>72</v>
      </c>
      <c r="B3983" s="7" t="s">
        <v>728</v>
      </c>
    </row>
    <row r="3984" ht="15.75" customHeight="1">
      <c r="A3984" s="7" t="s">
        <v>66</v>
      </c>
      <c r="B3984" s="7" t="s">
        <v>728</v>
      </c>
    </row>
    <row r="3985" ht="15.75" customHeight="1">
      <c r="A3985" s="7" t="s">
        <v>241</v>
      </c>
      <c r="B3985" s="7" t="s">
        <v>728</v>
      </c>
    </row>
    <row r="3986" ht="15.75" customHeight="1">
      <c r="A3986" s="6" t="s">
        <v>910</v>
      </c>
      <c r="B3986" s="6" t="s">
        <v>728</v>
      </c>
    </row>
    <row r="3987" ht="15.75" customHeight="1">
      <c r="A3987" s="6" t="s">
        <v>1126</v>
      </c>
      <c r="B3987" s="6" t="s">
        <v>728</v>
      </c>
    </row>
    <row r="3988" ht="15.75" customHeight="1">
      <c r="A3988" s="7" t="s">
        <v>132</v>
      </c>
      <c r="B3988" s="7" t="s">
        <v>729</v>
      </c>
    </row>
    <row r="3989" ht="15.75" customHeight="1">
      <c r="A3989" s="7" t="s">
        <v>134</v>
      </c>
      <c r="B3989" s="7" t="s">
        <v>729</v>
      </c>
    </row>
    <row r="3990" ht="15.75" customHeight="1">
      <c r="A3990" s="7" t="s">
        <v>71</v>
      </c>
      <c r="B3990" s="7" t="s">
        <v>729</v>
      </c>
    </row>
    <row r="3991" ht="15.75" customHeight="1">
      <c r="A3991" s="7" t="s">
        <v>195</v>
      </c>
      <c r="B3991" s="7" t="s">
        <v>729</v>
      </c>
    </row>
    <row r="3992" ht="15.75" customHeight="1">
      <c r="A3992" s="7" t="s">
        <v>187</v>
      </c>
      <c r="B3992" s="7" t="s">
        <v>729</v>
      </c>
    </row>
    <row r="3993" ht="15.75" customHeight="1">
      <c r="A3993" s="7" t="s">
        <v>136</v>
      </c>
      <c r="B3993" s="7" t="s">
        <v>729</v>
      </c>
    </row>
    <row r="3994" ht="15.75" customHeight="1">
      <c r="A3994" s="6" t="s">
        <v>910</v>
      </c>
      <c r="B3994" s="6" t="s">
        <v>729</v>
      </c>
    </row>
    <row r="3995" ht="15.75" customHeight="1">
      <c r="A3995" s="6" t="s">
        <v>910</v>
      </c>
      <c r="B3995" s="6" t="s">
        <v>2824</v>
      </c>
    </row>
    <row r="3996" ht="15.75" customHeight="1">
      <c r="A3996" s="6" t="s">
        <v>1126</v>
      </c>
      <c r="B3996" s="6" t="s">
        <v>2824</v>
      </c>
    </row>
    <row r="3997" ht="15.75" customHeight="1">
      <c r="A3997" s="7" t="s">
        <v>148</v>
      </c>
      <c r="B3997" s="7" t="s">
        <v>730</v>
      </c>
    </row>
    <row r="3998" ht="15.75" customHeight="1">
      <c r="A3998" s="7" t="s">
        <v>92</v>
      </c>
      <c r="B3998" s="7" t="s">
        <v>730</v>
      </c>
    </row>
    <row r="3999" ht="15.75" customHeight="1">
      <c r="A3999" s="7" t="s">
        <v>183</v>
      </c>
      <c r="B3999" s="7" t="s">
        <v>730</v>
      </c>
    </row>
    <row r="4000" ht="15.75" customHeight="1">
      <c r="A4000" s="7" t="s">
        <v>184</v>
      </c>
      <c r="B4000" s="7" t="s">
        <v>730</v>
      </c>
    </row>
    <row r="4001" ht="15.75" customHeight="1">
      <c r="A4001" s="7" t="s">
        <v>66</v>
      </c>
      <c r="B4001" s="7" t="s">
        <v>730</v>
      </c>
    </row>
    <row r="4002" ht="15.75" customHeight="1">
      <c r="A4002" s="7" t="s">
        <v>88</v>
      </c>
      <c r="B4002" s="7" t="s">
        <v>730</v>
      </c>
    </row>
    <row r="4003" ht="15.75" customHeight="1">
      <c r="A4003" s="6" t="s">
        <v>910</v>
      </c>
      <c r="B4003" s="6" t="s">
        <v>730</v>
      </c>
    </row>
    <row r="4004" ht="15.75" customHeight="1">
      <c r="A4004" s="6" t="s">
        <v>1126</v>
      </c>
      <c r="B4004" s="6" t="s">
        <v>730</v>
      </c>
    </row>
    <row r="4005" ht="15.75" customHeight="1">
      <c r="A4005" s="7" t="s">
        <v>68</v>
      </c>
      <c r="B4005" s="7" t="s">
        <v>731</v>
      </c>
    </row>
    <row r="4006" ht="15.75" customHeight="1">
      <c r="A4006" s="7" t="s">
        <v>70</v>
      </c>
      <c r="B4006" s="7" t="s">
        <v>731</v>
      </c>
    </row>
    <row r="4007" ht="15.75" customHeight="1">
      <c r="A4007" s="7" t="s">
        <v>175</v>
      </c>
      <c r="B4007" s="7" t="s">
        <v>731</v>
      </c>
    </row>
    <row r="4008" ht="15.75" customHeight="1">
      <c r="A4008" s="7" t="s">
        <v>105</v>
      </c>
      <c r="B4008" s="7" t="s">
        <v>731</v>
      </c>
    </row>
    <row r="4009" ht="15.75" customHeight="1">
      <c r="A4009" s="7" t="s">
        <v>222</v>
      </c>
      <c r="B4009" s="7" t="s">
        <v>731</v>
      </c>
    </row>
    <row r="4010" ht="15.75" customHeight="1">
      <c r="A4010" s="7" t="s">
        <v>111</v>
      </c>
      <c r="B4010" s="7" t="s">
        <v>731</v>
      </c>
    </row>
    <row r="4011" ht="15.75" customHeight="1">
      <c r="A4011" s="6" t="s">
        <v>910</v>
      </c>
      <c r="B4011" s="6" t="s">
        <v>731</v>
      </c>
    </row>
    <row r="4012" ht="15.75" customHeight="1">
      <c r="A4012" s="7" t="s">
        <v>143</v>
      </c>
      <c r="B4012" s="7" t="s">
        <v>732</v>
      </c>
    </row>
    <row r="4013" ht="15.75" customHeight="1">
      <c r="A4013" s="7" t="s">
        <v>95</v>
      </c>
      <c r="B4013" s="7" t="s">
        <v>732</v>
      </c>
    </row>
    <row r="4014" ht="15.75" customHeight="1">
      <c r="A4014" s="7" t="s">
        <v>170</v>
      </c>
      <c r="B4014" s="7" t="s">
        <v>732</v>
      </c>
    </row>
    <row r="4015" ht="15.75" customHeight="1">
      <c r="A4015" s="7" t="s">
        <v>149</v>
      </c>
      <c r="B4015" s="7" t="s">
        <v>732</v>
      </c>
    </row>
    <row r="4016" ht="15.75" customHeight="1">
      <c r="A4016" s="7" t="s">
        <v>164</v>
      </c>
      <c r="B4016" s="7" t="s">
        <v>732</v>
      </c>
    </row>
    <row r="4017" ht="15.75" customHeight="1">
      <c r="A4017" s="7" t="s">
        <v>171</v>
      </c>
      <c r="B4017" s="7" t="s">
        <v>732</v>
      </c>
    </row>
    <row r="4018" ht="15.75" customHeight="1">
      <c r="A4018" s="6" t="s">
        <v>910</v>
      </c>
      <c r="B4018" s="6" t="s">
        <v>732</v>
      </c>
    </row>
    <row r="4019" ht="15.75" customHeight="1">
      <c r="A4019" s="7" t="s">
        <v>226</v>
      </c>
      <c r="B4019" s="7" t="s">
        <v>733</v>
      </c>
    </row>
    <row r="4020" ht="15.75" customHeight="1">
      <c r="A4020" s="7" t="s">
        <v>198</v>
      </c>
      <c r="B4020" s="7" t="s">
        <v>733</v>
      </c>
    </row>
    <row r="4021" ht="15.75" customHeight="1">
      <c r="A4021" s="7" t="s">
        <v>122</v>
      </c>
      <c r="B4021" s="7" t="s">
        <v>733</v>
      </c>
    </row>
    <row r="4022" ht="15.75" customHeight="1">
      <c r="A4022" s="7" t="s">
        <v>110</v>
      </c>
      <c r="B4022" s="7" t="s">
        <v>733</v>
      </c>
    </row>
    <row r="4023" ht="15.75" customHeight="1">
      <c r="A4023" s="7" t="s">
        <v>106</v>
      </c>
      <c r="B4023" s="7" t="s">
        <v>733</v>
      </c>
    </row>
    <row r="4024" ht="15.75" customHeight="1">
      <c r="A4024" s="7" t="s">
        <v>158</v>
      </c>
      <c r="B4024" s="7" t="s">
        <v>733</v>
      </c>
    </row>
    <row r="4025" ht="15.75" customHeight="1">
      <c r="A4025" s="6" t="s">
        <v>910</v>
      </c>
      <c r="B4025" s="6" t="s">
        <v>733</v>
      </c>
    </row>
    <row r="4026" ht="15.75" customHeight="1">
      <c r="A4026" s="7" t="s">
        <v>114</v>
      </c>
      <c r="B4026" s="7" t="s">
        <v>734</v>
      </c>
    </row>
    <row r="4027" ht="15.75" customHeight="1">
      <c r="A4027" s="7" t="s">
        <v>169</v>
      </c>
      <c r="B4027" s="7" t="s">
        <v>734</v>
      </c>
    </row>
    <row r="4028" ht="15.75" customHeight="1">
      <c r="A4028" s="7" t="s">
        <v>175</v>
      </c>
      <c r="B4028" s="7" t="s">
        <v>734</v>
      </c>
    </row>
    <row r="4029" ht="15.75" customHeight="1">
      <c r="A4029" s="7" t="s">
        <v>72</v>
      </c>
      <c r="B4029" s="7" t="s">
        <v>734</v>
      </c>
    </row>
    <row r="4030" ht="15.75" customHeight="1">
      <c r="A4030" s="7" t="s">
        <v>117</v>
      </c>
      <c r="B4030" s="7" t="s">
        <v>734</v>
      </c>
    </row>
    <row r="4031" ht="15.75" customHeight="1">
      <c r="A4031" s="7" t="s">
        <v>81</v>
      </c>
      <c r="B4031" s="7" t="s">
        <v>734</v>
      </c>
    </row>
    <row r="4032" ht="15.75" customHeight="1">
      <c r="A4032" s="6" t="s">
        <v>910</v>
      </c>
      <c r="B4032" s="6" t="s">
        <v>734</v>
      </c>
    </row>
    <row r="4033" ht="15.75" customHeight="1">
      <c r="A4033" s="7" t="s">
        <v>100</v>
      </c>
      <c r="B4033" s="7" t="s">
        <v>735</v>
      </c>
    </row>
    <row r="4034" ht="15.75" customHeight="1">
      <c r="A4034" s="7" t="s">
        <v>153</v>
      </c>
      <c r="B4034" s="7" t="s">
        <v>735</v>
      </c>
    </row>
    <row r="4035" ht="15.75" customHeight="1">
      <c r="A4035" s="7" t="s">
        <v>141</v>
      </c>
      <c r="B4035" s="7" t="s">
        <v>735</v>
      </c>
    </row>
    <row r="4036" ht="15.75" customHeight="1">
      <c r="A4036" s="7" t="s">
        <v>189</v>
      </c>
      <c r="B4036" s="7" t="s">
        <v>735</v>
      </c>
    </row>
    <row r="4037" ht="15.75" customHeight="1">
      <c r="A4037" s="7" t="s">
        <v>142</v>
      </c>
      <c r="B4037" s="7" t="s">
        <v>735</v>
      </c>
    </row>
    <row r="4038" ht="15.75" customHeight="1">
      <c r="A4038" s="7" t="s">
        <v>154</v>
      </c>
      <c r="B4038" s="7" t="s">
        <v>735</v>
      </c>
    </row>
    <row r="4039" ht="15.75" customHeight="1">
      <c r="A4039" s="6" t="s">
        <v>910</v>
      </c>
      <c r="B4039" s="6" t="s">
        <v>735</v>
      </c>
    </row>
    <row r="4040" ht="15.75" customHeight="1">
      <c r="A4040" s="7" t="s">
        <v>161</v>
      </c>
      <c r="B4040" s="7" t="s">
        <v>736</v>
      </c>
    </row>
    <row r="4041" ht="15.75" customHeight="1">
      <c r="A4041" s="7" t="s">
        <v>85</v>
      </c>
      <c r="B4041" s="7" t="s">
        <v>736</v>
      </c>
    </row>
    <row r="4042" ht="15.75" customHeight="1">
      <c r="A4042" s="7" t="s">
        <v>98</v>
      </c>
      <c r="B4042" s="7" t="s">
        <v>736</v>
      </c>
    </row>
    <row r="4043" ht="15.75" customHeight="1">
      <c r="A4043" s="7" t="s">
        <v>187</v>
      </c>
      <c r="B4043" s="7" t="s">
        <v>736</v>
      </c>
    </row>
    <row r="4044" ht="15.75" customHeight="1">
      <c r="A4044" s="7" t="s">
        <v>145</v>
      </c>
      <c r="B4044" s="7" t="s">
        <v>736</v>
      </c>
    </row>
    <row r="4045" ht="15.75" customHeight="1">
      <c r="A4045" s="7" t="s">
        <v>146</v>
      </c>
      <c r="B4045" s="7" t="s">
        <v>737</v>
      </c>
    </row>
    <row r="4046" ht="15.75" customHeight="1">
      <c r="A4046" s="7" t="s">
        <v>75</v>
      </c>
      <c r="B4046" s="7" t="s">
        <v>737</v>
      </c>
    </row>
    <row r="4047" ht="15.75" customHeight="1">
      <c r="A4047" s="7" t="s">
        <v>98</v>
      </c>
      <c r="B4047" s="7" t="s">
        <v>737</v>
      </c>
    </row>
    <row r="4048" ht="15.75" customHeight="1">
      <c r="A4048" s="7" t="s">
        <v>166</v>
      </c>
      <c r="B4048" s="7" t="s">
        <v>737</v>
      </c>
    </row>
    <row r="4049" ht="15.75" customHeight="1">
      <c r="A4049" s="7" t="s">
        <v>124</v>
      </c>
      <c r="B4049" s="7" t="s">
        <v>737</v>
      </c>
    </row>
    <row r="4050" ht="15.75" customHeight="1">
      <c r="A4050" s="7" t="s">
        <v>139</v>
      </c>
      <c r="B4050" s="7" t="s">
        <v>737</v>
      </c>
    </row>
    <row r="4051" ht="15.75" customHeight="1">
      <c r="A4051" s="6" t="s">
        <v>910</v>
      </c>
      <c r="B4051" s="6" t="s">
        <v>737</v>
      </c>
    </row>
    <row r="4052" ht="15.75" customHeight="1">
      <c r="A4052" s="7" t="s">
        <v>148</v>
      </c>
      <c r="B4052" s="7" t="s">
        <v>738</v>
      </c>
    </row>
    <row r="4053" ht="15.75" customHeight="1">
      <c r="A4053" s="7" t="s">
        <v>84</v>
      </c>
      <c r="B4053" s="7" t="s">
        <v>738</v>
      </c>
    </row>
    <row r="4054" ht="15.75" customHeight="1">
      <c r="A4054" s="7" t="s">
        <v>85</v>
      </c>
      <c r="B4054" s="7" t="s">
        <v>738</v>
      </c>
    </row>
    <row r="4055" ht="15.75" customHeight="1">
      <c r="A4055" s="7" t="s">
        <v>116</v>
      </c>
      <c r="B4055" s="7" t="s">
        <v>738</v>
      </c>
    </row>
    <row r="4056" ht="15.75" customHeight="1">
      <c r="A4056" s="7" t="s">
        <v>113</v>
      </c>
      <c r="B4056" s="7" t="s">
        <v>738</v>
      </c>
    </row>
    <row r="4057" ht="15.75" customHeight="1">
      <c r="A4057" s="7" t="s">
        <v>185</v>
      </c>
      <c r="B4057" s="7" t="s">
        <v>738</v>
      </c>
    </row>
    <row r="4058" ht="15.75" customHeight="1">
      <c r="A4058" s="6" t="s">
        <v>910</v>
      </c>
      <c r="B4058" s="6" t="s">
        <v>738</v>
      </c>
    </row>
    <row r="4059" ht="15.75" customHeight="1">
      <c r="A4059" s="6" t="s">
        <v>1126</v>
      </c>
      <c r="B4059" s="6" t="s">
        <v>738</v>
      </c>
    </row>
    <row r="4060" ht="15.75" customHeight="1">
      <c r="A4060" s="7" t="s">
        <v>63</v>
      </c>
      <c r="B4060" s="7" t="s">
        <v>739</v>
      </c>
    </row>
    <row r="4061" ht="15.75" customHeight="1">
      <c r="A4061" s="7" t="s">
        <v>134</v>
      </c>
      <c r="B4061" s="7" t="s">
        <v>739</v>
      </c>
    </row>
    <row r="4062" ht="15.75" customHeight="1">
      <c r="A4062" s="7" t="s">
        <v>175</v>
      </c>
      <c r="B4062" s="7" t="s">
        <v>739</v>
      </c>
    </row>
    <row r="4063" ht="15.75" customHeight="1">
      <c r="A4063" s="7" t="s">
        <v>166</v>
      </c>
      <c r="B4063" s="7" t="s">
        <v>739</v>
      </c>
    </row>
    <row r="4064" ht="15.75" customHeight="1">
      <c r="A4064" s="7" t="s">
        <v>124</v>
      </c>
      <c r="B4064" s="7" t="s">
        <v>739</v>
      </c>
    </row>
    <row r="4065" ht="15.75" customHeight="1">
      <c r="A4065" s="7" t="s">
        <v>136</v>
      </c>
      <c r="B4065" s="7" t="s">
        <v>739</v>
      </c>
    </row>
    <row r="4066" ht="15.75" customHeight="1">
      <c r="A4066" s="6" t="s">
        <v>910</v>
      </c>
      <c r="B4066" s="6" t="s">
        <v>739</v>
      </c>
    </row>
    <row r="4067" ht="15.75" customHeight="1">
      <c r="A4067" s="7" t="s">
        <v>159</v>
      </c>
      <c r="B4067" s="7" t="s">
        <v>740</v>
      </c>
    </row>
    <row r="4068" ht="15.75" customHeight="1">
      <c r="A4068" s="7" t="s">
        <v>134</v>
      </c>
      <c r="B4068" s="7" t="s">
        <v>740</v>
      </c>
    </row>
    <row r="4069" ht="15.75" customHeight="1">
      <c r="A4069" s="7" t="s">
        <v>175</v>
      </c>
      <c r="B4069" s="7" t="s">
        <v>740</v>
      </c>
    </row>
    <row r="4070" ht="15.75" customHeight="1">
      <c r="A4070" s="7" t="s">
        <v>86</v>
      </c>
      <c r="B4070" s="7" t="s">
        <v>740</v>
      </c>
    </row>
    <row r="4071" ht="15.75" customHeight="1">
      <c r="A4071" s="7" t="s">
        <v>131</v>
      </c>
      <c r="B4071" s="7" t="s">
        <v>740</v>
      </c>
    </row>
    <row r="4072" ht="15.75" customHeight="1">
      <c r="A4072" s="7" t="s">
        <v>199</v>
      </c>
      <c r="B4072" s="7" t="s">
        <v>740</v>
      </c>
    </row>
    <row r="4073" ht="15.75" customHeight="1">
      <c r="A4073" s="6" t="s">
        <v>910</v>
      </c>
      <c r="B4073" s="6" t="s">
        <v>740</v>
      </c>
    </row>
    <row r="4074" ht="15.75" customHeight="1">
      <c r="A4074" s="7" t="s">
        <v>63</v>
      </c>
      <c r="B4074" s="7" t="s">
        <v>741</v>
      </c>
    </row>
    <row r="4075" ht="15.75" customHeight="1">
      <c r="A4075" s="7" t="s">
        <v>97</v>
      </c>
      <c r="B4075" s="7" t="s">
        <v>741</v>
      </c>
    </row>
    <row r="4076" ht="15.75" customHeight="1">
      <c r="A4076" s="7" t="s">
        <v>104</v>
      </c>
      <c r="B4076" s="7" t="s">
        <v>741</v>
      </c>
    </row>
    <row r="4077" ht="15.75" customHeight="1">
      <c r="A4077" s="7" t="s">
        <v>65</v>
      </c>
      <c r="B4077" s="7" t="s">
        <v>741</v>
      </c>
    </row>
    <row r="4078" ht="15.75" customHeight="1">
      <c r="A4078" s="7" t="s">
        <v>117</v>
      </c>
      <c r="B4078" s="7" t="s">
        <v>741</v>
      </c>
    </row>
    <row r="4079" ht="15.75" customHeight="1">
      <c r="A4079" s="7" t="s">
        <v>199</v>
      </c>
      <c r="B4079" s="7" t="s">
        <v>741</v>
      </c>
    </row>
    <row r="4080" ht="15.75" customHeight="1">
      <c r="A4080" s="6" t="s">
        <v>910</v>
      </c>
      <c r="B4080" s="6" t="s">
        <v>741</v>
      </c>
    </row>
    <row r="4081" ht="15.75" customHeight="1">
      <c r="A4081" s="7" t="s">
        <v>161</v>
      </c>
      <c r="B4081" s="7" t="s">
        <v>742</v>
      </c>
    </row>
    <row r="4082" ht="15.75" customHeight="1">
      <c r="A4082" s="7" t="s">
        <v>85</v>
      </c>
      <c r="B4082" s="7" t="s">
        <v>742</v>
      </c>
    </row>
    <row r="4083" ht="15.75" customHeight="1">
      <c r="A4083" s="7" t="s">
        <v>175</v>
      </c>
      <c r="B4083" s="7" t="s">
        <v>742</v>
      </c>
    </row>
    <row r="4084" ht="15.75" customHeight="1">
      <c r="A4084" s="7" t="s">
        <v>189</v>
      </c>
      <c r="B4084" s="7" t="s">
        <v>742</v>
      </c>
    </row>
    <row r="4085" ht="15.75" customHeight="1">
      <c r="A4085" s="7" t="s">
        <v>80</v>
      </c>
      <c r="B4085" s="7" t="s">
        <v>742</v>
      </c>
    </row>
    <row r="4086" ht="15.75" customHeight="1">
      <c r="A4086" s="7" t="s">
        <v>88</v>
      </c>
      <c r="B4086" s="7" t="s">
        <v>742</v>
      </c>
    </row>
    <row r="4087" ht="15.75" customHeight="1">
      <c r="A4087" s="6" t="s">
        <v>910</v>
      </c>
      <c r="B4087" s="6" t="s">
        <v>742</v>
      </c>
    </row>
    <row r="4088" ht="15.75" customHeight="1">
      <c r="A4088" s="6" t="s">
        <v>1126</v>
      </c>
      <c r="B4088" s="6" t="s">
        <v>742</v>
      </c>
    </row>
    <row r="4089" ht="15.75" customHeight="1">
      <c r="A4089" s="7" t="s">
        <v>134</v>
      </c>
      <c r="B4089" s="7" t="s">
        <v>743</v>
      </c>
    </row>
    <row r="4090" ht="15.75" customHeight="1">
      <c r="A4090" s="7" t="s">
        <v>85</v>
      </c>
      <c r="B4090" s="7" t="s">
        <v>743</v>
      </c>
    </row>
    <row r="4091" ht="15.75" customHeight="1">
      <c r="A4091" s="7" t="s">
        <v>170</v>
      </c>
      <c r="B4091" s="7" t="s">
        <v>743</v>
      </c>
    </row>
    <row r="4092" ht="15.75" customHeight="1">
      <c r="A4092" s="7" t="s">
        <v>166</v>
      </c>
      <c r="B4092" s="7" t="s">
        <v>743</v>
      </c>
    </row>
    <row r="4093" ht="15.75" customHeight="1">
      <c r="A4093" s="7" t="s">
        <v>150</v>
      </c>
      <c r="B4093" s="7" t="s">
        <v>743</v>
      </c>
    </row>
    <row r="4094" ht="15.75" customHeight="1">
      <c r="A4094" s="7" t="s">
        <v>139</v>
      </c>
      <c r="B4094" s="7" t="s">
        <v>743</v>
      </c>
    </row>
    <row r="4095" ht="15.75" customHeight="1">
      <c r="A4095" s="6" t="s">
        <v>910</v>
      </c>
      <c r="B4095" s="6" t="s">
        <v>743</v>
      </c>
    </row>
    <row r="4096" ht="15.75" customHeight="1">
      <c r="A4096" s="7" t="s">
        <v>148</v>
      </c>
      <c r="B4096" s="7" t="s">
        <v>744</v>
      </c>
    </row>
    <row r="4097" ht="15.75" customHeight="1">
      <c r="A4097" s="7" t="s">
        <v>85</v>
      </c>
      <c r="B4097" s="7" t="s">
        <v>744</v>
      </c>
    </row>
    <row r="4098" ht="15.75" customHeight="1">
      <c r="A4098" s="7" t="s">
        <v>120</v>
      </c>
      <c r="B4098" s="7" t="s">
        <v>744</v>
      </c>
    </row>
    <row r="4099" ht="15.75" customHeight="1">
      <c r="A4099" s="7" t="s">
        <v>195</v>
      </c>
      <c r="B4099" s="7" t="s">
        <v>744</v>
      </c>
    </row>
    <row r="4100" ht="15.75" customHeight="1">
      <c r="A4100" s="7" t="s">
        <v>196</v>
      </c>
      <c r="B4100" s="7" t="s">
        <v>744</v>
      </c>
    </row>
    <row r="4101" ht="15.75" customHeight="1">
      <c r="A4101" s="7" t="s">
        <v>136</v>
      </c>
      <c r="B4101" s="7" t="s">
        <v>744</v>
      </c>
    </row>
    <row r="4102" ht="15.75" customHeight="1">
      <c r="A4102" s="6" t="s">
        <v>910</v>
      </c>
      <c r="B4102" s="6" t="s">
        <v>744</v>
      </c>
    </row>
    <row r="4103" ht="15.75" customHeight="1">
      <c r="A4103" s="7" t="s">
        <v>226</v>
      </c>
      <c r="B4103" s="7" t="s">
        <v>745</v>
      </c>
    </row>
    <row r="4104" ht="15.75" customHeight="1">
      <c r="A4104" s="7" t="s">
        <v>114</v>
      </c>
      <c r="B4104" s="7" t="s">
        <v>745</v>
      </c>
    </row>
    <row r="4105" ht="15.75" customHeight="1">
      <c r="A4105" s="7" t="s">
        <v>198</v>
      </c>
      <c r="B4105" s="7" t="s">
        <v>745</v>
      </c>
    </row>
    <row r="4106" ht="15.75" customHeight="1">
      <c r="A4106" s="7" t="s">
        <v>135</v>
      </c>
      <c r="B4106" s="7" t="s">
        <v>745</v>
      </c>
    </row>
    <row r="4107" ht="15.75" customHeight="1">
      <c r="A4107" s="7" t="s">
        <v>181</v>
      </c>
      <c r="B4107" s="7" t="s">
        <v>745</v>
      </c>
    </row>
    <row r="4108" ht="15.75" customHeight="1">
      <c r="A4108" s="7" t="s">
        <v>136</v>
      </c>
      <c r="B4108" s="7" t="s">
        <v>745</v>
      </c>
    </row>
    <row r="4109" ht="15.75" customHeight="1">
      <c r="A4109" s="6" t="s">
        <v>910</v>
      </c>
      <c r="B4109" s="6" t="s">
        <v>745</v>
      </c>
    </row>
    <row r="4110" ht="15.75" customHeight="1">
      <c r="A4110" s="7" t="s">
        <v>161</v>
      </c>
      <c r="B4110" s="7" t="s">
        <v>746</v>
      </c>
    </row>
    <row r="4111" ht="15.75" customHeight="1">
      <c r="A4111" s="7" t="s">
        <v>85</v>
      </c>
      <c r="B4111" s="7" t="s">
        <v>746</v>
      </c>
    </row>
    <row r="4112" ht="15.75" customHeight="1">
      <c r="A4112" s="7" t="s">
        <v>170</v>
      </c>
      <c r="B4112" s="7" t="s">
        <v>746</v>
      </c>
    </row>
    <row r="4113" ht="15.75" customHeight="1">
      <c r="A4113" s="7" t="s">
        <v>207</v>
      </c>
      <c r="B4113" s="7" t="s">
        <v>746</v>
      </c>
    </row>
    <row r="4114" ht="15.75" customHeight="1">
      <c r="A4114" s="7" t="s">
        <v>80</v>
      </c>
      <c r="B4114" s="7" t="s">
        <v>746</v>
      </c>
    </row>
    <row r="4115" ht="15.75" customHeight="1">
      <c r="A4115" s="7" t="s">
        <v>88</v>
      </c>
      <c r="B4115" s="7" t="s">
        <v>746</v>
      </c>
    </row>
    <row r="4116" ht="15.75" customHeight="1">
      <c r="A4116" s="6" t="s">
        <v>910</v>
      </c>
      <c r="B4116" s="6" t="s">
        <v>746</v>
      </c>
    </row>
    <row r="4117" ht="15.75" customHeight="1">
      <c r="A4117" s="6" t="s">
        <v>1126</v>
      </c>
      <c r="B4117" s="6" t="s">
        <v>746</v>
      </c>
    </row>
    <row r="4118" ht="15.75" customHeight="1">
      <c r="A4118" s="7" t="s">
        <v>161</v>
      </c>
      <c r="B4118" s="7" t="s">
        <v>747</v>
      </c>
    </row>
    <row r="4119" ht="15.75" customHeight="1">
      <c r="A4119" s="7" t="s">
        <v>153</v>
      </c>
      <c r="B4119" s="7" t="s">
        <v>747</v>
      </c>
    </row>
    <row r="4120" ht="15.75" customHeight="1">
      <c r="A4120" s="7" t="s">
        <v>141</v>
      </c>
      <c r="B4120" s="7" t="s">
        <v>747</v>
      </c>
    </row>
    <row r="4121" ht="15.75" customHeight="1">
      <c r="A4121" s="7" t="s">
        <v>189</v>
      </c>
      <c r="B4121" s="7" t="s">
        <v>747</v>
      </c>
    </row>
    <row r="4122" ht="15.75" customHeight="1">
      <c r="A4122" s="7" t="s">
        <v>113</v>
      </c>
      <c r="B4122" s="7" t="s">
        <v>747</v>
      </c>
    </row>
    <row r="4123" ht="15.75" customHeight="1">
      <c r="A4123" s="7" t="s">
        <v>185</v>
      </c>
      <c r="B4123" s="7" t="s">
        <v>747</v>
      </c>
    </row>
    <row r="4124" ht="15.75" customHeight="1">
      <c r="A4124" s="6" t="s">
        <v>910</v>
      </c>
      <c r="B4124" s="6" t="s">
        <v>747</v>
      </c>
    </row>
    <row r="4125" ht="15.75" customHeight="1">
      <c r="A4125" s="6" t="s">
        <v>1126</v>
      </c>
      <c r="B4125" s="6" t="s">
        <v>747</v>
      </c>
    </row>
    <row r="4126" ht="15.75" customHeight="1">
      <c r="A4126" s="7" t="s">
        <v>95</v>
      </c>
      <c r="B4126" s="7" t="s">
        <v>748</v>
      </c>
    </row>
    <row r="4127" ht="15.75" customHeight="1">
      <c r="A4127" s="7" t="s">
        <v>161</v>
      </c>
      <c r="B4127" s="7" t="s">
        <v>748</v>
      </c>
    </row>
    <row r="4128" ht="15.75" customHeight="1">
      <c r="A4128" s="7" t="s">
        <v>170</v>
      </c>
      <c r="B4128" s="7" t="s">
        <v>748</v>
      </c>
    </row>
    <row r="4129" ht="15.75" customHeight="1">
      <c r="A4129" s="7" t="s">
        <v>99</v>
      </c>
      <c r="B4129" s="7" t="s">
        <v>748</v>
      </c>
    </row>
    <row r="4130" ht="15.75" customHeight="1">
      <c r="A4130" s="7" t="s">
        <v>113</v>
      </c>
      <c r="B4130" s="7" t="s">
        <v>748</v>
      </c>
    </row>
    <row r="4131" ht="15.75" customHeight="1">
      <c r="A4131" s="7" t="s">
        <v>241</v>
      </c>
      <c r="B4131" s="7" t="s">
        <v>748</v>
      </c>
    </row>
    <row r="4132" ht="15.75" customHeight="1">
      <c r="A4132" s="6" t="s">
        <v>910</v>
      </c>
      <c r="B4132" s="6" t="s">
        <v>748</v>
      </c>
    </row>
    <row r="4133" ht="15.75" customHeight="1">
      <c r="A4133" s="6" t="s">
        <v>1126</v>
      </c>
      <c r="B4133" s="6" t="s">
        <v>748</v>
      </c>
    </row>
    <row r="4134" ht="15.75" customHeight="1">
      <c r="A4134" s="7" t="s">
        <v>148</v>
      </c>
      <c r="B4134" s="7" t="s">
        <v>749</v>
      </c>
    </row>
    <row r="4135" ht="15.75" customHeight="1">
      <c r="A4135" s="7" t="s">
        <v>77</v>
      </c>
      <c r="B4135" s="7" t="s">
        <v>749</v>
      </c>
    </row>
    <row r="4136" ht="15.75" customHeight="1">
      <c r="A4136" s="7" t="s">
        <v>78</v>
      </c>
      <c r="B4136" s="7" t="s">
        <v>749</v>
      </c>
    </row>
    <row r="4137" ht="15.75" customHeight="1">
      <c r="A4137" s="7" t="s">
        <v>105</v>
      </c>
      <c r="B4137" s="7" t="s">
        <v>749</v>
      </c>
    </row>
    <row r="4138" ht="15.75" customHeight="1">
      <c r="A4138" s="7" t="s">
        <v>162</v>
      </c>
      <c r="B4138" s="7" t="s">
        <v>749</v>
      </c>
    </row>
    <row r="4139" ht="15.75" customHeight="1">
      <c r="A4139" s="7" t="s">
        <v>145</v>
      </c>
      <c r="B4139" s="7" t="s">
        <v>749</v>
      </c>
    </row>
    <row r="4140" ht="15.75" customHeight="1">
      <c r="A4140" s="6" t="s">
        <v>910</v>
      </c>
      <c r="B4140" s="6" t="s">
        <v>749</v>
      </c>
    </row>
    <row r="4141" ht="15.75" customHeight="1">
      <c r="A4141" s="7" t="s">
        <v>134</v>
      </c>
      <c r="B4141" s="7" t="s">
        <v>750</v>
      </c>
    </row>
    <row r="4142" ht="15.75" customHeight="1">
      <c r="A4142" s="7" t="s">
        <v>85</v>
      </c>
      <c r="B4142" s="7" t="s">
        <v>750</v>
      </c>
    </row>
    <row r="4143" ht="15.75" customHeight="1">
      <c r="A4143" s="7" t="s">
        <v>175</v>
      </c>
      <c r="B4143" s="7" t="s">
        <v>750</v>
      </c>
    </row>
    <row r="4144" ht="15.75" customHeight="1">
      <c r="A4144" s="7" t="s">
        <v>166</v>
      </c>
      <c r="B4144" s="7" t="s">
        <v>750</v>
      </c>
    </row>
    <row r="4145" ht="15.75" customHeight="1">
      <c r="A4145" s="7" t="s">
        <v>126</v>
      </c>
      <c r="B4145" s="7" t="s">
        <v>750</v>
      </c>
    </row>
    <row r="4146" ht="15.75" customHeight="1">
      <c r="A4146" s="7" t="s">
        <v>136</v>
      </c>
      <c r="B4146" s="7" t="s">
        <v>750</v>
      </c>
    </row>
    <row r="4147" ht="15.75" customHeight="1">
      <c r="A4147" s="6" t="s">
        <v>910</v>
      </c>
      <c r="B4147" s="6" t="s">
        <v>750</v>
      </c>
    </row>
    <row r="4148" ht="15.75" customHeight="1">
      <c r="A4148" s="7" t="s">
        <v>114</v>
      </c>
      <c r="B4148" s="7" t="s">
        <v>751</v>
      </c>
    </row>
    <row r="4149" ht="15.75" customHeight="1">
      <c r="A4149" s="7" t="s">
        <v>75</v>
      </c>
      <c r="B4149" s="7" t="s">
        <v>751</v>
      </c>
    </row>
    <row r="4150" ht="15.75" customHeight="1">
      <c r="A4150" s="7" t="s">
        <v>98</v>
      </c>
      <c r="B4150" s="7" t="s">
        <v>751</v>
      </c>
    </row>
    <row r="4151" ht="15.75" customHeight="1">
      <c r="A4151" s="7" t="s">
        <v>110</v>
      </c>
      <c r="B4151" s="7" t="s">
        <v>751</v>
      </c>
    </row>
    <row r="4152" ht="15.75" customHeight="1">
      <c r="A4152" s="7" t="s">
        <v>222</v>
      </c>
      <c r="B4152" s="7" t="s">
        <v>751</v>
      </c>
    </row>
    <row r="4153" ht="15.75" customHeight="1">
      <c r="A4153" s="7" t="s">
        <v>111</v>
      </c>
      <c r="B4153" s="7" t="s">
        <v>751</v>
      </c>
    </row>
    <row r="4154" ht="15.75" customHeight="1">
      <c r="A4154" s="6" t="s">
        <v>910</v>
      </c>
      <c r="B4154" s="6" t="s">
        <v>751</v>
      </c>
    </row>
    <row r="4155" ht="15.75" customHeight="1">
      <c r="A4155" s="7" t="s">
        <v>146</v>
      </c>
      <c r="B4155" s="7" t="s">
        <v>752</v>
      </c>
    </row>
    <row r="4156" ht="15.75" customHeight="1">
      <c r="A4156" s="7" t="s">
        <v>75</v>
      </c>
      <c r="B4156" s="7" t="s">
        <v>752</v>
      </c>
    </row>
    <row r="4157" ht="15.75" customHeight="1">
      <c r="A4157" s="7" t="s">
        <v>120</v>
      </c>
      <c r="B4157" s="7" t="s">
        <v>752</v>
      </c>
    </row>
    <row r="4158" ht="15.75" customHeight="1">
      <c r="A4158" s="7" t="s">
        <v>195</v>
      </c>
      <c r="B4158" s="7" t="s">
        <v>752</v>
      </c>
    </row>
    <row r="4159" ht="15.75" customHeight="1">
      <c r="A4159" s="7" t="s">
        <v>162</v>
      </c>
      <c r="B4159" s="7" t="s">
        <v>752</v>
      </c>
    </row>
    <row r="4160" ht="15.75" customHeight="1">
      <c r="A4160" s="7" t="s">
        <v>139</v>
      </c>
      <c r="B4160" s="7" t="s">
        <v>752</v>
      </c>
    </row>
    <row r="4161" ht="15.75" customHeight="1">
      <c r="A4161" s="6" t="s">
        <v>910</v>
      </c>
      <c r="B4161" s="6" t="s">
        <v>752</v>
      </c>
    </row>
    <row r="4162" ht="15.75" customHeight="1">
      <c r="A4162" s="7" t="s">
        <v>70</v>
      </c>
      <c r="B4162" s="7" t="s">
        <v>753</v>
      </c>
    </row>
    <row r="4163" ht="15.75" customHeight="1">
      <c r="A4163" s="7" t="s">
        <v>109</v>
      </c>
      <c r="B4163" s="7" t="s">
        <v>753</v>
      </c>
    </row>
    <row r="4164" ht="15.75" customHeight="1">
      <c r="A4164" s="7" t="s">
        <v>71</v>
      </c>
      <c r="B4164" s="7" t="s">
        <v>753</v>
      </c>
    </row>
    <row r="4165" ht="15.75" customHeight="1">
      <c r="A4165" s="7" t="s">
        <v>72</v>
      </c>
      <c r="B4165" s="7" t="s">
        <v>753</v>
      </c>
    </row>
    <row r="4166" ht="15.75" customHeight="1">
      <c r="A4166" s="7" t="s">
        <v>93</v>
      </c>
      <c r="B4166" s="7" t="s">
        <v>753</v>
      </c>
    </row>
    <row r="4167" ht="15.75" customHeight="1">
      <c r="A4167" s="7" t="s">
        <v>81</v>
      </c>
      <c r="B4167" s="7" t="s">
        <v>753</v>
      </c>
    </row>
    <row r="4168" ht="15.75" customHeight="1">
      <c r="A4168" s="6" t="s">
        <v>910</v>
      </c>
      <c r="B4168" s="6" t="s">
        <v>753</v>
      </c>
    </row>
    <row r="4169" ht="15.75" customHeight="1">
      <c r="A4169" s="7" t="s">
        <v>137</v>
      </c>
      <c r="B4169" s="7" t="s">
        <v>754</v>
      </c>
    </row>
    <row r="4170" ht="15.75" customHeight="1">
      <c r="A4170" s="7" t="s">
        <v>134</v>
      </c>
      <c r="B4170" s="7" t="s">
        <v>754</v>
      </c>
    </row>
    <row r="4171" ht="15.75" customHeight="1">
      <c r="A4171" s="7" t="s">
        <v>183</v>
      </c>
      <c r="B4171" s="7" t="s">
        <v>754</v>
      </c>
    </row>
    <row r="4172" ht="15.75" customHeight="1">
      <c r="A4172" s="7" t="s">
        <v>166</v>
      </c>
      <c r="B4172" s="7" t="s">
        <v>754</v>
      </c>
    </row>
    <row r="4173" ht="15.75" customHeight="1">
      <c r="A4173" s="7" t="s">
        <v>181</v>
      </c>
      <c r="B4173" s="7" t="s">
        <v>754</v>
      </c>
    </row>
    <row r="4174" ht="15.75" customHeight="1">
      <c r="A4174" s="7" t="s">
        <v>220</v>
      </c>
      <c r="B4174" s="7" t="s">
        <v>754</v>
      </c>
    </row>
    <row r="4175" ht="15.75" customHeight="1">
      <c r="A4175" s="6" t="s">
        <v>910</v>
      </c>
      <c r="B4175" s="6" t="s">
        <v>754</v>
      </c>
    </row>
    <row r="4176" ht="15.75" customHeight="1">
      <c r="A4176" s="7" t="s">
        <v>146</v>
      </c>
      <c r="B4176" s="7" t="s">
        <v>755</v>
      </c>
    </row>
    <row r="4177" ht="15.75" customHeight="1">
      <c r="A4177" s="7" t="s">
        <v>169</v>
      </c>
      <c r="B4177" s="7" t="s">
        <v>755</v>
      </c>
    </row>
    <row r="4178" ht="15.75" customHeight="1">
      <c r="A4178" s="7" t="s">
        <v>170</v>
      </c>
      <c r="B4178" s="7" t="s">
        <v>755</v>
      </c>
    </row>
    <row r="4179" ht="15.75" customHeight="1">
      <c r="A4179" s="7" t="s">
        <v>207</v>
      </c>
      <c r="B4179" s="7" t="s">
        <v>755</v>
      </c>
    </row>
    <row r="4180" ht="15.75" customHeight="1">
      <c r="A4180" s="7" t="s">
        <v>73</v>
      </c>
      <c r="B4180" s="7" t="s">
        <v>755</v>
      </c>
    </row>
    <row r="4181" ht="15.75" customHeight="1">
      <c r="A4181" s="7" t="s">
        <v>185</v>
      </c>
      <c r="B4181" s="7" t="s">
        <v>755</v>
      </c>
    </row>
    <row r="4182" ht="15.75" customHeight="1">
      <c r="A4182" s="6" t="s">
        <v>910</v>
      </c>
      <c r="B4182" s="6" t="s">
        <v>755</v>
      </c>
    </row>
    <row r="4183" ht="15.75" customHeight="1">
      <c r="A4183" s="7" t="s">
        <v>190</v>
      </c>
      <c r="B4183" s="7" t="s">
        <v>756</v>
      </c>
    </row>
    <row r="4184" ht="15.75" customHeight="1">
      <c r="A4184" s="7" t="s">
        <v>102</v>
      </c>
      <c r="B4184" s="7" t="s">
        <v>756</v>
      </c>
    </row>
    <row r="4185" ht="15.75" customHeight="1">
      <c r="A4185" s="7" t="s">
        <v>77</v>
      </c>
      <c r="B4185" s="7" t="s">
        <v>756</v>
      </c>
    </row>
    <row r="4186" ht="15.75" customHeight="1">
      <c r="A4186" s="7" t="s">
        <v>116</v>
      </c>
      <c r="B4186" s="7" t="s">
        <v>756</v>
      </c>
    </row>
    <row r="4187" ht="15.75" customHeight="1">
      <c r="A4187" s="7" t="s">
        <v>113</v>
      </c>
      <c r="B4187" s="7" t="s">
        <v>756</v>
      </c>
    </row>
    <row r="4188" ht="15.75" customHeight="1">
      <c r="A4188" s="7" t="s">
        <v>185</v>
      </c>
      <c r="B4188" s="7" t="s">
        <v>756</v>
      </c>
    </row>
    <row r="4189" ht="15.75" customHeight="1">
      <c r="A4189" s="6" t="s">
        <v>910</v>
      </c>
      <c r="B4189" s="6" t="s">
        <v>756</v>
      </c>
    </row>
    <row r="4190" ht="15.75" customHeight="1">
      <c r="A4190" s="6" t="s">
        <v>1126</v>
      </c>
      <c r="B4190" s="6" t="s">
        <v>756</v>
      </c>
    </row>
    <row r="4191" ht="15.75" customHeight="1">
      <c r="A4191" s="7" t="s">
        <v>161</v>
      </c>
      <c r="B4191" s="7" t="s">
        <v>757</v>
      </c>
    </row>
    <row r="4192" ht="15.75" customHeight="1">
      <c r="A4192" s="7" t="s">
        <v>64</v>
      </c>
      <c r="B4192" s="7" t="s">
        <v>757</v>
      </c>
    </row>
    <row r="4193" ht="15.75" customHeight="1">
      <c r="A4193" s="7" t="s">
        <v>122</v>
      </c>
      <c r="B4193" s="7" t="s">
        <v>757</v>
      </c>
    </row>
    <row r="4194" ht="15.75" customHeight="1">
      <c r="A4194" s="7" t="s">
        <v>207</v>
      </c>
      <c r="B4194" s="7" t="s">
        <v>757</v>
      </c>
    </row>
    <row r="4195" ht="15.75" customHeight="1">
      <c r="A4195" s="7" t="s">
        <v>73</v>
      </c>
      <c r="B4195" s="7" t="s">
        <v>757</v>
      </c>
    </row>
    <row r="4196" ht="15.75" customHeight="1">
      <c r="A4196" s="7" t="s">
        <v>199</v>
      </c>
      <c r="B4196" s="7" t="s">
        <v>757</v>
      </c>
    </row>
    <row r="4197" ht="15.75" customHeight="1">
      <c r="A4197" s="6" t="s">
        <v>910</v>
      </c>
      <c r="B4197" s="6" t="s">
        <v>757</v>
      </c>
    </row>
    <row r="4198" ht="15.75" customHeight="1">
      <c r="A4198" s="7" t="s">
        <v>137</v>
      </c>
      <c r="B4198" s="7" t="s">
        <v>758</v>
      </c>
    </row>
    <row r="4199" ht="15.75" customHeight="1">
      <c r="A4199" s="7" t="s">
        <v>134</v>
      </c>
      <c r="B4199" s="7" t="s">
        <v>758</v>
      </c>
    </row>
    <row r="4200" ht="15.75" customHeight="1">
      <c r="A4200" s="7" t="s">
        <v>175</v>
      </c>
      <c r="B4200" s="7" t="s">
        <v>758</v>
      </c>
    </row>
    <row r="4201" ht="15.75" customHeight="1">
      <c r="A4201" s="7" t="s">
        <v>65</v>
      </c>
      <c r="B4201" s="7" t="s">
        <v>758</v>
      </c>
    </row>
    <row r="4202" ht="15.75" customHeight="1">
      <c r="A4202" s="7" t="s">
        <v>66</v>
      </c>
      <c r="B4202" s="7" t="s">
        <v>758</v>
      </c>
    </row>
    <row r="4203" ht="15.75" customHeight="1">
      <c r="A4203" s="7" t="s">
        <v>67</v>
      </c>
      <c r="B4203" s="7" t="s">
        <v>758</v>
      </c>
    </row>
    <row r="4204" ht="15.75" customHeight="1">
      <c r="A4204" s="6" t="s">
        <v>910</v>
      </c>
      <c r="B4204" s="6" t="s">
        <v>758</v>
      </c>
    </row>
    <row r="4205" ht="15.75" customHeight="1">
      <c r="A4205" s="6" t="s">
        <v>1126</v>
      </c>
      <c r="B4205" s="6" t="s">
        <v>758</v>
      </c>
    </row>
    <row r="4206" ht="15.75" customHeight="1">
      <c r="A4206" s="7" t="s">
        <v>70</v>
      </c>
      <c r="B4206" s="7" t="s">
        <v>759</v>
      </c>
    </row>
    <row r="4207" ht="15.75" customHeight="1">
      <c r="A4207" s="7" t="s">
        <v>156</v>
      </c>
      <c r="B4207" s="7" t="s">
        <v>759</v>
      </c>
    </row>
    <row r="4208" ht="15.75" customHeight="1">
      <c r="A4208" s="7" t="s">
        <v>78</v>
      </c>
      <c r="B4208" s="7" t="s">
        <v>759</v>
      </c>
    </row>
    <row r="4209" ht="15.75" customHeight="1">
      <c r="A4209" s="7" t="s">
        <v>176</v>
      </c>
      <c r="B4209" s="7" t="s">
        <v>759</v>
      </c>
    </row>
    <row r="4210" ht="15.75" customHeight="1">
      <c r="A4210" s="7" t="s">
        <v>222</v>
      </c>
      <c r="B4210" s="7" t="s">
        <v>759</v>
      </c>
    </row>
    <row r="4211" ht="15.75" customHeight="1">
      <c r="A4211" s="7" t="s">
        <v>158</v>
      </c>
      <c r="B4211" s="7" t="s">
        <v>759</v>
      </c>
    </row>
    <row r="4212" ht="15.75" customHeight="1">
      <c r="A4212" s="6" t="s">
        <v>910</v>
      </c>
      <c r="B4212" s="6" t="s">
        <v>759</v>
      </c>
    </row>
    <row r="4213" ht="15.75" customHeight="1">
      <c r="A4213" s="7" t="s">
        <v>82</v>
      </c>
      <c r="B4213" s="7" t="s">
        <v>760</v>
      </c>
    </row>
    <row r="4214" ht="15.75" customHeight="1">
      <c r="A4214" s="7" t="s">
        <v>156</v>
      </c>
      <c r="B4214" s="7" t="s">
        <v>760</v>
      </c>
    </row>
    <row r="4215" ht="15.75" customHeight="1">
      <c r="A4215" s="7" t="s">
        <v>98</v>
      </c>
      <c r="B4215" s="7" t="s">
        <v>760</v>
      </c>
    </row>
    <row r="4216" ht="15.75" customHeight="1">
      <c r="A4216" s="7" t="s">
        <v>135</v>
      </c>
      <c r="B4216" s="7" t="s">
        <v>760</v>
      </c>
    </row>
    <row r="4217" ht="15.75" customHeight="1">
      <c r="A4217" s="7" t="s">
        <v>150</v>
      </c>
      <c r="B4217" s="7" t="s">
        <v>760</v>
      </c>
    </row>
    <row r="4218" ht="15.75" customHeight="1">
      <c r="A4218" s="7" t="s">
        <v>139</v>
      </c>
      <c r="B4218" s="7" t="s">
        <v>760</v>
      </c>
    </row>
    <row r="4219" ht="15.75" customHeight="1">
      <c r="A4219" s="6" t="s">
        <v>910</v>
      </c>
      <c r="B4219" s="6" t="s">
        <v>760</v>
      </c>
    </row>
    <row r="4220" ht="15.75" customHeight="1">
      <c r="A4220" s="7" t="s">
        <v>226</v>
      </c>
      <c r="B4220" s="7" t="s">
        <v>761</v>
      </c>
    </row>
    <row r="4221" ht="15.75" customHeight="1">
      <c r="A4221" s="7" t="s">
        <v>153</v>
      </c>
      <c r="B4221" s="7" t="s">
        <v>761</v>
      </c>
    </row>
    <row r="4222" ht="15.75" customHeight="1">
      <c r="A4222" s="7" t="s">
        <v>71</v>
      </c>
      <c r="B4222" s="7" t="s">
        <v>761</v>
      </c>
    </row>
    <row r="4223" ht="15.75" customHeight="1">
      <c r="A4223" s="7" t="s">
        <v>157</v>
      </c>
      <c r="B4223" s="7" t="s">
        <v>761</v>
      </c>
    </row>
    <row r="4224" ht="15.75" customHeight="1">
      <c r="A4224" s="7" t="s">
        <v>187</v>
      </c>
      <c r="B4224" s="7" t="s">
        <v>761</v>
      </c>
    </row>
    <row r="4225" ht="15.75" customHeight="1">
      <c r="A4225" s="7" t="s">
        <v>171</v>
      </c>
      <c r="B4225" s="7" t="s">
        <v>761</v>
      </c>
    </row>
    <row r="4226" ht="15.75" customHeight="1">
      <c r="A4226" s="6" t="s">
        <v>910</v>
      </c>
      <c r="B4226" s="6" t="s">
        <v>761</v>
      </c>
    </row>
    <row r="4227" ht="15.75" customHeight="1">
      <c r="A4227" s="7" t="s">
        <v>75</v>
      </c>
      <c r="B4227" s="7" t="s">
        <v>762</v>
      </c>
    </row>
    <row r="4228" ht="15.75" customHeight="1">
      <c r="A4228" s="7" t="s">
        <v>156</v>
      </c>
      <c r="B4228" s="7" t="s">
        <v>762</v>
      </c>
    </row>
    <row r="4229" ht="15.75" customHeight="1">
      <c r="A4229" s="7" t="s">
        <v>98</v>
      </c>
      <c r="B4229" s="7" t="s">
        <v>762</v>
      </c>
    </row>
    <row r="4230" ht="15.75" customHeight="1">
      <c r="A4230" s="7" t="s">
        <v>86</v>
      </c>
      <c r="B4230" s="7" t="s">
        <v>762</v>
      </c>
    </row>
    <row r="4231" ht="15.75" customHeight="1">
      <c r="A4231" s="7" t="s">
        <v>87</v>
      </c>
      <c r="B4231" s="7" t="s">
        <v>762</v>
      </c>
    </row>
    <row r="4232" ht="15.75" customHeight="1">
      <c r="A4232" s="7" t="s">
        <v>154</v>
      </c>
      <c r="B4232" s="7" t="s">
        <v>762</v>
      </c>
    </row>
    <row r="4233" ht="15.75" customHeight="1">
      <c r="A4233" s="6" t="s">
        <v>910</v>
      </c>
      <c r="B4233" s="6" t="s">
        <v>762</v>
      </c>
    </row>
    <row r="4234" ht="15.75" customHeight="1">
      <c r="A4234" s="6" t="s">
        <v>1126</v>
      </c>
      <c r="B4234" s="6" t="s">
        <v>762</v>
      </c>
    </row>
    <row r="4235" ht="15.75" customHeight="1">
      <c r="A4235" s="7" t="s">
        <v>169</v>
      </c>
      <c r="B4235" s="7" t="s">
        <v>763</v>
      </c>
    </row>
    <row r="4236" ht="15.75" customHeight="1">
      <c r="A4236" s="7" t="s">
        <v>183</v>
      </c>
      <c r="B4236" s="7" t="s">
        <v>763</v>
      </c>
    </row>
    <row r="4237" ht="15.75" customHeight="1">
      <c r="A4237" s="7" t="s">
        <v>194</v>
      </c>
      <c r="B4237" s="7" t="s">
        <v>763</v>
      </c>
    </row>
    <row r="4238" ht="15.75" customHeight="1">
      <c r="A4238" s="7" t="s">
        <v>110</v>
      </c>
      <c r="B4238" s="7" t="s">
        <v>763</v>
      </c>
    </row>
    <row r="4239" ht="15.75" customHeight="1">
      <c r="A4239" s="7" t="s">
        <v>222</v>
      </c>
      <c r="B4239" s="7" t="s">
        <v>763</v>
      </c>
    </row>
    <row r="4240" ht="15.75" customHeight="1">
      <c r="A4240" s="7" t="s">
        <v>111</v>
      </c>
      <c r="B4240" s="7" t="s">
        <v>763</v>
      </c>
    </row>
    <row r="4241" ht="15.75" customHeight="1">
      <c r="A4241" s="6" t="s">
        <v>910</v>
      </c>
      <c r="B4241" s="6" t="s">
        <v>763</v>
      </c>
    </row>
    <row r="4242" ht="15.75" customHeight="1">
      <c r="A4242" s="7" t="s">
        <v>89</v>
      </c>
      <c r="B4242" s="7" t="s">
        <v>764</v>
      </c>
    </row>
    <row r="4243" ht="15.75" customHeight="1">
      <c r="A4243" s="7" t="s">
        <v>91</v>
      </c>
      <c r="B4243" s="7" t="s">
        <v>764</v>
      </c>
    </row>
    <row r="4244" ht="15.75" customHeight="1">
      <c r="A4244" s="7" t="s">
        <v>92</v>
      </c>
      <c r="B4244" s="7" t="s">
        <v>764</v>
      </c>
    </row>
    <row r="4245" ht="15.75" customHeight="1">
      <c r="A4245" s="7" t="s">
        <v>65</v>
      </c>
      <c r="B4245" s="7" t="s">
        <v>764</v>
      </c>
    </row>
    <row r="4246" ht="15.75" customHeight="1">
      <c r="A4246" s="7" t="s">
        <v>66</v>
      </c>
      <c r="B4246" s="7" t="s">
        <v>764</v>
      </c>
    </row>
    <row r="4247" ht="15.75" customHeight="1">
      <c r="A4247" s="7" t="s">
        <v>67</v>
      </c>
      <c r="B4247" s="7" t="s">
        <v>764</v>
      </c>
    </row>
    <row r="4248" ht="15.75" customHeight="1">
      <c r="A4248" s="6" t="s">
        <v>910</v>
      </c>
      <c r="B4248" s="6" t="s">
        <v>764</v>
      </c>
    </row>
    <row r="4249" ht="15.75" customHeight="1">
      <c r="A4249" s="6" t="s">
        <v>1126</v>
      </c>
      <c r="B4249" s="6" t="s">
        <v>764</v>
      </c>
    </row>
    <row r="4250" ht="15.75" customHeight="1">
      <c r="A4250" s="7" t="s">
        <v>114</v>
      </c>
      <c r="B4250" s="7" t="s">
        <v>765</v>
      </c>
    </row>
    <row r="4251" ht="15.75" customHeight="1">
      <c r="A4251" s="7" t="s">
        <v>75</v>
      </c>
      <c r="B4251" s="7" t="s">
        <v>765</v>
      </c>
    </row>
    <row r="4252" ht="15.75" customHeight="1">
      <c r="A4252" s="7" t="s">
        <v>98</v>
      </c>
      <c r="B4252" s="7" t="s">
        <v>765</v>
      </c>
    </row>
    <row r="4253" ht="15.75" customHeight="1">
      <c r="A4253" s="7" t="s">
        <v>123</v>
      </c>
      <c r="B4253" s="7" t="s">
        <v>765</v>
      </c>
    </row>
    <row r="4254" ht="15.75" customHeight="1">
      <c r="A4254" s="7" t="s">
        <v>106</v>
      </c>
      <c r="B4254" s="7" t="s">
        <v>765</v>
      </c>
    </row>
    <row r="4255" ht="15.75" customHeight="1">
      <c r="A4255" s="7" t="s">
        <v>171</v>
      </c>
      <c r="B4255" s="7" t="s">
        <v>765</v>
      </c>
    </row>
    <row r="4256" ht="15.75" customHeight="1">
      <c r="A4256" s="6" t="s">
        <v>910</v>
      </c>
      <c r="B4256" s="6" t="s">
        <v>765</v>
      </c>
    </row>
    <row r="4257" ht="15.75" customHeight="1">
      <c r="A4257" s="7" t="s">
        <v>68</v>
      </c>
      <c r="B4257" s="7" t="s">
        <v>766</v>
      </c>
    </row>
    <row r="4258" ht="15.75" customHeight="1">
      <c r="A4258" s="7" t="s">
        <v>148</v>
      </c>
      <c r="B4258" s="7" t="s">
        <v>766</v>
      </c>
    </row>
    <row r="4259" ht="15.75" customHeight="1">
      <c r="A4259" s="7" t="s">
        <v>120</v>
      </c>
      <c r="B4259" s="7" t="s">
        <v>766</v>
      </c>
    </row>
    <row r="4260" ht="15.75" customHeight="1">
      <c r="A4260" s="7" t="s">
        <v>157</v>
      </c>
      <c r="B4260" s="7" t="s">
        <v>766</v>
      </c>
    </row>
    <row r="4261" ht="15.75" customHeight="1">
      <c r="A4261" s="7" t="s">
        <v>124</v>
      </c>
      <c r="B4261" s="7" t="s">
        <v>766</v>
      </c>
    </row>
    <row r="4262" ht="15.75" customHeight="1">
      <c r="A4262" s="7" t="s">
        <v>145</v>
      </c>
      <c r="B4262" s="7" t="s">
        <v>766</v>
      </c>
    </row>
    <row r="4263" ht="15.75" customHeight="1">
      <c r="A4263" s="6" t="s">
        <v>910</v>
      </c>
      <c r="B4263" s="6" t="s">
        <v>766</v>
      </c>
    </row>
    <row r="4264" ht="15.75" customHeight="1">
      <c r="A4264" s="7" t="s">
        <v>95</v>
      </c>
      <c r="B4264" s="7" t="s">
        <v>767</v>
      </c>
    </row>
    <row r="4265" ht="15.75" customHeight="1">
      <c r="A4265" s="7" t="s">
        <v>97</v>
      </c>
      <c r="B4265" s="7" t="s">
        <v>767</v>
      </c>
    </row>
    <row r="4266" ht="15.75" customHeight="1">
      <c r="A4266" s="7" t="s">
        <v>78</v>
      </c>
      <c r="B4266" s="7" t="s">
        <v>767</v>
      </c>
    </row>
    <row r="4267" ht="15.75" customHeight="1">
      <c r="A4267" s="7" t="s">
        <v>149</v>
      </c>
      <c r="B4267" s="7" t="s">
        <v>767</v>
      </c>
    </row>
    <row r="4268" ht="15.75" customHeight="1">
      <c r="A4268" s="7" t="s">
        <v>124</v>
      </c>
      <c r="B4268" s="7" t="s">
        <v>767</v>
      </c>
    </row>
    <row r="4269" ht="15.75" customHeight="1">
      <c r="A4269" s="7" t="s">
        <v>127</v>
      </c>
      <c r="B4269" s="7" t="s">
        <v>767</v>
      </c>
    </row>
    <row r="4270" ht="15.75" customHeight="1">
      <c r="A4270" s="6" t="s">
        <v>910</v>
      </c>
      <c r="B4270" s="6" t="s">
        <v>767</v>
      </c>
    </row>
    <row r="4271" ht="15.75" customHeight="1">
      <c r="A4271" s="7" t="s">
        <v>89</v>
      </c>
      <c r="B4271" s="7" t="s">
        <v>768</v>
      </c>
    </row>
    <row r="4272" ht="15.75" customHeight="1">
      <c r="A4272" s="7" t="s">
        <v>68</v>
      </c>
      <c r="B4272" s="7" t="s">
        <v>768</v>
      </c>
    </row>
    <row r="4273" ht="15.75" customHeight="1">
      <c r="A4273" s="7" t="s">
        <v>178</v>
      </c>
      <c r="B4273" s="7" t="s">
        <v>768</v>
      </c>
    </row>
    <row r="4274" ht="15.75" customHeight="1">
      <c r="A4274" s="7" t="s">
        <v>72</v>
      </c>
      <c r="B4274" s="7" t="s">
        <v>768</v>
      </c>
    </row>
    <row r="4275" ht="15.75" customHeight="1">
      <c r="A4275" s="7" t="s">
        <v>117</v>
      </c>
      <c r="B4275" s="7" t="s">
        <v>768</v>
      </c>
    </row>
    <row r="4276" ht="15.75" customHeight="1">
      <c r="A4276" s="7" t="s">
        <v>74</v>
      </c>
      <c r="B4276" s="7" t="s">
        <v>768</v>
      </c>
    </row>
    <row r="4277" ht="15.75" customHeight="1">
      <c r="A4277" s="6" t="s">
        <v>910</v>
      </c>
      <c r="B4277" s="6" t="s">
        <v>768</v>
      </c>
    </row>
    <row r="4278" ht="15.75" customHeight="1">
      <c r="A4278" s="7" t="s">
        <v>134</v>
      </c>
      <c r="B4278" s="7" t="s">
        <v>769</v>
      </c>
    </row>
    <row r="4279" ht="15.75" customHeight="1">
      <c r="A4279" s="7" t="s">
        <v>85</v>
      </c>
      <c r="B4279" s="7" t="s">
        <v>769</v>
      </c>
    </row>
    <row r="4280" ht="15.75" customHeight="1">
      <c r="A4280" s="7" t="s">
        <v>175</v>
      </c>
      <c r="B4280" s="7" t="s">
        <v>769</v>
      </c>
    </row>
    <row r="4281" ht="15.75" customHeight="1">
      <c r="A4281" s="7" t="s">
        <v>195</v>
      </c>
      <c r="B4281" s="7" t="s">
        <v>769</v>
      </c>
    </row>
    <row r="4282" ht="15.75" customHeight="1">
      <c r="A4282" s="7" t="s">
        <v>124</v>
      </c>
      <c r="B4282" s="7" t="s">
        <v>769</v>
      </c>
    </row>
    <row r="4283" ht="15.75" customHeight="1">
      <c r="A4283" s="7" t="s">
        <v>212</v>
      </c>
      <c r="B4283" s="7" t="s">
        <v>769</v>
      </c>
    </row>
    <row r="4284" ht="15.75" customHeight="1">
      <c r="A4284" s="6" t="s">
        <v>910</v>
      </c>
      <c r="B4284" s="6" t="s">
        <v>769</v>
      </c>
    </row>
    <row r="4285" ht="15.75" customHeight="1">
      <c r="A4285" s="7" t="s">
        <v>97</v>
      </c>
      <c r="B4285" s="7" t="s">
        <v>770</v>
      </c>
    </row>
    <row r="4286" ht="15.75" customHeight="1">
      <c r="A4286" s="7" t="s">
        <v>192</v>
      </c>
      <c r="B4286" s="7" t="s">
        <v>770</v>
      </c>
    </row>
    <row r="4287" ht="15.75" customHeight="1">
      <c r="A4287" s="7" t="s">
        <v>92</v>
      </c>
      <c r="B4287" s="7" t="s">
        <v>770</v>
      </c>
    </row>
    <row r="4288" ht="15.75" customHeight="1">
      <c r="A4288" s="7" t="s">
        <v>189</v>
      </c>
      <c r="B4288" s="7" t="s">
        <v>770</v>
      </c>
    </row>
    <row r="4289" ht="15.75" customHeight="1">
      <c r="A4289" s="7" t="s">
        <v>66</v>
      </c>
      <c r="B4289" s="7" t="s">
        <v>770</v>
      </c>
    </row>
    <row r="4290" ht="15.75" customHeight="1">
      <c r="A4290" s="7" t="s">
        <v>67</v>
      </c>
      <c r="B4290" s="7" t="s">
        <v>770</v>
      </c>
    </row>
    <row r="4291" ht="15.75" customHeight="1">
      <c r="A4291" s="6" t="s">
        <v>910</v>
      </c>
      <c r="B4291" s="6" t="s">
        <v>770</v>
      </c>
    </row>
    <row r="4292" ht="15.75" customHeight="1">
      <c r="A4292" s="6" t="s">
        <v>1126</v>
      </c>
      <c r="B4292" s="6" t="s">
        <v>770</v>
      </c>
    </row>
    <row r="4293" ht="15.75" customHeight="1">
      <c r="A4293" s="7" t="s">
        <v>97</v>
      </c>
      <c r="B4293" s="7" t="s">
        <v>771</v>
      </c>
    </row>
    <row r="4294" ht="15.75" customHeight="1">
      <c r="A4294" s="7" t="s">
        <v>92</v>
      </c>
      <c r="B4294" s="7" t="s">
        <v>771</v>
      </c>
    </row>
    <row r="4295" ht="15.75" customHeight="1">
      <c r="A4295" s="7" t="s">
        <v>141</v>
      </c>
      <c r="B4295" s="7" t="s">
        <v>771</v>
      </c>
    </row>
    <row r="4296" ht="15.75" customHeight="1">
      <c r="A4296" s="7" t="s">
        <v>195</v>
      </c>
      <c r="B4296" s="7" t="s">
        <v>771</v>
      </c>
    </row>
    <row r="4297" ht="15.75" customHeight="1">
      <c r="A4297" s="7" t="s">
        <v>124</v>
      </c>
      <c r="B4297" s="7" t="s">
        <v>771</v>
      </c>
    </row>
    <row r="4298" ht="15.75" customHeight="1">
      <c r="A4298" s="7" t="s">
        <v>220</v>
      </c>
      <c r="B4298" s="7" t="s">
        <v>771</v>
      </c>
    </row>
    <row r="4299" ht="15.75" customHeight="1">
      <c r="A4299" s="6" t="s">
        <v>910</v>
      </c>
      <c r="B4299" s="6" t="s">
        <v>771</v>
      </c>
    </row>
    <row r="4300" ht="15.75" customHeight="1">
      <c r="A4300" s="7" t="s">
        <v>68</v>
      </c>
      <c r="B4300" s="7" t="s">
        <v>772</v>
      </c>
    </row>
    <row r="4301" ht="15.75" customHeight="1">
      <c r="A4301" s="7" t="s">
        <v>169</v>
      </c>
      <c r="B4301" s="7" t="s">
        <v>772</v>
      </c>
    </row>
    <row r="4302" ht="15.75" customHeight="1">
      <c r="A4302" s="7" t="s">
        <v>170</v>
      </c>
      <c r="B4302" s="7" t="s">
        <v>772</v>
      </c>
    </row>
    <row r="4303" ht="15.75" customHeight="1">
      <c r="A4303" s="7" t="s">
        <v>135</v>
      </c>
      <c r="B4303" s="7" t="s">
        <v>772</v>
      </c>
    </row>
    <row r="4304" ht="15.75" customHeight="1">
      <c r="A4304" s="7" t="s">
        <v>150</v>
      </c>
      <c r="B4304" s="7" t="s">
        <v>772</v>
      </c>
    </row>
    <row r="4305" ht="15.75" customHeight="1">
      <c r="A4305" s="7" t="s">
        <v>139</v>
      </c>
      <c r="B4305" s="7" t="s">
        <v>772</v>
      </c>
    </row>
    <row r="4306" ht="15.75" customHeight="1">
      <c r="A4306" s="6" t="s">
        <v>910</v>
      </c>
      <c r="B4306" s="6" t="s">
        <v>772</v>
      </c>
    </row>
    <row r="4307" ht="15.75" customHeight="1">
      <c r="A4307" s="7" t="s">
        <v>75</v>
      </c>
      <c r="B4307" s="7" t="s">
        <v>773</v>
      </c>
    </row>
    <row r="4308" ht="15.75" customHeight="1">
      <c r="A4308" s="7" t="s">
        <v>64</v>
      </c>
      <c r="B4308" s="7" t="s">
        <v>773</v>
      </c>
    </row>
    <row r="4309" ht="15.75" customHeight="1">
      <c r="A4309" s="7" t="s">
        <v>77</v>
      </c>
      <c r="B4309" s="7" t="s">
        <v>773</v>
      </c>
    </row>
    <row r="4310" ht="15.75" customHeight="1">
      <c r="A4310" s="7" t="s">
        <v>79</v>
      </c>
      <c r="B4310" s="7" t="s">
        <v>773</v>
      </c>
    </row>
    <row r="4311" ht="15.75" customHeight="1">
      <c r="A4311" s="7" t="s">
        <v>93</v>
      </c>
      <c r="B4311" s="7" t="s">
        <v>773</v>
      </c>
    </row>
    <row r="4312" ht="15.75" customHeight="1">
      <c r="A4312" s="7" t="s">
        <v>74</v>
      </c>
      <c r="B4312" s="7" t="s">
        <v>773</v>
      </c>
    </row>
    <row r="4313" ht="15.75" customHeight="1">
      <c r="A4313" s="6" t="s">
        <v>910</v>
      </c>
      <c r="B4313" s="6" t="s">
        <v>773</v>
      </c>
    </row>
    <row r="4314" ht="15.75" customHeight="1">
      <c r="A4314" s="7" t="s">
        <v>100</v>
      </c>
      <c r="B4314" s="7" t="s">
        <v>774</v>
      </c>
    </row>
    <row r="4315" ht="15.75" customHeight="1">
      <c r="A4315" s="7" t="s">
        <v>85</v>
      </c>
      <c r="B4315" s="7" t="s">
        <v>774</v>
      </c>
    </row>
    <row r="4316" ht="15.75" customHeight="1">
      <c r="A4316" s="7" t="s">
        <v>78</v>
      </c>
      <c r="B4316" s="7" t="s">
        <v>774</v>
      </c>
    </row>
    <row r="4317" ht="15.75" customHeight="1">
      <c r="A4317" s="7" t="s">
        <v>184</v>
      </c>
      <c r="B4317" s="7" t="s">
        <v>774</v>
      </c>
    </row>
    <row r="4318" ht="15.75" customHeight="1">
      <c r="A4318" s="7" t="s">
        <v>113</v>
      </c>
      <c r="B4318" s="7" t="s">
        <v>774</v>
      </c>
    </row>
    <row r="4319" ht="15.75" customHeight="1">
      <c r="A4319" s="7" t="s">
        <v>88</v>
      </c>
      <c r="B4319" s="7" t="s">
        <v>774</v>
      </c>
    </row>
    <row r="4320" ht="15.75" customHeight="1">
      <c r="A4320" s="6" t="s">
        <v>910</v>
      </c>
      <c r="B4320" s="6" t="s">
        <v>774</v>
      </c>
    </row>
    <row r="4321" ht="15.75" customHeight="1">
      <c r="A4321" s="6" t="s">
        <v>1126</v>
      </c>
      <c r="B4321" s="6" t="s">
        <v>774</v>
      </c>
    </row>
    <row r="4322" ht="15.75" customHeight="1">
      <c r="A4322" s="7" t="s">
        <v>114</v>
      </c>
      <c r="B4322" s="7" t="s">
        <v>775</v>
      </c>
    </row>
    <row r="4323" ht="15.75" customHeight="1">
      <c r="A4323" s="7" t="s">
        <v>169</v>
      </c>
      <c r="B4323" s="7" t="s">
        <v>775</v>
      </c>
    </row>
    <row r="4324" ht="15.75" customHeight="1">
      <c r="A4324" s="7" t="s">
        <v>178</v>
      </c>
      <c r="B4324" s="7" t="s">
        <v>775</v>
      </c>
    </row>
    <row r="4325" ht="15.75" customHeight="1">
      <c r="A4325" s="7" t="s">
        <v>123</v>
      </c>
      <c r="B4325" s="7" t="s">
        <v>775</v>
      </c>
    </row>
    <row r="4326" ht="15.75" customHeight="1">
      <c r="A4326" s="7" t="s">
        <v>181</v>
      </c>
      <c r="B4326" s="7" t="s">
        <v>775</v>
      </c>
    </row>
    <row r="4327" ht="15.75" customHeight="1">
      <c r="A4327" s="7" t="s">
        <v>107</v>
      </c>
      <c r="B4327" s="7" t="s">
        <v>775</v>
      </c>
    </row>
    <row r="4328" ht="15.75" customHeight="1">
      <c r="A4328" s="6" t="s">
        <v>910</v>
      </c>
      <c r="B4328" s="6" t="s">
        <v>775</v>
      </c>
    </row>
    <row r="4329" ht="15.75" customHeight="1">
      <c r="A4329" s="7" t="s">
        <v>63</v>
      </c>
      <c r="B4329" s="7" t="s">
        <v>776</v>
      </c>
    </row>
    <row r="4330" ht="15.75" customHeight="1">
      <c r="A4330" s="7" t="s">
        <v>134</v>
      </c>
      <c r="B4330" s="7" t="s">
        <v>776</v>
      </c>
    </row>
    <row r="4331" ht="15.75" customHeight="1">
      <c r="A4331" s="7" t="s">
        <v>183</v>
      </c>
      <c r="B4331" s="7" t="s">
        <v>776</v>
      </c>
    </row>
    <row r="4332" ht="15.75" customHeight="1">
      <c r="A4332" s="7" t="s">
        <v>195</v>
      </c>
      <c r="B4332" s="7" t="s">
        <v>776</v>
      </c>
    </row>
    <row r="4333" ht="15.75" customHeight="1">
      <c r="A4333" s="7" t="s">
        <v>126</v>
      </c>
      <c r="B4333" s="7" t="s">
        <v>776</v>
      </c>
    </row>
    <row r="4334" ht="15.75" customHeight="1">
      <c r="A4334" s="7" t="s">
        <v>220</v>
      </c>
      <c r="B4334" s="7" t="s">
        <v>776</v>
      </c>
    </row>
    <row r="4335" ht="15.75" customHeight="1">
      <c r="A4335" s="6" t="s">
        <v>910</v>
      </c>
      <c r="B4335" s="6" t="s">
        <v>776</v>
      </c>
    </row>
    <row r="4336" ht="15.75" customHeight="1">
      <c r="A4336" s="7" t="s">
        <v>226</v>
      </c>
      <c r="B4336" s="7" t="s">
        <v>777</v>
      </c>
    </row>
    <row r="4337" ht="15.75" customHeight="1">
      <c r="A4337" s="7" t="s">
        <v>198</v>
      </c>
      <c r="B4337" s="7" t="s">
        <v>777</v>
      </c>
    </row>
    <row r="4338" ht="15.75" customHeight="1">
      <c r="A4338" s="7" t="s">
        <v>122</v>
      </c>
      <c r="B4338" s="7" t="s">
        <v>777</v>
      </c>
    </row>
    <row r="4339" ht="15.75" customHeight="1">
      <c r="A4339" s="7" t="s">
        <v>110</v>
      </c>
      <c r="B4339" s="7" t="s">
        <v>777</v>
      </c>
    </row>
    <row r="4340" ht="15.75" customHeight="1">
      <c r="A4340" s="7" t="s">
        <v>162</v>
      </c>
      <c r="B4340" s="7" t="s">
        <v>777</v>
      </c>
    </row>
    <row r="4341" ht="15.75" customHeight="1">
      <c r="A4341" s="7" t="s">
        <v>107</v>
      </c>
      <c r="B4341" s="7" t="s">
        <v>777</v>
      </c>
    </row>
    <row r="4342" ht="15.75" customHeight="1">
      <c r="A4342" s="6" t="s">
        <v>910</v>
      </c>
      <c r="B4342" s="6" t="s">
        <v>777</v>
      </c>
    </row>
    <row r="4343" ht="15.75" customHeight="1">
      <c r="A4343" s="7" t="s">
        <v>68</v>
      </c>
      <c r="B4343" s="7" t="s">
        <v>778</v>
      </c>
    </row>
    <row r="4344" ht="15.75" customHeight="1">
      <c r="A4344" s="7" t="s">
        <v>169</v>
      </c>
      <c r="B4344" s="7" t="s">
        <v>778</v>
      </c>
    </row>
    <row r="4345" ht="15.75" customHeight="1">
      <c r="A4345" s="7" t="s">
        <v>183</v>
      </c>
      <c r="B4345" s="7" t="s">
        <v>778</v>
      </c>
    </row>
    <row r="4346" ht="15.75" customHeight="1">
      <c r="A4346" s="7" t="s">
        <v>86</v>
      </c>
      <c r="B4346" s="7" t="s">
        <v>778</v>
      </c>
    </row>
    <row r="4347" ht="15.75" customHeight="1">
      <c r="A4347" s="7" t="s">
        <v>131</v>
      </c>
      <c r="B4347" s="7" t="s">
        <v>778</v>
      </c>
    </row>
    <row r="4348" ht="15.75" customHeight="1">
      <c r="A4348" s="7" t="s">
        <v>88</v>
      </c>
      <c r="B4348" s="7" t="s">
        <v>778</v>
      </c>
    </row>
    <row r="4349" ht="15.75" customHeight="1">
      <c r="A4349" s="6" t="s">
        <v>910</v>
      </c>
      <c r="B4349" s="6" t="s">
        <v>778</v>
      </c>
    </row>
    <row r="4350" ht="15.75" customHeight="1">
      <c r="A4350" s="7" t="s">
        <v>146</v>
      </c>
      <c r="B4350" s="7" t="s">
        <v>779</v>
      </c>
    </row>
    <row r="4351" ht="15.75" customHeight="1">
      <c r="A4351" s="7" t="s">
        <v>169</v>
      </c>
      <c r="B4351" s="7" t="s">
        <v>779</v>
      </c>
    </row>
    <row r="4352" ht="15.75" customHeight="1">
      <c r="A4352" s="7" t="s">
        <v>78</v>
      </c>
      <c r="B4352" s="7" t="s">
        <v>779</v>
      </c>
    </row>
    <row r="4353" ht="15.75" customHeight="1">
      <c r="A4353" s="7" t="s">
        <v>211</v>
      </c>
      <c r="B4353" s="7" t="s">
        <v>779</v>
      </c>
    </row>
    <row r="4354" ht="15.75" customHeight="1">
      <c r="A4354" s="7" t="s">
        <v>106</v>
      </c>
      <c r="B4354" s="7" t="s">
        <v>779</v>
      </c>
    </row>
    <row r="4355" ht="15.75" customHeight="1">
      <c r="A4355" s="7" t="s">
        <v>136</v>
      </c>
      <c r="B4355" s="7" t="s">
        <v>779</v>
      </c>
    </row>
    <row r="4356" ht="15.75" customHeight="1">
      <c r="A4356" s="6" t="s">
        <v>910</v>
      </c>
      <c r="B4356" s="6" t="s">
        <v>779</v>
      </c>
    </row>
    <row r="4357" ht="15.75" customHeight="1">
      <c r="A4357" s="7" t="s">
        <v>146</v>
      </c>
      <c r="B4357" s="7" t="s">
        <v>780</v>
      </c>
    </row>
    <row r="4358" ht="15.75" customHeight="1">
      <c r="A4358" s="7" t="s">
        <v>82</v>
      </c>
      <c r="B4358" s="7" t="s">
        <v>780</v>
      </c>
    </row>
    <row r="4359" ht="15.75" customHeight="1">
      <c r="A4359" s="7" t="s">
        <v>98</v>
      </c>
      <c r="B4359" s="7" t="s">
        <v>780</v>
      </c>
    </row>
    <row r="4360" ht="15.75" customHeight="1">
      <c r="A4360" s="7" t="s">
        <v>65</v>
      </c>
      <c r="B4360" s="7" t="s">
        <v>780</v>
      </c>
    </row>
    <row r="4361" ht="15.75" customHeight="1">
      <c r="A4361" s="7" t="s">
        <v>142</v>
      </c>
      <c r="B4361" s="7" t="s">
        <v>780</v>
      </c>
    </row>
    <row r="4362" ht="15.75" customHeight="1">
      <c r="A4362" s="7" t="s">
        <v>118</v>
      </c>
      <c r="B4362" s="7" t="s">
        <v>780</v>
      </c>
    </row>
    <row r="4363" ht="15.75" customHeight="1">
      <c r="A4363" s="6" t="s">
        <v>910</v>
      </c>
      <c r="B4363" s="6" t="s">
        <v>780</v>
      </c>
    </row>
    <row r="4364" ht="15.75" customHeight="1">
      <c r="A4364" s="7" t="s">
        <v>95</v>
      </c>
      <c r="B4364" s="7" t="s">
        <v>781</v>
      </c>
    </row>
    <row r="4365" ht="15.75" customHeight="1">
      <c r="A4365" s="7" t="s">
        <v>161</v>
      </c>
      <c r="B4365" s="7" t="s">
        <v>781</v>
      </c>
    </row>
    <row r="4366" ht="15.75" customHeight="1">
      <c r="A4366" s="7" t="s">
        <v>141</v>
      </c>
      <c r="B4366" s="7" t="s">
        <v>781</v>
      </c>
    </row>
    <row r="4367" ht="15.75" customHeight="1">
      <c r="A4367" s="7" t="s">
        <v>105</v>
      </c>
      <c r="B4367" s="7" t="s">
        <v>781</v>
      </c>
    </row>
    <row r="4368" ht="15.75" customHeight="1">
      <c r="A4368" s="7" t="s">
        <v>181</v>
      </c>
      <c r="B4368" s="7" t="s">
        <v>781</v>
      </c>
    </row>
    <row r="4369" ht="15.75" customHeight="1">
      <c r="A4369" s="7" t="s">
        <v>145</v>
      </c>
      <c r="B4369" s="7" t="s">
        <v>781</v>
      </c>
    </row>
    <row r="4370" ht="15.75" customHeight="1">
      <c r="A4370" s="6" t="s">
        <v>910</v>
      </c>
      <c r="B4370" s="6" t="s">
        <v>781</v>
      </c>
    </row>
    <row r="4371" ht="15.75" customHeight="1">
      <c r="A4371" s="7" t="s">
        <v>161</v>
      </c>
      <c r="B4371" s="7" t="s">
        <v>782</v>
      </c>
    </row>
    <row r="4372" ht="15.75" customHeight="1">
      <c r="A4372" s="7" t="s">
        <v>194</v>
      </c>
      <c r="B4372" s="7" t="s">
        <v>782</v>
      </c>
    </row>
    <row r="4373" ht="15.75" customHeight="1">
      <c r="A4373" s="7" t="s">
        <v>141</v>
      </c>
      <c r="B4373" s="7" t="s">
        <v>782</v>
      </c>
    </row>
    <row r="4374" ht="15.75" customHeight="1">
      <c r="A4374" s="7" t="s">
        <v>123</v>
      </c>
      <c r="B4374" s="7" t="s">
        <v>782</v>
      </c>
    </row>
    <row r="4375" ht="15.75" customHeight="1">
      <c r="A4375" s="7" t="s">
        <v>196</v>
      </c>
      <c r="B4375" s="7" t="s">
        <v>782</v>
      </c>
    </row>
    <row r="4376" ht="15.75" customHeight="1">
      <c r="A4376" s="7" t="s">
        <v>145</v>
      </c>
      <c r="B4376" s="7" t="s">
        <v>782</v>
      </c>
    </row>
    <row r="4377" ht="15.75" customHeight="1">
      <c r="A4377" s="6" t="s">
        <v>910</v>
      </c>
      <c r="B4377" s="6" t="s">
        <v>782</v>
      </c>
    </row>
    <row r="4378" ht="15.75" customHeight="1">
      <c r="A4378" s="7" t="s">
        <v>137</v>
      </c>
      <c r="B4378" s="7" t="s">
        <v>783</v>
      </c>
    </row>
    <row r="4379" ht="15.75" customHeight="1">
      <c r="A4379" s="7" t="s">
        <v>161</v>
      </c>
      <c r="B4379" s="7" t="s">
        <v>783</v>
      </c>
    </row>
    <row r="4380" ht="15.75" customHeight="1">
      <c r="A4380" s="7" t="s">
        <v>178</v>
      </c>
      <c r="B4380" s="7" t="s">
        <v>783</v>
      </c>
    </row>
    <row r="4381" ht="15.75" customHeight="1">
      <c r="A4381" s="7" t="s">
        <v>79</v>
      </c>
      <c r="B4381" s="7" t="s">
        <v>783</v>
      </c>
    </row>
    <row r="4382" ht="15.75" customHeight="1">
      <c r="A4382" s="7" t="s">
        <v>142</v>
      </c>
      <c r="B4382" s="7" t="s">
        <v>783</v>
      </c>
    </row>
    <row r="4383" ht="15.75" customHeight="1">
      <c r="A4383" s="7" t="s">
        <v>94</v>
      </c>
      <c r="B4383" s="7" t="s">
        <v>783</v>
      </c>
    </row>
    <row r="4384" ht="15.75" customHeight="1">
      <c r="A4384" s="6" t="s">
        <v>910</v>
      </c>
      <c r="B4384" s="6" t="s">
        <v>783</v>
      </c>
    </row>
    <row r="4385" ht="15.75" customHeight="1">
      <c r="A4385" s="7" t="s">
        <v>204</v>
      </c>
      <c r="B4385" s="7" t="s">
        <v>784</v>
      </c>
    </row>
    <row r="4386" ht="15.75" customHeight="1">
      <c r="A4386" s="7" t="s">
        <v>95</v>
      </c>
      <c r="B4386" s="7" t="s">
        <v>784</v>
      </c>
    </row>
    <row r="4387" ht="15.75" customHeight="1">
      <c r="A4387" s="7" t="s">
        <v>71</v>
      </c>
      <c r="B4387" s="7" t="s">
        <v>784</v>
      </c>
    </row>
    <row r="4388" ht="15.75" customHeight="1">
      <c r="A4388" s="7" t="s">
        <v>240</v>
      </c>
      <c r="B4388" s="7" t="s">
        <v>784</v>
      </c>
    </row>
    <row r="4389" ht="15.75" customHeight="1">
      <c r="A4389" s="7" t="s">
        <v>208</v>
      </c>
      <c r="B4389" s="7" t="s">
        <v>784</v>
      </c>
    </row>
    <row r="4390" ht="15.75" customHeight="1">
      <c r="A4390" s="7" t="s">
        <v>74</v>
      </c>
      <c r="B4390" s="7" t="s">
        <v>784</v>
      </c>
    </row>
    <row r="4391" ht="15.75" customHeight="1">
      <c r="A4391" s="7" t="s">
        <v>226</v>
      </c>
      <c r="B4391" s="7" t="s">
        <v>785</v>
      </c>
    </row>
    <row r="4392" ht="15.75" customHeight="1">
      <c r="A4392" s="7" t="s">
        <v>114</v>
      </c>
      <c r="B4392" s="7" t="s">
        <v>785</v>
      </c>
    </row>
    <row r="4393" ht="15.75" customHeight="1">
      <c r="A4393" s="7" t="s">
        <v>170</v>
      </c>
      <c r="B4393" s="7" t="s">
        <v>785</v>
      </c>
    </row>
    <row r="4394" ht="15.75" customHeight="1">
      <c r="A4394" s="7" t="s">
        <v>135</v>
      </c>
      <c r="B4394" s="7" t="s">
        <v>785</v>
      </c>
    </row>
    <row r="4395" ht="15.75" customHeight="1">
      <c r="A4395" s="7" t="s">
        <v>187</v>
      </c>
      <c r="B4395" s="7" t="s">
        <v>785</v>
      </c>
    </row>
    <row r="4396" ht="15.75" customHeight="1">
      <c r="A4396" s="7" t="s">
        <v>136</v>
      </c>
      <c r="B4396" s="7" t="s">
        <v>785</v>
      </c>
    </row>
    <row r="4397" ht="15.75" customHeight="1">
      <c r="A4397" s="6" t="s">
        <v>910</v>
      </c>
      <c r="B4397" s="6" t="s">
        <v>785</v>
      </c>
    </row>
    <row r="4398" ht="15.75" customHeight="1">
      <c r="A4398" s="7" t="s">
        <v>132</v>
      </c>
      <c r="B4398" s="7" t="s">
        <v>786</v>
      </c>
    </row>
    <row r="4399" ht="15.75" customHeight="1">
      <c r="A4399" s="7" t="s">
        <v>134</v>
      </c>
      <c r="B4399" s="7" t="s">
        <v>786</v>
      </c>
    </row>
    <row r="4400" ht="15.75" customHeight="1">
      <c r="A4400" s="7" t="s">
        <v>71</v>
      </c>
      <c r="B4400" s="7" t="s">
        <v>786</v>
      </c>
    </row>
    <row r="4401" ht="15.75" customHeight="1">
      <c r="A4401" s="7" t="s">
        <v>211</v>
      </c>
      <c r="B4401" s="7" t="s">
        <v>786</v>
      </c>
    </row>
    <row r="4402" ht="15.75" customHeight="1">
      <c r="A4402" s="7" t="s">
        <v>187</v>
      </c>
      <c r="B4402" s="7" t="s">
        <v>786</v>
      </c>
    </row>
    <row r="4403" ht="15.75" customHeight="1">
      <c r="A4403" s="7" t="s">
        <v>136</v>
      </c>
      <c r="B4403" s="7" t="s">
        <v>786</v>
      </c>
    </row>
    <row r="4404" ht="15.75" customHeight="1">
      <c r="A4404" s="6" t="s">
        <v>910</v>
      </c>
      <c r="B4404" s="6" t="s">
        <v>786</v>
      </c>
    </row>
    <row r="4405" ht="15.75" customHeight="1">
      <c r="A4405" s="7" t="s">
        <v>226</v>
      </c>
      <c r="B4405" s="7" t="s">
        <v>787</v>
      </c>
    </row>
    <row r="4406" ht="15.75" customHeight="1">
      <c r="A4406" s="7" t="s">
        <v>198</v>
      </c>
      <c r="B4406" s="7" t="s">
        <v>787</v>
      </c>
    </row>
    <row r="4407" ht="15.75" customHeight="1">
      <c r="A4407" s="7" t="s">
        <v>156</v>
      </c>
      <c r="B4407" s="7" t="s">
        <v>787</v>
      </c>
    </row>
    <row r="4408" ht="15.75" customHeight="1">
      <c r="A4408" s="7" t="s">
        <v>189</v>
      </c>
      <c r="B4408" s="7" t="s">
        <v>787</v>
      </c>
    </row>
    <row r="4409" ht="15.75" customHeight="1">
      <c r="A4409" s="7" t="s">
        <v>73</v>
      </c>
      <c r="B4409" s="7" t="s">
        <v>787</v>
      </c>
    </row>
    <row r="4410" ht="15.75" customHeight="1">
      <c r="A4410" s="7" t="s">
        <v>118</v>
      </c>
      <c r="B4410" s="7" t="s">
        <v>787</v>
      </c>
    </row>
    <row r="4411" ht="15.75" customHeight="1">
      <c r="A4411" s="6" t="s">
        <v>910</v>
      </c>
      <c r="B4411" s="6" t="s">
        <v>787</v>
      </c>
    </row>
    <row r="4412" ht="15.75" customHeight="1">
      <c r="A4412" s="7" t="s">
        <v>82</v>
      </c>
      <c r="B4412" s="7" t="s">
        <v>788</v>
      </c>
    </row>
    <row r="4413" ht="15.75" customHeight="1">
      <c r="A4413" s="7" t="s">
        <v>68</v>
      </c>
      <c r="B4413" s="7" t="s">
        <v>788</v>
      </c>
    </row>
    <row r="4414" ht="15.75" customHeight="1">
      <c r="A4414" s="7" t="s">
        <v>78</v>
      </c>
      <c r="B4414" s="7" t="s">
        <v>788</v>
      </c>
    </row>
    <row r="4415" ht="15.75" customHeight="1">
      <c r="A4415" s="7" t="s">
        <v>149</v>
      </c>
      <c r="B4415" s="7" t="s">
        <v>788</v>
      </c>
    </row>
    <row r="4416" ht="15.75" customHeight="1">
      <c r="A4416" s="7" t="s">
        <v>124</v>
      </c>
      <c r="B4416" s="7" t="s">
        <v>788</v>
      </c>
    </row>
    <row r="4417" ht="15.75" customHeight="1">
      <c r="A4417" s="7" t="s">
        <v>171</v>
      </c>
      <c r="B4417" s="7" t="s">
        <v>788</v>
      </c>
    </row>
    <row r="4418" ht="15.75" customHeight="1">
      <c r="A4418" s="6" t="s">
        <v>910</v>
      </c>
      <c r="B4418" s="6" t="s">
        <v>788</v>
      </c>
    </row>
    <row r="4419" ht="15.75" customHeight="1">
      <c r="A4419" s="7" t="s">
        <v>89</v>
      </c>
      <c r="B4419" s="7" t="s">
        <v>789</v>
      </c>
    </row>
    <row r="4420" ht="15.75" customHeight="1">
      <c r="A4420" s="7" t="s">
        <v>68</v>
      </c>
      <c r="B4420" s="7" t="s">
        <v>789</v>
      </c>
    </row>
    <row r="4421" ht="15.75" customHeight="1">
      <c r="A4421" s="7" t="s">
        <v>84</v>
      </c>
      <c r="B4421" s="7" t="s">
        <v>789</v>
      </c>
    </row>
    <row r="4422" ht="15.75" customHeight="1">
      <c r="A4422" s="7" t="s">
        <v>149</v>
      </c>
      <c r="B4422" s="7" t="s">
        <v>789</v>
      </c>
    </row>
    <row r="4423" ht="15.75" customHeight="1">
      <c r="A4423" s="7" t="s">
        <v>222</v>
      </c>
      <c r="B4423" s="7" t="s">
        <v>789</v>
      </c>
    </row>
    <row r="4424" ht="15.75" customHeight="1">
      <c r="A4424" s="7" t="s">
        <v>171</v>
      </c>
      <c r="B4424" s="7" t="s">
        <v>789</v>
      </c>
    </row>
    <row r="4425" ht="15.75" customHeight="1">
      <c r="A4425" s="6" t="s">
        <v>910</v>
      </c>
      <c r="B4425" s="6" t="s">
        <v>789</v>
      </c>
    </row>
    <row r="4426" ht="15.75" customHeight="1">
      <c r="A4426" s="7" t="s">
        <v>159</v>
      </c>
      <c r="B4426" s="7" t="s">
        <v>790</v>
      </c>
    </row>
    <row r="4427" ht="15.75" customHeight="1">
      <c r="A4427" s="7" t="s">
        <v>97</v>
      </c>
      <c r="B4427" s="7" t="s">
        <v>790</v>
      </c>
    </row>
    <row r="4428" ht="15.75" customHeight="1">
      <c r="A4428" s="7" t="s">
        <v>104</v>
      </c>
      <c r="B4428" s="7" t="s">
        <v>790</v>
      </c>
    </row>
    <row r="4429" ht="15.75" customHeight="1">
      <c r="A4429" s="7" t="s">
        <v>176</v>
      </c>
      <c r="B4429" s="7" t="s">
        <v>790</v>
      </c>
    </row>
    <row r="4430" ht="15.75" customHeight="1">
      <c r="A4430" s="7" t="s">
        <v>187</v>
      </c>
      <c r="B4430" s="7" t="s">
        <v>790</v>
      </c>
    </row>
    <row r="4431" ht="15.75" customHeight="1">
      <c r="A4431" s="7" t="s">
        <v>107</v>
      </c>
      <c r="B4431" s="7" t="s">
        <v>790</v>
      </c>
    </row>
    <row r="4432" ht="15.75" customHeight="1">
      <c r="A4432" s="6" t="s">
        <v>910</v>
      </c>
      <c r="B4432" s="6" t="s">
        <v>790</v>
      </c>
    </row>
    <row r="4433" ht="15.75" customHeight="1">
      <c r="A4433" s="7" t="s">
        <v>75</v>
      </c>
      <c r="B4433" s="7" t="s">
        <v>791</v>
      </c>
    </row>
    <row r="4434" ht="15.75" customHeight="1">
      <c r="A4434" s="7" t="s">
        <v>153</v>
      </c>
      <c r="B4434" s="7" t="s">
        <v>791</v>
      </c>
    </row>
    <row r="4435" ht="15.75" customHeight="1">
      <c r="A4435" s="7" t="s">
        <v>104</v>
      </c>
      <c r="B4435" s="7" t="s">
        <v>791</v>
      </c>
    </row>
    <row r="4436" ht="15.75" customHeight="1">
      <c r="A4436" s="7" t="s">
        <v>189</v>
      </c>
      <c r="B4436" s="7" t="s">
        <v>791</v>
      </c>
    </row>
    <row r="4437" ht="15.75" customHeight="1">
      <c r="A4437" s="7" t="s">
        <v>117</v>
      </c>
      <c r="B4437" s="7" t="s">
        <v>791</v>
      </c>
    </row>
    <row r="4438" ht="15.75" customHeight="1">
      <c r="A4438" s="7" t="s">
        <v>185</v>
      </c>
      <c r="B4438" s="7" t="s">
        <v>791</v>
      </c>
    </row>
    <row r="4439" ht="15.75" customHeight="1">
      <c r="A4439" s="6" t="s">
        <v>910</v>
      </c>
      <c r="B4439" s="6" t="s">
        <v>791</v>
      </c>
    </row>
    <row r="4440" ht="15.75" customHeight="1">
      <c r="A4440" s="7" t="s">
        <v>173</v>
      </c>
      <c r="B4440" s="7" t="s">
        <v>792</v>
      </c>
    </row>
    <row r="4441" ht="15.75" customHeight="1">
      <c r="A4441" s="7" t="s">
        <v>109</v>
      </c>
      <c r="B4441" s="7" t="s">
        <v>792</v>
      </c>
    </row>
    <row r="4442" ht="15.75" customHeight="1">
      <c r="A4442" s="7" t="s">
        <v>71</v>
      </c>
      <c r="B4442" s="7" t="s">
        <v>792</v>
      </c>
    </row>
    <row r="4443" ht="15.75" customHeight="1">
      <c r="A4443" s="7" t="s">
        <v>166</v>
      </c>
      <c r="B4443" s="7" t="s">
        <v>792</v>
      </c>
    </row>
    <row r="4444" ht="15.75" customHeight="1">
      <c r="A4444" s="7" t="s">
        <v>196</v>
      </c>
      <c r="B4444" s="7" t="s">
        <v>792</v>
      </c>
    </row>
    <row r="4445" ht="15.75" customHeight="1">
      <c r="A4445" s="7" t="s">
        <v>136</v>
      </c>
      <c r="B4445" s="7" t="s">
        <v>792</v>
      </c>
    </row>
    <row r="4446" ht="15.75" customHeight="1">
      <c r="A4446" s="6" t="s">
        <v>910</v>
      </c>
      <c r="B4446" s="6" t="s">
        <v>792</v>
      </c>
    </row>
    <row r="4447" ht="15.75" customHeight="1">
      <c r="A4447" s="7" t="s">
        <v>97</v>
      </c>
      <c r="B4447" s="7" t="s">
        <v>793</v>
      </c>
    </row>
    <row r="4448" ht="15.75" customHeight="1">
      <c r="A4448" s="7" t="s">
        <v>215</v>
      </c>
      <c r="B4448" s="7" t="s">
        <v>793</v>
      </c>
    </row>
    <row r="4449" ht="15.75" customHeight="1">
      <c r="A4449" s="7" t="s">
        <v>92</v>
      </c>
      <c r="B4449" s="7" t="s">
        <v>793</v>
      </c>
    </row>
    <row r="4450" ht="15.75" customHeight="1">
      <c r="A4450" s="7" t="s">
        <v>99</v>
      </c>
      <c r="B4450" s="7" t="s">
        <v>793</v>
      </c>
    </row>
    <row r="4451" ht="15.75" customHeight="1">
      <c r="A4451" s="7" t="s">
        <v>113</v>
      </c>
      <c r="B4451" s="7" t="s">
        <v>793</v>
      </c>
    </row>
    <row r="4452" ht="15.75" customHeight="1">
      <c r="A4452" s="7" t="s">
        <v>81</v>
      </c>
      <c r="B4452" s="7" t="s">
        <v>793</v>
      </c>
    </row>
    <row r="4453" ht="15.75" customHeight="1">
      <c r="A4453" s="6" t="s">
        <v>910</v>
      </c>
      <c r="B4453" s="6" t="s">
        <v>793</v>
      </c>
    </row>
    <row r="4454" ht="15.75" customHeight="1">
      <c r="A4454" s="6" t="s">
        <v>1126</v>
      </c>
      <c r="B4454" s="6" t="s">
        <v>793</v>
      </c>
    </row>
    <row r="4455" ht="15.75" customHeight="1">
      <c r="A4455" s="6" t="s">
        <v>910</v>
      </c>
      <c r="B4455" s="6" t="s">
        <v>2893</v>
      </c>
    </row>
    <row r="4456" ht="15.75" customHeight="1">
      <c r="A4456" s="7" t="s">
        <v>100</v>
      </c>
      <c r="B4456" s="7" t="s">
        <v>794</v>
      </c>
    </row>
    <row r="4457" ht="15.75" customHeight="1">
      <c r="A4457" s="7" t="s">
        <v>159</v>
      </c>
      <c r="B4457" s="7" t="s">
        <v>794</v>
      </c>
    </row>
    <row r="4458" ht="15.75" customHeight="1">
      <c r="A4458" s="7" t="s">
        <v>104</v>
      </c>
      <c r="B4458" s="7" t="s">
        <v>794</v>
      </c>
    </row>
    <row r="4459" ht="15.75" customHeight="1">
      <c r="A4459" s="7" t="s">
        <v>135</v>
      </c>
      <c r="B4459" s="7" t="s">
        <v>794</v>
      </c>
    </row>
    <row r="4460" ht="15.75" customHeight="1">
      <c r="A4460" s="7" t="s">
        <v>162</v>
      </c>
      <c r="B4460" s="7" t="s">
        <v>794</v>
      </c>
    </row>
    <row r="4461" ht="15.75" customHeight="1">
      <c r="A4461" s="7" t="s">
        <v>212</v>
      </c>
      <c r="B4461" s="7" t="s">
        <v>794</v>
      </c>
    </row>
    <row r="4462" ht="15.75" customHeight="1">
      <c r="A4462" s="6" t="s">
        <v>910</v>
      </c>
      <c r="B4462" s="6" t="s">
        <v>794</v>
      </c>
    </row>
    <row r="4463" ht="15.75" customHeight="1">
      <c r="A4463" s="7" t="s">
        <v>132</v>
      </c>
      <c r="B4463" s="7" t="s">
        <v>795</v>
      </c>
    </row>
    <row r="4464" ht="15.75" customHeight="1">
      <c r="A4464" s="7" t="s">
        <v>134</v>
      </c>
      <c r="B4464" s="7" t="s">
        <v>795</v>
      </c>
    </row>
    <row r="4465" ht="15.75" customHeight="1">
      <c r="A4465" s="7" t="s">
        <v>175</v>
      </c>
      <c r="B4465" s="7" t="s">
        <v>795</v>
      </c>
    </row>
    <row r="4466" ht="15.75" customHeight="1">
      <c r="A4466" s="7" t="s">
        <v>123</v>
      </c>
      <c r="B4466" s="7" t="s">
        <v>795</v>
      </c>
    </row>
    <row r="4467" ht="15.75" customHeight="1">
      <c r="A4467" s="7" t="s">
        <v>164</v>
      </c>
      <c r="B4467" s="7" t="s">
        <v>795</v>
      </c>
    </row>
    <row r="4468" ht="15.75" customHeight="1">
      <c r="A4468" s="7" t="s">
        <v>111</v>
      </c>
      <c r="B4468" s="7" t="s">
        <v>795</v>
      </c>
    </row>
    <row r="4469" ht="15.75" customHeight="1">
      <c r="A4469" s="6" t="s">
        <v>910</v>
      </c>
      <c r="B4469" s="6" t="s">
        <v>795</v>
      </c>
    </row>
    <row r="4470" ht="15.75" customHeight="1">
      <c r="A4470" s="7" t="s">
        <v>68</v>
      </c>
      <c r="B4470" s="7" t="s">
        <v>796</v>
      </c>
    </row>
    <row r="4471" ht="15.75" customHeight="1">
      <c r="A4471" s="7" t="s">
        <v>148</v>
      </c>
      <c r="B4471" s="7" t="s">
        <v>796</v>
      </c>
    </row>
    <row r="4472" ht="15.75" customHeight="1">
      <c r="A4472" s="7" t="s">
        <v>120</v>
      </c>
      <c r="B4472" s="7" t="s">
        <v>796</v>
      </c>
    </row>
    <row r="4473" ht="15.75" customHeight="1">
      <c r="A4473" s="7" t="s">
        <v>189</v>
      </c>
      <c r="B4473" s="7" t="s">
        <v>796</v>
      </c>
    </row>
    <row r="4474" ht="15.75" customHeight="1">
      <c r="A4474" s="7" t="s">
        <v>131</v>
      </c>
      <c r="B4474" s="7" t="s">
        <v>796</v>
      </c>
    </row>
    <row r="4475" ht="15.75" customHeight="1">
      <c r="A4475" s="7" t="s">
        <v>118</v>
      </c>
      <c r="B4475" s="7" t="s">
        <v>796</v>
      </c>
    </row>
    <row r="4476" ht="15.75" customHeight="1">
      <c r="A4476" s="6" t="s">
        <v>910</v>
      </c>
      <c r="B4476" s="6" t="s">
        <v>796</v>
      </c>
    </row>
    <row r="4477" ht="15.75" customHeight="1">
      <c r="A4477" s="7" t="s">
        <v>100</v>
      </c>
      <c r="B4477" s="7" t="s">
        <v>797</v>
      </c>
    </row>
    <row r="4478" ht="15.75" customHeight="1">
      <c r="A4478" s="7" t="s">
        <v>194</v>
      </c>
      <c r="B4478" s="7" t="s">
        <v>797</v>
      </c>
    </row>
    <row r="4479" ht="15.75" customHeight="1">
      <c r="A4479" s="7" t="s">
        <v>104</v>
      </c>
      <c r="B4479" s="7" t="s">
        <v>797</v>
      </c>
    </row>
    <row r="4480" ht="15.75" customHeight="1">
      <c r="A4480" s="7" t="s">
        <v>105</v>
      </c>
      <c r="B4480" s="7" t="s">
        <v>797</v>
      </c>
    </row>
    <row r="4481" ht="15.75" customHeight="1">
      <c r="A4481" s="7" t="s">
        <v>106</v>
      </c>
      <c r="B4481" s="7" t="s">
        <v>797</v>
      </c>
    </row>
    <row r="4482" ht="15.75" customHeight="1">
      <c r="A4482" s="7" t="s">
        <v>111</v>
      </c>
      <c r="B4482" s="7" t="s">
        <v>797</v>
      </c>
    </row>
    <row r="4483" ht="15.75" customHeight="1">
      <c r="A4483" s="6" t="s">
        <v>910</v>
      </c>
      <c r="B4483" s="6" t="s">
        <v>797</v>
      </c>
    </row>
    <row r="4484" ht="15.75" customHeight="1">
      <c r="A4484" s="7" t="s">
        <v>146</v>
      </c>
      <c r="B4484" s="7" t="s">
        <v>798</v>
      </c>
    </row>
    <row r="4485" ht="15.75" customHeight="1">
      <c r="A4485" s="7" t="s">
        <v>169</v>
      </c>
      <c r="B4485" s="7" t="s">
        <v>798</v>
      </c>
    </row>
    <row r="4486" ht="15.75" customHeight="1">
      <c r="A4486" s="7" t="s">
        <v>170</v>
      </c>
      <c r="B4486" s="7" t="s">
        <v>798</v>
      </c>
    </row>
    <row r="4487" ht="15.75" customHeight="1">
      <c r="A4487" s="7" t="s">
        <v>240</v>
      </c>
      <c r="B4487" s="7" t="s">
        <v>798</v>
      </c>
    </row>
    <row r="4488" ht="15.75" customHeight="1">
      <c r="A4488" s="7" t="s">
        <v>131</v>
      </c>
      <c r="B4488" s="7" t="s">
        <v>798</v>
      </c>
    </row>
    <row r="4489" ht="15.75" customHeight="1">
      <c r="A4489" s="7" t="s">
        <v>94</v>
      </c>
      <c r="B4489" s="7" t="s">
        <v>798</v>
      </c>
    </row>
    <row r="4490" ht="15.75" customHeight="1">
      <c r="A4490" s="6" t="s">
        <v>910</v>
      </c>
      <c r="B4490" s="6" t="s">
        <v>798</v>
      </c>
    </row>
    <row r="4491" ht="15.75" customHeight="1">
      <c r="A4491" s="7" t="s">
        <v>134</v>
      </c>
      <c r="B4491" s="7" t="s">
        <v>799</v>
      </c>
    </row>
    <row r="4492" ht="15.75" customHeight="1">
      <c r="A4492" s="7" t="s">
        <v>92</v>
      </c>
      <c r="B4492" s="7" t="s">
        <v>799</v>
      </c>
    </row>
    <row r="4493" ht="15.75" customHeight="1">
      <c r="A4493" s="7" t="s">
        <v>178</v>
      </c>
      <c r="B4493" s="7" t="s">
        <v>799</v>
      </c>
    </row>
    <row r="4494" ht="15.75" customHeight="1">
      <c r="A4494" s="7" t="s">
        <v>195</v>
      </c>
      <c r="B4494" s="7" t="s">
        <v>799</v>
      </c>
    </row>
    <row r="4495" ht="15.75" customHeight="1">
      <c r="A4495" s="7" t="s">
        <v>196</v>
      </c>
      <c r="B4495" s="7" t="s">
        <v>799</v>
      </c>
    </row>
    <row r="4496" ht="15.75" customHeight="1">
      <c r="A4496" s="7" t="s">
        <v>220</v>
      </c>
      <c r="B4496" s="7" t="s">
        <v>799</v>
      </c>
    </row>
    <row r="4497" ht="15.75" customHeight="1">
      <c r="A4497" s="6" t="s">
        <v>910</v>
      </c>
      <c r="B4497" s="6" t="s">
        <v>799</v>
      </c>
    </row>
    <row r="4498" ht="15.75" customHeight="1">
      <c r="A4498" s="7" t="s">
        <v>82</v>
      </c>
      <c r="B4498" s="7" t="s">
        <v>800</v>
      </c>
    </row>
    <row r="4499" ht="15.75" customHeight="1">
      <c r="A4499" s="7" t="s">
        <v>68</v>
      </c>
      <c r="B4499" s="7" t="s">
        <v>800</v>
      </c>
    </row>
    <row r="4500" ht="15.75" customHeight="1">
      <c r="A4500" s="7" t="s">
        <v>120</v>
      </c>
      <c r="B4500" s="7" t="s">
        <v>800</v>
      </c>
    </row>
    <row r="4501" ht="15.75" customHeight="1">
      <c r="A4501" s="7" t="s">
        <v>79</v>
      </c>
      <c r="B4501" s="7" t="s">
        <v>800</v>
      </c>
    </row>
    <row r="4502" ht="15.75" customHeight="1">
      <c r="A4502" s="7" t="s">
        <v>131</v>
      </c>
      <c r="B4502" s="7" t="s">
        <v>800</v>
      </c>
    </row>
    <row r="4503" ht="15.75" customHeight="1">
      <c r="A4503" s="7" t="s">
        <v>241</v>
      </c>
      <c r="B4503" s="7" t="s">
        <v>800</v>
      </c>
    </row>
    <row r="4504" ht="15.75" customHeight="1">
      <c r="A4504" s="7" t="s">
        <v>148</v>
      </c>
      <c r="B4504" s="7" t="s">
        <v>801</v>
      </c>
    </row>
    <row r="4505" ht="15.75" customHeight="1">
      <c r="A4505" s="7" t="s">
        <v>192</v>
      </c>
      <c r="B4505" s="7" t="s">
        <v>801</v>
      </c>
    </row>
    <row r="4506" ht="15.75" customHeight="1">
      <c r="A4506" s="7" t="s">
        <v>109</v>
      </c>
      <c r="B4506" s="7" t="s">
        <v>801</v>
      </c>
    </row>
    <row r="4507" ht="15.75" customHeight="1">
      <c r="A4507" s="7" t="s">
        <v>116</v>
      </c>
      <c r="B4507" s="7" t="s">
        <v>801</v>
      </c>
    </row>
    <row r="4508" ht="15.75" customHeight="1">
      <c r="A4508" s="7" t="s">
        <v>66</v>
      </c>
      <c r="B4508" s="7" t="s">
        <v>801</v>
      </c>
    </row>
    <row r="4509" ht="15.75" customHeight="1">
      <c r="A4509" s="7" t="s">
        <v>88</v>
      </c>
      <c r="B4509" s="7" t="s">
        <v>801</v>
      </c>
    </row>
    <row r="4510" ht="15.75" customHeight="1">
      <c r="A4510" s="6" t="s">
        <v>910</v>
      </c>
      <c r="B4510" s="6" t="s">
        <v>801</v>
      </c>
    </row>
    <row r="4511" ht="15.75" customHeight="1">
      <c r="A4511" s="6" t="s">
        <v>1126</v>
      </c>
      <c r="B4511" s="6" t="s">
        <v>801</v>
      </c>
    </row>
    <row r="4512" ht="15.75" customHeight="1">
      <c r="A4512" s="7" t="s">
        <v>61</v>
      </c>
      <c r="B4512" s="7" t="s">
        <v>802</v>
      </c>
    </row>
    <row r="4513" ht="15.75" customHeight="1">
      <c r="A4513" s="7" t="s">
        <v>91</v>
      </c>
      <c r="B4513" s="7" t="s">
        <v>802</v>
      </c>
    </row>
    <row r="4514" ht="15.75" customHeight="1">
      <c r="A4514" s="7" t="s">
        <v>92</v>
      </c>
      <c r="B4514" s="7" t="s">
        <v>802</v>
      </c>
    </row>
    <row r="4515" ht="15.75" customHeight="1">
      <c r="A4515" s="7" t="s">
        <v>86</v>
      </c>
      <c r="B4515" s="7" t="s">
        <v>802</v>
      </c>
    </row>
    <row r="4516" ht="15.75" customHeight="1">
      <c r="A4516" s="7" t="s">
        <v>113</v>
      </c>
      <c r="B4516" s="7" t="s">
        <v>802</v>
      </c>
    </row>
    <row r="4517" ht="15.75" customHeight="1">
      <c r="A4517" s="7" t="s">
        <v>88</v>
      </c>
      <c r="B4517" s="7" t="s">
        <v>802</v>
      </c>
    </row>
    <row r="4518" ht="15.75" customHeight="1">
      <c r="A4518" s="6" t="s">
        <v>910</v>
      </c>
      <c r="B4518" s="6" t="s">
        <v>802</v>
      </c>
    </row>
    <row r="4519" ht="15.75" customHeight="1">
      <c r="A4519" s="6" t="s">
        <v>1126</v>
      </c>
      <c r="B4519" s="6" t="s">
        <v>802</v>
      </c>
    </row>
    <row r="4520" ht="15.75" customHeight="1">
      <c r="A4520" s="7" t="s">
        <v>61</v>
      </c>
      <c r="B4520" s="7" t="s">
        <v>803</v>
      </c>
    </row>
    <row r="4521" ht="15.75" customHeight="1">
      <c r="A4521" s="7" t="s">
        <v>85</v>
      </c>
      <c r="B4521" s="7" t="s">
        <v>803</v>
      </c>
    </row>
    <row r="4522" ht="15.75" customHeight="1">
      <c r="A4522" s="7" t="s">
        <v>120</v>
      </c>
      <c r="B4522" s="7" t="s">
        <v>803</v>
      </c>
    </row>
    <row r="4523" ht="15.75" customHeight="1">
      <c r="A4523" s="7" t="s">
        <v>79</v>
      </c>
      <c r="B4523" s="7" t="s">
        <v>803</v>
      </c>
    </row>
    <row r="4524" ht="15.75" customHeight="1">
      <c r="A4524" s="7" t="s">
        <v>87</v>
      </c>
      <c r="B4524" s="7" t="s">
        <v>803</v>
      </c>
    </row>
    <row r="4525" ht="15.75" customHeight="1">
      <c r="A4525" s="7" t="s">
        <v>81</v>
      </c>
      <c r="B4525" s="7" t="s">
        <v>803</v>
      </c>
    </row>
    <row r="4526" ht="15.75" customHeight="1">
      <c r="A4526" s="6" t="s">
        <v>910</v>
      </c>
      <c r="B4526" s="6" t="s">
        <v>803</v>
      </c>
    </row>
    <row r="4527" ht="15.75" customHeight="1">
      <c r="A4527" s="6" t="s">
        <v>1126</v>
      </c>
      <c r="B4527" s="6" t="s">
        <v>803</v>
      </c>
    </row>
    <row r="4528" ht="15.75" customHeight="1">
      <c r="A4528" s="7" t="s">
        <v>63</v>
      </c>
      <c r="B4528" s="7" t="s">
        <v>804</v>
      </c>
    </row>
    <row r="4529" ht="15.75" customHeight="1">
      <c r="A4529" s="7" t="s">
        <v>100</v>
      </c>
      <c r="B4529" s="7" t="s">
        <v>804</v>
      </c>
    </row>
    <row r="4530" ht="15.75" customHeight="1">
      <c r="A4530" s="7" t="s">
        <v>104</v>
      </c>
      <c r="B4530" s="7" t="s">
        <v>804</v>
      </c>
    </row>
    <row r="4531" ht="15.75" customHeight="1">
      <c r="A4531" s="7" t="s">
        <v>110</v>
      </c>
      <c r="B4531" s="7" t="s">
        <v>804</v>
      </c>
    </row>
    <row r="4532" ht="15.75" customHeight="1">
      <c r="A4532" s="7" t="s">
        <v>187</v>
      </c>
      <c r="B4532" s="7" t="s">
        <v>804</v>
      </c>
    </row>
    <row r="4533" ht="15.75" customHeight="1">
      <c r="A4533" s="7" t="s">
        <v>127</v>
      </c>
      <c r="B4533" s="7" t="s">
        <v>804</v>
      </c>
    </row>
    <row r="4534" ht="15.75" customHeight="1">
      <c r="A4534" s="6" t="s">
        <v>910</v>
      </c>
      <c r="B4534" s="6" t="s">
        <v>804</v>
      </c>
    </row>
    <row r="4535" ht="15.75" customHeight="1">
      <c r="A4535" s="7" t="s">
        <v>114</v>
      </c>
      <c r="B4535" s="7" t="s">
        <v>805</v>
      </c>
    </row>
    <row r="4536" ht="15.75" customHeight="1">
      <c r="A4536" s="7" t="s">
        <v>169</v>
      </c>
      <c r="B4536" s="7" t="s">
        <v>805</v>
      </c>
    </row>
    <row r="4537" ht="15.75" customHeight="1">
      <c r="A4537" s="7" t="s">
        <v>183</v>
      </c>
      <c r="B4537" s="7" t="s">
        <v>805</v>
      </c>
    </row>
    <row r="4538" ht="15.75" customHeight="1">
      <c r="A4538" s="7" t="s">
        <v>240</v>
      </c>
      <c r="B4538" s="7" t="s">
        <v>805</v>
      </c>
    </row>
    <row r="4539" ht="15.75" customHeight="1">
      <c r="A4539" s="7" t="s">
        <v>117</v>
      </c>
      <c r="B4539" s="7" t="s">
        <v>805</v>
      </c>
    </row>
    <row r="4540" ht="15.75" customHeight="1">
      <c r="A4540" s="7" t="s">
        <v>94</v>
      </c>
      <c r="B4540" s="7" t="s">
        <v>805</v>
      </c>
    </row>
    <row r="4541" ht="15.75" customHeight="1">
      <c r="A4541" s="6" t="s">
        <v>910</v>
      </c>
      <c r="B4541" s="6" t="s">
        <v>805</v>
      </c>
    </row>
    <row r="4542" ht="15.75" customHeight="1">
      <c r="A4542" s="7" t="s">
        <v>70</v>
      </c>
      <c r="B4542" s="7" t="s">
        <v>806</v>
      </c>
    </row>
    <row r="4543" ht="15.75" customHeight="1">
      <c r="A4543" s="7" t="s">
        <v>92</v>
      </c>
      <c r="B4543" s="7" t="s">
        <v>806</v>
      </c>
    </row>
    <row r="4544" ht="15.75" customHeight="1">
      <c r="A4544" s="7" t="s">
        <v>104</v>
      </c>
      <c r="B4544" s="7" t="s">
        <v>806</v>
      </c>
    </row>
    <row r="4545" ht="15.75" customHeight="1">
      <c r="A4545" s="7" t="s">
        <v>189</v>
      </c>
      <c r="B4545" s="7" t="s">
        <v>806</v>
      </c>
    </row>
    <row r="4546" ht="15.75" customHeight="1">
      <c r="A4546" s="7" t="s">
        <v>93</v>
      </c>
      <c r="B4546" s="7" t="s">
        <v>806</v>
      </c>
    </row>
    <row r="4547" ht="15.75" customHeight="1">
      <c r="A4547" s="7" t="s">
        <v>118</v>
      </c>
      <c r="B4547" s="7" t="s">
        <v>806</v>
      </c>
    </row>
    <row r="4548" ht="15.75" customHeight="1">
      <c r="A4548" s="6" t="s">
        <v>910</v>
      </c>
      <c r="B4548" s="6" t="s">
        <v>806</v>
      </c>
    </row>
    <row r="4549" ht="15.75" customHeight="1">
      <c r="A4549" s="7" t="s">
        <v>97</v>
      </c>
      <c r="B4549" s="7" t="s">
        <v>807</v>
      </c>
    </row>
    <row r="4550" ht="15.75" customHeight="1">
      <c r="A4550" s="7" t="s">
        <v>109</v>
      </c>
      <c r="B4550" s="7" t="s">
        <v>807</v>
      </c>
    </row>
    <row r="4551" ht="15.75" customHeight="1">
      <c r="A4551" s="7" t="s">
        <v>104</v>
      </c>
      <c r="B4551" s="7" t="s">
        <v>807</v>
      </c>
    </row>
    <row r="4552" ht="15.75" customHeight="1">
      <c r="A4552" s="7" t="s">
        <v>72</v>
      </c>
      <c r="B4552" s="7" t="s">
        <v>807</v>
      </c>
    </row>
    <row r="4553" ht="15.75" customHeight="1">
      <c r="A4553" s="7" t="s">
        <v>131</v>
      </c>
      <c r="B4553" s="7" t="s">
        <v>807</v>
      </c>
    </row>
    <row r="4554" ht="15.75" customHeight="1">
      <c r="A4554" s="7" t="s">
        <v>81</v>
      </c>
      <c r="B4554" s="7" t="s">
        <v>807</v>
      </c>
    </row>
    <row r="4555" ht="15.75" customHeight="1">
      <c r="A4555" s="6" t="s">
        <v>910</v>
      </c>
      <c r="B4555" s="6" t="s">
        <v>807</v>
      </c>
    </row>
    <row r="4556" ht="15.75" customHeight="1">
      <c r="A4556" s="7" t="s">
        <v>137</v>
      </c>
      <c r="B4556" s="7" t="s">
        <v>808</v>
      </c>
    </row>
    <row r="4557" ht="15.75" customHeight="1">
      <c r="A4557" s="7" t="s">
        <v>97</v>
      </c>
      <c r="B4557" s="7" t="s">
        <v>808</v>
      </c>
    </row>
    <row r="4558" ht="15.75" customHeight="1">
      <c r="A4558" s="7" t="s">
        <v>64</v>
      </c>
      <c r="B4558" s="7" t="s">
        <v>808</v>
      </c>
    </row>
    <row r="4559" ht="15.75" customHeight="1">
      <c r="A4559" s="7" t="s">
        <v>65</v>
      </c>
      <c r="B4559" s="7" t="s">
        <v>808</v>
      </c>
    </row>
    <row r="4560" ht="15.75" customHeight="1">
      <c r="A4560" s="7" t="s">
        <v>80</v>
      </c>
      <c r="B4560" s="7" t="s">
        <v>808</v>
      </c>
    </row>
    <row r="4561" ht="15.75" customHeight="1">
      <c r="A4561" s="7" t="s">
        <v>67</v>
      </c>
      <c r="B4561" s="7" t="s">
        <v>808</v>
      </c>
    </row>
    <row r="4562" ht="15.75" customHeight="1">
      <c r="A4562" s="6" t="s">
        <v>910</v>
      </c>
      <c r="B4562" s="6" t="s">
        <v>808</v>
      </c>
    </row>
    <row r="4563" ht="15.75" customHeight="1">
      <c r="A4563" s="6" t="s">
        <v>1126</v>
      </c>
      <c r="B4563" s="6" t="s">
        <v>808</v>
      </c>
    </row>
    <row r="4564" ht="15.75" customHeight="1">
      <c r="A4564" s="7" t="s">
        <v>75</v>
      </c>
      <c r="B4564" s="7" t="s">
        <v>809</v>
      </c>
    </row>
    <row r="4565" ht="15.75" customHeight="1">
      <c r="A4565" s="7" t="s">
        <v>64</v>
      </c>
      <c r="B4565" s="7" t="s">
        <v>809</v>
      </c>
    </row>
    <row r="4566" ht="15.75" customHeight="1">
      <c r="A4566" s="7" t="s">
        <v>156</v>
      </c>
      <c r="B4566" s="7" t="s">
        <v>809</v>
      </c>
    </row>
    <row r="4567" ht="15.75" customHeight="1">
      <c r="A4567" s="7" t="s">
        <v>157</v>
      </c>
      <c r="B4567" s="7" t="s">
        <v>809</v>
      </c>
    </row>
    <row r="4568" ht="15.75" customHeight="1">
      <c r="A4568" s="7" t="s">
        <v>164</v>
      </c>
      <c r="B4568" s="7" t="s">
        <v>809</v>
      </c>
    </row>
    <row r="4569" ht="15.75" customHeight="1">
      <c r="A4569" s="7" t="s">
        <v>107</v>
      </c>
      <c r="B4569" s="7" t="s">
        <v>809</v>
      </c>
    </row>
    <row r="4570" ht="15.75" customHeight="1">
      <c r="A4570" s="7" t="s">
        <v>190</v>
      </c>
      <c r="B4570" s="7" t="s">
        <v>810</v>
      </c>
    </row>
    <row r="4571" ht="15.75" customHeight="1">
      <c r="A4571" s="7" t="s">
        <v>156</v>
      </c>
      <c r="B4571" s="7" t="s">
        <v>810</v>
      </c>
    </row>
    <row r="4572" ht="15.75" customHeight="1">
      <c r="A4572" s="7" t="s">
        <v>78</v>
      </c>
      <c r="B4572" s="7" t="s">
        <v>810</v>
      </c>
    </row>
    <row r="4573" ht="15.75" customHeight="1">
      <c r="A4573" s="7" t="s">
        <v>157</v>
      </c>
      <c r="B4573" s="7" t="s">
        <v>810</v>
      </c>
    </row>
    <row r="4574" ht="15.75" customHeight="1">
      <c r="A4574" s="7" t="s">
        <v>196</v>
      </c>
      <c r="B4574" s="7" t="s">
        <v>810</v>
      </c>
    </row>
    <row r="4575" ht="15.75" customHeight="1">
      <c r="A4575" s="7" t="s">
        <v>145</v>
      </c>
      <c r="B4575" s="7" t="s">
        <v>810</v>
      </c>
    </row>
    <row r="4576" ht="15.75" customHeight="1">
      <c r="A4576" s="6" t="s">
        <v>910</v>
      </c>
      <c r="B4576" s="6" t="s">
        <v>810</v>
      </c>
    </row>
    <row r="4577" ht="15.75" customHeight="1">
      <c r="A4577" s="7" t="s">
        <v>97</v>
      </c>
      <c r="B4577" s="7" t="s">
        <v>811</v>
      </c>
    </row>
    <row r="4578" ht="15.75" customHeight="1">
      <c r="A4578" s="7" t="s">
        <v>91</v>
      </c>
      <c r="B4578" s="7" t="s">
        <v>811</v>
      </c>
    </row>
    <row r="4579" ht="15.75" customHeight="1">
      <c r="A4579" s="7" t="s">
        <v>92</v>
      </c>
      <c r="B4579" s="7" t="s">
        <v>811</v>
      </c>
    </row>
    <row r="4580" ht="15.75" customHeight="1">
      <c r="A4580" s="7" t="s">
        <v>65</v>
      </c>
      <c r="B4580" s="7" t="s">
        <v>811</v>
      </c>
    </row>
    <row r="4581" ht="15.75" customHeight="1">
      <c r="A4581" s="7" t="s">
        <v>113</v>
      </c>
      <c r="B4581" s="7" t="s">
        <v>811</v>
      </c>
    </row>
    <row r="4582" ht="15.75" customHeight="1">
      <c r="A4582" s="7" t="s">
        <v>88</v>
      </c>
      <c r="B4582" s="7" t="s">
        <v>811</v>
      </c>
    </row>
    <row r="4583" ht="15.75" customHeight="1">
      <c r="A4583" s="6" t="s">
        <v>910</v>
      </c>
      <c r="B4583" s="6" t="s">
        <v>811</v>
      </c>
    </row>
    <row r="4584" ht="15.75" customHeight="1">
      <c r="A4584" s="6" t="s">
        <v>1126</v>
      </c>
      <c r="B4584" s="6" t="s">
        <v>811</v>
      </c>
    </row>
    <row r="4585" ht="15.75" customHeight="1">
      <c r="A4585" s="7" t="s">
        <v>82</v>
      </c>
      <c r="B4585" s="7" t="s">
        <v>812</v>
      </c>
    </row>
    <row r="4586" ht="15.75" customHeight="1">
      <c r="A4586" s="7" t="s">
        <v>122</v>
      </c>
      <c r="B4586" s="7" t="s">
        <v>812</v>
      </c>
    </row>
    <row r="4587" ht="15.75" customHeight="1">
      <c r="A4587" s="7" t="s">
        <v>78</v>
      </c>
      <c r="B4587" s="7" t="s">
        <v>812</v>
      </c>
    </row>
    <row r="4588" ht="15.75" customHeight="1">
      <c r="A4588" s="7" t="s">
        <v>207</v>
      </c>
      <c r="B4588" s="7" t="s">
        <v>812</v>
      </c>
    </row>
    <row r="4589" ht="15.75" customHeight="1">
      <c r="A4589" s="7" t="s">
        <v>131</v>
      </c>
      <c r="B4589" s="7" t="s">
        <v>812</v>
      </c>
    </row>
    <row r="4590" ht="15.75" customHeight="1">
      <c r="A4590" s="7" t="s">
        <v>118</v>
      </c>
      <c r="B4590" s="7" t="s">
        <v>812</v>
      </c>
    </row>
    <row r="4591" ht="15.75" customHeight="1">
      <c r="A4591" s="6" t="s">
        <v>910</v>
      </c>
      <c r="B4591" s="6" t="s">
        <v>812</v>
      </c>
    </row>
    <row r="4592" ht="15.75" customHeight="1">
      <c r="A4592" s="7" t="s">
        <v>114</v>
      </c>
      <c r="B4592" s="7" t="s">
        <v>813</v>
      </c>
    </row>
    <row r="4593" ht="15.75" customHeight="1">
      <c r="A4593" s="7" t="s">
        <v>70</v>
      </c>
      <c r="B4593" s="7" t="s">
        <v>813</v>
      </c>
    </row>
    <row r="4594" ht="15.75" customHeight="1">
      <c r="A4594" s="7" t="s">
        <v>120</v>
      </c>
      <c r="B4594" s="7" t="s">
        <v>813</v>
      </c>
    </row>
    <row r="4595" ht="15.75" customHeight="1">
      <c r="A4595" s="7" t="s">
        <v>240</v>
      </c>
      <c r="B4595" s="7" t="s">
        <v>813</v>
      </c>
    </row>
    <row r="4596" ht="15.75" customHeight="1">
      <c r="A4596" s="7" t="s">
        <v>117</v>
      </c>
      <c r="B4596" s="7" t="s">
        <v>813</v>
      </c>
    </row>
    <row r="4597" ht="15.75" customHeight="1">
      <c r="A4597" s="7" t="s">
        <v>81</v>
      </c>
      <c r="B4597" s="7" t="s">
        <v>813</v>
      </c>
    </row>
    <row r="4598" ht="15.75" customHeight="1">
      <c r="A4598" s="6" t="s">
        <v>910</v>
      </c>
      <c r="B4598" s="6" t="s">
        <v>813</v>
      </c>
    </row>
    <row r="4599" ht="15.75" customHeight="1">
      <c r="A4599" s="7" t="s">
        <v>95</v>
      </c>
      <c r="B4599" s="7" t="s">
        <v>814</v>
      </c>
    </row>
    <row r="4600" ht="15.75" customHeight="1">
      <c r="A4600" s="7" t="s">
        <v>97</v>
      </c>
      <c r="B4600" s="7" t="s">
        <v>814</v>
      </c>
    </row>
    <row r="4601" ht="15.75" customHeight="1">
      <c r="A4601" s="7" t="s">
        <v>183</v>
      </c>
      <c r="B4601" s="7" t="s">
        <v>814</v>
      </c>
    </row>
    <row r="4602" ht="15.75" customHeight="1">
      <c r="A4602" s="7" t="s">
        <v>105</v>
      </c>
      <c r="B4602" s="7" t="s">
        <v>814</v>
      </c>
    </row>
    <row r="4603" ht="15.75" customHeight="1">
      <c r="A4603" s="7" t="s">
        <v>222</v>
      </c>
      <c r="B4603" s="7" t="s">
        <v>814</v>
      </c>
    </row>
    <row r="4604" ht="15.75" customHeight="1">
      <c r="A4604" s="7" t="s">
        <v>107</v>
      </c>
      <c r="B4604" s="7" t="s">
        <v>814</v>
      </c>
    </row>
    <row r="4605" ht="15.75" customHeight="1">
      <c r="A4605" s="6" t="s">
        <v>910</v>
      </c>
      <c r="B4605" s="6" t="s">
        <v>814</v>
      </c>
    </row>
    <row r="4606" ht="15.75" customHeight="1">
      <c r="A4606" s="7" t="s">
        <v>169</v>
      </c>
      <c r="B4606" s="7" t="s">
        <v>815</v>
      </c>
    </row>
    <row r="4607" ht="15.75" customHeight="1">
      <c r="A4607" s="7" t="s">
        <v>109</v>
      </c>
      <c r="B4607" s="7" t="s">
        <v>815</v>
      </c>
    </row>
    <row r="4608" ht="15.75" customHeight="1">
      <c r="A4608" s="7" t="s">
        <v>71</v>
      </c>
      <c r="B4608" s="7" t="s">
        <v>815</v>
      </c>
    </row>
    <row r="4609" ht="15.75" customHeight="1">
      <c r="A4609" s="7" t="s">
        <v>99</v>
      </c>
      <c r="B4609" s="7" t="s">
        <v>815</v>
      </c>
    </row>
    <row r="4610" ht="15.75" customHeight="1">
      <c r="A4610" s="7" t="s">
        <v>131</v>
      </c>
      <c r="B4610" s="7" t="s">
        <v>815</v>
      </c>
    </row>
    <row r="4611" ht="15.75" customHeight="1">
      <c r="A4611" s="7" t="s">
        <v>241</v>
      </c>
      <c r="B4611" s="7" t="s">
        <v>815</v>
      </c>
    </row>
    <row r="4612" ht="15.75" customHeight="1">
      <c r="A4612" s="6" t="s">
        <v>910</v>
      </c>
      <c r="B4612" s="6" t="s">
        <v>815</v>
      </c>
    </row>
    <row r="4613" ht="15.75" customHeight="1">
      <c r="A4613" s="7" t="s">
        <v>75</v>
      </c>
      <c r="B4613" s="7" t="s">
        <v>816</v>
      </c>
    </row>
    <row r="4614" ht="15.75" customHeight="1">
      <c r="A4614" s="7" t="s">
        <v>98</v>
      </c>
      <c r="B4614" s="7" t="s">
        <v>816</v>
      </c>
    </row>
    <row r="4615" ht="15.75" customHeight="1">
      <c r="A4615" s="7" t="s">
        <v>77</v>
      </c>
      <c r="B4615" s="7" t="s">
        <v>816</v>
      </c>
    </row>
    <row r="4616" ht="15.75" customHeight="1">
      <c r="A4616" s="7" t="s">
        <v>105</v>
      </c>
      <c r="B4616" s="7" t="s">
        <v>816</v>
      </c>
    </row>
    <row r="4617" ht="15.75" customHeight="1">
      <c r="A4617" s="7" t="s">
        <v>181</v>
      </c>
      <c r="B4617" s="7" t="s">
        <v>816</v>
      </c>
    </row>
    <row r="4618" ht="15.75" customHeight="1">
      <c r="A4618" s="7" t="s">
        <v>111</v>
      </c>
      <c r="B4618" s="7" t="s">
        <v>816</v>
      </c>
    </row>
    <row r="4619" ht="15.75" customHeight="1">
      <c r="A4619" s="6" t="s">
        <v>910</v>
      </c>
      <c r="B4619" s="6" t="s">
        <v>816</v>
      </c>
    </row>
    <row r="4620" ht="15.75" customHeight="1">
      <c r="A4620" s="7" t="s">
        <v>137</v>
      </c>
      <c r="B4620" s="7" t="s">
        <v>817</v>
      </c>
    </row>
    <row r="4621" ht="15.75" customHeight="1">
      <c r="A4621" s="7" t="s">
        <v>161</v>
      </c>
      <c r="B4621" s="7" t="s">
        <v>817</v>
      </c>
    </row>
    <row r="4622" ht="15.75" customHeight="1">
      <c r="A4622" s="7" t="s">
        <v>192</v>
      </c>
      <c r="B4622" s="7" t="s">
        <v>817</v>
      </c>
    </row>
    <row r="4623" ht="15.75" customHeight="1">
      <c r="A4623" s="7" t="s">
        <v>240</v>
      </c>
      <c r="B4623" s="7" t="s">
        <v>817</v>
      </c>
    </row>
    <row r="4624" ht="15.75" customHeight="1">
      <c r="A4624" s="7" t="s">
        <v>87</v>
      </c>
      <c r="B4624" s="7" t="s">
        <v>817</v>
      </c>
    </row>
    <row r="4625" ht="15.75" customHeight="1">
      <c r="A4625" s="7" t="s">
        <v>94</v>
      </c>
      <c r="B4625" s="7" t="s">
        <v>817</v>
      </c>
    </row>
    <row r="4626" ht="15.75" customHeight="1">
      <c r="A4626" s="6" t="s">
        <v>910</v>
      </c>
      <c r="B4626" s="6" t="s">
        <v>817</v>
      </c>
    </row>
    <row r="4627" ht="15.75" customHeight="1">
      <c r="A4627" s="6" t="s">
        <v>1126</v>
      </c>
      <c r="B4627" s="6" t="s">
        <v>817</v>
      </c>
    </row>
    <row r="4628" ht="15.75" customHeight="1">
      <c r="A4628" s="7" t="s">
        <v>161</v>
      </c>
      <c r="B4628" s="7" t="s">
        <v>818</v>
      </c>
    </row>
    <row r="4629" ht="15.75" customHeight="1">
      <c r="A4629" s="7" t="s">
        <v>156</v>
      </c>
      <c r="B4629" s="7" t="s">
        <v>818</v>
      </c>
    </row>
    <row r="4630" ht="15.75" customHeight="1">
      <c r="A4630" s="7" t="s">
        <v>175</v>
      </c>
      <c r="B4630" s="7" t="s">
        <v>818</v>
      </c>
    </row>
    <row r="4631" ht="15.75" customHeight="1">
      <c r="A4631" s="7" t="s">
        <v>195</v>
      </c>
      <c r="B4631" s="7" t="s">
        <v>818</v>
      </c>
    </row>
    <row r="4632" ht="15.75" customHeight="1">
      <c r="A4632" s="7" t="s">
        <v>124</v>
      </c>
      <c r="B4632" s="7" t="s">
        <v>818</v>
      </c>
    </row>
    <row r="4633" ht="15.75" customHeight="1">
      <c r="A4633" s="7" t="s">
        <v>220</v>
      </c>
      <c r="B4633" s="7" t="s">
        <v>818</v>
      </c>
    </row>
    <row r="4634" ht="15.75" customHeight="1">
      <c r="A4634" s="6" t="s">
        <v>910</v>
      </c>
      <c r="B4634" s="6" t="s">
        <v>818</v>
      </c>
    </row>
    <row r="4635" ht="15.75" customHeight="1">
      <c r="A4635" s="7" t="s">
        <v>204</v>
      </c>
      <c r="B4635" s="7" t="s">
        <v>819</v>
      </c>
    </row>
    <row r="4636" ht="15.75" customHeight="1">
      <c r="A4636" s="7" t="s">
        <v>215</v>
      </c>
      <c r="B4636" s="7" t="s">
        <v>819</v>
      </c>
    </row>
    <row r="4637" ht="15.75" customHeight="1">
      <c r="A4637" s="7" t="s">
        <v>92</v>
      </c>
      <c r="B4637" s="7" t="s">
        <v>819</v>
      </c>
    </row>
    <row r="4638" ht="15.75" customHeight="1">
      <c r="A4638" s="7" t="s">
        <v>184</v>
      </c>
      <c r="B4638" s="7" t="s">
        <v>819</v>
      </c>
    </row>
    <row r="4639" ht="15.75" customHeight="1">
      <c r="A4639" s="7" t="s">
        <v>113</v>
      </c>
      <c r="B4639" s="7" t="s">
        <v>819</v>
      </c>
    </row>
    <row r="4640" ht="15.75" customHeight="1">
      <c r="A4640" s="7" t="s">
        <v>185</v>
      </c>
      <c r="B4640" s="7" t="s">
        <v>819</v>
      </c>
    </row>
    <row r="4641" ht="15.75" customHeight="1">
      <c r="A4641" s="6" t="s">
        <v>910</v>
      </c>
      <c r="B4641" s="6" t="s">
        <v>819</v>
      </c>
    </row>
    <row r="4642" ht="15.75" customHeight="1">
      <c r="A4642" s="6" t="s">
        <v>1126</v>
      </c>
      <c r="B4642" s="6" t="s">
        <v>819</v>
      </c>
    </row>
    <row r="4643" ht="15.75" customHeight="1">
      <c r="A4643" s="7" t="s">
        <v>70</v>
      </c>
      <c r="B4643" s="7" t="s">
        <v>820</v>
      </c>
    </row>
    <row r="4644" ht="15.75" customHeight="1">
      <c r="A4644" s="7" t="s">
        <v>122</v>
      </c>
      <c r="B4644" s="7" t="s">
        <v>820</v>
      </c>
    </row>
    <row r="4645" ht="15.75" customHeight="1">
      <c r="A4645" s="7" t="s">
        <v>78</v>
      </c>
      <c r="B4645" s="7" t="s">
        <v>820</v>
      </c>
    </row>
    <row r="4646" ht="15.75" customHeight="1">
      <c r="A4646" s="7" t="s">
        <v>110</v>
      </c>
      <c r="B4646" s="7" t="s">
        <v>820</v>
      </c>
    </row>
    <row r="4647" ht="15.75" customHeight="1">
      <c r="A4647" s="7" t="s">
        <v>150</v>
      </c>
      <c r="B4647" s="7" t="s">
        <v>820</v>
      </c>
    </row>
    <row r="4648" ht="15.75" customHeight="1">
      <c r="A4648" s="7" t="s">
        <v>145</v>
      </c>
      <c r="B4648" s="7" t="s">
        <v>820</v>
      </c>
    </row>
    <row r="4649" ht="15.75" customHeight="1">
      <c r="A4649" s="6" t="s">
        <v>910</v>
      </c>
      <c r="B4649" s="6" t="s">
        <v>820</v>
      </c>
    </row>
    <row r="4650" ht="15.75" customHeight="1">
      <c r="A4650" s="7" t="s">
        <v>114</v>
      </c>
      <c r="B4650" s="7" t="s">
        <v>821</v>
      </c>
    </row>
    <row r="4651" ht="15.75" customHeight="1">
      <c r="A4651" s="7" t="s">
        <v>75</v>
      </c>
      <c r="B4651" s="7" t="s">
        <v>821</v>
      </c>
    </row>
    <row r="4652" ht="15.75" customHeight="1">
      <c r="A4652" s="7" t="s">
        <v>98</v>
      </c>
      <c r="B4652" s="7" t="s">
        <v>821</v>
      </c>
    </row>
    <row r="4653" ht="15.75" customHeight="1">
      <c r="A4653" s="7" t="s">
        <v>65</v>
      </c>
      <c r="B4653" s="7" t="s">
        <v>821</v>
      </c>
    </row>
    <row r="4654" ht="15.75" customHeight="1">
      <c r="A4654" s="7" t="s">
        <v>131</v>
      </c>
      <c r="B4654" s="7" t="s">
        <v>821</v>
      </c>
    </row>
    <row r="4655" ht="15.75" customHeight="1">
      <c r="A4655" s="7" t="s">
        <v>118</v>
      </c>
      <c r="B4655" s="7" t="s">
        <v>821</v>
      </c>
    </row>
    <row r="4656" ht="15.75" customHeight="1">
      <c r="A4656" s="6" t="s">
        <v>910</v>
      </c>
      <c r="B4656" s="6" t="s">
        <v>821</v>
      </c>
    </row>
    <row r="4657" ht="15.75" customHeight="1">
      <c r="A4657" s="7" t="s">
        <v>97</v>
      </c>
      <c r="B4657" s="7" t="s">
        <v>822</v>
      </c>
    </row>
    <row r="4658" ht="15.75" customHeight="1">
      <c r="A4658" s="7" t="s">
        <v>153</v>
      </c>
      <c r="B4658" s="7" t="s">
        <v>822</v>
      </c>
    </row>
    <row r="4659" ht="15.75" customHeight="1">
      <c r="A4659" s="7" t="s">
        <v>104</v>
      </c>
      <c r="B4659" s="7" t="s">
        <v>822</v>
      </c>
    </row>
    <row r="4660" ht="15.75" customHeight="1">
      <c r="A4660" s="7" t="s">
        <v>176</v>
      </c>
      <c r="B4660" s="7" t="s">
        <v>822</v>
      </c>
    </row>
    <row r="4661" ht="15.75" customHeight="1">
      <c r="A4661" s="7" t="s">
        <v>196</v>
      </c>
      <c r="B4661" s="7" t="s">
        <v>822</v>
      </c>
    </row>
    <row r="4662" ht="15.75" customHeight="1">
      <c r="A4662" s="7" t="s">
        <v>107</v>
      </c>
      <c r="B4662" s="7" t="s">
        <v>822</v>
      </c>
    </row>
    <row r="4663" ht="15.75" customHeight="1">
      <c r="A4663" s="6" t="s">
        <v>910</v>
      </c>
      <c r="B4663" s="6" t="s">
        <v>822</v>
      </c>
    </row>
    <row r="4664" ht="15.75" customHeight="1">
      <c r="A4664" s="7" t="s">
        <v>89</v>
      </c>
      <c r="B4664" s="7" t="s">
        <v>823</v>
      </c>
    </row>
    <row r="4665" ht="15.75" customHeight="1">
      <c r="A4665" s="7" t="s">
        <v>109</v>
      </c>
      <c r="B4665" s="7" t="s">
        <v>823</v>
      </c>
    </row>
    <row r="4666" ht="15.75" customHeight="1">
      <c r="A4666" s="7" t="s">
        <v>71</v>
      </c>
      <c r="B4666" s="7" t="s">
        <v>823</v>
      </c>
    </row>
    <row r="4667" ht="15.75" customHeight="1">
      <c r="A4667" s="7" t="s">
        <v>99</v>
      </c>
      <c r="B4667" s="7" t="s">
        <v>823</v>
      </c>
    </row>
    <row r="4668" ht="15.75" customHeight="1">
      <c r="A4668" s="7" t="s">
        <v>131</v>
      </c>
      <c r="B4668" s="7" t="s">
        <v>823</v>
      </c>
    </row>
    <row r="4669" ht="15.75" customHeight="1">
      <c r="A4669" s="7" t="s">
        <v>241</v>
      </c>
      <c r="B4669" s="7" t="s">
        <v>823</v>
      </c>
    </row>
    <row r="4670" ht="15.75" customHeight="1">
      <c r="A4670" s="6" t="s">
        <v>910</v>
      </c>
      <c r="B4670" s="6" t="s">
        <v>823</v>
      </c>
    </row>
    <row r="4671" ht="15.75" customHeight="1">
      <c r="A4671" s="7" t="s">
        <v>70</v>
      </c>
      <c r="B4671" s="7" t="s">
        <v>824</v>
      </c>
    </row>
    <row r="4672" ht="15.75" customHeight="1">
      <c r="A4672" s="7" t="s">
        <v>92</v>
      </c>
      <c r="B4672" s="7" t="s">
        <v>824</v>
      </c>
    </row>
    <row r="4673" ht="15.75" customHeight="1">
      <c r="A4673" s="7" t="s">
        <v>141</v>
      </c>
      <c r="B4673" s="7" t="s">
        <v>824</v>
      </c>
    </row>
    <row r="4674" ht="15.75" customHeight="1">
      <c r="A4674" s="7" t="s">
        <v>207</v>
      </c>
      <c r="B4674" s="7" t="s">
        <v>824</v>
      </c>
    </row>
    <row r="4675" ht="15.75" customHeight="1">
      <c r="A4675" s="7" t="s">
        <v>117</v>
      </c>
      <c r="B4675" s="7" t="s">
        <v>824</v>
      </c>
    </row>
    <row r="4676" ht="15.75" customHeight="1">
      <c r="A4676" s="7" t="s">
        <v>88</v>
      </c>
      <c r="B4676" s="7" t="s">
        <v>824</v>
      </c>
    </row>
    <row r="4677" ht="15.75" customHeight="1">
      <c r="A4677" s="6" t="s">
        <v>910</v>
      </c>
      <c r="B4677" s="6" t="s">
        <v>824</v>
      </c>
    </row>
    <row r="4678" ht="15.75" customHeight="1">
      <c r="A4678" s="7" t="s">
        <v>75</v>
      </c>
      <c r="B4678" s="7" t="s">
        <v>825</v>
      </c>
    </row>
    <row r="4679" ht="15.75" customHeight="1">
      <c r="A4679" s="7" t="s">
        <v>194</v>
      </c>
      <c r="B4679" s="7" t="s">
        <v>825</v>
      </c>
    </row>
    <row r="4680" ht="15.75" customHeight="1">
      <c r="A4680" s="7" t="s">
        <v>104</v>
      </c>
      <c r="B4680" s="7" t="s">
        <v>825</v>
      </c>
    </row>
    <row r="4681" ht="15.75" customHeight="1">
      <c r="A4681" s="7" t="s">
        <v>135</v>
      </c>
      <c r="B4681" s="7" t="s">
        <v>825</v>
      </c>
    </row>
    <row r="4682" ht="15.75" customHeight="1">
      <c r="A4682" s="7" t="s">
        <v>187</v>
      </c>
      <c r="B4682" s="7" t="s">
        <v>825</v>
      </c>
    </row>
    <row r="4683" ht="15.75" customHeight="1">
      <c r="A4683" s="7" t="s">
        <v>139</v>
      </c>
      <c r="B4683" s="7" t="s">
        <v>825</v>
      </c>
    </row>
    <row r="4684" ht="15.75" customHeight="1">
      <c r="A4684" s="7" t="s">
        <v>70</v>
      </c>
      <c r="B4684" s="7" t="s">
        <v>826</v>
      </c>
    </row>
    <row r="4685" ht="15.75" customHeight="1">
      <c r="A4685" s="7" t="s">
        <v>77</v>
      </c>
      <c r="B4685" s="7" t="s">
        <v>826</v>
      </c>
    </row>
    <row r="4686" ht="15.75" customHeight="1">
      <c r="A4686" s="7" t="s">
        <v>78</v>
      </c>
      <c r="B4686" s="7" t="s">
        <v>826</v>
      </c>
    </row>
    <row r="4687" ht="15.75" customHeight="1">
      <c r="A4687" s="7" t="s">
        <v>149</v>
      </c>
      <c r="B4687" s="7" t="s">
        <v>826</v>
      </c>
    </row>
    <row r="4688" ht="15.75" customHeight="1">
      <c r="A4688" s="7" t="s">
        <v>222</v>
      </c>
      <c r="B4688" s="7" t="s">
        <v>826</v>
      </c>
    </row>
    <row r="4689" ht="15.75" customHeight="1">
      <c r="A4689" s="7" t="s">
        <v>127</v>
      </c>
      <c r="B4689" s="7" t="s">
        <v>826</v>
      </c>
    </row>
    <row r="4690" ht="15.75" customHeight="1">
      <c r="A4690" s="6" t="s">
        <v>910</v>
      </c>
      <c r="B4690" s="6" t="s">
        <v>826</v>
      </c>
    </row>
    <row r="4691" ht="15.75" customHeight="1">
      <c r="A4691" s="6" t="s">
        <v>936</v>
      </c>
      <c r="B4691" s="6" t="s">
        <v>1132</v>
      </c>
    </row>
    <row r="4692" ht="15.75" customHeight="1">
      <c r="A4692" s="6" t="s">
        <v>936</v>
      </c>
      <c r="B4692" s="6" t="s">
        <v>2083</v>
      </c>
    </row>
    <row r="4693" ht="15.75" customHeight="1">
      <c r="A4693" s="6" t="s">
        <v>936</v>
      </c>
      <c r="B4693" s="6" t="s">
        <v>2080</v>
      </c>
    </row>
    <row r="4694" ht="15.75" customHeight="1">
      <c r="A4694" s="6" t="s">
        <v>936</v>
      </c>
      <c r="B4694" s="6" t="s">
        <v>1121</v>
      </c>
    </row>
    <row r="4695" ht="15.75" customHeight="1">
      <c r="A4695" s="7"/>
      <c r="B4695" s="7"/>
    </row>
    <row r="4696" ht="15.75" customHeight="1">
      <c r="A4696" s="7"/>
      <c r="B4696" s="7"/>
    </row>
    <row r="4697" ht="15.75" customHeight="1">
      <c r="A4697" s="7"/>
      <c r="B4697" s="7"/>
    </row>
    <row r="4698" ht="15.75" customHeight="1">
      <c r="A4698" s="7"/>
      <c r="B4698" s="7"/>
    </row>
    <row r="4699" ht="15.75" customHeight="1">
      <c r="A4699" s="7"/>
      <c r="B4699" s="7"/>
    </row>
    <row r="4700" ht="15.75" customHeight="1">
      <c r="A4700" s="7"/>
      <c r="B4700" s="7"/>
    </row>
    <row r="4701" ht="15.75" customHeight="1">
      <c r="A4701" s="7"/>
      <c r="B4701" s="7"/>
    </row>
    <row r="4702" ht="15.75" customHeight="1">
      <c r="A4702" s="7"/>
      <c r="B4702" s="7"/>
    </row>
    <row r="4703" ht="15.75" customHeight="1">
      <c r="A4703" s="7"/>
      <c r="B4703" s="7"/>
    </row>
    <row r="4704" ht="15.75" customHeight="1">
      <c r="A4704" s="7"/>
      <c r="B4704" s="7"/>
    </row>
    <row r="4705" ht="15.75" customHeight="1">
      <c r="A4705" s="7"/>
      <c r="B4705" s="7"/>
    </row>
    <row r="4706" ht="15.75" customHeight="1">
      <c r="A4706" s="7"/>
      <c r="B4706" s="7"/>
    </row>
    <row r="4707" ht="15.75" customHeight="1">
      <c r="A4707" s="7"/>
      <c r="B4707" s="7"/>
    </row>
    <row r="4708" ht="15.75" customHeight="1">
      <c r="A4708" s="7"/>
      <c r="B4708" s="7"/>
    </row>
    <row r="4709" ht="15.75" customHeight="1">
      <c r="A4709" s="7"/>
      <c r="B4709" s="7"/>
    </row>
    <row r="4710" ht="15.75" customHeight="1">
      <c r="A4710" s="7"/>
      <c r="B4710" s="7"/>
    </row>
    <row r="4711" ht="15.75" customHeight="1">
      <c r="A4711" s="7"/>
      <c r="B4711" s="7"/>
    </row>
    <row r="4712" ht="15.75" customHeight="1">
      <c r="A4712" s="7"/>
      <c r="B4712" s="7"/>
    </row>
    <row r="4713" ht="15.75" customHeight="1">
      <c r="A4713" s="7"/>
      <c r="B4713" s="7"/>
    </row>
    <row r="4714" ht="15.75" customHeight="1">
      <c r="A4714" s="7"/>
      <c r="B4714" s="7"/>
    </row>
    <row r="4715" ht="15.75" customHeight="1">
      <c r="A4715" s="7"/>
      <c r="B4715" s="7"/>
    </row>
    <row r="4716" ht="15.75" customHeight="1">
      <c r="A4716" s="7"/>
      <c r="B4716" s="7"/>
    </row>
    <row r="4717" ht="15.75" customHeight="1">
      <c r="A4717" s="7"/>
      <c r="B4717" s="7"/>
    </row>
    <row r="4718" ht="15.75" customHeight="1">
      <c r="A4718" s="7"/>
      <c r="B4718" s="7"/>
    </row>
    <row r="4719" ht="15.75" customHeight="1">
      <c r="A4719" s="7"/>
      <c r="B4719" s="7"/>
    </row>
    <row r="4720" ht="15.75" customHeight="1">
      <c r="A4720" s="7"/>
      <c r="B4720" s="7"/>
    </row>
    <row r="4721" ht="15.75" customHeight="1">
      <c r="A4721" s="7"/>
      <c r="B4721" s="7"/>
    </row>
    <row r="4722" ht="15.75" customHeight="1">
      <c r="A4722" s="7"/>
      <c r="B4722" s="7"/>
    </row>
    <row r="4723" ht="15.75" customHeight="1">
      <c r="A4723" s="7"/>
      <c r="B4723" s="7"/>
    </row>
    <row r="4724" ht="15.75" customHeight="1">
      <c r="A4724" s="7"/>
      <c r="B4724" s="7"/>
    </row>
    <row r="4725" ht="15.75" customHeight="1">
      <c r="A4725" s="7"/>
      <c r="B4725" s="7"/>
    </row>
    <row r="4726" ht="15.75" customHeight="1">
      <c r="A4726" s="7"/>
      <c r="B4726" s="7"/>
    </row>
    <row r="4727" ht="15.75" customHeight="1">
      <c r="A4727" s="7"/>
      <c r="B4727" s="7"/>
    </row>
    <row r="4728" ht="15.75" customHeight="1">
      <c r="A4728" s="7"/>
      <c r="B4728" s="7"/>
    </row>
    <row r="4729" ht="15.75" customHeight="1">
      <c r="A4729" s="7"/>
      <c r="B4729" s="7"/>
    </row>
    <row r="4730" ht="15.75" customHeight="1">
      <c r="A4730" s="7"/>
      <c r="B4730" s="7"/>
    </row>
    <row r="4731" ht="15.75" customHeight="1">
      <c r="A4731" s="7"/>
      <c r="B4731" s="7"/>
    </row>
    <row r="4732" ht="15.75" customHeight="1">
      <c r="A4732" s="7"/>
      <c r="B4732" s="7"/>
    </row>
    <row r="4733" ht="15.75" customHeight="1">
      <c r="A4733" s="7"/>
      <c r="B4733" s="7"/>
    </row>
    <row r="4734" ht="15.75" customHeight="1">
      <c r="A4734" s="7"/>
      <c r="B4734" s="7"/>
    </row>
    <row r="4735" ht="15.75" customHeight="1">
      <c r="A4735" s="7"/>
      <c r="B4735" s="7"/>
    </row>
    <row r="4736" ht="15.75" customHeight="1">
      <c r="A4736" s="7"/>
      <c r="B4736" s="7"/>
    </row>
    <row r="4737" ht="15.75" customHeight="1">
      <c r="A4737" s="7"/>
      <c r="B4737" s="7"/>
    </row>
    <row r="4738" ht="15.75" customHeight="1">
      <c r="A4738" s="7"/>
      <c r="B4738" s="7"/>
    </row>
    <row r="4739" ht="15.75" customHeight="1">
      <c r="A4739" s="7"/>
      <c r="B4739" s="7"/>
    </row>
    <row r="4740" ht="15.75" customHeight="1">
      <c r="A4740" s="7"/>
      <c r="B4740" s="7"/>
    </row>
    <row r="4741" ht="15.75" customHeight="1">
      <c r="A4741" s="7"/>
      <c r="B4741" s="7"/>
    </row>
    <row r="4742" ht="15.75" customHeight="1">
      <c r="A4742" s="7"/>
      <c r="B4742" s="7"/>
    </row>
    <row r="4743" ht="15.75" customHeight="1">
      <c r="A4743" s="7"/>
      <c r="B4743" s="7"/>
    </row>
    <row r="4744" ht="15.75" customHeight="1">
      <c r="A4744" s="7"/>
      <c r="B4744" s="7"/>
    </row>
    <row r="4745" ht="15.75" customHeight="1">
      <c r="A4745" s="7"/>
      <c r="B4745" s="7"/>
    </row>
    <row r="4746" ht="15.75" customHeight="1">
      <c r="A4746" s="7"/>
      <c r="B4746" s="7"/>
    </row>
    <row r="4747" ht="15.75" customHeight="1">
      <c r="A4747" s="7"/>
      <c r="B4747" s="7"/>
    </row>
    <row r="4748" ht="15.75" customHeight="1">
      <c r="A4748" s="7"/>
      <c r="B4748" s="7"/>
    </row>
    <row r="4749" ht="15.75" customHeight="1">
      <c r="A4749" s="7"/>
      <c r="B4749" s="7"/>
    </row>
    <row r="4750" ht="15.75" customHeight="1">
      <c r="A4750" s="7"/>
      <c r="B4750" s="7"/>
    </row>
    <row r="4751" ht="15.75" customHeight="1">
      <c r="A4751" s="7"/>
      <c r="B4751" s="7"/>
    </row>
    <row r="4752" ht="15.75" customHeight="1">
      <c r="A4752" s="7"/>
      <c r="B4752" s="7"/>
    </row>
    <row r="4753" ht="15.75" customHeight="1">
      <c r="A4753" s="7"/>
      <c r="B4753" s="7"/>
    </row>
    <row r="4754" ht="15.75" customHeight="1">
      <c r="A4754" s="7"/>
      <c r="B4754" s="7"/>
    </row>
    <row r="4755" ht="15.75" customHeight="1">
      <c r="A4755" s="7"/>
      <c r="B4755" s="7"/>
    </row>
    <row r="4756" ht="15.75" customHeight="1">
      <c r="A4756" s="7"/>
      <c r="B4756" s="7"/>
    </row>
    <row r="4757" ht="15.75" customHeight="1">
      <c r="A4757" s="7"/>
      <c r="B4757" s="7"/>
    </row>
    <row r="4758" ht="15.75" customHeight="1">
      <c r="A4758" s="7"/>
      <c r="B4758" s="7"/>
    </row>
    <row r="4759" ht="15.75" customHeight="1">
      <c r="A4759" s="7"/>
      <c r="B4759" s="7"/>
    </row>
    <row r="4760" ht="15.75" customHeight="1">
      <c r="A4760" s="7"/>
      <c r="B4760" s="7"/>
    </row>
    <row r="4761" ht="15.75" customHeight="1">
      <c r="A4761" s="7"/>
      <c r="B4761" s="7"/>
    </row>
    <row r="4762" ht="15.75" customHeight="1">
      <c r="A4762" s="7"/>
      <c r="B4762" s="7"/>
    </row>
    <row r="4763" ht="15.75" customHeight="1">
      <c r="A4763" s="7"/>
      <c r="B4763" s="7"/>
    </row>
    <row r="4764" ht="15.75" customHeight="1">
      <c r="A4764" s="7"/>
      <c r="B4764" s="7"/>
    </row>
    <row r="4765" ht="15.75" customHeight="1">
      <c r="A4765" s="7"/>
      <c r="B4765" s="7"/>
    </row>
    <row r="4766" ht="15.75" customHeight="1">
      <c r="A4766" s="7"/>
      <c r="B4766" s="7"/>
    </row>
    <row r="4767" ht="15.75" customHeight="1">
      <c r="A4767" s="7"/>
      <c r="B4767" s="7"/>
    </row>
    <row r="4768" ht="15.75" customHeight="1">
      <c r="A4768" s="7"/>
      <c r="B4768" s="7"/>
    </row>
    <row r="4769" ht="15.75" customHeight="1">
      <c r="A4769" s="7"/>
      <c r="B4769" s="7"/>
    </row>
    <row r="4770" ht="15.75" customHeight="1">
      <c r="A4770" s="7"/>
      <c r="B4770" s="7"/>
    </row>
    <row r="4771" ht="15.75" customHeight="1">
      <c r="A4771" s="7"/>
      <c r="B4771" s="7"/>
    </row>
    <row r="4772" ht="15.75" customHeight="1">
      <c r="A4772" s="7"/>
      <c r="B4772" s="7"/>
    </row>
    <row r="4773" ht="15.75" customHeight="1">
      <c r="A4773" s="7"/>
      <c r="B4773" s="7"/>
    </row>
    <row r="4774" ht="15.75" customHeight="1">
      <c r="A4774" s="7"/>
      <c r="B4774" s="7"/>
    </row>
    <row r="4775" ht="15.75" customHeight="1">
      <c r="A4775" s="7"/>
      <c r="B4775" s="7"/>
    </row>
    <row r="4776" ht="15.75" customHeight="1">
      <c r="A4776" s="7"/>
      <c r="B4776" s="7"/>
    </row>
    <row r="4777" ht="15.75" customHeight="1">
      <c r="A4777" s="7"/>
      <c r="B4777" s="7"/>
    </row>
    <row r="4778" ht="15.75" customHeight="1">
      <c r="A4778" s="7"/>
      <c r="B4778" s="7"/>
    </row>
    <row r="4779" ht="15.75" customHeight="1">
      <c r="A4779" s="7"/>
      <c r="B4779" s="7"/>
    </row>
    <row r="4780" ht="15.75" customHeight="1">
      <c r="A4780" s="7"/>
      <c r="B4780" s="7"/>
    </row>
    <row r="4781" ht="15.75" customHeight="1">
      <c r="A4781" s="7"/>
      <c r="B4781" s="7"/>
    </row>
    <row r="4782" ht="15.75" customHeight="1">
      <c r="A4782" s="7"/>
      <c r="B4782" s="7"/>
    </row>
    <row r="4783" ht="15.75" customHeight="1">
      <c r="A4783" s="7"/>
      <c r="B4783" s="7"/>
    </row>
    <row r="4784" ht="15.75" customHeight="1">
      <c r="A4784" s="7"/>
      <c r="B4784" s="7"/>
    </row>
    <row r="4785" ht="15.75" customHeight="1">
      <c r="A4785" s="7"/>
      <c r="B4785" s="7"/>
    </row>
    <row r="4786" ht="15.75" customHeight="1">
      <c r="A4786" s="7"/>
      <c r="B4786" s="7"/>
    </row>
    <row r="4787" ht="15.75" customHeight="1">
      <c r="A4787" s="7"/>
      <c r="B4787" s="7"/>
    </row>
    <row r="4788" ht="15.75" customHeight="1">
      <c r="A4788" s="7"/>
      <c r="B4788" s="7"/>
    </row>
    <row r="4789" ht="15.75" customHeight="1">
      <c r="A4789" s="7"/>
      <c r="B4789" s="7"/>
    </row>
    <row r="4790" ht="15.75" customHeight="1">
      <c r="A4790" s="7"/>
      <c r="B4790" s="7"/>
    </row>
    <row r="4791" ht="15.75" customHeight="1">
      <c r="A4791" s="7"/>
      <c r="B4791" s="7"/>
    </row>
    <row r="4792" ht="15.75" customHeight="1">
      <c r="A4792" s="7"/>
      <c r="B4792" s="7"/>
    </row>
    <row r="4793" ht="15.75" customHeight="1">
      <c r="A4793" s="7"/>
      <c r="B4793" s="7"/>
    </row>
    <row r="4794" ht="15.75" customHeight="1">
      <c r="A4794" s="7"/>
      <c r="B4794" s="7"/>
    </row>
    <row r="4795" ht="15.75" customHeight="1">
      <c r="A4795" s="7"/>
      <c r="B4795" s="7"/>
    </row>
    <row r="4796" ht="15.75" customHeight="1">
      <c r="A4796" s="7"/>
      <c r="B4796" s="7"/>
    </row>
    <row r="4797" ht="15.75" customHeight="1">
      <c r="A4797" s="7"/>
      <c r="B4797" s="7"/>
    </row>
    <row r="4798" ht="15.75" customHeight="1">
      <c r="A4798" s="7"/>
      <c r="B4798" s="7"/>
    </row>
    <row r="4799" ht="15.75" customHeight="1">
      <c r="A4799" s="7"/>
      <c r="B4799" s="7"/>
    </row>
    <row r="4800" ht="15.75" customHeight="1">
      <c r="A4800" s="7"/>
      <c r="B4800" s="7"/>
    </row>
    <row r="4801" ht="15.75" customHeight="1">
      <c r="A4801" s="7"/>
      <c r="B4801" s="7"/>
    </row>
    <row r="4802" ht="15.75" customHeight="1">
      <c r="A4802" s="7"/>
      <c r="B4802" s="7"/>
    </row>
    <row r="4803" ht="15.75" customHeight="1">
      <c r="A4803" s="7"/>
      <c r="B4803" s="7"/>
    </row>
    <row r="4804" ht="15.75" customHeight="1">
      <c r="A4804" s="7"/>
      <c r="B4804" s="7"/>
    </row>
    <row r="4805" ht="15.75" customHeight="1">
      <c r="A4805" s="7"/>
      <c r="B4805" s="7"/>
    </row>
    <row r="4806" ht="15.75" customHeight="1">
      <c r="A4806" s="7"/>
      <c r="B4806" s="7"/>
    </row>
    <row r="4807" ht="15.75" customHeight="1">
      <c r="A4807" s="7"/>
      <c r="B4807" s="7"/>
    </row>
    <row r="4808" ht="15.75" customHeight="1">
      <c r="A4808" s="7"/>
      <c r="B4808" s="7"/>
    </row>
    <row r="4809" ht="15.75" customHeight="1">
      <c r="A4809" s="7"/>
      <c r="B4809" s="7"/>
    </row>
    <row r="4810" ht="15.75" customHeight="1">
      <c r="A4810" s="7"/>
      <c r="B4810" s="7"/>
    </row>
    <row r="4811" ht="15.75" customHeight="1">
      <c r="A4811" s="7"/>
      <c r="B4811" s="7"/>
    </row>
    <row r="4812" ht="15.75" customHeight="1">
      <c r="A4812" s="7"/>
      <c r="B4812" s="7"/>
    </row>
    <row r="4813" ht="15.75" customHeight="1">
      <c r="A4813" s="7"/>
      <c r="B4813" s="7"/>
    </row>
    <row r="4814" ht="15.75" customHeight="1">
      <c r="A4814" s="7"/>
      <c r="B4814" s="7"/>
    </row>
    <row r="4815" ht="15.75" customHeight="1">
      <c r="A4815" s="7"/>
      <c r="B4815" s="7"/>
    </row>
    <row r="4816" ht="15.75" customHeight="1">
      <c r="A4816" s="7"/>
      <c r="B4816" s="7"/>
    </row>
    <row r="4817" ht="15.75" customHeight="1">
      <c r="A4817" s="7"/>
      <c r="B4817" s="7"/>
    </row>
    <row r="4818" ht="15.75" customHeight="1">
      <c r="A4818" s="7"/>
      <c r="B4818" s="7"/>
    </row>
    <row r="4819" ht="15.75" customHeight="1">
      <c r="A4819" s="7"/>
      <c r="B4819" s="7"/>
    </row>
    <row r="4820" ht="15.75" customHeight="1">
      <c r="A4820" s="7"/>
      <c r="B4820" s="7"/>
    </row>
    <row r="4821" ht="15.75" customHeight="1">
      <c r="A4821" s="7"/>
      <c r="B4821" s="7"/>
    </row>
    <row r="4822" ht="15.75" customHeight="1">
      <c r="A4822" s="7"/>
      <c r="B4822" s="7"/>
    </row>
    <row r="4823" ht="15.75" customHeight="1">
      <c r="A4823" s="7"/>
      <c r="B4823" s="7"/>
    </row>
    <row r="4824" ht="15.75" customHeight="1">
      <c r="A4824" s="7"/>
      <c r="B4824" s="7"/>
    </row>
    <row r="4825" ht="15.75" customHeight="1">
      <c r="A4825" s="7"/>
      <c r="B4825" s="7"/>
    </row>
    <row r="4826" ht="15.75" customHeight="1">
      <c r="A4826" s="7"/>
      <c r="B4826" s="7"/>
    </row>
    <row r="4827" ht="15.75" customHeight="1">
      <c r="A4827" s="7"/>
      <c r="B4827" s="7"/>
    </row>
    <row r="4828" ht="15.75" customHeight="1">
      <c r="A4828" s="7"/>
      <c r="B4828" s="7"/>
    </row>
    <row r="4829" ht="15.75" customHeight="1">
      <c r="A4829" s="7"/>
      <c r="B4829" s="7"/>
    </row>
    <row r="4830" ht="15.75" customHeight="1">
      <c r="A4830" s="7"/>
      <c r="B4830" s="7"/>
    </row>
    <row r="4831" ht="15.75" customHeight="1">
      <c r="A4831" s="7"/>
      <c r="B4831" s="7"/>
    </row>
    <row r="4832" ht="15.75" customHeight="1">
      <c r="A4832" s="7"/>
      <c r="B4832" s="7"/>
    </row>
    <row r="4833" ht="15.75" customHeight="1">
      <c r="A4833" s="7"/>
      <c r="B4833" s="7"/>
    </row>
    <row r="4834" ht="15.75" customHeight="1">
      <c r="A4834" s="7"/>
      <c r="B4834" s="7"/>
    </row>
    <row r="4835" ht="15.75" customHeight="1">
      <c r="A4835" s="7"/>
      <c r="B4835" s="7"/>
    </row>
    <row r="4836" ht="15.75" customHeight="1">
      <c r="A4836" s="7"/>
      <c r="B4836" s="7"/>
    </row>
    <row r="4837" ht="15.75" customHeight="1">
      <c r="A4837" s="7"/>
      <c r="B4837" s="7"/>
    </row>
    <row r="4838" ht="15.75" customHeight="1">
      <c r="A4838" s="7"/>
      <c r="B4838" s="7"/>
    </row>
    <row r="4839" ht="15.75" customHeight="1">
      <c r="A4839" s="7"/>
      <c r="B4839" s="7"/>
    </row>
    <row r="4840" ht="15.75" customHeight="1">
      <c r="A4840" s="7"/>
      <c r="B4840" s="7"/>
    </row>
    <row r="4841" ht="15.75" customHeight="1">
      <c r="A4841" s="7"/>
      <c r="B4841" s="7"/>
    </row>
    <row r="4842" ht="15.75" customHeight="1">
      <c r="A4842" s="7"/>
      <c r="B4842" s="7"/>
    </row>
    <row r="4843" ht="15.75" customHeight="1">
      <c r="A4843" s="7"/>
      <c r="B4843" s="7"/>
    </row>
    <row r="4844" ht="15.75" customHeight="1">
      <c r="A4844" s="7"/>
      <c r="B4844" s="7"/>
    </row>
    <row r="4845" ht="15.75" customHeight="1">
      <c r="A4845" s="7"/>
      <c r="B4845" s="7"/>
    </row>
    <row r="4846" ht="15.75" customHeight="1">
      <c r="A4846" s="7"/>
      <c r="B4846" s="7"/>
    </row>
    <row r="4847" ht="15.75" customHeight="1">
      <c r="A4847" s="7"/>
      <c r="B4847" s="7"/>
    </row>
    <row r="4848" ht="15.75" customHeight="1">
      <c r="A4848" s="7"/>
      <c r="B4848" s="7"/>
    </row>
    <row r="4849" ht="15.75" customHeight="1">
      <c r="A4849" s="7"/>
      <c r="B4849" s="7"/>
    </row>
    <row r="4850" ht="15.75" customHeight="1">
      <c r="A4850" s="7"/>
      <c r="B4850" s="7"/>
    </row>
    <row r="4851" ht="15.75" customHeight="1">
      <c r="A4851" s="7"/>
      <c r="B4851" s="7"/>
    </row>
    <row r="4852" ht="15.75" customHeight="1">
      <c r="A4852" s="7"/>
      <c r="B4852" s="7"/>
    </row>
    <row r="4853" ht="15.75" customHeight="1">
      <c r="A4853" s="7"/>
      <c r="B4853" s="7"/>
    </row>
    <row r="4854" ht="15.75" customHeight="1">
      <c r="A4854" s="7"/>
      <c r="B4854" s="7"/>
    </row>
    <row r="4855" ht="15.75" customHeight="1">
      <c r="A4855" s="7"/>
      <c r="B4855" s="7"/>
    </row>
    <row r="4856" ht="15.75" customHeight="1">
      <c r="A4856" s="7"/>
      <c r="B4856" s="7"/>
    </row>
    <row r="4857" ht="15.75" customHeight="1">
      <c r="A4857" s="7"/>
      <c r="B4857" s="7"/>
    </row>
    <row r="4858" ht="15.75" customHeight="1">
      <c r="A4858" s="7"/>
      <c r="B4858" s="7"/>
    </row>
    <row r="4859" ht="15.75" customHeight="1">
      <c r="A4859" s="7"/>
      <c r="B4859" s="7"/>
    </row>
    <row r="4860" ht="15.75" customHeight="1">
      <c r="A4860" s="7"/>
      <c r="B4860" s="7"/>
    </row>
    <row r="4861" ht="15.75" customHeight="1">
      <c r="A4861" s="7"/>
      <c r="B4861" s="7"/>
    </row>
    <row r="4862" ht="15.75" customHeight="1">
      <c r="A4862" s="7"/>
      <c r="B4862" s="7"/>
    </row>
    <row r="4863" ht="15.75" customHeight="1">
      <c r="A4863" s="7"/>
      <c r="B4863" s="7"/>
    </row>
    <row r="4864" ht="15.75" customHeight="1">
      <c r="A4864" s="7"/>
      <c r="B4864" s="7"/>
    </row>
    <row r="4865" ht="15.75" customHeight="1">
      <c r="A4865" s="7"/>
      <c r="B4865" s="7"/>
    </row>
    <row r="4866" ht="15.75" customHeight="1">
      <c r="A4866" s="7"/>
      <c r="B4866" s="7"/>
    </row>
    <row r="4867" ht="15.75" customHeight="1">
      <c r="A4867" s="7"/>
      <c r="B4867" s="7"/>
    </row>
    <row r="4868" ht="15.75" customHeight="1">
      <c r="A4868" s="7"/>
      <c r="B4868" s="7"/>
    </row>
    <row r="4869" ht="15.75" customHeight="1">
      <c r="A4869" s="7"/>
      <c r="B4869" s="7"/>
    </row>
    <row r="4870" ht="15.75" customHeight="1">
      <c r="A4870" s="7"/>
      <c r="B4870" s="7"/>
    </row>
    <row r="4871" ht="15.75" customHeight="1">
      <c r="A4871" s="7"/>
      <c r="B4871" s="7"/>
    </row>
    <row r="4872" ht="15.75" customHeight="1">
      <c r="A4872" s="7"/>
      <c r="B4872" s="7"/>
    </row>
    <row r="4873" ht="15.75" customHeight="1">
      <c r="A4873" s="7"/>
      <c r="B4873" s="7"/>
    </row>
    <row r="4874" ht="15.75" customHeight="1">
      <c r="A4874" s="7"/>
      <c r="B4874" s="7"/>
    </row>
    <row r="4875" ht="15.75" customHeight="1">
      <c r="A4875" s="7"/>
      <c r="B4875" s="7"/>
    </row>
    <row r="4876" ht="15.75" customHeight="1">
      <c r="A4876" s="7"/>
      <c r="B4876" s="7"/>
    </row>
    <row r="4877" ht="15.75" customHeight="1">
      <c r="A4877" s="7"/>
      <c r="B4877" s="7"/>
    </row>
    <row r="4878" ht="15.75" customHeight="1">
      <c r="A4878" s="7"/>
      <c r="B4878" s="7"/>
    </row>
    <row r="4879" ht="15.75" customHeight="1">
      <c r="A4879" s="7"/>
      <c r="B4879" s="7"/>
    </row>
    <row r="4880" ht="15.75" customHeight="1">
      <c r="A4880" s="7"/>
      <c r="B4880" s="7"/>
    </row>
    <row r="4881" ht="15.75" customHeight="1">
      <c r="A4881" s="7"/>
      <c r="B4881" s="7"/>
    </row>
    <row r="4882" ht="15.75" customHeight="1">
      <c r="A4882" s="7"/>
      <c r="B4882" s="7"/>
    </row>
    <row r="4883" ht="15.75" customHeight="1">
      <c r="A4883" s="7"/>
      <c r="B4883" s="7"/>
    </row>
    <row r="4884" ht="15.75" customHeight="1">
      <c r="A4884" s="7"/>
      <c r="B4884" s="7"/>
    </row>
    <row r="4885" ht="15.75" customHeight="1">
      <c r="A4885" s="7"/>
      <c r="B4885" s="7"/>
    </row>
    <row r="4886" ht="15.75" customHeight="1">
      <c r="A4886" s="7"/>
      <c r="B4886" s="7"/>
    </row>
    <row r="4887" ht="15.75" customHeight="1">
      <c r="A4887" s="7"/>
      <c r="B4887" s="7"/>
    </row>
    <row r="4888" ht="15.75" customHeight="1">
      <c r="A4888" s="7"/>
      <c r="B4888" s="7"/>
    </row>
    <row r="4889" ht="15.75" customHeight="1">
      <c r="A4889" s="7"/>
      <c r="B4889" s="7"/>
    </row>
    <row r="4890" ht="15.75" customHeight="1">
      <c r="A4890" s="7"/>
      <c r="B4890" s="7"/>
    </row>
    <row r="4891" ht="15.75" customHeight="1">
      <c r="A4891" s="7"/>
      <c r="B4891" s="7"/>
    </row>
    <row r="4892" ht="15.75" customHeight="1">
      <c r="A4892" s="7"/>
      <c r="B4892" s="7"/>
    </row>
    <row r="4893" ht="15.75" customHeight="1">
      <c r="A4893" s="7"/>
      <c r="B4893" s="7"/>
    </row>
    <row r="4894" ht="15.75" customHeight="1">
      <c r="A4894" s="7"/>
      <c r="B4894" s="7"/>
    </row>
    <row r="4895" ht="15.75" customHeight="1">
      <c r="A4895" s="7"/>
      <c r="B4895" s="7"/>
    </row>
    <row r="4896" ht="15.75" customHeight="1">
      <c r="A4896" s="7"/>
      <c r="B4896" s="7"/>
    </row>
    <row r="4897" ht="15.75" customHeight="1">
      <c r="A4897" s="7"/>
      <c r="B4897" s="7"/>
    </row>
    <row r="4898" ht="15.75" customHeight="1">
      <c r="A4898" s="7"/>
      <c r="B4898" s="7"/>
    </row>
    <row r="4899" ht="15.75" customHeight="1">
      <c r="A4899" s="7"/>
      <c r="B4899" s="7"/>
    </row>
    <row r="4900" ht="15.75" customHeight="1">
      <c r="A4900" s="7"/>
      <c r="B4900" s="7"/>
    </row>
    <row r="4901" ht="15.75" customHeight="1">
      <c r="A4901" s="7"/>
      <c r="B4901" s="7"/>
    </row>
    <row r="4902" ht="15.75" customHeight="1">
      <c r="A4902" s="7"/>
      <c r="B4902" s="7"/>
    </row>
    <row r="4903" ht="15.75" customHeight="1">
      <c r="A4903" s="7"/>
      <c r="B4903" s="7"/>
    </row>
    <row r="4904" ht="15.75" customHeight="1">
      <c r="A4904" s="7"/>
      <c r="B4904" s="7"/>
    </row>
    <row r="4905" ht="15.75" customHeight="1">
      <c r="A4905" s="7"/>
      <c r="B4905" s="7"/>
    </row>
    <row r="4906" ht="15.75" customHeight="1">
      <c r="A4906" s="7"/>
      <c r="B4906" s="7"/>
    </row>
    <row r="4907" ht="15.75" customHeight="1">
      <c r="A4907" s="7"/>
      <c r="B4907" s="7"/>
    </row>
    <row r="4908" ht="15.75" customHeight="1">
      <c r="A4908" s="7"/>
      <c r="B4908" s="7"/>
    </row>
    <row r="4909" ht="15.75" customHeight="1">
      <c r="A4909" s="7"/>
      <c r="B4909" s="7"/>
    </row>
    <row r="4910" ht="15.75" customHeight="1">
      <c r="A4910" s="7"/>
      <c r="B4910" s="7"/>
    </row>
    <row r="4911" ht="15.75" customHeight="1">
      <c r="A4911" s="7"/>
      <c r="B4911" s="7"/>
    </row>
    <row r="4912" ht="15.75" customHeight="1">
      <c r="A4912" s="7"/>
      <c r="B4912" s="7"/>
    </row>
    <row r="4913" ht="15.75" customHeight="1">
      <c r="A4913" s="7"/>
      <c r="B4913" s="7"/>
    </row>
    <row r="4914" ht="15.75" customHeight="1">
      <c r="A4914" s="7"/>
      <c r="B4914" s="7"/>
    </row>
    <row r="4915" ht="15.75" customHeight="1">
      <c r="A4915" s="7"/>
      <c r="B4915" s="7"/>
    </row>
    <row r="4916" ht="15.75" customHeight="1">
      <c r="A4916" s="7"/>
      <c r="B4916" s="7"/>
    </row>
    <row r="4917" ht="15.75" customHeight="1">
      <c r="A4917" s="7"/>
      <c r="B4917" s="7"/>
    </row>
    <row r="4918" ht="15.75" customHeight="1">
      <c r="A4918" s="7"/>
      <c r="B4918" s="7"/>
    </row>
    <row r="4919" ht="15.75" customHeight="1">
      <c r="A4919" s="7"/>
      <c r="B4919" s="7"/>
    </row>
    <row r="4920" ht="15.75" customHeight="1">
      <c r="A4920" s="7"/>
      <c r="B4920" s="7"/>
    </row>
    <row r="4921" ht="15.75" customHeight="1">
      <c r="A4921" s="7"/>
      <c r="B4921" s="7"/>
    </row>
    <row r="4922" ht="15.75" customHeight="1">
      <c r="A4922" s="7"/>
      <c r="B4922" s="7"/>
    </row>
    <row r="4923" ht="15.75" customHeight="1">
      <c r="A4923" s="7"/>
      <c r="B4923" s="7"/>
    </row>
    <row r="4924" ht="15.75" customHeight="1">
      <c r="A4924" s="7"/>
      <c r="B4924" s="7"/>
    </row>
    <row r="4925" ht="15.75" customHeight="1">
      <c r="A4925" s="7"/>
      <c r="B4925" s="7"/>
    </row>
    <row r="4926" ht="15.75" customHeight="1">
      <c r="A4926" s="7"/>
      <c r="B4926" s="7"/>
    </row>
    <row r="4927" ht="15.75" customHeight="1">
      <c r="A4927" s="7"/>
      <c r="B4927" s="7"/>
    </row>
    <row r="4928" ht="15.75" customHeight="1">
      <c r="A4928" s="7"/>
      <c r="B4928" s="7"/>
    </row>
    <row r="4929" ht="15.75" customHeight="1">
      <c r="A4929" s="7"/>
      <c r="B4929" s="7"/>
    </row>
    <row r="4930" ht="15.75" customHeight="1">
      <c r="A4930" s="7"/>
      <c r="B4930" s="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0.0"/>
    <col customWidth="1" min="3" max="3" width="40.0"/>
    <col customWidth="1" min="4" max="4" width="10.0"/>
    <col customWidth="1" min="5" max="6" width="12.0"/>
    <col customWidth="1" min="7" max="7" width="16.0"/>
  </cols>
  <sheetData>
    <row r="1">
      <c r="A1" s="25" t="s">
        <v>3658</v>
      </c>
      <c r="B1" s="25" t="s">
        <v>60</v>
      </c>
      <c r="C1" s="25" t="s">
        <v>59</v>
      </c>
      <c r="D1" s="25" t="s">
        <v>3659</v>
      </c>
      <c r="E1" s="25" t="s">
        <v>3660</v>
      </c>
      <c r="F1" s="25" t="s">
        <v>3661</v>
      </c>
      <c r="G1" s="25" t="s">
        <v>3662</v>
      </c>
    </row>
    <row r="2">
      <c r="A2" s="26" t="str">
        <f t="array" ref="A2:A11618">IF(B2:B11618&lt;&gt;"","BA-"&amp;TEXT(ROW(B2:B11618)-1,"0000"),"")</f>
        <v>BA-0001</v>
      </c>
      <c r="B2" s="27" t="s">
        <v>62</v>
      </c>
      <c r="C2" s="27" t="s">
        <v>930</v>
      </c>
      <c r="D2" s="26" t="s">
        <v>3663</v>
      </c>
      <c r="E2" s="28">
        <v>46113.0</v>
      </c>
      <c r="F2" s="28">
        <v>46171.0</v>
      </c>
      <c r="G2" s="29"/>
    </row>
    <row r="3">
      <c r="A3" s="30" t="s">
        <v>3664</v>
      </c>
      <c r="B3" s="31" t="s">
        <v>62</v>
      </c>
      <c r="C3" s="31" t="s">
        <v>1354</v>
      </c>
      <c r="D3" s="30" t="s">
        <v>3663</v>
      </c>
      <c r="E3" s="32">
        <v>46113.0</v>
      </c>
      <c r="F3" s="32">
        <v>46171.0</v>
      </c>
      <c r="G3" s="33"/>
    </row>
    <row r="4">
      <c r="A4" s="26" t="s">
        <v>3665</v>
      </c>
      <c r="B4" s="27" t="s">
        <v>62</v>
      </c>
      <c r="C4" s="27" t="s">
        <v>3605</v>
      </c>
      <c r="D4" s="26" t="s">
        <v>3663</v>
      </c>
      <c r="E4" s="28">
        <v>46113.0</v>
      </c>
      <c r="F4" s="28">
        <v>46171.0</v>
      </c>
      <c r="G4" s="29"/>
    </row>
    <row r="5">
      <c r="A5" s="30" t="s">
        <v>3666</v>
      </c>
      <c r="B5" s="31" t="s">
        <v>62</v>
      </c>
      <c r="C5" s="31" t="s">
        <v>1157</v>
      </c>
      <c r="D5" s="30" t="s">
        <v>3663</v>
      </c>
      <c r="E5" s="32">
        <v>46113.0</v>
      </c>
      <c r="F5" s="32">
        <v>46171.0</v>
      </c>
      <c r="G5" s="33"/>
    </row>
    <row r="6">
      <c r="A6" s="26" t="s">
        <v>3667</v>
      </c>
      <c r="B6" s="27" t="s">
        <v>62</v>
      </c>
      <c r="C6" s="27" t="s">
        <v>1155</v>
      </c>
      <c r="D6" s="26" t="s">
        <v>3663</v>
      </c>
      <c r="E6" s="28">
        <v>46113.0</v>
      </c>
      <c r="F6" s="28">
        <v>46171.0</v>
      </c>
      <c r="G6" s="29"/>
    </row>
    <row r="7">
      <c r="A7" s="30" t="s">
        <v>3668</v>
      </c>
      <c r="B7" s="31" t="s">
        <v>62</v>
      </c>
      <c r="C7" s="31" t="s">
        <v>1153</v>
      </c>
      <c r="D7" s="30" t="s">
        <v>3663</v>
      </c>
      <c r="E7" s="32">
        <v>46113.0</v>
      </c>
      <c r="F7" s="32">
        <v>46171.0</v>
      </c>
      <c r="G7" s="33"/>
    </row>
    <row r="8">
      <c r="A8" s="26" t="s">
        <v>3669</v>
      </c>
      <c r="B8" s="27" t="s">
        <v>62</v>
      </c>
      <c r="C8" s="27" t="s">
        <v>1149</v>
      </c>
      <c r="D8" s="26" t="s">
        <v>3663</v>
      </c>
      <c r="E8" s="28">
        <v>46113.0</v>
      </c>
      <c r="F8" s="28">
        <v>46171.0</v>
      </c>
      <c r="G8" s="29"/>
    </row>
    <row r="9">
      <c r="A9" s="30" t="s">
        <v>3670</v>
      </c>
      <c r="B9" s="31" t="s">
        <v>62</v>
      </c>
      <c r="C9" s="31" t="s">
        <v>1351</v>
      </c>
      <c r="D9" s="30" t="s">
        <v>3663</v>
      </c>
      <c r="E9" s="32">
        <v>46113.0</v>
      </c>
      <c r="F9" s="32">
        <v>46171.0</v>
      </c>
      <c r="G9" s="33"/>
    </row>
    <row r="10">
      <c r="A10" s="26" t="s">
        <v>3671</v>
      </c>
      <c r="B10" s="27" t="s">
        <v>62</v>
      </c>
      <c r="C10" s="27" t="s">
        <v>1349</v>
      </c>
      <c r="D10" s="26" t="s">
        <v>3663</v>
      </c>
      <c r="E10" s="28">
        <v>46113.0</v>
      </c>
      <c r="F10" s="28">
        <v>46171.0</v>
      </c>
      <c r="G10" s="29"/>
    </row>
    <row r="11">
      <c r="A11" s="30" t="s">
        <v>3672</v>
      </c>
      <c r="B11" s="31" t="s">
        <v>62</v>
      </c>
      <c r="C11" s="31" t="s">
        <v>3653</v>
      </c>
      <c r="D11" s="31" t="s">
        <v>3663</v>
      </c>
      <c r="E11" s="32">
        <v>46113.0</v>
      </c>
      <c r="F11" s="32">
        <v>46171.0</v>
      </c>
      <c r="G11" s="33"/>
    </row>
    <row r="12">
      <c r="A12" s="26" t="s">
        <v>3673</v>
      </c>
      <c r="B12" s="27" t="s">
        <v>62</v>
      </c>
      <c r="C12" s="27" t="s">
        <v>3652</v>
      </c>
      <c r="D12" s="26" t="s">
        <v>3663</v>
      </c>
      <c r="E12" s="28">
        <v>46113.0</v>
      </c>
      <c r="F12" s="28">
        <v>46171.0</v>
      </c>
      <c r="G12" s="29"/>
    </row>
    <row r="13">
      <c r="A13" s="30" t="s">
        <v>3674</v>
      </c>
      <c r="B13" s="31" t="s">
        <v>62</v>
      </c>
      <c r="C13" s="31" t="s">
        <v>965</v>
      </c>
      <c r="D13" s="30" t="s">
        <v>3663</v>
      </c>
      <c r="E13" s="32">
        <v>46113.0</v>
      </c>
      <c r="F13" s="32">
        <v>46171.0</v>
      </c>
      <c r="G13" s="33"/>
    </row>
    <row r="14">
      <c r="A14" s="26" t="s">
        <v>3675</v>
      </c>
      <c r="B14" s="27" t="s">
        <v>62</v>
      </c>
      <c r="C14" s="27" t="s">
        <v>923</v>
      </c>
      <c r="D14" s="26" t="s">
        <v>3663</v>
      </c>
      <c r="E14" s="28">
        <v>46113.0</v>
      </c>
      <c r="F14" s="28">
        <v>46171.0</v>
      </c>
      <c r="G14" s="29"/>
    </row>
    <row r="15">
      <c r="A15" s="30" t="s">
        <v>3676</v>
      </c>
      <c r="B15" s="31" t="s">
        <v>62</v>
      </c>
      <c r="C15" s="31" t="s">
        <v>961</v>
      </c>
      <c r="D15" s="30" t="s">
        <v>3663</v>
      </c>
      <c r="E15" s="32">
        <v>46113.0</v>
      </c>
      <c r="F15" s="32">
        <v>46171.0</v>
      </c>
      <c r="G15" s="33"/>
    </row>
    <row r="16">
      <c r="A16" s="26" t="s">
        <v>3677</v>
      </c>
      <c r="B16" s="27" t="s">
        <v>69</v>
      </c>
      <c r="C16" s="27" t="s">
        <v>934</v>
      </c>
      <c r="D16" s="26" t="s">
        <v>3663</v>
      </c>
      <c r="E16" s="28">
        <v>46113.0</v>
      </c>
      <c r="F16" s="28">
        <v>46171.0</v>
      </c>
      <c r="G16" s="29"/>
    </row>
    <row r="17">
      <c r="A17" s="30" t="s">
        <v>3678</v>
      </c>
      <c r="B17" s="31" t="s">
        <v>69</v>
      </c>
      <c r="C17" s="31" t="s">
        <v>1354</v>
      </c>
      <c r="D17" s="30" t="s">
        <v>3663</v>
      </c>
      <c r="E17" s="32">
        <v>46113.0</v>
      </c>
      <c r="F17" s="32">
        <v>46171.0</v>
      </c>
      <c r="G17" s="33"/>
    </row>
    <row r="18">
      <c r="A18" s="26" t="s">
        <v>3679</v>
      </c>
      <c r="B18" s="27" t="s">
        <v>69</v>
      </c>
      <c r="C18" s="27" t="s">
        <v>1172</v>
      </c>
      <c r="D18" s="26" t="s">
        <v>3663</v>
      </c>
      <c r="E18" s="28">
        <v>46113.0</v>
      </c>
      <c r="F18" s="28">
        <v>46171.0</v>
      </c>
      <c r="G18" s="29"/>
    </row>
    <row r="19">
      <c r="A19" s="30" t="s">
        <v>3680</v>
      </c>
      <c r="B19" s="31" t="s">
        <v>69</v>
      </c>
      <c r="C19" s="31" t="s">
        <v>3681</v>
      </c>
      <c r="D19" s="30" t="s">
        <v>3663</v>
      </c>
      <c r="E19" s="32">
        <v>46113.0</v>
      </c>
      <c r="F19" s="32">
        <v>46171.0</v>
      </c>
      <c r="G19" s="33"/>
    </row>
    <row r="20">
      <c r="A20" s="26" t="s">
        <v>3682</v>
      </c>
      <c r="B20" s="27" t="s">
        <v>69</v>
      </c>
      <c r="C20" s="27" t="s">
        <v>3683</v>
      </c>
      <c r="D20" s="26" t="s">
        <v>3663</v>
      </c>
      <c r="E20" s="28">
        <v>46113.0</v>
      </c>
      <c r="F20" s="28">
        <v>46171.0</v>
      </c>
      <c r="G20" s="29"/>
    </row>
    <row r="21" ht="15.75" customHeight="1">
      <c r="A21" s="30" t="s">
        <v>3684</v>
      </c>
      <c r="B21" s="31" t="s">
        <v>69</v>
      </c>
      <c r="C21" s="31" t="s">
        <v>1157</v>
      </c>
      <c r="D21" s="30" t="s">
        <v>3663</v>
      </c>
      <c r="E21" s="32">
        <v>46113.0</v>
      </c>
      <c r="F21" s="32">
        <v>46171.0</v>
      </c>
      <c r="G21" s="33"/>
    </row>
    <row r="22" ht="15.75" customHeight="1">
      <c r="A22" s="26" t="s">
        <v>3685</v>
      </c>
      <c r="B22" s="27" t="s">
        <v>69</v>
      </c>
      <c r="C22" s="27" t="s">
        <v>1155</v>
      </c>
      <c r="D22" s="26" t="s">
        <v>3663</v>
      </c>
      <c r="E22" s="28">
        <v>46113.0</v>
      </c>
      <c r="F22" s="28">
        <v>46171.0</v>
      </c>
      <c r="G22" s="29"/>
    </row>
    <row r="23" ht="15.75" customHeight="1">
      <c r="A23" s="30" t="s">
        <v>3686</v>
      </c>
      <c r="B23" s="31" t="s">
        <v>69</v>
      </c>
      <c r="C23" s="31" t="s">
        <v>1153</v>
      </c>
      <c r="D23" s="30" t="s">
        <v>3663</v>
      </c>
      <c r="E23" s="32">
        <v>46113.0</v>
      </c>
      <c r="F23" s="32">
        <v>46171.0</v>
      </c>
      <c r="G23" s="33"/>
    </row>
    <row r="24" ht="15.75" customHeight="1">
      <c r="A24" s="26" t="s">
        <v>3687</v>
      </c>
      <c r="B24" s="27" t="s">
        <v>69</v>
      </c>
      <c r="C24" s="27" t="s">
        <v>1149</v>
      </c>
      <c r="D24" s="26" t="s">
        <v>3663</v>
      </c>
      <c r="E24" s="28">
        <v>46113.0</v>
      </c>
      <c r="F24" s="28">
        <v>46171.0</v>
      </c>
      <c r="G24" s="29"/>
    </row>
    <row r="25" ht="15.75" customHeight="1">
      <c r="A25" s="30" t="s">
        <v>3688</v>
      </c>
      <c r="B25" s="31" t="s">
        <v>69</v>
      </c>
      <c r="C25" s="31" t="s">
        <v>1351</v>
      </c>
      <c r="D25" s="30" t="s">
        <v>3663</v>
      </c>
      <c r="E25" s="32">
        <v>46113.0</v>
      </c>
      <c r="F25" s="32">
        <v>46171.0</v>
      </c>
      <c r="G25" s="33"/>
    </row>
    <row r="26" ht="15.75" customHeight="1">
      <c r="A26" s="26" t="s">
        <v>3689</v>
      </c>
      <c r="B26" s="27" t="s">
        <v>69</v>
      </c>
      <c r="C26" s="27" t="s">
        <v>1349</v>
      </c>
      <c r="D26" s="26" t="s">
        <v>3663</v>
      </c>
      <c r="E26" s="28">
        <v>46113.0</v>
      </c>
      <c r="F26" s="28">
        <v>46171.0</v>
      </c>
      <c r="G26" s="29"/>
    </row>
    <row r="27" ht="15.75" customHeight="1">
      <c r="A27" s="30" t="s">
        <v>3690</v>
      </c>
      <c r="B27" s="31" t="s">
        <v>69</v>
      </c>
      <c r="C27" s="31" t="s">
        <v>968</v>
      </c>
      <c r="D27" s="30" t="s">
        <v>3663</v>
      </c>
      <c r="E27" s="32">
        <v>46113.0</v>
      </c>
      <c r="F27" s="32">
        <v>46171.0</v>
      </c>
      <c r="G27" s="33"/>
    </row>
    <row r="28" ht="15.75" customHeight="1">
      <c r="A28" s="26" t="s">
        <v>3691</v>
      </c>
      <c r="B28" s="27" t="s">
        <v>69</v>
      </c>
      <c r="C28" s="27" t="s">
        <v>923</v>
      </c>
      <c r="D28" s="26" t="s">
        <v>3663</v>
      </c>
      <c r="E28" s="28">
        <v>46113.0</v>
      </c>
      <c r="F28" s="28">
        <v>46171.0</v>
      </c>
      <c r="G28" s="29"/>
    </row>
    <row r="29" ht="15.75" customHeight="1">
      <c r="A29" s="30" t="s">
        <v>3692</v>
      </c>
      <c r="B29" s="31" t="s">
        <v>69</v>
      </c>
      <c r="C29" s="31" t="s">
        <v>955</v>
      </c>
      <c r="D29" s="30" t="s">
        <v>3663</v>
      </c>
      <c r="E29" s="32">
        <v>46113.0</v>
      </c>
      <c r="F29" s="32">
        <v>46171.0</v>
      </c>
      <c r="G29" s="33"/>
    </row>
    <row r="30" ht="15.75" customHeight="1">
      <c r="A30" s="26" t="s">
        <v>3693</v>
      </c>
      <c r="B30" s="27" t="s">
        <v>76</v>
      </c>
      <c r="C30" s="27" t="s">
        <v>930</v>
      </c>
      <c r="D30" s="26" t="s">
        <v>3663</v>
      </c>
      <c r="E30" s="28">
        <v>46113.0</v>
      </c>
      <c r="F30" s="28">
        <v>46171.0</v>
      </c>
      <c r="G30" s="29"/>
    </row>
    <row r="31" ht="15.75" customHeight="1">
      <c r="A31" s="30" t="s">
        <v>3694</v>
      </c>
      <c r="B31" s="31" t="s">
        <v>76</v>
      </c>
      <c r="C31" s="31" t="s">
        <v>1354</v>
      </c>
      <c r="D31" s="30" t="s">
        <v>3663</v>
      </c>
      <c r="E31" s="32">
        <v>46113.0</v>
      </c>
      <c r="F31" s="32">
        <v>46171.0</v>
      </c>
      <c r="G31" s="33"/>
    </row>
    <row r="32" ht="15.75" customHeight="1">
      <c r="A32" s="26" t="s">
        <v>3695</v>
      </c>
      <c r="B32" s="27" t="s">
        <v>76</v>
      </c>
      <c r="C32" s="27" t="s">
        <v>3641</v>
      </c>
      <c r="D32" s="26" t="s">
        <v>3663</v>
      </c>
      <c r="E32" s="28">
        <v>46113.0</v>
      </c>
      <c r="F32" s="28">
        <v>46171.0</v>
      </c>
      <c r="G32" s="29"/>
    </row>
    <row r="33" ht="15.75" customHeight="1">
      <c r="A33" s="30" t="s">
        <v>3696</v>
      </c>
      <c r="B33" s="31" t="s">
        <v>76</v>
      </c>
      <c r="C33" s="31" t="s">
        <v>1304</v>
      </c>
      <c r="D33" s="30" t="s">
        <v>3663</v>
      </c>
      <c r="E33" s="32">
        <v>46113.0</v>
      </c>
      <c r="F33" s="32">
        <v>46171.0</v>
      </c>
      <c r="G33" s="33"/>
    </row>
    <row r="34" ht="15.75" customHeight="1">
      <c r="A34" s="26" t="s">
        <v>3697</v>
      </c>
      <c r="B34" s="27" t="s">
        <v>76</v>
      </c>
      <c r="C34" s="27" t="s">
        <v>3642</v>
      </c>
      <c r="D34" s="26" t="s">
        <v>3663</v>
      </c>
      <c r="E34" s="28">
        <v>46113.0</v>
      </c>
      <c r="F34" s="28">
        <v>46171.0</v>
      </c>
      <c r="G34" s="29"/>
    </row>
    <row r="35" ht="15.75" customHeight="1">
      <c r="A35" s="30" t="s">
        <v>3698</v>
      </c>
      <c r="B35" s="31" t="s">
        <v>76</v>
      </c>
      <c r="C35" s="31" t="s">
        <v>1308</v>
      </c>
      <c r="D35" s="30" t="s">
        <v>3663</v>
      </c>
      <c r="E35" s="32">
        <v>46113.0</v>
      </c>
      <c r="F35" s="32">
        <v>46171.0</v>
      </c>
      <c r="G35" s="33"/>
    </row>
    <row r="36" ht="15.75" customHeight="1">
      <c r="A36" s="26" t="s">
        <v>3699</v>
      </c>
      <c r="B36" s="27" t="s">
        <v>76</v>
      </c>
      <c r="C36" s="27" t="s">
        <v>1312</v>
      </c>
      <c r="D36" s="26" t="s">
        <v>3663</v>
      </c>
      <c r="E36" s="28">
        <v>46113.0</v>
      </c>
      <c r="F36" s="28">
        <v>46171.0</v>
      </c>
      <c r="G36" s="29"/>
    </row>
    <row r="37" ht="15.75" customHeight="1">
      <c r="A37" s="30" t="s">
        <v>3700</v>
      </c>
      <c r="B37" s="31" t="s">
        <v>76</v>
      </c>
      <c r="C37" s="31" t="s">
        <v>1351</v>
      </c>
      <c r="D37" s="30" t="s">
        <v>3663</v>
      </c>
      <c r="E37" s="32">
        <v>46113.0</v>
      </c>
      <c r="F37" s="32">
        <v>46171.0</v>
      </c>
      <c r="G37" s="33"/>
    </row>
    <row r="38" ht="15.75" customHeight="1">
      <c r="A38" s="26" t="s">
        <v>3701</v>
      </c>
      <c r="B38" s="27" t="s">
        <v>76</v>
      </c>
      <c r="C38" s="27" t="s">
        <v>1349</v>
      </c>
      <c r="D38" s="26" t="s">
        <v>3663</v>
      </c>
      <c r="E38" s="28">
        <v>46113.0</v>
      </c>
      <c r="F38" s="28">
        <v>46171.0</v>
      </c>
      <c r="G38" s="29"/>
    </row>
    <row r="39" ht="15.75" customHeight="1">
      <c r="A39" s="30" t="s">
        <v>3702</v>
      </c>
      <c r="B39" s="31" t="s">
        <v>76</v>
      </c>
      <c r="C39" s="31" t="s">
        <v>3653</v>
      </c>
      <c r="D39" s="31" t="s">
        <v>3663</v>
      </c>
      <c r="E39" s="32">
        <v>46113.0</v>
      </c>
      <c r="F39" s="32">
        <v>46171.0</v>
      </c>
      <c r="G39" s="33"/>
    </row>
    <row r="40" ht="15.75" customHeight="1">
      <c r="A40" s="26" t="s">
        <v>3703</v>
      </c>
      <c r="B40" s="27" t="s">
        <v>76</v>
      </c>
      <c r="C40" s="27" t="s">
        <v>3652</v>
      </c>
      <c r="D40" s="26" t="s">
        <v>3663</v>
      </c>
      <c r="E40" s="28">
        <v>46113.0</v>
      </c>
      <c r="F40" s="28">
        <v>46171.0</v>
      </c>
      <c r="G40" s="29"/>
    </row>
    <row r="41" ht="15.75" customHeight="1">
      <c r="A41" s="30" t="s">
        <v>3704</v>
      </c>
      <c r="B41" s="31" t="s">
        <v>76</v>
      </c>
      <c r="C41" s="31" t="s">
        <v>968</v>
      </c>
      <c r="D41" s="30" t="s">
        <v>3663</v>
      </c>
      <c r="E41" s="32">
        <v>46113.0</v>
      </c>
      <c r="F41" s="32">
        <v>46171.0</v>
      </c>
      <c r="G41" s="33"/>
    </row>
    <row r="42" ht="15.75" customHeight="1">
      <c r="A42" s="26" t="s">
        <v>3705</v>
      </c>
      <c r="B42" s="27" t="s">
        <v>76</v>
      </c>
      <c r="C42" s="27" t="s">
        <v>923</v>
      </c>
      <c r="D42" s="26" t="s">
        <v>3663</v>
      </c>
      <c r="E42" s="28">
        <v>46113.0</v>
      </c>
      <c r="F42" s="28">
        <v>46171.0</v>
      </c>
      <c r="G42" s="29"/>
    </row>
    <row r="43" ht="15.75" customHeight="1">
      <c r="A43" s="30" t="s">
        <v>3706</v>
      </c>
      <c r="B43" s="31" t="s">
        <v>76</v>
      </c>
      <c r="C43" s="31" t="s">
        <v>955</v>
      </c>
      <c r="D43" s="30" t="s">
        <v>3663</v>
      </c>
      <c r="E43" s="32">
        <v>46113.0</v>
      </c>
      <c r="F43" s="32">
        <v>46171.0</v>
      </c>
      <c r="G43" s="33"/>
    </row>
    <row r="44" ht="15.75" customHeight="1">
      <c r="A44" s="26" t="s">
        <v>3707</v>
      </c>
      <c r="B44" s="27" t="s">
        <v>83</v>
      </c>
      <c r="C44" s="27" t="s">
        <v>930</v>
      </c>
      <c r="D44" s="26" t="s">
        <v>3663</v>
      </c>
      <c r="E44" s="28">
        <v>46113.0</v>
      </c>
      <c r="F44" s="28">
        <v>46171.0</v>
      </c>
      <c r="G44" s="29"/>
    </row>
    <row r="45" ht="15.75" customHeight="1">
      <c r="A45" s="30" t="s">
        <v>3708</v>
      </c>
      <c r="B45" s="31" t="s">
        <v>83</v>
      </c>
      <c r="C45" s="31" t="s">
        <v>1354</v>
      </c>
      <c r="D45" s="30" t="s">
        <v>3663</v>
      </c>
      <c r="E45" s="32">
        <v>46113.0</v>
      </c>
      <c r="F45" s="32">
        <v>46171.0</v>
      </c>
      <c r="G45" s="33"/>
    </row>
    <row r="46" ht="15.75" customHeight="1">
      <c r="A46" s="26" t="s">
        <v>3709</v>
      </c>
      <c r="B46" s="27" t="s">
        <v>83</v>
      </c>
      <c r="C46" s="27" t="s">
        <v>3641</v>
      </c>
      <c r="D46" s="26" t="s">
        <v>3663</v>
      </c>
      <c r="E46" s="28">
        <v>46113.0</v>
      </c>
      <c r="F46" s="28">
        <v>46171.0</v>
      </c>
      <c r="G46" s="29"/>
    </row>
    <row r="47" ht="15.75" customHeight="1">
      <c r="A47" s="30" t="s">
        <v>3710</v>
      </c>
      <c r="B47" s="31" t="s">
        <v>83</v>
      </c>
      <c r="C47" s="31" t="s">
        <v>1304</v>
      </c>
      <c r="D47" s="30" t="s">
        <v>3663</v>
      </c>
      <c r="E47" s="32">
        <v>46113.0</v>
      </c>
      <c r="F47" s="32">
        <v>46171.0</v>
      </c>
      <c r="G47" s="33"/>
    </row>
    <row r="48" ht="15.75" customHeight="1">
      <c r="A48" s="26" t="s">
        <v>3711</v>
      </c>
      <c r="B48" s="27" t="s">
        <v>83</v>
      </c>
      <c r="C48" s="27" t="s">
        <v>3642</v>
      </c>
      <c r="D48" s="26" t="s">
        <v>3663</v>
      </c>
      <c r="E48" s="28">
        <v>46113.0</v>
      </c>
      <c r="F48" s="28">
        <v>46171.0</v>
      </c>
      <c r="G48" s="29"/>
    </row>
    <row r="49" ht="15.75" customHeight="1">
      <c r="A49" s="30" t="s">
        <v>3712</v>
      </c>
      <c r="B49" s="31" t="s">
        <v>83</v>
      </c>
      <c r="C49" s="31" t="s">
        <v>1308</v>
      </c>
      <c r="D49" s="30" t="s">
        <v>3663</v>
      </c>
      <c r="E49" s="32">
        <v>46113.0</v>
      </c>
      <c r="F49" s="32">
        <v>46171.0</v>
      </c>
      <c r="G49" s="33"/>
    </row>
    <row r="50" ht="15.75" customHeight="1">
      <c r="A50" s="26" t="s">
        <v>3713</v>
      </c>
      <c r="B50" s="27" t="s">
        <v>83</v>
      </c>
      <c r="C50" s="27" t="s">
        <v>1190</v>
      </c>
      <c r="D50" s="26" t="s">
        <v>3663</v>
      </c>
      <c r="E50" s="28">
        <v>46113.0</v>
      </c>
      <c r="F50" s="28">
        <v>46171.0</v>
      </c>
      <c r="G50" s="29"/>
    </row>
    <row r="51" ht="15.75" customHeight="1">
      <c r="A51" s="30" t="s">
        <v>3714</v>
      </c>
      <c r="B51" s="31" t="s">
        <v>83</v>
      </c>
      <c r="C51" s="31" t="s">
        <v>1208</v>
      </c>
      <c r="D51" s="30" t="s">
        <v>3663</v>
      </c>
      <c r="E51" s="32">
        <v>46113.0</v>
      </c>
      <c r="F51" s="32">
        <v>46171.0</v>
      </c>
      <c r="G51" s="33"/>
    </row>
    <row r="52" ht="15.75" customHeight="1">
      <c r="A52" s="26" t="s">
        <v>3715</v>
      </c>
      <c r="B52" s="27" t="s">
        <v>83</v>
      </c>
      <c r="C52" s="27" t="s">
        <v>3656</v>
      </c>
      <c r="D52" s="26" t="s">
        <v>3663</v>
      </c>
      <c r="E52" s="28">
        <v>46113.0</v>
      </c>
      <c r="F52" s="28">
        <v>46171.0</v>
      </c>
      <c r="G52" s="29"/>
    </row>
    <row r="53" ht="15.75" customHeight="1">
      <c r="A53" s="30" t="s">
        <v>3716</v>
      </c>
      <c r="B53" s="31" t="s">
        <v>83</v>
      </c>
      <c r="C53" s="31" t="s">
        <v>3657</v>
      </c>
      <c r="D53" s="30" t="s">
        <v>3663</v>
      </c>
      <c r="E53" s="32">
        <v>46113.0</v>
      </c>
      <c r="F53" s="32">
        <v>46171.0</v>
      </c>
      <c r="G53" s="33"/>
    </row>
    <row r="54" ht="15.75" customHeight="1">
      <c r="A54" s="26" t="s">
        <v>3717</v>
      </c>
      <c r="B54" s="27" t="s">
        <v>83</v>
      </c>
      <c r="C54" s="27" t="s">
        <v>1351</v>
      </c>
      <c r="D54" s="26" t="s">
        <v>3663</v>
      </c>
      <c r="E54" s="28">
        <v>46113.0</v>
      </c>
      <c r="F54" s="28">
        <v>46171.0</v>
      </c>
      <c r="G54" s="29"/>
    </row>
    <row r="55" ht="15.75" customHeight="1">
      <c r="A55" s="30" t="s">
        <v>3718</v>
      </c>
      <c r="B55" s="31" t="s">
        <v>83</v>
      </c>
      <c r="C55" s="31" t="s">
        <v>1349</v>
      </c>
      <c r="D55" s="30" t="s">
        <v>3663</v>
      </c>
      <c r="E55" s="32">
        <v>46113.0</v>
      </c>
      <c r="F55" s="32">
        <v>46171.0</v>
      </c>
      <c r="G55" s="33"/>
    </row>
    <row r="56" ht="15.75" customHeight="1">
      <c r="A56" s="26" t="s">
        <v>3719</v>
      </c>
      <c r="B56" s="27" t="s">
        <v>83</v>
      </c>
      <c r="C56" s="27" t="s">
        <v>965</v>
      </c>
      <c r="D56" s="26" t="s">
        <v>3663</v>
      </c>
      <c r="E56" s="28">
        <v>46113.0</v>
      </c>
      <c r="F56" s="28">
        <v>46171.0</v>
      </c>
      <c r="G56" s="29"/>
    </row>
    <row r="57" ht="15.75" customHeight="1">
      <c r="A57" s="30" t="s">
        <v>3720</v>
      </c>
      <c r="B57" s="31" t="s">
        <v>83</v>
      </c>
      <c r="C57" s="31" t="s">
        <v>923</v>
      </c>
      <c r="D57" s="30" t="s">
        <v>3663</v>
      </c>
      <c r="E57" s="32">
        <v>46113.0</v>
      </c>
      <c r="F57" s="32">
        <v>46171.0</v>
      </c>
      <c r="G57" s="33"/>
    </row>
    <row r="58" ht="15.75" customHeight="1">
      <c r="A58" s="26" t="s">
        <v>3721</v>
      </c>
      <c r="B58" s="27" t="s">
        <v>90</v>
      </c>
      <c r="C58" s="27" t="s">
        <v>932</v>
      </c>
      <c r="D58" s="26" t="s">
        <v>3663</v>
      </c>
      <c r="E58" s="28">
        <v>46113.0</v>
      </c>
      <c r="F58" s="28">
        <v>46171.0</v>
      </c>
      <c r="G58" s="29"/>
    </row>
    <row r="59" ht="15.75" customHeight="1">
      <c r="A59" s="30" t="s">
        <v>3722</v>
      </c>
      <c r="B59" s="31" t="s">
        <v>90</v>
      </c>
      <c r="C59" s="31" t="s">
        <v>1164</v>
      </c>
      <c r="D59" s="30" t="s">
        <v>3663</v>
      </c>
      <c r="E59" s="32">
        <v>46113.0</v>
      </c>
      <c r="F59" s="32">
        <v>46171.0</v>
      </c>
      <c r="G59" s="33"/>
    </row>
    <row r="60" ht="15.75" customHeight="1">
      <c r="A60" s="26" t="s">
        <v>3723</v>
      </c>
      <c r="B60" s="27" t="s">
        <v>90</v>
      </c>
      <c r="C60" s="27" t="s">
        <v>1166</v>
      </c>
      <c r="D60" s="26" t="s">
        <v>3663</v>
      </c>
      <c r="E60" s="28">
        <v>46113.0</v>
      </c>
      <c r="F60" s="28">
        <v>46171.0</v>
      </c>
      <c r="G60" s="29"/>
    </row>
    <row r="61" ht="15.75" customHeight="1">
      <c r="A61" s="30" t="s">
        <v>3724</v>
      </c>
      <c r="B61" s="31" t="s">
        <v>90</v>
      </c>
      <c r="C61" s="31" t="s">
        <v>1168</v>
      </c>
      <c r="D61" s="30" t="s">
        <v>3663</v>
      </c>
      <c r="E61" s="32">
        <v>46113.0</v>
      </c>
      <c r="F61" s="32">
        <v>46171.0</v>
      </c>
      <c r="G61" s="33"/>
    </row>
    <row r="62" ht="15.75" customHeight="1">
      <c r="A62" s="26" t="s">
        <v>3725</v>
      </c>
      <c r="B62" s="27" t="s">
        <v>90</v>
      </c>
      <c r="C62" s="27" t="s">
        <v>1170</v>
      </c>
      <c r="D62" s="26" t="s">
        <v>3663</v>
      </c>
      <c r="E62" s="28">
        <v>46113.0</v>
      </c>
      <c r="F62" s="28">
        <v>46171.0</v>
      </c>
      <c r="G62" s="29"/>
    </row>
    <row r="63" ht="15.75" customHeight="1">
      <c r="A63" s="30" t="s">
        <v>3726</v>
      </c>
      <c r="B63" s="31" t="s">
        <v>90</v>
      </c>
      <c r="C63" s="31" t="s">
        <v>1354</v>
      </c>
      <c r="D63" s="30" t="s">
        <v>3663</v>
      </c>
      <c r="E63" s="32">
        <v>46113.0</v>
      </c>
      <c r="F63" s="32">
        <v>46171.0</v>
      </c>
      <c r="G63" s="33"/>
    </row>
    <row r="64" ht="15.75" customHeight="1">
      <c r="A64" s="26" t="s">
        <v>3727</v>
      </c>
      <c r="B64" s="27" t="s">
        <v>90</v>
      </c>
      <c r="C64" s="27" t="s">
        <v>1351</v>
      </c>
      <c r="D64" s="26" t="s">
        <v>3663</v>
      </c>
      <c r="E64" s="28">
        <v>46113.0</v>
      </c>
      <c r="F64" s="28">
        <v>46171.0</v>
      </c>
      <c r="G64" s="29"/>
    </row>
    <row r="65" ht="15.75" customHeight="1">
      <c r="A65" s="30" t="s">
        <v>3728</v>
      </c>
      <c r="B65" s="31" t="s">
        <v>90</v>
      </c>
      <c r="C65" s="31" t="s">
        <v>1349</v>
      </c>
      <c r="D65" s="30" t="s">
        <v>3663</v>
      </c>
      <c r="E65" s="32">
        <v>46113.0</v>
      </c>
      <c r="F65" s="32">
        <v>46171.0</v>
      </c>
      <c r="G65" s="33"/>
    </row>
    <row r="66" ht="15.75" customHeight="1">
      <c r="A66" s="26" t="s">
        <v>3729</v>
      </c>
      <c r="B66" s="27" t="s">
        <v>90</v>
      </c>
      <c r="C66" s="27" t="s">
        <v>3653</v>
      </c>
      <c r="D66" s="27" t="s">
        <v>3663</v>
      </c>
      <c r="E66" s="28">
        <v>46113.0</v>
      </c>
      <c r="F66" s="28">
        <v>46171.0</v>
      </c>
      <c r="G66" s="29"/>
    </row>
    <row r="67" ht="15.75" customHeight="1">
      <c r="A67" s="30" t="s">
        <v>3730</v>
      </c>
      <c r="B67" s="31" t="s">
        <v>90</v>
      </c>
      <c r="C67" s="31" t="s">
        <v>3652</v>
      </c>
      <c r="D67" s="30" t="s">
        <v>3663</v>
      </c>
      <c r="E67" s="32">
        <v>46113.0</v>
      </c>
      <c r="F67" s="32">
        <v>46171.0</v>
      </c>
      <c r="G67" s="33"/>
    </row>
    <row r="68" ht="15.75" customHeight="1">
      <c r="A68" s="26" t="s">
        <v>3731</v>
      </c>
      <c r="B68" s="27" t="s">
        <v>90</v>
      </c>
      <c r="C68" s="27" t="s">
        <v>965</v>
      </c>
      <c r="D68" s="26" t="s">
        <v>3663</v>
      </c>
      <c r="E68" s="28">
        <v>46113.0</v>
      </c>
      <c r="F68" s="28">
        <v>46171.0</v>
      </c>
      <c r="G68" s="29"/>
    </row>
    <row r="69" ht="15.75" customHeight="1">
      <c r="A69" s="30" t="s">
        <v>3732</v>
      </c>
      <c r="B69" s="31" t="s">
        <v>90</v>
      </c>
      <c r="C69" s="31" t="s">
        <v>923</v>
      </c>
      <c r="D69" s="30" t="s">
        <v>3663</v>
      </c>
      <c r="E69" s="32">
        <v>46113.0</v>
      </c>
      <c r="F69" s="32">
        <v>46171.0</v>
      </c>
      <c r="G69" s="33"/>
    </row>
    <row r="70" ht="15.75" customHeight="1">
      <c r="A70" s="26" t="s">
        <v>3733</v>
      </c>
      <c r="B70" s="27" t="s">
        <v>90</v>
      </c>
      <c r="C70" s="27" t="s">
        <v>963</v>
      </c>
      <c r="D70" s="26" t="s">
        <v>3663</v>
      </c>
      <c r="E70" s="28">
        <v>46113.0</v>
      </c>
      <c r="F70" s="28">
        <v>46171.0</v>
      </c>
      <c r="G70" s="29"/>
    </row>
    <row r="71" ht="15.75" customHeight="1">
      <c r="A71" s="30" t="s">
        <v>3734</v>
      </c>
      <c r="B71" s="31" t="s">
        <v>90</v>
      </c>
      <c r="C71" s="31" t="s">
        <v>961</v>
      </c>
      <c r="D71" s="30" t="s">
        <v>3663</v>
      </c>
      <c r="E71" s="32">
        <v>46113.0</v>
      </c>
      <c r="F71" s="32">
        <v>46171.0</v>
      </c>
      <c r="G71" s="33"/>
    </row>
    <row r="72" ht="15.75" customHeight="1">
      <c r="A72" s="26" t="s">
        <v>3735</v>
      </c>
      <c r="B72" s="27" t="s">
        <v>96</v>
      </c>
      <c r="C72" s="27" t="s">
        <v>932</v>
      </c>
      <c r="D72" s="26" t="s">
        <v>3663</v>
      </c>
      <c r="E72" s="28">
        <v>46113.0</v>
      </c>
      <c r="F72" s="28">
        <v>46171.0</v>
      </c>
      <c r="G72" s="29"/>
    </row>
    <row r="73" ht="15.75" customHeight="1">
      <c r="A73" s="30" t="s">
        <v>3736</v>
      </c>
      <c r="B73" s="31" t="s">
        <v>96</v>
      </c>
      <c r="C73" s="31" t="s">
        <v>1164</v>
      </c>
      <c r="D73" s="30" t="s">
        <v>3663</v>
      </c>
      <c r="E73" s="32">
        <v>46113.0</v>
      </c>
      <c r="F73" s="32">
        <v>46171.0</v>
      </c>
      <c r="G73" s="33"/>
    </row>
    <row r="74" ht="15.75" customHeight="1">
      <c r="A74" s="26" t="s">
        <v>3737</v>
      </c>
      <c r="B74" s="27" t="s">
        <v>96</v>
      </c>
      <c r="C74" s="27" t="s">
        <v>1166</v>
      </c>
      <c r="D74" s="26" t="s">
        <v>3663</v>
      </c>
      <c r="E74" s="28">
        <v>46113.0</v>
      </c>
      <c r="F74" s="28">
        <v>46171.0</v>
      </c>
      <c r="G74" s="29"/>
    </row>
    <row r="75" ht="15.75" customHeight="1">
      <c r="A75" s="30" t="s">
        <v>3738</v>
      </c>
      <c r="B75" s="31" t="s">
        <v>96</v>
      </c>
      <c r="C75" s="31" t="s">
        <v>1168</v>
      </c>
      <c r="D75" s="30" t="s">
        <v>3663</v>
      </c>
      <c r="E75" s="32">
        <v>46113.0</v>
      </c>
      <c r="F75" s="32">
        <v>46171.0</v>
      </c>
      <c r="G75" s="33"/>
    </row>
    <row r="76" ht="15.75" customHeight="1">
      <c r="A76" s="26" t="s">
        <v>3739</v>
      </c>
      <c r="B76" s="27" t="s">
        <v>96</v>
      </c>
      <c r="C76" s="27" t="s">
        <v>1170</v>
      </c>
      <c r="D76" s="26" t="s">
        <v>3663</v>
      </c>
      <c r="E76" s="28">
        <v>46113.0</v>
      </c>
      <c r="F76" s="28">
        <v>46171.0</v>
      </c>
      <c r="G76" s="29"/>
    </row>
    <row r="77" ht="15.75" customHeight="1">
      <c r="A77" s="30" t="s">
        <v>3740</v>
      </c>
      <c r="B77" s="31" t="s">
        <v>96</v>
      </c>
      <c r="C77" s="31" t="s">
        <v>1354</v>
      </c>
      <c r="D77" s="30" t="s">
        <v>3663</v>
      </c>
      <c r="E77" s="32">
        <v>46113.0</v>
      </c>
      <c r="F77" s="32">
        <v>46171.0</v>
      </c>
      <c r="G77" s="33"/>
    </row>
    <row r="78" ht="15.75" customHeight="1">
      <c r="A78" s="26" t="s">
        <v>3741</v>
      </c>
      <c r="B78" s="27" t="s">
        <v>96</v>
      </c>
      <c r="C78" s="27" t="s">
        <v>3681</v>
      </c>
      <c r="D78" s="26" t="s">
        <v>3663</v>
      </c>
      <c r="E78" s="28">
        <v>46113.0</v>
      </c>
      <c r="F78" s="28">
        <v>46171.0</v>
      </c>
      <c r="G78" s="29"/>
    </row>
    <row r="79" ht="15.75" customHeight="1">
      <c r="A79" s="30" t="s">
        <v>3742</v>
      </c>
      <c r="B79" s="31" t="s">
        <v>96</v>
      </c>
      <c r="C79" s="31" t="s">
        <v>3683</v>
      </c>
      <c r="D79" s="30" t="s">
        <v>3663</v>
      </c>
      <c r="E79" s="32">
        <v>46113.0</v>
      </c>
      <c r="F79" s="32">
        <v>46171.0</v>
      </c>
      <c r="G79" s="33"/>
    </row>
    <row r="80" ht="15.75" customHeight="1">
      <c r="A80" s="26" t="s">
        <v>3743</v>
      </c>
      <c r="B80" s="27" t="s">
        <v>96</v>
      </c>
      <c r="C80" s="27" t="s">
        <v>1216</v>
      </c>
      <c r="D80" s="26" t="s">
        <v>3663</v>
      </c>
      <c r="E80" s="28">
        <v>46113.0</v>
      </c>
      <c r="F80" s="28">
        <v>46171.0</v>
      </c>
      <c r="G80" s="29"/>
    </row>
    <row r="81" ht="15.75" customHeight="1">
      <c r="A81" s="30" t="s">
        <v>3744</v>
      </c>
      <c r="B81" s="31" t="s">
        <v>96</v>
      </c>
      <c r="C81" s="31" t="s">
        <v>1218</v>
      </c>
      <c r="D81" s="30" t="s">
        <v>3663</v>
      </c>
      <c r="E81" s="32">
        <v>46113.0</v>
      </c>
      <c r="F81" s="32">
        <v>46171.0</v>
      </c>
      <c r="G81" s="33"/>
    </row>
    <row r="82" ht="15.75" customHeight="1">
      <c r="A82" s="26" t="s">
        <v>3745</v>
      </c>
      <c r="B82" s="27" t="s">
        <v>96</v>
      </c>
      <c r="C82" s="27" t="s">
        <v>1351</v>
      </c>
      <c r="D82" s="26" t="s">
        <v>3663</v>
      </c>
      <c r="E82" s="28">
        <v>46113.0</v>
      </c>
      <c r="F82" s="28">
        <v>46171.0</v>
      </c>
      <c r="G82" s="29"/>
    </row>
    <row r="83" ht="15.75" customHeight="1">
      <c r="A83" s="30" t="s">
        <v>3746</v>
      </c>
      <c r="B83" s="31" t="s">
        <v>96</v>
      </c>
      <c r="C83" s="31" t="s">
        <v>1349</v>
      </c>
      <c r="D83" s="30" t="s">
        <v>3663</v>
      </c>
      <c r="E83" s="32">
        <v>46113.0</v>
      </c>
      <c r="F83" s="32">
        <v>46171.0</v>
      </c>
      <c r="G83" s="33"/>
    </row>
    <row r="84" ht="15.75" customHeight="1">
      <c r="A84" s="26" t="s">
        <v>3747</v>
      </c>
      <c r="B84" s="27" t="s">
        <v>96</v>
      </c>
      <c r="C84" s="27" t="s">
        <v>968</v>
      </c>
      <c r="D84" s="26" t="s">
        <v>3663</v>
      </c>
      <c r="E84" s="28">
        <v>46113.0</v>
      </c>
      <c r="F84" s="28">
        <v>46171.0</v>
      </c>
      <c r="G84" s="29"/>
    </row>
    <row r="85" ht="15.75" customHeight="1">
      <c r="A85" s="30" t="s">
        <v>3748</v>
      </c>
      <c r="B85" s="31" t="s">
        <v>96</v>
      </c>
      <c r="C85" s="31" t="s">
        <v>923</v>
      </c>
      <c r="D85" s="30" t="s">
        <v>3663</v>
      </c>
      <c r="E85" s="32">
        <v>46113.0</v>
      </c>
      <c r="F85" s="32">
        <v>46171.0</v>
      </c>
      <c r="G85" s="33"/>
    </row>
    <row r="86" ht="15.75" customHeight="1">
      <c r="A86" s="26" t="s">
        <v>3749</v>
      </c>
      <c r="B86" s="27" t="s">
        <v>1335</v>
      </c>
      <c r="C86" s="27" t="s">
        <v>3654</v>
      </c>
      <c r="D86" s="26" t="s">
        <v>3750</v>
      </c>
      <c r="E86" s="28">
        <v>46113.0</v>
      </c>
      <c r="F86" s="28">
        <v>46171.0</v>
      </c>
      <c r="G86" s="29"/>
    </row>
    <row r="87" ht="15.75" customHeight="1">
      <c r="A87" s="30" t="s">
        <v>3751</v>
      </c>
      <c r="B87" s="31" t="s">
        <v>1335</v>
      </c>
      <c r="C87" s="31" t="s">
        <v>3655</v>
      </c>
      <c r="D87" s="30" t="s">
        <v>3750</v>
      </c>
      <c r="E87" s="32">
        <v>46113.0</v>
      </c>
      <c r="F87" s="32">
        <v>46171.0</v>
      </c>
      <c r="G87" s="33"/>
    </row>
    <row r="88" ht="15.75" customHeight="1">
      <c r="A88" s="26" t="s">
        <v>3752</v>
      </c>
      <c r="B88" s="27" t="s">
        <v>1335</v>
      </c>
      <c r="C88" s="27" t="s">
        <v>926</v>
      </c>
      <c r="D88" s="26" t="s">
        <v>3750</v>
      </c>
      <c r="E88" s="28">
        <v>46113.0</v>
      </c>
      <c r="F88" s="28">
        <v>46171.0</v>
      </c>
      <c r="G88" s="29"/>
    </row>
    <row r="89" ht="15.75" customHeight="1">
      <c r="A89" s="30" t="s">
        <v>3753</v>
      </c>
      <c r="B89" s="31" t="s">
        <v>1335</v>
      </c>
      <c r="C89" s="31" t="s">
        <v>1354</v>
      </c>
      <c r="D89" s="30" t="s">
        <v>3750</v>
      </c>
      <c r="E89" s="32">
        <v>46113.0</v>
      </c>
      <c r="F89" s="32">
        <v>46171.0</v>
      </c>
      <c r="G89" s="33"/>
    </row>
    <row r="90" ht="15.75" customHeight="1">
      <c r="A90" s="26" t="s">
        <v>3754</v>
      </c>
      <c r="B90" s="27" t="s">
        <v>1335</v>
      </c>
      <c r="C90" s="27" t="s">
        <v>1312</v>
      </c>
      <c r="D90" s="26" t="s">
        <v>3750</v>
      </c>
      <c r="E90" s="28">
        <v>46113.0</v>
      </c>
      <c r="F90" s="28">
        <v>46171.0</v>
      </c>
      <c r="G90" s="29"/>
    </row>
    <row r="91" ht="15.75" customHeight="1">
      <c r="A91" s="30" t="s">
        <v>3755</v>
      </c>
      <c r="B91" s="31" t="s">
        <v>1335</v>
      </c>
      <c r="C91" s="31" t="s">
        <v>1277</v>
      </c>
      <c r="D91" s="30" t="s">
        <v>3750</v>
      </c>
      <c r="E91" s="32">
        <v>46113.0</v>
      </c>
      <c r="F91" s="32">
        <v>46171.0</v>
      </c>
      <c r="G91" s="33"/>
    </row>
    <row r="92" ht="15.75" customHeight="1">
      <c r="A92" s="26" t="s">
        <v>3756</v>
      </c>
      <c r="B92" s="27" t="s">
        <v>1335</v>
      </c>
      <c r="C92" s="27" t="s">
        <v>1279</v>
      </c>
      <c r="D92" s="26" t="s">
        <v>3750</v>
      </c>
      <c r="E92" s="28">
        <v>46113.0</v>
      </c>
      <c r="F92" s="28">
        <v>46171.0</v>
      </c>
      <c r="G92" s="29"/>
    </row>
    <row r="93" ht="15.75" customHeight="1">
      <c r="A93" s="30" t="s">
        <v>3757</v>
      </c>
      <c r="B93" s="31" t="s">
        <v>1335</v>
      </c>
      <c r="C93" s="31" t="s">
        <v>1283</v>
      </c>
      <c r="D93" s="30" t="s">
        <v>3750</v>
      </c>
      <c r="E93" s="32">
        <v>46113.0</v>
      </c>
      <c r="F93" s="32">
        <v>46171.0</v>
      </c>
      <c r="G93" s="33"/>
    </row>
    <row r="94" ht="15.75" customHeight="1">
      <c r="A94" s="26" t="s">
        <v>3758</v>
      </c>
      <c r="B94" s="27" t="s">
        <v>1335</v>
      </c>
      <c r="C94" s="27" t="s">
        <v>1281</v>
      </c>
      <c r="D94" s="26" t="s">
        <v>3750</v>
      </c>
      <c r="E94" s="28">
        <v>46113.0</v>
      </c>
      <c r="F94" s="28">
        <v>46171.0</v>
      </c>
      <c r="G94" s="29"/>
    </row>
    <row r="95" ht="15.75" customHeight="1">
      <c r="A95" s="30" t="s">
        <v>3759</v>
      </c>
      <c r="B95" s="31" t="s">
        <v>1335</v>
      </c>
      <c r="C95" s="31" t="s">
        <v>1216</v>
      </c>
      <c r="D95" s="30" t="s">
        <v>3750</v>
      </c>
      <c r="E95" s="32">
        <v>46113.0</v>
      </c>
      <c r="F95" s="32">
        <v>46171.0</v>
      </c>
      <c r="G95" s="33"/>
    </row>
    <row r="96" ht="15.75" customHeight="1">
      <c r="A96" s="26" t="s">
        <v>3760</v>
      </c>
      <c r="B96" s="27" t="s">
        <v>1335</v>
      </c>
      <c r="C96" s="27" t="s">
        <v>1351</v>
      </c>
      <c r="D96" s="26" t="s">
        <v>3750</v>
      </c>
      <c r="E96" s="28">
        <v>46113.0</v>
      </c>
      <c r="F96" s="28">
        <v>46171.0</v>
      </c>
      <c r="G96" s="29"/>
    </row>
    <row r="97" ht="15.75" customHeight="1">
      <c r="A97" s="30" t="s">
        <v>3761</v>
      </c>
      <c r="B97" s="31" t="s">
        <v>1335</v>
      </c>
      <c r="C97" s="31" t="s">
        <v>1349</v>
      </c>
      <c r="D97" s="30" t="s">
        <v>3750</v>
      </c>
      <c r="E97" s="32">
        <v>46113.0</v>
      </c>
      <c r="F97" s="32">
        <v>46171.0</v>
      </c>
      <c r="G97" s="33"/>
    </row>
    <row r="98" ht="15.75" customHeight="1">
      <c r="A98" s="26" t="s">
        <v>3762</v>
      </c>
      <c r="B98" s="27" t="s">
        <v>1335</v>
      </c>
      <c r="C98" s="27" t="s">
        <v>968</v>
      </c>
      <c r="D98" s="26" t="s">
        <v>3750</v>
      </c>
      <c r="E98" s="28">
        <v>46113.0</v>
      </c>
      <c r="F98" s="28">
        <v>46171.0</v>
      </c>
      <c r="G98" s="29"/>
    </row>
    <row r="99" ht="15.75" customHeight="1">
      <c r="A99" s="30" t="s">
        <v>3763</v>
      </c>
      <c r="B99" s="31" t="s">
        <v>1335</v>
      </c>
      <c r="C99" s="31" t="s">
        <v>923</v>
      </c>
      <c r="D99" s="30" t="s">
        <v>3750</v>
      </c>
      <c r="E99" s="32">
        <v>46113.0</v>
      </c>
      <c r="F99" s="32">
        <v>46171.0</v>
      </c>
      <c r="G99" s="33"/>
    </row>
    <row r="100" ht="15.75" customHeight="1">
      <c r="A100" s="26" t="s">
        <v>3764</v>
      </c>
      <c r="B100" s="27" t="s">
        <v>101</v>
      </c>
      <c r="C100" s="27" t="s">
        <v>3638</v>
      </c>
      <c r="D100" s="26" t="s">
        <v>3663</v>
      </c>
      <c r="E100" s="28">
        <v>46113.0</v>
      </c>
      <c r="F100" s="28">
        <v>46171.0</v>
      </c>
      <c r="G100" s="29"/>
    </row>
    <row r="101" ht="15.75" customHeight="1">
      <c r="A101" s="30" t="s">
        <v>3765</v>
      </c>
      <c r="B101" s="31" t="s">
        <v>101</v>
      </c>
      <c r="C101" s="31" t="s">
        <v>932</v>
      </c>
      <c r="D101" s="30" t="s">
        <v>3663</v>
      </c>
      <c r="E101" s="32">
        <v>46113.0</v>
      </c>
      <c r="F101" s="32">
        <v>46171.0</v>
      </c>
      <c r="G101" s="33"/>
    </row>
    <row r="102" ht="15.75" customHeight="1">
      <c r="A102" s="26" t="s">
        <v>3766</v>
      </c>
      <c r="B102" s="27" t="s">
        <v>101</v>
      </c>
      <c r="C102" s="27" t="s">
        <v>1164</v>
      </c>
      <c r="D102" s="26" t="s">
        <v>3663</v>
      </c>
      <c r="E102" s="28">
        <v>46113.0</v>
      </c>
      <c r="F102" s="28">
        <v>46171.0</v>
      </c>
      <c r="G102" s="29"/>
    </row>
    <row r="103" ht="15.75" customHeight="1">
      <c r="A103" s="30" t="s">
        <v>3767</v>
      </c>
      <c r="B103" s="31" t="s">
        <v>101</v>
      </c>
      <c r="C103" s="31" t="s">
        <v>1166</v>
      </c>
      <c r="D103" s="30" t="s">
        <v>3663</v>
      </c>
      <c r="E103" s="32">
        <v>46113.0</v>
      </c>
      <c r="F103" s="32">
        <v>46171.0</v>
      </c>
      <c r="G103" s="33"/>
    </row>
    <row r="104" ht="15.75" customHeight="1">
      <c r="A104" s="26" t="s">
        <v>3768</v>
      </c>
      <c r="B104" s="27" t="s">
        <v>101</v>
      </c>
      <c r="C104" s="27" t="s">
        <v>1168</v>
      </c>
      <c r="D104" s="26" t="s">
        <v>3663</v>
      </c>
      <c r="E104" s="28">
        <v>46113.0</v>
      </c>
      <c r="F104" s="28">
        <v>46171.0</v>
      </c>
      <c r="G104" s="29"/>
    </row>
    <row r="105" ht="15.75" customHeight="1">
      <c r="A105" s="30" t="s">
        <v>3769</v>
      </c>
      <c r="B105" s="31" t="s">
        <v>101</v>
      </c>
      <c r="C105" s="31" t="s">
        <v>1170</v>
      </c>
      <c r="D105" s="30" t="s">
        <v>3663</v>
      </c>
      <c r="E105" s="32">
        <v>46113.0</v>
      </c>
      <c r="F105" s="32">
        <v>46171.0</v>
      </c>
      <c r="G105" s="33"/>
    </row>
    <row r="106" ht="15.75" customHeight="1">
      <c r="A106" s="26" t="s">
        <v>3770</v>
      </c>
      <c r="B106" s="27" t="s">
        <v>101</v>
      </c>
      <c r="C106" s="27" t="s">
        <v>1354</v>
      </c>
      <c r="D106" s="26" t="s">
        <v>3663</v>
      </c>
      <c r="E106" s="28">
        <v>46113.0</v>
      </c>
      <c r="F106" s="28">
        <v>46171.0</v>
      </c>
      <c r="G106" s="29"/>
    </row>
    <row r="107" ht="15.75" customHeight="1">
      <c r="A107" s="30" t="s">
        <v>3771</v>
      </c>
      <c r="B107" s="31" t="s">
        <v>101</v>
      </c>
      <c r="C107" s="31" t="s">
        <v>3681</v>
      </c>
      <c r="D107" s="30" t="s">
        <v>3663</v>
      </c>
      <c r="E107" s="32">
        <v>46113.0</v>
      </c>
      <c r="F107" s="32">
        <v>46171.0</v>
      </c>
      <c r="G107" s="33"/>
    </row>
    <row r="108" ht="15.75" customHeight="1">
      <c r="A108" s="26" t="s">
        <v>3772</v>
      </c>
      <c r="B108" s="27" t="s">
        <v>101</v>
      </c>
      <c r="C108" s="27" t="s">
        <v>3683</v>
      </c>
      <c r="D108" s="26" t="s">
        <v>3663</v>
      </c>
      <c r="E108" s="28">
        <v>46113.0</v>
      </c>
      <c r="F108" s="28">
        <v>46171.0</v>
      </c>
      <c r="G108" s="29"/>
    </row>
    <row r="109" ht="15.75" customHeight="1">
      <c r="A109" s="30" t="s">
        <v>3773</v>
      </c>
      <c r="B109" s="31" t="s">
        <v>101</v>
      </c>
      <c r="C109" s="31" t="s">
        <v>1208</v>
      </c>
      <c r="D109" s="30" t="s">
        <v>3663</v>
      </c>
      <c r="E109" s="32">
        <v>46113.0</v>
      </c>
      <c r="F109" s="32">
        <v>46171.0</v>
      </c>
      <c r="G109" s="33"/>
    </row>
    <row r="110" ht="15.75" customHeight="1">
      <c r="A110" s="26" t="s">
        <v>3774</v>
      </c>
      <c r="B110" s="27" t="s">
        <v>101</v>
      </c>
      <c r="C110" s="27" t="s">
        <v>1351</v>
      </c>
      <c r="D110" s="26" t="s">
        <v>3663</v>
      </c>
      <c r="E110" s="28">
        <v>46113.0</v>
      </c>
      <c r="F110" s="28">
        <v>46171.0</v>
      </c>
      <c r="G110" s="29"/>
    </row>
    <row r="111" ht="15.75" customHeight="1">
      <c r="A111" s="30" t="s">
        <v>3775</v>
      </c>
      <c r="B111" s="31" t="s">
        <v>101</v>
      </c>
      <c r="C111" s="31" t="s">
        <v>1349</v>
      </c>
      <c r="D111" s="30" t="s">
        <v>3663</v>
      </c>
      <c r="E111" s="32">
        <v>46113.0</v>
      </c>
      <c r="F111" s="32">
        <v>46171.0</v>
      </c>
      <c r="G111" s="33"/>
    </row>
    <row r="112" ht="15.75" customHeight="1">
      <c r="A112" s="26" t="s">
        <v>3776</v>
      </c>
      <c r="B112" s="27" t="s">
        <v>101</v>
      </c>
      <c r="C112" s="27" t="s">
        <v>965</v>
      </c>
      <c r="D112" s="26" t="s">
        <v>3663</v>
      </c>
      <c r="E112" s="28">
        <v>46113.0</v>
      </c>
      <c r="F112" s="28">
        <v>46171.0</v>
      </c>
      <c r="G112" s="29"/>
    </row>
    <row r="113" ht="15.75" customHeight="1">
      <c r="A113" s="30" t="s">
        <v>3777</v>
      </c>
      <c r="B113" s="31" t="s">
        <v>101</v>
      </c>
      <c r="C113" s="31" t="s">
        <v>923</v>
      </c>
      <c r="D113" s="30" t="s">
        <v>3663</v>
      </c>
      <c r="E113" s="32">
        <v>46113.0</v>
      </c>
      <c r="F113" s="32">
        <v>46171.0</v>
      </c>
      <c r="G113" s="33"/>
    </row>
    <row r="114" ht="15.75" customHeight="1">
      <c r="A114" s="26" t="s">
        <v>3778</v>
      </c>
      <c r="B114" s="27" t="s">
        <v>103</v>
      </c>
      <c r="C114" s="27" t="s">
        <v>932</v>
      </c>
      <c r="D114" s="26" t="s">
        <v>3663</v>
      </c>
      <c r="E114" s="28">
        <v>46113.0</v>
      </c>
      <c r="F114" s="28">
        <v>46171.0</v>
      </c>
      <c r="G114" s="29"/>
    </row>
    <row r="115" ht="15.75" customHeight="1">
      <c r="A115" s="30" t="s">
        <v>3779</v>
      </c>
      <c r="B115" s="31" t="s">
        <v>103</v>
      </c>
      <c r="C115" s="31" t="s">
        <v>1168</v>
      </c>
      <c r="D115" s="30" t="s">
        <v>3663</v>
      </c>
      <c r="E115" s="32">
        <v>46113.0</v>
      </c>
      <c r="F115" s="32">
        <v>46171.0</v>
      </c>
      <c r="G115" s="33"/>
    </row>
    <row r="116" ht="15.75" customHeight="1">
      <c r="A116" s="26" t="s">
        <v>3780</v>
      </c>
      <c r="B116" s="27" t="s">
        <v>103</v>
      </c>
      <c r="C116" s="27" t="s">
        <v>1170</v>
      </c>
      <c r="D116" s="26" t="s">
        <v>3663</v>
      </c>
      <c r="E116" s="28">
        <v>46113.0</v>
      </c>
      <c r="F116" s="28">
        <v>46171.0</v>
      </c>
      <c r="G116" s="29"/>
    </row>
    <row r="117" ht="15.75" customHeight="1">
      <c r="A117" s="30" t="s">
        <v>3781</v>
      </c>
      <c r="B117" s="31" t="s">
        <v>103</v>
      </c>
      <c r="C117" s="31" t="s">
        <v>1288</v>
      </c>
      <c r="D117" s="30" t="s">
        <v>3663</v>
      </c>
      <c r="E117" s="32">
        <v>46113.0</v>
      </c>
      <c r="F117" s="32">
        <v>46171.0</v>
      </c>
      <c r="G117" s="33"/>
    </row>
    <row r="118" ht="15.75" customHeight="1">
      <c r="A118" s="26" t="s">
        <v>3782</v>
      </c>
      <c r="B118" s="27" t="s">
        <v>103</v>
      </c>
      <c r="C118" s="27" t="s">
        <v>1291</v>
      </c>
      <c r="D118" s="26" t="s">
        <v>3663</v>
      </c>
      <c r="E118" s="28">
        <v>46113.0</v>
      </c>
      <c r="F118" s="28">
        <v>46171.0</v>
      </c>
      <c r="G118" s="29"/>
    </row>
    <row r="119" ht="15.75" customHeight="1">
      <c r="A119" s="30" t="s">
        <v>3783</v>
      </c>
      <c r="B119" s="31" t="s">
        <v>103</v>
      </c>
      <c r="C119" s="31" t="s">
        <v>1354</v>
      </c>
      <c r="D119" s="30" t="s">
        <v>3663</v>
      </c>
      <c r="E119" s="32">
        <v>46113.0</v>
      </c>
      <c r="F119" s="32">
        <v>46171.0</v>
      </c>
      <c r="G119" s="33"/>
    </row>
    <row r="120" ht="15.75" customHeight="1">
      <c r="A120" s="26" t="s">
        <v>3784</v>
      </c>
      <c r="B120" s="27" t="s">
        <v>103</v>
      </c>
      <c r="C120" s="27" t="s">
        <v>3681</v>
      </c>
      <c r="D120" s="26" t="s">
        <v>3663</v>
      </c>
      <c r="E120" s="28">
        <v>46113.0</v>
      </c>
      <c r="F120" s="28">
        <v>46171.0</v>
      </c>
      <c r="G120" s="29"/>
    </row>
    <row r="121" ht="15.75" customHeight="1">
      <c r="A121" s="30" t="s">
        <v>3785</v>
      </c>
      <c r="B121" s="31" t="s">
        <v>103</v>
      </c>
      <c r="C121" s="31" t="s">
        <v>3683</v>
      </c>
      <c r="D121" s="30" t="s">
        <v>3663</v>
      </c>
      <c r="E121" s="32">
        <v>46113.0</v>
      </c>
      <c r="F121" s="32">
        <v>46171.0</v>
      </c>
      <c r="G121" s="33"/>
    </row>
    <row r="122" ht="15.75" customHeight="1">
      <c r="A122" s="26" t="s">
        <v>3786</v>
      </c>
      <c r="B122" s="27" t="s">
        <v>103</v>
      </c>
      <c r="C122" s="27" t="s">
        <v>1159</v>
      </c>
      <c r="D122" s="26" t="s">
        <v>3663</v>
      </c>
      <c r="E122" s="28">
        <v>46113.0</v>
      </c>
      <c r="F122" s="28">
        <v>46171.0</v>
      </c>
      <c r="G122" s="29"/>
    </row>
    <row r="123" ht="15.75" customHeight="1">
      <c r="A123" s="30" t="s">
        <v>3787</v>
      </c>
      <c r="B123" s="31" t="s">
        <v>103</v>
      </c>
      <c r="C123" s="31" t="s">
        <v>1216</v>
      </c>
      <c r="D123" s="30" t="s">
        <v>3663</v>
      </c>
      <c r="E123" s="32">
        <v>46113.0</v>
      </c>
      <c r="F123" s="32">
        <v>46171.0</v>
      </c>
      <c r="G123" s="33"/>
    </row>
    <row r="124" ht="15.75" customHeight="1">
      <c r="A124" s="26" t="s">
        <v>3788</v>
      </c>
      <c r="B124" s="27" t="s">
        <v>103</v>
      </c>
      <c r="C124" s="27" t="s">
        <v>1351</v>
      </c>
      <c r="D124" s="26" t="s">
        <v>3663</v>
      </c>
      <c r="E124" s="28">
        <v>46113.0</v>
      </c>
      <c r="F124" s="28">
        <v>46171.0</v>
      </c>
      <c r="G124" s="29"/>
    </row>
    <row r="125" ht="15.75" customHeight="1">
      <c r="A125" s="30" t="s">
        <v>3789</v>
      </c>
      <c r="B125" s="31" t="s">
        <v>103</v>
      </c>
      <c r="C125" s="31" t="s">
        <v>1349</v>
      </c>
      <c r="D125" s="30" t="s">
        <v>3663</v>
      </c>
      <c r="E125" s="32">
        <v>46113.0</v>
      </c>
      <c r="F125" s="32">
        <v>46171.0</v>
      </c>
      <c r="G125" s="33"/>
    </row>
    <row r="126" ht="15.75" customHeight="1">
      <c r="A126" s="26" t="s">
        <v>3790</v>
      </c>
      <c r="B126" s="27" t="s">
        <v>103</v>
      </c>
      <c r="C126" s="27" t="s">
        <v>968</v>
      </c>
      <c r="D126" s="26" t="s">
        <v>3663</v>
      </c>
      <c r="E126" s="28">
        <v>46113.0</v>
      </c>
      <c r="F126" s="28">
        <v>46171.0</v>
      </c>
      <c r="G126" s="29"/>
    </row>
    <row r="127" ht="15.75" customHeight="1">
      <c r="A127" s="30" t="s">
        <v>3791</v>
      </c>
      <c r="B127" s="31" t="s">
        <v>103</v>
      </c>
      <c r="C127" s="31" t="s">
        <v>923</v>
      </c>
      <c r="D127" s="30" t="s">
        <v>3663</v>
      </c>
      <c r="E127" s="32">
        <v>46113.0</v>
      </c>
      <c r="F127" s="32">
        <v>46171.0</v>
      </c>
      <c r="G127" s="33"/>
    </row>
    <row r="128" ht="15.75" customHeight="1">
      <c r="A128" s="26" t="s">
        <v>3792</v>
      </c>
      <c r="B128" s="27" t="s">
        <v>108</v>
      </c>
      <c r="C128" s="27" t="s">
        <v>3654</v>
      </c>
      <c r="D128" s="26" t="s">
        <v>3663</v>
      </c>
      <c r="E128" s="28">
        <v>46113.0</v>
      </c>
      <c r="F128" s="28">
        <v>46171.0</v>
      </c>
      <c r="G128" s="29"/>
    </row>
    <row r="129" ht="15.75" customHeight="1">
      <c r="A129" s="30" t="s">
        <v>3793</v>
      </c>
      <c r="B129" s="31" t="s">
        <v>108</v>
      </c>
      <c r="C129" s="31" t="s">
        <v>3655</v>
      </c>
      <c r="D129" s="30" t="s">
        <v>3663</v>
      </c>
      <c r="E129" s="32">
        <v>46113.0</v>
      </c>
      <c r="F129" s="32">
        <v>46171.0</v>
      </c>
      <c r="G129" s="33"/>
    </row>
    <row r="130" ht="15.75" customHeight="1">
      <c r="A130" s="26" t="s">
        <v>3794</v>
      </c>
      <c r="B130" s="27" t="s">
        <v>108</v>
      </c>
      <c r="C130" s="27" t="s">
        <v>932</v>
      </c>
      <c r="D130" s="26" t="s">
        <v>3663</v>
      </c>
      <c r="E130" s="28">
        <v>46113.0</v>
      </c>
      <c r="F130" s="28">
        <v>46171.0</v>
      </c>
      <c r="G130" s="29"/>
    </row>
    <row r="131" ht="15.75" customHeight="1">
      <c r="A131" s="30" t="s">
        <v>3795</v>
      </c>
      <c r="B131" s="31" t="s">
        <v>108</v>
      </c>
      <c r="C131" s="31" t="s">
        <v>1168</v>
      </c>
      <c r="D131" s="30" t="s">
        <v>3663</v>
      </c>
      <c r="E131" s="32">
        <v>46113.0</v>
      </c>
      <c r="F131" s="32">
        <v>46171.0</v>
      </c>
      <c r="G131" s="33"/>
    </row>
    <row r="132" ht="15.75" customHeight="1">
      <c r="A132" s="26" t="s">
        <v>3796</v>
      </c>
      <c r="B132" s="27" t="s">
        <v>108</v>
      </c>
      <c r="C132" s="27" t="s">
        <v>1170</v>
      </c>
      <c r="D132" s="26" t="s">
        <v>3663</v>
      </c>
      <c r="E132" s="28">
        <v>46113.0</v>
      </c>
      <c r="F132" s="28">
        <v>46171.0</v>
      </c>
      <c r="G132" s="29"/>
    </row>
    <row r="133" ht="15.75" customHeight="1">
      <c r="A133" s="30" t="s">
        <v>3797</v>
      </c>
      <c r="B133" s="31" t="s">
        <v>108</v>
      </c>
      <c r="C133" s="31" t="s">
        <v>1288</v>
      </c>
      <c r="D133" s="30" t="s">
        <v>3663</v>
      </c>
      <c r="E133" s="32">
        <v>46113.0</v>
      </c>
      <c r="F133" s="32">
        <v>46171.0</v>
      </c>
      <c r="G133" s="33"/>
    </row>
    <row r="134" ht="15.75" customHeight="1">
      <c r="A134" s="26" t="s">
        <v>3798</v>
      </c>
      <c r="B134" s="27" t="s">
        <v>108</v>
      </c>
      <c r="C134" s="27" t="s">
        <v>1291</v>
      </c>
      <c r="D134" s="26" t="s">
        <v>3663</v>
      </c>
      <c r="E134" s="28">
        <v>46113.0</v>
      </c>
      <c r="F134" s="28">
        <v>46171.0</v>
      </c>
      <c r="G134" s="29"/>
    </row>
    <row r="135" ht="15.75" customHeight="1">
      <c r="A135" s="30" t="s">
        <v>3799</v>
      </c>
      <c r="B135" s="31" t="s">
        <v>108</v>
      </c>
      <c r="C135" s="31" t="s">
        <v>1354</v>
      </c>
      <c r="D135" s="30" t="s">
        <v>3663</v>
      </c>
      <c r="E135" s="32">
        <v>46113.0</v>
      </c>
      <c r="F135" s="32">
        <v>46171.0</v>
      </c>
      <c r="G135" s="33"/>
    </row>
    <row r="136" ht="15.75" customHeight="1">
      <c r="A136" s="26" t="s">
        <v>3800</v>
      </c>
      <c r="B136" s="27" t="s">
        <v>108</v>
      </c>
      <c r="C136" s="27" t="s">
        <v>1159</v>
      </c>
      <c r="D136" s="26" t="s">
        <v>3663</v>
      </c>
      <c r="E136" s="28">
        <v>46113.0</v>
      </c>
      <c r="F136" s="28">
        <v>46171.0</v>
      </c>
      <c r="G136" s="29"/>
    </row>
    <row r="137" ht="15.75" customHeight="1">
      <c r="A137" s="30" t="s">
        <v>3801</v>
      </c>
      <c r="B137" s="31" t="s">
        <v>108</v>
      </c>
      <c r="C137" s="31" t="s">
        <v>3647</v>
      </c>
      <c r="D137" s="30" t="s">
        <v>3663</v>
      </c>
      <c r="E137" s="32">
        <v>46113.0</v>
      </c>
      <c r="F137" s="32">
        <v>46171.0</v>
      </c>
      <c r="G137" s="33"/>
    </row>
    <row r="138" ht="15.75" customHeight="1">
      <c r="A138" s="26" t="s">
        <v>3802</v>
      </c>
      <c r="B138" s="27" t="s">
        <v>108</v>
      </c>
      <c r="C138" s="27" t="s">
        <v>952</v>
      </c>
      <c r="D138" s="26" t="s">
        <v>3663</v>
      </c>
      <c r="E138" s="28">
        <v>46113.0</v>
      </c>
      <c r="F138" s="28">
        <v>46171.0</v>
      </c>
      <c r="G138" s="29"/>
    </row>
    <row r="139" ht="15.75" customHeight="1">
      <c r="A139" s="30" t="s">
        <v>3803</v>
      </c>
      <c r="B139" s="31" t="s">
        <v>108</v>
      </c>
      <c r="C139" s="31" t="s">
        <v>968</v>
      </c>
      <c r="D139" s="30" t="s">
        <v>3663</v>
      </c>
      <c r="E139" s="32">
        <v>46113.0</v>
      </c>
      <c r="F139" s="32">
        <v>46171.0</v>
      </c>
      <c r="G139" s="33"/>
    </row>
    <row r="140" ht="15.75" customHeight="1">
      <c r="A140" s="26" t="s">
        <v>3804</v>
      </c>
      <c r="B140" s="27" t="s">
        <v>108</v>
      </c>
      <c r="C140" s="27" t="s">
        <v>923</v>
      </c>
      <c r="D140" s="26" t="s">
        <v>3663</v>
      </c>
      <c r="E140" s="28">
        <v>46113.0</v>
      </c>
      <c r="F140" s="28">
        <v>46171.0</v>
      </c>
      <c r="G140" s="29"/>
    </row>
    <row r="141" ht="15.75" customHeight="1">
      <c r="A141" s="30" t="s">
        <v>3805</v>
      </c>
      <c r="B141" s="31" t="s">
        <v>108</v>
      </c>
      <c r="C141" s="31" t="s">
        <v>955</v>
      </c>
      <c r="D141" s="30" t="s">
        <v>3663</v>
      </c>
      <c r="E141" s="32">
        <v>46113.0</v>
      </c>
      <c r="F141" s="32">
        <v>46171.0</v>
      </c>
      <c r="G141" s="33"/>
    </row>
    <row r="142" ht="15.75" customHeight="1">
      <c r="A142" s="26" t="s">
        <v>3806</v>
      </c>
      <c r="B142" s="27" t="s">
        <v>112</v>
      </c>
      <c r="C142" s="27" t="s">
        <v>930</v>
      </c>
      <c r="D142" s="26" t="s">
        <v>3663</v>
      </c>
      <c r="E142" s="28">
        <v>46113.0</v>
      </c>
      <c r="F142" s="28">
        <v>46171.0</v>
      </c>
      <c r="G142" s="29"/>
    </row>
    <row r="143" ht="15.75" customHeight="1">
      <c r="A143" s="30" t="s">
        <v>3807</v>
      </c>
      <c r="B143" s="31" t="s">
        <v>112</v>
      </c>
      <c r="C143" s="31" t="s">
        <v>1354</v>
      </c>
      <c r="D143" s="30" t="s">
        <v>3663</v>
      </c>
      <c r="E143" s="32">
        <v>46113.0</v>
      </c>
      <c r="F143" s="32">
        <v>46171.0</v>
      </c>
      <c r="G143" s="33"/>
    </row>
    <row r="144" ht="15.75" customHeight="1">
      <c r="A144" s="26" t="s">
        <v>3808</v>
      </c>
      <c r="B144" s="27" t="s">
        <v>112</v>
      </c>
      <c r="C144" s="27" t="s">
        <v>3681</v>
      </c>
      <c r="D144" s="26" t="s">
        <v>3663</v>
      </c>
      <c r="E144" s="28">
        <v>46113.0</v>
      </c>
      <c r="F144" s="28">
        <v>46171.0</v>
      </c>
      <c r="G144" s="29"/>
    </row>
    <row r="145" ht="15.75" customHeight="1">
      <c r="A145" s="30" t="s">
        <v>3809</v>
      </c>
      <c r="B145" s="31" t="s">
        <v>112</v>
      </c>
      <c r="C145" s="31" t="s">
        <v>3683</v>
      </c>
      <c r="D145" s="30" t="s">
        <v>3663</v>
      </c>
      <c r="E145" s="32">
        <v>46113.0</v>
      </c>
      <c r="F145" s="32">
        <v>46171.0</v>
      </c>
      <c r="G145" s="33"/>
    </row>
    <row r="146" ht="15.75" customHeight="1">
      <c r="A146" s="26" t="s">
        <v>3810</v>
      </c>
      <c r="B146" s="27" t="s">
        <v>112</v>
      </c>
      <c r="C146" s="27" t="s">
        <v>1157</v>
      </c>
      <c r="D146" s="26" t="s">
        <v>3663</v>
      </c>
      <c r="E146" s="28">
        <v>46113.0</v>
      </c>
      <c r="F146" s="28">
        <v>46171.0</v>
      </c>
      <c r="G146" s="29"/>
    </row>
    <row r="147" ht="15.75" customHeight="1">
      <c r="A147" s="30" t="s">
        <v>3811</v>
      </c>
      <c r="B147" s="31" t="s">
        <v>112</v>
      </c>
      <c r="C147" s="31" t="s">
        <v>1155</v>
      </c>
      <c r="D147" s="30" t="s">
        <v>3663</v>
      </c>
      <c r="E147" s="32">
        <v>46113.0</v>
      </c>
      <c r="F147" s="32">
        <v>46171.0</v>
      </c>
      <c r="G147" s="33"/>
    </row>
    <row r="148" ht="15.75" customHeight="1">
      <c r="A148" s="26" t="s">
        <v>3812</v>
      </c>
      <c r="B148" s="27" t="s">
        <v>112</v>
      </c>
      <c r="C148" s="27" t="s">
        <v>1153</v>
      </c>
      <c r="D148" s="26" t="s">
        <v>3663</v>
      </c>
      <c r="E148" s="28">
        <v>46113.0</v>
      </c>
      <c r="F148" s="28">
        <v>46171.0</v>
      </c>
      <c r="G148" s="29"/>
    </row>
    <row r="149" ht="15.75" customHeight="1">
      <c r="A149" s="30" t="s">
        <v>3813</v>
      </c>
      <c r="B149" s="31" t="s">
        <v>112</v>
      </c>
      <c r="C149" s="31" t="s">
        <v>1149</v>
      </c>
      <c r="D149" s="30" t="s">
        <v>3663</v>
      </c>
      <c r="E149" s="32">
        <v>46113.0</v>
      </c>
      <c r="F149" s="32">
        <v>46171.0</v>
      </c>
      <c r="G149" s="33"/>
    </row>
    <row r="150" ht="15.75" customHeight="1">
      <c r="A150" s="26" t="s">
        <v>3814</v>
      </c>
      <c r="B150" s="27" t="s">
        <v>112</v>
      </c>
      <c r="C150" s="27" t="s">
        <v>1351</v>
      </c>
      <c r="D150" s="26" t="s">
        <v>3663</v>
      </c>
      <c r="E150" s="28">
        <v>46113.0</v>
      </c>
      <c r="F150" s="28">
        <v>46171.0</v>
      </c>
      <c r="G150" s="29"/>
    </row>
    <row r="151" ht="15.75" customHeight="1">
      <c r="A151" s="30" t="s">
        <v>3815</v>
      </c>
      <c r="B151" s="31" t="s">
        <v>112</v>
      </c>
      <c r="C151" s="31" t="s">
        <v>1349</v>
      </c>
      <c r="D151" s="30" t="s">
        <v>3663</v>
      </c>
      <c r="E151" s="32">
        <v>46113.0</v>
      </c>
      <c r="F151" s="32">
        <v>46171.0</v>
      </c>
      <c r="G151" s="33"/>
    </row>
    <row r="152" ht="15.75" customHeight="1">
      <c r="A152" s="26" t="s">
        <v>3816</v>
      </c>
      <c r="B152" s="27" t="s">
        <v>112</v>
      </c>
      <c r="C152" s="27" t="s">
        <v>965</v>
      </c>
      <c r="D152" s="26" t="s">
        <v>3663</v>
      </c>
      <c r="E152" s="28">
        <v>46113.0</v>
      </c>
      <c r="F152" s="28">
        <v>46171.0</v>
      </c>
      <c r="G152" s="29"/>
    </row>
    <row r="153" ht="15.75" customHeight="1">
      <c r="A153" s="30" t="s">
        <v>3817</v>
      </c>
      <c r="B153" s="31" t="s">
        <v>112</v>
      </c>
      <c r="C153" s="31" t="s">
        <v>923</v>
      </c>
      <c r="D153" s="30" t="s">
        <v>3663</v>
      </c>
      <c r="E153" s="32">
        <v>46113.0</v>
      </c>
      <c r="F153" s="32">
        <v>46171.0</v>
      </c>
      <c r="G153" s="33"/>
    </row>
    <row r="154" ht="15.75" customHeight="1">
      <c r="A154" s="26" t="s">
        <v>3818</v>
      </c>
      <c r="B154" s="27" t="s">
        <v>112</v>
      </c>
      <c r="C154" s="27" t="s">
        <v>961</v>
      </c>
      <c r="D154" s="26" t="s">
        <v>3663</v>
      </c>
      <c r="E154" s="28">
        <v>46113.0</v>
      </c>
      <c r="F154" s="28">
        <v>46171.0</v>
      </c>
      <c r="G154" s="29"/>
    </row>
    <row r="155" ht="15.75" customHeight="1">
      <c r="A155" s="30" t="s">
        <v>3819</v>
      </c>
      <c r="B155" s="31" t="s">
        <v>112</v>
      </c>
      <c r="C155" s="31" t="s">
        <v>955</v>
      </c>
      <c r="D155" s="30" t="s">
        <v>3663</v>
      </c>
      <c r="E155" s="32">
        <v>46113.0</v>
      </c>
      <c r="F155" s="32">
        <v>46171.0</v>
      </c>
      <c r="G155" s="33"/>
    </row>
    <row r="156" ht="15.75" customHeight="1">
      <c r="A156" s="26" t="s">
        <v>3820</v>
      </c>
      <c r="B156" s="27" t="s">
        <v>115</v>
      </c>
      <c r="C156" s="27" t="s">
        <v>928</v>
      </c>
      <c r="D156" s="26" t="s">
        <v>3663</v>
      </c>
      <c r="E156" s="28">
        <v>46113.0</v>
      </c>
      <c r="F156" s="28">
        <v>46171.0</v>
      </c>
      <c r="G156" s="29"/>
    </row>
    <row r="157" ht="15.75" customHeight="1">
      <c r="A157" s="30" t="s">
        <v>3821</v>
      </c>
      <c r="B157" s="31" t="s">
        <v>115</v>
      </c>
      <c r="C157" s="31" t="s">
        <v>1354</v>
      </c>
      <c r="D157" s="30" t="s">
        <v>3663</v>
      </c>
      <c r="E157" s="32">
        <v>46113.0</v>
      </c>
      <c r="F157" s="32">
        <v>46171.0</v>
      </c>
      <c r="G157" s="33"/>
    </row>
    <row r="158" ht="15.75" customHeight="1">
      <c r="A158" s="26" t="s">
        <v>3822</v>
      </c>
      <c r="B158" s="27" t="s">
        <v>115</v>
      </c>
      <c r="C158" s="27" t="s">
        <v>1222</v>
      </c>
      <c r="D158" s="26" t="s">
        <v>3663</v>
      </c>
      <c r="E158" s="28">
        <v>46113.0</v>
      </c>
      <c r="F158" s="28">
        <v>46171.0</v>
      </c>
      <c r="G158" s="29"/>
    </row>
    <row r="159" ht="15.75" customHeight="1">
      <c r="A159" s="30" t="s">
        <v>3823</v>
      </c>
      <c r="B159" s="31" t="s">
        <v>115</v>
      </c>
      <c r="C159" s="31" t="s">
        <v>1224</v>
      </c>
      <c r="D159" s="30" t="s">
        <v>3663</v>
      </c>
      <c r="E159" s="32">
        <v>46113.0</v>
      </c>
      <c r="F159" s="32">
        <v>46171.0</v>
      </c>
      <c r="G159" s="33"/>
    </row>
    <row r="160" ht="15.75" customHeight="1">
      <c r="A160" s="26" t="s">
        <v>3824</v>
      </c>
      <c r="B160" s="27" t="s">
        <v>115</v>
      </c>
      <c r="C160" s="27" t="s">
        <v>1226</v>
      </c>
      <c r="D160" s="26" t="s">
        <v>3663</v>
      </c>
      <c r="E160" s="28">
        <v>46113.0</v>
      </c>
      <c r="F160" s="28">
        <v>46171.0</v>
      </c>
      <c r="G160" s="29"/>
    </row>
    <row r="161" ht="15.75" customHeight="1">
      <c r="A161" s="30" t="s">
        <v>3825</v>
      </c>
      <c r="B161" s="31" t="s">
        <v>115</v>
      </c>
      <c r="C161" s="31" t="s">
        <v>1228</v>
      </c>
      <c r="D161" s="30" t="s">
        <v>3663</v>
      </c>
      <c r="E161" s="32">
        <v>46113.0</v>
      </c>
      <c r="F161" s="32">
        <v>46171.0</v>
      </c>
      <c r="G161" s="33"/>
    </row>
    <row r="162" ht="15.75" customHeight="1">
      <c r="A162" s="26" t="s">
        <v>3826</v>
      </c>
      <c r="B162" s="27" t="s">
        <v>115</v>
      </c>
      <c r="C162" s="27" t="s">
        <v>1159</v>
      </c>
      <c r="D162" s="26" t="s">
        <v>3663</v>
      </c>
      <c r="E162" s="28">
        <v>46113.0</v>
      </c>
      <c r="F162" s="28">
        <v>46171.0</v>
      </c>
      <c r="G162" s="29"/>
    </row>
    <row r="163" ht="15.75" customHeight="1">
      <c r="A163" s="30" t="s">
        <v>3827</v>
      </c>
      <c r="B163" s="31" t="s">
        <v>115</v>
      </c>
      <c r="C163" s="31" t="s">
        <v>1351</v>
      </c>
      <c r="D163" s="30" t="s">
        <v>3663</v>
      </c>
      <c r="E163" s="32">
        <v>46113.0</v>
      </c>
      <c r="F163" s="32">
        <v>46171.0</v>
      </c>
      <c r="G163" s="33"/>
    </row>
    <row r="164" ht="15.75" customHeight="1">
      <c r="A164" s="26" t="s">
        <v>3828</v>
      </c>
      <c r="B164" s="27" t="s">
        <v>115</v>
      </c>
      <c r="C164" s="27" t="s">
        <v>1349</v>
      </c>
      <c r="D164" s="26" t="s">
        <v>3663</v>
      </c>
      <c r="E164" s="28">
        <v>46113.0</v>
      </c>
      <c r="F164" s="28">
        <v>46171.0</v>
      </c>
      <c r="G164" s="29"/>
    </row>
    <row r="165" ht="15.75" customHeight="1">
      <c r="A165" s="30" t="s">
        <v>3829</v>
      </c>
      <c r="B165" s="31" t="s">
        <v>115</v>
      </c>
      <c r="C165" s="31" t="s">
        <v>3653</v>
      </c>
      <c r="D165" s="30" t="s">
        <v>3663</v>
      </c>
      <c r="E165" s="32">
        <v>46113.0</v>
      </c>
      <c r="F165" s="32">
        <v>46171.0</v>
      </c>
      <c r="G165" s="33"/>
    </row>
    <row r="166" ht="15.75" customHeight="1">
      <c r="A166" s="26" t="s">
        <v>3830</v>
      </c>
      <c r="B166" s="27" t="s">
        <v>115</v>
      </c>
      <c r="C166" s="27" t="s">
        <v>3652</v>
      </c>
      <c r="D166" s="26" t="s">
        <v>3663</v>
      </c>
      <c r="E166" s="28">
        <v>46113.0</v>
      </c>
      <c r="F166" s="28">
        <v>46171.0</v>
      </c>
      <c r="G166" s="29"/>
    </row>
    <row r="167" ht="15.75" customHeight="1">
      <c r="A167" s="30" t="s">
        <v>3831</v>
      </c>
      <c r="B167" s="31" t="s">
        <v>115</v>
      </c>
      <c r="C167" s="31" t="s">
        <v>968</v>
      </c>
      <c r="D167" s="30" t="s">
        <v>3663</v>
      </c>
      <c r="E167" s="32">
        <v>46113.0</v>
      </c>
      <c r="F167" s="32">
        <v>46171.0</v>
      </c>
      <c r="G167" s="33"/>
    </row>
    <row r="168" ht="15.75" customHeight="1">
      <c r="A168" s="26" t="s">
        <v>3832</v>
      </c>
      <c r="B168" s="27" t="s">
        <v>115</v>
      </c>
      <c r="C168" s="27" t="s">
        <v>923</v>
      </c>
      <c r="D168" s="26" t="s">
        <v>3663</v>
      </c>
      <c r="E168" s="28">
        <v>46113.0</v>
      </c>
      <c r="F168" s="28">
        <v>46171.0</v>
      </c>
      <c r="G168" s="29"/>
    </row>
    <row r="169" ht="15.75" customHeight="1">
      <c r="A169" s="30" t="s">
        <v>3833</v>
      </c>
      <c r="B169" s="31" t="s">
        <v>115</v>
      </c>
      <c r="C169" s="31" t="s">
        <v>955</v>
      </c>
      <c r="D169" s="30" t="s">
        <v>3663</v>
      </c>
      <c r="E169" s="32">
        <v>46113.0</v>
      </c>
      <c r="F169" s="32">
        <v>46171.0</v>
      </c>
      <c r="G169" s="33"/>
    </row>
    <row r="170" ht="15.75" customHeight="1">
      <c r="A170" s="26" t="s">
        <v>3834</v>
      </c>
      <c r="B170" s="27" t="s">
        <v>119</v>
      </c>
      <c r="C170" s="27" t="s">
        <v>930</v>
      </c>
      <c r="D170" s="26" t="s">
        <v>3663</v>
      </c>
      <c r="E170" s="28">
        <v>46113.0</v>
      </c>
      <c r="F170" s="28">
        <v>46171.0</v>
      </c>
      <c r="G170" s="29"/>
    </row>
    <row r="171" ht="15.75" customHeight="1">
      <c r="A171" s="30" t="s">
        <v>3835</v>
      </c>
      <c r="B171" s="31" t="s">
        <v>119</v>
      </c>
      <c r="C171" s="31" t="s">
        <v>1354</v>
      </c>
      <c r="D171" s="30" t="s">
        <v>3663</v>
      </c>
      <c r="E171" s="32">
        <v>46113.0</v>
      </c>
      <c r="F171" s="32">
        <v>46171.0</v>
      </c>
      <c r="G171" s="33"/>
    </row>
    <row r="172" ht="15.75" customHeight="1">
      <c r="A172" s="26" t="s">
        <v>3836</v>
      </c>
      <c r="B172" s="27" t="s">
        <v>119</v>
      </c>
      <c r="C172" s="27" t="s">
        <v>1208</v>
      </c>
      <c r="D172" s="26" t="s">
        <v>3663</v>
      </c>
      <c r="E172" s="28">
        <v>46113.0</v>
      </c>
      <c r="F172" s="28">
        <v>46171.0</v>
      </c>
      <c r="G172" s="29"/>
    </row>
    <row r="173" ht="15.75" customHeight="1">
      <c r="A173" s="30" t="s">
        <v>3837</v>
      </c>
      <c r="B173" s="31" t="s">
        <v>119</v>
      </c>
      <c r="C173" s="31" t="s">
        <v>1159</v>
      </c>
      <c r="D173" s="30" t="s">
        <v>3663</v>
      </c>
      <c r="E173" s="32">
        <v>46113.0</v>
      </c>
      <c r="F173" s="32">
        <v>46171.0</v>
      </c>
      <c r="G173" s="33"/>
    </row>
    <row r="174" ht="15.75" customHeight="1">
      <c r="A174" s="26" t="s">
        <v>3838</v>
      </c>
      <c r="B174" s="27" t="s">
        <v>119</v>
      </c>
      <c r="C174" s="27" t="s">
        <v>1157</v>
      </c>
      <c r="D174" s="26" t="s">
        <v>3663</v>
      </c>
      <c r="E174" s="28">
        <v>46113.0</v>
      </c>
      <c r="F174" s="28">
        <v>46171.0</v>
      </c>
      <c r="G174" s="29"/>
    </row>
    <row r="175" ht="15.75" customHeight="1">
      <c r="A175" s="30" t="s">
        <v>3839</v>
      </c>
      <c r="B175" s="31" t="s">
        <v>119</v>
      </c>
      <c r="C175" s="31" t="s">
        <v>1155</v>
      </c>
      <c r="D175" s="30" t="s">
        <v>3663</v>
      </c>
      <c r="E175" s="32">
        <v>46113.0</v>
      </c>
      <c r="F175" s="32">
        <v>46171.0</v>
      </c>
      <c r="G175" s="33"/>
    </row>
    <row r="176" ht="15.75" customHeight="1">
      <c r="A176" s="26" t="s">
        <v>3840</v>
      </c>
      <c r="B176" s="27" t="s">
        <v>119</v>
      </c>
      <c r="C176" s="27" t="s">
        <v>1153</v>
      </c>
      <c r="D176" s="26" t="s">
        <v>3663</v>
      </c>
      <c r="E176" s="28">
        <v>46113.0</v>
      </c>
      <c r="F176" s="28">
        <v>46171.0</v>
      </c>
      <c r="G176" s="29"/>
    </row>
    <row r="177" ht="15.75" customHeight="1">
      <c r="A177" s="30" t="s">
        <v>3841</v>
      </c>
      <c r="B177" s="31" t="s">
        <v>119</v>
      </c>
      <c r="C177" s="31" t="s">
        <v>1149</v>
      </c>
      <c r="D177" s="30" t="s">
        <v>3663</v>
      </c>
      <c r="E177" s="32">
        <v>46113.0</v>
      </c>
      <c r="F177" s="32">
        <v>46171.0</v>
      </c>
      <c r="G177" s="33"/>
    </row>
    <row r="178" ht="15.75" customHeight="1">
      <c r="A178" s="26" t="s">
        <v>3842</v>
      </c>
      <c r="B178" s="27" t="s">
        <v>119</v>
      </c>
      <c r="C178" s="27" t="s">
        <v>1351</v>
      </c>
      <c r="D178" s="26" t="s">
        <v>3663</v>
      </c>
      <c r="E178" s="28">
        <v>46113.0</v>
      </c>
      <c r="F178" s="28">
        <v>46171.0</v>
      </c>
      <c r="G178" s="29"/>
    </row>
    <row r="179" ht="15.75" customHeight="1">
      <c r="A179" s="30" t="s">
        <v>3843</v>
      </c>
      <c r="B179" s="31" t="s">
        <v>119</v>
      </c>
      <c r="C179" s="31" t="s">
        <v>1349</v>
      </c>
      <c r="D179" s="30" t="s">
        <v>3663</v>
      </c>
      <c r="E179" s="32">
        <v>46113.0</v>
      </c>
      <c r="F179" s="32">
        <v>46171.0</v>
      </c>
      <c r="G179" s="33"/>
    </row>
    <row r="180" ht="15.75" customHeight="1">
      <c r="A180" s="26" t="s">
        <v>3844</v>
      </c>
      <c r="B180" s="27" t="s">
        <v>119</v>
      </c>
      <c r="C180" s="27" t="s">
        <v>3653</v>
      </c>
      <c r="D180" s="27" t="s">
        <v>3663</v>
      </c>
      <c r="E180" s="28">
        <v>46113.0</v>
      </c>
      <c r="F180" s="28">
        <v>46171.0</v>
      </c>
      <c r="G180" s="29"/>
    </row>
    <row r="181" ht="15.75" customHeight="1">
      <c r="A181" s="30" t="s">
        <v>3845</v>
      </c>
      <c r="B181" s="31" t="s">
        <v>119</v>
      </c>
      <c r="C181" s="31" t="s">
        <v>3652</v>
      </c>
      <c r="D181" s="30" t="s">
        <v>3663</v>
      </c>
      <c r="E181" s="32">
        <v>46113.0</v>
      </c>
      <c r="F181" s="32">
        <v>46171.0</v>
      </c>
      <c r="G181" s="33"/>
    </row>
    <row r="182" ht="15.75" customHeight="1">
      <c r="A182" s="26" t="s">
        <v>3846</v>
      </c>
      <c r="B182" s="27" t="s">
        <v>119</v>
      </c>
      <c r="C182" s="27" t="s">
        <v>968</v>
      </c>
      <c r="D182" s="26" t="s">
        <v>3663</v>
      </c>
      <c r="E182" s="28">
        <v>46113.0</v>
      </c>
      <c r="F182" s="28">
        <v>46171.0</v>
      </c>
      <c r="G182" s="29"/>
    </row>
    <row r="183" ht="15.75" customHeight="1">
      <c r="A183" s="30" t="s">
        <v>3847</v>
      </c>
      <c r="B183" s="31" t="s">
        <v>119</v>
      </c>
      <c r="C183" s="31" t="s">
        <v>923</v>
      </c>
      <c r="D183" s="30" t="s">
        <v>3663</v>
      </c>
      <c r="E183" s="32">
        <v>46113.0</v>
      </c>
      <c r="F183" s="32">
        <v>46171.0</v>
      </c>
      <c r="G183" s="33"/>
    </row>
    <row r="184" ht="15.75" customHeight="1">
      <c r="A184" s="26" t="s">
        <v>3848</v>
      </c>
      <c r="B184" s="27" t="s">
        <v>121</v>
      </c>
      <c r="C184" s="27" t="s">
        <v>3654</v>
      </c>
      <c r="D184" s="26" t="s">
        <v>3663</v>
      </c>
      <c r="E184" s="28">
        <v>46113.0</v>
      </c>
      <c r="F184" s="28">
        <v>46171.0</v>
      </c>
      <c r="G184" s="29"/>
    </row>
    <row r="185" ht="15.75" customHeight="1">
      <c r="A185" s="30" t="s">
        <v>3849</v>
      </c>
      <c r="B185" s="31" t="s">
        <v>121</v>
      </c>
      <c r="C185" s="31" t="s">
        <v>3655</v>
      </c>
      <c r="D185" s="30" t="s">
        <v>3663</v>
      </c>
      <c r="E185" s="32">
        <v>46113.0</v>
      </c>
      <c r="F185" s="32">
        <v>46171.0</v>
      </c>
      <c r="G185" s="33"/>
    </row>
    <row r="186" ht="15.75" customHeight="1">
      <c r="A186" s="26" t="s">
        <v>3850</v>
      </c>
      <c r="B186" s="27" t="s">
        <v>121</v>
      </c>
      <c r="C186" s="27" t="s">
        <v>930</v>
      </c>
      <c r="D186" s="27" t="s">
        <v>3663</v>
      </c>
      <c r="E186" s="28">
        <v>46113.0</v>
      </c>
      <c r="F186" s="28">
        <v>46171.0</v>
      </c>
      <c r="G186" s="29"/>
    </row>
    <row r="187" ht="15.75" customHeight="1">
      <c r="A187" s="30" t="s">
        <v>3851</v>
      </c>
      <c r="B187" s="31" t="s">
        <v>121</v>
      </c>
      <c r="C187" s="31" t="s">
        <v>1354</v>
      </c>
      <c r="D187" s="30" t="s">
        <v>3663</v>
      </c>
      <c r="E187" s="32">
        <v>46113.0</v>
      </c>
      <c r="F187" s="32">
        <v>46171.0</v>
      </c>
      <c r="G187" s="33"/>
    </row>
    <row r="188" ht="15.75" customHeight="1">
      <c r="A188" s="26" t="s">
        <v>3852</v>
      </c>
      <c r="B188" s="27" t="s">
        <v>121</v>
      </c>
      <c r="C188" s="27" t="s">
        <v>1304</v>
      </c>
      <c r="D188" s="27" t="s">
        <v>3663</v>
      </c>
      <c r="E188" s="28">
        <v>46113.0</v>
      </c>
      <c r="F188" s="28">
        <v>46171.0</v>
      </c>
      <c r="G188" s="29"/>
    </row>
    <row r="189" ht="15.75" customHeight="1">
      <c r="A189" s="30" t="s">
        <v>3853</v>
      </c>
      <c r="B189" s="31" t="s">
        <v>121</v>
      </c>
      <c r="C189" s="31" t="s">
        <v>1306</v>
      </c>
      <c r="D189" s="31" t="s">
        <v>3663</v>
      </c>
      <c r="E189" s="32">
        <v>46113.0</v>
      </c>
      <c r="F189" s="32">
        <v>46171.0</v>
      </c>
      <c r="G189" s="33"/>
    </row>
    <row r="190" ht="15.75" customHeight="1">
      <c r="A190" s="26" t="s">
        <v>3854</v>
      </c>
      <c r="B190" s="27" t="s">
        <v>121</v>
      </c>
      <c r="C190" s="27" t="s">
        <v>1308</v>
      </c>
      <c r="D190" s="27" t="s">
        <v>3663</v>
      </c>
      <c r="E190" s="28">
        <v>46113.0</v>
      </c>
      <c r="F190" s="28">
        <v>46171.0</v>
      </c>
      <c r="G190" s="29"/>
    </row>
    <row r="191" ht="15.75" customHeight="1">
      <c r="A191" s="30" t="s">
        <v>3855</v>
      </c>
      <c r="B191" s="31" t="s">
        <v>121</v>
      </c>
      <c r="C191" s="31" t="s">
        <v>1310</v>
      </c>
      <c r="D191" s="31" t="s">
        <v>3663</v>
      </c>
      <c r="E191" s="32">
        <v>46113.0</v>
      </c>
      <c r="F191" s="32">
        <v>46171.0</v>
      </c>
      <c r="G191" s="33"/>
    </row>
    <row r="192" ht="15.75" customHeight="1">
      <c r="A192" s="26" t="s">
        <v>3856</v>
      </c>
      <c r="B192" s="27" t="s">
        <v>121</v>
      </c>
      <c r="C192" s="27" t="s">
        <v>1172</v>
      </c>
      <c r="D192" s="26" t="s">
        <v>3663</v>
      </c>
      <c r="E192" s="28">
        <v>46113.0</v>
      </c>
      <c r="F192" s="28">
        <v>46171.0</v>
      </c>
      <c r="G192" s="29"/>
    </row>
    <row r="193" ht="15.75" customHeight="1">
      <c r="A193" s="30" t="s">
        <v>3857</v>
      </c>
      <c r="B193" s="31" t="s">
        <v>121</v>
      </c>
      <c r="C193" s="31" t="s">
        <v>1312</v>
      </c>
      <c r="D193" s="30" t="s">
        <v>3663</v>
      </c>
      <c r="E193" s="32">
        <v>46113.0</v>
      </c>
      <c r="F193" s="32">
        <v>46171.0</v>
      </c>
      <c r="G193" s="33"/>
    </row>
    <row r="194" ht="15.75" customHeight="1">
      <c r="A194" s="26" t="s">
        <v>3858</v>
      </c>
      <c r="B194" s="27" t="s">
        <v>121</v>
      </c>
      <c r="C194" s="27" t="s">
        <v>3647</v>
      </c>
      <c r="D194" s="26" t="s">
        <v>3663</v>
      </c>
      <c r="E194" s="28">
        <v>46113.0</v>
      </c>
      <c r="F194" s="28">
        <v>46171.0</v>
      </c>
      <c r="G194" s="29"/>
    </row>
    <row r="195" ht="15.75" customHeight="1">
      <c r="A195" s="30" t="s">
        <v>3859</v>
      </c>
      <c r="B195" s="31" t="s">
        <v>121</v>
      </c>
      <c r="C195" s="31" t="s">
        <v>952</v>
      </c>
      <c r="D195" s="30" t="s">
        <v>3663</v>
      </c>
      <c r="E195" s="32">
        <v>46113.0</v>
      </c>
      <c r="F195" s="32">
        <v>46171.0</v>
      </c>
      <c r="G195" s="33"/>
    </row>
    <row r="196" ht="15.75" customHeight="1">
      <c r="A196" s="26" t="s">
        <v>3860</v>
      </c>
      <c r="B196" s="27" t="s">
        <v>121</v>
      </c>
      <c r="C196" s="27" t="s">
        <v>968</v>
      </c>
      <c r="D196" s="26" t="s">
        <v>3663</v>
      </c>
      <c r="E196" s="28">
        <v>46113.0</v>
      </c>
      <c r="F196" s="28">
        <v>46171.0</v>
      </c>
      <c r="G196" s="29"/>
    </row>
    <row r="197" ht="15.75" customHeight="1">
      <c r="A197" s="30" t="s">
        <v>3861</v>
      </c>
      <c r="B197" s="31" t="s">
        <v>121</v>
      </c>
      <c r="C197" s="31" t="s">
        <v>923</v>
      </c>
      <c r="D197" s="31" t="s">
        <v>3663</v>
      </c>
      <c r="E197" s="32">
        <v>46113.0</v>
      </c>
      <c r="F197" s="32">
        <v>46171.0</v>
      </c>
      <c r="G197" s="33"/>
    </row>
    <row r="198" ht="15.75" customHeight="1">
      <c r="A198" s="26" t="s">
        <v>3862</v>
      </c>
      <c r="B198" s="27" t="s">
        <v>125</v>
      </c>
      <c r="C198" s="27" t="s">
        <v>930</v>
      </c>
      <c r="D198" s="26" t="s">
        <v>3663</v>
      </c>
      <c r="E198" s="28">
        <v>46113.0</v>
      </c>
      <c r="F198" s="28">
        <v>46171.0</v>
      </c>
      <c r="G198" s="29"/>
    </row>
    <row r="199" ht="15.75" customHeight="1">
      <c r="A199" s="30" t="s">
        <v>3863</v>
      </c>
      <c r="B199" s="31" t="s">
        <v>125</v>
      </c>
      <c r="C199" s="31" t="s">
        <v>1354</v>
      </c>
      <c r="D199" s="30" t="s">
        <v>3663</v>
      </c>
      <c r="E199" s="32">
        <v>46113.0</v>
      </c>
      <c r="F199" s="32">
        <v>46171.0</v>
      </c>
      <c r="G199" s="33"/>
    </row>
    <row r="200" ht="15.75" customHeight="1">
      <c r="A200" s="26" t="s">
        <v>3864</v>
      </c>
      <c r="B200" s="27" t="s">
        <v>125</v>
      </c>
      <c r="C200" s="27" t="s">
        <v>1304</v>
      </c>
      <c r="D200" s="26" t="s">
        <v>3663</v>
      </c>
      <c r="E200" s="28">
        <v>46113.0</v>
      </c>
      <c r="F200" s="28">
        <v>46171.0</v>
      </c>
      <c r="G200" s="29"/>
    </row>
    <row r="201" ht="15.75" customHeight="1">
      <c r="A201" s="30" t="s">
        <v>3865</v>
      </c>
      <c r="B201" s="31" t="s">
        <v>125</v>
      </c>
      <c r="C201" s="31" t="s">
        <v>1306</v>
      </c>
      <c r="D201" s="30" t="s">
        <v>3663</v>
      </c>
      <c r="E201" s="32">
        <v>46113.0</v>
      </c>
      <c r="F201" s="32">
        <v>46171.0</v>
      </c>
      <c r="G201" s="33"/>
    </row>
    <row r="202" ht="15.75" customHeight="1">
      <c r="A202" s="26" t="s">
        <v>3866</v>
      </c>
      <c r="B202" s="27" t="s">
        <v>125</v>
      </c>
      <c r="C202" s="27" t="s">
        <v>1308</v>
      </c>
      <c r="D202" s="26" t="s">
        <v>3663</v>
      </c>
      <c r="E202" s="28">
        <v>46113.0</v>
      </c>
      <c r="F202" s="28">
        <v>46171.0</v>
      </c>
      <c r="G202" s="29"/>
    </row>
    <row r="203" ht="15.75" customHeight="1">
      <c r="A203" s="30" t="s">
        <v>3867</v>
      </c>
      <c r="B203" s="31" t="s">
        <v>125</v>
      </c>
      <c r="C203" s="31" t="s">
        <v>1310</v>
      </c>
      <c r="D203" s="30" t="s">
        <v>3663</v>
      </c>
      <c r="E203" s="32">
        <v>46113.0</v>
      </c>
      <c r="F203" s="32">
        <v>46171.0</v>
      </c>
      <c r="G203" s="33"/>
    </row>
    <row r="204" ht="15.75" customHeight="1">
      <c r="A204" s="26" t="s">
        <v>3868</v>
      </c>
      <c r="B204" s="27" t="s">
        <v>125</v>
      </c>
      <c r="C204" s="27" t="s">
        <v>3681</v>
      </c>
      <c r="D204" s="26" t="s">
        <v>3663</v>
      </c>
      <c r="E204" s="28">
        <v>46113.0</v>
      </c>
      <c r="F204" s="28">
        <v>46171.0</v>
      </c>
      <c r="G204" s="29"/>
    </row>
    <row r="205" ht="15.75" customHeight="1">
      <c r="A205" s="30" t="s">
        <v>3869</v>
      </c>
      <c r="B205" s="31" t="s">
        <v>125</v>
      </c>
      <c r="C205" s="31" t="s">
        <v>3683</v>
      </c>
      <c r="D205" s="30" t="s">
        <v>3663</v>
      </c>
      <c r="E205" s="32">
        <v>46113.0</v>
      </c>
      <c r="F205" s="32">
        <v>46171.0</v>
      </c>
      <c r="G205" s="33"/>
    </row>
    <row r="206" ht="15.75" customHeight="1">
      <c r="A206" s="26" t="s">
        <v>3870</v>
      </c>
      <c r="B206" s="27" t="s">
        <v>125</v>
      </c>
      <c r="C206" s="27" t="s">
        <v>1159</v>
      </c>
      <c r="D206" s="26" t="s">
        <v>3663</v>
      </c>
      <c r="E206" s="28">
        <v>46113.0</v>
      </c>
      <c r="F206" s="28">
        <v>46171.0</v>
      </c>
      <c r="G206" s="29"/>
    </row>
    <row r="207" ht="15.75" customHeight="1">
      <c r="A207" s="30" t="s">
        <v>3871</v>
      </c>
      <c r="B207" s="31" t="s">
        <v>125</v>
      </c>
      <c r="C207" s="31" t="s">
        <v>3647</v>
      </c>
      <c r="D207" s="30" t="s">
        <v>3663</v>
      </c>
      <c r="E207" s="32">
        <v>46113.0</v>
      </c>
      <c r="F207" s="32">
        <v>46171.0</v>
      </c>
      <c r="G207" s="33"/>
    </row>
    <row r="208" ht="15.75" customHeight="1">
      <c r="A208" s="26" t="s">
        <v>3872</v>
      </c>
      <c r="B208" s="27" t="s">
        <v>125</v>
      </c>
      <c r="C208" s="27" t="s">
        <v>952</v>
      </c>
      <c r="D208" s="26" t="s">
        <v>3663</v>
      </c>
      <c r="E208" s="28">
        <v>46113.0</v>
      </c>
      <c r="F208" s="28">
        <v>46171.0</v>
      </c>
      <c r="G208" s="29"/>
    </row>
    <row r="209" ht="15.75" customHeight="1">
      <c r="A209" s="30" t="s">
        <v>3873</v>
      </c>
      <c r="B209" s="31" t="s">
        <v>125</v>
      </c>
      <c r="C209" s="31" t="s">
        <v>968</v>
      </c>
      <c r="D209" s="30" t="s">
        <v>3663</v>
      </c>
      <c r="E209" s="32">
        <v>46113.0</v>
      </c>
      <c r="F209" s="32">
        <v>46171.0</v>
      </c>
      <c r="G209" s="33"/>
    </row>
    <row r="210" ht="15.75" customHeight="1">
      <c r="A210" s="26" t="s">
        <v>3874</v>
      </c>
      <c r="B210" s="27" t="s">
        <v>125</v>
      </c>
      <c r="C210" s="27" t="s">
        <v>923</v>
      </c>
      <c r="D210" s="26" t="s">
        <v>3663</v>
      </c>
      <c r="E210" s="28">
        <v>46113.0</v>
      </c>
      <c r="F210" s="28">
        <v>46171.0</v>
      </c>
      <c r="G210" s="29"/>
    </row>
    <row r="211" ht="15.75" customHeight="1">
      <c r="A211" s="30" t="s">
        <v>3875</v>
      </c>
      <c r="B211" s="31" t="s">
        <v>125</v>
      </c>
      <c r="C211" s="31" t="s">
        <v>955</v>
      </c>
      <c r="D211" s="30" t="s">
        <v>3663</v>
      </c>
      <c r="E211" s="32">
        <v>46113.0</v>
      </c>
      <c r="F211" s="32">
        <v>46171.0</v>
      </c>
      <c r="G211" s="33"/>
    </row>
    <row r="212" ht="15.75" customHeight="1">
      <c r="A212" s="26" t="s">
        <v>3876</v>
      </c>
      <c r="B212" s="27" t="s">
        <v>128</v>
      </c>
      <c r="C212" s="27" t="s">
        <v>932</v>
      </c>
      <c r="D212" s="26" t="s">
        <v>3663</v>
      </c>
      <c r="E212" s="28">
        <v>46113.0</v>
      </c>
      <c r="F212" s="28">
        <v>46171.0</v>
      </c>
      <c r="G212" s="29"/>
    </row>
    <row r="213" ht="15.75" customHeight="1">
      <c r="A213" s="30" t="s">
        <v>3877</v>
      </c>
      <c r="B213" s="31" t="s">
        <v>128</v>
      </c>
      <c r="C213" s="31" t="s">
        <v>1164</v>
      </c>
      <c r="D213" s="30" t="s">
        <v>3663</v>
      </c>
      <c r="E213" s="32">
        <v>46113.0</v>
      </c>
      <c r="F213" s="32">
        <v>46171.0</v>
      </c>
      <c r="G213" s="33"/>
    </row>
    <row r="214" ht="15.75" customHeight="1">
      <c r="A214" s="26" t="s">
        <v>3878</v>
      </c>
      <c r="B214" s="27" t="s">
        <v>128</v>
      </c>
      <c r="C214" s="27" t="s">
        <v>1166</v>
      </c>
      <c r="D214" s="26" t="s">
        <v>3663</v>
      </c>
      <c r="E214" s="28">
        <v>46113.0</v>
      </c>
      <c r="F214" s="28">
        <v>46171.0</v>
      </c>
      <c r="G214" s="29"/>
    </row>
    <row r="215" ht="15.75" customHeight="1">
      <c r="A215" s="30" t="s">
        <v>3879</v>
      </c>
      <c r="B215" s="31" t="s">
        <v>128</v>
      </c>
      <c r="C215" s="31" t="s">
        <v>1168</v>
      </c>
      <c r="D215" s="30" t="s">
        <v>3663</v>
      </c>
      <c r="E215" s="32">
        <v>46113.0</v>
      </c>
      <c r="F215" s="32">
        <v>46171.0</v>
      </c>
      <c r="G215" s="33"/>
    </row>
    <row r="216" ht="15.75" customHeight="1">
      <c r="A216" s="26" t="s">
        <v>3880</v>
      </c>
      <c r="B216" s="27" t="s">
        <v>128</v>
      </c>
      <c r="C216" s="27" t="s">
        <v>1170</v>
      </c>
      <c r="D216" s="26" t="s">
        <v>3663</v>
      </c>
      <c r="E216" s="28">
        <v>46113.0</v>
      </c>
      <c r="F216" s="28">
        <v>46171.0</v>
      </c>
      <c r="G216" s="29"/>
    </row>
    <row r="217" ht="15.75" customHeight="1">
      <c r="A217" s="30" t="s">
        <v>3881</v>
      </c>
      <c r="B217" s="31" t="s">
        <v>128</v>
      </c>
      <c r="C217" s="31" t="s">
        <v>1354</v>
      </c>
      <c r="D217" s="30" t="s">
        <v>3663</v>
      </c>
      <c r="E217" s="32">
        <v>46113.0</v>
      </c>
      <c r="F217" s="32">
        <v>46171.0</v>
      </c>
      <c r="G217" s="33"/>
    </row>
    <row r="218" ht="15.75" customHeight="1">
      <c r="A218" s="26" t="s">
        <v>3882</v>
      </c>
      <c r="B218" s="27" t="s">
        <v>128</v>
      </c>
      <c r="C218" s="27" t="s">
        <v>1208</v>
      </c>
      <c r="D218" s="26" t="s">
        <v>3663</v>
      </c>
      <c r="E218" s="28">
        <v>46113.0</v>
      </c>
      <c r="F218" s="28">
        <v>46171.0</v>
      </c>
      <c r="G218" s="29"/>
    </row>
    <row r="219" ht="15.75" customHeight="1">
      <c r="A219" s="30" t="s">
        <v>3883</v>
      </c>
      <c r="B219" s="31" t="s">
        <v>128</v>
      </c>
      <c r="C219" s="31" t="s">
        <v>1351</v>
      </c>
      <c r="D219" s="30" t="s">
        <v>3663</v>
      </c>
      <c r="E219" s="32">
        <v>46113.0</v>
      </c>
      <c r="F219" s="32">
        <v>46171.0</v>
      </c>
      <c r="G219" s="33"/>
    </row>
    <row r="220" ht="15.75" customHeight="1">
      <c r="A220" s="26" t="s">
        <v>3884</v>
      </c>
      <c r="B220" s="27" t="s">
        <v>128</v>
      </c>
      <c r="C220" s="27" t="s">
        <v>1349</v>
      </c>
      <c r="D220" s="26" t="s">
        <v>3663</v>
      </c>
      <c r="E220" s="28">
        <v>46113.0</v>
      </c>
      <c r="F220" s="28">
        <v>46171.0</v>
      </c>
      <c r="G220" s="29"/>
    </row>
    <row r="221" ht="15.75" customHeight="1">
      <c r="A221" s="30" t="s">
        <v>3885</v>
      </c>
      <c r="B221" s="31" t="s">
        <v>128</v>
      </c>
      <c r="C221" s="31" t="s">
        <v>3653</v>
      </c>
      <c r="D221" s="31" t="s">
        <v>3663</v>
      </c>
      <c r="E221" s="32">
        <v>46113.0</v>
      </c>
      <c r="F221" s="32">
        <v>46171.0</v>
      </c>
      <c r="G221" s="33"/>
    </row>
    <row r="222" ht="15.75" customHeight="1">
      <c r="A222" s="26" t="s">
        <v>3886</v>
      </c>
      <c r="B222" s="27" t="s">
        <v>128</v>
      </c>
      <c r="C222" s="27" t="s">
        <v>3652</v>
      </c>
      <c r="D222" s="26" t="s">
        <v>3663</v>
      </c>
      <c r="E222" s="28">
        <v>46113.0</v>
      </c>
      <c r="F222" s="28">
        <v>46171.0</v>
      </c>
      <c r="G222" s="29"/>
    </row>
    <row r="223" ht="15.75" customHeight="1">
      <c r="A223" s="30" t="s">
        <v>3887</v>
      </c>
      <c r="B223" s="31" t="s">
        <v>128</v>
      </c>
      <c r="C223" s="31" t="s">
        <v>968</v>
      </c>
      <c r="D223" s="30" t="s">
        <v>3663</v>
      </c>
      <c r="E223" s="32">
        <v>46113.0</v>
      </c>
      <c r="F223" s="32">
        <v>46171.0</v>
      </c>
      <c r="G223" s="33"/>
    </row>
    <row r="224" ht="15.75" customHeight="1">
      <c r="A224" s="26" t="s">
        <v>3888</v>
      </c>
      <c r="B224" s="27" t="s">
        <v>128</v>
      </c>
      <c r="C224" s="27" t="s">
        <v>923</v>
      </c>
      <c r="D224" s="26" t="s">
        <v>3663</v>
      </c>
      <c r="E224" s="28">
        <v>46113.0</v>
      </c>
      <c r="F224" s="28">
        <v>46171.0</v>
      </c>
      <c r="G224" s="29"/>
    </row>
    <row r="225" ht="15.75" customHeight="1">
      <c r="A225" s="30" t="s">
        <v>3889</v>
      </c>
      <c r="B225" s="31" t="s">
        <v>128</v>
      </c>
      <c r="C225" s="31" t="s">
        <v>961</v>
      </c>
      <c r="D225" s="30" t="s">
        <v>3663</v>
      </c>
      <c r="E225" s="32">
        <v>46113.0</v>
      </c>
      <c r="F225" s="32">
        <v>46171.0</v>
      </c>
      <c r="G225" s="33"/>
    </row>
    <row r="226" ht="15.75" customHeight="1">
      <c r="A226" s="26" t="s">
        <v>3890</v>
      </c>
      <c r="B226" s="27" t="s">
        <v>130</v>
      </c>
      <c r="C226" s="27" t="s">
        <v>928</v>
      </c>
      <c r="D226" s="26" t="s">
        <v>3663</v>
      </c>
      <c r="E226" s="28">
        <v>46113.0</v>
      </c>
      <c r="F226" s="28">
        <v>46171.0</v>
      </c>
      <c r="G226" s="29"/>
    </row>
    <row r="227" ht="15.75" customHeight="1">
      <c r="A227" s="30" t="s">
        <v>3891</v>
      </c>
      <c r="B227" s="31" t="s">
        <v>130</v>
      </c>
      <c r="C227" s="31" t="s">
        <v>1354</v>
      </c>
      <c r="D227" s="30" t="s">
        <v>3663</v>
      </c>
      <c r="E227" s="32">
        <v>46113.0</v>
      </c>
      <c r="F227" s="32">
        <v>46171.0</v>
      </c>
      <c r="G227" s="33"/>
    </row>
    <row r="228" ht="15.75" customHeight="1">
      <c r="A228" s="26" t="s">
        <v>3892</v>
      </c>
      <c r="B228" s="27" t="s">
        <v>130</v>
      </c>
      <c r="C228" s="27" t="s">
        <v>1222</v>
      </c>
      <c r="D228" s="26" t="s">
        <v>3663</v>
      </c>
      <c r="E228" s="28">
        <v>46113.0</v>
      </c>
      <c r="F228" s="28">
        <v>46171.0</v>
      </c>
      <c r="G228" s="29"/>
    </row>
    <row r="229" ht="15.75" customHeight="1">
      <c r="A229" s="30" t="s">
        <v>3893</v>
      </c>
      <c r="B229" s="31" t="s">
        <v>130</v>
      </c>
      <c r="C229" s="31" t="s">
        <v>1224</v>
      </c>
      <c r="D229" s="30" t="s">
        <v>3663</v>
      </c>
      <c r="E229" s="32">
        <v>46113.0</v>
      </c>
      <c r="F229" s="32">
        <v>46171.0</v>
      </c>
      <c r="G229" s="33"/>
    </row>
    <row r="230" ht="15.75" customHeight="1">
      <c r="A230" s="26" t="s">
        <v>3894</v>
      </c>
      <c r="B230" s="27" t="s">
        <v>130</v>
      </c>
      <c r="C230" s="27" t="s">
        <v>1226</v>
      </c>
      <c r="D230" s="26" t="s">
        <v>3663</v>
      </c>
      <c r="E230" s="28">
        <v>46113.0</v>
      </c>
      <c r="F230" s="28">
        <v>46171.0</v>
      </c>
      <c r="G230" s="29"/>
    </row>
    <row r="231" ht="15.75" customHeight="1">
      <c r="A231" s="30" t="s">
        <v>3895</v>
      </c>
      <c r="B231" s="31" t="s">
        <v>130</v>
      </c>
      <c r="C231" s="31" t="s">
        <v>1228</v>
      </c>
      <c r="D231" s="30" t="s">
        <v>3663</v>
      </c>
      <c r="E231" s="32">
        <v>46113.0</v>
      </c>
      <c r="F231" s="32">
        <v>46171.0</v>
      </c>
      <c r="G231" s="33"/>
    </row>
    <row r="232" ht="15.75" customHeight="1">
      <c r="A232" s="26" t="s">
        <v>3896</v>
      </c>
      <c r="B232" s="27" t="s">
        <v>130</v>
      </c>
      <c r="C232" s="27" t="s">
        <v>1159</v>
      </c>
      <c r="D232" s="26" t="s">
        <v>3663</v>
      </c>
      <c r="E232" s="28">
        <v>46113.0</v>
      </c>
      <c r="F232" s="28">
        <v>46171.0</v>
      </c>
      <c r="G232" s="29"/>
    </row>
    <row r="233" ht="15.75" customHeight="1">
      <c r="A233" s="30" t="s">
        <v>3897</v>
      </c>
      <c r="B233" s="31" t="s">
        <v>130</v>
      </c>
      <c r="C233" s="31" t="s">
        <v>1351</v>
      </c>
      <c r="D233" s="30" t="s">
        <v>3663</v>
      </c>
      <c r="E233" s="32">
        <v>46113.0</v>
      </c>
      <c r="F233" s="32">
        <v>46171.0</v>
      </c>
      <c r="G233" s="33"/>
    </row>
    <row r="234" ht="15.75" customHeight="1">
      <c r="A234" s="26" t="s">
        <v>3898</v>
      </c>
      <c r="B234" s="27" t="s">
        <v>130</v>
      </c>
      <c r="C234" s="27" t="s">
        <v>1349</v>
      </c>
      <c r="D234" s="26" t="s">
        <v>3663</v>
      </c>
      <c r="E234" s="28">
        <v>46113.0</v>
      </c>
      <c r="F234" s="28">
        <v>46171.0</v>
      </c>
      <c r="G234" s="29"/>
    </row>
    <row r="235" ht="15.75" customHeight="1">
      <c r="A235" s="30" t="s">
        <v>3899</v>
      </c>
      <c r="B235" s="31" t="s">
        <v>130</v>
      </c>
      <c r="C235" s="31" t="s">
        <v>3653</v>
      </c>
      <c r="D235" s="31" t="s">
        <v>3663</v>
      </c>
      <c r="E235" s="32">
        <v>46113.0</v>
      </c>
      <c r="F235" s="32">
        <v>46171.0</v>
      </c>
      <c r="G235" s="33"/>
    </row>
    <row r="236" ht="15.75" customHeight="1">
      <c r="A236" s="26" t="s">
        <v>3900</v>
      </c>
      <c r="B236" s="27" t="s">
        <v>130</v>
      </c>
      <c r="C236" s="27" t="s">
        <v>3652</v>
      </c>
      <c r="D236" s="26" t="s">
        <v>3663</v>
      </c>
      <c r="E236" s="28">
        <v>46113.0</v>
      </c>
      <c r="F236" s="28">
        <v>46171.0</v>
      </c>
      <c r="G236" s="29"/>
    </row>
    <row r="237" ht="15.75" customHeight="1">
      <c r="A237" s="30" t="s">
        <v>3901</v>
      </c>
      <c r="B237" s="31" t="s">
        <v>130</v>
      </c>
      <c r="C237" s="31" t="s">
        <v>968</v>
      </c>
      <c r="D237" s="30" t="s">
        <v>3663</v>
      </c>
      <c r="E237" s="32">
        <v>46113.0</v>
      </c>
      <c r="F237" s="32">
        <v>46171.0</v>
      </c>
      <c r="G237" s="33"/>
    </row>
    <row r="238" ht="15.75" customHeight="1">
      <c r="A238" s="26" t="s">
        <v>3902</v>
      </c>
      <c r="B238" s="27" t="s">
        <v>130</v>
      </c>
      <c r="C238" s="27" t="s">
        <v>923</v>
      </c>
      <c r="D238" s="26" t="s">
        <v>3663</v>
      </c>
      <c r="E238" s="28">
        <v>46113.0</v>
      </c>
      <c r="F238" s="28">
        <v>46171.0</v>
      </c>
      <c r="G238" s="29"/>
    </row>
    <row r="239" ht="15.75" customHeight="1">
      <c r="A239" s="30" t="s">
        <v>3903</v>
      </c>
      <c r="B239" s="31" t="s">
        <v>130</v>
      </c>
      <c r="C239" s="31" t="s">
        <v>955</v>
      </c>
      <c r="D239" s="30" t="s">
        <v>3663</v>
      </c>
      <c r="E239" s="32">
        <v>46113.0</v>
      </c>
      <c r="F239" s="32">
        <v>46171.0</v>
      </c>
      <c r="G239" s="33"/>
    </row>
    <row r="240" ht="15.75" customHeight="1">
      <c r="A240" s="26" t="s">
        <v>3904</v>
      </c>
      <c r="B240" s="27" t="s">
        <v>133</v>
      </c>
      <c r="C240" s="27" t="s">
        <v>3654</v>
      </c>
      <c r="D240" s="26" t="s">
        <v>3663</v>
      </c>
      <c r="E240" s="28">
        <v>46113.0</v>
      </c>
      <c r="F240" s="28">
        <v>46171.0</v>
      </c>
      <c r="G240" s="29"/>
    </row>
    <row r="241" ht="15.75" customHeight="1">
      <c r="A241" s="30" t="s">
        <v>3905</v>
      </c>
      <c r="B241" s="31" t="s">
        <v>133</v>
      </c>
      <c r="C241" s="31" t="s">
        <v>3655</v>
      </c>
      <c r="D241" s="30" t="s">
        <v>3663</v>
      </c>
      <c r="E241" s="32">
        <v>46113.0</v>
      </c>
      <c r="F241" s="32">
        <v>46171.0</v>
      </c>
      <c r="G241" s="33"/>
    </row>
    <row r="242" ht="15.75" customHeight="1">
      <c r="A242" s="26" t="s">
        <v>3906</v>
      </c>
      <c r="B242" s="27" t="s">
        <v>133</v>
      </c>
      <c r="C242" s="27" t="s">
        <v>930</v>
      </c>
      <c r="D242" s="27" t="s">
        <v>3663</v>
      </c>
      <c r="E242" s="28">
        <v>46113.0</v>
      </c>
      <c r="F242" s="28">
        <v>46171.0</v>
      </c>
      <c r="G242" s="29"/>
    </row>
    <row r="243" ht="15.75" customHeight="1">
      <c r="A243" s="30" t="s">
        <v>3907</v>
      </c>
      <c r="B243" s="31" t="s">
        <v>133</v>
      </c>
      <c r="C243" s="31" t="s">
        <v>1354</v>
      </c>
      <c r="D243" s="30" t="s">
        <v>3663</v>
      </c>
      <c r="E243" s="32">
        <v>46113.0</v>
      </c>
      <c r="F243" s="32">
        <v>46171.0</v>
      </c>
      <c r="G243" s="33"/>
    </row>
    <row r="244" ht="15.75" customHeight="1">
      <c r="A244" s="26" t="s">
        <v>3908</v>
      </c>
      <c r="B244" s="27" t="s">
        <v>133</v>
      </c>
      <c r="C244" s="27" t="s">
        <v>1304</v>
      </c>
      <c r="D244" s="27" t="s">
        <v>3663</v>
      </c>
      <c r="E244" s="28">
        <v>46113.0</v>
      </c>
      <c r="F244" s="28">
        <v>46171.0</v>
      </c>
      <c r="G244" s="29"/>
    </row>
    <row r="245" ht="15.75" customHeight="1">
      <c r="A245" s="30" t="s">
        <v>3909</v>
      </c>
      <c r="B245" s="31" t="s">
        <v>133</v>
      </c>
      <c r="C245" s="31" t="s">
        <v>1306</v>
      </c>
      <c r="D245" s="31" t="s">
        <v>3663</v>
      </c>
      <c r="E245" s="32">
        <v>46113.0</v>
      </c>
      <c r="F245" s="32">
        <v>46171.0</v>
      </c>
      <c r="G245" s="33"/>
    </row>
    <row r="246" ht="15.75" customHeight="1">
      <c r="A246" s="26" t="s">
        <v>3910</v>
      </c>
      <c r="B246" s="27" t="s">
        <v>133</v>
      </c>
      <c r="C246" s="27" t="s">
        <v>1308</v>
      </c>
      <c r="D246" s="27" t="s">
        <v>3663</v>
      </c>
      <c r="E246" s="28">
        <v>46113.0</v>
      </c>
      <c r="F246" s="28">
        <v>46171.0</v>
      </c>
      <c r="G246" s="29"/>
    </row>
    <row r="247" ht="15.75" customHeight="1">
      <c r="A247" s="30" t="s">
        <v>3911</v>
      </c>
      <c r="B247" s="31" t="s">
        <v>133</v>
      </c>
      <c r="C247" s="31" t="s">
        <v>1310</v>
      </c>
      <c r="D247" s="31" t="s">
        <v>3663</v>
      </c>
      <c r="E247" s="32">
        <v>46113.0</v>
      </c>
      <c r="F247" s="32">
        <v>46171.0</v>
      </c>
      <c r="G247" s="33"/>
    </row>
    <row r="248" ht="15.75" customHeight="1">
      <c r="A248" s="26" t="s">
        <v>3912</v>
      </c>
      <c r="B248" s="27" t="s">
        <v>133</v>
      </c>
      <c r="C248" s="27" t="s">
        <v>3647</v>
      </c>
      <c r="D248" s="26" t="s">
        <v>3663</v>
      </c>
      <c r="E248" s="28">
        <v>46113.0</v>
      </c>
      <c r="F248" s="28">
        <v>46171.0</v>
      </c>
      <c r="G248" s="29"/>
    </row>
    <row r="249" ht="15.75" customHeight="1">
      <c r="A249" s="30" t="s">
        <v>3913</v>
      </c>
      <c r="B249" s="31" t="s">
        <v>133</v>
      </c>
      <c r="C249" s="31" t="s">
        <v>952</v>
      </c>
      <c r="D249" s="30" t="s">
        <v>3663</v>
      </c>
      <c r="E249" s="32">
        <v>46113.0</v>
      </c>
      <c r="F249" s="32">
        <v>46171.0</v>
      </c>
      <c r="G249" s="33"/>
    </row>
    <row r="250" ht="15.75" customHeight="1">
      <c r="A250" s="26" t="s">
        <v>3914</v>
      </c>
      <c r="B250" s="27" t="s">
        <v>133</v>
      </c>
      <c r="C250" s="27" t="s">
        <v>1218</v>
      </c>
      <c r="D250" s="26" t="s">
        <v>3663</v>
      </c>
      <c r="E250" s="28">
        <v>46113.0</v>
      </c>
      <c r="F250" s="28">
        <v>46171.0</v>
      </c>
      <c r="G250" s="29"/>
    </row>
    <row r="251" ht="15.75" customHeight="1">
      <c r="A251" s="30" t="s">
        <v>3915</v>
      </c>
      <c r="B251" s="31" t="s">
        <v>133</v>
      </c>
      <c r="C251" s="31" t="s">
        <v>968</v>
      </c>
      <c r="D251" s="30" t="s">
        <v>3663</v>
      </c>
      <c r="E251" s="32">
        <v>46113.0</v>
      </c>
      <c r="F251" s="32">
        <v>46171.0</v>
      </c>
      <c r="G251" s="33"/>
    </row>
    <row r="252" ht="15.75" customHeight="1">
      <c r="A252" s="26" t="s">
        <v>3916</v>
      </c>
      <c r="B252" s="27" t="s">
        <v>133</v>
      </c>
      <c r="C252" s="27" t="s">
        <v>923</v>
      </c>
      <c r="D252" s="27" t="s">
        <v>3663</v>
      </c>
      <c r="E252" s="28">
        <v>46113.0</v>
      </c>
      <c r="F252" s="28">
        <v>46171.0</v>
      </c>
      <c r="G252" s="29"/>
    </row>
    <row r="253" ht="15.75" customHeight="1">
      <c r="A253" s="30" t="s">
        <v>3917</v>
      </c>
      <c r="B253" s="31" t="s">
        <v>133</v>
      </c>
      <c r="C253" s="31" t="s">
        <v>955</v>
      </c>
      <c r="D253" s="30" t="s">
        <v>3663</v>
      </c>
      <c r="E253" s="32">
        <v>46113.0</v>
      </c>
      <c r="F253" s="32">
        <v>46171.0</v>
      </c>
      <c r="G253" s="33"/>
    </row>
    <row r="254" ht="15.75" customHeight="1">
      <c r="A254" s="26" t="s">
        <v>3918</v>
      </c>
      <c r="B254" s="27" t="s">
        <v>138</v>
      </c>
      <c r="C254" s="27" t="s">
        <v>930</v>
      </c>
      <c r="D254" s="27" t="s">
        <v>3663</v>
      </c>
      <c r="E254" s="28">
        <v>46113.0</v>
      </c>
      <c r="F254" s="28">
        <v>46171.0</v>
      </c>
      <c r="G254" s="29"/>
    </row>
    <row r="255" ht="15.75" customHeight="1">
      <c r="A255" s="30" t="s">
        <v>3919</v>
      </c>
      <c r="B255" s="31" t="s">
        <v>138</v>
      </c>
      <c r="C255" s="31" t="s">
        <v>1354</v>
      </c>
      <c r="D255" s="30" t="s">
        <v>3663</v>
      </c>
      <c r="E255" s="32">
        <v>46113.0</v>
      </c>
      <c r="F255" s="32">
        <v>46171.0</v>
      </c>
      <c r="G255" s="33"/>
    </row>
    <row r="256" ht="15.75" customHeight="1">
      <c r="A256" s="26" t="s">
        <v>3920</v>
      </c>
      <c r="B256" s="27" t="s">
        <v>138</v>
      </c>
      <c r="C256" s="27" t="s">
        <v>1304</v>
      </c>
      <c r="D256" s="27" t="s">
        <v>3663</v>
      </c>
      <c r="E256" s="28">
        <v>46113.0</v>
      </c>
      <c r="F256" s="28">
        <v>46171.0</v>
      </c>
      <c r="G256" s="29"/>
    </row>
    <row r="257" ht="15.75" customHeight="1">
      <c r="A257" s="30" t="s">
        <v>3921</v>
      </c>
      <c r="B257" s="31" t="s">
        <v>138</v>
      </c>
      <c r="C257" s="31" t="s">
        <v>1306</v>
      </c>
      <c r="D257" s="31" t="s">
        <v>3663</v>
      </c>
      <c r="E257" s="32">
        <v>46113.0</v>
      </c>
      <c r="F257" s="32">
        <v>46171.0</v>
      </c>
      <c r="G257" s="33"/>
    </row>
    <row r="258" ht="15.75" customHeight="1">
      <c r="A258" s="26" t="s">
        <v>3922</v>
      </c>
      <c r="B258" s="27" t="s">
        <v>138</v>
      </c>
      <c r="C258" s="27" t="s">
        <v>1308</v>
      </c>
      <c r="D258" s="27" t="s">
        <v>3663</v>
      </c>
      <c r="E258" s="28">
        <v>46113.0</v>
      </c>
      <c r="F258" s="28">
        <v>46171.0</v>
      </c>
      <c r="G258" s="29"/>
    </row>
    <row r="259" ht="15.75" customHeight="1">
      <c r="A259" s="30" t="s">
        <v>3923</v>
      </c>
      <c r="B259" s="31" t="s">
        <v>138</v>
      </c>
      <c r="C259" s="31" t="s">
        <v>1310</v>
      </c>
      <c r="D259" s="31" t="s">
        <v>3663</v>
      </c>
      <c r="E259" s="32">
        <v>46113.0</v>
      </c>
      <c r="F259" s="32">
        <v>46171.0</v>
      </c>
      <c r="G259" s="33"/>
    </row>
    <row r="260" ht="15.75" customHeight="1">
      <c r="A260" s="26" t="s">
        <v>3924</v>
      </c>
      <c r="B260" s="27" t="s">
        <v>138</v>
      </c>
      <c r="C260" s="27" t="s">
        <v>3656</v>
      </c>
      <c r="D260" s="26" t="s">
        <v>3663</v>
      </c>
      <c r="E260" s="28">
        <v>46113.0</v>
      </c>
      <c r="F260" s="28">
        <v>46171.0</v>
      </c>
      <c r="G260" s="29"/>
    </row>
    <row r="261" ht="15.75" customHeight="1">
      <c r="A261" s="30" t="s">
        <v>3925</v>
      </c>
      <c r="B261" s="31" t="s">
        <v>138</v>
      </c>
      <c r="C261" s="31" t="s">
        <v>3657</v>
      </c>
      <c r="D261" s="30" t="s">
        <v>3663</v>
      </c>
      <c r="E261" s="32">
        <v>46113.0</v>
      </c>
      <c r="F261" s="32">
        <v>46171.0</v>
      </c>
      <c r="G261" s="33"/>
    </row>
    <row r="262" ht="15.75" customHeight="1">
      <c r="A262" s="26" t="s">
        <v>3926</v>
      </c>
      <c r="B262" s="27" t="s">
        <v>138</v>
      </c>
      <c r="C262" s="27" t="s">
        <v>3647</v>
      </c>
      <c r="D262" s="26" t="s">
        <v>3663</v>
      </c>
      <c r="E262" s="28">
        <v>46113.0</v>
      </c>
      <c r="F262" s="28">
        <v>46171.0</v>
      </c>
      <c r="G262" s="29"/>
    </row>
    <row r="263" ht="15.75" customHeight="1">
      <c r="A263" s="30" t="s">
        <v>3927</v>
      </c>
      <c r="B263" s="31" t="s">
        <v>138</v>
      </c>
      <c r="C263" s="31" t="s">
        <v>952</v>
      </c>
      <c r="D263" s="30" t="s">
        <v>3663</v>
      </c>
      <c r="E263" s="32">
        <v>46113.0</v>
      </c>
      <c r="F263" s="32">
        <v>46171.0</v>
      </c>
      <c r="G263" s="33"/>
    </row>
    <row r="264" ht="15.75" customHeight="1">
      <c r="A264" s="26" t="s">
        <v>3928</v>
      </c>
      <c r="B264" s="27" t="s">
        <v>138</v>
      </c>
      <c r="C264" s="27" t="s">
        <v>1216</v>
      </c>
      <c r="D264" s="26" t="s">
        <v>3663</v>
      </c>
      <c r="E264" s="28">
        <v>46113.0</v>
      </c>
      <c r="F264" s="28">
        <v>46171.0</v>
      </c>
      <c r="G264" s="29"/>
    </row>
    <row r="265" ht="15.75" customHeight="1">
      <c r="A265" s="30" t="s">
        <v>3929</v>
      </c>
      <c r="B265" s="31" t="s">
        <v>138</v>
      </c>
      <c r="C265" s="31" t="s">
        <v>1218</v>
      </c>
      <c r="D265" s="30" t="s">
        <v>3663</v>
      </c>
      <c r="E265" s="32">
        <v>46113.0</v>
      </c>
      <c r="F265" s="32">
        <v>46171.0</v>
      </c>
      <c r="G265" s="33"/>
    </row>
    <row r="266" ht="15.75" customHeight="1">
      <c r="A266" s="26" t="s">
        <v>3930</v>
      </c>
      <c r="B266" s="27" t="s">
        <v>138</v>
      </c>
      <c r="C266" s="27" t="s">
        <v>968</v>
      </c>
      <c r="D266" s="26" t="s">
        <v>3663</v>
      </c>
      <c r="E266" s="28">
        <v>46113.0</v>
      </c>
      <c r="F266" s="28">
        <v>46171.0</v>
      </c>
      <c r="G266" s="29"/>
    </row>
    <row r="267" ht="15.75" customHeight="1">
      <c r="A267" s="30" t="s">
        <v>3931</v>
      </c>
      <c r="B267" s="31" t="s">
        <v>138</v>
      </c>
      <c r="C267" s="31" t="s">
        <v>923</v>
      </c>
      <c r="D267" s="31" t="s">
        <v>3663</v>
      </c>
      <c r="E267" s="32">
        <v>46113.0</v>
      </c>
      <c r="F267" s="32">
        <v>46171.0</v>
      </c>
      <c r="G267" s="33"/>
    </row>
    <row r="268" ht="15.75" customHeight="1">
      <c r="A268" s="26" t="s">
        <v>3932</v>
      </c>
      <c r="B268" s="27" t="s">
        <v>140</v>
      </c>
      <c r="C268" s="27" t="s">
        <v>934</v>
      </c>
      <c r="D268" s="26" t="s">
        <v>3663</v>
      </c>
      <c r="E268" s="28">
        <v>46113.0</v>
      </c>
      <c r="F268" s="28">
        <v>46171.0</v>
      </c>
      <c r="G268" s="29"/>
    </row>
    <row r="269" ht="15.75" customHeight="1">
      <c r="A269" s="30" t="s">
        <v>3933</v>
      </c>
      <c r="B269" s="31" t="s">
        <v>140</v>
      </c>
      <c r="C269" s="31" t="s">
        <v>1354</v>
      </c>
      <c r="D269" s="30" t="s">
        <v>3663</v>
      </c>
      <c r="E269" s="32">
        <v>46113.0</v>
      </c>
      <c r="F269" s="32">
        <v>46171.0</v>
      </c>
      <c r="G269" s="33"/>
    </row>
    <row r="270" ht="15.75" customHeight="1">
      <c r="A270" s="26" t="s">
        <v>3934</v>
      </c>
      <c r="B270" s="27" t="s">
        <v>140</v>
      </c>
      <c r="C270" s="27" t="s">
        <v>1312</v>
      </c>
      <c r="D270" s="26" t="s">
        <v>3663</v>
      </c>
      <c r="E270" s="28">
        <v>46113.0</v>
      </c>
      <c r="F270" s="28">
        <v>46171.0</v>
      </c>
      <c r="G270" s="29"/>
    </row>
    <row r="271" ht="15.75" customHeight="1">
      <c r="A271" s="30" t="s">
        <v>3935</v>
      </c>
      <c r="B271" s="31" t="s">
        <v>140</v>
      </c>
      <c r="C271" s="31" t="s">
        <v>1208</v>
      </c>
      <c r="D271" s="30" t="s">
        <v>3663</v>
      </c>
      <c r="E271" s="32">
        <v>46113.0</v>
      </c>
      <c r="F271" s="32">
        <v>46171.0</v>
      </c>
      <c r="G271" s="33"/>
    </row>
    <row r="272" ht="15.75" customHeight="1">
      <c r="A272" s="26" t="s">
        <v>3936</v>
      </c>
      <c r="B272" s="27" t="s">
        <v>140</v>
      </c>
      <c r="C272" s="27" t="s">
        <v>1157</v>
      </c>
      <c r="D272" s="26" t="s">
        <v>3663</v>
      </c>
      <c r="E272" s="28">
        <v>46113.0</v>
      </c>
      <c r="F272" s="28">
        <v>46171.0</v>
      </c>
      <c r="G272" s="29"/>
    </row>
    <row r="273" ht="15.75" customHeight="1">
      <c r="A273" s="30" t="s">
        <v>3937</v>
      </c>
      <c r="B273" s="31" t="s">
        <v>140</v>
      </c>
      <c r="C273" s="31" t="s">
        <v>1155</v>
      </c>
      <c r="D273" s="30" t="s">
        <v>3663</v>
      </c>
      <c r="E273" s="32">
        <v>46113.0</v>
      </c>
      <c r="F273" s="32">
        <v>46171.0</v>
      </c>
      <c r="G273" s="33"/>
    </row>
    <row r="274" ht="15.75" customHeight="1">
      <c r="A274" s="26" t="s">
        <v>3938</v>
      </c>
      <c r="B274" s="27" t="s">
        <v>140</v>
      </c>
      <c r="C274" s="27" t="s">
        <v>1153</v>
      </c>
      <c r="D274" s="26" t="s">
        <v>3663</v>
      </c>
      <c r="E274" s="28">
        <v>46113.0</v>
      </c>
      <c r="F274" s="28">
        <v>46171.0</v>
      </c>
      <c r="G274" s="29"/>
    </row>
    <row r="275" ht="15.75" customHeight="1">
      <c r="A275" s="30" t="s">
        <v>3939</v>
      </c>
      <c r="B275" s="31" t="s">
        <v>140</v>
      </c>
      <c r="C275" s="31" t="s">
        <v>1149</v>
      </c>
      <c r="D275" s="30" t="s">
        <v>3663</v>
      </c>
      <c r="E275" s="32">
        <v>46113.0</v>
      </c>
      <c r="F275" s="32">
        <v>46171.0</v>
      </c>
      <c r="G275" s="33"/>
    </row>
    <row r="276" ht="15.75" customHeight="1">
      <c r="A276" s="26" t="s">
        <v>3940</v>
      </c>
      <c r="B276" s="27" t="s">
        <v>140</v>
      </c>
      <c r="C276" s="27" t="s">
        <v>1351</v>
      </c>
      <c r="D276" s="26" t="s">
        <v>3663</v>
      </c>
      <c r="E276" s="28">
        <v>46113.0</v>
      </c>
      <c r="F276" s="28">
        <v>46171.0</v>
      </c>
      <c r="G276" s="29"/>
    </row>
    <row r="277" ht="15.75" customHeight="1">
      <c r="A277" s="30" t="s">
        <v>3941</v>
      </c>
      <c r="B277" s="31" t="s">
        <v>140</v>
      </c>
      <c r="C277" s="31" t="s">
        <v>1349</v>
      </c>
      <c r="D277" s="30" t="s">
        <v>3663</v>
      </c>
      <c r="E277" s="32">
        <v>46113.0</v>
      </c>
      <c r="F277" s="32">
        <v>46171.0</v>
      </c>
      <c r="G277" s="33"/>
    </row>
    <row r="278" ht="15.75" customHeight="1">
      <c r="A278" s="26" t="s">
        <v>3942</v>
      </c>
      <c r="B278" s="27" t="s">
        <v>140</v>
      </c>
      <c r="C278" s="27" t="s">
        <v>3653</v>
      </c>
      <c r="D278" s="27" t="s">
        <v>3663</v>
      </c>
      <c r="E278" s="28">
        <v>46113.0</v>
      </c>
      <c r="F278" s="28">
        <v>46171.0</v>
      </c>
      <c r="G278" s="29"/>
    </row>
    <row r="279" ht="15.75" customHeight="1">
      <c r="A279" s="30" t="s">
        <v>3943</v>
      </c>
      <c r="B279" s="31" t="s">
        <v>140</v>
      </c>
      <c r="C279" s="31" t="s">
        <v>3652</v>
      </c>
      <c r="D279" s="30" t="s">
        <v>3663</v>
      </c>
      <c r="E279" s="32">
        <v>46113.0</v>
      </c>
      <c r="F279" s="32">
        <v>46171.0</v>
      </c>
      <c r="G279" s="33"/>
    </row>
    <row r="280" ht="15.75" customHeight="1">
      <c r="A280" s="26" t="s">
        <v>3944</v>
      </c>
      <c r="B280" s="27" t="s">
        <v>140</v>
      </c>
      <c r="C280" s="27" t="s">
        <v>968</v>
      </c>
      <c r="D280" s="26" t="s">
        <v>3663</v>
      </c>
      <c r="E280" s="28">
        <v>46113.0</v>
      </c>
      <c r="F280" s="28">
        <v>46171.0</v>
      </c>
      <c r="G280" s="29"/>
    </row>
    <row r="281" ht="15.75" customHeight="1">
      <c r="A281" s="30" t="s">
        <v>3945</v>
      </c>
      <c r="B281" s="31" t="s">
        <v>140</v>
      </c>
      <c r="C281" s="31" t="s">
        <v>923</v>
      </c>
      <c r="D281" s="30" t="s">
        <v>3663</v>
      </c>
      <c r="E281" s="32">
        <v>46113.0</v>
      </c>
      <c r="F281" s="32">
        <v>46171.0</v>
      </c>
      <c r="G281" s="33"/>
    </row>
    <row r="282" ht="15.75" customHeight="1">
      <c r="A282" s="26" t="s">
        <v>3946</v>
      </c>
      <c r="B282" s="27" t="s">
        <v>2278</v>
      </c>
      <c r="C282" s="27" t="s">
        <v>930</v>
      </c>
      <c r="D282" s="26" t="s">
        <v>3663</v>
      </c>
      <c r="E282" s="28">
        <v>46113.0</v>
      </c>
      <c r="F282" s="28">
        <v>46171.0</v>
      </c>
      <c r="G282" s="29"/>
    </row>
    <row r="283" ht="15.75" customHeight="1">
      <c r="A283" s="30" t="s">
        <v>3947</v>
      </c>
      <c r="B283" s="31" t="s">
        <v>2278</v>
      </c>
      <c r="C283" s="31" t="s">
        <v>1354</v>
      </c>
      <c r="D283" s="30" t="s">
        <v>3663</v>
      </c>
      <c r="E283" s="32">
        <v>46113.0</v>
      </c>
      <c r="F283" s="32">
        <v>46171.0</v>
      </c>
      <c r="G283" s="33"/>
    </row>
    <row r="284" ht="15.75" customHeight="1">
      <c r="A284" s="26" t="s">
        <v>3948</v>
      </c>
      <c r="B284" s="27" t="s">
        <v>2278</v>
      </c>
      <c r="C284" s="27" t="s">
        <v>3641</v>
      </c>
      <c r="D284" s="26" t="s">
        <v>3663</v>
      </c>
      <c r="E284" s="28">
        <v>46113.0</v>
      </c>
      <c r="F284" s="28">
        <v>46171.0</v>
      </c>
      <c r="G284" s="29"/>
    </row>
    <row r="285" ht="15.75" customHeight="1">
      <c r="A285" s="30" t="s">
        <v>3949</v>
      </c>
      <c r="B285" s="31" t="s">
        <v>2278</v>
      </c>
      <c r="C285" s="31" t="s">
        <v>1304</v>
      </c>
      <c r="D285" s="30" t="s">
        <v>3663</v>
      </c>
      <c r="E285" s="32">
        <v>46113.0</v>
      </c>
      <c r="F285" s="32">
        <v>46171.0</v>
      </c>
      <c r="G285" s="33"/>
    </row>
    <row r="286" ht="15.75" customHeight="1">
      <c r="A286" s="26" t="s">
        <v>3950</v>
      </c>
      <c r="B286" s="27" t="s">
        <v>2278</v>
      </c>
      <c r="C286" s="27" t="s">
        <v>3642</v>
      </c>
      <c r="D286" s="26" t="s">
        <v>3663</v>
      </c>
      <c r="E286" s="28">
        <v>46113.0</v>
      </c>
      <c r="F286" s="28">
        <v>46171.0</v>
      </c>
      <c r="G286" s="29"/>
    </row>
    <row r="287" ht="15.75" customHeight="1">
      <c r="A287" s="30" t="s">
        <v>3951</v>
      </c>
      <c r="B287" s="31" t="s">
        <v>2278</v>
      </c>
      <c r="C287" s="31" t="s">
        <v>1308</v>
      </c>
      <c r="D287" s="30" t="s">
        <v>3663</v>
      </c>
      <c r="E287" s="32">
        <v>46113.0</v>
      </c>
      <c r="F287" s="32">
        <v>46171.0</v>
      </c>
      <c r="G287" s="33"/>
    </row>
    <row r="288" ht="15.75" customHeight="1">
      <c r="A288" s="26" t="s">
        <v>3952</v>
      </c>
      <c r="B288" s="27" t="s">
        <v>2278</v>
      </c>
      <c r="C288" s="27" t="s">
        <v>3681</v>
      </c>
      <c r="D288" s="26" t="s">
        <v>3663</v>
      </c>
      <c r="E288" s="28">
        <v>46113.0</v>
      </c>
      <c r="F288" s="28">
        <v>46171.0</v>
      </c>
      <c r="G288" s="29"/>
    </row>
    <row r="289" ht="15.75" customHeight="1">
      <c r="A289" s="30" t="s">
        <v>3953</v>
      </c>
      <c r="B289" s="31" t="s">
        <v>2278</v>
      </c>
      <c r="C289" s="31" t="s">
        <v>3683</v>
      </c>
      <c r="D289" s="30" t="s">
        <v>3663</v>
      </c>
      <c r="E289" s="32">
        <v>46113.0</v>
      </c>
      <c r="F289" s="32">
        <v>46171.0</v>
      </c>
      <c r="G289" s="33"/>
    </row>
    <row r="290" ht="15.75" customHeight="1">
      <c r="A290" s="26" t="s">
        <v>3954</v>
      </c>
      <c r="B290" s="27" t="s">
        <v>2278</v>
      </c>
      <c r="C290" s="27" t="s">
        <v>1190</v>
      </c>
      <c r="D290" s="26" t="s">
        <v>3663</v>
      </c>
      <c r="E290" s="28">
        <v>46113.0</v>
      </c>
      <c r="F290" s="28">
        <v>46171.0</v>
      </c>
      <c r="G290" s="29"/>
    </row>
    <row r="291" ht="15.75" customHeight="1">
      <c r="A291" s="30" t="s">
        <v>3955</v>
      </c>
      <c r="B291" s="31" t="s">
        <v>2278</v>
      </c>
      <c r="C291" s="31" t="s">
        <v>1351</v>
      </c>
      <c r="D291" s="30" t="s">
        <v>3663</v>
      </c>
      <c r="E291" s="32">
        <v>46113.0</v>
      </c>
      <c r="F291" s="32">
        <v>46171.0</v>
      </c>
      <c r="G291" s="33"/>
    </row>
    <row r="292" ht="15.75" customHeight="1">
      <c r="A292" s="26" t="s">
        <v>3956</v>
      </c>
      <c r="B292" s="27" t="s">
        <v>2278</v>
      </c>
      <c r="C292" s="27" t="s">
        <v>1349</v>
      </c>
      <c r="D292" s="26" t="s">
        <v>3663</v>
      </c>
      <c r="E292" s="28">
        <v>46113.0</v>
      </c>
      <c r="F292" s="28">
        <v>46171.0</v>
      </c>
      <c r="G292" s="29"/>
    </row>
    <row r="293" ht="15.75" customHeight="1">
      <c r="A293" s="30" t="s">
        <v>3957</v>
      </c>
      <c r="B293" s="31" t="s">
        <v>2278</v>
      </c>
      <c r="C293" s="31" t="s">
        <v>968</v>
      </c>
      <c r="D293" s="30" t="s">
        <v>3663</v>
      </c>
      <c r="E293" s="32">
        <v>46113.0</v>
      </c>
      <c r="F293" s="32">
        <v>46171.0</v>
      </c>
      <c r="G293" s="33"/>
    </row>
    <row r="294" ht="15.75" customHeight="1">
      <c r="A294" s="26" t="s">
        <v>3958</v>
      </c>
      <c r="B294" s="27" t="s">
        <v>2278</v>
      </c>
      <c r="C294" s="27" t="s">
        <v>923</v>
      </c>
      <c r="D294" s="26" t="s">
        <v>3663</v>
      </c>
      <c r="E294" s="28">
        <v>46113.0</v>
      </c>
      <c r="F294" s="28">
        <v>46171.0</v>
      </c>
      <c r="G294" s="29"/>
    </row>
    <row r="295" ht="15.75" customHeight="1">
      <c r="A295" s="30" t="s">
        <v>3959</v>
      </c>
      <c r="B295" s="31" t="s">
        <v>2278</v>
      </c>
      <c r="C295" s="31" t="s">
        <v>961</v>
      </c>
      <c r="D295" s="30" t="s">
        <v>3663</v>
      </c>
      <c r="E295" s="32">
        <v>46113.0</v>
      </c>
      <c r="F295" s="32">
        <v>46171.0</v>
      </c>
      <c r="G295" s="33"/>
    </row>
    <row r="296" ht="15.75" customHeight="1">
      <c r="A296" s="26" t="s">
        <v>3960</v>
      </c>
      <c r="B296" s="27" t="s">
        <v>144</v>
      </c>
      <c r="C296" s="27" t="s">
        <v>3654</v>
      </c>
      <c r="D296" s="26" t="s">
        <v>3663</v>
      </c>
      <c r="E296" s="28">
        <v>46113.0</v>
      </c>
      <c r="F296" s="28">
        <v>46171.0</v>
      </c>
      <c r="G296" s="29"/>
    </row>
    <row r="297" ht="15.75" customHeight="1">
      <c r="A297" s="30" t="s">
        <v>3961</v>
      </c>
      <c r="B297" s="31" t="s">
        <v>144</v>
      </c>
      <c r="C297" s="31" t="s">
        <v>3655</v>
      </c>
      <c r="D297" s="30" t="s">
        <v>3663</v>
      </c>
      <c r="E297" s="32">
        <v>46113.0</v>
      </c>
      <c r="F297" s="32">
        <v>46171.0</v>
      </c>
      <c r="G297" s="33"/>
    </row>
    <row r="298" ht="15.75" customHeight="1">
      <c r="A298" s="26" t="s">
        <v>3962</v>
      </c>
      <c r="B298" s="27" t="s">
        <v>144</v>
      </c>
      <c r="C298" s="27" t="s">
        <v>3638</v>
      </c>
      <c r="D298" s="26" t="s">
        <v>3663</v>
      </c>
      <c r="E298" s="28">
        <v>46113.0</v>
      </c>
      <c r="F298" s="28">
        <v>46171.0</v>
      </c>
      <c r="G298" s="29"/>
    </row>
    <row r="299" ht="15.75" customHeight="1">
      <c r="A299" s="30" t="s">
        <v>3963</v>
      </c>
      <c r="B299" s="31" t="s">
        <v>144</v>
      </c>
      <c r="C299" s="31" t="s">
        <v>930</v>
      </c>
      <c r="D299" s="30" t="s">
        <v>3663</v>
      </c>
      <c r="E299" s="32">
        <v>46113.0</v>
      </c>
      <c r="F299" s="32">
        <v>46171.0</v>
      </c>
      <c r="G299" s="33"/>
    </row>
    <row r="300" ht="15.75" customHeight="1">
      <c r="A300" s="26" t="s">
        <v>3964</v>
      </c>
      <c r="B300" s="27" t="s">
        <v>144</v>
      </c>
      <c r="C300" s="27" t="s">
        <v>1354</v>
      </c>
      <c r="D300" s="26" t="s">
        <v>3663</v>
      </c>
      <c r="E300" s="28">
        <v>46113.0</v>
      </c>
      <c r="F300" s="28">
        <v>46171.0</v>
      </c>
      <c r="G300" s="29"/>
    </row>
    <row r="301" ht="15.75" customHeight="1">
      <c r="A301" s="30" t="s">
        <v>3965</v>
      </c>
      <c r="B301" s="31" t="s">
        <v>144</v>
      </c>
      <c r="C301" s="31" t="s">
        <v>1304</v>
      </c>
      <c r="D301" s="30" t="s">
        <v>3663</v>
      </c>
      <c r="E301" s="32">
        <v>46113.0</v>
      </c>
      <c r="F301" s="32">
        <v>46171.0</v>
      </c>
      <c r="G301" s="33"/>
    </row>
    <row r="302" ht="15.75" customHeight="1">
      <c r="A302" s="26" t="s">
        <v>3966</v>
      </c>
      <c r="B302" s="27" t="s">
        <v>144</v>
      </c>
      <c r="C302" s="27" t="s">
        <v>1306</v>
      </c>
      <c r="D302" s="26" t="s">
        <v>3663</v>
      </c>
      <c r="E302" s="28">
        <v>46113.0</v>
      </c>
      <c r="F302" s="28">
        <v>46171.0</v>
      </c>
      <c r="G302" s="29"/>
    </row>
    <row r="303" ht="15.75" customHeight="1">
      <c r="A303" s="30" t="s">
        <v>3967</v>
      </c>
      <c r="B303" s="31" t="s">
        <v>144</v>
      </c>
      <c r="C303" s="31" t="s">
        <v>1308</v>
      </c>
      <c r="D303" s="30" t="s">
        <v>3663</v>
      </c>
      <c r="E303" s="32">
        <v>46113.0</v>
      </c>
      <c r="F303" s="32">
        <v>46171.0</v>
      </c>
      <c r="G303" s="33"/>
    </row>
    <row r="304" ht="15.75" customHeight="1">
      <c r="A304" s="26" t="s">
        <v>3968</v>
      </c>
      <c r="B304" s="27" t="s">
        <v>144</v>
      </c>
      <c r="C304" s="27" t="s">
        <v>1310</v>
      </c>
      <c r="D304" s="26" t="s">
        <v>3663</v>
      </c>
      <c r="E304" s="28">
        <v>46113.0</v>
      </c>
      <c r="F304" s="28">
        <v>46171.0</v>
      </c>
      <c r="G304" s="29"/>
    </row>
    <row r="305" ht="15.75" customHeight="1">
      <c r="A305" s="30" t="s">
        <v>3969</v>
      </c>
      <c r="B305" s="31" t="s">
        <v>144</v>
      </c>
      <c r="C305" s="31" t="s">
        <v>1190</v>
      </c>
      <c r="D305" s="30" t="s">
        <v>3663</v>
      </c>
      <c r="E305" s="32">
        <v>46113.0</v>
      </c>
      <c r="F305" s="32">
        <v>46171.0</v>
      </c>
      <c r="G305" s="33"/>
    </row>
    <row r="306" ht="15.75" customHeight="1">
      <c r="A306" s="26" t="s">
        <v>3970</v>
      </c>
      <c r="B306" s="27" t="s">
        <v>144</v>
      </c>
      <c r="C306" s="27" t="s">
        <v>1351</v>
      </c>
      <c r="D306" s="26" t="s">
        <v>3663</v>
      </c>
      <c r="E306" s="28">
        <v>46113.0</v>
      </c>
      <c r="F306" s="28">
        <v>46171.0</v>
      </c>
      <c r="G306" s="29"/>
    </row>
    <row r="307" ht="15.75" customHeight="1">
      <c r="A307" s="30" t="s">
        <v>3971</v>
      </c>
      <c r="B307" s="31" t="s">
        <v>144</v>
      </c>
      <c r="C307" s="31" t="s">
        <v>1349</v>
      </c>
      <c r="D307" s="30" t="s">
        <v>3663</v>
      </c>
      <c r="E307" s="32">
        <v>46113.0</v>
      </c>
      <c r="F307" s="32">
        <v>46171.0</v>
      </c>
      <c r="G307" s="33"/>
    </row>
    <row r="308" ht="15.75" customHeight="1">
      <c r="A308" s="26" t="s">
        <v>3972</v>
      </c>
      <c r="B308" s="27" t="s">
        <v>144</v>
      </c>
      <c r="C308" s="27" t="s">
        <v>965</v>
      </c>
      <c r="D308" s="26" t="s">
        <v>3663</v>
      </c>
      <c r="E308" s="28">
        <v>46113.0</v>
      </c>
      <c r="F308" s="28">
        <v>46171.0</v>
      </c>
      <c r="G308" s="29"/>
    </row>
    <row r="309" ht="15.75" customHeight="1">
      <c r="A309" s="30" t="s">
        <v>3973</v>
      </c>
      <c r="B309" s="31" t="s">
        <v>144</v>
      </c>
      <c r="C309" s="31" t="s">
        <v>923</v>
      </c>
      <c r="D309" s="30" t="s">
        <v>3663</v>
      </c>
      <c r="E309" s="32">
        <v>46113.0</v>
      </c>
      <c r="F309" s="32">
        <v>46171.0</v>
      </c>
      <c r="G309" s="33"/>
    </row>
    <row r="310" ht="15.75" customHeight="1">
      <c r="A310" s="26" t="s">
        <v>3974</v>
      </c>
      <c r="B310" s="27" t="s">
        <v>147</v>
      </c>
      <c r="C310" s="27" t="s">
        <v>1242</v>
      </c>
      <c r="D310" s="27" t="s">
        <v>3663</v>
      </c>
      <c r="E310" s="28">
        <v>46113.0</v>
      </c>
      <c r="F310" s="28">
        <v>46171.0</v>
      </c>
      <c r="G310" s="29"/>
    </row>
    <row r="311" ht="15.75" customHeight="1">
      <c r="A311" s="30" t="s">
        <v>3975</v>
      </c>
      <c r="B311" s="31" t="s">
        <v>147</v>
      </c>
      <c r="C311" s="31" t="s">
        <v>1244</v>
      </c>
      <c r="D311" s="31" t="s">
        <v>3663</v>
      </c>
      <c r="E311" s="32">
        <v>46113.0</v>
      </c>
      <c r="F311" s="32">
        <v>46171.0</v>
      </c>
      <c r="G311" s="33"/>
    </row>
    <row r="312" ht="15.75" customHeight="1">
      <c r="A312" s="26" t="s">
        <v>3976</v>
      </c>
      <c r="B312" s="27" t="s">
        <v>147</v>
      </c>
      <c r="C312" s="27" t="s">
        <v>1246</v>
      </c>
      <c r="D312" s="27" t="s">
        <v>3663</v>
      </c>
      <c r="E312" s="28">
        <v>46113.0</v>
      </c>
      <c r="F312" s="28">
        <v>46171.0</v>
      </c>
      <c r="G312" s="29"/>
    </row>
    <row r="313" ht="15.75" customHeight="1">
      <c r="A313" s="30" t="s">
        <v>3977</v>
      </c>
      <c r="B313" s="31" t="s">
        <v>147</v>
      </c>
      <c r="C313" s="31" t="s">
        <v>934</v>
      </c>
      <c r="D313" s="31" t="s">
        <v>3663</v>
      </c>
      <c r="E313" s="32">
        <v>46113.0</v>
      </c>
      <c r="F313" s="32">
        <v>46171.0</v>
      </c>
      <c r="G313" s="33"/>
    </row>
    <row r="314" ht="15.75" customHeight="1">
      <c r="A314" s="26" t="s">
        <v>3978</v>
      </c>
      <c r="B314" s="27" t="s">
        <v>147</v>
      </c>
      <c r="C314" s="27" t="s">
        <v>1354</v>
      </c>
      <c r="D314" s="26" t="s">
        <v>3663</v>
      </c>
      <c r="E314" s="28">
        <v>46113.0</v>
      </c>
      <c r="F314" s="28">
        <v>46171.0</v>
      </c>
      <c r="G314" s="29"/>
    </row>
    <row r="315" ht="15.75" customHeight="1">
      <c r="A315" s="30" t="s">
        <v>3979</v>
      </c>
      <c r="B315" s="31" t="s">
        <v>147</v>
      </c>
      <c r="C315" s="31" t="s">
        <v>1312</v>
      </c>
      <c r="D315" s="30" t="s">
        <v>3663</v>
      </c>
      <c r="E315" s="32">
        <v>46113.0</v>
      </c>
      <c r="F315" s="32">
        <v>46171.0</v>
      </c>
      <c r="G315" s="33"/>
    </row>
    <row r="316" ht="15.75" customHeight="1">
      <c r="A316" s="26" t="s">
        <v>3980</v>
      </c>
      <c r="B316" s="27" t="s">
        <v>147</v>
      </c>
      <c r="C316" s="27" t="s">
        <v>3681</v>
      </c>
      <c r="D316" s="26" t="s">
        <v>3663</v>
      </c>
      <c r="E316" s="28">
        <v>46113.0</v>
      </c>
      <c r="F316" s="28">
        <v>46171.0</v>
      </c>
      <c r="G316" s="29"/>
    </row>
    <row r="317" ht="15.75" customHeight="1">
      <c r="A317" s="30" t="s">
        <v>3981</v>
      </c>
      <c r="B317" s="31" t="s">
        <v>147</v>
      </c>
      <c r="C317" s="31" t="s">
        <v>3683</v>
      </c>
      <c r="D317" s="30" t="s">
        <v>3663</v>
      </c>
      <c r="E317" s="32">
        <v>46113.0</v>
      </c>
      <c r="F317" s="32">
        <v>46171.0</v>
      </c>
      <c r="G317" s="33"/>
    </row>
    <row r="318" ht="15.75" customHeight="1">
      <c r="A318" s="26" t="s">
        <v>3982</v>
      </c>
      <c r="B318" s="27" t="s">
        <v>147</v>
      </c>
      <c r="C318" s="27" t="s">
        <v>1216</v>
      </c>
      <c r="D318" s="26" t="s">
        <v>3663</v>
      </c>
      <c r="E318" s="28">
        <v>46113.0</v>
      </c>
      <c r="F318" s="28">
        <v>46171.0</v>
      </c>
      <c r="G318" s="29"/>
    </row>
    <row r="319" ht="15.75" customHeight="1">
      <c r="A319" s="30" t="s">
        <v>3983</v>
      </c>
      <c r="B319" s="31" t="s">
        <v>147</v>
      </c>
      <c r="C319" s="31" t="s">
        <v>1240</v>
      </c>
      <c r="D319" s="30" t="s">
        <v>3663</v>
      </c>
      <c r="E319" s="32">
        <v>46113.0</v>
      </c>
      <c r="F319" s="32">
        <v>46171.0</v>
      </c>
      <c r="G319" s="33"/>
    </row>
    <row r="320" ht="15.75" customHeight="1">
      <c r="A320" s="26" t="s">
        <v>3984</v>
      </c>
      <c r="B320" s="27" t="s">
        <v>147</v>
      </c>
      <c r="C320" s="27" t="s">
        <v>1351</v>
      </c>
      <c r="D320" s="26" t="s">
        <v>3663</v>
      </c>
      <c r="E320" s="28">
        <v>46113.0</v>
      </c>
      <c r="F320" s="28">
        <v>46171.0</v>
      </c>
      <c r="G320" s="29"/>
    </row>
    <row r="321" ht="15.75" customHeight="1">
      <c r="A321" s="30" t="s">
        <v>3985</v>
      </c>
      <c r="B321" s="31" t="s">
        <v>147</v>
      </c>
      <c r="C321" s="31" t="s">
        <v>1349</v>
      </c>
      <c r="D321" s="30" t="s">
        <v>3663</v>
      </c>
      <c r="E321" s="32">
        <v>46113.0</v>
      </c>
      <c r="F321" s="32">
        <v>46171.0</v>
      </c>
      <c r="G321" s="33"/>
    </row>
    <row r="322" ht="15.75" customHeight="1">
      <c r="A322" s="26" t="s">
        <v>3986</v>
      </c>
      <c r="B322" s="27" t="s">
        <v>147</v>
      </c>
      <c r="C322" s="27" t="s">
        <v>965</v>
      </c>
      <c r="D322" s="26" t="s">
        <v>3663</v>
      </c>
      <c r="E322" s="28">
        <v>46113.0</v>
      </c>
      <c r="F322" s="28">
        <v>46171.0</v>
      </c>
      <c r="G322" s="29"/>
    </row>
    <row r="323" ht="15.75" customHeight="1">
      <c r="A323" s="30" t="s">
        <v>3987</v>
      </c>
      <c r="B323" s="31" t="s">
        <v>147</v>
      </c>
      <c r="C323" s="31" t="s">
        <v>923</v>
      </c>
      <c r="D323" s="31" t="s">
        <v>3663</v>
      </c>
      <c r="E323" s="32">
        <v>46113.0</v>
      </c>
      <c r="F323" s="32">
        <v>46171.0</v>
      </c>
      <c r="G323" s="33"/>
    </row>
    <row r="324" ht="15.75" customHeight="1">
      <c r="A324" s="26" t="s">
        <v>3988</v>
      </c>
      <c r="B324" s="27" t="s">
        <v>151</v>
      </c>
      <c r="C324" s="27" t="s">
        <v>930</v>
      </c>
      <c r="D324" s="26" t="s">
        <v>3663</v>
      </c>
      <c r="E324" s="28">
        <v>46113.0</v>
      </c>
      <c r="F324" s="28">
        <v>46171.0</v>
      </c>
      <c r="G324" s="29"/>
    </row>
    <row r="325" ht="15.75" customHeight="1">
      <c r="A325" s="30" t="s">
        <v>3989</v>
      </c>
      <c r="B325" s="31" t="s">
        <v>151</v>
      </c>
      <c r="C325" s="31" t="s">
        <v>1354</v>
      </c>
      <c r="D325" s="30" t="s">
        <v>3663</v>
      </c>
      <c r="E325" s="32">
        <v>46113.0</v>
      </c>
      <c r="F325" s="32">
        <v>46171.0</v>
      </c>
      <c r="G325" s="33"/>
    </row>
    <row r="326" ht="15.75" customHeight="1">
      <c r="A326" s="26" t="s">
        <v>3990</v>
      </c>
      <c r="B326" s="27" t="s">
        <v>151</v>
      </c>
      <c r="C326" s="27" t="s">
        <v>3641</v>
      </c>
      <c r="D326" s="26" t="s">
        <v>3663</v>
      </c>
      <c r="E326" s="28">
        <v>46113.0</v>
      </c>
      <c r="F326" s="28">
        <v>46171.0</v>
      </c>
      <c r="G326" s="29"/>
    </row>
    <row r="327" ht="15.75" customHeight="1">
      <c r="A327" s="30" t="s">
        <v>3991</v>
      </c>
      <c r="B327" s="31" t="s">
        <v>151</v>
      </c>
      <c r="C327" s="31" t="s">
        <v>1304</v>
      </c>
      <c r="D327" s="30" t="s">
        <v>3663</v>
      </c>
      <c r="E327" s="32">
        <v>46113.0</v>
      </c>
      <c r="F327" s="32">
        <v>46171.0</v>
      </c>
      <c r="G327" s="33"/>
    </row>
    <row r="328" ht="15.75" customHeight="1">
      <c r="A328" s="26" t="s">
        <v>3992</v>
      </c>
      <c r="B328" s="27" t="s">
        <v>151</v>
      </c>
      <c r="C328" s="27" t="s">
        <v>3642</v>
      </c>
      <c r="D328" s="26" t="s">
        <v>3663</v>
      </c>
      <c r="E328" s="28">
        <v>46113.0</v>
      </c>
      <c r="F328" s="28">
        <v>46171.0</v>
      </c>
      <c r="G328" s="29"/>
    </row>
    <row r="329" ht="15.75" customHeight="1">
      <c r="A329" s="30" t="s">
        <v>3993</v>
      </c>
      <c r="B329" s="31" t="s">
        <v>151</v>
      </c>
      <c r="C329" s="31" t="s">
        <v>1308</v>
      </c>
      <c r="D329" s="30" t="s">
        <v>3663</v>
      </c>
      <c r="E329" s="32">
        <v>46113.0</v>
      </c>
      <c r="F329" s="32">
        <v>46171.0</v>
      </c>
      <c r="G329" s="33"/>
    </row>
    <row r="330" ht="15.75" customHeight="1">
      <c r="A330" s="26" t="s">
        <v>3994</v>
      </c>
      <c r="B330" s="27" t="s">
        <v>151</v>
      </c>
      <c r="C330" s="27" t="s">
        <v>1190</v>
      </c>
      <c r="D330" s="26" t="s">
        <v>3663</v>
      </c>
      <c r="E330" s="28">
        <v>46113.0</v>
      </c>
      <c r="F330" s="28">
        <v>46171.0</v>
      </c>
      <c r="G330" s="29"/>
    </row>
    <row r="331" ht="15.75" customHeight="1">
      <c r="A331" s="30" t="s">
        <v>3995</v>
      </c>
      <c r="B331" s="31" t="s">
        <v>151</v>
      </c>
      <c r="C331" s="31" t="s">
        <v>1351</v>
      </c>
      <c r="D331" s="30" t="s">
        <v>3663</v>
      </c>
      <c r="E331" s="32">
        <v>46113.0</v>
      </c>
      <c r="F331" s="32">
        <v>46171.0</v>
      </c>
      <c r="G331" s="33"/>
    </row>
    <row r="332" ht="15.75" customHeight="1">
      <c r="A332" s="26" t="s">
        <v>3996</v>
      </c>
      <c r="B332" s="27" t="s">
        <v>151</v>
      </c>
      <c r="C332" s="27" t="s">
        <v>1349</v>
      </c>
      <c r="D332" s="26" t="s">
        <v>3663</v>
      </c>
      <c r="E332" s="28">
        <v>46113.0</v>
      </c>
      <c r="F332" s="28">
        <v>46171.0</v>
      </c>
      <c r="G332" s="29"/>
    </row>
    <row r="333" ht="15.75" customHeight="1">
      <c r="A333" s="30" t="s">
        <v>3997</v>
      </c>
      <c r="B333" s="31" t="s">
        <v>151</v>
      </c>
      <c r="C333" s="31" t="s">
        <v>3653</v>
      </c>
      <c r="D333" s="31" t="s">
        <v>3663</v>
      </c>
      <c r="E333" s="32">
        <v>46113.0</v>
      </c>
      <c r="F333" s="32">
        <v>46171.0</v>
      </c>
      <c r="G333" s="33"/>
    </row>
    <row r="334" ht="15.75" customHeight="1">
      <c r="A334" s="26" t="s">
        <v>3998</v>
      </c>
      <c r="B334" s="27" t="s">
        <v>151</v>
      </c>
      <c r="C334" s="27" t="s">
        <v>3652</v>
      </c>
      <c r="D334" s="26" t="s">
        <v>3663</v>
      </c>
      <c r="E334" s="28">
        <v>46113.0</v>
      </c>
      <c r="F334" s="28">
        <v>46171.0</v>
      </c>
      <c r="G334" s="29"/>
    </row>
    <row r="335" ht="15.75" customHeight="1">
      <c r="A335" s="30" t="s">
        <v>3999</v>
      </c>
      <c r="B335" s="31" t="s">
        <v>151</v>
      </c>
      <c r="C335" s="31" t="s">
        <v>965</v>
      </c>
      <c r="D335" s="30" t="s">
        <v>3663</v>
      </c>
      <c r="E335" s="32">
        <v>46113.0</v>
      </c>
      <c r="F335" s="32">
        <v>46171.0</v>
      </c>
      <c r="G335" s="33"/>
    </row>
    <row r="336" ht="15.75" customHeight="1">
      <c r="A336" s="26" t="s">
        <v>4000</v>
      </c>
      <c r="B336" s="27" t="s">
        <v>151</v>
      </c>
      <c r="C336" s="27" t="s">
        <v>923</v>
      </c>
      <c r="D336" s="26" t="s">
        <v>3663</v>
      </c>
      <c r="E336" s="28">
        <v>46113.0</v>
      </c>
      <c r="F336" s="28">
        <v>46171.0</v>
      </c>
      <c r="G336" s="29"/>
    </row>
    <row r="337" ht="15.75" customHeight="1">
      <c r="A337" s="30" t="s">
        <v>4001</v>
      </c>
      <c r="B337" s="31" t="s">
        <v>151</v>
      </c>
      <c r="C337" s="31" t="s">
        <v>961</v>
      </c>
      <c r="D337" s="30" t="s">
        <v>3663</v>
      </c>
      <c r="E337" s="32">
        <v>46113.0</v>
      </c>
      <c r="F337" s="32">
        <v>46171.0</v>
      </c>
      <c r="G337" s="33"/>
    </row>
    <row r="338" ht="15.75" customHeight="1">
      <c r="A338" s="26" t="s">
        <v>4002</v>
      </c>
      <c r="B338" s="27" t="s">
        <v>152</v>
      </c>
      <c r="C338" s="27" t="s">
        <v>928</v>
      </c>
      <c r="D338" s="26" t="s">
        <v>3663</v>
      </c>
      <c r="E338" s="28">
        <v>46113.0</v>
      </c>
      <c r="F338" s="28">
        <v>46171.0</v>
      </c>
      <c r="G338" s="29"/>
    </row>
    <row r="339" ht="15.75" customHeight="1">
      <c r="A339" s="30" t="s">
        <v>4003</v>
      </c>
      <c r="B339" s="31" t="s">
        <v>152</v>
      </c>
      <c r="C339" s="31" t="s">
        <v>1354</v>
      </c>
      <c r="D339" s="30" t="s">
        <v>3663</v>
      </c>
      <c r="E339" s="32">
        <v>46113.0</v>
      </c>
      <c r="F339" s="32">
        <v>46171.0</v>
      </c>
      <c r="G339" s="33"/>
    </row>
    <row r="340" ht="15.75" customHeight="1">
      <c r="A340" s="26" t="s">
        <v>4004</v>
      </c>
      <c r="B340" s="27" t="s">
        <v>152</v>
      </c>
      <c r="C340" s="27" t="s">
        <v>1222</v>
      </c>
      <c r="D340" s="26" t="s">
        <v>3663</v>
      </c>
      <c r="E340" s="28">
        <v>46113.0</v>
      </c>
      <c r="F340" s="28">
        <v>46171.0</v>
      </c>
      <c r="G340" s="29"/>
    </row>
    <row r="341" ht="15.75" customHeight="1">
      <c r="A341" s="30" t="s">
        <v>4005</v>
      </c>
      <c r="B341" s="31" t="s">
        <v>152</v>
      </c>
      <c r="C341" s="31" t="s">
        <v>1224</v>
      </c>
      <c r="D341" s="30" t="s">
        <v>3663</v>
      </c>
      <c r="E341" s="32">
        <v>46113.0</v>
      </c>
      <c r="F341" s="32">
        <v>46171.0</v>
      </c>
      <c r="G341" s="33"/>
    </row>
    <row r="342" ht="15.75" customHeight="1">
      <c r="A342" s="26" t="s">
        <v>4006</v>
      </c>
      <c r="B342" s="27" t="s">
        <v>152</v>
      </c>
      <c r="C342" s="27" t="s">
        <v>1226</v>
      </c>
      <c r="D342" s="26" t="s">
        <v>3663</v>
      </c>
      <c r="E342" s="28">
        <v>46113.0</v>
      </c>
      <c r="F342" s="28">
        <v>46171.0</v>
      </c>
      <c r="G342" s="29"/>
    </row>
    <row r="343" ht="15.75" customHeight="1">
      <c r="A343" s="30" t="s">
        <v>4007</v>
      </c>
      <c r="B343" s="31" t="s">
        <v>152</v>
      </c>
      <c r="C343" s="31" t="s">
        <v>1228</v>
      </c>
      <c r="D343" s="30" t="s">
        <v>3663</v>
      </c>
      <c r="E343" s="32">
        <v>46113.0</v>
      </c>
      <c r="F343" s="32">
        <v>46171.0</v>
      </c>
      <c r="G343" s="33"/>
    </row>
    <row r="344" ht="15.75" customHeight="1">
      <c r="A344" s="26" t="s">
        <v>4008</v>
      </c>
      <c r="B344" s="27" t="s">
        <v>152</v>
      </c>
      <c r="C344" s="27" t="s">
        <v>1172</v>
      </c>
      <c r="D344" s="26" t="s">
        <v>3663</v>
      </c>
      <c r="E344" s="28">
        <v>46113.0</v>
      </c>
      <c r="F344" s="28">
        <v>46171.0</v>
      </c>
      <c r="G344" s="29"/>
    </row>
    <row r="345" ht="15.75" customHeight="1">
      <c r="A345" s="30" t="s">
        <v>4009</v>
      </c>
      <c r="B345" s="31" t="s">
        <v>152</v>
      </c>
      <c r="C345" s="31" t="s">
        <v>1312</v>
      </c>
      <c r="D345" s="30" t="s">
        <v>3663</v>
      </c>
      <c r="E345" s="32">
        <v>46113.0</v>
      </c>
      <c r="F345" s="32">
        <v>46171.0</v>
      </c>
      <c r="G345" s="33"/>
    </row>
    <row r="346" ht="15.75" customHeight="1">
      <c r="A346" s="26" t="s">
        <v>4010</v>
      </c>
      <c r="B346" s="27" t="s">
        <v>152</v>
      </c>
      <c r="C346" s="27" t="s">
        <v>3656</v>
      </c>
      <c r="D346" s="26" t="s">
        <v>3663</v>
      </c>
      <c r="E346" s="28">
        <v>46113.0</v>
      </c>
      <c r="F346" s="28">
        <v>46171.0</v>
      </c>
      <c r="G346" s="29"/>
    </row>
    <row r="347" ht="15.75" customHeight="1">
      <c r="A347" s="30" t="s">
        <v>4011</v>
      </c>
      <c r="B347" s="31" t="s">
        <v>152</v>
      </c>
      <c r="C347" s="31" t="s">
        <v>3657</v>
      </c>
      <c r="D347" s="30" t="s">
        <v>3663</v>
      </c>
      <c r="E347" s="32">
        <v>46113.0</v>
      </c>
      <c r="F347" s="32">
        <v>46171.0</v>
      </c>
      <c r="G347" s="33"/>
    </row>
    <row r="348" ht="15.75" customHeight="1">
      <c r="A348" s="26" t="s">
        <v>4012</v>
      </c>
      <c r="B348" s="27" t="s">
        <v>152</v>
      </c>
      <c r="C348" s="27" t="s">
        <v>3647</v>
      </c>
      <c r="D348" s="26" t="s">
        <v>3663</v>
      </c>
      <c r="E348" s="28">
        <v>46113.0</v>
      </c>
      <c r="F348" s="28">
        <v>46171.0</v>
      </c>
      <c r="G348" s="29"/>
    </row>
    <row r="349" ht="15.75" customHeight="1">
      <c r="A349" s="30" t="s">
        <v>4013</v>
      </c>
      <c r="B349" s="31" t="s">
        <v>152</v>
      </c>
      <c r="C349" s="31" t="s">
        <v>952</v>
      </c>
      <c r="D349" s="30" t="s">
        <v>3663</v>
      </c>
      <c r="E349" s="32">
        <v>46113.0</v>
      </c>
      <c r="F349" s="32">
        <v>46171.0</v>
      </c>
      <c r="G349" s="33"/>
    </row>
    <row r="350" ht="15.75" customHeight="1">
      <c r="A350" s="26" t="s">
        <v>4014</v>
      </c>
      <c r="B350" s="27" t="s">
        <v>152</v>
      </c>
      <c r="C350" s="27" t="s">
        <v>968</v>
      </c>
      <c r="D350" s="26" t="s">
        <v>3663</v>
      </c>
      <c r="E350" s="28">
        <v>46113.0</v>
      </c>
      <c r="F350" s="28">
        <v>46171.0</v>
      </c>
      <c r="G350" s="29"/>
    </row>
    <row r="351" ht="15.75" customHeight="1">
      <c r="A351" s="30" t="s">
        <v>4015</v>
      </c>
      <c r="B351" s="31" t="s">
        <v>152</v>
      </c>
      <c r="C351" s="31" t="s">
        <v>923</v>
      </c>
      <c r="D351" s="30" t="s">
        <v>3663</v>
      </c>
      <c r="E351" s="32">
        <v>46113.0</v>
      </c>
      <c r="F351" s="32">
        <v>46171.0</v>
      </c>
      <c r="G351" s="33"/>
    </row>
    <row r="352" ht="15.75" customHeight="1">
      <c r="A352" s="26" t="s">
        <v>4016</v>
      </c>
      <c r="B352" s="27" t="s">
        <v>155</v>
      </c>
      <c r="C352" s="27" t="s">
        <v>930</v>
      </c>
      <c r="D352" s="26" t="s">
        <v>3663</v>
      </c>
      <c r="E352" s="28">
        <v>46113.0</v>
      </c>
      <c r="F352" s="28">
        <v>46171.0</v>
      </c>
      <c r="G352" s="29"/>
    </row>
    <row r="353" ht="15.75" customHeight="1">
      <c r="A353" s="30" t="s">
        <v>4017</v>
      </c>
      <c r="B353" s="31" t="s">
        <v>155</v>
      </c>
      <c r="C353" s="31" t="s">
        <v>1354</v>
      </c>
      <c r="D353" s="30" t="s">
        <v>3663</v>
      </c>
      <c r="E353" s="32">
        <v>46113.0</v>
      </c>
      <c r="F353" s="32">
        <v>46171.0</v>
      </c>
      <c r="G353" s="33"/>
    </row>
    <row r="354" ht="15.75" customHeight="1">
      <c r="A354" s="26" t="s">
        <v>4018</v>
      </c>
      <c r="B354" s="27" t="s">
        <v>155</v>
      </c>
      <c r="C354" s="27" t="s">
        <v>1304</v>
      </c>
      <c r="D354" s="26" t="s">
        <v>3663</v>
      </c>
      <c r="E354" s="28">
        <v>46113.0</v>
      </c>
      <c r="F354" s="28">
        <v>46171.0</v>
      </c>
      <c r="G354" s="29"/>
    </row>
    <row r="355" ht="15.75" customHeight="1">
      <c r="A355" s="30" t="s">
        <v>4019</v>
      </c>
      <c r="B355" s="31" t="s">
        <v>155</v>
      </c>
      <c r="C355" s="31" t="s">
        <v>1306</v>
      </c>
      <c r="D355" s="30" t="s">
        <v>3663</v>
      </c>
      <c r="E355" s="32">
        <v>46113.0</v>
      </c>
      <c r="F355" s="32">
        <v>46171.0</v>
      </c>
      <c r="G355" s="33"/>
    </row>
    <row r="356" ht="15.75" customHeight="1">
      <c r="A356" s="26" t="s">
        <v>4020</v>
      </c>
      <c r="B356" s="27" t="s">
        <v>155</v>
      </c>
      <c r="C356" s="27" t="s">
        <v>1308</v>
      </c>
      <c r="D356" s="26" t="s">
        <v>3663</v>
      </c>
      <c r="E356" s="28">
        <v>46113.0</v>
      </c>
      <c r="F356" s="28">
        <v>46171.0</v>
      </c>
      <c r="G356" s="29"/>
    </row>
    <row r="357" ht="15.75" customHeight="1">
      <c r="A357" s="30" t="s">
        <v>4021</v>
      </c>
      <c r="B357" s="31" t="s">
        <v>155</v>
      </c>
      <c r="C357" s="31" t="s">
        <v>1310</v>
      </c>
      <c r="D357" s="30" t="s">
        <v>3663</v>
      </c>
      <c r="E357" s="32">
        <v>46113.0</v>
      </c>
      <c r="F357" s="32">
        <v>46171.0</v>
      </c>
      <c r="G357" s="33"/>
    </row>
    <row r="358" ht="15.75" customHeight="1">
      <c r="A358" s="26" t="s">
        <v>4022</v>
      </c>
      <c r="B358" s="27" t="s">
        <v>155</v>
      </c>
      <c r="C358" s="27" t="s">
        <v>1159</v>
      </c>
      <c r="D358" s="26" t="s">
        <v>3663</v>
      </c>
      <c r="E358" s="28">
        <v>46113.0</v>
      </c>
      <c r="F358" s="28">
        <v>46171.0</v>
      </c>
      <c r="G358" s="29"/>
    </row>
    <row r="359" ht="15.75" customHeight="1">
      <c r="A359" s="30" t="s">
        <v>4023</v>
      </c>
      <c r="B359" s="31" t="s">
        <v>155</v>
      </c>
      <c r="C359" s="31" t="s">
        <v>3656</v>
      </c>
      <c r="D359" s="30" t="s">
        <v>3663</v>
      </c>
      <c r="E359" s="32">
        <v>46113.0</v>
      </c>
      <c r="F359" s="32">
        <v>46171.0</v>
      </c>
      <c r="G359" s="33"/>
    </row>
    <row r="360" ht="15.75" customHeight="1">
      <c r="A360" s="26" t="s">
        <v>4024</v>
      </c>
      <c r="B360" s="27" t="s">
        <v>155</v>
      </c>
      <c r="C360" s="27" t="s">
        <v>3657</v>
      </c>
      <c r="D360" s="26" t="s">
        <v>3663</v>
      </c>
      <c r="E360" s="28">
        <v>46113.0</v>
      </c>
      <c r="F360" s="28">
        <v>46171.0</v>
      </c>
      <c r="G360" s="29"/>
    </row>
    <row r="361" ht="15.75" customHeight="1">
      <c r="A361" s="30" t="s">
        <v>4025</v>
      </c>
      <c r="B361" s="31" t="s">
        <v>155</v>
      </c>
      <c r="C361" s="31" t="s">
        <v>1216</v>
      </c>
      <c r="D361" s="30" t="s">
        <v>3663</v>
      </c>
      <c r="E361" s="32">
        <v>46113.0</v>
      </c>
      <c r="F361" s="32">
        <v>46171.0</v>
      </c>
      <c r="G361" s="33"/>
    </row>
    <row r="362" ht="15.75" customHeight="1">
      <c r="A362" s="26" t="s">
        <v>4026</v>
      </c>
      <c r="B362" s="27" t="s">
        <v>155</v>
      </c>
      <c r="C362" s="27" t="s">
        <v>1351</v>
      </c>
      <c r="D362" s="26" t="s">
        <v>3663</v>
      </c>
      <c r="E362" s="28">
        <v>46113.0</v>
      </c>
      <c r="F362" s="28">
        <v>46171.0</v>
      </c>
      <c r="G362" s="29"/>
    </row>
    <row r="363" ht="15.75" customHeight="1">
      <c r="A363" s="30" t="s">
        <v>4027</v>
      </c>
      <c r="B363" s="31" t="s">
        <v>155</v>
      </c>
      <c r="C363" s="31" t="s">
        <v>1349</v>
      </c>
      <c r="D363" s="30" t="s">
        <v>3663</v>
      </c>
      <c r="E363" s="32">
        <v>46113.0</v>
      </c>
      <c r="F363" s="32">
        <v>46171.0</v>
      </c>
      <c r="G363" s="33"/>
    </row>
    <row r="364" ht="15.75" customHeight="1">
      <c r="A364" s="26" t="s">
        <v>4028</v>
      </c>
      <c r="B364" s="27" t="s">
        <v>155</v>
      </c>
      <c r="C364" s="27" t="s">
        <v>968</v>
      </c>
      <c r="D364" s="26" t="s">
        <v>3663</v>
      </c>
      <c r="E364" s="28">
        <v>46113.0</v>
      </c>
      <c r="F364" s="28">
        <v>46171.0</v>
      </c>
      <c r="G364" s="29"/>
    </row>
    <row r="365" ht="15.75" customHeight="1">
      <c r="A365" s="30" t="s">
        <v>4029</v>
      </c>
      <c r="B365" s="31" t="s">
        <v>155</v>
      </c>
      <c r="C365" s="31" t="s">
        <v>923</v>
      </c>
      <c r="D365" s="30" t="s">
        <v>3663</v>
      </c>
      <c r="E365" s="32">
        <v>46113.0</v>
      </c>
      <c r="F365" s="32">
        <v>46171.0</v>
      </c>
      <c r="G365" s="33"/>
    </row>
    <row r="366" ht="15.75" customHeight="1">
      <c r="A366" s="26" t="s">
        <v>4030</v>
      </c>
      <c r="B366" s="27" t="s">
        <v>160</v>
      </c>
      <c r="C366" s="27" t="s">
        <v>3654</v>
      </c>
      <c r="D366" s="26" t="s">
        <v>3663</v>
      </c>
      <c r="E366" s="28">
        <v>46113.0</v>
      </c>
      <c r="F366" s="28">
        <v>46171.0</v>
      </c>
      <c r="G366" s="29"/>
    </row>
    <row r="367" ht="15.75" customHeight="1">
      <c r="A367" s="30" t="s">
        <v>4031</v>
      </c>
      <c r="B367" s="31" t="s">
        <v>160</v>
      </c>
      <c r="C367" s="31" t="s">
        <v>3655</v>
      </c>
      <c r="D367" s="30" t="s">
        <v>3663</v>
      </c>
      <c r="E367" s="32">
        <v>46113.0</v>
      </c>
      <c r="F367" s="32">
        <v>46171.0</v>
      </c>
      <c r="G367" s="33"/>
    </row>
    <row r="368" ht="15.75" customHeight="1">
      <c r="A368" s="26" t="s">
        <v>4032</v>
      </c>
      <c r="B368" s="27" t="s">
        <v>160</v>
      </c>
      <c r="C368" s="27" t="s">
        <v>932</v>
      </c>
      <c r="D368" s="26" t="s">
        <v>3663</v>
      </c>
      <c r="E368" s="28">
        <v>46113.0</v>
      </c>
      <c r="F368" s="28">
        <v>46171.0</v>
      </c>
      <c r="G368" s="29"/>
    </row>
    <row r="369" ht="15.75" customHeight="1">
      <c r="A369" s="30" t="s">
        <v>4033</v>
      </c>
      <c r="B369" s="31" t="s">
        <v>160</v>
      </c>
      <c r="C369" s="31" t="s">
        <v>1168</v>
      </c>
      <c r="D369" s="30" t="s">
        <v>3663</v>
      </c>
      <c r="E369" s="32">
        <v>46113.0</v>
      </c>
      <c r="F369" s="32">
        <v>46171.0</v>
      </c>
      <c r="G369" s="33"/>
    </row>
    <row r="370" ht="15.75" customHeight="1">
      <c r="A370" s="26" t="s">
        <v>4034</v>
      </c>
      <c r="B370" s="27" t="s">
        <v>160</v>
      </c>
      <c r="C370" s="27" t="s">
        <v>1170</v>
      </c>
      <c r="D370" s="26" t="s">
        <v>3663</v>
      </c>
      <c r="E370" s="28">
        <v>46113.0</v>
      </c>
      <c r="F370" s="28">
        <v>46171.0</v>
      </c>
      <c r="G370" s="29"/>
    </row>
    <row r="371" ht="15.75" customHeight="1">
      <c r="A371" s="30" t="s">
        <v>4035</v>
      </c>
      <c r="B371" s="31" t="s">
        <v>160</v>
      </c>
      <c r="C371" s="31" t="s">
        <v>1288</v>
      </c>
      <c r="D371" s="30" t="s">
        <v>3663</v>
      </c>
      <c r="E371" s="32">
        <v>46113.0</v>
      </c>
      <c r="F371" s="32">
        <v>46171.0</v>
      </c>
      <c r="G371" s="33"/>
    </row>
    <row r="372" ht="15.75" customHeight="1">
      <c r="A372" s="26" t="s">
        <v>4036</v>
      </c>
      <c r="B372" s="27" t="s">
        <v>160</v>
      </c>
      <c r="C372" s="27" t="s">
        <v>1291</v>
      </c>
      <c r="D372" s="26" t="s">
        <v>3663</v>
      </c>
      <c r="E372" s="28">
        <v>46113.0</v>
      </c>
      <c r="F372" s="28">
        <v>46171.0</v>
      </c>
      <c r="G372" s="29"/>
    </row>
    <row r="373" ht="15.75" customHeight="1">
      <c r="A373" s="30" t="s">
        <v>4037</v>
      </c>
      <c r="B373" s="31" t="s">
        <v>160</v>
      </c>
      <c r="C373" s="31" t="s">
        <v>1354</v>
      </c>
      <c r="D373" s="30" t="s">
        <v>3663</v>
      </c>
      <c r="E373" s="32">
        <v>46113.0</v>
      </c>
      <c r="F373" s="32">
        <v>46171.0</v>
      </c>
      <c r="G373" s="33"/>
    </row>
    <row r="374" ht="15.75" customHeight="1">
      <c r="A374" s="26" t="s">
        <v>4038</v>
      </c>
      <c r="B374" s="27" t="s">
        <v>160</v>
      </c>
      <c r="C374" s="27" t="s">
        <v>1172</v>
      </c>
      <c r="D374" s="26" t="s">
        <v>3663</v>
      </c>
      <c r="E374" s="28">
        <v>46113.0</v>
      </c>
      <c r="F374" s="28">
        <v>46171.0</v>
      </c>
      <c r="G374" s="29"/>
    </row>
    <row r="375" ht="15.75" customHeight="1">
      <c r="A375" s="30" t="s">
        <v>4039</v>
      </c>
      <c r="B375" s="31" t="s">
        <v>160</v>
      </c>
      <c r="C375" s="31" t="s">
        <v>1312</v>
      </c>
      <c r="D375" s="30" t="s">
        <v>3663</v>
      </c>
      <c r="E375" s="32">
        <v>46113.0</v>
      </c>
      <c r="F375" s="32">
        <v>46171.0</v>
      </c>
      <c r="G375" s="33"/>
    </row>
    <row r="376" ht="15.75" customHeight="1">
      <c r="A376" s="26" t="s">
        <v>4040</v>
      </c>
      <c r="B376" s="27" t="s">
        <v>160</v>
      </c>
      <c r="C376" s="27" t="s">
        <v>3647</v>
      </c>
      <c r="D376" s="26" t="s">
        <v>3663</v>
      </c>
      <c r="E376" s="28">
        <v>46113.0</v>
      </c>
      <c r="F376" s="28">
        <v>46171.0</v>
      </c>
      <c r="G376" s="29"/>
    </row>
    <row r="377" ht="15.75" customHeight="1">
      <c r="A377" s="30" t="s">
        <v>4041</v>
      </c>
      <c r="B377" s="31" t="s">
        <v>160</v>
      </c>
      <c r="C377" s="31" t="s">
        <v>952</v>
      </c>
      <c r="D377" s="30" t="s">
        <v>3663</v>
      </c>
      <c r="E377" s="32">
        <v>46113.0</v>
      </c>
      <c r="F377" s="32">
        <v>46171.0</v>
      </c>
      <c r="G377" s="33"/>
    </row>
    <row r="378" ht="15.75" customHeight="1">
      <c r="A378" s="26" t="s">
        <v>4042</v>
      </c>
      <c r="B378" s="27" t="s">
        <v>160</v>
      </c>
      <c r="C378" s="27" t="s">
        <v>968</v>
      </c>
      <c r="D378" s="26" t="s">
        <v>3663</v>
      </c>
      <c r="E378" s="28">
        <v>46113.0</v>
      </c>
      <c r="F378" s="28">
        <v>46171.0</v>
      </c>
      <c r="G378" s="29"/>
    </row>
    <row r="379" ht="15.75" customHeight="1">
      <c r="A379" s="30" t="s">
        <v>4043</v>
      </c>
      <c r="B379" s="31" t="s">
        <v>160</v>
      </c>
      <c r="C379" s="31" t="s">
        <v>923</v>
      </c>
      <c r="D379" s="30" t="s">
        <v>3663</v>
      </c>
      <c r="E379" s="32">
        <v>46113.0</v>
      </c>
      <c r="F379" s="32">
        <v>46171.0</v>
      </c>
      <c r="G379" s="33"/>
    </row>
    <row r="380" ht="15.75" customHeight="1">
      <c r="A380" s="26" t="s">
        <v>4044</v>
      </c>
      <c r="B380" s="27" t="s">
        <v>163</v>
      </c>
      <c r="C380" s="27" t="s">
        <v>926</v>
      </c>
      <c r="D380" s="26" t="s">
        <v>3663</v>
      </c>
      <c r="E380" s="28">
        <v>46113.0</v>
      </c>
      <c r="F380" s="28">
        <v>46171.0</v>
      </c>
      <c r="G380" s="29"/>
    </row>
    <row r="381" ht="15.75" customHeight="1">
      <c r="A381" s="30" t="s">
        <v>4045</v>
      </c>
      <c r="B381" s="31" t="s">
        <v>163</v>
      </c>
      <c r="C381" s="31" t="s">
        <v>1354</v>
      </c>
      <c r="D381" s="30" t="s">
        <v>3663</v>
      </c>
      <c r="E381" s="32">
        <v>46113.0</v>
      </c>
      <c r="F381" s="32">
        <v>46171.0</v>
      </c>
      <c r="G381" s="33"/>
    </row>
    <row r="382" ht="15.75" customHeight="1">
      <c r="A382" s="26" t="s">
        <v>4046</v>
      </c>
      <c r="B382" s="27" t="s">
        <v>163</v>
      </c>
      <c r="C382" s="27" t="s">
        <v>1172</v>
      </c>
      <c r="D382" s="26" t="s">
        <v>3663</v>
      </c>
      <c r="E382" s="28">
        <v>46113.0</v>
      </c>
      <c r="F382" s="28">
        <v>46171.0</v>
      </c>
      <c r="G382" s="29"/>
    </row>
    <row r="383" ht="15.75" customHeight="1">
      <c r="A383" s="30" t="s">
        <v>4047</v>
      </c>
      <c r="B383" s="31" t="s">
        <v>163</v>
      </c>
      <c r="C383" s="31" t="s">
        <v>3681</v>
      </c>
      <c r="D383" s="30" t="s">
        <v>3663</v>
      </c>
      <c r="E383" s="32">
        <v>46113.0</v>
      </c>
      <c r="F383" s="32">
        <v>46171.0</v>
      </c>
      <c r="G383" s="33"/>
    </row>
    <row r="384" ht="15.75" customHeight="1">
      <c r="A384" s="26" t="s">
        <v>4048</v>
      </c>
      <c r="B384" s="27" t="s">
        <v>163</v>
      </c>
      <c r="C384" s="27" t="s">
        <v>3683</v>
      </c>
      <c r="D384" s="26" t="s">
        <v>3663</v>
      </c>
      <c r="E384" s="28">
        <v>46113.0</v>
      </c>
      <c r="F384" s="28">
        <v>46171.0</v>
      </c>
      <c r="G384" s="29"/>
    </row>
    <row r="385" ht="15.75" customHeight="1">
      <c r="A385" s="30" t="s">
        <v>4049</v>
      </c>
      <c r="B385" s="31" t="s">
        <v>163</v>
      </c>
      <c r="C385" s="31" t="s">
        <v>1277</v>
      </c>
      <c r="D385" s="30" t="s">
        <v>3663</v>
      </c>
      <c r="E385" s="32">
        <v>46113.0</v>
      </c>
      <c r="F385" s="32">
        <v>46171.0</v>
      </c>
      <c r="G385" s="33"/>
    </row>
    <row r="386" ht="15.75" customHeight="1">
      <c r="A386" s="26" t="s">
        <v>4050</v>
      </c>
      <c r="B386" s="27" t="s">
        <v>163</v>
      </c>
      <c r="C386" s="27" t="s">
        <v>1279</v>
      </c>
      <c r="D386" s="26" t="s">
        <v>3663</v>
      </c>
      <c r="E386" s="28">
        <v>46113.0</v>
      </c>
      <c r="F386" s="28">
        <v>46171.0</v>
      </c>
      <c r="G386" s="29"/>
    </row>
    <row r="387" ht="15.75" customHeight="1">
      <c r="A387" s="30" t="s">
        <v>4051</v>
      </c>
      <c r="B387" s="31" t="s">
        <v>163</v>
      </c>
      <c r="C387" s="31" t="s">
        <v>1283</v>
      </c>
      <c r="D387" s="30" t="s">
        <v>3663</v>
      </c>
      <c r="E387" s="32">
        <v>46113.0</v>
      </c>
      <c r="F387" s="32">
        <v>46171.0</v>
      </c>
      <c r="G387" s="33"/>
    </row>
    <row r="388" ht="15.75" customHeight="1">
      <c r="A388" s="26" t="s">
        <v>4052</v>
      </c>
      <c r="B388" s="27" t="s">
        <v>163</v>
      </c>
      <c r="C388" s="27" t="s">
        <v>1281</v>
      </c>
      <c r="D388" s="26" t="s">
        <v>3663</v>
      </c>
      <c r="E388" s="28">
        <v>46113.0</v>
      </c>
      <c r="F388" s="28">
        <v>46171.0</v>
      </c>
      <c r="G388" s="29"/>
    </row>
    <row r="389" ht="15.75" customHeight="1">
      <c r="A389" s="30" t="s">
        <v>4053</v>
      </c>
      <c r="B389" s="31" t="s">
        <v>163</v>
      </c>
      <c r="C389" s="31" t="s">
        <v>1351</v>
      </c>
      <c r="D389" s="30" t="s">
        <v>3663</v>
      </c>
      <c r="E389" s="32">
        <v>46113.0</v>
      </c>
      <c r="F389" s="32">
        <v>46171.0</v>
      </c>
      <c r="G389" s="33"/>
    </row>
    <row r="390" ht="15.75" customHeight="1">
      <c r="A390" s="26" t="s">
        <v>4054</v>
      </c>
      <c r="B390" s="27" t="s">
        <v>163</v>
      </c>
      <c r="C390" s="27" t="s">
        <v>1349</v>
      </c>
      <c r="D390" s="26" t="s">
        <v>3663</v>
      </c>
      <c r="E390" s="28">
        <v>46113.0</v>
      </c>
      <c r="F390" s="28">
        <v>46171.0</v>
      </c>
      <c r="G390" s="29"/>
    </row>
    <row r="391" ht="15.75" customHeight="1">
      <c r="A391" s="30" t="s">
        <v>4055</v>
      </c>
      <c r="B391" s="31" t="s">
        <v>163</v>
      </c>
      <c r="C391" s="31" t="s">
        <v>968</v>
      </c>
      <c r="D391" s="30" t="s">
        <v>3663</v>
      </c>
      <c r="E391" s="32">
        <v>46113.0</v>
      </c>
      <c r="F391" s="32">
        <v>46171.0</v>
      </c>
      <c r="G391" s="33"/>
    </row>
    <row r="392" ht="15.75" customHeight="1">
      <c r="A392" s="26" t="s">
        <v>4056</v>
      </c>
      <c r="B392" s="27" t="s">
        <v>163</v>
      </c>
      <c r="C392" s="27" t="s">
        <v>923</v>
      </c>
      <c r="D392" s="26" t="s">
        <v>3663</v>
      </c>
      <c r="E392" s="28">
        <v>46113.0</v>
      </c>
      <c r="F392" s="28">
        <v>46171.0</v>
      </c>
      <c r="G392" s="29"/>
    </row>
    <row r="393" ht="15.75" customHeight="1">
      <c r="A393" s="30" t="s">
        <v>4057</v>
      </c>
      <c r="B393" s="31" t="s">
        <v>165</v>
      </c>
      <c r="C393" s="31" t="s">
        <v>930</v>
      </c>
      <c r="D393" s="31" t="s">
        <v>3663</v>
      </c>
      <c r="E393" s="32">
        <v>46113.0</v>
      </c>
      <c r="F393" s="32">
        <v>46171.0</v>
      </c>
      <c r="G393" s="33"/>
    </row>
    <row r="394" ht="15.75" customHeight="1">
      <c r="A394" s="26" t="s">
        <v>4058</v>
      </c>
      <c r="B394" s="27" t="s">
        <v>165</v>
      </c>
      <c r="C394" s="27" t="s">
        <v>1354</v>
      </c>
      <c r="D394" s="26" t="s">
        <v>3663</v>
      </c>
      <c r="E394" s="28">
        <v>46113.0</v>
      </c>
      <c r="F394" s="28">
        <v>46171.0</v>
      </c>
      <c r="G394" s="29"/>
    </row>
    <row r="395" ht="15.75" customHeight="1">
      <c r="A395" s="30" t="s">
        <v>4059</v>
      </c>
      <c r="B395" s="31" t="s">
        <v>165</v>
      </c>
      <c r="C395" s="31" t="s">
        <v>1304</v>
      </c>
      <c r="D395" s="31" t="s">
        <v>3663</v>
      </c>
      <c r="E395" s="32">
        <v>46113.0</v>
      </c>
      <c r="F395" s="32">
        <v>46171.0</v>
      </c>
      <c r="G395" s="33"/>
    </row>
    <row r="396" ht="15.75" customHeight="1">
      <c r="A396" s="26" t="s">
        <v>4060</v>
      </c>
      <c r="B396" s="27" t="s">
        <v>165</v>
      </c>
      <c r="C396" s="27" t="s">
        <v>1306</v>
      </c>
      <c r="D396" s="27" t="s">
        <v>3663</v>
      </c>
      <c r="E396" s="28">
        <v>46113.0</v>
      </c>
      <c r="F396" s="28">
        <v>46171.0</v>
      </c>
      <c r="G396" s="29"/>
    </row>
    <row r="397" ht="15.75" customHeight="1">
      <c r="A397" s="30" t="s">
        <v>4061</v>
      </c>
      <c r="B397" s="31" t="s">
        <v>165</v>
      </c>
      <c r="C397" s="31" t="s">
        <v>1308</v>
      </c>
      <c r="D397" s="31" t="s">
        <v>3663</v>
      </c>
      <c r="E397" s="32">
        <v>46113.0</v>
      </c>
      <c r="F397" s="32">
        <v>46171.0</v>
      </c>
      <c r="G397" s="33"/>
    </row>
    <row r="398" ht="15.75" customHeight="1">
      <c r="A398" s="26" t="s">
        <v>4062</v>
      </c>
      <c r="B398" s="27" t="s">
        <v>165</v>
      </c>
      <c r="C398" s="27" t="s">
        <v>1310</v>
      </c>
      <c r="D398" s="27" t="s">
        <v>3663</v>
      </c>
      <c r="E398" s="28">
        <v>46113.0</v>
      </c>
      <c r="F398" s="28">
        <v>46171.0</v>
      </c>
      <c r="G398" s="29"/>
    </row>
    <row r="399" ht="15.75" customHeight="1">
      <c r="A399" s="30" t="s">
        <v>4063</v>
      </c>
      <c r="B399" s="31" t="s">
        <v>165</v>
      </c>
      <c r="C399" s="31" t="s">
        <v>1312</v>
      </c>
      <c r="D399" s="30" t="s">
        <v>3663</v>
      </c>
      <c r="E399" s="32">
        <v>46113.0</v>
      </c>
      <c r="F399" s="32">
        <v>46171.0</v>
      </c>
      <c r="G399" s="33"/>
    </row>
    <row r="400" ht="15.75" customHeight="1">
      <c r="A400" s="26" t="s">
        <v>4064</v>
      </c>
      <c r="B400" s="27" t="s">
        <v>165</v>
      </c>
      <c r="C400" s="27" t="s">
        <v>3656</v>
      </c>
      <c r="D400" s="26" t="s">
        <v>3663</v>
      </c>
      <c r="E400" s="28">
        <v>46113.0</v>
      </c>
      <c r="F400" s="28">
        <v>46171.0</v>
      </c>
      <c r="G400" s="29"/>
    </row>
    <row r="401" ht="15.75" customHeight="1">
      <c r="A401" s="30" t="s">
        <v>4065</v>
      </c>
      <c r="B401" s="31" t="s">
        <v>165</v>
      </c>
      <c r="C401" s="31" t="s">
        <v>3657</v>
      </c>
      <c r="D401" s="30" t="s">
        <v>3663</v>
      </c>
      <c r="E401" s="32">
        <v>46113.0</v>
      </c>
      <c r="F401" s="32">
        <v>46171.0</v>
      </c>
      <c r="G401" s="33"/>
    </row>
    <row r="402" ht="15.75" customHeight="1">
      <c r="A402" s="26" t="s">
        <v>4066</v>
      </c>
      <c r="B402" s="27" t="s">
        <v>165</v>
      </c>
      <c r="C402" s="27" t="s">
        <v>1351</v>
      </c>
      <c r="D402" s="26" t="s">
        <v>3663</v>
      </c>
      <c r="E402" s="28">
        <v>46113.0</v>
      </c>
      <c r="F402" s="28">
        <v>46171.0</v>
      </c>
      <c r="G402" s="29"/>
    </row>
    <row r="403" ht="15.75" customHeight="1">
      <c r="A403" s="30" t="s">
        <v>4067</v>
      </c>
      <c r="B403" s="31" t="s">
        <v>165</v>
      </c>
      <c r="C403" s="31" t="s">
        <v>1349</v>
      </c>
      <c r="D403" s="30" t="s">
        <v>3663</v>
      </c>
      <c r="E403" s="32">
        <v>46113.0</v>
      </c>
      <c r="F403" s="32">
        <v>46171.0</v>
      </c>
      <c r="G403" s="33"/>
    </row>
    <row r="404" ht="15.75" customHeight="1">
      <c r="A404" s="26" t="s">
        <v>4068</v>
      </c>
      <c r="B404" s="27" t="s">
        <v>165</v>
      </c>
      <c r="C404" s="27" t="s">
        <v>965</v>
      </c>
      <c r="D404" s="26" t="s">
        <v>3663</v>
      </c>
      <c r="E404" s="28">
        <v>46113.0</v>
      </c>
      <c r="F404" s="28">
        <v>46171.0</v>
      </c>
      <c r="G404" s="29"/>
    </row>
    <row r="405" ht="15.75" customHeight="1">
      <c r="A405" s="30" t="s">
        <v>4069</v>
      </c>
      <c r="B405" s="31" t="s">
        <v>165</v>
      </c>
      <c r="C405" s="31" t="s">
        <v>923</v>
      </c>
      <c r="D405" s="31" t="s">
        <v>3663</v>
      </c>
      <c r="E405" s="32">
        <v>46113.0</v>
      </c>
      <c r="F405" s="32">
        <v>46171.0</v>
      </c>
      <c r="G405" s="33"/>
    </row>
    <row r="406" ht="15.75" customHeight="1">
      <c r="A406" s="26" t="s">
        <v>4070</v>
      </c>
      <c r="B406" s="27" t="s">
        <v>165</v>
      </c>
      <c r="C406" s="27" t="s">
        <v>955</v>
      </c>
      <c r="D406" s="26" t="s">
        <v>3663</v>
      </c>
      <c r="E406" s="28">
        <v>46113.0</v>
      </c>
      <c r="F406" s="28">
        <v>46171.0</v>
      </c>
      <c r="G406" s="29"/>
    </row>
    <row r="407" ht="15.75" customHeight="1">
      <c r="A407" s="30" t="s">
        <v>4071</v>
      </c>
      <c r="B407" s="31" t="s">
        <v>167</v>
      </c>
      <c r="C407" s="31" t="s">
        <v>934</v>
      </c>
      <c r="D407" s="30" t="s">
        <v>3663</v>
      </c>
      <c r="E407" s="32">
        <v>46113.0</v>
      </c>
      <c r="F407" s="32">
        <v>46171.0</v>
      </c>
      <c r="G407" s="33"/>
    </row>
    <row r="408" ht="15.75" customHeight="1">
      <c r="A408" s="26" t="s">
        <v>4072</v>
      </c>
      <c r="B408" s="27" t="s">
        <v>167</v>
      </c>
      <c r="C408" s="27" t="s">
        <v>1354</v>
      </c>
      <c r="D408" s="26" t="s">
        <v>3663</v>
      </c>
      <c r="E408" s="28">
        <v>46113.0</v>
      </c>
      <c r="F408" s="28">
        <v>46171.0</v>
      </c>
      <c r="G408" s="29"/>
    </row>
    <row r="409" ht="15.75" customHeight="1">
      <c r="A409" s="30" t="s">
        <v>4073</v>
      </c>
      <c r="B409" s="31" t="s">
        <v>167</v>
      </c>
      <c r="C409" s="31" t="s">
        <v>1172</v>
      </c>
      <c r="D409" s="30" t="s">
        <v>3663</v>
      </c>
      <c r="E409" s="32">
        <v>46113.0</v>
      </c>
      <c r="F409" s="32">
        <v>46171.0</v>
      </c>
      <c r="G409" s="33"/>
    </row>
    <row r="410" ht="15.75" customHeight="1">
      <c r="A410" s="26" t="s">
        <v>4074</v>
      </c>
      <c r="B410" s="27" t="s">
        <v>167</v>
      </c>
      <c r="C410" s="27" t="s">
        <v>1190</v>
      </c>
      <c r="D410" s="26" t="s">
        <v>3663</v>
      </c>
      <c r="E410" s="28">
        <v>46113.0</v>
      </c>
      <c r="F410" s="28">
        <v>46171.0</v>
      </c>
      <c r="G410" s="29"/>
    </row>
    <row r="411" ht="15.75" customHeight="1">
      <c r="A411" s="30" t="s">
        <v>4075</v>
      </c>
      <c r="B411" s="31" t="s">
        <v>167</v>
      </c>
      <c r="C411" s="31" t="s">
        <v>3656</v>
      </c>
      <c r="D411" s="30" t="s">
        <v>3663</v>
      </c>
      <c r="E411" s="32">
        <v>46113.0</v>
      </c>
      <c r="F411" s="32">
        <v>46171.0</v>
      </c>
      <c r="G411" s="33"/>
    </row>
    <row r="412" ht="15.75" customHeight="1">
      <c r="A412" s="26" t="s">
        <v>4076</v>
      </c>
      <c r="B412" s="27" t="s">
        <v>167</v>
      </c>
      <c r="C412" s="27" t="s">
        <v>3657</v>
      </c>
      <c r="D412" s="26" t="s">
        <v>3663</v>
      </c>
      <c r="E412" s="28">
        <v>46113.0</v>
      </c>
      <c r="F412" s="28">
        <v>46171.0</v>
      </c>
      <c r="G412" s="29"/>
    </row>
    <row r="413" ht="15.75" customHeight="1">
      <c r="A413" s="30" t="s">
        <v>4077</v>
      </c>
      <c r="B413" s="31" t="s">
        <v>167</v>
      </c>
      <c r="C413" s="31" t="s">
        <v>3647</v>
      </c>
      <c r="D413" s="30" t="s">
        <v>3663</v>
      </c>
      <c r="E413" s="32">
        <v>46113.0</v>
      </c>
      <c r="F413" s="32">
        <v>46171.0</v>
      </c>
      <c r="G413" s="33"/>
    </row>
    <row r="414" ht="15.75" customHeight="1">
      <c r="A414" s="26" t="s">
        <v>4078</v>
      </c>
      <c r="B414" s="27" t="s">
        <v>167</v>
      </c>
      <c r="C414" s="27" t="s">
        <v>952</v>
      </c>
      <c r="D414" s="26" t="s">
        <v>3663</v>
      </c>
      <c r="E414" s="28">
        <v>46113.0</v>
      </c>
      <c r="F414" s="28">
        <v>46171.0</v>
      </c>
      <c r="G414" s="29"/>
    </row>
    <row r="415" ht="15.75" customHeight="1">
      <c r="A415" s="30" t="s">
        <v>4079</v>
      </c>
      <c r="B415" s="31" t="s">
        <v>167</v>
      </c>
      <c r="C415" s="31" t="s">
        <v>1157</v>
      </c>
      <c r="D415" s="30" t="s">
        <v>3663</v>
      </c>
      <c r="E415" s="32">
        <v>46113.0</v>
      </c>
      <c r="F415" s="32">
        <v>46171.0</v>
      </c>
      <c r="G415" s="33"/>
    </row>
    <row r="416" ht="15.75" customHeight="1">
      <c r="A416" s="26" t="s">
        <v>4080</v>
      </c>
      <c r="B416" s="27" t="s">
        <v>167</v>
      </c>
      <c r="C416" s="27" t="s">
        <v>1155</v>
      </c>
      <c r="D416" s="26" t="s">
        <v>3663</v>
      </c>
      <c r="E416" s="28">
        <v>46113.0</v>
      </c>
      <c r="F416" s="28">
        <v>46171.0</v>
      </c>
      <c r="G416" s="29"/>
    </row>
    <row r="417" ht="15.75" customHeight="1">
      <c r="A417" s="30" t="s">
        <v>4081</v>
      </c>
      <c r="B417" s="31" t="s">
        <v>167</v>
      </c>
      <c r="C417" s="31" t="s">
        <v>1153</v>
      </c>
      <c r="D417" s="30" t="s">
        <v>3663</v>
      </c>
      <c r="E417" s="32">
        <v>46113.0</v>
      </c>
      <c r="F417" s="32">
        <v>46171.0</v>
      </c>
      <c r="G417" s="33"/>
    </row>
    <row r="418" ht="15.75" customHeight="1">
      <c r="A418" s="26" t="s">
        <v>4082</v>
      </c>
      <c r="B418" s="27" t="s">
        <v>167</v>
      </c>
      <c r="C418" s="27" t="s">
        <v>1149</v>
      </c>
      <c r="D418" s="26" t="s">
        <v>3663</v>
      </c>
      <c r="E418" s="28">
        <v>46113.0</v>
      </c>
      <c r="F418" s="28">
        <v>46171.0</v>
      </c>
      <c r="G418" s="29"/>
    </row>
    <row r="419" ht="15.75" customHeight="1">
      <c r="A419" s="30" t="s">
        <v>4083</v>
      </c>
      <c r="B419" s="31" t="s">
        <v>167</v>
      </c>
      <c r="C419" s="31" t="s">
        <v>968</v>
      </c>
      <c r="D419" s="30" t="s">
        <v>3663</v>
      </c>
      <c r="E419" s="32">
        <v>46113.0</v>
      </c>
      <c r="F419" s="32">
        <v>46171.0</v>
      </c>
      <c r="G419" s="33"/>
    </row>
    <row r="420" ht="15.75" customHeight="1">
      <c r="A420" s="26" t="s">
        <v>4084</v>
      </c>
      <c r="B420" s="27" t="s">
        <v>167</v>
      </c>
      <c r="C420" s="27" t="s">
        <v>923</v>
      </c>
      <c r="D420" s="26" t="s">
        <v>3663</v>
      </c>
      <c r="E420" s="28">
        <v>46113.0</v>
      </c>
      <c r="F420" s="28">
        <v>46171.0</v>
      </c>
      <c r="G420" s="29"/>
    </row>
    <row r="421" ht="15.75" customHeight="1">
      <c r="A421" s="30" t="s">
        <v>4085</v>
      </c>
      <c r="B421" s="31" t="s">
        <v>168</v>
      </c>
      <c r="C421" s="31" t="s">
        <v>930</v>
      </c>
      <c r="D421" s="31" t="s">
        <v>3663</v>
      </c>
      <c r="E421" s="32">
        <v>46113.0</v>
      </c>
      <c r="F421" s="32">
        <v>46171.0</v>
      </c>
      <c r="G421" s="33"/>
    </row>
    <row r="422" ht="15.75" customHeight="1">
      <c r="A422" s="26" t="s">
        <v>4086</v>
      </c>
      <c r="B422" s="27" t="s">
        <v>168</v>
      </c>
      <c r="C422" s="27" t="s">
        <v>1354</v>
      </c>
      <c r="D422" s="26" t="s">
        <v>3663</v>
      </c>
      <c r="E422" s="28">
        <v>46113.0</v>
      </c>
      <c r="F422" s="28">
        <v>46171.0</v>
      </c>
      <c r="G422" s="29"/>
    </row>
    <row r="423" ht="15.75" customHeight="1">
      <c r="A423" s="30" t="s">
        <v>4087</v>
      </c>
      <c r="B423" s="31" t="s">
        <v>168</v>
      </c>
      <c r="C423" s="31" t="s">
        <v>1304</v>
      </c>
      <c r="D423" s="31" t="s">
        <v>3663</v>
      </c>
      <c r="E423" s="32">
        <v>46113.0</v>
      </c>
      <c r="F423" s="32">
        <v>46171.0</v>
      </c>
      <c r="G423" s="33"/>
    </row>
    <row r="424" ht="15.75" customHeight="1">
      <c r="A424" s="26" t="s">
        <v>4088</v>
      </c>
      <c r="B424" s="27" t="s">
        <v>168</v>
      </c>
      <c r="C424" s="27" t="s">
        <v>1306</v>
      </c>
      <c r="D424" s="27" t="s">
        <v>3663</v>
      </c>
      <c r="E424" s="28">
        <v>46113.0</v>
      </c>
      <c r="F424" s="28">
        <v>46171.0</v>
      </c>
      <c r="G424" s="29"/>
    </row>
    <row r="425" ht="15.75" customHeight="1">
      <c r="A425" s="30" t="s">
        <v>4089</v>
      </c>
      <c r="B425" s="31" t="s">
        <v>168</v>
      </c>
      <c r="C425" s="31" t="s">
        <v>1308</v>
      </c>
      <c r="D425" s="31" t="s">
        <v>3663</v>
      </c>
      <c r="E425" s="32">
        <v>46113.0</v>
      </c>
      <c r="F425" s="32">
        <v>46171.0</v>
      </c>
      <c r="G425" s="33"/>
    </row>
    <row r="426" ht="15.75" customHeight="1">
      <c r="A426" s="26" t="s">
        <v>4090</v>
      </c>
      <c r="B426" s="27" t="s">
        <v>168</v>
      </c>
      <c r="C426" s="27" t="s">
        <v>1310</v>
      </c>
      <c r="D426" s="27" t="s">
        <v>3663</v>
      </c>
      <c r="E426" s="28">
        <v>46113.0</v>
      </c>
      <c r="F426" s="28">
        <v>46171.0</v>
      </c>
      <c r="G426" s="29"/>
    </row>
    <row r="427" ht="15.75" customHeight="1">
      <c r="A427" s="30" t="s">
        <v>4091</v>
      </c>
      <c r="B427" s="31" t="s">
        <v>168</v>
      </c>
      <c r="C427" s="31" t="s">
        <v>3681</v>
      </c>
      <c r="D427" s="30" t="s">
        <v>3663</v>
      </c>
      <c r="E427" s="32">
        <v>46113.0</v>
      </c>
      <c r="F427" s="32">
        <v>46171.0</v>
      </c>
      <c r="G427" s="33"/>
    </row>
    <row r="428" ht="15.75" customHeight="1">
      <c r="A428" s="26" t="s">
        <v>4092</v>
      </c>
      <c r="B428" s="27" t="s">
        <v>168</v>
      </c>
      <c r="C428" s="27" t="s">
        <v>3683</v>
      </c>
      <c r="D428" s="26" t="s">
        <v>3663</v>
      </c>
      <c r="E428" s="28">
        <v>46113.0</v>
      </c>
      <c r="F428" s="28">
        <v>46171.0</v>
      </c>
      <c r="G428" s="29"/>
    </row>
    <row r="429" ht="15.75" customHeight="1">
      <c r="A429" s="30" t="s">
        <v>4093</v>
      </c>
      <c r="B429" s="31" t="s">
        <v>168</v>
      </c>
      <c r="C429" s="31" t="s">
        <v>1218</v>
      </c>
      <c r="D429" s="30" t="s">
        <v>3663</v>
      </c>
      <c r="E429" s="32">
        <v>46113.0</v>
      </c>
      <c r="F429" s="32">
        <v>46171.0</v>
      </c>
      <c r="G429" s="33"/>
    </row>
    <row r="430" ht="15.75" customHeight="1">
      <c r="A430" s="26" t="s">
        <v>4094</v>
      </c>
      <c r="B430" s="27" t="s">
        <v>168</v>
      </c>
      <c r="C430" s="27" t="s">
        <v>1351</v>
      </c>
      <c r="D430" s="26" t="s">
        <v>3663</v>
      </c>
      <c r="E430" s="28">
        <v>46113.0</v>
      </c>
      <c r="F430" s="28">
        <v>46171.0</v>
      </c>
      <c r="G430" s="29"/>
    </row>
    <row r="431" ht="15.75" customHeight="1">
      <c r="A431" s="30" t="s">
        <v>4095</v>
      </c>
      <c r="B431" s="31" t="s">
        <v>168</v>
      </c>
      <c r="C431" s="31" t="s">
        <v>1349</v>
      </c>
      <c r="D431" s="30" t="s">
        <v>3663</v>
      </c>
      <c r="E431" s="32">
        <v>46113.0</v>
      </c>
      <c r="F431" s="32">
        <v>46171.0</v>
      </c>
      <c r="G431" s="33"/>
    </row>
    <row r="432" ht="15.75" customHeight="1">
      <c r="A432" s="26" t="s">
        <v>4096</v>
      </c>
      <c r="B432" s="27" t="s">
        <v>168</v>
      </c>
      <c r="C432" s="27" t="s">
        <v>968</v>
      </c>
      <c r="D432" s="26" t="s">
        <v>3663</v>
      </c>
      <c r="E432" s="28">
        <v>46113.0</v>
      </c>
      <c r="F432" s="28">
        <v>46171.0</v>
      </c>
      <c r="G432" s="29"/>
    </row>
    <row r="433" ht="15.75" customHeight="1">
      <c r="A433" s="30" t="s">
        <v>4097</v>
      </c>
      <c r="B433" s="31" t="s">
        <v>168</v>
      </c>
      <c r="C433" s="31" t="s">
        <v>923</v>
      </c>
      <c r="D433" s="31" t="s">
        <v>3663</v>
      </c>
      <c r="E433" s="32">
        <v>46113.0</v>
      </c>
      <c r="F433" s="32">
        <v>46171.0</v>
      </c>
      <c r="G433" s="33"/>
    </row>
    <row r="434" ht="15.75" customHeight="1">
      <c r="A434" s="26" t="s">
        <v>4098</v>
      </c>
      <c r="B434" s="27" t="s">
        <v>168</v>
      </c>
      <c r="C434" s="27" t="s">
        <v>955</v>
      </c>
      <c r="D434" s="26" t="s">
        <v>3663</v>
      </c>
      <c r="E434" s="28">
        <v>46113.0</v>
      </c>
      <c r="F434" s="28">
        <v>46171.0</v>
      </c>
      <c r="G434" s="29"/>
    </row>
    <row r="435" ht="15.75" customHeight="1">
      <c r="A435" s="30" t="s">
        <v>4099</v>
      </c>
      <c r="B435" s="31" t="s">
        <v>174</v>
      </c>
      <c r="C435" s="31" t="s">
        <v>1242</v>
      </c>
      <c r="D435" s="31" t="s">
        <v>3663</v>
      </c>
      <c r="E435" s="32">
        <v>46113.0</v>
      </c>
      <c r="F435" s="32">
        <v>46171.0</v>
      </c>
      <c r="G435" s="33"/>
    </row>
    <row r="436" ht="15.75" customHeight="1">
      <c r="A436" s="26" t="s">
        <v>4100</v>
      </c>
      <c r="B436" s="27" t="s">
        <v>174</v>
      </c>
      <c r="C436" s="27" t="s">
        <v>1244</v>
      </c>
      <c r="D436" s="27" t="s">
        <v>3663</v>
      </c>
      <c r="E436" s="28">
        <v>46113.0</v>
      </c>
      <c r="F436" s="28">
        <v>46171.0</v>
      </c>
      <c r="G436" s="29"/>
    </row>
    <row r="437" ht="15.75" customHeight="1">
      <c r="A437" s="30" t="s">
        <v>4101</v>
      </c>
      <c r="B437" s="31" t="s">
        <v>174</v>
      </c>
      <c r="C437" s="31" t="s">
        <v>1246</v>
      </c>
      <c r="D437" s="31" t="s">
        <v>3663</v>
      </c>
      <c r="E437" s="32">
        <v>46113.0</v>
      </c>
      <c r="F437" s="32">
        <v>46171.0</v>
      </c>
      <c r="G437" s="33"/>
    </row>
    <row r="438" ht="15.75" customHeight="1">
      <c r="A438" s="26" t="s">
        <v>4102</v>
      </c>
      <c r="B438" s="27" t="s">
        <v>174</v>
      </c>
      <c r="C438" s="27" t="s">
        <v>934</v>
      </c>
      <c r="D438" s="27" t="s">
        <v>3663</v>
      </c>
      <c r="E438" s="28">
        <v>46113.0</v>
      </c>
      <c r="F438" s="28">
        <v>46171.0</v>
      </c>
      <c r="G438" s="29"/>
    </row>
    <row r="439" ht="15.75" customHeight="1">
      <c r="A439" s="30" t="s">
        <v>4103</v>
      </c>
      <c r="B439" s="31" t="s">
        <v>174</v>
      </c>
      <c r="C439" s="31" t="s">
        <v>1354</v>
      </c>
      <c r="D439" s="30" t="s">
        <v>3663</v>
      </c>
      <c r="E439" s="32">
        <v>46113.0</v>
      </c>
      <c r="F439" s="32">
        <v>46171.0</v>
      </c>
      <c r="G439" s="33"/>
    </row>
    <row r="440" ht="15.75" customHeight="1">
      <c r="A440" s="26" t="s">
        <v>4104</v>
      </c>
      <c r="B440" s="27" t="s">
        <v>174</v>
      </c>
      <c r="C440" s="27" t="s">
        <v>3656</v>
      </c>
      <c r="D440" s="26" t="s">
        <v>3663</v>
      </c>
      <c r="E440" s="28">
        <v>46113.0</v>
      </c>
      <c r="F440" s="28">
        <v>46171.0</v>
      </c>
      <c r="G440" s="29"/>
    </row>
    <row r="441" ht="15.75" customHeight="1">
      <c r="A441" s="30" t="s">
        <v>4105</v>
      </c>
      <c r="B441" s="31" t="s">
        <v>174</v>
      </c>
      <c r="C441" s="31" t="s">
        <v>3657</v>
      </c>
      <c r="D441" s="30" t="s">
        <v>3663</v>
      </c>
      <c r="E441" s="32">
        <v>46113.0</v>
      </c>
      <c r="F441" s="32">
        <v>46171.0</v>
      </c>
      <c r="G441" s="33"/>
    </row>
    <row r="442" ht="15.75" customHeight="1">
      <c r="A442" s="26" t="s">
        <v>4106</v>
      </c>
      <c r="B442" s="27" t="s">
        <v>174</v>
      </c>
      <c r="C442" s="27" t="s">
        <v>3647</v>
      </c>
      <c r="D442" s="26" t="s">
        <v>3663</v>
      </c>
      <c r="E442" s="28">
        <v>46113.0</v>
      </c>
      <c r="F442" s="28">
        <v>46171.0</v>
      </c>
      <c r="G442" s="29"/>
    </row>
    <row r="443" ht="15.75" customHeight="1">
      <c r="A443" s="30" t="s">
        <v>4107</v>
      </c>
      <c r="B443" s="31" t="s">
        <v>174</v>
      </c>
      <c r="C443" s="31" t="s">
        <v>952</v>
      </c>
      <c r="D443" s="30" t="s">
        <v>3663</v>
      </c>
      <c r="E443" s="32">
        <v>46113.0</v>
      </c>
      <c r="F443" s="32">
        <v>46171.0</v>
      </c>
      <c r="G443" s="33"/>
    </row>
    <row r="444" ht="15.75" customHeight="1">
      <c r="A444" s="26" t="s">
        <v>4108</v>
      </c>
      <c r="B444" s="27" t="s">
        <v>174</v>
      </c>
      <c r="C444" s="27" t="s">
        <v>1216</v>
      </c>
      <c r="D444" s="26" t="s">
        <v>3663</v>
      </c>
      <c r="E444" s="28">
        <v>46113.0</v>
      </c>
      <c r="F444" s="28">
        <v>46171.0</v>
      </c>
      <c r="G444" s="29"/>
    </row>
    <row r="445" ht="15.75" customHeight="1">
      <c r="A445" s="30" t="s">
        <v>4109</v>
      </c>
      <c r="B445" s="31" t="s">
        <v>174</v>
      </c>
      <c r="C445" s="31" t="s">
        <v>1240</v>
      </c>
      <c r="D445" s="30" t="s">
        <v>3663</v>
      </c>
      <c r="E445" s="32">
        <v>46113.0</v>
      </c>
      <c r="F445" s="32">
        <v>46171.0</v>
      </c>
      <c r="G445" s="33"/>
    </row>
    <row r="446" ht="15.75" customHeight="1">
      <c r="A446" s="26" t="s">
        <v>4110</v>
      </c>
      <c r="B446" s="27" t="s">
        <v>174</v>
      </c>
      <c r="C446" s="27" t="s">
        <v>968</v>
      </c>
      <c r="D446" s="26" t="s">
        <v>3663</v>
      </c>
      <c r="E446" s="28">
        <v>46113.0</v>
      </c>
      <c r="F446" s="28">
        <v>46171.0</v>
      </c>
      <c r="G446" s="29"/>
    </row>
    <row r="447" ht="15.75" customHeight="1">
      <c r="A447" s="30" t="s">
        <v>4111</v>
      </c>
      <c r="B447" s="31" t="s">
        <v>174</v>
      </c>
      <c r="C447" s="31" t="s">
        <v>923</v>
      </c>
      <c r="D447" s="31" t="s">
        <v>3663</v>
      </c>
      <c r="E447" s="32">
        <v>46113.0</v>
      </c>
      <c r="F447" s="32">
        <v>46171.0</v>
      </c>
      <c r="G447" s="33"/>
    </row>
    <row r="448" ht="15.75" customHeight="1">
      <c r="A448" s="26" t="s">
        <v>4112</v>
      </c>
      <c r="B448" s="27" t="s">
        <v>174</v>
      </c>
      <c r="C448" s="27" t="s">
        <v>958</v>
      </c>
      <c r="D448" s="26" t="s">
        <v>3663</v>
      </c>
      <c r="E448" s="28">
        <v>46113.0</v>
      </c>
      <c r="F448" s="28">
        <v>46171.0</v>
      </c>
      <c r="G448" s="29"/>
    </row>
    <row r="449" ht="15.75" customHeight="1">
      <c r="A449" s="30" t="s">
        <v>4113</v>
      </c>
      <c r="B449" s="31" t="s">
        <v>177</v>
      </c>
      <c r="C449" s="31" t="s">
        <v>926</v>
      </c>
      <c r="D449" s="30" t="s">
        <v>3663</v>
      </c>
      <c r="E449" s="32">
        <v>46113.0</v>
      </c>
      <c r="F449" s="32">
        <v>46171.0</v>
      </c>
      <c r="G449" s="33"/>
    </row>
    <row r="450" ht="15.75" customHeight="1">
      <c r="A450" s="26" t="s">
        <v>4114</v>
      </c>
      <c r="B450" s="27" t="s">
        <v>177</v>
      </c>
      <c r="C450" s="27" t="s">
        <v>1354</v>
      </c>
      <c r="D450" s="26" t="s">
        <v>3663</v>
      </c>
      <c r="E450" s="28">
        <v>46113.0</v>
      </c>
      <c r="F450" s="28">
        <v>46171.0</v>
      </c>
      <c r="G450" s="29"/>
    </row>
    <row r="451" ht="15.75" customHeight="1">
      <c r="A451" s="30" t="s">
        <v>4115</v>
      </c>
      <c r="B451" s="31" t="s">
        <v>177</v>
      </c>
      <c r="C451" s="31" t="s">
        <v>3681</v>
      </c>
      <c r="D451" s="30" t="s">
        <v>3663</v>
      </c>
      <c r="E451" s="32">
        <v>46113.0</v>
      </c>
      <c r="F451" s="32">
        <v>46171.0</v>
      </c>
      <c r="G451" s="33"/>
    </row>
    <row r="452" ht="15.75" customHeight="1">
      <c r="A452" s="26" t="s">
        <v>4116</v>
      </c>
      <c r="B452" s="27" t="s">
        <v>177</v>
      </c>
      <c r="C452" s="27" t="s">
        <v>3683</v>
      </c>
      <c r="D452" s="26" t="s">
        <v>3663</v>
      </c>
      <c r="E452" s="28">
        <v>46113.0</v>
      </c>
      <c r="F452" s="28">
        <v>46171.0</v>
      </c>
      <c r="G452" s="29"/>
    </row>
    <row r="453" ht="15.75" customHeight="1">
      <c r="A453" s="30" t="s">
        <v>4117</v>
      </c>
      <c r="B453" s="31" t="s">
        <v>177</v>
      </c>
      <c r="C453" s="31" t="s">
        <v>1277</v>
      </c>
      <c r="D453" s="30" t="s">
        <v>3663</v>
      </c>
      <c r="E453" s="32">
        <v>46113.0</v>
      </c>
      <c r="F453" s="32">
        <v>46171.0</v>
      </c>
      <c r="G453" s="33"/>
    </row>
    <row r="454" ht="15.75" customHeight="1">
      <c r="A454" s="26" t="s">
        <v>4118</v>
      </c>
      <c r="B454" s="27" t="s">
        <v>177</v>
      </c>
      <c r="C454" s="27" t="s">
        <v>1279</v>
      </c>
      <c r="D454" s="26" t="s">
        <v>3663</v>
      </c>
      <c r="E454" s="28">
        <v>46113.0</v>
      </c>
      <c r="F454" s="28">
        <v>46171.0</v>
      </c>
      <c r="G454" s="29"/>
    </row>
    <row r="455" ht="15.75" customHeight="1">
      <c r="A455" s="30" t="s">
        <v>4119</v>
      </c>
      <c r="B455" s="31" t="s">
        <v>177</v>
      </c>
      <c r="C455" s="31" t="s">
        <v>1283</v>
      </c>
      <c r="D455" s="30" t="s">
        <v>3663</v>
      </c>
      <c r="E455" s="32">
        <v>46113.0</v>
      </c>
      <c r="F455" s="32">
        <v>46171.0</v>
      </c>
      <c r="G455" s="33"/>
    </row>
    <row r="456" ht="15.75" customHeight="1">
      <c r="A456" s="26" t="s">
        <v>4120</v>
      </c>
      <c r="B456" s="27" t="s">
        <v>177</v>
      </c>
      <c r="C456" s="27" t="s">
        <v>1281</v>
      </c>
      <c r="D456" s="26" t="s">
        <v>3663</v>
      </c>
      <c r="E456" s="28">
        <v>46113.0</v>
      </c>
      <c r="F456" s="28">
        <v>46171.0</v>
      </c>
      <c r="G456" s="29"/>
    </row>
    <row r="457" ht="15.75" customHeight="1">
      <c r="A457" s="30" t="s">
        <v>4121</v>
      </c>
      <c r="B457" s="31" t="s">
        <v>177</v>
      </c>
      <c r="C457" s="31" t="s">
        <v>1216</v>
      </c>
      <c r="D457" s="30" t="s">
        <v>3663</v>
      </c>
      <c r="E457" s="32">
        <v>46113.0</v>
      </c>
      <c r="F457" s="32">
        <v>46171.0</v>
      </c>
      <c r="G457" s="33"/>
    </row>
    <row r="458" ht="15.75" customHeight="1">
      <c r="A458" s="26" t="s">
        <v>4122</v>
      </c>
      <c r="B458" s="27" t="s">
        <v>177</v>
      </c>
      <c r="C458" s="27" t="s">
        <v>1218</v>
      </c>
      <c r="D458" s="26" t="s">
        <v>3663</v>
      </c>
      <c r="E458" s="28">
        <v>46113.0</v>
      </c>
      <c r="F458" s="28">
        <v>46171.0</v>
      </c>
      <c r="G458" s="29"/>
    </row>
    <row r="459" ht="15.75" customHeight="1">
      <c r="A459" s="30" t="s">
        <v>4123</v>
      </c>
      <c r="B459" s="31" t="s">
        <v>177</v>
      </c>
      <c r="C459" s="31" t="s">
        <v>1351</v>
      </c>
      <c r="D459" s="30" t="s">
        <v>3663</v>
      </c>
      <c r="E459" s="32">
        <v>46113.0</v>
      </c>
      <c r="F459" s="32">
        <v>46171.0</v>
      </c>
      <c r="G459" s="33"/>
    </row>
    <row r="460" ht="15.75" customHeight="1">
      <c r="A460" s="26" t="s">
        <v>4124</v>
      </c>
      <c r="B460" s="27" t="s">
        <v>177</v>
      </c>
      <c r="C460" s="27" t="s">
        <v>1349</v>
      </c>
      <c r="D460" s="26" t="s">
        <v>3663</v>
      </c>
      <c r="E460" s="28">
        <v>46113.0</v>
      </c>
      <c r="F460" s="28">
        <v>46171.0</v>
      </c>
      <c r="G460" s="29"/>
    </row>
    <row r="461" ht="15.75" customHeight="1">
      <c r="A461" s="30" t="s">
        <v>4125</v>
      </c>
      <c r="B461" s="31" t="s">
        <v>177</v>
      </c>
      <c r="C461" s="31" t="s">
        <v>965</v>
      </c>
      <c r="D461" s="30" t="s">
        <v>3663</v>
      </c>
      <c r="E461" s="32">
        <v>46113.0</v>
      </c>
      <c r="F461" s="32">
        <v>46171.0</v>
      </c>
      <c r="G461" s="33"/>
    </row>
    <row r="462" ht="15.75" customHeight="1">
      <c r="A462" s="26" t="s">
        <v>4126</v>
      </c>
      <c r="B462" s="27" t="s">
        <v>177</v>
      </c>
      <c r="C462" s="27" t="s">
        <v>923</v>
      </c>
      <c r="D462" s="26" t="s">
        <v>3663</v>
      </c>
      <c r="E462" s="28">
        <v>46113.0</v>
      </c>
      <c r="F462" s="28">
        <v>46171.0</v>
      </c>
      <c r="G462" s="29"/>
    </row>
    <row r="463" ht="15.75" customHeight="1">
      <c r="A463" s="30" t="s">
        <v>4127</v>
      </c>
      <c r="B463" s="31" t="s">
        <v>179</v>
      </c>
      <c r="C463" s="31" t="s">
        <v>930</v>
      </c>
      <c r="D463" s="30" t="s">
        <v>3663</v>
      </c>
      <c r="E463" s="32">
        <v>46113.0</v>
      </c>
      <c r="F463" s="32">
        <v>46171.0</v>
      </c>
      <c r="G463" s="33"/>
    </row>
    <row r="464" ht="15.75" customHeight="1">
      <c r="A464" s="26" t="s">
        <v>4128</v>
      </c>
      <c r="B464" s="27" t="s">
        <v>179</v>
      </c>
      <c r="C464" s="27" t="s">
        <v>1354</v>
      </c>
      <c r="D464" s="26" t="s">
        <v>3663</v>
      </c>
      <c r="E464" s="28">
        <v>46113.0</v>
      </c>
      <c r="F464" s="28">
        <v>46171.0</v>
      </c>
      <c r="G464" s="29"/>
    </row>
    <row r="465" ht="15.75" customHeight="1">
      <c r="A465" s="30" t="s">
        <v>4129</v>
      </c>
      <c r="B465" s="31" t="s">
        <v>179</v>
      </c>
      <c r="C465" s="31" t="s">
        <v>1172</v>
      </c>
      <c r="D465" s="30" t="s">
        <v>3663</v>
      </c>
      <c r="E465" s="32">
        <v>46113.0</v>
      </c>
      <c r="F465" s="32">
        <v>46171.0</v>
      </c>
      <c r="G465" s="33"/>
    </row>
    <row r="466" ht="15.75" customHeight="1">
      <c r="A466" s="26" t="s">
        <v>4130</v>
      </c>
      <c r="B466" s="27" t="s">
        <v>179</v>
      </c>
      <c r="C466" s="27" t="s">
        <v>1190</v>
      </c>
      <c r="D466" s="26" t="s">
        <v>3663</v>
      </c>
      <c r="E466" s="28">
        <v>46113.0</v>
      </c>
      <c r="F466" s="28">
        <v>46171.0</v>
      </c>
      <c r="G466" s="29"/>
    </row>
    <row r="467" ht="15.75" customHeight="1">
      <c r="A467" s="30" t="s">
        <v>4131</v>
      </c>
      <c r="B467" s="31" t="s">
        <v>179</v>
      </c>
      <c r="C467" s="31" t="s">
        <v>3647</v>
      </c>
      <c r="D467" s="30" t="s">
        <v>3663</v>
      </c>
      <c r="E467" s="32">
        <v>46113.0</v>
      </c>
      <c r="F467" s="32">
        <v>46171.0</v>
      </c>
      <c r="G467" s="33"/>
    </row>
    <row r="468" ht="15.75" customHeight="1">
      <c r="A468" s="26" t="s">
        <v>4132</v>
      </c>
      <c r="B468" s="27" t="s">
        <v>179</v>
      </c>
      <c r="C468" s="27" t="s">
        <v>952</v>
      </c>
      <c r="D468" s="26" t="s">
        <v>3663</v>
      </c>
      <c r="E468" s="28">
        <v>46113.0</v>
      </c>
      <c r="F468" s="28">
        <v>46171.0</v>
      </c>
      <c r="G468" s="29"/>
    </row>
    <row r="469" ht="15.75" customHeight="1">
      <c r="A469" s="30" t="s">
        <v>4133</v>
      </c>
      <c r="B469" s="31" t="s">
        <v>179</v>
      </c>
      <c r="C469" s="31" t="s">
        <v>1157</v>
      </c>
      <c r="D469" s="30" t="s">
        <v>3663</v>
      </c>
      <c r="E469" s="32">
        <v>46113.0</v>
      </c>
      <c r="F469" s="32">
        <v>46171.0</v>
      </c>
      <c r="G469" s="33"/>
    </row>
    <row r="470" ht="15.75" customHeight="1">
      <c r="A470" s="26" t="s">
        <v>4134</v>
      </c>
      <c r="B470" s="27" t="s">
        <v>179</v>
      </c>
      <c r="C470" s="27" t="s">
        <v>1155</v>
      </c>
      <c r="D470" s="26" t="s">
        <v>3663</v>
      </c>
      <c r="E470" s="28">
        <v>46113.0</v>
      </c>
      <c r="F470" s="28">
        <v>46171.0</v>
      </c>
      <c r="G470" s="29"/>
    </row>
    <row r="471" ht="15.75" customHeight="1">
      <c r="A471" s="30" t="s">
        <v>4135</v>
      </c>
      <c r="B471" s="31" t="s">
        <v>179</v>
      </c>
      <c r="C471" s="31" t="s">
        <v>1153</v>
      </c>
      <c r="D471" s="30" t="s">
        <v>3663</v>
      </c>
      <c r="E471" s="32">
        <v>46113.0</v>
      </c>
      <c r="F471" s="32">
        <v>46171.0</v>
      </c>
      <c r="G471" s="33"/>
    </row>
    <row r="472" ht="15.75" customHeight="1">
      <c r="A472" s="26" t="s">
        <v>4136</v>
      </c>
      <c r="B472" s="27" t="s">
        <v>179</v>
      </c>
      <c r="C472" s="27" t="s">
        <v>1149</v>
      </c>
      <c r="D472" s="26" t="s">
        <v>3663</v>
      </c>
      <c r="E472" s="28">
        <v>46113.0</v>
      </c>
      <c r="F472" s="28">
        <v>46171.0</v>
      </c>
      <c r="G472" s="29"/>
    </row>
    <row r="473" ht="15.75" customHeight="1">
      <c r="A473" s="30" t="s">
        <v>4137</v>
      </c>
      <c r="B473" s="31" t="s">
        <v>179</v>
      </c>
      <c r="C473" s="31" t="s">
        <v>3653</v>
      </c>
      <c r="D473" s="30" t="s">
        <v>3663</v>
      </c>
      <c r="E473" s="32">
        <v>46113.0</v>
      </c>
      <c r="F473" s="32">
        <v>46171.0</v>
      </c>
      <c r="G473" s="33"/>
    </row>
    <row r="474" ht="15.75" customHeight="1">
      <c r="A474" s="26" t="s">
        <v>4138</v>
      </c>
      <c r="B474" s="27" t="s">
        <v>179</v>
      </c>
      <c r="C474" s="27" t="s">
        <v>3652</v>
      </c>
      <c r="D474" s="26" t="s">
        <v>3663</v>
      </c>
      <c r="E474" s="28">
        <v>46113.0</v>
      </c>
      <c r="F474" s="28">
        <v>46171.0</v>
      </c>
      <c r="G474" s="29"/>
    </row>
    <row r="475" ht="15.75" customHeight="1">
      <c r="A475" s="30" t="s">
        <v>4139</v>
      </c>
      <c r="B475" s="31" t="s">
        <v>179</v>
      </c>
      <c r="C475" s="31" t="s">
        <v>965</v>
      </c>
      <c r="D475" s="30" t="s">
        <v>3663</v>
      </c>
      <c r="E475" s="32">
        <v>46113.0</v>
      </c>
      <c r="F475" s="32">
        <v>46171.0</v>
      </c>
      <c r="G475" s="33"/>
    </row>
    <row r="476" ht="15.75" customHeight="1">
      <c r="A476" s="26" t="s">
        <v>4140</v>
      </c>
      <c r="B476" s="27" t="s">
        <v>179</v>
      </c>
      <c r="C476" s="27" t="s">
        <v>923</v>
      </c>
      <c r="D476" s="26" t="s">
        <v>3663</v>
      </c>
      <c r="E476" s="28">
        <v>46113.0</v>
      </c>
      <c r="F476" s="28">
        <v>46171.0</v>
      </c>
      <c r="G476" s="29"/>
    </row>
    <row r="477" ht="15.75" customHeight="1">
      <c r="A477" s="30" t="s">
        <v>4141</v>
      </c>
      <c r="B477" s="31" t="s">
        <v>180</v>
      </c>
      <c r="C477" s="31" t="s">
        <v>1242</v>
      </c>
      <c r="D477" s="30" t="s">
        <v>3663</v>
      </c>
      <c r="E477" s="32">
        <v>46113.0</v>
      </c>
      <c r="F477" s="32">
        <v>46171.0</v>
      </c>
      <c r="G477" s="33"/>
    </row>
    <row r="478" ht="15.75" customHeight="1">
      <c r="A478" s="26" t="s">
        <v>4142</v>
      </c>
      <c r="B478" s="27" t="s">
        <v>180</v>
      </c>
      <c r="C478" s="27" t="s">
        <v>1244</v>
      </c>
      <c r="D478" s="26" t="s">
        <v>3663</v>
      </c>
      <c r="E478" s="28">
        <v>46113.0</v>
      </c>
      <c r="F478" s="28">
        <v>46171.0</v>
      </c>
      <c r="G478" s="29"/>
    </row>
    <row r="479" ht="15.75" customHeight="1">
      <c r="A479" s="30" t="s">
        <v>4143</v>
      </c>
      <c r="B479" s="31" t="s">
        <v>180</v>
      </c>
      <c r="C479" s="31" t="s">
        <v>1246</v>
      </c>
      <c r="D479" s="30" t="s">
        <v>3663</v>
      </c>
      <c r="E479" s="32">
        <v>46113.0</v>
      </c>
      <c r="F479" s="32">
        <v>46171.0</v>
      </c>
      <c r="G479" s="33"/>
    </row>
    <row r="480" ht="15.75" customHeight="1">
      <c r="A480" s="26" t="s">
        <v>4144</v>
      </c>
      <c r="B480" s="27" t="s">
        <v>180</v>
      </c>
      <c r="C480" s="27" t="s">
        <v>934</v>
      </c>
      <c r="D480" s="26" t="s">
        <v>3663</v>
      </c>
      <c r="E480" s="28">
        <v>46113.0</v>
      </c>
      <c r="F480" s="28">
        <v>46171.0</v>
      </c>
      <c r="G480" s="29"/>
    </row>
    <row r="481" ht="15.75" customHeight="1">
      <c r="A481" s="30" t="s">
        <v>4145</v>
      </c>
      <c r="B481" s="31" t="s">
        <v>180</v>
      </c>
      <c r="C481" s="31" t="s">
        <v>1354</v>
      </c>
      <c r="D481" s="30" t="s">
        <v>3663</v>
      </c>
      <c r="E481" s="32">
        <v>46113.0</v>
      </c>
      <c r="F481" s="32">
        <v>46171.0</v>
      </c>
      <c r="G481" s="33"/>
    </row>
    <row r="482" ht="15.75" customHeight="1">
      <c r="A482" s="26" t="s">
        <v>4146</v>
      </c>
      <c r="B482" s="27" t="s">
        <v>180</v>
      </c>
      <c r="C482" s="27" t="s">
        <v>1172</v>
      </c>
      <c r="D482" s="26" t="s">
        <v>3663</v>
      </c>
      <c r="E482" s="28">
        <v>46113.0</v>
      </c>
      <c r="F482" s="28">
        <v>46171.0</v>
      </c>
      <c r="G482" s="29"/>
    </row>
    <row r="483" ht="15.75" customHeight="1">
      <c r="A483" s="30" t="s">
        <v>4147</v>
      </c>
      <c r="B483" s="31" t="s">
        <v>180</v>
      </c>
      <c r="C483" s="31" t="s">
        <v>1312</v>
      </c>
      <c r="D483" s="30" t="s">
        <v>3663</v>
      </c>
      <c r="E483" s="32">
        <v>46113.0</v>
      </c>
      <c r="F483" s="32">
        <v>46171.0</v>
      </c>
      <c r="G483" s="33"/>
    </row>
    <row r="484" ht="15.75" customHeight="1">
      <c r="A484" s="26" t="s">
        <v>4148</v>
      </c>
      <c r="B484" s="27" t="s">
        <v>180</v>
      </c>
      <c r="C484" s="27" t="s">
        <v>3656</v>
      </c>
      <c r="D484" s="26" t="s">
        <v>3663</v>
      </c>
      <c r="E484" s="28">
        <v>46113.0</v>
      </c>
      <c r="F484" s="28">
        <v>46171.0</v>
      </c>
      <c r="G484" s="29"/>
    </row>
    <row r="485" ht="15.75" customHeight="1">
      <c r="A485" s="30" t="s">
        <v>4149</v>
      </c>
      <c r="B485" s="31" t="s">
        <v>180</v>
      </c>
      <c r="C485" s="31" t="s">
        <v>3657</v>
      </c>
      <c r="D485" s="30" t="s">
        <v>3663</v>
      </c>
      <c r="E485" s="32">
        <v>46113.0</v>
      </c>
      <c r="F485" s="32">
        <v>46171.0</v>
      </c>
      <c r="G485" s="33"/>
    </row>
    <row r="486" ht="15.75" customHeight="1">
      <c r="A486" s="26" t="s">
        <v>4150</v>
      </c>
      <c r="B486" s="27" t="s">
        <v>180</v>
      </c>
      <c r="C486" s="27" t="s">
        <v>1240</v>
      </c>
      <c r="D486" s="27" t="s">
        <v>3663</v>
      </c>
      <c r="E486" s="28">
        <v>46113.0</v>
      </c>
      <c r="F486" s="28">
        <v>46171.0</v>
      </c>
      <c r="G486" s="29"/>
    </row>
    <row r="487" ht="15.75" customHeight="1">
      <c r="A487" s="30" t="s">
        <v>4151</v>
      </c>
      <c r="B487" s="31" t="s">
        <v>180</v>
      </c>
      <c r="C487" s="31" t="s">
        <v>1351</v>
      </c>
      <c r="D487" s="30" t="s">
        <v>3663</v>
      </c>
      <c r="E487" s="32">
        <v>46113.0</v>
      </c>
      <c r="F487" s="32">
        <v>46171.0</v>
      </c>
      <c r="G487" s="33"/>
    </row>
    <row r="488" ht="15.75" customHeight="1">
      <c r="A488" s="26" t="s">
        <v>4152</v>
      </c>
      <c r="B488" s="27" t="s">
        <v>180</v>
      </c>
      <c r="C488" s="27" t="s">
        <v>1349</v>
      </c>
      <c r="D488" s="26" t="s">
        <v>3663</v>
      </c>
      <c r="E488" s="28">
        <v>46113.0</v>
      </c>
      <c r="F488" s="28">
        <v>46171.0</v>
      </c>
      <c r="G488" s="29"/>
    </row>
    <row r="489" ht="15.75" customHeight="1">
      <c r="A489" s="30" t="s">
        <v>4153</v>
      </c>
      <c r="B489" s="31" t="s">
        <v>180</v>
      </c>
      <c r="C489" s="31" t="s">
        <v>968</v>
      </c>
      <c r="D489" s="30" t="s">
        <v>3663</v>
      </c>
      <c r="E489" s="32">
        <v>46113.0</v>
      </c>
      <c r="F489" s="32">
        <v>46171.0</v>
      </c>
      <c r="G489" s="33"/>
    </row>
    <row r="490" ht="15.75" customHeight="1">
      <c r="A490" s="26" t="s">
        <v>4154</v>
      </c>
      <c r="B490" s="27" t="s">
        <v>180</v>
      </c>
      <c r="C490" s="27" t="s">
        <v>923</v>
      </c>
      <c r="D490" s="26" t="s">
        <v>3663</v>
      </c>
      <c r="E490" s="28">
        <v>46113.0</v>
      </c>
      <c r="F490" s="28">
        <v>46171.0</v>
      </c>
      <c r="G490" s="29"/>
    </row>
    <row r="491" ht="15.75" customHeight="1">
      <c r="A491" s="30" t="s">
        <v>4155</v>
      </c>
      <c r="B491" s="31" t="s">
        <v>182</v>
      </c>
      <c r="C491" s="31" t="s">
        <v>3654</v>
      </c>
      <c r="D491" s="30" t="s">
        <v>3663</v>
      </c>
      <c r="E491" s="32">
        <v>46113.0</v>
      </c>
      <c r="F491" s="32">
        <v>46171.0</v>
      </c>
      <c r="G491" s="33"/>
    </row>
    <row r="492" ht="15.75" customHeight="1">
      <c r="A492" s="26" t="s">
        <v>4156</v>
      </c>
      <c r="B492" s="27" t="s">
        <v>182</v>
      </c>
      <c r="C492" s="27" t="s">
        <v>3655</v>
      </c>
      <c r="D492" s="26" t="s">
        <v>3663</v>
      </c>
      <c r="E492" s="28">
        <v>46113.0</v>
      </c>
      <c r="F492" s="28">
        <v>46171.0</v>
      </c>
      <c r="G492" s="29"/>
    </row>
    <row r="493" ht="15.75" customHeight="1">
      <c r="A493" s="30" t="s">
        <v>4157</v>
      </c>
      <c r="B493" s="31" t="s">
        <v>182</v>
      </c>
      <c r="C493" s="31" t="s">
        <v>930</v>
      </c>
      <c r="D493" s="30" t="s">
        <v>3663</v>
      </c>
      <c r="E493" s="32">
        <v>46113.0</v>
      </c>
      <c r="F493" s="32">
        <v>46171.0</v>
      </c>
      <c r="G493" s="33"/>
    </row>
    <row r="494" ht="15.75" customHeight="1">
      <c r="A494" s="26" t="s">
        <v>4158</v>
      </c>
      <c r="B494" s="27" t="s">
        <v>182</v>
      </c>
      <c r="C494" s="27" t="s">
        <v>1354</v>
      </c>
      <c r="D494" s="26" t="s">
        <v>3663</v>
      </c>
      <c r="E494" s="28">
        <v>46113.0</v>
      </c>
      <c r="F494" s="28">
        <v>46171.0</v>
      </c>
      <c r="G494" s="29"/>
    </row>
    <row r="495" ht="15.75" customHeight="1">
      <c r="A495" s="30" t="s">
        <v>4159</v>
      </c>
      <c r="B495" s="31" t="s">
        <v>182</v>
      </c>
      <c r="C495" s="31" t="s">
        <v>3641</v>
      </c>
      <c r="D495" s="30" t="s">
        <v>3663</v>
      </c>
      <c r="E495" s="32">
        <v>46113.0</v>
      </c>
      <c r="F495" s="32">
        <v>46171.0</v>
      </c>
      <c r="G495" s="33"/>
    </row>
    <row r="496" ht="15.75" customHeight="1">
      <c r="A496" s="26" t="s">
        <v>4160</v>
      </c>
      <c r="B496" s="27" t="s">
        <v>182</v>
      </c>
      <c r="C496" s="27" t="s">
        <v>1304</v>
      </c>
      <c r="D496" s="26" t="s">
        <v>3663</v>
      </c>
      <c r="E496" s="28">
        <v>46113.0</v>
      </c>
      <c r="F496" s="28">
        <v>46171.0</v>
      </c>
      <c r="G496" s="29"/>
    </row>
    <row r="497" ht="15.75" customHeight="1">
      <c r="A497" s="30" t="s">
        <v>4161</v>
      </c>
      <c r="B497" s="31" t="s">
        <v>182</v>
      </c>
      <c r="C497" s="31" t="s">
        <v>3642</v>
      </c>
      <c r="D497" s="30" t="s">
        <v>3663</v>
      </c>
      <c r="E497" s="32">
        <v>46113.0</v>
      </c>
      <c r="F497" s="32">
        <v>46171.0</v>
      </c>
      <c r="G497" s="33"/>
    </row>
    <row r="498" ht="15.75" customHeight="1">
      <c r="A498" s="26" t="s">
        <v>4162</v>
      </c>
      <c r="B498" s="27" t="s">
        <v>182</v>
      </c>
      <c r="C498" s="27" t="s">
        <v>1308</v>
      </c>
      <c r="D498" s="26" t="s">
        <v>3663</v>
      </c>
      <c r="E498" s="28">
        <v>46113.0</v>
      </c>
      <c r="F498" s="28">
        <v>46171.0</v>
      </c>
      <c r="G498" s="29"/>
    </row>
    <row r="499" ht="15.75" customHeight="1">
      <c r="A499" s="30" t="s">
        <v>4163</v>
      </c>
      <c r="B499" s="31" t="s">
        <v>182</v>
      </c>
      <c r="C499" s="31" t="s">
        <v>1218</v>
      </c>
      <c r="D499" s="30" t="s">
        <v>3663</v>
      </c>
      <c r="E499" s="32">
        <v>46113.0</v>
      </c>
      <c r="F499" s="32">
        <v>46171.0</v>
      </c>
      <c r="G499" s="33"/>
    </row>
    <row r="500" ht="15.75" customHeight="1">
      <c r="A500" s="26" t="s">
        <v>4164</v>
      </c>
      <c r="B500" s="27" t="s">
        <v>182</v>
      </c>
      <c r="C500" s="27" t="s">
        <v>1271</v>
      </c>
      <c r="D500" s="26" t="s">
        <v>3663</v>
      </c>
      <c r="E500" s="28">
        <v>46113.0</v>
      </c>
      <c r="F500" s="28">
        <v>46171.0</v>
      </c>
      <c r="G500" s="29"/>
    </row>
    <row r="501" ht="15.75" customHeight="1">
      <c r="A501" s="30" t="s">
        <v>4165</v>
      </c>
      <c r="B501" s="31" t="s">
        <v>182</v>
      </c>
      <c r="C501" s="31" t="s">
        <v>1351</v>
      </c>
      <c r="D501" s="30" t="s">
        <v>3663</v>
      </c>
      <c r="E501" s="32">
        <v>46113.0</v>
      </c>
      <c r="F501" s="32">
        <v>46171.0</v>
      </c>
      <c r="G501" s="33"/>
    </row>
    <row r="502" ht="15.75" customHeight="1">
      <c r="A502" s="26" t="s">
        <v>4166</v>
      </c>
      <c r="B502" s="27" t="s">
        <v>182</v>
      </c>
      <c r="C502" s="27" t="s">
        <v>1349</v>
      </c>
      <c r="D502" s="26" t="s">
        <v>3663</v>
      </c>
      <c r="E502" s="28">
        <v>46113.0</v>
      </c>
      <c r="F502" s="28">
        <v>46171.0</v>
      </c>
      <c r="G502" s="29"/>
    </row>
    <row r="503" ht="15.75" customHeight="1">
      <c r="A503" s="30" t="s">
        <v>4167</v>
      </c>
      <c r="B503" s="31" t="s">
        <v>182</v>
      </c>
      <c r="C503" s="31" t="s">
        <v>968</v>
      </c>
      <c r="D503" s="30" t="s">
        <v>3663</v>
      </c>
      <c r="E503" s="32">
        <v>46113.0</v>
      </c>
      <c r="F503" s="32">
        <v>46171.0</v>
      </c>
      <c r="G503" s="33"/>
    </row>
    <row r="504" ht="15.75" customHeight="1">
      <c r="A504" s="26" t="s">
        <v>4168</v>
      </c>
      <c r="B504" s="27" t="s">
        <v>182</v>
      </c>
      <c r="C504" s="27" t="s">
        <v>923</v>
      </c>
      <c r="D504" s="26" t="s">
        <v>3663</v>
      </c>
      <c r="E504" s="28">
        <v>46113.0</v>
      </c>
      <c r="F504" s="28">
        <v>46171.0</v>
      </c>
      <c r="G504" s="29"/>
    </row>
    <row r="505" ht="15.75" customHeight="1">
      <c r="A505" s="30" t="s">
        <v>4169</v>
      </c>
      <c r="B505" s="31" t="s">
        <v>186</v>
      </c>
      <c r="C505" s="31" t="s">
        <v>1242</v>
      </c>
      <c r="D505" s="30" t="s">
        <v>3663</v>
      </c>
      <c r="E505" s="32">
        <v>46113.0</v>
      </c>
      <c r="F505" s="32">
        <v>46171.0</v>
      </c>
      <c r="G505" s="33"/>
    </row>
    <row r="506" ht="15.75" customHeight="1">
      <c r="A506" s="26" t="s">
        <v>4170</v>
      </c>
      <c r="B506" s="27" t="s">
        <v>186</v>
      </c>
      <c r="C506" s="27" t="s">
        <v>1244</v>
      </c>
      <c r="D506" s="26" t="s">
        <v>3663</v>
      </c>
      <c r="E506" s="28">
        <v>46113.0</v>
      </c>
      <c r="F506" s="28">
        <v>46171.0</v>
      </c>
      <c r="G506" s="29"/>
    </row>
    <row r="507" ht="15.75" customHeight="1">
      <c r="A507" s="30" t="s">
        <v>4171</v>
      </c>
      <c r="B507" s="31" t="s">
        <v>186</v>
      </c>
      <c r="C507" s="31" t="s">
        <v>1246</v>
      </c>
      <c r="D507" s="30" t="s">
        <v>3663</v>
      </c>
      <c r="E507" s="32">
        <v>46113.0</v>
      </c>
      <c r="F507" s="32">
        <v>46171.0</v>
      </c>
      <c r="G507" s="33"/>
    </row>
    <row r="508" ht="15.75" customHeight="1">
      <c r="A508" s="26" t="s">
        <v>4172</v>
      </c>
      <c r="B508" s="27" t="s">
        <v>186</v>
      </c>
      <c r="C508" s="27" t="s">
        <v>928</v>
      </c>
      <c r="D508" s="26" t="s">
        <v>3663</v>
      </c>
      <c r="E508" s="28">
        <v>46113.0</v>
      </c>
      <c r="F508" s="28">
        <v>46171.0</v>
      </c>
      <c r="G508" s="29"/>
    </row>
    <row r="509" ht="15.75" customHeight="1">
      <c r="A509" s="30" t="s">
        <v>4173</v>
      </c>
      <c r="B509" s="31" t="s">
        <v>186</v>
      </c>
      <c r="C509" s="31" t="s">
        <v>1354</v>
      </c>
      <c r="D509" s="30" t="s">
        <v>3663</v>
      </c>
      <c r="E509" s="32">
        <v>46113.0</v>
      </c>
      <c r="F509" s="32">
        <v>46171.0</v>
      </c>
      <c r="G509" s="33"/>
    </row>
    <row r="510" ht="15.75" customHeight="1">
      <c r="A510" s="26" t="s">
        <v>4174</v>
      </c>
      <c r="B510" s="27" t="s">
        <v>186</v>
      </c>
      <c r="C510" s="27" t="s">
        <v>1208</v>
      </c>
      <c r="D510" s="26" t="s">
        <v>3663</v>
      </c>
      <c r="E510" s="28">
        <v>46113.0</v>
      </c>
      <c r="F510" s="28">
        <v>46171.0</v>
      </c>
      <c r="G510" s="29"/>
    </row>
    <row r="511" ht="15.75" customHeight="1">
      <c r="A511" s="30" t="s">
        <v>4175</v>
      </c>
      <c r="B511" s="31" t="s">
        <v>186</v>
      </c>
      <c r="C511" s="31" t="s">
        <v>1159</v>
      </c>
      <c r="D511" s="30" t="s">
        <v>3663</v>
      </c>
      <c r="E511" s="32">
        <v>46113.0</v>
      </c>
      <c r="F511" s="32">
        <v>46171.0</v>
      </c>
      <c r="G511" s="33"/>
    </row>
    <row r="512" ht="15.75" customHeight="1">
      <c r="A512" s="26" t="s">
        <v>4176</v>
      </c>
      <c r="B512" s="27" t="s">
        <v>186</v>
      </c>
      <c r="C512" s="27" t="s">
        <v>3656</v>
      </c>
      <c r="D512" s="26" t="s">
        <v>3663</v>
      </c>
      <c r="E512" s="28">
        <v>46113.0</v>
      </c>
      <c r="F512" s="28">
        <v>46171.0</v>
      </c>
      <c r="G512" s="29"/>
    </row>
    <row r="513" ht="15.75" customHeight="1">
      <c r="A513" s="30" t="s">
        <v>4177</v>
      </c>
      <c r="B513" s="31" t="s">
        <v>186</v>
      </c>
      <c r="C513" s="31" t="s">
        <v>3657</v>
      </c>
      <c r="D513" s="30" t="s">
        <v>3663</v>
      </c>
      <c r="E513" s="32">
        <v>46113.0</v>
      </c>
      <c r="F513" s="32">
        <v>46171.0</v>
      </c>
      <c r="G513" s="33"/>
    </row>
    <row r="514" ht="15.75" customHeight="1">
      <c r="A514" s="26" t="s">
        <v>4178</v>
      </c>
      <c r="B514" s="27" t="s">
        <v>186</v>
      </c>
      <c r="C514" s="27" t="s">
        <v>1240</v>
      </c>
      <c r="D514" s="26" t="s">
        <v>3663</v>
      </c>
      <c r="E514" s="28">
        <v>46113.0</v>
      </c>
      <c r="F514" s="28">
        <v>46171.0</v>
      </c>
      <c r="G514" s="29"/>
    </row>
    <row r="515" ht="15.75" customHeight="1">
      <c r="A515" s="30" t="s">
        <v>4179</v>
      </c>
      <c r="B515" s="31" t="s">
        <v>186</v>
      </c>
      <c r="C515" s="31" t="s">
        <v>1351</v>
      </c>
      <c r="D515" s="30" t="s">
        <v>3663</v>
      </c>
      <c r="E515" s="32">
        <v>46113.0</v>
      </c>
      <c r="F515" s="32">
        <v>46171.0</v>
      </c>
      <c r="G515" s="33"/>
    </row>
    <row r="516" ht="15.75" customHeight="1">
      <c r="A516" s="26" t="s">
        <v>4180</v>
      </c>
      <c r="B516" s="27" t="s">
        <v>186</v>
      </c>
      <c r="C516" s="27" t="s">
        <v>1349</v>
      </c>
      <c r="D516" s="26" t="s">
        <v>3663</v>
      </c>
      <c r="E516" s="28">
        <v>46113.0</v>
      </c>
      <c r="F516" s="28">
        <v>46171.0</v>
      </c>
      <c r="G516" s="29"/>
    </row>
    <row r="517" ht="15.75" customHeight="1">
      <c r="A517" s="30" t="s">
        <v>4181</v>
      </c>
      <c r="B517" s="31" t="s">
        <v>186</v>
      </c>
      <c r="C517" s="31" t="s">
        <v>968</v>
      </c>
      <c r="D517" s="30" t="s">
        <v>3663</v>
      </c>
      <c r="E517" s="32">
        <v>46113.0</v>
      </c>
      <c r="F517" s="32">
        <v>46171.0</v>
      </c>
      <c r="G517" s="33"/>
    </row>
    <row r="518" ht="15.75" customHeight="1">
      <c r="A518" s="26" t="s">
        <v>4182</v>
      </c>
      <c r="B518" s="27" t="s">
        <v>186</v>
      </c>
      <c r="C518" s="27" t="s">
        <v>923</v>
      </c>
      <c r="D518" s="26" t="s">
        <v>3663</v>
      </c>
      <c r="E518" s="28">
        <v>46113.0</v>
      </c>
      <c r="F518" s="28">
        <v>46171.0</v>
      </c>
      <c r="G518" s="29"/>
    </row>
    <row r="519" ht="15.75" customHeight="1">
      <c r="A519" s="30" t="s">
        <v>4183</v>
      </c>
      <c r="B519" s="31" t="s">
        <v>188</v>
      </c>
      <c r="C519" s="31" t="s">
        <v>928</v>
      </c>
      <c r="D519" s="30" t="s">
        <v>3750</v>
      </c>
      <c r="E519" s="32">
        <v>46113.0</v>
      </c>
      <c r="F519" s="32">
        <v>46171.0</v>
      </c>
      <c r="G519" s="33"/>
    </row>
    <row r="520" ht="15.75" customHeight="1">
      <c r="A520" s="26" t="s">
        <v>4184</v>
      </c>
      <c r="B520" s="27" t="s">
        <v>188</v>
      </c>
      <c r="C520" s="27" t="s">
        <v>1354</v>
      </c>
      <c r="D520" s="26" t="s">
        <v>3750</v>
      </c>
      <c r="E520" s="28">
        <v>46113.0</v>
      </c>
      <c r="F520" s="28">
        <v>46171.0</v>
      </c>
      <c r="G520" s="29"/>
    </row>
    <row r="521" ht="15.75" customHeight="1">
      <c r="A521" s="30" t="s">
        <v>4185</v>
      </c>
      <c r="B521" s="31" t="s">
        <v>188</v>
      </c>
      <c r="C521" s="31" t="s">
        <v>1222</v>
      </c>
      <c r="D521" s="30" t="s">
        <v>3750</v>
      </c>
      <c r="E521" s="32">
        <v>46113.0</v>
      </c>
      <c r="F521" s="32">
        <v>46171.0</v>
      </c>
      <c r="G521" s="33"/>
    </row>
    <row r="522" ht="15.75" customHeight="1">
      <c r="A522" s="26" t="s">
        <v>4186</v>
      </c>
      <c r="B522" s="27" t="s">
        <v>188</v>
      </c>
      <c r="C522" s="27" t="s">
        <v>1224</v>
      </c>
      <c r="D522" s="26" t="s">
        <v>3750</v>
      </c>
      <c r="E522" s="28">
        <v>46113.0</v>
      </c>
      <c r="F522" s="28">
        <v>46171.0</v>
      </c>
      <c r="G522" s="29"/>
    </row>
    <row r="523" ht="15.75" customHeight="1">
      <c r="A523" s="30" t="s">
        <v>4187</v>
      </c>
      <c r="B523" s="31" t="s">
        <v>188</v>
      </c>
      <c r="C523" s="31" t="s">
        <v>1226</v>
      </c>
      <c r="D523" s="30" t="s">
        <v>3750</v>
      </c>
      <c r="E523" s="32">
        <v>46113.0</v>
      </c>
      <c r="F523" s="32">
        <v>46171.0</v>
      </c>
      <c r="G523" s="33"/>
    </row>
    <row r="524" ht="15.75" customHeight="1">
      <c r="A524" s="26" t="s">
        <v>4188</v>
      </c>
      <c r="B524" s="27" t="s">
        <v>188</v>
      </c>
      <c r="C524" s="27" t="s">
        <v>1228</v>
      </c>
      <c r="D524" s="26" t="s">
        <v>3750</v>
      </c>
      <c r="E524" s="28">
        <v>46113.0</v>
      </c>
      <c r="F524" s="28">
        <v>46171.0</v>
      </c>
      <c r="G524" s="29"/>
    </row>
    <row r="525" ht="15.75" customHeight="1">
      <c r="A525" s="30" t="s">
        <v>4189</v>
      </c>
      <c r="B525" s="31" t="s">
        <v>188</v>
      </c>
      <c r="C525" s="31" t="s">
        <v>1172</v>
      </c>
      <c r="D525" s="30" t="s">
        <v>3750</v>
      </c>
      <c r="E525" s="32">
        <v>46113.0</v>
      </c>
      <c r="F525" s="32">
        <v>46171.0</v>
      </c>
      <c r="G525" s="33"/>
    </row>
    <row r="526" ht="15.75" customHeight="1">
      <c r="A526" s="26" t="s">
        <v>4190</v>
      </c>
      <c r="B526" s="27" t="s">
        <v>188</v>
      </c>
      <c r="C526" s="27" t="s">
        <v>3656</v>
      </c>
      <c r="D526" s="26" t="s">
        <v>3750</v>
      </c>
      <c r="E526" s="28">
        <v>46113.0</v>
      </c>
      <c r="F526" s="28">
        <v>46171.0</v>
      </c>
      <c r="G526" s="29"/>
    </row>
    <row r="527" ht="15.75" customHeight="1">
      <c r="A527" s="30" t="s">
        <v>4191</v>
      </c>
      <c r="B527" s="31" t="s">
        <v>188</v>
      </c>
      <c r="C527" s="31" t="s">
        <v>3657</v>
      </c>
      <c r="D527" s="30" t="s">
        <v>3750</v>
      </c>
      <c r="E527" s="32">
        <v>46113.0</v>
      </c>
      <c r="F527" s="32">
        <v>46171.0</v>
      </c>
      <c r="G527" s="33"/>
    </row>
    <row r="528" ht="15.75" customHeight="1">
      <c r="A528" s="26" t="s">
        <v>4192</v>
      </c>
      <c r="B528" s="27" t="s">
        <v>188</v>
      </c>
      <c r="C528" s="27" t="s">
        <v>1216</v>
      </c>
      <c r="D528" s="26" t="s">
        <v>3750</v>
      </c>
      <c r="E528" s="28">
        <v>46113.0</v>
      </c>
      <c r="F528" s="28">
        <v>46171.0</v>
      </c>
      <c r="G528" s="29"/>
    </row>
    <row r="529" ht="15.75" customHeight="1">
      <c r="A529" s="30" t="s">
        <v>4193</v>
      </c>
      <c r="B529" s="31" t="s">
        <v>188</v>
      </c>
      <c r="C529" s="31" t="s">
        <v>1351</v>
      </c>
      <c r="D529" s="30" t="s">
        <v>3750</v>
      </c>
      <c r="E529" s="32">
        <v>46113.0</v>
      </c>
      <c r="F529" s="32">
        <v>46171.0</v>
      </c>
      <c r="G529" s="33"/>
    </row>
    <row r="530" ht="15.75" customHeight="1">
      <c r="A530" s="26" t="s">
        <v>4194</v>
      </c>
      <c r="B530" s="27" t="s">
        <v>188</v>
      </c>
      <c r="C530" s="27" t="s">
        <v>1349</v>
      </c>
      <c r="D530" s="26" t="s">
        <v>3750</v>
      </c>
      <c r="E530" s="28">
        <v>46113.0</v>
      </c>
      <c r="F530" s="28">
        <v>46171.0</v>
      </c>
      <c r="G530" s="29"/>
    </row>
    <row r="531" ht="15.75" customHeight="1">
      <c r="A531" s="30" t="s">
        <v>4195</v>
      </c>
      <c r="B531" s="31" t="s">
        <v>188</v>
      </c>
      <c r="C531" s="31" t="s">
        <v>968</v>
      </c>
      <c r="D531" s="30" t="s">
        <v>3750</v>
      </c>
      <c r="E531" s="32">
        <v>46113.0</v>
      </c>
      <c r="F531" s="32">
        <v>46171.0</v>
      </c>
      <c r="G531" s="33"/>
    </row>
    <row r="532" ht="15.75" customHeight="1">
      <c r="A532" s="26" t="s">
        <v>4196</v>
      </c>
      <c r="B532" s="27" t="s">
        <v>188</v>
      </c>
      <c r="C532" s="27" t="s">
        <v>923</v>
      </c>
      <c r="D532" s="26" t="s">
        <v>3750</v>
      </c>
      <c r="E532" s="28">
        <v>46113.0</v>
      </c>
      <c r="F532" s="28">
        <v>46171.0</v>
      </c>
      <c r="G532" s="29"/>
    </row>
    <row r="533" ht="15.75" customHeight="1">
      <c r="A533" s="30" t="s">
        <v>4197</v>
      </c>
      <c r="B533" s="31" t="s">
        <v>193</v>
      </c>
      <c r="C533" s="31" t="s">
        <v>1240</v>
      </c>
      <c r="D533" s="30" t="s">
        <v>3663</v>
      </c>
      <c r="E533" s="32">
        <v>46113.0</v>
      </c>
      <c r="F533" s="32">
        <v>46171.0</v>
      </c>
      <c r="G533" s="33"/>
    </row>
    <row r="534" ht="15.75" customHeight="1">
      <c r="A534" s="26" t="s">
        <v>4198</v>
      </c>
      <c r="B534" s="27" t="s">
        <v>193</v>
      </c>
      <c r="C534" s="27" t="s">
        <v>1242</v>
      </c>
      <c r="D534" s="26" t="s">
        <v>3663</v>
      </c>
      <c r="E534" s="28">
        <v>46113.0</v>
      </c>
      <c r="F534" s="28">
        <v>46171.0</v>
      </c>
      <c r="G534" s="29"/>
    </row>
    <row r="535" ht="15.75" customHeight="1">
      <c r="A535" s="30" t="s">
        <v>4199</v>
      </c>
      <c r="B535" s="31" t="s">
        <v>193</v>
      </c>
      <c r="C535" s="31" t="s">
        <v>1244</v>
      </c>
      <c r="D535" s="30" t="s">
        <v>3663</v>
      </c>
      <c r="E535" s="32">
        <v>46113.0</v>
      </c>
      <c r="F535" s="32">
        <v>46171.0</v>
      </c>
      <c r="G535" s="33"/>
    </row>
    <row r="536" ht="15.75" customHeight="1">
      <c r="A536" s="26" t="s">
        <v>4200</v>
      </c>
      <c r="B536" s="27" t="s">
        <v>193</v>
      </c>
      <c r="C536" s="27" t="s">
        <v>1246</v>
      </c>
      <c r="D536" s="26" t="s">
        <v>3663</v>
      </c>
      <c r="E536" s="28">
        <v>46113.0</v>
      </c>
      <c r="F536" s="28">
        <v>46171.0</v>
      </c>
      <c r="G536" s="29"/>
    </row>
    <row r="537" ht="15.75" customHeight="1">
      <c r="A537" s="30" t="s">
        <v>4201</v>
      </c>
      <c r="B537" s="31" t="s">
        <v>193</v>
      </c>
      <c r="C537" s="31" t="s">
        <v>3654</v>
      </c>
      <c r="D537" s="30" t="s">
        <v>3663</v>
      </c>
      <c r="E537" s="32">
        <v>46113.0</v>
      </c>
      <c r="F537" s="32">
        <v>46171.0</v>
      </c>
      <c r="G537" s="33"/>
    </row>
    <row r="538" ht="15.75" customHeight="1">
      <c r="A538" s="26" t="s">
        <v>4202</v>
      </c>
      <c r="B538" s="27" t="s">
        <v>193</v>
      </c>
      <c r="C538" s="27" t="s">
        <v>3655</v>
      </c>
      <c r="D538" s="26" t="s">
        <v>3663</v>
      </c>
      <c r="E538" s="28">
        <v>46113.0</v>
      </c>
      <c r="F538" s="28">
        <v>46171.0</v>
      </c>
      <c r="G538" s="29"/>
    </row>
    <row r="539" ht="15.75" customHeight="1">
      <c r="A539" s="30" t="s">
        <v>4203</v>
      </c>
      <c r="B539" s="31" t="s">
        <v>193</v>
      </c>
      <c r="C539" s="31" t="s">
        <v>934</v>
      </c>
      <c r="D539" s="30" t="s">
        <v>3663</v>
      </c>
      <c r="E539" s="32">
        <v>46113.0</v>
      </c>
      <c r="F539" s="32">
        <v>46171.0</v>
      </c>
      <c r="G539" s="33"/>
    </row>
    <row r="540" ht="15.75" customHeight="1">
      <c r="A540" s="26" t="s">
        <v>4204</v>
      </c>
      <c r="B540" s="27" t="s">
        <v>193</v>
      </c>
      <c r="C540" s="27" t="s">
        <v>1354</v>
      </c>
      <c r="D540" s="26" t="s">
        <v>3663</v>
      </c>
      <c r="E540" s="28">
        <v>46113.0</v>
      </c>
      <c r="F540" s="28">
        <v>46171.0</v>
      </c>
      <c r="G540" s="29"/>
    </row>
    <row r="541" ht="15.75" customHeight="1">
      <c r="A541" s="30" t="s">
        <v>4205</v>
      </c>
      <c r="B541" s="31" t="s">
        <v>193</v>
      </c>
      <c r="C541" s="31" t="s">
        <v>1312</v>
      </c>
      <c r="D541" s="30" t="s">
        <v>3663</v>
      </c>
      <c r="E541" s="32">
        <v>46113.0</v>
      </c>
      <c r="F541" s="32">
        <v>46171.0</v>
      </c>
      <c r="G541" s="33"/>
    </row>
    <row r="542" ht="15.75" customHeight="1">
      <c r="A542" s="26" t="s">
        <v>4206</v>
      </c>
      <c r="B542" s="27" t="s">
        <v>193</v>
      </c>
      <c r="C542" s="27" t="s">
        <v>1208</v>
      </c>
      <c r="D542" s="26" t="s">
        <v>3663</v>
      </c>
      <c r="E542" s="28">
        <v>46113.0</v>
      </c>
      <c r="F542" s="28">
        <v>46171.0</v>
      </c>
      <c r="G542" s="29"/>
    </row>
    <row r="543" ht="15.75" customHeight="1">
      <c r="A543" s="30" t="s">
        <v>4207</v>
      </c>
      <c r="B543" s="31" t="s">
        <v>193</v>
      </c>
      <c r="C543" s="31" t="s">
        <v>1351</v>
      </c>
      <c r="D543" s="30" t="s">
        <v>3663</v>
      </c>
      <c r="E543" s="32">
        <v>46113.0</v>
      </c>
      <c r="F543" s="32">
        <v>46171.0</v>
      </c>
      <c r="G543" s="33"/>
    </row>
    <row r="544" ht="15.75" customHeight="1">
      <c r="A544" s="26" t="s">
        <v>4208</v>
      </c>
      <c r="B544" s="27" t="s">
        <v>193</v>
      </c>
      <c r="C544" s="27" t="s">
        <v>1349</v>
      </c>
      <c r="D544" s="26" t="s">
        <v>3663</v>
      </c>
      <c r="E544" s="28">
        <v>46113.0</v>
      </c>
      <c r="F544" s="28">
        <v>46171.0</v>
      </c>
      <c r="G544" s="29"/>
    </row>
    <row r="545" ht="15.75" customHeight="1">
      <c r="A545" s="30" t="s">
        <v>4209</v>
      </c>
      <c r="B545" s="31" t="s">
        <v>193</v>
      </c>
      <c r="C545" s="31" t="s">
        <v>968</v>
      </c>
      <c r="D545" s="30" t="s">
        <v>3663</v>
      </c>
      <c r="E545" s="32">
        <v>46113.0</v>
      </c>
      <c r="F545" s="32">
        <v>46171.0</v>
      </c>
      <c r="G545" s="33"/>
    </row>
    <row r="546" ht="15.75" customHeight="1">
      <c r="A546" s="26" t="s">
        <v>4210</v>
      </c>
      <c r="B546" s="27" t="s">
        <v>193</v>
      </c>
      <c r="C546" s="27" t="s">
        <v>923</v>
      </c>
      <c r="D546" s="26" t="s">
        <v>3663</v>
      </c>
      <c r="E546" s="28">
        <v>46113.0</v>
      </c>
      <c r="F546" s="28">
        <v>46171.0</v>
      </c>
      <c r="G546" s="29"/>
    </row>
    <row r="547" ht="15.75" customHeight="1">
      <c r="A547" s="30" t="s">
        <v>4211</v>
      </c>
      <c r="B547" s="31" t="s">
        <v>200</v>
      </c>
      <c r="C547" s="31" t="s">
        <v>930</v>
      </c>
      <c r="D547" s="30" t="s">
        <v>3663</v>
      </c>
      <c r="E547" s="32">
        <v>46113.0</v>
      </c>
      <c r="F547" s="32">
        <v>46171.0</v>
      </c>
      <c r="G547" s="33"/>
    </row>
    <row r="548" ht="15.75" customHeight="1">
      <c r="A548" s="26" t="s">
        <v>4212</v>
      </c>
      <c r="B548" s="27" t="s">
        <v>200</v>
      </c>
      <c r="C548" s="27" t="s">
        <v>1354</v>
      </c>
      <c r="D548" s="26" t="s">
        <v>3663</v>
      </c>
      <c r="E548" s="28">
        <v>46113.0</v>
      </c>
      <c r="F548" s="28">
        <v>46171.0</v>
      </c>
      <c r="G548" s="29"/>
    </row>
    <row r="549" ht="15.75" customHeight="1">
      <c r="A549" s="30" t="s">
        <v>4213</v>
      </c>
      <c r="B549" s="31" t="s">
        <v>200</v>
      </c>
      <c r="C549" s="31" t="s">
        <v>1208</v>
      </c>
      <c r="D549" s="30" t="s">
        <v>3663</v>
      </c>
      <c r="E549" s="32">
        <v>46113.0</v>
      </c>
      <c r="F549" s="32">
        <v>46171.0</v>
      </c>
      <c r="G549" s="33"/>
    </row>
    <row r="550" ht="15.75" customHeight="1">
      <c r="A550" s="26" t="s">
        <v>4214</v>
      </c>
      <c r="B550" s="27" t="s">
        <v>200</v>
      </c>
      <c r="C550" s="27" t="s">
        <v>1159</v>
      </c>
      <c r="D550" s="26" t="s">
        <v>3663</v>
      </c>
      <c r="E550" s="28">
        <v>46113.0</v>
      </c>
      <c r="F550" s="28">
        <v>46171.0</v>
      </c>
      <c r="G550" s="29"/>
    </row>
    <row r="551" ht="15.75" customHeight="1">
      <c r="A551" s="30" t="s">
        <v>4215</v>
      </c>
      <c r="B551" s="31" t="s">
        <v>200</v>
      </c>
      <c r="C551" s="31" t="s">
        <v>1157</v>
      </c>
      <c r="D551" s="30" t="s">
        <v>3663</v>
      </c>
      <c r="E551" s="32">
        <v>46113.0</v>
      </c>
      <c r="F551" s="32">
        <v>46171.0</v>
      </c>
      <c r="G551" s="33"/>
    </row>
    <row r="552" ht="15.75" customHeight="1">
      <c r="A552" s="26" t="s">
        <v>4216</v>
      </c>
      <c r="B552" s="27" t="s">
        <v>200</v>
      </c>
      <c r="C552" s="27" t="s">
        <v>1155</v>
      </c>
      <c r="D552" s="26" t="s">
        <v>3663</v>
      </c>
      <c r="E552" s="28">
        <v>46113.0</v>
      </c>
      <c r="F552" s="28">
        <v>46171.0</v>
      </c>
      <c r="G552" s="29"/>
    </row>
    <row r="553" ht="15.75" customHeight="1">
      <c r="A553" s="30" t="s">
        <v>4217</v>
      </c>
      <c r="B553" s="31" t="s">
        <v>200</v>
      </c>
      <c r="C553" s="31" t="s">
        <v>1153</v>
      </c>
      <c r="D553" s="30" t="s">
        <v>3663</v>
      </c>
      <c r="E553" s="32">
        <v>46113.0</v>
      </c>
      <c r="F553" s="32">
        <v>46171.0</v>
      </c>
      <c r="G553" s="33"/>
    </row>
    <row r="554" ht="15.75" customHeight="1">
      <c r="A554" s="26" t="s">
        <v>4218</v>
      </c>
      <c r="B554" s="27" t="s">
        <v>200</v>
      </c>
      <c r="C554" s="27" t="s">
        <v>1149</v>
      </c>
      <c r="D554" s="26" t="s">
        <v>3663</v>
      </c>
      <c r="E554" s="28">
        <v>46113.0</v>
      </c>
      <c r="F554" s="28">
        <v>46171.0</v>
      </c>
      <c r="G554" s="29"/>
    </row>
    <row r="555" ht="15.75" customHeight="1">
      <c r="A555" s="30" t="s">
        <v>4219</v>
      </c>
      <c r="B555" s="31" t="s">
        <v>200</v>
      </c>
      <c r="C555" s="31" t="s">
        <v>1351</v>
      </c>
      <c r="D555" s="30" t="s">
        <v>3663</v>
      </c>
      <c r="E555" s="32">
        <v>46113.0</v>
      </c>
      <c r="F555" s="32">
        <v>46171.0</v>
      </c>
      <c r="G555" s="33"/>
    </row>
    <row r="556" ht="15.75" customHeight="1">
      <c r="A556" s="26" t="s">
        <v>4220</v>
      </c>
      <c r="B556" s="27" t="s">
        <v>200</v>
      </c>
      <c r="C556" s="27" t="s">
        <v>1349</v>
      </c>
      <c r="D556" s="26" t="s">
        <v>3663</v>
      </c>
      <c r="E556" s="28">
        <v>46113.0</v>
      </c>
      <c r="F556" s="28">
        <v>46171.0</v>
      </c>
      <c r="G556" s="29"/>
    </row>
    <row r="557" ht="15.75" customHeight="1">
      <c r="A557" s="30" t="s">
        <v>4221</v>
      </c>
      <c r="B557" s="31" t="s">
        <v>200</v>
      </c>
      <c r="C557" s="31" t="s">
        <v>3653</v>
      </c>
      <c r="D557" s="30" t="s">
        <v>3663</v>
      </c>
      <c r="E557" s="32">
        <v>46113.0</v>
      </c>
      <c r="F557" s="32">
        <v>46171.0</v>
      </c>
      <c r="G557" s="33"/>
    </row>
    <row r="558" ht="15.75" customHeight="1">
      <c r="A558" s="26" t="s">
        <v>4222</v>
      </c>
      <c r="B558" s="27" t="s">
        <v>200</v>
      </c>
      <c r="C558" s="27" t="s">
        <v>3652</v>
      </c>
      <c r="D558" s="26" t="s">
        <v>3663</v>
      </c>
      <c r="E558" s="28">
        <v>46113.0</v>
      </c>
      <c r="F558" s="28">
        <v>46171.0</v>
      </c>
      <c r="G558" s="29"/>
    </row>
    <row r="559" ht="15.75" customHeight="1">
      <c r="A559" s="30" t="s">
        <v>4223</v>
      </c>
      <c r="B559" s="31" t="s">
        <v>200</v>
      </c>
      <c r="C559" s="31" t="s">
        <v>968</v>
      </c>
      <c r="D559" s="30" t="s">
        <v>3663</v>
      </c>
      <c r="E559" s="32">
        <v>46113.0</v>
      </c>
      <c r="F559" s="32">
        <v>46171.0</v>
      </c>
      <c r="G559" s="33"/>
    </row>
    <row r="560" ht="15.75" customHeight="1">
      <c r="A560" s="26" t="s">
        <v>4224</v>
      </c>
      <c r="B560" s="27" t="s">
        <v>200</v>
      </c>
      <c r="C560" s="27" t="s">
        <v>923</v>
      </c>
      <c r="D560" s="26" t="s">
        <v>3663</v>
      </c>
      <c r="E560" s="28">
        <v>46113.0</v>
      </c>
      <c r="F560" s="28">
        <v>46171.0</v>
      </c>
      <c r="G560" s="29"/>
    </row>
    <row r="561" ht="15.75" customHeight="1">
      <c r="A561" s="30" t="s">
        <v>4225</v>
      </c>
      <c r="B561" s="31" t="s">
        <v>201</v>
      </c>
      <c r="C561" s="31" t="s">
        <v>926</v>
      </c>
      <c r="D561" s="30" t="s">
        <v>3663</v>
      </c>
      <c r="E561" s="32">
        <v>46113.0</v>
      </c>
      <c r="F561" s="32">
        <v>46171.0</v>
      </c>
      <c r="G561" s="33"/>
    </row>
    <row r="562" ht="15.75" customHeight="1">
      <c r="A562" s="26" t="s">
        <v>4226</v>
      </c>
      <c r="B562" s="27" t="s">
        <v>201</v>
      </c>
      <c r="C562" s="27" t="s">
        <v>1354</v>
      </c>
      <c r="D562" s="26" t="s">
        <v>3663</v>
      </c>
      <c r="E562" s="28">
        <v>46113.0</v>
      </c>
      <c r="F562" s="28">
        <v>46171.0</v>
      </c>
      <c r="G562" s="29"/>
    </row>
    <row r="563" ht="15.75" customHeight="1">
      <c r="A563" s="30" t="s">
        <v>4227</v>
      </c>
      <c r="B563" s="31" t="s">
        <v>201</v>
      </c>
      <c r="C563" s="31" t="s">
        <v>1312</v>
      </c>
      <c r="D563" s="30" t="s">
        <v>3663</v>
      </c>
      <c r="E563" s="32">
        <v>46113.0</v>
      </c>
      <c r="F563" s="32">
        <v>46171.0</v>
      </c>
      <c r="G563" s="33"/>
    </row>
    <row r="564" ht="15.75" customHeight="1">
      <c r="A564" s="26" t="s">
        <v>4228</v>
      </c>
      <c r="B564" s="27" t="s">
        <v>201</v>
      </c>
      <c r="C564" s="27" t="s">
        <v>1208</v>
      </c>
      <c r="D564" s="26" t="s">
        <v>3663</v>
      </c>
      <c r="E564" s="28">
        <v>46113.0</v>
      </c>
      <c r="F564" s="28">
        <v>46171.0</v>
      </c>
      <c r="G564" s="29"/>
    </row>
    <row r="565" ht="15.75" customHeight="1">
      <c r="A565" s="30" t="s">
        <v>4229</v>
      </c>
      <c r="B565" s="31" t="s">
        <v>201</v>
      </c>
      <c r="C565" s="31" t="s">
        <v>3656</v>
      </c>
      <c r="D565" s="30" t="s">
        <v>3663</v>
      </c>
      <c r="E565" s="32">
        <v>46113.0</v>
      </c>
      <c r="F565" s="32">
        <v>46171.0</v>
      </c>
      <c r="G565" s="33"/>
    </row>
    <row r="566" ht="15.75" customHeight="1">
      <c r="A566" s="26" t="s">
        <v>4230</v>
      </c>
      <c r="B566" s="27" t="s">
        <v>201</v>
      </c>
      <c r="C566" s="27" t="s">
        <v>3657</v>
      </c>
      <c r="D566" s="26" t="s">
        <v>3663</v>
      </c>
      <c r="E566" s="28">
        <v>46113.0</v>
      </c>
      <c r="F566" s="28">
        <v>46171.0</v>
      </c>
      <c r="G566" s="29"/>
    </row>
    <row r="567" ht="15.75" customHeight="1">
      <c r="A567" s="30" t="s">
        <v>4231</v>
      </c>
      <c r="B567" s="31" t="s">
        <v>201</v>
      </c>
      <c r="C567" s="31" t="s">
        <v>1277</v>
      </c>
      <c r="D567" s="30" t="s">
        <v>3663</v>
      </c>
      <c r="E567" s="32">
        <v>46113.0</v>
      </c>
      <c r="F567" s="32">
        <v>46171.0</v>
      </c>
      <c r="G567" s="33"/>
    </row>
    <row r="568" ht="15.75" customHeight="1">
      <c r="A568" s="26" t="s">
        <v>4232</v>
      </c>
      <c r="B568" s="27" t="s">
        <v>201</v>
      </c>
      <c r="C568" s="27" t="s">
        <v>1279</v>
      </c>
      <c r="D568" s="26" t="s">
        <v>3663</v>
      </c>
      <c r="E568" s="28">
        <v>46113.0</v>
      </c>
      <c r="F568" s="28">
        <v>46171.0</v>
      </c>
      <c r="G568" s="29"/>
    </row>
    <row r="569" ht="15.75" customHeight="1">
      <c r="A569" s="30" t="s">
        <v>4233</v>
      </c>
      <c r="B569" s="31" t="s">
        <v>201</v>
      </c>
      <c r="C569" s="31" t="s">
        <v>1283</v>
      </c>
      <c r="D569" s="30" t="s">
        <v>3663</v>
      </c>
      <c r="E569" s="32">
        <v>46113.0</v>
      </c>
      <c r="F569" s="32">
        <v>46171.0</v>
      </c>
      <c r="G569" s="33"/>
    </row>
    <row r="570" ht="15.75" customHeight="1">
      <c r="A570" s="26" t="s">
        <v>4234</v>
      </c>
      <c r="B570" s="27" t="s">
        <v>201</v>
      </c>
      <c r="C570" s="27" t="s">
        <v>1281</v>
      </c>
      <c r="D570" s="26" t="s">
        <v>3663</v>
      </c>
      <c r="E570" s="28">
        <v>46113.0</v>
      </c>
      <c r="F570" s="28">
        <v>46171.0</v>
      </c>
      <c r="G570" s="29"/>
    </row>
    <row r="571" ht="15.75" customHeight="1">
      <c r="A571" s="30" t="s">
        <v>4235</v>
      </c>
      <c r="B571" s="31" t="s">
        <v>201</v>
      </c>
      <c r="C571" s="31" t="s">
        <v>1351</v>
      </c>
      <c r="D571" s="30" t="s">
        <v>3663</v>
      </c>
      <c r="E571" s="32">
        <v>46113.0</v>
      </c>
      <c r="F571" s="32">
        <v>46171.0</v>
      </c>
      <c r="G571" s="33"/>
    </row>
    <row r="572" ht="15.75" customHeight="1">
      <c r="A572" s="26" t="s">
        <v>4236</v>
      </c>
      <c r="B572" s="27" t="s">
        <v>201</v>
      </c>
      <c r="C572" s="27" t="s">
        <v>1349</v>
      </c>
      <c r="D572" s="26" t="s">
        <v>3663</v>
      </c>
      <c r="E572" s="28">
        <v>46113.0</v>
      </c>
      <c r="F572" s="28">
        <v>46171.0</v>
      </c>
      <c r="G572" s="29"/>
    </row>
    <row r="573" ht="15.75" customHeight="1">
      <c r="A573" s="30" t="s">
        <v>4237</v>
      </c>
      <c r="B573" s="31" t="s">
        <v>201</v>
      </c>
      <c r="C573" s="31" t="s">
        <v>968</v>
      </c>
      <c r="D573" s="30" t="s">
        <v>3663</v>
      </c>
      <c r="E573" s="32">
        <v>46113.0</v>
      </c>
      <c r="F573" s="32">
        <v>46171.0</v>
      </c>
      <c r="G573" s="33"/>
    </row>
    <row r="574" ht="15.75" customHeight="1">
      <c r="A574" s="26" t="s">
        <v>4238</v>
      </c>
      <c r="B574" s="27" t="s">
        <v>201</v>
      </c>
      <c r="C574" s="27" t="s">
        <v>923</v>
      </c>
      <c r="D574" s="26" t="s">
        <v>3663</v>
      </c>
      <c r="E574" s="28">
        <v>46113.0</v>
      </c>
      <c r="F574" s="28">
        <v>46171.0</v>
      </c>
      <c r="G574" s="29"/>
    </row>
    <row r="575" ht="15.75" customHeight="1">
      <c r="A575" s="30" t="s">
        <v>4239</v>
      </c>
      <c r="B575" s="31" t="s">
        <v>202</v>
      </c>
      <c r="C575" s="31" t="s">
        <v>932</v>
      </c>
      <c r="D575" s="30" t="s">
        <v>3663</v>
      </c>
      <c r="E575" s="32">
        <v>46113.0</v>
      </c>
      <c r="F575" s="32">
        <v>46171.0</v>
      </c>
      <c r="G575" s="33"/>
    </row>
    <row r="576" ht="15.75" customHeight="1">
      <c r="A576" s="26" t="s">
        <v>4240</v>
      </c>
      <c r="B576" s="27" t="s">
        <v>202</v>
      </c>
      <c r="C576" s="27" t="s">
        <v>1168</v>
      </c>
      <c r="D576" s="26" t="s">
        <v>3663</v>
      </c>
      <c r="E576" s="28">
        <v>46113.0</v>
      </c>
      <c r="F576" s="28">
        <v>46171.0</v>
      </c>
      <c r="G576" s="29"/>
    </row>
    <row r="577" ht="15.75" customHeight="1">
      <c r="A577" s="30" t="s">
        <v>4241</v>
      </c>
      <c r="B577" s="31" t="s">
        <v>202</v>
      </c>
      <c r="C577" s="31" t="s">
        <v>1170</v>
      </c>
      <c r="D577" s="30" t="s">
        <v>3663</v>
      </c>
      <c r="E577" s="32">
        <v>46113.0</v>
      </c>
      <c r="F577" s="32">
        <v>46171.0</v>
      </c>
      <c r="G577" s="33"/>
    </row>
    <row r="578" ht="15.75" customHeight="1">
      <c r="A578" s="26" t="s">
        <v>4242</v>
      </c>
      <c r="B578" s="27" t="s">
        <v>202</v>
      </c>
      <c r="C578" s="27" t="s">
        <v>1288</v>
      </c>
      <c r="D578" s="26" t="s">
        <v>3663</v>
      </c>
      <c r="E578" s="28">
        <v>46113.0</v>
      </c>
      <c r="F578" s="28">
        <v>46171.0</v>
      </c>
      <c r="G578" s="29"/>
    </row>
    <row r="579" ht="15.75" customHeight="1">
      <c r="A579" s="30" t="s">
        <v>4243</v>
      </c>
      <c r="B579" s="31" t="s">
        <v>202</v>
      </c>
      <c r="C579" s="31" t="s">
        <v>1291</v>
      </c>
      <c r="D579" s="30" t="s">
        <v>3663</v>
      </c>
      <c r="E579" s="32">
        <v>46113.0</v>
      </c>
      <c r="F579" s="32">
        <v>46171.0</v>
      </c>
      <c r="G579" s="33"/>
    </row>
    <row r="580" ht="15.75" customHeight="1">
      <c r="A580" s="26" t="s">
        <v>4244</v>
      </c>
      <c r="B580" s="27" t="s">
        <v>202</v>
      </c>
      <c r="C580" s="27" t="s">
        <v>1354</v>
      </c>
      <c r="D580" s="26" t="s">
        <v>3663</v>
      </c>
      <c r="E580" s="28">
        <v>46113.0</v>
      </c>
      <c r="F580" s="28">
        <v>46171.0</v>
      </c>
      <c r="G580" s="29"/>
    </row>
    <row r="581" ht="15.75" customHeight="1">
      <c r="A581" s="30" t="s">
        <v>4245</v>
      </c>
      <c r="B581" s="31" t="s">
        <v>202</v>
      </c>
      <c r="C581" s="31" t="s">
        <v>1312</v>
      </c>
      <c r="D581" s="30" t="s">
        <v>3663</v>
      </c>
      <c r="E581" s="32">
        <v>46113.0</v>
      </c>
      <c r="F581" s="32">
        <v>46171.0</v>
      </c>
      <c r="G581" s="33"/>
    </row>
    <row r="582" ht="15.75" customHeight="1">
      <c r="A582" s="26" t="s">
        <v>4246</v>
      </c>
      <c r="B582" s="27" t="s">
        <v>202</v>
      </c>
      <c r="C582" s="27" t="s">
        <v>3681</v>
      </c>
      <c r="D582" s="26" t="s">
        <v>3663</v>
      </c>
      <c r="E582" s="28">
        <v>46113.0</v>
      </c>
      <c r="F582" s="28">
        <v>46171.0</v>
      </c>
      <c r="G582" s="29"/>
    </row>
    <row r="583" ht="15.75" customHeight="1">
      <c r="A583" s="30" t="s">
        <v>4247</v>
      </c>
      <c r="B583" s="31" t="s">
        <v>202</v>
      </c>
      <c r="C583" s="31" t="s">
        <v>3683</v>
      </c>
      <c r="D583" s="30" t="s">
        <v>3663</v>
      </c>
      <c r="E583" s="32">
        <v>46113.0</v>
      </c>
      <c r="F583" s="32">
        <v>46171.0</v>
      </c>
      <c r="G583" s="33"/>
    </row>
    <row r="584" ht="15.75" customHeight="1">
      <c r="A584" s="26" t="s">
        <v>4248</v>
      </c>
      <c r="B584" s="27" t="s">
        <v>202</v>
      </c>
      <c r="C584" s="27" t="s">
        <v>1218</v>
      </c>
      <c r="D584" s="26" t="s">
        <v>3663</v>
      </c>
      <c r="E584" s="28">
        <v>46113.0</v>
      </c>
      <c r="F584" s="28">
        <v>46171.0</v>
      </c>
      <c r="G584" s="29"/>
    </row>
    <row r="585" ht="15.75" customHeight="1">
      <c r="A585" s="30" t="s">
        <v>4249</v>
      </c>
      <c r="B585" s="31" t="s">
        <v>202</v>
      </c>
      <c r="C585" s="31" t="s">
        <v>1351</v>
      </c>
      <c r="D585" s="30" t="s">
        <v>3663</v>
      </c>
      <c r="E585" s="32">
        <v>46113.0</v>
      </c>
      <c r="F585" s="32">
        <v>46171.0</v>
      </c>
      <c r="G585" s="33"/>
    </row>
    <row r="586" ht="15.75" customHeight="1">
      <c r="A586" s="26" t="s">
        <v>4250</v>
      </c>
      <c r="B586" s="27" t="s">
        <v>202</v>
      </c>
      <c r="C586" s="27" t="s">
        <v>1349</v>
      </c>
      <c r="D586" s="26" t="s">
        <v>3663</v>
      </c>
      <c r="E586" s="28">
        <v>46113.0</v>
      </c>
      <c r="F586" s="28">
        <v>46171.0</v>
      </c>
      <c r="G586" s="29"/>
    </row>
    <row r="587" ht="15.75" customHeight="1">
      <c r="A587" s="30" t="s">
        <v>4251</v>
      </c>
      <c r="B587" s="31" t="s">
        <v>202</v>
      </c>
      <c r="C587" s="31" t="s">
        <v>968</v>
      </c>
      <c r="D587" s="30" t="s">
        <v>3663</v>
      </c>
      <c r="E587" s="32">
        <v>46113.0</v>
      </c>
      <c r="F587" s="32">
        <v>46171.0</v>
      </c>
      <c r="G587" s="33"/>
    </row>
    <row r="588" ht="15.75" customHeight="1">
      <c r="A588" s="26" t="s">
        <v>4252</v>
      </c>
      <c r="B588" s="27" t="s">
        <v>202</v>
      </c>
      <c r="C588" s="27" t="s">
        <v>923</v>
      </c>
      <c r="D588" s="26" t="s">
        <v>3663</v>
      </c>
      <c r="E588" s="28">
        <v>46113.0</v>
      </c>
      <c r="F588" s="28">
        <v>46171.0</v>
      </c>
      <c r="G588" s="29"/>
    </row>
    <row r="589" ht="15.75" customHeight="1">
      <c r="A589" s="30" t="s">
        <v>4253</v>
      </c>
      <c r="B589" s="31" t="s">
        <v>203</v>
      </c>
      <c r="C589" s="31" t="s">
        <v>932</v>
      </c>
      <c r="D589" s="30" t="s">
        <v>3663</v>
      </c>
      <c r="E589" s="32">
        <v>46113.0</v>
      </c>
      <c r="F589" s="32">
        <v>46171.0</v>
      </c>
      <c r="G589" s="33"/>
    </row>
    <row r="590" ht="15.75" customHeight="1">
      <c r="A590" s="26" t="s">
        <v>4254</v>
      </c>
      <c r="B590" s="27" t="s">
        <v>203</v>
      </c>
      <c r="C590" s="27" t="s">
        <v>1168</v>
      </c>
      <c r="D590" s="26" t="s">
        <v>3663</v>
      </c>
      <c r="E590" s="28">
        <v>46113.0</v>
      </c>
      <c r="F590" s="28">
        <v>46171.0</v>
      </c>
      <c r="G590" s="29"/>
    </row>
    <row r="591" ht="15.75" customHeight="1">
      <c r="A591" s="30" t="s">
        <v>4255</v>
      </c>
      <c r="B591" s="31" t="s">
        <v>203</v>
      </c>
      <c r="C591" s="31" t="s">
        <v>1170</v>
      </c>
      <c r="D591" s="30" t="s">
        <v>3663</v>
      </c>
      <c r="E591" s="32">
        <v>46113.0</v>
      </c>
      <c r="F591" s="32">
        <v>46171.0</v>
      </c>
      <c r="G591" s="33"/>
    </row>
    <row r="592" ht="15.75" customHeight="1">
      <c r="A592" s="26" t="s">
        <v>4256</v>
      </c>
      <c r="B592" s="27" t="s">
        <v>203</v>
      </c>
      <c r="C592" s="27" t="s">
        <v>1288</v>
      </c>
      <c r="D592" s="26" t="s">
        <v>3663</v>
      </c>
      <c r="E592" s="28">
        <v>46113.0</v>
      </c>
      <c r="F592" s="28">
        <v>46171.0</v>
      </c>
      <c r="G592" s="29"/>
    </row>
    <row r="593" ht="15.75" customHeight="1">
      <c r="A593" s="30" t="s">
        <v>4257</v>
      </c>
      <c r="B593" s="31" t="s">
        <v>203</v>
      </c>
      <c r="C593" s="31" t="s">
        <v>1291</v>
      </c>
      <c r="D593" s="30" t="s">
        <v>3663</v>
      </c>
      <c r="E593" s="32">
        <v>46113.0</v>
      </c>
      <c r="F593" s="32">
        <v>46171.0</v>
      </c>
      <c r="G593" s="33"/>
    </row>
    <row r="594" ht="15.75" customHeight="1">
      <c r="A594" s="26" t="s">
        <v>4258</v>
      </c>
      <c r="B594" s="27" t="s">
        <v>203</v>
      </c>
      <c r="C594" s="27" t="s">
        <v>1354</v>
      </c>
      <c r="D594" s="26" t="s">
        <v>3663</v>
      </c>
      <c r="E594" s="28">
        <v>46113.0</v>
      </c>
      <c r="F594" s="28">
        <v>46171.0</v>
      </c>
      <c r="G594" s="29"/>
    </row>
    <row r="595" ht="15.75" customHeight="1">
      <c r="A595" s="30" t="s">
        <v>4259</v>
      </c>
      <c r="B595" s="31" t="s">
        <v>203</v>
      </c>
      <c r="C595" s="31" t="s">
        <v>3656</v>
      </c>
      <c r="D595" s="30" t="s">
        <v>3663</v>
      </c>
      <c r="E595" s="32">
        <v>46113.0</v>
      </c>
      <c r="F595" s="32">
        <v>46171.0</v>
      </c>
      <c r="G595" s="33"/>
    </row>
    <row r="596" ht="15.75" customHeight="1">
      <c r="A596" s="26" t="s">
        <v>4260</v>
      </c>
      <c r="B596" s="27" t="s">
        <v>203</v>
      </c>
      <c r="C596" s="27" t="s">
        <v>3657</v>
      </c>
      <c r="D596" s="26" t="s">
        <v>3663</v>
      </c>
      <c r="E596" s="28">
        <v>46113.0</v>
      </c>
      <c r="F596" s="28">
        <v>46171.0</v>
      </c>
      <c r="G596" s="29"/>
    </row>
    <row r="597" ht="15.75" customHeight="1">
      <c r="A597" s="30" t="s">
        <v>4261</v>
      </c>
      <c r="B597" s="31" t="s">
        <v>203</v>
      </c>
      <c r="C597" s="31" t="s">
        <v>1216</v>
      </c>
      <c r="D597" s="30" t="s">
        <v>3663</v>
      </c>
      <c r="E597" s="32">
        <v>46113.0</v>
      </c>
      <c r="F597" s="32">
        <v>46171.0</v>
      </c>
      <c r="G597" s="33"/>
    </row>
    <row r="598" ht="15.75" customHeight="1">
      <c r="A598" s="26" t="s">
        <v>4262</v>
      </c>
      <c r="B598" s="27" t="s">
        <v>203</v>
      </c>
      <c r="C598" s="27" t="s">
        <v>1351</v>
      </c>
      <c r="D598" s="26" t="s">
        <v>3663</v>
      </c>
      <c r="E598" s="28">
        <v>46113.0</v>
      </c>
      <c r="F598" s="28">
        <v>46171.0</v>
      </c>
      <c r="G598" s="29"/>
    </row>
    <row r="599" ht="15.75" customHeight="1">
      <c r="A599" s="30" t="s">
        <v>4263</v>
      </c>
      <c r="B599" s="31" t="s">
        <v>203</v>
      </c>
      <c r="C599" s="31" t="s">
        <v>1349</v>
      </c>
      <c r="D599" s="30" t="s">
        <v>3663</v>
      </c>
      <c r="E599" s="32">
        <v>46113.0</v>
      </c>
      <c r="F599" s="32">
        <v>46171.0</v>
      </c>
      <c r="G599" s="33"/>
    </row>
    <row r="600" ht="15.75" customHeight="1">
      <c r="A600" s="26" t="s">
        <v>4264</v>
      </c>
      <c r="B600" s="27" t="s">
        <v>203</v>
      </c>
      <c r="C600" s="27" t="s">
        <v>968</v>
      </c>
      <c r="D600" s="26" t="s">
        <v>3663</v>
      </c>
      <c r="E600" s="28">
        <v>46113.0</v>
      </c>
      <c r="F600" s="28">
        <v>46171.0</v>
      </c>
      <c r="G600" s="29"/>
    </row>
    <row r="601" ht="15.75" customHeight="1">
      <c r="A601" s="30" t="s">
        <v>4265</v>
      </c>
      <c r="B601" s="31" t="s">
        <v>203</v>
      </c>
      <c r="C601" s="31" t="s">
        <v>923</v>
      </c>
      <c r="D601" s="30" t="s">
        <v>3663</v>
      </c>
      <c r="E601" s="32">
        <v>46113.0</v>
      </c>
      <c r="F601" s="32">
        <v>46171.0</v>
      </c>
      <c r="G601" s="33"/>
    </row>
    <row r="602" ht="15.75" customHeight="1">
      <c r="A602" s="26" t="s">
        <v>4266</v>
      </c>
      <c r="B602" s="27" t="s">
        <v>203</v>
      </c>
      <c r="C602" s="27" t="s">
        <v>958</v>
      </c>
      <c r="D602" s="26" t="s">
        <v>3663</v>
      </c>
      <c r="E602" s="28">
        <v>46113.0</v>
      </c>
      <c r="F602" s="28">
        <v>46171.0</v>
      </c>
      <c r="G602" s="29"/>
    </row>
    <row r="603" ht="15.75" customHeight="1">
      <c r="A603" s="30" t="s">
        <v>4267</v>
      </c>
      <c r="B603" s="31" t="s">
        <v>205</v>
      </c>
      <c r="C603" s="31" t="s">
        <v>3638</v>
      </c>
      <c r="D603" s="30" t="s">
        <v>3663</v>
      </c>
      <c r="E603" s="32">
        <v>46113.0</v>
      </c>
      <c r="F603" s="32">
        <v>46171.0</v>
      </c>
      <c r="G603" s="33"/>
    </row>
    <row r="604" ht="15.75" customHeight="1">
      <c r="A604" s="26" t="s">
        <v>4268</v>
      </c>
      <c r="B604" s="27" t="s">
        <v>205</v>
      </c>
      <c r="C604" s="27" t="s">
        <v>930</v>
      </c>
      <c r="D604" s="26" t="s">
        <v>3663</v>
      </c>
      <c r="E604" s="28">
        <v>46113.0</v>
      </c>
      <c r="F604" s="28">
        <v>46171.0</v>
      </c>
      <c r="G604" s="29"/>
    </row>
    <row r="605" ht="15.75" customHeight="1">
      <c r="A605" s="30" t="s">
        <v>4269</v>
      </c>
      <c r="B605" s="31" t="s">
        <v>205</v>
      </c>
      <c r="C605" s="31" t="s">
        <v>1354</v>
      </c>
      <c r="D605" s="30" t="s">
        <v>3663</v>
      </c>
      <c r="E605" s="32">
        <v>46113.0</v>
      </c>
      <c r="F605" s="32">
        <v>46171.0</v>
      </c>
      <c r="G605" s="33"/>
    </row>
    <row r="606" ht="15.75" customHeight="1">
      <c r="A606" s="26" t="s">
        <v>4270</v>
      </c>
      <c r="B606" s="27" t="s">
        <v>205</v>
      </c>
      <c r="C606" s="27" t="s">
        <v>3605</v>
      </c>
      <c r="D606" s="26" t="s">
        <v>3663</v>
      </c>
      <c r="E606" s="28">
        <v>46113.0</v>
      </c>
      <c r="F606" s="28">
        <v>46171.0</v>
      </c>
      <c r="G606" s="29"/>
    </row>
    <row r="607" ht="15.75" customHeight="1">
      <c r="A607" s="30" t="s">
        <v>4271</v>
      </c>
      <c r="B607" s="31" t="s">
        <v>205</v>
      </c>
      <c r="C607" s="31" t="s">
        <v>3656</v>
      </c>
      <c r="D607" s="30" t="s">
        <v>3663</v>
      </c>
      <c r="E607" s="32">
        <v>46113.0</v>
      </c>
      <c r="F607" s="32">
        <v>46171.0</v>
      </c>
      <c r="G607" s="33"/>
    </row>
    <row r="608" ht="15.75" customHeight="1">
      <c r="A608" s="26" t="s">
        <v>4272</v>
      </c>
      <c r="B608" s="27" t="s">
        <v>205</v>
      </c>
      <c r="C608" s="27" t="s">
        <v>3657</v>
      </c>
      <c r="D608" s="26" t="s">
        <v>3663</v>
      </c>
      <c r="E608" s="28">
        <v>46113.0</v>
      </c>
      <c r="F608" s="28">
        <v>46171.0</v>
      </c>
      <c r="G608" s="29"/>
    </row>
    <row r="609" ht="15.75" customHeight="1">
      <c r="A609" s="30" t="s">
        <v>4273</v>
      </c>
      <c r="B609" s="31" t="s">
        <v>205</v>
      </c>
      <c r="C609" s="31" t="s">
        <v>3647</v>
      </c>
      <c r="D609" s="30" t="s">
        <v>3663</v>
      </c>
      <c r="E609" s="32">
        <v>46113.0</v>
      </c>
      <c r="F609" s="32">
        <v>46171.0</v>
      </c>
      <c r="G609" s="33"/>
    </row>
    <row r="610" ht="15.75" customHeight="1">
      <c r="A610" s="26" t="s">
        <v>4274</v>
      </c>
      <c r="B610" s="27" t="s">
        <v>205</v>
      </c>
      <c r="C610" s="27" t="s">
        <v>952</v>
      </c>
      <c r="D610" s="26" t="s">
        <v>3663</v>
      </c>
      <c r="E610" s="28">
        <v>46113.0</v>
      </c>
      <c r="F610" s="28">
        <v>46171.0</v>
      </c>
      <c r="G610" s="29"/>
    </row>
    <row r="611" ht="15.75" customHeight="1">
      <c r="A611" s="30" t="s">
        <v>4275</v>
      </c>
      <c r="B611" s="31" t="s">
        <v>205</v>
      </c>
      <c r="C611" s="31" t="s">
        <v>1157</v>
      </c>
      <c r="D611" s="30" t="s">
        <v>3663</v>
      </c>
      <c r="E611" s="32">
        <v>46113.0</v>
      </c>
      <c r="F611" s="32">
        <v>46171.0</v>
      </c>
      <c r="G611" s="33"/>
    </row>
    <row r="612" ht="15.75" customHeight="1">
      <c r="A612" s="26" t="s">
        <v>4276</v>
      </c>
      <c r="B612" s="27" t="s">
        <v>205</v>
      </c>
      <c r="C612" s="27" t="s">
        <v>1155</v>
      </c>
      <c r="D612" s="26" t="s">
        <v>3663</v>
      </c>
      <c r="E612" s="28">
        <v>46113.0</v>
      </c>
      <c r="F612" s="28">
        <v>46171.0</v>
      </c>
      <c r="G612" s="29"/>
    </row>
    <row r="613" ht="15.75" customHeight="1">
      <c r="A613" s="30" t="s">
        <v>4277</v>
      </c>
      <c r="B613" s="31" t="s">
        <v>205</v>
      </c>
      <c r="C613" s="31" t="s">
        <v>1153</v>
      </c>
      <c r="D613" s="30" t="s">
        <v>3663</v>
      </c>
      <c r="E613" s="32">
        <v>46113.0</v>
      </c>
      <c r="F613" s="32">
        <v>46171.0</v>
      </c>
      <c r="G613" s="33"/>
    </row>
    <row r="614" ht="15.75" customHeight="1">
      <c r="A614" s="26" t="s">
        <v>4278</v>
      </c>
      <c r="B614" s="27" t="s">
        <v>205</v>
      </c>
      <c r="C614" s="27" t="s">
        <v>1149</v>
      </c>
      <c r="D614" s="26" t="s">
        <v>3663</v>
      </c>
      <c r="E614" s="28">
        <v>46113.0</v>
      </c>
      <c r="F614" s="28">
        <v>46171.0</v>
      </c>
      <c r="G614" s="29"/>
    </row>
    <row r="615" ht="15.75" customHeight="1">
      <c r="A615" s="30" t="s">
        <v>4279</v>
      </c>
      <c r="B615" s="31" t="s">
        <v>205</v>
      </c>
      <c r="C615" s="31" t="s">
        <v>968</v>
      </c>
      <c r="D615" s="30" t="s">
        <v>3663</v>
      </c>
      <c r="E615" s="32">
        <v>46113.0</v>
      </c>
      <c r="F615" s="32">
        <v>46171.0</v>
      </c>
      <c r="G615" s="33"/>
    </row>
    <row r="616" ht="15.75" customHeight="1">
      <c r="A616" s="26" t="s">
        <v>4280</v>
      </c>
      <c r="B616" s="27" t="s">
        <v>205</v>
      </c>
      <c r="C616" s="27" t="s">
        <v>923</v>
      </c>
      <c r="D616" s="26" t="s">
        <v>3663</v>
      </c>
      <c r="E616" s="28">
        <v>46113.0</v>
      </c>
      <c r="F616" s="28">
        <v>46171.0</v>
      </c>
      <c r="G616" s="29"/>
    </row>
    <row r="617" ht="15.75" customHeight="1">
      <c r="A617" s="30" t="s">
        <v>4281</v>
      </c>
      <c r="B617" s="31" t="s">
        <v>206</v>
      </c>
      <c r="C617" s="31" t="s">
        <v>3654</v>
      </c>
      <c r="D617" s="30" t="s">
        <v>3663</v>
      </c>
      <c r="E617" s="32">
        <v>46113.0</v>
      </c>
      <c r="F617" s="32">
        <v>46171.0</v>
      </c>
      <c r="G617" s="33"/>
    </row>
    <row r="618" ht="15.75" customHeight="1">
      <c r="A618" s="26" t="s">
        <v>4282</v>
      </c>
      <c r="B618" s="27" t="s">
        <v>206</v>
      </c>
      <c r="C618" s="27" t="s">
        <v>3655</v>
      </c>
      <c r="D618" s="26" t="s">
        <v>3663</v>
      </c>
      <c r="E618" s="28">
        <v>46113.0</v>
      </c>
      <c r="F618" s="28">
        <v>46171.0</v>
      </c>
      <c r="G618" s="29"/>
    </row>
    <row r="619" ht="15.75" customHeight="1">
      <c r="A619" s="30" t="s">
        <v>4283</v>
      </c>
      <c r="B619" s="31" t="s">
        <v>206</v>
      </c>
      <c r="C619" s="31" t="s">
        <v>932</v>
      </c>
      <c r="D619" s="30" t="s">
        <v>3663</v>
      </c>
      <c r="E619" s="32">
        <v>46113.0</v>
      </c>
      <c r="F619" s="32">
        <v>46171.0</v>
      </c>
      <c r="G619" s="33"/>
    </row>
    <row r="620" ht="15.75" customHeight="1">
      <c r="A620" s="26" t="s">
        <v>4284</v>
      </c>
      <c r="B620" s="27" t="s">
        <v>206</v>
      </c>
      <c r="C620" s="27" t="s">
        <v>1164</v>
      </c>
      <c r="D620" s="26" t="s">
        <v>3663</v>
      </c>
      <c r="E620" s="28">
        <v>46113.0</v>
      </c>
      <c r="F620" s="28">
        <v>46171.0</v>
      </c>
      <c r="G620" s="29"/>
    </row>
    <row r="621" ht="15.75" customHeight="1">
      <c r="A621" s="30" t="s">
        <v>4285</v>
      </c>
      <c r="B621" s="31" t="s">
        <v>206</v>
      </c>
      <c r="C621" s="31" t="s">
        <v>1166</v>
      </c>
      <c r="D621" s="30" t="s">
        <v>3663</v>
      </c>
      <c r="E621" s="32">
        <v>46113.0</v>
      </c>
      <c r="F621" s="32">
        <v>46171.0</v>
      </c>
      <c r="G621" s="33"/>
    </row>
    <row r="622" ht="15.75" customHeight="1">
      <c r="A622" s="26" t="s">
        <v>4286</v>
      </c>
      <c r="B622" s="27" t="s">
        <v>206</v>
      </c>
      <c r="C622" s="27" t="s">
        <v>1168</v>
      </c>
      <c r="D622" s="26" t="s">
        <v>3663</v>
      </c>
      <c r="E622" s="28">
        <v>46113.0</v>
      </c>
      <c r="F622" s="28">
        <v>46171.0</v>
      </c>
      <c r="G622" s="29"/>
    </row>
    <row r="623" ht="15.75" customHeight="1">
      <c r="A623" s="30" t="s">
        <v>4287</v>
      </c>
      <c r="B623" s="31" t="s">
        <v>206</v>
      </c>
      <c r="C623" s="31" t="s">
        <v>1170</v>
      </c>
      <c r="D623" s="30" t="s">
        <v>3663</v>
      </c>
      <c r="E623" s="32">
        <v>46113.0</v>
      </c>
      <c r="F623" s="32">
        <v>46171.0</v>
      </c>
      <c r="G623" s="33"/>
    </row>
    <row r="624" ht="15.75" customHeight="1">
      <c r="A624" s="26" t="s">
        <v>4288</v>
      </c>
      <c r="B624" s="27" t="s">
        <v>206</v>
      </c>
      <c r="C624" s="27" t="s">
        <v>1354</v>
      </c>
      <c r="D624" s="26" t="s">
        <v>3663</v>
      </c>
      <c r="E624" s="28">
        <v>46113.0</v>
      </c>
      <c r="F624" s="28">
        <v>46171.0</v>
      </c>
      <c r="G624" s="29"/>
    </row>
    <row r="625" ht="15.75" customHeight="1">
      <c r="A625" s="30" t="s">
        <v>4289</v>
      </c>
      <c r="B625" s="31" t="s">
        <v>206</v>
      </c>
      <c r="C625" s="31" t="s">
        <v>1218</v>
      </c>
      <c r="D625" s="30" t="s">
        <v>3663</v>
      </c>
      <c r="E625" s="32">
        <v>46113.0</v>
      </c>
      <c r="F625" s="32">
        <v>46171.0</v>
      </c>
      <c r="G625" s="33"/>
    </row>
    <row r="626" ht="15.75" customHeight="1">
      <c r="A626" s="26" t="s">
        <v>4290</v>
      </c>
      <c r="B626" s="27" t="s">
        <v>206</v>
      </c>
      <c r="C626" s="27" t="s">
        <v>1271</v>
      </c>
      <c r="D626" s="26" t="s">
        <v>3663</v>
      </c>
      <c r="E626" s="28">
        <v>46113.0</v>
      </c>
      <c r="F626" s="28">
        <v>46171.0</v>
      </c>
      <c r="G626" s="29"/>
    </row>
    <row r="627" ht="15.75" customHeight="1">
      <c r="A627" s="30" t="s">
        <v>4291</v>
      </c>
      <c r="B627" s="31" t="s">
        <v>206</v>
      </c>
      <c r="C627" s="31" t="s">
        <v>1351</v>
      </c>
      <c r="D627" s="30" t="s">
        <v>3663</v>
      </c>
      <c r="E627" s="32">
        <v>46113.0</v>
      </c>
      <c r="F627" s="32">
        <v>46171.0</v>
      </c>
      <c r="G627" s="33"/>
    </row>
    <row r="628" ht="15.75" customHeight="1">
      <c r="A628" s="26" t="s">
        <v>4292</v>
      </c>
      <c r="B628" s="27" t="s">
        <v>206</v>
      </c>
      <c r="C628" s="27" t="s">
        <v>1349</v>
      </c>
      <c r="D628" s="26" t="s">
        <v>3663</v>
      </c>
      <c r="E628" s="28">
        <v>46113.0</v>
      </c>
      <c r="F628" s="28">
        <v>46171.0</v>
      </c>
      <c r="G628" s="29"/>
    </row>
    <row r="629" ht="15.75" customHeight="1">
      <c r="A629" s="30" t="s">
        <v>4293</v>
      </c>
      <c r="B629" s="31" t="s">
        <v>206</v>
      </c>
      <c r="C629" s="31" t="s">
        <v>968</v>
      </c>
      <c r="D629" s="30" t="s">
        <v>3663</v>
      </c>
      <c r="E629" s="32">
        <v>46113.0</v>
      </c>
      <c r="F629" s="32">
        <v>46171.0</v>
      </c>
      <c r="G629" s="33"/>
    </row>
    <row r="630" ht="15.75" customHeight="1">
      <c r="A630" s="26" t="s">
        <v>4294</v>
      </c>
      <c r="B630" s="27" t="s">
        <v>206</v>
      </c>
      <c r="C630" s="27" t="s">
        <v>923</v>
      </c>
      <c r="D630" s="26" t="s">
        <v>3663</v>
      </c>
      <c r="E630" s="28">
        <v>46113.0</v>
      </c>
      <c r="F630" s="28">
        <v>46171.0</v>
      </c>
      <c r="G630" s="29"/>
    </row>
    <row r="631" ht="15.75" customHeight="1">
      <c r="A631" s="30" t="s">
        <v>4295</v>
      </c>
      <c r="B631" s="31" t="s">
        <v>209</v>
      </c>
      <c r="C631" s="31" t="s">
        <v>926</v>
      </c>
      <c r="D631" s="30" t="s">
        <v>3663</v>
      </c>
      <c r="E631" s="32">
        <v>46113.0</v>
      </c>
      <c r="F631" s="32">
        <v>46171.0</v>
      </c>
      <c r="G631" s="33"/>
    </row>
    <row r="632" ht="15.75" customHeight="1">
      <c r="A632" s="26" t="s">
        <v>4296</v>
      </c>
      <c r="B632" s="27" t="s">
        <v>209</v>
      </c>
      <c r="C632" s="27" t="s">
        <v>1354</v>
      </c>
      <c r="D632" s="26" t="s">
        <v>3663</v>
      </c>
      <c r="E632" s="28">
        <v>46113.0</v>
      </c>
      <c r="F632" s="28">
        <v>46171.0</v>
      </c>
      <c r="G632" s="29"/>
    </row>
    <row r="633" ht="15.75" customHeight="1">
      <c r="A633" s="30" t="s">
        <v>4297</v>
      </c>
      <c r="B633" s="31" t="s">
        <v>209</v>
      </c>
      <c r="C633" s="31" t="s">
        <v>1159</v>
      </c>
      <c r="D633" s="30" t="s">
        <v>3663</v>
      </c>
      <c r="E633" s="32">
        <v>46113.0</v>
      </c>
      <c r="F633" s="32">
        <v>46171.0</v>
      </c>
      <c r="G633" s="33"/>
    </row>
    <row r="634" ht="15.75" customHeight="1">
      <c r="A634" s="26" t="s">
        <v>4298</v>
      </c>
      <c r="B634" s="27" t="s">
        <v>209</v>
      </c>
      <c r="C634" s="27" t="s">
        <v>3656</v>
      </c>
      <c r="D634" s="26" t="s">
        <v>3663</v>
      </c>
      <c r="E634" s="28">
        <v>46113.0</v>
      </c>
      <c r="F634" s="28">
        <v>46171.0</v>
      </c>
      <c r="G634" s="29"/>
    </row>
    <row r="635" ht="15.75" customHeight="1">
      <c r="A635" s="30" t="s">
        <v>4299</v>
      </c>
      <c r="B635" s="31" t="s">
        <v>209</v>
      </c>
      <c r="C635" s="31" t="s">
        <v>3657</v>
      </c>
      <c r="D635" s="30" t="s">
        <v>3663</v>
      </c>
      <c r="E635" s="32">
        <v>46113.0</v>
      </c>
      <c r="F635" s="32">
        <v>46171.0</v>
      </c>
      <c r="G635" s="33"/>
    </row>
    <row r="636" ht="15.75" customHeight="1">
      <c r="A636" s="26" t="s">
        <v>4300</v>
      </c>
      <c r="B636" s="27" t="s">
        <v>209</v>
      </c>
      <c r="C636" s="27" t="s">
        <v>1277</v>
      </c>
      <c r="D636" s="26" t="s">
        <v>3663</v>
      </c>
      <c r="E636" s="28">
        <v>46113.0</v>
      </c>
      <c r="F636" s="28">
        <v>46171.0</v>
      </c>
      <c r="G636" s="29"/>
    </row>
    <row r="637" ht="15.75" customHeight="1">
      <c r="A637" s="30" t="s">
        <v>4301</v>
      </c>
      <c r="B637" s="31" t="s">
        <v>209</v>
      </c>
      <c r="C637" s="31" t="s">
        <v>1279</v>
      </c>
      <c r="D637" s="30" t="s">
        <v>3663</v>
      </c>
      <c r="E637" s="32">
        <v>46113.0</v>
      </c>
      <c r="F637" s="32">
        <v>46171.0</v>
      </c>
      <c r="G637" s="33"/>
    </row>
    <row r="638" ht="15.75" customHeight="1">
      <c r="A638" s="26" t="s">
        <v>4302</v>
      </c>
      <c r="B638" s="27" t="s">
        <v>209</v>
      </c>
      <c r="C638" s="27" t="s">
        <v>1283</v>
      </c>
      <c r="D638" s="26" t="s">
        <v>3663</v>
      </c>
      <c r="E638" s="28">
        <v>46113.0</v>
      </c>
      <c r="F638" s="28">
        <v>46171.0</v>
      </c>
      <c r="G638" s="29"/>
    </row>
    <row r="639" ht="15.75" customHeight="1">
      <c r="A639" s="30" t="s">
        <v>4303</v>
      </c>
      <c r="B639" s="31" t="s">
        <v>209</v>
      </c>
      <c r="C639" s="31" t="s">
        <v>1281</v>
      </c>
      <c r="D639" s="30" t="s">
        <v>3663</v>
      </c>
      <c r="E639" s="32">
        <v>46113.0</v>
      </c>
      <c r="F639" s="32">
        <v>46171.0</v>
      </c>
      <c r="G639" s="33"/>
    </row>
    <row r="640" ht="15.75" customHeight="1">
      <c r="A640" s="26" t="s">
        <v>4304</v>
      </c>
      <c r="B640" s="27" t="s">
        <v>209</v>
      </c>
      <c r="C640" s="27" t="s">
        <v>1216</v>
      </c>
      <c r="D640" s="26" t="s">
        <v>3663</v>
      </c>
      <c r="E640" s="28">
        <v>46113.0</v>
      </c>
      <c r="F640" s="28">
        <v>46171.0</v>
      </c>
      <c r="G640" s="29"/>
    </row>
    <row r="641" ht="15.75" customHeight="1">
      <c r="A641" s="30" t="s">
        <v>4305</v>
      </c>
      <c r="B641" s="31" t="s">
        <v>209</v>
      </c>
      <c r="C641" s="31" t="s">
        <v>1351</v>
      </c>
      <c r="D641" s="30" t="s">
        <v>3663</v>
      </c>
      <c r="E641" s="32">
        <v>46113.0</v>
      </c>
      <c r="F641" s="32">
        <v>46171.0</v>
      </c>
      <c r="G641" s="33"/>
    </row>
    <row r="642" ht="15.75" customHeight="1">
      <c r="A642" s="26" t="s">
        <v>4306</v>
      </c>
      <c r="B642" s="27" t="s">
        <v>209</v>
      </c>
      <c r="C642" s="27" t="s">
        <v>1349</v>
      </c>
      <c r="D642" s="26" t="s">
        <v>3663</v>
      </c>
      <c r="E642" s="28">
        <v>46113.0</v>
      </c>
      <c r="F642" s="28">
        <v>46171.0</v>
      </c>
      <c r="G642" s="29"/>
    </row>
    <row r="643" ht="15.75" customHeight="1">
      <c r="A643" s="30" t="s">
        <v>4307</v>
      </c>
      <c r="B643" s="31" t="s">
        <v>209</v>
      </c>
      <c r="C643" s="31" t="s">
        <v>968</v>
      </c>
      <c r="D643" s="30" t="s">
        <v>3663</v>
      </c>
      <c r="E643" s="32">
        <v>46113.0</v>
      </c>
      <c r="F643" s="32">
        <v>46171.0</v>
      </c>
      <c r="G643" s="33"/>
    </row>
    <row r="644" ht="15.75" customHeight="1">
      <c r="A644" s="26" t="s">
        <v>4308</v>
      </c>
      <c r="B644" s="27" t="s">
        <v>209</v>
      </c>
      <c r="C644" s="27" t="s">
        <v>923</v>
      </c>
      <c r="D644" s="26" t="s">
        <v>3663</v>
      </c>
      <c r="E644" s="28">
        <v>46113.0</v>
      </c>
      <c r="F644" s="28">
        <v>46171.0</v>
      </c>
      <c r="G644" s="29"/>
    </row>
    <row r="645" ht="15.75" customHeight="1">
      <c r="A645" s="30" t="s">
        <v>4309</v>
      </c>
      <c r="B645" s="31" t="s">
        <v>210</v>
      </c>
      <c r="C645" s="31" t="s">
        <v>3654</v>
      </c>
      <c r="D645" s="30" t="s">
        <v>3663</v>
      </c>
      <c r="E645" s="32">
        <v>46113.0</v>
      </c>
      <c r="F645" s="32">
        <v>46171.0</v>
      </c>
      <c r="G645" s="33"/>
    </row>
    <row r="646" ht="15.75" customHeight="1">
      <c r="A646" s="26" t="s">
        <v>4310</v>
      </c>
      <c r="B646" s="27" t="s">
        <v>210</v>
      </c>
      <c r="C646" s="27" t="s">
        <v>3655</v>
      </c>
      <c r="D646" s="26" t="s">
        <v>3663</v>
      </c>
      <c r="E646" s="28">
        <v>46113.0</v>
      </c>
      <c r="F646" s="28">
        <v>46171.0</v>
      </c>
      <c r="G646" s="29"/>
    </row>
    <row r="647" ht="15.75" customHeight="1">
      <c r="A647" s="30" t="s">
        <v>4311</v>
      </c>
      <c r="B647" s="31" t="s">
        <v>210</v>
      </c>
      <c r="C647" s="31" t="s">
        <v>932</v>
      </c>
      <c r="D647" s="30" t="s">
        <v>3663</v>
      </c>
      <c r="E647" s="32">
        <v>46113.0</v>
      </c>
      <c r="F647" s="32">
        <v>46171.0</v>
      </c>
      <c r="G647" s="33"/>
    </row>
    <row r="648" ht="15.75" customHeight="1">
      <c r="A648" s="26" t="s">
        <v>4312</v>
      </c>
      <c r="B648" s="27" t="s">
        <v>210</v>
      </c>
      <c r="C648" s="27" t="s">
        <v>1168</v>
      </c>
      <c r="D648" s="26" t="s">
        <v>3663</v>
      </c>
      <c r="E648" s="28">
        <v>46113.0</v>
      </c>
      <c r="F648" s="28">
        <v>46171.0</v>
      </c>
      <c r="G648" s="29"/>
    </row>
    <row r="649" ht="15.75" customHeight="1">
      <c r="A649" s="30" t="s">
        <v>4313</v>
      </c>
      <c r="B649" s="31" t="s">
        <v>210</v>
      </c>
      <c r="C649" s="31" t="s">
        <v>1170</v>
      </c>
      <c r="D649" s="30" t="s">
        <v>3663</v>
      </c>
      <c r="E649" s="32">
        <v>46113.0</v>
      </c>
      <c r="F649" s="32">
        <v>46171.0</v>
      </c>
      <c r="G649" s="33"/>
    </row>
    <row r="650" ht="15.75" customHeight="1">
      <c r="A650" s="26" t="s">
        <v>4314</v>
      </c>
      <c r="B650" s="27" t="s">
        <v>210</v>
      </c>
      <c r="C650" s="27" t="s">
        <v>1288</v>
      </c>
      <c r="D650" s="26" t="s">
        <v>3663</v>
      </c>
      <c r="E650" s="28">
        <v>46113.0</v>
      </c>
      <c r="F650" s="28">
        <v>46171.0</v>
      </c>
      <c r="G650" s="29"/>
    </row>
    <row r="651" ht="15.75" customHeight="1">
      <c r="A651" s="30" t="s">
        <v>4315</v>
      </c>
      <c r="B651" s="31" t="s">
        <v>210</v>
      </c>
      <c r="C651" s="31" t="s">
        <v>1291</v>
      </c>
      <c r="D651" s="30" t="s">
        <v>3663</v>
      </c>
      <c r="E651" s="32">
        <v>46113.0</v>
      </c>
      <c r="F651" s="32">
        <v>46171.0</v>
      </c>
      <c r="G651" s="33"/>
    </row>
    <row r="652" ht="15.75" customHeight="1">
      <c r="A652" s="26" t="s">
        <v>4316</v>
      </c>
      <c r="B652" s="27" t="s">
        <v>210</v>
      </c>
      <c r="C652" s="27" t="s">
        <v>1354</v>
      </c>
      <c r="D652" s="26" t="s">
        <v>3663</v>
      </c>
      <c r="E652" s="28">
        <v>46113.0</v>
      </c>
      <c r="F652" s="28">
        <v>46171.0</v>
      </c>
      <c r="G652" s="29"/>
    </row>
    <row r="653" ht="15.75" customHeight="1">
      <c r="A653" s="30" t="s">
        <v>4317</v>
      </c>
      <c r="B653" s="31" t="s">
        <v>210</v>
      </c>
      <c r="C653" s="31" t="s">
        <v>3647</v>
      </c>
      <c r="D653" s="30" t="s">
        <v>3663</v>
      </c>
      <c r="E653" s="32">
        <v>46113.0</v>
      </c>
      <c r="F653" s="32">
        <v>46171.0</v>
      </c>
      <c r="G653" s="33"/>
    </row>
    <row r="654" ht="15.75" customHeight="1">
      <c r="A654" s="26" t="s">
        <v>4318</v>
      </c>
      <c r="B654" s="27" t="s">
        <v>210</v>
      </c>
      <c r="C654" s="27" t="s">
        <v>952</v>
      </c>
      <c r="D654" s="26" t="s">
        <v>3663</v>
      </c>
      <c r="E654" s="28">
        <v>46113.0</v>
      </c>
      <c r="F654" s="28">
        <v>46171.0</v>
      </c>
      <c r="G654" s="29"/>
    </row>
    <row r="655" ht="15.75" customHeight="1">
      <c r="A655" s="30" t="s">
        <v>4319</v>
      </c>
      <c r="B655" s="31" t="s">
        <v>210</v>
      </c>
      <c r="C655" s="31" t="s">
        <v>1216</v>
      </c>
      <c r="D655" s="30" t="s">
        <v>3663</v>
      </c>
      <c r="E655" s="32">
        <v>46113.0</v>
      </c>
      <c r="F655" s="32">
        <v>46171.0</v>
      </c>
      <c r="G655" s="33"/>
    </row>
    <row r="656" ht="15.75" customHeight="1">
      <c r="A656" s="26" t="s">
        <v>4320</v>
      </c>
      <c r="B656" s="27" t="s">
        <v>210</v>
      </c>
      <c r="C656" s="27" t="s">
        <v>965</v>
      </c>
      <c r="D656" s="26" t="s">
        <v>3663</v>
      </c>
      <c r="E656" s="28">
        <v>46113.0</v>
      </c>
      <c r="F656" s="28">
        <v>46171.0</v>
      </c>
      <c r="G656" s="29"/>
    </row>
    <row r="657" ht="15.75" customHeight="1">
      <c r="A657" s="30" t="s">
        <v>4321</v>
      </c>
      <c r="B657" s="31" t="s">
        <v>210</v>
      </c>
      <c r="C657" s="31" t="s">
        <v>923</v>
      </c>
      <c r="D657" s="30" t="s">
        <v>3663</v>
      </c>
      <c r="E657" s="32">
        <v>46113.0</v>
      </c>
      <c r="F657" s="32">
        <v>46171.0</v>
      </c>
      <c r="G657" s="33"/>
    </row>
    <row r="658" ht="15.75" customHeight="1">
      <c r="A658" s="26" t="s">
        <v>4322</v>
      </c>
      <c r="B658" s="27" t="s">
        <v>210</v>
      </c>
      <c r="C658" s="27" t="s">
        <v>958</v>
      </c>
      <c r="D658" s="26" t="s">
        <v>3663</v>
      </c>
      <c r="E658" s="28">
        <v>46113.0</v>
      </c>
      <c r="F658" s="28">
        <v>46171.0</v>
      </c>
      <c r="G658" s="29"/>
    </row>
    <row r="659" ht="15.75" customHeight="1">
      <c r="A659" s="30" t="s">
        <v>4323</v>
      </c>
      <c r="B659" s="31" t="s">
        <v>213</v>
      </c>
      <c r="C659" s="31" t="s">
        <v>3654</v>
      </c>
      <c r="D659" s="30" t="s">
        <v>3663</v>
      </c>
      <c r="E659" s="32">
        <v>46113.0</v>
      </c>
      <c r="F659" s="32">
        <v>46171.0</v>
      </c>
      <c r="G659" s="33"/>
    </row>
    <row r="660" ht="15.75" customHeight="1">
      <c r="A660" s="26" t="s">
        <v>4324</v>
      </c>
      <c r="B660" s="27" t="s">
        <v>213</v>
      </c>
      <c r="C660" s="27" t="s">
        <v>3655</v>
      </c>
      <c r="D660" s="26" t="s">
        <v>3663</v>
      </c>
      <c r="E660" s="28">
        <v>46113.0</v>
      </c>
      <c r="F660" s="28">
        <v>46171.0</v>
      </c>
      <c r="G660" s="29"/>
    </row>
    <row r="661" ht="15.75" customHeight="1">
      <c r="A661" s="30" t="s">
        <v>4325</v>
      </c>
      <c r="B661" s="31" t="s">
        <v>213</v>
      </c>
      <c r="C661" s="31" t="s">
        <v>928</v>
      </c>
      <c r="D661" s="30" t="s">
        <v>3663</v>
      </c>
      <c r="E661" s="32">
        <v>46113.0</v>
      </c>
      <c r="F661" s="32">
        <v>46171.0</v>
      </c>
      <c r="G661" s="33"/>
    </row>
    <row r="662" ht="15.75" customHeight="1">
      <c r="A662" s="26" t="s">
        <v>4326</v>
      </c>
      <c r="B662" s="27" t="s">
        <v>213</v>
      </c>
      <c r="C662" s="27" t="s">
        <v>1354</v>
      </c>
      <c r="D662" s="26" t="s">
        <v>3663</v>
      </c>
      <c r="E662" s="28">
        <v>46113.0</v>
      </c>
      <c r="F662" s="28">
        <v>46171.0</v>
      </c>
      <c r="G662" s="29"/>
    </row>
    <row r="663" ht="15.75" customHeight="1">
      <c r="A663" s="30" t="s">
        <v>4327</v>
      </c>
      <c r="B663" s="31" t="s">
        <v>213</v>
      </c>
      <c r="C663" s="31" t="s">
        <v>1222</v>
      </c>
      <c r="D663" s="30" t="s">
        <v>3663</v>
      </c>
      <c r="E663" s="32">
        <v>46113.0</v>
      </c>
      <c r="F663" s="32">
        <v>46171.0</v>
      </c>
      <c r="G663" s="33"/>
    </row>
    <row r="664" ht="15.75" customHeight="1">
      <c r="A664" s="26" t="s">
        <v>4328</v>
      </c>
      <c r="B664" s="27" t="s">
        <v>213</v>
      </c>
      <c r="C664" s="27" t="s">
        <v>1224</v>
      </c>
      <c r="D664" s="26" t="s">
        <v>3663</v>
      </c>
      <c r="E664" s="28">
        <v>46113.0</v>
      </c>
      <c r="F664" s="28">
        <v>46171.0</v>
      </c>
      <c r="G664" s="29"/>
    </row>
    <row r="665" ht="15.75" customHeight="1">
      <c r="A665" s="30" t="s">
        <v>4329</v>
      </c>
      <c r="B665" s="31" t="s">
        <v>213</v>
      </c>
      <c r="C665" s="31" t="s">
        <v>1226</v>
      </c>
      <c r="D665" s="30" t="s">
        <v>3663</v>
      </c>
      <c r="E665" s="32">
        <v>46113.0</v>
      </c>
      <c r="F665" s="32">
        <v>46171.0</v>
      </c>
      <c r="G665" s="33"/>
    </row>
    <row r="666" ht="15.75" customHeight="1">
      <c r="A666" s="26" t="s">
        <v>4330</v>
      </c>
      <c r="B666" s="27" t="s">
        <v>213</v>
      </c>
      <c r="C666" s="27" t="s">
        <v>1228</v>
      </c>
      <c r="D666" s="26" t="s">
        <v>3663</v>
      </c>
      <c r="E666" s="28">
        <v>46113.0</v>
      </c>
      <c r="F666" s="28">
        <v>46171.0</v>
      </c>
      <c r="G666" s="29"/>
    </row>
    <row r="667" ht="15.75" customHeight="1">
      <c r="A667" s="30" t="s">
        <v>4331</v>
      </c>
      <c r="B667" s="31" t="s">
        <v>213</v>
      </c>
      <c r="C667" s="31" t="s">
        <v>1218</v>
      </c>
      <c r="D667" s="30" t="s">
        <v>3663</v>
      </c>
      <c r="E667" s="32">
        <v>46113.0</v>
      </c>
      <c r="F667" s="32">
        <v>46171.0</v>
      </c>
      <c r="G667" s="33"/>
    </row>
    <row r="668" ht="15.75" customHeight="1">
      <c r="A668" s="26" t="s">
        <v>4332</v>
      </c>
      <c r="B668" s="27" t="s">
        <v>213</v>
      </c>
      <c r="C668" s="27" t="s">
        <v>1351</v>
      </c>
      <c r="D668" s="26" t="s">
        <v>3663</v>
      </c>
      <c r="E668" s="28">
        <v>46113.0</v>
      </c>
      <c r="F668" s="28">
        <v>46171.0</v>
      </c>
      <c r="G668" s="29"/>
    </row>
    <row r="669" ht="15.75" customHeight="1">
      <c r="A669" s="30" t="s">
        <v>4333</v>
      </c>
      <c r="B669" s="31" t="s">
        <v>213</v>
      </c>
      <c r="C669" s="31" t="s">
        <v>1349</v>
      </c>
      <c r="D669" s="30" t="s">
        <v>3663</v>
      </c>
      <c r="E669" s="32">
        <v>46113.0</v>
      </c>
      <c r="F669" s="32">
        <v>46171.0</v>
      </c>
      <c r="G669" s="33"/>
    </row>
    <row r="670" ht="15.75" customHeight="1">
      <c r="A670" s="26" t="s">
        <v>4334</v>
      </c>
      <c r="B670" s="27" t="s">
        <v>213</v>
      </c>
      <c r="C670" s="27" t="s">
        <v>965</v>
      </c>
      <c r="D670" s="26" t="s">
        <v>3663</v>
      </c>
      <c r="E670" s="28">
        <v>46113.0</v>
      </c>
      <c r="F670" s="28">
        <v>46171.0</v>
      </c>
      <c r="G670" s="29"/>
    </row>
    <row r="671" ht="15.75" customHeight="1">
      <c r="A671" s="30" t="s">
        <v>4335</v>
      </c>
      <c r="B671" s="31" t="s">
        <v>213</v>
      </c>
      <c r="C671" s="31" t="s">
        <v>923</v>
      </c>
      <c r="D671" s="30" t="s">
        <v>3663</v>
      </c>
      <c r="E671" s="32">
        <v>46113.0</v>
      </c>
      <c r="F671" s="32">
        <v>46171.0</v>
      </c>
      <c r="G671" s="33"/>
    </row>
    <row r="672" ht="15.75" customHeight="1">
      <c r="A672" s="26" t="s">
        <v>4336</v>
      </c>
      <c r="B672" s="27" t="s">
        <v>213</v>
      </c>
      <c r="C672" s="27" t="s">
        <v>955</v>
      </c>
      <c r="D672" s="26" t="s">
        <v>3663</v>
      </c>
      <c r="E672" s="28">
        <v>46113.0</v>
      </c>
      <c r="F672" s="28">
        <v>46171.0</v>
      </c>
      <c r="G672" s="29"/>
    </row>
    <row r="673" ht="15.75" customHeight="1">
      <c r="A673" s="30" t="s">
        <v>4337</v>
      </c>
      <c r="B673" s="31" t="s">
        <v>214</v>
      </c>
      <c r="C673" s="31" t="s">
        <v>3654</v>
      </c>
      <c r="D673" s="30" t="s">
        <v>3663</v>
      </c>
      <c r="E673" s="32">
        <v>46113.0</v>
      </c>
      <c r="F673" s="32">
        <v>46171.0</v>
      </c>
      <c r="G673" s="33"/>
    </row>
    <row r="674" ht="15.75" customHeight="1">
      <c r="A674" s="26" t="s">
        <v>4338</v>
      </c>
      <c r="B674" s="27" t="s">
        <v>214</v>
      </c>
      <c r="C674" s="27" t="s">
        <v>3655</v>
      </c>
      <c r="D674" s="26" t="s">
        <v>3663</v>
      </c>
      <c r="E674" s="28">
        <v>46113.0</v>
      </c>
      <c r="F674" s="28">
        <v>46171.0</v>
      </c>
      <c r="G674" s="29"/>
    </row>
    <row r="675" ht="15.75" customHeight="1">
      <c r="A675" s="30" t="s">
        <v>4339</v>
      </c>
      <c r="B675" s="31" t="s">
        <v>214</v>
      </c>
      <c r="C675" s="31" t="s">
        <v>930</v>
      </c>
      <c r="D675" s="30" t="s">
        <v>3663</v>
      </c>
      <c r="E675" s="32">
        <v>46113.0</v>
      </c>
      <c r="F675" s="32">
        <v>46171.0</v>
      </c>
      <c r="G675" s="33"/>
    </row>
    <row r="676" ht="15.75" customHeight="1">
      <c r="A676" s="26" t="s">
        <v>4340</v>
      </c>
      <c r="B676" s="27" t="s">
        <v>214</v>
      </c>
      <c r="C676" s="27" t="s">
        <v>1354</v>
      </c>
      <c r="D676" s="26" t="s">
        <v>3663</v>
      </c>
      <c r="E676" s="28">
        <v>46113.0</v>
      </c>
      <c r="F676" s="28">
        <v>46171.0</v>
      </c>
      <c r="G676" s="29"/>
    </row>
    <row r="677" ht="15.75" customHeight="1">
      <c r="A677" s="30" t="s">
        <v>4341</v>
      </c>
      <c r="B677" s="31" t="s">
        <v>214</v>
      </c>
      <c r="C677" s="31" t="s">
        <v>3641</v>
      </c>
      <c r="D677" s="30" t="s">
        <v>3663</v>
      </c>
      <c r="E677" s="32">
        <v>46113.0</v>
      </c>
      <c r="F677" s="32">
        <v>46171.0</v>
      </c>
      <c r="G677" s="33"/>
    </row>
    <row r="678" ht="15.75" customHeight="1">
      <c r="A678" s="26" t="s">
        <v>4342</v>
      </c>
      <c r="B678" s="27" t="s">
        <v>214</v>
      </c>
      <c r="C678" s="27" t="s">
        <v>1304</v>
      </c>
      <c r="D678" s="26" t="s">
        <v>3663</v>
      </c>
      <c r="E678" s="28">
        <v>46113.0</v>
      </c>
      <c r="F678" s="28">
        <v>46171.0</v>
      </c>
      <c r="G678" s="29"/>
    </row>
    <row r="679" ht="15.75" customHeight="1">
      <c r="A679" s="30" t="s">
        <v>4343</v>
      </c>
      <c r="B679" s="31" t="s">
        <v>214</v>
      </c>
      <c r="C679" s="31" t="s">
        <v>3642</v>
      </c>
      <c r="D679" s="30" t="s">
        <v>3663</v>
      </c>
      <c r="E679" s="32">
        <v>46113.0</v>
      </c>
      <c r="F679" s="32">
        <v>46171.0</v>
      </c>
      <c r="G679" s="33"/>
    </row>
    <row r="680" ht="15.75" customHeight="1">
      <c r="A680" s="26" t="s">
        <v>4344</v>
      </c>
      <c r="B680" s="27" t="s">
        <v>214</v>
      </c>
      <c r="C680" s="27" t="s">
        <v>1308</v>
      </c>
      <c r="D680" s="26" t="s">
        <v>3663</v>
      </c>
      <c r="E680" s="28">
        <v>46113.0</v>
      </c>
      <c r="F680" s="28">
        <v>46171.0</v>
      </c>
      <c r="G680" s="29"/>
    </row>
    <row r="681" ht="15.75" customHeight="1">
      <c r="A681" s="30" t="s">
        <v>4345</v>
      </c>
      <c r="B681" s="31" t="s">
        <v>214</v>
      </c>
      <c r="C681" s="31" t="s">
        <v>3605</v>
      </c>
      <c r="D681" s="30" t="s">
        <v>3663</v>
      </c>
      <c r="E681" s="32">
        <v>46113.0</v>
      </c>
      <c r="F681" s="32">
        <v>46171.0</v>
      </c>
      <c r="G681" s="33"/>
    </row>
    <row r="682" ht="15.75" customHeight="1">
      <c r="A682" s="26" t="s">
        <v>4346</v>
      </c>
      <c r="B682" s="27" t="s">
        <v>214</v>
      </c>
      <c r="C682" s="27" t="s">
        <v>3647</v>
      </c>
      <c r="D682" s="26" t="s">
        <v>3663</v>
      </c>
      <c r="E682" s="28">
        <v>46113.0</v>
      </c>
      <c r="F682" s="28">
        <v>46171.0</v>
      </c>
      <c r="G682" s="29"/>
    </row>
    <row r="683" ht="15.75" customHeight="1">
      <c r="A683" s="30" t="s">
        <v>4347</v>
      </c>
      <c r="B683" s="31" t="s">
        <v>214</v>
      </c>
      <c r="C683" s="31" t="s">
        <v>952</v>
      </c>
      <c r="D683" s="30" t="s">
        <v>3663</v>
      </c>
      <c r="E683" s="32">
        <v>46113.0</v>
      </c>
      <c r="F683" s="32">
        <v>46171.0</v>
      </c>
      <c r="G683" s="33"/>
    </row>
    <row r="684" ht="15.75" customHeight="1">
      <c r="A684" s="26" t="s">
        <v>4348</v>
      </c>
      <c r="B684" s="27" t="s">
        <v>214</v>
      </c>
      <c r="C684" s="27" t="s">
        <v>965</v>
      </c>
      <c r="D684" s="26" t="s">
        <v>3663</v>
      </c>
      <c r="E684" s="28">
        <v>46113.0</v>
      </c>
      <c r="F684" s="28">
        <v>46171.0</v>
      </c>
      <c r="G684" s="29"/>
    </row>
    <row r="685" ht="15.75" customHeight="1">
      <c r="A685" s="30" t="s">
        <v>4349</v>
      </c>
      <c r="B685" s="31" t="s">
        <v>214</v>
      </c>
      <c r="C685" s="31" t="s">
        <v>923</v>
      </c>
      <c r="D685" s="30" t="s">
        <v>3663</v>
      </c>
      <c r="E685" s="32">
        <v>46113.0</v>
      </c>
      <c r="F685" s="32">
        <v>46171.0</v>
      </c>
      <c r="G685" s="33"/>
    </row>
    <row r="686" ht="15.75" customHeight="1">
      <c r="A686" s="26" t="s">
        <v>4350</v>
      </c>
      <c r="B686" s="27" t="s">
        <v>214</v>
      </c>
      <c r="C686" s="27" t="s">
        <v>961</v>
      </c>
      <c r="D686" s="26" t="s">
        <v>3663</v>
      </c>
      <c r="E686" s="28">
        <v>46113.0</v>
      </c>
      <c r="F686" s="28">
        <v>46171.0</v>
      </c>
      <c r="G686" s="29"/>
    </row>
    <row r="687" ht="15.75" customHeight="1">
      <c r="A687" s="30" t="s">
        <v>4351</v>
      </c>
      <c r="B687" s="31" t="s">
        <v>216</v>
      </c>
      <c r="C687" s="31" t="s">
        <v>1240</v>
      </c>
      <c r="D687" s="30" t="s">
        <v>3663</v>
      </c>
      <c r="E687" s="32">
        <v>46113.0</v>
      </c>
      <c r="F687" s="32">
        <v>46171.0</v>
      </c>
      <c r="G687" s="33"/>
    </row>
    <row r="688" ht="15.75" customHeight="1">
      <c r="A688" s="26" t="s">
        <v>4352</v>
      </c>
      <c r="B688" s="27" t="s">
        <v>216</v>
      </c>
      <c r="C688" s="27" t="s">
        <v>1242</v>
      </c>
      <c r="D688" s="26" t="s">
        <v>3663</v>
      </c>
      <c r="E688" s="28">
        <v>46113.0</v>
      </c>
      <c r="F688" s="28">
        <v>46171.0</v>
      </c>
      <c r="G688" s="29"/>
    </row>
    <row r="689" ht="15.75" customHeight="1">
      <c r="A689" s="30" t="s">
        <v>4353</v>
      </c>
      <c r="B689" s="31" t="s">
        <v>216</v>
      </c>
      <c r="C689" s="31" t="s">
        <v>1244</v>
      </c>
      <c r="D689" s="30" t="s">
        <v>3663</v>
      </c>
      <c r="E689" s="32">
        <v>46113.0</v>
      </c>
      <c r="F689" s="32">
        <v>46171.0</v>
      </c>
      <c r="G689" s="33"/>
    </row>
    <row r="690" ht="15.75" customHeight="1">
      <c r="A690" s="26" t="s">
        <v>4354</v>
      </c>
      <c r="B690" s="27" t="s">
        <v>216</v>
      </c>
      <c r="C690" s="27" t="s">
        <v>1246</v>
      </c>
      <c r="D690" s="26" t="s">
        <v>3663</v>
      </c>
      <c r="E690" s="28">
        <v>46113.0</v>
      </c>
      <c r="F690" s="28">
        <v>46171.0</v>
      </c>
      <c r="G690" s="29"/>
    </row>
    <row r="691" ht="15.75" customHeight="1">
      <c r="A691" s="30" t="s">
        <v>4355</v>
      </c>
      <c r="B691" s="31" t="s">
        <v>216</v>
      </c>
      <c r="C691" s="31" t="s">
        <v>3654</v>
      </c>
      <c r="D691" s="30" t="s">
        <v>3663</v>
      </c>
      <c r="E691" s="32">
        <v>46113.0</v>
      </c>
      <c r="F691" s="32">
        <v>46171.0</v>
      </c>
      <c r="G691" s="33"/>
    </row>
    <row r="692" ht="15.75" customHeight="1">
      <c r="A692" s="26" t="s">
        <v>4356</v>
      </c>
      <c r="B692" s="27" t="s">
        <v>216</v>
      </c>
      <c r="C692" s="27" t="s">
        <v>3655</v>
      </c>
      <c r="D692" s="26" t="s">
        <v>3663</v>
      </c>
      <c r="E692" s="28">
        <v>46113.0</v>
      </c>
      <c r="F692" s="28">
        <v>46171.0</v>
      </c>
      <c r="G692" s="29"/>
    </row>
    <row r="693" ht="15.75" customHeight="1">
      <c r="A693" s="30" t="s">
        <v>4357</v>
      </c>
      <c r="B693" s="31" t="s">
        <v>216</v>
      </c>
      <c r="C693" s="31" t="s">
        <v>934</v>
      </c>
      <c r="D693" s="30" t="s">
        <v>3663</v>
      </c>
      <c r="E693" s="32">
        <v>46113.0</v>
      </c>
      <c r="F693" s="32">
        <v>46171.0</v>
      </c>
      <c r="G693" s="33"/>
    </row>
    <row r="694" ht="15.75" customHeight="1">
      <c r="A694" s="26" t="s">
        <v>4358</v>
      </c>
      <c r="B694" s="27" t="s">
        <v>216</v>
      </c>
      <c r="C694" s="27" t="s">
        <v>1354</v>
      </c>
      <c r="D694" s="26" t="s">
        <v>3663</v>
      </c>
      <c r="E694" s="28">
        <v>46113.0</v>
      </c>
      <c r="F694" s="28">
        <v>46171.0</v>
      </c>
      <c r="G694" s="29"/>
    </row>
    <row r="695" ht="15.75" customHeight="1">
      <c r="A695" s="30" t="s">
        <v>4359</v>
      </c>
      <c r="B695" s="31" t="s">
        <v>216</v>
      </c>
      <c r="C695" s="31" t="s">
        <v>1172</v>
      </c>
      <c r="D695" s="30" t="s">
        <v>3663</v>
      </c>
      <c r="E695" s="32">
        <v>46113.0</v>
      </c>
      <c r="F695" s="32">
        <v>46171.0</v>
      </c>
      <c r="G695" s="33"/>
    </row>
    <row r="696" ht="15.75" customHeight="1">
      <c r="A696" s="26" t="s">
        <v>4360</v>
      </c>
      <c r="B696" s="27" t="s">
        <v>216</v>
      </c>
      <c r="C696" s="27" t="s">
        <v>1312</v>
      </c>
      <c r="D696" s="26" t="s">
        <v>3663</v>
      </c>
      <c r="E696" s="28">
        <v>46113.0</v>
      </c>
      <c r="F696" s="28">
        <v>46171.0</v>
      </c>
      <c r="G696" s="29"/>
    </row>
    <row r="697" ht="15.75" customHeight="1">
      <c r="A697" s="30" t="s">
        <v>4361</v>
      </c>
      <c r="B697" s="31" t="s">
        <v>216</v>
      </c>
      <c r="C697" s="31" t="s">
        <v>1351</v>
      </c>
      <c r="D697" s="30" t="s">
        <v>3663</v>
      </c>
      <c r="E697" s="32">
        <v>46113.0</v>
      </c>
      <c r="F697" s="32">
        <v>46171.0</v>
      </c>
      <c r="G697" s="33"/>
    </row>
    <row r="698" ht="15.75" customHeight="1">
      <c r="A698" s="26" t="s">
        <v>4362</v>
      </c>
      <c r="B698" s="27" t="s">
        <v>216</v>
      </c>
      <c r="C698" s="27" t="s">
        <v>1349</v>
      </c>
      <c r="D698" s="26" t="s">
        <v>3663</v>
      </c>
      <c r="E698" s="28">
        <v>46113.0</v>
      </c>
      <c r="F698" s="28">
        <v>46171.0</v>
      </c>
      <c r="G698" s="29"/>
    </row>
    <row r="699" ht="15.75" customHeight="1">
      <c r="A699" s="30" t="s">
        <v>4363</v>
      </c>
      <c r="B699" s="31" t="s">
        <v>216</v>
      </c>
      <c r="C699" s="31" t="s">
        <v>968</v>
      </c>
      <c r="D699" s="30" t="s">
        <v>3663</v>
      </c>
      <c r="E699" s="32">
        <v>46113.0</v>
      </c>
      <c r="F699" s="32">
        <v>46171.0</v>
      </c>
      <c r="G699" s="33"/>
    </row>
    <row r="700" ht="15.75" customHeight="1">
      <c r="A700" s="26" t="s">
        <v>4364</v>
      </c>
      <c r="B700" s="27" t="s">
        <v>216</v>
      </c>
      <c r="C700" s="27" t="s">
        <v>923</v>
      </c>
      <c r="D700" s="26" t="s">
        <v>3663</v>
      </c>
      <c r="E700" s="28">
        <v>46113.0</v>
      </c>
      <c r="F700" s="28">
        <v>46171.0</v>
      </c>
      <c r="G700" s="29"/>
    </row>
    <row r="701" ht="15.75" customHeight="1">
      <c r="A701" s="30" t="s">
        <v>4365</v>
      </c>
      <c r="B701" s="31" t="s">
        <v>217</v>
      </c>
      <c r="C701" s="31" t="s">
        <v>1240</v>
      </c>
      <c r="D701" s="30" t="s">
        <v>3663</v>
      </c>
      <c r="E701" s="32">
        <v>46113.0</v>
      </c>
      <c r="F701" s="32">
        <v>46171.0</v>
      </c>
      <c r="G701" s="33"/>
    </row>
    <row r="702" ht="15.75" customHeight="1">
      <c r="A702" s="26" t="s">
        <v>4366</v>
      </c>
      <c r="B702" s="27" t="s">
        <v>217</v>
      </c>
      <c r="C702" s="27" t="s">
        <v>1242</v>
      </c>
      <c r="D702" s="27" t="s">
        <v>3663</v>
      </c>
      <c r="E702" s="28">
        <v>46113.0</v>
      </c>
      <c r="F702" s="28">
        <v>46171.0</v>
      </c>
      <c r="G702" s="29"/>
    </row>
    <row r="703" ht="15.75" customHeight="1">
      <c r="A703" s="30" t="s">
        <v>4367</v>
      </c>
      <c r="B703" s="31" t="s">
        <v>217</v>
      </c>
      <c r="C703" s="31" t="s">
        <v>1244</v>
      </c>
      <c r="D703" s="31" t="s">
        <v>3663</v>
      </c>
      <c r="E703" s="32">
        <v>46113.0</v>
      </c>
      <c r="F703" s="32">
        <v>46171.0</v>
      </c>
      <c r="G703" s="33"/>
    </row>
    <row r="704" ht="15.75" customHeight="1">
      <c r="A704" s="26" t="s">
        <v>4368</v>
      </c>
      <c r="B704" s="27" t="s">
        <v>217</v>
      </c>
      <c r="C704" s="27" t="s">
        <v>1246</v>
      </c>
      <c r="D704" s="27" t="s">
        <v>3663</v>
      </c>
      <c r="E704" s="28">
        <v>46113.0</v>
      </c>
      <c r="F704" s="28">
        <v>46171.0</v>
      </c>
      <c r="G704" s="29"/>
    </row>
    <row r="705" ht="15.75" customHeight="1">
      <c r="A705" s="30" t="s">
        <v>4369</v>
      </c>
      <c r="B705" s="31" t="s">
        <v>217</v>
      </c>
      <c r="C705" s="31" t="s">
        <v>934</v>
      </c>
      <c r="D705" s="31" t="s">
        <v>3663</v>
      </c>
      <c r="E705" s="32">
        <v>46113.0</v>
      </c>
      <c r="F705" s="32">
        <v>46171.0</v>
      </c>
      <c r="G705" s="33"/>
    </row>
    <row r="706" ht="15.75" customHeight="1">
      <c r="A706" s="26" t="s">
        <v>4370</v>
      </c>
      <c r="B706" s="27" t="s">
        <v>217</v>
      </c>
      <c r="C706" s="27" t="s">
        <v>1354</v>
      </c>
      <c r="D706" s="26" t="s">
        <v>3663</v>
      </c>
      <c r="E706" s="28">
        <v>46113.0</v>
      </c>
      <c r="F706" s="28">
        <v>46171.0</v>
      </c>
      <c r="G706" s="29"/>
    </row>
    <row r="707" ht="15.75" customHeight="1">
      <c r="A707" s="30" t="s">
        <v>4371</v>
      </c>
      <c r="B707" s="31" t="s">
        <v>217</v>
      </c>
      <c r="C707" s="31" t="s">
        <v>1190</v>
      </c>
      <c r="D707" s="30" t="s">
        <v>3663</v>
      </c>
      <c r="E707" s="32">
        <v>46113.0</v>
      </c>
      <c r="F707" s="32">
        <v>46171.0</v>
      </c>
      <c r="G707" s="33"/>
    </row>
    <row r="708" ht="15.75" customHeight="1">
      <c r="A708" s="26" t="s">
        <v>4372</v>
      </c>
      <c r="B708" s="27" t="s">
        <v>217</v>
      </c>
      <c r="C708" s="27" t="s">
        <v>3656</v>
      </c>
      <c r="D708" s="26" t="s">
        <v>3663</v>
      </c>
      <c r="E708" s="28">
        <v>46113.0</v>
      </c>
      <c r="F708" s="28">
        <v>46171.0</v>
      </c>
      <c r="G708" s="29"/>
    </row>
    <row r="709" ht="15.75" customHeight="1">
      <c r="A709" s="30" t="s">
        <v>4373</v>
      </c>
      <c r="B709" s="31" t="s">
        <v>217</v>
      </c>
      <c r="C709" s="31" t="s">
        <v>3657</v>
      </c>
      <c r="D709" s="30" t="s">
        <v>3663</v>
      </c>
      <c r="E709" s="32">
        <v>46113.0</v>
      </c>
      <c r="F709" s="32">
        <v>46171.0</v>
      </c>
      <c r="G709" s="33"/>
    </row>
    <row r="710" ht="15.75" customHeight="1">
      <c r="A710" s="26" t="s">
        <v>4374</v>
      </c>
      <c r="B710" s="27" t="s">
        <v>217</v>
      </c>
      <c r="C710" s="27" t="s">
        <v>3647</v>
      </c>
      <c r="D710" s="26" t="s">
        <v>3663</v>
      </c>
      <c r="E710" s="28">
        <v>46113.0</v>
      </c>
      <c r="F710" s="28">
        <v>46171.0</v>
      </c>
      <c r="G710" s="29"/>
    </row>
    <row r="711" ht="15.75" customHeight="1">
      <c r="A711" s="30" t="s">
        <v>4375</v>
      </c>
      <c r="B711" s="31" t="s">
        <v>217</v>
      </c>
      <c r="C711" s="31" t="s">
        <v>952</v>
      </c>
      <c r="D711" s="30" t="s">
        <v>3663</v>
      </c>
      <c r="E711" s="32">
        <v>46113.0</v>
      </c>
      <c r="F711" s="32">
        <v>46171.0</v>
      </c>
      <c r="G711" s="33"/>
    </row>
    <row r="712" ht="15.75" customHeight="1">
      <c r="A712" s="26" t="s">
        <v>4376</v>
      </c>
      <c r="B712" s="27" t="s">
        <v>217</v>
      </c>
      <c r="C712" s="27" t="s">
        <v>1216</v>
      </c>
      <c r="D712" s="26" t="s">
        <v>3663</v>
      </c>
      <c r="E712" s="28">
        <v>46113.0</v>
      </c>
      <c r="F712" s="28">
        <v>46171.0</v>
      </c>
      <c r="G712" s="29"/>
    </row>
    <row r="713" ht="15.75" customHeight="1">
      <c r="A713" s="30" t="s">
        <v>4377</v>
      </c>
      <c r="B713" s="31" t="s">
        <v>217</v>
      </c>
      <c r="C713" s="31" t="s">
        <v>965</v>
      </c>
      <c r="D713" s="30" t="s">
        <v>3663</v>
      </c>
      <c r="E713" s="32">
        <v>46113.0</v>
      </c>
      <c r="F713" s="32">
        <v>46171.0</v>
      </c>
      <c r="G713" s="33"/>
    </row>
    <row r="714" ht="15.75" customHeight="1">
      <c r="A714" s="26" t="s">
        <v>4378</v>
      </c>
      <c r="B714" s="27" t="s">
        <v>217</v>
      </c>
      <c r="C714" s="27" t="s">
        <v>923</v>
      </c>
      <c r="D714" s="27" t="s">
        <v>3663</v>
      </c>
      <c r="E714" s="28">
        <v>46113.0</v>
      </c>
      <c r="F714" s="28">
        <v>46171.0</v>
      </c>
      <c r="G714" s="29"/>
    </row>
    <row r="715" ht="15.75" customHeight="1">
      <c r="A715" s="30" t="s">
        <v>4379</v>
      </c>
      <c r="B715" s="31" t="s">
        <v>218</v>
      </c>
      <c r="C715" s="31" t="s">
        <v>3638</v>
      </c>
      <c r="D715" s="30" t="s">
        <v>3663</v>
      </c>
      <c r="E715" s="32">
        <v>46113.0</v>
      </c>
      <c r="F715" s="32">
        <v>46171.0</v>
      </c>
      <c r="G715" s="33"/>
    </row>
    <row r="716" ht="15.75" customHeight="1">
      <c r="A716" s="26" t="s">
        <v>4380</v>
      </c>
      <c r="B716" s="27" t="s">
        <v>218</v>
      </c>
      <c r="C716" s="27" t="s">
        <v>934</v>
      </c>
      <c r="D716" s="26" t="s">
        <v>3663</v>
      </c>
      <c r="E716" s="28">
        <v>46113.0</v>
      </c>
      <c r="F716" s="28">
        <v>46171.0</v>
      </c>
      <c r="G716" s="29"/>
    </row>
    <row r="717" ht="15.75" customHeight="1">
      <c r="A717" s="30" t="s">
        <v>4381</v>
      </c>
      <c r="B717" s="31" t="s">
        <v>218</v>
      </c>
      <c r="C717" s="31" t="s">
        <v>1354</v>
      </c>
      <c r="D717" s="30" t="s">
        <v>3663</v>
      </c>
      <c r="E717" s="32">
        <v>46113.0</v>
      </c>
      <c r="F717" s="32">
        <v>46171.0</v>
      </c>
      <c r="G717" s="33"/>
    </row>
    <row r="718" ht="15.75" customHeight="1">
      <c r="A718" s="26" t="s">
        <v>4382</v>
      </c>
      <c r="B718" s="27" t="s">
        <v>218</v>
      </c>
      <c r="C718" s="27" t="s">
        <v>3656</v>
      </c>
      <c r="D718" s="26" t="s">
        <v>3663</v>
      </c>
      <c r="E718" s="28">
        <v>46113.0</v>
      </c>
      <c r="F718" s="28">
        <v>46171.0</v>
      </c>
      <c r="G718" s="29"/>
    </row>
    <row r="719" ht="15.75" customHeight="1">
      <c r="A719" s="30" t="s">
        <v>4383</v>
      </c>
      <c r="B719" s="31" t="s">
        <v>218</v>
      </c>
      <c r="C719" s="31" t="s">
        <v>3657</v>
      </c>
      <c r="D719" s="30" t="s">
        <v>3663</v>
      </c>
      <c r="E719" s="32">
        <v>46113.0</v>
      </c>
      <c r="F719" s="32">
        <v>46171.0</v>
      </c>
      <c r="G719" s="33"/>
    </row>
    <row r="720" ht="15.75" customHeight="1">
      <c r="A720" s="26" t="s">
        <v>4384</v>
      </c>
      <c r="B720" s="27" t="s">
        <v>218</v>
      </c>
      <c r="C720" s="27" t="s">
        <v>1157</v>
      </c>
      <c r="D720" s="26" t="s">
        <v>3663</v>
      </c>
      <c r="E720" s="28">
        <v>46113.0</v>
      </c>
      <c r="F720" s="28">
        <v>46171.0</v>
      </c>
      <c r="G720" s="29"/>
    </row>
    <row r="721" ht="15.75" customHeight="1">
      <c r="A721" s="30" t="s">
        <v>4385</v>
      </c>
      <c r="B721" s="31" t="s">
        <v>218</v>
      </c>
      <c r="C721" s="31" t="s">
        <v>1155</v>
      </c>
      <c r="D721" s="30" t="s">
        <v>3663</v>
      </c>
      <c r="E721" s="32">
        <v>46113.0</v>
      </c>
      <c r="F721" s="32">
        <v>46171.0</v>
      </c>
      <c r="G721" s="33"/>
    </row>
    <row r="722" ht="15.75" customHeight="1">
      <c r="A722" s="26" t="s">
        <v>4386</v>
      </c>
      <c r="B722" s="27" t="s">
        <v>218</v>
      </c>
      <c r="C722" s="27" t="s">
        <v>1153</v>
      </c>
      <c r="D722" s="26" t="s">
        <v>3663</v>
      </c>
      <c r="E722" s="28">
        <v>46113.0</v>
      </c>
      <c r="F722" s="28">
        <v>46171.0</v>
      </c>
      <c r="G722" s="29"/>
    </row>
    <row r="723" ht="15.75" customHeight="1">
      <c r="A723" s="30" t="s">
        <v>4387</v>
      </c>
      <c r="B723" s="31" t="s">
        <v>218</v>
      </c>
      <c r="C723" s="31" t="s">
        <v>1149</v>
      </c>
      <c r="D723" s="30" t="s">
        <v>3663</v>
      </c>
      <c r="E723" s="32">
        <v>46113.0</v>
      </c>
      <c r="F723" s="32">
        <v>46171.0</v>
      </c>
      <c r="G723" s="33"/>
    </row>
    <row r="724" ht="15.75" customHeight="1">
      <c r="A724" s="26" t="s">
        <v>4388</v>
      </c>
      <c r="B724" s="27" t="s">
        <v>218</v>
      </c>
      <c r="C724" s="27" t="s">
        <v>1351</v>
      </c>
      <c r="D724" s="26" t="s">
        <v>3663</v>
      </c>
      <c r="E724" s="28">
        <v>46113.0</v>
      </c>
      <c r="F724" s="28">
        <v>46171.0</v>
      </c>
      <c r="G724" s="29"/>
    </row>
    <row r="725" ht="15.75" customHeight="1">
      <c r="A725" s="30" t="s">
        <v>4389</v>
      </c>
      <c r="B725" s="31" t="s">
        <v>218</v>
      </c>
      <c r="C725" s="31" t="s">
        <v>1349</v>
      </c>
      <c r="D725" s="30" t="s">
        <v>3663</v>
      </c>
      <c r="E725" s="32">
        <v>46113.0</v>
      </c>
      <c r="F725" s="32">
        <v>46171.0</v>
      </c>
      <c r="G725" s="33"/>
    </row>
    <row r="726" ht="15.75" customHeight="1">
      <c r="A726" s="26" t="s">
        <v>4390</v>
      </c>
      <c r="B726" s="27" t="s">
        <v>218</v>
      </c>
      <c r="C726" s="27" t="s">
        <v>965</v>
      </c>
      <c r="D726" s="26" t="s">
        <v>3663</v>
      </c>
      <c r="E726" s="28">
        <v>46113.0</v>
      </c>
      <c r="F726" s="28">
        <v>46171.0</v>
      </c>
      <c r="G726" s="29"/>
    </row>
    <row r="727" ht="15.75" customHeight="1">
      <c r="A727" s="30" t="s">
        <v>4391</v>
      </c>
      <c r="B727" s="31" t="s">
        <v>218</v>
      </c>
      <c r="C727" s="31" t="s">
        <v>923</v>
      </c>
      <c r="D727" s="30" t="s">
        <v>3663</v>
      </c>
      <c r="E727" s="32">
        <v>46113.0</v>
      </c>
      <c r="F727" s="32">
        <v>46171.0</v>
      </c>
      <c r="G727" s="33"/>
    </row>
    <row r="728" ht="15.75" customHeight="1">
      <c r="A728" s="26" t="s">
        <v>4392</v>
      </c>
      <c r="B728" s="27" t="s">
        <v>218</v>
      </c>
      <c r="C728" s="27" t="s">
        <v>961</v>
      </c>
      <c r="D728" s="26" t="s">
        <v>3663</v>
      </c>
      <c r="E728" s="28">
        <v>46113.0</v>
      </c>
      <c r="F728" s="28">
        <v>46171.0</v>
      </c>
      <c r="G728" s="29"/>
    </row>
    <row r="729" ht="15.75" customHeight="1">
      <c r="A729" s="30" t="s">
        <v>4393</v>
      </c>
      <c r="B729" s="31" t="s">
        <v>219</v>
      </c>
      <c r="C729" s="31" t="s">
        <v>932</v>
      </c>
      <c r="D729" s="30" t="s">
        <v>3663</v>
      </c>
      <c r="E729" s="32">
        <v>46113.0</v>
      </c>
      <c r="F729" s="32">
        <v>46171.0</v>
      </c>
      <c r="G729" s="33"/>
    </row>
    <row r="730" ht="15.75" customHeight="1">
      <c r="A730" s="26" t="s">
        <v>4394</v>
      </c>
      <c r="B730" s="27" t="s">
        <v>219</v>
      </c>
      <c r="C730" s="27" t="s">
        <v>1168</v>
      </c>
      <c r="D730" s="26" t="s">
        <v>3663</v>
      </c>
      <c r="E730" s="28">
        <v>46113.0</v>
      </c>
      <c r="F730" s="28">
        <v>46171.0</v>
      </c>
      <c r="G730" s="29"/>
    </row>
    <row r="731" ht="15.75" customHeight="1">
      <c r="A731" s="30" t="s">
        <v>4395</v>
      </c>
      <c r="B731" s="31" t="s">
        <v>219</v>
      </c>
      <c r="C731" s="31" t="s">
        <v>1170</v>
      </c>
      <c r="D731" s="30" t="s">
        <v>3663</v>
      </c>
      <c r="E731" s="32">
        <v>46113.0</v>
      </c>
      <c r="F731" s="32">
        <v>46171.0</v>
      </c>
      <c r="G731" s="33"/>
    </row>
    <row r="732" ht="15.75" customHeight="1">
      <c r="A732" s="26" t="s">
        <v>4396</v>
      </c>
      <c r="B732" s="27" t="s">
        <v>219</v>
      </c>
      <c r="C732" s="27" t="s">
        <v>1288</v>
      </c>
      <c r="D732" s="26" t="s">
        <v>3663</v>
      </c>
      <c r="E732" s="28">
        <v>46113.0</v>
      </c>
      <c r="F732" s="28">
        <v>46171.0</v>
      </c>
      <c r="G732" s="29"/>
    </row>
    <row r="733" ht="15.75" customHeight="1">
      <c r="A733" s="30" t="s">
        <v>4397</v>
      </c>
      <c r="B733" s="31" t="s">
        <v>219</v>
      </c>
      <c r="C733" s="31" t="s">
        <v>1291</v>
      </c>
      <c r="D733" s="30" t="s">
        <v>3663</v>
      </c>
      <c r="E733" s="32">
        <v>46113.0</v>
      </c>
      <c r="F733" s="32">
        <v>46171.0</v>
      </c>
      <c r="G733" s="33"/>
    </row>
    <row r="734" ht="15.75" customHeight="1">
      <c r="A734" s="26" t="s">
        <v>4398</v>
      </c>
      <c r="B734" s="27" t="s">
        <v>219</v>
      </c>
      <c r="C734" s="27" t="s">
        <v>1354</v>
      </c>
      <c r="D734" s="26" t="s">
        <v>3663</v>
      </c>
      <c r="E734" s="28">
        <v>46113.0</v>
      </c>
      <c r="F734" s="28">
        <v>46171.0</v>
      </c>
      <c r="G734" s="29"/>
    </row>
    <row r="735" ht="15.75" customHeight="1">
      <c r="A735" s="30" t="s">
        <v>4399</v>
      </c>
      <c r="B735" s="31" t="s">
        <v>219</v>
      </c>
      <c r="C735" s="31" t="s">
        <v>3656</v>
      </c>
      <c r="D735" s="30" t="s">
        <v>3663</v>
      </c>
      <c r="E735" s="32">
        <v>46113.0</v>
      </c>
      <c r="F735" s="32">
        <v>46171.0</v>
      </c>
      <c r="G735" s="33"/>
    </row>
    <row r="736" ht="15.75" customHeight="1">
      <c r="A736" s="26" t="s">
        <v>4400</v>
      </c>
      <c r="B736" s="27" t="s">
        <v>219</v>
      </c>
      <c r="C736" s="27" t="s">
        <v>3657</v>
      </c>
      <c r="D736" s="26" t="s">
        <v>3663</v>
      </c>
      <c r="E736" s="28">
        <v>46113.0</v>
      </c>
      <c r="F736" s="28">
        <v>46171.0</v>
      </c>
      <c r="G736" s="29"/>
    </row>
    <row r="737" ht="15.75" customHeight="1">
      <c r="A737" s="30" t="s">
        <v>4401</v>
      </c>
      <c r="B737" s="31" t="s">
        <v>219</v>
      </c>
      <c r="C737" s="31" t="s">
        <v>1218</v>
      </c>
      <c r="D737" s="30" t="s">
        <v>3663</v>
      </c>
      <c r="E737" s="32">
        <v>46113.0</v>
      </c>
      <c r="F737" s="32">
        <v>46171.0</v>
      </c>
      <c r="G737" s="33"/>
    </row>
    <row r="738" ht="15.75" customHeight="1">
      <c r="A738" s="26" t="s">
        <v>4402</v>
      </c>
      <c r="B738" s="27" t="s">
        <v>219</v>
      </c>
      <c r="C738" s="27" t="s">
        <v>1271</v>
      </c>
      <c r="D738" s="26" t="s">
        <v>3663</v>
      </c>
      <c r="E738" s="28">
        <v>46113.0</v>
      </c>
      <c r="F738" s="28">
        <v>46171.0</v>
      </c>
      <c r="G738" s="29"/>
    </row>
    <row r="739" ht="15.75" customHeight="1">
      <c r="A739" s="30" t="s">
        <v>4403</v>
      </c>
      <c r="B739" s="31" t="s">
        <v>219</v>
      </c>
      <c r="C739" s="31" t="s">
        <v>1351</v>
      </c>
      <c r="D739" s="30" t="s">
        <v>3663</v>
      </c>
      <c r="E739" s="32">
        <v>46113.0</v>
      </c>
      <c r="F739" s="32">
        <v>46171.0</v>
      </c>
      <c r="G739" s="33"/>
    </row>
    <row r="740" ht="15.75" customHeight="1">
      <c r="A740" s="26" t="s">
        <v>4404</v>
      </c>
      <c r="B740" s="27" t="s">
        <v>219</v>
      </c>
      <c r="C740" s="27" t="s">
        <v>1349</v>
      </c>
      <c r="D740" s="26" t="s">
        <v>3663</v>
      </c>
      <c r="E740" s="28">
        <v>46113.0</v>
      </c>
      <c r="F740" s="28">
        <v>46171.0</v>
      </c>
      <c r="G740" s="29"/>
    </row>
    <row r="741" ht="15.75" customHeight="1">
      <c r="A741" s="30" t="s">
        <v>4405</v>
      </c>
      <c r="B741" s="31" t="s">
        <v>219</v>
      </c>
      <c r="C741" s="31" t="s">
        <v>968</v>
      </c>
      <c r="D741" s="30" t="s">
        <v>3663</v>
      </c>
      <c r="E741" s="32">
        <v>46113.0</v>
      </c>
      <c r="F741" s="32">
        <v>46171.0</v>
      </c>
      <c r="G741" s="33"/>
    </row>
    <row r="742" ht="15.75" customHeight="1">
      <c r="A742" s="26" t="s">
        <v>4406</v>
      </c>
      <c r="B742" s="27" t="s">
        <v>219</v>
      </c>
      <c r="C742" s="27" t="s">
        <v>923</v>
      </c>
      <c r="D742" s="26" t="s">
        <v>3663</v>
      </c>
      <c r="E742" s="28">
        <v>46113.0</v>
      </c>
      <c r="F742" s="28">
        <v>46171.0</v>
      </c>
      <c r="G742" s="29"/>
    </row>
    <row r="743" ht="15.75" customHeight="1">
      <c r="A743" s="30" t="s">
        <v>4407</v>
      </c>
      <c r="B743" s="31" t="s">
        <v>221</v>
      </c>
      <c r="C743" s="31" t="s">
        <v>926</v>
      </c>
      <c r="D743" s="31" t="s">
        <v>3663</v>
      </c>
      <c r="E743" s="32">
        <v>46113.0</v>
      </c>
      <c r="F743" s="32">
        <v>46171.0</v>
      </c>
      <c r="G743" s="33"/>
    </row>
    <row r="744" ht="15.75" customHeight="1">
      <c r="A744" s="26" t="s">
        <v>4408</v>
      </c>
      <c r="B744" s="27" t="s">
        <v>221</v>
      </c>
      <c r="C744" s="27" t="s">
        <v>1354</v>
      </c>
      <c r="D744" s="26" t="s">
        <v>3663</v>
      </c>
      <c r="E744" s="28">
        <v>46113.0</v>
      </c>
      <c r="F744" s="28">
        <v>46171.0</v>
      </c>
      <c r="G744" s="29"/>
    </row>
    <row r="745" ht="15.75" customHeight="1">
      <c r="A745" s="30" t="s">
        <v>4409</v>
      </c>
      <c r="B745" s="31" t="s">
        <v>221</v>
      </c>
      <c r="C745" s="31" t="s">
        <v>1172</v>
      </c>
      <c r="D745" s="30" t="s">
        <v>3663</v>
      </c>
      <c r="E745" s="32">
        <v>46113.0</v>
      </c>
      <c r="F745" s="32">
        <v>46171.0</v>
      </c>
      <c r="G745" s="33"/>
    </row>
    <row r="746" ht="15.75" customHeight="1">
      <c r="A746" s="26" t="s">
        <v>4410</v>
      </c>
      <c r="B746" s="27" t="s">
        <v>221</v>
      </c>
      <c r="C746" s="27" t="s">
        <v>3656</v>
      </c>
      <c r="D746" s="26" t="s">
        <v>3663</v>
      </c>
      <c r="E746" s="28">
        <v>46113.0</v>
      </c>
      <c r="F746" s="28">
        <v>46171.0</v>
      </c>
      <c r="G746" s="29"/>
    </row>
    <row r="747" ht="15.75" customHeight="1">
      <c r="A747" s="30" t="s">
        <v>4411</v>
      </c>
      <c r="B747" s="31" t="s">
        <v>221</v>
      </c>
      <c r="C747" s="31" t="s">
        <v>3657</v>
      </c>
      <c r="D747" s="30" t="s">
        <v>3663</v>
      </c>
      <c r="E747" s="32">
        <v>46113.0</v>
      </c>
      <c r="F747" s="32">
        <v>46171.0</v>
      </c>
      <c r="G747" s="33"/>
    </row>
    <row r="748" ht="15.75" customHeight="1">
      <c r="A748" s="26" t="s">
        <v>4412</v>
      </c>
      <c r="B748" s="27" t="s">
        <v>221</v>
      </c>
      <c r="C748" s="27" t="s">
        <v>3647</v>
      </c>
      <c r="D748" s="26" t="s">
        <v>3663</v>
      </c>
      <c r="E748" s="28">
        <v>46113.0</v>
      </c>
      <c r="F748" s="28">
        <v>46171.0</v>
      </c>
      <c r="G748" s="29"/>
    </row>
    <row r="749" ht="15.75" customHeight="1">
      <c r="A749" s="30" t="s">
        <v>4413</v>
      </c>
      <c r="B749" s="31" t="s">
        <v>221</v>
      </c>
      <c r="C749" s="31" t="s">
        <v>952</v>
      </c>
      <c r="D749" s="30" t="s">
        <v>3663</v>
      </c>
      <c r="E749" s="32">
        <v>46113.0</v>
      </c>
      <c r="F749" s="32">
        <v>46171.0</v>
      </c>
      <c r="G749" s="33"/>
    </row>
    <row r="750" ht="15.75" customHeight="1">
      <c r="A750" s="26" t="s">
        <v>4414</v>
      </c>
      <c r="B750" s="27" t="s">
        <v>221</v>
      </c>
      <c r="C750" s="27" t="s">
        <v>3648</v>
      </c>
      <c r="D750" s="27" t="s">
        <v>3663</v>
      </c>
      <c r="E750" s="28">
        <v>46113.0</v>
      </c>
      <c r="F750" s="28">
        <v>46171.0</v>
      </c>
      <c r="G750" s="29"/>
    </row>
    <row r="751" ht="15.75" customHeight="1">
      <c r="A751" s="30" t="s">
        <v>4415</v>
      </c>
      <c r="B751" s="31" t="s">
        <v>221</v>
      </c>
      <c r="C751" s="31" t="s">
        <v>3649</v>
      </c>
      <c r="D751" s="31" t="s">
        <v>3663</v>
      </c>
      <c r="E751" s="32">
        <v>46113.0</v>
      </c>
      <c r="F751" s="32">
        <v>46171.0</v>
      </c>
      <c r="G751" s="33"/>
    </row>
    <row r="752" ht="15.75" customHeight="1">
      <c r="A752" s="26" t="s">
        <v>4416</v>
      </c>
      <c r="B752" s="27" t="s">
        <v>221</v>
      </c>
      <c r="C752" s="27" t="s">
        <v>3650</v>
      </c>
      <c r="D752" s="27" t="s">
        <v>3663</v>
      </c>
      <c r="E752" s="28">
        <v>46113.0</v>
      </c>
      <c r="F752" s="28">
        <v>46171.0</v>
      </c>
      <c r="G752" s="29"/>
    </row>
    <row r="753" ht="15.75" customHeight="1">
      <c r="A753" s="30" t="s">
        <v>4417</v>
      </c>
      <c r="B753" s="31" t="s">
        <v>221</v>
      </c>
      <c r="C753" s="31" t="s">
        <v>1283</v>
      </c>
      <c r="D753" s="31" t="s">
        <v>3663</v>
      </c>
      <c r="E753" s="32">
        <v>46113.0</v>
      </c>
      <c r="F753" s="32">
        <v>46171.0</v>
      </c>
      <c r="G753" s="33"/>
    </row>
    <row r="754" ht="15.75" customHeight="1">
      <c r="A754" s="26" t="s">
        <v>4418</v>
      </c>
      <c r="B754" s="27" t="s">
        <v>221</v>
      </c>
      <c r="C754" s="27" t="s">
        <v>968</v>
      </c>
      <c r="D754" s="26" t="s">
        <v>3663</v>
      </c>
      <c r="E754" s="28">
        <v>46113.0</v>
      </c>
      <c r="F754" s="28">
        <v>46171.0</v>
      </c>
      <c r="G754" s="29"/>
    </row>
    <row r="755" ht="15.75" customHeight="1">
      <c r="A755" s="30" t="s">
        <v>4419</v>
      </c>
      <c r="B755" s="31" t="s">
        <v>221</v>
      </c>
      <c r="C755" s="31" t="s">
        <v>923</v>
      </c>
      <c r="D755" s="31" t="s">
        <v>3663</v>
      </c>
      <c r="E755" s="32">
        <v>46113.0</v>
      </c>
      <c r="F755" s="32">
        <v>46171.0</v>
      </c>
      <c r="G755" s="33"/>
    </row>
    <row r="756" ht="15.75" customHeight="1">
      <c r="A756" s="26" t="s">
        <v>4420</v>
      </c>
      <c r="B756" s="27" t="s">
        <v>221</v>
      </c>
      <c r="C756" s="27" t="s">
        <v>955</v>
      </c>
      <c r="D756" s="26" t="s">
        <v>3663</v>
      </c>
      <c r="E756" s="28">
        <v>46113.0</v>
      </c>
      <c r="F756" s="28">
        <v>46171.0</v>
      </c>
      <c r="G756" s="29"/>
    </row>
    <row r="757" ht="15.75" customHeight="1">
      <c r="A757" s="30" t="s">
        <v>4421</v>
      </c>
      <c r="B757" s="31" t="s">
        <v>223</v>
      </c>
      <c r="C757" s="31" t="s">
        <v>3654</v>
      </c>
      <c r="D757" s="30" t="s">
        <v>3663</v>
      </c>
      <c r="E757" s="32">
        <v>46113.0</v>
      </c>
      <c r="F757" s="32">
        <v>46171.0</v>
      </c>
      <c r="G757" s="33"/>
    </row>
    <row r="758" ht="15.75" customHeight="1">
      <c r="A758" s="26" t="s">
        <v>4422</v>
      </c>
      <c r="B758" s="27" t="s">
        <v>223</v>
      </c>
      <c r="C758" s="27" t="s">
        <v>3655</v>
      </c>
      <c r="D758" s="26" t="s">
        <v>3663</v>
      </c>
      <c r="E758" s="28">
        <v>46113.0</v>
      </c>
      <c r="F758" s="28">
        <v>46171.0</v>
      </c>
      <c r="G758" s="29"/>
    </row>
    <row r="759" ht="15.75" customHeight="1">
      <c r="A759" s="30" t="s">
        <v>4423</v>
      </c>
      <c r="B759" s="31" t="s">
        <v>223</v>
      </c>
      <c r="C759" s="31" t="s">
        <v>932</v>
      </c>
      <c r="D759" s="30" t="s">
        <v>3663</v>
      </c>
      <c r="E759" s="32">
        <v>46113.0</v>
      </c>
      <c r="F759" s="32">
        <v>46171.0</v>
      </c>
      <c r="G759" s="33"/>
    </row>
    <row r="760" ht="15.75" customHeight="1">
      <c r="A760" s="26" t="s">
        <v>4424</v>
      </c>
      <c r="B760" s="27" t="s">
        <v>223</v>
      </c>
      <c r="C760" s="27" t="s">
        <v>1168</v>
      </c>
      <c r="D760" s="26" t="s">
        <v>3663</v>
      </c>
      <c r="E760" s="28">
        <v>46113.0</v>
      </c>
      <c r="F760" s="28">
        <v>46171.0</v>
      </c>
      <c r="G760" s="29"/>
    </row>
    <row r="761" ht="15.75" customHeight="1">
      <c r="A761" s="30" t="s">
        <v>4425</v>
      </c>
      <c r="B761" s="31" t="s">
        <v>223</v>
      </c>
      <c r="C761" s="31" t="s">
        <v>1170</v>
      </c>
      <c r="D761" s="30" t="s">
        <v>3663</v>
      </c>
      <c r="E761" s="32">
        <v>46113.0</v>
      </c>
      <c r="F761" s="32">
        <v>46171.0</v>
      </c>
      <c r="G761" s="33"/>
    </row>
    <row r="762" ht="15.75" customHeight="1">
      <c r="A762" s="26" t="s">
        <v>4426</v>
      </c>
      <c r="B762" s="27" t="s">
        <v>223</v>
      </c>
      <c r="C762" s="27" t="s">
        <v>1288</v>
      </c>
      <c r="D762" s="26" t="s">
        <v>3663</v>
      </c>
      <c r="E762" s="28">
        <v>46113.0</v>
      </c>
      <c r="F762" s="28">
        <v>46171.0</v>
      </c>
      <c r="G762" s="29"/>
    </row>
    <row r="763" ht="15.75" customHeight="1">
      <c r="A763" s="30" t="s">
        <v>4427</v>
      </c>
      <c r="B763" s="31" t="s">
        <v>223</v>
      </c>
      <c r="C763" s="31" t="s">
        <v>1291</v>
      </c>
      <c r="D763" s="30" t="s">
        <v>3663</v>
      </c>
      <c r="E763" s="32">
        <v>46113.0</v>
      </c>
      <c r="F763" s="32">
        <v>46171.0</v>
      </c>
      <c r="G763" s="33"/>
    </row>
    <row r="764" ht="15.75" customHeight="1">
      <c r="A764" s="26" t="s">
        <v>4428</v>
      </c>
      <c r="B764" s="27" t="s">
        <v>223</v>
      </c>
      <c r="C764" s="27" t="s">
        <v>1354</v>
      </c>
      <c r="D764" s="26" t="s">
        <v>3663</v>
      </c>
      <c r="E764" s="28">
        <v>46113.0</v>
      </c>
      <c r="F764" s="28">
        <v>46171.0</v>
      </c>
      <c r="G764" s="29"/>
    </row>
    <row r="765" ht="15.75" customHeight="1">
      <c r="A765" s="30" t="s">
        <v>4429</v>
      </c>
      <c r="B765" s="31" t="s">
        <v>223</v>
      </c>
      <c r="C765" s="31" t="s">
        <v>1218</v>
      </c>
      <c r="D765" s="30" t="s">
        <v>3663</v>
      </c>
      <c r="E765" s="32">
        <v>46113.0</v>
      </c>
      <c r="F765" s="32">
        <v>46171.0</v>
      </c>
      <c r="G765" s="33"/>
    </row>
    <row r="766" ht="15.75" customHeight="1">
      <c r="A766" s="26" t="s">
        <v>4430</v>
      </c>
      <c r="B766" s="27" t="s">
        <v>223</v>
      </c>
      <c r="C766" s="27" t="s">
        <v>1271</v>
      </c>
      <c r="D766" s="26" t="s">
        <v>3663</v>
      </c>
      <c r="E766" s="28">
        <v>46113.0</v>
      </c>
      <c r="F766" s="28">
        <v>46171.0</v>
      </c>
      <c r="G766" s="29"/>
    </row>
    <row r="767" ht="15.75" customHeight="1">
      <c r="A767" s="30" t="s">
        <v>4431</v>
      </c>
      <c r="B767" s="31" t="s">
        <v>223</v>
      </c>
      <c r="C767" s="31" t="s">
        <v>1351</v>
      </c>
      <c r="D767" s="30" t="s">
        <v>3663</v>
      </c>
      <c r="E767" s="32">
        <v>46113.0</v>
      </c>
      <c r="F767" s="32">
        <v>46171.0</v>
      </c>
      <c r="G767" s="33"/>
    </row>
    <row r="768" ht="15.75" customHeight="1">
      <c r="A768" s="26" t="s">
        <v>4432</v>
      </c>
      <c r="B768" s="27" t="s">
        <v>223</v>
      </c>
      <c r="C768" s="27" t="s">
        <v>1349</v>
      </c>
      <c r="D768" s="26" t="s">
        <v>3663</v>
      </c>
      <c r="E768" s="28">
        <v>46113.0</v>
      </c>
      <c r="F768" s="28">
        <v>46171.0</v>
      </c>
      <c r="G768" s="29"/>
    </row>
    <row r="769" ht="15.75" customHeight="1">
      <c r="A769" s="30" t="s">
        <v>4433</v>
      </c>
      <c r="B769" s="31" t="s">
        <v>223</v>
      </c>
      <c r="C769" s="31" t="s">
        <v>968</v>
      </c>
      <c r="D769" s="30" t="s">
        <v>3663</v>
      </c>
      <c r="E769" s="32">
        <v>46113.0</v>
      </c>
      <c r="F769" s="32">
        <v>46171.0</v>
      </c>
      <c r="G769" s="33"/>
    </row>
    <row r="770" ht="15.75" customHeight="1">
      <c r="A770" s="26" t="s">
        <v>4434</v>
      </c>
      <c r="B770" s="27" t="s">
        <v>223</v>
      </c>
      <c r="C770" s="27" t="s">
        <v>923</v>
      </c>
      <c r="D770" s="26" t="s">
        <v>3663</v>
      </c>
      <c r="E770" s="28">
        <v>46113.0</v>
      </c>
      <c r="F770" s="28">
        <v>46171.0</v>
      </c>
      <c r="G770" s="29"/>
    </row>
    <row r="771" ht="15.75" customHeight="1">
      <c r="A771" s="30" t="s">
        <v>4435</v>
      </c>
      <c r="B771" s="31" t="s">
        <v>224</v>
      </c>
      <c r="C771" s="31" t="s">
        <v>926</v>
      </c>
      <c r="D771" s="31" t="s">
        <v>3663</v>
      </c>
      <c r="E771" s="32">
        <v>46113.0</v>
      </c>
      <c r="F771" s="32">
        <v>46171.0</v>
      </c>
      <c r="G771" s="33"/>
    </row>
    <row r="772" ht="15.75" customHeight="1">
      <c r="A772" s="26" t="s">
        <v>4436</v>
      </c>
      <c r="B772" s="27" t="s">
        <v>224</v>
      </c>
      <c r="C772" s="27" t="s">
        <v>1354</v>
      </c>
      <c r="D772" s="26" t="s">
        <v>3663</v>
      </c>
      <c r="E772" s="28">
        <v>46113.0</v>
      </c>
      <c r="F772" s="28">
        <v>46171.0</v>
      </c>
      <c r="G772" s="29"/>
    </row>
    <row r="773" ht="15.75" customHeight="1">
      <c r="A773" s="30" t="s">
        <v>4437</v>
      </c>
      <c r="B773" s="31" t="s">
        <v>224</v>
      </c>
      <c r="C773" s="31" t="s">
        <v>3681</v>
      </c>
      <c r="D773" s="30" t="s">
        <v>3663</v>
      </c>
      <c r="E773" s="32">
        <v>46113.0</v>
      </c>
      <c r="F773" s="32">
        <v>46171.0</v>
      </c>
      <c r="G773" s="33"/>
    </row>
    <row r="774" ht="15.75" customHeight="1">
      <c r="A774" s="26" t="s">
        <v>4438</v>
      </c>
      <c r="B774" s="27" t="s">
        <v>224</v>
      </c>
      <c r="C774" s="27" t="s">
        <v>3683</v>
      </c>
      <c r="D774" s="26" t="s">
        <v>3663</v>
      </c>
      <c r="E774" s="28">
        <v>46113.0</v>
      </c>
      <c r="F774" s="28">
        <v>46171.0</v>
      </c>
      <c r="G774" s="29"/>
    </row>
    <row r="775" ht="15.75" customHeight="1">
      <c r="A775" s="30" t="s">
        <v>4439</v>
      </c>
      <c r="B775" s="31" t="s">
        <v>224</v>
      </c>
      <c r="C775" s="31" t="s">
        <v>1208</v>
      </c>
      <c r="D775" s="30" t="s">
        <v>3663</v>
      </c>
      <c r="E775" s="32">
        <v>46113.0</v>
      </c>
      <c r="F775" s="32">
        <v>46171.0</v>
      </c>
      <c r="G775" s="33"/>
    </row>
    <row r="776" ht="15.75" customHeight="1">
      <c r="A776" s="26" t="s">
        <v>4440</v>
      </c>
      <c r="B776" s="27" t="s">
        <v>224</v>
      </c>
      <c r="C776" s="27" t="s">
        <v>1159</v>
      </c>
      <c r="D776" s="26" t="s">
        <v>3663</v>
      </c>
      <c r="E776" s="28">
        <v>46113.0</v>
      </c>
      <c r="F776" s="28">
        <v>46171.0</v>
      </c>
      <c r="G776" s="29"/>
    </row>
    <row r="777" ht="15.75" customHeight="1">
      <c r="A777" s="30" t="s">
        <v>4441</v>
      </c>
      <c r="B777" s="31" t="s">
        <v>224</v>
      </c>
      <c r="C777" s="31" t="s">
        <v>3648</v>
      </c>
      <c r="D777" s="31" t="s">
        <v>3663</v>
      </c>
      <c r="E777" s="32">
        <v>46113.0</v>
      </c>
      <c r="F777" s="32">
        <v>46171.0</v>
      </c>
      <c r="G777" s="33"/>
    </row>
    <row r="778" ht="15.75" customHeight="1">
      <c r="A778" s="26" t="s">
        <v>4442</v>
      </c>
      <c r="B778" s="27" t="s">
        <v>224</v>
      </c>
      <c r="C778" s="27" t="s">
        <v>3649</v>
      </c>
      <c r="D778" s="27" t="s">
        <v>3663</v>
      </c>
      <c r="E778" s="28">
        <v>46113.0</v>
      </c>
      <c r="F778" s="28">
        <v>46171.0</v>
      </c>
      <c r="G778" s="29"/>
    </row>
    <row r="779" ht="15.75" customHeight="1">
      <c r="A779" s="30" t="s">
        <v>4443</v>
      </c>
      <c r="B779" s="31" t="s">
        <v>224</v>
      </c>
      <c r="C779" s="31" t="s">
        <v>3650</v>
      </c>
      <c r="D779" s="31" t="s">
        <v>3663</v>
      </c>
      <c r="E779" s="32">
        <v>46113.0</v>
      </c>
      <c r="F779" s="32">
        <v>46171.0</v>
      </c>
      <c r="G779" s="33"/>
    </row>
    <row r="780" ht="15.75" customHeight="1">
      <c r="A780" s="26" t="s">
        <v>4444</v>
      </c>
      <c r="B780" s="27" t="s">
        <v>224</v>
      </c>
      <c r="C780" s="27" t="s">
        <v>1283</v>
      </c>
      <c r="D780" s="27" t="s">
        <v>3663</v>
      </c>
      <c r="E780" s="28">
        <v>46113.0</v>
      </c>
      <c r="F780" s="28">
        <v>46171.0</v>
      </c>
      <c r="G780" s="29"/>
    </row>
    <row r="781" ht="15.75" customHeight="1">
      <c r="A781" s="30" t="s">
        <v>4445</v>
      </c>
      <c r="B781" s="31" t="s">
        <v>224</v>
      </c>
      <c r="C781" s="31" t="s">
        <v>1351</v>
      </c>
      <c r="D781" s="30" t="s">
        <v>3663</v>
      </c>
      <c r="E781" s="32">
        <v>46113.0</v>
      </c>
      <c r="F781" s="32">
        <v>46171.0</v>
      </c>
      <c r="G781" s="33"/>
    </row>
    <row r="782" ht="15.75" customHeight="1">
      <c r="A782" s="26" t="s">
        <v>4446</v>
      </c>
      <c r="B782" s="27" t="s">
        <v>224</v>
      </c>
      <c r="C782" s="27" t="s">
        <v>1349</v>
      </c>
      <c r="D782" s="26" t="s">
        <v>3663</v>
      </c>
      <c r="E782" s="28">
        <v>46113.0</v>
      </c>
      <c r="F782" s="28">
        <v>46171.0</v>
      </c>
      <c r="G782" s="29"/>
    </row>
    <row r="783" ht="15.75" customHeight="1">
      <c r="A783" s="30" t="s">
        <v>4447</v>
      </c>
      <c r="B783" s="31" t="s">
        <v>224</v>
      </c>
      <c r="C783" s="31" t="s">
        <v>968</v>
      </c>
      <c r="D783" s="30" t="s">
        <v>3663</v>
      </c>
      <c r="E783" s="32">
        <v>46113.0</v>
      </c>
      <c r="F783" s="32">
        <v>46171.0</v>
      </c>
      <c r="G783" s="33"/>
    </row>
    <row r="784" ht="15.75" customHeight="1">
      <c r="A784" s="26" t="s">
        <v>4448</v>
      </c>
      <c r="B784" s="27" t="s">
        <v>224</v>
      </c>
      <c r="C784" s="27" t="s">
        <v>923</v>
      </c>
      <c r="D784" s="27" t="s">
        <v>3663</v>
      </c>
      <c r="E784" s="28">
        <v>46113.0</v>
      </c>
      <c r="F784" s="28">
        <v>46171.0</v>
      </c>
      <c r="G784" s="29"/>
    </row>
    <row r="785" ht="15.75" customHeight="1">
      <c r="A785" s="30" t="s">
        <v>4449</v>
      </c>
      <c r="B785" s="31" t="s">
        <v>225</v>
      </c>
      <c r="C785" s="31" t="s">
        <v>930</v>
      </c>
      <c r="D785" s="30" t="s">
        <v>3663</v>
      </c>
      <c r="E785" s="32">
        <v>46113.0</v>
      </c>
      <c r="F785" s="32">
        <v>46171.0</v>
      </c>
      <c r="G785" s="33"/>
    </row>
    <row r="786" ht="15.75" customHeight="1">
      <c r="A786" s="26" t="s">
        <v>4450</v>
      </c>
      <c r="B786" s="27" t="s">
        <v>225</v>
      </c>
      <c r="C786" s="27" t="s">
        <v>1354</v>
      </c>
      <c r="D786" s="26" t="s">
        <v>3663</v>
      </c>
      <c r="E786" s="28">
        <v>46113.0</v>
      </c>
      <c r="F786" s="28">
        <v>46171.0</v>
      </c>
      <c r="G786" s="29"/>
    </row>
    <row r="787" ht="15.75" customHeight="1">
      <c r="A787" s="30" t="s">
        <v>4451</v>
      </c>
      <c r="B787" s="31" t="s">
        <v>225</v>
      </c>
      <c r="C787" s="31" t="s">
        <v>1190</v>
      </c>
      <c r="D787" s="30" t="s">
        <v>3663</v>
      </c>
      <c r="E787" s="32">
        <v>46113.0</v>
      </c>
      <c r="F787" s="32">
        <v>46171.0</v>
      </c>
      <c r="G787" s="33"/>
    </row>
    <row r="788" ht="15.75" customHeight="1">
      <c r="A788" s="26" t="s">
        <v>4452</v>
      </c>
      <c r="B788" s="27" t="s">
        <v>225</v>
      </c>
      <c r="C788" s="27" t="s">
        <v>3656</v>
      </c>
      <c r="D788" s="26" t="s">
        <v>3663</v>
      </c>
      <c r="E788" s="28">
        <v>46113.0</v>
      </c>
      <c r="F788" s="28">
        <v>46171.0</v>
      </c>
      <c r="G788" s="29"/>
    </row>
    <row r="789" ht="15.75" customHeight="1">
      <c r="A789" s="30" t="s">
        <v>4453</v>
      </c>
      <c r="B789" s="31" t="s">
        <v>225</v>
      </c>
      <c r="C789" s="31" t="s">
        <v>3657</v>
      </c>
      <c r="D789" s="30" t="s">
        <v>3663</v>
      </c>
      <c r="E789" s="32">
        <v>46113.0</v>
      </c>
      <c r="F789" s="32">
        <v>46171.0</v>
      </c>
      <c r="G789" s="33"/>
    </row>
    <row r="790" ht="15.75" customHeight="1">
      <c r="A790" s="26" t="s">
        <v>4454</v>
      </c>
      <c r="B790" s="27" t="s">
        <v>225</v>
      </c>
      <c r="C790" s="27" t="s">
        <v>1157</v>
      </c>
      <c r="D790" s="26" t="s">
        <v>3663</v>
      </c>
      <c r="E790" s="28">
        <v>46113.0</v>
      </c>
      <c r="F790" s="28">
        <v>46171.0</v>
      </c>
      <c r="G790" s="29"/>
    </row>
    <row r="791" ht="15.75" customHeight="1">
      <c r="A791" s="30" t="s">
        <v>4455</v>
      </c>
      <c r="B791" s="31" t="s">
        <v>225</v>
      </c>
      <c r="C791" s="31" t="s">
        <v>1155</v>
      </c>
      <c r="D791" s="30" t="s">
        <v>3663</v>
      </c>
      <c r="E791" s="32">
        <v>46113.0</v>
      </c>
      <c r="F791" s="32">
        <v>46171.0</v>
      </c>
      <c r="G791" s="33"/>
    </row>
    <row r="792" ht="15.75" customHeight="1">
      <c r="A792" s="26" t="s">
        <v>4456</v>
      </c>
      <c r="B792" s="27" t="s">
        <v>225</v>
      </c>
      <c r="C792" s="27" t="s">
        <v>1153</v>
      </c>
      <c r="D792" s="26" t="s">
        <v>3663</v>
      </c>
      <c r="E792" s="28">
        <v>46113.0</v>
      </c>
      <c r="F792" s="28">
        <v>46171.0</v>
      </c>
      <c r="G792" s="29"/>
    </row>
    <row r="793" ht="15.75" customHeight="1">
      <c r="A793" s="30" t="s">
        <v>4457</v>
      </c>
      <c r="B793" s="31" t="s">
        <v>225</v>
      </c>
      <c r="C793" s="31" t="s">
        <v>1149</v>
      </c>
      <c r="D793" s="30" t="s">
        <v>3663</v>
      </c>
      <c r="E793" s="32">
        <v>46113.0</v>
      </c>
      <c r="F793" s="32">
        <v>46171.0</v>
      </c>
      <c r="G793" s="33"/>
    </row>
    <row r="794" ht="15.75" customHeight="1">
      <c r="A794" s="26" t="s">
        <v>4458</v>
      </c>
      <c r="B794" s="27" t="s">
        <v>225</v>
      </c>
      <c r="C794" s="27" t="s">
        <v>1351</v>
      </c>
      <c r="D794" s="26" t="s">
        <v>3663</v>
      </c>
      <c r="E794" s="28">
        <v>46113.0</v>
      </c>
      <c r="F794" s="28">
        <v>46171.0</v>
      </c>
      <c r="G794" s="29"/>
    </row>
    <row r="795" ht="15.75" customHeight="1">
      <c r="A795" s="30" t="s">
        <v>4459</v>
      </c>
      <c r="B795" s="31" t="s">
        <v>225</v>
      </c>
      <c r="C795" s="31" t="s">
        <v>1349</v>
      </c>
      <c r="D795" s="30" t="s">
        <v>3663</v>
      </c>
      <c r="E795" s="32">
        <v>46113.0</v>
      </c>
      <c r="F795" s="32">
        <v>46171.0</v>
      </c>
      <c r="G795" s="33"/>
    </row>
    <row r="796" ht="15.75" customHeight="1">
      <c r="A796" s="26" t="s">
        <v>4460</v>
      </c>
      <c r="B796" s="27" t="s">
        <v>225</v>
      </c>
      <c r="C796" s="27" t="s">
        <v>968</v>
      </c>
      <c r="D796" s="26" t="s">
        <v>3663</v>
      </c>
      <c r="E796" s="28">
        <v>46113.0</v>
      </c>
      <c r="F796" s="28">
        <v>46171.0</v>
      </c>
      <c r="G796" s="29"/>
    </row>
    <row r="797" ht="15.75" customHeight="1">
      <c r="A797" s="30" t="s">
        <v>4461</v>
      </c>
      <c r="B797" s="31" t="s">
        <v>225</v>
      </c>
      <c r="C797" s="31" t="s">
        <v>923</v>
      </c>
      <c r="D797" s="30" t="s">
        <v>3663</v>
      </c>
      <c r="E797" s="32">
        <v>46113.0</v>
      </c>
      <c r="F797" s="32">
        <v>46171.0</v>
      </c>
      <c r="G797" s="33"/>
    </row>
    <row r="798" ht="15.75" customHeight="1">
      <c r="A798" s="26" t="s">
        <v>4462</v>
      </c>
      <c r="B798" s="27" t="s">
        <v>225</v>
      </c>
      <c r="C798" s="27" t="s">
        <v>961</v>
      </c>
      <c r="D798" s="26" t="s">
        <v>3663</v>
      </c>
      <c r="E798" s="28">
        <v>46113.0</v>
      </c>
      <c r="F798" s="28">
        <v>46171.0</v>
      </c>
      <c r="G798" s="29"/>
    </row>
    <row r="799" ht="15.75" customHeight="1">
      <c r="A799" s="30" t="s">
        <v>4463</v>
      </c>
      <c r="B799" s="31" t="s">
        <v>227</v>
      </c>
      <c r="C799" s="31" t="s">
        <v>926</v>
      </c>
      <c r="D799" s="31" t="s">
        <v>3663</v>
      </c>
      <c r="E799" s="32">
        <v>46113.0</v>
      </c>
      <c r="F799" s="32">
        <v>46171.0</v>
      </c>
      <c r="G799" s="33"/>
    </row>
    <row r="800" ht="15.75" customHeight="1">
      <c r="A800" s="26" t="s">
        <v>4464</v>
      </c>
      <c r="B800" s="27" t="s">
        <v>227</v>
      </c>
      <c r="C800" s="27" t="s">
        <v>3640</v>
      </c>
      <c r="D800" s="26" t="s">
        <v>3663</v>
      </c>
      <c r="E800" s="28">
        <v>46113.0</v>
      </c>
      <c r="F800" s="28">
        <v>46171.0</v>
      </c>
      <c r="G800" s="29"/>
    </row>
    <row r="801" ht="15.75" customHeight="1">
      <c r="A801" s="30" t="s">
        <v>4465</v>
      </c>
      <c r="B801" s="31" t="s">
        <v>227</v>
      </c>
      <c r="C801" s="31" t="s">
        <v>1354</v>
      </c>
      <c r="D801" s="30" t="s">
        <v>3663</v>
      </c>
      <c r="E801" s="32">
        <v>46113.0</v>
      </c>
      <c r="F801" s="32">
        <v>46171.0</v>
      </c>
      <c r="G801" s="33"/>
    </row>
    <row r="802" ht="15.75" customHeight="1">
      <c r="A802" s="26" t="s">
        <v>4466</v>
      </c>
      <c r="B802" s="27" t="s">
        <v>227</v>
      </c>
      <c r="C802" s="27" t="s">
        <v>3681</v>
      </c>
      <c r="D802" s="26" t="s">
        <v>3663</v>
      </c>
      <c r="E802" s="28">
        <v>46113.0</v>
      </c>
      <c r="F802" s="28">
        <v>46171.0</v>
      </c>
      <c r="G802" s="29"/>
    </row>
    <row r="803" ht="15.75" customHeight="1">
      <c r="A803" s="30" t="s">
        <v>4467</v>
      </c>
      <c r="B803" s="31" t="s">
        <v>227</v>
      </c>
      <c r="C803" s="31" t="s">
        <v>3683</v>
      </c>
      <c r="D803" s="30" t="s">
        <v>3663</v>
      </c>
      <c r="E803" s="32">
        <v>46113.0</v>
      </c>
      <c r="F803" s="32">
        <v>46171.0</v>
      </c>
      <c r="G803" s="33"/>
    </row>
    <row r="804" ht="15.75" customHeight="1">
      <c r="A804" s="26" t="s">
        <v>4468</v>
      </c>
      <c r="B804" s="27" t="s">
        <v>227</v>
      </c>
      <c r="C804" s="27" t="s">
        <v>1159</v>
      </c>
      <c r="D804" s="26" t="s">
        <v>3663</v>
      </c>
      <c r="E804" s="28">
        <v>46113.0</v>
      </c>
      <c r="F804" s="28">
        <v>46171.0</v>
      </c>
      <c r="G804" s="29"/>
    </row>
    <row r="805" ht="15.75" customHeight="1">
      <c r="A805" s="30" t="s">
        <v>4469</v>
      </c>
      <c r="B805" s="31" t="s">
        <v>227</v>
      </c>
      <c r="C805" s="31" t="s">
        <v>3647</v>
      </c>
      <c r="D805" s="30" t="s">
        <v>3663</v>
      </c>
      <c r="E805" s="32">
        <v>46113.0</v>
      </c>
      <c r="F805" s="32">
        <v>46171.0</v>
      </c>
      <c r="G805" s="33"/>
    </row>
    <row r="806" ht="15.75" customHeight="1">
      <c r="A806" s="26" t="s">
        <v>4470</v>
      </c>
      <c r="B806" s="27" t="s">
        <v>227</v>
      </c>
      <c r="C806" s="27" t="s">
        <v>952</v>
      </c>
      <c r="D806" s="26" t="s">
        <v>3663</v>
      </c>
      <c r="E806" s="28">
        <v>46113.0</v>
      </c>
      <c r="F806" s="28">
        <v>46171.0</v>
      </c>
      <c r="G806" s="29"/>
    </row>
    <row r="807" ht="15.75" customHeight="1">
      <c r="A807" s="30" t="s">
        <v>4471</v>
      </c>
      <c r="B807" s="31" t="s">
        <v>227</v>
      </c>
      <c r="C807" s="31" t="s">
        <v>3648</v>
      </c>
      <c r="D807" s="31" t="s">
        <v>3663</v>
      </c>
      <c r="E807" s="32">
        <v>46113.0</v>
      </c>
      <c r="F807" s="32">
        <v>46171.0</v>
      </c>
      <c r="G807" s="33"/>
    </row>
    <row r="808" ht="15.75" customHeight="1">
      <c r="A808" s="26" t="s">
        <v>4472</v>
      </c>
      <c r="B808" s="27" t="s">
        <v>227</v>
      </c>
      <c r="C808" s="27" t="s">
        <v>3649</v>
      </c>
      <c r="D808" s="27" t="s">
        <v>3663</v>
      </c>
      <c r="E808" s="28">
        <v>46113.0</v>
      </c>
      <c r="F808" s="28">
        <v>46171.0</v>
      </c>
      <c r="G808" s="29"/>
    </row>
    <row r="809" ht="15.75" customHeight="1">
      <c r="A809" s="30" t="s">
        <v>4473</v>
      </c>
      <c r="B809" s="31" t="s">
        <v>227</v>
      </c>
      <c r="C809" s="31" t="s">
        <v>3650</v>
      </c>
      <c r="D809" s="31" t="s">
        <v>3663</v>
      </c>
      <c r="E809" s="32">
        <v>46113.0</v>
      </c>
      <c r="F809" s="32">
        <v>46171.0</v>
      </c>
      <c r="G809" s="33"/>
    </row>
    <row r="810" ht="15.75" customHeight="1">
      <c r="A810" s="26" t="s">
        <v>4474</v>
      </c>
      <c r="B810" s="27" t="s">
        <v>227</v>
      </c>
      <c r="C810" s="27" t="s">
        <v>1283</v>
      </c>
      <c r="D810" s="27" t="s">
        <v>3663</v>
      </c>
      <c r="E810" s="28">
        <v>46113.0</v>
      </c>
      <c r="F810" s="28">
        <v>46171.0</v>
      </c>
      <c r="G810" s="29"/>
    </row>
    <row r="811" ht="15.75" customHeight="1">
      <c r="A811" s="30" t="s">
        <v>4475</v>
      </c>
      <c r="B811" s="31" t="s">
        <v>227</v>
      </c>
      <c r="C811" s="31" t="s">
        <v>968</v>
      </c>
      <c r="D811" s="30" t="s">
        <v>3663</v>
      </c>
      <c r="E811" s="32">
        <v>46113.0</v>
      </c>
      <c r="F811" s="32">
        <v>46171.0</v>
      </c>
      <c r="G811" s="33"/>
    </row>
    <row r="812" ht="15.75" customHeight="1">
      <c r="A812" s="26" t="s">
        <v>4476</v>
      </c>
      <c r="B812" s="27" t="s">
        <v>227</v>
      </c>
      <c r="C812" s="27" t="s">
        <v>923</v>
      </c>
      <c r="D812" s="27" t="s">
        <v>3663</v>
      </c>
      <c r="E812" s="28">
        <v>46113.0</v>
      </c>
      <c r="F812" s="28">
        <v>46171.0</v>
      </c>
      <c r="G812" s="29"/>
    </row>
    <row r="813" ht="15.75" customHeight="1">
      <c r="A813" s="30" t="s">
        <v>4477</v>
      </c>
      <c r="B813" s="31" t="s">
        <v>228</v>
      </c>
      <c r="C813" s="31" t="s">
        <v>3654</v>
      </c>
      <c r="D813" s="30" t="s">
        <v>3663</v>
      </c>
      <c r="E813" s="32">
        <v>46113.0</v>
      </c>
      <c r="F813" s="32">
        <v>46171.0</v>
      </c>
      <c r="G813" s="33"/>
    </row>
    <row r="814" ht="15.75" customHeight="1">
      <c r="A814" s="26" t="s">
        <v>4478</v>
      </c>
      <c r="B814" s="27" t="s">
        <v>228</v>
      </c>
      <c r="C814" s="27" t="s">
        <v>3655</v>
      </c>
      <c r="D814" s="26" t="s">
        <v>3663</v>
      </c>
      <c r="E814" s="28">
        <v>46113.0</v>
      </c>
      <c r="F814" s="28">
        <v>46171.0</v>
      </c>
      <c r="G814" s="29"/>
    </row>
    <row r="815" ht="15.75" customHeight="1">
      <c r="A815" s="30" t="s">
        <v>4479</v>
      </c>
      <c r="B815" s="31" t="s">
        <v>228</v>
      </c>
      <c r="C815" s="31" t="s">
        <v>3638</v>
      </c>
      <c r="D815" s="30" t="s">
        <v>3663</v>
      </c>
      <c r="E815" s="32">
        <v>46113.0</v>
      </c>
      <c r="F815" s="32">
        <v>46171.0</v>
      </c>
      <c r="G815" s="33"/>
    </row>
    <row r="816" ht="15.75" customHeight="1">
      <c r="A816" s="26" t="s">
        <v>4480</v>
      </c>
      <c r="B816" s="27" t="s">
        <v>228</v>
      </c>
      <c r="C816" s="27" t="s">
        <v>930</v>
      </c>
      <c r="D816" s="26" t="s">
        <v>3663</v>
      </c>
      <c r="E816" s="28">
        <v>46113.0</v>
      </c>
      <c r="F816" s="28">
        <v>46171.0</v>
      </c>
      <c r="G816" s="29"/>
    </row>
    <row r="817" ht="15.75" customHeight="1">
      <c r="A817" s="30" t="s">
        <v>4481</v>
      </c>
      <c r="B817" s="31" t="s">
        <v>228</v>
      </c>
      <c r="C817" s="31" t="s">
        <v>1354</v>
      </c>
      <c r="D817" s="30" t="s">
        <v>3663</v>
      </c>
      <c r="E817" s="32">
        <v>46113.0</v>
      </c>
      <c r="F817" s="32">
        <v>46171.0</v>
      </c>
      <c r="G817" s="33"/>
    </row>
    <row r="818" ht="15.75" customHeight="1">
      <c r="A818" s="26" t="s">
        <v>4482</v>
      </c>
      <c r="B818" s="27" t="s">
        <v>228</v>
      </c>
      <c r="C818" s="27" t="s">
        <v>1157</v>
      </c>
      <c r="D818" s="26" t="s">
        <v>3663</v>
      </c>
      <c r="E818" s="28">
        <v>46113.0</v>
      </c>
      <c r="F818" s="28">
        <v>46171.0</v>
      </c>
      <c r="G818" s="29"/>
    </row>
    <row r="819" ht="15.75" customHeight="1">
      <c r="A819" s="30" t="s">
        <v>4483</v>
      </c>
      <c r="B819" s="31" t="s">
        <v>228</v>
      </c>
      <c r="C819" s="31" t="s">
        <v>1155</v>
      </c>
      <c r="D819" s="30" t="s">
        <v>3663</v>
      </c>
      <c r="E819" s="32">
        <v>46113.0</v>
      </c>
      <c r="F819" s="32">
        <v>46171.0</v>
      </c>
      <c r="G819" s="33"/>
    </row>
    <row r="820" ht="15.75" customHeight="1">
      <c r="A820" s="26" t="s">
        <v>4484</v>
      </c>
      <c r="B820" s="27" t="s">
        <v>228</v>
      </c>
      <c r="C820" s="27" t="s">
        <v>1153</v>
      </c>
      <c r="D820" s="26" t="s">
        <v>3663</v>
      </c>
      <c r="E820" s="28">
        <v>46113.0</v>
      </c>
      <c r="F820" s="28">
        <v>46171.0</v>
      </c>
      <c r="G820" s="29"/>
    </row>
    <row r="821" ht="15.75" customHeight="1">
      <c r="A821" s="30" t="s">
        <v>4485</v>
      </c>
      <c r="B821" s="31" t="s">
        <v>228</v>
      </c>
      <c r="C821" s="31" t="s">
        <v>1149</v>
      </c>
      <c r="D821" s="30" t="s">
        <v>3663</v>
      </c>
      <c r="E821" s="32">
        <v>46113.0</v>
      </c>
      <c r="F821" s="32">
        <v>46171.0</v>
      </c>
      <c r="G821" s="33"/>
    </row>
    <row r="822" ht="15.75" customHeight="1">
      <c r="A822" s="26" t="s">
        <v>4486</v>
      </c>
      <c r="B822" s="27" t="s">
        <v>228</v>
      </c>
      <c r="C822" s="27" t="s">
        <v>1351</v>
      </c>
      <c r="D822" s="26" t="s">
        <v>3663</v>
      </c>
      <c r="E822" s="28">
        <v>46113.0</v>
      </c>
      <c r="F822" s="28">
        <v>46171.0</v>
      </c>
      <c r="G822" s="29"/>
    </row>
    <row r="823" ht="15.75" customHeight="1">
      <c r="A823" s="30" t="s">
        <v>4487</v>
      </c>
      <c r="B823" s="31" t="s">
        <v>228</v>
      </c>
      <c r="C823" s="31" t="s">
        <v>1349</v>
      </c>
      <c r="D823" s="30" t="s">
        <v>3663</v>
      </c>
      <c r="E823" s="32">
        <v>46113.0</v>
      </c>
      <c r="F823" s="32">
        <v>46171.0</v>
      </c>
      <c r="G823" s="33"/>
    </row>
    <row r="824" ht="15.75" customHeight="1">
      <c r="A824" s="26" t="s">
        <v>4488</v>
      </c>
      <c r="B824" s="27" t="s">
        <v>228</v>
      </c>
      <c r="C824" s="27" t="s">
        <v>965</v>
      </c>
      <c r="D824" s="26" t="s">
        <v>3663</v>
      </c>
      <c r="E824" s="28">
        <v>46113.0</v>
      </c>
      <c r="F824" s="28">
        <v>46171.0</v>
      </c>
      <c r="G824" s="29"/>
    </row>
    <row r="825" ht="15.75" customHeight="1">
      <c r="A825" s="30" t="s">
        <v>4489</v>
      </c>
      <c r="B825" s="31" t="s">
        <v>228</v>
      </c>
      <c r="C825" s="31" t="s">
        <v>923</v>
      </c>
      <c r="D825" s="30" t="s">
        <v>3663</v>
      </c>
      <c r="E825" s="32">
        <v>46113.0</v>
      </c>
      <c r="F825" s="32">
        <v>46171.0</v>
      </c>
      <c r="G825" s="33"/>
    </row>
    <row r="826" ht="15.75" customHeight="1">
      <c r="A826" s="26" t="s">
        <v>4490</v>
      </c>
      <c r="B826" s="27" t="s">
        <v>228</v>
      </c>
      <c r="C826" s="27" t="s">
        <v>961</v>
      </c>
      <c r="D826" s="26" t="s">
        <v>3663</v>
      </c>
      <c r="E826" s="28">
        <v>46113.0</v>
      </c>
      <c r="F826" s="28">
        <v>46171.0</v>
      </c>
      <c r="G826" s="29"/>
    </row>
    <row r="827" ht="15.75" customHeight="1">
      <c r="A827" s="30" t="s">
        <v>4491</v>
      </c>
      <c r="B827" s="31" t="s">
        <v>229</v>
      </c>
      <c r="C827" s="31" t="s">
        <v>930</v>
      </c>
      <c r="D827" s="30" t="s">
        <v>3663</v>
      </c>
      <c r="E827" s="32">
        <v>46113.0</v>
      </c>
      <c r="F827" s="32">
        <v>46171.0</v>
      </c>
      <c r="G827" s="33"/>
    </row>
    <row r="828" ht="15.75" customHeight="1">
      <c r="A828" s="26" t="s">
        <v>4492</v>
      </c>
      <c r="B828" s="27" t="s">
        <v>229</v>
      </c>
      <c r="C828" s="27" t="s">
        <v>3640</v>
      </c>
      <c r="D828" s="26" t="s">
        <v>3663</v>
      </c>
      <c r="E828" s="28">
        <v>46113.0</v>
      </c>
      <c r="F828" s="28">
        <v>46171.0</v>
      </c>
      <c r="G828" s="29"/>
    </row>
    <row r="829" ht="15.75" customHeight="1">
      <c r="A829" s="30" t="s">
        <v>4493</v>
      </c>
      <c r="B829" s="31" t="s">
        <v>229</v>
      </c>
      <c r="C829" s="31" t="s">
        <v>1323</v>
      </c>
      <c r="D829" s="30" t="s">
        <v>3663</v>
      </c>
      <c r="E829" s="32">
        <v>46113.0</v>
      </c>
      <c r="F829" s="32">
        <v>46171.0</v>
      </c>
      <c r="G829" s="33"/>
    </row>
    <row r="830" ht="15.75" customHeight="1">
      <c r="A830" s="26" t="s">
        <v>4494</v>
      </c>
      <c r="B830" s="27" t="s">
        <v>229</v>
      </c>
      <c r="C830" s="27" t="s">
        <v>1354</v>
      </c>
      <c r="D830" s="26" t="s">
        <v>3663</v>
      </c>
      <c r="E830" s="28">
        <v>46113.0</v>
      </c>
      <c r="F830" s="28">
        <v>46171.0</v>
      </c>
      <c r="G830" s="29"/>
    </row>
    <row r="831" ht="15.75" customHeight="1">
      <c r="A831" s="30" t="s">
        <v>4495</v>
      </c>
      <c r="B831" s="31" t="s">
        <v>229</v>
      </c>
      <c r="C831" s="31" t="s">
        <v>3656</v>
      </c>
      <c r="D831" s="30" t="s">
        <v>3663</v>
      </c>
      <c r="E831" s="32">
        <v>46113.0</v>
      </c>
      <c r="F831" s="32">
        <v>46171.0</v>
      </c>
      <c r="G831" s="33"/>
    </row>
    <row r="832" ht="15.75" customHeight="1">
      <c r="A832" s="26" t="s">
        <v>4496</v>
      </c>
      <c r="B832" s="27" t="s">
        <v>229</v>
      </c>
      <c r="C832" s="27" t="s">
        <v>3657</v>
      </c>
      <c r="D832" s="26" t="s">
        <v>3663</v>
      </c>
      <c r="E832" s="28">
        <v>46113.0</v>
      </c>
      <c r="F832" s="28">
        <v>46171.0</v>
      </c>
      <c r="G832" s="29"/>
    </row>
    <row r="833" ht="15.75" customHeight="1">
      <c r="A833" s="30" t="s">
        <v>4497</v>
      </c>
      <c r="B833" s="31" t="s">
        <v>229</v>
      </c>
      <c r="C833" s="31" t="s">
        <v>1157</v>
      </c>
      <c r="D833" s="30" t="s">
        <v>3663</v>
      </c>
      <c r="E833" s="32">
        <v>46113.0</v>
      </c>
      <c r="F833" s="32">
        <v>46171.0</v>
      </c>
      <c r="G833" s="33"/>
    </row>
    <row r="834" ht="15.75" customHeight="1">
      <c r="A834" s="26" t="s">
        <v>4498</v>
      </c>
      <c r="B834" s="27" t="s">
        <v>229</v>
      </c>
      <c r="C834" s="27" t="s">
        <v>1155</v>
      </c>
      <c r="D834" s="26" t="s">
        <v>3663</v>
      </c>
      <c r="E834" s="28">
        <v>46113.0</v>
      </c>
      <c r="F834" s="28">
        <v>46171.0</v>
      </c>
      <c r="G834" s="29"/>
    </row>
    <row r="835" ht="15.75" customHeight="1">
      <c r="A835" s="30" t="s">
        <v>4499</v>
      </c>
      <c r="B835" s="31" t="s">
        <v>229</v>
      </c>
      <c r="C835" s="31" t="s">
        <v>1153</v>
      </c>
      <c r="D835" s="30" t="s">
        <v>3663</v>
      </c>
      <c r="E835" s="32">
        <v>46113.0</v>
      </c>
      <c r="F835" s="32">
        <v>46171.0</v>
      </c>
      <c r="G835" s="33"/>
    </row>
    <row r="836" ht="15.75" customHeight="1">
      <c r="A836" s="26" t="s">
        <v>4500</v>
      </c>
      <c r="B836" s="27" t="s">
        <v>229</v>
      </c>
      <c r="C836" s="27" t="s">
        <v>1149</v>
      </c>
      <c r="D836" s="26" t="s">
        <v>3663</v>
      </c>
      <c r="E836" s="28">
        <v>46113.0</v>
      </c>
      <c r="F836" s="28">
        <v>46171.0</v>
      </c>
      <c r="G836" s="29"/>
    </row>
    <row r="837" ht="15.75" customHeight="1">
      <c r="A837" s="30" t="s">
        <v>4501</v>
      </c>
      <c r="B837" s="31" t="s">
        <v>229</v>
      </c>
      <c r="C837" s="31" t="s">
        <v>1351</v>
      </c>
      <c r="D837" s="30" t="s">
        <v>3663</v>
      </c>
      <c r="E837" s="32">
        <v>46113.0</v>
      </c>
      <c r="F837" s="32">
        <v>46171.0</v>
      </c>
      <c r="G837" s="33"/>
    </row>
    <row r="838" ht="15.75" customHeight="1">
      <c r="A838" s="26" t="s">
        <v>4502</v>
      </c>
      <c r="B838" s="27" t="s">
        <v>229</v>
      </c>
      <c r="C838" s="27" t="s">
        <v>1349</v>
      </c>
      <c r="D838" s="26" t="s">
        <v>3663</v>
      </c>
      <c r="E838" s="28">
        <v>46113.0</v>
      </c>
      <c r="F838" s="28">
        <v>46171.0</v>
      </c>
      <c r="G838" s="29"/>
    </row>
    <row r="839" ht="15.75" customHeight="1">
      <c r="A839" s="30" t="s">
        <v>4503</v>
      </c>
      <c r="B839" s="31" t="s">
        <v>229</v>
      </c>
      <c r="C839" s="31" t="s">
        <v>968</v>
      </c>
      <c r="D839" s="30" t="s">
        <v>3663</v>
      </c>
      <c r="E839" s="32">
        <v>46113.0</v>
      </c>
      <c r="F839" s="32">
        <v>46171.0</v>
      </c>
      <c r="G839" s="33"/>
    </row>
    <row r="840" ht="15.75" customHeight="1">
      <c r="A840" s="26" t="s">
        <v>4504</v>
      </c>
      <c r="B840" s="27" t="s">
        <v>229</v>
      </c>
      <c r="C840" s="27" t="s">
        <v>923</v>
      </c>
      <c r="D840" s="26" t="s">
        <v>3663</v>
      </c>
      <c r="E840" s="28">
        <v>46113.0</v>
      </c>
      <c r="F840" s="28">
        <v>46171.0</v>
      </c>
      <c r="G840" s="29"/>
    </row>
    <row r="841" ht="15.75" customHeight="1">
      <c r="A841" s="30" t="s">
        <v>4505</v>
      </c>
      <c r="B841" s="31" t="s">
        <v>230</v>
      </c>
      <c r="C841" s="31" t="s">
        <v>932</v>
      </c>
      <c r="D841" s="30" t="s">
        <v>3663</v>
      </c>
      <c r="E841" s="32">
        <v>46113.0</v>
      </c>
      <c r="F841" s="32">
        <v>46171.0</v>
      </c>
      <c r="G841" s="33"/>
    </row>
    <row r="842" ht="15.75" customHeight="1">
      <c r="A842" s="26" t="s">
        <v>4506</v>
      </c>
      <c r="B842" s="27" t="s">
        <v>230</v>
      </c>
      <c r="C842" s="27" t="s">
        <v>1168</v>
      </c>
      <c r="D842" s="26" t="s">
        <v>3663</v>
      </c>
      <c r="E842" s="28">
        <v>46113.0</v>
      </c>
      <c r="F842" s="28">
        <v>46171.0</v>
      </c>
      <c r="G842" s="29"/>
    </row>
    <row r="843" ht="15.75" customHeight="1">
      <c r="A843" s="30" t="s">
        <v>4507</v>
      </c>
      <c r="B843" s="31" t="s">
        <v>230</v>
      </c>
      <c r="C843" s="31" t="s">
        <v>1170</v>
      </c>
      <c r="D843" s="30" t="s">
        <v>3663</v>
      </c>
      <c r="E843" s="32">
        <v>46113.0</v>
      </c>
      <c r="F843" s="32">
        <v>46171.0</v>
      </c>
      <c r="G843" s="33"/>
    </row>
    <row r="844" ht="15.75" customHeight="1">
      <c r="A844" s="26" t="s">
        <v>4508</v>
      </c>
      <c r="B844" s="27" t="s">
        <v>230</v>
      </c>
      <c r="C844" s="27" t="s">
        <v>1288</v>
      </c>
      <c r="D844" s="26" t="s">
        <v>3663</v>
      </c>
      <c r="E844" s="28">
        <v>46113.0</v>
      </c>
      <c r="F844" s="28">
        <v>46171.0</v>
      </c>
      <c r="G844" s="29"/>
    </row>
    <row r="845" ht="15.75" customHeight="1">
      <c r="A845" s="30" t="s">
        <v>4509</v>
      </c>
      <c r="B845" s="31" t="s">
        <v>230</v>
      </c>
      <c r="C845" s="31" t="s">
        <v>1291</v>
      </c>
      <c r="D845" s="30" t="s">
        <v>3663</v>
      </c>
      <c r="E845" s="32">
        <v>46113.0</v>
      </c>
      <c r="F845" s="32">
        <v>46171.0</v>
      </c>
      <c r="G845" s="33"/>
    </row>
    <row r="846" ht="15.75" customHeight="1">
      <c r="A846" s="26" t="s">
        <v>4510</v>
      </c>
      <c r="B846" s="27" t="s">
        <v>230</v>
      </c>
      <c r="C846" s="27" t="s">
        <v>1354</v>
      </c>
      <c r="D846" s="26" t="s">
        <v>3663</v>
      </c>
      <c r="E846" s="28">
        <v>46113.0</v>
      </c>
      <c r="F846" s="28">
        <v>46171.0</v>
      </c>
      <c r="G846" s="29"/>
    </row>
    <row r="847" ht="15.75" customHeight="1">
      <c r="A847" s="30" t="s">
        <v>4511</v>
      </c>
      <c r="B847" s="31" t="s">
        <v>230</v>
      </c>
      <c r="C847" s="31" t="s">
        <v>3681</v>
      </c>
      <c r="D847" s="30" t="s">
        <v>3663</v>
      </c>
      <c r="E847" s="32">
        <v>46113.0</v>
      </c>
      <c r="F847" s="32">
        <v>46171.0</v>
      </c>
      <c r="G847" s="33"/>
    </row>
    <row r="848" ht="15.75" customHeight="1">
      <c r="A848" s="26" t="s">
        <v>4512</v>
      </c>
      <c r="B848" s="27" t="s">
        <v>230</v>
      </c>
      <c r="C848" s="27" t="s">
        <v>3683</v>
      </c>
      <c r="D848" s="26" t="s">
        <v>3663</v>
      </c>
      <c r="E848" s="28">
        <v>46113.0</v>
      </c>
      <c r="F848" s="28">
        <v>46171.0</v>
      </c>
      <c r="G848" s="29"/>
    </row>
    <row r="849" ht="15.75" customHeight="1">
      <c r="A849" s="30" t="s">
        <v>4513</v>
      </c>
      <c r="B849" s="31" t="s">
        <v>230</v>
      </c>
      <c r="C849" s="31" t="s">
        <v>1216</v>
      </c>
      <c r="D849" s="30" t="s">
        <v>3663</v>
      </c>
      <c r="E849" s="32">
        <v>46113.0</v>
      </c>
      <c r="F849" s="32">
        <v>46171.0</v>
      </c>
      <c r="G849" s="33"/>
    </row>
    <row r="850" ht="15.75" customHeight="1">
      <c r="A850" s="26" t="s">
        <v>4514</v>
      </c>
      <c r="B850" s="27" t="s">
        <v>230</v>
      </c>
      <c r="C850" s="27" t="s">
        <v>1218</v>
      </c>
      <c r="D850" s="26" t="s">
        <v>3663</v>
      </c>
      <c r="E850" s="28">
        <v>46113.0</v>
      </c>
      <c r="F850" s="28">
        <v>46171.0</v>
      </c>
      <c r="G850" s="29"/>
    </row>
    <row r="851" ht="15.75" customHeight="1">
      <c r="A851" s="30" t="s">
        <v>4515</v>
      </c>
      <c r="B851" s="31" t="s">
        <v>230</v>
      </c>
      <c r="C851" s="31" t="s">
        <v>1351</v>
      </c>
      <c r="D851" s="30" t="s">
        <v>3663</v>
      </c>
      <c r="E851" s="32">
        <v>46113.0</v>
      </c>
      <c r="F851" s="32">
        <v>46171.0</v>
      </c>
      <c r="G851" s="33"/>
    </row>
    <row r="852" ht="15.75" customHeight="1">
      <c r="A852" s="26" t="s">
        <v>4516</v>
      </c>
      <c r="B852" s="27" t="s">
        <v>230</v>
      </c>
      <c r="C852" s="27" t="s">
        <v>1349</v>
      </c>
      <c r="D852" s="26" t="s">
        <v>3663</v>
      </c>
      <c r="E852" s="28">
        <v>46113.0</v>
      </c>
      <c r="F852" s="28">
        <v>46171.0</v>
      </c>
      <c r="G852" s="29"/>
    </row>
    <row r="853" ht="15.75" customHeight="1">
      <c r="A853" s="30" t="s">
        <v>4517</v>
      </c>
      <c r="B853" s="31" t="s">
        <v>230</v>
      </c>
      <c r="C853" s="31" t="s">
        <v>968</v>
      </c>
      <c r="D853" s="30" t="s">
        <v>3663</v>
      </c>
      <c r="E853" s="32">
        <v>46113.0</v>
      </c>
      <c r="F853" s="32">
        <v>46171.0</v>
      </c>
      <c r="G853" s="33"/>
    </row>
    <row r="854" ht="15.75" customHeight="1">
      <c r="A854" s="26" t="s">
        <v>4518</v>
      </c>
      <c r="B854" s="27" t="s">
        <v>230</v>
      </c>
      <c r="C854" s="27" t="s">
        <v>923</v>
      </c>
      <c r="D854" s="26" t="s">
        <v>3663</v>
      </c>
      <c r="E854" s="28">
        <v>46113.0</v>
      </c>
      <c r="F854" s="28">
        <v>46171.0</v>
      </c>
      <c r="G854" s="29"/>
    </row>
    <row r="855" ht="15.75" customHeight="1">
      <c r="A855" s="30" t="s">
        <v>4519</v>
      </c>
      <c r="B855" s="31" t="s">
        <v>231</v>
      </c>
      <c r="C855" s="31" t="s">
        <v>930</v>
      </c>
      <c r="D855" s="30" t="s">
        <v>3663</v>
      </c>
      <c r="E855" s="32">
        <v>46113.0</v>
      </c>
      <c r="F855" s="32">
        <v>46171.0</v>
      </c>
      <c r="G855" s="33"/>
    </row>
    <row r="856" ht="15.75" customHeight="1">
      <c r="A856" s="26" t="s">
        <v>4520</v>
      </c>
      <c r="B856" s="27" t="s">
        <v>231</v>
      </c>
      <c r="C856" s="27" t="s">
        <v>1354</v>
      </c>
      <c r="D856" s="26" t="s">
        <v>3663</v>
      </c>
      <c r="E856" s="28">
        <v>46113.0</v>
      </c>
      <c r="F856" s="28">
        <v>46171.0</v>
      </c>
      <c r="G856" s="29"/>
    </row>
    <row r="857" ht="15.75" customHeight="1">
      <c r="A857" s="30" t="s">
        <v>4521</v>
      </c>
      <c r="B857" s="31" t="s">
        <v>231</v>
      </c>
      <c r="C857" s="31" t="s">
        <v>3641</v>
      </c>
      <c r="D857" s="30" t="s">
        <v>3663</v>
      </c>
      <c r="E857" s="32">
        <v>46113.0</v>
      </c>
      <c r="F857" s="32">
        <v>46171.0</v>
      </c>
      <c r="G857" s="33"/>
    </row>
    <row r="858" ht="15.75" customHeight="1">
      <c r="A858" s="26" t="s">
        <v>4522</v>
      </c>
      <c r="B858" s="27" t="s">
        <v>231</v>
      </c>
      <c r="C858" s="27" t="s">
        <v>1304</v>
      </c>
      <c r="D858" s="26" t="s">
        <v>3663</v>
      </c>
      <c r="E858" s="28">
        <v>46113.0</v>
      </c>
      <c r="F858" s="28">
        <v>46171.0</v>
      </c>
      <c r="G858" s="29"/>
    </row>
    <row r="859" ht="15.75" customHeight="1">
      <c r="A859" s="30" t="s">
        <v>4523</v>
      </c>
      <c r="B859" s="31" t="s">
        <v>231</v>
      </c>
      <c r="C859" s="31" t="s">
        <v>3642</v>
      </c>
      <c r="D859" s="30" t="s">
        <v>3663</v>
      </c>
      <c r="E859" s="32">
        <v>46113.0</v>
      </c>
      <c r="F859" s="32">
        <v>46171.0</v>
      </c>
      <c r="G859" s="33"/>
    </row>
    <row r="860" ht="15.75" customHeight="1">
      <c r="A860" s="26" t="s">
        <v>4524</v>
      </c>
      <c r="B860" s="27" t="s">
        <v>231</v>
      </c>
      <c r="C860" s="27" t="s">
        <v>1308</v>
      </c>
      <c r="D860" s="26" t="s">
        <v>3663</v>
      </c>
      <c r="E860" s="28">
        <v>46113.0</v>
      </c>
      <c r="F860" s="28">
        <v>46171.0</v>
      </c>
      <c r="G860" s="29"/>
    </row>
    <row r="861" ht="15.75" customHeight="1">
      <c r="A861" s="30" t="s">
        <v>4525</v>
      </c>
      <c r="B861" s="31" t="s">
        <v>231</v>
      </c>
      <c r="C861" s="31" t="s">
        <v>1172</v>
      </c>
      <c r="D861" s="30" t="s">
        <v>3663</v>
      </c>
      <c r="E861" s="32">
        <v>46113.0</v>
      </c>
      <c r="F861" s="32">
        <v>46171.0</v>
      </c>
      <c r="G861" s="34"/>
    </row>
    <row r="862" ht="15.75" customHeight="1">
      <c r="A862" s="26" t="s">
        <v>4526</v>
      </c>
      <c r="B862" s="27" t="s">
        <v>231</v>
      </c>
      <c r="C862" s="27" t="s">
        <v>1351</v>
      </c>
      <c r="D862" s="26" t="s">
        <v>3663</v>
      </c>
      <c r="E862" s="28">
        <v>46113.0</v>
      </c>
      <c r="F862" s="28">
        <v>46171.0</v>
      </c>
      <c r="G862" s="29"/>
    </row>
    <row r="863" ht="15.75" customHeight="1">
      <c r="A863" s="30" t="s">
        <v>4527</v>
      </c>
      <c r="B863" s="31" t="s">
        <v>231</v>
      </c>
      <c r="C863" s="31" t="s">
        <v>1349</v>
      </c>
      <c r="D863" s="30" t="s">
        <v>3663</v>
      </c>
      <c r="E863" s="32">
        <v>46113.0</v>
      </c>
      <c r="F863" s="32">
        <v>46171.0</v>
      </c>
      <c r="G863" s="33"/>
    </row>
    <row r="864" ht="15.75" customHeight="1">
      <c r="A864" s="26" t="s">
        <v>4528</v>
      </c>
      <c r="B864" s="27" t="s">
        <v>231</v>
      </c>
      <c r="C864" s="27" t="s">
        <v>3653</v>
      </c>
      <c r="D864" s="26" t="s">
        <v>3663</v>
      </c>
      <c r="E864" s="28">
        <v>46113.0</v>
      </c>
      <c r="F864" s="28">
        <v>46171.0</v>
      </c>
      <c r="G864" s="29"/>
    </row>
    <row r="865" ht="15.75" customHeight="1">
      <c r="A865" s="30" t="s">
        <v>4529</v>
      </c>
      <c r="B865" s="31" t="s">
        <v>231</v>
      </c>
      <c r="C865" s="31" t="s">
        <v>3652</v>
      </c>
      <c r="D865" s="30" t="s">
        <v>3663</v>
      </c>
      <c r="E865" s="32">
        <v>46113.0</v>
      </c>
      <c r="F865" s="32">
        <v>46171.0</v>
      </c>
      <c r="G865" s="33"/>
    </row>
    <row r="866" ht="15.75" customHeight="1">
      <c r="A866" s="26" t="s">
        <v>4530</v>
      </c>
      <c r="B866" s="27" t="s">
        <v>231</v>
      </c>
      <c r="C866" s="27" t="s">
        <v>968</v>
      </c>
      <c r="D866" s="26" t="s">
        <v>3663</v>
      </c>
      <c r="E866" s="28">
        <v>46113.0</v>
      </c>
      <c r="F866" s="28">
        <v>46171.0</v>
      </c>
      <c r="G866" s="29"/>
    </row>
    <row r="867" ht="15.75" customHeight="1">
      <c r="A867" s="30" t="s">
        <v>4531</v>
      </c>
      <c r="B867" s="31" t="s">
        <v>231</v>
      </c>
      <c r="C867" s="31" t="s">
        <v>923</v>
      </c>
      <c r="D867" s="30" t="s">
        <v>3663</v>
      </c>
      <c r="E867" s="32">
        <v>46113.0</v>
      </c>
      <c r="F867" s="32">
        <v>46171.0</v>
      </c>
      <c r="G867" s="33"/>
    </row>
    <row r="868" ht="15.75" customHeight="1">
      <c r="A868" s="26" t="s">
        <v>4532</v>
      </c>
      <c r="B868" s="27" t="s">
        <v>231</v>
      </c>
      <c r="C868" s="27" t="s">
        <v>955</v>
      </c>
      <c r="D868" s="26" t="s">
        <v>3663</v>
      </c>
      <c r="E868" s="28">
        <v>46113.0</v>
      </c>
      <c r="F868" s="28">
        <v>46171.0</v>
      </c>
      <c r="G868" s="29"/>
    </row>
    <row r="869" ht="15.75" customHeight="1">
      <c r="A869" s="30" t="s">
        <v>4533</v>
      </c>
      <c r="B869" s="31" t="s">
        <v>232</v>
      </c>
      <c r="C869" s="31" t="s">
        <v>930</v>
      </c>
      <c r="D869" s="30" t="s">
        <v>3663</v>
      </c>
      <c r="E869" s="32">
        <v>46113.0</v>
      </c>
      <c r="F869" s="32">
        <v>46171.0</v>
      </c>
      <c r="G869" s="33"/>
    </row>
    <row r="870" ht="15.75" customHeight="1">
      <c r="A870" s="26" t="s">
        <v>4534</v>
      </c>
      <c r="B870" s="27" t="s">
        <v>232</v>
      </c>
      <c r="C870" s="27" t="s">
        <v>1354</v>
      </c>
      <c r="D870" s="26" t="s">
        <v>3663</v>
      </c>
      <c r="E870" s="28">
        <v>46113.0</v>
      </c>
      <c r="F870" s="28">
        <v>46171.0</v>
      </c>
      <c r="G870" s="29"/>
    </row>
    <row r="871" ht="15.75" customHeight="1">
      <c r="A871" s="30" t="s">
        <v>4535</v>
      </c>
      <c r="B871" s="31" t="s">
        <v>232</v>
      </c>
      <c r="C871" s="31" t="s">
        <v>3641</v>
      </c>
      <c r="D871" s="30" t="s">
        <v>3663</v>
      </c>
      <c r="E871" s="32">
        <v>46113.0</v>
      </c>
      <c r="F871" s="32">
        <v>46171.0</v>
      </c>
      <c r="G871" s="33"/>
    </row>
    <row r="872" ht="15.75" customHeight="1">
      <c r="A872" s="26" t="s">
        <v>4536</v>
      </c>
      <c r="B872" s="27" t="s">
        <v>232</v>
      </c>
      <c r="C872" s="27" t="s">
        <v>1304</v>
      </c>
      <c r="D872" s="26" t="s">
        <v>3663</v>
      </c>
      <c r="E872" s="28">
        <v>46113.0</v>
      </c>
      <c r="F872" s="28">
        <v>46171.0</v>
      </c>
      <c r="G872" s="29"/>
    </row>
    <row r="873" ht="15.75" customHeight="1">
      <c r="A873" s="30" t="s">
        <v>4537</v>
      </c>
      <c r="B873" s="31" t="s">
        <v>232</v>
      </c>
      <c r="C873" s="31" t="s">
        <v>3642</v>
      </c>
      <c r="D873" s="30" t="s">
        <v>3663</v>
      </c>
      <c r="E873" s="32">
        <v>46113.0</v>
      </c>
      <c r="F873" s="32">
        <v>46171.0</v>
      </c>
      <c r="G873" s="33"/>
    </row>
    <row r="874" ht="15.75" customHeight="1">
      <c r="A874" s="26" t="s">
        <v>4538</v>
      </c>
      <c r="B874" s="27" t="s">
        <v>232</v>
      </c>
      <c r="C874" s="27" t="s">
        <v>1308</v>
      </c>
      <c r="D874" s="26" t="s">
        <v>3663</v>
      </c>
      <c r="E874" s="28">
        <v>46113.0</v>
      </c>
      <c r="F874" s="28">
        <v>46171.0</v>
      </c>
      <c r="G874" s="29"/>
    </row>
    <row r="875" ht="15.75" customHeight="1">
      <c r="A875" s="30" t="s">
        <v>4539</v>
      </c>
      <c r="B875" s="31" t="s">
        <v>232</v>
      </c>
      <c r="C875" s="31" t="s">
        <v>1190</v>
      </c>
      <c r="D875" s="30" t="s">
        <v>3663</v>
      </c>
      <c r="E875" s="32">
        <v>46113.0</v>
      </c>
      <c r="F875" s="32">
        <v>46171.0</v>
      </c>
      <c r="G875" s="33"/>
    </row>
    <row r="876" ht="15.75" customHeight="1">
      <c r="A876" s="26" t="s">
        <v>4540</v>
      </c>
      <c r="B876" s="27" t="s">
        <v>232</v>
      </c>
      <c r="C876" s="27" t="s">
        <v>3656</v>
      </c>
      <c r="D876" s="26" t="s">
        <v>3663</v>
      </c>
      <c r="E876" s="28">
        <v>46113.0</v>
      </c>
      <c r="F876" s="28">
        <v>46171.0</v>
      </c>
      <c r="G876" s="29"/>
    </row>
    <row r="877" ht="15.75" customHeight="1">
      <c r="A877" s="30" t="s">
        <v>4541</v>
      </c>
      <c r="B877" s="31" t="s">
        <v>232</v>
      </c>
      <c r="C877" s="31" t="s">
        <v>3657</v>
      </c>
      <c r="D877" s="30" t="s">
        <v>3663</v>
      </c>
      <c r="E877" s="32">
        <v>46113.0</v>
      </c>
      <c r="F877" s="32">
        <v>46171.0</v>
      </c>
      <c r="G877" s="33"/>
    </row>
    <row r="878" ht="15.75" customHeight="1">
      <c r="A878" s="26" t="s">
        <v>4542</v>
      </c>
      <c r="B878" s="27" t="s">
        <v>232</v>
      </c>
      <c r="C878" s="27" t="s">
        <v>1351</v>
      </c>
      <c r="D878" s="26" t="s">
        <v>3663</v>
      </c>
      <c r="E878" s="28">
        <v>46113.0</v>
      </c>
      <c r="F878" s="28">
        <v>46171.0</v>
      </c>
      <c r="G878" s="29"/>
    </row>
    <row r="879" ht="15.75" customHeight="1">
      <c r="A879" s="30" t="s">
        <v>4543</v>
      </c>
      <c r="B879" s="31" t="s">
        <v>232</v>
      </c>
      <c r="C879" s="31" t="s">
        <v>1349</v>
      </c>
      <c r="D879" s="30" t="s">
        <v>3663</v>
      </c>
      <c r="E879" s="32">
        <v>46113.0</v>
      </c>
      <c r="F879" s="32">
        <v>46171.0</v>
      </c>
      <c r="G879" s="33"/>
    </row>
    <row r="880" ht="15.75" customHeight="1">
      <c r="A880" s="26" t="s">
        <v>4544</v>
      </c>
      <c r="B880" s="27" t="s">
        <v>232</v>
      </c>
      <c r="C880" s="27" t="s">
        <v>968</v>
      </c>
      <c r="D880" s="26" t="s">
        <v>3663</v>
      </c>
      <c r="E880" s="28">
        <v>46113.0</v>
      </c>
      <c r="F880" s="28">
        <v>46171.0</v>
      </c>
      <c r="G880" s="29"/>
    </row>
    <row r="881" ht="15.75" customHeight="1">
      <c r="A881" s="30" t="s">
        <v>4545</v>
      </c>
      <c r="B881" s="31" t="s">
        <v>232</v>
      </c>
      <c r="C881" s="31" t="s">
        <v>923</v>
      </c>
      <c r="D881" s="30" t="s">
        <v>3663</v>
      </c>
      <c r="E881" s="32">
        <v>46113.0</v>
      </c>
      <c r="F881" s="32">
        <v>46171.0</v>
      </c>
      <c r="G881" s="33"/>
    </row>
    <row r="882" ht="15.75" customHeight="1">
      <c r="A882" s="26" t="s">
        <v>4546</v>
      </c>
      <c r="B882" s="27" t="s">
        <v>232</v>
      </c>
      <c r="C882" s="27" t="s">
        <v>961</v>
      </c>
      <c r="D882" s="26" t="s">
        <v>3663</v>
      </c>
      <c r="E882" s="28">
        <v>46113.0</v>
      </c>
      <c r="F882" s="28">
        <v>46171.0</v>
      </c>
      <c r="G882" s="29"/>
    </row>
    <row r="883" ht="15.75" customHeight="1">
      <c r="A883" s="30" t="s">
        <v>4547</v>
      </c>
      <c r="B883" s="31" t="s">
        <v>233</v>
      </c>
      <c r="C883" s="31" t="s">
        <v>3654</v>
      </c>
      <c r="D883" s="30" t="s">
        <v>3663</v>
      </c>
      <c r="E883" s="32">
        <v>46113.0</v>
      </c>
      <c r="F883" s="32">
        <v>46171.0</v>
      </c>
      <c r="G883" s="33"/>
    </row>
    <row r="884" ht="15.75" customHeight="1">
      <c r="A884" s="26" t="s">
        <v>4548</v>
      </c>
      <c r="B884" s="27" t="s">
        <v>233</v>
      </c>
      <c r="C884" s="27" t="s">
        <v>3655</v>
      </c>
      <c r="D884" s="26" t="s">
        <v>3663</v>
      </c>
      <c r="E884" s="28">
        <v>46113.0</v>
      </c>
      <c r="F884" s="28">
        <v>46171.0</v>
      </c>
      <c r="G884" s="29"/>
    </row>
    <row r="885" ht="15.75" customHeight="1">
      <c r="A885" s="30" t="s">
        <v>4549</v>
      </c>
      <c r="B885" s="31" t="s">
        <v>233</v>
      </c>
      <c r="C885" s="31" t="s">
        <v>934</v>
      </c>
      <c r="D885" s="30" t="s">
        <v>3663</v>
      </c>
      <c r="E885" s="32">
        <v>46113.0</v>
      </c>
      <c r="F885" s="32">
        <v>46171.0</v>
      </c>
      <c r="G885" s="33"/>
    </row>
    <row r="886" ht="15.75" customHeight="1">
      <c r="A886" s="26" t="s">
        <v>4550</v>
      </c>
      <c r="B886" s="27" t="s">
        <v>233</v>
      </c>
      <c r="C886" s="27" t="s">
        <v>1354</v>
      </c>
      <c r="D886" s="26" t="s">
        <v>3663</v>
      </c>
      <c r="E886" s="28">
        <v>46113.0</v>
      </c>
      <c r="F886" s="28">
        <v>46171.0</v>
      </c>
      <c r="G886" s="29"/>
    </row>
    <row r="887" ht="15.75" customHeight="1">
      <c r="A887" s="30" t="s">
        <v>4551</v>
      </c>
      <c r="B887" s="31" t="s">
        <v>233</v>
      </c>
      <c r="C887" s="31" t="s">
        <v>1172</v>
      </c>
      <c r="D887" s="30" t="s">
        <v>3663</v>
      </c>
      <c r="E887" s="32">
        <v>46113.0</v>
      </c>
      <c r="F887" s="32">
        <v>46171.0</v>
      </c>
      <c r="G887" s="34"/>
    </row>
    <row r="888" ht="15.75" customHeight="1">
      <c r="A888" s="26" t="s">
        <v>4552</v>
      </c>
      <c r="B888" s="27" t="s">
        <v>233</v>
      </c>
      <c r="C888" s="27" t="s">
        <v>1312</v>
      </c>
      <c r="D888" s="26" t="s">
        <v>3663</v>
      </c>
      <c r="E888" s="28">
        <v>46113.0</v>
      </c>
      <c r="F888" s="28">
        <v>46171.0</v>
      </c>
      <c r="G888" s="29"/>
    </row>
    <row r="889" ht="15.75" customHeight="1">
      <c r="A889" s="30" t="s">
        <v>4553</v>
      </c>
      <c r="B889" s="31" t="s">
        <v>233</v>
      </c>
      <c r="C889" s="31" t="s">
        <v>1157</v>
      </c>
      <c r="D889" s="30" t="s">
        <v>3663</v>
      </c>
      <c r="E889" s="32">
        <v>46113.0</v>
      </c>
      <c r="F889" s="32">
        <v>46171.0</v>
      </c>
      <c r="G889" s="33"/>
    </row>
    <row r="890" ht="15.75" customHeight="1">
      <c r="A890" s="26" t="s">
        <v>4554</v>
      </c>
      <c r="B890" s="27" t="s">
        <v>233</v>
      </c>
      <c r="C890" s="27" t="s">
        <v>1155</v>
      </c>
      <c r="D890" s="26" t="s">
        <v>3663</v>
      </c>
      <c r="E890" s="28">
        <v>46113.0</v>
      </c>
      <c r="F890" s="28">
        <v>46171.0</v>
      </c>
      <c r="G890" s="29"/>
    </row>
    <row r="891" ht="15.75" customHeight="1">
      <c r="A891" s="30" t="s">
        <v>4555</v>
      </c>
      <c r="B891" s="31" t="s">
        <v>233</v>
      </c>
      <c r="C891" s="31" t="s">
        <v>1153</v>
      </c>
      <c r="D891" s="30" t="s">
        <v>3663</v>
      </c>
      <c r="E891" s="32">
        <v>46113.0</v>
      </c>
      <c r="F891" s="32">
        <v>46171.0</v>
      </c>
      <c r="G891" s="33"/>
    </row>
    <row r="892" ht="15.75" customHeight="1">
      <c r="A892" s="26" t="s">
        <v>4556</v>
      </c>
      <c r="B892" s="27" t="s">
        <v>233</v>
      </c>
      <c r="C892" s="27" t="s">
        <v>1149</v>
      </c>
      <c r="D892" s="26" t="s">
        <v>3663</v>
      </c>
      <c r="E892" s="28">
        <v>46113.0</v>
      </c>
      <c r="F892" s="28">
        <v>46171.0</v>
      </c>
      <c r="G892" s="29"/>
    </row>
    <row r="893" ht="15.75" customHeight="1">
      <c r="A893" s="30" t="s">
        <v>4557</v>
      </c>
      <c r="B893" s="31" t="s">
        <v>233</v>
      </c>
      <c r="C893" s="31" t="s">
        <v>1351</v>
      </c>
      <c r="D893" s="30" t="s">
        <v>3663</v>
      </c>
      <c r="E893" s="32">
        <v>46113.0</v>
      </c>
      <c r="F893" s="32">
        <v>46171.0</v>
      </c>
      <c r="G893" s="33"/>
    </row>
    <row r="894" ht="15.75" customHeight="1">
      <c r="A894" s="26" t="s">
        <v>4558</v>
      </c>
      <c r="B894" s="27" t="s">
        <v>233</v>
      </c>
      <c r="C894" s="27" t="s">
        <v>1349</v>
      </c>
      <c r="D894" s="26" t="s">
        <v>3663</v>
      </c>
      <c r="E894" s="28">
        <v>46113.0</v>
      </c>
      <c r="F894" s="28">
        <v>46171.0</v>
      </c>
      <c r="G894" s="29"/>
    </row>
    <row r="895" ht="15.75" customHeight="1">
      <c r="A895" s="30" t="s">
        <v>4559</v>
      </c>
      <c r="B895" s="31" t="s">
        <v>233</v>
      </c>
      <c r="C895" s="31" t="s">
        <v>968</v>
      </c>
      <c r="D895" s="30" t="s">
        <v>3663</v>
      </c>
      <c r="E895" s="32">
        <v>46113.0</v>
      </c>
      <c r="F895" s="32">
        <v>46171.0</v>
      </c>
      <c r="G895" s="33"/>
    </row>
    <row r="896" ht="15.75" customHeight="1">
      <c r="A896" s="26" t="s">
        <v>4560</v>
      </c>
      <c r="B896" s="27" t="s">
        <v>233</v>
      </c>
      <c r="C896" s="27" t="s">
        <v>923</v>
      </c>
      <c r="D896" s="26" t="s">
        <v>3663</v>
      </c>
      <c r="E896" s="28">
        <v>46113.0</v>
      </c>
      <c r="F896" s="28">
        <v>46171.0</v>
      </c>
      <c r="G896" s="29"/>
    </row>
    <row r="897" ht="15.75" customHeight="1">
      <c r="A897" s="30" t="s">
        <v>4561</v>
      </c>
      <c r="B897" s="31" t="s">
        <v>234</v>
      </c>
      <c r="C897" s="31" t="s">
        <v>932</v>
      </c>
      <c r="D897" s="30" t="s">
        <v>3663</v>
      </c>
      <c r="E897" s="32">
        <v>46113.0</v>
      </c>
      <c r="F897" s="32">
        <v>46171.0</v>
      </c>
      <c r="G897" s="33"/>
    </row>
    <row r="898" ht="15.75" customHeight="1">
      <c r="A898" s="26" t="s">
        <v>4562</v>
      </c>
      <c r="B898" s="27" t="s">
        <v>234</v>
      </c>
      <c r="C898" s="27" t="s">
        <v>1168</v>
      </c>
      <c r="D898" s="26" t="s">
        <v>3663</v>
      </c>
      <c r="E898" s="28">
        <v>46113.0</v>
      </c>
      <c r="F898" s="28">
        <v>46171.0</v>
      </c>
      <c r="G898" s="29"/>
    </row>
    <row r="899" ht="15.75" customHeight="1">
      <c r="A899" s="30" t="s">
        <v>4563</v>
      </c>
      <c r="B899" s="31" t="s">
        <v>234</v>
      </c>
      <c r="C899" s="31" t="s">
        <v>1170</v>
      </c>
      <c r="D899" s="30" t="s">
        <v>3663</v>
      </c>
      <c r="E899" s="32">
        <v>46113.0</v>
      </c>
      <c r="F899" s="32">
        <v>46171.0</v>
      </c>
      <c r="G899" s="33"/>
    </row>
    <row r="900" ht="15.75" customHeight="1">
      <c r="A900" s="26" t="s">
        <v>4564</v>
      </c>
      <c r="B900" s="27" t="s">
        <v>234</v>
      </c>
      <c r="C900" s="27" t="s">
        <v>1288</v>
      </c>
      <c r="D900" s="26" t="s">
        <v>3663</v>
      </c>
      <c r="E900" s="28">
        <v>46113.0</v>
      </c>
      <c r="F900" s="28">
        <v>46171.0</v>
      </c>
      <c r="G900" s="29"/>
    </row>
    <row r="901" ht="15.75" customHeight="1">
      <c r="A901" s="30" t="s">
        <v>4565</v>
      </c>
      <c r="B901" s="31" t="s">
        <v>234</v>
      </c>
      <c r="C901" s="31" t="s">
        <v>1291</v>
      </c>
      <c r="D901" s="30" t="s">
        <v>3663</v>
      </c>
      <c r="E901" s="32">
        <v>46113.0</v>
      </c>
      <c r="F901" s="32">
        <v>46171.0</v>
      </c>
      <c r="G901" s="33"/>
    </row>
    <row r="902" ht="15.75" customHeight="1">
      <c r="A902" s="26" t="s">
        <v>4566</v>
      </c>
      <c r="B902" s="27" t="s">
        <v>234</v>
      </c>
      <c r="C902" s="27" t="s">
        <v>1354</v>
      </c>
      <c r="D902" s="26" t="s">
        <v>3663</v>
      </c>
      <c r="E902" s="28">
        <v>46113.0</v>
      </c>
      <c r="F902" s="28">
        <v>46171.0</v>
      </c>
      <c r="G902" s="29"/>
    </row>
    <row r="903" ht="15.75" customHeight="1">
      <c r="A903" s="30" t="s">
        <v>4567</v>
      </c>
      <c r="B903" s="31" t="s">
        <v>234</v>
      </c>
      <c r="C903" s="31" t="s">
        <v>1172</v>
      </c>
      <c r="D903" s="30" t="s">
        <v>3663</v>
      </c>
      <c r="E903" s="32">
        <v>46113.0</v>
      </c>
      <c r="F903" s="32">
        <v>46171.0</v>
      </c>
      <c r="G903" s="33"/>
    </row>
    <row r="904" ht="15.75" customHeight="1">
      <c r="A904" s="26" t="s">
        <v>4568</v>
      </c>
      <c r="B904" s="27" t="s">
        <v>234</v>
      </c>
      <c r="C904" s="27" t="s">
        <v>1312</v>
      </c>
      <c r="D904" s="26" t="s">
        <v>3663</v>
      </c>
      <c r="E904" s="28">
        <v>46113.0</v>
      </c>
      <c r="F904" s="28">
        <v>46171.0</v>
      </c>
      <c r="G904" s="29"/>
    </row>
    <row r="905" ht="15.75" customHeight="1">
      <c r="A905" s="30" t="s">
        <v>4569</v>
      </c>
      <c r="B905" s="31" t="s">
        <v>234</v>
      </c>
      <c r="C905" s="31" t="s">
        <v>3656</v>
      </c>
      <c r="D905" s="30" t="s">
        <v>3663</v>
      </c>
      <c r="E905" s="32">
        <v>46113.0</v>
      </c>
      <c r="F905" s="32">
        <v>46171.0</v>
      </c>
      <c r="G905" s="33"/>
    </row>
    <row r="906" ht="15.75" customHeight="1">
      <c r="A906" s="26" t="s">
        <v>4570</v>
      </c>
      <c r="B906" s="27" t="s">
        <v>234</v>
      </c>
      <c r="C906" s="27" t="s">
        <v>3657</v>
      </c>
      <c r="D906" s="26" t="s">
        <v>3663</v>
      </c>
      <c r="E906" s="28">
        <v>46113.0</v>
      </c>
      <c r="F906" s="28">
        <v>46171.0</v>
      </c>
      <c r="G906" s="29"/>
    </row>
    <row r="907" ht="15.75" customHeight="1">
      <c r="A907" s="30" t="s">
        <v>4571</v>
      </c>
      <c r="B907" s="31" t="s">
        <v>234</v>
      </c>
      <c r="C907" s="31" t="s">
        <v>3647</v>
      </c>
      <c r="D907" s="30" t="s">
        <v>3663</v>
      </c>
      <c r="E907" s="32">
        <v>46113.0</v>
      </c>
      <c r="F907" s="32">
        <v>46171.0</v>
      </c>
      <c r="G907" s="33"/>
    </row>
    <row r="908" ht="15.75" customHeight="1">
      <c r="A908" s="26" t="s">
        <v>4572</v>
      </c>
      <c r="B908" s="27" t="s">
        <v>234</v>
      </c>
      <c r="C908" s="27" t="s">
        <v>952</v>
      </c>
      <c r="D908" s="26" t="s">
        <v>3663</v>
      </c>
      <c r="E908" s="28">
        <v>46113.0</v>
      </c>
      <c r="F908" s="28">
        <v>46171.0</v>
      </c>
      <c r="G908" s="29"/>
    </row>
    <row r="909" ht="15.75" customHeight="1">
      <c r="A909" s="30" t="s">
        <v>4573</v>
      </c>
      <c r="B909" s="31" t="s">
        <v>234</v>
      </c>
      <c r="C909" s="31" t="s">
        <v>968</v>
      </c>
      <c r="D909" s="30" t="s">
        <v>3663</v>
      </c>
      <c r="E909" s="32">
        <v>46113.0</v>
      </c>
      <c r="F909" s="32">
        <v>46171.0</v>
      </c>
      <c r="G909" s="33"/>
    </row>
    <row r="910" ht="15.75" customHeight="1">
      <c r="A910" s="26" t="s">
        <v>4574</v>
      </c>
      <c r="B910" s="27" t="s">
        <v>234</v>
      </c>
      <c r="C910" s="27" t="s">
        <v>923</v>
      </c>
      <c r="D910" s="26" t="s">
        <v>3663</v>
      </c>
      <c r="E910" s="28">
        <v>46113.0</v>
      </c>
      <c r="F910" s="28">
        <v>46171.0</v>
      </c>
      <c r="G910" s="29"/>
    </row>
    <row r="911" ht="15.75" customHeight="1">
      <c r="A911" s="30" t="s">
        <v>4575</v>
      </c>
      <c r="B911" s="31" t="s">
        <v>235</v>
      </c>
      <c r="C911" s="31" t="s">
        <v>3654</v>
      </c>
      <c r="D911" s="30" t="s">
        <v>3663</v>
      </c>
      <c r="E911" s="32">
        <v>46113.0</v>
      </c>
      <c r="F911" s="32">
        <v>46171.0</v>
      </c>
      <c r="G911" s="33"/>
    </row>
    <row r="912" ht="15.75" customHeight="1">
      <c r="A912" s="26" t="s">
        <v>4576</v>
      </c>
      <c r="B912" s="27" t="s">
        <v>235</v>
      </c>
      <c r="C912" s="27" t="s">
        <v>3655</v>
      </c>
      <c r="D912" s="26" t="s">
        <v>3663</v>
      </c>
      <c r="E912" s="28">
        <v>46113.0</v>
      </c>
      <c r="F912" s="28">
        <v>46171.0</v>
      </c>
      <c r="G912" s="29"/>
    </row>
    <row r="913" ht="15.75" customHeight="1">
      <c r="A913" s="30" t="s">
        <v>4577</v>
      </c>
      <c r="B913" s="31" t="s">
        <v>235</v>
      </c>
      <c r="C913" s="31" t="s">
        <v>930</v>
      </c>
      <c r="D913" s="30" t="s">
        <v>3663</v>
      </c>
      <c r="E913" s="32">
        <v>46113.0</v>
      </c>
      <c r="F913" s="32">
        <v>46171.0</v>
      </c>
      <c r="G913" s="33"/>
    </row>
    <row r="914" ht="15.75" customHeight="1">
      <c r="A914" s="26" t="s">
        <v>4578</v>
      </c>
      <c r="B914" s="27" t="s">
        <v>235</v>
      </c>
      <c r="C914" s="27" t="s">
        <v>1354</v>
      </c>
      <c r="D914" s="26" t="s">
        <v>3663</v>
      </c>
      <c r="E914" s="28">
        <v>46113.0</v>
      </c>
      <c r="F914" s="28">
        <v>46171.0</v>
      </c>
      <c r="G914" s="29"/>
    </row>
    <row r="915" ht="15.75" customHeight="1">
      <c r="A915" s="30" t="s">
        <v>4579</v>
      </c>
      <c r="B915" s="31" t="s">
        <v>235</v>
      </c>
      <c r="C915" s="31" t="s">
        <v>3605</v>
      </c>
      <c r="D915" s="30" t="s">
        <v>3663</v>
      </c>
      <c r="E915" s="32">
        <v>46113.0</v>
      </c>
      <c r="F915" s="32">
        <v>46171.0</v>
      </c>
      <c r="G915" s="33"/>
    </row>
    <row r="916" ht="15.75" customHeight="1">
      <c r="A916" s="26" t="s">
        <v>4580</v>
      </c>
      <c r="B916" s="27" t="s">
        <v>235</v>
      </c>
      <c r="C916" s="27" t="s">
        <v>1172</v>
      </c>
      <c r="D916" s="26" t="s">
        <v>3663</v>
      </c>
      <c r="E916" s="28">
        <v>46113.0</v>
      </c>
      <c r="F916" s="28">
        <v>46171.0</v>
      </c>
      <c r="G916" s="29"/>
    </row>
    <row r="917" ht="15.75" customHeight="1">
      <c r="A917" s="30" t="s">
        <v>4581</v>
      </c>
      <c r="B917" s="31" t="s">
        <v>235</v>
      </c>
      <c r="C917" s="31" t="s">
        <v>3647</v>
      </c>
      <c r="D917" s="30" t="s">
        <v>3663</v>
      </c>
      <c r="E917" s="32">
        <v>46113.0</v>
      </c>
      <c r="F917" s="32">
        <v>46171.0</v>
      </c>
      <c r="G917" s="33"/>
    </row>
    <row r="918" ht="15.75" customHeight="1">
      <c r="A918" s="26" t="s">
        <v>4582</v>
      </c>
      <c r="B918" s="27" t="s">
        <v>235</v>
      </c>
      <c r="C918" s="27" t="s">
        <v>952</v>
      </c>
      <c r="D918" s="26" t="s">
        <v>3663</v>
      </c>
      <c r="E918" s="28">
        <v>46113.0</v>
      </c>
      <c r="F918" s="28">
        <v>46171.0</v>
      </c>
      <c r="G918" s="29"/>
    </row>
    <row r="919" ht="15.75" customHeight="1">
      <c r="A919" s="30" t="s">
        <v>4583</v>
      </c>
      <c r="B919" s="31" t="s">
        <v>235</v>
      </c>
      <c r="C919" s="31" t="s">
        <v>1157</v>
      </c>
      <c r="D919" s="30" t="s">
        <v>3663</v>
      </c>
      <c r="E919" s="32">
        <v>46113.0</v>
      </c>
      <c r="F919" s="32">
        <v>46171.0</v>
      </c>
      <c r="G919" s="33"/>
    </row>
    <row r="920" ht="15.75" customHeight="1">
      <c r="A920" s="26" t="s">
        <v>4584</v>
      </c>
      <c r="B920" s="27" t="s">
        <v>235</v>
      </c>
      <c r="C920" s="27" t="s">
        <v>1155</v>
      </c>
      <c r="D920" s="26" t="s">
        <v>3663</v>
      </c>
      <c r="E920" s="28">
        <v>46113.0</v>
      </c>
      <c r="F920" s="28">
        <v>46171.0</v>
      </c>
      <c r="G920" s="29"/>
    </row>
    <row r="921" ht="15.75" customHeight="1">
      <c r="A921" s="30" t="s">
        <v>4585</v>
      </c>
      <c r="B921" s="31" t="s">
        <v>235</v>
      </c>
      <c r="C921" s="31" t="s">
        <v>1153</v>
      </c>
      <c r="D921" s="30" t="s">
        <v>3663</v>
      </c>
      <c r="E921" s="32">
        <v>46113.0</v>
      </c>
      <c r="F921" s="32">
        <v>46171.0</v>
      </c>
      <c r="G921" s="33"/>
    </row>
    <row r="922" ht="15.75" customHeight="1">
      <c r="A922" s="26" t="s">
        <v>4586</v>
      </c>
      <c r="B922" s="27" t="s">
        <v>235</v>
      </c>
      <c r="C922" s="27" t="s">
        <v>1149</v>
      </c>
      <c r="D922" s="26" t="s">
        <v>3663</v>
      </c>
      <c r="E922" s="28">
        <v>46113.0</v>
      </c>
      <c r="F922" s="28">
        <v>46171.0</v>
      </c>
      <c r="G922" s="29"/>
    </row>
    <row r="923" ht="15.75" customHeight="1">
      <c r="A923" s="30" t="s">
        <v>4587</v>
      </c>
      <c r="B923" s="31" t="s">
        <v>235</v>
      </c>
      <c r="C923" s="31" t="s">
        <v>965</v>
      </c>
      <c r="D923" s="30" t="s">
        <v>3663</v>
      </c>
      <c r="E923" s="32">
        <v>46113.0</v>
      </c>
      <c r="F923" s="32">
        <v>46171.0</v>
      </c>
      <c r="G923" s="33"/>
    </row>
    <row r="924" ht="15.75" customHeight="1">
      <c r="A924" s="26" t="s">
        <v>4588</v>
      </c>
      <c r="B924" s="27" t="s">
        <v>235</v>
      </c>
      <c r="C924" s="27" t="s">
        <v>923</v>
      </c>
      <c r="D924" s="26" t="s">
        <v>3663</v>
      </c>
      <c r="E924" s="28">
        <v>46113.0</v>
      </c>
      <c r="F924" s="28">
        <v>46171.0</v>
      </c>
      <c r="G924" s="29"/>
    </row>
    <row r="925" ht="15.75" customHeight="1">
      <c r="A925" s="30" t="s">
        <v>4589</v>
      </c>
      <c r="B925" s="31" t="s">
        <v>236</v>
      </c>
      <c r="C925" s="31" t="s">
        <v>3654</v>
      </c>
      <c r="D925" s="30" t="s">
        <v>3663</v>
      </c>
      <c r="E925" s="32">
        <v>46113.0</v>
      </c>
      <c r="F925" s="32">
        <v>46171.0</v>
      </c>
      <c r="G925" s="33"/>
    </row>
    <row r="926" ht="15.75" customHeight="1">
      <c r="A926" s="26" t="s">
        <v>4590</v>
      </c>
      <c r="B926" s="27" t="s">
        <v>236</v>
      </c>
      <c r="C926" s="27" t="s">
        <v>3655</v>
      </c>
      <c r="D926" s="26" t="s">
        <v>3663</v>
      </c>
      <c r="E926" s="28">
        <v>46113.0</v>
      </c>
      <c r="F926" s="28">
        <v>46171.0</v>
      </c>
      <c r="G926" s="29"/>
    </row>
    <row r="927" ht="15.75" customHeight="1">
      <c r="A927" s="30" t="s">
        <v>4591</v>
      </c>
      <c r="B927" s="31" t="s">
        <v>236</v>
      </c>
      <c r="C927" s="31" t="s">
        <v>932</v>
      </c>
      <c r="D927" s="30" t="s">
        <v>3663</v>
      </c>
      <c r="E927" s="32">
        <v>46113.0</v>
      </c>
      <c r="F927" s="32">
        <v>46171.0</v>
      </c>
      <c r="G927" s="33"/>
    </row>
    <row r="928" ht="15.75" customHeight="1">
      <c r="A928" s="26" t="s">
        <v>4592</v>
      </c>
      <c r="B928" s="27" t="s">
        <v>236</v>
      </c>
      <c r="C928" s="27" t="s">
        <v>3640</v>
      </c>
      <c r="D928" s="26" t="s">
        <v>3663</v>
      </c>
      <c r="E928" s="28">
        <v>46113.0</v>
      </c>
      <c r="F928" s="28">
        <v>46171.0</v>
      </c>
      <c r="G928" s="29"/>
    </row>
    <row r="929" ht="15.75" customHeight="1">
      <c r="A929" s="30" t="s">
        <v>4593</v>
      </c>
      <c r="B929" s="31" t="s">
        <v>236</v>
      </c>
      <c r="C929" s="31" t="s">
        <v>1323</v>
      </c>
      <c r="D929" s="30" t="s">
        <v>3663</v>
      </c>
      <c r="E929" s="32">
        <v>46113.0</v>
      </c>
      <c r="F929" s="32">
        <v>46171.0</v>
      </c>
      <c r="G929" s="33"/>
    </row>
    <row r="930" ht="15.75" customHeight="1">
      <c r="A930" s="26" t="s">
        <v>4594</v>
      </c>
      <c r="B930" s="27" t="s">
        <v>236</v>
      </c>
      <c r="C930" s="27" t="s">
        <v>1168</v>
      </c>
      <c r="D930" s="26" t="s">
        <v>3663</v>
      </c>
      <c r="E930" s="28">
        <v>46113.0</v>
      </c>
      <c r="F930" s="28">
        <v>46171.0</v>
      </c>
      <c r="G930" s="29"/>
    </row>
    <row r="931" ht="15.75" customHeight="1">
      <c r="A931" s="30" t="s">
        <v>4595</v>
      </c>
      <c r="B931" s="31" t="s">
        <v>236</v>
      </c>
      <c r="C931" s="31" t="s">
        <v>1170</v>
      </c>
      <c r="D931" s="30" t="s">
        <v>3663</v>
      </c>
      <c r="E931" s="32">
        <v>46113.0</v>
      </c>
      <c r="F931" s="32">
        <v>46171.0</v>
      </c>
      <c r="G931" s="33"/>
    </row>
    <row r="932" ht="15.75" customHeight="1">
      <c r="A932" s="26" t="s">
        <v>4596</v>
      </c>
      <c r="B932" s="27" t="s">
        <v>236</v>
      </c>
      <c r="C932" s="27" t="s">
        <v>1288</v>
      </c>
      <c r="D932" s="26" t="s">
        <v>3663</v>
      </c>
      <c r="E932" s="28">
        <v>46113.0</v>
      </c>
      <c r="F932" s="28">
        <v>46171.0</v>
      </c>
      <c r="G932" s="29"/>
    </row>
    <row r="933" ht="15.75" customHeight="1">
      <c r="A933" s="30" t="s">
        <v>4597</v>
      </c>
      <c r="B933" s="31" t="s">
        <v>236</v>
      </c>
      <c r="C933" s="31" t="s">
        <v>1291</v>
      </c>
      <c r="D933" s="30" t="s">
        <v>3663</v>
      </c>
      <c r="E933" s="32">
        <v>46113.0</v>
      </c>
      <c r="F933" s="32">
        <v>46171.0</v>
      </c>
      <c r="G933" s="33"/>
    </row>
    <row r="934" ht="15.75" customHeight="1">
      <c r="A934" s="26" t="s">
        <v>4598</v>
      </c>
      <c r="B934" s="27" t="s">
        <v>236</v>
      </c>
      <c r="C934" s="27" t="s">
        <v>1354</v>
      </c>
      <c r="D934" s="26" t="s">
        <v>3663</v>
      </c>
      <c r="E934" s="28">
        <v>46113.0</v>
      </c>
      <c r="F934" s="28">
        <v>46171.0</v>
      </c>
      <c r="G934" s="29"/>
    </row>
    <row r="935" ht="15.75" customHeight="1">
      <c r="A935" s="30" t="s">
        <v>4599</v>
      </c>
      <c r="B935" s="31" t="s">
        <v>236</v>
      </c>
      <c r="C935" s="31" t="s">
        <v>3647</v>
      </c>
      <c r="D935" s="30" t="s">
        <v>3663</v>
      </c>
      <c r="E935" s="32">
        <v>46113.0</v>
      </c>
      <c r="F935" s="32">
        <v>46171.0</v>
      </c>
      <c r="G935" s="33"/>
    </row>
    <row r="936" ht="15.75" customHeight="1">
      <c r="A936" s="26" t="s">
        <v>4600</v>
      </c>
      <c r="B936" s="27" t="s">
        <v>236</v>
      </c>
      <c r="C936" s="27" t="s">
        <v>952</v>
      </c>
      <c r="D936" s="26" t="s">
        <v>3663</v>
      </c>
      <c r="E936" s="28">
        <v>46113.0</v>
      </c>
      <c r="F936" s="28">
        <v>46171.0</v>
      </c>
      <c r="G936" s="29"/>
    </row>
    <row r="937" ht="15.75" customHeight="1">
      <c r="A937" s="30" t="s">
        <v>4601</v>
      </c>
      <c r="B937" s="31" t="s">
        <v>236</v>
      </c>
      <c r="C937" s="31" t="s">
        <v>968</v>
      </c>
      <c r="D937" s="30" t="s">
        <v>3663</v>
      </c>
      <c r="E937" s="32">
        <v>46113.0</v>
      </c>
      <c r="F937" s="32">
        <v>46171.0</v>
      </c>
      <c r="G937" s="33"/>
    </row>
    <row r="938" ht="15.75" customHeight="1">
      <c r="A938" s="26" t="s">
        <v>4602</v>
      </c>
      <c r="B938" s="27" t="s">
        <v>236</v>
      </c>
      <c r="C938" s="27" t="s">
        <v>923</v>
      </c>
      <c r="D938" s="26" t="s">
        <v>3663</v>
      </c>
      <c r="E938" s="28">
        <v>46113.0</v>
      </c>
      <c r="F938" s="28">
        <v>46171.0</v>
      </c>
      <c r="G938" s="29"/>
    </row>
    <row r="939" ht="15.75" customHeight="1">
      <c r="A939" s="30" t="s">
        <v>4603</v>
      </c>
      <c r="B939" s="31" t="s">
        <v>237</v>
      </c>
      <c r="C939" s="31" t="s">
        <v>3654</v>
      </c>
      <c r="D939" s="30" t="s">
        <v>3663</v>
      </c>
      <c r="E939" s="32">
        <v>46113.0</v>
      </c>
      <c r="F939" s="32">
        <v>46171.0</v>
      </c>
      <c r="G939" s="33"/>
    </row>
    <row r="940" ht="15.75" customHeight="1">
      <c r="A940" s="26" t="s">
        <v>4604</v>
      </c>
      <c r="B940" s="27" t="s">
        <v>237</v>
      </c>
      <c r="C940" s="27" t="s">
        <v>3655</v>
      </c>
      <c r="D940" s="26" t="s">
        <v>3663</v>
      </c>
      <c r="E940" s="28">
        <v>46113.0</v>
      </c>
      <c r="F940" s="28">
        <v>46171.0</v>
      </c>
      <c r="G940" s="29"/>
    </row>
    <row r="941" ht="15.75" customHeight="1">
      <c r="A941" s="30" t="s">
        <v>4605</v>
      </c>
      <c r="B941" s="31" t="s">
        <v>237</v>
      </c>
      <c r="C941" s="31" t="s">
        <v>930</v>
      </c>
      <c r="D941" s="30" t="s">
        <v>3663</v>
      </c>
      <c r="E941" s="32">
        <v>46113.0</v>
      </c>
      <c r="F941" s="32">
        <v>46171.0</v>
      </c>
      <c r="G941" s="33"/>
    </row>
    <row r="942" ht="15.75" customHeight="1">
      <c r="A942" s="26" t="s">
        <v>4606</v>
      </c>
      <c r="B942" s="27" t="s">
        <v>237</v>
      </c>
      <c r="C942" s="27" t="s">
        <v>1354</v>
      </c>
      <c r="D942" s="26" t="s">
        <v>3663</v>
      </c>
      <c r="E942" s="28">
        <v>46113.0</v>
      </c>
      <c r="F942" s="28">
        <v>46171.0</v>
      </c>
      <c r="G942" s="29"/>
    </row>
    <row r="943" ht="15.75" customHeight="1">
      <c r="A943" s="30" t="s">
        <v>4607</v>
      </c>
      <c r="B943" s="31" t="s">
        <v>237</v>
      </c>
      <c r="C943" s="31" t="s">
        <v>3641</v>
      </c>
      <c r="D943" s="30" t="s">
        <v>3663</v>
      </c>
      <c r="E943" s="32">
        <v>46113.0</v>
      </c>
      <c r="F943" s="32">
        <v>46171.0</v>
      </c>
      <c r="G943" s="33"/>
    </row>
    <row r="944" ht="15.75" customHeight="1">
      <c r="A944" s="26" t="s">
        <v>4608</v>
      </c>
      <c r="B944" s="27" t="s">
        <v>237</v>
      </c>
      <c r="C944" s="27" t="s">
        <v>1304</v>
      </c>
      <c r="D944" s="26" t="s">
        <v>3663</v>
      </c>
      <c r="E944" s="28">
        <v>46113.0</v>
      </c>
      <c r="F944" s="28">
        <v>46171.0</v>
      </c>
      <c r="G944" s="29"/>
    </row>
    <row r="945" ht="15.75" customHeight="1">
      <c r="A945" s="30" t="s">
        <v>4609</v>
      </c>
      <c r="B945" s="31" t="s">
        <v>237</v>
      </c>
      <c r="C945" s="31" t="s">
        <v>3642</v>
      </c>
      <c r="D945" s="30" t="s">
        <v>3663</v>
      </c>
      <c r="E945" s="32">
        <v>46113.0</v>
      </c>
      <c r="F945" s="32">
        <v>46171.0</v>
      </c>
      <c r="G945" s="33"/>
    </row>
    <row r="946" ht="15.75" customHeight="1">
      <c r="A946" s="26" t="s">
        <v>4610</v>
      </c>
      <c r="B946" s="27" t="s">
        <v>237</v>
      </c>
      <c r="C946" s="27" t="s">
        <v>1308</v>
      </c>
      <c r="D946" s="26" t="s">
        <v>3663</v>
      </c>
      <c r="E946" s="28">
        <v>46113.0</v>
      </c>
      <c r="F946" s="28">
        <v>46171.0</v>
      </c>
      <c r="G946" s="29"/>
    </row>
    <row r="947" ht="15.75" customHeight="1">
      <c r="A947" s="30" t="s">
        <v>4611</v>
      </c>
      <c r="B947" s="31" t="s">
        <v>237</v>
      </c>
      <c r="C947" s="31" t="s">
        <v>1172</v>
      </c>
      <c r="D947" s="30" t="s">
        <v>3663</v>
      </c>
      <c r="E947" s="32">
        <v>46113.0</v>
      </c>
      <c r="F947" s="32">
        <v>46171.0</v>
      </c>
      <c r="G947" s="34"/>
    </row>
    <row r="948" ht="15.75" customHeight="1">
      <c r="A948" s="26" t="s">
        <v>4612</v>
      </c>
      <c r="B948" s="27" t="s">
        <v>237</v>
      </c>
      <c r="C948" s="27" t="s">
        <v>1216</v>
      </c>
      <c r="D948" s="26" t="s">
        <v>3663</v>
      </c>
      <c r="E948" s="28">
        <v>46113.0</v>
      </c>
      <c r="F948" s="28">
        <v>46171.0</v>
      </c>
      <c r="G948" s="29"/>
    </row>
    <row r="949" ht="15.75" customHeight="1">
      <c r="A949" s="30" t="s">
        <v>4613</v>
      </c>
      <c r="B949" s="31" t="s">
        <v>237</v>
      </c>
      <c r="C949" s="31" t="s">
        <v>1351</v>
      </c>
      <c r="D949" s="30" t="s">
        <v>3663</v>
      </c>
      <c r="E949" s="32">
        <v>46113.0</v>
      </c>
      <c r="F949" s="32">
        <v>46171.0</v>
      </c>
      <c r="G949" s="33"/>
    </row>
    <row r="950" ht="15.75" customHeight="1">
      <c r="A950" s="26" t="s">
        <v>4614</v>
      </c>
      <c r="B950" s="27" t="s">
        <v>237</v>
      </c>
      <c r="C950" s="27" t="s">
        <v>1349</v>
      </c>
      <c r="D950" s="26" t="s">
        <v>3663</v>
      </c>
      <c r="E950" s="28">
        <v>46113.0</v>
      </c>
      <c r="F950" s="28">
        <v>46171.0</v>
      </c>
      <c r="G950" s="29"/>
    </row>
    <row r="951" ht="15.75" customHeight="1">
      <c r="A951" s="30" t="s">
        <v>4615</v>
      </c>
      <c r="B951" s="31" t="s">
        <v>237</v>
      </c>
      <c r="C951" s="31" t="s">
        <v>965</v>
      </c>
      <c r="D951" s="30" t="s">
        <v>3663</v>
      </c>
      <c r="E951" s="32">
        <v>46113.0</v>
      </c>
      <c r="F951" s="32">
        <v>46171.0</v>
      </c>
      <c r="G951" s="33"/>
    </row>
    <row r="952" ht="15.75" customHeight="1">
      <c r="A952" s="26" t="s">
        <v>4616</v>
      </c>
      <c r="B952" s="27" t="s">
        <v>237</v>
      </c>
      <c r="C952" s="27" t="s">
        <v>923</v>
      </c>
      <c r="D952" s="26" t="s">
        <v>3663</v>
      </c>
      <c r="E952" s="28">
        <v>46113.0</v>
      </c>
      <c r="F952" s="28">
        <v>46171.0</v>
      </c>
      <c r="G952" s="29"/>
    </row>
    <row r="953" ht="15.75" customHeight="1">
      <c r="A953" s="30" t="s">
        <v>4617</v>
      </c>
      <c r="B953" s="31" t="s">
        <v>238</v>
      </c>
      <c r="C953" s="31" t="s">
        <v>928</v>
      </c>
      <c r="D953" s="30" t="s">
        <v>3663</v>
      </c>
      <c r="E953" s="32">
        <v>46113.0</v>
      </c>
      <c r="F953" s="32">
        <v>46171.0</v>
      </c>
      <c r="G953" s="33"/>
    </row>
    <row r="954" ht="15.75" customHeight="1">
      <c r="A954" s="26" t="s">
        <v>4618</v>
      </c>
      <c r="B954" s="27" t="s">
        <v>238</v>
      </c>
      <c r="C954" s="27" t="s">
        <v>1354</v>
      </c>
      <c r="D954" s="26" t="s">
        <v>3663</v>
      </c>
      <c r="E954" s="28">
        <v>46113.0</v>
      </c>
      <c r="F954" s="28">
        <v>46171.0</v>
      </c>
      <c r="G954" s="29"/>
    </row>
    <row r="955" ht="15.75" customHeight="1">
      <c r="A955" s="30" t="s">
        <v>4619</v>
      </c>
      <c r="B955" s="31" t="s">
        <v>238</v>
      </c>
      <c r="C955" s="31" t="s">
        <v>1222</v>
      </c>
      <c r="D955" s="30" t="s">
        <v>3663</v>
      </c>
      <c r="E955" s="32">
        <v>46113.0</v>
      </c>
      <c r="F955" s="32">
        <v>46171.0</v>
      </c>
      <c r="G955" s="33"/>
    </row>
    <row r="956" ht="15.75" customHeight="1">
      <c r="A956" s="26" t="s">
        <v>4620</v>
      </c>
      <c r="B956" s="27" t="s">
        <v>238</v>
      </c>
      <c r="C956" s="27" t="s">
        <v>1224</v>
      </c>
      <c r="D956" s="26" t="s">
        <v>3663</v>
      </c>
      <c r="E956" s="28">
        <v>46113.0</v>
      </c>
      <c r="F956" s="28">
        <v>46171.0</v>
      </c>
      <c r="G956" s="29"/>
    </row>
    <row r="957" ht="15.75" customHeight="1">
      <c r="A957" s="30" t="s">
        <v>4621</v>
      </c>
      <c r="B957" s="31" t="s">
        <v>238</v>
      </c>
      <c r="C957" s="31" t="s">
        <v>1226</v>
      </c>
      <c r="D957" s="30" t="s">
        <v>3663</v>
      </c>
      <c r="E957" s="32">
        <v>46113.0</v>
      </c>
      <c r="F957" s="32">
        <v>46171.0</v>
      </c>
      <c r="G957" s="33"/>
    </row>
    <row r="958" ht="15.75" customHeight="1">
      <c r="A958" s="26" t="s">
        <v>4622</v>
      </c>
      <c r="B958" s="27" t="s">
        <v>238</v>
      </c>
      <c r="C958" s="27" t="s">
        <v>1228</v>
      </c>
      <c r="D958" s="26" t="s">
        <v>3663</v>
      </c>
      <c r="E958" s="28">
        <v>46113.0</v>
      </c>
      <c r="F958" s="28">
        <v>46171.0</v>
      </c>
      <c r="G958" s="29"/>
    </row>
    <row r="959" ht="15.75" customHeight="1">
      <c r="A959" s="30" t="s">
        <v>4623</v>
      </c>
      <c r="B959" s="31" t="s">
        <v>238</v>
      </c>
      <c r="C959" s="31" t="s">
        <v>3681</v>
      </c>
      <c r="D959" s="30" t="s">
        <v>3663</v>
      </c>
      <c r="E959" s="32">
        <v>46113.0</v>
      </c>
      <c r="F959" s="32">
        <v>46171.0</v>
      </c>
      <c r="G959" s="33"/>
    </row>
    <row r="960" ht="15.75" customHeight="1">
      <c r="A960" s="26" t="s">
        <v>4624</v>
      </c>
      <c r="B960" s="27" t="s">
        <v>238</v>
      </c>
      <c r="C960" s="27" t="s">
        <v>3683</v>
      </c>
      <c r="D960" s="26" t="s">
        <v>3663</v>
      </c>
      <c r="E960" s="28">
        <v>46113.0</v>
      </c>
      <c r="F960" s="28">
        <v>46171.0</v>
      </c>
      <c r="G960" s="29"/>
    </row>
    <row r="961" ht="15.75" customHeight="1">
      <c r="A961" s="30" t="s">
        <v>4625</v>
      </c>
      <c r="B961" s="31" t="s">
        <v>238</v>
      </c>
      <c r="C961" s="31" t="s">
        <v>1351</v>
      </c>
      <c r="D961" s="30" t="s">
        <v>3663</v>
      </c>
      <c r="E961" s="32">
        <v>46113.0</v>
      </c>
      <c r="F961" s="32">
        <v>46171.0</v>
      </c>
      <c r="G961" s="33"/>
    </row>
    <row r="962" ht="15.75" customHeight="1">
      <c r="A962" s="26" t="s">
        <v>4626</v>
      </c>
      <c r="B962" s="27" t="s">
        <v>238</v>
      </c>
      <c r="C962" s="27" t="s">
        <v>1349</v>
      </c>
      <c r="D962" s="26" t="s">
        <v>3663</v>
      </c>
      <c r="E962" s="28">
        <v>46113.0</v>
      </c>
      <c r="F962" s="28">
        <v>46171.0</v>
      </c>
      <c r="G962" s="29"/>
    </row>
    <row r="963" ht="15.75" customHeight="1">
      <c r="A963" s="30" t="s">
        <v>4627</v>
      </c>
      <c r="B963" s="31" t="s">
        <v>238</v>
      </c>
      <c r="C963" s="31" t="s">
        <v>965</v>
      </c>
      <c r="D963" s="30" t="s">
        <v>3663</v>
      </c>
      <c r="E963" s="32">
        <v>46113.0</v>
      </c>
      <c r="F963" s="32">
        <v>46171.0</v>
      </c>
      <c r="G963" s="33"/>
    </row>
    <row r="964" ht="15.75" customHeight="1">
      <c r="A964" s="26" t="s">
        <v>4628</v>
      </c>
      <c r="B964" s="27" t="s">
        <v>238</v>
      </c>
      <c r="C964" s="27" t="s">
        <v>923</v>
      </c>
      <c r="D964" s="26" t="s">
        <v>3663</v>
      </c>
      <c r="E964" s="28">
        <v>46113.0</v>
      </c>
      <c r="F964" s="28">
        <v>46171.0</v>
      </c>
      <c r="G964" s="29"/>
    </row>
    <row r="965" ht="15.75" customHeight="1">
      <c r="A965" s="30" t="s">
        <v>4629</v>
      </c>
      <c r="B965" s="31" t="s">
        <v>238</v>
      </c>
      <c r="C965" s="31" t="s">
        <v>958</v>
      </c>
      <c r="D965" s="30" t="s">
        <v>3663</v>
      </c>
      <c r="E965" s="32">
        <v>46113.0</v>
      </c>
      <c r="F965" s="32">
        <v>46171.0</v>
      </c>
      <c r="G965" s="33"/>
    </row>
    <row r="966" ht="15.75" customHeight="1">
      <c r="A966" s="26" t="s">
        <v>4630</v>
      </c>
      <c r="B966" s="27" t="s">
        <v>238</v>
      </c>
      <c r="C966" s="27" t="s">
        <v>955</v>
      </c>
      <c r="D966" s="26" t="s">
        <v>3663</v>
      </c>
      <c r="E966" s="28">
        <v>46113.0</v>
      </c>
      <c r="F966" s="28">
        <v>46171.0</v>
      </c>
      <c r="G966" s="29"/>
    </row>
    <row r="967" ht="15.75" customHeight="1">
      <c r="A967" s="30" t="s">
        <v>4631</v>
      </c>
      <c r="B967" s="31" t="s">
        <v>239</v>
      </c>
      <c r="C967" s="31" t="s">
        <v>3654</v>
      </c>
      <c r="D967" s="30" t="s">
        <v>3663</v>
      </c>
      <c r="E967" s="32">
        <v>46113.0</v>
      </c>
      <c r="F967" s="32">
        <v>46171.0</v>
      </c>
      <c r="G967" s="33"/>
    </row>
    <row r="968" ht="15.75" customHeight="1">
      <c r="A968" s="26" t="s">
        <v>4632</v>
      </c>
      <c r="B968" s="27" t="s">
        <v>239</v>
      </c>
      <c r="C968" s="27" t="s">
        <v>3655</v>
      </c>
      <c r="D968" s="26" t="s">
        <v>3663</v>
      </c>
      <c r="E968" s="28">
        <v>46113.0</v>
      </c>
      <c r="F968" s="28">
        <v>46171.0</v>
      </c>
      <c r="G968" s="29"/>
    </row>
    <row r="969" ht="15.75" customHeight="1">
      <c r="A969" s="30" t="s">
        <v>4633</v>
      </c>
      <c r="B969" s="31" t="s">
        <v>239</v>
      </c>
      <c r="C969" s="31" t="s">
        <v>928</v>
      </c>
      <c r="D969" s="30" t="s">
        <v>3663</v>
      </c>
      <c r="E969" s="32">
        <v>46113.0</v>
      </c>
      <c r="F969" s="32">
        <v>46171.0</v>
      </c>
      <c r="G969" s="33"/>
    </row>
    <row r="970" ht="15.75" customHeight="1">
      <c r="A970" s="26" t="s">
        <v>4634</v>
      </c>
      <c r="B970" s="27" t="s">
        <v>239</v>
      </c>
      <c r="C970" s="27" t="s">
        <v>1354</v>
      </c>
      <c r="D970" s="26" t="s">
        <v>3663</v>
      </c>
      <c r="E970" s="28">
        <v>46113.0</v>
      </c>
      <c r="F970" s="28">
        <v>46171.0</v>
      </c>
      <c r="G970" s="29"/>
    </row>
    <row r="971" ht="15.75" customHeight="1">
      <c r="A971" s="30" t="s">
        <v>4635</v>
      </c>
      <c r="B971" s="31" t="s">
        <v>239</v>
      </c>
      <c r="C971" s="31" t="s">
        <v>1222</v>
      </c>
      <c r="D971" s="30" t="s">
        <v>3663</v>
      </c>
      <c r="E971" s="32">
        <v>46113.0</v>
      </c>
      <c r="F971" s="32">
        <v>46171.0</v>
      </c>
      <c r="G971" s="33"/>
    </row>
    <row r="972" ht="15.75" customHeight="1">
      <c r="A972" s="26" t="s">
        <v>4636</v>
      </c>
      <c r="B972" s="27" t="s">
        <v>239</v>
      </c>
      <c r="C972" s="27" t="s">
        <v>1224</v>
      </c>
      <c r="D972" s="26" t="s">
        <v>3663</v>
      </c>
      <c r="E972" s="28">
        <v>46113.0</v>
      </c>
      <c r="F972" s="28">
        <v>46171.0</v>
      </c>
      <c r="G972" s="29"/>
    </row>
    <row r="973" ht="15.75" customHeight="1">
      <c r="A973" s="30" t="s">
        <v>4637</v>
      </c>
      <c r="B973" s="31" t="s">
        <v>239</v>
      </c>
      <c r="C973" s="31" t="s">
        <v>1226</v>
      </c>
      <c r="D973" s="30" t="s">
        <v>3663</v>
      </c>
      <c r="E973" s="32">
        <v>46113.0</v>
      </c>
      <c r="F973" s="32">
        <v>46171.0</v>
      </c>
      <c r="G973" s="33"/>
    </row>
    <row r="974" ht="15.75" customHeight="1">
      <c r="A974" s="26" t="s">
        <v>4638</v>
      </c>
      <c r="B974" s="27" t="s">
        <v>239</v>
      </c>
      <c r="C974" s="27" t="s">
        <v>1228</v>
      </c>
      <c r="D974" s="26" t="s">
        <v>3663</v>
      </c>
      <c r="E974" s="28">
        <v>46113.0</v>
      </c>
      <c r="F974" s="28">
        <v>46171.0</v>
      </c>
      <c r="G974" s="29"/>
    </row>
    <row r="975" ht="15.75" customHeight="1">
      <c r="A975" s="30" t="s">
        <v>4639</v>
      </c>
      <c r="B975" s="31" t="s">
        <v>239</v>
      </c>
      <c r="C975" s="31" t="s">
        <v>1172</v>
      </c>
      <c r="D975" s="30" t="s">
        <v>3663</v>
      </c>
      <c r="E975" s="32">
        <v>46113.0</v>
      </c>
      <c r="F975" s="32">
        <v>46171.0</v>
      </c>
      <c r="G975" s="34"/>
    </row>
    <row r="976" ht="15.75" customHeight="1">
      <c r="A976" s="26" t="s">
        <v>4640</v>
      </c>
      <c r="B976" s="27" t="s">
        <v>239</v>
      </c>
      <c r="C976" s="27" t="s">
        <v>1216</v>
      </c>
      <c r="D976" s="26" t="s">
        <v>3663</v>
      </c>
      <c r="E976" s="28">
        <v>46113.0</v>
      </c>
      <c r="F976" s="28">
        <v>46171.0</v>
      </c>
      <c r="G976" s="29"/>
    </row>
    <row r="977" ht="15.75" customHeight="1">
      <c r="A977" s="30" t="s">
        <v>4641</v>
      </c>
      <c r="B977" s="31" t="s">
        <v>239</v>
      </c>
      <c r="C977" s="31" t="s">
        <v>1351</v>
      </c>
      <c r="D977" s="30" t="s">
        <v>3663</v>
      </c>
      <c r="E977" s="32">
        <v>46113.0</v>
      </c>
      <c r="F977" s="32">
        <v>46171.0</v>
      </c>
      <c r="G977" s="33"/>
    </row>
    <row r="978" ht="15.75" customHeight="1">
      <c r="A978" s="26" t="s">
        <v>4642</v>
      </c>
      <c r="B978" s="27" t="s">
        <v>239</v>
      </c>
      <c r="C978" s="27" t="s">
        <v>1349</v>
      </c>
      <c r="D978" s="26" t="s">
        <v>3663</v>
      </c>
      <c r="E978" s="28">
        <v>46113.0</v>
      </c>
      <c r="F978" s="28">
        <v>46171.0</v>
      </c>
      <c r="G978" s="29"/>
    </row>
    <row r="979" ht="15.75" customHeight="1">
      <c r="A979" s="30" t="s">
        <v>4643</v>
      </c>
      <c r="B979" s="31" t="s">
        <v>239</v>
      </c>
      <c r="C979" s="31" t="s">
        <v>968</v>
      </c>
      <c r="D979" s="30" t="s">
        <v>3663</v>
      </c>
      <c r="E979" s="32">
        <v>46113.0</v>
      </c>
      <c r="F979" s="32">
        <v>46171.0</v>
      </c>
      <c r="G979" s="33"/>
    </row>
    <row r="980" ht="15.75" customHeight="1">
      <c r="A980" s="26" t="s">
        <v>4644</v>
      </c>
      <c r="B980" s="27" t="s">
        <v>239</v>
      </c>
      <c r="C980" s="27" t="s">
        <v>923</v>
      </c>
      <c r="D980" s="26" t="s">
        <v>3663</v>
      </c>
      <c r="E980" s="28">
        <v>46113.0</v>
      </c>
      <c r="F980" s="28">
        <v>46171.0</v>
      </c>
      <c r="G980" s="29"/>
    </row>
    <row r="981" ht="15.75" customHeight="1">
      <c r="A981" s="30" t="s">
        <v>4645</v>
      </c>
      <c r="B981" s="31" t="s">
        <v>242</v>
      </c>
      <c r="C981" s="31" t="s">
        <v>1240</v>
      </c>
      <c r="D981" s="31" t="s">
        <v>3663</v>
      </c>
      <c r="E981" s="32">
        <v>46113.0</v>
      </c>
      <c r="F981" s="32">
        <v>46171.0</v>
      </c>
      <c r="G981" s="33"/>
    </row>
    <row r="982" ht="15.75" customHeight="1">
      <c r="A982" s="26" t="s">
        <v>4646</v>
      </c>
      <c r="B982" s="27" t="s">
        <v>242</v>
      </c>
      <c r="C982" s="27" t="s">
        <v>1242</v>
      </c>
      <c r="D982" s="26" t="s">
        <v>3663</v>
      </c>
      <c r="E982" s="28">
        <v>46113.0</v>
      </c>
      <c r="F982" s="28">
        <v>46171.0</v>
      </c>
      <c r="G982" s="29"/>
    </row>
    <row r="983" ht="15.75" customHeight="1">
      <c r="A983" s="30" t="s">
        <v>4647</v>
      </c>
      <c r="B983" s="31" t="s">
        <v>242</v>
      </c>
      <c r="C983" s="31" t="s">
        <v>1244</v>
      </c>
      <c r="D983" s="30" t="s">
        <v>3663</v>
      </c>
      <c r="E983" s="32">
        <v>46113.0</v>
      </c>
      <c r="F983" s="32">
        <v>46171.0</v>
      </c>
      <c r="G983" s="33"/>
    </row>
    <row r="984" ht="15.75" customHeight="1">
      <c r="A984" s="26" t="s">
        <v>4648</v>
      </c>
      <c r="B984" s="27" t="s">
        <v>242</v>
      </c>
      <c r="C984" s="27" t="s">
        <v>1246</v>
      </c>
      <c r="D984" s="26" t="s">
        <v>3663</v>
      </c>
      <c r="E984" s="28">
        <v>46113.0</v>
      </c>
      <c r="F984" s="28">
        <v>46171.0</v>
      </c>
      <c r="G984" s="29"/>
    </row>
    <row r="985" ht="15.75" customHeight="1">
      <c r="A985" s="30" t="s">
        <v>4649</v>
      </c>
      <c r="B985" s="31" t="s">
        <v>242</v>
      </c>
      <c r="C985" s="31" t="s">
        <v>3654</v>
      </c>
      <c r="D985" s="30" t="s">
        <v>3663</v>
      </c>
      <c r="E985" s="32">
        <v>46113.0</v>
      </c>
      <c r="F985" s="32">
        <v>46171.0</v>
      </c>
      <c r="G985" s="33"/>
    </row>
    <row r="986" ht="15.75" customHeight="1">
      <c r="A986" s="26" t="s">
        <v>4650</v>
      </c>
      <c r="B986" s="27" t="s">
        <v>242</v>
      </c>
      <c r="C986" s="27" t="s">
        <v>3655</v>
      </c>
      <c r="D986" s="26" t="s">
        <v>3663</v>
      </c>
      <c r="E986" s="28">
        <v>46113.0</v>
      </c>
      <c r="F986" s="28">
        <v>46171.0</v>
      </c>
      <c r="G986" s="29"/>
    </row>
    <row r="987" ht="15.75" customHeight="1">
      <c r="A987" s="30" t="s">
        <v>4651</v>
      </c>
      <c r="B987" s="31" t="s">
        <v>242</v>
      </c>
      <c r="C987" s="31" t="s">
        <v>934</v>
      </c>
      <c r="D987" s="30" t="s">
        <v>3663</v>
      </c>
      <c r="E987" s="32">
        <v>46113.0</v>
      </c>
      <c r="F987" s="32">
        <v>46171.0</v>
      </c>
      <c r="G987" s="33"/>
    </row>
    <row r="988" ht="15.75" customHeight="1">
      <c r="A988" s="26" t="s">
        <v>4652</v>
      </c>
      <c r="B988" s="27" t="s">
        <v>242</v>
      </c>
      <c r="C988" s="27" t="s">
        <v>1354</v>
      </c>
      <c r="D988" s="26" t="s">
        <v>3663</v>
      </c>
      <c r="E988" s="28">
        <v>46113.0</v>
      </c>
      <c r="F988" s="28">
        <v>46171.0</v>
      </c>
      <c r="G988" s="29"/>
    </row>
    <row r="989" ht="15.75" customHeight="1">
      <c r="A989" s="30" t="s">
        <v>4653</v>
      </c>
      <c r="B989" s="31" t="s">
        <v>242</v>
      </c>
      <c r="C989" s="31" t="s">
        <v>1159</v>
      </c>
      <c r="D989" s="30" t="s">
        <v>3663</v>
      </c>
      <c r="E989" s="32">
        <v>46113.0</v>
      </c>
      <c r="F989" s="32">
        <v>46171.0</v>
      </c>
      <c r="G989" s="33"/>
    </row>
    <row r="990" ht="15.75" customHeight="1">
      <c r="A990" s="26" t="s">
        <v>4654</v>
      </c>
      <c r="B990" s="27" t="s">
        <v>242</v>
      </c>
      <c r="C990" s="27" t="s">
        <v>1216</v>
      </c>
      <c r="D990" s="26" t="s">
        <v>3663</v>
      </c>
      <c r="E990" s="28">
        <v>46113.0</v>
      </c>
      <c r="F990" s="28">
        <v>46171.0</v>
      </c>
      <c r="G990" s="29"/>
    </row>
    <row r="991" ht="15.75" customHeight="1">
      <c r="A991" s="30" t="s">
        <v>4655</v>
      </c>
      <c r="B991" s="31" t="s">
        <v>242</v>
      </c>
      <c r="C991" s="31" t="s">
        <v>1351</v>
      </c>
      <c r="D991" s="30" t="s">
        <v>3663</v>
      </c>
      <c r="E991" s="32">
        <v>46113.0</v>
      </c>
      <c r="F991" s="32">
        <v>46171.0</v>
      </c>
      <c r="G991" s="33"/>
    </row>
    <row r="992" ht="15.75" customHeight="1">
      <c r="A992" s="26" t="s">
        <v>4656</v>
      </c>
      <c r="B992" s="27" t="s">
        <v>242</v>
      </c>
      <c r="C992" s="27" t="s">
        <v>1349</v>
      </c>
      <c r="D992" s="26" t="s">
        <v>3663</v>
      </c>
      <c r="E992" s="28">
        <v>46113.0</v>
      </c>
      <c r="F992" s="28">
        <v>46171.0</v>
      </c>
      <c r="G992" s="29"/>
    </row>
    <row r="993" ht="15.75" customHeight="1">
      <c r="A993" s="30" t="s">
        <v>4657</v>
      </c>
      <c r="B993" s="31" t="s">
        <v>242</v>
      </c>
      <c r="C993" s="31" t="s">
        <v>968</v>
      </c>
      <c r="D993" s="30" t="s">
        <v>3663</v>
      </c>
      <c r="E993" s="32">
        <v>46113.0</v>
      </c>
      <c r="F993" s="32">
        <v>46171.0</v>
      </c>
      <c r="G993" s="33"/>
    </row>
    <row r="994" ht="15.75" customHeight="1">
      <c r="A994" s="26" t="s">
        <v>4658</v>
      </c>
      <c r="B994" s="27" t="s">
        <v>242</v>
      </c>
      <c r="C994" s="27" t="s">
        <v>923</v>
      </c>
      <c r="D994" s="26" t="s">
        <v>3663</v>
      </c>
      <c r="E994" s="28">
        <v>46113.0</v>
      </c>
      <c r="F994" s="28">
        <v>46171.0</v>
      </c>
      <c r="G994" s="29"/>
    </row>
    <row r="995" ht="15.75" customHeight="1">
      <c r="A995" s="30" t="s">
        <v>4659</v>
      </c>
      <c r="B995" s="31" t="s">
        <v>243</v>
      </c>
      <c r="C995" s="31" t="s">
        <v>932</v>
      </c>
      <c r="D995" s="30" t="s">
        <v>3663</v>
      </c>
      <c r="E995" s="32">
        <v>46113.0</v>
      </c>
      <c r="F995" s="32">
        <v>46171.0</v>
      </c>
      <c r="G995" s="33"/>
    </row>
    <row r="996" ht="15.75" customHeight="1">
      <c r="A996" s="26" t="s">
        <v>4660</v>
      </c>
      <c r="B996" s="27" t="s">
        <v>243</v>
      </c>
      <c r="C996" s="27" t="s">
        <v>1168</v>
      </c>
      <c r="D996" s="26" t="s">
        <v>3663</v>
      </c>
      <c r="E996" s="28">
        <v>46113.0</v>
      </c>
      <c r="F996" s="28">
        <v>46171.0</v>
      </c>
      <c r="G996" s="29"/>
    </row>
    <row r="997" ht="15.75" customHeight="1">
      <c r="A997" s="30" t="s">
        <v>4661</v>
      </c>
      <c r="B997" s="31" t="s">
        <v>243</v>
      </c>
      <c r="C997" s="31" t="s">
        <v>1170</v>
      </c>
      <c r="D997" s="30" t="s">
        <v>3663</v>
      </c>
      <c r="E997" s="32">
        <v>46113.0</v>
      </c>
      <c r="F997" s="32">
        <v>46171.0</v>
      </c>
      <c r="G997" s="33"/>
    </row>
    <row r="998" ht="15.75" customHeight="1">
      <c r="A998" s="26" t="s">
        <v>4662</v>
      </c>
      <c r="B998" s="27" t="s">
        <v>243</v>
      </c>
      <c r="C998" s="27" t="s">
        <v>1288</v>
      </c>
      <c r="D998" s="26" t="s">
        <v>3663</v>
      </c>
      <c r="E998" s="28">
        <v>46113.0</v>
      </c>
      <c r="F998" s="28">
        <v>46171.0</v>
      </c>
      <c r="G998" s="29"/>
    </row>
    <row r="999" ht="15.75" customHeight="1">
      <c r="A999" s="30" t="s">
        <v>4663</v>
      </c>
      <c r="B999" s="31" t="s">
        <v>243</v>
      </c>
      <c r="C999" s="31" t="s">
        <v>1291</v>
      </c>
      <c r="D999" s="30" t="s">
        <v>3663</v>
      </c>
      <c r="E999" s="32">
        <v>46113.0</v>
      </c>
      <c r="F999" s="32">
        <v>46171.0</v>
      </c>
      <c r="G999" s="33"/>
    </row>
    <row r="1000" ht="15.75" customHeight="1">
      <c r="A1000" s="26" t="s">
        <v>4664</v>
      </c>
      <c r="B1000" s="27" t="s">
        <v>243</v>
      </c>
      <c r="C1000" s="27" t="s">
        <v>1354</v>
      </c>
      <c r="D1000" s="26" t="s">
        <v>3663</v>
      </c>
      <c r="E1000" s="28">
        <v>46113.0</v>
      </c>
      <c r="F1000" s="28">
        <v>46171.0</v>
      </c>
      <c r="G1000" s="29"/>
    </row>
    <row r="1001" ht="15.75" customHeight="1">
      <c r="A1001" s="30" t="s">
        <v>4665</v>
      </c>
      <c r="B1001" s="31" t="s">
        <v>243</v>
      </c>
      <c r="C1001" s="31" t="s">
        <v>3656</v>
      </c>
      <c r="D1001" s="30" t="s">
        <v>3663</v>
      </c>
      <c r="E1001" s="32">
        <v>46113.0</v>
      </c>
      <c r="F1001" s="32">
        <v>46171.0</v>
      </c>
      <c r="G1001" s="33"/>
    </row>
    <row r="1002" ht="15.75" customHeight="1">
      <c r="A1002" s="26" t="s">
        <v>4666</v>
      </c>
      <c r="B1002" s="27" t="s">
        <v>243</v>
      </c>
      <c r="C1002" s="27" t="s">
        <v>3657</v>
      </c>
      <c r="D1002" s="26" t="s">
        <v>3663</v>
      </c>
      <c r="E1002" s="28">
        <v>46113.0</v>
      </c>
      <c r="F1002" s="28">
        <v>46171.0</v>
      </c>
      <c r="G1002" s="29"/>
    </row>
    <row r="1003" ht="15.75" customHeight="1">
      <c r="A1003" s="30" t="s">
        <v>4667</v>
      </c>
      <c r="B1003" s="31" t="s">
        <v>243</v>
      </c>
      <c r="C1003" s="31" t="s">
        <v>3647</v>
      </c>
      <c r="D1003" s="30" t="s">
        <v>3663</v>
      </c>
      <c r="E1003" s="32">
        <v>46113.0</v>
      </c>
      <c r="F1003" s="32">
        <v>46171.0</v>
      </c>
      <c r="G1003" s="33"/>
    </row>
    <row r="1004" ht="15.75" customHeight="1">
      <c r="A1004" s="26" t="s">
        <v>4668</v>
      </c>
      <c r="B1004" s="27" t="s">
        <v>243</v>
      </c>
      <c r="C1004" s="27" t="s">
        <v>952</v>
      </c>
      <c r="D1004" s="26" t="s">
        <v>3663</v>
      </c>
      <c r="E1004" s="28">
        <v>46113.0</v>
      </c>
      <c r="F1004" s="28">
        <v>46171.0</v>
      </c>
      <c r="G1004" s="29"/>
    </row>
    <row r="1005" ht="15.75" customHeight="1">
      <c r="A1005" s="30" t="s">
        <v>4669</v>
      </c>
      <c r="B1005" s="31" t="s">
        <v>243</v>
      </c>
      <c r="C1005" s="31" t="s">
        <v>1218</v>
      </c>
      <c r="D1005" s="30" t="s">
        <v>3663</v>
      </c>
      <c r="E1005" s="32">
        <v>46113.0</v>
      </c>
      <c r="F1005" s="32">
        <v>46171.0</v>
      </c>
      <c r="G1005" s="33"/>
    </row>
    <row r="1006" ht="15.75" customHeight="1">
      <c r="A1006" s="26" t="s">
        <v>4670</v>
      </c>
      <c r="B1006" s="27" t="s">
        <v>243</v>
      </c>
      <c r="C1006" s="27" t="s">
        <v>965</v>
      </c>
      <c r="D1006" s="26" t="s">
        <v>3663</v>
      </c>
      <c r="E1006" s="28">
        <v>46113.0</v>
      </c>
      <c r="F1006" s="28">
        <v>46171.0</v>
      </c>
      <c r="G1006" s="29"/>
    </row>
    <row r="1007" ht="15.75" customHeight="1">
      <c r="A1007" s="30" t="s">
        <v>4671</v>
      </c>
      <c r="B1007" s="31" t="s">
        <v>243</v>
      </c>
      <c r="C1007" s="31" t="s">
        <v>923</v>
      </c>
      <c r="D1007" s="30" t="s">
        <v>3663</v>
      </c>
      <c r="E1007" s="32">
        <v>46113.0</v>
      </c>
      <c r="F1007" s="32">
        <v>46171.0</v>
      </c>
      <c r="G1007" s="33"/>
    </row>
    <row r="1008" ht="15.75" customHeight="1">
      <c r="A1008" s="26" t="s">
        <v>4672</v>
      </c>
      <c r="B1008" s="27" t="s">
        <v>243</v>
      </c>
      <c r="C1008" s="27" t="s">
        <v>955</v>
      </c>
      <c r="D1008" s="26" t="s">
        <v>3663</v>
      </c>
      <c r="E1008" s="28">
        <v>46113.0</v>
      </c>
      <c r="F1008" s="28">
        <v>46171.0</v>
      </c>
      <c r="G1008" s="29"/>
    </row>
    <row r="1009" ht="15.75" customHeight="1">
      <c r="A1009" s="30" t="s">
        <v>4673</v>
      </c>
      <c r="B1009" s="31" t="s">
        <v>244</v>
      </c>
      <c r="C1009" s="31" t="s">
        <v>932</v>
      </c>
      <c r="D1009" s="30" t="s">
        <v>3663</v>
      </c>
      <c r="E1009" s="32">
        <v>46113.0</v>
      </c>
      <c r="F1009" s="32">
        <v>46171.0</v>
      </c>
      <c r="G1009" s="33"/>
    </row>
    <row r="1010" ht="15.75" customHeight="1">
      <c r="A1010" s="26" t="s">
        <v>4674</v>
      </c>
      <c r="B1010" s="27" t="s">
        <v>244</v>
      </c>
      <c r="C1010" s="27" t="s">
        <v>1164</v>
      </c>
      <c r="D1010" s="26" t="s">
        <v>3663</v>
      </c>
      <c r="E1010" s="28">
        <v>46113.0</v>
      </c>
      <c r="F1010" s="28">
        <v>46171.0</v>
      </c>
      <c r="G1010" s="29"/>
    </row>
    <row r="1011" ht="15.75" customHeight="1">
      <c r="A1011" s="30" t="s">
        <v>4675</v>
      </c>
      <c r="B1011" s="31" t="s">
        <v>244</v>
      </c>
      <c r="C1011" s="31" t="s">
        <v>1166</v>
      </c>
      <c r="D1011" s="30" t="s">
        <v>3663</v>
      </c>
      <c r="E1011" s="32">
        <v>46113.0</v>
      </c>
      <c r="F1011" s="32">
        <v>46171.0</v>
      </c>
      <c r="G1011" s="33"/>
    </row>
    <row r="1012" ht="15.75" customHeight="1">
      <c r="A1012" s="26" t="s">
        <v>4676</v>
      </c>
      <c r="B1012" s="27" t="s">
        <v>244</v>
      </c>
      <c r="C1012" s="27" t="s">
        <v>1168</v>
      </c>
      <c r="D1012" s="26" t="s">
        <v>3663</v>
      </c>
      <c r="E1012" s="28">
        <v>46113.0</v>
      </c>
      <c r="F1012" s="28">
        <v>46171.0</v>
      </c>
      <c r="G1012" s="29"/>
    </row>
    <row r="1013" ht="15.75" customHeight="1">
      <c r="A1013" s="30" t="s">
        <v>4677</v>
      </c>
      <c r="B1013" s="31" t="s">
        <v>244</v>
      </c>
      <c r="C1013" s="31" t="s">
        <v>1170</v>
      </c>
      <c r="D1013" s="30" t="s">
        <v>3663</v>
      </c>
      <c r="E1013" s="32">
        <v>46113.0</v>
      </c>
      <c r="F1013" s="32">
        <v>46171.0</v>
      </c>
      <c r="G1013" s="33"/>
    </row>
    <row r="1014" ht="15.75" customHeight="1">
      <c r="A1014" s="26" t="s">
        <v>4678</v>
      </c>
      <c r="B1014" s="27" t="s">
        <v>244</v>
      </c>
      <c r="C1014" s="27" t="s">
        <v>1354</v>
      </c>
      <c r="D1014" s="26" t="s">
        <v>3663</v>
      </c>
      <c r="E1014" s="28">
        <v>46113.0</v>
      </c>
      <c r="F1014" s="28">
        <v>46171.0</v>
      </c>
      <c r="G1014" s="29"/>
    </row>
    <row r="1015" ht="15.75" customHeight="1">
      <c r="A1015" s="30" t="s">
        <v>4679</v>
      </c>
      <c r="B1015" s="31" t="s">
        <v>244</v>
      </c>
      <c r="C1015" s="31" t="s">
        <v>1216</v>
      </c>
      <c r="D1015" s="30" t="s">
        <v>3663</v>
      </c>
      <c r="E1015" s="32">
        <v>46113.0</v>
      </c>
      <c r="F1015" s="32">
        <v>46171.0</v>
      </c>
      <c r="G1015" s="33"/>
    </row>
    <row r="1016" ht="15.75" customHeight="1">
      <c r="A1016" s="26" t="s">
        <v>4680</v>
      </c>
      <c r="B1016" s="27" t="s">
        <v>244</v>
      </c>
      <c r="C1016" s="27" t="s">
        <v>1351</v>
      </c>
      <c r="D1016" s="26" t="s">
        <v>3663</v>
      </c>
      <c r="E1016" s="28">
        <v>46113.0</v>
      </c>
      <c r="F1016" s="28">
        <v>46171.0</v>
      </c>
      <c r="G1016" s="29"/>
    </row>
    <row r="1017" ht="15.75" customHeight="1">
      <c r="A1017" s="30" t="s">
        <v>4681</v>
      </c>
      <c r="B1017" s="31" t="s">
        <v>244</v>
      </c>
      <c r="C1017" s="31" t="s">
        <v>1349</v>
      </c>
      <c r="D1017" s="30" t="s">
        <v>3663</v>
      </c>
      <c r="E1017" s="32">
        <v>46113.0</v>
      </c>
      <c r="F1017" s="32">
        <v>46171.0</v>
      </c>
      <c r="G1017" s="33"/>
    </row>
    <row r="1018" ht="15.75" customHeight="1">
      <c r="A1018" s="26" t="s">
        <v>4682</v>
      </c>
      <c r="B1018" s="27" t="s">
        <v>244</v>
      </c>
      <c r="C1018" s="27" t="s">
        <v>3653</v>
      </c>
      <c r="D1018" s="27" t="s">
        <v>3663</v>
      </c>
      <c r="E1018" s="28">
        <v>46113.0</v>
      </c>
      <c r="F1018" s="28">
        <v>46171.0</v>
      </c>
      <c r="G1018" s="29"/>
    </row>
    <row r="1019" ht="15.75" customHeight="1">
      <c r="A1019" s="30" t="s">
        <v>4683</v>
      </c>
      <c r="B1019" s="31" t="s">
        <v>244</v>
      </c>
      <c r="C1019" s="31" t="s">
        <v>3652</v>
      </c>
      <c r="D1019" s="30" t="s">
        <v>3663</v>
      </c>
      <c r="E1019" s="32">
        <v>46113.0</v>
      </c>
      <c r="F1019" s="32">
        <v>46171.0</v>
      </c>
      <c r="G1019" s="33"/>
    </row>
    <row r="1020" ht="15.75" customHeight="1">
      <c r="A1020" s="26" t="s">
        <v>4684</v>
      </c>
      <c r="B1020" s="27" t="s">
        <v>244</v>
      </c>
      <c r="C1020" s="27" t="s">
        <v>968</v>
      </c>
      <c r="D1020" s="26" t="s">
        <v>3663</v>
      </c>
      <c r="E1020" s="28">
        <v>46113.0</v>
      </c>
      <c r="F1020" s="28">
        <v>46171.0</v>
      </c>
      <c r="G1020" s="29"/>
    </row>
    <row r="1021" ht="15.75" customHeight="1">
      <c r="A1021" s="30" t="s">
        <v>4685</v>
      </c>
      <c r="B1021" s="31" t="s">
        <v>244</v>
      </c>
      <c r="C1021" s="31" t="s">
        <v>923</v>
      </c>
      <c r="D1021" s="30" t="s">
        <v>3663</v>
      </c>
      <c r="E1021" s="32">
        <v>46113.0</v>
      </c>
      <c r="F1021" s="32">
        <v>46171.0</v>
      </c>
      <c r="G1021" s="33"/>
    </row>
    <row r="1022" ht="15.75" customHeight="1">
      <c r="A1022" s="26" t="s">
        <v>4686</v>
      </c>
      <c r="B1022" s="27" t="s">
        <v>244</v>
      </c>
      <c r="C1022" s="27" t="s">
        <v>961</v>
      </c>
      <c r="D1022" s="26" t="s">
        <v>3663</v>
      </c>
      <c r="E1022" s="28">
        <v>46113.0</v>
      </c>
      <c r="F1022" s="28">
        <v>46171.0</v>
      </c>
      <c r="G1022" s="29"/>
    </row>
    <row r="1023" ht="15.75" customHeight="1">
      <c r="A1023" s="30" t="s">
        <v>4687</v>
      </c>
      <c r="B1023" s="31" t="s">
        <v>245</v>
      </c>
      <c r="C1023" s="31" t="s">
        <v>1240</v>
      </c>
      <c r="D1023" s="30" t="s">
        <v>3663</v>
      </c>
      <c r="E1023" s="32">
        <v>46113.0</v>
      </c>
      <c r="F1023" s="32">
        <v>46171.0</v>
      </c>
      <c r="G1023" s="33"/>
    </row>
    <row r="1024" ht="15.75" customHeight="1">
      <c r="A1024" s="26" t="s">
        <v>4688</v>
      </c>
      <c r="B1024" s="27" t="s">
        <v>245</v>
      </c>
      <c r="C1024" s="27" t="s">
        <v>1242</v>
      </c>
      <c r="D1024" s="26" t="s">
        <v>3663</v>
      </c>
      <c r="E1024" s="28">
        <v>46113.0</v>
      </c>
      <c r="F1024" s="28">
        <v>46171.0</v>
      </c>
      <c r="G1024" s="29"/>
    </row>
    <row r="1025" ht="15.75" customHeight="1">
      <c r="A1025" s="30" t="s">
        <v>4689</v>
      </c>
      <c r="B1025" s="31" t="s">
        <v>245</v>
      </c>
      <c r="C1025" s="31" t="s">
        <v>1244</v>
      </c>
      <c r="D1025" s="30" t="s">
        <v>3663</v>
      </c>
      <c r="E1025" s="32">
        <v>46113.0</v>
      </c>
      <c r="F1025" s="32">
        <v>46171.0</v>
      </c>
      <c r="G1025" s="33"/>
    </row>
    <row r="1026" ht="15.75" customHeight="1">
      <c r="A1026" s="26" t="s">
        <v>4690</v>
      </c>
      <c r="B1026" s="27" t="s">
        <v>245</v>
      </c>
      <c r="C1026" s="27" t="s">
        <v>1246</v>
      </c>
      <c r="D1026" s="26" t="s">
        <v>3663</v>
      </c>
      <c r="E1026" s="28">
        <v>46113.0</v>
      </c>
      <c r="F1026" s="28">
        <v>46171.0</v>
      </c>
      <c r="G1026" s="29"/>
    </row>
    <row r="1027" ht="15.75" customHeight="1">
      <c r="A1027" s="30" t="s">
        <v>4691</v>
      </c>
      <c r="B1027" s="31" t="s">
        <v>245</v>
      </c>
      <c r="C1027" s="31" t="s">
        <v>928</v>
      </c>
      <c r="D1027" s="30" t="s">
        <v>3663</v>
      </c>
      <c r="E1027" s="32">
        <v>46113.0</v>
      </c>
      <c r="F1027" s="32">
        <v>46171.0</v>
      </c>
      <c r="G1027" s="33"/>
    </row>
    <row r="1028" ht="15.75" customHeight="1">
      <c r="A1028" s="26" t="s">
        <v>4692</v>
      </c>
      <c r="B1028" s="27" t="s">
        <v>245</v>
      </c>
      <c r="C1028" s="27" t="s">
        <v>1354</v>
      </c>
      <c r="D1028" s="26" t="s">
        <v>3663</v>
      </c>
      <c r="E1028" s="28">
        <v>46113.0</v>
      </c>
      <c r="F1028" s="28">
        <v>46171.0</v>
      </c>
      <c r="G1028" s="29"/>
    </row>
    <row r="1029" ht="15.75" customHeight="1">
      <c r="A1029" s="30" t="s">
        <v>4693</v>
      </c>
      <c r="B1029" s="31" t="s">
        <v>245</v>
      </c>
      <c r="C1029" s="31" t="s">
        <v>1159</v>
      </c>
      <c r="D1029" s="30" t="s">
        <v>3663</v>
      </c>
      <c r="E1029" s="32">
        <v>46113.0</v>
      </c>
      <c r="F1029" s="32">
        <v>46171.0</v>
      </c>
      <c r="G1029" s="33"/>
    </row>
    <row r="1030" ht="15.75" customHeight="1">
      <c r="A1030" s="26" t="s">
        <v>4694</v>
      </c>
      <c r="B1030" s="27" t="s">
        <v>245</v>
      </c>
      <c r="C1030" s="27" t="s">
        <v>3656</v>
      </c>
      <c r="D1030" s="26" t="s">
        <v>3663</v>
      </c>
      <c r="E1030" s="28">
        <v>46113.0</v>
      </c>
      <c r="F1030" s="28">
        <v>46171.0</v>
      </c>
      <c r="G1030" s="29"/>
    </row>
    <row r="1031" ht="15.75" customHeight="1">
      <c r="A1031" s="30" t="s">
        <v>4695</v>
      </c>
      <c r="B1031" s="31" t="s">
        <v>245</v>
      </c>
      <c r="C1031" s="31" t="s">
        <v>3657</v>
      </c>
      <c r="D1031" s="30" t="s">
        <v>3663</v>
      </c>
      <c r="E1031" s="32">
        <v>46113.0</v>
      </c>
      <c r="F1031" s="32">
        <v>46171.0</v>
      </c>
      <c r="G1031" s="33"/>
    </row>
    <row r="1032" ht="15.75" customHeight="1">
      <c r="A1032" s="26" t="s">
        <v>4696</v>
      </c>
      <c r="B1032" s="27" t="s">
        <v>245</v>
      </c>
      <c r="C1032" s="27" t="s">
        <v>3647</v>
      </c>
      <c r="D1032" s="26" t="s">
        <v>3663</v>
      </c>
      <c r="E1032" s="28">
        <v>46113.0</v>
      </c>
      <c r="F1032" s="28">
        <v>46171.0</v>
      </c>
      <c r="G1032" s="29"/>
    </row>
    <row r="1033" ht="15.75" customHeight="1">
      <c r="A1033" s="30" t="s">
        <v>4697</v>
      </c>
      <c r="B1033" s="31" t="s">
        <v>245</v>
      </c>
      <c r="C1033" s="31" t="s">
        <v>952</v>
      </c>
      <c r="D1033" s="30" t="s">
        <v>3663</v>
      </c>
      <c r="E1033" s="32">
        <v>46113.0</v>
      </c>
      <c r="F1033" s="32">
        <v>46171.0</v>
      </c>
      <c r="G1033" s="33"/>
    </row>
    <row r="1034" ht="15.75" customHeight="1">
      <c r="A1034" s="26" t="s">
        <v>4698</v>
      </c>
      <c r="B1034" s="27" t="s">
        <v>245</v>
      </c>
      <c r="C1034" s="27" t="s">
        <v>1216</v>
      </c>
      <c r="D1034" s="26" t="s">
        <v>3663</v>
      </c>
      <c r="E1034" s="28">
        <v>46113.0</v>
      </c>
      <c r="F1034" s="28">
        <v>46171.0</v>
      </c>
      <c r="G1034" s="29"/>
    </row>
    <row r="1035" ht="15.75" customHeight="1">
      <c r="A1035" s="30" t="s">
        <v>4699</v>
      </c>
      <c r="B1035" s="31" t="s">
        <v>245</v>
      </c>
      <c r="C1035" s="31" t="s">
        <v>968</v>
      </c>
      <c r="D1035" s="30" t="s">
        <v>3663</v>
      </c>
      <c r="E1035" s="32">
        <v>46113.0</v>
      </c>
      <c r="F1035" s="32">
        <v>46171.0</v>
      </c>
      <c r="G1035" s="33"/>
    </row>
    <row r="1036" ht="15.75" customHeight="1">
      <c r="A1036" s="26" t="s">
        <v>4700</v>
      </c>
      <c r="B1036" s="27" t="s">
        <v>245</v>
      </c>
      <c r="C1036" s="27" t="s">
        <v>923</v>
      </c>
      <c r="D1036" s="26" t="s">
        <v>3663</v>
      </c>
      <c r="E1036" s="28">
        <v>46113.0</v>
      </c>
      <c r="F1036" s="28">
        <v>46171.0</v>
      </c>
      <c r="G1036" s="29"/>
    </row>
    <row r="1037" ht="15.75" customHeight="1">
      <c r="A1037" s="30" t="s">
        <v>4701</v>
      </c>
      <c r="B1037" s="31" t="s">
        <v>246</v>
      </c>
      <c r="C1037" s="31" t="s">
        <v>3654</v>
      </c>
      <c r="D1037" s="30" t="s">
        <v>3663</v>
      </c>
      <c r="E1037" s="32">
        <v>46113.0</v>
      </c>
      <c r="F1037" s="32">
        <v>46171.0</v>
      </c>
      <c r="G1037" s="33"/>
    </row>
    <row r="1038" ht="15.75" customHeight="1">
      <c r="A1038" s="26" t="s">
        <v>4702</v>
      </c>
      <c r="B1038" s="27" t="s">
        <v>246</v>
      </c>
      <c r="C1038" s="27" t="s">
        <v>3655</v>
      </c>
      <c r="D1038" s="26" t="s">
        <v>3663</v>
      </c>
      <c r="E1038" s="28">
        <v>46113.0</v>
      </c>
      <c r="F1038" s="28">
        <v>46171.0</v>
      </c>
      <c r="G1038" s="29"/>
    </row>
    <row r="1039" ht="15.75" customHeight="1">
      <c r="A1039" s="30" t="s">
        <v>4703</v>
      </c>
      <c r="B1039" s="31" t="s">
        <v>246</v>
      </c>
      <c r="C1039" s="31" t="s">
        <v>3638</v>
      </c>
      <c r="D1039" s="30" t="s">
        <v>3663</v>
      </c>
      <c r="E1039" s="32">
        <v>46113.0</v>
      </c>
      <c r="F1039" s="32">
        <v>46171.0</v>
      </c>
      <c r="G1039" s="33"/>
    </row>
    <row r="1040" ht="15.75" customHeight="1">
      <c r="A1040" s="26" t="s">
        <v>4704</v>
      </c>
      <c r="B1040" s="27" t="s">
        <v>246</v>
      </c>
      <c r="C1040" s="27" t="s">
        <v>930</v>
      </c>
      <c r="D1040" s="26" t="s">
        <v>3663</v>
      </c>
      <c r="E1040" s="28">
        <v>46113.0</v>
      </c>
      <c r="F1040" s="28">
        <v>46171.0</v>
      </c>
      <c r="G1040" s="29"/>
    </row>
    <row r="1041" ht="15.75" customHeight="1">
      <c r="A1041" s="30" t="s">
        <v>4705</v>
      </c>
      <c r="B1041" s="31" t="s">
        <v>246</v>
      </c>
      <c r="C1041" s="31" t="s">
        <v>1354</v>
      </c>
      <c r="D1041" s="30" t="s">
        <v>3663</v>
      </c>
      <c r="E1041" s="32">
        <v>46113.0</v>
      </c>
      <c r="F1041" s="32">
        <v>46171.0</v>
      </c>
      <c r="G1041" s="33"/>
    </row>
    <row r="1042" ht="15.75" customHeight="1">
      <c r="A1042" s="26" t="s">
        <v>4706</v>
      </c>
      <c r="B1042" s="27" t="s">
        <v>246</v>
      </c>
      <c r="C1042" s="27" t="s">
        <v>1190</v>
      </c>
      <c r="D1042" s="26" t="s">
        <v>3663</v>
      </c>
      <c r="E1042" s="28">
        <v>46113.0</v>
      </c>
      <c r="F1042" s="28">
        <v>46171.0</v>
      </c>
      <c r="G1042" s="29"/>
    </row>
    <row r="1043" ht="15.75" customHeight="1">
      <c r="A1043" s="30" t="s">
        <v>4707</v>
      </c>
      <c r="B1043" s="31" t="s">
        <v>246</v>
      </c>
      <c r="C1043" s="31" t="s">
        <v>1157</v>
      </c>
      <c r="D1043" s="30" t="s">
        <v>3663</v>
      </c>
      <c r="E1043" s="32">
        <v>46113.0</v>
      </c>
      <c r="F1043" s="32">
        <v>46171.0</v>
      </c>
      <c r="G1043" s="33"/>
    </row>
    <row r="1044" ht="15.75" customHeight="1">
      <c r="A1044" s="26" t="s">
        <v>4708</v>
      </c>
      <c r="B1044" s="27" t="s">
        <v>246</v>
      </c>
      <c r="C1044" s="27" t="s">
        <v>1155</v>
      </c>
      <c r="D1044" s="26" t="s">
        <v>3663</v>
      </c>
      <c r="E1044" s="28">
        <v>46113.0</v>
      </c>
      <c r="F1044" s="28">
        <v>46171.0</v>
      </c>
      <c r="G1044" s="29"/>
    </row>
    <row r="1045" ht="15.75" customHeight="1">
      <c r="A1045" s="30" t="s">
        <v>4709</v>
      </c>
      <c r="B1045" s="31" t="s">
        <v>246</v>
      </c>
      <c r="C1045" s="31" t="s">
        <v>1153</v>
      </c>
      <c r="D1045" s="30" t="s">
        <v>3663</v>
      </c>
      <c r="E1045" s="32">
        <v>46113.0</v>
      </c>
      <c r="F1045" s="32">
        <v>46171.0</v>
      </c>
      <c r="G1045" s="33"/>
    </row>
    <row r="1046" ht="15.75" customHeight="1">
      <c r="A1046" s="26" t="s">
        <v>4710</v>
      </c>
      <c r="B1046" s="27" t="s">
        <v>246</v>
      </c>
      <c r="C1046" s="27" t="s">
        <v>1149</v>
      </c>
      <c r="D1046" s="26" t="s">
        <v>3663</v>
      </c>
      <c r="E1046" s="28">
        <v>46113.0</v>
      </c>
      <c r="F1046" s="28">
        <v>46171.0</v>
      </c>
      <c r="G1046" s="29"/>
    </row>
    <row r="1047" ht="15.75" customHeight="1">
      <c r="A1047" s="30" t="s">
        <v>4711</v>
      </c>
      <c r="B1047" s="31" t="s">
        <v>246</v>
      </c>
      <c r="C1047" s="31" t="s">
        <v>1351</v>
      </c>
      <c r="D1047" s="30" t="s">
        <v>3663</v>
      </c>
      <c r="E1047" s="32">
        <v>46113.0</v>
      </c>
      <c r="F1047" s="32">
        <v>46171.0</v>
      </c>
      <c r="G1047" s="33"/>
    </row>
    <row r="1048" ht="15.75" customHeight="1">
      <c r="A1048" s="26" t="s">
        <v>4712</v>
      </c>
      <c r="B1048" s="27" t="s">
        <v>246</v>
      </c>
      <c r="C1048" s="27" t="s">
        <v>1349</v>
      </c>
      <c r="D1048" s="26" t="s">
        <v>3663</v>
      </c>
      <c r="E1048" s="28">
        <v>46113.0</v>
      </c>
      <c r="F1048" s="28">
        <v>46171.0</v>
      </c>
      <c r="G1048" s="29"/>
    </row>
    <row r="1049" ht="15.75" customHeight="1">
      <c r="A1049" s="30" t="s">
        <v>4713</v>
      </c>
      <c r="B1049" s="31" t="s">
        <v>246</v>
      </c>
      <c r="C1049" s="31" t="s">
        <v>965</v>
      </c>
      <c r="D1049" s="30" t="s">
        <v>3663</v>
      </c>
      <c r="E1049" s="32">
        <v>46113.0</v>
      </c>
      <c r="F1049" s="32">
        <v>46171.0</v>
      </c>
      <c r="G1049" s="33"/>
    </row>
    <row r="1050" ht="15.75" customHeight="1">
      <c r="A1050" s="26" t="s">
        <v>4714</v>
      </c>
      <c r="B1050" s="27" t="s">
        <v>246</v>
      </c>
      <c r="C1050" s="27" t="s">
        <v>923</v>
      </c>
      <c r="D1050" s="26" t="s">
        <v>3663</v>
      </c>
      <c r="E1050" s="28">
        <v>46113.0</v>
      </c>
      <c r="F1050" s="28">
        <v>46171.0</v>
      </c>
      <c r="G1050" s="29"/>
    </row>
    <row r="1051" ht="15.75" customHeight="1">
      <c r="A1051" s="30" t="s">
        <v>4715</v>
      </c>
      <c r="B1051" s="31" t="s">
        <v>247</v>
      </c>
      <c r="C1051" s="31" t="s">
        <v>3654</v>
      </c>
      <c r="D1051" s="30" t="s">
        <v>3663</v>
      </c>
      <c r="E1051" s="32">
        <v>46113.0</v>
      </c>
      <c r="F1051" s="32">
        <v>46171.0</v>
      </c>
      <c r="G1051" s="33"/>
    </row>
    <row r="1052" ht="15.75" customHeight="1">
      <c r="A1052" s="26" t="s">
        <v>4716</v>
      </c>
      <c r="B1052" s="27" t="s">
        <v>247</v>
      </c>
      <c r="C1052" s="27" t="s">
        <v>3655</v>
      </c>
      <c r="D1052" s="26" t="s">
        <v>3663</v>
      </c>
      <c r="E1052" s="28">
        <v>46113.0</v>
      </c>
      <c r="F1052" s="28">
        <v>46171.0</v>
      </c>
      <c r="G1052" s="29"/>
    </row>
    <row r="1053" ht="15.75" customHeight="1">
      <c r="A1053" s="30" t="s">
        <v>4717</v>
      </c>
      <c r="B1053" s="31" t="s">
        <v>247</v>
      </c>
      <c r="C1053" s="31" t="s">
        <v>928</v>
      </c>
      <c r="D1053" s="30" t="s">
        <v>3663</v>
      </c>
      <c r="E1053" s="32">
        <v>46113.0</v>
      </c>
      <c r="F1053" s="32">
        <v>46171.0</v>
      </c>
      <c r="G1053" s="33"/>
    </row>
    <row r="1054" ht="15.75" customHeight="1">
      <c r="A1054" s="26" t="s">
        <v>4718</v>
      </c>
      <c r="B1054" s="27" t="s">
        <v>247</v>
      </c>
      <c r="C1054" s="27" t="s">
        <v>1354</v>
      </c>
      <c r="D1054" s="26" t="s">
        <v>3663</v>
      </c>
      <c r="E1054" s="28">
        <v>46113.0</v>
      </c>
      <c r="F1054" s="28">
        <v>46171.0</v>
      </c>
      <c r="G1054" s="29"/>
    </row>
    <row r="1055" ht="15.75" customHeight="1">
      <c r="A1055" s="30" t="s">
        <v>4719</v>
      </c>
      <c r="B1055" s="31" t="s">
        <v>247</v>
      </c>
      <c r="C1055" s="31" t="s">
        <v>1222</v>
      </c>
      <c r="D1055" s="30" t="s">
        <v>3663</v>
      </c>
      <c r="E1055" s="32">
        <v>46113.0</v>
      </c>
      <c r="F1055" s="32">
        <v>46171.0</v>
      </c>
      <c r="G1055" s="33"/>
    </row>
    <row r="1056" ht="15.75" customHeight="1">
      <c r="A1056" s="26" t="s">
        <v>4720</v>
      </c>
      <c r="B1056" s="27" t="s">
        <v>247</v>
      </c>
      <c r="C1056" s="27" t="s">
        <v>1224</v>
      </c>
      <c r="D1056" s="26" t="s">
        <v>3663</v>
      </c>
      <c r="E1056" s="28">
        <v>46113.0</v>
      </c>
      <c r="F1056" s="28">
        <v>46171.0</v>
      </c>
      <c r="G1056" s="29"/>
    </row>
    <row r="1057" ht="15.75" customHeight="1">
      <c r="A1057" s="30" t="s">
        <v>4721</v>
      </c>
      <c r="B1057" s="31" t="s">
        <v>247</v>
      </c>
      <c r="C1057" s="31" t="s">
        <v>1226</v>
      </c>
      <c r="D1057" s="30" t="s">
        <v>3663</v>
      </c>
      <c r="E1057" s="32">
        <v>46113.0</v>
      </c>
      <c r="F1057" s="32">
        <v>46171.0</v>
      </c>
      <c r="G1057" s="33"/>
    </row>
    <row r="1058" ht="15.75" customHeight="1">
      <c r="A1058" s="26" t="s">
        <v>4722</v>
      </c>
      <c r="B1058" s="27" t="s">
        <v>247</v>
      </c>
      <c r="C1058" s="27" t="s">
        <v>1228</v>
      </c>
      <c r="D1058" s="26" t="s">
        <v>3663</v>
      </c>
      <c r="E1058" s="28">
        <v>46113.0</v>
      </c>
      <c r="F1058" s="28">
        <v>46171.0</v>
      </c>
      <c r="G1058" s="29"/>
    </row>
    <row r="1059" ht="15.75" customHeight="1">
      <c r="A1059" s="30" t="s">
        <v>4723</v>
      </c>
      <c r="B1059" s="31" t="s">
        <v>247</v>
      </c>
      <c r="C1059" s="31" t="s">
        <v>1159</v>
      </c>
      <c r="D1059" s="30" t="s">
        <v>3663</v>
      </c>
      <c r="E1059" s="32">
        <v>46113.0</v>
      </c>
      <c r="F1059" s="32">
        <v>46171.0</v>
      </c>
      <c r="G1059" s="33"/>
    </row>
    <row r="1060" ht="15.75" customHeight="1">
      <c r="A1060" s="26" t="s">
        <v>4724</v>
      </c>
      <c r="B1060" s="27" t="s">
        <v>247</v>
      </c>
      <c r="C1060" s="27" t="s">
        <v>3647</v>
      </c>
      <c r="D1060" s="26" t="s">
        <v>3663</v>
      </c>
      <c r="E1060" s="28">
        <v>46113.0</v>
      </c>
      <c r="F1060" s="28">
        <v>46171.0</v>
      </c>
      <c r="G1060" s="29"/>
    </row>
    <row r="1061" ht="15.75" customHeight="1">
      <c r="A1061" s="30" t="s">
        <v>4725</v>
      </c>
      <c r="B1061" s="31" t="s">
        <v>247</v>
      </c>
      <c r="C1061" s="31" t="s">
        <v>952</v>
      </c>
      <c r="D1061" s="30" t="s">
        <v>3663</v>
      </c>
      <c r="E1061" s="32">
        <v>46113.0</v>
      </c>
      <c r="F1061" s="32">
        <v>46171.0</v>
      </c>
      <c r="G1061" s="33"/>
    </row>
    <row r="1062" ht="15.75" customHeight="1">
      <c r="A1062" s="26" t="s">
        <v>4726</v>
      </c>
      <c r="B1062" s="27" t="s">
        <v>247</v>
      </c>
      <c r="C1062" s="27" t="s">
        <v>1216</v>
      </c>
      <c r="D1062" s="26" t="s">
        <v>3663</v>
      </c>
      <c r="E1062" s="28">
        <v>46113.0</v>
      </c>
      <c r="F1062" s="28">
        <v>46171.0</v>
      </c>
      <c r="G1062" s="29"/>
    </row>
    <row r="1063" ht="15.75" customHeight="1">
      <c r="A1063" s="30" t="s">
        <v>4727</v>
      </c>
      <c r="B1063" s="31" t="s">
        <v>247</v>
      </c>
      <c r="C1063" s="31" t="s">
        <v>968</v>
      </c>
      <c r="D1063" s="30" t="s">
        <v>3663</v>
      </c>
      <c r="E1063" s="32">
        <v>46113.0</v>
      </c>
      <c r="F1063" s="32">
        <v>46171.0</v>
      </c>
      <c r="G1063" s="33"/>
    </row>
    <row r="1064" ht="15.75" customHeight="1">
      <c r="A1064" s="26" t="s">
        <v>4728</v>
      </c>
      <c r="B1064" s="27" t="s">
        <v>247</v>
      </c>
      <c r="C1064" s="27" t="s">
        <v>923</v>
      </c>
      <c r="D1064" s="26" t="s">
        <v>3663</v>
      </c>
      <c r="E1064" s="28">
        <v>46113.0</v>
      </c>
      <c r="F1064" s="28">
        <v>46171.0</v>
      </c>
      <c r="G1064" s="29"/>
    </row>
    <row r="1065" ht="15.75" customHeight="1">
      <c r="A1065" s="30" t="s">
        <v>4729</v>
      </c>
      <c r="B1065" s="31" t="s">
        <v>248</v>
      </c>
      <c r="C1065" s="31" t="s">
        <v>3654</v>
      </c>
      <c r="D1065" s="30" t="s">
        <v>3663</v>
      </c>
      <c r="E1065" s="32">
        <v>46113.0</v>
      </c>
      <c r="F1065" s="32">
        <v>46171.0</v>
      </c>
      <c r="G1065" s="33"/>
    </row>
    <row r="1066" ht="15.75" customHeight="1">
      <c r="A1066" s="26" t="s">
        <v>4730</v>
      </c>
      <c r="B1066" s="27" t="s">
        <v>248</v>
      </c>
      <c r="C1066" s="27" t="s">
        <v>3655</v>
      </c>
      <c r="D1066" s="26" t="s">
        <v>3663</v>
      </c>
      <c r="E1066" s="28">
        <v>46113.0</v>
      </c>
      <c r="F1066" s="28">
        <v>46171.0</v>
      </c>
      <c r="G1066" s="29"/>
    </row>
    <row r="1067" ht="15.75" customHeight="1">
      <c r="A1067" s="30" t="s">
        <v>4731</v>
      </c>
      <c r="B1067" s="31" t="s">
        <v>248</v>
      </c>
      <c r="C1067" s="31" t="s">
        <v>928</v>
      </c>
      <c r="D1067" s="30" t="s">
        <v>3663</v>
      </c>
      <c r="E1067" s="32">
        <v>46113.0</v>
      </c>
      <c r="F1067" s="32">
        <v>46171.0</v>
      </c>
      <c r="G1067" s="33"/>
    </row>
    <row r="1068" ht="15.75" customHeight="1">
      <c r="A1068" s="26" t="s">
        <v>4732</v>
      </c>
      <c r="B1068" s="27" t="s">
        <v>248</v>
      </c>
      <c r="C1068" s="27" t="s">
        <v>1354</v>
      </c>
      <c r="D1068" s="26" t="s">
        <v>3663</v>
      </c>
      <c r="E1068" s="28">
        <v>46113.0</v>
      </c>
      <c r="F1068" s="28">
        <v>46171.0</v>
      </c>
      <c r="G1068" s="29"/>
    </row>
    <row r="1069" ht="15.75" customHeight="1">
      <c r="A1069" s="30" t="s">
        <v>4733</v>
      </c>
      <c r="B1069" s="31" t="s">
        <v>248</v>
      </c>
      <c r="C1069" s="31" t="s">
        <v>1222</v>
      </c>
      <c r="D1069" s="30" t="s">
        <v>3663</v>
      </c>
      <c r="E1069" s="32">
        <v>46113.0</v>
      </c>
      <c r="F1069" s="32">
        <v>46171.0</v>
      </c>
      <c r="G1069" s="33"/>
    </row>
    <row r="1070" ht="15.75" customHeight="1">
      <c r="A1070" s="26" t="s">
        <v>4734</v>
      </c>
      <c r="B1070" s="27" t="s">
        <v>248</v>
      </c>
      <c r="C1070" s="27" t="s">
        <v>1224</v>
      </c>
      <c r="D1070" s="26" t="s">
        <v>3663</v>
      </c>
      <c r="E1070" s="28">
        <v>46113.0</v>
      </c>
      <c r="F1070" s="28">
        <v>46171.0</v>
      </c>
      <c r="G1070" s="29"/>
    </row>
    <row r="1071" ht="15.75" customHeight="1">
      <c r="A1071" s="30" t="s">
        <v>4735</v>
      </c>
      <c r="B1071" s="31" t="s">
        <v>248</v>
      </c>
      <c r="C1071" s="31" t="s">
        <v>1226</v>
      </c>
      <c r="D1071" s="30" t="s">
        <v>3663</v>
      </c>
      <c r="E1071" s="32">
        <v>46113.0</v>
      </c>
      <c r="F1071" s="32">
        <v>46171.0</v>
      </c>
      <c r="G1071" s="33"/>
    </row>
    <row r="1072" ht="15.75" customHeight="1">
      <c r="A1072" s="26" t="s">
        <v>4736</v>
      </c>
      <c r="B1072" s="27" t="s">
        <v>248</v>
      </c>
      <c r="C1072" s="27" t="s">
        <v>1228</v>
      </c>
      <c r="D1072" s="26" t="s">
        <v>3663</v>
      </c>
      <c r="E1072" s="28">
        <v>46113.0</v>
      </c>
      <c r="F1072" s="28">
        <v>46171.0</v>
      </c>
      <c r="G1072" s="29"/>
    </row>
    <row r="1073" ht="15.75" customHeight="1">
      <c r="A1073" s="30" t="s">
        <v>4737</v>
      </c>
      <c r="B1073" s="31" t="s">
        <v>248</v>
      </c>
      <c r="C1073" s="31" t="s">
        <v>1190</v>
      </c>
      <c r="D1073" s="30" t="s">
        <v>3663</v>
      </c>
      <c r="E1073" s="32">
        <v>46113.0</v>
      </c>
      <c r="F1073" s="32">
        <v>46171.0</v>
      </c>
      <c r="G1073" s="33"/>
    </row>
    <row r="1074" ht="15.75" customHeight="1">
      <c r="A1074" s="26" t="s">
        <v>4738</v>
      </c>
      <c r="B1074" s="27" t="s">
        <v>248</v>
      </c>
      <c r="C1074" s="27" t="s">
        <v>1351</v>
      </c>
      <c r="D1074" s="26" t="s">
        <v>3663</v>
      </c>
      <c r="E1074" s="28">
        <v>46113.0</v>
      </c>
      <c r="F1074" s="28">
        <v>46171.0</v>
      </c>
      <c r="G1074" s="29"/>
    </row>
    <row r="1075" ht="15.75" customHeight="1">
      <c r="A1075" s="30" t="s">
        <v>4739</v>
      </c>
      <c r="B1075" s="31" t="s">
        <v>248</v>
      </c>
      <c r="C1075" s="31" t="s">
        <v>1349</v>
      </c>
      <c r="D1075" s="30" t="s">
        <v>3663</v>
      </c>
      <c r="E1075" s="32">
        <v>46113.0</v>
      </c>
      <c r="F1075" s="32">
        <v>46171.0</v>
      </c>
      <c r="G1075" s="33"/>
    </row>
    <row r="1076" ht="15.75" customHeight="1">
      <c r="A1076" s="26" t="s">
        <v>4740</v>
      </c>
      <c r="B1076" s="27" t="s">
        <v>248</v>
      </c>
      <c r="C1076" s="27" t="s">
        <v>968</v>
      </c>
      <c r="D1076" s="26" t="s">
        <v>3663</v>
      </c>
      <c r="E1076" s="28">
        <v>46113.0</v>
      </c>
      <c r="F1076" s="28">
        <v>46171.0</v>
      </c>
      <c r="G1076" s="29"/>
    </row>
    <row r="1077" ht="15.75" customHeight="1">
      <c r="A1077" s="30" t="s">
        <v>4741</v>
      </c>
      <c r="B1077" s="31" t="s">
        <v>248</v>
      </c>
      <c r="C1077" s="31" t="s">
        <v>923</v>
      </c>
      <c r="D1077" s="30" t="s">
        <v>3663</v>
      </c>
      <c r="E1077" s="32">
        <v>46113.0</v>
      </c>
      <c r="F1077" s="32">
        <v>46171.0</v>
      </c>
      <c r="G1077" s="33"/>
    </row>
    <row r="1078" ht="15.75" customHeight="1">
      <c r="A1078" s="26" t="s">
        <v>4742</v>
      </c>
      <c r="B1078" s="27" t="s">
        <v>248</v>
      </c>
      <c r="C1078" s="27" t="s">
        <v>955</v>
      </c>
      <c r="D1078" s="26" t="s">
        <v>3663</v>
      </c>
      <c r="E1078" s="28">
        <v>46113.0</v>
      </c>
      <c r="F1078" s="28">
        <v>46171.0</v>
      </c>
      <c r="G1078" s="29"/>
    </row>
    <row r="1079" ht="15.75" customHeight="1">
      <c r="A1079" s="30" t="s">
        <v>4743</v>
      </c>
      <c r="B1079" s="31" t="s">
        <v>249</v>
      </c>
      <c r="C1079" s="31" t="s">
        <v>930</v>
      </c>
      <c r="D1079" s="30" t="s">
        <v>3663</v>
      </c>
      <c r="E1079" s="32">
        <v>46113.0</v>
      </c>
      <c r="F1079" s="32">
        <v>46171.0</v>
      </c>
      <c r="G1079" s="33"/>
    </row>
    <row r="1080" ht="15.75" customHeight="1">
      <c r="A1080" s="26" t="s">
        <v>4744</v>
      </c>
      <c r="B1080" s="27" t="s">
        <v>249</v>
      </c>
      <c r="C1080" s="27" t="s">
        <v>1354</v>
      </c>
      <c r="D1080" s="26" t="s">
        <v>3663</v>
      </c>
      <c r="E1080" s="28">
        <v>46113.0</v>
      </c>
      <c r="F1080" s="28">
        <v>46171.0</v>
      </c>
      <c r="G1080" s="29"/>
    </row>
    <row r="1081" ht="15.75" customHeight="1">
      <c r="A1081" s="30" t="s">
        <v>4745</v>
      </c>
      <c r="B1081" s="31" t="s">
        <v>249</v>
      </c>
      <c r="C1081" s="31" t="s">
        <v>3641</v>
      </c>
      <c r="D1081" s="30" t="s">
        <v>3663</v>
      </c>
      <c r="E1081" s="32">
        <v>46113.0</v>
      </c>
      <c r="F1081" s="32">
        <v>46171.0</v>
      </c>
      <c r="G1081" s="33"/>
    </row>
    <row r="1082" ht="15.75" customHeight="1">
      <c r="A1082" s="26" t="s">
        <v>4746</v>
      </c>
      <c r="B1082" s="27" t="s">
        <v>249</v>
      </c>
      <c r="C1082" s="27" t="s">
        <v>1304</v>
      </c>
      <c r="D1082" s="26" t="s">
        <v>3663</v>
      </c>
      <c r="E1082" s="28">
        <v>46113.0</v>
      </c>
      <c r="F1082" s="28">
        <v>46171.0</v>
      </c>
      <c r="G1082" s="29"/>
    </row>
    <row r="1083" ht="15.75" customHeight="1">
      <c r="A1083" s="30" t="s">
        <v>4747</v>
      </c>
      <c r="B1083" s="31" t="s">
        <v>249</v>
      </c>
      <c r="C1083" s="31" t="s">
        <v>3642</v>
      </c>
      <c r="D1083" s="30" t="s">
        <v>3663</v>
      </c>
      <c r="E1083" s="32">
        <v>46113.0</v>
      </c>
      <c r="F1083" s="32">
        <v>46171.0</v>
      </c>
      <c r="G1083" s="33"/>
    </row>
    <row r="1084" ht="15.75" customHeight="1">
      <c r="A1084" s="26" t="s">
        <v>4748</v>
      </c>
      <c r="B1084" s="27" t="s">
        <v>249</v>
      </c>
      <c r="C1084" s="27" t="s">
        <v>1308</v>
      </c>
      <c r="D1084" s="26" t="s">
        <v>3663</v>
      </c>
      <c r="E1084" s="28">
        <v>46113.0</v>
      </c>
      <c r="F1084" s="28">
        <v>46171.0</v>
      </c>
      <c r="G1084" s="29"/>
    </row>
    <row r="1085" ht="15.75" customHeight="1">
      <c r="A1085" s="30" t="s">
        <v>4749</v>
      </c>
      <c r="B1085" s="31" t="s">
        <v>249</v>
      </c>
      <c r="C1085" s="31" t="s">
        <v>1159</v>
      </c>
      <c r="D1085" s="30" t="s">
        <v>3663</v>
      </c>
      <c r="E1085" s="32">
        <v>46113.0</v>
      </c>
      <c r="F1085" s="32">
        <v>46171.0</v>
      </c>
      <c r="G1085" s="33"/>
    </row>
    <row r="1086" ht="15.75" customHeight="1">
      <c r="A1086" s="26" t="s">
        <v>4750</v>
      </c>
      <c r="B1086" s="27" t="s">
        <v>249</v>
      </c>
      <c r="C1086" s="27" t="s">
        <v>3656</v>
      </c>
      <c r="D1086" s="26" t="s">
        <v>3663</v>
      </c>
      <c r="E1086" s="28">
        <v>46113.0</v>
      </c>
      <c r="F1086" s="28">
        <v>46171.0</v>
      </c>
      <c r="G1086" s="29"/>
    </row>
    <row r="1087" ht="15.75" customHeight="1">
      <c r="A1087" s="30" t="s">
        <v>4751</v>
      </c>
      <c r="B1087" s="31" t="s">
        <v>249</v>
      </c>
      <c r="C1087" s="31" t="s">
        <v>3657</v>
      </c>
      <c r="D1087" s="30" t="s">
        <v>3663</v>
      </c>
      <c r="E1087" s="32">
        <v>46113.0</v>
      </c>
      <c r="F1087" s="32">
        <v>46171.0</v>
      </c>
      <c r="G1087" s="33"/>
    </row>
    <row r="1088" ht="15.75" customHeight="1">
      <c r="A1088" s="26" t="s">
        <v>4752</v>
      </c>
      <c r="B1088" s="27" t="s">
        <v>249</v>
      </c>
      <c r="C1088" s="27" t="s">
        <v>1351</v>
      </c>
      <c r="D1088" s="26" t="s">
        <v>3663</v>
      </c>
      <c r="E1088" s="28">
        <v>46113.0</v>
      </c>
      <c r="F1088" s="28">
        <v>46171.0</v>
      </c>
      <c r="G1088" s="29"/>
    </row>
    <row r="1089" ht="15.75" customHeight="1">
      <c r="A1089" s="30" t="s">
        <v>4753</v>
      </c>
      <c r="B1089" s="31" t="s">
        <v>249</v>
      </c>
      <c r="C1089" s="31" t="s">
        <v>1349</v>
      </c>
      <c r="D1089" s="30" t="s">
        <v>3663</v>
      </c>
      <c r="E1089" s="32">
        <v>46113.0</v>
      </c>
      <c r="F1089" s="32">
        <v>46171.0</v>
      </c>
      <c r="G1089" s="33"/>
    </row>
    <row r="1090" ht="15.75" customHeight="1">
      <c r="A1090" s="26" t="s">
        <v>4754</v>
      </c>
      <c r="B1090" s="27" t="s">
        <v>249</v>
      </c>
      <c r="C1090" s="27" t="s">
        <v>968</v>
      </c>
      <c r="D1090" s="26" t="s">
        <v>3663</v>
      </c>
      <c r="E1090" s="28">
        <v>46113.0</v>
      </c>
      <c r="F1090" s="28">
        <v>46171.0</v>
      </c>
      <c r="G1090" s="29"/>
    </row>
    <row r="1091" ht="15.75" customHeight="1">
      <c r="A1091" s="30" t="s">
        <v>4755</v>
      </c>
      <c r="B1091" s="31" t="s">
        <v>249</v>
      </c>
      <c r="C1091" s="31" t="s">
        <v>923</v>
      </c>
      <c r="D1091" s="30" t="s">
        <v>3663</v>
      </c>
      <c r="E1091" s="32">
        <v>46113.0</v>
      </c>
      <c r="F1091" s="32">
        <v>46171.0</v>
      </c>
      <c r="G1091" s="33"/>
    </row>
    <row r="1092" ht="15.75" customHeight="1">
      <c r="A1092" s="26" t="s">
        <v>4756</v>
      </c>
      <c r="B1092" s="27" t="s">
        <v>249</v>
      </c>
      <c r="C1092" s="27" t="s">
        <v>961</v>
      </c>
      <c r="D1092" s="26" t="s">
        <v>3663</v>
      </c>
      <c r="E1092" s="28">
        <v>46113.0</v>
      </c>
      <c r="F1092" s="28">
        <v>46171.0</v>
      </c>
      <c r="G1092" s="29"/>
    </row>
    <row r="1093" ht="15.75" customHeight="1">
      <c r="A1093" s="30" t="s">
        <v>4757</v>
      </c>
      <c r="B1093" s="31" t="s">
        <v>251</v>
      </c>
      <c r="C1093" s="31" t="s">
        <v>934</v>
      </c>
      <c r="D1093" s="30" t="s">
        <v>3663</v>
      </c>
      <c r="E1093" s="32">
        <v>46113.0</v>
      </c>
      <c r="F1093" s="32">
        <v>46171.0</v>
      </c>
      <c r="G1093" s="33"/>
    </row>
    <row r="1094" ht="15.75" customHeight="1">
      <c r="A1094" s="26" t="s">
        <v>4758</v>
      </c>
      <c r="B1094" s="27" t="s">
        <v>251</v>
      </c>
      <c r="C1094" s="27" t="s">
        <v>1354</v>
      </c>
      <c r="D1094" s="26" t="s">
        <v>3663</v>
      </c>
      <c r="E1094" s="28">
        <v>46113.0</v>
      </c>
      <c r="F1094" s="28">
        <v>46171.0</v>
      </c>
      <c r="G1094" s="29"/>
    </row>
    <row r="1095" ht="15.75" customHeight="1">
      <c r="A1095" s="30" t="s">
        <v>4759</v>
      </c>
      <c r="B1095" s="31" t="s">
        <v>251</v>
      </c>
      <c r="C1095" s="31" t="s">
        <v>3656</v>
      </c>
      <c r="D1095" s="30" t="s">
        <v>3663</v>
      </c>
      <c r="E1095" s="32">
        <v>46113.0</v>
      </c>
      <c r="F1095" s="32">
        <v>46171.0</v>
      </c>
      <c r="G1095" s="33"/>
    </row>
    <row r="1096" ht="15.75" customHeight="1">
      <c r="A1096" s="26" t="s">
        <v>4760</v>
      </c>
      <c r="B1096" s="27" t="s">
        <v>251</v>
      </c>
      <c r="C1096" s="27" t="s">
        <v>3657</v>
      </c>
      <c r="D1096" s="26" t="s">
        <v>3663</v>
      </c>
      <c r="E1096" s="28">
        <v>46113.0</v>
      </c>
      <c r="F1096" s="28">
        <v>46171.0</v>
      </c>
      <c r="G1096" s="29"/>
    </row>
    <row r="1097" ht="15.75" customHeight="1">
      <c r="A1097" s="30" t="s">
        <v>4761</v>
      </c>
      <c r="B1097" s="31" t="s">
        <v>251</v>
      </c>
      <c r="C1097" s="31" t="s">
        <v>1218</v>
      </c>
      <c r="D1097" s="30" t="s">
        <v>3663</v>
      </c>
      <c r="E1097" s="32">
        <v>46113.0</v>
      </c>
      <c r="F1097" s="32">
        <v>46171.0</v>
      </c>
      <c r="G1097" s="33"/>
    </row>
    <row r="1098" ht="15.75" customHeight="1">
      <c r="A1098" s="26" t="s">
        <v>4762</v>
      </c>
      <c r="B1098" s="27" t="s">
        <v>251</v>
      </c>
      <c r="C1098" s="27" t="s">
        <v>1157</v>
      </c>
      <c r="D1098" s="26" t="s">
        <v>3663</v>
      </c>
      <c r="E1098" s="28">
        <v>46113.0</v>
      </c>
      <c r="F1098" s="28">
        <v>46171.0</v>
      </c>
      <c r="G1098" s="29"/>
    </row>
    <row r="1099" ht="15.75" customHeight="1">
      <c r="A1099" s="30" t="s">
        <v>4763</v>
      </c>
      <c r="B1099" s="31" t="s">
        <v>251</v>
      </c>
      <c r="C1099" s="31" t="s">
        <v>1155</v>
      </c>
      <c r="D1099" s="30" t="s">
        <v>3663</v>
      </c>
      <c r="E1099" s="32">
        <v>46113.0</v>
      </c>
      <c r="F1099" s="32">
        <v>46171.0</v>
      </c>
      <c r="G1099" s="33"/>
    </row>
    <row r="1100" ht="15.75" customHeight="1">
      <c r="A1100" s="26" t="s">
        <v>4764</v>
      </c>
      <c r="B1100" s="27" t="s">
        <v>251</v>
      </c>
      <c r="C1100" s="27" t="s">
        <v>1153</v>
      </c>
      <c r="D1100" s="26" t="s">
        <v>3663</v>
      </c>
      <c r="E1100" s="28">
        <v>46113.0</v>
      </c>
      <c r="F1100" s="28">
        <v>46171.0</v>
      </c>
      <c r="G1100" s="29"/>
    </row>
    <row r="1101" ht="15.75" customHeight="1">
      <c r="A1101" s="30" t="s">
        <v>4765</v>
      </c>
      <c r="B1101" s="31" t="s">
        <v>251</v>
      </c>
      <c r="C1101" s="31" t="s">
        <v>1149</v>
      </c>
      <c r="D1101" s="30" t="s">
        <v>3663</v>
      </c>
      <c r="E1101" s="32">
        <v>46113.0</v>
      </c>
      <c r="F1101" s="32">
        <v>46171.0</v>
      </c>
      <c r="G1101" s="33"/>
    </row>
    <row r="1102" ht="15.75" customHeight="1">
      <c r="A1102" s="26" t="s">
        <v>4766</v>
      </c>
      <c r="B1102" s="27" t="s">
        <v>251</v>
      </c>
      <c r="C1102" s="27" t="s">
        <v>1351</v>
      </c>
      <c r="D1102" s="26" t="s">
        <v>3663</v>
      </c>
      <c r="E1102" s="28">
        <v>46113.0</v>
      </c>
      <c r="F1102" s="28">
        <v>46171.0</v>
      </c>
      <c r="G1102" s="29"/>
    </row>
    <row r="1103" ht="15.75" customHeight="1">
      <c r="A1103" s="30" t="s">
        <v>4767</v>
      </c>
      <c r="B1103" s="31" t="s">
        <v>251</v>
      </c>
      <c r="C1103" s="31" t="s">
        <v>1349</v>
      </c>
      <c r="D1103" s="30" t="s">
        <v>3663</v>
      </c>
      <c r="E1103" s="32">
        <v>46113.0</v>
      </c>
      <c r="F1103" s="32">
        <v>46171.0</v>
      </c>
      <c r="G1103" s="33"/>
    </row>
    <row r="1104" ht="15.75" customHeight="1">
      <c r="A1104" s="26" t="s">
        <v>4768</v>
      </c>
      <c r="B1104" s="27" t="s">
        <v>251</v>
      </c>
      <c r="C1104" s="27" t="s">
        <v>968</v>
      </c>
      <c r="D1104" s="26" t="s">
        <v>3663</v>
      </c>
      <c r="E1104" s="28">
        <v>46113.0</v>
      </c>
      <c r="F1104" s="28">
        <v>46171.0</v>
      </c>
      <c r="G1104" s="29"/>
    </row>
    <row r="1105" ht="15.75" customHeight="1">
      <c r="A1105" s="30" t="s">
        <v>4769</v>
      </c>
      <c r="B1105" s="31" t="s">
        <v>251</v>
      </c>
      <c r="C1105" s="31" t="s">
        <v>923</v>
      </c>
      <c r="D1105" s="30" t="s">
        <v>3663</v>
      </c>
      <c r="E1105" s="32">
        <v>46113.0</v>
      </c>
      <c r="F1105" s="32">
        <v>46171.0</v>
      </c>
      <c r="G1105" s="33"/>
    </row>
    <row r="1106" ht="15.75" customHeight="1">
      <c r="A1106" s="26" t="s">
        <v>4770</v>
      </c>
      <c r="B1106" s="27" t="s">
        <v>251</v>
      </c>
      <c r="C1106" s="27" t="s">
        <v>958</v>
      </c>
      <c r="D1106" s="26" t="s">
        <v>3663</v>
      </c>
      <c r="E1106" s="28">
        <v>46113.0</v>
      </c>
      <c r="F1106" s="28">
        <v>46171.0</v>
      </c>
      <c r="G1106" s="29"/>
    </row>
    <row r="1107" ht="15.75" customHeight="1">
      <c r="A1107" s="30" t="s">
        <v>4771</v>
      </c>
      <c r="B1107" s="31" t="s">
        <v>252</v>
      </c>
      <c r="C1107" s="31" t="s">
        <v>1240</v>
      </c>
      <c r="D1107" s="30" t="s">
        <v>3663</v>
      </c>
      <c r="E1107" s="32">
        <v>46113.0</v>
      </c>
      <c r="F1107" s="32">
        <v>46171.0</v>
      </c>
      <c r="G1107" s="33"/>
    </row>
    <row r="1108" ht="15.75" customHeight="1">
      <c r="A1108" s="26" t="s">
        <v>4772</v>
      </c>
      <c r="B1108" s="27" t="s">
        <v>252</v>
      </c>
      <c r="C1108" s="27" t="s">
        <v>1242</v>
      </c>
      <c r="D1108" s="26" t="s">
        <v>3663</v>
      </c>
      <c r="E1108" s="28">
        <v>46113.0</v>
      </c>
      <c r="F1108" s="28">
        <v>46171.0</v>
      </c>
      <c r="G1108" s="29"/>
    </row>
    <row r="1109" ht="15.75" customHeight="1">
      <c r="A1109" s="30" t="s">
        <v>4773</v>
      </c>
      <c r="B1109" s="31" t="s">
        <v>252</v>
      </c>
      <c r="C1109" s="31" t="s">
        <v>1244</v>
      </c>
      <c r="D1109" s="30" t="s">
        <v>3663</v>
      </c>
      <c r="E1109" s="32">
        <v>46113.0</v>
      </c>
      <c r="F1109" s="32">
        <v>46171.0</v>
      </c>
      <c r="G1109" s="33"/>
    </row>
    <row r="1110" ht="15.75" customHeight="1">
      <c r="A1110" s="26" t="s">
        <v>4774</v>
      </c>
      <c r="B1110" s="27" t="s">
        <v>252</v>
      </c>
      <c r="C1110" s="27" t="s">
        <v>1246</v>
      </c>
      <c r="D1110" s="26" t="s">
        <v>3663</v>
      </c>
      <c r="E1110" s="28">
        <v>46113.0</v>
      </c>
      <c r="F1110" s="28">
        <v>46171.0</v>
      </c>
      <c r="G1110" s="29"/>
    </row>
    <row r="1111" ht="15.75" customHeight="1">
      <c r="A1111" s="30" t="s">
        <v>4775</v>
      </c>
      <c r="B1111" s="31" t="s">
        <v>252</v>
      </c>
      <c r="C1111" s="31" t="s">
        <v>3654</v>
      </c>
      <c r="D1111" s="30" t="s">
        <v>3663</v>
      </c>
      <c r="E1111" s="32">
        <v>46113.0</v>
      </c>
      <c r="F1111" s="32">
        <v>46171.0</v>
      </c>
      <c r="G1111" s="33"/>
    </row>
    <row r="1112" ht="15.75" customHeight="1">
      <c r="A1112" s="26" t="s">
        <v>4776</v>
      </c>
      <c r="B1112" s="27" t="s">
        <v>252</v>
      </c>
      <c r="C1112" s="27" t="s">
        <v>3655</v>
      </c>
      <c r="D1112" s="26" t="s">
        <v>3663</v>
      </c>
      <c r="E1112" s="28">
        <v>46113.0</v>
      </c>
      <c r="F1112" s="28">
        <v>46171.0</v>
      </c>
      <c r="G1112" s="29"/>
    </row>
    <row r="1113" ht="15.75" customHeight="1">
      <c r="A1113" s="30" t="s">
        <v>4777</v>
      </c>
      <c r="B1113" s="31" t="s">
        <v>252</v>
      </c>
      <c r="C1113" s="31" t="s">
        <v>934</v>
      </c>
      <c r="D1113" s="30" t="s">
        <v>3663</v>
      </c>
      <c r="E1113" s="32">
        <v>46113.0</v>
      </c>
      <c r="F1113" s="32">
        <v>46171.0</v>
      </c>
      <c r="G1113" s="33"/>
    </row>
    <row r="1114" ht="15.75" customHeight="1">
      <c r="A1114" s="26" t="s">
        <v>4778</v>
      </c>
      <c r="B1114" s="27" t="s">
        <v>252</v>
      </c>
      <c r="C1114" s="27" t="s">
        <v>1354</v>
      </c>
      <c r="D1114" s="26" t="s">
        <v>3663</v>
      </c>
      <c r="E1114" s="28">
        <v>46113.0</v>
      </c>
      <c r="F1114" s="28">
        <v>46171.0</v>
      </c>
      <c r="G1114" s="29"/>
    </row>
    <row r="1115" ht="15.75" customHeight="1">
      <c r="A1115" s="30" t="s">
        <v>4779</v>
      </c>
      <c r="B1115" s="31" t="s">
        <v>252</v>
      </c>
      <c r="C1115" s="31" t="s">
        <v>1216</v>
      </c>
      <c r="D1115" s="30" t="s">
        <v>3663</v>
      </c>
      <c r="E1115" s="32">
        <v>46113.0</v>
      </c>
      <c r="F1115" s="32">
        <v>46171.0</v>
      </c>
      <c r="G1115" s="33"/>
    </row>
    <row r="1116" ht="15.75" customHeight="1">
      <c r="A1116" s="26" t="s">
        <v>4780</v>
      </c>
      <c r="B1116" s="27" t="s">
        <v>252</v>
      </c>
      <c r="C1116" s="27" t="s">
        <v>1218</v>
      </c>
      <c r="D1116" s="26" t="s">
        <v>3663</v>
      </c>
      <c r="E1116" s="28">
        <v>46113.0</v>
      </c>
      <c r="F1116" s="28">
        <v>46171.0</v>
      </c>
      <c r="G1116" s="29"/>
    </row>
    <row r="1117" ht="15.75" customHeight="1">
      <c r="A1117" s="30" t="s">
        <v>4781</v>
      </c>
      <c r="B1117" s="31" t="s">
        <v>252</v>
      </c>
      <c r="C1117" s="31" t="s">
        <v>1351</v>
      </c>
      <c r="D1117" s="30" t="s">
        <v>3663</v>
      </c>
      <c r="E1117" s="32">
        <v>46113.0</v>
      </c>
      <c r="F1117" s="32">
        <v>46171.0</v>
      </c>
      <c r="G1117" s="33"/>
    </row>
    <row r="1118" ht="15.75" customHeight="1">
      <c r="A1118" s="26" t="s">
        <v>4782</v>
      </c>
      <c r="B1118" s="27" t="s">
        <v>252</v>
      </c>
      <c r="C1118" s="27" t="s">
        <v>1349</v>
      </c>
      <c r="D1118" s="26" t="s">
        <v>3663</v>
      </c>
      <c r="E1118" s="28">
        <v>46113.0</v>
      </c>
      <c r="F1118" s="28">
        <v>46171.0</v>
      </c>
      <c r="G1118" s="29"/>
    </row>
    <row r="1119" ht="15.75" customHeight="1">
      <c r="A1119" s="30" t="s">
        <v>4783</v>
      </c>
      <c r="B1119" s="31" t="s">
        <v>252</v>
      </c>
      <c r="C1119" s="31" t="s">
        <v>965</v>
      </c>
      <c r="D1119" s="30" t="s">
        <v>3663</v>
      </c>
      <c r="E1119" s="32">
        <v>46113.0</v>
      </c>
      <c r="F1119" s="32">
        <v>46171.0</v>
      </c>
      <c r="G1119" s="33"/>
    </row>
    <row r="1120" ht="15.75" customHeight="1">
      <c r="A1120" s="26" t="s">
        <v>4784</v>
      </c>
      <c r="B1120" s="27" t="s">
        <v>252</v>
      </c>
      <c r="C1120" s="27" t="s">
        <v>923</v>
      </c>
      <c r="D1120" s="26" t="s">
        <v>3663</v>
      </c>
      <c r="E1120" s="28">
        <v>46113.0</v>
      </c>
      <c r="F1120" s="28">
        <v>46171.0</v>
      </c>
      <c r="G1120" s="29"/>
    </row>
    <row r="1121" ht="15.75" customHeight="1">
      <c r="A1121" s="30" t="s">
        <v>4785</v>
      </c>
      <c r="B1121" s="31" t="s">
        <v>253</v>
      </c>
      <c r="C1121" s="31" t="s">
        <v>3654</v>
      </c>
      <c r="D1121" s="30" t="s">
        <v>3663</v>
      </c>
      <c r="E1121" s="32">
        <v>46113.0</v>
      </c>
      <c r="F1121" s="32">
        <v>46171.0</v>
      </c>
      <c r="G1121" s="33"/>
    </row>
    <row r="1122" ht="15.75" customHeight="1">
      <c r="A1122" s="26" t="s">
        <v>4786</v>
      </c>
      <c r="B1122" s="27" t="s">
        <v>253</v>
      </c>
      <c r="C1122" s="27" t="s">
        <v>3655</v>
      </c>
      <c r="D1122" s="26" t="s">
        <v>3663</v>
      </c>
      <c r="E1122" s="28">
        <v>46113.0</v>
      </c>
      <c r="F1122" s="28">
        <v>46171.0</v>
      </c>
      <c r="G1122" s="29"/>
    </row>
    <row r="1123" ht="15.75" customHeight="1">
      <c r="A1123" s="30" t="s">
        <v>4787</v>
      </c>
      <c r="B1123" s="31" t="s">
        <v>253</v>
      </c>
      <c r="C1123" s="31" t="s">
        <v>3638</v>
      </c>
      <c r="D1123" s="30" t="s">
        <v>3663</v>
      </c>
      <c r="E1123" s="32">
        <v>46113.0</v>
      </c>
      <c r="F1123" s="32">
        <v>46171.0</v>
      </c>
      <c r="G1123" s="33"/>
    </row>
    <row r="1124" ht="15.75" customHeight="1">
      <c r="A1124" s="26" t="s">
        <v>4788</v>
      </c>
      <c r="B1124" s="27" t="s">
        <v>253</v>
      </c>
      <c r="C1124" s="27" t="s">
        <v>932</v>
      </c>
      <c r="D1124" s="26" t="s">
        <v>3663</v>
      </c>
      <c r="E1124" s="28">
        <v>46113.0</v>
      </c>
      <c r="F1124" s="28">
        <v>46171.0</v>
      </c>
      <c r="G1124" s="29"/>
    </row>
    <row r="1125" ht="15.75" customHeight="1">
      <c r="A1125" s="30" t="s">
        <v>4789</v>
      </c>
      <c r="B1125" s="31" t="s">
        <v>253</v>
      </c>
      <c r="C1125" s="31" t="s">
        <v>1164</v>
      </c>
      <c r="D1125" s="30" t="s">
        <v>3663</v>
      </c>
      <c r="E1125" s="32">
        <v>46113.0</v>
      </c>
      <c r="F1125" s="32">
        <v>46171.0</v>
      </c>
      <c r="G1125" s="33"/>
    </row>
    <row r="1126" ht="15.75" customHeight="1">
      <c r="A1126" s="26" t="s">
        <v>4790</v>
      </c>
      <c r="B1126" s="27" t="s">
        <v>253</v>
      </c>
      <c r="C1126" s="27" t="s">
        <v>1166</v>
      </c>
      <c r="D1126" s="26" t="s">
        <v>3663</v>
      </c>
      <c r="E1126" s="28">
        <v>46113.0</v>
      </c>
      <c r="F1126" s="28">
        <v>46171.0</v>
      </c>
      <c r="G1126" s="29"/>
    </row>
    <row r="1127" ht="15.75" customHeight="1">
      <c r="A1127" s="30" t="s">
        <v>4791</v>
      </c>
      <c r="B1127" s="31" t="s">
        <v>253</v>
      </c>
      <c r="C1127" s="31" t="s">
        <v>1168</v>
      </c>
      <c r="D1127" s="30" t="s">
        <v>3663</v>
      </c>
      <c r="E1127" s="32">
        <v>46113.0</v>
      </c>
      <c r="F1127" s="32">
        <v>46171.0</v>
      </c>
      <c r="G1127" s="33"/>
    </row>
    <row r="1128" ht="15.75" customHeight="1">
      <c r="A1128" s="26" t="s">
        <v>4792</v>
      </c>
      <c r="B1128" s="27" t="s">
        <v>253</v>
      </c>
      <c r="C1128" s="27" t="s">
        <v>1170</v>
      </c>
      <c r="D1128" s="26" t="s">
        <v>3663</v>
      </c>
      <c r="E1128" s="28">
        <v>46113.0</v>
      </c>
      <c r="F1128" s="28">
        <v>46171.0</v>
      </c>
      <c r="G1128" s="29"/>
    </row>
    <row r="1129" ht="15.75" customHeight="1">
      <c r="A1129" s="30" t="s">
        <v>4793</v>
      </c>
      <c r="B1129" s="31" t="s">
        <v>253</v>
      </c>
      <c r="C1129" s="31" t="s">
        <v>1354</v>
      </c>
      <c r="D1129" s="30" t="s">
        <v>3663</v>
      </c>
      <c r="E1129" s="32">
        <v>46113.0</v>
      </c>
      <c r="F1129" s="32">
        <v>46171.0</v>
      </c>
      <c r="G1129" s="33"/>
    </row>
    <row r="1130" ht="15.75" customHeight="1">
      <c r="A1130" s="26" t="s">
        <v>4794</v>
      </c>
      <c r="B1130" s="27" t="s">
        <v>253</v>
      </c>
      <c r="C1130" s="27" t="s">
        <v>3647</v>
      </c>
      <c r="D1130" s="26" t="s">
        <v>3663</v>
      </c>
      <c r="E1130" s="28">
        <v>46113.0</v>
      </c>
      <c r="F1130" s="28">
        <v>46171.0</v>
      </c>
      <c r="G1130" s="29"/>
    </row>
    <row r="1131" ht="15.75" customHeight="1">
      <c r="A1131" s="30" t="s">
        <v>4795</v>
      </c>
      <c r="B1131" s="31" t="s">
        <v>253</v>
      </c>
      <c r="C1131" s="31" t="s">
        <v>952</v>
      </c>
      <c r="D1131" s="30" t="s">
        <v>3663</v>
      </c>
      <c r="E1131" s="32">
        <v>46113.0</v>
      </c>
      <c r="F1131" s="32">
        <v>46171.0</v>
      </c>
      <c r="G1131" s="33"/>
    </row>
    <row r="1132" ht="15.75" customHeight="1">
      <c r="A1132" s="26" t="s">
        <v>4796</v>
      </c>
      <c r="B1132" s="27" t="s">
        <v>253</v>
      </c>
      <c r="C1132" s="27" t="s">
        <v>968</v>
      </c>
      <c r="D1132" s="26" t="s">
        <v>3663</v>
      </c>
      <c r="E1132" s="28">
        <v>46113.0</v>
      </c>
      <c r="F1132" s="28">
        <v>46171.0</v>
      </c>
      <c r="G1132" s="29"/>
    </row>
    <row r="1133" ht="15.75" customHeight="1">
      <c r="A1133" s="30" t="s">
        <v>4797</v>
      </c>
      <c r="B1133" s="31" t="s">
        <v>253</v>
      </c>
      <c r="C1133" s="31" t="s">
        <v>923</v>
      </c>
      <c r="D1133" s="30" t="s">
        <v>3663</v>
      </c>
      <c r="E1133" s="32">
        <v>46113.0</v>
      </c>
      <c r="F1133" s="32">
        <v>46171.0</v>
      </c>
      <c r="G1133" s="33"/>
    </row>
    <row r="1134" ht="15.75" customHeight="1">
      <c r="A1134" s="26" t="s">
        <v>4798</v>
      </c>
      <c r="B1134" s="27" t="s">
        <v>253</v>
      </c>
      <c r="C1134" s="27" t="s">
        <v>961</v>
      </c>
      <c r="D1134" s="26" t="s">
        <v>3663</v>
      </c>
      <c r="E1134" s="28">
        <v>46113.0</v>
      </c>
      <c r="F1134" s="28">
        <v>46171.0</v>
      </c>
      <c r="G1134" s="29"/>
    </row>
    <row r="1135" ht="15.75" customHeight="1">
      <c r="A1135" s="30" t="s">
        <v>4799</v>
      </c>
      <c r="B1135" s="31" t="s">
        <v>254</v>
      </c>
      <c r="C1135" s="31" t="s">
        <v>926</v>
      </c>
      <c r="D1135" s="30" t="s">
        <v>3663</v>
      </c>
      <c r="E1135" s="32">
        <v>46113.0</v>
      </c>
      <c r="F1135" s="32">
        <v>46171.0</v>
      </c>
      <c r="G1135" s="33"/>
    </row>
    <row r="1136" ht="15.75" customHeight="1">
      <c r="A1136" s="26" t="s">
        <v>4800</v>
      </c>
      <c r="B1136" s="27" t="s">
        <v>254</v>
      </c>
      <c r="C1136" s="27" t="s">
        <v>1354</v>
      </c>
      <c r="D1136" s="26" t="s">
        <v>3663</v>
      </c>
      <c r="E1136" s="28">
        <v>46113.0</v>
      </c>
      <c r="F1136" s="28">
        <v>46171.0</v>
      </c>
      <c r="G1136" s="29"/>
    </row>
    <row r="1137" ht="15.75" customHeight="1">
      <c r="A1137" s="30" t="s">
        <v>4801</v>
      </c>
      <c r="B1137" s="31" t="s">
        <v>254</v>
      </c>
      <c r="C1137" s="31" t="s">
        <v>1159</v>
      </c>
      <c r="D1137" s="30" t="s">
        <v>3663</v>
      </c>
      <c r="E1137" s="32">
        <v>46113.0</v>
      </c>
      <c r="F1137" s="32">
        <v>46171.0</v>
      </c>
      <c r="G1137" s="33"/>
    </row>
    <row r="1138" ht="15.75" customHeight="1">
      <c r="A1138" s="26" t="s">
        <v>4802</v>
      </c>
      <c r="B1138" s="27" t="s">
        <v>254</v>
      </c>
      <c r="C1138" s="27" t="s">
        <v>3656</v>
      </c>
      <c r="D1138" s="26" t="s">
        <v>3663</v>
      </c>
      <c r="E1138" s="28">
        <v>46113.0</v>
      </c>
      <c r="F1138" s="28">
        <v>46171.0</v>
      </c>
      <c r="G1138" s="29"/>
    </row>
    <row r="1139" ht="15.75" customHeight="1">
      <c r="A1139" s="30" t="s">
        <v>4803</v>
      </c>
      <c r="B1139" s="31" t="s">
        <v>254</v>
      </c>
      <c r="C1139" s="31" t="s">
        <v>3657</v>
      </c>
      <c r="D1139" s="30" t="s">
        <v>3663</v>
      </c>
      <c r="E1139" s="32">
        <v>46113.0</v>
      </c>
      <c r="F1139" s="32">
        <v>46171.0</v>
      </c>
      <c r="G1139" s="33"/>
    </row>
    <row r="1140" ht="15.75" customHeight="1">
      <c r="A1140" s="26" t="s">
        <v>4804</v>
      </c>
      <c r="B1140" s="27" t="s">
        <v>254</v>
      </c>
      <c r="C1140" s="27" t="s">
        <v>3647</v>
      </c>
      <c r="D1140" s="26" t="s">
        <v>3663</v>
      </c>
      <c r="E1140" s="28">
        <v>46113.0</v>
      </c>
      <c r="F1140" s="28">
        <v>46171.0</v>
      </c>
      <c r="G1140" s="29"/>
    </row>
    <row r="1141" ht="15.75" customHeight="1">
      <c r="A1141" s="30" t="s">
        <v>4805</v>
      </c>
      <c r="B1141" s="31" t="s">
        <v>254</v>
      </c>
      <c r="C1141" s="31" t="s">
        <v>952</v>
      </c>
      <c r="D1141" s="30" t="s">
        <v>3663</v>
      </c>
      <c r="E1141" s="32">
        <v>46113.0</v>
      </c>
      <c r="F1141" s="32">
        <v>46171.0</v>
      </c>
      <c r="G1141" s="33"/>
    </row>
    <row r="1142" ht="15.75" customHeight="1">
      <c r="A1142" s="26" t="s">
        <v>4806</v>
      </c>
      <c r="B1142" s="27" t="s">
        <v>254</v>
      </c>
      <c r="C1142" s="27" t="s">
        <v>1277</v>
      </c>
      <c r="D1142" s="26" t="s">
        <v>3663</v>
      </c>
      <c r="E1142" s="28">
        <v>46113.0</v>
      </c>
      <c r="F1142" s="28">
        <v>46171.0</v>
      </c>
      <c r="G1142" s="29"/>
    </row>
    <row r="1143" ht="15.75" customHeight="1">
      <c r="A1143" s="30" t="s">
        <v>4807</v>
      </c>
      <c r="B1143" s="31" t="s">
        <v>254</v>
      </c>
      <c r="C1143" s="31" t="s">
        <v>1279</v>
      </c>
      <c r="D1143" s="30" t="s">
        <v>3663</v>
      </c>
      <c r="E1143" s="32">
        <v>46113.0</v>
      </c>
      <c r="F1143" s="32">
        <v>46171.0</v>
      </c>
      <c r="G1143" s="33"/>
    </row>
    <row r="1144" ht="15.75" customHeight="1">
      <c r="A1144" s="26" t="s">
        <v>4808</v>
      </c>
      <c r="B1144" s="27" t="s">
        <v>254</v>
      </c>
      <c r="C1144" s="27" t="s">
        <v>1283</v>
      </c>
      <c r="D1144" s="26" t="s">
        <v>3663</v>
      </c>
      <c r="E1144" s="28">
        <v>46113.0</v>
      </c>
      <c r="F1144" s="28">
        <v>46171.0</v>
      </c>
      <c r="G1144" s="29"/>
    </row>
    <row r="1145" ht="15.75" customHeight="1">
      <c r="A1145" s="30" t="s">
        <v>4809</v>
      </c>
      <c r="B1145" s="31" t="s">
        <v>254</v>
      </c>
      <c r="C1145" s="31" t="s">
        <v>1281</v>
      </c>
      <c r="D1145" s="30" t="s">
        <v>3663</v>
      </c>
      <c r="E1145" s="32">
        <v>46113.0</v>
      </c>
      <c r="F1145" s="32">
        <v>46171.0</v>
      </c>
      <c r="G1145" s="33"/>
    </row>
    <row r="1146" ht="15.75" customHeight="1">
      <c r="A1146" s="26" t="s">
        <v>4810</v>
      </c>
      <c r="B1146" s="27" t="s">
        <v>254</v>
      </c>
      <c r="C1146" s="27" t="s">
        <v>1216</v>
      </c>
      <c r="D1146" s="26" t="s">
        <v>3663</v>
      </c>
      <c r="E1146" s="28">
        <v>46113.0</v>
      </c>
      <c r="F1146" s="28">
        <v>46171.0</v>
      </c>
      <c r="G1146" s="29"/>
    </row>
    <row r="1147" ht="15.75" customHeight="1">
      <c r="A1147" s="30" t="s">
        <v>4811</v>
      </c>
      <c r="B1147" s="31" t="s">
        <v>254</v>
      </c>
      <c r="C1147" s="31" t="s">
        <v>968</v>
      </c>
      <c r="D1147" s="30" t="s">
        <v>3663</v>
      </c>
      <c r="E1147" s="32">
        <v>46113.0</v>
      </c>
      <c r="F1147" s="32">
        <v>46171.0</v>
      </c>
      <c r="G1147" s="33"/>
    </row>
    <row r="1148" ht="15.75" customHeight="1">
      <c r="A1148" s="26" t="s">
        <v>4812</v>
      </c>
      <c r="B1148" s="27" t="s">
        <v>254</v>
      </c>
      <c r="C1148" s="27" t="s">
        <v>923</v>
      </c>
      <c r="D1148" s="26" t="s">
        <v>3663</v>
      </c>
      <c r="E1148" s="28">
        <v>46113.0</v>
      </c>
      <c r="F1148" s="28">
        <v>46171.0</v>
      </c>
      <c r="G1148" s="29"/>
    </row>
    <row r="1149" ht="15.75" customHeight="1">
      <c r="A1149" s="30" t="s">
        <v>4813</v>
      </c>
      <c r="B1149" s="31" t="s">
        <v>255</v>
      </c>
      <c r="C1149" s="31" t="s">
        <v>1240</v>
      </c>
      <c r="D1149" s="30" t="s">
        <v>3663</v>
      </c>
      <c r="E1149" s="32">
        <v>46113.0</v>
      </c>
      <c r="F1149" s="32">
        <v>46171.0</v>
      </c>
      <c r="G1149" s="33"/>
    </row>
    <row r="1150" ht="15.75" customHeight="1">
      <c r="A1150" s="26" t="s">
        <v>4814</v>
      </c>
      <c r="B1150" s="27" t="s">
        <v>255</v>
      </c>
      <c r="C1150" s="27" t="s">
        <v>1242</v>
      </c>
      <c r="D1150" s="26" t="s">
        <v>3663</v>
      </c>
      <c r="E1150" s="28">
        <v>46113.0</v>
      </c>
      <c r="F1150" s="28">
        <v>46171.0</v>
      </c>
      <c r="G1150" s="29"/>
    </row>
    <row r="1151" ht="15.75" customHeight="1">
      <c r="A1151" s="30" t="s">
        <v>4815</v>
      </c>
      <c r="B1151" s="31" t="s">
        <v>255</v>
      </c>
      <c r="C1151" s="31" t="s">
        <v>1244</v>
      </c>
      <c r="D1151" s="30" t="s">
        <v>3663</v>
      </c>
      <c r="E1151" s="32">
        <v>46113.0</v>
      </c>
      <c r="F1151" s="32">
        <v>46171.0</v>
      </c>
      <c r="G1151" s="33"/>
    </row>
    <row r="1152" ht="15.75" customHeight="1">
      <c r="A1152" s="26" t="s">
        <v>4816</v>
      </c>
      <c r="B1152" s="27" t="s">
        <v>255</v>
      </c>
      <c r="C1152" s="27" t="s">
        <v>1246</v>
      </c>
      <c r="D1152" s="26" t="s">
        <v>3663</v>
      </c>
      <c r="E1152" s="28">
        <v>46113.0</v>
      </c>
      <c r="F1152" s="28">
        <v>46171.0</v>
      </c>
      <c r="G1152" s="29"/>
    </row>
    <row r="1153" ht="15.75" customHeight="1">
      <c r="A1153" s="30" t="s">
        <v>4817</v>
      </c>
      <c r="B1153" s="31" t="s">
        <v>255</v>
      </c>
      <c r="C1153" s="31" t="s">
        <v>3654</v>
      </c>
      <c r="D1153" s="30" t="s">
        <v>3663</v>
      </c>
      <c r="E1153" s="32">
        <v>46113.0</v>
      </c>
      <c r="F1153" s="32">
        <v>46171.0</v>
      </c>
      <c r="G1153" s="33"/>
    </row>
    <row r="1154" ht="15.75" customHeight="1">
      <c r="A1154" s="26" t="s">
        <v>4818</v>
      </c>
      <c r="B1154" s="27" t="s">
        <v>255</v>
      </c>
      <c r="C1154" s="27" t="s">
        <v>3655</v>
      </c>
      <c r="D1154" s="26" t="s">
        <v>3663</v>
      </c>
      <c r="E1154" s="28">
        <v>46113.0</v>
      </c>
      <c r="F1154" s="28">
        <v>46171.0</v>
      </c>
      <c r="G1154" s="29"/>
    </row>
    <row r="1155" ht="15.75" customHeight="1">
      <c r="A1155" s="30" t="s">
        <v>4819</v>
      </c>
      <c r="B1155" s="31" t="s">
        <v>255</v>
      </c>
      <c r="C1155" s="31" t="s">
        <v>928</v>
      </c>
      <c r="D1155" s="30" t="s">
        <v>3663</v>
      </c>
      <c r="E1155" s="32">
        <v>46113.0</v>
      </c>
      <c r="F1155" s="32">
        <v>46171.0</v>
      </c>
      <c r="G1155" s="33"/>
    </row>
    <row r="1156" ht="15.75" customHeight="1">
      <c r="A1156" s="26" t="s">
        <v>4820</v>
      </c>
      <c r="B1156" s="27" t="s">
        <v>255</v>
      </c>
      <c r="C1156" s="27" t="s">
        <v>1354</v>
      </c>
      <c r="D1156" s="26" t="s">
        <v>3663</v>
      </c>
      <c r="E1156" s="28">
        <v>46113.0</v>
      </c>
      <c r="F1156" s="28">
        <v>46171.0</v>
      </c>
      <c r="G1156" s="29"/>
    </row>
    <row r="1157" ht="15.75" customHeight="1">
      <c r="A1157" s="30" t="s">
        <v>4821</v>
      </c>
      <c r="B1157" s="31" t="s">
        <v>255</v>
      </c>
      <c r="C1157" s="31" t="s">
        <v>1216</v>
      </c>
      <c r="D1157" s="30" t="s">
        <v>3663</v>
      </c>
      <c r="E1157" s="32">
        <v>46113.0</v>
      </c>
      <c r="F1157" s="32">
        <v>46171.0</v>
      </c>
      <c r="G1157" s="33"/>
    </row>
    <row r="1158" ht="15.75" customHeight="1">
      <c r="A1158" s="26" t="s">
        <v>4822</v>
      </c>
      <c r="B1158" s="27" t="s">
        <v>255</v>
      </c>
      <c r="C1158" s="27" t="s">
        <v>1218</v>
      </c>
      <c r="D1158" s="26" t="s">
        <v>3663</v>
      </c>
      <c r="E1158" s="28">
        <v>46113.0</v>
      </c>
      <c r="F1158" s="28">
        <v>46171.0</v>
      </c>
      <c r="G1158" s="29"/>
    </row>
    <row r="1159" ht="15.75" customHeight="1">
      <c r="A1159" s="30" t="s">
        <v>4823</v>
      </c>
      <c r="B1159" s="31" t="s">
        <v>255</v>
      </c>
      <c r="C1159" s="31" t="s">
        <v>1351</v>
      </c>
      <c r="D1159" s="30" t="s">
        <v>3663</v>
      </c>
      <c r="E1159" s="32">
        <v>46113.0</v>
      </c>
      <c r="F1159" s="32">
        <v>46171.0</v>
      </c>
      <c r="G1159" s="33"/>
    </row>
    <row r="1160" ht="15.75" customHeight="1">
      <c r="A1160" s="26" t="s">
        <v>4824</v>
      </c>
      <c r="B1160" s="27" t="s">
        <v>255</v>
      </c>
      <c r="C1160" s="27" t="s">
        <v>1349</v>
      </c>
      <c r="D1160" s="26" t="s">
        <v>3663</v>
      </c>
      <c r="E1160" s="28">
        <v>46113.0</v>
      </c>
      <c r="F1160" s="28">
        <v>46171.0</v>
      </c>
      <c r="G1160" s="29"/>
    </row>
    <row r="1161" ht="15.75" customHeight="1">
      <c r="A1161" s="30" t="s">
        <v>4825</v>
      </c>
      <c r="B1161" s="31" t="s">
        <v>255</v>
      </c>
      <c r="C1161" s="31" t="s">
        <v>968</v>
      </c>
      <c r="D1161" s="30" t="s">
        <v>3663</v>
      </c>
      <c r="E1161" s="32">
        <v>46113.0</v>
      </c>
      <c r="F1161" s="32">
        <v>46171.0</v>
      </c>
      <c r="G1161" s="33"/>
    </row>
    <row r="1162" ht="15.75" customHeight="1">
      <c r="A1162" s="26" t="s">
        <v>4826</v>
      </c>
      <c r="B1162" s="27" t="s">
        <v>255</v>
      </c>
      <c r="C1162" s="27" t="s">
        <v>923</v>
      </c>
      <c r="D1162" s="26" t="s">
        <v>3663</v>
      </c>
      <c r="E1162" s="28">
        <v>46113.0</v>
      </c>
      <c r="F1162" s="28">
        <v>46171.0</v>
      </c>
      <c r="G1162" s="29"/>
    </row>
    <row r="1163" ht="15.75" customHeight="1">
      <c r="A1163" s="30" t="s">
        <v>4827</v>
      </c>
      <c r="B1163" s="31" t="s">
        <v>256</v>
      </c>
      <c r="C1163" s="31" t="s">
        <v>930</v>
      </c>
      <c r="D1163" s="30" t="s">
        <v>3663</v>
      </c>
      <c r="E1163" s="32">
        <v>46113.0</v>
      </c>
      <c r="F1163" s="32">
        <v>46171.0</v>
      </c>
      <c r="G1163" s="33"/>
    </row>
    <row r="1164" ht="15.75" customHeight="1">
      <c r="A1164" s="26" t="s">
        <v>4828</v>
      </c>
      <c r="B1164" s="27" t="s">
        <v>256</v>
      </c>
      <c r="C1164" s="27" t="s">
        <v>1354</v>
      </c>
      <c r="D1164" s="26" t="s">
        <v>3663</v>
      </c>
      <c r="E1164" s="28">
        <v>46113.0</v>
      </c>
      <c r="F1164" s="28">
        <v>46171.0</v>
      </c>
      <c r="G1164" s="29"/>
    </row>
    <row r="1165" ht="15.75" customHeight="1">
      <c r="A1165" s="30" t="s">
        <v>4829</v>
      </c>
      <c r="B1165" s="31" t="s">
        <v>256</v>
      </c>
      <c r="C1165" s="31" t="s">
        <v>3641</v>
      </c>
      <c r="D1165" s="30" t="s">
        <v>3663</v>
      </c>
      <c r="E1165" s="32">
        <v>46113.0</v>
      </c>
      <c r="F1165" s="32">
        <v>46171.0</v>
      </c>
      <c r="G1165" s="33"/>
    </row>
    <row r="1166" ht="15.75" customHeight="1">
      <c r="A1166" s="26" t="s">
        <v>4830</v>
      </c>
      <c r="B1166" s="27" t="s">
        <v>256</v>
      </c>
      <c r="C1166" s="27" t="s">
        <v>1304</v>
      </c>
      <c r="D1166" s="26" t="s">
        <v>3663</v>
      </c>
      <c r="E1166" s="28">
        <v>46113.0</v>
      </c>
      <c r="F1166" s="28">
        <v>46171.0</v>
      </c>
      <c r="G1166" s="29"/>
    </row>
    <row r="1167" ht="15.75" customHeight="1">
      <c r="A1167" s="30" t="s">
        <v>4831</v>
      </c>
      <c r="B1167" s="31" t="s">
        <v>256</v>
      </c>
      <c r="C1167" s="31" t="s">
        <v>3642</v>
      </c>
      <c r="D1167" s="30" t="s">
        <v>3663</v>
      </c>
      <c r="E1167" s="32">
        <v>46113.0</v>
      </c>
      <c r="F1167" s="32">
        <v>46171.0</v>
      </c>
      <c r="G1167" s="33"/>
    </row>
    <row r="1168" ht="15.75" customHeight="1">
      <c r="A1168" s="26" t="s">
        <v>4832</v>
      </c>
      <c r="B1168" s="27" t="s">
        <v>256</v>
      </c>
      <c r="C1168" s="27" t="s">
        <v>1308</v>
      </c>
      <c r="D1168" s="26" t="s">
        <v>3663</v>
      </c>
      <c r="E1168" s="28">
        <v>46113.0</v>
      </c>
      <c r="F1168" s="28">
        <v>46171.0</v>
      </c>
      <c r="G1168" s="29"/>
    </row>
    <row r="1169" ht="15.75" customHeight="1">
      <c r="A1169" s="30" t="s">
        <v>4833</v>
      </c>
      <c r="B1169" s="31" t="s">
        <v>256</v>
      </c>
      <c r="C1169" s="31" t="s">
        <v>3605</v>
      </c>
      <c r="D1169" s="30" t="s">
        <v>3663</v>
      </c>
      <c r="E1169" s="32">
        <v>46113.0</v>
      </c>
      <c r="F1169" s="32">
        <v>46171.0</v>
      </c>
      <c r="G1169" s="33"/>
    </row>
    <row r="1170" ht="15.75" customHeight="1">
      <c r="A1170" s="26" t="s">
        <v>4834</v>
      </c>
      <c r="B1170" s="27" t="s">
        <v>256</v>
      </c>
      <c r="C1170" s="27" t="s">
        <v>1351</v>
      </c>
      <c r="D1170" s="26" t="s">
        <v>3663</v>
      </c>
      <c r="E1170" s="28">
        <v>46113.0</v>
      </c>
      <c r="F1170" s="28">
        <v>46171.0</v>
      </c>
      <c r="G1170" s="29"/>
    </row>
    <row r="1171" ht="15.75" customHeight="1">
      <c r="A1171" s="30" t="s">
        <v>4835</v>
      </c>
      <c r="B1171" s="31" t="s">
        <v>256</v>
      </c>
      <c r="C1171" s="31" t="s">
        <v>1349</v>
      </c>
      <c r="D1171" s="30" t="s">
        <v>3663</v>
      </c>
      <c r="E1171" s="32">
        <v>46113.0</v>
      </c>
      <c r="F1171" s="32">
        <v>46171.0</v>
      </c>
      <c r="G1171" s="33"/>
    </row>
    <row r="1172" ht="15.75" customHeight="1">
      <c r="A1172" s="26" t="s">
        <v>4836</v>
      </c>
      <c r="B1172" s="27" t="s">
        <v>256</v>
      </c>
      <c r="C1172" s="27" t="s">
        <v>3653</v>
      </c>
      <c r="D1172" s="27" t="s">
        <v>3663</v>
      </c>
      <c r="E1172" s="28">
        <v>46113.0</v>
      </c>
      <c r="F1172" s="28">
        <v>46171.0</v>
      </c>
      <c r="G1172" s="29"/>
    </row>
    <row r="1173" ht="15.75" customHeight="1">
      <c r="A1173" s="30" t="s">
        <v>4837</v>
      </c>
      <c r="B1173" s="31" t="s">
        <v>256</v>
      </c>
      <c r="C1173" s="31" t="s">
        <v>3652</v>
      </c>
      <c r="D1173" s="30" t="s">
        <v>3663</v>
      </c>
      <c r="E1173" s="32">
        <v>46113.0</v>
      </c>
      <c r="F1173" s="32">
        <v>46171.0</v>
      </c>
      <c r="G1173" s="33"/>
    </row>
    <row r="1174" ht="15.75" customHeight="1">
      <c r="A1174" s="26" t="s">
        <v>4838</v>
      </c>
      <c r="B1174" s="27" t="s">
        <v>256</v>
      </c>
      <c r="C1174" s="27" t="s">
        <v>965</v>
      </c>
      <c r="D1174" s="26" t="s">
        <v>3663</v>
      </c>
      <c r="E1174" s="28">
        <v>46113.0</v>
      </c>
      <c r="F1174" s="28">
        <v>46171.0</v>
      </c>
      <c r="G1174" s="29"/>
    </row>
    <row r="1175" ht="15.75" customHeight="1">
      <c r="A1175" s="30" t="s">
        <v>4839</v>
      </c>
      <c r="B1175" s="31" t="s">
        <v>256</v>
      </c>
      <c r="C1175" s="31" t="s">
        <v>923</v>
      </c>
      <c r="D1175" s="30" t="s">
        <v>3663</v>
      </c>
      <c r="E1175" s="32">
        <v>46113.0</v>
      </c>
      <c r="F1175" s="32">
        <v>46171.0</v>
      </c>
      <c r="G1175" s="33"/>
    </row>
    <row r="1176" ht="15.75" customHeight="1">
      <c r="A1176" s="26" t="s">
        <v>4840</v>
      </c>
      <c r="B1176" s="27" t="s">
        <v>256</v>
      </c>
      <c r="C1176" s="27" t="s">
        <v>961</v>
      </c>
      <c r="D1176" s="26" t="s">
        <v>3663</v>
      </c>
      <c r="E1176" s="28">
        <v>46113.0</v>
      </c>
      <c r="F1176" s="28">
        <v>46171.0</v>
      </c>
      <c r="G1176" s="29"/>
    </row>
    <row r="1177" ht="15.75" customHeight="1">
      <c r="A1177" s="30" t="s">
        <v>4841</v>
      </c>
      <c r="B1177" s="31" t="s">
        <v>257</v>
      </c>
      <c r="C1177" s="31" t="s">
        <v>932</v>
      </c>
      <c r="D1177" s="30" t="s">
        <v>3663</v>
      </c>
      <c r="E1177" s="32">
        <v>46113.0</v>
      </c>
      <c r="F1177" s="32">
        <v>46171.0</v>
      </c>
      <c r="G1177" s="33"/>
    </row>
    <row r="1178" ht="15.75" customHeight="1">
      <c r="A1178" s="26" t="s">
        <v>4842</v>
      </c>
      <c r="B1178" s="27" t="s">
        <v>257</v>
      </c>
      <c r="C1178" s="27" t="s">
        <v>1168</v>
      </c>
      <c r="D1178" s="26" t="s">
        <v>3663</v>
      </c>
      <c r="E1178" s="28">
        <v>46113.0</v>
      </c>
      <c r="F1178" s="28">
        <v>46171.0</v>
      </c>
      <c r="G1178" s="29"/>
    </row>
    <row r="1179" ht="15.75" customHeight="1">
      <c r="A1179" s="30" t="s">
        <v>4843</v>
      </c>
      <c r="B1179" s="31" t="s">
        <v>257</v>
      </c>
      <c r="C1179" s="31" t="s">
        <v>1170</v>
      </c>
      <c r="D1179" s="30" t="s">
        <v>3663</v>
      </c>
      <c r="E1179" s="32">
        <v>46113.0</v>
      </c>
      <c r="F1179" s="32">
        <v>46171.0</v>
      </c>
      <c r="G1179" s="33"/>
    </row>
    <row r="1180" ht="15.75" customHeight="1">
      <c r="A1180" s="26" t="s">
        <v>4844</v>
      </c>
      <c r="B1180" s="27" t="s">
        <v>257</v>
      </c>
      <c r="C1180" s="27" t="s">
        <v>1288</v>
      </c>
      <c r="D1180" s="26" t="s">
        <v>3663</v>
      </c>
      <c r="E1180" s="28">
        <v>46113.0</v>
      </c>
      <c r="F1180" s="28">
        <v>46171.0</v>
      </c>
      <c r="G1180" s="29"/>
    </row>
    <row r="1181" ht="15.75" customHeight="1">
      <c r="A1181" s="30" t="s">
        <v>4845</v>
      </c>
      <c r="B1181" s="31" t="s">
        <v>257</v>
      </c>
      <c r="C1181" s="31" t="s">
        <v>1291</v>
      </c>
      <c r="D1181" s="30" t="s">
        <v>3663</v>
      </c>
      <c r="E1181" s="32">
        <v>46113.0</v>
      </c>
      <c r="F1181" s="32">
        <v>46171.0</v>
      </c>
      <c r="G1181" s="33"/>
    </row>
    <row r="1182" ht="15.75" customHeight="1">
      <c r="A1182" s="26" t="s">
        <v>4846</v>
      </c>
      <c r="B1182" s="27" t="s">
        <v>257</v>
      </c>
      <c r="C1182" s="27" t="s">
        <v>1354</v>
      </c>
      <c r="D1182" s="26" t="s">
        <v>3663</v>
      </c>
      <c r="E1182" s="28">
        <v>46113.0</v>
      </c>
      <c r="F1182" s="28">
        <v>46171.0</v>
      </c>
      <c r="G1182" s="29"/>
    </row>
    <row r="1183" ht="15.75" customHeight="1">
      <c r="A1183" s="30" t="s">
        <v>4847</v>
      </c>
      <c r="B1183" s="31" t="s">
        <v>257</v>
      </c>
      <c r="C1183" s="31" t="s">
        <v>1172</v>
      </c>
      <c r="D1183" s="30" t="s">
        <v>3663</v>
      </c>
      <c r="E1183" s="32">
        <v>46113.0</v>
      </c>
      <c r="F1183" s="32">
        <v>46171.0</v>
      </c>
      <c r="G1183" s="33"/>
    </row>
    <row r="1184" ht="15.75" customHeight="1">
      <c r="A1184" s="26" t="s">
        <v>4848</v>
      </c>
      <c r="B1184" s="27" t="s">
        <v>257</v>
      </c>
      <c r="C1184" s="27" t="s">
        <v>3681</v>
      </c>
      <c r="D1184" s="26" t="s">
        <v>3663</v>
      </c>
      <c r="E1184" s="28">
        <v>46113.0</v>
      </c>
      <c r="F1184" s="28">
        <v>46171.0</v>
      </c>
      <c r="G1184" s="29"/>
    </row>
    <row r="1185" ht="15.75" customHeight="1">
      <c r="A1185" s="30" t="s">
        <v>4849</v>
      </c>
      <c r="B1185" s="31" t="s">
        <v>257</v>
      </c>
      <c r="C1185" s="31" t="s">
        <v>3683</v>
      </c>
      <c r="D1185" s="30" t="s">
        <v>3663</v>
      </c>
      <c r="E1185" s="32">
        <v>46113.0</v>
      </c>
      <c r="F1185" s="32">
        <v>46171.0</v>
      </c>
      <c r="G1185" s="33"/>
    </row>
    <row r="1186" ht="15.75" customHeight="1">
      <c r="A1186" s="26" t="s">
        <v>4850</v>
      </c>
      <c r="B1186" s="27" t="s">
        <v>257</v>
      </c>
      <c r="C1186" s="27" t="s">
        <v>1351</v>
      </c>
      <c r="D1186" s="26" t="s">
        <v>3663</v>
      </c>
      <c r="E1186" s="28">
        <v>46113.0</v>
      </c>
      <c r="F1186" s="28">
        <v>46171.0</v>
      </c>
      <c r="G1186" s="29"/>
    </row>
    <row r="1187" ht="15.75" customHeight="1">
      <c r="A1187" s="30" t="s">
        <v>4851</v>
      </c>
      <c r="B1187" s="31" t="s">
        <v>257</v>
      </c>
      <c r="C1187" s="31" t="s">
        <v>1349</v>
      </c>
      <c r="D1187" s="30" t="s">
        <v>3663</v>
      </c>
      <c r="E1187" s="32">
        <v>46113.0</v>
      </c>
      <c r="F1187" s="32">
        <v>46171.0</v>
      </c>
      <c r="G1187" s="33"/>
    </row>
    <row r="1188" ht="15.75" customHeight="1">
      <c r="A1188" s="26" t="s">
        <v>4852</v>
      </c>
      <c r="B1188" s="27" t="s">
        <v>257</v>
      </c>
      <c r="C1188" s="27" t="s">
        <v>968</v>
      </c>
      <c r="D1188" s="26" t="s">
        <v>3663</v>
      </c>
      <c r="E1188" s="28">
        <v>46113.0</v>
      </c>
      <c r="F1188" s="28">
        <v>46171.0</v>
      </c>
      <c r="G1188" s="29"/>
    </row>
    <row r="1189" ht="15.75" customHeight="1">
      <c r="A1189" s="30" t="s">
        <v>4853</v>
      </c>
      <c r="B1189" s="31" t="s">
        <v>257</v>
      </c>
      <c r="C1189" s="31" t="s">
        <v>923</v>
      </c>
      <c r="D1189" s="30" t="s">
        <v>3663</v>
      </c>
      <c r="E1189" s="32">
        <v>46113.0</v>
      </c>
      <c r="F1189" s="32">
        <v>46171.0</v>
      </c>
      <c r="G1189" s="33"/>
    </row>
    <row r="1190" ht="15.75" customHeight="1">
      <c r="A1190" s="26" t="s">
        <v>4854</v>
      </c>
      <c r="B1190" s="27" t="s">
        <v>257</v>
      </c>
      <c r="C1190" s="27" t="s">
        <v>955</v>
      </c>
      <c r="D1190" s="26" t="s">
        <v>3663</v>
      </c>
      <c r="E1190" s="28">
        <v>46113.0</v>
      </c>
      <c r="F1190" s="28">
        <v>46171.0</v>
      </c>
      <c r="G1190" s="29"/>
    </row>
    <row r="1191" ht="15.75" customHeight="1">
      <c r="A1191" s="30" t="s">
        <v>4855</v>
      </c>
      <c r="B1191" s="31" t="s">
        <v>258</v>
      </c>
      <c r="C1191" s="31" t="s">
        <v>932</v>
      </c>
      <c r="D1191" s="30" t="s">
        <v>3663</v>
      </c>
      <c r="E1191" s="32">
        <v>46113.0</v>
      </c>
      <c r="F1191" s="32">
        <v>46171.0</v>
      </c>
      <c r="G1191" s="33"/>
    </row>
    <row r="1192" ht="15.75" customHeight="1">
      <c r="A1192" s="26" t="s">
        <v>4856</v>
      </c>
      <c r="B1192" s="27" t="s">
        <v>258</v>
      </c>
      <c r="C1192" s="27" t="s">
        <v>1168</v>
      </c>
      <c r="D1192" s="26" t="s">
        <v>3663</v>
      </c>
      <c r="E1192" s="28">
        <v>46113.0</v>
      </c>
      <c r="F1192" s="28">
        <v>46171.0</v>
      </c>
      <c r="G1192" s="29"/>
    </row>
    <row r="1193" ht="15.75" customHeight="1">
      <c r="A1193" s="30" t="s">
        <v>4857</v>
      </c>
      <c r="B1193" s="31" t="s">
        <v>258</v>
      </c>
      <c r="C1193" s="31" t="s">
        <v>1170</v>
      </c>
      <c r="D1193" s="30" t="s">
        <v>3663</v>
      </c>
      <c r="E1193" s="32">
        <v>46113.0</v>
      </c>
      <c r="F1193" s="32">
        <v>46171.0</v>
      </c>
      <c r="G1193" s="33"/>
    </row>
    <row r="1194" ht="15.75" customHeight="1">
      <c r="A1194" s="26" t="s">
        <v>4858</v>
      </c>
      <c r="B1194" s="27" t="s">
        <v>258</v>
      </c>
      <c r="C1194" s="27" t="s">
        <v>1288</v>
      </c>
      <c r="D1194" s="26" t="s">
        <v>3663</v>
      </c>
      <c r="E1194" s="28">
        <v>46113.0</v>
      </c>
      <c r="F1194" s="28">
        <v>46171.0</v>
      </c>
      <c r="G1194" s="29"/>
    </row>
    <row r="1195" ht="15.75" customHeight="1">
      <c r="A1195" s="30" t="s">
        <v>4859</v>
      </c>
      <c r="B1195" s="31" t="s">
        <v>258</v>
      </c>
      <c r="C1195" s="31" t="s">
        <v>1291</v>
      </c>
      <c r="D1195" s="30" t="s">
        <v>3663</v>
      </c>
      <c r="E1195" s="32">
        <v>46113.0</v>
      </c>
      <c r="F1195" s="32">
        <v>46171.0</v>
      </c>
      <c r="G1195" s="33"/>
    </row>
    <row r="1196" ht="15.75" customHeight="1">
      <c r="A1196" s="26" t="s">
        <v>4860</v>
      </c>
      <c r="B1196" s="27" t="s">
        <v>258</v>
      </c>
      <c r="C1196" s="27" t="s">
        <v>1354</v>
      </c>
      <c r="D1196" s="26" t="s">
        <v>3663</v>
      </c>
      <c r="E1196" s="28">
        <v>46113.0</v>
      </c>
      <c r="F1196" s="28">
        <v>46171.0</v>
      </c>
      <c r="G1196" s="29"/>
    </row>
    <row r="1197" ht="15.75" customHeight="1">
      <c r="A1197" s="30" t="s">
        <v>4861</v>
      </c>
      <c r="B1197" s="31" t="s">
        <v>258</v>
      </c>
      <c r="C1197" s="31" t="s">
        <v>1159</v>
      </c>
      <c r="D1197" s="30" t="s">
        <v>3663</v>
      </c>
      <c r="E1197" s="32">
        <v>46113.0</v>
      </c>
      <c r="F1197" s="32">
        <v>46171.0</v>
      </c>
      <c r="G1197" s="33"/>
    </row>
    <row r="1198" ht="15.75" customHeight="1">
      <c r="A1198" s="26" t="s">
        <v>4862</v>
      </c>
      <c r="B1198" s="27" t="s">
        <v>258</v>
      </c>
      <c r="C1198" s="27" t="s">
        <v>3656</v>
      </c>
      <c r="D1198" s="26" t="s">
        <v>3663</v>
      </c>
      <c r="E1198" s="28">
        <v>46113.0</v>
      </c>
      <c r="F1198" s="28">
        <v>46171.0</v>
      </c>
      <c r="G1198" s="29"/>
    </row>
    <row r="1199" ht="15.75" customHeight="1">
      <c r="A1199" s="30" t="s">
        <v>4863</v>
      </c>
      <c r="B1199" s="31" t="s">
        <v>258</v>
      </c>
      <c r="C1199" s="31" t="s">
        <v>3657</v>
      </c>
      <c r="D1199" s="30" t="s">
        <v>3663</v>
      </c>
      <c r="E1199" s="32">
        <v>46113.0</v>
      </c>
      <c r="F1199" s="32">
        <v>46171.0</v>
      </c>
      <c r="G1199" s="33"/>
    </row>
    <row r="1200" ht="15.75" customHeight="1">
      <c r="A1200" s="26" t="s">
        <v>4864</v>
      </c>
      <c r="B1200" s="27" t="s">
        <v>258</v>
      </c>
      <c r="C1200" s="27" t="s">
        <v>3647</v>
      </c>
      <c r="D1200" s="26" t="s">
        <v>3663</v>
      </c>
      <c r="E1200" s="28">
        <v>46113.0</v>
      </c>
      <c r="F1200" s="28">
        <v>46171.0</v>
      </c>
      <c r="G1200" s="29"/>
    </row>
    <row r="1201" ht="15.75" customHeight="1">
      <c r="A1201" s="30" t="s">
        <v>4865</v>
      </c>
      <c r="B1201" s="31" t="s">
        <v>258</v>
      </c>
      <c r="C1201" s="31" t="s">
        <v>952</v>
      </c>
      <c r="D1201" s="30" t="s">
        <v>3663</v>
      </c>
      <c r="E1201" s="32">
        <v>46113.0</v>
      </c>
      <c r="F1201" s="32">
        <v>46171.0</v>
      </c>
      <c r="G1201" s="33"/>
    </row>
    <row r="1202" ht="15.75" customHeight="1">
      <c r="A1202" s="26" t="s">
        <v>4866</v>
      </c>
      <c r="B1202" s="27" t="s">
        <v>258</v>
      </c>
      <c r="C1202" s="27" t="s">
        <v>968</v>
      </c>
      <c r="D1202" s="26" t="s">
        <v>3663</v>
      </c>
      <c r="E1202" s="28">
        <v>46113.0</v>
      </c>
      <c r="F1202" s="28">
        <v>46171.0</v>
      </c>
      <c r="G1202" s="29"/>
    </row>
    <row r="1203" ht="15.75" customHeight="1">
      <c r="A1203" s="30" t="s">
        <v>4867</v>
      </c>
      <c r="B1203" s="31" t="s">
        <v>258</v>
      </c>
      <c r="C1203" s="31" t="s">
        <v>923</v>
      </c>
      <c r="D1203" s="30" t="s">
        <v>3663</v>
      </c>
      <c r="E1203" s="32">
        <v>46113.0</v>
      </c>
      <c r="F1203" s="32">
        <v>46171.0</v>
      </c>
      <c r="G1203" s="33"/>
    </row>
    <row r="1204" ht="15.75" customHeight="1">
      <c r="A1204" s="26" t="s">
        <v>4868</v>
      </c>
      <c r="B1204" s="27" t="s">
        <v>258</v>
      </c>
      <c r="C1204" s="27" t="s">
        <v>955</v>
      </c>
      <c r="D1204" s="26" t="s">
        <v>3663</v>
      </c>
      <c r="E1204" s="28">
        <v>46113.0</v>
      </c>
      <c r="F1204" s="28">
        <v>46171.0</v>
      </c>
      <c r="G1204" s="29"/>
    </row>
    <row r="1205" ht="15.75" customHeight="1">
      <c r="A1205" s="30" t="s">
        <v>4869</v>
      </c>
      <c r="B1205" s="31" t="s">
        <v>259</v>
      </c>
      <c r="C1205" s="31" t="s">
        <v>3654</v>
      </c>
      <c r="D1205" s="30" t="s">
        <v>3663</v>
      </c>
      <c r="E1205" s="32">
        <v>46113.0</v>
      </c>
      <c r="F1205" s="32">
        <v>46171.0</v>
      </c>
      <c r="G1205" s="33"/>
    </row>
    <row r="1206" ht="15.75" customHeight="1">
      <c r="A1206" s="26" t="s">
        <v>4870</v>
      </c>
      <c r="B1206" s="27" t="s">
        <v>259</v>
      </c>
      <c r="C1206" s="27" t="s">
        <v>3655</v>
      </c>
      <c r="D1206" s="26" t="s">
        <v>3663</v>
      </c>
      <c r="E1206" s="28">
        <v>46113.0</v>
      </c>
      <c r="F1206" s="28">
        <v>46171.0</v>
      </c>
      <c r="G1206" s="29"/>
    </row>
    <row r="1207" ht="15.75" customHeight="1">
      <c r="A1207" s="30" t="s">
        <v>4871</v>
      </c>
      <c r="B1207" s="31" t="s">
        <v>259</v>
      </c>
      <c r="C1207" s="31" t="s">
        <v>932</v>
      </c>
      <c r="D1207" s="30" t="s">
        <v>3663</v>
      </c>
      <c r="E1207" s="32">
        <v>46113.0</v>
      </c>
      <c r="F1207" s="32">
        <v>46171.0</v>
      </c>
      <c r="G1207" s="33"/>
    </row>
    <row r="1208" ht="15.75" customHeight="1">
      <c r="A1208" s="26" t="s">
        <v>4872</v>
      </c>
      <c r="B1208" s="27" t="s">
        <v>259</v>
      </c>
      <c r="C1208" s="27" t="s">
        <v>1168</v>
      </c>
      <c r="D1208" s="26" t="s">
        <v>3663</v>
      </c>
      <c r="E1208" s="28">
        <v>46113.0</v>
      </c>
      <c r="F1208" s="28">
        <v>46171.0</v>
      </c>
      <c r="G1208" s="29"/>
    </row>
    <row r="1209" ht="15.75" customHeight="1">
      <c r="A1209" s="30" t="s">
        <v>4873</v>
      </c>
      <c r="B1209" s="31" t="s">
        <v>259</v>
      </c>
      <c r="C1209" s="31" t="s">
        <v>1170</v>
      </c>
      <c r="D1209" s="30" t="s">
        <v>3663</v>
      </c>
      <c r="E1209" s="32">
        <v>46113.0</v>
      </c>
      <c r="F1209" s="32">
        <v>46171.0</v>
      </c>
      <c r="G1209" s="33"/>
    </row>
    <row r="1210" ht="15.75" customHeight="1">
      <c r="A1210" s="26" t="s">
        <v>4874</v>
      </c>
      <c r="B1210" s="27" t="s">
        <v>259</v>
      </c>
      <c r="C1210" s="27" t="s">
        <v>1288</v>
      </c>
      <c r="D1210" s="26" t="s">
        <v>3663</v>
      </c>
      <c r="E1210" s="28">
        <v>46113.0</v>
      </c>
      <c r="F1210" s="28">
        <v>46171.0</v>
      </c>
      <c r="G1210" s="29"/>
    </row>
    <row r="1211" ht="15.75" customHeight="1">
      <c r="A1211" s="30" t="s">
        <v>4875</v>
      </c>
      <c r="B1211" s="31" t="s">
        <v>259</v>
      </c>
      <c r="C1211" s="31" t="s">
        <v>1291</v>
      </c>
      <c r="D1211" s="30" t="s">
        <v>3663</v>
      </c>
      <c r="E1211" s="32">
        <v>46113.0</v>
      </c>
      <c r="F1211" s="32">
        <v>46171.0</v>
      </c>
      <c r="G1211" s="33"/>
    </row>
    <row r="1212" ht="15.75" customHeight="1">
      <c r="A1212" s="26" t="s">
        <v>4876</v>
      </c>
      <c r="B1212" s="27" t="s">
        <v>259</v>
      </c>
      <c r="C1212" s="27" t="s">
        <v>1354</v>
      </c>
      <c r="D1212" s="26" t="s">
        <v>3663</v>
      </c>
      <c r="E1212" s="28">
        <v>46113.0</v>
      </c>
      <c r="F1212" s="28">
        <v>46171.0</v>
      </c>
      <c r="G1212" s="29"/>
    </row>
    <row r="1213" ht="15.75" customHeight="1">
      <c r="A1213" s="30" t="s">
        <v>4877</v>
      </c>
      <c r="B1213" s="31" t="s">
        <v>259</v>
      </c>
      <c r="C1213" s="31" t="s">
        <v>1351</v>
      </c>
      <c r="D1213" s="30" t="s">
        <v>3663</v>
      </c>
      <c r="E1213" s="32">
        <v>46113.0</v>
      </c>
      <c r="F1213" s="32">
        <v>46171.0</v>
      </c>
      <c r="G1213" s="33"/>
    </row>
    <row r="1214" ht="15.75" customHeight="1">
      <c r="A1214" s="26" t="s">
        <v>4878</v>
      </c>
      <c r="B1214" s="27" t="s">
        <v>259</v>
      </c>
      <c r="C1214" s="27" t="s">
        <v>1349</v>
      </c>
      <c r="D1214" s="26" t="s">
        <v>3663</v>
      </c>
      <c r="E1214" s="28">
        <v>46113.0</v>
      </c>
      <c r="F1214" s="28">
        <v>46171.0</v>
      </c>
      <c r="G1214" s="29"/>
    </row>
    <row r="1215" ht="15.75" customHeight="1">
      <c r="A1215" s="30" t="s">
        <v>4879</v>
      </c>
      <c r="B1215" s="31" t="s">
        <v>259</v>
      </c>
      <c r="C1215" s="31" t="s">
        <v>968</v>
      </c>
      <c r="D1215" s="30" t="s">
        <v>3663</v>
      </c>
      <c r="E1215" s="32">
        <v>46113.0</v>
      </c>
      <c r="F1215" s="32">
        <v>46171.0</v>
      </c>
      <c r="G1215" s="33"/>
    </row>
    <row r="1216" ht="15.75" customHeight="1">
      <c r="A1216" s="26" t="s">
        <v>4880</v>
      </c>
      <c r="B1216" s="27" t="s">
        <v>259</v>
      </c>
      <c r="C1216" s="27" t="s">
        <v>923</v>
      </c>
      <c r="D1216" s="26" t="s">
        <v>3663</v>
      </c>
      <c r="E1216" s="28">
        <v>46113.0</v>
      </c>
      <c r="F1216" s="28">
        <v>46171.0</v>
      </c>
      <c r="G1216" s="29"/>
    </row>
    <row r="1217" ht="15.75" customHeight="1">
      <c r="A1217" s="30" t="s">
        <v>4881</v>
      </c>
      <c r="B1217" s="31" t="s">
        <v>259</v>
      </c>
      <c r="C1217" s="31" t="s">
        <v>958</v>
      </c>
      <c r="D1217" s="30" t="s">
        <v>3663</v>
      </c>
      <c r="E1217" s="32">
        <v>46113.0</v>
      </c>
      <c r="F1217" s="32">
        <v>46171.0</v>
      </c>
      <c r="G1217" s="33"/>
    </row>
    <row r="1218" ht="15.75" customHeight="1">
      <c r="A1218" s="26" t="s">
        <v>4882</v>
      </c>
      <c r="B1218" s="27" t="s">
        <v>259</v>
      </c>
      <c r="C1218" s="27" t="s">
        <v>955</v>
      </c>
      <c r="D1218" s="26" t="s">
        <v>3663</v>
      </c>
      <c r="E1218" s="28">
        <v>46113.0</v>
      </c>
      <c r="F1218" s="28">
        <v>46171.0</v>
      </c>
      <c r="G1218" s="29"/>
    </row>
    <row r="1219" ht="15.75" customHeight="1">
      <c r="A1219" s="30" t="s">
        <v>4883</v>
      </c>
      <c r="B1219" s="31" t="s">
        <v>260</v>
      </c>
      <c r="C1219" s="31" t="s">
        <v>932</v>
      </c>
      <c r="D1219" s="30" t="s">
        <v>3663</v>
      </c>
      <c r="E1219" s="32">
        <v>46113.0</v>
      </c>
      <c r="F1219" s="32">
        <v>46171.0</v>
      </c>
      <c r="G1219" s="33"/>
    </row>
    <row r="1220" ht="15.75" customHeight="1">
      <c r="A1220" s="26" t="s">
        <v>4884</v>
      </c>
      <c r="B1220" s="27" t="s">
        <v>260</v>
      </c>
      <c r="C1220" s="27" t="s">
        <v>1164</v>
      </c>
      <c r="D1220" s="26" t="s">
        <v>3663</v>
      </c>
      <c r="E1220" s="28">
        <v>46113.0</v>
      </c>
      <c r="F1220" s="28">
        <v>46171.0</v>
      </c>
      <c r="G1220" s="29"/>
    </row>
    <row r="1221" ht="15.75" customHeight="1">
      <c r="A1221" s="30" t="s">
        <v>4885</v>
      </c>
      <c r="B1221" s="31" t="s">
        <v>260</v>
      </c>
      <c r="C1221" s="31" t="s">
        <v>1166</v>
      </c>
      <c r="D1221" s="30" t="s">
        <v>3663</v>
      </c>
      <c r="E1221" s="32">
        <v>46113.0</v>
      </c>
      <c r="F1221" s="32">
        <v>46171.0</v>
      </c>
      <c r="G1221" s="33"/>
    </row>
    <row r="1222" ht="15.75" customHeight="1">
      <c r="A1222" s="26" t="s">
        <v>4886</v>
      </c>
      <c r="B1222" s="27" t="s">
        <v>260</v>
      </c>
      <c r="C1222" s="27" t="s">
        <v>1168</v>
      </c>
      <c r="D1222" s="26" t="s">
        <v>3663</v>
      </c>
      <c r="E1222" s="28">
        <v>46113.0</v>
      </c>
      <c r="F1222" s="28">
        <v>46171.0</v>
      </c>
      <c r="G1222" s="29"/>
    </row>
    <row r="1223" ht="15.75" customHeight="1">
      <c r="A1223" s="30" t="s">
        <v>4887</v>
      </c>
      <c r="B1223" s="31" t="s">
        <v>260</v>
      </c>
      <c r="C1223" s="31" t="s">
        <v>1170</v>
      </c>
      <c r="D1223" s="30" t="s">
        <v>3663</v>
      </c>
      <c r="E1223" s="32">
        <v>46113.0</v>
      </c>
      <c r="F1223" s="32">
        <v>46171.0</v>
      </c>
      <c r="G1223" s="33"/>
    </row>
    <row r="1224" ht="15.75" customHeight="1">
      <c r="A1224" s="26" t="s">
        <v>4888</v>
      </c>
      <c r="B1224" s="27" t="s">
        <v>260</v>
      </c>
      <c r="C1224" s="27" t="s">
        <v>1354</v>
      </c>
      <c r="D1224" s="26" t="s">
        <v>3663</v>
      </c>
      <c r="E1224" s="28">
        <v>46113.0</v>
      </c>
      <c r="F1224" s="28">
        <v>46171.0</v>
      </c>
      <c r="G1224" s="29"/>
    </row>
    <row r="1225" ht="15.75" customHeight="1">
      <c r="A1225" s="30" t="s">
        <v>4889</v>
      </c>
      <c r="B1225" s="31" t="s">
        <v>260</v>
      </c>
      <c r="C1225" s="31" t="s">
        <v>1190</v>
      </c>
      <c r="D1225" s="30" t="s">
        <v>3663</v>
      </c>
      <c r="E1225" s="32">
        <v>46113.0</v>
      </c>
      <c r="F1225" s="32">
        <v>46171.0</v>
      </c>
      <c r="G1225" s="33"/>
    </row>
    <row r="1226" ht="15.75" customHeight="1">
      <c r="A1226" s="26" t="s">
        <v>4890</v>
      </c>
      <c r="B1226" s="27" t="s">
        <v>260</v>
      </c>
      <c r="C1226" s="27" t="s">
        <v>1351</v>
      </c>
      <c r="D1226" s="26" t="s">
        <v>3663</v>
      </c>
      <c r="E1226" s="28">
        <v>46113.0</v>
      </c>
      <c r="F1226" s="28">
        <v>46171.0</v>
      </c>
      <c r="G1226" s="29"/>
    </row>
    <row r="1227" ht="15.75" customHeight="1">
      <c r="A1227" s="30" t="s">
        <v>4891</v>
      </c>
      <c r="B1227" s="31" t="s">
        <v>260</v>
      </c>
      <c r="C1227" s="31" t="s">
        <v>1349</v>
      </c>
      <c r="D1227" s="30" t="s">
        <v>3663</v>
      </c>
      <c r="E1227" s="32">
        <v>46113.0</v>
      </c>
      <c r="F1227" s="32">
        <v>46171.0</v>
      </c>
      <c r="G1227" s="33"/>
    </row>
    <row r="1228" ht="15.75" customHeight="1">
      <c r="A1228" s="26" t="s">
        <v>4892</v>
      </c>
      <c r="B1228" s="27" t="s">
        <v>260</v>
      </c>
      <c r="C1228" s="27" t="s">
        <v>3653</v>
      </c>
      <c r="D1228" s="27" t="s">
        <v>3663</v>
      </c>
      <c r="E1228" s="28">
        <v>46113.0</v>
      </c>
      <c r="F1228" s="28">
        <v>46171.0</v>
      </c>
      <c r="G1228" s="29"/>
    </row>
    <row r="1229" ht="15.75" customHeight="1">
      <c r="A1229" s="30" t="s">
        <v>4893</v>
      </c>
      <c r="B1229" s="31" t="s">
        <v>260</v>
      </c>
      <c r="C1229" s="31" t="s">
        <v>3652</v>
      </c>
      <c r="D1229" s="30" t="s">
        <v>3663</v>
      </c>
      <c r="E1229" s="32">
        <v>46113.0</v>
      </c>
      <c r="F1229" s="32">
        <v>46171.0</v>
      </c>
      <c r="G1229" s="33"/>
    </row>
    <row r="1230" ht="15.75" customHeight="1">
      <c r="A1230" s="26" t="s">
        <v>4894</v>
      </c>
      <c r="B1230" s="27" t="s">
        <v>260</v>
      </c>
      <c r="C1230" s="27" t="s">
        <v>965</v>
      </c>
      <c r="D1230" s="26" t="s">
        <v>3663</v>
      </c>
      <c r="E1230" s="28">
        <v>46113.0</v>
      </c>
      <c r="F1230" s="28">
        <v>46171.0</v>
      </c>
      <c r="G1230" s="29"/>
    </row>
    <row r="1231" ht="15.75" customHeight="1">
      <c r="A1231" s="30" t="s">
        <v>4895</v>
      </c>
      <c r="B1231" s="31" t="s">
        <v>260</v>
      </c>
      <c r="C1231" s="31" t="s">
        <v>923</v>
      </c>
      <c r="D1231" s="30" t="s">
        <v>3663</v>
      </c>
      <c r="E1231" s="32">
        <v>46113.0</v>
      </c>
      <c r="F1231" s="32">
        <v>46171.0</v>
      </c>
      <c r="G1231" s="33"/>
    </row>
    <row r="1232" ht="15.75" customHeight="1">
      <c r="A1232" s="26" t="s">
        <v>4896</v>
      </c>
      <c r="B1232" s="27" t="s">
        <v>260</v>
      </c>
      <c r="C1232" s="27" t="s">
        <v>961</v>
      </c>
      <c r="D1232" s="26" t="s">
        <v>3663</v>
      </c>
      <c r="E1232" s="28">
        <v>46113.0</v>
      </c>
      <c r="F1232" s="28">
        <v>46171.0</v>
      </c>
      <c r="G1232" s="29"/>
    </row>
    <row r="1233" ht="15.75" customHeight="1">
      <c r="A1233" s="30" t="s">
        <v>4897</v>
      </c>
      <c r="B1233" s="31" t="s">
        <v>2347</v>
      </c>
      <c r="C1233" s="31" t="s">
        <v>3638</v>
      </c>
      <c r="D1233" s="30" t="s">
        <v>3663</v>
      </c>
      <c r="E1233" s="32">
        <v>46113.0</v>
      </c>
      <c r="F1233" s="32">
        <v>46171.0</v>
      </c>
      <c r="G1233" s="33"/>
    </row>
    <row r="1234" ht="15.75" customHeight="1">
      <c r="A1234" s="26" t="s">
        <v>4898</v>
      </c>
      <c r="B1234" s="27" t="s">
        <v>2347</v>
      </c>
      <c r="C1234" s="27" t="s">
        <v>934</v>
      </c>
      <c r="D1234" s="26" t="s">
        <v>3663</v>
      </c>
      <c r="E1234" s="28">
        <v>46113.0</v>
      </c>
      <c r="F1234" s="28">
        <v>46171.0</v>
      </c>
      <c r="G1234" s="29"/>
    </row>
    <row r="1235" ht="15.75" customHeight="1">
      <c r="A1235" s="30" t="s">
        <v>4899</v>
      </c>
      <c r="B1235" s="31" t="s">
        <v>2347</v>
      </c>
      <c r="C1235" s="31" t="s">
        <v>1354</v>
      </c>
      <c r="D1235" s="30" t="s">
        <v>3663</v>
      </c>
      <c r="E1235" s="32">
        <v>46113.0</v>
      </c>
      <c r="F1235" s="32">
        <v>46171.0</v>
      </c>
      <c r="G1235" s="33"/>
    </row>
    <row r="1236" ht="15.75" customHeight="1">
      <c r="A1236" s="26" t="s">
        <v>4900</v>
      </c>
      <c r="B1236" s="27" t="s">
        <v>2347</v>
      </c>
      <c r="C1236" s="27" t="s">
        <v>3656</v>
      </c>
      <c r="D1236" s="26" t="s">
        <v>3663</v>
      </c>
      <c r="E1236" s="28">
        <v>46113.0</v>
      </c>
      <c r="F1236" s="28">
        <v>46171.0</v>
      </c>
      <c r="G1236" s="29"/>
    </row>
    <row r="1237" ht="15.75" customHeight="1">
      <c r="A1237" s="30" t="s">
        <v>4901</v>
      </c>
      <c r="B1237" s="31" t="s">
        <v>2347</v>
      </c>
      <c r="C1237" s="31" t="s">
        <v>3657</v>
      </c>
      <c r="D1237" s="30" t="s">
        <v>3663</v>
      </c>
      <c r="E1237" s="32">
        <v>46113.0</v>
      </c>
      <c r="F1237" s="32">
        <v>46171.0</v>
      </c>
      <c r="G1237" s="33"/>
    </row>
    <row r="1238" ht="15.75" customHeight="1">
      <c r="A1238" s="26" t="s">
        <v>4902</v>
      </c>
      <c r="B1238" s="27" t="s">
        <v>2347</v>
      </c>
      <c r="C1238" s="27" t="s">
        <v>3647</v>
      </c>
      <c r="D1238" s="26" t="s">
        <v>3663</v>
      </c>
      <c r="E1238" s="28">
        <v>46113.0</v>
      </c>
      <c r="F1238" s="28">
        <v>46171.0</v>
      </c>
      <c r="G1238" s="29"/>
    </row>
    <row r="1239" ht="15.75" customHeight="1">
      <c r="A1239" s="30" t="s">
        <v>4903</v>
      </c>
      <c r="B1239" s="31" t="s">
        <v>2347</v>
      </c>
      <c r="C1239" s="31" t="s">
        <v>952</v>
      </c>
      <c r="D1239" s="30" t="s">
        <v>3663</v>
      </c>
      <c r="E1239" s="32">
        <v>46113.0</v>
      </c>
      <c r="F1239" s="32">
        <v>46171.0</v>
      </c>
      <c r="G1239" s="33"/>
    </row>
    <row r="1240" ht="15.75" customHeight="1">
      <c r="A1240" s="26" t="s">
        <v>4904</v>
      </c>
      <c r="B1240" s="27" t="s">
        <v>2347</v>
      </c>
      <c r="C1240" s="27" t="s">
        <v>1157</v>
      </c>
      <c r="D1240" s="26" t="s">
        <v>3663</v>
      </c>
      <c r="E1240" s="28">
        <v>46113.0</v>
      </c>
      <c r="F1240" s="28">
        <v>46171.0</v>
      </c>
      <c r="G1240" s="29"/>
    </row>
    <row r="1241" ht="15.75" customHeight="1">
      <c r="A1241" s="30" t="s">
        <v>4905</v>
      </c>
      <c r="B1241" s="31" t="s">
        <v>2347</v>
      </c>
      <c r="C1241" s="31" t="s">
        <v>1155</v>
      </c>
      <c r="D1241" s="30" t="s">
        <v>3663</v>
      </c>
      <c r="E1241" s="32">
        <v>46113.0</v>
      </c>
      <c r="F1241" s="32">
        <v>46171.0</v>
      </c>
      <c r="G1241" s="33"/>
    </row>
    <row r="1242" ht="15.75" customHeight="1">
      <c r="A1242" s="26" t="s">
        <v>4906</v>
      </c>
      <c r="B1242" s="27" t="s">
        <v>2347</v>
      </c>
      <c r="C1242" s="27" t="s">
        <v>1153</v>
      </c>
      <c r="D1242" s="26" t="s">
        <v>3663</v>
      </c>
      <c r="E1242" s="28">
        <v>46113.0</v>
      </c>
      <c r="F1242" s="28">
        <v>46171.0</v>
      </c>
      <c r="G1242" s="29"/>
    </row>
    <row r="1243" ht="15.75" customHeight="1">
      <c r="A1243" s="30" t="s">
        <v>4907</v>
      </c>
      <c r="B1243" s="31" t="s">
        <v>2347</v>
      </c>
      <c r="C1243" s="31" t="s">
        <v>1149</v>
      </c>
      <c r="D1243" s="30" t="s">
        <v>3663</v>
      </c>
      <c r="E1243" s="32">
        <v>46113.0</v>
      </c>
      <c r="F1243" s="32">
        <v>46171.0</v>
      </c>
      <c r="G1243" s="33"/>
    </row>
    <row r="1244" ht="15.75" customHeight="1">
      <c r="A1244" s="26" t="s">
        <v>4908</v>
      </c>
      <c r="B1244" s="27" t="s">
        <v>2347</v>
      </c>
      <c r="C1244" s="27" t="s">
        <v>965</v>
      </c>
      <c r="D1244" s="26" t="s">
        <v>3663</v>
      </c>
      <c r="E1244" s="28">
        <v>46113.0</v>
      </c>
      <c r="F1244" s="28">
        <v>46171.0</v>
      </c>
      <c r="G1244" s="29"/>
    </row>
    <row r="1245" ht="15.75" customHeight="1">
      <c r="A1245" s="30" t="s">
        <v>4909</v>
      </c>
      <c r="B1245" s="31" t="s">
        <v>2347</v>
      </c>
      <c r="C1245" s="31" t="s">
        <v>923</v>
      </c>
      <c r="D1245" s="30" t="s">
        <v>3663</v>
      </c>
      <c r="E1245" s="32">
        <v>46113.0</v>
      </c>
      <c r="F1245" s="32">
        <v>46171.0</v>
      </c>
      <c r="G1245" s="33"/>
    </row>
    <row r="1246" ht="15.75" customHeight="1">
      <c r="A1246" s="26" t="s">
        <v>4910</v>
      </c>
      <c r="B1246" s="27" t="s">
        <v>2347</v>
      </c>
      <c r="C1246" s="27" t="s">
        <v>961</v>
      </c>
      <c r="D1246" s="26" t="s">
        <v>3663</v>
      </c>
      <c r="E1246" s="28">
        <v>46113.0</v>
      </c>
      <c r="F1246" s="28">
        <v>46171.0</v>
      </c>
      <c r="G1246" s="29"/>
    </row>
    <row r="1247" ht="15.75" customHeight="1">
      <c r="A1247" s="30" t="s">
        <v>4911</v>
      </c>
      <c r="B1247" s="31" t="s">
        <v>261</v>
      </c>
      <c r="C1247" s="31" t="s">
        <v>930</v>
      </c>
      <c r="D1247" s="30" t="s">
        <v>3663</v>
      </c>
      <c r="E1247" s="32">
        <v>46113.0</v>
      </c>
      <c r="F1247" s="32">
        <v>46171.0</v>
      </c>
      <c r="G1247" s="33"/>
    </row>
    <row r="1248" ht="15.75" customHeight="1">
      <c r="A1248" s="26" t="s">
        <v>4912</v>
      </c>
      <c r="B1248" s="27" t="s">
        <v>261</v>
      </c>
      <c r="C1248" s="27" t="s">
        <v>1354</v>
      </c>
      <c r="D1248" s="26" t="s">
        <v>3663</v>
      </c>
      <c r="E1248" s="28">
        <v>46113.0</v>
      </c>
      <c r="F1248" s="28">
        <v>46171.0</v>
      </c>
      <c r="G1248" s="29"/>
    </row>
    <row r="1249" ht="15.75" customHeight="1">
      <c r="A1249" s="30" t="s">
        <v>4913</v>
      </c>
      <c r="B1249" s="31" t="s">
        <v>261</v>
      </c>
      <c r="C1249" s="31" t="s">
        <v>1304</v>
      </c>
      <c r="D1249" s="30" t="s">
        <v>3663</v>
      </c>
      <c r="E1249" s="32">
        <v>46113.0</v>
      </c>
      <c r="F1249" s="32">
        <v>46171.0</v>
      </c>
      <c r="G1249" s="33"/>
    </row>
    <row r="1250" ht="15.75" customHeight="1">
      <c r="A1250" s="26" t="s">
        <v>4914</v>
      </c>
      <c r="B1250" s="27" t="s">
        <v>261</v>
      </c>
      <c r="C1250" s="27" t="s">
        <v>1306</v>
      </c>
      <c r="D1250" s="26" t="s">
        <v>3663</v>
      </c>
      <c r="E1250" s="28">
        <v>46113.0</v>
      </c>
      <c r="F1250" s="28">
        <v>46171.0</v>
      </c>
      <c r="G1250" s="29"/>
    </row>
    <row r="1251" ht="15.75" customHeight="1">
      <c r="A1251" s="30" t="s">
        <v>4915</v>
      </c>
      <c r="B1251" s="31" t="s">
        <v>261</v>
      </c>
      <c r="C1251" s="31" t="s">
        <v>1308</v>
      </c>
      <c r="D1251" s="30" t="s">
        <v>3663</v>
      </c>
      <c r="E1251" s="32">
        <v>46113.0</v>
      </c>
      <c r="F1251" s="32">
        <v>46171.0</v>
      </c>
      <c r="G1251" s="33"/>
    </row>
    <row r="1252" ht="15.75" customHeight="1">
      <c r="A1252" s="26" t="s">
        <v>4916</v>
      </c>
      <c r="B1252" s="27" t="s">
        <v>261</v>
      </c>
      <c r="C1252" s="27" t="s">
        <v>1310</v>
      </c>
      <c r="D1252" s="26" t="s">
        <v>3663</v>
      </c>
      <c r="E1252" s="28">
        <v>46113.0</v>
      </c>
      <c r="F1252" s="28">
        <v>46171.0</v>
      </c>
      <c r="G1252" s="29"/>
    </row>
    <row r="1253" ht="15.75" customHeight="1">
      <c r="A1253" s="30" t="s">
        <v>4917</v>
      </c>
      <c r="B1253" s="31" t="s">
        <v>261</v>
      </c>
      <c r="C1253" s="31" t="s">
        <v>3656</v>
      </c>
      <c r="D1253" s="30" t="s">
        <v>3663</v>
      </c>
      <c r="E1253" s="32">
        <v>46113.0</v>
      </c>
      <c r="F1253" s="32">
        <v>46171.0</v>
      </c>
      <c r="G1253" s="33"/>
    </row>
    <row r="1254" ht="15.75" customHeight="1">
      <c r="A1254" s="26" t="s">
        <v>4918</v>
      </c>
      <c r="B1254" s="27" t="s">
        <v>261</v>
      </c>
      <c r="C1254" s="27" t="s">
        <v>3657</v>
      </c>
      <c r="D1254" s="26" t="s">
        <v>3663</v>
      </c>
      <c r="E1254" s="28">
        <v>46113.0</v>
      </c>
      <c r="F1254" s="28">
        <v>46171.0</v>
      </c>
      <c r="G1254" s="29"/>
    </row>
    <row r="1255" ht="15.75" customHeight="1">
      <c r="A1255" s="30" t="s">
        <v>4919</v>
      </c>
      <c r="B1255" s="31" t="s">
        <v>261</v>
      </c>
      <c r="C1255" s="31" t="s">
        <v>1218</v>
      </c>
      <c r="D1255" s="30" t="s">
        <v>3663</v>
      </c>
      <c r="E1255" s="32">
        <v>46113.0</v>
      </c>
      <c r="F1255" s="32">
        <v>46171.0</v>
      </c>
      <c r="G1255" s="33"/>
    </row>
    <row r="1256" ht="15.75" customHeight="1">
      <c r="A1256" s="26" t="s">
        <v>4920</v>
      </c>
      <c r="B1256" s="27" t="s">
        <v>261</v>
      </c>
      <c r="C1256" s="27" t="s">
        <v>1351</v>
      </c>
      <c r="D1256" s="26" t="s">
        <v>3663</v>
      </c>
      <c r="E1256" s="28">
        <v>46113.0</v>
      </c>
      <c r="F1256" s="28">
        <v>46171.0</v>
      </c>
      <c r="G1256" s="29"/>
    </row>
    <row r="1257" ht="15.75" customHeight="1">
      <c r="A1257" s="30" t="s">
        <v>4921</v>
      </c>
      <c r="B1257" s="31" t="s">
        <v>261</v>
      </c>
      <c r="C1257" s="31" t="s">
        <v>1349</v>
      </c>
      <c r="D1257" s="30" t="s">
        <v>3663</v>
      </c>
      <c r="E1257" s="32">
        <v>46113.0</v>
      </c>
      <c r="F1257" s="32">
        <v>46171.0</v>
      </c>
      <c r="G1257" s="33"/>
    </row>
    <row r="1258" ht="15.75" customHeight="1">
      <c r="A1258" s="26" t="s">
        <v>4922</v>
      </c>
      <c r="B1258" s="27" t="s">
        <v>261</v>
      </c>
      <c r="C1258" s="27" t="s">
        <v>965</v>
      </c>
      <c r="D1258" s="26" t="s">
        <v>3663</v>
      </c>
      <c r="E1258" s="28">
        <v>46113.0</v>
      </c>
      <c r="F1258" s="28">
        <v>46171.0</v>
      </c>
      <c r="G1258" s="29"/>
    </row>
    <row r="1259" ht="15.75" customHeight="1">
      <c r="A1259" s="30" t="s">
        <v>4923</v>
      </c>
      <c r="B1259" s="31" t="s">
        <v>261</v>
      </c>
      <c r="C1259" s="31" t="s">
        <v>923</v>
      </c>
      <c r="D1259" s="30" t="s">
        <v>3663</v>
      </c>
      <c r="E1259" s="32">
        <v>46113.0</v>
      </c>
      <c r="F1259" s="32">
        <v>46171.0</v>
      </c>
      <c r="G1259" s="33"/>
    </row>
    <row r="1260" ht="15.75" customHeight="1">
      <c r="A1260" s="26" t="s">
        <v>4924</v>
      </c>
      <c r="B1260" s="27" t="s">
        <v>261</v>
      </c>
      <c r="C1260" s="27" t="s">
        <v>955</v>
      </c>
      <c r="D1260" s="26" t="s">
        <v>3663</v>
      </c>
      <c r="E1260" s="28">
        <v>46113.0</v>
      </c>
      <c r="F1260" s="28">
        <v>46171.0</v>
      </c>
      <c r="G1260" s="29"/>
    </row>
    <row r="1261" ht="15.75" customHeight="1">
      <c r="A1261" s="30" t="s">
        <v>4925</v>
      </c>
      <c r="B1261" s="31" t="s">
        <v>262</v>
      </c>
      <c r="C1261" s="31" t="s">
        <v>1240</v>
      </c>
      <c r="D1261" s="30" t="s">
        <v>3663</v>
      </c>
      <c r="E1261" s="32">
        <v>46113.0</v>
      </c>
      <c r="F1261" s="32">
        <v>46171.0</v>
      </c>
      <c r="G1261" s="33"/>
    </row>
    <row r="1262" ht="15.75" customHeight="1">
      <c r="A1262" s="26" t="s">
        <v>4926</v>
      </c>
      <c r="B1262" s="27" t="s">
        <v>262</v>
      </c>
      <c r="C1262" s="27" t="s">
        <v>1242</v>
      </c>
      <c r="D1262" s="26" t="s">
        <v>3663</v>
      </c>
      <c r="E1262" s="28">
        <v>46113.0</v>
      </c>
      <c r="F1262" s="28">
        <v>46171.0</v>
      </c>
      <c r="G1262" s="29"/>
    </row>
    <row r="1263" ht="15.75" customHeight="1">
      <c r="A1263" s="30" t="s">
        <v>4927</v>
      </c>
      <c r="B1263" s="31" t="s">
        <v>262</v>
      </c>
      <c r="C1263" s="31" t="s">
        <v>1244</v>
      </c>
      <c r="D1263" s="30" t="s">
        <v>3663</v>
      </c>
      <c r="E1263" s="32">
        <v>46113.0</v>
      </c>
      <c r="F1263" s="32">
        <v>46171.0</v>
      </c>
      <c r="G1263" s="33"/>
    </row>
    <row r="1264" ht="15.75" customHeight="1">
      <c r="A1264" s="26" t="s">
        <v>4928</v>
      </c>
      <c r="B1264" s="27" t="s">
        <v>262</v>
      </c>
      <c r="C1264" s="27" t="s">
        <v>1246</v>
      </c>
      <c r="D1264" s="26" t="s">
        <v>3663</v>
      </c>
      <c r="E1264" s="28">
        <v>46113.0</v>
      </c>
      <c r="F1264" s="28">
        <v>46171.0</v>
      </c>
      <c r="G1264" s="29"/>
    </row>
    <row r="1265" ht="15.75" customHeight="1">
      <c r="A1265" s="30" t="s">
        <v>4929</v>
      </c>
      <c r="B1265" s="31" t="s">
        <v>262</v>
      </c>
      <c r="C1265" s="31" t="s">
        <v>928</v>
      </c>
      <c r="D1265" s="30" t="s">
        <v>3663</v>
      </c>
      <c r="E1265" s="32">
        <v>46113.0</v>
      </c>
      <c r="F1265" s="32">
        <v>46171.0</v>
      </c>
      <c r="G1265" s="33"/>
    </row>
    <row r="1266" ht="15.75" customHeight="1">
      <c r="A1266" s="26" t="s">
        <v>4930</v>
      </c>
      <c r="B1266" s="27" t="s">
        <v>262</v>
      </c>
      <c r="C1266" s="27" t="s">
        <v>1354</v>
      </c>
      <c r="D1266" s="26" t="s">
        <v>3663</v>
      </c>
      <c r="E1266" s="28">
        <v>46113.0</v>
      </c>
      <c r="F1266" s="28">
        <v>46171.0</v>
      </c>
      <c r="G1266" s="29"/>
    </row>
    <row r="1267" ht="15.75" customHeight="1">
      <c r="A1267" s="30" t="s">
        <v>4931</v>
      </c>
      <c r="B1267" s="31" t="s">
        <v>262</v>
      </c>
      <c r="C1267" s="31" t="s">
        <v>3656</v>
      </c>
      <c r="D1267" s="30" t="s">
        <v>3663</v>
      </c>
      <c r="E1267" s="32">
        <v>46113.0</v>
      </c>
      <c r="F1267" s="32">
        <v>46171.0</v>
      </c>
      <c r="G1267" s="33"/>
    </row>
    <row r="1268" ht="15.75" customHeight="1">
      <c r="A1268" s="26" t="s">
        <v>4932</v>
      </c>
      <c r="B1268" s="27" t="s">
        <v>262</v>
      </c>
      <c r="C1268" s="27" t="s">
        <v>3657</v>
      </c>
      <c r="D1268" s="26" t="s">
        <v>3663</v>
      </c>
      <c r="E1268" s="28">
        <v>46113.0</v>
      </c>
      <c r="F1268" s="28">
        <v>46171.0</v>
      </c>
      <c r="G1268" s="29"/>
    </row>
    <row r="1269" ht="15.75" customHeight="1">
      <c r="A1269" s="30" t="s">
        <v>4933</v>
      </c>
      <c r="B1269" s="31" t="s">
        <v>262</v>
      </c>
      <c r="C1269" s="31" t="s">
        <v>3647</v>
      </c>
      <c r="D1269" s="30" t="s">
        <v>3663</v>
      </c>
      <c r="E1269" s="32">
        <v>46113.0</v>
      </c>
      <c r="F1269" s="32">
        <v>46171.0</v>
      </c>
      <c r="G1269" s="33"/>
    </row>
    <row r="1270" ht="15.75" customHeight="1">
      <c r="A1270" s="26" t="s">
        <v>4934</v>
      </c>
      <c r="B1270" s="27" t="s">
        <v>262</v>
      </c>
      <c r="C1270" s="27" t="s">
        <v>952</v>
      </c>
      <c r="D1270" s="26" t="s">
        <v>3663</v>
      </c>
      <c r="E1270" s="28">
        <v>46113.0</v>
      </c>
      <c r="F1270" s="28">
        <v>46171.0</v>
      </c>
      <c r="G1270" s="29"/>
    </row>
    <row r="1271" ht="15.75" customHeight="1">
      <c r="A1271" s="30" t="s">
        <v>4935</v>
      </c>
      <c r="B1271" s="31" t="s">
        <v>262</v>
      </c>
      <c r="C1271" s="31" t="s">
        <v>1216</v>
      </c>
      <c r="D1271" s="30" t="s">
        <v>3663</v>
      </c>
      <c r="E1271" s="32">
        <v>46113.0</v>
      </c>
      <c r="F1271" s="32">
        <v>46171.0</v>
      </c>
      <c r="G1271" s="33"/>
    </row>
    <row r="1272" ht="15.75" customHeight="1">
      <c r="A1272" s="26" t="s">
        <v>4936</v>
      </c>
      <c r="B1272" s="27" t="s">
        <v>262</v>
      </c>
      <c r="C1272" s="27" t="s">
        <v>1218</v>
      </c>
      <c r="D1272" s="26" t="s">
        <v>3663</v>
      </c>
      <c r="E1272" s="28">
        <v>46113.0</v>
      </c>
      <c r="F1272" s="28">
        <v>46171.0</v>
      </c>
      <c r="G1272" s="29"/>
    </row>
    <row r="1273" ht="15.75" customHeight="1">
      <c r="A1273" s="30" t="s">
        <v>4937</v>
      </c>
      <c r="B1273" s="31" t="s">
        <v>262</v>
      </c>
      <c r="C1273" s="31" t="s">
        <v>968</v>
      </c>
      <c r="D1273" s="30" t="s">
        <v>3663</v>
      </c>
      <c r="E1273" s="32">
        <v>46113.0</v>
      </c>
      <c r="F1273" s="32">
        <v>46171.0</v>
      </c>
      <c r="G1273" s="33"/>
    </row>
    <row r="1274" ht="15.75" customHeight="1">
      <c r="A1274" s="26" t="s">
        <v>4938</v>
      </c>
      <c r="B1274" s="27" t="s">
        <v>262</v>
      </c>
      <c r="C1274" s="27" t="s">
        <v>923</v>
      </c>
      <c r="D1274" s="26" t="s">
        <v>3663</v>
      </c>
      <c r="E1274" s="28">
        <v>46113.0</v>
      </c>
      <c r="F1274" s="28">
        <v>46171.0</v>
      </c>
      <c r="G1274" s="29"/>
    </row>
    <row r="1275" ht="15.75" customHeight="1">
      <c r="A1275" s="30" t="s">
        <v>4939</v>
      </c>
      <c r="B1275" s="31" t="s">
        <v>264</v>
      </c>
      <c r="C1275" s="31" t="s">
        <v>1240</v>
      </c>
      <c r="D1275" s="31" t="s">
        <v>3663</v>
      </c>
      <c r="E1275" s="32">
        <v>46113.0</v>
      </c>
      <c r="F1275" s="32">
        <v>46171.0</v>
      </c>
      <c r="G1275" s="33"/>
    </row>
    <row r="1276" ht="15.75" customHeight="1">
      <c r="A1276" s="26" t="s">
        <v>4940</v>
      </c>
      <c r="B1276" s="27" t="s">
        <v>264</v>
      </c>
      <c r="C1276" s="27" t="s">
        <v>1242</v>
      </c>
      <c r="D1276" s="26" t="s">
        <v>3663</v>
      </c>
      <c r="E1276" s="28">
        <v>46113.0</v>
      </c>
      <c r="F1276" s="28">
        <v>46171.0</v>
      </c>
      <c r="G1276" s="29"/>
    </row>
    <row r="1277" ht="15.75" customHeight="1">
      <c r="A1277" s="30" t="s">
        <v>4941</v>
      </c>
      <c r="B1277" s="31" t="s">
        <v>264</v>
      </c>
      <c r="C1277" s="31" t="s">
        <v>1244</v>
      </c>
      <c r="D1277" s="30" t="s">
        <v>3663</v>
      </c>
      <c r="E1277" s="32">
        <v>46113.0</v>
      </c>
      <c r="F1277" s="32">
        <v>46171.0</v>
      </c>
      <c r="G1277" s="33"/>
    </row>
    <row r="1278" ht="15.75" customHeight="1">
      <c r="A1278" s="26" t="s">
        <v>4942</v>
      </c>
      <c r="B1278" s="27" t="s">
        <v>264</v>
      </c>
      <c r="C1278" s="27" t="s">
        <v>1246</v>
      </c>
      <c r="D1278" s="26" t="s">
        <v>3663</v>
      </c>
      <c r="E1278" s="28">
        <v>46113.0</v>
      </c>
      <c r="F1278" s="28">
        <v>46171.0</v>
      </c>
      <c r="G1278" s="29"/>
    </row>
    <row r="1279" ht="15.75" customHeight="1">
      <c r="A1279" s="30" t="s">
        <v>4943</v>
      </c>
      <c r="B1279" s="31" t="s">
        <v>264</v>
      </c>
      <c r="C1279" s="31" t="s">
        <v>934</v>
      </c>
      <c r="D1279" s="30" t="s">
        <v>3663</v>
      </c>
      <c r="E1279" s="32">
        <v>46113.0</v>
      </c>
      <c r="F1279" s="32">
        <v>46171.0</v>
      </c>
      <c r="G1279" s="33"/>
    </row>
    <row r="1280" ht="15.75" customHeight="1">
      <c r="A1280" s="26" t="s">
        <v>4944</v>
      </c>
      <c r="B1280" s="27" t="s">
        <v>264</v>
      </c>
      <c r="C1280" s="27" t="s">
        <v>1354</v>
      </c>
      <c r="D1280" s="26" t="s">
        <v>3663</v>
      </c>
      <c r="E1280" s="28">
        <v>46113.0</v>
      </c>
      <c r="F1280" s="28">
        <v>46171.0</v>
      </c>
      <c r="G1280" s="29"/>
    </row>
    <row r="1281" ht="15.75" customHeight="1">
      <c r="A1281" s="30" t="s">
        <v>4945</v>
      </c>
      <c r="B1281" s="31" t="s">
        <v>264</v>
      </c>
      <c r="C1281" s="31" t="s">
        <v>3656</v>
      </c>
      <c r="D1281" s="30" t="s">
        <v>3663</v>
      </c>
      <c r="E1281" s="32">
        <v>46113.0</v>
      </c>
      <c r="F1281" s="32">
        <v>46171.0</v>
      </c>
      <c r="G1281" s="33"/>
    </row>
    <row r="1282" ht="15.75" customHeight="1">
      <c r="A1282" s="26" t="s">
        <v>4946</v>
      </c>
      <c r="B1282" s="27" t="s">
        <v>264</v>
      </c>
      <c r="C1282" s="27" t="s">
        <v>3657</v>
      </c>
      <c r="D1282" s="26" t="s">
        <v>3663</v>
      </c>
      <c r="E1282" s="28">
        <v>46113.0</v>
      </c>
      <c r="F1282" s="28">
        <v>46171.0</v>
      </c>
      <c r="G1282" s="29"/>
    </row>
    <row r="1283" ht="15.75" customHeight="1">
      <c r="A1283" s="30" t="s">
        <v>4947</v>
      </c>
      <c r="B1283" s="31" t="s">
        <v>264</v>
      </c>
      <c r="C1283" s="31" t="s">
        <v>1218</v>
      </c>
      <c r="D1283" s="30" t="s">
        <v>3663</v>
      </c>
      <c r="E1283" s="32">
        <v>46113.0</v>
      </c>
      <c r="F1283" s="32">
        <v>46171.0</v>
      </c>
      <c r="G1283" s="33"/>
    </row>
    <row r="1284" ht="15.75" customHeight="1">
      <c r="A1284" s="26" t="s">
        <v>4948</v>
      </c>
      <c r="B1284" s="27" t="s">
        <v>264</v>
      </c>
      <c r="C1284" s="27" t="s">
        <v>1271</v>
      </c>
      <c r="D1284" s="26" t="s">
        <v>3663</v>
      </c>
      <c r="E1284" s="28">
        <v>46113.0</v>
      </c>
      <c r="F1284" s="28">
        <v>46171.0</v>
      </c>
      <c r="G1284" s="29"/>
    </row>
    <row r="1285" ht="15.75" customHeight="1">
      <c r="A1285" s="30" t="s">
        <v>4949</v>
      </c>
      <c r="B1285" s="31" t="s">
        <v>264</v>
      </c>
      <c r="C1285" s="31" t="s">
        <v>1351</v>
      </c>
      <c r="D1285" s="30" t="s">
        <v>3663</v>
      </c>
      <c r="E1285" s="32">
        <v>46113.0</v>
      </c>
      <c r="F1285" s="32">
        <v>46171.0</v>
      </c>
      <c r="G1285" s="33"/>
    </row>
    <row r="1286" ht="15.75" customHeight="1">
      <c r="A1286" s="26" t="s">
        <v>4950</v>
      </c>
      <c r="B1286" s="27" t="s">
        <v>264</v>
      </c>
      <c r="C1286" s="27" t="s">
        <v>1349</v>
      </c>
      <c r="D1286" s="26" t="s">
        <v>3663</v>
      </c>
      <c r="E1286" s="28">
        <v>46113.0</v>
      </c>
      <c r="F1286" s="28">
        <v>46171.0</v>
      </c>
      <c r="G1286" s="29"/>
    </row>
    <row r="1287" ht="15.75" customHeight="1">
      <c r="A1287" s="30" t="s">
        <v>4951</v>
      </c>
      <c r="B1287" s="31" t="s">
        <v>264</v>
      </c>
      <c r="C1287" s="31" t="s">
        <v>968</v>
      </c>
      <c r="D1287" s="30" t="s">
        <v>3663</v>
      </c>
      <c r="E1287" s="32">
        <v>46113.0</v>
      </c>
      <c r="F1287" s="32">
        <v>46171.0</v>
      </c>
      <c r="G1287" s="33"/>
    </row>
    <row r="1288" ht="15.75" customHeight="1">
      <c r="A1288" s="26" t="s">
        <v>4952</v>
      </c>
      <c r="B1288" s="27" t="s">
        <v>264</v>
      </c>
      <c r="C1288" s="27" t="s">
        <v>923</v>
      </c>
      <c r="D1288" s="26" t="s">
        <v>3663</v>
      </c>
      <c r="E1288" s="28">
        <v>46113.0</v>
      </c>
      <c r="F1288" s="28">
        <v>46171.0</v>
      </c>
      <c r="G1288" s="29"/>
    </row>
    <row r="1289" ht="15.75" customHeight="1">
      <c r="A1289" s="30" t="s">
        <v>4953</v>
      </c>
      <c r="B1289" s="31" t="s">
        <v>265</v>
      </c>
      <c r="C1289" s="31" t="s">
        <v>1240</v>
      </c>
      <c r="D1289" s="30" t="s">
        <v>3663</v>
      </c>
      <c r="E1289" s="32">
        <v>46113.0</v>
      </c>
      <c r="F1289" s="32">
        <v>46171.0</v>
      </c>
      <c r="G1289" s="33"/>
    </row>
    <row r="1290" ht="15.75" customHeight="1">
      <c r="A1290" s="26" t="s">
        <v>4954</v>
      </c>
      <c r="B1290" s="27" t="s">
        <v>265</v>
      </c>
      <c r="C1290" s="27" t="s">
        <v>1242</v>
      </c>
      <c r="D1290" s="27" t="s">
        <v>3663</v>
      </c>
      <c r="E1290" s="28">
        <v>46113.0</v>
      </c>
      <c r="F1290" s="28">
        <v>46171.0</v>
      </c>
      <c r="G1290" s="29"/>
    </row>
    <row r="1291" ht="15.75" customHeight="1">
      <c r="A1291" s="30" t="s">
        <v>4955</v>
      </c>
      <c r="B1291" s="31" t="s">
        <v>265</v>
      </c>
      <c r="C1291" s="31" t="s">
        <v>1244</v>
      </c>
      <c r="D1291" s="31" t="s">
        <v>3663</v>
      </c>
      <c r="E1291" s="32">
        <v>46113.0</v>
      </c>
      <c r="F1291" s="32">
        <v>46171.0</v>
      </c>
      <c r="G1291" s="33"/>
    </row>
    <row r="1292" ht="15.75" customHeight="1">
      <c r="A1292" s="26" t="s">
        <v>4956</v>
      </c>
      <c r="B1292" s="27" t="s">
        <v>265</v>
      </c>
      <c r="C1292" s="27" t="s">
        <v>1246</v>
      </c>
      <c r="D1292" s="27" t="s">
        <v>3663</v>
      </c>
      <c r="E1292" s="28">
        <v>46113.0</v>
      </c>
      <c r="F1292" s="28">
        <v>46171.0</v>
      </c>
      <c r="G1292" s="29"/>
    </row>
    <row r="1293" ht="15.75" customHeight="1">
      <c r="A1293" s="30" t="s">
        <v>4957</v>
      </c>
      <c r="B1293" s="31" t="s">
        <v>265</v>
      </c>
      <c r="C1293" s="31" t="s">
        <v>3654</v>
      </c>
      <c r="D1293" s="30" t="s">
        <v>3663</v>
      </c>
      <c r="E1293" s="32">
        <v>46113.0</v>
      </c>
      <c r="F1293" s="32">
        <v>46171.0</v>
      </c>
      <c r="G1293" s="33"/>
    </row>
    <row r="1294" ht="15.75" customHeight="1">
      <c r="A1294" s="26" t="s">
        <v>4958</v>
      </c>
      <c r="B1294" s="27" t="s">
        <v>265</v>
      </c>
      <c r="C1294" s="27" t="s">
        <v>3655</v>
      </c>
      <c r="D1294" s="26" t="s">
        <v>3663</v>
      </c>
      <c r="E1294" s="28">
        <v>46113.0</v>
      </c>
      <c r="F1294" s="28">
        <v>46171.0</v>
      </c>
      <c r="G1294" s="29"/>
    </row>
    <row r="1295" ht="15.75" customHeight="1">
      <c r="A1295" s="30" t="s">
        <v>4959</v>
      </c>
      <c r="B1295" s="31" t="s">
        <v>265</v>
      </c>
      <c r="C1295" s="31" t="s">
        <v>934</v>
      </c>
      <c r="D1295" s="31" t="s">
        <v>3663</v>
      </c>
      <c r="E1295" s="32">
        <v>46113.0</v>
      </c>
      <c r="F1295" s="32">
        <v>46171.0</v>
      </c>
      <c r="G1295" s="33"/>
    </row>
    <row r="1296" ht="15.75" customHeight="1">
      <c r="A1296" s="26" t="s">
        <v>4960</v>
      </c>
      <c r="B1296" s="27" t="s">
        <v>265</v>
      </c>
      <c r="C1296" s="27" t="s">
        <v>1354</v>
      </c>
      <c r="D1296" s="26" t="s">
        <v>3663</v>
      </c>
      <c r="E1296" s="28">
        <v>46113.0</v>
      </c>
      <c r="F1296" s="28">
        <v>46171.0</v>
      </c>
      <c r="G1296" s="29"/>
    </row>
    <row r="1297" ht="15.75" customHeight="1">
      <c r="A1297" s="30" t="s">
        <v>4961</v>
      </c>
      <c r="B1297" s="31" t="s">
        <v>265</v>
      </c>
      <c r="C1297" s="31" t="s">
        <v>1218</v>
      </c>
      <c r="D1297" s="30" t="s">
        <v>3663</v>
      </c>
      <c r="E1297" s="32">
        <v>46113.0</v>
      </c>
      <c r="F1297" s="32">
        <v>46171.0</v>
      </c>
      <c r="G1297" s="33"/>
    </row>
    <row r="1298" ht="15.75" customHeight="1">
      <c r="A1298" s="26" t="s">
        <v>4962</v>
      </c>
      <c r="B1298" s="27" t="s">
        <v>265</v>
      </c>
      <c r="C1298" s="27" t="s">
        <v>1351</v>
      </c>
      <c r="D1298" s="26" t="s">
        <v>3663</v>
      </c>
      <c r="E1298" s="28">
        <v>46113.0</v>
      </c>
      <c r="F1298" s="28">
        <v>46171.0</v>
      </c>
      <c r="G1298" s="29"/>
    </row>
    <row r="1299" ht="15.75" customHeight="1">
      <c r="A1299" s="30" t="s">
        <v>4963</v>
      </c>
      <c r="B1299" s="31" t="s">
        <v>265</v>
      </c>
      <c r="C1299" s="31" t="s">
        <v>1349</v>
      </c>
      <c r="D1299" s="30" t="s">
        <v>3663</v>
      </c>
      <c r="E1299" s="32">
        <v>46113.0</v>
      </c>
      <c r="F1299" s="32">
        <v>46171.0</v>
      </c>
      <c r="G1299" s="33"/>
    </row>
    <row r="1300" ht="15.75" customHeight="1">
      <c r="A1300" s="26" t="s">
        <v>4964</v>
      </c>
      <c r="B1300" s="27" t="s">
        <v>265</v>
      </c>
      <c r="C1300" s="27" t="s">
        <v>968</v>
      </c>
      <c r="D1300" s="26" t="s">
        <v>3663</v>
      </c>
      <c r="E1300" s="28">
        <v>46113.0</v>
      </c>
      <c r="F1300" s="28">
        <v>46171.0</v>
      </c>
      <c r="G1300" s="29"/>
    </row>
    <row r="1301" ht="15.75" customHeight="1">
      <c r="A1301" s="30" t="s">
        <v>4965</v>
      </c>
      <c r="B1301" s="31" t="s">
        <v>265</v>
      </c>
      <c r="C1301" s="31" t="s">
        <v>923</v>
      </c>
      <c r="D1301" s="31" t="s">
        <v>3663</v>
      </c>
      <c r="E1301" s="32">
        <v>46113.0</v>
      </c>
      <c r="F1301" s="32">
        <v>46171.0</v>
      </c>
      <c r="G1301" s="33"/>
    </row>
    <row r="1302" ht="15.75" customHeight="1">
      <c r="A1302" s="26" t="s">
        <v>4966</v>
      </c>
      <c r="B1302" s="27" t="s">
        <v>265</v>
      </c>
      <c r="C1302" s="27" t="s">
        <v>955</v>
      </c>
      <c r="D1302" s="26" t="s">
        <v>3663</v>
      </c>
      <c r="E1302" s="28">
        <v>46113.0</v>
      </c>
      <c r="F1302" s="28">
        <v>46171.0</v>
      </c>
      <c r="G1302" s="29"/>
    </row>
    <row r="1303" ht="15.75" customHeight="1">
      <c r="A1303" s="30" t="s">
        <v>4967</v>
      </c>
      <c r="B1303" s="31" t="s">
        <v>266</v>
      </c>
      <c r="C1303" s="31" t="s">
        <v>1240</v>
      </c>
      <c r="D1303" s="30" t="s">
        <v>3663</v>
      </c>
      <c r="E1303" s="32">
        <v>46113.0</v>
      </c>
      <c r="F1303" s="32">
        <v>46171.0</v>
      </c>
      <c r="G1303" s="33"/>
    </row>
    <row r="1304" ht="15.75" customHeight="1">
      <c r="A1304" s="26" t="s">
        <v>4968</v>
      </c>
      <c r="B1304" s="27" t="s">
        <v>266</v>
      </c>
      <c r="C1304" s="27" t="s">
        <v>1242</v>
      </c>
      <c r="D1304" s="27" t="s">
        <v>3663</v>
      </c>
      <c r="E1304" s="28">
        <v>46113.0</v>
      </c>
      <c r="F1304" s="28">
        <v>46171.0</v>
      </c>
      <c r="G1304" s="29"/>
    </row>
    <row r="1305" ht="15.75" customHeight="1">
      <c r="A1305" s="30" t="s">
        <v>4969</v>
      </c>
      <c r="B1305" s="31" t="s">
        <v>266</v>
      </c>
      <c r="C1305" s="31" t="s">
        <v>1244</v>
      </c>
      <c r="D1305" s="31" t="s">
        <v>3663</v>
      </c>
      <c r="E1305" s="32">
        <v>46113.0</v>
      </c>
      <c r="F1305" s="32">
        <v>46171.0</v>
      </c>
      <c r="G1305" s="33"/>
    </row>
    <row r="1306" ht="15.75" customHeight="1">
      <c r="A1306" s="26" t="s">
        <v>4970</v>
      </c>
      <c r="B1306" s="27" t="s">
        <v>266</v>
      </c>
      <c r="C1306" s="27" t="s">
        <v>1246</v>
      </c>
      <c r="D1306" s="27" t="s">
        <v>3663</v>
      </c>
      <c r="E1306" s="28">
        <v>46113.0</v>
      </c>
      <c r="F1306" s="28">
        <v>46171.0</v>
      </c>
      <c r="G1306" s="29"/>
    </row>
    <row r="1307" ht="15.75" customHeight="1">
      <c r="A1307" s="30" t="s">
        <v>4971</v>
      </c>
      <c r="B1307" s="31" t="s">
        <v>266</v>
      </c>
      <c r="C1307" s="31" t="s">
        <v>934</v>
      </c>
      <c r="D1307" s="31" t="s">
        <v>3663</v>
      </c>
      <c r="E1307" s="32">
        <v>46113.0</v>
      </c>
      <c r="F1307" s="32">
        <v>46171.0</v>
      </c>
      <c r="G1307" s="33"/>
    </row>
    <row r="1308" ht="15.75" customHeight="1">
      <c r="A1308" s="26" t="s">
        <v>4972</v>
      </c>
      <c r="B1308" s="27" t="s">
        <v>266</v>
      </c>
      <c r="C1308" s="27" t="s">
        <v>1354</v>
      </c>
      <c r="D1308" s="26" t="s">
        <v>3663</v>
      </c>
      <c r="E1308" s="28">
        <v>46113.0</v>
      </c>
      <c r="F1308" s="28">
        <v>46171.0</v>
      </c>
      <c r="G1308" s="29"/>
    </row>
    <row r="1309" ht="15.75" customHeight="1">
      <c r="A1309" s="30" t="s">
        <v>4973</v>
      </c>
      <c r="B1309" s="31" t="s">
        <v>266</v>
      </c>
      <c r="C1309" s="31" t="s">
        <v>1159</v>
      </c>
      <c r="D1309" s="30" t="s">
        <v>3663</v>
      </c>
      <c r="E1309" s="32">
        <v>46113.0</v>
      </c>
      <c r="F1309" s="32">
        <v>46171.0</v>
      </c>
      <c r="G1309" s="33"/>
    </row>
    <row r="1310" ht="15.75" customHeight="1">
      <c r="A1310" s="26" t="s">
        <v>4974</v>
      </c>
      <c r="B1310" s="27" t="s">
        <v>266</v>
      </c>
      <c r="C1310" s="27" t="s">
        <v>3656</v>
      </c>
      <c r="D1310" s="26" t="s">
        <v>3663</v>
      </c>
      <c r="E1310" s="28">
        <v>46113.0</v>
      </c>
      <c r="F1310" s="28">
        <v>46171.0</v>
      </c>
      <c r="G1310" s="29"/>
    </row>
    <row r="1311" ht="15.75" customHeight="1">
      <c r="A1311" s="30" t="s">
        <v>4975</v>
      </c>
      <c r="B1311" s="31" t="s">
        <v>266</v>
      </c>
      <c r="C1311" s="31" t="s">
        <v>3657</v>
      </c>
      <c r="D1311" s="30" t="s">
        <v>3663</v>
      </c>
      <c r="E1311" s="32">
        <v>46113.0</v>
      </c>
      <c r="F1311" s="32">
        <v>46171.0</v>
      </c>
      <c r="G1311" s="33"/>
    </row>
    <row r="1312" ht="15.75" customHeight="1">
      <c r="A1312" s="26" t="s">
        <v>4976</v>
      </c>
      <c r="B1312" s="27" t="s">
        <v>266</v>
      </c>
      <c r="C1312" s="27" t="s">
        <v>1351</v>
      </c>
      <c r="D1312" s="26" t="s">
        <v>3663</v>
      </c>
      <c r="E1312" s="28">
        <v>46113.0</v>
      </c>
      <c r="F1312" s="28">
        <v>46171.0</v>
      </c>
      <c r="G1312" s="29"/>
    </row>
    <row r="1313" ht="15.75" customHeight="1">
      <c r="A1313" s="30" t="s">
        <v>4977</v>
      </c>
      <c r="B1313" s="31" t="s">
        <v>266</v>
      </c>
      <c r="C1313" s="31" t="s">
        <v>1349</v>
      </c>
      <c r="D1313" s="30" t="s">
        <v>3663</v>
      </c>
      <c r="E1313" s="32">
        <v>46113.0</v>
      </c>
      <c r="F1313" s="32">
        <v>46171.0</v>
      </c>
      <c r="G1313" s="33"/>
    </row>
    <row r="1314" ht="15.75" customHeight="1">
      <c r="A1314" s="26" t="s">
        <v>4978</v>
      </c>
      <c r="B1314" s="27" t="s">
        <v>266</v>
      </c>
      <c r="C1314" s="27" t="s">
        <v>965</v>
      </c>
      <c r="D1314" s="26" t="s">
        <v>3663</v>
      </c>
      <c r="E1314" s="28">
        <v>46113.0</v>
      </c>
      <c r="F1314" s="28">
        <v>46171.0</v>
      </c>
      <c r="G1314" s="29"/>
    </row>
    <row r="1315" ht="15.75" customHeight="1">
      <c r="A1315" s="30" t="s">
        <v>4979</v>
      </c>
      <c r="B1315" s="31" t="s">
        <v>266</v>
      </c>
      <c r="C1315" s="31" t="s">
        <v>923</v>
      </c>
      <c r="D1315" s="31" t="s">
        <v>3663</v>
      </c>
      <c r="E1315" s="32">
        <v>46113.0</v>
      </c>
      <c r="F1315" s="32">
        <v>46171.0</v>
      </c>
      <c r="G1315" s="33"/>
    </row>
    <row r="1316" ht="15.75" customHeight="1">
      <c r="A1316" s="26" t="s">
        <v>4980</v>
      </c>
      <c r="B1316" s="27" t="s">
        <v>266</v>
      </c>
      <c r="C1316" s="27" t="s">
        <v>958</v>
      </c>
      <c r="D1316" s="26" t="s">
        <v>3663</v>
      </c>
      <c r="E1316" s="28">
        <v>46113.0</v>
      </c>
      <c r="F1316" s="28">
        <v>46171.0</v>
      </c>
      <c r="G1316" s="29"/>
    </row>
    <row r="1317" ht="15.75" customHeight="1">
      <c r="A1317" s="30" t="s">
        <v>4981</v>
      </c>
      <c r="B1317" s="31" t="s">
        <v>267</v>
      </c>
      <c r="C1317" s="31" t="s">
        <v>1240</v>
      </c>
      <c r="D1317" s="30" t="s">
        <v>3663</v>
      </c>
      <c r="E1317" s="32">
        <v>46113.0</v>
      </c>
      <c r="F1317" s="32">
        <v>46171.0</v>
      </c>
      <c r="G1317" s="33"/>
    </row>
    <row r="1318" ht="15.75" customHeight="1">
      <c r="A1318" s="26" t="s">
        <v>4982</v>
      </c>
      <c r="B1318" s="27" t="s">
        <v>267</v>
      </c>
      <c r="C1318" s="27" t="s">
        <v>1242</v>
      </c>
      <c r="D1318" s="26" t="s">
        <v>3663</v>
      </c>
      <c r="E1318" s="28">
        <v>46113.0</v>
      </c>
      <c r="F1318" s="28">
        <v>46171.0</v>
      </c>
      <c r="G1318" s="29"/>
    </row>
    <row r="1319" ht="15.75" customHeight="1">
      <c r="A1319" s="30" t="s">
        <v>4983</v>
      </c>
      <c r="B1319" s="31" t="s">
        <v>267</v>
      </c>
      <c r="C1319" s="31" t="s">
        <v>1244</v>
      </c>
      <c r="D1319" s="30" t="s">
        <v>3663</v>
      </c>
      <c r="E1319" s="32">
        <v>46113.0</v>
      </c>
      <c r="F1319" s="32">
        <v>46171.0</v>
      </c>
      <c r="G1319" s="33"/>
    </row>
    <row r="1320" ht="15.75" customHeight="1">
      <c r="A1320" s="26" t="s">
        <v>4984</v>
      </c>
      <c r="B1320" s="27" t="s">
        <v>267</v>
      </c>
      <c r="C1320" s="27" t="s">
        <v>1246</v>
      </c>
      <c r="D1320" s="26" t="s">
        <v>3663</v>
      </c>
      <c r="E1320" s="28">
        <v>46113.0</v>
      </c>
      <c r="F1320" s="28">
        <v>46171.0</v>
      </c>
      <c r="G1320" s="29"/>
    </row>
    <row r="1321" ht="15.75" customHeight="1">
      <c r="A1321" s="30" t="s">
        <v>4985</v>
      </c>
      <c r="B1321" s="31" t="s">
        <v>267</v>
      </c>
      <c r="C1321" s="31" t="s">
        <v>3654</v>
      </c>
      <c r="D1321" s="30" t="s">
        <v>3663</v>
      </c>
      <c r="E1321" s="32">
        <v>46113.0</v>
      </c>
      <c r="F1321" s="32">
        <v>46171.0</v>
      </c>
      <c r="G1321" s="33"/>
    </row>
    <row r="1322" ht="15.75" customHeight="1">
      <c r="A1322" s="26" t="s">
        <v>4986</v>
      </c>
      <c r="B1322" s="27" t="s">
        <v>267</v>
      </c>
      <c r="C1322" s="27" t="s">
        <v>3655</v>
      </c>
      <c r="D1322" s="26" t="s">
        <v>3663</v>
      </c>
      <c r="E1322" s="28">
        <v>46113.0</v>
      </c>
      <c r="F1322" s="28">
        <v>46171.0</v>
      </c>
      <c r="G1322" s="29"/>
    </row>
    <row r="1323" ht="15.75" customHeight="1">
      <c r="A1323" s="30" t="s">
        <v>4987</v>
      </c>
      <c r="B1323" s="31" t="s">
        <v>267</v>
      </c>
      <c r="C1323" s="31" t="s">
        <v>934</v>
      </c>
      <c r="D1323" s="30" t="s">
        <v>3663</v>
      </c>
      <c r="E1323" s="32">
        <v>46113.0</v>
      </c>
      <c r="F1323" s="32">
        <v>46171.0</v>
      </c>
      <c r="G1323" s="33"/>
    </row>
    <row r="1324" ht="15.75" customHeight="1">
      <c r="A1324" s="26" t="s">
        <v>4988</v>
      </c>
      <c r="B1324" s="27" t="s">
        <v>267</v>
      </c>
      <c r="C1324" s="27" t="s">
        <v>1354</v>
      </c>
      <c r="D1324" s="26" t="s">
        <v>3663</v>
      </c>
      <c r="E1324" s="28">
        <v>46113.0</v>
      </c>
      <c r="F1324" s="28">
        <v>46171.0</v>
      </c>
      <c r="G1324" s="29"/>
    </row>
    <row r="1325" ht="15.75" customHeight="1">
      <c r="A1325" s="30" t="s">
        <v>4989</v>
      </c>
      <c r="B1325" s="31" t="s">
        <v>267</v>
      </c>
      <c r="C1325" s="31" t="s">
        <v>1159</v>
      </c>
      <c r="D1325" s="30" t="s">
        <v>3663</v>
      </c>
      <c r="E1325" s="32">
        <v>46113.0</v>
      </c>
      <c r="F1325" s="32">
        <v>46171.0</v>
      </c>
      <c r="G1325" s="33"/>
    </row>
    <row r="1326" ht="15.75" customHeight="1">
      <c r="A1326" s="26" t="s">
        <v>4990</v>
      </c>
      <c r="B1326" s="27" t="s">
        <v>267</v>
      </c>
      <c r="C1326" s="27" t="s">
        <v>1216</v>
      </c>
      <c r="D1326" s="26" t="s">
        <v>3663</v>
      </c>
      <c r="E1326" s="28">
        <v>46113.0</v>
      </c>
      <c r="F1326" s="28">
        <v>46171.0</v>
      </c>
      <c r="G1326" s="29"/>
    </row>
    <row r="1327" ht="15.75" customHeight="1">
      <c r="A1327" s="30" t="s">
        <v>4991</v>
      </c>
      <c r="B1327" s="31" t="s">
        <v>267</v>
      </c>
      <c r="C1327" s="31" t="s">
        <v>1351</v>
      </c>
      <c r="D1327" s="30" t="s">
        <v>3663</v>
      </c>
      <c r="E1327" s="32">
        <v>46113.0</v>
      </c>
      <c r="F1327" s="32">
        <v>46171.0</v>
      </c>
      <c r="G1327" s="33"/>
    </row>
    <row r="1328" ht="15.75" customHeight="1">
      <c r="A1328" s="26" t="s">
        <v>4992</v>
      </c>
      <c r="B1328" s="27" t="s">
        <v>267</v>
      </c>
      <c r="C1328" s="27" t="s">
        <v>1349</v>
      </c>
      <c r="D1328" s="26" t="s">
        <v>3663</v>
      </c>
      <c r="E1328" s="28">
        <v>46113.0</v>
      </c>
      <c r="F1328" s="28">
        <v>46171.0</v>
      </c>
      <c r="G1328" s="29"/>
    </row>
    <row r="1329" ht="15.75" customHeight="1">
      <c r="A1329" s="30" t="s">
        <v>4993</v>
      </c>
      <c r="B1329" s="31" t="s">
        <v>267</v>
      </c>
      <c r="C1329" s="31" t="s">
        <v>965</v>
      </c>
      <c r="D1329" s="30" t="s">
        <v>3663</v>
      </c>
      <c r="E1329" s="32">
        <v>46113.0</v>
      </c>
      <c r="F1329" s="32">
        <v>46171.0</v>
      </c>
      <c r="G1329" s="33"/>
    </row>
    <row r="1330" ht="15.75" customHeight="1">
      <c r="A1330" s="26" t="s">
        <v>4994</v>
      </c>
      <c r="B1330" s="27" t="s">
        <v>267</v>
      </c>
      <c r="C1330" s="27" t="s">
        <v>923</v>
      </c>
      <c r="D1330" s="26" t="s">
        <v>3663</v>
      </c>
      <c r="E1330" s="28">
        <v>46113.0</v>
      </c>
      <c r="F1330" s="28">
        <v>46171.0</v>
      </c>
      <c r="G1330" s="29"/>
    </row>
    <row r="1331" ht="15.75" customHeight="1">
      <c r="A1331" s="30" t="s">
        <v>4995</v>
      </c>
      <c r="B1331" s="31" t="s">
        <v>1295</v>
      </c>
      <c r="C1331" s="31" t="s">
        <v>1240</v>
      </c>
      <c r="D1331" s="30" t="s">
        <v>3663</v>
      </c>
      <c r="E1331" s="32">
        <v>46113.0</v>
      </c>
      <c r="F1331" s="32">
        <v>46171.0</v>
      </c>
      <c r="G1331" s="33"/>
    </row>
    <row r="1332" ht="15.75" customHeight="1">
      <c r="A1332" s="26" t="s">
        <v>4996</v>
      </c>
      <c r="B1332" s="27" t="s">
        <v>1295</v>
      </c>
      <c r="C1332" s="27" t="s">
        <v>1242</v>
      </c>
      <c r="D1332" s="26" t="s">
        <v>3663</v>
      </c>
      <c r="E1332" s="28">
        <v>46113.0</v>
      </c>
      <c r="F1332" s="28">
        <v>46171.0</v>
      </c>
      <c r="G1332" s="29"/>
    </row>
    <row r="1333" ht="15.75" customHeight="1">
      <c r="A1333" s="30" t="s">
        <v>4997</v>
      </c>
      <c r="B1333" s="31" t="s">
        <v>1295</v>
      </c>
      <c r="C1333" s="31" t="s">
        <v>1244</v>
      </c>
      <c r="D1333" s="30" t="s">
        <v>3663</v>
      </c>
      <c r="E1333" s="32">
        <v>46113.0</v>
      </c>
      <c r="F1333" s="32">
        <v>46171.0</v>
      </c>
      <c r="G1333" s="33"/>
    </row>
    <row r="1334" ht="15.75" customHeight="1">
      <c r="A1334" s="26" t="s">
        <v>4998</v>
      </c>
      <c r="B1334" s="27" t="s">
        <v>1295</v>
      </c>
      <c r="C1334" s="27" t="s">
        <v>1246</v>
      </c>
      <c r="D1334" s="26" t="s">
        <v>3663</v>
      </c>
      <c r="E1334" s="28">
        <v>46113.0</v>
      </c>
      <c r="F1334" s="28">
        <v>46171.0</v>
      </c>
      <c r="G1334" s="29"/>
    </row>
    <row r="1335" ht="15.75" customHeight="1">
      <c r="A1335" s="30" t="s">
        <v>4999</v>
      </c>
      <c r="B1335" s="31" t="s">
        <v>1295</v>
      </c>
      <c r="C1335" s="31" t="s">
        <v>928</v>
      </c>
      <c r="D1335" s="30" t="s">
        <v>3663</v>
      </c>
      <c r="E1335" s="32">
        <v>46113.0</v>
      </c>
      <c r="F1335" s="32">
        <v>46171.0</v>
      </c>
      <c r="G1335" s="33"/>
    </row>
    <row r="1336" ht="15.75" customHeight="1">
      <c r="A1336" s="26" t="s">
        <v>5000</v>
      </c>
      <c r="B1336" s="27" t="s">
        <v>1295</v>
      </c>
      <c r="C1336" s="27" t="s">
        <v>1354</v>
      </c>
      <c r="D1336" s="26" t="s">
        <v>3663</v>
      </c>
      <c r="E1336" s="28">
        <v>46113.0</v>
      </c>
      <c r="F1336" s="28">
        <v>46171.0</v>
      </c>
      <c r="G1336" s="29"/>
    </row>
    <row r="1337" ht="15.75" customHeight="1">
      <c r="A1337" s="30" t="s">
        <v>5001</v>
      </c>
      <c r="B1337" s="31" t="s">
        <v>1295</v>
      </c>
      <c r="C1337" s="31" t="s">
        <v>1159</v>
      </c>
      <c r="D1337" s="30" t="s">
        <v>3663</v>
      </c>
      <c r="E1337" s="32">
        <v>46113.0</v>
      </c>
      <c r="F1337" s="32">
        <v>46171.0</v>
      </c>
      <c r="G1337" s="33"/>
    </row>
    <row r="1338" ht="15.75" customHeight="1">
      <c r="A1338" s="26" t="s">
        <v>5002</v>
      </c>
      <c r="B1338" s="27" t="s">
        <v>1295</v>
      </c>
      <c r="C1338" s="27" t="s">
        <v>3656</v>
      </c>
      <c r="D1338" s="26" t="s">
        <v>3663</v>
      </c>
      <c r="E1338" s="28">
        <v>46113.0</v>
      </c>
      <c r="F1338" s="28">
        <v>46171.0</v>
      </c>
      <c r="G1338" s="29"/>
    </row>
    <row r="1339" ht="15.75" customHeight="1">
      <c r="A1339" s="30" t="s">
        <v>5003</v>
      </c>
      <c r="B1339" s="31" t="s">
        <v>1295</v>
      </c>
      <c r="C1339" s="31" t="s">
        <v>3657</v>
      </c>
      <c r="D1339" s="30" t="s">
        <v>3663</v>
      </c>
      <c r="E1339" s="32">
        <v>46113.0</v>
      </c>
      <c r="F1339" s="32">
        <v>46171.0</v>
      </c>
      <c r="G1339" s="33"/>
    </row>
    <row r="1340" ht="15.75" customHeight="1">
      <c r="A1340" s="26" t="s">
        <v>5004</v>
      </c>
      <c r="B1340" s="27" t="s">
        <v>1295</v>
      </c>
      <c r="C1340" s="27" t="s">
        <v>3647</v>
      </c>
      <c r="D1340" s="26" t="s">
        <v>3663</v>
      </c>
      <c r="E1340" s="28">
        <v>46113.0</v>
      </c>
      <c r="F1340" s="28">
        <v>46171.0</v>
      </c>
      <c r="G1340" s="29"/>
    </row>
    <row r="1341" ht="15.75" customHeight="1">
      <c r="A1341" s="30" t="s">
        <v>5005</v>
      </c>
      <c r="B1341" s="31" t="s">
        <v>1295</v>
      </c>
      <c r="C1341" s="31" t="s">
        <v>952</v>
      </c>
      <c r="D1341" s="30" t="s">
        <v>3663</v>
      </c>
      <c r="E1341" s="32">
        <v>46113.0</v>
      </c>
      <c r="F1341" s="32">
        <v>46171.0</v>
      </c>
      <c r="G1341" s="33"/>
    </row>
    <row r="1342" ht="15.75" customHeight="1">
      <c r="A1342" s="26" t="s">
        <v>5006</v>
      </c>
      <c r="B1342" s="27" t="s">
        <v>1295</v>
      </c>
      <c r="C1342" s="27" t="s">
        <v>1216</v>
      </c>
      <c r="D1342" s="26" t="s">
        <v>3663</v>
      </c>
      <c r="E1342" s="28">
        <v>46113.0</v>
      </c>
      <c r="F1342" s="28">
        <v>46171.0</v>
      </c>
      <c r="G1342" s="29"/>
    </row>
    <row r="1343" ht="15.75" customHeight="1">
      <c r="A1343" s="30" t="s">
        <v>5007</v>
      </c>
      <c r="B1343" s="31" t="s">
        <v>1295</v>
      </c>
      <c r="C1343" s="31" t="s">
        <v>968</v>
      </c>
      <c r="D1343" s="30" t="s">
        <v>3663</v>
      </c>
      <c r="E1343" s="32">
        <v>46113.0</v>
      </c>
      <c r="F1343" s="32">
        <v>46171.0</v>
      </c>
      <c r="G1343" s="33"/>
    </row>
    <row r="1344" ht="15.75" customHeight="1">
      <c r="A1344" s="26" t="s">
        <v>5008</v>
      </c>
      <c r="B1344" s="27" t="s">
        <v>1295</v>
      </c>
      <c r="C1344" s="27" t="s">
        <v>923</v>
      </c>
      <c r="D1344" s="26" t="s">
        <v>3663</v>
      </c>
      <c r="E1344" s="28">
        <v>46113.0</v>
      </c>
      <c r="F1344" s="28">
        <v>46171.0</v>
      </c>
      <c r="G1344" s="29"/>
    </row>
    <row r="1345" ht="15.75" customHeight="1">
      <c r="A1345" s="30" t="s">
        <v>5009</v>
      </c>
      <c r="B1345" s="31" t="s">
        <v>268</v>
      </c>
      <c r="C1345" s="31" t="s">
        <v>932</v>
      </c>
      <c r="D1345" s="30" t="s">
        <v>3663</v>
      </c>
      <c r="E1345" s="32">
        <v>46113.0</v>
      </c>
      <c r="F1345" s="32">
        <v>46171.0</v>
      </c>
      <c r="G1345" s="33"/>
    </row>
    <row r="1346" ht="15.75" customHeight="1">
      <c r="A1346" s="26" t="s">
        <v>5010</v>
      </c>
      <c r="B1346" s="27" t="s">
        <v>268</v>
      </c>
      <c r="C1346" s="27" t="s">
        <v>1164</v>
      </c>
      <c r="D1346" s="26" t="s">
        <v>3663</v>
      </c>
      <c r="E1346" s="28">
        <v>46113.0</v>
      </c>
      <c r="F1346" s="28">
        <v>46171.0</v>
      </c>
      <c r="G1346" s="29"/>
    </row>
    <row r="1347" ht="15.75" customHeight="1">
      <c r="A1347" s="30" t="s">
        <v>5011</v>
      </c>
      <c r="B1347" s="31" t="s">
        <v>268</v>
      </c>
      <c r="C1347" s="31" t="s">
        <v>1166</v>
      </c>
      <c r="D1347" s="30" t="s">
        <v>3663</v>
      </c>
      <c r="E1347" s="32">
        <v>46113.0</v>
      </c>
      <c r="F1347" s="32">
        <v>46171.0</v>
      </c>
      <c r="G1347" s="33"/>
    </row>
    <row r="1348" ht="15.75" customHeight="1">
      <c r="A1348" s="26" t="s">
        <v>5012</v>
      </c>
      <c r="B1348" s="27" t="s">
        <v>268</v>
      </c>
      <c r="C1348" s="27" t="s">
        <v>1168</v>
      </c>
      <c r="D1348" s="26" t="s">
        <v>3663</v>
      </c>
      <c r="E1348" s="28">
        <v>46113.0</v>
      </c>
      <c r="F1348" s="28">
        <v>46171.0</v>
      </c>
      <c r="G1348" s="29"/>
    </row>
    <row r="1349" ht="15.75" customHeight="1">
      <c r="A1349" s="30" t="s">
        <v>5013</v>
      </c>
      <c r="B1349" s="31" t="s">
        <v>268</v>
      </c>
      <c r="C1349" s="31" t="s">
        <v>1170</v>
      </c>
      <c r="D1349" s="30" t="s">
        <v>3663</v>
      </c>
      <c r="E1349" s="32">
        <v>46113.0</v>
      </c>
      <c r="F1349" s="32">
        <v>46171.0</v>
      </c>
      <c r="G1349" s="33"/>
    </row>
    <row r="1350" ht="15.75" customHeight="1">
      <c r="A1350" s="26" t="s">
        <v>5014</v>
      </c>
      <c r="B1350" s="27" t="s">
        <v>268</v>
      </c>
      <c r="C1350" s="27" t="s">
        <v>1354</v>
      </c>
      <c r="D1350" s="26" t="s">
        <v>3663</v>
      </c>
      <c r="E1350" s="28">
        <v>46113.0</v>
      </c>
      <c r="F1350" s="28">
        <v>46171.0</v>
      </c>
      <c r="G1350" s="29"/>
    </row>
    <row r="1351" ht="15.75" customHeight="1">
      <c r="A1351" s="30" t="s">
        <v>5015</v>
      </c>
      <c r="B1351" s="31" t="s">
        <v>268</v>
      </c>
      <c r="C1351" s="31" t="s">
        <v>1190</v>
      </c>
      <c r="D1351" s="30" t="s">
        <v>3663</v>
      </c>
      <c r="E1351" s="32">
        <v>46113.0</v>
      </c>
      <c r="F1351" s="32">
        <v>46171.0</v>
      </c>
      <c r="G1351" s="33"/>
    </row>
    <row r="1352" ht="15.75" customHeight="1">
      <c r="A1352" s="26" t="s">
        <v>5016</v>
      </c>
      <c r="B1352" s="27" t="s">
        <v>268</v>
      </c>
      <c r="C1352" s="27" t="s">
        <v>1208</v>
      </c>
      <c r="D1352" s="26" t="s">
        <v>3663</v>
      </c>
      <c r="E1352" s="28">
        <v>46113.0</v>
      </c>
      <c r="F1352" s="28">
        <v>46171.0</v>
      </c>
      <c r="G1352" s="29"/>
    </row>
    <row r="1353" ht="15.75" customHeight="1">
      <c r="A1353" s="30" t="s">
        <v>5017</v>
      </c>
      <c r="B1353" s="31" t="s">
        <v>268</v>
      </c>
      <c r="C1353" s="31" t="s">
        <v>1351</v>
      </c>
      <c r="D1353" s="30" t="s">
        <v>3663</v>
      </c>
      <c r="E1353" s="32">
        <v>46113.0</v>
      </c>
      <c r="F1353" s="32">
        <v>46171.0</v>
      </c>
      <c r="G1353" s="33"/>
    </row>
    <row r="1354" ht="15.75" customHeight="1">
      <c r="A1354" s="26" t="s">
        <v>5018</v>
      </c>
      <c r="B1354" s="27" t="s">
        <v>268</v>
      </c>
      <c r="C1354" s="27" t="s">
        <v>1349</v>
      </c>
      <c r="D1354" s="26" t="s">
        <v>3663</v>
      </c>
      <c r="E1354" s="28">
        <v>46113.0</v>
      </c>
      <c r="F1354" s="28">
        <v>46171.0</v>
      </c>
      <c r="G1354" s="29"/>
    </row>
    <row r="1355" ht="15.75" customHeight="1">
      <c r="A1355" s="30" t="s">
        <v>5019</v>
      </c>
      <c r="B1355" s="31" t="s">
        <v>268</v>
      </c>
      <c r="C1355" s="31" t="s">
        <v>3653</v>
      </c>
      <c r="D1355" s="31" t="s">
        <v>3663</v>
      </c>
      <c r="E1355" s="32">
        <v>46113.0</v>
      </c>
      <c r="F1355" s="32">
        <v>46171.0</v>
      </c>
      <c r="G1355" s="33"/>
    </row>
    <row r="1356" ht="15.75" customHeight="1">
      <c r="A1356" s="26" t="s">
        <v>5020</v>
      </c>
      <c r="B1356" s="27" t="s">
        <v>268</v>
      </c>
      <c r="C1356" s="27" t="s">
        <v>3652</v>
      </c>
      <c r="D1356" s="26" t="s">
        <v>3663</v>
      </c>
      <c r="E1356" s="28">
        <v>46113.0</v>
      </c>
      <c r="F1356" s="28">
        <v>46171.0</v>
      </c>
      <c r="G1356" s="29"/>
    </row>
    <row r="1357" ht="15.75" customHeight="1">
      <c r="A1357" s="30" t="s">
        <v>5021</v>
      </c>
      <c r="B1357" s="31" t="s">
        <v>268</v>
      </c>
      <c r="C1357" s="31" t="s">
        <v>968</v>
      </c>
      <c r="D1357" s="30" t="s">
        <v>3663</v>
      </c>
      <c r="E1357" s="32">
        <v>46113.0</v>
      </c>
      <c r="F1357" s="32">
        <v>46171.0</v>
      </c>
      <c r="G1357" s="33"/>
    </row>
    <row r="1358" ht="15.75" customHeight="1">
      <c r="A1358" s="26" t="s">
        <v>5022</v>
      </c>
      <c r="B1358" s="27" t="s">
        <v>268</v>
      </c>
      <c r="C1358" s="27" t="s">
        <v>923</v>
      </c>
      <c r="D1358" s="26" t="s">
        <v>3663</v>
      </c>
      <c r="E1358" s="28">
        <v>46113.0</v>
      </c>
      <c r="F1358" s="28">
        <v>46171.0</v>
      </c>
      <c r="G1358" s="29"/>
    </row>
    <row r="1359" ht="15.75" customHeight="1">
      <c r="A1359" s="30" t="s">
        <v>5023</v>
      </c>
      <c r="B1359" s="31" t="s">
        <v>269</v>
      </c>
      <c r="C1359" s="31" t="s">
        <v>3654</v>
      </c>
      <c r="D1359" s="30" t="s">
        <v>3663</v>
      </c>
      <c r="E1359" s="32">
        <v>46113.0</v>
      </c>
      <c r="F1359" s="32">
        <v>46171.0</v>
      </c>
      <c r="G1359" s="33"/>
    </row>
    <row r="1360" ht="15.75" customHeight="1">
      <c r="A1360" s="26" t="s">
        <v>5024</v>
      </c>
      <c r="B1360" s="27" t="s">
        <v>269</v>
      </c>
      <c r="C1360" s="27" t="s">
        <v>3655</v>
      </c>
      <c r="D1360" s="26" t="s">
        <v>3663</v>
      </c>
      <c r="E1360" s="28">
        <v>46113.0</v>
      </c>
      <c r="F1360" s="28">
        <v>46171.0</v>
      </c>
      <c r="G1360" s="29"/>
    </row>
    <row r="1361" ht="15.75" customHeight="1">
      <c r="A1361" s="30" t="s">
        <v>5025</v>
      </c>
      <c r="B1361" s="31" t="s">
        <v>269</v>
      </c>
      <c r="C1361" s="31" t="s">
        <v>926</v>
      </c>
      <c r="D1361" s="31" t="s">
        <v>3663</v>
      </c>
      <c r="E1361" s="32">
        <v>46113.0</v>
      </c>
      <c r="F1361" s="32">
        <v>46171.0</v>
      </c>
      <c r="G1361" s="33"/>
    </row>
    <row r="1362" ht="15.75" customHeight="1">
      <c r="A1362" s="26" t="s">
        <v>5026</v>
      </c>
      <c r="B1362" s="27" t="s">
        <v>269</v>
      </c>
      <c r="C1362" s="27" t="s">
        <v>1354</v>
      </c>
      <c r="D1362" s="26" t="s">
        <v>3663</v>
      </c>
      <c r="E1362" s="28">
        <v>46113.0</v>
      </c>
      <c r="F1362" s="28">
        <v>46171.0</v>
      </c>
      <c r="G1362" s="29"/>
    </row>
    <row r="1363" ht="15.75" customHeight="1">
      <c r="A1363" s="30" t="s">
        <v>5027</v>
      </c>
      <c r="B1363" s="31" t="s">
        <v>269</v>
      </c>
      <c r="C1363" s="31" t="s">
        <v>1312</v>
      </c>
      <c r="D1363" s="30" t="s">
        <v>3663</v>
      </c>
      <c r="E1363" s="32">
        <v>46113.0</v>
      </c>
      <c r="F1363" s="32">
        <v>46171.0</v>
      </c>
      <c r="G1363" s="33"/>
    </row>
    <row r="1364" ht="15.75" customHeight="1">
      <c r="A1364" s="26" t="s">
        <v>5028</v>
      </c>
      <c r="B1364" s="27" t="s">
        <v>269</v>
      </c>
      <c r="C1364" s="27" t="s">
        <v>3647</v>
      </c>
      <c r="D1364" s="26" t="s">
        <v>3663</v>
      </c>
      <c r="E1364" s="28">
        <v>46113.0</v>
      </c>
      <c r="F1364" s="28">
        <v>46171.0</v>
      </c>
      <c r="G1364" s="29"/>
    </row>
    <row r="1365" ht="15.75" customHeight="1">
      <c r="A1365" s="30" t="s">
        <v>5029</v>
      </c>
      <c r="B1365" s="31" t="s">
        <v>269</v>
      </c>
      <c r="C1365" s="31" t="s">
        <v>952</v>
      </c>
      <c r="D1365" s="30" t="s">
        <v>3663</v>
      </c>
      <c r="E1365" s="32">
        <v>46113.0</v>
      </c>
      <c r="F1365" s="32">
        <v>46171.0</v>
      </c>
      <c r="G1365" s="33"/>
    </row>
    <row r="1366" ht="15.75" customHeight="1">
      <c r="A1366" s="26" t="s">
        <v>5030</v>
      </c>
      <c r="B1366" s="27" t="s">
        <v>269</v>
      </c>
      <c r="C1366" s="27" t="s">
        <v>3648</v>
      </c>
      <c r="D1366" s="27" t="s">
        <v>3663</v>
      </c>
      <c r="E1366" s="28">
        <v>46113.0</v>
      </c>
      <c r="F1366" s="28">
        <v>46171.0</v>
      </c>
      <c r="G1366" s="29"/>
    </row>
    <row r="1367" ht="15.75" customHeight="1">
      <c r="A1367" s="30" t="s">
        <v>5031</v>
      </c>
      <c r="B1367" s="31" t="s">
        <v>269</v>
      </c>
      <c r="C1367" s="31" t="s">
        <v>3649</v>
      </c>
      <c r="D1367" s="31" t="s">
        <v>3663</v>
      </c>
      <c r="E1367" s="32">
        <v>46113.0</v>
      </c>
      <c r="F1367" s="32">
        <v>46171.0</v>
      </c>
      <c r="G1367" s="33"/>
    </row>
    <row r="1368" ht="15.75" customHeight="1">
      <c r="A1368" s="26" t="s">
        <v>5032</v>
      </c>
      <c r="B1368" s="27" t="s">
        <v>269</v>
      </c>
      <c r="C1368" s="27" t="s">
        <v>3650</v>
      </c>
      <c r="D1368" s="27" t="s">
        <v>3663</v>
      </c>
      <c r="E1368" s="28">
        <v>46113.0</v>
      </c>
      <c r="F1368" s="28">
        <v>46171.0</v>
      </c>
      <c r="G1368" s="29"/>
    </row>
    <row r="1369" ht="15.75" customHeight="1">
      <c r="A1369" s="30" t="s">
        <v>5033</v>
      </c>
      <c r="B1369" s="31" t="s">
        <v>269</v>
      </c>
      <c r="C1369" s="31" t="s">
        <v>1283</v>
      </c>
      <c r="D1369" s="31" t="s">
        <v>3663</v>
      </c>
      <c r="E1369" s="32">
        <v>46113.0</v>
      </c>
      <c r="F1369" s="32">
        <v>46171.0</v>
      </c>
      <c r="G1369" s="33"/>
    </row>
    <row r="1370" ht="15.75" customHeight="1">
      <c r="A1370" s="26" t="s">
        <v>5034</v>
      </c>
      <c r="B1370" s="27" t="s">
        <v>269</v>
      </c>
      <c r="C1370" s="27" t="s">
        <v>1216</v>
      </c>
      <c r="D1370" s="26" t="s">
        <v>3663</v>
      </c>
      <c r="E1370" s="28">
        <v>46113.0</v>
      </c>
      <c r="F1370" s="28">
        <v>46171.0</v>
      </c>
      <c r="G1370" s="29"/>
    </row>
    <row r="1371" ht="15.75" customHeight="1">
      <c r="A1371" s="30" t="s">
        <v>5035</v>
      </c>
      <c r="B1371" s="31" t="s">
        <v>269</v>
      </c>
      <c r="C1371" s="31" t="s">
        <v>968</v>
      </c>
      <c r="D1371" s="30" t="s">
        <v>3663</v>
      </c>
      <c r="E1371" s="32">
        <v>46113.0</v>
      </c>
      <c r="F1371" s="32">
        <v>46171.0</v>
      </c>
      <c r="G1371" s="33"/>
    </row>
    <row r="1372" ht="15.75" customHeight="1">
      <c r="A1372" s="26" t="s">
        <v>5036</v>
      </c>
      <c r="B1372" s="27" t="s">
        <v>269</v>
      </c>
      <c r="C1372" s="27" t="s">
        <v>923</v>
      </c>
      <c r="D1372" s="27" t="s">
        <v>3663</v>
      </c>
      <c r="E1372" s="28">
        <v>46113.0</v>
      </c>
      <c r="F1372" s="28">
        <v>46171.0</v>
      </c>
      <c r="G1372" s="29"/>
    </row>
    <row r="1373" ht="15.75" customHeight="1">
      <c r="A1373" s="30" t="s">
        <v>5037</v>
      </c>
      <c r="B1373" s="31" t="s">
        <v>270</v>
      </c>
      <c r="C1373" s="31" t="s">
        <v>928</v>
      </c>
      <c r="D1373" s="30" t="s">
        <v>3663</v>
      </c>
      <c r="E1373" s="32">
        <v>46113.0</v>
      </c>
      <c r="F1373" s="32">
        <v>46171.0</v>
      </c>
      <c r="G1373" s="33"/>
    </row>
    <row r="1374" ht="15.75" customHeight="1">
      <c r="A1374" s="26" t="s">
        <v>5038</v>
      </c>
      <c r="B1374" s="27" t="s">
        <v>270</v>
      </c>
      <c r="C1374" s="27" t="s">
        <v>1354</v>
      </c>
      <c r="D1374" s="26" t="s">
        <v>3663</v>
      </c>
      <c r="E1374" s="28">
        <v>46113.0</v>
      </c>
      <c r="F1374" s="28">
        <v>46171.0</v>
      </c>
      <c r="G1374" s="29"/>
    </row>
    <row r="1375" ht="15.75" customHeight="1">
      <c r="A1375" s="30" t="s">
        <v>5039</v>
      </c>
      <c r="B1375" s="31" t="s">
        <v>270</v>
      </c>
      <c r="C1375" s="31" t="s">
        <v>1222</v>
      </c>
      <c r="D1375" s="30" t="s">
        <v>3663</v>
      </c>
      <c r="E1375" s="32">
        <v>46113.0</v>
      </c>
      <c r="F1375" s="32">
        <v>46171.0</v>
      </c>
      <c r="G1375" s="33"/>
    </row>
    <row r="1376" ht="15.75" customHeight="1">
      <c r="A1376" s="26" t="s">
        <v>5040</v>
      </c>
      <c r="B1376" s="27" t="s">
        <v>270</v>
      </c>
      <c r="C1376" s="27" t="s">
        <v>1224</v>
      </c>
      <c r="D1376" s="26" t="s">
        <v>3663</v>
      </c>
      <c r="E1376" s="28">
        <v>46113.0</v>
      </c>
      <c r="F1376" s="28">
        <v>46171.0</v>
      </c>
      <c r="G1376" s="29"/>
    </row>
    <row r="1377" ht="15.75" customHeight="1">
      <c r="A1377" s="30" t="s">
        <v>5041</v>
      </c>
      <c r="B1377" s="31" t="s">
        <v>270</v>
      </c>
      <c r="C1377" s="31" t="s">
        <v>1226</v>
      </c>
      <c r="D1377" s="30" t="s">
        <v>3663</v>
      </c>
      <c r="E1377" s="32">
        <v>46113.0</v>
      </c>
      <c r="F1377" s="32">
        <v>46171.0</v>
      </c>
      <c r="G1377" s="33"/>
    </row>
    <row r="1378" ht="15.75" customHeight="1">
      <c r="A1378" s="26" t="s">
        <v>5042</v>
      </c>
      <c r="B1378" s="27" t="s">
        <v>270</v>
      </c>
      <c r="C1378" s="27" t="s">
        <v>1228</v>
      </c>
      <c r="D1378" s="26" t="s">
        <v>3663</v>
      </c>
      <c r="E1378" s="28">
        <v>46113.0</v>
      </c>
      <c r="F1378" s="28">
        <v>46171.0</v>
      </c>
      <c r="G1378" s="29"/>
    </row>
    <row r="1379" ht="15.75" customHeight="1">
      <c r="A1379" s="30" t="s">
        <v>5043</v>
      </c>
      <c r="B1379" s="31" t="s">
        <v>270</v>
      </c>
      <c r="C1379" s="31" t="s">
        <v>1172</v>
      </c>
      <c r="D1379" s="30" t="s">
        <v>3663</v>
      </c>
      <c r="E1379" s="32">
        <v>46113.0</v>
      </c>
      <c r="F1379" s="32">
        <v>46171.0</v>
      </c>
      <c r="G1379" s="33"/>
    </row>
    <row r="1380" ht="15.75" customHeight="1">
      <c r="A1380" s="26" t="s">
        <v>5044</v>
      </c>
      <c r="B1380" s="27" t="s">
        <v>270</v>
      </c>
      <c r="C1380" s="27" t="s">
        <v>1312</v>
      </c>
      <c r="D1380" s="26" t="s">
        <v>3663</v>
      </c>
      <c r="E1380" s="28">
        <v>46113.0</v>
      </c>
      <c r="F1380" s="28">
        <v>46171.0</v>
      </c>
      <c r="G1380" s="29"/>
    </row>
    <row r="1381" ht="15.75" customHeight="1">
      <c r="A1381" s="30" t="s">
        <v>5045</v>
      </c>
      <c r="B1381" s="31" t="s">
        <v>270</v>
      </c>
      <c r="C1381" s="31" t="s">
        <v>3681</v>
      </c>
      <c r="D1381" s="30" t="s">
        <v>3663</v>
      </c>
      <c r="E1381" s="32">
        <v>46113.0</v>
      </c>
      <c r="F1381" s="32">
        <v>46171.0</v>
      </c>
      <c r="G1381" s="33"/>
    </row>
    <row r="1382" ht="15.75" customHeight="1">
      <c r="A1382" s="26" t="s">
        <v>5046</v>
      </c>
      <c r="B1382" s="27" t="s">
        <v>270</v>
      </c>
      <c r="C1382" s="27" t="s">
        <v>3683</v>
      </c>
      <c r="D1382" s="26" t="s">
        <v>3663</v>
      </c>
      <c r="E1382" s="28">
        <v>46113.0</v>
      </c>
      <c r="F1382" s="28">
        <v>46171.0</v>
      </c>
      <c r="G1382" s="29"/>
    </row>
    <row r="1383" ht="15.75" customHeight="1">
      <c r="A1383" s="30" t="s">
        <v>5047</v>
      </c>
      <c r="B1383" s="31" t="s">
        <v>270</v>
      </c>
      <c r="C1383" s="31" t="s">
        <v>1351</v>
      </c>
      <c r="D1383" s="30" t="s">
        <v>3663</v>
      </c>
      <c r="E1383" s="32">
        <v>46113.0</v>
      </c>
      <c r="F1383" s="32">
        <v>46171.0</v>
      </c>
      <c r="G1383" s="33"/>
    </row>
    <row r="1384" ht="15.75" customHeight="1">
      <c r="A1384" s="26" t="s">
        <v>5048</v>
      </c>
      <c r="B1384" s="27" t="s">
        <v>270</v>
      </c>
      <c r="C1384" s="27" t="s">
        <v>1349</v>
      </c>
      <c r="D1384" s="26" t="s">
        <v>3663</v>
      </c>
      <c r="E1384" s="28">
        <v>46113.0</v>
      </c>
      <c r="F1384" s="28">
        <v>46171.0</v>
      </c>
      <c r="G1384" s="29"/>
    </row>
    <row r="1385" ht="15.75" customHeight="1">
      <c r="A1385" s="30" t="s">
        <v>5049</v>
      </c>
      <c r="B1385" s="31" t="s">
        <v>270</v>
      </c>
      <c r="C1385" s="31" t="s">
        <v>965</v>
      </c>
      <c r="D1385" s="30" t="s">
        <v>3663</v>
      </c>
      <c r="E1385" s="32">
        <v>46113.0</v>
      </c>
      <c r="F1385" s="32">
        <v>46171.0</v>
      </c>
      <c r="G1385" s="33"/>
    </row>
    <row r="1386" ht="15.75" customHeight="1">
      <c r="A1386" s="26" t="s">
        <v>5050</v>
      </c>
      <c r="B1386" s="27" t="s">
        <v>270</v>
      </c>
      <c r="C1386" s="27" t="s">
        <v>923</v>
      </c>
      <c r="D1386" s="26" t="s">
        <v>3663</v>
      </c>
      <c r="E1386" s="28">
        <v>46113.0</v>
      </c>
      <c r="F1386" s="28">
        <v>46171.0</v>
      </c>
      <c r="G1386" s="29"/>
    </row>
    <row r="1387" ht="15.75" customHeight="1">
      <c r="A1387" s="30" t="s">
        <v>5051</v>
      </c>
      <c r="B1387" s="31" t="s">
        <v>271</v>
      </c>
      <c r="C1387" s="31" t="s">
        <v>1240</v>
      </c>
      <c r="D1387" s="30" t="s">
        <v>3663</v>
      </c>
      <c r="E1387" s="32">
        <v>46113.0</v>
      </c>
      <c r="F1387" s="32">
        <v>46171.0</v>
      </c>
      <c r="G1387" s="33"/>
    </row>
    <row r="1388" ht="15.75" customHeight="1">
      <c r="A1388" s="26" t="s">
        <v>5052</v>
      </c>
      <c r="B1388" s="27" t="s">
        <v>271</v>
      </c>
      <c r="C1388" s="27" t="s">
        <v>1242</v>
      </c>
      <c r="D1388" s="27" t="s">
        <v>3663</v>
      </c>
      <c r="E1388" s="28">
        <v>46113.0</v>
      </c>
      <c r="F1388" s="28">
        <v>46171.0</v>
      </c>
      <c r="G1388" s="29"/>
    </row>
    <row r="1389" ht="15.75" customHeight="1">
      <c r="A1389" s="30" t="s">
        <v>5053</v>
      </c>
      <c r="B1389" s="31" t="s">
        <v>271</v>
      </c>
      <c r="C1389" s="31" t="s">
        <v>1244</v>
      </c>
      <c r="D1389" s="31" t="s">
        <v>3663</v>
      </c>
      <c r="E1389" s="32">
        <v>46113.0</v>
      </c>
      <c r="F1389" s="32">
        <v>46171.0</v>
      </c>
      <c r="G1389" s="33"/>
    </row>
    <row r="1390" ht="15.75" customHeight="1">
      <c r="A1390" s="26" t="s">
        <v>5054</v>
      </c>
      <c r="B1390" s="27" t="s">
        <v>271</v>
      </c>
      <c r="C1390" s="27" t="s">
        <v>1246</v>
      </c>
      <c r="D1390" s="27" t="s">
        <v>3663</v>
      </c>
      <c r="E1390" s="28">
        <v>46113.0</v>
      </c>
      <c r="F1390" s="28">
        <v>46171.0</v>
      </c>
      <c r="G1390" s="29"/>
    </row>
    <row r="1391" ht="15.75" customHeight="1">
      <c r="A1391" s="30" t="s">
        <v>5055</v>
      </c>
      <c r="B1391" s="31" t="s">
        <v>271</v>
      </c>
      <c r="C1391" s="31" t="s">
        <v>3654</v>
      </c>
      <c r="D1391" s="30" t="s">
        <v>3663</v>
      </c>
      <c r="E1391" s="32">
        <v>46113.0</v>
      </c>
      <c r="F1391" s="32">
        <v>46171.0</v>
      </c>
      <c r="G1391" s="33"/>
    </row>
    <row r="1392" ht="15.75" customHeight="1">
      <c r="A1392" s="26" t="s">
        <v>5056</v>
      </c>
      <c r="B1392" s="27" t="s">
        <v>271</v>
      </c>
      <c r="C1392" s="27" t="s">
        <v>3655</v>
      </c>
      <c r="D1392" s="26" t="s">
        <v>3663</v>
      </c>
      <c r="E1392" s="28">
        <v>46113.0</v>
      </c>
      <c r="F1392" s="28">
        <v>46171.0</v>
      </c>
      <c r="G1392" s="29"/>
    </row>
    <row r="1393" ht="15.75" customHeight="1">
      <c r="A1393" s="30" t="s">
        <v>5057</v>
      </c>
      <c r="B1393" s="31" t="s">
        <v>271</v>
      </c>
      <c r="C1393" s="31" t="s">
        <v>934</v>
      </c>
      <c r="D1393" s="31" t="s">
        <v>3663</v>
      </c>
      <c r="E1393" s="32">
        <v>46113.0</v>
      </c>
      <c r="F1393" s="32">
        <v>46171.0</v>
      </c>
      <c r="G1393" s="33"/>
    </row>
    <row r="1394" ht="15.75" customHeight="1">
      <c r="A1394" s="26" t="s">
        <v>5058</v>
      </c>
      <c r="B1394" s="27" t="s">
        <v>271</v>
      </c>
      <c r="C1394" s="27" t="s">
        <v>1354</v>
      </c>
      <c r="D1394" s="26" t="s">
        <v>3663</v>
      </c>
      <c r="E1394" s="28">
        <v>46113.0</v>
      </c>
      <c r="F1394" s="28">
        <v>46171.0</v>
      </c>
      <c r="G1394" s="29"/>
    </row>
    <row r="1395" ht="15.75" customHeight="1">
      <c r="A1395" s="30" t="s">
        <v>5059</v>
      </c>
      <c r="B1395" s="31" t="s">
        <v>271</v>
      </c>
      <c r="C1395" s="31" t="s">
        <v>3647</v>
      </c>
      <c r="D1395" s="30" t="s">
        <v>3663</v>
      </c>
      <c r="E1395" s="32">
        <v>46113.0</v>
      </c>
      <c r="F1395" s="32">
        <v>46171.0</v>
      </c>
      <c r="G1395" s="33"/>
    </row>
    <row r="1396" ht="15.75" customHeight="1">
      <c r="A1396" s="26" t="s">
        <v>5060</v>
      </c>
      <c r="B1396" s="27" t="s">
        <v>271</v>
      </c>
      <c r="C1396" s="27" t="s">
        <v>952</v>
      </c>
      <c r="D1396" s="26" t="s">
        <v>3663</v>
      </c>
      <c r="E1396" s="28">
        <v>46113.0</v>
      </c>
      <c r="F1396" s="28">
        <v>46171.0</v>
      </c>
      <c r="G1396" s="29"/>
    </row>
    <row r="1397" ht="15.75" customHeight="1">
      <c r="A1397" s="30" t="s">
        <v>5061</v>
      </c>
      <c r="B1397" s="31" t="s">
        <v>271</v>
      </c>
      <c r="C1397" s="31" t="s">
        <v>1218</v>
      </c>
      <c r="D1397" s="30" t="s">
        <v>3663</v>
      </c>
      <c r="E1397" s="32">
        <v>46113.0</v>
      </c>
      <c r="F1397" s="32">
        <v>46171.0</v>
      </c>
      <c r="G1397" s="33"/>
    </row>
    <row r="1398" ht="15.75" customHeight="1">
      <c r="A1398" s="26" t="s">
        <v>5062</v>
      </c>
      <c r="B1398" s="27" t="s">
        <v>271</v>
      </c>
      <c r="C1398" s="27" t="s">
        <v>965</v>
      </c>
      <c r="D1398" s="26" t="s">
        <v>3663</v>
      </c>
      <c r="E1398" s="28">
        <v>46113.0</v>
      </c>
      <c r="F1398" s="28">
        <v>46171.0</v>
      </c>
      <c r="G1398" s="29"/>
    </row>
    <row r="1399" ht="15.75" customHeight="1">
      <c r="A1399" s="30" t="s">
        <v>5063</v>
      </c>
      <c r="B1399" s="31" t="s">
        <v>271</v>
      </c>
      <c r="C1399" s="31" t="s">
        <v>923</v>
      </c>
      <c r="D1399" s="31" t="s">
        <v>3663</v>
      </c>
      <c r="E1399" s="32">
        <v>46113.0</v>
      </c>
      <c r="F1399" s="32">
        <v>46171.0</v>
      </c>
      <c r="G1399" s="33"/>
    </row>
    <row r="1400" ht="15.75" customHeight="1">
      <c r="A1400" s="26" t="s">
        <v>5064</v>
      </c>
      <c r="B1400" s="27" t="s">
        <v>271</v>
      </c>
      <c r="C1400" s="27" t="s">
        <v>955</v>
      </c>
      <c r="D1400" s="26" t="s">
        <v>3663</v>
      </c>
      <c r="E1400" s="28">
        <v>46113.0</v>
      </c>
      <c r="F1400" s="28">
        <v>46171.0</v>
      </c>
      <c r="G1400" s="29"/>
    </row>
    <row r="1401" ht="15.75" customHeight="1">
      <c r="A1401" s="30" t="s">
        <v>5065</v>
      </c>
      <c r="B1401" s="31" t="s">
        <v>272</v>
      </c>
      <c r="C1401" s="31" t="s">
        <v>932</v>
      </c>
      <c r="D1401" s="30" t="s">
        <v>3663</v>
      </c>
      <c r="E1401" s="32">
        <v>46113.0</v>
      </c>
      <c r="F1401" s="32">
        <v>46171.0</v>
      </c>
      <c r="G1401" s="33"/>
    </row>
    <row r="1402" ht="15.75" customHeight="1">
      <c r="A1402" s="26" t="s">
        <v>5066</v>
      </c>
      <c r="B1402" s="27" t="s">
        <v>272</v>
      </c>
      <c r="C1402" s="27" t="s">
        <v>1164</v>
      </c>
      <c r="D1402" s="26" t="s">
        <v>3663</v>
      </c>
      <c r="E1402" s="28">
        <v>46113.0</v>
      </c>
      <c r="F1402" s="28">
        <v>46171.0</v>
      </c>
      <c r="G1402" s="29"/>
    </row>
    <row r="1403" ht="15.75" customHeight="1">
      <c r="A1403" s="30" t="s">
        <v>5067</v>
      </c>
      <c r="B1403" s="31" t="s">
        <v>272</v>
      </c>
      <c r="C1403" s="31" t="s">
        <v>1166</v>
      </c>
      <c r="D1403" s="30" t="s">
        <v>3663</v>
      </c>
      <c r="E1403" s="32">
        <v>46113.0</v>
      </c>
      <c r="F1403" s="32">
        <v>46171.0</v>
      </c>
      <c r="G1403" s="33"/>
    </row>
    <row r="1404" ht="15.75" customHeight="1">
      <c r="A1404" s="26" t="s">
        <v>5068</v>
      </c>
      <c r="B1404" s="27" t="s">
        <v>272</v>
      </c>
      <c r="C1404" s="27" t="s">
        <v>1168</v>
      </c>
      <c r="D1404" s="26" t="s">
        <v>3663</v>
      </c>
      <c r="E1404" s="28">
        <v>46113.0</v>
      </c>
      <c r="F1404" s="28">
        <v>46171.0</v>
      </c>
      <c r="G1404" s="29"/>
    </row>
    <row r="1405" ht="15.75" customHeight="1">
      <c r="A1405" s="30" t="s">
        <v>5069</v>
      </c>
      <c r="B1405" s="31" t="s">
        <v>272</v>
      </c>
      <c r="C1405" s="31" t="s">
        <v>1170</v>
      </c>
      <c r="D1405" s="30" t="s">
        <v>3663</v>
      </c>
      <c r="E1405" s="32">
        <v>46113.0</v>
      </c>
      <c r="F1405" s="32">
        <v>46171.0</v>
      </c>
      <c r="G1405" s="33"/>
    </row>
    <row r="1406" ht="15.75" customHeight="1">
      <c r="A1406" s="26" t="s">
        <v>5070</v>
      </c>
      <c r="B1406" s="27" t="s">
        <v>272</v>
      </c>
      <c r="C1406" s="27" t="s">
        <v>1354</v>
      </c>
      <c r="D1406" s="26" t="s">
        <v>3663</v>
      </c>
      <c r="E1406" s="28">
        <v>46113.0</v>
      </c>
      <c r="F1406" s="28">
        <v>46171.0</v>
      </c>
      <c r="G1406" s="29"/>
    </row>
    <row r="1407" ht="15.75" customHeight="1">
      <c r="A1407" s="30" t="s">
        <v>5071</v>
      </c>
      <c r="B1407" s="31" t="s">
        <v>272</v>
      </c>
      <c r="C1407" s="31" t="s">
        <v>1208</v>
      </c>
      <c r="D1407" s="30" t="s">
        <v>3663</v>
      </c>
      <c r="E1407" s="32">
        <v>46113.0</v>
      </c>
      <c r="F1407" s="32">
        <v>46171.0</v>
      </c>
      <c r="G1407" s="33"/>
    </row>
    <row r="1408" ht="15.75" customHeight="1">
      <c r="A1408" s="26" t="s">
        <v>5072</v>
      </c>
      <c r="B1408" s="27" t="s">
        <v>272</v>
      </c>
      <c r="C1408" s="27" t="s">
        <v>3656</v>
      </c>
      <c r="D1408" s="26" t="s">
        <v>3663</v>
      </c>
      <c r="E1408" s="28">
        <v>46113.0</v>
      </c>
      <c r="F1408" s="28">
        <v>46171.0</v>
      </c>
      <c r="G1408" s="29"/>
    </row>
    <row r="1409" ht="15.75" customHeight="1">
      <c r="A1409" s="30" t="s">
        <v>5073</v>
      </c>
      <c r="B1409" s="31" t="s">
        <v>272</v>
      </c>
      <c r="C1409" s="31" t="s">
        <v>3657</v>
      </c>
      <c r="D1409" s="30" t="s">
        <v>3663</v>
      </c>
      <c r="E1409" s="32">
        <v>46113.0</v>
      </c>
      <c r="F1409" s="32">
        <v>46171.0</v>
      </c>
      <c r="G1409" s="33"/>
    </row>
    <row r="1410" ht="15.75" customHeight="1">
      <c r="A1410" s="26" t="s">
        <v>5074</v>
      </c>
      <c r="B1410" s="27" t="s">
        <v>272</v>
      </c>
      <c r="C1410" s="27" t="s">
        <v>1218</v>
      </c>
      <c r="D1410" s="26" t="s">
        <v>3663</v>
      </c>
      <c r="E1410" s="28">
        <v>46113.0</v>
      </c>
      <c r="F1410" s="28">
        <v>46171.0</v>
      </c>
      <c r="G1410" s="29"/>
    </row>
    <row r="1411" ht="15.75" customHeight="1">
      <c r="A1411" s="30" t="s">
        <v>5075</v>
      </c>
      <c r="B1411" s="31" t="s">
        <v>272</v>
      </c>
      <c r="C1411" s="31" t="s">
        <v>1351</v>
      </c>
      <c r="D1411" s="30" t="s">
        <v>3663</v>
      </c>
      <c r="E1411" s="32">
        <v>46113.0</v>
      </c>
      <c r="F1411" s="32">
        <v>46171.0</v>
      </c>
      <c r="G1411" s="33"/>
    </row>
    <row r="1412" ht="15.75" customHeight="1">
      <c r="A1412" s="26" t="s">
        <v>5076</v>
      </c>
      <c r="B1412" s="27" t="s">
        <v>272</v>
      </c>
      <c r="C1412" s="27" t="s">
        <v>1349</v>
      </c>
      <c r="D1412" s="26" t="s">
        <v>3663</v>
      </c>
      <c r="E1412" s="28">
        <v>46113.0</v>
      </c>
      <c r="F1412" s="28">
        <v>46171.0</v>
      </c>
      <c r="G1412" s="29"/>
    </row>
    <row r="1413" ht="15.75" customHeight="1">
      <c r="A1413" s="30" t="s">
        <v>5077</v>
      </c>
      <c r="B1413" s="31" t="s">
        <v>272</v>
      </c>
      <c r="C1413" s="31" t="s">
        <v>968</v>
      </c>
      <c r="D1413" s="30" t="s">
        <v>3663</v>
      </c>
      <c r="E1413" s="32">
        <v>46113.0</v>
      </c>
      <c r="F1413" s="32">
        <v>46171.0</v>
      </c>
      <c r="G1413" s="33"/>
    </row>
    <row r="1414" ht="15.75" customHeight="1">
      <c r="A1414" s="26" t="s">
        <v>5078</v>
      </c>
      <c r="B1414" s="27" t="s">
        <v>272</v>
      </c>
      <c r="C1414" s="27" t="s">
        <v>923</v>
      </c>
      <c r="D1414" s="26" t="s">
        <v>3663</v>
      </c>
      <c r="E1414" s="28">
        <v>46113.0</v>
      </c>
      <c r="F1414" s="28">
        <v>46171.0</v>
      </c>
      <c r="G1414" s="29"/>
    </row>
    <row r="1415" ht="15.75" customHeight="1">
      <c r="A1415" s="30" t="s">
        <v>5079</v>
      </c>
      <c r="B1415" s="31" t="s">
        <v>273</v>
      </c>
      <c r="C1415" s="31" t="s">
        <v>928</v>
      </c>
      <c r="D1415" s="30" t="s">
        <v>3663</v>
      </c>
      <c r="E1415" s="32">
        <v>46113.0</v>
      </c>
      <c r="F1415" s="32">
        <v>46171.0</v>
      </c>
      <c r="G1415" s="33"/>
    </row>
    <row r="1416" ht="15.75" customHeight="1">
      <c r="A1416" s="26" t="s">
        <v>5080</v>
      </c>
      <c r="B1416" s="27" t="s">
        <v>273</v>
      </c>
      <c r="C1416" s="27" t="s">
        <v>1354</v>
      </c>
      <c r="D1416" s="26" t="s">
        <v>3663</v>
      </c>
      <c r="E1416" s="28">
        <v>46113.0</v>
      </c>
      <c r="F1416" s="28">
        <v>46171.0</v>
      </c>
      <c r="G1416" s="29"/>
    </row>
    <row r="1417" ht="15.75" customHeight="1">
      <c r="A1417" s="30" t="s">
        <v>5081</v>
      </c>
      <c r="B1417" s="31" t="s">
        <v>273</v>
      </c>
      <c r="C1417" s="31" t="s">
        <v>1222</v>
      </c>
      <c r="D1417" s="30" t="s">
        <v>3663</v>
      </c>
      <c r="E1417" s="32">
        <v>46113.0</v>
      </c>
      <c r="F1417" s="32">
        <v>46171.0</v>
      </c>
      <c r="G1417" s="33"/>
    </row>
    <row r="1418" ht="15.75" customHeight="1">
      <c r="A1418" s="26" t="s">
        <v>5082</v>
      </c>
      <c r="B1418" s="27" t="s">
        <v>273</v>
      </c>
      <c r="C1418" s="27" t="s">
        <v>1224</v>
      </c>
      <c r="D1418" s="26" t="s">
        <v>3663</v>
      </c>
      <c r="E1418" s="28">
        <v>46113.0</v>
      </c>
      <c r="F1418" s="28">
        <v>46171.0</v>
      </c>
      <c r="G1418" s="29"/>
    </row>
    <row r="1419" ht="15.75" customHeight="1">
      <c r="A1419" s="30" t="s">
        <v>5083</v>
      </c>
      <c r="B1419" s="31" t="s">
        <v>273</v>
      </c>
      <c r="C1419" s="31" t="s">
        <v>1226</v>
      </c>
      <c r="D1419" s="30" t="s">
        <v>3663</v>
      </c>
      <c r="E1419" s="32">
        <v>46113.0</v>
      </c>
      <c r="F1419" s="32">
        <v>46171.0</v>
      </c>
      <c r="G1419" s="33"/>
    </row>
    <row r="1420" ht="15.75" customHeight="1">
      <c r="A1420" s="26" t="s">
        <v>5084</v>
      </c>
      <c r="B1420" s="27" t="s">
        <v>273</v>
      </c>
      <c r="C1420" s="27" t="s">
        <v>1228</v>
      </c>
      <c r="D1420" s="26" t="s">
        <v>3663</v>
      </c>
      <c r="E1420" s="28">
        <v>46113.0</v>
      </c>
      <c r="F1420" s="28">
        <v>46171.0</v>
      </c>
      <c r="G1420" s="29"/>
    </row>
    <row r="1421" ht="15.75" customHeight="1">
      <c r="A1421" s="30" t="s">
        <v>5085</v>
      </c>
      <c r="B1421" s="31" t="s">
        <v>273</v>
      </c>
      <c r="C1421" s="31" t="s">
        <v>1208</v>
      </c>
      <c r="D1421" s="30" t="s">
        <v>3663</v>
      </c>
      <c r="E1421" s="32">
        <v>46113.0</v>
      </c>
      <c r="F1421" s="32">
        <v>46171.0</v>
      </c>
      <c r="G1421" s="33"/>
    </row>
    <row r="1422" ht="15.75" customHeight="1">
      <c r="A1422" s="26" t="s">
        <v>5086</v>
      </c>
      <c r="B1422" s="27" t="s">
        <v>273</v>
      </c>
      <c r="C1422" s="27" t="s">
        <v>1159</v>
      </c>
      <c r="D1422" s="26" t="s">
        <v>3663</v>
      </c>
      <c r="E1422" s="28">
        <v>46113.0</v>
      </c>
      <c r="F1422" s="28">
        <v>46171.0</v>
      </c>
      <c r="G1422" s="29"/>
    </row>
    <row r="1423" ht="15.75" customHeight="1">
      <c r="A1423" s="30" t="s">
        <v>5087</v>
      </c>
      <c r="B1423" s="31" t="s">
        <v>273</v>
      </c>
      <c r="C1423" s="31" t="s">
        <v>3656</v>
      </c>
      <c r="D1423" s="30" t="s">
        <v>3663</v>
      </c>
      <c r="E1423" s="32">
        <v>46113.0</v>
      </c>
      <c r="F1423" s="32">
        <v>46171.0</v>
      </c>
      <c r="G1423" s="33"/>
    </row>
    <row r="1424" ht="15.75" customHeight="1">
      <c r="A1424" s="26" t="s">
        <v>5088</v>
      </c>
      <c r="B1424" s="27" t="s">
        <v>273</v>
      </c>
      <c r="C1424" s="27" t="s">
        <v>3657</v>
      </c>
      <c r="D1424" s="26" t="s">
        <v>3663</v>
      </c>
      <c r="E1424" s="28">
        <v>46113.0</v>
      </c>
      <c r="F1424" s="28">
        <v>46171.0</v>
      </c>
      <c r="G1424" s="29"/>
    </row>
    <row r="1425" ht="15.75" customHeight="1">
      <c r="A1425" s="30" t="s">
        <v>5089</v>
      </c>
      <c r="B1425" s="31" t="s">
        <v>273</v>
      </c>
      <c r="C1425" s="31" t="s">
        <v>1351</v>
      </c>
      <c r="D1425" s="30" t="s">
        <v>3663</v>
      </c>
      <c r="E1425" s="32">
        <v>46113.0</v>
      </c>
      <c r="F1425" s="32">
        <v>46171.0</v>
      </c>
      <c r="G1425" s="33"/>
    </row>
    <row r="1426" ht="15.75" customHeight="1">
      <c r="A1426" s="26" t="s">
        <v>5090</v>
      </c>
      <c r="B1426" s="27" t="s">
        <v>273</v>
      </c>
      <c r="C1426" s="27" t="s">
        <v>1349</v>
      </c>
      <c r="D1426" s="26" t="s">
        <v>3663</v>
      </c>
      <c r="E1426" s="28">
        <v>46113.0</v>
      </c>
      <c r="F1426" s="28">
        <v>46171.0</v>
      </c>
      <c r="G1426" s="29"/>
    </row>
    <row r="1427" ht="15.75" customHeight="1">
      <c r="A1427" s="30" t="s">
        <v>5091</v>
      </c>
      <c r="B1427" s="31" t="s">
        <v>273</v>
      </c>
      <c r="C1427" s="31" t="s">
        <v>968</v>
      </c>
      <c r="D1427" s="30" t="s">
        <v>3663</v>
      </c>
      <c r="E1427" s="32">
        <v>46113.0</v>
      </c>
      <c r="F1427" s="32">
        <v>46171.0</v>
      </c>
      <c r="G1427" s="33"/>
    </row>
    <row r="1428" ht="15.75" customHeight="1">
      <c r="A1428" s="26" t="s">
        <v>5092</v>
      </c>
      <c r="B1428" s="27" t="s">
        <v>273</v>
      </c>
      <c r="C1428" s="27" t="s">
        <v>923</v>
      </c>
      <c r="D1428" s="26" t="s">
        <v>3663</v>
      </c>
      <c r="E1428" s="28">
        <v>46113.0</v>
      </c>
      <c r="F1428" s="28">
        <v>46171.0</v>
      </c>
      <c r="G1428" s="29"/>
    </row>
    <row r="1429" ht="15.75" customHeight="1">
      <c r="A1429" s="30" t="s">
        <v>5093</v>
      </c>
      <c r="B1429" s="31" t="s">
        <v>274</v>
      </c>
      <c r="C1429" s="31" t="s">
        <v>3654</v>
      </c>
      <c r="D1429" s="30" t="s">
        <v>3663</v>
      </c>
      <c r="E1429" s="32">
        <v>46113.0</v>
      </c>
      <c r="F1429" s="32">
        <v>46171.0</v>
      </c>
      <c r="G1429" s="33"/>
    </row>
    <row r="1430" ht="15.75" customHeight="1">
      <c r="A1430" s="26" t="s">
        <v>5094</v>
      </c>
      <c r="B1430" s="27" t="s">
        <v>274</v>
      </c>
      <c r="C1430" s="27" t="s">
        <v>3655</v>
      </c>
      <c r="D1430" s="26" t="s">
        <v>3663</v>
      </c>
      <c r="E1430" s="28">
        <v>46113.0</v>
      </c>
      <c r="F1430" s="28">
        <v>46171.0</v>
      </c>
      <c r="G1430" s="29"/>
    </row>
    <row r="1431" ht="15.75" customHeight="1">
      <c r="A1431" s="30" t="s">
        <v>5095</v>
      </c>
      <c r="B1431" s="31" t="s">
        <v>274</v>
      </c>
      <c r="C1431" s="31" t="s">
        <v>930</v>
      </c>
      <c r="D1431" s="30" t="s">
        <v>3663</v>
      </c>
      <c r="E1431" s="32">
        <v>46113.0</v>
      </c>
      <c r="F1431" s="32">
        <v>46171.0</v>
      </c>
      <c r="G1431" s="33"/>
    </row>
    <row r="1432" ht="15.75" customHeight="1">
      <c r="A1432" s="26" t="s">
        <v>5096</v>
      </c>
      <c r="B1432" s="27" t="s">
        <v>274</v>
      </c>
      <c r="C1432" s="27" t="s">
        <v>1354</v>
      </c>
      <c r="D1432" s="26" t="s">
        <v>3663</v>
      </c>
      <c r="E1432" s="28">
        <v>46113.0</v>
      </c>
      <c r="F1432" s="28">
        <v>46171.0</v>
      </c>
      <c r="G1432" s="29"/>
    </row>
    <row r="1433" ht="15.75" customHeight="1">
      <c r="A1433" s="30" t="s">
        <v>5097</v>
      </c>
      <c r="B1433" s="31" t="s">
        <v>274</v>
      </c>
      <c r="C1433" s="31" t="s">
        <v>3641</v>
      </c>
      <c r="D1433" s="30" t="s">
        <v>3663</v>
      </c>
      <c r="E1433" s="32">
        <v>46113.0</v>
      </c>
      <c r="F1433" s="32">
        <v>46171.0</v>
      </c>
      <c r="G1433" s="33"/>
    </row>
    <row r="1434" ht="15.75" customHeight="1">
      <c r="A1434" s="26" t="s">
        <v>5098</v>
      </c>
      <c r="B1434" s="27" t="s">
        <v>274</v>
      </c>
      <c r="C1434" s="27" t="s">
        <v>1304</v>
      </c>
      <c r="D1434" s="26" t="s">
        <v>3663</v>
      </c>
      <c r="E1434" s="28">
        <v>46113.0</v>
      </c>
      <c r="F1434" s="28">
        <v>46171.0</v>
      </c>
      <c r="G1434" s="29"/>
    </row>
    <row r="1435" ht="15.75" customHeight="1">
      <c r="A1435" s="30" t="s">
        <v>5099</v>
      </c>
      <c r="B1435" s="31" t="s">
        <v>274</v>
      </c>
      <c r="C1435" s="31" t="s">
        <v>3642</v>
      </c>
      <c r="D1435" s="30" t="s">
        <v>3663</v>
      </c>
      <c r="E1435" s="32">
        <v>46113.0</v>
      </c>
      <c r="F1435" s="32">
        <v>46171.0</v>
      </c>
      <c r="G1435" s="33"/>
    </row>
    <row r="1436" ht="15.75" customHeight="1">
      <c r="A1436" s="26" t="s">
        <v>5100</v>
      </c>
      <c r="B1436" s="27" t="s">
        <v>274</v>
      </c>
      <c r="C1436" s="27" t="s">
        <v>1308</v>
      </c>
      <c r="D1436" s="26" t="s">
        <v>3663</v>
      </c>
      <c r="E1436" s="28">
        <v>46113.0</v>
      </c>
      <c r="F1436" s="28">
        <v>46171.0</v>
      </c>
      <c r="G1436" s="29"/>
    </row>
    <row r="1437" ht="15.75" customHeight="1">
      <c r="A1437" s="30" t="s">
        <v>5101</v>
      </c>
      <c r="B1437" s="31" t="s">
        <v>274</v>
      </c>
      <c r="C1437" s="31" t="s">
        <v>1190</v>
      </c>
      <c r="D1437" s="30" t="s">
        <v>3663</v>
      </c>
      <c r="E1437" s="32">
        <v>46113.0</v>
      </c>
      <c r="F1437" s="32">
        <v>46171.0</v>
      </c>
      <c r="G1437" s="33"/>
    </row>
    <row r="1438" ht="15.75" customHeight="1">
      <c r="A1438" s="26" t="s">
        <v>5102</v>
      </c>
      <c r="B1438" s="27" t="s">
        <v>274</v>
      </c>
      <c r="C1438" s="27" t="s">
        <v>1208</v>
      </c>
      <c r="D1438" s="26" t="s">
        <v>3663</v>
      </c>
      <c r="E1438" s="28">
        <v>46113.0</v>
      </c>
      <c r="F1438" s="28">
        <v>46171.0</v>
      </c>
      <c r="G1438" s="29"/>
    </row>
    <row r="1439" ht="15.75" customHeight="1">
      <c r="A1439" s="30" t="s">
        <v>5103</v>
      </c>
      <c r="B1439" s="31" t="s">
        <v>274</v>
      </c>
      <c r="C1439" s="31" t="s">
        <v>1351</v>
      </c>
      <c r="D1439" s="30" t="s">
        <v>3663</v>
      </c>
      <c r="E1439" s="32">
        <v>46113.0</v>
      </c>
      <c r="F1439" s="32">
        <v>46171.0</v>
      </c>
      <c r="G1439" s="33"/>
    </row>
    <row r="1440" ht="15.75" customHeight="1">
      <c r="A1440" s="26" t="s">
        <v>5104</v>
      </c>
      <c r="B1440" s="27" t="s">
        <v>274</v>
      </c>
      <c r="C1440" s="27" t="s">
        <v>1349</v>
      </c>
      <c r="D1440" s="26" t="s">
        <v>3663</v>
      </c>
      <c r="E1440" s="28">
        <v>46113.0</v>
      </c>
      <c r="F1440" s="28">
        <v>46171.0</v>
      </c>
      <c r="G1440" s="29"/>
    </row>
    <row r="1441" ht="15.75" customHeight="1">
      <c r="A1441" s="30" t="s">
        <v>5105</v>
      </c>
      <c r="B1441" s="31" t="s">
        <v>274</v>
      </c>
      <c r="C1441" s="31" t="s">
        <v>965</v>
      </c>
      <c r="D1441" s="30" t="s">
        <v>3663</v>
      </c>
      <c r="E1441" s="32">
        <v>46113.0</v>
      </c>
      <c r="F1441" s="32">
        <v>46171.0</v>
      </c>
      <c r="G1441" s="33"/>
    </row>
    <row r="1442" ht="15.75" customHeight="1">
      <c r="A1442" s="26" t="s">
        <v>5106</v>
      </c>
      <c r="B1442" s="27" t="s">
        <v>274</v>
      </c>
      <c r="C1442" s="27" t="s">
        <v>923</v>
      </c>
      <c r="D1442" s="26" t="s">
        <v>3663</v>
      </c>
      <c r="E1442" s="28">
        <v>46113.0</v>
      </c>
      <c r="F1442" s="28">
        <v>46171.0</v>
      </c>
      <c r="G1442" s="29"/>
    </row>
    <row r="1443" ht="15.75" customHeight="1">
      <c r="A1443" s="30" t="s">
        <v>5107</v>
      </c>
      <c r="B1443" s="31" t="s">
        <v>275</v>
      </c>
      <c r="C1443" s="31" t="s">
        <v>1240</v>
      </c>
      <c r="D1443" s="30" t="s">
        <v>3663</v>
      </c>
      <c r="E1443" s="32">
        <v>46113.0</v>
      </c>
      <c r="F1443" s="32">
        <v>46171.0</v>
      </c>
      <c r="G1443" s="33"/>
    </row>
    <row r="1444" ht="15.75" customHeight="1">
      <c r="A1444" s="26" t="s">
        <v>5108</v>
      </c>
      <c r="B1444" s="27" t="s">
        <v>275</v>
      </c>
      <c r="C1444" s="27" t="s">
        <v>1242</v>
      </c>
      <c r="D1444" s="27" t="s">
        <v>3663</v>
      </c>
      <c r="E1444" s="28">
        <v>46113.0</v>
      </c>
      <c r="F1444" s="28">
        <v>46171.0</v>
      </c>
      <c r="G1444" s="29"/>
    </row>
    <row r="1445" ht="15.75" customHeight="1">
      <c r="A1445" s="30" t="s">
        <v>5109</v>
      </c>
      <c r="B1445" s="31" t="s">
        <v>275</v>
      </c>
      <c r="C1445" s="31" t="s">
        <v>1244</v>
      </c>
      <c r="D1445" s="31" t="s">
        <v>3663</v>
      </c>
      <c r="E1445" s="32">
        <v>46113.0</v>
      </c>
      <c r="F1445" s="32">
        <v>46171.0</v>
      </c>
      <c r="G1445" s="33"/>
    </row>
    <row r="1446" ht="15.75" customHeight="1">
      <c r="A1446" s="26" t="s">
        <v>5110</v>
      </c>
      <c r="B1446" s="27" t="s">
        <v>275</v>
      </c>
      <c r="C1446" s="27" t="s">
        <v>1246</v>
      </c>
      <c r="D1446" s="27" t="s">
        <v>3663</v>
      </c>
      <c r="E1446" s="28">
        <v>46113.0</v>
      </c>
      <c r="F1446" s="28">
        <v>46171.0</v>
      </c>
      <c r="G1446" s="29"/>
    </row>
    <row r="1447" ht="15.75" customHeight="1">
      <c r="A1447" s="30" t="s">
        <v>5111</v>
      </c>
      <c r="B1447" s="31" t="s">
        <v>275</v>
      </c>
      <c r="C1447" s="31" t="s">
        <v>934</v>
      </c>
      <c r="D1447" s="31" t="s">
        <v>3663</v>
      </c>
      <c r="E1447" s="32">
        <v>46113.0</v>
      </c>
      <c r="F1447" s="32">
        <v>46171.0</v>
      </c>
      <c r="G1447" s="33"/>
    </row>
    <row r="1448" ht="15.75" customHeight="1">
      <c r="A1448" s="26" t="s">
        <v>5112</v>
      </c>
      <c r="B1448" s="27" t="s">
        <v>275</v>
      </c>
      <c r="C1448" s="27" t="s">
        <v>1354</v>
      </c>
      <c r="D1448" s="26" t="s">
        <v>3663</v>
      </c>
      <c r="E1448" s="28">
        <v>46113.0</v>
      </c>
      <c r="F1448" s="28">
        <v>46171.0</v>
      </c>
      <c r="G1448" s="29"/>
    </row>
    <row r="1449" ht="15.75" customHeight="1">
      <c r="A1449" s="30" t="s">
        <v>5113</v>
      </c>
      <c r="B1449" s="31" t="s">
        <v>275</v>
      </c>
      <c r="C1449" s="31" t="s">
        <v>1172</v>
      </c>
      <c r="D1449" s="30" t="s">
        <v>3663</v>
      </c>
      <c r="E1449" s="32">
        <v>46113.0</v>
      </c>
      <c r="F1449" s="32">
        <v>46171.0</v>
      </c>
      <c r="G1449" s="34"/>
    </row>
    <row r="1450" ht="15.75" customHeight="1">
      <c r="A1450" s="26" t="s">
        <v>5114</v>
      </c>
      <c r="B1450" s="27" t="s">
        <v>275</v>
      </c>
      <c r="C1450" s="27" t="s">
        <v>1312</v>
      </c>
      <c r="D1450" s="26" t="s">
        <v>3663</v>
      </c>
      <c r="E1450" s="28">
        <v>46113.0</v>
      </c>
      <c r="F1450" s="28">
        <v>46171.0</v>
      </c>
      <c r="G1450" s="29"/>
    </row>
    <row r="1451" ht="15.75" customHeight="1">
      <c r="A1451" s="30" t="s">
        <v>5115</v>
      </c>
      <c r="B1451" s="31" t="s">
        <v>275</v>
      </c>
      <c r="C1451" s="31" t="s">
        <v>3656</v>
      </c>
      <c r="D1451" s="30" t="s">
        <v>3663</v>
      </c>
      <c r="E1451" s="32">
        <v>46113.0</v>
      </c>
      <c r="F1451" s="32">
        <v>46171.0</v>
      </c>
      <c r="G1451" s="33"/>
    </row>
    <row r="1452" ht="15.75" customHeight="1">
      <c r="A1452" s="26" t="s">
        <v>5116</v>
      </c>
      <c r="B1452" s="27" t="s">
        <v>275</v>
      </c>
      <c r="C1452" s="27" t="s">
        <v>3657</v>
      </c>
      <c r="D1452" s="26" t="s">
        <v>3663</v>
      </c>
      <c r="E1452" s="28">
        <v>46113.0</v>
      </c>
      <c r="F1452" s="28">
        <v>46171.0</v>
      </c>
      <c r="G1452" s="29"/>
    </row>
    <row r="1453" ht="15.75" customHeight="1">
      <c r="A1453" s="30" t="s">
        <v>5117</v>
      </c>
      <c r="B1453" s="31" t="s">
        <v>275</v>
      </c>
      <c r="C1453" s="31" t="s">
        <v>1351</v>
      </c>
      <c r="D1453" s="30" t="s">
        <v>3663</v>
      </c>
      <c r="E1453" s="32">
        <v>46113.0</v>
      </c>
      <c r="F1453" s="32">
        <v>46171.0</v>
      </c>
      <c r="G1453" s="33"/>
    </row>
    <row r="1454" ht="15.75" customHeight="1">
      <c r="A1454" s="26" t="s">
        <v>5118</v>
      </c>
      <c r="B1454" s="27" t="s">
        <v>275</v>
      </c>
      <c r="C1454" s="27" t="s">
        <v>1349</v>
      </c>
      <c r="D1454" s="26" t="s">
        <v>3663</v>
      </c>
      <c r="E1454" s="28">
        <v>46113.0</v>
      </c>
      <c r="F1454" s="28">
        <v>46171.0</v>
      </c>
      <c r="G1454" s="29"/>
    </row>
    <row r="1455" ht="15.75" customHeight="1">
      <c r="A1455" s="30" t="s">
        <v>5119</v>
      </c>
      <c r="B1455" s="31" t="s">
        <v>275</v>
      </c>
      <c r="C1455" s="31" t="s">
        <v>968</v>
      </c>
      <c r="D1455" s="30" t="s">
        <v>3663</v>
      </c>
      <c r="E1455" s="32">
        <v>46113.0</v>
      </c>
      <c r="F1455" s="32">
        <v>46171.0</v>
      </c>
      <c r="G1455" s="33"/>
    </row>
    <row r="1456" ht="15.75" customHeight="1">
      <c r="A1456" s="26" t="s">
        <v>5120</v>
      </c>
      <c r="B1456" s="27" t="s">
        <v>275</v>
      </c>
      <c r="C1456" s="27" t="s">
        <v>923</v>
      </c>
      <c r="D1456" s="27" t="s">
        <v>3663</v>
      </c>
      <c r="E1456" s="28">
        <v>46113.0</v>
      </c>
      <c r="F1456" s="28">
        <v>46171.0</v>
      </c>
      <c r="G1456" s="29"/>
    </row>
    <row r="1457" ht="15.75" customHeight="1">
      <c r="A1457" s="30" t="s">
        <v>5121</v>
      </c>
      <c r="B1457" s="31" t="s">
        <v>276</v>
      </c>
      <c r="C1457" s="31" t="s">
        <v>930</v>
      </c>
      <c r="D1457" s="30" t="s">
        <v>3663</v>
      </c>
      <c r="E1457" s="32">
        <v>46113.0</v>
      </c>
      <c r="F1457" s="32">
        <v>46171.0</v>
      </c>
      <c r="G1457" s="33"/>
    </row>
    <row r="1458" ht="15.75" customHeight="1">
      <c r="A1458" s="26" t="s">
        <v>5122</v>
      </c>
      <c r="B1458" s="27" t="s">
        <v>276</v>
      </c>
      <c r="C1458" s="27" t="s">
        <v>1354</v>
      </c>
      <c r="D1458" s="26" t="s">
        <v>3663</v>
      </c>
      <c r="E1458" s="28">
        <v>46113.0</v>
      </c>
      <c r="F1458" s="28">
        <v>46171.0</v>
      </c>
      <c r="G1458" s="29"/>
    </row>
    <row r="1459" ht="15.75" customHeight="1">
      <c r="A1459" s="30" t="s">
        <v>5123</v>
      </c>
      <c r="B1459" s="31" t="s">
        <v>276</v>
      </c>
      <c r="C1459" s="31" t="s">
        <v>1190</v>
      </c>
      <c r="D1459" s="30" t="s">
        <v>3663</v>
      </c>
      <c r="E1459" s="32">
        <v>46113.0</v>
      </c>
      <c r="F1459" s="32">
        <v>46171.0</v>
      </c>
      <c r="G1459" s="33"/>
    </row>
    <row r="1460" ht="15.75" customHeight="1">
      <c r="A1460" s="26" t="s">
        <v>5124</v>
      </c>
      <c r="B1460" s="27" t="s">
        <v>276</v>
      </c>
      <c r="C1460" s="27" t="s">
        <v>3656</v>
      </c>
      <c r="D1460" s="26" t="s">
        <v>3663</v>
      </c>
      <c r="E1460" s="28">
        <v>46113.0</v>
      </c>
      <c r="F1460" s="28">
        <v>46171.0</v>
      </c>
      <c r="G1460" s="29"/>
    </row>
    <row r="1461" ht="15.75" customHeight="1">
      <c r="A1461" s="30" t="s">
        <v>5125</v>
      </c>
      <c r="B1461" s="31" t="s">
        <v>276</v>
      </c>
      <c r="C1461" s="31" t="s">
        <v>3657</v>
      </c>
      <c r="D1461" s="30" t="s">
        <v>3663</v>
      </c>
      <c r="E1461" s="32">
        <v>46113.0</v>
      </c>
      <c r="F1461" s="32">
        <v>46171.0</v>
      </c>
      <c r="G1461" s="33"/>
    </row>
    <row r="1462" ht="15.75" customHeight="1">
      <c r="A1462" s="26" t="s">
        <v>5126</v>
      </c>
      <c r="B1462" s="27" t="s">
        <v>276</v>
      </c>
      <c r="C1462" s="27" t="s">
        <v>1157</v>
      </c>
      <c r="D1462" s="26" t="s">
        <v>3663</v>
      </c>
      <c r="E1462" s="28">
        <v>46113.0</v>
      </c>
      <c r="F1462" s="28">
        <v>46171.0</v>
      </c>
      <c r="G1462" s="29"/>
    </row>
    <row r="1463" ht="15.75" customHeight="1">
      <c r="A1463" s="30" t="s">
        <v>5127</v>
      </c>
      <c r="B1463" s="31" t="s">
        <v>276</v>
      </c>
      <c r="C1463" s="31" t="s">
        <v>1155</v>
      </c>
      <c r="D1463" s="30" t="s">
        <v>3663</v>
      </c>
      <c r="E1463" s="32">
        <v>46113.0</v>
      </c>
      <c r="F1463" s="32">
        <v>46171.0</v>
      </c>
      <c r="G1463" s="33"/>
    </row>
    <row r="1464" ht="15.75" customHeight="1">
      <c r="A1464" s="26" t="s">
        <v>5128</v>
      </c>
      <c r="B1464" s="27" t="s">
        <v>276</v>
      </c>
      <c r="C1464" s="27" t="s">
        <v>1153</v>
      </c>
      <c r="D1464" s="26" t="s">
        <v>3663</v>
      </c>
      <c r="E1464" s="28">
        <v>46113.0</v>
      </c>
      <c r="F1464" s="28">
        <v>46171.0</v>
      </c>
      <c r="G1464" s="29"/>
    </row>
    <row r="1465" ht="15.75" customHeight="1">
      <c r="A1465" s="30" t="s">
        <v>5129</v>
      </c>
      <c r="B1465" s="31" t="s">
        <v>276</v>
      </c>
      <c r="C1465" s="31" t="s">
        <v>1149</v>
      </c>
      <c r="D1465" s="30" t="s">
        <v>3663</v>
      </c>
      <c r="E1465" s="32">
        <v>46113.0</v>
      </c>
      <c r="F1465" s="32">
        <v>46171.0</v>
      </c>
      <c r="G1465" s="33"/>
    </row>
    <row r="1466" ht="15.75" customHeight="1">
      <c r="A1466" s="26" t="s">
        <v>5130</v>
      </c>
      <c r="B1466" s="27" t="s">
        <v>276</v>
      </c>
      <c r="C1466" s="27" t="s">
        <v>1351</v>
      </c>
      <c r="D1466" s="26" t="s">
        <v>3663</v>
      </c>
      <c r="E1466" s="28">
        <v>46113.0</v>
      </c>
      <c r="F1466" s="28">
        <v>46171.0</v>
      </c>
      <c r="G1466" s="29"/>
    </row>
    <row r="1467" ht="15.75" customHeight="1">
      <c r="A1467" s="30" t="s">
        <v>5131</v>
      </c>
      <c r="B1467" s="31" t="s">
        <v>276</v>
      </c>
      <c r="C1467" s="31" t="s">
        <v>1349</v>
      </c>
      <c r="D1467" s="30" t="s">
        <v>3663</v>
      </c>
      <c r="E1467" s="32">
        <v>46113.0</v>
      </c>
      <c r="F1467" s="32">
        <v>46171.0</v>
      </c>
      <c r="G1467" s="33"/>
    </row>
    <row r="1468" ht="15.75" customHeight="1">
      <c r="A1468" s="26" t="s">
        <v>5132</v>
      </c>
      <c r="B1468" s="27" t="s">
        <v>276</v>
      </c>
      <c r="C1468" s="27" t="s">
        <v>968</v>
      </c>
      <c r="D1468" s="26" t="s">
        <v>3663</v>
      </c>
      <c r="E1468" s="28">
        <v>46113.0</v>
      </c>
      <c r="F1468" s="28">
        <v>46171.0</v>
      </c>
      <c r="G1468" s="29"/>
    </row>
    <row r="1469" ht="15.75" customHeight="1">
      <c r="A1469" s="30" t="s">
        <v>5133</v>
      </c>
      <c r="B1469" s="31" t="s">
        <v>276</v>
      </c>
      <c r="C1469" s="31" t="s">
        <v>923</v>
      </c>
      <c r="D1469" s="30" t="s">
        <v>3663</v>
      </c>
      <c r="E1469" s="32">
        <v>46113.0</v>
      </c>
      <c r="F1469" s="32">
        <v>46171.0</v>
      </c>
      <c r="G1469" s="33"/>
    </row>
    <row r="1470" ht="15.75" customHeight="1">
      <c r="A1470" s="26" t="s">
        <v>5134</v>
      </c>
      <c r="B1470" s="27" t="s">
        <v>276</v>
      </c>
      <c r="C1470" s="27" t="s">
        <v>961</v>
      </c>
      <c r="D1470" s="26" t="s">
        <v>3663</v>
      </c>
      <c r="E1470" s="28">
        <v>46113.0</v>
      </c>
      <c r="F1470" s="28">
        <v>46171.0</v>
      </c>
      <c r="G1470" s="29"/>
    </row>
    <row r="1471" ht="15.75" customHeight="1">
      <c r="A1471" s="30" t="s">
        <v>5135</v>
      </c>
      <c r="B1471" s="31" t="s">
        <v>2365</v>
      </c>
      <c r="C1471" s="31" t="s">
        <v>932</v>
      </c>
      <c r="D1471" s="30" t="s">
        <v>3663</v>
      </c>
      <c r="E1471" s="32">
        <v>46113.0</v>
      </c>
      <c r="F1471" s="32">
        <v>46171.0</v>
      </c>
      <c r="G1471" s="33"/>
    </row>
    <row r="1472" ht="15.75" customHeight="1">
      <c r="A1472" s="26" t="s">
        <v>5136</v>
      </c>
      <c r="B1472" s="27" t="s">
        <v>2365</v>
      </c>
      <c r="C1472" s="27" t="s">
        <v>1168</v>
      </c>
      <c r="D1472" s="26" t="s">
        <v>3663</v>
      </c>
      <c r="E1472" s="28">
        <v>46113.0</v>
      </c>
      <c r="F1472" s="28">
        <v>46171.0</v>
      </c>
      <c r="G1472" s="29"/>
    </row>
    <row r="1473" ht="15.75" customHeight="1">
      <c r="A1473" s="30" t="s">
        <v>5137</v>
      </c>
      <c r="B1473" s="31" t="s">
        <v>2365</v>
      </c>
      <c r="C1473" s="31" t="s">
        <v>1170</v>
      </c>
      <c r="D1473" s="30" t="s">
        <v>3663</v>
      </c>
      <c r="E1473" s="32">
        <v>46113.0</v>
      </c>
      <c r="F1473" s="32">
        <v>46171.0</v>
      </c>
      <c r="G1473" s="33"/>
    </row>
    <row r="1474" ht="15.75" customHeight="1">
      <c r="A1474" s="26" t="s">
        <v>5138</v>
      </c>
      <c r="B1474" s="27" t="s">
        <v>2365</v>
      </c>
      <c r="C1474" s="27" t="s">
        <v>1288</v>
      </c>
      <c r="D1474" s="26" t="s">
        <v>3663</v>
      </c>
      <c r="E1474" s="28">
        <v>46113.0</v>
      </c>
      <c r="F1474" s="28">
        <v>46171.0</v>
      </c>
      <c r="G1474" s="29"/>
    </row>
    <row r="1475" ht="15.75" customHeight="1">
      <c r="A1475" s="30" t="s">
        <v>5139</v>
      </c>
      <c r="B1475" s="31" t="s">
        <v>2365</v>
      </c>
      <c r="C1475" s="31" t="s">
        <v>1291</v>
      </c>
      <c r="D1475" s="30" t="s">
        <v>3663</v>
      </c>
      <c r="E1475" s="32">
        <v>46113.0</v>
      </c>
      <c r="F1475" s="32">
        <v>46171.0</v>
      </c>
      <c r="G1475" s="33"/>
    </row>
    <row r="1476" ht="15.75" customHeight="1">
      <c r="A1476" s="26" t="s">
        <v>5140</v>
      </c>
      <c r="B1476" s="27" t="s">
        <v>2365</v>
      </c>
      <c r="C1476" s="27" t="s">
        <v>1354</v>
      </c>
      <c r="D1476" s="26" t="s">
        <v>3663</v>
      </c>
      <c r="E1476" s="28">
        <v>46113.0</v>
      </c>
      <c r="F1476" s="28">
        <v>46171.0</v>
      </c>
      <c r="G1476" s="29"/>
    </row>
    <row r="1477" ht="15.75" customHeight="1">
      <c r="A1477" s="30" t="s">
        <v>5141</v>
      </c>
      <c r="B1477" s="31" t="s">
        <v>2365</v>
      </c>
      <c r="C1477" s="31" t="s">
        <v>3656</v>
      </c>
      <c r="D1477" s="30" t="s">
        <v>3663</v>
      </c>
      <c r="E1477" s="32">
        <v>46113.0</v>
      </c>
      <c r="F1477" s="32">
        <v>46171.0</v>
      </c>
      <c r="G1477" s="33"/>
    </row>
    <row r="1478" ht="15.75" customHeight="1">
      <c r="A1478" s="26" t="s">
        <v>5142</v>
      </c>
      <c r="B1478" s="27" t="s">
        <v>2365</v>
      </c>
      <c r="C1478" s="27" t="s">
        <v>3657</v>
      </c>
      <c r="D1478" s="26" t="s">
        <v>3663</v>
      </c>
      <c r="E1478" s="28">
        <v>46113.0</v>
      </c>
      <c r="F1478" s="28">
        <v>46171.0</v>
      </c>
      <c r="G1478" s="29"/>
    </row>
    <row r="1479" ht="15.75" customHeight="1">
      <c r="A1479" s="30" t="s">
        <v>5143</v>
      </c>
      <c r="B1479" s="31" t="s">
        <v>2365</v>
      </c>
      <c r="C1479" s="31" t="s">
        <v>3647</v>
      </c>
      <c r="D1479" s="30" t="s">
        <v>3663</v>
      </c>
      <c r="E1479" s="32">
        <v>46113.0</v>
      </c>
      <c r="F1479" s="32">
        <v>46171.0</v>
      </c>
      <c r="G1479" s="33"/>
    </row>
    <row r="1480" ht="15.75" customHeight="1">
      <c r="A1480" s="26" t="s">
        <v>5144</v>
      </c>
      <c r="B1480" s="27" t="s">
        <v>2365</v>
      </c>
      <c r="C1480" s="27" t="s">
        <v>952</v>
      </c>
      <c r="D1480" s="26" t="s">
        <v>3663</v>
      </c>
      <c r="E1480" s="28">
        <v>46113.0</v>
      </c>
      <c r="F1480" s="28">
        <v>46171.0</v>
      </c>
      <c r="G1480" s="29"/>
    </row>
    <row r="1481" ht="15.75" customHeight="1">
      <c r="A1481" s="30" t="s">
        <v>5145</v>
      </c>
      <c r="B1481" s="31" t="s">
        <v>2365</v>
      </c>
      <c r="C1481" s="31" t="s">
        <v>1216</v>
      </c>
      <c r="D1481" s="30" t="s">
        <v>3663</v>
      </c>
      <c r="E1481" s="32">
        <v>46113.0</v>
      </c>
      <c r="F1481" s="32">
        <v>46171.0</v>
      </c>
      <c r="G1481" s="33"/>
    </row>
    <row r="1482" ht="15.75" customHeight="1">
      <c r="A1482" s="26" t="s">
        <v>5146</v>
      </c>
      <c r="B1482" s="27" t="s">
        <v>2365</v>
      </c>
      <c r="C1482" s="27" t="s">
        <v>1218</v>
      </c>
      <c r="D1482" s="26" t="s">
        <v>3663</v>
      </c>
      <c r="E1482" s="28">
        <v>46113.0</v>
      </c>
      <c r="F1482" s="28">
        <v>46171.0</v>
      </c>
      <c r="G1482" s="29"/>
    </row>
    <row r="1483" ht="15.75" customHeight="1">
      <c r="A1483" s="30" t="s">
        <v>5147</v>
      </c>
      <c r="B1483" s="31" t="s">
        <v>2365</v>
      </c>
      <c r="C1483" s="31" t="s">
        <v>968</v>
      </c>
      <c r="D1483" s="30" t="s">
        <v>3663</v>
      </c>
      <c r="E1483" s="32">
        <v>46113.0</v>
      </c>
      <c r="F1483" s="32">
        <v>46171.0</v>
      </c>
      <c r="G1483" s="33"/>
    </row>
    <row r="1484" ht="15.75" customHeight="1">
      <c r="A1484" s="26" t="s">
        <v>5148</v>
      </c>
      <c r="B1484" s="27" t="s">
        <v>2365</v>
      </c>
      <c r="C1484" s="27" t="s">
        <v>923</v>
      </c>
      <c r="D1484" s="26" t="s">
        <v>3663</v>
      </c>
      <c r="E1484" s="28">
        <v>46113.0</v>
      </c>
      <c r="F1484" s="28">
        <v>46171.0</v>
      </c>
      <c r="G1484" s="29"/>
    </row>
    <row r="1485" ht="15.75" customHeight="1">
      <c r="A1485" s="30" t="s">
        <v>5149</v>
      </c>
      <c r="B1485" s="31" t="s">
        <v>277</v>
      </c>
      <c r="C1485" s="31" t="s">
        <v>3654</v>
      </c>
      <c r="D1485" s="30" t="s">
        <v>3663</v>
      </c>
      <c r="E1485" s="32">
        <v>46113.0</v>
      </c>
      <c r="F1485" s="32">
        <v>46171.0</v>
      </c>
      <c r="G1485" s="33"/>
    </row>
    <row r="1486" ht="15.75" customHeight="1">
      <c r="A1486" s="26" t="s">
        <v>5150</v>
      </c>
      <c r="B1486" s="27" t="s">
        <v>277</v>
      </c>
      <c r="C1486" s="27" t="s">
        <v>3655</v>
      </c>
      <c r="D1486" s="26" t="s">
        <v>3663</v>
      </c>
      <c r="E1486" s="28">
        <v>46113.0</v>
      </c>
      <c r="F1486" s="28">
        <v>46171.0</v>
      </c>
      <c r="G1486" s="29"/>
    </row>
    <row r="1487" ht="15.75" customHeight="1">
      <c r="A1487" s="30" t="s">
        <v>5151</v>
      </c>
      <c r="B1487" s="31" t="s">
        <v>277</v>
      </c>
      <c r="C1487" s="31" t="s">
        <v>934</v>
      </c>
      <c r="D1487" s="30" t="s">
        <v>3663</v>
      </c>
      <c r="E1487" s="32">
        <v>46113.0</v>
      </c>
      <c r="F1487" s="32">
        <v>46171.0</v>
      </c>
      <c r="G1487" s="33"/>
    </row>
    <row r="1488" ht="15.75" customHeight="1">
      <c r="A1488" s="26" t="s">
        <v>5152</v>
      </c>
      <c r="B1488" s="27" t="s">
        <v>277</v>
      </c>
      <c r="C1488" s="27" t="s">
        <v>1354</v>
      </c>
      <c r="D1488" s="26" t="s">
        <v>3663</v>
      </c>
      <c r="E1488" s="28">
        <v>46113.0</v>
      </c>
      <c r="F1488" s="28">
        <v>46171.0</v>
      </c>
      <c r="G1488" s="29"/>
    </row>
    <row r="1489" ht="15.75" customHeight="1">
      <c r="A1489" s="30" t="s">
        <v>5153</v>
      </c>
      <c r="B1489" s="31" t="s">
        <v>277</v>
      </c>
      <c r="C1489" s="31" t="s">
        <v>3647</v>
      </c>
      <c r="D1489" s="30" t="s">
        <v>3663</v>
      </c>
      <c r="E1489" s="32">
        <v>46113.0</v>
      </c>
      <c r="F1489" s="32">
        <v>46171.0</v>
      </c>
      <c r="G1489" s="33"/>
    </row>
    <row r="1490" ht="15.75" customHeight="1">
      <c r="A1490" s="26" t="s">
        <v>5154</v>
      </c>
      <c r="B1490" s="27" t="s">
        <v>277</v>
      </c>
      <c r="C1490" s="27" t="s">
        <v>952</v>
      </c>
      <c r="D1490" s="26" t="s">
        <v>3663</v>
      </c>
      <c r="E1490" s="28">
        <v>46113.0</v>
      </c>
      <c r="F1490" s="28">
        <v>46171.0</v>
      </c>
      <c r="G1490" s="29"/>
    </row>
    <row r="1491" ht="15.75" customHeight="1">
      <c r="A1491" s="30" t="s">
        <v>5155</v>
      </c>
      <c r="B1491" s="31" t="s">
        <v>277</v>
      </c>
      <c r="C1491" s="31" t="s">
        <v>1218</v>
      </c>
      <c r="D1491" s="30" t="s">
        <v>3663</v>
      </c>
      <c r="E1491" s="32">
        <v>46113.0</v>
      </c>
      <c r="F1491" s="32">
        <v>46171.0</v>
      </c>
      <c r="G1491" s="33"/>
    </row>
    <row r="1492" ht="15.75" customHeight="1">
      <c r="A1492" s="26" t="s">
        <v>5156</v>
      </c>
      <c r="B1492" s="27" t="s">
        <v>277</v>
      </c>
      <c r="C1492" s="27" t="s">
        <v>1157</v>
      </c>
      <c r="D1492" s="26" t="s">
        <v>3663</v>
      </c>
      <c r="E1492" s="28">
        <v>46113.0</v>
      </c>
      <c r="F1492" s="28">
        <v>46171.0</v>
      </c>
      <c r="G1492" s="29"/>
    </row>
    <row r="1493" ht="15.75" customHeight="1">
      <c r="A1493" s="30" t="s">
        <v>5157</v>
      </c>
      <c r="B1493" s="31" t="s">
        <v>277</v>
      </c>
      <c r="C1493" s="31" t="s">
        <v>1155</v>
      </c>
      <c r="D1493" s="30" t="s">
        <v>3663</v>
      </c>
      <c r="E1493" s="32">
        <v>46113.0</v>
      </c>
      <c r="F1493" s="32">
        <v>46171.0</v>
      </c>
      <c r="G1493" s="33"/>
    </row>
    <row r="1494" ht="15.75" customHeight="1">
      <c r="A1494" s="26" t="s">
        <v>5158</v>
      </c>
      <c r="B1494" s="27" t="s">
        <v>277</v>
      </c>
      <c r="C1494" s="27" t="s">
        <v>1153</v>
      </c>
      <c r="D1494" s="26" t="s">
        <v>3663</v>
      </c>
      <c r="E1494" s="28">
        <v>46113.0</v>
      </c>
      <c r="F1494" s="28">
        <v>46171.0</v>
      </c>
      <c r="G1494" s="29"/>
    </row>
    <row r="1495" ht="15.75" customHeight="1">
      <c r="A1495" s="30" t="s">
        <v>5159</v>
      </c>
      <c r="B1495" s="31" t="s">
        <v>277</v>
      </c>
      <c r="C1495" s="31" t="s">
        <v>1149</v>
      </c>
      <c r="D1495" s="30" t="s">
        <v>3663</v>
      </c>
      <c r="E1495" s="32">
        <v>46113.0</v>
      </c>
      <c r="F1495" s="32">
        <v>46171.0</v>
      </c>
      <c r="G1495" s="33"/>
    </row>
    <row r="1496" ht="15.75" customHeight="1">
      <c r="A1496" s="26" t="s">
        <v>5160</v>
      </c>
      <c r="B1496" s="27" t="s">
        <v>277</v>
      </c>
      <c r="C1496" s="27" t="s">
        <v>965</v>
      </c>
      <c r="D1496" s="26" t="s">
        <v>3663</v>
      </c>
      <c r="E1496" s="28">
        <v>46113.0</v>
      </c>
      <c r="F1496" s="28">
        <v>46171.0</v>
      </c>
      <c r="G1496" s="29"/>
    </row>
    <row r="1497" ht="15.75" customHeight="1">
      <c r="A1497" s="30" t="s">
        <v>5161</v>
      </c>
      <c r="B1497" s="31" t="s">
        <v>277</v>
      </c>
      <c r="C1497" s="31" t="s">
        <v>923</v>
      </c>
      <c r="D1497" s="30" t="s">
        <v>3663</v>
      </c>
      <c r="E1497" s="32">
        <v>46113.0</v>
      </c>
      <c r="F1497" s="32">
        <v>46171.0</v>
      </c>
      <c r="G1497" s="33"/>
    </row>
    <row r="1498" ht="15.75" customHeight="1">
      <c r="A1498" s="26" t="s">
        <v>5162</v>
      </c>
      <c r="B1498" s="27" t="s">
        <v>277</v>
      </c>
      <c r="C1498" s="27" t="s">
        <v>955</v>
      </c>
      <c r="D1498" s="26" t="s">
        <v>3663</v>
      </c>
      <c r="E1498" s="28">
        <v>46113.0</v>
      </c>
      <c r="F1498" s="28">
        <v>46171.0</v>
      </c>
      <c r="G1498" s="29"/>
    </row>
    <row r="1499" ht="15.75" customHeight="1">
      <c r="A1499" s="30" t="s">
        <v>5163</v>
      </c>
      <c r="B1499" s="31" t="s">
        <v>278</v>
      </c>
      <c r="C1499" s="31" t="s">
        <v>928</v>
      </c>
      <c r="D1499" s="30" t="s">
        <v>3663</v>
      </c>
      <c r="E1499" s="32">
        <v>46113.0</v>
      </c>
      <c r="F1499" s="32">
        <v>46171.0</v>
      </c>
      <c r="G1499" s="33"/>
    </row>
    <row r="1500" ht="15.75" customHeight="1">
      <c r="A1500" s="26" t="s">
        <v>5164</v>
      </c>
      <c r="B1500" s="27" t="s">
        <v>278</v>
      </c>
      <c r="C1500" s="27" t="s">
        <v>1354</v>
      </c>
      <c r="D1500" s="26" t="s">
        <v>3663</v>
      </c>
      <c r="E1500" s="28">
        <v>46113.0</v>
      </c>
      <c r="F1500" s="28">
        <v>46171.0</v>
      </c>
      <c r="G1500" s="29"/>
    </row>
    <row r="1501" ht="15.75" customHeight="1">
      <c r="A1501" s="30" t="s">
        <v>5165</v>
      </c>
      <c r="B1501" s="31" t="s">
        <v>278</v>
      </c>
      <c r="C1501" s="31" t="s">
        <v>1222</v>
      </c>
      <c r="D1501" s="30" t="s">
        <v>3663</v>
      </c>
      <c r="E1501" s="32">
        <v>46113.0</v>
      </c>
      <c r="F1501" s="32">
        <v>46171.0</v>
      </c>
      <c r="G1501" s="33"/>
    </row>
    <row r="1502" ht="15.75" customHeight="1">
      <c r="A1502" s="26" t="s">
        <v>5166</v>
      </c>
      <c r="B1502" s="27" t="s">
        <v>278</v>
      </c>
      <c r="C1502" s="27" t="s">
        <v>1224</v>
      </c>
      <c r="D1502" s="26" t="s">
        <v>3663</v>
      </c>
      <c r="E1502" s="28">
        <v>46113.0</v>
      </c>
      <c r="F1502" s="28">
        <v>46171.0</v>
      </c>
      <c r="G1502" s="29"/>
    </row>
    <row r="1503" ht="15.75" customHeight="1">
      <c r="A1503" s="30" t="s">
        <v>5167</v>
      </c>
      <c r="B1503" s="31" t="s">
        <v>278</v>
      </c>
      <c r="C1503" s="31" t="s">
        <v>1226</v>
      </c>
      <c r="D1503" s="30" t="s">
        <v>3663</v>
      </c>
      <c r="E1503" s="32">
        <v>46113.0</v>
      </c>
      <c r="F1503" s="32">
        <v>46171.0</v>
      </c>
      <c r="G1503" s="33"/>
    </row>
    <row r="1504" ht="15.75" customHeight="1">
      <c r="A1504" s="26" t="s">
        <v>5168</v>
      </c>
      <c r="B1504" s="27" t="s">
        <v>278</v>
      </c>
      <c r="C1504" s="27" t="s">
        <v>1228</v>
      </c>
      <c r="D1504" s="26" t="s">
        <v>3663</v>
      </c>
      <c r="E1504" s="28">
        <v>46113.0</v>
      </c>
      <c r="F1504" s="28">
        <v>46171.0</v>
      </c>
      <c r="G1504" s="29"/>
    </row>
    <row r="1505" ht="15.75" customHeight="1">
      <c r="A1505" s="30" t="s">
        <v>5169</v>
      </c>
      <c r="B1505" s="31" t="s">
        <v>278</v>
      </c>
      <c r="C1505" s="31" t="s">
        <v>1172</v>
      </c>
      <c r="D1505" s="30" t="s">
        <v>3663</v>
      </c>
      <c r="E1505" s="32">
        <v>46113.0</v>
      </c>
      <c r="F1505" s="32">
        <v>46171.0</v>
      </c>
      <c r="G1505" s="34"/>
    </row>
    <row r="1506" ht="15.75" customHeight="1">
      <c r="A1506" s="26" t="s">
        <v>5170</v>
      </c>
      <c r="B1506" s="27" t="s">
        <v>278</v>
      </c>
      <c r="C1506" s="27" t="s">
        <v>1312</v>
      </c>
      <c r="D1506" s="26" t="s">
        <v>3663</v>
      </c>
      <c r="E1506" s="28">
        <v>46113.0</v>
      </c>
      <c r="F1506" s="28">
        <v>46171.0</v>
      </c>
      <c r="G1506" s="29"/>
    </row>
    <row r="1507" ht="15.75" customHeight="1">
      <c r="A1507" s="30" t="s">
        <v>5171</v>
      </c>
      <c r="B1507" s="31" t="s">
        <v>278</v>
      </c>
      <c r="C1507" s="31" t="s">
        <v>1351</v>
      </c>
      <c r="D1507" s="30" t="s">
        <v>3663</v>
      </c>
      <c r="E1507" s="32">
        <v>46113.0</v>
      </c>
      <c r="F1507" s="32">
        <v>46171.0</v>
      </c>
      <c r="G1507" s="33"/>
    </row>
    <row r="1508" ht="15.75" customHeight="1">
      <c r="A1508" s="26" t="s">
        <v>5172</v>
      </c>
      <c r="B1508" s="27" t="s">
        <v>278</v>
      </c>
      <c r="C1508" s="27" t="s">
        <v>1349</v>
      </c>
      <c r="D1508" s="26" t="s">
        <v>3663</v>
      </c>
      <c r="E1508" s="28">
        <v>46113.0</v>
      </c>
      <c r="F1508" s="28">
        <v>46171.0</v>
      </c>
      <c r="G1508" s="29"/>
    </row>
    <row r="1509" ht="15.75" customHeight="1">
      <c r="A1509" s="30" t="s">
        <v>5173</v>
      </c>
      <c r="B1509" s="31" t="s">
        <v>278</v>
      </c>
      <c r="C1509" s="31" t="s">
        <v>3653</v>
      </c>
      <c r="D1509" s="31" t="s">
        <v>3663</v>
      </c>
      <c r="E1509" s="32">
        <v>46113.0</v>
      </c>
      <c r="F1509" s="32">
        <v>46171.0</v>
      </c>
      <c r="G1509" s="33"/>
    </row>
    <row r="1510" ht="15.75" customHeight="1">
      <c r="A1510" s="26" t="s">
        <v>5174</v>
      </c>
      <c r="B1510" s="27" t="s">
        <v>278</v>
      </c>
      <c r="C1510" s="27" t="s">
        <v>3652</v>
      </c>
      <c r="D1510" s="26" t="s">
        <v>3663</v>
      </c>
      <c r="E1510" s="28">
        <v>46113.0</v>
      </c>
      <c r="F1510" s="28">
        <v>46171.0</v>
      </c>
      <c r="G1510" s="29"/>
    </row>
    <row r="1511" ht="15.75" customHeight="1">
      <c r="A1511" s="30" t="s">
        <v>5175</v>
      </c>
      <c r="B1511" s="31" t="s">
        <v>278</v>
      </c>
      <c r="C1511" s="31" t="s">
        <v>965</v>
      </c>
      <c r="D1511" s="30" t="s">
        <v>3663</v>
      </c>
      <c r="E1511" s="32">
        <v>46113.0</v>
      </c>
      <c r="F1511" s="32">
        <v>46171.0</v>
      </c>
      <c r="G1511" s="33"/>
    </row>
    <row r="1512" ht="15.75" customHeight="1">
      <c r="A1512" s="26" t="s">
        <v>5176</v>
      </c>
      <c r="B1512" s="27" t="s">
        <v>278</v>
      </c>
      <c r="C1512" s="27" t="s">
        <v>923</v>
      </c>
      <c r="D1512" s="26" t="s">
        <v>3663</v>
      </c>
      <c r="E1512" s="28">
        <v>46113.0</v>
      </c>
      <c r="F1512" s="28">
        <v>46171.0</v>
      </c>
      <c r="G1512" s="29"/>
    </row>
    <row r="1513" ht="15.75" customHeight="1">
      <c r="A1513" s="30" t="s">
        <v>5177</v>
      </c>
      <c r="B1513" s="31" t="s">
        <v>279</v>
      </c>
      <c r="C1513" s="31" t="s">
        <v>932</v>
      </c>
      <c r="D1513" s="30" t="s">
        <v>3663</v>
      </c>
      <c r="E1513" s="32">
        <v>46113.0</v>
      </c>
      <c r="F1513" s="32">
        <v>46171.0</v>
      </c>
      <c r="G1513" s="33"/>
    </row>
    <row r="1514" ht="15.75" customHeight="1">
      <c r="A1514" s="26" t="s">
        <v>5178</v>
      </c>
      <c r="B1514" s="27" t="s">
        <v>279</v>
      </c>
      <c r="C1514" s="27" t="s">
        <v>1168</v>
      </c>
      <c r="D1514" s="26" t="s">
        <v>3663</v>
      </c>
      <c r="E1514" s="28">
        <v>46113.0</v>
      </c>
      <c r="F1514" s="28">
        <v>46171.0</v>
      </c>
      <c r="G1514" s="29"/>
    </row>
    <row r="1515" ht="15.75" customHeight="1">
      <c r="A1515" s="30" t="s">
        <v>5179</v>
      </c>
      <c r="B1515" s="31" t="s">
        <v>279</v>
      </c>
      <c r="C1515" s="31" t="s">
        <v>1170</v>
      </c>
      <c r="D1515" s="30" t="s">
        <v>3663</v>
      </c>
      <c r="E1515" s="32">
        <v>46113.0</v>
      </c>
      <c r="F1515" s="32">
        <v>46171.0</v>
      </c>
      <c r="G1515" s="33"/>
    </row>
    <row r="1516" ht="15.75" customHeight="1">
      <c r="A1516" s="26" t="s">
        <v>5180</v>
      </c>
      <c r="B1516" s="27" t="s">
        <v>279</v>
      </c>
      <c r="C1516" s="27" t="s">
        <v>1288</v>
      </c>
      <c r="D1516" s="26" t="s">
        <v>3663</v>
      </c>
      <c r="E1516" s="28">
        <v>46113.0</v>
      </c>
      <c r="F1516" s="28">
        <v>46171.0</v>
      </c>
      <c r="G1516" s="29"/>
    </row>
    <row r="1517" ht="15.75" customHeight="1">
      <c r="A1517" s="30" t="s">
        <v>5181</v>
      </c>
      <c r="B1517" s="31" t="s">
        <v>279</v>
      </c>
      <c r="C1517" s="31" t="s">
        <v>1291</v>
      </c>
      <c r="D1517" s="30" t="s">
        <v>3663</v>
      </c>
      <c r="E1517" s="32">
        <v>46113.0</v>
      </c>
      <c r="F1517" s="32">
        <v>46171.0</v>
      </c>
      <c r="G1517" s="33"/>
    </row>
    <row r="1518" ht="15.75" customHeight="1">
      <c r="A1518" s="26" t="s">
        <v>5182</v>
      </c>
      <c r="B1518" s="27" t="s">
        <v>279</v>
      </c>
      <c r="C1518" s="27" t="s">
        <v>1354</v>
      </c>
      <c r="D1518" s="26" t="s">
        <v>3663</v>
      </c>
      <c r="E1518" s="28">
        <v>46113.0</v>
      </c>
      <c r="F1518" s="28">
        <v>46171.0</v>
      </c>
      <c r="G1518" s="29"/>
    </row>
    <row r="1519" ht="15.75" customHeight="1">
      <c r="A1519" s="30" t="s">
        <v>5183</v>
      </c>
      <c r="B1519" s="31" t="s">
        <v>279</v>
      </c>
      <c r="C1519" s="31" t="s">
        <v>1159</v>
      </c>
      <c r="D1519" s="30" t="s">
        <v>3663</v>
      </c>
      <c r="E1519" s="32">
        <v>46113.0</v>
      </c>
      <c r="F1519" s="32">
        <v>46171.0</v>
      </c>
      <c r="G1519" s="33"/>
    </row>
    <row r="1520" ht="15.75" customHeight="1">
      <c r="A1520" s="26" t="s">
        <v>5184</v>
      </c>
      <c r="B1520" s="27" t="s">
        <v>279</v>
      </c>
      <c r="C1520" s="27" t="s">
        <v>3656</v>
      </c>
      <c r="D1520" s="26" t="s">
        <v>3663</v>
      </c>
      <c r="E1520" s="28">
        <v>46113.0</v>
      </c>
      <c r="F1520" s="28">
        <v>46171.0</v>
      </c>
      <c r="G1520" s="29"/>
    </row>
    <row r="1521" ht="15.75" customHeight="1">
      <c r="A1521" s="30" t="s">
        <v>5185</v>
      </c>
      <c r="B1521" s="31" t="s">
        <v>279</v>
      </c>
      <c r="C1521" s="31" t="s">
        <v>3657</v>
      </c>
      <c r="D1521" s="30" t="s">
        <v>3663</v>
      </c>
      <c r="E1521" s="32">
        <v>46113.0</v>
      </c>
      <c r="F1521" s="32">
        <v>46171.0</v>
      </c>
      <c r="G1521" s="33"/>
    </row>
    <row r="1522" ht="15.75" customHeight="1">
      <c r="A1522" s="26" t="s">
        <v>5186</v>
      </c>
      <c r="B1522" s="27" t="s">
        <v>279</v>
      </c>
      <c r="C1522" s="27" t="s">
        <v>1216</v>
      </c>
      <c r="D1522" s="26" t="s">
        <v>3663</v>
      </c>
      <c r="E1522" s="28">
        <v>46113.0</v>
      </c>
      <c r="F1522" s="28">
        <v>46171.0</v>
      </c>
      <c r="G1522" s="29"/>
    </row>
    <row r="1523" ht="15.75" customHeight="1">
      <c r="A1523" s="30" t="s">
        <v>5187</v>
      </c>
      <c r="B1523" s="31" t="s">
        <v>279</v>
      </c>
      <c r="C1523" s="31" t="s">
        <v>1351</v>
      </c>
      <c r="D1523" s="30" t="s">
        <v>3663</v>
      </c>
      <c r="E1523" s="32">
        <v>46113.0</v>
      </c>
      <c r="F1523" s="32">
        <v>46171.0</v>
      </c>
      <c r="G1523" s="33"/>
    </row>
    <row r="1524" ht="15.75" customHeight="1">
      <c r="A1524" s="26" t="s">
        <v>5188</v>
      </c>
      <c r="B1524" s="27" t="s">
        <v>279</v>
      </c>
      <c r="C1524" s="27" t="s">
        <v>1349</v>
      </c>
      <c r="D1524" s="26" t="s">
        <v>3663</v>
      </c>
      <c r="E1524" s="28">
        <v>46113.0</v>
      </c>
      <c r="F1524" s="28">
        <v>46171.0</v>
      </c>
      <c r="G1524" s="29"/>
    </row>
    <row r="1525" ht="15.75" customHeight="1">
      <c r="A1525" s="30" t="s">
        <v>5189</v>
      </c>
      <c r="B1525" s="31" t="s">
        <v>279</v>
      </c>
      <c r="C1525" s="31" t="s">
        <v>968</v>
      </c>
      <c r="D1525" s="30" t="s">
        <v>3663</v>
      </c>
      <c r="E1525" s="32">
        <v>46113.0</v>
      </c>
      <c r="F1525" s="32">
        <v>46171.0</v>
      </c>
      <c r="G1525" s="33"/>
    </row>
    <row r="1526" ht="15.75" customHeight="1">
      <c r="A1526" s="26" t="s">
        <v>5190</v>
      </c>
      <c r="B1526" s="27" t="s">
        <v>279</v>
      </c>
      <c r="C1526" s="27" t="s">
        <v>923</v>
      </c>
      <c r="D1526" s="26" t="s">
        <v>3663</v>
      </c>
      <c r="E1526" s="28">
        <v>46113.0</v>
      </c>
      <c r="F1526" s="28">
        <v>46171.0</v>
      </c>
      <c r="G1526" s="29"/>
    </row>
    <row r="1527" ht="15.75" customHeight="1">
      <c r="A1527" s="30" t="s">
        <v>5191</v>
      </c>
      <c r="B1527" s="31" t="s">
        <v>280</v>
      </c>
      <c r="C1527" s="31" t="s">
        <v>932</v>
      </c>
      <c r="D1527" s="30" t="s">
        <v>3663</v>
      </c>
      <c r="E1527" s="32">
        <v>46113.0</v>
      </c>
      <c r="F1527" s="32">
        <v>46171.0</v>
      </c>
      <c r="G1527" s="33"/>
    </row>
    <row r="1528" ht="15.75" customHeight="1">
      <c r="A1528" s="26" t="s">
        <v>5192</v>
      </c>
      <c r="B1528" s="27" t="s">
        <v>280</v>
      </c>
      <c r="C1528" s="27" t="s">
        <v>1168</v>
      </c>
      <c r="D1528" s="26" t="s">
        <v>3663</v>
      </c>
      <c r="E1528" s="28">
        <v>46113.0</v>
      </c>
      <c r="F1528" s="28">
        <v>46171.0</v>
      </c>
      <c r="G1528" s="29"/>
    </row>
    <row r="1529" ht="15.75" customHeight="1">
      <c r="A1529" s="30" t="s">
        <v>5193</v>
      </c>
      <c r="B1529" s="31" t="s">
        <v>280</v>
      </c>
      <c r="C1529" s="31" t="s">
        <v>1170</v>
      </c>
      <c r="D1529" s="30" t="s">
        <v>3663</v>
      </c>
      <c r="E1529" s="32">
        <v>46113.0</v>
      </c>
      <c r="F1529" s="32">
        <v>46171.0</v>
      </c>
      <c r="G1529" s="33"/>
    </row>
    <row r="1530" ht="15.75" customHeight="1">
      <c r="A1530" s="26" t="s">
        <v>5194</v>
      </c>
      <c r="B1530" s="27" t="s">
        <v>280</v>
      </c>
      <c r="C1530" s="27" t="s">
        <v>1288</v>
      </c>
      <c r="D1530" s="26" t="s">
        <v>3663</v>
      </c>
      <c r="E1530" s="28">
        <v>46113.0</v>
      </c>
      <c r="F1530" s="28">
        <v>46171.0</v>
      </c>
      <c r="G1530" s="29"/>
    </row>
    <row r="1531" ht="15.75" customHeight="1">
      <c r="A1531" s="30" t="s">
        <v>5195</v>
      </c>
      <c r="B1531" s="31" t="s">
        <v>280</v>
      </c>
      <c r="C1531" s="31" t="s">
        <v>1291</v>
      </c>
      <c r="D1531" s="30" t="s">
        <v>3663</v>
      </c>
      <c r="E1531" s="32">
        <v>46113.0</v>
      </c>
      <c r="F1531" s="32">
        <v>46171.0</v>
      </c>
      <c r="G1531" s="33"/>
    </row>
    <row r="1532" ht="15.75" customHeight="1">
      <c r="A1532" s="26" t="s">
        <v>5196</v>
      </c>
      <c r="B1532" s="27" t="s">
        <v>280</v>
      </c>
      <c r="C1532" s="27" t="s">
        <v>1354</v>
      </c>
      <c r="D1532" s="26" t="s">
        <v>3663</v>
      </c>
      <c r="E1532" s="28">
        <v>46113.0</v>
      </c>
      <c r="F1532" s="28">
        <v>46171.0</v>
      </c>
      <c r="G1532" s="29"/>
    </row>
    <row r="1533" ht="15.75" customHeight="1">
      <c r="A1533" s="30" t="s">
        <v>5197</v>
      </c>
      <c r="B1533" s="31" t="s">
        <v>280</v>
      </c>
      <c r="C1533" s="31" t="s">
        <v>1312</v>
      </c>
      <c r="D1533" s="30" t="s">
        <v>3663</v>
      </c>
      <c r="E1533" s="32">
        <v>46113.0</v>
      </c>
      <c r="F1533" s="32">
        <v>46171.0</v>
      </c>
      <c r="G1533" s="33"/>
    </row>
    <row r="1534" ht="15.75" customHeight="1">
      <c r="A1534" s="26" t="s">
        <v>5198</v>
      </c>
      <c r="B1534" s="27" t="s">
        <v>280</v>
      </c>
      <c r="C1534" s="27" t="s">
        <v>1208</v>
      </c>
      <c r="D1534" s="26" t="s">
        <v>3663</v>
      </c>
      <c r="E1534" s="28">
        <v>46113.0</v>
      </c>
      <c r="F1534" s="28">
        <v>46171.0</v>
      </c>
      <c r="G1534" s="29"/>
    </row>
    <row r="1535" ht="15.75" customHeight="1">
      <c r="A1535" s="30" t="s">
        <v>5199</v>
      </c>
      <c r="B1535" s="31" t="s">
        <v>280</v>
      </c>
      <c r="C1535" s="31" t="s">
        <v>3656</v>
      </c>
      <c r="D1535" s="30" t="s">
        <v>3663</v>
      </c>
      <c r="E1535" s="32">
        <v>46113.0</v>
      </c>
      <c r="F1535" s="32">
        <v>46171.0</v>
      </c>
      <c r="G1535" s="33"/>
    </row>
    <row r="1536" ht="15.75" customHeight="1">
      <c r="A1536" s="26" t="s">
        <v>5200</v>
      </c>
      <c r="B1536" s="27" t="s">
        <v>280</v>
      </c>
      <c r="C1536" s="27" t="s">
        <v>3657</v>
      </c>
      <c r="D1536" s="26" t="s">
        <v>3663</v>
      </c>
      <c r="E1536" s="28">
        <v>46113.0</v>
      </c>
      <c r="F1536" s="28">
        <v>46171.0</v>
      </c>
      <c r="G1536" s="29"/>
    </row>
    <row r="1537" ht="15.75" customHeight="1">
      <c r="A1537" s="30" t="s">
        <v>5201</v>
      </c>
      <c r="B1537" s="31" t="s">
        <v>280</v>
      </c>
      <c r="C1537" s="31" t="s">
        <v>3647</v>
      </c>
      <c r="D1537" s="30" t="s">
        <v>3663</v>
      </c>
      <c r="E1537" s="32">
        <v>46113.0</v>
      </c>
      <c r="F1537" s="32">
        <v>46171.0</v>
      </c>
      <c r="G1537" s="33"/>
    </row>
    <row r="1538" ht="15.75" customHeight="1">
      <c r="A1538" s="26" t="s">
        <v>5202</v>
      </c>
      <c r="B1538" s="27" t="s">
        <v>280</v>
      </c>
      <c r="C1538" s="27" t="s">
        <v>952</v>
      </c>
      <c r="D1538" s="26" t="s">
        <v>3663</v>
      </c>
      <c r="E1538" s="28">
        <v>46113.0</v>
      </c>
      <c r="F1538" s="28">
        <v>46171.0</v>
      </c>
      <c r="G1538" s="29"/>
    </row>
    <row r="1539" ht="15.75" customHeight="1">
      <c r="A1539" s="30" t="s">
        <v>5203</v>
      </c>
      <c r="B1539" s="31" t="s">
        <v>280</v>
      </c>
      <c r="C1539" s="31" t="s">
        <v>968</v>
      </c>
      <c r="D1539" s="30" t="s">
        <v>3663</v>
      </c>
      <c r="E1539" s="32">
        <v>46113.0</v>
      </c>
      <c r="F1539" s="32">
        <v>46171.0</v>
      </c>
      <c r="G1539" s="33"/>
    </row>
    <row r="1540" ht="15.75" customHeight="1">
      <c r="A1540" s="26" t="s">
        <v>5204</v>
      </c>
      <c r="B1540" s="27" t="s">
        <v>280</v>
      </c>
      <c r="C1540" s="27" t="s">
        <v>923</v>
      </c>
      <c r="D1540" s="26" t="s">
        <v>3663</v>
      </c>
      <c r="E1540" s="28">
        <v>46113.0</v>
      </c>
      <c r="F1540" s="28">
        <v>46171.0</v>
      </c>
      <c r="G1540" s="29"/>
    </row>
    <row r="1541" ht="15.75" customHeight="1">
      <c r="A1541" s="30" t="s">
        <v>5205</v>
      </c>
      <c r="B1541" s="31" t="s">
        <v>281</v>
      </c>
      <c r="C1541" s="31" t="s">
        <v>926</v>
      </c>
      <c r="D1541" s="30" t="s">
        <v>3663</v>
      </c>
      <c r="E1541" s="32">
        <v>46113.0</v>
      </c>
      <c r="F1541" s="32">
        <v>46171.0</v>
      </c>
      <c r="G1541" s="33"/>
    </row>
    <row r="1542" ht="15.75" customHeight="1">
      <c r="A1542" s="26" t="s">
        <v>5206</v>
      </c>
      <c r="B1542" s="27" t="s">
        <v>281</v>
      </c>
      <c r="C1542" s="27" t="s">
        <v>1354</v>
      </c>
      <c r="D1542" s="26" t="s">
        <v>3663</v>
      </c>
      <c r="E1542" s="28">
        <v>46113.0</v>
      </c>
      <c r="F1542" s="28">
        <v>46171.0</v>
      </c>
      <c r="G1542" s="29"/>
    </row>
    <row r="1543" ht="15.75" customHeight="1">
      <c r="A1543" s="30" t="s">
        <v>5207</v>
      </c>
      <c r="B1543" s="31" t="s">
        <v>281</v>
      </c>
      <c r="C1543" s="31" t="s">
        <v>3681</v>
      </c>
      <c r="D1543" s="30" t="s">
        <v>3663</v>
      </c>
      <c r="E1543" s="32">
        <v>46113.0</v>
      </c>
      <c r="F1543" s="32">
        <v>46171.0</v>
      </c>
      <c r="G1543" s="33"/>
    </row>
    <row r="1544" ht="15.75" customHeight="1">
      <c r="A1544" s="26" t="s">
        <v>5208</v>
      </c>
      <c r="B1544" s="27" t="s">
        <v>281</v>
      </c>
      <c r="C1544" s="27" t="s">
        <v>3683</v>
      </c>
      <c r="D1544" s="26" t="s">
        <v>3663</v>
      </c>
      <c r="E1544" s="28">
        <v>46113.0</v>
      </c>
      <c r="F1544" s="28">
        <v>46171.0</v>
      </c>
      <c r="G1544" s="29"/>
    </row>
    <row r="1545" ht="15.75" customHeight="1">
      <c r="A1545" s="30" t="s">
        <v>5209</v>
      </c>
      <c r="B1545" s="31" t="s">
        <v>281</v>
      </c>
      <c r="C1545" s="31" t="s">
        <v>1277</v>
      </c>
      <c r="D1545" s="30" t="s">
        <v>3663</v>
      </c>
      <c r="E1545" s="32">
        <v>46113.0</v>
      </c>
      <c r="F1545" s="32">
        <v>46171.0</v>
      </c>
      <c r="G1545" s="33"/>
    </row>
    <row r="1546" ht="15.75" customHeight="1">
      <c r="A1546" s="26" t="s">
        <v>5210</v>
      </c>
      <c r="B1546" s="27" t="s">
        <v>281</v>
      </c>
      <c r="C1546" s="27" t="s">
        <v>1279</v>
      </c>
      <c r="D1546" s="26" t="s">
        <v>3663</v>
      </c>
      <c r="E1546" s="28">
        <v>46113.0</v>
      </c>
      <c r="F1546" s="28">
        <v>46171.0</v>
      </c>
      <c r="G1546" s="29"/>
    </row>
    <row r="1547" ht="15.75" customHeight="1">
      <c r="A1547" s="30" t="s">
        <v>5211</v>
      </c>
      <c r="B1547" s="31" t="s">
        <v>281</v>
      </c>
      <c r="C1547" s="31" t="s">
        <v>1283</v>
      </c>
      <c r="D1547" s="30" t="s">
        <v>3663</v>
      </c>
      <c r="E1547" s="32">
        <v>46113.0</v>
      </c>
      <c r="F1547" s="32">
        <v>46171.0</v>
      </c>
      <c r="G1547" s="33"/>
    </row>
    <row r="1548" ht="15.75" customHeight="1">
      <c r="A1548" s="26" t="s">
        <v>5212</v>
      </c>
      <c r="B1548" s="27" t="s">
        <v>281</v>
      </c>
      <c r="C1548" s="27" t="s">
        <v>1281</v>
      </c>
      <c r="D1548" s="26" t="s">
        <v>3663</v>
      </c>
      <c r="E1548" s="28">
        <v>46113.0</v>
      </c>
      <c r="F1548" s="28">
        <v>46171.0</v>
      </c>
      <c r="G1548" s="29"/>
    </row>
    <row r="1549" ht="15.75" customHeight="1">
      <c r="A1549" s="30" t="s">
        <v>5213</v>
      </c>
      <c r="B1549" s="31" t="s">
        <v>281</v>
      </c>
      <c r="C1549" s="31" t="s">
        <v>1218</v>
      </c>
      <c r="D1549" s="30" t="s">
        <v>3663</v>
      </c>
      <c r="E1549" s="32">
        <v>46113.0</v>
      </c>
      <c r="F1549" s="32">
        <v>46171.0</v>
      </c>
      <c r="G1549" s="33"/>
    </row>
    <row r="1550" ht="15.75" customHeight="1">
      <c r="A1550" s="26" t="s">
        <v>5214</v>
      </c>
      <c r="B1550" s="27" t="s">
        <v>281</v>
      </c>
      <c r="C1550" s="27" t="s">
        <v>1351</v>
      </c>
      <c r="D1550" s="26" t="s">
        <v>3663</v>
      </c>
      <c r="E1550" s="28">
        <v>46113.0</v>
      </c>
      <c r="F1550" s="28">
        <v>46171.0</v>
      </c>
      <c r="G1550" s="29"/>
    </row>
    <row r="1551" ht="15.75" customHeight="1">
      <c r="A1551" s="30" t="s">
        <v>5215</v>
      </c>
      <c r="B1551" s="31" t="s">
        <v>281</v>
      </c>
      <c r="C1551" s="31" t="s">
        <v>1349</v>
      </c>
      <c r="D1551" s="30" t="s">
        <v>3663</v>
      </c>
      <c r="E1551" s="32">
        <v>46113.0</v>
      </c>
      <c r="F1551" s="32">
        <v>46171.0</v>
      </c>
      <c r="G1551" s="33"/>
    </row>
    <row r="1552" ht="15.75" customHeight="1">
      <c r="A1552" s="26" t="s">
        <v>5216</v>
      </c>
      <c r="B1552" s="27" t="s">
        <v>281</v>
      </c>
      <c r="C1552" s="27" t="s">
        <v>968</v>
      </c>
      <c r="D1552" s="26" t="s">
        <v>3663</v>
      </c>
      <c r="E1552" s="28">
        <v>46113.0</v>
      </c>
      <c r="F1552" s="28">
        <v>46171.0</v>
      </c>
      <c r="G1552" s="29"/>
    </row>
    <row r="1553" ht="15.75" customHeight="1">
      <c r="A1553" s="30" t="s">
        <v>5217</v>
      </c>
      <c r="B1553" s="31" t="s">
        <v>281</v>
      </c>
      <c r="C1553" s="31" t="s">
        <v>923</v>
      </c>
      <c r="D1553" s="30" t="s">
        <v>3663</v>
      </c>
      <c r="E1553" s="32">
        <v>46113.0</v>
      </c>
      <c r="F1553" s="32">
        <v>46171.0</v>
      </c>
      <c r="G1553" s="33"/>
    </row>
    <row r="1554" ht="15.75" customHeight="1">
      <c r="A1554" s="26" t="s">
        <v>5218</v>
      </c>
      <c r="B1554" s="27" t="s">
        <v>281</v>
      </c>
      <c r="C1554" s="27" t="s">
        <v>955</v>
      </c>
      <c r="D1554" s="26" t="s">
        <v>3663</v>
      </c>
      <c r="E1554" s="28">
        <v>46113.0</v>
      </c>
      <c r="F1554" s="28">
        <v>46171.0</v>
      </c>
      <c r="G1554" s="29"/>
    </row>
    <row r="1555" ht="15.75" customHeight="1">
      <c r="A1555" s="30" t="s">
        <v>5219</v>
      </c>
      <c r="B1555" s="31" t="s">
        <v>283</v>
      </c>
      <c r="C1555" s="31" t="s">
        <v>930</v>
      </c>
      <c r="D1555" s="30" t="s">
        <v>3663</v>
      </c>
      <c r="E1555" s="32">
        <v>46113.0</v>
      </c>
      <c r="F1555" s="32">
        <v>46171.0</v>
      </c>
      <c r="G1555" s="33"/>
    </row>
    <row r="1556" ht="15.75" customHeight="1">
      <c r="A1556" s="26" t="s">
        <v>5220</v>
      </c>
      <c r="B1556" s="27" t="s">
        <v>283</v>
      </c>
      <c r="C1556" s="27" t="s">
        <v>1354</v>
      </c>
      <c r="D1556" s="26" t="s">
        <v>3663</v>
      </c>
      <c r="E1556" s="28">
        <v>46113.0</v>
      </c>
      <c r="F1556" s="28">
        <v>46171.0</v>
      </c>
      <c r="G1556" s="29"/>
    </row>
    <row r="1557" ht="15.75" customHeight="1">
      <c r="A1557" s="30" t="s">
        <v>5221</v>
      </c>
      <c r="B1557" s="31" t="s">
        <v>283</v>
      </c>
      <c r="C1557" s="31" t="s">
        <v>1172</v>
      </c>
      <c r="D1557" s="30" t="s">
        <v>3663</v>
      </c>
      <c r="E1557" s="32">
        <v>46113.0</v>
      </c>
      <c r="F1557" s="32">
        <v>46171.0</v>
      </c>
      <c r="G1557" s="34"/>
    </row>
    <row r="1558" ht="15.75" customHeight="1">
      <c r="A1558" s="26" t="s">
        <v>5222</v>
      </c>
      <c r="B1558" s="27" t="s">
        <v>283</v>
      </c>
      <c r="C1558" s="27" t="s">
        <v>1312</v>
      </c>
      <c r="D1558" s="26" t="s">
        <v>3663</v>
      </c>
      <c r="E1558" s="28">
        <v>46113.0</v>
      </c>
      <c r="F1558" s="28">
        <v>46171.0</v>
      </c>
      <c r="G1558" s="29"/>
    </row>
    <row r="1559" ht="15.75" customHeight="1">
      <c r="A1559" s="30" t="s">
        <v>5223</v>
      </c>
      <c r="B1559" s="31" t="s">
        <v>283</v>
      </c>
      <c r="C1559" s="31" t="s">
        <v>3681</v>
      </c>
      <c r="D1559" s="30" t="s">
        <v>3663</v>
      </c>
      <c r="E1559" s="32">
        <v>46113.0</v>
      </c>
      <c r="F1559" s="32">
        <v>46171.0</v>
      </c>
      <c r="G1559" s="33"/>
    </row>
    <row r="1560" ht="15.75" customHeight="1">
      <c r="A1560" s="26" t="s">
        <v>5224</v>
      </c>
      <c r="B1560" s="27" t="s">
        <v>283</v>
      </c>
      <c r="C1560" s="27" t="s">
        <v>3683</v>
      </c>
      <c r="D1560" s="26" t="s">
        <v>3663</v>
      </c>
      <c r="E1560" s="28">
        <v>46113.0</v>
      </c>
      <c r="F1560" s="28">
        <v>46171.0</v>
      </c>
      <c r="G1560" s="29"/>
    </row>
    <row r="1561" ht="15.75" customHeight="1">
      <c r="A1561" s="30" t="s">
        <v>5225</v>
      </c>
      <c r="B1561" s="31" t="s">
        <v>283</v>
      </c>
      <c r="C1561" s="31" t="s">
        <v>1157</v>
      </c>
      <c r="D1561" s="30" t="s">
        <v>3663</v>
      </c>
      <c r="E1561" s="32">
        <v>46113.0</v>
      </c>
      <c r="F1561" s="32">
        <v>46171.0</v>
      </c>
      <c r="G1561" s="33"/>
    </row>
    <row r="1562" ht="15.75" customHeight="1">
      <c r="A1562" s="26" t="s">
        <v>5226</v>
      </c>
      <c r="B1562" s="27" t="s">
        <v>283</v>
      </c>
      <c r="C1562" s="27" t="s">
        <v>1155</v>
      </c>
      <c r="D1562" s="26" t="s">
        <v>3663</v>
      </c>
      <c r="E1562" s="28">
        <v>46113.0</v>
      </c>
      <c r="F1562" s="28">
        <v>46171.0</v>
      </c>
      <c r="G1562" s="29"/>
    </row>
    <row r="1563" ht="15.75" customHeight="1">
      <c r="A1563" s="30" t="s">
        <v>5227</v>
      </c>
      <c r="B1563" s="31" t="s">
        <v>283</v>
      </c>
      <c r="C1563" s="31" t="s">
        <v>1153</v>
      </c>
      <c r="D1563" s="30" t="s">
        <v>3663</v>
      </c>
      <c r="E1563" s="32">
        <v>46113.0</v>
      </c>
      <c r="F1563" s="32">
        <v>46171.0</v>
      </c>
      <c r="G1563" s="33"/>
    </row>
    <row r="1564" ht="15.75" customHeight="1">
      <c r="A1564" s="26" t="s">
        <v>5228</v>
      </c>
      <c r="B1564" s="27" t="s">
        <v>283</v>
      </c>
      <c r="C1564" s="27" t="s">
        <v>1149</v>
      </c>
      <c r="D1564" s="26" t="s">
        <v>3663</v>
      </c>
      <c r="E1564" s="28">
        <v>46113.0</v>
      </c>
      <c r="F1564" s="28">
        <v>46171.0</v>
      </c>
      <c r="G1564" s="29"/>
    </row>
    <row r="1565" ht="15.75" customHeight="1">
      <c r="A1565" s="30" t="s">
        <v>5229</v>
      </c>
      <c r="B1565" s="31" t="s">
        <v>283</v>
      </c>
      <c r="C1565" s="31" t="s">
        <v>1351</v>
      </c>
      <c r="D1565" s="30" t="s">
        <v>3663</v>
      </c>
      <c r="E1565" s="32">
        <v>46113.0</v>
      </c>
      <c r="F1565" s="32">
        <v>46171.0</v>
      </c>
      <c r="G1565" s="33"/>
    </row>
    <row r="1566" ht="15.75" customHeight="1">
      <c r="A1566" s="26" t="s">
        <v>5230</v>
      </c>
      <c r="B1566" s="27" t="s">
        <v>283</v>
      </c>
      <c r="C1566" s="27" t="s">
        <v>1349</v>
      </c>
      <c r="D1566" s="26" t="s">
        <v>3663</v>
      </c>
      <c r="E1566" s="28">
        <v>46113.0</v>
      </c>
      <c r="F1566" s="28">
        <v>46171.0</v>
      </c>
      <c r="G1566" s="29"/>
    </row>
    <row r="1567" ht="15.75" customHeight="1">
      <c r="A1567" s="30" t="s">
        <v>5231</v>
      </c>
      <c r="B1567" s="31" t="s">
        <v>283</v>
      </c>
      <c r="C1567" s="31" t="s">
        <v>968</v>
      </c>
      <c r="D1567" s="30" t="s">
        <v>3663</v>
      </c>
      <c r="E1567" s="32">
        <v>46113.0</v>
      </c>
      <c r="F1567" s="32">
        <v>46171.0</v>
      </c>
      <c r="G1567" s="33"/>
    </row>
    <row r="1568" ht="15.75" customHeight="1">
      <c r="A1568" s="26" t="s">
        <v>5232</v>
      </c>
      <c r="B1568" s="27" t="s">
        <v>283</v>
      </c>
      <c r="C1568" s="27" t="s">
        <v>923</v>
      </c>
      <c r="D1568" s="26" t="s">
        <v>3663</v>
      </c>
      <c r="E1568" s="28">
        <v>46113.0</v>
      </c>
      <c r="F1568" s="28">
        <v>46171.0</v>
      </c>
      <c r="G1568" s="29"/>
    </row>
    <row r="1569" ht="15.75" customHeight="1">
      <c r="A1569" s="30" t="s">
        <v>5233</v>
      </c>
      <c r="B1569" s="31" t="s">
        <v>284</v>
      </c>
      <c r="C1569" s="31" t="s">
        <v>3654</v>
      </c>
      <c r="D1569" s="30" t="s">
        <v>3663</v>
      </c>
      <c r="E1569" s="32">
        <v>46113.0</v>
      </c>
      <c r="F1569" s="32">
        <v>46171.0</v>
      </c>
      <c r="G1569" s="33"/>
    </row>
    <row r="1570" ht="15.75" customHeight="1">
      <c r="A1570" s="26" t="s">
        <v>5234</v>
      </c>
      <c r="B1570" s="27" t="s">
        <v>284</v>
      </c>
      <c r="C1570" s="27" t="s">
        <v>3655</v>
      </c>
      <c r="D1570" s="26" t="s">
        <v>3663</v>
      </c>
      <c r="E1570" s="28">
        <v>46113.0</v>
      </c>
      <c r="F1570" s="28">
        <v>46171.0</v>
      </c>
      <c r="G1570" s="29"/>
    </row>
    <row r="1571" ht="15.75" customHeight="1">
      <c r="A1571" s="30" t="s">
        <v>5235</v>
      </c>
      <c r="B1571" s="31" t="s">
        <v>284</v>
      </c>
      <c r="C1571" s="31" t="s">
        <v>934</v>
      </c>
      <c r="D1571" s="30" t="s">
        <v>3663</v>
      </c>
      <c r="E1571" s="32">
        <v>46113.0</v>
      </c>
      <c r="F1571" s="32">
        <v>46171.0</v>
      </c>
      <c r="G1571" s="33"/>
    </row>
    <row r="1572" ht="15.75" customHeight="1">
      <c r="A1572" s="26" t="s">
        <v>5236</v>
      </c>
      <c r="B1572" s="27" t="s">
        <v>284</v>
      </c>
      <c r="C1572" s="27" t="s">
        <v>1354</v>
      </c>
      <c r="D1572" s="26" t="s">
        <v>3663</v>
      </c>
      <c r="E1572" s="28">
        <v>46113.0</v>
      </c>
      <c r="F1572" s="28">
        <v>46171.0</v>
      </c>
      <c r="G1572" s="29"/>
    </row>
    <row r="1573" ht="15.75" customHeight="1">
      <c r="A1573" s="30" t="s">
        <v>5237</v>
      </c>
      <c r="B1573" s="31" t="s">
        <v>284</v>
      </c>
      <c r="C1573" s="31" t="s">
        <v>1190</v>
      </c>
      <c r="D1573" s="30" t="s">
        <v>3663</v>
      </c>
      <c r="E1573" s="32">
        <v>46113.0</v>
      </c>
      <c r="F1573" s="32">
        <v>46171.0</v>
      </c>
      <c r="G1573" s="33"/>
    </row>
    <row r="1574" ht="15.75" customHeight="1">
      <c r="A1574" s="26" t="s">
        <v>5238</v>
      </c>
      <c r="B1574" s="27" t="s">
        <v>284</v>
      </c>
      <c r="C1574" s="27" t="s">
        <v>1157</v>
      </c>
      <c r="D1574" s="26" t="s">
        <v>3663</v>
      </c>
      <c r="E1574" s="28">
        <v>46113.0</v>
      </c>
      <c r="F1574" s="28">
        <v>46171.0</v>
      </c>
      <c r="G1574" s="29"/>
    </row>
    <row r="1575" ht="15.75" customHeight="1">
      <c r="A1575" s="30" t="s">
        <v>5239</v>
      </c>
      <c r="B1575" s="31" t="s">
        <v>284</v>
      </c>
      <c r="C1575" s="31" t="s">
        <v>1155</v>
      </c>
      <c r="D1575" s="30" t="s">
        <v>3663</v>
      </c>
      <c r="E1575" s="32">
        <v>46113.0</v>
      </c>
      <c r="F1575" s="32">
        <v>46171.0</v>
      </c>
      <c r="G1575" s="33"/>
    </row>
    <row r="1576" ht="15.75" customHeight="1">
      <c r="A1576" s="26" t="s">
        <v>5240</v>
      </c>
      <c r="B1576" s="27" t="s">
        <v>284</v>
      </c>
      <c r="C1576" s="27" t="s">
        <v>1153</v>
      </c>
      <c r="D1576" s="26" t="s">
        <v>3663</v>
      </c>
      <c r="E1576" s="28">
        <v>46113.0</v>
      </c>
      <c r="F1576" s="28">
        <v>46171.0</v>
      </c>
      <c r="G1576" s="29"/>
    </row>
    <row r="1577" ht="15.75" customHeight="1">
      <c r="A1577" s="30" t="s">
        <v>5241</v>
      </c>
      <c r="B1577" s="31" t="s">
        <v>284</v>
      </c>
      <c r="C1577" s="31" t="s">
        <v>1149</v>
      </c>
      <c r="D1577" s="30" t="s">
        <v>3663</v>
      </c>
      <c r="E1577" s="32">
        <v>46113.0</v>
      </c>
      <c r="F1577" s="32">
        <v>46171.0</v>
      </c>
      <c r="G1577" s="33"/>
    </row>
    <row r="1578" ht="15.75" customHeight="1">
      <c r="A1578" s="26" t="s">
        <v>5242</v>
      </c>
      <c r="B1578" s="27" t="s">
        <v>284</v>
      </c>
      <c r="C1578" s="27" t="s">
        <v>1351</v>
      </c>
      <c r="D1578" s="26" t="s">
        <v>3663</v>
      </c>
      <c r="E1578" s="28">
        <v>46113.0</v>
      </c>
      <c r="F1578" s="28">
        <v>46171.0</v>
      </c>
      <c r="G1578" s="29"/>
    </row>
    <row r="1579" ht="15.75" customHeight="1">
      <c r="A1579" s="30" t="s">
        <v>5243</v>
      </c>
      <c r="B1579" s="31" t="s">
        <v>284</v>
      </c>
      <c r="C1579" s="31" t="s">
        <v>1349</v>
      </c>
      <c r="D1579" s="30" t="s">
        <v>3663</v>
      </c>
      <c r="E1579" s="32">
        <v>46113.0</v>
      </c>
      <c r="F1579" s="32">
        <v>46171.0</v>
      </c>
      <c r="G1579" s="33"/>
    </row>
    <row r="1580" ht="15.75" customHeight="1">
      <c r="A1580" s="26" t="s">
        <v>5244</v>
      </c>
      <c r="B1580" s="27" t="s">
        <v>284</v>
      </c>
      <c r="C1580" s="27" t="s">
        <v>968</v>
      </c>
      <c r="D1580" s="26" t="s">
        <v>3663</v>
      </c>
      <c r="E1580" s="28">
        <v>46113.0</v>
      </c>
      <c r="F1580" s="28">
        <v>46171.0</v>
      </c>
      <c r="G1580" s="29"/>
    </row>
    <row r="1581" ht="15.75" customHeight="1">
      <c r="A1581" s="30" t="s">
        <v>5245</v>
      </c>
      <c r="B1581" s="31" t="s">
        <v>284</v>
      </c>
      <c r="C1581" s="31" t="s">
        <v>923</v>
      </c>
      <c r="D1581" s="30" t="s">
        <v>3663</v>
      </c>
      <c r="E1581" s="32">
        <v>46113.0</v>
      </c>
      <c r="F1581" s="32">
        <v>46171.0</v>
      </c>
      <c r="G1581" s="33"/>
    </row>
    <row r="1582" ht="15.75" customHeight="1">
      <c r="A1582" s="26" t="s">
        <v>5246</v>
      </c>
      <c r="B1582" s="27" t="s">
        <v>284</v>
      </c>
      <c r="C1582" s="27" t="s">
        <v>961</v>
      </c>
      <c r="D1582" s="26" t="s">
        <v>3663</v>
      </c>
      <c r="E1582" s="28">
        <v>46113.0</v>
      </c>
      <c r="F1582" s="28">
        <v>46171.0</v>
      </c>
      <c r="G1582" s="29"/>
    </row>
    <row r="1583" ht="15.75" customHeight="1">
      <c r="A1583" s="30" t="s">
        <v>5247</v>
      </c>
      <c r="B1583" s="31" t="s">
        <v>285</v>
      </c>
      <c r="C1583" s="31" t="s">
        <v>3654</v>
      </c>
      <c r="D1583" s="30" t="s">
        <v>3663</v>
      </c>
      <c r="E1583" s="32">
        <v>46113.0</v>
      </c>
      <c r="F1583" s="32">
        <v>46171.0</v>
      </c>
      <c r="G1583" s="33"/>
    </row>
    <row r="1584" ht="15.75" customHeight="1">
      <c r="A1584" s="26" t="s">
        <v>5248</v>
      </c>
      <c r="B1584" s="27" t="s">
        <v>285</v>
      </c>
      <c r="C1584" s="27" t="s">
        <v>3655</v>
      </c>
      <c r="D1584" s="26" t="s">
        <v>3663</v>
      </c>
      <c r="E1584" s="28">
        <v>46113.0</v>
      </c>
      <c r="F1584" s="28">
        <v>46171.0</v>
      </c>
      <c r="G1584" s="29"/>
    </row>
    <row r="1585" ht="15.75" customHeight="1">
      <c r="A1585" s="30" t="s">
        <v>5249</v>
      </c>
      <c r="B1585" s="31" t="s">
        <v>285</v>
      </c>
      <c r="C1585" s="31" t="s">
        <v>930</v>
      </c>
      <c r="D1585" s="30" t="s">
        <v>3663</v>
      </c>
      <c r="E1585" s="32">
        <v>46113.0</v>
      </c>
      <c r="F1585" s="32">
        <v>46171.0</v>
      </c>
      <c r="G1585" s="33"/>
    </row>
    <row r="1586" ht="15.75" customHeight="1">
      <c r="A1586" s="26" t="s">
        <v>5250</v>
      </c>
      <c r="B1586" s="27" t="s">
        <v>285</v>
      </c>
      <c r="C1586" s="27" t="s">
        <v>1354</v>
      </c>
      <c r="D1586" s="26" t="s">
        <v>3663</v>
      </c>
      <c r="E1586" s="28">
        <v>46113.0</v>
      </c>
      <c r="F1586" s="28">
        <v>46171.0</v>
      </c>
      <c r="G1586" s="29"/>
    </row>
    <row r="1587" ht="15.75" customHeight="1">
      <c r="A1587" s="30" t="s">
        <v>5251</v>
      </c>
      <c r="B1587" s="31" t="s">
        <v>285</v>
      </c>
      <c r="C1587" s="31" t="s">
        <v>3641</v>
      </c>
      <c r="D1587" s="30" t="s">
        <v>3663</v>
      </c>
      <c r="E1587" s="32">
        <v>46113.0</v>
      </c>
      <c r="F1587" s="32">
        <v>46171.0</v>
      </c>
      <c r="G1587" s="33"/>
    </row>
    <row r="1588" ht="15.75" customHeight="1">
      <c r="A1588" s="26" t="s">
        <v>5252</v>
      </c>
      <c r="B1588" s="27" t="s">
        <v>285</v>
      </c>
      <c r="C1588" s="27" t="s">
        <v>1304</v>
      </c>
      <c r="D1588" s="26" t="s">
        <v>3663</v>
      </c>
      <c r="E1588" s="28">
        <v>46113.0</v>
      </c>
      <c r="F1588" s="28">
        <v>46171.0</v>
      </c>
      <c r="G1588" s="29"/>
    </row>
    <row r="1589" ht="15.75" customHeight="1">
      <c r="A1589" s="30" t="s">
        <v>5253</v>
      </c>
      <c r="B1589" s="31" t="s">
        <v>285</v>
      </c>
      <c r="C1589" s="31" t="s">
        <v>3642</v>
      </c>
      <c r="D1589" s="30" t="s">
        <v>3663</v>
      </c>
      <c r="E1589" s="32">
        <v>46113.0</v>
      </c>
      <c r="F1589" s="32">
        <v>46171.0</v>
      </c>
      <c r="G1589" s="33"/>
    </row>
    <row r="1590" ht="15.75" customHeight="1">
      <c r="A1590" s="26" t="s">
        <v>5254</v>
      </c>
      <c r="B1590" s="27" t="s">
        <v>285</v>
      </c>
      <c r="C1590" s="27" t="s">
        <v>1308</v>
      </c>
      <c r="D1590" s="26" t="s">
        <v>3663</v>
      </c>
      <c r="E1590" s="28">
        <v>46113.0</v>
      </c>
      <c r="F1590" s="28">
        <v>46171.0</v>
      </c>
      <c r="G1590" s="29"/>
    </row>
    <row r="1591" ht="15.75" customHeight="1">
      <c r="A1591" s="30" t="s">
        <v>5255</v>
      </c>
      <c r="B1591" s="31" t="s">
        <v>285</v>
      </c>
      <c r="C1591" s="31" t="s">
        <v>1218</v>
      </c>
      <c r="D1591" s="30" t="s">
        <v>3663</v>
      </c>
      <c r="E1591" s="32">
        <v>46113.0</v>
      </c>
      <c r="F1591" s="32">
        <v>46171.0</v>
      </c>
      <c r="G1591" s="33"/>
    </row>
    <row r="1592" ht="15.75" customHeight="1">
      <c r="A1592" s="26" t="s">
        <v>5256</v>
      </c>
      <c r="B1592" s="27" t="s">
        <v>285</v>
      </c>
      <c r="C1592" s="27" t="s">
        <v>1351</v>
      </c>
      <c r="D1592" s="26" t="s">
        <v>3663</v>
      </c>
      <c r="E1592" s="28">
        <v>46113.0</v>
      </c>
      <c r="F1592" s="28">
        <v>46171.0</v>
      </c>
      <c r="G1592" s="29"/>
    </row>
    <row r="1593" ht="15.75" customHeight="1">
      <c r="A1593" s="30" t="s">
        <v>5257</v>
      </c>
      <c r="B1593" s="31" t="s">
        <v>285</v>
      </c>
      <c r="C1593" s="31" t="s">
        <v>1349</v>
      </c>
      <c r="D1593" s="30" t="s">
        <v>3663</v>
      </c>
      <c r="E1593" s="32">
        <v>46113.0</v>
      </c>
      <c r="F1593" s="32">
        <v>46171.0</v>
      </c>
      <c r="G1593" s="33"/>
    </row>
    <row r="1594" ht="15.75" customHeight="1">
      <c r="A1594" s="26" t="s">
        <v>5258</v>
      </c>
      <c r="B1594" s="27" t="s">
        <v>285</v>
      </c>
      <c r="C1594" s="27" t="s">
        <v>965</v>
      </c>
      <c r="D1594" s="26" t="s">
        <v>3663</v>
      </c>
      <c r="E1594" s="28">
        <v>46113.0</v>
      </c>
      <c r="F1594" s="28">
        <v>46171.0</v>
      </c>
      <c r="G1594" s="29"/>
    </row>
    <row r="1595" ht="15.75" customHeight="1">
      <c r="A1595" s="30" t="s">
        <v>5259</v>
      </c>
      <c r="B1595" s="31" t="s">
        <v>285</v>
      </c>
      <c r="C1595" s="31" t="s">
        <v>923</v>
      </c>
      <c r="D1595" s="30" t="s">
        <v>3663</v>
      </c>
      <c r="E1595" s="32">
        <v>46113.0</v>
      </c>
      <c r="F1595" s="32">
        <v>46171.0</v>
      </c>
      <c r="G1595" s="33"/>
    </row>
    <row r="1596" ht="15.75" customHeight="1">
      <c r="A1596" s="26" t="s">
        <v>5260</v>
      </c>
      <c r="B1596" s="27" t="s">
        <v>285</v>
      </c>
      <c r="C1596" s="27" t="s">
        <v>955</v>
      </c>
      <c r="D1596" s="26" t="s">
        <v>3663</v>
      </c>
      <c r="E1596" s="28">
        <v>46113.0</v>
      </c>
      <c r="F1596" s="28">
        <v>46171.0</v>
      </c>
      <c r="G1596" s="29"/>
    </row>
    <row r="1597" ht="15.75" customHeight="1">
      <c r="A1597" s="30" t="s">
        <v>5261</v>
      </c>
      <c r="B1597" s="31" t="s">
        <v>286</v>
      </c>
      <c r="C1597" s="31" t="s">
        <v>1240</v>
      </c>
      <c r="D1597" s="30" t="s">
        <v>3663</v>
      </c>
      <c r="E1597" s="32">
        <v>46113.0</v>
      </c>
      <c r="F1597" s="32">
        <v>46171.0</v>
      </c>
      <c r="G1597" s="33"/>
    </row>
    <row r="1598" ht="15.75" customHeight="1">
      <c r="A1598" s="26" t="s">
        <v>5262</v>
      </c>
      <c r="B1598" s="27" t="s">
        <v>286</v>
      </c>
      <c r="C1598" s="27" t="s">
        <v>1242</v>
      </c>
      <c r="D1598" s="26" t="s">
        <v>3663</v>
      </c>
      <c r="E1598" s="28">
        <v>46113.0</v>
      </c>
      <c r="F1598" s="28">
        <v>46171.0</v>
      </c>
      <c r="G1598" s="29"/>
    </row>
    <row r="1599" ht="15.75" customHeight="1">
      <c r="A1599" s="30" t="s">
        <v>5263</v>
      </c>
      <c r="B1599" s="31" t="s">
        <v>286</v>
      </c>
      <c r="C1599" s="31" t="s">
        <v>1244</v>
      </c>
      <c r="D1599" s="30" t="s">
        <v>3663</v>
      </c>
      <c r="E1599" s="32">
        <v>46113.0</v>
      </c>
      <c r="F1599" s="32">
        <v>46171.0</v>
      </c>
      <c r="G1599" s="33"/>
    </row>
    <row r="1600" ht="15.75" customHeight="1">
      <c r="A1600" s="26" t="s">
        <v>5264</v>
      </c>
      <c r="B1600" s="27" t="s">
        <v>286</v>
      </c>
      <c r="C1600" s="27" t="s">
        <v>1246</v>
      </c>
      <c r="D1600" s="26" t="s">
        <v>3663</v>
      </c>
      <c r="E1600" s="28">
        <v>46113.0</v>
      </c>
      <c r="F1600" s="28">
        <v>46171.0</v>
      </c>
      <c r="G1600" s="29"/>
    </row>
    <row r="1601" ht="15.75" customHeight="1">
      <c r="A1601" s="30" t="s">
        <v>5265</v>
      </c>
      <c r="B1601" s="31" t="s">
        <v>286</v>
      </c>
      <c r="C1601" s="31" t="s">
        <v>3654</v>
      </c>
      <c r="D1601" s="30" t="s">
        <v>3663</v>
      </c>
      <c r="E1601" s="32">
        <v>46113.0</v>
      </c>
      <c r="F1601" s="32">
        <v>46171.0</v>
      </c>
      <c r="G1601" s="33"/>
    </row>
    <row r="1602" ht="15.75" customHeight="1">
      <c r="A1602" s="26" t="s">
        <v>5266</v>
      </c>
      <c r="B1602" s="27" t="s">
        <v>286</v>
      </c>
      <c r="C1602" s="27" t="s">
        <v>3655</v>
      </c>
      <c r="D1602" s="26" t="s">
        <v>3663</v>
      </c>
      <c r="E1602" s="28">
        <v>46113.0</v>
      </c>
      <c r="F1602" s="28">
        <v>46171.0</v>
      </c>
      <c r="G1602" s="29"/>
    </row>
    <row r="1603" ht="15.75" customHeight="1">
      <c r="A1603" s="30" t="s">
        <v>5267</v>
      </c>
      <c r="B1603" s="31" t="s">
        <v>286</v>
      </c>
      <c r="C1603" s="31" t="s">
        <v>934</v>
      </c>
      <c r="D1603" s="30" t="s">
        <v>3663</v>
      </c>
      <c r="E1603" s="32">
        <v>46113.0</v>
      </c>
      <c r="F1603" s="32">
        <v>46171.0</v>
      </c>
      <c r="G1603" s="33"/>
    </row>
    <row r="1604" ht="15.75" customHeight="1">
      <c r="A1604" s="26" t="s">
        <v>5268</v>
      </c>
      <c r="B1604" s="27" t="s">
        <v>286</v>
      </c>
      <c r="C1604" s="27" t="s">
        <v>1354</v>
      </c>
      <c r="D1604" s="26" t="s">
        <v>3663</v>
      </c>
      <c r="E1604" s="28">
        <v>46113.0</v>
      </c>
      <c r="F1604" s="28">
        <v>46171.0</v>
      </c>
      <c r="G1604" s="29"/>
    </row>
    <row r="1605" ht="15.75" customHeight="1">
      <c r="A1605" s="30" t="s">
        <v>5269</v>
      </c>
      <c r="B1605" s="31" t="s">
        <v>286</v>
      </c>
      <c r="C1605" s="31" t="s">
        <v>1312</v>
      </c>
      <c r="D1605" s="30" t="s">
        <v>3663</v>
      </c>
      <c r="E1605" s="32">
        <v>46113.0</v>
      </c>
      <c r="F1605" s="32">
        <v>46171.0</v>
      </c>
      <c r="G1605" s="33"/>
    </row>
    <row r="1606" ht="15.75" customHeight="1">
      <c r="A1606" s="26" t="s">
        <v>5270</v>
      </c>
      <c r="B1606" s="27" t="s">
        <v>286</v>
      </c>
      <c r="C1606" s="27" t="s">
        <v>1208</v>
      </c>
      <c r="D1606" s="26" t="s">
        <v>3663</v>
      </c>
      <c r="E1606" s="28">
        <v>46113.0</v>
      </c>
      <c r="F1606" s="28">
        <v>46171.0</v>
      </c>
      <c r="G1606" s="29"/>
    </row>
    <row r="1607" ht="15.75" customHeight="1">
      <c r="A1607" s="30" t="s">
        <v>5271</v>
      </c>
      <c r="B1607" s="31" t="s">
        <v>286</v>
      </c>
      <c r="C1607" s="31" t="s">
        <v>1351</v>
      </c>
      <c r="D1607" s="30" t="s">
        <v>3663</v>
      </c>
      <c r="E1607" s="32">
        <v>46113.0</v>
      </c>
      <c r="F1607" s="32">
        <v>46171.0</v>
      </c>
      <c r="G1607" s="33"/>
    </row>
    <row r="1608" ht="15.75" customHeight="1">
      <c r="A1608" s="26" t="s">
        <v>5272</v>
      </c>
      <c r="B1608" s="27" t="s">
        <v>286</v>
      </c>
      <c r="C1608" s="27" t="s">
        <v>1349</v>
      </c>
      <c r="D1608" s="26" t="s">
        <v>3663</v>
      </c>
      <c r="E1608" s="28">
        <v>46113.0</v>
      </c>
      <c r="F1608" s="28">
        <v>46171.0</v>
      </c>
      <c r="G1608" s="29"/>
    </row>
    <row r="1609" ht="15.75" customHeight="1">
      <c r="A1609" s="30" t="s">
        <v>5273</v>
      </c>
      <c r="B1609" s="31" t="s">
        <v>286</v>
      </c>
      <c r="C1609" s="31" t="s">
        <v>965</v>
      </c>
      <c r="D1609" s="30" t="s">
        <v>3663</v>
      </c>
      <c r="E1609" s="32">
        <v>46113.0</v>
      </c>
      <c r="F1609" s="32">
        <v>46171.0</v>
      </c>
      <c r="G1609" s="33"/>
    </row>
    <row r="1610" ht="15.75" customHeight="1">
      <c r="A1610" s="26" t="s">
        <v>5274</v>
      </c>
      <c r="B1610" s="27" t="s">
        <v>286</v>
      </c>
      <c r="C1610" s="27" t="s">
        <v>923</v>
      </c>
      <c r="D1610" s="26" t="s">
        <v>3663</v>
      </c>
      <c r="E1610" s="28">
        <v>46113.0</v>
      </c>
      <c r="F1610" s="28">
        <v>46171.0</v>
      </c>
      <c r="G1610" s="29"/>
    </row>
    <row r="1611" ht="15.75" customHeight="1">
      <c r="A1611" s="30" t="s">
        <v>5275</v>
      </c>
      <c r="B1611" s="31" t="s">
        <v>287</v>
      </c>
      <c r="C1611" s="31" t="s">
        <v>3654</v>
      </c>
      <c r="D1611" s="30" t="s">
        <v>3663</v>
      </c>
      <c r="E1611" s="32">
        <v>46113.0</v>
      </c>
      <c r="F1611" s="32">
        <v>46171.0</v>
      </c>
      <c r="G1611" s="33"/>
    </row>
    <row r="1612" ht="15.75" customHeight="1">
      <c r="A1612" s="26" t="s">
        <v>5276</v>
      </c>
      <c r="B1612" s="27" t="s">
        <v>287</v>
      </c>
      <c r="C1612" s="27" t="s">
        <v>3655</v>
      </c>
      <c r="D1612" s="26" t="s">
        <v>3663</v>
      </c>
      <c r="E1612" s="28">
        <v>46113.0</v>
      </c>
      <c r="F1612" s="28">
        <v>46171.0</v>
      </c>
      <c r="G1612" s="29"/>
    </row>
    <row r="1613" ht="15.75" customHeight="1">
      <c r="A1613" s="30" t="s">
        <v>5277</v>
      </c>
      <c r="B1613" s="31" t="s">
        <v>287</v>
      </c>
      <c r="C1613" s="31" t="s">
        <v>926</v>
      </c>
      <c r="D1613" s="30" t="s">
        <v>3663</v>
      </c>
      <c r="E1613" s="32">
        <v>46113.0</v>
      </c>
      <c r="F1613" s="32">
        <v>46171.0</v>
      </c>
      <c r="G1613" s="33"/>
    </row>
    <row r="1614" ht="15.75" customHeight="1">
      <c r="A1614" s="26" t="s">
        <v>5278</v>
      </c>
      <c r="B1614" s="27" t="s">
        <v>287</v>
      </c>
      <c r="C1614" s="27" t="s">
        <v>1354</v>
      </c>
      <c r="D1614" s="26" t="s">
        <v>3663</v>
      </c>
      <c r="E1614" s="28">
        <v>46113.0</v>
      </c>
      <c r="F1614" s="28">
        <v>46171.0</v>
      </c>
      <c r="G1614" s="29"/>
    </row>
    <row r="1615" ht="15.75" customHeight="1">
      <c r="A1615" s="30" t="s">
        <v>5279</v>
      </c>
      <c r="B1615" s="31" t="s">
        <v>287</v>
      </c>
      <c r="C1615" s="31" t="s">
        <v>3647</v>
      </c>
      <c r="D1615" s="30" t="s">
        <v>3663</v>
      </c>
      <c r="E1615" s="32">
        <v>46113.0</v>
      </c>
      <c r="F1615" s="32">
        <v>46171.0</v>
      </c>
      <c r="G1615" s="33"/>
    </row>
    <row r="1616" ht="15.75" customHeight="1">
      <c r="A1616" s="26" t="s">
        <v>5280</v>
      </c>
      <c r="B1616" s="27" t="s">
        <v>287</v>
      </c>
      <c r="C1616" s="27" t="s">
        <v>952</v>
      </c>
      <c r="D1616" s="26" t="s">
        <v>3663</v>
      </c>
      <c r="E1616" s="28">
        <v>46113.0</v>
      </c>
      <c r="F1616" s="28">
        <v>46171.0</v>
      </c>
      <c r="G1616" s="29"/>
    </row>
    <row r="1617" ht="15.75" customHeight="1">
      <c r="A1617" s="30" t="s">
        <v>5281</v>
      </c>
      <c r="B1617" s="31" t="s">
        <v>287</v>
      </c>
      <c r="C1617" s="31" t="s">
        <v>1277</v>
      </c>
      <c r="D1617" s="30" t="s">
        <v>3663</v>
      </c>
      <c r="E1617" s="32">
        <v>46113.0</v>
      </c>
      <c r="F1617" s="32">
        <v>46171.0</v>
      </c>
      <c r="G1617" s="33"/>
    </row>
    <row r="1618" ht="15.75" customHeight="1">
      <c r="A1618" s="26" t="s">
        <v>5282</v>
      </c>
      <c r="B1618" s="27" t="s">
        <v>287</v>
      </c>
      <c r="C1618" s="27" t="s">
        <v>1279</v>
      </c>
      <c r="D1618" s="26" t="s">
        <v>3663</v>
      </c>
      <c r="E1618" s="28">
        <v>46113.0</v>
      </c>
      <c r="F1618" s="28">
        <v>46171.0</v>
      </c>
      <c r="G1618" s="29"/>
    </row>
    <row r="1619" ht="15.75" customHeight="1">
      <c r="A1619" s="30" t="s">
        <v>5283</v>
      </c>
      <c r="B1619" s="31" t="s">
        <v>287</v>
      </c>
      <c r="C1619" s="31" t="s">
        <v>1283</v>
      </c>
      <c r="D1619" s="30" t="s">
        <v>3663</v>
      </c>
      <c r="E1619" s="32">
        <v>46113.0</v>
      </c>
      <c r="F1619" s="32">
        <v>46171.0</v>
      </c>
      <c r="G1619" s="33"/>
    </row>
    <row r="1620" ht="15.75" customHeight="1">
      <c r="A1620" s="26" t="s">
        <v>5284</v>
      </c>
      <c r="B1620" s="27" t="s">
        <v>287</v>
      </c>
      <c r="C1620" s="27" t="s">
        <v>1281</v>
      </c>
      <c r="D1620" s="26" t="s">
        <v>3663</v>
      </c>
      <c r="E1620" s="28">
        <v>46113.0</v>
      </c>
      <c r="F1620" s="28">
        <v>46171.0</v>
      </c>
      <c r="G1620" s="29"/>
    </row>
    <row r="1621" ht="15.75" customHeight="1">
      <c r="A1621" s="30" t="s">
        <v>5285</v>
      </c>
      <c r="B1621" s="31" t="s">
        <v>287</v>
      </c>
      <c r="C1621" s="31" t="s">
        <v>1218</v>
      </c>
      <c r="D1621" s="30" t="s">
        <v>3663</v>
      </c>
      <c r="E1621" s="32">
        <v>46113.0</v>
      </c>
      <c r="F1621" s="32">
        <v>46171.0</v>
      </c>
      <c r="G1621" s="33"/>
    </row>
    <row r="1622" ht="15.75" customHeight="1">
      <c r="A1622" s="26" t="s">
        <v>5286</v>
      </c>
      <c r="B1622" s="27" t="s">
        <v>287</v>
      </c>
      <c r="C1622" s="27" t="s">
        <v>1271</v>
      </c>
      <c r="D1622" s="26" t="s">
        <v>3663</v>
      </c>
      <c r="E1622" s="28">
        <v>46113.0</v>
      </c>
      <c r="F1622" s="28">
        <v>46171.0</v>
      </c>
      <c r="G1622" s="29"/>
    </row>
    <row r="1623" ht="15.75" customHeight="1">
      <c r="A1623" s="30" t="s">
        <v>5287</v>
      </c>
      <c r="B1623" s="31" t="s">
        <v>287</v>
      </c>
      <c r="C1623" s="31" t="s">
        <v>968</v>
      </c>
      <c r="D1623" s="30" t="s">
        <v>3663</v>
      </c>
      <c r="E1623" s="32">
        <v>46113.0</v>
      </c>
      <c r="F1623" s="32">
        <v>46171.0</v>
      </c>
      <c r="G1623" s="33"/>
    </row>
    <row r="1624" ht="15.75" customHeight="1">
      <c r="A1624" s="26" t="s">
        <v>5288</v>
      </c>
      <c r="B1624" s="27" t="s">
        <v>287</v>
      </c>
      <c r="C1624" s="27" t="s">
        <v>923</v>
      </c>
      <c r="D1624" s="26" t="s">
        <v>3663</v>
      </c>
      <c r="E1624" s="28">
        <v>46113.0</v>
      </c>
      <c r="F1624" s="28">
        <v>46171.0</v>
      </c>
      <c r="G1624" s="29"/>
    </row>
    <row r="1625" ht="15.75" customHeight="1">
      <c r="A1625" s="30" t="s">
        <v>5289</v>
      </c>
      <c r="B1625" s="31" t="s">
        <v>288</v>
      </c>
      <c r="C1625" s="31" t="s">
        <v>926</v>
      </c>
      <c r="D1625" s="30" t="s">
        <v>3663</v>
      </c>
      <c r="E1625" s="32">
        <v>46113.0</v>
      </c>
      <c r="F1625" s="32">
        <v>46171.0</v>
      </c>
      <c r="G1625" s="33"/>
    </row>
    <row r="1626" ht="15.75" customHeight="1">
      <c r="A1626" s="26" t="s">
        <v>5290</v>
      </c>
      <c r="B1626" s="27" t="s">
        <v>288</v>
      </c>
      <c r="C1626" s="27" t="s">
        <v>1354</v>
      </c>
      <c r="D1626" s="26" t="s">
        <v>3663</v>
      </c>
      <c r="E1626" s="28">
        <v>46113.0</v>
      </c>
      <c r="F1626" s="28">
        <v>46171.0</v>
      </c>
      <c r="G1626" s="29"/>
    </row>
    <row r="1627" ht="15.75" customHeight="1">
      <c r="A1627" s="30" t="s">
        <v>5291</v>
      </c>
      <c r="B1627" s="31" t="s">
        <v>288</v>
      </c>
      <c r="C1627" s="31" t="s">
        <v>1159</v>
      </c>
      <c r="D1627" s="30" t="s">
        <v>3663</v>
      </c>
      <c r="E1627" s="32">
        <v>46113.0</v>
      </c>
      <c r="F1627" s="32">
        <v>46171.0</v>
      </c>
      <c r="G1627" s="33"/>
    </row>
    <row r="1628" ht="15.75" customHeight="1">
      <c r="A1628" s="26" t="s">
        <v>5292</v>
      </c>
      <c r="B1628" s="27" t="s">
        <v>288</v>
      </c>
      <c r="C1628" s="27" t="s">
        <v>3656</v>
      </c>
      <c r="D1628" s="26" t="s">
        <v>3663</v>
      </c>
      <c r="E1628" s="28">
        <v>46113.0</v>
      </c>
      <c r="F1628" s="28">
        <v>46171.0</v>
      </c>
      <c r="G1628" s="29"/>
    </row>
    <row r="1629" ht="15.75" customHeight="1">
      <c r="A1629" s="30" t="s">
        <v>5293</v>
      </c>
      <c r="B1629" s="31" t="s">
        <v>288</v>
      </c>
      <c r="C1629" s="31" t="s">
        <v>3657</v>
      </c>
      <c r="D1629" s="30" t="s">
        <v>3663</v>
      </c>
      <c r="E1629" s="32">
        <v>46113.0</v>
      </c>
      <c r="F1629" s="32">
        <v>46171.0</v>
      </c>
      <c r="G1629" s="33"/>
    </row>
    <row r="1630" ht="15.75" customHeight="1">
      <c r="A1630" s="26" t="s">
        <v>5294</v>
      </c>
      <c r="B1630" s="27" t="s">
        <v>288</v>
      </c>
      <c r="C1630" s="27" t="s">
        <v>3647</v>
      </c>
      <c r="D1630" s="26" t="s">
        <v>3663</v>
      </c>
      <c r="E1630" s="28">
        <v>46113.0</v>
      </c>
      <c r="F1630" s="28">
        <v>46171.0</v>
      </c>
      <c r="G1630" s="29"/>
    </row>
    <row r="1631" ht="15.75" customHeight="1">
      <c r="A1631" s="30" t="s">
        <v>5295</v>
      </c>
      <c r="B1631" s="31" t="s">
        <v>288</v>
      </c>
      <c r="C1631" s="31" t="s">
        <v>952</v>
      </c>
      <c r="D1631" s="30" t="s">
        <v>3663</v>
      </c>
      <c r="E1631" s="32">
        <v>46113.0</v>
      </c>
      <c r="F1631" s="32">
        <v>46171.0</v>
      </c>
      <c r="G1631" s="33"/>
    </row>
    <row r="1632" ht="15.75" customHeight="1">
      <c r="A1632" s="26" t="s">
        <v>5296</v>
      </c>
      <c r="B1632" s="27" t="s">
        <v>288</v>
      </c>
      <c r="C1632" s="27" t="s">
        <v>1277</v>
      </c>
      <c r="D1632" s="26" t="s">
        <v>3663</v>
      </c>
      <c r="E1632" s="28">
        <v>46113.0</v>
      </c>
      <c r="F1632" s="28">
        <v>46171.0</v>
      </c>
      <c r="G1632" s="29"/>
    </row>
    <row r="1633" ht="15.75" customHeight="1">
      <c r="A1633" s="30" t="s">
        <v>5297</v>
      </c>
      <c r="B1633" s="31" t="s">
        <v>288</v>
      </c>
      <c r="C1633" s="31" t="s">
        <v>1279</v>
      </c>
      <c r="D1633" s="30" t="s">
        <v>3663</v>
      </c>
      <c r="E1633" s="32">
        <v>46113.0</v>
      </c>
      <c r="F1633" s="32">
        <v>46171.0</v>
      </c>
      <c r="G1633" s="33"/>
    </row>
    <row r="1634" ht="15.75" customHeight="1">
      <c r="A1634" s="26" t="s">
        <v>5298</v>
      </c>
      <c r="B1634" s="27" t="s">
        <v>288</v>
      </c>
      <c r="C1634" s="27" t="s">
        <v>1283</v>
      </c>
      <c r="D1634" s="26" t="s">
        <v>3663</v>
      </c>
      <c r="E1634" s="28">
        <v>46113.0</v>
      </c>
      <c r="F1634" s="28">
        <v>46171.0</v>
      </c>
      <c r="G1634" s="29"/>
    </row>
    <row r="1635" ht="15.75" customHeight="1">
      <c r="A1635" s="30" t="s">
        <v>5299</v>
      </c>
      <c r="B1635" s="31" t="s">
        <v>288</v>
      </c>
      <c r="C1635" s="31" t="s">
        <v>1281</v>
      </c>
      <c r="D1635" s="30" t="s">
        <v>3663</v>
      </c>
      <c r="E1635" s="32">
        <v>46113.0</v>
      </c>
      <c r="F1635" s="32">
        <v>46171.0</v>
      </c>
      <c r="G1635" s="33"/>
    </row>
    <row r="1636" ht="15.75" customHeight="1">
      <c r="A1636" s="26" t="s">
        <v>5300</v>
      </c>
      <c r="B1636" s="27" t="s">
        <v>288</v>
      </c>
      <c r="C1636" s="27" t="s">
        <v>1216</v>
      </c>
      <c r="D1636" s="26" t="s">
        <v>3663</v>
      </c>
      <c r="E1636" s="28">
        <v>46113.0</v>
      </c>
      <c r="F1636" s="28">
        <v>46171.0</v>
      </c>
      <c r="G1636" s="29"/>
    </row>
    <row r="1637" ht="15.75" customHeight="1">
      <c r="A1637" s="30" t="s">
        <v>5301</v>
      </c>
      <c r="B1637" s="31" t="s">
        <v>288</v>
      </c>
      <c r="C1637" s="31" t="s">
        <v>968</v>
      </c>
      <c r="D1637" s="30" t="s">
        <v>3663</v>
      </c>
      <c r="E1637" s="32">
        <v>46113.0</v>
      </c>
      <c r="F1637" s="32">
        <v>46171.0</v>
      </c>
      <c r="G1637" s="33"/>
    </row>
    <row r="1638" ht="15.75" customHeight="1">
      <c r="A1638" s="26" t="s">
        <v>5302</v>
      </c>
      <c r="B1638" s="27" t="s">
        <v>288</v>
      </c>
      <c r="C1638" s="27" t="s">
        <v>923</v>
      </c>
      <c r="D1638" s="26" t="s">
        <v>3663</v>
      </c>
      <c r="E1638" s="28">
        <v>46113.0</v>
      </c>
      <c r="F1638" s="28">
        <v>46171.0</v>
      </c>
      <c r="G1638" s="29"/>
    </row>
    <row r="1639" ht="15.75" customHeight="1">
      <c r="A1639" s="30" t="s">
        <v>5303</v>
      </c>
      <c r="B1639" s="31" t="s">
        <v>289</v>
      </c>
      <c r="C1639" s="31" t="s">
        <v>3654</v>
      </c>
      <c r="D1639" s="30" t="s">
        <v>3663</v>
      </c>
      <c r="E1639" s="32">
        <v>46113.0</v>
      </c>
      <c r="F1639" s="32">
        <v>46171.0</v>
      </c>
      <c r="G1639" s="33"/>
    </row>
    <row r="1640" ht="15.75" customHeight="1">
      <c r="A1640" s="26" t="s">
        <v>5304</v>
      </c>
      <c r="B1640" s="27" t="s">
        <v>289</v>
      </c>
      <c r="C1640" s="27" t="s">
        <v>3655</v>
      </c>
      <c r="D1640" s="26" t="s">
        <v>3663</v>
      </c>
      <c r="E1640" s="28">
        <v>46113.0</v>
      </c>
      <c r="F1640" s="28">
        <v>46171.0</v>
      </c>
      <c r="G1640" s="29"/>
    </row>
    <row r="1641" ht="15.75" customHeight="1">
      <c r="A1641" s="30" t="s">
        <v>5305</v>
      </c>
      <c r="B1641" s="31" t="s">
        <v>289</v>
      </c>
      <c r="C1641" s="31" t="s">
        <v>926</v>
      </c>
      <c r="D1641" s="30" t="s">
        <v>3663</v>
      </c>
      <c r="E1641" s="32">
        <v>46113.0</v>
      </c>
      <c r="F1641" s="32">
        <v>46171.0</v>
      </c>
      <c r="G1641" s="33"/>
    </row>
    <row r="1642" ht="15.75" customHeight="1">
      <c r="A1642" s="26" t="s">
        <v>5306</v>
      </c>
      <c r="B1642" s="27" t="s">
        <v>289</v>
      </c>
      <c r="C1642" s="27" t="s">
        <v>1354</v>
      </c>
      <c r="D1642" s="26" t="s">
        <v>3663</v>
      </c>
      <c r="E1642" s="28">
        <v>46113.0</v>
      </c>
      <c r="F1642" s="28">
        <v>46171.0</v>
      </c>
      <c r="G1642" s="29"/>
    </row>
    <row r="1643" ht="15.75" customHeight="1">
      <c r="A1643" s="30" t="s">
        <v>5307</v>
      </c>
      <c r="B1643" s="31" t="s">
        <v>289</v>
      </c>
      <c r="C1643" s="31" t="s">
        <v>1159</v>
      </c>
      <c r="D1643" s="30" t="s">
        <v>3663</v>
      </c>
      <c r="E1643" s="32">
        <v>46113.0</v>
      </c>
      <c r="F1643" s="32">
        <v>46171.0</v>
      </c>
      <c r="G1643" s="33"/>
    </row>
    <row r="1644" ht="15.75" customHeight="1">
      <c r="A1644" s="26" t="s">
        <v>5308</v>
      </c>
      <c r="B1644" s="27" t="s">
        <v>289</v>
      </c>
      <c r="C1644" s="27" t="s">
        <v>3647</v>
      </c>
      <c r="D1644" s="26" t="s">
        <v>3663</v>
      </c>
      <c r="E1644" s="28">
        <v>46113.0</v>
      </c>
      <c r="F1644" s="28">
        <v>46171.0</v>
      </c>
      <c r="G1644" s="29"/>
    </row>
    <row r="1645" ht="15.75" customHeight="1">
      <c r="A1645" s="30" t="s">
        <v>5309</v>
      </c>
      <c r="B1645" s="31" t="s">
        <v>289</v>
      </c>
      <c r="C1645" s="31" t="s">
        <v>952</v>
      </c>
      <c r="D1645" s="30" t="s">
        <v>3663</v>
      </c>
      <c r="E1645" s="32">
        <v>46113.0</v>
      </c>
      <c r="F1645" s="32">
        <v>46171.0</v>
      </c>
      <c r="G1645" s="33"/>
    </row>
    <row r="1646" ht="15.75" customHeight="1">
      <c r="A1646" s="26" t="s">
        <v>5310</v>
      </c>
      <c r="B1646" s="27" t="s">
        <v>289</v>
      </c>
      <c r="C1646" s="27" t="s">
        <v>1277</v>
      </c>
      <c r="D1646" s="26" t="s">
        <v>3663</v>
      </c>
      <c r="E1646" s="28">
        <v>46113.0</v>
      </c>
      <c r="F1646" s="28">
        <v>46171.0</v>
      </c>
      <c r="G1646" s="29"/>
    </row>
    <row r="1647" ht="15.75" customHeight="1">
      <c r="A1647" s="30" t="s">
        <v>5311</v>
      </c>
      <c r="B1647" s="31" t="s">
        <v>289</v>
      </c>
      <c r="C1647" s="31" t="s">
        <v>1279</v>
      </c>
      <c r="D1647" s="30" t="s">
        <v>3663</v>
      </c>
      <c r="E1647" s="32">
        <v>46113.0</v>
      </c>
      <c r="F1647" s="32">
        <v>46171.0</v>
      </c>
      <c r="G1647" s="33"/>
    </row>
    <row r="1648" ht="15.75" customHeight="1">
      <c r="A1648" s="26" t="s">
        <v>5312</v>
      </c>
      <c r="B1648" s="27" t="s">
        <v>289</v>
      </c>
      <c r="C1648" s="27" t="s">
        <v>1283</v>
      </c>
      <c r="D1648" s="26" t="s">
        <v>3663</v>
      </c>
      <c r="E1648" s="28">
        <v>46113.0</v>
      </c>
      <c r="F1648" s="28">
        <v>46171.0</v>
      </c>
      <c r="G1648" s="29"/>
    </row>
    <row r="1649" ht="15.75" customHeight="1">
      <c r="A1649" s="30" t="s">
        <v>5313</v>
      </c>
      <c r="B1649" s="31" t="s">
        <v>289</v>
      </c>
      <c r="C1649" s="31" t="s">
        <v>1281</v>
      </c>
      <c r="D1649" s="30" t="s">
        <v>3663</v>
      </c>
      <c r="E1649" s="32">
        <v>46113.0</v>
      </c>
      <c r="F1649" s="32">
        <v>46171.0</v>
      </c>
      <c r="G1649" s="33"/>
    </row>
    <row r="1650" ht="15.75" customHeight="1">
      <c r="A1650" s="26" t="s">
        <v>5314</v>
      </c>
      <c r="B1650" s="27" t="s">
        <v>289</v>
      </c>
      <c r="C1650" s="27" t="s">
        <v>1216</v>
      </c>
      <c r="D1650" s="26" t="s">
        <v>3663</v>
      </c>
      <c r="E1650" s="28">
        <v>46113.0</v>
      </c>
      <c r="F1650" s="28">
        <v>46171.0</v>
      </c>
      <c r="G1650" s="29"/>
    </row>
    <row r="1651" ht="15.75" customHeight="1">
      <c r="A1651" s="30" t="s">
        <v>5315</v>
      </c>
      <c r="B1651" s="31" t="s">
        <v>289</v>
      </c>
      <c r="C1651" s="31" t="s">
        <v>968</v>
      </c>
      <c r="D1651" s="30" t="s">
        <v>3663</v>
      </c>
      <c r="E1651" s="32">
        <v>46113.0</v>
      </c>
      <c r="F1651" s="32">
        <v>46171.0</v>
      </c>
      <c r="G1651" s="33"/>
    </row>
    <row r="1652" ht="15.75" customHeight="1">
      <c r="A1652" s="26" t="s">
        <v>5316</v>
      </c>
      <c r="B1652" s="27" t="s">
        <v>289</v>
      </c>
      <c r="C1652" s="27" t="s">
        <v>923</v>
      </c>
      <c r="D1652" s="26" t="s">
        <v>3663</v>
      </c>
      <c r="E1652" s="28">
        <v>46113.0</v>
      </c>
      <c r="F1652" s="28">
        <v>46171.0</v>
      </c>
      <c r="G1652" s="29"/>
    </row>
    <row r="1653" ht="15.75" customHeight="1">
      <c r="A1653" s="30" t="s">
        <v>5317</v>
      </c>
      <c r="B1653" s="31" t="s">
        <v>291</v>
      </c>
      <c r="C1653" s="31" t="s">
        <v>928</v>
      </c>
      <c r="D1653" s="30" t="s">
        <v>3663</v>
      </c>
      <c r="E1653" s="32">
        <v>46113.0</v>
      </c>
      <c r="F1653" s="32">
        <v>46171.0</v>
      </c>
      <c r="G1653" s="33"/>
    </row>
    <row r="1654" ht="15.75" customHeight="1">
      <c r="A1654" s="26" t="s">
        <v>5318</v>
      </c>
      <c r="B1654" s="27" t="s">
        <v>291</v>
      </c>
      <c r="C1654" s="27" t="s">
        <v>3640</v>
      </c>
      <c r="D1654" s="26" t="s">
        <v>3663</v>
      </c>
      <c r="E1654" s="28">
        <v>46113.0</v>
      </c>
      <c r="F1654" s="28">
        <v>46171.0</v>
      </c>
      <c r="G1654" s="29"/>
    </row>
    <row r="1655" ht="15.75" customHeight="1">
      <c r="A1655" s="30" t="s">
        <v>5319</v>
      </c>
      <c r="B1655" s="31" t="s">
        <v>291</v>
      </c>
      <c r="C1655" s="31" t="s">
        <v>1323</v>
      </c>
      <c r="D1655" s="30" t="s">
        <v>3663</v>
      </c>
      <c r="E1655" s="32">
        <v>46113.0</v>
      </c>
      <c r="F1655" s="32">
        <v>46171.0</v>
      </c>
      <c r="G1655" s="33"/>
    </row>
    <row r="1656" ht="15.75" customHeight="1">
      <c r="A1656" s="26" t="s">
        <v>5320</v>
      </c>
      <c r="B1656" s="27" t="s">
        <v>291</v>
      </c>
      <c r="C1656" s="27" t="s">
        <v>1354</v>
      </c>
      <c r="D1656" s="26" t="s">
        <v>3663</v>
      </c>
      <c r="E1656" s="28">
        <v>46113.0</v>
      </c>
      <c r="F1656" s="28">
        <v>46171.0</v>
      </c>
      <c r="G1656" s="29"/>
    </row>
    <row r="1657" ht="15.75" customHeight="1">
      <c r="A1657" s="30" t="s">
        <v>5321</v>
      </c>
      <c r="B1657" s="31" t="s">
        <v>291</v>
      </c>
      <c r="C1657" s="31" t="s">
        <v>1222</v>
      </c>
      <c r="D1657" s="30" t="s">
        <v>3663</v>
      </c>
      <c r="E1657" s="32">
        <v>46113.0</v>
      </c>
      <c r="F1657" s="32">
        <v>46171.0</v>
      </c>
      <c r="G1657" s="33"/>
    </row>
    <row r="1658" ht="15.75" customHeight="1">
      <c r="A1658" s="26" t="s">
        <v>5322</v>
      </c>
      <c r="B1658" s="27" t="s">
        <v>291</v>
      </c>
      <c r="C1658" s="27" t="s">
        <v>1224</v>
      </c>
      <c r="D1658" s="26" t="s">
        <v>3663</v>
      </c>
      <c r="E1658" s="28">
        <v>46113.0</v>
      </c>
      <c r="F1658" s="28">
        <v>46171.0</v>
      </c>
      <c r="G1658" s="29"/>
    </row>
    <row r="1659" ht="15.75" customHeight="1">
      <c r="A1659" s="30" t="s">
        <v>5323</v>
      </c>
      <c r="B1659" s="31" t="s">
        <v>291</v>
      </c>
      <c r="C1659" s="31" t="s">
        <v>1226</v>
      </c>
      <c r="D1659" s="30" t="s">
        <v>3663</v>
      </c>
      <c r="E1659" s="32">
        <v>46113.0</v>
      </c>
      <c r="F1659" s="32">
        <v>46171.0</v>
      </c>
      <c r="G1659" s="33"/>
    </row>
    <row r="1660" ht="15.75" customHeight="1">
      <c r="A1660" s="26" t="s">
        <v>5324</v>
      </c>
      <c r="B1660" s="27" t="s">
        <v>291</v>
      </c>
      <c r="C1660" s="27" t="s">
        <v>1228</v>
      </c>
      <c r="D1660" s="26" t="s">
        <v>3663</v>
      </c>
      <c r="E1660" s="28">
        <v>46113.0</v>
      </c>
      <c r="F1660" s="28">
        <v>46171.0</v>
      </c>
      <c r="G1660" s="29"/>
    </row>
    <row r="1661" ht="15.75" customHeight="1">
      <c r="A1661" s="30" t="s">
        <v>5325</v>
      </c>
      <c r="B1661" s="31" t="s">
        <v>291</v>
      </c>
      <c r="C1661" s="31" t="s">
        <v>3656</v>
      </c>
      <c r="D1661" s="30" t="s">
        <v>3663</v>
      </c>
      <c r="E1661" s="32">
        <v>46113.0</v>
      </c>
      <c r="F1661" s="32">
        <v>46171.0</v>
      </c>
      <c r="G1661" s="33"/>
    </row>
    <row r="1662" ht="15.75" customHeight="1">
      <c r="A1662" s="26" t="s">
        <v>5326</v>
      </c>
      <c r="B1662" s="27" t="s">
        <v>291</v>
      </c>
      <c r="C1662" s="27" t="s">
        <v>3657</v>
      </c>
      <c r="D1662" s="26" t="s">
        <v>3663</v>
      </c>
      <c r="E1662" s="28">
        <v>46113.0</v>
      </c>
      <c r="F1662" s="28">
        <v>46171.0</v>
      </c>
      <c r="G1662" s="29"/>
    </row>
    <row r="1663" ht="15.75" customHeight="1">
      <c r="A1663" s="30" t="s">
        <v>5327</v>
      </c>
      <c r="B1663" s="31" t="s">
        <v>291</v>
      </c>
      <c r="C1663" s="31" t="s">
        <v>1351</v>
      </c>
      <c r="D1663" s="30" t="s">
        <v>3663</v>
      </c>
      <c r="E1663" s="32">
        <v>46113.0</v>
      </c>
      <c r="F1663" s="32">
        <v>46171.0</v>
      </c>
      <c r="G1663" s="33"/>
    </row>
    <row r="1664" ht="15.75" customHeight="1">
      <c r="A1664" s="26" t="s">
        <v>5328</v>
      </c>
      <c r="B1664" s="27" t="s">
        <v>291</v>
      </c>
      <c r="C1664" s="27" t="s">
        <v>1349</v>
      </c>
      <c r="D1664" s="26" t="s">
        <v>3663</v>
      </c>
      <c r="E1664" s="28">
        <v>46113.0</v>
      </c>
      <c r="F1664" s="28">
        <v>46171.0</v>
      </c>
      <c r="G1664" s="29"/>
    </row>
    <row r="1665" ht="15.75" customHeight="1">
      <c r="A1665" s="30" t="s">
        <v>5329</v>
      </c>
      <c r="B1665" s="31" t="s">
        <v>291</v>
      </c>
      <c r="C1665" s="31" t="s">
        <v>968</v>
      </c>
      <c r="D1665" s="30" t="s">
        <v>3663</v>
      </c>
      <c r="E1665" s="32">
        <v>46113.0</v>
      </c>
      <c r="F1665" s="32">
        <v>46171.0</v>
      </c>
      <c r="G1665" s="33"/>
    </row>
    <row r="1666" ht="15.75" customHeight="1">
      <c r="A1666" s="26" t="s">
        <v>5330</v>
      </c>
      <c r="B1666" s="27" t="s">
        <v>291</v>
      </c>
      <c r="C1666" s="27" t="s">
        <v>923</v>
      </c>
      <c r="D1666" s="26" t="s">
        <v>3663</v>
      </c>
      <c r="E1666" s="28">
        <v>46113.0</v>
      </c>
      <c r="F1666" s="28">
        <v>46171.0</v>
      </c>
      <c r="G1666" s="29"/>
    </row>
    <row r="1667" ht="15.75" customHeight="1">
      <c r="A1667" s="30" t="s">
        <v>5331</v>
      </c>
      <c r="B1667" s="31" t="s">
        <v>293</v>
      </c>
      <c r="C1667" s="31" t="s">
        <v>930</v>
      </c>
      <c r="D1667" s="30" t="s">
        <v>3663</v>
      </c>
      <c r="E1667" s="32">
        <v>46113.0</v>
      </c>
      <c r="F1667" s="32">
        <v>46171.0</v>
      </c>
      <c r="G1667" s="33"/>
    </row>
    <row r="1668" ht="15.75" customHeight="1">
      <c r="A1668" s="26" t="s">
        <v>5332</v>
      </c>
      <c r="B1668" s="27" t="s">
        <v>293</v>
      </c>
      <c r="C1668" s="27" t="s">
        <v>1354</v>
      </c>
      <c r="D1668" s="26" t="s">
        <v>3663</v>
      </c>
      <c r="E1668" s="28">
        <v>46113.0</v>
      </c>
      <c r="F1668" s="28">
        <v>46171.0</v>
      </c>
      <c r="G1668" s="29"/>
    </row>
    <row r="1669" ht="15.75" customHeight="1">
      <c r="A1669" s="30" t="s">
        <v>5333</v>
      </c>
      <c r="B1669" s="31" t="s">
        <v>293</v>
      </c>
      <c r="C1669" s="31" t="s">
        <v>1190</v>
      </c>
      <c r="D1669" s="30" t="s">
        <v>3663</v>
      </c>
      <c r="E1669" s="32">
        <v>46113.0</v>
      </c>
      <c r="F1669" s="32">
        <v>46171.0</v>
      </c>
      <c r="G1669" s="33"/>
    </row>
    <row r="1670" ht="15.75" customHeight="1">
      <c r="A1670" s="26" t="s">
        <v>5334</v>
      </c>
      <c r="B1670" s="27" t="s">
        <v>293</v>
      </c>
      <c r="C1670" s="27" t="s">
        <v>1159</v>
      </c>
      <c r="D1670" s="26" t="s">
        <v>3663</v>
      </c>
      <c r="E1670" s="28">
        <v>46113.0</v>
      </c>
      <c r="F1670" s="28">
        <v>46171.0</v>
      </c>
      <c r="G1670" s="29"/>
    </row>
    <row r="1671" ht="15.75" customHeight="1">
      <c r="A1671" s="30" t="s">
        <v>5335</v>
      </c>
      <c r="B1671" s="31" t="s">
        <v>293</v>
      </c>
      <c r="C1671" s="31" t="s">
        <v>3656</v>
      </c>
      <c r="D1671" s="30" t="s">
        <v>3663</v>
      </c>
      <c r="E1671" s="32">
        <v>46113.0</v>
      </c>
      <c r="F1671" s="32">
        <v>46171.0</v>
      </c>
      <c r="G1671" s="33"/>
    </row>
    <row r="1672" ht="15.75" customHeight="1">
      <c r="A1672" s="26" t="s">
        <v>5336</v>
      </c>
      <c r="B1672" s="27" t="s">
        <v>293</v>
      </c>
      <c r="C1672" s="27" t="s">
        <v>3657</v>
      </c>
      <c r="D1672" s="26" t="s">
        <v>3663</v>
      </c>
      <c r="E1672" s="28">
        <v>46113.0</v>
      </c>
      <c r="F1672" s="28">
        <v>46171.0</v>
      </c>
      <c r="G1672" s="29"/>
    </row>
    <row r="1673" ht="15.75" customHeight="1">
      <c r="A1673" s="30" t="s">
        <v>5337</v>
      </c>
      <c r="B1673" s="31" t="s">
        <v>293</v>
      </c>
      <c r="C1673" s="31" t="s">
        <v>3647</v>
      </c>
      <c r="D1673" s="30" t="s">
        <v>3663</v>
      </c>
      <c r="E1673" s="32">
        <v>46113.0</v>
      </c>
      <c r="F1673" s="32">
        <v>46171.0</v>
      </c>
      <c r="G1673" s="33"/>
    </row>
    <row r="1674" ht="15.75" customHeight="1">
      <c r="A1674" s="26" t="s">
        <v>5338</v>
      </c>
      <c r="B1674" s="27" t="s">
        <v>293</v>
      </c>
      <c r="C1674" s="27" t="s">
        <v>952</v>
      </c>
      <c r="D1674" s="26" t="s">
        <v>3663</v>
      </c>
      <c r="E1674" s="28">
        <v>46113.0</v>
      </c>
      <c r="F1674" s="28">
        <v>46171.0</v>
      </c>
      <c r="G1674" s="29"/>
    </row>
    <row r="1675" ht="15.75" customHeight="1">
      <c r="A1675" s="30" t="s">
        <v>5339</v>
      </c>
      <c r="B1675" s="31" t="s">
        <v>293</v>
      </c>
      <c r="C1675" s="31" t="s">
        <v>1157</v>
      </c>
      <c r="D1675" s="30" t="s">
        <v>3663</v>
      </c>
      <c r="E1675" s="32">
        <v>46113.0</v>
      </c>
      <c r="F1675" s="32">
        <v>46171.0</v>
      </c>
      <c r="G1675" s="33"/>
    </row>
    <row r="1676" ht="15.75" customHeight="1">
      <c r="A1676" s="26" t="s">
        <v>5340</v>
      </c>
      <c r="B1676" s="27" t="s">
        <v>293</v>
      </c>
      <c r="C1676" s="27" t="s">
        <v>1155</v>
      </c>
      <c r="D1676" s="26" t="s">
        <v>3663</v>
      </c>
      <c r="E1676" s="28">
        <v>46113.0</v>
      </c>
      <c r="F1676" s="28">
        <v>46171.0</v>
      </c>
      <c r="G1676" s="29"/>
    </row>
    <row r="1677" ht="15.75" customHeight="1">
      <c r="A1677" s="30" t="s">
        <v>5341</v>
      </c>
      <c r="B1677" s="31" t="s">
        <v>293</v>
      </c>
      <c r="C1677" s="31" t="s">
        <v>1153</v>
      </c>
      <c r="D1677" s="30" t="s">
        <v>3663</v>
      </c>
      <c r="E1677" s="32">
        <v>46113.0</v>
      </c>
      <c r="F1677" s="32">
        <v>46171.0</v>
      </c>
      <c r="G1677" s="33"/>
    </row>
    <row r="1678" ht="15.75" customHeight="1">
      <c r="A1678" s="26" t="s">
        <v>5342</v>
      </c>
      <c r="B1678" s="27" t="s">
        <v>293</v>
      </c>
      <c r="C1678" s="27" t="s">
        <v>1149</v>
      </c>
      <c r="D1678" s="26" t="s">
        <v>3663</v>
      </c>
      <c r="E1678" s="28">
        <v>46113.0</v>
      </c>
      <c r="F1678" s="28">
        <v>46171.0</v>
      </c>
      <c r="G1678" s="29"/>
    </row>
    <row r="1679" ht="15.75" customHeight="1">
      <c r="A1679" s="30" t="s">
        <v>5343</v>
      </c>
      <c r="B1679" s="31" t="s">
        <v>293</v>
      </c>
      <c r="C1679" s="31" t="s">
        <v>965</v>
      </c>
      <c r="D1679" s="30" t="s">
        <v>3663</v>
      </c>
      <c r="E1679" s="32">
        <v>46113.0</v>
      </c>
      <c r="F1679" s="32">
        <v>46171.0</v>
      </c>
      <c r="G1679" s="33"/>
    </row>
    <row r="1680" ht="15.75" customHeight="1">
      <c r="A1680" s="26" t="s">
        <v>5344</v>
      </c>
      <c r="B1680" s="27" t="s">
        <v>293</v>
      </c>
      <c r="C1680" s="27" t="s">
        <v>923</v>
      </c>
      <c r="D1680" s="26" t="s">
        <v>3663</v>
      </c>
      <c r="E1680" s="28">
        <v>46113.0</v>
      </c>
      <c r="F1680" s="28">
        <v>46171.0</v>
      </c>
      <c r="G1680" s="29"/>
    </row>
    <row r="1681" ht="15.75" customHeight="1">
      <c r="A1681" s="30" t="s">
        <v>5345</v>
      </c>
      <c r="B1681" s="31" t="s">
        <v>294</v>
      </c>
      <c r="C1681" s="31" t="s">
        <v>1240</v>
      </c>
      <c r="D1681" s="31" t="s">
        <v>3663</v>
      </c>
      <c r="E1681" s="32">
        <v>46113.0</v>
      </c>
      <c r="F1681" s="32">
        <v>46171.0</v>
      </c>
      <c r="G1681" s="33"/>
    </row>
    <row r="1682" ht="15.75" customHeight="1">
      <c r="A1682" s="26" t="s">
        <v>5346</v>
      </c>
      <c r="B1682" s="27" t="s">
        <v>294</v>
      </c>
      <c r="C1682" s="27" t="s">
        <v>1242</v>
      </c>
      <c r="D1682" s="27" t="s">
        <v>3663</v>
      </c>
      <c r="E1682" s="28">
        <v>46113.0</v>
      </c>
      <c r="F1682" s="28">
        <v>46171.0</v>
      </c>
      <c r="G1682" s="29"/>
    </row>
    <row r="1683" ht="15.75" customHeight="1">
      <c r="A1683" s="30" t="s">
        <v>5347</v>
      </c>
      <c r="B1683" s="31" t="s">
        <v>294</v>
      </c>
      <c r="C1683" s="31" t="s">
        <v>1244</v>
      </c>
      <c r="D1683" s="31" t="s">
        <v>3663</v>
      </c>
      <c r="E1683" s="32">
        <v>46113.0</v>
      </c>
      <c r="F1683" s="32">
        <v>46171.0</v>
      </c>
      <c r="G1683" s="33"/>
    </row>
    <row r="1684" ht="15.75" customHeight="1">
      <c r="A1684" s="26" t="s">
        <v>5348</v>
      </c>
      <c r="B1684" s="27" t="s">
        <v>294</v>
      </c>
      <c r="C1684" s="27" t="s">
        <v>1246</v>
      </c>
      <c r="D1684" s="27" t="s">
        <v>3663</v>
      </c>
      <c r="E1684" s="28">
        <v>46113.0</v>
      </c>
      <c r="F1684" s="28">
        <v>46171.0</v>
      </c>
      <c r="G1684" s="29"/>
    </row>
    <row r="1685" ht="15.75" customHeight="1">
      <c r="A1685" s="30" t="s">
        <v>5349</v>
      </c>
      <c r="B1685" s="31" t="s">
        <v>294</v>
      </c>
      <c r="C1685" s="31" t="s">
        <v>934</v>
      </c>
      <c r="D1685" s="31" t="s">
        <v>3663</v>
      </c>
      <c r="E1685" s="32">
        <v>46113.0</v>
      </c>
      <c r="F1685" s="32">
        <v>46171.0</v>
      </c>
      <c r="G1685" s="33"/>
    </row>
    <row r="1686" ht="15.75" customHeight="1">
      <c r="A1686" s="26" t="s">
        <v>5350</v>
      </c>
      <c r="B1686" s="27" t="s">
        <v>294</v>
      </c>
      <c r="C1686" s="27" t="s">
        <v>1354</v>
      </c>
      <c r="D1686" s="26" t="s">
        <v>3663</v>
      </c>
      <c r="E1686" s="28">
        <v>46113.0</v>
      </c>
      <c r="F1686" s="28">
        <v>46171.0</v>
      </c>
      <c r="G1686" s="29"/>
    </row>
    <row r="1687" ht="15.75" customHeight="1">
      <c r="A1687" s="30" t="s">
        <v>5351</v>
      </c>
      <c r="B1687" s="31" t="s">
        <v>294</v>
      </c>
      <c r="C1687" s="31" t="s">
        <v>1208</v>
      </c>
      <c r="D1687" s="30" t="s">
        <v>3663</v>
      </c>
      <c r="E1687" s="32">
        <v>46113.0</v>
      </c>
      <c r="F1687" s="32">
        <v>46171.0</v>
      </c>
      <c r="G1687" s="33"/>
    </row>
    <row r="1688" ht="15.75" customHeight="1">
      <c r="A1688" s="26" t="s">
        <v>5352</v>
      </c>
      <c r="B1688" s="27" t="s">
        <v>294</v>
      </c>
      <c r="C1688" s="27" t="s">
        <v>3656</v>
      </c>
      <c r="D1688" s="26" t="s">
        <v>3663</v>
      </c>
      <c r="E1688" s="28">
        <v>46113.0</v>
      </c>
      <c r="F1688" s="28">
        <v>46171.0</v>
      </c>
      <c r="G1688" s="29"/>
    </row>
    <row r="1689" ht="15.75" customHeight="1">
      <c r="A1689" s="30" t="s">
        <v>5353</v>
      </c>
      <c r="B1689" s="31" t="s">
        <v>294</v>
      </c>
      <c r="C1689" s="31" t="s">
        <v>3657</v>
      </c>
      <c r="D1689" s="30" t="s">
        <v>3663</v>
      </c>
      <c r="E1689" s="32">
        <v>46113.0</v>
      </c>
      <c r="F1689" s="32">
        <v>46171.0</v>
      </c>
      <c r="G1689" s="33"/>
    </row>
    <row r="1690" ht="15.75" customHeight="1">
      <c r="A1690" s="26" t="s">
        <v>5354</v>
      </c>
      <c r="B1690" s="27" t="s">
        <v>294</v>
      </c>
      <c r="C1690" s="27" t="s">
        <v>1218</v>
      </c>
      <c r="D1690" s="26" t="s">
        <v>3663</v>
      </c>
      <c r="E1690" s="28">
        <v>46113.0</v>
      </c>
      <c r="F1690" s="28">
        <v>46171.0</v>
      </c>
      <c r="G1690" s="29"/>
    </row>
    <row r="1691" ht="15.75" customHeight="1">
      <c r="A1691" s="30" t="s">
        <v>5355</v>
      </c>
      <c r="B1691" s="31" t="s">
        <v>294</v>
      </c>
      <c r="C1691" s="31" t="s">
        <v>1351</v>
      </c>
      <c r="D1691" s="30" t="s">
        <v>3663</v>
      </c>
      <c r="E1691" s="32">
        <v>46113.0</v>
      </c>
      <c r="F1691" s="32">
        <v>46171.0</v>
      </c>
      <c r="G1691" s="33"/>
    </row>
    <row r="1692" ht="15.75" customHeight="1">
      <c r="A1692" s="26" t="s">
        <v>5356</v>
      </c>
      <c r="B1692" s="27" t="s">
        <v>294</v>
      </c>
      <c r="C1692" s="27" t="s">
        <v>1349</v>
      </c>
      <c r="D1692" s="26" t="s">
        <v>3663</v>
      </c>
      <c r="E1692" s="28">
        <v>46113.0</v>
      </c>
      <c r="F1692" s="28">
        <v>46171.0</v>
      </c>
      <c r="G1692" s="29"/>
    </row>
    <row r="1693" ht="15.75" customHeight="1">
      <c r="A1693" s="30" t="s">
        <v>5357</v>
      </c>
      <c r="B1693" s="31" t="s">
        <v>294</v>
      </c>
      <c r="C1693" s="31" t="s">
        <v>965</v>
      </c>
      <c r="D1693" s="30" t="s">
        <v>3663</v>
      </c>
      <c r="E1693" s="32">
        <v>46113.0</v>
      </c>
      <c r="F1693" s="32">
        <v>46171.0</v>
      </c>
      <c r="G1693" s="33"/>
    </row>
    <row r="1694" ht="15.75" customHeight="1">
      <c r="A1694" s="26" t="s">
        <v>5358</v>
      </c>
      <c r="B1694" s="27" t="s">
        <v>294</v>
      </c>
      <c r="C1694" s="27" t="s">
        <v>923</v>
      </c>
      <c r="D1694" s="27" t="s">
        <v>3663</v>
      </c>
      <c r="E1694" s="28">
        <v>46113.0</v>
      </c>
      <c r="F1694" s="28">
        <v>46171.0</v>
      </c>
      <c r="G1694" s="29"/>
    </row>
    <row r="1695" ht="15.75" customHeight="1">
      <c r="A1695" s="30" t="s">
        <v>5359</v>
      </c>
      <c r="B1695" s="31" t="s">
        <v>295</v>
      </c>
      <c r="C1695" s="31" t="s">
        <v>1240</v>
      </c>
      <c r="D1695" s="30" t="s">
        <v>3663</v>
      </c>
      <c r="E1695" s="32">
        <v>46113.0</v>
      </c>
      <c r="F1695" s="32">
        <v>46171.0</v>
      </c>
      <c r="G1695" s="33"/>
    </row>
    <row r="1696" ht="15.75" customHeight="1">
      <c r="A1696" s="26" t="s">
        <v>5360</v>
      </c>
      <c r="B1696" s="27" t="s">
        <v>295</v>
      </c>
      <c r="C1696" s="27" t="s">
        <v>1242</v>
      </c>
      <c r="D1696" s="26" t="s">
        <v>3663</v>
      </c>
      <c r="E1696" s="28">
        <v>46113.0</v>
      </c>
      <c r="F1696" s="28">
        <v>46171.0</v>
      </c>
      <c r="G1696" s="29"/>
    </row>
    <row r="1697" ht="15.75" customHeight="1">
      <c r="A1697" s="30" t="s">
        <v>5361</v>
      </c>
      <c r="B1697" s="31" t="s">
        <v>295</v>
      </c>
      <c r="C1697" s="31" t="s">
        <v>1244</v>
      </c>
      <c r="D1697" s="30" t="s">
        <v>3663</v>
      </c>
      <c r="E1697" s="32">
        <v>46113.0</v>
      </c>
      <c r="F1697" s="32">
        <v>46171.0</v>
      </c>
      <c r="G1697" s="33"/>
    </row>
    <row r="1698" ht="15.75" customHeight="1">
      <c r="A1698" s="26" t="s">
        <v>5362</v>
      </c>
      <c r="B1698" s="27" t="s">
        <v>295</v>
      </c>
      <c r="C1698" s="27" t="s">
        <v>1246</v>
      </c>
      <c r="D1698" s="26" t="s">
        <v>3663</v>
      </c>
      <c r="E1698" s="28">
        <v>46113.0</v>
      </c>
      <c r="F1698" s="28">
        <v>46171.0</v>
      </c>
      <c r="G1698" s="29"/>
    </row>
    <row r="1699" ht="15.75" customHeight="1">
      <c r="A1699" s="30" t="s">
        <v>5363</v>
      </c>
      <c r="B1699" s="31" t="s">
        <v>295</v>
      </c>
      <c r="C1699" s="31" t="s">
        <v>3654</v>
      </c>
      <c r="D1699" s="30" t="s">
        <v>3663</v>
      </c>
      <c r="E1699" s="32">
        <v>46113.0</v>
      </c>
      <c r="F1699" s="32">
        <v>46171.0</v>
      </c>
      <c r="G1699" s="33"/>
    </row>
    <row r="1700" ht="15.75" customHeight="1">
      <c r="A1700" s="26" t="s">
        <v>5364</v>
      </c>
      <c r="B1700" s="27" t="s">
        <v>295</v>
      </c>
      <c r="C1700" s="27" t="s">
        <v>3655</v>
      </c>
      <c r="D1700" s="26" t="s">
        <v>3663</v>
      </c>
      <c r="E1700" s="28">
        <v>46113.0</v>
      </c>
      <c r="F1700" s="28">
        <v>46171.0</v>
      </c>
      <c r="G1700" s="29"/>
    </row>
    <row r="1701" ht="15.75" customHeight="1">
      <c r="A1701" s="30" t="s">
        <v>5365</v>
      </c>
      <c r="B1701" s="31" t="s">
        <v>295</v>
      </c>
      <c r="C1701" s="31" t="s">
        <v>934</v>
      </c>
      <c r="D1701" s="30" t="s">
        <v>3663</v>
      </c>
      <c r="E1701" s="32">
        <v>46113.0</v>
      </c>
      <c r="F1701" s="32">
        <v>46171.0</v>
      </c>
      <c r="G1701" s="33"/>
    </row>
    <row r="1702" ht="15.75" customHeight="1">
      <c r="A1702" s="26" t="s">
        <v>5366</v>
      </c>
      <c r="B1702" s="27" t="s">
        <v>295</v>
      </c>
      <c r="C1702" s="27" t="s">
        <v>1354</v>
      </c>
      <c r="D1702" s="26" t="s">
        <v>3663</v>
      </c>
      <c r="E1702" s="28">
        <v>46113.0</v>
      </c>
      <c r="F1702" s="28">
        <v>46171.0</v>
      </c>
      <c r="G1702" s="29"/>
    </row>
    <row r="1703" ht="15.75" customHeight="1">
      <c r="A1703" s="30" t="s">
        <v>5367</v>
      </c>
      <c r="B1703" s="31" t="s">
        <v>295</v>
      </c>
      <c r="C1703" s="31" t="s">
        <v>3605</v>
      </c>
      <c r="D1703" s="30" t="s">
        <v>3663</v>
      </c>
      <c r="E1703" s="32">
        <v>46113.0</v>
      </c>
      <c r="F1703" s="32">
        <v>46171.0</v>
      </c>
      <c r="G1703" s="33"/>
    </row>
    <row r="1704" ht="15.75" customHeight="1">
      <c r="A1704" s="26" t="s">
        <v>5368</v>
      </c>
      <c r="B1704" s="27" t="s">
        <v>295</v>
      </c>
      <c r="C1704" s="27" t="s">
        <v>3647</v>
      </c>
      <c r="D1704" s="26" t="s">
        <v>3663</v>
      </c>
      <c r="E1704" s="28">
        <v>46113.0</v>
      </c>
      <c r="F1704" s="28">
        <v>46171.0</v>
      </c>
      <c r="G1704" s="29"/>
    </row>
    <row r="1705" ht="15.75" customHeight="1">
      <c r="A1705" s="30" t="s">
        <v>5369</v>
      </c>
      <c r="B1705" s="31" t="s">
        <v>295</v>
      </c>
      <c r="C1705" s="31" t="s">
        <v>952</v>
      </c>
      <c r="D1705" s="30" t="s">
        <v>3663</v>
      </c>
      <c r="E1705" s="32">
        <v>46113.0</v>
      </c>
      <c r="F1705" s="32">
        <v>46171.0</v>
      </c>
      <c r="G1705" s="33"/>
    </row>
    <row r="1706" ht="15.75" customHeight="1">
      <c r="A1706" s="26" t="s">
        <v>5370</v>
      </c>
      <c r="B1706" s="27" t="s">
        <v>295</v>
      </c>
      <c r="C1706" s="27" t="s">
        <v>1216</v>
      </c>
      <c r="D1706" s="26" t="s">
        <v>3663</v>
      </c>
      <c r="E1706" s="28">
        <v>46113.0</v>
      </c>
      <c r="F1706" s="28">
        <v>46171.0</v>
      </c>
      <c r="G1706" s="29"/>
    </row>
    <row r="1707" ht="15.75" customHeight="1">
      <c r="A1707" s="30" t="s">
        <v>5371</v>
      </c>
      <c r="B1707" s="31" t="s">
        <v>295</v>
      </c>
      <c r="C1707" s="31" t="s">
        <v>968</v>
      </c>
      <c r="D1707" s="30" t="s">
        <v>3663</v>
      </c>
      <c r="E1707" s="32">
        <v>46113.0</v>
      </c>
      <c r="F1707" s="32">
        <v>46171.0</v>
      </c>
      <c r="G1707" s="33"/>
    </row>
    <row r="1708" ht="15.75" customHeight="1">
      <c r="A1708" s="26" t="s">
        <v>5372</v>
      </c>
      <c r="B1708" s="27" t="s">
        <v>295</v>
      </c>
      <c r="C1708" s="27" t="s">
        <v>923</v>
      </c>
      <c r="D1708" s="26" t="s">
        <v>3663</v>
      </c>
      <c r="E1708" s="28">
        <v>46113.0</v>
      </c>
      <c r="F1708" s="28">
        <v>46171.0</v>
      </c>
      <c r="G1708" s="29"/>
    </row>
    <row r="1709" ht="15.75" customHeight="1">
      <c r="A1709" s="30" t="s">
        <v>5373</v>
      </c>
      <c r="B1709" s="31" t="s">
        <v>296</v>
      </c>
      <c r="C1709" s="31" t="s">
        <v>3654</v>
      </c>
      <c r="D1709" s="30" t="s">
        <v>3663</v>
      </c>
      <c r="E1709" s="32">
        <v>46113.0</v>
      </c>
      <c r="F1709" s="32">
        <v>46171.0</v>
      </c>
      <c r="G1709" s="33"/>
    </row>
    <row r="1710" ht="15.75" customHeight="1">
      <c r="A1710" s="26" t="s">
        <v>5374</v>
      </c>
      <c r="B1710" s="27" t="s">
        <v>296</v>
      </c>
      <c r="C1710" s="27" t="s">
        <v>3655</v>
      </c>
      <c r="D1710" s="26" t="s">
        <v>3663</v>
      </c>
      <c r="E1710" s="28">
        <v>46113.0</v>
      </c>
      <c r="F1710" s="28">
        <v>46171.0</v>
      </c>
      <c r="G1710" s="29"/>
    </row>
    <row r="1711" ht="15.75" customHeight="1">
      <c r="A1711" s="30" t="s">
        <v>5375</v>
      </c>
      <c r="B1711" s="31" t="s">
        <v>296</v>
      </c>
      <c r="C1711" s="31" t="s">
        <v>3638</v>
      </c>
      <c r="D1711" s="30" t="s">
        <v>3663</v>
      </c>
      <c r="E1711" s="32">
        <v>46113.0</v>
      </c>
      <c r="F1711" s="32">
        <v>46171.0</v>
      </c>
      <c r="G1711" s="33"/>
    </row>
    <row r="1712" ht="15.75" customHeight="1">
      <c r="A1712" s="26" t="s">
        <v>5376</v>
      </c>
      <c r="B1712" s="27" t="s">
        <v>296</v>
      </c>
      <c r="C1712" s="27" t="s">
        <v>930</v>
      </c>
      <c r="D1712" s="26" t="s">
        <v>3663</v>
      </c>
      <c r="E1712" s="28">
        <v>46113.0</v>
      </c>
      <c r="F1712" s="28">
        <v>46171.0</v>
      </c>
      <c r="G1712" s="29"/>
    </row>
    <row r="1713" ht="15.75" customHeight="1">
      <c r="A1713" s="30" t="s">
        <v>5377</v>
      </c>
      <c r="B1713" s="31" t="s">
        <v>296</v>
      </c>
      <c r="C1713" s="31" t="s">
        <v>1354</v>
      </c>
      <c r="D1713" s="30" t="s">
        <v>3663</v>
      </c>
      <c r="E1713" s="32">
        <v>46113.0</v>
      </c>
      <c r="F1713" s="32">
        <v>46171.0</v>
      </c>
      <c r="G1713" s="33"/>
    </row>
    <row r="1714" ht="15.75" customHeight="1">
      <c r="A1714" s="26" t="s">
        <v>5378</v>
      </c>
      <c r="B1714" s="27" t="s">
        <v>296</v>
      </c>
      <c r="C1714" s="27" t="s">
        <v>3641</v>
      </c>
      <c r="D1714" s="26" t="s">
        <v>3663</v>
      </c>
      <c r="E1714" s="28">
        <v>46113.0</v>
      </c>
      <c r="F1714" s="28">
        <v>46171.0</v>
      </c>
      <c r="G1714" s="29"/>
    </row>
    <row r="1715" ht="15.75" customHeight="1">
      <c r="A1715" s="30" t="s">
        <v>5379</v>
      </c>
      <c r="B1715" s="31" t="s">
        <v>296</v>
      </c>
      <c r="C1715" s="31" t="s">
        <v>1304</v>
      </c>
      <c r="D1715" s="30" t="s">
        <v>3663</v>
      </c>
      <c r="E1715" s="32">
        <v>46113.0</v>
      </c>
      <c r="F1715" s="32">
        <v>46171.0</v>
      </c>
      <c r="G1715" s="33"/>
    </row>
    <row r="1716" ht="15.75" customHeight="1">
      <c r="A1716" s="26" t="s">
        <v>5380</v>
      </c>
      <c r="B1716" s="27" t="s">
        <v>296</v>
      </c>
      <c r="C1716" s="27" t="s">
        <v>3642</v>
      </c>
      <c r="D1716" s="26" t="s">
        <v>3663</v>
      </c>
      <c r="E1716" s="28">
        <v>46113.0</v>
      </c>
      <c r="F1716" s="28">
        <v>46171.0</v>
      </c>
      <c r="G1716" s="29"/>
    </row>
    <row r="1717" ht="15.75" customHeight="1">
      <c r="A1717" s="30" t="s">
        <v>5381</v>
      </c>
      <c r="B1717" s="31" t="s">
        <v>296</v>
      </c>
      <c r="C1717" s="31" t="s">
        <v>1308</v>
      </c>
      <c r="D1717" s="30" t="s">
        <v>3663</v>
      </c>
      <c r="E1717" s="32">
        <v>46113.0</v>
      </c>
      <c r="F1717" s="32">
        <v>46171.0</v>
      </c>
      <c r="G1717" s="33"/>
    </row>
    <row r="1718" ht="15.75" customHeight="1">
      <c r="A1718" s="26" t="s">
        <v>5382</v>
      </c>
      <c r="B1718" s="27" t="s">
        <v>296</v>
      </c>
      <c r="C1718" s="27" t="s">
        <v>3605</v>
      </c>
      <c r="D1718" s="26" t="s">
        <v>3663</v>
      </c>
      <c r="E1718" s="28">
        <v>46113.0</v>
      </c>
      <c r="F1718" s="28">
        <v>46171.0</v>
      </c>
      <c r="G1718" s="29"/>
    </row>
    <row r="1719" ht="15.75" customHeight="1">
      <c r="A1719" s="30" t="s">
        <v>5383</v>
      </c>
      <c r="B1719" s="31" t="s">
        <v>296</v>
      </c>
      <c r="C1719" s="31" t="s">
        <v>1351</v>
      </c>
      <c r="D1719" s="30" t="s">
        <v>3663</v>
      </c>
      <c r="E1719" s="32">
        <v>46113.0</v>
      </c>
      <c r="F1719" s="32">
        <v>46171.0</v>
      </c>
      <c r="G1719" s="33"/>
    </row>
    <row r="1720" ht="15.75" customHeight="1">
      <c r="A1720" s="26" t="s">
        <v>5384</v>
      </c>
      <c r="B1720" s="27" t="s">
        <v>296</v>
      </c>
      <c r="C1720" s="27" t="s">
        <v>1349</v>
      </c>
      <c r="D1720" s="26" t="s">
        <v>3663</v>
      </c>
      <c r="E1720" s="28">
        <v>46113.0</v>
      </c>
      <c r="F1720" s="28">
        <v>46171.0</v>
      </c>
      <c r="G1720" s="29"/>
    </row>
    <row r="1721" ht="15.75" customHeight="1">
      <c r="A1721" s="30" t="s">
        <v>5385</v>
      </c>
      <c r="B1721" s="31" t="s">
        <v>296</v>
      </c>
      <c r="C1721" s="31" t="s">
        <v>968</v>
      </c>
      <c r="D1721" s="30" t="s">
        <v>3663</v>
      </c>
      <c r="E1721" s="32">
        <v>46113.0</v>
      </c>
      <c r="F1721" s="32">
        <v>46171.0</v>
      </c>
      <c r="G1721" s="33"/>
    </row>
    <row r="1722" ht="15.75" customHeight="1">
      <c r="A1722" s="26" t="s">
        <v>5386</v>
      </c>
      <c r="B1722" s="27" t="s">
        <v>296</v>
      </c>
      <c r="C1722" s="27" t="s">
        <v>923</v>
      </c>
      <c r="D1722" s="26" t="s">
        <v>3663</v>
      </c>
      <c r="E1722" s="28">
        <v>46113.0</v>
      </c>
      <c r="F1722" s="28">
        <v>46171.0</v>
      </c>
      <c r="G1722" s="29"/>
    </row>
    <row r="1723" ht="15.75" customHeight="1">
      <c r="A1723" s="30" t="s">
        <v>5387</v>
      </c>
      <c r="B1723" s="31" t="s">
        <v>297</v>
      </c>
      <c r="C1723" s="31" t="s">
        <v>1240</v>
      </c>
      <c r="D1723" s="31" t="s">
        <v>3663</v>
      </c>
      <c r="E1723" s="32">
        <v>46113.0</v>
      </c>
      <c r="F1723" s="32">
        <v>46171.0</v>
      </c>
      <c r="G1723" s="33"/>
    </row>
    <row r="1724" ht="15.75" customHeight="1">
      <c r="A1724" s="26" t="s">
        <v>5388</v>
      </c>
      <c r="B1724" s="27" t="s">
        <v>297</v>
      </c>
      <c r="C1724" s="27" t="s">
        <v>1242</v>
      </c>
      <c r="D1724" s="27" t="s">
        <v>3663</v>
      </c>
      <c r="E1724" s="28">
        <v>46113.0</v>
      </c>
      <c r="F1724" s="28">
        <v>46171.0</v>
      </c>
      <c r="G1724" s="29"/>
    </row>
    <row r="1725" ht="15.75" customHeight="1">
      <c r="A1725" s="30" t="s">
        <v>5389</v>
      </c>
      <c r="B1725" s="31" t="s">
        <v>297</v>
      </c>
      <c r="C1725" s="31" t="s">
        <v>1244</v>
      </c>
      <c r="D1725" s="31" t="s">
        <v>3663</v>
      </c>
      <c r="E1725" s="32">
        <v>46113.0</v>
      </c>
      <c r="F1725" s="32">
        <v>46171.0</v>
      </c>
      <c r="G1725" s="33"/>
    </row>
    <row r="1726" ht="15.75" customHeight="1">
      <c r="A1726" s="26" t="s">
        <v>5390</v>
      </c>
      <c r="B1726" s="27" t="s">
        <v>297</v>
      </c>
      <c r="C1726" s="27" t="s">
        <v>1246</v>
      </c>
      <c r="D1726" s="27" t="s">
        <v>3663</v>
      </c>
      <c r="E1726" s="28">
        <v>46113.0</v>
      </c>
      <c r="F1726" s="28">
        <v>46171.0</v>
      </c>
      <c r="G1726" s="29"/>
    </row>
    <row r="1727" ht="15.75" customHeight="1">
      <c r="A1727" s="30" t="s">
        <v>5391</v>
      </c>
      <c r="B1727" s="31" t="s">
        <v>297</v>
      </c>
      <c r="C1727" s="31" t="s">
        <v>934</v>
      </c>
      <c r="D1727" s="31" t="s">
        <v>3663</v>
      </c>
      <c r="E1727" s="32">
        <v>46113.0</v>
      </c>
      <c r="F1727" s="32">
        <v>46171.0</v>
      </c>
      <c r="G1727" s="33"/>
    </row>
    <row r="1728" ht="15.75" customHeight="1">
      <c r="A1728" s="26" t="s">
        <v>5392</v>
      </c>
      <c r="B1728" s="27" t="s">
        <v>297</v>
      </c>
      <c r="C1728" s="27" t="s">
        <v>1354</v>
      </c>
      <c r="D1728" s="26" t="s">
        <v>3663</v>
      </c>
      <c r="E1728" s="28">
        <v>46113.0</v>
      </c>
      <c r="F1728" s="28">
        <v>46171.0</v>
      </c>
      <c r="G1728" s="29"/>
    </row>
    <row r="1729" ht="15.75" customHeight="1">
      <c r="A1729" s="30" t="s">
        <v>5393</v>
      </c>
      <c r="B1729" s="31" t="s">
        <v>297</v>
      </c>
      <c r="C1729" s="31" t="s">
        <v>1172</v>
      </c>
      <c r="D1729" s="30" t="s">
        <v>3663</v>
      </c>
      <c r="E1729" s="32">
        <v>46113.0</v>
      </c>
      <c r="F1729" s="32">
        <v>46171.0</v>
      </c>
      <c r="G1729" s="33"/>
    </row>
    <row r="1730" ht="15.75" customHeight="1">
      <c r="A1730" s="26" t="s">
        <v>5394</v>
      </c>
      <c r="B1730" s="27" t="s">
        <v>297</v>
      </c>
      <c r="C1730" s="27" t="s">
        <v>3681</v>
      </c>
      <c r="D1730" s="26" t="s">
        <v>3663</v>
      </c>
      <c r="E1730" s="28">
        <v>46113.0</v>
      </c>
      <c r="F1730" s="28">
        <v>46171.0</v>
      </c>
      <c r="G1730" s="29"/>
    </row>
    <row r="1731" ht="15.75" customHeight="1">
      <c r="A1731" s="30" t="s">
        <v>5395</v>
      </c>
      <c r="B1731" s="31" t="s">
        <v>297</v>
      </c>
      <c r="C1731" s="31" t="s">
        <v>3683</v>
      </c>
      <c r="D1731" s="30" t="s">
        <v>3663</v>
      </c>
      <c r="E1731" s="32">
        <v>46113.0</v>
      </c>
      <c r="F1731" s="32">
        <v>46171.0</v>
      </c>
      <c r="G1731" s="33"/>
    </row>
    <row r="1732" ht="15.75" customHeight="1">
      <c r="A1732" s="26" t="s">
        <v>5396</v>
      </c>
      <c r="B1732" s="27" t="s">
        <v>297</v>
      </c>
      <c r="C1732" s="27" t="s">
        <v>3647</v>
      </c>
      <c r="D1732" s="26" t="s">
        <v>3663</v>
      </c>
      <c r="E1732" s="28">
        <v>46113.0</v>
      </c>
      <c r="F1732" s="28">
        <v>46171.0</v>
      </c>
      <c r="G1732" s="29"/>
    </row>
    <row r="1733" ht="15.75" customHeight="1">
      <c r="A1733" s="30" t="s">
        <v>5397</v>
      </c>
      <c r="B1733" s="31" t="s">
        <v>297</v>
      </c>
      <c r="C1733" s="31" t="s">
        <v>952</v>
      </c>
      <c r="D1733" s="30" t="s">
        <v>3663</v>
      </c>
      <c r="E1733" s="32">
        <v>46113.0</v>
      </c>
      <c r="F1733" s="32">
        <v>46171.0</v>
      </c>
      <c r="G1733" s="33"/>
    </row>
    <row r="1734" ht="15.75" customHeight="1">
      <c r="A1734" s="26" t="s">
        <v>5398</v>
      </c>
      <c r="B1734" s="27" t="s">
        <v>297</v>
      </c>
      <c r="C1734" s="27" t="s">
        <v>1216</v>
      </c>
      <c r="D1734" s="26" t="s">
        <v>3663</v>
      </c>
      <c r="E1734" s="28">
        <v>46113.0</v>
      </c>
      <c r="F1734" s="28">
        <v>46171.0</v>
      </c>
      <c r="G1734" s="29"/>
    </row>
    <row r="1735" ht="15.75" customHeight="1">
      <c r="A1735" s="30" t="s">
        <v>5399</v>
      </c>
      <c r="B1735" s="31" t="s">
        <v>297</v>
      </c>
      <c r="C1735" s="31" t="s">
        <v>968</v>
      </c>
      <c r="D1735" s="30" t="s">
        <v>3663</v>
      </c>
      <c r="E1735" s="32">
        <v>46113.0</v>
      </c>
      <c r="F1735" s="32">
        <v>46171.0</v>
      </c>
      <c r="G1735" s="33"/>
    </row>
    <row r="1736" ht="15.75" customHeight="1">
      <c r="A1736" s="26" t="s">
        <v>5400</v>
      </c>
      <c r="B1736" s="27" t="s">
        <v>297</v>
      </c>
      <c r="C1736" s="27" t="s">
        <v>923</v>
      </c>
      <c r="D1736" s="27" t="s">
        <v>3663</v>
      </c>
      <c r="E1736" s="28">
        <v>46113.0</v>
      </c>
      <c r="F1736" s="28">
        <v>46171.0</v>
      </c>
      <c r="G1736" s="29"/>
    </row>
    <row r="1737" ht="15.75" customHeight="1">
      <c r="A1737" s="30" t="s">
        <v>5401</v>
      </c>
      <c r="B1737" s="31" t="s">
        <v>298</v>
      </c>
      <c r="C1737" s="31" t="s">
        <v>926</v>
      </c>
      <c r="D1737" s="30" t="s">
        <v>3663</v>
      </c>
      <c r="E1737" s="32">
        <v>46113.0</v>
      </c>
      <c r="F1737" s="32">
        <v>46171.0</v>
      </c>
      <c r="G1737" s="33"/>
    </row>
    <row r="1738" ht="15.75" customHeight="1">
      <c r="A1738" s="26" t="s">
        <v>5402</v>
      </c>
      <c r="B1738" s="27" t="s">
        <v>298</v>
      </c>
      <c r="C1738" s="27" t="s">
        <v>1354</v>
      </c>
      <c r="D1738" s="26" t="s">
        <v>3663</v>
      </c>
      <c r="E1738" s="28">
        <v>46113.0</v>
      </c>
      <c r="F1738" s="28">
        <v>46171.0</v>
      </c>
      <c r="G1738" s="29"/>
    </row>
    <row r="1739" ht="15.75" customHeight="1">
      <c r="A1739" s="30" t="s">
        <v>5403</v>
      </c>
      <c r="B1739" s="31" t="s">
        <v>298</v>
      </c>
      <c r="C1739" s="31" t="s">
        <v>1172</v>
      </c>
      <c r="D1739" s="30" t="s">
        <v>3663</v>
      </c>
      <c r="E1739" s="32">
        <v>46113.0</v>
      </c>
      <c r="F1739" s="32">
        <v>46171.0</v>
      </c>
      <c r="G1739" s="34"/>
    </row>
    <row r="1740" ht="15.75" customHeight="1">
      <c r="A1740" s="26" t="s">
        <v>5404</v>
      </c>
      <c r="B1740" s="27" t="s">
        <v>298</v>
      </c>
      <c r="C1740" s="27" t="s">
        <v>3681</v>
      </c>
      <c r="D1740" s="26" t="s">
        <v>3663</v>
      </c>
      <c r="E1740" s="28">
        <v>46113.0</v>
      </c>
      <c r="F1740" s="28">
        <v>46171.0</v>
      </c>
      <c r="G1740" s="29"/>
    </row>
    <row r="1741" ht="15.75" customHeight="1">
      <c r="A1741" s="30" t="s">
        <v>5405</v>
      </c>
      <c r="B1741" s="31" t="s">
        <v>298</v>
      </c>
      <c r="C1741" s="31" t="s">
        <v>3683</v>
      </c>
      <c r="D1741" s="30" t="s">
        <v>3663</v>
      </c>
      <c r="E1741" s="32">
        <v>46113.0</v>
      </c>
      <c r="F1741" s="32">
        <v>46171.0</v>
      </c>
      <c r="G1741" s="33"/>
    </row>
    <row r="1742" ht="15.75" customHeight="1">
      <c r="A1742" s="26" t="s">
        <v>5406</v>
      </c>
      <c r="B1742" s="27" t="s">
        <v>298</v>
      </c>
      <c r="C1742" s="27" t="s">
        <v>1277</v>
      </c>
      <c r="D1742" s="26" t="s">
        <v>3663</v>
      </c>
      <c r="E1742" s="28">
        <v>46113.0</v>
      </c>
      <c r="F1742" s="28">
        <v>46171.0</v>
      </c>
      <c r="G1742" s="29"/>
    </row>
    <row r="1743" ht="15.75" customHeight="1">
      <c r="A1743" s="30" t="s">
        <v>5407</v>
      </c>
      <c r="B1743" s="31" t="s">
        <v>298</v>
      </c>
      <c r="C1743" s="31" t="s">
        <v>1279</v>
      </c>
      <c r="D1743" s="30" t="s">
        <v>3663</v>
      </c>
      <c r="E1743" s="32">
        <v>46113.0</v>
      </c>
      <c r="F1743" s="32">
        <v>46171.0</v>
      </c>
      <c r="G1743" s="33"/>
    </row>
    <row r="1744" ht="15.75" customHeight="1">
      <c r="A1744" s="26" t="s">
        <v>5408</v>
      </c>
      <c r="B1744" s="27" t="s">
        <v>298</v>
      </c>
      <c r="C1744" s="27" t="s">
        <v>1283</v>
      </c>
      <c r="D1744" s="26" t="s">
        <v>3663</v>
      </c>
      <c r="E1744" s="28">
        <v>46113.0</v>
      </c>
      <c r="F1744" s="28">
        <v>46171.0</v>
      </c>
      <c r="G1744" s="29"/>
    </row>
    <row r="1745" ht="15.75" customHeight="1">
      <c r="A1745" s="30" t="s">
        <v>5409</v>
      </c>
      <c r="B1745" s="31" t="s">
        <v>298</v>
      </c>
      <c r="C1745" s="31" t="s">
        <v>1281</v>
      </c>
      <c r="D1745" s="30" t="s">
        <v>3663</v>
      </c>
      <c r="E1745" s="32">
        <v>46113.0</v>
      </c>
      <c r="F1745" s="32">
        <v>46171.0</v>
      </c>
      <c r="G1745" s="33"/>
    </row>
    <row r="1746" ht="15.75" customHeight="1">
      <c r="A1746" s="26" t="s">
        <v>5410</v>
      </c>
      <c r="B1746" s="27" t="s">
        <v>298</v>
      </c>
      <c r="C1746" s="27" t="s">
        <v>1216</v>
      </c>
      <c r="D1746" s="26" t="s">
        <v>3663</v>
      </c>
      <c r="E1746" s="28">
        <v>46113.0</v>
      </c>
      <c r="F1746" s="28">
        <v>46171.0</v>
      </c>
      <c r="G1746" s="29"/>
    </row>
    <row r="1747" ht="15.75" customHeight="1">
      <c r="A1747" s="30" t="s">
        <v>5411</v>
      </c>
      <c r="B1747" s="31" t="s">
        <v>298</v>
      </c>
      <c r="C1747" s="31" t="s">
        <v>1351</v>
      </c>
      <c r="D1747" s="30" t="s">
        <v>3663</v>
      </c>
      <c r="E1747" s="32">
        <v>46113.0</v>
      </c>
      <c r="F1747" s="32">
        <v>46171.0</v>
      </c>
      <c r="G1747" s="33"/>
    </row>
    <row r="1748" ht="15.75" customHeight="1">
      <c r="A1748" s="26" t="s">
        <v>5412</v>
      </c>
      <c r="B1748" s="27" t="s">
        <v>298</v>
      </c>
      <c r="C1748" s="27" t="s">
        <v>1349</v>
      </c>
      <c r="D1748" s="26" t="s">
        <v>3663</v>
      </c>
      <c r="E1748" s="28">
        <v>46113.0</v>
      </c>
      <c r="F1748" s="28">
        <v>46171.0</v>
      </c>
      <c r="G1748" s="29"/>
    </row>
    <row r="1749" ht="15.75" customHeight="1">
      <c r="A1749" s="30" t="s">
        <v>5413</v>
      </c>
      <c r="B1749" s="31" t="s">
        <v>298</v>
      </c>
      <c r="C1749" s="31" t="s">
        <v>968</v>
      </c>
      <c r="D1749" s="30" t="s">
        <v>3663</v>
      </c>
      <c r="E1749" s="32">
        <v>46113.0</v>
      </c>
      <c r="F1749" s="32">
        <v>46171.0</v>
      </c>
      <c r="G1749" s="33"/>
    </row>
    <row r="1750" ht="15.75" customHeight="1">
      <c r="A1750" s="26" t="s">
        <v>5414</v>
      </c>
      <c r="B1750" s="27" t="s">
        <v>298</v>
      </c>
      <c r="C1750" s="27" t="s">
        <v>923</v>
      </c>
      <c r="D1750" s="26" t="s">
        <v>3663</v>
      </c>
      <c r="E1750" s="28">
        <v>46113.0</v>
      </c>
      <c r="F1750" s="28">
        <v>46171.0</v>
      </c>
      <c r="G1750" s="29"/>
    </row>
    <row r="1751" ht="15.75" customHeight="1">
      <c r="A1751" s="30" t="s">
        <v>5415</v>
      </c>
      <c r="B1751" s="31" t="s">
        <v>299</v>
      </c>
      <c r="C1751" s="31" t="s">
        <v>930</v>
      </c>
      <c r="D1751" s="30" t="s">
        <v>3663</v>
      </c>
      <c r="E1751" s="32">
        <v>46113.0</v>
      </c>
      <c r="F1751" s="32">
        <v>46171.0</v>
      </c>
      <c r="G1751" s="33"/>
    </row>
    <row r="1752" ht="15.75" customHeight="1">
      <c r="A1752" s="26" t="s">
        <v>5416</v>
      </c>
      <c r="B1752" s="27" t="s">
        <v>299</v>
      </c>
      <c r="C1752" s="27" t="s">
        <v>1354</v>
      </c>
      <c r="D1752" s="26" t="s">
        <v>3663</v>
      </c>
      <c r="E1752" s="28">
        <v>46113.0</v>
      </c>
      <c r="F1752" s="28">
        <v>46171.0</v>
      </c>
      <c r="G1752" s="29"/>
    </row>
    <row r="1753" ht="15.75" customHeight="1">
      <c r="A1753" s="30" t="s">
        <v>5417</v>
      </c>
      <c r="B1753" s="31" t="s">
        <v>299</v>
      </c>
      <c r="C1753" s="31" t="s">
        <v>3641</v>
      </c>
      <c r="D1753" s="30" t="s">
        <v>3663</v>
      </c>
      <c r="E1753" s="32">
        <v>46113.0</v>
      </c>
      <c r="F1753" s="32">
        <v>46171.0</v>
      </c>
      <c r="G1753" s="33"/>
    </row>
    <row r="1754" ht="15.75" customHeight="1">
      <c r="A1754" s="26" t="s">
        <v>5418</v>
      </c>
      <c r="B1754" s="27" t="s">
        <v>299</v>
      </c>
      <c r="C1754" s="27" t="s">
        <v>1304</v>
      </c>
      <c r="D1754" s="26" t="s">
        <v>3663</v>
      </c>
      <c r="E1754" s="28">
        <v>46113.0</v>
      </c>
      <c r="F1754" s="28">
        <v>46171.0</v>
      </c>
      <c r="G1754" s="29"/>
    </row>
    <row r="1755" ht="15.75" customHeight="1">
      <c r="A1755" s="30" t="s">
        <v>5419</v>
      </c>
      <c r="B1755" s="31" t="s">
        <v>299</v>
      </c>
      <c r="C1755" s="31" t="s">
        <v>3642</v>
      </c>
      <c r="D1755" s="30" t="s">
        <v>3663</v>
      </c>
      <c r="E1755" s="32">
        <v>46113.0</v>
      </c>
      <c r="F1755" s="32">
        <v>46171.0</v>
      </c>
      <c r="G1755" s="33"/>
    </row>
    <row r="1756" ht="15.75" customHeight="1">
      <c r="A1756" s="26" t="s">
        <v>5420</v>
      </c>
      <c r="B1756" s="27" t="s">
        <v>299</v>
      </c>
      <c r="C1756" s="27" t="s">
        <v>1308</v>
      </c>
      <c r="D1756" s="26" t="s">
        <v>3663</v>
      </c>
      <c r="E1756" s="28">
        <v>46113.0</v>
      </c>
      <c r="F1756" s="28">
        <v>46171.0</v>
      </c>
      <c r="G1756" s="29"/>
    </row>
    <row r="1757" ht="15.75" customHeight="1">
      <c r="A1757" s="30" t="s">
        <v>5421</v>
      </c>
      <c r="B1757" s="31" t="s">
        <v>299</v>
      </c>
      <c r="C1757" s="31" t="s">
        <v>1190</v>
      </c>
      <c r="D1757" s="30" t="s">
        <v>3663</v>
      </c>
      <c r="E1757" s="32">
        <v>46113.0</v>
      </c>
      <c r="F1757" s="32">
        <v>46171.0</v>
      </c>
      <c r="G1757" s="33"/>
    </row>
    <row r="1758" ht="15.75" customHeight="1">
      <c r="A1758" s="26" t="s">
        <v>5422</v>
      </c>
      <c r="B1758" s="27" t="s">
        <v>299</v>
      </c>
      <c r="C1758" s="27" t="s">
        <v>1216</v>
      </c>
      <c r="D1758" s="26" t="s">
        <v>3663</v>
      </c>
      <c r="E1758" s="28">
        <v>46113.0</v>
      </c>
      <c r="F1758" s="28">
        <v>46171.0</v>
      </c>
      <c r="G1758" s="29"/>
    </row>
    <row r="1759" ht="15.75" customHeight="1">
      <c r="A1759" s="30" t="s">
        <v>5423</v>
      </c>
      <c r="B1759" s="31" t="s">
        <v>299</v>
      </c>
      <c r="C1759" s="31" t="s">
        <v>1351</v>
      </c>
      <c r="D1759" s="30" t="s">
        <v>3663</v>
      </c>
      <c r="E1759" s="32">
        <v>46113.0</v>
      </c>
      <c r="F1759" s="32">
        <v>46171.0</v>
      </c>
      <c r="G1759" s="33"/>
    </row>
    <row r="1760" ht="15.75" customHeight="1">
      <c r="A1760" s="26" t="s">
        <v>5424</v>
      </c>
      <c r="B1760" s="27" t="s">
        <v>299</v>
      </c>
      <c r="C1760" s="27" t="s">
        <v>1349</v>
      </c>
      <c r="D1760" s="26" t="s">
        <v>3663</v>
      </c>
      <c r="E1760" s="28">
        <v>46113.0</v>
      </c>
      <c r="F1760" s="28">
        <v>46171.0</v>
      </c>
      <c r="G1760" s="29"/>
    </row>
    <row r="1761" ht="15.75" customHeight="1">
      <c r="A1761" s="30" t="s">
        <v>5425</v>
      </c>
      <c r="B1761" s="31" t="s">
        <v>299</v>
      </c>
      <c r="C1761" s="31" t="s">
        <v>3653</v>
      </c>
      <c r="D1761" s="30" t="s">
        <v>3663</v>
      </c>
      <c r="E1761" s="32">
        <v>46113.0</v>
      </c>
      <c r="F1761" s="32">
        <v>46171.0</v>
      </c>
      <c r="G1761" s="33"/>
    </row>
    <row r="1762" ht="15.75" customHeight="1">
      <c r="A1762" s="26" t="s">
        <v>5426</v>
      </c>
      <c r="B1762" s="27" t="s">
        <v>299</v>
      </c>
      <c r="C1762" s="27" t="s">
        <v>3652</v>
      </c>
      <c r="D1762" s="26" t="s">
        <v>3663</v>
      </c>
      <c r="E1762" s="28">
        <v>46113.0</v>
      </c>
      <c r="F1762" s="28">
        <v>46171.0</v>
      </c>
      <c r="G1762" s="29"/>
    </row>
    <row r="1763" ht="15.75" customHeight="1">
      <c r="A1763" s="30" t="s">
        <v>5427</v>
      </c>
      <c r="B1763" s="31" t="s">
        <v>299</v>
      </c>
      <c r="C1763" s="31" t="s">
        <v>965</v>
      </c>
      <c r="D1763" s="30" t="s">
        <v>3663</v>
      </c>
      <c r="E1763" s="32">
        <v>46113.0</v>
      </c>
      <c r="F1763" s="32">
        <v>46171.0</v>
      </c>
      <c r="G1763" s="33"/>
    </row>
    <row r="1764" ht="15.75" customHeight="1">
      <c r="A1764" s="26" t="s">
        <v>5428</v>
      </c>
      <c r="B1764" s="27" t="s">
        <v>299</v>
      </c>
      <c r="C1764" s="27" t="s">
        <v>923</v>
      </c>
      <c r="D1764" s="26" t="s">
        <v>3663</v>
      </c>
      <c r="E1764" s="28">
        <v>46113.0</v>
      </c>
      <c r="F1764" s="28">
        <v>46171.0</v>
      </c>
      <c r="G1764" s="29"/>
    </row>
    <row r="1765" ht="15.75" customHeight="1">
      <c r="A1765" s="30" t="s">
        <v>5429</v>
      </c>
      <c r="B1765" s="31" t="s">
        <v>300</v>
      </c>
      <c r="C1765" s="31" t="s">
        <v>930</v>
      </c>
      <c r="D1765" s="30" t="s">
        <v>3663</v>
      </c>
      <c r="E1765" s="32">
        <v>46113.0</v>
      </c>
      <c r="F1765" s="32">
        <v>46171.0</v>
      </c>
      <c r="G1765" s="33"/>
    </row>
    <row r="1766" ht="15.75" customHeight="1">
      <c r="A1766" s="26" t="s">
        <v>5430</v>
      </c>
      <c r="B1766" s="27" t="s">
        <v>300</v>
      </c>
      <c r="C1766" s="27" t="s">
        <v>1354</v>
      </c>
      <c r="D1766" s="26" t="s">
        <v>3663</v>
      </c>
      <c r="E1766" s="28">
        <v>46113.0</v>
      </c>
      <c r="F1766" s="28">
        <v>46171.0</v>
      </c>
      <c r="G1766" s="29"/>
    </row>
    <row r="1767" ht="15.75" customHeight="1">
      <c r="A1767" s="30" t="s">
        <v>5431</v>
      </c>
      <c r="B1767" s="31" t="s">
        <v>300</v>
      </c>
      <c r="C1767" s="31" t="s">
        <v>3656</v>
      </c>
      <c r="D1767" s="30" t="s">
        <v>3663</v>
      </c>
      <c r="E1767" s="32">
        <v>46113.0</v>
      </c>
      <c r="F1767" s="32">
        <v>46171.0</v>
      </c>
      <c r="G1767" s="33"/>
    </row>
    <row r="1768" ht="15.75" customHeight="1">
      <c r="A1768" s="26" t="s">
        <v>5432</v>
      </c>
      <c r="B1768" s="27" t="s">
        <v>300</v>
      </c>
      <c r="C1768" s="27" t="s">
        <v>3657</v>
      </c>
      <c r="D1768" s="26" t="s">
        <v>3663</v>
      </c>
      <c r="E1768" s="28">
        <v>46113.0</v>
      </c>
      <c r="F1768" s="28">
        <v>46171.0</v>
      </c>
      <c r="G1768" s="29"/>
    </row>
    <row r="1769" ht="15.75" customHeight="1">
      <c r="A1769" s="30" t="s">
        <v>5433</v>
      </c>
      <c r="B1769" s="31" t="s">
        <v>300</v>
      </c>
      <c r="C1769" s="31" t="s">
        <v>3647</v>
      </c>
      <c r="D1769" s="30" t="s">
        <v>3663</v>
      </c>
      <c r="E1769" s="32">
        <v>46113.0</v>
      </c>
      <c r="F1769" s="32">
        <v>46171.0</v>
      </c>
      <c r="G1769" s="33"/>
    </row>
    <row r="1770" ht="15.75" customHeight="1">
      <c r="A1770" s="26" t="s">
        <v>5434</v>
      </c>
      <c r="B1770" s="27" t="s">
        <v>300</v>
      </c>
      <c r="C1770" s="27" t="s">
        <v>952</v>
      </c>
      <c r="D1770" s="26" t="s">
        <v>3663</v>
      </c>
      <c r="E1770" s="28">
        <v>46113.0</v>
      </c>
      <c r="F1770" s="28">
        <v>46171.0</v>
      </c>
      <c r="G1770" s="29"/>
    </row>
    <row r="1771" ht="15.75" customHeight="1">
      <c r="A1771" s="30" t="s">
        <v>5435</v>
      </c>
      <c r="B1771" s="31" t="s">
        <v>300</v>
      </c>
      <c r="C1771" s="31" t="s">
        <v>1216</v>
      </c>
      <c r="D1771" s="30" t="s">
        <v>3663</v>
      </c>
      <c r="E1771" s="32">
        <v>46113.0</v>
      </c>
      <c r="F1771" s="32">
        <v>46171.0</v>
      </c>
      <c r="G1771" s="33"/>
    </row>
    <row r="1772" ht="15.75" customHeight="1">
      <c r="A1772" s="26" t="s">
        <v>5436</v>
      </c>
      <c r="B1772" s="27" t="s">
        <v>300</v>
      </c>
      <c r="C1772" s="27" t="s">
        <v>1157</v>
      </c>
      <c r="D1772" s="26" t="s">
        <v>3663</v>
      </c>
      <c r="E1772" s="28">
        <v>46113.0</v>
      </c>
      <c r="F1772" s="28">
        <v>46171.0</v>
      </c>
      <c r="G1772" s="29"/>
    </row>
    <row r="1773" ht="15.75" customHeight="1">
      <c r="A1773" s="30" t="s">
        <v>5437</v>
      </c>
      <c r="B1773" s="31" t="s">
        <v>300</v>
      </c>
      <c r="C1773" s="31" t="s">
        <v>1155</v>
      </c>
      <c r="D1773" s="30" t="s">
        <v>3663</v>
      </c>
      <c r="E1773" s="32">
        <v>46113.0</v>
      </c>
      <c r="F1773" s="32">
        <v>46171.0</v>
      </c>
      <c r="G1773" s="33"/>
    </row>
    <row r="1774" ht="15.75" customHeight="1">
      <c r="A1774" s="26" t="s">
        <v>5438</v>
      </c>
      <c r="B1774" s="27" t="s">
        <v>300</v>
      </c>
      <c r="C1774" s="27" t="s">
        <v>1153</v>
      </c>
      <c r="D1774" s="26" t="s">
        <v>3663</v>
      </c>
      <c r="E1774" s="28">
        <v>46113.0</v>
      </c>
      <c r="F1774" s="28">
        <v>46171.0</v>
      </c>
      <c r="G1774" s="29"/>
    </row>
    <row r="1775" ht="15.75" customHeight="1">
      <c r="A1775" s="30" t="s">
        <v>5439</v>
      </c>
      <c r="B1775" s="31" t="s">
        <v>300</v>
      </c>
      <c r="C1775" s="31" t="s">
        <v>1149</v>
      </c>
      <c r="D1775" s="30" t="s">
        <v>3663</v>
      </c>
      <c r="E1775" s="32">
        <v>46113.0</v>
      </c>
      <c r="F1775" s="32">
        <v>46171.0</v>
      </c>
      <c r="G1775" s="33"/>
    </row>
    <row r="1776" ht="15.75" customHeight="1">
      <c r="A1776" s="26" t="s">
        <v>5440</v>
      </c>
      <c r="B1776" s="27" t="s">
        <v>300</v>
      </c>
      <c r="C1776" s="27" t="s">
        <v>968</v>
      </c>
      <c r="D1776" s="26" t="s">
        <v>3663</v>
      </c>
      <c r="E1776" s="28">
        <v>46113.0</v>
      </c>
      <c r="F1776" s="28">
        <v>46171.0</v>
      </c>
      <c r="G1776" s="29"/>
    </row>
    <row r="1777" ht="15.75" customHeight="1">
      <c r="A1777" s="30" t="s">
        <v>5441</v>
      </c>
      <c r="B1777" s="31" t="s">
        <v>300</v>
      </c>
      <c r="C1777" s="31" t="s">
        <v>923</v>
      </c>
      <c r="D1777" s="30" t="s">
        <v>3663</v>
      </c>
      <c r="E1777" s="32">
        <v>46113.0</v>
      </c>
      <c r="F1777" s="32">
        <v>46171.0</v>
      </c>
      <c r="G1777" s="33"/>
    </row>
    <row r="1778" ht="15.75" customHeight="1">
      <c r="A1778" s="26" t="s">
        <v>5442</v>
      </c>
      <c r="B1778" s="27" t="s">
        <v>300</v>
      </c>
      <c r="C1778" s="27" t="s">
        <v>961</v>
      </c>
      <c r="D1778" s="26" t="s">
        <v>3663</v>
      </c>
      <c r="E1778" s="28">
        <v>46113.0</v>
      </c>
      <c r="F1778" s="28">
        <v>46171.0</v>
      </c>
      <c r="G1778" s="29"/>
    </row>
    <row r="1779" ht="15.75" customHeight="1">
      <c r="A1779" s="30" t="s">
        <v>5443</v>
      </c>
      <c r="B1779" s="31" t="s">
        <v>301</v>
      </c>
      <c r="C1779" s="31" t="s">
        <v>930</v>
      </c>
      <c r="D1779" s="30" t="s">
        <v>3663</v>
      </c>
      <c r="E1779" s="32">
        <v>46113.0</v>
      </c>
      <c r="F1779" s="32">
        <v>46171.0</v>
      </c>
      <c r="G1779" s="33"/>
    </row>
    <row r="1780" ht="15.75" customHeight="1">
      <c r="A1780" s="26" t="s">
        <v>5444</v>
      </c>
      <c r="B1780" s="27" t="s">
        <v>301</v>
      </c>
      <c r="C1780" s="27" t="s">
        <v>1354</v>
      </c>
      <c r="D1780" s="26" t="s">
        <v>3663</v>
      </c>
      <c r="E1780" s="28">
        <v>46113.0</v>
      </c>
      <c r="F1780" s="28">
        <v>46171.0</v>
      </c>
      <c r="G1780" s="29"/>
    </row>
    <row r="1781" ht="15.75" customHeight="1">
      <c r="A1781" s="30" t="s">
        <v>5445</v>
      </c>
      <c r="B1781" s="31" t="s">
        <v>301</v>
      </c>
      <c r="C1781" s="31" t="s">
        <v>3641</v>
      </c>
      <c r="D1781" s="30" t="s">
        <v>3663</v>
      </c>
      <c r="E1781" s="32">
        <v>46113.0</v>
      </c>
      <c r="F1781" s="32">
        <v>46171.0</v>
      </c>
      <c r="G1781" s="33"/>
    </row>
    <row r="1782" ht="15.75" customHeight="1">
      <c r="A1782" s="26" t="s">
        <v>5446</v>
      </c>
      <c r="B1782" s="27" t="s">
        <v>301</v>
      </c>
      <c r="C1782" s="27" t="s">
        <v>1304</v>
      </c>
      <c r="D1782" s="26" t="s">
        <v>3663</v>
      </c>
      <c r="E1782" s="28">
        <v>46113.0</v>
      </c>
      <c r="F1782" s="28">
        <v>46171.0</v>
      </c>
      <c r="G1782" s="29"/>
    </row>
    <row r="1783" ht="15.75" customHeight="1">
      <c r="A1783" s="30" t="s">
        <v>5447</v>
      </c>
      <c r="B1783" s="31" t="s">
        <v>301</v>
      </c>
      <c r="C1783" s="31" t="s">
        <v>3642</v>
      </c>
      <c r="D1783" s="30" t="s">
        <v>3663</v>
      </c>
      <c r="E1783" s="32">
        <v>46113.0</v>
      </c>
      <c r="F1783" s="32">
        <v>46171.0</v>
      </c>
      <c r="G1783" s="33"/>
    </row>
    <row r="1784" ht="15.75" customHeight="1">
      <c r="A1784" s="26" t="s">
        <v>5448</v>
      </c>
      <c r="B1784" s="27" t="s">
        <v>301</v>
      </c>
      <c r="C1784" s="27" t="s">
        <v>1308</v>
      </c>
      <c r="D1784" s="26" t="s">
        <v>3663</v>
      </c>
      <c r="E1784" s="28">
        <v>46113.0</v>
      </c>
      <c r="F1784" s="28">
        <v>46171.0</v>
      </c>
      <c r="G1784" s="29"/>
    </row>
    <row r="1785" ht="15.75" customHeight="1">
      <c r="A1785" s="30" t="s">
        <v>5449</v>
      </c>
      <c r="B1785" s="31" t="s">
        <v>301</v>
      </c>
      <c r="C1785" s="31" t="s">
        <v>1172</v>
      </c>
      <c r="D1785" s="30" t="s">
        <v>3663</v>
      </c>
      <c r="E1785" s="32">
        <v>46113.0</v>
      </c>
      <c r="F1785" s="32">
        <v>46171.0</v>
      </c>
      <c r="G1785" s="33"/>
    </row>
    <row r="1786" ht="15.75" customHeight="1">
      <c r="A1786" s="26" t="s">
        <v>5450</v>
      </c>
      <c r="B1786" s="27" t="s">
        <v>301</v>
      </c>
      <c r="C1786" s="27" t="s">
        <v>1190</v>
      </c>
      <c r="D1786" s="26" t="s">
        <v>3663</v>
      </c>
      <c r="E1786" s="28">
        <v>46113.0</v>
      </c>
      <c r="F1786" s="28">
        <v>46171.0</v>
      </c>
      <c r="G1786" s="29"/>
    </row>
    <row r="1787" ht="15.75" customHeight="1">
      <c r="A1787" s="30" t="s">
        <v>5451</v>
      </c>
      <c r="B1787" s="31" t="s">
        <v>301</v>
      </c>
      <c r="C1787" s="31" t="s">
        <v>3656</v>
      </c>
      <c r="D1787" s="30" t="s">
        <v>3663</v>
      </c>
      <c r="E1787" s="32">
        <v>46113.0</v>
      </c>
      <c r="F1787" s="32">
        <v>46171.0</v>
      </c>
      <c r="G1787" s="33"/>
    </row>
    <row r="1788" ht="15.75" customHeight="1">
      <c r="A1788" s="26" t="s">
        <v>5452</v>
      </c>
      <c r="B1788" s="27" t="s">
        <v>301</v>
      </c>
      <c r="C1788" s="27" t="s">
        <v>3657</v>
      </c>
      <c r="D1788" s="26" t="s">
        <v>3663</v>
      </c>
      <c r="E1788" s="28">
        <v>46113.0</v>
      </c>
      <c r="F1788" s="28">
        <v>46171.0</v>
      </c>
      <c r="G1788" s="29"/>
    </row>
    <row r="1789" ht="15.75" customHeight="1">
      <c r="A1789" s="30" t="s">
        <v>5453</v>
      </c>
      <c r="B1789" s="31" t="s">
        <v>301</v>
      </c>
      <c r="C1789" s="31" t="s">
        <v>1351</v>
      </c>
      <c r="D1789" s="30" t="s">
        <v>3663</v>
      </c>
      <c r="E1789" s="32">
        <v>46113.0</v>
      </c>
      <c r="F1789" s="32">
        <v>46171.0</v>
      </c>
      <c r="G1789" s="33"/>
    </row>
    <row r="1790" ht="15.75" customHeight="1">
      <c r="A1790" s="26" t="s">
        <v>5454</v>
      </c>
      <c r="B1790" s="27" t="s">
        <v>301</v>
      </c>
      <c r="C1790" s="27" t="s">
        <v>1349</v>
      </c>
      <c r="D1790" s="26" t="s">
        <v>3663</v>
      </c>
      <c r="E1790" s="28">
        <v>46113.0</v>
      </c>
      <c r="F1790" s="28">
        <v>46171.0</v>
      </c>
      <c r="G1790" s="29"/>
    </row>
    <row r="1791" ht="15.75" customHeight="1">
      <c r="A1791" s="30" t="s">
        <v>5455</v>
      </c>
      <c r="B1791" s="31" t="s">
        <v>301</v>
      </c>
      <c r="C1791" s="31" t="s">
        <v>968</v>
      </c>
      <c r="D1791" s="30" t="s">
        <v>3663</v>
      </c>
      <c r="E1791" s="32">
        <v>46113.0</v>
      </c>
      <c r="F1791" s="32">
        <v>46171.0</v>
      </c>
      <c r="G1791" s="33"/>
    </row>
    <row r="1792" ht="15.75" customHeight="1">
      <c r="A1792" s="26" t="s">
        <v>5456</v>
      </c>
      <c r="B1792" s="27" t="s">
        <v>301</v>
      </c>
      <c r="C1792" s="27" t="s">
        <v>923</v>
      </c>
      <c r="D1792" s="26" t="s">
        <v>3663</v>
      </c>
      <c r="E1792" s="28">
        <v>46113.0</v>
      </c>
      <c r="F1792" s="28">
        <v>46171.0</v>
      </c>
      <c r="G1792" s="29"/>
    </row>
    <row r="1793" ht="15.75" customHeight="1">
      <c r="A1793" s="30" t="s">
        <v>5457</v>
      </c>
      <c r="B1793" s="31" t="s">
        <v>302</v>
      </c>
      <c r="C1793" s="31" t="s">
        <v>930</v>
      </c>
      <c r="D1793" s="30" t="s">
        <v>3663</v>
      </c>
      <c r="E1793" s="32">
        <v>46113.0</v>
      </c>
      <c r="F1793" s="32">
        <v>46171.0</v>
      </c>
      <c r="G1793" s="33"/>
    </row>
    <row r="1794" ht="15.75" customHeight="1">
      <c r="A1794" s="26" t="s">
        <v>5458</v>
      </c>
      <c r="B1794" s="27" t="s">
        <v>302</v>
      </c>
      <c r="C1794" s="27" t="s">
        <v>1354</v>
      </c>
      <c r="D1794" s="26" t="s">
        <v>3663</v>
      </c>
      <c r="E1794" s="28">
        <v>46113.0</v>
      </c>
      <c r="F1794" s="28">
        <v>46171.0</v>
      </c>
      <c r="G1794" s="29"/>
    </row>
    <row r="1795" ht="15.75" customHeight="1">
      <c r="A1795" s="30" t="s">
        <v>5459</v>
      </c>
      <c r="B1795" s="31" t="s">
        <v>302</v>
      </c>
      <c r="C1795" s="31" t="s">
        <v>1304</v>
      </c>
      <c r="D1795" s="30" t="s">
        <v>3663</v>
      </c>
      <c r="E1795" s="32">
        <v>46113.0</v>
      </c>
      <c r="F1795" s="32">
        <v>46171.0</v>
      </c>
      <c r="G1795" s="33"/>
    </row>
    <row r="1796" ht="15.75" customHeight="1">
      <c r="A1796" s="26" t="s">
        <v>5460</v>
      </c>
      <c r="B1796" s="27" t="s">
        <v>302</v>
      </c>
      <c r="C1796" s="27" t="s">
        <v>1306</v>
      </c>
      <c r="D1796" s="26" t="s">
        <v>3663</v>
      </c>
      <c r="E1796" s="28">
        <v>46113.0</v>
      </c>
      <c r="F1796" s="28">
        <v>46171.0</v>
      </c>
      <c r="G1796" s="29"/>
    </row>
    <row r="1797" ht="15.75" customHeight="1">
      <c r="A1797" s="30" t="s">
        <v>5461</v>
      </c>
      <c r="B1797" s="31" t="s">
        <v>302</v>
      </c>
      <c r="C1797" s="31" t="s">
        <v>1308</v>
      </c>
      <c r="D1797" s="30" t="s">
        <v>3663</v>
      </c>
      <c r="E1797" s="32">
        <v>46113.0</v>
      </c>
      <c r="F1797" s="32">
        <v>46171.0</v>
      </c>
      <c r="G1797" s="33"/>
    </row>
    <row r="1798" ht="15.75" customHeight="1">
      <c r="A1798" s="26" t="s">
        <v>5462</v>
      </c>
      <c r="B1798" s="27" t="s">
        <v>302</v>
      </c>
      <c r="C1798" s="27" t="s">
        <v>1310</v>
      </c>
      <c r="D1798" s="26" t="s">
        <v>3663</v>
      </c>
      <c r="E1798" s="28">
        <v>46113.0</v>
      </c>
      <c r="F1798" s="28">
        <v>46171.0</v>
      </c>
      <c r="G1798" s="29"/>
    </row>
    <row r="1799" ht="15.75" customHeight="1">
      <c r="A1799" s="30" t="s">
        <v>5463</v>
      </c>
      <c r="B1799" s="31" t="s">
        <v>302</v>
      </c>
      <c r="C1799" s="31" t="s">
        <v>1172</v>
      </c>
      <c r="D1799" s="30" t="s">
        <v>3663</v>
      </c>
      <c r="E1799" s="32">
        <v>46113.0</v>
      </c>
      <c r="F1799" s="32">
        <v>46171.0</v>
      </c>
      <c r="G1799" s="34"/>
    </row>
    <row r="1800" ht="15.75" customHeight="1">
      <c r="A1800" s="26" t="s">
        <v>5464</v>
      </c>
      <c r="B1800" s="27" t="s">
        <v>302</v>
      </c>
      <c r="C1800" s="27" t="s">
        <v>3656</v>
      </c>
      <c r="D1800" s="26" t="s">
        <v>3663</v>
      </c>
      <c r="E1800" s="28">
        <v>46113.0</v>
      </c>
      <c r="F1800" s="28">
        <v>46171.0</v>
      </c>
      <c r="G1800" s="29"/>
    </row>
    <row r="1801" ht="15.75" customHeight="1">
      <c r="A1801" s="30" t="s">
        <v>5465</v>
      </c>
      <c r="B1801" s="31" t="s">
        <v>302</v>
      </c>
      <c r="C1801" s="31" t="s">
        <v>3657</v>
      </c>
      <c r="D1801" s="30" t="s">
        <v>3663</v>
      </c>
      <c r="E1801" s="32">
        <v>46113.0</v>
      </c>
      <c r="F1801" s="32">
        <v>46171.0</v>
      </c>
      <c r="G1801" s="33"/>
    </row>
    <row r="1802" ht="15.75" customHeight="1">
      <c r="A1802" s="26" t="s">
        <v>5466</v>
      </c>
      <c r="B1802" s="27" t="s">
        <v>302</v>
      </c>
      <c r="C1802" s="27" t="s">
        <v>1351</v>
      </c>
      <c r="D1802" s="26" t="s">
        <v>3663</v>
      </c>
      <c r="E1802" s="28">
        <v>46113.0</v>
      </c>
      <c r="F1802" s="28">
        <v>46171.0</v>
      </c>
      <c r="G1802" s="29"/>
    </row>
    <row r="1803" ht="15.75" customHeight="1">
      <c r="A1803" s="30" t="s">
        <v>5467</v>
      </c>
      <c r="B1803" s="31" t="s">
        <v>302</v>
      </c>
      <c r="C1803" s="31" t="s">
        <v>1349</v>
      </c>
      <c r="D1803" s="30" t="s">
        <v>3663</v>
      </c>
      <c r="E1803" s="32">
        <v>46113.0</v>
      </c>
      <c r="F1803" s="32">
        <v>46171.0</v>
      </c>
      <c r="G1803" s="33"/>
    </row>
    <row r="1804" ht="15.75" customHeight="1">
      <c r="A1804" s="26" t="s">
        <v>5468</v>
      </c>
      <c r="B1804" s="27" t="s">
        <v>302</v>
      </c>
      <c r="C1804" s="27" t="s">
        <v>968</v>
      </c>
      <c r="D1804" s="26" t="s">
        <v>3663</v>
      </c>
      <c r="E1804" s="28">
        <v>46113.0</v>
      </c>
      <c r="F1804" s="28">
        <v>46171.0</v>
      </c>
      <c r="G1804" s="29"/>
    </row>
    <row r="1805" ht="15.75" customHeight="1">
      <c r="A1805" s="30" t="s">
        <v>5469</v>
      </c>
      <c r="B1805" s="31" t="s">
        <v>302</v>
      </c>
      <c r="C1805" s="31" t="s">
        <v>923</v>
      </c>
      <c r="D1805" s="30" t="s">
        <v>3663</v>
      </c>
      <c r="E1805" s="32">
        <v>46113.0</v>
      </c>
      <c r="F1805" s="32">
        <v>46171.0</v>
      </c>
      <c r="G1805" s="33"/>
    </row>
    <row r="1806" ht="15.75" customHeight="1">
      <c r="A1806" s="26" t="s">
        <v>5470</v>
      </c>
      <c r="B1806" s="27" t="s">
        <v>302</v>
      </c>
      <c r="C1806" s="27" t="s">
        <v>955</v>
      </c>
      <c r="D1806" s="26" t="s">
        <v>3663</v>
      </c>
      <c r="E1806" s="28">
        <v>46113.0</v>
      </c>
      <c r="F1806" s="28">
        <v>46171.0</v>
      </c>
      <c r="G1806" s="29"/>
    </row>
    <row r="1807" ht="15.75" customHeight="1">
      <c r="A1807" s="30" t="s">
        <v>5471</v>
      </c>
      <c r="B1807" s="31" t="s">
        <v>303</v>
      </c>
      <c r="C1807" s="31" t="s">
        <v>932</v>
      </c>
      <c r="D1807" s="30" t="s">
        <v>3663</v>
      </c>
      <c r="E1807" s="32">
        <v>46113.0</v>
      </c>
      <c r="F1807" s="32">
        <v>46171.0</v>
      </c>
      <c r="G1807" s="33"/>
    </row>
    <row r="1808" ht="15.75" customHeight="1">
      <c r="A1808" s="26" t="s">
        <v>5472</v>
      </c>
      <c r="B1808" s="27" t="s">
        <v>303</v>
      </c>
      <c r="C1808" s="27" t="s">
        <v>1168</v>
      </c>
      <c r="D1808" s="26" t="s">
        <v>3663</v>
      </c>
      <c r="E1808" s="28">
        <v>46113.0</v>
      </c>
      <c r="F1808" s="28">
        <v>46171.0</v>
      </c>
      <c r="G1808" s="29"/>
    </row>
    <row r="1809" ht="15.75" customHeight="1">
      <c r="A1809" s="30" t="s">
        <v>5473</v>
      </c>
      <c r="B1809" s="31" t="s">
        <v>303</v>
      </c>
      <c r="C1809" s="31" t="s">
        <v>1170</v>
      </c>
      <c r="D1809" s="30" t="s">
        <v>3663</v>
      </c>
      <c r="E1809" s="32">
        <v>46113.0</v>
      </c>
      <c r="F1809" s="32">
        <v>46171.0</v>
      </c>
      <c r="G1809" s="33"/>
    </row>
    <row r="1810" ht="15.75" customHeight="1">
      <c r="A1810" s="26" t="s">
        <v>5474</v>
      </c>
      <c r="B1810" s="27" t="s">
        <v>303</v>
      </c>
      <c r="C1810" s="27" t="s">
        <v>1288</v>
      </c>
      <c r="D1810" s="26" t="s">
        <v>3663</v>
      </c>
      <c r="E1810" s="28">
        <v>46113.0</v>
      </c>
      <c r="F1810" s="28">
        <v>46171.0</v>
      </c>
      <c r="G1810" s="29"/>
    </row>
    <row r="1811" ht="15.75" customHeight="1">
      <c r="A1811" s="30" t="s">
        <v>5475</v>
      </c>
      <c r="B1811" s="31" t="s">
        <v>303</v>
      </c>
      <c r="C1811" s="31" t="s">
        <v>1291</v>
      </c>
      <c r="D1811" s="30" t="s">
        <v>3663</v>
      </c>
      <c r="E1811" s="32">
        <v>46113.0</v>
      </c>
      <c r="F1811" s="32">
        <v>46171.0</v>
      </c>
      <c r="G1811" s="33"/>
    </row>
    <row r="1812" ht="15.75" customHeight="1">
      <c r="A1812" s="26" t="s">
        <v>5476</v>
      </c>
      <c r="B1812" s="27" t="s">
        <v>303</v>
      </c>
      <c r="C1812" s="27" t="s">
        <v>1354</v>
      </c>
      <c r="D1812" s="26" t="s">
        <v>3663</v>
      </c>
      <c r="E1812" s="28">
        <v>46113.0</v>
      </c>
      <c r="F1812" s="28">
        <v>46171.0</v>
      </c>
      <c r="G1812" s="29"/>
    </row>
    <row r="1813" ht="15.75" customHeight="1">
      <c r="A1813" s="30" t="s">
        <v>5477</v>
      </c>
      <c r="B1813" s="31" t="s">
        <v>303</v>
      </c>
      <c r="C1813" s="31" t="s">
        <v>1312</v>
      </c>
      <c r="D1813" s="30" t="s">
        <v>3663</v>
      </c>
      <c r="E1813" s="32">
        <v>46113.0</v>
      </c>
      <c r="F1813" s="32">
        <v>46171.0</v>
      </c>
      <c r="G1813" s="33"/>
    </row>
    <row r="1814" ht="15.75" customHeight="1">
      <c r="A1814" s="26" t="s">
        <v>5478</v>
      </c>
      <c r="B1814" s="27" t="s">
        <v>303</v>
      </c>
      <c r="C1814" s="27" t="s">
        <v>3681</v>
      </c>
      <c r="D1814" s="26" t="s">
        <v>3663</v>
      </c>
      <c r="E1814" s="28">
        <v>46113.0</v>
      </c>
      <c r="F1814" s="28">
        <v>46171.0</v>
      </c>
      <c r="G1814" s="29"/>
    </row>
    <row r="1815" ht="15.75" customHeight="1">
      <c r="A1815" s="30" t="s">
        <v>5479</v>
      </c>
      <c r="B1815" s="31" t="s">
        <v>303</v>
      </c>
      <c r="C1815" s="31" t="s">
        <v>3683</v>
      </c>
      <c r="D1815" s="30" t="s">
        <v>3663</v>
      </c>
      <c r="E1815" s="32">
        <v>46113.0</v>
      </c>
      <c r="F1815" s="32">
        <v>46171.0</v>
      </c>
      <c r="G1815" s="33"/>
    </row>
    <row r="1816" ht="15.75" customHeight="1">
      <c r="A1816" s="26" t="s">
        <v>5480</v>
      </c>
      <c r="B1816" s="27" t="s">
        <v>303</v>
      </c>
      <c r="C1816" s="27" t="s">
        <v>1208</v>
      </c>
      <c r="D1816" s="26" t="s">
        <v>3663</v>
      </c>
      <c r="E1816" s="28">
        <v>46113.0</v>
      </c>
      <c r="F1816" s="28">
        <v>46171.0</v>
      </c>
      <c r="G1816" s="29"/>
    </row>
    <row r="1817" ht="15.75" customHeight="1">
      <c r="A1817" s="30" t="s">
        <v>5481</v>
      </c>
      <c r="B1817" s="31" t="s">
        <v>303</v>
      </c>
      <c r="C1817" s="31" t="s">
        <v>3647</v>
      </c>
      <c r="D1817" s="30" t="s">
        <v>3663</v>
      </c>
      <c r="E1817" s="32">
        <v>46113.0</v>
      </c>
      <c r="F1817" s="32">
        <v>46171.0</v>
      </c>
      <c r="G1817" s="33"/>
    </row>
    <row r="1818" ht="15.75" customHeight="1">
      <c r="A1818" s="26" t="s">
        <v>5482</v>
      </c>
      <c r="B1818" s="27" t="s">
        <v>303</v>
      </c>
      <c r="C1818" s="27" t="s">
        <v>952</v>
      </c>
      <c r="D1818" s="26" t="s">
        <v>3663</v>
      </c>
      <c r="E1818" s="28">
        <v>46113.0</v>
      </c>
      <c r="F1818" s="28">
        <v>46171.0</v>
      </c>
      <c r="G1818" s="29"/>
    </row>
    <row r="1819" ht="15.75" customHeight="1">
      <c r="A1819" s="30" t="s">
        <v>5483</v>
      </c>
      <c r="B1819" s="31" t="s">
        <v>303</v>
      </c>
      <c r="C1819" s="31" t="s">
        <v>968</v>
      </c>
      <c r="D1819" s="30" t="s">
        <v>3663</v>
      </c>
      <c r="E1819" s="32">
        <v>46113.0</v>
      </c>
      <c r="F1819" s="32">
        <v>46171.0</v>
      </c>
      <c r="G1819" s="33"/>
    </row>
    <row r="1820" ht="15.75" customHeight="1">
      <c r="A1820" s="26" t="s">
        <v>5484</v>
      </c>
      <c r="B1820" s="27" t="s">
        <v>303</v>
      </c>
      <c r="C1820" s="27" t="s">
        <v>923</v>
      </c>
      <c r="D1820" s="26" t="s">
        <v>3663</v>
      </c>
      <c r="E1820" s="28">
        <v>46113.0</v>
      </c>
      <c r="F1820" s="28">
        <v>46171.0</v>
      </c>
      <c r="G1820" s="29"/>
    </row>
    <row r="1821" ht="15.75" customHeight="1">
      <c r="A1821" s="30" t="s">
        <v>5485</v>
      </c>
      <c r="B1821" s="31" t="s">
        <v>304</v>
      </c>
      <c r="C1821" s="31" t="s">
        <v>932</v>
      </c>
      <c r="D1821" s="30" t="s">
        <v>3663</v>
      </c>
      <c r="E1821" s="32">
        <v>46113.0</v>
      </c>
      <c r="F1821" s="32">
        <v>46171.0</v>
      </c>
      <c r="G1821" s="33"/>
    </row>
    <row r="1822" ht="15.75" customHeight="1">
      <c r="A1822" s="26" t="s">
        <v>5486</v>
      </c>
      <c r="B1822" s="27" t="s">
        <v>304</v>
      </c>
      <c r="C1822" s="27" t="s">
        <v>1164</v>
      </c>
      <c r="D1822" s="26" t="s">
        <v>3663</v>
      </c>
      <c r="E1822" s="28">
        <v>46113.0</v>
      </c>
      <c r="F1822" s="28">
        <v>46171.0</v>
      </c>
      <c r="G1822" s="29"/>
    </row>
    <row r="1823" ht="15.75" customHeight="1">
      <c r="A1823" s="30" t="s">
        <v>5487</v>
      </c>
      <c r="B1823" s="31" t="s">
        <v>304</v>
      </c>
      <c r="C1823" s="31" t="s">
        <v>1166</v>
      </c>
      <c r="D1823" s="30" t="s">
        <v>3663</v>
      </c>
      <c r="E1823" s="32">
        <v>46113.0</v>
      </c>
      <c r="F1823" s="32">
        <v>46171.0</v>
      </c>
      <c r="G1823" s="33"/>
    </row>
    <row r="1824" ht="15.75" customHeight="1">
      <c r="A1824" s="26" t="s">
        <v>5488</v>
      </c>
      <c r="B1824" s="27" t="s">
        <v>304</v>
      </c>
      <c r="C1824" s="27" t="s">
        <v>1168</v>
      </c>
      <c r="D1824" s="26" t="s">
        <v>3663</v>
      </c>
      <c r="E1824" s="28">
        <v>46113.0</v>
      </c>
      <c r="F1824" s="28">
        <v>46171.0</v>
      </c>
      <c r="G1824" s="29"/>
    </row>
    <row r="1825" ht="15.75" customHeight="1">
      <c r="A1825" s="30" t="s">
        <v>5489</v>
      </c>
      <c r="B1825" s="31" t="s">
        <v>304</v>
      </c>
      <c r="C1825" s="31" t="s">
        <v>1170</v>
      </c>
      <c r="D1825" s="30" t="s">
        <v>3663</v>
      </c>
      <c r="E1825" s="32">
        <v>46113.0</v>
      </c>
      <c r="F1825" s="32">
        <v>46171.0</v>
      </c>
      <c r="G1825" s="33"/>
    </row>
    <row r="1826" ht="15.75" customHeight="1">
      <c r="A1826" s="26" t="s">
        <v>5490</v>
      </c>
      <c r="B1826" s="27" t="s">
        <v>304</v>
      </c>
      <c r="C1826" s="27" t="s">
        <v>1354</v>
      </c>
      <c r="D1826" s="26" t="s">
        <v>3663</v>
      </c>
      <c r="E1826" s="28">
        <v>46113.0</v>
      </c>
      <c r="F1826" s="28">
        <v>46171.0</v>
      </c>
      <c r="G1826" s="29"/>
    </row>
    <row r="1827" ht="15.75" customHeight="1">
      <c r="A1827" s="30" t="s">
        <v>5491</v>
      </c>
      <c r="B1827" s="31" t="s">
        <v>304</v>
      </c>
      <c r="C1827" s="31" t="s">
        <v>3681</v>
      </c>
      <c r="D1827" s="30" t="s">
        <v>3663</v>
      </c>
      <c r="E1827" s="32">
        <v>46113.0</v>
      </c>
      <c r="F1827" s="32">
        <v>46171.0</v>
      </c>
      <c r="G1827" s="33"/>
    </row>
    <row r="1828" ht="15.75" customHeight="1">
      <c r="A1828" s="26" t="s">
        <v>5492</v>
      </c>
      <c r="B1828" s="27" t="s">
        <v>304</v>
      </c>
      <c r="C1828" s="27" t="s">
        <v>3683</v>
      </c>
      <c r="D1828" s="26" t="s">
        <v>3663</v>
      </c>
      <c r="E1828" s="28">
        <v>46113.0</v>
      </c>
      <c r="F1828" s="28">
        <v>46171.0</v>
      </c>
      <c r="G1828" s="29"/>
    </row>
    <row r="1829" ht="15.75" customHeight="1">
      <c r="A1829" s="30" t="s">
        <v>5493</v>
      </c>
      <c r="B1829" s="31" t="s">
        <v>304</v>
      </c>
      <c r="C1829" s="31" t="s">
        <v>1190</v>
      </c>
      <c r="D1829" s="30" t="s">
        <v>3663</v>
      </c>
      <c r="E1829" s="32">
        <v>46113.0</v>
      </c>
      <c r="F1829" s="32">
        <v>46171.0</v>
      </c>
      <c r="G1829" s="33"/>
    </row>
    <row r="1830" ht="15.75" customHeight="1">
      <c r="A1830" s="26" t="s">
        <v>5494</v>
      </c>
      <c r="B1830" s="27" t="s">
        <v>304</v>
      </c>
      <c r="C1830" s="27" t="s">
        <v>1351</v>
      </c>
      <c r="D1830" s="26" t="s">
        <v>3663</v>
      </c>
      <c r="E1830" s="28">
        <v>46113.0</v>
      </c>
      <c r="F1830" s="28">
        <v>46171.0</v>
      </c>
      <c r="G1830" s="29"/>
    </row>
    <row r="1831" ht="15.75" customHeight="1">
      <c r="A1831" s="30" t="s">
        <v>5495</v>
      </c>
      <c r="B1831" s="31" t="s">
        <v>304</v>
      </c>
      <c r="C1831" s="31" t="s">
        <v>1349</v>
      </c>
      <c r="D1831" s="30" t="s">
        <v>3663</v>
      </c>
      <c r="E1831" s="32">
        <v>46113.0</v>
      </c>
      <c r="F1831" s="32">
        <v>46171.0</v>
      </c>
      <c r="G1831" s="33"/>
    </row>
    <row r="1832" ht="15.75" customHeight="1">
      <c r="A1832" s="26" t="s">
        <v>5496</v>
      </c>
      <c r="B1832" s="27" t="s">
        <v>304</v>
      </c>
      <c r="C1832" s="27" t="s">
        <v>968</v>
      </c>
      <c r="D1832" s="26" t="s">
        <v>3663</v>
      </c>
      <c r="E1832" s="28">
        <v>46113.0</v>
      </c>
      <c r="F1832" s="28">
        <v>46171.0</v>
      </c>
      <c r="G1832" s="29"/>
    </row>
    <row r="1833" ht="15.75" customHeight="1">
      <c r="A1833" s="30" t="s">
        <v>5497</v>
      </c>
      <c r="B1833" s="31" t="s">
        <v>304</v>
      </c>
      <c r="C1833" s="31" t="s">
        <v>923</v>
      </c>
      <c r="D1833" s="30" t="s">
        <v>3663</v>
      </c>
      <c r="E1833" s="32">
        <v>46113.0</v>
      </c>
      <c r="F1833" s="32">
        <v>46171.0</v>
      </c>
      <c r="G1833" s="33"/>
    </row>
    <row r="1834" ht="15.75" customHeight="1">
      <c r="A1834" s="26" t="s">
        <v>5498</v>
      </c>
      <c r="B1834" s="27" t="s">
        <v>304</v>
      </c>
      <c r="C1834" s="27" t="s">
        <v>955</v>
      </c>
      <c r="D1834" s="26" t="s">
        <v>3663</v>
      </c>
      <c r="E1834" s="28">
        <v>46113.0</v>
      </c>
      <c r="F1834" s="28">
        <v>46171.0</v>
      </c>
      <c r="G1834" s="29"/>
    </row>
    <row r="1835" ht="15.75" customHeight="1">
      <c r="A1835" s="30" t="s">
        <v>5499</v>
      </c>
      <c r="B1835" s="31" t="s">
        <v>305</v>
      </c>
      <c r="C1835" s="31" t="s">
        <v>928</v>
      </c>
      <c r="D1835" s="30" t="s">
        <v>3663</v>
      </c>
      <c r="E1835" s="32">
        <v>46113.0</v>
      </c>
      <c r="F1835" s="32">
        <v>46171.0</v>
      </c>
      <c r="G1835" s="33"/>
    </row>
    <row r="1836" ht="15.75" customHeight="1">
      <c r="A1836" s="26" t="s">
        <v>5500</v>
      </c>
      <c r="B1836" s="27" t="s">
        <v>305</v>
      </c>
      <c r="C1836" s="27" t="s">
        <v>1354</v>
      </c>
      <c r="D1836" s="26" t="s">
        <v>3663</v>
      </c>
      <c r="E1836" s="28">
        <v>46113.0</v>
      </c>
      <c r="F1836" s="28">
        <v>46171.0</v>
      </c>
      <c r="G1836" s="29"/>
    </row>
    <row r="1837" ht="15.75" customHeight="1">
      <c r="A1837" s="30" t="s">
        <v>5501</v>
      </c>
      <c r="B1837" s="31" t="s">
        <v>305</v>
      </c>
      <c r="C1837" s="31" t="s">
        <v>1222</v>
      </c>
      <c r="D1837" s="30" t="s">
        <v>3663</v>
      </c>
      <c r="E1837" s="32">
        <v>46113.0</v>
      </c>
      <c r="F1837" s="32">
        <v>46171.0</v>
      </c>
      <c r="G1837" s="33"/>
    </row>
    <row r="1838" ht="15.75" customHeight="1">
      <c r="A1838" s="26" t="s">
        <v>5502</v>
      </c>
      <c r="B1838" s="27" t="s">
        <v>305</v>
      </c>
      <c r="C1838" s="27" t="s">
        <v>1224</v>
      </c>
      <c r="D1838" s="26" t="s">
        <v>3663</v>
      </c>
      <c r="E1838" s="28">
        <v>46113.0</v>
      </c>
      <c r="F1838" s="28">
        <v>46171.0</v>
      </c>
      <c r="G1838" s="29"/>
    </row>
    <row r="1839" ht="15.75" customHeight="1">
      <c r="A1839" s="30" t="s">
        <v>5503</v>
      </c>
      <c r="B1839" s="31" t="s">
        <v>305</v>
      </c>
      <c r="C1839" s="31" t="s">
        <v>1226</v>
      </c>
      <c r="D1839" s="30" t="s">
        <v>3663</v>
      </c>
      <c r="E1839" s="32">
        <v>46113.0</v>
      </c>
      <c r="F1839" s="32">
        <v>46171.0</v>
      </c>
      <c r="G1839" s="33"/>
    </row>
    <row r="1840" ht="15.75" customHeight="1">
      <c r="A1840" s="26" t="s">
        <v>5504</v>
      </c>
      <c r="B1840" s="27" t="s">
        <v>305</v>
      </c>
      <c r="C1840" s="27" t="s">
        <v>1228</v>
      </c>
      <c r="D1840" s="26" t="s">
        <v>3663</v>
      </c>
      <c r="E1840" s="28">
        <v>46113.0</v>
      </c>
      <c r="F1840" s="28">
        <v>46171.0</v>
      </c>
      <c r="G1840" s="29"/>
    </row>
    <row r="1841" ht="15.75" customHeight="1">
      <c r="A1841" s="30" t="s">
        <v>5505</v>
      </c>
      <c r="B1841" s="31" t="s">
        <v>305</v>
      </c>
      <c r="C1841" s="31" t="s">
        <v>1312</v>
      </c>
      <c r="D1841" s="30" t="s">
        <v>3663</v>
      </c>
      <c r="E1841" s="32">
        <v>46113.0</v>
      </c>
      <c r="F1841" s="32">
        <v>46171.0</v>
      </c>
      <c r="G1841" s="33"/>
    </row>
    <row r="1842" ht="15.75" customHeight="1">
      <c r="A1842" s="26" t="s">
        <v>5506</v>
      </c>
      <c r="B1842" s="27" t="s">
        <v>305</v>
      </c>
      <c r="C1842" s="27" t="s">
        <v>1208</v>
      </c>
      <c r="D1842" s="26" t="s">
        <v>3663</v>
      </c>
      <c r="E1842" s="28">
        <v>46113.0</v>
      </c>
      <c r="F1842" s="28">
        <v>46171.0</v>
      </c>
      <c r="G1842" s="29"/>
    </row>
    <row r="1843" ht="15.75" customHeight="1">
      <c r="A1843" s="30" t="s">
        <v>5507</v>
      </c>
      <c r="B1843" s="31" t="s">
        <v>305</v>
      </c>
      <c r="C1843" s="31" t="s">
        <v>1351</v>
      </c>
      <c r="D1843" s="30" t="s">
        <v>3663</v>
      </c>
      <c r="E1843" s="32">
        <v>46113.0</v>
      </c>
      <c r="F1843" s="32">
        <v>46171.0</v>
      </c>
      <c r="G1843" s="33"/>
    </row>
    <row r="1844" ht="15.75" customHeight="1">
      <c r="A1844" s="26" t="s">
        <v>5508</v>
      </c>
      <c r="B1844" s="27" t="s">
        <v>305</v>
      </c>
      <c r="C1844" s="27" t="s">
        <v>1349</v>
      </c>
      <c r="D1844" s="26" t="s">
        <v>3663</v>
      </c>
      <c r="E1844" s="28">
        <v>46113.0</v>
      </c>
      <c r="F1844" s="28">
        <v>46171.0</v>
      </c>
      <c r="G1844" s="29"/>
    </row>
    <row r="1845" ht="15.75" customHeight="1">
      <c r="A1845" s="30" t="s">
        <v>5509</v>
      </c>
      <c r="B1845" s="31" t="s">
        <v>305</v>
      </c>
      <c r="C1845" s="31" t="s">
        <v>3653</v>
      </c>
      <c r="D1845" s="30" t="s">
        <v>3663</v>
      </c>
      <c r="E1845" s="32">
        <v>46113.0</v>
      </c>
      <c r="F1845" s="32">
        <v>46171.0</v>
      </c>
      <c r="G1845" s="33"/>
    </row>
    <row r="1846" ht="15.75" customHeight="1">
      <c r="A1846" s="26" t="s">
        <v>5510</v>
      </c>
      <c r="B1846" s="27" t="s">
        <v>305</v>
      </c>
      <c r="C1846" s="27" t="s">
        <v>3652</v>
      </c>
      <c r="D1846" s="26" t="s">
        <v>3663</v>
      </c>
      <c r="E1846" s="28">
        <v>46113.0</v>
      </c>
      <c r="F1846" s="28">
        <v>46171.0</v>
      </c>
      <c r="G1846" s="29"/>
    </row>
    <row r="1847" ht="15.75" customHeight="1">
      <c r="A1847" s="30" t="s">
        <v>5511</v>
      </c>
      <c r="B1847" s="31" t="s">
        <v>305</v>
      </c>
      <c r="C1847" s="31" t="s">
        <v>968</v>
      </c>
      <c r="D1847" s="30" t="s">
        <v>3663</v>
      </c>
      <c r="E1847" s="32">
        <v>46113.0</v>
      </c>
      <c r="F1847" s="32">
        <v>46171.0</v>
      </c>
      <c r="G1847" s="33"/>
    </row>
    <row r="1848" ht="15.75" customHeight="1">
      <c r="A1848" s="26" t="s">
        <v>5512</v>
      </c>
      <c r="B1848" s="27" t="s">
        <v>305</v>
      </c>
      <c r="C1848" s="27" t="s">
        <v>923</v>
      </c>
      <c r="D1848" s="26" t="s">
        <v>3663</v>
      </c>
      <c r="E1848" s="28">
        <v>46113.0</v>
      </c>
      <c r="F1848" s="28">
        <v>46171.0</v>
      </c>
      <c r="G1848" s="29"/>
    </row>
    <row r="1849" ht="15.75" customHeight="1">
      <c r="A1849" s="30" t="s">
        <v>5513</v>
      </c>
      <c r="B1849" s="31" t="s">
        <v>306</v>
      </c>
      <c r="C1849" s="31" t="s">
        <v>1240</v>
      </c>
      <c r="D1849" s="30" t="s">
        <v>3663</v>
      </c>
      <c r="E1849" s="32">
        <v>46113.0</v>
      </c>
      <c r="F1849" s="32">
        <v>46171.0</v>
      </c>
      <c r="G1849" s="33"/>
    </row>
    <row r="1850" ht="15.75" customHeight="1">
      <c r="A1850" s="26" t="s">
        <v>5514</v>
      </c>
      <c r="B1850" s="27" t="s">
        <v>306</v>
      </c>
      <c r="C1850" s="27" t="s">
        <v>1242</v>
      </c>
      <c r="D1850" s="26" t="s">
        <v>3663</v>
      </c>
      <c r="E1850" s="28">
        <v>46113.0</v>
      </c>
      <c r="F1850" s="28">
        <v>46171.0</v>
      </c>
      <c r="G1850" s="29"/>
    </row>
    <row r="1851" ht="15.75" customHeight="1">
      <c r="A1851" s="30" t="s">
        <v>5515</v>
      </c>
      <c r="B1851" s="31" t="s">
        <v>306</v>
      </c>
      <c r="C1851" s="31" t="s">
        <v>1244</v>
      </c>
      <c r="D1851" s="30" t="s">
        <v>3663</v>
      </c>
      <c r="E1851" s="32">
        <v>46113.0</v>
      </c>
      <c r="F1851" s="32">
        <v>46171.0</v>
      </c>
      <c r="G1851" s="33"/>
    </row>
    <row r="1852" ht="15.75" customHeight="1">
      <c r="A1852" s="26" t="s">
        <v>5516</v>
      </c>
      <c r="B1852" s="27" t="s">
        <v>306</v>
      </c>
      <c r="C1852" s="27" t="s">
        <v>1246</v>
      </c>
      <c r="D1852" s="26" t="s">
        <v>3663</v>
      </c>
      <c r="E1852" s="28">
        <v>46113.0</v>
      </c>
      <c r="F1852" s="28">
        <v>46171.0</v>
      </c>
      <c r="G1852" s="29"/>
    </row>
    <row r="1853" ht="15.75" customHeight="1">
      <c r="A1853" s="30" t="s">
        <v>5517</v>
      </c>
      <c r="B1853" s="31" t="s">
        <v>306</v>
      </c>
      <c r="C1853" s="31" t="s">
        <v>3654</v>
      </c>
      <c r="D1853" s="30" t="s">
        <v>3663</v>
      </c>
      <c r="E1853" s="32">
        <v>46113.0</v>
      </c>
      <c r="F1853" s="32">
        <v>46171.0</v>
      </c>
      <c r="G1853" s="33"/>
    </row>
    <row r="1854" ht="15.75" customHeight="1">
      <c r="A1854" s="26" t="s">
        <v>5518</v>
      </c>
      <c r="B1854" s="27" t="s">
        <v>306</v>
      </c>
      <c r="C1854" s="27" t="s">
        <v>3655</v>
      </c>
      <c r="D1854" s="26" t="s">
        <v>3663</v>
      </c>
      <c r="E1854" s="28">
        <v>46113.0</v>
      </c>
      <c r="F1854" s="28">
        <v>46171.0</v>
      </c>
      <c r="G1854" s="29"/>
    </row>
    <row r="1855" ht="15.75" customHeight="1">
      <c r="A1855" s="30" t="s">
        <v>5519</v>
      </c>
      <c r="B1855" s="31" t="s">
        <v>306</v>
      </c>
      <c r="C1855" s="31" t="s">
        <v>934</v>
      </c>
      <c r="D1855" s="30" t="s">
        <v>3663</v>
      </c>
      <c r="E1855" s="32">
        <v>46113.0</v>
      </c>
      <c r="F1855" s="32">
        <v>46171.0</v>
      </c>
      <c r="G1855" s="33"/>
    </row>
    <row r="1856" ht="15.75" customHeight="1">
      <c r="A1856" s="26" t="s">
        <v>5520</v>
      </c>
      <c r="B1856" s="27" t="s">
        <v>306</v>
      </c>
      <c r="C1856" s="27" t="s">
        <v>1323</v>
      </c>
      <c r="D1856" s="26" t="s">
        <v>3663</v>
      </c>
      <c r="E1856" s="28">
        <v>46113.0</v>
      </c>
      <c r="F1856" s="28">
        <v>46171.0</v>
      </c>
      <c r="G1856" s="29"/>
    </row>
    <row r="1857" ht="15.75" customHeight="1">
      <c r="A1857" s="30" t="s">
        <v>5521</v>
      </c>
      <c r="B1857" s="31" t="s">
        <v>306</v>
      </c>
      <c r="C1857" s="31" t="s">
        <v>1354</v>
      </c>
      <c r="D1857" s="30" t="s">
        <v>3663</v>
      </c>
      <c r="E1857" s="32">
        <v>46113.0</v>
      </c>
      <c r="F1857" s="32">
        <v>46171.0</v>
      </c>
      <c r="G1857" s="33"/>
    </row>
    <row r="1858" ht="15.75" customHeight="1">
      <c r="A1858" s="26" t="s">
        <v>5522</v>
      </c>
      <c r="B1858" s="27" t="s">
        <v>306</v>
      </c>
      <c r="C1858" s="27" t="s">
        <v>1208</v>
      </c>
      <c r="D1858" s="26" t="s">
        <v>3663</v>
      </c>
      <c r="E1858" s="28">
        <v>46113.0</v>
      </c>
      <c r="F1858" s="28">
        <v>46171.0</v>
      </c>
      <c r="G1858" s="29"/>
    </row>
    <row r="1859" ht="15.75" customHeight="1">
      <c r="A1859" s="30" t="s">
        <v>5523</v>
      </c>
      <c r="B1859" s="31" t="s">
        <v>306</v>
      </c>
      <c r="C1859" s="31" t="s">
        <v>3647</v>
      </c>
      <c r="D1859" s="30" t="s">
        <v>3663</v>
      </c>
      <c r="E1859" s="32">
        <v>46113.0</v>
      </c>
      <c r="F1859" s="32">
        <v>46171.0</v>
      </c>
      <c r="G1859" s="33"/>
    </row>
    <row r="1860" ht="15.75" customHeight="1">
      <c r="A1860" s="26" t="s">
        <v>5524</v>
      </c>
      <c r="B1860" s="27" t="s">
        <v>306</v>
      </c>
      <c r="C1860" s="27" t="s">
        <v>952</v>
      </c>
      <c r="D1860" s="26" t="s">
        <v>3663</v>
      </c>
      <c r="E1860" s="28">
        <v>46113.0</v>
      </c>
      <c r="F1860" s="28">
        <v>46171.0</v>
      </c>
      <c r="G1860" s="29"/>
    </row>
    <row r="1861" ht="15.75" customHeight="1">
      <c r="A1861" s="30" t="s">
        <v>5525</v>
      </c>
      <c r="B1861" s="31" t="s">
        <v>306</v>
      </c>
      <c r="C1861" s="31" t="s">
        <v>968</v>
      </c>
      <c r="D1861" s="30" t="s">
        <v>3663</v>
      </c>
      <c r="E1861" s="32">
        <v>46113.0</v>
      </c>
      <c r="F1861" s="32">
        <v>46171.0</v>
      </c>
      <c r="G1861" s="33"/>
    </row>
    <row r="1862" ht="15.75" customHeight="1">
      <c r="A1862" s="26" t="s">
        <v>5526</v>
      </c>
      <c r="B1862" s="27" t="s">
        <v>306</v>
      </c>
      <c r="C1862" s="27" t="s">
        <v>923</v>
      </c>
      <c r="D1862" s="26" t="s">
        <v>3663</v>
      </c>
      <c r="E1862" s="28">
        <v>46113.0</v>
      </c>
      <c r="F1862" s="28">
        <v>46171.0</v>
      </c>
      <c r="G1862" s="29"/>
    </row>
    <row r="1863" ht="15.75" customHeight="1">
      <c r="A1863" s="30" t="s">
        <v>5527</v>
      </c>
      <c r="B1863" s="31" t="s">
        <v>307</v>
      </c>
      <c r="C1863" s="31" t="s">
        <v>932</v>
      </c>
      <c r="D1863" s="30" t="s">
        <v>3663</v>
      </c>
      <c r="E1863" s="32">
        <v>46113.0</v>
      </c>
      <c r="F1863" s="32">
        <v>46171.0</v>
      </c>
      <c r="G1863" s="33"/>
    </row>
    <row r="1864" ht="15.75" customHeight="1">
      <c r="A1864" s="26" t="s">
        <v>5528</v>
      </c>
      <c r="B1864" s="27" t="s">
        <v>307</v>
      </c>
      <c r="C1864" s="27" t="s">
        <v>1164</v>
      </c>
      <c r="D1864" s="26" t="s">
        <v>3663</v>
      </c>
      <c r="E1864" s="28">
        <v>46113.0</v>
      </c>
      <c r="F1864" s="28">
        <v>46171.0</v>
      </c>
      <c r="G1864" s="29"/>
    </row>
    <row r="1865" ht="15.75" customHeight="1">
      <c r="A1865" s="30" t="s">
        <v>5529</v>
      </c>
      <c r="B1865" s="31" t="s">
        <v>307</v>
      </c>
      <c r="C1865" s="31" t="s">
        <v>1166</v>
      </c>
      <c r="D1865" s="30" t="s">
        <v>3663</v>
      </c>
      <c r="E1865" s="32">
        <v>46113.0</v>
      </c>
      <c r="F1865" s="32">
        <v>46171.0</v>
      </c>
      <c r="G1865" s="33"/>
    </row>
    <row r="1866" ht="15.75" customHeight="1">
      <c r="A1866" s="26" t="s">
        <v>5530</v>
      </c>
      <c r="B1866" s="27" t="s">
        <v>307</v>
      </c>
      <c r="C1866" s="27" t="s">
        <v>1168</v>
      </c>
      <c r="D1866" s="26" t="s">
        <v>3663</v>
      </c>
      <c r="E1866" s="28">
        <v>46113.0</v>
      </c>
      <c r="F1866" s="28">
        <v>46171.0</v>
      </c>
      <c r="G1866" s="29"/>
    </row>
    <row r="1867" ht="15.75" customHeight="1">
      <c r="A1867" s="30" t="s">
        <v>5531</v>
      </c>
      <c r="B1867" s="31" t="s">
        <v>307</v>
      </c>
      <c r="C1867" s="31" t="s">
        <v>1170</v>
      </c>
      <c r="D1867" s="30" t="s">
        <v>3663</v>
      </c>
      <c r="E1867" s="32">
        <v>46113.0</v>
      </c>
      <c r="F1867" s="32">
        <v>46171.0</v>
      </c>
      <c r="G1867" s="33"/>
    </row>
    <row r="1868" ht="15.75" customHeight="1">
      <c r="A1868" s="26" t="s">
        <v>5532</v>
      </c>
      <c r="B1868" s="27" t="s">
        <v>307</v>
      </c>
      <c r="C1868" s="27" t="s">
        <v>1354</v>
      </c>
      <c r="D1868" s="26" t="s">
        <v>3663</v>
      </c>
      <c r="E1868" s="28">
        <v>46113.0</v>
      </c>
      <c r="F1868" s="28">
        <v>46171.0</v>
      </c>
      <c r="G1868" s="29"/>
    </row>
    <row r="1869" ht="15.75" customHeight="1">
      <c r="A1869" s="30" t="s">
        <v>5533</v>
      </c>
      <c r="B1869" s="31" t="s">
        <v>307</v>
      </c>
      <c r="C1869" s="31" t="s">
        <v>3681</v>
      </c>
      <c r="D1869" s="30" t="s">
        <v>3663</v>
      </c>
      <c r="E1869" s="32">
        <v>46113.0</v>
      </c>
      <c r="F1869" s="32">
        <v>46171.0</v>
      </c>
      <c r="G1869" s="33"/>
    </row>
    <row r="1870" ht="15.75" customHeight="1">
      <c r="A1870" s="26" t="s">
        <v>5534</v>
      </c>
      <c r="B1870" s="27" t="s">
        <v>307</v>
      </c>
      <c r="C1870" s="27" t="s">
        <v>3683</v>
      </c>
      <c r="D1870" s="26" t="s">
        <v>3663</v>
      </c>
      <c r="E1870" s="28">
        <v>46113.0</v>
      </c>
      <c r="F1870" s="28">
        <v>46171.0</v>
      </c>
      <c r="G1870" s="29"/>
    </row>
    <row r="1871" ht="15.75" customHeight="1">
      <c r="A1871" s="30" t="s">
        <v>5535</v>
      </c>
      <c r="B1871" s="31" t="s">
        <v>307</v>
      </c>
      <c r="C1871" s="31" t="s">
        <v>1208</v>
      </c>
      <c r="D1871" s="30" t="s">
        <v>3663</v>
      </c>
      <c r="E1871" s="32">
        <v>46113.0</v>
      </c>
      <c r="F1871" s="32">
        <v>46171.0</v>
      </c>
      <c r="G1871" s="33"/>
    </row>
    <row r="1872" ht="15.75" customHeight="1">
      <c r="A1872" s="26" t="s">
        <v>5536</v>
      </c>
      <c r="B1872" s="27" t="s">
        <v>307</v>
      </c>
      <c r="C1872" s="27" t="s">
        <v>1159</v>
      </c>
      <c r="D1872" s="26" t="s">
        <v>3663</v>
      </c>
      <c r="E1872" s="28">
        <v>46113.0</v>
      </c>
      <c r="F1872" s="28">
        <v>46171.0</v>
      </c>
      <c r="G1872" s="29"/>
    </row>
    <row r="1873" ht="15.75" customHeight="1">
      <c r="A1873" s="30" t="s">
        <v>5537</v>
      </c>
      <c r="B1873" s="31" t="s">
        <v>307</v>
      </c>
      <c r="C1873" s="31" t="s">
        <v>1351</v>
      </c>
      <c r="D1873" s="30" t="s">
        <v>3663</v>
      </c>
      <c r="E1873" s="32">
        <v>46113.0</v>
      </c>
      <c r="F1873" s="32">
        <v>46171.0</v>
      </c>
      <c r="G1873" s="33"/>
    </row>
    <row r="1874" ht="15.75" customHeight="1">
      <c r="A1874" s="26" t="s">
        <v>5538</v>
      </c>
      <c r="B1874" s="27" t="s">
        <v>307</v>
      </c>
      <c r="C1874" s="27" t="s">
        <v>1349</v>
      </c>
      <c r="D1874" s="26" t="s">
        <v>3663</v>
      </c>
      <c r="E1874" s="28">
        <v>46113.0</v>
      </c>
      <c r="F1874" s="28">
        <v>46171.0</v>
      </c>
      <c r="G1874" s="29"/>
    </row>
    <row r="1875" ht="15.75" customHeight="1">
      <c r="A1875" s="30" t="s">
        <v>5539</v>
      </c>
      <c r="B1875" s="31" t="s">
        <v>307</v>
      </c>
      <c r="C1875" s="31" t="s">
        <v>965</v>
      </c>
      <c r="D1875" s="30" t="s">
        <v>3663</v>
      </c>
      <c r="E1875" s="32">
        <v>46113.0</v>
      </c>
      <c r="F1875" s="32">
        <v>46171.0</v>
      </c>
      <c r="G1875" s="33"/>
    </row>
    <row r="1876" ht="15.75" customHeight="1">
      <c r="A1876" s="26" t="s">
        <v>5540</v>
      </c>
      <c r="B1876" s="27" t="s">
        <v>307</v>
      </c>
      <c r="C1876" s="27" t="s">
        <v>923</v>
      </c>
      <c r="D1876" s="26" t="s">
        <v>3663</v>
      </c>
      <c r="E1876" s="28">
        <v>46113.0</v>
      </c>
      <c r="F1876" s="28">
        <v>46171.0</v>
      </c>
      <c r="G1876" s="29"/>
    </row>
    <row r="1877" ht="15.75" customHeight="1">
      <c r="A1877" s="30" t="s">
        <v>5541</v>
      </c>
      <c r="B1877" s="31" t="s">
        <v>308</v>
      </c>
      <c r="C1877" s="31" t="s">
        <v>3654</v>
      </c>
      <c r="D1877" s="30" t="s">
        <v>3663</v>
      </c>
      <c r="E1877" s="32">
        <v>46113.0</v>
      </c>
      <c r="F1877" s="32">
        <v>46171.0</v>
      </c>
      <c r="G1877" s="33"/>
    </row>
    <row r="1878" ht="15.75" customHeight="1">
      <c r="A1878" s="26" t="s">
        <v>5542</v>
      </c>
      <c r="B1878" s="27" t="s">
        <v>308</v>
      </c>
      <c r="C1878" s="27" t="s">
        <v>3655</v>
      </c>
      <c r="D1878" s="26" t="s">
        <v>3663</v>
      </c>
      <c r="E1878" s="28">
        <v>46113.0</v>
      </c>
      <c r="F1878" s="28">
        <v>46171.0</v>
      </c>
      <c r="G1878" s="29"/>
    </row>
    <row r="1879" ht="15.75" customHeight="1">
      <c r="A1879" s="30" t="s">
        <v>5543</v>
      </c>
      <c r="B1879" s="31" t="s">
        <v>308</v>
      </c>
      <c r="C1879" s="31" t="s">
        <v>930</v>
      </c>
      <c r="D1879" s="30" t="s">
        <v>3663</v>
      </c>
      <c r="E1879" s="32">
        <v>46113.0</v>
      </c>
      <c r="F1879" s="32">
        <v>46171.0</v>
      </c>
      <c r="G1879" s="33"/>
    </row>
    <row r="1880" ht="15.75" customHeight="1">
      <c r="A1880" s="26" t="s">
        <v>5544</v>
      </c>
      <c r="B1880" s="27" t="s">
        <v>308</v>
      </c>
      <c r="C1880" s="27" t="s">
        <v>1354</v>
      </c>
      <c r="D1880" s="26" t="s">
        <v>3663</v>
      </c>
      <c r="E1880" s="28">
        <v>46113.0</v>
      </c>
      <c r="F1880" s="28">
        <v>46171.0</v>
      </c>
      <c r="G1880" s="29"/>
    </row>
    <row r="1881" ht="15.75" customHeight="1">
      <c r="A1881" s="30" t="s">
        <v>5545</v>
      </c>
      <c r="B1881" s="31" t="s">
        <v>308</v>
      </c>
      <c r="C1881" s="31" t="s">
        <v>1190</v>
      </c>
      <c r="D1881" s="30" t="s">
        <v>3663</v>
      </c>
      <c r="E1881" s="32">
        <v>46113.0</v>
      </c>
      <c r="F1881" s="32">
        <v>46171.0</v>
      </c>
      <c r="G1881" s="33"/>
    </row>
    <row r="1882" ht="15.75" customHeight="1">
      <c r="A1882" s="26" t="s">
        <v>5546</v>
      </c>
      <c r="B1882" s="27" t="s">
        <v>308</v>
      </c>
      <c r="C1882" s="27" t="s">
        <v>1159</v>
      </c>
      <c r="D1882" s="26" t="s">
        <v>3663</v>
      </c>
      <c r="E1882" s="28">
        <v>46113.0</v>
      </c>
      <c r="F1882" s="28">
        <v>46171.0</v>
      </c>
      <c r="G1882" s="29"/>
    </row>
    <row r="1883" ht="15.75" customHeight="1">
      <c r="A1883" s="30" t="s">
        <v>5547</v>
      </c>
      <c r="B1883" s="31" t="s">
        <v>308</v>
      </c>
      <c r="C1883" s="31" t="s">
        <v>3647</v>
      </c>
      <c r="D1883" s="30" t="s">
        <v>3663</v>
      </c>
      <c r="E1883" s="32">
        <v>46113.0</v>
      </c>
      <c r="F1883" s="32">
        <v>46171.0</v>
      </c>
      <c r="G1883" s="33"/>
    </row>
    <row r="1884" ht="15.75" customHeight="1">
      <c r="A1884" s="26" t="s">
        <v>5548</v>
      </c>
      <c r="B1884" s="27" t="s">
        <v>308</v>
      </c>
      <c r="C1884" s="27" t="s">
        <v>952</v>
      </c>
      <c r="D1884" s="26" t="s">
        <v>3663</v>
      </c>
      <c r="E1884" s="28">
        <v>46113.0</v>
      </c>
      <c r="F1884" s="28">
        <v>46171.0</v>
      </c>
      <c r="G1884" s="29"/>
    </row>
    <row r="1885" ht="15.75" customHeight="1">
      <c r="A1885" s="30" t="s">
        <v>5549</v>
      </c>
      <c r="B1885" s="31" t="s">
        <v>308</v>
      </c>
      <c r="C1885" s="31" t="s">
        <v>1157</v>
      </c>
      <c r="D1885" s="30" t="s">
        <v>3663</v>
      </c>
      <c r="E1885" s="32">
        <v>46113.0</v>
      </c>
      <c r="F1885" s="32">
        <v>46171.0</v>
      </c>
      <c r="G1885" s="33"/>
    </row>
    <row r="1886" ht="15.75" customHeight="1">
      <c r="A1886" s="26" t="s">
        <v>5550</v>
      </c>
      <c r="B1886" s="27" t="s">
        <v>308</v>
      </c>
      <c r="C1886" s="27" t="s">
        <v>1155</v>
      </c>
      <c r="D1886" s="26" t="s">
        <v>3663</v>
      </c>
      <c r="E1886" s="28">
        <v>46113.0</v>
      </c>
      <c r="F1886" s="28">
        <v>46171.0</v>
      </c>
      <c r="G1886" s="29"/>
    </row>
    <row r="1887" ht="15.75" customHeight="1">
      <c r="A1887" s="30" t="s">
        <v>5551</v>
      </c>
      <c r="B1887" s="31" t="s">
        <v>308</v>
      </c>
      <c r="C1887" s="31" t="s">
        <v>1153</v>
      </c>
      <c r="D1887" s="30" t="s">
        <v>3663</v>
      </c>
      <c r="E1887" s="32">
        <v>46113.0</v>
      </c>
      <c r="F1887" s="32">
        <v>46171.0</v>
      </c>
      <c r="G1887" s="33"/>
    </row>
    <row r="1888" ht="15.75" customHeight="1">
      <c r="A1888" s="26" t="s">
        <v>5552</v>
      </c>
      <c r="B1888" s="27" t="s">
        <v>308</v>
      </c>
      <c r="C1888" s="27" t="s">
        <v>1149</v>
      </c>
      <c r="D1888" s="26" t="s">
        <v>3663</v>
      </c>
      <c r="E1888" s="28">
        <v>46113.0</v>
      </c>
      <c r="F1888" s="28">
        <v>46171.0</v>
      </c>
      <c r="G1888" s="29"/>
    </row>
    <row r="1889" ht="15.75" customHeight="1">
      <c r="A1889" s="30" t="s">
        <v>5553</v>
      </c>
      <c r="B1889" s="31" t="s">
        <v>308</v>
      </c>
      <c r="C1889" s="31" t="s">
        <v>965</v>
      </c>
      <c r="D1889" s="30" t="s">
        <v>3663</v>
      </c>
      <c r="E1889" s="32">
        <v>46113.0</v>
      </c>
      <c r="F1889" s="32">
        <v>46171.0</v>
      </c>
      <c r="G1889" s="33"/>
    </row>
    <row r="1890" ht="15.75" customHeight="1">
      <c r="A1890" s="26" t="s">
        <v>5554</v>
      </c>
      <c r="B1890" s="27" t="s">
        <v>308</v>
      </c>
      <c r="C1890" s="27" t="s">
        <v>923</v>
      </c>
      <c r="D1890" s="26" t="s">
        <v>3663</v>
      </c>
      <c r="E1890" s="28">
        <v>46113.0</v>
      </c>
      <c r="F1890" s="28">
        <v>46171.0</v>
      </c>
      <c r="G1890" s="29"/>
    </row>
    <row r="1891" ht="15.75" customHeight="1">
      <c r="A1891" s="30" t="s">
        <v>5555</v>
      </c>
      <c r="B1891" s="31" t="s">
        <v>309</v>
      </c>
      <c r="C1891" s="31" t="s">
        <v>3654</v>
      </c>
      <c r="D1891" s="30" t="s">
        <v>3663</v>
      </c>
      <c r="E1891" s="32">
        <v>46113.0</v>
      </c>
      <c r="F1891" s="32">
        <v>46171.0</v>
      </c>
      <c r="G1891" s="33"/>
    </row>
    <row r="1892" ht="15.75" customHeight="1">
      <c r="A1892" s="26" t="s">
        <v>5556</v>
      </c>
      <c r="B1892" s="27" t="s">
        <v>309</v>
      </c>
      <c r="C1892" s="27" t="s">
        <v>3655</v>
      </c>
      <c r="D1892" s="26" t="s">
        <v>3663</v>
      </c>
      <c r="E1892" s="28">
        <v>46113.0</v>
      </c>
      <c r="F1892" s="28">
        <v>46171.0</v>
      </c>
      <c r="G1892" s="29"/>
    </row>
    <row r="1893" ht="15.75" customHeight="1">
      <c r="A1893" s="30" t="s">
        <v>5557</v>
      </c>
      <c r="B1893" s="31" t="s">
        <v>309</v>
      </c>
      <c r="C1893" s="31" t="s">
        <v>930</v>
      </c>
      <c r="D1893" s="30" t="s">
        <v>3663</v>
      </c>
      <c r="E1893" s="32">
        <v>46113.0</v>
      </c>
      <c r="F1893" s="32">
        <v>46171.0</v>
      </c>
      <c r="G1893" s="33"/>
    </row>
    <row r="1894" ht="15.75" customHeight="1">
      <c r="A1894" s="26" t="s">
        <v>5558</v>
      </c>
      <c r="B1894" s="27" t="s">
        <v>309</v>
      </c>
      <c r="C1894" s="27" t="s">
        <v>1354</v>
      </c>
      <c r="D1894" s="26" t="s">
        <v>3663</v>
      </c>
      <c r="E1894" s="28">
        <v>46113.0</v>
      </c>
      <c r="F1894" s="28">
        <v>46171.0</v>
      </c>
      <c r="G1894" s="29"/>
    </row>
    <row r="1895" ht="15.75" customHeight="1">
      <c r="A1895" s="30" t="s">
        <v>5559</v>
      </c>
      <c r="B1895" s="31" t="s">
        <v>309</v>
      </c>
      <c r="C1895" s="31" t="s">
        <v>1312</v>
      </c>
      <c r="D1895" s="30" t="s">
        <v>3663</v>
      </c>
      <c r="E1895" s="32">
        <v>46113.0</v>
      </c>
      <c r="F1895" s="32">
        <v>46171.0</v>
      </c>
      <c r="G1895" s="33"/>
    </row>
    <row r="1896" ht="15.75" customHeight="1">
      <c r="A1896" s="26" t="s">
        <v>5560</v>
      </c>
      <c r="B1896" s="27" t="s">
        <v>309</v>
      </c>
      <c r="C1896" s="27" t="s">
        <v>1208</v>
      </c>
      <c r="D1896" s="26" t="s">
        <v>3663</v>
      </c>
      <c r="E1896" s="28">
        <v>46113.0</v>
      </c>
      <c r="F1896" s="28">
        <v>46171.0</v>
      </c>
      <c r="G1896" s="29"/>
    </row>
    <row r="1897" ht="15.75" customHeight="1">
      <c r="A1897" s="30" t="s">
        <v>5561</v>
      </c>
      <c r="B1897" s="31" t="s">
        <v>309</v>
      </c>
      <c r="C1897" s="31" t="s">
        <v>1157</v>
      </c>
      <c r="D1897" s="30" t="s">
        <v>3663</v>
      </c>
      <c r="E1897" s="32">
        <v>46113.0</v>
      </c>
      <c r="F1897" s="32">
        <v>46171.0</v>
      </c>
      <c r="G1897" s="33"/>
    </row>
    <row r="1898" ht="15.75" customHeight="1">
      <c r="A1898" s="26" t="s">
        <v>5562</v>
      </c>
      <c r="B1898" s="27" t="s">
        <v>309</v>
      </c>
      <c r="C1898" s="27" t="s">
        <v>1155</v>
      </c>
      <c r="D1898" s="26" t="s">
        <v>3663</v>
      </c>
      <c r="E1898" s="28">
        <v>46113.0</v>
      </c>
      <c r="F1898" s="28">
        <v>46171.0</v>
      </c>
      <c r="G1898" s="29"/>
    </row>
    <row r="1899" ht="15.75" customHeight="1">
      <c r="A1899" s="30" t="s">
        <v>5563</v>
      </c>
      <c r="B1899" s="31" t="s">
        <v>309</v>
      </c>
      <c r="C1899" s="31" t="s">
        <v>1153</v>
      </c>
      <c r="D1899" s="30" t="s">
        <v>3663</v>
      </c>
      <c r="E1899" s="32">
        <v>46113.0</v>
      </c>
      <c r="F1899" s="32">
        <v>46171.0</v>
      </c>
      <c r="G1899" s="33"/>
    </row>
    <row r="1900" ht="15.75" customHeight="1">
      <c r="A1900" s="26" t="s">
        <v>5564</v>
      </c>
      <c r="B1900" s="27" t="s">
        <v>309</v>
      </c>
      <c r="C1900" s="27" t="s">
        <v>1149</v>
      </c>
      <c r="D1900" s="26" t="s">
        <v>3663</v>
      </c>
      <c r="E1900" s="28">
        <v>46113.0</v>
      </c>
      <c r="F1900" s="28">
        <v>46171.0</v>
      </c>
      <c r="G1900" s="29"/>
    </row>
    <row r="1901" ht="15.75" customHeight="1">
      <c r="A1901" s="30" t="s">
        <v>5565</v>
      </c>
      <c r="B1901" s="31" t="s">
        <v>309</v>
      </c>
      <c r="C1901" s="31" t="s">
        <v>1351</v>
      </c>
      <c r="D1901" s="30" t="s">
        <v>3663</v>
      </c>
      <c r="E1901" s="32">
        <v>46113.0</v>
      </c>
      <c r="F1901" s="32">
        <v>46171.0</v>
      </c>
      <c r="G1901" s="33"/>
    </row>
    <row r="1902" ht="15.75" customHeight="1">
      <c r="A1902" s="26" t="s">
        <v>5566</v>
      </c>
      <c r="B1902" s="27" t="s">
        <v>309</v>
      </c>
      <c r="C1902" s="27" t="s">
        <v>1349</v>
      </c>
      <c r="D1902" s="26" t="s">
        <v>3663</v>
      </c>
      <c r="E1902" s="28">
        <v>46113.0</v>
      </c>
      <c r="F1902" s="28">
        <v>46171.0</v>
      </c>
      <c r="G1902" s="29"/>
    </row>
    <row r="1903" ht="15.75" customHeight="1">
      <c r="A1903" s="30" t="s">
        <v>5567</v>
      </c>
      <c r="B1903" s="31" t="s">
        <v>309</v>
      </c>
      <c r="C1903" s="31" t="s">
        <v>968</v>
      </c>
      <c r="D1903" s="30" t="s">
        <v>3663</v>
      </c>
      <c r="E1903" s="32">
        <v>46113.0</v>
      </c>
      <c r="F1903" s="32">
        <v>46171.0</v>
      </c>
      <c r="G1903" s="33"/>
    </row>
    <row r="1904" ht="15.75" customHeight="1">
      <c r="A1904" s="26" t="s">
        <v>5568</v>
      </c>
      <c r="B1904" s="27" t="s">
        <v>309</v>
      </c>
      <c r="C1904" s="27" t="s">
        <v>923</v>
      </c>
      <c r="D1904" s="26" t="s">
        <v>3663</v>
      </c>
      <c r="E1904" s="28">
        <v>46113.0</v>
      </c>
      <c r="F1904" s="28">
        <v>46171.0</v>
      </c>
      <c r="G1904" s="29"/>
    </row>
    <row r="1905" ht="15.75" customHeight="1">
      <c r="A1905" s="30" t="s">
        <v>5569</v>
      </c>
      <c r="B1905" s="31" t="s">
        <v>310</v>
      </c>
      <c r="C1905" s="31" t="s">
        <v>3654</v>
      </c>
      <c r="D1905" s="30" t="s">
        <v>3663</v>
      </c>
      <c r="E1905" s="32">
        <v>46113.0</v>
      </c>
      <c r="F1905" s="32">
        <v>46171.0</v>
      </c>
      <c r="G1905" s="33"/>
    </row>
    <row r="1906" ht="15.75" customHeight="1">
      <c r="A1906" s="26" t="s">
        <v>5570</v>
      </c>
      <c r="B1906" s="27" t="s">
        <v>310</v>
      </c>
      <c r="C1906" s="27" t="s">
        <v>3655</v>
      </c>
      <c r="D1906" s="26" t="s">
        <v>3663</v>
      </c>
      <c r="E1906" s="28">
        <v>46113.0</v>
      </c>
      <c r="F1906" s="28">
        <v>46171.0</v>
      </c>
      <c r="G1906" s="29"/>
    </row>
    <row r="1907" ht="15.75" customHeight="1">
      <c r="A1907" s="30" t="s">
        <v>5571</v>
      </c>
      <c r="B1907" s="31" t="s">
        <v>310</v>
      </c>
      <c r="C1907" s="31" t="s">
        <v>932</v>
      </c>
      <c r="D1907" s="30" t="s">
        <v>3663</v>
      </c>
      <c r="E1907" s="32">
        <v>46113.0</v>
      </c>
      <c r="F1907" s="32">
        <v>46171.0</v>
      </c>
      <c r="G1907" s="33"/>
    </row>
    <row r="1908" ht="15.75" customHeight="1">
      <c r="A1908" s="26" t="s">
        <v>5572</v>
      </c>
      <c r="B1908" s="27" t="s">
        <v>310</v>
      </c>
      <c r="C1908" s="27" t="s">
        <v>1168</v>
      </c>
      <c r="D1908" s="26" t="s">
        <v>3663</v>
      </c>
      <c r="E1908" s="28">
        <v>46113.0</v>
      </c>
      <c r="F1908" s="28">
        <v>46171.0</v>
      </c>
      <c r="G1908" s="29"/>
    </row>
    <row r="1909" ht="15.75" customHeight="1">
      <c r="A1909" s="30" t="s">
        <v>5573</v>
      </c>
      <c r="B1909" s="31" t="s">
        <v>310</v>
      </c>
      <c r="C1909" s="31" t="s">
        <v>1170</v>
      </c>
      <c r="D1909" s="30" t="s">
        <v>3663</v>
      </c>
      <c r="E1909" s="32">
        <v>46113.0</v>
      </c>
      <c r="F1909" s="32">
        <v>46171.0</v>
      </c>
      <c r="G1909" s="33"/>
    </row>
    <row r="1910" ht="15.75" customHeight="1">
      <c r="A1910" s="26" t="s">
        <v>5574</v>
      </c>
      <c r="B1910" s="27" t="s">
        <v>310</v>
      </c>
      <c r="C1910" s="27" t="s">
        <v>1288</v>
      </c>
      <c r="D1910" s="26" t="s">
        <v>3663</v>
      </c>
      <c r="E1910" s="28">
        <v>46113.0</v>
      </c>
      <c r="F1910" s="28">
        <v>46171.0</v>
      </c>
      <c r="G1910" s="29"/>
    </row>
    <row r="1911" ht="15.75" customHeight="1">
      <c r="A1911" s="30" t="s">
        <v>5575</v>
      </c>
      <c r="B1911" s="31" t="s">
        <v>310</v>
      </c>
      <c r="C1911" s="31" t="s">
        <v>1291</v>
      </c>
      <c r="D1911" s="30" t="s">
        <v>3663</v>
      </c>
      <c r="E1911" s="32">
        <v>46113.0</v>
      </c>
      <c r="F1911" s="32">
        <v>46171.0</v>
      </c>
      <c r="G1911" s="33"/>
    </row>
    <row r="1912" ht="15.75" customHeight="1">
      <c r="A1912" s="26" t="s">
        <v>5576</v>
      </c>
      <c r="B1912" s="27" t="s">
        <v>310</v>
      </c>
      <c r="C1912" s="27" t="s">
        <v>1354</v>
      </c>
      <c r="D1912" s="26" t="s">
        <v>3663</v>
      </c>
      <c r="E1912" s="28">
        <v>46113.0</v>
      </c>
      <c r="F1912" s="28">
        <v>46171.0</v>
      </c>
      <c r="G1912" s="29"/>
    </row>
    <row r="1913" ht="15.75" customHeight="1">
      <c r="A1913" s="30" t="s">
        <v>5577</v>
      </c>
      <c r="B1913" s="31" t="s">
        <v>310</v>
      </c>
      <c r="C1913" s="31" t="s">
        <v>1208</v>
      </c>
      <c r="D1913" s="30" t="s">
        <v>3663</v>
      </c>
      <c r="E1913" s="32">
        <v>46113.0</v>
      </c>
      <c r="F1913" s="32">
        <v>46171.0</v>
      </c>
      <c r="G1913" s="33"/>
    </row>
    <row r="1914" ht="15.75" customHeight="1">
      <c r="A1914" s="26" t="s">
        <v>5578</v>
      </c>
      <c r="B1914" s="27" t="s">
        <v>310</v>
      </c>
      <c r="C1914" s="27" t="s">
        <v>1159</v>
      </c>
      <c r="D1914" s="26" t="s">
        <v>3663</v>
      </c>
      <c r="E1914" s="28">
        <v>46113.0</v>
      </c>
      <c r="F1914" s="28">
        <v>46171.0</v>
      </c>
      <c r="G1914" s="29"/>
    </row>
    <row r="1915" ht="15.75" customHeight="1">
      <c r="A1915" s="30" t="s">
        <v>5579</v>
      </c>
      <c r="B1915" s="31" t="s">
        <v>310</v>
      </c>
      <c r="C1915" s="31" t="s">
        <v>1351</v>
      </c>
      <c r="D1915" s="30" t="s">
        <v>3663</v>
      </c>
      <c r="E1915" s="32">
        <v>46113.0</v>
      </c>
      <c r="F1915" s="32">
        <v>46171.0</v>
      </c>
      <c r="G1915" s="33"/>
    </row>
    <row r="1916" ht="15.75" customHeight="1">
      <c r="A1916" s="26" t="s">
        <v>5580</v>
      </c>
      <c r="B1916" s="27" t="s">
        <v>310</v>
      </c>
      <c r="C1916" s="27" t="s">
        <v>1349</v>
      </c>
      <c r="D1916" s="26" t="s">
        <v>3663</v>
      </c>
      <c r="E1916" s="28">
        <v>46113.0</v>
      </c>
      <c r="F1916" s="28">
        <v>46171.0</v>
      </c>
      <c r="G1916" s="29"/>
    </row>
    <row r="1917" ht="15.75" customHeight="1">
      <c r="A1917" s="30" t="s">
        <v>5581</v>
      </c>
      <c r="B1917" s="31" t="s">
        <v>310</v>
      </c>
      <c r="C1917" s="31" t="s">
        <v>965</v>
      </c>
      <c r="D1917" s="30" t="s">
        <v>3663</v>
      </c>
      <c r="E1917" s="32">
        <v>46113.0</v>
      </c>
      <c r="F1917" s="32">
        <v>46171.0</v>
      </c>
      <c r="G1917" s="33"/>
    </row>
    <row r="1918" ht="15.75" customHeight="1">
      <c r="A1918" s="26" t="s">
        <v>5582</v>
      </c>
      <c r="B1918" s="27" t="s">
        <v>310</v>
      </c>
      <c r="C1918" s="27" t="s">
        <v>923</v>
      </c>
      <c r="D1918" s="26" t="s">
        <v>3663</v>
      </c>
      <c r="E1918" s="28">
        <v>46113.0</v>
      </c>
      <c r="F1918" s="28">
        <v>46171.0</v>
      </c>
      <c r="G1918" s="29"/>
    </row>
    <row r="1919" ht="15.75" customHeight="1">
      <c r="A1919" s="30" t="s">
        <v>5583</v>
      </c>
      <c r="B1919" s="31" t="s">
        <v>311</v>
      </c>
      <c r="C1919" s="31" t="s">
        <v>3654</v>
      </c>
      <c r="D1919" s="30" t="s">
        <v>3663</v>
      </c>
      <c r="E1919" s="32">
        <v>46113.0</v>
      </c>
      <c r="F1919" s="32">
        <v>46171.0</v>
      </c>
      <c r="G1919" s="33"/>
    </row>
    <row r="1920" ht="15.75" customHeight="1">
      <c r="A1920" s="26" t="s">
        <v>5584</v>
      </c>
      <c r="B1920" s="27" t="s">
        <v>311</v>
      </c>
      <c r="C1920" s="27" t="s">
        <v>3655</v>
      </c>
      <c r="D1920" s="26" t="s">
        <v>3663</v>
      </c>
      <c r="E1920" s="28">
        <v>46113.0</v>
      </c>
      <c r="F1920" s="28">
        <v>46171.0</v>
      </c>
      <c r="G1920" s="29"/>
    </row>
    <row r="1921" ht="15.75" customHeight="1">
      <c r="A1921" s="30" t="s">
        <v>5585</v>
      </c>
      <c r="B1921" s="31" t="s">
        <v>311</v>
      </c>
      <c r="C1921" s="31" t="s">
        <v>934</v>
      </c>
      <c r="D1921" s="30" t="s">
        <v>3663</v>
      </c>
      <c r="E1921" s="32">
        <v>46113.0</v>
      </c>
      <c r="F1921" s="32">
        <v>46171.0</v>
      </c>
      <c r="G1921" s="33"/>
    </row>
    <row r="1922" ht="15.75" customHeight="1">
      <c r="A1922" s="26" t="s">
        <v>5586</v>
      </c>
      <c r="B1922" s="27" t="s">
        <v>311</v>
      </c>
      <c r="C1922" s="27" t="s">
        <v>1354</v>
      </c>
      <c r="D1922" s="26" t="s">
        <v>3663</v>
      </c>
      <c r="E1922" s="28">
        <v>46113.0</v>
      </c>
      <c r="F1922" s="28">
        <v>46171.0</v>
      </c>
      <c r="G1922" s="29"/>
    </row>
    <row r="1923" ht="15.75" customHeight="1">
      <c r="A1923" s="30" t="s">
        <v>5587</v>
      </c>
      <c r="B1923" s="31" t="s">
        <v>311</v>
      </c>
      <c r="C1923" s="31" t="s">
        <v>1208</v>
      </c>
      <c r="D1923" s="30" t="s">
        <v>3663</v>
      </c>
      <c r="E1923" s="32">
        <v>46113.0</v>
      </c>
      <c r="F1923" s="32">
        <v>46171.0</v>
      </c>
      <c r="G1923" s="33"/>
    </row>
    <row r="1924" ht="15.75" customHeight="1">
      <c r="A1924" s="26" t="s">
        <v>5588</v>
      </c>
      <c r="B1924" s="27" t="s">
        <v>311</v>
      </c>
      <c r="C1924" s="27" t="s">
        <v>1218</v>
      </c>
      <c r="D1924" s="26" t="s">
        <v>3663</v>
      </c>
      <c r="E1924" s="28">
        <v>46113.0</v>
      </c>
      <c r="F1924" s="28">
        <v>46171.0</v>
      </c>
      <c r="G1924" s="29"/>
    </row>
    <row r="1925" ht="15.75" customHeight="1">
      <c r="A1925" s="30" t="s">
        <v>5589</v>
      </c>
      <c r="B1925" s="31" t="s">
        <v>311</v>
      </c>
      <c r="C1925" s="31" t="s">
        <v>1157</v>
      </c>
      <c r="D1925" s="30" t="s">
        <v>3663</v>
      </c>
      <c r="E1925" s="32">
        <v>46113.0</v>
      </c>
      <c r="F1925" s="32">
        <v>46171.0</v>
      </c>
      <c r="G1925" s="33"/>
    </row>
    <row r="1926" ht="15.75" customHeight="1">
      <c r="A1926" s="26" t="s">
        <v>5590</v>
      </c>
      <c r="B1926" s="27" t="s">
        <v>311</v>
      </c>
      <c r="C1926" s="27" t="s">
        <v>1155</v>
      </c>
      <c r="D1926" s="26" t="s">
        <v>3663</v>
      </c>
      <c r="E1926" s="28">
        <v>46113.0</v>
      </c>
      <c r="F1926" s="28">
        <v>46171.0</v>
      </c>
      <c r="G1926" s="29"/>
    </row>
    <row r="1927" ht="15.75" customHeight="1">
      <c r="A1927" s="30" t="s">
        <v>5591</v>
      </c>
      <c r="B1927" s="31" t="s">
        <v>311</v>
      </c>
      <c r="C1927" s="31" t="s">
        <v>1153</v>
      </c>
      <c r="D1927" s="30" t="s">
        <v>3663</v>
      </c>
      <c r="E1927" s="32">
        <v>46113.0</v>
      </c>
      <c r="F1927" s="32">
        <v>46171.0</v>
      </c>
      <c r="G1927" s="33"/>
    </row>
    <row r="1928" ht="15.75" customHeight="1">
      <c r="A1928" s="26" t="s">
        <v>5592</v>
      </c>
      <c r="B1928" s="27" t="s">
        <v>311</v>
      </c>
      <c r="C1928" s="27" t="s">
        <v>1149</v>
      </c>
      <c r="D1928" s="26" t="s">
        <v>3663</v>
      </c>
      <c r="E1928" s="28">
        <v>46113.0</v>
      </c>
      <c r="F1928" s="28">
        <v>46171.0</v>
      </c>
      <c r="G1928" s="29"/>
    </row>
    <row r="1929" ht="15.75" customHeight="1">
      <c r="A1929" s="30" t="s">
        <v>5593</v>
      </c>
      <c r="B1929" s="31" t="s">
        <v>311</v>
      </c>
      <c r="C1929" s="31" t="s">
        <v>1351</v>
      </c>
      <c r="D1929" s="30" t="s">
        <v>3663</v>
      </c>
      <c r="E1929" s="32">
        <v>46113.0</v>
      </c>
      <c r="F1929" s="32">
        <v>46171.0</v>
      </c>
      <c r="G1929" s="33"/>
    </row>
    <row r="1930" ht="15.75" customHeight="1">
      <c r="A1930" s="26" t="s">
        <v>5594</v>
      </c>
      <c r="B1930" s="27" t="s">
        <v>311</v>
      </c>
      <c r="C1930" s="27" t="s">
        <v>1349</v>
      </c>
      <c r="D1930" s="26" t="s">
        <v>3663</v>
      </c>
      <c r="E1930" s="28">
        <v>46113.0</v>
      </c>
      <c r="F1930" s="28">
        <v>46171.0</v>
      </c>
      <c r="G1930" s="29"/>
    </row>
    <row r="1931" ht="15.75" customHeight="1">
      <c r="A1931" s="30" t="s">
        <v>5595</v>
      </c>
      <c r="B1931" s="31" t="s">
        <v>311</v>
      </c>
      <c r="C1931" s="31" t="s">
        <v>968</v>
      </c>
      <c r="D1931" s="30" t="s">
        <v>3663</v>
      </c>
      <c r="E1931" s="32">
        <v>46113.0</v>
      </c>
      <c r="F1931" s="32">
        <v>46171.0</v>
      </c>
      <c r="G1931" s="33"/>
    </row>
    <row r="1932" ht="15.75" customHeight="1">
      <c r="A1932" s="26" t="s">
        <v>5596</v>
      </c>
      <c r="B1932" s="27" t="s">
        <v>311</v>
      </c>
      <c r="C1932" s="27" t="s">
        <v>923</v>
      </c>
      <c r="D1932" s="26" t="s">
        <v>3663</v>
      </c>
      <c r="E1932" s="28">
        <v>46113.0</v>
      </c>
      <c r="F1932" s="28">
        <v>46171.0</v>
      </c>
      <c r="G1932" s="29"/>
    </row>
    <row r="1933" ht="15.75" customHeight="1">
      <c r="A1933" s="30" t="s">
        <v>5597</v>
      </c>
      <c r="B1933" s="31" t="s">
        <v>312</v>
      </c>
      <c r="C1933" s="31" t="s">
        <v>932</v>
      </c>
      <c r="D1933" s="30" t="s">
        <v>3663</v>
      </c>
      <c r="E1933" s="32">
        <v>46113.0</v>
      </c>
      <c r="F1933" s="32">
        <v>46171.0</v>
      </c>
      <c r="G1933" s="33"/>
    </row>
    <row r="1934" ht="15.75" customHeight="1">
      <c r="A1934" s="26" t="s">
        <v>5598</v>
      </c>
      <c r="B1934" s="27" t="s">
        <v>312</v>
      </c>
      <c r="C1934" s="27" t="s">
        <v>3640</v>
      </c>
      <c r="D1934" s="26" t="s">
        <v>3663</v>
      </c>
      <c r="E1934" s="28">
        <v>46113.0</v>
      </c>
      <c r="F1934" s="28">
        <v>46171.0</v>
      </c>
      <c r="G1934" s="29"/>
    </row>
    <row r="1935" ht="15.75" customHeight="1">
      <c r="A1935" s="30" t="s">
        <v>5599</v>
      </c>
      <c r="B1935" s="31" t="s">
        <v>312</v>
      </c>
      <c r="C1935" s="31" t="s">
        <v>1323</v>
      </c>
      <c r="D1935" s="30" t="s">
        <v>3663</v>
      </c>
      <c r="E1935" s="32">
        <v>46113.0</v>
      </c>
      <c r="F1935" s="32">
        <v>46171.0</v>
      </c>
      <c r="G1935" s="33"/>
    </row>
    <row r="1936" ht="15.75" customHeight="1">
      <c r="A1936" s="26" t="s">
        <v>5600</v>
      </c>
      <c r="B1936" s="27" t="s">
        <v>312</v>
      </c>
      <c r="C1936" s="27" t="s">
        <v>1168</v>
      </c>
      <c r="D1936" s="26" t="s">
        <v>3663</v>
      </c>
      <c r="E1936" s="28">
        <v>46113.0</v>
      </c>
      <c r="F1936" s="28">
        <v>46171.0</v>
      </c>
      <c r="G1936" s="29"/>
    </row>
    <row r="1937" ht="15.75" customHeight="1">
      <c r="A1937" s="30" t="s">
        <v>5601</v>
      </c>
      <c r="B1937" s="31" t="s">
        <v>312</v>
      </c>
      <c r="C1937" s="31" t="s">
        <v>1170</v>
      </c>
      <c r="D1937" s="30" t="s">
        <v>3663</v>
      </c>
      <c r="E1937" s="32">
        <v>46113.0</v>
      </c>
      <c r="F1937" s="32">
        <v>46171.0</v>
      </c>
      <c r="G1937" s="33"/>
    </row>
    <row r="1938" ht="15.75" customHeight="1">
      <c r="A1938" s="26" t="s">
        <v>5602</v>
      </c>
      <c r="B1938" s="27" t="s">
        <v>312</v>
      </c>
      <c r="C1938" s="27" t="s">
        <v>1288</v>
      </c>
      <c r="D1938" s="26" t="s">
        <v>3663</v>
      </c>
      <c r="E1938" s="28">
        <v>46113.0</v>
      </c>
      <c r="F1938" s="28">
        <v>46171.0</v>
      </c>
      <c r="G1938" s="29"/>
    </row>
    <row r="1939" ht="15.75" customHeight="1">
      <c r="A1939" s="30" t="s">
        <v>5603</v>
      </c>
      <c r="B1939" s="31" t="s">
        <v>312</v>
      </c>
      <c r="C1939" s="31" t="s">
        <v>1291</v>
      </c>
      <c r="D1939" s="30" t="s">
        <v>3663</v>
      </c>
      <c r="E1939" s="32">
        <v>46113.0</v>
      </c>
      <c r="F1939" s="32">
        <v>46171.0</v>
      </c>
      <c r="G1939" s="33"/>
    </row>
    <row r="1940" ht="15.75" customHeight="1">
      <c r="A1940" s="26" t="s">
        <v>5604</v>
      </c>
      <c r="B1940" s="27" t="s">
        <v>312</v>
      </c>
      <c r="C1940" s="27" t="s">
        <v>1354</v>
      </c>
      <c r="D1940" s="26" t="s">
        <v>3663</v>
      </c>
      <c r="E1940" s="28">
        <v>46113.0</v>
      </c>
      <c r="F1940" s="28">
        <v>46171.0</v>
      </c>
      <c r="G1940" s="29"/>
    </row>
    <row r="1941" ht="15.75" customHeight="1">
      <c r="A1941" s="30" t="s">
        <v>5605</v>
      </c>
      <c r="B1941" s="31" t="s">
        <v>312</v>
      </c>
      <c r="C1941" s="31" t="s">
        <v>3656</v>
      </c>
      <c r="D1941" s="30" t="s">
        <v>3663</v>
      </c>
      <c r="E1941" s="32">
        <v>46113.0</v>
      </c>
      <c r="F1941" s="32">
        <v>46171.0</v>
      </c>
      <c r="G1941" s="33"/>
    </row>
    <row r="1942" ht="15.75" customHeight="1">
      <c r="A1942" s="26" t="s">
        <v>5606</v>
      </c>
      <c r="B1942" s="27" t="s">
        <v>312</v>
      </c>
      <c r="C1942" s="27" t="s">
        <v>3657</v>
      </c>
      <c r="D1942" s="26" t="s">
        <v>3663</v>
      </c>
      <c r="E1942" s="28">
        <v>46113.0</v>
      </c>
      <c r="F1942" s="28">
        <v>46171.0</v>
      </c>
      <c r="G1942" s="29"/>
    </row>
    <row r="1943" ht="15.75" customHeight="1">
      <c r="A1943" s="30" t="s">
        <v>5607</v>
      </c>
      <c r="B1943" s="31" t="s">
        <v>312</v>
      </c>
      <c r="C1943" s="31" t="s">
        <v>3647</v>
      </c>
      <c r="D1943" s="30" t="s">
        <v>3663</v>
      </c>
      <c r="E1943" s="32">
        <v>46113.0</v>
      </c>
      <c r="F1943" s="32">
        <v>46171.0</v>
      </c>
      <c r="G1943" s="33"/>
    </row>
    <row r="1944" ht="15.75" customHeight="1">
      <c r="A1944" s="26" t="s">
        <v>5608</v>
      </c>
      <c r="B1944" s="27" t="s">
        <v>312</v>
      </c>
      <c r="C1944" s="27" t="s">
        <v>952</v>
      </c>
      <c r="D1944" s="26" t="s">
        <v>3663</v>
      </c>
      <c r="E1944" s="28">
        <v>46113.0</v>
      </c>
      <c r="F1944" s="28">
        <v>46171.0</v>
      </c>
      <c r="G1944" s="29"/>
    </row>
    <row r="1945" ht="15.75" customHeight="1">
      <c r="A1945" s="30" t="s">
        <v>5609</v>
      </c>
      <c r="B1945" s="31" t="s">
        <v>312</v>
      </c>
      <c r="C1945" s="31" t="s">
        <v>968</v>
      </c>
      <c r="D1945" s="30" t="s">
        <v>3663</v>
      </c>
      <c r="E1945" s="32">
        <v>46113.0</v>
      </c>
      <c r="F1945" s="32">
        <v>46171.0</v>
      </c>
      <c r="G1945" s="33"/>
    </row>
    <row r="1946" ht="15.75" customHeight="1">
      <c r="A1946" s="26" t="s">
        <v>5610</v>
      </c>
      <c r="B1946" s="27" t="s">
        <v>312</v>
      </c>
      <c r="C1946" s="27" t="s">
        <v>923</v>
      </c>
      <c r="D1946" s="26" t="s">
        <v>3663</v>
      </c>
      <c r="E1946" s="28">
        <v>46113.0</v>
      </c>
      <c r="F1946" s="28">
        <v>46171.0</v>
      </c>
      <c r="G1946" s="29"/>
    </row>
    <row r="1947" ht="15.75" customHeight="1">
      <c r="A1947" s="30" t="s">
        <v>5611</v>
      </c>
      <c r="B1947" s="31" t="s">
        <v>313</v>
      </c>
      <c r="C1947" s="31" t="s">
        <v>932</v>
      </c>
      <c r="D1947" s="30" t="s">
        <v>3663</v>
      </c>
      <c r="E1947" s="32">
        <v>46113.0</v>
      </c>
      <c r="F1947" s="32">
        <v>46171.0</v>
      </c>
      <c r="G1947" s="33"/>
    </row>
    <row r="1948" ht="15.75" customHeight="1">
      <c r="A1948" s="26" t="s">
        <v>5612</v>
      </c>
      <c r="B1948" s="27" t="s">
        <v>313</v>
      </c>
      <c r="C1948" s="27" t="s">
        <v>1168</v>
      </c>
      <c r="D1948" s="26" t="s">
        <v>3663</v>
      </c>
      <c r="E1948" s="28">
        <v>46113.0</v>
      </c>
      <c r="F1948" s="28">
        <v>46171.0</v>
      </c>
      <c r="G1948" s="29"/>
    </row>
    <row r="1949" ht="15.75" customHeight="1">
      <c r="A1949" s="30" t="s">
        <v>5613</v>
      </c>
      <c r="B1949" s="31" t="s">
        <v>313</v>
      </c>
      <c r="C1949" s="31" t="s">
        <v>1170</v>
      </c>
      <c r="D1949" s="30" t="s">
        <v>3663</v>
      </c>
      <c r="E1949" s="32">
        <v>46113.0</v>
      </c>
      <c r="F1949" s="32">
        <v>46171.0</v>
      </c>
      <c r="G1949" s="33"/>
    </row>
    <row r="1950" ht="15.75" customHeight="1">
      <c r="A1950" s="26" t="s">
        <v>5614</v>
      </c>
      <c r="B1950" s="27" t="s">
        <v>313</v>
      </c>
      <c r="C1950" s="27" t="s">
        <v>1288</v>
      </c>
      <c r="D1950" s="26" t="s">
        <v>3663</v>
      </c>
      <c r="E1950" s="28">
        <v>46113.0</v>
      </c>
      <c r="F1950" s="28">
        <v>46171.0</v>
      </c>
      <c r="G1950" s="29"/>
    </row>
    <row r="1951" ht="15.75" customHeight="1">
      <c r="A1951" s="30" t="s">
        <v>5615</v>
      </c>
      <c r="B1951" s="31" t="s">
        <v>313</v>
      </c>
      <c r="C1951" s="31" t="s">
        <v>1291</v>
      </c>
      <c r="D1951" s="30" t="s">
        <v>3663</v>
      </c>
      <c r="E1951" s="32">
        <v>46113.0</v>
      </c>
      <c r="F1951" s="32">
        <v>46171.0</v>
      </c>
      <c r="G1951" s="33"/>
    </row>
    <row r="1952" ht="15.75" customHeight="1">
      <c r="A1952" s="26" t="s">
        <v>5616</v>
      </c>
      <c r="B1952" s="27" t="s">
        <v>313</v>
      </c>
      <c r="C1952" s="27" t="s">
        <v>1354</v>
      </c>
      <c r="D1952" s="26" t="s">
        <v>3663</v>
      </c>
      <c r="E1952" s="28">
        <v>46113.0</v>
      </c>
      <c r="F1952" s="28">
        <v>46171.0</v>
      </c>
      <c r="G1952" s="29"/>
    </row>
    <row r="1953" ht="15.75" customHeight="1">
      <c r="A1953" s="30" t="s">
        <v>5617</v>
      </c>
      <c r="B1953" s="31" t="s">
        <v>313</v>
      </c>
      <c r="C1953" s="31" t="s">
        <v>1159</v>
      </c>
      <c r="D1953" s="30" t="s">
        <v>3663</v>
      </c>
      <c r="E1953" s="32">
        <v>46113.0</v>
      </c>
      <c r="F1953" s="32">
        <v>46171.0</v>
      </c>
      <c r="G1953" s="33"/>
    </row>
    <row r="1954" ht="15.75" customHeight="1">
      <c r="A1954" s="26" t="s">
        <v>5618</v>
      </c>
      <c r="B1954" s="27" t="s">
        <v>313</v>
      </c>
      <c r="C1954" s="27" t="s">
        <v>3656</v>
      </c>
      <c r="D1954" s="26" t="s">
        <v>3663</v>
      </c>
      <c r="E1954" s="28">
        <v>46113.0</v>
      </c>
      <c r="F1954" s="28">
        <v>46171.0</v>
      </c>
      <c r="G1954" s="29"/>
    </row>
    <row r="1955" ht="15.75" customHeight="1">
      <c r="A1955" s="30" t="s">
        <v>5619</v>
      </c>
      <c r="B1955" s="31" t="s">
        <v>313</v>
      </c>
      <c r="C1955" s="31" t="s">
        <v>3657</v>
      </c>
      <c r="D1955" s="30" t="s">
        <v>3663</v>
      </c>
      <c r="E1955" s="32">
        <v>46113.0</v>
      </c>
      <c r="F1955" s="32">
        <v>46171.0</v>
      </c>
      <c r="G1955" s="33"/>
    </row>
    <row r="1956" ht="15.75" customHeight="1">
      <c r="A1956" s="26" t="s">
        <v>5620</v>
      </c>
      <c r="B1956" s="27" t="s">
        <v>313</v>
      </c>
      <c r="C1956" s="27" t="s">
        <v>3647</v>
      </c>
      <c r="D1956" s="26" t="s">
        <v>3663</v>
      </c>
      <c r="E1956" s="28">
        <v>46113.0</v>
      </c>
      <c r="F1956" s="28">
        <v>46171.0</v>
      </c>
      <c r="G1956" s="29"/>
    </row>
    <row r="1957" ht="15.75" customHeight="1">
      <c r="A1957" s="30" t="s">
        <v>5621</v>
      </c>
      <c r="B1957" s="31" t="s">
        <v>313</v>
      </c>
      <c r="C1957" s="31" t="s">
        <v>952</v>
      </c>
      <c r="D1957" s="30" t="s">
        <v>3663</v>
      </c>
      <c r="E1957" s="32">
        <v>46113.0</v>
      </c>
      <c r="F1957" s="32">
        <v>46171.0</v>
      </c>
      <c r="G1957" s="33"/>
    </row>
    <row r="1958" ht="15.75" customHeight="1">
      <c r="A1958" s="26" t="s">
        <v>5622</v>
      </c>
      <c r="B1958" s="27" t="s">
        <v>313</v>
      </c>
      <c r="C1958" s="27" t="s">
        <v>1216</v>
      </c>
      <c r="D1958" s="26" t="s">
        <v>3663</v>
      </c>
      <c r="E1958" s="28">
        <v>46113.0</v>
      </c>
      <c r="F1958" s="28">
        <v>46171.0</v>
      </c>
      <c r="G1958" s="29"/>
    </row>
    <row r="1959" ht="15.75" customHeight="1">
      <c r="A1959" s="30" t="s">
        <v>5623</v>
      </c>
      <c r="B1959" s="31" t="s">
        <v>313</v>
      </c>
      <c r="C1959" s="31" t="s">
        <v>968</v>
      </c>
      <c r="D1959" s="30" t="s">
        <v>3663</v>
      </c>
      <c r="E1959" s="32">
        <v>46113.0</v>
      </c>
      <c r="F1959" s="32">
        <v>46171.0</v>
      </c>
      <c r="G1959" s="33"/>
    </row>
    <row r="1960" ht="15.75" customHeight="1">
      <c r="A1960" s="26" t="s">
        <v>5624</v>
      </c>
      <c r="B1960" s="27" t="s">
        <v>313</v>
      </c>
      <c r="C1960" s="27" t="s">
        <v>923</v>
      </c>
      <c r="D1960" s="26" t="s">
        <v>3663</v>
      </c>
      <c r="E1960" s="28">
        <v>46113.0</v>
      </c>
      <c r="F1960" s="28">
        <v>46171.0</v>
      </c>
      <c r="G1960" s="29"/>
    </row>
    <row r="1961" ht="15.75" customHeight="1">
      <c r="A1961" s="30" t="s">
        <v>5625</v>
      </c>
      <c r="B1961" s="31" t="s">
        <v>314</v>
      </c>
      <c r="C1961" s="31" t="s">
        <v>3654</v>
      </c>
      <c r="D1961" s="30" t="s">
        <v>3663</v>
      </c>
      <c r="E1961" s="32">
        <v>46113.0</v>
      </c>
      <c r="F1961" s="32">
        <v>46171.0</v>
      </c>
      <c r="G1961" s="33"/>
    </row>
    <row r="1962" ht="15.75" customHeight="1">
      <c r="A1962" s="26" t="s">
        <v>5626</v>
      </c>
      <c r="B1962" s="27" t="s">
        <v>314</v>
      </c>
      <c r="C1962" s="27" t="s">
        <v>3655</v>
      </c>
      <c r="D1962" s="26" t="s">
        <v>3663</v>
      </c>
      <c r="E1962" s="28">
        <v>46113.0</v>
      </c>
      <c r="F1962" s="28">
        <v>46171.0</v>
      </c>
      <c r="G1962" s="29"/>
    </row>
    <row r="1963" ht="15.75" customHeight="1">
      <c r="A1963" s="30" t="s">
        <v>5627</v>
      </c>
      <c r="B1963" s="31" t="s">
        <v>314</v>
      </c>
      <c r="C1963" s="31" t="s">
        <v>930</v>
      </c>
      <c r="D1963" s="30" t="s">
        <v>3663</v>
      </c>
      <c r="E1963" s="32">
        <v>46113.0</v>
      </c>
      <c r="F1963" s="32">
        <v>46171.0</v>
      </c>
      <c r="G1963" s="33"/>
    </row>
    <row r="1964" ht="15.75" customHeight="1">
      <c r="A1964" s="26" t="s">
        <v>5628</v>
      </c>
      <c r="B1964" s="27" t="s">
        <v>314</v>
      </c>
      <c r="C1964" s="27" t="s">
        <v>1354</v>
      </c>
      <c r="D1964" s="26" t="s">
        <v>3663</v>
      </c>
      <c r="E1964" s="28">
        <v>46113.0</v>
      </c>
      <c r="F1964" s="28">
        <v>46171.0</v>
      </c>
      <c r="G1964" s="29"/>
    </row>
    <row r="1965" ht="15.75" customHeight="1">
      <c r="A1965" s="30" t="s">
        <v>5629</v>
      </c>
      <c r="B1965" s="31" t="s">
        <v>314</v>
      </c>
      <c r="C1965" s="31" t="s">
        <v>1190</v>
      </c>
      <c r="D1965" s="30" t="s">
        <v>3663</v>
      </c>
      <c r="E1965" s="32">
        <v>46113.0</v>
      </c>
      <c r="F1965" s="32">
        <v>46171.0</v>
      </c>
      <c r="G1965" s="33"/>
    </row>
    <row r="1966" ht="15.75" customHeight="1">
      <c r="A1966" s="26" t="s">
        <v>5630</v>
      </c>
      <c r="B1966" s="27" t="s">
        <v>314</v>
      </c>
      <c r="C1966" s="27" t="s">
        <v>3647</v>
      </c>
      <c r="D1966" s="26" t="s">
        <v>3663</v>
      </c>
      <c r="E1966" s="28">
        <v>46113.0</v>
      </c>
      <c r="F1966" s="28">
        <v>46171.0</v>
      </c>
      <c r="G1966" s="29"/>
    </row>
    <row r="1967" ht="15.75" customHeight="1">
      <c r="A1967" s="30" t="s">
        <v>5631</v>
      </c>
      <c r="B1967" s="31" t="s">
        <v>314</v>
      </c>
      <c r="C1967" s="31" t="s">
        <v>952</v>
      </c>
      <c r="D1967" s="30" t="s">
        <v>3663</v>
      </c>
      <c r="E1967" s="32">
        <v>46113.0</v>
      </c>
      <c r="F1967" s="32">
        <v>46171.0</v>
      </c>
      <c r="G1967" s="33"/>
    </row>
    <row r="1968" ht="15.75" customHeight="1">
      <c r="A1968" s="26" t="s">
        <v>5632</v>
      </c>
      <c r="B1968" s="27" t="s">
        <v>314</v>
      </c>
      <c r="C1968" s="27" t="s">
        <v>1216</v>
      </c>
      <c r="D1968" s="26" t="s">
        <v>3663</v>
      </c>
      <c r="E1968" s="28">
        <v>46113.0</v>
      </c>
      <c r="F1968" s="28">
        <v>46171.0</v>
      </c>
      <c r="G1968" s="29"/>
    </row>
    <row r="1969" ht="15.75" customHeight="1">
      <c r="A1969" s="30" t="s">
        <v>5633</v>
      </c>
      <c r="B1969" s="31" t="s">
        <v>314</v>
      </c>
      <c r="C1969" s="31" t="s">
        <v>1157</v>
      </c>
      <c r="D1969" s="30" t="s">
        <v>3663</v>
      </c>
      <c r="E1969" s="32">
        <v>46113.0</v>
      </c>
      <c r="F1969" s="32">
        <v>46171.0</v>
      </c>
      <c r="G1969" s="33"/>
    </row>
    <row r="1970" ht="15.75" customHeight="1">
      <c r="A1970" s="26" t="s">
        <v>5634</v>
      </c>
      <c r="B1970" s="27" t="s">
        <v>314</v>
      </c>
      <c r="C1970" s="27" t="s">
        <v>1155</v>
      </c>
      <c r="D1970" s="26" t="s">
        <v>3663</v>
      </c>
      <c r="E1970" s="28">
        <v>46113.0</v>
      </c>
      <c r="F1970" s="28">
        <v>46171.0</v>
      </c>
      <c r="G1970" s="29"/>
    </row>
    <row r="1971" ht="15.75" customHeight="1">
      <c r="A1971" s="30" t="s">
        <v>5635</v>
      </c>
      <c r="B1971" s="31" t="s">
        <v>314</v>
      </c>
      <c r="C1971" s="31" t="s">
        <v>1153</v>
      </c>
      <c r="D1971" s="30" t="s">
        <v>3663</v>
      </c>
      <c r="E1971" s="32">
        <v>46113.0</v>
      </c>
      <c r="F1971" s="32">
        <v>46171.0</v>
      </c>
      <c r="G1971" s="33"/>
    </row>
    <row r="1972" ht="15.75" customHeight="1">
      <c r="A1972" s="26" t="s">
        <v>5636</v>
      </c>
      <c r="B1972" s="27" t="s">
        <v>314</v>
      </c>
      <c r="C1972" s="27" t="s">
        <v>1149</v>
      </c>
      <c r="D1972" s="26" t="s">
        <v>3663</v>
      </c>
      <c r="E1972" s="28">
        <v>46113.0</v>
      </c>
      <c r="F1972" s="28">
        <v>46171.0</v>
      </c>
      <c r="G1972" s="29"/>
    </row>
    <row r="1973" ht="15.75" customHeight="1">
      <c r="A1973" s="30" t="s">
        <v>5637</v>
      </c>
      <c r="B1973" s="31" t="s">
        <v>314</v>
      </c>
      <c r="C1973" s="31" t="s">
        <v>965</v>
      </c>
      <c r="D1973" s="30" t="s">
        <v>3663</v>
      </c>
      <c r="E1973" s="32">
        <v>46113.0</v>
      </c>
      <c r="F1973" s="32">
        <v>46171.0</v>
      </c>
      <c r="G1973" s="33"/>
    </row>
    <row r="1974" ht="15.75" customHeight="1">
      <c r="A1974" s="26" t="s">
        <v>5638</v>
      </c>
      <c r="B1974" s="27" t="s">
        <v>314</v>
      </c>
      <c r="C1974" s="27" t="s">
        <v>923</v>
      </c>
      <c r="D1974" s="26" t="s">
        <v>3663</v>
      </c>
      <c r="E1974" s="28">
        <v>46113.0</v>
      </c>
      <c r="F1974" s="28">
        <v>46171.0</v>
      </c>
      <c r="G1974" s="29"/>
    </row>
    <row r="1975" ht="15.75" customHeight="1">
      <c r="A1975" s="30" t="s">
        <v>5639</v>
      </c>
      <c r="B1975" s="31" t="s">
        <v>315</v>
      </c>
      <c r="C1975" s="31" t="s">
        <v>1240</v>
      </c>
      <c r="D1975" s="30" t="s">
        <v>3663</v>
      </c>
      <c r="E1975" s="32">
        <v>46113.0</v>
      </c>
      <c r="F1975" s="32">
        <v>46171.0</v>
      </c>
      <c r="G1975" s="33"/>
    </row>
    <row r="1976" ht="15.75" customHeight="1">
      <c r="A1976" s="26" t="s">
        <v>5640</v>
      </c>
      <c r="B1976" s="27" t="s">
        <v>315</v>
      </c>
      <c r="C1976" s="27" t="s">
        <v>1242</v>
      </c>
      <c r="D1976" s="26" t="s">
        <v>3663</v>
      </c>
      <c r="E1976" s="28">
        <v>46113.0</v>
      </c>
      <c r="F1976" s="28">
        <v>46171.0</v>
      </c>
      <c r="G1976" s="29"/>
    </row>
    <row r="1977" ht="15.75" customHeight="1">
      <c r="A1977" s="30" t="s">
        <v>5641</v>
      </c>
      <c r="B1977" s="31" t="s">
        <v>315</v>
      </c>
      <c r="C1977" s="31" t="s">
        <v>1244</v>
      </c>
      <c r="D1977" s="30" t="s">
        <v>3663</v>
      </c>
      <c r="E1977" s="32">
        <v>46113.0</v>
      </c>
      <c r="F1977" s="32">
        <v>46171.0</v>
      </c>
      <c r="G1977" s="33"/>
    </row>
    <row r="1978" ht="15.75" customHeight="1">
      <c r="A1978" s="26" t="s">
        <v>5642</v>
      </c>
      <c r="B1978" s="27" t="s">
        <v>315</v>
      </c>
      <c r="C1978" s="27" t="s">
        <v>1246</v>
      </c>
      <c r="D1978" s="26" t="s">
        <v>3663</v>
      </c>
      <c r="E1978" s="28">
        <v>46113.0</v>
      </c>
      <c r="F1978" s="28">
        <v>46171.0</v>
      </c>
      <c r="G1978" s="29"/>
    </row>
    <row r="1979" ht="15.75" customHeight="1">
      <c r="A1979" s="30" t="s">
        <v>5643</v>
      </c>
      <c r="B1979" s="31" t="s">
        <v>315</v>
      </c>
      <c r="C1979" s="31" t="s">
        <v>928</v>
      </c>
      <c r="D1979" s="30" t="s">
        <v>3663</v>
      </c>
      <c r="E1979" s="32">
        <v>46113.0</v>
      </c>
      <c r="F1979" s="32">
        <v>46171.0</v>
      </c>
      <c r="G1979" s="33"/>
    </row>
    <row r="1980" ht="15.75" customHeight="1">
      <c r="A1980" s="26" t="s">
        <v>5644</v>
      </c>
      <c r="B1980" s="27" t="s">
        <v>315</v>
      </c>
      <c r="C1980" s="27" t="s">
        <v>1354</v>
      </c>
      <c r="D1980" s="26" t="s">
        <v>3663</v>
      </c>
      <c r="E1980" s="28">
        <v>46113.0</v>
      </c>
      <c r="F1980" s="28">
        <v>46171.0</v>
      </c>
      <c r="G1980" s="29"/>
    </row>
    <row r="1981" ht="15.75" customHeight="1">
      <c r="A1981" s="30" t="s">
        <v>5645</v>
      </c>
      <c r="B1981" s="31" t="s">
        <v>315</v>
      </c>
      <c r="C1981" s="31" t="s">
        <v>1172</v>
      </c>
      <c r="D1981" s="30" t="s">
        <v>3663</v>
      </c>
      <c r="E1981" s="32">
        <v>46113.0</v>
      </c>
      <c r="F1981" s="32">
        <v>46171.0</v>
      </c>
      <c r="G1981" s="34"/>
    </row>
    <row r="1982" ht="15.75" customHeight="1">
      <c r="A1982" s="26" t="s">
        <v>5646</v>
      </c>
      <c r="B1982" s="27" t="s">
        <v>315</v>
      </c>
      <c r="C1982" s="27" t="s">
        <v>1312</v>
      </c>
      <c r="D1982" s="26" t="s">
        <v>3663</v>
      </c>
      <c r="E1982" s="28">
        <v>46113.0</v>
      </c>
      <c r="F1982" s="28">
        <v>46171.0</v>
      </c>
      <c r="G1982" s="29"/>
    </row>
    <row r="1983" ht="15.75" customHeight="1">
      <c r="A1983" s="30" t="s">
        <v>5647</v>
      </c>
      <c r="B1983" s="31" t="s">
        <v>315</v>
      </c>
      <c r="C1983" s="31" t="s">
        <v>3681</v>
      </c>
      <c r="D1983" s="30" t="s">
        <v>3663</v>
      </c>
      <c r="E1983" s="32">
        <v>46113.0</v>
      </c>
      <c r="F1983" s="32">
        <v>46171.0</v>
      </c>
      <c r="G1983" s="33"/>
    </row>
    <row r="1984" ht="15.75" customHeight="1">
      <c r="A1984" s="26" t="s">
        <v>5648</v>
      </c>
      <c r="B1984" s="27" t="s">
        <v>315</v>
      </c>
      <c r="C1984" s="27" t="s">
        <v>3683</v>
      </c>
      <c r="D1984" s="26" t="s">
        <v>3663</v>
      </c>
      <c r="E1984" s="28">
        <v>46113.0</v>
      </c>
      <c r="F1984" s="28">
        <v>46171.0</v>
      </c>
      <c r="G1984" s="29"/>
    </row>
    <row r="1985" ht="15.75" customHeight="1">
      <c r="A1985" s="30" t="s">
        <v>5649</v>
      </c>
      <c r="B1985" s="31" t="s">
        <v>315</v>
      </c>
      <c r="C1985" s="31" t="s">
        <v>1351</v>
      </c>
      <c r="D1985" s="30" t="s">
        <v>3663</v>
      </c>
      <c r="E1985" s="32">
        <v>46113.0</v>
      </c>
      <c r="F1985" s="32">
        <v>46171.0</v>
      </c>
      <c r="G1985" s="33"/>
    </row>
    <row r="1986" ht="15.75" customHeight="1">
      <c r="A1986" s="26" t="s">
        <v>5650</v>
      </c>
      <c r="B1986" s="27" t="s">
        <v>315</v>
      </c>
      <c r="C1986" s="27" t="s">
        <v>1349</v>
      </c>
      <c r="D1986" s="26" t="s">
        <v>3663</v>
      </c>
      <c r="E1986" s="28">
        <v>46113.0</v>
      </c>
      <c r="F1986" s="28">
        <v>46171.0</v>
      </c>
      <c r="G1986" s="29"/>
    </row>
    <row r="1987" ht="15.75" customHeight="1">
      <c r="A1987" s="30" t="s">
        <v>5651</v>
      </c>
      <c r="B1987" s="31" t="s">
        <v>315</v>
      </c>
      <c r="C1987" s="31" t="s">
        <v>968</v>
      </c>
      <c r="D1987" s="30" t="s">
        <v>3663</v>
      </c>
      <c r="E1987" s="32">
        <v>46113.0</v>
      </c>
      <c r="F1987" s="32">
        <v>46171.0</v>
      </c>
      <c r="G1987" s="33"/>
    </row>
    <row r="1988" ht="15.75" customHeight="1">
      <c r="A1988" s="26" t="s">
        <v>5652</v>
      </c>
      <c r="B1988" s="27" t="s">
        <v>315</v>
      </c>
      <c r="C1988" s="27" t="s">
        <v>923</v>
      </c>
      <c r="D1988" s="26" t="s">
        <v>3663</v>
      </c>
      <c r="E1988" s="28">
        <v>46113.0</v>
      </c>
      <c r="F1988" s="28">
        <v>46171.0</v>
      </c>
      <c r="G1988" s="29"/>
    </row>
    <row r="1989" ht="15.75" customHeight="1">
      <c r="A1989" s="30" t="s">
        <v>5653</v>
      </c>
      <c r="B1989" s="31" t="s">
        <v>316</v>
      </c>
      <c r="C1989" s="31" t="s">
        <v>3654</v>
      </c>
      <c r="D1989" s="30" t="s">
        <v>3663</v>
      </c>
      <c r="E1989" s="32">
        <v>46113.0</v>
      </c>
      <c r="F1989" s="32">
        <v>46171.0</v>
      </c>
      <c r="G1989" s="33"/>
    </row>
    <row r="1990" ht="15.75" customHeight="1">
      <c r="A1990" s="26" t="s">
        <v>5654</v>
      </c>
      <c r="B1990" s="27" t="s">
        <v>316</v>
      </c>
      <c r="C1990" s="27" t="s">
        <v>3655</v>
      </c>
      <c r="D1990" s="26" t="s">
        <v>3663</v>
      </c>
      <c r="E1990" s="28">
        <v>46113.0</v>
      </c>
      <c r="F1990" s="28">
        <v>46171.0</v>
      </c>
      <c r="G1990" s="29"/>
    </row>
    <row r="1991" ht="15.75" customHeight="1">
      <c r="A1991" s="30" t="s">
        <v>5655</v>
      </c>
      <c r="B1991" s="31" t="s">
        <v>316</v>
      </c>
      <c r="C1991" s="31" t="s">
        <v>926</v>
      </c>
      <c r="D1991" s="30" t="s">
        <v>3663</v>
      </c>
      <c r="E1991" s="32">
        <v>46113.0</v>
      </c>
      <c r="F1991" s="32">
        <v>46171.0</v>
      </c>
      <c r="G1991" s="33"/>
    </row>
    <row r="1992" ht="15.75" customHeight="1">
      <c r="A1992" s="26" t="s">
        <v>5656</v>
      </c>
      <c r="B1992" s="27" t="s">
        <v>316</v>
      </c>
      <c r="C1992" s="27" t="s">
        <v>1354</v>
      </c>
      <c r="D1992" s="26" t="s">
        <v>3663</v>
      </c>
      <c r="E1992" s="28">
        <v>46113.0</v>
      </c>
      <c r="F1992" s="28">
        <v>46171.0</v>
      </c>
      <c r="G1992" s="29"/>
    </row>
    <row r="1993" ht="15.75" customHeight="1">
      <c r="A1993" s="30" t="s">
        <v>5657</v>
      </c>
      <c r="B1993" s="31" t="s">
        <v>316</v>
      </c>
      <c r="C1993" s="31" t="s">
        <v>1277</v>
      </c>
      <c r="D1993" s="30" t="s">
        <v>3663</v>
      </c>
      <c r="E1993" s="32">
        <v>46113.0</v>
      </c>
      <c r="F1993" s="32">
        <v>46171.0</v>
      </c>
      <c r="G1993" s="33"/>
    </row>
    <row r="1994" ht="15.75" customHeight="1">
      <c r="A1994" s="26" t="s">
        <v>5658</v>
      </c>
      <c r="B1994" s="27" t="s">
        <v>316</v>
      </c>
      <c r="C1994" s="27" t="s">
        <v>1279</v>
      </c>
      <c r="D1994" s="26" t="s">
        <v>3663</v>
      </c>
      <c r="E1994" s="28">
        <v>46113.0</v>
      </c>
      <c r="F1994" s="28">
        <v>46171.0</v>
      </c>
      <c r="G1994" s="29"/>
    </row>
    <row r="1995" ht="15.75" customHeight="1">
      <c r="A1995" s="30" t="s">
        <v>5659</v>
      </c>
      <c r="B1995" s="31" t="s">
        <v>316</v>
      </c>
      <c r="C1995" s="31" t="s">
        <v>1283</v>
      </c>
      <c r="D1995" s="30" t="s">
        <v>3663</v>
      </c>
      <c r="E1995" s="32">
        <v>46113.0</v>
      </c>
      <c r="F1995" s="32">
        <v>46171.0</v>
      </c>
      <c r="G1995" s="33"/>
    </row>
    <row r="1996" ht="15.75" customHeight="1">
      <c r="A1996" s="26" t="s">
        <v>5660</v>
      </c>
      <c r="B1996" s="27" t="s">
        <v>316</v>
      </c>
      <c r="C1996" s="27" t="s">
        <v>1281</v>
      </c>
      <c r="D1996" s="26" t="s">
        <v>3663</v>
      </c>
      <c r="E1996" s="28">
        <v>46113.0</v>
      </c>
      <c r="F1996" s="28">
        <v>46171.0</v>
      </c>
      <c r="G1996" s="29"/>
    </row>
    <row r="1997" ht="15.75" customHeight="1">
      <c r="A1997" s="30" t="s">
        <v>5661</v>
      </c>
      <c r="B1997" s="31" t="s">
        <v>316</v>
      </c>
      <c r="C1997" s="31" t="s">
        <v>1218</v>
      </c>
      <c r="D1997" s="30" t="s">
        <v>3663</v>
      </c>
      <c r="E1997" s="32">
        <v>46113.0</v>
      </c>
      <c r="F1997" s="32">
        <v>46171.0</v>
      </c>
      <c r="G1997" s="33"/>
    </row>
    <row r="1998" ht="15.75" customHeight="1">
      <c r="A1998" s="26" t="s">
        <v>5662</v>
      </c>
      <c r="B1998" s="27" t="s">
        <v>316</v>
      </c>
      <c r="C1998" s="27" t="s">
        <v>1351</v>
      </c>
      <c r="D1998" s="26" t="s">
        <v>3663</v>
      </c>
      <c r="E1998" s="28">
        <v>46113.0</v>
      </c>
      <c r="F1998" s="28">
        <v>46171.0</v>
      </c>
      <c r="G1998" s="29"/>
    </row>
    <row r="1999" ht="15.75" customHeight="1">
      <c r="A1999" s="30" t="s">
        <v>5663</v>
      </c>
      <c r="B1999" s="31" t="s">
        <v>316</v>
      </c>
      <c r="C1999" s="31" t="s">
        <v>1349</v>
      </c>
      <c r="D1999" s="30" t="s">
        <v>3663</v>
      </c>
      <c r="E1999" s="32">
        <v>46113.0</v>
      </c>
      <c r="F1999" s="32">
        <v>46171.0</v>
      </c>
      <c r="G1999" s="33"/>
    </row>
    <row r="2000" ht="15.75" customHeight="1">
      <c r="A2000" s="26" t="s">
        <v>5664</v>
      </c>
      <c r="B2000" s="27" t="s">
        <v>316</v>
      </c>
      <c r="C2000" s="27" t="s">
        <v>968</v>
      </c>
      <c r="D2000" s="26" t="s">
        <v>3663</v>
      </c>
      <c r="E2000" s="28">
        <v>46113.0</v>
      </c>
      <c r="F2000" s="28">
        <v>46171.0</v>
      </c>
      <c r="G2000" s="29"/>
    </row>
    <row r="2001" ht="15.75" customHeight="1">
      <c r="A2001" s="30" t="s">
        <v>5665</v>
      </c>
      <c r="B2001" s="31" t="s">
        <v>316</v>
      </c>
      <c r="C2001" s="31" t="s">
        <v>923</v>
      </c>
      <c r="D2001" s="30" t="s">
        <v>3663</v>
      </c>
      <c r="E2001" s="32">
        <v>46113.0</v>
      </c>
      <c r="F2001" s="32">
        <v>46171.0</v>
      </c>
      <c r="G2001" s="33"/>
    </row>
    <row r="2002" ht="15.75" customHeight="1">
      <c r="A2002" s="26" t="s">
        <v>5666</v>
      </c>
      <c r="B2002" s="27" t="s">
        <v>316</v>
      </c>
      <c r="C2002" s="27" t="s">
        <v>955</v>
      </c>
      <c r="D2002" s="26" t="s">
        <v>3663</v>
      </c>
      <c r="E2002" s="28">
        <v>46113.0</v>
      </c>
      <c r="F2002" s="28">
        <v>46171.0</v>
      </c>
      <c r="G2002" s="29"/>
    </row>
    <row r="2003" ht="15.75" customHeight="1">
      <c r="A2003" s="30" t="s">
        <v>5667</v>
      </c>
      <c r="B2003" s="31" t="s">
        <v>317</v>
      </c>
      <c r="C2003" s="31" t="s">
        <v>3654</v>
      </c>
      <c r="D2003" s="30" t="s">
        <v>3663</v>
      </c>
      <c r="E2003" s="32">
        <v>46113.0</v>
      </c>
      <c r="F2003" s="32">
        <v>46171.0</v>
      </c>
      <c r="G2003" s="33"/>
    </row>
    <row r="2004" ht="15.75" customHeight="1">
      <c r="A2004" s="26" t="s">
        <v>5668</v>
      </c>
      <c r="B2004" s="27" t="s">
        <v>317</v>
      </c>
      <c r="C2004" s="27" t="s">
        <v>3655</v>
      </c>
      <c r="D2004" s="26" t="s">
        <v>3663</v>
      </c>
      <c r="E2004" s="28">
        <v>46113.0</v>
      </c>
      <c r="F2004" s="28">
        <v>46171.0</v>
      </c>
      <c r="G2004" s="29"/>
    </row>
    <row r="2005" ht="15.75" customHeight="1">
      <c r="A2005" s="30" t="s">
        <v>5669</v>
      </c>
      <c r="B2005" s="31" t="s">
        <v>317</v>
      </c>
      <c r="C2005" s="31" t="s">
        <v>934</v>
      </c>
      <c r="D2005" s="30" t="s">
        <v>3663</v>
      </c>
      <c r="E2005" s="32">
        <v>46113.0</v>
      </c>
      <c r="F2005" s="32">
        <v>46171.0</v>
      </c>
      <c r="G2005" s="33"/>
    </row>
    <row r="2006" ht="15.75" customHeight="1">
      <c r="A2006" s="26" t="s">
        <v>5670</v>
      </c>
      <c r="B2006" s="27" t="s">
        <v>317</v>
      </c>
      <c r="C2006" s="27" t="s">
        <v>1354</v>
      </c>
      <c r="D2006" s="26" t="s">
        <v>3663</v>
      </c>
      <c r="E2006" s="28">
        <v>46113.0</v>
      </c>
      <c r="F2006" s="28">
        <v>46171.0</v>
      </c>
      <c r="G2006" s="29"/>
    </row>
    <row r="2007" ht="15.75" customHeight="1">
      <c r="A2007" s="30" t="s">
        <v>5671</v>
      </c>
      <c r="B2007" s="31" t="s">
        <v>317</v>
      </c>
      <c r="C2007" s="31" t="s">
        <v>1190</v>
      </c>
      <c r="D2007" s="30" t="s">
        <v>3663</v>
      </c>
      <c r="E2007" s="32">
        <v>46113.0</v>
      </c>
      <c r="F2007" s="32">
        <v>46171.0</v>
      </c>
      <c r="G2007" s="33"/>
    </row>
    <row r="2008" ht="15.75" customHeight="1">
      <c r="A2008" s="26" t="s">
        <v>5672</v>
      </c>
      <c r="B2008" s="27" t="s">
        <v>317</v>
      </c>
      <c r="C2008" s="27" t="s">
        <v>3647</v>
      </c>
      <c r="D2008" s="26" t="s">
        <v>3663</v>
      </c>
      <c r="E2008" s="28">
        <v>46113.0</v>
      </c>
      <c r="F2008" s="28">
        <v>46171.0</v>
      </c>
      <c r="G2008" s="29"/>
    </row>
    <row r="2009" ht="15.75" customHeight="1">
      <c r="A2009" s="30" t="s">
        <v>5673</v>
      </c>
      <c r="B2009" s="31" t="s">
        <v>317</v>
      </c>
      <c r="C2009" s="31" t="s">
        <v>952</v>
      </c>
      <c r="D2009" s="30" t="s">
        <v>3663</v>
      </c>
      <c r="E2009" s="32">
        <v>46113.0</v>
      </c>
      <c r="F2009" s="32">
        <v>46171.0</v>
      </c>
      <c r="G2009" s="33"/>
    </row>
    <row r="2010" ht="15.75" customHeight="1">
      <c r="A2010" s="26" t="s">
        <v>5674</v>
      </c>
      <c r="B2010" s="27" t="s">
        <v>317</v>
      </c>
      <c r="C2010" s="27" t="s">
        <v>1216</v>
      </c>
      <c r="D2010" s="26" t="s">
        <v>3663</v>
      </c>
      <c r="E2010" s="28">
        <v>46113.0</v>
      </c>
      <c r="F2010" s="28">
        <v>46171.0</v>
      </c>
      <c r="G2010" s="29"/>
    </row>
    <row r="2011" ht="15.75" customHeight="1">
      <c r="A2011" s="30" t="s">
        <v>5675</v>
      </c>
      <c r="B2011" s="31" t="s">
        <v>317</v>
      </c>
      <c r="C2011" s="31" t="s">
        <v>1157</v>
      </c>
      <c r="D2011" s="30" t="s">
        <v>3663</v>
      </c>
      <c r="E2011" s="32">
        <v>46113.0</v>
      </c>
      <c r="F2011" s="32">
        <v>46171.0</v>
      </c>
      <c r="G2011" s="33"/>
    </row>
    <row r="2012" ht="15.75" customHeight="1">
      <c r="A2012" s="26" t="s">
        <v>5676</v>
      </c>
      <c r="B2012" s="27" t="s">
        <v>317</v>
      </c>
      <c r="C2012" s="27" t="s">
        <v>1155</v>
      </c>
      <c r="D2012" s="26" t="s">
        <v>3663</v>
      </c>
      <c r="E2012" s="28">
        <v>46113.0</v>
      </c>
      <c r="F2012" s="28">
        <v>46171.0</v>
      </c>
      <c r="G2012" s="29"/>
    </row>
    <row r="2013" ht="15.75" customHeight="1">
      <c r="A2013" s="30" t="s">
        <v>5677</v>
      </c>
      <c r="B2013" s="31" t="s">
        <v>317</v>
      </c>
      <c r="C2013" s="31" t="s">
        <v>1153</v>
      </c>
      <c r="D2013" s="30" t="s">
        <v>3663</v>
      </c>
      <c r="E2013" s="32">
        <v>46113.0</v>
      </c>
      <c r="F2013" s="32">
        <v>46171.0</v>
      </c>
      <c r="G2013" s="33"/>
    </row>
    <row r="2014" ht="15.75" customHeight="1">
      <c r="A2014" s="26" t="s">
        <v>5678</v>
      </c>
      <c r="B2014" s="27" t="s">
        <v>317</v>
      </c>
      <c r="C2014" s="27" t="s">
        <v>1149</v>
      </c>
      <c r="D2014" s="26" t="s">
        <v>3663</v>
      </c>
      <c r="E2014" s="28">
        <v>46113.0</v>
      </c>
      <c r="F2014" s="28">
        <v>46171.0</v>
      </c>
      <c r="G2014" s="29"/>
    </row>
    <row r="2015" ht="15.75" customHeight="1">
      <c r="A2015" s="30" t="s">
        <v>5679</v>
      </c>
      <c r="B2015" s="31" t="s">
        <v>317</v>
      </c>
      <c r="C2015" s="31" t="s">
        <v>965</v>
      </c>
      <c r="D2015" s="30" t="s">
        <v>3663</v>
      </c>
      <c r="E2015" s="32">
        <v>46113.0</v>
      </c>
      <c r="F2015" s="32">
        <v>46171.0</v>
      </c>
      <c r="G2015" s="33"/>
    </row>
    <row r="2016" ht="15.75" customHeight="1">
      <c r="A2016" s="26" t="s">
        <v>5680</v>
      </c>
      <c r="B2016" s="27" t="s">
        <v>317</v>
      </c>
      <c r="C2016" s="27" t="s">
        <v>923</v>
      </c>
      <c r="D2016" s="26" t="s">
        <v>3663</v>
      </c>
      <c r="E2016" s="28">
        <v>46113.0</v>
      </c>
      <c r="F2016" s="28">
        <v>46171.0</v>
      </c>
      <c r="G2016" s="29"/>
    </row>
    <row r="2017" ht="15.75" customHeight="1">
      <c r="A2017" s="30" t="s">
        <v>5681</v>
      </c>
      <c r="B2017" s="31" t="s">
        <v>318</v>
      </c>
      <c r="C2017" s="31" t="s">
        <v>3654</v>
      </c>
      <c r="D2017" s="30" t="s">
        <v>3663</v>
      </c>
      <c r="E2017" s="32">
        <v>46113.0</v>
      </c>
      <c r="F2017" s="32">
        <v>46171.0</v>
      </c>
      <c r="G2017" s="33"/>
    </row>
    <row r="2018" ht="15.75" customHeight="1">
      <c r="A2018" s="26" t="s">
        <v>5682</v>
      </c>
      <c r="B2018" s="27" t="s">
        <v>318</v>
      </c>
      <c r="C2018" s="27" t="s">
        <v>3655</v>
      </c>
      <c r="D2018" s="26" t="s">
        <v>3663</v>
      </c>
      <c r="E2018" s="28">
        <v>46113.0</v>
      </c>
      <c r="F2018" s="28">
        <v>46171.0</v>
      </c>
      <c r="G2018" s="29"/>
    </row>
    <row r="2019" ht="15.75" customHeight="1">
      <c r="A2019" s="30" t="s">
        <v>5683</v>
      </c>
      <c r="B2019" s="31" t="s">
        <v>318</v>
      </c>
      <c r="C2019" s="31" t="s">
        <v>930</v>
      </c>
      <c r="D2019" s="31" t="s">
        <v>3663</v>
      </c>
      <c r="E2019" s="32">
        <v>46113.0</v>
      </c>
      <c r="F2019" s="32">
        <v>46171.0</v>
      </c>
      <c r="G2019" s="33"/>
    </row>
    <row r="2020" ht="15.75" customHeight="1">
      <c r="A2020" s="26" t="s">
        <v>5684</v>
      </c>
      <c r="B2020" s="27" t="s">
        <v>318</v>
      </c>
      <c r="C2020" s="27" t="s">
        <v>1354</v>
      </c>
      <c r="D2020" s="26" t="s">
        <v>3663</v>
      </c>
      <c r="E2020" s="28">
        <v>46113.0</v>
      </c>
      <c r="F2020" s="28">
        <v>46171.0</v>
      </c>
      <c r="G2020" s="29"/>
    </row>
    <row r="2021" ht="15.75" customHeight="1">
      <c r="A2021" s="30" t="s">
        <v>5685</v>
      </c>
      <c r="B2021" s="31" t="s">
        <v>318</v>
      </c>
      <c r="C2021" s="31" t="s">
        <v>1304</v>
      </c>
      <c r="D2021" s="31" t="s">
        <v>3663</v>
      </c>
      <c r="E2021" s="32">
        <v>46113.0</v>
      </c>
      <c r="F2021" s="32">
        <v>46171.0</v>
      </c>
      <c r="G2021" s="33"/>
    </row>
    <row r="2022" ht="15.75" customHeight="1">
      <c r="A2022" s="26" t="s">
        <v>5686</v>
      </c>
      <c r="B2022" s="27" t="s">
        <v>318</v>
      </c>
      <c r="C2022" s="27" t="s">
        <v>1306</v>
      </c>
      <c r="D2022" s="27" t="s">
        <v>3663</v>
      </c>
      <c r="E2022" s="28">
        <v>46113.0</v>
      </c>
      <c r="F2022" s="28">
        <v>46171.0</v>
      </c>
      <c r="G2022" s="29"/>
    </row>
    <row r="2023" ht="15.75" customHeight="1">
      <c r="A2023" s="30" t="s">
        <v>5687</v>
      </c>
      <c r="B2023" s="31" t="s">
        <v>318</v>
      </c>
      <c r="C2023" s="31" t="s">
        <v>1308</v>
      </c>
      <c r="D2023" s="31" t="s">
        <v>3663</v>
      </c>
      <c r="E2023" s="32">
        <v>46113.0</v>
      </c>
      <c r="F2023" s="32">
        <v>46171.0</v>
      </c>
      <c r="G2023" s="33"/>
    </row>
    <row r="2024" ht="15.75" customHeight="1">
      <c r="A2024" s="26" t="s">
        <v>5688</v>
      </c>
      <c r="B2024" s="27" t="s">
        <v>318</v>
      </c>
      <c r="C2024" s="27" t="s">
        <v>1310</v>
      </c>
      <c r="D2024" s="27" t="s">
        <v>3663</v>
      </c>
      <c r="E2024" s="28">
        <v>46113.0</v>
      </c>
      <c r="F2024" s="28">
        <v>46171.0</v>
      </c>
      <c r="G2024" s="29"/>
    </row>
    <row r="2025" ht="15.75" customHeight="1">
      <c r="A2025" s="30" t="s">
        <v>5689</v>
      </c>
      <c r="B2025" s="31" t="s">
        <v>318</v>
      </c>
      <c r="C2025" s="31" t="s">
        <v>1172</v>
      </c>
      <c r="D2025" s="30" t="s">
        <v>3663</v>
      </c>
      <c r="E2025" s="32">
        <v>46113.0</v>
      </c>
      <c r="F2025" s="32">
        <v>46171.0</v>
      </c>
      <c r="G2025" s="34"/>
    </row>
    <row r="2026" ht="15.75" customHeight="1">
      <c r="A2026" s="26" t="s">
        <v>5690</v>
      </c>
      <c r="B2026" s="27" t="s">
        <v>318</v>
      </c>
      <c r="C2026" s="27" t="s">
        <v>1312</v>
      </c>
      <c r="D2026" s="26" t="s">
        <v>3663</v>
      </c>
      <c r="E2026" s="28">
        <v>46113.0</v>
      </c>
      <c r="F2026" s="28">
        <v>46171.0</v>
      </c>
      <c r="G2026" s="29"/>
    </row>
    <row r="2027" ht="15.75" customHeight="1">
      <c r="A2027" s="30" t="s">
        <v>5691</v>
      </c>
      <c r="B2027" s="31" t="s">
        <v>318</v>
      </c>
      <c r="C2027" s="31" t="s">
        <v>3647</v>
      </c>
      <c r="D2027" s="30" t="s">
        <v>3663</v>
      </c>
      <c r="E2027" s="32">
        <v>46113.0</v>
      </c>
      <c r="F2027" s="32">
        <v>46171.0</v>
      </c>
      <c r="G2027" s="33"/>
    </row>
    <row r="2028" ht="15.75" customHeight="1">
      <c r="A2028" s="26" t="s">
        <v>5692</v>
      </c>
      <c r="B2028" s="27" t="s">
        <v>318</v>
      </c>
      <c r="C2028" s="27" t="s">
        <v>952</v>
      </c>
      <c r="D2028" s="26" t="s">
        <v>3663</v>
      </c>
      <c r="E2028" s="28">
        <v>46113.0</v>
      </c>
      <c r="F2028" s="28">
        <v>46171.0</v>
      </c>
      <c r="G2028" s="29"/>
    </row>
    <row r="2029" ht="15.75" customHeight="1">
      <c r="A2029" s="30" t="s">
        <v>5693</v>
      </c>
      <c r="B2029" s="31" t="s">
        <v>318</v>
      </c>
      <c r="C2029" s="31" t="s">
        <v>968</v>
      </c>
      <c r="D2029" s="30" t="s">
        <v>3663</v>
      </c>
      <c r="E2029" s="32">
        <v>46113.0</v>
      </c>
      <c r="F2029" s="32">
        <v>46171.0</v>
      </c>
      <c r="G2029" s="33"/>
    </row>
    <row r="2030" ht="15.75" customHeight="1">
      <c r="A2030" s="26" t="s">
        <v>5694</v>
      </c>
      <c r="B2030" s="27" t="s">
        <v>318</v>
      </c>
      <c r="C2030" s="27" t="s">
        <v>923</v>
      </c>
      <c r="D2030" s="27" t="s">
        <v>3663</v>
      </c>
      <c r="E2030" s="28">
        <v>46113.0</v>
      </c>
      <c r="F2030" s="28">
        <v>46171.0</v>
      </c>
      <c r="G2030" s="29"/>
    </row>
    <row r="2031" ht="15.75" customHeight="1">
      <c r="A2031" s="30" t="s">
        <v>5695</v>
      </c>
      <c r="B2031" s="31" t="s">
        <v>319</v>
      </c>
      <c r="C2031" s="31" t="s">
        <v>3654</v>
      </c>
      <c r="D2031" s="30" t="s">
        <v>3663</v>
      </c>
      <c r="E2031" s="32">
        <v>46113.0</v>
      </c>
      <c r="F2031" s="32">
        <v>46171.0</v>
      </c>
      <c r="G2031" s="33"/>
    </row>
    <row r="2032" ht="15.75" customHeight="1">
      <c r="A2032" s="26" t="s">
        <v>5696</v>
      </c>
      <c r="B2032" s="27" t="s">
        <v>319</v>
      </c>
      <c r="C2032" s="27" t="s">
        <v>3655</v>
      </c>
      <c r="D2032" s="26" t="s">
        <v>3663</v>
      </c>
      <c r="E2032" s="28">
        <v>46113.0</v>
      </c>
      <c r="F2032" s="28">
        <v>46171.0</v>
      </c>
      <c r="G2032" s="29"/>
    </row>
    <row r="2033" ht="15.75" customHeight="1">
      <c r="A2033" s="30" t="s">
        <v>5697</v>
      </c>
      <c r="B2033" s="31" t="s">
        <v>319</v>
      </c>
      <c r="C2033" s="31" t="s">
        <v>934</v>
      </c>
      <c r="D2033" s="30" t="s">
        <v>3663</v>
      </c>
      <c r="E2033" s="32">
        <v>46113.0</v>
      </c>
      <c r="F2033" s="32">
        <v>46171.0</v>
      </c>
      <c r="G2033" s="33"/>
    </row>
    <row r="2034" ht="15.75" customHeight="1">
      <c r="A2034" s="26" t="s">
        <v>5698</v>
      </c>
      <c r="B2034" s="27" t="s">
        <v>319</v>
      </c>
      <c r="C2034" s="27" t="s">
        <v>1354</v>
      </c>
      <c r="D2034" s="26" t="s">
        <v>3663</v>
      </c>
      <c r="E2034" s="28">
        <v>46113.0</v>
      </c>
      <c r="F2034" s="28">
        <v>46171.0</v>
      </c>
      <c r="G2034" s="29"/>
    </row>
    <row r="2035" ht="15.75" customHeight="1">
      <c r="A2035" s="30" t="s">
        <v>5699</v>
      </c>
      <c r="B2035" s="31" t="s">
        <v>319</v>
      </c>
      <c r="C2035" s="31" t="s">
        <v>1190</v>
      </c>
      <c r="D2035" s="30" t="s">
        <v>3663</v>
      </c>
      <c r="E2035" s="32">
        <v>46113.0</v>
      </c>
      <c r="F2035" s="32">
        <v>46171.0</v>
      </c>
      <c r="G2035" s="33"/>
    </row>
    <row r="2036" ht="15.75" customHeight="1">
      <c r="A2036" s="26" t="s">
        <v>5700</v>
      </c>
      <c r="B2036" s="27" t="s">
        <v>319</v>
      </c>
      <c r="C2036" s="27" t="s">
        <v>3647</v>
      </c>
      <c r="D2036" s="26" t="s">
        <v>3663</v>
      </c>
      <c r="E2036" s="28">
        <v>46113.0</v>
      </c>
      <c r="F2036" s="28">
        <v>46171.0</v>
      </c>
      <c r="G2036" s="29"/>
    </row>
    <row r="2037" ht="15.75" customHeight="1">
      <c r="A2037" s="30" t="s">
        <v>5701</v>
      </c>
      <c r="B2037" s="31" t="s">
        <v>319</v>
      </c>
      <c r="C2037" s="31" t="s">
        <v>952</v>
      </c>
      <c r="D2037" s="30" t="s">
        <v>3663</v>
      </c>
      <c r="E2037" s="32">
        <v>46113.0</v>
      </c>
      <c r="F2037" s="32">
        <v>46171.0</v>
      </c>
      <c r="G2037" s="33"/>
    </row>
    <row r="2038" ht="15.75" customHeight="1">
      <c r="A2038" s="26" t="s">
        <v>5702</v>
      </c>
      <c r="B2038" s="27" t="s">
        <v>319</v>
      </c>
      <c r="C2038" s="27" t="s">
        <v>1157</v>
      </c>
      <c r="D2038" s="26" t="s">
        <v>3663</v>
      </c>
      <c r="E2038" s="28">
        <v>46113.0</v>
      </c>
      <c r="F2038" s="28">
        <v>46171.0</v>
      </c>
      <c r="G2038" s="29"/>
    </row>
    <row r="2039" ht="15.75" customHeight="1">
      <c r="A2039" s="30" t="s">
        <v>5703</v>
      </c>
      <c r="B2039" s="31" t="s">
        <v>319</v>
      </c>
      <c r="C2039" s="31" t="s">
        <v>1155</v>
      </c>
      <c r="D2039" s="30" t="s">
        <v>3663</v>
      </c>
      <c r="E2039" s="32">
        <v>46113.0</v>
      </c>
      <c r="F2039" s="32">
        <v>46171.0</v>
      </c>
      <c r="G2039" s="33"/>
    </row>
    <row r="2040" ht="15.75" customHeight="1">
      <c r="A2040" s="26" t="s">
        <v>5704</v>
      </c>
      <c r="B2040" s="27" t="s">
        <v>319</v>
      </c>
      <c r="C2040" s="27" t="s">
        <v>1153</v>
      </c>
      <c r="D2040" s="26" t="s">
        <v>3663</v>
      </c>
      <c r="E2040" s="28">
        <v>46113.0</v>
      </c>
      <c r="F2040" s="28">
        <v>46171.0</v>
      </c>
      <c r="G2040" s="29"/>
    </row>
    <row r="2041" ht="15.75" customHeight="1">
      <c r="A2041" s="30" t="s">
        <v>5705</v>
      </c>
      <c r="B2041" s="31" t="s">
        <v>319</v>
      </c>
      <c r="C2041" s="31" t="s">
        <v>1149</v>
      </c>
      <c r="D2041" s="30" t="s">
        <v>3663</v>
      </c>
      <c r="E2041" s="32">
        <v>46113.0</v>
      </c>
      <c r="F2041" s="32">
        <v>46171.0</v>
      </c>
      <c r="G2041" s="33"/>
    </row>
    <row r="2042" ht="15.75" customHeight="1">
      <c r="A2042" s="26" t="s">
        <v>5706</v>
      </c>
      <c r="B2042" s="27" t="s">
        <v>319</v>
      </c>
      <c r="C2042" s="27" t="s">
        <v>965</v>
      </c>
      <c r="D2042" s="26" t="s">
        <v>3663</v>
      </c>
      <c r="E2042" s="28">
        <v>46113.0</v>
      </c>
      <c r="F2042" s="28">
        <v>46171.0</v>
      </c>
      <c r="G2042" s="29"/>
    </row>
    <row r="2043" ht="15.75" customHeight="1">
      <c r="A2043" s="30" t="s">
        <v>5707</v>
      </c>
      <c r="B2043" s="31" t="s">
        <v>319</v>
      </c>
      <c r="C2043" s="31" t="s">
        <v>923</v>
      </c>
      <c r="D2043" s="30" t="s">
        <v>3663</v>
      </c>
      <c r="E2043" s="32">
        <v>46113.0</v>
      </c>
      <c r="F2043" s="32">
        <v>46171.0</v>
      </c>
      <c r="G2043" s="33"/>
    </row>
    <row r="2044" ht="15.75" customHeight="1">
      <c r="A2044" s="26" t="s">
        <v>5708</v>
      </c>
      <c r="B2044" s="27" t="s">
        <v>319</v>
      </c>
      <c r="C2044" s="27" t="s">
        <v>961</v>
      </c>
      <c r="D2044" s="26" t="s">
        <v>3663</v>
      </c>
      <c r="E2044" s="28">
        <v>46113.0</v>
      </c>
      <c r="F2044" s="28">
        <v>46171.0</v>
      </c>
      <c r="G2044" s="29"/>
    </row>
    <row r="2045" ht="15.75" customHeight="1">
      <c r="A2045" s="30" t="s">
        <v>5709</v>
      </c>
      <c r="B2045" s="31" t="s">
        <v>320</v>
      </c>
      <c r="C2045" s="31" t="s">
        <v>934</v>
      </c>
      <c r="D2045" s="30" t="s">
        <v>3663</v>
      </c>
      <c r="E2045" s="32">
        <v>46113.0</v>
      </c>
      <c r="F2045" s="32">
        <v>46171.0</v>
      </c>
      <c r="G2045" s="33"/>
    </row>
    <row r="2046" ht="15.75" customHeight="1">
      <c r="A2046" s="26" t="s">
        <v>5710</v>
      </c>
      <c r="B2046" s="27" t="s">
        <v>320</v>
      </c>
      <c r="C2046" s="27" t="s">
        <v>1354</v>
      </c>
      <c r="D2046" s="26" t="s">
        <v>3663</v>
      </c>
      <c r="E2046" s="28">
        <v>46113.0</v>
      </c>
      <c r="F2046" s="28">
        <v>46171.0</v>
      </c>
      <c r="G2046" s="29"/>
    </row>
    <row r="2047" ht="15.75" customHeight="1">
      <c r="A2047" s="30" t="s">
        <v>5711</v>
      </c>
      <c r="B2047" s="31" t="s">
        <v>320</v>
      </c>
      <c r="C2047" s="31" t="s">
        <v>1190</v>
      </c>
      <c r="D2047" s="30" t="s">
        <v>3663</v>
      </c>
      <c r="E2047" s="32">
        <v>46113.0</v>
      </c>
      <c r="F2047" s="32">
        <v>46171.0</v>
      </c>
      <c r="G2047" s="33"/>
    </row>
    <row r="2048" ht="15.75" customHeight="1">
      <c r="A2048" s="26" t="s">
        <v>5712</v>
      </c>
      <c r="B2048" s="27" t="s">
        <v>320</v>
      </c>
      <c r="C2048" s="27" t="s">
        <v>3656</v>
      </c>
      <c r="D2048" s="26" t="s">
        <v>3663</v>
      </c>
      <c r="E2048" s="28">
        <v>46113.0</v>
      </c>
      <c r="F2048" s="28">
        <v>46171.0</v>
      </c>
      <c r="G2048" s="29"/>
    </row>
    <row r="2049" ht="15.75" customHeight="1">
      <c r="A2049" s="30" t="s">
        <v>5713</v>
      </c>
      <c r="B2049" s="31" t="s">
        <v>320</v>
      </c>
      <c r="C2049" s="31" t="s">
        <v>3657</v>
      </c>
      <c r="D2049" s="30" t="s">
        <v>3663</v>
      </c>
      <c r="E2049" s="32">
        <v>46113.0</v>
      </c>
      <c r="F2049" s="32">
        <v>46171.0</v>
      </c>
      <c r="G2049" s="33"/>
    </row>
    <row r="2050" ht="15.75" customHeight="1">
      <c r="A2050" s="26" t="s">
        <v>5714</v>
      </c>
      <c r="B2050" s="27" t="s">
        <v>320</v>
      </c>
      <c r="C2050" s="27" t="s">
        <v>1157</v>
      </c>
      <c r="D2050" s="26" t="s">
        <v>3663</v>
      </c>
      <c r="E2050" s="28">
        <v>46113.0</v>
      </c>
      <c r="F2050" s="28">
        <v>46171.0</v>
      </c>
      <c r="G2050" s="29"/>
    </row>
    <row r="2051" ht="15.75" customHeight="1">
      <c r="A2051" s="30" t="s">
        <v>5715</v>
      </c>
      <c r="B2051" s="31" t="s">
        <v>320</v>
      </c>
      <c r="C2051" s="31" t="s">
        <v>1155</v>
      </c>
      <c r="D2051" s="30" t="s">
        <v>3663</v>
      </c>
      <c r="E2051" s="32">
        <v>46113.0</v>
      </c>
      <c r="F2051" s="32">
        <v>46171.0</v>
      </c>
      <c r="G2051" s="33"/>
    </row>
    <row r="2052" ht="15.75" customHeight="1">
      <c r="A2052" s="26" t="s">
        <v>5716</v>
      </c>
      <c r="B2052" s="27" t="s">
        <v>320</v>
      </c>
      <c r="C2052" s="27" t="s">
        <v>1153</v>
      </c>
      <c r="D2052" s="26" t="s">
        <v>3663</v>
      </c>
      <c r="E2052" s="28">
        <v>46113.0</v>
      </c>
      <c r="F2052" s="28">
        <v>46171.0</v>
      </c>
      <c r="G2052" s="29"/>
    </row>
    <row r="2053" ht="15.75" customHeight="1">
      <c r="A2053" s="30" t="s">
        <v>5717</v>
      </c>
      <c r="B2053" s="31" t="s">
        <v>320</v>
      </c>
      <c r="C2053" s="31" t="s">
        <v>1149</v>
      </c>
      <c r="D2053" s="30" t="s">
        <v>3663</v>
      </c>
      <c r="E2053" s="32">
        <v>46113.0</v>
      </c>
      <c r="F2053" s="32">
        <v>46171.0</v>
      </c>
      <c r="G2053" s="33"/>
    </row>
    <row r="2054" ht="15.75" customHeight="1">
      <c r="A2054" s="26" t="s">
        <v>5718</v>
      </c>
      <c r="B2054" s="27" t="s">
        <v>320</v>
      </c>
      <c r="C2054" s="27" t="s">
        <v>1351</v>
      </c>
      <c r="D2054" s="26" t="s">
        <v>3663</v>
      </c>
      <c r="E2054" s="28">
        <v>46113.0</v>
      </c>
      <c r="F2054" s="28">
        <v>46171.0</v>
      </c>
      <c r="G2054" s="29"/>
    </row>
    <row r="2055" ht="15.75" customHeight="1">
      <c r="A2055" s="30" t="s">
        <v>5719</v>
      </c>
      <c r="B2055" s="31" t="s">
        <v>320</v>
      </c>
      <c r="C2055" s="31" t="s">
        <v>1349</v>
      </c>
      <c r="D2055" s="30" t="s">
        <v>3663</v>
      </c>
      <c r="E2055" s="32">
        <v>46113.0</v>
      </c>
      <c r="F2055" s="32">
        <v>46171.0</v>
      </c>
      <c r="G2055" s="33"/>
    </row>
    <row r="2056" ht="15.75" customHeight="1">
      <c r="A2056" s="26" t="s">
        <v>5720</v>
      </c>
      <c r="B2056" s="27" t="s">
        <v>320</v>
      </c>
      <c r="C2056" s="27" t="s">
        <v>965</v>
      </c>
      <c r="D2056" s="26" t="s">
        <v>3663</v>
      </c>
      <c r="E2056" s="28">
        <v>46113.0</v>
      </c>
      <c r="F2056" s="28">
        <v>46171.0</v>
      </c>
      <c r="G2056" s="29"/>
    </row>
    <row r="2057" ht="15.75" customHeight="1">
      <c r="A2057" s="30" t="s">
        <v>5721</v>
      </c>
      <c r="B2057" s="31" t="s">
        <v>320</v>
      </c>
      <c r="C2057" s="31" t="s">
        <v>923</v>
      </c>
      <c r="D2057" s="30" t="s">
        <v>3663</v>
      </c>
      <c r="E2057" s="32">
        <v>46113.0</v>
      </c>
      <c r="F2057" s="32">
        <v>46171.0</v>
      </c>
      <c r="G2057" s="33"/>
    </row>
    <row r="2058" ht="15.75" customHeight="1">
      <c r="A2058" s="26" t="s">
        <v>5722</v>
      </c>
      <c r="B2058" s="27" t="s">
        <v>320</v>
      </c>
      <c r="C2058" s="27" t="s">
        <v>961</v>
      </c>
      <c r="D2058" s="26" t="s">
        <v>3663</v>
      </c>
      <c r="E2058" s="28">
        <v>46113.0</v>
      </c>
      <c r="F2058" s="28">
        <v>46171.0</v>
      </c>
      <c r="G2058" s="29"/>
    </row>
    <row r="2059" ht="15.75" customHeight="1">
      <c r="A2059" s="30" t="s">
        <v>5723</v>
      </c>
      <c r="B2059" s="31" t="s">
        <v>321</v>
      </c>
      <c r="C2059" s="31" t="s">
        <v>930</v>
      </c>
      <c r="D2059" s="30" t="s">
        <v>3663</v>
      </c>
      <c r="E2059" s="32">
        <v>46113.0</v>
      </c>
      <c r="F2059" s="32">
        <v>46171.0</v>
      </c>
      <c r="G2059" s="33"/>
    </row>
    <row r="2060" ht="15.75" customHeight="1">
      <c r="A2060" s="26" t="s">
        <v>5724</v>
      </c>
      <c r="B2060" s="27" t="s">
        <v>321</v>
      </c>
      <c r="C2060" s="27" t="s">
        <v>1354</v>
      </c>
      <c r="D2060" s="26" t="s">
        <v>3663</v>
      </c>
      <c r="E2060" s="28">
        <v>46113.0</v>
      </c>
      <c r="F2060" s="28">
        <v>46171.0</v>
      </c>
      <c r="G2060" s="29"/>
    </row>
    <row r="2061" ht="15.75" customHeight="1">
      <c r="A2061" s="30" t="s">
        <v>5725</v>
      </c>
      <c r="B2061" s="31" t="s">
        <v>321</v>
      </c>
      <c r="C2061" s="31" t="s">
        <v>1304</v>
      </c>
      <c r="D2061" s="30" t="s">
        <v>3663</v>
      </c>
      <c r="E2061" s="32">
        <v>46113.0</v>
      </c>
      <c r="F2061" s="32">
        <v>46171.0</v>
      </c>
      <c r="G2061" s="33"/>
    </row>
    <row r="2062" ht="15.75" customHeight="1">
      <c r="A2062" s="26" t="s">
        <v>5726</v>
      </c>
      <c r="B2062" s="27" t="s">
        <v>321</v>
      </c>
      <c r="C2062" s="27" t="s">
        <v>1306</v>
      </c>
      <c r="D2062" s="26" t="s">
        <v>3663</v>
      </c>
      <c r="E2062" s="28">
        <v>46113.0</v>
      </c>
      <c r="F2062" s="28">
        <v>46171.0</v>
      </c>
      <c r="G2062" s="29"/>
    </row>
    <row r="2063" ht="15.75" customHeight="1">
      <c r="A2063" s="30" t="s">
        <v>5727</v>
      </c>
      <c r="B2063" s="31" t="s">
        <v>321</v>
      </c>
      <c r="C2063" s="31" t="s">
        <v>1308</v>
      </c>
      <c r="D2063" s="30" t="s">
        <v>3663</v>
      </c>
      <c r="E2063" s="32">
        <v>46113.0</v>
      </c>
      <c r="F2063" s="32">
        <v>46171.0</v>
      </c>
      <c r="G2063" s="33"/>
    </row>
    <row r="2064" ht="15.75" customHeight="1">
      <c r="A2064" s="26" t="s">
        <v>5728</v>
      </c>
      <c r="B2064" s="27" t="s">
        <v>321</v>
      </c>
      <c r="C2064" s="27" t="s">
        <v>1310</v>
      </c>
      <c r="D2064" s="26" t="s">
        <v>3663</v>
      </c>
      <c r="E2064" s="28">
        <v>46113.0</v>
      </c>
      <c r="F2064" s="28">
        <v>46171.0</v>
      </c>
      <c r="G2064" s="29"/>
    </row>
    <row r="2065" ht="15.75" customHeight="1">
      <c r="A2065" s="30" t="s">
        <v>5729</v>
      </c>
      <c r="B2065" s="31" t="s">
        <v>321</v>
      </c>
      <c r="C2065" s="31" t="s">
        <v>1172</v>
      </c>
      <c r="D2065" s="30" t="s">
        <v>3663</v>
      </c>
      <c r="E2065" s="32">
        <v>46113.0</v>
      </c>
      <c r="F2065" s="32">
        <v>46171.0</v>
      </c>
      <c r="G2065" s="33"/>
    </row>
    <row r="2066" ht="15.75" customHeight="1">
      <c r="A2066" s="26" t="s">
        <v>5730</v>
      </c>
      <c r="B2066" s="27" t="s">
        <v>321</v>
      </c>
      <c r="C2066" s="27" t="s">
        <v>1312</v>
      </c>
      <c r="D2066" s="26" t="s">
        <v>3663</v>
      </c>
      <c r="E2066" s="28">
        <v>46113.0</v>
      </c>
      <c r="F2066" s="28">
        <v>46171.0</v>
      </c>
      <c r="G2066" s="29"/>
    </row>
    <row r="2067" ht="15.75" customHeight="1">
      <c r="A2067" s="30" t="s">
        <v>5731</v>
      </c>
      <c r="B2067" s="31" t="s">
        <v>321</v>
      </c>
      <c r="C2067" s="31" t="s">
        <v>3656</v>
      </c>
      <c r="D2067" s="30" t="s">
        <v>3663</v>
      </c>
      <c r="E2067" s="32">
        <v>46113.0</v>
      </c>
      <c r="F2067" s="32">
        <v>46171.0</v>
      </c>
      <c r="G2067" s="33"/>
    </row>
    <row r="2068" ht="15.75" customHeight="1">
      <c r="A2068" s="26" t="s">
        <v>5732</v>
      </c>
      <c r="B2068" s="27" t="s">
        <v>321</v>
      </c>
      <c r="C2068" s="27" t="s">
        <v>3657</v>
      </c>
      <c r="D2068" s="26" t="s">
        <v>3663</v>
      </c>
      <c r="E2068" s="28">
        <v>46113.0</v>
      </c>
      <c r="F2068" s="28">
        <v>46171.0</v>
      </c>
      <c r="G2068" s="29"/>
    </row>
    <row r="2069" ht="15.75" customHeight="1">
      <c r="A2069" s="30" t="s">
        <v>5733</v>
      </c>
      <c r="B2069" s="31" t="s">
        <v>321</v>
      </c>
      <c r="C2069" s="31" t="s">
        <v>1351</v>
      </c>
      <c r="D2069" s="30" t="s">
        <v>3663</v>
      </c>
      <c r="E2069" s="32">
        <v>46113.0</v>
      </c>
      <c r="F2069" s="32">
        <v>46171.0</v>
      </c>
      <c r="G2069" s="33"/>
    </row>
    <row r="2070" ht="15.75" customHeight="1">
      <c r="A2070" s="26" t="s">
        <v>5734</v>
      </c>
      <c r="B2070" s="27" t="s">
        <v>321</v>
      </c>
      <c r="C2070" s="27" t="s">
        <v>1349</v>
      </c>
      <c r="D2070" s="26" t="s">
        <v>3663</v>
      </c>
      <c r="E2070" s="28">
        <v>46113.0</v>
      </c>
      <c r="F2070" s="28">
        <v>46171.0</v>
      </c>
      <c r="G2070" s="29"/>
    </row>
    <row r="2071" ht="15.75" customHeight="1">
      <c r="A2071" s="30" t="s">
        <v>5735</v>
      </c>
      <c r="B2071" s="31" t="s">
        <v>321</v>
      </c>
      <c r="C2071" s="31" t="s">
        <v>968</v>
      </c>
      <c r="D2071" s="30" t="s">
        <v>3663</v>
      </c>
      <c r="E2071" s="32">
        <v>46113.0</v>
      </c>
      <c r="F2071" s="32">
        <v>46171.0</v>
      </c>
      <c r="G2071" s="33"/>
    </row>
    <row r="2072" ht="15.75" customHeight="1">
      <c r="A2072" s="26" t="s">
        <v>5736</v>
      </c>
      <c r="B2072" s="27" t="s">
        <v>321</v>
      </c>
      <c r="C2072" s="27" t="s">
        <v>923</v>
      </c>
      <c r="D2072" s="26" t="s">
        <v>3663</v>
      </c>
      <c r="E2072" s="28">
        <v>46113.0</v>
      </c>
      <c r="F2072" s="28">
        <v>46171.0</v>
      </c>
      <c r="G2072" s="29"/>
    </row>
    <row r="2073" ht="15.75" customHeight="1">
      <c r="A2073" s="30" t="s">
        <v>5737</v>
      </c>
      <c r="B2073" s="31" t="s">
        <v>322</v>
      </c>
      <c r="C2073" s="31" t="s">
        <v>1240</v>
      </c>
      <c r="D2073" s="30" t="s">
        <v>3663</v>
      </c>
      <c r="E2073" s="32">
        <v>46113.0</v>
      </c>
      <c r="F2073" s="32">
        <v>46171.0</v>
      </c>
      <c r="G2073" s="33"/>
    </row>
    <row r="2074" ht="15.75" customHeight="1">
      <c r="A2074" s="26" t="s">
        <v>5738</v>
      </c>
      <c r="B2074" s="27" t="s">
        <v>322</v>
      </c>
      <c r="C2074" s="27" t="s">
        <v>1242</v>
      </c>
      <c r="D2074" s="26" t="s">
        <v>3663</v>
      </c>
      <c r="E2074" s="28">
        <v>46113.0</v>
      </c>
      <c r="F2074" s="28">
        <v>46171.0</v>
      </c>
      <c r="G2074" s="29"/>
    </row>
    <row r="2075" ht="15.75" customHeight="1">
      <c r="A2075" s="30" t="s">
        <v>5739</v>
      </c>
      <c r="B2075" s="31" t="s">
        <v>322</v>
      </c>
      <c r="C2075" s="31" t="s">
        <v>1244</v>
      </c>
      <c r="D2075" s="30" t="s">
        <v>3663</v>
      </c>
      <c r="E2075" s="32">
        <v>46113.0</v>
      </c>
      <c r="F2075" s="32">
        <v>46171.0</v>
      </c>
      <c r="G2075" s="33"/>
    </row>
    <row r="2076" ht="15.75" customHeight="1">
      <c r="A2076" s="26" t="s">
        <v>5740</v>
      </c>
      <c r="B2076" s="27" t="s">
        <v>322</v>
      </c>
      <c r="C2076" s="27" t="s">
        <v>1246</v>
      </c>
      <c r="D2076" s="26" t="s">
        <v>3663</v>
      </c>
      <c r="E2076" s="28">
        <v>46113.0</v>
      </c>
      <c r="F2076" s="28">
        <v>46171.0</v>
      </c>
      <c r="G2076" s="29"/>
    </row>
    <row r="2077" ht="15.75" customHeight="1">
      <c r="A2077" s="30" t="s">
        <v>5741</v>
      </c>
      <c r="B2077" s="31" t="s">
        <v>322</v>
      </c>
      <c r="C2077" s="31" t="s">
        <v>934</v>
      </c>
      <c r="D2077" s="30" t="s">
        <v>3663</v>
      </c>
      <c r="E2077" s="32">
        <v>46113.0</v>
      </c>
      <c r="F2077" s="32">
        <v>46171.0</v>
      </c>
      <c r="G2077" s="33"/>
    </row>
    <row r="2078" ht="15.75" customHeight="1">
      <c r="A2078" s="26" t="s">
        <v>5742</v>
      </c>
      <c r="B2078" s="27" t="s">
        <v>322</v>
      </c>
      <c r="C2078" s="27" t="s">
        <v>1354</v>
      </c>
      <c r="D2078" s="26" t="s">
        <v>3663</v>
      </c>
      <c r="E2078" s="28">
        <v>46113.0</v>
      </c>
      <c r="F2078" s="28">
        <v>46171.0</v>
      </c>
      <c r="G2078" s="29"/>
    </row>
    <row r="2079" ht="15.75" customHeight="1">
      <c r="A2079" s="30" t="s">
        <v>5743</v>
      </c>
      <c r="B2079" s="31" t="s">
        <v>322</v>
      </c>
      <c r="C2079" s="31" t="s">
        <v>3656</v>
      </c>
      <c r="D2079" s="30" t="s">
        <v>3663</v>
      </c>
      <c r="E2079" s="32">
        <v>46113.0</v>
      </c>
      <c r="F2079" s="32">
        <v>46171.0</v>
      </c>
      <c r="G2079" s="33"/>
    </row>
    <row r="2080" ht="15.75" customHeight="1">
      <c r="A2080" s="26" t="s">
        <v>5744</v>
      </c>
      <c r="B2080" s="27" t="s">
        <v>322</v>
      </c>
      <c r="C2080" s="27" t="s">
        <v>3657</v>
      </c>
      <c r="D2080" s="26" t="s">
        <v>3663</v>
      </c>
      <c r="E2080" s="28">
        <v>46113.0</v>
      </c>
      <c r="F2080" s="28">
        <v>46171.0</v>
      </c>
      <c r="G2080" s="29"/>
    </row>
    <row r="2081" ht="15.75" customHeight="1">
      <c r="A2081" s="30" t="s">
        <v>5745</v>
      </c>
      <c r="B2081" s="31" t="s">
        <v>322</v>
      </c>
      <c r="C2081" s="31" t="s">
        <v>3647</v>
      </c>
      <c r="D2081" s="30" t="s">
        <v>3663</v>
      </c>
      <c r="E2081" s="32">
        <v>46113.0</v>
      </c>
      <c r="F2081" s="32">
        <v>46171.0</v>
      </c>
      <c r="G2081" s="33"/>
    </row>
    <row r="2082" ht="15.75" customHeight="1">
      <c r="A2082" s="26" t="s">
        <v>5746</v>
      </c>
      <c r="B2082" s="27" t="s">
        <v>322</v>
      </c>
      <c r="C2082" s="27" t="s">
        <v>952</v>
      </c>
      <c r="D2082" s="26" t="s">
        <v>3663</v>
      </c>
      <c r="E2082" s="28">
        <v>46113.0</v>
      </c>
      <c r="F2082" s="28">
        <v>46171.0</v>
      </c>
      <c r="G2082" s="29"/>
    </row>
    <row r="2083" ht="15.75" customHeight="1">
      <c r="A2083" s="30" t="s">
        <v>5747</v>
      </c>
      <c r="B2083" s="31" t="s">
        <v>322</v>
      </c>
      <c r="C2083" s="31" t="s">
        <v>1216</v>
      </c>
      <c r="D2083" s="30" t="s">
        <v>3663</v>
      </c>
      <c r="E2083" s="32">
        <v>46113.0</v>
      </c>
      <c r="F2083" s="32">
        <v>46171.0</v>
      </c>
      <c r="G2083" s="33"/>
    </row>
    <row r="2084" ht="15.75" customHeight="1">
      <c r="A2084" s="26" t="s">
        <v>5748</v>
      </c>
      <c r="B2084" s="27" t="s">
        <v>322</v>
      </c>
      <c r="C2084" s="27" t="s">
        <v>1218</v>
      </c>
      <c r="D2084" s="26" t="s">
        <v>3663</v>
      </c>
      <c r="E2084" s="28">
        <v>46113.0</v>
      </c>
      <c r="F2084" s="28">
        <v>46171.0</v>
      </c>
      <c r="G2084" s="29"/>
    </row>
    <row r="2085" ht="15.75" customHeight="1">
      <c r="A2085" s="30" t="s">
        <v>5749</v>
      </c>
      <c r="B2085" s="31" t="s">
        <v>322</v>
      </c>
      <c r="C2085" s="31" t="s">
        <v>968</v>
      </c>
      <c r="D2085" s="30" t="s">
        <v>3663</v>
      </c>
      <c r="E2085" s="32">
        <v>46113.0</v>
      </c>
      <c r="F2085" s="32">
        <v>46171.0</v>
      </c>
      <c r="G2085" s="33"/>
    </row>
    <row r="2086" ht="15.75" customHeight="1">
      <c r="A2086" s="26" t="s">
        <v>5750</v>
      </c>
      <c r="B2086" s="27" t="s">
        <v>322</v>
      </c>
      <c r="C2086" s="27" t="s">
        <v>923</v>
      </c>
      <c r="D2086" s="26" t="s">
        <v>3663</v>
      </c>
      <c r="E2086" s="28">
        <v>46113.0</v>
      </c>
      <c r="F2086" s="28">
        <v>46171.0</v>
      </c>
      <c r="G2086" s="29"/>
    </row>
    <row r="2087" ht="15.75" customHeight="1">
      <c r="A2087" s="30" t="s">
        <v>5751</v>
      </c>
      <c r="B2087" s="31" t="s">
        <v>323</v>
      </c>
      <c r="C2087" s="31" t="s">
        <v>3654</v>
      </c>
      <c r="D2087" s="30" t="s">
        <v>3663</v>
      </c>
      <c r="E2087" s="32">
        <v>46113.0</v>
      </c>
      <c r="F2087" s="32">
        <v>46171.0</v>
      </c>
      <c r="G2087" s="33"/>
    </row>
    <row r="2088" ht="15.75" customHeight="1">
      <c r="A2088" s="26" t="s">
        <v>5752</v>
      </c>
      <c r="B2088" s="27" t="s">
        <v>323</v>
      </c>
      <c r="C2088" s="27" t="s">
        <v>3655</v>
      </c>
      <c r="D2088" s="26" t="s">
        <v>3663</v>
      </c>
      <c r="E2088" s="28">
        <v>46113.0</v>
      </c>
      <c r="F2088" s="28">
        <v>46171.0</v>
      </c>
      <c r="G2088" s="29"/>
    </row>
    <row r="2089" ht="15.75" customHeight="1">
      <c r="A2089" s="30" t="s">
        <v>5753</v>
      </c>
      <c r="B2089" s="31" t="s">
        <v>323</v>
      </c>
      <c r="C2089" s="31" t="s">
        <v>932</v>
      </c>
      <c r="D2089" s="30" t="s">
        <v>3663</v>
      </c>
      <c r="E2089" s="32">
        <v>46113.0</v>
      </c>
      <c r="F2089" s="32">
        <v>46171.0</v>
      </c>
      <c r="G2089" s="33"/>
    </row>
    <row r="2090" ht="15.75" customHeight="1">
      <c r="A2090" s="26" t="s">
        <v>5754</v>
      </c>
      <c r="B2090" s="27" t="s">
        <v>323</v>
      </c>
      <c r="C2090" s="27" t="s">
        <v>1168</v>
      </c>
      <c r="D2090" s="26" t="s">
        <v>3663</v>
      </c>
      <c r="E2090" s="28">
        <v>46113.0</v>
      </c>
      <c r="F2090" s="28">
        <v>46171.0</v>
      </c>
      <c r="G2090" s="29"/>
    </row>
    <row r="2091" ht="15.75" customHeight="1">
      <c r="A2091" s="30" t="s">
        <v>5755</v>
      </c>
      <c r="B2091" s="31" t="s">
        <v>323</v>
      </c>
      <c r="C2091" s="31" t="s">
        <v>1170</v>
      </c>
      <c r="D2091" s="30" t="s">
        <v>3663</v>
      </c>
      <c r="E2091" s="32">
        <v>46113.0</v>
      </c>
      <c r="F2091" s="32">
        <v>46171.0</v>
      </c>
      <c r="G2091" s="33"/>
    </row>
    <row r="2092" ht="15.75" customHeight="1">
      <c r="A2092" s="26" t="s">
        <v>5756</v>
      </c>
      <c r="B2092" s="27" t="s">
        <v>323</v>
      </c>
      <c r="C2092" s="27" t="s">
        <v>1288</v>
      </c>
      <c r="D2092" s="26" t="s">
        <v>3663</v>
      </c>
      <c r="E2092" s="28">
        <v>46113.0</v>
      </c>
      <c r="F2092" s="28">
        <v>46171.0</v>
      </c>
      <c r="G2092" s="29"/>
    </row>
    <row r="2093" ht="15.75" customHeight="1">
      <c r="A2093" s="30" t="s">
        <v>5757</v>
      </c>
      <c r="B2093" s="31" t="s">
        <v>323</v>
      </c>
      <c r="C2093" s="31" t="s">
        <v>1291</v>
      </c>
      <c r="D2093" s="30" t="s">
        <v>3663</v>
      </c>
      <c r="E2093" s="32">
        <v>46113.0</v>
      </c>
      <c r="F2093" s="32">
        <v>46171.0</v>
      </c>
      <c r="G2093" s="33"/>
    </row>
    <row r="2094" ht="15.75" customHeight="1">
      <c r="A2094" s="26" t="s">
        <v>5758</v>
      </c>
      <c r="B2094" s="27" t="s">
        <v>323</v>
      </c>
      <c r="C2094" s="27" t="s">
        <v>1354</v>
      </c>
      <c r="D2094" s="26" t="s">
        <v>3663</v>
      </c>
      <c r="E2094" s="28">
        <v>46113.0</v>
      </c>
      <c r="F2094" s="28">
        <v>46171.0</v>
      </c>
      <c r="G2094" s="29"/>
    </row>
    <row r="2095" ht="15.75" customHeight="1">
      <c r="A2095" s="30" t="s">
        <v>5759</v>
      </c>
      <c r="B2095" s="31" t="s">
        <v>323</v>
      </c>
      <c r="C2095" s="31" t="s">
        <v>1172</v>
      </c>
      <c r="D2095" s="30" t="s">
        <v>3663</v>
      </c>
      <c r="E2095" s="32">
        <v>46113.0</v>
      </c>
      <c r="F2095" s="32">
        <v>46171.0</v>
      </c>
      <c r="G2095" s="33"/>
    </row>
    <row r="2096" ht="15.75" customHeight="1">
      <c r="A2096" s="26" t="s">
        <v>5760</v>
      </c>
      <c r="B2096" s="27" t="s">
        <v>323</v>
      </c>
      <c r="C2096" s="27" t="s">
        <v>1216</v>
      </c>
      <c r="D2096" s="26" t="s">
        <v>3663</v>
      </c>
      <c r="E2096" s="28">
        <v>46113.0</v>
      </c>
      <c r="F2096" s="28">
        <v>46171.0</v>
      </c>
      <c r="G2096" s="29"/>
    </row>
    <row r="2097" ht="15.75" customHeight="1">
      <c r="A2097" s="30" t="s">
        <v>5761</v>
      </c>
      <c r="B2097" s="31" t="s">
        <v>323</v>
      </c>
      <c r="C2097" s="31" t="s">
        <v>1351</v>
      </c>
      <c r="D2097" s="30" t="s">
        <v>3663</v>
      </c>
      <c r="E2097" s="32">
        <v>46113.0</v>
      </c>
      <c r="F2097" s="32">
        <v>46171.0</v>
      </c>
      <c r="G2097" s="33"/>
    </row>
    <row r="2098" ht="15.75" customHeight="1">
      <c r="A2098" s="26" t="s">
        <v>5762</v>
      </c>
      <c r="B2098" s="27" t="s">
        <v>323</v>
      </c>
      <c r="C2098" s="27" t="s">
        <v>1349</v>
      </c>
      <c r="D2098" s="26" t="s">
        <v>3663</v>
      </c>
      <c r="E2098" s="28">
        <v>46113.0</v>
      </c>
      <c r="F2098" s="28">
        <v>46171.0</v>
      </c>
      <c r="G2098" s="29"/>
    </row>
    <row r="2099" ht="15.75" customHeight="1">
      <c r="A2099" s="30" t="s">
        <v>5763</v>
      </c>
      <c r="B2099" s="31" t="s">
        <v>323</v>
      </c>
      <c r="C2099" s="31" t="s">
        <v>968</v>
      </c>
      <c r="D2099" s="30" t="s">
        <v>3663</v>
      </c>
      <c r="E2099" s="32">
        <v>46113.0</v>
      </c>
      <c r="F2099" s="32">
        <v>46171.0</v>
      </c>
      <c r="G2099" s="33"/>
    </row>
    <row r="2100" ht="15.75" customHeight="1">
      <c r="A2100" s="26" t="s">
        <v>5764</v>
      </c>
      <c r="B2100" s="27" t="s">
        <v>323</v>
      </c>
      <c r="C2100" s="27" t="s">
        <v>923</v>
      </c>
      <c r="D2100" s="26" t="s">
        <v>3663</v>
      </c>
      <c r="E2100" s="28">
        <v>46113.0</v>
      </c>
      <c r="F2100" s="28">
        <v>46171.0</v>
      </c>
      <c r="G2100" s="29"/>
    </row>
    <row r="2101" ht="15.75" customHeight="1">
      <c r="A2101" s="30" t="s">
        <v>5765</v>
      </c>
      <c r="B2101" s="31" t="s">
        <v>324</v>
      </c>
      <c r="C2101" s="31" t="s">
        <v>3654</v>
      </c>
      <c r="D2101" s="30" t="s">
        <v>3663</v>
      </c>
      <c r="E2101" s="32">
        <v>46113.0</v>
      </c>
      <c r="F2101" s="32">
        <v>46171.0</v>
      </c>
      <c r="G2101" s="33"/>
    </row>
    <row r="2102" ht="15.75" customHeight="1">
      <c r="A2102" s="26" t="s">
        <v>5766</v>
      </c>
      <c r="B2102" s="27" t="s">
        <v>324</v>
      </c>
      <c r="C2102" s="27" t="s">
        <v>3655</v>
      </c>
      <c r="D2102" s="26" t="s">
        <v>3663</v>
      </c>
      <c r="E2102" s="28">
        <v>46113.0</v>
      </c>
      <c r="F2102" s="28">
        <v>46171.0</v>
      </c>
      <c r="G2102" s="29"/>
    </row>
    <row r="2103" ht="15.75" customHeight="1">
      <c r="A2103" s="30" t="s">
        <v>5767</v>
      </c>
      <c r="B2103" s="31" t="s">
        <v>324</v>
      </c>
      <c r="C2103" s="31" t="s">
        <v>930</v>
      </c>
      <c r="D2103" s="30" t="s">
        <v>3663</v>
      </c>
      <c r="E2103" s="32">
        <v>46113.0</v>
      </c>
      <c r="F2103" s="32">
        <v>46171.0</v>
      </c>
      <c r="G2103" s="33"/>
    </row>
    <row r="2104" ht="15.75" customHeight="1">
      <c r="A2104" s="26" t="s">
        <v>5768</v>
      </c>
      <c r="B2104" s="27" t="s">
        <v>324</v>
      </c>
      <c r="C2104" s="27" t="s">
        <v>1354</v>
      </c>
      <c r="D2104" s="26" t="s">
        <v>3663</v>
      </c>
      <c r="E2104" s="28">
        <v>46113.0</v>
      </c>
      <c r="F2104" s="28">
        <v>46171.0</v>
      </c>
      <c r="G2104" s="29"/>
    </row>
    <row r="2105" ht="15.75" customHeight="1">
      <c r="A2105" s="30" t="s">
        <v>5769</v>
      </c>
      <c r="B2105" s="31" t="s">
        <v>324</v>
      </c>
      <c r="C2105" s="31" t="s">
        <v>1216</v>
      </c>
      <c r="D2105" s="30" t="s">
        <v>3663</v>
      </c>
      <c r="E2105" s="32">
        <v>46113.0</v>
      </c>
      <c r="F2105" s="32">
        <v>46171.0</v>
      </c>
      <c r="G2105" s="33"/>
    </row>
    <row r="2106" ht="15.75" customHeight="1">
      <c r="A2106" s="26" t="s">
        <v>5770</v>
      </c>
      <c r="B2106" s="27" t="s">
        <v>324</v>
      </c>
      <c r="C2106" s="27" t="s">
        <v>1157</v>
      </c>
      <c r="D2106" s="26" t="s">
        <v>3663</v>
      </c>
      <c r="E2106" s="28">
        <v>46113.0</v>
      </c>
      <c r="F2106" s="28">
        <v>46171.0</v>
      </c>
      <c r="G2106" s="29"/>
    </row>
    <row r="2107" ht="15.75" customHeight="1">
      <c r="A2107" s="30" t="s">
        <v>5771</v>
      </c>
      <c r="B2107" s="31" t="s">
        <v>324</v>
      </c>
      <c r="C2107" s="31" t="s">
        <v>1155</v>
      </c>
      <c r="D2107" s="30" t="s">
        <v>3663</v>
      </c>
      <c r="E2107" s="32">
        <v>46113.0</v>
      </c>
      <c r="F2107" s="32">
        <v>46171.0</v>
      </c>
      <c r="G2107" s="33"/>
    </row>
    <row r="2108" ht="15.75" customHeight="1">
      <c r="A2108" s="26" t="s">
        <v>5772</v>
      </c>
      <c r="B2108" s="27" t="s">
        <v>324</v>
      </c>
      <c r="C2108" s="27" t="s">
        <v>1153</v>
      </c>
      <c r="D2108" s="26" t="s">
        <v>3663</v>
      </c>
      <c r="E2108" s="28">
        <v>46113.0</v>
      </c>
      <c r="F2108" s="28">
        <v>46171.0</v>
      </c>
      <c r="G2108" s="29"/>
    </row>
    <row r="2109" ht="15.75" customHeight="1">
      <c r="A2109" s="30" t="s">
        <v>5773</v>
      </c>
      <c r="B2109" s="31" t="s">
        <v>324</v>
      </c>
      <c r="C2109" s="31" t="s">
        <v>1149</v>
      </c>
      <c r="D2109" s="30" t="s">
        <v>3663</v>
      </c>
      <c r="E2109" s="32">
        <v>46113.0</v>
      </c>
      <c r="F2109" s="32">
        <v>46171.0</v>
      </c>
      <c r="G2109" s="33"/>
    </row>
    <row r="2110" ht="15.75" customHeight="1">
      <c r="A2110" s="26" t="s">
        <v>5774</v>
      </c>
      <c r="B2110" s="27" t="s">
        <v>324</v>
      </c>
      <c r="C2110" s="27" t="s">
        <v>1351</v>
      </c>
      <c r="D2110" s="26" t="s">
        <v>3663</v>
      </c>
      <c r="E2110" s="28">
        <v>46113.0</v>
      </c>
      <c r="F2110" s="28">
        <v>46171.0</v>
      </c>
      <c r="G2110" s="29"/>
    </row>
    <row r="2111" ht="15.75" customHeight="1">
      <c r="A2111" s="30" t="s">
        <v>5775</v>
      </c>
      <c r="B2111" s="31" t="s">
        <v>324</v>
      </c>
      <c r="C2111" s="31" t="s">
        <v>1349</v>
      </c>
      <c r="D2111" s="30" t="s">
        <v>3663</v>
      </c>
      <c r="E2111" s="32">
        <v>46113.0</v>
      </c>
      <c r="F2111" s="32">
        <v>46171.0</v>
      </c>
      <c r="G2111" s="33"/>
    </row>
    <row r="2112" ht="15.75" customHeight="1">
      <c r="A2112" s="26" t="s">
        <v>5776</v>
      </c>
      <c r="B2112" s="27" t="s">
        <v>324</v>
      </c>
      <c r="C2112" s="27" t="s">
        <v>968</v>
      </c>
      <c r="D2112" s="26" t="s">
        <v>3663</v>
      </c>
      <c r="E2112" s="28">
        <v>46113.0</v>
      </c>
      <c r="F2112" s="28">
        <v>46171.0</v>
      </c>
      <c r="G2112" s="29"/>
    </row>
    <row r="2113" ht="15.75" customHeight="1">
      <c r="A2113" s="30" t="s">
        <v>5777</v>
      </c>
      <c r="B2113" s="31" t="s">
        <v>324</v>
      </c>
      <c r="C2113" s="31" t="s">
        <v>923</v>
      </c>
      <c r="D2113" s="30" t="s">
        <v>3663</v>
      </c>
      <c r="E2113" s="32">
        <v>46113.0</v>
      </c>
      <c r="F2113" s="32">
        <v>46171.0</v>
      </c>
      <c r="G2113" s="33"/>
    </row>
    <row r="2114" ht="15.75" customHeight="1">
      <c r="A2114" s="26" t="s">
        <v>5778</v>
      </c>
      <c r="B2114" s="27" t="s">
        <v>324</v>
      </c>
      <c r="C2114" s="27" t="s">
        <v>961</v>
      </c>
      <c r="D2114" s="26" t="s">
        <v>3663</v>
      </c>
      <c r="E2114" s="28">
        <v>46113.0</v>
      </c>
      <c r="F2114" s="28">
        <v>46171.0</v>
      </c>
      <c r="G2114" s="29"/>
    </row>
    <row r="2115" ht="15.75" customHeight="1">
      <c r="A2115" s="30" t="s">
        <v>5779</v>
      </c>
      <c r="B2115" s="31" t="s">
        <v>325</v>
      </c>
      <c r="C2115" s="31" t="s">
        <v>1240</v>
      </c>
      <c r="D2115" s="30" t="s">
        <v>3663</v>
      </c>
      <c r="E2115" s="32">
        <v>46113.0</v>
      </c>
      <c r="F2115" s="32">
        <v>46171.0</v>
      </c>
      <c r="G2115" s="33"/>
    </row>
    <row r="2116" ht="15.75" customHeight="1">
      <c r="A2116" s="26" t="s">
        <v>5780</v>
      </c>
      <c r="B2116" s="27" t="s">
        <v>325</v>
      </c>
      <c r="C2116" s="27" t="s">
        <v>1242</v>
      </c>
      <c r="D2116" s="26" t="s">
        <v>3663</v>
      </c>
      <c r="E2116" s="28">
        <v>46113.0</v>
      </c>
      <c r="F2116" s="28">
        <v>46171.0</v>
      </c>
      <c r="G2116" s="29"/>
    </row>
    <row r="2117" ht="15.75" customHeight="1">
      <c r="A2117" s="30" t="s">
        <v>5781</v>
      </c>
      <c r="B2117" s="31" t="s">
        <v>325</v>
      </c>
      <c r="C2117" s="31" t="s">
        <v>1244</v>
      </c>
      <c r="D2117" s="30" t="s">
        <v>3663</v>
      </c>
      <c r="E2117" s="32">
        <v>46113.0</v>
      </c>
      <c r="F2117" s="32">
        <v>46171.0</v>
      </c>
      <c r="G2117" s="33"/>
    </row>
    <row r="2118" ht="15.75" customHeight="1">
      <c r="A2118" s="26" t="s">
        <v>5782</v>
      </c>
      <c r="B2118" s="27" t="s">
        <v>325</v>
      </c>
      <c r="C2118" s="27" t="s">
        <v>1246</v>
      </c>
      <c r="D2118" s="26" t="s">
        <v>3663</v>
      </c>
      <c r="E2118" s="28">
        <v>46113.0</v>
      </c>
      <c r="F2118" s="28">
        <v>46171.0</v>
      </c>
      <c r="G2118" s="29"/>
    </row>
    <row r="2119" ht="15.75" customHeight="1">
      <c r="A2119" s="30" t="s">
        <v>5783</v>
      </c>
      <c r="B2119" s="31" t="s">
        <v>325</v>
      </c>
      <c r="C2119" s="31" t="s">
        <v>3654</v>
      </c>
      <c r="D2119" s="30" t="s">
        <v>3663</v>
      </c>
      <c r="E2119" s="32">
        <v>46113.0</v>
      </c>
      <c r="F2119" s="32">
        <v>46171.0</v>
      </c>
      <c r="G2119" s="33"/>
    </row>
    <row r="2120" ht="15.75" customHeight="1">
      <c r="A2120" s="26" t="s">
        <v>5784</v>
      </c>
      <c r="B2120" s="27" t="s">
        <v>325</v>
      </c>
      <c r="C2120" s="27" t="s">
        <v>3655</v>
      </c>
      <c r="D2120" s="26" t="s">
        <v>3663</v>
      </c>
      <c r="E2120" s="28">
        <v>46113.0</v>
      </c>
      <c r="F2120" s="28">
        <v>46171.0</v>
      </c>
      <c r="G2120" s="29"/>
    </row>
    <row r="2121" ht="15.75" customHeight="1">
      <c r="A2121" s="30" t="s">
        <v>5785</v>
      </c>
      <c r="B2121" s="31" t="s">
        <v>325</v>
      </c>
      <c r="C2121" s="31" t="s">
        <v>934</v>
      </c>
      <c r="D2121" s="30" t="s">
        <v>3663</v>
      </c>
      <c r="E2121" s="32">
        <v>46113.0</v>
      </c>
      <c r="F2121" s="32">
        <v>46171.0</v>
      </c>
      <c r="G2121" s="33"/>
    </row>
    <row r="2122" ht="15.75" customHeight="1">
      <c r="A2122" s="26" t="s">
        <v>5786</v>
      </c>
      <c r="B2122" s="27" t="s">
        <v>325</v>
      </c>
      <c r="C2122" s="27" t="s">
        <v>1354</v>
      </c>
      <c r="D2122" s="26" t="s">
        <v>3663</v>
      </c>
      <c r="E2122" s="28">
        <v>46113.0</v>
      </c>
      <c r="F2122" s="28">
        <v>46171.0</v>
      </c>
      <c r="G2122" s="29"/>
    </row>
    <row r="2123" ht="15.75" customHeight="1">
      <c r="A2123" s="30" t="s">
        <v>5787</v>
      </c>
      <c r="B2123" s="31" t="s">
        <v>325</v>
      </c>
      <c r="C2123" s="31" t="s">
        <v>1208</v>
      </c>
      <c r="D2123" s="30" t="s">
        <v>3663</v>
      </c>
      <c r="E2123" s="32">
        <v>46113.0</v>
      </c>
      <c r="F2123" s="32">
        <v>46171.0</v>
      </c>
      <c r="G2123" s="33"/>
    </row>
    <row r="2124" ht="15.75" customHeight="1">
      <c r="A2124" s="26" t="s">
        <v>5788</v>
      </c>
      <c r="B2124" s="27" t="s">
        <v>325</v>
      </c>
      <c r="C2124" s="27" t="s">
        <v>1351</v>
      </c>
      <c r="D2124" s="26" t="s">
        <v>3663</v>
      </c>
      <c r="E2124" s="28">
        <v>46113.0</v>
      </c>
      <c r="F2124" s="28">
        <v>46171.0</v>
      </c>
      <c r="G2124" s="29"/>
    </row>
    <row r="2125" ht="15.75" customHeight="1">
      <c r="A2125" s="30" t="s">
        <v>5789</v>
      </c>
      <c r="B2125" s="31" t="s">
        <v>325</v>
      </c>
      <c r="C2125" s="31" t="s">
        <v>1349</v>
      </c>
      <c r="D2125" s="30" t="s">
        <v>3663</v>
      </c>
      <c r="E2125" s="32">
        <v>46113.0</v>
      </c>
      <c r="F2125" s="32">
        <v>46171.0</v>
      </c>
      <c r="G2125" s="33"/>
    </row>
    <row r="2126" ht="15.75" customHeight="1">
      <c r="A2126" s="26" t="s">
        <v>5790</v>
      </c>
      <c r="B2126" s="27" t="s">
        <v>325</v>
      </c>
      <c r="C2126" s="27" t="s">
        <v>968</v>
      </c>
      <c r="D2126" s="26" t="s">
        <v>3663</v>
      </c>
      <c r="E2126" s="28">
        <v>46113.0</v>
      </c>
      <c r="F2126" s="28">
        <v>46171.0</v>
      </c>
      <c r="G2126" s="29"/>
    </row>
    <row r="2127" ht="15.75" customHeight="1">
      <c r="A2127" s="30" t="s">
        <v>5791</v>
      </c>
      <c r="B2127" s="31" t="s">
        <v>325</v>
      </c>
      <c r="C2127" s="31" t="s">
        <v>923</v>
      </c>
      <c r="D2127" s="30" t="s">
        <v>3663</v>
      </c>
      <c r="E2127" s="32">
        <v>46113.0</v>
      </c>
      <c r="F2127" s="32">
        <v>46171.0</v>
      </c>
      <c r="G2127" s="33"/>
    </row>
    <row r="2128" ht="15.75" customHeight="1">
      <c r="A2128" s="26" t="s">
        <v>5792</v>
      </c>
      <c r="B2128" s="27" t="s">
        <v>325</v>
      </c>
      <c r="C2128" s="27" t="s">
        <v>961</v>
      </c>
      <c r="D2128" s="26" t="s">
        <v>3663</v>
      </c>
      <c r="E2128" s="28">
        <v>46113.0</v>
      </c>
      <c r="F2128" s="28">
        <v>46171.0</v>
      </c>
      <c r="G2128" s="29"/>
    </row>
    <row r="2129" ht="15.75" customHeight="1">
      <c r="A2129" s="30" t="s">
        <v>5793</v>
      </c>
      <c r="B2129" s="31" t="s">
        <v>326</v>
      </c>
      <c r="C2129" s="31" t="s">
        <v>930</v>
      </c>
      <c r="D2129" s="31" t="s">
        <v>3663</v>
      </c>
      <c r="E2129" s="32">
        <v>46113.0</v>
      </c>
      <c r="F2129" s="32">
        <v>46171.0</v>
      </c>
      <c r="G2129" s="33"/>
    </row>
    <row r="2130" ht="15.75" customHeight="1">
      <c r="A2130" s="26" t="s">
        <v>5794</v>
      </c>
      <c r="B2130" s="27" t="s">
        <v>326</v>
      </c>
      <c r="C2130" s="27" t="s">
        <v>1354</v>
      </c>
      <c r="D2130" s="26" t="s">
        <v>3663</v>
      </c>
      <c r="E2130" s="28">
        <v>46113.0</v>
      </c>
      <c r="F2130" s="28">
        <v>46171.0</v>
      </c>
      <c r="G2130" s="29"/>
    </row>
    <row r="2131" ht="15.75" customHeight="1">
      <c r="A2131" s="30" t="s">
        <v>5795</v>
      </c>
      <c r="B2131" s="31" t="s">
        <v>326</v>
      </c>
      <c r="C2131" s="31" t="s">
        <v>1304</v>
      </c>
      <c r="D2131" s="31" t="s">
        <v>3663</v>
      </c>
      <c r="E2131" s="32">
        <v>46113.0</v>
      </c>
      <c r="F2131" s="32">
        <v>46171.0</v>
      </c>
      <c r="G2131" s="33"/>
    </row>
    <row r="2132" ht="15.75" customHeight="1">
      <c r="A2132" s="26" t="s">
        <v>5796</v>
      </c>
      <c r="B2132" s="27" t="s">
        <v>326</v>
      </c>
      <c r="C2132" s="27" t="s">
        <v>1306</v>
      </c>
      <c r="D2132" s="27" t="s">
        <v>3663</v>
      </c>
      <c r="E2132" s="28">
        <v>46113.0</v>
      </c>
      <c r="F2132" s="28">
        <v>46171.0</v>
      </c>
      <c r="G2132" s="29"/>
    </row>
    <row r="2133" ht="15.75" customHeight="1">
      <c r="A2133" s="30" t="s">
        <v>5797</v>
      </c>
      <c r="B2133" s="31" t="s">
        <v>326</v>
      </c>
      <c r="C2133" s="31" t="s">
        <v>1308</v>
      </c>
      <c r="D2133" s="31" t="s">
        <v>3663</v>
      </c>
      <c r="E2133" s="32">
        <v>46113.0</v>
      </c>
      <c r="F2133" s="32">
        <v>46171.0</v>
      </c>
      <c r="G2133" s="33"/>
    </row>
    <row r="2134" ht="15.75" customHeight="1">
      <c r="A2134" s="26" t="s">
        <v>5798</v>
      </c>
      <c r="B2134" s="27" t="s">
        <v>326</v>
      </c>
      <c r="C2134" s="27" t="s">
        <v>1310</v>
      </c>
      <c r="D2134" s="27" t="s">
        <v>3663</v>
      </c>
      <c r="E2134" s="28">
        <v>46113.0</v>
      </c>
      <c r="F2134" s="28">
        <v>46171.0</v>
      </c>
      <c r="G2134" s="29"/>
    </row>
    <row r="2135" ht="15.75" customHeight="1">
      <c r="A2135" s="30" t="s">
        <v>5799</v>
      </c>
      <c r="B2135" s="31" t="s">
        <v>326</v>
      </c>
      <c r="C2135" s="31" t="s">
        <v>1208</v>
      </c>
      <c r="D2135" s="30" t="s">
        <v>3663</v>
      </c>
      <c r="E2135" s="32">
        <v>46113.0</v>
      </c>
      <c r="F2135" s="32">
        <v>46171.0</v>
      </c>
      <c r="G2135" s="33"/>
    </row>
    <row r="2136" ht="15.75" customHeight="1">
      <c r="A2136" s="26" t="s">
        <v>5800</v>
      </c>
      <c r="B2136" s="27" t="s">
        <v>326</v>
      </c>
      <c r="C2136" s="27" t="s">
        <v>3656</v>
      </c>
      <c r="D2136" s="26" t="s">
        <v>3663</v>
      </c>
      <c r="E2136" s="28">
        <v>46113.0</v>
      </c>
      <c r="F2136" s="28">
        <v>46171.0</v>
      </c>
      <c r="G2136" s="29"/>
    </row>
    <row r="2137" ht="15.75" customHeight="1">
      <c r="A2137" s="30" t="s">
        <v>5801</v>
      </c>
      <c r="B2137" s="31" t="s">
        <v>326</v>
      </c>
      <c r="C2137" s="31" t="s">
        <v>3657</v>
      </c>
      <c r="D2137" s="30" t="s">
        <v>3663</v>
      </c>
      <c r="E2137" s="32">
        <v>46113.0</v>
      </c>
      <c r="F2137" s="32">
        <v>46171.0</v>
      </c>
      <c r="G2137" s="33"/>
    </row>
    <row r="2138" ht="15.75" customHeight="1">
      <c r="A2138" s="26" t="s">
        <v>5802</v>
      </c>
      <c r="B2138" s="27" t="s">
        <v>326</v>
      </c>
      <c r="C2138" s="27" t="s">
        <v>1218</v>
      </c>
      <c r="D2138" s="26" t="s">
        <v>3663</v>
      </c>
      <c r="E2138" s="28">
        <v>46113.0</v>
      </c>
      <c r="F2138" s="28">
        <v>46171.0</v>
      </c>
      <c r="G2138" s="29"/>
    </row>
    <row r="2139" ht="15.75" customHeight="1">
      <c r="A2139" s="30" t="s">
        <v>5803</v>
      </c>
      <c r="B2139" s="31" t="s">
        <v>326</v>
      </c>
      <c r="C2139" s="31" t="s">
        <v>1351</v>
      </c>
      <c r="D2139" s="30" t="s">
        <v>3663</v>
      </c>
      <c r="E2139" s="32">
        <v>46113.0</v>
      </c>
      <c r="F2139" s="32">
        <v>46171.0</v>
      </c>
      <c r="G2139" s="33"/>
    </row>
    <row r="2140" ht="15.75" customHeight="1">
      <c r="A2140" s="26" t="s">
        <v>5804</v>
      </c>
      <c r="B2140" s="27" t="s">
        <v>326</v>
      </c>
      <c r="C2140" s="27" t="s">
        <v>1349</v>
      </c>
      <c r="D2140" s="26" t="s">
        <v>3663</v>
      </c>
      <c r="E2140" s="28">
        <v>46113.0</v>
      </c>
      <c r="F2140" s="28">
        <v>46171.0</v>
      </c>
      <c r="G2140" s="29"/>
    </row>
    <row r="2141" ht="15.75" customHeight="1">
      <c r="A2141" s="30" t="s">
        <v>5805</v>
      </c>
      <c r="B2141" s="31" t="s">
        <v>326</v>
      </c>
      <c r="C2141" s="31" t="s">
        <v>968</v>
      </c>
      <c r="D2141" s="30" t="s">
        <v>3663</v>
      </c>
      <c r="E2141" s="32">
        <v>46113.0</v>
      </c>
      <c r="F2141" s="32">
        <v>46171.0</v>
      </c>
      <c r="G2141" s="33"/>
    </row>
    <row r="2142" ht="15.75" customHeight="1">
      <c r="A2142" s="26" t="s">
        <v>5806</v>
      </c>
      <c r="B2142" s="27" t="s">
        <v>326</v>
      </c>
      <c r="C2142" s="27" t="s">
        <v>923</v>
      </c>
      <c r="D2142" s="27" t="s">
        <v>3663</v>
      </c>
      <c r="E2142" s="28">
        <v>46113.0</v>
      </c>
      <c r="F2142" s="28">
        <v>46171.0</v>
      </c>
      <c r="G2142" s="29"/>
    </row>
    <row r="2143" ht="15.75" customHeight="1">
      <c r="A2143" s="30" t="s">
        <v>5807</v>
      </c>
      <c r="B2143" s="31" t="s">
        <v>327</v>
      </c>
      <c r="C2143" s="31" t="s">
        <v>928</v>
      </c>
      <c r="D2143" s="30" t="s">
        <v>3663</v>
      </c>
      <c r="E2143" s="32">
        <v>46113.0</v>
      </c>
      <c r="F2143" s="32">
        <v>46171.0</v>
      </c>
      <c r="G2143" s="33"/>
    </row>
    <row r="2144" ht="15.75" customHeight="1">
      <c r="A2144" s="26" t="s">
        <v>5808</v>
      </c>
      <c r="B2144" s="27" t="s">
        <v>327</v>
      </c>
      <c r="C2144" s="27" t="s">
        <v>1354</v>
      </c>
      <c r="D2144" s="26" t="s">
        <v>3663</v>
      </c>
      <c r="E2144" s="28">
        <v>46113.0</v>
      </c>
      <c r="F2144" s="28">
        <v>46171.0</v>
      </c>
      <c r="G2144" s="29"/>
    </row>
    <row r="2145" ht="15.75" customHeight="1">
      <c r="A2145" s="30" t="s">
        <v>5809</v>
      </c>
      <c r="B2145" s="31" t="s">
        <v>327</v>
      </c>
      <c r="C2145" s="31" t="s">
        <v>1222</v>
      </c>
      <c r="D2145" s="30" t="s">
        <v>3663</v>
      </c>
      <c r="E2145" s="32">
        <v>46113.0</v>
      </c>
      <c r="F2145" s="32">
        <v>46171.0</v>
      </c>
      <c r="G2145" s="33"/>
    </row>
    <row r="2146" ht="15.75" customHeight="1">
      <c r="A2146" s="26" t="s">
        <v>5810</v>
      </c>
      <c r="B2146" s="27" t="s">
        <v>327</v>
      </c>
      <c r="C2146" s="27" t="s">
        <v>1224</v>
      </c>
      <c r="D2146" s="26" t="s">
        <v>3663</v>
      </c>
      <c r="E2146" s="28">
        <v>46113.0</v>
      </c>
      <c r="F2146" s="28">
        <v>46171.0</v>
      </c>
      <c r="G2146" s="29"/>
    </row>
    <row r="2147" ht="15.75" customHeight="1">
      <c r="A2147" s="30" t="s">
        <v>5811</v>
      </c>
      <c r="B2147" s="31" t="s">
        <v>327</v>
      </c>
      <c r="C2147" s="31" t="s">
        <v>1226</v>
      </c>
      <c r="D2147" s="30" t="s">
        <v>3663</v>
      </c>
      <c r="E2147" s="32">
        <v>46113.0</v>
      </c>
      <c r="F2147" s="32">
        <v>46171.0</v>
      </c>
      <c r="G2147" s="33"/>
    </row>
    <row r="2148" ht="15.75" customHeight="1">
      <c r="A2148" s="26" t="s">
        <v>5812</v>
      </c>
      <c r="B2148" s="27" t="s">
        <v>327</v>
      </c>
      <c r="C2148" s="27" t="s">
        <v>1228</v>
      </c>
      <c r="D2148" s="26" t="s">
        <v>3663</v>
      </c>
      <c r="E2148" s="28">
        <v>46113.0</v>
      </c>
      <c r="F2148" s="28">
        <v>46171.0</v>
      </c>
      <c r="G2148" s="29"/>
    </row>
    <row r="2149" ht="15.75" customHeight="1">
      <c r="A2149" s="30" t="s">
        <v>5813</v>
      </c>
      <c r="B2149" s="31" t="s">
        <v>327</v>
      </c>
      <c r="C2149" s="31" t="s">
        <v>1172</v>
      </c>
      <c r="D2149" s="30" t="s">
        <v>3663</v>
      </c>
      <c r="E2149" s="32">
        <v>46113.0</v>
      </c>
      <c r="F2149" s="32">
        <v>46171.0</v>
      </c>
      <c r="G2149" s="33"/>
    </row>
    <row r="2150" ht="15.75" customHeight="1">
      <c r="A2150" s="26" t="s">
        <v>5814</v>
      </c>
      <c r="B2150" s="27" t="s">
        <v>327</v>
      </c>
      <c r="C2150" s="27" t="s">
        <v>1312</v>
      </c>
      <c r="D2150" s="26" t="s">
        <v>3663</v>
      </c>
      <c r="E2150" s="28">
        <v>46113.0</v>
      </c>
      <c r="F2150" s="28">
        <v>46171.0</v>
      </c>
      <c r="G2150" s="29"/>
    </row>
    <row r="2151" ht="15.75" customHeight="1">
      <c r="A2151" s="30" t="s">
        <v>5815</v>
      </c>
      <c r="B2151" s="31" t="s">
        <v>327</v>
      </c>
      <c r="C2151" s="31" t="s">
        <v>1351</v>
      </c>
      <c r="D2151" s="30" t="s">
        <v>3663</v>
      </c>
      <c r="E2151" s="32">
        <v>46113.0</v>
      </c>
      <c r="F2151" s="32">
        <v>46171.0</v>
      </c>
      <c r="G2151" s="33"/>
    </row>
    <row r="2152" ht="15.75" customHeight="1">
      <c r="A2152" s="26" t="s">
        <v>5816</v>
      </c>
      <c r="B2152" s="27" t="s">
        <v>327</v>
      </c>
      <c r="C2152" s="27" t="s">
        <v>1349</v>
      </c>
      <c r="D2152" s="26" t="s">
        <v>3663</v>
      </c>
      <c r="E2152" s="28">
        <v>46113.0</v>
      </c>
      <c r="F2152" s="28">
        <v>46171.0</v>
      </c>
      <c r="G2152" s="29"/>
    </row>
    <row r="2153" ht="15.75" customHeight="1">
      <c r="A2153" s="30" t="s">
        <v>5817</v>
      </c>
      <c r="B2153" s="31" t="s">
        <v>327</v>
      </c>
      <c r="C2153" s="31" t="s">
        <v>3653</v>
      </c>
      <c r="D2153" s="31" t="s">
        <v>3663</v>
      </c>
      <c r="E2153" s="32">
        <v>46113.0</v>
      </c>
      <c r="F2153" s="32">
        <v>46171.0</v>
      </c>
      <c r="G2153" s="33"/>
    </row>
    <row r="2154" ht="15.75" customHeight="1">
      <c r="A2154" s="26" t="s">
        <v>5818</v>
      </c>
      <c r="B2154" s="27" t="s">
        <v>327</v>
      </c>
      <c r="C2154" s="27" t="s">
        <v>3652</v>
      </c>
      <c r="D2154" s="26" t="s">
        <v>3663</v>
      </c>
      <c r="E2154" s="28">
        <v>46113.0</v>
      </c>
      <c r="F2154" s="28">
        <v>46171.0</v>
      </c>
      <c r="G2154" s="29"/>
    </row>
    <row r="2155" ht="15.75" customHeight="1">
      <c r="A2155" s="30" t="s">
        <v>5819</v>
      </c>
      <c r="B2155" s="31" t="s">
        <v>327</v>
      </c>
      <c r="C2155" s="31" t="s">
        <v>968</v>
      </c>
      <c r="D2155" s="30" t="s">
        <v>3663</v>
      </c>
      <c r="E2155" s="32">
        <v>46113.0</v>
      </c>
      <c r="F2155" s="32">
        <v>46171.0</v>
      </c>
      <c r="G2155" s="33"/>
    </row>
    <row r="2156" ht="15.75" customHeight="1">
      <c r="A2156" s="26" t="s">
        <v>5820</v>
      </c>
      <c r="B2156" s="27" t="s">
        <v>327</v>
      </c>
      <c r="C2156" s="27" t="s">
        <v>923</v>
      </c>
      <c r="D2156" s="26" t="s">
        <v>3663</v>
      </c>
      <c r="E2156" s="28">
        <v>46113.0</v>
      </c>
      <c r="F2156" s="28">
        <v>46171.0</v>
      </c>
      <c r="G2156" s="29"/>
    </row>
    <row r="2157" ht="15.75" customHeight="1">
      <c r="A2157" s="30" t="s">
        <v>5821</v>
      </c>
      <c r="B2157" s="31" t="s">
        <v>328</v>
      </c>
      <c r="C2157" s="31" t="s">
        <v>3654</v>
      </c>
      <c r="D2157" s="30" t="s">
        <v>3663</v>
      </c>
      <c r="E2157" s="32">
        <v>46113.0</v>
      </c>
      <c r="F2157" s="32">
        <v>46171.0</v>
      </c>
      <c r="G2157" s="33"/>
    </row>
    <row r="2158" ht="15.75" customHeight="1">
      <c r="A2158" s="26" t="s">
        <v>5822</v>
      </c>
      <c r="B2158" s="27" t="s">
        <v>328</v>
      </c>
      <c r="C2158" s="27" t="s">
        <v>3655</v>
      </c>
      <c r="D2158" s="26" t="s">
        <v>3663</v>
      </c>
      <c r="E2158" s="28">
        <v>46113.0</v>
      </c>
      <c r="F2158" s="28">
        <v>46171.0</v>
      </c>
      <c r="G2158" s="29"/>
    </row>
    <row r="2159" ht="15.75" customHeight="1">
      <c r="A2159" s="30" t="s">
        <v>5823</v>
      </c>
      <c r="B2159" s="31" t="s">
        <v>328</v>
      </c>
      <c r="C2159" s="31" t="s">
        <v>930</v>
      </c>
      <c r="D2159" s="30" t="s">
        <v>3663</v>
      </c>
      <c r="E2159" s="32">
        <v>46113.0</v>
      </c>
      <c r="F2159" s="32">
        <v>46171.0</v>
      </c>
      <c r="G2159" s="33"/>
    </row>
    <row r="2160" ht="15.75" customHeight="1">
      <c r="A2160" s="26" t="s">
        <v>5824</v>
      </c>
      <c r="B2160" s="27" t="s">
        <v>328</v>
      </c>
      <c r="C2160" s="27" t="s">
        <v>1354</v>
      </c>
      <c r="D2160" s="26" t="s">
        <v>3663</v>
      </c>
      <c r="E2160" s="28">
        <v>46113.0</v>
      </c>
      <c r="F2160" s="28">
        <v>46171.0</v>
      </c>
      <c r="G2160" s="29"/>
    </row>
    <row r="2161" ht="15.75" customHeight="1">
      <c r="A2161" s="30" t="s">
        <v>5825</v>
      </c>
      <c r="B2161" s="31" t="s">
        <v>328</v>
      </c>
      <c r="C2161" s="31" t="s">
        <v>3641</v>
      </c>
      <c r="D2161" s="30" t="s">
        <v>3663</v>
      </c>
      <c r="E2161" s="32">
        <v>46113.0</v>
      </c>
      <c r="F2161" s="32">
        <v>46171.0</v>
      </c>
      <c r="G2161" s="33"/>
    </row>
    <row r="2162" ht="15.75" customHeight="1">
      <c r="A2162" s="26" t="s">
        <v>5826</v>
      </c>
      <c r="B2162" s="27" t="s">
        <v>328</v>
      </c>
      <c r="C2162" s="27" t="s">
        <v>1304</v>
      </c>
      <c r="D2162" s="26" t="s">
        <v>3663</v>
      </c>
      <c r="E2162" s="28">
        <v>46113.0</v>
      </c>
      <c r="F2162" s="28">
        <v>46171.0</v>
      </c>
      <c r="G2162" s="29"/>
    </row>
    <row r="2163" ht="15.75" customHeight="1">
      <c r="A2163" s="30" t="s">
        <v>5827</v>
      </c>
      <c r="B2163" s="31" t="s">
        <v>328</v>
      </c>
      <c r="C2163" s="31" t="s">
        <v>3642</v>
      </c>
      <c r="D2163" s="30" t="s">
        <v>3663</v>
      </c>
      <c r="E2163" s="32">
        <v>46113.0</v>
      </c>
      <c r="F2163" s="32">
        <v>46171.0</v>
      </c>
      <c r="G2163" s="33"/>
    </row>
    <row r="2164" ht="15.75" customHeight="1">
      <c r="A2164" s="26" t="s">
        <v>5828</v>
      </c>
      <c r="B2164" s="27" t="s">
        <v>328</v>
      </c>
      <c r="C2164" s="27" t="s">
        <v>1308</v>
      </c>
      <c r="D2164" s="26" t="s">
        <v>3663</v>
      </c>
      <c r="E2164" s="28">
        <v>46113.0</v>
      </c>
      <c r="F2164" s="28">
        <v>46171.0</v>
      </c>
      <c r="G2164" s="29"/>
    </row>
    <row r="2165" ht="15.75" customHeight="1">
      <c r="A2165" s="30" t="s">
        <v>5829</v>
      </c>
      <c r="B2165" s="31" t="s">
        <v>328</v>
      </c>
      <c r="C2165" s="31" t="s">
        <v>1312</v>
      </c>
      <c r="D2165" s="30" t="s">
        <v>3663</v>
      </c>
      <c r="E2165" s="32">
        <v>46113.0</v>
      </c>
      <c r="F2165" s="32">
        <v>46171.0</v>
      </c>
      <c r="G2165" s="33"/>
    </row>
    <row r="2166" ht="15.75" customHeight="1">
      <c r="A2166" s="26" t="s">
        <v>5830</v>
      </c>
      <c r="B2166" s="27" t="s">
        <v>328</v>
      </c>
      <c r="C2166" s="27" t="s">
        <v>1208</v>
      </c>
      <c r="D2166" s="26" t="s">
        <v>3663</v>
      </c>
      <c r="E2166" s="28">
        <v>46113.0</v>
      </c>
      <c r="F2166" s="28">
        <v>46171.0</v>
      </c>
      <c r="G2166" s="29"/>
    </row>
    <row r="2167" ht="15.75" customHeight="1">
      <c r="A2167" s="30" t="s">
        <v>5831</v>
      </c>
      <c r="B2167" s="31" t="s">
        <v>328</v>
      </c>
      <c r="C2167" s="31" t="s">
        <v>1351</v>
      </c>
      <c r="D2167" s="30" t="s">
        <v>3663</v>
      </c>
      <c r="E2167" s="32">
        <v>46113.0</v>
      </c>
      <c r="F2167" s="32">
        <v>46171.0</v>
      </c>
      <c r="G2167" s="33"/>
    </row>
    <row r="2168" ht="15.75" customHeight="1">
      <c r="A2168" s="26" t="s">
        <v>5832</v>
      </c>
      <c r="B2168" s="27" t="s">
        <v>328</v>
      </c>
      <c r="C2168" s="27" t="s">
        <v>1349</v>
      </c>
      <c r="D2168" s="26" t="s">
        <v>3663</v>
      </c>
      <c r="E2168" s="28">
        <v>46113.0</v>
      </c>
      <c r="F2168" s="28">
        <v>46171.0</v>
      </c>
      <c r="G2168" s="29"/>
    </row>
    <row r="2169" ht="15.75" customHeight="1">
      <c r="A2169" s="30" t="s">
        <v>5833</v>
      </c>
      <c r="B2169" s="31" t="s">
        <v>328</v>
      </c>
      <c r="C2169" s="31" t="s">
        <v>968</v>
      </c>
      <c r="D2169" s="30" t="s">
        <v>3663</v>
      </c>
      <c r="E2169" s="32">
        <v>46113.0</v>
      </c>
      <c r="F2169" s="32">
        <v>46171.0</v>
      </c>
      <c r="G2169" s="33"/>
    </row>
    <row r="2170" ht="15.75" customHeight="1">
      <c r="A2170" s="26" t="s">
        <v>5834</v>
      </c>
      <c r="B2170" s="27" t="s">
        <v>328</v>
      </c>
      <c r="C2170" s="27" t="s">
        <v>923</v>
      </c>
      <c r="D2170" s="26" t="s">
        <v>3663</v>
      </c>
      <c r="E2170" s="28">
        <v>46113.0</v>
      </c>
      <c r="F2170" s="28">
        <v>46171.0</v>
      </c>
      <c r="G2170" s="29"/>
    </row>
    <row r="2171" ht="15.75" customHeight="1">
      <c r="A2171" s="30" t="s">
        <v>5835</v>
      </c>
      <c r="B2171" s="31" t="s">
        <v>329</v>
      </c>
      <c r="C2171" s="31" t="s">
        <v>1240</v>
      </c>
      <c r="D2171" s="30" t="s">
        <v>3663</v>
      </c>
      <c r="E2171" s="32">
        <v>46113.0</v>
      </c>
      <c r="F2171" s="32">
        <v>46171.0</v>
      </c>
      <c r="G2171" s="33"/>
    </row>
    <row r="2172" ht="15.75" customHeight="1">
      <c r="A2172" s="26" t="s">
        <v>5836</v>
      </c>
      <c r="B2172" s="27" t="s">
        <v>329</v>
      </c>
      <c r="C2172" s="27" t="s">
        <v>1242</v>
      </c>
      <c r="D2172" s="26" t="s">
        <v>3663</v>
      </c>
      <c r="E2172" s="28">
        <v>46113.0</v>
      </c>
      <c r="F2172" s="28">
        <v>46171.0</v>
      </c>
      <c r="G2172" s="29"/>
    </row>
    <row r="2173" ht="15.75" customHeight="1">
      <c r="A2173" s="30" t="s">
        <v>5837</v>
      </c>
      <c r="B2173" s="31" t="s">
        <v>329</v>
      </c>
      <c r="C2173" s="31" t="s">
        <v>1244</v>
      </c>
      <c r="D2173" s="30" t="s">
        <v>3663</v>
      </c>
      <c r="E2173" s="32">
        <v>46113.0</v>
      </c>
      <c r="F2173" s="32">
        <v>46171.0</v>
      </c>
      <c r="G2173" s="33"/>
    </row>
    <row r="2174" ht="15.75" customHeight="1">
      <c r="A2174" s="26" t="s">
        <v>5838</v>
      </c>
      <c r="B2174" s="27" t="s">
        <v>329</v>
      </c>
      <c r="C2174" s="27" t="s">
        <v>1246</v>
      </c>
      <c r="D2174" s="26" t="s">
        <v>3663</v>
      </c>
      <c r="E2174" s="28">
        <v>46113.0</v>
      </c>
      <c r="F2174" s="28">
        <v>46171.0</v>
      </c>
      <c r="G2174" s="29"/>
    </row>
    <row r="2175" ht="15.75" customHeight="1">
      <c r="A2175" s="30" t="s">
        <v>5839</v>
      </c>
      <c r="B2175" s="31" t="s">
        <v>329</v>
      </c>
      <c r="C2175" s="31" t="s">
        <v>3654</v>
      </c>
      <c r="D2175" s="30" t="s">
        <v>3663</v>
      </c>
      <c r="E2175" s="32">
        <v>46113.0</v>
      </c>
      <c r="F2175" s="32">
        <v>46171.0</v>
      </c>
      <c r="G2175" s="33"/>
    </row>
    <row r="2176" ht="15.75" customHeight="1">
      <c r="A2176" s="26" t="s">
        <v>5840</v>
      </c>
      <c r="B2176" s="27" t="s">
        <v>329</v>
      </c>
      <c r="C2176" s="27" t="s">
        <v>3655</v>
      </c>
      <c r="D2176" s="26" t="s">
        <v>3663</v>
      </c>
      <c r="E2176" s="28">
        <v>46113.0</v>
      </c>
      <c r="F2176" s="28">
        <v>46171.0</v>
      </c>
      <c r="G2176" s="29"/>
    </row>
    <row r="2177" ht="15.75" customHeight="1">
      <c r="A2177" s="30" t="s">
        <v>5841</v>
      </c>
      <c r="B2177" s="31" t="s">
        <v>329</v>
      </c>
      <c r="C2177" s="31" t="s">
        <v>934</v>
      </c>
      <c r="D2177" s="30" t="s">
        <v>3663</v>
      </c>
      <c r="E2177" s="32">
        <v>46113.0</v>
      </c>
      <c r="F2177" s="32">
        <v>46171.0</v>
      </c>
      <c r="G2177" s="33"/>
    </row>
    <row r="2178" ht="15.75" customHeight="1">
      <c r="A2178" s="26" t="s">
        <v>5842</v>
      </c>
      <c r="B2178" s="27" t="s">
        <v>329</v>
      </c>
      <c r="C2178" s="27" t="s">
        <v>1354</v>
      </c>
      <c r="D2178" s="26" t="s">
        <v>3663</v>
      </c>
      <c r="E2178" s="28">
        <v>46113.0</v>
      </c>
      <c r="F2178" s="28">
        <v>46171.0</v>
      </c>
      <c r="G2178" s="29"/>
    </row>
    <row r="2179" ht="15.75" customHeight="1">
      <c r="A2179" s="30" t="s">
        <v>5843</v>
      </c>
      <c r="B2179" s="31" t="s">
        <v>329</v>
      </c>
      <c r="C2179" s="31" t="s">
        <v>1216</v>
      </c>
      <c r="D2179" s="30" t="s">
        <v>3663</v>
      </c>
      <c r="E2179" s="32">
        <v>46113.0</v>
      </c>
      <c r="F2179" s="32">
        <v>46171.0</v>
      </c>
      <c r="G2179" s="33"/>
    </row>
    <row r="2180" ht="15.75" customHeight="1">
      <c r="A2180" s="26" t="s">
        <v>5844</v>
      </c>
      <c r="B2180" s="27" t="s">
        <v>329</v>
      </c>
      <c r="C2180" s="27" t="s">
        <v>1218</v>
      </c>
      <c r="D2180" s="26" t="s">
        <v>3663</v>
      </c>
      <c r="E2180" s="28">
        <v>46113.0</v>
      </c>
      <c r="F2180" s="28">
        <v>46171.0</v>
      </c>
      <c r="G2180" s="29"/>
    </row>
    <row r="2181" ht="15.75" customHeight="1">
      <c r="A2181" s="30" t="s">
        <v>5845</v>
      </c>
      <c r="B2181" s="31" t="s">
        <v>329</v>
      </c>
      <c r="C2181" s="31" t="s">
        <v>1351</v>
      </c>
      <c r="D2181" s="30" t="s">
        <v>3663</v>
      </c>
      <c r="E2181" s="32">
        <v>46113.0</v>
      </c>
      <c r="F2181" s="32">
        <v>46171.0</v>
      </c>
      <c r="G2181" s="33"/>
    </row>
    <row r="2182" ht="15.75" customHeight="1">
      <c r="A2182" s="26" t="s">
        <v>5846</v>
      </c>
      <c r="B2182" s="27" t="s">
        <v>329</v>
      </c>
      <c r="C2182" s="27" t="s">
        <v>1349</v>
      </c>
      <c r="D2182" s="26" t="s">
        <v>3663</v>
      </c>
      <c r="E2182" s="28">
        <v>46113.0</v>
      </c>
      <c r="F2182" s="28">
        <v>46171.0</v>
      </c>
      <c r="G2182" s="29"/>
    </row>
    <row r="2183" ht="15.75" customHeight="1">
      <c r="A2183" s="30" t="s">
        <v>5847</v>
      </c>
      <c r="B2183" s="31" t="s">
        <v>329</v>
      </c>
      <c r="C2183" s="31" t="s">
        <v>965</v>
      </c>
      <c r="D2183" s="30" t="s">
        <v>3663</v>
      </c>
      <c r="E2183" s="32">
        <v>46113.0</v>
      </c>
      <c r="F2183" s="32">
        <v>46171.0</v>
      </c>
      <c r="G2183" s="33"/>
    </row>
    <row r="2184" ht="15.75" customHeight="1">
      <c r="A2184" s="26" t="s">
        <v>5848</v>
      </c>
      <c r="B2184" s="27" t="s">
        <v>329</v>
      </c>
      <c r="C2184" s="27" t="s">
        <v>923</v>
      </c>
      <c r="D2184" s="26" t="s">
        <v>3663</v>
      </c>
      <c r="E2184" s="28">
        <v>46113.0</v>
      </c>
      <c r="F2184" s="28">
        <v>46171.0</v>
      </c>
      <c r="G2184" s="29"/>
    </row>
    <row r="2185" ht="15.75" customHeight="1">
      <c r="A2185" s="30" t="s">
        <v>5849</v>
      </c>
      <c r="B2185" s="31" t="s">
        <v>330</v>
      </c>
      <c r="C2185" s="31" t="s">
        <v>932</v>
      </c>
      <c r="D2185" s="30" t="s">
        <v>3663</v>
      </c>
      <c r="E2185" s="32">
        <v>46113.0</v>
      </c>
      <c r="F2185" s="32">
        <v>46171.0</v>
      </c>
      <c r="G2185" s="33"/>
    </row>
    <row r="2186" ht="15.75" customHeight="1">
      <c r="A2186" s="26" t="s">
        <v>5850</v>
      </c>
      <c r="B2186" s="27" t="s">
        <v>330</v>
      </c>
      <c r="C2186" s="27" t="s">
        <v>1168</v>
      </c>
      <c r="D2186" s="26" t="s">
        <v>3663</v>
      </c>
      <c r="E2186" s="28">
        <v>46113.0</v>
      </c>
      <c r="F2186" s="28">
        <v>46171.0</v>
      </c>
      <c r="G2186" s="29"/>
    </row>
    <row r="2187" ht="15.75" customHeight="1">
      <c r="A2187" s="30" t="s">
        <v>5851</v>
      </c>
      <c r="B2187" s="31" t="s">
        <v>330</v>
      </c>
      <c r="C2187" s="31" t="s">
        <v>1170</v>
      </c>
      <c r="D2187" s="30" t="s">
        <v>3663</v>
      </c>
      <c r="E2187" s="32">
        <v>46113.0</v>
      </c>
      <c r="F2187" s="32">
        <v>46171.0</v>
      </c>
      <c r="G2187" s="33"/>
    </row>
    <row r="2188" ht="15.75" customHeight="1">
      <c r="A2188" s="26" t="s">
        <v>5852</v>
      </c>
      <c r="B2188" s="27" t="s">
        <v>330</v>
      </c>
      <c r="C2188" s="27" t="s">
        <v>1288</v>
      </c>
      <c r="D2188" s="26" t="s">
        <v>3663</v>
      </c>
      <c r="E2188" s="28">
        <v>46113.0</v>
      </c>
      <c r="F2188" s="28">
        <v>46171.0</v>
      </c>
      <c r="G2188" s="29"/>
    </row>
    <row r="2189" ht="15.75" customHeight="1">
      <c r="A2189" s="30" t="s">
        <v>5853</v>
      </c>
      <c r="B2189" s="31" t="s">
        <v>330</v>
      </c>
      <c r="C2189" s="31" t="s">
        <v>1291</v>
      </c>
      <c r="D2189" s="30" t="s">
        <v>3663</v>
      </c>
      <c r="E2189" s="32">
        <v>46113.0</v>
      </c>
      <c r="F2189" s="32">
        <v>46171.0</v>
      </c>
      <c r="G2189" s="33"/>
    </row>
    <row r="2190" ht="15.75" customHeight="1">
      <c r="A2190" s="26" t="s">
        <v>5854</v>
      </c>
      <c r="B2190" s="27" t="s">
        <v>330</v>
      </c>
      <c r="C2190" s="27" t="s">
        <v>1354</v>
      </c>
      <c r="D2190" s="26" t="s">
        <v>3663</v>
      </c>
      <c r="E2190" s="28">
        <v>46113.0</v>
      </c>
      <c r="F2190" s="28">
        <v>46171.0</v>
      </c>
      <c r="G2190" s="29"/>
    </row>
    <row r="2191" ht="15.75" customHeight="1">
      <c r="A2191" s="30" t="s">
        <v>5855</v>
      </c>
      <c r="B2191" s="31" t="s">
        <v>330</v>
      </c>
      <c r="C2191" s="31" t="s">
        <v>1159</v>
      </c>
      <c r="D2191" s="30" t="s">
        <v>3663</v>
      </c>
      <c r="E2191" s="32">
        <v>46113.0</v>
      </c>
      <c r="F2191" s="32">
        <v>46171.0</v>
      </c>
      <c r="G2191" s="33"/>
    </row>
    <row r="2192" ht="15.75" customHeight="1">
      <c r="A2192" s="26" t="s">
        <v>5856</v>
      </c>
      <c r="B2192" s="27" t="s">
        <v>330</v>
      </c>
      <c r="C2192" s="27" t="s">
        <v>3656</v>
      </c>
      <c r="D2192" s="26" t="s">
        <v>3663</v>
      </c>
      <c r="E2192" s="28">
        <v>46113.0</v>
      </c>
      <c r="F2192" s="28">
        <v>46171.0</v>
      </c>
      <c r="G2192" s="29"/>
    </row>
    <row r="2193" ht="15.75" customHeight="1">
      <c r="A2193" s="30" t="s">
        <v>5857</v>
      </c>
      <c r="B2193" s="31" t="s">
        <v>330</v>
      </c>
      <c r="C2193" s="31" t="s">
        <v>3657</v>
      </c>
      <c r="D2193" s="30" t="s">
        <v>3663</v>
      </c>
      <c r="E2193" s="32">
        <v>46113.0</v>
      </c>
      <c r="F2193" s="32">
        <v>46171.0</v>
      </c>
      <c r="G2193" s="33"/>
    </row>
    <row r="2194" ht="15.75" customHeight="1">
      <c r="A2194" s="26" t="s">
        <v>5858</v>
      </c>
      <c r="B2194" s="27" t="s">
        <v>330</v>
      </c>
      <c r="C2194" s="27" t="s">
        <v>1216</v>
      </c>
      <c r="D2194" s="26" t="s">
        <v>3663</v>
      </c>
      <c r="E2194" s="28">
        <v>46113.0</v>
      </c>
      <c r="F2194" s="28">
        <v>46171.0</v>
      </c>
      <c r="G2194" s="29"/>
    </row>
    <row r="2195" ht="15.75" customHeight="1">
      <c r="A2195" s="30" t="s">
        <v>5859</v>
      </c>
      <c r="B2195" s="31" t="s">
        <v>330</v>
      </c>
      <c r="C2195" s="31" t="s">
        <v>1351</v>
      </c>
      <c r="D2195" s="30" t="s">
        <v>3663</v>
      </c>
      <c r="E2195" s="32">
        <v>46113.0</v>
      </c>
      <c r="F2195" s="32">
        <v>46171.0</v>
      </c>
      <c r="G2195" s="33"/>
    </row>
    <row r="2196" ht="15.75" customHeight="1">
      <c r="A2196" s="26" t="s">
        <v>5860</v>
      </c>
      <c r="B2196" s="27" t="s">
        <v>330</v>
      </c>
      <c r="C2196" s="27" t="s">
        <v>1349</v>
      </c>
      <c r="D2196" s="26" t="s">
        <v>3663</v>
      </c>
      <c r="E2196" s="28">
        <v>46113.0</v>
      </c>
      <c r="F2196" s="28">
        <v>46171.0</v>
      </c>
      <c r="G2196" s="29"/>
    </row>
    <row r="2197" ht="15.75" customHeight="1">
      <c r="A2197" s="30" t="s">
        <v>5861</v>
      </c>
      <c r="B2197" s="31" t="s">
        <v>330</v>
      </c>
      <c r="C2197" s="31" t="s">
        <v>968</v>
      </c>
      <c r="D2197" s="30" t="s">
        <v>3663</v>
      </c>
      <c r="E2197" s="32">
        <v>46113.0</v>
      </c>
      <c r="F2197" s="32">
        <v>46171.0</v>
      </c>
      <c r="G2197" s="33"/>
    </row>
    <row r="2198" ht="15.75" customHeight="1">
      <c r="A2198" s="26" t="s">
        <v>5862</v>
      </c>
      <c r="B2198" s="27" t="s">
        <v>330</v>
      </c>
      <c r="C2198" s="27" t="s">
        <v>923</v>
      </c>
      <c r="D2198" s="26" t="s">
        <v>3663</v>
      </c>
      <c r="E2198" s="28">
        <v>46113.0</v>
      </c>
      <c r="F2198" s="28">
        <v>46171.0</v>
      </c>
      <c r="G2198" s="29"/>
    </row>
    <row r="2199" ht="15.75" customHeight="1">
      <c r="A2199" s="30" t="s">
        <v>5863</v>
      </c>
      <c r="B2199" s="31" t="s">
        <v>331</v>
      </c>
      <c r="C2199" s="31" t="s">
        <v>1240</v>
      </c>
      <c r="D2199" s="30" t="s">
        <v>3663</v>
      </c>
      <c r="E2199" s="32">
        <v>46113.0</v>
      </c>
      <c r="F2199" s="32">
        <v>46171.0</v>
      </c>
      <c r="G2199" s="33"/>
    </row>
    <row r="2200" ht="15.75" customHeight="1">
      <c r="A2200" s="26" t="s">
        <v>5864</v>
      </c>
      <c r="B2200" s="27" t="s">
        <v>331</v>
      </c>
      <c r="C2200" s="27" t="s">
        <v>1242</v>
      </c>
      <c r="D2200" s="26" t="s">
        <v>3663</v>
      </c>
      <c r="E2200" s="28">
        <v>46113.0</v>
      </c>
      <c r="F2200" s="28">
        <v>46171.0</v>
      </c>
      <c r="G2200" s="29"/>
    </row>
    <row r="2201" ht="15.75" customHeight="1">
      <c r="A2201" s="30" t="s">
        <v>5865</v>
      </c>
      <c r="B2201" s="31" t="s">
        <v>331</v>
      </c>
      <c r="C2201" s="31" t="s">
        <v>1244</v>
      </c>
      <c r="D2201" s="30" t="s">
        <v>3663</v>
      </c>
      <c r="E2201" s="32">
        <v>46113.0</v>
      </c>
      <c r="F2201" s="32">
        <v>46171.0</v>
      </c>
      <c r="G2201" s="33"/>
    </row>
    <row r="2202" ht="15.75" customHeight="1">
      <c r="A2202" s="26" t="s">
        <v>5866</v>
      </c>
      <c r="B2202" s="27" t="s">
        <v>331</v>
      </c>
      <c r="C2202" s="27" t="s">
        <v>1246</v>
      </c>
      <c r="D2202" s="26" t="s">
        <v>3663</v>
      </c>
      <c r="E2202" s="28">
        <v>46113.0</v>
      </c>
      <c r="F2202" s="28">
        <v>46171.0</v>
      </c>
      <c r="G2202" s="29"/>
    </row>
    <row r="2203" ht="15.75" customHeight="1">
      <c r="A2203" s="30" t="s">
        <v>5867</v>
      </c>
      <c r="B2203" s="31" t="s">
        <v>331</v>
      </c>
      <c r="C2203" s="31" t="s">
        <v>3654</v>
      </c>
      <c r="D2203" s="30" t="s">
        <v>3663</v>
      </c>
      <c r="E2203" s="32">
        <v>46113.0</v>
      </c>
      <c r="F2203" s="32">
        <v>46171.0</v>
      </c>
      <c r="G2203" s="33"/>
    </row>
    <row r="2204" ht="15.75" customHeight="1">
      <c r="A2204" s="26" t="s">
        <v>5868</v>
      </c>
      <c r="B2204" s="27" t="s">
        <v>331</v>
      </c>
      <c r="C2204" s="27" t="s">
        <v>3655</v>
      </c>
      <c r="D2204" s="26" t="s">
        <v>3663</v>
      </c>
      <c r="E2204" s="28">
        <v>46113.0</v>
      </c>
      <c r="F2204" s="28">
        <v>46171.0</v>
      </c>
      <c r="G2204" s="29"/>
    </row>
    <row r="2205" ht="15.75" customHeight="1">
      <c r="A2205" s="30" t="s">
        <v>5869</v>
      </c>
      <c r="B2205" s="31" t="s">
        <v>331</v>
      </c>
      <c r="C2205" s="31" t="s">
        <v>934</v>
      </c>
      <c r="D2205" s="30" t="s">
        <v>3663</v>
      </c>
      <c r="E2205" s="32">
        <v>46113.0</v>
      </c>
      <c r="F2205" s="32">
        <v>46171.0</v>
      </c>
      <c r="G2205" s="33"/>
    </row>
    <row r="2206" ht="15.75" customHeight="1">
      <c r="A2206" s="26" t="s">
        <v>5870</v>
      </c>
      <c r="B2206" s="27" t="s">
        <v>331</v>
      </c>
      <c r="C2206" s="27" t="s">
        <v>1354</v>
      </c>
      <c r="D2206" s="26" t="s">
        <v>3663</v>
      </c>
      <c r="E2206" s="28">
        <v>46113.0</v>
      </c>
      <c r="F2206" s="28">
        <v>46171.0</v>
      </c>
      <c r="G2206" s="29"/>
    </row>
    <row r="2207" ht="15.75" customHeight="1">
      <c r="A2207" s="30" t="s">
        <v>5871</v>
      </c>
      <c r="B2207" s="31" t="s">
        <v>331</v>
      </c>
      <c r="C2207" s="31" t="s">
        <v>1218</v>
      </c>
      <c r="D2207" s="30" t="s">
        <v>3663</v>
      </c>
      <c r="E2207" s="32">
        <v>46113.0</v>
      </c>
      <c r="F2207" s="32">
        <v>46171.0</v>
      </c>
      <c r="G2207" s="33"/>
    </row>
    <row r="2208" ht="15.75" customHeight="1">
      <c r="A2208" s="26" t="s">
        <v>5872</v>
      </c>
      <c r="B2208" s="27" t="s">
        <v>331</v>
      </c>
      <c r="C2208" s="27" t="s">
        <v>1351</v>
      </c>
      <c r="D2208" s="26" t="s">
        <v>3663</v>
      </c>
      <c r="E2208" s="28">
        <v>46113.0</v>
      </c>
      <c r="F2208" s="28">
        <v>46171.0</v>
      </c>
      <c r="G2208" s="29"/>
    </row>
    <row r="2209" ht="15.75" customHeight="1">
      <c r="A2209" s="30" t="s">
        <v>5873</v>
      </c>
      <c r="B2209" s="31" t="s">
        <v>331</v>
      </c>
      <c r="C2209" s="31" t="s">
        <v>1349</v>
      </c>
      <c r="D2209" s="30" t="s">
        <v>3663</v>
      </c>
      <c r="E2209" s="32">
        <v>46113.0</v>
      </c>
      <c r="F2209" s="32">
        <v>46171.0</v>
      </c>
      <c r="G2209" s="33"/>
    </row>
    <row r="2210" ht="15.75" customHeight="1">
      <c r="A2210" s="26" t="s">
        <v>5874</v>
      </c>
      <c r="B2210" s="27" t="s">
        <v>331</v>
      </c>
      <c r="C2210" s="27" t="s">
        <v>968</v>
      </c>
      <c r="D2210" s="26" t="s">
        <v>3663</v>
      </c>
      <c r="E2210" s="28">
        <v>46113.0</v>
      </c>
      <c r="F2210" s="28">
        <v>46171.0</v>
      </c>
      <c r="G2210" s="29"/>
    </row>
    <row r="2211" ht="15.75" customHeight="1">
      <c r="A2211" s="30" t="s">
        <v>5875</v>
      </c>
      <c r="B2211" s="31" t="s">
        <v>331</v>
      </c>
      <c r="C2211" s="31" t="s">
        <v>923</v>
      </c>
      <c r="D2211" s="30" t="s">
        <v>3663</v>
      </c>
      <c r="E2211" s="32">
        <v>46113.0</v>
      </c>
      <c r="F2211" s="32">
        <v>46171.0</v>
      </c>
      <c r="G2211" s="33"/>
    </row>
    <row r="2212" ht="15.75" customHeight="1">
      <c r="A2212" s="26" t="s">
        <v>5876</v>
      </c>
      <c r="B2212" s="27" t="s">
        <v>331</v>
      </c>
      <c r="C2212" s="27" t="s">
        <v>955</v>
      </c>
      <c r="D2212" s="26" t="s">
        <v>3663</v>
      </c>
      <c r="E2212" s="28">
        <v>46113.0</v>
      </c>
      <c r="F2212" s="28">
        <v>46171.0</v>
      </c>
      <c r="G2212" s="29"/>
    </row>
    <row r="2213" ht="15.75" customHeight="1">
      <c r="A2213" s="30" t="s">
        <v>5877</v>
      </c>
      <c r="B2213" s="31" t="s">
        <v>332</v>
      </c>
      <c r="C2213" s="31" t="s">
        <v>3654</v>
      </c>
      <c r="D2213" s="30" t="s">
        <v>3663</v>
      </c>
      <c r="E2213" s="32">
        <v>46113.0</v>
      </c>
      <c r="F2213" s="32">
        <v>46171.0</v>
      </c>
      <c r="G2213" s="33"/>
    </row>
    <row r="2214" ht="15.75" customHeight="1">
      <c r="A2214" s="26" t="s">
        <v>5878</v>
      </c>
      <c r="B2214" s="27" t="s">
        <v>332</v>
      </c>
      <c r="C2214" s="27" t="s">
        <v>3655</v>
      </c>
      <c r="D2214" s="26" t="s">
        <v>3663</v>
      </c>
      <c r="E2214" s="28">
        <v>46113.0</v>
      </c>
      <c r="F2214" s="28">
        <v>46171.0</v>
      </c>
      <c r="G2214" s="29"/>
    </row>
    <row r="2215" ht="15.75" customHeight="1">
      <c r="A2215" s="30" t="s">
        <v>5879</v>
      </c>
      <c r="B2215" s="31" t="s">
        <v>332</v>
      </c>
      <c r="C2215" s="31" t="s">
        <v>926</v>
      </c>
      <c r="D2215" s="31" t="s">
        <v>3663</v>
      </c>
      <c r="E2215" s="32">
        <v>46113.0</v>
      </c>
      <c r="F2215" s="32">
        <v>46171.0</v>
      </c>
      <c r="G2215" s="33"/>
    </row>
    <row r="2216" ht="15.75" customHeight="1">
      <c r="A2216" s="26" t="s">
        <v>5880</v>
      </c>
      <c r="B2216" s="27" t="s">
        <v>332</v>
      </c>
      <c r="C2216" s="27" t="s">
        <v>1354</v>
      </c>
      <c r="D2216" s="26" t="s">
        <v>3663</v>
      </c>
      <c r="E2216" s="28">
        <v>46113.0</v>
      </c>
      <c r="F2216" s="28">
        <v>46171.0</v>
      </c>
      <c r="G2216" s="29"/>
    </row>
    <row r="2217" ht="15.75" customHeight="1">
      <c r="A2217" s="30" t="s">
        <v>5881</v>
      </c>
      <c r="B2217" s="31" t="s">
        <v>332</v>
      </c>
      <c r="C2217" s="31" t="s">
        <v>1159</v>
      </c>
      <c r="D2217" s="30" t="s">
        <v>3663</v>
      </c>
      <c r="E2217" s="32">
        <v>46113.0</v>
      </c>
      <c r="F2217" s="32">
        <v>46171.0</v>
      </c>
      <c r="G2217" s="33"/>
    </row>
    <row r="2218" ht="15.75" customHeight="1">
      <c r="A2218" s="26" t="s">
        <v>5882</v>
      </c>
      <c r="B2218" s="27" t="s">
        <v>332</v>
      </c>
      <c r="C2218" s="27" t="s">
        <v>3647</v>
      </c>
      <c r="D2218" s="26" t="s">
        <v>3663</v>
      </c>
      <c r="E2218" s="28">
        <v>46113.0</v>
      </c>
      <c r="F2218" s="28">
        <v>46171.0</v>
      </c>
      <c r="G2218" s="29"/>
    </row>
    <row r="2219" ht="15.75" customHeight="1">
      <c r="A2219" s="30" t="s">
        <v>5883</v>
      </c>
      <c r="B2219" s="31" t="s">
        <v>332</v>
      </c>
      <c r="C2219" s="31" t="s">
        <v>952</v>
      </c>
      <c r="D2219" s="30" t="s">
        <v>3663</v>
      </c>
      <c r="E2219" s="32">
        <v>46113.0</v>
      </c>
      <c r="F2219" s="32">
        <v>46171.0</v>
      </c>
      <c r="G2219" s="33"/>
    </row>
    <row r="2220" ht="15.75" customHeight="1">
      <c r="A2220" s="26" t="s">
        <v>5884</v>
      </c>
      <c r="B2220" s="27" t="s">
        <v>332</v>
      </c>
      <c r="C2220" s="27" t="s">
        <v>3648</v>
      </c>
      <c r="D2220" s="27" t="s">
        <v>3663</v>
      </c>
      <c r="E2220" s="28">
        <v>46113.0</v>
      </c>
      <c r="F2220" s="28">
        <v>46171.0</v>
      </c>
      <c r="G2220" s="29"/>
    </row>
    <row r="2221" ht="15.75" customHeight="1">
      <c r="A2221" s="30" t="s">
        <v>5885</v>
      </c>
      <c r="B2221" s="31" t="s">
        <v>332</v>
      </c>
      <c r="C2221" s="31" t="s">
        <v>3649</v>
      </c>
      <c r="D2221" s="31" t="s">
        <v>3663</v>
      </c>
      <c r="E2221" s="32">
        <v>46113.0</v>
      </c>
      <c r="F2221" s="32">
        <v>46171.0</v>
      </c>
      <c r="G2221" s="33"/>
    </row>
    <row r="2222" ht="15.75" customHeight="1">
      <c r="A2222" s="26" t="s">
        <v>5886</v>
      </c>
      <c r="B2222" s="27" t="s">
        <v>332</v>
      </c>
      <c r="C2222" s="27" t="s">
        <v>3650</v>
      </c>
      <c r="D2222" s="27" t="s">
        <v>3663</v>
      </c>
      <c r="E2222" s="28">
        <v>46113.0</v>
      </c>
      <c r="F2222" s="28">
        <v>46171.0</v>
      </c>
      <c r="G2222" s="29"/>
    </row>
    <row r="2223" ht="15.75" customHeight="1">
      <c r="A2223" s="30" t="s">
        <v>5887</v>
      </c>
      <c r="B2223" s="31" t="s">
        <v>332</v>
      </c>
      <c r="C2223" s="31" t="s">
        <v>1283</v>
      </c>
      <c r="D2223" s="31" t="s">
        <v>3663</v>
      </c>
      <c r="E2223" s="32">
        <v>46113.0</v>
      </c>
      <c r="F2223" s="32">
        <v>46171.0</v>
      </c>
      <c r="G2223" s="33"/>
    </row>
    <row r="2224" ht="15.75" customHeight="1">
      <c r="A2224" s="26" t="s">
        <v>5888</v>
      </c>
      <c r="B2224" s="27" t="s">
        <v>332</v>
      </c>
      <c r="C2224" s="27" t="s">
        <v>1216</v>
      </c>
      <c r="D2224" s="26" t="s">
        <v>3663</v>
      </c>
      <c r="E2224" s="28">
        <v>46113.0</v>
      </c>
      <c r="F2224" s="28">
        <v>46171.0</v>
      </c>
      <c r="G2224" s="29"/>
    </row>
    <row r="2225" ht="15.75" customHeight="1">
      <c r="A2225" s="30" t="s">
        <v>5889</v>
      </c>
      <c r="B2225" s="31" t="s">
        <v>332</v>
      </c>
      <c r="C2225" s="31" t="s">
        <v>968</v>
      </c>
      <c r="D2225" s="30" t="s">
        <v>3663</v>
      </c>
      <c r="E2225" s="32">
        <v>46113.0</v>
      </c>
      <c r="F2225" s="32">
        <v>46171.0</v>
      </c>
      <c r="G2225" s="33"/>
    </row>
    <row r="2226" ht="15.75" customHeight="1">
      <c r="A2226" s="26" t="s">
        <v>5890</v>
      </c>
      <c r="B2226" s="27" t="s">
        <v>332</v>
      </c>
      <c r="C2226" s="27" t="s">
        <v>923</v>
      </c>
      <c r="D2226" s="27" t="s">
        <v>3663</v>
      </c>
      <c r="E2226" s="28">
        <v>46113.0</v>
      </c>
      <c r="F2226" s="28">
        <v>46171.0</v>
      </c>
      <c r="G2226" s="29"/>
    </row>
    <row r="2227" ht="15.75" customHeight="1">
      <c r="A2227" s="30" t="s">
        <v>5891</v>
      </c>
      <c r="B2227" s="31" t="s">
        <v>333</v>
      </c>
      <c r="C2227" s="31" t="s">
        <v>1240</v>
      </c>
      <c r="D2227" s="30" t="s">
        <v>3663</v>
      </c>
      <c r="E2227" s="32">
        <v>46113.0</v>
      </c>
      <c r="F2227" s="32">
        <v>46171.0</v>
      </c>
      <c r="G2227" s="33"/>
    </row>
    <row r="2228" ht="15.75" customHeight="1">
      <c r="A2228" s="26" t="s">
        <v>5892</v>
      </c>
      <c r="B2228" s="27" t="s">
        <v>333</v>
      </c>
      <c r="C2228" s="27" t="s">
        <v>1242</v>
      </c>
      <c r="D2228" s="26" t="s">
        <v>3663</v>
      </c>
      <c r="E2228" s="28">
        <v>46113.0</v>
      </c>
      <c r="F2228" s="28">
        <v>46171.0</v>
      </c>
      <c r="G2228" s="29"/>
    </row>
    <row r="2229" ht="15.75" customHeight="1">
      <c r="A2229" s="30" t="s">
        <v>5893</v>
      </c>
      <c r="B2229" s="31" t="s">
        <v>333</v>
      </c>
      <c r="C2229" s="31" t="s">
        <v>1244</v>
      </c>
      <c r="D2229" s="30" t="s">
        <v>3663</v>
      </c>
      <c r="E2229" s="32">
        <v>46113.0</v>
      </c>
      <c r="F2229" s="32">
        <v>46171.0</v>
      </c>
      <c r="G2229" s="33"/>
    </row>
    <row r="2230" ht="15.75" customHeight="1">
      <c r="A2230" s="26" t="s">
        <v>5894</v>
      </c>
      <c r="B2230" s="27" t="s">
        <v>333</v>
      </c>
      <c r="C2230" s="27" t="s">
        <v>1246</v>
      </c>
      <c r="D2230" s="26" t="s">
        <v>3663</v>
      </c>
      <c r="E2230" s="28">
        <v>46113.0</v>
      </c>
      <c r="F2230" s="28">
        <v>46171.0</v>
      </c>
      <c r="G2230" s="29"/>
    </row>
    <row r="2231" ht="15.75" customHeight="1">
      <c r="A2231" s="30" t="s">
        <v>5895</v>
      </c>
      <c r="B2231" s="31" t="s">
        <v>333</v>
      </c>
      <c r="C2231" s="31" t="s">
        <v>934</v>
      </c>
      <c r="D2231" s="30" t="s">
        <v>3663</v>
      </c>
      <c r="E2231" s="32">
        <v>46113.0</v>
      </c>
      <c r="F2231" s="32">
        <v>46171.0</v>
      </c>
      <c r="G2231" s="33"/>
    </row>
    <row r="2232" ht="15.75" customHeight="1">
      <c r="A2232" s="26" t="s">
        <v>5896</v>
      </c>
      <c r="B2232" s="27" t="s">
        <v>333</v>
      </c>
      <c r="C2232" s="27" t="s">
        <v>1354</v>
      </c>
      <c r="D2232" s="26" t="s">
        <v>3663</v>
      </c>
      <c r="E2232" s="28">
        <v>46113.0</v>
      </c>
      <c r="F2232" s="28">
        <v>46171.0</v>
      </c>
      <c r="G2232" s="29"/>
    </row>
    <row r="2233" ht="15.75" customHeight="1">
      <c r="A2233" s="30" t="s">
        <v>5897</v>
      </c>
      <c r="B2233" s="31" t="s">
        <v>333</v>
      </c>
      <c r="C2233" s="31" t="s">
        <v>1159</v>
      </c>
      <c r="D2233" s="30" t="s">
        <v>3663</v>
      </c>
      <c r="E2233" s="32">
        <v>46113.0</v>
      </c>
      <c r="F2233" s="32">
        <v>46171.0</v>
      </c>
      <c r="G2233" s="33"/>
    </row>
    <row r="2234" ht="15.75" customHeight="1">
      <c r="A2234" s="26" t="s">
        <v>5898</v>
      </c>
      <c r="B2234" s="27" t="s">
        <v>333</v>
      </c>
      <c r="C2234" s="27" t="s">
        <v>3656</v>
      </c>
      <c r="D2234" s="26" t="s">
        <v>3663</v>
      </c>
      <c r="E2234" s="28">
        <v>46113.0</v>
      </c>
      <c r="F2234" s="28">
        <v>46171.0</v>
      </c>
      <c r="G2234" s="29"/>
    </row>
    <row r="2235" ht="15.75" customHeight="1">
      <c r="A2235" s="30" t="s">
        <v>5899</v>
      </c>
      <c r="B2235" s="31" t="s">
        <v>333</v>
      </c>
      <c r="C2235" s="31" t="s">
        <v>3657</v>
      </c>
      <c r="D2235" s="30" t="s">
        <v>3663</v>
      </c>
      <c r="E2235" s="32">
        <v>46113.0</v>
      </c>
      <c r="F2235" s="32">
        <v>46171.0</v>
      </c>
      <c r="G2235" s="33"/>
    </row>
    <row r="2236" ht="15.75" customHeight="1">
      <c r="A2236" s="26" t="s">
        <v>5900</v>
      </c>
      <c r="B2236" s="27" t="s">
        <v>333</v>
      </c>
      <c r="C2236" s="27" t="s">
        <v>1216</v>
      </c>
      <c r="D2236" s="26" t="s">
        <v>3663</v>
      </c>
      <c r="E2236" s="28">
        <v>46113.0</v>
      </c>
      <c r="F2236" s="28">
        <v>46171.0</v>
      </c>
      <c r="G2236" s="29"/>
    </row>
    <row r="2237" ht="15.75" customHeight="1">
      <c r="A2237" s="30" t="s">
        <v>5901</v>
      </c>
      <c r="B2237" s="31" t="s">
        <v>333</v>
      </c>
      <c r="C2237" s="31" t="s">
        <v>1351</v>
      </c>
      <c r="D2237" s="30" t="s">
        <v>3663</v>
      </c>
      <c r="E2237" s="32">
        <v>46113.0</v>
      </c>
      <c r="F2237" s="32">
        <v>46171.0</v>
      </c>
      <c r="G2237" s="33"/>
    </row>
    <row r="2238" ht="15.75" customHeight="1">
      <c r="A2238" s="26" t="s">
        <v>5902</v>
      </c>
      <c r="B2238" s="27" t="s">
        <v>333</v>
      </c>
      <c r="C2238" s="27" t="s">
        <v>1349</v>
      </c>
      <c r="D2238" s="26" t="s">
        <v>3663</v>
      </c>
      <c r="E2238" s="28">
        <v>46113.0</v>
      </c>
      <c r="F2238" s="28">
        <v>46171.0</v>
      </c>
      <c r="G2238" s="29"/>
    </row>
    <row r="2239" ht="15.75" customHeight="1">
      <c r="A2239" s="30" t="s">
        <v>5903</v>
      </c>
      <c r="B2239" s="31" t="s">
        <v>333</v>
      </c>
      <c r="C2239" s="31" t="s">
        <v>968</v>
      </c>
      <c r="D2239" s="30" t="s">
        <v>3663</v>
      </c>
      <c r="E2239" s="32">
        <v>46113.0</v>
      </c>
      <c r="F2239" s="32">
        <v>46171.0</v>
      </c>
      <c r="G2239" s="33"/>
    </row>
    <row r="2240" ht="15.75" customHeight="1">
      <c r="A2240" s="26" t="s">
        <v>5904</v>
      </c>
      <c r="B2240" s="27" t="s">
        <v>333</v>
      </c>
      <c r="C2240" s="27" t="s">
        <v>923</v>
      </c>
      <c r="D2240" s="26" t="s">
        <v>3663</v>
      </c>
      <c r="E2240" s="28">
        <v>46113.0</v>
      </c>
      <c r="F2240" s="28">
        <v>46171.0</v>
      </c>
      <c r="G2240" s="29"/>
    </row>
    <row r="2241" ht="15.75" customHeight="1">
      <c r="A2241" s="30" t="s">
        <v>5905</v>
      </c>
      <c r="B2241" s="31" t="s">
        <v>334</v>
      </c>
      <c r="C2241" s="31" t="s">
        <v>3654</v>
      </c>
      <c r="D2241" s="30" t="s">
        <v>3663</v>
      </c>
      <c r="E2241" s="32">
        <v>46113.0</v>
      </c>
      <c r="F2241" s="32">
        <v>46171.0</v>
      </c>
      <c r="G2241" s="33"/>
    </row>
    <row r="2242" ht="15.75" customHeight="1">
      <c r="A2242" s="26" t="s">
        <v>5906</v>
      </c>
      <c r="B2242" s="27" t="s">
        <v>334</v>
      </c>
      <c r="C2242" s="27" t="s">
        <v>3655</v>
      </c>
      <c r="D2242" s="26" t="s">
        <v>3663</v>
      </c>
      <c r="E2242" s="28">
        <v>46113.0</v>
      </c>
      <c r="F2242" s="28">
        <v>46171.0</v>
      </c>
      <c r="G2242" s="29"/>
    </row>
    <row r="2243" ht="15.75" customHeight="1">
      <c r="A2243" s="30" t="s">
        <v>5907</v>
      </c>
      <c r="B2243" s="31" t="s">
        <v>334</v>
      </c>
      <c r="C2243" s="31" t="s">
        <v>934</v>
      </c>
      <c r="D2243" s="30" t="s">
        <v>3663</v>
      </c>
      <c r="E2243" s="32">
        <v>46113.0</v>
      </c>
      <c r="F2243" s="32">
        <v>46171.0</v>
      </c>
      <c r="G2243" s="33"/>
    </row>
    <row r="2244" ht="15.75" customHeight="1">
      <c r="A2244" s="26" t="s">
        <v>5908</v>
      </c>
      <c r="B2244" s="27" t="s">
        <v>334</v>
      </c>
      <c r="C2244" s="27" t="s">
        <v>1354</v>
      </c>
      <c r="D2244" s="26" t="s">
        <v>3663</v>
      </c>
      <c r="E2244" s="28">
        <v>46113.0</v>
      </c>
      <c r="F2244" s="28">
        <v>46171.0</v>
      </c>
      <c r="G2244" s="29"/>
    </row>
    <row r="2245" ht="15.75" customHeight="1">
      <c r="A2245" s="30" t="s">
        <v>5909</v>
      </c>
      <c r="B2245" s="31" t="s">
        <v>334</v>
      </c>
      <c r="C2245" s="31" t="s">
        <v>1159</v>
      </c>
      <c r="D2245" s="30" t="s">
        <v>3663</v>
      </c>
      <c r="E2245" s="32">
        <v>46113.0</v>
      </c>
      <c r="F2245" s="32">
        <v>46171.0</v>
      </c>
      <c r="G2245" s="33"/>
    </row>
    <row r="2246" ht="15.75" customHeight="1">
      <c r="A2246" s="26" t="s">
        <v>5910</v>
      </c>
      <c r="B2246" s="27" t="s">
        <v>334</v>
      </c>
      <c r="C2246" s="27" t="s">
        <v>1216</v>
      </c>
      <c r="D2246" s="26" t="s">
        <v>3663</v>
      </c>
      <c r="E2246" s="28">
        <v>46113.0</v>
      </c>
      <c r="F2246" s="28">
        <v>46171.0</v>
      </c>
      <c r="G2246" s="29"/>
    </row>
    <row r="2247" ht="15.75" customHeight="1">
      <c r="A2247" s="30" t="s">
        <v>5911</v>
      </c>
      <c r="B2247" s="31" t="s">
        <v>334</v>
      </c>
      <c r="C2247" s="31" t="s">
        <v>1157</v>
      </c>
      <c r="D2247" s="30" t="s">
        <v>3663</v>
      </c>
      <c r="E2247" s="32">
        <v>46113.0</v>
      </c>
      <c r="F2247" s="32">
        <v>46171.0</v>
      </c>
      <c r="G2247" s="33"/>
    </row>
    <row r="2248" ht="15.75" customHeight="1">
      <c r="A2248" s="26" t="s">
        <v>5912</v>
      </c>
      <c r="B2248" s="27" t="s">
        <v>334</v>
      </c>
      <c r="C2248" s="27" t="s">
        <v>1155</v>
      </c>
      <c r="D2248" s="26" t="s">
        <v>3663</v>
      </c>
      <c r="E2248" s="28">
        <v>46113.0</v>
      </c>
      <c r="F2248" s="28">
        <v>46171.0</v>
      </c>
      <c r="G2248" s="29"/>
    </row>
    <row r="2249" ht="15.75" customHeight="1">
      <c r="A2249" s="30" t="s">
        <v>5913</v>
      </c>
      <c r="B2249" s="31" t="s">
        <v>334</v>
      </c>
      <c r="C2249" s="31" t="s">
        <v>1153</v>
      </c>
      <c r="D2249" s="30" t="s">
        <v>3663</v>
      </c>
      <c r="E2249" s="32">
        <v>46113.0</v>
      </c>
      <c r="F2249" s="32">
        <v>46171.0</v>
      </c>
      <c r="G2249" s="33"/>
    </row>
    <row r="2250" ht="15.75" customHeight="1">
      <c r="A2250" s="26" t="s">
        <v>5914</v>
      </c>
      <c r="B2250" s="27" t="s">
        <v>334</v>
      </c>
      <c r="C2250" s="27" t="s">
        <v>1149</v>
      </c>
      <c r="D2250" s="26" t="s">
        <v>3663</v>
      </c>
      <c r="E2250" s="28">
        <v>46113.0</v>
      </c>
      <c r="F2250" s="28">
        <v>46171.0</v>
      </c>
      <c r="G2250" s="29"/>
    </row>
    <row r="2251" ht="15.75" customHeight="1">
      <c r="A2251" s="30" t="s">
        <v>5915</v>
      </c>
      <c r="B2251" s="31" t="s">
        <v>334</v>
      </c>
      <c r="C2251" s="31" t="s">
        <v>1351</v>
      </c>
      <c r="D2251" s="30" t="s">
        <v>3663</v>
      </c>
      <c r="E2251" s="32">
        <v>46113.0</v>
      </c>
      <c r="F2251" s="32">
        <v>46171.0</v>
      </c>
      <c r="G2251" s="33"/>
    </row>
    <row r="2252" ht="15.75" customHeight="1">
      <c r="A2252" s="26" t="s">
        <v>5916</v>
      </c>
      <c r="B2252" s="27" t="s">
        <v>334</v>
      </c>
      <c r="C2252" s="27" t="s">
        <v>1349</v>
      </c>
      <c r="D2252" s="26" t="s">
        <v>3663</v>
      </c>
      <c r="E2252" s="28">
        <v>46113.0</v>
      </c>
      <c r="F2252" s="28">
        <v>46171.0</v>
      </c>
      <c r="G2252" s="29"/>
    </row>
    <row r="2253" ht="15.75" customHeight="1">
      <c r="A2253" s="30" t="s">
        <v>5917</v>
      </c>
      <c r="B2253" s="31" t="s">
        <v>334</v>
      </c>
      <c r="C2253" s="31" t="s">
        <v>965</v>
      </c>
      <c r="D2253" s="30" t="s">
        <v>3663</v>
      </c>
      <c r="E2253" s="32">
        <v>46113.0</v>
      </c>
      <c r="F2253" s="32">
        <v>46171.0</v>
      </c>
      <c r="G2253" s="33"/>
    </row>
    <row r="2254" ht="15.75" customHeight="1">
      <c r="A2254" s="26" t="s">
        <v>5918</v>
      </c>
      <c r="B2254" s="27" t="s">
        <v>334</v>
      </c>
      <c r="C2254" s="27" t="s">
        <v>923</v>
      </c>
      <c r="D2254" s="26" t="s">
        <v>3663</v>
      </c>
      <c r="E2254" s="28">
        <v>46113.0</v>
      </c>
      <c r="F2254" s="28">
        <v>46171.0</v>
      </c>
      <c r="G2254" s="29"/>
    </row>
    <row r="2255" ht="15.75" customHeight="1">
      <c r="A2255" s="30" t="s">
        <v>5919</v>
      </c>
      <c r="B2255" s="31" t="s">
        <v>335</v>
      </c>
      <c r="C2255" s="31" t="s">
        <v>932</v>
      </c>
      <c r="D2255" s="30" t="s">
        <v>3663</v>
      </c>
      <c r="E2255" s="32">
        <v>46113.0</v>
      </c>
      <c r="F2255" s="32">
        <v>46171.0</v>
      </c>
      <c r="G2255" s="33"/>
    </row>
    <row r="2256" ht="15.75" customHeight="1">
      <c r="A2256" s="26" t="s">
        <v>5920</v>
      </c>
      <c r="B2256" s="27" t="s">
        <v>335</v>
      </c>
      <c r="C2256" s="27" t="s">
        <v>1168</v>
      </c>
      <c r="D2256" s="26" t="s">
        <v>3663</v>
      </c>
      <c r="E2256" s="28">
        <v>46113.0</v>
      </c>
      <c r="F2256" s="28">
        <v>46171.0</v>
      </c>
      <c r="G2256" s="29"/>
    </row>
    <row r="2257" ht="15.75" customHeight="1">
      <c r="A2257" s="30" t="s">
        <v>5921</v>
      </c>
      <c r="B2257" s="31" t="s">
        <v>335</v>
      </c>
      <c r="C2257" s="31" t="s">
        <v>1170</v>
      </c>
      <c r="D2257" s="30" t="s">
        <v>3663</v>
      </c>
      <c r="E2257" s="32">
        <v>46113.0</v>
      </c>
      <c r="F2257" s="32">
        <v>46171.0</v>
      </c>
      <c r="G2257" s="33"/>
    </row>
    <row r="2258" ht="15.75" customHeight="1">
      <c r="A2258" s="26" t="s">
        <v>5922</v>
      </c>
      <c r="B2258" s="27" t="s">
        <v>335</v>
      </c>
      <c r="C2258" s="27" t="s">
        <v>1288</v>
      </c>
      <c r="D2258" s="26" t="s">
        <v>3663</v>
      </c>
      <c r="E2258" s="28">
        <v>46113.0</v>
      </c>
      <c r="F2258" s="28">
        <v>46171.0</v>
      </c>
      <c r="G2258" s="29"/>
    </row>
    <row r="2259" ht="15.75" customHeight="1">
      <c r="A2259" s="30" t="s">
        <v>5923</v>
      </c>
      <c r="B2259" s="31" t="s">
        <v>335</v>
      </c>
      <c r="C2259" s="31" t="s">
        <v>1291</v>
      </c>
      <c r="D2259" s="30" t="s">
        <v>3663</v>
      </c>
      <c r="E2259" s="32">
        <v>46113.0</v>
      </c>
      <c r="F2259" s="32">
        <v>46171.0</v>
      </c>
      <c r="G2259" s="33"/>
    </row>
    <row r="2260" ht="15.75" customHeight="1">
      <c r="A2260" s="26" t="s">
        <v>5924</v>
      </c>
      <c r="B2260" s="27" t="s">
        <v>335</v>
      </c>
      <c r="C2260" s="27" t="s">
        <v>1354</v>
      </c>
      <c r="D2260" s="26" t="s">
        <v>3663</v>
      </c>
      <c r="E2260" s="28">
        <v>46113.0</v>
      </c>
      <c r="F2260" s="28">
        <v>46171.0</v>
      </c>
      <c r="G2260" s="29"/>
    </row>
    <row r="2261" ht="15.75" customHeight="1">
      <c r="A2261" s="30" t="s">
        <v>5925</v>
      </c>
      <c r="B2261" s="31" t="s">
        <v>335</v>
      </c>
      <c r="C2261" s="31" t="s">
        <v>1172</v>
      </c>
      <c r="D2261" s="30" t="s">
        <v>3663</v>
      </c>
      <c r="E2261" s="32">
        <v>46113.0</v>
      </c>
      <c r="F2261" s="32">
        <v>46171.0</v>
      </c>
      <c r="G2261" s="34"/>
    </row>
    <row r="2262" ht="15.75" customHeight="1">
      <c r="A2262" s="26" t="s">
        <v>5926</v>
      </c>
      <c r="B2262" s="27" t="s">
        <v>335</v>
      </c>
      <c r="C2262" s="27" t="s">
        <v>3681</v>
      </c>
      <c r="D2262" s="26" t="s">
        <v>3663</v>
      </c>
      <c r="E2262" s="28">
        <v>46113.0</v>
      </c>
      <c r="F2262" s="28">
        <v>46171.0</v>
      </c>
      <c r="G2262" s="29"/>
    </row>
    <row r="2263" ht="15.75" customHeight="1">
      <c r="A2263" s="30" t="s">
        <v>5927</v>
      </c>
      <c r="B2263" s="31" t="s">
        <v>335</v>
      </c>
      <c r="C2263" s="31" t="s">
        <v>3683</v>
      </c>
      <c r="D2263" s="30" t="s">
        <v>3663</v>
      </c>
      <c r="E2263" s="32">
        <v>46113.0</v>
      </c>
      <c r="F2263" s="32">
        <v>46171.0</v>
      </c>
      <c r="G2263" s="33"/>
    </row>
    <row r="2264" ht="15.75" customHeight="1">
      <c r="A2264" s="26" t="s">
        <v>5928</v>
      </c>
      <c r="B2264" s="27" t="s">
        <v>335</v>
      </c>
      <c r="C2264" s="27" t="s">
        <v>1351</v>
      </c>
      <c r="D2264" s="26" t="s">
        <v>3663</v>
      </c>
      <c r="E2264" s="28">
        <v>46113.0</v>
      </c>
      <c r="F2264" s="28">
        <v>46171.0</v>
      </c>
      <c r="G2264" s="29"/>
    </row>
    <row r="2265" ht="15.75" customHeight="1">
      <c r="A2265" s="30" t="s">
        <v>5929</v>
      </c>
      <c r="B2265" s="31" t="s">
        <v>335</v>
      </c>
      <c r="C2265" s="31" t="s">
        <v>1349</v>
      </c>
      <c r="D2265" s="30" t="s">
        <v>3663</v>
      </c>
      <c r="E2265" s="32">
        <v>46113.0</v>
      </c>
      <c r="F2265" s="32">
        <v>46171.0</v>
      </c>
      <c r="G2265" s="33"/>
    </row>
    <row r="2266" ht="15.75" customHeight="1">
      <c r="A2266" s="26" t="s">
        <v>5930</v>
      </c>
      <c r="B2266" s="27" t="s">
        <v>335</v>
      </c>
      <c r="C2266" s="27" t="s">
        <v>968</v>
      </c>
      <c r="D2266" s="26" t="s">
        <v>3663</v>
      </c>
      <c r="E2266" s="28">
        <v>46113.0</v>
      </c>
      <c r="F2266" s="28">
        <v>46171.0</v>
      </c>
      <c r="G2266" s="29"/>
    </row>
    <row r="2267" ht="15.75" customHeight="1">
      <c r="A2267" s="30" t="s">
        <v>5931</v>
      </c>
      <c r="B2267" s="31" t="s">
        <v>335</v>
      </c>
      <c r="C2267" s="31" t="s">
        <v>923</v>
      </c>
      <c r="D2267" s="30" t="s">
        <v>3663</v>
      </c>
      <c r="E2267" s="32">
        <v>46113.0</v>
      </c>
      <c r="F2267" s="32">
        <v>46171.0</v>
      </c>
      <c r="G2267" s="33"/>
    </row>
    <row r="2268" ht="15.75" customHeight="1">
      <c r="A2268" s="26" t="s">
        <v>5932</v>
      </c>
      <c r="B2268" s="27" t="s">
        <v>335</v>
      </c>
      <c r="C2268" s="27" t="s">
        <v>961</v>
      </c>
      <c r="D2268" s="26" t="s">
        <v>3663</v>
      </c>
      <c r="E2268" s="28">
        <v>46113.0</v>
      </c>
      <c r="F2268" s="28">
        <v>46171.0</v>
      </c>
      <c r="G2268" s="29"/>
    </row>
    <row r="2269" ht="15.75" customHeight="1">
      <c r="A2269" s="30" t="s">
        <v>5933</v>
      </c>
      <c r="B2269" s="31" t="s">
        <v>336</v>
      </c>
      <c r="C2269" s="31" t="s">
        <v>930</v>
      </c>
      <c r="D2269" s="30" t="s">
        <v>3663</v>
      </c>
      <c r="E2269" s="32">
        <v>46113.0</v>
      </c>
      <c r="F2269" s="32">
        <v>46171.0</v>
      </c>
      <c r="G2269" s="33"/>
    </row>
    <row r="2270" ht="15.75" customHeight="1">
      <c r="A2270" s="26" t="s">
        <v>5934</v>
      </c>
      <c r="B2270" s="27" t="s">
        <v>336</v>
      </c>
      <c r="C2270" s="27" t="s">
        <v>1354</v>
      </c>
      <c r="D2270" s="26" t="s">
        <v>3663</v>
      </c>
      <c r="E2270" s="28">
        <v>46113.0</v>
      </c>
      <c r="F2270" s="28">
        <v>46171.0</v>
      </c>
      <c r="G2270" s="29"/>
    </row>
    <row r="2271" ht="15.75" customHeight="1">
      <c r="A2271" s="30" t="s">
        <v>5935</v>
      </c>
      <c r="B2271" s="31" t="s">
        <v>336</v>
      </c>
      <c r="C2271" s="31" t="s">
        <v>3641</v>
      </c>
      <c r="D2271" s="30" t="s">
        <v>3663</v>
      </c>
      <c r="E2271" s="32">
        <v>46113.0</v>
      </c>
      <c r="F2271" s="32">
        <v>46171.0</v>
      </c>
      <c r="G2271" s="33"/>
    </row>
    <row r="2272" ht="15.75" customHeight="1">
      <c r="A2272" s="26" t="s">
        <v>5936</v>
      </c>
      <c r="B2272" s="27" t="s">
        <v>336</v>
      </c>
      <c r="C2272" s="27" t="s">
        <v>1304</v>
      </c>
      <c r="D2272" s="26" t="s">
        <v>3663</v>
      </c>
      <c r="E2272" s="28">
        <v>46113.0</v>
      </c>
      <c r="F2272" s="28">
        <v>46171.0</v>
      </c>
      <c r="G2272" s="29"/>
    </row>
    <row r="2273" ht="15.75" customHeight="1">
      <c r="A2273" s="30" t="s">
        <v>5937</v>
      </c>
      <c r="B2273" s="31" t="s">
        <v>336</v>
      </c>
      <c r="C2273" s="31" t="s">
        <v>3642</v>
      </c>
      <c r="D2273" s="30" t="s">
        <v>3663</v>
      </c>
      <c r="E2273" s="32">
        <v>46113.0</v>
      </c>
      <c r="F2273" s="32">
        <v>46171.0</v>
      </c>
      <c r="G2273" s="33"/>
    </row>
    <row r="2274" ht="15.75" customHeight="1">
      <c r="A2274" s="26" t="s">
        <v>5938</v>
      </c>
      <c r="B2274" s="27" t="s">
        <v>336</v>
      </c>
      <c r="C2274" s="27" t="s">
        <v>1308</v>
      </c>
      <c r="D2274" s="26" t="s">
        <v>3663</v>
      </c>
      <c r="E2274" s="28">
        <v>46113.0</v>
      </c>
      <c r="F2274" s="28">
        <v>46171.0</v>
      </c>
      <c r="G2274" s="29"/>
    </row>
    <row r="2275" ht="15.75" customHeight="1">
      <c r="A2275" s="30" t="s">
        <v>5939</v>
      </c>
      <c r="B2275" s="31" t="s">
        <v>336</v>
      </c>
      <c r="C2275" s="31" t="s">
        <v>1172</v>
      </c>
      <c r="D2275" s="30" t="s">
        <v>3663</v>
      </c>
      <c r="E2275" s="32">
        <v>46113.0</v>
      </c>
      <c r="F2275" s="32">
        <v>46171.0</v>
      </c>
      <c r="G2275" s="33"/>
    </row>
    <row r="2276" ht="15.75" customHeight="1">
      <c r="A2276" s="26" t="s">
        <v>5940</v>
      </c>
      <c r="B2276" s="27" t="s">
        <v>336</v>
      </c>
      <c r="C2276" s="27" t="s">
        <v>1216</v>
      </c>
      <c r="D2276" s="26" t="s">
        <v>3663</v>
      </c>
      <c r="E2276" s="28">
        <v>46113.0</v>
      </c>
      <c r="F2276" s="28">
        <v>46171.0</v>
      </c>
      <c r="G2276" s="29"/>
    </row>
    <row r="2277" ht="15.75" customHeight="1">
      <c r="A2277" s="30" t="s">
        <v>5941</v>
      </c>
      <c r="B2277" s="31" t="s">
        <v>336</v>
      </c>
      <c r="C2277" s="31" t="s">
        <v>1351</v>
      </c>
      <c r="D2277" s="30" t="s">
        <v>3663</v>
      </c>
      <c r="E2277" s="32">
        <v>46113.0</v>
      </c>
      <c r="F2277" s="32">
        <v>46171.0</v>
      </c>
      <c r="G2277" s="33"/>
    </row>
    <row r="2278" ht="15.75" customHeight="1">
      <c r="A2278" s="26" t="s">
        <v>5942</v>
      </c>
      <c r="B2278" s="27" t="s">
        <v>336</v>
      </c>
      <c r="C2278" s="27" t="s">
        <v>1349</v>
      </c>
      <c r="D2278" s="26" t="s">
        <v>3663</v>
      </c>
      <c r="E2278" s="28">
        <v>46113.0</v>
      </c>
      <c r="F2278" s="28">
        <v>46171.0</v>
      </c>
      <c r="G2278" s="29"/>
    </row>
    <row r="2279" ht="15.75" customHeight="1">
      <c r="A2279" s="30" t="s">
        <v>5943</v>
      </c>
      <c r="B2279" s="31" t="s">
        <v>336</v>
      </c>
      <c r="C2279" s="31" t="s">
        <v>3653</v>
      </c>
      <c r="D2279" s="30" t="s">
        <v>3663</v>
      </c>
      <c r="E2279" s="32">
        <v>46113.0</v>
      </c>
      <c r="F2279" s="32">
        <v>46171.0</v>
      </c>
      <c r="G2279" s="33"/>
    </row>
    <row r="2280" ht="15.75" customHeight="1">
      <c r="A2280" s="26" t="s">
        <v>5944</v>
      </c>
      <c r="B2280" s="27" t="s">
        <v>336</v>
      </c>
      <c r="C2280" s="27" t="s">
        <v>3652</v>
      </c>
      <c r="D2280" s="26" t="s">
        <v>3663</v>
      </c>
      <c r="E2280" s="28">
        <v>46113.0</v>
      </c>
      <c r="F2280" s="28">
        <v>46171.0</v>
      </c>
      <c r="G2280" s="29"/>
    </row>
    <row r="2281" ht="15.75" customHeight="1">
      <c r="A2281" s="30" t="s">
        <v>5945</v>
      </c>
      <c r="B2281" s="31" t="s">
        <v>336</v>
      </c>
      <c r="C2281" s="31" t="s">
        <v>968</v>
      </c>
      <c r="D2281" s="30" t="s">
        <v>3663</v>
      </c>
      <c r="E2281" s="32">
        <v>46113.0</v>
      </c>
      <c r="F2281" s="32">
        <v>46171.0</v>
      </c>
      <c r="G2281" s="33"/>
    </row>
    <row r="2282" ht="15.75" customHeight="1">
      <c r="A2282" s="26" t="s">
        <v>5946</v>
      </c>
      <c r="B2282" s="27" t="s">
        <v>336</v>
      </c>
      <c r="C2282" s="27" t="s">
        <v>923</v>
      </c>
      <c r="D2282" s="26" t="s">
        <v>3663</v>
      </c>
      <c r="E2282" s="28">
        <v>46113.0</v>
      </c>
      <c r="F2282" s="28">
        <v>46171.0</v>
      </c>
      <c r="G2282" s="29"/>
    </row>
    <row r="2283" ht="15.75" customHeight="1">
      <c r="A2283" s="30" t="s">
        <v>5947</v>
      </c>
      <c r="B2283" s="31" t="s">
        <v>337</v>
      </c>
      <c r="C2283" s="31" t="s">
        <v>1240</v>
      </c>
      <c r="D2283" s="31" t="s">
        <v>3663</v>
      </c>
      <c r="E2283" s="32">
        <v>46113.0</v>
      </c>
      <c r="F2283" s="32">
        <v>46171.0</v>
      </c>
      <c r="G2283" s="33"/>
    </row>
    <row r="2284" ht="15.75" customHeight="1">
      <c r="A2284" s="26" t="s">
        <v>5948</v>
      </c>
      <c r="B2284" s="27" t="s">
        <v>337</v>
      </c>
      <c r="C2284" s="27" t="s">
        <v>1242</v>
      </c>
      <c r="D2284" s="27" t="s">
        <v>3663</v>
      </c>
      <c r="E2284" s="28">
        <v>46113.0</v>
      </c>
      <c r="F2284" s="28">
        <v>46171.0</v>
      </c>
      <c r="G2284" s="29"/>
    </row>
    <row r="2285" ht="15.75" customHeight="1">
      <c r="A2285" s="30" t="s">
        <v>5949</v>
      </c>
      <c r="B2285" s="31" t="s">
        <v>337</v>
      </c>
      <c r="C2285" s="31" t="s">
        <v>1244</v>
      </c>
      <c r="D2285" s="31" t="s">
        <v>3663</v>
      </c>
      <c r="E2285" s="32">
        <v>46113.0</v>
      </c>
      <c r="F2285" s="32">
        <v>46171.0</v>
      </c>
      <c r="G2285" s="33"/>
    </row>
    <row r="2286" ht="15.75" customHeight="1">
      <c r="A2286" s="26" t="s">
        <v>5950</v>
      </c>
      <c r="B2286" s="27" t="s">
        <v>337</v>
      </c>
      <c r="C2286" s="27" t="s">
        <v>1246</v>
      </c>
      <c r="D2286" s="27" t="s">
        <v>3663</v>
      </c>
      <c r="E2286" s="28">
        <v>46113.0</v>
      </c>
      <c r="F2286" s="28">
        <v>46171.0</v>
      </c>
      <c r="G2286" s="29"/>
    </row>
    <row r="2287" ht="15.75" customHeight="1">
      <c r="A2287" s="30" t="s">
        <v>5951</v>
      </c>
      <c r="B2287" s="31" t="s">
        <v>337</v>
      </c>
      <c r="C2287" s="31" t="s">
        <v>934</v>
      </c>
      <c r="D2287" s="31" t="s">
        <v>3663</v>
      </c>
      <c r="E2287" s="32">
        <v>46113.0</v>
      </c>
      <c r="F2287" s="32">
        <v>46171.0</v>
      </c>
      <c r="G2287" s="33"/>
    </row>
    <row r="2288" ht="15.75" customHeight="1">
      <c r="A2288" s="26" t="s">
        <v>5952</v>
      </c>
      <c r="B2288" s="27" t="s">
        <v>337</v>
      </c>
      <c r="C2288" s="27" t="s">
        <v>1354</v>
      </c>
      <c r="D2288" s="26" t="s">
        <v>3663</v>
      </c>
      <c r="E2288" s="28">
        <v>46113.0</v>
      </c>
      <c r="F2288" s="28">
        <v>46171.0</v>
      </c>
      <c r="G2288" s="29"/>
    </row>
    <row r="2289" ht="15.75" customHeight="1">
      <c r="A2289" s="30" t="s">
        <v>5953</v>
      </c>
      <c r="B2289" s="31" t="s">
        <v>337</v>
      </c>
      <c r="C2289" s="31" t="s">
        <v>1172</v>
      </c>
      <c r="D2289" s="30" t="s">
        <v>3663</v>
      </c>
      <c r="E2289" s="32">
        <v>46113.0</v>
      </c>
      <c r="F2289" s="32">
        <v>46171.0</v>
      </c>
      <c r="G2289" s="34"/>
    </row>
    <row r="2290" ht="15.75" customHeight="1">
      <c r="A2290" s="26" t="s">
        <v>5954</v>
      </c>
      <c r="B2290" s="27" t="s">
        <v>337</v>
      </c>
      <c r="C2290" s="27" t="s">
        <v>3681</v>
      </c>
      <c r="D2290" s="26" t="s">
        <v>3663</v>
      </c>
      <c r="E2290" s="28">
        <v>46113.0</v>
      </c>
      <c r="F2290" s="28">
        <v>46171.0</v>
      </c>
      <c r="G2290" s="29"/>
    </row>
    <row r="2291" ht="15.75" customHeight="1">
      <c r="A2291" s="30" t="s">
        <v>5955</v>
      </c>
      <c r="B2291" s="31" t="s">
        <v>337</v>
      </c>
      <c r="C2291" s="31" t="s">
        <v>3683</v>
      </c>
      <c r="D2291" s="30" t="s">
        <v>3663</v>
      </c>
      <c r="E2291" s="32">
        <v>46113.0</v>
      </c>
      <c r="F2291" s="32">
        <v>46171.0</v>
      </c>
      <c r="G2291" s="33"/>
    </row>
    <row r="2292" ht="15.75" customHeight="1">
      <c r="A2292" s="26" t="s">
        <v>5956</v>
      </c>
      <c r="B2292" s="27" t="s">
        <v>337</v>
      </c>
      <c r="C2292" s="27" t="s">
        <v>1351</v>
      </c>
      <c r="D2292" s="26" t="s">
        <v>3663</v>
      </c>
      <c r="E2292" s="28">
        <v>46113.0</v>
      </c>
      <c r="F2292" s="28">
        <v>46171.0</v>
      </c>
      <c r="G2292" s="29"/>
    </row>
    <row r="2293" ht="15.75" customHeight="1">
      <c r="A2293" s="30" t="s">
        <v>5957</v>
      </c>
      <c r="B2293" s="31" t="s">
        <v>337</v>
      </c>
      <c r="C2293" s="31" t="s">
        <v>1349</v>
      </c>
      <c r="D2293" s="30" t="s">
        <v>3663</v>
      </c>
      <c r="E2293" s="32">
        <v>46113.0</v>
      </c>
      <c r="F2293" s="32">
        <v>46171.0</v>
      </c>
      <c r="G2293" s="33"/>
    </row>
    <row r="2294" ht="15.75" customHeight="1">
      <c r="A2294" s="26" t="s">
        <v>5958</v>
      </c>
      <c r="B2294" s="27" t="s">
        <v>337</v>
      </c>
      <c r="C2294" s="27" t="s">
        <v>968</v>
      </c>
      <c r="D2294" s="26" t="s">
        <v>3663</v>
      </c>
      <c r="E2294" s="28">
        <v>46113.0</v>
      </c>
      <c r="F2294" s="28">
        <v>46171.0</v>
      </c>
      <c r="G2294" s="29"/>
    </row>
    <row r="2295" ht="15.75" customHeight="1">
      <c r="A2295" s="30" t="s">
        <v>5959</v>
      </c>
      <c r="B2295" s="31" t="s">
        <v>337</v>
      </c>
      <c r="C2295" s="31" t="s">
        <v>923</v>
      </c>
      <c r="D2295" s="31" t="s">
        <v>3663</v>
      </c>
      <c r="E2295" s="32">
        <v>46113.0</v>
      </c>
      <c r="F2295" s="32">
        <v>46171.0</v>
      </c>
      <c r="G2295" s="33"/>
    </row>
    <row r="2296" ht="15.75" customHeight="1">
      <c r="A2296" s="26" t="s">
        <v>5960</v>
      </c>
      <c r="B2296" s="27" t="s">
        <v>337</v>
      </c>
      <c r="C2296" s="27" t="s">
        <v>955</v>
      </c>
      <c r="D2296" s="26" t="s">
        <v>3663</v>
      </c>
      <c r="E2296" s="28">
        <v>46113.0</v>
      </c>
      <c r="F2296" s="28">
        <v>46171.0</v>
      </c>
      <c r="G2296" s="29"/>
    </row>
    <row r="2297" ht="15.75" customHeight="1">
      <c r="A2297" s="30" t="s">
        <v>5961</v>
      </c>
      <c r="B2297" s="31" t="s">
        <v>338</v>
      </c>
      <c r="C2297" s="31" t="s">
        <v>3654</v>
      </c>
      <c r="D2297" s="30" t="s">
        <v>3663</v>
      </c>
      <c r="E2297" s="32">
        <v>46113.0</v>
      </c>
      <c r="F2297" s="32">
        <v>46171.0</v>
      </c>
      <c r="G2297" s="33"/>
    </row>
    <row r="2298" ht="15.75" customHeight="1">
      <c r="A2298" s="26" t="s">
        <v>5962</v>
      </c>
      <c r="B2298" s="27" t="s">
        <v>338</v>
      </c>
      <c r="C2298" s="27" t="s">
        <v>3655</v>
      </c>
      <c r="D2298" s="26" t="s">
        <v>3663</v>
      </c>
      <c r="E2298" s="28">
        <v>46113.0</v>
      </c>
      <c r="F2298" s="28">
        <v>46171.0</v>
      </c>
      <c r="G2298" s="29"/>
    </row>
    <row r="2299" ht="15.75" customHeight="1">
      <c r="A2299" s="30" t="s">
        <v>5963</v>
      </c>
      <c r="B2299" s="31" t="s">
        <v>338</v>
      </c>
      <c r="C2299" s="31" t="s">
        <v>930</v>
      </c>
      <c r="D2299" s="30" t="s">
        <v>3663</v>
      </c>
      <c r="E2299" s="32">
        <v>46113.0</v>
      </c>
      <c r="F2299" s="32">
        <v>46171.0</v>
      </c>
      <c r="G2299" s="33"/>
    </row>
    <row r="2300" ht="15.75" customHeight="1">
      <c r="A2300" s="26" t="s">
        <v>5964</v>
      </c>
      <c r="B2300" s="27" t="s">
        <v>338</v>
      </c>
      <c r="C2300" s="27" t="s">
        <v>1354</v>
      </c>
      <c r="D2300" s="26" t="s">
        <v>3663</v>
      </c>
      <c r="E2300" s="28">
        <v>46113.0</v>
      </c>
      <c r="F2300" s="28">
        <v>46171.0</v>
      </c>
      <c r="G2300" s="29"/>
    </row>
    <row r="2301" ht="15.75" customHeight="1">
      <c r="A2301" s="30" t="s">
        <v>5965</v>
      </c>
      <c r="B2301" s="31" t="s">
        <v>338</v>
      </c>
      <c r="C2301" s="31" t="s">
        <v>3641</v>
      </c>
      <c r="D2301" s="30" t="s">
        <v>3663</v>
      </c>
      <c r="E2301" s="32">
        <v>46113.0</v>
      </c>
      <c r="F2301" s="32">
        <v>46171.0</v>
      </c>
      <c r="G2301" s="33"/>
    </row>
    <row r="2302" ht="15.75" customHeight="1">
      <c r="A2302" s="26" t="s">
        <v>5966</v>
      </c>
      <c r="B2302" s="27" t="s">
        <v>338</v>
      </c>
      <c r="C2302" s="27" t="s">
        <v>1304</v>
      </c>
      <c r="D2302" s="26" t="s">
        <v>3663</v>
      </c>
      <c r="E2302" s="28">
        <v>46113.0</v>
      </c>
      <c r="F2302" s="28">
        <v>46171.0</v>
      </c>
      <c r="G2302" s="29"/>
    </row>
    <row r="2303" ht="15.75" customHeight="1">
      <c r="A2303" s="30" t="s">
        <v>5967</v>
      </c>
      <c r="B2303" s="31" t="s">
        <v>338</v>
      </c>
      <c r="C2303" s="31" t="s">
        <v>3642</v>
      </c>
      <c r="D2303" s="30" t="s">
        <v>3663</v>
      </c>
      <c r="E2303" s="32">
        <v>46113.0</v>
      </c>
      <c r="F2303" s="32">
        <v>46171.0</v>
      </c>
      <c r="G2303" s="33"/>
    </row>
    <row r="2304" ht="15.75" customHeight="1">
      <c r="A2304" s="26" t="s">
        <v>5968</v>
      </c>
      <c r="B2304" s="27" t="s">
        <v>338</v>
      </c>
      <c r="C2304" s="27" t="s">
        <v>1308</v>
      </c>
      <c r="D2304" s="26" t="s">
        <v>3663</v>
      </c>
      <c r="E2304" s="28">
        <v>46113.0</v>
      </c>
      <c r="F2304" s="28">
        <v>46171.0</v>
      </c>
      <c r="G2304" s="29"/>
    </row>
    <row r="2305" ht="15.75" customHeight="1">
      <c r="A2305" s="30" t="s">
        <v>5969</v>
      </c>
      <c r="B2305" s="31" t="s">
        <v>338</v>
      </c>
      <c r="C2305" s="31" t="s">
        <v>3605</v>
      </c>
      <c r="D2305" s="30" t="s">
        <v>3663</v>
      </c>
      <c r="E2305" s="32">
        <v>46113.0</v>
      </c>
      <c r="F2305" s="32">
        <v>46171.0</v>
      </c>
      <c r="G2305" s="33"/>
    </row>
    <row r="2306" ht="15.75" customHeight="1">
      <c r="A2306" s="26" t="s">
        <v>5970</v>
      </c>
      <c r="B2306" s="27" t="s">
        <v>338</v>
      </c>
      <c r="C2306" s="27" t="s">
        <v>1351</v>
      </c>
      <c r="D2306" s="26" t="s">
        <v>3663</v>
      </c>
      <c r="E2306" s="28">
        <v>46113.0</v>
      </c>
      <c r="F2306" s="28">
        <v>46171.0</v>
      </c>
      <c r="G2306" s="29"/>
    </row>
    <row r="2307" ht="15.75" customHeight="1">
      <c r="A2307" s="30" t="s">
        <v>5971</v>
      </c>
      <c r="B2307" s="31" t="s">
        <v>338</v>
      </c>
      <c r="C2307" s="31" t="s">
        <v>1349</v>
      </c>
      <c r="D2307" s="30" t="s">
        <v>3663</v>
      </c>
      <c r="E2307" s="32">
        <v>46113.0</v>
      </c>
      <c r="F2307" s="32">
        <v>46171.0</v>
      </c>
      <c r="G2307" s="33"/>
    </row>
    <row r="2308" ht="15.75" customHeight="1">
      <c r="A2308" s="26" t="s">
        <v>5972</v>
      </c>
      <c r="B2308" s="27" t="s">
        <v>338</v>
      </c>
      <c r="C2308" s="27" t="s">
        <v>965</v>
      </c>
      <c r="D2308" s="26" t="s">
        <v>3663</v>
      </c>
      <c r="E2308" s="28">
        <v>46113.0</v>
      </c>
      <c r="F2308" s="28">
        <v>46171.0</v>
      </c>
      <c r="G2308" s="29"/>
    </row>
    <row r="2309" ht="15.75" customHeight="1">
      <c r="A2309" s="30" t="s">
        <v>5973</v>
      </c>
      <c r="B2309" s="31" t="s">
        <v>338</v>
      </c>
      <c r="C2309" s="31" t="s">
        <v>923</v>
      </c>
      <c r="D2309" s="30" t="s">
        <v>3663</v>
      </c>
      <c r="E2309" s="32">
        <v>46113.0</v>
      </c>
      <c r="F2309" s="32">
        <v>46171.0</v>
      </c>
      <c r="G2309" s="33"/>
    </row>
    <row r="2310" ht="15.75" customHeight="1">
      <c r="A2310" s="26" t="s">
        <v>5974</v>
      </c>
      <c r="B2310" s="27" t="s">
        <v>338</v>
      </c>
      <c r="C2310" s="27" t="s">
        <v>961</v>
      </c>
      <c r="D2310" s="26" t="s">
        <v>3663</v>
      </c>
      <c r="E2310" s="28">
        <v>46113.0</v>
      </c>
      <c r="F2310" s="28">
        <v>46171.0</v>
      </c>
      <c r="G2310" s="29"/>
    </row>
    <row r="2311" ht="15.75" customHeight="1">
      <c r="A2311" s="30" t="s">
        <v>5975</v>
      </c>
      <c r="B2311" s="31" t="s">
        <v>339</v>
      </c>
      <c r="C2311" s="31" t="s">
        <v>1240</v>
      </c>
      <c r="D2311" s="30" t="s">
        <v>3663</v>
      </c>
      <c r="E2311" s="32">
        <v>46113.0</v>
      </c>
      <c r="F2311" s="32">
        <v>46171.0</v>
      </c>
      <c r="G2311" s="33"/>
    </row>
    <row r="2312" ht="15.75" customHeight="1">
      <c r="A2312" s="26" t="s">
        <v>5976</v>
      </c>
      <c r="B2312" s="27" t="s">
        <v>339</v>
      </c>
      <c r="C2312" s="27" t="s">
        <v>1242</v>
      </c>
      <c r="D2312" s="26" t="s">
        <v>3663</v>
      </c>
      <c r="E2312" s="28">
        <v>46113.0</v>
      </c>
      <c r="F2312" s="28">
        <v>46171.0</v>
      </c>
      <c r="G2312" s="29"/>
    </row>
    <row r="2313" ht="15.75" customHeight="1">
      <c r="A2313" s="30" t="s">
        <v>5977</v>
      </c>
      <c r="B2313" s="31" t="s">
        <v>339</v>
      </c>
      <c r="C2313" s="31" t="s">
        <v>1244</v>
      </c>
      <c r="D2313" s="30" t="s">
        <v>3663</v>
      </c>
      <c r="E2313" s="32">
        <v>46113.0</v>
      </c>
      <c r="F2313" s="32">
        <v>46171.0</v>
      </c>
      <c r="G2313" s="33"/>
    </row>
    <row r="2314" ht="15.75" customHeight="1">
      <c r="A2314" s="26" t="s">
        <v>5978</v>
      </c>
      <c r="B2314" s="27" t="s">
        <v>339</v>
      </c>
      <c r="C2314" s="27" t="s">
        <v>1246</v>
      </c>
      <c r="D2314" s="26" t="s">
        <v>3663</v>
      </c>
      <c r="E2314" s="28">
        <v>46113.0</v>
      </c>
      <c r="F2314" s="28">
        <v>46171.0</v>
      </c>
      <c r="G2314" s="29"/>
    </row>
    <row r="2315" ht="15.75" customHeight="1">
      <c r="A2315" s="30" t="s">
        <v>5979</v>
      </c>
      <c r="B2315" s="31" t="s">
        <v>339</v>
      </c>
      <c r="C2315" s="31" t="s">
        <v>934</v>
      </c>
      <c r="D2315" s="30" t="s">
        <v>3663</v>
      </c>
      <c r="E2315" s="32">
        <v>46113.0</v>
      </c>
      <c r="F2315" s="32">
        <v>46171.0</v>
      </c>
      <c r="G2315" s="33"/>
    </row>
    <row r="2316" ht="15.75" customHeight="1">
      <c r="A2316" s="26" t="s">
        <v>5980</v>
      </c>
      <c r="B2316" s="27" t="s">
        <v>339</v>
      </c>
      <c r="C2316" s="27" t="s">
        <v>1354</v>
      </c>
      <c r="D2316" s="26" t="s">
        <v>3663</v>
      </c>
      <c r="E2316" s="28">
        <v>46113.0</v>
      </c>
      <c r="F2316" s="28">
        <v>46171.0</v>
      </c>
      <c r="G2316" s="29"/>
    </row>
    <row r="2317" ht="15.75" customHeight="1">
      <c r="A2317" s="30" t="s">
        <v>5981</v>
      </c>
      <c r="B2317" s="31" t="s">
        <v>339</v>
      </c>
      <c r="C2317" s="31" t="s">
        <v>1190</v>
      </c>
      <c r="D2317" s="30" t="s">
        <v>3663</v>
      </c>
      <c r="E2317" s="32">
        <v>46113.0</v>
      </c>
      <c r="F2317" s="32">
        <v>46171.0</v>
      </c>
      <c r="G2317" s="33"/>
    </row>
    <row r="2318" ht="15.75" customHeight="1">
      <c r="A2318" s="26" t="s">
        <v>5982</v>
      </c>
      <c r="B2318" s="27" t="s">
        <v>339</v>
      </c>
      <c r="C2318" s="27" t="s">
        <v>3656</v>
      </c>
      <c r="D2318" s="26" t="s">
        <v>3663</v>
      </c>
      <c r="E2318" s="28">
        <v>46113.0</v>
      </c>
      <c r="F2318" s="28">
        <v>46171.0</v>
      </c>
      <c r="G2318" s="29"/>
    </row>
    <row r="2319" ht="15.75" customHeight="1">
      <c r="A2319" s="30" t="s">
        <v>5983</v>
      </c>
      <c r="B2319" s="31" t="s">
        <v>339</v>
      </c>
      <c r="C2319" s="31" t="s">
        <v>3657</v>
      </c>
      <c r="D2319" s="30" t="s">
        <v>3663</v>
      </c>
      <c r="E2319" s="32">
        <v>46113.0</v>
      </c>
      <c r="F2319" s="32">
        <v>46171.0</v>
      </c>
      <c r="G2319" s="33"/>
    </row>
    <row r="2320" ht="15.75" customHeight="1">
      <c r="A2320" s="26" t="s">
        <v>5984</v>
      </c>
      <c r="B2320" s="27" t="s">
        <v>339</v>
      </c>
      <c r="C2320" s="27" t="s">
        <v>3647</v>
      </c>
      <c r="D2320" s="26" t="s">
        <v>3663</v>
      </c>
      <c r="E2320" s="28">
        <v>46113.0</v>
      </c>
      <c r="F2320" s="28">
        <v>46171.0</v>
      </c>
      <c r="G2320" s="29"/>
    </row>
    <row r="2321" ht="15.75" customHeight="1">
      <c r="A2321" s="30" t="s">
        <v>5985</v>
      </c>
      <c r="B2321" s="31" t="s">
        <v>339</v>
      </c>
      <c r="C2321" s="31" t="s">
        <v>952</v>
      </c>
      <c r="D2321" s="30" t="s">
        <v>3663</v>
      </c>
      <c r="E2321" s="32">
        <v>46113.0</v>
      </c>
      <c r="F2321" s="32">
        <v>46171.0</v>
      </c>
      <c r="G2321" s="33"/>
    </row>
    <row r="2322" ht="15.75" customHeight="1">
      <c r="A2322" s="26" t="s">
        <v>5986</v>
      </c>
      <c r="B2322" s="27" t="s">
        <v>339</v>
      </c>
      <c r="C2322" s="27" t="s">
        <v>1216</v>
      </c>
      <c r="D2322" s="26" t="s">
        <v>3663</v>
      </c>
      <c r="E2322" s="28">
        <v>46113.0</v>
      </c>
      <c r="F2322" s="28">
        <v>46171.0</v>
      </c>
      <c r="G2322" s="29"/>
    </row>
    <row r="2323" ht="15.75" customHeight="1">
      <c r="A2323" s="30" t="s">
        <v>5987</v>
      </c>
      <c r="B2323" s="31" t="s">
        <v>339</v>
      </c>
      <c r="C2323" s="31" t="s">
        <v>968</v>
      </c>
      <c r="D2323" s="30" t="s">
        <v>3663</v>
      </c>
      <c r="E2323" s="32">
        <v>46113.0</v>
      </c>
      <c r="F2323" s="32">
        <v>46171.0</v>
      </c>
      <c r="G2323" s="33"/>
    </row>
    <row r="2324" ht="15.75" customHeight="1">
      <c r="A2324" s="26" t="s">
        <v>5988</v>
      </c>
      <c r="B2324" s="27" t="s">
        <v>339</v>
      </c>
      <c r="C2324" s="27" t="s">
        <v>923</v>
      </c>
      <c r="D2324" s="26" t="s">
        <v>3663</v>
      </c>
      <c r="E2324" s="28">
        <v>46113.0</v>
      </c>
      <c r="F2324" s="28">
        <v>46171.0</v>
      </c>
      <c r="G2324" s="29"/>
    </row>
    <row r="2325" ht="15.75" customHeight="1">
      <c r="A2325" s="30" t="s">
        <v>5989</v>
      </c>
      <c r="B2325" s="31" t="s">
        <v>340</v>
      </c>
      <c r="C2325" s="31" t="s">
        <v>934</v>
      </c>
      <c r="D2325" s="30" t="s">
        <v>3663</v>
      </c>
      <c r="E2325" s="32">
        <v>46113.0</v>
      </c>
      <c r="F2325" s="32">
        <v>46171.0</v>
      </c>
      <c r="G2325" s="33"/>
    </row>
    <row r="2326" ht="15.75" customHeight="1">
      <c r="A2326" s="26" t="s">
        <v>5990</v>
      </c>
      <c r="B2326" s="27" t="s">
        <v>340</v>
      </c>
      <c r="C2326" s="27" t="s">
        <v>1354</v>
      </c>
      <c r="D2326" s="26" t="s">
        <v>3663</v>
      </c>
      <c r="E2326" s="28">
        <v>46113.0</v>
      </c>
      <c r="F2326" s="28">
        <v>46171.0</v>
      </c>
      <c r="G2326" s="29"/>
    </row>
    <row r="2327" ht="15.75" customHeight="1">
      <c r="A2327" s="30" t="s">
        <v>5991</v>
      </c>
      <c r="B2327" s="31" t="s">
        <v>340</v>
      </c>
      <c r="C2327" s="31" t="s">
        <v>3605</v>
      </c>
      <c r="D2327" s="30" t="s">
        <v>3663</v>
      </c>
      <c r="E2327" s="32">
        <v>46113.0</v>
      </c>
      <c r="F2327" s="32">
        <v>46171.0</v>
      </c>
      <c r="G2327" s="33"/>
    </row>
    <row r="2328" ht="15.75" customHeight="1">
      <c r="A2328" s="26" t="s">
        <v>5992</v>
      </c>
      <c r="B2328" s="27" t="s">
        <v>340</v>
      </c>
      <c r="C2328" s="27" t="s">
        <v>1157</v>
      </c>
      <c r="D2328" s="26" t="s">
        <v>3663</v>
      </c>
      <c r="E2328" s="28">
        <v>46113.0</v>
      </c>
      <c r="F2328" s="28">
        <v>46171.0</v>
      </c>
      <c r="G2328" s="29"/>
    </row>
    <row r="2329" ht="15.75" customHeight="1">
      <c r="A2329" s="30" t="s">
        <v>5993</v>
      </c>
      <c r="B2329" s="31" t="s">
        <v>340</v>
      </c>
      <c r="C2329" s="31" t="s">
        <v>1155</v>
      </c>
      <c r="D2329" s="30" t="s">
        <v>3663</v>
      </c>
      <c r="E2329" s="32">
        <v>46113.0</v>
      </c>
      <c r="F2329" s="32">
        <v>46171.0</v>
      </c>
      <c r="G2329" s="33"/>
    </row>
    <row r="2330" ht="15.75" customHeight="1">
      <c r="A2330" s="26" t="s">
        <v>5994</v>
      </c>
      <c r="B2330" s="27" t="s">
        <v>340</v>
      </c>
      <c r="C2330" s="27" t="s">
        <v>1153</v>
      </c>
      <c r="D2330" s="26" t="s">
        <v>3663</v>
      </c>
      <c r="E2330" s="28">
        <v>46113.0</v>
      </c>
      <c r="F2330" s="28">
        <v>46171.0</v>
      </c>
      <c r="G2330" s="29"/>
    </row>
    <row r="2331" ht="15.75" customHeight="1">
      <c r="A2331" s="30" t="s">
        <v>5995</v>
      </c>
      <c r="B2331" s="31" t="s">
        <v>340</v>
      </c>
      <c r="C2331" s="31" t="s">
        <v>1149</v>
      </c>
      <c r="D2331" s="30" t="s">
        <v>3663</v>
      </c>
      <c r="E2331" s="32">
        <v>46113.0</v>
      </c>
      <c r="F2331" s="32">
        <v>46171.0</v>
      </c>
      <c r="G2331" s="33"/>
    </row>
    <row r="2332" ht="15.75" customHeight="1">
      <c r="A2332" s="26" t="s">
        <v>5996</v>
      </c>
      <c r="B2332" s="27" t="s">
        <v>340</v>
      </c>
      <c r="C2332" s="27" t="s">
        <v>1351</v>
      </c>
      <c r="D2332" s="26" t="s">
        <v>3663</v>
      </c>
      <c r="E2332" s="28">
        <v>46113.0</v>
      </c>
      <c r="F2332" s="28">
        <v>46171.0</v>
      </c>
      <c r="G2332" s="29"/>
    </row>
    <row r="2333" ht="15.75" customHeight="1">
      <c r="A2333" s="30" t="s">
        <v>5997</v>
      </c>
      <c r="B2333" s="31" t="s">
        <v>340</v>
      </c>
      <c r="C2333" s="31" t="s">
        <v>1349</v>
      </c>
      <c r="D2333" s="30" t="s">
        <v>3663</v>
      </c>
      <c r="E2333" s="32">
        <v>46113.0</v>
      </c>
      <c r="F2333" s="32">
        <v>46171.0</v>
      </c>
      <c r="G2333" s="33"/>
    </row>
    <row r="2334" ht="15.75" customHeight="1">
      <c r="A2334" s="26" t="s">
        <v>5998</v>
      </c>
      <c r="B2334" s="27" t="s">
        <v>340</v>
      </c>
      <c r="C2334" s="27" t="s">
        <v>3653</v>
      </c>
      <c r="D2334" s="26" t="s">
        <v>3663</v>
      </c>
      <c r="E2334" s="28">
        <v>46113.0</v>
      </c>
      <c r="F2334" s="28">
        <v>46171.0</v>
      </c>
      <c r="G2334" s="29"/>
    </row>
    <row r="2335" ht="15.75" customHeight="1">
      <c r="A2335" s="30" t="s">
        <v>5999</v>
      </c>
      <c r="B2335" s="31" t="s">
        <v>340</v>
      </c>
      <c r="C2335" s="31" t="s">
        <v>3652</v>
      </c>
      <c r="D2335" s="30" t="s">
        <v>3663</v>
      </c>
      <c r="E2335" s="32">
        <v>46113.0</v>
      </c>
      <c r="F2335" s="32">
        <v>46171.0</v>
      </c>
      <c r="G2335" s="33"/>
    </row>
    <row r="2336" ht="15.75" customHeight="1">
      <c r="A2336" s="26" t="s">
        <v>6000</v>
      </c>
      <c r="B2336" s="27" t="s">
        <v>340</v>
      </c>
      <c r="C2336" s="27" t="s">
        <v>968</v>
      </c>
      <c r="D2336" s="26" t="s">
        <v>3663</v>
      </c>
      <c r="E2336" s="28">
        <v>46113.0</v>
      </c>
      <c r="F2336" s="28">
        <v>46171.0</v>
      </c>
      <c r="G2336" s="29"/>
    </row>
    <row r="2337" ht="15.75" customHeight="1">
      <c r="A2337" s="30" t="s">
        <v>6001</v>
      </c>
      <c r="B2337" s="31" t="s">
        <v>340</v>
      </c>
      <c r="C2337" s="31" t="s">
        <v>923</v>
      </c>
      <c r="D2337" s="30" t="s">
        <v>3663</v>
      </c>
      <c r="E2337" s="32">
        <v>46113.0</v>
      </c>
      <c r="F2337" s="32">
        <v>46171.0</v>
      </c>
      <c r="G2337" s="33"/>
    </row>
    <row r="2338" ht="15.75" customHeight="1">
      <c r="A2338" s="26" t="s">
        <v>6002</v>
      </c>
      <c r="B2338" s="27" t="s">
        <v>340</v>
      </c>
      <c r="C2338" s="27" t="s">
        <v>961</v>
      </c>
      <c r="D2338" s="26" t="s">
        <v>3663</v>
      </c>
      <c r="E2338" s="28">
        <v>46113.0</v>
      </c>
      <c r="F2338" s="28">
        <v>46171.0</v>
      </c>
      <c r="G2338" s="29"/>
    </row>
    <row r="2339" ht="15.75" customHeight="1">
      <c r="A2339" s="30" t="s">
        <v>6003</v>
      </c>
      <c r="B2339" s="31" t="s">
        <v>341</v>
      </c>
      <c r="C2339" s="31" t="s">
        <v>1240</v>
      </c>
      <c r="D2339" s="30" t="s">
        <v>3663</v>
      </c>
      <c r="E2339" s="32">
        <v>46113.0</v>
      </c>
      <c r="F2339" s="32">
        <v>46171.0</v>
      </c>
      <c r="G2339" s="33"/>
    </row>
    <row r="2340" ht="15.75" customHeight="1">
      <c r="A2340" s="26" t="s">
        <v>6004</v>
      </c>
      <c r="B2340" s="27" t="s">
        <v>341</v>
      </c>
      <c r="C2340" s="27" t="s">
        <v>1242</v>
      </c>
      <c r="D2340" s="26" t="s">
        <v>3663</v>
      </c>
      <c r="E2340" s="28">
        <v>46113.0</v>
      </c>
      <c r="F2340" s="28">
        <v>46171.0</v>
      </c>
      <c r="G2340" s="29"/>
    </row>
    <row r="2341" ht="15.75" customHeight="1">
      <c r="A2341" s="30" t="s">
        <v>6005</v>
      </c>
      <c r="B2341" s="31" t="s">
        <v>341</v>
      </c>
      <c r="C2341" s="31" t="s">
        <v>1244</v>
      </c>
      <c r="D2341" s="30" t="s">
        <v>3663</v>
      </c>
      <c r="E2341" s="32">
        <v>46113.0</v>
      </c>
      <c r="F2341" s="32">
        <v>46171.0</v>
      </c>
      <c r="G2341" s="33"/>
    </row>
    <row r="2342" ht="15.75" customHeight="1">
      <c r="A2342" s="26" t="s">
        <v>6006</v>
      </c>
      <c r="B2342" s="27" t="s">
        <v>341</v>
      </c>
      <c r="C2342" s="27" t="s">
        <v>1246</v>
      </c>
      <c r="D2342" s="26" t="s">
        <v>3663</v>
      </c>
      <c r="E2342" s="28">
        <v>46113.0</v>
      </c>
      <c r="F2342" s="28">
        <v>46171.0</v>
      </c>
      <c r="G2342" s="29"/>
    </row>
    <row r="2343" ht="15.75" customHeight="1">
      <c r="A2343" s="30" t="s">
        <v>6007</v>
      </c>
      <c r="B2343" s="31" t="s">
        <v>341</v>
      </c>
      <c r="C2343" s="31" t="s">
        <v>3654</v>
      </c>
      <c r="D2343" s="30" t="s">
        <v>3663</v>
      </c>
      <c r="E2343" s="32">
        <v>46113.0</v>
      </c>
      <c r="F2343" s="32">
        <v>46171.0</v>
      </c>
      <c r="G2343" s="33"/>
    </row>
    <row r="2344" ht="15.75" customHeight="1">
      <c r="A2344" s="26" t="s">
        <v>6008</v>
      </c>
      <c r="B2344" s="27" t="s">
        <v>341</v>
      </c>
      <c r="C2344" s="27" t="s">
        <v>3655</v>
      </c>
      <c r="D2344" s="26" t="s">
        <v>3663</v>
      </c>
      <c r="E2344" s="28">
        <v>46113.0</v>
      </c>
      <c r="F2344" s="28">
        <v>46171.0</v>
      </c>
      <c r="G2344" s="29"/>
    </row>
    <row r="2345" ht="15.75" customHeight="1">
      <c r="A2345" s="30" t="s">
        <v>6009</v>
      </c>
      <c r="B2345" s="31" t="s">
        <v>341</v>
      </c>
      <c r="C2345" s="31" t="s">
        <v>928</v>
      </c>
      <c r="D2345" s="30" t="s">
        <v>3663</v>
      </c>
      <c r="E2345" s="32">
        <v>46113.0</v>
      </c>
      <c r="F2345" s="32">
        <v>46171.0</v>
      </c>
      <c r="G2345" s="33"/>
    </row>
    <row r="2346" ht="15.75" customHeight="1">
      <c r="A2346" s="26" t="s">
        <v>6010</v>
      </c>
      <c r="B2346" s="27" t="s">
        <v>341</v>
      </c>
      <c r="C2346" s="27" t="s">
        <v>1354</v>
      </c>
      <c r="D2346" s="26" t="s">
        <v>3663</v>
      </c>
      <c r="E2346" s="28">
        <v>46113.0</v>
      </c>
      <c r="F2346" s="28">
        <v>46171.0</v>
      </c>
      <c r="G2346" s="29"/>
    </row>
    <row r="2347" ht="15.75" customHeight="1">
      <c r="A2347" s="30" t="s">
        <v>6011</v>
      </c>
      <c r="B2347" s="31" t="s">
        <v>341</v>
      </c>
      <c r="C2347" s="31" t="s">
        <v>1159</v>
      </c>
      <c r="D2347" s="30" t="s">
        <v>3663</v>
      </c>
      <c r="E2347" s="32">
        <v>46113.0</v>
      </c>
      <c r="F2347" s="32">
        <v>46171.0</v>
      </c>
      <c r="G2347" s="33"/>
    </row>
    <row r="2348" ht="15.75" customHeight="1">
      <c r="A2348" s="26" t="s">
        <v>6012</v>
      </c>
      <c r="B2348" s="27" t="s">
        <v>341</v>
      </c>
      <c r="C2348" s="27" t="s">
        <v>3647</v>
      </c>
      <c r="D2348" s="26" t="s">
        <v>3663</v>
      </c>
      <c r="E2348" s="28">
        <v>46113.0</v>
      </c>
      <c r="F2348" s="28">
        <v>46171.0</v>
      </c>
      <c r="G2348" s="29"/>
    </row>
    <row r="2349" ht="15.75" customHeight="1">
      <c r="A2349" s="30" t="s">
        <v>6013</v>
      </c>
      <c r="B2349" s="31" t="s">
        <v>341</v>
      </c>
      <c r="C2349" s="31" t="s">
        <v>952</v>
      </c>
      <c r="D2349" s="30" t="s">
        <v>3663</v>
      </c>
      <c r="E2349" s="32">
        <v>46113.0</v>
      </c>
      <c r="F2349" s="32">
        <v>46171.0</v>
      </c>
      <c r="G2349" s="33"/>
    </row>
    <row r="2350" ht="15.75" customHeight="1">
      <c r="A2350" s="26" t="s">
        <v>6014</v>
      </c>
      <c r="B2350" s="27" t="s">
        <v>341</v>
      </c>
      <c r="C2350" s="27" t="s">
        <v>1216</v>
      </c>
      <c r="D2350" s="26" t="s">
        <v>3663</v>
      </c>
      <c r="E2350" s="28">
        <v>46113.0</v>
      </c>
      <c r="F2350" s="28">
        <v>46171.0</v>
      </c>
      <c r="G2350" s="29"/>
    </row>
    <row r="2351" ht="15.75" customHeight="1">
      <c r="A2351" s="30" t="s">
        <v>6015</v>
      </c>
      <c r="B2351" s="31" t="s">
        <v>341</v>
      </c>
      <c r="C2351" s="31" t="s">
        <v>968</v>
      </c>
      <c r="D2351" s="30" t="s">
        <v>3663</v>
      </c>
      <c r="E2351" s="32">
        <v>46113.0</v>
      </c>
      <c r="F2351" s="32">
        <v>46171.0</v>
      </c>
      <c r="G2351" s="33"/>
    </row>
    <row r="2352" ht="15.75" customHeight="1">
      <c r="A2352" s="26" t="s">
        <v>6016</v>
      </c>
      <c r="B2352" s="27" t="s">
        <v>341</v>
      </c>
      <c r="C2352" s="27" t="s">
        <v>923</v>
      </c>
      <c r="D2352" s="26" t="s">
        <v>3663</v>
      </c>
      <c r="E2352" s="28">
        <v>46113.0</v>
      </c>
      <c r="F2352" s="28">
        <v>46171.0</v>
      </c>
      <c r="G2352" s="29"/>
    </row>
    <row r="2353" ht="15.75" customHeight="1">
      <c r="A2353" s="30" t="s">
        <v>6017</v>
      </c>
      <c r="B2353" s="31" t="s">
        <v>342</v>
      </c>
      <c r="C2353" s="31" t="s">
        <v>1240</v>
      </c>
      <c r="D2353" s="30" t="s">
        <v>3663</v>
      </c>
      <c r="E2353" s="32">
        <v>46113.0</v>
      </c>
      <c r="F2353" s="32">
        <v>46171.0</v>
      </c>
      <c r="G2353" s="33"/>
    </row>
    <row r="2354" ht="15.75" customHeight="1">
      <c r="A2354" s="26" t="s">
        <v>6018</v>
      </c>
      <c r="B2354" s="27" t="s">
        <v>342</v>
      </c>
      <c r="C2354" s="27" t="s">
        <v>1242</v>
      </c>
      <c r="D2354" s="26" t="s">
        <v>3663</v>
      </c>
      <c r="E2354" s="28">
        <v>46113.0</v>
      </c>
      <c r="F2354" s="28">
        <v>46171.0</v>
      </c>
      <c r="G2354" s="29"/>
    </row>
    <row r="2355" ht="15.75" customHeight="1">
      <c r="A2355" s="30" t="s">
        <v>6019</v>
      </c>
      <c r="B2355" s="31" t="s">
        <v>342</v>
      </c>
      <c r="C2355" s="31" t="s">
        <v>1244</v>
      </c>
      <c r="D2355" s="30" t="s">
        <v>3663</v>
      </c>
      <c r="E2355" s="32">
        <v>46113.0</v>
      </c>
      <c r="F2355" s="32">
        <v>46171.0</v>
      </c>
      <c r="G2355" s="33"/>
    </row>
    <row r="2356" ht="15.75" customHeight="1">
      <c r="A2356" s="26" t="s">
        <v>6020</v>
      </c>
      <c r="B2356" s="27" t="s">
        <v>342</v>
      </c>
      <c r="C2356" s="27" t="s">
        <v>1246</v>
      </c>
      <c r="D2356" s="26" t="s">
        <v>3663</v>
      </c>
      <c r="E2356" s="28">
        <v>46113.0</v>
      </c>
      <c r="F2356" s="28">
        <v>46171.0</v>
      </c>
      <c r="G2356" s="29"/>
    </row>
    <row r="2357" ht="15.75" customHeight="1">
      <c r="A2357" s="30" t="s">
        <v>6021</v>
      </c>
      <c r="B2357" s="31" t="s">
        <v>342</v>
      </c>
      <c r="C2357" s="31" t="s">
        <v>934</v>
      </c>
      <c r="D2357" s="30" t="s">
        <v>3663</v>
      </c>
      <c r="E2357" s="32">
        <v>46113.0</v>
      </c>
      <c r="F2357" s="32">
        <v>46171.0</v>
      </c>
      <c r="G2357" s="33"/>
    </row>
    <row r="2358" ht="15.75" customHeight="1">
      <c r="A2358" s="26" t="s">
        <v>6022</v>
      </c>
      <c r="B2358" s="27" t="s">
        <v>342</v>
      </c>
      <c r="C2358" s="27" t="s">
        <v>1354</v>
      </c>
      <c r="D2358" s="26" t="s">
        <v>3663</v>
      </c>
      <c r="E2358" s="28">
        <v>46113.0</v>
      </c>
      <c r="F2358" s="28">
        <v>46171.0</v>
      </c>
      <c r="G2358" s="29"/>
    </row>
    <row r="2359" ht="15.75" customHeight="1">
      <c r="A2359" s="30" t="s">
        <v>6023</v>
      </c>
      <c r="B2359" s="31" t="s">
        <v>342</v>
      </c>
      <c r="C2359" s="31" t="s">
        <v>3656</v>
      </c>
      <c r="D2359" s="30" t="s">
        <v>3663</v>
      </c>
      <c r="E2359" s="32">
        <v>46113.0</v>
      </c>
      <c r="F2359" s="32">
        <v>46171.0</v>
      </c>
      <c r="G2359" s="33"/>
    </row>
    <row r="2360" ht="15.75" customHeight="1">
      <c r="A2360" s="26" t="s">
        <v>6024</v>
      </c>
      <c r="B2360" s="27" t="s">
        <v>342</v>
      </c>
      <c r="C2360" s="27" t="s">
        <v>3657</v>
      </c>
      <c r="D2360" s="26" t="s">
        <v>3663</v>
      </c>
      <c r="E2360" s="28">
        <v>46113.0</v>
      </c>
      <c r="F2360" s="28">
        <v>46171.0</v>
      </c>
      <c r="G2360" s="29"/>
    </row>
    <row r="2361" ht="15.75" customHeight="1">
      <c r="A2361" s="30" t="s">
        <v>6025</v>
      </c>
      <c r="B2361" s="31" t="s">
        <v>342</v>
      </c>
      <c r="C2361" s="31" t="s">
        <v>1218</v>
      </c>
      <c r="D2361" s="30" t="s">
        <v>3663</v>
      </c>
      <c r="E2361" s="32">
        <v>46113.0</v>
      </c>
      <c r="F2361" s="32">
        <v>46171.0</v>
      </c>
      <c r="G2361" s="33"/>
    </row>
    <row r="2362" ht="15.75" customHeight="1">
      <c r="A2362" s="26" t="s">
        <v>6026</v>
      </c>
      <c r="B2362" s="27" t="s">
        <v>342</v>
      </c>
      <c r="C2362" s="27" t="s">
        <v>1351</v>
      </c>
      <c r="D2362" s="26" t="s">
        <v>3663</v>
      </c>
      <c r="E2362" s="28">
        <v>46113.0</v>
      </c>
      <c r="F2362" s="28">
        <v>46171.0</v>
      </c>
      <c r="G2362" s="29"/>
    </row>
    <row r="2363" ht="15.75" customHeight="1">
      <c r="A2363" s="30" t="s">
        <v>6027</v>
      </c>
      <c r="B2363" s="31" t="s">
        <v>342</v>
      </c>
      <c r="C2363" s="31" t="s">
        <v>1349</v>
      </c>
      <c r="D2363" s="30" t="s">
        <v>3663</v>
      </c>
      <c r="E2363" s="32">
        <v>46113.0</v>
      </c>
      <c r="F2363" s="32">
        <v>46171.0</v>
      </c>
      <c r="G2363" s="33"/>
    </row>
    <row r="2364" ht="15.75" customHeight="1">
      <c r="A2364" s="26" t="s">
        <v>6028</v>
      </c>
      <c r="B2364" s="27" t="s">
        <v>342</v>
      </c>
      <c r="C2364" s="27" t="s">
        <v>968</v>
      </c>
      <c r="D2364" s="26" t="s">
        <v>3663</v>
      </c>
      <c r="E2364" s="28">
        <v>46113.0</v>
      </c>
      <c r="F2364" s="28">
        <v>46171.0</v>
      </c>
      <c r="G2364" s="29"/>
    </row>
    <row r="2365" ht="15.75" customHeight="1">
      <c r="A2365" s="30" t="s">
        <v>6029</v>
      </c>
      <c r="B2365" s="31" t="s">
        <v>342</v>
      </c>
      <c r="C2365" s="31" t="s">
        <v>923</v>
      </c>
      <c r="D2365" s="30" t="s">
        <v>3663</v>
      </c>
      <c r="E2365" s="32">
        <v>46113.0</v>
      </c>
      <c r="F2365" s="32">
        <v>46171.0</v>
      </c>
      <c r="G2365" s="33"/>
    </row>
    <row r="2366" ht="15.75" customHeight="1">
      <c r="A2366" s="26" t="s">
        <v>6030</v>
      </c>
      <c r="B2366" s="27" t="s">
        <v>342</v>
      </c>
      <c r="C2366" s="27" t="s">
        <v>955</v>
      </c>
      <c r="D2366" s="26" t="s">
        <v>3663</v>
      </c>
      <c r="E2366" s="28">
        <v>46113.0</v>
      </c>
      <c r="F2366" s="28">
        <v>46171.0</v>
      </c>
      <c r="G2366" s="29"/>
    </row>
    <row r="2367" ht="15.75" customHeight="1">
      <c r="A2367" s="30" t="s">
        <v>6031</v>
      </c>
      <c r="B2367" s="31" t="s">
        <v>343</v>
      </c>
      <c r="C2367" s="31" t="s">
        <v>932</v>
      </c>
      <c r="D2367" s="30" t="s">
        <v>3663</v>
      </c>
      <c r="E2367" s="32">
        <v>46113.0</v>
      </c>
      <c r="F2367" s="32">
        <v>46171.0</v>
      </c>
      <c r="G2367" s="33"/>
    </row>
    <row r="2368" ht="15.75" customHeight="1">
      <c r="A2368" s="26" t="s">
        <v>6032</v>
      </c>
      <c r="B2368" s="27" t="s">
        <v>343</v>
      </c>
      <c r="C2368" s="27" t="s">
        <v>1164</v>
      </c>
      <c r="D2368" s="26" t="s">
        <v>3663</v>
      </c>
      <c r="E2368" s="28">
        <v>46113.0</v>
      </c>
      <c r="F2368" s="28">
        <v>46171.0</v>
      </c>
      <c r="G2368" s="29"/>
    </row>
    <row r="2369" ht="15.75" customHeight="1">
      <c r="A2369" s="30" t="s">
        <v>6033</v>
      </c>
      <c r="B2369" s="31" t="s">
        <v>343</v>
      </c>
      <c r="C2369" s="31" t="s">
        <v>1166</v>
      </c>
      <c r="D2369" s="30" t="s">
        <v>3663</v>
      </c>
      <c r="E2369" s="32">
        <v>46113.0</v>
      </c>
      <c r="F2369" s="32">
        <v>46171.0</v>
      </c>
      <c r="G2369" s="33"/>
    </row>
    <row r="2370" ht="15.75" customHeight="1">
      <c r="A2370" s="26" t="s">
        <v>6034</v>
      </c>
      <c r="B2370" s="27" t="s">
        <v>343</v>
      </c>
      <c r="C2370" s="27" t="s">
        <v>1168</v>
      </c>
      <c r="D2370" s="26" t="s">
        <v>3663</v>
      </c>
      <c r="E2370" s="28">
        <v>46113.0</v>
      </c>
      <c r="F2370" s="28">
        <v>46171.0</v>
      </c>
      <c r="G2370" s="29"/>
    </row>
    <row r="2371" ht="15.75" customHeight="1">
      <c r="A2371" s="30" t="s">
        <v>6035</v>
      </c>
      <c r="B2371" s="31" t="s">
        <v>343</v>
      </c>
      <c r="C2371" s="31" t="s">
        <v>1170</v>
      </c>
      <c r="D2371" s="30" t="s">
        <v>3663</v>
      </c>
      <c r="E2371" s="32">
        <v>46113.0</v>
      </c>
      <c r="F2371" s="32">
        <v>46171.0</v>
      </c>
      <c r="G2371" s="33"/>
    </row>
    <row r="2372" ht="15.75" customHeight="1">
      <c r="A2372" s="26" t="s">
        <v>6036</v>
      </c>
      <c r="B2372" s="27" t="s">
        <v>343</v>
      </c>
      <c r="C2372" s="27" t="s">
        <v>1354</v>
      </c>
      <c r="D2372" s="26" t="s">
        <v>3663</v>
      </c>
      <c r="E2372" s="28">
        <v>46113.0</v>
      </c>
      <c r="F2372" s="28">
        <v>46171.0</v>
      </c>
      <c r="G2372" s="29"/>
    </row>
    <row r="2373" ht="15.75" customHeight="1">
      <c r="A2373" s="30" t="s">
        <v>6037</v>
      </c>
      <c r="B2373" s="31" t="s">
        <v>343</v>
      </c>
      <c r="C2373" s="31" t="s">
        <v>3681</v>
      </c>
      <c r="D2373" s="30" t="s">
        <v>3663</v>
      </c>
      <c r="E2373" s="32">
        <v>46113.0</v>
      </c>
      <c r="F2373" s="32">
        <v>46171.0</v>
      </c>
      <c r="G2373" s="33"/>
    </row>
    <row r="2374" ht="15.75" customHeight="1">
      <c r="A2374" s="26" t="s">
        <v>6038</v>
      </c>
      <c r="B2374" s="27" t="s">
        <v>343</v>
      </c>
      <c r="C2374" s="27" t="s">
        <v>3683</v>
      </c>
      <c r="D2374" s="26" t="s">
        <v>3663</v>
      </c>
      <c r="E2374" s="28">
        <v>46113.0</v>
      </c>
      <c r="F2374" s="28">
        <v>46171.0</v>
      </c>
      <c r="G2374" s="29"/>
    </row>
    <row r="2375" ht="15.75" customHeight="1">
      <c r="A2375" s="30" t="s">
        <v>6039</v>
      </c>
      <c r="B2375" s="31" t="s">
        <v>343</v>
      </c>
      <c r="C2375" s="31" t="s">
        <v>1190</v>
      </c>
      <c r="D2375" s="30" t="s">
        <v>3663</v>
      </c>
      <c r="E2375" s="32">
        <v>46113.0</v>
      </c>
      <c r="F2375" s="32">
        <v>46171.0</v>
      </c>
      <c r="G2375" s="33"/>
    </row>
    <row r="2376" ht="15.75" customHeight="1">
      <c r="A2376" s="26" t="s">
        <v>6040</v>
      </c>
      <c r="B2376" s="27" t="s">
        <v>343</v>
      </c>
      <c r="C2376" s="27" t="s">
        <v>1351</v>
      </c>
      <c r="D2376" s="26" t="s">
        <v>3663</v>
      </c>
      <c r="E2376" s="28">
        <v>46113.0</v>
      </c>
      <c r="F2376" s="28">
        <v>46171.0</v>
      </c>
      <c r="G2376" s="29"/>
    </row>
    <row r="2377" ht="15.75" customHeight="1">
      <c r="A2377" s="30" t="s">
        <v>6041</v>
      </c>
      <c r="B2377" s="31" t="s">
        <v>343</v>
      </c>
      <c r="C2377" s="31" t="s">
        <v>1349</v>
      </c>
      <c r="D2377" s="30" t="s">
        <v>3663</v>
      </c>
      <c r="E2377" s="32">
        <v>46113.0</v>
      </c>
      <c r="F2377" s="32">
        <v>46171.0</v>
      </c>
      <c r="G2377" s="33"/>
    </row>
    <row r="2378" ht="15.75" customHeight="1">
      <c r="A2378" s="26" t="s">
        <v>6042</v>
      </c>
      <c r="B2378" s="27" t="s">
        <v>343</v>
      </c>
      <c r="C2378" s="27" t="s">
        <v>968</v>
      </c>
      <c r="D2378" s="26" t="s">
        <v>3663</v>
      </c>
      <c r="E2378" s="28">
        <v>46113.0</v>
      </c>
      <c r="F2378" s="28">
        <v>46171.0</v>
      </c>
      <c r="G2378" s="29"/>
    </row>
    <row r="2379" ht="15.75" customHeight="1">
      <c r="A2379" s="30" t="s">
        <v>6043</v>
      </c>
      <c r="B2379" s="31" t="s">
        <v>343</v>
      </c>
      <c r="C2379" s="31" t="s">
        <v>923</v>
      </c>
      <c r="D2379" s="30" t="s">
        <v>3663</v>
      </c>
      <c r="E2379" s="32">
        <v>46113.0</v>
      </c>
      <c r="F2379" s="32">
        <v>46171.0</v>
      </c>
      <c r="G2379" s="33"/>
    </row>
    <row r="2380" ht="15.75" customHeight="1">
      <c r="A2380" s="26" t="s">
        <v>6044</v>
      </c>
      <c r="B2380" s="27" t="s">
        <v>343</v>
      </c>
      <c r="C2380" s="27" t="s">
        <v>961</v>
      </c>
      <c r="D2380" s="26" t="s">
        <v>3663</v>
      </c>
      <c r="E2380" s="28">
        <v>46113.0</v>
      </c>
      <c r="F2380" s="28">
        <v>46171.0</v>
      </c>
      <c r="G2380" s="29"/>
    </row>
    <row r="2381" ht="15.75" customHeight="1">
      <c r="A2381" s="30" t="s">
        <v>6045</v>
      </c>
      <c r="B2381" s="31" t="s">
        <v>344</v>
      </c>
      <c r="C2381" s="31" t="s">
        <v>926</v>
      </c>
      <c r="D2381" s="30" t="s">
        <v>3663</v>
      </c>
      <c r="E2381" s="32">
        <v>46113.0</v>
      </c>
      <c r="F2381" s="32">
        <v>46171.0</v>
      </c>
      <c r="G2381" s="33"/>
    </row>
    <row r="2382" ht="15.75" customHeight="1">
      <c r="A2382" s="26" t="s">
        <v>6046</v>
      </c>
      <c r="B2382" s="27" t="s">
        <v>344</v>
      </c>
      <c r="C2382" s="27" t="s">
        <v>1354</v>
      </c>
      <c r="D2382" s="26" t="s">
        <v>3663</v>
      </c>
      <c r="E2382" s="28">
        <v>46113.0</v>
      </c>
      <c r="F2382" s="28">
        <v>46171.0</v>
      </c>
      <c r="G2382" s="29"/>
    </row>
    <row r="2383" ht="15.75" customHeight="1">
      <c r="A2383" s="30" t="s">
        <v>6047</v>
      </c>
      <c r="B2383" s="31" t="s">
        <v>344</v>
      </c>
      <c r="C2383" s="31" t="s">
        <v>3681</v>
      </c>
      <c r="D2383" s="30" t="s">
        <v>3663</v>
      </c>
      <c r="E2383" s="32">
        <v>46113.0</v>
      </c>
      <c r="F2383" s="32">
        <v>46171.0</v>
      </c>
      <c r="G2383" s="33"/>
    </row>
    <row r="2384" ht="15.75" customHeight="1">
      <c r="A2384" s="26" t="s">
        <v>6048</v>
      </c>
      <c r="B2384" s="27" t="s">
        <v>344</v>
      </c>
      <c r="C2384" s="27" t="s">
        <v>3683</v>
      </c>
      <c r="D2384" s="26" t="s">
        <v>3663</v>
      </c>
      <c r="E2384" s="28">
        <v>46113.0</v>
      </c>
      <c r="F2384" s="28">
        <v>46171.0</v>
      </c>
      <c r="G2384" s="29"/>
    </row>
    <row r="2385" ht="15.75" customHeight="1">
      <c r="A2385" s="30" t="s">
        <v>6049</v>
      </c>
      <c r="B2385" s="31" t="s">
        <v>344</v>
      </c>
      <c r="C2385" s="31" t="s">
        <v>1208</v>
      </c>
      <c r="D2385" s="30" t="s">
        <v>3663</v>
      </c>
      <c r="E2385" s="32">
        <v>46113.0</v>
      </c>
      <c r="F2385" s="32">
        <v>46171.0</v>
      </c>
      <c r="G2385" s="33"/>
    </row>
    <row r="2386" ht="15.75" customHeight="1">
      <c r="A2386" s="26" t="s">
        <v>6050</v>
      </c>
      <c r="B2386" s="27" t="s">
        <v>344</v>
      </c>
      <c r="C2386" s="27" t="s">
        <v>1159</v>
      </c>
      <c r="D2386" s="26" t="s">
        <v>3663</v>
      </c>
      <c r="E2386" s="28">
        <v>46113.0</v>
      </c>
      <c r="F2386" s="28">
        <v>46171.0</v>
      </c>
      <c r="G2386" s="29"/>
    </row>
    <row r="2387" ht="15.75" customHeight="1">
      <c r="A2387" s="30" t="s">
        <v>6051</v>
      </c>
      <c r="B2387" s="31" t="s">
        <v>344</v>
      </c>
      <c r="C2387" s="31" t="s">
        <v>1277</v>
      </c>
      <c r="D2387" s="30" t="s">
        <v>3663</v>
      </c>
      <c r="E2387" s="32">
        <v>46113.0</v>
      </c>
      <c r="F2387" s="32">
        <v>46171.0</v>
      </c>
      <c r="G2387" s="33"/>
    </row>
    <row r="2388" ht="15.75" customHeight="1">
      <c r="A2388" s="26" t="s">
        <v>6052</v>
      </c>
      <c r="B2388" s="27" t="s">
        <v>344</v>
      </c>
      <c r="C2388" s="27" t="s">
        <v>1279</v>
      </c>
      <c r="D2388" s="26" t="s">
        <v>3663</v>
      </c>
      <c r="E2388" s="28">
        <v>46113.0</v>
      </c>
      <c r="F2388" s="28">
        <v>46171.0</v>
      </c>
      <c r="G2388" s="29"/>
    </row>
    <row r="2389" ht="15.75" customHeight="1">
      <c r="A2389" s="30" t="s">
        <v>6053</v>
      </c>
      <c r="B2389" s="31" t="s">
        <v>344</v>
      </c>
      <c r="C2389" s="31" t="s">
        <v>1283</v>
      </c>
      <c r="D2389" s="30" t="s">
        <v>3663</v>
      </c>
      <c r="E2389" s="32">
        <v>46113.0</v>
      </c>
      <c r="F2389" s="32">
        <v>46171.0</v>
      </c>
      <c r="G2389" s="33"/>
    </row>
    <row r="2390" ht="15.75" customHeight="1">
      <c r="A2390" s="26" t="s">
        <v>6054</v>
      </c>
      <c r="B2390" s="27" t="s">
        <v>344</v>
      </c>
      <c r="C2390" s="27" t="s">
        <v>1281</v>
      </c>
      <c r="D2390" s="26" t="s">
        <v>3663</v>
      </c>
      <c r="E2390" s="28">
        <v>46113.0</v>
      </c>
      <c r="F2390" s="28">
        <v>46171.0</v>
      </c>
      <c r="G2390" s="29"/>
    </row>
    <row r="2391" ht="15.75" customHeight="1">
      <c r="A2391" s="30" t="s">
        <v>6055</v>
      </c>
      <c r="B2391" s="31" t="s">
        <v>344</v>
      </c>
      <c r="C2391" s="31" t="s">
        <v>1351</v>
      </c>
      <c r="D2391" s="30" t="s">
        <v>3663</v>
      </c>
      <c r="E2391" s="32">
        <v>46113.0</v>
      </c>
      <c r="F2391" s="32">
        <v>46171.0</v>
      </c>
      <c r="G2391" s="33"/>
    </row>
    <row r="2392" ht="15.75" customHeight="1">
      <c r="A2392" s="26" t="s">
        <v>6056</v>
      </c>
      <c r="B2392" s="27" t="s">
        <v>344</v>
      </c>
      <c r="C2392" s="27" t="s">
        <v>1349</v>
      </c>
      <c r="D2392" s="26" t="s">
        <v>3663</v>
      </c>
      <c r="E2392" s="28">
        <v>46113.0</v>
      </c>
      <c r="F2392" s="28">
        <v>46171.0</v>
      </c>
      <c r="G2392" s="29"/>
    </row>
    <row r="2393" ht="15.75" customHeight="1">
      <c r="A2393" s="30" t="s">
        <v>6057</v>
      </c>
      <c r="B2393" s="31" t="s">
        <v>344</v>
      </c>
      <c r="C2393" s="31" t="s">
        <v>968</v>
      </c>
      <c r="D2393" s="30" t="s">
        <v>3663</v>
      </c>
      <c r="E2393" s="32">
        <v>46113.0</v>
      </c>
      <c r="F2393" s="32">
        <v>46171.0</v>
      </c>
      <c r="G2393" s="33"/>
    </row>
    <row r="2394" ht="15.75" customHeight="1">
      <c r="A2394" s="26" t="s">
        <v>6058</v>
      </c>
      <c r="B2394" s="27" t="s">
        <v>344</v>
      </c>
      <c r="C2394" s="27" t="s">
        <v>923</v>
      </c>
      <c r="D2394" s="26" t="s">
        <v>3663</v>
      </c>
      <c r="E2394" s="28">
        <v>46113.0</v>
      </c>
      <c r="F2394" s="28">
        <v>46171.0</v>
      </c>
      <c r="G2394" s="29"/>
    </row>
    <row r="2395" ht="15.75" customHeight="1">
      <c r="A2395" s="30" t="s">
        <v>6059</v>
      </c>
      <c r="B2395" s="31" t="s">
        <v>345</v>
      </c>
      <c r="C2395" s="31" t="s">
        <v>930</v>
      </c>
      <c r="D2395" s="30" t="s">
        <v>3663</v>
      </c>
      <c r="E2395" s="32">
        <v>46113.0</v>
      </c>
      <c r="F2395" s="32">
        <v>46171.0</v>
      </c>
      <c r="G2395" s="33"/>
    </row>
    <row r="2396" ht="15.75" customHeight="1">
      <c r="A2396" s="26" t="s">
        <v>6060</v>
      </c>
      <c r="B2396" s="27" t="s">
        <v>345</v>
      </c>
      <c r="C2396" s="27" t="s">
        <v>1354</v>
      </c>
      <c r="D2396" s="26" t="s">
        <v>3663</v>
      </c>
      <c r="E2396" s="28">
        <v>46113.0</v>
      </c>
      <c r="F2396" s="28">
        <v>46171.0</v>
      </c>
      <c r="G2396" s="29"/>
    </row>
    <row r="2397" ht="15.75" customHeight="1">
      <c r="A2397" s="30" t="s">
        <v>6061</v>
      </c>
      <c r="B2397" s="31" t="s">
        <v>345</v>
      </c>
      <c r="C2397" s="31" t="s">
        <v>1190</v>
      </c>
      <c r="D2397" s="30" t="s">
        <v>3663</v>
      </c>
      <c r="E2397" s="32">
        <v>46113.0</v>
      </c>
      <c r="F2397" s="32">
        <v>46171.0</v>
      </c>
      <c r="G2397" s="33"/>
    </row>
    <row r="2398" ht="15.75" customHeight="1">
      <c r="A2398" s="26" t="s">
        <v>6062</v>
      </c>
      <c r="B2398" s="27" t="s">
        <v>345</v>
      </c>
      <c r="C2398" s="27" t="s">
        <v>1159</v>
      </c>
      <c r="D2398" s="26" t="s">
        <v>3663</v>
      </c>
      <c r="E2398" s="28">
        <v>46113.0</v>
      </c>
      <c r="F2398" s="28">
        <v>46171.0</v>
      </c>
      <c r="G2398" s="29"/>
    </row>
    <row r="2399" ht="15.75" customHeight="1">
      <c r="A2399" s="30" t="s">
        <v>6063</v>
      </c>
      <c r="B2399" s="31" t="s">
        <v>345</v>
      </c>
      <c r="C2399" s="31" t="s">
        <v>3656</v>
      </c>
      <c r="D2399" s="30" t="s">
        <v>3663</v>
      </c>
      <c r="E2399" s="32">
        <v>46113.0</v>
      </c>
      <c r="F2399" s="32">
        <v>46171.0</v>
      </c>
      <c r="G2399" s="33"/>
    </row>
    <row r="2400" ht="15.75" customHeight="1">
      <c r="A2400" s="26" t="s">
        <v>6064</v>
      </c>
      <c r="B2400" s="27" t="s">
        <v>345</v>
      </c>
      <c r="C2400" s="27" t="s">
        <v>3657</v>
      </c>
      <c r="D2400" s="26" t="s">
        <v>3663</v>
      </c>
      <c r="E2400" s="28">
        <v>46113.0</v>
      </c>
      <c r="F2400" s="28">
        <v>46171.0</v>
      </c>
      <c r="G2400" s="29"/>
    </row>
    <row r="2401" ht="15.75" customHeight="1">
      <c r="A2401" s="30" t="s">
        <v>6065</v>
      </c>
      <c r="B2401" s="31" t="s">
        <v>345</v>
      </c>
      <c r="C2401" s="31" t="s">
        <v>1157</v>
      </c>
      <c r="D2401" s="30" t="s">
        <v>3663</v>
      </c>
      <c r="E2401" s="32">
        <v>46113.0</v>
      </c>
      <c r="F2401" s="32">
        <v>46171.0</v>
      </c>
      <c r="G2401" s="33"/>
    </row>
    <row r="2402" ht="15.75" customHeight="1">
      <c r="A2402" s="26" t="s">
        <v>6066</v>
      </c>
      <c r="B2402" s="27" t="s">
        <v>345</v>
      </c>
      <c r="C2402" s="27" t="s">
        <v>1155</v>
      </c>
      <c r="D2402" s="26" t="s">
        <v>3663</v>
      </c>
      <c r="E2402" s="28">
        <v>46113.0</v>
      </c>
      <c r="F2402" s="28">
        <v>46171.0</v>
      </c>
      <c r="G2402" s="29"/>
    </row>
    <row r="2403" ht="15.75" customHeight="1">
      <c r="A2403" s="30" t="s">
        <v>6067</v>
      </c>
      <c r="B2403" s="31" t="s">
        <v>345</v>
      </c>
      <c r="C2403" s="31" t="s">
        <v>1153</v>
      </c>
      <c r="D2403" s="30" t="s">
        <v>3663</v>
      </c>
      <c r="E2403" s="32">
        <v>46113.0</v>
      </c>
      <c r="F2403" s="32">
        <v>46171.0</v>
      </c>
      <c r="G2403" s="33"/>
    </row>
    <row r="2404" ht="15.75" customHeight="1">
      <c r="A2404" s="26" t="s">
        <v>6068</v>
      </c>
      <c r="B2404" s="27" t="s">
        <v>345</v>
      </c>
      <c r="C2404" s="27" t="s">
        <v>1149</v>
      </c>
      <c r="D2404" s="26" t="s">
        <v>3663</v>
      </c>
      <c r="E2404" s="28">
        <v>46113.0</v>
      </c>
      <c r="F2404" s="28">
        <v>46171.0</v>
      </c>
      <c r="G2404" s="29"/>
    </row>
    <row r="2405" ht="15.75" customHeight="1">
      <c r="A2405" s="30" t="s">
        <v>6069</v>
      </c>
      <c r="B2405" s="31" t="s">
        <v>345</v>
      </c>
      <c r="C2405" s="31" t="s">
        <v>1351</v>
      </c>
      <c r="D2405" s="30" t="s">
        <v>3663</v>
      </c>
      <c r="E2405" s="32">
        <v>46113.0</v>
      </c>
      <c r="F2405" s="32">
        <v>46171.0</v>
      </c>
      <c r="G2405" s="33"/>
    </row>
    <row r="2406" ht="15.75" customHeight="1">
      <c r="A2406" s="26" t="s">
        <v>6070</v>
      </c>
      <c r="B2406" s="27" t="s">
        <v>345</v>
      </c>
      <c r="C2406" s="27" t="s">
        <v>1349</v>
      </c>
      <c r="D2406" s="26" t="s">
        <v>3663</v>
      </c>
      <c r="E2406" s="28">
        <v>46113.0</v>
      </c>
      <c r="F2406" s="28">
        <v>46171.0</v>
      </c>
      <c r="G2406" s="29"/>
    </row>
    <row r="2407" ht="15.75" customHeight="1">
      <c r="A2407" s="30" t="s">
        <v>6071</v>
      </c>
      <c r="B2407" s="31" t="s">
        <v>345</v>
      </c>
      <c r="C2407" s="31" t="s">
        <v>965</v>
      </c>
      <c r="D2407" s="30" t="s">
        <v>3663</v>
      </c>
      <c r="E2407" s="32">
        <v>46113.0</v>
      </c>
      <c r="F2407" s="32">
        <v>46171.0</v>
      </c>
      <c r="G2407" s="33"/>
    </row>
    <row r="2408" ht="15.75" customHeight="1">
      <c r="A2408" s="26" t="s">
        <v>6072</v>
      </c>
      <c r="B2408" s="27" t="s">
        <v>345</v>
      </c>
      <c r="C2408" s="27" t="s">
        <v>923</v>
      </c>
      <c r="D2408" s="26" t="s">
        <v>3663</v>
      </c>
      <c r="E2408" s="28">
        <v>46113.0</v>
      </c>
      <c r="F2408" s="28">
        <v>46171.0</v>
      </c>
      <c r="G2408" s="29"/>
    </row>
    <row r="2409" ht="15.75" customHeight="1">
      <c r="A2409" s="30" t="s">
        <v>6073</v>
      </c>
      <c r="B2409" s="31" t="s">
        <v>346</v>
      </c>
      <c r="C2409" s="31" t="s">
        <v>3654</v>
      </c>
      <c r="D2409" s="30" t="s">
        <v>3663</v>
      </c>
      <c r="E2409" s="32">
        <v>46113.0</v>
      </c>
      <c r="F2409" s="32">
        <v>46171.0</v>
      </c>
      <c r="G2409" s="33"/>
    </row>
    <row r="2410" ht="15.75" customHeight="1">
      <c r="A2410" s="26" t="s">
        <v>6074</v>
      </c>
      <c r="B2410" s="27" t="s">
        <v>346</v>
      </c>
      <c r="C2410" s="27" t="s">
        <v>3655</v>
      </c>
      <c r="D2410" s="26" t="s">
        <v>3663</v>
      </c>
      <c r="E2410" s="28">
        <v>46113.0</v>
      </c>
      <c r="F2410" s="28">
        <v>46171.0</v>
      </c>
      <c r="G2410" s="29"/>
    </row>
    <row r="2411" ht="15.75" customHeight="1">
      <c r="A2411" s="30" t="s">
        <v>6075</v>
      </c>
      <c r="B2411" s="31" t="s">
        <v>346</v>
      </c>
      <c r="C2411" s="31" t="s">
        <v>930</v>
      </c>
      <c r="D2411" s="30" t="s">
        <v>3663</v>
      </c>
      <c r="E2411" s="32">
        <v>46113.0</v>
      </c>
      <c r="F2411" s="32">
        <v>46171.0</v>
      </c>
      <c r="G2411" s="33"/>
    </row>
    <row r="2412" ht="15.75" customHeight="1">
      <c r="A2412" s="26" t="s">
        <v>6076</v>
      </c>
      <c r="B2412" s="27" t="s">
        <v>346</v>
      </c>
      <c r="C2412" s="27" t="s">
        <v>1354</v>
      </c>
      <c r="D2412" s="26" t="s">
        <v>3663</v>
      </c>
      <c r="E2412" s="28">
        <v>46113.0</v>
      </c>
      <c r="F2412" s="28">
        <v>46171.0</v>
      </c>
      <c r="G2412" s="29"/>
    </row>
    <row r="2413" ht="15.75" customHeight="1">
      <c r="A2413" s="30" t="s">
        <v>6077</v>
      </c>
      <c r="B2413" s="31" t="s">
        <v>346</v>
      </c>
      <c r="C2413" s="31" t="s">
        <v>1304</v>
      </c>
      <c r="D2413" s="30" t="s">
        <v>3663</v>
      </c>
      <c r="E2413" s="32">
        <v>46113.0</v>
      </c>
      <c r="F2413" s="32">
        <v>46171.0</v>
      </c>
      <c r="G2413" s="33"/>
    </row>
    <row r="2414" ht="15.75" customHeight="1">
      <c r="A2414" s="26" t="s">
        <v>6078</v>
      </c>
      <c r="B2414" s="27" t="s">
        <v>346</v>
      </c>
      <c r="C2414" s="27" t="s">
        <v>1306</v>
      </c>
      <c r="D2414" s="26" t="s">
        <v>3663</v>
      </c>
      <c r="E2414" s="28">
        <v>46113.0</v>
      </c>
      <c r="F2414" s="28">
        <v>46171.0</v>
      </c>
      <c r="G2414" s="29"/>
    </row>
    <row r="2415" ht="15.75" customHeight="1">
      <c r="A2415" s="30" t="s">
        <v>6079</v>
      </c>
      <c r="B2415" s="31" t="s">
        <v>346</v>
      </c>
      <c r="C2415" s="31" t="s">
        <v>1308</v>
      </c>
      <c r="D2415" s="30" t="s">
        <v>3663</v>
      </c>
      <c r="E2415" s="32">
        <v>46113.0</v>
      </c>
      <c r="F2415" s="32">
        <v>46171.0</v>
      </c>
      <c r="G2415" s="33"/>
    </row>
    <row r="2416" ht="15.75" customHeight="1">
      <c r="A2416" s="26" t="s">
        <v>6080</v>
      </c>
      <c r="B2416" s="27" t="s">
        <v>346</v>
      </c>
      <c r="C2416" s="27" t="s">
        <v>1310</v>
      </c>
      <c r="D2416" s="26" t="s">
        <v>3663</v>
      </c>
      <c r="E2416" s="28">
        <v>46113.0</v>
      </c>
      <c r="F2416" s="28">
        <v>46171.0</v>
      </c>
      <c r="G2416" s="29"/>
    </row>
    <row r="2417" ht="15.75" customHeight="1">
      <c r="A2417" s="30" t="s">
        <v>6081</v>
      </c>
      <c r="B2417" s="31" t="s">
        <v>346</v>
      </c>
      <c r="C2417" s="31" t="s">
        <v>1172</v>
      </c>
      <c r="D2417" s="30" t="s">
        <v>3663</v>
      </c>
      <c r="E2417" s="32">
        <v>46113.0</v>
      </c>
      <c r="F2417" s="32">
        <v>46171.0</v>
      </c>
      <c r="G2417" s="34"/>
    </row>
    <row r="2418" ht="15.75" customHeight="1">
      <c r="A2418" s="26" t="s">
        <v>6082</v>
      </c>
      <c r="B2418" s="27" t="s">
        <v>346</v>
      </c>
      <c r="C2418" s="27" t="s">
        <v>1351</v>
      </c>
      <c r="D2418" s="26" t="s">
        <v>3663</v>
      </c>
      <c r="E2418" s="28">
        <v>46113.0</v>
      </c>
      <c r="F2418" s="28">
        <v>46171.0</v>
      </c>
      <c r="G2418" s="29"/>
    </row>
    <row r="2419" ht="15.75" customHeight="1">
      <c r="A2419" s="30" t="s">
        <v>6083</v>
      </c>
      <c r="B2419" s="31" t="s">
        <v>346</v>
      </c>
      <c r="C2419" s="31" t="s">
        <v>1349</v>
      </c>
      <c r="D2419" s="30" t="s">
        <v>3663</v>
      </c>
      <c r="E2419" s="32">
        <v>46113.0</v>
      </c>
      <c r="F2419" s="32">
        <v>46171.0</v>
      </c>
      <c r="G2419" s="33"/>
    </row>
    <row r="2420" ht="15.75" customHeight="1">
      <c r="A2420" s="26" t="s">
        <v>6084</v>
      </c>
      <c r="B2420" s="27" t="s">
        <v>346</v>
      </c>
      <c r="C2420" s="27" t="s">
        <v>968</v>
      </c>
      <c r="D2420" s="26" t="s">
        <v>3663</v>
      </c>
      <c r="E2420" s="28">
        <v>46113.0</v>
      </c>
      <c r="F2420" s="28">
        <v>46171.0</v>
      </c>
      <c r="G2420" s="29"/>
    </row>
    <row r="2421" ht="15.75" customHeight="1">
      <c r="A2421" s="30" t="s">
        <v>6085</v>
      </c>
      <c r="B2421" s="31" t="s">
        <v>346</v>
      </c>
      <c r="C2421" s="31" t="s">
        <v>923</v>
      </c>
      <c r="D2421" s="30" t="s">
        <v>3663</v>
      </c>
      <c r="E2421" s="32">
        <v>46113.0</v>
      </c>
      <c r="F2421" s="32">
        <v>46171.0</v>
      </c>
      <c r="G2421" s="33"/>
    </row>
    <row r="2422" ht="15.75" customHeight="1">
      <c r="A2422" s="26" t="s">
        <v>6086</v>
      </c>
      <c r="B2422" s="27" t="s">
        <v>346</v>
      </c>
      <c r="C2422" s="27" t="s">
        <v>955</v>
      </c>
      <c r="D2422" s="26" t="s">
        <v>3663</v>
      </c>
      <c r="E2422" s="28">
        <v>46113.0</v>
      </c>
      <c r="F2422" s="28">
        <v>46171.0</v>
      </c>
      <c r="G2422" s="29"/>
    </row>
    <row r="2423" ht="15.75" customHeight="1">
      <c r="A2423" s="30" t="s">
        <v>6087</v>
      </c>
      <c r="B2423" s="31" t="s">
        <v>348</v>
      </c>
      <c r="C2423" s="31" t="s">
        <v>932</v>
      </c>
      <c r="D2423" s="30" t="s">
        <v>3663</v>
      </c>
      <c r="E2423" s="32">
        <v>46113.0</v>
      </c>
      <c r="F2423" s="32">
        <v>46171.0</v>
      </c>
      <c r="G2423" s="33"/>
    </row>
    <row r="2424" ht="15.75" customHeight="1">
      <c r="A2424" s="26" t="s">
        <v>6088</v>
      </c>
      <c r="B2424" s="27" t="s">
        <v>348</v>
      </c>
      <c r="C2424" s="27" t="s">
        <v>1168</v>
      </c>
      <c r="D2424" s="26" t="s">
        <v>3663</v>
      </c>
      <c r="E2424" s="28">
        <v>46113.0</v>
      </c>
      <c r="F2424" s="28">
        <v>46171.0</v>
      </c>
      <c r="G2424" s="29"/>
    </row>
    <row r="2425" ht="15.75" customHeight="1">
      <c r="A2425" s="30" t="s">
        <v>6089</v>
      </c>
      <c r="B2425" s="31" t="s">
        <v>348</v>
      </c>
      <c r="C2425" s="31" t="s">
        <v>1170</v>
      </c>
      <c r="D2425" s="30" t="s">
        <v>3663</v>
      </c>
      <c r="E2425" s="32">
        <v>46113.0</v>
      </c>
      <c r="F2425" s="32">
        <v>46171.0</v>
      </c>
      <c r="G2425" s="33"/>
    </row>
    <row r="2426" ht="15.75" customHeight="1">
      <c r="A2426" s="26" t="s">
        <v>6090</v>
      </c>
      <c r="B2426" s="27" t="s">
        <v>348</v>
      </c>
      <c r="C2426" s="27" t="s">
        <v>1288</v>
      </c>
      <c r="D2426" s="26" t="s">
        <v>3663</v>
      </c>
      <c r="E2426" s="28">
        <v>46113.0</v>
      </c>
      <c r="F2426" s="28">
        <v>46171.0</v>
      </c>
      <c r="G2426" s="29"/>
    </row>
    <row r="2427" ht="15.75" customHeight="1">
      <c r="A2427" s="30" t="s">
        <v>6091</v>
      </c>
      <c r="B2427" s="31" t="s">
        <v>348</v>
      </c>
      <c r="C2427" s="31" t="s">
        <v>1291</v>
      </c>
      <c r="D2427" s="30" t="s">
        <v>3663</v>
      </c>
      <c r="E2427" s="32">
        <v>46113.0</v>
      </c>
      <c r="F2427" s="32">
        <v>46171.0</v>
      </c>
      <c r="G2427" s="33"/>
    </row>
    <row r="2428" ht="15.75" customHeight="1">
      <c r="A2428" s="26" t="s">
        <v>6092</v>
      </c>
      <c r="B2428" s="27" t="s">
        <v>348</v>
      </c>
      <c r="C2428" s="27" t="s">
        <v>1354</v>
      </c>
      <c r="D2428" s="26" t="s">
        <v>3663</v>
      </c>
      <c r="E2428" s="28">
        <v>46113.0</v>
      </c>
      <c r="F2428" s="28">
        <v>46171.0</v>
      </c>
      <c r="G2428" s="29"/>
    </row>
    <row r="2429" ht="15.75" customHeight="1">
      <c r="A2429" s="30" t="s">
        <v>6093</v>
      </c>
      <c r="B2429" s="31" t="s">
        <v>348</v>
      </c>
      <c r="C2429" s="31" t="s">
        <v>3656</v>
      </c>
      <c r="D2429" s="30" t="s">
        <v>3663</v>
      </c>
      <c r="E2429" s="32">
        <v>46113.0</v>
      </c>
      <c r="F2429" s="32">
        <v>46171.0</v>
      </c>
      <c r="G2429" s="33"/>
    </row>
    <row r="2430" ht="15.75" customHeight="1">
      <c r="A2430" s="26" t="s">
        <v>6094</v>
      </c>
      <c r="B2430" s="27" t="s">
        <v>348</v>
      </c>
      <c r="C2430" s="27" t="s">
        <v>3657</v>
      </c>
      <c r="D2430" s="26" t="s">
        <v>3663</v>
      </c>
      <c r="E2430" s="28">
        <v>46113.0</v>
      </c>
      <c r="F2430" s="28">
        <v>46171.0</v>
      </c>
      <c r="G2430" s="29"/>
    </row>
    <row r="2431" ht="15.75" customHeight="1">
      <c r="A2431" s="30" t="s">
        <v>6095</v>
      </c>
      <c r="B2431" s="31" t="s">
        <v>348</v>
      </c>
      <c r="C2431" s="31" t="s">
        <v>1218</v>
      </c>
      <c r="D2431" s="30" t="s">
        <v>3663</v>
      </c>
      <c r="E2431" s="32">
        <v>46113.0</v>
      </c>
      <c r="F2431" s="32">
        <v>46171.0</v>
      </c>
      <c r="G2431" s="33"/>
    </row>
    <row r="2432" ht="15.75" customHeight="1">
      <c r="A2432" s="26" t="s">
        <v>6096</v>
      </c>
      <c r="B2432" s="27" t="s">
        <v>348</v>
      </c>
      <c r="C2432" s="27" t="s">
        <v>1351</v>
      </c>
      <c r="D2432" s="26" t="s">
        <v>3663</v>
      </c>
      <c r="E2432" s="28">
        <v>46113.0</v>
      </c>
      <c r="F2432" s="28">
        <v>46171.0</v>
      </c>
      <c r="G2432" s="29"/>
    </row>
    <row r="2433" ht="15.75" customHeight="1">
      <c r="A2433" s="30" t="s">
        <v>6097</v>
      </c>
      <c r="B2433" s="31" t="s">
        <v>348</v>
      </c>
      <c r="C2433" s="31" t="s">
        <v>1349</v>
      </c>
      <c r="D2433" s="30" t="s">
        <v>3663</v>
      </c>
      <c r="E2433" s="32">
        <v>46113.0</v>
      </c>
      <c r="F2433" s="32">
        <v>46171.0</v>
      </c>
      <c r="G2433" s="33"/>
    </row>
    <row r="2434" ht="15.75" customHeight="1">
      <c r="A2434" s="26" t="s">
        <v>6098</v>
      </c>
      <c r="B2434" s="27" t="s">
        <v>348</v>
      </c>
      <c r="C2434" s="27" t="s">
        <v>968</v>
      </c>
      <c r="D2434" s="26" t="s">
        <v>3663</v>
      </c>
      <c r="E2434" s="28">
        <v>46113.0</v>
      </c>
      <c r="F2434" s="28">
        <v>46171.0</v>
      </c>
      <c r="G2434" s="29"/>
    </row>
    <row r="2435" ht="15.75" customHeight="1">
      <c r="A2435" s="30" t="s">
        <v>6099</v>
      </c>
      <c r="B2435" s="31" t="s">
        <v>348</v>
      </c>
      <c r="C2435" s="31" t="s">
        <v>923</v>
      </c>
      <c r="D2435" s="30" t="s">
        <v>3663</v>
      </c>
      <c r="E2435" s="32">
        <v>46113.0</v>
      </c>
      <c r="F2435" s="32">
        <v>46171.0</v>
      </c>
      <c r="G2435" s="33"/>
    </row>
    <row r="2436" ht="15.75" customHeight="1">
      <c r="A2436" s="26" t="s">
        <v>6100</v>
      </c>
      <c r="B2436" s="27" t="s">
        <v>348</v>
      </c>
      <c r="C2436" s="27" t="s">
        <v>955</v>
      </c>
      <c r="D2436" s="26" t="s">
        <v>3663</v>
      </c>
      <c r="E2436" s="28">
        <v>46113.0</v>
      </c>
      <c r="F2436" s="28">
        <v>46171.0</v>
      </c>
      <c r="G2436" s="29"/>
    </row>
    <row r="2437" ht="15.75" customHeight="1">
      <c r="A2437" s="30" t="s">
        <v>6101</v>
      </c>
      <c r="B2437" s="31" t="s">
        <v>349</v>
      </c>
      <c r="C2437" s="31" t="s">
        <v>1240</v>
      </c>
      <c r="D2437" s="30" t="s">
        <v>3663</v>
      </c>
      <c r="E2437" s="32">
        <v>46113.0</v>
      </c>
      <c r="F2437" s="32">
        <v>46171.0</v>
      </c>
      <c r="G2437" s="33"/>
    </row>
    <row r="2438" ht="15.75" customHeight="1">
      <c r="A2438" s="26" t="s">
        <v>6102</v>
      </c>
      <c r="B2438" s="27" t="s">
        <v>349</v>
      </c>
      <c r="C2438" s="27" t="s">
        <v>1242</v>
      </c>
      <c r="D2438" s="26" t="s">
        <v>3663</v>
      </c>
      <c r="E2438" s="28">
        <v>46113.0</v>
      </c>
      <c r="F2438" s="28">
        <v>46171.0</v>
      </c>
      <c r="G2438" s="29"/>
    </row>
    <row r="2439" ht="15.75" customHeight="1">
      <c r="A2439" s="30" t="s">
        <v>6103</v>
      </c>
      <c r="B2439" s="31" t="s">
        <v>349</v>
      </c>
      <c r="C2439" s="31" t="s">
        <v>1244</v>
      </c>
      <c r="D2439" s="30" t="s">
        <v>3663</v>
      </c>
      <c r="E2439" s="32">
        <v>46113.0</v>
      </c>
      <c r="F2439" s="32">
        <v>46171.0</v>
      </c>
      <c r="G2439" s="33"/>
    </row>
    <row r="2440" ht="15.75" customHeight="1">
      <c r="A2440" s="26" t="s">
        <v>6104</v>
      </c>
      <c r="B2440" s="27" t="s">
        <v>349</v>
      </c>
      <c r="C2440" s="27" t="s">
        <v>1246</v>
      </c>
      <c r="D2440" s="26" t="s">
        <v>3663</v>
      </c>
      <c r="E2440" s="28">
        <v>46113.0</v>
      </c>
      <c r="F2440" s="28">
        <v>46171.0</v>
      </c>
      <c r="G2440" s="29"/>
    </row>
    <row r="2441" ht="15.75" customHeight="1">
      <c r="A2441" s="30" t="s">
        <v>6105</v>
      </c>
      <c r="B2441" s="31" t="s">
        <v>349</v>
      </c>
      <c r="C2441" s="31" t="s">
        <v>928</v>
      </c>
      <c r="D2441" s="30" t="s">
        <v>3663</v>
      </c>
      <c r="E2441" s="32">
        <v>46113.0</v>
      </c>
      <c r="F2441" s="32">
        <v>46171.0</v>
      </c>
      <c r="G2441" s="33"/>
    </row>
    <row r="2442" ht="15.75" customHeight="1">
      <c r="A2442" s="26" t="s">
        <v>6106</v>
      </c>
      <c r="B2442" s="27" t="s">
        <v>349</v>
      </c>
      <c r="C2442" s="27" t="s">
        <v>1354</v>
      </c>
      <c r="D2442" s="26" t="s">
        <v>3663</v>
      </c>
      <c r="E2442" s="28">
        <v>46113.0</v>
      </c>
      <c r="F2442" s="28">
        <v>46171.0</v>
      </c>
      <c r="G2442" s="29"/>
    </row>
    <row r="2443" ht="15.75" customHeight="1">
      <c r="A2443" s="30" t="s">
        <v>6107</v>
      </c>
      <c r="B2443" s="31" t="s">
        <v>349</v>
      </c>
      <c r="C2443" s="31" t="s">
        <v>3656</v>
      </c>
      <c r="D2443" s="30" t="s">
        <v>3663</v>
      </c>
      <c r="E2443" s="32">
        <v>46113.0</v>
      </c>
      <c r="F2443" s="32">
        <v>46171.0</v>
      </c>
      <c r="G2443" s="33"/>
    </row>
    <row r="2444" ht="15.75" customHeight="1">
      <c r="A2444" s="26" t="s">
        <v>6108</v>
      </c>
      <c r="B2444" s="27" t="s">
        <v>349</v>
      </c>
      <c r="C2444" s="27" t="s">
        <v>3657</v>
      </c>
      <c r="D2444" s="26" t="s">
        <v>3663</v>
      </c>
      <c r="E2444" s="28">
        <v>46113.0</v>
      </c>
      <c r="F2444" s="28">
        <v>46171.0</v>
      </c>
      <c r="G2444" s="29"/>
    </row>
    <row r="2445" ht="15.75" customHeight="1">
      <c r="A2445" s="30" t="s">
        <v>6109</v>
      </c>
      <c r="B2445" s="31" t="s">
        <v>349</v>
      </c>
      <c r="C2445" s="31" t="s">
        <v>3647</v>
      </c>
      <c r="D2445" s="30" t="s">
        <v>3663</v>
      </c>
      <c r="E2445" s="32">
        <v>46113.0</v>
      </c>
      <c r="F2445" s="32">
        <v>46171.0</v>
      </c>
      <c r="G2445" s="33"/>
    </row>
    <row r="2446" ht="15.75" customHeight="1">
      <c r="A2446" s="26" t="s">
        <v>6110</v>
      </c>
      <c r="B2446" s="27" t="s">
        <v>349</v>
      </c>
      <c r="C2446" s="27" t="s">
        <v>952</v>
      </c>
      <c r="D2446" s="26" t="s">
        <v>3663</v>
      </c>
      <c r="E2446" s="28">
        <v>46113.0</v>
      </c>
      <c r="F2446" s="28">
        <v>46171.0</v>
      </c>
      <c r="G2446" s="29"/>
    </row>
    <row r="2447" ht="15.75" customHeight="1">
      <c r="A2447" s="30" t="s">
        <v>6111</v>
      </c>
      <c r="B2447" s="31" t="s">
        <v>349</v>
      </c>
      <c r="C2447" s="31" t="s">
        <v>1216</v>
      </c>
      <c r="D2447" s="30" t="s">
        <v>3663</v>
      </c>
      <c r="E2447" s="32">
        <v>46113.0</v>
      </c>
      <c r="F2447" s="32">
        <v>46171.0</v>
      </c>
      <c r="G2447" s="33"/>
    </row>
    <row r="2448" ht="15.75" customHeight="1">
      <c r="A2448" s="26" t="s">
        <v>6112</v>
      </c>
      <c r="B2448" s="27" t="s">
        <v>349</v>
      </c>
      <c r="C2448" s="27" t="s">
        <v>968</v>
      </c>
      <c r="D2448" s="26" t="s">
        <v>3663</v>
      </c>
      <c r="E2448" s="28">
        <v>46113.0</v>
      </c>
      <c r="F2448" s="28">
        <v>46171.0</v>
      </c>
      <c r="G2448" s="29"/>
    </row>
    <row r="2449" ht="15.75" customHeight="1">
      <c r="A2449" s="30" t="s">
        <v>6113</v>
      </c>
      <c r="B2449" s="31" t="s">
        <v>349</v>
      </c>
      <c r="C2449" s="31" t="s">
        <v>923</v>
      </c>
      <c r="D2449" s="30" t="s">
        <v>3663</v>
      </c>
      <c r="E2449" s="32">
        <v>46113.0</v>
      </c>
      <c r="F2449" s="32">
        <v>46171.0</v>
      </c>
      <c r="G2449" s="33"/>
    </row>
    <row r="2450" ht="15.75" customHeight="1">
      <c r="A2450" s="26" t="s">
        <v>6114</v>
      </c>
      <c r="B2450" s="27" t="s">
        <v>349</v>
      </c>
      <c r="C2450" s="27" t="s">
        <v>958</v>
      </c>
      <c r="D2450" s="26" t="s">
        <v>3663</v>
      </c>
      <c r="E2450" s="28">
        <v>46113.0</v>
      </c>
      <c r="F2450" s="28">
        <v>46171.0</v>
      </c>
      <c r="G2450" s="29"/>
    </row>
    <row r="2451" ht="15.75" customHeight="1">
      <c r="A2451" s="30" t="s">
        <v>6115</v>
      </c>
      <c r="B2451" s="31" t="s">
        <v>350</v>
      </c>
      <c r="C2451" s="31" t="s">
        <v>928</v>
      </c>
      <c r="D2451" s="30" t="s">
        <v>3663</v>
      </c>
      <c r="E2451" s="32">
        <v>46113.0</v>
      </c>
      <c r="F2451" s="32">
        <v>46171.0</v>
      </c>
      <c r="G2451" s="33"/>
    </row>
    <row r="2452" ht="15.75" customHeight="1">
      <c r="A2452" s="26" t="s">
        <v>6116</v>
      </c>
      <c r="B2452" s="27" t="s">
        <v>350</v>
      </c>
      <c r="C2452" s="27" t="s">
        <v>1354</v>
      </c>
      <c r="D2452" s="26" t="s">
        <v>3663</v>
      </c>
      <c r="E2452" s="28">
        <v>46113.0</v>
      </c>
      <c r="F2452" s="28">
        <v>46171.0</v>
      </c>
      <c r="G2452" s="29"/>
    </row>
    <row r="2453" ht="15.75" customHeight="1">
      <c r="A2453" s="30" t="s">
        <v>6117</v>
      </c>
      <c r="B2453" s="31" t="s">
        <v>350</v>
      </c>
      <c r="C2453" s="31" t="s">
        <v>1222</v>
      </c>
      <c r="D2453" s="30" t="s">
        <v>3663</v>
      </c>
      <c r="E2453" s="32">
        <v>46113.0</v>
      </c>
      <c r="F2453" s="32">
        <v>46171.0</v>
      </c>
      <c r="G2453" s="33"/>
    </row>
    <row r="2454" ht="15.75" customHeight="1">
      <c r="A2454" s="26" t="s">
        <v>6118</v>
      </c>
      <c r="B2454" s="27" t="s">
        <v>350</v>
      </c>
      <c r="C2454" s="27" t="s">
        <v>1224</v>
      </c>
      <c r="D2454" s="26" t="s">
        <v>3663</v>
      </c>
      <c r="E2454" s="28">
        <v>46113.0</v>
      </c>
      <c r="F2454" s="28">
        <v>46171.0</v>
      </c>
      <c r="G2454" s="29"/>
    </row>
    <row r="2455" ht="15.75" customHeight="1">
      <c r="A2455" s="30" t="s">
        <v>6119</v>
      </c>
      <c r="B2455" s="31" t="s">
        <v>350</v>
      </c>
      <c r="C2455" s="31" t="s">
        <v>1226</v>
      </c>
      <c r="D2455" s="30" t="s">
        <v>3663</v>
      </c>
      <c r="E2455" s="32">
        <v>46113.0</v>
      </c>
      <c r="F2455" s="32">
        <v>46171.0</v>
      </c>
      <c r="G2455" s="33"/>
    </row>
    <row r="2456" ht="15.75" customHeight="1">
      <c r="A2456" s="26" t="s">
        <v>6120</v>
      </c>
      <c r="B2456" s="27" t="s">
        <v>350</v>
      </c>
      <c r="C2456" s="27" t="s">
        <v>1228</v>
      </c>
      <c r="D2456" s="26" t="s">
        <v>3663</v>
      </c>
      <c r="E2456" s="28">
        <v>46113.0</v>
      </c>
      <c r="F2456" s="28">
        <v>46171.0</v>
      </c>
      <c r="G2456" s="29"/>
    </row>
    <row r="2457" ht="15.75" customHeight="1">
      <c r="A2457" s="30" t="s">
        <v>6121</v>
      </c>
      <c r="B2457" s="31" t="s">
        <v>350</v>
      </c>
      <c r="C2457" s="31" t="s">
        <v>1172</v>
      </c>
      <c r="D2457" s="30" t="s">
        <v>3663</v>
      </c>
      <c r="E2457" s="32">
        <v>46113.0</v>
      </c>
      <c r="F2457" s="32">
        <v>46171.0</v>
      </c>
      <c r="G2457" s="34"/>
    </row>
    <row r="2458" ht="15.75" customHeight="1">
      <c r="A2458" s="26" t="s">
        <v>6122</v>
      </c>
      <c r="B2458" s="27" t="s">
        <v>350</v>
      </c>
      <c r="C2458" s="27" t="s">
        <v>3681</v>
      </c>
      <c r="D2458" s="26" t="s">
        <v>3663</v>
      </c>
      <c r="E2458" s="28">
        <v>46113.0</v>
      </c>
      <c r="F2458" s="28">
        <v>46171.0</v>
      </c>
      <c r="G2458" s="29"/>
    </row>
    <row r="2459" ht="15.75" customHeight="1">
      <c r="A2459" s="30" t="s">
        <v>6123</v>
      </c>
      <c r="B2459" s="31" t="s">
        <v>350</v>
      </c>
      <c r="C2459" s="31" t="s">
        <v>3683</v>
      </c>
      <c r="D2459" s="30" t="s">
        <v>3663</v>
      </c>
      <c r="E2459" s="32">
        <v>46113.0</v>
      </c>
      <c r="F2459" s="32">
        <v>46171.0</v>
      </c>
      <c r="G2459" s="33"/>
    </row>
    <row r="2460" ht="15.75" customHeight="1">
      <c r="A2460" s="26" t="s">
        <v>6124</v>
      </c>
      <c r="B2460" s="27" t="s">
        <v>350</v>
      </c>
      <c r="C2460" s="27" t="s">
        <v>1351</v>
      </c>
      <c r="D2460" s="26" t="s">
        <v>3663</v>
      </c>
      <c r="E2460" s="28">
        <v>46113.0</v>
      </c>
      <c r="F2460" s="28">
        <v>46171.0</v>
      </c>
      <c r="G2460" s="29"/>
    </row>
    <row r="2461" ht="15.75" customHeight="1">
      <c r="A2461" s="30" t="s">
        <v>6125</v>
      </c>
      <c r="B2461" s="31" t="s">
        <v>350</v>
      </c>
      <c r="C2461" s="31" t="s">
        <v>1349</v>
      </c>
      <c r="D2461" s="30" t="s">
        <v>3663</v>
      </c>
      <c r="E2461" s="32">
        <v>46113.0</v>
      </c>
      <c r="F2461" s="32">
        <v>46171.0</v>
      </c>
      <c r="G2461" s="33"/>
    </row>
    <row r="2462" ht="15.75" customHeight="1">
      <c r="A2462" s="26" t="s">
        <v>6126</v>
      </c>
      <c r="B2462" s="27" t="s">
        <v>350</v>
      </c>
      <c r="C2462" s="27" t="s">
        <v>968</v>
      </c>
      <c r="D2462" s="26" t="s">
        <v>3663</v>
      </c>
      <c r="E2462" s="28">
        <v>46113.0</v>
      </c>
      <c r="F2462" s="28">
        <v>46171.0</v>
      </c>
      <c r="G2462" s="29"/>
    </row>
    <row r="2463" ht="15.75" customHeight="1">
      <c r="A2463" s="30" t="s">
        <v>6127</v>
      </c>
      <c r="B2463" s="31" t="s">
        <v>350</v>
      </c>
      <c r="C2463" s="31" t="s">
        <v>923</v>
      </c>
      <c r="D2463" s="30" t="s">
        <v>3663</v>
      </c>
      <c r="E2463" s="32">
        <v>46113.0</v>
      </c>
      <c r="F2463" s="32">
        <v>46171.0</v>
      </c>
      <c r="G2463" s="33"/>
    </row>
    <row r="2464" ht="15.75" customHeight="1">
      <c r="A2464" s="26" t="s">
        <v>6128</v>
      </c>
      <c r="B2464" s="27" t="s">
        <v>350</v>
      </c>
      <c r="C2464" s="27" t="s">
        <v>955</v>
      </c>
      <c r="D2464" s="26" t="s">
        <v>3663</v>
      </c>
      <c r="E2464" s="28">
        <v>46113.0</v>
      </c>
      <c r="F2464" s="28">
        <v>46171.0</v>
      </c>
      <c r="G2464" s="29"/>
    </row>
    <row r="2465" ht="15.75" customHeight="1">
      <c r="A2465" s="30" t="s">
        <v>6129</v>
      </c>
      <c r="B2465" s="31" t="s">
        <v>351</v>
      </c>
      <c r="C2465" s="31" t="s">
        <v>3654</v>
      </c>
      <c r="D2465" s="30" t="s">
        <v>3663</v>
      </c>
      <c r="E2465" s="32">
        <v>46113.0</v>
      </c>
      <c r="F2465" s="32">
        <v>46171.0</v>
      </c>
      <c r="G2465" s="33"/>
    </row>
    <row r="2466" ht="15.75" customHeight="1">
      <c r="A2466" s="26" t="s">
        <v>6130</v>
      </c>
      <c r="B2466" s="27" t="s">
        <v>351</v>
      </c>
      <c r="C2466" s="27" t="s">
        <v>3655</v>
      </c>
      <c r="D2466" s="26" t="s">
        <v>3663</v>
      </c>
      <c r="E2466" s="28">
        <v>46113.0</v>
      </c>
      <c r="F2466" s="28">
        <v>46171.0</v>
      </c>
      <c r="G2466" s="29"/>
    </row>
    <row r="2467" ht="15.75" customHeight="1">
      <c r="A2467" s="30" t="s">
        <v>6131</v>
      </c>
      <c r="B2467" s="31" t="s">
        <v>351</v>
      </c>
      <c r="C2467" s="31" t="s">
        <v>926</v>
      </c>
      <c r="D2467" s="30" t="s">
        <v>3663</v>
      </c>
      <c r="E2467" s="32">
        <v>46113.0</v>
      </c>
      <c r="F2467" s="32">
        <v>46171.0</v>
      </c>
      <c r="G2467" s="33"/>
    </row>
    <row r="2468" ht="15.75" customHeight="1">
      <c r="A2468" s="26" t="s">
        <v>6132</v>
      </c>
      <c r="B2468" s="27" t="s">
        <v>351</v>
      </c>
      <c r="C2468" s="27" t="s">
        <v>1354</v>
      </c>
      <c r="D2468" s="26" t="s">
        <v>3663</v>
      </c>
      <c r="E2468" s="28">
        <v>46113.0</v>
      </c>
      <c r="F2468" s="28">
        <v>46171.0</v>
      </c>
      <c r="G2468" s="29"/>
    </row>
    <row r="2469" ht="15.75" customHeight="1">
      <c r="A2469" s="30" t="s">
        <v>6133</v>
      </c>
      <c r="B2469" s="31" t="s">
        <v>351</v>
      </c>
      <c r="C2469" s="31" t="s">
        <v>1159</v>
      </c>
      <c r="D2469" s="30" t="s">
        <v>3663</v>
      </c>
      <c r="E2469" s="32">
        <v>46113.0</v>
      </c>
      <c r="F2469" s="32">
        <v>46171.0</v>
      </c>
      <c r="G2469" s="33"/>
    </row>
    <row r="2470" ht="15.75" customHeight="1">
      <c r="A2470" s="26" t="s">
        <v>6134</v>
      </c>
      <c r="B2470" s="27" t="s">
        <v>351</v>
      </c>
      <c r="C2470" s="27" t="s">
        <v>1277</v>
      </c>
      <c r="D2470" s="26" t="s">
        <v>3663</v>
      </c>
      <c r="E2470" s="28">
        <v>46113.0</v>
      </c>
      <c r="F2470" s="28">
        <v>46171.0</v>
      </c>
      <c r="G2470" s="29"/>
    </row>
    <row r="2471" ht="15.75" customHeight="1">
      <c r="A2471" s="30" t="s">
        <v>6135</v>
      </c>
      <c r="B2471" s="31" t="s">
        <v>351</v>
      </c>
      <c r="C2471" s="31" t="s">
        <v>1279</v>
      </c>
      <c r="D2471" s="30" t="s">
        <v>3663</v>
      </c>
      <c r="E2471" s="32">
        <v>46113.0</v>
      </c>
      <c r="F2471" s="32">
        <v>46171.0</v>
      </c>
      <c r="G2471" s="33"/>
    </row>
    <row r="2472" ht="15.75" customHeight="1">
      <c r="A2472" s="26" t="s">
        <v>6136</v>
      </c>
      <c r="B2472" s="27" t="s">
        <v>351</v>
      </c>
      <c r="C2472" s="27" t="s">
        <v>1283</v>
      </c>
      <c r="D2472" s="26" t="s">
        <v>3663</v>
      </c>
      <c r="E2472" s="28">
        <v>46113.0</v>
      </c>
      <c r="F2472" s="28">
        <v>46171.0</v>
      </c>
      <c r="G2472" s="29"/>
    </row>
    <row r="2473" ht="15.75" customHeight="1">
      <c r="A2473" s="30" t="s">
        <v>6137</v>
      </c>
      <c r="B2473" s="31" t="s">
        <v>351</v>
      </c>
      <c r="C2473" s="31" t="s">
        <v>1281</v>
      </c>
      <c r="D2473" s="30" t="s">
        <v>3663</v>
      </c>
      <c r="E2473" s="32">
        <v>46113.0</v>
      </c>
      <c r="F2473" s="32">
        <v>46171.0</v>
      </c>
      <c r="G2473" s="33"/>
    </row>
    <row r="2474" ht="15.75" customHeight="1">
      <c r="A2474" s="26" t="s">
        <v>6138</v>
      </c>
      <c r="B2474" s="27" t="s">
        <v>351</v>
      </c>
      <c r="C2474" s="27" t="s">
        <v>1216</v>
      </c>
      <c r="D2474" s="26" t="s">
        <v>3663</v>
      </c>
      <c r="E2474" s="28">
        <v>46113.0</v>
      </c>
      <c r="F2474" s="28">
        <v>46171.0</v>
      </c>
      <c r="G2474" s="29"/>
    </row>
    <row r="2475" ht="15.75" customHeight="1">
      <c r="A2475" s="30" t="s">
        <v>6139</v>
      </c>
      <c r="B2475" s="31" t="s">
        <v>351</v>
      </c>
      <c r="C2475" s="31" t="s">
        <v>1351</v>
      </c>
      <c r="D2475" s="30" t="s">
        <v>3663</v>
      </c>
      <c r="E2475" s="32">
        <v>46113.0</v>
      </c>
      <c r="F2475" s="32">
        <v>46171.0</v>
      </c>
      <c r="G2475" s="33"/>
    </row>
    <row r="2476" ht="15.75" customHeight="1">
      <c r="A2476" s="26" t="s">
        <v>6140</v>
      </c>
      <c r="B2476" s="27" t="s">
        <v>351</v>
      </c>
      <c r="C2476" s="27" t="s">
        <v>1349</v>
      </c>
      <c r="D2476" s="26" t="s">
        <v>3663</v>
      </c>
      <c r="E2476" s="28">
        <v>46113.0</v>
      </c>
      <c r="F2476" s="28">
        <v>46171.0</v>
      </c>
      <c r="G2476" s="29"/>
    </row>
    <row r="2477" ht="15.75" customHeight="1">
      <c r="A2477" s="30" t="s">
        <v>6141</v>
      </c>
      <c r="B2477" s="31" t="s">
        <v>351</v>
      </c>
      <c r="C2477" s="31" t="s">
        <v>968</v>
      </c>
      <c r="D2477" s="30" t="s">
        <v>3663</v>
      </c>
      <c r="E2477" s="32">
        <v>46113.0</v>
      </c>
      <c r="F2477" s="32">
        <v>46171.0</v>
      </c>
      <c r="G2477" s="33"/>
    </row>
    <row r="2478" ht="15.75" customHeight="1">
      <c r="A2478" s="26" t="s">
        <v>6142</v>
      </c>
      <c r="B2478" s="27" t="s">
        <v>351</v>
      </c>
      <c r="C2478" s="27" t="s">
        <v>923</v>
      </c>
      <c r="D2478" s="26" t="s">
        <v>3663</v>
      </c>
      <c r="E2478" s="28">
        <v>46113.0</v>
      </c>
      <c r="F2478" s="28">
        <v>46171.0</v>
      </c>
      <c r="G2478" s="29"/>
    </row>
    <row r="2479" ht="15.75" customHeight="1">
      <c r="A2479" s="30" t="s">
        <v>6143</v>
      </c>
      <c r="B2479" s="31" t="s">
        <v>352</v>
      </c>
      <c r="C2479" s="31" t="s">
        <v>1240</v>
      </c>
      <c r="D2479" s="30" t="s">
        <v>3663</v>
      </c>
      <c r="E2479" s="32">
        <v>46113.0</v>
      </c>
      <c r="F2479" s="32">
        <v>46171.0</v>
      </c>
      <c r="G2479" s="33"/>
    </row>
    <row r="2480" ht="15.75" customHeight="1">
      <c r="A2480" s="26" t="s">
        <v>6144</v>
      </c>
      <c r="B2480" s="27" t="s">
        <v>352</v>
      </c>
      <c r="C2480" s="27" t="s">
        <v>1242</v>
      </c>
      <c r="D2480" s="26" t="s">
        <v>3663</v>
      </c>
      <c r="E2480" s="28">
        <v>46113.0</v>
      </c>
      <c r="F2480" s="28">
        <v>46171.0</v>
      </c>
      <c r="G2480" s="29"/>
    </row>
    <row r="2481" ht="15.75" customHeight="1">
      <c r="A2481" s="30" t="s">
        <v>6145</v>
      </c>
      <c r="B2481" s="31" t="s">
        <v>352</v>
      </c>
      <c r="C2481" s="31" t="s">
        <v>1244</v>
      </c>
      <c r="D2481" s="30" t="s">
        <v>3663</v>
      </c>
      <c r="E2481" s="32">
        <v>46113.0</v>
      </c>
      <c r="F2481" s="32">
        <v>46171.0</v>
      </c>
      <c r="G2481" s="33"/>
    </row>
    <row r="2482" ht="15.75" customHeight="1">
      <c r="A2482" s="26" t="s">
        <v>6146</v>
      </c>
      <c r="B2482" s="27" t="s">
        <v>352</v>
      </c>
      <c r="C2482" s="27" t="s">
        <v>1246</v>
      </c>
      <c r="D2482" s="26" t="s">
        <v>3663</v>
      </c>
      <c r="E2482" s="28">
        <v>46113.0</v>
      </c>
      <c r="F2482" s="28">
        <v>46171.0</v>
      </c>
      <c r="G2482" s="29"/>
    </row>
    <row r="2483" ht="15.75" customHeight="1">
      <c r="A2483" s="30" t="s">
        <v>6147</v>
      </c>
      <c r="B2483" s="31" t="s">
        <v>352</v>
      </c>
      <c r="C2483" s="31" t="s">
        <v>934</v>
      </c>
      <c r="D2483" s="30" t="s">
        <v>3663</v>
      </c>
      <c r="E2483" s="32">
        <v>46113.0</v>
      </c>
      <c r="F2483" s="32">
        <v>46171.0</v>
      </c>
      <c r="G2483" s="33"/>
    </row>
    <row r="2484" ht="15.75" customHeight="1">
      <c r="A2484" s="26" t="s">
        <v>6148</v>
      </c>
      <c r="B2484" s="27" t="s">
        <v>352</v>
      </c>
      <c r="C2484" s="27" t="s">
        <v>1354</v>
      </c>
      <c r="D2484" s="26" t="s">
        <v>3663</v>
      </c>
      <c r="E2484" s="28">
        <v>46113.0</v>
      </c>
      <c r="F2484" s="28">
        <v>46171.0</v>
      </c>
      <c r="G2484" s="29"/>
    </row>
    <row r="2485" ht="15.75" customHeight="1">
      <c r="A2485" s="30" t="s">
        <v>6149</v>
      </c>
      <c r="B2485" s="31" t="s">
        <v>352</v>
      </c>
      <c r="C2485" s="31" t="s">
        <v>3656</v>
      </c>
      <c r="D2485" s="30" t="s">
        <v>3663</v>
      </c>
      <c r="E2485" s="32">
        <v>46113.0</v>
      </c>
      <c r="F2485" s="32">
        <v>46171.0</v>
      </c>
      <c r="G2485" s="33"/>
    </row>
    <row r="2486" ht="15.75" customHeight="1">
      <c r="A2486" s="26" t="s">
        <v>6150</v>
      </c>
      <c r="B2486" s="27" t="s">
        <v>352</v>
      </c>
      <c r="C2486" s="27" t="s">
        <v>3657</v>
      </c>
      <c r="D2486" s="26" t="s">
        <v>3663</v>
      </c>
      <c r="E2486" s="28">
        <v>46113.0</v>
      </c>
      <c r="F2486" s="28">
        <v>46171.0</v>
      </c>
      <c r="G2486" s="29"/>
    </row>
    <row r="2487" ht="15.75" customHeight="1">
      <c r="A2487" s="30" t="s">
        <v>6151</v>
      </c>
      <c r="B2487" s="31" t="s">
        <v>352</v>
      </c>
      <c r="C2487" s="31" t="s">
        <v>3647</v>
      </c>
      <c r="D2487" s="30" t="s">
        <v>3663</v>
      </c>
      <c r="E2487" s="32">
        <v>46113.0</v>
      </c>
      <c r="F2487" s="32">
        <v>46171.0</v>
      </c>
      <c r="G2487" s="33"/>
    </row>
    <row r="2488" ht="15.75" customHeight="1">
      <c r="A2488" s="26" t="s">
        <v>6152</v>
      </c>
      <c r="B2488" s="27" t="s">
        <v>352</v>
      </c>
      <c r="C2488" s="27" t="s">
        <v>952</v>
      </c>
      <c r="D2488" s="26" t="s">
        <v>3663</v>
      </c>
      <c r="E2488" s="28">
        <v>46113.0</v>
      </c>
      <c r="F2488" s="28">
        <v>46171.0</v>
      </c>
      <c r="G2488" s="29"/>
    </row>
    <row r="2489" ht="15.75" customHeight="1">
      <c r="A2489" s="30" t="s">
        <v>6153</v>
      </c>
      <c r="B2489" s="31" t="s">
        <v>352</v>
      </c>
      <c r="C2489" s="31" t="s">
        <v>1216</v>
      </c>
      <c r="D2489" s="30" t="s">
        <v>3663</v>
      </c>
      <c r="E2489" s="32">
        <v>46113.0</v>
      </c>
      <c r="F2489" s="32">
        <v>46171.0</v>
      </c>
      <c r="G2489" s="33"/>
    </row>
    <row r="2490" ht="15.75" customHeight="1">
      <c r="A2490" s="26" t="s">
        <v>6154</v>
      </c>
      <c r="B2490" s="27" t="s">
        <v>352</v>
      </c>
      <c r="C2490" s="27" t="s">
        <v>1218</v>
      </c>
      <c r="D2490" s="26" t="s">
        <v>3663</v>
      </c>
      <c r="E2490" s="28">
        <v>46113.0</v>
      </c>
      <c r="F2490" s="28">
        <v>46171.0</v>
      </c>
      <c r="G2490" s="29"/>
    </row>
    <row r="2491" ht="15.75" customHeight="1">
      <c r="A2491" s="30" t="s">
        <v>6155</v>
      </c>
      <c r="B2491" s="31" t="s">
        <v>352</v>
      </c>
      <c r="C2491" s="31" t="s">
        <v>968</v>
      </c>
      <c r="D2491" s="30" t="s">
        <v>3663</v>
      </c>
      <c r="E2491" s="32">
        <v>46113.0</v>
      </c>
      <c r="F2491" s="32">
        <v>46171.0</v>
      </c>
      <c r="G2491" s="33"/>
    </row>
    <row r="2492" ht="15.75" customHeight="1">
      <c r="A2492" s="26" t="s">
        <v>6156</v>
      </c>
      <c r="B2492" s="27" t="s">
        <v>352</v>
      </c>
      <c r="C2492" s="27" t="s">
        <v>923</v>
      </c>
      <c r="D2492" s="26" t="s">
        <v>3663</v>
      </c>
      <c r="E2492" s="28">
        <v>46113.0</v>
      </c>
      <c r="F2492" s="28">
        <v>46171.0</v>
      </c>
      <c r="G2492" s="29"/>
    </row>
    <row r="2493" ht="15.75" customHeight="1">
      <c r="A2493" s="30" t="s">
        <v>6157</v>
      </c>
      <c r="B2493" s="31" t="s">
        <v>353</v>
      </c>
      <c r="C2493" s="31" t="s">
        <v>930</v>
      </c>
      <c r="D2493" s="30" t="s">
        <v>3663</v>
      </c>
      <c r="E2493" s="32">
        <v>46113.0</v>
      </c>
      <c r="F2493" s="32">
        <v>46171.0</v>
      </c>
      <c r="G2493" s="33"/>
    </row>
    <row r="2494" ht="15.75" customHeight="1">
      <c r="A2494" s="26" t="s">
        <v>6158</v>
      </c>
      <c r="B2494" s="27" t="s">
        <v>353</v>
      </c>
      <c r="C2494" s="27" t="s">
        <v>1354</v>
      </c>
      <c r="D2494" s="26" t="s">
        <v>3663</v>
      </c>
      <c r="E2494" s="28">
        <v>46113.0</v>
      </c>
      <c r="F2494" s="28">
        <v>46171.0</v>
      </c>
      <c r="G2494" s="29"/>
    </row>
    <row r="2495" ht="15.75" customHeight="1">
      <c r="A2495" s="30" t="s">
        <v>6159</v>
      </c>
      <c r="B2495" s="31" t="s">
        <v>353</v>
      </c>
      <c r="C2495" s="31" t="s">
        <v>1304</v>
      </c>
      <c r="D2495" s="30" t="s">
        <v>3663</v>
      </c>
      <c r="E2495" s="32">
        <v>46113.0</v>
      </c>
      <c r="F2495" s="32">
        <v>46171.0</v>
      </c>
      <c r="G2495" s="33"/>
    </row>
    <row r="2496" ht="15.75" customHeight="1">
      <c r="A2496" s="26" t="s">
        <v>6160</v>
      </c>
      <c r="B2496" s="27" t="s">
        <v>353</v>
      </c>
      <c r="C2496" s="27" t="s">
        <v>1306</v>
      </c>
      <c r="D2496" s="26" t="s">
        <v>3663</v>
      </c>
      <c r="E2496" s="28">
        <v>46113.0</v>
      </c>
      <c r="F2496" s="28">
        <v>46171.0</v>
      </c>
      <c r="G2496" s="29"/>
    </row>
    <row r="2497" ht="15.75" customHeight="1">
      <c r="A2497" s="30" t="s">
        <v>6161</v>
      </c>
      <c r="B2497" s="31" t="s">
        <v>353</v>
      </c>
      <c r="C2497" s="31" t="s">
        <v>1308</v>
      </c>
      <c r="D2497" s="30" t="s">
        <v>3663</v>
      </c>
      <c r="E2497" s="32">
        <v>46113.0</v>
      </c>
      <c r="F2497" s="32">
        <v>46171.0</v>
      </c>
      <c r="G2497" s="33"/>
    </row>
    <row r="2498" ht="15.75" customHeight="1">
      <c r="A2498" s="26" t="s">
        <v>6162</v>
      </c>
      <c r="B2498" s="27" t="s">
        <v>353</v>
      </c>
      <c r="C2498" s="27" t="s">
        <v>1310</v>
      </c>
      <c r="D2498" s="26" t="s">
        <v>3663</v>
      </c>
      <c r="E2498" s="28">
        <v>46113.0</v>
      </c>
      <c r="F2498" s="28">
        <v>46171.0</v>
      </c>
      <c r="G2498" s="29"/>
    </row>
    <row r="2499" ht="15.75" customHeight="1">
      <c r="A2499" s="30" t="s">
        <v>6163</v>
      </c>
      <c r="B2499" s="31" t="s">
        <v>353</v>
      </c>
      <c r="C2499" s="31" t="s">
        <v>3656</v>
      </c>
      <c r="D2499" s="30" t="s">
        <v>3663</v>
      </c>
      <c r="E2499" s="32">
        <v>46113.0</v>
      </c>
      <c r="F2499" s="32">
        <v>46171.0</v>
      </c>
      <c r="G2499" s="33"/>
    </row>
    <row r="2500" ht="15.75" customHeight="1">
      <c r="A2500" s="26" t="s">
        <v>6164</v>
      </c>
      <c r="B2500" s="27" t="s">
        <v>353</v>
      </c>
      <c r="C2500" s="27" t="s">
        <v>3657</v>
      </c>
      <c r="D2500" s="26" t="s">
        <v>3663</v>
      </c>
      <c r="E2500" s="28">
        <v>46113.0</v>
      </c>
      <c r="F2500" s="28">
        <v>46171.0</v>
      </c>
      <c r="G2500" s="29"/>
    </row>
    <row r="2501" ht="15.75" customHeight="1">
      <c r="A2501" s="30" t="s">
        <v>6165</v>
      </c>
      <c r="B2501" s="31" t="s">
        <v>353</v>
      </c>
      <c r="C2501" s="31" t="s">
        <v>1216</v>
      </c>
      <c r="D2501" s="30" t="s">
        <v>3663</v>
      </c>
      <c r="E2501" s="32">
        <v>46113.0</v>
      </c>
      <c r="F2501" s="32">
        <v>46171.0</v>
      </c>
      <c r="G2501" s="33"/>
    </row>
    <row r="2502" ht="15.75" customHeight="1">
      <c r="A2502" s="26" t="s">
        <v>6166</v>
      </c>
      <c r="B2502" s="27" t="s">
        <v>353</v>
      </c>
      <c r="C2502" s="27" t="s">
        <v>1351</v>
      </c>
      <c r="D2502" s="26" t="s">
        <v>3663</v>
      </c>
      <c r="E2502" s="28">
        <v>46113.0</v>
      </c>
      <c r="F2502" s="28">
        <v>46171.0</v>
      </c>
      <c r="G2502" s="29"/>
    </row>
    <row r="2503" ht="15.75" customHeight="1">
      <c r="A2503" s="30" t="s">
        <v>6167</v>
      </c>
      <c r="B2503" s="31" t="s">
        <v>353</v>
      </c>
      <c r="C2503" s="31" t="s">
        <v>1349</v>
      </c>
      <c r="D2503" s="30" t="s">
        <v>3663</v>
      </c>
      <c r="E2503" s="32">
        <v>46113.0</v>
      </c>
      <c r="F2503" s="32">
        <v>46171.0</v>
      </c>
      <c r="G2503" s="33"/>
    </row>
    <row r="2504" ht="15.75" customHeight="1">
      <c r="A2504" s="26" t="s">
        <v>6168</v>
      </c>
      <c r="B2504" s="27" t="s">
        <v>353</v>
      </c>
      <c r="C2504" s="27" t="s">
        <v>968</v>
      </c>
      <c r="D2504" s="26" t="s">
        <v>3663</v>
      </c>
      <c r="E2504" s="28">
        <v>46113.0</v>
      </c>
      <c r="F2504" s="28">
        <v>46171.0</v>
      </c>
      <c r="G2504" s="29"/>
    </row>
    <row r="2505" ht="15.75" customHeight="1">
      <c r="A2505" s="30" t="s">
        <v>6169</v>
      </c>
      <c r="B2505" s="31" t="s">
        <v>353</v>
      </c>
      <c r="C2505" s="31" t="s">
        <v>923</v>
      </c>
      <c r="D2505" s="30" t="s">
        <v>3663</v>
      </c>
      <c r="E2505" s="32">
        <v>46113.0</v>
      </c>
      <c r="F2505" s="32">
        <v>46171.0</v>
      </c>
      <c r="G2505" s="33"/>
    </row>
    <row r="2506" ht="15.75" customHeight="1">
      <c r="A2506" s="26" t="s">
        <v>6170</v>
      </c>
      <c r="B2506" s="27" t="s">
        <v>353</v>
      </c>
      <c r="C2506" s="27" t="s">
        <v>958</v>
      </c>
      <c r="D2506" s="26" t="s">
        <v>3663</v>
      </c>
      <c r="E2506" s="28">
        <v>46113.0</v>
      </c>
      <c r="F2506" s="28">
        <v>46171.0</v>
      </c>
      <c r="G2506" s="29"/>
    </row>
    <row r="2507" ht="15.75" customHeight="1">
      <c r="A2507" s="30" t="s">
        <v>6171</v>
      </c>
      <c r="B2507" s="31" t="s">
        <v>354</v>
      </c>
      <c r="C2507" s="31" t="s">
        <v>928</v>
      </c>
      <c r="D2507" s="30" t="s">
        <v>3663</v>
      </c>
      <c r="E2507" s="32">
        <v>46113.0</v>
      </c>
      <c r="F2507" s="32">
        <v>46171.0</v>
      </c>
      <c r="G2507" s="33"/>
    </row>
    <row r="2508" ht="15.75" customHeight="1">
      <c r="A2508" s="26" t="s">
        <v>6172</v>
      </c>
      <c r="B2508" s="27" t="s">
        <v>354</v>
      </c>
      <c r="C2508" s="27" t="s">
        <v>1354</v>
      </c>
      <c r="D2508" s="26" t="s">
        <v>3663</v>
      </c>
      <c r="E2508" s="28">
        <v>46113.0</v>
      </c>
      <c r="F2508" s="28">
        <v>46171.0</v>
      </c>
      <c r="G2508" s="29"/>
    </row>
    <row r="2509" ht="15.75" customHeight="1">
      <c r="A2509" s="30" t="s">
        <v>6173</v>
      </c>
      <c r="B2509" s="31" t="s">
        <v>354</v>
      </c>
      <c r="C2509" s="31" t="s">
        <v>1222</v>
      </c>
      <c r="D2509" s="30" t="s">
        <v>3663</v>
      </c>
      <c r="E2509" s="32">
        <v>46113.0</v>
      </c>
      <c r="F2509" s="32">
        <v>46171.0</v>
      </c>
      <c r="G2509" s="33"/>
    </row>
    <row r="2510" ht="15.75" customHeight="1">
      <c r="A2510" s="26" t="s">
        <v>6174</v>
      </c>
      <c r="B2510" s="27" t="s">
        <v>354</v>
      </c>
      <c r="C2510" s="27" t="s">
        <v>1224</v>
      </c>
      <c r="D2510" s="26" t="s">
        <v>3663</v>
      </c>
      <c r="E2510" s="28">
        <v>46113.0</v>
      </c>
      <c r="F2510" s="28">
        <v>46171.0</v>
      </c>
      <c r="G2510" s="29"/>
    </row>
    <row r="2511" ht="15.75" customHeight="1">
      <c r="A2511" s="30" t="s">
        <v>6175</v>
      </c>
      <c r="B2511" s="31" t="s">
        <v>354</v>
      </c>
      <c r="C2511" s="31" t="s">
        <v>1226</v>
      </c>
      <c r="D2511" s="30" t="s">
        <v>3663</v>
      </c>
      <c r="E2511" s="32">
        <v>46113.0</v>
      </c>
      <c r="F2511" s="32">
        <v>46171.0</v>
      </c>
      <c r="G2511" s="33"/>
    </row>
    <row r="2512" ht="15.75" customHeight="1">
      <c r="A2512" s="26" t="s">
        <v>6176</v>
      </c>
      <c r="B2512" s="27" t="s">
        <v>354</v>
      </c>
      <c r="C2512" s="27" t="s">
        <v>1228</v>
      </c>
      <c r="D2512" s="26" t="s">
        <v>3663</v>
      </c>
      <c r="E2512" s="28">
        <v>46113.0</v>
      </c>
      <c r="F2512" s="28">
        <v>46171.0</v>
      </c>
      <c r="G2512" s="29"/>
    </row>
    <row r="2513" ht="15.75" customHeight="1">
      <c r="A2513" s="30" t="s">
        <v>6177</v>
      </c>
      <c r="B2513" s="31" t="s">
        <v>354</v>
      </c>
      <c r="C2513" s="31" t="s">
        <v>3605</v>
      </c>
      <c r="D2513" s="30" t="s">
        <v>3663</v>
      </c>
      <c r="E2513" s="32">
        <v>46113.0</v>
      </c>
      <c r="F2513" s="32">
        <v>46171.0</v>
      </c>
      <c r="G2513" s="33"/>
    </row>
    <row r="2514" ht="15.75" customHeight="1">
      <c r="A2514" s="26" t="s">
        <v>6178</v>
      </c>
      <c r="B2514" s="27" t="s">
        <v>354</v>
      </c>
      <c r="C2514" s="27" t="s">
        <v>1351</v>
      </c>
      <c r="D2514" s="26" t="s">
        <v>3663</v>
      </c>
      <c r="E2514" s="28">
        <v>46113.0</v>
      </c>
      <c r="F2514" s="28">
        <v>46171.0</v>
      </c>
      <c r="G2514" s="29"/>
    </row>
    <row r="2515" ht="15.75" customHeight="1">
      <c r="A2515" s="30" t="s">
        <v>6179</v>
      </c>
      <c r="B2515" s="31" t="s">
        <v>354</v>
      </c>
      <c r="C2515" s="31" t="s">
        <v>1349</v>
      </c>
      <c r="D2515" s="30" t="s">
        <v>3663</v>
      </c>
      <c r="E2515" s="32">
        <v>46113.0</v>
      </c>
      <c r="F2515" s="32">
        <v>46171.0</v>
      </c>
      <c r="G2515" s="33"/>
    </row>
    <row r="2516" ht="15.75" customHeight="1">
      <c r="A2516" s="26" t="s">
        <v>6180</v>
      </c>
      <c r="B2516" s="27" t="s">
        <v>354</v>
      </c>
      <c r="C2516" s="27" t="s">
        <v>3653</v>
      </c>
      <c r="D2516" s="26" t="s">
        <v>3663</v>
      </c>
      <c r="E2516" s="28">
        <v>46113.0</v>
      </c>
      <c r="F2516" s="28">
        <v>46171.0</v>
      </c>
      <c r="G2516" s="29"/>
    </row>
    <row r="2517" ht="15.75" customHeight="1">
      <c r="A2517" s="30" t="s">
        <v>6181</v>
      </c>
      <c r="B2517" s="31" t="s">
        <v>354</v>
      </c>
      <c r="C2517" s="31" t="s">
        <v>3652</v>
      </c>
      <c r="D2517" s="30" t="s">
        <v>3663</v>
      </c>
      <c r="E2517" s="32">
        <v>46113.0</v>
      </c>
      <c r="F2517" s="32">
        <v>46171.0</v>
      </c>
      <c r="G2517" s="33"/>
    </row>
    <row r="2518" ht="15.75" customHeight="1">
      <c r="A2518" s="26" t="s">
        <v>6182</v>
      </c>
      <c r="B2518" s="27" t="s">
        <v>354</v>
      </c>
      <c r="C2518" s="27" t="s">
        <v>968</v>
      </c>
      <c r="D2518" s="26" t="s">
        <v>3663</v>
      </c>
      <c r="E2518" s="28">
        <v>46113.0</v>
      </c>
      <c r="F2518" s="28">
        <v>46171.0</v>
      </c>
      <c r="G2518" s="29"/>
    </row>
    <row r="2519" ht="15.75" customHeight="1">
      <c r="A2519" s="30" t="s">
        <v>6183</v>
      </c>
      <c r="B2519" s="31" t="s">
        <v>354</v>
      </c>
      <c r="C2519" s="31" t="s">
        <v>923</v>
      </c>
      <c r="D2519" s="30" t="s">
        <v>3663</v>
      </c>
      <c r="E2519" s="32">
        <v>46113.0</v>
      </c>
      <c r="F2519" s="32">
        <v>46171.0</v>
      </c>
      <c r="G2519" s="33"/>
    </row>
    <row r="2520" ht="15.75" customHeight="1">
      <c r="A2520" s="26" t="s">
        <v>6184</v>
      </c>
      <c r="B2520" s="27" t="s">
        <v>354</v>
      </c>
      <c r="C2520" s="27" t="s">
        <v>961</v>
      </c>
      <c r="D2520" s="26" t="s">
        <v>3663</v>
      </c>
      <c r="E2520" s="28">
        <v>46113.0</v>
      </c>
      <c r="F2520" s="28">
        <v>46171.0</v>
      </c>
      <c r="G2520" s="29"/>
    </row>
    <row r="2521" ht="15.75" customHeight="1">
      <c r="A2521" s="30" t="s">
        <v>6185</v>
      </c>
      <c r="B2521" s="31" t="s">
        <v>355</v>
      </c>
      <c r="C2521" s="31" t="s">
        <v>932</v>
      </c>
      <c r="D2521" s="30" t="s">
        <v>3663</v>
      </c>
      <c r="E2521" s="32">
        <v>46113.0</v>
      </c>
      <c r="F2521" s="32">
        <v>46171.0</v>
      </c>
      <c r="G2521" s="33"/>
    </row>
    <row r="2522" ht="15.75" customHeight="1">
      <c r="A2522" s="26" t="s">
        <v>6186</v>
      </c>
      <c r="B2522" s="27" t="s">
        <v>355</v>
      </c>
      <c r="C2522" s="27" t="s">
        <v>1164</v>
      </c>
      <c r="D2522" s="26" t="s">
        <v>3663</v>
      </c>
      <c r="E2522" s="28">
        <v>46113.0</v>
      </c>
      <c r="F2522" s="28">
        <v>46171.0</v>
      </c>
      <c r="G2522" s="29"/>
    </row>
    <row r="2523" ht="15.75" customHeight="1">
      <c r="A2523" s="30" t="s">
        <v>6187</v>
      </c>
      <c r="B2523" s="31" t="s">
        <v>355</v>
      </c>
      <c r="C2523" s="31" t="s">
        <v>1166</v>
      </c>
      <c r="D2523" s="30" t="s">
        <v>3663</v>
      </c>
      <c r="E2523" s="32">
        <v>46113.0</v>
      </c>
      <c r="F2523" s="32">
        <v>46171.0</v>
      </c>
      <c r="G2523" s="33"/>
    </row>
    <row r="2524" ht="15.75" customHeight="1">
      <c r="A2524" s="26" t="s">
        <v>6188</v>
      </c>
      <c r="B2524" s="27" t="s">
        <v>355</v>
      </c>
      <c r="C2524" s="27" t="s">
        <v>1168</v>
      </c>
      <c r="D2524" s="26" t="s">
        <v>3663</v>
      </c>
      <c r="E2524" s="28">
        <v>46113.0</v>
      </c>
      <c r="F2524" s="28">
        <v>46171.0</v>
      </c>
      <c r="G2524" s="29"/>
    </row>
    <row r="2525" ht="15.75" customHeight="1">
      <c r="A2525" s="30" t="s">
        <v>6189</v>
      </c>
      <c r="B2525" s="31" t="s">
        <v>355</v>
      </c>
      <c r="C2525" s="31" t="s">
        <v>1170</v>
      </c>
      <c r="D2525" s="30" t="s">
        <v>3663</v>
      </c>
      <c r="E2525" s="32">
        <v>46113.0</v>
      </c>
      <c r="F2525" s="32">
        <v>46171.0</v>
      </c>
      <c r="G2525" s="33"/>
    </row>
    <row r="2526" ht="15.75" customHeight="1">
      <c r="A2526" s="26" t="s">
        <v>6190</v>
      </c>
      <c r="B2526" s="27" t="s">
        <v>355</v>
      </c>
      <c r="C2526" s="27" t="s">
        <v>1354</v>
      </c>
      <c r="D2526" s="26" t="s">
        <v>3663</v>
      </c>
      <c r="E2526" s="28">
        <v>46113.0</v>
      </c>
      <c r="F2526" s="28">
        <v>46171.0</v>
      </c>
      <c r="G2526" s="29"/>
    </row>
    <row r="2527" ht="15.75" customHeight="1">
      <c r="A2527" s="30" t="s">
        <v>6191</v>
      </c>
      <c r="B2527" s="31" t="s">
        <v>355</v>
      </c>
      <c r="C2527" s="31" t="s">
        <v>1172</v>
      </c>
      <c r="D2527" s="30" t="s">
        <v>3663</v>
      </c>
      <c r="E2527" s="32">
        <v>46113.0</v>
      </c>
      <c r="F2527" s="32">
        <v>46171.0</v>
      </c>
      <c r="G2527" s="34"/>
    </row>
    <row r="2528" ht="15.75" customHeight="1">
      <c r="A2528" s="26" t="s">
        <v>6192</v>
      </c>
      <c r="B2528" s="27" t="s">
        <v>355</v>
      </c>
      <c r="C2528" s="27" t="s">
        <v>3647</v>
      </c>
      <c r="D2528" s="26" t="s">
        <v>3663</v>
      </c>
      <c r="E2528" s="28">
        <v>46113.0</v>
      </c>
      <c r="F2528" s="28">
        <v>46171.0</v>
      </c>
      <c r="G2528" s="29"/>
    </row>
    <row r="2529" ht="15.75" customHeight="1">
      <c r="A2529" s="30" t="s">
        <v>6193</v>
      </c>
      <c r="B2529" s="31" t="s">
        <v>355</v>
      </c>
      <c r="C2529" s="31" t="s">
        <v>952</v>
      </c>
      <c r="D2529" s="30" t="s">
        <v>3663</v>
      </c>
      <c r="E2529" s="32">
        <v>46113.0</v>
      </c>
      <c r="F2529" s="32">
        <v>46171.0</v>
      </c>
      <c r="G2529" s="33"/>
    </row>
    <row r="2530" ht="15.75" customHeight="1">
      <c r="A2530" s="26" t="s">
        <v>6194</v>
      </c>
      <c r="B2530" s="27" t="s">
        <v>355</v>
      </c>
      <c r="C2530" s="27" t="s">
        <v>3653</v>
      </c>
      <c r="D2530" s="27" t="s">
        <v>3663</v>
      </c>
      <c r="E2530" s="28">
        <v>46113.0</v>
      </c>
      <c r="F2530" s="28">
        <v>46171.0</v>
      </c>
      <c r="G2530" s="29"/>
    </row>
    <row r="2531" ht="15.75" customHeight="1">
      <c r="A2531" s="30" t="s">
        <v>6195</v>
      </c>
      <c r="B2531" s="31" t="s">
        <v>355</v>
      </c>
      <c r="C2531" s="31" t="s">
        <v>3652</v>
      </c>
      <c r="D2531" s="30" t="s">
        <v>3663</v>
      </c>
      <c r="E2531" s="32">
        <v>46113.0</v>
      </c>
      <c r="F2531" s="32">
        <v>46171.0</v>
      </c>
      <c r="G2531" s="33"/>
    </row>
    <row r="2532" ht="15.75" customHeight="1">
      <c r="A2532" s="26" t="s">
        <v>6196</v>
      </c>
      <c r="B2532" s="27" t="s">
        <v>355</v>
      </c>
      <c r="C2532" s="27" t="s">
        <v>968</v>
      </c>
      <c r="D2532" s="26" t="s">
        <v>3663</v>
      </c>
      <c r="E2532" s="28">
        <v>46113.0</v>
      </c>
      <c r="F2532" s="28">
        <v>46171.0</v>
      </c>
      <c r="G2532" s="29"/>
    </row>
    <row r="2533" ht="15.75" customHeight="1">
      <c r="A2533" s="30" t="s">
        <v>6197</v>
      </c>
      <c r="B2533" s="31" t="s">
        <v>355</v>
      </c>
      <c r="C2533" s="31" t="s">
        <v>923</v>
      </c>
      <c r="D2533" s="30" t="s">
        <v>3663</v>
      </c>
      <c r="E2533" s="32">
        <v>46113.0</v>
      </c>
      <c r="F2533" s="32">
        <v>46171.0</v>
      </c>
      <c r="G2533" s="33"/>
    </row>
    <row r="2534" ht="15.75" customHeight="1">
      <c r="A2534" s="26" t="s">
        <v>6198</v>
      </c>
      <c r="B2534" s="27" t="s">
        <v>355</v>
      </c>
      <c r="C2534" s="27" t="s">
        <v>955</v>
      </c>
      <c r="D2534" s="26" t="s">
        <v>3663</v>
      </c>
      <c r="E2534" s="28">
        <v>46113.0</v>
      </c>
      <c r="F2534" s="28">
        <v>46171.0</v>
      </c>
      <c r="G2534" s="29"/>
    </row>
    <row r="2535" ht="15.75" customHeight="1">
      <c r="A2535" s="30" t="s">
        <v>6199</v>
      </c>
      <c r="B2535" s="31" t="s">
        <v>356</v>
      </c>
      <c r="C2535" s="31" t="s">
        <v>934</v>
      </c>
      <c r="D2535" s="30" t="s">
        <v>3663</v>
      </c>
      <c r="E2535" s="32">
        <v>46113.0</v>
      </c>
      <c r="F2535" s="32">
        <v>46171.0</v>
      </c>
      <c r="G2535" s="33"/>
    </row>
    <row r="2536" ht="15.75" customHeight="1">
      <c r="A2536" s="26" t="s">
        <v>6200</v>
      </c>
      <c r="B2536" s="27" t="s">
        <v>356</v>
      </c>
      <c r="C2536" s="27" t="s">
        <v>1354</v>
      </c>
      <c r="D2536" s="26" t="s">
        <v>3663</v>
      </c>
      <c r="E2536" s="28">
        <v>46113.0</v>
      </c>
      <c r="F2536" s="28">
        <v>46171.0</v>
      </c>
      <c r="G2536" s="29"/>
    </row>
    <row r="2537" ht="15.75" customHeight="1">
      <c r="A2537" s="30" t="s">
        <v>6201</v>
      </c>
      <c r="B2537" s="31" t="s">
        <v>356</v>
      </c>
      <c r="C2537" s="31" t="s">
        <v>1312</v>
      </c>
      <c r="D2537" s="30" t="s">
        <v>3663</v>
      </c>
      <c r="E2537" s="32">
        <v>46113.0</v>
      </c>
      <c r="F2537" s="32">
        <v>46171.0</v>
      </c>
      <c r="G2537" s="33"/>
    </row>
    <row r="2538" ht="15.75" customHeight="1">
      <c r="A2538" s="26" t="s">
        <v>6202</v>
      </c>
      <c r="B2538" s="27" t="s">
        <v>356</v>
      </c>
      <c r="C2538" s="27" t="s">
        <v>3647</v>
      </c>
      <c r="D2538" s="26" t="s">
        <v>3663</v>
      </c>
      <c r="E2538" s="28">
        <v>46113.0</v>
      </c>
      <c r="F2538" s="28">
        <v>46171.0</v>
      </c>
      <c r="G2538" s="29"/>
    </row>
    <row r="2539" ht="15.75" customHeight="1">
      <c r="A2539" s="30" t="s">
        <v>6203</v>
      </c>
      <c r="B2539" s="31" t="s">
        <v>356</v>
      </c>
      <c r="C2539" s="31" t="s">
        <v>952</v>
      </c>
      <c r="D2539" s="30" t="s">
        <v>3663</v>
      </c>
      <c r="E2539" s="32">
        <v>46113.0</v>
      </c>
      <c r="F2539" s="32">
        <v>46171.0</v>
      </c>
      <c r="G2539" s="33"/>
    </row>
    <row r="2540" ht="15.75" customHeight="1">
      <c r="A2540" s="26" t="s">
        <v>6204</v>
      </c>
      <c r="B2540" s="27" t="s">
        <v>356</v>
      </c>
      <c r="C2540" s="27" t="s">
        <v>1216</v>
      </c>
      <c r="D2540" s="26" t="s">
        <v>3663</v>
      </c>
      <c r="E2540" s="28">
        <v>46113.0</v>
      </c>
      <c r="F2540" s="28">
        <v>46171.0</v>
      </c>
      <c r="G2540" s="29"/>
    </row>
    <row r="2541" ht="15.75" customHeight="1">
      <c r="A2541" s="30" t="s">
        <v>6205</v>
      </c>
      <c r="B2541" s="31" t="s">
        <v>356</v>
      </c>
      <c r="C2541" s="31" t="s">
        <v>1157</v>
      </c>
      <c r="D2541" s="30" t="s">
        <v>3663</v>
      </c>
      <c r="E2541" s="32">
        <v>46113.0</v>
      </c>
      <c r="F2541" s="32">
        <v>46171.0</v>
      </c>
      <c r="G2541" s="33"/>
    </row>
    <row r="2542" ht="15.75" customHeight="1">
      <c r="A2542" s="26" t="s">
        <v>6206</v>
      </c>
      <c r="B2542" s="27" t="s">
        <v>356</v>
      </c>
      <c r="C2542" s="27" t="s">
        <v>1155</v>
      </c>
      <c r="D2542" s="26" t="s">
        <v>3663</v>
      </c>
      <c r="E2542" s="28">
        <v>46113.0</v>
      </c>
      <c r="F2542" s="28">
        <v>46171.0</v>
      </c>
      <c r="G2542" s="29"/>
    </row>
    <row r="2543" ht="15.75" customHeight="1">
      <c r="A2543" s="30" t="s">
        <v>6207</v>
      </c>
      <c r="B2543" s="31" t="s">
        <v>356</v>
      </c>
      <c r="C2543" s="31" t="s">
        <v>1153</v>
      </c>
      <c r="D2543" s="30" t="s">
        <v>3663</v>
      </c>
      <c r="E2543" s="32">
        <v>46113.0</v>
      </c>
      <c r="F2543" s="32">
        <v>46171.0</v>
      </c>
      <c r="G2543" s="33"/>
    </row>
    <row r="2544" ht="15.75" customHeight="1">
      <c r="A2544" s="26" t="s">
        <v>6208</v>
      </c>
      <c r="B2544" s="27" t="s">
        <v>356</v>
      </c>
      <c r="C2544" s="27" t="s">
        <v>1149</v>
      </c>
      <c r="D2544" s="26" t="s">
        <v>3663</v>
      </c>
      <c r="E2544" s="28">
        <v>46113.0</v>
      </c>
      <c r="F2544" s="28">
        <v>46171.0</v>
      </c>
      <c r="G2544" s="29"/>
    </row>
    <row r="2545" ht="15.75" customHeight="1">
      <c r="A2545" s="30" t="s">
        <v>6209</v>
      </c>
      <c r="B2545" s="31" t="s">
        <v>356</v>
      </c>
      <c r="C2545" s="31" t="s">
        <v>3653</v>
      </c>
      <c r="D2545" s="30" t="s">
        <v>3663</v>
      </c>
      <c r="E2545" s="32">
        <v>46113.0</v>
      </c>
      <c r="F2545" s="32">
        <v>46171.0</v>
      </c>
      <c r="G2545" s="33"/>
    </row>
    <row r="2546" ht="15.75" customHeight="1">
      <c r="A2546" s="26" t="s">
        <v>6210</v>
      </c>
      <c r="B2546" s="27" t="s">
        <v>356</v>
      </c>
      <c r="C2546" s="27" t="s">
        <v>3652</v>
      </c>
      <c r="D2546" s="27" t="s">
        <v>3663</v>
      </c>
      <c r="E2546" s="28">
        <v>46113.0</v>
      </c>
      <c r="F2546" s="28">
        <v>46171.0</v>
      </c>
      <c r="G2546" s="29"/>
    </row>
    <row r="2547" ht="15.75" customHeight="1">
      <c r="A2547" s="30" t="s">
        <v>6211</v>
      </c>
      <c r="B2547" s="31" t="s">
        <v>356</v>
      </c>
      <c r="C2547" s="31" t="s">
        <v>968</v>
      </c>
      <c r="D2547" s="30" t="s">
        <v>3663</v>
      </c>
      <c r="E2547" s="32">
        <v>46113.0</v>
      </c>
      <c r="F2547" s="32">
        <v>46171.0</v>
      </c>
      <c r="G2547" s="33"/>
    </row>
    <row r="2548" ht="15.75" customHeight="1">
      <c r="A2548" s="26" t="s">
        <v>6212</v>
      </c>
      <c r="B2548" s="27" t="s">
        <v>356</v>
      </c>
      <c r="C2548" s="27" t="s">
        <v>923</v>
      </c>
      <c r="D2548" s="26" t="s">
        <v>3663</v>
      </c>
      <c r="E2548" s="28">
        <v>46113.0</v>
      </c>
      <c r="F2548" s="28">
        <v>46171.0</v>
      </c>
      <c r="G2548" s="29"/>
    </row>
    <row r="2549" ht="15.75" customHeight="1">
      <c r="A2549" s="30" t="s">
        <v>6213</v>
      </c>
      <c r="B2549" s="31" t="s">
        <v>357</v>
      </c>
      <c r="C2549" s="31" t="s">
        <v>926</v>
      </c>
      <c r="D2549" s="31" t="s">
        <v>3663</v>
      </c>
      <c r="E2549" s="32">
        <v>46113.0</v>
      </c>
      <c r="F2549" s="32">
        <v>46171.0</v>
      </c>
      <c r="G2549" s="33"/>
    </row>
    <row r="2550" ht="15.75" customHeight="1">
      <c r="A2550" s="26" t="s">
        <v>6214</v>
      </c>
      <c r="B2550" s="27" t="s">
        <v>357</v>
      </c>
      <c r="C2550" s="27" t="s">
        <v>1354</v>
      </c>
      <c r="D2550" s="26" t="s">
        <v>3663</v>
      </c>
      <c r="E2550" s="28">
        <v>46113.0</v>
      </c>
      <c r="F2550" s="28">
        <v>46171.0</v>
      </c>
      <c r="G2550" s="29"/>
    </row>
    <row r="2551" ht="15.75" customHeight="1">
      <c r="A2551" s="30" t="s">
        <v>6215</v>
      </c>
      <c r="B2551" s="31" t="s">
        <v>357</v>
      </c>
      <c r="C2551" s="31" t="s">
        <v>3681</v>
      </c>
      <c r="D2551" s="30" t="s">
        <v>3663</v>
      </c>
      <c r="E2551" s="32">
        <v>46113.0</v>
      </c>
      <c r="F2551" s="32">
        <v>46171.0</v>
      </c>
      <c r="G2551" s="33"/>
    </row>
    <row r="2552" ht="15.75" customHeight="1">
      <c r="A2552" s="26" t="s">
        <v>6216</v>
      </c>
      <c r="B2552" s="27" t="s">
        <v>357</v>
      </c>
      <c r="C2552" s="27" t="s">
        <v>3683</v>
      </c>
      <c r="D2552" s="26" t="s">
        <v>3663</v>
      </c>
      <c r="E2552" s="28">
        <v>46113.0</v>
      </c>
      <c r="F2552" s="28">
        <v>46171.0</v>
      </c>
      <c r="G2552" s="29"/>
    </row>
    <row r="2553" ht="15.75" customHeight="1">
      <c r="A2553" s="30" t="s">
        <v>6217</v>
      </c>
      <c r="B2553" s="31" t="s">
        <v>357</v>
      </c>
      <c r="C2553" s="31" t="s">
        <v>1208</v>
      </c>
      <c r="D2553" s="30" t="s">
        <v>3663</v>
      </c>
      <c r="E2553" s="32">
        <v>46113.0</v>
      </c>
      <c r="F2553" s="32">
        <v>46171.0</v>
      </c>
      <c r="G2553" s="33"/>
    </row>
    <row r="2554" ht="15.75" customHeight="1">
      <c r="A2554" s="26" t="s">
        <v>6218</v>
      </c>
      <c r="B2554" s="27" t="s">
        <v>357</v>
      </c>
      <c r="C2554" s="27" t="s">
        <v>1159</v>
      </c>
      <c r="D2554" s="26" t="s">
        <v>3663</v>
      </c>
      <c r="E2554" s="28">
        <v>46113.0</v>
      </c>
      <c r="F2554" s="28">
        <v>46171.0</v>
      </c>
      <c r="G2554" s="29"/>
    </row>
    <row r="2555" ht="15.75" customHeight="1">
      <c r="A2555" s="30" t="s">
        <v>6219</v>
      </c>
      <c r="B2555" s="31" t="s">
        <v>357</v>
      </c>
      <c r="C2555" s="31" t="s">
        <v>3647</v>
      </c>
      <c r="D2555" s="30" t="s">
        <v>3663</v>
      </c>
      <c r="E2555" s="32">
        <v>46113.0</v>
      </c>
      <c r="F2555" s="32">
        <v>46171.0</v>
      </c>
      <c r="G2555" s="33"/>
    </row>
    <row r="2556" ht="15.75" customHeight="1">
      <c r="A2556" s="26" t="s">
        <v>6220</v>
      </c>
      <c r="B2556" s="27" t="s">
        <v>357</v>
      </c>
      <c r="C2556" s="27" t="s">
        <v>952</v>
      </c>
      <c r="D2556" s="26" t="s">
        <v>3663</v>
      </c>
      <c r="E2556" s="28">
        <v>46113.0</v>
      </c>
      <c r="F2556" s="28">
        <v>46171.0</v>
      </c>
      <c r="G2556" s="29"/>
    </row>
    <row r="2557" ht="15.75" customHeight="1">
      <c r="A2557" s="30" t="s">
        <v>6221</v>
      </c>
      <c r="B2557" s="31" t="s">
        <v>357</v>
      </c>
      <c r="C2557" s="31" t="s">
        <v>3648</v>
      </c>
      <c r="D2557" s="31" t="s">
        <v>3663</v>
      </c>
      <c r="E2557" s="32">
        <v>46113.0</v>
      </c>
      <c r="F2557" s="32">
        <v>46171.0</v>
      </c>
      <c r="G2557" s="33"/>
    </row>
    <row r="2558" ht="15.75" customHeight="1">
      <c r="A2558" s="26" t="s">
        <v>6222</v>
      </c>
      <c r="B2558" s="27" t="s">
        <v>357</v>
      </c>
      <c r="C2558" s="27" t="s">
        <v>3649</v>
      </c>
      <c r="D2558" s="27" t="s">
        <v>3663</v>
      </c>
      <c r="E2558" s="28">
        <v>46113.0</v>
      </c>
      <c r="F2558" s="28">
        <v>46171.0</v>
      </c>
      <c r="G2558" s="29"/>
    </row>
    <row r="2559" ht="15.75" customHeight="1">
      <c r="A2559" s="30" t="s">
        <v>6223</v>
      </c>
      <c r="B2559" s="31" t="s">
        <v>357</v>
      </c>
      <c r="C2559" s="31" t="s">
        <v>3650</v>
      </c>
      <c r="D2559" s="31" t="s">
        <v>3663</v>
      </c>
      <c r="E2559" s="32">
        <v>46113.0</v>
      </c>
      <c r="F2559" s="32">
        <v>46171.0</v>
      </c>
      <c r="G2559" s="33"/>
    </row>
    <row r="2560" ht="15.75" customHeight="1">
      <c r="A2560" s="26" t="s">
        <v>6224</v>
      </c>
      <c r="B2560" s="27" t="s">
        <v>357</v>
      </c>
      <c r="C2560" s="27" t="s">
        <v>1283</v>
      </c>
      <c r="D2560" s="27" t="s">
        <v>3663</v>
      </c>
      <c r="E2560" s="28">
        <v>46113.0</v>
      </c>
      <c r="F2560" s="28">
        <v>46171.0</v>
      </c>
      <c r="G2560" s="29"/>
    </row>
    <row r="2561" ht="15.75" customHeight="1">
      <c r="A2561" s="30" t="s">
        <v>6225</v>
      </c>
      <c r="B2561" s="31" t="s">
        <v>357</v>
      </c>
      <c r="C2561" s="31" t="s">
        <v>968</v>
      </c>
      <c r="D2561" s="30" t="s">
        <v>3663</v>
      </c>
      <c r="E2561" s="32">
        <v>46113.0</v>
      </c>
      <c r="F2561" s="32">
        <v>46171.0</v>
      </c>
      <c r="G2561" s="33"/>
    </row>
    <row r="2562" ht="15.75" customHeight="1">
      <c r="A2562" s="26" t="s">
        <v>6226</v>
      </c>
      <c r="B2562" s="27" t="s">
        <v>357</v>
      </c>
      <c r="C2562" s="27" t="s">
        <v>923</v>
      </c>
      <c r="D2562" s="27" t="s">
        <v>3663</v>
      </c>
      <c r="E2562" s="28">
        <v>46113.0</v>
      </c>
      <c r="F2562" s="28">
        <v>46171.0</v>
      </c>
      <c r="G2562" s="29"/>
    </row>
    <row r="2563" ht="15.75" customHeight="1">
      <c r="A2563" s="30" t="s">
        <v>6227</v>
      </c>
      <c r="B2563" s="31" t="s">
        <v>358</v>
      </c>
      <c r="C2563" s="31" t="s">
        <v>3654</v>
      </c>
      <c r="D2563" s="30" t="s">
        <v>3663</v>
      </c>
      <c r="E2563" s="32">
        <v>46113.0</v>
      </c>
      <c r="F2563" s="32">
        <v>46171.0</v>
      </c>
      <c r="G2563" s="33"/>
    </row>
    <row r="2564" ht="15.75" customHeight="1">
      <c r="A2564" s="26" t="s">
        <v>6228</v>
      </c>
      <c r="B2564" s="27" t="s">
        <v>358</v>
      </c>
      <c r="C2564" s="27" t="s">
        <v>3655</v>
      </c>
      <c r="D2564" s="26" t="s">
        <v>3663</v>
      </c>
      <c r="E2564" s="28">
        <v>46113.0</v>
      </c>
      <c r="F2564" s="28">
        <v>46171.0</v>
      </c>
      <c r="G2564" s="29"/>
    </row>
    <row r="2565" ht="15.75" customHeight="1">
      <c r="A2565" s="30" t="s">
        <v>6229</v>
      </c>
      <c r="B2565" s="31" t="s">
        <v>358</v>
      </c>
      <c r="C2565" s="31" t="s">
        <v>3638</v>
      </c>
      <c r="D2565" s="30" t="s">
        <v>3663</v>
      </c>
      <c r="E2565" s="32">
        <v>46113.0</v>
      </c>
      <c r="F2565" s="32">
        <v>46171.0</v>
      </c>
      <c r="G2565" s="33"/>
    </row>
    <row r="2566" ht="15.75" customHeight="1">
      <c r="A2566" s="26" t="s">
        <v>6230</v>
      </c>
      <c r="B2566" s="27" t="s">
        <v>358</v>
      </c>
      <c r="C2566" s="27" t="s">
        <v>934</v>
      </c>
      <c r="D2566" s="26" t="s">
        <v>3663</v>
      </c>
      <c r="E2566" s="28">
        <v>46113.0</v>
      </c>
      <c r="F2566" s="28">
        <v>46171.0</v>
      </c>
      <c r="G2566" s="29"/>
    </row>
    <row r="2567" ht="15.75" customHeight="1">
      <c r="A2567" s="30" t="s">
        <v>6231</v>
      </c>
      <c r="B2567" s="31" t="s">
        <v>358</v>
      </c>
      <c r="C2567" s="31" t="s">
        <v>1354</v>
      </c>
      <c r="D2567" s="30" t="s">
        <v>3663</v>
      </c>
      <c r="E2567" s="32">
        <v>46113.0</v>
      </c>
      <c r="F2567" s="32">
        <v>46171.0</v>
      </c>
      <c r="G2567" s="33"/>
    </row>
    <row r="2568" ht="15.75" customHeight="1">
      <c r="A2568" s="26" t="s">
        <v>6232</v>
      </c>
      <c r="B2568" s="27" t="s">
        <v>358</v>
      </c>
      <c r="C2568" s="27" t="s">
        <v>1157</v>
      </c>
      <c r="D2568" s="26" t="s">
        <v>3663</v>
      </c>
      <c r="E2568" s="28">
        <v>46113.0</v>
      </c>
      <c r="F2568" s="28">
        <v>46171.0</v>
      </c>
      <c r="G2568" s="29"/>
    </row>
    <row r="2569" ht="15.75" customHeight="1">
      <c r="A2569" s="30" t="s">
        <v>6233</v>
      </c>
      <c r="B2569" s="31" t="s">
        <v>358</v>
      </c>
      <c r="C2569" s="31" t="s">
        <v>1155</v>
      </c>
      <c r="D2569" s="30" t="s">
        <v>3663</v>
      </c>
      <c r="E2569" s="32">
        <v>46113.0</v>
      </c>
      <c r="F2569" s="32">
        <v>46171.0</v>
      </c>
      <c r="G2569" s="33"/>
    </row>
    <row r="2570" ht="15.75" customHeight="1">
      <c r="A2570" s="26" t="s">
        <v>6234</v>
      </c>
      <c r="B2570" s="27" t="s">
        <v>358</v>
      </c>
      <c r="C2570" s="27" t="s">
        <v>1153</v>
      </c>
      <c r="D2570" s="26" t="s">
        <v>3663</v>
      </c>
      <c r="E2570" s="28">
        <v>46113.0</v>
      </c>
      <c r="F2570" s="28">
        <v>46171.0</v>
      </c>
      <c r="G2570" s="29"/>
    </row>
    <row r="2571" ht="15.75" customHeight="1">
      <c r="A2571" s="30" t="s">
        <v>6235</v>
      </c>
      <c r="B2571" s="31" t="s">
        <v>358</v>
      </c>
      <c r="C2571" s="31" t="s">
        <v>1149</v>
      </c>
      <c r="D2571" s="30" t="s">
        <v>3663</v>
      </c>
      <c r="E2571" s="32">
        <v>46113.0</v>
      </c>
      <c r="F2571" s="32">
        <v>46171.0</v>
      </c>
      <c r="G2571" s="33"/>
    </row>
    <row r="2572" ht="15.75" customHeight="1">
      <c r="A2572" s="26" t="s">
        <v>6236</v>
      </c>
      <c r="B2572" s="27" t="s">
        <v>358</v>
      </c>
      <c r="C2572" s="27" t="s">
        <v>1351</v>
      </c>
      <c r="D2572" s="26" t="s">
        <v>3663</v>
      </c>
      <c r="E2572" s="28">
        <v>46113.0</v>
      </c>
      <c r="F2572" s="28">
        <v>46171.0</v>
      </c>
      <c r="G2572" s="29"/>
    </row>
    <row r="2573" ht="15.75" customHeight="1">
      <c r="A2573" s="30" t="s">
        <v>6237</v>
      </c>
      <c r="B2573" s="31" t="s">
        <v>358</v>
      </c>
      <c r="C2573" s="31" t="s">
        <v>1349</v>
      </c>
      <c r="D2573" s="30" t="s">
        <v>3663</v>
      </c>
      <c r="E2573" s="32">
        <v>46113.0</v>
      </c>
      <c r="F2573" s="32">
        <v>46171.0</v>
      </c>
      <c r="G2573" s="33"/>
    </row>
    <row r="2574" ht="15.75" customHeight="1">
      <c r="A2574" s="26" t="s">
        <v>6238</v>
      </c>
      <c r="B2574" s="27" t="s">
        <v>358</v>
      </c>
      <c r="C2574" s="27" t="s">
        <v>968</v>
      </c>
      <c r="D2574" s="26" t="s">
        <v>3663</v>
      </c>
      <c r="E2574" s="28">
        <v>46113.0</v>
      </c>
      <c r="F2574" s="28">
        <v>46171.0</v>
      </c>
      <c r="G2574" s="29"/>
    </row>
    <row r="2575" ht="15.75" customHeight="1">
      <c r="A2575" s="30" t="s">
        <v>6239</v>
      </c>
      <c r="B2575" s="31" t="s">
        <v>358</v>
      </c>
      <c r="C2575" s="31" t="s">
        <v>923</v>
      </c>
      <c r="D2575" s="30" t="s">
        <v>3663</v>
      </c>
      <c r="E2575" s="32">
        <v>46113.0</v>
      </c>
      <c r="F2575" s="32">
        <v>46171.0</v>
      </c>
      <c r="G2575" s="33"/>
    </row>
    <row r="2576" ht="15.75" customHeight="1">
      <c r="A2576" s="26" t="s">
        <v>6240</v>
      </c>
      <c r="B2576" s="27" t="s">
        <v>358</v>
      </c>
      <c r="C2576" s="27" t="s">
        <v>955</v>
      </c>
      <c r="D2576" s="26" t="s">
        <v>3663</v>
      </c>
      <c r="E2576" s="28">
        <v>46113.0</v>
      </c>
      <c r="F2576" s="28">
        <v>46171.0</v>
      </c>
      <c r="G2576" s="29"/>
    </row>
    <row r="2577" ht="15.75" customHeight="1">
      <c r="A2577" s="30" t="s">
        <v>6241</v>
      </c>
      <c r="B2577" s="31" t="s">
        <v>359</v>
      </c>
      <c r="C2577" s="31" t="s">
        <v>3654</v>
      </c>
      <c r="D2577" s="30" t="s">
        <v>3663</v>
      </c>
      <c r="E2577" s="32">
        <v>46113.0</v>
      </c>
      <c r="F2577" s="32">
        <v>46171.0</v>
      </c>
      <c r="G2577" s="33"/>
    </row>
    <row r="2578" ht="15.75" customHeight="1">
      <c r="A2578" s="26" t="s">
        <v>6242</v>
      </c>
      <c r="B2578" s="27" t="s">
        <v>359</v>
      </c>
      <c r="C2578" s="27" t="s">
        <v>3655</v>
      </c>
      <c r="D2578" s="26" t="s">
        <v>3663</v>
      </c>
      <c r="E2578" s="28">
        <v>46113.0</v>
      </c>
      <c r="F2578" s="28">
        <v>46171.0</v>
      </c>
      <c r="G2578" s="29"/>
    </row>
    <row r="2579" ht="15.75" customHeight="1">
      <c r="A2579" s="30" t="s">
        <v>6243</v>
      </c>
      <c r="B2579" s="31" t="s">
        <v>359</v>
      </c>
      <c r="C2579" s="31" t="s">
        <v>926</v>
      </c>
      <c r="D2579" s="30" t="s">
        <v>3663</v>
      </c>
      <c r="E2579" s="32">
        <v>46113.0</v>
      </c>
      <c r="F2579" s="32">
        <v>46171.0</v>
      </c>
      <c r="G2579" s="33"/>
    </row>
    <row r="2580" ht="15.75" customHeight="1">
      <c r="A2580" s="26" t="s">
        <v>6244</v>
      </c>
      <c r="B2580" s="27" t="s">
        <v>359</v>
      </c>
      <c r="C2580" s="27" t="s">
        <v>1354</v>
      </c>
      <c r="D2580" s="26" t="s">
        <v>3663</v>
      </c>
      <c r="E2580" s="28">
        <v>46113.0</v>
      </c>
      <c r="F2580" s="28">
        <v>46171.0</v>
      </c>
      <c r="G2580" s="29"/>
    </row>
    <row r="2581" ht="15.75" customHeight="1">
      <c r="A2581" s="30" t="s">
        <v>6245</v>
      </c>
      <c r="B2581" s="31" t="s">
        <v>359</v>
      </c>
      <c r="C2581" s="31" t="s">
        <v>1277</v>
      </c>
      <c r="D2581" s="30" t="s">
        <v>3663</v>
      </c>
      <c r="E2581" s="32">
        <v>46113.0</v>
      </c>
      <c r="F2581" s="32">
        <v>46171.0</v>
      </c>
      <c r="G2581" s="33"/>
    </row>
    <row r="2582" ht="15.75" customHeight="1">
      <c r="A2582" s="26" t="s">
        <v>6246</v>
      </c>
      <c r="B2582" s="27" t="s">
        <v>359</v>
      </c>
      <c r="C2582" s="27" t="s">
        <v>1279</v>
      </c>
      <c r="D2582" s="26" t="s">
        <v>3663</v>
      </c>
      <c r="E2582" s="28">
        <v>46113.0</v>
      </c>
      <c r="F2582" s="28">
        <v>46171.0</v>
      </c>
      <c r="G2582" s="29"/>
    </row>
    <row r="2583" ht="15.75" customHeight="1">
      <c r="A2583" s="30" t="s">
        <v>6247</v>
      </c>
      <c r="B2583" s="31" t="s">
        <v>359</v>
      </c>
      <c r="C2583" s="31" t="s">
        <v>1283</v>
      </c>
      <c r="D2583" s="30" t="s">
        <v>3663</v>
      </c>
      <c r="E2583" s="32">
        <v>46113.0</v>
      </c>
      <c r="F2583" s="32">
        <v>46171.0</v>
      </c>
      <c r="G2583" s="33"/>
    </row>
    <row r="2584" ht="15.75" customHeight="1">
      <c r="A2584" s="26" t="s">
        <v>6248</v>
      </c>
      <c r="B2584" s="27" t="s">
        <v>359</v>
      </c>
      <c r="C2584" s="27" t="s">
        <v>1281</v>
      </c>
      <c r="D2584" s="26" t="s">
        <v>3663</v>
      </c>
      <c r="E2584" s="28">
        <v>46113.0</v>
      </c>
      <c r="F2584" s="28">
        <v>46171.0</v>
      </c>
      <c r="G2584" s="29"/>
    </row>
    <row r="2585" ht="15.75" customHeight="1">
      <c r="A2585" s="30" t="s">
        <v>6249</v>
      </c>
      <c r="B2585" s="31" t="s">
        <v>359</v>
      </c>
      <c r="C2585" s="31" t="s">
        <v>1218</v>
      </c>
      <c r="D2585" s="30" t="s">
        <v>3663</v>
      </c>
      <c r="E2585" s="32">
        <v>46113.0</v>
      </c>
      <c r="F2585" s="32">
        <v>46171.0</v>
      </c>
      <c r="G2585" s="33"/>
    </row>
    <row r="2586" ht="15.75" customHeight="1">
      <c r="A2586" s="26" t="s">
        <v>6250</v>
      </c>
      <c r="B2586" s="27" t="s">
        <v>359</v>
      </c>
      <c r="C2586" s="27" t="s">
        <v>1271</v>
      </c>
      <c r="D2586" s="26" t="s">
        <v>3663</v>
      </c>
      <c r="E2586" s="28">
        <v>46113.0</v>
      </c>
      <c r="F2586" s="28">
        <v>46171.0</v>
      </c>
      <c r="G2586" s="29"/>
    </row>
    <row r="2587" ht="15.75" customHeight="1">
      <c r="A2587" s="30" t="s">
        <v>6251</v>
      </c>
      <c r="B2587" s="31" t="s">
        <v>359</v>
      </c>
      <c r="C2587" s="31" t="s">
        <v>1351</v>
      </c>
      <c r="D2587" s="30" t="s">
        <v>3663</v>
      </c>
      <c r="E2587" s="32">
        <v>46113.0</v>
      </c>
      <c r="F2587" s="32">
        <v>46171.0</v>
      </c>
      <c r="G2587" s="33"/>
    </row>
    <row r="2588" ht="15.75" customHeight="1">
      <c r="A2588" s="26" t="s">
        <v>6252</v>
      </c>
      <c r="B2588" s="27" t="s">
        <v>359</v>
      </c>
      <c r="C2588" s="27" t="s">
        <v>1349</v>
      </c>
      <c r="D2588" s="26" t="s">
        <v>3663</v>
      </c>
      <c r="E2588" s="28">
        <v>46113.0</v>
      </c>
      <c r="F2588" s="28">
        <v>46171.0</v>
      </c>
      <c r="G2588" s="29"/>
    </row>
    <row r="2589" ht="15.75" customHeight="1">
      <c r="A2589" s="30" t="s">
        <v>6253</v>
      </c>
      <c r="B2589" s="31" t="s">
        <v>359</v>
      </c>
      <c r="C2589" s="31" t="s">
        <v>968</v>
      </c>
      <c r="D2589" s="30" t="s">
        <v>3663</v>
      </c>
      <c r="E2589" s="32">
        <v>46113.0</v>
      </c>
      <c r="F2589" s="32">
        <v>46171.0</v>
      </c>
      <c r="G2589" s="33"/>
    </row>
    <row r="2590" ht="15.75" customHeight="1">
      <c r="A2590" s="26" t="s">
        <v>6254</v>
      </c>
      <c r="B2590" s="27" t="s">
        <v>359</v>
      </c>
      <c r="C2590" s="27" t="s">
        <v>923</v>
      </c>
      <c r="D2590" s="26" t="s">
        <v>3663</v>
      </c>
      <c r="E2590" s="28">
        <v>46113.0</v>
      </c>
      <c r="F2590" s="28">
        <v>46171.0</v>
      </c>
      <c r="G2590" s="29"/>
    </row>
    <row r="2591" ht="15.75" customHeight="1">
      <c r="A2591" s="30" t="s">
        <v>6255</v>
      </c>
      <c r="B2591" s="31" t="s">
        <v>360</v>
      </c>
      <c r="C2591" s="31" t="s">
        <v>1240</v>
      </c>
      <c r="D2591" s="30" t="s">
        <v>3663</v>
      </c>
      <c r="E2591" s="32">
        <v>46113.0</v>
      </c>
      <c r="F2591" s="32">
        <v>46171.0</v>
      </c>
      <c r="G2591" s="33"/>
    </row>
    <row r="2592" ht="15.75" customHeight="1">
      <c r="A2592" s="26" t="s">
        <v>6256</v>
      </c>
      <c r="B2592" s="27" t="s">
        <v>360</v>
      </c>
      <c r="C2592" s="27" t="s">
        <v>1242</v>
      </c>
      <c r="D2592" s="26" t="s">
        <v>3663</v>
      </c>
      <c r="E2592" s="28">
        <v>46113.0</v>
      </c>
      <c r="F2592" s="28">
        <v>46171.0</v>
      </c>
      <c r="G2592" s="29"/>
    </row>
    <row r="2593" ht="15.75" customHeight="1">
      <c r="A2593" s="30" t="s">
        <v>6257</v>
      </c>
      <c r="B2593" s="31" t="s">
        <v>360</v>
      </c>
      <c r="C2593" s="31" t="s">
        <v>1244</v>
      </c>
      <c r="D2593" s="30" t="s">
        <v>3663</v>
      </c>
      <c r="E2593" s="32">
        <v>46113.0</v>
      </c>
      <c r="F2593" s="32">
        <v>46171.0</v>
      </c>
      <c r="G2593" s="33"/>
    </row>
    <row r="2594" ht="15.75" customHeight="1">
      <c r="A2594" s="26" t="s">
        <v>6258</v>
      </c>
      <c r="B2594" s="27" t="s">
        <v>360</v>
      </c>
      <c r="C2594" s="27" t="s">
        <v>1246</v>
      </c>
      <c r="D2594" s="26" t="s">
        <v>3663</v>
      </c>
      <c r="E2594" s="28">
        <v>46113.0</v>
      </c>
      <c r="F2594" s="28">
        <v>46171.0</v>
      </c>
      <c r="G2594" s="29"/>
    </row>
    <row r="2595" ht="15.75" customHeight="1">
      <c r="A2595" s="30" t="s">
        <v>6259</v>
      </c>
      <c r="B2595" s="31" t="s">
        <v>360</v>
      </c>
      <c r="C2595" s="31" t="s">
        <v>3654</v>
      </c>
      <c r="D2595" s="30" t="s">
        <v>3663</v>
      </c>
      <c r="E2595" s="32">
        <v>46113.0</v>
      </c>
      <c r="F2595" s="32">
        <v>46171.0</v>
      </c>
      <c r="G2595" s="33"/>
    </row>
    <row r="2596" ht="15.75" customHeight="1">
      <c r="A2596" s="26" t="s">
        <v>6260</v>
      </c>
      <c r="B2596" s="27" t="s">
        <v>360</v>
      </c>
      <c r="C2596" s="27" t="s">
        <v>3655</v>
      </c>
      <c r="D2596" s="26" t="s">
        <v>3663</v>
      </c>
      <c r="E2596" s="28">
        <v>46113.0</v>
      </c>
      <c r="F2596" s="28">
        <v>46171.0</v>
      </c>
      <c r="G2596" s="29"/>
    </row>
    <row r="2597" ht="15.75" customHeight="1">
      <c r="A2597" s="30" t="s">
        <v>6261</v>
      </c>
      <c r="B2597" s="31" t="s">
        <v>360</v>
      </c>
      <c r="C2597" s="31" t="s">
        <v>934</v>
      </c>
      <c r="D2597" s="30" t="s">
        <v>3663</v>
      </c>
      <c r="E2597" s="32">
        <v>46113.0</v>
      </c>
      <c r="F2597" s="32">
        <v>46171.0</v>
      </c>
      <c r="G2597" s="33"/>
    </row>
    <row r="2598" ht="15.75" customHeight="1">
      <c r="A2598" s="26" t="s">
        <v>6262</v>
      </c>
      <c r="B2598" s="27" t="s">
        <v>360</v>
      </c>
      <c r="C2598" s="27" t="s">
        <v>1354</v>
      </c>
      <c r="D2598" s="26" t="s">
        <v>3663</v>
      </c>
      <c r="E2598" s="28">
        <v>46113.0</v>
      </c>
      <c r="F2598" s="28">
        <v>46171.0</v>
      </c>
      <c r="G2598" s="29"/>
    </row>
    <row r="2599" ht="15.75" customHeight="1">
      <c r="A2599" s="30" t="s">
        <v>6263</v>
      </c>
      <c r="B2599" s="31" t="s">
        <v>360</v>
      </c>
      <c r="C2599" s="31" t="s">
        <v>1159</v>
      </c>
      <c r="D2599" s="30" t="s">
        <v>3663</v>
      </c>
      <c r="E2599" s="32">
        <v>46113.0</v>
      </c>
      <c r="F2599" s="32">
        <v>46171.0</v>
      </c>
      <c r="G2599" s="33"/>
    </row>
    <row r="2600" ht="15.75" customHeight="1">
      <c r="A2600" s="26" t="s">
        <v>6264</v>
      </c>
      <c r="B2600" s="27" t="s">
        <v>360</v>
      </c>
      <c r="C2600" s="27" t="s">
        <v>1351</v>
      </c>
      <c r="D2600" s="26" t="s">
        <v>3663</v>
      </c>
      <c r="E2600" s="28">
        <v>46113.0</v>
      </c>
      <c r="F2600" s="28">
        <v>46171.0</v>
      </c>
      <c r="G2600" s="29"/>
    </row>
    <row r="2601" ht="15.75" customHeight="1">
      <c r="A2601" s="30" t="s">
        <v>6265</v>
      </c>
      <c r="B2601" s="31" t="s">
        <v>360</v>
      </c>
      <c r="C2601" s="31" t="s">
        <v>1349</v>
      </c>
      <c r="D2601" s="30" t="s">
        <v>3663</v>
      </c>
      <c r="E2601" s="32">
        <v>46113.0</v>
      </c>
      <c r="F2601" s="32">
        <v>46171.0</v>
      </c>
      <c r="G2601" s="33"/>
    </row>
    <row r="2602" ht="15.75" customHeight="1">
      <c r="A2602" s="26" t="s">
        <v>6266</v>
      </c>
      <c r="B2602" s="27" t="s">
        <v>360</v>
      </c>
      <c r="C2602" s="27" t="s">
        <v>968</v>
      </c>
      <c r="D2602" s="26" t="s">
        <v>3663</v>
      </c>
      <c r="E2602" s="28">
        <v>46113.0</v>
      </c>
      <c r="F2602" s="28">
        <v>46171.0</v>
      </c>
      <c r="G2602" s="29"/>
    </row>
    <row r="2603" ht="15.75" customHeight="1">
      <c r="A2603" s="30" t="s">
        <v>6267</v>
      </c>
      <c r="B2603" s="31" t="s">
        <v>360</v>
      </c>
      <c r="C2603" s="31" t="s">
        <v>923</v>
      </c>
      <c r="D2603" s="30" t="s">
        <v>3663</v>
      </c>
      <c r="E2603" s="32">
        <v>46113.0</v>
      </c>
      <c r="F2603" s="32">
        <v>46171.0</v>
      </c>
      <c r="G2603" s="33"/>
    </row>
    <row r="2604" ht="15.75" customHeight="1">
      <c r="A2604" s="26" t="s">
        <v>6268</v>
      </c>
      <c r="B2604" s="27" t="s">
        <v>360</v>
      </c>
      <c r="C2604" s="27" t="s">
        <v>955</v>
      </c>
      <c r="D2604" s="26" t="s">
        <v>3663</v>
      </c>
      <c r="E2604" s="28">
        <v>46113.0</v>
      </c>
      <c r="F2604" s="28">
        <v>46171.0</v>
      </c>
      <c r="G2604" s="29"/>
    </row>
    <row r="2605" ht="15.75" customHeight="1">
      <c r="A2605" s="30" t="s">
        <v>6269</v>
      </c>
      <c r="B2605" s="31" t="s">
        <v>361</v>
      </c>
      <c r="C2605" s="31" t="s">
        <v>1240</v>
      </c>
      <c r="D2605" s="30" t="s">
        <v>3663</v>
      </c>
      <c r="E2605" s="32">
        <v>46113.0</v>
      </c>
      <c r="F2605" s="32">
        <v>46171.0</v>
      </c>
      <c r="G2605" s="33"/>
    </row>
    <row r="2606" ht="15.75" customHeight="1">
      <c r="A2606" s="26" t="s">
        <v>6270</v>
      </c>
      <c r="B2606" s="27" t="s">
        <v>361</v>
      </c>
      <c r="C2606" s="27" t="s">
        <v>1242</v>
      </c>
      <c r="D2606" s="26" t="s">
        <v>3663</v>
      </c>
      <c r="E2606" s="28">
        <v>46113.0</v>
      </c>
      <c r="F2606" s="28">
        <v>46171.0</v>
      </c>
      <c r="G2606" s="29"/>
    </row>
    <row r="2607" ht="15.75" customHeight="1">
      <c r="A2607" s="30" t="s">
        <v>6271</v>
      </c>
      <c r="B2607" s="31" t="s">
        <v>361</v>
      </c>
      <c r="C2607" s="31" t="s">
        <v>1244</v>
      </c>
      <c r="D2607" s="30" t="s">
        <v>3663</v>
      </c>
      <c r="E2607" s="32">
        <v>46113.0</v>
      </c>
      <c r="F2607" s="32">
        <v>46171.0</v>
      </c>
      <c r="G2607" s="33"/>
    </row>
    <row r="2608" ht="15.75" customHeight="1">
      <c r="A2608" s="26" t="s">
        <v>6272</v>
      </c>
      <c r="B2608" s="27" t="s">
        <v>361</v>
      </c>
      <c r="C2608" s="27" t="s">
        <v>1246</v>
      </c>
      <c r="D2608" s="26" t="s">
        <v>3663</v>
      </c>
      <c r="E2608" s="28">
        <v>46113.0</v>
      </c>
      <c r="F2608" s="28">
        <v>46171.0</v>
      </c>
      <c r="G2608" s="29"/>
    </row>
    <row r="2609" ht="15.75" customHeight="1">
      <c r="A2609" s="30" t="s">
        <v>6273</v>
      </c>
      <c r="B2609" s="31" t="s">
        <v>361</v>
      </c>
      <c r="C2609" s="31" t="s">
        <v>3654</v>
      </c>
      <c r="D2609" s="30" t="s">
        <v>3663</v>
      </c>
      <c r="E2609" s="32">
        <v>46113.0</v>
      </c>
      <c r="F2609" s="32">
        <v>46171.0</v>
      </c>
      <c r="G2609" s="33"/>
    </row>
    <row r="2610" ht="15.75" customHeight="1">
      <c r="A2610" s="26" t="s">
        <v>6274</v>
      </c>
      <c r="B2610" s="27" t="s">
        <v>361</v>
      </c>
      <c r="C2610" s="27" t="s">
        <v>3655</v>
      </c>
      <c r="D2610" s="26" t="s">
        <v>3663</v>
      </c>
      <c r="E2610" s="28">
        <v>46113.0</v>
      </c>
      <c r="F2610" s="28">
        <v>46171.0</v>
      </c>
      <c r="G2610" s="29"/>
    </row>
    <row r="2611" ht="15.75" customHeight="1">
      <c r="A2611" s="30" t="s">
        <v>6275</v>
      </c>
      <c r="B2611" s="31" t="s">
        <v>361</v>
      </c>
      <c r="C2611" s="31" t="s">
        <v>928</v>
      </c>
      <c r="D2611" s="30" t="s">
        <v>3663</v>
      </c>
      <c r="E2611" s="32">
        <v>46113.0</v>
      </c>
      <c r="F2611" s="32">
        <v>46171.0</v>
      </c>
      <c r="G2611" s="33"/>
    </row>
    <row r="2612" ht="15.75" customHeight="1">
      <c r="A2612" s="26" t="s">
        <v>6276</v>
      </c>
      <c r="B2612" s="27" t="s">
        <v>361</v>
      </c>
      <c r="C2612" s="27" t="s">
        <v>1354</v>
      </c>
      <c r="D2612" s="26" t="s">
        <v>3663</v>
      </c>
      <c r="E2612" s="28">
        <v>46113.0</v>
      </c>
      <c r="F2612" s="28">
        <v>46171.0</v>
      </c>
      <c r="G2612" s="29"/>
    </row>
    <row r="2613" ht="15.75" customHeight="1">
      <c r="A2613" s="30" t="s">
        <v>6277</v>
      </c>
      <c r="B2613" s="31" t="s">
        <v>361</v>
      </c>
      <c r="C2613" s="31" t="s">
        <v>1172</v>
      </c>
      <c r="D2613" s="30" t="s">
        <v>3663</v>
      </c>
      <c r="E2613" s="32">
        <v>46113.0</v>
      </c>
      <c r="F2613" s="32">
        <v>46171.0</v>
      </c>
      <c r="G2613" s="33"/>
    </row>
    <row r="2614" ht="15.75" customHeight="1">
      <c r="A2614" s="26" t="s">
        <v>6278</v>
      </c>
      <c r="B2614" s="27" t="s">
        <v>361</v>
      </c>
      <c r="C2614" s="27" t="s">
        <v>1351</v>
      </c>
      <c r="D2614" s="26" t="s">
        <v>3663</v>
      </c>
      <c r="E2614" s="28">
        <v>46113.0</v>
      </c>
      <c r="F2614" s="28">
        <v>46171.0</v>
      </c>
      <c r="G2614" s="29"/>
    </row>
    <row r="2615" ht="15.75" customHeight="1">
      <c r="A2615" s="30" t="s">
        <v>6279</v>
      </c>
      <c r="B2615" s="31" t="s">
        <v>361</v>
      </c>
      <c r="C2615" s="31" t="s">
        <v>1349</v>
      </c>
      <c r="D2615" s="30" t="s">
        <v>3663</v>
      </c>
      <c r="E2615" s="32">
        <v>46113.0</v>
      </c>
      <c r="F2615" s="32">
        <v>46171.0</v>
      </c>
      <c r="G2615" s="33"/>
    </row>
    <row r="2616" ht="15.75" customHeight="1">
      <c r="A2616" s="26" t="s">
        <v>6280</v>
      </c>
      <c r="B2616" s="27" t="s">
        <v>361</v>
      </c>
      <c r="C2616" s="27" t="s">
        <v>968</v>
      </c>
      <c r="D2616" s="26" t="s">
        <v>3663</v>
      </c>
      <c r="E2616" s="28">
        <v>46113.0</v>
      </c>
      <c r="F2616" s="28">
        <v>46171.0</v>
      </c>
      <c r="G2616" s="29"/>
    </row>
    <row r="2617" ht="15.75" customHeight="1">
      <c r="A2617" s="30" t="s">
        <v>6281</v>
      </c>
      <c r="B2617" s="31" t="s">
        <v>361</v>
      </c>
      <c r="C2617" s="31" t="s">
        <v>923</v>
      </c>
      <c r="D2617" s="30" t="s">
        <v>3663</v>
      </c>
      <c r="E2617" s="32">
        <v>46113.0</v>
      </c>
      <c r="F2617" s="32">
        <v>46171.0</v>
      </c>
      <c r="G2617" s="33"/>
    </row>
    <row r="2618" ht="15.75" customHeight="1">
      <c r="A2618" s="26" t="s">
        <v>6282</v>
      </c>
      <c r="B2618" s="27" t="s">
        <v>361</v>
      </c>
      <c r="C2618" s="27" t="s">
        <v>955</v>
      </c>
      <c r="D2618" s="26" t="s">
        <v>3663</v>
      </c>
      <c r="E2618" s="28">
        <v>46113.0</v>
      </c>
      <c r="F2618" s="28">
        <v>46171.0</v>
      </c>
      <c r="G2618" s="29"/>
    </row>
    <row r="2619" ht="15.75" customHeight="1">
      <c r="A2619" s="30" t="s">
        <v>6283</v>
      </c>
      <c r="B2619" s="31" t="s">
        <v>362</v>
      </c>
      <c r="C2619" s="31" t="s">
        <v>3654</v>
      </c>
      <c r="D2619" s="30" t="s">
        <v>3663</v>
      </c>
      <c r="E2619" s="32">
        <v>46113.0</v>
      </c>
      <c r="F2619" s="32">
        <v>46171.0</v>
      </c>
      <c r="G2619" s="33"/>
    </row>
    <row r="2620" ht="15.75" customHeight="1">
      <c r="A2620" s="26" t="s">
        <v>6284</v>
      </c>
      <c r="B2620" s="27" t="s">
        <v>362</v>
      </c>
      <c r="C2620" s="27" t="s">
        <v>3655</v>
      </c>
      <c r="D2620" s="26" t="s">
        <v>3663</v>
      </c>
      <c r="E2620" s="28">
        <v>46113.0</v>
      </c>
      <c r="F2620" s="28">
        <v>46171.0</v>
      </c>
      <c r="G2620" s="29"/>
    </row>
    <row r="2621" ht="15.75" customHeight="1">
      <c r="A2621" s="30" t="s">
        <v>6285</v>
      </c>
      <c r="B2621" s="31" t="s">
        <v>362</v>
      </c>
      <c r="C2621" s="31" t="s">
        <v>934</v>
      </c>
      <c r="D2621" s="30" t="s">
        <v>3663</v>
      </c>
      <c r="E2621" s="32">
        <v>46113.0</v>
      </c>
      <c r="F2621" s="32">
        <v>46171.0</v>
      </c>
      <c r="G2621" s="33"/>
    </row>
    <row r="2622" ht="15.75" customHeight="1">
      <c r="A2622" s="26" t="s">
        <v>6286</v>
      </c>
      <c r="B2622" s="27" t="s">
        <v>362</v>
      </c>
      <c r="C2622" s="27" t="s">
        <v>1354</v>
      </c>
      <c r="D2622" s="26" t="s">
        <v>3663</v>
      </c>
      <c r="E2622" s="28">
        <v>46113.0</v>
      </c>
      <c r="F2622" s="28">
        <v>46171.0</v>
      </c>
      <c r="G2622" s="29"/>
    </row>
    <row r="2623" ht="15.75" customHeight="1">
      <c r="A2623" s="30" t="s">
        <v>6287</v>
      </c>
      <c r="B2623" s="31" t="s">
        <v>362</v>
      </c>
      <c r="C2623" s="31" t="s">
        <v>1190</v>
      </c>
      <c r="D2623" s="30" t="s">
        <v>3663</v>
      </c>
      <c r="E2623" s="32">
        <v>46113.0</v>
      </c>
      <c r="F2623" s="32">
        <v>46171.0</v>
      </c>
      <c r="G2623" s="33"/>
    </row>
    <row r="2624" ht="15.75" customHeight="1">
      <c r="A2624" s="26" t="s">
        <v>6288</v>
      </c>
      <c r="B2624" s="27" t="s">
        <v>362</v>
      </c>
      <c r="C2624" s="27" t="s">
        <v>1157</v>
      </c>
      <c r="D2624" s="26" t="s">
        <v>3663</v>
      </c>
      <c r="E2624" s="28">
        <v>46113.0</v>
      </c>
      <c r="F2624" s="28">
        <v>46171.0</v>
      </c>
      <c r="G2624" s="29"/>
    </row>
    <row r="2625" ht="15.75" customHeight="1">
      <c r="A2625" s="30" t="s">
        <v>6289</v>
      </c>
      <c r="B2625" s="31" t="s">
        <v>362</v>
      </c>
      <c r="C2625" s="31" t="s">
        <v>1155</v>
      </c>
      <c r="D2625" s="30" t="s">
        <v>3663</v>
      </c>
      <c r="E2625" s="32">
        <v>46113.0</v>
      </c>
      <c r="F2625" s="32">
        <v>46171.0</v>
      </c>
      <c r="G2625" s="33"/>
    </row>
    <row r="2626" ht="15.75" customHeight="1">
      <c r="A2626" s="26" t="s">
        <v>6290</v>
      </c>
      <c r="B2626" s="27" t="s">
        <v>362</v>
      </c>
      <c r="C2626" s="27" t="s">
        <v>1153</v>
      </c>
      <c r="D2626" s="26" t="s">
        <v>3663</v>
      </c>
      <c r="E2626" s="28">
        <v>46113.0</v>
      </c>
      <c r="F2626" s="28">
        <v>46171.0</v>
      </c>
      <c r="G2626" s="29"/>
    </row>
    <row r="2627" ht="15.75" customHeight="1">
      <c r="A2627" s="30" t="s">
        <v>6291</v>
      </c>
      <c r="B2627" s="31" t="s">
        <v>362</v>
      </c>
      <c r="C2627" s="31" t="s">
        <v>1149</v>
      </c>
      <c r="D2627" s="30" t="s">
        <v>3663</v>
      </c>
      <c r="E2627" s="32">
        <v>46113.0</v>
      </c>
      <c r="F2627" s="32">
        <v>46171.0</v>
      </c>
      <c r="G2627" s="33"/>
    </row>
    <row r="2628" ht="15.75" customHeight="1">
      <c r="A2628" s="26" t="s">
        <v>6292</v>
      </c>
      <c r="B2628" s="27" t="s">
        <v>362</v>
      </c>
      <c r="C2628" s="27" t="s">
        <v>1351</v>
      </c>
      <c r="D2628" s="26" t="s">
        <v>3663</v>
      </c>
      <c r="E2628" s="28">
        <v>46113.0</v>
      </c>
      <c r="F2628" s="28">
        <v>46171.0</v>
      </c>
      <c r="G2628" s="29"/>
    </row>
    <row r="2629" ht="15.75" customHeight="1">
      <c r="A2629" s="30" t="s">
        <v>6293</v>
      </c>
      <c r="B2629" s="31" t="s">
        <v>362</v>
      </c>
      <c r="C2629" s="31" t="s">
        <v>1349</v>
      </c>
      <c r="D2629" s="30" t="s">
        <v>3663</v>
      </c>
      <c r="E2629" s="32">
        <v>46113.0</v>
      </c>
      <c r="F2629" s="32">
        <v>46171.0</v>
      </c>
      <c r="G2629" s="33"/>
    </row>
    <row r="2630" ht="15.75" customHeight="1">
      <c r="A2630" s="26" t="s">
        <v>6294</v>
      </c>
      <c r="B2630" s="27" t="s">
        <v>362</v>
      </c>
      <c r="C2630" s="27" t="s">
        <v>968</v>
      </c>
      <c r="D2630" s="26" t="s">
        <v>3663</v>
      </c>
      <c r="E2630" s="28">
        <v>46113.0</v>
      </c>
      <c r="F2630" s="28">
        <v>46171.0</v>
      </c>
      <c r="G2630" s="29"/>
    </row>
    <row r="2631" ht="15.75" customHeight="1">
      <c r="A2631" s="30" t="s">
        <v>6295</v>
      </c>
      <c r="B2631" s="31" t="s">
        <v>362</v>
      </c>
      <c r="C2631" s="31" t="s">
        <v>923</v>
      </c>
      <c r="D2631" s="30" t="s">
        <v>3663</v>
      </c>
      <c r="E2631" s="32">
        <v>46113.0</v>
      </c>
      <c r="F2631" s="32">
        <v>46171.0</v>
      </c>
      <c r="G2631" s="33"/>
    </row>
    <row r="2632" ht="15.75" customHeight="1">
      <c r="A2632" s="26" t="s">
        <v>6296</v>
      </c>
      <c r="B2632" s="27" t="s">
        <v>362</v>
      </c>
      <c r="C2632" s="27" t="s">
        <v>961</v>
      </c>
      <c r="D2632" s="26" t="s">
        <v>3663</v>
      </c>
      <c r="E2632" s="28">
        <v>46113.0</v>
      </c>
      <c r="F2632" s="28">
        <v>46171.0</v>
      </c>
      <c r="G2632" s="29"/>
    </row>
    <row r="2633" ht="15.75" customHeight="1">
      <c r="A2633" s="30" t="s">
        <v>6297</v>
      </c>
      <c r="B2633" s="31" t="s">
        <v>363</v>
      </c>
      <c r="C2633" s="31" t="s">
        <v>1240</v>
      </c>
      <c r="D2633" s="30" t="s">
        <v>3663</v>
      </c>
      <c r="E2633" s="32">
        <v>46113.0</v>
      </c>
      <c r="F2633" s="32">
        <v>46171.0</v>
      </c>
      <c r="G2633" s="33"/>
    </row>
    <row r="2634" ht="15.75" customHeight="1">
      <c r="A2634" s="26" t="s">
        <v>6298</v>
      </c>
      <c r="B2634" s="27" t="s">
        <v>363</v>
      </c>
      <c r="C2634" s="27" t="s">
        <v>1242</v>
      </c>
      <c r="D2634" s="26" t="s">
        <v>3663</v>
      </c>
      <c r="E2634" s="28">
        <v>46113.0</v>
      </c>
      <c r="F2634" s="28">
        <v>46171.0</v>
      </c>
      <c r="G2634" s="29"/>
    </row>
    <row r="2635" ht="15.75" customHeight="1">
      <c r="A2635" s="30" t="s">
        <v>6299</v>
      </c>
      <c r="B2635" s="31" t="s">
        <v>363</v>
      </c>
      <c r="C2635" s="31" t="s">
        <v>1244</v>
      </c>
      <c r="D2635" s="30" t="s">
        <v>3663</v>
      </c>
      <c r="E2635" s="32">
        <v>46113.0</v>
      </c>
      <c r="F2635" s="32">
        <v>46171.0</v>
      </c>
      <c r="G2635" s="33"/>
    </row>
    <row r="2636" ht="15.75" customHeight="1">
      <c r="A2636" s="26" t="s">
        <v>6300</v>
      </c>
      <c r="B2636" s="27" t="s">
        <v>363</v>
      </c>
      <c r="C2636" s="27" t="s">
        <v>1246</v>
      </c>
      <c r="D2636" s="26" t="s">
        <v>3663</v>
      </c>
      <c r="E2636" s="28">
        <v>46113.0</v>
      </c>
      <c r="F2636" s="28">
        <v>46171.0</v>
      </c>
      <c r="G2636" s="29"/>
    </row>
    <row r="2637" ht="15.75" customHeight="1">
      <c r="A2637" s="30" t="s">
        <v>6301</v>
      </c>
      <c r="B2637" s="31" t="s">
        <v>363</v>
      </c>
      <c r="C2637" s="31" t="s">
        <v>3654</v>
      </c>
      <c r="D2637" s="30" t="s">
        <v>3663</v>
      </c>
      <c r="E2637" s="32">
        <v>46113.0</v>
      </c>
      <c r="F2637" s="32">
        <v>46171.0</v>
      </c>
      <c r="G2637" s="33"/>
    </row>
    <row r="2638" ht="15.75" customHeight="1">
      <c r="A2638" s="26" t="s">
        <v>6302</v>
      </c>
      <c r="B2638" s="27" t="s">
        <v>363</v>
      </c>
      <c r="C2638" s="27" t="s">
        <v>3655</v>
      </c>
      <c r="D2638" s="26" t="s">
        <v>3663</v>
      </c>
      <c r="E2638" s="28">
        <v>46113.0</v>
      </c>
      <c r="F2638" s="28">
        <v>46171.0</v>
      </c>
      <c r="G2638" s="29"/>
    </row>
    <row r="2639" ht="15.75" customHeight="1">
      <c r="A2639" s="30" t="s">
        <v>6303</v>
      </c>
      <c r="B2639" s="31" t="s">
        <v>363</v>
      </c>
      <c r="C2639" s="31" t="s">
        <v>934</v>
      </c>
      <c r="D2639" s="30" t="s">
        <v>3663</v>
      </c>
      <c r="E2639" s="32">
        <v>46113.0</v>
      </c>
      <c r="F2639" s="32">
        <v>46171.0</v>
      </c>
      <c r="G2639" s="33"/>
    </row>
    <row r="2640" ht="15.75" customHeight="1">
      <c r="A2640" s="26" t="s">
        <v>6304</v>
      </c>
      <c r="B2640" s="27" t="s">
        <v>363</v>
      </c>
      <c r="C2640" s="27" t="s">
        <v>1354</v>
      </c>
      <c r="D2640" s="26" t="s">
        <v>3663</v>
      </c>
      <c r="E2640" s="28">
        <v>46113.0</v>
      </c>
      <c r="F2640" s="28">
        <v>46171.0</v>
      </c>
      <c r="G2640" s="29"/>
    </row>
    <row r="2641" ht="15.75" customHeight="1">
      <c r="A2641" s="30" t="s">
        <v>6305</v>
      </c>
      <c r="B2641" s="31" t="s">
        <v>363</v>
      </c>
      <c r="C2641" s="31" t="s">
        <v>1172</v>
      </c>
      <c r="D2641" s="30" t="s">
        <v>3663</v>
      </c>
      <c r="E2641" s="32">
        <v>46113.0</v>
      </c>
      <c r="F2641" s="32">
        <v>46171.0</v>
      </c>
      <c r="G2641" s="33"/>
    </row>
    <row r="2642" ht="15.75" customHeight="1">
      <c r="A2642" s="26" t="s">
        <v>6306</v>
      </c>
      <c r="B2642" s="27" t="s">
        <v>363</v>
      </c>
      <c r="C2642" s="27" t="s">
        <v>3647</v>
      </c>
      <c r="D2642" s="26" t="s">
        <v>3663</v>
      </c>
      <c r="E2642" s="28">
        <v>46113.0</v>
      </c>
      <c r="F2642" s="28">
        <v>46171.0</v>
      </c>
      <c r="G2642" s="29"/>
    </row>
    <row r="2643" ht="15.75" customHeight="1">
      <c r="A2643" s="30" t="s">
        <v>6307</v>
      </c>
      <c r="B2643" s="31" t="s">
        <v>363</v>
      </c>
      <c r="C2643" s="31" t="s">
        <v>952</v>
      </c>
      <c r="D2643" s="30" t="s">
        <v>3663</v>
      </c>
      <c r="E2643" s="32">
        <v>46113.0</v>
      </c>
      <c r="F2643" s="32">
        <v>46171.0</v>
      </c>
      <c r="G2643" s="33"/>
    </row>
    <row r="2644" ht="15.75" customHeight="1">
      <c r="A2644" s="26" t="s">
        <v>6308</v>
      </c>
      <c r="B2644" s="27" t="s">
        <v>363</v>
      </c>
      <c r="C2644" s="27" t="s">
        <v>965</v>
      </c>
      <c r="D2644" s="26" t="s">
        <v>3663</v>
      </c>
      <c r="E2644" s="28">
        <v>46113.0</v>
      </c>
      <c r="F2644" s="28">
        <v>46171.0</v>
      </c>
      <c r="G2644" s="29"/>
    </row>
    <row r="2645" ht="15.75" customHeight="1">
      <c r="A2645" s="30" t="s">
        <v>6309</v>
      </c>
      <c r="B2645" s="31" t="s">
        <v>363</v>
      </c>
      <c r="C2645" s="31" t="s">
        <v>923</v>
      </c>
      <c r="D2645" s="30" t="s">
        <v>3663</v>
      </c>
      <c r="E2645" s="32">
        <v>46113.0</v>
      </c>
      <c r="F2645" s="32">
        <v>46171.0</v>
      </c>
      <c r="G2645" s="33"/>
    </row>
    <row r="2646" ht="15.75" customHeight="1">
      <c r="A2646" s="26" t="s">
        <v>6310</v>
      </c>
      <c r="B2646" s="27" t="s">
        <v>363</v>
      </c>
      <c r="C2646" s="27" t="s">
        <v>955</v>
      </c>
      <c r="D2646" s="26" t="s">
        <v>3663</v>
      </c>
      <c r="E2646" s="28">
        <v>46113.0</v>
      </c>
      <c r="F2646" s="28">
        <v>46171.0</v>
      </c>
      <c r="G2646" s="29"/>
    </row>
    <row r="2647" ht="15.75" customHeight="1">
      <c r="A2647" s="30" t="s">
        <v>6311</v>
      </c>
      <c r="B2647" s="31" t="s">
        <v>365</v>
      </c>
      <c r="C2647" s="31" t="s">
        <v>1240</v>
      </c>
      <c r="D2647" s="31" t="s">
        <v>3663</v>
      </c>
      <c r="E2647" s="32">
        <v>46113.0</v>
      </c>
      <c r="F2647" s="32">
        <v>46171.0</v>
      </c>
      <c r="G2647" s="33"/>
    </row>
    <row r="2648" ht="15.75" customHeight="1">
      <c r="A2648" s="26" t="s">
        <v>6312</v>
      </c>
      <c r="B2648" s="27" t="s">
        <v>365</v>
      </c>
      <c r="C2648" s="27" t="s">
        <v>1242</v>
      </c>
      <c r="D2648" s="27" t="s">
        <v>3663</v>
      </c>
      <c r="E2648" s="28">
        <v>46113.0</v>
      </c>
      <c r="F2648" s="28">
        <v>46171.0</v>
      </c>
      <c r="G2648" s="29"/>
    </row>
    <row r="2649" ht="15.75" customHeight="1">
      <c r="A2649" s="30" t="s">
        <v>6313</v>
      </c>
      <c r="B2649" s="31" t="s">
        <v>365</v>
      </c>
      <c r="C2649" s="31" t="s">
        <v>1244</v>
      </c>
      <c r="D2649" s="31" t="s">
        <v>3663</v>
      </c>
      <c r="E2649" s="32">
        <v>46113.0</v>
      </c>
      <c r="F2649" s="32">
        <v>46171.0</v>
      </c>
      <c r="G2649" s="33"/>
    </row>
    <row r="2650" ht="15.75" customHeight="1">
      <c r="A2650" s="26" t="s">
        <v>6314</v>
      </c>
      <c r="B2650" s="27" t="s">
        <v>365</v>
      </c>
      <c r="C2650" s="27" t="s">
        <v>1246</v>
      </c>
      <c r="D2650" s="27" t="s">
        <v>3663</v>
      </c>
      <c r="E2650" s="28">
        <v>46113.0</v>
      </c>
      <c r="F2650" s="28">
        <v>46171.0</v>
      </c>
      <c r="G2650" s="29"/>
    </row>
    <row r="2651" ht="15.75" customHeight="1">
      <c r="A2651" s="30" t="s">
        <v>6315</v>
      </c>
      <c r="B2651" s="31" t="s">
        <v>365</v>
      </c>
      <c r="C2651" s="31" t="s">
        <v>934</v>
      </c>
      <c r="D2651" s="31" t="s">
        <v>3663</v>
      </c>
      <c r="E2651" s="32">
        <v>46113.0</v>
      </c>
      <c r="F2651" s="32">
        <v>46171.0</v>
      </c>
      <c r="G2651" s="33"/>
    </row>
    <row r="2652" ht="15.75" customHeight="1">
      <c r="A2652" s="26" t="s">
        <v>6316</v>
      </c>
      <c r="B2652" s="27" t="s">
        <v>365</v>
      </c>
      <c r="C2652" s="27" t="s">
        <v>1354</v>
      </c>
      <c r="D2652" s="26" t="s">
        <v>3663</v>
      </c>
      <c r="E2652" s="28">
        <v>46113.0</v>
      </c>
      <c r="F2652" s="28">
        <v>46171.0</v>
      </c>
      <c r="G2652" s="29"/>
    </row>
    <row r="2653" ht="15.75" customHeight="1">
      <c r="A2653" s="30" t="s">
        <v>6317</v>
      </c>
      <c r="B2653" s="31" t="s">
        <v>365</v>
      </c>
      <c r="C2653" s="31" t="s">
        <v>1159</v>
      </c>
      <c r="D2653" s="30" t="s">
        <v>3663</v>
      </c>
      <c r="E2653" s="32">
        <v>46113.0</v>
      </c>
      <c r="F2653" s="32">
        <v>46171.0</v>
      </c>
      <c r="G2653" s="33"/>
    </row>
    <row r="2654" ht="15.75" customHeight="1">
      <c r="A2654" s="26" t="s">
        <v>6318</v>
      </c>
      <c r="B2654" s="27" t="s">
        <v>365</v>
      </c>
      <c r="C2654" s="27" t="s">
        <v>3656</v>
      </c>
      <c r="D2654" s="26" t="s">
        <v>3663</v>
      </c>
      <c r="E2654" s="28">
        <v>46113.0</v>
      </c>
      <c r="F2654" s="28">
        <v>46171.0</v>
      </c>
      <c r="G2654" s="29"/>
    </row>
    <row r="2655" ht="15.75" customHeight="1">
      <c r="A2655" s="30" t="s">
        <v>6319</v>
      </c>
      <c r="B2655" s="31" t="s">
        <v>365</v>
      </c>
      <c r="C2655" s="31" t="s">
        <v>3657</v>
      </c>
      <c r="D2655" s="30" t="s">
        <v>3663</v>
      </c>
      <c r="E2655" s="32">
        <v>46113.0</v>
      </c>
      <c r="F2655" s="32">
        <v>46171.0</v>
      </c>
      <c r="G2655" s="33"/>
    </row>
    <row r="2656" ht="15.75" customHeight="1">
      <c r="A2656" s="26" t="s">
        <v>6320</v>
      </c>
      <c r="B2656" s="27" t="s">
        <v>365</v>
      </c>
      <c r="C2656" s="27" t="s">
        <v>3647</v>
      </c>
      <c r="D2656" s="26" t="s">
        <v>3663</v>
      </c>
      <c r="E2656" s="28">
        <v>46113.0</v>
      </c>
      <c r="F2656" s="28">
        <v>46171.0</v>
      </c>
      <c r="G2656" s="29"/>
    </row>
    <row r="2657" ht="15.75" customHeight="1">
      <c r="A2657" s="30" t="s">
        <v>6321</v>
      </c>
      <c r="B2657" s="31" t="s">
        <v>365</v>
      </c>
      <c r="C2657" s="31" t="s">
        <v>952</v>
      </c>
      <c r="D2657" s="30" t="s">
        <v>3663</v>
      </c>
      <c r="E2657" s="32">
        <v>46113.0</v>
      </c>
      <c r="F2657" s="32">
        <v>46171.0</v>
      </c>
      <c r="G2657" s="33"/>
    </row>
    <row r="2658" ht="15.75" customHeight="1">
      <c r="A2658" s="26" t="s">
        <v>6322</v>
      </c>
      <c r="B2658" s="27" t="s">
        <v>365</v>
      </c>
      <c r="C2658" s="27" t="s">
        <v>1216</v>
      </c>
      <c r="D2658" s="26" t="s">
        <v>3663</v>
      </c>
      <c r="E2658" s="28">
        <v>46113.0</v>
      </c>
      <c r="F2658" s="28">
        <v>46171.0</v>
      </c>
      <c r="G2658" s="29"/>
    </row>
    <row r="2659" ht="15.75" customHeight="1">
      <c r="A2659" s="30" t="s">
        <v>6323</v>
      </c>
      <c r="B2659" s="31" t="s">
        <v>365</v>
      </c>
      <c r="C2659" s="31" t="s">
        <v>968</v>
      </c>
      <c r="D2659" s="30" t="s">
        <v>3663</v>
      </c>
      <c r="E2659" s="32">
        <v>46113.0</v>
      </c>
      <c r="F2659" s="32">
        <v>46171.0</v>
      </c>
      <c r="G2659" s="33"/>
    </row>
    <row r="2660" ht="15.75" customHeight="1">
      <c r="A2660" s="26" t="s">
        <v>6324</v>
      </c>
      <c r="B2660" s="27" t="s">
        <v>365</v>
      </c>
      <c r="C2660" s="27" t="s">
        <v>923</v>
      </c>
      <c r="D2660" s="27" t="s">
        <v>3663</v>
      </c>
      <c r="E2660" s="28">
        <v>46113.0</v>
      </c>
      <c r="F2660" s="28">
        <v>46171.0</v>
      </c>
      <c r="G2660" s="29"/>
    </row>
    <row r="2661" ht="15.75" customHeight="1">
      <c r="A2661" s="30" t="s">
        <v>6325</v>
      </c>
      <c r="B2661" s="31" t="s">
        <v>366</v>
      </c>
      <c r="C2661" s="31" t="s">
        <v>3654</v>
      </c>
      <c r="D2661" s="30" t="s">
        <v>3663</v>
      </c>
      <c r="E2661" s="32">
        <v>46113.0</v>
      </c>
      <c r="F2661" s="32">
        <v>46171.0</v>
      </c>
      <c r="G2661" s="33"/>
    </row>
    <row r="2662" ht="15.75" customHeight="1">
      <c r="A2662" s="26" t="s">
        <v>6326</v>
      </c>
      <c r="B2662" s="27" t="s">
        <v>366</v>
      </c>
      <c r="C2662" s="27" t="s">
        <v>3655</v>
      </c>
      <c r="D2662" s="26" t="s">
        <v>3663</v>
      </c>
      <c r="E2662" s="28">
        <v>46113.0</v>
      </c>
      <c r="F2662" s="28">
        <v>46171.0</v>
      </c>
      <c r="G2662" s="29"/>
    </row>
    <row r="2663" ht="15.75" customHeight="1">
      <c r="A2663" s="30" t="s">
        <v>6327</v>
      </c>
      <c r="B2663" s="31" t="s">
        <v>366</v>
      </c>
      <c r="C2663" s="31" t="s">
        <v>930</v>
      </c>
      <c r="D2663" s="30" t="s">
        <v>3663</v>
      </c>
      <c r="E2663" s="32">
        <v>46113.0</v>
      </c>
      <c r="F2663" s="32">
        <v>46171.0</v>
      </c>
      <c r="G2663" s="33"/>
    </row>
    <row r="2664" ht="15.75" customHeight="1">
      <c r="A2664" s="26" t="s">
        <v>6328</v>
      </c>
      <c r="B2664" s="27" t="s">
        <v>366</v>
      </c>
      <c r="C2664" s="27" t="s">
        <v>1354</v>
      </c>
      <c r="D2664" s="26" t="s">
        <v>3663</v>
      </c>
      <c r="E2664" s="28">
        <v>46113.0</v>
      </c>
      <c r="F2664" s="28">
        <v>46171.0</v>
      </c>
      <c r="G2664" s="29"/>
    </row>
    <row r="2665" ht="15.75" customHeight="1">
      <c r="A2665" s="30" t="s">
        <v>6329</v>
      </c>
      <c r="B2665" s="31" t="s">
        <v>366</v>
      </c>
      <c r="C2665" s="31" t="s">
        <v>3641</v>
      </c>
      <c r="D2665" s="30" t="s">
        <v>3663</v>
      </c>
      <c r="E2665" s="32">
        <v>46113.0</v>
      </c>
      <c r="F2665" s="32">
        <v>46171.0</v>
      </c>
      <c r="G2665" s="33"/>
    </row>
    <row r="2666" ht="15.75" customHeight="1">
      <c r="A2666" s="26" t="s">
        <v>6330</v>
      </c>
      <c r="B2666" s="27" t="s">
        <v>366</v>
      </c>
      <c r="C2666" s="27" t="s">
        <v>1304</v>
      </c>
      <c r="D2666" s="26" t="s">
        <v>3663</v>
      </c>
      <c r="E2666" s="28">
        <v>46113.0</v>
      </c>
      <c r="F2666" s="28">
        <v>46171.0</v>
      </c>
      <c r="G2666" s="29"/>
    </row>
    <row r="2667" ht="15.75" customHeight="1">
      <c r="A2667" s="30" t="s">
        <v>6331</v>
      </c>
      <c r="B2667" s="31" t="s">
        <v>366</v>
      </c>
      <c r="C2667" s="31" t="s">
        <v>3642</v>
      </c>
      <c r="D2667" s="30" t="s">
        <v>3663</v>
      </c>
      <c r="E2667" s="32">
        <v>46113.0</v>
      </c>
      <c r="F2667" s="32">
        <v>46171.0</v>
      </c>
      <c r="G2667" s="33"/>
    </row>
    <row r="2668" ht="15.75" customHeight="1">
      <c r="A2668" s="26" t="s">
        <v>6332</v>
      </c>
      <c r="B2668" s="27" t="s">
        <v>366</v>
      </c>
      <c r="C2668" s="27" t="s">
        <v>1308</v>
      </c>
      <c r="D2668" s="26" t="s">
        <v>3663</v>
      </c>
      <c r="E2668" s="28">
        <v>46113.0</v>
      </c>
      <c r="F2668" s="28">
        <v>46171.0</v>
      </c>
      <c r="G2668" s="29"/>
    </row>
    <row r="2669" ht="15.75" customHeight="1">
      <c r="A2669" s="30" t="s">
        <v>6333</v>
      </c>
      <c r="B2669" s="31" t="s">
        <v>366</v>
      </c>
      <c r="C2669" s="31" t="s">
        <v>1172</v>
      </c>
      <c r="D2669" s="30" t="s">
        <v>3663</v>
      </c>
      <c r="E2669" s="32">
        <v>46113.0</v>
      </c>
      <c r="F2669" s="32">
        <v>46171.0</v>
      </c>
      <c r="G2669" s="33"/>
    </row>
    <row r="2670" ht="15.75" customHeight="1">
      <c r="A2670" s="26" t="s">
        <v>6334</v>
      </c>
      <c r="B2670" s="27" t="s">
        <v>366</v>
      </c>
      <c r="C2670" s="27" t="s">
        <v>1351</v>
      </c>
      <c r="D2670" s="26" t="s">
        <v>3663</v>
      </c>
      <c r="E2670" s="28">
        <v>46113.0</v>
      </c>
      <c r="F2670" s="28">
        <v>46171.0</v>
      </c>
      <c r="G2670" s="29"/>
    </row>
    <row r="2671" ht="15.75" customHeight="1">
      <c r="A2671" s="30" t="s">
        <v>6335</v>
      </c>
      <c r="B2671" s="31" t="s">
        <v>366</v>
      </c>
      <c r="C2671" s="31" t="s">
        <v>1349</v>
      </c>
      <c r="D2671" s="30" t="s">
        <v>3663</v>
      </c>
      <c r="E2671" s="32">
        <v>46113.0</v>
      </c>
      <c r="F2671" s="32">
        <v>46171.0</v>
      </c>
      <c r="G2671" s="33"/>
    </row>
    <row r="2672" ht="15.75" customHeight="1">
      <c r="A2672" s="26" t="s">
        <v>6336</v>
      </c>
      <c r="B2672" s="27" t="s">
        <v>366</v>
      </c>
      <c r="C2672" s="27" t="s">
        <v>968</v>
      </c>
      <c r="D2672" s="26" t="s">
        <v>3663</v>
      </c>
      <c r="E2672" s="28">
        <v>46113.0</v>
      </c>
      <c r="F2672" s="28">
        <v>46171.0</v>
      </c>
      <c r="G2672" s="29"/>
    </row>
    <row r="2673" ht="15.75" customHeight="1">
      <c r="A2673" s="30" t="s">
        <v>6337</v>
      </c>
      <c r="B2673" s="31" t="s">
        <v>366</v>
      </c>
      <c r="C2673" s="31" t="s">
        <v>923</v>
      </c>
      <c r="D2673" s="30" t="s">
        <v>3663</v>
      </c>
      <c r="E2673" s="32">
        <v>46113.0</v>
      </c>
      <c r="F2673" s="32">
        <v>46171.0</v>
      </c>
      <c r="G2673" s="33"/>
    </row>
    <row r="2674" ht="15.75" customHeight="1">
      <c r="A2674" s="26" t="s">
        <v>6338</v>
      </c>
      <c r="B2674" s="27" t="s">
        <v>366</v>
      </c>
      <c r="C2674" s="27" t="s">
        <v>955</v>
      </c>
      <c r="D2674" s="26" t="s">
        <v>3663</v>
      </c>
      <c r="E2674" s="28">
        <v>46113.0</v>
      </c>
      <c r="F2674" s="28">
        <v>46171.0</v>
      </c>
      <c r="G2674" s="29"/>
    </row>
    <row r="2675" ht="15.75" customHeight="1">
      <c r="A2675" s="30" t="s">
        <v>6339</v>
      </c>
      <c r="B2675" s="31" t="s">
        <v>367</v>
      </c>
      <c r="C2675" s="31" t="s">
        <v>932</v>
      </c>
      <c r="D2675" s="30" t="s">
        <v>3663</v>
      </c>
      <c r="E2675" s="32">
        <v>46113.0</v>
      </c>
      <c r="F2675" s="32">
        <v>46171.0</v>
      </c>
      <c r="G2675" s="33"/>
    </row>
    <row r="2676" ht="15.75" customHeight="1">
      <c r="A2676" s="26" t="s">
        <v>6340</v>
      </c>
      <c r="B2676" s="27" t="s">
        <v>367</v>
      </c>
      <c r="C2676" s="27" t="s">
        <v>1168</v>
      </c>
      <c r="D2676" s="26" t="s">
        <v>3663</v>
      </c>
      <c r="E2676" s="28">
        <v>46113.0</v>
      </c>
      <c r="F2676" s="28">
        <v>46171.0</v>
      </c>
      <c r="G2676" s="29"/>
    </row>
    <row r="2677" ht="15.75" customHeight="1">
      <c r="A2677" s="30" t="s">
        <v>6341</v>
      </c>
      <c r="B2677" s="31" t="s">
        <v>367</v>
      </c>
      <c r="C2677" s="31" t="s">
        <v>1170</v>
      </c>
      <c r="D2677" s="30" t="s">
        <v>3663</v>
      </c>
      <c r="E2677" s="32">
        <v>46113.0</v>
      </c>
      <c r="F2677" s="32">
        <v>46171.0</v>
      </c>
      <c r="G2677" s="33"/>
    </row>
    <row r="2678" ht="15.75" customHeight="1">
      <c r="A2678" s="26" t="s">
        <v>6342</v>
      </c>
      <c r="B2678" s="27" t="s">
        <v>367</v>
      </c>
      <c r="C2678" s="27" t="s">
        <v>1288</v>
      </c>
      <c r="D2678" s="26" t="s">
        <v>3663</v>
      </c>
      <c r="E2678" s="28">
        <v>46113.0</v>
      </c>
      <c r="F2678" s="28">
        <v>46171.0</v>
      </c>
      <c r="G2678" s="29"/>
    </row>
    <row r="2679" ht="15.75" customHeight="1">
      <c r="A2679" s="30" t="s">
        <v>6343</v>
      </c>
      <c r="B2679" s="31" t="s">
        <v>367</v>
      </c>
      <c r="C2679" s="31" t="s">
        <v>1291</v>
      </c>
      <c r="D2679" s="30" t="s">
        <v>3663</v>
      </c>
      <c r="E2679" s="32">
        <v>46113.0</v>
      </c>
      <c r="F2679" s="32">
        <v>46171.0</v>
      </c>
      <c r="G2679" s="33"/>
    </row>
    <row r="2680" ht="15.75" customHeight="1">
      <c r="A2680" s="26" t="s">
        <v>6344</v>
      </c>
      <c r="B2680" s="27" t="s">
        <v>367</v>
      </c>
      <c r="C2680" s="27" t="s">
        <v>1354</v>
      </c>
      <c r="D2680" s="26" t="s">
        <v>3663</v>
      </c>
      <c r="E2680" s="28">
        <v>46113.0</v>
      </c>
      <c r="F2680" s="28">
        <v>46171.0</v>
      </c>
      <c r="G2680" s="29"/>
    </row>
    <row r="2681" ht="15.75" customHeight="1">
      <c r="A2681" s="30" t="s">
        <v>6345</v>
      </c>
      <c r="B2681" s="31" t="s">
        <v>367</v>
      </c>
      <c r="C2681" s="31" t="s">
        <v>1159</v>
      </c>
      <c r="D2681" s="30" t="s">
        <v>3663</v>
      </c>
      <c r="E2681" s="32">
        <v>46113.0</v>
      </c>
      <c r="F2681" s="32">
        <v>46171.0</v>
      </c>
      <c r="G2681" s="33"/>
    </row>
    <row r="2682" ht="15.75" customHeight="1">
      <c r="A2682" s="26" t="s">
        <v>6346</v>
      </c>
      <c r="B2682" s="27" t="s">
        <v>367</v>
      </c>
      <c r="C2682" s="27" t="s">
        <v>3656</v>
      </c>
      <c r="D2682" s="26" t="s">
        <v>3663</v>
      </c>
      <c r="E2682" s="28">
        <v>46113.0</v>
      </c>
      <c r="F2682" s="28">
        <v>46171.0</v>
      </c>
      <c r="G2682" s="29"/>
    </row>
    <row r="2683" ht="15.75" customHeight="1">
      <c r="A2683" s="30" t="s">
        <v>6347</v>
      </c>
      <c r="B2683" s="31" t="s">
        <v>367</v>
      </c>
      <c r="C2683" s="31" t="s">
        <v>3657</v>
      </c>
      <c r="D2683" s="30" t="s">
        <v>3663</v>
      </c>
      <c r="E2683" s="32">
        <v>46113.0</v>
      </c>
      <c r="F2683" s="32">
        <v>46171.0</v>
      </c>
      <c r="G2683" s="33"/>
    </row>
    <row r="2684" ht="15.75" customHeight="1">
      <c r="A2684" s="26" t="s">
        <v>6348</v>
      </c>
      <c r="B2684" s="27" t="s">
        <v>367</v>
      </c>
      <c r="C2684" s="27" t="s">
        <v>1216</v>
      </c>
      <c r="D2684" s="26" t="s">
        <v>3663</v>
      </c>
      <c r="E2684" s="28">
        <v>46113.0</v>
      </c>
      <c r="F2684" s="28">
        <v>46171.0</v>
      </c>
      <c r="G2684" s="29"/>
    </row>
    <row r="2685" ht="15.75" customHeight="1">
      <c r="A2685" s="30" t="s">
        <v>6349</v>
      </c>
      <c r="B2685" s="31" t="s">
        <v>367</v>
      </c>
      <c r="C2685" s="31" t="s">
        <v>1351</v>
      </c>
      <c r="D2685" s="30" t="s">
        <v>3663</v>
      </c>
      <c r="E2685" s="32">
        <v>46113.0</v>
      </c>
      <c r="F2685" s="32">
        <v>46171.0</v>
      </c>
      <c r="G2685" s="33"/>
    </row>
    <row r="2686" ht="15.75" customHeight="1">
      <c r="A2686" s="26" t="s">
        <v>6350</v>
      </c>
      <c r="B2686" s="27" t="s">
        <v>367</v>
      </c>
      <c r="C2686" s="27" t="s">
        <v>1349</v>
      </c>
      <c r="D2686" s="26" t="s">
        <v>3663</v>
      </c>
      <c r="E2686" s="28">
        <v>46113.0</v>
      </c>
      <c r="F2686" s="28">
        <v>46171.0</v>
      </c>
      <c r="G2686" s="29"/>
    </row>
    <row r="2687" ht="15.75" customHeight="1">
      <c r="A2687" s="30" t="s">
        <v>6351</v>
      </c>
      <c r="B2687" s="31" t="s">
        <v>367</v>
      </c>
      <c r="C2687" s="31" t="s">
        <v>965</v>
      </c>
      <c r="D2687" s="30" t="s">
        <v>3663</v>
      </c>
      <c r="E2687" s="32">
        <v>46113.0</v>
      </c>
      <c r="F2687" s="32">
        <v>46171.0</v>
      </c>
      <c r="G2687" s="33"/>
    </row>
    <row r="2688" ht="15.75" customHeight="1">
      <c r="A2688" s="26" t="s">
        <v>6352</v>
      </c>
      <c r="B2688" s="27" t="s">
        <v>367</v>
      </c>
      <c r="C2688" s="27" t="s">
        <v>923</v>
      </c>
      <c r="D2688" s="26" t="s">
        <v>3663</v>
      </c>
      <c r="E2688" s="28">
        <v>46113.0</v>
      </c>
      <c r="F2688" s="28">
        <v>46171.0</v>
      </c>
      <c r="G2688" s="29"/>
    </row>
    <row r="2689" ht="15.75" customHeight="1">
      <c r="A2689" s="30" t="s">
        <v>6353</v>
      </c>
      <c r="B2689" s="31" t="s">
        <v>368</v>
      </c>
      <c r="C2689" s="31" t="s">
        <v>1240</v>
      </c>
      <c r="D2689" s="30" t="s">
        <v>3663</v>
      </c>
      <c r="E2689" s="32">
        <v>46113.0</v>
      </c>
      <c r="F2689" s="32">
        <v>46171.0</v>
      </c>
      <c r="G2689" s="33"/>
    </row>
    <row r="2690" ht="15.75" customHeight="1">
      <c r="A2690" s="26" t="s">
        <v>6354</v>
      </c>
      <c r="B2690" s="27" t="s">
        <v>368</v>
      </c>
      <c r="C2690" s="27" t="s">
        <v>1242</v>
      </c>
      <c r="D2690" s="26" t="s">
        <v>3663</v>
      </c>
      <c r="E2690" s="28">
        <v>46113.0</v>
      </c>
      <c r="F2690" s="28">
        <v>46171.0</v>
      </c>
      <c r="G2690" s="29"/>
    </row>
    <row r="2691" ht="15.75" customHeight="1">
      <c r="A2691" s="30" t="s">
        <v>6355</v>
      </c>
      <c r="B2691" s="31" t="s">
        <v>368</v>
      </c>
      <c r="C2691" s="31" t="s">
        <v>1244</v>
      </c>
      <c r="D2691" s="30" t="s">
        <v>3663</v>
      </c>
      <c r="E2691" s="32">
        <v>46113.0</v>
      </c>
      <c r="F2691" s="32">
        <v>46171.0</v>
      </c>
      <c r="G2691" s="33"/>
    </row>
    <row r="2692" ht="15.75" customHeight="1">
      <c r="A2692" s="26" t="s">
        <v>6356</v>
      </c>
      <c r="B2692" s="27" t="s">
        <v>368</v>
      </c>
      <c r="C2692" s="27" t="s">
        <v>1246</v>
      </c>
      <c r="D2692" s="26" t="s">
        <v>3663</v>
      </c>
      <c r="E2692" s="28">
        <v>46113.0</v>
      </c>
      <c r="F2692" s="28">
        <v>46171.0</v>
      </c>
      <c r="G2692" s="29"/>
    </row>
    <row r="2693" ht="15.75" customHeight="1">
      <c r="A2693" s="30" t="s">
        <v>6357</v>
      </c>
      <c r="B2693" s="31" t="s">
        <v>368</v>
      </c>
      <c r="C2693" s="31" t="s">
        <v>928</v>
      </c>
      <c r="D2693" s="30" t="s">
        <v>3663</v>
      </c>
      <c r="E2693" s="32">
        <v>46113.0</v>
      </c>
      <c r="F2693" s="32">
        <v>46171.0</v>
      </c>
      <c r="G2693" s="33"/>
    </row>
    <row r="2694" ht="15.75" customHeight="1">
      <c r="A2694" s="26" t="s">
        <v>6358</v>
      </c>
      <c r="B2694" s="27" t="s">
        <v>368</v>
      </c>
      <c r="C2694" s="27" t="s">
        <v>1354</v>
      </c>
      <c r="D2694" s="26" t="s">
        <v>3663</v>
      </c>
      <c r="E2694" s="28">
        <v>46113.0</v>
      </c>
      <c r="F2694" s="28">
        <v>46171.0</v>
      </c>
      <c r="G2694" s="29"/>
    </row>
    <row r="2695" ht="15.75" customHeight="1">
      <c r="A2695" s="30" t="s">
        <v>6359</v>
      </c>
      <c r="B2695" s="31" t="s">
        <v>368</v>
      </c>
      <c r="C2695" s="31" t="s">
        <v>1190</v>
      </c>
      <c r="D2695" s="30" t="s">
        <v>3663</v>
      </c>
      <c r="E2695" s="32">
        <v>46113.0</v>
      </c>
      <c r="F2695" s="32">
        <v>46171.0</v>
      </c>
      <c r="G2695" s="33"/>
    </row>
    <row r="2696" ht="15.75" customHeight="1">
      <c r="A2696" s="26" t="s">
        <v>6360</v>
      </c>
      <c r="B2696" s="27" t="s">
        <v>368</v>
      </c>
      <c r="C2696" s="27" t="s">
        <v>3656</v>
      </c>
      <c r="D2696" s="26" t="s">
        <v>3663</v>
      </c>
      <c r="E2696" s="28">
        <v>46113.0</v>
      </c>
      <c r="F2696" s="28">
        <v>46171.0</v>
      </c>
      <c r="G2696" s="29"/>
    </row>
    <row r="2697" ht="15.75" customHeight="1">
      <c r="A2697" s="30" t="s">
        <v>6361</v>
      </c>
      <c r="B2697" s="31" t="s">
        <v>368</v>
      </c>
      <c r="C2697" s="31" t="s">
        <v>3657</v>
      </c>
      <c r="D2697" s="30" t="s">
        <v>3663</v>
      </c>
      <c r="E2697" s="32">
        <v>46113.0</v>
      </c>
      <c r="F2697" s="32">
        <v>46171.0</v>
      </c>
      <c r="G2697" s="33"/>
    </row>
    <row r="2698" ht="15.75" customHeight="1">
      <c r="A2698" s="26" t="s">
        <v>6362</v>
      </c>
      <c r="B2698" s="27" t="s">
        <v>368</v>
      </c>
      <c r="C2698" s="27" t="s">
        <v>1351</v>
      </c>
      <c r="D2698" s="26" t="s">
        <v>3663</v>
      </c>
      <c r="E2698" s="28">
        <v>46113.0</v>
      </c>
      <c r="F2698" s="28">
        <v>46171.0</v>
      </c>
      <c r="G2698" s="29"/>
    </row>
    <row r="2699" ht="15.75" customHeight="1">
      <c r="A2699" s="30" t="s">
        <v>6363</v>
      </c>
      <c r="B2699" s="31" t="s">
        <v>368</v>
      </c>
      <c r="C2699" s="31" t="s">
        <v>1349</v>
      </c>
      <c r="D2699" s="30" t="s">
        <v>3663</v>
      </c>
      <c r="E2699" s="32">
        <v>46113.0</v>
      </c>
      <c r="F2699" s="32">
        <v>46171.0</v>
      </c>
      <c r="G2699" s="33"/>
    </row>
    <row r="2700" ht="15.75" customHeight="1">
      <c r="A2700" s="26" t="s">
        <v>6364</v>
      </c>
      <c r="B2700" s="27" t="s">
        <v>368</v>
      </c>
      <c r="C2700" s="27" t="s">
        <v>968</v>
      </c>
      <c r="D2700" s="26" t="s">
        <v>3663</v>
      </c>
      <c r="E2700" s="28">
        <v>46113.0</v>
      </c>
      <c r="F2700" s="28">
        <v>46171.0</v>
      </c>
      <c r="G2700" s="29"/>
    </row>
    <row r="2701" ht="15.75" customHeight="1">
      <c r="A2701" s="30" t="s">
        <v>6365</v>
      </c>
      <c r="B2701" s="31" t="s">
        <v>368</v>
      </c>
      <c r="C2701" s="31" t="s">
        <v>923</v>
      </c>
      <c r="D2701" s="30" t="s">
        <v>3663</v>
      </c>
      <c r="E2701" s="32">
        <v>46113.0</v>
      </c>
      <c r="F2701" s="32">
        <v>46171.0</v>
      </c>
      <c r="G2701" s="33"/>
    </row>
    <row r="2702" ht="15.75" customHeight="1">
      <c r="A2702" s="26" t="s">
        <v>6366</v>
      </c>
      <c r="B2702" s="27" t="s">
        <v>368</v>
      </c>
      <c r="C2702" s="27" t="s">
        <v>961</v>
      </c>
      <c r="D2702" s="26" t="s">
        <v>3663</v>
      </c>
      <c r="E2702" s="28">
        <v>46113.0</v>
      </c>
      <c r="F2702" s="28">
        <v>46171.0</v>
      </c>
      <c r="G2702" s="29"/>
    </row>
    <row r="2703" ht="15.75" customHeight="1">
      <c r="A2703" s="30" t="s">
        <v>6367</v>
      </c>
      <c r="B2703" s="31" t="s">
        <v>369</v>
      </c>
      <c r="C2703" s="31" t="s">
        <v>3654</v>
      </c>
      <c r="D2703" s="30" t="s">
        <v>3663</v>
      </c>
      <c r="E2703" s="32">
        <v>46113.0</v>
      </c>
      <c r="F2703" s="32">
        <v>46171.0</v>
      </c>
      <c r="G2703" s="33"/>
    </row>
    <row r="2704" ht="15.75" customHeight="1">
      <c r="A2704" s="26" t="s">
        <v>6368</v>
      </c>
      <c r="B2704" s="27" t="s">
        <v>369</v>
      </c>
      <c r="C2704" s="27" t="s">
        <v>3655</v>
      </c>
      <c r="D2704" s="26" t="s">
        <v>3663</v>
      </c>
      <c r="E2704" s="28">
        <v>46113.0</v>
      </c>
      <c r="F2704" s="28">
        <v>46171.0</v>
      </c>
      <c r="G2704" s="29"/>
    </row>
    <row r="2705" ht="15.75" customHeight="1">
      <c r="A2705" s="30" t="s">
        <v>6369</v>
      </c>
      <c r="B2705" s="31" t="s">
        <v>369</v>
      </c>
      <c r="C2705" s="31" t="s">
        <v>928</v>
      </c>
      <c r="D2705" s="30" t="s">
        <v>3663</v>
      </c>
      <c r="E2705" s="32">
        <v>46113.0</v>
      </c>
      <c r="F2705" s="32">
        <v>46171.0</v>
      </c>
      <c r="G2705" s="33"/>
    </row>
    <row r="2706" ht="15.75" customHeight="1">
      <c r="A2706" s="26" t="s">
        <v>6370</v>
      </c>
      <c r="B2706" s="27" t="s">
        <v>369</v>
      </c>
      <c r="C2706" s="27" t="s">
        <v>1354</v>
      </c>
      <c r="D2706" s="26" t="s">
        <v>3663</v>
      </c>
      <c r="E2706" s="28">
        <v>46113.0</v>
      </c>
      <c r="F2706" s="28">
        <v>46171.0</v>
      </c>
      <c r="G2706" s="29"/>
    </row>
    <row r="2707" ht="15.75" customHeight="1">
      <c r="A2707" s="30" t="s">
        <v>6371</v>
      </c>
      <c r="B2707" s="31" t="s">
        <v>369</v>
      </c>
      <c r="C2707" s="31" t="s">
        <v>1222</v>
      </c>
      <c r="D2707" s="30" t="s">
        <v>3663</v>
      </c>
      <c r="E2707" s="32">
        <v>46113.0</v>
      </c>
      <c r="F2707" s="32">
        <v>46171.0</v>
      </c>
      <c r="G2707" s="33"/>
    </row>
    <row r="2708" ht="15.75" customHeight="1">
      <c r="A2708" s="26" t="s">
        <v>6372</v>
      </c>
      <c r="B2708" s="27" t="s">
        <v>369</v>
      </c>
      <c r="C2708" s="27" t="s">
        <v>1224</v>
      </c>
      <c r="D2708" s="26" t="s">
        <v>3663</v>
      </c>
      <c r="E2708" s="28">
        <v>46113.0</v>
      </c>
      <c r="F2708" s="28">
        <v>46171.0</v>
      </c>
      <c r="G2708" s="29"/>
    </row>
    <row r="2709" ht="15.75" customHeight="1">
      <c r="A2709" s="30" t="s">
        <v>6373</v>
      </c>
      <c r="B2709" s="31" t="s">
        <v>369</v>
      </c>
      <c r="C2709" s="31" t="s">
        <v>1226</v>
      </c>
      <c r="D2709" s="30" t="s">
        <v>3663</v>
      </c>
      <c r="E2709" s="32">
        <v>46113.0</v>
      </c>
      <c r="F2709" s="32">
        <v>46171.0</v>
      </c>
      <c r="G2709" s="33"/>
    </row>
    <row r="2710" ht="15.75" customHeight="1">
      <c r="A2710" s="26" t="s">
        <v>6374</v>
      </c>
      <c r="B2710" s="27" t="s">
        <v>369</v>
      </c>
      <c r="C2710" s="27" t="s">
        <v>1228</v>
      </c>
      <c r="D2710" s="26" t="s">
        <v>3663</v>
      </c>
      <c r="E2710" s="28">
        <v>46113.0</v>
      </c>
      <c r="F2710" s="28">
        <v>46171.0</v>
      </c>
      <c r="G2710" s="29"/>
    </row>
    <row r="2711" ht="15.75" customHeight="1">
      <c r="A2711" s="30" t="s">
        <v>6375</v>
      </c>
      <c r="B2711" s="31" t="s">
        <v>369</v>
      </c>
      <c r="C2711" s="31" t="s">
        <v>1159</v>
      </c>
      <c r="D2711" s="30" t="s">
        <v>3663</v>
      </c>
      <c r="E2711" s="32">
        <v>46113.0</v>
      </c>
      <c r="F2711" s="32">
        <v>46171.0</v>
      </c>
      <c r="G2711" s="33"/>
    </row>
    <row r="2712" ht="15.75" customHeight="1">
      <c r="A2712" s="26" t="s">
        <v>6376</v>
      </c>
      <c r="B2712" s="27" t="s">
        <v>369</v>
      </c>
      <c r="C2712" s="27" t="s">
        <v>1351</v>
      </c>
      <c r="D2712" s="26" t="s">
        <v>3663</v>
      </c>
      <c r="E2712" s="28">
        <v>46113.0</v>
      </c>
      <c r="F2712" s="28">
        <v>46171.0</v>
      </c>
      <c r="G2712" s="29"/>
    </row>
    <row r="2713" ht="15.75" customHeight="1">
      <c r="A2713" s="30" t="s">
        <v>6377</v>
      </c>
      <c r="B2713" s="31" t="s">
        <v>369</v>
      </c>
      <c r="C2713" s="31" t="s">
        <v>1349</v>
      </c>
      <c r="D2713" s="30" t="s">
        <v>3663</v>
      </c>
      <c r="E2713" s="32">
        <v>46113.0</v>
      </c>
      <c r="F2713" s="32">
        <v>46171.0</v>
      </c>
      <c r="G2713" s="33"/>
    </row>
    <row r="2714" ht="15.75" customHeight="1">
      <c r="A2714" s="26" t="s">
        <v>6378</v>
      </c>
      <c r="B2714" s="27" t="s">
        <v>369</v>
      </c>
      <c r="C2714" s="27" t="s">
        <v>965</v>
      </c>
      <c r="D2714" s="26" t="s">
        <v>3663</v>
      </c>
      <c r="E2714" s="28">
        <v>46113.0</v>
      </c>
      <c r="F2714" s="28">
        <v>46171.0</v>
      </c>
      <c r="G2714" s="29"/>
    </row>
    <row r="2715" ht="15.75" customHeight="1">
      <c r="A2715" s="30" t="s">
        <v>6379</v>
      </c>
      <c r="B2715" s="31" t="s">
        <v>369</v>
      </c>
      <c r="C2715" s="31" t="s">
        <v>923</v>
      </c>
      <c r="D2715" s="30" t="s">
        <v>3663</v>
      </c>
      <c r="E2715" s="32">
        <v>46113.0</v>
      </c>
      <c r="F2715" s="32">
        <v>46171.0</v>
      </c>
      <c r="G2715" s="33"/>
    </row>
    <row r="2716" ht="15.75" customHeight="1">
      <c r="A2716" s="26" t="s">
        <v>6380</v>
      </c>
      <c r="B2716" s="27" t="s">
        <v>369</v>
      </c>
      <c r="C2716" s="27" t="s">
        <v>955</v>
      </c>
      <c r="D2716" s="26" t="s">
        <v>3663</v>
      </c>
      <c r="E2716" s="28">
        <v>46113.0</v>
      </c>
      <c r="F2716" s="28">
        <v>46171.0</v>
      </c>
      <c r="G2716" s="29"/>
    </row>
    <row r="2717" ht="15.75" customHeight="1">
      <c r="A2717" s="30" t="s">
        <v>6381</v>
      </c>
      <c r="B2717" s="31" t="s">
        <v>370</v>
      </c>
      <c r="C2717" s="31" t="s">
        <v>926</v>
      </c>
      <c r="D2717" s="30" t="s">
        <v>3663</v>
      </c>
      <c r="E2717" s="32">
        <v>46113.0</v>
      </c>
      <c r="F2717" s="32">
        <v>46171.0</v>
      </c>
      <c r="G2717" s="33"/>
    </row>
    <row r="2718" ht="15.75" customHeight="1">
      <c r="A2718" s="26" t="s">
        <v>6382</v>
      </c>
      <c r="B2718" s="27" t="s">
        <v>370</v>
      </c>
      <c r="C2718" s="27" t="s">
        <v>1354</v>
      </c>
      <c r="D2718" s="26" t="s">
        <v>3663</v>
      </c>
      <c r="E2718" s="28">
        <v>46113.0</v>
      </c>
      <c r="F2718" s="28">
        <v>46171.0</v>
      </c>
      <c r="G2718" s="29"/>
    </row>
    <row r="2719" ht="15.75" customHeight="1">
      <c r="A2719" s="30" t="s">
        <v>6383</v>
      </c>
      <c r="B2719" s="31" t="s">
        <v>370</v>
      </c>
      <c r="C2719" s="31" t="s">
        <v>3656</v>
      </c>
      <c r="D2719" s="30" t="s">
        <v>3663</v>
      </c>
      <c r="E2719" s="32">
        <v>46113.0</v>
      </c>
      <c r="F2719" s="32">
        <v>46171.0</v>
      </c>
      <c r="G2719" s="33"/>
    </row>
    <row r="2720" ht="15.75" customHeight="1">
      <c r="A2720" s="26" t="s">
        <v>6384</v>
      </c>
      <c r="B2720" s="27" t="s">
        <v>370</v>
      </c>
      <c r="C2720" s="27" t="s">
        <v>3657</v>
      </c>
      <c r="D2720" s="26" t="s">
        <v>3663</v>
      </c>
      <c r="E2720" s="28">
        <v>46113.0</v>
      </c>
      <c r="F2720" s="28">
        <v>46171.0</v>
      </c>
      <c r="G2720" s="29"/>
    </row>
    <row r="2721" ht="15.75" customHeight="1">
      <c r="A2721" s="30" t="s">
        <v>6385</v>
      </c>
      <c r="B2721" s="31" t="s">
        <v>370</v>
      </c>
      <c r="C2721" s="31" t="s">
        <v>1277</v>
      </c>
      <c r="D2721" s="30" t="s">
        <v>3663</v>
      </c>
      <c r="E2721" s="32">
        <v>46113.0</v>
      </c>
      <c r="F2721" s="32">
        <v>46171.0</v>
      </c>
      <c r="G2721" s="33"/>
    </row>
    <row r="2722" ht="15.75" customHeight="1">
      <c r="A2722" s="26" t="s">
        <v>6386</v>
      </c>
      <c r="B2722" s="27" t="s">
        <v>370</v>
      </c>
      <c r="C2722" s="27" t="s">
        <v>1279</v>
      </c>
      <c r="D2722" s="26" t="s">
        <v>3663</v>
      </c>
      <c r="E2722" s="28">
        <v>46113.0</v>
      </c>
      <c r="F2722" s="28">
        <v>46171.0</v>
      </c>
      <c r="G2722" s="29"/>
    </row>
    <row r="2723" ht="15.75" customHeight="1">
      <c r="A2723" s="30" t="s">
        <v>6387</v>
      </c>
      <c r="B2723" s="31" t="s">
        <v>370</v>
      </c>
      <c r="C2723" s="31" t="s">
        <v>1283</v>
      </c>
      <c r="D2723" s="30" t="s">
        <v>3663</v>
      </c>
      <c r="E2723" s="32">
        <v>46113.0</v>
      </c>
      <c r="F2723" s="32">
        <v>46171.0</v>
      </c>
      <c r="G2723" s="33"/>
    </row>
    <row r="2724" ht="15.75" customHeight="1">
      <c r="A2724" s="26" t="s">
        <v>6388</v>
      </c>
      <c r="B2724" s="27" t="s">
        <v>370</v>
      </c>
      <c r="C2724" s="27" t="s">
        <v>1281</v>
      </c>
      <c r="D2724" s="26" t="s">
        <v>3663</v>
      </c>
      <c r="E2724" s="28">
        <v>46113.0</v>
      </c>
      <c r="F2724" s="28">
        <v>46171.0</v>
      </c>
      <c r="G2724" s="29"/>
    </row>
    <row r="2725" ht="15.75" customHeight="1">
      <c r="A2725" s="30" t="s">
        <v>6389</v>
      </c>
      <c r="B2725" s="31" t="s">
        <v>370</v>
      </c>
      <c r="C2725" s="31" t="s">
        <v>1216</v>
      </c>
      <c r="D2725" s="30" t="s">
        <v>3663</v>
      </c>
      <c r="E2725" s="32">
        <v>46113.0</v>
      </c>
      <c r="F2725" s="32">
        <v>46171.0</v>
      </c>
      <c r="G2725" s="33"/>
    </row>
    <row r="2726" ht="15.75" customHeight="1">
      <c r="A2726" s="26" t="s">
        <v>6390</v>
      </c>
      <c r="B2726" s="27" t="s">
        <v>370</v>
      </c>
      <c r="C2726" s="27" t="s">
        <v>1218</v>
      </c>
      <c r="D2726" s="26" t="s">
        <v>3663</v>
      </c>
      <c r="E2726" s="28">
        <v>46113.0</v>
      </c>
      <c r="F2726" s="28">
        <v>46171.0</v>
      </c>
      <c r="G2726" s="29"/>
    </row>
    <row r="2727" ht="15.75" customHeight="1">
      <c r="A2727" s="30" t="s">
        <v>6391</v>
      </c>
      <c r="B2727" s="31" t="s">
        <v>370</v>
      </c>
      <c r="C2727" s="31" t="s">
        <v>1351</v>
      </c>
      <c r="D2727" s="30" t="s">
        <v>3663</v>
      </c>
      <c r="E2727" s="32">
        <v>46113.0</v>
      </c>
      <c r="F2727" s="32">
        <v>46171.0</v>
      </c>
      <c r="G2727" s="33"/>
    </row>
    <row r="2728" ht="15.75" customHeight="1">
      <c r="A2728" s="26" t="s">
        <v>6392</v>
      </c>
      <c r="B2728" s="27" t="s">
        <v>370</v>
      </c>
      <c r="C2728" s="27" t="s">
        <v>1349</v>
      </c>
      <c r="D2728" s="26" t="s">
        <v>3663</v>
      </c>
      <c r="E2728" s="28">
        <v>46113.0</v>
      </c>
      <c r="F2728" s="28">
        <v>46171.0</v>
      </c>
      <c r="G2728" s="29"/>
    </row>
    <row r="2729" ht="15.75" customHeight="1">
      <c r="A2729" s="30" t="s">
        <v>6393</v>
      </c>
      <c r="B2729" s="31" t="s">
        <v>370</v>
      </c>
      <c r="C2729" s="31" t="s">
        <v>968</v>
      </c>
      <c r="D2729" s="30" t="s">
        <v>3663</v>
      </c>
      <c r="E2729" s="32">
        <v>46113.0</v>
      </c>
      <c r="F2729" s="32">
        <v>46171.0</v>
      </c>
      <c r="G2729" s="33"/>
    </row>
    <row r="2730" ht="15.75" customHeight="1">
      <c r="A2730" s="26" t="s">
        <v>6394</v>
      </c>
      <c r="B2730" s="27" t="s">
        <v>370</v>
      </c>
      <c r="C2730" s="27" t="s">
        <v>923</v>
      </c>
      <c r="D2730" s="26" t="s">
        <v>3663</v>
      </c>
      <c r="E2730" s="28">
        <v>46113.0</v>
      </c>
      <c r="F2730" s="28">
        <v>46171.0</v>
      </c>
      <c r="G2730" s="29"/>
    </row>
    <row r="2731" ht="15.75" customHeight="1">
      <c r="A2731" s="30" t="s">
        <v>6395</v>
      </c>
      <c r="B2731" s="31" t="s">
        <v>371</v>
      </c>
      <c r="C2731" s="31" t="s">
        <v>3638</v>
      </c>
      <c r="D2731" s="30" t="s">
        <v>3663</v>
      </c>
      <c r="E2731" s="32">
        <v>46113.0</v>
      </c>
      <c r="F2731" s="32">
        <v>46171.0</v>
      </c>
      <c r="G2731" s="33"/>
    </row>
    <row r="2732" ht="15.75" customHeight="1">
      <c r="A2732" s="26" t="s">
        <v>6396</v>
      </c>
      <c r="B2732" s="27" t="s">
        <v>371</v>
      </c>
      <c r="C2732" s="27" t="s">
        <v>932</v>
      </c>
      <c r="D2732" s="26" t="s">
        <v>3663</v>
      </c>
      <c r="E2732" s="28">
        <v>46113.0</v>
      </c>
      <c r="F2732" s="28">
        <v>46171.0</v>
      </c>
      <c r="G2732" s="29"/>
    </row>
    <row r="2733" ht="15.75" customHeight="1">
      <c r="A2733" s="30" t="s">
        <v>6397</v>
      </c>
      <c r="B2733" s="31" t="s">
        <v>371</v>
      </c>
      <c r="C2733" s="31" t="s">
        <v>1164</v>
      </c>
      <c r="D2733" s="30" t="s">
        <v>3663</v>
      </c>
      <c r="E2733" s="32">
        <v>46113.0</v>
      </c>
      <c r="F2733" s="32">
        <v>46171.0</v>
      </c>
      <c r="G2733" s="33"/>
    </row>
    <row r="2734" ht="15.75" customHeight="1">
      <c r="A2734" s="26" t="s">
        <v>6398</v>
      </c>
      <c r="B2734" s="27" t="s">
        <v>371</v>
      </c>
      <c r="C2734" s="27" t="s">
        <v>1166</v>
      </c>
      <c r="D2734" s="26" t="s">
        <v>3663</v>
      </c>
      <c r="E2734" s="28">
        <v>46113.0</v>
      </c>
      <c r="F2734" s="28">
        <v>46171.0</v>
      </c>
      <c r="G2734" s="29"/>
    </row>
    <row r="2735" ht="15.75" customHeight="1">
      <c r="A2735" s="30" t="s">
        <v>6399</v>
      </c>
      <c r="B2735" s="31" t="s">
        <v>371</v>
      </c>
      <c r="C2735" s="31" t="s">
        <v>1168</v>
      </c>
      <c r="D2735" s="30" t="s">
        <v>3663</v>
      </c>
      <c r="E2735" s="32">
        <v>46113.0</v>
      </c>
      <c r="F2735" s="32">
        <v>46171.0</v>
      </c>
      <c r="G2735" s="33"/>
    </row>
    <row r="2736" ht="15.75" customHeight="1">
      <c r="A2736" s="26" t="s">
        <v>6400</v>
      </c>
      <c r="B2736" s="27" t="s">
        <v>371</v>
      </c>
      <c r="C2736" s="27" t="s">
        <v>1170</v>
      </c>
      <c r="D2736" s="26" t="s">
        <v>3663</v>
      </c>
      <c r="E2736" s="28">
        <v>46113.0</v>
      </c>
      <c r="F2736" s="28">
        <v>46171.0</v>
      </c>
      <c r="G2736" s="29"/>
    </row>
    <row r="2737" ht="15.75" customHeight="1">
      <c r="A2737" s="30" t="s">
        <v>6401</v>
      </c>
      <c r="B2737" s="31" t="s">
        <v>371</v>
      </c>
      <c r="C2737" s="31" t="s">
        <v>1354</v>
      </c>
      <c r="D2737" s="30" t="s">
        <v>3663</v>
      </c>
      <c r="E2737" s="32">
        <v>46113.0</v>
      </c>
      <c r="F2737" s="32">
        <v>46171.0</v>
      </c>
      <c r="G2737" s="33"/>
    </row>
    <row r="2738" ht="15.75" customHeight="1">
      <c r="A2738" s="26" t="s">
        <v>6402</v>
      </c>
      <c r="B2738" s="27" t="s">
        <v>371</v>
      </c>
      <c r="C2738" s="27" t="s">
        <v>3647</v>
      </c>
      <c r="D2738" s="26" t="s">
        <v>3663</v>
      </c>
      <c r="E2738" s="28">
        <v>46113.0</v>
      </c>
      <c r="F2738" s="28">
        <v>46171.0</v>
      </c>
      <c r="G2738" s="29"/>
    </row>
    <row r="2739" ht="15.75" customHeight="1">
      <c r="A2739" s="30" t="s">
        <v>6403</v>
      </c>
      <c r="B2739" s="31" t="s">
        <v>371</v>
      </c>
      <c r="C2739" s="31" t="s">
        <v>952</v>
      </c>
      <c r="D2739" s="30" t="s">
        <v>3663</v>
      </c>
      <c r="E2739" s="32">
        <v>46113.0</v>
      </c>
      <c r="F2739" s="32">
        <v>46171.0</v>
      </c>
      <c r="G2739" s="33"/>
    </row>
    <row r="2740" ht="15.75" customHeight="1">
      <c r="A2740" s="26" t="s">
        <v>6404</v>
      </c>
      <c r="B2740" s="27" t="s">
        <v>371</v>
      </c>
      <c r="C2740" s="27" t="s">
        <v>3653</v>
      </c>
      <c r="D2740" s="27" t="s">
        <v>3663</v>
      </c>
      <c r="E2740" s="28">
        <v>46113.0</v>
      </c>
      <c r="F2740" s="28">
        <v>46171.0</v>
      </c>
      <c r="G2740" s="29"/>
    </row>
    <row r="2741" ht="15.75" customHeight="1">
      <c r="A2741" s="30" t="s">
        <v>6405</v>
      </c>
      <c r="B2741" s="31" t="s">
        <v>371</v>
      </c>
      <c r="C2741" s="31" t="s">
        <v>3652</v>
      </c>
      <c r="D2741" s="30" t="s">
        <v>3663</v>
      </c>
      <c r="E2741" s="32">
        <v>46113.0</v>
      </c>
      <c r="F2741" s="32">
        <v>46171.0</v>
      </c>
      <c r="G2741" s="33"/>
    </row>
    <row r="2742" ht="15.75" customHeight="1">
      <c r="A2742" s="26" t="s">
        <v>6406</v>
      </c>
      <c r="B2742" s="27" t="s">
        <v>371</v>
      </c>
      <c r="C2742" s="27" t="s">
        <v>965</v>
      </c>
      <c r="D2742" s="26" t="s">
        <v>3663</v>
      </c>
      <c r="E2742" s="28">
        <v>46113.0</v>
      </c>
      <c r="F2742" s="28">
        <v>46171.0</v>
      </c>
      <c r="G2742" s="29"/>
    </row>
    <row r="2743" ht="15.75" customHeight="1">
      <c r="A2743" s="30" t="s">
        <v>6407</v>
      </c>
      <c r="B2743" s="31" t="s">
        <v>371</v>
      </c>
      <c r="C2743" s="31" t="s">
        <v>923</v>
      </c>
      <c r="D2743" s="30" t="s">
        <v>3663</v>
      </c>
      <c r="E2743" s="32">
        <v>46113.0</v>
      </c>
      <c r="F2743" s="32">
        <v>46171.0</v>
      </c>
      <c r="G2743" s="33"/>
    </row>
    <row r="2744" ht="15.75" customHeight="1">
      <c r="A2744" s="26" t="s">
        <v>6408</v>
      </c>
      <c r="B2744" s="27" t="s">
        <v>371</v>
      </c>
      <c r="C2744" s="27" t="s">
        <v>961</v>
      </c>
      <c r="D2744" s="26" t="s">
        <v>3663</v>
      </c>
      <c r="E2744" s="28">
        <v>46113.0</v>
      </c>
      <c r="F2744" s="28">
        <v>46171.0</v>
      </c>
      <c r="G2744" s="29"/>
    </row>
    <row r="2745" ht="15.75" customHeight="1">
      <c r="A2745" s="30" t="s">
        <v>6409</v>
      </c>
      <c r="B2745" s="31" t="s">
        <v>372</v>
      </c>
      <c r="C2745" s="31" t="s">
        <v>930</v>
      </c>
      <c r="D2745" s="30" t="s">
        <v>3663</v>
      </c>
      <c r="E2745" s="32">
        <v>46113.0</v>
      </c>
      <c r="F2745" s="32">
        <v>46171.0</v>
      </c>
      <c r="G2745" s="33"/>
    </row>
    <row r="2746" ht="15.75" customHeight="1">
      <c r="A2746" s="26" t="s">
        <v>6410</v>
      </c>
      <c r="B2746" s="27" t="s">
        <v>372</v>
      </c>
      <c r="C2746" s="27" t="s">
        <v>1354</v>
      </c>
      <c r="D2746" s="26" t="s">
        <v>3663</v>
      </c>
      <c r="E2746" s="28">
        <v>46113.0</v>
      </c>
      <c r="F2746" s="28">
        <v>46171.0</v>
      </c>
      <c r="G2746" s="29"/>
    </row>
    <row r="2747" ht="15.75" customHeight="1">
      <c r="A2747" s="30" t="s">
        <v>6411</v>
      </c>
      <c r="B2747" s="31" t="s">
        <v>372</v>
      </c>
      <c r="C2747" s="31" t="s">
        <v>3641</v>
      </c>
      <c r="D2747" s="30" t="s">
        <v>3663</v>
      </c>
      <c r="E2747" s="32">
        <v>46113.0</v>
      </c>
      <c r="F2747" s="32">
        <v>46171.0</v>
      </c>
      <c r="G2747" s="33"/>
    </row>
    <row r="2748" ht="15.75" customHeight="1">
      <c r="A2748" s="26" t="s">
        <v>6412</v>
      </c>
      <c r="B2748" s="27" t="s">
        <v>372</v>
      </c>
      <c r="C2748" s="27" t="s">
        <v>1304</v>
      </c>
      <c r="D2748" s="26" t="s">
        <v>3663</v>
      </c>
      <c r="E2748" s="28">
        <v>46113.0</v>
      </c>
      <c r="F2748" s="28">
        <v>46171.0</v>
      </c>
      <c r="G2748" s="29"/>
    </row>
    <row r="2749" ht="15.75" customHeight="1">
      <c r="A2749" s="30" t="s">
        <v>6413</v>
      </c>
      <c r="B2749" s="31" t="s">
        <v>372</v>
      </c>
      <c r="C2749" s="31" t="s">
        <v>3642</v>
      </c>
      <c r="D2749" s="30" t="s">
        <v>3663</v>
      </c>
      <c r="E2749" s="32">
        <v>46113.0</v>
      </c>
      <c r="F2749" s="32">
        <v>46171.0</v>
      </c>
      <c r="G2749" s="33"/>
    </row>
    <row r="2750" ht="15.75" customHeight="1">
      <c r="A2750" s="26" t="s">
        <v>6414</v>
      </c>
      <c r="B2750" s="27" t="s">
        <v>372</v>
      </c>
      <c r="C2750" s="27" t="s">
        <v>1308</v>
      </c>
      <c r="D2750" s="26" t="s">
        <v>3663</v>
      </c>
      <c r="E2750" s="28">
        <v>46113.0</v>
      </c>
      <c r="F2750" s="28">
        <v>46171.0</v>
      </c>
      <c r="G2750" s="29"/>
    </row>
    <row r="2751" ht="15.75" customHeight="1">
      <c r="A2751" s="30" t="s">
        <v>6415</v>
      </c>
      <c r="B2751" s="31" t="s">
        <v>372</v>
      </c>
      <c r="C2751" s="31" t="s">
        <v>1208</v>
      </c>
      <c r="D2751" s="30" t="s">
        <v>3663</v>
      </c>
      <c r="E2751" s="32">
        <v>46113.0</v>
      </c>
      <c r="F2751" s="32">
        <v>46171.0</v>
      </c>
      <c r="G2751" s="33"/>
    </row>
    <row r="2752" ht="15.75" customHeight="1">
      <c r="A2752" s="26" t="s">
        <v>6416</v>
      </c>
      <c r="B2752" s="27" t="s">
        <v>372</v>
      </c>
      <c r="C2752" s="27" t="s">
        <v>3656</v>
      </c>
      <c r="D2752" s="26" t="s">
        <v>3663</v>
      </c>
      <c r="E2752" s="28">
        <v>46113.0</v>
      </c>
      <c r="F2752" s="28">
        <v>46171.0</v>
      </c>
      <c r="G2752" s="29"/>
    </row>
    <row r="2753" ht="15.75" customHeight="1">
      <c r="A2753" s="30" t="s">
        <v>6417</v>
      </c>
      <c r="B2753" s="31" t="s">
        <v>372</v>
      </c>
      <c r="C2753" s="31" t="s">
        <v>3657</v>
      </c>
      <c r="D2753" s="30" t="s">
        <v>3663</v>
      </c>
      <c r="E2753" s="32">
        <v>46113.0</v>
      </c>
      <c r="F2753" s="32">
        <v>46171.0</v>
      </c>
      <c r="G2753" s="33"/>
    </row>
    <row r="2754" ht="15.75" customHeight="1">
      <c r="A2754" s="26" t="s">
        <v>6418</v>
      </c>
      <c r="B2754" s="27" t="s">
        <v>372</v>
      </c>
      <c r="C2754" s="27" t="s">
        <v>1351</v>
      </c>
      <c r="D2754" s="26" t="s">
        <v>3663</v>
      </c>
      <c r="E2754" s="28">
        <v>46113.0</v>
      </c>
      <c r="F2754" s="28">
        <v>46171.0</v>
      </c>
      <c r="G2754" s="29"/>
    </row>
    <row r="2755" ht="15.75" customHeight="1">
      <c r="A2755" s="30" t="s">
        <v>6419</v>
      </c>
      <c r="B2755" s="31" t="s">
        <v>372</v>
      </c>
      <c r="C2755" s="31" t="s">
        <v>1349</v>
      </c>
      <c r="D2755" s="30" t="s">
        <v>3663</v>
      </c>
      <c r="E2755" s="32">
        <v>46113.0</v>
      </c>
      <c r="F2755" s="32">
        <v>46171.0</v>
      </c>
      <c r="G2755" s="33"/>
    </row>
    <row r="2756" ht="15.75" customHeight="1">
      <c r="A2756" s="26" t="s">
        <v>6420</v>
      </c>
      <c r="B2756" s="27" t="s">
        <v>372</v>
      </c>
      <c r="C2756" s="27" t="s">
        <v>965</v>
      </c>
      <c r="D2756" s="26" t="s">
        <v>3663</v>
      </c>
      <c r="E2756" s="28">
        <v>46113.0</v>
      </c>
      <c r="F2756" s="28">
        <v>46171.0</v>
      </c>
      <c r="G2756" s="29"/>
    </row>
    <row r="2757" ht="15.75" customHeight="1">
      <c r="A2757" s="30" t="s">
        <v>6421</v>
      </c>
      <c r="B2757" s="31" t="s">
        <v>372</v>
      </c>
      <c r="C2757" s="31" t="s">
        <v>923</v>
      </c>
      <c r="D2757" s="30" t="s">
        <v>3663</v>
      </c>
      <c r="E2757" s="32">
        <v>46113.0</v>
      </c>
      <c r="F2757" s="32">
        <v>46171.0</v>
      </c>
      <c r="G2757" s="33"/>
    </row>
    <row r="2758" ht="15.75" customHeight="1">
      <c r="A2758" s="26" t="s">
        <v>6422</v>
      </c>
      <c r="B2758" s="27" t="s">
        <v>372</v>
      </c>
      <c r="C2758" s="27" t="s">
        <v>961</v>
      </c>
      <c r="D2758" s="26" t="s">
        <v>3663</v>
      </c>
      <c r="E2758" s="28">
        <v>46113.0</v>
      </c>
      <c r="F2758" s="28">
        <v>46171.0</v>
      </c>
      <c r="G2758" s="29"/>
    </row>
    <row r="2759" ht="15.75" customHeight="1">
      <c r="A2759" s="30" t="s">
        <v>6423</v>
      </c>
      <c r="B2759" s="31" t="s">
        <v>373</v>
      </c>
      <c r="C2759" s="31" t="s">
        <v>926</v>
      </c>
      <c r="D2759" s="30" t="s">
        <v>3663</v>
      </c>
      <c r="E2759" s="32">
        <v>46113.0</v>
      </c>
      <c r="F2759" s="32">
        <v>46171.0</v>
      </c>
      <c r="G2759" s="33"/>
    </row>
    <row r="2760" ht="15.75" customHeight="1">
      <c r="A2760" s="26" t="s">
        <v>6424</v>
      </c>
      <c r="B2760" s="27" t="s">
        <v>373</v>
      </c>
      <c r="C2760" s="27" t="s">
        <v>1354</v>
      </c>
      <c r="D2760" s="26" t="s">
        <v>3663</v>
      </c>
      <c r="E2760" s="28">
        <v>46113.0</v>
      </c>
      <c r="F2760" s="28">
        <v>46171.0</v>
      </c>
      <c r="G2760" s="29"/>
    </row>
    <row r="2761" ht="15.75" customHeight="1">
      <c r="A2761" s="30" t="s">
        <v>6425</v>
      </c>
      <c r="B2761" s="31" t="s">
        <v>373</v>
      </c>
      <c r="C2761" s="31" t="s">
        <v>1172</v>
      </c>
      <c r="D2761" s="30" t="s">
        <v>3663</v>
      </c>
      <c r="E2761" s="32">
        <v>46113.0</v>
      </c>
      <c r="F2761" s="32">
        <v>46171.0</v>
      </c>
      <c r="G2761" s="33"/>
    </row>
    <row r="2762" ht="15.75" customHeight="1">
      <c r="A2762" s="26" t="s">
        <v>6426</v>
      </c>
      <c r="B2762" s="27" t="s">
        <v>373</v>
      </c>
      <c r="C2762" s="27" t="s">
        <v>3681</v>
      </c>
      <c r="D2762" s="26" t="s">
        <v>3663</v>
      </c>
      <c r="E2762" s="28">
        <v>46113.0</v>
      </c>
      <c r="F2762" s="28">
        <v>46171.0</v>
      </c>
      <c r="G2762" s="29"/>
    </row>
    <row r="2763" ht="15.75" customHeight="1">
      <c r="A2763" s="30" t="s">
        <v>6427</v>
      </c>
      <c r="B2763" s="31" t="s">
        <v>373</v>
      </c>
      <c r="C2763" s="31" t="s">
        <v>3683</v>
      </c>
      <c r="D2763" s="30" t="s">
        <v>3663</v>
      </c>
      <c r="E2763" s="32">
        <v>46113.0</v>
      </c>
      <c r="F2763" s="32">
        <v>46171.0</v>
      </c>
      <c r="G2763" s="33"/>
    </row>
    <row r="2764" ht="15.75" customHeight="1">
      <c r="A2764" s="26" t="s">
        <v>6428</v>
      </c>
      <c r="B2764" s="27" t="s">
        <v>373</v>
      </c>
      <c r="C2764" s="27" t="s">
        <v>1159</v>
      </c>
      <c r="D2764" s="26" t="s">
        <v>3663</v>
      </c>
      <c r="E2764" s="28">
        <v>46113.0</v>
      </c>
      <c r="F2764" s="28">
        <v>46171.0</v>
      </c>
      <c r="G2764" s="29"/>
    </row>
    <row r="2765" ht="15.75" customHeight="1">
      <c r="A2765" s="30" t="s">
        <v>6429</v>
      </c>
      <c r="B2765" s="31" t="s">
        <v>373</v>
      </c>
      <c r="C2765" s="31" t="s">
        <v>1277</v>
      </c>
      <c r="D2765" s="30" t="s">
        <v>3663</v>
      </c>
      <c r="E2765" s="32">
        <v>46113.0</v>
      </c>
      <c r="F2765" s="32">
        <v>46171.0</v>
      </c>
      <c r="G2765" s="33"/>
    </row>
    <row r="2766" ht="15.75" customHeight="1">
      <c r="A2766" s="26" t="s">
        <v>6430</v>
      </c>
      <c r="B2766" s="27" t="s">
        <v>373</v>
      </c>
      <c r="C2766" s="27" t="s">
        <v>1279</v>
      </c>
      <c r="D2766" s="26" t="s">
        <v>3663</v>
      </c>
      <c r="E2766" s="28">
        <v>46113.0</v>
      </c>
      <c r="F2766" s="28">
        <v>46171.0</v>
      </c>
      <c r="G2766" s="29"/>
    </row>
    <row r="2767" ht="15.75" customHeight="1">
      <c r="A2767" s="30" t="s">
        <v>6431</v>
      </c>
      <c r="B2767" s="31" t="s">
        <v>373</v>
      </c>
      <c r="C2767" s="31" t="s">
        <v>1283</v>
      </c>
      <c r="D2767" s="30" t="s">
        <v>3663</v>
      </c>
      <c r="E2767" s="32">
        <v>46113.0</v>
      </c>
      <c r="F2767" s="32">
        <v>46171.0</v>
      </c>
      <c r="G2767" s="33"/>
    </row>
    <row r="2768" ht="15.75" customHeight="1">
      <c r="A2768" s="26" t="s">
        <v>6432</v>
      </c>
      <c r="B2768" s="27" t="s">
        <v>373</v>
      </c>
      <c r="C2768" s="27" t="s">
        <v>1281</v>
      </c>
      <c r="D2768" s="26" t="s">
        <v>3663</v>
      </c>
      <c r="E2768" s="28">
        <v>46113.0</v>
      </c>
      <c r="F2768" s="28">
        <v>46171.0</v>
      </c>
      <c r="G2768" s="29"/>
    </row>
    <row r="2769" ht="15.75" customHeight="1">
      <c r="A2769" s="30" t="s">
        <v>6433</v>
      </c>
      <c r="B2769" s="31" t="s">
        <v>373</v>
      </c>
      <c r="C2769" s="31" t="s">
        <v>1351</v>
      </c>
      <c r="D2769" s="30" t="s">
        <v>3663</v>
      </c>
      <c r="E2769" s="32">
        <v>46113.0</v>
      </c>
      <c r="F2769" s="32">
        <v>46171.0</v>
      </c>
      <c r="G2769" s="33"/>
    </row>
    <row r="2770" ht="15.75" customHeight="1">
      <c r="A2770" s="26" t="s">
        <v>6434</v>
      </c>
      <c r="B2770" s="27" t="s">
        <v>373</v>
      </c>
      <c r="C2770" s="27" t="s">
        <v>1349</v>
      </c>
      <c r="D2770" s="26" t="s">
        <v>3663</v>
      </c>
      <c r="E2770" s="28">
        <v>46113.0</v>
      </c>
      <c r="F2770" s="28">
        <v>46171.0</v>
      </c>
      <c r="G2770" s="29"/>
    </row>
    <row r="2771" ht="15.75" customHeight="1">
      <c r="A2771" s="30" t="s">
        <v>6435</v>
      </c>
      <c r="B2771" s="31" t="s">
        <v>373</v>
      </c>
      <c r="C2771" s="31" t="s">
        <v>968</v>
      </c>
      <c r="D2771" s="30" t="s">
        <v>3663</v>
      </c>
      <c r="E2771" s="32">
        <v>46113.0</v>
      </c>
      <c r="F2771" s="32">
        <v>46171.0</v>
      </c>
      <c r="G2771" s="33"/>
    </row>
    <row r="2772" ht="15.75" customHeight="1">
      <c r="A2772" s="26" t="s">
        <v>6436</v>
      </c>
      <c r="B2772" s="27" t="s">
        <v>373</v>
      </c>
      <c r="C2772" s="27" t="s">
        <v>923</v>
      </c>
      <c r="D2772" s="26" t="s">
        <v>3663</v>
      </c>
      <c r="E2772" s="28">
        <v>46113.0</v>
      </c>
      <c r="F2772" s="28">
        <v>46171.0</v>
      </c>
      <c r="G2772" s="29"/>
    </row>
    <row r="2773" ht="15.75" customHeight="1">
      <c r="A2773" s="30" t="s">
        <v>6437</v>
      </c>
      <c r="B2773" s="31" t="s">
        <v>374</v>
      </c>
      <c r="C2773" s="31" t="s">
        <v>926</v>
      </c>
      <c r="D2773" s="30" t="s">
        <v>3663</v>
      </c>
      <c r="E2773" s="32">
        <v>46113.0</v>
      </c>
      <c r="F2773" s="32">
        <v>46171.0</v>
      </c>
      <c r="G2773" s="33"/>
    </row>
    <row r="2774" ht="15.75" customHeight="1">
      <c r="A2774" s="26" t="s">
        <v>6438</v>
      </c>
      <c r="B2774" s="27" t="s">
        <v>374</v>
      </c>
      <c r="C2774" s="27" t="s">
        <v>1354</v>
      </c>
      <c r="D2774" s="26" t="s">
        <v>3663</v>
      </c>
      <c r="E2774" s="28">
        <v>46113.0</v>
      </c>
      <c r="F2774" s="28">
        <v>46171.0</v>
      </c>
      <c r="G2774" s="29"/>
    </row>
    <row r="2775" ht="15.75" customHeight="1">
      <c r="A2775" s="30" t="s">
        <v>6439</v>
      </c>
      <c r="B2775" s="31" t="s">
        <v>374</v>
      </c>
      <c r="C2775" s="31" t="s">
        <v>1159</v>
      </c>
      <c r="D2775" s="30" t="s">
        <v>3663</v>
      </c>
      <c r="E2775" s="32">
        <v>46113.0</v>
      </c>
      <c r="F2775" s="32">
        <v>46171.0</v>
      </c>
      <c r="G2775" s="33"/>
    </row>
    <row r="2776" ht="15.75" customHeight="1">
      <c r="A2776" s="26" t="s">
        <v>6440</v>
      </c>
      <c r="B2776" s="27" t="s">
        <v>374</v>
      </c>
      <c r="C2776" s="27" t="s">
        <v>3656</v>
      </c>
      <c r="D2776" s="26" t="s">
        <v>3663</v>
      </c>
      <c r="E2776" s="28">
        <v>46113.0</v>
      </c>
      <c r="F2776" s="28">
        <v>46171.0</v>
      </c>
      <c r="G2776" s="29"/>
    </row>
    <row r="2777" ht="15.75" customHeight="1">
      <c r="A2777" s="30" t="s">
        <v>6441</v>
      </c>
      <c r="B2777" s="31" t="s">
        <v>374</v>
      </c>
      <c r="C2777" s="31" t="s">
        <v>3657</v>
      </c>
      <c r="D2777" s="30" t="s">
        <v>3663</v>
      </c>
      <c r="E2777" s="32">
        <v>46113.0</v>
      </c>
      <c r="F2777" s="32">
        <v>46171.0</v>
      </c>
      <c r="G2777" s="33"/>
    </row>
    <row r="2778" ht="15.75" customHeight="1">
      <c r="A2778" s="26" t="s">
        <v>6442</v>
      </c>
      <c r="B2778" s="27" t="s">
        <v>374</v>
      </c>
      <c r="C2778" s="27" t="s">
        <v>1277</v>
      </c>
      <c r="D2778" s="26" t="s">
        <v>3663</v>
      </c>
      <c r="E2778" s="28">
        <v>46113.0</v>
      </c>
      <c r="F2778" s="28">
        <v>46171.0</v>
      </c>
      <c r="G2778" s="29"/>
    </row>
    <row r="2779" ht="15.75" customHeight="1">
      <c r="A2779" s="30" t="s">
        <v>6443</v>
      </c>
      <c r="B2779" s="31" t="s">
        <v>374</v>
      </c>
      <c r="C2779" s="31" t="s">
        <v>1279</v>
      </c>
      <c r="D2779" s="30" t="s">
        <v>3663</v>
      </c>
      <c r="E2779" s="32">
        <v>46113.0</v>
      </c>
      <c r="F2779" s="32">
        <v>46171.0</v>
      </c>
      <c r="G2779" s="33"/>
    </row>
    <row r="2780" ht="15.75" customHeight="1">
      <c r="A2780" s="26" t="s">
        <v>6444</v>
      </c>
      <c r="B2780" s="27" t="s">
        <v>374</v>
      </c>
      <c r="C2780" s="27" t="s">
        <v>1283</v>
      </c>
      <c r="D2780" s="26" t="s">
        <v>3663</v>
      </c>
      <c r="E2780" s="28">
        <v>46113.0</v>
      </c>
      <c r="F2780" s="28">
        <v>46171.0</v>
      </c>
      <c r="G2780" s="29"/>
    </row>
    <row r="2781" ht="15.75" customHeight="1">
      <c r="A2781" s="30" t="s">
        <v>6445</v>
      </c>
      <c r="B2781" s="31" t="s">
        <v>374</v>
      </c>
      <c r="C2781" s="31" t="s">
        <v>1281</v>
      </c>
      <c r="D2781" s="30" t="s">
        <v>3663</v>
      </c>
      <c r="E2781" s="32">
        <v>46113.0</v>
      </c>
      <c r="F2781" s="32">
        <v>46171.0</v>
      </c>
      <c r="G2781" s="33"/>
    </row>
    <row r="2782" ht="15.75" customHeight="1">
      <c r="A2782" s="26" t="s">
        <v>6446</v>
      </c>
      <c r="B2782" s="27" t="s">
        <v>374</v>
      </c>
      <c r="C2782" s="27" t="s">
        <v>1216</v>
      </c>
      <c r="D2782" s="26" t="s">
        <v>3663</v>
      </c>
      <c r="E2782" s="28">
        <v>46113.0</v>
      </c>
      <c r="F2782" s="28">
        <v>46171.0</v>
      </c>
      <c r="G2782" s="29"/>
    </row>
    <row r="2783" ht="15.75" customHeight="1">
      <c r="A2783" s="30" t="s">
        <v>6447</v>
      </c>
      <c r="B2783" s="31" t="s">
        <v>374</v>
      </c>
      <c r="C2783" s="31" t="s">
        <v>1351</v>
      </c>
      <c r="D2783" s="30" t="s">
        <v>3663</v>
      </c>
      <c r="E2783" s="32">
        <v>46113.0</v>
      </c>
      <c r="F2783" s="32">
        <v>46171.0</v>
      </c>
      <c r="G2783" s="33"/>
    </row>
    <row r="2784" ht="15.75" customHeight="1">
      <c r="A2784" s="26" t="s">
        <v>6448</v>
      </c>
      <c r="B2784" s="27" t="s">
        <v>374</v>
      </c>
      <c r="C2784" s="27" t="s">
        <v>1349</v>
      </c>
      <c r="D2784" s="26" t="s">
        <v>3663</v>
      </c>
      <c r="E2784" s="28">
        <v>46113.0</v>
      </c>
      <c r="F2784" s="28">
        <v>46171.0</v>
      </c>
      <c r="G2784" s="29"/>
    </row>
    <row r="2785" ht="15.75" customHeight="1">
      <c r="A2785" s="30" t="s">
        <v>6449</v>
      </c>
      <c r="B2785" s="31" t="s">
        <v>374</v>
      </c>
      <c r="C2785" s="31" t="s">
        <v>968</v>
      </c>
      <c r="D2785" s="30" t="s">
        <v>3663</v>
      </c>
      <c r="E2785" s="32">
        <v>46113.0</v>
      </c>
      <c r="F2785" s="32">
        <v>46171.0</v>
      </c>
      <c r="G2785" s="33"/>
    </row>
    <row r="2786" ht="15.75" customHeight="1">
      <c r="A2786" s="26" t="s">
        <v>6450</v>
      </c>
      <c r="B2786" s="27" t="s">
        <v>374</v>
      </c>
      <c r="C2786" s="27" t="s">
        <v>923</v>
      </c>
      <c r="D2786" s="26" t="s">
        <v>3663</v>
      </c>
      <c r="E2786" s="28">
        <v>46113.0</v>
      </c>
      <c r="F2786" s="28">
        <v>46171.0</v>
      </c>
      <c r="G2786" s="29"/>
    </row>
    <row r="2787" ht="15.75" customHeight="1">
      <c r="A2787" s="30" t="s">
        <v>6451</v>
      </c>
      <c r="B2787" s="31" t="s">
        <v>375</v>
      </c>
      <c r="C2787" s="31" t="s">
        <v>930</v>
      </c>
      <c r="D2787" s="30" t="s">
        <v>3663</v>
      </c>
      <c r="E2787" s="32">
        <v>46113.0</v>
      </c>
      <c r="F2787" s="32">
        <v>46171.0</v>
      </c>
      <c r="G2787" s="33"/>
    </row>
    <row r="2788" ht="15.75" customHeight="1">
      <c r="A2788" s="26" t="s">
        <v>6452</v>
      </c>
      <c r="B2788" s="27" t="s">
        <v>375</v>
      </c>
      <c r="C2788" s="27" t="s">
        <v>1354</v>
      </c>
      <c r="D2788" s="26" t="s">
        <v>3663</v>
      </c>
      <c r="E2788" s="28">
        <v>46113.0</v>
      </c>
      <c r="F2788" s="28">
        <v>46171.0</v>
      </c>
      <c r="G2788" s="29"/>
    </row>
    <row r="2789" ht="15.75" customHeight="1">
      <c r="A2789" s="30" t="s">
        <v>6453</v>
      </c>
      <c r="B2789" s="31" t="s">
        <v>375</v>
      </c>
      <c r="C2789" s="31" t="s">
        <v>3605</v>
      </c>
      <c r="D2789" s="30" t="s">
        <v>3663</v>
      </c>
      <c r="E2789" s="32">
        <v>46113.0</v>
      </c>
      <c r="F2789" s="32">
        <v>46171.0</v>
      </c>
      <c r="G2789" s="33"/>
    </row>
    <row r="2790" ht="15.75" customHeight="1">
      <c r="A2790" s="26" t="s">
        <v>6454</v>
      </c>
      <c r="B2790" s="27" t="s">
        <v>375</v>
      </c>
      <c r="C2790" s="27" t="s">
        <v>1157</v>
      </c>
      <c r="D2790" s="26" t="s">
        <v>3663</v>
      </c>
      <c r="E2790" s="28">
        <v>46113.0</v>
      </c>
      <c r="F2790" s="28">
        <v>46171.0</v>
      </c>
      <c r="G2790" s="29"/>
    </row>
    <row r="2791" ht="15.75" customHeight="1">
      <c r="A2791" s="30" t="s">
        <v>6455</v>
      </c>
      <c r="B2791" s="31" t="s">
        <v>375</v>
      </c>
      <c r="C2791" s="31" t="s">
        <v>1155</v>
      </c>
      <c r="D2791" s="30" t="s">
        <v>3663</v>
      </c>
      <c r="E2791" s="32">
        <v>46113.0</v>
      </c>
      <c r="F2791" s="32">
        <v>46171.0</v>
      </c>
      <c r="G2791" s="33"/>
    </row>
    <row r="2792" ht="15.75" customHeight="1">
      <c r="A2792" s="26" t="s">
        <v>6456</v>
      </c>
      <c r="B2792" s="27" t="s">
        <v>375</v>
      </c>
      <c r="C2792" s="27" t="s">
        <v>1153</v>
      </c>
      <c r="D2792" s="26" t="s">
        <v>3663</v>
      </c>
      <c r="E2792" s="28">
        <v>46113.0</v>
      </c>
      <c r="F2792" s="28">
        <v>46171.0</v>
      </c>
      <c r="G2792" s="29"/>
    </row>
    <row r="2793" ht="15.75" customHeight="1">
      <c r="A2793" s="30" t="s">
        <v>6457</v>
      </c>
      <c r="B2793" s="31" t="s">
        <v>375</v>
      </c>
      <c r="C2793" s="31" t="s">
        <v>1149</v>
      </c>
      <c r="D2793" s="30" t="s">
        <v>3663</v>
      </c>
      <c r="E2793" s="32">
        <v>46113.0</v>
      </c>
      <c r="F2793" s="32">
        <v>46171.0</v>
      </c>
      <c r="G2793" s="33"/>
    </row>
    <row r="2794" ht="15.75" customHeight="1">
      <c r="A2794" s="26" t="s">
        <v>6458</v>
      </c>
      <c r="B2794" s="27" t="s">
        <v>375</v>
      </c>
      <c r="C2794" s="27" t="s">
        <v>1351</v>
      </c>
      <c r="D2794" s="26" t="s">
        <v>3663</v>
      </c>
      <c r="E2794" s="28">
        <v>46113.0</v>
      </c>
      <c r="F2794" s="28">
        <v>46171.0</v>
      </c>
      <c r="G2794" s="29"/>
    </row>
    <row r="2795" ht="15.75" customHeight="1">
      <c r="A2795" s="30" t="s">
        <v>6459</v>
      </c>
      <c r="B2795" s="31" t="s">
        <v>375</v>
      </c>
      <c r="C2795" s="31" t="s">
        <v>1349</v>
      </c>
      <c r="D2795" s="30" t="s">
        <v>3663</v>
      </c>
      <c r="E2795" s="32">
        <v>46113.0</v>
      </c>
      <c r="F2795" s="32">
        <v>46171.0</v>
      </c>
      <c r="G2795" s="33"/>
    </row>
    <row r="2796" ht="15.75" customHeight="1">
      <c r="A2796" s="26" t="s">
        <v>6460</v>
      </c>
      <c r="B2796" s="27" t="s">
        <v>375</v>
      </c>
      <c r="C2796" s="27" t="s">
        <v>3653</v>
      </c>
      <c r="D2796" s="26" t="s">
        <v>3663</v>
      </c>
      <c r="E2796" s="28">
        <v>46113.0</v>
      </c>
      <c r="F2796" s="28">
        <v>46171.0</v>
      </c>
      <c r="G2796" s="29"/>
    </row>
    <row r="2797" ht="15.75" customHeight="1">
      <c r="A2797" s="30" t="s">
        <v>6461</v>
      </c>
      <c r="B2797" s="31" t="s">
        <v>375</v>
      </c>
      <c r="C2797" s="31" t="s">
        <v>3652</v>
      </c>
      <c r="D2797" s="31" t="s">
        <v>3663</v>
      </c>
      <c r="E2797" s="32">
        <v>46113.0</v>
      </c>
      <c r="F2797" s="32">
        <v>46171.0</v>
      </c>
      <c r="G2797" s="33"/>
    </row>
    <row r="2798" ht="15.75" customHeight="1">
      <c r="A2798" s="26" t="s">
        <v>6462</v>
      </c>
      <c r="B2798" s="27" t="s">
        <v>375</v>
      </c>
      <c r="C2798" s="27" t="s">
        <v>965</v>
      </c>
      <c r="D2798" s="26" t="s">
        <v>3663</v>
      </c>
      <c r="E2798" s="28">
        <v>46113.0</v>
      </c>
      <c r="F2798" s="28">
        <v>46171.0</v>
      </c>
      <c r="G2798" s="29"/>
    </row>
    <row r="2799" ht="15.75" customHeight="1">
      <c r="A2799" s="30" t="s">
        <v>6463</v>
      </c>
      <c r="B2799" s="31" t="s">
        <v>375</v>
      </c>
      <c r="C2799" s="31" t="s">
        <v>923</v>
      </c>
      <c r="D2799" s="30" t="s">
        <v>3663</v>
      </c>
      <c r="E2799" s="32">
        <v>46113.0</v>
      </c>
      <c r="F2799" s="32">
        <v>46171.0</v>
      </c>
      <c r="G2799" s="33"/>
    </row>
    <row r="2800" ht="15.75" customHeight="1">
      <c r="A2800" s="26" t="s">
        <v>6464</v>
      </c>
      <c r="B2800" s="27" t="s">
        <v>375</v>
      </c>
      <c r="C2800" s="27" t="s">
        <v>961</v>
      </c>
      <c r="D2800" s="26" t="s">
        <v>3663</v>
      </c>
      <c r="E2800" s="28">
        <v>46113.0</v>
      </c>
      <c r="F2800" s="28">
        <v>46171.0</v>
      </c>
      <c r="G2800" s="29"/>
    </row>
    <row r="2801" ht="15.75" customHeight="1">
      <c r="A2801" s="30" t="s">
        <v>6465</v>
      </c>
      <c r="B2801" s="31" t="s">
        <v>376</v>
      </c>
      <c r="C2801" s="31" t="s">
        <v>1240</v>
      </c>
      <c r="D2801" s="30" t="s">
        <v>3663</v>
      </c>
      <c r="E2801" s="32">
        <v>46113.0</v>
      </c>
      <c r="F2801" s="32">
        <v>46171.0</v>
      </c>
      <c r="G2801" s="33"/>
    </row>
    <row r="2802" ht="15.75" customHeight="1">
      <c r="A2802" s="26" t="s">
        <v>6466</v>
      </c>
      <c r="B2802" s="27" t="s">
        <v>376</v>
      </c>
      <c r="C2802" s="27" t="s">
        <v>1242</v>
      </c>
      <c r="D2802" s="26" t="s">
        <v>3663</v>
      </c>
      <c r="E2802" s="28">
        <v>46113.0</v>
      </c>
      <c r="F2802" s="28">
        <v>46171.0</v>
      </c>
      <c r="G2802" s="29"/>
    </row>
    <row r="2803" ht="15.75" customHeight="1">
      <c r="A2803" s="30" t="s">
        <v>6467</v>
      </c>
      <c r="B2803" s="31" t="s">
        <v>376</v>
      </c>
      <c r="C2803" s="31" t="s">
        <v>1244</v>
      </c>
      <c r="D2803" s="30" t="s">
        <v>3663</v>
      </c>
      <c r="E2803" s="32">
        <v>46113.0</v>
      </c>
      <c r="F2803" s="32">
        <v>46171.0</v>
      </c>
      <c r="G2803" s="33"/>
    </row>
    <row r="2804" ht="15.75" customHeight="1">
      <c r="A2804" s="26" t="s">
        <v>6468</v>
      </c>
      <c r="B2804" s="27" t="s">
        <v>376</v>
      </c>
      <c r="C2804" s="27" t="s">
        <v>1246</v>
      </c>
      <c r="D2804" s="26" t="s">
        <v>3663</v>
      </c>
      <c r="E2804" s="28">
        <v>46113.0</v>
      </c>
      <c r="F2804" s="28">
        <v>46171.0</v>
      </c>
      <c r="G2804" s="29"/>
    </row>
    <row r="2805" ht="15.75" customHeight="1">
      <c r="A2805" s="30" t="s">
        <v>6469</v>
      </c>
      <c r="B2805" s="31" t="s">
        <v>376</v>
      </c>
      <c r="C2805" s="31" t="s">
        <v>934</v>
      </c>
      <c r="D2805" s="30" t="s">
        <v>3663</v>
      </c>
      <c r="E2805" s="32">
        <v>46113.0</v>
      </c>
      <c r="F2805" s="32">
        <v>46171.0</v>
      </c>
      <c r="G2805" s="33"/>
    </row>
    <row r="2806" ht="15.75" customHeight="1">
      <c r="A2806" s="26" t="s">
        <v>6470</v>
      </c>
      <c r="B2806" s="27" t="s">
        <v>376</v>
      </c>
      <c r="C2806" s="27" t="s">
        <v>1354</v>
      </c>
      <c r="D2806" s="26" t="s">
        <v>3663</v>
      </c>
      <c r="E2806" s="28">
        <v>46113.0</v>
      </c>
      <c r="F2806" s="28">
        <v>46171.0</v>
      </c>
      <c r="G2806" s="29"/>
    </row>
    <row r="2807" ht="15.75" customHeight="1">
      <c r="A2807" s="30" t="s">
        <v>6471</v>
      </c>
      <c r="B2807" s="31" t="s">
        <v>376</v>
      </c>
      <c r="C2807" s="31" t="s">
        <v>1159</v>
      </c>
      <c r="D2807" s="30" t="s">
        <v>3663</v>
      </c>
      <c r="E2807" s="32">
        <v>46113.0</v>
      </c>
      <c r="F2807" s="32">
        <v>46171.0</v>
      </c>
      <c r="G2807" s="33"/>
    </row>
    <row r="2808" ht="15.75" customHeight="1">
      <c r="A2808" s="26" t="s">
        <v>6472</v>
      </c>
      <c r="B2808" s="27" t="s">
        <v>376</v>
      </c>
      <c r="C2808" s="27" t="s">
        <v>3656</v>
      </c>
      <c r="D2808" s="26" t="s">
        <v>3663</v>
      </c>
      <c r="E2808" s="28">
        <v>46113.0</v>
      </c>
      <c r="F2808" s="28">
        <v>46171.0</v>
      </c>
      <c r="G2808" s="29"/>
    </row>
    <row r="2809" ht="15.75" customHeight="1">
      <c r="A2809" s="30" t="s">
        <v>6473</v>
      </c>
      <c r="B2809" s="31" t="s">
        <v>376</v>
      </c>
      <c r="C2809" s="31" t="s">
        <v>3657</v>
      </c>
      <c r="D2809" s="30" t="s">
        <v>3663</v>
      </c>
      <c r="E2809" s="32">
        <v>46113.0</v>
      </c>
      <c r="F2809" s="32">
        <v>46171.0</v>
      </c>
      <c r="G2809" s="33"/>
    </row>
    <row r="2810" ht="15.75" customHeight="1">
      <c r="A2810" s="26" t="s">
        <v>6474</v>
      </c>
      <c r="B2810" s="27" t="s">
        <v>376</v>
      </c>
      <c r="C2810" s="27" t="s">
        <v>1216</v>
      </c>
      <c r="D2810" s="26" t="s">
        <v>3663</v>
      </c>
      <c r="E2810" s="28">
        <v>46113.0</v>
      </c>
      <c r="F2810" s="28">
        <v>46171.0</v>
      </c>
      <c r="G2810" s="29"/>
    </row>
    <row r="2811" ht="15.75" customHeight="1">
      <c r="A2811" s="30" t="s">
        <v>6475</v>
      </c>
      <c r="B2811" s="31" t="s">
        <v>376</v>
      </c>
      <c r="C2811" s="31" t="s">
        <v>1351</v>
      </c>
      <c r="D2811" s="30" t="s">
        <v>3663</v>
      </c>
      <c r="E2811" s="32">
        <v>46113.0</v>
      </c>
      <c r="F2811" s="32">
        <v>46171.0</v>
      </c>
      <c r="G2811" s="33"/>
    </row>
    <row r="2812" ht="15.75" customHeight="1">
      <c r="A2812" s="26" t="s">
        <v>6476</v>
      </c>
      <c r="B2812" s="27" t="s">
        <v>376</v>
      </c>
      <c r="C2812" s="27" t="s">
        <v>1349</v>
      </c>
      <c r="D2812" s="26" t="s">
        <v>3663</v>
      </c>
      <c r="E2812" s="28">
        <v>46113.0</v>
      </c>
      <c r="F2812" s="28">
        <v>46171.0</v>
      </c>
      <c r="G2812" s="29"/>
    </row>
    <row r="2813" ht="15.75" customHeight="1">
      <c r="A2813" s="30" t="s">
        <v>6477</v>
      </c>
      <c r="B2813" s="31" t="s">
        <v>376</v>
      </c>
      <c r="C2813" s="31" t="s">
        <v>968</v>
      </c>
      <c r="D2813" s="30" t="s">
        <v>3663</v>
      </c>
      <c r="E2813" s="32">
        <v>46113.0</v>
      </c>
      <c r="F2813" s="32">
        <v>46171.0</v>
      </c>
      <c r="G2813" s="33"/>
    </row>
    <row r="2814" ht="15.75" customHeight="1">
      <c r="A2814" s="26" t="s">
        <v>6478</v>
      </c>
      <c r="B2814" s="27" t="s">
        <v>376</v>
      </c>
      <c r="C2814" s="27" t="s">
        <v>923</v>
      </c>
      <c r="D2814" s="26" t="s">
        <v>3663</v>
      </c>
      <c r="E2814" s="28">
        <v>46113.0</v>
      </c>
      <c r="F2814" s="28">
        <v>46171.0</v>
      </c>
      <c r="G2814" s="29"/>
    </row>
    <row r="2815" ht="15.75" customHeight="1">
      <c r="A2815" s="30" t="s">
        <v>6479</v>
      </c>
      <c r="B2815" s="31" t="s">
        <v>377</v>
      </c>
      <c r="C2815" s="31" t="s">
        <v>1240</v>
      </c>
      <c r="D2815" s="30" t="s">
        <v>3663</v>
      </c>
      <c r="E2815" s="32">
        <v>46113.0</v>
      </c>
      <c r="F2815" s="32">
        <v>46171.0</v>
      </c>
      <c r="G2815" s="33"/>
    </row>
    <row r="2816" ht="15.75" customHeight="1">
      <c r="A2816" s="26" t="s">
        <v>6480</v>
      </c>
      <c r="B2816" s="27" t="s">
        <v>377</v>
      </c>
      <c r="C2816" s="27" t="s">
        <v>1242</v>
      </c>
      <c r="D2816" s="26" t="s">
        <v>3663</v>
      </c>
      <c r="E2816" s="28">
        <v>46113.0</v>
      </c>
      <c r="F2816" s="28">
        <v>46171.0</v>
      </c>
      <c r="G2816" s="29"/>
    </row>
    <row r="2817" ht="15.75" customHeight="1">
      <c r="A2817" s="30" t="s">
        <v>6481</v>
      </c>
      <c r="B2817" s="31" t="s">
        <v>377</v>
      </c>
      <c r="C2817" s="31" t="s">
        <v>1244</v>
      </c>
      <c r="D2817" s="30" t="s">
        <v>3663</v>
      </c>
      <c r="E2817" s="32">
        <v>46113.0</v>
      </c>
      <c r="F2817" s="32">
        <v>46171.0</v>
      </c>
      <c r="G2817" s="33"/>
    </row>
    <row r="2818" ht="15.75" customHeight="1">
      <c r="A2818" s="26" t="s">
        <v>6482</v>
      </c>
      <c r="B2818" s="27" t="s">
        <v>377</v>
      </c>
      <c r="C2818" s="27" t="s">
        <v>1246</v>
      </c>
      <c r="D2818" s="26" t="s">
        <v>3663</v>
      </c>
      <c r="E2818" s="28">
        <v>46113.0</v>
      </c>
      <c r="F2818" s="28">
        <v>46171.0</v>
      </c>
      <c r="G2818" s="29"/>
    </row>
    <row r="2819" ht="15.75" customHeight="1">
      <c r="A2819" s="30" t="s">
        <v>6483</v>
      </c>
      <c r="B2819" s="31" t="s">
        <v>377</v>
      </c>
      <c r="C2819" s="31" t="s">
        <v>3654</v>
      </c>
      <c r="D2819" s="30" t="s">
        <v>3663</v>
      </c>
      <c r="E2819" s="32">
        <v>46113.0</v>
      </c>
      <c r="F2819" s="32">
        <v>46171.0</v>
      </c>
      <c r="G2819" s="33"/>
    </row>
    <row r="2820" ht="15.75" customHeight="1">
      <c r="A2820" s="26" t="s">
        <v>6484</v>
      </c>
      <c r="B2820" s="27" t="s">
        <v>377</v>
      </c>
      <c r="C2820" s="27" t="s">
        <v>3655</v>
      </c>
      <c r="D2820" s="26" t="s">
        <v>3663</v>
      </c>
      <c r="E2820" s="28">
        <v>46113.0</v>
      </c>
      <c r="F2820" s="28">
        <v>46171.0</v>
      </c>
      <c r="G2820" s="29"/>
    </row>
    <row r="2821" ht="15.75" customHeight="1">
      <c r="A2821" s="30" t="s">
        <v>6485</v>
      </c>
      <c r="B2821" s="31" t="s">
        <v>377</v>
      </c>
      <c r="C2821" s="31" t="s">
        <v>928</v>
      </c>
      <c r="D2821" s="30" t="s">
        <v>3663</v>
      </c>
      <c r="E2821" s="32">
        <v>46113.0</v>
      </c>
      <c r="F2821" s="32">
        <v>46171.0</v>
      </c>
      <c r="G2821" s="33"/>
    </row>
    <row r="2822" ht="15.75" customHeight="1">
      <c r="A2822" s="26" t="s">
        <v>6486</v>
      </c>
      <c r="B2822" s="27" t="s">
        <v>377</v>
      </c>
      <c r="C2822" s="27" t="s">
        <v>1354</v>
      </c>
      <c r="D2822" s="26" t="s">
        <v>3663</v>
      </c>
      <c r="E2822" s="28">
        <v>46113.0</v>
      </c>
      <c r="F2822" s="28">
        <v>46171.0</v>
      </c>
      <c r="G2822" s="29"/>
    </row>
    <row r="2823" ht="15.75" customHeight="1">
      <c r="A2823" s="30" t="s">
        <v>6487</v>
      </c>
      <c r="B2823" s="31" t="s">
        <v>377</v>
      </c>
      <c r="C2823" s="31" t="s">
        <v>1208</v>
      </c>
      <c r="D2823" s="30" t="s">
        <v>3663</v>
      </c>
      <c r="E2823" s="32">
        <v>46113.0</v>
      </c>
      <c r="F2823" s="32">
        <v>46171.0</v>
      </c>
      <c r="G2823" s="33"/>
    </row>
    <row r="2824" ht="15.75" customHeight="1">
      <c r="A2824" s="26" t="s">
        <v>6488</v>
      </c>
      <c r="B2824" s="27" t="s">
        <v>377</v>
      </c>
      <c r="C2824" s="27" t="s">
        <v>1159</v>
      </c>
      <c r="D2824" s="26" t="s">
        <v>3663</v>
      </c>
      <c r="E2824" s="28">
        <v>46113.0</v>
      </c>
      <c r="F2824" s="28">
        <v>46171.0</v>
      </c>
      <c r="G2824" s="29"/>
    </row>
    <row r="2825" ht="15.75" customHeight="1">
      <c r="A2825" s="30" t="s">
        <v>6489</v>
      </c>
      <c r="B2825" s="31" t="s">
        <v>377</v>
      </c>
      <c r="C2825" s="31" t="s">
        <v>3647</v>
      </c>
      <c r="D2825" s="30" t="s">
        <v>3663</v>
      </c>
      <c r="E2825" s="32">
        <v>46113.0</v>
      </c>
      <c r="F2825" s="32">
        <v>46171.0</v>
      </c>
      <c r="G2825" s="33"/>
    </row>
    <row r="2826" ht="15.75" customHeight="1">
      <c r="A2826" s="26" t="s">
        <v>6490</v>
      </c>
      <c r="B2826" s="27" t="s">
        <v>377</v>
      </c>
      <c r="C2826" s="27" t="s">
        <v>952</v>
      </c>
      <c r="D2826" s="26" t="s">
        <v>3663</v>
      </c>
      <c r="E2826" s="28">
        <v>46113.0</v>
      </c>
      <c r="F2826" s="28">
        <v>46171.0</v>
      </c>
      <c r="G2826" s="29"/>
    </row>
    <row r="2827" ht="15.75" customHeight="1">
      <c r="A2827" s="30" t="s">
        <v>6491</v>
      </c>
      <c r="B2827" s="31" t="s">
        <v>377</v>
      </c>
      <c r="C2827" s="31" t="s">
        <v>968</v>
      </c>
      <c r="D2827" s="30" t="s">
        <v>3663</v>
      </c>
      <c r="E2827" s="32">
        <v>46113.0</v>
      </c>
      <c r="F2827" s="32">
        <v>46171.0</v>
      </c>
      <c r="G2827" s="33"/>
    </row>
    <row r="2828" ht="15.75" customHeight="1">
      <c r="A2828" s="26" t="s">
        <v>6492</v>
      </c>
      <c r="B2828" s="27" t="s">
        <v>377</v>
      </c>
      <c r="C2828" s="27" t="s">
        <v>923</v>
      </c>
      <c r="D2828" s="26" t="s">
        <v>3663</v>
      </c>
      <c r="E2828" s="28">
        <v>46113.0</v>
      </c>
      <c r="F2828" s="28">
        <v>46171.0</v>
      </c>
      <c r="G2828" s="29"/>
    </row>
    <row r="2829" ht="15.75" customHeight="1">
      <c r="A2829" s="30" t="s">
        <v>6493</v>
      </c>
      <c r="B2829" s="31" t="s">
        <v>378</v>
      </c>
      <c r="C2829" s="31" t="s">
        <v>926</v>
      </c>
      <c r="D2829" s="30" t="s">
        <v>3663</v>
      </c>
      <c r="E2829" s="32">
        <v>46113.0</v>
      </c>
      <c r="F2829" s="32">
        <v>46171.0</v>
      </c>
      <c r="G2829" s="33"/>
    </row>
    <row r="2830" ht="15.75" customHeight="1">
      <c r="A2830" s="26" t="s">
        <v>6494</v>
      </c>
      <c r="B2830" s="27" t="s">
        <v>378</v>
      </c>
      <c r="C2830" s="27" t="s">
        <v>1354</v>
      </c>
      <c r="D2830" s="26" t="s">
        <v>3663</v>
      </c>
      <c r="E2830" s="28">
        <v>46113.0</v>
      </c>
      <c r="F2830" s="28">
        <v>46171.0</v>
      </c>
      <c r="G2830" s="29"/>
    </row>
    <row r="2831" ht="15.75" customHeight="1">
      <c r="A2831" s="30" t="s">
        <v>6495</v>
      </c>
      <c r="B2831" s="31" t="s">
        <v>378</v>
      </c>
      <c r="C2831" s="31" t="s">
        <v>3656</v>
      </c>
      <c r="D2831" s="30" t="s">
        <v>3663</v>
      </c>
      <c r="E2831" s="32">
        <v>46113.0</v>
      </c>
      <c r="F2831" s="32">
        <v>46171.0</v>
      </c>
      <c r="G2831" s="33"/>
    </row>
    <row r="2832" ht="15.75" customHeight="1">
      <c r="A2832" s="26" t="s">
        <v>6496</v>
      </c>
      <c r="B2832" s="27" t="s">
        <v>378</v>
      </c>
      <c r="C2832" s="27" t="s">
        <v>3657</v>
      </c>
      <c r="D2832" s="26" t="s">
        <v>3663</v>
      </c>
      <c r="E2832" s="28">
        <v>46113.0</v>
      </c>
      <c r="F2832" s="28">
        <v>46171.0</v>
      </c>
      <c r="G2832" s="29"/>
    </row>
    <row r="2833" ht="15.75" customHeight="1">
      <c r="A2833" s="30" t="s">
        <v>6497</v>
      </c>
      <c r="B2833" s="31" t="s">
        <v>378</v>
      </c>
      <c r="C2833" s="31" t="s">
        <v>1277</v>
      </c>
      <c r="D2833" s="30" t="s">
        <v>3663</v>
      </c>
      <c r="E2833" s="32">
        <v>46113.0</v>
      </c>
      <c r="F2833" s="32">
        <v>46171.0</v>
      </c>
      <c r="G2833" s="33"/>
    </row>
    <row r="2834" ht="15.75" customHeight="1">
      <c r="A2834" s="26" t="s">
        <v>6498</v>
      </c>
      <c r="B2834" s="27" t="s">
        <v>378</v>
      </c>
      <c r="C2834" s="27" t="s">
        <v>1279</v>
      </c>
      <c r="D2834" s="26" t="s">
        <v>3663</v>
      </c>
      <c r="E2834" s="28">
        <v>46113.0</v>
      </c>
      <c r="F2834" s="28">
        <v>46171.0</v>
      </c>
      <c r="G2834" s="29"/>
    </row>
    <row r="2835" ht="15.75" customHeight="1">
      <c r="A2835" s="30" t="s">
        <v>6499</v>
      </c>
      <c r="B2835" s="31" t="s">
        <v>378</v>
      </c>
      <c r="C2835" s="31" t="s">
        <v>1283</v>
      </c>
      <c r="D2835" s="30" t="s">
        <v>3663</v>
      </c>
      <c r="E2835" s="32">
        <v>46113.0</v>
      </c>
      <c r="F2835" s="32">
        <v>46171.0</v>
      </c>
      <c r="G2835" s="33"/>
    </row>
    <row r="2836" ht="15.75" customHeight="1">
      <c r="A2836" s="26" t="s">
        <v>6500</v>
      </c>
      <c r="B2836" s="27" t="s">
        <v>378</v>
      </c>
      <c r="C2836" s="27" t="s">
        <v>1281</v>
      </c>
      <c r="D2836" s="26" t="s">
        <v>3663</v>
      </c>
      <c r="E2836" s="28">
        <v>46113.0</v>
      </c>
      <c r="F2836" s="28">
        <v>46171.0</v>
      </c>
      <c r="G2836" s="29"/>
    </row>
    <row r="2837" ht="15.75" customHeight="1">
      <c r="A2837" s="30" t="s">
        <v>6501</v>
      </c>
      <c r="B2837" s="31" t="s">
        <v>378</v>
      </c>
      <c r="C2837" s="31" t="s">
        <v>1216</v>
      </c>
      <c r="D2837" s="30" t="s">
        <v>3663</v>
      </c>
      <c r="E2837" s="32">
        <v>46113.0</v>
      </c>
      <c r="F2837" s="32">
        <v>46171.0</v>
      </c>
      <c r="G2837" s="33"/>
    </row>
    <row r="2838" ht="15.75" customHeight="1">
      <c r="A2838" s="26" t="s">
        <v>6502</v>
      </c>
      <c r="B2838" s="27" t="s">
        <v>378</v>
      </c>
      <c r="C2838" s="27" t="s">
        <v>1351</v>
      </c>
      <c r="D2838" s="26" t="s">
        <v>3663</v>
      </c>
      <c r="E2838" s="28">
        <v>46113.0</v>
      </c>
      <c r="F2838" s="28">
        <v>46171.0</v>
      </c>
      <c r="G2838" s="29"/>
    </row>
    <row r="2839" ht="15.75" customHeight="1">
      <c r="A2839" s="30" t="s">
        <v>6503</v>
      </c>
      <c r="B2839" s="31" t="s">
        <v>378</v>
      </c>
      <c r="C2839" s="31" t="s">
        <v>1349</v>
      </c>
      <c r="D2839" s="30" t="s">
        <v>3663</v>
      </c>
      <c r="E2839" s="32">
        <v>46113.0</v>
      </c>
      <c r="F2839" s="32">
        <v>46171.0</v>
      </c>
      <c r="G2839" s="33"/>
    </row>
    <row r="2840" ht="15.75" customHeight="1">
      <c r="A2840" s="26" t="s">
        <v>6504</v>
      </c>
      <c r="B2840" s="27" t="s">
        <v>378</v>
      </c>
      <c r="C2840" s="27" t="s">
        <v>965</v>
      </c>
      <c r="D2840" s="26" t="s">
        <v>3663</v>
      </c>
      <c r="E2840" s="28">
        <v>46113.0</v>
      </c>
      <c r="F2840" s="28">
        <v>46171.0</v>
      </c>
      <c r="G2840" s="29"/>
    </row>
    <row r="2841" ht="15.75" customHeight="1">
      <c r="A2841" s="30" t="s">
        <v>6505</v>
      </c>
      <c r="B2841" s="31" t="s">
        <v>378</v>
      </c>
      <c r="C2841" s="31" t="s">
        <v>923</v>
      </c>
      <c r="D2841" s="30" t="s">
        <v>3663</v>
      </c>
      <c r="E2841" s="32">
        <v>46113.0</v>
      </c>
      <c r="F2841" s="32">
        <v>46171.0</v>
      </c>
      <c r="G2841" s="33"/>
    </row>
    <row r="2842" ht="15.75" customHeight="1">
      <c r="A2842" s="26" t="s">
        <v>6506</v>
      </c>
      <c r="B2842" s="27" t="s">
        <v>378</v>
      </c>
      <c r="C2842" s="27" t="s">
        <v>958</v>
      </c>
      <c r="D2842" s="26" t="s">
        <v>3663</v>
      </c>
      <c r="E2842" s="28">
        <v>46113.0</v>
      </c>
      <c r="F2842" s="28">
        <v>46171.0</v>
      </c>
      <c r="G2842" s="29"/>
    </row>
    <row r="2843" ht="15.75" customHeight="1">
      <c r="A2843" s="30" t="s">
        <v>6507</v>
      </c>
      <c r="B2843" s="31" t="s">
        <v>380</v>
      </c>
      <c r="C2843" s="31" t="s">
        <v>934</v>
      </c>
      <c r="D2843" s="30" t="s">
        <v>3663</v>
      </c>
      <c r="E2843" s="32">
        <v>46113.0</v>
      </c>
      <c r="F2843" s="32">
        <v>46171.0</v>
      </c>
      <c r="G2843" s="33"/>
    </row>
    <row r="2844" ht="15.75" customHeight="1">
      <c r="A2844" s="26" t="s">
        <v>6508</v>
      </c>
      <c r="B2844" s="27" t="s">
        <v>380</v>
      </c>
      <c r="C2844" s="27" t="s">
        <v>1354</v>
      </c>
      <c r="D2844" s="26" t="s">
        <v>3663</v>
      </c>
      <c r="E2844" s="28">
        <v>46113.0</v>
      </c>
      <c r="F2844" s="28">
        <v>46171.0</v>
      </c>
      <c r="G2844" s="29"/>
    </row>
    <row r="2845" ht="15.75" customHeight="1">
      <c r="A2845" s="30" t="s">
        <v>6509</v>
      </c>
      <c r="B2845" s="31" t="s">
        <v>380</v>
      </c>
      <c r="C2845" s="31" t="s">
        <v>3605</v>
      </c>
      <c r="D2845" s="30" t="s">
        <v>3663</v>
      </c>
      <c r="E2845" s="32">
        <v>46113.0</v>
      </c>
      <c r="F2845" s="32">
        <v>46171.0</v>
      </c>
      <c r="G2845" s="33"/>
    </row>
    <row r="2846" ht="15.75" customHeight="1">
      <c r="A2846" s="26" t="s">
        <v>6510</v>
      </c>
      <c r="B2846" s="27" t="s">
        <v>380</v>
      </c>
      <c r="C2846" s="27" t="s">
        <v>3656</v>
      </c>
      <c r="D2846" s="26" t="s">
        <v>3663</v>
      </c>
      <c r="E2846" s="28">
        <v>46113.0</v>
      </c>
      <c r="F2846" s="28">
        <v>46171.0</v>
      </c>
      <c r="G2846" s="29"/>
    </row>
    <row r="2847" ht="15.75" customHeight="1">
      <c r="A2847" s="30" t="s">
        <v>6511</v>
      </c>
      <c r="B2847" s="31" t="s">
        <v>380</v>
      </c>
      <c r="C2847" s="31" t="s">
        <v>3657</v>
      </c>
      <c r="D2847" s="30" t="s">
        <v>3663</v>
      </c>
      <c r="E2847" s="32">
        <v>46113.0</v>
      </c>
      <c r="F2847" s="32">
        <v>46171.0</v>
      </c>
      <c r="G2847" s="33"/>
    </row>
    <row r="2848" ht="15.75" customHeight="1">
      <c r="A2848" s="26" t="s">
        <v>6512</v>
      </c>
      <c r="B2848" s="27" t="s">
        <v>380</v>
      </c>
      <c r="C2848" s="27" t="s">
        <v>1157</v>
      </c>
      <c r="D2848" s="26" t="s">
        <v>3663</v>
      </c>
      <c r="E2848" s="28">
        <v>46113.0</v>
      </c>
      <c r="F2848" s="28">
        <v>46171.0</v>
      </c>
      <c r="G2848" s="29"/>
    </row>
    <row r="2849" ht="15.75" customHeight="1">
      <c r="A2849" s="30" t="s">
        <v>6513</v>
      </c>
      <c r="B2849" s="31" t="s">
        <v>380</v>
      </c>
      <c r="C2849" s="31" t="s">
        <v>1155</v>
      </c>
      <c r="D2849" s="30" t="s">
        <v>3663</v>
      </c>
      <c r="E2849" s="32">
        <v>46113.0</v>
      </c>
      <c r="F2849" s="32">
        <v>46171.0</v>
      </c>
      <c r="G2849" s="33"/>
    </row>
    <row r="2850" ht="15.75" customHeight="1">
      <c r="A2850" s="26" t="s">
        <v>6514</v>
      </c>
      <c r="B2850" s="27" t="s">
        <v>380</v>
      </c>
      <c r="C2850" s="27" t="s">
        <v>1153</v>
      </c>
      <c r="D2850" s="26" t="s">
        <v>3663</v>
      </c>
      <c r="E2850" s="28">
        <v>46113.0</v>
      </c>
      <c r="F2850" s="28">
        <v>46171.0</v>
      </c>
      <c r="G2850" s="29"/>
    </row>
    <row r="2851" ht="15.75" customHeight="1">
      <c r="A2851" s="30" t="s">
        <v>6515</v>
      </c>
      <c r="B2851" s="31" t="s">
        <v>380</v>
      </c>
      <c r="C2851" s="31" t="s">
        <v>1149</v>
      </c>
      <c r="D2851" s="30" t="s">
        <v>3663</v>
      </c>
      <c r="E2851" s="32">
        <v>46113.0</v>
      </c>
      <c r="F2851" s="32">
        <v>46171.0</v>
      </c>
      <c r="G2851" s="33"/>
    </row>
    <row r="2852" ht="15.75" customHeight="1">
      <c r="A2852" s="26" t="s">
        <v>6516</v>
      </c>
      <c r="B2852" s="27" t="s">
        <v>380</v>
      </c>
      <c r="C2852" s="27" t="s">
        <v>1351</v>
      </c>
      <c r="D2852" s="26" t="s">
        <v>3663</v>
      </c>
      <c r="E2852" s="28">
        <v>46113.0</v>
      </c>
      <c r="F2852" s="28">
        <v>46171.0</v>
      </c>
      <c r="G2852" s="29"/>
    </row>
    <row r="2853" ht="15.75" customHeight="1">
      <c r="A2853" s="30" t="s">
        <v>6517</v>
      </c>
      <c r="B2853" s="31" t="s">
        <v>380</v>
      </c>
      <c r="C2853" s="31" t="s">
        <v>1349</v>
      </c>
      <c r="D2853" s="30" t="s">
        <v>3663</v>
      </c>
      <c r="E2853" s="32">
        <v>46113.0</v>
      </c>
      <c r="F2853" s="32">
        <v>46171.0</v>
      </c>
      <c r="G2853" s="33"/>
    </row>
    <row r="2854" ht="15.75" customHeight="1">
      <c r="A2854" s="26" t="s">
        <v>6518</v>
      </c>
      <c r="B2854" s="27" t="s">
        <v>380</v>
      </c>
      <c r="C2854" s="27" t="s">
        <v>965</v>
      </c>
      <c r="D2854" s="26" t="s">
        <v>3663</v>
      </c>
      <c r="E2854" s="28">
        <v>46113.0</v>
      </c>
      <c r="F2854" s="28">
        <v>46171.0</v>
      </c>
      <c r="G2854" s="29"/>
    </row>
    <row r="2855" ht="15.75" customHeight="1">
      <c r="A2855" s="30" t="s">
        <v>6519</v>
      </c>
      <c r="B2855" s="31" t="s">
        <v>380</v>
      </c>
      <c r="C2855" s="31" t="s">
        <v>923</v>
      </c>
      <c r="D2855" s="30" t="s">
        <v>3663</v>
      </c>
      <c r="E2855" s="32">
        <v>46113.0</v>
      </c>
      <c r="F2855" s="32">
        <v>46171.0</v>
      </c>
      <c r="G2855" s="33"/>
    </row>
    <row r="2856" ht="15.75" customHeight="1">
      <c r="A2856" s="26" t="s">
        <v>6520</v>
      </c>
      <c r="B2856" s="27" t="s">
        <v>380</v>
      </c>
      <c r="C2856" s="27" t="s">
        <v>961</v>
      </c>
      <c r="D2856" s="26" t="s">
        <v>3663</v>
      </c>
      <c r="E2856" s="28">
        <v>46113.0</v>
      </c>
      <c r="F2856" s="28">
        <v>46171.0</v>
      </c>
      <c r="G2856" s="29"/>
    </row>
    <row r="2857" ht="15.75" customHeight="1">
      <c r="A2857" s="30" t="s">
        <v>6521</v>
      </c>
      <c r="B2857" s="31" t="s">
        <v>382</v>
      </c>
      <c r="C2857" s="31" t="s">
        <v>934</v>
      </c>
      <c r="D2857" s="30" t="s">
        <v>3663</v>
      </c>
      <c r="E2857" s="32">
        <v>46113.0</v>
      </c>
      <c r="F2857" s="32">
        <v>46171.0</v>
      </c>
      <c r="G2857" s="33"/>
    </row>
    <row r="2858" ht="15.75" customHeight="1">
      <c r="A2858" s="26" t="s">
        <v>6522</v>
      </c>
      <c r="B2858" s="27" t="s">
        <v>382</v>
      </c>
      <c r="C2858" s="27" t="s">
        <v>1354</v>
      </c>
      <c r="D2858" s="26" t="s">
        <v>3663</v>
      </c>
      <c r="E2858" s="28">
        <v>46113.0</v>
      </c>
      <c r="F2858" s="28">
        <v>46171.0</v>
      </c>
      <c r="G2858" s="29"/>
    </row>
    <row r="2859" ht="15.75" customHeight="1">
      <c r="A2859" s="30" t="s">
        <v>6523</v>
      </c>
      <c r="B2859" s="31" t="s">
        <v>382</v>
      </c>
      <c r="C2859" s="31" t="s">
        <v>1172</v>
      </c>
      <c r="D2859" s="30" t="s">
        <v>3663</v>
      </c>
      <c r="E2859" s="32">
        <v>46113.0</v>
      </c>
      <c r="F2859" s="32">
        <v>46171.0</v>
      </c>
      <c r="G2859" s="33"/>
    </row>
    <row r="2860" ht="15.75" customHeight="1">
      <c r="A2860" s="26" t="s">
        <v>6524</v>
      </c>
      <c r="B2860" s="27" t="s">
        <v>382</v>
      </c>
      <c r="C2860" s="27" t="s">
        <v>1312</v>
      </c>
      <c r="D2860" s="26" t="s">
        <v>3663</v>
      </c>
      <c r="E2860" s="28">
        <v>46113.0</v>
      </c>
      <c r="F2860" s="28">
        <v>46171.0</v>
      </c>
      <c r="G2860" s="29"/>
    </row>
    <row r="2861" ht="15.75" customHeight="1">
      <c r="A2861" s="30" t="s">
        <v>6525</v>
      </c>
      <c r="B2861" s="31" t="s">
        <v>382</v>
      </c>
      <c r="C2861" s="31" t="s">
        <v>1157</v>
      </c>
      <c r="D2861" s="30" t="s">
        <v>3663</v>
      </c>
      <c r="E2861" s="32">
        <v>46113.0</v>
      </c>
      <c r="F2861" s="32">
        <v>46171.0</v>
      </c>
      <c r="G2861" s="33"/>
    </row>
    <row r="2862" ht="15.75" customHeight="1">
      <c r="A2862" s="26" t="s">
        <v>6526</v>
      </c>
      <c r="B2862" s="27" t="s">
        <v>382</v>
      </c>
      <c r="C2862" s="27" t="s">
        <v>1155</v>
      </c>
      <c r="D2862" s="26" t="s">
        <v>3663</v>
      </c>
      <c r="E2862" s="28">
        <v>46113.0</v>
      </c>
      <c r="F2862" s="28">
        <v>46171.0</v>
      </c>
      <c r="G2862" s="29"/>
    </row>
    <row r="2863" ht="15.75" customHeight="1">
      <c r="A2863" s="30" t="s">
        <v>6527</v>
      </c>
      <c r="B2863" s="31" t="s">
        <v>382</v>
      </c>
      <c r="C2863" s="31" t="s">
        <v>1153</v>
      </c>
      <c r="D2863" s="30" t="s">
        <v>3663</v>
      </c>
      <c r="E2863" s="32">
        <v>46113.0</v>
      </c>
      <c r="F2863" s="32">
        <v>46171.0</v>
      </c>
      <c r="G2863" s="33"/>
    </row>
    <row r="2864" ht="15.75" customHeight="1">
      <c r="A2864" s="26" t="s">
        <v>6528</v>
      </c>
      <c r="B2864" s="27" t="s">
        <v>382</v>
      </c>
      <c r="C2864" s="27" t="s">
        <v>1149</v>
      </c>
      <c r="D2864" s="26" t="s">
        <v>3663</v>
      </c>
      <c r="E2864" s="28">
        <v>46113.0</v>
      </c>
      <c r="F2864" s="28">
        <v>46171.0</v>
      </c>
      <c r="G2864" s="29"/>
    </row>
    <row r="2865" ht="15.75" customHeight="1">
      <c r="A2865" s="30" t="s">
        <v>6529</v>
      </c>
      <c r="B2865" s="31" t="s">
        <v>382</v>
      </c>
      <c r="C2865" s="31" t="s">
        <v>1351</v>
      </c>
      <c r="D2865" s="30" t="s">
        <v>3663</v>
      </c>
      <c r="E2865" s="32">
        <v>46113.0</v>
      </c>
      <c r="F2865" s="32">
        <v>46171.0</v>
      </c>
      <c r="G2865" s="33"/>
    </row>
    <row r="2866" ht="15.75" customHeight="1">
      <c r="A2866" s="26" t="s">
        <v>6530</v>
      </c>
      <c r="B2866" s="27" t="s">
        <v>382</v>
      </c>
      <c r="C2866" s="27" t="s">
        <v>1349</v>
      </c>
      <c r="D2866" s="26" t="s">
        <v>3663</v>
      </c>
      <c r="E2866" s="28">
        <v>46113.0</v>
      </c>
      <c r="F2866" s="28">
        <v>46171.0</v>
      </c>
      <c r="G2866" s="29"/>
    </row>
    <row r="2867" ht="15.75" customHeight="1">
      <c r="A2867" s="30" t="s">
        <v>6531</v>
      </c>
      <c r="B2867" s="31" t="s">
        <v>382</v>
      </c>
      <c r="C2867" s="31" t="s">
        <v>3653</v>
      </c>
      <c r="D2867" s="30" t="s">
        <v>3663</v>
      </c>
      <c r="E2867" s="32">
        <v>46113.0</v>
      </c>
      <c r="F2867" s="32">
        <v>46171.0</v>
      </c>
      <c r="G2867" s="33"/>
    </row>
    <row r="2868" ht="15.75" customHeight="1">
      <c r="A2868" s="26" t="s">
        <v>6532</v>
      </c>
      <c r="B2868" s="27" t="s">
        <v>382</v>
      </c>
      <c r="C2868" s="27" t="s">
        <v>3652</v>
      </c>
      <c r="D2868" s="27" t="s">
        <v>3663</v>
      </c>
      <c r="E2868" s="28">
        <v>46113.0</v>
      </c>
      <c r="F2868" s="28">
        <v>46171.0</v>
      </c>
      <c r="G2868" s="29"/>
    </row>
    <row r="2869" ht="15.75" customHeight="1">
      <c r="A2869" s="30" t="s">
        <v>6533</v>
      </c>
      <c r="B2869" s="31" t="s">
        <v>382</v>
      </c>
      <c r="C2869" s="31" t="s">
        <v>965</v>
      </c>
      <c r="D2869" s="30" t="s">
        <v>3663</v>
      </c>
      <c r="E2869" s="32">
        <v>46113.0</v>
      </c>
      <c r="F2869" s="32">
        <v>46171.0</v>
      </c>
      <c r="G2869" s="33"/>
    </row>
    <row r="2870" ht="15.75" customHeight="1">
      <c r="A2870" s="26" t="s">
        <v>6534</v>
      </c>
      <c r="B2870" s="27" t="s">
        <v>382</v>
      </c>
      <c r="C2870" s="27" t="s">
        <v>923</v>
      </c>
      <c r="D2870" s="26" t="s">
        <v>3663</v>
      </c>
      <c r="E2870" s="28">
        <v>46113.0</v>
      </c>
      <c r="F2870" s="28">
        <v>46171.0</v>
      </c>
      <c r="G2870" s="29"/>
    </row>
    <row r="2871" ht="15.75" customHeight="1">
      <c r="A2871" s="30" t="s">
        <v>6535</v>
      </c>
      <c r="B2871" s="31" t="s">
        <v>383</v>
      </c>
      <c r="C2871" s="31" t="s">
        <v>926</v>
      </c>
      <c r="D2871" s="30" t="s">
        <v>3663</v>
      </c>
      <c r="E2871" s="32">
        <v>46113.0</v>
      </c>
      <c r="F2871" s="32">
        <v>46171.0</v>
      </c>
      <c r="G2871" s="33"/>
    </row>
    <row r="2872" ht="15.75" customHeight="1">
      <c r="A2872" s="26" t="s">
        <v>6536</v>
      </c>
      <c r="B2872" s="27" t="s">
        <v>383</v>
      </c>
      <c r="C2872" s="27" t="s">
        <v>1354</v>
      </c>
      <c r="D2872" s="26" t="s">
        <v>3663</v>
      </c>
      <c r="E2872" s="28">
        <v>46113.0</v>
      </c>
      <c r="F2872" s="28">
        <v>46171.0</v>
      </c>
      <c r="G2872" s="29"/>
    </row>
    <row r="2873" ht="15.75" customHeight="1">
      <c r="A2873" s="30" t="s">
        <v>6537</v>
      </c>
      <c r="B2873" s="31" t="s">
        <v>383</v>
      </c>
      <c r="C2873" s="31" t="s">
        <v>3681</v>
      </c>
      <c r="D2873" s="30" t="s">
        <v>3663</v>
      </c>
      <c r="E2873" s="32">
        <v>46113.0</v>
      </c>
      <c r="F2873" s="32">
        <v>46171.0</v>
      </c>
      <c r="G2873" s="33"/>
    </row>
    <row r="2874" ht="15.75" customHeight="1">
      <c r="A2874" s="26" t="s">
        <v>6538</v>
      </c>
      <c r="B2874" s="27" t="s">
        <v>383</v>
      </c>
      <c r="C2874" s="27" t="s">
        <v>3683</v>
      </c>
      <c r="D2874" s="26" t="s">
        <v>3663</v>
      </c>
      <c r="E2874" s="28">
        <v>46113.0</v>
      </c>
      <c r="F2874" s="28">
        <v>46171.0</v>
      </c>
      <c r="G2874" s="29"/>
    </row>
    <row r="2875" ht="15.75" customHeight="1">
      <c r="A2875" s="30" t="s">
        <v>6539</v>
      </c>
      <c r="B2875" s="31" t="s">
        <v>383</v>
      </c>
      <c r="C2875" s="31" t="s">
        <v>1277</v>
      </c>
      <c r="D2875" s="30" t="s">
        <v>3663</v>
      </c>
      <c r="E2875" s="32">
        <v>46113.0</v>
      </c>
      <c r="F2875" s="32">
        <v>46171.0</v>
      </c>
      <c r="G2875" s="33"/>
    </row>
    <row r="2876" ht="15.75" customHeight="1">
      <c r="A2876" s="26" t="s">
        <v>6540</v>
      </c>
      <c r="B2876" s="27" t="s">
        <v>383</v>
      </c>
      <c r="C2876" s="27" t="s">
        <v>1279</v>
      </c>
      <c r="D2876" s="26" t="s">
        <v>3663</v>
      </c>
      <c r="E2876" s="28">
        <v>46113.0</v>
      </c>
      <c r="F2876" s="28">
        <v>46171.0</v>
      </c>
      <c r="G2876" s="29"/>
    </row>
    <row r="2877" ht="15.75" customHeight="1">
      <c r="A2877" s="30" t="s">
        <v>6541</v>
      </c>
      <c r="B2877" s="31" t="s">
        <v>383</v>
      </c>
      <c r="C2877" s="31" t="s">
        <v>1283</v>
      </c>
      <c r="D2877" s="30" t="s">
        <v>3663</v>
      </c>
      <c r="E2877" s="32">
        <v>46113.0</v>
      </c>
      <c r="F2877" s="32">
        <v>46171.0</v>
      </c>
      <c r="G2877" s="33"/>
    </row>
    <row r="2878" ht="15.75" customHeight="1">
      <c r="A2878" s="26" t="s">
        <v>6542</v>
      </c>
      <c r="B2878" s="27" t="s">
        <v>383</v>
      </c>
      <c r="C2878" s="27" t="s">
        <v>1281</v>
      </c>
      <c r="D2878" s="26" t="s">
        <v>3663</v>
      </c>
      <c r="E2878" s="28">
        <v>46113.0</v>
      </c>
      <c r="F2878" s="28">
        <v>46171.0</v>
      </c>
      <c r="G2878" s="29"/>
    </row>
    <row r="2879" ht="15.75" customHeight="1">
      <c r="A2879" s="30" t="s">
        <v>6543</v>
      </c>
      <c r="B2879" s="31" t="s">
        <v>383</v>
      </c>
      <c r="C2879" s="31" t="s">
        <v>1218</v>
      </c>
      <c r="D2879" s="30" t="s">
        <v>3663</v>
      </c>
      <c r="E2879" s="32">
        <v>46113.0</v>
      </c>
      <c r="F2879" s="32">
        <v>46171.0</v>
      </c>
      <c r="G2879" s="33"/>
    </row>
    <row r="2880" ht="15.75" customHeight="1">
      <c r="A2880" s="26" t="s">
        <v>6544</v>
      </c>
      <c r="B2880" s="27" t="s">
        <v>383</v>
      </c>
      <c r="C2880" s="27" t="s">
        <v>1271</v>
      </c>
      <c r="D2880" s="26" t="s">
        <v>3663</v>
      </c>
      <c r="E2880" s="28">
        <v>46113.0</v>
      </c>
      <c r="F2880" s="28">
        <v>46171.0</v>
      </c>
      <c r="G2880" s="29"/>
    </row>
    <row r="2881" ht="15.75" customHeight="1">
      <c r="A2881" s="30" t="s">
        <v>6545</v>
      </c>
      <c r="B2881" s="31" t="s">
        <v>383</v>
      </c>
      <c r="C2881" s="31" t="s">
        <v>1351</v>
      </c>
      <c r="D2881" s="30" t="s">
        <v>3663</v>
      </c>
      <c r="E2881" s="32">
        <v>46113.0</v>
      </c>
      <c r="F2881" s="32">
        <v>46171.0</v>
      </c>
      <c r="G2881" s="33"/>
    </row>
    <row r="2882" ht="15.75" customHeight="1">
      <c r="A2882" s="26" t="s">
        <v>6546</v>
      </c>
      <c r="B2882" s="27" t="s">
        <v>383</v>
      </c>
      <c r="C2882" s="27" t="s">
        <v>1349</v>
      </c>
      <c r="D2882" s="26" t="s">
        <v>3663</v>
      </c>
      <c r="E2882" s="28">
        <v>46113.0</v>
      </c>
      <c r="F2882" s="28">
        <v>46171.0</v>
      </c>
      <c r="G2882" s="29"/>
    </row>
    <row r="2883" ht="15.75" customHeight="1">
      <c r="A2883" s="30" t="s">
        <v>6547</v>
      </c>
      <c r="B2883" s="31" t="s">
        <v>383</v>
      </c>
      <c r="C2883" s="31" t="s">
        <v>968</v>
      </c>
      <c r="D2883" s="30" t="s">
        <v>3663</v>
      </c>
      <c r="E2883" s="32">
        <v>46113.0</v>
      </c>
      <c r="F2883" s="32">
        <v>46171.0</v>
      </c>
      <c r="G2883" s="33"/>
    </row>
    <row r="2884" ht="15.75" customHeight="1">
      <c r="A2884" s="26" t="s">
        <v>6548</v>
      </c>
      <c r="B2884" s="27" t="s">
        <v>383</v>
      </c>
      <c r="C2884" s="27" t="s">
        <v>923</v>
      </c>
      <c r="D2884" s="26" t="s">
        <v>3663</v>
      </c>
      <c r="E2884" s="28">
        <v>46113.0</v>
      </c>
      <c r="F2884" s="28">
        <v>46171.0</v>
      </c>
      <c r="G2884" s="29"/>
    </row>
    <row r="2885" ht="15.75" customHeight="1">
      <c r="A2885" s="30" t="s">
        <v>6549</v>
      </c>
      <c r="B2885" s="31" t="s">
        <v>384</v>
      </c>
      <c r="C2885" s="31" t="s">
        <v>932</v>
      </c>
      <c r="D2885" s="30" t="s">
        <v>3663</v>
      </c>
      <c r="E2885" s="32">
        <v>46113.0</v>
      </c>
      <c r="F2885" s="32">
        <v>46171.0</v>
      </c>
      <c r="G2885" s="33"/>
    </row>
    <row r="2886" ht="15.75" customHeight="1">
      <c r="A2886" s="26" t="s">
        <v>6550</v>
      </c>
      <c r="B2886" s="27" t="s">
        <v>384</v>
      </c>
      <c r="C2886" s="27" t="s">
        <v>1164</v>
      </c>
      <c r="D2886" s="26" t="s">
        <v>3663</v>
      </c>
      <c r="E2886" s="28">
        <v>46113.0</v>
      </c>
      <c r="F2886" s="28">
        <v>46171.0</v>
      </c>
      <c r="G2886" s="29"/>
    </row>
    <row r="2887" ht="15.75" customHeight="1">
      <c r="A2887" s="30" t="s">
        <v>6551</v>
      </c>
      <c r="B2887" s="31" t="s">
        <v>384</v>
      </c>
      <c r="C2887" s="31" t="s">
        <v>1166</v>
      </c>
      <c r="D2887" s="30" t="s">
        <v>3663</v>
      </c>
      <c r="E2887" s="32">
        <v>46113.0</v>
      </c>
      <c r="F2887" s="32">
        <v>46171.0</v>
      </c>
      <c r="G2887" s="33"/>
    </row>
    <row r="2888" ht="15.75" customHeight="1">
      <c r="A2888" s="26" t="s">
        <v>6552</v>
      </c>
      <c r="B2888" s="27" t="s">
        <v>384</v>
      </c>
      <c r="C2888" s="27" t="s">
        <v>1168</v>
      </c>
      <c r="D2888" s="26" t="s">
        <v>3663</v>
      </c>
      <c r="E2888" s="28">
        <v>46113.0</v>
      </c>
      <c r="F2888" s="28">
        <v>46171.0</v>
      </c>
      <c r="G2888" s="29"/>
    </row>
    <row r="2889" ht="15.75" customHeight="1">
      <c r="A2889" s="30" t="s">
        <v>6553</v>
      </c>
      <c r="B2889" s="31" t="s">
        <v>384</v>
      </c>
      <c r="C2889" s="31" t="s">
        <v>1170</v>
      </c>
      <c r="D2889" s="30" t="s">
        <v>3663</v>
      </c>
      <c r="E2889" s="32">
        <v>46113.0</v>
      </c>
      <c r="F2889" s="32">
        <v>46171.0</v>
      </c>
      <c r="G2889" s="33"/>
    </row>
    <row r="2890" ht="15.75" customHeight="1">
      <c r="A2890" s="26" t="s">
        <v>6554</v>
      </c>
      <c r="B2890" s="27" t="s">
        <v>384</v>
      </c>
      <c r="C2890" s="27" t="s">
        <v>1354</v>
      </c>
      <c r="D2890" s="26" t="s">
        <v>3663</v>
      </c>
      <c r="E2890" s="28">
        <v>46113.0</v>
      </c>
      <c r="F2890" s="28">
        <v>46171.0</v>
      </c>
      <c r="G2890" s="29"/>
    </row>
    <row r="2891" ht="15.75" customHeight="1">
      <c r="A2891" s="30" t="s">
        <v>6555</v>
      </c>
      <c r="B2891" s="31" t="s">
        <v>384</v>
      </c>
      <c r="C2891" s="31" t="s">
        <v>1312</v>
      </c>
      <c r="D2891" s="30" t="s">
        <v>3663</v>
      </c>
      <c r="E2891" s="32">
        <v>46113.0</v>
      </c>
      <c r="F2891" s="32">
        <v>46171.0</v>
      </c>
      <c r="G2891" s="33"/>
    </row>
    <row r="2892" ht="15.75" customHeight="1">
      <c r="A2892" s="26" t="s">
        <v>6556</v>
      </c>
      <c r="B2892" s="27" t="s">
        <v>384</v>
      </c>
      <c r="C2892" s="27" t="s">
        <v>3656</v>
      </c>
      <c r="D2892" s="26" t="s">
        <v>3663</v>
      </c>
      <c r="E2892" s="28">
        <v>46113.0</v>
      </c>
      <c r="F2892" s="28">
        <v>46171.0</v>
      </c>
      <c r="G2892" s="29"/>
    </row>
    <row r="2893" ht="15.75" customHeight="1">
      <c r="A2893" s="30" t="s">
        <v>6557</v>
      </c>
      <c r="B2893" s="31" t="s">
        <v>384</v>
      </c>
      <c r="C2893" s="31" t="s">
        <v>3657</v>
      </c>
      <c r="D2893" s="30" t="s">
        <v>3663</v>
      </c>
      <c r="E2893" s="32">
        <v>46113.0</v>
      </c>
      <c r="F2893" s="32">
        <v>46171.0</v>
      </c>
      <c r="G2893" s="33"/>
    </row>
    <row r="2894" ht="15.75" customHeight="1">
      <c r="A2894" s="26" t="s">
        <v>6558</v>
      </c>
      <c r="B2894" s="27" t="s">
        <v>384</v>
      </c>
      <c r="C2894" s="27" t="s">
        <v>1351</v>
      </c>
      <c r="D2894" s="26" t="s">
        <v>3663</v>
      </c>
      <c r="E2894" s="28">
        <v>46113.0</v>
      </c>
      <c r="F2894" s="28">
        <v>46171.0</v>
      </c>
      <c r="G2894" s="29"/>
    </row>
    <row r="2895" ht="15.75" customHeight="1">
      <c r="A2895" s="30" t="s">
        <v>6559</v>
      </c>
      <c r="B2895" s="31" t="s">
        <v>384</v>
      </c>
      <c r="C2895" s="31" t="s">
        <v>1349</v>
      </c>
      <c r="D2895" s="30" t="s">
        <v>3663</v>
      </c>
      <c r="E2895" s="32">
        <v>46113.0</v>
      </c>
      <c r="F2895" s="32">
        <v>46171.0</v>
      </c>
      <c r="G2895" s="33"/>
    </row>
    <row r="2896" ht="15.75" customHeight="1">
      <c r="A2896" s="26" t="s">
        <v>6560</v>
      </c>
      <c r="B2896" s="27" t="s">
        <v>384</v>
      </c>
      <c r="C2896" s="27" t="s">
        <v>968</v>
      </c>
      <c r="D2896" s="26" t="s">
        <v>3663</v>
      </c>
      <c r="E2896" s="28">
        <v>46113.0</v>
      </c>
      <c r="F2896" s="28">
        <v>46171.0</v>
      </c>
      <c r="G2896" s="29"/>
    </row>
    <row r="2897" ht="15.75" customHeight="1">
      <c r="A2897" s="30" t="s">
        <v>6561</v>
      </c>
      <c r="B2897" s="31" t="s">
        <v>384</v>
      </c>
      <c r="C2897" s="31" t="s">
        <v>923</v>
      </c>
      <c r="D2897" s="30" t="s">
        <v>3663</v>
      </c>
      <c r="E2897" s="32">
        <v>46113.0</v>
      </c>
      <c r="F2897" s="32">
        <v>46171.0</v>
      </c>
      <c r="G2897" s="33"/>
    </row>
    <row r="2898" ht="15.75" customHeight="1">
      <c r="A2898" s="26" t="s">
        <v>6562</v>
      </c>
      <c r="B2898" s="27" t="s">
        <v>384</v>
      </c>
      <c r="C2898" s="27" t="s">
        <v>961</v>
      </c>
      <c r="D2898" s="26" t="s">
        <v>3663</v>
      </c>
      <c r="E2898" s="28">
        <v>46113.0</v>
      </c>
      <c r="F2898" s="28">
        <v>46171.0</v>
      </c>
      <c r="G2898" s="29"/>
    </row>
    <row r="2899" ht="15.75" customHeight="1">
      <c r="A2899" s="30" t="s">
        <v>6563</v>
      </c>
      <c r="B2899" s="31" t="s">
        <v>385</v>
      </c>
      <c r="C2899" s="31" t="s">
        <v>932</v>
      </c>
      <c r="D2899" s="30" t="s">
        <v>3663</v>
      </c>
      <c r="E2899" s="32">
        <v>46113.0</v>
      </c>
      <c r="F2899" s="32">
        <v>46171.0</v>
      </c>
      <c r="G2899" s="33"/>
    </row>
    <row r="2900" ht="15.75" customHeight="1">
      <c r="A2900" s="26" t="s">
        <v>6564</v>
      </c>
      <c r="B2900" s="27" t="s">
        <v>385</v>
      </c>
      <c r="C2900" s="27" t="s">
        <v>1168</v>
      </c>
      <c r="D2900" s="26" t="s">
        <v>3663</v>
      </c>
      <c r="E2900" s="28">
        <v>46113.0</v>
      </c>
      <c r="F2900" s="28">
        <v>46171.0</v>
      </c>
      <c r="G2900" s="29"/>
    </row>
    <row r="2901" ht="15.75" customHeight="1">
      <c r="A2901" s="30" t="s">
        <v>6565</v>
      </c>
      <c r="B2901" s="31" t="s">
        <v>385</v>
      </c>
      <c r="C2901" s="31" t="s">
        <v>1170</v>
      </c>
      <c r="D2901" s="30" t="s">
        <v>3663</v>
      </c>
      <c r="E2901" s="32">
        <v>46113.0</v>
      </c>
      <c r="F2901" s="32">
        <v>46171.0</v>
      </c>
      <c r="G2901" s="33"/>
    </row>
    <row r="2902" ht="15.75" customHeight="1">
      <c r="A2902" s="26" t="s">
        <v>6566</v>
      </c>
      <c r="B2902" s="27" t="s">
        <v>385</v>
      </c>
      <c r="C2902" s="27" t="s">
        <v>1288</v>
      </c>
      <c r="D2902" s="26" t="s">
        <v>3663</v>
      </c>
      <c r="E2902" s="28">
        <v>46113.0</v>
      </c>
      <c r="F2902" s="28">
        <v>46171.0</v>
      </c>
      <c r="G2902" s="29"/>
    </row>
    <row r="2903" ht="15.75" customHeight="1">
      <c r="A2903" s="30" t="s">
        <v>6567</v>
      </c>
      <c r="B2903" s="31" t="s">
        <v>385</v>
      </c>
      <c r="C2903" s="31" t="s">
        <v>1291</v>
      </c>
      <c r="D2903" s="30" t="s">
        <v>3663</v>
      </c>
      <c r="E2903" s="32">
        <v>46113.0</v>
      </c>
      <c r="F2903" s="32">
        <v>46171.0</v>
      </c>
      <c r="G2903" s="33"/>
    </row>
    <row r="2904" ht="15.75" customHeight="1">
      <c r="A2904" s="26" t="s">
        <v>6568</v>
      </c>
      <c r="B2904" s="27" t="s">
        <v>385</v>
      </c>
      <c r="C2904" s="27" t="s">
        <v>1354</v>
      </c>
      <c r="D2904" s="26" t="s">
        <v>3663</v>
      </c>
      <c r="E2904" s="28">
        <v>46113.0</v>
      </c>
      <c r="F2904" s="28">
        <v>46171.0</v>
      </c>
      <c r="G2904" s="29"/>
    </row>
    <row r="2905" ht="15.75" customHeight="1">
      <c r="A2905" s="30" t="s">
        <v>6569</v>
      </c>
      <c r="B2905" s="31" t="s">
        <v>385</v>
      </c>
      <c r="C2905" s="31" t="s">
        <v>3656</v>
      </c>
      <c r="D2905" s="30" t="s">
        <v>3663</v>
      </c>
      <c r="E2905" s="32">
        <v>46113.0</v>
      </c>
      <c r="F2905" s="32">
        <v>46171.0</v>
      </c>
      <c r="G2905" s="33"/>
    </row>
    <row r="2906" ht="15.75" customHeight="1">
      <c r="A2906" s="26" t="s">
        <v>6570</v>
      </c>
      <c r="B2906" s="27" t="s">
        <v>385</v>
      </c>
      <c r="C2906" s="27" t="s">
        <v>3657</v>
      </c>
      <c r="D2906" s="26" t="s">
        <v>3663</v>
      </c>
      <c r="E2906" s="28">
        <v>46113.0</v>
      </c>
      <c r="F2906" s="28">
        <v>46171.0</v>
      </c>
      <c r="G2906" s="29"/>
    </row>
    <row r="2907" ht="15.75" customHeight="1">
      <c r="A2907" s="30" t="s">
        <v>6571</v>
      </c>
      <c r="B2907" s="31" t="s">
        <v>385</v>
      </c>
      <c r="C2907" s="31" t="s">
        <v>1218</v>
      </c>
      <c r="D2907" s="30" t="s">
        <v>3663</v>
      </c>
      <c r="E2907" s="32">
        <v>46113.0</v>
      </c>
      <c r="F2907" s="32">
        <v>46171.0</v>
      </c>
      <c r="G2907" s="33"/>
    </row>
    <row r="2908" ht="15.75" customHeight="1">
      <c r="A2908" s="26" t="s">
        <v>6572</v>
      </c>
      <c r="B2908" s="27" t="s">
        <v>385</v>
      </c>
      <c r="C2908" s="27" t="s">
        <v>1351</v>
      </c>
      <c r="D2908" s="26" t="s">
        <v>3663</v>
      </c>
      <c r="E2908" s="28">
        <v>46113.0</v>
      </c>
      <c r="F2908" s="28">
        <v>46171.0</v>
      </c>
      <c r="G2908" s="29"/>
    </row>
    <row r="2909" ht="15.75" customHeight="1">
      <c r="A2909" s="30" t="s">
        <v>6573</v>
      </c>
      <c r="B2909" s="31" t="s">
        <v>385</v>
      </c>
      <c r="C2909" s="31" t="s">
        <v>1349</v>
      </c>
      <c r="D2909" s="30" t="s">
        <v>3663</v>
      </c>
      <c r="E2909" s="32">
        <v>46113.0</v>
      </c>
      <c r="F2909" s="32">
        <v>46171.0</v>
      </c>
      <c r="G2909" s="33"/>
    </row>
    <row r="2910" ht="15.75" customHeight="1">
      <c r="A2910" s="26" t="s">
        <v>6574</v>
      </c>
      <c r="B2910" s="27" t="s">
        <v>385</v>
      </c>
      <c r="C2910" s="27" t="s">
        <v>968</v>
      </c>
      <c r="D2910" s="26" t="s">
        <v>3663</v>
      </c>
      <c r="E2910" s="28">
        <v>46113.0</v>
      </c>
      <c r="F2910" s="28">
        <v>46171.0</v>
      </c>
      <c r="G2910" s="29"/>
    </row>
    <row r="2911" ht="15.75" customHeight="1">
      <c r="A2911" s="30" t="s">
        <v>6575</v>
      </c>
      <c r="B2911" s="31" t="s">
        <v>385</v>
      </c>
      <c r="C2911" s="31" t="s">
        <v>923</v>
      </c>
      <c r="D2911" s="30" t="s">
        <v>3663</v>
      </c>
      <c r="E2911" s="32">
        <v>46113.0</v>
      </c>
      <c r="F2911" s="32">
        <v>46171.0</v>
      </c>
      <c r="G2911" s="33"/>
    </row>
    <row r="2912" ht="15.75" customHeight="1">
      <c r="A2912" s="26" t="s">
        <v>6576</v>
      </c>
      <c r="B2912" s="27" t="s">
        <v>385</v>
      </c>
      <c r="C2912" s="27" t="s">
        <v>955</v>
      </c>
      <c r="D2912" s="26" t="s">
        <v>3663</v>
      </c>
      <c r="E2912" s="28">
        <v>46113.0</v>
      </c>
      <c r="F2912" s="28">
        <v>46171.0</v>
      </c>
      <c r="G2912" s="29"/>
    </row>
    <row r="2913" ht="15.75" customHeight="1">
      <c r="A2913" s="30" t="s">
        <v>6577</v>
      </c>
      <c r="B2913" s="31" t="s">
        <v>386</v>
      </c>
      <c r="C2913" s="31" t="s">
        <v>1240</v>
      </c>
      <c r="D2913" s="30" t="s">
        <v>3663</v>
      </c>
      <c r="E2913" s="32">
        <v>46113.0</v>
      </c>
      <c r="F2913" s="32">
        <v>46171.0</v>
      </c>
      <c r="G2913" s="33"/>
    </row>
    <row r="2914" ht="15.75" customHeight="1">
      <c r="A2914" s="26" t="s">
        <v>6578</v>
      </c>
      <c r="B2914" s="27" t="s">
        <v>386</v>
      </c>
      <c r="C2914" s="27" t="s">
        <v>1242</v>
      </c>
      <c r="D2914" s="26" t="s">
        <v>3663</v>
      </c>
      <c r="E2914" s="28">
        <v>46113.0</v>
      </c>
      <c r="F2914" s="28">
        <v>46171.0</v>
      </c>
      <c r="G2914" s="29"/>
    </row>
    <row r="2915" ht="15.75" customHeight="1">
      <c r="A2915" s="30" t="s">
        <v>6579</v>
      </c>
      <c r="B2915" s="31" t="s">
        <v>386</v>
      </c>
      <c r="C2915" s="31" t="s">
        <v>1244</v>
      </c>
      <c r="D2915" s="30" t="s">
        <v>3663</v>
      </c>
      <c r="E2915" s="32">
        <v>46113.0</v>
      </c>
      <c r="F2915" s="32">
        <v>46171.0</v>
      </c>
      <c r="G2915" s="33"/>
    </row>
    <row r="2916" ht="15.75" customHeight="1">
      <c r="A2916" s="26" t="s">
        <v>6580</v>
      </c>
      <c r="B2916" s="27" t="s">
        <v>386</v>
      </c>
      <c r="C2916" s="27" t="s">
        <v>1246</v>
      </c>
      <c r="D2916" s="26" t="s">
        <v>3663</v>
      </c>
      <c r="E2916" s="28">
        <v>46113.0</v>
      </c>
      <c r="F2916" s="28">
        <v>46171.0</v>
      </c>
      <c r="G2916" s="29"/>
    </row>
    <row r="2917" ht="15.75" customHeight="1">
      <c r="A2917" s="30" t="s">
        <v>6581</v>
      </c>
      <c r="B2917" s="31" t="s">
        <v>386</v>
      </c>
      <c r="C2917" s="31" t="s">
        <v>934</v>
      </c>
      <c r="D2917" s="30" t="s">
        <v>3663</v>
      </c>
      <c r="E2917" s="32">
        <v>46113.0</v>
      </c>
      <c r="F2917" s="32">
        <v>46171.0</v>
      </c>
      <c r="G2917" s="33"/>
    </row>
    <row r="2918" ht="15.75" customHeight="1">
      <c r="A2918" s="26" t="s">
        <v>6582</v>
      </c>
      <c r="B2918" s="27" t="s">
        <v>386</v>
      </c>
      <c r="C2918" s="27" t="s">
        <v>1354</v>
      </c>
      <c r="D2918" s="26" t="s">
        <v>3663</v>
      </c>
      <c r="E2918" s="28">
        <v>46113.0</v>
      </c>
      <c r="F2918" s="28">
        <v>46171.0</v>
      </c>
      <c r="G2918" s="29"/>
    </row>
    <row r="2919" ht="15.75" customHeight="1">
      <c r="A2919" s="30" t="s">
        <v>6583</v>
      </c>
      <c r="B2919" s="31" t="s">
        <v>386</v>
      </c>
      <c r="C2919" s="31" t="s">
        <v>3656</v>
      </c>
      <c r="D2919" s="30" t="s">
        <v>3663</v>
      </c>
      <c r="E2919" s="32">
        <v>46113.0</v>
      </c>
      <c r="F2919" s="32">
        <v>46171.0</v>
      </c>
      <c r="G2919" s="33"/>
    </row>
    <row r="2920" ht="15.75" customHeight="1">
      <c r="A2920" s="26" t="s">
        <v>6584</v>
      </c>
      <c r="B2920" s="27" t="s">
        <v>386</v>
      </c>
      <c r="C2920" s="27" t="s">
        <v>3657</v>
      </c>
      <c r="D2920" s="26" t="s">
        <v>3663</v>
      </c>
      <c r="E2920" s="28">
        <v>46113.0</v>
      </c>
      <c r="F2920" s="28">
        <v>46171.0</v>
      </c>
      <c r="G2920" s="29"/>
    </row>
    <row r="2921" ht="15.75" customHeight="1">
      <c r="A2921" s="30" t="s">
        <v>6585</v>
      </c>
      <c r="B2921" s="31" t="s">
        <v>386</v>
      </c>
      <c r="C2921" s="31" t="s">
        <v>1218</v>
      </c>
      <c r="D2921" s="30" t="s">
        <v>3663</v>
      </c>
      <c r="E2921" s="32">
        <v>46113.0</v>
      </c>
      <c r="F2921" s="32">
        <v>46171.0</v>
      </c>
      <c r="G2921" s="33"/>
    </row>
    <row r="2922" ht="15.75" customHeight="1">
      <c r="A2922" s="26" t="s">
        <v>6586</v>
      </c>
      <c r="B2922" s="27" t="s">
        <v>386</v>
      </c>
      <c r="C2922" s="27" t="s">
        <v>1271</v>
      </c>
      <c r="D2922" s="26" t="s">
        <v>3663</v>
      </c>
      <c r="E2922" s="28">
        <v>46113.0</v>
      </c>
      <c r="F2922" s="28">
        <v>46171.0</v>
      </c>
      <c r="G2922" s="29"/>
    </row>
    <row r="2923" ht="15.75" customHeight="1">
      <c r="A2923" s="30" t="s">
        <v>6587</v>
      </c>
      <c r="B2923" s="31" t="s">
        <v>386</v>
      </c>
      <c r="C2923" s="31" t="s">
        <v>1351</v>
      </c>
      <c r="D2923" s="30" t="s">
        <v>3663</v>
      </c>
      <c r="E2923" s="32">
        <v>46113.0</v>
      </c>
      <c r="F2923" s="32">
        <v>46171.0</v>
      </c>
      <c r="G2923" s="33"/>
    </row>
    <row r="2924" ht="15.75" customHeight="1">
      <c r="A2924" s="26" t="s">
        <v>6588</v>
      </c>
      <c r="B2924" s="27" t="s">
        <v>386</v>
      </c>
      <c r="C2924" s="27" t="s">
        <v>1349</v>
      </c>
      <c r="D2924" s="26" t="s">
        <v>3663</v>
      </c>
      <c r="E2924" s="28">
        <v>46113.0</v>
      </c>
      <c r="F2924" s="28">
        <v>46171.0</v>
      </c>
      <c r="G2924" s="29"/>
    </row>
    <row r="2925" ht="15.75" customHeight="1">
      <c r="A2925" s="30" t="s">
        <v>6589</v>
      </c>
      <c r="B2925" s="31" t="s">
        <v>386</v>
      </c>
      <c r="C2925" s="31" t="s">
        <v>968</v>
      </c>
      <c r="D2925" s="30" t="s">
        <v>3663</v>
      </c>
      <c r="E2925" s="32">
        <v>46113.0</v>
      </c>
      <c r="F2925" s="32">
        <v>46171.0</v>
      </c>
      <c r="G2925" s="33"/>
    </row>
    <row r="2926" ht="15.75" customHeight="1">
      <c r="A2926" s="26" t="s">
        <v>6590</v>
      </c>
      <c r="B2926" s="27" t="s">
        <v>386</v>
      </c>
      <c r="C2926" s="27" t="s">
        <v>923</v>
      </c>
      <c r="D2926" s="26" t="s">
        <v>3663</v>
      </c>
      <c r="E2926" s="28">
        <v>46113.0</v>
      </c>
      <c r="F2926" s="28">
        <v>46171.0</v>
      </c>
      <c r="G2926" s="29"/>
    </row>
    <row r="2927" ht="15.75" customHeight="1">
      <c r="A2927" s="30" t="s">
        <v>6591</v>
      </c>
      <c r="B2927" s="31" t="s">
        <v>387</v>
      </c>
      <c r="C2927" s="31" t="s">
        <v>3654</v>
      </c>
      <c r="D2927" s="30" t="s">
        <v>3663</v>
      </c>
      <c r="E2927" s="32">
        <v>46113.0</v>
      </c>
      <c r="F2927" s="32">
        <v>46171.0</v>
      </c>
      <c r="G2927" s="33"/>
    </row>
    <row r="2928" ht="15.75" customHeight="1">
      <c r="A2928" s="26" t="s">
        <v>6592</v>
      </c>
      <c r="B2928" s="27" t="s">
        <v>387</v>
      </c>
      <c r="C2928" s="27" t="s">
        <v>3655</v>
      </c>
      <c r="D2928" s="26" t="s">
        <v>3663</v>
      </c>
      <c r="E2928" s="28">
        <v>46113.0</v>
      </c>
      <c r="F2928" s="28">
        <v>46171.0</v>
      </c>
      <c r="G2928" s="29"/>
    </row>
    <row r="2929" ht="15.75" customHeight="1">
      <c r="A2929" s="30" t="s">
        <v>6593</v>
      </c>
      <c r="B2929" s="31" t="s">
        <v>387</v>
      </c>
      <c r="C2929" s="31" t="s">
        <v>934</v>
      </c>
      <c r="D2929" s="30" t="s">
        <v>3663</v>
      </c>
      <c r="E2929" s="32">
        <v>46113.0</v>
      </c>
      <c r="F2929" s="32">
        <v>46171.0</v>
      </c>
      <c r="G2929" s="33"/>
    </row>
    <row r="2930" ht="15.75" customHeight="1">
      <c r="A2930" s="26" t="s">
        <v>6594</v>
      </c>
      <c r="B2930" s="27" t="s">
        <v>387</v>
      </c>
      <c r="C2930" s="27" t="s">
        <v>1354</v>
      </c>
      <c r="D2930" s="26" t="s">
        <v>3663</v>
      </c>
      <c r="E2930" s="28">
        <v>46113.0</v>
      </c>
      <c r="F2930" s="28">
        <v>46171.0</v>
      </c>
      <c r="G2930" s="29"/>
    </row>
    <row r="2931" ht="15.75" customHeight="1">
      <c r="A2931" s="30" t="s">
        <v>6595</v>
      </c>
      <c r="B2931" s="31" t="s">
        <v>387</v>
      </c>
      <c r="C2931" s="31" t="s">
        <v>3605</v>
      </c>
      <c r="D2931" s="30" t="s">
        <v>3663</v>
      </c>
      <c r="E2931" s="32">
        <v>46113.0</v>
      </c>
      <c r="F2931" s="32">
        <v>46171.0</v>
      </c>
      <c r="G2931" s="33"/>
    </row>
    <row r="2932" ht="15.75" customHeight="1">
      <c r="A2932" s="26" t="s">
        <v>6596</v>
      </c>
      <c r="B2932" s="27" t="s">
        <v>387</v>
      </c>
      <c r="C2932" s="27" t="s">
        <v>1218</v>
      </c>
      <c r="D2932" s="26" t="s">
        <v>3663</v>
      </c>
      <c r="E2932" s="28">
        <v>46113.0</v>
      </c>
      <c r="F2932" s="28">
        <v>46171.0</v>
      </c>
      <c r="G2932" s="29"/>
    </row>
    <row r="2933" ht="15.75" customHeight="1">
      <c r="A2933" s="30" t="s">
        <v>6597</v>
      </c>
      <c r="B2933" s="31" t="s">
        <v>387</v>
      </c>
      <c r="C2933" s="31" t="s">
        <v>1157</v>
      </c>
      <c r="D2933" s="30" t="s">
        <v>3663</v>
      </c>
      <c r="E2933" s="32">
        <v>46113.0</v>
      </c>
      <c r="F2933" s="32">
        <v>46171.0</v>
      </c>
      <c r="G2933" s="33"/>
    </row>
    <row r="2934" ht="15.75" customHeight="1">
      <c r="A2934" s="26" t="s">
        <v>6598</v>
      </c>
      <c r="B2934" s="27" t="s">
        <v>387</v>
      </c>
      <c r="C2934" s="27" t="s">
        <v>1155</v>
      </c>
      <c r="D2934" s="26" t="s">
        <v>3663</v>
      </c>
      <c r="E2934" s="28">
        <v>46113.0</v>
      </c>
      <c r="F2934" s="28">
        <v>46171.0</v>
      </c>
      <c r="G2934" s="29"/>
    </row>
    <row r="2935" ht="15.75" customHeight="1">
      <c r="A2935" s="30" t="s">
        <v>6599</v>
      </c>
      <c r="B2935" s="31" t="s">
        <v>387</v>
      </c>
      <c r="C2935" s="31" t="s">
        <v>1153</v>
      </c>
      <c r="D2935" s="30" t="s">
        <v>3663</v>
      </c>
      <c r="E2935" s="32">
        <v>46113.0</v>
      </c>
      <c r="F2935" s="32">
        <v>46171.0</v>
      </c>
      <c r="G2935" s="33"/>
    </row>
    <row r="2936" ht="15.75" customHeight="1">
      <c r="A2936" s="26" t="s">
        <v>6600</v>
      </c>
      <c r="B2936" s="27" t="s">
        <v>387</v>
      </c>
      <c r="C2936" s="27" t="s">
        <v>1149</v>
      </c>
      <c r="D2936" s="26" t="s">
        <v>3663</v>
      </c>
      <c r="E2936" s="28">
        <v>46113.0</v>
      </c>
      <c r="F2936" s="28">
        <v>46171.0</v>
      </c>
      <c r="G2936" s="29"/>
    </row>
    <row r="2937" ht="15.75" customHeight="1">
      <c r="A2937" s="30" t="s">
        <v>6601</v>
      </c>
      <c r="B2937" s="31" t="s">
        <v>387</v>
      </c>
      <c r="C2937" s="31" t="s">
        <v>1351</v>
      </c>
      <c r="D2937" s="30" t="s">
        <v>3663</v>
      </c>
      <c r="E2937" s="32">
        <v>46113.0</v>
      </c>
      <c r="F2937" s="32">
        <v>46171.0</v>
      </c>
      <c r="G2937" s="33"/>
    </row>
    <row r="2938" ht="15.75" customHeight="1">
      <c r="A2938" s="26" t="s">
        <v>6602</v>
      </c>
      <c r="B2938" s="27" t="s">
        <v>387</v>
      </c>
      <c r="C2938" s="27" t="s">
        <v>1349</v>
      </c>
      <c r="D2938" s="26" t="s">
        <v>3663</v>
      </c>
      <c r="E2938" s="28">
        <v>46113.0</v>
      </c>
      <c r="F2938" s="28">
        <v>46171.0</v>
      </c>
      <c r="G2938" s="29"/>
    </row>
    <row r="2939" ht="15.75" customHeight="1">
      <c r="A2939" s="30" t="s">
        <v>6603</v>
      </c>
      <c r="B2939" s="31" t="s">
        <v>387</v>
      </c>
      <c r="C2939" s="31" t="s">
        <v>965</v>
      </c>
      <c r="D2939" s="30" t="s">
        <v>3663</v>
      </c>
      <c r="E2939" s="32">
        <v>46113.0</v>
      </c>
      <c r="F2939" s="32">
        <v>46171.0</v>
      </c>
      <c r="G2939" s="33"/>
    </row>
    <row r="2940" ht="15.75" customHeight="1">
      <c r="A2940" s="26" t="s">
        <v>6604</v>
      </c>
      <c r="B2940" s="27" t="s">
        <v>387</v>
      </c>
      <c r="C2940" s="27" t="s">
        <v>923</v>
      </c>
      <c r="D2940" s="26" t="s">
        <v>3663</v>
      </c>
      <c r="E2940" s="28">
        <v>46113.0</v>
      </c>
      <c r="F2940" s="28">
        <v>46171.0</v>
      </c>
      <c r="G2940" s="29"/>
    </row>
    <row r="2941" ht="15.75" customHeight="1">
      <c r="A2941" s="30" t="s">
        <v>6605</v>
      </c>
      <c r="B2941" s="31" t="s">
        <v>388</v>
      </c>
      <c r="C2941" s="31" t="s">
        <v>3654</v>
      </c>
      <c r="D2941" s="30" t="s">
        <v>3663</v>
      </c>
      <c r="E2941" s="32">
        <v>46113.0</v>
      </c>
      <c r="F2941" s="32">
        <v>46171.0</v>
      </c>
      <c r="G2941" s="33"/>
    </row>
    <row r="2942" ht="15.75" customHeight="1">
      <c r="A2942" s="26" t="s">
        <v>6606</v>
      </c>
      <c r="B2942" s="27" t="s">
        <v>388</v>
      </c>
      <c r="C2942" s="27" t="s">
        <v>3655</v>
      </c>
      <c r="D2942" s="26" t="s">
        <v>3663</v>
      </c>
      <c r="E2942" s="28">
        <v>46113.0</v>
      </c>
      <c r="F2942" s="28">
        <v>46171.0</v>
      </c>
      <c r="G2942" s="29"/>
    </row>
    <row r="2943" ht="15.75" customHeight="1">
      <c r="A2943" s="30" t="s">
        <v>6607</v>
      </c>
      <c r="B2943" s="31" t="s">
        <v>388</v>
      </c>
      <c r="C2943" s="31" t="s">
        <v>926</v>
      </c>
      <c r="D2943" s="31" t="s">
        <v>3663</v>
      </c>
      <c r="E2943" s="32">
        <v>46113.0</v>
      </c>
      <c r="F2943" s="32">
        <v>46171.0</v>
      </c>
      <c r="G2943" s="33"/>
    </row>
    <row r="2944" ht="15.75" customHeight="1">
      <c r="A2944" s="26" t="s">
        <v>6608</v>
      </c>
      <c r="B2944" s="27" t="s">
        <v>388</v>
      </c>
      <c r="C2944" s="27" t="s">
        <v>1354</v>
      </c>
      <c r="D2944" s="26" t="s">
        <v>3663</v>
      </c>
      <c r="E2944" s="28">
        <v>46113.0</v>
      </c>
      <c r="F2944" s="28">
        <v>46171.0</v>
      </c>
      <c r="G2944" s="29"/>
    </row>
    <row r="2945" ht="15.75" customHeight="1">
      <c r="A2945" s="30" t="s">
        <v>6609</v>
      </c>
      <c r="B2945" s="31" t="s">
        <v>388</v>
      </c>
      <c r="C2945" s="31" t="s">
        <v>3648</v>
      </c>
      <c r="D2945" s="31" t="s">
        <v>3663</v>
      </c>
      <c r="E2945" s="32">
        <v>46113.0</v>
      </c>
      <c r="F2945" s="32">
        <v>46171.0</v>
      </c>
      <c r="G2945" s="33"/>
    </row>
    <row r="2946" ht="15.75" customHeight="1">
      <c r="A2946" s="26" t="s">
        <v>6610</v>
      </c>
      <c r="B2946" s="27" t="s">
        <v>388</v>
      </c>
      <c r="C2946" s="27" t="s">
        <v>3649</v>
      </c>
      <c r="D2946" s="27" t="s">
        <v>3663</v>
      </c>
      <c r="E2946" s="28">
        <v>46113.0</v>
      </c>
      <c r="F2946" s="28">
        <v>46171.0</v>
      </c>
      <c r="G2946" s="29"/>
    </row>
    <row r="2947" ht="15.75" customHeight="1">
      <c r="A2947" s="30" t="s">
        <v>6611</v>
      </c>
      <c r="B2947" s="31" t="s">
        <v>388</v>
      </c>
      <c r="C2947" s="31" t="s">
        <v>3650</v>
      </c>
      <c r="D2947" s="31" t="s">
        <v>3663</v>
      </c>
      <c r="E2947" s="32">
        <v>46113.0</v>
      </c>
      <c r="F2947" s="32">
        <v>46171.0</v>
      </c>
      <c r="G2947" s="33"/>
    </row>
    <row r="2948" ht="15.75" customHeight="1">
      <c r="A2948" s="26" t="s">
        <v>6612</v>
      </c>
      <c r="B2948" s="27" t="s">
        <v>388</v>
      </c>
      <c r="C2948" s="27" t="s">
        <v>1283</v>
      </c>
      <c r="D2948" s="27" t="s">
        <v>3663</v>
      </c>
      <c r="E2948" s="28">
        <v>46113.0</v>
      </c>
      <c r="F2948" s="28">
        <v>46171.0</v>
      </c>
      <c r="G2948" s="29"/>
    </row>
    <row r="2949" ht="15.75" customHeight="1">
      <c r="A2949" s="30" t="s">
        <v>6613</v>
      </c>
      <c r="B2949" s="31" t="s">
        <v>388</v>
      </c>
      <c r="C2949" s="31" t="s">
        <v>1218</v>
      </c>
      <c r="D2949" s="30" t="s">
        <v>3663</v>
      </c>
      <c r="E2949" s="32">
        <v>46113.0</v>
      </c>
      <c r="F2949" s="32">
        <v>46171.0</v>
      </c>
      <c r="G2949" s="33"/>
    </row>
    <row r="2950" ht="15.75" customHeight="1">
      <c r="A2950" s="26" t="s">
        <v>6614</v>
      </c>
      <c r="B2950" s="27" t="s">
        <v>388</v>
      </c>
      <c r="C2950" s="27" t="s">
        <v>1271</v>
      </c>
      <c r="D2950" s="26" t="s">
        <v>3663</v>
      </c>
      <c r="E2950" s="28">
        <v>46113.0</v>
      </c>
      <c r="F2950" s="28">
        <v>46171.0</v>
      </c>
      <c r="G2950" s="29"/>
    </row>
    <row r="2951" ht="15.75" customHeight="1">
      <c r="A2951" s="30" t="s">
        <v>6615</v>
      </c>
      <c r="B2951" s="31" t="s">
        <v>388</v>
      </c>
      <c r="C2951" s="31" t="s">
        <v>1351</v>
      </c>
      <c r="D2951" s="30" t="s">
        <v>3663</v>
      </c>
      <c r="E2951" s="32">
        <v>46113.0</v>
      </c>
      <c r="F2951" s="32">
        <v>46171.0</v>
      </c>
      <c r="G2951" s="33"/>
    </row>
    <row r="2952" ht="15.75" customHeight="1">
      <c r="A2952" s="26" t="s">
        <v>6616</v>
      </c>
      <c r="B2952" s="27" t="s">
        <v>388</v>
      </c>
      <c r="C2952" s="27" t="s">
        <v>1349</v>
      </c>
      <c r="D2952" s="26" t="s">
        <v>3663</v>
      </c>
      <c r="E2952" s="28">
        <v>46113.0</v>
      </c>
      <c r="F2952" s="28">
        <v>46171.0</v>
      </c>
      <c r="G2952" s="29"/>
    </row>
    <row r="2953" ht="15.75" customHeight="1">
      <c r="A2953" s="30" t="s">
        <v>6617</v>
      </c>
      <c r="B2953" s="31" t="s">
        <v>388</v>
      </c>
      <c r="C2953" s="31" t="s">
        <v>968</v>
      </c>
      <c r="D2953" s="30" t="s">
        <v>3663</v>
      </c>
      <c r="E2953" s="32">
        <v>46113.0</v>
      </c>
      <c r="F2953" s="32">
        <v>46171.0</v>
      </c>
      <c r="G2953" s="33"/>
    </row>
    <row r="2954" ht="15.75" customHeight="1">
      <c r="A2954" s="26" t="s">
        <v>6618</v>
      </c>
      <c r="B2954" s="27" t="s">
        <v>388</v>
      </c>
      <c r="C2954" s="27" t="s">
        <v>923</v>
      </c>
      <c r="D2954" s="27" t="s">
        <v>3663</v>
      </c>
      <c r="E2954" s="28">
        <v>46113.0</v>
      </c>
      <c r="F2954" s="28">
        <v>46171.0</v>
      </c>
      <c r="G2954" s="29"/>
    </row>
    <row r="2955" ht="15.75" customHeight="1">
      <c r="A2955" s="30" t="s">
        <v>6619</v>
      </c>
      <c r="B2955" s="31" t="s">
        <v>389</v>
      </c>
      <c r="C2955" s="31" t="s">
        <v>3654</v>
      </c>
      <c r="D2955" s="30" t="s">
        <v>3663</v>
      </c>
      <c r="E2955" s="32">
        <v>46113.0</v>
      </c>
      <c r="F2955" s="32">
        <v>46171.0</v>
      </c>
      <c r="G2955" s="33"/>
    </row>
    <row r="2956" ht="15.75" customHeight="1">
      <c r="A2956" s="26" t="s">
        <v>6620</v>
      </c>
      <c r="B2956" s="27" t="s">
        <v>389</v>
      </c>
      <c r="C2956" s="27" t="s">
        <v>3655</v>
      </c>
      <c r="D2956" s="26" t="s">
        <v>3663</v>
      </c>
      <c r="E2956" s="28">
        <v>46113.0</v>
      </c>
      <c r="F2956" s="28">
        <v>46171.0</v>
      </c>
      <c r="G2956" s="29"/>
    </row>
    <row r="2957" ht="15.75" customHeight="1">
      <c r="A2957" s="30" t="s">
        <v>6621</v>
      </c>
      <c r="B2957" s="31" t="s">
        <v>389</v>
      </c>
      <c r="C2957" s="31" t="s">
        <v>932</v>
      </c>
      <c r="D2957" s="30" t="s">
        <v>3663</v>
      </c>
      <c r="E2957" s="32">
        <v>46113.0</v>
      </c>
      <c r="F2957" s="32">
        <v>46171.0</v>
      </c>
      <c r="G2957" s="33"/>
    </row>
    <row r="2958" ht="15.75" customHeight="1">
      <c r="A2958" s="26" t="s">
        <v>6622</v>
      </c>
      <c r="B2958" s="27" t="s">
        <v>389</v>
      </c>
      <c r="C2958" s="27" t="s">
        <v>1164</v>
      </c>
      <c r="D2958" s="26" t="s">
        <v>3663</v>
      </c>
      <c r="E2958" s="28">
        <v>46113.0</v>
      </c>
      <c r="F2958" s="28">
        <v>46171.0</v>
      </c>
      <c r="G2958" s="29"/>
    </row>
    <row r="2959" ht="15.75" customHeight="1">
      <c r="A2959" s="30" t="s">
        <v>6623</v>
      </c>
      <c r="B2959" s="31" t="s">
        <v>389</v>
      </c>
      <c r="C2959" s="31" t="s">
        <v>1166</v>
      </c>
      <c r="D2959" s="30" t="s">
        <v>3663</v>
      </c>
      <c r="E2959" s="32">
        <v>46113.0</v>
      </c>
      <c r="F2959" s="32">
        <v>46171.0</v>
      </c>
      <c r="G2959" s="33"/>
    </row>
    <row r="2960" ht="15.75" customHeight="1">
      <c r="A2960" s="26" t="s">
        <v>6624</v>
      </c>
      <c r="B2960" s="27" t="s">
        <v>389</v>
      </c>
      <c r="C2960" s="27" t="s">
        <v>1168</v>
      </c>
      <c r="D2960" s="26" t="s">
        <v>3663</v>
      </c>
      <c r="E2960" s="28">
        <v>46113.0</v>
      </c>
      <c r="F2960" s="28">
        <v>46171.0</v>
      </c>
      <c r="G2960" s="29"/>
    </row>
    <row r="2961" ht="15.75" customHeight="1">
      <c r="A2961" s="30" t="s">
        <v>6625</v>
      </c>
      <c r="B2961" s="31" t="s">
        <v>389</v>
      </c>
      <c r="C2961" s="31" t="s">
        <v>1170</v>
      </c>
      <c r="D2961" s="30" t="s">
        <v>3663</v>
      </c>
      <c r="E2961" s="32">
        <v>46113.0</v>
      </c>
      <c r="F2961" s="32">
        <v>46171.0</v>
      </c>
      <c r="G2961" s="33"/>
    </row>
    <row r="2962" ht="15.75" customHeight="1">
      <c r="A2962" s="26" t="s">
        <v>6626</v>
      </c>
      <c r="B2962" s="27" t="s">
        <v>389</v>
      </c>
      <c r="C2962" s="27" t="s">
        <v>1354</v>
      </c>
      <c r="D2962" s="26" t="s">
        <v>3663</v>
      </c>
      <c r="E2962" s="28">
        <v>46113.0</v>
      </c>
      <c r="F2962" s="28">
        <v>46171.0</v>
      </c>
      <c r="G2962" s="29"/>
    </row>
    <row r="2963" ht="15.75" customHeight="1">
      <c r="A2963" s="30" t="s">
        <v>6627</v>
      </c>
      <c r="B2963" s="31" t="s">
        <v>389</v>
      </c>
      <c r="C2963" s="31" t="s">
        <v>1172</v>
      </c>
      <c r="D2963" s="30" t="s">
        <v>3663</v>
      </c>
      <c r="E2963" s="32">
        <v>46113.0</v>
      </c>
      <c r="F2963" s="32">
        <v>46171.0</v>
      </c>
      <c r="G2963" s="33"/>
    </row>
    <row r="2964" ht="15.75" customHeight="1">
      <c r="A2964" s="26" t="s">
        <v>6628</v>
      </c>
      <c r="B2964" s="27" t="s">
        <v>389</v>
      </c>
      <c r="C2964" s="27" t="s">
        <v>1351</v>
      </c>
      <c r="D2964" s="26" t="s">
        <v>3663</v>
      </c>
      <c r="E2964" s="28">
        <v>46113.0</v>
      </c>
      <c r="F2964" s="28">
        <v>46171.0</v>
      </c>
      <c r="G2964" s="29"/>
    </row>
    <row r="2965" ht="15.75" customHeight="1">
      <c r="A2965" s="30" t="s">
        <v>6629</v>
      </c>
      <c r="B2965" s="31" t="s">
        <v>389</v>
      </c>
      <c r="C2965" s="31" t="s">
        <v>1349</v>
      </c>
      <c r="D2965" s="30" t="s">
        <v>3663</v>
      </c>
      <c r="E2965" s="32">
        <v>46113.0</v>
      </c>
      <c r="F2965" s="32">
        <v>46171.0</v>
      </c>
      <c r="G2965" s="33"/>
    </row>
    <row r="2966" ht="15.75" customHeight="1">
      <c r="A2966" s="26" t="s">
        <v>6630</v>
      </c>
      <c r="B2966" s="27" t="s">
        <v>389</v>
      </c>
      <c r="C2966" s="27" t="s">
        <v>968</v>
      </c>
      <c r="D2966" s="26" t="s">
        <v>3663</v>
      </c>
      <c r="E2966" s="28">
        <v>46113.0</v>
      </c>
      <c r="F2966" s="28">
        <v>46171.0</v>
      </c>
      <c r="G2966" s="29"/>
    </row>
    <row r="2967" ht="15.75" customHeight="1">
      <c r="A2967" s="30" t="s">
        <v>6631</v>
      </c>
      <c r="B2967" s="31" t="s">
        <v>389</v>
      </c>
      <c r="C2967" s="31" t="s">
        <v>923</v>
      </c>
      <c r="D2967" s="30" t="s">
        <v>3663</v>
      </c>
      <c r="E2967" s="32">
        <v>46113.0</v>
      </c>
      <c r="F2967" s="32">
        <v>46171.0</v>
      </c>
      <c r="G2967" s="33"/>
    </row>
    <row r="2968" ht="15.75" customHeight="1">
      <c r="A2968" s="26" t="s">
        <v>6632</v>
      </c>
      <c r="B2968" s="27" t="s">
        <v>389</v>
      </c>
      <c r="C2968" s="27" t="s">
        <v>955</v>
      </c>
      <c r="D2968" s="26" t="s">
        <v>3663</v>
      </c>
      <c r="E2968" s="28">
        <v>46113.0</v>
      </c>
      <c r="F2968" s="28">
        <v>46171.0</v>
      </c>
      <c r="G2968" s="29"/>
    </row>
    <row r="2969" ht="15.75" customHeight="1">
      <c r="A2969" s="30" t="s">
        <v>6633</v>
      </c>
      <c r="B2969" s="31" t="s">
        <v>390</v>
      </c>
      <c r="C2969" s="31" t="s">
        <v>1240</v>
      </c>
      <c r="D2969" s="30" t="s">
        <v>3663</v>
      </c>
      <c r="E2969" s="32">
        <v>46113.0</v>
      </c>
      <c r="F2969" s="32">
        <v>46171.0</v>
      </c>
      <c r="G2969" s="33"/>
    </row>
    <row r="2970" ht="15.75" customHeight="1">
      <c r="A2970" s="26" t="s">
        <v>6634</v>
      </c>
      <c r="B2970" s="27" t="s">
        <v>390</v>
      </c>
      <c r="C2970" s="27" t="s">
        <v>1242</v>
      </c>
      <c r="D2970" s="26" t="s">
        <v>3663</v>
      </c>
      <c r="E2970" s="28">
        <v>46113.0</v>
      </c>
      <c r="F2970" s="28">
        <v>46171.0</v>
      </c>
      <c r="G2970" s="29"/>
    </row>
    <row r="2971" ht="15.75" customHeight="1">
      <c r="A2971" s="30" t="s">
        <v>6635</v>
      </c>
      <c r="B2971" s="31" t="s">
        <v>390</v>
      </c>
      <c r="C2971" s="31" t="s">
        <v>1244</v>
      </c>
      <c r="D2971" s="30" t="s">
        <v>3663</v>
      </c>
      <c r="E2971" s="32">
        <v>46113.0</v>
      </c>
      <c r="F2971" s="32">
        <v>46171.0</v>
      </c>
      <c r="G2971" s="33"/>
    </row>
    <row r="2972" ht="15.75" customHeight="1">
      <c r="A2972" s="26" t="s">
        <v>6636</v>
      </c>
      <c r="B2972" s="27" t="s">
        <v>390</v>
      </c>
      <c r="C2972" s="27" t="s">
        <v>1246</v>
      </c>
      <c r="D2972" s="26" t="s">
        <v>3663</v>
      </c>
      <c r="E2972" s="28">
        <v>46113.0</v>
      </c>
      <c r="F2972" s="28">
        <v>46171.0</v>
      </c>
      <c r="G2972" s="29"/>
    </row>
    <row r="2973" ht="15.75" customHeight="1">
      <c r="A2973" s="30" t="s">
        <v>6637</v>
      </c>
      <c r="B2973" s="31" t="s">
        <v>390</v>
      </c>
      <c r="C2973" s="31" t="s">
        <v>934</v>
      </c>
      <c r="D2973" s="30" t="s">
        <v>3663</v>
      </c>
      <c r="E2973" s="32">
        <v>46113.0</v>
      </c>
      <c r="F2973" s="32">
        <v>46171.0</v>
      </c>
      <c r="G2973" s="33"/>
    </row>
    <row r="2974" ht="15.75" customHeight="1">
      <c r="A2974" s="26" t="s">
        <v>6638</v>
      </c>
      <c r="B2974" s="27" t="s">
        <v>390</v>
      </c>
      <c r="C2974" s="27" t="s">
        <v>1354</v>
      </c>
      <c r="D2974" s="26" t="s">
        <v>3663</v>
      </c>
      <c r="E2974" s="28">
        <v>46113.0</v>
      </c>
      <c r="F2974" s="28">
        <v>46171.0</v>
      </c>
      <c r="G2974" s="29"/>
    </row>
    <row r="2975" ht="15.75" customHeight="1">
      <c r="A2975" s="30" t="s">
        <v>6639</v>
      </c>
      <c r="B2975" s="31" t="s">
        <v>390</v>
      </c>
      <c r="C2975" s="31" t="s">
        <v>3656</v>
      </c>
      <c r="D2975" s="30" t="s">
        <v>3663</v>
      </c>
      <c r="E2975" s="32">
        <v>46113.0</v>
      </c>
      <c r="F2975" s="32">
        <v>46171.0</v>
      </c>
      <c r="G2975" s="33"/>
    </row>
    <row r="2976" ht="15.75" customHeight="1">
      <c r="A2976" s="26" t="s">
        <v>6640</v>
      </c>
      <c r="B2976" s="27" t="s">
        <v>390</v>
      </c>
      <c r="C2976" s="27" t="s">
        <v>3657</v>
      </c>
      <c r="D2976" s="26" t="s">
        <v>3663</v>
      </c>
      <c r="E2976" s="28">
        <v>46113.0</v>
      </c>
      <c r="F2976" s="28">
        <v>46171.0</v>
      </c>
      <c r="G2976" s="29"/>
    </row>
    <row r="2977" ht="15.75" customHeight="1">
      <c r="A2977" s="30" t="s">
        <v>6641</v>
      </c>
      <c r="B2977" s="31" t="s">
        <v>390</v>
      </c>
      <c r="C2977" s="31" t="s">
        <v>1218</v>
      </c>
      <c r="D2977" s="30" t="s">
        <v>3663</v>
      </c>
      <c r="E2977" s="32">
        <v>46113.0</v>
      </c>
      <c r="F2977" s="32">
        <v>46171.0</v>
      </c>
      <c r="G2977" s="33"/>
    </row>
    <row r="2978" ht="15.75" customHeight="1">
      <c r="A2978" s="26" t="s">
        <v>6642</v>
      </c>
      <c r="B2978" s="27" t="s">
        <v>390</v>
      </c>
      <c r="C2978" s="27" t="s">
        <v>1271</v>
      </c>
      <c r="D2978" s="26" t="s">
        <v>3663</v>
      </c>
      <c r="E2978" s="28">
        <v>46113.0</v>
      </c>
      <c r="F2978" s="28">
        <v>46171.0</v>
      </c>
      <c r="G2978" s="29"/>
    </row>
    <row r="2979" ht="15.75" customHeight="1">
      <c r="A2979" s="30" t="s">
        <v>6643</v>
      </c>
      <c r="B2979" s="31" t="s">
        <v>390</v>
      </c>
      <c r="C2979" s="31" t="s">
        <v>1351</v>
      </c>
      <c r="D2979" s="30" t="s">
        <v>3663</v>
      </c>
      <c r="E2979" s="32">
        <v>46113.0</v>
      </c>
      <c r="F2979" s="32">
        <v>46171.0</v>
      </c>
      <c r="G2979" s="33"/>
    </row>
    <row r="2980" ht="15.75" customHeight="1">
      <c r="A2980" s="26" t="s">
        <v>6644</v>
      </c>
      <c r="B2980" s="27" t="s">
        <v>390</v>
      </c>
      <c r="C2980" s="27" t="s">
        <v>1349</v>
      </c>
      <c r="D2980" s="26" t="s">
        <v>3663</v>
      </c>
      <c r="E2980" s="28">
        <v>46113.0</v>
      </c>
      <c r="F2980" s="28">
        <v>46171.0</v>
      </c>
      <c r="G2980" s="29"/>
    </row>
    <row r="2981" ht="15.75" customHeight="1">
      <c r="A2981" s="30" t="s">
        <v>6645</v>
      </c>
      <c r="B2981" s="31" t="s">
        <v>390</v>
      </c>
      <c r="C2981" s="31" t="s">
        <v>968</v>
      </c>
      <c r="D2981" s="30" t="s">
        <v>3663</v>
      </c>
      <c r="E2981" s="32">
        <v>46113.0</v>
      </c>
      <c r="F2981" s="32">
        <v>46171.0</v>
      </c>
      <c r="G2981" s="33"/>
    </row>
    <row r="2982" ht="15.75" customHeight="1">
      <c r="A2982" s="26" t="s">
        <v>6646</v>
      </c>
      <c r="B2982" s="27" t="s">
        <v>390</v>
      </c>
      <c r="C2982" s="27" t="s">
        <v>923</v>
      </c>
      <c r="D2982" s="26" t="s">
        <v>3663</v>
      </c>
      <c r="E2982" s="28">
        <v>46113.0</v>
      </c>
      <c r="F2982" s="28">
        <v>46171.0</v>
      </c>
      <c r="G2982" s="29"/>
    </row>
    <row r="2983" ht="15.75" customHeight="1">
      <c r="A2983" s="30" t="s">
        <v>6647</v>
      </c>
      <c r="B2983" s="31" t="s">
        <v>391</v>
      </c>
      <c r="C2983" s="31" t="s">
        <v>3654</v>
      </c>
      <c r="D2983" s="30" t="s">
        <v>3663</v>
      </c>
      <c r="E2983" s="32">
        <v>46113.0</v>
      </c>
      <c r="F2983" s="32">
        <v>46171.0</v>
      </c>
      <c r="G2983" s="33"/>
    </row>
    <row r="2984" ht="15.75" customHeight="1">
      <c r="A2984" s="26" t="s">
        <v>6648</v>
      </c>
      <c r="B2984" s="27" t="s">
        <v>391</v>
      </c>
      <c r="C2984" s="27" t="s">
        <v>3655</v>
      </c>
      <c r="D2984" s="26" t="s">
        <v>3663</v>
      </c>
      <c r="E2984" s="28">
        <v>46113.0</v>
      </c>
      <c r="F2984" s="28">
        <v>46171.0</v>
      </c>
      <c r="G2984" s="29"/>
    </row>
    <row r="2985" ht="15.75" customHeight="1">
      <c r="A2985" s="30" t="s">
        <v>6649</v>
      </c>
      <c r="B2985" s="31" t="s">
        <v>391</v>
      </c>
      <c r="C2985" s="31" t="s">
        <v>932</v>
      </c>
      <c r="D2985" s="30" t="s">
        <v>3663</v>
      </c>
      <c r="E2985" s="32">
        <v>46113.0</v>
      </c>
      <c r="F2985" s="32">
        <v>46171.0</v>
      </c>
      <c r="G2985" s="33"/>
    </row>
    <row r="2986" ht="15.75" customHeight="1">
      <c r="A2986" s="26" t="s">
        <v>6650</v>
      </c>
      <c r="B2986" s="27" t="s">
        <v>391</v>
      </c>
      <c r="C2986" s="27" t="s">
        <v>1168</v>
      </c>
      <c r="D2986" s="26" t="s">
        <v>3663</v>
      </c>
      <c r="E2986" s="28">
        <v>46113.0</v>
      </c>
      <c r="F2986" s="28">
        <v>46171.0</v>
      </c>
      <c r="G2986" s="29"/>
    </row>
    <row r="2987" ht="15.75" customHeight="1">
      <c r="A2987" s="30" t="s">
        <v>6651</v>
      </c>
      <c r="B2987" s="31" t="s">
        <v>391</v>
      </c>
      <c r="C2987" s="31" t="s">
        <v>1170</v>
      </c>
      <c r="D2987" s="30" t="s">
        <v>3663</v>
      </c>
      <c r="E2987" s="32">
        <v>46113.0</v>
      </c>
      <c r="F2987" s="32">
        <v>46171.0</v>
      </c>
      <c r="G2987" s="33"/>
    </row>
    <row r="2988" ht="15.75" customHeight="1">
      <c r="A2988" s="26" t="s">
        <v>6652</v>
      </c>
      <c r="B2988" s="27" t="s">
        <v>391</v>
      </c>
      <c r="C2988" s="27" t="s">
        <v>1288</v>
      </c>
      <c r="D2988" s="26" t="s">
        <v>3663</v>
      </c>
      <c r="E2988" s="28">
        <v>46113.0</v>
      </c>
      <c r="F2988" s="28">
        <v>46171.0</v>
      </c>
      <c r="G2988" s="29"/>
    </row>
    <row r="2989" ht="15.75" customHeight="1">
      <c r="A2989" s="30" t="s">
        <v>6653</v>
      </c>
      <c r="B2989" s="31" t="s">
        <v>391</v>
      </c>
      <c r="C2989" s="31" t="s">
        <v>1291</v>
      </c>
      <c r="D2989" s="30" t="s">
        <v>3663</v>
      </c>
      <c r="E2989" s="32">
        <v>46113.0</v>
      </c>
      <c r="F2989" s="32">
        <v>46171.0</v>
      </c>
      <c r="G2989" s="33"/>
    </row>
    <row r="2990" ht="15.75" customHeight="1">
      <c r="A2990" s="26" t="s">
        <v>6654</v>
      </c>
      <c r="B2990" s="27" t="s">
        <v>391</v>
      </c>
      <c r="C2990" s="27" t="s">
        <v>1354</v>
      </c>
      <c r="D2990" s="26" t="s">
        <v>3663</v>
      </c>
      <c r="E2990" s="28">
        <v>46113.0</v>
      </c>
      <c r="F2990" s="28">
        <v>46171.0</v>
      </c>
      <c r="G2990" s="29"/>
    </row>
    <row r="2991" ht="15.75" customHeight="1">
      <c r="A2991" s="30" t="s">
        <v>6655</v>
      </c>
      <c r="B2991" s="31" t="s">
        <v>391</v>
      </c>
      <c r="C2991" s="31" t="s">
        <v>1216</v>
      </c>
      <c r="D2991" s="30" t="s">
        <v>3663</v>
      </c>
      <c r="E2991" s="32">
        <v>46113.0</v>
      </c>
      <c r="F2991" s="32">
        <v>46171.0</v>
      </c>
      <c r="G2991" s="33"/>
    </row>
    <row r="2992" ht="15.75" customHeight="1">
      <c r="A2992" s="26" t="s">
        <v>6656</v>
      </c>
      <c r="B2992" s="27" t="s">
        <v>391</v>
      </c>
      <c r="C2992" s="27" t="s">
        <v>1218</v>
      </c>
      <c r="D2992" s="26" t="s">
        <v>3663</v>
      </c>
      <c r="E2992" s="28">
        <v>46113.0</v>
      </c>
      <c r="F2992" s="28">
        <v>46171.0</v>
      </c>
      <c r="G2992" s="29"/>
    </row>
    <row r="2993" ht="15.75" customHeight="1">
      <c r="A2993" s="30" t="s">
        <v>6657</v>
      </c>
      <c r="B2993" s="31" t="s">
        <v>391</v>
      </c>
      <c r="C2993" s="31" t="s">
        <v>1351</v>
      </c>
      <c r="D2993" s="30" t="s">
        <v>3663</v>
      </c>
      <c r="E2993" s="32">
        <v>46113.0</v>
      </c>
      <c r="F2993" s="32">
        <v>46171.0</v>
      </c>
      <c r="G2993" s="33"/>
    </row>
    <row r="2994" ht="15.75" customHeight="1">
      <c r="A2994" s="26" t="s">
        <v>6658</v>
      </c>
      <c r="B2994" s="27" t="s">
        <v>391</v>
      </c>
      <c r="C2994" s="27" t="s">
        <v>1349</v>
      </c>
      <c r="D2994" s="26" t="s">
        <v>3663</v>
      </c>
      <c r="E2994" s="28">
        <v>46113.0</v>
      </c>
      <c r="F2994" s="28">
        <v>46171.0</v>
      </c>
      <c r="G2994" s="29"/>
    </row>
    <row r="2995" ht="15.75" customHeight="1">
      <c r="A2995" s="30" t="s">
        <v>6659</v>
      </c>
      <c r="B2995" s="31" t="s">
        <v>391</v>
      </c>
      <c r="C2995" s="31" t="s">
        <v>965</v>
      </c>
      <c r="D2995" s="30" t="s">
        <v>3663</v>
      </c>
      <c r="E2995" s="32">
        <v>46113.0</v>
      </c>
      <c r="F2995" s="32">
        <v>46171.0</v>
      </c>
      <c r="G2995" s="33"/>
    </row>
    <row r="2996" ht="15.75" customHeight="1">
      <c r="A2996" s="26" t="s">
        <v>6660</v>
      </c>
      <c r="B2996" s="27" t="s">
        <v>391</v>
      </c>
      <c r="C2996" s="27" t="s">
        <v>923</v>
      </c>
      <c r="D2996" s="26" t="s">
        <v>3663</v>
      </c>
      <c r="E2996" s="28">
        <v>46113.0</v>
      </c>
      <c r="F2996" s="28">
        <v>46171.0</v>
      </c>
      <c r="G2996" s="29"/>
    </row>
    <row r="2997" ht="15.75" customHeight="1">
      <c r="A2997" s="30" t="s">
        <v>6661</v>
      </c>
      <c r="B2997" s="31" t="s">
        <v>1314</v>
      </c>
      <c r="C2997" s="31" t="s">
        <v>1240</v>
      </c>
      <c r="D2997" s="31" t="s">
        <v>3663</v>
      </c>
      <c r="E2997" s="32">
        <v>46113.0</v>
      </c>
      <c r="F2997" s="32">
        <v>46171.0</v>
      </c>
      <c r="G2997" s="33"/>
    </row>
    <row r="2998" ht="15.75" customHeight="1">
      <c r="A2998" s="26" t="s">
        <v>6662</v>
      </c>
      <c r="B2998" s="27" t="s">
        <v>1314</v>
      </c>
      <c r="C2998" s="27" t="s">
        <v>1242</v>
      </c>
      <c r="D2998" s="27" t="s">
        <v>3663</v>
      </c>
      <c r="E2998" s="28">
        <v>46113.0</v>
      </c>
      <c r="F2998" s="28">
        <v>46171.0</v>
      </c>
      <c r="G2998" s="29"/>
    </row>
    <row r="2999" ht="15.75" customHeight="1">
      <c r="A2999" s="30" t="s">
        <v>6663</v>
      </c>
      <c r="B2999" s="31" t="s">
        <v>1314</v>
      </c>
      <c r="C2999" s="31" t="s">
        <v>1244</v>
      </c>
      <c r="D2999" s="31" t="s">
        <v>3663</v>
      </c>
      <c r="E2999" s="32">
        <v>46113.0</v>
      </c>
      <c r="F2999" s="32">
        <v>46171.0</v>
      </c>
      <c r="G2999" s="33"/>
    </row>
    <row r="3000" ht="15.75" customHeight="1">
      <c r="A3000" s="26" t="s">
        <v>6664</v>
      </c>
      <c r="B3000" s="27" t="s">
        <v>1314</v>
      </c>
      <c r="C3000" s="27" t="s">
        <v>1246</v>
      </c>
      <c r="D3000" s="27" t="s">
        <v>3663</v>
      </c>
      <c r="E3000" s="28">
        <v>46113.0</v>
      </c>
      <c r="F3000" s="28">
        <v>46171.0</v>
      </c>
      <c r="G3000" s="29"/>
    </row>
    <row r="3001" ht="15.75" customHeight="1">
      <c r="A3001" s="30" t="s">
        <v>6665</v>
      </c>
      <c r="B3001" s="31" t="s">
        <v>1314</v>
      </c>
      <c r="C3001" s="31" t="s">
        <v>934</v>
      </c>
      <c r="D3001" s="31" t="s">
        <v>3663</v>
      </c>
      <c r="E3001" s="32">
        <v>46113.0</v>
      </c>
      <c r="F3001" s="32">
        <v>46171.0</v>
      </c>
      <c r="G3001" s="33"/>
    </row>
    <row r="3002" ht="15.75" customHeight="1">
      <c r="A3002" s="26" t="s">
        <v>6666</v>
      </c>
      <c r="B3002" s="27" t="s">
        <v>1314</v>
      </c>
      <c r="C3002" s="27" t="s">
        <v>3640</v>
      </c>
      <c r="D3002" s="26" t="s">
        <v>3663</v>
      </c>
      <c r="E3002" s="28">
        <v>46113.0</v>
      </c>
      <c r="F3002" s="28">
        <v>46171.0</v>
      </c>
      <c r="G3002" s="29"/>
    </row>
    <row r="3003" ht="15.75" customHeight="1">
      <c r="A3003" s="30" t="s">
        <v>6667</v>
      </c>
      <c r="B3003" s="31" t="s">
        <v>1314</v>
      </c>
      <c r="C3003" s="31" t="s">
        <v>1354</v>
      </c>
      <c r="D3003" s="30" t="s">
        <v>3663</v>
      </c>
      <c r="E3003" s="32">
        <v>46113.0</v>
      </c>
      <c r="F3003" s="32">
        <v>46171.0</v>
      </c>
      <c r="G3003" s="33"/>
    </row>
    <row r="3004" ht="15.75" customHeight="1">
      <c r="A3004" s="26" t="s">
        <v>6668</v>
      </c>
      <c r="B3004" s="27" t="s">
        <v>1314</v>
      </c>
      <c r="C3004" s="27" t="s">
        <v>1312</v>
      </c>
      <c r="D3004" s="26" t="s">
        <v>3663</v>
      </c>
      <c r="E3004" s="28">
        <v>46113.0</v>
      </c>
      <c r="F3004" s="28">
        <v>46171.0</v>
      </c>
      <c r="G3004" s="29"/>
    </row>
    <row r="3005" ht="15.75" customHeight="1">
      <c r="A3005" s="30" t="s">
        <v>6669</v>
      </c>
      <c r="B3005" s="31" t="s">
        <v>1314</v>
      </c>
      <c r="C3005" s="31" t="s">
        <v>3656</v>
      </c>
      <c r="D3005" s="30" t="s">
        <v>3663</v>
      </c>
      <c r="E3005" s="32">
        <v>46113.0</v>
      </c>
      <c r="F3005" s="32">
        <v>46171.0</v>
      </c>
      <c r="G3005" s="33"/>
    </row>
    <row r="3006" ht="15.75" customHeight="1">
      <c r="A3006" s="26" t="s">
        <v>6670</v>
      </c>
      <c r="B3006" s="27" t="s">
        <v>1314</v>
      </c>
      <c r="C3006" s="27" t="s">
        <v>3657</v>
      </c>
      <c r="D3006" s="26" t="s">
        <v>3663</v>
      </c>
      <c r="E3006" s="28">
        <v>46113.0</v>
      </c>
      <c r="F3006" s="28">
        <v>46171.0</v>
      </c>
      <c r="G3006" s="29"/>
    </row>
    <row r="3007" ht="15.75" customHeight="1">
      <c r="A3007" s="30" t="s">
        <v>6671</v>
      </c>
      <c r="B3007" s="31" t="s">
        <v>1314</v>
      </c>
      <c r="C3007" s="31" t="s">
        <v>1351</v>
      </c>
      <c r="D3007" s="30" t="s">
        <v>3663</v>
      </c>
      <c r="E3007" s="32">
        <v>46113.0</v>
      </c>
      <c r="F3007" s="32">
        <v>46171.0</v>
      </c>
      <c r="G3007" s="33"/>
    </row>
    <row r="3008" ht="15.75" customHeight="1">
      <c r="A3008" s="26" t="s">
        <v>6672</v>
      </c>
      <c r="B3008" s="27" t="s">
        <v>1314</v>
      </c>
      <c r="C3008" s="27" t="s">
        <v>1349</v>
      </c>
      <c r="D3008" s="26" t="s">
        <v>3663</v>
      </c>
      <c r="E3008" s="28">
        <v>46113.0</v>
      </c>
      <c r="F3008" s="28">
        <v>46171.0</v>
      </c>
      <c r="G3008" s="29"/>
    </row>
    <row r="3009" ht="15.75" customHeight="1">
      <c r="A3009" s="30" t="s">
        <v>6673</v>
      </c>
      <c r="B3009" s="31" t="s">
        <v>1314</v>
      </c>
      <c r="C3009" s="31" t="s">
        <v>965</v>
      </c>
      <c r="D3009" s="30" t="s">
        <v>3663</v>
      </c>
      <c r="E3009" s="32">
        <v>46113.0</v>
      </c>
      <c r="F3009" s="32">
        <v>46171.0</v>
      </c>
      <c r="G3009" s="33"/>
    </row>
    <row r="3010" ht="15.75" customHeight="1">
      <c r="A3010" s="26" t="s">
        <v>6674</v>
      </c>
      <c r="B3010" s="27" t="s">
        <v>1314</v>
      </c>
      <c r="C3010" s="27" t="s">
        <v>923</v>
      </c>
      <c r="D3010" s="27" t="s">
        <v>3663</v>
      </c>
      <c r="E3010" s="28">
        <v>46113.0</v>
      </c>
      <c r="F3010" s="28">
        <v>46171.0</v>
      </c>
      <c r="G3010" s="29"/>
    </row>
    <row r="3011" ht="15.75" customHeight="1">
      <c r="A3011" s="30" t="s">
        <v>6675</v>
      </c>
      <c r="B3011" s="31" t="s">
        <v>392</v>
      </c>
      <c r="C3011" s="31" t="s">
        <v>1240</v>
      </c>
      <c r="D3011" s="30" t="s">
        <v>3663</v>
      </c>
      <c r="E3011" s="32">
        <v>46113.0</v>
      </c>
      <c r="F3011" s="32">
        <v>46171.0</v>
      </c>
      <c r="G3011" s="33"/>
    </row>
    <row r="3012" ht="15.75" customHeight="1">
      <c r="A3012" s="26" t="s">
        <v>6676</v>
      </c>
      <c r="B3012" s="27" t="s">
        <v>392</v>
      </c>
      <c r="C3012" s="27" t="s">
        <v>1242</v>
      </c>
      <c r="D3012" s="26" t="s">
        <v>3663</v>
      </c>
      <c r="E3012" s="28">
        <v>46113.0</v>
      </c>
      <c r="F3012" s="28">
        <v>46171.0</v>
      </c>
      <c r="G3012" s="29"/>
    </row>
    <row r="3013" ht="15.75" customHeight="1">
      <c r="A3013" s="30" t="s">
        <v>6677</v>
      </c>
      <c r="B3013" s="31" t="s">
        <v>392</v>
      </c>
      <c r="C3013" s="31" t="s">
        <v>1244</v>
      </c>
      <c r="D3013" s="30" t="s">
        <v>3663</v>
      </c>
      <c r="E3013" s="32">
        <v>46113.0</v>
      </c>
      <c r="F3013" s="32">
        <v>46171.0</v>
      </c>
      <c r="G3013" s="33"/>
    </row>
    <row r="3014" ht="15.75" customHeight="1">
      <c r="A3014" s="26" t="s">
        <v>6678</v>
      </c>
      <c r="B3014" s="27" t="s">
        <v>392</v>
      </c>
      <c r="C3014" s="27" t="s">
        <v>1246</v>
      </c>
      <c r="D3014" s="26" t="s">
        <v>3663</v>
      </c>
      <c r="E3014" s="28">
        <v>46113.0</v>
      </c>
      <c r="F3014" s="28">
        <v>46171.0</v>
      </c>
      <c r="G3014" s="29"/>
    </row>
    <row r="3015" ht="15.75" customHeight="1">
      <c r="A3015" s="30" t="s">
        <v>6679</v>
      </c>
      <c r="B3015" s="31" t="s">
        <v>392</v>
      </c>
      <c r="C3015" s="31" t="s">
        <v>928</v>
      </c>
      <c r="D3015" s="30" t="s">
        <v>3663</v>
      </c>
      <c r="E3015" s="32">
        <v>46113.0</v>
      </c>
      <c r="F3015" s="32">
        <v>46171.0</v>
      </c>
      <c r="G3015" s="33"/>
    </row>
    <row r="3016" ht="15.75" customHeight="1">
      <c r="A3016" s="26" t="s">
        <v>6680</v>
      </c>
      <c r="B3016" s="27" t="s">
        <v>392</v>
      </c>
      <c r="C3016" s="27" t="s">
        <v>1354</v>
      </c>
      <c r="D3016" s="26" t="s">
        <v>3663</v>
      </c>
      <c r="E3016" s="28">
        <v>46113.0</v>
      </c>
      <c r="F3016" s="28">
        <v>46171.0</v>
      </c>
      <c r="G3016" s="29"/>
    </row>
    <row r="3017" ht="15.75" customHeight="1">
      <c r="A3017" s="30" t="s">
        <v>6681</v>
      </c>
      <c r="B3017" s="31" t="s">
        <v>392</v>
      </c>
      <c r="C3017" s="31" t="s">
        <v>1208</v>
      </c>
      <c r="D3017" s="30" t="s">
        <v>3663</v>
      </c>
      <c r="E3017" s="32">
        <v>46113.0</v>
      </c>
      <c r="F3017" s="32">
        <v>46171.0</v>
      </c>
      <c r="G3017" s="33"/>
    </row>
    <row r="3018" ht="15.75" customHeight="1">
      <c r="A3018" s="26" t="s">
        <v>6682</v>
      </c>
      <c r="B3018" s="27" t="s">
        <v>392</v>
      </c>
      <c r="C3018" s="27" t="s">
        <v>1159</v>
      </c>
      <c r="D3018" s="26" t="s">
        <v>3663</v>
      </c>
      <c r="E3018" s="28">
        <v>46113.0</v>
      </c>
      <c r="F3018" s="28">
        <v>46171.0</v>
      </c>
      <c r="G3018" s="29"/>
    </row>
    <row r="3019" ht="15.75" customHeight="1">
      <c r="A3019" s="30" t="s">
        <v>6683</v>
      </c>
      <c r="B3019" s="31" t="s">
        <v>392</v>
      </c>
      <c r="C3019" s="31" t="s">
        <v>3656</v>
      </c>
      <c r="D3019" s="30" t="s">
        <v>3663</v>
      </c>
      <c r="E3019" s="32">
        <v>46113.0</v>
      </c>
      <c r="F3019" s="32">
        <v>46171.0</v>
      </c>
      <c r="G3019" s="33"/>
    </row>
    <row r="3020" ht="15.75" customHeight="1">
      <c r="A3020" s="26" t="s">
        <v>6684</v>
      </c>
      <c r="B3020" s="27" t="s">
        <v>392</v>
      </c>
      <c r="C3020" s="27" t="s">
        <v>3657</v>
      </c>
      <c r="D3020" s="26" t="s">
        <v>3663</v>
      </c>
      <c r="E3020" s="28">
        <v>46113.0</v>
      </c>
      <c r="F3020" s="28">
        <v>46171.0</v>
      </c>
      <c r="G3020" s="29"/>
    </row>
    <row r="3021" ht="15.75" customHeight="1">
      <c r="A3021" s="30" t="s">
        <v>6685</v>
      </c>
      <c r="B3021" s="31" t="s">
        <v>392</v>
      </c>
      <c r="C3021" s="31" t="s">
        <v>1351</v>
      </c>
      <c r="D3021" s="30" t="s">
        <v>3663</v>
      </c>
      <c r="E3021" s="32">
        <v>46113.0</v>
      </c>
      <c r="F3021" s="32">
        <v>46171.0</v>
      </c>
      <c r="G3021" s="33"/>
    </row>
    <row r="3022" ht="15.75" customHeight="1">
      <c r="A3022" s="26" t="s">
        <v>6686</v>
      </c>
      <c r="B3022" s="27" t="s">
        <v>392</v>
      </c>
      <c r="C3022" s="27" t="s">
        <v>1349</v>
      </c>
      <c r="D3022" s="26" t="s">
        <v>3663</v>
      </c>
      <c r="E3022" s="28">
        <v>46113.0</v>
      </c>
      <c r="F3022" s="28">
        <v>46171.0</v>
      </c>
      <c r="G3022" s="29"/>
    </row>
    <row r="3023" ht="15.75" customHeight="1">
      <c r="A3023" s="30" t="s">
        <v>6687</v>
      </c>
      <c r="B3023" s="31" t="s">
        <v>392</v>
      </c>
      <c r="C3023" s="31" t="s">
        <v>965</v>
      </c>
      <c r="D3023" s="30" t="s">
        <v>3663</v>
      </c>
      <c r="E3023" s="32">
        <v>46113.0</v>
      </c>
      <c r="F3023" s="32">
        <v>46171.0</v>
      </c>
      <c r="G3023" s="33"/>
    </row>
    <row r="3024" ht="15.75" customHeight="1">
      <c r="A3024" s="26" t="s">
        <v>6688</v>
      </c>
      <c r="B3024" s="27" t="s">
        <v>392</v>
      </c>
      <c r="C3024" s="27" t="s">
        <v>923</v>
      </c>
      <c r="D3024" s="26" t="s">
        <v>3663</v>
      </c>
      <c r="E3024" s="28">
        <v>46113.0</v>
      </c>
      <c r="F3024" s="28">
        <v>46171.0</v>
      </c>
      <c r="G3024" s="29"/>
    </row>
    <row r="3025" ht="15.75" customHeight="1">
      <c r="A3025" s="30" t="s">
        <v>6689</v>
      </c>
      <c r="B3025" s="31" t="s">
        <v>393</v>
      </c>
      <c r="C3025" s="31" t="s">
        <v>932</v>
      </c>
      <c r="D3025" s="30" t="s">
        <v>3663</v>
      </c>
      <c r="E3025" s="32">
        <v>46113.0</v>
      </c>
      <c r="F3025" s="32">
        <v>46171.0</v>
      </c>
      <c r="G3025" s="33"/>
    </row>
    <row r="3026" ht="15.75" customHeight="1">
      <c r="A3026" s="26" t="s">
        <v>6690</v>
      </c>
      <c r="B3026" s="27" t="s">
        <v>393</v>
      </c>
      <c r="C3026" s="27" t="s">
        <v>1168</v>
      </c>
      <c r="D3026" s="26" t="s">
        <v>3663</v>
      </c>
      <c r="E3026" s="28">
        <v>46113.0</v>
      </c>
      <c r="F3026" s="28">
        <v>46171.0</v>
      </c>
      <c r="G3026" s="29"/>
    </row>
    <row r="3027" ht="15.75" customHeight="1">
      <c r="A3027" s="30" t="s">
        <v>6691</v>
      </c>
      <c r="B3027" s="31" t="s">
        <v>393</v>
      </c>
      <c r="C3027" s="31" t="s">
        <v>1170</v>
      </c>
      <c r="D3027" s="30" t="s">
        <v>3663</v>
      </c>
      <c r="E3027" s="32">
        <v>46113.0</v>
      </c>
      <c r="F3027" s="32">
        <v>46171.0</v>
      </c>
      <c r="G3027" s="33"/>
    </row>
    <row r="3028" ht="15.75" customHeight="1">
      <c r="A3028" s="26" t="s">
        <v>6692</v>
      </c>
      <c r="B3028" s="27" t="s">
        <v>393</v>
      </c>
      <c r="C3028" s="27" t="s">
        <v>1288</v>
      </c>
      <c r="D3028" s="26" t="s">
        <v>3663</v>
      </c>
      <c r="E3028" s="28">
        <v>46113.0</v>
      </c>
      <c r="F3028" s="28">
        <v>46171.0</v>
      </c>
      <c r="G3028" s="29"/>
    </row>
    <row r="3029" ht="15.75" customHeight="1">
      <c r="A3029" s="30" t="s">
        <v>6693</v>
      </c>
      <c r="B3029" s="31" t="s">
        <v>393</v>
      </c>
      <c r="C3029" s="31" t="s">
        <v>1291</v>
      </c>
      <c r="D3029" s="30" t="s">
        <v>3663</v>
      </c>
      <c r="E3029" s="32">
        <v>46113.0</v>
      </c>
      <c r="F3029" s="32">
        <v>46171.0</v>
      </c>
      <c r="G3029" s="33"/>
    </row>
    <row r="3030" ht="15.75" customHeight="1">
      <c r="A3030" s="26" t="s">
        <v>6694</v>
      </c>
      <c r="B3030" s="27" t="s">
        <v>393</v>
      </c>
      <c r="C3030" s="27" t="s">
        <v>1354</v>
      </c>
      <c r="D3030" s="26" t="s">
        <v>3663</v>
      </c>
      <c r="E3030" s="28">
        <v>46113.0</v>
      </c>
      <c r="F3030" s="28">
        <v>46171.0</v>
      </c>
      <c r="G3030" s="29"/>
    </row>
    <row r="3031" ht="15.75" customHeight="1">
      <c r="A3031" s="30" t="s">
        <v>6695</v>
      </c>
      <c r="B3031" s="31" t="s">
        <v>393</v>
      </c>
      <c r="C3031" s="31" t="s">
        <v>1312</v>
      </c>
      <c r="D3031" s="30" t="s">
        <v>3663</v>
      </c>
      <c r="E3031" s="32">
        <v>46113.0</v>
      </c>
      <c r="F3031" s="32">
        <v>46171.0</v>
      </c>
      <c r="G3031" s="33"/>
    </row>
    <row r="3032" ht="15.75" customHeight="1">
      <c r="A3032" s="26" t="s">
        <v>6696</v>
      </c>
      <c r="B3032" s="27" t="s">
        <v>393</v>
      </c>
      <c r="C3032" s="27" t="s">
        <v>3681</v>
      </c>
      <c r="D3032" s="26" t="s">
        <v>3663</v>
      </c>
      <c r="E3032" s="28">
        <v>46113.0</v>
      </c>
      <c r="F3032" s="28">
        <v>46171.0</v>
      </c>
      <c r="G3032" s="29"/>
    </row>
    <row r="3033" ht="15.75" customHeight="1">
      <c r="A3033" s="30" t="s">
        <v>6697</v>
      </c>
      <c r="B3033" s="31" t="s">
        <v>393</v>
      </c>
      <c r="C3033" s="31" t="s">
        <v>3683</v>
      </c>
      <c r="D3033" s="30" t="s">
        <v>3663</v>
      </c>
      <c r="E3033" s="32">
        <v>46113.0</v>
      </c>
      <c r="F3033" s="32">
        <v>46171.0</v>
      </c>
      <c r="G3033" s="33"/>
    </row>
    <row r="3034" ht="15.75" customHeight="1">
      <c r="A3034" s="26" t="s">
        <v>6698</v>
      </c>
      <c r="B3034" s="27" t="s">
        <v>393</v>
      </c>
      <c r="C3034" s="27" t="s">
        <v>1190</v>
      </c>
      <c r="D3034" s="26" t="s">
        <v>3663</v>
      </c>
      <c r="E3034" s="28">
        <v>46113.0</v>
      </c>
      <c r="F3034" s="28">
        <v>46171.0</v>
      </c>
      <c r="G3034" s="29"/>
    </row>
    <row r="3035" ht="15.75" customHeight="1">
      <c r="A3035" s="30" t="s">
        <v>6699</v>
      </c>
      <c r="B3035" s="31" t="s">
        <v>393</v>
      </c>
      <c r="C3035" s="31" t="s">
        <v>1351</v>
      </c>
      <c r="D3035" s="30" t="s">
        <v>3663</v>
      </c>
      <c r="E3035" s="32">
        <v>46113.0</v>
      </c>
      <c r="F3035" s="32">
        <v>46171.0</v>
      </c>
      <c r="G3035" s="33"/>
    </row>
    <row r="3036" ht="15.75" customHeight="1">
      <c r="A3036" s="26" t="s">
        <v>6700</v>
      </c>
      <c r="B3036" s="27" t="s">
        <v>393</v>
      </c>
      <c r="C3036" s="27" t="s">
        <v>1349</v>
      </c>
      <c r="D3036" s="26" t="s">
        <v>3663</v>
      </c>
      <c r="E3036" s="28">
        <v>46113.0</v>
      </c>
      <c r="F3036" s="28">
        <v>46171.0</v>
      </c>
      <c r="G3036" s="29"/>
    </row>
    <row r="3037" ht="15.75" customHeight="1">
      <c r="A3037" s="30" t="s">
        <v>6701</v>
      </c>
      <c r="B3037" s="31" t="s">
        <v>393</v>
      </c>
      <c r="C3037" s="31" t="s">
        <v>968</v>
      </c>
      <c r="D3037" s="30" t="s">
        <v>3663</v>
      </c>
      <c r="E3037" s="32">
        <v>46113.0</v>
      </c>
      <c r="F3037" s="32">
        <v>46171.0</v>
      </c>
      <c r="G3037" s="33"/>
    </row>
    <row r="3038" ht="15.75" customHeight="1">
      <c r="A3038" s="26" t="s">
        <v>6702</v>
      </c>
      <c r="B3038" s="27" t="s">
        <v>393</v>
      </c>
      <c r="C3038" s="27" t="s">
        <v>923</v>
      </c>
      <c r="D3038" s="26" t="s">
        <v>3663</v>
      </c>
      <c r="E3038" s="28">
        <v>46113.0</v>
      </c>
      <c r="F3038" s="28">
        <v>46171.0</v>
      </c>
      <c r="G3038" s="29"/>
    </row>
    <row r="3039" ht="15.75" customHeight="1">
      <c r="A3039" s="30" t="s">
        <v>6703</v>
      </c>
      <c r="B3039" s="31" t="s">
        <v>394</v>
      </c>
      <c r="C3039" s="31" t="s">
        <v>3638</v>
      </c>
      <c r="D3039" s="30" t="s">
        <v>3663</v>
      </c>
      <c r="E3039" s="32">
        <v>46113.0</v>
      </c>
      <c r="F3039" s="32">
        <v>46171.0</v>
      </c>
      <c r="G3039" s="33"/>
    </row>
    <row r="3040" ht="15.75" customHeight="1">
      <c r="A3040" s="26" t="s">
        <v>6704</v>
      </c>
      <c r="B3040" s="27" t="s">
        <v>394</v>
      </c>
      <c r="C3040" s="27" t="s">
        <v>932</v>
      </c>
      <c r="D3040" s="26" t="s">
        <v>3663</v>
      </c>
      <c r="E3040" s="28">
        <v>46113.0</v>
      </c>
      <c r="F3040" s="28">
        <v>46171.0</v>
      </c>
      <c r="G3040" s="29"/>
    </row>
    <row r="3041" ht="15.75" customHeight="1">
      <c r="A3041" s="30" t="s">
        <v>6705</v>
      </c>
      <c r="B3041" s="31" t="s">
        <v>394</v>
      </c>
      <c r="C3041" s="31" t="s">
        <v>1164</v>
      </c>
      <c r="D3041" s="30" t="s">
        <v>3663</v>
      </c>
      <c r="E3041" s="32">
        <v>46113.0</v>
      </c>
      <c r="F3041" s="32">
        <v>46171.0</v>
      </c>
      <c r="G3041" s="33"/>
    </row>
    <row r="3042" ht="15.75" customHeight="1">
      <c r="A3042" s="26" t="s">
        <v>6706</v>
      </c>
      <c r="B3042" s="27" t="s">
        <v>394</v>
      </c>
      <c r="C3042" s="27" t="s">
        <v>1166</v>
      </c>
      <c r="D3042" s="26" t="s">
        <v>3663</v>
      </c>
      <c r="E3042" s="28">
        <v>46113.0</v>
      </c>
      <c r="F3042" s="28">
        <v>46171.0</v>
      </c>
      <c r="G3042" s="29"/>
    </row>
    <row r="3043" ht="15.75" customHeight="1">
      <c r="A3043" s="30" t="s">
        <v>6707</v>
      </c>
      <c r="B3043" s="31" t="s">
        <v>394</v>
      </c>
      <c r="C3043" s="31" t="s">
        <v>1168</v>
      </c>
      <c r="D3043" s="30" t="s">
        <v>3663</v>
      </c>
      <c r="E3043" s="32">
        <v>46113.0</v>
      </c>
      <c r="F3043" s="32">
        <v>46171.0</v>
      </c>
      <c r="G3043" s="33"/>
    </row>
    <row r="3044" ht="15.75" customHeight="1">
      <c r="A3044" s="26" t="s">
        <v>6708</v>
      </c>
      <c r="B3044" s="27" t="s">
        <v>394</v>
      </c>
      <c r="C3044" s="27" t="s">
        <v>1170</v>
      </c>
      <c r="D3044" s="26" t="s">
        <v>3663</v>
      </c>
      <c r="E3044" s="28">
        <v>46113.0</v>
      </c>
      <c r="F3044" s="28">
        <v>46171.0</v>
      </c>
      <c r="G3044" s="29"/>
    </row>
    <row r="3045" ht="15.75" customHeight="1">
      <c r="A3045" s="30" t="s">
        <v>6709</v>
      </c>
      <c r="B3045" s="31" t="s">
        <v>394</v>
      </c>
      <c r="C3045" s="31" t="s">
        <v>1354</v>
      </c>
      <c r="D3045" s="30" t="s">
        <v>3663</v>
      </c>
      <c r="E3045" s="32">
        <v>46113.0</v>
      </c>
      <c r="F3045" s="32">
        <v>46171.0</v>
      </c>
      <c r="G3045" s="33"/>
    </row>
    <row r="3046" ht="15.75" customHeight="1">
      <c r="A3046" s="26" t="s">
        <v>6710</v>
      </c>
      <c r="B3046" s="27" t="s">
        <v>394</v>
      </c>
      <c r="C3046" s="27" t="s">
        <v>3605</v>
      </c>
      <c r="D3046" s="26" t="s">
        <v>3663</v>
      </c>
      <c r="E3046" s="28">
        <v>46113.0</v>
      </c>
      <c r="F3046" s="28">
        <v>46171.0</v>
      </c>
      <c r="G3046" s="29"/>
    </row>
    <row r="3047" ht="15.75" customHeight="1">
      <c r="A3047" s="30" t="s">
        <v>6711</v>
      </c>
      <c r="B3047" s="31" t="s">
        <v>394</v>
      </c>
      <c r="C3047" s="31" t="s">
        <v>1351</v>
      </c>
      <c r="D3047" s="30" t="s">
        <v>3663</v>
      </c>
      <c r="E3047" s="32">
        <v>46113.0</v>
      </c>
      <c r="F3047" s="32">
        <v>46171.0</v>
      </c>
      <c r="G3047" s="33"/>
    </row>
    <row r="3048" ht="15.75" customHeight="1">
      <c r="A3048" s="26" t="s">
        <v>6712</v>
      </c>
      <c r="B3048" s="27" t="s">
        <v>394</v>
      </c>
      <c r="C3048" s="27" t="s">
        <v>1349</v>
      </c>
      <c r="D3048" s="26" t="s">
        <v>3663</v>
      </c>
      <c r="E3048" s="28">
        <v>46113.0</v>
      </c>
      <c r="F3048" s="28">
        <v>46171.0</v>
      </c>
      <c r="G3048" s="29"/>
    </row>
    <row r="3049" ht="15.75" customHeight="1">
      <c r="A3049" s="30" t="s">
        <v>6713</v>
      </c>
      <c r="B3049" s="31" t="s">
        <v>394</v>
      </c>
      <c r="C3049" s="31" t="s">
        <v>3653</v>
      </c>
      <c r="D3049" s="31" t="s">
        <v>3663</v>
      </c>
      <c r="E3049" s="32">
        <v>46113.0</v>
      </c>
      <c r="F3049" s="32">
        <v>46171.0</v>
      </c>
      <c r="G3049" s="33"/>
    </row>
    <row r="3050" ht="15.75" customHeight="1">
      <c r="A3050" s="26" t="s">
        <v>6714</v>
      </c>
      <c r="B3050" s="27" t="s">
        <v>394</v>
      </c>
      <c r="C3050" s="27" t="s">
        <v>3652</v>
      </c>
      <c r="D3050" s="26" t="s">
        <v>3663</v>
      </c>
      <c r="E3050" s="28">
        <v>46113.0</v>
      </c>
      <c r="F3050" s="28">
        <v>46171.0</v>
      </c>
      <c r="G3050" s="29"/>
    </row>
    <row r="3051" ht="15.75" customHeight="1">
      <c r="A3051" s="30" t="s">
        <v>6715</v>
      </c>
      <c r="B3051" s="31" t="s">
        <v>394</v>
      </c>
      <c r="C3051" s="31" t="s">
        <v>968</v>
      </c>
      <c r="D3051" s="30" t="s">
        <v>3663</v>
      </c>
      <c r="E3051" s="32">
        <v>46113.0</v>
      </c>
      <c r="F3051" s="32">
        <v>46171.0</v>
      </c>
      <c r="G3051" s="33"/>
    </row>
    <row r="3052" ht="15.75" customHeight="1">
      <c r="A3052" s="26" t="s">
        <v>6716</v>
      </c>
      <c r="B3052" s="27" t="s">
        <v>394</v>
      </c>
      <c r="C3052" s="27" t="s">
        <v>923</v>
      </c>
      <c r="D3052" s="26" t="s">
        <v>3663</v>
      </c>
      <c r="E3052" s="28">
        <v>46113.0</v>
      </c>
      <c r="F3052" s="28">
        <v>46171.0</v>
      </c>
      <c r="G3052" s="29"/>
    </row>
    <row r="3053" ht="15.75" customHeight="1">
      <c r="A3053" s="30" t="s">
        <v>6717</v>
      </c>
      <c r="B3053" s="31" t="s">
        <v>395</v>
      </c>
      <c r="C3053" s="31" t="s">
        <v>926</v>
      </c>
      <c r="D3053" s="31" t="s">
        <v>3663</v>
      </c>
      <c r="E3053" s="32">
        <v>46113.0</v>
      </c>
      <c r="F3053" s="32">
        <v>46171.0</v>
      </c>
      <c r="G3053" s="33"/>
    </row>
    <row r="3054" ht="15.75" customHeight="1">
      <c r="A3054" s="26" t="s">
        <v>6718</v>
      </c>
      <c r="B3054" s="27" t="s">
        <v>395</v>
      </c>
      <c r="C3054" s="27" t="s">
        <v>1354</v>
      </c>
      <c r="D3054" s="26" t="s">
        <v>3663</v>
      </c>
      <c r="E3054" s="28">
        <v>46113.0</v>
      </c>
      <c r="F3054" s="28">
        <v>46171.0</v>
      </c>
      <c r="G3054" s="29"/>
    </row>
    <row r="3055" ht="15.75" customHeight="1">
      <c r="A3055" s="30" t="s">
        <v>6719</v>
      </c>
      <c r="B3055" s="31" t="s">
        <v>395</v>
      </c>
      <c r="C3055" s="31" t="s">
        <v>3681</v>
      </c>
      <c r="D3055" s="30" t="s">
        <v>3663</v>
      </c>
      <c r="E3055" s="32">
        <v>46113.0</v>
      </c>
      <c r="F3055" s="32">
        <v>46171.0</v>
      </c>
      <c r="G3055" s="33"/>
    </row>
    <row r="3056" ht="15.75" customHeight="1">
      <c r="A3056" s="26" t="s">
        <v>6720</v>
      </c>
      <c r="B3056" s="27" t="s">
        <v>395</v>
      </c>
      <c r="C3056" s="27" t="s">
        <v>3683</v>
      </c>
      <c r="D3056" s="26" t="s">
        <v>3663</v>
      </c>
      <c r="E3056" s="28">
        <v>46113.0</v>
      </c>
      <c r="F3056" s="28">
        <v>46171.0</v>
      </c>
      <c r="G3056" s="29"/>
    </row>
    <row r="3057" ht="15.75" customHeight="1">
      <c r="A3057" s="30" t="s">
        <v>6721</v>
      </c>
      <c r="B3057" s="31" t="s">
        <v>395</v>
      </c>
      <c r="C3057" s="31" t="s">
        <v>3648</v>
      </c>
      <c r="D3057" s="31" t="s">
        <v>3663</v>
      </c>
      <c r="E3057" s="32">
        <v>46113.0</v>
      </c>
      <c r="F3057" s="32">
        <v>46171.0</v>
      </c>
      <c r="G3057" s="33"/>
    </row>
    <row r="3058" ht="15.75" customHeight="1">
      <c r="A3058" s="26" t="s">
        <v>6722</v>
      </c>
      <c r="B3058" s="27" t="s">
        <v>395</v>
      </c>
      <c r="C3058" s="27" t="s">
        <v>3649</v>
      </c>
      <c r="D3058" s="27" t="s">
        <v>3663</v>
      </c>
      <c r="E3058" s="28">
        <v>46113.0</v>
      </c>
      <c r="F3058" s="28">
        <v>46171.0</v>
      </c>
      <c r="G3058" s="29"/>
    </row>
    <row r="3059" ht="15.75" customHeight="1">
      <c r="A3059" s="30" t="s">
        <v>6723</v>
      </c>
      <c r="B3059" s="31" t="s">
        <v>395</v>
      </c>
      <c r="C3059" s="31" t="s">
        <v>3650</v>
      </c>
      <c r="D3059" s="31" t="s">
        <v>3663</v>
      </c>
      <c r="E3059" s="32">
        <v>46113.0</v>
      </c>
      <c r="F3059" s="32">
        <v>46171.0</v>
      </c>
      <c r="G3059" s="33"/>
    </row>
    <row r="3060" ht="15.75" customHeight="1">
      <c r="A3060" s="26" t="s">
        <v>6724</v>
      </c>
      <c r="B3060" s="27" t="s">
        <v>395</v>
      </c>
      <c r="C3060" s="27" t="s">
        <v>1283</v>
      </c>
      <c r="D3060" s="27" t="s">
        <v>3663</v>
      </c>
      <c r="E3060" s="28">
        <v>46113.0</v>
      </c>
      <c r="F3060" s="28">
        <v>46171.0</v>
      </c>
      <c r="G3060" s="29"/>
    </row>
    <row r="3061" ht="15.75" customHeight="1">
      <c r="A3061" s="30" t="s">
        <v>6725</v>
      </c>
      <c r="B3061" s="31" t="s">
        <v>395</v>
      </c>
      <c r="C3061" s="31" t="s">
        <v>1218</v>
      </c>
      <c r="D3061" s="30" t="s">
        <v>3663</v>
      </c>
      <c r="E3061" s="32">
        <v>46113.0</v>
      </c>
      <c r="F3061" s="32">
        <v>46171.0</v>
      </c>
      <c r="G3061" s="33"/>
    </row>
    <row r="3062" ht="15.75" customHeight="1">
      <c r="A3062" s="26" t="s">
        <v>6726</v>
      </c>
      <c r="B3062" s="27" t="s">
        <v>395</v>
      </c>
      <c r="C3062" s="27" t="s">
        <v>1351</v>
      </c>
      <c r="D3062" s="26" t="s">
        <v>3663</v>
      </c>
      <c r="E3062" s="28">
        <v>46113.0</v>
      </c>
      <c r="F3062" s="28">
        <v>46171.0</v>
      </c>
      <c r="G3062" s="29"/>
    </row>
    <row r="3063" ht="15.75" customHeight="1">
      <c r="A3063" s="30" t="s">
        <v>6727</v>
      </c>
      <c r="B3063" s="31" t="s">
        <v>395</v>
      </c>
      <c r="C3063" s="31" t="s">
        <v>1349</v>
      </c>
      <c r="D3063" s="30" t="s">
        <v>3663</v>
      </c>
      <c r="E3063" s="32">
        <v>46113.0</v>
      </c>
      <c r="F3063" s="32">
        <v>46171.0</v>
      </c>
      <c r="G3063" s="33"/>
    </row>
    <row r="3064" ht="15.75" customHeight="1">
      <c r="A3064" s="26" t="s">
        <v>6728</v>
      </c>
      <c r="B3064" s="27" t="s">
        <v>395</v>
      </c>
      <c r="C3064" s="27" t="s">
        <v>968</v>
      </c>
      <c r="D3064" s="26" t="s">
        <v>3663</v>
      </c>
      <c r="E3064" s="28">
        <v>46113.0</v>
      </c>
      <c r="F3064" s="28">
        <v>46171.0</v>
      </c>
      <c r="G3064" s="29"/>
    </row>
    <row r="3065" ht="15.75" customHeight="1">
      <c r="A3065" s="30" t="s">
        <v>6729</v>
      </c>
      <c r="B3065" s="31" t="s">
        <v>395</v>
      </c>
      <c r="C3065" s="31" t="s">
        <v>923</v>
      </c>
      <c r="D3065" s="31" t="s">
        <v>3663</v>
      </c>
      <c r="E3065" s="32">
        <v>46113.0</v>
      </c>
      <c r="F3065" s="32">
        <v>46171.0</v>
      </c>
      <c r="G3065" s="33"/>
    </row>
    <row r="3066" ht="15.75" customHeight="1">
      <c r="A3066" s="26" t="s">
        <v>6730</v>
      </c>
      <c r="B3066" s="27" t="s">
        <v>395</v>
      </c>
      <c r="C3066" s="27" t="s">
        <v>961</v>
      </c>
      <c r="D3066" s="26" t="s">
        <v>3663</v>
      </c>
      <c r="E3066" s="28">
        <v>46113.0</v>
      </c>
      <c r="F3066" s="28">
        <v>46171.0</v>
      </c>
      <c r="G3066" s="29"/>
    </row>
    <row r="3067" ht="15.75" customHeight="1">
      <c r="A3067" s="30" t="s">
        <v>6731</v>
      </c>
      <c r="B3067" s="31" t="s">
        <v>2480</v>
      </c>
      <c r="C3067" s="31" t="s">
        <v>930</v>
      </c>
      <c r="D3067" s="30" t="s">
        <v>3663</v>
      </c>
      <c r="E3067" s="32">
        <v>46113.0</v>
      </c>
      <c r="F3067" s="32">
        <v>46171.0</v>
      </c>
      <c r="G3067" s="33"/>
    </row>
    <row r="3068" ht="15.75" customHeight="1">
      <c r="A3068" s="26" t="s">
        <v>6732</v>
      </c>
      <c r="B3068" s="27" t="s">
        <v>2480</v>
      </c>
      <c r="C3068" s="27" t="s">
        <v>1354</v>
      </c>
      <c r="D3068" s="26" t="s">
        <v>3663</v>
      </c>
      <c r="E3068" s="28">
        <v>46113.0</v>
      </c>
      <c r="F3068" s="28">
        <v>46171.0</v>
      </c>
      <c r="G3068" s="29"/>
    </row>
    <row r="3069" ht="15.75" customHeight="1">
      <c r="A3069" s="30" t="s">
        <v>6733</v>
      </c>
      <c r="B3069" s="31" t="s">
        <v>2480</v>
      </c>
      <c r="C3069" s="31" t="s">
        <v>3681</v>
      </c>
      <c r="D3069" s="30" t="s">
        <v>3663</v>
      </c>
      <c r="E3069" s="32">
        <v>46113.0</v>
      </c>
      <c r="F3069" s="32">
        <v>46171.0</v>
      </c>
      <c r="G3069" s="33"/>
    </row>
    <row r="3070" ht="15.75" customHeight="1">
      <c r="A3070" s="26" t="s">
        <v>6734</v>
      </c>
      <c r="B3070" s="27" t="s">
        <v>2480</v>
      </c>
      <c r="C3070" s="27" t="s">
        <v>3683</v>
      </c>
      <c r="D3070" s="26" t="s">
        <v>3663</v>
      </c>
      <c r="E3070" s="28">
        <v>46113.0</v>
      </c>
      <c r="F3070" s="28">
        <v>46171.0</v>
      </c>
      <c r="G3070" s="29"/>
    </row>
    <row r="3071" ht="15.75" customHeight="1">
      <c r="A3071" s="30" t="s">
        <v>6735</v>
      </c>
      <c r="B3071" s="31" t="s">
        <v>2480</v>
      </c>
      <c r="C3071" s="31" t="s">
        <v>1216</v>
      </c>
      <c r="D3071" s="30" t="s">
        <v>3663</v>
      </c>
      <c r="E3071" s="32">
        <v>46113.0</v>
      </c>
      <c r="F3071" s="32">
        <v>46171.0</v>
      </c>
      <c r="G3071" s="33"/>
    </row>
    <row r="3072" ht="15.75" customHeight="1">
      <c r="A3072" s="26" t="s">
        <v>6736</v>
      </c>
      <c r="B3072" s="27" t="s">
        <v>2480</v>
      </c>
      <c r="C3072" s="27" t="s">
        <v>1218</v>
      </c>
      <c r="D3072" s="26" t="s">
        <v>3663</v>
      </c>
      <c r="E3072" s="28">
        <v>46113.0</v>
      </c>
      <c r="F3072" s="28">
        <v>46171.0</v>
      </c>
      <c r="G3072" s="29"/>
    </row>
    <row r="3073" ht="15.75" customHeight="1">
      <c r="A3073" s="30" t="s">
        <v>6737</v>
      </c>
      <c r="B3073" s="31" t="s">
        <v>2480</v>
      </c>
      <c r="C3073" s="31" t="s">
        <v>1157</v>
      </c>
      <c r="D3073" s="30" t="s">
        <v>3663</v>
      </c>
      <c r="E3073" s="32">
        <v>46113.0</v>
      </c>
      <c r="F3073" s="32">
        <v>46171.0</v>
      </c>
      <c r="G3073" s="33"/>
    </row>
    <row r="3074" ht="15.75" customHeight="1">
      <c r="A3074" s="26" t="s">
        <v>6738</v>
      </c>
      <c r="B3074" s="27" t="s">
        <v>2480</v>
      </c>
      <c r="C3074" s="27" t="s">
        <v>1155</v>
      </c>
      <c r="D3074" s="26" t="s">
        <v>3663</v>
      </c>
      <c r="E3074" s="28">
        <v>46113.0</v>
      </c>
      <c r="F3074" s="28">
        <v>46171.0</v>
      </c>
      <c r="G3074" s="29"/>
    </row>
    <row r="3075" ht="15.75" customHeight="1">
      <c r="A3075" s="30" t="s">
        <v>6739</v>
      </c>
      <c r="B3075" s="31" t="s">
        <v>2480</v>
      </c>
      <c r="C3075" s="31" t="s">
        <v>1153</v>
      </c>
      <c r="D3075" s="30" t="s">
        <v>3663</v>
      </c>
      <c r="E3075" s="32">
        <v>46113.0</v>
      </c>
      <c r="F3075" s="32">
        <v>46171.0</v>
      </c>
      <c r="G3075" s="33"/>
    </row>
    <row r="3076" ht="15.75" customHeight="1">
      <c r="A3076" s="26" t="s">
        <v>6740</v>
      </c>
      <c r="B3076" s="27" t="s">
        <v>2480</v>
      </c>
      <c r="C3076" s="27" t="s">
        <v>1149</v>
      </c>
      <c r="D3076" s="26" t="s">
        <v>3663</v>
      </c>
      <c r="E3076" s="28">
        <v>46113.0</v>
      </c>
      <c r="F3076" s="28">
        <v>46171.0</v>
      </c>
      <c r="G3076" s="29"/>
    </row>
    <row r="3077" ht="15.75" customHeight="1">
      <c r="A3077" s="30" t="s">
        <v>6741</v>
      </c>
      <c r="B3077" s="31" t="s">
        <v>2480</v>
      </c>
      <c r="C3077" s="31" t="s">
        <v>1351</v>
      </c>
      <c r="D3077" s="30" t="s">
        <v>3663</v>
      </c>
      <c r="E3077" s="32">
        <v>46113.0</v>
      </c>
      <c r="F3077" s="32">
        <v>46171.0</v>
      </c>
      <c r="G3077" s="33"/>
    </row>
    <row r="3078" ht="15.75" customHeight="1">
      <c r="A3078" s="26" t="s">
        <v>6742</v>
      </c>
      <c r="B3078" s="27" t="s">
        <v>2480</v>
      </c>
      <c r="C3078" s="27" t="s">
        <v>1349</v>
      </c>
      <c r="D3078" s="26" t="s">
        <v>3663</v>
      </c>
      <c r="E3078" s="28">
        <v>46113.0</v>
      </c>
      <c r="F3078" s="28">
        <v>46171.0</v>
      </c>
      <c r="G3078" s="29"/>
    </row>
    <row r="3079" ht="15.75" customHeight="1">
      <c r="A3079" s="30" t="s">
        <v>6743</v>
      </c>
      <c r="B3079" s="31" t="s">
        <v>2480</v>
      </c>
      <c r="C3079" s="31" t="s">
        <v>968</v>
      </c>
      <c r="D3079" s="30" t="s">
        <v>3663</v>
      </c>
      <c r="E3079" s="32">
        <v>46113.0</v>
      </c>
      <c r="F3079" s="32">
        <v>46171.0</v>
      </c>
      <c r="G3079" s="33"/>
    </row>
    <row r="3080" ht="15.75" customHeight="1">
      <c r="A3080" s="26" t="s">
        <v>6744</v>
      </c>
      <c r="B3080" s="27" t="s">
        <v>2480</v>
      </c>
      <c r="C3080" s="27" t="s">
        <v>923</v>
      </c>
      <c r="D3080" s="26" t="s">
        <v>3663</v>
      </c>
      <c r="E3080" s="28">
        <v>46113.0</v>
      </c>
      <c r="F3080" s="28">
        <v>46171.0</v>
      </c>
      <c r="G3080" s="29"/>
    </row>
    <row r="3081" ht="15.75" customHeight="1">
      <c r="A3081" s="30" t="s">
        <v>6745</v>
      </c>
      <c r="B3081" s="31" t="s">
        <v>2482</v>
      </c>
      <c r="C3081" s="31" t="s">
        <v>3654</v>
      </c>
      <c r="D3081" s="30" t="s">
        <v>3663</v>
      </c>
      <c r="E3081" s="32">
        <v>46113.0</v>
      </c>
      <c r="F3081" s="32">
        <v>46171.0</v>
      </c>
      <c r="G3081" s="33"/>
    </row>
    <row r="3082" ht="15.75" customHeight="1">
      <c r="A3082" s="26" t="s">
        <v>6746</v>
      </c>
      <c r="B3082" s="27" t="s">
        <v>2482</v>
      </c>
      <c r="C3082" s="27" t="s">
        <v>3655</v>
      </c>
      <c r="D3082" s="26" t="s">
        <v>3663</v>
      </c>
      <c r="E3082" s="28">
        <v>46113.0</v>
      </c>
      <c r="F3082" s="28">
        <v>46171.0</v>
      </c>
      <c r="G3082" s="29"/>
    </row>
    <row r="3083" ht="15.75" customHeight="1">
      <c r="A3083" s="30" t="s">
        <v>6747</v>
      </c>
      <c r="B3083" s="31" t="s">
        <v>2482</v>
      </c>
      <c r="C3083" s="31" t="s">
        <v>930</v>
      </c>
      <c r="D3083" s="31" t="s">
        <v>3663</v>
      </c>
      <c r="E3083" s="32">
        <v>46113.0</v>
      </c>
      <c r="F3083" s="32">
        <v>46171.0</v>
      </c>
      <c r="G3083" s="33"/>
    </row>
    <row r="3084" ht="15.75" customHeight="1">
      <c r="A3084" s="26" t="s">
        <v>6748</v>
      </c>
      <c r="B3084" s="27" t="s">
        <v>2482</v>
      </c>
      <c r="C3084" s="27" t="s">
        <v>1354</v>
      </c>
      <c r="D3084" s="26" t="s">
        <v>3663</v>
      </c>
      <c r="E3084" s="28">
        <v>46113.0</v>
      </c>
      <c r="F3084" s="28">
        <v>46171.0</v>
      </c>
      <c r="G3084" s="29"/>
    </row>
    <row r="3085" ht="15.75" customHeight="1">
      <c r="A3085" s="30" t="s">
        <v>6749</v>
      </c>
      <c r="B3085" s="31" t="s">
        <v>2482</v>
      </c>
      <c r="C3085" s="31" t="s">
        <v>1304</v>
      </c>
      <c r="D3085" s="31" t="s">
        <v>3663</v>
      </c>
      <c r="E3085" s="32">
        <v>46113.0</v>
      </c>
      <c r="F3085" s="32">
        <v>46171.0</v>
      </c>
      <c r="G3085" s="33"/>
    </row>
    <row r="3086" ht="15.75" customHeight="1">
      <c r="A3086" s="26" t="s">
        <v>6750</v>
      </c>
      <c r="B3086" s="27" t="s">
        <v>2482</v>
      </c>
      <c r="C3086" s="27" t="s">
        <v>1306</v>
      </c>
      <c r="D3086" s="27" t="s">
        <v>3663</v>
      </c>
      <c r="E3086" s="28">
        <v>46113.0</v>
      </c>
      <c r="F3086" s="28">
        <v>46171.0</v>
      </c>
      <c r="G3086" s="29"/>
    </row>
    <row r="3087" ht="15.75" customHeight="1">
      <c r="A3087" s="30" t="s">
        <v>6751</v>
      </c>
      <c r="B3087" s="31" t="s">
        <v>2482</v>
      </c>
      <c r="C3087" s="31" t="s">
        <v>1308</v>
      </c>
      <c r="D3087" s="31" t="s">
        <v>3663</v>
      </c>
      <c r="E3087" s="32">
        <v>46113.0</v>
      </c>
      <c r="F3087" s="32">
        <v>46171.0</v>
      </c>
      <c r="G3087" s="33"/>
    </row>
    <row r="3088" ht="15.75" customHeight="1">
      <c r="A3088" s="26" t="s">
        <v>6752</v>
      </c>
      <c r="B3088" s="27" t="s">
        <v>2482</v>
      </c>
      <c r="C3088" s="27" t="s">
        <v>1310</v>
      </c>
      <c r="D3088" s="27" t="s">
        <v>3663</v>
      </c>
      <c r="E3088" s="28">
        <v>46113.0</v>
      </c>
      <c r="F3088" s="28">
        <v>46171.0</v>
      </c>
      <c r="G3088" s="29"/>
    </row>
    <row r="3089" ht="15.75" customHeight="1">
      <c r="A3089" s="30" t="s">
        <v>6753</v>
      </c>
      <c r="B3089" s="31" t="s">
        <v>2482</v>
      </c>
      <c r="C3089" s="31" t="s">
        <v>1218</v>
      </c>
      <c r="D3089" s="30" t="s">
        <v>3663</v>
      </c>
      <c r="E3089" s="32">
        <v>46113.0</v>
      </c>
      <c r="F3089" s="32">
        <v>46171.0</v>
      </c>
      <c r="G3089" s="33"/>
    </row>
    <row r="3090" ht="15.75" customHeight="1">
      <c r="A3090" s="26" t="s">
        <v>6754</v>
      </c>
      <c r="B3090" s="27" t="s">
        <v>2482</v>
      </c>
      <c r="C3090" s="27" t="s">
        <v>1271</v>
      </c>
      <c r="D3090" s="26" t="s">
        <v>3663</v>
      </c>
      <c r="E3090" s="28">
        <v>46113.0</v>
      </c>
      <c r="F3090" s="28">
        <v>46171.0</v>
      </c>
      <c r="G3090" s="29"/>
    </row>
    <row r="3091" ht="15.75" customHeight="1">
      <c r="A3091" s="30" t="s">
        <v>6755</v>
      </c>
      <c r="B3091" s="31" t="s">
        <v>2482</v>
      </c>
      <c r="C3091" s="31" t="s">
        <v>1351</v>
      </c>
      <c r="D3091" s="30" t="s">
        <v>3663</v>
      </c>
      <c r="E3091" s="32">
        <v>46113.0</v>
      </c>
      <c r="F3091" s="32">
        <v>46171.0</v>
      </c>
      <c r="G3091" s="33"/>
    </row>
    <row r="3092" ht="15.75" customHeight="1">
      <c r="A3092" s="26" t="s">
        <v>6756</v>
      </c>
      <c r="B3092" s="27" t="s">
        <v>2482</v>
      </c>
      <c r="C3092" s="27" t="s">
        <v>1349</v>
      </c>
      <c r="D3092" s="26" t="s">
        <v>3663</v>
      </c>
      <c r="E3092" s="28">
        <v>46113.0</v>
      </c>
      <c r="F3092" s="28">
        <v>46171.0</v>
      </c>
      <c r="G3092" s="29"/>
    </row>
    <row r="3093" ht="15.75" customHeight="1">
      <c r="A3093" s="30" t="s">
        <v>6757</v>
      </c>
      <c r="B3093" s="31" t="s">
        <v>2482</v>
      </c>
      <c r="C3093" s="31" t="s">
        <v>968</v>
      </c>
      <c r="D3093" s="30" t="s">
        <v>3663</v>
      </c>
      <c r="E3093" s="32">
        <v>46113.0</v>
      </c>
      <c r="F3093" s="32">
        <v>46171.0</v>
      </c>
      <c r="G3093" s="33"/>
    </row>
    <row r="3094" ht="15.75" customHeight="1">
      <c r="A3094" s="26" t="s">
        <v>6758</v>
      </c>
      <c r="B3094" s="27" t="s">
        <v>2482</v>
      </c>
      <c r="C3094" s="27" t="s">
        <v>923</v>
      </c>
      <c r="D3094" s="27" t="s">
        <v>3663</v>
      </c>
      <c r="E3094" s="28">
        <v>46113.0</v>
      </c>
      <c r="F3094" s="28">
        <v>46171.0</v>
      </c>
      <c r="G3094" s="29"/>
    </row>
    <row r="3095" ht="15.75" customHeight="1">
      <c r="A3095" s="30" t="s">
        <v>6759</v>
      </c>
      <c r="B3095" s="31" t="s">
        <v>396</v>
      </c>
      <c r="C3095" s="31" t="s">
        <v>926</v>
      </c>
      <c r="D3095" s="31" t="s">
        <v>3663</v>
      </c>
      <c r="E3095" s="32">
        <v>46113.0</v>
      </c>
      <c r="F3095" s="32">
        <v>46171.0</v>
      </c>
      <c r="G3095" s="33"/>
    </row>
    <row r="3096" ht="15.75" customHeight="1">
      <c r="A3096" s="26" t="s">
        <v>6760</v>
      </c>
      <c r="B3096" s="27" t="s">
        <v>396</v>
      </c>
      <c r="C3096" s="27" t="s">
        <v>1354</v>
      </c>
      <c r="D3096" s="26" t="s">
        <v>3663</v>
      </c>
      <c r="E3096" s="28">
        <v>46113.0</v>
      </c>
      <c r="F3096" s="28">
        <v>46171.0</v>
      </c>
      <c r="G3096" s="29"/>
    </row>
    <row r="3097" ht="15.75" customHeight="1">
      <c r="A3097" s="30" t="s">
        <v>6761</v>
      </c>
      <c r="B3097" s="31" t="s">
        <v>396</v>
      </c>
      <c r="C3097" s="31" t="s">
        <v>3681</v>
      </c>
      <c r="D3097" s="30" t="s">
        <v>3663</v>
      </c>
      <c r="E3097" s="32">
        <v>46113.0</v>
      </c>
      <c r="F3097" s="32">
        <v>46171.0</v>
      </c>
      <c r="G3097" s="33"/>
    </row>
    <row r="3098" ht="15.75" customHeight="1">
      <c r="A3098" s="26" t="s">
        <v>6762</v>
      </c>
      <c r="B3098" s="27" t="s">
        <v>396</v>
      </c>
      <c r="C3098" s="27" t="s">
        <v>3683</v>
      </c>
      <c r="D3098" s="26" t="s">
        <v>3663</v>
      </c>
      <c r="E3098" s="28">
        <v>46113.0</v>
      </c>
      <c r="F3098" s="28">
        <v>46171.0</v>
      </c>
      <c r="G3098" s="29"/>
    </row>
    <row r="3099" ht="15.75" customHeight="1">
      <c r="A3099" s="30" t="s">
        <v>6763</v>
      </c>
      <c r="B3099" s="31" t="s">
        <v>396</v>
      </c>
      <c r="C3099" s="31" t="s">
        <v>3648</v>
      </c>
      <c r="D3099" s="31" t="s">
        <v>3663</v>
      </c>
      <c r="E3099" s="32">
        <v>46113.0</v>
      </c>
      <c r="F3099" s="32">
        <v>46171.0</v>
      </c>
      <c r="G3099" s="33"/>
    </row>
    <row r="3100" ht="15.75" customHeight="1">
      <c r="A3100" s="26" t="s">
        <v>6764</v>
      </c>
      <c r="B3100" s="27" t="s">
        <v>396</v>
      </c>
      <c r="C3100" s="27" t="s">
        <v>3649</v>
      </c>
      <c r="D3100" s="27" t="s">
        <v>3663</v>
      </c>
      <c r="E3100" s="28">
        <v>46113.0</v>
      </c>
      <c r="F3100" s="28">
        <v>46171.0</v>
      </c>
      <c r="G3100" s="29"/>
    </row>
    <row r="3101" ht="15.75" customHeight="1">
      <c r="A3101" s="30" t="s">
        <v>6765</v>
      </c>
      <c r="B3101" s="31" t="s">
        <v>396</v>
      </c>
      <c r="C3101" s="31" t="s">
        <v>3650</v>
      </c>
      <c r="D3101" s="31" t="s">
        <v>3663</v>
      </c>
      <c r="E3101" s="32">
        <v>46113.0</v>
      </c>
      <c r="F3101" s="32">
        <v>46171.0</v>
      </c>
      <c r="G3101" s="33"/>
    </row>
    <row r="3102" ht="15.75" customHeight="1">
      <c r="A3102" s="26" t="s">
        <v>6766</v>
      </c>
      <c r="B3102" s="27" t="s">
        <v>396</v>
      </c>
      <c r="C3102" s="27" t="s">
        <v>1283</v>
      </c>
      <c r="D3102" s="27" t="s">
        <v>3663</v>
      </c>
      <c r="E3102" s="28">
        <v>46113.0</v>
      </c>
      <c r="F3102" s="28">
        <v>46171.0</v>
      </c>
      <c r="G3102" s="29"/>
    </row>
    <row r="3103" ht="15.75" customHeight="1">
      <c r="A3103" s="30" t="s">
        <v>6767</v>
      </c>
      <c r="B3103" s="31" t="s">
        <v>396</v>
      </c>
      <c r="C3103" s="31" t="s">
        <v>1218</v>
      </c>
      <c r="D3103" s="30" t="s">
        <v>3663</v>
      </c>
      <c r="E3103" s="32">
        <v>46113.0</v>
      </c>
      <c r="F3103" s="32">
        <v>46171.0</v>
      </c>
      <c r="G3103" s="33"/>
    </row>
    <row r="3104" ht="15.75" customHeight="1">
      <c r="A3104" s="26" t="s">
        <v>6768</v>
      </c>
      <c r="B3104" s="27" t="s">
        <v>396</v>
      </c>
      <c r="C3104" s="27" t="s">
        <v>1351</v>
      </c>
      <c r="D3104" s="26" t="s">
        <v>3663</v>
      </c>
      <c r="E3104" s="28">
        <v>46113.0</v>
      </c>
      <c r="F3104" s="28">
        <v>46171.0</v>
      </c>
      <c r="G3104" s="29"/>
    </row>
    <row r="3105" ht="15.75" customHeight="1">
      <c r="A3105" s="30" t="s">
        <v>6769</v>
      </c>
      <c r="B3105" s="31" t="s">
        <v>396</v>
      </c>
      <c r="C3105" s="31" t="s">
        <v>1349</v>
      </c>
      <c r="D3105" s="30" t="s">
        <v>3663</v>
      </c>
      <c r="E3105" s="32">
        <v>46113.0</v>
      </c>
      <c r="F3105" s="32">
        <v>46171.0</v>
      </c>
      <c r="G3105" s="33"/>
    </row>
    <row r="3106" ht="15.75" customHeight="1">
      <c r="A3106" s="26" t="s">
        <v>6770</v>
      </c>
      <c r="B3106" s="27" t="s">
        <v>396</v>
      </c>
      <c r="C3106" s="27" t="s">
        <v>968</v>
      </c>
      <c r="D3106" s="26" t="s">
        <v>3663</v>
      </c>
      <c r="E3106" s="28">
        <v>46113.0</v>
      </c>
      <c r="F3106" s="28">
        <v>46171.0</v>
      </c>
      <c r="G3106" s="29"/>
    </row>
    <row r="3107" ht="15.75" customHeight="1">
      <c r="A3107" s="30" t="s">
        <v>6771</v>
      </c>
      <c r="B3107" s="31" t="s">
        <v>396</v>
      </c>
      <c r="C3107" s="31" t="s">
        <v>923</v>
      </c>
      <c r="D3107" s="31" t="s">
        <v>3663</v>
      </c>
      <c r="E3107" s="32">
        <v>46113.0</v>
      </c>
      <c r="F3107" s="32">
        <v>46171.0</v>
      </c>
      <c r="G3107" s="33"/>
    </row>
    <row r="3108" ht="15.75" customHeight="1">
      <c r="A3108" s="26" t="s">
        <v>6772</v>
      </c>
      <c r="B3108" s="27" t="s">
        <v>396</v>
      </c>
      <c r="C3108" s="27" t="s">
        <v>955</v>
      </c>
      <c r="D3108" s="26" t="s">
        <v>3663</v>
      </c>
      <c r="E3108" s="28">
        <v>46113.0</v>
      </c>
      <c r="F3108" s="28">
        <v>46171.0</v>
      </c>
      <c r="G3108" s="29"/>
    </row>
    <row r="3109" ht="15.75" customHeight="1">
      <c r="A3109" s="30" t="s">
        <v>6773</v>
      </c>
      <c r="B3109" s="31" t="s">
        <v>397</v>
      </c>
      <c r="C3109" s="31" t="s">
        <v>926</v>
      </c>
      <c r="D3109" s="31" t="s">
        <v>3663</v>
      </c>
      <c r="E3109" s="32">
        <v>46113.0</v>
      </c>
      <c r="F3109" s="32">
        <v>46171.0</v>
      </c>
      <c r="G3109" s="33"/>
    </row>
    <row r="3110" ht="15.75" customHeight="1">
      <c r="A3110" s="26" t="s">
        <v>6774</v>
      </c>
      <c r="B3110" s="27" t="s">
        <v>397</v>
      </c>
      <c r="C3110" s="27" t="s">
        <v>1354</v>
      </c>
      <c r="D3110" s="26" t="s">
        <v>3663</v>
      </c>
      <c r="E3110" s="28">
        <v>46113.0</v>
      </c>
      <c r="F3110" s="28">
        <v>46171.0</v>
      </c>
      <c r="G3110" s="29"/>
    </row>
    <row r="3111" ht="15.75" customHeight="1">
      <c r="A3111" s="30" t="s">
        <v>6775</v>
      </c>
      <c r="B3111" s="31" t="s">
        <v>397</v>
      </c>
      <c r="C3111" s="31" t="s">
        <v>3681</v>
      </c>
      <c r="D3111" s="30" t="s">
        <v>3663</v>
      </c>
      <c r="E3111" s="32">
        <v>46113.0</v>
      </c>
      <c r="F3111" s="32">
        <v>46171.0</v>
      </c>
      <c r="G3111" s="33"/>
    </row>
    <row r="3112" ht="15.75" customHeight="1">
      <c r="A3112" s="26" t="s">
        <v>6776</v>
      </c>
      <c r="B3112" s="27" t="s">
        <v>397</v>
      </c>
      <c r="C3112" s="27" t="s">
        <v>3683</v>
      </c>
      <c r="D3112" s="26" t="s">
        <v>3663</v>
      </c>
      <c r="E3112" s="28">
        <v>46113.0</v>
      </c>
      <c r="F3112" s="28">
        <v>46171.0</v>
      </c>
      <c r="G3112" s="29"/>
    </row>
    <row r="3113" ht="15.75" customHeight="1">
      <c r="A3113" s="30" t="s">
        <v>6777</v>
      </c>
      <c r="B3113" s="31" t="s">
        <v>397</v>
      </c>
      <c r="C3113" s="31" t="s">
        <v>1208</v>
      </c>
      <c r="D3113" s="30" t="s">
        <v>3663</v>
      </c>
      <c r="E3113" s="32">
        <v>46113.0</v>
      </c>
      <c r="F3113" s="32">
        <v>46171.0</v>
      </c>
      <c r="G3113" s="33"/>
    </row>
    <row r="3114" ht="15.75" customHeight="1">
      <c r="A3114" s="26" t="s">
        <v>6778</v>
      </c>
      <c r="B3114" s="27" t="s">
        <v>397</v>
      </c>
      <c r="C3114" s="27" t="s">
        <v>1159</v>
      </c>
      <c r="D3114" s="26" t="s">
        <v>3663</v>
      </c>
      <c r="E3114" s="28">
        <v>46113.0</v>
      </c>
      <c r="F3114" s="28">
        <v>46171.0</v>
      </c>
      <c r="G3114" s="29"/>
    </row>
    <row r="3115" ht="15.75" customHeight="1">
      <c r="A3115" s="30" t="s">
        <v>6779</v>
      </c>
      <c r="B3115" s="31" t="s">
        <v>397</v>
      </c>
      <c r="C3115" s="31" t="s">
        <v>3648</v>
      </c>
      <c r="D3115" s="31" t="s">
        <v>3663</v>
      </c>
      <c r="E3115" s="32">
        <v>46113.0</v>
      </c>
      <c r="F3115" s="32">
        <v>46171.0</v>
      </c>
      <c r="G3115" s="33"/>
    </row>
    <row r="3116" ht="15.75" customHeight="1">
      <c r="A3116" s="26" t="s">
        <v>6780</v>
      </c>
      <c r="B3116" s="27" t="s">
        <v>397</v>
      </c>
      <c r="C3116" s="27" t="s">
        <v>3649</v>
      </c>
      <c r="D3116" s="27" t="s">
        <v>3663</v>
      </c>
      <c r="E3116" s="28">
        <v>46113.0</v>
      </c>
      <c r="F3116" s="28">
        <v>46171.0</v>
      </c>
      <c r="G3116" s="29"/>
    </row>
    <row r="3117" ht="15.75" customHeight="1">
      <c r="A3117" s="30" t="s">
        <v>6781</v>
      </c>
      <c r="B3117" s="31" t="s">
        <v>397</v>
      </c>
      <c r="C3117" s="31" t="s">
        <v>3650</v>
      </c>
      <c r="D3117" s="31" t="s">
        <v>3663</v>
      </c>
      <c r="E3117" s="32">
        <v>46113.0</v>
      </c>
      <c r="F3117" s="32">
        <v>46171.0</v>
      </c>
      <c r="G3117" s="33"/>
    </row>
    <row r="3118" ht="15.75" customHeight="1">
      <c r="A3118" s="26" t="s">
        <v>6782</v>
      </c>
      <c r="B3118" s="27" t="s">
        <v>397</v>
      </c>
      <c r="C3118" s="27" t="s">
        <v>1283</v>
      </c>
      <c r="D3118" s="27" t="s">
        <v>3663</v>
      </c>
      <c r="E3118" s="28">
        <v>46113.0</v>
      </c>
      <c r="F3118" s="28">
        <v>46171.0</v>
      </c>
      <c r="G3118" s="29"/>
    </row>
    <row r="3119" ht="15.75" customHeight="1">
      <c r="A3119" s="30" t="s">
        <v>6783</v>
      </c>
      <c r="B3119" s="31" t="s">
        <v>397</v>
      </c>
      <c r="C3119" s="31" t="s">
        <v>1351</v>
      </c>
      <c r="D3119" s="30" t="s">
        <v>3663</v>
      </c>
      <c r="E3119" s="32">
        <v>46113.0</v>
      </c>
      <c r="F3119" s="32">
        <v>46171.0</v>
      </c>
      <c r="G3119" s="33"/>
    </row>
    <row r="3120" ht="15.75" customHeight="1">
      <c r="A3120" s="26" t="s">
        <v>6784</v>
      </c>
      <c r="B3120" s="27" t="s">
        <v>397</v>
      </c>
      <c r="C3120" s="27" t="s">
        <v>1349</v>
      </c>
      <c r="D3120" s="26" t="s">
        <v>3663</v>
      </c>
      <c r="E3120" s="28">
        <v>46113.0</v>
      </c>
      <c r="F3120" s="28">
        <v>46171.0</v>
      </c>
      <c r="G3120" s="29"/>
    </row>
    <row r="3121" ht="15.75" customHeight="1">
      <c r="A3121" s="30" t="s">
        <v>6785</v>
      </c>
      <c r="B3121" s="31" t="s">
        <v>397</v>
      </c>
      <c r="C3121" s="31" t="s">
        <v>968</v>
      </c>
      <c r="D3121" s="30" t="s">
        <v>3663</v>
      </c>
      <c r="E3121" s="32">
        <v>46113.0</v>
      </c>
      <c r="F3121" s="32">
        <v>46171.0</v>
      </c>
      <c r="G3121" s="33"/>
    </row>
    <row r="3122" ht="15.75" customHeight="1">
      <c r="A3122" s="26" t="s">
        <v>6786</v>
      </c>
      <c r="B3122" s="27" t="s">
        <v>397</v>
      </c>
      <c r="C3122" s="27" t="s">
        <v>923</v>
      </c>
      <c r="D3122" s="27" t="s">
        <v>3663</v>
      </c>
      <c r="E3122" s="28">
        <v>46113.0</v>
      </c>
      <c r="F3122" s="28">
        <v>46171.0</v>
      </c>
      <c r="G3122" s="29"/>
    </row>
    <row r="3123" ht="15.75" customHeight="1">
      <c r="A3123" s="30" t="s">
        <v>6787</v>
      </c>
      <c r="B3123" s="31" t="s">
        <v>398</v>
      </c>
      <c r="C3123" s="31" t="s">
        <v>3654</v>
      </c>
      <c r="D3123" s="30" t="s">
        <v>3663</v>
      </c>
      <c r="E3123" s="32">
        <v>46113.0</v>
      </c>
      <c r="F3123" s="32">
        <v>46171.0</v>
      </c>
      <c r="G3123" s="33"/>
    </row>
    <row r="3124" ht="15.75" customHeight="1">
      <c r="A3124" s="26" t="s">
        <v>6788</v>
      </c>
      <c r="B3124" s="27" t="s">
        <v>398</v>
      </c>
      <c r="C3124" s="27" t="s">
        <v>3655</v>
      </c>
      <c r="D3124" s="26" t="s">
        <v>3663</v>
      </c>
      <c r="E3124" s="28">
        <v>46113.0</v>
      </c>
      <c r="F3124" s="28">
        <v>46171.0</v>
      </c>
      <c r="G3124" s="29"/>
    </row>
    <row r="3125" ht="15.75" customHeight="1">
      <c r="A3125" s="30" t="s">
        <v>6789</v>
      </c>
      <c r="B3125" s="31" t="s">
        <v>398</v>
      </c>
      <c r="C3125" s="31" t="s">
        <v>930</v>
      </c>
      <c r="D3125" s="31" t="s">
        <v>3663</v>
      </c>
      <c r="E3125" s="32">
        <v>46113.0</v>
      </c>
      <c r="F3125" s="32">
        <v>46171.0</v>
      </c>
      <c r="G3125" s="33"/>
    </row>
    <row r="3126" ht="15.75" customHeight="1">
      <c r="A3126" s="26" t="s">
        <v>6790</v>
      </c>
      <c r="B3126" s="27" t="s">
        <v>398</v>
      </c>
      <c r="C3126" s="27" t="s">
        <v>1354</v>
      </c>
      <c r="D3126" s="26" t="s">
        <v>3663</v>
      </c>
      <c r="E3126" s="28">
        <v>46113.0</v>
      </c>
      <c r="F3126" s="28">
        <v>46171.0</v>
      </c>
      <c r="G3126" s="29"/>
    </row>
    <row r="3127" ht="15.75" customHeight="1">
      <c r="A3127" s="30" t="s">
        <v>6791</v>
      </c>
      <c r="B3127" s="31" t="s">
        <v>398</v>
      </c>
      <c r="C3127" s="31" t="s">
        <v>1304</v>
      </c>
      <c r="D3127" s="31" t="s">
        <v>3663</v>
      </c>
      <c r="E3127" s="32">
        <v>46113.0</v>
      </c>
      <c r="F3127" s="32">
        <v>46171.0</v>
      </c>
      <c r="G3127" s="33"/>
    </row>
    <row r="3128" ht="15.75" customHeight="1">
      <c r="A3128" s="26" t="s">
        <v>6792</v>
      </c>
      <c r="B3128" s="27" t="s">
        <v>398</v>
      </c>
      <c r="C3128" s="27" t="s">
        <v>1306</v>
      </c>
      <c r="D3128" s="27" t="s">
        <v>3663</v>
      </c>
      <c r="E3128" s="28">
        <v>46113.0</v>
      </c>
      <c r="F3128" s="28">
        <v>46171.0</v>
      </c>
      <c r="G3128" s="29"/>
    </row>
    <row r="3129" ht="15.75" customHeight="1">
      <c r="A3129" s="30" t="s">
        <v>6793</v>
      </c>
      <c r="B3129" s="31" t="s">
        <v>398</v>
      </c>
      <c r="C3129" s="31" t="s">
        <v>1308</v>
      </c>
      <c r="D3129" s="31" t="s">
        <v>3663</v>
      </c>
      <c r="E3129" s="32">
        <v>46113.0</v>
      </c>
      <c r="F3129" s="32">
        <v>46171.0</v>
      </c>
      <c r="G3129" s="33"/>
    </row>
    <row r="3130" ht="15.75" customHeight="1">
      <c r="A3130" s="26" t="s">
        <v>6794</v>
      </c>
      <c r="B3130" s="27" t="s">
        <v>398</v>
      </c>
      <c r="C3130" s="27" t="s">
        <v>1310</v>
      </c>
      <c r="D3130" s="27" t="s">
        <v>3663</v>
      </c>
      <c r="E3130" s="28">
        <v>46113.0</v>
      </c>
      <c r="F3130" s="28">
        <v>46171.0</v>
      </c>
      <c r="G3130" s="29"/>
    </row>
    <row r="3131" ht="15.75" customHeight="1">
      <c r="A3131" s="30" t="s">
        <v>6795</v>
      </c>
      <c r="B3131" s="31" t="s">
        <v>398</v>
      </c>
      <c r="C3131" s="31" t="s">
        <v>1159</v>
      </c>
      <c r="D3131" s="30" t="s">
        <v>3663</v>
      </c>
      <c r="E3131" s="32">
        <v>46113.0</v>
      </c>
      <c r="F3131" s="32">
        <v>46171.0</v>
      </c>
      <c r="G3131" s="33"/>
    </row>
    <row r="3132" ht="15.75" customHeight="1">
      <c r="A3132" s="26" t="s">
        <v>6796</v>
      </c>
      <c r="B3132" s="27" t="s">
        <v>398</v>
      </c>
      <c r="C3132" s="27" t="s">
        <v>1216</v>
      </c>
      <c r="D3132" s="26" t="s">
        <v>3663</v>
      </c>
      <c r="E3132" s="28">
        <v>46113.0</v>
      </c>
      <c r="F3132" s="28">
        <v>46171.0</v>
      </c>
      <c r="G3132" s="29"/>
    </row>
    <row r="3133" ht="15.75" customHeight="1">
      <c r="A3133" s="30" t="s">
        <v>6797</v>
      </c>
      <c r="B3133" s="31" t="s">
        <v>398</v>
      </c>
      <c r="C3133" s="31" t="s">
        <v>1351</v>
      </c>
      <c r="D3133" s="30" t="s">
        <v>3663</v>
      </c>
      <c r="E3133" s="32">
        <v>46113.0</v>
      </c>
      <c r="F3133" s="32">
        <v>46171.0</v>
      </c>
      <c r="G3133" s="33"/>
    </row>
    <row r="3134" ht="15.75" customHeight="1">
      <c r="A3134" s="26" t="s">
        <v>6798</v>
      </c>
      <c r="B3134" s="27" t="s">
        <v>398</v>
      </c>
      <c r="C3134" s="27" t="s">
        <v>1349</v>
      </c>
      <c r="D3134" s="26" t="s">
        <v>3663</v>
      </c>
      <c r="E3134" s="28">
        <v>46113.0</v>
      </c>
      <c r="F3134" s="28">
        <v>46171.0</v>
      </c>
      <c r="G3134" s="29"/>
    </row>
    <row r="3135" ht="15.75" customHeight="1">
      <c r="A3135" s="30" t="s">
        <v>6799</v>
      </c>
      <c r="B3135" s="31" t="s">
        <v>398</v>
      </c>
      <c r="C3135" s="31" t="s">
        <v>968</v>
      </c>
      <c r="D3135" s="30" t="s">
        <v>3663</v>
      </c>
      <c r="E3135" s="32">
        <v>46113.0</v>
      </c>
      <c r="F3135" s="32">
        <v>46171.0</v>
      </c>
      <c r="G3135" s="33"/>
    </row>
    <row r="3136" ht="15.75" customHeight="1">
      <c r="A3136" s="26" t="s">
        <v>6800</v>
      </c>
      <c r="B3136" s="27" t="s">
        <v>398</v>
      </c>
      <c r="C3136" s="27" t="s">
        <v>923</v>
      </c>
      <c r="D3136" s="27" t="s">
        <v>3663</v>
      </c>
      <c r="E3136" s="28">
        <v>46113.0</v>
      </c>
      <c r="F3136" s="28">
        <v>46171.0</v>
      </c>
      <c r="G3136" s="29"/>
    </row>
    <row r="3137" ht="15.75" customHeight="1">
      <c r="A3137" s="30" t="s">
        <v>6801</v>
      </c>
      <c r="B3137" s="31" t="s">
        <v>399</v>
      </c>
      <c r="C3137" s="31" t="s">
        <v>930</v>
      </c>
      <c r="D3137" s="30" t="s">
        <v>3663</v>
      </c>
      <c r="E3137" s="32">
        <v>46113.0</v>
      </c>
      <c r="F3137" s="32">
        <v>46171.0</v>
      </c>
      <c r="G3137" s="33"/>
    </row>
    <row r="3138" ht="15.75" customHeight="1">
      <c r="A3138" s="26" t="s">
        <v>6802</v>
      </c>
      <c r="B3138" s="27" t="s">
        <v>399</v>
      </c>
      <c r="C3138" s="27" t="s">
        <v>1323</v>
      </c>
      <c r="D3138" s="26" t="s">
        <v>3663</v>
      </c>
      <c r="E3138" s="28">
        <v>46113.0</v>
      </c>
      <c r="F3138" s="28">
        <v>46171.0</v>
      </c>
      <c r="G3138" s="29"/>
    </row>
    <row r="3139" ht="15.75" customHeight="1">
      <c r="A3139" s="30" t="s">
        <v>6803</v>
      </c>
      <c r="B3139" s="31" t="s">
        <v>399</v>
      </c>
      <c r="C3139" s="31" t="s">
        <v>1354</v>
      </c>
      <c r="D3139" s="30" t="s">
        <v>3663</v>
      </c>
      <c r="E3139" s="32">
        <v>46113.0</v>
      </c>
      <c r="F3139" s="32">
        <v>46171.0</v>
      </c>
      <c r="G3139" s="33"/>
    </row>
    <row r="3140" ht="15.75" customHeight="1">
      <c r="A3140" s="26" t="s">
        <v>6804</v>
      </c>
      <c r="B3140" s="27" t="s">
        <v>399</v>
      </c>
      <c r="C3140" s="27" t="s">
        <v>1190</v>
      </c>
      <c r="D3140" s="26" t="s">
        <v>3663</v>
      </c>
      <c r="E3140" s="28">
        <v>46113.0</v>
      </c>
      <c r="F3140" s="28">
        <v>46171.0</v>
      </c>
      <c r="G3140" s="29"/>
    </row>
    <row r="3141" ht="15.75" customHeight="1">
      <c r="A3141" s="30" t="s">
        <v>6805</v>
      </c>
      <c r="B3141" s="31" t="s">
        <v>399</v>
      </c>
      <c r="C3141" s="31" t="s">
        <v>1157</v>
      </c>
      <c r="D3141" s="30" t="s">
        <v>3663</v>
      </c>
      <c r="E3141" s="32">
        <v>46113.0</v>
      </c>
      <c r="F3141" s="32">
        <v>46171.0</v>
      </c>
      <c r="G3141" s="33"/>
    </row>
    <row r="3142" ht="15.75" customHeight="1">
      <c r="A3142" s="26" t="s">
        <v>6806</v>
      </c>
      <c r="B3142" s="27" t="s">
        <v>399</v>
      </c>
      <c r="C3142" s="27" t="s">
        <v>1155</v>
      </c>
      <c r="D3142" s="26" t="s">
        <v>3663</v>
      </c>
      <c r="E3142" s="28">
        <v>46113.0</v>
      </c>
      <c r="F3142" s="28">
        <v>46171.0</v>
      </c>
      <c r="G3142" s="29"/>
    </row>
    <row r="3143" ht="15.75" customHeight="1">
      <c r="A3143" s="30" t="s">
        <v>6807</v>
      </c>
      <c r="B3143" s="31" t="s">
        <v>399</v>
      </c>
      <c r="C3143" s="31" t="s">
        <v>1153</v>
      </c>
      <c r="D3143" s="30" t="s">
        <v>3663</v>
      </c>
      <c r="E3143" s="32">
        <v>46113.0</v>
      </c>
      <c r="F3143" s="32">
        <v>46171.0</v>
      </c>
      <c r="G3143" s="33"/>
    </row>
    <row r="3144" ht="15.75" customHeight="1">
      <c r="A3144" s="26" t="s">
        <v>6808</v>
      </c>
      <c r="B3144" s="27" t="s">
        <v>399</v>
      </c>
      <c r="C3144" s="27" t="s">
        <v>1149</v>
      </c>
      <c r="D3144" s="26" t="s">
        <v>3663</v>
      </c>
      <c r="E3144" s="28">
        <v>46113.0</v>
      </c>
      <c r="F3144" s="28">
        <v>46171.0</v>
      </c>
      <c r="G3144" s="29"/>
    </row>
    <row r="3145" ht="15.75" customHeight="1">
      <c r="A3145" s="30" t="s">
        <v>6809</v>
      </c>
      <c r="B3145" s="31" t="s">
        <v>399</v>
      </c>
      <c r="C3145" s="31" t="s">
        <v>1351</v>
      </c>
      <c r="D3145" s="30" t="s">
        <v>3663</v>
      </c>
      <c r="E3145" s="32">
        <v>46113.0</v>
      </c>
      <c r="F3145" s="32">
        <v>46171.0</v>
      </c>
      <c r="G3145" s="33"/>
    </row>
    <row r="3146" ht="15.75" customHeight="1">
      <c r="A3146" s="26" t="s">
        <v>6810</v>
      </c>
      <c r="B3146" s="27" t="s">
        <v>399</v>
      </c>
      <c r="C3146" s="27" t="s">
        <v>1349</v>
      </c>
      <c r="D3146" s="26" t="s">
        <v>3663</v>
      </c>
      <c r="E3146" s="28">
        <v>46113.0</v>
      </c>
      <c r="F3146" s="28">
        <v>46171.0</v>
      </c>
      <c r="G3146" s="29"/>
    </row>
    <row r="3147" ht="15.75" customHeight="1">
      <c r="A3147" s="30" t="s">
        <v>6811</v>
      </c>
      <c r="B3147" s="31" t="s">
        <v>399</v>
      </c>
      <c r="C3147" s="31" t="s">
        <v>3653</v>
      </c>
      <c r="D3147" s="31" t="s">
        <v>3663</v>
      </c>
      <c r="E3147" s="32">
        <v>46113.0</v>
      </c>
      <c r="F3147" s="32">
        <v>46171.0</v>
      </c>
      <c r="G3147" s="33"/>
    </row>
    <row r="3148" ht="15.75" customHeight="1">
      <c r="A3148" s="26" t="s">
        <v>6812</v>
      </c>
      <c r="B3148" s="27" t="s">
        <v>399</v>
      </c>
      <c r="C3148" s="27" t="s">
        <v>3652</v>
      </c>
      <c r="D3148" s="26" t="s">
        <v>3663</v>
      </c>
      <c r="E3148" s="28">
        <v>46113.0</v>
      </c>
      <c r="F3148" s="28">
        <v>46171.0</v>
      </c>
      <c r="G3148" s="29"/>
    </row>
    <row r="3149" ht="15.75" customHeight="1">
      <c r="A3149" s="30" t="s">
        <v>6813</v>
      </c>
      <c r="B3149" s="31" t="s">
        <v>399</v>
      </c>
      <c r="C3149" s="31" t="s">
        <v>965</v>
      </c>
      <c r="D3149" s="30" t="s">
        <v>3663</v>
      </c>
      <c r="E3149" s="32">
        <v>46113.0</v>
      </c>
      <c r="F3149" s="32">
        <v>46171.0</v>
      </c>
      <c r="G3149" s="33"/>
    </row>
    <row r="3150" ht="15.75" customHeight="1">
      <c r="A3150" s="26" t="s">
        <v>6814</v>
      </c>
      <c r="B3150" s="27" t="s">
        <v>399</v>
      </c>
      <c r="C3150" s="27" t="s">
        <v>923</v>
      </c>
      <c r="D3150" s="26" t="s">
        <v>3663</v>
      </c>
      <c r="E3150" s="28">
        <v>46113.0</v>
      </c>
      <c r="F3150" s="28">
        <v>46171.0</v>
      </c>
      <c r="G3150" s="29"/>
    </row>
    <row r="3151" ht="15.75" customHeight="1">
      <c r="A3151" s="30" t="s">
        <v>6815</v>
      </c>
      <c r="B3151" s="31" t="s">
        <v>400</v>
      </c>
      <c r="C3151" s="31" t="s">
        <v>934</v>
      </c>
      <c r="D3151" s="30" t="s">
        <v>3663</v>
      </c>
      <c r="E3151" s="32">
        <v>46113.0</v>
      </c>
      <c r="F3151" s="32">
        <v>46171.0</v>
      </c>
      <c r="G3151" s="33"/>
    </row>
    <row r="3152" ht="15.75" customHeight="1">
      <c r="A3152" s="26" t="s">
        <v>6816</v>
      </c>
      <c r="B3152" s="27" t="s">
        <v>400</v>
      </c>
      <c r="C3152" s="27" t="s">
        <v>3640</v>
      </c>
      <c r="D3152" s="26" t="s">
        <v>3663</v>
      </c>
      <c r="E3152" s="28">
        <v>46113.0</v>
      </c>
      <c r="F3152" s="28">
        <v>46171.0</v>
      </c>
      <c r="G3152" s="29"/>
    </row>
    <row r="3153" ht="15.75" customHeight="1">
      <c r="A3153" s="30" t="s">
        <v>6817</v>
      </c>
      <c r="B3153" s="31" t="s">
        <v>400</v>
      </c>
      <c r="C3153" s="31" t="s">
        <v>1354</v>
      </c>
      <c r="D3153" s="30" t="s">
        <v>3663</v>
      </c>
      <c r="E3153" s="32">
        <v>46113.0</v>
      </c>
      <c r="F3153" s="32">
        <v>46171.0</v>
      </c>
      <c r="G3153" s="33"/>
    </row>
    <row r="3154" ht="15.75" customHeight="1">
      <c r="A3154" s="26" t="s">
        <v>6818</v>
      </c>
      <c r="B3154" s="27" t="s">
        <v>400</v>
      </c>
      <c r="C3154" s="27" t="s">
        <v>3681</v>
      </c>
      <c r="D3154" s="26" t="s">
        <v>3663</v>
      </c>
      <c r="E3154" s="28">
        <v>46113.0</v>
      </c>
      <c r="F3154" s="28">
        <v>46171.0</v>
      </c>
      <c r="G3154" s="29"/>
    </row>
    <row r="3155" ht="15.75" customHeight="1">
      <c r="A3155" s="30" t="s">
        <v>6819</v>
      </c>
      <c r="B3155" s="31" t="s">
        <v>400</v>
      </c>
      <c r="C3155" s="31" t="s">
        <v>3683</v>
      </c>
      <c r="D3155" s="30" t="s">
        <v>3663</v>
      </c>
      <c r="E3155" s="32">
        <v>46113.0</v>
      </c>
      <c r="F3155" s="32">
        <v>46171.0</v>
      </c>
      <c r="G3155" s="33"/>
    </row>
    <row r="3156" ht="15.75" customHeight="1">
      <c r="A3156" s="26" t="s">
        <v>6820</v>
      </c>
      <c r="B3156" s="27" t="s">
        <v>400</v>
      </c>
      <c r="C3156" s="27" t="s">
        <v>1208</v>
      </c>
      <c r="D3156" s="26" t="s">
        <v>3663</v>
      </c>
      <c r="E3156" s="28">
        <v>46113.0</v>
      </c>
      <c r="F3156" s="28">
        <v>46171.0</v>
      </c>
      <c r="G3156" s="29"/>
    </row>
    <row r="3157" ht="15.75" customHeight="1">
      <c r="A3157" s="30" t="s">
        <v>6821</v>
      </c>
      <c r="B3157" s="31" t="s">
        <v>400</v>
      </c>
      <c r="C3157" s="31" t="s">
        <v>1157</v>
      </c>
      <c r="D3157" s="30" t="s">
        <v>3663</v>
      </c>
      <c r="E3157" s="32">
        <v>46113.0</v>
      </c>
      <c r="F3157" s="32">
        <v>46171.0</v>
      </c>
      <c r="G3157" s="33"/>
    </row>
    <row r="3158" ht="15.75" customHeight="1">
      <c r="A3158" s="26" t="s">
        <v>6822</v>
      </c>
      <c r="B3158" s="27" t="s">
        <v>400</v>
      </c>
      <c r="C3158" s="27" t="s">
        <v>1155</v>
      </c>
      <c r="D3158" s="26" t="s">
        <v>3663</v>
      </c>
      <c r="E3158" s="28">
        <v>46113.0</v>
      </c>
      <c r="F3158" s="28">
        <v>46171.0</v>
      </c>
      <c r="G3158" s="29"/>
    </row>
    <row r="3159" ht="15.75" customHeight="1">
      <c r="A3159" s="30" t="s">
        <v>6823</v>
      </c>
      <c r="B3159" s="31" t="s">
        <v>400</v>
      </c>
      <c r="C3159" s="31" t="s">
        <v>1153</v>
      </c>
      <c r="D3159" s="30" t="s">
        <v>3663</v>
      </c>
      <c r="E3159" s="32">
        <v>46113.0</v>
      </c>
      <c r="F3159" s="32">
        <v>46171.0</v>
      </c>
      <c r="G3159" s="33"/>
    </row>
    <row r="3160" ht="15.75" customHeight="1">
      <c r="A3160" s="26" t="s">
        <v>6824</v>
      </c>
      <c r="B3160" s="27" t="s">
        <v>400</v>
      </c>
      <c r="C3160" s="27" t="s">
        <v>1149</v>
      </c>
      <c r="D3160" s="26" t="s">
        <v>3663</v>
      </c>
      <c r="E3160" s="28">
        <v>46113.0</v>
      </c>
      <c r="F3160" s="28">
        <v>46171.0</v>
      </c>
      <c r="G3160" s="29"/>
    </row>
    <row r="3161" ht="15.75" customHeight="1">
      <c r="A3161" s="30" t="s">
        <v>6825</v>
      </c>
      <c r="B3161" s="31" t="s">
        <v>400</v>
      </c>
      <c r="C3161" s="31" t="s">
        <v>1351</v>
      </c>
      <c r="D3161" s="30" t="s">
        <v>3663</v>
      </c>
      <c r="E3161" s="32">
        <v>46113.0</v>
      </c>
      <c r="F3161" s="32">
        <v>46171.0</v>
      </c>
      <c r="G3161" s="33"/>
    </row>
    <row r="3162" ht="15.75" customHeight="1">
      <c r="A3162" s="26" t="s">
        <v>6826</v>
      </c>
      <c r="B3162" s="27" t="s">
        <v>400</v>
      </c>
      <c r="C3162" s="27" t="s">
        <v>1349</v>
      </c>
      <c r="D3162" s="26" t="s">
        <v>3663</v>
      </c>
      <c r="E3162" s="28">
        <v>46113.0</v>
      </c>
      <c r="F3162" s="28">
        <v>46171.0</v>
      </c>
      <c r="G3162" s="29"/>
    </row>
    <row r="3163" ht="15.75" customHeight="1">
      <c r="A3163" s="30" t="s">
        <v>6827</v>
      </c>
      <c r="B3163" s="31" t="s">
        <v>400</v>
      </c>
      <c r="C3163" s="31" t="s">
        <v>968</v>
      </c>
      <c r="D3163" s="30" t="s">
        <v>3663</v>
      </c>
      <c r="E3163" s="32">
        <v>46113.0</v>
      </c>
      <c r="F3163" s="32">
        <v>46171.0</v>
      </c>
      <c r="G3163" s="33"/>
    </row>
    <row r="3164" ht="15.75" customHeight="1">
      <c r="A3164" s="26" t="s">
        <v>6828</v>
      </c>
      <c r="B3164" s="27" t="s">
        <v>400</v>
      </c>
      <c r="C3164" s="27" t="s">
        <v>923</v>
      </c>
      <c r="D3164" s="26" t="s">
        <v>3663</v>
      </c>
      <c r="E3164" s="28">
        <v>46113.0</v>
      </c>
      <c r="F3164" s="28">
        <v>46171.0</v>
      </c>
      <c r="G3164" s="29"/>
    </row>
    <row r="3165" ht="15.75" customHeight="1">
      <c r="A3165" s="30" t="s">
        <v>6829</v>
      </c>
      <c r="B3165" s="31" t="s">
        <v>401</v>
      </c>
      <c r="C3165" s="31" t="s">
        <v>932</v>
      </c>
      <c r="D3165" s="30" t="s">
        <v>3663</v>
      </c>
      <c r="E3165" s="32">
        <v>46113.0</v>
      </c>
      <c r="F3165" s="32">
        <v>46171.0</v>
      </c>
      <c r="G3165" s="33"/>
    </row>
    <row r="3166" ht="15.75" customHeight="1">
      <c r="A3166" s="26" t="s">
        <v>6830</v>
      </c>
      <c r="B3166" s="27" t="s">
        <v>401</v>
      </c>
      <c r="C3166" s="27" t="s">
        <v>1164</v>
      </c>
      <c r="D3166" s="26" t="s">
        <v>3663</v>
      </c>
      <c r="E3166" s="28">
        <v>46113.0</v>
      </c>
      <c r="F3166" s="28">
        <v>46171.0</v>
      </c>
      <c r="G3166" s="29"/>
    </row>
    <row r="3167" ht="15.75" customHeight="1">
      <c r="A3167" s="30" t="s">
        <v>6831</v>
      </c>
      <c r="B3167" s="31" t="s">
        <v>401</v>
      </c>
      <c r="C3167" s="31" t="s">
        <v>1166</v>
      </c>
      <c r="D3167" s="30" t="s">
        <v>3663</v>
      </c>
      <c r="E3167" s="32">
        <v>46113.0</v>
      </c>
      <c r="F3167" s="32">
        <v>46171.0</v>
      </c>
      <c r="G3167" s="33"/>
    </row>
    <row r="3168" ht="15.75" customHeight="1">
      <c r="A3168" s="26" t="s">
        <v>6832</v>
      </c>
      <c r="B3168" s="27" t="s">
        <v>401</v>
      </c>
      <c r="C3168" s="27" t="s">
        <v>1168</v>
      </c>
      <c r="D3168" s="26" t="s">
        <v>3663</v>
      </c>
      <c r="E3168" s="28">
        <v>46113.0</v>
      </c>
      <c r="F3168" s="28">
        <v>46171.0</v>
      </c>
      <c r="G3168" s="29"/>
    </row>
    <row r="3169" ht="15.75" customHeight="1">
      <c r="A3169" s="30" t="s">
        <v>6833</v>
      </c>
      <c r="B3169" s="31" t="s">
        <v>401</v>
      </c>
      <c r="C3169" s="31" t="s">
        <v>1170</v>
      </c>
      <c r="D3169" s="30" t="s">
        <v>3663</v>
      </c>
      <c r="E3169" s="32">
        <v>46113.0</v>
      </c>
      <c r="F3169" s="32">
        <v>46171.0</v>
      </c>
      <c r="G3169" s="33"/>
    </row>
    <row r="3170" ht="15.75" customHeight="1">
      <c r="A3170" s="26" t="s">
        <v>6834</v>
      </c>
      <c r="B3170" s="27" t="s">
        <v>401</v>
      </c>
      <c r="C3170" s="27" t="s">
        <v>1354</v>
      </c>
      <c r="D3170" s="26" t="s">
        <v>3663</v>
      </c>
      <c r="E3170" s="28">
        <v>46113.0</v>
      </c>
      <c r="F3170" s="28">
        <v>46171.0</v>
      </c>
      <c r="G3170" s="29"/>
    </row>
    <row r="3171" ht="15.75" customHeight="1">
      <c r="A3171" s="30" t="s">
        <v>6835</v>
      </c>
      <c r="B3171" s="31" t="s">
        <v>401</v>
      </c>
      <c r="C3171" s="31" t="s">
        <v>3681</v>
      </c>
      <c r="D3171" s="30" t="s">
        <v>3663</v>
      </c>
      <c r="E3171" s="32">
        <v>46113.0</v>
      </c>
      <c r="F3171" s="32">
        <v>46171.0</v>
      </c>
      <c r="G3171" s="33"/>
    </row>
    <row r="3172" ht="15.75" customHeight="1">
      <c r="A3172" s="26" t="s">
        <v>6836</v>
      </c>
      <c r="B3172" s="27" t="s">
        <v>401</v>
      </c>
      <c r="C3172" s="27" t="s">
        <v>3683</v>
      </c>
      <c r="D3172" s="26" t="s">
        <v>3663</v>
      </c>
      <c r="E3172" s="28">
        <v>46113.0</v>
      </c>
      <c r="F3172" s="28">
        <v>46171.0</v>
      </c>
      <c r="G3172" s="29"/>
    </row>
    <row r="3173" ht="15.75" customHeight="1">
      <c r="A3173" s="30" t="s">
        <v>6837</v>
      </c>
      <c r="B3173" s="31" t="s">
        <v>401</v>
      </c>
      <c r="C3173" s="31" t="s">
        <v>1351</v>
      </c>
      <c r="D3173" s="30" t="s">
        <v>3663</v>
      </c>
      <c r="E3173" s="32">
        <v>46113.0</v>
      </c>
      <c r="F3173" s="32">
        <v>46171.0</v>
      </c>
      <c r="G3173" s="33"/>
    </row>
    <row r="3174" ht="15.75" customHeight="1">
      <c r="A3174" s="26" t="s">
        <v>6838</v>
      </c>
      <c r="B3174" s="27" t="s">
        <v>401</v>
      </c>
      <c r="C3174" s="27" t="s">
        <v>1349</v>
      </c>
      <c r="D3174" s="26" t="s">
        <v>3663</v>
      </c>
      <c r="E3174" s="28">
        <v>46113.0</v>
      </c>
      <c r="F3174" s="28">
        <v>46171.0</v>
      </c>
      <c r="G3174" s="29"/>
    </row>
    <row r="3175" ht="15.75" customHeight="1">
      <c r="A3175" s="30" t="s">
        <v>6839</v>
      </c>
      <c r="B3175" s="31" t="s">
        <v>401</v>
      </c>
      <c r="C3175" s="31" t="s">
        <v>968</v>
      </c>
      <c r="D3175" s="30" t="s">
        <v>3663</v>
      </c>
      <c r="E3175" s="32">
        <v>46113.0</v>
      </c>
      <c r="F3175" s="32">
        <v>46171.0</v>
      </c>
      <c r="G3175" s="33"/>
    </row>
    <row r="3176" ht="15.75" customHeight="1">
      <c r="A3176" s="26" t="s">
        <v>6840</v>
      </c>
      <c r="B3176" s="27" t="s">
        <v>401</v>
      </c>
      <c r="C3176" s="27" t="s">
        <v>923</v>
      </c>
      <c r="D3176" s="26" t="s">
        <v>3663</v>
      </c>
      <c r="E3176" s="28">
        <v>46113.0</v>
      </c>
      <c r="F3176" s="28">
        <v>46171.0</v>
      </c>
      <c r="G3176" s="29"/>
    </row>
    <row r="3177" ht="15.75" customHeight="1">
      <c r="A3177" s="30" t="s">
        <v>6841</v>
      </c>
      <c r="B3177" s="31" t="s">
        <v>401</v>
      </c>
      <c r="C3177" s="31" t="s">
        <v>963</v>
      </c>
      <c r="D3177" s="30" t="s">
        <v>3663</v>
      </c>
      <c r="E3177" s="32">
        <v>46113.0</v>
      </c>
      <c r="F3177" s="32">
        <v>46171.0</v>
      </c>
      <c r="G3177" s="33"/>
    </row>
    <row r="3178" ht="15.75" customHeight="1">
      <c r="A3178" s="26" t="s">
        <v>6842</v>
      </c>
      <c r="B3178" s="27" t="s">
        <v>401</v>
      </c>
      <c r="C3178" s="27" t="s">
        <v>961</v>
      </c>
      <c r="D3178" s="26" t="s">
        <v>3663</v>
      </c>
      <c r="E3178" s="28">
        <v>46113.0</v>
      </c>
      <c r="F3178" s="28">
        <v>46171.0</v>
      </c>
      <c r="G3178" s="29"/>
    </row>
    <row r="3179" ht="15.75" customHeight="1">
      <c r="A3179" s="30" t="s">
        <v>6843</v>
      </c>
      <c r="B3179" s="31" t="s">
        <v>402</v>
      </c>
      <c r="C3179" s="31" t="s">
        <v>928</v>
      </c>
      <c r="D3179" s="30" t="s">
        <v>3663</v>
      </c>
      <c r="E3179" s="32">
        <v>46113.0</v>
      </c>
      <c r="F3179" s="32">
        <v>46171.0</v>
      </c>
      <c r="G3179" s="33"/>
    </row>
    <row r="3180" ht="15.75" customHeight="1">
      <c r="A3180" s="26" t="s">
        <v>6844</v>
      </c>
      <c r="B3180" s="27" t="s">
        <v>402</v>
      </c>
      <c r="C3180" s="27" t="s">
        <v>1354</v>
      </c>
      <c r="D3180" s="26" t="s">
        <v>3663</v>
      </c>
      <c r="E3180" s="28">
        <v>46113.0</v>
      </c>
      <c r="F3180" s="28">
        <v>46171.0</v>
      </c>
      <c r="G3180" s="29"/>
    </row>
    <row r="3181" ht="15.75" customHeight="1">
      <c r="A3181" s="30" t="s">
        <v>6845</v>
      </c>
      <c r="B3181" s="31" t="s">
        <v>402</v>
      </c>
      <c r="C3181" s="31" t="s">
        <v>1222</v>
      </c>
      <c r="D3181" s="30" t="s">
        <v>3663</v>
      </c>
      <c r="E3181" s="32">
        <v>46113.0</v>
      </c>
      <c r="F3181" s="32">
        <v>46171.0</v>
      </c>
      <c r="G3181" s="33"/>
    </row>
    <row r="3182" ht="15.75" customHeight="1">
      <c r="A3182" s="26" t="s">
        <v>6846</v>
      </c>
      <c r="B3182" s="27" t="s">
        <v>402</v>
      </c>
      <c r="C3182" s="27" t="s">
        <v>1224</v>
      </c>
      <c r="D3182" s="26" t="s">
        <v>3663</v>
      </c>
      <c r="E3182" s="28">
        <v>46113.0</v>
      </c>
      <c r="F3182" s="28">
        <v>46171.0</v>
      </c>
      <c r="G3182" s="29"/>
    </row>
    <row r="3183" ht="15.75" customHeight="1">
      <c r="A3183" s="30" t="s">
        <v>6847</v>
      </c>
      <c r="B3183" s="31" t="s">
        <v>402</v>
      </c>
      <c r="C3183" s="31" t="s">
        <v>1226</v>
      </c>
      <c r="D3183" s="30" t="s">
        <v>3663</v>
      </c>
      <c r="E3183" s="32">
        <v>46113.0</v>
      </c>
      <c r="F3183" s="32">
        <v>46171.0</v>
      </c>
      <c r="G3183" s="33"/>
    </row>
    <row r="3184" ht="15.75" customHeight="1">
      <c r="A3184" s="26" t="s">
        <v>6848</v>
      </c>
      <c r="B3184" s="27" t="s">
        <v>402</v>
      </c>
      <c r="C3184" s="27" t="s">
        <v>1228</v>
      </c>
      <c r="D3184" s="26" t="s">
        <v>3663</v>
      </c>
      <c r="E3184" s="28">
        <v>46113.0</v>
      </c>
      <c r="F3184" s="28">
        <v>46171.0</v>
      </c>
      <c r="G3184" s="29"/>
    </row>
    <row r="3185" ht="15.75" customHeight="1">
      <c r="A3185" s="30" t="s">
        <v>6849</v>
      </c>
      <c r="B3185" s="31" t="s">
        <v>402</v>
      </c>
      <c r="C3185" s="31" t="s">
        <v>1216</v>
      </c>
      <c r="D3185" s="30" t="s">
        <v>3663</v>
      </c>
      <c r="E3185" s="32">
        <v>46113.0</v>
      </c>
      <c r="F3185" s="32">
        <v>46171.0</v>
      </c>
      <c r="G3185" s="33"/>
    </row>
    <row r="3186" ht="15.75" customHeight="1">
      <c r="A3186" s="26" t="s">
        <v>6850</v>
      </c>
      <c r="B3186" s="27" t="s">
        <v>402</v>
      </c>
      <c r="C3186" s="27" t="s">
        <v>1218</v>
      </c>
      <c r="D3186" s="26" t="s">
        <v>3663</v>
      </c>
      <c r="E3186" s="28">
        <v>46113.0</v>
      </c>
      <c r="F3186" s="28">
        <v>46171.0</v>
      </c>
      <c r="G3186" s="29"/>
    </row>
    <row r="3187" ht="15.75" customHeight="1">
      <c r="A3187" s="30" t="s">
        <v>6851</v>
      </c>
      <c r="B3187" s="31" t="s">
        <v>402</v>
      </c>
      <c r="C3187" s="31" t="s">
        <v>1351</v>
      </c>
      <c r="D3187" s="30" t="s">
        <v>3663</v>
      </c>
      <c r="E3187" s="32">
        <v>46113.0</v>
      </c>
      <c r="F3187" s="32">
        <v>46171.0</v>
      </c>
      <c r="G3187" s="33"/>
    </row>
    <row r="3188" ht="15.75" customHeight="1">
      <c r="A3188" s="26" t="s">
        <v>6852</v>
      </c>
      <c r="B3188" s="27" t="s">
        <v>402</v>
      </c>
      <c r="C3188" s="27" t="s">
        <v>1349</v>
      </c>
      <c r="D3188" s="26" t="s">
        <v>3663</v>
      </c>
      <c r="E3188" s="28">
        <v>46113.0</v>
      </c>
      <c r="F3188" s="28">
        <v>46171.0</v>
      </c>
      <c r="G3188" s="29"/>
    </row>
    <row r="3189" ht="15.75" customHeight="1">
      <c r="A3189" s="30" t="s">
        <v>6853</v>
      </c>
      <c r="B3189" s="31" t="s">
        <v>402</v>
      </c>
      <c r="C3189" s="31" t="s">
        <v>3653</v>
      </c>
      <c r="D3189" s="31" t="s">
        <v>3663</v>
      </c>
      <c r="E3189" s="32">
        <v>46113.0</v>
      </c>
      <c r="F3189" s="32">
        <v>46171.0</v>
      </c>
      <c r="G3189" s="33"/>
    </row>
    <row r="3190" ht="15.75" customHeight="1">
      <c r="A3190" s="26" t="s">
        <v>6854</v>
      </c>
      <c r="B3190" s="27" t="s">
        <v>402</v>
      </c>
      <c r="C3190" s="27" t="s">
        <v>3652</v>
      </c>
      <c r="D3190" s="26" t="s">
        <v>3663</v>
      </c>
      <c r="E3190" s="28">
        <v>46113.0</v>
      </c>
      <c r="F3190" s="28">
        <v>46171.0</v>
      </c>
      <c r="G3190" s="29"/>
    </row>
    <row r="3191" ht="15.75" customHeight="1">
      <c r="A3191" s="30" t="s">
        <v>6855</v>
      </c>
      <c r="B3191" s="31" t="s">
        <v>402</v>
      </c>
      <c r="C3191" s="31" t="s">
        <v>968</v>
      </c>
      <c r="D3191" s="30" t="s">
        <v>3663</v>
      </c>
      <c r="E3191" s="32">
        <v>46113.0</v>
      </c>
      <c r="F3191" s="32">
        <v>46171.0</v>
      </c>
      <c r="G3191" s="33"/>
    </row>
    <row r="3192" ht="15.75" customHeight="1">
      <c r="A3192" s="26" t="s">
        <v>6856</v>
      </c>
      <c r="B3192" s="27" t="s">
        <v>402</v>
      </c>
      <c r="C3192" s="27" t="s">
        <v>923</v>
      </c>
      <c r="D3192" s="26" t="s">
        <v>3663</v>
      </c>
      <c r="E3192" s="28">
        <v>46113.0</v>
      </c>
      <c r="F3192" s="28">
        <v>46171.0</v>
      </c>
      <c r="G3192" s="29"/>
    </row>
    <row r="3193" ht="15.75" customHeight="1">
      <c r="A3193" s="30" t="s">
        <v>6857</v>
      </c>
      <c r="B3193" s="31" t="s">
        <v>403</v>
      </c>
      <c r="C3193" s="31" t="s">
        <v>930</v>
      </c>
      <c r="D3193" s="30" t="s">
        <v>3663</v>
      </c>
      <c r="E3193" s="32">
        <v>46113.0</v>
      </c>
      <c r="F3193" s="32">
        <v>46171.0</v>
      </c>
      <c r="G3193" s="33"/>
    </row>
    <row r="3194" ht="15.75" customHeight="1">
      <c r="A3194" s="26" t="s">
        <v>6858</v>
      </c>
      <c r="B3194" s="27" t="s">
        <v>403</v>
      </c>
      <c r="C3194" s="27" t="s">
        <v>1323</v>
      </c>
      <c r="D3194" s="26" t="s">
        <v>3663</v>
      </c>
      <c r="E3194" s="28">
        <v>46113.0</v>
      </c>
      <c r="F3194" s="28">
        <v>46171.0</v>
      </c>
      <c r="G3194" s="29"/>
    </row>
    <row r="3195" ht="15.75" customHeight="1">
      <c r="A3195" s="30" t="s">
        <v>6859</v>
      </c>
      <c r="B3195" s="31" t="s">
        <v>403</v>
      </c>
      <c r="C3195" s="31" t="s">
        <v>1354</v>
      </c>
      <c r="D3195" s="30" t="s">
        <v>3663</v>
      </c>
      <c r="E3195" s="32">
        <v>46113.0</v>
      </c>
      <c r="F3195" s="32">
        <v>46171.0</v>
      </c>
      <c r="G3195" s="33"/>
    </row>
    <row r="3196" ht="15.75" customHeight="1">
      <c r="A3196" s="26" t="s">
        <v>6860</v>
      </c>
      <c r="B3196" s="27" t="s">
        <v>403</v>
      </c>
      <c r="C3196" s="27" t="s">
        <v>3641</v>
      </c>
      <c r="D3196" s="26" t="s">
        <v>3663</v>
      </c>
      <c r="E3196" s="28">
        <v>46113.0</v>
      </c>
      <c r="F3196" s="28">
        <v>46171.0</v>
      </c>
      <c r="G3196" s="29"/>
    </row>
    <row r="3197" ht="15.75" customHeight="1">
      <c r="A3197" s="30" t="s">
        <v>6861</v>
      </c>
      <c r="B3197" s="31" t="s">
        <v>403</v>
      </c>
      <c r="C3197" s="31" t="s">
        <v>1304</v>
      </c>
      <c r="D3197" s="30" t="s">
        <v>3663</v>
      </c>
      <c r="E3197" s="32">
        <v>46113.0</v>
      </c>
      <c r="F3197" s="32">
        <v>46171.0</v>
      </c>
      <c r="G3197" s="33"/>
    </row>
    <row r="3198" ht="15.75" customHeight="1">
      <c r="A3198" s="26" t="s">
        <v>6862</v>
      </c>
      <c r="B3198" s="27" t="s">
        <v>403</v>
      </c>
      <c r="C3198" s="27" t="s">
        <v>3642</v>
      </c>
      <c r="D3198" s="26" t="s">
        <v>3663</v>
      </c>
      <c r="E3198" s="28">
        <v>46113.0</v>
      </c>
      <c r="F3198" s="28">
        <v>46171.0</v>
      </c>
      <c r="G3198" s="29"/>
    </row>
    <row r="3199" ht="15.75" customHeight="1">
      <c r="A3199" s="30" t="s">
        <v>6863</v>
      </c>
      <c r="B3199" s="31" t="s">
        <v>403</v>
      </c>
      <c r="C3199" s="31" t="s">
        <v>1308</v>
      </c>
      <c r="D3199" s="30" t="s">
        <v>3663</v>
      </c>
      <c r="E3199" s="32">
        <v>46113.0</v>
      </c>
      <c r="F3199" s="32">
        <v>46171.0</v>
      </c>
      <c r="G3199" s="33"/>
    </row>
    <row r="3200" ht="15.75" customHeight="1">
      <c r="A3200" s="26" t="s">
        <v>6864</v>
      </c>
      <c r="B3200" s="27" t="s">
        <v>403</v>
      </c>
      <c r="C3200" s="27" t="s">
        <v>1208</v>
      </c>
      <c r="D3200" s="26" t="s">
        <v>3663</v>
      </c>
      <c r="E3200" s="28">
        <v>46113.0</v>
      </c>
      <c r="F3200" s="28">
        <v>46171.0</v>
      </c>
      <c r="G3200" s="29"/>
    </row>
    <row r="3201" ht="15.75" customHeight="1">
      <c r="A3201" s="30" t="s">
        <v>6865</v>
      </c>
      <c r="B3201" s="31" t="s">
        <v>403</v>
      </c>
      <c r="C3201" s="31" t="s">
        <v>3656</v>
      </c>
      <c r="D3201" s="30" t="s">
        <v>3663</v>
      </c>
      <c r="E3201" s="32">
        <v>46113.0</v>
      </c>
      <c r="F3201" s="32">
        <v>46171.0</v>
      </c>
      <c r="G3201" s="33"/>
    </row>
    <row r="3202" ht="15.75" customHeight="1">
      <c r="A3202" s="26" t="s">
        <v>6866</v>
      </c>
      <c r="B3202" s="27" t="s">
        <v>403</v>
      </c>
      <c r="C3202" s="27" t="s">
        <v>3657</v>
      </c>
      <c r="D3202" s="26" t="s">
        <v>3663</v>
      </c>
      <c r="E3202" s="28">
        <v>46113.0</v>
      </c>
      <c r="F3202" s="28">
        <v>46171.0</v>
      </c>
      <c r="G3202" s="29"/>
    </row>
    <row r="3203" ht="15.75" customHeight="1">
      <c r="A3203" s="30" t="s">
        <v>6867</v>
      </c>
      <c r="B3203" s="31" t="s">
        <v>403</v>
      </c>
      <c r="C3203" s="31" t="s">
        <v>1351</v>
      </c>
      <c r="D3203" s="30" t="s">
        <v>3663</v>
      </c>
      <c r="E3203" s="32">
        <v>46113.0</v>
      </c>
      <c r="F3203" s="32">
        <v>46171.0</v>
      </c>
      <c r="G3203" s="33"/>
    </row>
    <row r="3204" ht="15.75" customHeight="1">
      <c r="A3204" s="26" t="s">
        <v>6868</v>
      </c>
      <c r="B3204" s="27" t="s">
        <v>403</v>
      </c>
      <c r="C3204" s="27" t="s">
        <v>1349</v>
      </c>
      <c r="D3204" s="26" t="s">
        <v>3663</v>
      </c>
      <c r="E3204" s="28">
        <v>46113.0</v>
      </c>
      <c r="F3204" s="28">
        <v>46171.0</v>
      </c>
      <c r="G3204" s="29"/>
    </row>
    <row r="3205" ht="15.75" customHeight="1">
      <c r="A3205" s="30" t="s">
        <v>6869</v>
      </c>
      <c r="B3205" s="31" t="s">
        <v>403</v>
      </c>
      <c r="C3205" s="31" t="s">
        <v>968</v>
      </c>
      <c r="D3205" s="30" t="s">
        <v>3663</v>
      </c>
      <c r="E3205" s="32">
        <v>46113.0</v>
      </c>
      <c r="F3205" s="32">
        <v>46171.0</v>
      </c>
      <c r="G3205" s="33"/>
    </row>
    <row r="3206" ht="15.75" customHeight="1">
      <c r="A3206" s="26" t="s">
        <v>6870</v>
      </c>
      <c r="B3206" s="27" t="s">
        <v>403</v>
      </c>
      <c r="C3206" s="27" t="s">
        <v>923</v>
      </c>
      <c r="D3206" s="26" t="s">
        <v>3663</v>
      </c>
      <c r="E3206" s="28">
        <v>46113.0</v>
      </c>
      <c r="F3206" s="28">
        <v>46171.0</v>
      </c>
      <c r="G3206" s="29"/>
    </row>
    <row r="3207" ht="15.75" customHeight="1">
      <c r="A3207" s="30" t="s">
        <v>6871</v>
      </c>
      <c r="B3207" s="31" t="s">
        <v>404</v>
      </c>
      <c r="C3207" s="31" t="s">
        <v>934</v>
      </c>
      <c r="D3207" s="30" t="s">
        <v>3663</v>
      </c>
      <c r="E3207" s="32">
        <v>46113.0</v>
      </c>
      <c r="F3207" s="32">
        <v>46171.0</v>
      </c>
      <c r="G3207" s="33"/>
    </row>
    <row r="3208" ht="15.75" customHeight="1">
      <c r="A3208" s="26" t="s">
        <v>6872</v>
      </c>
      <c r="B3208" s="27" t="s">
        <v>404</v>
      </c>
      <c r="C3208" s="27" t="s">
        <v>1354</v>
      </c>
      <c r="D3208" s="26" t="s">
        <v>3663</v>
      </c>
      <c r="E3208" s="28">
        <v>46113.0</v>
      </c>
      <c r="F3208" s="28">
        <v>46171.0</v>
      </c>
      <c r="G3208" s="29"/>
    </row>
    <row r="3209" ht="15.75" customHeight="1">
      <c r="A3209" s="30" t="s">
        <v>6873</v>
      </c>
      <c r="B3209" s="31" t="s">
        <v>404</v>
      </c>
      <c r="C3209" s="31" t="s">
        <v>1312</v>
      </c>
      <c r="D3209" s="30" t="s">
        <v>3663</v>
      </c>
      <c r="E3209" s="32">
        <v>46113.0</v>
      </c>
      <c r="F3209" s="32">
        <v>46171.0</v>
      </c>
      <c r="G3209" s="33"/>
    </row>
    <row r="3210" ht="15.75" customHeight="1">
      <c r="A3210" s="26" t="s">
        <v>6874</v>
      </c>
      <c r="B3210" s="27" t="s">
        <v>404</v>
      </c>
      <c r="C3210" s="27" t="s">
        <v>1216</v>
      </c>
      <c r="D3210" s="26" t="s">
        <v>3663</v>
      </c>
      <c r="E3210" s="28">
        <v>46113.0</v>
      </c>
      <c r="F3210" s="28">
        <v>46171.0</v>
      </c>
      <c r="G3210" s="29"/>
    </row>
    <row r="3211" ht="15.75" customHeight="1">
      <c r="A3211" s="30" t="s">
        <v>6875</v>
      </c>
      <c r="B3211" s="31" t="s">
        <v>404</v>
      </c>
      <c r="C3211" s="31" t="s">
        <v>1157</v>
      </c>
      <c r="D3211" s="30" t="s">
        <v>3663</v>
      </c>
      <c r="E3211" s="32">
        <v>46113.0</v>
      </c>
      <c r="F3211" s="32">
        <v>46171.0</v>
      </c>
      <c r="G3211" s="33"/>
    </row>
    <row r="3212" ht="15.75" customHeight="1">
      <c r="A3212" s="26" t="s">
        <v>6876</v>
      </c>
      <c r="B3212" s="27" t="s">
        <v>404</v>
      </c>
      <c r="C3212" s="27" t="s">
        <v>1155</v>
      </c>
      <c r="D3212" s="26" t="s">
        <v>3663</v>
      </c>
      <c r="E3212" s="28">
        <v>46113.0</v>
      </c>
      <c r="F3212" s="28">
        <v>46171.0</v>
      </c>
      <c r="G3212" s="29"/>
    </row>
    <row r="3213" ht="15.75" customHeight="1">
      <c r="A3213" s="30" t="s">
        <v>6877</v>
      </c>
      <c r="B3213" s="31" t="s">
        <v>404</v>
      </c>
      <c r="C3213" s="31" t="s">
        <v>1153</v>
      </c>
      <c r="D3213" s="30" t="s">
        <v>3663</v>
      </c>
      <c r="E3213" s="32">
        <v>46113.0</v>
      </c>
      <c r="F3213" s="32">
        <v>46171.0</v>
      </c>
      <c r="G3213" s="33"/>
    </row>
    <row r="3214" ht="15.75" customHeight="1">
      <c r="A3214" s="26" t="s">
        <v>6878</v>
      </c>
      <c r="B3214" s="27" t="s">
        <v>404</v>
      </c>
      <c r="C3214" s="27" t="s">
        <v>1149</v>
      </c>
      <c r="D3214" s="26" t="s">
        <v>3663</v>
      </c>
      <c r="E3214" s="28">
        <v>46113.0</v>
      </c>
      <c r="F3214" s="28">
        <v>46171.0</v>
      </c>
      <c r="G3214" s="29"/>
    </row>
    <row r="3215" ht="15.75" customHeight="1">
      <c r="A3215" s="30" t="s">
        <v>6879</v>
      </c>
      <c r="B3215" s="31" t="s">
        <v>404</v>
      </c>
      <c r="C3215" s="31" t="s">
        <v>1351</v>
      </c>
      <c r="D3215" s="30" t="s">
        <v>3663</v>
      </c>
      <c r="E3215" s="32">
        <v>46113.0</v>
      </c>
      <c r="F3215" s="32">
        <v>46171.0</v>
      </c>
      <c r="G3215" s="33"/>
    </row>
    <row r="3216" ht="15.75" customHeight="1">
      <c r="A3216" s="26" t="s">
        <v>6880</v>
      </c>
      <c r="B3216" s="27" t="s">
        <v>404</v>
      </c>
      <c r="C3216" s="27" t="s">
        <v>1349</v>
      </c>
      <c r="D3216" s="26" t="s">
        <v>3663</v>
      </c>
      <c r="E3216" s="28">
        <v>46113.0</v>
      </c>
      <c r="F3216" s="28">
        <v>46171.0</v>
      </c>
      <c r="G3216" s="29"/>
    </row>
    <row r="3217" ht="15.75" customHeight="1">
      <c r="A3217" s="30" t="s">
        <v>6881</v>
      </c>
      <c r="B3217" s="31" t="s">
        <v>404</v>
      </c>
      <c r="C3217" s="31" t="s">
        <v>3653</v>
      </c>
      <c r="D3217" s="31" t="s">
        <v>3663</v>
      </c>
      <c r="E3217" s="32">
        <v>46113.0</v>
      </c>
      <c r="F3217" s="32">
        <v>46171.0</v>
      </c>
      <c r="G3217" s="33"/>
    </row>
    <row r="3218" ht="15.75" customHeight="1">
      <c r="A3218" s="26" t="s">
        <v>6882</v>
      </c>
      <c r="B3218" s="27" t="s">
        <v>404</v>
      </c>
      <c r="C3218" s="27" t="s">
        <v>3652</v>
      </c>
      <c r="D3218" s="26" t="s">
        <v>3663</v>
      </c>
      <c r="E3218" s="28">
        <v>46113.0</v>
      </c>
      <c r="F3218" s="28">
        <v>46171.0</v>
      </c>
      <c r="G3218" s="29"/>
    </row>
    <row r="3219" ht="15.75" customHeight="1">
      <c r="A3219" s="30" t="s">
        <v>6883</v>
      </c>
      <c r="B3219" s="31" t="s">
        <v>404</v>
      </c>
      <c r="C3219" s="31" t="s">
        <v>968</v>
      </c>
      <c r="D3219" s="30" t="s">
        <v>3663</v>
      </c>
      <c r="E3219" s="32">
        <v>46113.0</v>
      </c>
      <c r="F3219" s="32">
        <v>46171.0</v>
      </c>
      <c r="G3219" s="33"/>
    </row>
    <row r="3220" ht="15.75" customHeight="1">
      <c r="A3220" s="26" t="s">
        <v>6884</v>
      </c>
      <c r="B3220" s="27" t="s">
        <v>404</v>
      </c>
      <c r="C3220" s="27" t="s">
        <v>923</v>
      </c>
      <c r="D3220" s="26" t="s">
        <v>3663</v>
      </c>
      <c r="E3220" s="28">
        <v>46113.0</v>
      </c>
      <c r="F3220" s="28">
        <v>46171.0</v>
      </c>
      <c r="G3220" s="29"/>
    </row>
    <row r="3221" ht="15.75" customHeight="1">
      <c r="A3221" s="30" t="s">
        <v>6885</v>
      </c>
      <c r="B3221" s="31" t="s">
        <v>405</v>
      </c>
      <c r="C3221" s="31" t="s">
        <v>932</v>
      </c>
      <c r="D3221" s="30" t="s">
        <v>3663</v>
      </c>
      <c r="E3221" s="32">
        <v>46113.0</v>
      </c>
      <c r="F3221" s="32">
        <v>46171.0</v>
      </c>
      <c r="G3221" s="33"/>
    </row>
    <row r="3222" ht="15.75" customHeight="1">
      <c r="A3222" s="26" t="s">
        <v>6886</v>
      </c>
      <c r="B3222" s="27" t="s">
        <v>405</v>
      </c>
      <c r="C3222" s="27" t="s">
        <v>1164</v>
      </c>
      <c r="D3222" s="26" t="s">
        <v>3663</v>
      </c>
      <c r="E3222" s="28">
        <v>46113.0</v>
      </c>
      <c r="F3222" s="28">
        <v>46171.0</v>
      </c>
      <c r="G3222" s="29"/>
    </row>
    <row r="3223" ht="15.75" customHeight="1">
      <c r="A3223" s="30" t="s">
        <v>6887</v>
      </c>
      <c r="B3223" s="31" t="s">
        <v>405</v>
      </c>
      <c r="C3223" s="31" t="s">
        <v>1166</v>
      </c>
      <c r="D3223" s="30" t="s">
        <v>3663</v>
      </c>
      <c r="E3223" s="32">
        <v>46113.0</v>
      </c>
      <c r="F3223" s="32">
        <v>46171.0</v>
      </c>
      <c r="G3223" s="33"/>
    </row>
    <row r="3224" ht="15.75" customHeight="1">
      <c r="A3224" s="26" t="s">
        <v>6888</v>
      </c>
      <c r="B3224" s="27" t="s">
        <v>405</v>
      </c>
      <c r="C3224" s="27" t="s">
        <v>1168</v>
      </c>
      <c r="D3224" s="26" t="s">
        <v>3663</v>
      </c>
      <c r="E3224" s="28">
        <v>46113.0</v>
      </c>
      <c r="F3224" s="28">
        <v>46171.0</v>
      </c>
      <c r="G3224" s="29"/>
    </row>
    <row r="3225" ht="15.75" customHeight="1">
      <c r="A3225" s="30" t="s">
        <v>6889</v>
      </c>
      <c r="B3225" s="31" t="s">
        <v>405</v>
      </c>
      <c r="C3225" s="31" t="s">
        <v>1170</v>
      </c>
      <c r="D3225" s="30" t="s">
        <v>3663</v>
      </c>
      <c r="E3225" s="32">
        <v>46113.0</v>
      </c>
      <c r="F3225" s="32">
        <v>46171.0</v>
      </c>
      <c r="G3225" s="33"/>
    </row>
    <row r="3226" ht="15.75" customHeight="1">
      <c r="A3226" s="26" t="s">
        <v>6890</v>
      </c>
      <c r="B3226" s="27" t="s">
        <v>405</v>
      </c>
      <c r="C3226" s="27" t="s">
        <v>1354</v>
      </c>
      <c r="D3226" s="26" t="s">
        <v>3663</v>
      </c>
      <c r="E3226" s="28">
        <v>46113.0</v>
      </c>
      <c r="F3226" s="28">
        <v>46171.0</v>
      </c>
      <c r="G3226" s="29"/>
    </row>
    <row r="3227" ht="15.75" customHeight="1">
      <c r="A3227" s="30" t="s">
        <v>6891</v>
      </c>
      <c r="B3227" s="31" t="s">
        <v>405</v>
      </c>
      <c r="C3227" s="31" t="s">
        <v>3681</v>
      </c>
      <c r="D3227" s="30" t="s">
        <v>3663</v>
      </c>
      <c r="E3227" s="32">
        <v>46113.0</v>
      </c>
      <c r="F3227" s="32">
        <v>46171.0</v>
      </c>
      <c r="G3227" s="33"/>
    </row>
    <row r="3228" ht="15.75" customHeight="1">
      <c r="A3228" s="26" t="s">
        <v>6892</v>
      </c>
      <c r="B3228" s="27" t="s">
        <v>405</v>
      </c>
      <c r="C3228" s="27" t="s">
        <v>3683</v>
      </c>
      <c r="D3228" s="26" t="s">
        <v>3663</v>
      </c>
      <c r="E3228" s="28">
        <v>46113.0</v>
      </c>
      <c r="F3228" s="28">
        <v>46171.0</v>
      </c>
      <c r="G3228" s="29"/>
    </row>
    <row r="3229" ht="15.75" customHeight="1">
      <c r="A3229" s="30" t="s">
        <v>6893</v>
      </c>
      <c r="B3229" s="31" t="s">
        <v>405</v>
      </c>
      <c r="C3229" s="31" t="s">
        <v>1159</v>
      </c>
      <c r="D3229" s="30" t="s">
        <v>3663</v>
      </c>
      <c r="E3229" s="32">
        <v>46113.0</v>
      </c>
      <c r="F3229" s="32">
        <v>46171.0</v>
      </c>
      <c r="G3229" s="33"/>
    </row>
    <row r="3230" ht="15.75" customHeight="1">
      <c r="A3230" s="26" t="s">
        <v>6894</v>
      </c>
      <c r="B3230" s="27" t="s">
        <v>405</v>
      </c>
      <c r="C3230" s="27" t="s">
        <v>1216</v>
      </c>
      <c r="D3230" s="26" t="s">
        <v>3663</v>
      </c>
      <c r="E3230" s="28">
        <v>46113.0</v>
      </c>
      <c r="F3230" s="28">
        <v>46171.0</v>
      </c>
      <c r="G3230" s="29"/>
    </row>
    <row r="3231" ht="15.75" customHeight="1">
      <c r="A3231" s="30" t="s">
        <v>6895</v>
      </c>
      <c r="B3231" s="31" t="s">
        <v>405</v>
      </c>
      <c r="C3231" s="31" t="s">
        <v>1351</v>
      </c>
      <c r="D3231" s="30" t="s">
        <v>3663</v>
      </c>
      <c r="E3231" s="32">
        <v>46113.0</v>
      </c>
      <c r="F3231" s="32">
        <v>46171.0</v>
      </c>
      <c r="G3231" s="33"/>
    </row>
    <row r="3232" ht="15.75" customHeight="1">
      <c r="A3232" s="26" t="s">
        <v>6896</v>
      </c>
      <c r="B3232" s="27" t="s">
        <v>405</v>
      </c>
      <c r="C3232" s="27" t="s">
        <v>1349</v>
      </c>
      <c r="D3232" s="26" t="s">
        <v>3663</v>
      </c>
      <c r="E3232" s="28">
        <v>46113.0</v>
      </c>
      <c r="F3232" s="28">
        <v>46171.0</v>
      </c>
      <c r="G3232" s="29"/>
    </row>
    <row r="3233" ht="15.75" customHeight="1">
      <c r="A3233" s="30" t="s">
        <v>6897</v>
      </c>
      <c r="B3233" s="31" t="s">
        <v>405</v>
      </c>
      <c r="C3233" s="31" t="s">
        <v>968</v>
      </c>
      <c r="D3233" s="30" t="s">
        <v>3663</v>
      </c>
      <c r="E3233" s="32">
        <v>46113.0</v>
      </c>
      <c r="F3233" s="32">
        <v>46171.0</v>
      </c>
      <c r="G3233" s="33"/>
    </row>
    <row r="3234" ht="15.75" customHeight="1">
      <c r="A3234" s="26" t="s">
        <v>6898</v>
      </c>
      <c r="B3234" s="27" t="s">
        <v>405</v>
      </c>
      <c r="C3234" s="27" t="s">
        <v>923</v>
      </c>
      <c r="D3234" s="26" t="s">
        <v>3663</v>
      </c>
      <c r="E3234" s="28">
        <v>46113.0</v>
      </c>
      <c r="F3234" s="28">
        <v>46171.0</v>
      </c>
      <c r="G3234" s="29"/>
    </row>
    <row r="3235" ht="15.75" customHeight="1">
      <c r="A3235" s="30" t="s">
        <v>6899</v>
      </c>
      <c r="B3235" s="31" t="s">
        <v>406</v>
      </c>
      <c r="C3235" s="31" t="s">
        <v>3654</v>
      </c>
      <c r="D3235" s="30" t="s">
        <v>3663</v>
      </c>
      <c r="E3235" s="32">
        <v>46113.0</v>
      </c>
      <c r="F3235" s="32">
        <v>46171.0</v>
      </c>
      <c r="G3235" s="33"/>
    </row>
    <row r="3236" ht="15.75" customHeight="1">
      <c r="A3236" s="26" t="s">
        <v>6900</v>
      </c>
      <c r="B3236" s="27" t="s">
        <v>406</v>
      </c>
      <c r="C3236" s="27" t="s">
        <v>3655</v>
      </c>
      <c r="D3236" s="26" t="s">
        <v>3663</v>
      </c>
      <c r="E3236" s="28">
        <v>46113.0</v>
      </c>
      <c r="F3236" s="28">
        <v>46171.0</v>
      </c>
      <c r="G3236" s="29"/>
    </row>
    <row r="3237" ht="15.75" customHeight="1">
      <c r="A3237" s="30" t="s">
        <v>6901</v>
      </c>
      <c r="B3237" s="31" t="s">
        <v>406</v>
      </c>
      <c r="C3237" s="31" t="s">
        <v>932</v>
      </c>
      <c r="D3237" s="30" t="s">
        <v>3663</v>
      </c>
      <c r="E3237" s="32">
        <v>46113.0</v>
      </c>
      <c r="F3237" s="32">
        <v>46171.0</v>
      </c>
      <c r="G3237" s="33"/>
    </row>
    <row r="3238" ht="15.75" customHeight="1">
      <c r="A3238" s="26" t="s">
        <v>6902</v>
      </c>
      <c r="B3238" s="27" t="s">
        <v>406</v>
      </c>
      <c r="C3238" s="27" t="s">
        <v>1168</v>
      </c>
      <c r="D3238" s="26" t="s">
        <v>3663</v>
      </c>
      <c r="E3238" s="28">
        <v>46113.0</v>
      </c>
      <c r="F3238" s="28">
        <v>46171.0</v>
      </c>
      <c r="G3238" s="29"/>
    </row>
    <row r="3239" ht="15.75" customHeight="1">
      <c r="A3239" s="30" t="s">
        <v>6903</v>
      </c>
      <c r="B3239" s="31" t="s">
        <v>406</v>
      </c>
      <c r="C3239" s="31" t="s">
        <v>1170</v>
      </c>
      <c r="D3239" s="30" t="s">
        <v>3663</v>
      </c>
      <c r="E3239" s="32">
        <v>46113.0</v>
      </c>
      <c r="F3239" s="32">
        <v>46171.0</v>
      </c>
      <c r="G3239" s="33"/>
    </row>
    <row r="3240" ht="15.75" customHeight="1">
      <c r="A3240" s="26" t="s">
        <v>6904</v>
      </c>
      <c r="B3240" s="27" t="s">
        <v>406</v>
      </c>
      <c r="C3240" s="27" t="s">
        <v>1288</v>
      </c>
      <c r="D3240" s="26" t="s">
        <v>3663</v>
      </c>
      <c r="E3240" s="28">
        <v>46113.0</v>
      </c>
      <c r="F3240" s="28">
        <v>46171.0</v>
      </c>
      <c r="G3240" s="29"/>
    </row>
    <row r="3241" ht="15.75" customHeight="1">
      <c r="A3241" s="30" t="s">
        <v>6905</v>
      </c>
      <c r="B3241" s="31" t="s">
        <v>406</v>
      </c>
      <c r="C3241" s="31" t="s">
        <v>1291</v>
      </c>
      <c r="D3241" s="30" t="s">
        <v>3663</v>
      </c>
      <c r="E3241" s="32">
        <v>46113.0</v>
      </c>
      <c r="F3241" s="32">
        <v>46171.0</v>
      </c>
      <c r="G3241" s="33"/>
    </row>
    <row r="3242" ht="15.75" customHeight="1">
      <c r="A3242" s="26" t="s">
        <v>6906</v>
      </c>
      <c r="B3242" s="27" t="s">
        <v>406</v>
      </c>
      <c r="C3242" s="27" t="s">
        <v>1354</v>
      </c>
      <c r="D3242" s="26" t="s">
        <v>3663</v>
      </c>
      <c r="E3242" s="28">
        <v>46113.0</v>
      </c>
      <c r="F3242" s="28">
        <v>46171.0</v>
      </c>
      <c r="G3242" s="29"/>
    </row>
    <row r="3243" ht="15.75" customHeight="1">
      <c r="A3243" s="30" t="s">
        <v>6907</v>
      </c>
      <c r="B3243" s="31" t="s">
        <v>406</v>
      </c>
      <c r="C3243" s="31" t="s">
        <v>1218</v>
      </c>
      <c r="D3243" s="30" t="s">
        <v>3663</v>
      </c>
      <c r="E3243" s="32">
        <v>46113.0</v>
      </c>
      <c r="F3243" s="32">
        <v>46171.0</v>
      </c>
      <c r="G3243" s="33"/>
    </row>
    <row r="3244" ht="15.75" customHeight="1">
      <c r="A3244" s="26" t="s">
        <v>6908</v>
      </c>
      <c r="B3244" s="27" t="s">
        <v>406</v>
      </c>
      <c r="C3244" s="27" t="s">
        <v>1351</v>
      </c>
      <c r="D3244" s="26" t="s">
        <v>3663</v>
      </c>
      <c r="E3244" s="28">
        <v>46113.0</v>
      </c>
      <c r="F3244" s="28">
        <v>46171.0</v>
      </c>
      <c r="G3244" s="29"/>
    </row>
    <row r="3245" ht="15.75" customHeight="1">
      <c r="A3245" s="30" t="s">
        <v>6909</v>
      </c>
      <c r="B3245" s="31" t="s">
        <v>406</v>
      </c>
      <c r="C3245" s="31" t="s">
        <v>1349</v>
      </c>
      <c r="D3245" s="30" t="s">
        <v>3663</v>
      </c>
      <c r="E3245" s="32">
        <v>46113.0</v>
      </c>
      <c r="F3245" s="32">
        <v>46171.0</v>
      </c>
      <c r="G3245" s="33"/>
    </row>
    <row r="3246" ht="15.75" customHeight="1">
      <c r="A3246" s="26" t="s">
        <v>6910</v>
      </c>
      <c r="B3246" s="27" t="s">
        <v>406</v>
      </c>
      <c r="C3246" s="27" t="s">
        <v>968</v>
      </c>
      <c r="D3246" s="26" t="s">
        <v>3663</v>
      </c>
      <c r="E3246" s="28">
        <v>46113.0</v>
      </c>
      <c r="F3246" s="28">
        <v>46171.0</v>
      </c>
      <c r="G3246" s="29"/>
    </row>
    <row r="3247" ht="15.75" customHeight="1">
      <c r="A3247" s="30" t="s">
        <v>6911</v>
      </c>
      <c r="B3247" s="31" t="s">
        <v>406</v>
      </c>
      <c r="C3247" s="31" t="s">
        <v>923</v>
      </c>
      <c r="D3247" s="30" t="s">
        <v>3663</v>
      </c>
      <c r="E3247" s="32">
        <v>46113.0</v>
      </c>
      <c r="F3247" s="32">
        <v>46171.0</v>
      </c>
      <c r="G3247" s="33"/>
    </row>
    <row r="3248" ht="15.75" customHeight="1">
      <c r="A3248" s="26" t="s">
        <v>6912</v>
      </c>
      <c r="B3248" s="27" t="s">
        <v>406</v>
      </c>
      <c r="C3248" s="27" t="s">
        <v>955</v>
      </c>
      <c r="D3248" s="26" t="s">
        <v>3663</v>
      </c>
      <c r="E3248" s="28">
        <v>46113.0</v>
      </c>
      <c r="F3248" s="28">
        <v>46171.0</v>
      </c>
      <c r="G3248" s="29"/>
    </row>
    <row r="3249" ht="15.75" customHeight="1">
      <c r="A3249" s="30" t="s">
        <v>6913</v>
      </c>
      <c r="B3249" s="31" t="s">
        <v>407</v>
      </c>
      <c r="C3249" s="31" t="s">
        <v>1240</v>
      </c>
      <c r="D3249" s="31" t="s">
        <v>3663</v>
      </c>
      <c r="E3249" s="32">
        <v>46113.0</v>
      </c>
      <c r="F3249" s="32">
        <v>46171.0</v>
      </c>
      <c r="G3249" s="33"/>
    </row>
    <row r="3250" ht="15.75" customHeight="1">
      <c r="A3250" s="26" t="s">
        <v>6914</v>
      </c>
      <c r="B3250" s="27" t="s">
        <v>407</v>
      </c>
      <c r="C3250" s="27" t="s">
        <v>1242</v>
      </c>
      <c r="D3250" s="27" t="s">
        <v>3663</v>
      </c>
      <c r="E3250" s="28">
        <v>46113.0</v>
      </c>
      <c r="F3250" s="28">
        <v>46171.0</v>
      </c>
      <c r="G3250" s="29"/>
    </row>
    <row r="3251" ht="15.75" customHeight="1">
      <c r="A3251" s="30" t="s">
        <v>6915</v>
      </c>
      <c r="B3251" s="31" t="s">
        <v>407</v>
      </c>
      <c r="C3251" s="31" t="s">
        <v>1244</v>
      </c>
      <c r="D3251" s="31" t="s">
        <v>3663</v>
      </c>
      <c r="E3251" s="32">
        <v>46113.0</v>
      </c>
      <c r="F3251" s="32">
        <v>46171.0</v>
      </c>
      <c r="G3251" s="33"/>
    </row>
    <row r="3252" ht="15.75" customHeight="1">
      <c r="A3252" s="26" t="s">
        <v>6916</v>
      </c>
      <c r="B3252" s="27" t="s">
        <v>407</v>
      </c>
      <c r="C3252" s="27" t="s">
        <v>1246</v>
      </c>
      <c r="D3252" s="27" t="s">
        <v>3663</v>
      </c>
      <c r="E3252" s="28">
        <v>46113.0</v>
      </c>
      <c r="F3252" s="28">
        <v>46171.0</v>
      </c>
      <c r="G3252" s="29"/>
    </row>
    <row r="3253" ht="15.75" customHeight="1">
      <c r="A3253" s="30" t="s">
        <v>6917</v>
      </c>
      <c r="B3253" s="31" t="s">
        <v>407</v>
      </c>
      <c r="C3253" s="31" t="s">
        <v>934</v>
      </c>
      <c r="D3253" s="31" t="s">
        <v>3663</v>
      </c>
      <c r="E3253" s="32">
        <v>46113.0</v>
      </c>
      <c r="F3253" s="32">
        <v>46171.0</v>
      </c>
      <c r="G3253" s="33"/>
    </row>
    <row r="3254" ht="15.75" customHeight="1">
      <c r="A3254" s="26" t="s">
        <v>6918</v>
      </c>
      <c r="B3254" s="27" t="s">
        <v>407</v>
      </c>
      <c r="C3254" s="27" t="s">
        <v>1354</v>
      </c>
      <c r="D3254" s="26" t="s">
        <v>3663</v>
      </c>
      <c r="E3254" s="28">
        <v>46113.0</v>
      </c>
      <c r="F3254" s="28">
        <v>46171.0</v>
      </c>
      <c r="G3254" s="29"/>
    </row>
    <row r="3255" ht="15.75" customHeight="1">
      <c r="A3255" s="30" t="s">
        <v>6919</v>
      </c>
      <c r="B3255" s="31" t="s">
        <v>407</v>
      </c>
      <c r="C3255" s="31" t="s">
        <v>3681</v>
      </c>
      <c r="D3255" s="30" t="s">
        <v>3663</v>
      </c>
      <c r="E3255" s="32">
        <v>46113.0</v>
      </c>
      <c r="F3255" s="32">
        <v>46171.0</v>
      </c>
      <c r="G3255" s="33"/>
    </row>
    <row r="3256" ht="15.75" customHeight="1">
      <c r="A3256" s="26" t="s">
        <v>6920</v>
      </c>
      <c r="B3256" s="27" t="s">
        <v>407</v>
      </c>
      <c r="C3256" s="27" t="s">
        <v>3683</v>
      </c>
      <c r="D3256" s="26" t="s">
        <v>3663</v>
      </c>
      <c r="E3256" s="28">
        <v>46113.0</v>
      </c>
      <c r="F3256" s="28">
        <v>46171.0</v>
      </c>
      <c r="G3256" s="29"/>
    </row>
    <row r="3257" ht="15.75" customHeight="1">
      <c r="A3257" s="30" t="s">
        <v>6921</v>
      </c>
      <c r="B3257" s="31" t="s">
        <v>407</v>
      </c>
      <c r="C3257" s="31" t="s">
        <v>1218</v>
      </c>
      <c r="D3257" s="30" t="s">
        <v>3663</v>
      </c>
      <c r="E3257" s="32">
        <v>46113.0</v>
      </c>
      <c r="F3257" s="32">
        <v>46171.0</v>
      </c>
      <c r="G3257" s="33"/>
    </row>
    <row r="3258" ht="15.75" customHeight="1">
      <c r="A3258" s="26" t="s">
        <v>6922</v>
      </c>
      <c r="B3258" s="27" t="s">
        <v>407</v>
      </c>
      <c r="C3258" s="27" t="s">
        <v>1271</v>
      </c>
      <c r="D3258" s="26" t="s">
        <v>3663</v>
      </c>
      <c r="E3258" s="28">
        <v>46113.0</v>
      </c>
      <c r="F3258" s="28">
        <v>46171.0</v>
      </c>
      <c r="G3258" s="29"/>
    </row>
    <row r="3259" ht="15.75" customHeight="1">
      <c r="A3259" s="30" t="s">
        <v>6923</v>
      </c>
      <c r="B3259" s="31" t="s">
        <v>407</v>
      </c>
      <c r="C3259" s="31" t="s">
        <v>1351</v>
      </c>
      <c r="D3259" s="30" t="s">
        <v>3663</v>
      </c>
      <c r="E3259" s="32">
        <v>46113.0</v>
      </c>
      <c r="F3259" s="32">
        <v>46171.0</v>
      </c>
      <c r="G3259" s="33"/>
    </row>
    <row r="3260" ht="15.75" customHeight="1">
      <c r="A3260" s="26" t="s">
        <v>6924</v>
      </c>
      <c r="B3260" s="27" t="s">
        <v>407</v>
      </c>
      <c r="C3260" s="27" t="s">
        <v>1349</v>
      </c>
      <c r="D3260" s="26" t="s">
        <v>3663</v>
      </c>
      <c r="E3260" s="28">
        <v>46113.0</v>
      </c>
      <c r="F3260" s="28">
        <v>46171.0</v>
      </c>
      <c r="G3260" s="29"/>
    </row>
    <row r="3261" ht="15.75" customHeight="1">
      <c r="A3261" s="30" t="s">
        <v>6925</v>
      </c>
      <c r="B3261" s="31" t="s">
        <v>407</v>
      </c>
      <c r="C3261" s="31" t="s">
        <v>968</v>
      </c>
      <c r="D3261" s="30" t="s">
        <v>3663</v>
      </c>
      <c r="E3261" s="32">
        <v>46113.0</v>
      </c>
      <c r="F3261" s="32">
        <v>46171.0</v>
      </c>
      <c r="G3261" s="33"/>
    </row>
    <row r="3262" ht="15.75" customHeight="1">
      <c r="A3262" s="26" t="s">
        <v>6926</v>
      </c>
      <c r="B3262" s="27" t="s">
        <v>407</v>
      </c>
      <c r="C3262" s="27" t="s">
        <v>923</v>
      </c>
      <c r="D3262" s="27" t="s">
        <v>3663</v>
      </c>
      <c r="E3262" s="28">
        <v>46113.0</v>
      </c>
      <c r="F3262" s="28">
        <v>46171.0</v>
      </c>
      <c r="G3262" s="29"/>
    </row>
    <row r="3263" ht="15.75" customHeight="1">
      <c r="A3263" s="30" t="s">
        <v>6927</v>
      </c>
      <c r="B3263" s="31" t="s">
        <v>408</v>
      </c>
      <c r="C3263" s="31" t="s">
        <v>934</v>
      </c>
      <c r="D3263" s="30" t="s">
        <v>3663</v>
      </c>
      <c r="E3263" s="32">
        <v>46113.0</v>
      </c>
      <c r="F3263" s="32">
        <v>46171.0</v>
      </c>
      <c r="G3263" s="33"/>
    </row>
    <row r="3264" ht="15.75" customHeight="1">
      <c r="A3264" s="26" t="s">
        <v>6928</v>
      </c>
      <c r="B3264" s="27" t="s">
        <v>408</v>
      </c>
      <c r="C3264" s="27" t="s">
        <v>1354</v>
      </c>
      <c r="D3264" s="26" t="s">
        <v>3663</v>
      </c>
      <c r="E3264" s="28">
        <v>46113.0</v>
      </c>
      <c r="F3264" s="28">
        <v>46171.0</v>
      </c>
      <c r="G3264" s="29"/>
    </row>
    <row r="3265" ht="15.75" customHeight="1">
      <c r="A3265" s="30" t="s">
        <v>6929</v>
      </c>
      <c r="B3265" s="31" t="s">
        <v>408</v>
      </c>
      <c r="C3265" s="31" t="s">
        <v>1312</v>
      </c>
      <c r="D3265" s="30" t="s">
        <v>3663</v>
      </c>
      <c r="E3265" s="32">
        <v>46113.0</v>
      </c>
      <c r="F3265" s="32">
        <v>46171.0</v>
      </c>
      <c r="G3265" s="33"/>
    </row>
    <row r="3266" ht="15.75" customHeight="1">
      <c r="A3266" s="26" t="s">
        <v>6930</v>
      </c>
      <c r="B3266" s="27" t="s">
        <v>408</v>
      </c>
      <c r="C3266" s="27" t="s">
        <v>1190</v>
      </c>
      <c r="D3266" s="26" t="s">
        <v>3663</v>
      </c>
      <c r="E3266" s="28">
        <v>46113.0</v>
      </c>
      <c r="F3266" s="28">
        <v>46171.0</v>
      </c>
      <c r="G3266" s="29"/>
    </row>
    <row r="3267" ht="15.75" customHeight="1">
      <c r="A3267" s="30" t="s">
        <v>6931</v>
      </c>
      <c r="B3267" s="31" t="s">
        <v>408</v>
      </c>
      <c r="C3267" s="31" t="s">
        <v>1157</v>
      </c>
      <c r="D3267" s="30" t="s">
        <v>3663</v>
      </c>
      <c r="E3267" s="32">
        <v>46113.0</v>
      </c>
      <c r="F3267" s="32">
        <v>46171.0</v>
      </c>
      <c r="G3267" s="33"/>
    </row>
    <row r="3268" ht="15.75" customHeight="1">
      <c r="A3268" s="26" t="s">
        <v>6932</v>
      </c>
      <c r="B3268" s="27" t="s">
        <v>408</v>
      </c>
      <c r="C3268" s="27" t="s">
        <v>1155</v>
      </c>
      <c r="D3268" s="26" t="s">
        <v>3663</v>
      </c>
      <c r="E3268" s="28">
        <v>46113.0</v>
      </c>
      <c r="F3268" s="28">
        <v>46171.0</v>
      </c>
      <c r="G3268" s="29"/>
    </row>
    <row r="3269" ht="15.75" customHeight="1">
      <c r="A3269" s="30" t="s">
        <v>6933</v>
      </c>
      <c r="B3269" s="31" t="s">
        <v>408</v>
      </c>
      <c r="C3269" s="31" t="s">
        <v>1153</v>
      </c>
      <c r="D3269" s="30" t="s">
        <v>3663</v>
      </c>
      <c r="E3269" s="32">
        <v>46113.0</v>
      </c>
      <c r="F3269" s="32">
        <v>46171.0</v>
      </c>
      <c r="G3269" s="33"/>
    </row>
    <row r="3270" ht="15.75" customHeight="1">
      <c r="A3270" s="26" t="s">
        <v>6934</v>
      </c>
      <c r="B3270" s="27" t="s">
        <v>408</v>
      </c>
      <c r="C3270" s="27" t="s">
        <v>1149</v>
      </c>
      <c r="D3270" s="26" t="s">
        <v>3663</v>
      </c>
      <c r="E3270" s="28">
        <v>46113.0</v>
      </c>
      <c r="F3270" s="28">
        <v>46171.0</v>
      </c>
      <c r="G3270" s="29"/>
    </row>
    <row r="3271" ht="15.75" customHeight="1">
      <c r="A3271" s="30" t="s">
        <v>6935</v>
      </c>
      <c r="B3271" s="31" t="s">
        <v>408</v>
      </c>
      <c r="C3271" s="31" t="s">
        <v>1351</v>
      </c>
      <c r="D3271" s="30" t="s">
        <v>3663</v>
      </c>
      <c r="E3271" s="32">
        <v>46113.0</v>
      </c>
      <c r="F3271" s="32">
        <v>46171.0</v>
      </c>
      <c r="G3271" s="33"/>
    </row>
    <row r="3272" ht="15.75" customHeight="1">
      <c r="A3272" s="26" t="s">
        <v>6936</v>
      </c>
      <c r="B3272" s="27" t="s">
        <v>408</v>
      </c>
      <c r="C3272" s="27" t="s">
        <v>1349</v>
      </c>
      <c r="D3272" s="26" t="s">
        <v>3663</v>
      </c>
      <c r="E3272" s="28">
        <v>46113.0</v>
      </c>
      <c r="F3272" s="28">
        <v>46171.0</v>
      </c>
      <c r="G3272" s="29"/>
    </row>
    <row r="3273" ht="15.75" customHeight="1">
      <c r="A3273" s="30" t="s">
        <v>6937</v>
      </c>
      <c r="B3273" s="31" t="s">
        <v>408</v>
      </c>
      <c r="C3273" s="31" t="s">
        <v>3653</v>
      </c>
      <c r="D3273" s="31" t="s">
        <v>3663</v>
      </c>
      <c r="E3273" s="32">
        <v>46113.0</v>
      </c>
      <c r="F3273" s="32">
        <v>46171.0</v>
      </c>
      <c r="G3273" s="33"/>
    </row>
    <row r="3274" ht="15.75" customHeight="1">
      <c r="A3274" s="26" t="s">
        <v>6938</v>
      </c>
      <c r="B3274" s="27" t="s">
        <v>408</v>
      </c>
      <c r="C3274" s="27" t="s">
        <v>3652</v>
      </c>
      <c r="D3274" s="26" t="s">
        <v>3663</v>
      </c>
      <c r="E3274" s="28">
        <v>46113.0</v>
      </c>
      <c r="F3274" s="28">
        <v>46171.0</v>
      </c>
      <c r="G3274" s="29"/>
    </row>
    <row r="3275" ht="15.75" customHeight="1">
      <c r="A3275" s="30" t="s">
        <v>6939</v>
      </c>
      <c r="B3275" s="31" t="s">
        <v>408</v>
      </c>
      <c r="C3275" s="31" t="s">
        <v>965</v>
      </c>
      <c r="D3275" s="30" t="s">
        <v>3663</v>
      </c>
      <c r="E3275" s="32">
        <v>46113.0</v>
      </c>
      <c r="F3275" s="32">
        <v>46171.0</v>
      </c>
      <c r="G3275" s="33"/>
    </row>
    <row r="3276" ht="15.75" customHeight="1">
      <c r="A3276" s="26" t="s">
        <v>6940</v>
      </c>
      <c r="B3276" s="27" t="s">
        <v>408</v>
      </c>
      <c r="C3276" s="27" t="s">
        <v>923</v>
      </c>
      <c r="D3276" s="26" t="s">
        <v>3663</v>
      </c>
      <c r="E3276" s="28">
        <v>46113.0</v>
      </c>
      <c r="F3276" s="28">
        <v>46171.0</v>
      </c>
      <c r="G3276" s="29"/>
    </row>
    <row r="3277" ht="15.75" customHeight="1">
      <c r="A3277" s="30" t="s">
        <v>6941</v>
      </c>
      <c r="B3277" s="31" t="s">
        <v>409</v>
      </c>
      <c r="C3277" s="31" t="s">
        <v>1240</v>
      </c>
      <c r="D3277" s="30" t="s">
        <v>3663</v>
      </c>
      <c r="E3277" s="32">
        <v>46113.0</v>
      </c>
      <c r="F3277" s="32">
        <v>46171.0</v>
      </c>
      <c r="G3277" s="33"/>
    </row>
    <row r="3278" ht="15.75" customHeight="1">
      <c r="A3278" s="26" t="s">
        <v>6942</v>
      </c>
      <c r="B3278" s="27" t="s">
        <v>409</v>
      </c>
      <c r="C3278" s="27" t="s">
        <v>1242</v>
      </c>
      <c r="D3278" s="26" t="s">
        <v>3663</v>
      </c>
      <c r="E3278" s="28">
        <v>46113.0</v>
      </c>
      <c r="F3278" s="28">
        <v>46171.0</v>
      </c>
      <c r="G3278" s="29"/>
    </row>
    <row r="3279" ht="15.75" customHeight="1">
      <c r="A3279" s="30" t="s">
        <v>6943</v>
      </c>
      <c r="B3279" s="31" t="s">
        <v>409</v>
      </c>
      <c r="C3279" s="31" t="s">
        <v>1244</v>
      </c>
      <c r="D3279" s="30" t="s">
        <v>3663</v>
      </c>
      <c r="E3279" s="32">
        <v>46113.0</v>
      </c>
      <c r="F3279" s="32">
        <v>46171.0</v>
      </c>
      <c r="G3279" s="33"/>
    </row>
    <row r="3280" ht="15.75" customHeight="1">
      <c r="A3280" s="26" t="s">
        <v>6944</v>
      </c>
      <c r="B3280" s="27" t="s">
        <v>409</v>
      </c>
      <c r="C3280" s="27" t="s">
        <v>1246</v>
      </c>
      <c r="D3280" s="26" t="s">
        <v>3663</v>
      </c>
      <c r="E3280" s="28">
        <v>46113.0</v>
      </c>
      <c r="F3280" s="28">
        <v>46171.0</v>
      </c>
      <c r="G3280" s="29"/>
    </row>
    <row r="3281" ht="15.75" customHeight="1">
      <c r="A3281" s="30" t="s">
        <v>6945</v>
      </c>
      <c r="B3281" s="31" t="s">
        <v>409</v>
      </c>
      <c r="C3281" s="31" t="s">
        <v>928</v>
      </c>
      <c r="D3281" s="30" t="s">
        <v>3663</v>
      </c>
      <c r="E3281" s="32">
        <v>46113.0</v>
      </c>
      <c r="F3281" s="32">
        <v>46171.0</v>
      </c>
      <c r="G3281" s="33"/>
    </row>
    <row r="3282" ht="15.75" customHeight="1">
      <c r="A3282" s="26" t="s">
        <v>6946</v>
      </c>
      <c r="B3282" s="27" t="s">
        <v>409</v>
      </c>
      <c r="C3282" s="27" t="s">
        <v>1354</v>
      </c>
      <c r="D3282" s="26" t="s">
        <v>3663</v>
      </c>
      <c r="E3282" s="28">
        <v>46113.0</v>
      </c>
      <c r="F3282" s="28">
        <v>46171.0</v>
      </c>
      <c r="G3282" s="29"/>
    </row>
    <row r="3283" ht="15.75" customHeight="1">
      <c r="A3283" s="30" t="s">
        <v>6947</v>
      </c>
      <c r="B3283" s="31" t="s">
        <v>409</v>
      </c>
      <c r="C3283" s="31" t="s">
        <v>3681</v>
      </c>
      <c r="D3283" s="30" t="s">
        <v>3663</v>
      </c>
      <c r="E3283" s="32">
        <v>46113.0</v>
      </c>
      <c r="F3283" s="32">
        <v>46171.0</v>
      </c>
      <c r="G3283" s="33"/>
    </row>
    <row r="3284" ht="15.75" customHeight="1">
      <c r="A3284" s="26" t="s">
        <v>6948</v>
      </c>
      <c r="B3284" s="27" t="s">
        <v>409</v>
      </c>
      <c r="C3284" s="27" t="s">
        <v>3683</v>
      </c>
      <c r="D3284" s="26" t="s">
        <v>3663</v>
      </c>
      <c r="E3284" s="28">
        <v>46113.0</v>
      </c>
      <c r="F3284" s="28">
        <v>46171.0</v>
      </c>
      <c r="G3284" s="29"/>
    </row>
    <row r="3285" ht="15.75" customHeight="1">
      <c r="A3285" s="30" t="s">
        <v>6949</v>
      </c>
      <c r="B3285" s="31" t="s">
        <v>409</v>
      </c>
      <c r="C3285" s="31" t="s">
        <v>1159</v>
      </c>
      <c r="D3285" s="30" t="s">
        <v>3663</v>
      </c>
      <c r="E3285" s="32">
        <v>46113.0</v>
      </c>
      <c r="F3285" s="32">
        <v>46171.0</v>
      </c>
      <c r="G3285" s="33"/>
    </row>
    <row r="3286" ht="15.75" customHeight="1">
      <c r="A3286" s="26" t="s">
        <v>6950</v>
      </c>
      <c r="B3286" s="27" t="s">
        <v>409</v>
      </c>
      <c r="C3286" s="27" t="s">
        <v>3647</v>
      </c>
      <c r="D3286" s="26" t="s">
        <v>3663</v>
      </c>
      <c r="E3286" s="28">
        <v>46113.0</v>
      </c>
      <c r="F3286" s="28">
        <v>46171.0</v>
      </c>
      <c r="G3286" s="29"/>
    </row>
    <row r="3287" ht="15.75" customHeight="1">
      <c r="A3287" s="30" t="s">
        <v>6951</v>
      </c>
      <c r="B3287" s="31" t="s">
        <v>409</v>
      </c>
      <c r="C3287" s="31" t="s">
        <v>952</v>
      </c>
      <c r="D3287" s="30" t="s">
        <v>3663</v>
      </c>
      <c r="E3287" s="32">
        <v>46113.0</v>
      </c>
      <c r="F3287" s="32">
        <v>46171.0</v>
      </c>
      <c r="G3287" s="33"/>
    </row>
    <row r="3288" ht="15.75" customHeight="1">
      <c r="A3288" s="26" t="s">
        <v>6952</v>
      </c>
      <c r="B3288" s="27" t="s">
        <v>409</v>
      </c>
      <c r="C3288" s="27" t="s">
        <v>1216</v>
      </c>
      <c r="D3288" s="26" t="s">
        <v>3663</v>
      </c>
      <c r="E3288" s="28">
        <v>46113.0</v>
      </c>
      <c r="F3288" s="28">
        <v>46171.0</v>
      </c>
      <c r="G3288" s="29"/>
    </row>
    <row r="3289" ht="15.75" customHeight="1">
      <c r="A3289" s="30" t="s">
        <v>6953</v>
      </c>
      <c r="B3289" s="31" t="s">
        <v>409</v>
      </c>
      <c r="C3289" s="31" t="s">
        <v>968</v>
      </c>
      <c r="D3289" s="30" t="s">
        <v>3663</v>
      </c>
      <c r="E3289" s="32">
        <v>46113.0</v>
      </c>
      <c r="F3289" s="32">
        <v>46171.0</v>
      </c>
      <c r="G3289" s="33"/>
    </row>
    <row r="3290" ht="15.75" customHeight="1">
      <c r="A3290" s="26" t="s">
        <v>6954</v>
      </c>
      <c r="B3290" s="27" t="s">
        <v>409</v>
      </c>
      <c r="C3290" s="27" t="s">
        <v>923</v>
      </c>
      <c r="D3290" s="26" t="s">
        <v>3663</v>
      </c>
      <c r="E3290" s="28">
        <v>46113.0</v>
      </c>
      <c r="F3290" s="28">
        <v>46171.0</v>
      </c>
      <c r="G3290" s="29"/>
    </row>
    <row r="3291" ht="15.75" customHeight="1">
      <c r="A3291" s="30" t="s">
        <v>6955</v>
      </c>
      <c r="B3291" s="31" t="s">
        <v>410</v>
      </c>
      <c r="C3291" s="31" t="s">
        <v>928</v>
      </c>
      <c r="D3291" s="30" t="s">
        <v>3663</v>
      </c>
      <c r="E3291" s="32">
        <v>46113.0</v>
      </c>
      <c r="F3291" s="32">
        <v>46171.0</v>
      </c>
      <c r="G3291" s="33"/>
    </row>
    <row r="3292" ht="15.75" customHeight="1">
      <c r="A3292" s="26" t="s">
        <v>6956</v>
      </c>
      <c r="B3292" s="27" t="s">
        <v>410</v>
      </c>
      <c r="C3292" s="27" t="s">
        <v>1354</v>
      </c>
      <c r="D3292" s="26" t="s">
        <v>3663</v>
      </c>
      <c r="E3292" s="28">
        <v>46113.0</v>
      </c>
      <c r="F3292" s="28">
        <v>46171.0</v>
      </c>
      <c r="G3292" s="29"/>
    </row>
    <row r="3293" ht="15.75" customHeight="1">
      <c r="A3293" s="30" t="s">
        <v>6957</v>
      </c>
      <c r="B3293" s="31" t="s">
        <v>410</v>
      </c>
      <c r="C3293" s="31" t="s">
        <v>1222</v>
      </c>
      <c r="D3293" s="30" t="s">
        <v>3663</v>
      </c>
      <c r="E3293" s="32">
        <v>46113.0</v>
      </c>
      <c r="F3293" s="32">
        <v>46171.0</v>
      </c>
      <c r="G3293" s="33"/>
    </row>
    <row r="3294" ht="15.75" customHeight="1">
      <c r="A3294" s="26" t="s">
        <v>6958</v>
      </c>
      <c r="B3294" s="27" t="s">
        <v>410</v>
      </c>
      <c r="C3294" s="27" t="s">
        <v>1224</v>
      </c>
      <c r="D3294" s="26" t="s">
        <v>3663</v>
      </c>
      <c r="E3294" s="28">
        <v>46113.0</v>
      </c>
      <c r="F3294" s="28">
        <v>46171.0</v>
      </c>
      <c r="G3294" s="29"/>
    </row>
    <row r="3295" ht="15.75" customHeight="1">
      <c r="A3295" s="30" t="s">
        <v>6959</v>
      </c>
      <c r="B3295" s="31" t="s">
        <v>410</v>
      </c>
      <c r="C3295" s="31" t="s">
        <v>1226</v>
      </c>
      <c r="D3295" s="30" t="s">
        <v>3663</v>
      </c>
      <c r="E3295" s="32">
        <v>46113.0</v>
      </c>
      <c r="F3295" s="32">
        <v>46171.0</v>
      </c>
      <c r="G3295" s="33"/>
    </row>
    <row r="3296" ht="15.75" customHeight="1">
      <c r="A3296" s="26" t="s">
        <v>6960</v>
      </c>
      <c r="B3296" s="27" t="s">
        <v>410</v>
      </c>
      <c r="C3296" s="27" t="s">
        <v>1228</v>
      </c>
      <c r="D3296" s="26" t="s">
        <v>3663</v>
      </c>
      <c r="E3296" s="28">
        <v>46113.0</v>
      </c>
      <c r="F3296" s="28">
        <v>46171.0</v>
      </c>
      <c r="G3296" s="29"/>
    </row>
    <row r="3297" ht="15.75" customHeight="1">
      <c r="A3297" s="30" t="s">
        <v>6961</v>
      </c>
      <c r="B3297" s="31" t="s">
        <v>410</v>
      </c>
      <c r="C3297" s="31" t="s">
        <v>1312</v>
      </c>
      <c r="D3297" s="30" t="s">
        <v>3663</v>
      </c>
      <c r="E3297" s="32">
        <v>46113.0</v>
      </c>
      <c r="F3297" s="32">
        <v>46171.0</v>
      </c>
      <c r="G3297" s="33"/>
    </row>
    <row r="3298" ht="15.75" customHeight="1">
      <c r="A3298" s="26" t="s">
        <v>6962</v>
      </c>
      <c r="B3298" s="27" t="s">
        <v>410</v>
      </c>
      <c r="C3298" s="27" t="s">
        <v>1208</v>
      </c>
      <c r="D3298" s="26" t="s">
        <v>3663</v>
      </c>
      <c r="E3298" s="28">
        <v>46113.0</v>
      </c>
      <c r="F3298" s="28">
        <v>46171.0</v>
      </c>
      <c r="G3298" s="29"/>
    </row>
    <row r="3299" ht="15.75" customHeight="1">
      <c r="A3299" s="30" t="s">
        <v>6963</v>
      </c>
      <c r="B3299" s="31" t="s">
        <v>410</v>
      </c>
      <c r="C3299" s="31" t="s">
        <v>3656</v>
      </c>
      <c r="D3299" s="30" t="s">
        <v>3663</v>
      </c>
      <c r="E3299" s="32">
        <v>46113.0</v>
      </c>
      <c r="F3299" s="32">
        <v>46171.0</v>
      </c>
      <c r="G3299" s="33"/>
    </row>
    <row r="3300" ht="15.75" customHeight="1">
      <c r="A3300" s="26" t="s">
        <v>6964</v>
      </c>
      <c r="B3300" s="27" t="s">
        <v>410</v>
      </c>
      <c r="C3300" s="27" t="s">
        <v>3657</v>
      </c>
      <c r="D3300" s="26" t="s">
        <v>3663</v>
      </c>
      <c r="E3300" s="28">
        <v>46113.0</v>
      </c>
      <c r="F3300" s="28">
        <v>46171.0</v>
      </c>
      <c r="G3300" s="29"/>
    </row>
    <row r="3301" ht="15.75" customHeight="1">
      <c r="A3301" s="30" t="s">
        <v>6965</v>
      </c>
      <c r="B3301" s="31" t="s">
        <v>410</v>
      </c>
      <c r="C3301" s="31" t="s">
        <v>1351</v>
      </c>
      <c r="D3301" s="30" t="s">
        <v>3663</v>
      </c>
      <c r="E3301" s="32">
        <v>46113.0</v>
      </c>
      <c r="F3301" s="32">
        <v>46171.0</v>
      </c>
      <c r="G3301" s="33"/>
    </row>
    <row r="3302" ht="15.75" customHeight="1">
      <c r="A3302" s="26" t="s">
        <v>6966</v>
      </c>
      <c r="B3302" s="27" t="s">
        <v>410</v>
      </c>
      <c r="C3302" s="27" t="s">
        <v>1349</v>
      </c>
      <c r="D3302" s="26" t="s">
        <v>3663</v>
      </c>
      <c r="E3302" s="28">
        <v>46113.0</v>
      </c>
      <c r="F3302" s="28">
        <v>46171.0</v>
      </c>
      <c r="G3302" s="29"/>
    </row>
    <row r="3303" ht="15.75" customHeight="1">
      <c r="A3303" s="30" t="s">
        <v>6967</v>
      </c>
      <c r="B3303" s="31" t="s">
        <v>410</v>
      </c>
      <c r="C3303" s="31" t="s">
        <v>968</v>
      </c>
      <c r="D3303" s="30" t="s">
        <v>3663</v>
      </c>
      <c r="E3303" s="32">
        <v>46113.0</v>
      </c>
      <c r="F3303" s="32">
        <v>46171.0</v>
      </c>
      <c r="G3303" s="33"/>
    </row>
    <row r="3304" ht="15.75" customHeight="1">
      <c r="A3304" s="26" t="s">
        <v>6968</v>
      </c>
      <c r="B3304" s="27" t="s">
        <v>410</v>
      </c>
      <c r="C3304" s="27" t="s">
        <v>923</v>
      </c>
      <c r="D3304" s="26" t="s">
        <v>3663</v>
      </c>
      <c r="E3304" s="28">
        <v>46113.0</v>
      </c>
      <c r="F3304" s="28">
        <v>46171.0</v>
      </c>
      <c r="G3304" s="29"/>
    </row>
    <row r="3305" ht="15.75" customHeight="1">
      <c r="A3305" s="30" t="s">
        <v>6969</v>
      </c>
      <c r="B3305" s="31" t="s">
        <v>411</v>
      </c>
      <c r="C3305" s="31" t="s">
        <v>930</v>
      </c>
      <c r="D3305" s="30" t="s">
        <v>3663</v>
      </c>
      <c r="E3305" s="32">
        <v>46113.0</v>
      </c>
      <c r="F3305" s="32">
        <v>46171.0</v>
      </c>
      <c r="G3305" s="33"/>
    </row>
    <row r="3306" ht="15.75" customHeight="1">
      <c r="A3306" s="26" t="s">
        <v>6970</v>
      </c>
      <c r="B3306" s="27" t="s">
        <v>411</v>
      </c>
      <c r="C3306" s="27" t="s">
        <v>1323</v>
      </c>
      <c r="D3306" s="26" t="s">
        <v>3663</v>
      </c>
      <c r="E3306" s="28">
        <v>46113.0</v>
      </c>
      <c r="F3306" s="28">
        <v>46171.0</v>
      </c>
      <c r="G3306" s="29"/>
    </row>
    <row r="3307" ht="15.75" customHeight="1">
      <c r="A3307" s="30" t="s">
        <v>6971</v>
      </c>
      <c r="B3307" s="31" t="s">
        <v>411</v>
      </c>
      <c r="C3307" s="31" t="s">
        <v>1354</v>
      </c>
      <c r="D3307" s="30" t="s">
        <v>3663</v>
      </c>
      <c r="E3307" s="32">
        <v>46113.0</v>
      </c>
      <c r="F3307" s="32">
        <v>46171.0</v>
      </c>
      <c r="G3307" s="33"/>
    </row>
    <row r="3308" ht="15.75" customHeight="1">
      <c r="A3308" s="26" t="s">
        <v>6972</v>
      </c>
      <c r="B3308" s="27" t="s">
        <v>411</v>
      </c>
      <c r="C3308" s="27" t="s">
        <v>3641</v>
      </c>
      <c r="D3308" s="26" t="s">
        <v>3663</v>
      </c>
      <c r="E3308" s="28">
        <v>46113.0</v>
      </c>
      <c r="F3308" s="28">
        <v>46171.0</v>
      </c>
      <c r="G3308" s="29"/>
    </row>
    <row r="3309" ht="15.75" customHeight="1">
      <c r="A3309" s="30" t="s">
        <v>6973</v>
      </c>
      <c r="B3309" s="31" t="s">
        <v>411</v>
      </c>
      <c r="C3309" s="31" t="s">
        <v>1304</v>
      </c>
      <c r="D3309" s="30" t="s">
        <v>3663</v>
      </c>
      <c r="E3309" s="32">
        <v>46113.0</v>
      </c>
      <c r="F3309" s="32">
        <v>46171.0</v>
      </c>
      <c r="G3309" s="33"/>
    </row>
    <row r="3310" ht="15.75" customHeight="1">
      <c r="A3310" s="26" t="s">
        <v>6974</v>
      </c>
      <c r="B3310" s="27" t="s">
        <v>411</v>
      </c>
      <c r="C3310" s="27" t="s">
        <v>3642</v>
      </c>
      <c r="D3310" s="26" t="s">
        <v>3663</v>
      </c>
      <c r="E3310" s="28">
        <v>46113.0</v>
      </c>
      <c r="F3310" s="28">
        <v>46171.0</v>
      </c>
      <c r="G3310" s="29"/>
    </row>
    <row r="3311" ht="15.75" customHeight="1">
      <c r="A3311" s="30" t="s">
        <v>6975</v>
      </c>
      <c r="B3311" s="31" t="s">
        <v>411</v>
      </c>
      <c r="C3311" s="31" t="s">
        <v>1308</v>
      </c>
      <c r="D3311" s="30" t="s">
        <v>3663</v>
      </c>
      <c r="E3311" s="32">
        <v>46113.0</v>
      </c>
      <c r="F3311" s="32">
        <v>46171.0</v>
      </c>
      <c r="G3311" s="33"/>
    </row>
    <row r="3312" ht="15.75" customHeight="1">
      <c r="A3312" s="26" t="s">
        <v>6976</v>
      </c>
      <c r="B3312" s="27" t="s">
        <v>411</v>
      </c>
      <c r="C3312" s="27" t="s">
        <v>3681</v>
      </c>
      <c r="D3312" s="26" t="s">
        <v>3663</v>
      </c>
      <c r="E3312" s="28">
        <v>46113.0</v>
      </c>
      <c r="F3312" s="28">
        <v>46171.0</v>
      </c>
      <c r="G3312" s="29"/>
    </row>
    <row r="3313" ht="15.75" customHeight="1">
      <c r="A3313" s="30" t="s">
        <v>6977</v>
      </c>
      <c r="B3313" s="31" t="s">
        <v>411</v>
      </c>
      <c r="C3313" s="31" t="s">
        <v>3683</v>
      </c>
      <c r="D3313" s="30" t="s">
        <v>3663</v>
      </c>
      <c r="E3313" s="32">
        <v>46113.0</v>
      </c>
      <c r="F3313" s="32">
        <v>46171.0</v>
      </c>
      <c r="G3313" s="33"/>
    </row>
    <row r="3314" ht="15.75" customHeight="1">
      <c r="A3314" s="26" t="s">
        <v>6978</v>
      </c>
      <c r="B3314" s="27" t="s">
        <v>411</v>
      </c>
      <c r="C3314" s="27" t="s">
        <v>1190</v>
      </c>
      <c r="D3314" s="26" t="s">
        <v>3663</v>
      </c>
      <c r="E3314" s="28">
        <v>46113.0</v>
      </c>
      <c r="F3314" s="28">
        <v>46171.0</v>
      </c>
      <c r="G3314" s="29"/>
    </row>
    <row r="3315" ht="15.75" customHeight="1">
      <c r="A3315" s="30" t="s">
        <v>6979</v>
      </c>
      <c r="B3315" s="31" t="s">
        <v>411</v>
      </c>
      <c r="C3315" s="31" t="s">
        <v>1351</v>
      </c>
      <c r="D3315" s="30" t="s">
        <v>3663</v>
      </c>
      <c r="E3315" s="32">
        <v>46113.0</v>
      </c>
      <c r="F3315" s="32">
        <v>46171.0</v>
      </c>
      <c r="G3315" s="33"/>
    </row>
    <row r="3316" ht="15.75" customHeight="1">
      <c r="A3316" s="26" t="s">
        <v>6980</v>
      </c>
      <c r="B3316" s="27" t="s">
        <v>411</v>
      </c>
      <c r="C3316" s="27" t="s">
        <v>1349</v>
      </c>
      <c r="D3316" s="26" t="s">
        <v>3663</v>
      </c>
      <c r="E3316" s="28">
        <v>46113.0</v>
      </c>
      <c r="F3316" s="28">
        <v>46171.0</v>
      </c>
      <c r="G3316" s="29"/>
    </row>
    <row r="3317" ht="15.75" customHeight="1">
      <c r="A3317" s="30" t="s">
        <v>6981</v>
      </c>
      <c r="B3317" s="31" t="s">
        <v>411</v>
      </c>
      <c r="C3317" s="31" t="s">
        <v>968</v>
      </c>
      <c r="D3317" s="30" t="s">
        <v>3663</v>
      </c>
      <c r="E3317" s="32">
        <v>46113.0</v>
      </c>
      <c r="F3317" s="32">
        <v>46171.0</v>
      </c>
      <c r="G3317" s="33"/>
    </row>
    <row r="3318" ht="15.75" customHeight="1">
      <c r="A3318" s="26" t="s">
        <v>6982</v>
      </c>
      <c r="B3318" s="27" t="s">
        <v>411</v>
      </c>
      <c r="C3318" s="27" t="s">
        <v>923</v>
      </c>
      <c r="D3318" s="26" t="s">
        <v>3663</v>
      </c>
      <c r="E3318" s="28">
        <v>46113.0</v>
      </c>
      <c r="F3318" s="28">
        <v>46171.0</v>
      </c>
      <c r="G3318" s="29"/>
    </row>
    <row r="3319" ht="15.75" customHeight="1">
      <c r="A3319" s="30" t="s">
        <v>6983</v>
      </c>
      <c r="B3319" s="31" t="s">
        <v>412</v>
      </c>
      <c r="C3319" s="31" t="s">
        <v>930</v>
      </c>
      <c r="D3319" s="31" t="s">
        <v>3663</v>
      </c>
      <c r="E3319" s="32">
        <v>46113.0</v>
      </c>
      <c r="F3319" s="32">
        <v>46171.0</v>
      </c>
      <c r="G3319" s="33"/>
    </row>
    <row r="3320" ht="15.75" customHeight="1">
      <c r="A3320" s="26" t="s">
        <v>6984</v>
      </c>
      <c r="B3320" s="27" t="s">
        <v>412</v>
      </c>
      <c r="C3320" s="27" t="s">
        <v>3640</v>
      </c>
      <c r="D3320" s="26" t="s">
        <v>3663</v>
      </c>
      <c r="E3320" s="28">
        <v>46113.0</v>
      </c>
      <c r="F3320" s="28">
        <v>46171.0</v>
      </c>
      <c r="G3320" s="29"/>
    </row>
    <row r="3321" ht="15.75" customHeight="1">
      <c r="A3321" s="30" t="s">
        <v>6985</v>
      </c>
      <c r="B3321" s="31" t="s">
        <v>412</v>
      </c>
      <c r="C3321" s="31" t="s">
        <v>1323</v>
      </c>
      <c r="D3321" s="30" t="s">
        <v>3663</v>
      </c>
      <c r="E3321" s="32">
        <v>46113.0</v>
      </c>
      <c r="F3321" s="32">
        <v>46171.0</v>
      </c>
      <c r="G3321" s="33"/>
    </row>
    <row r="3322" ht="15.75" customHeight="1">
      <c r="A3322" s="26" t="s">
        <v>6986</v>
      </c>
      <c r="B3322" s="27" t="s">
        <v>412</v>
      </c>
      <c r="C3322" s="27" t="s">
        <v>1354</v>
      </c>
      <c r="D3322" s="26" t="s">
        <v>3663</v>
      </c>
      <c r="E3322" s="28">
        <v>46113.0</v>
      </c>
      <c r="F3322" s="28">
        <v>46171.0</v>
      </c>
      <c r="G3322" s="29"/>
    </row>
    <row r="3323" ht="15.75" customHeight="1">
      <c r="A3323" s="30" t="s">
        <v>6987</v>
      </c>
      <c r="B3323" s="31" t="s">
        <v>412</v>
      </c>
      <c r="C3323" s="31" t="s">
        <v>1304</v>
      </c>
      <c r="D3323" s="31" t="s">
        <v>3663</v>
      </c>
      <c r="E3323" s="32">
        <v>46113.0</v>
      </c>
      <c r="F3323" s="32">
        <v>46171.0</v>
      </c>
      <c r="G3323" s="33"/>
    </row>
    <row r="3324" ht="15.75" customHeight="1">
      <c r="A3324" s="26" t="s">
        <v>6988</v>
      </c>
      <c r="B3324" s="27" t="s">
        <v>412</v>
      </c>
      <c r="C3324" s="27" t="s">
        <v>1306</v>
      </c>
      <c r="D3324" s="27" t="s">
        <v>3663</v>
      </c>
      <c r="E3324" s="28">
        <v>46113.0</v>
      </c>
      <c r="F3324" s="28">
        <v>46171.0</v>
      </c>
      <c r="G3324" s="29"/>
    </row>
    <row r="3325" ht="15.75" customHeight="1">
      <c r="A3325" s="30" t="s">
        <v>6989</v>
      </c>
      <c r="B3325" s="31" t="s">
        <v>412</v>
      </c>
      <c r="C3325" s="31" t="s">
        <v>1308</v>
      </c>
      <c r="D3325" s="31" t="s">
        <v>3663</v>
      </c>
      <c r="E3325" s="32">
        <v>46113.0</v>
      </c>
      <c r="F3325" s="32">
        <v>46171.0</v>
      </c>
      <c r="G3325" s="33"/>
    </row>
    <row r="3326" ht="15.75" customHeight="1">
      <c r="A3326" s="26" t="s">
        <v>6990</v>
      </c>
      <c r="B3326" s="27" t="s">
        <v>412</v>
      </c>
      <c r="C3326" s="27" t="s">
        <v>1310</v>
      </c>
      <c r="D3326" s="27" t="s">
        <v>3663</v>
      </c>
      <c r="E3326" s="28">
        <v>46113.0</v>
      </c>
      <c r="F3326" s="28">
        <v>46171.0</v>
      </c>
      <c r="G3326" s="29"/>
    </row>
    <row r="3327" ht="15.75" customHeight="1">
      <c r="A3327" s="30" t="s">
        <v>6991</v>
      </c>
      <c r="B3327" s="31" t="s">
        <v>412</v>
      </c>
      <c r="C3327" s="31" t="s">
        <v>3681</v>
      </c>
      <c r="D3327" s="30" t="s">
        <v>3663</v>
      </c>
      <c r="E3327" s="32">
        <v>46113.0</v>
      </c>
      <c r="F3327" s="32">
        <v>46171.0</v>
      </c>
      <c r="G3327" s="33"/>
    </row>
    <row r="3328" ht="15.75" customHeight="1">
      <c r="A3328" s="26" t="s">
        <v>6992</v>
      </c>
      <c r="B3328" s="27" t="s">
        <v>412</v>
      </c>
      <c r="C3328" s="27" t="s">
        <v>3683</v>
      </c>
      <c r="D3328" s="26" t="s">
        <v>3663</v>
      </c>
      <c r="E3328" s="28">
        <v>46113.0</v>
      </c>
      <c r="F3328" s="28">
        <v>46171.0</v>
      </c>
      <c r="G3328" s="29"/>
    </row>
    <row r="3329" ht="15.75" customHeight="1">
      <c r="A3329" s="30" t="s">
        <v>6993</v>
      </c>
      <c r="B3329" s="31" t="s">
        <v>412</v>
      </c>
      <c r="C3329" s="31" t="s">
        <v>1351</v>
      </c>
      <c r="D3329" s="30" t="s">
        <v>3663</v>
      </c>
      <c r="E3329" s="32">
        <v>46113.0</v>
      </c>
      <c r="F3329" s="32">
        <v>46171.0</v>
      </c>
      <c r="G3329" s="33"/>
    </row>
    <row r="3330" ht="15.75" customHeight="1">
      <c r="A3330" s="26" t="s">
        <v>6994</v>
      </c>
      <c r="B3330" s="27" t="s">
        <v>412</v>
      </c>
      <c r="C3330" s="27" t="s">
        <v>1349</v>
      </c>
      <c r="D3330" s="26" t="s">
        <v>3663</v>
      </c>
      <c r="E3330" s="28">
        <v>46113.0</v>
      </c>
      <c r="F3330" s="28">
        <v>46171.0</v>
      </c>
      <c r="G3330" s="29"/>
    </row>
    <row r="3331" ht="15.75" customHeight="1">
      <c r="A3331" s="30" t="s">
        <v>6995</v>
      </c>
      <c r="B3331" s="31" t="s">
        <v>412</v>
      </c>
      <c r="C3331" s="31" t="s">
        <v>968</v>
      </c>
      <c r="D3331" s="30" t="s">
        <v>3663</v>
      </c>
      <c r="E3331" s="32">
        <v>46113.0</v>
      </c>
      <c r="F3331" s="32">
        <v>46171.0</v>
      </c>
      <c r="G3331" s="33"/>
    </row>
    <row r="3332" ht="15.75" customHeight="1">
      <c r="A3332" s="26" t="s">
        <v>6996</v>
      </c>
      <c r="B3332" s="27" t="s">
        <v>412</v>
      </c>
      <c r="C3332" s="27" t="s">
        <v>923</v>
      </c>
      <c r="D3332" s="27" t="s">
        <v>3663</v>
      </c>
      <c r="E3332" s="28">
        <v>46113.0</v>
      </c>
      <c r="F3332" s="28">
        <v>46171.0</v>
      </c>
      <c r="G3332" s="29"/>
    </row>
    <row r="3333" ht="15.75" customHeight="1">
      <c r="A3333" s="30" t="s">
        <v>6997</v>
      </c>
      <c r="B3333" s="31" t="s">
        <v>413</v>
      </c>
      <c r="C3333" s="31" t="s">
        <v>932</v>
      </c>
      <c r="D3333" s="30" t="s">
        <v>3663</v>
      </c>
      <c r="E3333" s="32">
        <v>46113.0</v>
      </c>
      <c r="F3333" s="32">
        <v>46171.0</v>
      </c>
      <c r="G3333" s="33"/>
    </row>
    <row r="3334" ht="15.75" customHeight="1">
      <c r="A3334" s="26" t="s">
        <v>6998</v>
      </c>
      <c r="B3334" s="27" t="s">
        <v>413</v>
      </c>
      <c r="C3334" s="27" t="s">
        <v>1168</v>
      </c>
      <c r="D3334" s="26" t="s">
        <v>3663</v>
      </c>
      <c r="E3334" s="28">
        <v>46113.0</v>
      </c>
      <c r="F3334" s="28">
        <v>46171.0</v>
      </c>
      <c r="G3334" s="29"/>
    </row>
    <row r="3335" ht="15.75" customHeight="1">
      <c r="A3335" s="30" t="s">
        <v>6999</v>
      </c>
      <c r="B3335" s="31" t="s">
        <v>413</v>
      </c>
      <c r="C3335" s="31" t="s">
        <v>1170</v>
      </c>
      <c r="D3335" s="30" t="s">
        <v>3663</v>
      </c>
      <c r="E3335" s="32">
        <v>46113.0</v>
      </c>
      <c r="F3335" s="32">
        <v>46171.0</v>
      </c>
      <c r="G3335" s="33"/>
    </row>
    <row r="3336" ht="15.75" customHeight="1">
      <c r="A3336" s="26" t="s">
        <v>7000</v>
      </c>
      <c r="B3336" s="27" t="s">
        <v>413</v>
      </c>
      <c r="C3336" s="27" t="s">
        <v>1288</v>
      </c>
      <c r="D3336" s="26" t="s">
        <v>3663</v>
      </c>
      <c r="E3336" s="28">
        <v>46113.0</v>
      </c>
      <c r="F3336" s="28">
        <v>46171.0</v>
      </c>
      <c r="G3336" s="29"/>
    </row>
    <row r="3337" ht="15.75" customHeight="1">
      <c r="A3337" s="30" t="s">
        <v>7001</v>
      </c>
      <c r="B3337" s="31" t="s">
        <v>413</v>
      </c>
      <c r="C3337" s="31" t="s">
        <v>1291</v>
      </c>
      <c r="D3337" s="30" t="s">
        <v>3663</v>
      </c>
      <c r="E3337" s="32">
        <v>46113.0</v>
      </c>
      <c r="F3337" s="32">
        <v>46171.0</v>
      </c>
      <c r="G3337" s="33"/>
    </row>
    <row r="3338" ht="15.75" customHeight="1">
      <c r="A3338" s="26" t="s">
        <v>7002</v>
      </c>
      <c r="B3338" s="27" t="s">
        <v>413</v>
      </c>
      <c r="C3338" s="27" t="s">
        <v>1354</v>
      </c>
      <c r="D3338" s="26" t="s">
        <v>3663</v>
      </c>
      <c r="E3338" s="28">
        <v>46113.0</v>
      </c>
      <c r="F3338" s="28">
        <v>46171.0</v>
      </c>
      <c r="G3338" s="29"/>
    </row>
    <row r="3339" ht="15.75" customHeight="1">
      <c r="A3339" s="30" t="s">
        <v>7003</v>
      </c>
      <c r="B3339" s="31" t="s">
        <v>413</v>
      </c>
      <c r="C3339" s="31" t="s">
        <v>3681</v>
      </c>
      <c r="D3339" s="30" t="s">
        <v>3663</v>
      </c>
      <c r="E3339" s="32">
        <v>46113.0</v>
      </c>
      <c r="F3339" s="32">
        <v>46171.0</v>
      </c>
      <c r="G3339" s="33"/>
    </row>
    <row r="3340" ht="15.75" customHeight="1">
      <c r="A3340" s="26" t="s">
        <v>7004</v>
      </c>
      <c r="B3340" s="27" t="s">
        <v>413</v>
      </c>
      <c r="C3340" s="27" t="s">
        <v>3683</v>
      </c>
      <c r="D3340" s="26" t="s">
        <v>3663</v>
      </c>
      <c r="E3340" s="28">
        <v>46113.0</v>
      </c>
      <c r="F3340" s="28">
        <v>46171.0</v>
      </c>
      <c r="G3340" s="29"/>
    </row>
    <row r="3341" ht="15.75" customHeight="1">
      <c r="A3341" s="30" t="s">
        <v>7005</v>
      </c>
      <c r="B3341" s="31" t="s">
        <v>413</v>
      </c>
      <c r="C3341" s="31" t="s">
        <v>1159</v>
      </c>
      <c r="D3341" s="30" t="s">
        <v>3663</v>
      </c>
      <c r="E3341" s="32">
        <v>46113.0</v>
      </c>
      <c r="F3341" s="32">
        <v>46171.0</v>
      </c>
      <c r="G3341" s="33"/>
    </row>
    <row r="3342" ht="15.75" customHeight="1">
      <c r="A3342" s="26" t="s">
        <v>7006</v>
      </c>
      <c r="B3342" s="27" t="s">
        <v>413</v>
      </c>
      <c r="C3342" s="27" t="s">
        <v>1351</v>
      </c>
      <c r="D3342" s="26" t="s">
        <v>3663</v>
      </c>
      <c r="E3342" s="28">
        <v>46113.0</v>
      </c>
      <c r="F3342" s="28">
        <v>46171.0</v>
      </c>
      <c r="G3342" s="29"/>
    </row>
    <row r="3343" ht="15.75" customHeight="1">
      <c r="A3343" s="30" t="s">
        <v>7007</v>
      </c>
      <c r="B3343" s="31" t="s">
        <v>413</v>
      </c>
      <c r="C3343" s="31" t="s">
        <v>1349</v>
      </c>
      <c r="D3343" s="30" t="s">
        <v>3663</v>
      </c>
      <c r="E3343" s="32">
        <v>46113.0</v>
      </c>
      <c r="F3343" s="32">
        <v>46171.0</v>
      </c>
      <c r="G3343" s="33"/>
    </row>
    <row r="3344" ht="15.75" customHeight="1">
      <c r="A3344" s="26" t="s">
        <v>7008</v>
      </c>
      <c r="B3344" s="27" t="s">
        <v>413</v>
      </c>
      <c r="C3344" s="27" t="s">
        <v>968</v>
      </c>
      <c r="D3344" s="26" t="s">
        <v>3663</v>
      </c>
      <c r="E3344" s="28">
        <v>46113.0</v>
      </c>
      <c r="F3344" s="28">
        <v>46171.0</v>
      </c>
      <c r="G3344" s="29"/>
    </row>
    <row r="3345" ht="15.75" customHeight="1">
      <c r="A3345" s="30" t="s">
        <v>7009</v>
      </c>
      <c r="B3345" s="31" t="s">
        <v>413</v>
      </c>
      <c r="C3345" s="31" t="s">
        <v>923</v>
      </c>
      <c r="D3345" s="30" t="s">
        <v>3663</v>
      </c>
      <c r="E3345" s="32">
        <v>46113.0</v>
      </c>
      <c r="F3345" s="32">
        <v>46171.0</v>
      </c>
      <c r="G3345" s="33"/>
    </row>
    <row r="3346" ht="15.75" customHeight="1">
      <c r="A3346" s="26" t="s">
        <v>7010</v>
      </c>
      <c r="B3346" s="27" t="s">
        <v>413</v>
      </c>
      <c r="C3346" s="27" t="s">
        <v>955</v>
      </c>
      <c r="D3346" s="26" t="s">
        <v>3663</v>
      </c>
      <c r="E3346" s="28">
        <v>46113.0</v>
      </c>
      <c r="F3346" s="28">
        <v>46171.0</v>
      </c>
      <c r="G3346" s="29"/>
    </row>
    <row r="3347" ht="15.75" customHeight="1">
      <c r="A3347" s="30" t="s">
        <v>7011</v>
      </c>
      <c r="B3347" s="31" t="s">
        <v>414</v>
      </c>
      <c r="C3347" s="31" t="s">
        <v>3654</v>
      </c>
      <c r="D3347" s="30" t="s">
        <v>3663</v>
      </c>
      <c r="E3347" s="32">
        <v>46113.0</v>
      </c>
      <c r="F3347" s="32">
        <v>46171.0</v>
      </c>
      <c r="G3347" s="33"/>
    </row>
    <row r="3348" ht="15.75" customHeight="1">
      <c r="A3348" s="26" t="s">
        <v>7012</v>
      </c>
      <c r="B3348" s="27" t="s">
        <v>414</v>
      </c>
      <c r="C3348" s="27" t="s">
        <v>3655</v>
      </c>
      <c r="D3348" s="26" t="s">
        <v>3663</v>
      </c>
      <c r="E3348" s="28">
        <v>46113.0</v>
      </c>
      <c r="F3348" s="28">
        <v>46171.0</v>
      </c>
      <c r="G3348" s="29"/>
    </row>
    <row r="3349" ht="15.75" customHeight="1">
      <c r="A3349" s="30" t="s">
        <v>7013</v>
      </c>
      <c r="B3349" s="31" t="s">
        <v>414</v>
      </c>
      <c r="C3349" s="31" t="s">
        <v>930</v>
      </c>
      <c r="D3349" s="30" t="s">
        <v>3663</v>
      </c>
      <c r="E3349" s="32">
        <v>46113.0</v>
      </c>
      <c r="F3349" s="32">
        <v>46171.0</v>
      </c>
      <c r="G3349" s="33"/>
    </row>
    <row r="3350" ht="15.75" customHeight="1">
      <c r="A3350" s="26" t="s">
        <v>7014</v>
      </c>
      <c r="B3350" s="27" t="s">
        <v>414</v>
      </c>
      <c r="C3350" s="27" t="s">
        <v>1354</v>
      </c>
      <c r="D3350" s="26" t="s">
        <v>3663</v>
      </c>
      <c r="E3350" s="28">
        <v>46113.0</v>
      </c>
      <c r="F3350" s="28">
        <v>46171.0</v>
      </c>
      <c r="G3350" s="29"/>
    </row>
    <row r="3351" ht="15.75" customHeight="1">
      <c r="A3351" s="30" t="s">
        <v>7015</v>
      </c>
      <c r="B3351" s="31" t="s">
        <v>414</v>
      </c>
      <c r="C3351" s="31" t="s">
        <v>3641</v>
      </c>
      <c r="D3351" s="30" t="s">
        <v>3663</v>
      </c>
      <c r="E3351" s="32">
        <v>46113.0</v>
      </c>
      <c r="F3351" s="32">
        <v>46171.0</v>
      </c>
      <c r="G3351" s="33"/>
    </row>
    <row r="3352" ht="15.75" customHeight="1">
      <c r="A3352" s="26" t="s">
        <v>7016</v>
      </c>
      <c r="B3352" s="27" t="s">
        <v>414</v>
      </c>
      <c r="C3352" s="27" t="s">
        <v>1304</v>
      </c>
      <c r="D3352" s="26" t="s">
        <v>3663</v>
      </c>
      <c r="E3352" s="28">
        <v>46113.0</v>
      </c>
      <c r="F3352" s="28">
        <v>46171.0</v>
      </c>
      <c r="G3352" s="29"/>
    </row>
    <row r="3353" ht="15.75" customHeight="1">
      <c r="A3353" s="30" t="s">
        <v>7017</v>
      </c>
      <c r="B3353" s="31" t="s">
        <v>414</v>
      </c>
      <c r="C3353" s="31" t="s">
        <v>3642</v>
      </c>
      <c r="D3353" s="30" t="s">
        <v>3663</v>
      </c>
      <c r="E3353" s="32">
        <v>46113.0</v>
      </c>
      <c r="F3353" s="32">
        <v>46171.0</v>
      </c>
      <c r="G3353" s="33"/>
    </row>
    <row r="3354" ht="15.75" customHeight="1">
      <c r="A3354" s="26" t="s">
        <v>7018</v>
      </c>
      <c r="B3354" s="27" t="s">
        <v>414</v>
      </c>
      <c r="C3354" s="27" t="s">
        <v>1308</v>
      </c>
      <c r="D3354" s="26" t="s">
        <v>3663</v>
      </c>
      <c r="E3354" s="28">
        <v>46113.0</v>
      </c>
      <c r="F3354" s="28">
        <v>46171.0</v>
      </c>
      <c r="G3354" s="29"/>
    </row>
    <row r="3355" ht="15.75" customHeight="1">
      <c r="A3355" s="30" t="s">
        <v>7019</v>
      </c>
      <c r="B3355" s="31" t="s">
        <v>414</v>
      </c>
      <c r="C3355" s="31" t="s">
        <v>1312</v>
      </c>
      <c r="D3355" s="30" t="s">
        <v>3663</v>
      </c>
      <c r="E3355" s="32">
        <v>46113.0</v>
      </c>
      <c r="F3355" s="32">
        <v>46171.0</v>
      </c>
      <c r="G3355" s="33"/>
    </row>
    <row r="3356" ht="15.75" customHeight="1">
      <c r="A3356" s="26" t="s">
        <v>7020</v>
      </c>
      <c r="B3356" s="27" t="s">
        <v>414</v>
      </c>
      <c r="C3356" s="27" t="s">
        <v>1208</v>
      </c>
      <c r="D3356" s="26" t="s">
        <v>3663</v>
      </c>
      <c r="E3356" s="28">
        <v>46113.0</v>
      </c>
      <c r="F3356" s="28">
        <v>46171.0</v>
      </c>
      <c r="G3356" s="29"/>
    </row>
    <row r="3357" ht="15.75" customHeight="1">
      <c r="A3357" s="30" t="s">
        <v>7021</v>
      </c>
      <c r="B3357" s="31" t="s">
        <v>414</v>
      </c>
      <c r="C3357" s="31" t="s">
        <v>1351</v>
      </c>
      <c r="D3357" s="30" t="s">
        <v>3663</v>
      </c>
      <c r="E3357" s="32">
        <v>46113.0</v>
      </c>
      <c r="F3357" s="32">
        <v>46171.0</v>
      </c>
      <c r="G3357" s="33"/>
    </row>
    <row r="3358" ht="15.75" customHeight="1">
      <c r="A3358" s="26" t="s">
        <v>7022</v>
      </c>
      <c r="B3358" s="27" t="s">
        <v>414</v>
      </c>
      <c r="C3358" s="27" t="s">
        <v>1349</v>
      </c>
      <c r="D3358" s="26" t="s">
        <v>3663</v>
      </c>
      <c r="E3358" s="28">
        <v>46113.0</v>
      </c>
      <c r="F3358" s="28">
        <v>46171.0</v>
      </c>
      <c r="G3358" s="29"/>
    </row>
    <row r="3359" ht="15.75" customHeight="1">
      <c r="A3359" s="30" t="s">
        <v>7023</v>
      </c>
      <c r="B3359" s="31" t="s">
        <v>414</v>
      </c>
      <c r="C3359" s="31" t="s">
        <v>968</v>
      </c>
      <c r="D3359" s="30" t="s">
        <v>3663</v>
      </c>
      <c r="E3359" s="32">
        <v>46113.0</v>
      </c>
      <c r="F3359" s="32">
        <v>46171.0</v>
      </c>
      <c r="G3359" s="33"/>
    </row>
    <row r="3360" ht="15.75" customHeight="1">
      <c r="A3360" s="26" t="s">
        <v>7024</v>
      </c>
      <c r="B3360" s="27" t="s">
        <v>414</v>
      </c>
      <c r="C3360" s="27" t="s">
        <v>923</v>
      </c>
      <c r="D3360" s="26" t="s">
        <v>3663</v>
      </c>
      <c r="E3360" s="28">
        <v>46113.0</v>
      </c>
      <c r="F3360" s="28">
        <v>46171.0</v>
      </c>
      <c r="G3360" s="29"/>
    </row>
    <row r="3361" ht="15.75" customHeight="1">
      <c r="A3361" s="30" t="s">
        <v>7025</v>
      </c>
      <c r="B3361" s="31" t="s">
        <v>415</v>
      </c>
      <c r="C3361" s="31" t="s">
        <v>934</v>
      </c>
      <c r="D3361" s="30" t="s">
        <v>3663</v>
      </c>
      <c r="E3361" s="32">
        <v>46113.0</v>
      </c>
      <c r="F3361" s="32">
        <v>46171.0</v>
      </c>
      <c r="G3361" s="33"/>
    </row>
    <row r="3362" ht="15.75" customHeight="1">
      <c r="A3362" s="26" t="s">
        <v>7026</v>
      </c>
      <c r="B3362" s="27" t="s">
        <v>415</v>
      </c>
      <c r="C3362" s="27" t="s">
        <v>1354</v>
      </c>
      <c r="D3362" s="26" t="s">
        <v>3663</v>
      </c>
      <c r="E3362" s="28">
        <v>46113.0</v>
      </c>
      <c r="F3362" s="28">
        <v>46171.0</v>
      </c>
      <c r="G3362" s="29"/>
    </row>
    <row r="3363" ht="15.75" customHeight="1">
      <c r="A3363" s="30" t="s">
        <v>7027</v>
      </c>
      <c r="B3363" s="31" t="s">
        <v>415</v>
      </c>
      <c r="C3363" s="31" t="s">
        <v>1312</v>
      </c>
      <c r="D3363" s="30" t="s">
        <v>3663</v>
      </c>
      <c r="E3363" s="32">
        <v>46113.0</v>
      </c>
      <c r="F3363" s="32">
        <v>46171.0</v>
      </c>
      <c r="G3363" s="33"/>
    </row>
    <row r="3364" ht="15.75" customHeight="1">
      <c r="A3364" s="26" t="s">
        <v>7028</v>
      </c>
      <c r="B3364" s="27" t="s">
        <v>415</v>
      </c>
      <c r="C3364" s="27" t="s">
        <v>1208</v>
      </c>
      <c r="D3364" s="26" t="s">
        <v>3663</v>
      </c>
      <c r="E3364" s="28">
        <v>46113.0</v>
      </c>
      <c r="F3364" s="28">
        <v>46171.0</v>
      </c>
      <c r="G3364" s="29"/>
    </row>
    <row r="3365" ht="15.75" customHeight="1">
      <c r="A3365" s="30" t="s">
        <v>7029</v>
      </c>
      <c r="B3365" s="31" t="s">
        <v>415</v>
      </c>
      <c r="C3365" s="31" t="s">
        <v>1157</v>
      </c>
      <c r="D3365" s="30" t="s">
        <v>3663</v>
      </c>
      <c r="E3365" s="32">
        <v>46113.0</v>
      </c>
      <c r="F3365" s="32">
        <v>46171.0</v>
      </c>
      <c r="G3365" s="33"/>
    </row>
    <row r="3366" ht="15.75" customHeight="1">
      <c r="A3366" s="26" t="s">
        <v>7030</v>
      </c>
      <c r="B3366" s="27" t="s">
        <v>415</v>
      </c>
      <c r="C3366" s="27" t="s">
        <v>1155</v>
      </c>
      <c r="D3366" s="26" t="s">
        <v>3663</v>
      </c>
      <c r="E3366" s="28">
        <v>46113.0</v>
      </c>
      <c r="F3366" s="28">
        <v>46171.0</v>
      </c>
      <c r="G3366" s="29"/>
    </row>
    <row r="3367" ht="15.75" customHeight="1">
      <c r="A3367" s="30" t="s">
        <v>7031</v>
      </c>
      <c r="B3367" s="31" t="s">
        <v>415</v>
      </c>
      <c r="C3367" s="31" t="s">
        <v>1153</v>
      </c>
      <c r="D3367" s="30" t="s">
        <v>3663</v>
      </c>
      <c r="E3367" s="32">
        <v>46113.0</v>
      </c>
      <c r="F3367" s="32">
        <v>46171.0</v>
      </c>
      <c r="G3367" s="33"/>
    </row>
    <row r="3368" ht="15.75" customHeight="1">
      <c r="A3368" s="26" t="s">
        <v>7032</v>
      </c>
      <c r="B3368" s="27" t="s">
        <v>415</v>
      </c>
      <c r="C3368" s="27" t="s">
        <v>1149</v>
      </c>
      <c r="D3368" s="26" t="s">
        <v>3663</v>
      </c>
      <c r="E3368" s="28">
        <v>46113.0</v>
      </c>
      <c r="F3368" s="28">
        <v>46171.0</v>
      </c>
      <c r="G3368" s="29"/>
    </row>
    <row r="3369" ht="15.75" customHeight="1">
      <c r="A3369" s="30" t="s">
        <v>7033</v>
      </c>
      <c r="B3369" s="31" t="s">
        <v>415</v>
      </c>
      <c r="C3369" s="31" t="s">
        <v>1351</v>
      </c>
      <c r="D3369" s="30" t="s">
        <v>3663</v>
      </c>
      <c r="E3369" s="32">
        <v>46113.0</v>
      </c>
      <c r="F3369" s="32">
        <v>46171.0</v>
      </c>
      <c r="G3369" s="33"/>
    </row>
    <row r="3370" ht="15.75" customHeight="1">
      <c r="A3370" s="26" t="s">
        <v>7034</v>
      </c>
      <c r="B3370" s="27" t="s">
        <v>415</v>
      </c>
      <c r="C3370" s="27" t="s">
        <v>1349</v>
      </c>
      <c r="D3370" s="26" t="s">
        <v>3663</v>
      </c>
      <c r="E3370" s="28">
        <v>46113.0</v>
      </c>
      <c r="F3370" s="28">
        <v>46171.0</v>
      </c>
      <c r="G3370" s="29"/>
    </row>
    <row r="3371" ht="15.75" customHeight="1">
      <c r="A3371" s="30" t="s">
        <v>7035</v>
      </c>
      <c r="B3371" s="31" t="s">
        <v>415</v>
      </c>
      <c r="C3371" s="31" t="s">
        <v>3653</v>
      </c>
      <c r="D3371" s="31" t="s">
        <v>3663</v>
      </c>
      <c r="E3371" s="32">
        <v>46113.0</v>
      </c>
      <c r="F3371" s="32">
        <v>46171.0</v>
      </c>
      <c r="G3371" s="33"/>
    </row>
    <row r="3372" ht="15.75" customHeight="1">
      <c r="A3372" s="26" t="s">
        <v>7036</v>
      </c>
      <c r="B3372" s="27" t="s">
        <v>415</v>
      </c>
      <c r="C3372" s="27" t="s">
        <v>3652</v>
      </c>
      <c r="D3372" s="26" t="s">
        <v>3663</v>
      </c>
      <c r="E3372" s="28">
        <v>46113.0</v>
      </c>
      <c r="F3372" s="28">
        <v>46171.0</v>
      </c>
      <c r="G3372" s="29"/>
    </row>
    <row r="3373" ht="15.75" customHeight="1">
      <c r="A3373" s="30" t="s">
        <v>7037</v>
      </c>
      <c r="B3373" s="31" t="s">
        <v>415</v>
      </c>
      <c r="C3373" s="31" t="s">
        <v>968</v>
      </c>
      <c r="D3373" s="30" t="s">
        <v>3663</v>
      </c>
      <c r="E3373" s="32">
        <v>46113.0</v>
      </c>
      <c r="F3373" s="32">
        <v>46171.0</v>
      </c>
      <c r="G3373" s="33"/>
    </row>
    <row r="3374" ht="15.75" customHeight="1">
      <c r="A3374" s="26" t="s">
        <v>7038</v>
      </c>
      <c r="B3374" s="27" t="s">
        <v>415</v>
      </c>
      <c r="C3374" s="27" t="s">
        <v>923</v>
      </c>
      <c r="D3374" s="26" t="s">
        <v>3663</v>
      </c>
      <c r="E3374" s="28">
        <v>46113.0</v>
      </c>
      <c r="F3374" s="28">
        <v>46171.0</v>
      </c>
      <c r="G3374" s="29"/>
    </row>
    <row r="3375" ht="15.75" customHeight="1">
      <c r="A3375" s="30" t="s">
        <v>7039</v>
      </c>
      <c r="B3375" s="31" t="s">
        <v>416</v>
      </c>
      <c r="C3375" s="31" t="s">
        <v>3654</v>
      </c>
      <c r="D3375" s="30" t="s">
        <v>3663</v>
      </c>
      <c r="E3375" s="32">
        <v>46113.0</v>
      </c>
      <c r="F3375" s="32">
        <v>46171.0</v>
      </c>
      <c r="G3375" s="33"/>
    </row>
    <row r="3376" ht="15.75" customHeight="1">
      <c r="A3376" s="26" t="s">
        <v>7040</v>
      </c>
      <c r="B3376" s="27" t="s">
        <v>416</v>
      </c>
      <c r="C3376" s="27" t="s">
        <v>3655</v>
      </c>
      <c r="D3376" s="26" t="s">
        <v>3663</v>
      </c>
      <c r="E3376" s="28">
        <v>46113.0</v>
      </c>
      <c r="F3376" s="28">
        <v>46171.0</v>
      </c>
      <c r="G3376" s="29"/>
    </row>
    <row r="3377" ht="15.75" customHeight="1">
      <c r="A3377" s="30" t="s">
        <v>7041</v>
      </c>
      <c r="B3377" s="31" t="s">
        <v>416</v>
      </c>
      <c r="C3377" s="31" t="s">
        <v>930</v>
      </c>
      <c r="D3377" s="30" t="s">
        <v>3663</v>
      </c>
      <c r="E3377" s="32">
        <v>46113.0</v>
      </c>
      <c r="F3377" s="32">
        <v>46171.0</v>
      </c>
      <c r="G3377" s="33"/>
    </row>
    <row r="3378" ht="15.75" customHeight="1">
      <c r="A3378" s="26" t="s">
        <v>7042</v>
      </c>
      <c r="B3378" s="27" t="s">
        <v>416</v>
      </c>
      <c r="C3378" s="27" t="s">
        <v>1354</v>
      </c>
      <c r="D3378" s="26" t="s">
        <v>3663</v>
      </c>
      <c r="E3378" s="28">
        <v>46113.0</v>
      </c>
      <c r="F3378" s="28">
        <v>46171.0</v>
      </c>
      <c r="G3378" s="29"/>
    </row>
    <row r="3379" ht="15.75" customHeight="1">
      <c r="A3379" s="30" t="s">
        <v>7043</v>
      </c>
      <c r="B3379" s="31" t="s">
        <v>416</v>
      </c>
      <c r="C3379" s="31" t="s">
        <v>3641</v>
      </c>
      <c r="D3379" s="30" t="s">
        <v>3663</v>
      </c>
      <c r="E3379" s="32">
        <v>46113.0</v>
      </c>
      <c r="F3379" s="32">
        <v>46171.0</v>
      </c>
      <c r="G3379" s="33"/>
    </row>
    <row r="3380" ht="15.75" customHeight="1">
      <c r="A3380" s="26" t="s">
        <v>7044</v>
      </c>
      <c r="B3380" s="27" t="s">
        <v>416</v>
      </c>
      <c r="C3380" s="27" t="s">
        <v>1304</v>
      </c>
      <c r="D3380" s="26" t="s">
        <v>3663</v>
      </c>
      <c r="E3380" s="28">
        <v>46113.0</v>
      </c>
      <c r="F3380" s="28">
        <v>46171.0</v>
      </c>
      <c r="G3380" s="29"/>
    </row>
    <row r="3381" ht="15.75" customHeight="1">
      <c r="A3381" s="30" t="s">
        <v>7045</v>
      </c>
      <c r="B3381" s="31" t="s">
        <v>416</v>
      </c>
      <c r="C3381" s="31" t="s">
        <v>3642</v>
      </c>
      <c r="D3381" s="30" t="s">
        <v>3663</v>
      </c>
      <c r="E3381" s="32">
        <v>46113.0</v>
      </c>
      <c r="F3381" s="32">
        <v>46171.0</v>
      </c>
      <c r="G3381" s="33"/>
    </row>
    <row r="3382" ht="15.75" customHeight="1">
      <c r="A3382" s="26" t="s">
        <v>7046</v>
      </c>
      <c r="B3382" s="27" t="s">
        <v>416</v>
      </c>
      <c r="C3382" s="27" t="s">
        <v>1308</v>
      </c>
      <c r="D3382" s="26" t="s">
        <v>3663</v>
      </c>
      <c r="E3382" s="28">
        <v>46113.0</v>
      </c>
      <c r="F3382" s="28">
        <v>46171.0</v>
      </c>
      <c r="G3382" s="29"/>
    </row>
    <row r="3383" ht="15.75" customHeight="1">
      <c r="A3383" s="30" t="s">
        <v>7047</v>
      </c>
      <c r="B3383" s="31" t="s">
        <v>416</v>
      </c>
      <c r="C3383" s="31" t="s">
        <v>1208</v>
      </c>
      <c r="D3383" s="30" t="s">
        <v>3663</v>
      </c>
      <c r="E3383" s="32">
        <v>46113.0</v>
      </c>
      <c r="F3383" s="32">
        <v>46171.0</v>
      </c>
      <c r="G3383" s="33"/>
    </row>
    <row r="3384" ht="15.75" customHeight="1">
      <c r="A3384" s="26" t="s">
        <v>7048</v>
      </c>
      <c r="B3384" s="27" t="s">
        <v>416</v>
      </c>
      <c r="C3384" s="27" t="s">
        <v>1351</v>
      </c>
      <c r="D3384" s="26" t="s">
        <v>3663</v>
      </c>
      <c r="E3384" s="28">
        <v>46113.0</v>
      </c>
      <c r="F3384" s="28">
        <v>46171.0</v>
      </c>
      <c r="G3384" s="29"/>
    </row>
    <row r="3385" ht="15.75" customHeight="1">
      <c r="A3385" s="30" t="s">
        <v>7049</v>
      </c>
      <c r="B3385" s="31" t="s">
        <v>416</v>
      </c>
      <c r="C3385" s="31" t="s">
        <v>1349</v>
      </c>
      <c r="D3385" s="30" t="s">
        <v>3663</v>
      </c>
      <c r="E3385" s="32">
        <v>46113.0</v>
      </c>
      <c r="F3385" s="32">
        <v>46171.0</v>
      </c>
      <c r="G3385" s="33"/>
    </row>
    <row r="3386" ht="15.75" customHeight="1">
      <c r="A3386" s="26" t="s">
        <v>7050</v>
      </c>
      <c r="B3386" s="27" t="s">
        <v>416</v>
      </c>
      <c r="C3386" s="27" t="s">
        <v>968</v>
      </c>
      <c r="D3386" s="26" t="s">
        <v>3663</v>
      </c>
      <c r="E3386" s="28">
        <v>46113.0</v>
      </c>
      <c r="F3386" s="28">
        <v>46171.0</v>
      </c>
      <c r="G3386" s="29"/>
    </row>
    <row r="3387" ht="15.75" customHeight="1">
      <c r="A3387" s="30" t="s">
        <v>7051</v>
      </c>
      <c r="B3387" s="31" t="s">
        <v>416</v>
      </c>
      <c r="C3387" s="31" t="s">
        <v>923</v>
      </c>
      <c r="D3387" s="30" t="s">
        <v>3663</v>
      </c>
      <c r="E3387" s="32">
        <v>46113.0</v>
      </c>
      <c r="F3387" s="32">
        <v>46171.0</v>
      </c>
      <c r="G3387" s="33"/>
    </row>
    <row r="3388" ht="15.75" customHeight="1">
      <c r="A3388" s="26" t="s">
        <v>7052</v>
      </c>
      <c r="B3388" s="27" t="s">
        <v>416</v>
      </c>
      <c r="C3388" s="27" t="s">
        <v>963</v>
      </c>
      <c r="D3388" s="26" t="s">
        <v>3663</v>
      </c>
      <c r="E3388" s="28">
        <v>46113.0</v>
      </c>
      <c r="F3388" s="28">
        <v>46171.0</v>
      </c>
      <c r="G3388" s="29"/>
    </row>
    <row r="3389" ht="15.75" customHeight="1">
      <c r="A3389" s="30" t="s">
        <v>7053</v>
      </c>
      <c r="B3389" s="31" t="s">
        <v>2505</v>
      </c>
      <c r="C3389" s="31" t="s">
        <v>934</v>
      </c>
      <c r="D3389" s="30" t="s">
        <v>3663</v>
      </c>
      <c r="E3389" s="32">
        <v>46113.0</v>
      </c>
      <c r="F3389" s="32">
        <v>46171.0</v>
      </c>
      <c r="G3389" s="33"/>
    </row>
    <row r="3390" ht="15.75" customHeight="1">
      <c r="A3390" s="26" t="s">
        <v>7054</v>
      </c>
      <c r="B3390" s="27" t="s">
        <v>2505</v>
      </c>
      <c r="C3390" s="27" t="s">
        <v>1354</v>
      </c>
      <c r="D3390" s="26" t="s">
        <v>3663</v>
      </c>
      <c r="E3390" s="28">
        <v>46113.0</v>
      </c>
      <c r="F3390" s="28">
        <v>46171.0</v>
      </c>
      <c r="G3390" s="29"/>
    </row>
    <row r="3391" ht="15.75" customHeight="1">
      <c r="A3391" s="30" t="s">
        <v>7055</v>
      </c>
      <c r="B3391" s="31" t="s">
        <v>2505</v>
      </c>
      <c r="C3391" s="31" t="s">
        <v>3656</v>
      </c>
      <c r="D3391" s="30" t="s">
        <v>3663</v>
      </c>
      <c r="E3391" s="32">
        <v>46113.0</v>
      </c>
      <c r="F3391" s="32">
        <v>46171.0</v>
      </c>
      <c r="G3391" s="33"/>
    </row>
    <row r="3392" ht="15.75" customHeight="1">
      <c r="A3392" s="26" t="s">
        <v>7056</v>
      </c>
      <c r="B3392" s="27" t="s">
        <v>2505</v>
      </c>
      <c r="C3392" s="27" t="s">
        <v>3657</v>
      </c>
      <c r="D3392" s="26" t="s">
        <v>3663</v>
      </c>
      <c r="E3392" s="28">
        <v>46113.0</v>
      </c>
      <c r="F3392" s="28">
        <v>46171.0</v>
      </c>
      <c r="G3392" s="29"/>
    </row>
    <row r="3393" ht="15.75" customHeight="1">
      <c r="A3393" s="30" t="s">
        <v>7057</v>
      </c>
      <c r="B3393" s="31" t="s">
        <v>2505</v>
      </c>
      <c r="C3393" s="31" t="s">
        <v>3647</v>
      </c>
      <c r="D3393" s="30" t="s">
        <v>3663</v>
      </c>
      <c r="E3393" s="32">
        <v>46113.0</v>
      </c>
      <c r="F3393" s="32">
        <v>46171.0</v>
      </c>
      <c r="G3393" s="33"/>
    </row>
    <row r="3394" ht="15.75" customHeight="1">
      <c r="A3394" s="26" t="s">
        <v>7058</v>
      </c>
      <c r="B3394" s="27" t="s">
        <v>2505</v>
      </c>
      <c r="C3394" s="27" t="s">
        <v>952</v>
      </c>
      <c r="D3394" s="26" t="s">
        <v>3663</v>
      </c>
      <c r="E3394" s="28">
        <v>46113.0</v>
      </c>
      <c r="F3394" s="28">
        <v>46171.0</v>
      </c>
      <c r="G3394" s="29"/>
    </row>
    <row r="3395" ht="15.75" customHeight="1">
      <c r="A3395" s="30" t="s">
        <v>7059</v>
      </c>
      <c r="B3395" s="31" t="s">
        <v>2505</v>
      </c>
      <c r="C3395" s="31" t="s">
        <v>1157</v>
      </c>
      <c r="D3395" s="30" t="s">
        <v>3663</v>
      </c>
      <c r="E3395" s="32">
        <v>46113.0</v>
      </c>
      <c r="F3395" s="32">
        <v>46171.0</v>
      </c>
      <c r="G3395" s="33"/>
    </row>
    <row r="3396" ht="15.75" customHeight="1">
      <c r="A3396" s="26" t="s">
        <v>7060</v>
      </c>
      <c r="B3396" s="27" t="s">
        <v>2505</v>
      </c>
      <c r="C3396" s="27" t="s">
        <v>1155</v>
      </c>
      <c r="D3396" s="26" t="s">
        <v>3663</v>
      </c>
      <c r="E3396" s="28">
        <v>46113.0</v>
      </c>
      <c r="F3396" s="28">
        <v>46171.0</v>
      </c>
      <c r="G3396" s="29"/>
    </row>
    <row r="3397" ht="15.75" customHeight="1">
      <c r="A3397" s="30" t="s">
        <v>7061</v>
      </c>
      <c r="B3397" s="31" t="s">
        <v>2505</v>
      </c>
      <c r="C3397" s="31" t="s">
        <v>1153</v>
      </c>
      <c r="D3397" s="30" t="s">
        <v>3663</v>
      </c>
      <c r="E3397" s="32">
        <v>46113.0</v>
      </c>
      <c r="F3397" s="32">
        <v>46171.0</v>
      </c>
      <c r="G3397" s="33"/>
    </row>
    <row r="3398" ht="15.75" customHeight="1">
      <c r="A3398" s="26" t="s">
        <v>7062</v>
      </c>
      <c r="B3398" s="27" t="s">
        <v>2505</v>
      </c>
      <c r="C3398" s="27" t="s">
        <v>1149</v>
      </c>
      <c r="D3398" s="26" t="s">
        <v>3663</v>
      </c>
      <c r="E3398" s="28">
        <v>46113.0</v>
      </c>
      <c r="F3398" s="28">
        <v>46171.0</v>
      </c>
      <c r="G3398" s="29"/>
    </row>
    <row r="3399" ht="15.75" customHeight="1">
      <c r="A3399" s="30" t="s">
        <v>7063</v>
      </c>
      <c r="B3399" s="31" t="s">
        <v>2505</v>
      </c>
      <c r="C3399" s="31" t="s">
        <v>968</v>
      </c>
      <c r="D3399" s="30" t="s">
        <v>3663</v>
      </c>
      <c r="E3399" s="32">
        <v>46113.0</v>
      </c>
      <c r="F3399" s="32">
        <v>46171.0</v>
      </c>
      <c r="G3399" s="33"/>
    </row>
    <row r="3400" ht="15.75" customHeight="1">
      <c r="A3400" s="26" t="s">
        <v>7064</v>
      </c>
      <c r="B3400" s="27" t="s">
        <v>2505</v>
      </c>
      <c r="C3400" s="27" t="s">
        <v>923</v>
      </c>
      <c r="D3400" s="26" t="s">
        <v>3663</v>
      </c>
      <c r="E3400" s="28">
        <v>46113.0</v>
      </c>
      <c r="F3400" s="28">
        <v>46171.0</v>
      </c>
      <c r="G3400" s="29"/>
    </row>
    <row r="3401" ht="15.75" customHeight="1">
      <c r="A3401" s="30" t="s">
        <v>7065</v>
      </c>
      <c r="B3401" s="31" t="s">
        <v>2505</v>
      </c>
      <c r="C3401" s="31" t="s">
        <v>961</v>
      </c>
      <c r="D3401" s="30" t="s">
        <v>3663</v>
      </c>
      <c r="E3401" s="32">
        <v>46113.0</v>
      </c>
      <c r="F3401" s="32">
        <v>46171.0</v>
      </c>
      <c r="G3401" s="33"/>
    </row>
    <row r="3402" ht="15.75" customHeight="1">
      <c r="A3402" s="26" t="s">
        <v>7066</v>
      </c>
      <c r="B3402" s="27" t="s">
        <v>2505</v>
      </c>
      <c r="C3402" s="27" t="s">
        <v>955</v>
      </c>
      <c r="D3402" s="26" t="s">
        <v>3663</v>
      </c>
      <c r="E3402" s="28">
        <v>46113.0</v>
      </c>
      <c r="F3402" s="28">
        <v>46171.0</v>
      </c>
      <c r="G3402" s="29"/>
    </row>
    <row r="3403" ht="15.75" customHeight="1">
      <c r="A3403" s="30" t="s">
        <v>7067</v>
      </c>
      <c r="B3403" s="31" t="s">
        <v>417</v>
      </c>
      <c r="C3403" s="31" t="s">
        <v>3654</v>
      </c>
      <c r="D3403" s="30" t="s">
        <v>3663</v>
      </c>
      <c r="E3403" s="32">
        <v>46113.0</v>
      </c>
      <c r="F3403" s="32">
        <v>46171.0</v>
      </c>
      <c r="G3403" s="33"/>
    </row>
    <row r="3404" ht="15.75" customHeight="1">
      <c r="A3404" s="26" t="s">
        <v>7068</v>
      </c>
      <c r="B3404" s="27" t="s">
        <v>417</v>
      </c>
      <c r="C3404" s="27" t="s">
        <v>3655</v>
      </c>
      <c r="D3404" s="26" t="s">
        <v>3663</v>
      </c>
      <c r="E3404" s="28">
        <v>46113.0</v>
      </c>
      <c r="F3404" s="28">
        <v>46171.0</v>
      </c>
      <c r="G3404" s="29"/>
    </row>
    <row r="3405" ht="15.75" customHeight="1">
      <c r="A3405" s="30" t="s">
        <v>7069</v>
      </c>
      <c r="B3405" s="31" t="s">
        <v>417</v>
      </c>
      <c r="C3405" s="31" t="s">
        <v>934</v>
      </c>
      <c r="D3405" s="30" t="s">
        <v>3663</v>
      </c>
      <c r="E3405" s="32">
        <v>46113.0</v>
      </c>
      <c r="F3405" s="32">
        <v>46171.0</v>
      </c>
      <c r="G3405" s="33"/>
    </row>
    <row r="3406" ht="15.75" customHeight="1">
      <c r="A3406" s="26" t="s">
        <v>7070</v>
      </c>
      <c r="B3406" s="27" t="s">
        <v>417</v>
      </c>
      <c r="C3406" s="27" t="s">
        <v>1354</v>
      </c>
      <c r="D3406" s="26" t="s">
        <v>3663</v>
      </c>
      <c r="E3406" s="28">
        <v>46113.0</v>
      </c>
      <c r="F3406" s="28">
        <v>46171.0</v>
      </c>
      <c r="G3406" s="29"/>
    </row>
    <row r="3407" ht="15.75" customHeight="1">
      <c r="A3407" s="30" t="s">
        <v>7071</v>
      </c>
      <c r="B3407" s="31" t="s">
        <v>417</v>
      </c>
      <c r="C3407" s="31" t="s">
        <v>1159</v>
      </c>
      <c r="D3407" s="30" t="s">
        <v>3663</v>
      </c>
      <c r="E3407" s="32">
        <v>46113.0</v>
      </c>
      <c r="F3407" s="32">
        <v>46171.0</v>
      </c>
      <c r="G3407" s="33"/>
    </row>
    <row r="3408" ht="15.75" customHeight="1">
      <c r="A3408" s="26" t="s">
        <v>7072</v>
      </c>
      <c r="B3408" s="27" t="s">
        <v>417</v>
      </c>
      <c r="C3408" s="27" t="s">
        <v>1157</v>
      </c>
      <c r="D3408" s="26" t="s">
        <v>3663</v>
      </c>
      <c r="E3408" s="28">
        <v>46113.0</v>
      </c>
      <c r="F3408" s="28">
        <v>46171.0</v>
      </c>
      <c r="G3408" s="29"/>
    </row>
    <row r="3409" ht="15.75" customHeight="1">
      <c r="A3409" s="30" t="s">
        <v>7073</v>
      </c>
      <c r="B3409" s="31" t="s">
        <v>417</v>
      </c>
      <c r="C3409" s="31" t="s">
        <v>1155</v>
      </c>
      <c r="D3409" s="30" t="s">
        <v>3663</v>
      </c>
      <c r="E3409" s="32">
        <v>46113.0</v>
      </c>
      <c r="F3409" s="32">
        <v>46171.0</v>
      </c>
      <c r="G3409" s="33"/>
    </row>
    <row r="3410" ht="15.75" customHeight="1">
      <c r="A3410" s="26" t="s">
        <v>7074</v>
      </c>
      <c r="B3410" s="27" t="s">
        <v>417</v>
      </c>
      <c r="C3410" s="27" t="s">
        <v>1153</v>
      </c>
      <c r="D3410" s="26" t="s">
        <v>3663</v>
      </c>
      <c r="E3410" s="28">
        <v>46113.0</v>
      </c>
      <c r="F3410" s="28">
        <v>46171.0</v>
      </c>
      <c r="G3410" s="29"/>
    </row>
    <row r="3411" ht="15.75" customHeight="1">
      <c r="A3411" s="30" t="s">
        <v>7075</v>
      </c>
      <c r="B3411" s="31" t="s">
        <v>417</v>
      </c>
      <c r="C3411" s="31" t="s">
        <v>1149</v>
      </c>
      <c r="D3411" s="30" t="s">
        <v>3663</v>
      </c>
      <c r="E3411" s="32">
        <v>46113.0</v>
      </c>
      <c r="F3411" s="32">
        <v>46171.0</v>
      </c>
      <c r="G3411" s="33"/>
    </row>
    <row r="3412" ht="15.75" customHeight="1">
      <c r="A3412" s="26" t="s">
        <v>7076</v>
      </c>
      <c r="B3412" s="27" t="s">
        <v>417</v>
      </c>
      <c r="C3412" s="27" t="s">
        <v>1351</v>
      </c>
      <c r="D3412" s="26" t="s">
        <v>3663</v>
      </c>
      <c r="E3412" s="28">
        <v>46113.0</v>
      </c>
      <c r="F3412" s="28">
        <v>46171.0</v>
      </c>
      <c r="G3412" s="29"/>
    </row>
    <row r="3413" ht="15.75" customHeight="1">
      <c r="A3413" s="30" t="s">
        <v>7077</v>
      </c>
      <c r="B3413" s="31" t="s">
        <v>417</v>
      </c>
      <c r="C3413" s="31" t="s">
        <v>1349</v>
      </c>
      <c r="D3413" s="30" t="s">
        <v>3663</v>
      </c>
      <c r="E3413" s="32">
        <v>46113.0</v>
      </c>
      <c r="F3413" s="32">
        <v>46171.0</v>
      </c>
      <c r="G3413" s="33"/>
    </row>
    <row r="3414" ht="15.75" customHeight="1">
      <c r="A3414" s="26" t="s">
        <v>7078</v>
      </c>
      <c r="B3414" s="27" t="s">
        <v>417</v>
      </c>
      <c r="C3414" s="27" t="s">
        <v>968</v>
      </c>
      <c r="D3414" s="26" t="s">
        <v>3663</v>
      </c>
      <c r="E3414" s="28">
        <v>46113.0</v>
      </c>
      <c r="F3414" s="28">
        <v>46171.0</v>
      </c>
      <c r="G3414" s="29"/>
    </row>
    <row r="3415" ht="15.75" customHeight="1">
      <c r="A3415" s="30" t="s">
        <v>7079</v>
      </c>
      <c r="B3415" s="31" t="s">
        <v>417</v>
      </c>
      <c r="C3415" s="31" t="s">
        <v>923</v>
      </c>
      <c r="D3415" s="30" t="s">
        <v>3663</v>
      </c>
      <c r="E3415" s="32">
        <v>46113.0</v>
      </c>
      <c r="F3415" s="32">
        <v>46171.0</v>
      </c>
      <c r="G3415" s="33"/>
    </row>
    <row r="3416" ht="15.75" customHeight="1">
      <c r="A3416" s="26" t="s">
        <v>7080</v>
      </c>
      <c r="B3416" s="27" t="s">
        <v>417</v>
      </c>
      <c r="C3416" s="27" t="s">
        <v>961</v>
      </c>
      <c r="D3416" s="26" t="s">
        <v>3663</v>
      </c>
      <c r="E3416" s="28">
        <v>46113.0</v>
      </c>
      <c r="F3416" s="28">
        <v>46171.0</v>
      </c>
      <c r="G3416" s="29"/>
    </row>
    <row r="3417" ht="15.75" customHeight="1">
      <c r="A3417" s="30" t="s">
        <v>7081</v>
      </c>
      <c r="B3417" s="31" t="s">
        <v>418</v>
      </c>
      <c r="C3417" s="31" t="s">
        <v>1240</v>
      </c>
      <c r="D3417" s="30" t="s">
        <v>3663</v>
      </c>
      <c r="E3417" s="32">
        <v>46113.0</v>
      </c>
      <c r="F3417" s="32">
        <v>46171.0</v>
      </c>
      <c r="G3417" s="33"/>
    </row>
    <row r="3418" ht="15.75" customHeight="1">
      <c r="A3418" s="26" t="s">
        <v>7082</v>
      </c>
      <c r="B3418" s="27" t="s">
        <v>418</v>
      </c>
      <c r="C3418" s="27" t="s">
        <v>1242</v>
      </c>
      <c r="D3418" s="26" t="s">
        <v>3663</v>
      </c>
      <c r="E3418" s="28">
        <v>46113.0</v>
      </c>
      <c r="F3418" s="28">
        <v>46171.0</v>
      </c>
      <c r="G3418" s="29"/>
    </row>
    <row r="3419" ht="15.75" customHeight="1">
      <c r="A3419" s="30" t="s">
        <v>7083</v>
      </c>
      <c r="B3419" s="31" t="s">
        <v>418</v>
      </c>
      <c r="C3419" s="31" t="s">
        <v>1244</v>
      </c>
      <c r="D3419" s="30" t="s">
        <v>3663</v>
      </c>
      <c r="E3419" s="32">
        <v>46113.0</v>
      </c>
      <c r="F3419" s="32">
        <v>46171.0</v>
      </c>
      <c r="G3419" s="33"/>
    </row>
    <row r="3420" ht="15.75" customHeight="1">
      <c r="A3420" s="26" t="s">
        <v>7084</v>
      </c>
      <c r="B3420" s="27" t="s">
        <v>418</v>
      </c>
      <c r="C3420" s="27" t="s">
        <v>1246</v>
      </c>
      <c r="D3420" s="26" t="s">
        <v>3663</v>
      </c>
      <c r="E3420" s="28">
        <v>46113.0</v>
      </c>
      <c r="F3420" s="28">
        <v>46171.0</v>
      </c>
      <c r="G3420" s="29"/>
    </row>
    <row r="3421" ht="15.75" customHeight="1">
      <c r="A3421" s="30" t="s">
        <v>7085</v>
      </c>
      <c r="B3421" s="31" t="s">
        <v>418</v>
      </c>
      <c r="C3421" s="31" t="s">
        <v>928</v>
      </c>
      <c r="D3421" s="30" t="s">
        <v>3663</v>
      </c>
      <c r="E3421" s="32">
        <v>46113.0</v>
      </c>
      <c r="F3421" s="32">
        <v>46171.0</v>
      </c>
      <c r="G3421" s="33"/>
    </row>
    <row r="3422" ht="15.75" customHeight="1">
      <c r="A3422" s="26" t="s">
        <v>7086</v>
      </c>
      <c r="B3422" s="27" t="s">
        <v>418</v>
      </c>
      <c r="C3422" s="27" t="s">
        <v>1354</v>
      </c>
      <c r="D3422" s="26" t="s">
        <v>3663</v>
      </c>
      <c r="E3422" s="28">
        <v>46113.0</v>
      </c>
      <c r="F3422" s="28">
        <v>46171.0</v>
      </c>
      <c r="G3422" s="29"/>
    </row>
    <row r="3423" ht="15.75" customHeight="1">
      <c r="A3423" s="30" t="s">
        <v>7087</v>
      </c>
      <c r="B3423" s="31" t="s">
        <v>418</v>
      </c>
      <c r="C3423" s="31" t="s">
        <v>1208</v>
      </c>
      <c r="D3423" s="30" t="s">
        <v>3663</v>
      </c>
      <c r="E3423" s="32">
        <v>46113.0</v>
      </c>
      <c r="F3423" s="32">
        <v>46171.0</v>
      </c>
      <c r="G3423" s="33"/>
    </row>
    <row r="3424" ht="15.75" customHeight="1">
      <c r="A3424" s="26" t="s">
        <v>7088</v>
      </c>
      <c r="B3424" s="27" t="s">
        <v>418</v>
      </c>
      <c r="C3424" s="27" t="s">
        <v>3656</v>
      </c>
      <c r="D3424" s="26" t="s">
        <v>3663</v>
      </c>
      <c r="E3424" s="28">
        <v>46113.0</v>
      </c>
      <c r="F3424" s="28">
        <v>46171.0</v>
      </c>
      <c r="G3424" s="29"/>
    </row>
    <row r="3425" ht="15.75" customHeight="1">
      <c r="A3425" s="30" t="s">
        <v>7089</v>
      </c>
      <c r="B3425" s="31" t="s">
        <v>418</v>
      </c>
      <c r="C3425" s="31" t="s">
        <v>3657</v>
      </c>
      <c r="D3425" s="30" t="s">
        <v>3663</v>
      </c>
      <c r="E3425" s="32">
        <v>46113.0</v>
      </c>
      <c r="F3425" s="32">
        <v>46171.0</v>
      </c>
      <c r="G3425" s="33"/>
    </row>
    <row r="3426" ht="15.75" customHeight="1">
      <c r="A3426" s="26" t="s">
        <v>7090</v>
      </c>
      <c r="B3426" s="27" t="s">
        <v>418</v>
      </c>
      <c r="C3426" s="27" t="s">
        <v>3647</v>
      </c>
      <c r="D3426" s="26" t="s">
        <v>3663</v>
      </c>
      <c r="E3426" s="28">
        <v>46113.0</v>
      </c>
      <c r="F3426" s="28">
        <v>46171.0</v>
      </c>
      <c r="G3426" s="29"/>
    </row>
    <row r="3427" ht="15.75" customHeight="1">
      <c r="A3427" s="30" t="s">
        <v>7091</v>
      </c>
      <c r="B3427" s="31" t="s">
        <v>418</v>
      </c>
      <c r="C3427" s="31" t="s">
        <v>952</v>
      </c>
      <c r="D3427" s="30" t="s">
        <v>3663</v>
      </c>
      <c r="E3427" s="32">
        <v>46113.0</v>
      </c>
      <c r="F3427" s="32">
        <v>46171.0</v>
      </c>
      <c r="G3427" s="33"/>
    </row>
    <row r="3428" ht="15.75" customHeight="1">
      <c r="A3428" s="26" t="s">
        <v>7092</v>
      </c>
      <c r="B3428" s="27" t="s">
        <v>418</v>
      </c>
      <c r="C3428" s="27" t="s">
        <v>1271</v>
      </c>
      <c r="D3428" s="26" t="s">
        <v>3663</v>
      </c>
      <c r="E3428" s="28">
        <v>46113.0</v>
      </c>
      <c r="F3428" s="28">
        <v>46171.0</v>
      </c>
      <c r="G3428" s="29"/>
    </row>
    <row r="3429" ht="15.75" customHeight="1">
      <c r="A3429" s="30" t="s">
        <v>7093</v>
      </c>
      <c r="B3429" s="31" t="s">
        <v>418</v>
      </c>
      <c r="C3429" s="31" t="s">
        <v>968</v>
      </c>
      <c r="D3429" s="30" t="s">
        <v>3663</v>
      </c>
      <c r="E3429" s="32">
        <v>46113.0</v>
      </c>
      <c r="F3429" s="32">
        <v>46171.0</v>
      </c>
      <c r="G3429" s="33"/>
    </row>
    <row r="3430" ht="15.75" customHeight="1">
      <c r="A3430" s="26" t="s">
        <v>7094</v>
      </c>
      <c r="B3430" s="27" t="s">
        <v>418</v>
      </c>
      <c r="C3430" s="27" t="s">
        <v>923</v>
      </c>
      <c r="D3430" s="26" t="s">
        <v>3663</v>
      </c>
      <c r="E3430" s="28">
        <v>46113.0</v>
      </c>
      <c r="F3430" s="28">
        <v>46171.0</v>
      </c>
      <c r="G3430" s="29"/>
    </row>
    <row r="3431" ht="15.75" customHeight="1">
      <c r="A3431" s="30" t="s">
        <v>7095</v>
      </c>
      <c r="B3431" s="31" t="s">
        <v>419</v>
      </c>
      <c r="C3431" s="31" t="s">
        <v>1240</v>
      </c>
      <c r="D3431" s="30" t="s">
        <v>3663</v>
      </c>
      <c r="E3431" s="32">
        <v>46113.0</v>
      </c>
      <c r="F3431" s="32">
        <v>46171.0</v>
      </c>
      <c r="G3431" s="33"/>
    </row>
    <row r="3432" ht="15.75" customHeight="1">
      <c r="A3432" s="26" t="s">
        <v>7096</v>
      </c>
      <c r="B3432" s="27" t="s">
        <v>419</v>
      </c>
      <c r="C3432" s="27" t="s">
        <v>1242</v>
      </c>
      <c r="D3432" s="26" t="s">
        <v>3663</v>
      </c>
      <c r="E3432" s="28">
        <v>46113.0</v>
      </c>
      <c r="F3432" s="28">
        <v>46171.0</v>
      </c>
      <c r="G3432" s="29"/>
    </row>
    <row r="3433" ht="15.75" customHeight="1">
      <c r="A3433" s="30" t="s">
        <v>7097</v>
      </c>
      <c r="B3433" s="31" t="s">
        <v>419</v>
      </c>
      <c r="C3433" s="31" t="s">
        <v>1244</v>
      </c>
      <c r="D3433" s="30" t="s">
        <v>3663</v>
      </c>
      <c r="E3433" s="32">
        <v>46113.0</v>
      </c>
      <c r="F3433" s="32">
        <v>46171.0</v>
      </c>
      <c r="G3433" s="33"/>
    </row>
    <row r="3434" ht="15.75" customHeight="1">
      <c r="A3434" s="26" t="s">
        <v>7098</v>
      </c>
      <c r="B3434" s="27" t="s">
        <v>419</v>
      </c>
      <c r="C3434" s="27" t="s">
        <v>1246</v>
      </c>
      <c r="D3434" s="26" t="s">
        <v>3663</v>
      </c>
      <c r="E3434" s="28">
        <v>46113.0</v>
      </c>
      <c r="F3434" s="28">
        <v>46171.0</v>
      </c>
      <c r="G3434" s="29"/>
    </row>
    <row r="3435" ht="15.75" customHeight="1">
      <c r="A3435" s="30" t="s">
        <v>7099</v>
      </c>
      <c r="B3435" s="31" t="s">
        <v>419</v>
      </c>
      <c r="C3435" s="31" t="s">
        <v>934</v>
      </c>
      <c r="D3435" s="30" t="s">
        <v>3663</v>
      </c>
      <c r="E3435" s="32">
        <v>46113.0</v>
      </c>
      <c r="F3435" s="32">
        <v>46171.0</v>
      </c>
      <c r="G3435" s="33"/>
    </row>
    <row r="3436" ht="15.75" customHeight="1">
      <c r="A3436" s="26" t="s">
        <v>7100</v>
      </c>
      <c r="B3436" s="27" t="s">
        <v>419</v>
      </c>
      <c r="C3436" s="27" t="s">
        <v>1354</v>
      </c>
      <c r="D3436" s="26" t="s">
        <v>3663</v>
      </c>
      <c r="E3436" s="28">
        <v>46113.0</v>
      </c>
      <c r="F3436" s="28">
        <v>46171.0</v>
      </c>
      <c r="G3436" s="29"/>
    </row>
    <row r="3437" ht="15.75" customHeight="1">
      <c r="A3437" s="30" t="s">
        <v>7101</v>
      </c>
      <c r="B3437" s="31" t="s">
        <v>419</v>
      </c>
      <c r="C3437" s="31" t="s">
        <v>3656</v>
      </c>
      <c r="D3437" s="30" t="s">
        <v>3663</v>
      </c>
      <c r="E3437" s="32">
        <v>46113.0</v>
      </c>
      <c r="F3437" s="32">
        <v>46171.0</v>
      </c>
      <c r="G3437" s="33"/>
    </row>
    <row r="3438" ht="15.75" customHeight="1">
      <c r="A3438" s="26" t="s">
        <v>7102</v>
      </c>
      <c r="B3438" s="27" t="s">
        <v>419</v>
      </c>
      <c r="C3438" s="27" t="s">
        <v>3657</v>
      </c>
      <c r="D3438" s="26" t="s">
        <v>3663</v>
      </c>
      <c r="E3438" s="28">
        <v>46113.0</v>
      </c>
      <c r="F3438" s="28">
        <v>46171.0</v>
      </c>
      <c r="G3438" s="29"/>
    </row>
    <row r="3439" ht="15.75" customHeight="1">
      <c r="A3439" s="30" t="s">
        <v>7103</v>
      </c>
      <c r="B3439" s="31" t="s">
        <v>419</v>
      </c>
      <c r="C3439" s="31" t="s">
        <v>1218</v>
      </c>
      <c r="D3439" s="30" t="s">
        <v>3663</v>
      </c>
      <c r="E3439" s="32">
        <v>46113.0</v>
      </c>
      <c r="F3439" s="32">
        <v>46171.0</v>
      </c>
      <c r="G3439" s="33"/>
    </row>
    <row r="3440" ht="15.75" customHeight="1">
      <c r="A3440" s="26" t="s">
        <v>7104</v>
      </c>
      <c r="B3440" s="27" t="s">
        <v>419</v>
      </c>
      <c r="C3440" s="27" t="s">
        <v>1351</v>
      </c>
      <c r="D3440" s="26" t="s">
        <v>3663</v>
      </c>
      <c r="E3440" s="28">
        <v>46113.0</v>
      </c>
      <c r="F3440" s="28">
        <v>46171.0</v>
      </c>
      <c r="G3440" s="29"/>
    </row>
    <row r="3441" ht="15.75" customHeight="1">
      <c r="A3441" s="30" t="s">
        <v>7105</v>
      </c>
      <c r="B3441" s="31" t="s">
        <v>419</v>
      </c>
      <c r="C3441" s="31" t="s">
        <v>1349</v>
      </c>
      <c r="D3441" s="30" t="s">
        <v>3663</v>
      </c>
      <c r="E3441" s="32">
        <v>46113.0</v>
      </c>
      <c r="F3441" s="32">
        <v>46171.0</v>
      </c>
      <c r="G3441" s="33"/>
    </row>
    <row r="3442" ht="15.75" customHeight="1">
      <c r="A3442" s="26" t="s">
        <v>7106</v>
      </c>
      <c r="B3442" s="27" t="s">
        <v>419</v>
      </c>
      <c r="C3442" s="27" t="s">
        <v>965</v>
      </c>
      <c r="D3442" s="26" t="s">
        <v>3663</v>
      </c>
      <c r="E3442" s="28">
        <v>46113.0</v>
      </c>
      <c r="F3442" s="28">
        <v>46171.0</v>
      </c>
      <c r="G3442" s="29"/>
    </row>
    <row r="3443" ht="15.75" customHeight="1">
      <c r="A3443" s="30" t="s">
        <v>7107</v>
      </c>
      <c r="B3443" s="31" t="s">
        <v>419</v>
      </c>
      <c r="C3443" s="31" t="s">
        <v>923</v>
      </c>
      <c r="D3443" s="30" t="s">
        <v>3663</v>
      </c>
      <c r="E3443" s="32">
        <v>46113.0</v>
      </c>
      <c r="F3443" s="32">
        <v>46171.0</v>
      </c>
      <c r="G3443" s="33"/>
    </row>
    <row r="3444" ht="15.75" customHeight="1">
      <c r="A3444" s="26" t="s">
        <v>7108</v>
      </c>
      <c r="B3444" s="27" t="s">
        <v>419</v>
      </c>
      <c r="C3444" s="27" t="s">
        <v>955</v>
      </c>
      <c r="D3444" s="26" t="s">
        <v>3663</v>
      </c>
      <c r="E3444" s="28">
        <v>46113.0</v>
      </c>
      <c r="F3444" s="28">
        <v>46171.0</v>
      </c>
      <c r="G3444" s="29"/>
    </row>
    <row r="3445" ht="15.75" customHeight="1">
      <c r="A3445" s="30" t="s">
        <v>7109</v>
      </c>
      <c r="B3445" s="31" t="s">
        <v>420</v>
      </c>
      <c r="C3445" s="31" t="s">
        <v>932</v>
      </c>
      <c r="D3445" s="30" t="s">
        <v>3663</v>
      </c>
      <c r="E3445" s="32">
        <v>46113.0</v>
      </c>
      <c r="F3445" s="32">
        <v>46171.0</v>
      </c>
      <c r="G3445" s="33"/>
    </row>
    <row r="3446" ht="15.75" customHeight="1">
      <c r="A3446" s="26" t="s">
        <v>7110</v>
      </c>
      <c r="B3446" s="27" t="s">
        <v>420</v>
      </c>
      <c r="C3446" s="27" t="s">
        <v>1164</v>
      </c>
      <c r="D3446" s="26" t="s">
        <v>3663</v>
      </c>
      <c r="E3446" s="28">
        <v>46113.0</v>
      </c>
      <c r="F3446" s="28">
        <v>46171.0</v>
      </c>
      <c r="G3446" s="29"/>
    </row>
    <row r="3447" ht="15.75" customHeight="1">
      <c r="A3447" s="30" t="s">
        <v>7111</v>
      </c>
      <c r="B3447" s="31" t="s">
        <v>420</v>
      </c>
      <c r="C3447" s="31" t="s">
        <v>1166</v>
      </c>
      <c r="D3447" s="30" t="s">
        <v>3663</v>
      </c>
      <c r="E3447" s="32">
        <v>46113.0</v>
      </c>
      <c r="F3447" s="32">
        <v>46171.0</v>
      </c>
      <c r="G3447" s="33"/>
    </row>
    <row r="3448" ht="15.75" customHeight="1">
      <c r="A3448" s="26" t="s">
        <v>7112</v>
      </c>
      <c r="B3448" s="27" t="s">
        <v>420</v>
      </c>
      <c r="C3448" s="27" t="s">
        <v>1168</v>
      </c>
      <c r="D3448" s="26" t="s">
        <v>3663</v>
      </c>
      <c r="E3448" s="28">
        <v>46113.0</v>
      </c>
      <c r="F3448" s="28">
        <v>46171.0</v>
      </c>
      <c r="G3448" s="29"/>
    </row>
    <row r="3449" ht="15.75" customHeight="1">
      <c r="A3449" s="30" t="s">
        <v>7113</v>
      </c>
      <c r="B3449" s="31" t="s">
        <v>420</v>
      </c>
      <c r="C3449" s="31" t="s">
        <v>1170</v>
      </c>
      <c r="D3449" s="30" t="s">
        <v>3663</v>
      </c>
      <c r="E3449" s="32">
        <v>46113.0</v>
      </c>
      <c r="F3449" s="32">
        <v>46171.0</v>
      </c>
      <c r="G3449" s="33"/>
    </row>
    <row r="3450" ht="15.75" customHeight="1">
      <c r="A3450" s="26" t="s">
        <v>7114</v>
      </c>
      <c r="B3450" s="27" t="s">
        <v>420</v>
      </c>
      <c r="C3450" s="27" t="s">
        <v>1354</v>
      </c>
      <c r="D3450" s="26" t="s">
        <v>3663</v>
      </c>
      <c r="E3450" s="28">
        <v>46113.0</v>
      </c>
      <c r="F3450" s="28">
        <v>46171.0</v>
      </c>
      <c r="G3450" s="29"/>
    </row>
    <row r="3451" ht="15.75" customHeight="1">
      <c r="A3451" s="30" t="s">
        <v>7115</v>
      </c>
      <c r="B3451" s="31" t="s">
        <v>420</v>
      </c>
      <c r="C3451" s="31" t="s">
        <v>3681</v>
      </c>
      <c r="D3451" s="30" t="s">
        <v>3663</v>
      </c>
      <c r="E3451" s="32">
        <v>46113.0</v>
      </c>
      <c r="F3451" s="32">
        <v>46171.0</v>
      </c>
      <c r="G3451" s="33"/>
    </row>
    <row r="3452" ht="15.75" customHeight="1">
      <c r="A3452" s="26" t="s">
        <v>7116</v>
      </c>
      <c r="B3452" s="27" t="s">
        <v>420</v>
      </c>
      <c r="C3452" s="27" t="s">
        <v>3683</v>
      </c>
      <c r="D3452" s="26" t="s">
        <v>3663</v>
      </c>
      <c r="E3452" s="28">
        <v>46113.0</v>
      </c>
      <c r="F3452" s="28">
        <v>46171.0</v>
      </c>
      <c r="G3452" s="29"/>
    </row>
    <row r="3453" ht="15.75" customHeight="1">
      <c r="A3453" s="30" t="s">
        <v>7117</v>
      </c>
      <c r="B3453" s="31" t="s">
        <v>420</v>
      </c>
      <c r="C3453" s="31" t="s">
        <v>1159</v>
      </c>
      <c r="D3453" s="30" t="s">
        <v>3663</v>
      </c>
      <c r="E3453" s="32">
        <v>46113.0</v>
      </c>
      <c r="F3453" s="32">
        <v>46171.0</v>
      </c>
      <c r="G3453" s="33"/>
    </row>
    <row r="3454" ht="15.75" customHeight="1">
      <c r="A3454" s="26" t="s">
        <v>7118</v>
      </c>
      <c r="B3454" s="27" t="s">
        <v>420</v>
      </c>
      <c r="C3454" s="27" t="s">
        <v>1351</v>
      </c>
      <c r="D3454" s="26" t="s">
        <v>3663</v>
      </c>
      <c r="E3454" s="28">
        <v>46113.0</v>
      </c>
      <c r="F3454" s="28">
        <v>46171.0</v>
      </c>
      <c r="G3454" s="29"/>
    </row>
    <row r="3455" ht="15.75" customHeight="1">
      <c r="A3455" s="30" t="s">
        <v>7119</v>
      </c>
      <c r="B3455" s="31" t="s">
        <v>420</v>
      </c>
      <c r="C3455" s="31" t="s">
        <v>1349</v>
      </c>
      <c r="D3455" s="30" t="s">
        <v>3663</v>
      </c>
      <c r="E3455" s="32">
        <v>46113.0</v>
      </c>
      <c r="F3455" s="32">
        <v>46171.0</v>
      </c>
      <c r="G3455" s="33"/>
    </row>
    <row r="3456" ht="15.75" customHeight="1">
      <c r="A3456" s="26" t="s">
        <v>7120</v>
      </c>
      <c r="B3456" s="27" t="s">
        <v>420</v>
      </c>
      <c r="C3456" s="27" t="s">
        <v>968</v>
      </c>
      <c r="D3456" s="26" t="s">
        <v>3663</v>
      </c>
      <c r="E3456" s="28">
        <v>46113.0</v>
      </c>
      <c r="F3456" s="28">
        <v>46171.0</v>
      </c>
      <c r="G3456" s="29"/>
    </row>
    <row r="3457" ht="15.75" customHeight="1">
      <c r="A3457" s="30" t="s">
        <v>7121</v>
      </c>
      <c r="B3457" s="31" t="s">
        <v>420</v>
      </c>
      <c r="C3457" s="31" t="s">
        <v>923</v>
      </c>
      <c r="D3457" s="30" t="s">
        <v>3663</v>
      </c>
      <c r="E3457" s="32">
        <v>46113.0</v>
      </c>
      <c r="F3457" s="32">
        <v>46171.0</v>
      </c>
      <c r="G3457" s="33"/>
    </row>
    <row r="3458" ht="15.75" customHeight="1">
      <c r="A3458" s="26" t="s">
        <v>7122</v>
      </c>
      <c r="B3458" s="27" t="s">
        <v>420</v>
      </c>
      <c r="C3458" s="27" t="s">
        <v>961</v>
      </c>
      <c r="D3458" s="26" t="s">
        <v>3663</v>
      </c>
      <c r="E3458" s="28">
        <v>46113.0</v>
      </c>
      <c r="F3458" s="28">
        <v>46171.0</v>
      </c>
      <c r="G3458" s="29"/>
    </row>
    <row r="3459" ht="15.75" customHeight="1">
      <c r="A3459" s="30" t="s">
        <v>7123</v>
      </c>
      <c r="B3459" s="31" t="s">
        <v>421</v>
      </c>
      <c r="C3459" s="31" t="s">
        <v>932</v>
      </c>
      <c r="D3459" s="30" t="s">
        <v>3663</v>
      </c>
      <c r="E3459" s="32">
        <v>46113.0</v>
      </c>
      <c r="F3459" s="32">
        <v>46171.0</v>
      </c>
      <c r="G3459" s="33"/>
    </row>
    <row r="3460" ht="15.75" customHeight="1">
      <c r="A3460" s="26" t="s">
        <v>7124</v>
      </c>
      <c r="B3460" s="27" t="s">
        <v>421</v>
      </c>
      <c r="C3460" s="27" t="s">
        <v>1164</v>
      </c>
      <c r="D3460" s="26" t="s">
        <v>3663</v>
      </c>
      <c r="E3460" s="28">
        <v>46113.0</v>
      </c>
      <c r="F3460" s="28">
        <v>46171.0</v>
      </c>
      <c r="G3460" s="29"/>
    </row>
    <row r="3461" ht="15.75" customHeight="1">
      <c r="A3461" s="30" t="s">
        <v>7125</v>
      </c>
      <c r="B3461" s="31" t="s">
        <v>421</v>
      </c>
      <c r="C3461" s="31" t="s">
        <v>1166</v>
      </c>
      <c r="D3461" s="30" t="s">
        <v>3663</v>
      </c>
      <c r="E3461" s="32">
        <v>46113.0</v>
      </c>
      <c r="F3461" s="32">
        <v>46171.0</v>
      </c>
      <c r="G3461" s="33"/>
    </row>
    <row r="3462" ht="15.75" customHeight="1">
      <c r="A3462" s="26" t="s">
        <v>7126</v>
      </c>
      <c r="B3462" s="27" t="s">
        <v>421</v>
      </c>
      <c r="C3462" s="27" t="s">
        <v>1168</v>
      </c>
      <c r="D3462" s="26" t="s">
        <v>3663</v>
      </c>
      <c r="E3462" s="28">
        <v>46113.0</v>
      </c>
      <c r="F3462" s="28">
        <v>46171.0</v>
      </c>
      <c r="G3462" s="29"/>
    </row>
    <row r="3463" ht="15.75" customHeight="1">
      <c r="A3463" s="30" t="s">
        <v>7127</v>
      </c>
      <c r="B3463" s="31" t="s">
        <v>421</v>
      </c>
      <c r="C3463" s="31" t="s">
        <v>1170</v>
      </c>
      <c r="D3463" s="30" t="s">
        <v>3663</v>
      </c>
      <c r="E3463" s="32">
        <v>46113.0</v>
      </c>
      <c r="F3463" s="32">
        <v>46171.0</v>
      </c>
      <c r="G3463" s="33"/>
    </row>
    <row r="3464" ht="15.75" customHeight="1">
      <c r="A3464" s="26" t="s">
        <v>7128</v>
      </c>
      <c r="B3464" s="27" t="s">
        <v>421</v>
      </c>
      <c r="C3464" s="27" t="s">
        <v>1354</v>
      </c>
      <c r="D3464" s="26" t="s">
        <v>3663</v>
      </c>
      <c r="E3464" s="28">
        <v>46113.0</v>
      </c>
      <c r="F3464" s="28">
        <v>46171.0</v>
      </c>
      <c r="G3464" s="29"/>
    </row>
    <row r="3465" ht="15.75" customHeight="1">
      <c r="A3465" s="30" t="s">
        <v>7129</v>
      </c>
      <c r="B3465" s="31" t="s">
        <v>421</v>
      </c>
      <c r="C3465" s="31" t="s">
        <v>1190</v>
      </c>
      <c r="D3465" s="30" t="s">
        <v>3663</v>
      </c>
      <c r="E3465" s="32">
        <v>46113.0</v>
      </c>
      <c r="F3465" s="32">
        <v>46171.0</v>
      </c>
      <c r="G3465" s="33"/>
    </row>
    <row r="3466" ht="15.75" customHeight="1">
      <c r="A3466" s="26" t="s">
        <v>7130</v>
      </c>
      <c r="B3466" s="27" t="s">
        <v>421</v>
      </c>
      <c r="C3466" s="27" t="s">
        <v>1351</v>
      </c>
      <c r="D3466" s="26" t="s">
        <v>3663</v>
      </c>
      <c r="E3466" s="28">
        <v>46113.0</v>
      </c>
      <c r="F3466" s="28">
        <v>46171.0</v>
      </c>
      <c r="G3466" s="29"/>
    </row>
    <row r="3467" ht="15.75" customHeight="1">
      <c r="A3467" s="30" t="s">
        <v>7131</v>
      </c>
      <c r="B3467" s="31" t="s">
        <v>421</v>
      </c>
      <c r="C3467" s="31" t="s">
        <v>1349</v>
      </c>
      <c r="D3467" s="30" t="s">
        <v>3663</v>
      </c>
      <c r="E3467" s="32">
        <v>46113.0</v>
      </c>
      <c r="F3467" s="32">
        <v>46171.0</v>
      </c>
      <c r="G3467" s="33"/>
    </row>
    <row r="3468" ht="15.75" customHeight="1">
      <c r="A3468" s="26" t="s">
        <v>7132</v>
      </c>
      <c r="B3468" s="27" t="s">
        <v>421</v>
      </c>
      <c r="C3468" s="27" t="s">
        <v>3653</v>
      </c>
      <c r="D3468" s="27" t="s">
        <v>3663</v>
      </c>
      <c r="E3468" s="28">
        <v>46113.0</v>
      </c>
      <c r="F3468" s="28">
        <v>46171.0</v>
      </c>
      <c r="G3468" s="29"/>
    </row>
    <row r="3469" ht="15.75" customHeight="1">
      <c r="A3469" s="30" t="s">
        <v>7133</v>
      </c>
      <c r="B3469" s="31" t="s">
        <v>421</v>
      </c>
      <c r="C3469" s="31" t="s">
        <v>3652</v>
      </c>
      <c r="D3469" s="30" t="s">
        <v>3663</v>
      </c>
      <c r="E3469" s="32">
        <v>46113.0</v>
      </c>
      <c r="F3469" s="32">
        <v>46171.0</v>
      </c>
      <c r="G3469" s="33"/>
    </row>
    <row r="3470" ht="15.75" customHeight="1">
      <c r="A3470" s="26" t="s">
        <v>7134</v>
      </c>
      <c r="B3470" s="27" t="s">
        <v>421</v>
      </c>
      <c r="C3470" s="27" t="s">
        <v>968</v>
      </c>
      <c r="D3470" s="26" t="s">
        <v>3663</v>
      </c>
      <c r="E3470" s="28">
        <v>46113.0</v>
      </c>
      <c r="F3470" s="28">
        <v>46171.0</v>
      </c>
      <c r="G3470" s="29"/>
    </row>
    <row r="3471" ht="15.75" customHeight="1">
      <c r="A3471" s="30" t="s">
        <v>7135</v>
      </c>
      <c r="B3471" s="31" t="s">
        <v>421</v>
      </c>
      <c r="C3471" s="31" t="s">
        <v>923</v>
      </c>
      <c r="D3471" s="30" t="s">
        <v>3663</v>
      </c>
      <c r="E3471" s="32">
        <v>46113.0</v>
      </c>
      <c r="F3471" s="32">
        <v>46171.0</v>
      </c>
      <c r="G3471" s="33"/>
    </row>
    <row r="3472" ht="15.75" customHeight="1">
      <c r="A3472" s="26" t="s">
        <v>7136</v>
      </c>
      <c r="B3472" s="27" t="s">
        <v>421</v>
      </c>
      <c r="C3472" s="27" t="s">
        <v>963</v>
      </c>
      <c r="D3472" s="26" t="s">
        <v>3663</v>
      </c>
      <c r="E3472" s="28">
        <v>46113.0</v>
      </c>
      <c r="F3472" s="28">
        <v>46171.0</v>
      </c>
      <c r="G3472" s="29"/>
    </row>
    <row r="3473" ht="15.75" customHeight="1">
      <c r="A3473" s="30" t="s">
        <v>7137</v>
      </c>
      <c r="B3473" s="31" t="s">
        <v>422</v>
      </c>
      <c r="C3473" s="31" t="s">
        <v>926</v>
      </c>
      <c r="D3473" s="31" t="s">
        <v>3663</v>
      </c>
      <c r="E3473" s="32">
        <v>46113.0</v>
      </c>
      <c r="F3473" s="32">
        <v>46171.0</v>
      </c>
      <c r="G3473" s="33"/>
    </row>
    <row r="3474" ht="15.75" customHeight="1">
      <c r="A3474" s="26" t="s">
        <v>7138</v>
      </c>
      <c r="B3474" s="27" t="s">
        <v>422</v>
      </c>
      <c r="C3474" s="27" t="s">
        <v>1354</v>
      </c>
      <c r="D3474" s="26" t="s">
        <v>3663</v>
      </c>
      <c r="E3474" s="28">
        <v>46113.0</v>
      </c>
      <c r="F3474" s="28">
        <v>46171.0</v>
      </c>
      <c r="G3474" s="29"/>
    </row>
    <row r="3475" ht="15.75" customHeight="1">
      <c r="A3475" s="30" t="s">
        <v>7139</v>
      </c>
      <c r="B3475" s="31" t="s">
        <v>422</v>
      </c>
      <c r="C3475" s="31" t="s">
        <v>3681</v>
      </c>
      <c r="D3475" s="30" t="s">
        <v>3663</v>
      </c>
      <c r="E3475" s="32">
        <v>46113.0</v>
      </c>
      <c r="F3475" s="32">
        <v>46171.0</v>
      </c>
      <c r="G3475" s="33"/>
    </row>
    <row r="3476" ht="15.75" customHeight="1">
      <c r="A3476" s="26" t="s">
        <v>7140</v>
      </c>
      <c r="B3476" s="27" t="s">
        <v>422</v>
      </c>
      <c r="C3476" s="27" t="s">
        <v>3683</v>
      </c>
      <c r="D3476" s="26" t="s">
        <v>3663</v>
      </c>
      <c r="E3476" s="28">
        <v>46113.0</v>
      </c>
      <c r="F3476" s="28">
        <v>46171.0</v>
      </c>
      <c r="G3476" s="29"/>
    </row>
    <row r="3477" ht="15.75" customHeight="1">
      <c r="A3477" s="30" t="s">
        <v>7141</v>
      </c>
      <c r="B3477" s="31" t="s">
        <v>422</v>
      </c>
      <c r="C3477" s="31" t="s">
        <v>1159</v>
      </c>
      <c r="D3477" s="30" t="s">
        <v>3663</v>
      </c>
      <c r="E3477" s="32">
        <v>46113.0</v>
      </c>
      <c r="F3477" s="32">
        <v>46171.0</v>
      </c>
      <c r="G3477" s="33"/>
    </row>
    <row r="3478" ht="15.75" customHeight="1">
      <c r="A3478" s="26" t="s">
        <v>7142</v>
      </c>
      <c r="B3478" s="27" t="s">
        <v>422</v>
      </c>
      <c r="C3478" s="27" t="s">
        <v>3648</v>
      </c>
      <c r="D3478" s="27" t="s">
        <v>3663</v>
      </c>
      <c r="E3478" s="28">
        <v>46113.0</v>
      </c>
      <c r="F3478" s="28">
        <v>46171.0</v>
      </c>
      <c r="G3478" s="29"/>
    </row>
    <row r="3479" ht="15.75" customHeight="1">
      <c r="A3479" s="30" t="s">
        <v>7143</v>
      </c>
      <c r="B3479" s="31" t="s">
        <v>422</v>
      </c>
      <c r="C3479" s="31" t="s">
        <v>3649</v>
      </c>
      <c r="D3479" s="31" t="s">
        <v>3663</v>
      </c>
      <c r="E3479" s="32">
        <v>46113.0</v>
      </c>
      <c r="F3479" s="32">
        <v>46171.0</v>
      </c>
      <c r="G3479" s="33"/>
    </row>
    <row r="3480" ht="15.75" customHeight="1">
      <c r="A3480" s="26" t="s">
        <v>7144</v>
      </c>
      <c r="B3480" s="27" t="s">
        <v>422</v>
      </c>
      <c r="C3480" s="27" t="s">
        <v>3650</v>
      </c>
      <c r="D3480" s="27" t="s">
        <v>3663</v>
      </c>
      <c r="E3480" s="28">
        <v>46113.0</v>
      </c>
      <c r="F3480" s="28">
        <v>46171.0</v>
      </c>
      <c r="G3480" s="29"/>
    </row>
    <row r="3481" ht="15.75" customHeight="1">
      <c r="A3481" s="30" t="s">
        <v>7145</v>
      </c>
      <c r="B3481" s="31" t="s">
        <v>422</v>
      </c>
      <c r="C3481" s="31" t="s">
        <v>1283</v>
      </c>
      <c r="D3481" s="31" t="s">
        <v>3663</v>
      </c>
      <c r="E3481" s="32">
        <v>46113.0</v>
      </c>
      <c r="F3481" s="32">
        <v>46171.0</v>
      </c>
      <c r="G3481" s="33"/>
    </row>
    <row r="3482" ht="15.75" customHeight="1">
      <c r="A3482" s="26" t="s">
        <v>7146</v>
      </c>
      <c r="B3482" s="27" t="s">
        <v>422</v>
      </c>
      <c r="C3482" s="27" t="s">
        <v>1216</v>
      </c>
      <c r="D3482" s="26" t="s">
        <v>3663</v>
      </c>
      <c r="E3482" s="28">
        <v>46113.0</v>
      </c>
      <c r="F3482" s="28">
        <v>46171.0</v>
      </c>
      <c r="G3482" s="29"/>
    </row>
    <row r="3483" ht="15.75" customHeight="1">
      <c r="A3483" s="30" t="s">
        <v>7147</v>
      </c>
      <c r="B3483" s="31" t="s">
        <v>422</v>
      </c>
      <c r="C3483" s="31" t="s">
        <v>1351</v>
      </c>
      <c r="D3483" s="30" t="s">
        <v>3663</v>
      </c>
      <c r="E3483" s="32">
        <v>46113.0</v>
      </c>
      <c r="F3483" s="32">
        <v>46171.0</v>
      </c>
      <c r="G3483" s="33"/>
    </row>
    <row r="3484" ht="15.75" customHeight="1">
      <c r="A3484" s="26" t="s">
        <v>7148</v>
      </c>
      <c r="B3484" s="27" t="s">
        <v>422</v>
      </c>
      <c r="C3484" s="27" t="s">
        <v>1349</v>
      </c>
      <c r="D3484" s="26" t="s">
        <v>3663</v>
      </c>
      <c r="E3484" s="28">
        <v>46113.0</v>
      </c>
      <c r="F3484" s="28">
        <v>46171.0</v>
      </c>
      <c r="G3484" s="29"/>
    </row>
    <row r="3485" ht="15.75" customHeight="1">
      <c r="A3485" s="30" t="s">
        <v>7149</v>
      </c>
      <c r="B3485" s="31" t="s">
        <v>422</v>
      </c>
      <c r="C3485" s="31" t="s">
        <v>968</v>
      </c>
      <c r="D3485" s="30" t="s">
        <v>3663</v>
      </c>
      <c r="E3485" s="32">
        <v>46113.0</v>
      </c>
      <c r="F3485" s="32">
        <v>46171.0</v>
      </c>
      <c r="G3485" s="33"/>
    </row>
    <row r="3486" ht="15.75" customHeight="1">
      <c r="A3486" s="26" t="s">
        <v>7150</v>
      </c>
      <c r="B3486" s="27" t="s">
        <v>422</v>
      </c>
      <c r="C3486" s="27" t="s">
        <v>923</v>
      </c>
      <c r="D3486" s="27" t="s">
        <v>3663</v>
      </c>
      <c r="E3486" s="28">
        <v>46113.0</v>
      </c>
      <c r="F3486" s="28">
        <v>46171.0</v>
      </c>
      <c r="G3486" s="29"/>
    </row>
    <row r="3487" ht="15.75" customHeight="1">
      <c r="A3487" s="30" t="s">
        <v>7151</v>
      </c>
      <c r="B3487" s="31" t="s">
        <v>423</v>
      </c>
      <c r="C3487" s="31" t="s">
        <v>932</v>
      </c>
      <c r="D3487" s="30" t="s">
        <v>3663</v>
      </c>
      <c r="E3487" s="32">
        <v>46113.0</v>
      </c>
      <c r="F3487" s="32">
        <v>46171.0</v>
      </c>
      <c r="G3487" s="33"/>
    </row>
    <row r="3488" ht="15.75" customHeight="1">
      <c r="A3488" s="26" t="s">
        <v>7152</v>
      </c>
      <c r="B3488" s="27" t="s">
        <v>423</v>
      </c>
      <c r="C3488" s="27" t="s">
        <v>1168</v>
      </c>
      <c r="D3488" s="26" t="s">
        <v>3663</v>
      </c>
      <c r="E3488" s="28">
        <v>46113.0</v>
      </c>
      <c r="F3488" s="28">
        <v>46171.0</v>
      </c>
      <c r="G3488" s="29"/>
    </row>
    <row r="3489" ht="15.75" customHeight="1">
      <c r="A3489" s="30" t="s">
        <v>7153</v>
      </c>
      <c r="B3489" s="31" t="s">
        <v>423</v>
      </c>
      <c r="C3489" s="31" t="s">
        <v>1170</v>
      </c>
      <c r="D3489" s="30" t="s">
        <v>3663</v>
      </c>
      <c r="E3489" s="32">
        <v>46113.0</v>
      </c>
      <c r="F3489" s="32">
        <v>46171.0</v>
      </c>
      <c r="G3489" s="33"/>
    </row>
    <row r="3490" ht="15.75" customHeight="1">
      <c r="A3490" s="26" t="s">
        <v>7154</v>
      </c>
      <c r="B3490" s="27" t="s">
        <v>423</v>
      </c>
      <c r="C3490" s="27" t="s">
        <v>1288</v>
      </c>
      <c r="D3490" s="26" t="s">
        <v>3663</v>
      </c>
      <c r="E3490" s="28">
        <v>46113.0</v>
      </c>
      <c r="F3490" s="28">
        <v>46171.0</v>
      </c>
      <c r="G3490" s="29"/>
    </row>
    <row r="3491" ht="15.75" customHeight="1">
      <c r="A3491" s="30" t="s">
        <v>7155</v>
      </c>
      <c r="B3491" s="31" t="s">
        <v>423</v>
      </c>
      <c r="C3491" s="31" t="s">
        <v>1291</v>
      </c>
      <c r="D3491" s="30" t="s">
        <v>3663</v>
      </c>
      <c r="E3491" s="32">
        <v>46113.0</v>
      </c>
      <c r="F3491" s="32">
        <v>46171.0</v>
      </c>
      <c r="G3491" s="33"/>
    </row>
    <row r="3492" ht="15.75" customHeight="1">
      <c r="A3492" s="26" t="s">
        <v>7156</v>
      </c>
      <c r="B3492" s="27" t="s">
        <v>423</v>
      </c>
      <c r="C3492" s="27" t="s">
        <v>1354</v>
      </c>
      <c r="D3492" s="26" t="s">
        <v>3663</v>
      </c>
      <c r="E3492" s="28">
        <v>46113.0</v>
      </c>
      <c r="F3492" s="28">
        <v>46171.0</v>
      </c>
      <c r="G3492" s="29"/>
    </row>
    <row r="3493" ht="15.75" customHeight="1">
      <c r="A3493" s="30" t="s">
        <v>7157</v>
      </c>
      <c r="B3493" s="31" t="s">
        <v>423</v>
      </c>
      <c r="C3493" s="31" t="s">
        <v>3681</v>
      </c>
      <c r="D3493" s="30" t="s">
        <v>3663</v>
      </c>
      <c r="E3493" s="32">
        <v>46113.0</v>
      </c>
      <c r="F3493" s="32">
        <v>46171.0</v>
      </c>
      <c r="G3493" s="33"/>
    </row>
    <row r="3494" ht="15.75" customHeight="1">
      <c r="A3494" s="26" t="s">
        <v>7158</v>
      </c>
      <c r="B3494" s="27" t="s">
        <v>423</v>
      </c>
      <c r="C3494" s="27" t="s">
        <v>3683</v>
      </c>
      <c r="D3494" s="26" t="s">
        <v>3663</v>
      </c>
      <c r="E3494" s="28">
        <v>46113.0</v>
      </c>
      <c r="F3494" s="28">
        <v>46171.0</v>
      </c>
      <c r="G3494" s="29"/>
    </row>
    <row r="3495" ht="15.75" customHeight="1">
      <c r="A3495" s="30" t="s">
        <v>7159</v>
      </c>
      <c r="B3495" s="31" t="s">
        <v>423</v>
      </c>
      <c r="C3495" s="31" t="s">
        <v>1218</v>
      </c>
      <c r="D3495" s="30" t="s">
        <v>3663</v>
      </c>
      <c r="E3495" s="32">
        <v>46113.0</v>
      </c>
      <c r="F3495" s="32">
        <v>46171.0</v>
      </c>
      <c r="G3495" s="33"/>
    </row>
    <row r="3496" ht="15.75" customHeight="1">
      <c r="A3496" s="26" t="s">
        <v>7160</v>
      </c>
      <c r="B3496" s="27" t="s">
        <v>423</v>
      </c>
      <c r="C3496" s="27" t="s">
        <v>1271</v>
      </c>
      <c r="D3496" s="26" t="s">
        <v>3663</v>
      </c>
      <c r="E3496" s="28">
        <v>46113.0</v>
      </c>
      <c r="F3496" s="28">
        <v>46171.0</v>
      </c>
      <c r="G3496" s="29"/>
    </row>
    <row r="3497" ht="15.75" customHeight="1">
      <c r="A3497" s="30" t="s">
        <v>7161</v>
      </c>
      <c r="B3497" s="31" t="s">
        <v>423</v>
      </c>
      <c r="C3497" s="31" t="s">
        <v>1351</v>
      </c>
      <c r="D3497" s="30" t="s">
        <v>3663</v>
      </c>
      <c r="E3497" s="32">
        <v>46113.0</v>
      </c>
      <c r="F3497" s="32">
        <v>46171.0</v>
      </c>
      <c r="G3497" s="33"/>
    </row>
    <row r="3498" ht="15.75" customHeight="1">
      <c r="A3498" s="26" t="s">
        <v>7162</v>
      </c>
      <c r="B3498" s="27" t="s">
        <v>423</v>
      </c>
      <c r="C3498" s="27" t="s">
        <v>1349</v>
      </c>
      <c r="D3498" s="26" t="s">
        <v>3663</v>
      </c>
      <c r="E3498" s="28">
        <v>46113.0</v>
      </c>
      <c r="F3498" s="28">
        <v>46171.0</v>
      </c>
      <c r="G3498" s="29"/>
    </row>
    <row r="3499" ht="15.75" customHeight="1">
      <c r="A3499" s="30" t="s">
        <v>7163</v>
      </c>
      <c r="B3499" s="31" t="s">
        <v>423</v>
      </c>
      <c r="C3499" s="31" t="s">
        <v>968</v>
      </c>
      <c r="D3499" s="30" t="s">
        <v>3663</v>
      </c>
      <c r="E3499" s="32">
        <v>46113.0</v>
      </c>
      <c r="F3499" s="32">
        <v>46171.0</v>
      </c>
      <c r="G3499" s="33"/>
    </row>
    <row r="3500" ht="15.75" customHeight="1">
      <c r="A3500" s="26" t="s">
        <v>7164</v>
      </c>
      <c r="B3500" s="27" t="s">
        <v>423</v>
      </c>
      <c r="C3500" s="27" t="s">
        <v>923</v>
      </c>
      <c r="D3500" s="26" t="s">
        <v>3663</v>
      </c>
      <c r="E3500" s="28">
        <v>46113.0</v>
      </c>
      <c r="F3500" s="28">
        <v>46171.0</v>
      </c>
      <c r="G3500" s="29"/>
    </row>
    <row r="3501" ht="15.75" customHeight="1">
      <c r="A3501" s="30" t="s">
        <v>7165</v>
      </c>
      <c r="B3501" s="31" t="s">
        <v>424</v>
      </c>
      <c r="C3501" s="31" t="s">
        <v>928</v>
      </c>
      <c r="D3501" s="30" t="s">
        <v>3663</v>
      </c>
      <c r="E3501" s="32">
        <v>46113.0</v>
      </c>
      <c r="F3501" s="32">
        <v>46171.0</v>
      </c>
      <c r="G3501" s="33"/>
    </row>
    <row r="3502" ht="15.75" customHeight="1">
      <c r="A3502" s="26" t="s">
        <v>7166</v>
      </c>
      <c r="B3502" s="27" t="s">
        <v>424</v>
      </c>
      <c r="C3502" s="27" t="s">
        <v>3640</v>
      </c>
      <c r="D3502" s="26" t="s">
        <v>3663</v>
      </c>
      <c r="E3502" s="28">
        <v>46113.0</v>
      </c>
      <c r="F3502" s="28">
        <v>46171.0</v>
      </c>
      <c r="G3502" s="29"/>
    </row>
    <row r="3503" ht="15.75" customHeight="1">
      <c r="A3503" s="30" t="s">
        <v>7167</v>
      </c>
      <c r="B3503" s="31" t="s">
        <v>424</v>
      </c>
      <c r="C3503" s="31" t="s">
        <v>1323</v>
      </c>
      <c r="D3503" s="30" t="s">
        <v>3663</v>
      </c>
      <c r="E3503" s="32">
        <v>46113.0</v>
      </c>
      <c r="F3503" s="32">
        <v>46171.0</v>
      </c>
      <c r="G3503" s="33"/>
    </row>
    <row r="3504" ht="15.75" customHeight="1">
      <c r="A3504" s="26" t="s">
        <v>7168</v>
      </c>
      <c r="B3504" s="27" t="s">
        <v>424</v>
      </c>
      <c r="C3504" s="27" t="s">
        <v>1354</v>
      </c>
      <c r="D3504" s="26" t="s">
        <v>3663</v>
      </c>
      <c r="E3504" s="28">
        <v>46113.0</v>
      </c>
      <c r="F3504" s="28">
        <v>46171.0</v>
      </c>
      <c r="G3504" s="29"/>
    </row>
    <row r="3505" ht="15.75" customHeight="1">
      <c r="A3505" s="30" t="s">
        <v>7169</v>
      </c>
      <c r="B3505" s="31" t="s">
        <v>424</v>
      </c>
      <c r="C3505" s="31" t="s">
        <v>1222</v>
      </c>
      <c r="D3505" s="30" t="s">
        <v>3663</v>
      </c>
      <c r="E3505" s="32">
        <v>46113.0</v>
      </c>
      <c r="F3505" s="32">
        <v>46171.0</v>
      </c>
      <c r="G3505" s="33"/>
    </row>
    <row r="3506" ht="15.75" customHeight="1">
      <c r="A3506" s="26" t="s">
        <v>7170</v>
      </c>
      <c r="B3506" s="27" t="s">
        <v>424</v>
      </c>
      <c r="C3506" s="27" t="s">
        <v>1224</v>
      </c>
      <c r="D3506" s="26" t="s">
        <v>3663</v>
      </c>
      <c r="E3506" s="28">
        <v>46113.0</v>
      </c>
      <c r="F3506" s="28">
        <v>46171.0</v>
      </c>
      <c r="G3506" s="29"/>
    </row>
    <row r="3507" ht="15.75" customHeight="1">
      <c r="A3507" s="30" t="s">
        <v>7171</v>
      </c>
      <c r="B3507" s="31" t="s">
        <v>424</v>
      </c>
      <c r="C3507" s="31" t="s">
        <v>1226</v>
      </c>
      <c r="D3507" s="30" t="s">
        <v>3663</v>
      </c>
      <c r="E3507" s="32">
        <v>46113.0</v>
      </c>
      <c r="F3507" s="32">
        <v>46171.0</v>
      </c>
      <c r="G3507" s="33"/>
    </row>
    <row r="3508" ht="15.75" customHeight="1">
      <c r="A3508" s="26" t="s">
        <v>7172</v>
      </c>
      <c r="B3508" s="27" t="s">
        <v>424</v>
      </c>
      <c r="C3508" s="27" t="s">
        <v>1228</v>
      </c>
      <c r="D3508" s="26" t="s">
        <v>3663</v>
      </c>
      <c r="E3508" s="28">
        <v>46113.0</v>
      </c>
      <c r="F3508" s="28">
        <v>46171.0</v>
      </c>
      <c r="G3508" s="29"/>
    </row>
    <row r="3509" ht="15.75" customHeight="1">
      <c r="A3509" s="30" t="s">
        <v>7173</v>
      </c>
      <c r="B3509" s="31" t="s">
        <v>424</v>
      </c>
      <c r="C3509" s="31" t="s">
        <v>3681</v>
      </c>
      <c r="D3509" s="30" t="s">
        <v>3663</v>
      </c>
      <c r="E3509" s="32">
        <v>46113.0</v>
      </c>
      <c r="F3509" s="32">
        <v>46171.0</v>
      </c>
      <c r="G3509" s="33"/>
    </row>
    <row r="3510" ht="15.75" customHeight="1">
      <c r="A3510" s="26" t="s">
        <v>7174</v>
      </c>
      <c r="B3510" s="27" t="s">
        <v>424</v>
      </c>
      <c r="C3510" s="27" t="s">
        <v>3683</v>
      </c>
      <c r="D3510" s="26" t="s">
        <v>3663</v>
      </c>
      <c r="E3510" s="28">
        <v>46113.0</v>
      </c>
      <c r="F3510" s="28">
        <v>46171.0</v>
      </c>
      <c r="G3510" s="29"/>
    </row>
    <row r="3511" ht="15.75" customHeight="1">
      <c r="A3511" s="30" t="s">
        <v>7175</v>
      </c>
      <c r="B3511" s="31" t="s">
        <v>424</v>
      </c>
      <c r="C3511" s="31" t="s">
        <v>1351</v>
      </c>
      <c r="D3511" s="30" t="s">
        <v>3663</v>
      </c>
      <c r="E3511" s="32">
        <v>46113.0</v>
      </c>
      <c r="F3511" s="32">
        <v>46171.0</v>
      </c>
      <c r="G3511" s="33"/>
    </row>
    <row r="3512" ht="15.75" customHeight="1">
      <c r="A3512" s="26" t="s">
        <v>7176</v>
      </c>
      <c r="B3512" s="27" t="s">
        <v>424</v>
      </c>
      <c r="C3512" s="27" t="s">
        <v>1349</v>
      </c>
      <c r="D3512" s="26" t="s">
        <v>3663</v>
      </c>
      <c r="E3512" s="28">
        <v>46113.0</v>
      </c>
      <c r="F3512" s="28">
        <v>46171.0</v>
      </c>
      <c r="G3512" s="29"/>
    </row>
    <row r="3513" ht="15.75" customHeight="1">
      <c r="A3513" s="30" t="s">
        <v>7177</v>
      </c>
      <c r="B3513" s="31" t="s">
        <v>424</v>
      </c>
      <c r="C3513" s="31" t="s">
        <v>968</v>
      </c>
      <c r="D3513" s="30" t="s">
        <v>3663</v>
      </c>
      <c r="E3513" s="32">
        <v>46113.0</v>
      </c>
      <c r="F3513" s="32">
        <v>46171.0</v>
      </c>
      <c r="G3513" s="33"/>
    </row>
    <row r="3514" ht="15.75" customHeight="1">
      <c r="A3514" s="26" t="s">
        <v>7178</v>
      </c>
      <c r="B3514" s="27" t="s">
        <v>424</v>
      </c>
      <c r="C3514" s="27" t="s">
        <v>923</v>
      </c>
      <c r="D3514" s="26" t="s">
        <v>3663</v>
      </c>
      <c r="E3514" s="28">
        <v>46113.0</v>
      </c>
      <c r="F3514" s="28">
        <v>46171.0</v>
      </c>
      <c r="G3514" s="29"/>
    </row>
    <row r="3515" ht="15.75" customHeight="1">
      <c r="A3515" s="30" t="s">
        <v>7179</v>
      </c>
      <c r="B3515" s="31" t="s">
        <v>425</v>
      </c>
      <c r="C3515" s="31" t="s">
        <v>3654</v>
      </c>
      <c r="D3515" s="30" t="s">
        <v>3663</v>
      </c>
      <c r="E3515" s="32">
        <v>46113.0</v>
      </c>
      <c r="F3515" s="32">
        <v>46171.0</v>
      </c>
      <c r="G3515" s="33"/>
    </row>
    <row r="3516" ht="15.75" customHeight="1">
      <c r="A3516" s="26" t="s">
        <v>7180</v>
      </c>
      <c r="B3516" s="27" t="s">
        <v>425</v>
      </c>
      <c r="C3516" s="27" t="s">
        <v>3655</v>
      </c>
      <c r="D3516" s="26" t="s">
        <v>3663</v>
      </c>
      <c r="E3516" s="28">
        <v>46113.0</v>
      </c>
      <c r="F3516" s="28">
        <v>46171.0</v>
      </c>
      <c r="G3516" s="29"/>
    </row>
    <row r="3517" ht="15.75" customHeight="1">
      <c r="A3517" s="30" t="s">
        <v>7181</v>
      </c>
      <c r="B3517" s="31" t="s">
        <v>425</v>
      </c>
      <c r="C3517" s="31" t="s">
        <v>932</v>
      </c>
      <c r="D3517" s="30" t="s">
        <v>3663</v>
      </c>
      <c r="E3517" s="32">
        <v>46113.0</v>
      </c>
      <c r="F3517" s="32">
        <v>46171.0</v>
      </c>
      <c r="G3517" s="33"/>
    </row>
    <row r="3518" ht="15.75" customHeight="1">
      <c r="A3518" s="26" t="s">
        <v>7182</v>
      </c>
      <c r="B3518" s="27" t="s">
        <v>425</v>
      </c>
      <c r="C3518" s="27" t="s">
        <v>1168</v>
      </c>
      <c r="D3518" s="26" t="s">
        <v>3663</v>
      </c>
      <c r="E3518" s="28">
        <v>46113.0</v>
      </c>
      <c r="F3518" s="28">
        <v>46171.0</v>
      </c>
      <c r="G3518" s="29"/>
    </row>
    <row r="3519" ht="15.75" customHeight="1">
      <c r="A3519" s="30" t="s">
        <v>7183</v>
      </c>
      <c r="B3519" s="31" t="s">
        <v>425</v>
      </c>
      <c r="C3519" s="31" t="s">
        <v>1170</v>
      </c>
      <c r="D3519" s="30" t="s">
        <v>3663</v>
      </c>
      <c r="E3519" s="32">
        <v>46113.0</v>
      </c>
      <c r="F3519" s="32">
        <v>46171.0</v>
      </c>
      <c r="G3519" s="33"/>
    </row>
    <row r="3520" ht="15.75" customHeight="1">
      <c r="A3520" s="26" t="s">
        <v>7184</v>
      </c>
      <c r="B3520" s="27" t="s">
        <v>425</v>
      </c>
      <c r="C3520" s="27" t="s">
        <v>1288</v>
      </c>
      <c r="D3520" s="26" t="s">
        <v>3663</v>
      </c>
      <c r="E3520" s="28">
        <v>46113.0</v>
      </c>
      <c r="F3520" s="28">
        <v>46171.0</v>
      </c>
      <c r="G3520" s="29"/>
    </row>
    <row r="3521" ht="15.75" customHeight="1">
      <c r="A3521" s="30" t="s">
        <v>7185</v>
      </c>
      <c r="B3521" s="31" t="s">
        <v>425</v>
      </c>
      <c r="C3521" s="31" t="s">
        <v>1291</v>
      </c>
      <c r="D3521" s="30" t="s">
        <v>3663</v>
      </c>
      <c r="E3521" s="32">
        <v>46113.0</v>
      </c>
      <c r="F3521" s="32">
        <v>46171.0</v>
      </c>
      <c r="G3521" s="33"/>
    </row>
    <row r="3522" ht="15.75" customHeight="1">
      <c r="A3522" s="26" t="s">
        <v>7186</v>
      </c>
      <c r="B3522" s="27" t="s">
        <v>425</v>
      </c>
      <c r="C3522" s="27" t="s">
        <v>1354</v>
      </c>
      <c r="D3522" s="26" t="s">
        <v>3663</v>
      </c>
      <c r="E3522" s="28">
        <v>46113.0</v>
      </c>
      <c r="F3522" s="28">
        <v>46171.0</v>
      </c>
      <c r="G3522" s="29"/>
    </row>
    <row r="3523" ht="15.75" customHeight="1">
      <c r="A3523" s="30" t="s">
        <v>7187</v>
      </c>
      <c r="B3523" s="31" t="s">
        <v>425</v>
      </c>
      <c r="C3523" s="31" t="s">
        <v>1312</v>
      </c>
      <c r="D3523" s="30" t="s">
        <v>3663</v>
      </c>
      <c r="E3523" s="32">
        <v>46113.0</v>
      </c>
      <c r="F3523" s="32">
        <v>46171.0</v>
      </c>
      <c r="G3523" s="33"/>
    </row>
    <row r="3524" ht="15.75" customHeight="1">
      <c r="A3524" s="26" t="s">
        <v>7188</v>
      </c>
      <c r="B3524" s="27" t="s">
        <v>425</v>
      </c>
      <c r="C3524" s="27" t="s">
        <v>1208</v>
      </c>
      <c r="D3524" s="26" t="s">
        <v>3663</v>
      </c>
      <c r="E3524" s="28">
        <v>46113.0</v>
      </c>
      <c r="F3524" s="28">
        <v>46171.0</v>
      </c>
      <c r="G3524" s="29"/>
    </row>
    <row r="3525" ht="15.75" customHeight="1">
      <c r="A3525" s="30" t="s">
        <v>7189</v>
      </c>
      <c r="B3525" s="31" t="s">
        <v>425</v>
      </c>
      <c r="C3525" s="31" t="s">
        <v>1351</v>
      </c>
      <c r="D3525" s="30" t="s">
        <v>3663</v>
      </c>
      <c r="E3525" s="32">
        <v>46113.0</v>
      </c>
      <c r="F3525" s="32">
        <v>46171.0</v>
      </c>
      <c r="G3525" s="33"/>
    </row>
    <row r="3526" ht="15.75" customHeight="1">
      <c r="A3526" s="26" t="s">
        <v>7190</v>
      </c>
      <c r="B3526" s="27" t="s">
        <v>425</v>
      </c>
      <c r="C3526" s="27" t="s">
        <v>1349</v>
      </c>
      <c r="D3526" s="26" t="s">
        <v>3663</v>
      </c>
      <c r="E3526" s="28">
        <v>46113.0</v>
      </c>
      <c r="F3526" s="28">
        <v>46171.0</v>
      </c>
      <c r="G3526" s="29"/>
    </row>
    <row r="3527" ht="15.75" customHeight="1">
      <c r="A3527" s="30" t="s">
        <v>7191</v>
      </c>
      <c r="B3527" s="31" t="s">
        <v>425</v>
      </c>
      <c r="C3527" s="31" t="s">
        <v>968</v>
      </c>
      <c r="D3527" s="30" t="s">
        <v>3663</v>
      </c>
      <c r="E3527" s="32">
        <v>46113.0</v>
      </c>
      <c r="F3527" s="32">
        <v>46171.0</v>
      </c>
      <c r="G3527" s="33"/>
    </row>
    <row r="3528" ht="15.75" customHeight="1">
      <c r="A3528" s="26" t="s">
        <v>7192</v>
      </c>
      <c r="B3528" s="27" t="s">
        <v>425</v>
      </c>
      <c r="C3528" s="27" t="s">
        <v>923</v>
      </c>
      <c r="D3528" s="26" t="s">
        <v>3663</v>
      </c>
      <c r="E3528" s="28">
        <v>46113.0</v>
      </c>
      <c r="F3528" s="28">
        <v>46171.0</v>
      </c>
      <c r="G3528" s="29"/>
    </row>
    <row r="3529" ht="15.75" customHeight="1">
      <c r="A3529" s="30" t="s">
        <v>7193</v>
      </c>
      <c r="B3529" s="31" t="s">
        <v>426</v>
      </c>
      <c r="C3529" s="31" t="s">
        <v>3654</v>
      </c>
      <c r="D3529" s="30" t="s">
        <v>3663</v>
      </c>
      <c r="E3529" s="32">
        <v>46113.0</v>
      </c>
      <c r="F3529" s="32">
        <v>46171.0</v>
      </c>
      <c r="G3529" s="33"/>
    </row>
    <row r="3530" ht="15.75" customHeight="1">
      <c r="A3530" s="26" t="s">
        <v>7194</v>
      </c>
      <c r="B3530" s="27" t="s">
        <v>426</v>
      </c>
      <c r="C3530" s="27" t="s">
        <v>3655</v>
      </c>
      <c r="D3530" s="26" t="s">
        <v>3663</v>
      </c>
      <c r="E3530" s="28">
        <v>46113.0</v>
      </c>
      <c r="F3530" s="28">
        <v>46171.0</v>
      </c>
      <c r="G3530" s="29"/>
    </row>
    <row r="3531" ht="15.75" customHeight="1">
      <c r="A3531" s="30" t="s">
        <v>7195</v>
      </c>
      <c r="B3531" s="31" t="s">
        <v>426</v>
      </c>
      <c r="C3531" s="31" t="s">
        <v>932</v>
      </c>
      <c r="D3531" s="30" t="s">
        <v>3663</v>
      </c>
      <c r="E3531" s="32">
        <v>46113.0</v>
      </c>
      <c r="F3531" s="32">
        <v>46171.0</v>
      </c>
      <c r="G3531" s="33"/>
    </row>
    <row r="3532" ht="15.75" customHeight="1">
      <c r="A3532" s="26" t="s">
        <v>7196</v>
      </c>
      <c r="B3532" s="27" t="s">
        <v>426</v>
      </c>
      <c r="C3532" s="27" t="s">
        <v>1168</v>
      </c>
      <c r="D3532" s="26" t="s">
        <v>3663</v>
      </c>
      <c r="E3532" s="28">
        <v>46113.0</v>
      </c>
      <c r="F3532" s="28">
        <v>46171.0</v>
      </c>
      <c r="G3532" s="29"/>
    </row>
    <row r="3533" ht="15.75" customHeight="1">
      <c r="A3533" s="30" t="s">
        <v>7197</v>
      </c>
      <c r="B3533" s="31" t="s">
        <v>426</v>
      </c>
      <c r="C3533" s="31" t="s">
        <v>1170</v>
      </c>
      <c r="D3533" s="30" t="s">
        <v>3663</v>
      </c>
      <c r="E3533" s="32">
        <v>46113.0</v>
      </c>
      <c r="F3533" s="32">
        <v>46171.0</v>
      </c>
      <c r="G3533" s="33"/>
    </row>
    <row r="3534" ht="15.75" customHeight="1">
      <c r="A3534" s="26" t="s">
        <v>7198</v>
      </c>
      <c r="B3534" s="27" t="s">
        <v>426</v>
      </c>
      <c r="C3534" s="27" t="s">
        <v>1288</v>
      </c>
      <c r="D3534" s="26" t="s">
        <v>3663</v>
      </c>
      <c r="E3534" s="28">
        <v>46113.0</v>
      </c>
      <c r="F3534" s="28">
        <v>46171.0</v>
      </c>
      <c r="G3534" s="29"/>
    </row>
    <row r="3535" ht="15.75" customHeight="1">
      <c r="A3535" s="30" t="s">
        <v>7199</v>
      </c>
      <c r="B3535" s="31" t="s">
        <v>426</v>
      </c>
      <c r="C3535" s="31" t="s">
        <v>1291</v>
      </c>
      <c r="D3535" s="30" t="s">
        <v>3663</v>
      </c>
      <c r="E3535" s="32">
        <v>46113.0</v>
      </c>
      <c r="F3535" s="32">
        <v>46171.0</v>
      </c>
      <c r="G3535" s="33"/>
    </row>
    <row r="3536" ht="15.75" customHeight="1">
      <c r="A3536" s="26" t="s">
        <v>7200</v>
      </c>
      <c r="B3536" s="27" t="s">
        <v>426</v>
      </c>
      <c r="C3536" s="27" t="s">
        <v>1354</v>
      </c>
      <c r="D3536" s="26" t="s">
        <v>3663</v>
      </c>
      <c r="E3536" s="28">
        <v>46113.0</v>
      </c>
      <c r="F3536" s="28">
        <v>46171.0</v>
      </c>
      <c r="G3536" s="29"/>
    </row>
    <row r="3537" ht="15.75" customHeight="1">
      <c r="A3537" s="30" t="s">
        <v>7201</v>
      </c>
      <c r="B3537" s="31" t="s">
        <v>426</v>
      </c>
      <c r="C3537" s="31" t="s">
        <v>3647</v>
      </c>
      <c r="D3537" s="30" t="s">
        <v>3663</v>
      </c>
      <c r="E3537" s="32">
        <v>46113.0</v>
      </c>
      <c r="F3537" s="32">
        <v>46171.0</v>
      </c>
      <c r="G3537" s="33"/>
    </row>
    <row r="3538" ht="15.75" customHeight="1">
      <c r="A3538" s="26" t="s">
        <v>7202</v>
      </c>
      <c r="B3538" s="27" t="s">
        <v>426</v>
      </c>
      <c r="C3538" s="27" t="s">
        <v>952</v>
      </c>
      <c r="D3538" s="26" t="s">
        <v>3663</v>
      </c>
      <c r="E3538" s="28">
        <v>46113.0</v>
      </c>
      <c r="F3538" s="28">
        <v>46171.0</v>
      </c>
      <c r="G3538" s="29"/>
    </row>
    <row r="3539" ht="15.75" customHeight="1">
      <c r="A3539" s="30" t="s">
        <v>7203</v>
      </c>
      <c r="B3539" s="31" t="s">
        <v>426</v>
      </c>
      <c r="C3539" s="31" t="s">
        <v>1218</v>
      </c>
      <c r="D3539" s="30" t="s">
        <v>3663</v>
      </c>
      <c r="E3539" s="32">
        <v>46113.0</v>
      </c>
      <c r="F3539" s="32">
        <v>46171.0</v>
      </c>
      <c r="G3539" s="33"/>
    </row>
    <row r="3540" ht="15.75" customHeight="1">
      <c r="A3540" s="26" t="s">
        <v>7204</v>
      </c>
      <c r="B3540" s="27" t="s">
        <v>426</v>
      </c>
      <c r="C3540" s="27" t="s">
        <v>1271</v>
      </c>
      <c r="D3540" s="26" t="s">
        <v>3663</v>
      </c>
      <c r="E3540" s="28">
        <v>46113.0</v>
      </c>
      <c r="F3540" s="28">
        <v>46171.0</v>
      </c>
      <c r="G3540" s="29"/>
    </row>
    <row r="3541" ht="15.75" customHeight="1">
      <c r="A3541" s="30" t="s">
        <v>7205</v>
      </c>
      <c r="B3541" s="31" t="s">
        <v>426</v>
      </c>
      <c r="C3541" s="31" t="s">
        <v>968</v>
      </c>
      <c r="D3541" s="30" t="s">
        <v>3663</v>
      </c>
      <c r="E3541" s="32">
        <v>46113.0</v>
      </c>
      <c r="F3541" s="32">
        <v>46171.0</v>
      </c>
      <c r="G3541" s="33"/>
    </row>
    <row r="3542" ht="15.75" customHeight="1">
      <c r="A3542" s="26" t="s">
        <v>7206</v>
      </c>
      <c r="B3542" s="27" t="s">
        <v>426</v>
      </c>
      <c r="C3542" s="27" t="s">
        <v>923</v>
      </c>
      <c r="D3542" s="26" t="s">
        <v>3663</v>
      </c>
      <c r="E3542" s="28">
        <v>46113.0</v>
      </c>
      <c r="F3542" s="28">
        <v>46171.0</v>
      </c>
      <c r="G3542" s="29"/>
    </row>
    <row r="3543" ht="15.75" customHeight="1">
      <c r="A3543" s="30" t="s">
        <v>7207</v>
      </c>
      <c r="B3543" s="31" t="s">
        <v>427</v>
      </c>
      <c r="C3543" s="31" t="s">
        <v>928</v>
      </c>
      <c r="D3543" s="30" t="s">
        <v>3663</v>
      </c>
      <c r="E3543" s="32">
        <v>46113.0</v>
      </c>
      <c r="F3543" s="32">
        <v>46171.0</v>
      </c>
      <c r="G3543" s="33"/>
    </row>
    <row r="3544" ht="15.75" customHeight="1">
      <c r="A3544" s="26" t="s">
        <v>7208</v>
      </c>
      <c r="B3544" s="27" t="s">
        <v>427</v>
      </c>
      <c r="C3544" s="27" t="s">
        <v>1354</v>
      </c>
      <c r="D3544" s="26" t="s">
        <v>3663</v>
      </c>
      <c r="E3544" s="28">
        <v>46113.0</v>
      </c>
      <c r="F3544" s="28">
        <v>46171.0</v>
      </c>
      <c r="G3544" s="29"/>
    </row>
    <row r="3545" ht="15.75" customHeight="1">
      <c r="A3545" s="30" t="s">
        <v>7209</v>
      </c>
      <c r="B3545" s="31" t="s">
        <v>427</v>
      </c>
      <c r="C3545" s="31" t="s">
        <v>1222</v>
      </c>
      <c r="D3545" s="30" t="s">
        <v>3663</v>
      </c>
      <c r="E3545" s="32">
        <v>46113.0</v>
      </c>
      <c r="F3545" s="32">
        <v>46171.0</v>
      </c>
      <c r="G3545" s="33"/>
    </row>
    <row r="3546" ht="15.75" customHeight="1">
      <c r="A3546" s="26" t="s">
        <v>7210</v>
      </c>
      <c r="B3546" s="27" t="s">
        <v>427</v>
      </c>
      <c r="C3546" s="27" t="s">
        <v>1224</v>
      </c>
      <c r="D3546" s="26" t="s">
        <v>3663</v>
      </c>
      <c r="E3546" s="28">
        <v>46113.0</v>
      </c>
      <c r="F3546" s="28">
        <v>46171.0</v>
      </c>
      <c r="G3546" s="29"/>
    </row>
    <row r="3547" ht="15.75" customHeight="1">
      <c r="A3547" s="30" t="s">
        <v>7211</v>
      </c>
      <c r="B3547" s="31" t="s">
        <v>427</v>
      </c>
      <c r="C3547" s="31" t="s">
        <v>1226</v>
      </c>
      <c r="D3547" s="30" t="s">
        <v>3663</v>
      </c>
      <c r="E3547" s="32">
        <v>46113.0</v>
      </c>
      <c r="F3547" s="32">
        <v>46171.0</v>
      </c>
      <c r="G3547" s="33"/>
    </row>
    <row r="3548" ht="15.75" customHeight="1">
      <c r="A3548" s="26" t="s">
        <v>7212</v>
      </c>
      <c r="B3548" s="27" t="s">
        <v>427</v>
      </c>
      <c r="C3548" s="27" t="s">
        <v>1228</v>
      </c>
      <c r="D3548" s="26" t="s">
        <v>3663</v>
      </c>
      <c r="E3548" s="28">
        <v>46113.0</v>
      </c>
      <c r="F3548" s="28">
        <v>46171.0</v>
      </c>
      <c r="G3548" s="29"/>
    </row>
    <row r="3549" ht="15.75" customHeight="1">
      <c r="A3549" s="30" t="s">
        <v>7213</v>
      </c>
      <c r="B3549" s="31" t="s">
        <v>427</v>
      </c>
      <c r="C3549" s="31" t="s">
        <v>1159</v>
      </c>
      <c r="D3549" s="30" t="s">
        <v>3663</v>
      </c>
      <c r="E3549" s="32">
        <v>46113.0</v>
      </c>
      <c r="F3549" s="32">
        <v>46171.0</v>
      </c>
      <c r="G3549" s="33"/>
    </row>
    <row r="3550" ht="15.75" customHeight="1">
      <c r="A3550" s="26" t="s">
        <v>7214</v>
      </c>
      <c r="B3550" s="27" t="s">
        <v>427</v>
      </c>
      <c r="C3550" s="27" t="s">
        <v>3656</v>
      </c>
      <c r="D3550" s="26" t="s">
        <v>3663</v>
      </c>
      <c r="E3550" s="28">
        <v>46113.0</v>
      </c>
      <c r="F3550" s="28">
        <v>46171.0</v>
      </c>
      <c r="G3550" s="29"/>
    </row>
    <row r="3551" ht="15.75" customHeight="1">
      <c r="A3551" s="30" t="s">
        <v>7215</v>
      </c>
      <c r="B3551" s="31" t="s">
        <v>427</v>
      </c>
      <c r="C3551" s="31" t="s">
        <v>3657</v>
      </c>
      <c r="D3551" s="30" t="s">
        <v>3663</v>
      </c>
      <c r="E3551" s="32">
        <v>46113.0</v>
      </c>
      <c r="F3551" s="32">
        <v>46171.0</v>
      </c>
      <c r="G3551" s="33"/>
    </row>
    <row r="3552" ht="15.75" customHeight="1">
      <c r="A3552" s="26" t="s">
        <v>7216</v>
      </c>
      <c r="B3552" s="27" t="s">
        <v>427</v>
      </c>
      <c r="C3552" s="27" t="s">
        <v>3647</v>
      </c>
      <c r="D3552" s="26" t="s">
        <v>3663</v>
      </c>
      <c r="E3552" s="28">
        <v>46113.0</v>
      </c>
      <c r="F3552" s="28">
        <v>46171.0</v>
      </c>
      <c r="G3552" s="29"/>
    </row>
    <row r="3553" ht="15.75" customHeight="1">
      <c r="A3553" s="30" t="s">
        <v>7217</v>
      </c>
      <c r="B3553" s="31" t="s">
        <v>427</v>
      </c>
      <c r="C3553" s="31" t="s">
        <v>952</v>
      </c>
      <c r="D3553" s="30" t="s">
        <v>3663</v>
      </c>
      <c r="E3553" s="32">
        <v>46113.0</v>
      </c>
      <c r="F3553" s="32">
        <v>46171.0</v>
      </c>
      <c r="G3553" s="33"/>
    </row>
    <row r="3554" ht="15.75" customHeight="1">
      <c r="A3554" s="26" t="s">
        <v>7218</v>
      </c>
      <c r="B3554" s="27" t="s">
        <v>427</v>
      </c>
      <c r="C3554" s="27" t="s">
        <v>1216</v>
      </c>
      <c r="D3554" s="26" t="s">
        <v>3663</v>
      </c>
      <c r="E3554" s="28">
        <v>46113.0</v>
      </c>
      <c r="F3554" s="28">
        <v>46171.0</v>
      </c>
      <c r="G3554" s="29"/>
    </row>
    <row r="3555" ht="15.75" customHeight="1">
      <c r="A3555" s="30" t="s">
        <v>7219</v>
      </c>
      <c r="B3555" s="31" t="s">
        <v>427</v>
      </c>
      <c r="C3555" s="31" t="s">
        <v>968</v>
      </c>
      <c r="D3555" s="30" t="s">
        <v>3663</v>
      </c>
      <c r="E3555" s="32">
        <v>46113.0</v>
      </c>
      <c r="F3555" s="32">
        <v>46171.0</v>
      </c>
      <c r="G3555" s="33"/>
    </row>
    <row r="3556" ht="15.75" customHeight="1">
      <c r="A3556" s="26" t="s">
        <v>7220</v>
      </c>
      <c r="B3556" s="27" t="s">
        <v>427</v>
      </c>
      <c r="C3556" s="27" t="s">
        <v>923</v>
      </c>
      <c r="D3556" s="26" t="s">
        <v>3663</v>
      </c>
      <c r="E3556" s="28">
        <v>46113.0</v>
      </c>
      <c r="F3556" s="28">
        <v>46171.0</v>
      </c>
      <c r="G3556" s="29"/>
    </row>
    <row r="3557" ht="15.75" customHeight="1">
      <c r="A3557" s="30" t="s">
        <v>7221</v>
      </c>
      <c r="B3557" s="31" t="s">
        <v>428</v>
      </c>
      <c r="C3557" s="31" t="s">
        <v>932</v>
      </c>
      <c r="D3557" s="30" t="s">
        <v>3663</v>
      </c>
      <c r="E3557" s="32">
        <v>46113.0</v>
      </c>
      <c r="F3557" s="32">
        <v>46171.0</v>
      </c>
      <c r="G3557" s="33"/>
    </row>
    <row r="3558" ht="15.75" customHeight="1">
      <c r="A3558" s="26" t="s">
        <v>7222</v>
      </c>
      <c r="B3558" s="27" t="s">
        <v>428</v>
      </c>
      <c r="C3558" s="27" t="s">
        <v>1164</v>
      </c>
      <c r="D3558" s="26" t="s">
        <v>3663</v>
      </c>
      <c r="E3558" s="28">
        <v>46113.0</v>
      </c>
      <c r="F3558" s="28">
        <v>46171.0</v>
      </c>
      <c r="G3558" s="29"/>
    </row>
    <row r="3559" ht="15.75" customHeight="1">
      <c r="A3559" s="30" t="s">
        <v>7223</v>
      </c>
      <c r="B3559" s="31" t="s">
        <v>428</v>
      </c>
      <c r="C3559" s="31" t="s">
        <v>1166</v>
      </c>
      <c r="D3559" s="30" t="s">
        <v>3663</v>
      </c>
      <c r="E3559" s="32">
        <v>46113.0</v>
      </c>
      <c r="F3559" s="32">
        <v>46171.0</v>
      </c>
      <c r="G3559" s="33"/>
    </row>
    <row r="3560" ht="15.75" customHeight="1">
      <c r="A3560" s="26" t="s">
        <v>7224</v>
      </c>
      <c r="B3560" s="27" t="s">
        <v>428</v>
      </c>
      <c r="C3560" s="27" t="s">
        <v>1168</v>
      </c>
      <c r="D3560" s="26" t="s">
        <v>3663</v>
      </c>
      <c r="E3560" s="28">
        <v>46113.0</v>
      </c>
      <c r="F3560" s="28">
        <v>46171.0</v>
      </c>
      <c r="G3560" s="29"/>
    </row>
    <row r="3561" ht="15.75" customHeight="1">
      <c r="A3561" s="30" t="s">
        <v>7225</v>
      </c>
      <c r="B3561" s="31" t="s">
        <v>428</v>
      </c>
      <c r="C3561" s="31" t="s">
        <v>1170</v>
      </c>
      <c r="D3561" s="30" t="s">
        <v>3663</v>
      </c>
      <c r="E3561" s="32">
        <v>46113.0</v>
      </c>
      <c r="F3561" s="32">
        <v>46171.0</v>
      </c>
      <c r="G3561" s="33"/>
    </row>
    <row r="3562" ht="15.75" customHeight="1">
      <c r="A3562" s="26" t="s">
        <v>7226</v>
      </c>
      <c r="B3562" s="27" t="s">
        <v>428</v>
      </c>
      <c r="C3562" s="27" t="s">
        <v>1354</v>
      </c>
      <c r="D3562" s="26" t="s">
        <v>3663</v>
      </c>
      <c r="E3562" s="28">
        <v>46113.0</v>
      </c>
      <c r="F3562" s="28">
        <v>46171.0</v>
      </c>
      <c r="G3562" s="29"/>
    </row>
    <row r="3563" ht="15.75" customHeight="1">
      <c r="A3563" s="30" t="s">
        <v>7227</v>
      </c>
      <c r="B3563" s="31" t="s">
        <v>428</v>
      </c>
      <c r="C3563" s="31" t="s">
        <v>3681</v>
      </c>
      <c r="D3563" s="30" t="s">
        <v>3663</v>
      </c>
      <c r="E3563" s="32">
        <v>46113.0</v>
      </c>
      <c r="F3563" s="32">
        <v>46171.0</v>
      </c>
      <c r="G3563" s="33"/>
    </row>
    <row r="3564" ht="15.75" customHeight="1">
      <c r="A3564" s="26" t="s">
        <v>7228</v>
      </c>
      <c r="B3564" s="27" t="s">
        <v>428</v>
      </c>
      <c r="C3564" s="27" t="s">
        <v>3683</v>
      </c>
      <c r="D3564" s="26" t="s">
        <v>3663</v>
      </c>
      <c r="E3564" s="28">
        <v>46113.0</v>
      </c>
      <c r="F3564" s="28">
        <v>46171.0</v>
      </c>
      <c r="G3564" s="29"/>
    </row>
    <row r="3565" ht="15.75" customHeight="1">
      <c r="A3565" s="30" t="s">
        <v>7229</v>
      </c>
      <c r="B3565" s="31" t="s">
        <v>428</v>
      </c>
      <c r="C3565" s="31" t="s">
        <v>1159</v>
      </c>
      <c r="D3565" s="30" t="s">
        <v>3663</v>
      </c>
      <c r="E3565" s="32">
        <v>46113.0</v>
      </c>
      <c r="F3565" s="32">
        <v>46171.0</v>
      </c>
      <c r="G3565" s="33"/>
    </row>
    <row r="3566" ht="15.75" customHeight="1">
      <c r="A3566" s="26" t="s">
        <v>7230</v>
      </c>
      <c r="B3566" s="27" t="s">
        <v>428</v>
      </c>
      <c r="C3566" s="27" t="s">
        <v>1216</v>
      </c>
      <c r="D3566" s="26" t="s">
        <v>3663</v>
      </c>
      <c r="E3566" s="28">
        <v>46113.0</v>
      </c>
      <c r="F3566" s="28">
        <v>46171.0</v>
      </c>
      <c r="G3566" s="29"/>
    </row>
    <row r="3567" ht="15.75" customHeight="1">
      <c r="A3567" s="30" t="s">
        <v>7231</v>
      </c>
      <c r="B3567" s="31" t="s">
        <v>428</v>
      </c>
      <c r="C3567" s="31" t="s">
        <v>1351</v>
      </c>
      <c r="D3567" s="30" t="s">
        <v>3663</v>
      </c>
      <c r="E3567" s="32">
        <v>46113.0</v>
      </c>
      <c r="F3567" s="32">
        <v>46171.0</v>
      </c>
      <c r="G3567" s="33"/>
    </row>
    <row r="3568" ht="15.75" customHeight="1">
      <c r="A3568" s="26" t="s">
        <v>7232</v>
      </c>
      <c r="B3568" s="27" t="s">
        <v>428</v>
      </c>
      <c r="C3568" s="27" t="s">
        <v>1349</v>
      </c>
      <c r="D3568" s="26" t="s">
        <v>3663</v>
      </c>
      <c r="E3568" s="28">
        <v>46113.0</v>
      </c>
      <c r="F3568" s="28">
        <v>46171.0</v>
      </c>
      <c r="G3568" s="29"/>
    </row>
    <row r="3569" ht="15.75" customHeight="1">
      <c r="A3569" s="30" t="s">
        <v>7233</v>
      </c>
      <c r="B3569" s="31" t="s">
        <v>428</v>
      </c>
      <c r="C3569" s="31" t="s">
        <v>968</v>
      </c>
      <c r="D3569" s="30" t="s">
        <v>3663</v>
      </c>
      <c r="E3569" s="32">
        <v>46113.0</v>
      </c>
      <c r="F3569" s="32">
        <v>46171.0</v>
      </c>
      <c r="G3569" s="33"/>
    </row>
    <row r="3570" ht="15.75" customHeight="1">
      <c r="A3570" s="26" t="s">
        <v>7234</v>
      </c>
      <c r="B3570" s="27" t="s">
        <v>428</v>
      </c>
      <c r="C3570" s="27" t="s">
        <v>923</v>
      </c>
      <c r="D3570" s="26" t="s">
        <v>3663</v>
      </c>
      <c r="E3570" s="28">
        <v>46113.0</v>
      </c>
      <c r="F3570" s="28">
        <v>46171.0</v>
      </c>
      <c r="G3570" s="29"/>
    </row>
    <row r="3571" ht="15.75" customHeight="1">
      <c r="A3571" s="30" t="s">
        <v>7235</v>
      </c>
      <c r="B3571" s="31" t="s">
        <v>429</v>
      </c>
      <c r="C3571" s="31" t="s">
        <v>932</v>
      </c>
      <c r="D3571" s="30" t="s">
        <v>3663</v>
      </c>
      <c r="E3571" s="32">
        <v>46113.0</v>
      </c>
      <c r="F3571" s="32">
        <v>46171.0</v>
      </c>
      <c r="G3571" s="33"/>
    </row>
    <row r="3572" ht="15.75" customHeight="1">
      <c r="A3572" s="26" t="s">
        <v>7236</v>
      </c>
      <c r="B3572" s="27" t="s">
        <v>429</v>
      </c>
      <c r="C3572" s="27" t="s">
        <v>1164</v>
      </c>
      <c r="D3572" s="26" t="s">
        <v>3663</v>
      </c>
      <c r="E3572" s="28">
        <v>46113.0</v>
      </c>
      <c r="F3572" s="28">
        <v>46171.0</v>
      </c>
      <c r="G3572" s="29"/>
    </row>
    <row r="3573" ht="15.75" customHeight="1">
      <c r="A3573" s="30" t="s">
        <v>7237</v>
      </c>
      <c r="B3573" s="31" t="s">
        <v>429</v>
      </c>
      <c r="C3573" s="31" t="s">
        <v>1166</v>
      </c>
      <c r="D3573" s="30" t="s">
        <v>3663</v>
      </c>
      <c r="E3573" s="32">
        <v>46113.0</v>
      </c>
      <c r="F3573" s="32">
        <v>46171.0</v>
      </c>
      <c r="G3573" s="33"/>
    </row>
    <row r="3574" ht="15.75" customHeight="1">
      <c r="A3574" s="26" t="s">
        <v>7238</v>
      </c>
      <c r="B3574" s="27" t="s">
        <v>429</v>
      </c>
      <c r="C3574" s="27" t="s">
        <v>1168</v>
      </c>
      <c r="D3574" s="26" t="s">
        <v>3663</v>
      </c>
      <c r="E3574" s="28">
        <v>46113.0</v>
      </c>
      <c r="F3574" s="28">
        <v>46171.0</v>
      </c>
      <c r="G3574" s="29"/>
    </row>
    <row r="3575" ht="15.75" customHeight="1">
      <c r="A3575" s="30" t="s">
        <v>7239</v>
      </c>
      <c r="B3575" s="31" t="s">
        <v>429</v>
      </c>
      <c r="C3575" s="31" t="s">
        <v>1170</v>
      </c>
      <c r="D3575" s="30" t="s">
        <v>3663</v>
      </c>
      <c r="E3575" s="32">
        <v>46113.0</v>
      </c>
      <c r="F3575" s="32">
        <v>46171.0</v>
      </c>
      <c r="G3575" s="33"/>
    </row>
    <row r="3576" ht="15.75" customHeight="1">
      <c r="A3576" s="26" t="s">
        <v>7240</v>
      </c>
      <c r="B3576" s="27" t="s">
        <v>429</v>
      </c>
      <c r="C3576" s="27" t="s">
        <v>1354</v>
      </c>
      <c r="D3576" s="26" t="s">
        <v>3663</v>
      </c>
      <c r="E3576" s="28">
        <v>46113.0</v>
      </c>
      <c r="F3576" s="28">
        <v>46171.0</v>
      </c>
      <c r="G3576" s="29"/>
    </row>
    <row r="3577" ht="15.75" customHeight="1">
      <c r="A3577" s="30" t="s">
        <v>7241</v>
      </c>
      <c r="B3577" s="31" t="s">
        <v>429</v>
      </c>
      <c r="C3577" s="31" t="s">
        <v>3681</v>
      </c>
      <c r="D3577" s="30" t="s">
        <v>3663</v>
      </c>
      <c r="E3577" s="32">
        <v>46113.0</v>
      </c>
      <c r="F3577" s="32">
        <v>46171.0</v>
      </c>
      <c r="G3577" s="33"/>
    </row>
    <row r="3578" ht="15.75" customHeight="1">
      <c r="A3578" s="26" t="s">
        <v>7242</v>
      </c>
      <c r="B3578" s="27" t="s">
        <v>429</v>
      </c>
      <c r="C3578" s="27" t="s">
        <v>3683</v>
      </c>
      <c r="D3578" s="26" t="s">
        <v>3663</v>
      </c>
      <c r="E3578" s="28">
        <v>46113.0</v>
      </c>
      <c r="F3578" s="28">
        <v>46171.0</v>
      </c>
      <c r="G3578" s="29"/>
    </row>
    <row r="3579" ht="15.75" customHeight="1">
      <c r="A3579" s="30" t="s">
        <v>7243</v>
      </c>
      <c r="B3579" s="31" t="s">
        <v>429</v>
      </c>
      <c r="C3579" s="31" t="s">
        <v>1351</v>
      </c>
      <c r="D3579" s="30" t="s">
        <v>3663</v>
      </c>
      <c r="E3579" s="32">
        <v>46113.0</v>
      </c>
      <c r="F3579" s="32">
        <v>46171.0</v>
      </c>
      <c r="G3579" s="33"/>
    </row>
    <row r="3580" ht="15.75" customHeight="1">
      <c r="A3580" s="26" t="s">
        <v>7244</v>
      </c>
      <c r="B3580" s="27" t="s">
        <v>429</v>
      </c>
      <c r="C3580" s="27" t="s">
        <v>1349</v>
      </c>
      <c r="D3580" s="26" t="s">
        <v>3663</v>
      </c>
      <c r="E3580" s="28">
        <v>46113.0</v>
      </c>
      <c r="F3580" s="28">
        <v>46171.0</v>
      </c>
      <c r="G3580" s="29"/>
    </row>
    <row r="3581" ht="15.75" customHeight="1">
      <c r="A3581" s="30" t="s">
        <v>7245</v>
      </c>
      <c r="B3581" s="31" t="s">
        <v>429</v>
      </c>
      <c r="C3581" s="31" t="s">
        <v>968</v>
      </c>
      <c r="D3581" s="30" t="s">
        <v>3663</v>
      </c>
      <c r="E3581" s="32">
        <v>46113.0</v>
      </c>
      <c r="F3581" s="32">
        <v>46171.0</v>
      </c>
      <c r="G3581" s="33"/>
    </row>
    <row r="3582" ht="15.75" customHeight="1">
      <c r="A3582" s="26" t="s">
        <v>7246</v>
      </c>
      <c r="B3582" s="27" t="s">
        <v>429</v>
      </c>
      <c r="C3582" s="27" t="s">
        <v>923</v>
      </c>
      <c r="D3582" s="26" t="s">
        <v>3663</v>
      </c>
      <c r="E3582" s="28">
        <v>46113.0</v>
      </c>
      <c r="F3582" s="28">
        <v>46171.0</v>
      </c>
      <c r="G3582" s="29"/>
    </row>
    <row r="3583" ht="15.75" customHeight="1">
      <c r="A3583" s="30" t="s">
        <v>7247</v>
      </c>
      <c r="B3583" s="31" t="s">
        <v>429</v>
      </c>
      <c r="C3583" s="31" t="s">
        <v>961</v>
      </c>
      <c r="D3583" s="30" t="s">
        <v>3663</v>
      </c>
      <c r="E3583" s="32">
        <v>46113.0</v>
      </c>
      <c r="F3583" s="32">
        <v>46171.0</v>
      </c>
      <c r="G3583" s="33"/>
    </row>
    <row r="3584" ht="15.75" customHeight="1">
      <c r="A3584" s="26" t="s">
        <v>7248</v>
      </c>
      <c r="B3584" s="27" t="s">
        <v>429</v>
      </c>
      <c r="C3584" s="27" t="s">
        <v>955</v>
      </c>
      <c r="D3584" s="26" t="s">
        <v>3663</v>
      </c>
      <c r="E3584" s="28">
        <v>46113.0</v>
      </c>
      <c r="F3584" s="28">
        <v>46171.0</v>
      </c>
      <c r="G3584" s="29"/>
    </row>
    <row r="3585" ht="15.75" customHeight="1">
      <c r="A3585" s="30" t="s">
        <v>7249</v>
      </c>
      <c r="B3585" s="31" t="s">
        <v>430</v>
      </c>
      <c r="C3585" s="31" t="s">
        <v>930</v>
      </c>
      <c r="D3585" s="30" t="s">
        <v>3663</v>
      </c>
      <c r="E3585" s="32">
        <v>46113.0</v>
      </c>
      <c r="F3585" s="32">
        <v>46171.0</v>
      </c>
      <c r="G3585" s="33"/>
    </row>
    <row r="3586" ht="15.75" customHeight="1">
      <c r="A3586" s="26" t="s">
        <v>7250</v>
      </c>
      <c r="B3586" s="27" t="s">
        <v>430</v>
      </c>
      <c r="C3586" s="27" t="s">
        <v>1354</v>
      </c>
      <c r="D3586" s="26" t="s">
        <v>3663</v>
      </c>
      <c r="E3586" s="28">
        <v>46113.0</v>
      </c>
      <c r="F3586" s="28">
        <v>46171.0</v>
      </c>
      <c r="G3586" s="29"/>
    </row>
    <row r="3587" ht="15.75" customHeight="1">
      <c r="A3587" s="30" t="s">
        <v>7251</v>
      </c>
      <c r="B3587" s="31" t="s">
        <v>430</v>
      </c>
      <c r="C3587" s="31" t="s">
        <v>3681</v>
      </c>
      <c r="D3587" s="30" t="s">
        <v>3663</v>
      </c>
      <c r="E3587" s="32">
        <v>46113.0</v>
      </c>
      <c r="F3587" s="32">
        <v>46171.0</v>
      </c>
      <c r="G3587" s="33"/>
    </row>
    <row r="3588" ht="15.75" customHeight="1">
      <c r="A3588" s="26" t="s">
        <v>7252</v>
      </c>
      <c r="B3588" s="27" t="s">
        <v>430</v>
      </c>
      <c r="C3588" s="27" t="s">
        <v>3683</v>
      </c>
      <c r="D3588" s="26" t="s">
        <v>3663</v>
      </c>
      <c r="E3588" s="28">
        <v>46113.0</v>
      </c>
      <c r="F3588" s="28">
        <v>46171.0</v>
      </c>
      <c r="G3588" s="29"/>
    </row>
    <row r="3589" ht="15.75" customHeight="1">
      <c r="A3589" s="30" t="s">
        <v>7253</v>
      </c>
      <c r="B3589" s="31" t="s">
        <v>430</v>
      </c>
      <c r="C3589" s="31" t="s">
        <v>1157</v>
      </c>
      <c r="D3589" s="30" t="s">
        <v>3663</v>
      </c>
      <c r="E3589" s="32">
        <v>46113.0</v>
      </c>
      <c r="F3589" s="32">
        <v>46171.0</v>
      </c>
      <c r="G3589" s="33"/>
    </row>
    <row r="3590" ht="15.75" customHeight="1">
      <c r="A3590" s="26" t="s">
        <v>7254</v>
      </c>
      <c r="B3590" s="27" t="s">
        <v>430</v>
      </c>
      <c r="C3590" s="27" t="s">
        <v>1155</v>
      </c>
      <c r="D3590" s="26" t="s">
        <v>3663</v>
      </c>
      <c r="E3590" s="28">
        <v>46113.0</v>
      </c>
      <c r="F3590" s="28">
        <v>46171.0</v>
      </c>
      <c r="G3590" s="29"/>
    </row>
    <row r="3591" ht="15.75" customHeight="1">
      <c r="A3591" s="30" t="s">
        <v>7255</v>
      </c>
      <c r="B3591" s="31" t="s">
        <v>430</v>
      </c>
      <c r="C3591" s="31" t="s">
        <v>1153</v>
      </c>
      <c r="D3591" s="30" t="s">
        <v>3663</v>
      </c>
      <c r="E3591" s="32">
        <v>46113.0</v>
      </c>
      <c r="F3591" s="32">
        <v>46171.0</v>
      </c>
      <c r="G3591" s="33"/>
    </row>
    <row r="3592" ht="15.75" customHeight="1">
      <c r="A3592" s="26" t="s">
        <v>7256</v>
      </c>
      <c r="B3592" s="27" t="s">
        <v>430</v>
      </c>
      <c r="C3592" s="27" t="s">
        <v>1149</v>
      </c>
      <c r="D3592" s="26" t="s">
        <v>3663</v>
      </c>
      <c r="E3592" s="28">
        <v>46113.0</v>
      </c>
      <c r="F3592" s="28">
        <v>46171.0</v>
      </c>
      <c r="G3592" s="29"/>
    </row>
    <row r="3593" ht="15.75" customHeight="1">
      <c r="A3593" s="30" t="s">
        <v>7257</v>
      </c>
      <c r="B3593" s="31" t="s">
        <v>430</v>
      </c>
      <c r="C3593" s="31" t="s">
        <v>1351</v>
      </c>
      <c r="D3593" s="30" t="s">
        <v>3663</v>
      </c>
      <c r="E3593" s="32">
        <v>46113.0</v>
      </c>
      <c r="F3593" s="32">
        <v>46171.0</v>
      </c>
      <c r="G3593" s="33"/>
    </row>
    <row r="3594" ht="15.75" customHeight="1">
      <c r="A3594" s="26" t="s">
        <v>7258</v>
      </c>
      <c r="B3594" s="27" t="s">
        <v>430</v>
      </c>
      <c r="C3594" s="27" t="s">
        <v>1349</v>
      </c>
      <c r="D3594" s="26" t="s">
        <v>3663</v>
      </c>
      <c r="E3594" s="28">
        <v>46113.0</v>
      </c>
      <c r="F3594" s="28">
        <v>46171.0</v>
      </c>
      <c r="G3594" s="29"/>
    </row>
    <row r="3595" ht="15.75" customHeight="1">
      <c r="A3595" s="30" t="s">
        <v>7259</v>
      </c>
      <c r="B3595" s="31" t="s">
        <v>430</v>
      </c>
      <c r="C3595" s="31" t="s">
        <v>965</v>
      </c>
      <c r="D3595" s="30" t="s">
        <v>3663</v>
      </c>
      <c r="E3595" s="32">
        <v>46113.0</v>
      </c>
      <c r="F3595" s="32">
        <v>46171.0</v>
      </c>
      <c r="G3595" s="33"/>
    </row>
    <row r="3596" ht="15.75" customHeight="1">
      <c r="A3596" s="26" t="s">
        <v>7260</v>
      </c>
      <c r="B3596" s="27" t="s">
        <v>430</v>
      </c>
      <c r="C3596" s="27" t="s">
        <v>923</v>
      </c>
      <c r="D3596" s="26" t="s">
        <v>3663</v>
      </c>
      <c r="E3596" s="28">
        <v>46113.0</v>
      </c>
      <c r="F3596" s="28">
        <v>46171.0</v>
      </c>
      <c r="G3596" s="29"/>
    </row>
    <row r="3597" ht="15.75" customHeight="1">
      <c r="A3597" s="30" t="s">
        <v>7261</v>
      </c>
      <c r="B3597" s="31" t="s">
        <v>430</v>
      </c>
      <c r="C3597" s="31" t="s">
        <v>961</v>
      </c>
      <c r="D3597" s="30" t="s">
        <v>3663</v>
      </c>
      <c r="E3597" s="32">
        <v>46113.0</v>
      </c>
      <c r="F3597" s="32">
        <v>46171.0</v>
      </c>
      <c r="G3597" s="33"/>
    </row>
    <row r="3598" ht="15.75" customHeight="1">
      <c r="A3598" s="26" t="s">
        <v>7262</v>
      </c>
      <c r="B3598" s="27" t="s">
        <v>430</v>
      </c>
      <c r="C3598" s="27" t="s">
        <v>955</v>
      </c>
      <c r="D3598" s="26" t="s">
        <v>3663</v>
      </c>
      <c r="E3598" s="28">
        <v>46113.0</v>
      </c>
      <c r="F3598" s="28">
        <v>46171.0</v>
      </c>
      <c r="G3598" s="29"/>
    </row>
    <row r="3599" ht="15.75" customHeight="1">
      <c r="A3599" s="30" t="s">
        <v>7263</v>
      </c>
      <c r="B3599" s="31" t="s">
        <v>431</v>
      </c>
      <c r="C3599" s="31" t="s">
        <v>928</v>
      </c>
      <c r="D3599" s="30" t="s">
        <v>3663</v>
      </c>
      <c r="E3599" s="32">
        <v>46113.0</v>
      </c>
      <c r="F3599" s="32">
        <v>46171.0</v>
      </c>
      <c r="G3599" s="33"/>
    </row>
    <row r="3600" ht="15.75" customHeight="1">
      <c r="A3600" s="26" t="s">
        <v>7264</v>
      </c>
      <c r="B3600" s="27" t="s">
        <v>431</v>
      </c>
      <c r="C3600" s="27" t="s">
        <v>1354</v>
      </c>
      <c r="D3600" s="26" t="s">
        <v>3663</v>
      </c>
      <c r="E3600" s="28">
        <v>46113.0</v>
      </c>
      <c r="F3600" s="28">
        <v>46171.0</v>
      </c>
      <c r="G3600" s="29"/>
    </row>
    <row r="3601" ht="15.75" customHeight="1">
      <c r="A3601" s="30" t="s">
        <v>7265</v>
      </c>
      <c r="B3601" s="31" t="s">
        <v>431</v>
      </c>
      <c r="C3601" s="31" t="s">
        <v>1222</v>
      </c>
      <c r="D3601" s="30" t="s">
        <v>3663</v>
      </c>
      <c r="E3601" s="32">
        <v>46113.0</v>
      </c>
      <c r="F3601" s="32">
        <v>46171.0</v>
      </c>
      <c r="G3601" s="33"/>
    </row>
    <row r="3602" ht="15.75" customHeight="1">
      <c r="A3602" s="26" t="s">
        <v>7266</v>
      </c>
      <c r="B3602" s="27" t="s">
        <v>431</v>
      </c>
      <c r="C3602" s="27" t="s">
        <v>1224</v>
      </c>
      <c r="D3602" s="26" t="s">
        <v>3663</v>
      </c>
      <c r="E3602" s="28">
        <v>46113.0</v>
      </c>
      <c r="F3602" s="28">
        <v>46171.0</v>
      </c>
      <c r="G3602" s="29"/>
    </row>
    <row r="3603" ht="15.75" customHeight="1">
      <c r="A3603" s="30" t="s">
        <v>7267</v>
      </c>
      <c r="B3603" s="31" t="s">
        <v>431</v>
      </c>
      <c r="C3603" s="31" t="s">
        <v>1226</v>
      </c>
      <c r="D3603" s="30" t="s">
        <v>3663</v>
      </c>
      <c r="E3603" s="32">
        <v>46113.0</v>
      </c>
      <c r="F3603" s="32">
        <v>46171.0</v>
      </c>
      <c r="G3603" s="33"/>
    </row>
    <row r="3604" ht="15.75" customHeight="1">
      <c r="A3604" s="26" t="s">
        <v>7268</v>
      </c>
      <c r="B3604" s="27" t="s">
        <v>431</v>
      </c>
      <c r="C3604" s="27" t="s">
        <v>1228</v>
      </c>
      <c r="D3604" s="26" t="s">
        <v>3663</v>
      </c>
      <c r="E3604" s="28">
        <v>46113.0</v>
      </c>
      <c r="F3604" s="28">
        <v>46171.0</v>
      </c>
      <c r="G3604" s="29"/>
    </row>
    <row r="3605" ht="15.75" customHeight="1">
      <c r="A3605" s="30" t="s">
        <v>7269</v>
      </c>
      <c r="B3605" s="31" t="s">
        <v>431</v>
      </c>
      <c r="C3605" s="31" t="s">
        <v>1216</v>
      </c>
      <c r="D3605" s="30" t="s">
        <v>3663</v>
      </c>
      <c r="E3605" s="32">
        <v>46113.0</v>
      </c>
      <c r="F3605" s="32">
        <v>46171.0</v>
      </c>
      <c r="G3605" s="33"/>
    </row>
    <row r="3606" ht="15.75" customHeight="1">
      <c r="A3606" s="26" t="s">
        <v>7270</v>
      </c>
      <c r="B3606" s="27" t="s">
        <v>431</v>
      </c>
      <c r="C3606" s="27" t="s">
        <v>1351</v>
      </c>
      <c r="D3606" s="26" t="s">
        <v>3663</v>
      </c>
      <c r="E3606" s="28">
        <v>46113.0</v>
      </c>
      <c r="F3606" s="28">
        <v>46171.0</v>
      </c>
      <c r="G3606" s="29"/>
    </row>
    <row r="3607" ht="15.75" customHeight="1">
      <c r="A3607" s="30" t="s">
        <v>7271</v>
      </c>
      <c r="B3607" s="31" t="s">
        <v>431</v>
      </c>
      <c r="C3607" s="31" t="s">
        <v>1349</v>
      </c>
      <c r="D3607" s="30" t="s">
        <v>3663</v>
      </c>
      <c r="E3607" s="32">
        <v>46113.0</v>
      </c>
      <c r="F3607" s="32">
        <v>46171.0</v>
      </c>
      <c r="G3607" s="33"/>
    </row>
    <row r="3608" ht="15.75" customHeight="1">
      <c r="A3608" s="26" t="s">
        <v>7272</v>
      </c>
      <c r="B3608" s="27" t="s">
        <v>431</v>
      </c>
      <c r="C3608" s="27" t="s">
        <v>3653</v>
      </c>
      <c r="D3608" s="27" t="s">
        <v>3663</v>
      </c>
      <c r="E3608" s="28">
        <v>46113.0</v>
      </c>
      <c r="F3608" s="28">
        <v>46171.0</v>
      </c>
      <c r="G3608" s="29"/>
    </row>
    <row r="3609" ht="15.75" customHeight="1">
      <c r="A3609" s="30" t="s">
        <v>7273</v>
      </c>
      <c r="B3609" s="31" t="s">
        <v>431</v>
      </c>
      <c r="C3609" s="31" t="s">
        <v>3652</v>
      </c>
      <c r="D3609" s="30" t="s">
        <v>3663</v>
      </c>
      <c r="E3609" s="32">
        <v>46113.0</v>
      </c>
      <c r="F3609" s="32">
        <v>46171.0</v>
      </c>
      <c r="G3609" s="33"/>
    </row>
    <row r="3610" ht="15.75" customHeight="1">
      <c r="A3610" s="26" t="s">
        <v>7274</v>
      </c>
      <c r="B3610" s="27" t="s">
        <v>431</v>
      </c>
      <c r="C3610" s="27" t="s">
        <v>968</v>
      </c>
      <c r="D3610" s="26" t="s">
        <v>3663</v>
      </c>
      <c r="E3610" s="28">
        <v>46113.0</v>
      </c>
      <c r="F3610" s="28">
        <v>46171.0</v>
      </c>
      <c r="G3610" s="29"/>
    </row>
    <row r="3611" ht="15.75" customHeight="1">
      <c r="A3611" s="30" t="s">
        <v>7275</v>
      </c>
      <c r="B3611" s="31" t="s">
        <v>431</v>
      </c>
      <c r="C3611" s="31" t="s">
        <v>923</v>
      </c>
      <c r="D3611" s="30" t="s">
        <v>3663</v>
      </c>
      <c r="E3611" s="32">
        <v>46113.0</v>
      </c>
      <c r="F3611" s="32">
        <v>46171.0</v>
      </c>
      <c r="G3611" s="33"/>
    </row>
    <row r="3612" ht="15.75" customHeight="1">
      <c r="A3612" s="26" t="s">
        <v>7276</v>
      </c>
      <c r="B3612" s="27" t="s">
        <v>431</v>
      </c>
      <c r="C3612" s="27" t="s">
        <v>958</v>
      </c>
      <c r="D3612" s="26" t="s">
        <v>3663</v>
      </c>
      <c r="E3612" s="28">
        <v>46113.0</v>
      </c>
      <c r="F3612" s="28">
        <v>46171.0</v>
      </c>
      <c r="G3612" s="29"/>
    </row>
    <row r="3613" ht="15.75" customHeight="1">
      <c r="A3613" s="30" t="s">
        <v>7277</v>
      </c>
      <c r="B3613" s="31" t="s">
        <v>432</v>
      </c>
      <c r="C3613" s="31" t="s">
        <v>930</v>
      </c>
      <c r="D3613" s="30" t="s">
        <v>3663</v>
      </c>
      <c r="E3613" s="32">
        <v>46113.0</v>
      </c>
      <c r="F3613" s="32">
        <v>46171.0</v>
      </c>
      <c r="G3613" s="33"/>
    </row>
    <row r="3614" ht="15.75" customHeight="1">
      <c r="A3614" s="26" t="s">
        <v>7278</v>
      </c>
      <c r="B3614" s="27" t="s">
        <v>432</v>
      </c>
      <c r="C3614" s="27" t="s">
        <v>1354</v>
      </c>
      <c r="D3614" s="26" t="s">
        <v>3663</v>
      </c>
      <c r="E3614" s="28">
        <v>46113.0</v>
      </c>
      <c r="F3614" s="28">
        <v>46171.0</v>
      </c>
      <c r="G3614" s="29"/>
    </row>
    <row r="3615" ht="15.75" customHeight="1">
      <c r="A3615" s="30" t="s">
        <v>7279</v>
      </c>
      <c r="B3615" s="31" t="s">
        <v>432</v>
      </c>
      <c r="C3615" s="31" t="s">
        <v>3641</v>
      </c>
      <c r="D3615" s="30" t="s">
        <v>3663</v>
      </c>
      <c r="E3615" s="32">
        <v>46113.0</v>
      </c>
      <c r="F3615" s="32">
        <v>46171.0</v>
      </c>
      <c r="G3615" s="33"/>
    </row>
    <row r="3616" ht="15.75" customHeight="1">
      <c r="A3616" s="26" t="s">
        <v>7280</v>
      </c>
      <c r="B3616" s="27" t="s">
        <v>432</v>
      </c>
      <c r="C3616" s="27" t="s">
        <v>1304</v>
      </c>
      <c r="D3616" s="26" t="s">
        <v>3663</v>
      </c>
      <c r="E3616" s="28">
        <v>46113.0</v>
      </c>
      <c r="F3616" s="28">
        <v>46171.0</v>
      </c>
      <c r="G3616" s="29"/>
    </row>
    <row r="3617" ht="15.75" customHeight="1">
      <c r="A3617" s="30" t="s">
        <v>7281</v>
      </c>
      <c r="B3617" s="31" t="s">
        <v>432</v>
      </c>
      <c r="C3617" s="31" t="s">
        <v>3642</v>
      </c>
      <c r="D3617" s="30" t="s">
        <v>3663</v>
      </c>
      <c r="E3617" s="32">
        <v>46113.0</v>
      </c>
      <c r="F3617" s="32">
        <v>46171.0</v>
      </c>
      <c r="G3617" s="33"/>
    </row>
    <row r="3618" ht="15.75" customHeight="1">
      <c r="A3618" s="26" t="s">
        <v>7282</v>
      </c>
      <c r="B3618" s="27" t="s">
        <v>432</v>
      </c>
      <c r="C3618" s="27" t="s">
        <v>1308</v>
      </c>
      <c r="D3618" s="26" t="s">
        <v>3663</v>
      </c>
      <c r="E3618" s="28">
        <v>46113.0</v>
      </c>
      <c r="F3618" s="28">
        <v>46171.0</v>
      </c>
      <c r="G3618" s="29"/>
    </row>
    <row r="3619" ht="15.75" customHeight="1">
      <c r="A3619" s="30" t="s">
        <v>7283</v>
      </c>
      <c r="B3619" s="31" t="s">
        <v>432</v>
      </c>
      <c r="C3619" s="31" t="s">
        <v>3605</v>
      </c>
      <c r="D3619" s="30" t="s">
        <v>3663</v>
      </c>
      <c r="E3619" s="32">
        <v>46113.0</v>
      </c>
      <c r="F3619" s="32">
        <v>46171.0</v>
      </c>
      <c r="G3619" s="33"/>
    </row>
    <row r="3620" ht="15.75" customHeight="1">
      <c r="A3620" s="26" t="s">
        <v>7284</v>
      </c>
      <c r="B3620" s="27" t="s">
        <v>432</v>
      </c>
      <c r="C3620" s="27" t="s">
        <v>1172</v>
      </c>
      <c r="D3620" s="26" t="s">
        <v>3663</v>
      </c>
      <c r="E3620" s="28">
        <v>46113.0</v>
      </c>
      <c r="F3620" s="28">
        <v>46171.0</v>
      </c>
      <c r="G3620" s="29"/>
    </row>
    <row r="3621" ht="15.75" customHeight="1">
      <c r="A3621" s="30" t="s">
        <v>7285</v>
      </c>
      <c r="B3621" s="31" t="s">
        <v>432</v>
      </c>
      <c r="C3621" s="31" t="s">
        <v>1351</v>
      </c>
      <c r="D3621" s="30" t="s">
        <v>3663</v>
      </c>
      <c r="E3621" s="32">
        <v>46113.0</v>
      </c>
      <c r="F3621" s="32">
        <v>46171.0</v>
      </c>
      <c r="G3621" s="33"/>
    </row>
    <row r="3622" ht="15.75" customHeight="1">
      <c r="A3622" s="26" t="s">
        <v>7286</v>
      </c>
      <c r="B3622" s="27" t="s">
        <v>432</v>
      </c>
      <c r="C3622" s="27" t="s">
        <v>1349</v>
      </c>
      <c r="D3622" s="26" t="s">
        <v>3663</v>
      </c>
      <c r="E3622" s="28">
        <v>46113.0</v>
      </c>
      <c r="F3622" s="28">
        <v>46171.0</v>
      </c>
      <c r="G3622" s="29"/>
    </row>
    <row r="3623" ht="15.75" customHeight="1">
      <c r="A3623" s="30" t="s">
        <v>7287</v>
      </c>
      <c r="B3623" s="31" t="s">
        <v>432</v>
      </c>
      <c r="C3623" s="31" t="s">
        <v>3653</v>
      </c>
      <c r="D3623" s="30" t="s">
        <v>3663</v>
      </c>
      <c r="E3623" s="32">
        <v>46113.0</v>
      </c>
      <c r="F3623" s="32">
        <v>46171.0</v>
      </c>
      <c r="G3623" s="33"/>
    </row>
    <row r="3624" ht="15.75" customHeight="1">
      <c r="A3624" s="26" t="s">
        <v>7288</v>
      </c>
      <c r="B3624" s="27" t="s">
        <v>432</v>
      </c>
      <c r="C3624" s="27" t="s">
        <v>3652</v>
      </c>
      <c r="D3624" s="27" t="s">
        <v>3663</v>
      </c>
      <c r="E3624" s="28">
        <v>46113.0</v>
      </c>
      <c r="F3624" s="28">
        <v>46171.0</v>
      </c>
      <c r="G3624" s="29"/>
    </row>
    <row r="3625" ht="15.75" customHeight="1">
      <c r="A3625" s="30" t="s">
        <v>7289</v>
      </c>
      <c r="B3625" s="31" t="s">
        <v>432</v>
      </c>
      <c r="C3625" s="31" t="s">
        <v>965</v>
      </c>
      <c r="D3625" s="30" t="s">
        <v>3663</v>
      </c>
      <c r="E3625" s="32">
        <v>46113.0</v>
      </c>
      <c r="F3625" s="32">
        <v>46171.0</v>
      </c>
      <c r="G3625" s="33"/>
    </row>
    <row r="3626" ht="15.75" customHeight="1">
      <c r="A3626" s="26" t="s">
        <v>7290</v>
      </c>
      <c r="B3626" s="27" t="s">
        <v>432</v>
      </c>
      <c r="C3626" s="27" t="s">
        <v>923</v>
      </c>
      <c r="D3626" s="26" t="s">
        <v>3663</v>
      </c>
      <c r="E3626" s="28">
        <v>46113.0</v>
      </c>
      <c r="F3626" s="28">
        <v>46171.0</v>
      </c>
      <c r="G3626" s="29"/>
    </row>
    <row r="3627" ht="15.75" customHeight="1">
      <c r="A3627" s="30" t="s">
        <v>7291</v>
      </c>
      <c r="B3627" s="31" t="s">
        <v>433</v>
      </c>
      <c r="C3627" s="31" t="s">
        <v>928</v>
      </c>
      <c r="D3627" s="30" t="s">
        <v>3663</v>
      </c>
      <c r="E3627" s="32">
        <v>46113.0</v>
      </c>
      <c r="F3627" s="32">
        <v>46171.0</v>
      </c>
      <c r="G3627" s="33"/>
    </row>
    <row r="3628" ht="15.75" customHeight="1">
      <c r="A3628" s="26" t="s">
        <v>7292</v>
      </c>
      <c r="B3628" s="27" t="s">
        <v>433</v>
      </c>
      <c r="C3628" s="27" t="s">
        <v>1354</v>
      </c>
      <c r="D3628" s="26" t="s">
        <v>3663</v>
      </c>
      <c r="E3628" s="28">
        <v>46113.0</v>
      </c>
      <c r="F3628" s="28">
        <v>46171.0</v>
      </c>
      <c r="G3628" s="29"/>
    </row>
    <row r="3629" ht="15.75" customHeight="1">
      <c r="A3629" s="30" t="s">
        <v>7293</v>
      </c>
      <c r="B3629" s="31" t="s">
        <v>433</v>
      </c>
      <c r="C3629" s="31" t="s">
        <v>1222</v>
      </c>
      <c r="D3629" s="30" t="s">
        <v>3663</v>
      </c>
      <c r="E3629" s="32">
        <v>46113.0</v>
      </c>
      <c r="F3629" s="32">
        <v>46171.0</v>
      </c>
      <c r="G3629" s="33"/>
    </row>
    <row r="3630" ht="15.75" customHeight="1">
      <c r="A3630" s="26" t="s">
        <v>7294</v>
      </c>
      <c r="B3630" s="27" t="s">
        <v>433</v>
      </c>
      <c r="C3630" s="27" t="s">
        <v>1224</v>
      </c>
      <c r="D3630" s="26" t="s">
        <v>3663</v>
      </c>
      <c r="E3630" s="28">
        <v>46113.0</v>
      </c>
      <c r="F3630" s="28">
        <v>46171.0</v>
      </c>
      <c r="G3630" s="29"/>
    </row>
    <row r="3631" ht="15.75" customHeight="1">
      <c r="A3631" s="30" t="s">
        <v>7295</v>
      </c>
      <c r="B3631" s="31" t="s">
        <v>433</v>
      </c>
      <c r="C3631" s="31" t="s">
        <v>1226</v>
      </c>
      <c r="D3631" s="30" t="s">
        <v>3663</v>
      </c>
      <c r="E3631" s="32">
        <v>46113.0</v>
      </c>
      <c r="F3631" s="32">
        <v>46171.0</v>
      </c>
      <c r="G3631" s="33"/>
    </row>
    <row r="3632" ht="15.75" customHeight="1">
      <c r="A3632" s="26" t="s">
        <v>7296</v>
      </c>
      <c r="B3632" s="27" t="s">
        <v>433</v>
      </c>
      <c r="C3632" s="27" t="s">
        <v>1228</v>
      </c>
      <c r="D3632" s="26" t="s">
        <v>3663</v>
      </c>
      <c r="E3632" s="28">
        <v>46113.0</v>
      </c>
      <c r="F3632" s="28">
        <v>46171.0</v>
      </c>
      <c r="G3632" s="29"/>
    </row>
    <row r="3633" ht="15.75" customHeight="1">
      <c r="A3633" s="30" t="s">
        <v>7297</v>
      </c>
      <c r="B3633" s="31" t="s">
        <v>433</v>
      </c>
      <c r="C3633" s="31" t="s">
        <v>1172</v>
      </c>
      <c r="D3633" s="30" t="s">
        <v>3663</v>
      </c>
      <c r="E3633" s="32">
        <v>46113.0</v>
      </c>
      <c r="F3633" s="32">
        <v>46171.0</v>
      </c>
      <c r="G3633" s="33"/>
    </row>
    <row r="3634" ht="15.75" customHeight="1">
      <c r="A3634" s="26" t="s">
        <v>7298</v>
      </c>
      <c r="B3634" s="27" t="s">
        <v>433</v>
      </c>
      <c r="C3634" s="27" t="s">
        <v>3656</v>
      </c>
      <c r="D3634" s="26" t="s">
        <v>3663</v>
      </c>
      <c r="E3634" s="28">
        <v>46113.0</v>
      </c>
      <c r="F3634" s="28">
        <v>46171.0</v>
      </c>
      <c r="G3634" s="29"/>
    </row>
    <row r="3635" ht="15.75" customHeight="1">
      <c r="A3635" s="30" t="s">
        <v>7299</v>
      </c>
      <c r="B3635" s="31" t="s">
        <v>433</v>
      </c>
      <c r="C3635" s="31" t="s">
        <v>3657</v>
      </c>
      <c r="D3635" s="30" t="s">
        <v>3663</v>
      </c>
      <c r="E3635" s="32">
        <v>46113.0</v>
      </c>
      <c r="F3635" s="32">
        <v>46171.0</v>
      </c>
      <c r="G3635" s="33"/>
    </row>
    <row r="3636" ht="15.75" customHeight="1">
      <c r="A3636" s="26" t="s">
        <v>7300</v>
      </c>
      <c r="B3636" s="27" t="s">
        <v>433</v>
      </c>
      <c r="C3636" s="27" t="s">
        <v>3647</v>
      </c>
      <c r="D3636" s="26" t="s">
        <v>3663</v>
      </c>
      <c r="E3636" s="28">
        <v>46113.0</v>
      </c>
      <c r="F3636" s="28">
        <v>46171.0</v>
      </c>
      <c r="G3636" s="29"/>
    </row>
    <row r="3637" ht="15.75" customHeight="1">
      <c r="A3637" s="30" t="s">
        <v>7301</v>
      </c>
      <c r="B3637" s="31" t="s">
        <v>433</v>
      </c>
      <c r="C3637" s="31" t="s">
        <v>952</v>
      </c>
      <c r="D3637" s="30" t="s">
        <v>3663</v>
      </c>
      <c r="E3637" s="32">
        <v>46113.0</v>
      </c>
      <c r="F3637" s="32">
        <v>46171.0</v>
      </c>
      <c r="G3637" s="33"/>
    </row>
    <row r="3638" ht="15.75" customHeight="1">
      <c r="A3638" s="26" t="s">
        <v>7302</v>
      </c>
      <c r="B3638" s="27" t="s">
        <v>433</v>
      </c>
      <c r="C3638" s="27" t="s">
        <v>1216</v>
      </c>
      <c r="D3638" s="26" t="s">
        <v>3663</v>
      </c>
      <c r="E3638" s="28">
        <v>46113.0</v>
      </c>
      <c r="F3638" s="28">
        <v>46171.0</v>
      </c>
      <c r="G3638" s="29"/>
    </row>
    <row r="3639" ht="15.75" customHeight="1">
      <c r="A3639" s="30" t="s">
        <v>7303</v>
      </c>
      <c r="B3639" s="31" t="s">
        <v>433</v>
      </c>
      <c r="C3639" s="31" t="s">
        <v>968</v>
      </c>
      <c r="D3639" s="30" t="s">
        <v>3663</v>
      </c>
      <c r="E3639" s="32">
        <v>46113.0</v>
      </c>
      <c r="F3639" s="32">
        <v>46171.0</v>
      </c>
      <c r="G3639" s="33"/>
    </row>
    <row r="3640" ht="15.75" customHeight="1">
      <c r="A3640" s="26" t="s">
        <v>7304</v>
      </c>
      <c r="B3640" s="27" t="s">
        <v>433</v>
      </c>
      <c r="C3640" s="27" t="s">
        <v>923</v>
      </c>
      <c r="D3640" s="26" t="s">
        <v>3663</v>
      </c>
      <c r="E3640" s="28">
        <v>46113.0</v>
      </c>
      <c r="F3640" s="28">
        <v>46171.0</v>
      </c>
      <c r="G3640" s="29"/>
    </row>
    <row r="3641" ht="15.75" customHeight="1">
      <c r="A3641" s="30" t="s">
        <v>7305</v>
      </c>
      <c r="B3641" s="31" t="s">
        <v>434</v>
      </c>
      <c r="C3641" s="31" t="s">
        <v>3654</v>
      </c>
      <c r="D3641" s="30" t="s">
        <v>3663</v>
      </c>
      <c r="E3641" s="32">
        <v>46113.0</v>
      </c>
      <c r="F3641" s="32">
        <v>46171.0</v>
      </c>
      <c r="G3641" s="33"/>
    </row>
    <row r="3642" ht="15.75" customHeight="1">
      <c r="A3642" s="26" t="s">
        <v>7306</v>
      </c>
      <c r="B3642" s="27" t="s">
        <v>434</v>
      </c>
      <c r="C3642" s="27" t="s">
        <v>3655</v>
      </c>
      <c r="D3642" s="26" t="s">
        <v>3663</v>
      </c>
      <c r="E3642" s="28">
        <v>46113.0</v>
      </c>
      <c r="F3642" s="28">
        <v>46171.0</v>
      </c>
      <c r="G3642" s="29"/>
    </row>
    <row r="3643" ht="15.75" customHeight="1">
      <c r="A3643" s="30" t="s">
        <v>7307</v>
      </c>
      <c r="B3643" s="31" t="s">
        <v>434</v>
      </c>
      <c r="C3643" s="31" t="s">
        <v>932</v>
      </c>
      <c r="D3643" s="30" t="s">
        <v>3663</v>
      </c>
      <c r="E3643" s="32">
        <v>46113.0</v>
      </c>
      <c r="F3643" s="32">
        <v>46171.0</v>
      </c>
      <c r="G3643" s="33"/>
    </row>
    <row r="3644" ht="15.75" customHeight="1">
      <c r="A3644" s="26" t="s">
        <v>7308</v>
      </c>
      <c r="B3644" s="27" t="s">
        <v>434</v>
      </c>
      <c r="C3644" s="27" t="s">
        <v>1168</v>
      </c>
      <c r="D3644" s="26" t="s">
        <v>3663</v>
      </c>
      <c r="E3644" s="28">
        <v>46113.0</v>
      </c>
      <c r="F3644" s="28">
        <v>46171.0</v>
      </c>
      <c r="G3644" s="29"/>
    </row>
    <row r="3645" ht="15.75" customHeight="1">
      <c r="A3645" s="30" t="s">
        <v>7309</v>
      </c>
      <c r="B3645" s="31" t="s">
        <v>434</v>
      </c>
      <c r="C3645" s="31" t="s">
        <v>1170</v>
      </c>
      <c r="D3645" s="30" t="s">
        <v>3663</v>
      </c>
      <c r="E3645" s="32">
        <v>46113.0</v>
      </c>
      <c r="F3645" s="32">
        <v>46171.0</v>
      </c>
      <c r="G3645" s="33"/>
    </row>
    <row r="3646" ht="15.75" customHeight="1">
      <c r="A3646" s="26" t="s">
        <v>7310</v>
      </c>
      <c r="B3646" s="27" t="s">
        <v>434</v>
      </c>
      <c r="C3646" s="27" t="s">
        <v>1288</v>
      </c>
      <c r="D3646" s="26" t="s">
        <v>3663</v>
      </c>
      <c r="E3646" s="28">
        <v>46113.0</v>
      </c>
      <c r="F3646" s="28">
        <v>46171.0</v>
      </c>
      <c r="G3646" s="29"/>
    </row>
    <row r="3647" ht="15.75" customHeight="1">
      <c r="A3647" s="30" t="s">
        <v>7311</v>
      </c>
      <c r="B3647" s="31" t="s">
        <v>434</v>
      </c>
      <c r="C3647" s="31" t="s">
        <v>1291</v>
      </c>
      <c r="D3647" s="30" t="s">
        <v>3663</v>
      </c>
      <c r="E3647" s="32">
        <v>46113.0</v>
      </c>
      <c r="F3647" s="32">
        <v>46171.0</v>
      </c>
      <c r="G3647" s="33"/>
    </row>
    <row r="3648" ht="15.75" customHeight="1">
      <c r="A3648" s="26" t="s">
        <v>7312</v>
      </c>
      <c r="B3648" s="27" t="s">
        <v>434</v>
      </c>
      <c r="C3648" s="27" t="s">
        <v>1354</v>
      </c>
      <c r="D3648" s="26" t="s">
        <v>3663</v>
      </c>
      <c r="E3648" s="28">
        <v>46113.0</v>
      </c>
      <c r="F3648" s="28">
        <v>46171.0</v>
      </c>
      <c r="G3648" s="29"/>
    </row>
    <row r="3649" ht="15.75" customHeight="1">
      <c r="A3649" s="30" t="s">
        <v>7313</v>
      </c>
      <c r="B3649" s="31" t="s">
        <v>434</v>
      </c>
      <c r="C3649" s="31" t="s">
        <v>1218</v>
      </c>
      <c r="D3649" s="30" t="s">
        <v>3663</v>
      </c>
      <c r="E3649" s="32">
        <v>46113.0</v>
      </c>
      <c r="F3649" s="32">
        <v>46171.0</v>
      </c>
      <c r="G3649" s="33"/>
    </row>
    <row r="3650" ht="15.75" customHeight="1">
      <c r="A3650" s="26" t="s">
        <v>7314</v>
      </c>
      <c r="B3650" s="27" t="s">
        <v>434</v>
      </c>
      <c r="C3650" s="27" t="s">
        <v>1351</v>
      </c>
      <c r="D3650" s="26" t="s">
        <v>3663</v>
      </c>
      <c r="E3650" s="28">
        <v>46113.0</v>
      </c>
      <c r="F3650" s="28">
        <v>46171.0</v>
      </c>
      <c r="G3650" s="29"/>
    </row>
    <row r="3651" ht="15.75" customHeight="1">
      <c r="A3651" s="30" t="s">
        <v>7315</v>
      </c>
      <c r="B3651" s="31" t="s">
        <v>434</v>
      </c>
      <c r="C3651" s="31" t="s">
        <v>1349</v>
      </c>
      <c r="D3651" s="30" t="s">
        <v>3663</v>
      </c>
      <c r="E3651" s="32">
        <v>46113.0</v>
      </c>
      <c r="F3651" s="32">
        <v>46171.0</v>
      </c>
      <c r="G3651" s="33"/>
    </row>
    <row r="3652" ht="15.75" customHeight="1">
      <c r="A3652" s="26" t="s">
        <v>7316</v>
      </c>
      <c r="B3652" s="27" t="s">
        <v>434</v>
      </c>
      <c r="C3652" s="27" t="s">
        <v>968</v>
      </c>
      <c r="D3652" s="26" t="s">
        <v>3663</v>
      </c>
      <c r="E3652" s="28">
        <v>46113.0</v>
      </c>
      <c r="F3652" s="28">
        <v>46171.0</v>
      </c>
      <c r="G3652" s="29"/>
    </row>
    <row r="3653" ht="15.75" customHeight="1">
      <c r="A3653" s="30" t="s">
        <v>7317</v>
      </c>
      <c r="B3653" s="31" t="s">
        <v>434</v>
      </c>
      <c r="C3653" s="31" t="s">
        <v>923</v>
      </c>
      <c r="D3653" s="30" t="s">
        <v>3663</v>
      </c>
      <c r="E3653" s="32">
        <v>46113.0</v>
      </c>
      <c r="F3653" s="32">
        <v>46171.0</v>
      </c>
      <c r="G3653" s="33"/>
    </row>
    <row r="3654" ht="15.75" customHeight="1">
      <c r="A3654" s="26" t="s">
        <v>7318</v>
      </c>
      <c r="B3654" s="27" t="s">
        <v>434</v>
      </c>
      <c r="C3654" s="27" t="s">
        <v>955</v>
      </c>
      <c r="D3654" s="26" t="s">
        <v>3663</v>
      </c>
      <c r="E3654" s="28">
        <v>46113.0</v>
      </c>
      <c r="F3654" s="28">
        <v>46171.0</v>
      </c>
      <c r="G3654" s="29"/>
    </row>
    <row r="3655" ht="15.75" customHeight="1">
      <c r="A3655" s="30" t="s">
        <v>7319</v>
      </c>
      <c r="B3655" s="31" t="s">
        <v>435</v>
      </c>
      <c r="C3655" s="31" t="s">
        <v>930</v>
      </c>
      <c r="D3655" s="30" t="s">
        <v>3663</v>
      </c>
      <c r="E3655" s="32">
        <v>46113.0</v>
      </c>
      <c r="F3655" s="32">
        <v>46171.0</v>
      </c>
      <c r="G3655" s="33"/>
    </row>
    <row r="3656" ht="15.75" customHeight="1">
      <c r="A3656" s="26" t="s">
        <v>7320</v>
      </c>
      <c r="B3656" s="27" t="s">
        <v>435</v>
      </c>
      <c r="C3656" s="27" t="s">
        <v>1354</v>
      </c>
      <c r="D3656" s="26" t="s">
        <v>3663</v>
      </c>
      <c r="E3656" s="28">
        <v>46113.0</v>
      </c>
      <c r="F3656" s="28">
        <v>46171.0</v>
      </c>
      <c r="G3656" s="29"/>
    </row>
    <row r="3657" ht="15.75" customHeight="1">
      <c r="A3657" s="30" t="s">
        <v>7321</v>
      </c>
      <c r="B3657" s="31" t="s">
        <v>435</v>
      </c>
      <c r="C3657" s="31" t="s">
        <v>1190</v>
      </c>
      <c r="D3657" s="30" t="s">
        <v>3663</v>
      </c>
      <c r="E3657" s="32">
        <v>46113.0</v>
      </c>
      <c r="F3657" s="32">
        <v>46171.0</v>
      </c>
      <c r="G3657" s="33"/>
    </row>
    <row r="3658" ht="15.75" customHeight="1">
      <c r="A3658" s="26" t="s">
        <v>7322</v>
      </c>
      <c r="B3658" s="27" t="s">
        <v>435</v>
      </c>
      <c r="C3658" s="27" t="s">
        <v>1218</v>
      </c>
      <c r="D3658" s="26" t="s">
        <v>3663</v>
      </c>
      <c r="E3658" s="28">
        <v>46113.0</v>
      </c>
      <c r="F3658" s="28">
        <v>46171.0</v>
      </c>
      <c r="G3658" s="29"/>
    </row>
    <row r="3659" ht="15.75" customHeight="1">
      <c r="A3659" s="30" t="s">
        <v>7323</v>
      </c>
      <c r="B3659" s="31" t="s">
        <v>435</v>
      </c>
      <c r="C3659" s="31" t="s">
        <v>1157</v>
      </c>
      <c r="D3659" s="30" t="s">
        <v>3663</v>
      </c>
      <c r="E3659" s="32">
        <v>46113.0</v>
      </c>
      <c r="F3659" s="32">
        <v>46171.0</v>
      </c>
      <c r="G3659" s="33"/>
    </row>
    <row r="3660" ht="15.75" customHeight="1">
      <c r="A3660" s="26" t="s">
        <v>7324</v>
      </c>
      <c r="B3660" s="27" t="s">
        <v>435</v>
      </c>
      <c r="C3660" s="27" t="s">
        <v>1155</v>
      </c>
      <c r="D3660" s="26" t="s">
        <v>3663</v>
      </c>
      <c r="E3660" s="28">
        <v>46113.0</v>
      </c>
      <c r="F3660" s="28">
        <v>46171.0</v>
      </c>
      <c r="G3660" s="29"/>
    </row>
    <row r="3661" ht="15.75" customHeight="1">
      <c r="A3661" s="30" t="s">
        <v>7325</v>
      </c>
      <c r="B3661" s="31" t="s">
        <v>435</v>
      </c>
      <c r="C3661" s="31" t="s">
        <v>1153</v>
      </c>
      <c r="D3661" s="30" t="s">
        <v>3663</v>
      </c>
      <c r="E3661" s="32">
        <v>46113.0</v>
      </c>
      <c r="F3661" s="32">
        <v>46171.0</v>
      </c>
      <c r="G3661" s="33"/>
    </row>
    <row r="3662" ht="15.75" customHeight="1">
      <c r="A3662" s="26" t="s">
        <v>7326</v>
      </c>
      <c r="B3662" s="27" t="s">
        <v>435</v>
      </c>
      <c r="C3662" s="27" t="s">
        <v>1149</v>
      </c>
      <c r="D3662" s="26" t="s">
        <v>3663</v>
      </c>
      <c r="E3662" s="28">
        <v>46113.0</v>
      </c>
      <c r="F3662" s="28">
        <v>46171.0</v>
      </c>
      <c r="G3662" s="29"/>
    </row>
    <row r="3663" ht="15.75" customHeight="1">
      <c r="A3663" s="30" t="s">
        <v>7327</v>
      </c>
      <c r="B3663" s="31" t="s">
        <v>435</v>
      </c>
      <c r="C3663" s="31" t="s">
        <v>1351</v>
      </c>
      <c r="D3663" s="30" t="s">
        <v>3663</v>
      </c>
      <c r="E3663" s="32">
        <v>46113.0</v>
      </c>
      <c r="F3663" s="32">
        <v>46171.0</v>
      </c>
      <c r="G3663" s="33"/>
    </row>
    <row r="3664" ht="15.75" customHeight="1">
      <c r="A3664" s="26" t="s">
        <v>7328</v>
      </c>
      <c r="B3664" s="27" t="s">
        <v>435</v>
      </c>
      <c r="C3664" s="27" t="s">
        <v>1349</v>
      </c>
      <c r="D3664" s="26" t="s">
        <v>3663</v>
      </c>
      <c r="E3664" s="28">
        <v>46113.0</v>
      </c>
      <c r="F3664" s="28">
        <v>46171.0</v>
      </c>
      <c r="G3664" s="29"/>
    </row>
    <row r="3665" ht="15.75" customHeight="1">
      <c r="A3665" s="30" t="s">
        <v>7329</v>
      </c>
      <c r="B3665" s="31" t="s">
        <v>435</v>
      </c>
      <c r="C3665" s="31" t="s">
        <v>3653</v>
      </c>
      <c r="D3665" s="31" t="s">
        <v>3663</v>
      </c>
      <c r="E3665" s="32">
        <v>46113.0</v>
      </c>
      <c r="F3665" s="32">
        <v>46171.0</v>
      </c>
      <c r="G3665" s="33"/>
    </row>
    <row r="3666" ht="15.75" customHeight="1">
      <c r="A3666" s="26" t="s">
        <v>7330</v>
      </c>
      <c r="B3666" s="27" t="s">
        <v>435</v>
      </c>
      <c r="C3666" s="27" t="s">
        <v>3652</v>
      </c>
      <c r="D3666" s="26" t="s">
        <v>3663</v>
      </c>
      <c r="E3666" s="28">
        <v>46113.0</v>
      </c>
      <c r="F3666" s="28">
        <v>46171.0</v>
      </c>
      <c r="G3666" s="29"/>
    </row>
    <row r="3667" ht="15.75" customHeight="1">
      <c r="A3667" s="30" t="s">
        <v>7331</v>
      </c>
      <c r="B3667" s="31" t="s">
        <v>435</v>
      </c>
      <c r="C3667" s="31" t="s">
        <v>965</v>
      </c>
      <c r="D3667" s="30" t="s">
        <v>3663</v>
      </c>
      <c r="E3667" s="32">
        <v>46113.0</v>
      </c>
      <c r="F3667" s="32">
        <v>46171.0</v>
      </c>
      <c r="G3667" s="33"/>
    </row>
    <row r="3668" ht="15.75" customHeight="1">
      <c r="A3668" s="26" t="s">
        <v>7332</v>
      </c>
      <c r="B3668" s="27" t="s">
        <v>435</v>
      </c>
      <c r="C3668" s="27" t="s">
        <v>923</v>
      </c>
      <c r="D3668" s="26" t="s">
        <v>3663</v>
      </c>
      <c r="E3668" s="28">
        <v>46113.0</v>
      </c>
      <c r="F3668" s="28">
        <v>46171.0</v>
      </c>
      <c r="G3668" s="29"/>
    </row>
    <row r="3669" ht="15.75" customHeight="1">
      <c r="A3669" s="30" t="s">
        <v>7333</v>
      </c>
      <c r="B3669" s="31" t="s">
        <v>436</v>
      </c>
      <c r="C3669" s="31" t="s">
        <v>930</v>
      </c>
      <c r="D3669" s="31" t="s">
        <v>3663</v>
      </c>
      <c r="E3669" s="32">
        <v>46113.0</v>
      </c>
      <c r="F3669" s="32">
        <v>46171.0</v>
      </c>
      <c r="G3669" s="33"/>
    </row>
    <row r="3670" ht="15.75" customHeight="1">
      <c r="A3670" s="26" t="s">
        <v>7334</v>
      </c>
      <c r="B3670" s="27" t="s">
        <v>436</v>
      </c>
      <c r="C3670" s="27" t="s">
        <v>3640</v>
      </c>
      <c r="D3670" s="26" t="s">
        <v>3663</v>
      </c>
      <c r="E3670" s="28">
        <v>46113.0</v>
      </c>
      <c r="F3670" s="28">
        <v>46171.0</v>
      </c>
      <c r="G3670" s="29"/>
    </row>
    <row r="3671" ht="15.75" customHeight="1">
      <c r="A3671" s="30" t="s">
        <v>7335</v>
      </c>
      <c r="B3671" s="31" t="s">
        <v>436</v>
      </c>
      <c r="C3671" s="31" t="s">
        <v>1323</v>
      </c>
      <c r="D3671" s="30" t="s">
        <v>3663</v>
      </c>
      <c r="E3671" s="32">
        <v>46113.0</v>
      </c>
      <c r="F3671" s="32">
        <v>46171.0</v>
      </c>
      <c r="G3671" s="33"/>
    </row>
    <row r="3672" ht="15.75" customHeight="1">
      <c r="A3672" s="26" t="s">
        <v>7336</v>
      </c>
      <c r="B3672" s="27" t="s">
        <v>436</v>
      </c>
      <c r="C3672" s="27" t="s">
        <v>1354</v>
      </c>
      <c r="D3672" s="26" t="s">
        <v>3663</v>
      </c>
      <c r="E3672" s="28">
        <v>46113.0</v>
      </c>
      <c r="F3672" s="28">
        <v>46171.0</v>
      </c>
      <c r="G3672" s="29"/>
    </row>
    <row r="3673" ht="15.75" customHeight="1">
      <c r="A3673" s="30" t="s">
        <v>7337</v>
      </c>
      <c r="B3673" s="31" t="s">
        <v>436</v>
      </c>
      <c r="C3673" s="31" t="s">
        <v>1304</v>
      </c>
      <c r="D3673" s="31" t="s">
        <v>3663</v>
      </c>
      <c r="E3673" s="32">
        <v>46113.0</v>
      </c>
      <c r="F3673" s="32">
        <v>46171.0</v>
      </c>
      <c r="G3673" s="33"/>
    </row>
    <row r="3674" ht="15.75" customHeight="1">
      <c r="A3674" s="26" t="s">
        <v>7338</v>
      </c>
      <c r="B3674" s="27" t="s">
        <v>436</v>
      </c>
      <c r="C3674" s="27" t="s">
        <v>1306</v>
      </c>
      <c r="D3674" s="27" t="s">
        <v>3663</v>
      </c>
      <c r="E3674" s="28">
        <v>46113.0</v>
      </c>
      <c r="F3674" s="28">
        <v>46171.0</v>
      </c>
      <c r="G3674" s="29"/>
    </row>
    <row r="3675" ht="15.75" customHeight="1">
      <c r="A3675" s="30" t="s">
        <v>7339</v>
      </c>
      <c r="B3675" s="31" t="s">
        <v>436</v>
      </c>
      <c r="C3675" s="31" t="s">
        <v>1308</v>
      </c>
      <c r="D3675" s="31" t="s">
        <v>3663</v>
      </c>
      <c r="E3675" s="32">
        <v>46113.0</v>
      </c>
      <c r="F3675" s="32">
        <v>46171.0</v>
      </c>
      <c r="G3675" s="33"/>
    </row>
    <row r="3676" ht="15.75" customHeight="1">
      <c r="A3676" s="26" t="s">
        <v>7340</v>
      </c>
      <c r="B3676" s="27" t="s">
        <v>436</v>
      </c>
      <c r="C3676" s="27" t="s">
        <v>1310</v>
      </c>
      <c r="D3676" s="27" t="s">
        <v>3663</v>
      </c>
      <c r="E3676" s="28">
        <v>46113.0</v>
      </c>
      <c r="F3676" s="28">
        <v>46171.0</v>
      </c>
      <c r="G3676" s="29"/>
    </row>
    <row r="3677" ht="15.75" customHeight="1">
      <c r="A3677" s="30" t="s">
        <v>7341</v>
      </c>
      <c r="B3677" s="31" t="s">
        <v>436</v>
      </c>
      <c r="C3677" s="31" t="s">
        <v>3656</v>
      </c>
      <c r="D3677" s="30" t="s">
        <v>3663</v>
      </c>
      <c r="E3677" s="32">
        <v>46113.0</v>
      </c>
      <c r="F3677" s="32">
        <v>46171.0</v>
      </c>
      <c r="G3677" s="33"/>
    </row>
    <row r="3678" ht="15.75" customHeight="1">
      <c r="A3678" s="26" t="s">
        <v>7342</v>
      </c>
      <c r="B3678" s="27" t="s">
        <v>436</v>
      </c>
      <c r="C3678" s="27" t="s">
        <v>3657</v>
      </c>
      <c r="D3678" s="26" t="s">
        <v>3663</v>
      </c>
      <c r="E3678" s="28">
        <v>46113.0</v>
      </c>
      <c r="F3678" s="28">
        <v>46171.0</v>
      </c>
      <c r="G3678" s="29"/>
    </row>
    <row r="3679" ht="15.75" customHeight="1">
      <c r="A3679" s="30" t="s">
        <v>7343</v>
      </c>
      <c r="B3679" s="31" t="s">
        <v>436</v>
      </c>
      <c r="C3679" s="31" t="s">
        <v>1351</v>
      </c>
      <c r="D3679" s="30" t="s">
        <v>3663</v>
      </c>
      <c r="E3679" s="32">
        <v>46113.0</v>
      </c>
      <c r="F3679" s="32">
        <v>46171.0</v>
      </c>
      <c r="G3679" s="33"/>
    </row>
    <row r="3680" ht="15.75" customHeight="1">
      <c r="A3680" s="26" t="s">
        <v>7344</v>
      </c>
      <c r="B3680" s="27" t="s">
        <v>436</v>
      </c>
      <c r="C3680" s="27" t="s">
        <v>1349</v>
      </c>
      <c r="D3680" s="26" t="s">
        <v>3663</v>
      </c>
      <c r="E3680" s="28">
        <v>46113.0</v>
      </c>
      <c r="F3680" s="28">
        <v>46171.0</v>
      </c>
      <c r="G3680" s="29"/>
    </row>
    <row r="3681" ht="15.75" customHeight="1">
      <c r="A3681" s="30" t="s">
        <v>7345</v>
      </c>
      <c r="B3681" s="31" t="s">
        <v>436</v>
      </c>
      <c r="C3681" s="31" t="s">
        <v>965</v>
      </c>
      <c r="D3681" s="30" t="s">
        <v>3663</v>
      </c>
      <c r="E3681" s="32">
        <v>46113.0</v>
      </c>
      <c r="F3681" s="32">
        <v>46171.0</v>
      </c>
      <c r="G3681" s="33"/>
    </row>
    <row r="3682" ht="15.75" customHeight="1">
      <c r="A3682" s="26" t="s">
        <v>7346</v>
      </c>
      <c r="B3682" s="27" t="s">
        <v>436</v>
      </c>
      <c r="C3682" s="27" t="s">
        <v>923</v>
      </c>
      <c r="D3682" s="27" t="s">
        <v>3663</v>
      </c>
      <c r="E3682" s="28">
        <v>46113.0</v>
      </c>
      <c r="F3682" s="28">
        <v>46171.0</v>
      </c>
      <c r="G3682" s="29"/>
    </row>
    <row r="3683" ht="15.75" customHeight="1">
      <c r="A3683" s="30" t="s">
        <v>7347</v>
      </c>
      <c r="B3683" s="31" t="s">
        <v>437</v>
      </c>
      <c r="C3683" s="31" t="s">
        <v>928</v>
      </c>
      <c r="D3683" s="30" t="s">
        <v>3663</v>
      </c>
      <c r="E3683" s="32">
        <v>46113.0</v>
      </c>
      <c r="F3683" s="32">
        <v>46171.0</v>
      </c>
      <c r="G3683" s="33"/>
    </row>
    <row r="3684" ht="15.75" customHeight="1">
      <c r="A3684" s="26" t="s">
        <v>7348</v>
      </c>
      <c r="B3684" s="27" t="s">
        <v>437</v>
      </c>
      <c r="C3684" s="27" t="s">
        <v>1354</v>
      </c>
      <c r="D3684" s="26" t="s">
        <v>3663</v>
      </c>
      <c r="E3684" s="28">
        <v>46113.0</v>
      </c>
      <c r="F3684" s="28">
        <v>46171.0</v>
      </c>
      <c r="G3684" s="29"/>
    </row>
    <row r="3685" ht="15.75" customHeight="1">
      <c r="A3685" s="30" t="s">
        <v>7349</v>
      </c>
      <c r="B3685" s="31" t="s">
        <v>437</v>
      </c>
      <c r="C3685" s="31" t="s">
        <v>1222</v>
      </c>
      <c r="D3685" s="30" t="s">
        <v>3663</v>
      </c>
      <c r="E3685" s="32">
        <v>46113.0</v>
      </c>
      <c r="F3685" s="32">
        <v>46171.0</v>
      </c>
      <c r="G3685" s="33"/>
    </row>
    <row r="3686" ht="15.75" customHeight="1">
      <c r="A3686" s="26" t="s">
        <v>7350</v>
      </c>
      <c r="B3686" s="27" t="s">
        <v>437</v>
      </c>
      <c r="C3686" s="27" t="s">
        <v>1224</v>
      </c>
      <c r="D3686" s="26" t="s">
        <v>3663</v>
      </c>
      <c r="E3686" s="28">
        <v>46113.0</v>
      </c>
      <c r="F3686" s="28">
        <v>46171.0</v>
      </c>
      <c r="G3686" s="29"/>
    </row>
    <row r="3687" ht="15.75" customHeight="1">
      <c r="A3687" s="30" t="s">
        <v>7351</v>
      </c>
      <c r="B3687" s="31" t="s">
        <v>437</v>
      </c>
      <c r="C3687" s="31" t="s">
        <v>1226</v>
      </c>
      <c r="D3687" s="30" t="s">
        <v>3663</v>
      </c>
      <c r="E3687" s="32">
        <v>46113.0</v>
      </c>
      <c r="F3687" s="32">
        <v>46171.0</v>
      </c>
      <c r="G3687" s="33"/>
    </row>
    <row r="3688" ht="15.75" customHeight="1">
      <c r="A3688" s="26" t="s">
        <v>7352</v>
      </c>
      <c r="B3688" s="27" t="s">
        <v>437</v>
      </c>
      <c r="C3688" s="27" t="s">
        <v>1228</v>
      </c>
      <c r="D3688" s="26" t="s">
        <v>3663</v>
      </c>
      <c r="E3688" s="28">
        <v>46113.0</v>
      </c>
      <c r="F3688" s="28">
        <v>46171.0</v>
      </c>
      <c r="G3688" s="29"/>
    </row>
    <row r="3689" ht="15.75" customHeight="1">
      <c r="A3689" s="30" t="s">
        <v>7353</v>
      </c>
      <c r="B3689" s="31" t="s">
        <v>437</v>
      </c>
      <c r="C3689" s="31" t="s">
        <v>1159</v>
      </c>
      <c r="D3689" s="30" t="s">
        <v>3663</v>
      </c>
      <c r="E3689" s="32">
        <v>46113.0</v>
      </c>
      <c r="F3689" s="32">
        <v>46171.0</v>
      </c>
      <c r="G3689" s="33"/>
    </row>
    <row r="3690" ht="15.75" customHeight="1">
      <c r="A3690" s="26" t="s">
        <v>7354</v>
      </c>
      <c r="B3690" s="27" t="s">
        <v>437</v>
      </c>
      <c r="C3690" s="27" t="s">
        <v>1351</v>
      </c>
      <c r="D3690" s="26" t="s">
        <v>3663</v>
      </c>
      <c r="E3690" s="28">
        <v>46113.0</v>
      </c>
      <c r="F3690" s="28">
        <v>46171.0</v>
      </c>
      <c r="G3690" s="29"/>
    </row>
    <row r="3691" ht="15.75" customHeight="1">
      <c r="A3691" s="30" t="s">
        <v>7355</v>
      </c>
      <c r="B3691" s="31" t="s">
        <v>437</v>
      </c>
      <c r="C3691" s="31" t="s">
        <v>1349</v>
      </c>
      <c r="D3691" s="30" t="s">
        <v>3663</v>
      </c>
      <c r="E3691" s="32">
        <v>46113.0</v>
      </c>
      <c r="F3691" s="32">
        <v>46171.0</v>
      </c>
      <c r="G3691" s="33"/>
    </row>
    <row r="3692" ht="15.75" customHeight="1">
      <c r="A3692" s="26" t="s">
        <v>7356</v>
      </c>
      <c r="B3692" s="27" t="s">
        <v>437</v>
      </c>
      <c r="C3692" s="27" t="s">
        <v>3653</v>
      </c>
      <c r="D3692" s="27" t="s">
        <v>3663</v>
      </c>
      <c r="E3692" s="28">
        <v>46113.0</v>
      </c>
      <c r="F3692" s="28">
        <v>46171.0</v>
      </c>
      <c r="G3692" s="29"/>
    </row>
    <row r="3693" ht="15.75" customHeight="1">
      <c r="A3693" s="30" t="s">
        <v>7357</v>
      </c>
      <c r="B3693" s="31" t="s">
        <v>437</v>
      </c>
      <c r="C3693" s="31" t="s">
        <v>3652</v>
      </c>
      <c r="D3693" s="30" t="s">
        <v>3663</v>
      </c>
      <c r="E3693" s="32">
        <v>46113.0</v>
      </c>
      <c r="F3693" s="32">
        <v>46171.0</v>
      </c>
      <c r="G3693" s="33"/>
    </row>
    <row r="3694" ht="15.75" customHeight="1">
      <c r="A3694" s="26" t="s">
        <v>7358</v>
      </c>
      <c r="B3694" s="27" t="s">
        <v>437</v>
      </c>
      <c r="C3694" s="27" t="s">
        <v>968</v>
      </c>
      <c r="D3694" s="26" t="s">
        <v>3663</v>
      </c>
      <c r="E3694" s="28">
        <v>46113.0</v>
      </c>
      <c r="F3694" s="28">
        <v>46171.0</v>
      </c>
      <c r="G3694" s="29"/>
    </row>
    <row r="3695" ht="15.75" customHeight="1">
      <c r="A3695" s="30" t="s">
        <v>7359</v>
      </c>
      <c r="B3695" s="31" t="s">
        <v>437</v>
      </c>
      <c r="C3695" s="31" t="s">
        <v>923</v>
      </c>
      <c r="D3695" s="30" t="s">
        <v>3663</v>
      </c>
      <c r="E3695" s="32">
        <v>46113.0</v>
      </c>
      <c r="F3695" s="32">
        <v>46171.0</v>
      </c>
      <c r="G3695" s="33"/>
    </row>
    <row r="3696" ht="15.75" customHeight="1">
      <c r="A3696" s="26" t="s">
        <v>7360</v>
      </c>
      <c r="B3696" s="27" t="s">
        <v>437</v>
      </c>
      <c r="C3696" s="27" t="s">
        <v>958</v>
      </c>
      <c r="D3696" s="26" t="s">
        <v>3663</v>
      </c>
      <c r="E3696" s="28">
        <v>46113.0</v>
      </c>
      <c r="F3696" s="28">
        <v>46171.0</v>
      </c>
      <c r="G3696" s="29"/>
    </row>
    <row r="3697" ht="15.75" customHeight="1">
      <c r="A3697" s="30" t="s">
        <v>7361</v>
      </c>
      <c r="B3697" s="31" t="s">
        <v>438</v>
      </c>
      <c r="C3697" s="31" t="s">
        <v>932</v>
      </c>
      <c r="D3697" s="30" t="s">
        <v>3663</v>
      </c>
      <c r="E3697" s="32">
        <v>46113.0</v>
      </c>
      <c r="F3697" s="32">
        <v>46171.0</v>
      </c>
      <c r="G3697" s="33"/>
    </row>
    <row r="3698" ht="15.75" customHeight="1">
      <c r="A3698" s="26" t="s">
        <v>7362</v>
      </c>
      <c r="B3698" s="27" t="s">
        <v>438</v>
      </c>
      <c r="C3698" s="27" t="s">
        <v>1164</v>
      </c>
      <c r="D3698" s="26" t="s">
        <v>3663</v>
      </c>
      <c r="E3698" s="28">
        <v>46113.0</v>
      </c>
      <c r="F3698" s="28">
        <v>46171.0</v>
      </c>
      <c r="G3698" s="29"/>
    </row>
    <row r="3699" ht="15.75" customHeight="1">
      <c r="A3699" s="30" t="s">
        <v>7363</v>
      </c>
      <c r="B3699" s="31" t="s">
        <v>438</v>
      </c>
      <c r="C3699" s="31" t="s">
        <v>1166</v>
      </c>
      <c r="D3699" s="30" t="s">
        <v>3663</v>
      </c>
      <c r="E3699" s="32">
        <v>46113.0</v>
      </c>
      <c r="F3699" s="32">
        <v>46171.0</v>
      </c>
      <c r="G3699" s="33"/>
    </row>
    <row r="3700" ht="15.75" customHeight="1">
      <c r="A3700" s="26" t="s">
        <v>7364</v>
      </c>
      <c r="B3700" s="27" t="s">
        <v>438</v>
      </c>
      <c r="C3700" s="27" t="s">
        <v>1168</v>
      </c>
      <c r="D3700" s="26" t="s">
        <v>3663</v>
      </c>
      <c r="E3700" s="28">
        <v>46113.0</v>
      </c>
      <c r="F3700" s="28">
        <v>46171.0</v>
      </c>
      <c r="G3700" s="29"/>
    </row>
    <row r="3701" ht="15.75" customHeight="1">
      <c r="A3701" s="30" t="s">
        <v>7365</v>
      </c>
      <c r="B3701" s="31" t="s">
        <v>438</v>
      </c>
      <c r="C3701" s="31" t="s">
        <v>1170</v>
      </c>
      <c r="D3701" s="30" t="s">
        <v>3663</v>
      </c>
      <c r="E3701" s="32">
        <v>46113.0</v>
      </c>
      <c r="F3701" s="32">
        <v>46171.0</v>
      </c>
      <c r="G3701" s="33"/>
    </row>
    <row r="3702" ht="15.75" customHeight="1">
      <c r="A3702" s="26" t="s">
        <v>7366</v>
      </c>
      <c r="B3702" s="27" t="s">
        <v>438</v>
      </c>
      <c r="C3702" s="27" t="s">
        <v>1354</v>
      </c>
      <c r="D3702" s="26" t="s">
        <v>3663</v>
      </c>
      <c r="E3702" s="28">
        <v>46113.0</v>
      </c>
      <c r="F3702" s="28">
        <v>46171.0</v>
      </c>
      <c r="G3702" s="29"/>
    </row>
    <row r="3703" ht="15.75" customHeight="1">
      <c r="A3703" s="30" t="s">
        <v>7367</v>
      </c>
      <c r="B3703" s="31" t="s">
        <v>438</v>
      </c>
      <c r="C3703" s="31" t="s">
        <v>3681</v>
      </c>
      <c r="D3703" s="30" t="s">
        <v>3663</v>
      </c>
      <c r="E3703" s="32">
        <v>46113.0</v>
      </c>
      <c r="F3703" s="32">
        <v>46171.0</v>
      </c>
      <c r="G3703" s="33"/>
    </row>
    <row r="3704" ht="15.75" customHeight="1">
      <c r="A3704" s="26" t="s">
        <v>7368</v>
      </c>
      <c r="B3704" s="27" t="s">
        <v>438</v>
      </c>
      <c r="C3704" s="27" t="s">
        <v>3683</v>
      </c>
      <c r="D3704" s="26" t="s">
        <v>3663</v>
      </c>
      <c r="E3704" s="28">
        <v>46113.0</v>
      </c>
      <c r="F3704" s="28">
        <v>46171.0</v>
      </c>
      <c r="G3704" s="29"/>
    </row>
    <row r="3705" ht="15.75" customHeight="1">
      <c r="A3705" s="30" t="s">
        <v>7369</v>
      </c>
      <c r="B3705" s="31" t="s">
        <v>438</v>
      </c>
      <c r="C3705" s="31" t="s">
        <v>1216</v>
      </c>
      <c r="D3705" s="30" t="s">
        <v>3663</v>
      </c>
      <c r="E3705" s="32">
        <v>46113.0</v>
      </c>
      <c r="F3705" s="32">
        <v>46171.0</v>
      </c>
      <c r="G3705" s="33"/>
    </row>
    <row r="3706" ht="15.75" customHeight="1">
      <c r="A3706" s="26" t="s">
        <v>7370</v>
      </c>
      <c r="B3706" s="27" t="s">
        <v>438</v>
      </c>
      <c r="C3706" s="27" t="s">
        <v>1218</v>
      </c>
      <c r="D3706" s="26" t="s">
        <v>3663</v>
      </c>
      <c r="E3706" s="28">
        <v>46113.0</v>
      </c>
      <c r="F3706" s="28">
        <v>46171.0</v>
      </c>
      <c r="G3706" s="29"/>
    </row>
    <row r="3707" ht="15.75" customHeight="1">
      <c r="A3707" s="30" t="s">
        <v>7371</v>
      </c>
      <c r="B3707" s="31" t="s">
        <v>438</v>
      </c>
      <c r="C3707" s="31" t="s">
        <v>1351</v>
      </c>
      <c r="D3707" s="30" t="s">
        <v>3663</v>
      </c>
      <c r="E3707" s="32">
        <v>46113.0</v>
      </c>
      <c r="F3707" s="32">
        <v>46171.0</v>
      </c>
      <c r="G3707" s="33"/>
    </row>
    <row r="3708" ht="15.75" customHeight="1">
      <c r="A3708" s="26" t="s">
        <v>7372</v>
      </c>
      <c r="B3708" s="27" t="s">
        <v>438</v>
      </c>
      <c r="C3708" s="27" t="s">
        <v>1349</v>
      </c>
      <c r="D3708" s="26" t="s">
        <v>3663</v>
      </c>
      <c r="E3708" s="28">
        <v>46113.0</v>
      </c>
      <c r="F3708" s="28">
        <v>46171.0</v>
      </c>
      <c r="G3708" s="29"/>
    </row>
    <row r="3709" ht="15.75" customHeight="1">
      <c r="A3709" s="30" t="s">
        <v>7373</v>
      </c>
      <c r="B3709" s="31" t="s">
        <v>438</v>
      </c>
      <c r="C3709" s="31" t="s">
        <v>968</v>
      </c>
      <c r="D3709" s="30" t="s">
        <v>3663</v>
      </c>
      <c r="E3709" s="32">
        <v>46113.0</v>
      </c>
      <c r="F3709" s="32">
        <v>46171.0</v>
      </c>
      <c r="G3709" s="33"/>
    </row>
    <row r="3710" ht="15.75" customHeight="1">
      <c r="A3710" s="26" t="s">
        <v>7374</v>
      </c>
      <c r="B3710" s="27" t="s">
        <v>438</v>
      </c>
      <c r="C3710" s="27" t="s">
        <v>923</v>
      </c>
      <c r="D3710" s="26" t="s">
        <v>3663</v>
      </c>
      <c r="E3710" s="28">
        <v>46113.0</v>
      </c>
      <c r="F3710" s="28">
        <v>46171.0</v>
      </c>
      <c r="G3710" s="29"/>
    </row>
    <row r="3711" ht="15.75" customHeight="1">
      <c r="A3711" s="30" t="s">
        <v>7375</v>
      </c>
      <c r="B3711" s="31" t="s">
        <v>439</v>
      </c>
      <c r="C3711" s="31" t="s">
        <v>934</v>
      </c>
      <c r="D3711" s="30" t="s">
        <v>3663</v>
      </c>
      <c r="E3711" s="32">
        <v>46113.0</v>
      </c>
      <c r="F3711" s="32">
        <v>46171.0</v>
      </c>
      <c r="G3711" s="33"/>
    </row>
    <row r="3712" ht="15.75" customHeight="1">
      <c r="A3712" s="26" t="s">
        <v>7376</v>
      </c>
      <c r="B3712" s="27" t="s">
        <v>439</v>
      </c>
      <c r="C3712" s="27" t="s">
        <v>1354</v>
      </c>
      <c r="D3712" s="26" t="s">
        <v>3663</v>
      </c>
      <c r="E3712" s="28">
        <v>46113.0</v>
      </c>
      <c r="F3712" s="28">
        <v>46171.0</v>
      </c>
      <c r="G3712" s="29"/>
    </row>
    <row r="3713" ht="15.75" customHeight="1">
      <c r="A3713" s="30" t="s">
        <v>7377</v>
      </c>
      <c r="B3713" s="31" t="s">
        <v>439</v>
      </c>
      <c r="C3713" s="31" t="s">
        <v>1216</v>
      </c>
      <c r="D3713" s="30" t="s">
        <v>3663</v>
      </c>
      <c r="E3713" s="32">
        <v>46113.0</v>
      </c>
      <c r="F3713" s="32">
        <v>46171.0</v>
      </c>
      <c r="G3713" s="33"/>
    </row>
    <row r="3714" ht="15.75" customHeight="1">
      <c r="A3714" s="26" t="s">
        <v>7378</v>
      </c>
      <c r="B3714" s="27" t="s">
        <v>439</v>
      </c>
      <c r="C3714" s="27" t="s">
        <v>1271</v>
      </c>
      <c r="D3714" s="26" t="s">
        <v>3663</v>
      </c>
      <c r="E3714" s="28">
        <v>46113.0</v>
      </c>
      <c r="F3714" s="28">
        <v>46171.0</v>
      </c>
      <c r="G3714" s="29"/>
    </row>
    <row r="3715" ht="15.75" customHeight="1">
      <c r="A3715" s="30" t="s">
        <v>7379</v>
      </c>
      <c r="B3715" s="31" t="s">
        <v>439</v>
      </c>
      <c r="C3715" s="31" t="s">
        <v>1157</v>
      </c>
      <c r="D3715" s="30" t="s">
        <v>3663</v>
      </c>
      <c r="E3715" s="32">
        <v>46113.0</v>
      </c>
      <c r="F3715" s="32">
        <v>46171.0</v>
      </c>
      <c r="G3715" s="33"/>
    </row>
    <row r="3716" ht="15.75" customHeight="1">
      <c r="A3716" s="26" t="s">
        <v>7380</v>
      </c>
      <c r="B3716" s="27" t="s">
        <v>439</v>
      </c>
      <c r="C3716" s="27" t="s">
        <v>1155</v>
      </c>
      <c r="D3716" s="26" t="s">
        <v>3663</v>
      </c>
      <c r="E3716" s="28">
        <v>46113.0</v>
      </c>
      <c r="F3716" s="28">
        <v>46171.0</v>
      </c>
      <c r="G3716" s="29"/>
    </row>
    <row r="3717" ht="15.75" customHeight="1">
      <c r="A3717" s="30" t="s">
        <v>7381</v>
      </c>
      <c r="B3717" s="31" t="s">
        <v>439</v>
      </c>
      <c r="C3717" s="31" t="s">
        <v>1153</v>
      </c>
      <c r="D3717" s="30" t="s">
        <v>3663</v>
      </c>
      <c r="E3717" s="32">
        <v>46113.0</v>
      </c>
      <c r="F3717" s="32">
        <v>46171.0</v>
      </c>
      <c r="G3717" s="33"/>
    </row>
    <row r="3718" ht="15.75" customHeight="1">
      <c r="A3718" s="26" t="s">
        <v>7382</v>
      </c>
      <c r="B3718" s="27" t="s">
        <v>439</v>
      </c>
      <c r="C3718" s="27" t="s">
        <v>1149</v>
      </c>
      <c r="D3718" s="26" t="s">
        <v>3663</v>
      </c>
      <c r="E3718" s="28">
        <v>46113.0</v>
      </c>
      <c r="F3718" s="28">
        <v>46171.0</v>
      </c>
      <c r="G3718" s="29"/>
    </row>
    <row r="3719" ht="15.75" customHeight="1">
      <c r="A3719" s="30" t="s">
        <v>7383</v>
      </c>
      <c r="B3719" s="31" t="s">
        <v>439</v>
      </c>
      <c r="C3719" s="31" t="s">
        <v>1351</v>
      </c>
      <c r="D3719" s="30" t="s">
        <v>3663</v>
      </c>
      <c r="E3719" s="32">
        <v>46113.0</v>
      </c>
      <c r="F3719" s="32">
        <v>46171.0</v>
      </c>
      <c r="G3719" s="33"/>
    </row>
    <row r="3720" ht="15.75" customHeight="1">
      <c r="A3720" s="26" t="s">
        <v>7384</v>
      </c>
      <c r="B3720" s="27" t="s">
        <v>439</v>
      </c>
      <c r="C3720" s="27" t="s">
        <v>1349</v>
      </c>
      <c r="D3720" s="26" t="s">
        <v>3663</v>
      </c>
      <c r="E3720" s="28">
        <v>46113.0</v>
      </c>
      <c r="F3720" s="28">
        <v>46171.0</v>
      </c>
      <c r="G3720" s="29"/>
    </row>
    <row r="3721" ht="15.75" customHeight="1">
      <c r="A3721" s="30" t="s">
        <v>7385</v>
      </c>
      <c r="B3721" s="31" t="s">
        <v>439</v>
      </c>
      <c r="C3721" s="31" t="s">
        <v>3653</v>
      </c>
      <c r="D3721" s="31" t="s">
        <v>3663</v>
      </c>
      <c r="E3721" s="32">
        <v>46113.0</v>
      </c>
      <c r="F3721" s="32">
        <v>46171.0</v>
      </c>
      <c r="G3721" s="33"/>
    </row>
    <row r="3722" ht="15.75" customHeight="1">
      <c r="A3722" s="26" t="s">
        <v>7386</v>
      </c>
      <c r="B3722" s="27" t="s">
        <v>439</v>
      </c>
      <c r="C3722" s="27" t="s">
        <v>3652</v>
      </c>
      <c r="D3722" s="26" t="s">
        <v>3663</v>
      </c>
      <c r="E3722" s="28">
        <v>46113.0</v>
      </c>
      <c r="F3722" s="28">
        <v>46171.0</v>
      </c>
      <c r="G3722" s="29"/>
    </row>
    <row r="3723" ht="15.75" customHeight="1">
      <c r="A3723" s="30" t="s">
        <v>7387</v>
      </c>
      <c r="B3723" s="31" t="s">
        <v>439</v>
      </c>
      <c r="C3723" s="31" t="s">
        <v>968</v>
      </c>
      <c r="D3723" s="30" t="s">
        <v>3663</v>
      </c>
      <c r="E3723" s="32">
        <v>46113.0</v>
      </c>
      <c r="F3723" s="32">
        <v>46171.0</v>
      </c>
      <c r="G3723" s="33"/>
    </row>
    <row r="3724" ht="15.75" customHeight="1">
      <c r="A3724" s="26" t="s">
        <v>7388</v>
      </c>
      <c r="B3724" s="27" t="s">
        <v>439</v>
      </c>
      <c r="C3724" s="27" t="s">
        <v>923</v>
      </c>
      <c r="D3724" s="26" t="s">
        <v>3663</v>
      </c>
      <c r="E3724" s="28">
        <v>46113.0</v>
      </c>
      <c r="F3724" s="28">
        <v>46171.0</v>
      </c>
      <c r="G3724" s="29"/>
    </row>
    <row r="3725" ht="15.75" customHeight="1">
      <c r="A3725" s="30" t="s">
        <v>7389</v>
      </c>
      <c r="B3725" s="31" t="s">
        <v>440</v>
      </c>
      <c r="C3725" s="31" t="s">
        <v>1240</v>
      </c>
      <c r="D3725" s="30" t="s">
        <v>3663</v>
      </c>
      <c r="E3725" s="32">
        <v>46113.0</v>
      </c>
      <c r="F3725" s="32">
        <v>46171.0</v>
      </c>
      <c r="G3725" s="33"/>
    </row>
    <row r="3726" ht="15.75" customHeight="1">
      <c r="A3726" s="26" t="s">
        <v>7390</v>
      </c>
      <c r="B3726" s="27" t="s">
        <v>440</v>
      </c>
      <c r="C3726" s="27" t="s">
        <v>1242</v>
      </c>
      <c r="D3726" s="26" t="s">
        <v>3663</v>
      </c>
      <c r="E3726" s="28">
        <v>46113.0</v>
      </c>
      <c r="F3726" s="28">
        <v>46171.0</v>
      </c>
      <c r="G3726" s="29"/>
    </row>
    <row r="3727" ht="15.75" customHeight="1">
      <c r="A3727" s="30" t="s">
        <v>7391</v>
      </c>
      <c r="B3727" s="31" t="s">
        <v>440</v>
      </c>
      <c r="C3727" s="31" t="s">
        <v>1244</v>
      </c>
      <c r="D3727" s="30" t="s">
        <v>3663</v>
      </c>
      <c r="E3727" s="32">
        <v>46113.0</v>
      </c>
      <c r="F3727" s="32">
        <v>46171.0</v>
      </c>
      <c r="G3727" s="33"/>
    </row>
    <row r="3728" ht="15.75" customHeight="1">
      <c r="A3728" s="26" t="s">
        <v>7392</v>
      </c>
      <c r="B3728" s="27" t="s">
        <v>440</v>
      </c>
      <c r="C3728" s="27" t="s">
        <v>1246</v>
      </c>
      <c r="D3728" s="26" t="s">
        <v>3663</v>
      </c>
      <c r="E3728" s="28">
        <v>46113.0</v>
      </c>
      <c r="F3728" s="28">
        <v>46171.0</v>
      </c>
      <c r="G3728" s="29"/>
    </row>
    <row r="3729" ht="15.75" customHeight="1">
      <c r="A3729" s="30" t="s">
        <v>7393</v>
      </c>
      <c r="B3729" s="31" t="s">
        <v>440</v>
      </c>
      <c r="C3729" s="31" t="s">
        <v>934</v>
      </c>
      <c r="D3729" s="30" t="s">
        <v>3663</v>
      </c>
      <c r="E3729" s="32">
        <v>46113.0</v>
      </c>
      <c r="F3729" s="32">
        <v>46171.0</v>
      </c>
      <c r="G3729" s="33"/>
    </row>
    <row r="3730" ht="15.75" customHeight="1">
      <c r="A3730" s="26" t="s">
        <v>7394</v>
      </c>
      <c r="B3730" s="27" t="s">
        <v>440</v>
      </c>
      <c r="C3730" s="27" t="s">
        <v>1354</v>
      </c>
      <c r="D3730" s="26" t="s">
        <v>3663</v>
      </c>
      <c r="E3730" s="28">
        <v>46113.0</v>
      </c>
      <c r="F3730" s="28">
        <v>46171.0</v>
      </c>
      <c r="G3730" s="29"/>
    </row>
    <row r="3731" ht="15.75" customHeight="1">
      <c r="A3731" s="30" t="s">
        <v>7395</v>
      </c>
      <c r="B3731" s="31" t="s">
        <v>440</v>
      </c>
      <c r="C3731" s="31" t="s">
        <v>1312</v>
      </c>
      <c r="D3731" s="30" t="s">
        <v>3663</v>
      </c>
      <c r="E3731" s="32">
        <v>46113.0</v>
      </c>
      <c r="F3731" s="32">
        <v>46171.0</v>
      </c>
      <c r="G3731" s="33"/>
    </row>
    <row r="3732" ht="15.75" customHeight="1">
      <c r="A3732" s="26" t="s">
        <v>7396</v>
      </c>
      <c r="B3732" s="27" t="s">
        <v>440</v>
      </c>
      <c r="C3732" s="27" t="s">
        <v>1208</v>
      </c>
      <c r="D3732" s="26" t="s">
        <v>3663</v>
      </c>
      <c r="E3732" s="28">
        <v>46113.0</v>
      </c>
      <c r="F3732" s="28">
        <v>46171.0</v>
      </c>
      <c r="G3732" s="29"/>
    </row>
    <row r="3733" ht="15.75" customHeight="1">
      <c r="A3733" s="30" t="s">
        <v>7397</v>
      </c>
      <c r="B3733" s="31" t="s">
        <v>440</v>
      </c>
      <c r="C3733" s="31" t="s">
        <v>3656</v>
      </c>
      <c r="D3733" s="30" t="s">
        <v>3663</v>
      </c>
      <c r="E3733" s="32">
        <v>46113.0</v>
      </c>
      <c r="F3733" s="32">
        <v>46171.0</v>
      </c>
      <c r="G3733" s="33"/>
    </row>
    <row r="3734" ht="15.75" customHeight="1">
      <c r="A3734" s="26" t="s">
        <v>7398</v>
      </c>
      <c r="B3734" s="27" t="s">
        <v>440</v>
      </c>
      <c r="C3734" s="27" t="s">
        <v>3657</v>
      </c>
      <c r="D3734" s="26" t="s">
        <v>3663</v>
      </c>
      <c r="E3734" s="28">
        <v>46113.0</v>
      </c>
      <c r="F3734" s="28">
        <v>46171.0</v>
      </c>
      <c r="G3734" s="29"/>
    </row>
    <row r="3735" ht="15.75" customHeight="1">
      <c r="A3735" s="30" t="s">
        <v>7399</v>
      </c>
      <c r="B3735" s="31" t="s">
        <v>440</v>
      </c>
      <c r="C3735" s="31" t="s">
        <v>1351</v>
      </c>
      <c r="D3735" s="30" t="s">
        <v>3663</v>
      </c>
      <c r="E3735" s="32">
        <v>46113.0</v>
      </c>
      <c r="F3735" s="32">
        <v>46171.0</v>
      </c>
      <c r="G3735" s="33"/>
    </row>
    <row r="3736" ht="15.75" customHeight="1">
      <c r="A3736" s="26" t="s">
        <v>7400</v>
      </c>
      <c r="B3736" s="27" t="s">
        <v>440</v>
      </c>
      <c r="C3736" s="27" t="s">
        <v>1349</v>
      </c>
      <c r="D3736" s="26" t="s">
        <v>3663</v>
      </c>
      <c r="E3736" s="28">
        <v>46113.0</v>
      </c>
      <c r="F3736" s="28">
        <v>46171.0</v>
      </c>
      <c r="G3736" s="29"/>
    </row>
    <row r="3737" ht="15.75" customHeight="1">
      <c r="A3737" s="30" t="s">
        <v>7401</v>
      </c>
      <c r="B3737" s="31" t="s">
        <v>440</v>
      </c>
      <c r="C3737" s="31" t="s">
        <v>968</v>
      </c>
      <c r="D3737" s="30" t="s">
        <v>3663</v>
      </c>
      <c r="E3737" s="32">
        <v>46113.0</v>
      </c>
      <c r="F3737" s="32">
        <v>46171.0</v>
      </c>
      <c r="G3737" s="33"/>
    </row>
    <row r="3738" ht="15.75" customHeight="1">
      <c r="A3738" s="26" t="s">
        <v>7402</v>
      </c>
      <c r="B3738" s="27" t="s">
        <v>440</v>
      </c>
      <c r="C3738" s="27" t="s">
        <v>923</v>
      </c>
      <c r="D3738" s="26" t="s">
        <v>3663</v>
      </c>
      <c r="E3738" s="28">
        <v>46113.0</v>
      </c>
      <c r="F3738" s="28">
        <v>46171.0</v>
      </c>
      <c r="G3738" s="29"/>
    </row>
    <row r="3739" ht="15.75" customHeight="1">
      <c r="A3739" s="30" t="s">
        <v>7403</v>
      </c>
      <c r="B3739" s="31" t="s">
        <v>441</v>
      </c>
      <c r="C3739" s="31" t="s">
        <v>934</v>
      </c>
      <c r="D3739" s="30" t="s">
        <v>3663</v>
      </c>
      <c r="E3739" s="32">
        <v>46113.0</v>
      </c>
      <c r="F3739" s="32">
        <v>46171.0</v>
      </c>
      <c r="G3739" s="33"/>
    </row>
    <row r="3740" ht="15.75" customHeight="1">
      <c r="A3740" s="26" t="s">
        <v>7404</v>
      </c>
      <c r="B3740" s="27" t="s">
        <v>441</v>
      </c>
      <c r="C3740" s="27" t="s">
        <v>1354</v>
      </c>
      <c r="D3740" s="26" t="s">
        <v>3663</v>
      </c>
      <c r="E3740" s="28">
        <v>46113.0</v>
      </c>
      <c r="F3740" s="28">
        <v>46171.0</v>
      </c>
      <c r="G3740" s="29"/>
    </row>
    <row r="3741" ht="15.75" customHeight="1">
      <c r="A3741" s="30" t="s">
        <v>7405</v>
      </c>
      <c r="B3741" s="31" t="s">
        <v>441</v>
      </c>
      <c r="C3741" s="31" t="s">
        <v>1159</v>
      </c>
      <c r="D3741" s="30" t="s">
        <v>3663</v>
      </c>
      <c r="E3741" s="32">
        <v>46113.0</v>
      </c>
      <c r="F3741" s="32">
        <v>46171.0</v>
      </c>
      <c r="G3741" s="33"/>
    </row>
    <row r="3742" ht="15.75" customHeight="1">
      <c r="A3742" s="26" t="s">
        <v>7406</v>
      </c>
      <c r="B3742" s="27" t="s">
        <v>441</v>
      </c>
      <c r="C3742" s="27" t="s">
        <v>3656</v>
      </c>
      <c r="D3742" s="26" t="s">
        <v>3663</v>
      </c>
      <c r="E3742" s="28">
        <v>46113.0</v>
      </c>
      <c r="F3742" s="28">
        <v>46171.0</v>
      </c>
      <c r="G3742" s="29"/>
    </row>
    <row r="3743" ht="15.75" customHeight="1">
      <c r="A3743" s="30" t="s">
        <v>7407</v>
      </c>
      <c r="B3743" s="31" t="s">
        <v>441</v>
      </c>
      <c r="C3743" s="31" t="s">
        <v>3657</v>
      </c>
      <c r="D3743" s="30" t="s">
        <v>3663</v>
      </c>
      <c r="E3743" s="32">
        <v>46113.0</v>
      </c>
      <c r="F3743" s="32">
        <v>46171.0</v>
      </c>
      <c r="G3743" s="33"/>
    </row>
    <row r="3744" ht="15.75" customHeight="1">
      <c r="A3744" s="26" t="s">
        <v>7408</v>
      </c>
      <c r="B3744" s="27" t="s">
        <v>441</v>
      </c>
      <c r="C3744" s="27" t="s">
        <v>3647</v>
      </c>
      <c r="D3744" s="26" t="s">
        <v>3663</v>
      </c>
      <c r="E3744" s="28">
        <v>46113.0</v>
      </c>
      <c r="F3744" s="28">
        <v>46171.0</v>
      </c>
      <c r="G3744" s="29"/>
    </row>
    <row r="3745" ht="15.75" customHeight="1">
      <c r="A3745" s="30" t="s">
        <v>7409</v>
      </c>
      <c r="B3745" s="31" t="s">
        <v>441</v>
      </c>
      <c r="C3745" s="31" t="s">
        <v>952</v>
      </c>
      <c r="D3745" s="30" t="s">
        <v>3663</v>
      </c>
      <c r="E3745" s="32">
        <v>46113.0</v>
      </c>
      <c r="F3745" s="32">
        <v>46171.0</v>
      </c>
      <c r="G3745" s="33"/>
    </row>
    <row r="3746" ht="15.75" customHeight="1">
      <c r="A3746" s="26" t="s">
        <v>7410</v>
      </c>
      <c r="B3746" s="27" t="s">
        <v>441</v>
      </c>
      <c r="C3746" s="27" t="s">
        <v>1216</v>
      </c>
      <c r="D3746" s="26" t="s">
        <v>3663</v>
      </c>
      <c r="E3746" s="28">
        <v>46113.0</v>
      </c>
      <c r="F3746" s="28">
        <v>46171.0</v>
      </c>
      <c r="G3746" s="29"/>
    </row>
    <row r="3747" ht="15.75" customHeight="1">
      <c r="A3747" s="30" t="s">
        <v>7411</v>
      </c>
      <c r="B3747" s="31" t="s">
        <v>441</v>
      </c>
      <c r="C3747" s="31" t="s">
        <v>1157</v>
      </c>
      <c r="D3747" s="30" t="s">
        <v>3663</v>
      </c>
      <c r="E3747" s="32">
        <v>46113.0</v>
      </c>
      <c r="F3747" s="32">
        <v>46171.0</v>
      </c>
      <c r="G3747" s="33"/>
    </row>
    <row r="3748" ht="15.75" customHeight="1">
      <c r="A3748" s="26" t="s">
        <v>7412</v>
      </c>
      <c r="B3748" s="27" t="s">
        <v>441</v>
      </c>
      <c r="C3748" s="27" t="s">
        <v>1155</v>
      </c>
      <c r="D3748" s="26" t="s">
        <v>3663</v>
      </c>
      <c r="E3748" s="28">
        <v>46113.0</v>
      </c>
      <c r="F3748" s="28">
        <v>46171.0</v>
      </c>
      <c r="G3748" s="29"/>
    </row>
    <row r="3749" ht="15.75" customHeight="1">
      <c r="A3749" s="30" t="s">
        <v>7413</v>
      </c>
      <c r="B3749" s="31" t="s">
        <v>441</v>
      </c>
      <c r="C3749" s="31" t="s">
        <v>1153</v>
      </c>
      <c r="D3749" s="30" t="s">
        <v>3663</v>
      </c>
      <c r="E3749" s="32">
        <v>46113.0</v>
      </c>
      <c r="F3749" s="32">
        <v>46171.0</v>
      </c>
      <c r="G3749" s="33"/>
    </row>
    <row r="3750" ht="15.75" customHeight="1">
      <c r="A3750" s="26" t="s">
        <v>7414</v>
      </c>
      <c r="B3750" s="27" t="s">
        <v>441</v>
      </c>
      <c r="C3750" s="27" t="s">
        <v>1149</v>
      </c>
      <c r="D3750" s="26" t="s">
        <v>3663</v>
      </c>
      <c r="E3750" s="28">
        <v>46113.0</v>
      </c>
      <c r="F3750" s="28">
        <v>46171.0</v>
      </c>
      <c r="G3750" s="29"/>
    </row>
    <row r="3751" ht="15.75" customHeight="1">
      <c r="A3751" s="30" t="s">
        <v>7415</v>
      </c>
      <c r="B3751" s="31" t="s">
        <v>441</v>
      </c>
      <c r="C3751" s="31" t="s">
        <v>965</v>
      </c>
      <c r="D3751" s="30" t="s">
        <v>3663</v>
      </c>
      <c r="E3751" s="32">
        <v>46113.0</v>
      </c>
      <c r="F3751" s="32">
        <v>46171.0</v>
      </c>
      <c r="G3751" s="33"/>
    </row>
    <row r="3752" ht="15.75" customHeight="1">
      <c r="A3752" s="26" t="s">
        <v>7416</v>
      </c>
      <c r="B3752" s="27" t="s">
        <v>441</v>
      </c>
      <c r="C3752" s="27" t="s">
        <v>923</v>
      </c>
      <c r="D3752" s="26" t="s">
        <v>3663</v>
      </c>
      <c r="E3752" s="28">
        <v>46113.0</v>
      </c>
      <c r="F3752" s="28">
        <v>46171.0</v>
      </c>
      <c r="G3752" s="29"/>
    </row>
    <row r="3753" ht="15.75" customHeight="1">
      <c r="A3753" s="30" t="s">
        <v>7417</v>
      </c>
      <c r="B3753" s="31" t="s">
        <v>443</v>
      </c>
      <c r="C3753" s="31" t="s">
        <v>932</v>
      </c>
      <c r="D3753" s="30" t="s">
        <v>3663</v>
      </c>
      <c r="E3753" s="32">
        <v>46113.0</v>
      </c>
      <c r="F3753" s="32">
        <v>46171.0</v>
      </c>
      <c r="G3753" s="33"/>
    </row>
    <row r="3754" ht="15.75" customHeight="1">
      <c r="A3754" s="26" t="s">
        <v>7418</v>
      </c>
      <c r="B3754" s="27" t="s">
        <v>443</v>
      </c>
      <c r="C3754" s="27" t="s">
        <v>1164</v>
      </c>
      <c r="D3754" s="26" t="s">
        <v>3663</v>
      </c>
      <c r="E3754" s="28">
        <v>46113.0</v>
      </c>
      <c r="F3754" s="28">
        <v>46171.0</v>
      </c>
      <c r="G3754" s="29"/>
    </row>
    <row r="3755" ht="15.75" customHeight="1">
      <c r="A3755" s="30" t="s">
        <v>7419</v>
      </c>
      <c r="B3755" s="31" t="s">
        <v>443</v>
      </c>
      <c r="C3755" s="31" t="s">
        <v>1166</v>
      </c>
      <c r="D3755" s="30" t="s">
        <v>3663</v>
      </c>
      <c r="E3755" s="32">
        <v>46113.0</v>
      </c>
      <c r="F3755" s="32">
        <v>46171.0</v>
      </c>
      <c r="G3755" s="33"/>
    </row>
    <row r="3756" ht="15.75" customHeight="1">
      <c r="A3756" s="26" t="s">
        <v>7420</v>
      </c>
      <c r="B3756" s="27" t="s">
        <v>443</v>
      </c>
      <c r="C3756" s="27" t="s">
        <v>1168</v>
      </c>
      <c r="D3756" s="26" t="s">
        <v>3663</v>
      </c>
      <c r="E3756" s="28">
        <v>46113.0</v>
      </c>
      <c r="F3756" s="28">
        <v>46171.0</v>
      </c>
      <c r="G3756" s="29"/>
    </row>
    <row r="3757" ht="15.75" customHeight="1">
      <c r="A3757" s="30" t="s">
        <v>7421</v>
      </c>
      <c r="B3757" s="31" t="s">
        <v>443</v>
      </c>
      <c r="C3757" s="31" t="s">
        <v>1170</v>
      </c>
      <c r="D3757" s="30" t="s">
        <v>3663</v>
      </c>
      <c r="E3757" s="32">
        <v>46113.0</v>
      </c>
      <c r="F3757" s="32">
        <v>46171.0</v>
      </c>
      <c r="G3757" s="33"/>
    </row>
    <row r="3758" ht="15.75" customHeight="1">
      <c r="A3758" s="26" t="s">
        <v>7422</v>
      </c>
      <c r="B3758" s="27" t="s">
        <v>443</v>
      </c>
      <c r="C3758" s="27" t="s">
        <v>1354</v>
      </c>
      <c r="D3758" s="26" t="s">
        <v>3663</v>
      </c>
      <c r="E3758" s="28">
        <v>46113.0</v>
      </c>
      <c r="F3758" s="28">
        <v>46171.0</v>
      </c>
      <c r="G3758" s="29"/>
    </row>
    <row r="3759" ht="15.75" customHeight="1">
      <c r="A3759" s="30" t="s">
        <v>7423</v>
      </c>
      <c r="B3759" s="31" t="s">
        <v>443</v>
      </c>
      <c r="C3759" s="31" t="s">
        <v>1216</v>
      </c>
      <c r="D3759" s="30" t="s">
        <v>3663</v>
      </c>
      <c r="E3759" s="32">
        <v>46113.0</v>
      </c>
      <c r="F3759" s="32">
        <v>46171.0</v>
      </c>
      <c r="G3759" s="33"/>
    </row>
    <row r="3760" ht="15.75" customHeight="1">
      <c r="A3760" s="26" t="s">
        <v>7424</v>
      </c>
      <c r="B3760" s="27" t="s">
        <v>443</v>
      </c>
      <c r="C3760" s="27" t="s">
        <v>1218</v>
      </c>
      <c r="D3760" s="26" t="s">
        <v>3663</v>
      </c>
      <c r="E3760" s="28">
        <v>46113.0</v>
      </c>
      <c r="F3760" s="28">
        <v>46171.0</v>
      </c>
      <c r="G3760" s="29"/>
    </row>
    <row r="3761" ht="15.75" customHeight="1">
      <c r="A3761" s="30" t="s">
        <v>7425</v>
      </c>
      <c r="B3761" s="31" t="s">
        <v>443</v>
      </c>
      <c r="C3761" s="31" t="s">
        <v>1351</v>
      </c>
      <c r="D3761" s="30" t="s">
        <v>3663</v>
      </c>
      <c r="E3761" s="32">
        <v>46113.0</v>
      </c>
      <c r="F3761" s="32">
        <v>46171.0</v>
      </c>
      <c r="G3761" s="33"/>
    </row>
    <row r="3762" ht="15.75" customHeight="1">
      <c r="A3762" s="26" t="s">
        <v>7426</v>
      </c>
      <c r="B3762" s="27" t="s">
        <v>443</v>
      </c>
      <c r="C3762" s="27" t="s">
        <v>1349</v>
      </c>
      <c r="D3762" s="26" t="s">
        <v>3663</v>
      </c>
      <c r="E3762" s="28">
        <v>46113.0</v>
      </c>
      <c r="F3762" s="28">
        <v>46171.0</v>
      </c>
      <c r="G3762" s="29"/>
    </row>
    <row r="3763" ht="15.75" customHeight="1">
      <c r="A3763" s="30" t="s">
        <v>7427</v>
      </c>
      <c r="B3763" s="31" t="s">
        <v>443</v>
      </c>
      <c r="C3763" s="31" t="s">
        <v>3653</v>
      </c>
      <c r="D3763" s="31" t="s">
        <v>3663</v>
      </c>
      <c r="E3763" s="32">
        <v>46113.0</v>
      </c>
      <c r="F3763" s="32">
        <v>46171.0</v>
      </c>
      <c r="G3763" s="33"/>
    </row>
    <row r="3764" ht="15.75" customHeight="1">
      <c r="A3764" s="26" t="s">
        <v>7428</v>
      </c>
      <c r="B3764" s="27" t="s">
        <v>443</v>
      </c>
      <c r="C3764" s="27" t="s">
        <v>3652</v>
      </c>
      <c r="D3764" s="26" t="s">
        <v>3663</v>
      </c>
      <c r="E3764" s="28">
        <v>46113.0</v>
      </c>
      <c r="F3764" s="28">
        <v>46171.0</v>
      </c>
      <c r="G3764" s="29"/>
    </row>
    <row r="3765" ht="15.75" customHeight="1">
      <c r="A3765" s="30" t="s">
        <v>7429</v>
      </c>
      <c r="B3765" s="31" t="s">
        <v>443</v>
      </c>
      <c r="C3765" s="31" t="s">
        <v>968</v>
      </c>
      <c r="D3765" s="30" t="s">
        <v>3663</v>
      </c>
      <c r="E3765" s="32">
        <v>46113.0</v>
      </c>
      <c r="F3765" s="32">
        <v>46171.0</v>
      </c>
      <c r="G3765" s="33"/>
    </row>
    <row r="3766" ht="15.75" customHeight="1">
      <c r="A3766" s="26" t="s">
        <v>7430</v>
      </c>
      <c r="B3766" s="27" t="s">
        <v>443</v>
      </c>
      <c r="C3766" s="27" t="s">
        <v>923</v>
      </c>
      <c r="D3766" s="26" t="s">
        <v>3663</v>
      </c>
      <c r="E3766" s="28">
        <v>46113.0</v>
      </c>
      <c r="F3766" s="28">
        <v>46171.0</v>
      </c>
      <c r="G3766" s="29"/>
    </row>
    <row r="3767" ht="15.75" customHeight="1">
      <c r="A3767" s="30" t="s">
        <v>7431</v>
      </c>
      <c r="B3767" s="31" t="s">
        <v>445</v>
      </c>
      <c r="C3767" s="31" t="s">
        <v>3654</v>
      </c>
      <c r="D3767" s="30" t="s">
        <v>3663</v>
      </c>
      <c r="E3767" s="32">
        <v>46113.0</v>
      </c>
      <c r="F3767" s="32">
        <v>46171.0</v>
      </c>
      <c r="G3767" s="33"/>
    </row>
    <row r="3768" ht="15.75" customHeight="1">
      <c r="A3768" s="26" t="s">
        <v>7432</v>
      </c>
      <c r="B3768" s="27" t="s">
        <v>445</v>
      </c>
      <c r="C3768" s="27" t="s">
        <v>3655</v>
      </c>
      <c r="D3768" s="26" t="s">
        <v>3663</v>
      </c>
      <c r="E3768" s="28">
        <v>46113.0</v>
      </c>
      <c r="F3768" s="28">
        <v>46171.0</v>
      </c>
      <c r="G3768" s="29"/>
    </row>
    <row r="3769" ht="15.75" customHeight="1">
      <c r="A3769" s="30" t="s">
        <v>7433</v>
      </c>
      <c r="B3769" s="31" t="s">
        <v>445</v>
      </c>
      <c r="C3769" s="31" t="s">
        <v>926</v>
      </c>
      <c r="D3769" s="30" t="s">
        <v>3663</v>
      </c>
      <c r="E3769" s="32">
        <v>46113.0</v>
      </c>
      <c r="F3769" s="32">
        <v>46171.0</v>
      </c>
      <c r="G3769" s="33"/>
    </row>
    <row r="3770" ht="15.75" customHeight="1">
      <c r="A3770" s="26" t="s">
        <v>7434</v>
      </c>
      <c r="B3770" s="27" t="s">
        <v>445</v>
      </c>
      <c r="C3770" s="27" t="s">
        <v>1354</v>
      </c>
      <c r="D3770" s="26" t="s">
        <v>3663</v>
      </c>
      <c r="E3770" s="28">
        <v>46113.0</v>
      </c>
      <c r="F3770" s="28">
        <v>46171.0</v>
      </c>
      <c r="G3770" s="29"/>
    </row>
    <row r="3771" ht="15.75" customHeight="1">
      <c r="A3771" s="30" t="s">
        <v>7435</v>
      </c>
      <c r="B3771" s="31" t="s">
        <v>445</v>
      </c>
      <c r="C3771" s="31" t="s">
        <v>1312</v>
      </c>
      <c r="D3771" s="30" t="s">
        <v>3663</v>
      </c>
      <c r="E3771" s="32">
        <v>46113.0</v>
      </c>
      <c r="F3771" s="32">
        <v>46171.0</v>
      </c>
      <c r="G3771" s="33"/>
    </row>
    <row r="3772" ht="15.75" customHeight="1">
      <c r="A3772" s="26" t="s">
        <v>7436</v>
      </c>
      <c r="B3772" s="27" t="s">
        <v>445</v>
      </c>
      <c r="C3772" s="27" t="s">
        <v>1277</v>
      </c>
      <c r="D3772" s="26" t="s">
        <v>3663</v>
      </c>
      <c r="E3772" s="28">
        <v>46113.0</v>
      </c>
      <c r="F3772" s="28">
        <v>46171.0</v>
      </c>
      <c r="G3772" s="29"/>
    </row>
    <row r="3773" ht="15.75" customHeight="1">
      <c r="A3773" s="30" t="s">
        <v>7437</v>
      </c>
      <c r="B3773" s="31" t="s">
        <v>445</v>
      </c>
      <c r="C3773" s="31" t="s">
        <v>1279</v>
      </c>
      <c r="D3773" s="30" t="s">
        <v>3663</v>
      </c>
      <c r="E3773" s="32">
        <v>46113.0</v>
      </c>
      <c r="F3773" s="32">
        <v>46171.0</v>
      </c>
      <c r="G3773" s="33"/>
    </row>
    <row r="3774" ht="15.75" customHeight="1">
      <c r="A3774" s="26" t="s">
        <v>7438</v>
      </c>
      <c r="B3774" s="27" t="s">
        <v>445</v>
      </c>
      <c r="C3774" s="27" t="s">
        <v>1283</v>
      </c>
      <c r="D3774" s="26" t="s">
        <v>3663</v>
      </c>
      <c r="E3774" s="28">
        <v>46113.0</v>
      </c>
      <c r="F3774" s="28">
        <v>46171.0</v>
      </c>
      <c r="G3774" s="29"/>
    </row>
    <row r="3775" ht="15.75" customHeight="1">
      <c r="A3775" s="30" t="s">
        <v>7439</v>
      </c>
      <c r="B3775" s="31" t="s">
        <v>445</v>
      </c>
      <c r="C3775" s="31" t="s">
        <v>1281</v>
      </c>
      <c r="D3775" s="30" t="s">
        <v>3663</v>
      </c>
      <c r="E3775" s="32">
        <v>46113.0</v>
      </c>
      <c r="F3775" s="32">
        <v>46171.0</v>
      </c>
      <c r="G3775" s="33"/>
    </row>
    <row r="3776" ht="15.75" customHeight="1">
      <c r="A3776" s="26" t="s">
        <v>7440</v>
      </c>
      <c r="B3776" s="27" t="s">
        <v>445</v>
      </c>
      <c r="C3776" s="27" t="s">
        <v>1216</v>
      </c>
      <c r="D3776" s="26" t="s">
        <v>3663</v>
      </c>
      <c r="E3776" s="28">
        <v>46113.0</v>
      </c>
      <c r="F3776" s="28">
        <v>46171.0</v>
      </c>
      <c r="G3776" s="29"/>
    </row>
    <row r="3777" ht="15.75" customHeight="1">
      <c r="A3777" s="30" t="s">
        <v>7441</v>
      </c>
      <c r="B3777" s="31" t="s">
        <v>445</v>
      </c>
      <c r="C3777" s="31" t="s">
        <v>1351</v>
      </c>
      <c r="D3777" s="30" t="s">
        <v>3663</v>
      </c>
      <c r="E3777" s="32">
        <v>46113.0</v>
      </c>
      <c r="F3777" s="32">
        <v>46171.0</v>
      </c>
      <c r="G3777" s="33"/>
    </row>
    <row r="3778" ht="15.75" customHeight="1">
      <c r="A3778" s="26" t="s">
        <v>7442</v>
      </c>
      <c r="B3778" s="27" t="s">
        <v>445</v>
      </c>
      <c r="C3778" s="27" t="s">
        <v>1349</v>
      </c>
      <c r="D3778" s="26" t="s">
        <v>3663</v>
      </c>
      <c r="E3778" s="28">
        <v>46113.0</v>
      </c>
      <c r="F3778" s="28">
        <v>46171.0</v>
      </c>
      <c r="G3778" s="29"/>
    </row>
    <row r="3779" ht="15.75" customHeight="1">
      <c r="A3779" s="30" t="s">
        <v>7443</v>
      </c>
      <c r="B3779" s="31" t="s">
        <v>445</v>
      </c>
      <c r="C3779" s="31" t="s">
        <v>965</v>
      </c>
      <c r="D3779" s="30" t="s">
        <v>3663</v>
      </c>
      <c r="E3779" s="32">
        <v>46113.0</v>
      </c>
      <c r="F3779" s="32">
        <v>46171.0</v>
      </c>
      <c r="G3779" s="33"/>
    </row>
    <row r="3780" ht="15.75" customHeight="1">
      <c r="A3780" s="26" t="s">
        <v>7444</v>
      </c>
      <c r="B3780" s="27" t="s">
        <v>445</v>
      </c>
      <c r="C3780" s="27" t="s">
        <v>923</v>
      </c>
      <c r="D3780" s="26" t="s">
        <v>3663</v>
      </c>
      <c r="E3780" s="28">
        <v>46113.0</v>
      </c>
      <c r="F3780" s="28">
        <v>46171.0</v>
      </c>
      <c r="G3780" s="29"/>
    </row>
    <row r="3781" ht="15.75" customHeight="1">
      <c r="A3781" s="30" t="s">
        <v>7445</v>
      </c>
      <c r="B3781" s="31" t="s">
        <v>446</v>
      </c>
      <c r="C3781" s="31" t="s">
        <v>930</v>
      </c>
      <c r="D3781" s="30" t="s">
        <v>3663</v>
      </c>
      <c r="E3781" s="32">
        <v>46113.0</v>
      </c>
      <c r="F3781" s="32">
        <v>46171.0</v>
      </c>
      <c r="G3781" s="33"/>
    </row>
    <row r="3782" ht="15.75" customHeight="1">
      <c r="A3782" s="26" t="s">
        <v>7446</v>
      </c>
      <c r="B3782" s="27" t="s">
        <v>446</v>
      </c>
      <c r="C3782" s="27" t="s">
        <v>1354</v>
      </c>
      <c r="D3782" s="26" t="s">
        <v>3663</v>
      </c>
      <c r="E3782" s="28">
        <v>46113.0</v>
      </c>
      <c r="F3782" s="28">
        <v>46171.0</v>
      </c>
      <c r="G3782" s="29"/>
    </row>
    <row r="3783" ht="15.75" customHeight="1">
      <c r="A3783" s="30" t="s">
        <v>7447</v>
      </c>
      <c r="B3783" s="31" t="s">
        <v>446</v>
      </c>
      <c r="C3783" s="31" t="s">
        <v>1304</v>
      </c>
      <c r="D3783" s="30" t="s">
        <v>3663</v>
      </c>
      <c r="E3783" s="32">
        <v>46113.0</v>
      </c>
      <c r="F3783" s="32">
        <v>46171.0</v>
      </c>
      <c r="G3783" s="33"/>
    </row>
    <row r="3784" ht="15.75" customHeight="1">
      <c r="A3784" s="26" t="s">
        <v>7448</v>
      </c>
      <c r="B3784" s="27" t="s">
        <v>446</v>
      </c>
      <c r="C3784" s="27" t="s">
        <v>1306</v>
      </c>
      <c r="D3784" s="26" t="s">
        <v>3663</v>
      </c>
      <c r="E3784" s="28">
        <v>46113.0</v>
      </c>
      <c r="F3784" s="28">
        <v>46171.0</v>
      </c>
      <c r="G3784" s="29"/>
    </row>
    <row r="3785" ht="15.75" customHeight="1">
      <c r="A3785" s="30" t="s">
        <v>7449</v>
      </c>
      <c r="B3785" s="31" t="s">
        <v>446</v>
      </c>
      <c r="C3785" s="31" t="s">
        <v>1308</v>
      </c>
      <c r="D3785" s="30" t="s">
        <v>3663</v>
      </c>
      <c r="E3785" s="32">
        <v>46113.0</v>
      </c>
      <c r="F3785" s="32">
        <v>46171.0</v>
      </c>
      <c r="G3785" s="33"/>
    </row>
    <row r="3786" ht="15.75" customHeight="1">
      <c r="A3786" s="26" t="s">
        <v>7450</v>
      </c>
      <c r="B3786" s="27" t="s">
        <v>446</v>
      </c>
      <c r="C3786" s="27" t="s">
        <v>1310</v>
      </c>
      <c r="D3786" s="26" t="s">
        <v>3663</v>
      </c>
      <c r="E3786" s="28">
        <v>46113.0</v>
      </c>
      <c r="F3786" s="28">
        <v>46171.0</v>
      </c>
      <c r="G3786" s="29"/>
    </row>
    <row r="3787" ht="15.75" customHeight="1">
      <c r="A3787" s="30" t="s">
        <v>7451</v>
      </c>
      <c r="B3787" s="31" t="s">
        <v>446</v>
      </c>
      <c r="C3787" s="31" t="s">
        <v>3605</v>
      </c>
      <c r="D3787" s="30" t="s">
        <v>3663</v>
      </c>
      <c r="E3787" s="32">
        <v>46113.0</v>
      </c>
      <c r="F3787" s="32">
        <v>46171.0</v>
      </c>
      <c r="G3787" s="33"/>
    </row>
    <row r="3788" ht="15.75" customHeight="1">
      <c r="A3788" s="26" t="s">
        <v>7452</v>
      </c>
      <c r="B3788" s="27" t="s">
        <v>446</v>
      </c>
      <c r="C3788" s="27" t="s">
        <v>3656</v>
      </c>
      <c r="D3788" s="26" t="s">
        <v>3663</v>
      </c>
      <c r="E3788" s="28">
        <v>46113.0</v>
      </c>
      <c r="F3788" s="28">
        <v>46171.0</v>
      </c>
      <c r="G3788" s="29"/>
    </row>
    <row r="3789" ht="15.75" customHeight="1">
      <c r="A3789" s="30" t="s">
        <v>7453</v>
      </c>
      <c r="B3789" s="31" t="s">
        <v>446</v>
      </c>
      <c r="C3789" s="31" t="s">
        <v>3657</v>
      </c>
      <c r="D3789" s="30" t="s">
        <v>3663</v>
      </c>
      <c r="E3789" s="32">
        <v>46113.0</v>
      </c>
      <c r="F3789" s="32">
        <v>46171.0</v>
      </c>
      <c r="G3789" s="33"/>
    </row>
    <row r="3790" ht="15.75" customHeight="1">
      <c r="A3790" s="26" t="s">
        <v>7454</v>
      </c>
      <c r="B3790" s="27" t="s">
        <v>446</v>
      </c>
      <c r="C3790" s="27" t="s">
        <v>1351</v>
      </c>
      <c r="D3790" s="26" t="s">
        <v>3663</v>
      </c>
      <c r="E3790" s="28">
        <v>46113.0</v>
      </c>
      <c r="F3790" s="28">
        <v>46171.0</v>
      </c>
      <c r="G3790" s="29"/>
    </row>
    <row r="3791" ht="15.75" customHeight="1">
      <c r="A3791" s="30" t="s">
        <v>7455</v>
      </c>
      <c r="B3791" s="31" t="s">
        <v>446</v>
      </c>
      <c r="C3791" s="31" t="s">
        <v>1349</v>
      </c>
      <c r="D3791" s="30" t="s">
        <v>3663</v>
      </c>
      <c r="E3791" s="32">
        <v>46113.0</v>
      </c>
      <c r="F3791" s="32">
        <v>46171.0</v>
      </c>
      <c r="G3791" s="33"/>
    </row>
    <row r="3792" ht="15.75" customHeight="1">
      <c r="A3792" s="26" t="s">
        <v>7456</v>
      </c>
      <c r="B3792" s="27" t="s">
        <v>446</v>
      </c>
      <c r="C3792" s="27" t="s">
        <v>968</v>
      </c>
      <c r="D3792" s="26" t="s">
        <v>3663</v>
      </c>
      <c r="E3792" s="28">
        <v>46113.0</v>
      </c>
      <c r="F3792" s="28">
        <v>46171.0</v>
      </c>
      <c r="G3792" s="29"/>
    </row>
    <row r="3793" ht="15.75" customHeight="1">
      <c r="A3793" s="30" t="s">
        <v>7457</v>
      </c>
      <c r="B3793" s="31" t="s">
        <v>446</v>
      </c>
      <c r="C3793" s="31" t="s">
        <v>923</v>
      </c>
      <c r="D3793" s="30" t="s">
        <v>3663</v>
      </c>
      <c r="E3793" s="32">
        <v>46113.0</v>
      </c>
      <c r="F3793" s="32">
        <v>46171.0</v>
      </c>
      <c r="G3793" s="33"/>
    </row>
    <row r="3794" ht="15.75" customHeight="1">
      <c r="A3794" s="26" t="s">
        <v>7458</v>
      </c>
      <c r="B3794" s="27" t="s">
        <v>446</v>
      </c>
      <c r="C3794" s="27" t="s">
        <v>961</v>
      </c>
      <c r="D3794" s="26" t="s">
        <v>3663</v>
      </c>
      <c r="E3794" s="28">
        <v>46113.0</v>
      </c>
      <c r="F3794" s="28">
        <v>46171.0</v>
      </c>
      <c r="G3794" s="29"/>
    </row>
    <row r="3795" ht="15.75" customHeight="1">
      <c r="A3795" s="30" t="s">
        <v>7459</v>
      </c>
      <c r="B3795" s="31" t="s">
        <v>2535</v>
      </c>
      <c r="C3795" s="31" t="s">
        <v>932</v>
      </c>
      <c r="D3795" s="30" t="s">
        <v>3663</v>
      </c>
      <c r="E3795" s="32">
        <v>46113.0</v>
      </c>
      <c r="F3795" s="32">
        <v>46171.0</v>
      </c>
      <c r="G3795" s="33"/>
    </row>
    <row r="3796" ht="15.75" customHeight="1">
      <c r="A3796" s="26" t="s">
        <v>7460</v>
      </c>
      <c r="B3796" s="27" t="s">
        <v>2535</v>
      </c>
      <c r="C3796" s="27" t="s">
        <v>1164</v>
      </c>
      <c r="D3796" s="26" t="s">
        <v>3663</v>
      </c>
      <c r="E3796" s="28">
        <v>46113.0</v>
      </c>
      <c r="F3796" s="28">
        <v>46171.0</v>
      </c>
      <c r="G3796" s="29"/>
    </row>
    <row r="3797" ht="15.75" customHeight="1">
      <c r="A3797" s="30" t="s">
        <v>7461</v>
      </c>
      <c r="B3797" s="31" t="s">
        <v>2535</v>
      </c>
      <c r="C3797" s="31" t="s">
        <v>1166</v>
      </c>
      <c r="D3797" s="30" t="s">
        <v>3663</v>
      </c>
      <c r="E3797" s="32">
        <v>46113.0</v>
      </c>
      <c r="F3797" s="32">
        <v>46171.0</v>
      </c>
      <c r="G3797" s="33"/>
    </row>
    <row r="3798" ht="15.75" customHeight="1">
      <c r="A3798" s="26" t="s">
        <v>7462</v>
      </c>
      <c r="B3798" s="27" t="s">
        <v>2535</v>
      </c>
      <c r="C3798" s="27" t="s">
        <v>1168</v>
      </c>
      <c r="D3798" s="26" t="s">
        <v>3663</v>
      </c>
      <c r="E3798" s="28">
        <v>46113.0</v>
      </c>
      <c r="F3798" s="28">
        <v>46171.0</v>
      </c>
      <c r="G3798" s="29"/>
    </row>
    <row r="3799" ht="15.75" customHeight="1">
      <c r="A3799" s="30" t="s">
        <v>7463</v>
      </c>
      <c r="B3799" s="31" t="s">
        <v>2535</v>
      </c>
      <c r="C3799" s="31" t="s">
        <v>1170</v>
      </c>
      <c r="D3799" s="30" t="s">
        <v>3663</v>
      </c>
      <c r="E3799" s="32">
        <v>46113.0</v>
      </c>
      <c r="F3799" s="32">
        <v>46171.0</v>
      </c>
      <c r="G3799" s="33"/>
    </row>
    <row r="3800" ht="15.75" customHeight="1">
      <c r="A3800" s="26" t="s">
        <v>7464</v>
      </c>
      <c r="B3800" s="27" t="s">
        <v>2535</v>
      </c>
      <c r="C3800" s="27" t="s">
        <v>1354</v>
      </c>
      <c r="D3800" s="26" t="s">
        <v>3663</v>
      </c>
      <c r="E3800" s="28">
        <v>46113.0</v>
      </c>
      <c r="F3800" s="28">
        <v>46171.0</v>
      </c>
      <c r="G3800" s="29"/>
    </row>
    <row r="3801" ht="15.75" customHeight="1">
      <c r="A3801" s="30" t="s">
        <v>7465</v>
      </c>
      <c r="B3801" s="31" t="s">
        <v>2535</v>
      </c>
      <c r="C3801" s="31" t="s">
        <v>1172</v>
      </c>
      <c r="D3801" s="30" t="s">
        <v>3663</v>
      </c>
      <c r="E3801" s="32">
        <v>46113.0</v>
      </c>
      <c r="F3801" s="32">
        <v>46171.0</v>
      </c>
      <c r="G3801" s="33"/>
    </row>
    <row r="3802" ht="15.75" customHeight="1">
      <c r="A3802" s="26" t="s">
        <v>7466</v>
      </c>
      <c r="B3802" s="27" t="s">
        <v>2535</v>
      </c>
      <c r="C3802" s="27" t="s">
        <v>3681</v>
      </c>
      <c r="D3802" s="26" t="s">
        <v>3663</v>
      </c>
      <c r="E3802" s="28">
        <v>46113.0</v>
      </c>
      <c r="F3802" s="28">
        <v>46171.0</v>
      </c>
      <c r="G3802" s="29"/>
    </row>
    <row r="3803" ht="15.75" customHeight="1">
      <c r="A3803" s="30" t="s">
        <v>7467</v>
      </c>
      <c r="B3803" s="31" t="s">
        <v>2535</v>
      </c>
      <c r="C3803" s="31" t="s">
        <v>3683</v>
      </c>
      <c r="D3803" s="30" t="s">
        <v>3663</v>
      </c>
      <c r="E3803" s="32">
        <v>46113.0</v>
      </c>
      <c r="F3803" s="32">
        <v>46171.0</v>
      </c>
      <c r="G3803" s="33"/>
    </row>
    <row r="3804" ht="15.75" customHeight="1">
      <c r="A3804" s="26" t="s">
        <v>7468</v>
      </c>
      <c r="B3804" s="27" t="s">
        <v>2535</v>
      </c>
      <c r="C3804" s="27" t="s">
        <v>1216</v>
      </c>
      <c r="D3804" s="26" t="s">
        <v>3663</v>
      </c>
      <c r="E3804" s="28">
        <v>46113.0</v>
      </c>
      <c r="F3804" s="28">
        <v>46171.0</v>
      </c>
      <c r="G3804" s="29"/>
    </row>
    <row r="3805" ht="15.75" customHeight="1">
      <c r="A3805" s="30" t="s">
        <v>7469</v>
      </c>
      <c r="B3805" s="31" t="s">
        <v>2535</v>
      </c>
      <c r="C3805" s="31" t="s">
        <v>1351</v>
      </c>
      <c r="D3805" s="30" t="s">
        <v>3663</v>
      </c>
      <c r="E3805" s="32">
        <v>46113.0</v>
      </c>
      <c r="F3805" s="32">
        <v>46171.0</v>
      </c>
      <c r="G3805" s="33"/>
    </row>
    <row r="3806" ht="15.75" customHeight="1">
      <c r="A3806" s="26" t="s">
        <v>7470</v>
      </c>
      <c r="B3806" s="27" t="s">
        <v>2535</v>
      </c>
      <c r="C3806" s="27" t="s">
        <v>1349</v>
      </c>
      <c r="D3806" s="26" t="s">
        <v>3663</v>
      </c>
      <c r="E3806" s="28">
        <v>46113.0</v>
      </c>
      <c r="F3806" s="28">
        <v>46171.0</v>
      </c>
      <c r="G3806" s="29"/>
    </row>
    <row r="3807" ht="15.75" customHeight="1">
      <c r="A3807" s="30" t="s">
        <v>7471</v>
      </c>
      <c r="B3807" s="31" t="s">
        <v>2535</v>
      </c>
      <c r="C3807" s="31" t="s">
        <v>965</v>
      </c>
      <c r="D3807" s="30" t="s">
        <v>3663</v>
      </c>
      <c r="E3807" s="32">
        <v>46113.0</v>
      </c>
      <c r="F3807" s="32">
        <v>46171.0</v>
      </c>
      <c r="G3807" s="33"/>
    </row>
    <row r="3808" ht="15.75" customHeight="1">
      <c r="A3808" s="26" t="s">
        <v>7472</v>
      </c>
      <c r="B3808" s="27" t="s">
        <v>2535</v>
      </c>
      <c r="C3808" s="27" t="s">
        <v>923</v>
      </c>
      <c r="D3808" s="26" t="s">
        <v>3663</v>
      </c>
      <c r="E3808" s="28">
        <v>46113.0</v>
      </c>
      <c r="F3808" s="28">
        <v>46171.0</v>
      </c>
      <c r="G3808" s="29"/>
    </row>
    <row r="3809" ht="15.75" customHeight="1">
      <c r="A3809" s="30" t="s">
        <v>7473</v>
      </c>
      <c r="B3809" s="31" t="s">
        <v>447</v>
      </c>
      <c r="C3809" s="31" t="s">
        <v>1240</v>
      </c>
      <c r="D3809" s="30" t="s">
        <v>3750</v>
      </c>
      <c r="E3809" s="32">
        <v>46113.0</v>
      </c>
      <c r="F3809" s="32">
        <v>46171.0</v>
      </c>
      <c r="G3809" s="33"/>
    </row>
    <row r="3810" ht="15.75" customHeight="1">
      <c r="A3810" s="26" t="s">
        <v>7474</v>
      </c>
      <c r="B3810" s="27" t="s">
        <v>447</v>
      </c>
      <c r="C3810" s="27" t="s">
        <v>1242</v>
      </c>
      <c r="D3810" s="26" t="s">
        <v>3750</v>
      </c>
      <c r="E3810" s="28">
        <v>46113.0</v>
      </c>
      <c r="F3810" s="28">
        <v>46171.0</v>
      </c>
      <c r="G3810" s="29"/>
    </row>
    <row r="3811" ht="15.75" customHeight="1">
      <c r="A3811" s="30" t="s">
        <v>7475</v>
      </c>
      <c r="B3811" s="31" t="s">
        <v>447</v>
      </c>
      <c r="C3811" s="31" t="s">
        <v>1244</v>
      </c>
      <c r="D3811" s="30" t="s">
        <v>3750</v>
      </c>
      <c r="E3811" s="32">
        <v>46113.0</v>
      </c>
      <c r="F3811" s="32">
        <v>46171.0</v>
      </c>
      <c r="G3811" s="33"/>
    </row>
    <row r="3812" ht="15.75" customHeight="1">
      <c r="A3812" s="26" t="s">
        <v>7476</v>
      </c>
      <c r="B3812" s="27" t="s">
        <v>447</v>
      </c>
      <c r="C3812" s="27" t="s">
        <v>1246</v>
      </c>
      <c r="D3812" s="26" t="s">
        <v>3750</v>
      </c>
      <c r="E3812" s="28">
        <v>46113.0</v>
      </c>
      <c r="F3812" s="28">
        <v>46171.0</v>
      </c>
      <c r="G3812" s="29"/>
    </row>
    <row r="3813" ht="15.75" customHeight="1">
      <c r="A3813" s="30" t="s">
        <v>7477</v>
      </c>
      <c r="B3813" s="31" t="s">
        <v>447</v>
      </c>
      <c r="C3813" s="31" t="s">
        <v>3654</v>
      </c>
      <c r="D3813" s="30" t="s">
        <v>3750</v>
      </c>
      <c r="E3813" s="32">
        <v>46113.0</v>
      </c>
      <c r="F3813" s="32">
        <v>46171.0</v>
      </c>
      <c r="G3813" s="33"/>
    </row>
    <row r="3814" ht="15.75" customHeight="1">
      <c r="A3814" s="26" t="s">
        <v>7478</v>
      </c>
      <c r="B3814" s="27" t="s">
        <v>447</v>
      </c>
      <c r="C3814" s="27" t="s">
        <v>3655</v>
      </c>
      <c r="D3814" s="26" t="s">
        <v>3750</v>
      </c>
      <c r="E3814" s="28">
        <v>46113.0</v>
      </c>
      <c r="F3814" s="28">
        <v>46171.0</v>
      </c>
      <c r="G3814" s="29"/>
    </row>
    <row r="3815" ht="15.75" customHeight="1">
      <c r="A3815" s="30" t="s">
        <v>7479</v>
      </c>
      <c r="B3815" s="31" t="s">
        <v>447</v>
      </c>
      <c r="C3815" s="31" t="s">
        <v>934</v>
      </c>
      <c r="D3815" s="30" t="s">
        <v>3750</v>
      </c>
      <c r="E3815" s="32">
        <v>46113.0</v>
      </c>
      <c r="F3815" s="32">
        <v>46171.0</v>
      </c>
      <c r="G3815" s="33"/>
    </row>
    <row r="3816" ht="15.75" customHeight="1">
      <c r="A3816" s="26" t="s">
        <v>7480</v>
      </c>
      <c r="B3816" s="27" t="s">
        <v>447</v>
      </c>
      <c r="C3816" s="27" t="s">
        <v>1354</v>
      </c>
      <c r="D3816" s="26" t="s">
        <v>3750</v>
      </c>
      <c r="E3816" s="28">
        <v>46113.0</v>
      </c>
      <c r="F3816" s="28">
        <v>46171.0</v>
      </c>
      <c r="G3816" s="29"/>
    </row>
    <row r="3817" ht="15.75" customHeight="1">
      <c r="A3817" s="30" t="s">
        <v>7481</v>
      </c>
      <c r="B3817" s="31" t="s">
        <v>447</v>
      </c>
      <c r="C3817" s="31" t="s">
        <v>1190</v>
      </c>
      <c r="D3817" s="30" t="s">
        <v>3750</v>
      </c>
      <c r="E3817" s="32">
        <v>46113.0</v>
      </c>
      <c r="F3817" s="32">
        <v>46171.0</v>
      </c>
      <c r="G3817" s="33"/>
    </row>
    <row r="3818" ht="15.75" customHeight="1">
      <c r="A3818" s="26" t="s">
        <v>7482</v>
      </c>
      <c r="B3818" s="27" t="s">
        <v>447</v>
      </c>
      <c r="C3818" s="27" t="s">
        <v>1208</v>
      </c>
      <c r="D3818" s="26" t="s">
        <v>3750</v>
      </c>
      <c r="E3818" s="28">
        <v>46113.0</v>
      </c>
      <c r="F3818" s="28">
        <v>46171.0</v>
      </c>
      <c r="G3818" s="29"/>
    </row>
    <row r="3819" ht="15.75" customHeight="1">
      <c r="A3819" s="30" t="s">
        <v>7483</v>
      </c>
      <c r="B3819" s="31" t="s">
        <v>447</v>
      </c>
      <c r="C3819" s="31" t="s">
        <v>3647</v>
      </c>
      <c r="D3819" s="30" t="s">
        <v>3750</v>
      </c>
      <c r="E3819" s="32">
        <v>46113.0</v>
      </c>
      <c r="F3819" s="32">
        <v>46171.0</v>
      </c>
      <c r="G3819" s="33"/>
    </row>
    <row r="3820" ht="15.75" customHeight="1">
      <c r="A3820" s="26" t="s">
        <v>7484</v>
      </c>
      <c r="B3820" s="27" t="s">
        <v>447</v>
      </c>
      <c r="C3820" s="27" t="s">
        <v>952</v>
      </c>
      <c r="D3820" s="26" t="s">
        <v>3750</v>
      </c>
      <c r="E3820" s="28">
        <v>46113.0</v>
      </c>
      <c r="F3820" s="28">
        <v>46171.0</v>
      </c>
      <c r="G3820" s="29"/>
    </row>
    <row r="3821" ht="15.75" customHeight="1">
      <c r="A3821" s="30" t="s">
        <v>7485</v>
      </c>
      <c r="B3821" s="31" t="s">
        <v>447</v>
      </c>
      <c r="C3821" s="31" t="s">
        <v>968</v>
      </c>
      <c r="D3821" s="30" t="s">
        <v>3750</v>
      </c>
      <c r="E3821" s="32">
        <v>46113.0</v>
      </c>
      <c r="F3821" s="32">
        <v>46171.0</v>
      </c>
      <c r="G3821" s="33"/>
    </row>
    <row r="3822" ht="15.75" customHeight="1">
      <c r="A3822" s="26" t="s">
        <v>7486</v>
      </c>
      <c r="B3822" s="27" t="s">
        <v>447</v>
      </c>
      <c r="C3822" s="27" t="s">
        <v>923</v>
      </c>
      <c r="D3822" s="26" t="s">
        <v>3750</v>
      </c>
      <c r="E3822" s="28">
        <v>46113.0</v>
      </c>
      <c r="F3822" s="28">
        <v>46171.0</v>
      </c>
      <c r="G3822" s="29"/>
    </row>
    <row r="3823" ht="15.75" customHeight="1">
      <c r="A3823" s="30" t="s">
        <v>7487</v>
      </c>
      <c r="B3823" s="31" t="s">
        <v>448</v>
      </c>
      <c r="C3823" s="31" t="s">
        <v>930</v>
      </c>
      <c r="D3823" s="30" t="s">
        <v>3663</v>
      </c>
      <c r="E3823" s="32">
        <v>46113.0</v>
      </c>
      <c r="F3823" s="32">
        <v>46171.0</v>
      </c>
      <c r="G3823" s="33"/>
    </row>
    <row r="3824" ht="15.75" customHeight="1">
      <c r="A3824" s="26" t="s">
        <v>7488</v>
      </c>
      <c r="B3824" s="27" t="s">
        <v>448</v>
      </c>
      <c r="C3824" s="27" t="s">
        <v>1354</v>
      </c>
      <c r="D3824" s="26" t="s">
        <v>3663</v>
      </c>
      <c r="E3824" s="28">
        <v>46113.0</v>
      </c>
      <c r="F3824" s="28">
        <v>46171.0</v>
      </c>
      <c r="G3824" s="29"/>
    </row>
    <row r="3825" ht="15.75" customHeight="1">
      <c r="A3825" s="30" t="s">
        <v>7489</v>
      </c>
      <c r="B3825" s="31" t="s">
        <v>448</v>
      </c>
      <c r="C3825" s="31" t="s">
        <v>1172</v>
      </c>
      <c r="D3825" s="30" t="s">
        <v>3663</v>
      </c>
      <c r="E3825" s="32">
        <v>46113.0</v>
      </c>
      <c r="F3825" s="32">
        <v>46171.0</v>
      </c>
      <c r="G3825" s="33"/>
    </row>
    <row r="3826" ht="15.75" customHeight="1">
      <c r="A3826" s="26" t="s">
        <v>7490</v>
      </c>
      <c r="B3826" s="27" t="s">
        <v>448</v>
      </c>
      <c r="C3826" s="27" t="s">
        <v>1157</v>
      </c>
      <c r="D3826" s="26" t="s">
        <v>3663</v>
      </c>
      <c r="E3826" s="28">
        <v>46113.0</v>
      </c>
      <c r="F3826" s="28">
        <v>46171.0</v>
      </c>
      <c r="G3826" s="29"/>
    </row>
    <row r="3827" ht="15.75" customHeight="1">
      <c r="A3827" s="30" t="s">
        <v>7491</v>
      </c>
      <c r="B3827" s="31" t="s">
        <v>448</v>
      </c>
      <c r="C3827" s="31" t="s">
        <v>1155</v>
      </c>
      <c r="D3827" s="30" t="s">
        <v>3663</v>
      </c>
      <c r="E3827" s="32">
        <v>46113.0</v>
      </c>
      <c r="F3827" s="32">
        <v>46171.0</v>
      </c>
      <c r="G3827" s="33"/>
    </row>
    <row r="3828" ht="15.75" customHeight="1">
      <c r="A3828" s="26" t="s">
        <v>7492</v>
      </c>
      <c r="B3828" s="27" t="s">
        <v>448</v>
      </c>
      <c r="C3828" s="27" t="s">
        <v>1153</v>
      </c>
      <c r="D3828" s="26" t="s">
        <v>3663</v>
      </c>
      <c r="E3828" s="28">
        <v>46113.0</v>
      </c>
      <c r="F3828" s="28">
        <v>46171.0</v>
      </c>
      <c r="G3828" s="29"/>
    </row>
    <row r="3829" ht="15.75" customHeight="1">
      <c r="A3829" s="30" t="s">
        <v>7493</v>
      </c>
      <c r="B3829" s="31" t="s">
        <v>448</v>
      </c>
      <c r="C3829" s="31" t="s">
        <v>1149</v>
      </c>
      <c r="D3829" s="30" t="s">
        <v>3663</v>
      </c>
      <c r="E3829" s="32">
        <v>46113.0</v>
      </c>
      <c r="F3829" s="32">
        <v>46171.0</v>
      </c>
      <c r="G3829" s="33"/>
    </row>
    <row r="3830" ht="15.75" customHeight="1">
      <c r="A3830" s="26" t="s">
        <v>7494</v>
      </c>
      <c r="B3830" s="27" t="s">
        <v>448</v>
      </c>
      <c r="C3830" s="27" t="s">
        <v>1351</v>
      </c>
      <c r="D3830" s="26" t="s">
        <v>3663</v>
      </c>
      <c r="E3830" s="28">
        <v>46113.0</v>
      </c>
      <c r="F3830" s="28">
        <v>46171.0</v>
      </c>
      <c r="G3830" s="29"/>
    </row>
    <row r="3831" ht="15.75" customHeight="1">
      <c r="A3831" s="30" t="s">
        <v>7495</v>
      </c>
      <c r="B3831" s="31" t="s">
        <v>448</v>
      </c>
      <c r="C3831" s="31" t="s">
        <v>1349</v>
      </c>
      <c r="D3831" s="30" t="s">
        <v>3663</v>
      </c>
      <c r="E3831" s="32">
        <v>46113.0</v>
      </c>
      <c r="F3831" s="32">
        <v>46171.0</v>
      </c>
      <c r="G3831" s="33"/>
    </row>
    <row r="3832" ht="15.75" customHeight="1">
      <c r="A3832" s="26" t="s">
        <v>7496</v>
      </c>
      <c r="B3832" s="27" t="s">
        <v>448</v>
      </c>
      <c r="C3832" s="27" t="s">
        <v>3653</v>
      </c>
      <c r="D3832" s="27" t="s">
        <v>3663</v>
      </c>
      <c r="E3832" s="28">
        <v>46113.0</v>
      </c>
      <c r="F3832" s="28">
        <v>46171.0</v>
      </c>
      <c r="G3832" s="29"/>
    </row>
    <row r="3833" ht="15.75" customHeight="1">
      <c r="A3833" s="30" t="s">
        <v>7497</v>
      </c>
      <c r="B3833" s="31" t="s">
        <v>448</v>
      </c>
      <c r="C3833" s="31" t="s">
        <v>3652</v>
      </c>
      <c r="D3833" s="30" t="s">
        <v>3663</v>
      </c>
      <c r="E3833" s="32">
        <v>46113.0</v>
      </c>
      <c r="F3833" s="32">
        <v>46171.0</v>
      </c>
      <c r="G3833" s="33"/>
    </row>
    <row r="3834" ht="15.75" customHeight="1">
      <c r="A3834" s="26" t="s">
        <v>7498</v>
      </c>
      <c r="B3834" s="27" t="s">
        <v>448</v>
      </c>
      <c r="C3834" s="27" t="s">
        <v>968</v>
      </c>
      <c r="D3834" s="26" t="s">
        <v>3663</v>
      </c>
      <c r="E3834" s="28">
        <v>46113.0</v>
      </c>
      <c r="F3834" s="28">
        <v>46171.0</v>
      </c>
      <c r="G3834" s="29"/>
    </row>
    <row r="3835" ht="15.75" customHeight="1">
      <c r="A3835" s="30" t="s">
        <v>7499</v>
      </c>
      <c r="B3835" s="31" t="s">
        <v>448</v>
      </c>
      <c r="C3835" s="31" t="s">
        <v>923</v>
      </c>
      <c r="D3835" s="30" t="s">
        <v>3663</v>
      </c>
      <c r="E3835" s="32">
        <v>46113.0</v>
      </c>
      <c r="F3835" s="32">
        <v>46171.0</v>
      </c>
      <c r="G3835" s="33"/>
    </row>
    <row r="3836" ht="15.75" customHeight="1">
      <c r="A3836" s="26" t="s">
        <v>7500</v>
      </c>
      <c r="B3836" s="27" t="s">
        <v>448</v>
      </c>
      <c r="C3836" s="27" t="s">
        <v>955</v>
      </c>
      <c r="D3836" s="26" t="s">
        <v>3663</v>
      </c>
      <c r="E3836" s="28">
        <v>46113.0</v>
      </c>
      <c r="F3836" s="28">
        <v>46171.0</v>
      </c>
      <c r="G3836" s="29"/>
    </row>
    <row r="3837" ht="15.75" customHeight="1">
      <c r="A3837" s="30" t="s">
        <v>7501</v>
      </c>
      <c r="B3837" s="31" t="s">
        <v>449</v>
      </c>
      <c r="C3837" s="31" t="s">
        <v>930</v>
      </c>
      <c r="D3837" s="30" t="s">
        <v>3663</v>
      </c>
      <c r="E3837" s="32">
        <v>46113.0</v>
      </c>
      <c r="F3837" s="32">
        <v>46171.0</v>
      </c>
      <c r="G3837" s="33"/>
    </row>
    <row r="3838" ht="15.75" customHeight="1">
      <c r="A3838" s="26" t="s">
        <v>7502</v>
      </c>
      <c r="B3838" s="27" t="s">
        <v>449</v>
      </c>
      <c r="C3838" s="27" t="s">
        <v>1354</v>
      </c>
      <c r="D3838" s="26" t="s">
        <v>3663</v>
      </c>
      <c r="E3838" s="28">
        <v>46113.0</v>
      </c>
      <c r="F3838" s="28">
        <v>46171.0</v>
      </c>
      <c r="G3838" s="29"/>
    </row>
    <row r="3839" ht="15.75" customHeight="1">
      <c r="A3839" s="30" t="s">
        <v>7503</v>
      </c>
      <c r="B3839" s="31" t="s">
        <v>449</v>
      </c>
      <c r="C3839" s="31" t="s">
        <v>1216</v>
      </c>
      <c r="D3839" s="30" t="s">
        <v>3663</v>
      </c>
      <c r="E3839" s="32">
        <v>46113.0</v>
      </c>
      <c r="F3839" s="32">
        <v>46171.0</v>
      </c>
      <c r="G3839" s="33"/>
    </row>
    <row r="3840" ht="15.75" customHeight="1">
      <c r="A3840" s="26" t="s">
        <v>7504</v>
      </c>
      <c r="B3840" s="27" t="s">
        <v>449</v>
      </c>
      <c r="C3840" s="27" t="s">
        <v>1157</v>
      </c>
      <c r="D3840" s="26" t="s">
        <v>3663</v>
      </c>
      <c r="E3840" s="28">
        <v>46113.0</v>
      </c>
      <c r="F3840" s="28">
        <v>46171.0</v>
      </c>
      <c r="G3840" s="29"/>
    </row>
    <row r="3841" ht="15.75" customHeight="1">
      <c r="A3841" s="30" t="s">
        <v>7505</v>
      </c>
      <c r="B3841" s="31" t="s">
        <v>449</v>
      </c>
      <c r="C3841" s="31" t="s">
        <v>1155</v>
      </c>
      <c r="D3841" s="30" t="s">
        <v>3663</v>
      </c>
      <c r="E3841" s="32">
        <v>46113.0</v>
      </c>
      <c r="F3841" s="32">
        <v>46171.0</v>
      </c>
      <c r="G3841" s="33"/>
    </row>
    <row r="3842" ht="15.75" customHeight="1">
      <c r="A3842" s="26" t="s">
        <v>7506</v>
      </c>
      <c r="B3842" s="27" t="s">
        <v>449</v>
      </c>
      <c r="C3842" s="27" t="s">
        <v>1153</v>
      </c>
      <c r="D3842" s="26" t="s">
        <v>3663</v>
      </c>
      <c r="E3842" s="28">
        <v>46113.0</v>
      </c>
      <c r="F3842" s="28">
        <v>46171.0</v>
      </c>
      <c r="G3842" s="29"/>
    </row>
    <row r="3843" ht="15.75" customHeight="1">
      <c r="A3843" s="30" t="s">
        <v>7507</v>
      </c>
      <c r="B3843" s="31" t="s">
        <v>449</v>
      </c>
      <c r="C3843" s="31" t="s">
        <v>1149</v>
      </c>
      <c r="D3843" s="30" t="s">
        <v>3663</v>
      </c>
      <c r="E3843" s="32">
        <v>46113.0</v>
      </c>
      <c r="F3843" s="32">
        <v>46171.0</v>
      </c>
      <c r="G3843" s="33"/>
    </row>
    <row r="3844" ht="15.75" customHeight="1">
      <c r="A3844" s="26" t="s">
        <v>7508</v>
      </c>
      <c r="B3844" s="27" t="s">
        <v>449</v>
      </c>
      <c r="C3844" s="27" t="s">
        <v>1351</v>
      </c>
      <c r="D3844" s="26" t="s">
        <v>3663</v>
      </c>
      <c r="E3844" s="28">
        <v>46113.0</v>
      </c>
      <c r="F3844" s="28">
        <v>46171.0</v>
      </c>
      <c r="G3844" s="29"/>
    </row>
    <row r="3845" ht="15.75" customHeight="1">
      <c r="A3845" s="30" t="s">
        <v>7509</v>
      </c>
      <c r="B3845" s="31" t="s">
        <v>449</v>
      </c>
      <c r="C3845" s="31" t="s">
        <v>1349</v>
      </c>
      <c r="D3845" s="30" t="s">
        <v>3663</v>
      </c>
      <c r="E3845" s="32">
        <v>46113.0</v>
      </c>
      <c r="F3845" s="32">
        <v>46171.0</v>
      </c>
      <c r="G3845" s="33"/>
    </row>
    <row r="3846" ht="15.75" customHeight="1">
      <c r="A3846" s="26" t="s">
        <v>7510</v>
      </c>
      <c r="B3846" s="27" t="s">
        <v>449</v>
      </c>
      <c r="C3846" s="27" t="s">
        <v>3653</v>
      </c>
      <c r="D3846" s="27" t="s">
        <v>3663</v>
      </c>
      <c r="E3846" s="28">
        <v>46113.0</v>
      </c>
      <c r="F3846" s="28">
        <v>46171.0</v>
      </c>
      <c r="G3846" s="29"/>
    </row>
    <row r="3847" ht="15.75" customHeight="1">
      <c r="A3847" s="30" t="s">
        <v>7511</v>
      </c>
      <c r="B3847" s="31" t="s">
        <v>449</v>
      </c>
      <c r="C3847" s="31" t="s">
        <v>3652</v>
      </c>
      <c r="D3847" s="30" t="s">
        <v>3663</v>
      </c>
      <c r="E3847" s="32">
        <v>46113.0</v>
      </c>
      <c r="F3847" s="32">
        <v>46171.0</v>
      </c>
      <c r="G3847" s="33"/>
    </row>
    <row r="3848" ht="15.75" customHeight="1">
      <c r="A3848" s="26" t="s">
        <v>7512</v>
      </c>
      <c r="B3848" s="27" t="s">
        <v>449</v>
      </c>
      <c r="C3848" s="27" t="s">
        <v>968</v>
      </c>
      <c r="D3848" s="26" t="s">
        <v>3663</v>
      </c>
      <c r="E3848" s="28">
        <v>46113.0</v>
      </c>
      <c r="F3848" s="28">
        <v>46171.0</v>
      </c>
      <c r="G3848" s="29"/>
    </row>
    <row r="3849" ht="15.75" customHeight="1">
      <c r="A3849" s="30" t="s">
        <v>7513</v>
      </c>
      <c r="B3849" s="31" t="s">
        <v>449</v>
      </c>
      <c r="C3849" s="31" t="s">
        <v>923</v>
      </c>
      <c r="D3849" s="30" t="s">
        <v>3663</v>
      </c>
      <c r="E3849" s="32">
        <v>46113.0</v>
      </c>
      <c r="F3849" s="32">
        <v>46171.0</v>
      </c>
      <c r="G3849" s="33"/>
    </row>
    <row r="3850" ht="15.75" customHeight="1">
      <c r="A3850" s="26" t="s">
        <v>7514</v>
      </c>
      <c r="B3850" s="27" t="s">
        <v>449</v>
      </c>
      <c r="C3850" s="27" t="s">
        <v>961</v>
      </c>
      <c r="D3850" s="26" t="s">
        <v>3663</v>
      </c>
      <c r="E3850" s="28">
        <v>46113.0</v>
      </c>
      <c r="F3850" s="28">
        <v>46171.0</v>
      </c>
      <c r="G3850" s="29"/>
    </row>
    <row r="3851" ht="15.75" customHeight="1">
      <c r="A3851" s="30" t="s">
        <v>7515</v>
      </c>
      <c r="B3851" s="31" t="s">
        <v>450</v>
      </c>
      <c r="C3851" s="31" t="s">
        <v>3638</v>
      </c>
      <c r="D3851" s="30" t="s">
        <v>3663</v>
      </c>
      <c r="E3851" s="32">
        <v>46113.0</v>
      </c>
      <c r="F3851" s="32">
        <v>46171.0</v>
      </c>
      <c r="G3851" s="33"/>
    </row>
    <row r="3852" ht="15.75" customHeight="1">
      <c r="A3852" s="26" t="s">
        <v>7516</v>
      </c>
      <c r="B3852" s="27" t="s">
        <v>450</v>
      </c>
      <c r="C3852" s="27" t="s">
        <v>930</v>
      </c>
      <c r="D3852" s="26" t="s">
        <v>3663</v>
      </c>
      <c r="E3852" s="28">
        <v>46113.0</v>
      </c>
      <c r="F3852" s="28">
        <v>46171.0</v>
      </c>
      <c r="G3852" s="29"/>
    </row>
    <row r="3853" ht="15.75" customHeight="1">
      <c r="A3853" s="30" t="s">
        <v>7517</v>
      </c>
      <c r="B3853" s="31" t="s">
        <v>450</v>
      </c>
      <c r="C3853" s="31" t="s">
        <v>1354</v>
      </c>
      <c r="D3853" s="30" t="s">
        <v>3663</v>
      </c>
      <c r="E3853" s="32">
        <v>46113.0</v>
      </c>
      <c r="F3853" s="32">
        <v>46171.0</v>
      </c>
      <c r="G3853" s="33"/>
    </row>
    <row r="3854" ht="15.75" customHeight="1">
      <c r="A3854" s="26" t="s">
        <v>7518</v>
      </c>
      <c r="B3854" s="27" t="s">
        <v>450</v>
      </c>
      <c r="C3854" s="27" t="s">
        <v>1157</v>
      </c>
      <c r="D3854" s="26" t="s">
        <v>3663</v>
      </c>
      <c r="E3854" s="28">
        <v>46113.0</v>
      </c>
      <c r="F3854" s="28">
        <v>46171.0</v>
      </c>
      <c r="G3854" s="29"/>
    </row>
    <row r="3855" ht="15.75" customHeight="1">
      <c r="A3855" s="30" t="s">
        <v>7519</v>
      </c>
      <c r="B3855" s="31" t="s">
        <v>450</v>
      </c>
      <c r="C3855" s="31" t="s">
        <v>1155</v>
      </c>
      <c r="D3855" s="30" t="s">
        <v>3663</v>
      </c>
      <c r="E3855" s="32">
        <v>46113.0</v>
      </c>
      <c r="F3855" s="32">
        <v>46171.0</v>
      </c>
      <c r="G3855" s="33"/>
    </row>
    <row r="3856" ht="15.75" customHeight="1">
      <c r="A3856" s="26" t="s">
        <v>7520</v>
      </c>
      <c r="B3856" s="27" t="s">
        <v>450</v>
      </c>
      <c r="C3856" s="27" t="s">
        <v>1153</v>
      </c>
      <c r="D3856" s="26" t="s">
        <v>3663</v>
      </c>
      <c r="E3856" s="28">
        <v>46113.0</v>
      </c>
      <c r="F3856" s="28">
        <v>46171.0</v>
      </c>
      <c r="G3856" s="29"/>
    </row>
    <row r="3857" ht="15.75" customHeight="1">
      <c r="A3857" s="30" t="s">
        <v>7521</v>
      </c>
      <c r="B3857" s="31" t="s">
        <v>450</v>
      </c>
      <c r="C3857" s="31" t="s">
        <v>1149</v>
      </c>
      <c r="D3857" s="30" t="s">
        <v>3663</v>
      </c>
      <c r="E3857" s="32">
        <v>46113.0</v>
      </c>
      <c r="F3857" s="32">
        <v>46171.0</v>
      </c>
      <c r="G3857" s="33"/>
    </row>
    <row r="3858" ht="15.75" customHeight="1">
      <c r="A3858" s="26" t="s">
        <v>7522</v>
      </c>
      <c r="B3858" s="27" t="s">
        <v>450</v>
      </c>
      <c r="C3858" s="27" t="s">
        <v>1351</v>
      </c>
      <c r="D3858" s="26" t="s">
        <v>3663</v>
      </c>
      <c r="E3858" s="28">
        <v>46113.0</v>
      </c>
      <c r="F3858" s="28">
        <v>46171.0</v>
      </c>
      <c r="G3858" s="29"/>
    </row>
    <row r="3859" ht="15.75" customHeight="1">
      <c r="A3859" s="30" t="s">
        <v>7523</v>
      </c>
      <c r="B3859" s="31" t="s">
        <v>450</v>
      </c>
      <c r="C3859" s="31" t="s">
        <v>1349</v>
      </c>
      <c r="D3859" s="30" t="s">
        <v>3663</v>
      </c>
      <c r="E3859" s="32">
        <v>46113.0</v>
      </c>
      <c r="F3859" s="32">
        <v>46171.0</v>
      </c>
      <c r="G3859" s="33"/>
    </row>
    <row r="3860" ht="15.75" customHeight="1">
      <c r="A3860" s="26" t="s">
        <v>7524</v>
      </c>
      <c r="B3860" s="27" t="s">
        <v>450</v>
      </c>
      <c r="C3860" s="27" t="s">
        <v>3653</v>
      </c>
      <c r="D3860" s="27" t="s">
        <v>3663</v>
      </c>
      <c r="E3860" s="28">
        <v>46113.0</v>
      </c>
      <c r="F3860" s="28">
        <v>46171.0</v>
      </c>
      <c r="G3860" s="29"/>
    </row>
    <row r="3861" ht="15.75" customHeight="1">
      <c r="A3861" s="30" t="s">
        <v>7525</v>
      </c>
      <c r="B3861" s="31" t="s">
        <v>450</v>
      </c>
      <c r="C3861" s="31" t="s">
        <v>3652</v>
      </c>
      <c r="D3861" s="30" t="s">
        <v>3663</v>
      </c>
      <c r="E3861" s="32">
        <v>46113.0</v>
      </c>
      <c r="F3861" s="32">
        <v>46171.0</v>
      </c>
      <c r="G3861" s="33"/>
    </row>
    <row r="3862" ht="15.75" customHeight="1">
      <c r="A3862" s="26" t="s">
        <v>7526</v>
      </c>
      <c r="B3862" s="27" t="s">
        <v>450</v>
      </c>
      <c r="C3862" s="27" t="s">
        <v>965</v>
      </c>
      <c r="D3862" s="26" t="s">
        <v>3663</v>
      </c>
      <c r="E3862" s="28">
        <v>46113.0</v>
      </c>
      <c r="F3862" s="28">
        <v>46171.0</v>
      </c>
      <c r="G3862" s="29"/>
    </row>
    <row r="3863" ht="15.75" customHeight="1">
      <c r="A3863" s="30" t="s">
        <v>7527</v>
      </c>
      <c r="B3863" s="31" t="s">
        <v>450</v>
      </c>
      <c r="C3863" s="31" t="s">
        <v>923</v>
      </c>
      <c r="D3863" s="30" t="s">
        <v>3663</v>
      </c>
      <c r="E3863" s="32">
        <v>46113.0</v>
      </c>
      <c r="F3863" s="32">
        <v>46171.0</v>
      </c>
      <c r="G3863" s="33"/>
    </row>
    <row r="3864" ht="15.75" customHeight="1">
      <c r="A3864" s="26" t="s">
        <v>7528</v>
      </c>
      <c r="B3864" s="27" t="s">
        <v>450</v>
      </c>
      <c r="C3864" s="27" t="s">
        <v>961</v>
      </c>
      <c r="D3864" s="26" t="s">
        <v>3663</v>
      </c>
      <c r="E3864" s="28">
        <v>46113.0</v>
      </c>
      <c r="F3864" s="28">
        <v>46171.0</v>
      </c>
      <c r="G3864" s="29"/>
    </row>
    <row r="3865" ht="15.75" customHeight="1">
      <c r="A3865" s="30" t="s">
        <v>7529</v>
      </c>
      <c r="B3865" s="31" t="s">
        <v>451</v>
      </c>
      <c r="C3865" s="31" t="s">
        <v>3654</v>
      </c>
      <c r="D3865" s="30" t="s">
        <v>3663</v>
      </c>
      <c r="E3865" s="32">
        <v>46113.0</v>
      </c>
      <c r="F3865" s="32">
        <v>46171.0</v>
      </c>
      <c r="G3865" s="33"/>
    </row>
    <row r="3866" ht="15.75" customHeight="1">
      <c r="A3866" s="26" t="s">
        <v>7530</v>
      </c>
      <c r="B3866" s="27" t="s">
        <v>451</v>
      </c>
      <c r="C3866" s="27" t="s">
        <v>3655</v>
      </c>
      <c r="D3866" s="26" t="s">
        <v>3663</v>
      </c>
      <c r="E3866" s="28">
        <v>46113.0</v>
      </c>
      <c r="F3866" s="28">
        <v>46171.0</v>
      </c>
      <c r="G3866" s="29"/>
    </row>
    <row r="3867" ht="15.75" customHeight="1">
      <c r="A3867" s="30" t="s">
        <v>7531</v>
      </c>
      <c r="B3867" s="31" t="s">
        <v>451</v>
      </c>
      <c r="C3867" s="31" t="s">
        <v>930</v>
      </c>
      <c r="D3867" s="30" t="s">
        <v>3663</v>
      </c>
      <c r="E3867" s="32">
        <v>46113.0</v>
      </c>
      <c r="F3867" s="32">
        <v>46171.0</v>
      </c>
      <c r="G3867" s="33"/>
    </row>
    <row r="3868" ht="15.75" customHeight="1">
      <c r="A3868" s="26" t="s">
        <v>7532</v>
      </c>
      <c r="B3868" s="27" t="s">
        <v>451</v>
      </c>
      <c r="C3868" s="27" t="s">
        <v>1354</v>
      </c>
      <c r="D3868" s="26" t="s">
        <v>3663</v>
      </c>
      <c r="E3868" s="28">
        <v>46113.0</v>
      </c>
      <c r="F3868" s="28">
        <v>46171.0</v>
      </c>
      <c r="G3868" s="29"/>
    </row>
    <row r="3869" ht="15.75" customHeight="1">
      <c r="A3869" s="30" t="s">
        <v>7533</v>
      </c>
      <c r="B3869" s="31" t="s">
        <v>451</v>
      </c>
      <c r="C3869" s="31" t="s">
        <v>3641</v>
      </c>
      <c r="D3869" s="30" t="s">
        <v>3663</v>
      </c>
      <c r="E3869" s="32">
        <v>46113.0</v>
      </c>
      <c r="F3869" s="32">
        <v>46171.0</v>
      </c>
      <c r="G3869" s="33"/>
    </row>
    <row r="3870" ht="15.75" customHeight="1">
      <c r="A3870" s="26" t="s">
        <v>7534</v>
      </c>
      <c r="B3870" s="27" t="s">
        <v>451</v>
      </c>
      <c r="C3870" s="27" t="s">
        <v>1304</v>
      </c>
      <c r="D3870" s="26" t="s">
        <v>3663</v>
      </c>
      <c r="E3870" s="28">
        <v>46113.0</v>
      </c>
      <c r="F3870" s="28">
        <v>46171.0</v>
      </c>
      <c r="G3870" s="29"/>
    </row>
    <row r="3871" ht="15.75" customHeight="1">
      <c r="A3871" s="30" t="s">
        <v>7535</v>
      </c>
      <c r="B3871" s="31" t="s">
        <v>451</v>
      </c>
      <c r="C3871" s="31" t="s">
        <v>3642</v>
      </c>
      <c r="D3871" s="30" t="s">
        <v>3663</v>
      </c>
      <c r="E3871" s="32">
        <v>46113.0</v>
      </c>
      <c r="F3871" s="32">
        <v>46171.0</v>
      </c>
      <c r="G3871" s="33"/>
    </row>
    <row r="3872" ht="15.75" customHeight="1">
      <c r="A3872" s="26" t="s">
        <v>7536</v>
      </c>
      <c r="B3872" s="27" t="s">
        <v>451</v>
      </c>
      <c r="C3872" s="27" t="s">
        <v>1308</v>
      </c>
      <c r="D3872" s="26" t="s">
        <v>3663</v>
      </c>
      <c r="E3872" s="28">
        <v>46113.0</v>
      </c>
      <c r="F3872" s="28">
        <v>46171.0</v>
      </c>
      <c r="G3872" s="29"/>
    </row>
    <row r="3873" ht="15.75" customHeight="1">
      <c r="A3873" s="30" t="s">
        <v>7537</v>
      </c>
      <c r="B3873" s="31" t="s">
        <v>451</v>
      </c>
      <c r="C3873" s="31" t="s">
        <v>3605</v>
      </c>
      <c r="D3873" s="30" t="s">
        <v>3663</v>
      </c>
      <c r="E3873" s="32">
        <v>46113.0</v>
      </c>
      <c r="F3873" s="32">
        <v>46171.0</v>
      </c>
      <c r="G3873" s="33"/>
    </row>
    <row r="3874" ht="15.75" customHeight="1">
      <c r="A3874" s="26" t="s">
        <v>7538</v>
      </c>
      <c r="B3874" s="27" t="s">
        <v>451</v>
      </c>
      <c r="C3874" s="27" t="s">
        <v>1208</v>
      </c>
      <c r="D3874" s="26" t="s">
        <v>3663</v>
      </c>
      <c r="E3874" s="28">
        <v>46113.0</v>
      </c>
      <c r="F3874" s="28">
        <v>46171.0</v>
      </c>
      <c r="G3874" s="29"/>
    </row>
    <row r="3875" ht="15.75" customHeight="1">
      <c r="A3875" s="30" t="s">
        <v>7539</v>
      </c>
      <c r="B3875" s="31" t="s">
        <v>451</v>
      </c>
      <c r="C3875" s="31" t="s">
        <v>1351</v>
      </c>
      <c r="D3875" s="30" t="s">
        <v>3663</v>
      </c>
      <c r="E3875" s="32">
        <v>46113.0</v>
      </c>
      <c r="F3875" s="32">
        <v>46171.0</v>
      </c>
      <c r="G3875" s="33"/>
    </row>
    <row r="3876" ht="15.75" customHeight="1">
      <c r="A3876" s="26" t="s">
        <v>7540</v>
      </c>
      <c r="B3876" s="27" t="s">
        <v>451</v>
      </c>
      <c r="C3876" s="27" t="s">
        <v>1349</v>
      </c>
      <c r="D3876" s="26" t="s">
        <v>3663</v>
      </c>
      <c r="E3876" s="28">
        <v>46113.0</v>
      </c>
      <c r="F3876" s="28">
        <v>46171.0</v>
      </c>
      <c r="G3876" s="29"/>
    </row>
    <row r="3877" ht="15.75" customHeight="1">
      <c r="A3877" s="30" t="s">
        <v>7541</v>
      </c>
      <c r="B3877" s="31" t="s">
        <v>451</v>
      </c>
      <c r="C3877" s="31" t="s">
        <v>965</v>
      </c>
      <c r="D3877" s="30" t="s">
        <v>3663</v>
      </c>
      <c r="E3877" s="32">
        <v>46113.0</v>
      </c>
      <c r="F3877" s="32">
        <v>46171.0</v>
      </c>
      <c r="G3877" s="33"/>
    </row>
    <row r="3878" ht="15.75" customHeight="1">
      <c r="A3878" s="26" t="s">
        <v>7542</v>
      </c>
      <c r="B3878" s="27" t="s">
        <v>451</v>
      </c>
      <c r="C3878" s="27" t="s">
        <v>923</v>
      </c>
      <c r="D3878" s="26" t="s">
        <v>3663</v>
      </c>
      <c r="E3878" s="28">
        <v>46113.0</v>
      </c>
      <c r="F3878" s="28">
        <v>46171.0</v>
      </c>
      <c r="G3878" s="29"/>
    </row>
    <row r="3879" ht="15.75" customHeight="1">
      <c r="A3879" s="30" t="s">
        <v>7543</v>
      </c>
      <c r="B3879" s="31" t="s">
        <v>452</v>
      </c>
      <c r="C3879" s="31" t="s">
        <v>1240</v>
      </c>
      <c r="D3879" s="30" t="s">
        <v>3663</v>
      </c>
      <c r="E3879" s="32">
        <v>46113.0</v>
      </c>
      <c r="F3879" s="32">
        <v>46171.0</v>
      </c>
      <c r="G3879" s="33"/>
    </row>
    <row r="3880" ht="15.75" customHeight="1">
      <c r="A3880" s="26" t="s">
        <v>7544</v>
      </c>
      <c r="B3880" s="27" t="s">
        <v>452</v>
      </c>
      <c r="C3880" s="27" t="s">
        <v>1242</v>
      </c>
      <c r="D3880" s="26" t="s">
        <v>3663</v>
      </c>
      <c r="E3880" s="28">
        <v>46113.0</v>
      </c>
      <c r="F3880" s="28">
        <v>46171.0</v>
      </c>
      <c r="G3880" s="29"/>
    </row>
    <row r="3881" ht="15.75" customHeight="1">
      <c r="A3881" s="30" t="s">
        <v>7545</v>
      </c>
      <c r="B3881" s="31" t="s">
        <v>452</v>
      </c>
      <c r="C3881" s="31" t="s">
        <v>1244</v>
      </c>
      <c r="D3881" s="30" t="s">
        <v>3663</v>
      </c>
      <c r="E3881" s="32">
        <v>46113.0</v>
      </c>
      <c r="F3881" s="32">
        <v>46171.0</v>
      </c>
      <c r="G3881" s="33"/>
    </row>
    <row r="3882" ht="15.75" customHeight="1">
      <c r="A3882" s="26" t="s">
        <v>7546</v>
      </c>
      <c r="B3882" s="27" t="s">
        <v>452</v>
      </c>
      <c r="C3882" s="27" t="s">
        <v>1246</v>
      </c>
      <c r="D3882" s="26" t="s">
        <v>3663</v>
      </c>
      <c r="E3882" s="28">
        <v>46113.0</v>
      </c>
      <c r="F3882" s="28">
        <v>46171.0</v>
      </c>
      <c r="G3882" s="29"/>
    </row>
    <row r="3883" ht="15.75" customHeight="1">
      <c r="A3883" s="30" t="s">
        <v>7547</v>
      </c>
      <c r="B3883" s="31" t="s">
        <v>452</v>
      </c>
      <c r="C3883" s="31" t="s">
        <v>934</v>
      </c>
      <c r="D3883" s="30" t="s">
        <v>3663</v>
      </c>
      <c r="E3883" s="32">
        <v>46113.0</v>
      </c>
      <c r="F3883" s="32">
        <v>46171.0</v>
      </c>
      <c r="G3883" s="33"/>
    </row>
    <row r="3884" ht="15.75" customHeight="1">
      <c r="A3884" s="26" t="s">
        <v>7548</v>
      </c>
      <c r="B3884" s="27" t="s">
        <v>452</v>
      </c>
      <c r="C3884" s="27" t="s">
        <v>1354</v>
      </c>
      <c r="D3884" s="26" t="s">
        <v>3663</v>
      </c>
      <c r="E3884" s="28">
        <v>46113.0</v>
      </c>
      <c r="F3884" s="28">
        <v>46171.0</v>
      </c>
      <c r="G3884" s="29"/>
    </row>
    <row r="3885" ht="15.75" customHeight="1">
      <c r="A3885" s="30" t="s">
        <v>7549</v>
      </c>
      <c r="B3885" s="31" t="s">
        <v>452</v>
      </c>
      <c r="C3885" s="31" t="s">
        <v>1312</v>
      </c>
      <c r="D3885" s="30" t="s">
        <v>3663</v>
      </c>
      <c r="E3885" s="32">
        <v>46113.0</v>
      </c>
      <c r="F3885" s="32">
        <v>46171.0</v>
      </c>
      <c r="G3885" s="33"/>
    </row>
    <row r="3886" ht="15.75" customHeight="1">
      <c r="A3886" s="26" t="s">
        <v>7550</v>
      </c>
      <c r="B3886" s="27" t="s">
        <v>452</v>
      </c>
      <c r="C3886" s="27" t="s">
        <v>1208</v>
      </c>
      <c r="D3886" s="26" t="s">
        <v>3663</v>
      </c>
      <c r="E3886" s="28">
        <v>46113.0</v>
      </c>
      <c r="F3886" s="28">
        <v>46171.0</v>
      </c>
      <c r="G3886" s="29"/>
    </row>
    <row r="3887" ht="15.75" customHeight="1">
      <c r="A3887" s="30" t="s">
        <v>7551</v>
      </c>
      <c r="B3887" s="31" t="s">
        <v>452</v>
      </c>
      <c r="C3887" s="31" t="s">
        <v>3656</v>
      </c>
      <c r="D3887" s="30" t="s">
        <v>3663</v>
      </c>
      <c r="E3887" s="32">
        <v>46113.0</v>
      </c>
      <c r="F3887" s="32">
        <v>46171.0</v>
      </c>
      <c r="G3887" s="33"/>
    </row>
    <row r="3888" ht="15.75" customHeight="1">
      <c r="A3888" s="26" t="s">
        <v>7552</v>
      </c>
      <c r="B3888" s="27" t="s">
        <v>452</v>
      </c>
      <c r="C3888" s="27" t="s">
        <v>3657</v>
      </c>
      <c r="D3888" s="26" t="s">
        <v>3663</v>
      </c>
      <c r="E3888" s="28">
        <v>46113.0</v>
      </c>
      <c r="F3888" s="28">
        <v>46171.0</v>
      </c>
      <c r="G3888" s="29"/>
    </row>
    <row r="3889" ht="15.75" customHeight="1">
      <c r="A3889" s="30" t="s">
        <v>7553</v>
      </c>
      <c r="B3889" s="31" t="s">
        <v>452</v>
      </c>
      <c r="C3889" s="31" t="s">
        <v>3647</v>
      </c>
      <c r="D3889" s="30" t="s">
        <v>3663</v>
      </c>
      <c r="E3889" s="32">
        <v>46113.0</v>
      </c>
      <c r="F3889" s="32">
        <v>46171.0</v>
      </c>
      <c r="G3889" s="33"/>
    </row>
    <row r="3890" ht="15.75" customHeight="1">
      <c r="A3890" s="26" t="s">
        <v>7554</v>
      </c>
      <c r="B3890" s="27" t="s">
        <v>452</v>
      </c>
      <c r="C3890" s="27" t="s">
        <v>952</v>
      </c>
      <c r="D3890" s="26" t="s">
        <v>3663</v>
      </c>
      <c r="E3890" s="28">
        <v>46113.0</v>
      </c>
      <c r="F3890" s="28">
        <v>46171.0</v>
      </c>
      <c r="G3890" s="29"/>
    </row>
    <row r="3891" ht="15.75" customHeight="1">
      <c r="A3891" s="30" t="s">
        <v>7555</v>
      </c>
      <c r="B3891" s="31" t="s">
        <v>452</v>
      </c>
      <c r="C3891" s="31" t="s">
        <v>968</v>
      </c>
      <c r="D3891" s="30" t="s">
        <v>3663</v>
      </c>
      <c r="E3891" s="32">
        <v>46113.0</v>
      </c>
      <c r="F3891" s="32">
        <v>46171.0</v>
      </c>
      <c r="G3891" s="33"/>
    </row>
    <row r="3892" ht="15.75" customHeight="1">
      <c r="A3892" s="26" t="s">
        <v>7556</v>
      </c>
      <c r="B3892" s="27" t="s">
        <v>452</v>
      </c>
      <c r="C3892" s="27" t="s">
        <v>923</v>
      </c>
      <c r="D3892" s="26" t="s">
        <v>3663</v>
      </c>
      <c r="E3892" s="28">
        <v>46113.0</v>
      </c>
      <c r="F3892" s="28">
        <v>46171.0</v>
      </c>
      <c r="G3892" s="29"/>
    </row>
    <row r="3893" ht="15.75" customHeight="1">
      <c r="A3893" s="30" t="s">
        <v>7557</v>
      </c>
      <c r="B3893" s="31" t="s">
        <v>453</v>
      </c>
      <c r="C3893" s="31" t="s">
        <v>928</v>
      </c>
      <c r="D3893" s="30" t="s">
        <v>3663</v>
      </c>
      <c r="E3893" s="32">
        <v>46113.0</v>
      </c>
      <c r="F3893" s="32">
        <v>46171.0</v>
      </c>
      <c r="G3893" s="33"/>
    </row>
    <row r="3894" ht="15.75" customHeight="1">
      <c r="A3894" s="26" t="s">
        <v>7558</v>
      </c>
      <c r="B3894" s="27" t="s">
        <v>453</v>
      </c>
      <c r="C3894" s="27" t="s">
        <v>1354</v>
      </c>
      <c r="D3894" s="26" t="s">
        <v>3663</v>
      </c>
      <c r="E3894" s="28">
        <v>46113.0</v>
      </c>
      <c r="F3894" s="28">
        <v>46171.0</v>
      </c>
      <c r="G3894" s="29"/>
    </row>
    <row r="3895" ht="15.75" customHeight="1">
      <c r="A3895" s="30" t="s">
        <v>7559</v>
      </c>
      <c r="B3895" s="31" t="s">
        <v>453</v>
      </c>
      <c r="C3895" s="31" t="s">
        <v>1222</v>
      </c>
      <c r="D3895" s="30" t="s">
        <v>3663</v>
      </c>
      <c r="E3895" s="32">
        <v>46113.0</v>
      </c>
      <c r="F3895" s="32">
        <v>46171.0</v>
      </c>
      <c r="G3895" s="33"/>
    </row>
    <row r="3896" ht="15.75" customHeight="1">
      <c r="A3896" s="26" t="s">
        <v>7560</v>
      </c>
      <c r="B3896" s="27" t="s">
        <v>453</v>
      </c>
      <c r="C3896" s="27" t="s">
        <v>1224</v>
      </c>
      <c r="D3896" s="26" t="s">
        <v>3663</v>
      </c>
      <c r="E3896" s="28">
        <v>46113.0</v>
      </c>
      <c r="F3896" s="28">
        <v>46171.0</v>
      </c>
      <c r="G3896" s="29"/>
    </row>
    <row r="3897" ht="15.75" customHeight="1">
      <c r="A3897" s="30" t="s">
        <v>7561</v>
      </c>
      <c r="B3897" s="31" t="s">
        <v>453</v>
      </c>
      <c r="C3897" s="31" t="s">
        <v>1226</v>
      </c>
      <c r="D3897" s="30" t="s">
        <v>3663</v>
      </c>
      <c r="E3897" s="32">
        <v>46113.0</v>
      </c>
      <c r="F3897" s="32">
        <v>46171.0</v>
      </c>
      <c r="G3897" s="33"/>
    </row>
    <row r="3898" ht="15.75" customHeight="1">
      <c r="A3898" s="26" t="s">
        <v>7562</v>
      </c>
      <c r="B3898" s="27" t="s">
        <v>453</v>
      </c>
      <c r="C3898" s="27" t="s">
        <v>1228</v>
      </c>
      <c r="D3898" s="26" t="s">
        <v>3663</v>
      </c>
      <c r="E3898" s="28">
        <v>46113.0</v>
      </c>
      <c r="F3898" s="28">
        <v>46171.0</v>
      </c>
      <c r="G3898" s="29"/>
    </row>
    <row r="3899" ht="15.75" customHeight="1">
      <c r="A3899" s="30" t="s">
        <v>7563</v>
      </c>
      <c r="B3899" s="31" t="s">
        <v>453</v>
      </c>
      <c r="C3899" s="31" t="s">
        <v>3656</v>
      </c>
      <c r="D3899" s="30" t="s">
        <v>3663</v>
      </c>
      <c r="E3899" s="32">
        <v>46113.0</v>
      </c>
      <c r="F3899" s="32">
        <v>46171.0</v>
      </c>
      <c r="G3899" s="33"/>
    </row>
    <row r="3900" ht="15.75" customHeight="1">
      <c r="A3900" s="26" t="s">
        <v>7564</v>
      </c>
      <c r="B3900" s="27" t="s">
        <v>453</v>
      </c>
      <c r="C3900" s="27" t="s">
        <v>3657</v>
      </c>
      <c r="D3900" s="26" t="s">
        <v>3663</v>
      </c>
      <c r="E3900" s="28">
        <v>46113.0</v>
      </c>
      <c r="F3900" s="28">
        <v>46171.0</v>
      </c>
      <c r="G3900" s="29"/>
    </row>
    <row r="3901" ht="15.75" customHeight="1">
      <c r="A3901" s="30" t="s">
        <v>7565</v>
      </c>
      <c r="B3901" s="31" t="s">
        <v>453</v>
      </c>
      <c r="C3901" s="31" t="s">
        <v>3647</v>
      </c>
      <c r="D3901" s="30" t="s">
        <v>3663</v>
      </c>
      <c r="E3901" s="32">
        <v>46113.0</v>
      </c>
      <c r="F3901" s="32">
        <v>46171.0</v>
      </c>
      <c r="G3901" s="33"/>
    </row>
    <row r="3902" ht="15.75" customHeight="1">
      <c r="A3902" s="26" t="s">
        <v>7566</v>
      </c>
      <c r="B3902" s="27" t="s">
        <v>453</v>
      </c>
      <c r="C3902" s="27" t="s">
        <v>952</v>
      </c>
      <c r="D3902" s="26" t="s">
        <v>3663</v>
      </c>
      <c r="E3902" s="28">
        <v>46113.0</v>
      </c>
      <c r="F3902" s="28">
        <v>46171.0</v>
      </c>
      <c r="G3902" s="29"/>
    </row>
    <row r="3903" ht="15.75" customHeight="1">
      <c r="A3903" s="30" t="s">
        <v>7567</v>
      </c>
      <c r="B3903" s="31" t="s">
        <v>453</v>
      </c>
      <c r="C3903" s="31" t="s">
        <v>1218</v>
      </c>
      <c r="D3903" s="30" t="s">
        <v>3663</v>
      </c>
      <c r="E3903" s="32">
        <v>46113.0</v>
      </c>
      <c r="F3903" s="32">
        <v>46171.0</v>
      </c>
      <c r="G3903" s="33"/>
    </row>
    <row r="3904" ht="15.75" customHeight="1">
      <c r="A3904" s="26" t="s">
        <v>7568</v>
      </c>
      <c r="B3904" s="27" t="s">
        <v>453</v>
      </c>
      <c r="C3904" s="27" t="s">
        <v>1271</v>
      </c>
      <c r="D3904" s="26" t="s">
        <v>3663</v>
      </c>
      <c r="E3904" s="28">
        <v>46113.0</v>
      </c>
      <c r="F3904" s="28">
        <v>46171.0</v>
      </c>
      <c r="G3904" s="29"/>
    </row>
    <row r="3905" ht="15.75" customHeight="1">
      <c r="A3905" s="30" t="s">
        <v>7569</v>
      </c>
      <c r="B3905" s="31" t="s">
        <v>453</v>
      </c>
      <c r="C3905" s="31" t="s">
        <v>968</v>
      </c>
      <c r="D3905" s="30" t="s">
        <v>3663</v>
      </c>
      <c r="E3905" s="32">
        <v>46113.0</v>
      </c>
      <c r="F3905" s="32">
        <v>46171.0</v>
      </c>
      <c r="G3905" s="33"/>
    </row>
    <row r="3906" ht="15.75" customHeight="1">
      <c r="A3906" s="26" t="s">
        <v>7570</v>
      </c>
      <c r="B3906" s="27" t="s">
        <v>453</v>
      </c>
      <c r="C3906" s="27" t="s">
        <v>923</v>
      </c>
      <c r="D3906" s="26" t="s">
        <v>3663</v>
      </c>
      <c r="E3906" s="28">
        <v>46113.0</v>
      </c>
      <c r="F3906" s="28">
        <v>46171.0</v>
      </c>
      <c r="G3906" s="29"/>
    </row>
    <row r="3907" ht="15.75" customHeight="1">
      <c r="A3907" s="30" t="s">
        <v>7571</v>
      </c>
      <c r="B3907" s="31" t="s">
        <v>454</v>
      </c>
      <c r="C3907" s="31" t="s">
        <v>928</v>
      </c>
      <c r="D3907" s="30" t="s">
        <v>3663</v>
      </c>
      <c r="E3907" s="32">
        <v>46113.0</v>
      </c>
      <c r="F3907" s="32">
        <v>46171.0</v>
      </c>
      <c r="G3907" s="33"/>
    </row>
    <row r="3908" ht="15.75" customHeight="1">
      <c r="A3908" s="26" t="s">
        <v>7572</v>
      </c>
      <c r="B3908" s="27" t="s">
        <v>454</v>
      </c>
      <c r="C3908" s="27" t="s">
        <v>1323</v>
      </c>
      <c r="D3908" s="26" t="s">
        <v>3663</v>
      </c>
      <c r="E3908" s="28">
        <v>46113.0</v>
      </c>
      <c r="F3908" s="28">
        <v>46171.0</v>
      </c>
      <c r="G3908" s="29"/>
    </row>
    <row r="3909" ht="15.75" customHeight="1">
      <c r="A3909" s="30" t="s">
        <v>7573</v>
      </c>
      <c r="B3909" s="31" t="s">
        <v>454</v>
      </c>
      <c r="C3909" s="31" t="s">
        <v>1354</v>
      </c>
      <c r="D3909" s="30" t="s">
        <v>3663</v>
      </c>
      <c r="E3909" s="32">
        <v>46113.0</v>
      </c>
      <c r="F3909" s="32">
        <v>46171.0</v>
      </c>
      <c r="G3909" s="33"/>
    </row>
    <row r="3910" ht="15.75" customHeight="1">
      <c r="A3910" s="26" t="s">
        <v>7574</v>
      </c>
      <c r="B3910" s="27" t="s">
        <v>454</v>
      </c>
      <c r="C3910" s="27" t="s">
        <v>1222</v>
      </c>
      <c r="D3910" s="26" t="s">
        <v>3663</v>
      </c>
      <c r="E3910" s="28">
        <v>46113.0</v>
      </c>
      <c r="F3910" s="28">
        <v>46171.0</v>
      </c>
      <c r="G3910" s="29"/>
    </row>
    <row r="3911" ht="15.75" customHeight="1">
      <c r="A3911" s="30" t="s">
        <v>7575</v>
      </c>
      <c r="B3911" s="31" t="s">
        <v>454</v>
      </c>
      <c r="C3911" s="31" t="s">
        <v>1224</v>
      </c>
      <c r="D3911" s="30" t="s">
        <v>3663</v>
      </c>
      <c r="E3911" s="32">
        <v>46113.0</v>
      </c>
      <c r="F3911" s="32">
        <v>46171.0</v>
      </c>
      <c r="G3911" s="33"/>
    </row>
    <row r="3912" ht="15.75" customHeight="1">
      <c r="A3912" s="26" t="s">
        <v>7576</v>
      </c>
      <c r="B3912" s="27" t="s">
        <v>454</v>
      </c>
      <c r="C3912" s="27" t="s">
        <v>1226</v>
      </c>
      <c r="D3912" s="26" t="s">
        <v>3663</v>
      </c>
      <c r="E3912" s="28">
        <v>46113.0</v>
      </c>
      <c r="F3912" s="28">
        <v>46171.0</v>
      </c>
      <c r="G3912" s="29"/>
    </row>
    <row r="3913" ht="15.75" customHeight="1">
      <c r="A3913" s="30" t="s">
        <v>7577</v>
      </c>
      <c r="B3913" s="31" t="s">
        <v>454</v>
      </c>
      <c r="C3913" s="31" t="s">
        <v>1228</v>
      </c>
      <c r="D3913" s="30" t="s">
        <v>3663</v>
      </c>
      <c r="E3913" s="32">
        <v>46113.0</v>
      </c>
      <c r="F3913" s="32">
        <v>46171.0</v>
      </c>
      <c r="G3913" s="33"/>
    </row>
    <row r="3914" ht="15.75" customHeight="1">
      <c r="A3914" s="26" t="s">
        <v>7578</v>
      </c>
      <c r="B3914" s="27" t="s">
        <v>454</v>
      </c>
      <c r="C3914" s="27" t="s">
        <v>1218</v>
      </c>
      <c r="D3914" s="26" t="s">
        <v>3663</v>
      </c>
      <c r="E3914" s="28">
        <v>46113.0</v>
      </c>
      <c r="F3914" s="28">
        <v>46171.0</v>
      </c>
      <c r="G3914" s="29"/>
    </row>
    <row r="3915" ht="15.75" customHeight="1">
      <c r="A3915" s="30" t="s">
        <v>7579</v>
      </c>
      <c r="B3915" s="31" t="s">
        <v>454</v>
      </c>
      <c r="C3915" s="31" t="s">
        <v>1351</v>
      </c>
      <c r="D3915" s="30" t="s">
        <v>3663</v>
      </c>
      <c r="E3915" s="32">
        <v>46113.0</v>
      </c>
      <c r="F3915" s="32">
        <v>46171.0</v>
      </c>
      <c r="G3915" s="33"/>
    </row>
    <row r="3916" ht="15.75" customHeight="1">
      <c r="A3916" s="26" t="s">
        <v>7580</v>
      </c>
      <c r="B3916" s="27" t="s">
        <v>454</v>
      </c>
      <c r="C3916" s="27" t="s">
        <v>1349</v>
      </c>
      <c r="D3916" s="26" t="s">
        <v>3663</v>
      </c>
      <c r="E3916" s="28">
        <v>46113.0</v>
      </c>
      <c r="F3916" s="28">
        <v>46171.0</v>
      </c>
      <c r="G3916" s="29"/>
    </row>
    <row r="3917" ht="15.75" customHeight="1">
      <c r="A3917" s="30" t="s">
        <v>7581</v>
      </c>
      <c r="B3917" s="31" t="s">
        <v>454</v>
      </c>
      <c r="C3917" s="31" t="s">
        <v>3653</v>
      </c>
      <c r="D3917" s="31" t="s">
        <v>3663</v>
      </c>
      <c r="E3917" s="32">
        <v>46113.0</v>
      </c>
      <c r="F3917" s="32">
        <v>46171.0</v>
      </c>
      <c r="G3917" s="33"/>
    </row>
    <row r="3918" ht="15.75" customHeight="1">
      <c r="A3918" s="26" t="s">
        <v>7582</v>
      </c>
      <c r="B3918" s="27" t="s">
        <v>454</v>
      </c>
      <c r="C3918" s="27" t="s">
        <v>3652</v>
      </c>
      <c r="D3918" s="26" t="s">
        <v>3663</v>
      </c>
      <c r="E3918" s="28">
        <v>46113.0</v>
      </c>
      <c r="F3918" s="28">
        <v>46171.0</v>
      </c>
      <c r="G3918" s="29"/>
    </row>
    <row r="3919" ht="15.75" customHeight="1">
      <c r="A3919" s="30" t="s">
        <v>7583</v>
      </c>
      <c r="B3919" s="31" t="s">
        <v>454</v>
      </c>
      <c r="C3919" s="31" t="s">
        <v>965</v>
      </c>
      <c r="D3919" s="30" t="s">
        <v>3663</v>
      </c>
      <c r="E3919" s="32">
        <v>46113.0</v>
      </c>
      <c r="F3919" s="32">
        <v>46171.0</v>
      </c>
      <c r="G3919" s="33"/>
    </row>
    <row r="3920" ht="15.75" customHeight="1">
      <c r="A3920" s="26" t="s">
        <v>7584</v>
      </c>
      <c r="B3920" s="27" t="s">
        <v>454</v>
      </c>
      <c r="C3920" s="27" t="s">
        <v>923</v>
      </c>
      <c r="D3920" s="26" t="s">
        <v>3663</v>
      </c>
      <c r="E3920" s="28">
        <v>46113.0</v>
      </c>
      <c r="F3920" s="28">
        <v>46171.0</v>
      </c>
      <c r="G3920" s="29"/>
    </row>
    <row r="3921" ht="15.75" customHeight="1">
      <c r="A3921" s="30" t="s">
        <v>7585</v>
      </c>
      <c r="B3921" s="31" t="s">
        <v>455</v>
      </c>
      <c r="C3921" s="31" t="s">
        <v>3654</v>
      </c>
      <c r="D3921" s="30" t="s">
        <v>3663</v>
      </c>
      <c r="E3921" s="32">
        <v>46113.0</v>
      </c>
      <c r="F3921" s="32">
        <v>46171.0</v>
      </c>
      <c r="G3921" s="33"/>
    </row>
    <row r="3922" ht="15.75" customHeight="1">
      <c r="A3922" s="26" t="s">
        <v>7586</v>
      </c>
      <c r="B3922" s="27" t="s">
        <v>455</v>
      </c>
      <c r="C3922" s="27" t="s">
        <v>3655</v>
      </c>
      <c r="D3922" s="26" t="s">
        <v>3663</v>
      </c>
      <c r="E3922" s="28">
        <v>46113.0</v>
      </c>
      <c r="F3922" s="28">
        <v>46171.0</v>
      </c>
      <c r="G3922" s="29"/>
    </row>
    <row r="3923" ht="15.75" customHeight="1">
      <c r="A3923" s="30" t="s">
        <v>7587</v>
      </c>
      <c r="B3923" s="31" t="s">
        <v>455</v>
      </c>
      <c r="C3923" s="31" t="s">
        <v>930</v>
      </c>
      <c r="D3923" s="30" t="s">
        <v>3663</v>
      </c>
      <c r="E3923" s="32">
        <v>46113.0</v>
      </c>
      <c r="F3923" s="32">
        <v>46171.0</v>
      </c>
      <c r="G3923" s="33"/>
    </row>
    <row r="3924" ht="15.75" customHeight="1">
      <c r="A3924" s="26" t="s">
        <v>7588</v>
      </c>
      <c r="B3924" s="27" t="s">
        <v>455</v>
      </c>
      <c r="C3924" s="27" t="s">
        <v>1354</v>
      </c>
      <c r="D3924" s="26" t="s">
        <v>3663</v>
      </c>
      <c r="E3924" s="28">
        <v>46113.0</v>
      </c>
      <c r="F3924" s="28">
        <v>46171.0</v>
      </c>
      <c r="G3924" s="29"/>
    </row>
    <row r="3925" ht="15.75" customHeight="1">
      <c r="A3925" s="30" t="s">
        <v>7589</v>
      </c>
      <c r="B3925" s="31" t="s">
        <v>455</v>
      </c>
      <c r="C3925" s="31" t="s">
        <v>3605</v>
      </c>
      <c r="D3925" s="30" t="s">
        <v>3663</v>
      </c>
      <c r="E3925" s="32">
        <v>46113.0</v>
      </c>
      <c r="F3925" s="32">
        <v>46171.0</v>
      </c>
      <c r="G3925" s="33"/>
    </row>
    <row r="3926" ht="15.75" customHeight="1">
      <c r="A3926" s="26" t="s">
        <v>7590</v>
      </c>
      <c r="B3926" s="27" t="s">
        <v>455</v>
      </c>
      <c r="C3926" s="27" t="s">
        <v>3647</v>
      </c>
      <c r="D3926" s="26" t="s">
        <v>3663</v>
      </c>
      <c r="E3926" s="28">
        <v>46113.0</v>
      </c>
      <c r="F3926" s="28">
        <v>46171.0</v>
      </c>
      <c r="G3926" s="29"/>
    </row>
    <row r="3927" ht="15.75" customHeight="1">
      <c r="A3927" s="30" t="s">
        <v>7591</v>
      </c>
      <c r="B3927" s="31" t="s">
        <v>455</v>
      </c>
      <c r="C3927" s="31" t="s">
        <v>952</v>
      </c>
      <c r="D3927" s="30" t="s">
        <v>3663</v>
      </c>
      <c r="E3927" s="32">
        <v>46113.0</v>
      </c>
      <c r="F3927" s="32">
        <v>46171.0</v>
      </c>
      <c r="G3927" s="33"/>
    </row>
    <row r="3928" ht="15.75" customHeight="1">
      <c r="A3928" s="26" t="s">
        <v>7592</v>
      </c>
      <c r="B3928" s="27" t="s">
        <v>455</v>
      </c>
      <c r="C3928" s="27" t="s">
        <v>1216</v>
      </c>
      <c r="D3928" s="26" t="s">
        <v>3663</v>
      </c>
      <c r="E3928" s="28">
        <v>46113.0</v>
      </c>
      <c r="F3928" s="28">
        <v>46171.0</v>
      </c>
      <c r="G3928" s="29"/>
    </row>
    <row r="3929" ht="15.75" customHeight="1">
      <c r="A3929" s="30" t="s">
        <v>7593</v>
      </c>
      <c r="B3929" s="31" t="s">
        <v>455</v>
      </c>
      <c r="C3929" s="31" t="s">
        <v>1157</v>
      </c>
      <c r="D3929" s="30" t="s">
        <v>3663</v>
      </c>
      <c r="E3929" s="32">
        <v>46113.0</v>
      </c>
      <c r="F3929" s="32">
        <v>46171.0</v>
      </c>
      <c r="G3929" s="33"/>
    </row>
    <row r="3930" ht="15.75" customHeight="1">
      <c r="A3930" s="26" t="s">
        <v>7594</v>
      </c>
      <c r="B3930" s="27" t="s">
        <v>455</v>
      </c>
      <c r="C3930" s="27" t="s">
        <v>1155</v>
      </c>
      <c r="D3930" s="26" t="s">
        <v>3663</v>
      </c>
      <c r="E3930" s="28">
        <v>46113.0</v>
      </c>
      <c r="F3930" s="28">
        <v>46171.0</v>
      </c>
      <c r="G3930" s="29"/>
    </row>
    <row r="3931" ht="15.75" customHeight="1">
      <c r="A3931" s="30" t="s">
        <v>7595</v>
      </c>
      <c r="B3931" s="31" t="s">
        <v>455</v>
      </c>
      <c r="C3931" s="31" t="s">
        <v>1153</v>
      </c>
      <c r="D3931" s="30" t="s">
        <v>3663</v>
      </c>
      <c r="E3931" s="32">
        <v>46113.0</v>
      </c>
      <c r="F3931" s="32">
        <v>46171.0</v>
      </c>
      <c r="G3931" s="33"/>
    </row>
    <row r="3932" ht="15.75" customHeight="1">
      <c r="A3932" s="26" t="s">
        <v>7596</v>
      </c>
      <c r="B3932" s="27" t="s">
        <v>455</v>
      </c>
      <c r="C3932" s="27" t="s">
        <v>1149</v>
      </c>
      <c r="D3932" s="26" t="s">
        <v>3663</v>
      </c>
      <c r="E3932" s="28">
        <v>46113.0</v>
      </c>
      <c r="F3932" s="28">
        <v>46171.0</v>
      </c>
      <c r="G3932" s="29"/>
    </row>
    <row r="3933" ht="15.75" customHeight="1">
      <c r="A3933" s="30" t="s">
        <v>7597</v>
      </c>
      <c r="B3933" s="31" t="s">
        <v>455</v>
      </c>
      <c r="C3933" s="31" t="s">
        <v>965</v>
      </c>
      <c r="D3933" s="30" t="s">
        <v>3663</v>
      </c>
      <c r="E3933" s="32">
        <v>46113.0</v>
      </c>
      <c r="F3933" s="32">
        <v>46171.0</v>
      </c>
      <c r="G3933" s="33"/>
    </row>
    <row r="3934" ht="15.75" customHeight="1">
      <c r="A3934" s="26" t="s">
        <v>7598</v>
      </c>
      <c r="B3934" s="27" t="s">
        <v>455</v>
      </c>
      <c r="C3934" s="27" t="s">
        <v>923</v>
      </c>
      <c r="D3934" s="26" t="s">
        <v>3663</v>
      </c>
      <c r="E3934" s="28">
        <v>46113.0</v>
      </c>
      <c r="F3934" s="28">
        <v>46171.0</v>
      </c>
      <c r="G3934" s="29"/>
    </row>
    <row r="3935" ht="15.75" customHeight="1">
      <c r="A3935" s="30" t="s">
        <v>7599</v>
      </c>
      <c r="B3935" s="31" t="s">
        <v>456</v>
      </c>
      <c r="C3935" s="31" t="s">
        <v>3654</v>
      </c>
      <c r="D3935" s="30" t="s">
        <v>3663</v>
      </c>
      <c r="E3935" s="32">
        <v>46113.0</v>
      </c>
      <c r="F3935" s="32">
        <v>46171.0</v>
      </c>
      <c r="G3935" s="33"/>
    </row>
    <row r="3936" ht="15.75" customHeight="1">
      <c r="A3936" s="26" t="s">
        <v>7600</v>
      </c>
      <c r="B3936" s="27" t="s">
        <v>456</v>
      </c>
      <c r="C3936" s="27" t="s">
        <v>3655</v>
      </c>
      <c r="D3936" s="26" t="s">
        <v>3663</v>
      </c>
      <c r="E3936" s="28">
        <v>46113.0</v>
      </c>
      <c r="F3936" s="28">
        <v>46171.0</v>
      </c>
      <c r="G3936" s="29"/>
    </row>
    <row r="3937" ht="15.75" customHeight="1">
      <c r="A3937" s="30" t="s">
        <v>7601</v>
      </c>
      <c r="B3937" s="31" t="s">
        <v>456</v>
      </c>
      <c r="C3937" s="31" t="s">
        <v>928</v>
      </c>
      <c r="D3937" s="30" t="s">
        <v>3663</v>
      </c>
      <c r="E3937" s="32">
        <v>46113.0</v>
      </c>
      <c r="F3937" s="32">
        <v>46171.0</v>
      </c>
      <c r="G3937" s="33"/>
    </row>
    <row r="3938" ht="15.75" customHeight="1">
      <c r="A3938" s="26" t="s">
        <v>7602</v>
      </c>
      <c r="B3938" s="27" t="s">
        <v>456</v>
      </c>
      <c r="C3938" s="27" t="s">
        <v>1354</v>
      </c>
      <c r="D3938" s="26" t="s">
        <v>3663</v>
      </c>
      <c r="E3938" s="28">
        <v>46113.0</v>
      </c>
      <c r="F3938" s="28">
        <v>46171.0</v>
      </c>
      <c r="G3938" s="29"/>
    </row>
    <row r="3939" ht="15.75" customHeight="1">
      <c r="A3939" s="30" t="s">
        <v>7603</v>
      </c>
      <c r="B3939" s="31" t="s">
        <v>456</v>
      </c>
      <c r="C3939" s="31" t="s">
        <v>1222</v>
      </c>
      <c r="D3939" s="30" t="s">
        <v>3663</v>
      </c>
      <c r="E3939" s="32">
        <v>46113.0</v>
      </c>
      <c r="F3939" s="32">
        <v>46171.0</v>
      </c>
      <c r="G3939" s="33"/>
    </row>
    <row r="3940" ht="15.75" customHeight="1">
      <c r="A3940" s="26" t="s">
        <v>7604</v>
      </c>
      <c r="B3940" s="27" t="s">
        <v>456</v>
      </c>
      <c r="C3940" s="27" t="s">
        <v>1224</v>
      </c>
      <c r="D3940" s="26" t="s">
        <v>3663</v>
      </c>
      <c r="E3940" s="28">
        <v>46113.0</v>
      </c>
      <c r="F3940" s="28">
        <v>46171.0</v>
      </c>
      <c r="G3940" s="29"/>
    </row>
    <row r="3941" ht="15.75" customHeight="1">
      <c r="A3941" s="30" t="s">
        <v>7605</v>
      </c>
      <c r="B3941" s="31" t="s">
        <v>456</v>
      </c>
      <c r="C3941" s="31" t="s">
        <v>1226</v>
      </c>
      <c r="D3941" s="30" t="s">
        <v>3663</v>
      </c>
      <c r="E3941" s="32">
        <v>46113.0</v>
      </c>
      <c r="F3941" s="32">
        <v>46171.0</v>
      </c>
      <c r="G3941" s="33"/>
    </row>
    <row r="3942" ht="15.75" customHeight="1">
      <c r="A3942" s="26" t="s">
        <v>7606</v>
      </c>
      <c r="B3942" s="27" t="s">
        <v>456</v>
      </c>
      <c r="C3942" s="27" t="s">
        <v>1228</v>
      </c>
      <c r="D3942" s="26" t="s">
        <v>3663</v>
      </c>
      <c r="E3942" s="28">
        <v>46113.0</v>
      </c>
      <c r="F3942" s="28">
        <v>46171.0</v>
      </c>
      <c r="G3942" s="29"/>
    </row>
    <row r="3943" ht="15.75" customHeight="1">
      <c r="A3943" s="30" t="s">
        <v>7607</v>
      </c>
      <c r="B3943" s="31" t="s">
        <v>456</v>
      </c>
      <c r="C3943" s="31" t="s">
        <v>1190</v>
      </c>
      <c r="D3943" s="30" t="s">
        <v>3663</v>
      </c>
      <c r="E3943" s="32">
        <v>46113.0</v>
      </c>
      <c r="F3943" s="32">
        <v>46171.0</v>
      </c>
      <c r="G3943" s="33"/>
    </row>
    <row r="3944" ht="15.75" customHeight="1">
      <c r="A3944" s="26" t="s">
        <v>7608</v>
      </c>
      <c r="B3944" s="27" t="s">
        <v>456</v>
      </c>
      <c r="C3944" s="27" t="s">
        <v>3647</v>
      </c>
      <c r="D3944" s="26" t="s">
        <v>3663</v>
      </c>
      <c r="E3944" s="28">
        <v>46113.0</v>
      </c>
      <c r="F3944" s="28">
        <v>46171.0</v>
      </c>
      <c r="G3944" s="29"/>
    </row>
    <row r="3945" ht="15.75" customHeight="1">
      <c r="A3945" s="30" t="s">
        <v>7609</v>
      </c>
      <c r="B3945" s="31" t="s">
        <v>456</v>
      </c>
      <c r="C3945" s="31" t="s">
        <v>952</v>
      </c>
      <c r="D3945" s="30" t="s">
        <v>3663</v>
      </c>
      <c r="E3945" s="32">
        <v>46113.0</v>
      </c>
      <c r="F3945" s="32">
        <v>46171.0</v>
      </c>
      <c r="G3945" s="33"/>
    </row>
    <row r="3946" ht="15.75" customHeight="1">
      <c r="A3946" s="26" t="s">
        <v>7610</v>
      </c>
      <c r="B3946" s="27" t="s">
        <v>456</v>
      </c>
      <c r="C3946" s="27" t="s">
        <v>1216</v>
      </c>
      <c r="D3946" s="26" t="s">
        <v>3663</v>
      </c>
      <c r="E3946" s="28">
        <v>46113.0</v>
      </c>
      <c r="F3946" s="28">
        <v>46171.0</v>
      </c>
      <c r="G3946" s="29"/>
    </row>
    <row r="3947" ht="15.75" customHeight="1">
      <c r="A3947" s="30" t="s">
        <v>7611</v>
      </c>
      <c r="B3947" s="31" t="s">
        <v>456</v>
      </c>
      <c r="C3947" s="31" t="s">
        <v>965</v>
      </c>
      <c r="D3947" s="30" t="s">
        <v>3663</v>
      </c>
      <c r="E3947" s="32">
        <v>46113.0</v>
      </c>
      <c r="F3947" s="32">
        <v>46171.0</v>
      </c>
      <c r="G3947" s="33"/>
    </row>
    <row r="3948" ht="15.75" customHeight="1">
      <c r="A3948" s="26" t="s">
        <v>7612</v>
      </c>
      <c r="B3948" s="27" t="s">
        <v>456</v>
      </c>
      <c r="C3948" s="27" t="s">
        <v>923</v>
      </c>
      <c r="D3948" s="26" t="s">
        <v>3663</v>
      </c>
      <c r="E3948" s="28">
        <v>46113.0</v>
      </c>
      <c r="F3948" s="28">
        <v>46171.0</v>
      </c>
      <c r="G3948" s="29"/>
    </row>
    <row r="3949" ht="15.75" customHeight="1">
      <c r="A3949" s="30" t="s">
        <v>7613</v>
      </c>
      <c r="B3949" s="31" t="s">
        <v>457</v>
      </c>
      <c r="C3949" s="31" t="s">
        <v>934</v>
      </c>
      <c r="D3949" s="30" t="s">
        <v>3663</v>
      </c>
      <c r="E3949" s="32">
        <v>46113.0</v>
      </c>
      <c r="F3949" s="32">
        <v>46171.0</v>
      </c>
      <c r="G3949" s="33"/>
    </row>
    <row r="3950" ht="15.75" customHeight="1">
      <c r="A3950" s="26" t="s">
        <v>7614</v>
      </c>
      <c r="B3950" s="27" t="s">
        <v>457</v>
      </c>
      <c r="C3950" s="27" t="s">
        <v>1354</v>
      </c>
      <c r="D3950" s="26" t="s">
        <v>3663</v>
      </c>
      <c r="E3950" s="28">
        <v>46113.0</v>
      </c>
      <c r="F3950" s="28">
        <v>46171.0</v>
      </c>
      <c r="G3950" s="29"/>
    </row>
    <row r="3951" ht="15.75" customHeight="1">
      <c r="A3951" s="30" t="s">
        <v>7615</v>
      </c>
      <c r="B3951" s="31" t="s">
        <v>457</v>
      </c>
      <c r="C3951" s="31" t="s">
        <v>1208</v>
      </c>
      <c r="D3951" s="30" t="s">
        <v>3663</v>
      </c>
      <c r="E3951" s="32">
        <v>46113.0</v>
      </c>
      <c r="F3951" s="32">
        <v>46171.0</v>
      </c>
      <c r="G3951" s="33"/>
    </row>
    <row r="3952" ht="15.75" customHeight="1">
      <c r="A3952" s="26" t="s">
        <v>7616</v>
      </c>
      <c r="B3952" s="27" t="s">
        <v>457</v>
      </c>
      <c r="C3952" s="27" t="s">
        <v>1159</v>
      </c>
      <c r="D3952" s="26" t="s">
        <v>3663</v>
      </c>
      <c r="E3952" s="28">
        <v>46113.0</v>
      </c>
      <c r="F3952" s="28">
        <v>46171.0</v>
      </c>
      <c r="G3952" s="29"/>
    </row>
    <row r="3953" ht="15.75" customHeight="1">
      <c r="A3953" s="30" t="s">
        <v>7617</v>
      </c>
      <c r="B3953" s="31" t="s">
        <v>457</v>
      </c>
      <c r="C3953" s="31" t="s">
        <v>3647</v>
      </c>
      <c r="D3953" s="30" t="s">
        <v>3663</v>
      </c>
      <c r="E3953" s="32">
        <v>46113.0</v>
      </c>
      <c r="F3953" s="32">
        <v>46171.0</v>
      </c>
      <c r="G3953" s="33"/>
    </row>
    <row r="3954" ht="15.75" customHeight="1">
      <c r="A3954" s="26" t="s">
        <v>7618</v>
      </c>
      <c r="B3954" s="27" t="s">
        <v>457</v>
      </c>
      <c r="C3954" s="27" t="s">
        <v>952</v>
      </c>
      <c r="D3954" s="26" t="s">
        <v>3663</v>
      </c>
      <c r="E3954" s="28">
        <v>46113.0</v>
      </c>
      <c r="F3954" s="28">
        <v>46171.0</v>
      </c>
      <c r="G3954" s="29"/>
    </row>
    <row r="3955" ht="15.75" customHeight="1">
      <c r="A3955" s="30" t="s">
        <v>7619</v>
      </c>
      <c r="B3955" s="31" t="s">
        <v>457</v>
      </c>
      <c r="C3955" s="31" t="s">
        <v>1157</v>
      </c>
      <c r="D3955" s="30" t="s">
        <v>3663</v>
      </c>
      <c r="E3955" s="32">
        <v>46113.0</v>
      </c>
      <c r="F3955" s="32">
        <v>46171.0</v>
      </c>
      <c r="G3955" s="33"/>
    </row>
    <row r="3956" ht="15.75" customHeight="1">
      <c r="A3956" s="26" t="s">
        <v>7620</v>
      </c>
      <c r="B3956" s="27" t="s">
        <v>457</v>
      </c>
      <c r="C3956" s="27" t="s">
        <v>1155</v>
      </c>
      <c r="D3956" s="26" t="s">
        <v>3663</v>
      </c>
      <c r="E3956" s="28">
        <v>46113.0</v>
      </c>
      <c r="F3956" s="28">
        <v>46171.0</v>
      </c>
      <c r="G3956" s="29"/>
    </row>
    <row r="3957" ht="15.75" customHeight="1">
      <c r="A3957" s="30" t="s">
        <v>7621</v>
      </c>
      <c r="B3957" s="31" t="s">
        <v>457</v>
      </c>
      <c r="C3957" s="31" t="s">
        <v>1153</v>
      </c>
      <c r="D3957" s="30" t="s">
        <v>3663</v>
      </c>
      <c r="E3957" s="32">
        <v>46113.0</v>
      </c>
      <c r="F3957" s="32">
        <v>46171.0</v>
      </c>
      <c r="G3957" s="33"/>
    </row>
    <row r="3958" ht="15.75" customHeight="1">
      <c r="A3958" s="26" t="s">
        <v>7622</v>
      </c>
      <c r="B3958" s="27" t="s">
        <v>457</v>
      </c>
      <c r="C3958" s="27" t="s">
        <v>1149</v>
      </c>
      <c r="D3958" s="26" t="s">
        <v>3663</v>
      </c>
      <c r="E3958" s="28">
        <v>46113.0</v>
      </c>
      <c r="F3958" s="28">
        <v>46171.0</v>
      </c>
      <c r="G3958" s="29"/>
    </row>
    <row r="3959" ht="15.75" customHeight="1">
      <c r="A3959" s="30" t="s">
        <v>7623</v>
      </c>
      <c r="B3959" s="31" t="s">
        <v>457</v>
      </c>
      <c r="C3959" s="31" t="s">
        <v>3653</v>
      </c>
      <c r="D3959" s="31" t="s">
        <v>3663</v>
      </c>
      <c r="E3959" s="32">
        <v>46113.0</v>
      </c>
      <c r="F3959" s="32">
        <v>46171.0</v>
      </c>
      <c r="G3959" s="33"/>
    </row>
    <row r="3960" ht="15.75" customHeight="1">
      <c r="A3960" s="26" t="s">
        <v>7624</v>
      </c>
      <c r="B3960" s="27" t="s">
        <v>457</v>
      </c>
      <c r="C3960" s="27" t="s">
        <v>3652</v>
      </c>
      <c r="D3960" s="26" t="s">
        <v>3663</v>
      </c>
      <c r="E3960" s="28">
        <v>46113.0</v>
      </c>
      <c r="F3960" s="28">
        <v>46171.0</v>
      </c>
      <c r="G3960" s="29"/>
    </row>
    <row r="3961" ht="15.75" customHeight="1">
      <c r="A3961" s="30" t="s">
        <v>7625</v>
      </c>
      <c r="B3961" s="31" t="s">
        <v>457</v>
      </c>
      <c r="C3961" s="31" t="s">
        <v>965</v>
      </c>
      <c r="D3961" s="30" t="s">
        <v>3663</v>
      </c>
      <c r="E3961" s="32">
        <v>46113.0</v>
      </c>
      <c r="F3961" s="32">
        <v>46171.0</v>
      </c>
      <c r="G3961" s="33"/>
    </row>
    <row r="3962" ht="15.75" customHeight="1">
      <c r="A3962" s="26" t="s">
        <v>7626</v>
      </c>
      <c r="B3962" s="27" t="s">
        <v>457</v>
      </c>
      <c r="C3962" s="27" t="s">
        <v>923</v>
      </c>
      <c r="D3962" s="26" t="s">
        <v>3663</v>
      </c>
      <c r="E3962" s="28">
        <v>46113.0</v>
      </c>
      <c r="F3962" s="28">
        <v>46171.0</v>
      </c>
      <c r="G3962" s="29"/>
    </row>
    <row r="3963" ht="15.75" customHeight="1">
      <c r="A3963" s="30" t="s">
        <v>7627</v>
      </c>
      <c r="B3963" s="31" t="s">
        <v>458</v>
      </c>
      <c r="C3963" s="31" t="s">
        <v>1240</v>
      </c>
      <c r="D3963" s="30" t="s">
        <v>3663</v>
      </c>
      <c r="E3963" s="32">
        <v>46113.0</v>
      </c>
      <c r="F3963" s="32">
        <v>46171.0</v>
      </c>
      <c r="G3963" s="33"/>
    </row>
    <row r="3964" ht="15.75" customHeight="1">
      <c r="A3964" s="26" t="s">
        <v>7628</v>
      </c>
      <c r="B3964" s="27" t="s">
        <v>458</v>
      </c>
      <c r="C3964" s="27" t="s">
        <v>1242</v>
      </c>
      <c r="D3964" s="26" t="s">
        <v>3663</v>
      </c>
      <c r="E3964" s="28">
        <v>46113.0</v>
      </c>
      <c r="F3964" s="28">
        <v>46171.0</v>
      </c>
      <c r="G3964" s="29"/>
    </row>
    <row r="3965" ht="15.75" customHeight="1">
      <c r="A3965" s="30" t="s">
        <v>7629</v>
      </c>
      <c r="B3965" s="31" t="s">
        <v>458</v>
      </c>
      <c r="C3965" s="31" t="s">
        <v>1244</v>
      </c>
      <c r="D3965" s="30" t="s">
        <v>3663</v>
      </c>
      <c r="E3965" s="32">
        <v>46113.0</v>
      </c>
      <c r="F3965" s="32">
        <v>46171.0</v>
      </c>
      <c r="G3965" s="33"/>
    </row>
    <row r="3966" ht="15.75" customHeight="1">
      <c r="A3966" s="26" t="s">
        <v>7630</v>
      </c>
      <c r="B3966" s="27" t="s">
        <v>458</v>
      </c>
      <c r="C3966" s="27" t="s">
        <v>1246</v>
      </c>
      <c r="D3966" s="26" t="s">
        <v>3663</v>
      </c>
      <c r="E3966" s="28">
        <v>46113.0</v>
      </c>
      <c r="F3966" s="28">
        <v>46171.0</v>
      </c>
      <c r="G3966" s="29"/>
    </row>
    <row r="3967" ht="15.75" customHeight="1">
      <c r="A3967" s="30" t="s">
        <v>7631</v>
      </c>
      <c r="B3967" s="31" t="s">
        <v>458</v>
      </c>
      <c r="C3967" s="31" t="s">
        <v>934</v>
      </c>
      <c r="D3967" s="30" t="s">
        <v>3663</v>
      </c>
      <c r="E3967" s="32">
        <v>46113.0</v>
      </c>
      <c r="F3967" s="32">
        <v>46171.0</v>
      </c>
      <c r="G3967" s="33"/>
    </row>
    <row r="3968" ht="15.75" customHeight="1">
      <c r="A3968" s="26" t="s">
        <v>7632</v>
      </c>
      <c r="B3968" s="27" t="s">
        <v>458</v>
      </c>
      <c r="C3968" s="27" t="s">
        <v>1354</v>
      </c>
      <c r="D3968" s="26" t="s">
        <v>3663</v>
      </c>
      <c r="E3968" s="28">
        <v>46113.0</v>
      </c>
      <c r="F3968" s="28">
        <v>46171.0</v>
      </c>
      <c r="G3968" s="29"/>
    </row>
    <row r="3969" ht="15.75" customHeight="1">
      <c r="A3969" s="30" t="s">
        <v>7633</v>
      </c>
      <c r="B3969" s="31" t="s">
        <v>458</v>
      </c>
      <c r="C3969" s="31" t="s">
        <v>1208</v>
      </c>
      <c r="D3969" s="30" t="s">
        <v>3663</v>
      </c>
      <c r="E3969" s="32">
        <v>46113.0</v>
      </c>
      <c r="F3969" s="32">
        <v>46171.0</v>
      </c>
      <c r="G3969" s="33"/>
    </row>
    <row r="3970" ht="15.75" customHeight="1">
      <c r="A3970" s="26" t="s">
        <v>7634</v>
      </c>
      <c r="B3970" s="27" t="s">
        <v>458</v>
      </c>
      <c r="C3970" s="27" t="s">
        <v>1159</v>
      </c>
      <c r="D3970" s="26" t="s">
        <v>3663</v>
      </c>
      <c r="E3970" s="28">
        <v>46113.0</v>
      </c>
      <c r="F3970" s="28">
        <v>46171.0</v>
      </c>
      <c r="G3970" s="29"/>
    </row>
    <row r="3971" ht="15.75" customHeight="1">
      <c r="A3971" s="30" t="s">
        <v>7635</v>
      </c>
      <c r="B3971" s="31" t="s">
        <v>458</v>
      </c>
      <c r="C3971" s="31" t="s">
        <v>3656</v>
      </c>
      <c r="D3971" s="30" t="s">
        <v>3663</v>
      </c>
      <c r="E3971" s="32">
        <v>46113.0</v>
      </c>
      <c r="F3971" s="32">
        <v>46171.0</v>
      </c>
      <c r="G3971" s="33"/>
    </row>
    <row r="3972" ht="15.75" customHeight="1">
      <c r="A3972" s="26" t="s">
        <v>7636</v>
      </c>
      <c r="B3972" s="27" t="s">
        <v>458</v>
      </c>
      <c r="C3972" s="27" t="s">
        <v>3657</v>
      </c>
      <c r="D3972" s="26" t="s">
        <v>3663</v>
      </c>
      <c r="E3972" s="28">
        <v>46113.0</v>
      </c>
      <c r="F3972" s="28">
        <v>46171.0</v>
      </c>
      <c r="G3972" s="29"/>
    </row>
    <row r="3973" ht="15.75" customHeight="1">
      <c r="A3973" s="30" t="s">
        <v>7637</v>
      </c>
      <c r="B3973" s="31" t="s">
        <v>458</v>
      </c>
      <c r="C3973" s="31" t="s">
        <v>3647</v>
      </c>
      <c r="D3973" s="30" t="s">
        <v>3663</v>
      </c>
      <c r="E3973" s="32">
        <v>46113.0</v>
      </c>
      <c r="F3973" s="32">
        <v>46171.0</v>
      </c>
      <c r="G3973" s="33"/>
    </row>
    <row r="3974" ht="15.75" customHeight="1">
      <c r="A3974" s="26" t="s">
        <v>7638</v>
      </c>
      <c r="B3974" s="27" t="s">
        <v>458</v>
      </c>
      <c r="C3974" s="27" t="s">
        <v>952</v>
      </c>
      <c r="D3974" s="26" t="s">
        <v>3663</v>
      </c>
      <c r="E3974" s="28">
        <v>46113.0</v>
      </c>
      <c r="F3974" s="28">
        <v>46171.0</v>
      </c>
      <c r="G3974" s="29"/>
    </row>
    <row r="3975" ht="15.75" customHeight="1">
      <c r="A3975" s="30" t="s">
        <v>7639</v>
      </c>
      <c r="B3975" s="31" t="s">
        <v>458</v>
      </c>
      <c r="C3975" s="31" t="s">
        <v>965</v>
      </c>
      <c r="D3975" s="30" t="s">
        <v>3663</v>
      </c>
      <c r="E3975" s="32">
        <v>46113.0</v>
      </c>
      <c r="F3975" s="32">
        <v>46171.0</v>
      </c>
      <c r="G3975" s="33"/>
    </row>
    <row r="3976" ht="15.75" customHeight="1">
      <c r="A3976" s="26" t="s">
        <v>7640</v>
      </c>
      <c r="B3976" s="27" t="s">
        <v>458</v>
      </c>
      <c r="C3976" s="27" t="s">
        <v>923</v>
      </c>
      <c r="D3976" s="26" t="s">
        <v>3663</v>
      </c>
      <c r="E3976" s="28">
        <v>46113.0</v>
      </c>
      <c r="F3976" s="28">
        <v>46171.0</v>
      </c>
      <c r="G3976" s="29"/>
    </row>
    <row r="3977" ht="15.75" customHeight="1">
      <c r="A3977" s="30" t="s">
        <v>7641</v>
      </c>
      <c r="B3977" s="31" t="s">
        <v>459</v>
      </c>
      <c r="C3977" s="31" t="s">
        <v>1240</v>
      </c>
      <c r="D3977" s="30" t="s">
        <v>3663</v>
      </c>
      <c r="E3977" s="32">
        <v>46113.0</v>
      </c>
      <c r="F3977" s="32">
        <v>46171.0</v>
      </c>
      <c r="G3977" s="33"/>
    </row>
    <row r="3978" ht="15.75" customHeight="1">
      <c r="A3978" s="26" t="s">
        <v>7642</v>
      </c>
      <c r="B3978" s="27" t="s">
        <v>459</v>
      </c>
      <c r="C3978" s="27" t="s">
        <v>1242</v>
      </c>
      <c r="D3978" s="26" t="s">
        <v>3663</v>
      </c>
      <c r="E3978" s="28">
        <v>46113.0</v>
      </c>
      <c r="F3978" s="28">
        <v>46171.0</v>
      </c>
      <c r="G3978" s="29"/>
    </row>
    <row r="3979" ht="15.75" customHeight="1">
      <c r="A3979" s="30" t="s">
        <v>7643</v>
      </c>
      <c r="B3979" s="31" t="s">
        <v>459</v>
      </c>
      <c r="C3979" s="31" t="s">
        <v>1244</v>
      </c>
      <c r="D3979" s="30" t="s">
        <v>3663</v>
      </c>
      <c r="E3979" s="32">
        <v>46113.0</v>
      </c>
      <c r="F3979" s="32">
        <v>46171.0</v>
      </c>
      <c r="G3979" s="33"/>
    </row>
    <row r="3980" ht="15.75" customHeight="1">
      <c r="A3980" s="26" t="s">
        <v>7644</v>
      </c>
      <c r="B3980" s="27" t="s">
        <v>459</v>
      </c>
      <c r="C3980" s="27" t="s">
        <v>1246</v>
      </c>
      <c r="D3980" s="26" t="s">
        <v>3663</v>
      </c>
      <c r="E3980" s="28">
        <v>46113.0</v>
      </c>
      <c r="F3980" s="28">
        <v>46171.0</v>
      </c>
      <c r="G3980" s="29"/>
    </row>
    <row r="3981" ht="15.75" customHeight="1">
      <c r="A3981" s="30" t="s">
        <v>7645</v>
      </c>
      <c r="B3981" s="31" t="s">
        <v>459</v>
      </c>
      <c r="C3981" s="31" t="s">
        <v>928</v>
      </c>
      <c r="D3981" s="30" t="s">
        <v>3663</v>
      </c>
      <c r="E3981" s="32">
        <v>46113.0</v>
      </c>
      <c r="F3981" s="32">
        <v>46171.0</v>
      </c>
      <c r="G3981" s="33"/>
    </row>
    <row r="3982" ht="15.75" customHeight="1">
      <c r="A3982" s="26" t="s">
        <v>7646</v>
      </c>
      <c r="B3982" s="27" t="s">
        <v>459</v>
      </c>
      <c r="C3982" s="27" t="s">
        <v>1354</v>
      </c>
      <c r="D3982" s="26" t="s">
        <v>3663</v>
      </c>
      <c r="E3982" s="28">
        <v>46113.0</v>
      </c>
      <c r="F3982" s="28">
        <v>46171.0</v>
      </c>
      <c r="G3982" s="29"/>
    </row>
    <row r="3983" ht="15.75" customHeight="1">
      <c r="A3983" s="30" t="s">
        <v>7647</v>
      </c>
      <c r="B3983" s="31" t="s">
        <v>459</v>
      </c>
      <c r="C3983" s="31" t="s">
        <v>3656</v>
      </c>
      <c r="D3983" s="30" t="s">
        <v>3663</v>
      </c>
      <c r="E3983" s="32">
        <v>46113.0</v>
      </c>
      <c r="F3983" s="32">
        <v>46171.0</v>
      </c>
      <c r="G3983" s="33"/>
    </row>
    <row r="3984" ht="15.75" customHeight="1">
      <c r="A3984" s="26" t="s">
        <v>7648</v>
      </c>
      <c r="B3984" s="27" t="s">
        <v>459</v>
      </c>
      <c r="C3984" s="27" t="s">
        <v>3657</v>
      </c>
      <c r="D3984" s="26" t="s">
        <v>3663</v>
      </c>
      <c r="E3984" s="28">
        <v>46113.0</v>
      </c>
      <c r="F3984" s="28">
        <v>46171.0</v>
      </c>
      <c r="G3984" s="29"/>
    </row>
    <row r="3985" ht="15.75" customHeight="1">
      <c r="A3985" s="30" t="s">
        <v>7649</v>
      </c>
      <c r="B3985" s="31" t="s">
        <v>459</v>
      </c>
      <c r="C3985" s="31" t="s">
        <v>3647</v>
      </c>
      <c r="D3985" s="30" t="s">
        <v>3663</v>
      </c>
      <c r="E3985" s="32">
        <v>46113.0</v>
      </c>
      <c r="F3985" s="32">
        <v>46171.0</v>
      </c>
      <c r="G3985" s="33"/>
    </row>
    <row r="3986" ht="15.75" customHeight="1">
      <c r="A3986" s="26" t="s">
        <v>7650</v>
      </c>
      <c r="B3986" s="27" t="s">
        <v>459</v>
      </c>
      <c r="C3986" s="27" t="s">
        <v>952</v>
      </c>
      <c r="D3986" s="26" t="s">
        <v>3663</v>
      </c>
      <c r="E3986" s="28">
        <v>46113.0</v>
      </c>
      <c r="F3986" s="28">
        <v>46171.0</v>
      </c>
      <c r="G3986" s="29"/>
    </row>
    <row r="3987" ht="15.75" customHeight="1">
      <c r="A3987" s="30" t="s">
        <v>7651</v>
      </c>
      <c r="B3987" s="31" t="s">
        <v>459</v>
      </c>
      <c r="C3987" s="31" t="s">
        <v>1216</v>
      </c>
      <c r="D3987" s="30" t="s">
        <v>3663</v>
      </c>
      <c r="E3987" s="32">
        <v>46113.0</v>
      </c>
      <c r="F3987" s="32">
        <v>46171.0</v>
      </c>
      <c r="G3987" s="33"/>
    </row>
    <row r="3988" ht="15.75" customHeight="1">
      <c r="A3988" s="26" t="s">
        <v>7652</v>
      </c>
      <c r="B3988" s="27" t="s">
        <v>459</v>
      </c>
      <c r="C3988" s="27" t="s">
        <v>1218</v>
      </c>
      <c r="D3988" s="26" t="s">
        <v>3663</v>
      </c>
      <c r="E3988" s="28">
        <v>46113.0</v>
      </c>
      <c r="F3988" s="28">
        <v>46171.0</v>
      </c>
      <c r="G3988" s="29"/>
    </row>
    <row r="3989" ht="15.75" customHeight="1">
      <c r="A3989" s="30" t="s">
        <v>7653</v>
      </c>
      <c r="B3989" s="31" t="s">
        <v>459</v>
      </c>
      <c r="C3989" s="31" t="s">
        <v>968</v>
      </c>
      <c r="D3989" s="30" t="s">
        <v>3663</v>
      </c>
      <c r="E3989" s="32">
        <v>46113.0</v>
      </c>
      <c r="F3989" s="32">
        <v>46171.0</v>
      </c>
      <c r="G3989" s="33"/>
    </row>
    <row r="3990" ht="15.75" customHeight="1">
      <c r="A3990" s="26" t="s">
        <v>7654</v>
      </c>
      <c r="B3990" s="27" t="s">
        <v>459</v>
      </c>
      <c r="C3990" s="27" t="s">
        <v>923</v>
      </c>
      <c r="D3990" s="26" t="s">
        <v>3663</v>
      </c>
      <c r="E3990" s="28">
        <v>46113.0</v>
      </c>
      <c r="F3990" s="28">
        <v>46171.0</v>
      </c>
      <c r="G3990" s="29"/>
    </row>
    <row r="3991" ht="15.75" customHeight="1">
      <c r="A3991" s="30" t="s">
        <v>7655</v>
      </c>
      <c r="B3991" s="31" t="s">
        <v>460</v>
      </c>
      <c r="C3991" s="31" t="s">
        <v>3654</v>
      </c>
      <c r="D3991" s="30" t="s">
        <v>3663</v>
      </c>
      <c r="E3991" s="32">
        <v>46113.0</v>
      </c>
      <c r="F3991" s="32">
        <v>46171.0</v>
      </c>
      <c r="G3991" s="33"/>
    </row>
    <row r="3992" ht="15.75" customHeight="1">
      <c r="A3992" s="26" t="s">
        <v>7656</v>
      </c>
      <c r="B3992" s="27" t="s">
        <v>460</v>
      </c>
      <c r="C3992" s="27" t="s">
        <v>3655</v>
      </c>
      <c r="D3992" s="26" t="s">
        <v>3663</v>
      </c>
      <c r="E3992" s="28">
        <v>46113.0</v>
      </c>
      <c r="F3992" s="28">
        <v>46171.0</v>
      </c>
      <c r="G3992" s="29"/>
    </row>
    <row r="3993" ht="15.75" customHeight="1">
      <c r="A3993" s="30" t="s">
        <v>7657</v>
      </c>
      <c r="B3993" s="31" t="s">
        <v>460</v>
      </c>
      <c r="C3993" s="31" t="s">
        <v>930</v>
      </c>
      <c r="D3993" s="31" t="s">
        <v>3663</v>
      </c>
      <c r="E3993" s="32">
        <v>46113.0</v>
      </c>
      <c r="F3993" s="32">
        <v>46171.0</v>
      </c>
      <c r="G3993" s="33"/>
    </row>
    <row r="3994" ht="15.75" customHeight="1">
      <c r="A3994" s="26" t="s">
        <v>7658</v>
      </c>
      <c r="B3994" s="27" t="s">
        <v>460</v>
      </c>
      <c r="C3994" s="27" t="s">
        <v>1354</v>
      </c>
      <c r="D3994" s="26" t="s">
        <v>3663</v>
      </c>
      <c r="E3994" s="28">
        <v>46113.0</v>
      </c>
      <c r="F3994" s="28">
        <v>46171.0</v>
      </c>
      <c r="G3994" s="29"/>
    </row>
    <row r="3995" ht="15.75" customHeight="1">
      <c r="A3995" s="30" t="s">
        <v>7659</v>
      </c>
      <c r="B3995" s="31" t="s">
        <v>460</v>
      </c>
      <c r="C3995" s="31" t="s">
        <v>1304</v>
      </c>
      <c r="D3995" s="31" t="s">
        <v>3663</v>
      </c>
      <c r="E3995" s="32">
        <v>46113.0</v>
      </c>
      <c r="F3995" s="32">
        <v>46171.0</v>
      </c>
      <c r="G3995" s="33"/>
    </row>
    <row r="3996" ht="15.75" customHeight="1">
      <c r="A3996" s="26" t="s">
        <v>7660</v>
      </c>
      <c r="B3996" s="27" t="s">
        <v>460</v>
      </c>
      <c r="C3996" s="27" t="s">
        <v>1306</v>
      </c>
      <c r="D3996" s="27" t="s">
        <v>3663</v>
      </c>
      <c r="E3996" s="28">
        <v>46113.0</v>
      </c>
      <c r="F3996" s="28">
        <v>46171.0</v>
      </c>
      <c r="G3996" s="29"/>
    </row>
    <row r="3997" ht="15.75" customHeight="1">
      <c r="A3997" s="30" t="s">
        <v>7661</v>
      </c>
      <c r="B3997" s="31" t="s">
        <v>460</v>
      </c>
      <c r="C3997" s="31" t="s">
        <v>1308</v>
      </c>
      <c r="D3997" s="31" t="s">
        <v>3663</v>
      </c>
      <c r="E3997" s="32">
        <v>46113.0</v>
      </c>
      <c r="F3997" s="32">
        <v>46171.0</v>
      </c>
      <c r="G3997" s="33"/>
    </row>
    <row r="3998" ht="15.75" customHeight="1">
      <c r="A3998" s="26" t="s">
        <v>7662</v>
      </c>
      <c r="B3998" s="27" t="s">
        <v>460</v>
      </c>
      <c r="C3998" s="27" t="s">
        <v>1310</v>
      </c>
      <c r="D3998" s="27" t="s">
        <v>3663</v>
      </c>
      <c r="E3998" s="28">
        <v>46113.0</v>
      </c>
      <c r="F3998" s="28">
        <v>46171.0</v>
      </c>
      <c r="G3998" s="29"/>
    </row>
    <row r="3999" ht="15.75" customHeight="1">
      <c r="A3999" s="30" t="s">
        <v>7663</v>
      </c>
      <c r="B3999" s="31" t="s">
        <v>460</v>
      </c>
      <c r="C3999" s="31" t="s">
        <v>1159</v>
      </c>
      <c r="D3999" s="30" t="s">
        <v>3663</v>
      </c>
      <c r="E3999" s="32">
        <v>46113.0</v>
      </c>
      <c r="F3999" s="32">
        <v>46171.0</v>
      </c>
      <c r="G3999" s="33"/>
    </row>
    <row r="4000" ht="15.75" customHeight="1">
      <c r="A4000" s="26" t="s">
        <v>7664</v>
      </c>
      <c r="B4000" s="27" t="s">
        <v>460</v>
      </c>
      <c r="C4000" s="27" t="s">
        <v>1216</v>
      </c>
      <c r="D4000" s="26" t="s">
        <v>3663</v>
      </c>
      <c r="E4000" s="28">
        <v>46113.0</v>
      </c>
      <c r="F4000" s="28">
        <v>46171.0</v>
      </c>
      <c r="G4000" s="29"/>
    </row>
    <row r="4001" ht="15.75" customHeight="1">
      <c r="A4001" s="30" t="s">
        <v>7665</v>
      </c>
      <c r="B4001" s="31" t="s">
        <v>460</v>
      </c>
      <c r="C4001" s="31" t="s">
        <v>1351</v>
      </c>
      <c r="D4001" s="30" t="s">
        <v>3663</v>
      </c>
      <c r="E4001" s="32">
        <v>46113.0</v>
      </c>
      <c r="F4001" s="32">
        <v>46171.0</v>
      </c>
      <c r="G4001" s="33"/>
    </row>
    <row r="4002" ht="15.75" customHeight="1">
      <c r="A4002" s="26" t="s">
        <v>7666</v>
      </c>
      <c r="B4002" s="27" t="s">
        <v>460</v>
      </c>
      <c r="C4002" s="27" t="s">
        <v>1349</v>
      </c>
      <c r="D4002" s="26" t="s">
        <v>3663</v>
      </c>
      <c r="E4002" s="28">
        <v>46113.0</v>
      </c>
      <c r="F4002" s="28">
        <v>46171.0</v>
      </c>
      <c r="G4002" s="29"/>
    </row>
    <row r="4003" ht="15.75" customHeight="1">
      <c r="A4003" s="30" t="s">
        <v>7667</v>
      </c>
      <c r="B4003" s="31" t="s">
        <v>460</v>
      </c>
      <c r="C4003" s="31" t="s">
        <v>968</v>
      </c>
      <c r="D4003" s="30" t="s">
        <v>3663</v>
      </c>
      <c r="E4003" s="32">
        <v>46113.0</v>
      </c>
      <c r="F4003" s="32">
        <v>46171.0</v>
      </c>
      <c r="G4003" s="33"/>
    </row>
    <row r="4004" ht="15.75" customHeight="1">
      <c r="A4004" s="26" t="s">
        <v>7668</v>
      </c>
      <c r="B4004" s="27" t="s">
        <v>460</v>
      </c>
      <c r="C4004" s="27" t="s">
        <v>923</v>
      </c>
      <c r="D4004" s="27" t="s">
        <v>3663</v>
      </c>
      <c r="E4004" s="28">
        <v>46113.0</v>
      </c>
      <c r="F4004" s="28">
        <v>46171.0</v>
      </c>
      <c r="G4004" s="29"/>
    </row>
    <row r="4005" ht="15.75" customHeight="1">
      <c r="A4005" s="30" t="s">
        <v>7669</v>
      </c>
      <c r="B4005" s="31" t="s">
        <v>461</v>
      </c>
      <c r="C4005" s="31" t="s">
        <v>928</v>
      </c>
      <c r="D4005" s="30" t="s">
        <v>3663</v>
      </c>
      <c r="E4005" s="32">
        <v>46113.0</v>
      </c>
      <c r="F4005" s="32">
        <v>46171.0</v>
      </c>
      <c r="G4005" s="33"/>
    </row>
    <row r="4006" ht="15.75" customHeight="1">
      <c r="A4006" s="26" t="s">
        <v>7670</v>
      </c>
      <c r="B4006" s="27" t="s">
        <v>461</v>
      </c>
      <c r="C4006" s="27" t="s">
        <v>1354</v>
      </c>
      <c r="D4006" s="26" t="s">
        <v>3663</v>
      </c>
      <c r="E4006" s="28">
        <v>46113.0</v>
      </c>
      <c r="F4006" s="28">
        <v>46171.0</v>
      </c>
      <c r="G4006" s="29"/>
    </row>
    <row r="4007" ht="15.75" customHeight="1">
      <c r="A4007" s="30" t="s">
        <v>7671</v>
      </c>
      <c r="B4007" s="31" t="s">
        <v>461</v>
      </c>
      <c r="C4007" s="31" t="s">
        <v>1222</v>
      </c>
      <c r="D4007" s="30" t="s">
        <v>3663</v>
      </c>
      <c r="E4007" s="32">
        <v>46113.0</v>
      </c>
      <c r="F4007" s="32">
        <v>46171.0</v>
      </c>
      <c r="G4007" s="33"/>
    </row>
    <row r="4008" ht="15.75" customHeight="1">
      <c r="A4008" s="26" t="s">
        <v>7672</v>
      </c>
      <c r="B4008" s="27" t="s">
        <v>461</v>
      </c>
      <c r="C4008" s="27" t="s">
        <v>1224</v>
      </c>
      <c r="D4008" s="26" t="s">
        <v>3663</v>
      </c>
      <c r="E4008" s="28">
        <v>46113.0</v>
      </c>
      <c r="F4008" s="28">
        <v>46171.0</v>
      </c>
      <c r="G4008" s="29"/>
    </row>
    <row r="4009" ht="15.75" customHeight="1">
      <c r="A4009" s="30" t="s">
        <v>7673</v>
      </c>
      <c r="B4009" s="31" t="s">
        <v>461</v>
      </c>
      <c r="C4009" s="31" t="s">
        <v>1226</v>
      </c>
      <c r="D4009" s="30" t="s">
        <v>3663</v>
      </c>
      <c r="E4009" s="32">
        <v>46113.0</v>
      </c>
      <c r="F4009" s="32">
        <v>46171.0</v>
      </c>
      <c r="G4009" s="33"/>
    </row>
    <row r="4010" ht="15.75" customHeight="1">
      <c r="A4010" s="26" t="s">
        <v>7674</v>
      </c>
      <c r="B4010" s="27" t="s">
        <v>461</v>
      </c>
      <c r="C4010" s="27" t="s">
        <v>1228</v>
      </c>
      <c r="D4010" s="26" t="s">
        <v>3663</v>
      </c>
      <c r="E4010" s="28">
        <v>46113.0</v>
      </c>
      <c r="F4010" s="28">
        <v>46171.0</v>
      </c>
      <c r="G4010" s="29"/>
    </row>
    <row r="4011" ht="15.75" customHeight="1">
      <c r="A4011" s="30" t="s">
        <v>7675</v>
      </c>
      <c r="B4011" s="31" t="s">
        <v>461</v>
      </c>
      <c r="C4011" s="31" t="s">
        <v>1312</v>
      </c>
      <c r="D4011" s="30" t="s">
        <v>3663</v>
      </c>
      <c r="E4011" s="32">
        <v>46113.0</v>
      </c>
      <c r="F4011" s="32">
        <v>46171.0</v>
      </c>
      <c r="G4011" s="33"/>
    </row>
    <row r="4012" ht="15.75" customHeight="1">
      <c r="A4012" s="26" t="s">
        <v>7676</v>
      </c>
      <c r="B4012" s="27" t="s">
        <v>461</v>
      </c>
      <c r="C4012" s="27" t="s">
        <v>1216</v>
      </c>
      <c r="D4012" s="26" t="s">
        <v>3663</v>
      </c>
      <c r="E4012" s="28">
        <v>46113.0</v>
      </c>
      <c r="F4012" s="28">
        <v>46171.0</v>
      </c>
      <c r="G4012" s="29"/>
    </row>
    <row r="4013" ht="15.75" customHeight="1">
      <c r="A4013" s="30" t="s">
        <v>7677</v>
      </c>
      <c r="B4013" s="31" t="s">
        <v>461</v>
      </c>
      <c r="C4013" s="31" t="s">
        <v>1351</v>
      </c>
      <c r="D4013" s="30" t="s">
        <v>3663</v>
      </c>
      <c r="E4013" s="32">
        <v>46113.0</v>
      </c>
      <c r="F4013" s="32">
        <v>46171.0</v>
      </c>
      <c r="G4013" s="33"/>
    </row>
    <row r="4014" ht="15.75" customHeight="1">
      <c r="A4014" s="26" t="s">
        <v>7678</v>
      </c>
      <c r="B4014" s="27" t="s">
        <v>461</v>
      </c>
      <c r="C4014" s="27" t="s">
        <v>1349</v>
      </c>
      <c r="D4014" s="26" t="s">
        <v>3663</v>
      </c>
      <c r="E4014" s="28">
        <v>46113.0</v>
      </c>
      <c r="F4014" s="28">
        <v>46171.0</v>
      </c>
      <c r="G4014" s="29"/>
    </row>
    <row r="4015" ht="15.75" customHeight="1">
      <c r="A4015" s="30" t="s">
        <v>7679</v>
      </c>
      <c r="B4015" s="31" t="s">
        <v>461</v>
      </c>
      <c r="C4015" s="31" t="s">
        <v>3653</v>
      </c>
      <c r="D4015" s="31" t="s">
        <v>3663</v>
      </c>
      <c r="E4015" s="32">
        <v>46113.0</v>
      </c>
      <c r="F4015" s="32">
        <v>46171.0</v>
      </c>
      <c r="G4015" s="33"/>
    </row>
    <row r="4016" ht="15.75" customHeight="1">
      <c r="A4016" s="26" t="s">
        <v>7680</v>
      </c>
      <c r="B4016" s="27" t="s">
        <v>461</v>
      </c>
      <c r="C4016" s="27" t="s">
        <v>3652</v>
      </c>
      <c r="D4016" s="26" t="s">
        <v>3663</v>
      </c>
      <c r="E4016" s="28">
        <v>46113.0</v>
      </c>
      <c r="F4016" s="28">
        <v>46171.0</v>
      </c>
      <c r="G4016" s="29"/>
    </row>
    <row r="4017" ht="15.75" customHeight="1">
      <c r="A4017" s="30" t="s">
        <v>7681</v>
      </c>
      <c r="B4017" s="31" t="s">
        <v>461</v>
      </c>
      <c r="C4017" s="31" t="s">
        <v>968</v>
      </c>
      <c r="D4017" s="30" t="s">
        <v>3663</v>
      </c>
      <c r="E4017" s="32">
        <v>46113.0</v>
      </c>
      <c r="F4017" s="32">
        <v>46171.0</v>
      </c>
      <c r="G4017" s="33"/>
    </row>
    <row r="4018" ht="15.75" customHeight="1">
      <c r="A4018" s="26" t="s">
        <v>7682</v>
      </c>
      <c r="B4018" s="27" t="s">
        <v>461</v>
      </c>
      <c r="C4018" s="27" t="s">
        <v>923</v>
      </c>
      <c r="D4018" s="26" t="s">
        <v>3663</v>
      </c>
      <c r="E4018" s="28">
        <v>46113.0</v>
      </c>
      <c r="F4018" s="28">
        <v>46171.0</v>
      </c>
      <c r="G4018" s="29"/>
    </row>
    <row r="4019" ht="15.75" customHeight="1">
      <c r="A4019" s="30" t="s">
        <v>7683</v>
      </c>
      <c r="B4019" s="31" t="s">
        <v>462</v>
      </c>
      <c r="C4019" s="31" t="s">
        <v>930</v>
      </c>
      <c r="D4019" s="31" t="s">
        <v>3663</v>
      </c>
      <c r="E4019" s="32">
        <v>46113.0</v>
      </c>
      <c r="F4019" s="32">
        <v>46171.0</v>
      </c>
      <c r="G4019" s="33"/>
    </row>
    <row r="4020" ht="15.75" customHeight="1">
      <c r="A4020" s="26" t="s">
        <v>7684</v>
      </c>
      <c r="B4020" s="27" t="s">
        <v>462</v>
      </c>
      <c r="C4020" s="27" t="s">
        <v>1354</v>
      </c>
      <c r="D4020" s="26" t="s">
        <v>3663</v>
      </c>
      <c r="E4020" s="28">
        <v>46113.0</v>
      </c>
      <c r="F4020" s="28">
        <v>46171.0</v>
      </c>
      <c r="G4020" s="29"/>
    </row>
    <row r="4021" ht="15.75" customHeight="1">
      <c r="A4021" s="30" t="s">
        <v>7685</v>
      </c>
      <c r="B4021" s="31" t="s">
        <v>462</v>
      </c>
      <c r="C4021" s="31" t="s">
        <v>1304</v>
      </c>
      <c r="D4021" s="31" t="s">
        <v>3663</v>
      </c>
      <c r="E4021" s="32">
        <v>46113.0</v>
      </c>
      <c r="F4021" s="32">
        <v>46171.0</v>
      </c>
      <c r="G4021" s="33"/>
    </row>
    <row r="4022" ht="15.75" customHeight="1">
      <c r="A4022" s="26" t="s">
        <v>7686</v>
      </c>
      <c r="B4022" s="27" t="s">
        <v>462</v>
      </c>
      <c r="C4022" s="27" t="s">
        <v>1306</v>
      </c>
      <c r="D4022" s="27" t="s">
        <v>3663</v>
      </c>
      <c r="E4022" s="28">
        <v>46113.0</v>
      </c>
      <c r="F4022" s="28">
        <v>46171.0</v>
      </c>
      <c r="G4022" s="29"/>
    </row>
    <row r="4023" ht="15.75" customHeight="1">
      <c r="A4023" s="30" t="s">
        <v>7687</v>
      </c>
      <c r="B4023" s="31" t="s">
        <v>462</v>
      </c>
      <c r="C4023" s="31" t="s">
        <v>1308</v>
      </c>
      <c r="D4023" s="31" t="s">
        <v>3663</v>
      </c>
      <c r="E4023" s="32">
        <v>46113.0</v>
      </c>
      <c r="F4023" s="32">
        <v>46171.0</v>
      </c>
      <c r="G4023" s="33"/>
    </row>
    <row r="4024" ht="15.75" customHeight="1">
      <c r="A4024" s="26" t="s">
        <v>7688</v>
      </c>
      <c r="B4024" s="27" t="s">
        <v>462</v>
      </c>
      <c r="C4024" s="27" t="s">
        <v>1310</v>
      </c>
      <c r="D4024" s="27" t="s">
        <v>3663</v>
      </c>
      <c r="E4024" s="28">
        <v>46113.0</v>
      </c>
      <c r="F4024" s="28">
        <v>46171.0</v>
      </c>
      <c r="G4024" s="29"/>
    </row>
    <row r="4025" ht="15.75" customHeight="1">
      <c r="A4025" s="30" t="s">
        <v>7689</v>
      </c>
      <c r="B4025" s="31" t="s">
        <v>462</v>
      </c>
      <c r="C4025" s="31" t="s">
        <v>3656</v>
      </c>
      <c r="D4025" s="30" t="s">
        <v>3663</v>
      </c>
      <c r="E4025" s="32">
        <v>46113.0</v>
      </c>
      <c r="F4025" s="32">
        <v>46171.0</v>
      </c>
      <c r="G4025" s="33"/>
    </row>
    <row r="4026" ht="15.75" customHeight="1">
      <c r="A4026" s="26" t="s">
        <v>7690</v>
      </c>
      <c r="B4026" s="27" t="s">
        <v>462</v>
      </c>
      <c r="C4026" s="27" t="s">
        <v>3657</v>
      </c>
      <c r="D4026" s="26" t="s">
        <v>3663</v>
      </c>
      <c r="E4026" s="28">
        <v>46113.0</v>
      </c>
      <c r="F4026" s="28">
        <v>46171.0</v>
      </c>
      <c r="G4026" s="29"/>
    </row>
    <row r="4027" ht="15.75" customHeight="1">
      <c r="A4027" s="30" t="s">
        <v>7691</v>
      </c>
      <c r="B4027" s="31" t="s">
        <v>462</v>
      </c>
      <c r="C4027" s="31" t="s">
        <v>1216</v>
      </c>
      <c r="D4027" s="30" t="s">
        <v>3663</v>
      </c>
      <c r="E4027" s="32">
        <v>46113.0</v>
      </c>
      <c r="F4027" s="32">
        <v>46171.0</v>
      </c>
      <c r="G4027" s="33"/>
    </row>
    <row r="4028" ht="15.75" customHeight="1">
      <c r="A4028" s="26" t="s">
        <v>7692</v>
      </c>
      <c r="B4028" s="27" t="s">
        <v>462</v>
      </c>
      <c r="C4028" s="27" t="s">
        <v>1218</v>
      </c>
      <c r="D4028" s="26" t="s">
        <v>3663</v>
      </c>
      <c r="E4028" s="28">
        <v>46113.0</v>
      </c>
      <c r="F4028" s="28">
        <v>46171.0</v>
      </c>
      <c r="G4028" s="29"/>
    </row>
    <row r="4029" ht="15.75" customHeight="1">
      <c r="A4029" s="30" t="s">
        <v>7693</v>
      </c>
      <c r="B4029" s="31" t="s">
        <v>462</v>
      </c>
      <c r="C4029" s="31" t="s">
        <v>1351</v>
      </c>
      <c r="D4029" s="30" t="s">
        <v>3663</v>
      </c>
      <c r="E4029" s="32">
        <v>46113.0</v>
      </c>
      <c r="F4029" s="32">
        <v>46171.0</v>
      </c>
      <c r="G4029" s="33"/>
    </row>
    <row r="4030" ht="15.75" customHeight="1">
      <c r="A4030" s="26" t="s">
        <v>7694</v>
      </c>
      <c r="B4030" s="27" t="s">
        <v>462</v>
      </c>
      <c r="C4030" s="27" t="s">
        <v>1349</v>
      </c>
      <c r="D4030" s="26" t="s">
        <v>3663</v>
      </c>
      <c r="E4030" s="28">
        <v>46113.0</v>
      </c>
      <c r="F4030" s="28">
        <v>46171.0</v>
      </c>
      <c r="G4030" s="29"/>
    </row>
    <row r="4031" ht="15.75" customHeight="1">
      <c r="A4031" s="30" t="s">
        <v>7695</v>
      </c>
      <c r="B4031" s="31" t="s">
        <v>462</v>
      </c>
      <c r="C4031" s="31" t="s">
        <v>968</v>
      </c>
      <c r="D4031" s="30" t="s">
        <v>3663</v>
      </c>
      <c r="E4031" s="32">
        <v>46113.0</v>
      </c>
      <c r="F4031" s="32">
        <v>46171.0</v>
      </c>
      <c r="G4031" s="33"/>
    </row>
    <row r="4032" ht="15.75" customHeight="1">
      <c r="A4032" s="26" t="s">
        <v>7696</v>
      </c>
      <c r="B4032" s="27" t="s">
        <v>462</v>
      </c>
      <c r="C4032" s="27" t="s">
        <v>923</v>
      </c>
      <c r="D4032" s="27" t="s">
        <v>3663</v>
      </c>
      <c r="E4032" s="28">
        <v>46113.0</v>
      </c>
      <c r="F4032" s="28">
        <v>46171.0</v>
      </c>
      <c r="G4032" s="29"/>
    </row>
    <row r="4033" ht="15.75" customHeight="1">
      <c r="A4033" s="30" t="s">
        <v>7697</v>
      </c>
      <c r="B4033" s="31" t="s">
        <v>463</v>
      </c>
      <c r="C4033" s="31" t="s">
        <v>932</v>
      </c>
      <c r="D4033" s="30" t="s">
        <v>3663</v>
      </c>
      <c r="E4033" s="32">
        <v>46113.0</v>
      </c>
      <c r="F4033" s="32">
        <v>46171.0</v>
      </c>
      <c r="G4033" s="33"/>
    </row>
    <row r="4034" ht="15.75" customHeight="1">
      <c r="A4034" s="26" t="s">
        <v>7698</v>
      </c>
      <c r="B4034" s="27" t="s">
        <v>463</v>
      </c>
      <c r="C4034" s="27" t="s">
        <v>1168</v>
      </c>
      <c r="D4034" s="26" t="s">
        <v>3663</v>
      </c>
      <c r="E4034" s="28">
        <v>46113.0</v>
      </c>
      <c r="F4034" s="28">
        <v>46171.0</v>
      </c>
      <c r="G4034" s="29"/>
    </row>
    <row r="4035" ht="15.75" customHeight="1">
      <c r="A4035" s="30" t="s">
        <v>7699</v>
      </c>
      <c r="B4035" s="31" t="s">
        <v>463</v>
      </c>
      <c r="C4035" s="31" t="s">
        <v>1170</v>
      </c>
      <c r="D4035" s="30" t="s">
        <v>3663</v>
      </c>
      <c r="E4035" s="32">
        <v>46113.0</v>
      </c>
      <c r="F4035" s="32">
        <v>46171.0</v>
      </c>
      <c r="G4035" s="33"/>
    </row>
    <row r="4036" ht="15.75" customHeight="1">
      <c r="A4036" s="26" t="s">
        <v>7700</v>
      </c>
      <c r="B4036" s="27" t="s">
        <v>463</v>
      </c>
      <c r="C4036" s="27" t="s">
        <v>1288</v>
      </c>
      <c r="D4036" s="26" t="s">
        <v>3663</v>
      </c>
      <c r="E4036" s="28">
        <v>46113.0</v>
      </c>
      <c r="F4036" s="28">
        <v>46171.0</v>
      </c>
      <c r="G4036" s="29"/>
    </row>
    <row r="4037" ht="15.75" customHeight="1">
      <c r="A4037" s="30" t="s">
        <v>7701</v>
      </c>
      <c r="B4037" s="31" t="s">
        <v>463</v>
      </c>
      <c r="C4037" s="31" t="s">
        <v>1291</v>
      </c>
      <c r="D4037" s="30" t="s">
        <v>3663</v>
      </c>
      <c r="E4037" s="32">
        <v>46113.0</v>
      </c>
      <c r="F4037" s="32">
        <v>46171.0</v>
      </c>
      <c r="G4037" s="33"/>
    </row>
    <row r="4038" ht="15.75" customHeight="1">
      <c r="A4038" s="26" t="s">
        <v>7702</v>
      </c>
      <c r="B4038" s="27" t="s">
        <v>463</v>
      </c>
      <c r="C4038" s="27" t="s">
        <v>1354</v>
      </c>
      <c r="D4038" s="26" t="s">
        <v>3663</v>
      </c>
      <c r="E4038" s="28">
        <v>46113.0</v>
      </c>
      <c r="F4038" s="28">
        <v>46171.0</v>
      </c>
      <c r="G4038" s="29"/>
    </row>
    <row r="4039" ht="15.75" customHeight="1">
      <c r="A4039" s="30" t="s">
        <v>7703</v>
      </c>
      <c r="B4039" s="31" t="s">
        <v>463</v>
      </c>
      <c r="C4039" s="31" t="s">
        <v>3656</v>
      </c>
      <c r="D4039" s="30" t="s">
        <v>3663</v>
      </c>
      <c r="E4039" s="32">
        <v>46113.0</v>
      </c>
      <c r="F4039" s="32">
        <v>46171.0</v>
      </c>
      <c r="G4039" s="33"/>
    </row>
    <row r="4040" ht="15.75" customHeight="1">
      <c r="A4040" s="26" t="s">
        <v>7704</v>
      </c>
      <c r="B4040" s="27" t="s">
        <v>463</v>
      </c>
      <c r="C4040" s="27" t="s">
        <v>3657</v>
      </c>
      <c r="D4040" s="26" t="s">
        <v>3663</v>
      </c>
      <c r="E4040" s="28">
        <v>46113.0</v>
      </c>
      <c r="F4040" s="28">
        <v>46171.0</v>
      </c>
      <c r="G4040" s="29"/>
    </row>
    <row r="4041" ht="15.75" customHeight="1">
      <c r="A4041" s="30" t="s">
        <v>7705</v>
      </c>
      <c r="B4041" s="31" t="s">
        <v>463</v>
      </c>
      <c r="C4041" s="31" t="s">
        <v>1216</v>
      </c>
      <c r="D4041" s="30" t="s">
        <v>3663</v>
      </c>
      <c r="E4041" s="32">
        <v>46113.0</v>
      </c>
      <c r="F4041" s="32">
        <v>46171.0</v>
      </c>
      <c r="G4041" s="33"/>
    </row>
    <row r="4042" ht="15.75" customHeight="1">
      <c r="A4042" s="26" t="s">
        <v>7706</v>
      </c>
      <c r="B4042" s="27" t="s">
        <v>463</v>
      </c>
      <c r="C4042" s="27" t="s">
        <v>1218</v>
      </c>
      <c r="D4042" s="26" t="s">
        <v>3663</v>
      </c>
      <c r="E4042" s="28">
        <v>46113.0</v>
      </c>
      <c r="F4042" s="28">
        <v>46171.0</v>
      </c>
      <c r="G4042" s="29"/>
    </row>
    <row r="4043" ht="15.75" customHeight="1">
      <c r="A4043" s="30" t="s">
        <v>7707</v>
      </c>
      <c r="B4043" s="31" t="s">
        <v>463</v>
      </c>
      <c r="C4043" s="31" t="s">
        <v>1351</v>
      </c>
      <c r="D4043" s="30" t="s">
        <v>3663</v>
      </c>
      <c r="E4043" s="32">
        <v>46113.0</v>
      </c>
      <c r="F4043" s="32">
        <v>46171.0</v>
      </c>
      <c r="G4043" s="33"/>
    </row>
    <row r="4044" ht="15.75" customHeight="1">
      <c r="A4044" s="26" t="s">
        <v>7708</v>
      </c>
      <c r="B4044" s="27" t="s">
        <v>463</v>
      </c>
      <c r="C4044" s="27" t="s">
        <v>1349</v>
      </c>
      <c r="D4044" s="26" t="s">
        <v>3663</v>
      </c>
      <c r="E4044" s="28">
        <v>46113.0</v>
      </c>
      <c r="F4044" s="28">
        <v>46171.0</v>
      </c>
      <c r="G4044" s="29"/>
    </row>
    <row r="4045" ht="15.75" customHeight="1">
      <c r="A4045" s="30" t="s">
        <v>7709</v>
      </c>
      <c r="B4045" s="31" t="s">
        <v>463</v>
      </c>
      <c r="C4045" s="31" t="s">
        <v>968</v>
      </c>
      <c r="D4045" s="30" t="s">
        <v>3663</v>
      </c>
      <c r="E4045" s="32">
        <v>46113.0</v>
      </c>
      <c r="F4045" s="32">
        <v>46171.0</v>
      </c>
      <c r="G4045" s="33"/>
    </row>
    <row r="4046" ht="15.75" customHeight="1">
      <c r="A4046" s="26" t="s">
        <v>7710</v>
      </c>
      <c r="B4046" s="27" t="s">
        <v>463</v>
      </c>
      <c r="C4046" s="27" t="s">
        <v>923</v>
      </c>
      <c r="D4046" s="26" t="s">
        <v>3663</v>
      </c>
      <c r="E4046" s="28">
        <v>46113.0</v>
      </c>
      <c r="F4046" s="28">
        <v>46171.0</v>
      </c>
      <c r="G4046" s="29"/>
    </row>
    <row r="4047" ht="15.75" customHeight="1">
      <c r="A4047" s="30" t="s">
        <v>7711</v>
      </c>
      <c r="B4047" s="31" t="s">
        <v>464</v>
      </c>
      <c r="C4047" s="31" t="s">
        <v>1240</v>
      </c>
      <c r="D4047" s="30" t="s">
        <v>3663</v>
      </c>
      <c r="E4047" s="32">
        <v>46113.0</v>
      </c>
      <c r="F4047" s="32">
        <v>46171.0</v>
      </c>
      <c r="G4047" s="33"/>
    </row>
    <row r="4048" ht="15.75" customHeight="1">
      <c r="A4048" s="26" t="s">
        <v>7712</v>
      </c>
      <c r="B4048" s="27" t="s">
        <v>464</v>
      </c>
      <c r="C4048" s="27" t="s">
        <v>1242</v>
      </c>
      <c r="D4048" s="26" t="s">
        <v>3663</v>
      </c>
      <c r="E4048" s="28">
        <v>46113.0</v>
      </c>
      <c r="F4048" s="28">
        <v>46171.0</v>
      </c>
      <c r="G4048" s="29"/>
    </row>
    <row r="4049" ht="15.75" customHeight="1">
      <c r="A4049" s="30" t="s">
        <v>7713</v>
      </c>
      <c r="B4049" s="31" t="s">
        <v>464</v>
      </c>
      <c r="C4049" s="31" t="s">
        <v>1244</v>
      </c>
      <c r="D4049" s="30" t="s">
        <v>3663</v>
      </c>
      <c r="E4049" s="32">
        <v>46113.0</v>
      </c>
      <c r="F4049" s="32">
        <v>46171.0</v>
      </c>
      <c r="G4049" s="33"/>
    </row>
    <row r="4050" ht="15.75" customHeight="1">
      <c r="A4050" s="26" t="s">
        <v>7714</v>
      </c>
      <c r="B4050" s="27" t="s">
        <v>464</v>
      </c>
      <c r="C4050" s="27" t="s">
        <v>1246</v>
      </c>
      <c r="D4050" s="26" t="s">
        <v>3663</v>
      </c>
      <c r="E4050" s="28">
        <v>46113.0</v>
      </c>
      <c r="F4050" s="28">
        <v>46171.0</v>
      </c>
      <c r="G4050" s="29"/>
    </row>
    <row r="4051" ht="15.75" customHeight="1">
      <c r="A4051" s="30" t="s">
        <v>7715</v>
      </c>
      <c r="B4051" s="31" t="s">
        <v>464</v>
      </c>
      <c r="C4051" s="31" t="s">
        <v>934</v>
      </c>
      <c r="D4051" s="30" t="s">
        <v>3663</v>
      </c>
      <c r="E4051" s="32">
        <v>46113.0</v>
      </c>
      <c r="F4051" s="32">
        <v>46171.0</v>
      </c>
      <c r="G4051" s="33"/>
    </row>
    <row r="4052" ht="15.75" customHeight="1">
      <c r="A4052" s="26" t="s">
        <v>7716</v>
      </c>
      <c r="B4052" s="27" t="s">
        <v>464</v>
      </c>
      <c r="C4052" s="27" t="s">
        <v>1354</v>
      </c>
      <c r="D4052" s="26" t="s">
        <v>3663</v>
      </c>
      <c r="E4052" s="28">
        <v>46113.0</v>
      </c>
      <c r="F4052" s="28">
        <v>46171.0</v>
      </c>
      <c r="G4052" s="29"/>
    </row>
    <row r="4053" ht="15.75" customHeight="1">
      <c r="A4053" s="30" t="s">
        <v>7717</v>
      </c>
      <c r="B4053" s="31" t="s">
        <v>464</v>
      </c>
      <c r="C4053" s="31" t="s">
        <v>3656</v>
      </c>
      <c r="D4053" s="30" t="s">
        <v>3663</v>
      </c>
      <c r="E4053" s="32">
        <v>46113.0</v>
      </c>
      <c r="F4053" s="32">
        <v>46171.0</v>
      </c>
      <c r="G4053" s="33"/>
    </row>
    <row r="4054" ht="15.75" customHeight="1">
      <c r="A4054" s="26" t="s">
        <v>7718</v>
      </c>
      <c r="B4054" s="27" t="s">
        <v>464</v>
      </c>
      <c r="C4054" s="27" t="s">
        <v>3657</v>
      </c>
      <c r="D4054" s="26" t="s">
        <v>3663</v>
      </c>
      <c r="E4054" s="28">
        <v>46113.0</v>
      </c>
      <c r="F4054" s="28">
        <v>46171.0</v>
      </c>
      <c r="G4054" s="29"/>
    </row>
    <row r="4055" ht="15.75" customHeight="1">
      <c r="A4055" s="30" t="s">
        <v>7719</v>
      </c>
      <c r="B4055" s="31" t="s">
        <v>464</v>
      </c>
      <c r="C4055" s="31" t="s">
        <v>1351</v>
      </c>
      <c r="D4055" s="30" t="s">
        <v>3663</v>
      </c>
      <c r="E4055" s="32">
        <v>46113.0</v>
      </c>
      <c r="F4055" s="32">
        <v>46171.0</v>
      </c>
      <c r="G4055" s="33"/>
    </row>
    <row r="4056" ht="15.75" customHeight="1">
      <c r="A4056" s="26" t="s">
        <v>7720</v>
      </c>
      <c r="B4056" s="27" t="s">
        <v>464</v>
      </c>
      <c r="C4056" s="27" t="s">
        <v>1349</v>
      </c>
      <c r="D4056" s="26" t="s">
        <v>3663</v>
      </c>
      <c r="E4056" s="28">
        <v>46113.0</v>
      </c>
      <c r="F4056" s="28">
        <v>46171.0</v>
      </c>
      <c r="G4056" s="29"/>
    </row>
    <row r="4057" ht="15.75" customHeight="1">
      <c r="A4057" s="30" t="s">
        <v>7721</v>
      </c>
      <c r="B4057" s="31" t="s">
        <v>464</v>
      </c>
      <c r="C4057" s="31" t="s">
        <v>968</v>
      </c>
      <c r="D4057" s="30" t="s">
        <v>3663</v>
      </c>
      <c r="E4057" s="32">
        <v>46113.0</v>
      </c>
      <c r="F4057" s="32">
        <v>46171.0</v>
      </c>
      <c r="G4057" s="33"/>
    </row>
    <row r="4058" ht="15.75" customHeight="1">
      <c r="A4058" s="26" t="s">
        <v>7722</v>
      </c>
      <c r="B4058" s="27" t="s">
        <v>464</v>
      </c>
      <c r="C4058" s="27" t="s">
        <v>923</v>
      </c>
      <c r="D4058" s="26" t="s">
        <v>3663</v>
      </c>
      <c r="E4058" s="28">
        <v>46113.0</v>
      </c>
      <c r="F4058" s="28">
        <v>46171.0</v>
      </c>
      <c r="G4058" s="29"/>
    </row>
    <row r="4059" ht="15.75" customHeight="1">
      <c r="A4059" s="30" t="s">
        <v>7723</v>
      </c>
      <c r="B4059" s="31" t="s">
        <v>464</v>
      </c>
      <c r="C4059" s="31" t="s">
        <v>961</v>
      </c>
      <c r="D4059" s="30" t="s">
        <v>3663</v>
      </c>
      <c r="E4059" s="32">
        <v>46113.0</v>
      </c>
      <c r="F4059" s="32">
        <v>46171.0</v>
      </c>
      <c r="G4059" s="33"/>
    </row>
    <row r="4060" ht="15.75" customHeight="1">
      <c r="A4060" s="26" t="s">
        <v>7724</v>
      </c>
      <c r="B4060" s="27" t="s">
        <v>464</v>
      </c>
      <c r="C4060" s="27" t="s">
        <v>955</v>
      </c>
      <c r="D4060" s="26" t="s">
        <v>3663</v>
      </c>
      <c r="E4060" s="28">
        <v>46113.0</v>
      </c>
      <c r="F4060" s="28">
        <v>46171.0</v>
      </c>
      <c r="G4060" s="29"/>
    </row>
    <row r="4061" ht="15.75" customHeight="1">
      <c r="A4061" s="30" t="s">
        <v>7725</v>
      </c>
      <c r="B4061" s="31" t="s">
        <v>465</v>
      </c>
      <c r="C4061" s="31" t="s">
        <v>930</v>
      </c>
      <c r="D4061" s="30" t="s">
        <v>3663</v>
      </c>
      <c r="E4061" s="32">
        <v>46113.0</v>
      </c>
      <c r="F4061" s="32">
        <v>46171.0</v>
      </c>
      <c r="G4061" s="33"/>
    </row>
    <row r="4062" ht="15.75" customHeight="1">
      <c r="A4062" s="26" t="s">
        <v>7726</v>
      </c>
      <c r="B4062" s="27" t="s">
        <v>465</v>
      </c>
      <c r="C4062" s="27" t="s">
        <v>1354</v>
      </c>
      <c r="D4062" s="26" t="s">
        <v>3663</v>
      </c>
      <c r="E4062" s="28">
        <v>46113.0</v>
      </c>
      <c r="F4062" s="28">
        <v>46171.0</v>
      </c>
      <c r="G4062" s="29"/>
    </row>
    <row r="4063" ht="15.75" customHeight="1">
      <c r="A4063" s="30" t="s">
        <v>7727</v>
      </c>
      <c r="B4063" s="31" t="s">
        <v>465</v>
      </c>
      <c r="C4063" s="31" t="s">
        <v>3605</v>
      </c>
      <c r="D4063" s="30" t="s">
        <v>3663</v>
      </c>
      <c r="E4063" s="32">
        <v>46113.0</v>
      </c>
      <c r="F4063" s="32">
        <v>46171.0</v>
      </c>
      <c r="G4063" s="33"/>
    </row>
    <row r="4064" ht="15.75" customHeight="1">
      <c r="A4064" s="26" t="s">
        <v>7728</v>
      </c>
      <c r="B4064" s="27" t="s">
        <v>465</v>
      </c>
      <c r="C4064" s="27" t="s">
        <v>1208</v>
      </c>
      <c r="D4064" s="26" t="s">
        <v>3663</v>
      </c>
      <c r="E4064" s="28">
        <v>46113.0</v>
      </c>
      <c r="F4064" s="28">
        <v>46171.0</v>
      </c>
      <c r="G4064" s="29"/>
    </row>
    <row r="4065" ht="15.75" customHeight="1">
      <c r="A4065" s="30" t="s">
        <v>7729</v>
      </c>
      <c r="B4065" s="31" t="s">
        <v>465</v>
      </c>
      <c r="C4065" s="31" t="s">
        <v>1157</v>
      </c>
      <c r="D4065" s="30" t="s">
        <v>3663</v>
      </c>
      <c r="E4065" s="32">
        <v>46113.0</v>
      </c>
      <c r="F4065" s="32">
        <v>46171.0</v>
      </c>
      <c r="G4065" s="33"/>
    </row>
    <row r="4066" ht="15.75" customHeight="1">
      <c r="A4066" s="26" t="s">
        <v>7730</v>
      </c>
      <c r="B4066" s="27" t="s">
        <v>465</v>
      </c>
      <c r="C4066" s="27" t="s">
        <v>1155</v>
      </c>
      <c r="D4066" s="26" t="s">
        <v>3663</v>
      </c>
      <c r="E4066" s="28">
        <v>46113.0</v>
      </c>
      <c r="F4066" s="28">
        <v>46171.0</v>
      </c>
      <c r="G4066" s="29"/>
    </row>
    <row r="4067" ht="15.75" customHeight="1">
      <c r="A4067" s="30" t="s">
        <v>7731</v>
      </c>
      <c r="B4067" s="31" t="s">
        <v>465</v>
      </c>
      <c r="C4067" s="31" t="s">
        <v>1153</v>
      </c>
      <c r="D4067" s="30" t="s">
        <v>3663</v>
      </c>
      <c r="E4067" s="32">
        <v>46113.0</v>
      </c>
      <c r="F4067" s="32">
        <v>46171.0</v>
      </c>
      <c r="G4067" s="33"/>
    </row>
    <row r="4068" ht="15.75" customHeight="1">
      <c r="A4068" s="26" t="s">
        <v>7732</v>
      </c>
      <c r="B4068" s="27" t="s">
        <v>465</v>
      </c>
      <c r="C4068" s="27" t="s">
        <v>1149</v>
      </c>
      <c r="D4068" s="26" t="s">
        <v>3663</v>
      </c>
      <c r="E4068" s="28">
        <v>46113.0</v>
      </c>
      <c r="F4068" s="28">
        <v>46171.0</v>
      </c>
      <c r="G4068" s="29"/>
    </row>
    <row r="4069" ht="15.75" customHeight="1">
      <c r="A4069" s="30" t="s">
        <v>7733</v>
      </c>
      <c r="B4069" s="31" t="s">
        <v>465</v>
      </c>
      <c r="C4069" s="31" t="s">
        <v>1351</v>
      </c>
      <c r="D4069" s="30" t="s">
        <v>3663</v>
      </c>
      <c r="E4069" s="32">
        <v>46113.0</v>
      </c>
      <c r="F4069" s="32">
        <v>46171.0</v>
      </c>
      <c r="G4069" s="33"/>
    </row>
    <row r="4070" ht="15.75" customHeight="1">
      <c r="A4070" s="26" t="s">
        <v>7734</v>
      </c>
      <c r="B4070" s="27" t="s">
        <v>465</v>
      </c>
      <c r="C4070" s="27" t="s">
        <v>1349</v>
      </c>
      <c r="D4070" s="26" t="s">
        <v>3663</v>
      </c>
      <c r="E4070" s="28">
        <v>46113.0</v>
      </c>
      <c r="F4070" s="28">
        <v>46171.0</v>
      </c>
      <c r="G4070" s="29"/>
    </row>
    <row r="4071" ht="15.75" customHeight="1">
      <c r="A4071" s="30" t="s">
        <v>7735</v>
      </c>
      <c r="B4071" s="31" t="s">
        <v>465</v>
      </c>
      <c r="C4071" s="31" t="s">
        <v>3653</v>
      </c>
      <c r="D4071" s="31" t="s">
        <v>3663</v>
      </c>
      <c r="E4071" s="32">
        <v>46113.0</v>
      </c>
      <c r="F4071" s="32">
        <v>46171.0</v>
      </c>
      <c r="G4071" s="33"/>
    </row>
    <row r="4072" ht="15.75" customHeight="1">
      <c r="A4072" s="26" t="s">
        <v>7736</v>
      </c>
      <c r="B4072" s="27" t="s">
        <v>465</v>
      </c>
      <c r="C4072" s="27" t="s">
        <v>3652</v>
      </c>
      <c r="D4072" s="26" t="s">
        <v>3663</v>
      </c>
      <c r="E4072" s="28">
        <v>46113.0</v>
      </c>
      <c r="F4072" s="28">
        <v>46171.0</v>
      </c>
      <c r="G4072" s="29"/>
    </row>
    <row r="4073" ht="15.75" customHeight="1">
      <c r="A4073" s="30" t="s">
        <v>7737</v>
      </c>
      <c r="B4073" s="31" t="s">
        <v>465</v>
      </c>
      <c r="C4073" s="31" t="s">
        <v>968</v>
      </c>
      <c r="D4073" s="30" t="s">
        <v>3663</v>
      </c>
      <c r="E4073" s="32">
        <v>46113.0</v>
      </c>
      <c r="F4073" s="32">
        <v>46171.0</v>
      </c>
      <c r="G4073" s="33"/>
    </row>
    <row r="4074" ht="15.75" customHeight="1">
      <c r="A4074" s="26" t="s">
        <v>7738</v>
      </c>
      <c r="B4074" s="27" t="s">
        <v>465</v>
      </c>
      <c r="C4074" s="27" t="s">
        <v>923</v>
      </c>
      <c r="D4074" s="26" t="s">
        <v>3663</v>
      </c>
      <c r="E4074" s="28">
        <v>46113.0</v>
      </c>
      <c r="F4074" s="28">
        <v>46171.0</v>
      </c>
      <c r="G4074" s="29"/>
    </row>
    <row r="4075" ht="15.75" customHeight="1">
      <c r="A4075" s="30" t="s">
        <v>7739</v>
      </c>
      <c r="B4075" s="31" t="s">
        <v>466</v>
      </c>
      <c r="C4075" s="31" t="s">
        <v>1240</v>
      </c>
      <c r="D4075" s="30" t="s">
        <v>3663</v>
      </c>
      <c r="E4075" s="32">
        <v>46113.0</v>
      </c>
      <c r="F4075" s="32">
        <v>46171.0</v>
      </c>
      <c r="G4075" s="33"/>
    </row>
    <row r="4076" ht="15.75" customHeight="1">
      <c r="A4076" s="26" t="s">
        <v>7740</v>
      </c>
      <c r="B4076" s="27" t="s">
        <v>466</v>
      </c>
      <c r="C4076" s="27" t="s">
        <v>1242</v>
      </c>
      <c r="D4076" s="26" t="s">
        <v>3663</v>
      </c>
      <c r="E4076" s="28">
        <v>46113.0</v>
      </c>
      <c r="F4076" s="28">
        <v>46171.0</v>
      </c>
      <c r="G4076" s="29"/>
    </row>
    <row r="4077" ht="15.75" customHeight="1">
      <c r="A4077" s="30" t="s">
        <v>7741</v>
      </c>
      <c r="B4077" s="31" t="s">
        <v>466</v>
      </c>
      <c r="C4077" s="31" t="s">
        <v>1244</v>
      </c>
      <c r="D4077" s="30" t="s">
        <v>3663</v>
      </c>
      <c r="E4077" s="32">
        <v>46113.0</v>
      </c>
      <c r="F4077" s="32">
        <v>46171.0</v>
      </c>
      <c r="G4077" s="33"/>
    </row>
    <row r="4078" ht="15.75" customHeight="1">
      <c r="A4078" s="26" t="s">
        <v>7742</v>
      </c>
      <c r="B4078" s="27" t="s">
        <v>466</v>
      </c>
      <c r="C4078" s="27" t="s">
        <v>1246</v>
      </c>
      <c r="D4078" s="26" t="s">
        <v>3663</v>
      </c>
      <c r="E4078" s="28">
        <v>46113.0</v>
      </c>
      <c r="F4078" s="28">
        <v>46171.0</v>
      </c>
      <c r="G4078" s="29"/>
    </row>
    <row r="4079" ht="15.75" customHeight="1">
      <c r="A4079" s="30" t="s">
        <v>7743</v>
      </c>
      <c r="B4079" s="31" t="s">
        <v>466</v>
      </c>
      <c r="C4079" s="31" t="s">
        <v>934</v>
      </c>
      <c r="D4079" s="30" t="s">
        <v>3663</v>
      </c>
      <c r="E4079" s="32">
        <v>46113.0</v>
      </c>
      <c r="F4079" s="32">
        <v>46171.0</v>
      </c>
      <c r="G4079" s="33"/>
    </row>
    <row r="4080" ht="15.75" customHeight="1">
      <c r="A4080" s="26" t="s">
        <v>7744</v>
      </c>
      <c r="B4080" s="27" t="s">
        <v>466</v>
      </c>
      <c r="C4080" s="27" t="s">
        <v>1354</v>
      </c>
      <c r="D4080" s="26" t="s">
        <v>3663</v>
      </c>
      <c r="E4080" s="28">
        <v>46113.0</v>
      </c>
      <c r="F4080" s="28">
        <v>46171.0</v>
      </c>
      <c r="G4080" s="29"/>
    </row>
    <row r="4081" ht="15.75" customHeight="1">
      <c r="A4081" s="30" t="s">
        <v>7745</v>
      </c>
      <c r="B4081" s="31" t="s">
        <v>466</v>
      </c>
      <c r="C4081" s="31" t="s">
        <v>1172</v>
      </c>
      <c r="D4081" s="30" t="s">
        <v>3663</v>
      </c>
      <c r="E4081" s="32">
        <v>46113.0</v>
      </c>
      <c r="F4081" s="32">
        <v>46171.0</v>
      </c>
      <c r="G4081" s="33"/>
    </row>
    <row r="4082" ht="15.75" customHeight="1">
      <c r="A4082" s="26" t="s">
        <v>7746</v>
      </c>
      <c r="B4082" s="27" t="s">
        <v>466</v>
      </c>
      <c r="C4082" s="27" t="s">
        <v>1312</v>
      </c>
      <c r="D4082" s="26" t="s">
        <v>3663</v>
      </c>
      <c r="E4082" s="28">
        <v>46113.0</v>
      </c>
      <c r="F4082" s="28">
        <v>46171.0</v>
      </c>
      <c r="G4082" s="29"/>
    </row>
    <row r="4083" ht="15.75" customHeight="1">
      <c r="A4083" s="30" t="s">
        <v>7747</v>
      </c>
      <c r="B4083" s="31" t="s">
        <v>466</v>
      </c>
      <c r="C4083" s="31" t="s">
        <v>3656</v>
      </c>
      <c r="D4083" s="30" t="s">
        <v>3663</v>
      </c>
      <c r="E4083" s="32">
        <v>46113.0</v>
      </c>
      <c r="F4083" s="32">
        <v>46171.0</v>
      </c>
      <c r="G4083" s="33"/>
    </row>
    <row r="4084" ht="15.75" customHeight="1">
      <c r="A4084" s="26" t="s">
        <v>7748</v>
      </c>
      <c r="B4084" s="27" t="s">
        <v>466</v>
      </c>
      <c r="C4084" s="27" t="s">
        <v>3657</v>
      </c>
      <c r="D4084" s="26" t="s">
        <v>3663</v>
      </c>
      <c r="E4084" s="28">
        <v>46113.0</v>
      </c>
      <c r="F4084" s="28">
        <v>46171.0</v>
      </c>
      <c r="G4084" s="29"/>
    </row>
    <row r="4085" ht="15.75" customHeight="1">
      <c r="A4085" s="30" t="s">
        <v>7749</v>
      </c>
      <c r="B4085" s="31" t="s">
        <v>466</v>
      </c>
      <c r="C4085" s="31" t="s">
        <v>1351</v>
      </c>
      <c r="D4085" s="30" t="s">
        <v>3663</v>
      </c>
      <c r="E4085" s="32">
        <v>46113.0</v>
      </c>
      <c r="F4085" s="32">
        <v>46171.0</v>
      </c>
      <c r="G4085" s="33"/>
    </row>
    <row r="4086" ht="15.75" customHeight="1">
      <c r="A4086" s="26" t="s">
        <v>7750</v>
      </c>
      <c r="B4086" s="27" t="s">
        <v>466</v>
      </c>
      <c r="C4086" s="27" t="s">
        <v>1349</v>
      </c>
      <c r="D4086" s="26" t="s">
        <v>3663</v>
      </c>
      <c r="E4086" s="28">
        <v>46113.0</v>
      </c>
      <c r="F4086" s="28">
        <v>46171.0</v>
      </c>
      <c r="G4086" s="29"/>
    </row>
    <row r="4087" ht="15.75" customHeight="1">
      <c r="A4087" s="30" t="s">
        <v>7751</v>
      </c>
      <c r="B4087" s="31" t="s">
        <v>466</v>
      </c>
      <c r="C4087" s="31" t="s">
        <v>968</v>
      </c>
      <c r="D4087" s="30" t="s">
        <v>3663</v>
      </c>
      <c r="E4087" s="32">
        <v>46113.0</v>
      </c>
      <c r="F4087" s="32">
        <v>46171.0</v>
      </c>
      <c r="G4087" s="33"/>
    </row>
    <row r="4088" ht="15.75" customHeight="1">
      <c r="A4088" s="26" t="s">
        <v>7752</v>
      </c>
      <c r="B4088" s="27" t="s">
        <v>466</v>
      </c>
      <c r="C4088" s="27" t="s">
        <v>923</v>
      </c>
      <c r="D4088" s="26" t="s">
        <v>3663</v>
      </c>
      <c r="E4088" s="28">
        <v>46113.0</v>
      </c>
      <c r="F4088" s="28">
        <v>46171.0</v>
      </c>
      <c r="G4088" s="29"/>
    </row>
    <row r="4089" ht="15.75" customHeight="1">
      <c r="A4089" s="30" t="s">
        <v>7753</v>
      </c>
      <c r="B4089" s="31" t="s">
        <v>467</v>
      </c>
      <c r="C4089" s="31" t="s">
        <v>1240</v>
      </c>
      <c r="D4089" s="31" t="s">
        <v>3663</v>
      </c>
      <c r="E4089" s="32">
        <v>46113.0</v>
      </c>
      <c r="F4089" s="32">
        <v>46171.0</v>
      </c>
      <c r="G4089" s="33"/>
    </row>
    <row r="4090" ht="15.75" customHeight="1">
      <c r="A4090" s="26" t="s">
        <v>7754</v>
      </c>
      <c r="B4090" s="27" t="s">
        <v>467</v>
      </c>
      <c r="C4090" s="27" t="s">
        <v>1242</v>
      </c>
      <c r="D4090" s="27" t="s">
        <v>3663</v>
      </c>
      <c r="E4090" s="28">
        <v>46113.0</v>
      </c>
      <c r="F4090" s="28">
        <v>46171.0</v>
      </c>
      <c r="G4090" s="29"/>
    </row>
    <row r="4091" ht="15.75" customHeight="1">
      <c r="A4091" s="30" t="s">
        <v>7755</v>
      </c>
      <c r="B4091" s="31" t="s">
        <v>467</v>
      </c>
      <c r="C4091" s="31" t="s">
        <v>1244</v>
      </c>
      <c r="D4091" s="31" t="s">
        <v>3663</v>
      </c>
      <c r="E4091" s="32">
        <v>46113.0</v>
      </c>
      <c r="F4091" s="32">
        <v>46171.0</v>
      </c>
      <c r="G4091" s="33"/>
    </row>
    <row r="4092" ht="15.75" customHeight="1">
      <c r="A4092" s="26" t="s">
        <v>7756</v>
      </c>
      <c r="B4092" s="27" t="s">
        <v>467</v>
      </c>
      <c r="C4092" s="27" t="s">
        <v>1246</v>
      </c>
      <c r="D4092" s="27" t="s">
        <v>3663</v>
      </c>
      <c r="E4092" s="28">
        <v>46113.0</v>
      </c>
      <c r="F4092" s="28">
        <v>46171.0</v>
      </c>
      <c r="G4092" s="29"/>
    </row>
    <row r="4093" ht="15.75" customHeight="1">
      <c r="A4093" s="30" t="s">
        <v>7757</v>
      </c>
      <c r="B4093" s="31" t="s">
        <v>467</v>
      </c>
      <c r="C4093" s="31" t="s">
        <v>3654</v>
      </c>
      <c r="D4093" s="30" t="s">
        <v>3663</v>
      </c>
      <c r="E4093" s="32">
        <v>46113.0</v>
      </c>
      <c r="F4093" s="32">
        <v>46171.0</v>
      </c>
      <c r="G4093" s="33"/>
    </row>
    <row r="4094" ht="15.75" customHeight="1">
      <c r="A4094" s="26" t="s">
        <v>7758</v>
      </c>
      <c r="B4094" s="27" t="s">
        <v>467</v>
      </c>
      <c r="C4094" s="27" t="s">
        <v>3655</v>
      </c>
      <c r="D4094" s="26" t="s">
        <v>3663</v>
      </c>
      <c r="E4094" s="28">
        <v>46113.0</v>
      </c>
      <c r="F4094" s="28">
        <v>46171.0</v>
      </c>
      <c r="G4094" s="29"/>
    </row>
    <row r="4095" ht="15.75" customHeight="1">
      <c r="A4095" s="30" t="s">
        <v>7759</v>
      </c>
      <c r="B4095" s="31" t="s">
        <v>467</v>
      </c>
      <c r="C4095" s="31" t="s">
        <v>934</v>
      </c>
      <c r="D4095" s="31" t="s">
        <v>3663</v>
      </c>
      <c r="E4095" s="32">
        <v>46113.0</v>
      </c>
      <c r="F4095" s="32">
        <v>46171.0</v>
      </c>
      <c r="G4095" s="33"/>
    </row>
    <row r="4096" ht="15.75" customHeight="1">
      <c r="A4096" s="26" t="s">
        <v>7760</v>
      </c>
      <c r="B4096" s="27" t="s">
        <v>467</v>
      </c>
      <c r="C4096" s="27" t="s">
        <v>1354</v>
      </c>
      <c r="D4096" s="26" t="s">
        <v>3663</v>
      </c>
      <c r="E4096" s="28">
        <v>46113.0</v>
      </c>
      <c r="F4096" s="28">
        <v>46171.0</v>
      </c>
      <c r="G4096" s="29"/>
    </row>
    <row r="4097" ht="15.75" customHeight="1">
      <c r="A4097" s="30" t="s">
        <v>7761</v>
      </c>
      <c r="B4097" s="31" t="s">
        <v>467</v>
      </c>
      <c r="C4097" s="31" t="s">
        <v>3647</v>
      </c>
      <c r="D4097" s="30" t="s">
        <v>3663</v>
      </c>
      <c r="E4097" s="32">
        <v>46113.0</v>
      </c>
      <c r="F4097" s="32">
        <v>46171.0</v>
      </c>
      <c r="G4097" s="33"/>
    </row>
    <row r="4098" ht="15.75" customHeight="1">
      <c r="A4098" s="26" t="s">
        <v>7762</v>
      </c>
      <c r="B4098" s="27" t="s">
        <v>467</v>
      </c>
      <c r="C4098" s="27" t="s">
        <v>952</v>
      </c>
      <c r="D4098" s="26" t="s">
        <v>3663</v>
      </c>
      <c r="E4098" s="28">
        <v>46113.0</v>
      </c>
      <c r="F4098" s="28">
        <v>46171.0</v>
      </c>
      <c r="G4098" s="29"/>
    </row>
    <row r="4099" ht="15.75" customHeight="1">
      <c r="A4099" s="30" t="s">
        <v>7763</v>
      </c>
      <c r="B4099" s="31" t="s">
        <v>467</v>
      </c>
      <c r="C4099" s="31" t="s">
        <v>1216</v>
      </c>
      <c r="D4099" s="30" t="s">
        <v>3663</v>
      </c>
      <c r="E4099" s="32">
        <v>46113.0</v>
      </c>
      <c r="F4099" s="32">
        <v>46171.0</v>
      </c>
      <c r="G4099" s="33"/>
    </row>
    <row r="4100" ht="15.75" customHeight="1">
      <c r="A4100" s="26" t="s">
        <v>7764</v>
      </c>
      <c r="B4100" s="27" t="s">
        <v>467</v>
      </c>
      <c r="C4100" s="27" t="s">
        <v>1218</v>
      </c>
      <c r="D4100" s="26" t="s">
        <v>3663</v>
      </c>
      <c r="E4100" s="28">
        <v>46113.0</v>
      </c>
      <c r="F4100" s="28">
        <v>46171.0</v>
      </c>
      <c r="G4100" s="29"/>
    </row>
    <row r="4101" ht="15.75" customHeight="1">
      <c r="A4101" s="30" t="s">
        <v>7765</v>
      </c>
      <c r="B4101" s="31" t="s">
        <v>467</v>
      </c>
      <c r="C4101" s="31" t="s">
        <v>965</v>
      </c>
      <c r="D4101" s="30" t="s">
        <v>3663</v>
      </c>
      <c r="E4101" s="32">
        <v>46113.0</v>
      </c>
      <c r="F4101" s="32">
        <v>46171.0</v>
      </c>
      <c r="G4101" s="33"/>
    </row>
    <row r="4102" ht="15.75" customHeight="1">
      <c r="A4102" s="26" t="s">
        <v>7766</v>
      </c>
      <c r="B4102" s="27" t="s">
        <v>467</v>
      </c>
      <c r="C4102" s="27" t="s">
        <v>923</v>
      </c>
      <c r="D4102" s="27" t="s">
        <v>3663</v>
      </c>
      <c r="E4102" s="28">
        <v>46113.0</v>
      </c>
      <c r="F4102" s="28">
        <v>46171.0</v>
      </c>
      <c r="G4102" s="29"/>
    </row>
    <row r="4103" ht="15.75" customHeight="1">
      <c r="A4103" s="30" t="s">
        <v>7767</v>
      </c>
      <c r="B4103" s="31" t="s">
        <v>468</v>
      </c>
      <c r="C4103" s="31" t="s">
        <v>1240</v>
      </c>
      <c r="D4103" s="30" t="s">
        <v>3750</v>
      </c>
      <c r="E4103" s="32">
        <v>46113.0</v>
      </c>
      <c r="F4103" s="32">
        <v>46171.0</v>
      </c>
      <c r="G4103" s="33"/>
    </row>
    <row r="4104" ht="15.75" customHeight="1">
      <c r="A4104" s="26" t="s">
        <v>7768</v>
      </c>
      <c r="B4104" s="27" t="s">
        <v>468</v>
      </c>
      <c r="C4104" s="27" t="s">
        <v>1242</v>
      </c>
      <c r="D4104" s="26" t="s">
        <v>3750</v>
      </c>
      <c r="E4104" s="28">
        <v>46113.0</v>
      </c>
      <c r="F4104" s="28">
        <v>46171.0</v>
      </c>
      <c r="G4104" s="29"/>
    </row>
    <row r="4105" ht="15.75" customHeight="1">
      <c r="A4105" s="30" t="s">
        <v>7769</v>
      </c>
      <c r="B4105" s="31" t="s">
        <v>468</v>
      </c>
      <c r="C4105" s="31" t="s">
        <v>1244</v>
      </c>
      <c r="D4105" s="30" t="s">
        <v>3750</v>
      </c>
      <c r="E4105" s="32">
        <v>46113.0</v>
      </c>
      <c r="F4105" s="32">
        <v>46171.0</v>
      </c>
      <c r="G4105" s="33"/>
    </row>
    <row r="4106" ht="15.75" customHeight="1">
      <c r="A4106" s="26" t="s">
        <v>7770</v>
      </c>
      <c r="B4106" s="27" t="s">
        <v>468</v>
      </c>
      <c r="C4106" s="27" t="s">
        <v>1246</v>
      </c>
      <c r="D4106" s="26" t="s">
        <v>3750</v>
      </c>
      <c r="E4106" s="28">
        <v>46113.0</v>
      </c>
      <c r="F4106" s="28">
        <v>46171.0</v>
      </c>
      <c r="G4106" s="29"/>
    </row>
    <row r="4107" ht="15.75" customHeight="1">
      <c r="A4107" s="30" t="s">
        <v>7771</v>
      </c>
      <c r="B4107" s="31" t="s">
        <v>468</v>
      </c>
      <c r="C4107" s="31" t="s">
        <v>3654</v>
      </c>
      <c r="D4107" s="30" t="s">
        <v>3750</v>
      </c>
      <c r="E4107" s="32">
        <v>46113.0</v>
      </c>
      <c r="F4107" s="32">
        <v>46171.0</v>
      </c>
      <c r="G4107" s="33"/>
    </row>
    <row r="4108" ht="15.75" customHeight="1">
      <c r="A4108" s="26" t="s">
        <v>7772</v>
      </c>
      <c r="B4108" s="27" t="s">
        <v>468</v>
      </c>
      <c r="C4108" s="27" t="s">
        <v>3655</v>
      </c>
      <c r="D4108" s="26" t="s">
        <v>3750</v>
      </c>
      <c r="E4108" s="28">
        <v>46113.0</v>
      </c>
      <c r="F4108" s="28">
        <v>46171.0</v>
      </c>
      <c r="G4108" s="29"/>
    </row>
    <row r="4109" ht="15.75" customHeight="1">
      <c r="A4109" s="30" t="s">
        <v>7773</v>
      </c>
      <c r="B4109" s="31" t="s">
        <v>468</v>
      </c>
      <c r="C4109" s="31" t="s">
        <v>928</v>
      </c>
      <c r="D4109" s="30" t="s">
        <v>3750</v>
      </c>
      <c r="E4109" s="32">
        <v>46113.0</v>
      </c>
      <c r="F4109" s="32">
        <v>46171.0</v>
      </c>
      <c r="G4109" s="33"/>
    </row>
    <row r="4110" ht="15.75" customHeight="1">
      <c r="A4110" s="26" t="s">
        <v>7774</v>
      </c>
      <c r="B4110" s="27" t="s">
        <v>468</v>
      </c>
      <c r="C4110" s="27" t="s">
        <v>1354</v>
      </c>
      <c r="D4110" s="26" t="s">
        <v>3750</v>
      </c>
      <c r="E4110" s="28">
        <v>46113.0</v>
      </c>
      <c r="F4110" s="28">
        <v>46171.0</v>
      </c>
      <c r="G4110" s="29"/>
    </row>
    <row r="4111" ht="15.75" customHeight="1">
      <c r="A4111" s="30" t="s">
        <v>7775</v>
      </c>
      <c r="B4111" s="31" t="s">
        <v>468</v>
      </c>
      <c r="C4111" s="31" t="s">
        <v>1218</v>
      </c>
      <c r="D4111" s="30" t="s">
        <v>3750</v>
      </c>
      <c r="E4111" s="32">
        <v>46113.0</v>
      </c>
      <c r="F4111" s="32">
        <v>46171.0</v>
      </c>
      <c r="G4111" s="33"/>
    </row>
    <row r="4112" ht="15.75" customHeight="1">
      <c r="A4112" s="26" t="s">
        <v>7776</v>
      </c>
      <c r="B4112" s="27" t="s">
        <v>468</v>
      </c>
      <c r="C4112" s="27" t="s">
        <v>1271</v>
      </c>
      <c r="D4112" s="26" t="s">
        <v>3750</v>
      </c>
      <c r="E4112" s="28">
        <v>46113.0</v>
      </c>
      <c r="F4112" s="28">
        <v>46171.0</v>
      </c>
      <c r="G4112" s="29"/>
    </row>
    <row r="4113" ht="15.75" customHeight="1">
      <c r="A4113" s="30" t="s">
        <v>7777</v>
      </c>
      <c r="B4113" s="31" t="s">
        <v>468</v>
      </c>
      <c r="C4113" s="31" t="s">
        <v>1351</v>
      </c>
      <c r="D4113" s="30" t="s">
        <v>3750</v>
      </c>
      <c r="E4113" s="32">
        <v>46113.0</v>
      </c>
      <c r="F4113" s="32">
        <v>46171.0</v>
      </c>
      <c r="G4113" s="33"/>
    </row>
    <row r="4114" ht="15.75" customHeight="1">
      <c r="A4114" s="26" t="s">
        <v>7778</v>
      </c>
      <c r="B4114" s="27" t="s">
        <v>468</v>
      </c>
      <c r="C4114" s="27" t="s">
        <v>1349</v>
      </c>
      <c r="D4114" s="26" t="s">
        <v>3750</v>
      </c>
      <c r="E4114" s="28">
        <v>46113.0</v>
      </c>
      <c r="F4114" s="28">
        <v>46171.0</v>
      </c>
      <c r="G4114" s="29"/>
    </row>
    <row r="4115" ht="15.75" customHeight="1">
      <c r="A4115" s="30" t="s">
        <v>7779</v>
      </c>
      <c r="B4115" s="31" t="s">
        <v>468</v>
      </c>
      <c r="C4115" s="31" t="s">
        <v>965</v>
      </c>
      <c r="D4115" s="30" t="s">
        <v>3750</v>
      </c>
      <c r="E4115" s="32">
        <v>46113.0</v>
      </c>
      <c r="F4115" s="32">
        <v>46171.0</v>
      </c>
      <c r="G4115" s="33"/>
    </row>
    <row r="4116" ht="15.75" customHeight="1">
      <c r="A4116" s="26" t="s">
        <v>7780</v>
      </c>
      <c r="B4116" s="27" t="s">
        <v>468</v>
      </c>
      <c r="C4116" s="27" t="s">
        <v>923</v>
      </c>
      <c r="D4116" s="26" t="s">
        <v>3750</v>
      </c>
      <c r="E4116" s="28">
        <v>46113.0</v>
      </c>
      <c r="F4116" s="28">
        <v>46171.0</v>
      </c>
      <c r="G4116" s="29"/>
    </row>
    <row r="4117" ht="15.75" customHeight="1">
      <c r="A4117" s="30" t="s">
        <v>7781</v>
      </c>
      <c r="B4117" s="31" t="s">
        <v>469</v>
      </c>
      <c r="C4117" s="31" t="s">
        <v>3654</v>
      </c>
      <c r="D4117" s="30" t="s">
        <v>3663</v>
      </c>
      <c r="E4117" s="32">
        <v>46113.0</v>
      </c>
      <c r="F4117" s="32">
        <v>46171.0</v>
      </c>
      <c r="G4117" s="33"/>
    </row>
    <row r="4118" ht="15.75" customHeight="1">
      <c r="A4118" s="26" t="s">
        <v>7782</v>
      </c>
      <c r="B4118" s="27" t="s">
        <v>469</v>
      </c>
      <c r="C4118" s="27" t="s">
        <v>3655</v>
      </c>
      <c r="D4118" s="26" t="s">
        <v>3663</v>
      </c>
      <c r="E4118" s="28">
        <v>46113.0</v>
      </c>
      <c r="F4118" s="28">
        <v>46171.0</v>
      </c>
      <c r="G4118" s="29"/>
    </row>
    <row r="4119" ht="15.75" customHeight="1">
      <c r="A4119" s="30" t="s">
        <v>7783</v>
      </c>
      <c r="B4119" s="31" t="s">
        <v>469</v>
      </c>
      <c r="C4119" s="31" t="s">
        <v>930</v>
      </c>
      <c r="D4119" s="30" t="s">
        <v>3663</v>
      </c>
      <c r="E4119" s="32">
        <v>46113.0</v>
      </c>
      <c r="F4119" s="32">
        <v>46171.0</v>
      </c>
      <c r="G4119" s="33"/>
    </row>
    <row r="4120" ht="15.75" customHeight="1">
      <c r="A4120" s="26" t="s">
        <v>7784</v>
      </c>
      <c r="B4120" s="27" t="s">
        <v>469</v>
      </c>
      <c r="C4120" s="27" t="s">
        <v>1354</v>
      </c>
      <c r="D4120" s="26" t="s">
        <v>3663</v>
      </c>
      <c r="E4120" s="28">
        <v>46113.0</v>
      </c>
      <c r="F4120" s="28">
        <v>46171.0</v>
      </c>
      <c r="G4120" s="29"/>
    </row>
    <row r="4121" ht="15.75" customHeight="1">
      <c r="A4121" s="30" t="s">
        <v>7785</v>
      </c>
      <c r="B4121" s="31" t="s">
        <v>469</v>
      </c>
      <c r="C4121" s="31" t="s">
        <v>3641</v>
      </c>
      <c r="D4121" s="30" t="s">
        <v>3663</v>
      </c>
      <c r="E4121" s="32">
        <v>46113.0</v>
      </c>
      <c r="F4121" s="32">
        <v>46171.0</v>
      </c>
      <c r="G4121" s="33"/>
    </row>
    <row r="4122" ht="15.75" customHeight="1">
      <c r="A4122" s="26" t="s">
        <v>7786</v>
      </c>
      <c r="B4122" s="27" t="s">
        <v>469</v>
      </c>
      <c r="C4122" s="27" t="s">
        <v>1304</v>
      </c>
      <c r="D4122" s="26" t="s">
        <v>3663</v>
      </c>
      <c r="E4122" s="28">
        <v>46113.0</v>
      </c>
      <c r="F4122" s="28">
        <v>46171.0</v>
      </c>
      <c r="G4122" s="29"/>
    </row>
    <row r="4123" ht="15.75" customHeight="1">
      <c r="A4123" s="30" t="s">
        <v>7787</v>
      </c>
      <c r="B4123" s="31" t="s">
        <v>469</v>
      </c>
      <c r="C4123" s="31" t="s">
        <v>3642</v>
      </c>
      <c r="D4123" s="30" t="s">
        <v>3663</v>
      </c>
      <c r="E4123" s="32">
        <v>46113.0</v>
      </c>
      <c r="F4123" s="32">
        <v>46171.0</v>
      </c>
      <c r="G4123" s="33"/>
    </row>
    <row r="4124" ht="15.75" customHeight="1">
      <c r="A4124" s="26" t="s">
        <v>7788</v>
      </c>
      <c r="B4124" s="27" t="s">
        <v>469</v>
      </c>
      <c r="C4124" s="27" t="s">
        <v>1308</v>
      </c>
      <c r="D4124" s="26" t="s">
        <v>3663</v>
      </c>
      <c r="E4124" s="28">
        <v>46113.0</v>
      </c>
      <c r="F4124" s="28">
        <v>46171.0</v>
      </c>
      <c r="G4124" s="29"/>
    </row>
    <row r="4125" ht="15.75" customHeight="1">
      <c r="A4125" s="30" t="s">
        <v>7789</v>
      </c>
      <c r="B4125" s="31" t="s">
        <v>469</v>
      </c>
      <c r="C4125" s="31" t="s">
        <v>1216</v>
      </c>
      <c r="D4125" s="30" t="s">
        <v>3663</v>
      </c>
      <c r="E4125" s="32">
        <v>46113.0</v>
      </c>
      <c r="F4125" s="32">
        <v>46171.0</v>
      </c>
      <c r="G4125" s="33"/>
    </row>
    <row r="4126" ht="15.75" customHeight="1">
      <c r="A4126" s="26" t="s">
        <v>7790</v>
      </c>
      <c r="B4126" s="27" t="s">
        <v>469</v>
      </c>
      <c r="C4126" s="27" t="s">
        <v>1351</v>
      </c>
      <c r="D4126" s="26" t="s">
        <v>3663</v>
      </c>
      <c r="E4126" s="28">
        <v>46113.0</v>
      </c>
      <c r="F4126" s="28">
        <v>46171.0</v>
      </c>
      <c r="G4126" s="29"/>
    </row>
    <row r="4127" ht="15.75" customHeight="1">
      <c r="A4127" s="30" t="s">
        <v>7791</v>
      </c>
      <c r="B4127" s="31" t="s">
        <v>469</v>
      </c>
      <c r="C4127" s="31" t="s">
        <v>1349</v>
      </c>
      <c r="D4127" s="30" t="s">
        <v>3663</v>
      </c>
      <c r="E4127" s="32">
        <v>46113.0</v>
      </c>
      <c r="F4127" s="32">
        <v>46171.0</v>
      </c>
      <c r="G4127" s="33"/>
    </row>
    <row r="4128" ht="15.75" customHeight="1">
      <c r="A4128" s="26" t="s">
        <v>7792</v>
      </c>
      <c r="B4128" s="27" t="s">
        <v>469</v>
      </c>
      <c r="C4128" s="27" t="s">
        <v>968</v>
      </c>
      <c r="D4128" s="26" t="s">
        <v>3663</v>
      </c>
      <c r="E4128" s="28">
        <v>46113.0</v>
      </c>
      <c r="F4128" s="28">
        <v>46171.0</v>
      </c>
      <c r="G4128" s="29"/>
    </row>
    <row r="4129" ht="15.75" customHeight="1">
      <c r="A4129" s="30" t="s">
        <v>7793</v>
      </c>
      <c r="B4129" s="31" t="s">
        <v>469</v>
      </c>
      <c r="C4129" s="31" t="s">
        <v>923</v>
      </c>
      <c r="D4129" s="30" t="s">
        <v>3663</v>
      </c>
      <c r="E4129" s="32">
        <v>46113.0</v>
      </c>
      <c r="F4129" s="32">
        <v>46171.0</v>
      </c>
      <c r="G4129" s="33"/>
    </row>
    <row r="4130" ht="15.75" customHeight="1">
      <c r="A4130" s="26" t="s">
        <v>7794</v>
      </c>
      <c r="B4130" s="27" t="s">
        <v>469</v>
      </c>
      <c r="C4130" s="27" t="s">
        <v>963</v>
      </c>
      <c r="D4130" s="26" t="s">
        <v>3663</v>
      </c>
      <c r="E4130" s="28">
        <v>46113.0</v>
      </c>
      <c r="F4130" s="28">
        <v>46171.0</v>
      </c>
      <c r="G4130" s="29"/>
    </row>
    <row r="4131" ht="15.75" customHeight="1">
      <c r="A4131" s="30" t="s">
        <v>7795</v>
      </c>
      <c r="B4131" s="31" t="s">
        <v>470</v>
      </c>
      <c r="C4131" s="31" t="s">
        <v>932</v>
      </c>
      <c r="D4131" s="30" t="s">
        <v>3663</v>
      </c>
      <c r="E4131" s="32">
        <v>46113.0</v>
      </c>
      <c r="F4131" s="32">
        <v>46171.0</v>
      </c>
      <c r="G4131" s="33"/>
    </row>
    <row r="4132" ht="15.75" customHeight="1">
      <c r="A4132" s="26" t="s">
        <v>7796</v>
      </c>
      <c r="B4132" s="27" t="s">
        <v>470</v>
      </c>
      <c r="C4132" s="27" t="s">
        <v>1168</v>
      </c>
      <c r="D4132" s="26" t="s">
        <v>3663</v>
      </c>
      <c r="E4132" s="28">
        <v>46113.0</v>
      </c>
      <c r="F4132" s="28">
        <v>46171.0</v>
      </c>
      <c r="G4132" s="29"/>
    </row>
    <row r="4133" ht="15.75" customHeight="1">
      <c r="A4133" s="30" t="s">
        <v>7797</v>
      </c>
      <c r="B4133" s="31" t="s">
        <v>470</v>
      </c>
      <c r="C4133" s="31" t="s">
        <v>1170</v>
      </c>
      <c r="D4133" s="30" t="s">
        <v>3663</v>
      </c>
      <c r="E4133" s="32">
        <v>46113.0</v>
      </c>
      <c r="F4133" s="32">
        <v>46171.0</v>
      </c>
      <c r="G4133" s="33"/>
    </row>
    <row r="4134" ht="15.75" customHeight="1">
      <c r="A4134" s="26" t="s">
        <v>7798</v>
      </c>
      <c r="B4134" s="27" t="s">
        <v>470</v>
      </c>
      <c r="C4134" s="27" t="s">
        <v>1288</v>
      </c>
      <c r="D4134" s="26" t="s">
        <v>3663</v>
      </c>
      <c r="E4134" s="28">
        <v>46113.0</v>
      </c>
      <c r="F4134" s="28">
        <v>46171.0</v>
      </c>
      <c r="G4134" s="29"/>
    </row>
    <row r="4135" ht="15.75" customHeight="1">
      <c r="A4135" s="30" t="s">
        <v>7799</v>
      </c>
      <c r="B4135" s="31" t="s">
        <v>470</v>
      </c>
      <c r="C4135" s="31" t="s">
        <v>1291</v>
      </c>
      <c r="D4135" s="30" t="s">
        <v>3663</v>
      </c>
      <c r="E4135" s="32">
        <v>46113.0</v>
      </c>
      <c r="F4135" s="32">
        <v>46171.0</v>
      </c>
      <c r="G4135" s="33"/>
    </row>
    <row r="4136" ht="15.75" customHeight="1">
      <c r="A4136" s="26" t="s">
        <v>7800</v>
      </c>
      <c r="B4136" s="27" t="s">
        <v>470</v>
      </c>
      <c r="C4136" s="27" t="s">
        <v>1354</v>
      </c>
      <c r="D4136" s="26" t="s">
        <v>3663</v>
      </c>
      <c r="E4136" s="28">
        <v>46113.0</v>
      </c>
      <c r="F4136" s="28">
        <v>46171.0</v>
      </c>
      <c r="G4136" s="29"/>
    </row>
    <row r="4137" ht="15.75" customHeight="1">
      <c r="A4137" s="30" t="s">
        <v>7801</v>
      </c>
      <c r="B4137" s="31" t="s">
        <v>470</v>
      </c>
      <c r="C4137" s="31" t="s">
        <v>3681</v>
      </c>
      <c r="D4137" s="30" t="s">
        <v>3663</v>
      </c>
      <c r="E4137" s="32">
        <v>46113.0</v>
      </c>
      <c r="F4137" s="32">
        <v>46171.0</v>
      </c>
      <c r="G4137" s="33"/>
    </row>
    <row r="4138" ht="15.75" customHeight="1">
      <c r="A4138" s="26" t="s">
        <v>7802</v>
      </c>
      <c r="B4138" s="27" t="s">
        <v>470</v>
      </c>
      <c r="C4138" s="27" t="s">
        <v>3683</v>
      </c>
      <c r="D4138" s="26" t="s">
        <v>3663</v>
      </c>
      <c r="E4138" s="28">
        <v>46113.0</v>
      </c>
      <c r="F4138" s="28">
        <v>46171.0</v>
      </c>
      <c r="G4138" s="29"/>
    </row>
    <row r="4139" ht="15.75" customHeight="1">
      <c r="A4139" s="30" t="s">
        <v>7803</v>
      </c>
      <c r="B4139" s="31" t="s">
        <v>470</v>
      </c>
      <c r="C4139" s="31" t="s">
        <v>1159</v>
      </c>
      <c r="D4139" s="30" t="s">
        <v>3663</v>
      </c>
      <c r="E4139" s="32">
        <v>46113.0</v>
      </c>
      <c r="F4139" s="32">
        <v>46171.0</v>
      </c>
      <c r="G4139" s="33"/>
    </row>
    <row r="4140" ht="15.75" customHeight="1">
      <c r="A4140" s="26" t="s">
        <v>7804</v>
      </c>
      <c r="B4140" s="27" t="s">
        <v>470</v>
      </c>
      <c r="C4140" s="27" t="s">
        <v>1216</v>
      </c>
      <c r="D4140" s="26" t="s">
        <v>3663</v>
      </c>
      <c r="E4140" s="28">
        <v>46113.0</v>
      </c>
      <c r="F4140" s="28">
        <v>46171.0</v>
      </c>
      <c r="G4140" s="29"/>
    </row>
    <row r="4141" ht="15.75" customHeight="1">
      <c r="A4141" s="30" t="s">
        <v>7805</v>
      </c>
      <c r="B4141" s="31" t="s">
        <v>470</v>
      </c>
      <c r="C4141" s="31" t="s">
        <v>1351</v>
      </c>
      <c r="D4141" s="30" t="s">
        <v>3663</v>
      </c>
      <c r="E4141" s="32">
        <v>46113.0</v>
      </c>
      <c r="F4141" s="32">
        <v>46171.0</v>
      </c>
      <c r="G4141" s="33"/>
    </row>
    <row r="4142" ht="15.75" customHeight="1">
      <c r="A4142" s="26" t="s">
        <v>7806</v>
      </c>
      <c r="B4142" s="27" t="s">
        <v>470</v>
      </c>
      <c r="C4142" s="27" t="s">
        <v>1349</v>
      </c>
      <c r="D4142" s="26" t="s">
        <v>3663</v>
      </c>
      <c r="E4142" s="28">
        <v>46113.0</v>
      </c>
      <c r="F4142" s="28">
        <v>46171.0</v>
      </c>
      <c r="G4142" s="29"/>
    </row>
    <row r="4143" ht="15.75" customHeight="1">
      <c r="A4143" s="30" t="s">
        <v>7807</v>
      </c>
      <c r="B4143" s="31" t="s">
        <v>470</v>
      </c>
      <c r="C4143" s="31" t="s">
        <v>968</v>
      </c>
      <c r="D4143" s="30" t="s">
        <v>3663</v>
      </c>
      <c r="E4143" s="32">
        <v>46113.0</v>
      </c>
      <c r="F4143" s="32">
        <v>46171.0</v>
      </c>
      <c r="G4143" s="33"/>
    </row>
    <row r="4144" ht="15.75" customHeight="1">
      <c r="A4144" s="26" t="s">
        <v>7808</v>
      </c>
      <c r="B4144" s="27" t="s">
        <v>470</v>
      </c>
      <c r="C4144" s="27" t="s">
        <v>923</v>
      </c>
      <c r="D4144" s="26" t="s">
        <v>3663</v>
      </c>
      <c r="E4144" s="28">
        <v>46113.0</v>
      </c>
      <c r="F4144" s="28">
        <v>46171.0</v>
      </c>
      <c r="G4144" s="29"/>
    </row>
    <row r="4145" ht="15.75" customHeight="1">
      <c r="A4145" s="30" t="s">
        <v>7809</v>
      </c>
      <c r="B4145" s="31" t="s">
        <v>471</v>
      </c>
      <c r="C4145" s="31" t="s">
        <v>928</v>
      </c>
      <c r="D4145" s="30" t="s">
        <v>3663</v>
      </c>
      <c r="E4145" s="32">
        <v>46113.0</v>
      </c>
      <c r="F4145" s="32">
        <v>46171.0</v>
      </c>
      <c r="G4145" s="33"/>
    </row>
    <row r="4146" ht="15.75" customHeight="1">
      <c r="A4146" s="26" t="s">
        <v>7810</v>
      </c>
      <c r="B4146" s="27" t="s">
        <v>471</v>
      </c>
      <c r="C4146" s="27" t="s">
        <v>1354</v>
      </c>
      <c r="D4146" s="26" t="s">
        <v>3663</v>
      </c>
      <c r="E4146" s="28">
        <v>46113.0</v>
      </c>
      <c r="F4146" s="28">
        <v>46171.0</v>
      </c>
      <c r="G4146" s="29"/>
    </row>
    <row r="4147" ht="15.75" customHeight="1">
      <c r="A4147" s="30" t="s">
        <v>7811</v>
      </c>
      <c r="B4147" s="31" t="s">
        <v>471</v>
      </c>
      <c r="C4147" s="31" t="s">
        <v>1222</v>
      </c>
      <c r="D4147" s="30" t="s">
        <v>3663</v>
      </c>
      <c r="E4147" s="32">
        <v>46113.0</v>
      </c>
      <c r="F4147" s="32">
        <v>46171.0</v>
      </c>
      <c r="G4147" s="33"/>
    </row>
    <row r="4148" ht="15.75" customHeight="1">
      <c r="A4148" s="26" t="s">
        <v>7812</v>
      </c>
      <c r="B4148" s="27" t="s">
        <v>471</v>
      </c>
      <c r="C4148" s="27" t="s">
        <v>1224</v>
      </c>
      <c r="D4148" s="26" t="s">
        <v>3663</v>
      </c>
      <c r="E4148" s="28">
        <v>46113.0</v>
      </c>
      <c r="F4148" s="28">
        <v>46171.0</v>
      </c>
      <c r="G4148" s="29"/>
    </row>
    <row r="4149" ht="15.75" customHeight="1">
      <c r="A4149" s="30" t="s">
        <v>7813</v>
      </c>
      <c r="B4149" s="31" t="s">
        <v>471</v>
      </c>
      <c r="C4149" s="31" t="s">
        <v>1226</v>
      </c>
      <c r="D4149" s="30" t="s">
        <v>3663</v>
      </c>
      <c r="E4149" s="32">
        <v>46113.0</v>
      </c>
      <c r="F4149" s="32">
        <v>46171.0</v>
      </c>
      <c r="G4149" s="33"/>
    </row>
    <row r="4150" ht="15.75" customHeight="1">
      <c r="A4150" s="26" t="s">
        <v>7814</v>
      </c>
      <c r="B4150" s="27" t="s">
        <v>471</v>
      </c>
      <c r="C4150" s="27" t="s">
        <v>1228</v>
      </c>
      <c r="D4150" s="26" t="s">
        <v>3663</v>
      </c>
      <c r="E4150" s="28">
        <v>46113.0</v>
      </c>
      <c r="F4150" s="28">
        <v>46171.0</v>
      </c>
      <c r="G4150" s="29"/>
    </row>
    <row r="4151" ht="15.75" customHeight="1">
      <c r="A4151" s="30" t="s">
        <v>7815</v>
      </c>
      <c r="B4151" s="31" t="s">
        <v>471</v>
      </c>
      <c r="C4151" s="31" t="s">
        <v>1172</v>
      </c>
      <c r="D4151" s="30" t="s">
        <v>3663</v>
      </c>
      <c r="E4151" s="32">
        <v>46113.0</v>
      </c>
      <c r="F4151" s="32">
        <v>46171.0</v>
      </c>
      <c r="G4151" s="33"/>
    </row>
    <row r="4152" ht="15.75" customHeight="1">
      <c r="A4152" s="26" t="s">
        <v>7816</v>
      </c>
      <c r="B4152" s="27" t="s">
        <v>471</v>
      </c>
      <c r="C4152" s="27" t="s">
        <v>3656</v>
      </c>
      <c r="D4152" s="26" t="s">
        <v>3663</v>
      </c>
      <c r="E4152" s="28">
        <v>46113.0</v>
      </c>
      <c r="F4152" s="28">
        <v>46171.0</v>
      </c>
      <c r="G4152" s="29"/>
    </row>
    <row r="4153" ht="15.75" customHeight="1">
      <c r="A4153" s="30" t="s">
        <v>7817</v>
      </c>
      <c r="B4153" s="31" t="s">
        <v>471</v>
      </c>
      <c r="C4153" s="31" t="s">
        <v>3657</v>
      </c>
      <c r="D4153" s="30" t="s">
        <v>3663</v>
      </c>
      <c r="E4153" s="32">
        <v>46113.0</v>
      </c>
      <c r="F4153" s="32">
        <v>46171.0</v>
      </c>
      <c r="G4153" s="33"/>
    </row>
    <row r="4154" ht="15.75" customHeight="1">
      <c r="A4154" s="26" t="s">
        <v>7818</v>
      </c>
      <c r="B4154" s="27" t="s">
        <v>471</v>
      </c>
      <c r="C4154" s="27" t="s">
        <v>1351</v>
      </c>
      <c r="D4154" s="26" t="s">
        <v>3663</v>
      </c>
      <c r="E4154" s="28">
        <v>46113.0</v>
      </c>
      <c r="F4154" s="28">
        <v>46171.0</v>
      </c>
      <c r="G4154" s="29"/>
    </row>
    <row r="4155" ht="15.75" customHeight="1">
      <c r="A4155" s="30" t="s">
        <v>7819</v>
      </c>
      <c r="B4155" s="31" t="s">
        <v>471</v>
      </c>
      <c r="C4155" s="31" t="s">
        <v>1349</v>
      </c>
      <c r="D4155" s="30" t="s">
        <v>3663</v>
      </c>
      <c r="E4155" s="32">
        <v>46113.0</v>
      </c>
      <c r="F4155" s="32">
        <v>46171.0</v>
      </c>
      <c r="G4155" s="33"/>
    </row>
    <row r="4156" ht="15.75" customHeight="1">
      <c r="A4156" s="26" t="s">
        <v>7820</v>
      </c>
      <c r="B4156" s="27" t="s">
        <v>471</v>
      </c>
      <c r="C4156" s="27" t="s">
        <v>968</v>
      </c>
      <c r="D4156" s="26" t="s">
        <v>3663</v>
      </c>
      <c r="E4156" s="28">
        <v>46113.0</v>
      </c>
      <c r="F4156" s="28">
        <v>46171.0</v>
      </c>
      <c r="G4156" s="29"/>
    </row>
    <row r="4157" ht="15.75" customHeight="1">
      <c r="A4157" s="30" t="s">
        <v>7821</v>
      </c>
      <c r="B4157" s="31" t="s">
        <v>471</v>
      </c>
      <c r="C4157" s="31" t="s">
        <v>923</v>
      </c>
      <c r="D4157" s="30" t="s">
        <v>3663</v>
      </c>
      <c r="E4157" s="32">
        <v>46113.0</v>
      </c>
      <c r="F4157" s="32">
        <v>46171.0</v>
      </c>
      <c r="G4157" s="33"/>
    </row>
    <row r="4158" ht="15.75" customHeight="1">
      <c r="A4158" s="26" t="s">
        <v>7822</v>
      </c>
      <c r="B4158" s="27" t="s">
        <v>471</v>
      </c>
      <c r="C4158" s="27" t="s">
        <v>955</v>
      </c>
      <c r="D4158" s="26" t="s">
        <v>3663</v>
      </c>
      <c r="E4158" s="28">
        <v>46113.0</v>
      </c>
      <c r="F4158" s="28">
        <v>46171.0</v>
      </c>
      <c r="G4158" s="29"/>
    </row>
    <row r="4159" ht="15.75" customHeight="1">
      <c r="A4159" s="30" t="s">
        <v>7823</v>
      </c>
      <c r="B4159" s="31" t="s">
        <v>472</v>
      </c>
      <c r="C4159" s="31" t="s">
        <v>930</v>
      </c>
      <c r="D4159" s="30" t="s">
        <v>3663</v>
      </c>
      <c r="E4159" s="32">
        <v>46113.0</v>
      </c>
      <c r="F4159" s="32">
        <v>46171.0</v>
      </c>
      <c r="G4159" s="33"/>
    </row>
    <row r="4160" ht="15.75" customHeight="1">
      <c r="A4160" s="26" t="s">
        <v>7824</v>
      </c>
      <c r="B4160" s="27" t="s">
        <v>472</v>
      </c>
      <c r="C4160" s="27" t="s">
        <v>3640</v>
      </c>
      <c r="D4160" s="26" t="s">
        <v>3663</v>
      </c>
      <c r="E4160" s="28">
        <v>46113.0</v>
      </c>
      <c r="F4160" s="28">
        <v>46171.0</v>
      </c>
      <c r="G4160" s="29"/>
    </row>
    <row r="4161" ht="15.75" customHeight="1">
      <c r="A4161" s="30" t="s">
        <v>7825</v>
      </c>
      <c r="B4161" s="31" t="s">
        <v>472</v>
      </c>
      <c r="C4161" s="31" t="s">
        <v>1323</v>
      </c>
      <c r="D4161" s="30" t="s">
        <v>3663</v>
      </c>
      <c r="E4161" s="32">
        <v>46113.0</v>
      </c>
      <c r="F4161" s="32">
        <v>46171.0</v>
      </c>
      <c r="G4161" s="33"/>
    </row>
    <row r="4162" ht="15.75" customHeight="1">
      <c r="A4162" s="26" t="s">
        <v>7826</v>
      </c>
      <c r="B4162" s="27" t="s">
        <v>472</v>
      </c>
      <c r="C4162" s="27" t="s">
        <v>1354</v>
      </c>
      <c r="D4162" s="26" t="s">
        <v>3663</v>
      </c>
      <c r="E4162" s="28">
        <v>46113.0</v>
      </c>
      <c r="F4162" s="28">
        <v>46171.0</v>
      </c>
      <c r="G4162" s="29"/>
    </row>
    <row r="4163" ht="15.75" customHeight="1">
      <c r="A4163" s="30" t="s">
        <v>7827</v>
      </c>
      <c r="B4163" s="31" t="s">
        <v>472</v>
      </c>
      <c r="C4163" s="31" t="s">
        <v>3641</v>
      </c>
      <c r="D4163" s="30" t="s">
        <v>3663</v>
      </c>
      <c r="E4163" s="32">
        <v>46113.0</v>
      </c>
      <c r="F4163" s="32">
        <v>46171.0</v>
      </c>
      <c r="G4163" s="33"/>
    </row>
    <row r="4164" ht="15.75" customHeight="1">
      <c r="A4164" s="26" t="s">
        <v>7828</v>
      </c>
      <c r="B4164" s="27" t="s">
        <v>472</v>
      </c>
      <c r="C4164" s="27" t="s">
        <v>1304</v>
      </c>
      <c r="D4164" s="26" t="s">
        <v>3663</v>
      </c>
      <c r="E4164" s="28">
        <v>46113.0</v>
      </c>
      <c r="F4164" s="28">
        <v>46171.0</v>
      </c>
      <c r="G4164" s="29"/>
    </row>
    <row r="4165" ht="15.75" customHeight="1">
      <c r="A4165" s="30" t="s">
        <v>7829</v>
      </c>
      <c r="B4165" s="31" t="s">
        <v>472</v>
      </c>
      <c r="C4165" s="31" t="s">
        <v>3642</v>
      </c>
      <c r="D4165" s="30" t="s">
        <v>3663</v>
      </c>
      <c r="E4165" s="32">
        <v>46113.0</v>
      </c>
      <c r="F4165" s="32">
        <v>46171.0</v>
      </c>
      <c r="G4165" s="33"/>
    </row>
    <row r="4166" ht="15.75" customHeight="1">
      <c r="A4166" s="26" t="s">
        <v>7830</v>
      </c>
      <c r="B4166" s="27" t="s">
        <v>472</v>
      </c>
      <c r="C4166" s="27" t="s">
        <v>1308</v>
      </c>
      <c r="D4166" s="26" t="s">
        <v>3663</v>
      </c>
      <c r="E4166" s="28">
        <v>46113.0</v>
      </c>
      <c r="F4166" s="28">
        <v>46171.0</v>
      </c>
      <c r="G4166" s="29"/>
    </row>
    <row r="4167" ht="15.75" customHeight="1">
      <c r="A4167" s="30" t="s">
        <v>7831</v>
      </c>
      <c r="B4167" s="31" t="s">
        <v>472</v>
      </c>
      <c r="C4167" s="31" t="s">
        <v>3681</v>
      </c>
      <c r="D4167" s="30" t="s">
        <v>3663</v>
      </c>
      <c r="E4167" s="32">
        <v>46113.0</v>
      </c>
      <c r="F4167" s="32">
        <v>46171.0</v>
      </c>
      <c r="G4167" s="33"/>
    </row>
    <row r="4168" ht="15.75" customHeight="1">
      <c r="A4168" s="26" t="s">
        <v>7832</v>
      </c>
      <c r="B4168" s="27" t="s">
        <v>472</v>
      </c>
      <c r="C4168" s="27" t="s">
        <v>3683</v>
      </c>
      <c r="D4168" s="26" t="s">
        <v>3663</v>
      </c>
      <c r="E4168" s="28">
        <v>46113.0</v>
      </c>
      <c r="F4168" s="28">
        <v>46171.0</v>
      </c>
      <c r="G4168" s="29"/>
    </row>
    <row r="4169" ht="15.75" customHeight="1">
      <c r="A4169" s="30" t="s">
        <v>7833</v>
      </c>
      <c r="B4169" s="31" t="s">
        <v>472</v>
      </c>
      <c r="C4169" s="31" t="s">
        <v>1351</v>
      </c>
      <c r="D4169" s="30" t="s">
        <v>3663</v>
      </c>
      <c r="E4169" s="32">
        <v>46113.0</v>
      </c>
      <c r="F4169" s="32">
        <v>46171.0</v>
      </c>
      <c r="G4169" s="33"/>
    </row>
    <row r="4170" ht="15.75" customHeight="1">
      <c r="A4170" s="26" t="s">
        <v>7834</v>
      </c>
      <c r="B4170" s="27" t="s">
        <v>472</v>
      </c>
      <c r="C4170" s="27" t="s">
        <v>1349</v>
      </c>
      <c r="D4170" s="26" t="s">
        <v>3663</v>
      </c>
      <c r="E4170" s="28">
        <v>46113.0</v>
      </c>
      <c r="F4170" s="28">
        <v>46171.0</v>
      </c>
      <c r="G4170" s="29"/>
    </row>
    <row r="4171" ht="15.75" customHeight="1">
      <c r="A4171" s="30" t="s">
        <v>7835</v>
      </c>
      <c r="B4171" s="31" t="s">
        <v>472</v>
      </c>
      <c r="C4171" s="31" t="s">
        <v>968</v>
      </c>
      <c r="D4171" s="30" t="s">
        <v>3663</v>
      </c>
      <c r="E4171" s="32">
        <v>46113.0</v>
      </c>
      <c r="F4171" s="32">
        <v>46171.0</v>
      </c>
      <c r="G4171" s="33"/>
    </row>
    <row r="4172" ht="15.75" customHeight="1">
      <c r="A4172" s="26" t="s">
        <v>7836</v>
      </c>
      <c r="B4172" s="27" t="s">
        <v>472</v>
      </c>
      <c r="C4172" s="27" t="s">
        <v>923</v>
      </c>
      <c r="D4172" s="26" t="s">
        <v>3663</v>
      </c>
      <c r="E4172" s="28">
        <v>46113.0</v>
      </c>
      <c r="F4172" s="28">
        <v>46171.0</v>
      </c>
      <c r="G4172" s="29"/>
    </row>
    <row r="4173" ht="15.75" customHeight="1">
      <c r="A4173" s="30" t="s">
        <v>7837</v>
      </c>
      <c r="B4173" s="31" t="s">
        <v>473</v>
      </c>
      <c r="C4173" s="31" t="s">
        <v>1240</v>
      </c>
      <c r="D4173" s="31" t="s">
        <v>3663</v>
      </c>
      <c r="E4173" s="32">
        <v>46113.0</v>
      </c>
      <c r="F4173" s="32">
        <v>46171.0</v>
      </c>
      <c r="G4173" s="33"/>
    </row>
    <row r="4174" ht="15.75" customHeight="1">
      <c r="A4174" s="26" t="s">
        <v>7838</v>
      </c>
      <c r="B4174" s="27" t="s">
        <v>473</v>
      </c>
      <c r="C4174" s="27" t="s">
        <v>1242</v>
      </c>
      <c r="D4174" s="27" t="s">
        <v>3663</v>
      </c>
      <c r="E4174" s="28">
        <v>46113.0</v>
      </c>
      <c r="F4174" s="28">
        <v>46171.0</v>
      </c>
      <c r="G4174" s="29"/>
    </row>
    <row r="4175" ht="15.75" customHeight="1">
      <c r="A4175" s="30" t="s">
        <v>7839</v>
      </c>
      <c r="B4175" s="31" t="s">
        <v>473</v>
      </c>
      <c r="C4175" s="31" t="s">
        <v>1244</v>
      </c>
      <c r="D4175" s="31" t="s">
        <v>3663</v>
      </c>
      <c r="E4175" s="32">
        <v>46113.0</v>
      </c>
      <c r="F4175" s="32">
        <v>46171.0</v>
      </c>
      <c r="G4175" s="33"/>
    </row>
    <row r="4176" ht="15.75" customHeight="1">
      <c r="A4176" s="26" t="s">
        <v>7840</v>
      </c>
      <c r="B4176" s="27" t="s">
        <v>473</v>
      </c>
      <c r="C4176" s="27" t="s">
        <v>1246</v>
      </c>
      <c r="D4176" s="27" t="s">
        <v>3663</v>
      </c>
      <c r="E4176" s="28">
        <v>46113.0</v>
      </c>
      <c r="F4176" s="28">
        <v>46171.0</v>
      </c>
      <c r="G4176" s="29"/>
    </row>
    <row r="4177" ht="15.75" customHeight="1">
      <c r="A4177" s="30" t="s">
        <v>7841</v>
      </c>
      <c r="B4177" s="31" t="s">
        <v>473</v>
      </c>
      <c r="C4177" s="31" t="s">
        <v>3654</v>
      </c>
      <c r="D4177" s="30" t="s">
        <v>3663</v>
      </c>
      <c r="E4177" s="32">
        <v>46113.0</v>
      </c>
      <c r="F4177" s="32">
        <v>46171.0</v>
      </c>
      <c r="G4177" s="33"/>
    </row>
    <row r="4178" ht="15.75" customHeight="1">
      <c r="A4178" s="26" t="s">
        <v>7842</v>
      </c>
      <c r="B4178" s="27" t="s">
        <v>473</v>
      </c>
      <c r="C4178" s="27" t="s">
        <v>3655</v>
      </c>
      <c r="D4178" s="26" t="s">
        <v>3663</v>
      </c>
      <c r="E4178" s="28">
        <v>46113.0</v>
      </c>
      <c r="F4178" s="28">
        <v>46171.0</v>
      </c>
      <c r="G4178" s="29"/>
    </row>
    <row r="4179" ht="15.75" customHeight="1">
      <c r="A4179" s="30" t="s">
        <v>7843</v>
      </c>
      <c r="B4179" s="31" t="s">
        <v>473</v>
      </c>
      <c r="C4179" s="31" t="s">
        <v>934</v>
      </c>
      <c r="D4179" s="31" t="s">
        <v>3663</v>
      </c>
      <c r="E4179" s="32">
        <v>46113.0</v>
      </c>
      <c r="F4179" s="32">
        <v>46171.0</v>
      </c>
      <c r="G4179" s="33"/>
    </row>
    <row r="4180" ht="15.75" customHeight="1">
      <c r="A4180" s="26" t="s">
        <v>7844</v>
      </c>
      <c r="B4180" s="27" t="s">
        <v>473</v>
      </c>
      <c r="C4180" s="27" t="s">
        <v>1354</v>
      </c>
      <c r="D4180" s="26" t="s">
        <v>3663</v>
      </c>
      <c r="E4180" s="28">
        <v>46113.0</v>
      </c>
      <c r="F4180" s="28">
        <v>46171.0</v>
      </c>
      <c r="G4180" s="29"/>
    </row>
    <row r="4181" ht="15.75" customHeight="1">
      <c r="A4181" s="30" t="s">
        <v>7845</v>
      </c>
      <c r="B4181" s="31" t="s">
        <v>473</v>
      </c>
      <c r="C4181" s="31" t="s">
        <v>3647</v>
      </c>
      <c r="D4181" s="30" t="s">
        <v>3663</v>
      </c>
      <c r="E4181" s="32">
        <v>46113.0</v>
      </c>
      <c r="F4181" s="32">
        <v>46171.0</v>
      </c>
      <c r="G4181" s="33"/>
    </row>
    <row r="4182" ht="15.75" customHeight="1">
      <c r="A4182" s="26" t="s">
        <v>7846</v>
      </c>
      <c r="B4182" s="27" t="s">
        <v>473</v>
      </c>
      <c r="C4182" s="27" t="s">
        <v>952</v>
      </c>
      <c r="D4182" s="26" t="s">
        <v>3663</v>
      </c>
      <c r="E4182" s="28">
        <v>46113.0</v>
      </c>
      <c r="F4182" s="28">
        <v>46171.0</v>
      </c>
      <c r="G4182" s="29"/>
    </row>
    <row r="4183" ht="15.75" customHeight="1">
      <c r="A4183" s="30" t="s">
        <v>7847</v>
      </c>
      <c r="B4183" s="31" t="s">
        <v>473</v>
      </c>
      <c r="C4183" s="31" t="s">
        <v>1216</v>
      </c>
      <c r="D4183" s="30" t="s">
        <v>3663</v>
      </c>
      <c r="E4183" s="32">
        <v>46113.0</v>
      </c>
      <c r="F4183" s="32">
        <v>46171.0</v>
      </c>
      <c r="G4183" s="33"/>
    </row>
    <row r="4184" ht="15.75" customHeight="1">
      <c r="A4184" s="26" t="s">
        <v>7848</v>
      </c>
      <c r="B4184" s="27" t="s">
        <v>473</v>
      </c>
      <c r="C4184" s="27" t="s">
        <v>1218</v>
      </c>
      <c r="D4184" s="26" t="s">
        <v>3663</v>
      </c>
      <c r="E4184" s="28">
        <v>46113.0</v>
      </c>
      <c r="F4184" s="28">
        <v>46171.0</v>
      </c>
      <c r="G4184" s="29"/>
    </row>
    <row r="4185" ht="15.75" customHeight="1">
      <c r="A4185" s="30" t="s">
        <v>7849</v>
      </c>
      <c r="B4185" s="31" t="s">
        <v>473</v>
      </c>
      <c r="C4185" s="31" t="s">
        <v>968</v>
      </c>
      <c r="D4185" s="30" t="s">
        <v>3663</v>
      </c>
      <c r="E4185" s="32">
        <v>46113.0</v>
      </c>
      <c r="F4185" s="32">
        <v>46171.0</v>
      </c>
      <c r="G4185" s="33"/>
    </row>
    <row r="4186" ht="15.75" customHeight="1">
      <c r="A4186" s="26" t="s">
        <v>7850</v>
      </c>
      <c r="B4186" s="27" t="s">
        <v>473</v>
      </c>
      <c r="C4186" s="27" t="s">
        <v>923</v>
      </c>
      <c r="D4186" s="27" t="s">
        <v>3663</v>
      </c>
      <c r="E4186" s="28">
        <v>46113.0</v>
      </c>
      <c r="F4186" s="28">
        <v>46171.0</v>
      </c>
      <c r="G4186" s="29"/>
    </row>
    <row r="4187" ht="15.75" customHeight="1">
      <c r="A4187" s="30" t="s">
        <v>7851</v>
      </c>
      <c r="B4187" s="31" t="s">
        <v>474</v>
      </c>
      <c r="C4187" s="31" t="s">
        <v>932</v>
      </c>
      <c r="D4187" s="30" t="s">
        <v>3663</v>
      </c>
      <c r="E4187" s="32">
        <v>46113.0</v>
      </c>
      <c r="F4187" s="32">
        <v>46171.0</v>
      </c>
      <c r="G4187" s="33"/>
    </row>
    <row r="4188" ht="15.75" customHeight="1">
      <c r="A4188" s="26" t="s">
        <v>7852</v>
      </c>
      <c r="B4188" s="27" t="s">
        <v>474</v>
      </c>
      <c r="C4188" s="27" t="s">
        <v>1164</v>
      </c>
      <c r="D4188" s="26" t="s">
        <v>3663</v>
      </c>
      <c r="E4188" s="28">
        <v>46113.0</v>
      </c>
      <c r="F4188" s="28">
        <v>46171.0</v>
      </c>
      <c r="G4188" s="29"/>
    </row>
    <row r="4189" ht="15.75" customHeight="1">
      <c r="A4189" s="30" t="s">
        <v>7853</v>
      </c>
      <c r="B4189" s="31" t="s">
        <v>474</v>
      </c>
      <c r="C4189" s="31" t="s">
        <v>1166</v>
      </c>
      <c r="D4189" s="30" t="s">
        <v>3663</v>
      </c>
      <c r="E4189" s="32">
        <v>46113.0</v>
      </c>
      <c r="F4189" s="32">
        <v>46171.0</v>
      </c>
      <c r="G4189" s="33"/>
    </row>
    <row r="4190" ht="15.75" customHeight="1">
      <c r="A4190" s="26" t="s">
        <v>7854</v>
      </c>
      <c r="B4190" s="27" t="s">
        <v>474</v>
      </c>
      <c r="C4190" s="27" t="s">
        <v>1168</v>
      </c>
      <c r="D4190" s="26" t="s">
        <v>3663</v>
      </c>
      <c r="E4190" s="28">
        <v>46113.0</v>
      </c>
      <c r="F4190" s="28">
        <v>46171.0</v>
      </c>
      <c r="G4190" s="29"/>
    </row>
    <row r="4191" ht="15.75" customHeight="1">
      <c r="A4191" s="30" t="s">
        <v>7855</v>
      </c>
      <c r="B4191" s="31" t="s">
        <v>474</v>
      </c>
      <c r="C4191" s="31" t="s">
        <v>1170</v>
      </c>
      <c r="D4191" s="30" t="s">
        <v>3663</v>
      </c>
      <c r="E4191" s="32">
        <v>46113.0</v>
      </c>
      <c r="F4191" s="32">
        <v>46171.0</v>
      </c>
      <c r="G4191" s="33"/>
    </row>
    <row r="4192" ht="15.75" customHeight="1">
      <c r="A4192" s="26" t="s">
        <v>7856</v>
      </c>
      <c r="B4192" s="27" t="s">
        <v>474</v>
      </c>
      <c r="C4192" s="27" t="s">
        <v>1354</v>
      </c>
      <c r="D4192" s="26" t="s">
        <v>3663</v>
      </c>
      <c r="E4192" s="28">
        <v>46113.0</v>
      </c>
      <c r="F4192" s="28">
        <v>46171.0</v>
      </c>
      <c r="G4192" s="29"/>
    </row>
    <row r="4193" ht="15.75" customHeight="1">
      <c r="A4193" s="30" t="s">
        <v>7857</v>
      </c>
      <c r="B4193" s="31" t="s">
        <v>474</v>
      </c>
      <c r="C4193" s="31" t="s">
        <v>3681</v>
      </c>
      <c r="D4193" s="30" t="s">
        <v>3663</v>
      </c>
      <c r="E4193" s="32">
        <v>46113.0</v>
      </c>
      <c r="F4193" s="32">
        <v>46171.0</v>
      </c>
      <c r="G4193" s="33"/>
    </row>
    <row r="4194" ht="15.75" customHeight="1">
      <c r="A4194" s="26" t="s">
        <v>7858</v>
      </c>
      <c r="B4194" s="27" t="s">
        <v>474</v>
      </c>
      <c r="C4194" s="27" t="s">
        <v>3683</v>
      </c>
      <c r="D4194" s="26" t="s">
        <v>3663</v>
      </c>
      <c r="E4194" s="28">
        <v>46113.0</v>
      </c>
      <c r="F4194" s="28">
        <v>46171.0</v>
      </c>
      <c r="G4194" s="29"/>
    </row>
    <row r="4195" ht="15.75" customHeight="1">
      <c r="A4195" s="30" t="s">
        <v>7859</v>
      </c>
      <c r="B4195" s="31" t="s">
        <v>474</v>
      </c>
      <c r="C4195" s="31" t="s">
        <v>1190</v>
      </c>
      <c r="D4195" s="30" t="s">
        <v>3663</v>
      </c>
      <c r="E4195" s="32">
        <v>46113.0</v>
      </c>
      <c r="F4195" s="32">
        <v>46171.0</v>
      </c>
      <c r="G4195" s="33"/>
    </row>
    <row r="4196" ht="15.75" customHeight="1">
      <c r="A4196" s="26" t="s">
        <v>7860</v>
      </c>
      <c r="B4196" s="27" t="s">
        <v>474</v>
      </c>
      <c r="C4196" s="27" t="s">
        <v>1351</v>
      </c>
      <c r="D4196" s="26" t="s">
        <v>3663</v>
      </c>
      <c r="E4196" s="28">
        <v>46113.0</v>
      </c>
      <c r="F4196" s="28">
        <v>46171.0</v>
      </c>
      <c r="G4196" s="29"/>
    </row>
    <row r="4197" ht="15.75" customHeight="1">
      <c r="A4197" s="30" t="s">
        <v>7861</v>
      </c>
      <c r="B4197" s="31" t="s">
        <v>474</v>
      </c>
      <c r="C4197" s="31" t="s">
        <v>1349</v>
      </c>
      <c r="D4197" s="30" t="s">
        <v>3663</v>
      </c>
      <c r="E4197" s="32">
        <v>46113.0</v>
      </c>
      <c r="F4197" s="32">
        <v>46171.0</v>
      </c>
      <c r="G4197" s="33"/>
    </row>
    <row r="4198" ht="15.75" customHeight="1">
      <c r="A4198" s="26" t="s">
        <v>7862</v>
      </c>
      <c r="B4198" s="27" t="s">
        <v>474</v>
      </c>
      <c r="C4198" s="27" t="s">
        <v>965</v>
      </c>
      <c r="D4198" s="26" t="s">
        <v>3663</v>
      </c>
      <c r="E4198" s="28">
        <v>46113.0</v>
      </c>
      <c r="F4198" s="28">
        <v>46171.0</v>
      </c>
      <c r="G4198" s="29"/>
    </row>
    <row r="4199" ht="15.75" customHeight="1">
      <c r="A4199" s="30" t="s">
        <v>7863</v>
      </c>
      <c r="B4199" s="31" t="s">
        <v>474</v>
      </c>
      <c r="C4199" s="31" t="s">
        <v>923</v>
      </c>
      <c r="D4199" s="30" t="s">
        <v>3663</v>
      </c>
      <c r="E4199" s="32">
        <v>46113.0</v>
      </c>
      <c r="F4199" s="32">
        <v>46171.0</v>
      </c>
      <c r="G4199" s="33"/>
    </row>
    <row r="4200" ht="15.75" customHeight="1">
      <c r="A4200" s="26" t="s">
        <v>7864</v>
      </c>
      <c r="B4200" s="27" t="s">
        <v>474</v>
      </c>
      <c r="C4200" s="27" t="s">
        <v>961</v>
      </c>
      <c r="D4200" s="26" t="s">
        <v>3663</v>
      </c>
      <c r="E4200" s="28">
        <v>46113.0</v>
      </c>
      <c r="F4200" s="28">
        <v>46171.0</v>
      </c>
      <c r="G4200" s="29"/>
    </row>
    <row r="4201" ht="15.75" customHeight="1">
      <c r="A4201" s="30" t="s">
        <v>7865</v>
      </c>
      <c r="B4201" s="31" t="s">
        <v>475</v>
      </c>
      <c r="C4201" s="31" t="s">
        <v>3654</v>
      </c>
      <c r="D4201" s="30" t="s">
        <v>3663</v>
      </c>
      <c r="E4201" s="32">
        <v>46113.0</v>
      </c>
      <c r="F4201" s="32">
        <v>46171.0</v>
      </c>
      <c r="G4201" s="33"/>
    </row>
    <row r="4202" ht="15.75" customHeight="1">
      <c r="A4202" s="26" t="s">
        <v>7866</v>
      </c>
      <c r="B4202" s="27" t="s">
        <v>475</v>
      </c>
      <c r="C4202" s="27" t="s">
        <v>3655</v>
      </c>
      <c r="D4202" s="26" t="s">
        <v>3663</v>
      </c>
      <c r="E4202" s="28">
        <v>46113.0</v>
      </c>
      <c r="F4202" s="28">
        <v>46171.0</v>
      </c>
      <c r="G4202" s="29"/>
    </row>
    <row r="4203" ht="15.75" customHeight="1">
      <c r="A4203" s="30" t="s">
        <v>7867</v>
      </c>
      <c r="B4203" s="31" t="s">
        <v>475</v>
      </c>
      <c r="C4203" s="31" t="s">
        <v>928</v>
      </c>
      <c r="D4203" s="30" t="s">
        <v>3663</v>
      </c>
      <c r="E4203" s="32">
        <v>46113.0</v>
      </c>
      <c r="F4203" s="32">
        <v>46171.0</v>
      </c>
      <c r="G4203" s="33"/>
    </row>
    <row r="4204" ht="15.75" customHeight="1">
      <c r="A4204" s="26" t="s">
        <v>7868</v>
      </c>
      <c r="B4204" s="27" t="s">
        <v>475</v>
      </c>
      <c r="C4204" s="27" t="s">
        <v>1354</v>
      </c>
      <c r="D4204" s="26" t="s">
        <v>3663</v>
      </c>
      <c r="E4204" s="28">
        <v>46113.0</v>
      </c>
      <c r="F4204" s="28">
        <v>46171.0</v>
      </c>
      <c r="G4204" s="29"/>
    </row>
    <row r="4205" ht="15.75" customHeight="1">
      <c r="A4205" s="30" t="s">
        <v>7869</v>
      </c>
      <c r="B4205" s="31" t="s">
        <v>475</v>
      </c>
      <c r="C4205" s="31" t="s">
        <v>1222</v>
      </c>
      <c r="D4205" s="30" t="s">
        <v>3663</v>
      </c>
      <c r="E4205" s="32">
        <v>46113.0</v>
      </c>
      <c r="F4205" s="32">
        <v>46171.0</v>
      </c>
      <c r="G4205" s="33"/>
    </row>
    <row r="4206" ht="15.75" customHeight="1">
      <c r="A4206" s="26" t="s">
        <v>7870</v>
      </c>
      <c r="B4206" s="27" t="s">
        <v>475</v>
      </c>
      <c r="C4206" s="27" t="s">
        <v>1224</v>
      </c>
      <c r="D4206" s="26" t="s">
        <v>3663</v>
      </c>
      <c r="E4206" s="28">
        <v>46113.0</v>
      </c>
      <c r="F4206" s="28">
        <v>46171.0</v>
      </c>
      <c r="G4206" s="29"/>
    </row>
    <row r="4207" ht="15.75" customHeight="1">
      <c r="A4207" s="30" t="s">
        <v>7871</v>
      </c>
      <c r="B4207" s="31" t="s">
        <v>475</v>
      </c>
      <c r="C4207" s="31" t="s">
        <v>1226</v>
      </c>
      <c r="D4207" s="30" t="s">
        <v>3663</v>
      </c>
      <c r="E4207" s="32">
        <v>46113.0</v>
      </c>
      <c r="F4207" s="32">
        <v>46171.0</v>
      </c>
      <c r="G4207" s="33"/>
    </row>
    <row r="4208" ht="15.75" customHeight="1">
      <c r="A4208" s="26" t="s">
        <v>7872</v>
      </c>
      <c r="B4208" s="27" t="s">
        <v>475</v>
      </c>
      <c r="C4208" s="27" t="s">
        <v>1228</v>
      </c>
      <c r="D4208" s="26" t="s">
        <v>3663</v>
      </c>
      <c r="E4208" s="28">
        <v>46113.0</v>
      </c>
      <c r="F4208" s="28">
        <v>46171.0</v>
      </c>
      <c r="G4208" s="29"/>
    </row>
    <row r="4209" ht="15.75" customHeight="1">
      <c r="A4209" s="30" t="s">
        <v>7873</v>
      </c>
      <c r="B4209" s="31" t="s">
        <v>475</v>
      </c>
      <c r="C4209" s="31" t="s">
        <v>1218</v>
      </c>
      <c r="D4209" s="30" t="s">
        <v>3663</v>
      </c>
      <c r="E4209" s="32">
        <v>46113.0</v>
      </c>
      <c r="F4209" s="32">
        <v>46171.0</v>
      </c>
      <c r="G4209" s="33"/>
    </row>
    <row r="4210" ht="15.75" customHeight="1">
      <c r="A4210" s="26" t="s">
        <v>7874</v>
      </c>
      <c r="B4210" s="27" t="s">
        <v>475</v>
      </c>
      <c r="C4210" s="27" t="s">
        <v>1351</v>
      </c>
      <c r="D4210" s="26" t="s">
        <v>3663</v>
      </c>
      <c r="E4210" s="28">
        <v>46113.0</v>
      </c>
      <c r="F4210" s="28">
        <v>46171.0</v>
      </c>
      <c r="G4210" s="29"/>
    </row>
    <row r="4211" ht="15.75" customHeight="1">
      <c r="A4211" s="30" t="s">
        <v>7875</v>
      </c>
      <c r="B4211" s="31" t="s">
        <v>475</v>
      </c>
      <c r="C4211" s="31" t="s">
        <v>1349</v>
      </c>
      <c r="D4211" s="30" t="s">
        <v>3663</v>
      </c>
      <c r="E4211" s="32">
        <v>46113.0</v>
      </c>
      <c r="F4211" s="32">
        <v>46171.0</v>
      </c>
      <c r="G4211" s="33"/>
    </row>
    <row r="4212" ht="15.75" customHeight="1">
      <c r="A4212" s="26" t="s">
        <v>7876</v>
      </c>
      <c r="B4212" s="27" t="s">
        <v>475</v>
      </c>
      <c r="C4212" s="27" t="s">
        <v>968</v>
      </c>
      <c r="D4212" s="26" t="s">
        <v>3663</v>
      </c>
      <c r="E4212" s="28">
        <v>46113.0</v>
      </c>
      <c r="F4212" s="28">
        <v>46171.0</v>
      </c>
      <c r="G4212" s="29"/>
    </row>
    <row r="4213" ht="15.75" customHeight="1">
      <c r="A4213" s="30" t="s">
        <v>7877</v>
      </c>
      <c r="B4213" s="31" t="s">
        <v>475</v>
      </c>
      <c r="C4213" s="31" t="s">
        <v>923</v>
      </c>
      <c r="D4213" s="30" t="s">
        <v>3663</v>
      </c>
      <c r="E4213" s="32">
        <v>46113.0</v>
      </c>
      <c r="F4213" s="32">
        <v>46171.0</v>
      </c>
      <c r="G4213" s="33"/>
    </row>
    <row r="4214" ht="15.75" customHeight="1">
      <c r="A4214" s="26" t="s">
        <v>7878</v>
      </c>
      <c r="B4214" s="27" t="s">
        <v>475</v>
      </c>
      <c r="C4214" s="27" t="s">
        <v>955</v>
      </c>
      <c r="D4214" s="26" t="s">
        <v>3663</v>
      </c>
      <c r="E4214" s="28">
        <v>46113.0</v>
      </c>
      <c r="F4214" s="28">
        <v>46171.0</v>
      </c>
      <c r="G4214" s="29"/>
    </row>
    <row r="4215" ht="15.75" customHeight="1">
      <c r="A4215" s="30" t="s">
        <v>7879</v>
      </c>
      <c r="B4215" s="31" t="s">
        <v>476</v>
      </c>
      <c r="C4215" s="31" t="s">
        <v>926</v>
      </c>
      <c r="D4215" s="31" t="s">
        <v>3663</v>
      </c>
      <c r="E4215" s="32">
        <v>46113.0</v>
      </c>
      <c r="F4215" s="32">
        <v>46171.0</v>
      </c>
      <c r="G4215" s="33"/>
    </row>
    <row r="4216" ht="15.75" customHeight="1">
      <c r="A4216" s="26" t="s">
        <v>7880</v>
      </c>
      <c r="B4216" s="27" t="s">
        <v>476</v>
      </c>
      <c r="C4216" s="27" t="s">
        <v>1354</v>
      </c>
      <c r="D4216" s="26" t="s">
        <v>3663</v>
      </c>
      <c r="E4216" s="28">
        <v>46113.0</v>
      </c>
      <c r="F4216" s="28">
        <v>46171.0</v>
      </c>
      <c r="G4216" s="29"/>
    </row>
    <row r="4217" ht="15.75" customHeight="1">
      <c r="A4217" s="30" t="s">
        <v>7881</v>
      </c>
      <c r="B4217" s="31" t="s">
        <v>476</v>
      </c>
      <c r="C4217" s="31" t="s">
        <v>3681</v>
      </c>
      <c r="D4217" s="30" t="s">
        <v>3663</v>
      </c>
      <c r="E4217" s="32">
        <v>46113.0</v>
      </c>
      <c r="F4217" s="32">
        <v>46171.0</v>
      </c>
      <c r="G4217" s="33"/>
    </row>
    <row r="4218" ht="15.75" customHeight="1">
      <c r="A4218" s="26" t="s">
        <v>7882</v>
      </c>
      <c r="B4218" s="27" t="s">
        <v>476</v>
      </c>
      <c r="C4218" s="27" t="s">
        <v>3683</v>
      </c>
      <c r="D4218" s="26" t="s">
        <v>3663</v>
      </c>
      <c r="E4218" s="28">
        <v>46113.0</v>
      </c>
      <c r="F4218" s="28">
        <v>46171.0</v>
      </c>
      <c r="G4218" s="29"/>
    </row>
    <row r="4219" ht="15.75" customHeight="1">
      <c r="A4219" s="30" t="s">
        <v>7883</v>
      </c>
      <c r="B4219" s="31" t="s">
        <v>476</v>
      </c>
      <c r="C4219" s="31" t="s">
        <v>1159</v>
      </c>
      <c r="D4219" s="30" t="s">
        <v>3663</v>
      </c>
      <c r="E4219" s="32">
        <v>46113.0</v>
      </c>
      <c r="F4219" s="32">
        <v>46171.0</v>
      </c>
      <c r="G4219" s="33"/>
    </row>
    <row r="4220" ht="15.75" customHeight="1">
      <c r="A4220" s="26" t="s">
        <v>7884</v>
      </c>
      <c r="B4220" s="27" t="s">
        <v>476</v>
      </c>
      <c r="C4220" s="27" t="s">
        <v>3648</v>
      </c>
      <c r="D4220" s="27" t="s">
        <v>3663</v>
      </c>
      <c r="E4220" s="28">
        <v>46113.0</v>
      </c>
      <c r="F4220" s="28">
        <v>46171.0</v>
      </c>
      <c r="G4220" s="29"/>
    </row>
    <row r="4221" ht="15.75" customHeight="1">
      <c r="A4221" s="30" t="s">
        <v>7885</v>
      </c>
      <c r="B4221" s="31" t="s">
        <v>476</v>
      </c>
      <c r="C4221" s="31" t="s">
        <v>3649</v>
      </c>
      <c r="D4221" s="31" t="s">
        <v>3663</v>
      </c>
      <c r="E4221" s="32">
        <v>46113.0</v>
      </c>
      <c r="F4221" s="32">
        <v>46171.0</v>
      </c>
      <c r="G4221" s="33"/>
    </row>
    <row r="4222" ht="15.75" customHeight="1">
      <c r="A4222" s="26" t="s">
        <v>7886</v>
      </c>
      <c r="B4222" s="27" t="s">
        <v>476</v>
      </c>
      <c r="C4222" s="27" t="s">
        <v>3650</v>
      </c>
      <c r="D4222" s="27" t="s">
        <v>3663</v>
      </c>
      <c r="E4222" s="28">
        <v>46113.0</v>
      </c>
      <c r="F4222" s="28">
        <v>46171.0</v>
      </c>
      <c r="G4222" s="29"/>
    </row>
    <row r="4223" ht="15.75" customHeight="1">
      <c r="A4223" s="30" t="s">
        <v>7887</v>
      </c>
      <c r="B4223" s="31" t="s">
        <v>476</v>
      </c>
      <c r="C4223" s="31" t="s">
        <v>1283</v>
      </c>
      <c r="D4223" s="31" t="s">
        <v>3663</v>
      </c>
      <c r="E4223" s="32">
        <v>46113.0</v>
      </c>
      <c r="F4223" s="32">
        <v>46171.0</v>
      </c>
      <c r="G4223" s="33"/>
    </row>
    <row r="4224" ht="15.75" customHeight="1">
      <c r="A4224" s="26" t="s">
        <v>7888</v>
      </c>
      <c r="B4224" s="27" t="s">
        <v>476</v>
      </c>
      <c r="C4224" s="27" t="s">
        <v>1216</v>
      </c>
      <c r="D4224" s="26" t="s">
        <v>3663</v>
      </c>
      <c r="E4224" s="28">
        <v>46113.0</v>
      </c>
      <c r="F4224" s="28">
        <v>46171.0</v>
      </c>
      <c r="G4224" s="29"/>
    </row>
    <row r="4225" ht="15.75" customHeight="1">
      <c r="A4225" s="30" t="s">
        <v>7889</v>
      </c>
      <c r="B4225" s="31" t="s">
        <v>476</v>
      </c>
      <c r="C4225" s="31" t="s">
        <v>1351</v>
      </c>
      <c r="D4225" s="30" t="s">
        <v>3663</v>
      </c>
      <c r="E4225" s="32">
        <v>46113.0</v>
      </c>
      <c r="F4225" s="32">
        <v>46171.0</v>
      </c>
      <c r="G4225" s="33"/>
    </row>
    <row r="4226" ht="15.75" customHeight="1">
      <c r="A4226" s="26" t="s">
        <v>7890</v>
      </c>
      <c r="B4226" s="27" t="s">
        <v>476</v>
      </c>
      <c r="C4226" s="27" t="s">
        <v>1349</v>
      </c>
      <c r="D4226" s="26" t="s">
        <v>3663</v>
      </c>
      <c r="E4226" s="28">
        <v>46113.0</v>
      </c>
      <c r="F4226" s="28">
        <v>46171.0</v>
      </c>
      <c r="G4226" s="29"/>
    </row>
    <row r="4227" ht="15.75" customHeight="1">
      <c r="A4227" s="30" t="s">
        <v>7891</v>
      </c>
      <c r="B4227" s="31" t="s">
        <v>476</v>
      </c>
      <c r="C4227" s="31" t="s">
        <v>968</v>
      </c>
      <c r="D4227" s="30" t="s">
        <v>3663</v>
      </c>
      <c r="E4227" s="32">
        <v>46113.0</v>
      </c>
      <c r="F4227" s="32">
        <v>46171.0</v>
      </c>
      <c r="G4227" s="33"/>
    </row>
    <row r="4228" ht="15.75" customHeight="1">
      <c r="A4228" s="26" t="s">
        <v>7892</v>
      </c>
      <c r="B4228" s="27" t="s">
        <v>476</v>
      </c>
      <c r="C4228" s="27" t="s">
        <v>923</v>
      </c>
      <c r="D4228" s="27" t="s">
        <v>3663</v>
      </c>
      <c r="E4228" s="28">
        <v>46113.0</v>
      </c>
      <c r="F4228" s="28">
        <v>46171.0</v>
      </c>
      <c r="G4228" s="29"/>
    </row>
    <row r="4229" ht="15.75" customHeight="1">
      <c r="A4229" s="30" t="s">
        <v>7893</v>
      </c>
      <c r="B4229" s="31" t="s">
        <v>477</v>
      </c>
      <c r="C4229" s="31" t="s">
        <v>3654</v>
      </c>
      <c r="D4229" s="30" t="s">
        <v>3663</v>
      </c>
      <c r="E4229" s="32">
        <v>46113.0</v>
      </c>
      <c r="F4229" s="32">
        <v>46171.0</v>
      </c>
      <c r="G4229" s="33"/>
    </row>
    <row r="4230" ht="15.75" customHeight="1">
      <c r="A4230" s="26" t="s">
        <v>7894</v>
      </c>
      <c r="B4230" s="27" t="s">
        <v>477</v>
      </c>
      <c r="C4230" s="27" t="s">
        <v>3655</v>
      </c>
      <c r="D4230" s="26" t="s">
        <v>3663</v>
      </c>
      <c r="E4230" s="28">
        <v>46113.0</v>
      </c>
      <c r="F4230" s="28">
        <v>46171.0</v>
      </c>
      <c r="G4230" s="29"/>
    </row>
    <row r="4231" ht="15.75" customHeight="1">
      <c r="A4231" s="30" t="s">
        <v>7895</v>
      </c>
      <c r="B4231" s="31" t="s">
        <v>477</v>
      </c>
      <c r="C4231" s="31" t="s">
        <v>930</v>
      </c>
      <c r="D4231" s="30" t="s">
        <v>3663</v>
      </c>
      <c r="E4231" s="32">
        <v>46113.0</v>
      </c>
      <c r="F4231" s="32">
        <v>46171.0</v>
      </c>
      <c r="G4231" s="33"/>
    </row>
    <row r="4232" ht="15.75" customHeight="1">
      <c r="A4232" s="26" t="s">
        <v>7896</v>
      </c>
      <c r="B4232" s="27" t="s">
        <v>477</v>
      </c>
      <c r="C4232" s="27" t="s">
        <v>1354</v>
      </c>
      <c r="D4232" s="26" t="s">
        <v>3663</v>
      </c>
      <c r="E4232" s="28">
        <v>46113.0</v>
      </c>
      <c r="F4232" s="28">
        <v>46171.0</v>
      </c>
      <c r="G4232" s="29"/>
    </row>
    <row r="4233" ht="15.75" customHeight="1">
      <c r="A4233" s="30" t="s">
        <v>7897</v>
      </c>
      <c r="B4233" s="31" t="s">
        <v>477</v>
      </c>
      <c r="C4233" s="31" t="s">
        <v>1159</v>
      </c>
      <c r="D4233" s="30" t="s">
        <v>3663</v>
      </c>
      <c r="E4233" s="32">
        <v>46113.0</v>
      </c>
      <c r="F4233" s="32">
        <v>46171.0</v>
      </c>
      <c r="G4233" s="33"/>
    </row>
    <row r="4234" ht="15.75" customHeight="1">
      <c r="A4234" s="26" t="s">
        <v>7898</v>
      </c>
      <c r="B4234" s="27" t="s">
        <v>477</v>
      </c>
      <c r="C4234" s="27" t="s">
        <v>1157</v>
      </c>
      <c r="D4234" s="26" t="s">
        <v>3663</v>
      </c>
      <c r="E4234" s="28">
        <v>46113.0</v>
      </c>
      <c r="F4234" s="28">
        <v>46171.0</v>
      </c>
      <c r="G4234" s="29"/>
    </row>
    <row r="4235" ht="15.75" customHeight="1">
      <c r="A4235" s="30" t="s">
        <v>7899</v>
      </c>
      <c r="B4235" s="31" t="s">
        <v>477</v>
      </c>
      <c r="C4235" s="31" t="s">
        <v>1155</v>
      </c>
      <c r="D4235" s="30" t="s">
        <v>3663</v>
      </c>
      <c r="E4235" s="32">
        <v>46113.0</v>
      </c>
      <c r="F4235" s="32">
        <v>46171.0</v>
      </c>
      <c r="G4235" s="33"/>
    </row>
    <row r="4236" ht="15.75" customHeight="1">
      <c r="A4236" s="26" t="s">
        <v>7900</v>
      </c>
      <c r="B4236" s="27" t="s">
        <v>477</v>
      </c>
      <c r="C4236" s="27" t="s">
        <v>1153</v>
      </c>
      <c r="D4236" s="26" t="s">
        <v>3663</v>
      </c>
      <c r="E4236" s="28">
        <v>46113.0</v>
      </c>
      <c r="F4236" s="28">
        <v>46171.0</v>
      </c>
      <c r="G4236" s="29"/>
    </row>
    <row r="4237" ht="15.75" customHeight="1">
      <c r="A4237" s="30" t="s">
        <v>7901</v>
      </c>
      <c r="B4237" s="31" t="s">
        <v>477</v>
      </c>
      <c r="C4237" s="31" t="s">
        <v>1149</v>
      </c>
      <c r="D4237" s="30" t="s">
        <v>3663</v>
      </c>
      <c r="E4237" s="32">
        <v>46113.0</v>
      </c>
      <c r="F4237" s="32">
        <v>46171.0</v>
      </c>
      <c r="G4237" s="33"/>
    </row>
    <row r="4238" ht="15.75" customHeight="1">
      <c r="A4238" s="26" t="s">
        <v>7902</v>
      </c>
      <c r="B4238" s="27" t="s">
        <v>477</v>
      </c>
      <c r="C4238" s="27" t="s">
        <v>1351</v>
      </c>
      <c r="D4238" s="26" t="s">
        <v>3663</v>
      </c>
      <c r="E4238" s="28">
        <v>46113.0</v>
      </c>
      <c r="F4238" s="28">
        <v>46171.0</v>
      </c>
      <c r="G4238" s="29"/>
    </row>
    <row r="4239" ht="15.75" customHeight="1">
      <c r="A4239" s="30" t="s">
        <v>7903</v>
      </c>
      <c r="B4239" s="31" t="s">
        <v>477</v>
      </c>
      <c r="C4239" s="31" t="s">
        <v>1349</v>
      </c>
      <c r="D4239" s="30" t="s">
        <v>3663</v>
      </c>
      <c r="E4239" s="32">
        <v>46113.0</v>
      </c>
      <c r="F4239" s="32">
        <v>46171.0</v>
      </c>
      <c r="G4239" s="33"/>
    </row>
    <row r="4240" ht="15.75" customHeight="1">
      <c r="A4240" s="26" t="s">
        <v>7904</v>
      </c>
      <c r="B4240" s="27" t="s">
        <v>477</v>
      </c>
      <c r="C4240" s="27" t="s">
        <v>968</v>
      </c>
      <c r="D4240" s="26" t="s">
        <v>3663</v>
      </c>
      <c r="E4240" s="28">
        <v>46113.0</v>
      </c>
      <c r="F4240" s="28">
        <v>46171.0</v>
      </c>
      <c r="G4240" s="29"/>
    </row>
    <row r="4241" ht="15.75" customHeight="1">
      <c r="A4241" s="30" t="s">
        <v>7905</v>
      </c>
      <c r="B4241" s="31" t="s">
        <v>477</v>
      </c>
      <c r="C4241" s="31" t="s">
        <v>923</v>
      </c>
      <c r="D4241" s="30" t="s">
        <v>3663</v>
      </c>
      <c r="E4241" s="32">
        <v>46113.0</v>
      </c>
      <c r="F4241" s="32">
        <v>46171.0</v>
      </c>
      <c r="G4241" s="33"/>
    </row>
    <row r="4242" ht="15.75" customHeight="1">
      <c r="A4242" s="26" t="s">
        <v>7906</v>
      </c>
      <c r="B4242" s="27" t="s">
        <v>477</v>
      </c>
      <c r="C4242" s="27" t="s">
        <v>955</v>
      </c>
      <c r="D4242" s="26" t="s">
        <v>3663</v>
      </c>
      <c r="E4242" s="28">
        <v>46113.0</v>
      </c>
      <c r="F4242" s="28">
        <v>46171.0</v>
      </c>
      <c r="G4242" s="29"/>
    </row>
    <row r="4243" ht="15.75" customHeight="1">
      <c r="A4243" s="30" t="s">
        <v>7907</v>
      </c>
      <c r="B4243" s="31" t="s">
        <v>478</v>
      </c>
      <c r="C4243" s="31" t="s">
        <v>3654</v>
      </c>
      <c r="D4243" s="30" t="s">
        <v>3663</v>
      </c>
      <c r="E4243" s="32">
        <v>46113.0</v>
      </c>
      <c r="F4243" s="32">
        <v>46171.0</v>
      </c>
      <c r="G4243" s="33"/>
    </row>
    <row r="4244" ht="15.75" customHeight="1">
      <c r="A4244" s="26" t="s">
        <v>7908</v>
      </c>
      <c r="B4244" s="27" t="s">
        <v>478</v>
      </c>
      <c r="C4244" s="27" t="s">
        <v>3655</v>
      </c>
      <c r="D4244" s="26" t="s">
        <v>3663</v>
      </c>
      <c r="E4244" s="28">
        <v>46113.0</v>
      </c>
      <c r="F4244" s="28">
        <v>46171.0</v>
      </c>
      <c r="G4244" s="29"/>
    </row>
    <row r="4245" ht="15.75" customHeight="1">
      <c r="A4245" s="30" t="s">
        <v>7909</v>
      </c>
      <c r="B4245" s="31" t="s">
        <v>478</v>
      </c>
      <c r="C4245" s="31" t="s">
        <v>932</v>
      </c>
      <c r="D4245" s="30" t="s">
        <v>3663</v>
      </c>
      <c r="E4245" s="32">
        <v>46113.0</v>
      </c>
      <c r="F4245" s="32">
        <v>46171.0</v>
      </c>
      <c r="G4245" s="33"/>
    </row>
    <row r="4246" ht="15.75" customHeight="1">
      <c r="A4246" s="26" t="s">
        <v>7910</v>
      </c>
      <c r="B4246" s="27" t="s">
        <v>478</v>
      </c>
      <c r="C4246" s="27" t="s">
        <v>1168</v>
      </c>
      <c r="D4246" s="26" t="s">
        <v>3663</v>
      </c>
      <c r="E4246" s="28">
        <v>46113.0</v>
      </c>
      <c r="F4246" s="28">
        <v>46171.0</v>
      </c>
      <c r="G4246" s="29"/>
    </row>
    <row r="4247" ht="15.75" customHeight="1">
      <c r="A4247" s="30" t="s">
        <v>7911</v>
      </c>
      <c r="B4247" s="31" t="s">
        <v>478</v>
      </c>
      <c r="C4247" s="31" t="s">
        <v>1170</v>
      </c>
      <c r="D4247" s="30" t="s">
        <v>3663</v>
      </c>
      <c r="E4247" s="32">
        <v>46113.0</v>
      </c>
      <c r="F4247" s="32">
        <v>46171.0</v>
      </c>
      <c r="G4247" s="33"/>
    </row>
    <row r="4248" ht="15.75" customHeight="1">
      <c r="A4248" s="26" t="s">
        <v>7912</v>
      </c>
      <c r="B4248" s="27" t="s">
        <v>478</v>
      </c>
      <c r="C4248" s="27" t="s">
        <v>1288</v>
      </c>
      <c r="D4248" s="26" t="s">
        <v>3663</v>
      </c>
      <c r="E4248" s="28">
        <v>46113.0</v>
      </c>
      <c r="F4248" s="28">
        <v>46171.0</v>
      </c>
      <c r="G4248" s="29"/>
    </row>
    <row r="4249" ht="15.75" customHeight="1">
      <c r="A4249" s="30" t="s">
        <v>7913</v>
      </c>
      <c r="B4249" s="31" t="s">
        <v>478</v>
      </c>
      <c r="C4249" s="31" t="s">
        <v>1291</v>
      </c>
      <c r="D4249" s="30" t="s">
        <v>3663</v>
      </c>
      <c r="E4249" s="32">
        <v>46113.0</v>
      </c>
      <c r="F4249" s="32">
        <v>46171.0</v>
      </c>
      <c r="G4249" s="33"/>
    </row>
    <row r="4250" ht="15.75" customHeight="1">
      <c r="A4250" s="26" t="s">
        <v>7914</v>
      </c>
      <c r="B4250" s="27" t="s">
        <v>478</v>
      </c>
      <c r="C4250" s="27" t="s">
        <v>1354</v>
      </c>
      <c r="D4250" s="26" t="s">
        <v>3663</v>
      </c>
      <c r="E4250" s="28">
        <v>46113.0</v>
      </c>
      <c r="F4250" s="28">
        <v>46171.0</v>
      </c>
      <c r="G4250" s="29"/>
    </row>
    <row r="4251" ht="15.75" customHeight="1">
      <c r="A4251" s="30" t="s">
        <v>7915</v>
      </c>
      <c r="B4251" s="31" t="s">
        <v>478</v>
      </c>
      <c r="C4251" s="31" t="s">
        <v>1216</v>
      </c>
      <c r="D4251" s="30" t="s">
        <v>3663</v>
      </c>
      <c r="E4251" s="32">
        <v>46113.0</v>
      </c>
      <c r="F4251" s="32">
        <v>46171.0</v>
      </c>
      <c r="G4251" s="33"/>
    </row>
    <row r="4252" ht="15.75" customHeight="1">
      <c r="A4252" s="26" t="s">
        <v>7916</v>
      </c>
      <c r="B4252" s="27" t="s">
        <v>478</v>
      </c>
      <c r="C4252" s="27" t="s">
        <v>1351</v>
      </c>
      <c r="D4252" s="26" t="s">
        <v>3663</v>
      </c>
      <c r="E4252" s="28">
        <v>46113.0</v>
      </c>
      <c r="F4252" s="28">
        <v>46171.0</v>
      </c>
      <c r="G4252" s="29"/>
    </row>
    <row r="4253" ht="15.75" customHeight="1">
      <c r="A4253" s="30" t="s">
        <v>7917</v>
      </c>
      <c r="B4253" s="31" t="s">
        <v>478</v>
      </c>
      <c r="C4253" s="31" t="s">
        <v>1349</v>
      </c>
      <c r="D4253" s="30" t="s">
        <v>3663</v>
      </c>
      <c r="E4253" s="32">
        <v>46113.0</v>
      </c>
      <c r="F4253" s="32">
        <v>46171.0</v>
      </c>
      <c r="G4253" s="33"/>
    </row>
    <row r="4254" ht="15.75" customHeight="1">
      <c r="A4254" s="26" t="s">
        <v>7918</v>
      </c>
      <c r="B4254" s="27" t="s">
        <v>478</v>
      </c>
      <c r="C4254" s="27" t="s">
        <v>968</v>
      </c>
      <c r="D4254" s="26" t="s">
        <v>3663</v>
      </c>
      <c r="E4254" s="28">
        <v>46113.0</v>
      </c>
      <c r="F4254" s="28">
        <v>46171.0</v>
      </c>
      <c r="G4254" s="29"/>
    </row>
    <row r="4255" ht="15.75" customHeight="1">
      <c r="A4255" s="30" t="s">
        <v>7919</v>
      </c>
      <c r="B4255" s="31" t="s">
        <v>478</v>
      </c>
      <c r="C4255" s="31" t="s">
        <v>923</v>
      </c>
      <c r="D4255" s="30" t="s">
        <v>3663</v>
      </c>
      <c r="E4255" s="32">
        <v>46113.0</v>
      </c>
      <c r="F4255" s="32">
        <v>46171.0</v>
      </c>
      <c r="G4255" s="33"/>
    </row>
    <row r="4256" ht="15.75" customHeight="1">
      <c r="A4256" s="26" t="s">
        <v>7920</v>
      </c>
      <c r="B4256" s="27" t="s">
        <v>478</v>
      </c>
      <c r="C4256" s="27" t="s">
        <v>958</v>
      </c>
      <c r="D4256" s="26" t="s">
        <v>3663</v>
      </c>
      <c r="E4256" s="28">
        <v>46113.0</v>
      </c>
      <c r="F4256" s="28">
        <v>46171.0</v>
      </c>
      <c r="G4256" s="29"/>
    </row>
    <row r="4257" ht="15.75" customHeight="1">
      <c r="A4257" s="30" t="s">
        <v>7921</v>
      </c>
      <c r="B4257" s="31" t="s">
        <v>479</v>
      </c>
      <c r="C4257" s="31" t="s">
        <v>930</v>
      </c>
      <c r="D4257" s="31" t="s">
        <v>3663</v>
      </c>
      <c r="E4257" s="32">
        <v>46113.0</v>
      </c>
      <c r="F4257" s="32">
        <v>46171.0</v>
      </c>
      <c r="G4257" s="33"/>
    </row>
    <row r="4258" ht="15.75" customHeight="1">
      <c r="A4258" s="26" t="s">
        <v>7922</v>
      </c>
      <c r="B4258" s="27" t="s">
        <v>479</v>
      </c>
      <c r="C4258" s="27" t="s">
        <v>1354</v>
      </c>
      <c r="D4258" s="26" t="s">
        <v>3663</v>
      </c>
      <c r="E4258" s="28">
        <v>46113.0</v>
      </c>
      <c r="F4258" s="28">
        <v>46171.0</v>
      </c>
      <c r="G4258" s="29"/>
    </row>
    <row r="4259" ht="15.75" customHeight="1">
      <c r="A4259" s="30" t="s">
        <v>7923</v>
      </c>
      <c r="B4259" s="31" t="s">
        <v>479</v>
      </c>
      <c r="C4259" s="31" t="s">
        <v>1304</v>
      </c>
      <c r="D4259" s="31" t="s">
        <v>3663</v>
      </c>
      <c r="E4259" s="32">
        <v>46113.0</v>
      </c>
      <c r="F4259" s="32">
        <v>46171.0</v>
      </c>
      <c r="G4259" s="33"/>
    </row>
    <row r="4260" ht="15.75" customHeight="1">
      <c r="A4260" s="26" t="s">
        <v>7924</v>
      </c>
      <c r="B4260" s="27" t="s">
        <v>479</v>
      </c>
      <c r="C4260" s="27" t="s">
        <v>1306</v>
      </c>
      <c r="D4260" s="27" t="s">
        <v>3663</v>
      </c>
      <c r="E4260" s="28">
        <v>46113.0</v>
      </c>
      <c r="F4260" s="28">
        <v>46171.0</v>
      </c>
      <c r="G4260" s="29"/>
    </row>
    <row r="4261" ht="15.75" customHeight="1">
      <c r="A4261" s="30" t="s">
        <v>7925</v>
      </c>
      <c r="B4261" s="31" t="s">
        <v>479</v>
      </c>
      <c r="C4261" s="31" t="s">
        <v>1308</v>
      </c>
      <c r="D4261" s="31" t="s">
        <v>3663</v>
      </c>
      <c r="E4261" s="32">
        <v>46113.0</v>
      </c>
      <c r="F4261" s="32">
        <v>46171.0</v>
      </c>
      <c r="G4261" s="33"/>
    </row>
    <row r="4262" ht="15.75" customHeight="1">
      <c r="A4262" s="26" t="s">
        <v>7926</v>
      </c>
      <c r="B4262" s="27" t="s">
        <v>479</v>
      </c>
      <c r="C4262" s="27" t="s">
        <v>1310</v>
      </c>
      <c r="D4262" s="27" t="s">
        <v>3663</v>
      </c>
      <c r="E4262" s="28">
        <v>46113.0</v>
      </c>
      <c r="F4262" s="28">
        <v>46171.0</v>
      </c>
      <c r="G4262" s="29"/>
    </row>
    <row r="4263" ht="15.75" customHeight="1">
      <c r="A4263" s="30" t="s">
        <v>7927</v>
      </c>
      <c r="B4263" s="31" t="s">
        <v>479</v>
      </c>
      <c r="C4263" s="31" t="s">
        <v>3656</v>
      </c>
      <c r="D4263" s="30" t="s">
        <v>3663</v>
      </c>
      <c r="E4263" s="32">
        <v>46113.0</v>
      </c>
      <c r="F4263" s="32">
        <v>46171.0</v>
      </c>
      <c r="G4263" s="33"/>
    </row>
    <row r="4264" ht="15.75" customHeight="1">
      <c r="A4264" s="26" t="s">
        <v>7928</v>
      </c>
      <c r="B4264" s="27" t="s">
        <v>479</v>
      </c>
      <c r="C4264" s="27" t="s">
        <v>3657</v>
      </c>
      <c r="D4264" s="26" t="s">
        <v>3663</v>
      </c>
      <c r="E4264" s="28">
        <v>46113.0</v>
      </c>
      <c r="F4264" s="28">
        <v>46171.0</v>
      </c>
      <c r="G4264" s="29"/>
    </row>
    <row r="4265" ht="15.75" customHeight="1">
      <c r="A4265" s="30" t="s">
        <v>7929</v>
      </c>
      <c r="B4265" s="31" t="s">
        <v>479</v>
      </c>
      <c r="C4265" s="31" t="s">
        <v>1216</v>
      </c>
      <c r="D4265" s="30" t="s">
        <v>3663</v>
      </c>
      <c r="E4265" s="32">
        <v>46113.0</v>
      </c>
      <c r="F4265" s="32">
        <v>46171.0</v>
      </c>
      <c r="G4265" s="33"/>
    </row>
    <row r="4266" ht="15.75" customHeight="1">
      <c r="A4266" s="26" t="s">
        <v>7930</v>
      </c>
      <c r="B4266" s="27" t="s">
        <v>479</v>
      </c>
      <c r="C4266" s="27" t="s">
        <v>1218</v>
      </c>
      <c r="D4266" s="26" t="s">
        <v>3663</v>
      </c>
      <c r="E4266" s="28">
        <v>46113.0</v>
      </c>
      <c r="F4266" s="28">
        <v>46171.0</v>
      </c>
      <c r="G4266" s="29"/>
    </row>
    <row r="4267" ht="15.75" customHeight="1">
      <c r="A4267" s="30" t="s">
        <v>7931</v>
      </c>
      <c r="B4267" s="31" t="s">
        <v>479</v>
      </c>
      <c r="C4267" s="31" t="s">
        <v>1351</v>
      </c>
      <c r="D4267" s="30" t="s">
        <v>3663</v>
      </c>
      <c r="E4267" s="32">
        <v>46113.0</v>
      </c>
      <c r="F4267" s="32">
        <v>46171.0</v>
      </c>
      <c r="G4267" s="33"/>
    </row>
    <row r="4268" ht="15.75" customHeight="1">
      <c r="A4268" s="26" t="s">
        <v>7932</v>
      </c>
      <c r="B4268" s="27" t="s">
        <v>479</v>
      </c>
      <c r="C4268" s="27" t="s">
        <v>1349</v>
      </c>
      <c r="D4268" s="26" t="s">
        <v>3663</v>
      </c>
      <c r="E4268" s="28">
        <v>46113.0</v>
      </c>
      <c r="F4268" s="28">
        <v>46171.0</v>
      </c>
      <c r="G4268" s="29"/>
    </row>
    <row r="4269" ht="15.75" customHeight="1">
      <c r="A4269" s="30" t="s">
        <v>7933</v>
      </c>
      <c r="B4269" s="31" t="s">
        <v>479</v>
      </c>
      <c r="C4269" s="31" t="s">
        <v>968</v>
      </c>
      <c r="D4269" s="30" t="s">
        <v>3663</v>
      </c>
      <c r="E4269" s="32">
        <v>46113.0</v>
      </c>
      <c r="F4269" s="32">
        <v>46171.0</v>
      </c>
      <c r="G4269" s="33"/>
    </row>
    <row r="4270" ht="15.75" customHeight="1">
      <c r="A4270" s="26" t="s">
        <v>7934</v>
      </c>
      <c r="B4270" s="27" t="s">
        <v>479</v>
      </c>
      <c r="C4270" s="27" t="s">
        <v>923</v>
      </c>
      <c r="D4270" s="27" t="s">
        <v>3663</v>
      </c>
      <c r="E4270" s="28">
        <v>46113.0</v>
      </c>
      <c r="F4270" s="28">
        <v>46171.0</v>
      </c>
      <c r="G4270" s="29"/>
    </row>
    <row r="4271" ht="15.75" customHeight="1">
      <c r="A4271" s="30" t="s">
        <v>7935</v>
      </c>
      <c r="B4271" s="31" t="s">
        <v>480</v>
      </c>
      <c r="C4271" s="31" t="s">
        <v>1240</v>
      </c>
      <c r="D4271" s="31" t="s">
        <v>3663</v>
      </c>
      <c r="E4271" s="32">
        <v>46113.0</v>
      </c>
      <c r="F4271" s="32">
        <v>46171.0</v>
      </c>
      <c r="G4271" s="33"/>
    </row>
    <row r="4272" ht="15.75" customHeight="1">
      <c r="A4272" s="26" t="s">
        <v>7936</v>
      </c>
      <c r="B4272" s="27" t="s">
        <v>480</v>
      </c>
      <c r="C4272" s="27" t="s">
        <v>1242</v>
      </c>
      <c r="D4272" s="27" t="s">
        <v>3663</v>
      </c>
      <c r="E4272" s="28">
        <v>46113.0</v>
      </c>
      <c r="F4272" s="28">
        <v>46171.0</v>
      </c>
      <c r="G4272" s="29"/>
    </row>
    <row r="4273" ht="15.75" customHeight="1">
      <c r="A4273" s="30" t="s">
        <v>7937</v>
      </c>
      <c r="B4273" s="31" t="s">
        <v>480</v>
      </c>
      <c r="C4273" s="31" t="s">
        <v>1244</v>
      </c>
      <c r="D4273" s="31" t="s">
        <v>3663</v>
      </c>
      <c r="E4273" s="32">
        <v>46113.0</v>
      </c>
      <c r="F4273" s="32">
        <v>46171.0</v>
      </c>
      <c r="G4273" s="33"/>
    </row>
    <row r="4274" ht="15.75" customHeight="1">
      <c r="A4274" s="26" t="s">
        <v>7938</v>
      </c>
      <c r="B4274" s="27" t="s">
        <v>480</v>
      </c>
      <c r="C4274" s="27" t="s">
        <v>1246</v>
      </c>
      <c r="D4274" s="27" t="s">
        <v>3663</v>
      </c>
      <c r="E4274" s="28">
        <v>46113.0</v>
      </c>
      <c r="F4274" s="28">
        <v>46171.0</v>
      </c>
      <c r="G4274" s="29"/>
    </row>
    <row r="4275" ht="15.75" customHeight="1">
      <c r="A4275" s="30" t="s">
        <v>7939</v>
      </c>
      <c r="B4275" s="31" t="s">
        <v>480</v>
      </c>
      <c r="C4275" s="31" t="s">
        <v>934</v>
      </c>
      <c r="D4275" s="31" t="s">
        <v>3663</v>
      </c>
      <c r="E4275" s="32">
        <v>46113.0</v>
      </c>
      <c r="F4275" s="32">
        <v>46171.0</v>
      </c>
      <c r="G4275" s="33"/>
    </row>
    <row r="4276" ht="15.75" customHeight="1">
      <c r="A4276" s="26" t="s">
        <v>7940</v>
      </c>
      <c r="B4276" s="27" t="s">
        <v>480</v>
      </c>
      <c r="C4276" s="27" t="s">
        <v>1354</v>
      </c>
      <c r="D4276" s="26" t="s">
        <v>3663</v>
      </c>
      <c r="E4276" s="28">
        <v>46113.0</v>
      </c>
      <c r="F4276" s="28">
        <v>46171.0</v>
      </c>
      <c r="G4276" s="29"/>
    </row>
    <row r="4277" ht="15.75" customHeight="1">
      <c r="A4277" s="30" t="s">
        <v>7941</v>
      </c>
      <c r="B4277" s="31" t="s">
        <v>480</v>
      </c>
      <c r="C4277" s="31" t="s">
        <v>1159</v>
      </c>
      <c r="D4277" s="30" t="s">
        <v>3663</v>
      </c>
      <c r="E4277" s="32">
        <v>46113.0</v>
      </c>
      <c r="F4277" s="32">
        <v>46171.0</v>
      </c>
      <c r="G4277" s="33"/>
    </row>
    <row r="4278" ht="15.75" customHeight="1">
      <c r="A4278" s="26" t="s">
        <v>7942</v>
      </c>
      <c r="B4278" s="27" t="s">
        <v>480</v>
      </c>
      <c r="C4278" s="27" t="s">
        <v>3656</v>
      </c>
      <c r="D4278" s="26" t="s">
        <v>3663</v>
      </c>
      <c r="E4278" s="28">
        <v>46113.0</v>
      </c>
      <c r="F4278" s="28">
        <v>46171.0</v>
      </c>
      <c r="G4278" s="29"/>
    </row>
    <row r="4279" ht="15.75" customHeight="1">
      <c r="A4279" s="30" t="s">
        <v>7943</v>
      </c>
      <c r="B4279" s="31" t="s">
        <v>480</v>
      </c>
      <c r="C4279" s="31" t="s">
        <v>3657</v>
      </c>
      <c r="D4279" s="30" t="s">
        <v>3663</v>
      </c>
      <c r="E4279" s="32">
        <v>46113.0</v>
      </c>
      <c r="F4279" s="32">
        <v>46171.0</v>
      </c>
      <c r="G4279" s="33"/>
    </row>
    <row r="4280" ht="15.75" customHeight="1">
      <c r="A4280" s="26" t="s">
        <v>7944</v>
      </c>
      <c r="B4280" s="27" t="s">
        <v>480</v>
      </c>
      <c r="C4280" s="27" t="s">
        <v>1351</v>
      </c>
      <c r="D4280" s="26" t="s">
        <v>3663</v>
      </c>
      <c r="E4280" s="28">
        <v>46113.0</v>
      </c>
      <c r="F4280" s="28">
        <v>46171.0</v>
      </c>
      <c r="G4280" s="29"/>
    </row>
    <row r="4281" ht="15.75" customHeight="1">
      <c r="A4281" s="30" t="s">
        <v>7945</v>
      </c>
      <c r="B4281" s="31" t="s">
        <v>480</v>
      </c>
      <c r="C4281" s="31" t="s">
        <v>1349</v>
      </c>
      <c r="D4281" s="30" t="s">
        <v>3663</v>
      </c>
      <c r="E4281" s="32">
        <v>46113.0</v>
      </c>
      <c r="F4281" s="32">
        <v>46171.0</v>
      </c>
      <c r="G4281" s="33"/>
    </row>
    <row r="4282" ht="15.75" customHeight="1">
      <c r="A4282" s="26" t="s">
        <v>7946</v>
      </c>
      <c r="B4282" s="27" t="s">
        <v>480</v>
      </c>
      <c r="C4282" s="27" t="s">
        <v>968</v>
      </c>
      <c r="D4282" s="26" t="s">
        <v>3663</v>
      </c>
      <c r="E4282" s="28">
        <v>46113.0</v>
      </c>
      <c r="F4282" s="28">
        <v>46171.0</v>
      </c>
      <c r="G4282" s="29"/>
    </row>
    <row r="4283" ht="15.75" customHeight="1">
      <c r="A4283" s="30" t="s">
        <v>7947</v>
      </c>
      <c r="B4283" s="31" t="s">
        <v>480</v>
      </c>
      <c r="C4283" s="31" t="s">
        <v>923</v>
      </c>
      <c r="D4283" s="31" t="s">
        <v>3663</v>
      </c>
      <c r="E4283" s="32">
        <v>46113.0</v>
      </c>
      <c r="F4283" s="32">
        <v>46171.0</v>
      </c>
      <c r="G4283" s="33"/>
    </row>
    <row r="4284" ht="15.75" customHeight="1">
      <c r="A4284" s="26" t="s">
        <v>7948</v>
      </c>
      <c r="B4284" s="27" t="s">
        <v>480</v>
      </c>
      <c r="C4284" s="27" t="s">
        <v>955</v>
      </c>
      <c r="D4284" s="26" t="s">
        <v>3663</v>
      </c>
      <c r="E4284" s="28">
        <v>46113.0</v>
      </c>
      <c r="F4284" s="28">
        <v>46171.0</v>
      </c>
      <c r="G4284" s="29"/>
    </row>
    <row r="4285" ht="15.75" customHeight="1">
      <c r="A4285" s="30" t="s">
        <v>7949</v>
      </c>
      <c r="B4285" s="31" t="s">
        <v>481</v>
      </c>
      <c r="C4285" s="31" t="s">
        <v>3654</v>
      </c>
      <c r="D4285" s="30" t="s">
        <v>3663</v>
      </c>
      <c r="E4285" s="32">
        <v>46113.0</v>
      </c>
      <c r="F4285" s="32">
        <v>46171.0</v>
      </c>
      <c r="G4285" s="33"/>
    </row>
    <row r="4286" ht="15.75" customHeight="1">
      <c r="A4286" s="26" t="s">
        <v>7950</v>
      </c>
      <c r="B4286" s="27" t="s">
        <v>481</v>
      </c>
      <c r="C4286" s="27" t="s">
        <v>3655</v>
      </c>
      <c r="D4286" s="26" t="s">
        <v>3663</v>
      </c>
      <c r="E4286" s="28">
        <v>46113.0</v>
      </c>
      <c r="F4286" s="28">
        <v>46171.0</v>
      </c>
      <c r="G4286" s="29"/>
    </row>
    <row r="4287" ht="15.75" customHeight="1">
      <c r="A4287" s="30" t="s">
        <v>7951</v>
      </c>
      <c r="B4287" s="31" t="s">
        <v>481</v>
      </c>
      <c r="C4287" s="31" t="s">
        <v>934</v>
      </c>
      <c r="D4287" s="30" t="s">
        <v>3663</v>
      </c>
      <c r="E4287" s="32">
        <v>46113.0</v>
      </c>
      <c r="F4287" s="32">
        <v>46171.0</v>
      </c>
      <c r="G4287" s="33"/>
    </row>
    <row r="4288" ht="15.75" customHeight="1">
      <c r="A4288" s="26" t="s">
        <v>7952</v>
      </c>
      <c r="B4288" s="27" t="s">
        <v>481</v>
      </c>
      <c r="C4288" s="27" t="s">
        <v>1323</v>
      </c>
      <c r="D4288" s="26" t="s">
        <v>3663</v>
      </c>
      <c r="E4288" s="28">
        <v>46113.0</v>
      </c>
      <c r="F4288" s="28">
        <v>46171.0</v>
      </c>
      <c r="G4288" s="29"/>
    </row>
    <row r="4289" ht="15.75" customHeight="1">
      <c r="A4289" s="30" t="s">
        <v>7953</v>
      </c>
      <c r="B4289" s="31" t="s">
        <v>481</v>
      </c>
      <c r="C4289" s="31" t="s">
        <v>1354</v>
      </c>
      <c r="D4289" s="30" t="s">
        <v>3663</v>
      </c>
      <c r="E4289" s="32">
        <v>46113.0</v>
      </c>
      <c r="F4289" s="32">
        <v>46171.0</v>
      </c>
      <c r="G4289" s="33"/>
    </row>
    <row r="4290" ht="15.75" customHeight="1">
      <c r="A4290" s="26" t="s">
        <v>7954</v>
      </c>
      <c r="B4290" s="27" t="s">
        <v>481</v>
      </c>
      <c r="C4290" s="27" t="s">
        <v>1218</v>
      </c>
      <c r="D4290" s="26" t="s">
        <v>3663</v>
      </c>
      <c r="E4290" s="28">
        <v>46113.0</v>
      </c>
      <c r="F4290" s="28">
        <v>46171.0</v>
      </c>
      <c r="G4290" s="29"/>
    </row>
    <row r="4291" ht="15.75" customHeight="1">
      <c r="A4291" s="30" t="s">
        <v>7955</v>
      </c>
      <c r="B4291" s="31" t="s">
        <v>481</v>
      </c>
      <c r="C4291" s="31" t="s">
        <v>1157</v>
      </c>
      <c r="D4291" s="30" t="s">
        <v>3663</v>
      </c>
      <c r="E4291" s="32">
        <v>46113.0</v>
      </c>
      <c r="F4291" s="32">
        <v>46171.0</v>
      </c>
      <c r="G4291" s="33"/>
    </row>
    <row r="4292" ht="15.75" customHeight="1">
      <c r="A4292" s="26" t="s">
        <v>7956</v>
      </c>
      <c r="B4292" s="27" t="s">
        <v>481</v>
      </c>
      <c r="C4292" s="27" t="s">
        <v>1155</v>
      </c>
      <c r="D4292" s="26" t="s">
        <v>3663</v>
      </c>
      <c r="E4292" s="28">
        <v>46113.0</v>
      </c>
      <c r="F4292" s="28">
        <v>46171.0</v>
      </c>
      <c r="G4292" s="29"/>
    </row>
    <row r="4293" ht="15.75" customHeight="1">
      <c r="A4293" s="30" t="s">
        <v>7957</v>
      </c>
      <c r="B4293" s="31" t="s">
        <v>481</v>
      </c>
      <c r="C4293" s="31" t="s">
        <v>1153</v>
      </c>
      <c r="D4293" s="30" t="s">
        <v>3663</v>
      </c>
      <c r="E4293" s="32">
        <v>46113.0</v>
      </c>
      <c r="F4293" s="32">
        <v>46171.0</v>
      </c>
      <c r="G4293" s="33"/>
    </row>
    <row r="4294" ht="15.75" customHeight="1">
      <c r="A4294" s="26" t="s">
        <v>7958</v>
      </c>
      <c r="B4294" s="27" t="s">
        <v>481</v>
      </c>
      <c r="C4294" s="27" t="s">
        <v>1149</v>
      </c>
      <c r="D4294" s="26" t="s">
        <v>3663</v>
      </c>
      <c r="E4294" s="28">
        <v>46113.0</v>
      </c>
      <c r="F4294" s="28">
        <v>46171.0</v>
      </c>
      <c r="G4294" s="29"/>
    </row>
    <row r="4295" ht="15.75" customHeight="1">
      <c r="A4295" s="30" t="s">
        <v>7959</v>
      </c>
      <c r="B4295" s="31" t="s">
        <v>481</v>
      </c>
      <c r="C4295" s="31" t="s">
        <v>1351</v>
      </c>
      <c r="D4295" s="30" t="s">
        <v>3663</v>
      </c>
      <c r="E4295" s="32">
        <v>46113.0</v>
      </c>
      <c r="F4295" s="32">
        <v>46171.0</v>
      </c>
      <c r="G4295" s="33"/>
    </row>
    <row r="4296" ht="15.75" customHeight="1">
      <c r="A4296" s="26" t="s">
        <v>7960</v>
      </c>
      <c r="B4296" s="27" t="s">
        <v>481</v>
      </c>
      <c r="C4296" s="27" t="s">
        <v>1349</v>
      </c>
      <c r="D4296" s="26" t="s">
        <v>3663</v>
      </c>
      <c r="E4296" s="28">
        <v>46113.0</v>
      </c>
      <c r="F4296" s="28">
        <v>46171.0</v>
      </c>
      <c r="G4296" s="29"/>
    </row>
    <row r="4297" ht="15.75" customHeight="1">
      <c r="A4297" s="30" t="s">
        <v>7961</v>
      </c>
      <c r="B4297" s="31" t="s">
        <v>481</v>
      </c>
      <c r="C4297" s="31" t="s">
        <v>965</v>
      </c>
      <c r="D4297" s="30" t="s">
        <v>3663</v>
      </c>
      <c r="E4297" s="32">
        <v>46113.0</v>
      </c>
      <c r="F4297" s="32">
        <v>46171.0</v>
      </c>
      <c r="G4297" s="33"/>
    </row>
    <row r="4298" ht="15.75" customHeight="1">
      <c r="A4298" s="26" t="s">
        <v>7962</v>
      </c>
      <c r="B4298" s="27" t="s">
        <v>481</v>
      </c>
      <c r="C4298" s="27" t="s">
        <v>923</v>
      </c>
      <c r="D4298" s="26" t="s">
        <v>3663</v>
      </c>
      <c r="E4298" s="28">
        <v>46113.0</v>
      </c>
      <c r="F4298" s="28">
        <v>46171.0</v>
      </c>
      <c r="G4298" s="29"/>
    </row>
    <row r="4299" ht="15.75" customHeight="1">
      <c r="A4299" s="30" t="s">
        <v>7963</v>
      </c>
      <c r="B4299" s="31" t="s">
        <v>482</v>
      </c>
      <c r="C4299" s="31" t="s">
        <v>928</v>
      </c>
      <c r="D4299" s="30" t="s">
        <v>3663</v>
      </c>
      <c r="E4299" s="32">
        <v>46113.0</v>
      </c>
      <c r="F4299" s="32">
        <v>46171.0</v>
      </c>
      <c r="G4299" s="33"/>
    </row>
    <row r="4300" ht="15.75" customHeight="1">
      <c r="A4300" s="26" t="s">
        <v>7964</v>
      </c>
      <c r="B4300" s="27" t="s">
        <v>482</v>
      </c>
      <c r="C4300" s="27" t="s">
        <v>1354</v>
      </c>
      <c r="D4300" s="26" t="s">
        <v>3663</v>
      </c>
      <c r="E4300" s="28">
        <v>46113.0</v>
      </c>
      <c r="F4300" s="28">
        <v>46171.0</v>
      </c>
      <c r="G4300" s="29"/>
    </row>
    <row r="4301" ht="15.75" customHeight="1">
      <c r="A4301" s="30" t="s">
        <v>7965</v>
      </c>
      <c r="B4301" s="31" t="s">
        <v>482</v>
      </c>
      <c r="C4301" s="31" t="s">
        <v>1222</v>
      </c>
      <c r="D4301" s="30" t="s">
        <v>3663</v>
      </c>
      <c r="E4301" s="32">
        <v>46113.0</v>
      </c>
      <c r="F4301" s="32">
        <v>46171.0</v>
      </c>
      <c r="G4301" s="33"/>
    </row>
    <row r="4302" ht="15.75" customHeight="1">
      <c r="A4302" s="26" t="s">
        <v>7966</v>
      </c>
      <c r="B4302" s="27" t="s">
        <v>482</v>
      </c>
      <c r="C4302" s="27" t="s">
        <v>1224</v>
      </c>
      <c r="D4302" s="26" t="s">
        <v>3663</v>
      </c>
      <c r="E4302" s="28">
        <v>46113.0</v>
      </c>
      <c r="F4302" s="28">
        <v>46171.0</v>
      </c>
      <c r="G4302" s="29"/>
    </row>
    <row r="4303" ht="15.75" customHeight="1">
      <c r="A4303" s="30" t="s">
        <v>7967</v>
      </c>
      <c r="B4303" s="31" t="s">
        <v>482</v>
      </c>
      <c r="C4303" s="31" t="s">
        <v>1226</v>
      </c>
      <c r="D4303" s="30" t="s">
        <v>3663</v>
      </c>
      <c r="E4303" s="32">
        <v>46113.0</v>
      </c>
      <c r="F4303" s="32">
        <v>46171.0</v>
      </c>
      <c r="G4303" s="33"/>
    </row>
    <row r="4304" ht="15.75" customHeight="1">
      <c r="A4304" s="26" t="s">
        <v>7968</v>
      </c>
      <c r="B4304" s="27" t="s">
        <v>482</v>
      </c>
      <c r="C4304" s="27" t="s">
        <v>1228</v>
      </c>
      <c r="D4304" s="26" t="s">
        <v>3663</v>
      </c>
      <c r="E4304" s="28">
        <v>46113.0</v>
      </c>
      <c r="F4304" s="28">
        <v>46171.0</v>
      </c>
      <c r="G4304" s="29"/>
    </row>
    <row r="4305" ht="15.75" customHeight="1">
      <c r="A4305" s="30" t="s">
        <v>7969</v>
      </c>
      <c r="B4305" s="31" t="s">
        <v>482</v>
      </c>
      <c r="C4305" s="31" t="s">
        <v>3656</v>
      </c>
      <c r="D4305" s="30" t="s">
        <v>3663</v>
      </c>
      <c r="E4305" s="32">
        <v>46113.0</v>
      </c>
      <c r="F4305" s="32">
        <v>46171.0</v>
      </c>
      <c r="G4305" s="33"/>
    </row>
    <row r="4306" ht="15.75" customHeight="1">
      <c r="A4306" s="26" t="s">
        <v>7970</v>
      </c>
      <c r="B4306" s="27" t="s">
        <v>482</v>
      </c>
      <c r="C4306" s="27" t="s">
        <v>3657</v>
      </c>
      <c r="D4306" s="26" t="s">
        <v>3663</v>
      </c>
      <c r="E4306" s="28">
        <v>46113.0</v>
      </c>
      <c r="F4306" s="28">
        <v>46171.0</v>
      </c>
      <c r="G4306" s="29"/>
    </row>
    <row r="4307" ht="15.75" customHeight="1">
      <c r="A4307" s="30" t="s">
        <v>7971</v>
      </c>
      <c r="B4307" s="31" t="s">
        <v>482</v>
      </c>
      <c r="C4307" s="31" t="s">
        <v>1351</v>
      </c>
      <c r="D4307" s="30" t="s">
        <v>3663</v>
      </c>
      <c r="E4307" s="32">
        <v>46113.0</v>
      </c>
      <c r="F4307" s="32">
        <v>46171.0</v>
      </c>
      <c r="G4307" s="33"/>
    </row>
    <row r="4308" ht="15.75" customHeight="1">
      <c r="A4308" s="26" t="s">
        <v>7972</v>
      </c>
      <c r="B4308" s="27" t="s">
        <v>482</v>
      </c>
      <c r="C4308" s="27" t="s">
        <v>1349</v>
      </c>
      <c r="D4308" s="26" t="s">
        <v>3663</v>
      </c>
      <c r="E4308" s="28">
        <v>46113.0</v>
      </c>
      <c r="F4308" s="28">
        <v>46171.0</v>
      </c>
      <c r="G4308" s="29"/>
    </row>
    <row r="4309" ht="15.75" customHeight="1">
      <c r="A4309" s="30" t="s">
        <v>7973</v>
      </c>
      <c r="B4309" s="31" t="s">
        <v>482</v>
      </c>
      <c r="C4309" s="31" t="s">
        <v>968</v>
      </c>
      <c r="D4309" s="30" t="s">
        <v>3663</v>
      </c>
      <c r="E4309" s="32">
        <v>46113.0</v>
      </c>
      <c r="F4309" s="32">
        <v>46171.0</v>
      </c>
      <c r="G4309" s="33"/>
    </row>
    <row r="4310" ht="15.75" customHeight="1">
      <c r="A4310" s="26" t="s">
        <v>7974</v>
      </c>
      <c r="B4310" s="27" t="s">
        <v>482</v>
      </c>
      <c r="C4310" s="27" t="s">
        <v>923</v>
      </c>
      <c r="D4310" s="26" t="s">
        <v>3663</v>
      </c>
      <c r="E4310" s="28">
        <v>46113.0</v>
      </c>
      <c r="F4310" s="28">
        <v>46171.0</v>
      </c>
      <c r="G4310" s="29"/>
    </row>
    <row r="4311" ht="15.75" customHeight="1">
      <c r="A4311" s="30" t="s">
        <v>7975</v>
      </c>
      <c r="B4311" s="31" t="s">
        <v>482</v>
      </c>
      <c r="C4311" s="31" t="s">
        <v>958</v>
      </c>
      <c r="D4311" s="30" t="s">
        <v>3663</v>
      </c>
      <c r="E4311" s="32">
        <v>46113.0</v>
      </c>
      <c r="F4311" s="32">
        <v>46171.0</v>
      </c>
      <c r="G4311" s="33"/>
    </row>
    <row r="4312" ht="15.75" customHeight="1">
      <c r="A4312" s="26" t="s">
        <v>7976</v>
      </c>
      <c r="B4312" s="27" t="s">
        <v>482</v>
      </c>
      <c r="C4312" s="27" t="s">
        <v>955</v>
      </c>
      <c r="D4312" s="26" t="s">
        <v>3663</v>
      </c>
      <c r="E4312" s="28">
        <v>46113.0</v>
      </c>
      <c r="F4312" s="28">
        <v>46171.0</v>
      </c>
      <c r="G4312" s="29"/>
    </row>
    <row r="4313" ht="15.75" customHeight="1">
      <c r="A4313" s="30" t="s">
        <v>7977</v>
      </c>
      <c r="B4313" s="31" t="s">
        <v>483</v>
      </c>
      <c r="C4313" s="31" t="s">
        <v>3638</v>
      </c>
      <c r="D4313" s="30" t="s">
        <v>3663</v>
      </c>
      <c r="E4313" s="32">
        <v>46113.0</v>
      </c>
      <c r="F4313" s="32">
        <v>46171.0</v>
      </c>
      <c r="G4313" s="33"/>
    </row>
    <row r="4314" ht="15.75" customHeight="1">
      <c r="A4314" s="26" t="s">
        <v>7978</v>
      </c>
      <c r="B4314" s="27" t="s">
        <v>483</v>
      </c>
      <c r="C4314" s="27" t="s">
        <v>930</v>
      </c>
      <c r="D4314" s="26" t="s">
        <v>3663</v>
      </c>
      <c r="E4314" s="28">
        <v>46113.0</v>
      </c>
      <c r="F4314" s="28">
        <v>46171.0</v>
      </c>
      <c r="G4314" s="29"/>
    </row>
    <row r="4315" ht="15.75" customHeight="1">
      <c r="A4315" s="30" t="s">
        <v>7979</v>
      </c>
      <c r="B4315" s="31" t="s">
        <v>483</v>
      </c>
      <c r="C4315" s="31" t="s">
        <v>1354</v>
      </c>
      <c r="D4315" s="30" t="s">
        <v>3663</v>
      </c>
      <c r="E4315" s="32">
        <v>46113.0</v>
      </c>
      <c r="F4315" s="32">
        <v>46171.0</v>
      </c>
      <c r="G4315" s="33"/>
    </row>
    <row r="4316" ht="15.75" customHeight="1">
      <c r="A4316" s="26" t="s">
        <v>7980</v>
      </c>
      <c r="B4316" s="27" t="s">
        <v>483</v>
      </c>
      <c r="C4316" s="27" t="s">
        <v>3641</v>
      </c>
      <c r="D4316" s="26" t="s">
        <v>3663</v>
      </c>
      <c r="E4316" s="28">
        <v>46113.0</v>
      </c>
      <c r="F4316" s="28">
        <v>46171.0</v>
      </c>
      <c r="G4316" s="29"/>
    </row>
    <row r="4317" ht="15.75" customHeight="1">
      <c r="A4317" s="30" t="s">
        <v>7981</v>
      </c>
      <c r="B4317" s="31" t="s">
        <v>483</v>
      </c>
      <c r="C4317" s="31" t="s">
        <v>1304</v>
      </c>
      <c r="D4317" s="30" t="s">
        <v>3663</v>
      </c>
      <c r="E4317" s="32">
        <v>46113.0</v>
      </c>
      <c r="F4317" s="32">
        <v>46171.0</v>
      </c>
      <c r="G4317" s="33"/>
    </row>
    <row r="4318" ht="15.75" customHeight="1">
      <c r="A4318" s="26" t="s">
        <v>7982</v>
      </c>
      <c r="B4318" s="27" t="s">
        <v>483</v>
      </c>
      <c r="C4318" s="27" t="s">
        <v>3642</v>
      </c>
      <c r="D4318" s="26" t="s">
        <v>3663</v>
      </c>
      <c r="E4318" s="28">
        <v>46113.0</v>
      </c>
      <c r="F4318" s="28">
        <v>46171.0</v>
      </c>
      <c r="G4318" s="29"/>
    </row>
    <row r="4319" ht="15.75" customHeight="1">
      <c r="A4319" s="30" t="s">
        <v>7983</v>
      </c>
      <c r="B4319" s="31" t="s">
        <v>483</v>
      </c>
      <c r="C4319" s="31" t="s">
        <v>1308</v>
      </c>
      <c r="D4319" s="30" t="s">
        <v>3663</v>
      </c>
      <c r="E4319" s="32">
        <v>46113.0</v>
      </c>
      <c r="F4319" s="32">
        <v>46171.0</v>
      </c>
      <c r="G4319" s="33"/>
    </row>
    <row r="4320" ht="15.75" customHeight="1">
      <c r="A4320" s="26" t="s">
        <v>7984</v>
      </c>
      <c r="B4320" s="27" t="s">
        <v>483</v>
      </c>
      <c r="C4320" s="27" t="s">
        <v>1351</v>
      </c>
      <c r="D4320" s="26" t="s">
        <v>3663</v>
      </c>
      <c r="E4320" s="28">
        <v>46113.0</v>
      </c>
      <c r="F4320" s="28">
        <v>46171.0</v>
      </c>
      <c r="G4320" s="29"/>
    </row>
    <row r="4321" ht="15.75" customHeight="1">
      <c r="A4321" s="30" t="s">
        <v>7985</v>
      </c>
      <c r="B4321" s="31" t="s">
        <v>483</v>
      </c>
      <c r="C4321" s="31" t="s">
        <v>1349</v>
      </c>
      <c r="D4321" s="30" t="s">
        <v>3663</v>
      </c>
      <c r="E4321" s="32">
        <v>46113.0</v>
      </c>
      <c r="F4321" s="32">
        <v>46171.0</v>
      </c>
      <c r="G4321" s="33"/>
    </row>
    <row r="4322" ht="15.75" customHeight="1">
      <c r="A4322" s="26" t="s">
        <v>7986</v>
      </c>
      <c r="B4322" s="27" t="s">
        <v>483</v>
      </c>
      <c r="C4322" s="27" t="s">
        <v>3653</v>
      </c>
      <c r="D4322" s="26" t="s">
        <v>3663</v>
      </c>
      <c r="E4322" s="28">
        <v>46113.0</v>
      </c>
      <c r="F4322" s="28">
        <v>46171.0</v>
      </c>
      <c r="G4322" s="29"/>
    </row>
    <row r="4323" ht="15.75" customHeight="1">
      <c r="A4323" s="30" t="s">
        <v>7987</v>
      </c>
      <c r="B4323" s="31" t="s">
        <v>483</v>
      </c>
      <c r="C4323" s="31" t="s">
        <v>3652</v>
      </c>
      <c r="D4323" s="31" t="s">
        <v>3663</v>
      </c>
      <c r="E4323" s="32">
        <v>46113.0</v>
      </c>
      <c r="F4323" s="32">
        <v>46171.0</v>
      </c>
      <c r="G4323" s="33"/>
    </row>
    <row r="4324" ht="15.75" customHeight="1">
      <c r="A4324" s="26" t="s">
        <v>7988</v>
      </c>
      <c r="B4324" s="27" t="s">
        <v>483</v>
      </c>
      <c r="C4324" s="27" t="s">
        <v>965</v>
      </c>
      <c r="D4324" s="26" t="s">
        <v>3663</v>
      </c>
      <c r="E4324" s="28">
        <v>46113.0</v>
      </c>
      <c r="F4324" s="28">
        <v>46171.0</v>
      </c>
      <c r="G4324" s="29"/>
    </row>
    <row r="4325" ht="15.75" customHeight="1">
      <c r="A4325" s="30" t="s">
        <v>7989</v>
      </c>
      <c r="B4325" s="31" t="s">
        <v>483</v>
      </c>
      <c r="C4325" s="31" t="s">
        <v>923</v>
      </c>
      <c r="D4325" s="30" t="s">
        <v>3663</v>
      </c>
      <c r="E4325" s="32">
        <v>46113.0</v>
      </c>
      <c r="F4325" s="32">
        <v>46171.0</v>
      </c>
      <c r="G4325" s="33"/>
    </row>
    <row r="4326" ht="15.75" customHeight="1">
      <c r="A4326" s="26" t="s">
        <v>7990</v>
      </c>
      <c r="B4326" s="27" t="s">
        <v>484</v>
      </c>
      <c r="C4326" s="27" t="s">
        <v>3654</v>
      </c>
      <c r="D4326" s="26" t="s">
        <v>3663</v>
      </c>
      <c r="E4326" s="28">
        <v>46113.0</v>
      </c>
      <c r="F4326" s="28">
        <v>46171.0</v>
      </c>
      <c r="G4326" s="29"/>
    </row>
    <row r="4327" ht="15.75" customHeight="1">
      <c r="A4327" s="30" t="s">
        <v>7991</v>
      </c>
      <c r="B4327" s="31" t="s">
        <v>484</v>
      </c>
      <c r="C4327" s="31" t="s">
        <v>3655</v>
      </c>
      <c r="D4327" s="30" t="s">
        <v>3663</v>
      </c>
      <c r="E4327" s="32">
        <v>46113.0</v>
      </c>
      <c r="F4327" s="32">
        <v>46171.0</v>
      </c>
      <c r="G4327" s="33"/>
    </row>
    <row r="4328" ht="15.75" customHeight="1">
      <c r="A4328" s="26" t="s">
        <v>7992</v>
      </c>
      <c r="B4328" s="27" t="s">
        <v>484</v>
      </c>
      <c r="C4328" s="27" t="s">
        <v>932</v>
      </c>
      <c r="D4328" s="26" t="s">
        <v>3663</v>
      </c>
      <c r="E4328" s="28">
        <v>46113.0</v>
      </c>
      <c r="F4328" s="28">
        <v>46171.0</v>
      </c>
      <c r="G4328" s="29"/>
    </row>
    <row r="4329" ht="15.75" customHeight="1">
      <c r="A4329" s="30" t="s">
        <v>7993</v>
      </c>
      <c r="B4329" s="31" t="s">
        <v>484</v>
      </c>
      <c r="C4329" s="31" t="s">
        <v>1164</v>
      </c>
      <c r="D4329" s="30" t="s">
        <v>3663</v>
      </c>
      <c r="E4329" s="32">
        <v>46113.0</v>
      </c>
      <c r="F4329" s="32">
        <v>46171.0</v>
      </c>
      <c r="G4329" s="33"/>
    </row>
    <row r="4330" ht="15.75" customHeight="1">
      <c r="A4330" s="26" t="s">
        <v>7994</v>
      </c>
      <c r="B4330" s="27" t="s">
        <v>484</v>
      </c>
      <c r="C4330" s="27" t="s">
        <v>1166</v>
      </c>
      <c r="D4330" s="26" t="s">
        <v>3663</v>
      </c>
      <c r="E4330" s="28">
        <v>46113.0</v>
      </c>
      <c r="F4330" s="28">
        <v>46171.0</v>
      </c>
      <c r="G4330" s="29"/>
    </row>
    <row r="4331" ht="15.75" customHeight="1">
      <c r="A4331" s="30" t="s">
        <v>7995</v>
      </c>
      <c r="B4331" s="31" t="s">
        <v>484</v>
      </c>
      <c r="C4331" s="31" t="s">
        <v>1168</v>
      </c>
      <c r="D4331" s="30" t="s">
        <v>3663</v>
      </c>
      <c r="E4331" s="32">
        <v>46113.0</v>
      </c>
      <c r="F4331" s="32">
        <v>46171.0</v>
      </c>
      <c r="G4331" s="33"/>
    </row>
    <row r="4332" ht="15.75" customHeight="1">
      <c r="A4332" s="26" t="s">
        <v>7996</v>
      </c>
      <c r="B4332" s="27" t="s">
        <v>484</v>
      </c>
      <c r="C4332" s="27" t="s">
        <v>1170</v>
      </c>
      <c r="D4332" s="26" t="s">
        <v>3663</v>
      </c>
      <c r="E4332" s="28">
        <v>46113.0</v>
      </c>
      <c r="F4332" s="28">
        <v>46171.0</v>
      </c>
      <c r="G4332" s="29"/>
    </row>
    <row r="4333" ht="15.75" customHeight="1">
      <c r="A4333" s="30" t="s">
        <v>7997</v>
      </c>
      <c r="B4333" s="31" t="s">
        <v>484</v>
      </c>
      <c r="C4333" s="31" t="s">
        <v>1354</v>
      </c>
      <c r="D4333" s="30" t="s">
        <v>3663</v>
      </c>
      <c r="E4333" s="32">
        <v>46113.0</v>
      </c>
      <c r="F4333" s="32">
        <v>46171.0</v>
      </c>
      <c r="G4333" s="33"/>
    </row>
    <row r="4334" ht="15.75" customHeight="1">
      <c r="A4334" s="26" t="s">
        <v>7998</v>
      </c>
      <c r="B4334" s="27" t="s">
        <v>484</v>
      </c>
      <c r="C4334" s="27" t="s">
        <v>3605</v>
      </c>
      <c r="D4334" s="26" t="s">
        <v>3663</v>
      </c>
      <c r="E4334" s="28">
        <v>46113.0</v>
      </c>
      <c r="F4334" s="28">
        <v>46171.0</v>
      </c>
      <c r="G4334" s="29"/>
    </row>
    <row r="4335" ht="15.75" customHeight="1">
      <c r="A4335" s="30" t="s">
        <v>7999</v>
      </c>
      <c r="B4335" s="31" t="s">
        <v>484</v>
      </c>
      <c r="C4335" s="31" t="s">
        <v>1351</v>
      </c>
      <c r="D4335" s="30" t="s">
        <v>3663</v>
      </c>
      <c r="E4335" s="32">
        <v>46113.0</v>
      </c>
      <c r="F4335" s="32">
        <v>46171.0</v>
      </c>
      <c r="G4335" s="33"/>
    </row>
    <row r="4336" ht="15.75" customHeight="1">
      <c r="A4336" s="26" t="s">
        <v>8000</v>
      </c>
      <c r="B4336" s="27" t="s">
        <v>484</v>
      </c>
      <c r="C4336" s="27" t="s">
        <v>1349</v>
      </c>
      <c r="D4336" s="26" t="s">
        <v>3663</v>
      </c>
      <c r="E4336" s="28">
        <v>46113.0</v>
      </c>
      <c r="F4336" s="28">
        <v>46171.0</v>
      </c>
      <c r="G4336" s="29"/>
    </row>
    <row r="4337" ht="15.75" customHeight="1">
      <c r="A4337" s="30" t="s">
        <v>8001</v>
      </c>
      <c r="B4337" s="31" t="s">
        <v>484</v>
      </c>
      <c r="C4337" s="31" t="s">
        <v>968</v>
      </c>
      <c r="D4337" s="30" t="s">
        <v>3663</v>
      </c>
      <c r="E4337" s="32">
        <v>46113.0</v>
      </c>
      <c r="F4337" s="32">
        <v>46171.0</v>
      </c>
      <c r="G4337" s="33"/>
    </row>
    <row r="4338" ht="15.75" customHeight="1">
      <c r="A4338" s="26" t="s">
        <v>8002</v>
      </c>
      <c r="B4338" s="27" t="s">
        <v>484</v>
      </c>
      <c r="C4338" s="27" t="s">
        <v>923</v>
      </c>
      <c r="D4338" s="26" t="s">
        <v>3663</v>
      </c>
      <c r="E4338" s="28">
        <v>46113.0</v>
      </c>
      <c r="F4338" s="28">
        <v>46171.0</v>
      </c>
      <c r="G4338" s="29"/>
    </row>
    <row r="4339" ht="15.75" customHeight="1">
      <c r="A4339" s="30" t="s">
        <v>8003</v>
      </c>
      <c r="B4339" s="31" t="s">
        <v>484</v>
      </c>
      <c r="C4339" s="31" t="s">
        <v>961</v>
      </c>
      <c r="D4339" s="30" t="s">
        <v>3663</v>
      </c>
      <c r="E4339" s="32">
        <v>46113.0</v>
      </c>
      <c r="F4339" s="32">
        <v>46171.0</v>
      </c>
      <c r="G4339" s="33"/>
    </row>
    <row r="4340" ht="15.75" customHeight="1">
      <c r="A4340" s="26" t="s">
        <v>8004</v>
      </c>
      <c r="B4340" s="27" t="s">
        <v>485</v>
      </c>
      <c r="C4340" s="27" t="s">
        <v>1240</v>
      </c>
      <c r="D4340" s="26" t="s">
        <v>3663</v>
      </c>
      <c r="E4340" s="28">
        <v>46113.0</v>
      </c>
      <c r="F4340" s="28">
        <v>46171.0</v>
      </c>
      <c r="G4340" s="29"/>
    </row>
    <row r="4341" ht="15.75" customHeight="1">
      <c r="A4341" s="30" t="s">
        <v>8005</v>
      </c>
      <c r="B4341" s="31" t="s">
        <v>485</v>
      </c>
      <c r="C4341" s="31" t="s">
        <v>1242</v>
      </c>
      <c r="D4341" s="30" t="s">
        <v>3663</v>
      </c>
      <c r="E4341" s="32">
        <v>46113.0</v>
      </c>
      <c r="F4341" s="32">
        <v>46171.0</v>
      </c>
      <c r="G4341" s="33"/>
    </row>
    <row r="4342" ht="15.75" customHeight="1">
      <c r="A4342" s="26" t="s">
        <v>8006</v>
      </c>
      <c r="B4342" s="27" t="s">
        <v>485</v>
      </c>
      <c r="C4342" s="27" t="s">
        <v>1244</v>
      </c>
      <c r="D4342" s="26" t="s">
        <v>3663</v>
      </c>
      <c r="E4342" s="28">
        <v>46113.0</v>
      </c>
      <c r="F4342" s="28">
        <v>46171.0</v>
      </c>
      <c r="G4342" s="29"/>
    </row>
    <row r="4343" ht="15.75" customHeight="1">
      <c r="A4343" s="30" t="s">
        <v>8007</v>
      </c>
      <c r="B4343" s="31" t="s">
        <v>485</v>
      </c>
      <c r="C4343" s="31" t="s">
        <v>1246</v>
      </c>
      <c r="D4343" s="30" t="s">
        <v>3663</v>
      </c>
      <c r="E4343" s="32">
        <v>46113.0</v>
      </c>
      <c r="F4343" s="32">
        <v>46171.0</v>
      </c>
      <c r="G4343" s="33"/>
    </row>
    <row r="4344" ht="15.75" customHeight="1">
      <c r="A4344" s="26" t="s">
        <v>8008</v>
      </c>
      <c r="B4344" s="27" t="s">
        <v>485</v>
      </c>
      <c r="C4344" s="27" t="s">
        <v>934</v>
      </c>
      <c r="D4344" s="26" t="s">
        <v>3663</v>
      </c>
      <c r="E4344" s="28">
        <v>46113.0</v>
      </c>
      <c r="F4344" s="28">
        <v>46171.0</v>
      </c>
      <c r="G4344" s="29"/>
    </row>
    <row r="4345" ht="15.75" customHeight="1">
      <c r="A4345" s="30" t="s">
        <v>8009</v>
      </c>
      <c r="B4345" s="31" t="s">
        <v>485</v>
      </c>
      <c r="C4345" s="31" t="s">
        <v>1354</v>
      </c>
      <c r="D4345" s="30" t="s">
        <v>3663</v>
      </c>
      <c r="E4345" s="32">
        <v>46113.0</v>
      </c>
      <c r="F4345" s="32">
        <v>46171.0</v>
      </c>
      <c r="G4345" s="33"/>
    </row>
    <row r="4346" ht="15.75" customHeight="1">
      <c r="A4346" s="26" t="s">
        <v>8010</v>
      </c>
      <c r="B4346" s="27" t="s">
        <v>485</v>
      </c>
      <c r="C4346" s="27" t="s">
        <v>3605</v>
      </c>
      <c r="D4346" s="26" t="s">
        <v>3663</v>
      </c>
      <c r="E4346" s="28">
        <v>46113.0</v>
      </c>
      <c r="F4346" s="28">
        <v>46171.0</v>
      </c>
      <c r="G4346" s="29"/>
    </row>
    <row r="4347" ht="15.75" customHeight="1">
      <c r="A4347" s="30" t="s">
        <v>8011</v>
      </c>
      <c r="B4347" s="31" t="s">
        <v>485</v>
      </c>
      <c r="C4347" s="31" t="s">
        <v>3656</v>
      </c>
      <c r="D4347" s="30" t="s">
        <v>3663</v>
      </c>
      <c r="E4347" s="32">
        <v>46113.0</v>
      </c>
      <c r="F4347" s="32">
        <v>46171.0</v>
      </c>
      <c r="G4347" s="33"/>
    </row>
    <row r="4348" ht="15.75" customHeight="1">
      <c r="A4348" s="26" t="s">
        <v>8012</v>
      </c>
      <c r="B4348" s="27" t="s">
        <v>485</v>
      </c>
      <c r="C4348" s="27" t="s">
        <v>3657</v>
      </c>
      <c r="D4348" s="26" t="s">
        <v>3663</v>
      </c>
      <c r="E4348" s="28">
        <v>46113.0</v>
      </c>
      <c r="F4348" s="28">
        <v>46171.0</v>
      </c>
      <c r="G4348" s="29"/>
    </row>
    <row r="4349" ht="15.75" customHeight="1">
      <c r="A4349" s="30" t="s">
        <v>8013</v>
      </c>
      <c r="B4349" s="31" t="s">
        <v>485</v>
      </c>
      <c r="C4349" s="31" t="s">
        <v>1351</v>
      </c>
      <c r="D4349" s="30" t="s">
        <v>3663</v>
      </c>
      <c r="E4349" s="32">
        <v>46113.0</v>
      </c>
      <c r="F4349" s="32">
        <v>46171.0</v>
      </c>
      <c r="G4349" s="33"/>
    </row>
    <row r="4350" ht="15.75" customHeight="1">
      <c r="A4350" s="26" t="s">
        <v>8014</v>
      </c>
      <c r="B4350" s="27" t="s">
        <v>485</v>
      </c>
      <c r="C4350" s="27" t="s">
        <v>1349</v>
      </c>
      <c r="D4350" s="26" t="s">
        <v>3663</v>
      </c>
      <c r="E4350" s="28">
        <v>46113.0</v>
      </c>
      <c r="F4350" s="28">
        <v>46171.0</v>
      </c>
      <c r="G4350" s="29"/>
    </row>
    <row r="4351" ht="15.75" customHeight="1">
      <c r="A4351" s="30" t="s">
        <v>8015</v>
      </c>
      <c r="B4351" s="31" t="s">
        <v>485</v>
      </c>
      <c r="C4351" s="31" t="s">
        <v>968</v>
      </c>
      <c r="D4351" s="30" t="s">
        <v>3663</v>
      </c>
      <c r="E4351" s="32">
        <v>46113.0</v>
      </c>
      <c r="F4351" s="32">
        <v>46171.0</v>
      </c>
      <c r="G4351" s="33"/>
    </row>
    <row r="4352" ht="15.75" customHeight="1">
      <c r="A4352" s="26" t="s">
        <v>8016</v>
      </c>
      <c r="B4352" s="27" t="s">
        <v>485</v>
      </c>
      <c r="C4352" s="27" t="s">
        <v>923</v>
      </c>
      <c r="D4352" s="26" t="s">
        <v>3663</v>
      </c>
      <c r="E4352" s="28">
        <v>46113.0</v>
      </c>
      <c r="F4352" s="28">
        <v>46171.0</v>
      </c>
      <c r="G4352" s="29"/>
    </row>
    <row r="4353" ht="15.75" customHeight="1">
      <c r="A4353" s="30" t="s">
        <v>8017</v>
      </c>
      <c r="B4353" s="31" t="s">
        <v>485</v>
      </c>
      <c r="C4353" s="31" t="s">
        <v>961</v>
      </c>
      <c r="D4353" s="30" t="s">
        <v>3663</v>
      </c>
      <c r="E4353" s="32">
        <v>46113.0</v>
      </c>
      <c r="F4353" s="32">
        <v>46171.0</v>
      </c>
      <c r="G4353" s="33"/>
    </row>
    <row r="4354" ht="15.75" customHeight="1">
      <c r="A4354" s="26" t="s">
        <v>8018</v>
      </c>
      <c r="B4354" s="27" t="s">
        <v>1231</v>
      </c>
      <c r="C4354" s="27" t="s">
        <v>928</v>
      </c>
      <c r="D4354" s="26" t="s">
        <v>3663</v>
      </c>
      <c r="E4354" s="28">
        <v>46113.0</v>
      </c>
      <c r="F4354" s="28">
        <v>46171.0</v>
      </c>
      <c r="G4354" s="29"/>
    </row>
    <row r="4355" ht="15.75" customHeight="1">
      <c r="A4355" s="30" t="s">
        <v>8019</v>
      </c>
      <c r="B4355" s="31" t="s">
        <v>1231</v>
      </c>
      <c r="C4355" s="31" t="s">
        <v>1354</v>
      </c>
      <c r="D4355" s="30" t="s">
        <v>3663</v>
      </c>
      <c r="E4355" s="32">
        <v>46113.0</v>
      </c>
      <c r="F4355" s="32">
        <v>46171.0</v>
      </c>
      <c r="G4355" s="33"/>
    </row>
    <row r="4356" ht="15.75" customHeight="1">
      <c r="A4356" s="26" t="s">
        <v>8020</v>
      </c>
      <c r="B4356" s="27" t="s">
        <v>1231</v>
      </c>
      <c r="C4356" s="27" t="s">
        <v>1222</v>
      </c>
      <c r="D4356" s="26" t="s">
        <v>3663</v>
      </c>
      <c r="E4356" s="28">
        <v>46113.0</v>
      </c>
      <c r="F4356" s="28">
        <v>46171.0</v>
      </c>
      <c r="G4356" s="29"/>
    </row>
    <row r="4357" ht="15.75" customHeight="1">
      <c r="A4357" s="30" t="s">
        <v>8021</v>
      </c>
      <c r="B4357" s="31" t="s">
        <v>1231</v>
      </c>
      <c r="C4357" s="31" t="s">
        <v>1224</v>
      </c>
      <c r="D4357" s="30" t="s">
        <v>3663</v>
      </c>
      <c r="E4357" s="32">
        <v>46113.0</v>
      </c>
      <c r="F4357" s="32">
        <v>46171.0</v>
      </c>
      <c r="G4357" s="33"/>
    </row>
    <row r="4358" ht="15.75" customHeight="1">
      <c r="A4358" s="26" t="s">
        <v>8022</v>
      </c>
      <c r="B4358" s="27" t="s">
        <v>1231</v>
      </c>
      <c r="C4358" s="27" t="s">
        <v>1226</v>
      </c>
      <c r="D4358" s="26" t="s">
        <v>3663</v>
      </c>
      <c r="E4358" s="28">
        <v>46113.0</v>
      </c>
      <c r="F4358" s="28">
        <v>46171.0</v>
      </c>
      <c r="G4358" s="29"/>
    </row>
    <row r="4359" ht="15.75" customHeight="1">
      <c r="A4359" s="30" t="s">
        <v>8023</v>
      </c>
      <c r="B4359" s="31" t="s">
        <v>1231</v>
      </c>
      <c r="C4359" s="31" t="s">
        <v>1228</v>
      </c>
      <c r="D4359" s="30" t="s">
        <v>3663</v>
      </c>
      <c r="E4359" s="32">
        <v>46113.0</v>
      </c>
      <c r="F4359" s="32">
        <v>46171.0</v>
      </c>
      <c r="G4359" s="33"/>
    </row>
    <row r="4360" ht="15.75" customHeight="1">
      <c r="A4360" s="26" t="s">
        <v>8024</v>
      </c>
      <c r="B4360" s="27" t="s">
        <v>1231</v>
      </c>
      <c r="C4360" s="27" t="s">
        <v>3681</v>
      </c>
      <c r="D4360" s="26" t="s">
        <v>3663</v>
      </c>
      <c r="E4360" s="28">
        <v>46113.0</v>
      </c>
      <c r="F4360" s="28">
        <v>46171.0</v>
      </c>
      <c r="G4360" s="29"/>
    </row>
    <row r="4361" ht="15.75" customHeight="1">
      <c r="A4361" s="30" t="s">
        <v>8025</v>
      </c>
      <c r="B4361" s="31" t="s">
        <v>1231</v>
      </c>
      <c r="C4361" s="31" t="s">
        <v>3683</v>
      </c>
      <c r="D4361" s="30" t="s">
        <v>3663</v>
      </c>
      <c r="E4361" s="32">
        <v>46113.0</v>
      </c>
      <c r="F4361" s="32">
        <v>46171.0</v>
      </c>
      <c r="G4361" s="33"/>
    </row>
    <row r="4362" ht="15.75" customHeight="1">
      <c r="A4362" s="26" t="s">
        <v>8026</v>
      </c>
      <c r="B4362" s="27" t="s">
        <v>1231</v>
      </c>
      <c r="C4362" s="27" t="s">
        <v>1159</v>
      </c>
      <c r="D4362" s="26" t="s">
        <v>3663</v>
      </c>
      <c r="E4362" s="28">
        <v>46113.0</v>
      </c>
      <c r="F4362" s="28">
        <v>46171.0</v>
      </c>
      <c r="G4362" s="29"/>
    </row>
    <row r="4363" ht="15.75" customHeight="1">
      <c r="A4363" s="30" t="s">
        <v>8027</v>
      </c>
      <c r="B4363" s="31" t="s">
        <v>1231</v>
      </c>
      <c r="C4363" s="31" t="s">
        <v>1216</v>
      </c>
      <c r="D4363" s="30" t="s">
        <v>3663</v>
      </c>
      <c r="E4363" s="32">
        <v>46113.0</v>
      </c>
      <c r="F4363" s="32">
        <v>46171.0</v>
      </c>
      <c r="G4363" s="33"/>
    </row>
    <row r="4364" ht="15.75" customHeight="1">
      <c r="A4364" s="26" t="s">
        <v>8028</v>
      </c>
      <c r="B4364" s="27" t="s">
        <v>1231</v>
      </c>
      <c r="C4364" s="27" t="s">
        <v>1351</v>
      </c>
      <c r="D4364" s="26" t="s">
        <v>3663</v>
      </c>
      <c r="E4364" s="28">
        <v>46113.0</v>
      </c>
      <c r="F4364" s="28">
        <v>46171.0</v>
      </c>
      <c r="G4364" s="29"/>
    </row>
    <row r="4365" ht="15.75" customHeight="1">
      <c r="A4365" s="30" t="s">
        <v>8029</v>
      </c>
      <c r="B4365" s="31" t="s">
        <v>1231</v>
      </c>
      <c r="C4365" s="31" t="s">
        <v>1349</v>
      </c>
      <c r="D4365" s="30" t="s">
        <v>3663</v>
      </c>
      <c r="E4365" s="32">
        <v>46113.0</v>
      </c>
      <c r="F4365" s="32">
        <v>46171.0</v>
      </c>
      <c r="G4365" s="33"/>
    </row>
    <row r="4366" ht="15.75" customHeight="1">
      <c r="A4366" s="26" t="s">
        <v>8030</v>
      </c>
      <c r="B4366" s="27" t="s">
        <v>1231</v>
      </c>
      <c r="C4366" s="27" t="s">
        <v>968</v>
      </c>
      <c r="D4366" s="26" t="s">
        <v>3663</v>
      </c>
      <c r="E4366" s="28">
        <v>46113.0</v>
      </c>
      <c r="F4366" s="28">
        <v>46171.0</v>
      </c>
      <c r="G4366" s="29"/>
    </row>
    <row r="4367" ht="15.75" customHeight="1">
      <c r="A4367" s="30" t="s">
        <v>8031</v>
      </c>
      <c r="B4367" s="31" t="s">
        <v>1231</v>
      </c>
      <c r="C4367" s="31" t="s">
        <v>923</v>
      </c>
      <c r="D4367" s="30" t="s">
        <v>3663</v>
      </c>
      <c r="E4367" s="32">
        <v>46113.0</v>
      </c>
      <c r="F4367" s="32">
        <v>46171.0</v>
      </c>
      <c r="G4367" s="33"/>
    </row>
    <row r="4368" ht="15.75" customHeight="1">
      <c r="A4368" s="26" t="s">
        <v>8032</v>
      </c>
      <c r="B4368" s="27" t="s">
        <v>486</v>
      </c>
      <c r="C4368" s="27" t="s">
        <v>3654</v>
      </c>
      <c r="D4368" s="26" t="s">
        <v>3663</v>
      </c>
      <c r="E4368" s="28">
        <v>46113.0</v>
      </c>
      <c r="F4368" s="28">
        <v>46171.0</v>
      </c>
      <c r="G4368" s="29"/>
    </row>
    <row r="4369" ht="15.75" customHeight="1">
      <c r="A4369" s="30" t="s">
        <v>8033</v>
      </c>
      <c r="B4369" s="31" t="s">
        <v>486</v>
      </c>
      <c r="C4369" s="31" t="s">
        <v>3655</v>
      </c>
      <c r="D4369" s="30" t="s">
        <v>3663</v>
      </c>
      <c r="E4369" s="32">
        <v>46113.0</v>
      </c>
      <c r="F4369" s="32">
        <v>46171.0</v>
      </c>
      <c r="G4369" s="33"/>
    </row>
    <row r="4370" ht="15.75" customHeight="1">
      <c r="A4370" s="26" t="s">
        <v>8034</v>
      </c>
      <c r="B4370" s="27" t="s">
        <v>486</v>
      </c>
      <c r="C4370" s="27" t="s">
        <v>926</v>
      </c>
      <c r="D4370" s="26" t="s">
        <v>3663</v>
      </c>
      <c r="E4370" s="28">
        <v>46113.0</v>
      </c>
      <c r="F4370" s="28">
        <v>46171.0</v>
      </c>
      <c r="G4370" s="29"/>
    </row>
    <row r="4371" ht="15.75" customHeight="1">
      <c r="A4371" s="30" t="s">
        <v>8035</v>
      </c>
      <c r="B4371" s="31" t="s">
        <v>486</v>
      </c>
      <c r="C4371" s="31" t="s">
        <v>1354</v>
      </c>
      <c r="D4371" s="30" t="s">
        <v>3663</v>
      </c>
      <c r="E4371" s="32">
        <v>46113.0</v>
      </c>
      <c r="F4371" s="32">
        <v>46171.0</v>
      </c>
      <c r="G4371" s="33"/>
    </row>
    <row r="4372" ht="15.75" customHeight="1">
      <c r="A4372" s="26" t="s">
        <v>8036</v>
      </c>
      <c r="B4372" s="27" t="s">
        <v>486</v>
      </c>
      <c r="C4372" s="27" t="s">
        <v>3605</v>
      </c>
      <c r="D4372" s="26" t="s">
        <v>3663</v>
      </c>
      <c r="E4372" s="28">
        <v>46113.0</v>
      </c>
      <c r="F4372" s="28">
        <v>46171.0</v>
      </c>
      <c r="G4372" s="29"/>
    </row>
    <row r="4373" ht="15.75" customHeight="1">
      <c r="A4373" s="30" t="s">
        <v>8037</v>
      </c>
      <c r="B4373" s="31" t="s">
        <v>486</v>
      </c>
      <c r="C4373" s="31" t="s">
        <v>1208</v>
      </c>
      <c r="D4373" s="30" t="s">
        <v>3663</v>
      </c>
      <c r="E4373" s="32">
        <v>46113.0</v>
      </c>
      <c r="F4373" s="32">
        <v>46171.0</v>
      </c>
      <c r="G4373" s="33"/>
    </row>
    <row r="4374" ht="15.75" customHeight="1">
      <c r="A4374" s="26" t="s">
        <v>8038</v>
      </c>
      <c r="B4374" s="27" t="s">
        <v>486</v>
      </c>
      <c r="C4374" s="27" t="s">
        <v>3647</v>
      </c>
      <c r="D4374" s="26" t="s">
        <v>3663</v>
      </c>
      <c r="E4374" s="28">
        <v>46113.0</v>
      </c>
      <c r="F4374" s="28">
        <v>46171.0</v>
      </c>
      <c r="G4374" s="29"/>
    </row>
    <row r="4375" ht="15.75" customHeight="1">
      <c r="A4375" s="30" t="s">
        <v>8039</v>
      </c>
      <c r="B4375" s="31" t="s">
        <v>486</v>
      </c>
      <c r="C4375" s="31" t="s">
        <v>952</v>
      </c>
      <c r="D4375" s="30" t="s">
        <v>3663</v>
      </c>
      <c r="E4375" s="32">
        <v>46113.0</v>
      </c>
      <c r="F4375" s="32">
        <v>46171.0</v>
      </c>
      <c r="G4375" s="33"/>
    </row>
    <row r="4376" ht="15.75" customHeight="1">
      <c r="A4376" s="26" t="s">
        <v>8040</v>
      </c>
      <c r="B4376" s="27" t="s">
        <v>486</v>
      </c>
      <c r="C4376" s="27" t="s">
        <v>1277</v>
      </c>
      <c r="D4376" s="26" t="s">
        <v>3663</v>
      </c>
      <c r="E4376" s="28">
        <v>46113.0</v>
      </c>
      <c r="F4376" s="28">
        <v>46171.0</v>
      </c>
      <c r="G4376" s="29"/>
    </row>
    <row r="4377" ht="15.75" customHeight="1">
      <c r="A4377" s="30" t="s">
        <v>8041</v>
      </c>
      <c r="B4377" s="31" t="s">
        <v>486</v>
      </c>
      <c r="C4377" s="31" t="s">
        <v>1279</v>
      </c>
      <c r="D4377" s="30" t="s">
        <v>3663</v>
      </c>
      <c r="E4377" s="32">
        <v>46113.0</v>
      </c>
      <c r="F4377" s="32">
        <v>46171.0</v>
      </c>
      <c r="G4377" s="33"/>
    </row>
    <row r="4378" ht="15.75" customHeight="1">
      <c r="A4378" s="26" t="s">
        <v>8042</v>
      </c>
      <c r="B4378" s="27" t="s">
        <v>486</v>
      </c>
      <c r="C4378" s="27" t="s">
        <v>1283</v>
      </c>
      <c r="D4378" s="26" t="s">
        <v>3663</v>
      </c>
      <c r="E4378" s="28">
        <v>46113.0</v>
      </c>
      <c r="F4378" s="28">
        <v>46171.0</v>
      </c>
      <c r="G4378" s="29"/>
    </row>
    <row r="4379" ht="15.75" customHeight="1">
      <c r="A4379" s="30" t="s">
        <v>8043</v>
      </c>
      <c r="B4379" s="31" t="s">
        <v>486</v>
      </c>
      <c r="C4379" s="31" t="s">
        <v>1281</v>
      </c>
      <c r="D4379" s="30" t="s">
        <v>3663</v>
      </c>
      <c r="E4379" s="32">
        <v>46113.0</v>
      </c>
      <c r="F4379" s="32">
        <v>46171.0</v>
      </c>
      <c r="G4379" s="33"/>
    </row>
    <row r="4380" ht="15.75" customHeight="1">
      <c r="A4380" s="26" t="s">
        <v>8044</v>
      </c>
      <c r="B4380" s="27" t="s">
        <v>486</v>
      </c>
      <c r="C4380" s="27" t="s">
        <v>968</v>
      </c>
      <c r="D4380" s="26" t="s">
        <v>3663</v>
      </c>
      <c r="E4380" s="28">
        <v>46113.0</v>
      </c>
      <c r="F4380" s="28">
        <v>46171.0</v>
      </c>
      <c r="G4380" s="29"/>
    </row>
    <row r="4381" ht="15.75" customHeight="1">
      <c r="A4381" s="30" t="s">
        <v>8045</v>
      </c>
      <c r="B4381" s="31" t="s">
        <v>486</v>
      </c>
      <c r="C4381" s="31" t="s">
        <v>923</v>
      </c>
      <c r="D4381" s="30" t="s">
        <v>3663</v>
      </c>
      <c r="E4381" s="32">
        <v>46113.0</v>
      </c>
      <c r="F4381" s="32">
        <v>46171.0</v>
      </c>
      <c r="G4381" s="33"/>
    </row>
    <row r="4382" ht="15.75" customHeight="1">
      <c r="A4382" s="26" t="s">
        <v>8046</v>
      </c>
      <c r="B4382" s="27" t="s">
        <v>487</v>
      </c>
      <c r="C4382" s="27" t="s">
        <v>3654</v>
      </c>
      <c r="D4382" s="26" t="s">
        <v>3663</v>
      </c>
      <c r="E4382" s="28">
        <v>46113.0</v>
      </c>
      <c r="F4382" s="28">
        <v>46171.0</v>
      </c>
      <c r="G4382" s="29"/>
    </row>
    <row r="4383" ht="15.75" customHeight="1">
      <c r="A4383" s="30" t="s">
        <v>8047</v>
      </c>
      <c r="B4383" s="31" t="s">
        <v>487</v>
      </c>
      <c r="C4383" s="31" t="s">
        <v>3655</v>
      </c>
      <c r="D4383" s="30" t="s">
        <v>3663</v>
      </c>
      <c r="E4383" s="32">
        <v>46113.0</v>
      </c>
      <c r="F4383" s="32">
        <v>46171.0</v>
      </c>
      <c r="G4383" s="33"/>
    </row>
    <row r="4384" ht="15.75" customHeight="1">
      <c r="A4384" s="26" t="s">
        <v>8048</v>
      </c>
      <c r="B4384" s="27" t="s">
        <v>487</v>
      </c>
      <c r="C4384" s="27" t="s">
        <v>932</v>
      </c>
      <c r="D4384" s="26" t="s">
        <v>3663</v>
      </c>
      <c r="E4384" s="28">
        <v>46113.0</v>
      </c>
      <c r="F4384" s="28">
        <v>46171.0</v>
      </c>
      <c r="G4384" s="29"/>
    </row>
    <row r="4385" ht="15.75" customHeight="1">
      <c r="A4385" s="30" t="s">
        <v>8049</v>
      </c>
      <c r="B4385" s="31" t="s">
        <v>487</v>
      </c>
      <c r="C4385" s="31" t="s">
        <v>1168</v>
      </c>
      <c r="D4385" s="30" t="s">
        <v>3663</v>
      </c>
      <c r="E4385" s="32">
        <v>46113.0</v>
      </c>
      <c r="F4385" s="32">
        <v>46171.0</v>
      </c>
      <c r="G4385" s="33"/>
    </row>
    <row r="4386" ht="15.75" customHeight="1">
      <c r="A4386" s="26" t="s">
        <v>8050</v>
      </c>
      <c r="B4386" s="27" t="s">
        <v>487</v>
      </c>
      <c r="C4386" s="27" t="s">
        <v>1170</v>
      </c>
      <c r="D4386" s="26" t="s">
        <v>3663</v>
      </c>
      <c r="E4386" s="28">
        <v>46113.0</v>
      </c>
      <c r="F4386" s="28">
        <v>46171.0</v>
      </c>
      <c r="G4386" s="29"/>
    </row>
    <row r="4387" ht="15.75" customHeight="1">
      <c r="A4387" s="30" t="s">
        <v>8051</v>
      </c>
      <c r="B4387" s="31" t="s">
        <v>487</v>
      </c>
      <c r="C4387" s="31" t="s">
        <v>1288</v>
      </c>
      <c r="D4387" s="30" t="s">
        <v>3663</v>
      </c>
      <c r="E4387" s="32">
        <v>46113.0</v>
      </c>
      <c r="F4387" s="32">
        <v>46171.0</v>
      </c>
      <c r="G4387" s="33"/>
    </row>
    <row r="4388" ht="15.75" customHeight="1">
      <c r="A4388" s="26" t="s">
        <v>8052</v>
      </c>
      <c r="B4388" s="27" t="s">
        <v>487</v>
      </c>
      <c r="C4388" s="27" t="s">
        <v>1291</v>
      </c>
      <c r="D4388" s="26" t="s">
        <v>3663</v>
      </c>
      <c r="E4388" s="28">
        <v>46113.0</v>
      </c>
      <c r="F4388" s="28">
        <v>46171.0</v>
      </c>
      <c r="G4388" s="29"/>
    </row>
    <row r="4389" ht="15.75" customHeight="1">
      <c r="A4389" s="30" t="s">
        <v>8053</v>
      </c>
      <c r="B4389" s="31" t="s">
        <v>487</v>
      </c>
      <c r="C4389" s="31" t="s">
        <v>1354</v>
      </c>
      <c r="D4389" s="30" t="s">
        <v>3663</v>
      </c>
      <c r="E4389" s="32">
        <v>46113.0</v>
      </c>
      <c r="F4389" s="32">
        <v>46171.0</v>
      </c>
      <c r="G4389" s="33"/>
    </row>
    <row r="4390" ht="15.75" customHeight="1">
      <c r="A4390" s="26" t="s">
        <v>8054</v>
      </c>
      <c r="B4390" s="27" t="s">
        <v>487</v>
      </c>
      <c r="C4390" s="27" t="s">
        <v>1159</v>
      </c>
      <c r="D4390" s="26" t="s">
        <v>3663</v>
      </c>
      <c r="E4390" s="28">
        <v>46113.0</v>
      </c>
      <c r="F4390" s="28">
        <v>46171.0</v>
      </c>
      <c r="G4390" s="29"/>
    </row>
    <row r="4391" ht="15.75" customHeight="1">
      <c r="A4391" s="30" t="s">
        <v>8055</v>
      </c>
      <c r="B4391" s="31" t="s">
        <v>487</v>
      </c>
      <c r="C4391" s="31" t="s">
        <v>1351</v>
      </c>
      <c r="D4391" s="30" t="s">
        <v>3663</v>
      </c>
      <c r="E4391" s="32">
        <v>46113.0</v>
      </c>
      <c r="F4391" s="32">
        <v>46171.0</v>
      </c>
      <c r="G4391" s="33"/>
    </row>
    <row r="4392" ht="15.75" customHeight="1">
      <c r="A4392" s="26" t="s">
        <v>8056</v>
      </c>
      <c r="B4392" s="27" t="s">
        <v>487</v>
      </c>
      <c r="C4392" s="27" t="s">
        <v>1349</v>
      </c>
      <c r="D4392" s="26" t="s">
        <v>3663</v>
      </c>
      <c r="E4392" s="28">
        <v>46113.0</v>
      </c>
      <c r="F4392" s="28">
        <v>46171.0</v>
      </c>
      <c r="G4392" s="29"/>
    </row>
    <row r="4393" ht="15.75" customHeight="1">
      <c r="A4393" s="30" t="s">
        <v>8057</v>
      </c>
      <c r="B4393" s="31" t="s">
        <v>487</v>
      </c>
      <c r="C4393" s="31" t="s">
        <v>968</v>
      </c>
      <c r="D4393" s="30" t="s">
        <v>3663</v>
      </c>
      <c r="E4393" s="32">
        <v>46113.0</v>
      </c>
      <c r="F4393" s="32">
        <v>46171.0</v>
      </c>
      <c r="G4393" s="33"/>
    </row>
    <row r="4394" ht="15.75" customHeight="1">
      <c r="A4394" s="26" t="s">
        <v>8058</v>
      </c>
      <c r="B4394" s="27" t="s">
        <v>487</v>
      </c>
      <c r="C4394" s="27" t="s">
        <v>923</v>
      </c>
      <c r="D4394" s="26" t="s">
        <v>3663</v>
      </c>
      <c r="E4394" s="28">
        <v>46113.0</v>
      </c>
      <c r="F4394" s="28">
        <v>46171.0</v>
      </c>
      <c r="G4394" s="29"/>
    </row>
    <row r="4395" ht="15.75" customHeight="1">
      <c r="A4395" s="30" t="s">
        <v>8059</v>
      </c>
      <c r="B4395" s="31" t="s">
        <v>487</v>
      </c>
      <c r="C4395" s="31" t="s">
        <v>955</v>
      </c>
      <c r="D4395" s="30" t="s">
        <v>3663</v>
      </c>
      <c r="E4395" s="32">
        <v>46113.0</v>
      </c>
      <c r="F4395" s="32">
        <v>46171.0</v>
      </c>
      <c r="G4395" s="33"/>
    </row>
    <row r="4396" ht="15.75" customHeight="1">
      <c r="A4396" s="26" t="s">
        <v>8060</v>
      </c>
      <c r="B4396" s="27" t="s">
        <v>488</v>
      </c>
      <c r="C4396" s="27" t="s">
        <v>930</v>
      </c>
      <c r="D4396" s="26" t="s">
        <v>3663</v>
      </c>
      <c r="E4396" s="28">
        <v>46113.0</v>
      </c>
      <c r="F4396" s="28">
        <v>46171.0</v>
      </c>
      <c r="G4396" s="29"/>
    </row>
    <row r="4397" ht="15.75" customHeight="1">
      <c r="A4397" s="30" t="s">
        <v>8061</v>
      </c>
      <c r="B4397" s="31" t="s">
        <v>488</v>
      </c>
      <c r="C4397" s="31" t="s">
        <v>1354</v>
      </c>
      <c r="D4397" s="30" t="s">
        <v>3663</v>
      </c>
      <c r="E4397" s="32">
        <v>46113.0</v>
      </c>
      <c r="F4397" s="32">
        <v>46171.0</v>
      </c>
      <c r="G4397" s="33"/>
    </row>
    <row r="4398" ht="15.75" customHeight="1">
      <c r="A4398" s="26" t="s">
        <v>8062</v>
      </c>
      <c r="B4398" s="27" t="s">
        <v>488</v>
      </c>
      <c r="C4398" s="27" t="s">
        <v>1190</v>
      </c>
      <c r="D4398" s="26" t="s">
        <v>3663</v>
      </c>
      <c r="E4398" s="28">
        <v>46113.0</v>
      </c>
      <c r="F4398" s="28">
        <v>46171.0</v>
      </c>
      <c r="G4398" s="29"/>
    </row>
    <row r="4399" ht="15.75" customHeight="1">
      <c r="A4399" s="30" t="s">
        <v>8063</v>
      </c>
      <c r="B4399" s="31" t="s">
        <v>488</v>
      </c>
      <c r="C4399" s="31" t="s">
        <v>1159</v>
      </c>
      <c r="D4399" s="30" t="s">
        <v>3663</v>
      </c>
      <c r="E4399" s="32">
        <v>46113.0</v>
      </c>
      <c r="F4399" s="32">
        <v>46171.0</v>
      </c>
      <c r="G4399" s="33"/>
    </row>
    <row r="4400" ht="15.75" customHeight="1">
      <c r="A4400" s="26" t="s">
        <v>8064</v>
      </c>
      <c r="B4400" s="27" t="s">
        <v>488</v>
      </c>
      <c r="C4400" s="27" t="s">
        <v>3656</v>
      </c>
      <c r="D4400" s="26" t="s">
        <v>3663</v>
      </c>
      <c r="E4400" s="28">
        <v>46113.0</v>
      </c>
      <c r="F4400" s="28">
        <v>46171.0</v>
      </c>
      <c r="G4400" s="29"/>
    </row>
    <row r="4401" ht="15.75" customHeight="1">
      <c r="A4401" s="30" t="s">
        <v>8065</v>
      </c>
      <c r="B4401" s="31" t="s">
        <v>488</v>
      </c>
      <c r="C4401" s="31" t="s">
        <v>3657</v>
      </c>
      <c r="D4401" s="30" t="s">
        <v>3663</v>
      </c>
      <c r="E4401" s="32">
        <v>46113.0</v>
      </c>
      <c r="F4401" s="32">
        <v>46171.0</v>
      </c>
      <c r="G4401" s="33"/>
    </row>
    <row r="4402" ht="15.75" customHeight="1">
      <c r="A4402" s="26" t="s">
        <v>8066</v>
      </c>
      <c r="B4402" s="27" t="s">
        <v>488</v>
      </c>
      <c r="C4402" s="27" t="s">
        <v>3647</v>
      </c>
      <c r="D4402" s="26" t="s">
        <v>3663</v>
      </c>
      <c r="E4402" s="28">
        <v>46113.0</v>
      </c>
      <c r="F4402" s="28">
        <v>46171.0</v>
      </c>
      <c r="G4402" s="29"/>
    </row>
    <row r="4403" ht="15.75" customHeight="1">
      <c r="A4403" s="30" t="s">
        <v>8067</v>
      </c>
      <c r="B4403" s="31" t="s">
        <v>488</v>
      </c>
      <c r="C4403" s="31" t="s">
        <v>952</v>
      </c>
      <c r="D4403" s="30" t="s">
        <v>3663</v>
      </c>
      <c r="E4403" s="32">
        <v>46113.0</v>
      </c>
      <c r="F4403" s="32">
        <v>46171.0</v>
      </c>
      <c r="G4403" s="33"/>
    </row>
    <row r="4404" ht="15.75" customHeight="1">
      <c r="A4404" s="26" t="s">
        <v>8068</v>
      </c>
      <c r="B4404" s="27" t="s">
        <v>488</v>
      </c>
      <c r="C4404" s="27" t="s">
        <v>1157</v>
      </c>
      <c r="D4404" s="26" t="s">
        <v>3663</v>
      </c>
      <c r="E4404" s="28">
        <v>46113.0</v>
      </c>
      <c r="F4404" s="28">
        <v>46171.0</v>
      </c>
      <c r="G4404" s="29"/>
    </row>
    <row r="4405" ht="15.75" customHeight="1">
      <c r="A4405" s="30" t="s">
        <v>8069</v>
      </c>
      <c r="B4405" s="31" t="s">
        <v>488</v>
      </c>
      <c r="C4405" s="31" t="s">
        <v>1155</v>
      </c>
      <c r="D4405" s="30" t="s">
        <v>3663</v>
      </c>
      <c r="E4405" s="32">
        <v>46113.0</v>
      </c>
      <c r="F4405" s="32">
        <v>46171.0</v>
      </c>
      <c r="G4405" s="33"/>
    </row>
    <row r="4406" ht="15.75" customHeight="1">
      <c r="A4406" s="26" t="s">
        <v>8070</v>
      </c>
      <c r="B4406" s="27" t="s">
        <v>488</v>
      </c>
      <c r="C4406" s="27" t="s">
        <v>1153</v>
      </c>
      <c r="D4406" s="26" t="s">
        <v>3663</v>
      </c>
      <c r="E4406" s="28">
        <v>46113.0</v>
      </c>
      <c r="F4406" s="28">
        <v>46171.0</v>
      </c>
      <c r="G4406" s="29"/>
    </row>
    <row r="4407" ht="15.75" customHeight="1">
      <c r="A4407" s="30" t="s">
        <v>8071</v>
      </c>
      <c r="B4407" s="31" t="s">
        <v>488</v>
      </c>
      <c r="C4407" s="31" t="s">
        <v>1149</v>
      </c>
      <c r="D4407" s="30" t="s">
        <v>3663</v>
      </c>
      <c r="E4407" s="32">
        <v>46113.0</v>
      </c>
      <c r="F4407" s="32">
        <v>46171.0</v>
      </c>
      <c r="G4407" s="33"/>
    </row>
    <row r="4408" ht="15.75" customHeight="1">
      <c r="A4408" s="26" t="s">
        <v>8072</v>
      </c>
      <c r="B4408" s="27" t="s">
        <v>488</v>
      </c>
      <c r="C4408" s="27" t="s">
        <v>968</v>
      </c>
      <c r="D4408" s="26" t="s">
        <v>3663</v>
      </c>
      <c r="E4408" s="28">
        <v>46113.0</v>
      </c>
      <c r="F4408" s="28">
        <v>46171.0</v>
      </c>
      <c r="G4408" s="29"/>
    </row>
    <row r="4409" ht="15.75" customHeight="1">
      <c r="A4409" s="30" t="s">
        <v>8073</v>
      </c>
      <c r="B4409" s="31" t="s">
        <v>488</v>
      </c>
      <c r="C4409" s="31" t="s">
        <v>923</v>
      </c>
      <c r="D4409" s="30" t="s">
        <v>3663</v>
      </c>
      <c r="E4409" s="32">
        <v>46113.0</v>
      </c>
      <c r="F4409" s="32">
        <v>46171.0</v>
      </c>
      <c r="G4409" s="33"/>
    </row>
    <row r="4410" ht="15.75" customHeight="1">
      <c r="A4410" s="26" t="s">
        <v>8074</v>
      </c>
      <c r="B4410" s="27" t="s">
        <v>490</v>
      </c>
      <c r="C4410" s="27" t="s">
        <v>932</v>
      </c>
      <c r="D4410" s="26" t="s">
        <v>3663</v>
      </c>
      <c r="E4410" s="28">
        <v>46113.0</v>
      </c>
      <c r="F4410" s="28">
        <v>46171.0</v>
      </c>
      <c r="G4410" s="29"/>
    </row>
    <row r="4411" ht="15.75" customHeight="1">
      <c r="A4411" s="30" t="s">
        <v>8075</v>
      </c>
      <c r="B4411" s="31" t="s">
        <v>490</v>
      </c>
      <c r="C4411" s="31" t="s">
        <v>1168</v>
      </c>
      <c r="D4411" s="30" t="s">
        <v>3663</v>
      </c>
      <c r="E4411" s="32">
        <v>46113.0</v>
      </c>
      <c r="F4411" s="32">
        <v>46171.0</v>
      </c>
      <c r="G4411" s="33"/>
    </row>
    <row r="4412" ht="15.75" customHeight="1">
      <c r="A4412" s="26" t="s">
        <v>8076</v>
      </c>
      <c r="B4412" s="27" t="s">
        <v>490</v>
      </c>
      <c r="C4412" s="27" t="s">
        <v>1170</v>
      </c>
      <c r="D4412" s="26" t="s">
        <v>3663</v>
      </c>
      <c r="E4412" s="28">
        <v>46113.0</v>
      </c>
      <c r="F4412" s="28">
        <v>46171.0</v>
      </c>
      <c r="G4412" s="29"/>
    </row>
    <row r="4413" ht="15.75" customHeight="1">
      <c r="A4413" s="30" t="s">
        <v>8077</v>
      </c>
      <c r="B4413" s="31" t="s">
        <v>490</v>
      </c>
      <c r="C4413" s="31" t="s">
        <v>1288</v>
      </c>
      <c r="D4413" s="30" t="s">
        <v>3663</v>
      </c>
      <c r="E4413" s="32">
        <v>46113.0</v>
      </c>
      <c r="F4413" s="32">
        <v>46171.0</v>
      </c>
      <c r="G4413" s="33"/>
    </row>
    <row r="4414" ht="15.75" customHeight="1">
      <c r="A4414" s="26" t="s">
        <v>8078</v>
      </c>
      <c r="B4414" s="27" t="s">
        <v>490</v>
      </c>
      <c r="C4414" s="27" t="s">
        <v>1291</v>
      </c>
      <c r="D4414" s="26" t="s">
        <v>3663</v>
      </c>
      <c r="E4414" s="28">
        <v>46113.0</v>
      </c>
      <c r="F4414" s="28">
        <v>46171.0</v>
      </c>
      <c r="G4414" s="29"/>
    </row>
    <row r="4415" ht="15.75" customHeight="1">
      <c r="A4415" s="30" t="s">
        <v>8079</v>
      </c>
      <c r="B4415" s="31" t="s">
        <v>490</v>
      </c>
      <c r="C4415" s="31" t="s">
        <v>1354</v>
      </c>
      <c r="D4415" s="30" t="s">
        <v>3663</v>
      </c>
      <c r="E4415" s="32">
        <v>46113.0</v>
      </c>
      <c r="F4415" s="32">
        <v>46171.0</v>
      </c>
      <c r="G4415" s="33"/>
    </row>
    <row r="4416" ht="15.75" customHeight="1">
      <c r="A4416" s="26" t="s">
        <v>8080</v>
      </c>
      <c r="B4416" s="27" t="s">
        <v>490</v>
      </c>
      <c r="C4416" s="27" t="s">
        <v>1172</v>
      </c>
      <c r="D4416" s="26" t="s">
        <v>3663</v>
      </c>
      <c r="E4416" s="28">
        <v>46113.0</v>
      </c>
      <c r="F4416" s="28">
        <v>46171.0</v>
      </c>
      <c r="G4416" s="29"/>
    </row>
    <row r="4417" ht="15.75" customHeight="1">
      <c r="A4417" s="30" t="s">
        <v>8081</v>
      </c>
      <c r="B4417" s="31" t="s">
        <v>490</v>
      </c>
      <c r="C4417" s="31" t="s">
        <v>3656</v>
      </c>
      <c r="D4417" s="30" t="s">
        <v>3663</v>
      </c>
      <c r="E4417" s="32">
        <v>46113.0</v>
      </c>
      <c r="F4417" s="32">
        <v>46171.0</v>
      </c>
      <c r="G4417" s="33"/>
    </row>
    <row r="4418" ht="15.75" customHeight="1">
      <c r="A4418" s="26" t="s">
        <v>8082</v>
      </c>
      <c r="B4418" s="27" t="s">
        <v>490</v>
      </c>
      <c r="C4418" s="27" t="s">
        <v>3657</v>
      </c>
      <c r="D4418" s="26" t="s">
        <v>3663</v>
      </c>
      <c r="E4418" s="28">
        <v>46113.0</v>
      </c>
      <c r="F4418" s="28">
        <v>46171.0</v>
      </c>
      <c r="G4418" s="29"/>
    </row>
    <row r="4419" ht="15.75" customHeight="1">
      <c r="A4419" s="30" t="s">
        <v>8083</v>
      </c>
      <c r="B4419" s="31" t="s">
        <v>490</v>
      </c>
      <c r="C4419" s="31" t="s">
        <v>3647</v>
      </c>
      <c r="D4419" s="30" t="s">
        <v>3663</v>
      </c>
      <c r="E4419" s="32">
        <v>46113.0</v>
      </c>
      <c r="F4419" s="32">
        <v>46171.0</v>
      </c>
      <c r="G4419" s="33"/>
    </row>
    <row r="4420" ht="15.75" customHeight="1">
      <c r="A4420" s="26" t="s">
        <v>8084</v>
      </c>
      <c r="B4420" s="27" t="s">
        <v>490</v>
      </c>
      <c r="C4420" s="27" t="s">
        <v>952</v>
      </c>
      <c r="D4420" s="26" t="s">
        <v>3663</v>
      </c>
      <c r="E4420" s="28">
        <v>46113.0</v>
      </c>
      <c r="F4420" s="28">
        <v>46171.0</v>
      </c>
      <c r="G4420" s="29"/>
    </row>
    <row r="4421" ht="15.75" customHeight="1">
      <c r="A4421" s="30" t="s">
        <v>8085</v>
      </c>
      <c r="B4421" s="31" t="s">
        <v>490</v>
      </c>
      <c r="C4421" s="31" t="s">
        <v>1216</v>
      </c>
      <c r="D4421" s="30" t="s">
        <v>3663</v>
      </c>
      <c r="E4421" s="32">
        <v>46113.0</v>
      </c>
      <c r="F4421" s="32">
        <v>46171.0</v>
      </c>
      <c r="G4421" s="33"/>
    </row>
    <row r="4422" ht="15.75" customHeight="1">
      <c r="A4422" s="26" t="s">
        <v>8086</v>
      </c>
      <c r="B4422" s="27" t="s">
        <v>490</v>
      </c>
      <c r="C4422" s="27" t="s">
        <v>968</v>
      </c>
      <c r="D4422" s="26" t="s">
        <v>3663</v>
      </c>
      <c r="E4422" s="28">
        <v>46113.0</v>
      </c>
      <c r="F4422" s="28">
        <v>46171.0</v>
      </c>
      <c r="G4422" s="29"/>
    </row>
    <row r="4423" ht="15.75" customHeight="1">
      <c r="A4423" s="30" t="s">
        <v>8087</v>
      </c>
      <c r="B4423" s="31" t="s">
        <v>490</v>
      </c>
      <c r="C4423" s="31" t="s">
        <v>923</v>
      </c>
      <c r="D4423" s="30" t="s">
        <v>3663</v>
      </c>
      <c r="E4423" s="32">
        <v>46113.0</v>
      </c>
      <c r="F4423" s="32">
        <v>46171.0</v>
      </c>
      <c r="G4423" s="33"/>
    </row>
    <row r="4424" ht="15.75" customHeight="1">
      <c r="A4424" s="26" t="s">
        <v>8088</v>
      </c>
      <c r="B4424" s="27" t="s">
        <v>491</v>
      </c>
      <c r="C4424" s="27" t="s">
        <v>3654</v>
      </c>
      <c r="D4424" s="26" t="s">
        <v>3663</v>
      </c>
      <c r="E4424" s="28">
        <v>46113.0</v>
      </c>
      <c r="F4424" s="28">
        <v>46171.0</v>
      </c>
      <c r="G4424" s="29"/>
    </row>
    <row r="4425" ht="15.75" customHeight="1">
      <c r="A4425" s="30" t="s">
        <v>8089</v>
      </c>
      <c r="B4425" s="31" t="s">
        <v>491</v>
      </c>
      <c r="C4425" s="31" t="s">
        <v>3655</v>
      </c>
      <c r="D4425" s="30" t="s">
        <v>3663</v>
      </c>
      <c r="E4425" s="32">
        <v>46113.0</v>
      </c>
      <c r="F4425" s="32">
        <v>46171.0</v>
      </c>
      <c r="G4425" s="33"/>
    </row>
    <row r="4426" ht="15.75" customHeight="1">
      <c r="A4426" s="26" t="s">
        <v>8090</v>
      </c>
      <c r="B4426" s="27" t="s">
        <v>491</v>
      </c>
      <c r="C4426" s="27" t="s">
        <v>926</v>
      </c>
      <c r="D4426" s="27" t="s">
        <v>3663</v>
      </c>
      <c r="E4426" s="28">
        <v>46113.0</v>
      </c>
      <c r="F4426" s="28">
        <v>46171.0</v>
      </c>
      <c r="G4426" s="29"/>
    </row>
    <row r="4427" ht="15.75" customHeight="1">
      <c r="A4427" s="30" t="s">
        <v>8091</v>
      </c>
      <c r="B4427" s="31" t="s">
        <v>491</v>
      </c>
      <c r="C4427" s="31" t="s">
        <v>3640</v>
      </c>
      <c r="D4427" s="30" t="s">
        <v>3663</v>
      </c>
      <c r="E4427" s="32">
        <v>46113.0</v>
      </c>
      <c r="F4427" s="32">
        <v>46171.0</v>
      </c>
      <c r="G4427" s="33"/>
    </row>
    <row r="4428" ht="15.75" customHeight="1">
      <c r="A4428" s="26" t="s">
        <v>8092</v>
      </c>
      <c r="B4428" s="27" t="s">
        <v>491</v>
      </c>
      <c r="C4428" s="27" t="s">
        <v>1354</v>
      </c>
      <c r="D4428" s="26" t="s">
        <v>3663</v>
      </c>
      <c r="E4428" s="28">
        <v>46113.0</v>
      </c>
      <c r="F4428" s="28">
        <v>46171.0</v>
      </c>
      <c r="G4428" s="29"/>
    </row>
    <row r="4429" ht="15.75" customHeight="1">
      <c r="A4429" s="30" t="s">
        <v>8093</v>
      </c>
      <c r="B4429" s="31" t="s">
        <v>491</v>
      </c>
      <c r="C4429" s="31" t="s">
        <v>3648</v>
      </c>
      <c r="D4429" s="31" t="s">
        <v>3663</v>
      </c>
      <c r="E4429" s="32">
        <v>46113.0</v>
      </c>
      <c r="F4429" s="32">
        <v>46171.0</v>
      </c>
      <c r="G4429" s="33"/>
    </row>
    <row r="4430" ht="15.75" customHeight="1">
      <c r="A4430" s="26" t="s">
        <v>8094</v>
      </c>
      <c r="B4430" s="27" t="s">
        <v>491</v>
      </c>
      <c r="C4430" s="27" t="s">
        <v>3649</v>
      </c>
      <c r="D4430" s="27" t="s">
        <v>3663</v>
      </c>
      <c r="E4430" s="28">
        <v>46113.0</v>
      </c>
      <c r="F4430" s="28">
        <v>46171.0</v>
      </c>
      <c r="G4430" s="29"/>
    </row>
    <row r="4431" ht="15.75" customHeight="1">
      <c r="A4431" s="30" t="s">
        <v>8095</v>
      </c>
      <c r="B4431" s="31" t="s">
        <v>491</v>
      </c>
      <c r="C4431" s="31" t="s">
        <v>3650</v>
      </c>
      <c r="D4431" s="31" t="s">
        <v>3663</v>
      </c>
      <c r="E4431" s="32">
        <v>46113.0</v>
      </c>
      <c r="F4431" s="32">
        <v>46171.0</v>
      </c>
      <c r="G4431" s="33"/>
    </row>
    <row r="4432" ht="15.75" customHeight="1">
      <c r="A4432" s="26" t="s">
        <v>8096</v>
      </c>
      <c r="B4432" s="27" t="s">
        <v>491</v>
      </c>
      <c r="C4432" s="27" t="s">
        <v>1283</v>
      </c>
      <c r="D4432" s="27" t="s">
        <v>3663</v>
      </c>
      <c r="E4432" s="28">
        <v>46113.0</v>
      </c>
      <c r="F4432" s="28">
        <v>46171.0</v>
      </c>
      <c r="G4432" s="29"/>
    </row>
    <row r="4433" ht="15.75" customHeight="1">
      <c r="A4433" s="30" t="s">
        <v>8097</v>
      </c>
      <c r="B4433" s="31" t="s">
        <v>491</v>
      </c>
      <c r="C4433" s="31" t="s">
        <v>1271</v>
      </c>
      <c r="D4433" s="30" t="s">
        <v>3663</v>
      </c>
      <c r="E4433" s="32">
        <v>46113.0</v>
      </c>
      <c r="F4433" s="32">
        <v>46171.0</v>
      </c>
      <c r="G4433" s="33"/>
    </row>
    <row r="4434" ht="15.75" customHeight="1">
      <c r="A4434" s="26" t="s">
        <v>8098</v>
      </c>
      <c r="B4434" s="27" t="s">
        <v>491</v>
      </c>
      <c r="C4434" s="27" t="s">
        <v>1351</v>
      </c>
      <c r="D4434" s="26" t="s">
        <v>3663</v>
      </c>
      <c r="E4434" s="28">
        <v>46113.0</v>
      </c>
      <c r="F4434" s="28">
        <v>46171.0</v>
      </c>
      <c r="G4434" s="29"/>
    </row>
    <row r="4435" ht="15.75" customHeight="1">
      <c r="A4435" s="30" t="s">
        <v>8099</v>
      </c>
      <c r="B4435" s="31" t="s">
        <v>491</v>
      </c>
      <c r="C4435" s="31" t="s">
        <v>1349</v>
      </c>
      <c r="D4435" s="30" t="s">
        <v>3663</v>
      </c>
      <c r="E4435" s="32">
        <v>46113.0</v>
      </c>
      <c r="F4435" s="32">
        <v>46171.0</v>
      </c>
      <c r="G4435" s="33"/>
    </row>
    <row r="4436" ht="15.75" customHeight="1">
      <c r="A4436" s="26" t="s">
        <v>8100</v>
      </c>
      <c r="B4436" s="27" t="s">
        <v>491</v>
      </c>
      <c r="C4436" s="27" t="s">
        <v>968</v>
      </c>
      <c r="D4436" s="26" t="s">
        <v>3663</v>
      </c>
      <c r="E4436" s="28">
        <v>46113.0</v>
      </c>
      <c r="F4436" s="28">
        <v>46171.0</v>
      </c>
      <c r="G4436" s="29"/>
    </row>
    <row r="4437" ht="15.75" customHeight="1">
      <c r="A4437" s="30" t="s">
        <v>8101</v>
      </c>
      <c r="B4437" s="31" t="s">
        <v>491</v>
      </c>
      <c r="C4437" s="31" t="s">
        <v>923</v>
      </c>
      <c r="D4437" s="31" t="s">
        <v>3663</v>
      </c>
      <c r="E4437" s="32">
        <v>46113.0</v>
      </c>
      <c r="F4437" s="32">
        <v>46171.0</v>
      </c>
      <c r="G4437" s="33"/>
    </row>
    <row r="4438" ht="15.75" customHeight="1">
      <c r="A4438" s="26" t="s">
        <v>8102</v>
      </c>
      <c r="B4438" s="27" t="s">
        <v>492</v>
      </c>
      <c r="C4438" s="27" t="s">
        <v>934</v>
      </c>
      <c r="D4438" s="26" t="s">
        <v>3663</v>
      </c>
      <c r="E4438" s="28">
        <v>46113.0</v>
      </c>
      <c r="F4438" s="28">
        <v>46171.0</v>
      </c>
      <c r="G4438" s="29"/>
    </row>
    <row r="4439" ht="15.75" customHeight="1">
      <c r="A4439" s="30" t="s">
        <v>8103</v>
      </c>
      <c r="B4439" s="31" t="s">
        <v>492</v>
      </c>
      <c r="C4439" s="31" t="s">
        <v>1354</v>
      </c>
      <c r="D4439" s="30" t="s">
        <v>3663</v>
      </c>
      <c r="E4439" s="32">
        <v>46113.0</v>
      </c>
      <c r="F4439" s="32">
        <v>46171.0</v>
      </c>
      <c r="G4439" s="33"/>
    </row>
    <row r="4440" ht="15.75" customHeight="1">
      <c r="A4440" s="26" t="s">
        <v>8104</v>
      </c>
      <c r="B4440" s="27" t="s">
        <v>492</v>
      </c>
      <c r="C4440" s="27" t="s">
        <v>1190</v>
      </c>
      <c r="D4440" s="26" t="s">
        <v>3663</v>
      </c>
      <c r="E4440" s="28">
        <v>46113.0</v>
      </c>
      <c r="F4440" s="28">
        <v>46171.0</v>
      </c>
      <c r="G4440" s="29"/>
    </row>
    <row r="4441" ht="15.75" customHeight="1">
      <c r="A4441" s="30" t="s">
        <v>8105</v>
      </c>
      <c r="B4441" s="31" t="s">
        <v>492</v>
      </c>
      <c r="C4441" s="31" t="s">
        <v>3656</v>
      </c>
      <c r="D4441" s="30" t="s">
        <v>3663</v>
      </c>
      <c r="E4441" s="32">
        <v>46113.0</v>
      </c>
      <c r="F4441" s="32">
        <v>46171.0</v>
      </c>
      <c r="G4441" s="33"/>
    </row>
    <row r="4442" ht="15.75" customHeight="1">
      <c r="A4442" s="26" t="s">
        <v>8106</v>
      </c>
      <c r="B4442" s="27" t="s">
        <v>492</v>
      </c>
      <c r="C4442" s="27" t="s">
        <v>3657</v>
      </c>
      <c r="D4442" s="26" t="s">
        <v>3663</v>
      </c>
      <c r="E4442" s="28">
        <v>46113.0</v>
      </c>
      <c r="F4442" s="28">
        <v>46171.0</v>
      </c>
      <c r="G4442" s="29"/>
    </row>
    <row r="4443" ht="15.75" customHeight="1">
      <c r="A4443" s="30" t="s">
        <v>8107</v>
      </c>
      <c r="B4443" s="31" t="s">
        <v>492</v>
      </c>
      <c r="C4443" s="31" t="s">
        <v>1216</v>
      </c>
      <c r="D4443" s="30" t="s">
        <v>3663</v>
      </c>
      <c r="E4443" s="32">
        <v>46113.0</v>
      </c>
      <c r="F4443" s="32">
        <v>46171.0</v>
      </c>
      <c r="G4443" s="33"/>
    </row>
    <row r="4444" ht="15.75" customHeight="1">
      <c r="A4444" s="26" t="s">
        <v>8108</v>
      </c>
      <c r="B4444" s="27" t="s">
        <v>492</v>
      </c>
      <c r="C4444" s="27" t="s">
        <v>1157</v>
      </c>
      <c r="D4444" s="26" t="s">
        <v>3663</v>
      </c>
      <c r="E4444" s="28">
        <v>46113.0</v>
      </c>
      <c r="F4444" s="28">
        <v>46171.0</v>
      </c>
      <c r="G4444" s="29"/>
    </row>
    <row r="4445" ht="15.75" customHeight="1">
      <c r="A4445" s="30" t="s">
        <v>8109</v>
      </c>
      <c r="B4445" s="31" t="s">
        <v>492</v>
      </c>
      <c r="C4445" s="31" t="s">
        <v>1155</v>
      </c>
      <c r="D4445" s="30" t="s">
        <v>3663</v>
      </c>
      <c r="E4445" s="32">
        <v>46113.0</v>
      </c>
      <c r="F4445" s="32">
        <v>46171.0</v>
      </c>
      <c r="G4445" s="33"/>
    </row>
    <row r="4446" ht="15.75" customHeight="1">
      <c r="A4446" s="26" t="s">
        <v>8110</v>
      </c>
      <c r="B4446" s="27" t="s">
        <v>492</v>
      </c>
      <c r="C4446" s="27" t="s">
        <v>1153</v>
      </c>
      <c r="D4446" s="26" t="s">
        <v>3663</v>
      </c>
      <c r="E4446" s="28">
        <v>46113.0</v>
      </c>
      <c r="F4446" s="28">
        <v>46171.0</v>
      </c>
      <c r="G4446" s="29"/>
    </row>
    <row r="4447" ht="15.75" customHeight="1">
      <c r="A4447" s="30" t="s">
        <v>8111</v>
      </c>
      <c r="B4447" s="31" t="s">
        <v>492</v>
      </c>
      <c r="C4447" s="31" t="s">
        <v>1149</v>
      </c>
      <c r="D4447" s="30" t="s">
        <v>3663</v>
      </c>
      <c r="E4447" s="32">
        <v>46113.0</v>
      </c>
      <c r="F4447" s="32">
        <v>46171.0</v>
      </c>
      <c r="G4447" s="33"/>
    </row>
    <row r="4448" ht="15.75" customHeight="1">
      <c r="A4448" s="26" t="s">
        <v>8112</v>
      </c>
      <c r="B4448" s="27" t="s">
        <v>492</v>
      </c>
      <c r="C4448" s="27" t="s">
        <v>1351</v>
      </c>
      <c r="D4448" s="26" t="s">
        <v>3663</v>
      </c>
      <c r="E4448" s="28">
        <v>46113.0</v>
      </c>
      <c r="F4448" s="28">
        <v>46171.0</v>
      </c>
      <c r="G4448" s="29"/>
    </row>
    <row r="4449" ht="15.75" customHeight="1">
      <c r="A4449" s="30" t="s">
        <v>8113</v>
      </c>
      <c r="B4449" s="31" t="s">
        <v>492</v>
      </c>
      <c r="C4449" s="31" t="s">
        <v>1349</v>
      </c>
      <c r="D4449" s="30" t="s">
        <v>3663</v>
      </c>
      <c r="E4449" s="32">
        <v>46113.0</v>
      </c>
      <c r="F4449" s="32">
        <v>46171.0</v>
      </c>
      <c r="G4449" s="33"/>
    </row>
    <row r="4450" ht="15.75" customHeight="1">
      <c r="A4450" s="26" t="s">
        <v>8114</v>
      </c>
      <c r="B4450" s="27" t="s">
        <v>492</v>
      </c>
      <c r="C4450" s="27" t="s">
        <v>968</v>
      </c>
      <c r="D4450" s="26" t="s">
        <v>3663</v>
      </c>
      <c r="E4450" s="28">
        <v>46113.0</v>
      </c>
      <c r="F4450" s="28">
        <v>46171.0</v>
      </c>
      <c r="G4450" s="29"/>
    </row>
    <row r="4451" ht="15.75" customHeight="1">
      <c r="A4451" s="30" t="s">
        <v>8115</v>
      </c>
      <c r="B4451" s="31" t="s">
        <v>492</v>
      </c>
      <c r="C4451" s="31" t="s">
        <v>923</v>
      </c>
      <c r="D4451" s="30" t="s">
        <v>3663</v>
      </c>
      <c r="E4451" s="32">
        <v>46113.0</v>
      </c>
      <c r="F4451" s="32">
        <v>46171.0</v>
      </c>
      <c r="G4451" s="33"/>
    </row>
    <row r="4452" ht="15.75" customHeight="1">
      <c r="A4452" s="26" t="s">
        <v>8116</v>
      </c>
      <c r="B4452" s="27" t="s">
        <v>493</v>
      </c>
      <c r="C4452" s="27" t="s">
        <v>932</v>
      </c>
      <c r="D4452" s="26" t="s">
        <v>3663</v>
      </c>
      <c r="E4452" s="28">
        <v>46113.0</v>
      </c>
      <c r="F4452" s="28">
        <v>46171.0</v>
      </c>
      <c r="G4452" s="29"/>
    </row>
    <row r="4453" ht="15.75" customHeight="1">
      <c r="A4453" s="30" t="s">
        <v>8117</v>
      </c>
      <c r="B4453" s="31" t="s">
        <v>493</v>
      </c>
      <c r="C4453" s="31" t="s">
        <v>1164</v>
      </c>
      <c r="D4453" s="30" t="s">
        <v>3663</v>
      </c>
      <c r="E4453" s="32">
        <v>46113.0</v>
      </c>
      <c r="F4453" s="32">
        <v>46171.0</v>
      </c>
      <c r="G4453" s="33"/>
    </row>
    <row r="4454" ht="15.75" customHeight="1">
      <c r="A4454" s="26" t="s">
        <v>8118</v>
      </c>
      <c r="B4454" s="27" t="s">
        <v>493</v>
      </c>
      <c r="C4454" s="27" t="s">
        <v>1166</v>
      </c>
      <c r="D4454" s="26" t="s">
        <v>3663</v>
      </c>
      <c r="E4454" s="28">
        <v>46113.0</v>
      </c>
      <c r="F4454" s="28">
        <v>46171.0</v>
      </c>
      <c r="G4454" s="29"/>
    </row>
    <row r="4455" ht="15.75" customHeight="1">
      <c r="A4455" s="30" t="s">
        <v>8119</v>
      </c>
      <c r="B4455" s="31" t="s">
        <v>493</v>
      </c>
      <c r="C4455" s="31" t="s">
        <v>1168</v>
      </c>
      <c r="D4455" s="30" t="s">
        <v>3663</v>
      </c>
      <c r="E4455" s="32">
        <v>46113.0</v>
      </c>
      <c r="F4455" s="32">
        <v>46171.0</v>
      </c>
      <c r="G4455" s="33"/>
    </row>
    <row r="4456" ht="15.75" customHeight="1">
      <c r="A4456" s="26" t="s">
        <v>8120</v>
      </c>
      <c r="B4456" s="27" t="s">
        <v>493</v>
      </c>
      <c r="C4456" s="27" t="s">
        <v>1170</v>
      </c>
      <c r="D4456" s="26" t="s">
        <v>3663</v>
      </c>
      <c r="E4456" s="28">
        <v>46113.0</v>
      </c>
      <c r="F4456" s="28">
        <v>46171.0</v>
      </c>
      <c r="G4456" s="29"/>
    </row>
    <row r="4457" ht="15.75" customHeight="1">
      <c r="A4457" s="30" t="s">
        <v>8121</v>
      </c>
      <c r="B4457" s="31" t="s">
        <v>493</v>
      </c>
      <c r="C4457" s="31" t="s">
        <v>1354</v>
      </c>
      <c r="D4457" s="30" t="s">
        <v>3663</v>
      </c>
      <c r="E4457" s="32">
        <v>46113.0</v>
      </c>
      <c r="F4457" s="32">
        <v>46171.0</v>
      </c>
      <c r="G4457" s="33"/>
    </row>
    <row r="4458" ht="15.75" customHeight="1">
      <c r="A4458" s="26" t="s">
        <v>8122</v>
      </c>
      <c r="B4458" s="27" t="s">
        <v>493</v>
      </c>
      <c r="C4458" s="27" t="s">
        <v>3681</v>
      </c>
      <c r="D4458" s="26" t="s">
        <v>3663</v>
      </c>
      <c r="E4458" s="28">
        <v>46113.0</v>
      </c>
      <c r="F4458" s="28">
        <v>46171.0</v>
      </c>
      <c r="G4458" s="29"/>
    </row>
    <row r="4459" ht="15.75" customHeight="1">
      <c r="A4459" s="30" t="s">
        <v>8123</v>
      </c>
      <c r="B4459" s="31" t="s">
        <v>493</v>
      </c>
      <c r="C4459" s="31" t="s">
        <v>3683</v>
      </c>
      <c r="D4459" s="30" t="s">
        <v>3663</v>
      </c>
      <c r="E4459" s="32">
        <v>46113.0</v>
      </c>
      <c r="F4459" s="32">
        <v>46171.0</v>
      </c>
      <c r="G4459" s="33"/>
    </row>
    <row r="4460" ht="15.75" customHeight="1">
      <c r="A4460" s="26" t="s">
        <v>8124</v>
      </c>
      <c r="B4460" s="27" t="s">
        <v>493</v>
      </c>
      <c r="C4460" s="27" t="s">
        <v>1190</v>
      </c>
      <c r="D4460" s="26" t="s">
        <v>3663</v>
      </c>
      <c r="E4460" s="28">
        <v>46113.0</v>
      </c>
      <c r="F4460" s="28">
        <v>46171.0</v>
      </c>
      <c r="G4460" s="29"/>
    </row>
    <row r="4461" ht="15.75" customHeight="1">
      <c r="A4461" s="30" t="s">
        <v>8125</v>
      </c>
      <c r="B4461" s="31" t="s">
        <v>493</v>
      </c>
      <c r="C4461" s="31" t="s">
        <v>1216</v>
      </c>
      <c r="D4461" s="30" t="s">
        <v>3663</v>
      </c>
      <c r="E4461" s="32">
        <v>46113.0</v>
      </c>
      <c r="F4461" s="32">
        <v>46171.0</v>
      </c>
      <c r="G4461" s="33"/>
    </row>
    <row r="4462" ht="15.75" customHeight="1">
      <c r="A4462" s="26" t="s">
        <v>8126</v>
      </c>
      <c r="B4462" s="27" t="s">
        <v>493</v>
      </c>
      <c r="C4462" s="27" t="s">
        <v>1351</v>
      </c>
      <c r="D4462" s="26" t="s">
        <v>3663</v>
      </c>
      <c r="E4462" s="28">
        <v>46113.0</v>
      </c>
      <c r="F4462" s="28">
        <v>46171.0</v>
      </c>
      <c r="G4462" s="29"/>
    </row>
    <row r="4463" ht="15.75" customHeight="1">
      <c r="A4463" s="30" t="s">
        <v>8127</v>
      </c>
      <c r="B4463" s="31" t="s">
        <v>493</v>
      </c>
      <c r="C4463" s="31" t="s">
        <v>1349</v>
      </c>
      <c r="D4463" s="30" t="s">
        <v>3663</v>
      </c>
      <c r="E4463" s="32">
        <v>46113.0</v>
      </c>
      <c r="F4463" s="32">
        <v>46171.0</v>
      </c>
      <c r="G4463" s="33"/>
    </row>
    <row r="4464" ht="15.75" customHeight="1">
      <c r="A4464" s="26" t="s">
        <v>8128</v>
      </c>
      <c r="B4464" s="27" t="s">
        <v>493</v>
      </c>
      <c r="C4464" s="27" t="s">
        <v>968</v>
      </c>
      <c r="D4464" s="26" t="s">
        <v>3663</v>
      </c>
      <c r="E4464" s="28">
        <v>46113.0</v>
      </c>
      <c r="F4464" s="28">
        <v>46171.0</v>
      </c>
      <c r="G4464" s="29"/>
    </row>
    <row r="4465" ht="15.75" customHeight="1">
      <c r="A4465" s="30" t="s">
        <v>8129</v>
      </c>
      <c r="B4465" s="31" t="s">
        <v>493</v>
      </c>
      <c r="C4465" s="31" t="s">
        <v>923</v>
      </c>
      <c r="D4465" s="30" t="s">
        <v>3663</v>
      </c>
      <c r="E4465" s="32">
        <v>46113.0</v>
      </c>
      <c r="F4465" s="32">
        <v>46171.0</v>
      </c>
      <c r="G4465" s="33"/>
    </row>
    <row r="4466" ht="15.75" customHeight="1">
      <c r="A4466" s="26" t="s">
        <v>8130</v>
      </c>
      <c r="B4466" s="27" t="s">
        <v>494</v>
      </c>
      <c r="C4466" s="27" t="s">
        <v>932</v>
      </c>
      <c r="D4466" s="26" t="s">
        <v>3663</v>
      </c>
      <c r="E4466" s="28">
        <v>46113.0</v>
      </c>
      <c r="F4466" s="28">
        <v>46171.0</v>
      </c>
      <c r="G4466" s="29"/>
    </row>
    <row r="4467" ht="15.75" customHeight="1">
      <c r="A4467" s="30" t="s">
        <v>8131</v>
      </c>
      <c r="B4467" s="31" t="s">
        <v>494</v>
      </c>
      <c r="C4467" s="31" t="s">
        <v>1168</v>
      </c>
      <c r="D4467" s="30" t="s">
        <v>3663</v>
      </c>
      <c r="E4467" s="32">
        <v>46113.0</v>
      </c>
      <c r="F4467" s="32">
        <v>46171.0</v>
      </c>
      <c r="G4467" s="33"/>
    </row>
    <row r="4468" ht="15.75" customHeight="1">
      <c r="A4468" s="26" t="s">
        <v>8132</v>
      </c>
      <c r="B4468" s="27" t="s">
        <v>494</v>
      </c>
      <c r="C4468" s="27" t="s">
        <v>1170</v>
      </c>
      <c r="D4468" s="26" t="s">
        <v>3663</v>
      </c>
      <c r="E4468" s="28">
        <v>46113.0</v>
      </c>
      <c r="F4468" s="28">
        <v>46171.0</v>
      </c>
      <c r="G4468" s="29"/>
    </row>
    <row r="4469" ht="15.75" customHeight="1">
      <c r="A4469" s="30" t="s">
        <v>8133</v>
      </c>
      <c r="B4469" s="31" t="s">
        <v>494</v>
      </c>
      <c r="C4469" s="31" t="s">
        <v>1288</v>
      </c>
      <c r="D4469" s="30" t="s">
        <v>3663</v>
      </c>
      <c r="E4469" s="32">
        <v>46113.0</v>
      </c>
      <c r="F4469" s="32">
        <v>46171.0</v>
      </c>
      <c r="G4469" s="33"/>
    </row>
    <row r="4470" ht="15.75" customHeight="1">
      <c r="A4470" s="26" t="s">
        <v>8134</v>
      </c>
      <c r="B4470" s="27" t="s">
        <v>494</v>
      </c>
      <c r="C4470" s="27" t="s">
        <v>1291</v>
      </c>
      <c r="D4470" s="26" t="s">
        <v>3663</v>
      </c>
      <c r="E4470" s="28">
        <v>46113.0</v>
      </c>
      <c r="F4470" s="28">
        <v>46171.0</v>
      </c>
      <c r="G4470" s="29"/>
    </row>
    <row r="4471" ht="15.75" customHeight="1">
      <c r="A4471" s="30" t="s">
        <v>8135</v>
      </c>
      <c r="B4471" s="31" t="s">
        <v>494</v>
      </c>
      <c r="C4471" s="31" t="s">
        <v>1354</v>
      </c>
      <c r="D4471" s="30" t="s">
        <v>3663</v>
      </c>
      <c r="E4471" s="32">
        <v>46113.0</v>
      </c>
      <c r="F4471" s="32">
        <v>46171.0</v>
      </c>
      <c r="G4471" s="33"/>
    </row>
    <row r="4472" ht="15.75" customHeight="1">
      <c r="A4472" s="26" t="s">
        <v>8136</v>
      </c>
      <c r="B4472" s="27" t="s">
        <v>494</v>
      </c>
      <c r="C4472" s="27" t="s">
        <v>1312</v>
      </c>
      <c r="D4472" s="26" t="s">
        <v>3663</v>
      </c>
      <c r="E4472" s="28">
        <v>46113.0</v>
      </c>
      <c r="F4472" s="28">
        <v>46171.0</v>
      </c>
      <c r="G4472" s="29"/>
    </row>
    <row r="4473" ht="15.75" customHeight="1">
      <c r="A4473" s="30" t="s">
        <v>8137</v>
      </c>
      <c r="B4473" s="31" t="s">
        <v>494</v>
      </c>
      <c r="C4473" s="31" t="s">
        <v>3681</v>
      </c>
      <c r="D4473" s="30" t="s">
        <v>3663</v>
      </c>
      <c r="E4473" s="32">
        <v>46113.0</v>
      </c>
      <c r="F4473" s="32">
        <v>46171.0</v>
      </c>
      <c r="G4473" s="33"/>
    </row>
    <row r="4474" ht="15.75" customHeight="1">
      <c r="A4474" s="26" t="s">
        <v>8138</v>
      </c>
      <c r="B4474" s="27" t="s">
        <v>494</v>
      </c>
      <c r="C4474" s="27" t="s">
        <v>3683</v>
      </c>
      <c r="D4474" s="26" t="s">
        <v>3663</v>
      </c>
      <c r="E4474" s="28">
        <v>46113.0</v>
      </c>
      <c r="F4474" s="28">
        <v>46171.0</v>
      </c>
      <c r="G4474" s="29"/>
    </row>
    <row r="4475" ht="15.75" customHeight="1">
      <c r="A4475" s="30" t="s">
        <v>8139</v>
      </c>
      <c r="B4475" s="31" t="s">
        <v>494</v>
      </c>
      <c r="C4475" s="31" t="s">
        <v>1351</v>
      </c>
      <c r="D4475" s="30" t="s">
        <v>3663</v>
      </c>
      <c r="E4475" s="32">
        <v>46113.0</v>
      </c>
      <c r="F4475" s="32">
        <v>46171.0</v>
      </c>
      <c r="G4475" s="33"/>
    </row>
    <row r="4476" ht="15.75" customHeight="1">
      <c r="A4476" s="26" t="s">
        <v>8140</v>
      </c>
      <c r="B4476" s="27" t="s">
        <v>494</v>
      </c>
      <c r="C4476" s="27" t="s">
        <v>1349</v>
      </c>
      <c r="D4476" s="26" t="s">
        <v>3663</v>
      </c>
      <c r="E4476" s="28">
        <v>46113.0</v>
      </c>
      <c r="F4476" s="28">
        <v>46171.0</v>
      </c>
      <c r="G4476" s="29"/>
    </row>
    <row r="4477" ht="15.75" customHeight="1">
      <c r="A4477" s="30" t="s">
        <v>8141</v>
      </c>
      <c r="B4477" s="31" t="s">
        <v>494</v>
      </c>
      <c r="C4477" s="31" t="s">
        <v>968</v>
      </c>
      <c r="D4477" s="30" t="s">
        <v>3663</v>
      </c>
      <c r="E4477" s="32">
        <v>46113.0</v>
      </c>
      <c r="F4477" s="32">
        <v>46171.0</v>
      </c>
      <c r="G4477" s="33"/>
    </row>
    <row r="4478" ht="15.75" customHeight="1">
      <c r="A4478" s="26" t="s">
        <v>8142</v>
      </c>
      <c r="B4478" s="27" t="s">
        <v>494</v>
      </c>
      <c r="C4478" s="27" t="s">
        <v>923</v>
      </c>
      <c r="D4478" s="26" t="s">
        <v>3663</v>
      </c>
      <c r="E4478" s="28">
        <v>46113.0</v>
      </c>
      <c r="F4478" s="28">
        <v>46171.0</v>
      </c>
      <c r="G4478" s="29"/>
    </row>
    <row r="4479" ht="15.75" customHeight="1">
      <c r="A4479" s="30" t="s">
        <v>8143</v>
      </c>
      <c r="B4479" s="31" t="s">
        <v>494</v>
      </c>
      <c r="C4479" s="31" t="s">
        <v>955</v>
      </c>
      <c r="D4479" s="30" t="s">
        <v>3663</v>
      </c>
      <c r="E4479" s="32">
        <v>46113.0</v>
      </c>
      <c r="F4479" s="32">
        <v>46171.0</v>
      </c>
      <c r="G4479" s="33"/>
    </row>
    <row r="4480" ht="15.75" customHeight="1">
      <c r="A4480" s="26" t="s">
        <v>8144</v>
      </c>
      <c r="B4480" s="27" t="s">
        <v>495</v>
      </c>
      <c r="C4480" s="27" t="s">
        <v>3654</v>
      </c>
      <c r="D4480" s="26" t="s">
        <v>3663</v>
      </c>
      <c r="E4480" s="28">
        <v>46113.0</v>
      </c>
      <c r="F4480" s="28">
        <v>46171.0</v>
      </c>
      <c r="G4480" s="29"/>
    </row>
    <row r="4481" ht="15.75" customHeight="1">
      <c r="A4481" s="30" t="s">
        <v>8145</v>
      </c>
      <c r="B4481" s="31" t="s">
        <v>495</v>
      </c>
      <c r="C4481" s="31" t="s">
        <v>3655</v>
      </c>
      <c r="D4481" s="30" t="s">
        <v>3663</v>
      </c>
      <c r="E4481" s="32">
        <v>46113.0</v>
      </c>
      <c r="F4481" s="32">
        <v>46171.0</v>
      </c>
      <c r="G4481" s="33"/>
    </row>
    <row r="4482" ht="15.75" customHeight="1">
      <c r="A4482" s="26" t="s">
        <v>8146</v>
      </c>
      <c r="B4482" s="27" t="s">
        <v>495</v>
      </c>
      <c r="C4482" s="27" t="s">
        <v>928</v>
      </c>
      <c r="D4482" s="26" t="s">
        <v>3663</v>
      </c>
      <c r="E4482" s="28">
        <v>46113.0</v>
      </c>
      <c r="F4482" s="28">
        <v>46171.0</v>
      </c>
      <c r="G4482" s="29"/>
    </row>
    <row r="4483" ht="15.75" customHeight="1">
      <c r="A4483" s="30" t="s">
        <v>8147</v>
      </c>
      <c r="B4483" s="31" t="s">
        <v>495</v>
      </c>
      <c r="C4483" s="31" t="s">
        <v>1354</v>
      </c>
      <c r="D4483" s="30" t="s">
        <v>3663</v>
      </c>
      <c r="E4483" s="32">
        <v>46113.0</v>
      </c>
      <c r="F4483" s="32">
        <v>46171.0</v>
      </c>
      <c r="G4483" s="33"/>
    </row>
    <row r="4484" ht="15.75" customHeight="1">
      <c r="A4484" s="26" t="s">
        <v>8148</v>
      </c>
      <c r="B4484" s="27" t="s">
        <v>495</v>
      </c>
      <c r="C4484" s="27" t="s">
        <v>1222</v>
      </c>
      <c r="D4484" s="26" t="s">
        <v>3663</v>
      </c>
      <c r="E4484" s="28">
        <v>46113.0</v>
      </c>
      <c r="F4484" s="28">
        <v>46171.0</v>
      </c>
      <c r="G4484" s="29"/>
    </row>
    <row r="4485" ht="15.75" customHeight="1">
      <c r="A4485" s="30" t="s">
        <v>8149</v>
      </c>
      <c r="B4485" s="31" t="s">
        <v>495</v>
      </c>
      <c r="C4485" s="31" t="s">
        <v>1224</v>
      </c>
      <c r="D4485" s="30" t="s">
        <v>3663</v>
      </c>
      <c r="E4485" s="32">
        <v>46113.0</v>
      </c>
      <c r="F4485" s="32">
        <v>46171.0</v>
      </c>
      <c r="G4485" s="33"/>
    </row>
    <row r="4486" ht="15.75" customHeight="1">
      <c r="A4486" s="26" t="s">
        <v>8150</v>
      </c>
      <c r="B4486" s="27" t="s">
        <v>495</v>
      </c>
      <c r="C4486" s="27" t="s">
        <v>1226</v>
      </c>
      <c r="D4486" s="26" t="s">
        <v>3663</v>
      </c>
      <c r="E4486" s="28">
        <v>46113.0</v>
      </c>
      <c r="F4486" s="28">
        <v>46171.0</v>
      </c>
      <c r="G4486" s="29"/>
    </row>
    <row r="4487" ht="15.75" customHeight="1">
      <c r="A4487" s="30" t="s">
        <v>8151</v>
      </c>
      <c r="B4487" s="31" t="s">
        <v>495</v>
      </c>
      <c r="C4487" s="31" t="s">
        <v>1228</v>
      </c>
      <c r="D4487" s="30" t="s">
        <v>3663</v>
      </c>
      <c r="E4487" s="32">
        <v>46113.0</v>
      </c>
      <c r="F4487" s="32">
        <v>46171.0</v>
      </c>
      <c r="G4487" s="33"/>
    </row>
    <row r="4488" ht="15.75" customHeight="1">
      <c r="A4488" s="26" t="s">
        <v>8152</v>
      </c>
      <c r="B4488" s="27" t="s">
        <v>495</v>
      </c>
      <c r="C4488" s="27" t="s">
        <v>1208</v>
      </c>
      <c r="D4488" s="26" t="s">
        <v>3663</v>
      </c>
      <c r="E4488" s="28">
        <v>46113.0</v>
      </c>
      <c r="F4488" s="28">
        <v>46171.0</v>
      </c>
      <c r="G4488" s="29"/>
    </row>
    <row r="4489" ht="15.75" customHeight="1">
      <c r="A4489" s="30" t="s">
        <v>8153</v>
      </c>
      <c r="B4489" s="31" t="s">
        <v>495</v>
      </c>
      <c r="C4489" s="31" t="s">
        <v>1159</v>
      </c>
      <c r="D4489" s="30" t="s">
        <v>3663</v>
      </c>
      <c r="E4489" s="32">
        <v>46113.0</v>
      </c>
      <c r="F4489" s="32">
        <v>46171.0</v>
      </c>
      <c r="G4489" s="33"/>
    </row>
    <row r="4490" ht="15.75" customHeight="1">
      <c r="A4490" s="26" t="s">
        <v>8154</v>
      </c>
      <c r="B4490" s="27" t="s">
        <v>495</v>
      </c>
      <c r="C4490" s="27" t="s">
        <v>1351</v>
      </c>
      <c r="D4490" s="26" t="s">
        <v>3663</v>
      </c>
      <c r="E4490" s="28">
        <v>46113.0</v>
      </c>
      <c r="F4490" s="28">
        <v>46171.0</v>
      </c>
      <c r="G4490" s="29"/>
    </row>
    <row r="4491" ht="15.75" customHeight="1">
      <c r="A4491" s="30" t="s">
        <v>8155</v>
      </c>
      <c r="B4491" s="31" t="s">
        <v>495</v>
      </c>
      <c r="C4491" s="31" t="s">
        <v>1349</v>
      </c>
      <c r="D4491" s="30" t="s">
        <v>3663</v>
      </c>
      <c r="E4491" s="32">
        <v>46113.0</v>
      </c>
      <c r="F4491" s="32">
        <v>46171.0</v>
      </c>
      <c r="G4491" s="33"/>
    </row>
    <row r="4492" ht="15.75" customHeight="1">
      <c r="A4492" s="26" t="s">
        <v>8156</v>
      </c>
      <c r="B4492" s="27" t="s">
        <v>495</v>
      </c>
      <c r="C4492" s="27" t="s">
        <v>968</v>
      </c>
      <c r="D4492" s="26" t="s">
        <v>3663</v>
      </c>
      <c r="E4492" s="28">
        <v>46113.0</v>
      </c>
      <c r="F4492" s="28">
        <v>46171.0</v>
      </c>
      <c r="G4492" s="29"/>
    </row>
    <row r="4493" ht="15.75" customHeight="1">
      <c r="A4493" s="30" t="s">
        <v>8157</v>
      </c>
      <c r="B4493" s="31" t="s">
        <v>495</v>
      </c>
      <c r="C4493" s="31" t="s">
        <v>923</v>
      </c>
      <c r="D4493" s="30" t="s">
        <v>3663</v>
      </c>
      <c r="E4493" s="32">
        <v>46113.0</v>
      </c>
      <c r="F4493" s="32">
        <v>46171.0</v>
      </c>
      <c r="G4493" s="33"/>
    </row>
    <row r="4494" ht="15.75" customHeight="1">
      <c r="A4494" s="26" t="s">
        <v>8158</v>
      </c>
      <c r="B4494" s="27" t="s">
        <v>496</v>
      </c>
      <c r="C4494" s="27" t="s">
        <v>1240</v>
      </c>
      <c r="D4494" s="27" t="s">
        <v>3663</v>
      </c>
      <c r="E4494" s="28">
        <v>46113.0</v>
      </c>
      <c r="F4494" s="28">
        <v>46171.0</v>
      </c>
      <c r="G4494" s="29"/>
    </row>
    <row r="4495" ht="15.75" customHeight="1">
      <c r="A4495" s="30" t="s">
        <v>8159</v>
      </c>
      <c r="B4495" s="31" t="s">
        <v>496</v>
      </c>
      <c r="C4495" s="31" t="s">
        <v>1242</v>
      </c>
      <c r="D4495" s="31" t="s">
        <v>3663</v>
      </c>
      <c r="E4495" s="32">
        <v>46113.0</v>
      </c>
      <c r="F4495" s="32">
        <v>46171.0</v>
      </c>
      <c r="G4495" s="33"/>
    </row>
    <row r="4496" ht="15.75" customHeight="1">
      <c r="A4496" s="26" t="s">
        <v>8160</v>
      </c>
      <c r="B4496" s="27" t="s">
        <v>496</v>
      </c>
      <c r="C4496" s="27" t="s">
        <v>1244</v>
      </c>
      <c r="D4496" s="27" t="s">
        <v>3663</v>
      </c>
      <c r="E4496" s="28">
        <v>46113.0</v>
      </c>
      <c r="F4496" s="28">
        <v>46171.0</v>
      </c>
      <c r="G4496" s="29"/>
    </row>
    <row r="4497" ht="15.75" customHeight="1">
      <c r="A4497" s="30" t="s">
        <v>8161</v>
      </c>
      <c r="B4497" s="31" t="s">
        <v>496</v>
      </c>
      <c r="C4497" s="31" t="s">
        <v>1246</v>
      </c>
      <c r="D4497" s="31" t="s">
        <v>3663</v>
      </c>
      <c r="E4497" s="32">
        <v>46113.0</v>
      </c>
      <c r="F4497" s="32">
        <v>46171.0</v>
      </c>
      <c r="G4497" s="33"/>
    </row>
    <row r="4498" ht="15.75" customHeight="1">
      <c r="A4498" s="26" t="s">
        <v>8162</v>
      </c>
      <c r="B4498" s="27" t="s">
        <v>496</v>
      </c>
      <c r="C4498" s="27" t="s">
        <v>934</v>
      </c>
      <c r="D4498" s="27" t="s">
        <v>3663</v>
      </c>
      <c r="E4498" s="28">
        <v>46113.0</v>
      </c>
      <c r="F4498" s="28">
        <v>46171.0</v>
      </c>
      <c r="G4498" s="29"/>
    </row>
    <row r="4499" ht="15.75" customHeight="1">
      <c r="A4499" s="30" t="s">
        <v>8163</v>
      </c>
      <c r="B4499" s="31" t="s">
        <v>496</v>
      </c>
      <c r="C4499" s="31" t="s">
        <v>1354</v>
      </c>
      <c r="D4499" s="30" t="s">
        <v>3663</v>
      </c>
      <c r="E4499" s="32">
        <v>46113.0</v>
      </c>
      <c r="F4499" s="32">
        <v>46171.0</v>
      </c>
      <c r="G4499" s="33"/>
    </row>
    <row r="4500" ht="15.75" customHeight="1">
      <c r="A4500" s="26" t="s">
        <v>8164</v>
      </c>
      <c r="B4500" s="27" t="s">
        <v>496</v>
      </c>
      <c r="C4500" s="27" t="s">
        <v>1172</v>
      </c>
      <c r="D4500" s="26" t="s">
        <v>3663</v>
      </c>
      <c r="E4500" s="28">
        <v>46113.0</v>
      </c>
      <c r="F4500" s="28">
        <v>46171.0</v>
      </c>
      <c r="G4500" s="29"/>
    </row>
    <row r="4501" ht="15.75" customHeight="1">
      <c r="A4501" s="30" t="s">
        <v>8165</v>
      </c>
      <c r="B4501" s="31" t="s">
        <v>496</v>
      </c>
      <c r="C4501" s="31" t="s">
        <v>3656</v>
      </c>
      <c r="D4501" s="30" t="s">
        <v>3663</v>
      </c>
      <c r="E4501" s="32">
        <v>46113.0</v>
      </c>
      <c r="F4501" s="32">
        <v>46171.0</v>
      </c>
      <c r="G4501" s="33"/>
    </row>
    <row r="4502" ht="15.75" customHeight="1">
      <c r="A4502" s="26" t="s">
        <v>8166</v>
      </c>
      <c r="B4502" s="27" t="s">
        <v>496</v>
      </c>
      <c r="C4502" s="27" t="s">
        <v>3657</v>
      </c>
      <c r="D4502" s="26" t="s">
        <v>3663</v>
      </c>
      <c r="E4502" s="28">
        <v>46113.0</v>
      </c>
      <c r="F4502" s="28">
        <v>46171.0</v>
      </c>
      <c r="G4502" s="29"/>
    </row>
    <row r="4503" ht="15.75" customHeight="1">
      <c r="A4503" s="30" t="s">
        <v>8167</v>
      </c>
      <c r="B4503" s="31" t="s">
        <v>496</v>
      </c>
      <c r="C4503" s="31" t="s">
        <v>1351</v>
      </c>
      <c r="D4503" s="30" t="s">
        <v>3663</v>
      </c>
      <c r="E4503" s="32">
        <v>46113.0</v>
      </c>
      <c r="F4503" s="32">
        <v>46171.0</v>
      </c>
      <c r="G4503" s="33"/>
    </row>
    <row r="4504" ht="15.75" customHeight="1">
      <c r="A4504" s="26" t="s">
        <v>8168</v>
      </c>
      <c r="B4504" s="27" t="s">
        <v>496</v>
      </c>
      <c r="C4504" s="27" t="s">
        <v>1349</v>
      </c>
      <c r="D4504" s="26" t="s">
        <v>3663</v>
      </c>
      <c r="E4504" s="28">
        <v>46113.0</v>
      </c>
      <c r="F4504" s="28">
        <v>46171.0</v>
      </c>
      <c r="G4504" s="29"/>
    </row>
    <row r="4505" ht="15.75" customHeight="1">
      <c r="A4505" s="30" t="s">
        <v>8169</v>
      </c>
      <c r="B4505" s="31" t="s">
        <v>496</v>
      </c>
      <c r="C4505" s="31" t="s">
        <v>968</v>
      </c>
      <c r="D4505" s="30" t="s">
        <v>3663</v>
      </c>
      <c r="E4505" s="32">
        <v>46113.0</v>
      </c>
      <c r="F4505" s="32">
        <v>46171.0</v>
      </c>
      <c r="G4505" s="33"/>
    </row>
    <row r="4506" ht="15.75" customHeight="1">
      <c r="A4506" s="26" t="s">
        <v>8170</v>
      </c>
      <c r="B4506" s="27" t="s">
        <v>496</v>
      </c>
      <c r="C4506" s="27" t="s">
        <v>923</v>
      </c>
      <c r="D4506" s="27" t="s">
        <v>3663</v>
      </c>
      <c r="E4506" s="28">
        <v>46113.0</v>
      </c>
      <c r="F4506" s="28">
        <v>46171.0</v>
      </c>
      <c r="G4506" s="29"/>
    </row>
    <row r="4507" ht="15.75" customHeight="1">
      <c r="A4507" s="30" t="s">
        <v>8171</v>
      </c>
      <c r="B4507" s="31" t="s">
        <v>496</v>
      </c>
      <c r="C4507" s="31" t="s">
        <v>955</v>
      </c>
      <c r="D4507" s="30" t="s">
        <v>3663</v>
      </c>
      <c r="E4507" s="32">
        <v>46113.0</v>
      </c>
      <c r="F4507" s="32">
        <v>46171.0</v>
      </c>
      <c r="G4507" s="33"/>
    </row>
    <row r="4508" ht="15.75" customHeight="1">
      <c r="A4508" s="26" t="s">
        <v>8172</v>
      </c>
      <c r="B4508" s="27" t="s">
        <v>497</v>
      </c>
      <c r="C4508" s="27" t="s">
        <v>934</v>
      </c>
      <c r="D4508" s="26" t="s">
        <v>3663</v>
      </c>
      <c r="E4508" s="28">
        <v>46113.0</v>
      </c>
      <c r="F4508" s="28">
        <v>46171.0</v>
      </c>
      <c r="G4508" s="29"/>
    </row>
    <row r="4509" ht="15.75" customHeight="1">
      <c r="A4509" s="30" t="s">
        <v>8173</v>
      </c>
      <c r="B4509" s="31" t="s">
        <v>497</v>
      </c>
      <c r="C4509" s="31" t="s">
        <v>1354</v>
      </c>
      <c r="D4509" s="30" t="s">
        <v>3663</v>
      </c>
      <c r="E4509" s="32">
        <v>46113.0</v>
      </c>
      <c r="F4509" s="32">
        <v>46171.0</v>
      </c>
      <c r="G4509" s="33"/>
    </row>
    <row r="4510" ht="15.75" customHeight="1">
      <c r="A4510" s="26" t="s">
        <v>8174</v>
      </c>
      <c r="B4510" s="27" t="s">
        <v>497</v>
      </c>
      <c r="C4510" s="27" t="s">
        <v>1312</v>
      </c>
      <c r="D4510" s="26" t="s">
        <v>3663</v>
      </c>
      <c r="E4510" s="28">
        <v>46113.0</v>
      </c>
      <c r="F4510" s="28">
        <v>46171.0</v>
      </c>
      <c r="G4510" s="29"/>
    </row>
    <row r="4511" ht="15.75" customHeight="1">
      <c r="A4511" s="30" t="s">
        <v>8175</v>
      </c>
      <c r="B4511" s="31" t="s">
        <v>497</v>
      </c>
      <c r="C4511" s="31" t="s">
        <v>1208</v>
      </c>
      <c r="D4511" s="30" t="s">
        <v>3663</v>
      </c>
      <c r="E4511" s="32">
        <v>46113.0</v>
      </c>
      <c r="F4511" s="32">
        <v>46171.0</v>
      </c>
      <c r="G4511" s="33"/>
    </row>
    <row r="4512" ht="15.75" customHeight="1">
      <c r="A4512" s="26" t="s">
        <v>8176</v>
      </c>
      <c r="B4512" s="27" t="s">
        <v>497</v>
      </c>
      <c r="C4512" s="27" t="s">
        <v>3656</v>
      </c>
      <c r="D4512" s="26" t="s">
        <v>3663</v>
      </c>
      <c r="E4512" s="28">
        <v>46113.0</v>
      </c>
      <c r="F4512" s="28">
        <v>46171.0</v>
      </c>
      <c r="G4512" s="29"/>
    </row>
    <row r="4513" ht="15.75" customHeight="1">
      <c r="A4513" s="30" t="s">
        <v>8177</v>
      </c>
      <c r="B4513" s="31" t="s">
        <v>497</v>
      </c>
      <c r="C4513" s="31" t="s">
        <v>3657</v>
      </c>
      <c r="D4513" s="30" t="s">
        <v>3663</v>
      </c>
      <c r="E4513" s="32">
        <v>46113.0</v>
      </c>
      <c r="F4513" s="32">
        <v>46171.0</v>
      </c>
      <c r="G4513" s="33"/>
    </row>
    <row r="4514" ht="15.75" customHeight="1">
      <c r="A4514" s="26" t="s">
        <v>8178</v>
      </c>
      <c r="B4514" s="27" t="s">
        <v>497</v>
      </c>
      <c r="C4514" s="27" t="s">
        <v>3647</v>
      </c>
      <c r="D4514" s="26" t="s">
        <v>3663</v>
      </c>
      <c r="E4514" s="28">
        <v>46113.0</v>
      </c>
      <c r="F4514" s="28">
        <v>46171.0</v>
      </c>
      <c r="G4514" s="29"/>
    </row>
    <row r="4515" ht="15.75" customHeight="1">
      <c r="A4515" s="30" t="s">
        <v>8179</v>
      </c>
      <c r="B4515" s="31" t="s">
        <v>497</v>
      </c>
      <c r="C4515" s="31" t="s">
        <v>952</v>
      </c>
      <c r="D4515" s="30" t="s">
        <v>3663</v>
      </c>
      <c r="E4515" s="32">
        <v>46113.0</v>
      </c>
      <c r="F4515" s="32">
        <v>46171.0</v>
      </c>
      <c r="G4515" s="33"/>
    </row>
    <row r="4516" ht="15.75" customHeight="1">
      <c r="A4516" s="26" t="s">
        <v>8180</v>
      </c>
      <c r="B4516" s="27" t="s">
        <v>497</v>
      </c>
      <c r="C4516" s="27" t="s">
        <v>1157</v>
      </c>
      <c r="D4516" s="26" t="s">
        <v>3663</v>
      </c>
      <c r="E4516" s="28">
        <v>46113.0</v>
      </c>
      <c r="F4516" s="28">
        <v>46171.0</v>
      </c>
      <c r="G4516" s="29"/>
    </row>
    <row r="4517" ht="15.75" customHeight="1">
      <c r="A4517" s="30" t="s">
        <v>8181</v>
      </c>
      <c r="B4517" s="31" t="s">
        <v>497</v>
      </c>
      <c r="C4517" s="31" t="s">
        <v>1155</v>
      </c>
      <c r="D4517" s="30" t="s">
        <v>3663</v>
      </c>
      <c r="E4517" s="32">
        <v>46113.0</v>
      </c>
      <c r="F4517" s="32">
        <v>46171.0</v>
      </c>
      <c r="G4517" s="33"/>
    </row>
    <row r="4518" ht="15.75" customHeight="1">
      <c r="A4518" s="26" t="s">
        <v>8182</v>
      </c>
      <c r="B4518" s="27" t="s">
        <v>497</v>
      </c>
      <c r="C4518" s="27" t="s">
        <v>1153</v>
      </c>
      <c r="D4518" s="26" t="s">
        <v>3663</v>
      </c>
      <c r="E4518" s="28">
        <v>46113.0</v>
      </c>
      <c r="F4518" s="28">
        <v>46171.0</v>
      </c>
      <c r="G4518" s="29"/>
    </row>
    <row r="4519" ht="15.75" customHeight="1">
      <c r="A4519" s="30" t="s">
        <v>8183</v>
      </c>
      <c r="B4519" s="31" t="s">
        <v>497</v>
      </c>
      <c r="C4519" s="31" t="s">
        <v>1149</v>
      </c>
      <c r="D4519" s="30" t="s">
        <v>3663</v>
      </c>
      <c r="E4519" s="32">
        <v>46113.0</v>
      </c>
      <c r="F4519" s="32">
        <v>46171.0</v>
      </c>
      <c r="G4519" s="33"/>
    </row>
    <row r="4520" ht="15.75" customHeight="1">
      <c r="A4520" s="26" t="s">
        <v>8184</v>
      </c>
      <c r="B4520" s="27" t="s">
        <v>497</v>
      </c>
      <c r="C4520" s="27" t="s">
        <v>968</v>
      </c>
      <c r="D4520" s="26" t="s">
        <v>3663</v>
      </c>
      <c r="E4520" s="28">
        <v>46113.0</v>
      </c>
      <c r="F4520" s="28">
        <v>46171.0</v>
      </c>
      <c r="G4520" s="29"/>
    </row>
    <row r="4521" ht="15.75" customHeight="1">
      <c r="A4521" s="30" t="s">
        <v>8185</v>
      </c>
      <c r="B4521" s="31" t="s">
        <v>497</v>
      </c>
      <c r="C4521" s="31" t="s">
        <v>923</v>
      </c>
      <c r="D4521" s="30" t="s">
        <v>3663</v>
      </c>
      <c r="E4521" s="32">
        <v>46113.0</v>
      </c>
      <c r="F4521" s="32">
        <v>46171.0</v>
      </c>
      <c r="G4521" s="33"/>
    </row>
    <row r="4522" ht="15.75" customHeight="1">
      <c r="A4522" s="26" t="s">
        <v>8186</v>
      </c>
      <c r="B4522" s="27" t="s">
        <v>498</v>
      </c>
      <c r="C4522" s="27" t="s">
        <v>3654</v>
      </c>
      <c r="D4522" s="26" t="s">
        <v>3663</v>
      </c>
      <c r="E4522" s="28">
        <v>46113.0</v>
      </c>
      <c r="F4522" s="28">
        <v>46171.0</v>
      </c>
      <c r="G4522" s="29"/>
    </row>
    <row r="4523" ht="15.75" customHeight="1">
      <c r="A4523" s="30" t="s">
        <v>8187</v>
      </c>
      <c r="B4523" s="31" t="s">
        <v>498</v>
      </c>
      <c r="C4523" s="31" t="s">
        <v>3655</v>
      </c>
      <c r="D4523" s="30" t="s">
        <v>3663</v>
      </c>
      <c r="E4523" s="32">
        <v>46113.0</v>
      </c>
      <c r="F4523" s="32">
        <v>46171.0</v>
      </c>
      <c r="G4523" s="33"/>
    </row>
    <row r="4524" ht="15.75" customHeight="1">
      <c r="A4524" s="26" t="s">
        <v>8188</v>
      </c>
      <c r="B4524" s="27" t="s">
        <v>498</v>
      </c>
      <c r="C4524" s="27" t="s">
        <v>930</v>
      </c>
      <c r="D4524" s="26" t="s">
        <v>3663</v>
      </c>
      <c r="E4524" s="28">
        <v>46113.0</v>
      </c>
      <c r="F4524" s="28">
        <v>46171.0</v>
      </c>
      <c r="G4524" s="29"/>
    </row>
    <row r="4525" ht="15.75" customHeight="1">
      <c r="A4525" s="30" t="s">
        <v>8189</v>
      </c>
      <c r="B4525" s="31" t="s">
        <v>498</v>
      </c>
      <c r="C4525" s="31" t="s">
        <v>1354</v>
      </c>
      <c r="D4525" s="30" t="s">
        <v>3663</v>
      </c>
      <c r="E4525" s="32">
        <v>46113.0</v>
      </c>
      <c r="F4525" s="32">
        <v>46171.0</v>
      </c>
      <c r="G4525" s="33"/>
    </row>
    <row r="4526" ht="15.75" customHeight="1">
      <c r="A4526" s="26" t="s">
        <v>8190</v>
      </c>
      <c r="B4526" s="27" t="s">
        <v>498</v>
      </c>
      <c r="C4526" s="27" t="s">
        <v>1172</v>
      </c>
      <c r="D4526" s="26" t="s">
        <v>3663</v>
      </c>
      <c r="E4526" s="28">
        <v>46113.0</v>
      </c>
      <c r="F4526" s="28">
        <v>46171.0</v>
      </c>
      <c r="G4526" s="29"/>
    </row>
    <row r="4527" ht="15.75" customHeight="1">
      <c r="A4527" s="30" t="s">
        <v>8191</v>
      </c>
      <c r="B4527" s="31" t="s">
        <v>498</v>
      </c>
      <c r="C4527" s="31" t="s">
        <v>1216</v>
      </c>
      <c r="D4527" s="30" t="s">
        <v>3663</v>
      </c>
      <c r="E4527" s="32">
        <v>46113.0</v>
      </c>
      <c r="F4527" s="32">
        <v>46171.0</v>
      </c>
      <c r="G4527" s="33"/>
    </row>
    <row r="4528" ht="15.75" customHeight="1">
      <c r="A4528" s="26" t="s">
        <v>8192</v>
      </c>
      <c r="B4528" s="27" t="s">
        <v>498</v>
      </c>
      <c r="C4528" s="27" t="s">
        <v>1157</v>
      </c>
      <c r="D4528" s="26" t="s">
        <v>3663</v>
      </c>
      <c r="E4528" s="28">
        <v>46113.0</v>
      </c>
      <c r="F4528" s="28">
        <v>46171.0</v>
      </c>
      <c r="G4528" s="29"/>
    </row>
    <row r="4529" ht="15.75" customHeight="1">
      <c r="A4529" s="30" t="s">
        <v>8193</v>
      </c>
      <c r="B4529" s="31" t="s">
        <v>498</v>
      </c>
      <c r="C4529" s="31" t="s">
        <v>1155</v>
      </c>
      <c r="D4529" s="30" t="s">
        <v>3663</v>
      </c>
      <c r="E4529" s="32">
        <v>46113.0</v>
      </c>
      <c r="F4529" s="32">
        <v>46171.0</v>
      </c>
      <c r="G4529" s="33"/>
    </row>
    <row r="4530" ht="15.75" customHeight="1">
      <c r="A4530" s="26" t="s">
        <v>8194</v>
      </c>
      <c r="B4530" s="27" t="s">
        <v>498</v>
      </c>
      <c r="C4530" s="27" t="s">
        <v>1153</v>
      </c>
      <c r="D4530" s="26" t="s">
        <v>3663</v>
      </c>
      <c r="E4530" s="28">
        <v>46113.0</v>
      </c>
      <c r="F4530" s="28">
        <v>46171.0</v>
      </c>
      <c r="G4530" s="29"/>
    </row>
    <row r="4531" ht="15.75" customHeight="1">
      <c r="A4531" s="30" t="s">
        <v>8195</v>
      </c>
      <c r="B4531" s="31" t="s">
        <v>498</v>
      </c>
      <c r="C4531" s="31" t="s">
        <v>1149</v>
      </c>
      <c r="D4531" s="30" t="s">
        <v>3663</v>
      </c>
      <c r="E4531" s="32">
        <v>46113.0</v>
      </c>
      <c r="F4531" s="32">
        <v>46171.0</v>
      </c>
      <c r="G4531" s="33"/>
    </row>
    <row r="4532" ht="15.75" customHeight="1">
      <c r="A4532" s="26" t="s">
        <v>8196</v>
      </c>
      <c r="B4532" s="27" t="s">
        <v>498</v>
      </c>
      <c r="C4532" s="27" t="s">
        <v>1351</v>
      </c>
      <c r="D4532" s="26" t="s">
        <v>3663</v>
      </c>
      <c r="E4532" s="28">
        <v>46113.0</v>
      </c>
      <c r="F4532" s="28">
        <v>46171.0</v>
      </c>
      <c r="G4532" s="29"/>
    </row>
    <row r="4533" ht="15.75" customHeight="1">
      <c r="A4533" s="30" t="s">
        <v>8197</v>
      </c>
      <c r="B4533" s="31" t="s">
        <v>498</v>
      </c>
      <c r="C4533" s="31" t="s">
        <v>1349</v>
      </c>
      <c r="D4533" s="30" t="s">
        <v>3663</v>
      </c>
      <c r="E4533" s="32">
        <v>46113.0</v>
      </c>
      <c r="F4533" s="32">
        <v>46171.0</v>
      </c>
      <c r="G4533" s="33"/>
    </row>
    <row r="4534" ht="15.75" customHeight="1">
      <c r="A4534" s="26" t="s">
        <v>8198</v>
      </c>
      <c r="B4534" s="27" t="s">
        <v>498</v>
      </c>
      <c r="C4534" s="27" t="s">
        <v>965</v>
      </c>
      <c r="D4534" s="26" t="s">
        <v>3663</v>
      </c>
      <c r="E4534" s="28">
        <v>46113.0</v>
      </c>
      <c r="F4534" s="28">
        <v>46171.0</v>
      </c>
      <c r="G4534" s="29"/>
    </row>
    <row r="4535" ht="15.75" customHeight="1">
      <c r="A4535" s="30" t="s">
        <v>8199</v>
      </c>
      <c r="B4535" s="31" t="s">
        <v>498</v>
      </c>
      <c r="C4535" s="31" t="s">
        <v>923</v>
      </c>
      <c r="D4535" s="30" t="s">
        <v>3663</v>
      </c>
      <c r="E4535" s="32">
        <v>46113.0</v>
      </c>
      <c r="F4535" s="32">
        <v>46171.0</v>
      </c>
      <c r="G4535" s="33"/>
    </row>
    <row r="4536" ht="15.75" customHeight="1">
      <c r="A4536" s="26" t="s">
        <v>8200</v>
      </c>
      <c r="B4536" s="27" t="s">
        <v>1174</v>
      </c>
      <c r="C4536" s="27" t="s">
        <v>932</v>
      </c>
      <c r="D4536" s="26" t="s">
        <v>3663</v>
      </c>
      <c r="E4536" s="28">
        <v>46113.0</v>
      </c>
      <c r="F4536" s="28">
        <v>46171.0</v>
      </c>
      <c r="G4536" s="29"/>
    </row>
    <row r="4537" ht="15.75" customHeight="1">
      <c r="A4537" s="30" t="s">
        <v>8201</v>
      </c>
      <c r="B4537" s="31" t="s">
        <v>1174</v>
      </c>
      <c r="C4537" s="31" t="s">
        <v>1164</v>
      </c>
      <c r="D4537" s="30" t="s">
        <v>3663</v>
      </c>
      <c r="E4537" s="32">
        <v>46113.0</v>
      </c>
      <c r="F4537" s="32">
        <v>46171.0</v>
      </c>
      <c r="G4537" s="33"/>
    </row>
    <row r="4538" ht="15.75" customHeight="1">
      <c r="A4538" s="26" t="s">
        <v>8202</v>
      </c>
      <c r="B4538" s="27" t="s">
        <v>1174</v>
      </c>
      <c r="C4538" s="27" t="s">
        <v>1166</v>
      </c>
      <c r="D4538" s="26" t="s">
        <v>3663</v>
      </c>
      <c r="E4538" s="28">
        <v>46113.0</v>
      </c>
      <c r="F4538" s="28">
        <v>46171.0</v>
      </c>
      <c r="G4538" s="29"/>
    </row>
    <row r="4539" ht="15.75" customHeight="1">
      <c r="A4539" s="30" t="s">
        <v>8203</v>
      </c>
      <c r="B4539" s="31" t="s">
        <v>1174</v>
      </c>
      <c r="C4539" s="31" t="s">
        <v>1168</v>
      </c>
      <c r="D4539" s="30" t="s">
        <v>3663</v>
      </c>
      <c r="E4539" s="32">
        <v>46113.0</v>
      </c>
      <c r="F4539" s="32">
        <v>46171.0</v>
      </c>
      <c r="G4539" s="33"/>
    </row>
    <row r="4540" ht="15.75" customHeight="1">
      <c r="A4540" s="26" t="s">
        <v>8204</v>
      </c>
      <c r="B4540" s="27" t="s">
        <v>1174</v>
      </c>
      <c r="C4540" s="27" t="s">
        <v>1170</v>
      </c>
      <c r="D4540" s="26" t="s">
        <v>3663</v>
      </c>
      <c r="E4540" s="28">
        <v>46113.0</v>
      </c>
      <c r="F4540" s="28">
        <v>46171.0</v>
      </c>
      <c r="G4540" s="29"/>
    </row>
    <row r="4541" ht="15.75" customHeight="1">
      <c r="A4541" s="30" t="s">
        <v>8205</v>
      </c>
      <c r="B4541" s="31" t="s">
        <v>1174</v>
      </c>
      <c r="C4541" s="31" t="s">
        <v>1354</v>
      </c>
      <c r="D4541" s="30" t="s">
        <v>3663</v>
      </c>
      <c r="E4541" s="32">
        <v>46113.0</v>
      </c>
      <c r="F4541" s="32">
        <v>46171.0</v>
      </c>
      <c r="G4541" s="33"/>
    </row>
    <row r="4542" ht="15.75" customHeight="1">
      <c r="A4542" s="26" t="s">
        <v>8206</v>
      </c>
      <c r="B4542" s="27" t="s">
        <v>1174</v>
      </c>
      <c r="C4542" s="27" t="s">
        <v>1159</v>
      </c>
      <c r="D4542" s="26" t="s">
        <v>3663</v>
      </c>
      <c r="E4542" s="28">
        <v>46113.0</v>
      </c>
      <c r="F4542" s="28">
        <v>46171.0</v>
      </c>
      <c r="G4542" s="29"/>
    </row>
    <row r="4543" ht="15.75" customHeight="1">
      <c r="A4543" s="30" t="s">
        <v>8207</v>
      </c>
      <c r="B4543" s="31" t="s">
        <v>1174</v>
      </c>
      <c r="C4543" s="31" t="s">
        <v>1351</v>
      </c>
      <c r="D4543" s="30" t="s">
        <v>3663</v>
      </c>
      <c r="E4543" s="32">
        <v>46113.0</v>
      </c>
      <c r="F4543" s="32">
        <v>46171.0</v>
      </c>
      <c r="G4543" s="33"/>
    </row>
    <row r="4544" ht="15.75" customHeight="1">
      <c r="A4544" s="26" t="s">
        <v>8208</v>
      </c>
      <c r="B4544" s="27" t="s">
        <v>1174</v>
      </c>
      <c r="C4544" s="27" t="s">
        <v>1349</v>
      </c>
      <c r="D4544" s="26" t="s">
        <v>3663</v>
      </c>
      <c r="E4544" s="28">
        <v>46113.0</v>
      </c>
      <c r="F4544" s="28">
        <v>46171.0</v>
      </c>
      <c r="G4544" s="29"/>
    </row>
    <row r="4545" ht="15.75" customHeight="1">
      <c r="A4545" s="30" t="s">
        <v>8209</v>
      </c>
      <c r="B4545" s="31" t="s">
        <v>1174</v>
      </c>
      <c r="C4545" s="31" t="s">
        <v>3653</v>
      </c>
      <c r="D4545" s="31" t="s">
        <v>3663</v>
      </c>
      <c r="E4545" s="32">
        <v>46113.0</v>
      </c>
      <c r="F4545" s="32">
        <v>46171.0</v>
      </c>
      <c r="G4545" s="33"/>
    </row>
    <row r="4546" ht="15.75" customHeight="1">
      <c r="A4546" s="26" t="s">
        <v>8210</v>
      </c>
      <c r="B4546" s="27" t="s">
        <v>1174</v>
      </c>
      <c r="C4546" s="27" t="s">
        <v>3652</v>
      </c>
      <c r="D4546" s="26" t="s">
        <v>3663</v>
      </c>
      <c r="E4546" s="28">
        <v>46113.0</v>
      </c>
      <c r="F4546" s="28">
        <v>46171.0</v>
      </c>
      <c r="G4546" s="29"/>
    </row>
    <row r="4547" ht="15.75" customHeight="1">
      <c r="A4547" s="30" t="s">
        <v>8211</v>
      </c>
      <c r="B4547" s="31" t="s">
        <v>1174</v>
      </c>
      <c r="C4547" s="31" t="s">
        <v>968</v>
      </c>
      <c r="D4547" s="30" t="s">
        <v>3663</v>
      </c>
      <c r="E4547" s="32">
        <v>46113.0</v>
      </c>
      <c r="F4547" s="32">
        <v>46171.0</v>
      </c>
      <c r="G4547" s="33"/>
    </row>
    <row r="4548" ht="15.75" customHeight="1">
      <c r="A4548" s="26" t="s">
        <v>8212</v>
      </c>
      <c r="B4548" s="27" t="s">
        <v>1174</v>
      </c>
      <c r="C4548" s="27" t="s">
        <v>923</v>
      </c>
      <c r="D4548" s="26" t="s">
        <v>3663</v>
      </c>
      <c r="E4548" s="28">
        <v>46113.0</v>
      </c>
      <c r="F4548" s="28">
        <v>46171.0</v>
      </c>
      <c r="G4548" s="29"/>
    </row>
    <row r="4549" ht="15.75" customHeight="1">
      <c r="A4549" s="30" t="s">
        <v>8213</v>
      </c>
      <c r="B4549" s="31" t="s">
        <v>1174</v>
      </c>
      <c r="C4549" s="31" t="s">
        <v>961</v>
      </c>
      <c r="D4549" s="30" t="s">
        <v>3663</v>
      </c>
      <c r="E4549" s="32">
        <v>46113.0</v>
      </c>
      <c r="F4549" s="32">
        <v>46171.0</v>
      </c>
      <c r="G4549" s="33"/>
    </row>
    <row r="4550" ht="15.75" customHeight="1">
      <c r="A4550" s="26" t="s">
        <v>8214</v>
      </c>
      <c r="B4550" s="27" t="s">
        <v>499</v>
      </c>
      <c r="C4550" s="27" t="s">
        <v>932</v>
      </c>
      <c r="D4550" s="26" t="s">
        <v>3663</v>
      </c>
      <c r="E4550" s="28">
        <v>46113.0</v>
      </c>
      <c r="F4550" s="28">
        <v>46171.0</v>
      </c>
      <c r="G4550" s="29"/>
    </row>
    <row r="4551" ht="15.75" customHeight="1">
      <c r="A4551" s="30" t="s">
        <v>8215</v>
      </c>
      <c r="B4551" s="31" t="s">
        <v>499</v>
      </c>
      <c r="C4551" s="31" t="s">
        <v>1164</v>
      </c>
      <c r="D4551" s="30" t="s">
        <v>3663</v>
      </c>
      <c r="E4551" s="32">
        <v>46113.0</v>
      </c>
      <c r="F4551" s="32">
        <v>46171.0</v>
      </c>
      <c r="G4551" s="33"/>
    </row>
    <row r="4552" ht="15.75" customHeight="1">
      <c r="A4552" s="26" t="s">
        <v>8216</v>
      </c>
      <c r="B4552" s="27" t="s">
        <v>499</v>
      </c>
      <c r="C4552" s="27" t="s">
        <v>1166</v>
      </c>
      <c r="D4552" s="26" t="s">
        <v>3663</v>
      </c>
      <c r="E4552" s="28">
        <v>46113.0</v>
      </c>
      <c r="F4552" s="28">
        <v>46171.0</v>
      </c>
      <c r="G4552" s="29"/>
    </row>
    <row r="4553" ht="15.75" customHeight="1">
      <c r="A4553" s="30" t="s">
        <v>8217</v>
      </c>
      <c r="B4553" s="31" t="s">
        <v>499</v>
      </c>
      <c r="C4553" s="31" t="s">
        <v>1168</v>
      </c>
      <c r="D4553" s="30" t="s">
        <v>3663</v>
      </c>
      <c r="E4553" s="32">
        <v>46113.0</v>
      </c>
      <c r="F4553" s="32">
        <v>46171.0</v>
      </c>
      <c r="G4553" s="33"/>
    </row>
    <row r="4554" ht="15.75" customHeight="1">
      <c r="A4554" s="26" t="s">
        <v>8218</v>
      </c>
      <c r="B4554" s="27" t="s">
        <v>499</v>
      </c>
      <c r="C4554" s="27" t="s">
        <v>1170</v>
      </c>
      <c r="D4554" s="26" t="s">
        <v>3663</v>
      </c>
      <c r="E4554" s="28">
        <v>46113.0</v>
      </c>
      <c r="F4554" s="28">
        <v>46171.0</v>
      </c>
      <c r="G4554" s="29"/>
    </row>
    <row r="4555" ht="15.75" customHeight="1">
      <c r="A4555" s="30" t="s">
        <v>8219</v>
      </c>
      <c r="B4555" s="31" t="s">
        <v>499</v>
      </c>
      <c r="C4555" s="31" t="s">
        <v>1354</v>
      </c>
      <c r="D4555" s="30" t="s">
        <v>3663</v>
      </c>
      <c r="E4555" s="32">
        <v>46113.0</v>
      </c>
      <c r="F4555" s="32">
        <v>46171.0</v>
      </c>
      <c r="G4555" s="33"/>
    </row>
    <row r="4556" ht="15.75" customHeight="1">
      <c r="A4556" s="26" t="s">
        <v>8220</v>
      </c>
      <c r="B4556" s="27" t="s">
        <v>499</v>
      </c>
      <c r="C4556" s="27" t="s">
        <v>1351</v>
      </c>
      <c r="D4556" s="26" t="s">
        <v>3663</v>
      </c>
      <c r="E4556" s="28">
        <v>46113.0</v>
      </c>
      <c r="F4556" s="28">
        <v>46171.0</v>
      </c>
      <c r="G4556" s="29"/>
    </row>
    <row r="4557" ht="15.75" customHeight="1">
      <c r="A4557" s="30" t="s">
        <v>8221</v>
      </c>
      <c r="B4557" s="31" t="s">
        <v>499</v>
      </c>
      <c r="C4557" s="31" t="s">
        <v>1349</v>
      </c>
      <c r="D4557" s="30" t="s">
        <v>3663</v>
      </c>
      <c r="E4557" s="32">
        <v>46113.0</v>
      </c>
      <c r="F4557" s="32">
        <v>46171.0</v>
      </c>
      <c r="G4557" s="33"/>
    </row>
    <row r="4558" ht="15.75" customHeight="1">
      <c r="A4558" s="26" t="s">
        <v>8222</v>
      </c>
      <c r="B4558" s="27" t="s">
        <v>499</v>
      </c>
      <c r="C4558" s="27" t="s">
        <v>3653</v>
      </c>
      <c r="D4558" s="27" t="s">
        <v>3663</v>
      </c>
      <c r="E4558" s="28">
        <v>46113.0</v>
      </c>
      <c r="F4558" s="28">
        <v>46171.0</v>
      </c>
      <c r="G4558" s="29"/>
    </row>
    <row r="4559" ht="15.75" customHeight="1">
      <c r="A4559" s="30" t="s">
        <v>8223</v>
      </c>
      <c r="B4559" s="31" t="s">
        <v>499</v>
      </c>
      <c r="C4559" s="31" t="s">
        <v>3652</v>
      </c>
      <c r="D4559" s="30" t="s">
        <v>3663</v>
      </c>
      <c r="E4559" s="32">
        <v>46113.0</v>
      </c>
      <c r="F4559" s="32">
        <v>46171.0</v>
      </c>
      <c r="G4559" s="33"/>
    </row>
    <row r="4560" ht="15.75" customHeight="1">
      <c r="A4560" s="26" t="s">
        <v>8224</v>
      </c>
      <c r="B4560" s="27" t="s">
        <v>499</v>
      </c>
      <c r="C4560" s="27" t="s">
        <v>965</v>
      </c>
      <c r="D4560" s="26" t="s">
        <v>3663</v>
      </c>
      <c r="E4560" s="28">
        <v>46113.0</v>
      </c>
      <c r="F4560" s="28">
        <v>46171.0</v>
      </c>
      <c r="G4560" s="29"/>
    </row>
    <row r="4561" ht="15.75" customHeight="1">
      <c r="A4561" s="30" t="s">
        <v>8225</v>
      </c>
      <c r="B4561" s="31" t="s">
        <v>499</v>
      </c>
      <c r="C4561" s="31" t="s">
        <v>923</v>
      </c>
      <c r="D4561" s="30" t="s">
        <v>3663</v>
      </c>
      <c r="E4561" s="32">
        <v>46113.0</v>
      </c>
      <c r="F4561" s="32">
        <v>46171.0</v>
      </c>
      <c r="G4561" s="33"/>
    </row>
    <row r="4562" ht="15.75" customHeight="1">
      <c r="A4562" s="26" t="s">
        <v>8226</v>
      </c>
      <c r="B4562" s="27" t="s">
        <v>499</v>
      </c>
      <c r="C4562" s="27" t="s">
        <v>963</v>
      </c>
      <c r="D4562" s="26" t="s">
        <v>3663</v>
      </c>
      <c r="E4562" s="28">
        <v>46113.0</v>
      </c>
      <c r="F4562" s="28">
        <v>46171.0</v>
      </c>
      <c r="G4562" s="29"/>
    </row>
    <row r="4563" ht="15.75" customHeight="1">
      <c r="A4563" s="30" t="s">
        <v>8227</v>
      </c>
      <c r="B4563" s="31" t="s">
        <v>499</v>
      </c>
      <c r="C4563" s="31" t="s">
        <v>961</v>
      </c>
      <c r="D4563" s="30" t="s">
        <v>3663</v>
      </c>
      <c r="E4563" s="32">
        <v>46113.0</v>
      </c>
      <c r="F4563" s="32">
        <v>46171.0</v>
      </c>
      <c r="G4563" s="33"/>
    </row>
    <row r="4564" ht="15.75" customHeight="1">
      <c r="A4564" s="26" t="s">
        <v>8228</v>
      </c>
      <c r="B4564" s="27" t="s">
        <v>500</v>
      </c>
      <c r="C4564" s="27" t="s">
        <v>932</v>
      </c>
      <c r="D4564" s="26" t="s">
        <v>3663</v>
      </c>
      <c r="E4564" s="28">
        <v>46113.0</v>
      </c>
      <c r="F4564" s="28">
        <v>46171.0</v>
      </c>
      <c r="G4564" s="29"/>
    </row>
    <row r="4565" ht="15.75" customHeight="1">
      <c r="A4565" s="30" t="s">
        <v>8229</v>
      </c>
      <c r="B4565" s="31" t="s">
        <v>500</v>
      </c>
      <c r="C4565" s="31" t="s">
        <v>1168</v>
      </c>
      <c r="D4565" s="30" t="s">
        <v>3663</v>
      </c>
      <c r="E4565" s="32">
        <v>46113.0</v>
      </c>
      <c r="F4565" s="32">
        <v>46171.0</v>
      </c>
      <c r="G4565" s="33"/>
    </row>
    <row r="4566" ht="15.75" customHeight="1">
      <c r="A4566" s="26" t="s">
        <v>8230</v>
      </c>
      <c r="B4566" s="27" t="s">
        <v>500</v>
      </c>
      <c r="C4566" s="27" t="s">
        <v>1170</v>
      </c>
      <c r="D4566" s="26" t="s">
        <v>3663</v>
      </c>
      <c r="E4566" s="28">
        <v>46113.0</v>
      </c>
      <c r="F4566" s="28">
        <v>46171.0</v>
      </c>
      <c r="G4566" s="29"/>
    </row>
    <row r="4567" ht="15.75" customHeight="1">
      <c r="A4567" s="30" t="s">
        <v>8231</v>
      </c>
      <c r="B4567" s="31" t="s">
        <v>500</v>
      </c>
      <c r="C4567" s="31" t="s">
        <v>1288</v>
      </c>
      <c r="D4567" s="30" t="s">
        <v>3663</v>
      </c>
      <c r="E4567" s="32">
        <v>46113.0</v>
      </c>
      <c r="F4567" s="32">
        <v>46171.0</v>
      </c>
      <c r="G4567" s="33"/>
    </row>
    <row r="4568" ht="15.75" customHeight="1">
      <c r="A4568" s="26" t="s">
        <v>8232</v>
      </c>
      <c r="B4568" s="27" t="s">
        <v>500</v>
      </c>
      <c r="C4568" s="27" t="s">
        <v>1291</v>
      </c>
      <c r="D4568" s="26" t="s">
        <v>3663</v>
      </c>
      <c r="E4568" s="28">
        <v>46113.0</v>
      </c>
      <c r="F4568" s="28">
        <v>46171.0</v>
      </c>
      <c r="G4568" s="29"/>
    </row>
    <row r="4569" ht="15.75" customHeight="1">
      <c r="A4569" s="30" t="s">
        <v>8233</v>
      </c>
      <c r="B4569" s="31" t="s">
        <v>500</v>
      </c>
      <c r="C4569" s="31" t="s">
        <v>1354</v>
      </c>
      <c r="D4569" s="30" t="s">
        <v>3663</v>
      </c>
      <c r="E4569" s="32">
        <v>46113.0</v>
      </c>
      <c r="F4569" s="32">
        <v>46171.0</v>
      </c>
      <c r="G4569" s="33"/>
    </row>
    <row r="4570" ht="15.75" customHeight="1">
      <c r="A4570" s="26" t="s">
        <v>8234</v>
      </c>
      <c r="B4570" s="27" t="s">
        <v>500</v>
      </c>
      <c r="C4570" s="27" t="s">
        <v>3656</v>
      </c>
      <c r="D4570" s="26" t="s">
        <v>3663</v>
      </c>
      <c r="E4570" s="28">
        <v>46113.0</v>
      </c>
      <c r="F4570" s="28">
        <v>46171.0</v>
      </c>
      <c r="G4570" s="29"/>
    </row>
    <row r="4571" ht="15.75" customHeight="1">
      <c r="A4571" s="30" t="s">
        <v>8235</v>
      </c>
      <c r="B4571" s="31" t="s">
        <v>500</v>
      </c>
      <c r="C4571" s="31" t="s">
        <v>3657</v>
      </c>
      <c r="D4571" s="30" t="s">
        <v>3663</v>
      </c>
      <c r="E4571" s="32">
        <v>46113.0</v>
      </c>
      <c r="F4571" s="32">
        <v>46171.0</v>
      </c>
      <c r="G4571" s="33"/>
    </row>
    <row r="4572" ht="15.75" customHeight="1">
      <c r="A4572" s="26" t="s">
        <v>8236</v>
      </c>
      <c r="B4572" s="27" t="s">
        <v>500</v>
      </c>
      <c r="C4572" s="27" t="s">
        <v>3647</v>
      </c>
      <c r="D4572" s="26" t="s">
        <v>3663</v>
      </c>
      <c r="E4572" s="28">
        <v>46113.0</v>
      </c>
      <c r="F4572" s="28">
        <v>46171.0</v>
      </c>
      <c r="G4572" s="29"/>
    </row>
    <row r="4573" ht="15.75" customHeight="1">
      <c r="A4573" s="30" t="s">
        <v>8237</v>
      </c>
      <c r="B4573" s="31" t="s">
        <v>500</v>
      </c>
      <c r="C4573" s="31" t="s">
        <v>952</v>
      </c>
      <c r="D4573" s="30" t="s">
        <v>3663</v>
      </c>
      <c r="E4573" s="32">
        <v>46113.0</v>
      </c>
      <c r="F4573" s="32">
        <v>46171.0</v>
      </c>
      <c r="G4573" s="33"/>
    </row>
    <row r="4574" ht="15.75" customHeight="1">
      <c r="A4574" s="26" t="s">
        <v>8238</v>
      </c>
      <c r="B4574" s="27" t="s">
        <v>500</v>
      </c>
      <c r="C4574" s="27" t="s">
        <v>968</v>
      </c>
      <c r="D4574" s="26" t="s">
        <v>3663</v>
      </c>
      <c r="E4574" s="28">
        <v>46113.0</v>
      </c>
      <c r="F4574" s="28">
        <v>46171.0</v>
      </c>
      <c r="G4574" s="29"/>
    </row>
    <row r="4575" ht="15.75" customHeight="1">
      <c r="A4575" s="30" t="s">
        <v>8239</v>
      </c>
      <c r="B4575" s="31" t="s">
        <v>500</v>
      </c>
      <c r="C4575" s="31" t="s">
        <v>923</v>
      </c>
      <c r="D4575" s="30" t="s">
        <v>3663</v>
      </c>
      <c r="E4575" s="32">
        <v>46113.0</v>
      </c>
      <c r="F4575" s="32">
        <v>46171.0</v>
      </c>
      <c r="G4575" s="33"/>
    </row>
    <row r="4576" ht="15.75" customHeight="1">
      <c r="A4576" s="26" t="s">
        <v>8240</v>
      </c>
      <c r="B4576" s="27" t="s">
        <v>501</v>
      </c>
      <c r="C4576" s="27" t="s">
        <v>1240</v>
      </c>
      <c r="D4576" s="26" t="s">
        <v>3663</v>
      </c>
      <c r="E4576" s="28">
        <v>46113.0</v>
      </c>
      <c r="F4576" s="28">
        <v>46171.0</v>
      </c>
      <c r="G4576" s="29"/>
    </row>
    <row r="4577" ht="15.75" customHeight="1">
      <c r="A4577" s="30" t="s">
        <v>8241</v>
      </c>
      <c r="B4577" s="31" t="s">
        <v>501</v>
      </c>
      <c r="C4577" s="31" t="s">
        <v>1242</v>
      </c>
      <c r="D4577" s="30" t="s">
        <v>3663</v>
      </c>
      <c r="E4577" s="32">
        <v>46113.0</v>
      </c>
      <c r="F4577" s="32">
        <v>46171.0</v>
      </c>
      <c r="G4577" s="33"/>
    </row>
    <row r="4578" ht="15.75" customHeight="1">
      <c r="A4578" s="26" t="s">
        <v>8242</v>
      </c>
      <c r="B4578" s="27" t="s">
        <v>501</v>
      </c>
      <c r="C4578" s="27" t="s">
        <v>1244</v>
      </c>
      <c r="D4578" s="26" t="s">
        <v>3663</v>
      </c>
      <c r="E4578" s="28">
        <v>46113.0</v>
      </c>
      <c r="F4578" s="28">
        <v>46171.0</v>
      </c>
      <c r="G4578" s="29"/>
    </row>
    <row r="4579" ht="15.75" customHeight="1">
      <c r="A4579" s="30" t="s">
        <v>8243</v>
      </c>
      <c r="B4579" s="31" t="s">
        <v>501</v>
      </c>
      <c r="C4579" s="31" t="s">
        <v>1246</v>
      </c>
      <c r="D4579" s="30" t="s">
        <v>3663</v>
      </c>
      <c r="E4579" s="32">
        <v>46113.0</v>
      </c>
      <c r="F4579" s="32">
        <v>46171.0</v>
      </c>
      <c r="G4579" s="33"/>
    </row>
    <row r="4580" ht="15.75" customHeight="1">
      <c r="A4580" s="26" t="s">
        <v>8244</v>
      </c>
      <c r="B4580" s="27" t="s">
        <v>501</v>
      </c>
      <c r="C4580" s="27" t="s">
        <v>3654</v>
      </c>
      <c r="D4580" s="26" t="s">
        <v>3663</v>
      </c>
      <c r="E4580" s="28">
        <v>46113.0</v>
      </c>
      <c r="F4580" s="28">
        <v>46171.0</v>
      </c>
      <c r="G4580" s="29"/>
    </row>
    <row r="4581" ht="15.75" customHeight="1">
      <c r="A4581" s="30" t="s">
        <v>8245</v>
      </c>
      <c r="B4581" s="31" t="s">
        <v>501</v>
      </c>
      <c r="C4581" s="31" t="s">
        <v>3655</v>
      </c>
      <c r="D4581" s="30" t="s">
        <v>3663</v>
      </c>
      <c r="E4581" s="32">
        <v>46113.0</v>
      </c>
      <c r="F4581" s="32">
        <v>46171.0</v>
      </c>
      <c r="G4581" s="33"/>
    </row>
    <row r="4582" ht="15.75" customHeight="1">
      <c r="A4582" s="26" t="s">
        <v>8246</v>
      </c>
      <c r="B4582" s="27" t="s">
        <v>501</v>
      </c>
      <c r="C4582" s="27" t="s">
        <v>928</v>
      </c>
      <c r="D4582" s="26" t="s">
        <v>3663</v>
      </c>
      <c r="E4582" s="28">
        <v>46113.0</v>
      </c>
      <c r="F4582" s="28">
        <v>46171.0</v>
      </c>
      <c r="G4582" s="29"/>
    </row>
    <row r="4583" ht="15.75" customHeight="1">
      <c r="A4583" s="30" t="s">
        <v>8247</v>
      </c>
      <c r="B4583" s="31" t="s">
        <v>501</v>
      </c>
      <c r="C4583" s="31" t="s">
        <v>1354</v>
      </c>
      <c r="D4583" s="30" t="s">
        <v>3663</v>
      </c>
      <c r="E4583" s="32">
        <v>46113.0</v>
      </c>
      <c r="F4583" s="32">
        <v>46171.0</v>
      </c>
      <c r="G4583" s="33"/>
    </row>
    <row r="4584" ht="15.75" customHeight="1">
      <c r="A4584" s="26" t="s">
        <v>8248</v>
      </c>
      <c r="B4584" s="27" t="s">
        <v>501</v>
      </c>
      <c r="C4584" s="27" t="s">
        <v>1216</v>
      </c>
      <c r="D4584" s="26" t="s">
        <v>3663</v>
      </c>
      <c r="E4584" s="28">
        <v>46113.0</v>
      </c>
      <c r="F4584" s="28">
        <v>46171.0</v>
      </c>
      <c r="G4584" s="29"/>
    </row>
    <row r="4585" ht="15.75" customHeight="1">
      <c r="A4585" s="30" t="s">
        <v>8249</v>
      </c>
      <c r="B4585" s="31" t="s">
        <v>501</v>
      </c>
      <c r="C4585" s="31" t="s">
        <v>1218</v>
      </c>
      <c r="D4585" s="30" t="s">
        <v>3663</v>
      </c>
      <c r="E4585" s="32">
        <v>46113.0</v>
      </c>
      <c r="F4585" s="32">
        <v>46171.0</v>
      </c>
      <c r="G4585" s="33"/>
    </row>
    <row r="4586" ht="15.75" customHeight="1">
      <c r="A4586" s="26" t="s">
        <v>8250</v>
      </c>
      <c r="B4586" s="27" t="s">
        <v>501</v>
      </c>
      <c r="C4586" s="27" t="s">
        <v>1351</v>
      </c>
      <c r="D4586" s="26" t="s">
        <v>3663</v>
      </c>
      <c r="E4586" s="28">
        <v>46113.0</v>
      </c>
      <c r="F4586" s="28">
        <v>46171.0</v>
      </c>
      <c r="G4586" s="29"/>
    </row>
    <row r="4587" ht="15.75" customHeight="1">
      <c r="A4587" s="30" t="s">
        <v>8251</v>
      </c>
      <c r="B4587" s="31" t="s">
        <v>501</v>
      </c>
      <c r="C4587" s="31" t="s">
        <v>1349</v>
      </c>
      <c r="D4587" s="30" t="s">
        <v>3663</v>
      </c>
      <c r="E4587" s="32">
        <v>46113.0</v>
      </c>
      <c r="F4587" s="32">
        <v>46171.0</v>
      </c>
      <c r="G4587" s="33"/>
    </row>
    <row r="4588" ht="15.75" customHeight="1">
      <c r="A4588" s="26" t="s">
        <v>8252</v>
      </c>
      <c r="B4588" s="27" t="s">
        <v>501</v>
      </c>
      <c r="C4588" s="27" t="s">
        <v>968</v>
      </c>
      <c r="D4588" s="26" t="s">
        <v>3663</v>
      </c>
      <c r="E4588" s="28">
        <v>46113.0</v>
      </c>
      <c r="F4588" s="28">
        <v>46171.0</v>
      </c>
      <c r="G4588" s="29"/>
    </row>
    <row r="4589" ht="15.75" customHeight="1">
      <c r="A4589" s="30" t="s">
        <v>8253</v>
      </c>
      <c r="B4589" s="31" t="s">
        <v>501</v>
      </c>
      <c r="C4589" s="31" t="s">
        <v>923</v>
      </c>
      <c r="D4589" s="30" t="s">
        <v>3663</v>
      </c>
      <c r="E4589" s="32">
        <v>46113.0</v>
      </c>
      <c r="F4589" s="32">
        <v>46171.0</v>
      </c>
      <c r="G4589" s="33"/>
    </row>
    <row r="4590" ht="15.75" customHeight="1">
      <c r="A4590" s="26" t="s">
        <v>8254</v>
      </c>
      <c r="B4590" s="27" t="s">
        <v>502</v>
      </c>
      <c r="C4590" s="27" t="s">
        <v>3654</v>
      </c>
      <c r="D4590" s="26" t="s">
        <v>3663</v>
      </c>
      <c r="E4590" s="28">
        <v>46113.0</v>
      </c>
      <c r="F4590" s="28">
        <v>46171.0</v>
      </c>
      <c r="G4590" s="29"/>
    </row>
    <row r="4591" ht="15.75" customHeight="1">
      <c r="A4591" s="30" t="s">
        <v>8255</v>
      </c>
      <c r="B4591" s="31" t="s">
        <v>502</v>
      </c>
      <c r="C4591" s="31" t="s">
        <v>3655</v>
      </c>
      <c r="D4591" s="30" t="s">
        <v>3663</v>
      </c>
      <c r="E4591" s="32">
        <v>46113.0</v>
      </c>
      <c r="F4591" s="32">
        <v>46171.0</v>
      </c>
      <c r="G4591" s="33"/>
    </row>
    <row r="4592" ht="15.75" customHeight="1">
      <c r="A4592" s="26" t="s">
        <v>8256</v>
      </c>
      <c r="B4592" s="27" t="s">
        <v>502</v>
      </c>
      <c r="C4592" s="27" t="s">
        <v>930</v>
      </c>
      <c r="D4592" s="26" t="s">
        <v>3663</v>
      </c>
      <c r="E4592" s="28">
        <v>46113.0</v>
      </c>
      <c r="F4592" s="28">
        <v>46171.0</v>
      </c>
      <c r="G4592" s="29"/>
    </row>
    <row r="4593" ht="15.75" customHeight="1">
      <c r="A4593" s="30" t="s">
        <v>8257</v>
      </c>
      <c r="B4593" s="31" t="s">
        <v>502</v>
      </c>
      <c r="C4593" s="31" t="s">
        <v>1354</v>
      </c>
      <c r="D4593" s="30" t="s">
        <v>3663</v>
      </c>
      <c r="E4593" s="32">
        <v>46113.0</v>
      </c>
      <c r="F4593" s="32">
        <v>46171.0</v>
      </c>
      <c r="G4593" s="33"/>
    </row>
    <row r="4594" ht="15.75" customHeight="1">
      <c r="A4594" s="26" t="s">
        <v>8258</v>
      </c>
      <c r="B4594" s="27" t="s">
        <v>502</v>
      </c>
      <c r="C4594" s="27" t="s">
        <v>1304</v>
      </c>
      <c r="D4594" s="26" t="s">
        <v>3663</v>
      </c>
      <c r="E4594" s="28">
        <v>46113.0</v>
      </c>
      <c r="F4594" s="28">
        <v>46171.0</v>
      </c>
      <c r="G4594" s="29"/>
    </row>
    <row r="4595" ht="15.75" customHeight="1">
      <c r="A4595" s="30" t="s">
        <v>8259</v>
      </c>
      <c r="B4595" s="31" t="s">
        <v>502</v>
      </c>
      <c r="C4595" s="31" t="s">
        <v>1306</v>
      </c>
      <c r="D4595" s="30" t="s">
        <v>3663</v>
      </c>
      <c r="E4595" s="32">
        <v>46113.0</v>
      </c>
      <c r="F4595" s="32">
        <v>46171.0</v>
      </c>
      <c r="G4595" s="33"/>
    </row>
    <row r="4596" ht="15.75" customHeight="1">
      <c r="A4596" s="26" t="s">
        <v>8260</v>
      </c>
      <c r="B4596" s="27" t="s">
        <v>502</v>
      </c>
      <c r="C4596" s="27" t="s">
        <v>1308</v>
      </c>
      <c r="D4596" s="26" t="s">
        <v>3663</v>
      </c>
      <c r="E4596" s="28">
        <v>46113.0</v>
      </c>
      <c r="F4596" s="28">
        <v>46171.0</v>
      </c>
      <c r="G4596" s="29"/>
    </row>
    <row r="4597" ht="15.75" customHeight="1">
      <c r="A4597" s="30" t="s">
        <v>8261</v>
      </c>
      <c r="B4597" s="31" t="s">
        <v>502</v>
      </c>
      <c r="C4597" s="31" t="s">
        <v>1310</v>
      </c>
      <c r="D4597" s="30" t="s">
        <v>3663</v>
      </c>
      <c r="E4597" s="32">
        <v>46113.0</v>
      </c>
      <c r="F4597" s="32">
        <v>46171.0</v>
      </c>
      <c r="G4597" s="33"/>
    </row>
    <row r="4598" ht="15.75" customHeight="1">
      <c r="A4598" s="26" t="s">
        <v>8262</v>
      </c>
      <c r="B4598" s="27" t="s">
        <v>502</v>
      </c>
      <c r="C4598" s="27" t="s">
        <v>1312</v>
      </c>
      <c r="D4598" s="26" t="s">
        <v>3663</v>
      </c>
      <c r="E4598" s="28">
        <v>46113.0</v>
      </c>
      <c r="F4598" s="28">
        <v>46171.0</v>
      </c>
      <c r="G4598" s="29"/>
    </row>
    <row r="4599" ht="15.75" customHeight="1">
      <c r="A4599" s="30" t="s">
        <v>8263</v>
      </c>
      <c r="B4599" s="31" t="s">
        <v>502</v>
      </c>
      <c r="C4599" s="31" t="s">
        <v>1208</v>
      </c>
      <c r="D4599" s="30" t="s">
        <v>3663</v>
      </c>
      <c r="E4599" s="32">
        <v>46113.0</v>
      </c>
      <c r="F4599" s="32">
        <v>46171.0</v>
      </c>
      <c r="G4599" s="33"/>
    </row>
    <row r="4600" ht="15.75" customHeight="1">
      <c r="A4600" s="26" t="s">
        <v>8264</v>
      </c>
      <c r="B4600" s="27" t="s">
        <v>502</v>
      </c>
      <c r="C4600" s="27" t="s">
        <v>3647</v>
      </c>
      <c r="D4600" s="26" t="s">
        <v>3663</v>
      </c>
      <c r="E4600" s="28">
        <v>46113.0</v>
      </c>
      <c r="F4600" s="28">
        <v>46171.0</v>
      </c>
      <c r="G4600" s="29"/>
    </row>
    <row r="4601" ht="15.75" customHeight="1">
      <c r="A4601" s="30" t="s">
        <v>8265</v>
      </c>
      <c r="B4601" s="31" t="s">
        <v>502</v>
      </c>
      <c r="C4601" s="31" t="s">
        <v>952</v>
      </c>
      <c r="D4601" s="30" t="s">
        <v>3663</v>
      </c>
      <c r="E4601" s="32">
        <v>46113.0</v>
      </c>
      <c r="F4601" s="32">
        <v>46171.0</v>
      </c>
      <c r="G4601" s="33"/>
    </row>
    <row r="4602" ht="15.75" customHeight="1">
      <c r="A4602" s="26" t="s">
        <v>8266</v>
      </c>
      <c r="B4602" s="27" t="s">
        <v>502</v>
      </c>
      <c r="C4602" s="27" t="s">
        <v>968</v>
      </c>
      <c r="D4602" s="26" t="s">
        <v>3663</v>
      </c>
      <c r="E4602" s="28">
        <v>46113.0</v>
      </c>
      <c r="F4602" s="28">
        <v>46171.0</v>
      </c>
      <c r="G4602" s="29"/>
    </row>
    <row r="4603" ht="15.75" customHeight="1">
      <c r="A4603" s="30" t="s">
        <v>8267</v>
      </c>
      <c r="B4603" s="31" t="s">
        <v>502</v>
      </c>
      <c r="C4603" s="31" t="s">
        <v>923</v>
      </c>
      <c r="D4603" s="30" t="s">
        <v>3663</v>
      </c>
      <c r="E4603" s="32">
        <v>46113.0</v>
      </c>
      <c r="F4603" s="32">
        <v>46171.0</v>
      </c>
      <c r="G4603" s="33"/>
    </row>
    <row r="4604" ht="15.75" customHeight="1">
      <c r="A4604" s="26" t="s">
        <v>8268</v>
      </c>
      <c r="B4604" s="27" t="s">
        <v>503</v>
      </c>
      <c r="C4604" s="27" t="s">
        <v>3654</v>
      </c>
      <c r="D4604" s="26" t="s">
        <v>3663</v>
      </c>
      <c r="E4604" s="28">
        <v>46113.0</v>
      </c>
      <c r="F4604" s="28">
        <v>46171.0</v>
      </c>
      <c r="G4604" s="29"/>
    </row>
    <row r="4605" ht="15.75" customHeight="1">
      <c r="A4605" s="30" t="s">
        <v>8269</v>
      </c>
      <c r="B4605" s="31" t="s">
        <v>503</v>
      </c>
      <c r="C4605" s="31" t="s">
        <v>3655</v>
      </c>
      <c r="D4605" s="30" t="s">
        <v>3663</v>
      </c>
      <c r="E4605" s="32">
        <v>46113.0</v>
      </c>
      <c r="F4605" s="32">
        <v>46171.0</v>
      </c>
      <c r="G4605" s="33"/>
    </row>
    <row r="4606" ht="15.75" customHeight="1">
      <c r="A4606" s="26" t="s">
        <v>8270</v>
      </c>
      <c r="B4606" s="27" t="s">
        <v>503</v>
      </c>
      <c r="C4606" s="27" t="s">
        <v>932</v>
      </c>
      <c r="D4606" s="26" t="s">
        <v>3663</v>
      </c>
      <c r="E4606" s="28">
        <v>46113.0</v>
      </c>
      <c r="F4606" s="28">
        <v>46171.0</v>
      </c>
      <c r="G4606" s="29"/>
    </row>
    <row r="4607" ht="15.75" customHeight="1">
      <c r="A4607" s="30" t="s">
        <v>8271</v>
      </c>
      <c r="B4607" s="31" t="s">
        <v>503</v>
      </c>
      <c r="C4607" s="31" t="s">
        <v>1168</v>
      </c>
      <c r="D4607" s="30" t="s">
        <v>3663</v>
      </c>
      <c r="E4607" s="32">
        <v>46113.0</v>
      </c>
      <c r="F4607" s="32">
        <v>46171.0</v>
      </c>
      <c r="G4607" s="33"/>
    </row>
    <row r="4608" ht="15.75" customHeight="1">
      <c r="A4608" s="26" t="s">
        <v>8272</v>
      </c>
      <c r="B4608" s="27" t="s">
        <v>503</v>
      </c>
      <c r="C4608" s="27" t="s">
        <v>1170</v>
      </c>
      <c r="D4608" s="26" t="s">
        <v>3663</v>
      </c>
      <c r="E4608" s="28">
        <v>46113.0</v>
      </c>
      <c r="F4608" s="28">
        <v>46171.0</v>
      </c>
      <c r="G4608" s="29"/>
    </row>
    <row r="4609" ht="15.75" customHeight="1">
      <c r="A4609" s="30" t="s">
        <v>8273</v>
      </c>
      <c r="B4609" s="31" t="s">
        <v>503</v>
      </c>
      <c r="C4609" s="31" t="s">
        <v>1288</v>
      </c>
      <c r="D4609" s="30" t="s">
        <v>3663</v>
      </c>
      <c r="E4609" s="32">
        <v>46113.0</v>
      </c>
      <c r="F4609" s="32">
        <v>46171.0</v>
      </c>
      <c r="G4609" s="33"/>
    </row>
    <row r="4610" ht="15.75" customHeight="1">
      <c r="A4610" s="26" t="s">
        <v>8274</v>
      </c>
      <c r="B4610" s="27" t="s">
        <v>503</v>
      </c>
      <c r="C4610" s="27" t="s">
        <v>1291</v>
      </c>
      <c r="D4610" s="26" t="s">
        <v>3663</v>
      </c>
      <c r="E4610" s="28">
        <v>46113.0</v>
      </c>
      <c r="F4610" s="28">
        <v>46171.0</v>
      </c>
      <c r="G4610" s="29"/>
    </row>
    <row r="4611" ht="15.75" customHeight="1">
      <c r="A4611" s="30" t="s">
        <v>8275</v>
      </c>
      <c r="B4611" s="31" t="s">
        <v>503</v>
      </c>
      <c r="C4611" s="31" t="s">
        <v>1354</v>
      </c>
      <c r="D4611" s="30" t="s">
        <v>3663</v>
      </c>
      <c r="E4611" s="32">
        <v>46113.0</v>
      </c>
      <c r="F4611" s="32">
        <v>46171.0</v>
      </c>
      <c r="G4611" s="33"/>
    </row>
    <row r="4612" ht="15.75" customHeight="1">
      <c r="A4612" s="26" t="s">
        <v>8276</v>
      </c>
      <c r="B4612" s="27" t="s">
        <v>503</v>
      </c>
      <c r="C4612" s="27" t="s">
        <v>1159</v>
      </c>
      <c r="D4612" s="26" t="s">
        <v>3663</v>
      </c>
      <c r="E4612" s="28">
        <v>46113.0</v>
      </c>
      <c r="F4612" s="28">
        <v>46171.0</v>
      </c>
      <c r="G4612" s="29"/>
    </row>
    <row r="4613" ht="15.75" customHeight="1">
      <c r="A4613" s="30" t="s">
        <v>8277</v>
      </c>
      <c r="B4613" s="31" t="s">
        <v>503</v>
      </c>
      <c r="C4613" s="31" t="s">
        <v>1216</v>
      </c>
      <c r="D4613" s="30" t="s">
        <v>3663</v>
      </c>
      <c r="E4613" s="32">
        <v>46113.0</v>
      </c>
      <c r="F4613" s="32">
        <v>46171.0</v>
      </c>
      <c r="G4613" s="33"/>
    </row>
    <row r="4614" ht="15.75" customHeight="1">
      <c r="A4614" s="26" t="s">
        <v>8278</v>
      </c>
      <c r="B4614" s="27" t="s">
        <v>503</v>
      </c>
      <c r="C4614" s="27" t="s">
        <v>1351</v>
      </c>
      <c r="D4614" s="26" t="s">
        <v>3663</v>
      </c>
      <c r="E4614" s="28">
        <v>46113.0</v>
      </c>
      <c r="F4614" s="28">
        <v>46171.0</v>
      </c>
      <c r="G4614" s="29"/>
    </row>
    <row r="4615" ht="15.75" customHeight="1">
      <c r="A4615" s="30" t="s">
        <v>8279</v>
      </c>
      <c r="B4615" s="31" t="s">
        <v>503</v>
      </c>
      <c r="C4615" s="31" t="s">
        <v>1349</v>
      </c>
      <c r="D4615" s="30" t="s">
        <v>3663</v>
      </c>
      <c r="E4615" s="32">
        <v>46113.0</v>
      </c>
      <c r="F4615" s="32">
        <v>46171.0</v>
      </c>
      <c r="G4615" s="33"/>
    </row>
    <row r="4616" ht="15.75" customHeight="1">
      <c r="A4616" s="26" t="s">
        <v>8280</v>
      </c>
      <c r="B4616" s="27" t="s">
        <v>503</v>
      </c>
      <c r="C4616" s="27" t="s">
        <v>968</v>
      </c>
      <c r="D4616" s="26" t="s">
        <v>3663</v>
      </c>
      <c r="E4616" s="28">
        <v>46113.0</v>
      </c>
      <c r="F4616" s="28">
        <v>46171.0</v>
      </c>
      <c r="G4616" s="29"/>
    </row>
    <row r="4617" ht="15.75" customHeight="1">
      <c r="A4617" s="30" t="s">
        <v>8281</v>
      </c>
      <c r="B4617" s="31" t="s">
        <v>503</v>
      </c>
      <c r="C4617" s="31" t="s">
        <v>923</v>
      </c>
      <c r="D4617" s="30" t="s">
        <v>3663</v>
      </c>
      <c r="E4617" s="32">
        <v>46113.0</v>
      </c>
      <c r="F4617" s="32">
        <v>46171.0</v>
      </c>
      <c r="G4617" s="33"/>
    </row>
    <row r="4618" ht="15.75" customHeight="1">
      <c r="A4618" s="26" t="s">
        <v>8282</v>
      </c>
      <c r="B4618" s="27" t="s">
        <v>504</v>
      </c>
      <c r="C4618" s="27" t="s">
        <v>932</v>
      </c>
      <c r="D4618" s="26" t="s">
        <v>3663</v>
      </c>
      <c r="E4618" s="28">
        <v>46113.0</v>
      </c>
      <c r="F4618" s="28">
        <v>46171.0</v>
      </c>
      <c r="G4618" s="29"/>
    </row>
    <row r="4619" ht="15.75" customHeight="1">
      <c r="A4619" s="30" t="s">
        <v>8283</v>
      </c>
      <c r="B4619" s="31" t="s">
        <v>504</v>
      </c>
      <c r="C4619" s="31" t="s">
        <v>1164</v>
      </c>
      <c r="D4619" s="30" t="s">
        <v>3663</v>
      </c>
      <c r="E4619" s="32">
        <v>46113.0</v>
      </c>
      <c r="F4619" s="32">
        <v>46171.0</v>
      </c>
      <c r="G4619" s="33"/>
    </row>
    <row r="4620" ht="15.75" customHeight="1">
      <c r="A4620" s="26" t="s">
        <v>8284</v>
      </c>
      <c r="B4620" s="27" t="s">
        <v>504</v>
      </c>
      <c r="C4620" s="27" t="s">
        <v>1166</v>
      </c>
      <c r="D4620" s="26" t="s">
        <v>3663</v>
      </c>
      <c r="E4620" s="28">
        <v>46113.0</v>
      </c>
      <c r="F4620" s="28">
        <v>46171.0</v>
      </c>
      <c r="G4620" s="29"/>
    </row>
    <row r="4621" ht="15.75" customHeight="1">
      <c r="A4621" s="30" t="s">
        <v>8285</v>
      </c>
      <c r="B4621" s="31" t="s">
        <v>504</v>
      </c>
      <c r="C4621" s="31" t="s">
        <v>1168</v>
      </c>
      <c r="D4621" s="30" t="s">
        <v>3663</v>
      </c>
      <c r="E4621" s="32">
        <v>46113.0</v>
      </c>
      <c r="F4621" s="32">
        <v>46171.0</v>
      </c>
      <c r="G4621" s="33"/>
    </row>
    <row r="4622" ht="15.75" customHeight="1">
      <c r="A4622" s="26" t="s">
        <v>8286</v>
      </c>
      <c r="B4622" s="27" t="s">
        <v>504</v>
      </c>
      <c r="C4622" s="27" t="s">
        <v>1170</v>
      </c>
      <c r="D4622" s="26" t="s">
        <v>3663</v>
      </c>
      <c r="E4622" s="28">
        <v>46113.0</v>
      </c>
      <c r="F4622" s="28">
        <v>46171.0</v>
      </c>
      <c r="G4622" s="29"/>
    </row>
    <row r="4623" ht="15.75" customHeight="1">
      <c r="A4623" s="30" t="s">
        <v>8287</v>
      </c>
      <c r="B4623" s="31" t="s">
        <v>504</v>
      </c>
      <c r="C4623" s="31" t="s">
        <v>1354</v>
      </c>
      <c r="D4623" s="30" t="s">
        <v>3663</v>
      </c>
      <c r="E4623" s="32">
        <v>46113.0</v>
      </c>
      <c r="F4623" s="32">
        <v>46171.0</v>
      </c>
      <c r="G4623" s="33"/>
    </row>
    <row r="4624" ht="15.75" customHeight="1">
      <c r="A4624" s="26" t="s">
        <v>8288</v>
      </c>
      <c r="B4624" s="27" t="s">
        <v>504</v>
      </c>
      <c r="C4624" s="27" t="s">
        <v>3681</v>
      </c>
      <c r="D4624" s="26" t="s">
        <v>3663</v>
      </c>
      <c r="E4624" s="28">
        <v>46113.0</v>
      </c>
      <c r="F4624" s="28">
        <v>46171.0</v>
      </c>
      <c r="G4624" s="29"/>
    </row>
    <row r="4625" ht="15.75" customHeight="1">
      <c r="A4625" s="30" t="s">
        <v>8289</v>
      </c>
      <c r="B4625" s="31" t="s">
        <v>504</v>
      </c>
      <c r="C4625" s="31" t="s">
        <v>3683</v>
      </c>
      <c r="D4625" s="30" t="s">
        <v>3663</v>
      </c>
      <c r="E4625" s="32">
        <v>46113.0</v>
      </c>
      <c r="F4625" s="32">
        <v>46171.0</v>
      </c>
      <c r="G4625" s="33"/>
    </row>
    <row r="4626" ht="15.75" customHeight="1">
      <c r="A4626" s="26" t="s">
        <v>8290</v>
      </c>
      <c r="B4626" s="27" t="s">
        <v>504</v>
      </c>
      <c r="C4626" s="27" t="s">
        <v>1218</v>
      </c>
      <c r="D4626" s="26" t="s">
        <v>3663</v>
      </c>
      <c r="E4626" s="28">
        <v>46113.0</v>
      </c>
      <c r="F4626" s="28">
        <v>46171.0</v>
      </c>
      <c r="G4626" s="29"/>
    </row>
    <row r="4627" ht="15.75" customHeight="1">
      <c r="A4627" s="30" t="s">
        <v>8291</v>
      </c>
      <c r="B4627" s="31" t="s">
        <v>504</v>
      </c>
      <c r="C4627" s="31" t="s">
        <v>1271</v>
      </c>
      <c r="D4627" s="30" t="s">
        <v>3663</v>
      </c>
      <c r="E4627" s="32">
        <v>46113.0</v>
      </c>
      <c r="F4627" s="32">
        <v>46171.0</v>
      </c>
      <c r="G4627" s="33"/>
    </row>
    <row r="4628" ht="15.75" customHeight="1">
      <c r="A4628" s="26" t="s">
        <v>8292</v>
      </c>
      <c r="B4628" s="27" t="s">
        <v>504</v>
      </c>
      <c r="C4628" s="27" t="s">
        <v>1351</v>
      </c>
      <c r="D4628" s="26" t="s">
        <v>3663</v>
      </c>
      <c r="E4628" s="28">
        <v>46113.0</v>
      </c>
      <c r="F4628" s="28">
        <v>46171.0</v>
      </c>
      <c r="G4628" s="29"/>
    </row>
    <row r="4629" ht="15.75" customHeight="1">
      <c r="A4629" s="30" t="s">
        <v>8293</v>
      </c>
      <c r="B4629" s="31" t="s">
        <v>504</v>
      </c>
      <c r="C4629" s="31" t="s">
        <v>1349</v>
      </c>
      <c r="D4629" s="30" t="s">
        <v>3663</v>
      </c>
      <c r="E4629" s="32">
        <v>46113.0</v>
      </c>
      <c r="F4629" s="32">
        <v>46171.0</v>
      </c>
      <c r="G4629" s="33"/>
    </row>
    <row r="4630" ht="15.75" customHeight="1">
      <c r="A4630" s="26" t="s">
        <v>8294</v>
      </c>
      <c r="B4630" s="27" t="s">
        <v>504</v>
      </c>
      <c r="C4630" s="27" t="s">
        <v>968</v>
      </c>
      <c r="D4630" s="26" t="s">
        <v>3663</v>
      </c>
      <c r="E4630" s="28">
        <v>46113.0</v>
      </c>
      <c r="F4630" s="28">
        <v>46171.0</v>
      </c>
      <c r="G4630" s="29"/>
    </row>
    <row r="4631" ht="15.75" customHeight="1">
      <c r="A4631" s="30" t="s">
        <v>8295</v>
      </c>
      <c r="B4631" s="31" t="s">
        <v>504</v>
      </c>
      <c r="C4631" s="31" t="s">
        <v>923</v>
      </c>
      <c r="D4631" s="30" t="s">
        <v>3663</v>
      </c>
      <c r="E4631" s="32">
        <v>46113.0</v>
      </c>
      <c r="F4631" s="32">
        <v>46171.0</v>
      </c>
      <c r="G4631" s="33"/>
    </row>
    <row r="4632" ht="15.75" customHeight="1">
      <c r="A4632" s="26" t="s">
        <v>8296</v>
      </c>
      <c r="B4632" s="27" t="s">
        <v>505</v>
      </c>
      <c r="C4632" s="27" t="s">
        <v>1240</v>
      </c>
      <c r="D4632" s="27" t="s">
        <v>3663</v>
      </c>
      <c r="E4632" s="28">
        <v>46113.0</v>
      </c>
      <c r="F4632" s="28">
        <v>46171.0</v>
      </c>
      <c r="G4632" s="29"/>
    </row>
    <row r="4633" ht="15.75" customHeight="1">
      <c r="A4633" s="30" t="s">
        <v>8297</v>
      </c>
      <c r="B4633" s="31" t="s">
        <v>505</v>
      </c>
      <c r="C4633" s="31" t="s">
        <v>1242</v>
      </c>
      <c r="D4633" s="31" t="s">
        <v>3663</v>
      </c>
      <c r="E4633" s="32">
        <v>46113.0</v>
      </c>
      <c r="F4633" s="32">
        <v>46171.0</v>
      </c>
      <c r="G4633" s="33"/>
    </row>
    <row r="4634" ht="15.75" customHeight="1">
      <c r="A4634" s="26" t="s">
        <v>8298</v>
      </c>
      <c r="B4634" s="27" t="s">
        <v>505</v>
      </c>
      <c r="C4634" s="27" t="s">
        <v>1244</v>
      </c>
      <c r="D4634" s="27" t="s">
        <v>3663</v>
      </c>
      <c r="E4634" s="28">
        <v>46113.0</v>
      </c>
      <c r="F4634" s="28">
        <v>46171.0</v>
      </c>
      <c r="G4634" s="29"/>
    </row>
    <row r="4635" ht="15.75" customHeight="1">
      <c r="A4635" s="30" t="s">
        <v>8299</v>
      </c>
      <c r="B4635" s="31" t="s">
        <v>505</v>
      </c>
      <c r="C4635" s="31" t="s">
        <v>1246</v>
      </c>
      <c r="D4635" s="31" t="s">
        <v>3663</v>
      </c>
      <c r="E4635" s="32">
        <v>46113.0</v>
      </c>
      <c r="F4635" s="32">
        <v>46171.0</v>
      </c>
      <c r="G4635" s="33"/>
    </row>
    <row r="4636" ht="15.75" customHeight="1">
      <c r="A4636" s="26" t="s">
        <v>8300</v>
      </c>
      <c r="B4636" s="27" t="s">
        <v>505</v>
      </c>
      <c r="C4636" s="27" t="s">
        <v>934</v>
      </c>
      <c r="D4636" s="27" t="s">
        <v>3663</v>
      </c>
      <c r="E4636" s="28">
        <v>46113.0</v>
      </c>
      <c r="F4636" s="28">
        <v>46171.0</v>
      </c>
      <c r="G4636" s="29"/>
    </row>
    <row r="4637" ht="15.75" customHeight="1">
      <c r="A4637" s="30" t="s">
        <v>8301</v>
      </c>
      <c r="B4637" s="31" t="s">
        <v>505</v>
      </c>
      <c r="C4637" s="31" t="s">
        <v>1354</v>
      </c>
      <c r="D4637" s="30" t="s">
        <v>3663</v>
      </c>
      <c r="E4637" s="32">
        <v>46113.0</v>
      </c>
      <c r="F4637" s="32">
        <v>46171.0</v>
      </c>
      <c r="G4637" s="33"/>
    </row>
    <row r="4638" ht="15.75" customHeight="1">
      <c r="A4638" s="26" t="s">
        <v>8302</v>
      </c>
      <c r="B4638" s="27" t="s">
        <v>505</v>
      </c>
      <c r="C4638" s="27" t="s">
        <v>1172</v>
      </c>
      <c r="D4638" s="26" t="s">
        <v>3663</v>
      </c>
      <c r="E4638" s="28">
        <v>46113.0</v>
      </c>
      <c r="F4638" s="28">
        <v>46171.0</v>
      </c>
      <c r="G4638" s="29"/>
    </row>
    <row r="4639" ht="15.75" customHeight="1">
      <c r="A4639" s="30" t="s">
        <v>8303</v>
      </c>
      <c r="B4639" s="31" t="s">
        <v>505</v>
      </c>
      <c r="C4639" s="31" t="s">
        <v>3656</v>
      </c>
      <c r="D4639" s="30" t="s">
        <v>3663</v>
      </c>
      <c r="E4639" s="32">
        <v>46113.0</v>
      </c>
      <c r="F4639" s="32">
        <v>46171.0</v>
      </c>
      <c r="G4639" s="33"/>
    </row>
    <row r="4640" ht="15.75" customHeight="1">
      <c r="A4640" s="26" t="s">
        <v>8304</v>
      </c>
      <c r="B4640" s="27" t="s">
        <v>505</v>
      </c>
      <c r="C4640" s="27" t="s">
        <v>3657</v>
      </c>
      <c r="D4640" s="26" t="s">
        <v>3663</v>
      </c>
      <c r="E4640" s="28">
        <v>46113.0</v>
      </c>
      <c r="F4640" s="28">
        <v>46171.0</v>
      </c>
      <c r="G4640" s="29"/>
    </row>
    <row r="4641" ht="15.75" customHeight="1">
      <c r="A4641" s="30" t="s">
        <v>8305</v>
      </c>
      <c r="B4641" s="31" t="s">
        <v>505</v>
      </c>
      <c r="C4641" s="31" t="s">
        <v>3647</v>
      </c>
      <c r="D4641" s="30" t="s">
        <v>3663</v>
      </c>
      <c r="E4641" s="32">
        <v>46113.0</v>
      </c>
      <c r="F4641" s="32">
        <v>46171.0</v>
      </c>
      <c r="G4641" s="33"/>
    </row>
    <row r="4642" ht="15.75" customHeight="1">
      <c r="A4642" s="26" t="s">
        <v>8306</v>
      </c>
      <c r="B4642" s="27" t="s">
        <v>505</v>
      </c>
      <c r="C4642" s="27" t="s">
        <v>952</v>
      </c>
      <c r="D4642" s="26" t="s">
        <v>3663</v>
      </c>
      <c r="E4642" s="28">
        <v>46113.0</v>
      </c>
      <c r="F4642" s="28">
        <v>46171.0</v>
      </c>
      <c r="G4642" s="29"/>
    </row>
    <row r="4643" ht="15.75" customHeight="1">
      <c r="A4643" s="30" t="s">
        <v>8307</v>
      </c>
      <c r="B4643" s="31" t="s">
        <v>505</v>
      </c>
      <c r="C4643" s="31" t="s">
        <v>1216</v>
      </c>
      <c r="D4643" s="30" t="s">
        <v>3663</v>
      </c>
      <c r="E4643" s="32">
        <v>46113.0</v>
      </c>
      <c r="F4643" s="32">
        <v>46171.0</v>
      </c>
      <c r="G4643" s="33"/>
    </row>
    <row r="4644" ht="15.75" customHeight="1">
      <c r="A4644" s="26" t="s">
        <v>8308</v>
      </c>
      <c r="B4644" s="27" t="s">
        <v>505</v>
      </c>
      <c r="C4644" s="27" t="s">
        <v>965</v>
      </c>
      <c r="D4644" s="26" t="s">
        <v>3663</v>
      </c>
      <c r="E4644" s="28">
        <v>46113.0</v>
      </c>
      <c r="F4644" s="28">
        <v>46171.0</v>
      </c>
      <c r="G4644" s="29"/>
    </row>
    <row r="4645" ht="15.75" customHeight="1">
      <c r="A4645" s="30" t="s">
        <v>8309</v>
      </c>
      <c r="B4645" s="31" t="s">
        <v>505</v>
      </c>
      <c r="C4645" s="31" t="s">
        <v>923</v>
      </c>
      <c r="D4645" s="31" t="s">
        <v>3663</v>
      </c>
      <c r="E4645" s="32">
        <v>46113.0</v>
      </c>
      <c r="F4645" s="32">
        <v>46171.0</v>
      </c>
      <c r="G4645" s="33"/>
    </row>
    <row r="4646" ht="15.75" customHeight="1">
      <c r="A4646" s="26" t="s">
        <v>8310</v>
      </c>
      <c r="B4646" s="27" t="s">
        <v>506</v>
      </c>
      <c r="C4646" s="27" t="s">
        <v>1240</v>
      </c>
      <c r="D4646" s="26" t="s">
        <v>3663</v>
      </c>
      <c r="E4646" s="28">
        <v>46113.0</v>
      </c>
      <c r="F4646" s="28">
        <v>46171.0</v>
      </c>
      <c r="G4646" s="29"/>
    </row>
    <row r="4647" ht="15.75" customHeight="1">
      <c r="A4647" s="30" t="s">
        <v>8311</v>
      </c>
      <c r="B4647" s="31" t="s">
        <v>506</v>
      </c>
      <c r="C4647" s="31" t="s">
        <v>1242</v>
      </c>
      <c r="D4647" s="30" t="s">
        <v>3663</v>
      </c>
      <c r="E4647" s="32">
        <v>46113.0</v>
      </c>
      <c r="F4647" s="32">
        <v>46171.0</v>
      </c>
      <c r="G4647" s="33"/>
    </row>
    <row r="4648" ht="15.75" customHeight="1">
      <c r="A4648" s="26" t="s">
        <v>8312</v>
      </c>
      <c r="B4648" s="27" t="s">
        <v>506</v>
      </c>
      <c r="C4648" s="27" t="s">
        <v>1244</v>
      </c>
      <c r="D4648" s="26" t="s">
        <v>3663</v>
      </c>
      <c r="E4648" s="28">
        <v>46113.0</v>
      </c>
      <c r="F4648" s="28">
        <v>46171.0</v>
      </c>
      <c r="G4648" s="29"/>
    </row>
    <row r="4649" ht="15.75" customHeight="1">
      <c r="A4649" s="30" t="s">
        <v>8313</v>
      </c>
      <c r="B4649" s="31" t="s">
        <v>506</v>
      </c>
      <c r="C4649" s="31" t="s">
        <v>1246</v>
      </c>
      <c r="D4649" s="30" t="s">
        <v>3663</v>
      </c>
      <c r="E4649" s="32">
        <v>46113.0</v>
      </c>
      <c r="F4649" s="32">
        <v>46171.0</v>
      </c>
      <c r="G4649" s="33"/>
    </row>
    <row r="4650" ht="15.75" customHeight="1">
      <c r="A4650" s="26" t="s">
        <v>8314</v>
      </c>
      <c r="B4650" s="27" t="s">
        <v>506</v>
      </c>
      <c r="C4650" s="27" t="s">
        <v>3654</v>
      </c>
      <c r="D4650" s="26" t="s">
        <v>3663</v>
      </c>
      <c r="E4650" s="28">
        <v>46113.0</v>
      </c>
      <c r="F4650" s="28">
        <v>46171.0</v>
      </c>
      <c r="G4650" s="29"/>
    </row>
    <row r="4651" ht="15.75" customHeight="1">
      <c r="A4651" s="30" t="s">
        <v>8315</v>
      </c>
      <c r="B4651" s="31" t="s">
        <v>506</v>
      </c>
      <c r="C4651" s="31" t="s">
        <v>3655</v>
      </c>
      <c r="D4651" s="30" t="s">
        <v>3663</v>
      </c>
      <c r="E4651" s="32">
        <v>46113.0</v>
      </c>
      <c r="F4651" s="32">
        <v>46171.0</v>
      </c>
      <c r="G4651" s="33"/>
    </row>
    <row r="4652" ht="15.75" customHeight="1">
      <c r="A4652" s="26" t="s">
        <v>8316</v>
      </c>
      <c r="B4652" s="27" t="s">
        <v>506</v>
      </c>
      <c r="C4652" s="27" t="s">
        <v>934</v>
      </c>
      <c r="D4652" s="26" t="s">
        <v>3663</v>
      </c>
      <c r="E4652" s="28">
        <v>46113.0</v>
      </c>
      <c r="F4652" s="28">
        <v>46171.0</v>
      </c>
      <c r="G4652" s="29"/>
    </row>
    <row r="4653" ht="15.75" customHeight="1">
      <c r="A4653" s="30" t="s">
        <v>8317</v>
      </c>
      <c r="B4653" s="31" t="s">
        <v>506</v>
      </c>
      <c r="C4653" s="31" t="s">
        <v>1354</v>
      </c>
      <c r="D4653" s="30" t="s">
        <v>3663</v>
      </c>
      <c r="E4653" s="32">
        <v>46113.0</v>
      </c>
      <c r="F4653" s="32">
        <v>46171.0</v>
      </c>
      <c r="G4653" s="33"/>
    </row>
    <row r="4654" ht="15.75" customHeight="1">
      <c r="A4654" s="26" t="s">
        <v>8318</v>
      </c>
      <c r="B4654" s="27" t="s">
        <v>506</v>
      </c>
      <c r="C4654" s="27" t="s">
        <v>1312</v>
      </c>
      <c r="D4654" s="26" t="s">
        <v>3663</v>
      </c>
      <c r="E4654" s="28">
        <v>46113.0</v>
      </c>
      <c r="F4654" s="28">
        <v>46171.0</v>
      </c>
      <c r="G4654" s="29"/>
    </row>
    <row r="4655" ht="15.75" customHeight="1">
      <c r="A4655" s="30" t="s">
        <v>8319</v>
      </c>
      <c r="B4655" s="31" t="s">
        <v>506</v>
      </c>
      <c r="C4655" s="31" t="s">
        <v>1208</v>
      </c>
      <c r="D4655" s="30" t="s">
        <v>3663</v>
      </c>
      <c r="E4655" s="32">
        <v>46113.0</v>
      </c>
      <c r="F4655" s="32">
        <v>46171.0</v>
      </c>
      <c r="G4655" s="33"/>
    </row>
    <row r="4656" ht="15.75" customHeight="1">
      <c r="A4656" s="26" t="s">
        <v>8320</v>
      </c>
      <c r="B4656" s="27" t="s">
        <v>506</v>
      </c>
      <c r="C4656" s="27" t="s">
        <v>3647</v>
      </c>
      <c r="D4656" s="26" t="s">
        <v>3663</v>
      </c>
      <c r="E4656" s="28">
        <v>46113.0</v>
      </c>
      <c r="F4656" s="28">
        <v>46171.0</v>
      </c>
      <c r="G4656" s="29"/>
    </row>
    <row r="4657" ht="15.75" customHeight="1">
      <c r="A4657" s="30" t="s">
        <v>8321</v>
      </c>
      <c r="B4657" s="31" t="s">
        <v>506</v>
      </c>
      <c r="C4657" s="31" t="s">
        <v>952</v>
      </c>
      <c r="D4657" s="30" t="s">
        <v>3663</v>
      </c>
      <c r="E4657" s="32">
        <v>46113.0</v>
      </c>
      <c r="F4657" s="32">
        <v>46171.0</v>
      </c>
      <c r="G4657" s="33"/>
    </row>
    <row r="4658" ht="15.75" customHeight="1">
      <c r="A4658" s="26" t="s">
        <v>8322</v>
      </c>
      <c r="B4658" s="27" t="s">
        <v>506</v>
      </c>
      <c r="C4658" s="27" t="s">
        <v>968</v>
      </c>
      <c r="D4658" s="26" t="s">
        <v>3663</v>
      </c>
      <c r="E4658" s="28">
        <v>46113.0</v>
      </c>
      <c r="F4658" s="28">
        <v>46171.0</v>
      </c>
      <c r="G4658" s="29"/>
    </row>
    <row r="4659" ht="15.75" customHeight="1">
      <c r="A4659" s="30" t="s">
        <v>8323</v>
      </c>
      <c r="B4659" s="31" t="s">
        <v>506</v>
      </c>
      <c r="C4659" s="31" t="s">
        <v>923</v>
      </c>
      <c r="D4659" s="30" t="s">
        <v>3663</v>
      </c>
      <c r="E4659" s="32">
        <v>46113.0</v>
      </c>
      <c r="F4659" s="32">
        <v>46171.0</v>
      </c>
      <c r="G4659" s="33"/>
    </row>
    <row r="4660" ht="15.75" customHeight="1">
      <c r="A4660" s="26" t="s">
        <v>8324</v>
      </c>
      <c r="B4660" s="27" t="s">
        <v>507</v>
      </c>
      <c r="C4660" s="27" t="s">
        <v>3654</v>
      </c>
      <c r="D4660" s="26" t="s">
        <v>3663</v>
      </c>
      <c r="E4660" s="28">
        <v>46113.0</v>
      </c>
      <c r="F4660" s="28">
        <v>46171.0</v>
      </c>
      <c r="G4660" s="29"/>
    </row>
    <row r="4661" ht="15.75" customHeight="1">
      <c r="A4661" s="30" t="s">
        <v>8325</v>
      </c>
      <c r="B4661" s="31" t="s">
        <v>507</v>
      </c>
      <c r="C4661" s="31" t="s">
        <v>3655</v>
      </c>
      <c r="D4661" s="30" t="s">
        <v>3663</v>
      </c>
      <c r="E4661" s="32">
        <v>46113.0</v>
      </c>
      <c r="F4661" s="32">
        <v>46171.0</v>
      </c>
      <c r="G4661" s="33"/>
    </row>
    <row r="4662" ht="15.75" customHeight="1">
      <c r="A4662" s="26" t="s">
        <v>8326</v>
      </c>
      <c r="B4662" s="27" t="s">
        <v>507</v>
      </c>
      <c r="C4662" s="27" t="s">
        <v>930</v>
      </c>
      <c r="D4662" s="26" t="s">
        <v>3663</v>
      </c>
      <c r="E4662" s="28">
        <v>46113.0</v>
      </c>
      <c r="F4662" s="28">
        <v>46171.0</v>
      </c>
      <c r="G4662" s="29"/>
    </row>
    <row r="4663" ht="15.75" customHeight="1">
      <c r="A4663" s="30" t="s">
        <v>8327</v>
      </c>
      <c r="B4663" s="31" t="s">
        <v>507</v>
      </c>
      <c r="C4663" s="31" t="s">
        <v>1354</v>
      </c>
      <c r="D4663" s="30" t="s">
        <v>3663</v>
      </c>
      <c r="E4663" s="32">
        <v>46113.0</v>
      </c>
      <c r="F4663" s="32">
        <v>46171.0</v>
      </c>
      <c r="G4663" s="33"/>
    </row>
    <row r="4664" ht="15.75" customHeight="1">
      <c r="A4664" s="26" t="s">
        <v>8328</v>
      </c>
      <c r="B4664" s="27" t="s">
        <v>507</v>
      </c>
      <c r="C4664" s="27" t="s">
        <v>1208</v>
      </c>
      <c r="D4664" s="26" t="s">
        <v>3663</v>
      </c>
      <c r="E4664" s="28">
        <v>46113.0</v>
      </c>
      <c r="F4664" s="28">
        <v>46171.0</v>
      </c>
      <c r="G4664" s="29"/>
    </row>
    <row r="4665" ht="15.75" customHeight="1">
      <c r="A4665" s="30" t="s">
        <v>8329</v>
      </c>
      <c r="B4665" s="31" t="s">
        <v>507</v>
      </c>
      <c r="C4665" s="31" t="s">
        <v>1157</v>
      </c>
      <c r="D4665" s="30" t="s">
        <v>3663</v>
      </c>
      <c r="E4665" s="32">
        <v>46113.0</v>
      </c>
      <c r="F4665" s="32">
        <v>46171.0</v>
      </c>
      <c r="G4665" s="33"/>
    </row>
    <row r="4666" ht="15.75" customHeight="1">
      <c r="A4666" s="26" t="s">
        <v>8330</v>
      </c>
      <c r="B4666" s="27" t="s">
        <v>507</v>
      </c>
      <c r="C4666" s="27" t="s">
        <v>1155</v>
      </c>
      <c r="D4666" s="26" t="s">
        <v>3663</v>
      </c>
      <c r="E4666" s="28">
        <v>46113.0</v>
      </c>
      <c r="F4666" s="28">
        <v>46171.0</v>
      </c>
      <c r="G4666" s="29"/>
    </row>
    <row r="4667" ht="15.75" customHeight="1">
      <c r="A4667" s="30" t="s">
        <v>8331</v>
      </c>
      <c r="B4667" s="31" t="s">
        <v>507</v>
      </c>
      <c r="C4667" s="31" t="s">
        <v>1153</v>
      </c>
      <c r="D4667" s="30" t="s">
        <v>3663</v>
      </c>
      <c r="E4667" s="32">
        <v>46113.0</v>
      </c>
      <c r="F4667" s="32">
        <v>46171.0</v>
      </c>
      <c r="G4667" s="33"/>
    </row>
    <row r="4668" ht="15.75" customHeight="1">
      <c r="A4668" s="26" t="s">
        <v>8332</v>
      </c>
      <c r="B4668" s="27" t="s">
        <v>507</v>
      </c>
      <c r="C4668" s="27" t="s">
        <v>1149</v>
      </c>
      <c r="D4668" s="26" t="s">
        <v>3663</v>
      </c>
      <c r="E4668" s="28">
        <v>46113.0</v>
      </c>
      <c r="F4668" s="28">
        <v>46171.0</v>
      </c>
      <c r="G4668" s="29"/>
    </row>
    <row r="4669" ht="15.75" customHeight="1">
      <c r="A4669" s="30" t="s">
        <v>8333</v>
      </c>
      <c r="B4669" s="31" t="s">
        <v>507</v>
      </c>
      <c r="C4669" s="31" t="s">
        <v>1351</v>
      </c>
      <c r="D4669" s="30" t="s">
        <v>3663</v>
      </c>
      <c r="E4669" s="32">
        <v>46113.0</v>
      </c>
      <c r="F4669" s="32">
        <v>46171.0</v>
      </c>
      <c r="G4669" s="33"/>
    </row>
    <row r="4670" ht="15.75" customHeight="1">
      <c r="A4670" s="26" t="s">
        <v>8334</v>
      </c>
      <c r="B4670" s="27" t="s">
        <v>507</v>
      </c>
      <c r="C4670" s="27" t="s">
        <v>1349</v>
      </c>
      <c r="D4670" s="26" t="s">
        <v>3663</v>
      </c>
      <c r="E4670" s="28">
        <v>46113.0</v>
      </c>
      <c r="F4670" s="28">
        <v>46171.0</v>
      </c>
      <c r="G4670" s="29"/>
    </row>
    <row r="4671" ht="15.75" customHeight="1">
      <c r="A4671" s="30" t="s">
        <v>8335</v>
      </c>
      <c r="B4671" s="31" t="s">
        <v>507</v>
      </c>
      <c r="C4671" s="31" t="s">
        <v>965</v>
      </c>
      <c r="D4671" s="30" t="s">
        <v>3663</v>
      </c>
      <c r="E4671" s="32">
        <v>46113.0</v>
      </c>
      <c r="F4671" s="32">
        <v>46171.0</v>
      </c>
      <c r="G4671" s="33"/>
    </row>
    <row r="4672" ht="15.75" customHeight="1">
      <c r="A4672" s="26" t="s">
        <v>8336</v>
      </c>
      <c r="B4672" s="27" t="s">
        <v>507</v>
      </c>
      <c r="C4672" s="27" t="s">
        <v>923</v>
      </c>
      <c r="D4672" s="26" t="s">
        <v>3663</v>
      </c>
      <c r="E4672" s="28">
        <v>46113.0</v>
      </c>
      <c r="F4672" s="28">
        <v>46171.0</v>
      </c>
      <c r="G4672" s="29"/>
    </row>
    <row r="4673" ht="15.75" customHeight="1">
      <c r="A4673" s="30" t="s">
        <v>8337</v>
      </c>
      <c r="B4673" s="31" t="s">
        <v>507</v>
      </c>
      <c r="C4673" s="31" t="s">
        <v>961</v>
      </c>
      <c r="D4673" s="30" t="s">
        <v>3663</v>
      </c>
      <c r="E4673" s="32">
        <v>46113.0</v>
      </c>
      <c r="F4673" s="32">
        <v>46171.0</v>
      </c>
      <c r="G4673" s="33"/>
    </row>
    <row r="4674" ht="15.75" customHeight="1">
      <c r="A4674" s="26" t="s">
        <v>8338</v>
      </c>
      <c r="B4674" s="27" t="s">
        <v>508</v>
      </c>
      <c r="C4674" s="27" t="s">
        <v>932</v>
      </c>
      <c r="D4674" s="26" t="s">
        <v>3663</v>
      </c>
      <c r="E4674" s="28">
        <v>46113.0</v>
      </c>
      <c r="F4674" s="28">
        <v>46171.0</v>
      </c>
      <c r="G4674" s="29"/>
    </row>
    <row r="4675" ht="15.75" customHeight="1">
      <c r="A4675" s="30" t="s">
        <v>8339</v>
      </c>
      <c r="B4675" s="31" t="s">
        <v>508</v>
      </c>
      <c r="C4675" s="31" t="s">
        <v>1168</v>
      </c>
      <c r="D4675" s="30" t="s">
        <v>3663</v>
      </c>
      <c r="E4675" s="32">
        <v>46113.0</v>
      </c>
      <c r="F4675" s="32">
        <v>46171.0</v>
      </c>
      <c r="G4675" s="33"/>
    </row>
    <row r="4676" ht="15.75" customHeight="1">
      <c r="A4676" s="26" t="s">
        <v>8340</v>
      </c>
      <c r="B4676" s="27" t="s">
        <v>508</v>
      </c>
      <c r="C4676" s="27" t="s">
        <v>1170</v>
      </c>
      <c r="D4676" s="26" t="s">
        <v>3663</v>
      </c>
      <c r="E4676" s="28">
        <v>46113.0</v>
      </c>
      <c r="F4676" s="28">
        <v>46171.0</v>
      </c>
      <c r="G4676" s="29"/>
    </row>
    <row r="4677" ht="15.75" customHeight="1">
      <c r="A4677" s="30" t="s">
        <v>8341</v>
      </c>
      <c r="B4677" s="31" t="s">
        <v>508</v>
      </c>
      <c r="C4677" s="31" t="s">
        <v>1288</v>
      </c>
      <c r="D4677" s="30" t="s">
        <v>3663</v>
      </c>
      <c r="E4677" s="32">
        <v>46113.0</v>
      </c>
      <c r="F4677" s="32">
        <v>46171.0</v>
      </c>
      <c r="G4677" s="33"/>
    </row>
    <row r="4678" ht="15.75" customHeight="1">
      <c r="A4678" s="26" t="s">
        <v>8342</v>
      </c>
      <c r="B4678" s="27" t="s">
        <v>508</v>
      </c>
      <c r="C4678" s="27" t="s">
        <v>1291</v>
      </c>
      <c r="D4678" s="26" t="s">
        <v>3663</v>
      </c>
      <c r="E4678" s="28">
        <v>46113.0</v>
      </c>
      <c r="F4678" s="28">
        <v>46171.0</v>
      </c>
      <c r="G4678" s="29"/>
    </row>
    <row r="4679" ht="15.75" customHeight="1">
      <c r="A4679" s="30" t="s">
        <v>8343</v>
      </c>
      <c r="B4679" s="31" t="s">
        <v>508</v>
      </c>
      <c r="C4679" s="31" t="s">
        <v>1354</v>
      </c>
      <c r="D4679" s="30" t="s">
        <v>3663</v>
      </c>
      <c r="E4679" s="32">
        <v>46113.0</v>
      </c>
      <c r="F4679" s="32">
        <v>46171.0</v>
      </c>
      <c r="G4679" s="33"/>
    </row>
    <row r="4680" ht="15.75" customHeight="1">
      <c r="A4680" s="26" t="s">
        <v>8344</v>
      </c>
      <c r="B4680" s="27" t="s">
        <v>508</v>
      </c>
      <c r="C4680" s="27" t="s">
        <v>1312</v>
      </c>
      <c r="D4680" s="26" t="s">
        <v>3663</v>
      </c>
      <c r="E4680" s="28">
        <v>46113.0</v>
      </c>
      <c r="F4680" s="28">
        <v>46171.0</v>
      </c>
      <c r="G4680" s="29"/>
    </row>
    <row r="4681" ht="15.75" customHeight="1">
      <c r="A4681" s="30" t="s">
        <v>8345</v>
      </c>
      <c r="B4681" s="31" t="s">
        <v>508</v>
      </c>
      <c r="C4681" s="31" t="s">
        <v>1208</v>
      </c>
      <c r="D4681" s="30" t="s">
        <v>3663</v>
      </c>
      <c r="E4681" s="32">
        <v>46113.0</v>
      </c>
      <c r="F4681" s="32">
        <v>46171.0</v>
      </c>
      <c r="G4681" s="33"/>
    </row>
    <row r="4682" ht="15.75" customHeight="1">
      <c r="A4682" s="26" t="s">
        <v>8346</v>
      </c>
      <c r="B4682" s="27" t="s">
        <v>508</v>
      </c>
      <c r="C4682" s="27" t="s">
        <v>3656</v>
      </c>
      <c r="D4682" s="26" t="s">
        <v>3663</v>
      </c>
      <c r="E4682" s="28">
        <v>46113.0</v>
      </c>
      <c r="F4682" s="28">
        <v>46171.0</v>
      </c>
      <c r="G4682" s="29"/>
    </row>
    <row r="4683" ht="15.75" customHeight="1">
      <c r="A4683" s="30" t="s">
        <v>8347</v>
      </c>
      <c r="B4683" s="31" t="s">
        <v>508</v>
      </c>
      <c r="C4683" s="31" t="s">
        <v>3657</v>
      </c>
      <c r="D4683" s="30" t="s">
        <v>3663</v>
      </c>
      <c r="E4683" s="32">
        <v>46113.0</v>
      </c>
      <c r="F4683" s="32">
        <v>46171.0</v>
      </c>
      <c r="G4683" s="33"/>
    </row>
    <row r="4684" ht="15.75" customHeight="1">
      <c r="A4684" s="26" t="s">
        <v>8348</v>
      </c>
      <c r="B4684" s="27" t="s">
        <v>508</v>
      </c>
      <c r="C4684" s="27" t="s">
        <v>3647</v>
      </c>
      <c r="D4684" s="26" t="s">
        <v>3663</v>
      </c>
      <c r="E4684" s="28">
        <v>46113.0</v>
      </c>
      <c r="F4684" s="28">
        <v>46171.0</v>
      </c>
      <c r="G4684" s="29"/>
    </row>
    <row r="4685" ht="15.75" customHeight="1">
      <c r="A4685" s="30" t="s">
        <v>8349</v>
      </c>
      <c r="B4685" s="31" t="s">
        <v>508</v>
      </c>
      <c r="C4685" s="31" t="s">
        <v>952</v>
      </c>
      <c r="D4685" s="30" t="s">
        <v>3663</v>
      </c>
      <c r="E4685" s="32">
        <v>46113.0</v>
      </c>
      <c r="F4685" s="32">
        <v>46171.0</v>
      </c>
      <c r="G4685" s="33"/>
    </row>
    <row r="4686" ht="15.75" customHeight="1">
      <c r="A4686" s="26" t="s">
        <v>8350</v>
      </c>
      <c r="B4686" s="27" t="s">
        <v>508</v>
      </c>
      <c r="C4686" s="27" t="s">
        <v>968</v>
      </c>
      <c r="D4686" s="26" t="s">
        <v>3663</v>
      </c>
      <c r="E4686" s="28">
        <v>46113.0</v>
      </c>
      <c r="F4686" s="28">
        <v>46171.0</v>
      </c>
      <c r="G4686" s="29"/>
    </row>
    <row r="4687" ht="15.75" customHeight="1">
      <c r="A4687" s="30" t="s">
        <v>8351</v>
      </c>
      <c r="B4687" s="31" t="s">
        <v>508</v>
      </c>
      <c r="C4687" s="31" t="s">
        <v>923</v>
      </c>
      <c r="D4687" s="30" t="s">
        <v>3663</v>
      </c>
      <c r="E4687" s="32">
        <v>46113.0</v>
      </c>
      <c r="F4687" s="32">
        <v>46171.0</v>
      </c>
      <c r="G4687" s="33"/>
    </row>
    <row r="4688" ht="15.75" customHeight="1">
      <c r="A4688" s="26" t="s">
        <v>8352</v>
      </c>
      <c r="B4688" s="27" t="s">
        <v>509</v>
      </c>
      <c r="C4688" s="27" t="s">
        <v>1240</v>
      </c>
      <c r="D4688" s="26" t="s">
        <v>3663</v>
      </c>
      <c r="E4688" s="28">
        <v>46113.0</v>
      </c>
      <c r="F4688" s="28">
        <v>46171.0</v>
      </c>
      <c r="G4688" s="29"/>
    </row>
    <row r="4689" ht="15.75" customHeight="1">
      <c r="A4689" s="30" t="s">
        <v>8353</v>
      </c>
      <c r="B4689" s="31" t="s">
        <v>509</v>
      </c>
      <c r="C4689" s="31" t="s">
        <v>1242</v>
      </c>
      <c r="D4689" s="30" t="s">
        <v>3663</v>
      </c>
      <c r="E4689" s="32">
        <v>46113.0</v>
      </c>
      <c r="F4689" s="32">
        <v>46171.0</v>
      </c>
      <c r="G4689" s="33"/>
    </row>
    <row r="4690" ht="15.75" customHeight="1">
      <c r="A4690" s="26" t="s">
        <v>8354</v>
      </c>
      <c r="B4690" s="27" t="s">
        <v>509</v>
      </c>
      <c r="C4690" s="27" t="s">
        <v>1244</v>
      </c>
      <c r="D4690" s="26" t="s">
        <v>3663</v>
      </c>
      <c r="E4690" s="28">
        <v>46113.0</v>
      </c>
      <c r="F4690" s="28">
        <v>46171.0</v>
      </c>
      <c r="G4690" s="29"/>
    </row>
    <row r="4691" ht="15.75" customHeight="1">
      <c r="A4691" s="30" t="s">
        <v>8355</v>
      </c>
      <c r="B4691" s="31" t="s">
        <v>509</v>
      </c>
      <c r="C4691" s="31" t="s">
        <v>1246</v>
      </c>
      <c r="D4691" s="30" t="s">
        <v>3663</v>
      </c>
      <c r="E4691" s="32">
        <v>46113.0</v>
      </c>
      <c r="F4691" s="32">
        <v>46171.0</v>
      </c>
      <c r="G4691" s="33"/>
    </row>
    <row r="4692" ht="15.75" customHeight="1">
      <c r="A4692" s="26" t="s">
        <v>8356</v>
      </c>
      <c r="B4692" s="27" t="s">
        <v>509</v>
      </c>
      <c r="C4692" s="27" t="s">
        <v>3654</v>
      </c>
      <c r="D4692" s="26" t="s">
        <v>3663</v>
      </c>
      <c r="E4692" s="28">
        <v>46113.0</v>
      </c>
      <c r="F4692" s="28">
        <v>46171.0</v>
      </c>
      <c r="G4692" s="29"/>
    </row>
    <row r="4693" ht="15.75" customHeight="1">
      <c r="A4693" s="30" t="s">
        <v>8357</v>
      </c>
      <c r="B4693" s="31" t="s">
        <v>509</v>
      </c>
      <c r="C4693" s="31" t="s">
        <v>3655</v>
      </c>
      <c r="D4693" s="30" t="s">
        <v>3663</v>
      </c>
      <c r="E4693" s="32">
        <v>46113.0</v>
      </c>
      <c r="F4693" s="32">
        <v>46171.0</v>
      </c>
      <c r="G4693" s="33"/>
    </row>
    <row r="4694" ht="15.75" customHeight="1">
      <c r="A4694" s="26" t="s">
        <v>8358</v>
      </c>
      <c r="B4694" s="27" t="s">
        <v>509</v>
      </c>
      <c r="C4694" s="27" t="s">
        <v>934</v>
      </c>
      <c r="D4694" s="26" t="s">
        <v>3663</v>
      </c>
      <c r="E4694" s="28">
        <v>46113.0</v>
      </c>
      <c r="F4694" s="28">
        <v>46171.0</v>
      </c>
      <c r="G4694" s="29"/>
    </row>
    <row r="4695" ht="15.75" customHeight="1">
      <c r="A4695" s="30" t="s">
        <v>8359</v>
      </c>
      <c r="B4695" s="31" t="s">
        <v>509</v>
      </c>
      <c r="C4695" s="31" t="s">
        <v>1354</v>
      </c>
      <c r="D4695" s="30" t="s">
        <v>3663</v>
      </c>
      <c r="E4695" s="32">
        <v>46113.0</v>
      </c>
      <c r="F4695" s="32">
        <v>46171.0</v>
      </c>
      <c r="G4695" s="33"/>
    </row>
    <row r="4696" ht="15.75" customHeight="1">
      <c r="A4696" s="26" t="s">
        <v>8360</v>
      </c>
      <c r="B4696" s="27" t="s">
        <v>509</v>
      </c>
      <c r="C4696" s="27" t="s">
        <v>1172</v>
      </c>
      <c r="D4696" s="26" t="s">
        <v>3663</v>
      </c>
      <c r="E4696" s="28">
        <v>46113.0</v>
      </c>
      <c r="F4696" s="28">
        <v>46171.0</v>
      </c>
      <c r="G4696" s="29"/>
    </row>
    <row r="4697" ht="15.75" customHeight="1">
      <c r="A4697" s="30" t="s">
        <v>8361</v>
      </c>
      <c r="B4697" s="31" t="s">
        <v>509</v>
      </c>
      <c r="C4697" s="31" t="s">
        <v>1312</v>
      </c>
      <c r="D4697" s="30" t="s">
        <v>3663</v>
      </c>
      <c r="E4697" s="32">
        <v>46113.0</v>
      </c>
      <c r="F4697" s="32">
        <v>46171.0</v>
      </c>
      <c r="G4697" s="33"/>
    </row>
    <row r="4698" ht="15.75" customHeight="1">
      <c r="A4698" s="26" t="s">
        <v>8362</v>
      </c>
      <c r="B4698" s="27" t="s">
        <v>509</v>
      </c>
      <c r="C4698" s="27" t="s">
        <v>3647</v>
      </c>
      <c r="D4698" s="26" t="s">
        <v>3663</v>
      </c>
      <c r="E4698" s="28">
        <v>46113.0</v>
      </c>
      <c r="F4698" s="28">
        <v>46171.0</v>
      </c>
      <c r="G4698" s="29"/>
    </row>
    <row r="4699" ht="15.75" customHeight="1">
      <c r="A4699" s="30" t="s">
        <v>8363</v>
      </c>
      <c r="B4699" s="31" t="s">
        <v>509</v>
      </c>
      <c r="C4699" s="31" t="s">
        <v>952</v>
      </c>
      <c r="D4699" s="30" t="s">
        <v>3663</v>
      </c>
      <c r="E4699" s="32">
        <v>46113.0</v>
      </c>
      <c r="F4699" s="32">
        <v>46171.0</v>
      </c>
      <c r="G4699" s="33"/>
    </row>
    <row r="4700" ht="15.75" customHeight="1">
      <c r="A4700" s="26" t="s">
        <v>8364</v>
      </c>
      <c r="B4700" s="27" t="s">
        <v>509</v>
      </c>
      <c r="C4700" s="27" t="s">
        <v>968</v>
      </c>
      <c r="D4700" s="26" t="s">
        <v>3663</v>
      </c>
      <c r="E4700" s="28">
        <v>46113.0</v>
      </c>
      <c r="F4700" s="28">
        <v>46171.0</v>
      </c>
      <c r="G4700" s="29"/>
    </row>
    <row r="4701" ht="15.75" customHeight="1">
      <c r="A4701" s="30" t="s">
        <v>8365</v>
      </c>
      <c r="B4701" s="31" t="s">
        <v>509</v>
      </c>
      <c r="C4701" s="31" t="s">
        <v>923</v>
      </c>
      <c r="D4701" s="30" t="s">
        <v>3663</v>
      </c>
      <c r="E4701" s="32">
        <v>46113.0</v>
      </c>
      <c r="F4701" s="32">
        <v>46171.0</v>
      </c>
      <c r="G4701" s="33"/>
    </row>
    <row r="4702" ht="15.75" customHeight="1">
      <c r="A4702" s="26" t="s">
        <v>8366</v>
      </c>
      <c r="B4702" s="27" t="s">
        <v>510</v>
      </c>
      <c r="C4702" s="27" t="s">
        <v>930</v>
      </c>
      <c r="D4702" s="26" t="s">
        <v>3663</v>
      </c>
      <c r="E4702" s="28">
        <v>46113.0</v>
      </c>
      <c r="F4702" s="28">
        <v>46171.0</v>
      </c>
      <c r="G4702" s="29"/>
    </row>
    <row r="4703" ht="15.75" customHeight="1">
      <c r="A4703" s="30" t="s">
        <v>8367</v>
      </c>
      <c r="B4703" s="31" t="s">
        <v>510</v>
      </c>
      <c r="C4703" s="31" t="s">
        <v>1354</v>
      </c>
      <c r="D4703" s="30" t="s">
        <v>3663</v>
      </c>
      <c r="E4703" s="32">
        <v>46113.0</v>
      </c>
      <c r="F4703" s="32">
        <v>46171.0</v>
      </c>
      <c r="G4703" s="33"/>
    </row>
    <row r="4704" ht="15.75" customHeight="1">
      <c r="A4704" s="26" t="s">
        <v>8368</v>
      </c>
      <c r="B4704" s="27" t="s">
        <v>510</v>
      </c>
      <c r="C4704" s="27" t="s">
        <v>3641</v>
      </c>
      <c r="D4704" s="26" t="s">
        <v>3663</v>
      </c>
      <c r="E4704" s="28">
        <v>46113.0</v>
      </c>
      <c r="F4704" s="28">
        <v>46171.0</v>
      </c>
      <c r="G4704" s="29"/>
    </row>
    <row r="4705" ht="15.75" customHeight="1">
      <c r="A4705" s="30" t="s">
        <v>8369</v>
      </c>
      <c r="B4705" s="31" t="s">
        <v>510</v>
      </c>
      <c r="C4705" s="31" t="s">
        <v>1304</v>
      </c>
      <c r="D4705" s="30" t="s">
        <v>3663</v>
      </c>
      <c r="E4705" s="32">
        <v>46113.0</v>
      </c>
      <c r="F4705" s="32">
        <v>46171.0</v>
      </c>
      <c r="G4705" s="33"/>
    </row>
    <row r="4706" ht="15.75" customHeight="1">
      <c r="A4706" s="26" t="s">
        <v>8370</v>
      </c>
      <c r="B4706" s="27" t="s">
        <v>510</v>
      </c>
      <c r="C4706" s="27" t="s">
        <v>3642</v>
      </c>
      <c r="D4706" s="26" t="s">
        <v>3663</v>
      </c>
      <c r="E4706" s="28">
        <v>46113.0</v>
      </c>
      <c r="F4706" s="28">
        <v>46171.0</v>
      </c>
      <c r="G4706" s="29"/>
    </row>
    <row r="4707" ht="15.75" customHeight="1">
      <c r="A4707" s="30" t="s">
        <v>8371</v>
      </c>
      <c r="B4707" s="31" t="s">
        <v>510</v>
      </c>
      <c r="C4707" s="31" t="s">
        <v>1308</v>
      </c>
      <c r="D4707" s="30" t="s">
        <v>3663</v>
      </c>
      <c r="E4707" s="32">
        <v>46113.0</v>
      </c>
      <c r="F4707" s="32">
        <v>46171.0</v>
      </c>
      <c r="G4707" s="33"/>
    </row>
    <row r="4708" ht="15.75" customHeight="1">
      <c r="A4708" s="26" t="s">
        <v>8372</v>
      </c>
      <c r="B4708" s="27" t="s">
        <v>510</v>
      </c>
      <c r="C4708" s="27" t="s">
        <v>1208</v>
      </c>
      <c r="D4708" s="26" t="s">
        <v>3663</v>
      </c>
      <c r="E4708" s="28">
        <v>46113.0</v>
      </c>
      <c r="F4708" s="28">
        <v>46171.0</v>
      </c>
      <c r="G4708" s="29"/>
    </row>
    <row r="4709" ht="15.75" customHeight="1">
      <c r="A4709" s="30" t="s">
        <v>8373</v>
      </c>
      <c r="B4709" s="31" t="s">
        <v>510</v>
      </c>
      <c r="C4709" s="31" t="s">
        <v>1351</v>
      </c>
      <c r="D4709" s="30" t="s">
        <v>3663</v>
      </c>
      <c r="E4709" s="32">
        <v>46113.0</v>
      </c>
      <c r="F4709" s="32">
        <v>46171.0</v>
      </c>
      <c r="G4709" s="33"/>
    </row>
    <row r="4710" ht="15.75" customHeight="1">
      <c r="A4710" s="26" t="s">
        <v>8374</v>
      </c>
      <c r="B4710" s="27" t="s">
        <v>510</v>
      </c>
      <c r="C4710" s="27" t="s">
        <v>1349</v>
      </c>
      <c r="D4710" s="26" t="s">
        <v>3663</v>
      </c>
      <c r="E4710" s="28">
        <v>46113.0</v>
      </c>
      <c r="F4710" s="28">
        <v>46171.0</v>
      </c>
      <c r="G4710" s="29"/>
    </row>
    <row r="4711" ht="15.75" customHeight="1">
      <c r="A4711" s="30" t="s">
        <v>8375</v>
      </c>
      <c r="B4711" s="31" t="s">
        <v>510</v>
      </c>
      <c r="C4711" s="31" t="s">
        <v>3653</v>
      </c>
      <c r="D4711" s="31" t="s">
        <v>3663</v>
      </c>
      <c r="E4711" s="32">
        <v>46113.0</v>
      </c>
      <c r="F4711" s="32">
        <v>46171.0</v>
      </c>
      <c r="G4711" s="33"/>
    </row>
    <row r="4712" ht="15.75" customHeight="1">
      <c r="A4712" s="26" t="s">
        <v>8376</v>
      </c>
      <c r="B4712" s="27" t="s">
        <v>510</v>
      </c>
      <c r="C4712" s="27" t="s">
        <v>3652</v>
      </c>
      <c r="D4712" s="26" t="s">
        <v>3663</v>
      </c>
      <c r="E4712" s="28">
        <v>46113.0</v>
      </c>
      <c r="F4712" s="28">
        <v>46171.0</v>
      </c>
      <c r="G4712" s="29"/>
    </row>
    <row r="4713" ht="15.75" customHeight="1">
      <c r="A4713" s="30" t="s">
        <v>8377</v>
      </c>
      <c r="B4713" s="31" t="s">
        <v>510</v>
      </c>
      <c r="C4713" s="31" t="s">
        <v>968</v>
      </c>
      <c r="D4713" s="30" t="s">
        <v>3663</v>
      </c>
      <c r="E4713" s="32">
        <v>46113.0</v>
      </c>
      <c r="F4713" s="32">
        <v>46171.0</v>
      </c>
      <c r="G4713" s="33"/>
    </row>
    <row r="4714" ht="15.75" customHeight="1">
      <c r="A4714" s="26" t="s">
        <v>8378</v>
      </c>
      <c r="B4714" s="27" t="s">
        <v>510</v>
      </c>
      <c r="C4714" s="27" t="s">
        <v>923</v>
      </c>
      <c r="D4714" s="26" t="s">
        <v>3663</v>
      </c>
      <c r="E4714" s="28">
        <v>46113.0</v>
      </c>
      <c r="F4714" s="28">
        <v>46171.0</v>
      </c>
      <c r="G4714" s="29"/>
    </row>
    <row r="4715" ht="15.75" customHeight="1">
      <c r="A4715" s="30" t="s">
        <v>8379</v>
      </c>
      <c r="B4715" s="31" t="s">
        <v>510</v>
      </c>
      <c r="C4715" s="31" t="s">
        <v>961</v>
      </c>
      <c r="D4715" s="30" t="s">
        <v>3663</v>
      </c>
      <c r="E4715" s="32">
        <v>46113.0</v>
      </c>
      <c r="F4715" s="32">
        <v>46171.0</v>
      </c>
      <c r="G4715" s="33"/>
    </row>
    <row r="4716" ht="15.75" customHeight="1">
      <c r="A4716" s="26" t="s">
        <v>8380</v>
      </c>
      <c r="B4716" s="27" t="s">
        <v>511</v>
      </c>
      <c r="C4716" s="27" t="s">
        <v>1240</v>
      </c>
      <c r="D4716" s="26" t="s">
        <v>3663</v>
      </c>
      <c r="E4716" s="28">
        <v>46113.0</v>
      </c>
      <c r="F4716" s="28">
        <v>46171.0</v>
      </c>
      <c r="G4716" s="29"/>
    </row>
    <row r="4717" ht="15.75" customHeight="1">
      <c r="A4717" s="30" t="s">
        <v>8381</v>
      </c>
      <c r="B4717" s="31" t="s">
        <v>511</v>
      </c>
      <c r="C4717" s="31" t="s">
        <v>1242</v>
      </c>
      <c r="D4717" s="30" t="s">
        <v>3663</v>
      </c>
      <c r="E4717" s="32">
        <v>46113.0</v>
      </c>
      <c r="F4717" s="32">
        <v>46171.0</v>
      </c>
      <c r="G4717" s="33"/>
    </row>
    <row r="4718" ht="15.75" customHeight="1">
      <c r="A4718" s="26" t="s">
        <v>8382</v>
      </c>
      <c r="B4718" s="27" t="s">
        <v>511</v>
      </c>
      <c r="C4718" s="27" t="s">
        <v>1244</v>
      </c>
      <c r="D4718" s="26" t="s">
        <v>3663</v>
      </c>
      <c r="E4718" s="28">
        <v>46113.0</v>
      </c>
      <c r="F4718" s="28">
        <v>46171.0</v>
      </c>
      <c r="G4718" s="29"/>
    </row>
    <row r="4719" ht="15.75" customHeight="1">
      <c r="A4719" s="30" t="s">
        <v>8383</v>
      </c>
      <c r="B4719" s="31" t="s">
        <v>511</v>
      </c>
      <c r="C4719" s="31" t="s">
        <v>1246</v>
      </c>
      <c r="D4719" s="30" t="s">
        <v>3663</v>
      </c>
      <c r="E4719" s="32">
        <v>46113.0</v>
      </c>
      <c r="F4719" s="32">
        <v>46171.0</v>
      </c>
      <c r="G4719" s="33"/>
    </row>
    <row r="4720" ht="15.75" customHeight="1">
      <c r="A4720" s="26" t="s">
        <v>8384</v>
      </c>
      <c r="B4720" s="27" t="s">
        <v>511</v>
      </c>
      <c r="C4720" s="27" t="s">
        <v>3654</v>
      </c>
      <c r="D4720" s="26" t="s">
        <v>3663</v>
      </c>
      <c r="E4720" s="28">
        <v>46113.0</v>
      </c>
      <c r="F4720" s="28">
        <v>46171.0</v>
      </c>
      <c r="G4720" s="29"/>
    </row>
    <row r="4721" ht="15.75" customHeight="1">
      <c r="A4721" s="30" t="s">
        <v>8385</v>
      </c>
      <c r="B4721" s="31" t="s">
        <v>511</v>
      </c>
      <c r="C4721" s="31" t="s">
        <v>3655</v>
      </c>
      <c r="D4721" s="30" t="s">
        <v>3663</v>
      </c>
      <c r="E4721" s="32">
        <v>46113.0</v>
      </c>
      <c r="F4721" s="32">
        <v>46171.0</v>
      </c>
      <c r="G4721" s="33"/>
    </row>
    <row r="4722" ht="15.75" customHeight="1">
      <c r="A4722" s="26" t="s">
        <v>8386</v>
      </c>
      <c r="B4722" s="27" t="s">
        <v>511</v>
      </c>
      <c r="C4722" s="27" t="s">
        <v>934</v>
      </c>
      <c r="D4722" s="26" t="s">
        <v>3663</v>
      </c>
      <c r="E4722" s="28">
        <v>46113.0</v>
      </c>
      <c r="F4722" s="28">
        <v>46171.0</v>
      </c>
      <c r="G4722" s="29"/>
    </row>
    <row r="4723" ht="15.75" customHeight="1">
      <c r="A4723" s="30" t="s">
        <v>8387</v>
      </c>
      <c r="B4723" s="31" t="s">
        <v>511</v>
      </c>
      <c r="C4723" s="31" t="s">
        <v>1354</v>
      </c>
      <c r="D4723" s="30" t="s">
        <v>3663</v>
      </c>
      <c r="E4723" s="32">
        <v>46113.0</v>
      </c>
      <c r="F4723" s="32">
        <v>46171.0</v>
      </c>
      <c r="G4723" s="33"/>
    </row>
    <row r="4724" ht="15.75" customHeight="1">
      <c r="A4724" s="26" t="s">
        <v>8388</v>
      </c>
      <c r="B4724" s="27" t="s">
        <v>511</v>
      </c>
      <c r="C4724" s="27" t="s">
        <v>1159</v>
      </c>
      <c r="D4724" s="26" t="s">
        <v>3663</v>
      </c>
      <c r="E4724" s="28">
        <v>46113.0</v>
      </c>
      <c r="F4724" s="28">
        <v>46171.0</v>
      </c>
      <c r="G4724" s="29"/>
    </row>
    <row r="4725" ht="15.75" customHeight="1">
      <c r="A4725" s="30" t="s">
        <v>8389</v>
      </c>
      <c r="B4725" s="31" t="s">
        <v>511</v>
      </c>
      <c r="C4725" s="31" t="s">
        <v>3647</v>
      </c>
      <c r="D4725" s="30" t="s">
        <v>3663</v>
      </c>
      <c r="E4725" s="32">
        <v>46113.0</v>
      </c>
      <c r="F4725" s="32">
        <v>46171.0</v>
      </c>
      <c r="G4725" s="33"/>
    </row>
    <row r="4726" ht="15.75" customHeight="1">
      <c r="A4726" s="26" t="s">
        <v>8390</v>
      </c>
      <c r="B4726" s="27" t="s">
        <v>511</v>
      </c>
      <c r="C4726" s="27" t="s">
        <v>952</v>
      </c>
      <c r="D4726" s="26" t="s">
        <v>3663</v>
      </c>
      <c r="E4726" s="28">
        <v>46113.0</v>
      </c>
      <c r="F4726" s="28">
        <v>46171.0</v>
      </c>
      <c r="G4726" s="29"/>
    </row>
    <row r="4727" ht="15.75" customHeight="1">
      <c r="A4727" s="30" t="s">
        <v>8391</v>
      </c>
      <c r="B4727" s="31" t="s">
        <v>511</v>
      </c>
      <c r="C4727" s="31" t="s">
        <v>968</v>
      </c>
      <c r="D4727" s="30" t="s">
        <v>3663</v>
      </c>
      <c r="E4727" s="32">
        <v>46113.0</v>
      </c>
      <c r="F4727" s="32">
        <v>46171.0</v>
      </c>
      <c r="G4727" s="33"/>
    </row>
    <row r="4728" ht="15.75" customHeight="1">
      <c r="A4728" s="26" t="s">
        <v>8392</v>
      </c>
      <c r="B4728" s="27" t="s">
        <v>511</v>
      </c>
      <c r="C4728" s="27" t="s">
        <v>923</v>
      </c>
      <c r="D4728" s="26" t="s">
        <v>3663</v>
      </c>
      <c r="E4728" s="28">
        <v>46113.0</v>
      </c>
      <c r="F4728" s="28">
        <v>46171.0</v>
      </c>
      <c r="G4728" s="29"/>
    </row>
    <row r="4729" ht="15.75" customHeight="1">
      <c r="A4729" s="30" t="s">
        <v>8393</v>
      </c>
      <c r="B4729" s="31" t="s">
        <v>511</v>
      </c>
      <c r="C4729" s="31" t="s">
        <v>961</v>
      </c>
      <c r="D4729" s="30" t="s">
        <v>3663</v>
      </c>
      <c r="E4729" s="32">
        <v>46113.0</v>
      </c>
      <c r="F4729" s="32">
        <v>46171.0</v>
      </c>
      <c r="G4729" s="33"/>
    </row>
    <row r="4730" ht="15.75" customHeight="1">
      <c r="A4730" s="26" t="s">
        <v>8394</v>
      </c>
      <c r="B4730" s="27" t="s">
        <v>512</v>
      </c>
      <c r="C4730" s="27" t="s">
        <v>932</v>
      </c>
      <c r="D4730" s="26" t="s">
        <v>3663</v>
      </c>
      <c r="E4730" s="28">
        <v>46113.0</v>
      </c>
      <c r="F4730" s="28">
        <v>46171.0</v>
      </c>
      <c r="G4730" s="29"/>
    </row>
    <row r="4731" ht="15.75" customHeight="1">
      <c r="A4731" s="30" t="s">
        <v>8395</v>
      </c>
      <c r="B4731" s="31" t="s">
        <v>512</v>
      </c>
      <c r="C4731" s="31" t="s">
        <v>1168</v>
      </c>
      <c r="D4731" s="30" t="s">
        <v>3663</v>
      </c>
      <c r="E4731" s="32">
        <v>46113.0</v>
      </c>
      <c r="F4731" s="32">
        <v>46171.0</v>
      </c>
      <c r="G4731" s="33"/>
    </row>
    <row r="4732" ht="15.75" customHeight="1">
      <c r="A4732" s="26" t="s">
        <v>8396</v>
      </c>
      <c r="B4732" s="27" t="s">
        <v>512</v>
      </c>
      <c r="C4732" s="27" t="s">
        <v>1170</v>
      </c>
      <c r="D4732" s="26" t="s">
        <v>3663</v>
      </c>
      <c r="E4732" s="28">
        <v>46113.0</v>
      </c>
      <c r="F4732" s="28">
        <v>46171.0</v>
      </c>
      <c r="G4732" s="29"/>
    </row>
    <row r="4733" ht="15.75" customHeight="1">
      <c r="A4733" s="30" t="s">
        <v>8397</v>
      </c>
      <c r="B4733" s="31" t="s">
        <v>512</v>
      </c>
      <c r="C4733" s="31" t="s">
        <v>1288</v>
      </c>
      <c r="D4733" s="30" t="s">
        <v>3663</v>
      </c>
      <c r="E4733" s="32">
        <v>46113.0</v>
      </c>
      <c r="F4733" s="32">
        <v>46171.0</v>
      </c>
      <c r="G4733" s="33"/>
    </row>
    <row r="4734" ht="15.75" customHeight="1">
      <c r="A4734" s="26" t="s">
        <v>8398</v>
      </c>
      <c r="B4734" s="27" t="s">
        <v>512</v>
      </c>
      <c r="C4734" s="27" t="s">
        <v>1291</v>
      </c>
      <c r="D4734" s="26" t="s">
        <v>3663</v>
      </c>
      <c r="E4734" s="28">
        <v>46113.0</v>
      </c>
      <c r="F4734" s="28">
        <v>46171.0</v>
      </c>
      <c r="G4734" s="29"/>
    </row>
    <row r="4735" ht="15.75" customHeight="1">
      <c r="A4735" s="30" t="s">
        <v>8399</v>
      </c>
      <c r="B4735" s="31" t="s">
        <v>512</v>
      </c>
      <c r="C4735" s="31" t="s">
        <v>1354</v>
      </c>
      <c r="D4735" s="30" t="s">
        <v>3663</v>
      </c>
      <c r="E4735" s="32">
        <v>46113.0</v>
      </c>
      <c r="F4735" s="32">
        <v>46171.0</v>
      </c>
      <c r="G4735" s="33"/>
    </row>
    <row r="4736" ht="15.75" customHeight="1">
      <c r="A4736" s="26" t="s">
        <v>8400</v>
      </c>
      <c r="B4736" s="27" t="s">
        <v>512</v>
      </c>
      <c r="C4736" s="27" t="s">
        <v>3681</v>
      </c>
      <c r="D4736" s="26" t="s">
        <v>3663</v>
      </c>
      <c r="E4736" s="28">
        <v>46113.0</v>
      </c>
      <c r="F4736" s="28">
        <v>46171.0</v>
      </c>
      <c r="G4736" s="29"/>
    </row>
    <row r="4737" ht="15.75" customHeight="1">
      <c r="A4737" s="30" t="s">
        <v>8401</v>
      </c>
      <c r="B4737" s="31" t="s">
        <v>512</v>
      </c>
      <c r="C4737" s="31" t="s">
        <v>3683</v>
      </c>
      <c r="D4737" s="30" t="s">
        <v>3663</v>
      </c>
      <c r="E4737" s="32">
        <v>46113.0</v>
      </c>
      <c r="F4737" s="32">
        <v>46171.0</v>
      </c>
      <c r="G4737" s="33"/>
    </row>
    <row r="4738" ht="15.75" customHeight="1">
      <c r="A4738" s="26" t="s">
        <v>8402</v>
      </c>
      <c r="B4738" s="27" t="s">
        <v>512</v>
      </c>
      <c r="C4738" s="27" t="s">
        <v>1218</v>
      </c>
      <c r="D4738" s="26" t="s">
        <v>3663</v>
      </c>
      <c r="E4738" s="28">
        <v>46113.0</v>
      </c>
      <c r="F4738" s="28">
        <v>46171.0</v>
      </c>
      <c r="G4738" s="29"/>
    </row>
    <row r="4739" ht="15.75" customHeight="1">
      <c r="A4739" s="30" t="s">
        <v>8403</v>
      </c>
      <c r="B4739" s="31" t="s">
        <v>512</v>
      </c>
      <c r="C4739" s="31" t="s">
        <v>1351</v>
      </c>
      <c r="D4739" s="30" t="s">
        <v>3663</v>
      </c>
      <c r="E4739" s="32">
        <v>46113.0</v>
      </c>
      <c r="F4739" s="32">
        <v>46171.0</v>
      </c>
      <c r="G4739" s="33"/>
    </row>
    <row r="4740" ht="15.75" customHeight="1">
      <c r="A4740" s="26" t="s">
        <v>8404</v>
      </c>
      <c r="B4740" s="27" t="s">
        <v>512</v>
      </c>
      <c r="C4740" s="27" t="s">
        <v>1349</v>
      </c>
      <c r="D4740" s="26" t="s">
        <v>3663</v>
      </c>
      <c r="E4740" s="28">
        <v>46113.0</v>
      </c>
      <c r="F4740" s="28">
        <v>46171.0</v>
      </c>
      <c r="G4740" s="29"/>
    </row>
    <row r="4741" ht="15.75" customHeight="1">
      <c r="A4741" s="30" t="s">
        <v>8405</v>
      </c>
      <c r="B4741" s="31" t="s">
        <v>512</v>
      </c>
      <c r="C4741" s="31" t="s">
        <v>968</v>
      </c>
      <c r="D4741" s="30" t="s">
        <v>3663</v>
      </c>
      <c r="E4741" s="32">
        <v>46113.0</v>
      </c>
      <c r="F4741" s="32">
        <v>46171.0</v>
      </c>
      <c r="G4741" s="33"/>
    </row>
    <row r="4742" ht="15.75" customHeight="1">
      <c r="A4742" s="26" t="s">
        <v>8406</v>
      </c>
      <c r="B4742" s="27" t="s">
        <v>512</v>
      </c>
      <c r="C4742" s="27" t="s">
        <v>923</v>
      </c>
      <c r="D4742" s="26" t="s">
        <v>3663</v>
      </c>
      <c r="E4742" s="28">
        <v>46113.0</v>
      </c>
      <c r="F4742" s="28">
        <v>46171.0</v>
      </c>
      <c r="G4742" s="29"/>
    </row>
    <row r="4743" ht="15.75" customHeight="1">
      <c r="A4743" s="30" t="s">
        <v>8407</v>
      </c>
      <c r="B4743" s="31" t="s">
        <v>512</v>
      </c>
      <c r="C4743" s="31" t="s">
        <v>955</v>
      </c>
      <c r="D4743" s="30" t="s">
        <v>3663</v>
      </c>
      <c r="E4743" s="32">
        <v>46113.0</v>
      </c>
      <c r="F4743" s="32">
        <v>46171.0</v>
      </c>
      <c r="G4743" s="33"/>
    </row>
    <row r="4744" ht="15.75" customHeight="1">
      <c r="A4744" s="26" t="s">
        <v>8408</v>
      </c>
      <c r="B4744" s="27" t="s">
        <v>513</v>
      </c>
      <c r="C4744" s="27" t="s">
        <v>3654</v>
      </c>
      <c r="D4744" s="26" t="s">
        <v>3663</v>
      </c>
      <c r="E4744" s="28">
        <v>46113.0</v>
      </c>
      <c r="F4744" s="28">
        <v>46171.0</v>
      </c>
      <c r="G4744" s="29"/>
    </row>
    <row r="4745" ht="15.75" customHeight="1">
      <c r="A4745" s="30" t="s">
        <v>8409</v>
      </c>
      <c r="B4745" s="31" t="s">
        <v>513</v>
      </c>
      <c r="C4745" s="31" t="s">
        <v>3655</v>
      </c>
      <c r="D4745" s="30" t="s">
        <v>3663</v>
      </c>
      <c r="E4745" s="32">
        <v>46113.0</v>
      </c>
      <c r="F4745" s="32">
        <v>46171.0</v>
      </c>
      <c r="G4745" s="33"/>
    </row>
    <row r="4746" ht="15.75" customHeight="1">
      <c r="A4746" s="26" t="s">
        <v>8410</v>
      </c>
      <c r="B4746" s="27" t="s">
        <v>513</v>
      </c>
      <c r="C4746" s="27" t="s">
        <v>930</v>
      </c>
      <c r="D4746" s="26" t="s">
        <v>3663</v>
      </c>
      <c r="E4746" s="28">
        <v>46113.0</v>
      </c>
      <c r="F4746" s="28">
        <v>46171.0</v>
      </c>
      <c r="G4746" s="29"/>
    </row>
    <row r="4747" ht="15.75" customHeight="1">
      <c r="A4747" s="30" t="s">
        <v>8411</v>
      </c>
      <c r="B4747" s="31" t="s">
        <v>513</v>
      </c>
      <c r="C4747" s="31" t="s">
        <v>1354</v>
      </c>
      <c r="D4747" s="30" t="s">
        <v>3663</v>
      </c>
      <c r="E4747" s="32">
        <v>46113.0</v>
      </c>
      <c r="F4747" s="32">
        <v>46171.0</v>
      </c>
      <c r="G4747" s="33"/>
    </row>
    <row r="4748" ht="15.75" customHeight="1">
      <c r="A4748" s="26" t="s">
        <v>8412</v>
      </c>
      <c r="B4748" s="27" t="s">
        <v>513</v>
      </c>
      <c r="C4748" s="27" t="s">
        <v>3605</v>
      </c>
      <c r="D4748" s="26" t="s">
        <v>3663</v>
      </c>
      <c r="E4748" s="28">
        <v>46113.0</v>
      </c>
      <c r="F4748" s="28">
        <v>46171.0</v>
      </c>
      <c r="G4748" s="29"/>
    </row>
    <row r="4749" ht="15.75" customHeight="1">
      <c r="A4749" s="30" t="s">
        <v>8413</v>
      </c>
      <c r="B4749" s="31" t="s">
        <v>513</v>
      </c>
      <c r="C4749" s="31" t="s">
        <v>1157</v>
      </c>
      <c r="D4749" s="30" t="s">
        <v>3663</v>
      </c>
      <c r="E4749" s="32">
        <v>46113.0</v>
      </c>
      <c r="F4749" s="32">
        <v>46171.0</v>
      </c>
      <c r="G4749" s="33"/>
    </row>
    <row r="4750" ht="15.75" customHeight="1">
      <c r="A4750" s="26" t="s">
        <v>8414</v>
      </c>
      <c r="B4750" s="27" t="s">
        <v>513</v>
      </c>
      <c r="C4750" s="27" t="s">
        <v>1155</v>
      </c>
      <c r="D4750" s="26" t="s">
        <v>3663</v>
      </c>
      <c r="E4750" s="28">
        <v>46113.0</v>
      </c>
      <c r="F4750" s="28">
        <v>46171.0</v>
      </c>
      <c r="G4750" s="29"/>
    </row>
    <row r="4751" ht="15.75" customHeight="1">
      <c r="A4751" s="30" t="s">
        <v>8415</v>
      </c>
      <c r="B4751" s="31" t="s">
        <v>513</v>
      </c>
      <c r="C4751" s="31" t="s">
        <v>1153</v>
      </c>
      <c r="D4751" s="30" t="s">
        <v>3663</v>
      </c>
      <c r="E4751" s="32">
        <v>46113.0</v>
      </c>
      <c r="F4751" s="32">
        <v>46171.0</v>
      </c>
      <c r="G4751" s="33"/>
    </row>
    <row r="4752" ht="15.75" customHeight="1">
      <c r="A4752" s="26" t="s">
        <v>8416</v>
      </c>
      <c r="B4752" s="27" t="s">
        <v>513</v>
      </c>
      <c r="C4752" s="27" t="s">
        <v>1149</v>
      </c>
      <c r="D4752" s="26" t="s">
        <v>3663</v>
      </c>
      <c r="E4752" s="28">
        <v>46113.0</v>
      </c>
      <c r="F4752" s="28">
        <v>46171.0</v>
      </c>
      <c r="G4752" s="29"/>
    </row>
    <row r="4753" ht="15.75" customHeight="1">
      <c r="A4753" s="30" t="s">
        <v>8417</v>
      </c>
      <c r="B4753" s="31" t="s">
        <v>513</v>
      </c>
      <c r="C4753" s="31" t="s">
        <v>1351</v>
      </c>
      <c r="D4753" s="30" t="s">
        <v>3663</v>
      </c>
      <c r="E4753" s="32">
        <v>46113.0</v>
      </c>
      <c r="F4753" s="32">
        <v>46171.0</v>
      </c>
      <c r="G4753" s="33"/>
    </row>
    <row r="4754" ht="15.75" customHeight="1">
      <c r="A4754" s="26" t="s">
        <v>8418</v>
      </c>
      <c r="B4754" s="27" t="s">
        <v>513</v>
      </c>
      <c r="C4754" s="27" t="s">
        <v>1349</v>
      </c>
      <c r="D4754" s="26" t="s">
        <v>3663</v>
      </c>
      <c r="E4754" s="28">
        <v>46113.0</v>
      </c>
      <c r="F4754" s="28">
        <v>46171.0</v>
      </c>
      <c r="G4754" s="29"/>
    </row>
    <row r="4755" ht="15.75" customHeight="1">
      <c r="A4755" s="30" t="s">
        <v>8419</v>
      </c>
      <c r="B4755" s="31" t="s">
        <v>513</v>
      </c>
      <c r="C4755" s="31" t="s">
        <v>968</v>
      </c>
      <c r="D4755" s="30" t="s">
        <v>3663</v>
      </c>
      <c r="E4755" s="32">
        <v>46113.0</v>
      </c>
      <c r="F4755" s="32">
        <v>46171.0</v>
      </c>
      <c r="G4755" s="33"/>
    </row>
    <row r="4756" ht="15.75" customHeight="1">
      <c r="A4756" s="26" t="s">
        <v>8420</v>
      </c>
      <c r="B4756" s="27" t="s">
        <v>513</v>
      </c>
      <c r="C4756" s="27" t="s">
        <v>923</v>
      </c>
      <c r="D4756" s="26" t="s">
        <v>3663</v>
      </c>
      <c r="E4756" s="28">
        <v>46113.0</v>
      </c>
      <c r="F4756" s="28">
        <v>46171.0</v>
      </c>
      <c r="G4756" s="29"/>
    </row>
    <row r="4757" ht="15.75" customHeight="1">
      <c r="A4757" s="30" t="s">
        <v>8421</v>
      </c>
      <c r="B4757" s="31" t="s">
        <v>513</v>
      </c>
      <c r="C4757" s="31" t="s">
        <v>961</v>
      </c>
      <c r="D4757" s="30" t="s">
        <v>3663</v>
      </c>
      <c r="E4757" s="32">
        <v>46113.0</v>
      </c>
      <c r="F4757" s="32">
        <v>46171.0</v>
      </c>
      <c r="G4757" s="33"/>
    </row>
    <row r="4758" ht="15.75" customHeight="1">
      <c r="A4758" s="26" t="s">
        <v>8422</v>
      </c>
      <c r="B4758" s="27" t="s">
        <v>514</v>
      </c>
      <c r="C4758" s="27" t="s">
        <v>926</v>
      </c>
      <c r="D4758" s="27" t="s">
        <v>3663</v>
      </c>
      <c r="E4758" s="28">
        <v>46113.0</v>
      </c>
      <c r="F4758" s="28">
        <v>46171.0</v>
      </c>
      <c r="G4758" s="29"/>
    </row>
    <row r="4759" ht="15.75" customHeight="1">
      <c r="A4759" s="30" t="s">
        <v>8423</v>
      </c>
      <c r="B4759" s="31" t="s">
        <v>514</v>
      </c>
      <c r="C4759" s="31" t="s">
        <v>1354</v>
      </c>
      <c r="D4759" s="30" t="s">
        <v>3663</v>
      </c>
      <c r="E4759" s="32">
        <v>46113.0</v>
      </c>
      <c r="F4759" s="32">
        <v>46171.0</v>
      </c>
      <c r="G4759" s="33"/>
    </row>
    <row r="4760" ht="15.75" customHeight="1">
      <c r="A4760" s="26" t="s">
        <v>8424</v>
      </c>
      <c r="B4760" s="27" t="s">
        <v>514</v>
      </c>
      <c r="C4760" s="27" t="s">
        <v>1208</v>
      </c>
      <c r="D4760" s="26" t="s">
        <v>3663</v>
      </c>
      <c r="E4760" s="28">
        <v>46113.0</v>
      </c>
      <c r="F4760" s="28">
        <v>46171.0</v>
      </c>
      <c r="G4760" s="29"/>
    </row>
    <row r="4761" ht="15.75" customHeight="1">
      <c r="A4761" s="30" t="s">
        <v>8425</v>
      </c>
      <c r="B4761" s="31" t="s">
        <v>514</v>
      </c>
      <c r="C4761" s="31" t="s">
        <v>3656</v>
      </c>
      <c r="D4761" s="30" t="s">
        <v>3663</v>
      </c>
      <c r="E4761" s="32">
        <v>46113.0</v>
      </c>
      <c r="F4761" s="32">
        <v>46171.0</v>
      </c>
      <c r="G4761" s="33"/>
    </row>
    <row r="4762" ht="15.75" customHeight="1">
      <c r="A4762" s="26" t="s">
        <v>8426</v>
      </c>
      <c r="B4762" s="27" t="s">
        <v>514</v>
      </c>
      <c r="C4762" s="27" t="s">
        <v>3657</v>
      </c>
      <c r="D4762" s="26" t="s">
        <v>3663</v>
      </c>
      <c r="E4762" s="28">
        <v>46113.0</v>
      </c>
      <c r="F4762" s="28">
        <v>46171.0</v>
      </c>
      <c r="G4762" s="29"/>
    </row>
    <row r="4763" ht="15.75" customHeight="1">
      <c r="A4763" s="30" t="s">
        <v>8427</v>
      </c>
      <c r="B4763" s="31" t="s">
        <v>514</v>
      </c>
      <c r="C4763" s="31" t="s">
        <v>3647</v>
      </c>
      <c r="D4763" s="30" t="s">
        <v>3663</v>
      </c>
      <c r="E4763" s="32">
        <v>46113.0</v>
      </c>
      <c r="F4763" s="32">
        <v>46171.0</v>
      </c>
      <c r="G4763" s="33"/>
    </row>
    <row r="4764" ht="15.75" customHeight="1">
      <c r="A4764" s="26" t="s">
        <v>8428</v>
      </c>
      <c r="B4764" s="27" t="s">
        <v>514</v>
      </c>
      <c r="C4764" s="27" t="s">
        <v>952</v>
      </c>
      <c r="D4764" s="26" t="s">
        <v>3663</v>
      </c>
      <c r="E4764" s="28">
        <v>46113.0</v>
      </c>
      <c r="F4764" s="28">
        <v>46171.0</v>
      </c>
      <c r="G4764" s="29"/>
    </row>
    <row r="4765" ht="15.75" customHeight="1">
      <c r="A4765" s="30" t="s">
        <v>8429</v>
      </c>
      <c r="B4765" s="31" t="s">
        <v>514</v>
      </c>
      <c r="C4765" s="31" t="s">
        <v>3648</v>
      </c>
      <c r="D4765" s="31" t="s">
        <v>3663</v>
      </c>
      <c r="E4765" s="32">
        <v>46113.0</v>
      </c>
      <c r="F4765" s="32">
        <v>46171.0</v>
      </c>
      <c r="G4765" s="33"/>
    </row>
    <row r="4766" ht="15.75" customHeight="1">
      <c r="A4766" s="26" t="s">
        <v>8430</v>
      </c>
      <c r="B4766" s="27" t="s">
        <v>514</v>
      </c>
      <c r="C4766" s="27" t="s">
        <v>3649</v>
      </c>
      <c r="D4766" s="27" t="s">
        <v>3663</v>
      </c>
      <c r="E4766" s="28">
        <v>46113.0</v>
      </c>
      <c r="F4766" s="28">
        <v>46171.0</v>
      </c>
      <c r="G4766" s="29"/>
    </row>
    <row r="4767" ht="15.75" customHeight="1">
      <c r="A4767" s="30" t="s">
        <v>8431</v>
      </c>
      <c r="B4767" s="31" t="s">
        <v>514</v>
      </c>
      <c r="C4767" s="31" t="s">
        <v>3650</v>
      </c>
      <c r="D4767" s="31" t="s">
        <v>3663</v>
      </c>
      <c r="E4767" s="32">
        <v>46113.0</v>
      </c>
      <c r="F4767" s="32">
        <v>46171.0</v>
      </c>
      <c r="G4767" s="33"/>
    </row>
    <row r="4768" ht="15.75" customHeight="1">
      <c r="A4768" s="26" t="s">
        <v>8432</v>
      </c>
      <c r="B4768" s="27" t="s">
        <v>514</v>
      </c>
      <c r="C4768" s="27" t="s">
        <v>1283</v>
      </c>
      <c r="D4768" s="27" t="s">
        <v>3663</v>
      </c>
      <c r="E4768" s="28">
        <v>46113.0</v>
      </c>
      <c r="F4768" s="28">
        <v>46171.0</v>
      </c>
      <c r="G4768" s="29"/>
    </row>
    <row r="4769" ht="15.75" customHeight="1">
      <c r="A4769" s="30" t="s">
        <v>8433</v>
      </c>
      <c r="B4769" s="31" t="s">
        <v>514</v>
      </c>
      <c r="C4769" s="31" t="s">
        <v>1218</v>
      </c>
      <c r="D4769" s="30" t="s">
        <v>3663</v>
      </c>
      <c r="E4769" s="32">
        <v>46113.0</v>
      </c>
      <c r="F4769" s="32">
        <v>46171.0</v>
      </c>
      <c r="G4769" s="33"/>
    </row>
    <row r="4770" ht="15.75" customHeight="1">
      <c r="A4770" s="26" t="s">
        <v>8434</v>
      </c>
      <c r="B4770" s="27" t="s">
        <v>514</v>
      </c>
      <c r="C4770" s="27" t="s">
        <v>968</v>
      </c>
      <c r="D4770" s="26" t="s">
        <v>3663</v>
      </c>
      <c r="E4770" s="28">
        <v>46113.0</v>
      </c>
      <c r="F4770" s="28">
        <v>46171.0</v>
      </c>
      <c r="G4770" s="29"/>
    </row>
    <row r="4771" ht="15.75" customHeight="1">
      <c r="A4771" s="30" t="s">
        <v>8435</v>
      </c>
      <c r="B4771" s="31" t="s">
        <v>514</v>
      </c>
      <c r="C4771" s="31" t="s">
        <v>923</v>
      </c>
      <c r="D4771" s="31" t="s">
        <v>3663</v>
      </c>
      <c r="E4771" s="32">
        <v>46113.0</v>
      </c>
      <c r="F4771" s="32">
        <v>46171.0</v>
      </c>
      <c r="G4771" s="33"/>
    </row>
    <row r="4772" ht="15.75" customHeight="1">
      <c r="A4772" s="26" t="s">
        <v>8436</v>
      </c>
      <c r="B4772" s="27" t="s">
        <v>515</v>
      </c>
      <c r="C4772" s="27" t="s">
        <v>930</v>
      </c>
      <c r="D4772" s="26" t="s">
        <v>3663</v>
      </c>
      <c r="E4772" s="28">
        <v>46113.0</v>
      </c>
      <c r="F4772" s="28">
        <v>46171.0</v>
      </c>
      <c r="G4772" s="29"/>
    </row>
    <row r="4773" ht="15.75" customHeight="1">
      <c r="A4773" s="30" t="s">
        <v>8437</v>
      </c>
      <c r="B4773" s="31" t="s">
        <v>515</v>
      </c>
      <c r="C4773" s="31" t="s">
        <v>1354</v>
      </c>
      <c r="D4773" s="30" t="s">
        <v>3663</v>
      </c>
      <c r="E4773" s="32">
        <v>46113.0</v>
      </c>
      <c r="F4773" s="32">
        <v>46171.0</v>
      </c>
      <c r="G4773" s="33"/>
    </row>
    <row r="4774" ht="15.75" customHeight="1">
      <c r="A4774" s="26" t="s">
        <v>8438</v>
      </c>
      <c r="B4774" s="27" t="s">
        <v>515</v>
      </c>
      <c r="C4774" s="27" t="s">
        <v>1172</v>
      </c>
      <c r="D4774" s="26" t="s">
        <v>3663</v>
      </c>
      <c r="E4774" s="28">
        <v>46113.0</v>
      </c>
      <c r="F4774" s="28">
        <v>46171.0</v>
      </c>
      <c r="G4774" s="29"/>
    </row>
    <row r="4775" ht="15.75" customHeight="1">
      <c r="A4775" s="30" t="s">
        <v>8439</v>
      </c>
      <c r="B4775" s="31" t="s">
        <v>515</v>
      </c>
      <c r="C4775" s="31" t="s">
        <v>1159</v>
      </c>
      <c r="D4775" s="30" t="s">
        <v>3663</v>
      </c>
      <c r="E4775" s="32">
        <v>46113.0</v>
      </c>
      <c r="F4775" s="32">
        <v>46171.0</v>
      </c>
      <c r="G4775" s="33"/>
    </row>
    <row r="4776" ht="15.75" customHeight="1">
      <c r="A4776" s="26" t="s">
        <v>8440</v>
      </c>
      <c r="B4776" s="27" t="s">
        <v>515</v>
      </c>
      <c r="C4776" s="27" t="s">
        <v>1157</v>
      </c>
      <c r="D4776" s="26" t="s">
        <v>3663</v>
      </c>
      <c r="E4776" s="28">
        <v>46113.0</v>
      </c>
      <c r="F4776" s="28">
        <v>46171.0</v>
      </c>
      <c r="G4776" s="29"/>
    </row>
    <row r="4777" ht="15.75" customHeight="1">
      <c r="A4777" s="30" t="s">
        <v>8441</v>
      </c>
      <c r="B4777" s="31" t="s">
        <v>515</v>
      </c>
      <c r="C4777" s="31" t="s">
        <v>1155</v>
      </c>
      <c r="D4777" s="30" t="s">
        <v>3663</v>
      </c>
      <c r="E4777" s="32">
        <v>46113.0</v>
      </c>
      <c r="F4777" s="32">
        <v>46171.0</v>
      </c>
      <c r="G4777" s="33"/>
    </row>
    <row r="4778" ht="15.75" customHeight="1">
      <c r="A4778" s="26" t="s">
        <v>8442</v>
      </c>
      <c r="B4778" s="27" t="s">
        <v>515</v>
      </c>
      <c r="C4778" s="27" t="s">
        <v>1153</v>
      </c>
      <c r="D4778" s="26" t="s">
        <v>3663</v>
      </c>
      <c r="E4778" s="28">
        <v>46113.0</v>
      </c>
      <c r="F4778" s="28">
        <v>46171.0</v>
      </c>
      <c r="G4778" s="29"/>
    </row>
    <row r="4779" ht="15.75" customHeight="1">
      <c r="A4779" s="30" t="s">
        <v>8443</v>
      </c>
      <c r="B4779" s="31" t="s">
        <v>515</v>
      </c>
      <c r="C4779" s="31" t="s">
        <v>1149</v>
      </c>
      <c r="D4779" s="30" t="s">
        <v>3663</v>
      </c>
      <c r="E4779" s="32">
        <v>46113.0</v>
      </c>
      <c r="F4779" s="32">
        <v>46171.0</v>
      </c>
      <c r="G4779" s="33"/>
    </row>
    <row r="4780" ht="15.75" customHeight="1">
      <c r="A4780" s="26" t="s">
        <v>8444</v>
      </c>
      <c r="B4780" s="27" t="s">
        <v>515</v>
      </c>
      <c r="C4780" s="27" t="s">
        <v>1351</v>
      </c>
      <c r="D4780" s="26" t="s">
        <v>3663</v>
      </c>
      <c r="E4780" s="28">
        <v>46113.0</v>
      </c>
      <c r="F4780" s="28">
        <v>46171.0</v>
      </c>
      <c r="G4780" s="29"/>
    </row>
    <row r="4781" ht="15.75" customHeight="1">
      <c r="A4781" s="30" t="s">
        <v>8445</v>
      </c>
      <c r="B4781" s="31" t="s">
        <v>515</v>
      </c>
      <c r="C4781" s="31" t="s">
        <v>1349</v>
      </c>
      <c r="D4781" s="30" t="s">
        <v>3663</v>
      </c>
      <c r="E4781" s="32">
        <v>46113.0</v>
      </c>
      <c r="F4781" s="32">
        <v>46171.0</v>
      </c>
      <c r="G4781" s="33"/>
    </row>
    <row r="4782" ht="15.75" customHeight="1">
      <c r="A4782" s="26" t="s">
        <v>8446</v>
      </c>
      <c r="B4782" s="27" t="s">
        <v>515</v>
      </c>
      <c r="C4782" s="27" t="s">
        <v>3653</v>
      </c>
      <c r="D4782" s="27" t="s">
        <v>3663</v>
      </c>
      <c r="E4782" s="28">
        <v>46113.0</v>
      </c>
      <c r="F4782" s="28">
        <v>46171.0</v>
      </c>
      <c r="G4782" s="29"/>
    </row>
    <row r="4783" ht="15.75" customHeight="1">
      <c r="A4783" s="30" t="s">
        <v>8447</v>
      </c>
      <c r="B4783" s="31" t="s">
        <v>515</v>
      </c>
      <c r="C4783" s="31" t="s">
        <v>3652</v>
      </c>
      <c r="D4783" s="30" t="s">
        <v>3663</v>
      </c>
      <c r="E4783" s="32">
        <v>46113.0</v>
      </c>
      <c r="F4783" s="32">
        <v>46171.0</v>
      </c>
      <c r="G4783" s="33"/>
    </row>
    <row r="4784" ht="15.75" customHeight="1">
      <c r="A4784" s="26" t="s">
        <v>8448</v>
      </c>
      <c r="B4784" s="27" t="s">
        <v>515</v>
      </c>
      <c r="C4784" s="27" t="s">
        <v>965</v>
      </c>
      <c r="D4784" s="26" t="s">
        <v>3663</v>
      </c>
      <c r="E4784" s="28">
        <v>46113.0</v>
      </c>
      <c r="F4784" s="28">
        <v>46171.0</v>
      </c>
      <c r="G4784" s="29"/>
    </row>
    <row r="4785" ht="15.75" customHeight="1">
      <c r="A4785" s="30" t="s">
        <v>8449</v>
      </c>
      <c r="B4785" s="31" t="s">
        <v>515</v>
      </c>
      <c r="C4785" s="31" t="s">
        <v>923</v>
      </c>
      <c r="D4785" s="30" t="s">
        <v>3663</v>
      </c>
      <c r="E4785" s="32">
        <v>46113.0</v>
      </c>
      <c r="F4785" s="32">
        <v>46171.0</v>
      </c>
      <c r="G4785" s="33"/>
    </row>
    <row r="4786" ht="15.75" customHeight="1">
      <c r="A4786" s="26" t="s">
        <v>8450</v>
      </c>
      <c r="B4786" s="27" t="s">
        <v>516</v>
      </c>
      <c r="C4786" s="27" t="s">
        <v>3654</v>
      </c>
      <c r="D4786" s="26" t="s">
        <v>3663</v>
      </c>
      <c r="E4786" s="28">
        <v>46113.0</v>
      </c>
      <c r="F4786" s="28">
        <v>46171.0</v>
      </c>
      <c r="G4786" s="29"/>
    </row>
    <row r="4787" ht="15.75" customHeight="1">
      <c r="A4787" s="30" t="s">
        <v>8451</v>
      </c>
      <c r="B4787" s="31" t="s">
        <v>516</v>
      </c>
      <c r="C4787" s="31" t="s">
        <v>3655</v>
      </c>
      <c r="D4787" s="30" t="s">
        <v>3663</v>
      </c>
      <c r="E4787" s="32">
        <v>46113.0</v>
      </c>
      <c r="F4787" s="32">
        <v>46171.0</v>
      </c>
      <c r="G4787" s="33"/>
    </row>
    <row r="4788" ht="15.75" customHeight="1">
      <c r="A4788" s="26" t="s">
        <v>8452</v>
      </c>
      <c r="B4788" s="27" t="s">
        <v>516</v>
      </c>
      <c r="C4788" s="27" t="s">
        <v>926</v>
      </c>
      <c r="D4788" s="27" t="s">
        <v>3663</v>
      </c>
      <c r="E4788" s="28">
        <v>46113.0</v>
      </c>
      <c r="F4788" s="28">
        <v>46171.0</v>
      </c>
      <c r="G4788" s="29"/>
    </row>
    <row r="4789" ht="15.75" customHeight="1">
      <c r="A4789" s="30" t="s">
        <v>8453</v>
      </c>
      <c r="B4789" s="31" t="s">
        <v>516</v>
      </c>
      <c r="C4789" s="31" t="s">
        <v>3640</v>
      </c>
      <c r="D4789" s="30" t="s">
        <v>3663</v>
      </c>
      <c r="E4789" s="32">
        <v>46113.0</v>
      </c>
      <c r="F4789" s="32">
        <v>46171.0</v>
      </c>
      <c r="G4789" s="33"/>
    </row>
    <row r="4790" ht="15.75" customHeight="1">
      <c r="A4790" s="26" t="s">
        <v>8454</v>
      </c>
      <c r="B4790" s="27" t="s">
        <v>516</v>
      </c>
      <c r="C4790" s="27" t="s">
        <v>1354</v>
      </c>
      <c r="D4790" s="26" t="s">
        <v>3663</v>
      </c>
      <c r="E4790" s="28">
        <v>46113.0</v>
      </c>
      <c r="F4790" s="28">
        <v>46171.0</v>
      </c>
      <c r="G4790" s="29"/>
    </row>
    <row r="4791" ht="15.75" customHeight="1">
      <c r="A4791" s="30" t="s">
        <v>8455</v>
      </c>
      <c r="B4791" s="31" t="s">
        <v>516</v>
      </c>
      <c r="C4791" s="31" t="s">
        <v>1159</v>
      </c>
      <c r="D4791" s="30" t="s">
        <v>3663</v>
      </c>
      <c r="E4791" s="32">
        <v>46113.0</v>
      </c>
      <c r="F4791" s="32">
        <v>46171.0</v>
      </c>
      <c r="G4791" s="33"/>
    </row>
    <row r="4792" ht="15.75" customHeight="1">
      <c r="A4792" s="26" t="s">
        <v>8456</v>
      </c>
      <c r="B4792" s="27" t="s">
        <v>516</v>
      </c>
      <c r="C4792" s="27" t="s">
        <v>3648</v>
      </c>
      <c r="D4792" s="27" t="s">
        <v>3663</v>
      </c>
      <c r="E4792" s="28">
        <v>46113.0</v>
      </c>
      <c r="F4792" s="28">
        <v>46171.0</v>
      </c>
      <c r="G4792" s="29"/>
    </row>
    <row r="4793" ht="15.75" customHeight="1">
      <c r="A4793" s="30" t="s">
        <v>8457</v>
      </c>
      <c r="B4793" s="31" t="s">
        <v>516</v>
      </c>
      <c r="C4793" s="31" t="s">
        <v>3649</v>
      </c>
      <c r="D4793" s="31" t="s">
        <v>3663</v>
      </c>
      <c r="E4793" s="32">
        <v>46113.0</v>
      </c>
      <c r="F4793" s="32">
        <v>46171.0</v>
      </c>
      <c r="G4793" s="33"/>
    </row>
    <row r="4794" ht="15.75" customHeight="1">
      <c r="A4794" s="26" t="s">
        <v>8458</v>
      </c>
      <c r="B4794" s="27" t="s">
        <v>516</v>
      </c>
      <c r="C4794" s="27" t="s">
        <v>3650</v>
      </c>
      <c r="D4794" s="27" t="s">
        <v>3663</v>
      </c>
      <c r="E4794" s="28">
        <v>46113.0</v>
      </c>
      <c r="F4794" s="28">
        <v>46171.0</v>
      </c>
      <c r="G4794" s="29"/>
    </row>
    <row r="4795" ht="15.75" customHeight="1">
      <c r="A4795" s="30" t="s">
        <v>8459</v>
      </c>
      <c r="B4795" s="31" t="s">
        <v>516</v>
      </c>
      <c r="C4795" s="31" t="s">
        <v>1283</v>
      </c>
      <c r="D4795" s="31" t="s">
        <v>3663</v>
      </c>
      <c r="E4795" s="32">
        <v>46113.0</v>
      </c>
      <c r="F4795" s="32">
        <v>46171.0</v>
      </c>
      <c r="G4795" s="33"/>
    </row>
    <row r="4796" ht="15.75" customHeight="1">
      <c r="A4796" s="26" t="s">
        <v>8460</v>
      </c>
      <c r="B4796" s="27" t="s">
        <v>516</v>
      </c>
      <c r="C4796" s="27" t="s">
        <v>1351</v>
      </c>
      <c r="D4796" s="26" t="s">
        <v>3663</v>
      </c>
      <c r="E4796" s="28">
        <v>46113.0</v>
      </c>
      <c r="F4796" s="28">
        <v>46171.0</v>
      </c>
      <c r="G4796" s="29"/>
    </row>
    <row r="4797" ht="15.75" customHeight="1">
      <c r="A4797" s="30" t="s">
        <v>8461</v>
      </c>
      <c r="B4797" s="31" t="s">
        <v>516</v>
      </c>
      <c r="C4797" s="31" t="s">
        <v>1349</v>
      </c>
      <c r="D4797" s="30" t="s">
        <v>3663</v>
      </c>
      <c r="E4797" s="32">
        <v>46113.0</v>
      </c>
      <c r="F4797" s="32">
        <v>46171.0</v>
      </c>
      <c r="G4797" s="33"/>
    </row>
    <row r="4798" ht="15.75" customHeight="1">
      <c r="A4798" s="26" t="s">
        <v>8462</v>
      </c>
      <c r="B4798" s="27" t="s">
        <v>516</v>
      </c>
      <c r="C4798" s="27" t="s">
        <v>968</v>
      </c>
      <c r="D4798" s="26" t="s">
        <v>3663</v>
      </c>
      <c r="E4798" s="28">
        <v>46113.0</v>
      </c>
      <c r="F4798" s="28">
        <v>46171.0</v>
      </c>
      <c r="G4798" s="29"/>
    </row>
    <row r="4799" ht="15.75" customHeight="1">
      <c r="A4799" s="30" t="s">
        <v>8463</v>
      </c>
      <c r="B4799" s="31" t="s">
        <v>516</v>
      </c>
      <c r="C4799" s="31" t="s">
        <v>923</v>
      </c>
      <c r="D4799" s="31" t="s">
        <v>3663</v>
      </c>
      <c r="E4799" s="32">
        <v>46113.0</v>
      </c>
      <c r="F4799" s="32">
        <v>46171.0</v>
      </c>
      <c r="G4799" s="33"/>
    </row>
    <row r="4800" ht="15.75" customHeight="1">
      <c r="A4800" s="26" t="s">
        <v>8464</v>
      </c>
      <c r="B4800" s="27" t="s">
        <v>517</v>
      </c>
      <c r="C4800" s="27" t="s">
        <v>928</v>
      </c>
      <c r="D4800" s="26" t="s">
        <v>3663</v>
      </c>
      <c r="E4800" s="28">
        <v>46113.0</v>
      </c>
      <c r="F4800" s="28">
        <v>46171.0</v>
      </c>
      <c r="G4800" s="29"/>
    </row>
    <row r="4801" ht="15.75" customHeight="1">
      <c r="A4801" s="30" t="s">
        <v>8465</v>
      </c>
      <c r="B4801" s="31" t="s">
        <v>517</v>
      </c>
      <c r="C4801" s="31" t="s">
        <v>1354</v>
      </c>
      <c r="D4801" s="30" t="s">
        <v>3663</v>
      </c>
      <c r="E4801" s="32">
        <v>46113.0</v>
      </c>
      <c r="F4801" s="32">
        <v>46171.0</v>
      </c>
      <c r="G4801" s="33"/>
    </row>
    <row r="4802" ht="15.75" customHeight="1">
      <c r="A4802" s="26" t="s">
        <v>8466</v>
      </c>
      <c r="B4802" s="27" t="s">
        <v>517</v>
      </c>
      <c r="C4802" s="27" t="s">
        <v>1222</v>
      </c>
      <c r="D4802" s="26" t="s">
        <v>3663</v>
      </c>
      <c r="E4802" s="28">
        <v>46113.0</v>
      </c>
      <c r="F4802" s="28">
        <v>46171.0</v>
      </c>
      <c r="G4802" s="29"/>
    </row>
    <row r="4803" ht="15.75" customHeight="1">
      <c r="A4803" s="30" t="s">
        <v>8467</v>
      </c>
      <c r="B4803" s="31" t="s">
        <v>517</v>
      </c>
      <c r="C4803" s="31" t="s">
        <v>1224</v>
      </c>
      <c r="D4803" s="30" t="s">
        <v>3663</v>
      </c>
      <c r="E4803" s="32">
        <v>46113.0</v>
      </c>
      <c r="F4803" s="32">
        <v>46171.0</v>
      </c>
      <c r="G4803" s="33"/>
    </row>
    <row r="4804" ht="15.75" customHeight="1">
      <c r="A4804" s="26" t="s">
        <v>8468</v>
      </c>
      <c r="B4804" s="27" t="s">
        <v>517</v>
      </c>
      <c r="C4804" s="27" t="s">
        <v>1226</v>
      </c>
      <c r="D4804" s="26" t="s">
        <v>3663</v>
      </c>
      <c r="E4804" s="28">
        <v>46113.0</v>
      </c>
      <c r="F4804" s="28">
        <v>46171.0</v>
      </c>
      <c r="G4804" s="29"/>
    </row>
    <row r="4805" ht="15.75" customHeight="1">
      <c r="A4805" s="30" t="s">
        <v>8469</v>
      </c>
      <c r="B4805" s="31" t="s">
        <v>517</v>
      </c>
      <c r="C4805" s="31" t="s">
        <v>1228</v>
      </c>
      <c r="D4805" s="30" t="s">
        <v>3663</v>
      </c>
      <c r="E4805" s="32">
        <v>46113.0</v>
      </c>
      <c r="F4805" s="32">
        <v>46171.0</v>
      </c>
      <c r="G4805" s="33"/>
    </row>
    <row r="4806" ht="15.75" customHeight="1">
      <c r="A4806" s="26" t="s">
        <v>8470</v>
      </c>
      <c r="B4806" s="27" t="s">
        <v>517</v>
      </c>
      <c r="C4806" s="27" t="s">
        <v>1218</v>
      </c>
      <c r="D4806" s="26" t="s">
        <v>3663</v>
      </c>
      <c r="E4806" s="28">
        <v>46113.0</v>
      </c>
      <c r="F4806" s="28">
        <v>46171.0</v>
      </c>
      <c r="G4806" s="29"/>
    </row>
    <row r="4807" ht="15.75" customHeight="1">
      <c r="A4807" s="30" t="s">
        <v>8471</v>
      </c>
      <c r="B4807" s="31" t="s">
        <v>517</v>
      </c>
      <c r="C4807" s="31" t="s">
        <v>1271</v>
      </c>
      <c r="D4807" s="30" t="s">
        <v>3663</v>
      </c>
      <c r="E4807" s="32">
        <v>46113.0</v>
      </c>
      <c r="F4807" s="32">
        <v>46171.0</v>
      </c>
      <c r="G4807" s="33"/>
    </row>
    <row r="4808" ht="15.75" customHeight="1">
      <c r="A4808" s="26" t="s">
        <v>8472</v>
      </c>
      <c r="B4808" s="27" t="s">
        <v>517</v>
      </c>
      <c r="C4808" s="27" t="s">
        <v>1351</v>
      </c>
      <c r="D4808" s="26" t="s">
        <v>3663</v>
      </c>
      <c r="E4808" s="28">
        <v>46113.0</v>
      </c>
      <c r="F4808" s="28">
        <v>46171.0</v>
      </c>
      <c r="G4808" s="29"/>
    </row>
    <row r="4809" ht="15.75" customHeight="1">
      <c r="A4809" s="30" t="s">
        <v>8473</v>
      </c>
      <c r="B4809" s="31" t="s">
        <v>517</v>
      </c>
      <c r="C4809" s="31" t="s">
        <v>1349</v>
      </c>
      <c r="D4809" s="30" t="s">
        <v>3663</v>
      </c>
      <c r="E4809" s="32">
        <v>46113.0</v>
      </c>
      <c r="F4809" s="32">
        <v>46171.0</v>
      </c>
      <c r="G4809" s="33"/>
    </row>
    <row r="4810" ht="15.75" customHeight="1">
      <c r="A4810" s="26" t="s">
        <v>8474</v>
      </c>
      <c r="B4810" s="27" t="s">
        <v>517</v>
      </c>
      <c r="C4810" s="27" t="s">
        <v>3653</v>
      </c>
      <c r="D4810" s="27" t="s">
        <v>3663</v>
      </c>
      <c r="E4810" s="28">
        <v>46113.0</v>
      </c>
      <c r="F4810" s="28">
        <v>46171.0</v>
      </c>
      <c r="G4810" s="29"/>
    </row>
    <row r="4811" ht="15.75" customHeight="1">
      <c r="A4811" s="30" t="s">
        <v>8475</v>
      </c>
      <c r="B4811" s="31" t="s">
        <v>517</v>
      </c>
      <c r="C4811" s="31" t="s">
        <v>3652</v>
      </c>
      <c r="D4811" s="30" t="s">
        <v>3663</v>
      </c>
      <c r="E4811" s="32">
        <v>46113.0</v>
      </c>
      <c r="F4811" s="32">
        <v>46171.0</v>
      </c>
      <c r="G4811" s="33"/>
    </row>
    <row r="4812" ht="15.75" customHeight="1">
      <c r="A4812" s="26" t="s">
        <v>8476</v>
      </c>
      <c r="B4812" s="27" t="s">
        <v>517</v>
      </c>
      <c r="C4812" s="27" t="s">
        <v>968</v>
      </c>
      <c r="D4812" s="26" t="s">
        <v>3663</v>
      </c>
      <c r="E4812" s="28">
        <v>46113.0</v>
      </c>
      <c r="F4812" s="28">
        <v>46171.0</v>
      </c>
      <c r="G4812" s="29"/>
    </row>
    <row r="4813" ht="15.75" customHeight="1">
      <c r="A4813" s="30" t="s">
        <v>8477</v>
      </c>
      <c r="B4813" s="31" t="s">
        <v>517</v>
      </c>
      <c r="C4813" s="31" t="s">
        <v>923</v>
      </c>
      <c r="D4813" s="30" t="s">
        <v>3663</v>
      </c>
      <c r="E4813" s="32">
        <v>46113.0</v>
      </c>
      <c r="F4813" s="32">
        <v>46171.0</v>
      </c>
      <c r="G4813" s="33"/>
    </row>
    <row r="4814" ht="15.75" customHeight="1">
      <c r="A4814" s="26" t="s">
        <v>8478</v>
      </c>
      <c r="B4814" s="27" t="s">
        <v>518</v>
      </c>
      <c r="C4814" s="27" t="s">
        <v>3654</v>
      </c>
      <c r="D4814" s="26" t="s">
        <v>3663</v>
      </c>
      <c r="E4814" s="28">
        <v>46113.0</v>
      </c>
      <c r="F4814" s="28">
        <v>46171.0</v>
      </c>
      <c r="G4814" s="29"/>
    </row>
    <row r="4815" ht="15.75" customHeight="1">
      <c r="A4815" s="30" t="s">
        <v>8479</v>
      </c>
      <c r="B4815" s="31" t="s">
        <v>518</v>
      </c>
      <c r="C4815" s="31" t="s">
        <v>3655</v>
      </c>
      <c r="D4815" s="30" t="s">
        <v>3663</v>
      </c>
      <c r="E4815" s="32">
        <v>46113.0</v>
      </c>
      <c r="F4815" s="32">
        <v>46171.0</v>
      </c>
      <c r="G4815" s="33"/>
    </row>
    <row r="4816" ht="15.75" customHeight="1">
      <c r="A4816" s="26" t="s">
        <v>8480</v>
      </c>
      <c r="B4816" s="27" t="s">
        <v>518</v>
      </c>
      <c r="C4816" s="27" t="s">
        <v>930</v>
      </c>
      <c r="D4816" s="27" t="s">
        <v>3663</v>
      </c>
      <c r="E4816" s="28">
        <v>46113.0</v>
      </c>
      <c r="F4816" s="28">
        <v>46171.0</v>
      </c>
      <c r="G4816" s="29"/>
    </row>
    <row r="4817" ht="15.75" customHeight="1">
      <c r="A4817" s="30" t="s">
        <v>8481</v>
      </c>
      <c r="B4817" s="31" t="s">
        <v>518</v>
      </c>
      <c r="C4817" s="31" t="s">
        <v>1354</v>
      </c>
      <c r="D4817" s="30" t="s">
        <v>3663</v>
      </c>
      <c r="E4817" s="32">
        <v>46113.0</v>
      </c>
      <c r="F4817" s="32">
        <v>46171.0</v>
      </c>
      <c r="G4817" s="33"/>
    </row>
    <row r="4818" ht="15.75" customHeight="1">
      <c r="A4818" s="26" t="s">
        <v>8482</v>
      </c>
      <c r="B4818" s="27" t="s">
        <v>518</v>
      </c>
      <c r="C4818" s="27" t="s">
        <v>1304</v>
      </c>
      <c r="D4818" s="27" t="s">
        <v>3663</v>
      </c>
      <c r="E4818" s="28">
        <v>46113.0</v>
      </c>
      <c r="F4818" s="28">
        <v>46171.0</v>
      </c>
      <c r="G4818" s="29"/>
    </row>
    <row r="4819" ht="15.75" customHeight="1">
      <c r="A4819" s="30" t="s">
        <v>8483</v>
      </c>
      <c r="B4819" s="31" t="s">
        <v>518</v>
      </c>
      <c r="C4819" s="31" t="s">
        <v>1306</v>
      </c>
      <c r="D4819" s="31" t="s">
        <v>3663</v>
      </c>
      <c r="E4819" s="32">
        <v>46113.0</v>
      </c>
      <c r="F4819" s="32">
        <v>46171.0</v>
      </c>
      <c r="G4819" s="33"/>
    </row>
    <row r="4820" ht="15.75" customHeight="1">
      <c r="A4820" s="26" t="s">
        <v>8484</v>
      </c>
      <c r="B4820" s="27" t="s">
        <v>518</v>
      </c>
      <c r="C4820" s="27" t="s">
        <v>1308</v>
      </c>
      <c r="D4820" s="27" t="s">
        <v>3663</v>
      </c>
      <c r="E4820" s="28">
        <v>46113.0</v>
      </c>
      <c r="F4820" s="28">
        <v>46171.0</v>
      </c>
      <c r="G4820" s="29"/>
    </row>
    <row r="4821" ht="15.75" customHeight="1">
      <c r="A4821" s="30" t="s">
        <v>8485</v>
      </c>
      <c r="B4821" s="31" t="s">
        <v>518</v>
      </c>
      <c r="C4821" s="31" t="s">
        <v>1310</v>
      </c>
      <c r="D4821" s="31" t="s">
        <v>3663</v>
      </c>
      <c r="E4821" s="32">
        <v>46113.0</v>
      </c>
      <c r="F4821" s="32">
        <v>46171.0</v>
      </c>
      <c r="G4821" s="33"/>
    </row>
    <row r="4822" ht="15.75" customHeight="1">
      <c r="A4822" s="26" t="s">
        <v>8486</v>
      </c>
      <c r="B4822" s="27" t="s">
        <v>518</v>
      </c>
      <c r="C4822" s="27" t="s">
        <v>1172</v>
      </c>
      <c r="D4822" s="26" t="s">
        <v>3663</v>
      </c>
      <c r="E4822" s="28">
        <v>46113.0</v>
      </c>
      <c r="F4822" s="28">
        <v>46171.0</v>
      </c>
      <c r="G4822" s="29"/>
    </row>
    <row r="4823" ht="15.75" customHeight="1">
      <c r="A4823" s="30" t="s">
        <v>8487</v>
      </c>
      <c r="B4823" s="31" t="s">
        <v>518</v>
      </c>
      <c r="C4823" s="31" t="s">
        <v>1312</v>
      </c>
      <c r="D4823" s="30" t="s">
        <v>3663</v>
      </c>
      <c r="E4823" s="32">
        <v>46113.0</v>
      </c>
      <c r="F4823" s="32">
        <v>46171.0</v>
      </c>
      <c r="G4823" s="33"/>
    </row>
    <row r="4824" ht="15.75" customHeight="1">
      <c r="A4824" s="26" t="s">
        <v>8488</v>
      </c>
      <c r="B4824" s="27" t="s">
        <v>518</v>
      </c>
      <c r="C4824" s="27" t="s">
        <v>1351</v>
      </c>
      <c r="D4824" s="26" t="s">
        <v>3663</v>
      </c>
      <c r="E4824" s="28">
        <v>46113.0</v>
      </c>
      <c r="F4824" s="28">
        <v>46171.0</v>
      </c>
      <c r="G4824" s="29"/>
    </row>
    <row r="4825" ht="15.75" customHeight="1">
      <c r="A4825" s="30" t="s">
        <v>8489</v>
      </c>
      <c r="B4825" s="31" t="s">
        <v>518</v>
      </c>
      <c r="C4825" s="31" t="s">
        <v>1349</v>
      </c>
      <c r="D4825" s="30" t="s">
        <v>3663</v>
      </c>
      <c r="E4825" s="32">
        <v>46113.0</v>
      </c>
      <c r="F4825" s="32">
        <v>46171.0</v>
      </c>
      <c r="G4825" s="33"/>
    </row>
    <row r="4826" ht="15.75" customHeight="1">
      <c r="A4826" s="26" t="s">
        <v>8490</v>
      </c>
      <c r="B4826" s="27" t="s">
        <v>518</v>
      </c>
      <c r="C4826" s="27" t="s">
        <v>965</v>
      </c>
      <c r="D4826" s="26" t="s">
        <v>3663</v>
      </c>
      <c r="E4826" s="28">
        <v>46113.0</v>
      </c>
      <c r="F4826" s="28">
        <v>46171.0</v>
      </c>
      <c r="G4826" s="29"/>
    </row>
    <row r="4827" ht="15.75" customHeight="1">
      <c r="A4827" s="30" t="s">
        <v>8491</v>
      </c>
      <c r="B4827" s="31" t="s">
        <v>518</v>
      </c>
      <c r="C4827" s="31" t="s">
        <v>923</v>
      </c>
      <c r="D4827" s="31" t="s">
        <v>3663</v>
      </c>
      <c r="E4827" s="32">
        <v>46113.0</v>
      </c>
      <c r="F4827" s="32">
        <v>46171.0</v>
      </c>
      <c r="G4827" s="33"/>
    </row>
    <row r="4828" ht="15.75" customHeight="1">
      <c r="A4828" s="26" t="s">
        <v>8492</v>
      </c>
      <c r="B4828" s="27" t="s">
        <v>520</v>
      </c>
      <c r="C4828" s="27" t="s">
        <v>930</v>
      </c>
      <c r="D4828" s="26" t="s">
        <v>3663</v>
      </c>
      <c r="E4828" s="28">
        <v>46113.0</v>
      </c>
      <c r="F4828" s="28">
        <v>46171.0</v>
      </c>
      <c r="G4828" s="29"/>
    </row>
    <row r="4829" ht="15.75" customHeight="1">
      <c r="A4829" s="30" t="s">
        <v>8493</v>
      </c>
      <c r="B4829" s="31" t="s">
        <v>520</v>
      </c>
      <c r="C4829" s="31" t="s">
        <v>1354</v>
      </c>
      <c r="D4829" s="30" t="s">
        <v>3663</v>
      </c>
      <c r="E4829" s="32">
        <v>46113.0</v>
      </c>
      <c r="F4829" s="32">
        <v>46171.0</v>
      </c>
      <c r="G4829" s="33"/>
    </row>
    <row r="4830" ht="15.75" customHeight="1">
      <c r="A4830" s="26" t="s">
        <v>8494</v>
      </c>
      <c r="B4830" s="27" t="s">
        <v>520</v>
      </c>
      <c r="C4830" s="27" t="s">
        <v>3641</v>
      </c>
      <c r="D4830" s="26" t="s">
        <v>3663</v>
      </c>
      <c r="E4830" s="28">
        <v>46113.0</v>
      </c>
      <c r="F4830" s="28">
        <v>46171.0</v>
      </c>
      <c r="G4830" s="29"/>
    </row>
    <row r="4831" ht="15.75" customHeight="1">
      <c r="A4831" s="30" t="s">
        <v>8495</v>
      </c>
      <c r="B4831" s="31" t="s">
        <v>520</v>
      </c>
      <c r="C4831" s="31" t="s">
        <v>1304</v>
      </c>
      <c r="D4831" s="30" t="s">
        <v>3663</v>
      </c>
      <c r="E4831" s="32">
        <v>46113.0</v>
      </c>
      <c r="F4831" s="32">
        <v>46171.0</v>
      </c>
      <c r="G4831" s="33"/>
    </row>
    <row r="4832" ht="15.75" customHeight="1">
      <c r="A4832" s="26" t="s">
        <v>8496</v>
      </c>
      <c r="B4832" s="27" t="s">
        <v>520</v>
      </c>
      <c r="C4832" s="27" t="s">
        <v>3642</v>
      </c>
      <c r="D4832" s="26" t="s">
        <v>3663</v>
      </c>
      <c r="E4832" s="28">
        <v>46113.0</v>
      </c>
      <c r="F4832" s="28">
        <v>46171.0</v>
      </c>
      <c r="G4832" s="29"/>
    </row>
    <row r="4833" ht="15.75" customHeight="1">
      <c r="A4833" s="30" t="s">
        <v>8497</v>
      </c>
      <c r="B4833" s="31" t="s">
        <v>520</v>
      </c>
      <c r="C4833" s="31" t="s">
        <v>1308</v>
      </c>
      <c r="D4833" s="30" t="s">
        <v>3663</v>
      </c>
      <c r="E4833" s="32">
        <v>46113.0</v>
      </c>
      <c r="F4833" s="32">
        <v>46171.0</v>
      </c>
      <c r="G4833" s="33"/>
    </row>
    <row r="4834" ht="15.75" customHeight="1">
      <c r="A4834" s="26" t="s">
        <v>8498</v>
      </c>
      <c r="B4834" s="27" t="s">
        <v>520</v>
      </c>
      <c r="C4834" s="27" t="s">
        <v>1312</v>
      </c>
      <c r="D4834" s="26" t="s">
        <v>3663</v>
      </c>
      <c r="E4834" s="28">
        <v>46113.0</v>
      </c>
      <c r="F4834" s="28">
        <v>46171.0</v>
      </c>
      <c r="G4834" s="29"/>
    </row>
    <row r="4835" ht="15.75" customHeight="1">
      <c r="A4835" s="30" t="s">
        <v>8499</v>
      </c>
      <c r="B4835" s="31" t="s">
        <v>520</v>
      </c>
      <c r="C4835" s="31" t="s">
        <v>3681</v>
      </c>
      <c r="D4835" s="30" t="s">
        <v>3663</v>
      </c>
      <c r="E4835" s="32">
        <v>46113.0</v>
      </c>
      <c r="F4835" s="32">
        <v>46171.0</v>
      </c>
      <c r="G4835" s="33"/>
    </row>
    <row r="4836" ht="15.75" customHeight="1">
      <c r="A4836" s="26" t="s">
        <v>8500</v>
      </c>
      <c r="B4836" s="27" t="s">
        <v>520</v>
      </c>
      <c r="C4836" s="27" t="s">
        <v>3683</v>
      </c>
      <c r="D4836" s="26" t="s">
        <v>3663</v>
      </c>
      <c r="E4836" s="28">
        <v>46113.0</v>
      </c>
      <c r="F4836" s="28">
        <v>46171.0</v>
      </c>
      <c r="G4836" s="29"/>
    </row>
    <row r="4837" ht="15.75" customHeight="1">
      <c r="A4837" s="30" t="s">
        <v>8501</v>
      </c>
      <c r="B4837" s="31" t="s">
        <v>520</v>
      </c>
      <c r="C4837" s="31" t="s">
        <v>1216</v>
      </c>
      <c r="D4837" s="30" t="s">
        <v>3663</v>
      </c>
      <c r="E4837" s="32">
        <v>46113.0</v>
      </c>
      <c r="F4837" s="32">
        <v>46171.0</v>
      </c>
      <c r="G4837" s="33"/>
    </row>
    <row r="4838" ht="15.75" customHeight="1">
      <c r="A4838" s="26" t="s">
        <v>8502</v>
      </c>
      <c r="B4838" s="27" t="s">
        <v>520</v>
      </c>
      <c r="C4838" s="27" t="s">
        <v>1351</v>
      </c>
      <c r="D4838" s="26" t="s">
        <v>3663</v>
      </c>
      <c r="E4838" s="28">
        <v>46113.0</v>
      </c>
      <c r="F4838" s="28">
        <v>46171.0</v>
      </c>
      <c r="G4838" s="29"/>
    </row>
    <row r="4839" ht="15.75" customHeight="1">
      <c r="A4839" s="30" t="s">
        <v>8503</v>
      </c>
      <c r="B4839" s="31" t="s">
        <v>520</v>
      </c>
      <c r="C4839" s="31" t="s">
        <v>1349</v>
      </c>
      <c r="D4839" s="30" t="s">
        <v>3663</v>
      </c>
      <c r="E4839" s="32">
        <v>46113.0</v>
      </c>
      <c r="F4839" s="32">
        <v>46171.0</v>
      </c>
      <c r="G4839" s="33"/>
    </row>
    <row r="4840" ht="15.75" customHeight="1">
      <c r="A4840" s="26" t="s">
        <v>8504</v>
      </c>
      <c r="B4840" s="27" t="s">
        <v>520</v>
      </c>
      <c r="C4840" s="27" t="s">
        <v>965</v>
      </c>
      <c r="D4840" s="26" t="s">
        <v>3663</v>
      </c>
      <c r="E4840" s="28">
        <v>46113.0</v>
      </c>
      <c r="F4840" s="28">
        <v>46171.0</v>
      </c>
      <c r="G4840" s="29"/>
    </row>
    <row r="4841" ht="15.75" customHeight="1">
      <c r="A4841" s="30" t="s">
        <v>8505</v>
      </c>
      <c r="B4841" s="31" t="s">
        <v>520</v>
      </c>
      <c r="C4841" s="31" t="s">
        <v>923</v>
      </c>
      <c r="D4841" s="30" t="s">
        <v>3663</v>
      </c>
      <c r="E4841" s="32">
        <v>46113.0</v>
      </c>
      <c r="F4841" s="32">
        <v>46171.0</v>
      </c>
      <c r="G4841" s="33"/>
    </row>
    <row r="4842" ht="15.75" customHeight="1">
      <c r="A4842" s="26" t="s">
        <v>8506</v>
      </c>
      <c r="B4842" s="27" t="s">
        <v>521</v>
      </c>
      <c r="C4842" s="27" t="s">
        <v>932</v>
      </c>
      <c r="D4842" s="26" t="s">
        <v>3663</v>
      </c>
      <c r="E4842" s="28">
        <v>46113.0</v>
      </c>
      <c r="F4842" s="28">
        <v>46171.0</v>
      </c>
      <c r="G4842" s="29"/>
    </row>
    <row r="4843" ht="15.75" customHeight="1">
      <c r="A4843" s="30" t="s">
        <v>8507</v>
      </c>
      <c r="B4843" s="31" t="s">
        <v>521</v>
      </c>
      <c r="C4843" s="31" t="s">
        <v>1168</v>
      </c>
      <c r="D4843" s="30" t="s">
        <v>3663</v>
      </c>
      <c r="E4843" s="32">
        <v>46113.0</v>
      </c>
      <c r="F4843" s="32">
        <v>46171.0</v>
      </c>
      <c r="G4843" s="33"/>
    </row>
    <row r="4844" ht="15.75" customHeight="1">
      <c r="A4844" s="26" t="s">
        <v>8508</v>
      </c>
      <c r="B4844" s="27" t="s">
        <v>521</v>
      </c>
      <c r="C4844" s="27" t="s">
        <v>1170</v>
      </c>
      <c r="D4844" s="26" t="s">
        <v>3663</v>
      </c>
      <c r="E4844" s="28">
        <v>46113.0</v>
      </c>
      <c r="F4844" s="28">
        <v>46171.0</v>
      </c>
      <c r="G4844" s="29"/>
    </row>
    <row r="4845" ht="15.75" customHeight="1">
      <c r="A4845" s="30" t="s">
        <v>8509</v>
      </c>
      <c r="B4845" s="31" t="s">
        <v>521</v>
      </c>
      <c r="C4845" s="31" t="s">
        <v>1288</v>
      </c>
      <c r="D4845" s="30" t="s">
        <v>3663</v>
      </c>
      <c r="E4845" s="32">
        <v>46113.0</v>
      </c>
      <c r="F4845" s="32">
        <v>46171.0</v>
      </c>
      <c r="G4845" s="33"/>
    </row>
    <row r="4846" ht="15.75" customHeight="1">
      <c r="A4846" s="26" t="s">
        <v>8510</v>
      </c>
      <c r="B4846" s="27" t="s">
        <v>521</v>
      </c>
      <c r="C4846" s="27" t="s">
        <v>1291</v>
      </c>
      <c r="D4846" s="26" t="s">
        <v>3663</v>
      </c>
      <c r="E4846" s="28">
        <v>46113.0</v>
      </c>
      <c r="F4846" s="28">
        <v>46171.0</v>
      </c>
      <c r="G4846" s="29"/>
    </row>
    <row r="4847" ht="15.75" customHeight="1">
      <c r="A4847" s="30" t="s">
        <v>8511</v>
      </c>
      <c r="B4847" s="31" t="s">
        <v>521</v>
      </c>
      <c r="C4847" s="31" t="s">
        <v>1354</v>
      </c>
      <c r="D4847" s="30" t="s">
        <v>3663</v>
      </c>
      <c r="E4847" s="32">
        <v>46113.0</v>
      </c>
      <c r="F4847" s="32">
        <v>46171.0</v>
      </c>
      <c r="G4847" s="33"/>
    </row>
    <row r="4848" ht="15.75" customHeight="1">
      <c r="A4848" s="26" t="s">
        <v>8512</v>
      </c>
      <c r="B4848" s="27" t="s">
        <v>521</v>
      </c>
      <c r="C4848" s="27" t="s">
        <v>3656</v>
      </c>
      <c r="D4848" s="26" t="s">
        <v>3663</v>
      </c>
      <c r="E4848" s="28">
        <v>46113.0</v>
      </c>
      <c r="F4848" s="28">
        <v>46171.0</v>
      </c>
      <c r="G4848" s="29"/>
    </row>
    <row r="4849" ht="15.75" customHeight="1">
      <c r="A4849" s="30" t="s">
        <v>8513</v>
      </c>
      <c r="B4849" s="31" t="s">
        <v>521</v>
      </c>
      <c r="C4849" s="31" t="s">
        <v>3657</v>
      </c>
      <c r="D4849" s="30" t="s">
        <v>3663</v>
      </c>
      <c r="E4849" s="32">
        <v>46113.0</v>
      </c>
      <c r="F4849" s="32">
        <v>46171.0</v>
      </c>
      <c r="G4849" s="33"/>
    </row>
    <row r="4850" ht="15.75" customHeight="1">
      <c r="A4850" s="26" t="s">
        <v>8514</v>
      </c>
      <c r="B4850" s="27" t="s">
        <v>521</v>
      </c>
      <c r="C4850" s="27" t="s">
        <v>3647</v>
      </c>
      <c r="D4850" s="26" t="s">
        <v>3663</v>
      </c>
      <c r="E4850" s="28">
        <v>46113.0</v>
      </c>
      <c r="F4850" s="28">
        <v>46171.0</v>
      </c>
      <c r="G4850" s="29"/>
    </row>
    <row r="4851" ht="15.75" customHeight="1">
      <c r="A4851" s="30" t="s">
        <v>8515</v>
      </c>
      <c r="B4851" s="31" t="s">
        <v>521</v>
      </c>
      <c r="C4851" s="31" t="s">
        <v>952</v>
      </c>
      <c r="D4851" s="30" t="s">
        <v>3663</v>
      </c>
      <c r="E4851" s="32">
        <v>46113.0</v>
      </c>
      <c r="F4851" s="32">
        <v>46171.0</v>
      </c>
      <c r="G4851" s="33"/>
    </row>
    <row r="4852" ht="15.75" customHeight="1">
      <c r="A4852" s="26" t="s">
        <v>8516</v>
      </c>
      <c r="B4852" s="27" t="s">
        <v>521</v>
      </c>
      <c r="C4852" s="27" t="s">
        <v>1218</v>
      </c>
      <c r="D4852" s="26" t="s">
        <v>3663</v>
      </c>
      <c r="E4852" s="28">
        <v>46113.0</v>
      </c>
      <c r="F4852" s="28">
        <v>46171.0</v>
      </c>
      <c r="G4852" s="29"/>
    </row>
    <row r="4853" ht="15.75" customHeight="1">
      <c r="A4853" s="30" t="s">
        <v>8517</v>
      </c>
      <c r="B4853" s="31" t="s">
        <v>521</v>
      </c>
      <c r="C4853" s="31" t="s">
        <v>968</v>
      </c>
      <c r="D4853" s="30" t="s">
        <v>3663</v>
      </c>
      <c r="E4853" s="32">
        <v>46113.0</v>
      </c>
      <c r="F4853" s="32">
        <v>46171.0</v>
      </c>
      <c r="G4853" s="33"/>
    </row>
    <row r="4854" ht="15.75" customHeight="1">
      <c r="A4854" s="26" t="s">
        <v>8518</v>
      </c>
      <c r="B4854" s="27" t="s">
        <v>521</v>
      </c>
      <c r="C4854" s="27" t="s">
        <v>923</v>
      </c>
      <c r="D4854" s="26" t="s">
        <v>3663</v>
      </c>
      <c r="E4854" s="28">
        <v>46113.0</v>
      </c>
      <c r="F4854" s="28">
        <v>46171.0</v>
      </c>
      <c r="G4854" s="29"/>
    </row>
    <row r="4855" ht="15.75" customHeight="1">
      <c r="A4855" s="30" t="s">
        <v>8519</v>
      </c>
      <c r="B4855" s="31" t="s">
        <v>521</v>
      </c>
      <c r="C4855" s="31" t="s">
        <v>955</v>
      </c>
      <c r="D4855" s="30" t="s">
        <v>3663</v>
      </c>
      <c r="E4855" s="32">
        <v>46113.0</v>
      </c>
      <c r="F4855" s="32">
        <v>46171.0</v>
      </c>
      <c r="G4855" s="33"/>
    </row>
    <row r="4856" ht="15.75" customHeight="1">
      <c r="A4856" s="26" t="s">
        <v>8520</v>
      </c>
      <c r="B4856" s="27" t="s">
        <v>522</v>
      </c>
      <c r="C4856" s="27" t="s">
        <v>3654</v>
      </c>
      <c r="D4856" s="26" t="s">
        <v>3663</v>
      </c>
      <c r="E4856" s="28">
        <v>46113.0</v>
      </c>
      <c r="F4856" s="28">
        <v>46171.0</v>
      </c>
      <c r="G4856" s="29"/>
    </row>
    <row r="4857" ht="15.75" customHeight="1">
      <c r="A4857" s="30" t="s">
        <v>8521</v>
      </c>
      <c r="B4857" s="31" t="s">
        <v>522</v>
      </c>
      <c r="C4857" s="31" t="s">
        <v>3655</v>
      </c>
      <c r="D4857" s="30" t="s">
        <v>3663</v>
      </c>
      <c r="E4857" s="32">
        <v>46113.0</v>
      </c>
      <c r="F4857" s="32">
        <v>46171.0</v>
      </c>
      <c r="G4857" s="33"/>
    </row>
    <row r="4858" ht="15.75" customHeight="1">
      <c r="A4858" s="26" t="s">
        <v>8522</v>
      </c>
      <c r="B4858" s="27" t="s">
        <v>522</v>
      </c>
      <c r="C4858" s="27" t="s">
        <v>930</v>
      </c>
      <c r="D4858" s="26" t="s">
        <v>3663</v>
      </c>
      <c r="E4858" s="28">
        <v>46113.0</v>
      </c>
      <c r="F4858" s="28">
        <v>46171.0</v>
      </c>
      <c r="G4858" s="29"/>
    </row>
    <row r="4859" ht="15.75" customHeight="1">
      <c r="A4859" s="30" t="s">
        <v>8523</v>
      </c>
      <c r="B4859" s="31" t="s">
        <v>522</v>
      </c>
      <c r="C4859" s="31" t="s">
        <v>1354</v>
      </c>
      <c r="D4859" s="30" t="s">
        <v>3663</v>
      </c>
      <c r="E4859" s="32">
        <v>46113.0</v>
      </c>
      <c r="F4859" s="32">
        <v>46171.0</v>
      </c>
      <c r="G4859" s="33"/>
    </row>
    <row r="4860" ht="15.75" customHeight="1">
      <c r="A4860" s="26" t="s">
        <v>8524</v>
      </c>
      <c r="B4860" s="27" t="s">
        <v>522</v>
      </c>
      <c r="C4860" s="27" t="s">
        <v>3641</v>
      </c>
      <c r="D4860" s="26" t="s">
        <v>3663</v>
      </c>
      <c r="E4860" s="28">
        <v>46113.0</v>
      </c>
      <c r="F4860" s="28">
        <v>46171.0</v>
      </c>
      <c r="G4860" s="29"/>
    </row>
    <row r="4861" ht="15.75" customHeight="1">
      <c r="A4861" s="30" t="s">
        <v>8525</v>
      </c>
      <c r="B4861" s="31" t="s">
        <v>522</v>
      </c>
      <c r="C4861" s="31" t="s">
        <v>1304</v>
      </c>
      <c r="D4861" s="30" t="s">
        <v>3663</v>
      </c>
      <c r="E4861" s="32">
        <v>46113.0</v>
      </c>
      <c r="F4861" s="32">
        <v>46171.0</v>
      </c>
      <c r="G4861" s="33"/>
    </row>
    <row r="4862" ht="15.75" customHeight="1">
      <c r="A4862" s="26" t="s">
        <v>8526</v>
      </c>
      <c r="B4862" s="27" t="s">
        <v>522</v>
      </c>
      <c r="C4862" s="27" t="s">
        <v>3642</v>
      </c>
      <c r="D4862" s="26" t="s">
        <v>3663</v>
      </c>
      <c r="E4862" s="28">
        <v>46113.0</v>
      </c>
      <c r="F4862" s="28">
        <v>46171.0</v>
      </c>
      <c r="G4862" s="29"/>
    </row>
    <row r="4863" ht="15.75" customHeight="1">
      <c r="A4863" s="30" t="s">
        <v>8527</v>
      </c>
      <c r="B4863" s="31" t="s">
        <v>522</v>
      </c>
      <c r="C4863" s="31" t="s">
        <v>1308</v>
      </c>
      <c r="D4863" s="30" t="s">
        <v>3663</v>
      </c>
      <c r="E4863" s="32">
        <v>46113.0</v>
      </c>
      <c r="F4863" s="32">
        <v>46171.0</v>
      </c>
      <c r="G4863" s="33"/>
    </row>
    <row r="4864" ht="15.75" customHeight="1">
      <c r="A4864" s="26" t="s">
        <v>8528</v>
      </c>
      <c r="B4864" s="27" t="s">
        <v>522</v>
      </c>
      <c r="C4864" s="27" t="s">
        <v>1216</v>
      </c>
      <c r="D4864" s="26" t="s">
        <v>3663</v>
      </c>
      <c r="E4864" s="28">
        <v>46113.0</v>
      </c>
      <c r="F4864" s="28">
        <v>46171.0</v>
      </c>
      <c r="G4864" s="29"/>
    </row>
    <row r="4865" ht="15.75" customHeight="1">
      <c r="A4865" s="30" t="s">
        <v>8529</v>
      </c>
      <c r="B4865" s="31" t="s">
        <v>522</v>
      </c>
      <c r="C4865" s="31" t="s">
        <v>1351</v>
      </c>
      <c r="D4865" s="30" t="s">
        <v>3663</v>
      </c>
      <c r="E4865" s="32">
        <v>46113.0</v>
      </c>
      <c r="F4865" s="32">
        <v>46171.0</v>
      </c>
      <c r="G4865" s="33"/>
    </row>
    <row r="4866" ht="15.75" customHeight="1">
      <c r="A4866" s="26" t="s">
        <v>8530</v>
      </c>
      <c r="B4866" s="27" t="s">
        <v>522</v>
      </c>
      <c r="C4866" s="27" t="s">
        <v>1349</v>
      </c>
      <c r="D4866" s="26" t="s">
        <v>3663</v>
      </c>
      <c r="E4866" s="28">
        <v>46113.0</v>
      </c>
      <c r="F4866" s="28">
        <v>46171.0</v>
      </c>
      <c r="G4866" s="29"/>
    </row>
    <row r="4867" ht="15.75" customHeight="1">
      <c r="A4867" s="30" t="s">
        <v>8531</v>
      </c>
      <c r="B4867" s="31" t="s">
        <v>522</v>
      </c>
      <c r="C4867" s="31" t="s">
        <v>965</v>
      </c>
      <c r="D4867" s="30" t="s">
        <v>3663</v>
      </c>
      <c r="E4867" s="32">
        <v>46113.0</v>
      </c>
      <c r="F4867" s="32">
        <v>46171.0</v>
      </c>
      <c r="G4867" s="33"/>
    </row>
    <row r="4868" ht="15.75" customHeight="1">
      <c r="A4868" s="26" t="s">
        <v>8532</v>
      </c>
      <c r="B4868" s="27" t="s">
        <v>522</v>
      </c>
      <c r="C4868" s="27" t="s">
        <v>923</v>
      </c>
      <c r="D4868" s="26" t="s">
        <v>3663</v>
      </c>
      <c r="E4868" s="28">
        <v>46113.0</v>
      </c>
      <c r="F4868" s="28">
        <v>46171.0</v>
      </c>
      <c r="G4868" s="29"/>
    </row>
    <row r="4869" ht="15.75" customHeight="1">
      <c r="A4869" s="30" t="s">
        <v>8533</v>
      </c>
      <c r="B4869" s="31" t="s">
        <v>522</v>
      </c>
      <c r="C4869" s="31" t="s">
        <v>961</v>
      </c>
      <c r="D4869" s="30" t="s">
        <v>3663</v>
      </c>
      <c r="E4869" s="32">
        <v>46113.0</v>
      </c>
      <c r="F4869" s="32">
        <v>46171.0</v>
      </c>
      <c r="G4869" s="33"/>
    </row>
    <row r="4870" ht="15.75" customHeight="1">
      <c r="A4870" s="26" t="s">
        <v>8534</v>
      </c>
      <c r="B4870" s="27" t="s">
        <v>523</v>
      </c>
      <c r="C4870" s="27" t="s">
        <v>928</v>
      </c>
      <c r="D4870" s="26" t="s">
        <v>3663</v>
      </c>
      <c r="E4870" s="28">
        <v>46113.0</v>
      </c>
      <c r="F4870" s="28">
        <v>46171.0</v>
      </c>
      <c r="G4870" s="29"/>
    </row>
    <row r="4871" ht="15.75" customHeight="1">
      <c r="A4871" s="30" t="s">
        <v>8535</v>
      </c>
      <c r="B4871" s="31" t="s">
        <v>523</v>
      </c>
      <c r="C4871" s="31" t="s">
        <v>1354</v>
      </c>
      <c r="D4871" s="30" t="s">
        <v>3663</v>
      </c>
      <c r="E4871" s="32">
        <v>46113.0</v>
      </c>
      <c r="F4871" s="32">
        <v>46171.0</v>
      </c>
      <c r="G4871" s="33"/>
    </row>
    <row r="4872" ht="15.75" customHeight="1">
      <c r="A4872" s="26" t="s">
        <v>8536</v>
      </c>
      <c r="B4872" s="27" t="s">
        <v>523</v>
      </c>
      <c r="C4872" s="27" t="s">
        <v>1222</v>
      </c>
      <c r="D4872" s="26" t="s">
        <v>3663</v>
      </c>
      <c r="E4872" s="28">
        <v>46113.0</v>
      </c>
      <c r="F4872" s="28">
        <v>46171.0</v>
      </c>
      <c r="G4872" s="29"/>
    </row>
    <row r="4873" ht="15.75" customHeight="1">
      <c r="A4873" s="30" t="s">
        <v>8537</v>
      </c>
      <c r="B4873" s="31" t="s">
        <v>523</v>
      </c>
      <c r="C4873" s="31" t="s">
        <v>1224</v>
      </c>
      <c r="D4873" s="30" t="s">
        <v>3663</v>
      </c>
      <c r="E4873" s="32">
        <v>46113.0</v>
      </c>
      <c r="F4873" s="32">
        <v>46171.0</v>
      </c>
      <c r="G4873" s="33"/>
    </row>
    <row r="4874" ht="15.75" customHeight="1">
      <c r="A4874" s="26" t="s">
        <v>8538</v>
      </c>
      <c r="B4874" s="27" t="s">
        <v>523</v>
      </c>
      <c r="C4874" s="27" t="s">
        <v>1226</v>
      </c>
      <c r="D4874" s="26" t="s">
        <v>3663</v>
      </c>
      <c r="E4874" s="28">
        <v>46113.0</v>
      </c>
      <c r="F4874" s="28">
        <v>46171.0</v>
      </c>
      <c r="G4874" s="29"/>
    </row>
    <row r="4875" ht="15.75" customHeight="1">
      <c r="A4875" s="30" t="s">
        <v>8539</v>
      </c>
      <c r="B4875" s="31" t="s">
        <v>523</v>
      </c>
      <c r="C4875" s="31" t="s">
        <v>1228</v>
      </c>
      <c r="D4875" s="30" t="s">
        <v>3663</v>
      </c>
      <c r="E4875" s="32">
        <v>46113.0</v>
      </c>
      <c r="F4875" s="32">
        <v>46171.0</v>
      </c>
      <c r="G4875" s="33"/>
    </row>
    <row r="4876" ht="15.75" customHeight="1">
      <c r="A4876" s="26" t="s">
        <v>8540</v>
      </c>
      <c r="B4876" s="27" t="s">
        <v>523</v>
      </c>
      <c r="C4876" s="27" t="s">
        <v>1172</v>
      </c>
      <c r="D4876" s="26" t="s">
        <v>3663</v>
      </c>
      <c r="E4876" s="28">
        <v>46113.0</v>
      </c>
      <c r="F4876" s="28">
        <v>46171.0</v>
      </c>
      <c r="G4876" s="29"/>
    </row>
    <row r="4877" ht="15.75" customHeight="1">
      <c r="A4877" s="30" t="s">
        <v>8541</v>
      </c>
      <c r="B4877" s="31" t="s">
        <v>523</v>
      </c>
      <c r="C4877" s="31" t="s">
        <v>3647</v>
      </c>
      <c r="D4877" s="30" t="s">
        <v>3663</v>
      </c>
      <c r="E4877" s="32">
        <v>46113.0</v>
      </c>
      <c r="F4877" s="32">
        <v>46171.0</v>
      </c>
      <c r="G4877" s="33"/>
    </row>
    <row r="4878" ht="15.75" customHeight="1">
      <c r="A4878" s="26" t="s">
        <v>8542</v>
      </c>
      <c r="B4878" s="27" t="s">
        <v>523</v>
      </c>
      <c r="C4878" s="27" t="s">
        <v>952</v>
      </c>
      <c r="D4878" s="26" t="s">
        <v>3663</v>
      </c>
      <c r="E4878" s="28">
        <v>46113.0</v>
      </c>
      <c r="F4878" s="28">
        <v>46171.0</v>
      </c>
      <c r="G4878" s="29"/>
    </row>
    <row r="4879" ht="15.75" customHeight="1">
      <c r="A4879" s="30" t="s">
        <v>8543</v>
      </c>
      <c r="B4879" s="31" t="s">
        <v>523</v>
      </c>
      <c r="C4879" s="31" t="s">
        <v>1216</v>
      </c>
      <c r="D4879" s="30" t="s">
        <v>3663</v>
      </c>
      <c r="E4879" s="32">
        <v>46113.0</v>
      </c>
      <c r="F4879" s="32">
        <v>46171.0</v>
      </c>
      <c r="G4879" s="33"/>
    </row>
    <row r="4880" ht="15.75" customHeight="1">
      <c r="A4880" s="26" t="s">
        <v>8544</v>
      </c>
      <c r="B4880" s="27" t="s">
        <v>523</v>
      </c>
      <c r="C4880" s="27" t="s">
        <v>3653</v>
      </c>
      <c r="D4880" s="26" t="s">
        <v>3663</v>
      </c>
      <c r="E4880" s="28">
        <v>46113.0</v>
      </c>
      <c r="F4880" s="28">
        <v>46171.0</v>
      </c>
      <c r="G4880" s="29"/>
    </row>
    <row r="4881" ht="15.75" customHeight="1">
      <c r="A4881" s="30" t="s">
        <v>8545</v>
      </c>
      <c r="B4881" s="31" t="s">
        <v>523</v>
      </c>
      <c r="C4881" s="31" t="s">
        <v>3652</v>
      </c>
      <c r="D4881" s="31" t="s">
        <v>3663</v>
      </c>
      <c r="E4881" s="32">
        <v>46113.0</v>
      </c>
      <c r="F4881" s="32">
        <v>46171.0</v>
      </c>
      <c r="G4881" s="33"/>
    </row>
    <row r="4882" ht="15.75" customHeight="1">
      <c r="A4882" s="26" t="s">
        <v>8546</v>
      </c>
      <c r="B4882" s="27" t="s">
        <v>523</v>
      </c>
      <c r="C4882" s="27" t="s">
        <v>968</v>
      </c>
      <c r="D4882" s="26" t="s">
        <v>3663</v>
      </c>
      <c r="E4882" s="28">
        <v>46113.0</v>
      </c>
      <c r="F4882" s="28">
        <v>46171.0</v>
      </c>
      <c r="G4882" s="29"/>
    </row>
    <row r="4883" ht="15.75" customHeight="1">
      <c r="A4883" s="30" t="s">
        <v>8547</v>
      </c>
      <c r="B4883" s="31" t="s">
        <v>523</v>
      </c>
      <c r="C4883" s="31" t="s">
        <v>923</v>
      </c>
      <c r="D4883" s="30" t="s">
        <v>3663</v>
      </c>
      <c r="E4883" s="32">
        <v>46113.0</v>
      </c>
      <c r="F4883" s="32">
        <v>46171.0</v>
      </c>
      <c r="G4883" s="33"/>
    </row>
    <row r="4884" ht="15.75" customHeight="1">
      <c r="A4884" s="26" t="s">
        <v>8548</v>
      </c>
      <c r="B4884" s="27" t="s">
        <v>524</v>
      </c>
      <c r="C4884" s="27" t="s">
        <v>1240</v>
      </c>
      <c r="D4884" s="27" t="s">
        <v>3663</v>
      </c>
      <c r="E4884" s="28">
        <v>46113.0</v>
      </c>
      <c r="F4884" s="28">
        <v>46171.0</v>
      </c>
      <c r="G4884" s="29"/>
    </row>
    <row r="4885" ht="15.75" customHeight="1">
      <c r="A4885" s="30" t="s">
        <v>8549</v>
      </c>
      <c r="B4885" s="31" t="s">
        <v>524</v>
      </c>
      <c r="C4885" s="31" t="s">
        <v>1242</v>
      </c>
      <c r="D4885" s="31" t="s">
        <v>3663</v>
      </c>
      <c r="E4885" s="32">
        <v>46113.0</v>
      </c>
      <c r="F4885" s="32">
        <v>46171.0</v>
      </c>
      <c r="G4885" s="33"/>
    </row>
    <row r="4886" ht="15.75" customHeight="1">
      <c r="A4886" s="26" t="s">
        <v>8550</v>
      </c>
      <c r="B4886" s="27" t="s">
        <v>524</v>
      </c>
      <c r="C4886" s="27" t="s">
        <v>1244</v>
      </c>
      <c r="D4886" s="27" t="s">
        <v>3663</v>
      </c>
      <c r="E4886" s="28">
        <v>46113.0</v>
      </c>
      <c r="F4886" s="28">
        <v>46171.0</v>
      </c>
      <c r="G4886" s="29"/>
    </row>
    <row r="4887" ht="15.75" customHeight="1">
      <c r="A4887" s="30" t="s">
        <v>8551</v>
      </c>
      <c r="B4887" s="31" t="s">
        <v>524</v>
      </c>
      <c r="C4887" s="31" t="s">
        <v>1246</v>
      </c>
      <c r="D4887" s="31" t="s">
        <v>3663</v>
      </c>
      <c r="E4887" s="32">
        <v>46113.0</v>
      </c>
      <c r="F4887" s="32">
        <v>46171.0</v>
      </c>
      <c r="G4887" s="33"/>
    </row>
    <row r="4888" ht="15.75" customHeight="1">
      <c r="A4888" s="26" t="s">
        <v>8552</v>
      </c>
      <c r="B4888" s="27" t="s">
        <v>524</v>
      </c>
      <c r="C4888" s="27" t="s">
        <v>3654</v>
      </c>
      <c r="D4888" s="26" t="s">
        <v>3663</v>
      </c>
      <c r="E4888" s="28">
        <v>46113.0</v>
      </c>
      <c r="F4888" s="28">
        <v>46171.0</v>
      </c>
      <c r="G4888" s="29"/>
    </row>
    <row r="4889" ht="15.75" customHeight="1">
      <c r="A4889" s="30" t="s">
        <v>8553</v>
      </c>
      <c r="B4889" s="31" t="s">
        <v>524</v>
      </c>
      <c r="C4889" s="31" t="s">
        <v>3655</v>
      </c>
      <c r="D4889" s="30" t="s">
        <v>3663</v>
      </c>
      <c r="E4889" s="32">
        <v>46113.0</v>
      </c>
      <c r="F4889" s="32">
        <v>46171.0</v>
      </c>
      <c r="G4889" s="33"/>
    </row>
    <row r="4890" ht="15.75" customHeight="1">
      <c r="A4890" s="26" t="s">
        <v>8554</v>
      </c>
      <c r="B4890" s="27" t="s">
        <v>524</v>
      </c>
      <c r="C4890" s="27" t="s">
        <v>934</v>
      </c>
      <c r="D4890" s="27" t="s">
        <v>3663</v>
      </c>
      <c r="E4890" s="28">
        <v>46113.0</v>
      </c>
      <c r="F4890" s="28">
        <v>46171.0</v>
      </c>
      <c r="G4890" s="29"/>
    </row>
    <row r="4891" ht="15.75" customHeight="1">
      <c r="A4891" s="30" t="s">
        <v>8555</v>
      </c>
      <c r="B4891" s="31" t="s">
        <v>524</v>
      </c>
      <c r="C4891" s="31" t="s">
        <v>3640</v>
      </c>
      <c r="D4891" s="30" t="s">
        <v>3663</v>
      </c>
      <c r="E4891" s="32">
        <v>46113.0</v>
      </c>
      <c r="F4891" s="32">
        <v>46171.0</v>
      </c>
      <c r="G4891" s="33"/>
    </row>
    <row r="4892" ht="15.75" customHeight="1">
      <c r="A4892" s="26" t="s">
        <v>8556</v>
      </c>
      <c r="B4892" s="27" t="s">
        <v>524</v>
      </c>
      <c r="C4892" s="27" t="s">
        <v>1354</v>
      </c>
      <c r="D4892" s="26" t="s">
        <v>3663</v>
      </c>
      <c r="E4892" s="28">
        <v>46113.0</v>
      </c>
      <c r="F4892" s="28">
        <v>46171.0</v>
      </c>
      <c r="G4892" s="29"/>
    </row>
    <row r="4893" ht="15.75" customHeight="1">
      <c r="A4893" s="30" t="s">
        <v>8557</v>
      </c>
      <c r="B4893" s="31" t="s">
        <v>524</v>
      </c>
      <c r="C4893" s="31" t="s">
        <v>1218</v>
      </c>
      <c r="D4893" s="30" t="s">
        <v>3663</v>
      </c>
      <c r="E4893" s="32">
        <v>46113.0</v>
      </c>
      <c r="F4893" s="32">
        <v>46171.0</v>
      </c>
      <c r="G4893" s="33"/>
    </row>
    <row r="4894" ht="15.75" customHeight="1">
      <c r="A4894" s="26" t="s">
        <v>8558</v>
      </c>
      <c r="B4894" s="27" t="s">
        <v>524</v>
      </c>
      <c r="C4894" s="27" t="s">
        <v>1351</v>
      </c>
      <c r="D4894" s="26" t="s">
        <v>3663</v>
      </c>
      <c r="E4894" s="28">
        <v>46113.0</v>
      </c>
      <c r="F4894" s="28">
        <v>46171.0</v>
      </c>
      <c r="G4894" s="29"/>
    </row>
    <row r="4895" ht="15.75" customHeight="1">
      <c r="A4895" s="30" t="s">
        <v>8559</v>
      </c>
      <c r="B4895" s="31" t="s">
        <v>524</v>
      </c>
      <c r="C4895" s="31" t="s">
        <v>1349</v>
      </c>
      <c r="D4895" s="30" t="s">
        <v>3663</v>
      </c>
      <c r="E4895" s="32">
        <v>46113.0</v>
      </c>
      <c r="F4895" s="32">
        <v>46171.0</v>
      </c>
      <c r="G4895" s="33"/>
    </row>
    <row r="4896" ht="15.75" customHeight="1">
      <c r="A4896" s="26" t="s">
        <v>8560</v>
      </c>
      <c r="B4896" s="27" t="s">
        <v>524</v>
      </c>
      <c r="C4896" s="27" t="s">
        <v>968</v>
      </c>
      <c r="D4896" s="26" t="s">
        <v>3663</v>
      </c>
      <c r="E4896" s="28">
        <v>46113.0</v>
      </c>
      <c r="F4896" s="28">
        <v>46171.0</v>
      </c>
      <c r="G4896" s="29"/>
    </row>
    <row r="4897" ht="15.75" customHeight="1">
      <c r="A4897" s="30" t="s">
        <v>8561</v>
      </c>
      <c r="B4897" s="31" t="s">
        <v>524</v>
      </c>
      <c r="C4897" s="31" t="s">
        <v>923</v>
      </c>
      <c r="D4897" s="31" t="s">
        <v>3663</v>
      </c>
      <c r="E4897" s="32">
        <v>46113.0</v>
      </c>
      <c r="F4897" s="32">
        <v>46171.0</v>
      </c>
      <c r="G4897" s="33"/>
    </row>
    <row r="4898" ht="15.75" customHeight="1">
      <c r="A4898" s="26" t="s">
        <v>8562</v>
      </c>
      <c r="B4898" s="27" t="s">
        <v>525</v>
      </c>
      <c r="C4898" s="27" t="s">
        <v>932</v>
      </c>
      <c r="D4898" s="26" t="s">
        <v>3663</v>
      </c>
      <c r="E4898" s="28">
        <v>46113.0</v>
      </c>
      <c r="F4898" s="28">
        <v>46171.0</v>
      </c>
      <c r="G4898" s="29"/>
    </row>
    <row r="4899" ht="15.75" customHeight="1">
      <c r="A4899" s="30" t="s">
        <v>8563</v>
      </c>
      <c r="B4899" s="31" t="s">
        <v>525</v>
      </c>
      <c r="C4899" s="31" t="s">
        <v>1168</v>
      </c>
      <c r="D4899" s="30" t="s">
        <v>3663</v>
      </c>
      <c r="E4899" s="32">
        <v>46113.0</v>
      </c>
      <c r="F4899" s="32">
        <v>46171.0</v>
      </c>
      <c r="G4899" s="33"/>
    </row>
    <row r="4900" ht="15.75" customHeight="1">
      <c r="A4900" s="26" t="s">
        <v>8564</v>
      </c>
      <c r="B4900" s="27" t="s">
        <v>525</v>
      </c>
      <c r="C4900" s="27" t="s">
        <v>1170</v>
      </c>
      <c r="D4900" s="26" t="s">
        <v>3663</v>
      </c>
      <c r="E4900" s="28">
        <v>46113.0</v>
      </c>
      <c r="F4900" s="28">
        <v>46171.0</v>
      </c>
      <c r="G4900" s="29"/>
    </row>
    <row r="4901" ht="15.75" customHeight="1">
      <c r="A4901" s="30" t="s">
        <v>8565</v>
      </c>
      <c r="B4901" s="31" t="s">
        <v>525</v>
      </c>
      <c r="C4901" s="31" t="s">
        <v>1288</v>
      </c>
      <c r="D4901" s="30" t="s">
        <v>3663</v>
      </c>
      <c r="E4901" s="32">
        <v>46113.0</v>
      </c>
      <c r="F4901" s="32">
        <v>46171.0</v>
      </c>
      <c r="G4901" s="33"/>
    </row>
    <row r="4902" ht="15.75" customHeight="1">
      <c r="A4902" s="26" t="s">
        <v>8566</v>
      </c>
      <c r="B4902" s="27" t="s">
        <v>525</v>
      </c>
      <c r="C4902" s="27" t="s">
        <v>1291</v>
      </c>
      <c r="D4902" s="26" t="s">
        <v>3663</v>
      </c>
      <c r="E4902" s="28">
        <v>46113.0</v>
      </c>
      <c r="F4902" s="28">
        <v>46171.0</v>
      </c>
      <c r="G4902" s="29"/>
    </row>
    <row r="4903" ht="15.75" customHeight="1">
      <c r="A4903" s="30" t="s">
        <v>8567</v>
      </c>
      <c r="B4903" s="31" t="s">
        <v>525</v>
      </c>
      <c r="C4903" s="31" t="s">
        <v>1354</v>
      </c>
      <c r="D4903" s="30" t="s">
        <v>3663</v>
      </c>
      <c r="E4903" s="32">
        <v>46113.0</v>
      </c>
      <c r="F4903" s="32">
        <v>46171.0</v>
      </c>
      <c r="G4903" s="33"/>
    </row>
    <row r="4904" ht="15.75" customHeight="1">
      <c r="A4904" s="26" t="s">
        <v>8568</v>
      </c>
      <c r="B4904" s="27" t="s">
        <v>525</v>
      </c>
      <c r="C4904" s="27" t="s">
        <v>3656</v>
      </c>
      <c r="D4904" s="26" t="s">
        <v>3663</v>
      </c>
      <c r="E4904" s="28">
        <v>46113.0</v>
      </c>
      <c r="F4904" s="28">
        <v>46171.0</v>
      </c>
      <c r="G4904" s="29"/>
    </row>
    <row r="4905" ht="15.75" customHeight="1">
      <c r="A4905" s="30" t="s">
        <v>8569</v>
      </c>
      <c r="B4905" s="31" t="s">
        <v>525</v>
      </c>
      <c r="C4905" s="31" t="s">
        <v>3657</v>
      </c>
      <c r="D4905" s="30" t="s">
        <v>3663</v>
      </c>
      <c r="E4905" s="32">
        <v>46113.0</v>
      </c>
      <c r="F4905" s="32">
        <v>46171.0</v>
      </c>
      <c r="G4905" s="33"/>
    </row>
    <row r="4906" ht="15.75" customHeight="1">
      <c r="A4906" s="26" t="s">
        <v>8570</v>
      </c>
      <c r="B4906" s="27" t="s">
        <v>525</v>
      </c>
      <c r="C4906" s="27" t="s">
        <v>1216</v>
      </c>
      <c r="D4906" s="26" t="s">
        <v>3663</v>
      </c>
      <c r="E4906" s="28">
        <v>46113.0</v>
      </c>
      <c r="F4906" s="28">
        <v>46171.0</v>
      </c>
      <c r="G4906" s="29"/>
    </row>
    <row r="4907" ht="15.75" customHeight="1">
      <c r="A4907" s="30" t="s">
        <v>8571</v>
      </c>
      <c r="B4907" s="31" t="s">
        <v>525</v>
      </c>
      <c r="C4907" s="31" t="s">
        <v>1218</v>
      </c>
      <c r="D4907" s="30" t="s">
        <v>3663</v>
      </c>
      <c r="E4907" s="32">
        <v>46113.0</v>
      </c>
      <c r="F4907" s="32">
        <v>46171.0</v>
      </c>
      <c r="G4907" s="33"/>
    </row>
    <row r="4908" ht="15.75" customHeight="1">
      <c r="A4908" s="26" t="s">
        <v>8572</v>
      </c>
      <c r="B4908" s="27" t="s">
        <v>525</v>
      </c>
      <c r="C4908" s="27" t="s">
        <v>1351</v>
      </c>
      <c r="D4908" s="26" t="s">
        <v>3663</v>
      </c>
      <c r="E4908" s="28">
        <v>46113.0</v>
      </c>
      <c r="F4908" s="28">
        <v>46171.0</v>
      </c>
      <c r="G4908" s="29"/>
    </row>
    <row r="4909" ht="15.75" customHeight="1">
      <c r="A4909" s="30" t="s">
        <v>8573</v>
      </c>
      <c r="B4909" s="31" t="s">
        <v>525</v>
      </c>
      <c r="C4909" s="31" t="s">
        <v>1349</v>
      </c>
      <c r="D4909" s="30" t="s">
        <v>3663</v>
      </c>
      <c r="E4909" s="32">
        <v>46113.0</v>
      </c>
      <c r="F4909" s="32">
        <v>46171.0</v>
      </c>
      <c r="G4909" s="33"/>
    </row>
    <row r="4910" ht="15.75" customHeight="1">
      <c r="A4910" s="26" t="s">
        <v>8574</v>
      </c>
      <c r="B4910" s="27" t="s">
        <v>525</v>
      </c>
      <c r="C4910" s="27" t="s">
        <v>968</v>
      </c>
      <c r="D4910" s="26" t="s">
        <v>3663</v>
      </c>
      <c r="E4910" s="28">
        <v>46113.0</v>
      </c>
      <c r="F4910" s="28">
        <v>46171.0</v>
      </c>
      <c r="G4910" s="29"/>
    </row>
    <row r="4911" ht="15.75" customHeight="1">
      <c r="A4911" s="30" t="s">
        <v>8575</v>
      </c>
      <c r="B4911" s="31" t="s">
        <v>525</v>
      </c>
      <c r="C4911" s="31" t="s">
        <v>923</v>
      </c>
      <c r="D4911" s="30" t="s">
        <v>3663</v>
      </c>
      <c r="E4911" s="32">
        <v>46113.0</v>
      </c>
      <c r="F4911" s="32">
        <v>46171.0</v>
      </c>
      <c r="G4911" s="33"/>
    </row>
    <row r="4912" ht="15.75" customHeight="1">
      <c r="A4912" s="26" t="s">
        <v>8576</v>
      </c>
      <c r="B4912" s="27" t="s">
        <v>526</v>
      </c>
      <c r="C4912" s="27" t="s">
        <v>1240</v>
      </c>
      <c r="D4912" s="26" t="s">
        <v>3663</v>
      </c>
      <c r="E4912" s="28">
        <v>46113.0</v>
      </c>
      <c r="F4912" s="28">
        <v>46171.0</v>
      </c>
      <c r="G4912" s="29"/>
    </row>
    <row r="4913" ht="15.75" customHeight="1">
      <c r="A4913" s="30" t="s">
        <v>8577</v>
      </c>
      <c r="B4913" s="31" t="s">
        <v>526</v>
      </c>
      <c r="C4913" s="31" t="s">
        <v>1242</v>
      </c>
      <c r="D4913" s="30" t="s">
        <v>3663</v>
      </c>
      <c r="E4913" s="32">
        <v>46113.0</v>
      </c>
      <c r="F4913" s="32">
        <v>46171.0</v>
      </c>
      <c r="G4913" s="33"/>
    </row>
    <row r="4914" ht="15.75" customHeight="1">
      <c r="A4914" s="26" t="s">
        <v>8578</v>
      </c>
      <c r="B4914" s="27" t="s">
        <v>526</v>
      </c>
      <c r="C4914" s="27" t="s">
        <v>1244</v>
      </c>
      <c r="D4914" s="26" t="s">
        <v>3663</v>
      </c>
      <c r="E4914" s="28">
        <v>46113.0</v>
      </c>
      <c r="F4914" s="28">
        <v>46171.0</v>
      </c>
      <c r="G4914" s="29"/>
    </row>
    <row r="4915" ht="15.75" customHeight="1">
      <c r="A4915" s="30" t="s">
        <v>8579</v>
      </c>
      <c r="B4915" s="31" t="s">
        <v>526</v>
      </c>
      <c r="C4915" s="31" t="s">
        <v>1246</v>
      </c>
      <c r="D4915" s="30" t="s">
        <v>3663</v>
      </c>
      <c r="E4915" s="32">
        <v>46113.0</v>
      </c>
      <c r="F4915" s="32">
        <v>46171.0</v>
      </c>
      <c r="G4915" s="33"/>
    </row>
    <row r="4916" ht="15.75" customHeight="1">
      <c r="A4916" s="26" t="s">
        <v>8580</v>
      </c>
      <c r="B4916" s="27" t="s">
        <v>526</v>
      </c>
      <c r="C4916" s="27" t="s">
        <v>3654</v>
      </c>
      <c r="D4916" s="26" t="s">
        <v>3663</v>
      </c>
      <c r="E4916" s="28">
        <v>46113.0</v>
      </c>
      <c r="F4916" s="28">
        <v>46171.0</v>
      </c>
      <c r="G4916" s="29"/>
    </row>
    <row r="4917" ht="15.75" customHeight="1">
      <c r="A4917" s="30" t="s">
        <v>8581</v>
      </c>
      <c r="B4917" s="31" t="s">
        <v>526</v>
      </c>
      <c r="C4917" s="31" t="s">
        <v>3655</v>
      </c>
      <c r="D4917" s="30" t="s">
        <v>3663</v>
      </c>
      <c r="E4917" s="32">
        <v>46113.0</v>
      </c>
      <c r="F4917" s="32">
        <v>46171.0</v>
      </c>
      <c r="G4917" s="33"/>
    </row>
    <row r="4918" ht="15.75" customHeight="1">
      <c r="A4918" s="26" t="s">
        <v>8582</v>
      </c>
      <c r="B4918" s="27" t="s">
        <v>526</v>
      </c>
      <c r="C4918" s="27" t="s">
        <v>934</v>
      </c>
      <c r="D4918" s="26" t="s">
        <v>3663</v>
      </c>
      <c r="E4918" s="28">
        <v>46113.0</v>
      </c>
      <c r="F4918" s="28">
        <v>46171.0</v>
      </c>
      <c r="G4918" s="29"/>
    </row>
    <row r="4919" ht="15.75" customHeight="1">
      <c r="A4919" s="30" t="s">
        <v>8583</v>
      </c>
      <c r="B4919" s="31" t="s">
        <v>526</v>
      </c>
      <c r="C4919" s="31" t="s">
        <v>1354</v>
      </c>
      <c r="D4919" s="30" t="s">
        <v>3663</v>
      </c>
      <c r="E4919" s="32">
        <v>46113.0</v>
      </c>
      <c r="F4919" s="32">
        <v>46171.0</v>
      </c>
      <c r="G4919" s="33"/>
    </row>
    <row r="4920" ht="15.75" customHeight="1">
      <c r="A4920" s="26" t="s">
        <v>8584</v>
      </c>
      <c r="B4920" s="27" t="s">
        <v>526</v>
      </c>
      <c r="C4920" s="27" t="s">
        <v>1312</v>
      </c>
      <c r="D4920" s="26" t="s">
        <v>3663</v>
      </c>
      <c r="E4920" s="28">
        <v>46113.0</v>
      </c>
      <c r="F4920" s="28">
        <v>46171.0</v>
      </c>
      <c r="G4920" s="29"/>
    </row>
    <row r="4921" ht="15.75" customHeight="1">
      <c r="A4921" s="30" t="s">
        <v>8585</v>
      </c>
      <c r="B4921" s="31" t="s">
        <v>526</v>
      </c>
      <c r="C4921" s="31" t="s">
        <v>1216</v>
      </c>
      <c r="D4921" s="30" t="s">
        <v>3663</v>
      </c>
      <c r="E4921" s="32">
        <v>46113.0</v>
      </c>
      <c r="F4921" s="32">
        <v>46171.0</v>
      </c>
      <c r="G4921" s="33"/>
    </row>
    <row r="4922" ht="15.75" customHeight="1">
      <c r="A4922" s="26" t="s">
        <v>8586</v>
      </c>
      <c r="B4922" s="27" t="s">
        <v>526</v>
      </c>
      <c r="C4922" s="27" t="s">
        <v>1351</v>
      </c>
      <c r="D4922" s="26" t="s">
        <v>3663</v>
      </c>
      <c r="E4922" s="28">
        <v>46113.0</v>
      </c>
      <c r="F4922" s="28">
        <v>46171.0</v>
      </c>
      <c r="G4922" s="29"/>
    </row>
    <row r="4923" ht="15.75" customHeight="1">
      <c r="A4923" s="30" t="s">
        <v>8587</v>
      </c>
      <c r="B4923" s="31" t="s">
        <v>526</v>
      </c>
      <c r="C4923" s="31" t="s">
        <v>1349</v>
      </c>
      <c r="D4923" s="30" t="s">
        <v>3663</v>
      </c>
      <c r="E4923" s="32">
        <v>46113.0</v>
      </c>
      <c r="F4923" s="32">
        <v>46171.0</v>
      </c>
      <c r="G4923" s="33"/>
    </row>
    <row r="4924" ht="15.75" customHeight="1">
      <c r="A4924" s="26" t="s">
        <v>8588</v>
      </c>
      <c r="B4924" s="27" t="s">
        <v>526</v>
      </c>
      <c r="C4924" s="27" t="s">
        <v>965</v>
      </c>
      <c r="D4924" s="26" t="s">
        <v>3663</v>
      </c>
      <c r="E4924" s="28">
        <v>46113.0</v>
      </c>
      <c r="F4924" s="28">
        <v>46171.0</v>
      </c>
      <c r="G4924" s="29"/>
    </row>
    <row r="4925" ht="15.75" customHeight="1">
      <c r="A4925" s="30" t="s">
        <v>8589</v>
      </c>
      <c r="B4925" s="31" t="s">
        <v>526</v>
      </c>
      <c r="C4925" s="31" t="s">
        <v>923</v>
      </c>
      <c r="D4925" s="30" t="s">
        <v>3663</v>
      </c>
      <c r="E4925" s="32">
        <v>46113.0</v>
      </c>
      <c r="F4925" s="32">
        <v>46171.0</v>
      </c>
      <c r="G4925" s="33"/>
    </row>
    <row r="4926" ht="15.75" customHeight="1">
      <c r="A4926" s="26" t="s">
        <v>8590</v>
      </c>
      <c r="B4926" s="27" t="s">
        <v>527</v>
      </c>
      <c r="C4926" s="27" t="s">
        <v>934</v>
      </c>
      <c r="D4926" s="26" t="s">
        <v>3663</v>
      </c>
      <c r="E4926" s="28">
        <v>46113.0</v>
      </c>
      <c r="F4926" s="28">
        <v>46171.0</v>
      </c>
      <c r="G4926" s="29"/>
    </row>
    <row r="4927" ht="15.75" customHeight="1">
      <c r="A4927" s="30" t="s">
        <v>8591</v>
      </c>
      <c r="B4927" s="31" t="s">
        <v>527</v>
      </c>
      <c r="C4927" s="31" t="s">
        <v>1354</v>
      </c>
      <c r="D4927" s="30" t="s">
        <v>3663</v>
      </c>
      <c r="E4927" s="32">
        <v>46113.0</v>
      </c>
      <c r="F4927" s="32">
        <v>46171.0</v>
      </c>
      <c r="G4927" s="33"/>
    </row>
    <row r="4928" ht="15.75" customHeight="1">
      <c r="A4928" s="26" t="s">
        <v>8592</v>
      </c>
      <c r="B4928" s="27" t="s">
        <v>527</v>
      </c>
      <c r="C4928" s="27" t="s">
        <v>1312</v>
      </c>
      <c r="D4928" s="26" t="s">
        <v>3663</v>
      </c>
      <c r="E4928" s="28">
        <v>46113.0</v>
      </c>
      <c r="F4928" s="28">
        <v>46171.0</v>
      </c>
      <c r="G4928" s="29"/>
    </row>
    <row r="4929" ht="15.75" customHeight="1">
      <c r="A4929" s="30" t="s">
        <v>8593</v>
      </c>
      <c r="B4929" s="31" t="s">
        <v>527</v>
      </c>
      <c r="C4929" s="31" t="s">
        <v>1208</v>
      </c>
      <c r="D4929" s="30" t="s">
        <v>3663</v>
      </c>
      <c r="E4929" s="32">
        <v>46113.0</v>
      </c>
      <c r="F4929" s="32">
        <v>46171.0</v>
      </c>
      <c r="G4929" s="33"/>
    </row>
    <row r="4930" ht="15.75" customHeight="1">
      <c r="A4930" s="26" t="s">
        <v>8594</v>
      </c>
      <c r="B4930" s="27" t="s">
        <v>527</v>
      </c>
      <c r="C4930" s="27" t="s">
        <v>1157</v>
      </c>
      <c r="D4930" s="26" t="s">
        <v>3663</v>
      </c>
      <c r="E4930" s="28">
        <v>46113.0</v>
      </c>
      <c r="F4930" s="28">
        <v>46171.0</v>
      </c>
      <c r="G4930" s="29"/>
    </row>
    <row r="4931" ht="15.75" customHeight="1">
      <c r="A4931" s="30" t="s">
        <v>8595</v>
      </c>
      <c r="B4931" s="31" t="s">
        <v>527</v>
      </c>
      <c r="C4931" s="31" t="s">
        <v>1155</v>
      </c>
      <c r="D4931" s="30" t="s">
        <v>3663</v>
      </c>
      <c r="E4931" s="32">
        <v>46113.0</v>
      </c>
      <c r="F4931" s="32">
        <v>46171.0</v>
      </c>
      <c r="G4931" s="33"/>
    </row>
    <row r="4932" ht="15.75" customHeight="1">
      <c r="A4932" s="26" t="s">
        <v>8596</v>
      </c>
      <c r="B4932" s="27" t="s">
        <v>527</v>
      </c>
      <c r="C4932" s="27" t="s">
        <v>1153</v>
      </c>
      <c r="D4932" s="26" t="s">
        <v>3663</v>
      </c>
      <c r="E4932" s="28">
        <v>46113.0</v>
      </c>
      <c r="F4932" s="28">
        <v>46171.0</v>
      </c>
      <c r="G4932" s="29"/>
    </row>
    <row r="4933" ht="15.75" customHeight="1">
      <c r="A4933" s="30" t="s">
        <v>8597</v>
      </c>
      <c r="B4933" s="31" t="s">
        <v>527</v>
      </c>
      <c r="C4933" s="31" t="s">
        <v>1149</v>
      </c>
      <c r="D4933" s="30" t="s">
        <v>3663</v>
      </c>
      <c r="E4933" s="32">
        <v>46113.0</v>
      </c>
      <c r="F4933" s="32">
        <v>46171.0</v>
      </c>
      <c r="G4933" s="33"/>
    </row>
    <row r="4934" ht="15.75" customHeight="1">
      <c r="A4934" s="26" t="s">
        <v>8598</v>
      </c>
      <c r="B4934" s="27" t="s">
        <v>527</v>
      </c>
      <c r="C4934" s="27" t="s">
        <v>1351</v>
      </c>
      <c r="D4934" s="26" t="s">
        <v>3663</v>
      </c>
      <c r="E4934" s="28">
        <v>46113.0</v>
      </c>
      <c r="F4934" s="28">
        <v>46171.0</v>
      </c>
      <c r="G4934" s="29"/>
    </row>
    <row r="4935" ht="15.75" customHeight="1">
      <c r="A4935" s="30" t="s">
        <v>8599</v>
      </c>
      <c r="B4935" s="31" t="s">
        <v>527</v>
      </c>
      <c r="C4935" s="31" t="s">
        <v>1349</v>
      </c>
      <c r="D4935" s="30" t="s">
        <v>3663</v>
      </c>
      <c r="E4935" s="32">
        <v>46113.0</v>
      </c>
      <c r="F4935" s="32">
        <v>46171.0</v>
      </c>
      <c r="G4935" s="33"/>
    </row>
    <row r="4936" ht="15.75" customHeight="1">
      <c r="A4936" s="26" t="s">
        <v>8600</v>
      </c>
      <c r="B4936" s="27" t="s">
        <v>527</v>
      </c>
      <c r="C4936" s="27" t="s">
        <v>3653</v>
      </c>
      <c r="D4936" s="27" t="s">
        <v>3663</v>
      </c>
      <c r="E4936" s="28">
        <v>46113.0</v>
      </c>
      <c r="F4936" s="28">
        <v>46171.0</v>
      </c>
      <c r="G4936" s="29"/>
    </row>
    <row r="4937" ht="15.75" customHeight="1">
      <c r="A4937" s="30" t="s">
        <v>8601</v>
      </c>
      <c r="B4937" s="31" t="s">
        <v>527</v>
      </c>
      <c r="C4937" s="31" t="s">
        <v>3652</v>
      </c>
      <c r="D4937" s="30" t="s">
        <v>3663</v>
      </c>
      <c r="E4937" s="32">
        <v>46113.0</v>
      </c>
      <c r="F4937" s="32">
        <v>46171.0</v>
      </c>
      <c r="G4937" s="33"/>
    </row>
    <row r="4938" ht="15.75" customHeight="1">
      <c r="A4938" s="26" t="s">
        <v>8602</v>
      </c>
      <c r="B4938" s="27" t="s">
        <v>527</v>
      </c>
      <c r="C4938" s="27" t="s">
        <v>965</v>
      </c>
      <c r="D4938" s="26" t="s">
        <v>3663</v>
      </c>
      <c r="E4938" s="28">
        <v>46113.0</v>
      </c>
      <c r="F4938" s="28">
        <v>46171.0</v>
      </c>
      <c r="G4938" s="29"/>
    </row>
    <row r="4939" ht="15.75" customHeight="1">
      <c r="A4939" s="30" t="s">
        <v>8603</v>
      </c>
      <c r="B4939" s="31" t="s">
        <v>527</v>
      </c>
      <c r="C4939" s="31" t="s">
        <v>923</v>
      </c>
      <c r="D4939" s="30" t="s">
        <v>3663</v>
      </c>
      <c r="E4939" s="32">
        <v>46113.0</v>
      </c>
      <c r="F4939" s="32">
        <v>46171.0</v>
      </c>
      <c r="G4939" s="33"/>
    </row>
    <row r="4940" ht="15.75" customHeight="1">
      <c r="A4940" s="26" t="s">
        <v>8604</v>
      </c>
      <c r="B4940" s="27" t="s">
        <v>528</v>
      </c>
      <c r="C4940" s="27" t="s">
        <v>1240</v>
      </c>
      <c r="D4940" s="26" t="s">
        <v>3663</v>
      </c>
      <c r="E4940" s="28">
        <v>46113.0</v>
      </c>
      <c r="F4940" s="28">
        <v>46171.0</v>
      </c>
      <c r="G4940" s="29"/>
    </row>
    <row r="4941" ht="15.75" customHeight="1">
      <c r="A4941" s="30" t="s">
        <v>8605</v>
      </c>
      <c r="B4941" s="31" t="s">
        <v>528</v>
      </c>
      <c r="C4941" s="31" t="s">
        <v>1242</v>
      </c>
      <c r="D4941" s="30" t="s">
        <v>3663</v>
      </c>
      <c r="E4941" s="32">
        <v>46113.0</v>
      </c>
      <c r="F4941" s="32">
        <v>46171.0</v>
      </c>
      <c r="G4941" s="33"/>
    </row>
    <row r="4942" ht="15.75" customHeight="1">
      <c r="A4942" s="26" t="s">
        <v>8606</v>
      </c>
      <c r="B4942" s="27" t="s">
        <v>528</v>
      </c>
      <c r="C4942" s="27" t="s">
        <v>1244</v>
      </c>
      <c r="D4942" s="26" t="s">
        <v>3663</v>
      </c>
      <c r="E4942" s="28">
        <v>46113.0</v>
      </c>
      <c r="F4942" s="28">
        <v>46171.0</v>
      </c>
      <c r="G4942" s="29"/>
    </row>
    <row r="4943" ht="15.75" customHeight="1">
      <c r="A4943" s="30" t="s">
        <v>8607</v>
      </c>
      <c r="B4943" s="31" t="s">
        <v>528</v>
      </c>
      <c r="C4943" s="31" t="s">
        <v>1246</v>
      </c>
      <c r="D4943" s="30" t="s">
        <v>3663</v>
      </c>
      <c r="E4943" s="32">
        <v>46113.0</v>
      </c>
      <c r="F4943" s="32">
        <v>46171.0</v>
      </c>
      <c r="G4943" s="33"/>
    </row>
    <row r="4944" ht="15.75" customHeight="1">
      <c r="A4944" s="26" t="s">
        <v>8608</v>
      </c>
      <c r="B4944" s="27" t="s">
        <v>528</v>
      </c>
      <c r="C4944" s="27" t="s">
        <v>3654</v>
      </c>
      <c r="D4944" s="26" t="s">
        <v>3663</v>
      </c>
      <c r="E4944" s="28">
        <v>46113.0</v>
      </c>
      <c r="F4944" s="28">
        <v>46171.0</v>
      </c>
      <c r="G4944" s="29"/>
    </row>
    <row r="4945" ht="15.75" customHeight="1">
      <c r="A4945" s="30" t="s">
        <v>8609</v>
      </c>
      <c r="B4945" s="31" t="s">
        <v>528</v>
      </c>
      <c r="C4945" s="31" t="s">
        <v>3655</v>
      </c>
      <c r="D4945" s="30" t="s">
        <v>3663</v>
      </c>
      <c r="E4945" s="32">
        <v>46113.0</v>
      </c>
      <c r="F4945" s="32">
        <v>46171.0</v>
      </c>
      <c r="G4945" s="33"/>
    </row>
    <row r="4946" ht="15.75" customHeight="1">
      <c r="A4946" s="26" t="s">
        <v>8610</v>
      </c>
      <c r="B4946" s="27" t="s">
        <v>528</v>
      </c>
      <c r="C4946" s="27" t="s">
        <v>934</v>
      </c>
      <c r="D4946" s="26" t="s">
        <v>3663</v>
      </c>
      <c r="E4946" s="28">
        <v>46113.0</v>
      </c>
      <c r="F4946" s="28">
        <v>46171.0</v>
      </c>
      <c r="G4946" s="29"/>
    </row>
    <row r="4947" ht="15.75" customHeight="1">
      <c r="A4947" s="30" t="s">
        <v>8611</v>
      </c>
      <c r="B4947" s="31" t="s">
        <v>528</v>
      </c>
      <c r="C4947" s="31" t="s">
        <v>1354</v>
      </c>
      <c r="D4947" s="30" t="s">
        <v>3663</v>
      </c>
      <c r="E4947" s="32">
        <v>46113.0</v>
      </c>
      <c r="F4947" s="32">
        <v>46171.0</v>
      </c>
      <c r="G4947" s="33"/>
    </row>
    <row r="4948" ht="15.75" customHeight="1">
      <c r="A4948" s="26" t="s">
        <v>8612</v>
      </c>
      <c r="B4948" s="27" t="s">
        <v>528</v>
      </c>
      <c r="C4948" s="27" t="s">
        <v>1216</v>
      </c>
      <c r="D4948" s="26" t="s">
        <v>3663</v>
      </c>
      <c r="E4948" s="28">
        <v>46113.0</v>
      </c>
      <c r="F4948" s="28">
        <v>46171.0</v>
      </c>
      <c r="G4948" s="29"/>
    </row>
    <row r="4949" ht="15.75" customHeight="1">
      <c r="A4949" s="30" t="s">
        <v>8613</v>
      </c>
      <c r="B4949" s="31" t="s">
        <v>528</v>
      </c>
      <c r="C4949" s="31" t="s">
        <v>1218</v>
      </c>
      <c r="D4949" s="30" t="s">
        <v>3663</v>
      </c>
      <c r="E4949" s="32">
        <v>46113.0</v>
      </c>
      <c r="F4949" s="32">
        <v>46171.0</v>
      </c>
      <c r="G4949" s="33"/>
    </row>
    <row r="4950" ht="15.75" customHeight="1">
      <c r="A4950" s="26" t="s">
        <v>8614</v>
      </c>
      <c r="B4950" s="27" t="s">
        <v>528</v>
      </c>
      <c r="C4950" s="27" t="s">
        <v>1351</v>
      </c>
      <c r="D4950" s="26" t="s">
        <v>3663</v>
      </c>
      <c r="E4950" s="28">
        <v>46113.0</v>
      </c>
      <c r="F4950" s="28">
        <v>46171.0</v>
      </c>
      <c r="G4950" s="29"/>
    </row>
    <row r="4951" ht="15.75" customHeight="1">
      <c r="A4951" s="30" t="s">
        <v>8615</v>
      </c>
      <c r="B4951" s="31" t="s">
        <v>528</v>
      </c>
      <c r="C4951" s="31" t="s">
        <v>1349</v>
      </c>
      <c r="D4951" s="30" t="s">
        <v>3663</v>
      </c>
      <c r="E4951" s="32">
        <v>46113.0</v>
      </c>
      <c r="F4951" s="32">
        <v>46171.0</v>
      </c>
      <c r="G4951" s="33"/>
    </row>
    <row r="4952" ht="15.75" customHeight="1">
      <c r="A4952" s="26" t="s">
        <v>8616</v>
      </c>
      <c r="B4952" s="27" t="s">
        <v>528</v>
      </c>
      <c r="C4952" s="27" t="s">
        <v>965</v>
      </c>
      <c r="D4952" s="26" t="s">
        <v>3663</v>
      </c>
      <c r="E4952" s="28">
        <v>46113.0</v>
      </c>
      <c r="F4952" s="28">
        <v>46171.0</v>
      </c>
      <c r="G4952" s="29"/>
    </row>
    <row r="4953" ht="15.75" customHeight="1">
      <c r="A4953" s="30" t="s">
        <v>8617</v>
      </c>
      <c r="B4953" s="31" t="s">
        <v>528</v>
      </c>
      <c r="C4953" s="31" t="s">
        <v>923</v>
      </c>
      <c r="D4953" s="30" t="s">
        <v>3663</v>
      </c>
      <c r="E4953" s="32">
        <v>46113.0</v>
      </c>
      <c r="F4953" s="32">
        <v>46171.0</v>
      </c>
      <c r="G4953" s="33"/>
    </row>
    <row r="4954" ht="15.75" customHeight="1">
      <c r="A4954" s="26" t="s">
        <v>8618</v>
      </c>
      <c r="B4954" s="27" t="s">
        <v>529</v>
      </c>
      <c r="C4954" s="27" t="s">
        <v>1240</v>
      </c>
      <c r="D4954" s="26" t="s">
        <v>3663</v>
      </c>
      <c r="E4954" s="28">
        <v>46113.0</v>
      </c>
      <c r="F4954" s="28">
        <v>46171.0</v>
      </c>
      <c r="G4954" s="29"/>
    </row>
    <row r="4955" ht="15.75" customHeight="1">
      <c r="A4955" s="30" t="s">
        <v>8619</v>
      </c>
      <c r="B4955" s="31" t="s">
        <v>529</v>
      </c>
      <c r="C4955" s="31" t="s">
        <v>1242</v>
      </c>
      <c r="D4955" s="30" t="s">
        <v>3663</v>
      </c>
      <c r="E4955" s="32">
        <v>46113.0</v>
      </c>
      <c r="F4955" s="32">
        <v>46171.0</v>
      </c>
      <c r="G4955" s="33"/>
    </row>
    <row r="4956" ht="15.75" customHeight="1">
      <c r="A4956" s="26" t="s">
        <v>8620</v>
      </c>
      <c r="B4956" s="27" t="s">
        <v>529</v>
      </c>
      <c r="C4956" s="27" t="s">
        <v>1244</v>
      </c>
      <c r="D4956" s="26" t="s">
        <v>3663</v>
      </c>
      <c r="E4956" s="28">
        <v>46113.0</v>
      </c>
      <c r="F4956" s="28">
        <v>46171.0</v>
      </c>
      <c r="G4956" s="29"/>
    </row>
    <row r="4957" ht="15.75" customHeight="1">
      <c r="A4957" s="30" t="s">
        <v>8621</v>
      </c>
      <c r="B4957" s="31" t="s">
        <v>529</v>
      </c>
      <c r="C4957" s="31" t="s">
        <v>1246</v>
      </c>
      <c r="D4957" s="30" t="s">
        <v>3663</v>
      </c>
      <c r="E4957" s="32">
        <v>46113.0</v>
      </c>
      <c r="F4957" s="32">
        <v>46171.0</v>
      </c>
      <c r="G4957" s="33"/>
    </row>
    <row r="4958" ht="15.75" customHeight="1">
      <c r="A4958" s="26" t="s">
        <v>8622</v>
      </c>
      <c r="B4958" s="27" t="s">
        <v>529</v>
      </c>
      <c r="C4958" s="27" t="s">
        <v>3654</v>
      </c>
      <c r="D4958" s="26" t="s">
        <v>3663</v>
      </c>
      <c r="E4958" s="28">
        <v>46113.0</v>
      </c>
      <c r="F4958" s="28">
        <v>46171.0</v>
      </c>
      <c r="G4958" s="29"/>
    </row>
    <row r="4959" ht="15.75" customHeight="1">
      <c r="A4959" s="30" t="s">
        <v>8623</v>
      </c>
      <c r="B4959" s="31" t="s">
        <v>529</v>
      </c>
      <c r="C4959" s="31" t="s">
        <v>3655</v>
      </c>
      <c r="D4959" s="30" t="s">
        <v>3663</v>
      </c>
      <c r="E4959" s="32">
        <v>46113.0</v>
      </c>
      <c r="F4959" s="32">
        <v>46171.0</v>
      </c>
      <c r="G4959" s="33"/>
    </row>
    <row r="4960" ht="15.75" customHeight="1">
      <c r="A4960" s="26" t="s">
        <v>8624</v>
      </c>
      <c r="B4960" s="27" t="s">
        <v>529</v>
      </c>
      <c r="C4960" s="27" t="s">
        <v>934</v>
      </c>
      <c r="D4960" s="26" t="s">
        <v>3663</v>
      </c>
      <c r="E4960" s="28">
        <v>46113.0</v>
      </c>
      <c r="F4960" s="28">
        <v>46171.0</v>
      </c>
      <c r="G4960" s="29"/>
    </row>
    <row r="4961" ht="15.75" customHeight="1">
      <c r="A4961" s="30" t="s">
        <v>8625</v>
      </c>
      <c r="B4961" s="31" t="s">
        <v>529</v>
      </c>
      <c r="C4961" s="31" t="s">
        <v>1354</v>
      </c>
      <c r="D4961" s="30" t="s">
        <v>3663</v>
      </c>
      <c r="E4961" s="32">
        <v>46113.0</v>
      </c>
      <c r="F4961" s="32">
        <v>46171.0</v>
      </c>
      <c r="G4961" s="33"/>
    </row>
    <row r="4962" ht="15.75" customHeight="1">
      <c r="A4962" s="26" t="s">
        <v>8626</v>
      </c>
      <c r="B4962" s="27" t="s">
        <v>529</v>
      </c>
      <c r="C4962" s="27" t="s">
        <v>1312</v>
      </c>
      <c r="D4962" s="26" t="s">
        <v>3663</v>
      </c>
      <c r="E4962" s="28">
        <v>46113.0</v>
      </c>
      <c r="F4962" s="28">
        <v>46171.0</v>
      </c>
      <c r="G4962" s="29"/>
    </row>
    <row r="4963" ht="15.75" customHeight="1">
      <c r="A4963" s="30" t="s">
        <v>8627</v>
      </c>
      <c r="B4963" s="31" t="s">
        <v>529</v>
      </c>
      <c r="C4963" s="31" t="s">
        <v>1218</v>
      </c>
      <c r="D4963" s="30" t="s">
        <v>3663</v>
      </c>
      <c r="E4963" s="32">
        <v>46113.0</v>
      </c>
      <c r="F4963" s="32">
        <v>46171.0</v>
      </c>
      <c r="G4963" s="33"/>
    </row>
    <row r="4964" ht="15.75" customHeight="1">
      <c r="A4964" s="26" t="s">
        <v>8628</v>
      </c>
      <c r="B4964" s="27" t="s">
        <v>529</v>
      </c>
      <c r="C4964" s="27" t="s">
        <v>1351</v>
      </c>
      <c r="D4964" s="26" t="s">
        <v>3663</v>
      </c>
      <c r="E4964" s="28">
        <v>46113.0</v>
      </c>
      <c r="F4964" s="28">
        <v>46171.0</v>
      </c>
      <c r="G4964" s="29"/>
    </row>
    <row r="4965" ht="15.75" customHeight="1">
      <c r="A4965" s="30" t="s">
        <v>8629</v>
      </c>
      <c r="B4965" s="31" t="s">
        <v>529</v>
      </c>
      <c r="C4965" s="31" t="s">
        <v>1349</v>
      </c>
      <c r="D4965" s="30" t="s">
        <v>3663</v>
      </c>
      <c r="E4965" s="32">
        <v>46113.0</v>
      </c>
      <c r="F4965" s="32">
        <v>46171.0</v>
      </c>
      <c r="G4965" s="33"/>
    </row>
    <row r="4966" ht="15.75" customHeight="1">
      <c r="A4966" s="26" t="s">
        <v>8630</v>
      </c>
      <c r="B4966" s="27" t="s">
        <v>529</v>
      </c>
      <c r="C4966" s="27" t="s">
        <v>968</v>
      </c>
      <c r="D4966" s="26" t="s">
        <v>3663</v>
      </c>
      <c r="E4966" s="28">
        <v>46113.0</v>
      </c>
      <c r="F4966" s="28">
        <v>46171.0</v>
      </c>
      <c r="G4966" s="29"/>
    </row>
    <row r="4967" ht="15.75" customHeight="1">
      <c r="A4967" s="30" t="s">
        <v>8631</v>
      </c>
      <c r="B4967" s="31" t="s">
        <v>529</v>
      </c>
      <c r="C4967" s="31" t="s">
        <v>923</v>
      </c>
      <c r="D4967" s="30" t="s">
        <v>3663</v>
      </c>
      <c r="E4967" s="32">
        <v>46113.0</v>
      </c>
      <c r="F4967" s="32">
        <v>46171.0</v>
      </c>
      <c r="G4967" s="33"/>
    </row>
    <row r="4968" ht="15.75" customHeight="1">
      <c r="A4968" s="26" t="s">
        <v>8632</v>
      </c>
      <c r="B4968" s="27" t="s">
        <v>530</v>
      </c>
      <c r="C4968" s="27" t="s">
        <v>932</v>
      </c>
      <c r="D4968" s="26" t="s">
        <v>3663</v>
      </c>
      <c r="E4968" s="28">
        <v>46113.0</v>
      </c>
      <c r="F4968" s="28">
        <v>46171.0</v>
      </c>
      <c r="G4968" s="29"/>
    </row>
    <row r="4969" ht="15.75" customHeight="1">
      <c r="A4969" s="30" t="s">
        <v>8633</v>
      </c>
      <c r="B4969" s="31" t="s">
        <v>530</v>
      </c>
      <c r="C4969" s="31" t="s">
        <v>1323</v>
      </c>
      <c r="D4969" s="30" t="s">
        <v>3663</v>
      </c>
      <c r="E4969" s="32">
        <v>46113.0</v>
      </c>
      <c r="F4969" s="32">
        <v>46171.0</v>
      </c>
      <c r="G4969" s="33"/>
    </row>
    <row r="4970" ht="15.75" customHeight="1">
      <c r="A4970" s="26" t="s">
        <v>8634</v>
      </c>
      <c r="B4970" s="27" t="s">
        <v>530</v>
      </c>
      <c r="C4970" s="27" t="s">
        <v>1164</v>
      </c>
      <c r="D4970" s="26" t="s">
        <v>3663</v>
      </c>
      <c r="E4970" s="28">
        <v>46113.0</v>
      </c>
      <c r="F4970" s="28">
        <v>46171.0</v>
      </c>
      <c r="G4970" s="29"/>
    </row>
    <row r="4971" ht="15.75" customHeight="1">
      <c r="A4971" s="30" t="s">
        <v>8635</v>
      </c>
      <c r="B4971" s="31" t="s">
        <v>530</v>
      </c>
      <c r="C4971" s="31" t="s">
        <v>1166</v>
      </c>
      <c r="D4971" s="30" t="s">
        <v>3663</v>
      </c>
      <c r="E4971" s="32">
        <v>46113.0</v>
      </c>
      <c r="F4971" s="32">
        <v>46171.0</v>
      </c>
      <c r="G4971" s="33"/>
    </row>
    <row r="4972" ht="15.75" customHeight="1">
      <c r="A4972" s="26" t="s">
        <v>8636</v>
      </c>
      <c r="B4972" s="27" t="s">
        <v>530</v>
      </c>
      <c r="C4972" s="27" t="s">
        <v>1168</v>
      </c>
      <c r="D4972" s="26" t="s">
        <v>3663</v>
      </c>
      <c r="E4972" s="28">
        <v>46113.0</v>
      </c>
      <c r="F4972" s="28">
        <v>46171.0</v>
      </c>
      <c r="G4972" s="29"/>
    </row>
    <row r="4973" ht="15.75" customHeight="1">
      <c r="A4973" s="30" t="s">
        <v>8637</v>
      </c>
      <c r="B4973" s="31" t="s">
        <v>530</v>
      </c>
      <c r="C4973" s="31" t="s">
        <v>1170</v>
      </c>
      <c r="D4973" s="30" t="s">
        <v>3663</v>
      </c>
      <c r="E4973" s="32">
        <v>46113.0</v>
      </c>
      <c r="F4973" s="32">
        <v>46171.0</v>
      </c>
      <c r="G4973" s="33"/>
    </row>
    <row r="4974" ht="15.75" customHeight="1">
      <c r="A4974" s="26" t="s">
        <v>8638</v>
      </c>
      <c r="B4974" s="27" t="s">
        <v>530</v>
      </c>
      <c r="C4974" s="27" t="s">
        <v>1354</v>
      </c>
      <c r="D4974" s="26" t="s">
        <v>3663</v>
      </c>
      <c r="E4974" s="28">
        <v>46113.0</v>
      </c>
      <c r="F4974" s="28">
        <v>46171.0</v>
      </c>
      <c r="G4974" s="29"/>
    </row>
    <row r="4975" ht="15.75" customHeight="1">
      <c r="A4975" s="30" t="s">
        <v>8639</v>
      </c>
      <c r="B4975" s="31" t="s">
        <v>530</v>
      </c>
      <c r="C4975" s="31" t="s">
        <v>1190</v>
      </c>
      <c r="D4975" s="30" t="s">
        <v>3663</v>
      </c>
      <c r="E4975" s="32">
        <v>46113.0</v>
      </c>
      <c r="F4975" s="32">
        <v>46171.0</v>
      </c>
      <c r="G4975" s="33"/>
    </row>
    <row r="4976" ht="15.75" customHeight="1">
      <c r="A4976" s="26" t="s">
        <v>8640</v>
      </c>
      <c r="B4976" s="27" t="s">
        <v>530</v>
      </c>
      <c r="C4976" s="27" t="s">
        <v>1351</v>
      </c>
      <c r="D4976" s="26" t="s">
        <v>3663</v>
      </c>
      <c r="E4976" s="28">
        <v>46113.0</v>
      </c>
      <c r="F4976" s="28">
        <v>46171.0</v>
      </c>
      <c r="G4976" s="29"/>
    </row>
    <row r="4977" ht="15.75" customHeight="1">
      <c r="A4977" s="30" t="s">
        <v>8641</v>
      </c>
      <c r="B4977" s="31" t="s">
        <v>530</v>
      </c>
      <c r="C4977" s="31" t="s">
        <v>1349</v>
      </c>
      <c r="D4977" s="30" t="s">
        <v>3663</v>
      </c>
      <c r="E4977" s="32">
        <v>46113.0</v>
      </c>
      <c r="F4977" s="32">
        <v>46171.0</v>
      </c>
      <c r="G4977" s="33"/>
    </row>
    <row r="4978" ht="15.75" customHeight="1">
      <c r="A4978" s="26" t="s">
        <v>8642</v>
      </c>
      <c r="B4978" s="27" t="s">
        <v>530</v>
      </c>
      <c r="C4978" s="27" t="s">
        <v>3653</v>
      </c>
      <c r="D4978" s="27" t="s">
        <v>3663</v>
      </c>
      <c r="E4978" s="28">
        <v>46113.0</v>
      </c>
      <c r="F4978" s="28">
        <v>46171.0</v>
      </c>
      <c r="G4978" s="29"/>
    </row>
    <row r="4979" ht="15.75" customHeight="1">
      <c r="A4979" s="30" t="s">
        <v>8643</v>
      </c>
      <c r="B4979" s="31" t="s">
        <v>530</v>
      </c>
      <c r="C4979" s="31" t="s">
        <v>3652</v>
      </c>
      <c r="D4979" s="30" t="s">
        <v>3663</v>
      </c>
      <c r="E4979" s="32">
        <v>46113.0</v>
      </c>
      <c r="F4979" s="32">
        <v>46171.0</v>
      </c>
      <c r="G4979" s="33"/>
    </row>
    <row r="4980" ht="15.75" customHeight="1">
      <c r="A4980" s="26" t="s">
        <v>8644</v>
      </c>
      <c r="B4980" s="27" t="s">
        <v>530</v>
      </c>
      <c r="C4980" s="27" t="s">
        <v>965</v>
      </c>
      <c r="D4980" s="26" t="s">
        <v>3663</v>
      </c>
      <c r="E4980" s="28">
        <v>46113.0</v>
      </c>
      <c r="F4980" s="28">
        <v>46171.0</v>
      </c>
      <c r="G4980" s="29"/>
    </row>
    <row r="4981" ht="15.75" customHeight="1">
      <c r="A4981" s="30" t="s">
        <v>8645</v>
      </c>
      <c r="B4981" s="31" t="s">
        <v>530</v>
      </c>
      <c r="C4981" s="31" t="s">
        <v>923</v>
      </c>
      <c r="D4981" s="30" t="s">
        <v>3663</v>
      </c>
      <c r="E4981" s="32">
        <v>46113.0</v>
      </c>
      <c r="F4981" s="32">
        <v>46171.0</v>
      </c>
      <c r="G4981" s="33"/>
    </row>
    <row r="4982" ht="15.75" customHeight="1">
      <c r="A4982" s="26" t="s">
        <v>8646</v>
      </c>
      <c r="B4982" s="27" t="s">
        <v>532</v>
      </c>
      <c r="C4982" s="27" t="s">
        <v>1240</v>
      </c>
      <c r="D4982" s="27" t="s">
        <v>3663</v>
      </c>
      <c r="E4982" s="28">
        <v>46113.0</v>
      </c>
      <c r="F4982" s="28">
        <v>46171.0</v>
      </c>
      <c r="G4982" s="29"/>
    </row>
    <row r="4983" ht="15.75" customHeight="1">
      <c r="A4983" s="30" t="s">
        <v>8647</v>
      </c>
      <c r="B4983" s="31" t="s">
        <v>532</v>
      </c>
      <c r="C4983" s="31" t="s">
        <v>1242</v>
      </c>
      <c r="D4983" s="31" t="s">
        <v>3663</v>
      </c>
      <c r="E4983" s="32">
        <v>46113.0</v>
      </c>
      <c r="F4983" s="32">
        <v>46171.0</v>
      </c>
      <c r="G4983" s="33"/>
    </row>
    <row r="4984" ht="15.75" customHeight="1">
      <c r="A4984" s="26" t="s">
        <v>8648</v>
      </c>
      <c r="B4984" s="27" t="s">
        <v>532</v>
      </c>
      <c r="C4984" s="27" t="s">
        <v>1244</v>
      </c>
      <c r="D4984" s="27" t="s">
        <v>3663</v>
      </c>
      <c r="E4984" s="28">
        <v>46113.0</v>
      </c>
      <c r="F4984" s="28">
        <v>46171.0</v>
      </c>
      <c r="G4984" s="29"/>
    </row>
    <row r="4985" ht="15.75" customHeight="1">
      <c r="A4985" s="30" t="s">
        <v>8649</v>
      </c>
      <c r="B4985" s="31" t="s">
        <v>532</v>
      </c>
      <c r="C4985" s="31" t="s">
        <v>1246</v>
      </c>
      <c r="D4985" s="31" t="s">
        <v>3663</v>
      </c>
      <c r="E4985" s="32">
        <v>46113.0</v>
      </c>
      <c r="F4985" s="32">
        <v>46171.0</v>
      </c>
      <c r="G4985" s="33"/>
    </row>
    <row r="4986" ht="15.75" customHeight="1">
      <c r="A4986" s="26" t="s">
        <v>8650</v>
      </c>
      <c r="B4986" s="27" t="s">
        <v>532</v>
      </c>
      <c r="C4986" s="27" t="s">
        <v>934</v>
      </c>
      <c r="D4986" s="27" t="s">
        <v>3663</v>
      </c>
      <c r="E4986" s="28">
        <v>46113.0</v>
      </c>
      <c r="F4986" s="28">
        <v>46171.0</v>
      </c>
      <c r="G4986" s="29"/>
    </row>
    <row r="4987" ht="15.75" customHeight="1">
      <c r="A4987" s="30" t="s">
        <v>8651</v>
      </c>
      <c r="B4987" s="31" t="s">
        <v>532</v>
      </c>
      <c r="C4987" s="31" t="s">
        <v>1354</v>
      </c>
      <c r="D4987" s="30" t="s">
        <v>3663</v>
      </c>
      <c r="E4987" s="32">
        <v>46113.0</v>
      </c>
      <c r="F4987" s="32">
        <v>46171.0</v>
      </c>
      <c r="G4987" s="33"/>
    </row>
    <row r="4988" ht="15.75" customHeight="1">
      <c r="A4988" s="26" t="s">
        <v>8652</v>
      </c>
      <c r="B4988" s="27" t="s">
        <v>532</v>
      </c>
      <c r="C4988" s="27" t="s">
        <v>3656</v>
      </c>
      <c r="D4988" s="26" t="s">
        <v>3663</v>
      </c>
      <c r="E4988" s="28">
        <v>46113.0</v>
      </c>
      <c r="F4988" s="28">
        <v>46171.0</v>
      </c>
      <c r="G4988" s="29"/>
    </row>
    <row r="4989" ht="15.75" customHeight="1">
      <c r="A4989" s="30" t="s">
        <v>8653</v>
      </c>
      <c r="B4989" s="31" t="s">
        <v>532</v>
      </c>
      <c r="C4989" s="31" t="s">
        <v>3657</v>
      </c>
      <c r="D4989" s="30" t="s">
        <v>3663</v>
      </c>
      <c r="E4989" s="32">
        <v>46113.0</v>
      </c>
      <c r="F4989" s="32">
        <v>46171.0</v>
      </c>
      <c r="G4989" s="33"/>
    </row>
    <row r="4990" ht="15.75" customHeight="1">
      <c r="A4990" s="26" t="s">
        <v>8654</v>
      </c>
      <c r="B4990" s="27" t="s">
        <v>532</v>
      </c>
      <c r="C4990" s="27" t="s">
        <v>1216</v>
      </c>
      <c r="D4990" s="26" t="s">
        <v>3663</v>
      </c>
      <c r="E4990" s="28">
        <v>46113.0</v>
      </c>
      <c r="F4990" s="28">
        <v>46171.0</v>
      </c>
      <c r="G4990" s="29"/>
    </row>
    <row r="4991" ht="15.75" customHeight="1">
      <c r="A4991" s="30" t="s">
        <v>8655</v>
      </c>
      <c r="B4991" s="31" t="s">
        <v>532</v>
      </c>
      <c r="C4991" s="31" t="s">
        <v>1218</v>
      </c>
      <c r="D4991" s="30" t="s">
        <v>3663</v>
      </c>
      <c r="E4991" s="32">
        <v>46113.0</v>
      </c>
      <c r="F4991" s="32">
        <v>46171.0</v>
      </c>
      <c r="G4991" s="33"/>
    </row>
    <row r="4992" ht="15.75" customHeight="1">
      <c r="A4992" s="26" t="s">
        <v>8656</v>
      </c>
      <c r="B4992" s="27" t="s">
        <v>532</v>
      </c>
      <c r="C4992" s="27" t="s">
        <v>1351</v>
      </c>
      <c r="D4992" s="26" t="s">
        <v>3663</v>
      </c>
      <c r="E4992" s="28">
        <v>46113.0</v>
      </c>
      <c r="F4992" s="28">
        <v>46171.0</v>
      </c>
      <c r="G4992" s="29"/>
    </row>
    <row r="4993" ht="15.75" customHeight="1">
      <c r="A4993" s="30" t="s">
        <v>8657</v>
      </c>
      <c r="B4993" s="31" t="s">
        <v>532</v>
      </c>
      <c r="C4993" s="31" t="s">
        <v>1349</v>
      </c>
      <c r="D4993" s="30" t="s">
        <v>3663</v>
      </c>
      <c r="E4993" s="32">
        <v>46113.0</v>
      </c>
      <c r="F4993" s="32">
        <v>46171.0</v>
      </c>
      <c r="G4993" s="33"/>
    </row>
    <row r="4994" ht="15.75" customHeight="1">
      <c r="A4994" s="26" t="s">
        <v>8658</v>
      </c>
      <c r="B4994" s="27" t="s">
        <v>532</v>
      </c>
      <c r="C4994" s="27" t="s">
        <v>968</v>
      </c>
      <c r="D4994" s="26" t="s">
        <v>3663</v>
      </c>
      <c r="E4994" s="28">
        <v>46113.0</v>
      </c>
      <c r="F4994" s="28">
        <v>46171.0</v>
      </c>
      <c r="G4994" s="29"/>
    </row>
    <row r="4995" ht="15.75" customHeight="1">
      <c r="A4995" s="30" t="s">
        <v>8659</v>
      </c>
      <c r="B4995" s="31" t="s">
        <v>532</v>
      </c>
      <c r="C4995" s="31" t="s">
        <v>923</v>
      </c>
      <c r="D4995" s="31" t="s">
        <v>3663</v>
      </c>
      <c r="E4995" s="32">
        <v>46113.0</v>
      </c>
      <c r="F4995" s="32">
        <v>46171.0</v>
      </c>
      <c r="G4995" s="33"/>
    </row>
    <row r="4996" ht="15.75" customHeight="1">
      <c r="A4996" s="26" t="s">
        <v>8660</v>
      </c>
      <c r="B4996" s="27" t="s">
        <v>533</v>
      </c>
      <c r="C4996" s="27" t="s">
        <v>930</v>
      </c>
      <c r="D4996" s="26" t="s">
        <v>3663</v>
      </c>
      <c r="E4996" s="28">
        <v>46113.0</v>
      </c>
      <c r="F4996" s="28">
        <v>46171.0</v>
      </c>
      <c r="G4996" s="29"/>
    </row>
    <row r="4997" ht="15.75" customHeight="1">
      <c r="A4997" s="30" t="s">
        <v>8661</v>
      </c>
      <c r="B4997" s="31" t="s">
        <v>533</v>
      </c>
      <c r="C4997" s="31" t="s">
        <v>1354</v>
      </c>
      <c r="D4997" s="30" t="s">
        <v>3663</v>
      </c>
      <c r="E4997" s="32">
        <v>46113.0</v>
      </c>
      <c r="F4997" s="32">
        <v>46171.0</v>
      </c>
      <c r="G4997" s="33"/>
    </row>
    <row r="4998" ht="15.75" customHeight="1">
      <c r="A4998" s="26" t="s">
        <v>8662</v>
      </c>
      <c r="B4998" s="27" t="s">
        <v>533</v>
      </c>
      <c r="C4998" s="27" t="s">
        <v>1304</v>
      </c>
      <c r="D4998" s="26" t="s">
        <v>3663</v>
      </c>
      <c r="E4998" s="28">
        <v>46113.0</v>
      </c>
      <c r="F4998" s="28">
        <v>46171.0</v>
      </c>
      <c r="G4998" s="29"/>
    </row>
    <row r="4999" ht="15.75" customHeight="1">
      <c r="A4999" s="30" t="s">
        <v>8663</v>
      </c>
      <c r="B4999" s="31" t="s">
        <v>533</v>
      </c>
      <c r="C4999" s="31" t="s">
        <v>1306</v>
      </c>
      <c r="D4999" s="30" t="s">
        <v>3663</v>
      </c>
      <c r="E4999" s="32">
        <v>46113.0</v>
      </c>
      <c r="F4999" s="32">
        <v>46171.0</v>
      </c>
      <c r="G4999" s="33"/>
    </row>
    <row r="5000" ht="15.75" customHeight="1">
      <c r="A5000" s="26" t="s">
        <v>8664</v>
      </c>
      <c r="B5000" s="27" t="s">
        <v>533</v>
      </c>
      <c r="C5000" s="27" t="s">
        <v>1308</v>
      </c>
      <c r="D5000" s="26" t="s">
        <v>3663</v>
      </c>
      <c r="E5000" s="28">
        <v>46113.0</v>
      </c>
      <c r="F5000" s="28">
        <v>46171.0</v>
      </c>
      <c r="G5000" s="29"/>
    </row>
    <row r="5001" ht="15.75" customHeight="1">
      <c r="A5001" s="30" t="s">
        <v>8665</v>
      </c>
      <c r="B5001" s="31" t="s">
        <v>533</v>
      </c>
      <c r="C5001" s="31" t="s">
        <v>1310</v>
      </c>
      <c r="D5001" s="30" t="s">
        <v>3663</v>
      </c>
      <c r="E5001" s="32">
        <v>46113.0</v>
      </c>
      <c r="F5001" s="32">
        <v>46171.0</v>
      </c>
      <c r="G5001" s="33"/>
    </row>
    <row r="5002" ht="15.75" customHeight="1">
      <c r="A5002" s="26" t="s">
        <v>8666</v>
      </c>
      <c r="B5002" s="27" t="s">
        <v>533</v>
      </c>
      <c r="C5002" s="27" t="s">
        <v>3656</v>
      </c>
      <c r="D5002" s="26" t="s">
        <v>3663</v>
      </c>
      <c r="E5002" s="28">
        <v>46113.0</v>
      </c>
      <c r="F5002" s="28">
        <v>46171.0</v>
      </c>
      <c r="G5002" s="29"/>
    </row>
    <row r="5003" ht="15.75" customHeight="1">
      <c r="A5003" s="30" t="s">
        <v>8667</v>
      </c>
      <c r="B5003" s="31" t="s">
        <v>533</v>
      </c>
      <c r="C5003" s="31" t="s">
        <v>3657</v>
      </c>
      <c r="D5003" s="30" t="s">
        <v>3663</v>
      </c>
      <c r="E5003" s="32">
        <v>46113.0</v>
      </c>
      <c r="F5003" s="32">
        <v>46171.0</v>
      </c>
      <c r="G5003" s="33"/>
    </row>
    <row r="5004" ht="15.75" customHeight="1">
      <c r="A5004" s="26" t="s">
        <v>8668</v>
      </c>
      <c r="B5004" s="27" t="s">
        <v>533</v>
      </c>
      <c r="C5004" s="27" t="s">
        <v>1216</v>
      </c>
      <c r="D5004" s="26" t="s">
        <v>3663</v>
      </c>
      <c r="E5004" s="28">
        <v>46113.0</v>
      </c>
      <c r="F5004" s="28">
        <v>46171.0</v>
      </c>
      <c r="G5004" s="29"/>
    </row>
    <row r="5005" ht="15.75" customHeight="1">
      <c r="A5005" s="30" t="s">
        <v>8669</v>
      </c>
      <c r="B5005" s="31" t="s">
        <v>533</v>
      </c>
      <c r="C5005" s="31" t="s">
        <v>1218</v>
      </c>
      <c r="D5005" s="30" t="s">
        <v>3663</v>
      </c>
      <c r="E5005" s="32">
        <v>46113.0</v>
      </c>
      <c r="F5005" s="32">
        <v>46171.0</v>
      </c>
      <c r="G5005" s="33"/>
    </row>
    <row r="5006" ht="15.75" customHeight="1">
      <c r="A5006" s="26" t="s">
        <v>8670</v>
      </c>
      <c r="B5006" s="27" t="s">
        <v>533</v>
      </c>
      <c r="C5006" s="27" t="s">
        <v>1351</v>
      </c>
      <c r="D5006" s="26" t="s">
        <v>3663</v>
      </c>
      <c r="E5006" s="28">
        <v>46113.0</v>
      </c>
      <c r="F5006" s="28">
        <v>46171.0</v>
      </c>
      <c r="G5006" s="29"/>
    </row>
    <row r="5007" ht="15.75" customHeight="1">
      <c r="A5007" s="30" t="s">
        <v>8671</v>
      </c>
      <c r="B5007" s="31" t="s">
        <v>533</v>
      </c>
      <c r="C5007" s="31" t="s">
        <v>1349</v>
      </c>
      <c r="D5007" s="30" t="s">
        <v>3663</v>
      </c>
      <c r="E5007" s="32">
        <v>46113.0</v>
      </c>
      <c r="F5007" s="32">
        <v>46171.0</v>
      </c>
      <c r="G5007" s="33"/>
    </row>
    <row r="5008" ht="15.75" customHeight="1">
      <c r="A5008" s="26" t="s">
        <v>8672</v>
      </c>
      <c r="B5008" s="27" t="s">
        <v>533</v>
      </c>
      <c r="C5008" s="27" t="s">
        <v>965</v>
      </c>
      <c r="D5008" s="26" t="s">
        <v>3663</v>
      </c>
      <c r="E5008" s="28">
        <v>46113.0</v>
      </c>
      <c r="F5008" s="28">
        <v>46171.0</v>
      </c>
      <c r="G5008" s="29"/>
    </row>
    <row r="5009" ht="15.75" customHeight="1">
      <c r="A5009" s="30" t="s">
        <v>8673</v>
      </c>
      <c r="B5009" s="31" t="s">
        <v>533</v>
      </c>
      <c r="C5009" s="31" t="s">
        <v>923</v>
      </c>
      <c r="D5009" s="30" t="s">
        <v>3663</v>
      </c>
      <c r="E5009" s="32">
        <v>46113.0</v>
      </c>
      <c r="F5009" s="32">
        <v>46171.0</v>
      </c>
      <c r="G5009" s="33"/>
    </row>
    <row r="5010" ht="15.75" customHeight="1">
      <c r="A5010" s="26" t="s">
        <v>8674</v>
      </c>
      <c r="B5010" s="27" t="s">
        <v>534</v>
      </c>
      <c r="C5010" s="27" t="s">
        <v>3638</v>
      </c>
      <c r="D5010" s="26" t="s">
        <v>3663</v>
      </c>
      <c r="E5010" s="28">
        <v>46113.0</v>
      </c>
      <c r="F5010" s="28">
        <v>46171.0</v>
      </c>
      <c r="G5010" s="29"/>
    </row>
    <row r="5011" ht="15.75" customHeight="1">
      <c r="A5011" s="30" t="s">
        <v>8675</v>
      </c>
      <c r="B5011" s="31" t="s">
        <v>534</v>
      </c>
      <c r="C5011" s="31" t="s">
        <v>930</v>
      </c>
      <c r="D5011" s="30" t="s">
        <v>3663</v>
      </c>
      <c r="E5011" s="32">
        <v>46113.0</v>
      </c>
      <c r="F5011" s="32">
        <v>46171.0</v>
      </c>
      <c r="G5011" s="33"/>
    </row>
    <row r="5012" ht="15.75" customHeight="1">
      <c r="A5012" s="26" t="s">
        <v>8676</v>
      </c>
      <c r="B5012" s="27" t="s">
        <v>534</v>
      </c>
      <c r="C5012" s="27" t="s">
        <v>1354</v>
      </c>
      <c r="D5012" s="26" t="s">
        <v>3663</v>
      </c>
      <c r="E5012" s="28">
        <v>46113.0</v>
      </c>
      <c r="F5012" s="28">
        <v>46171.0</v>
      </c>
      <c r="G5012" s="29"/>
    </row>
    <row r="5013" ht="15.75" customHeight="1">
      <c r="A5013" s="30" t="s">
        <v>8677</v>
      </c>
      <c r="B5013" s="31" t="s">
        <v>534</v>
      </c>
      <c r="C5013" s="31" t="s">
        <v>3641</v>
      </c>
      <c r="D5013" s="30" t="s">
        <v>3663</v>
      </c>
      <c r="E5013" s="32">
        <v>46113.0</v>
      </c>
      <c r="F5013" s="32">
        <v>46171.0</v>
      </c>
      <c r="G5013" s="33"/>
    </row>
    <row r="5014" ht="15.75" customHeight="1">
      <c r="A5014" s="26" t="s">
        <v>8678</v>
      </c>
      <c r="B5014" s="27" t="s">
        <v>534</v>
      </c>
      <c r="C5014" s="27" t="s">
        <v>1304</v>
      </c>
      <c r="D5014" s="26" t="s">
        <v>3663</v>
      </c>
      <c r="E5014" s="28">
        <v>46113.0</v>
      </c>
      <c r="F5014" s="28">
        <v>46171.0</v>
      </c>
      <c r="G5014" s="29"/>
    </row>
    <row r="5015" ht="15.75" customHeight="1">
      <c r="A5015" s="30" t="s">
        <v>8679</v>
      </c>
      <c r="B5015" s="31" t="s">
        <v>534</v>
      </c>
      <c r="C5015" s="31" t="s">
        <v>3642</v>
      </c>
      <c r="D5015" s="30" t="s">
        <v>3663</v>
      </c>
      <c r="E5015" s="32">
        <v>46113.0</v>
      </c>
      <c r="F5015" s="32">
        <v>46171.0</v>
      </c>
      <c r="G5015" s="33"/>
    </row>
    <row r="5016" ht="15.75" customHeight="1">
      <c r="A5016" s="26" t="s">
        <v>8680</v>
      </c>
      <c r="B5016" s="27" t="s">
        <v>534</v>
      </c>
      <c r="C5016" s="27" t="s">
        <v>1308</v>
      </c>
      <c r="D5016" s="26" t="s">
        <v>3663</v>
      </c>
      <c r="E5016" s="28">
        <v>46113.0</v>
      </c>
      <c r="F5016" s="28">
        <v>46171.0</v>
      </c>
      <c r="G5016" s="29"/>
    </row>
    <row r="5017" ht="15.75" customHeight="1">
      <c r="A5017" s="30" t="s">
        <v>8681</v>
      </c>
      <c r="B5017" s="31" t="s">
        <v>534</v>
      </c>
      <c r="C5017" s="31" t="s">
        <v>3647</v>
      </c>
      <c r="D5017" s="30" t="s">
        <v>3663</v>
      </c>
      <c r="E5017" s="32">
        <v>46113.0</v>
      </c>
      <c r="F5017" s="32">
        <v>46171.0</v>
      </c>
      <c r="G5017" s="33"/>
    </row>
    <row r="5018" ht="15.75" customHeight="1">
      <c r="A5018" s="26" t="s">
        <v>8682</v>
      </c>
      <c r="B5018" s="27" t="s">
        <v>534</v>
      </c>
      <c r="C5018" s="27" t="s">
        <v>952</v>
      </c>
      <c r="D5018" s="26" t="s">
        <v>3663</v>
      </c>
      <c r="E5018" s="28">
        <v>46113.0</v>
      </c>
      <c r="F5018" s="28">
        <v>46171.0</v>
      </c>
      <c r="G5018" s="29"/>
    </row>
    <row r="5019" ht="15.75" customHeight="1">
      <c r="A5019" s="30" t="s">
        <v>8683</v>
      </c>
      <c r="B5019" s="31" t="s">
        <v>534</v>
      </c>
      <c r="C5019" s="31" t="s">
        <v>3653</v>
      </c>
      <c r="D5019" s="31" t="s">
        <v>3663</v>
      </c>
      <c r="E5019" s="32">
        <v>46113.0</v>
      </c>
      <c r="F5019" s="32">
        <v>46171.0</v>
      </c>
      <c r="G5019" s="33"/>
    </row>
    <row r="5020" ht="15.75" customHeight="1">
      <c r="A5020" s="26" t="s">
        <v>8684</v>
      </c>
      <c r="B5020" s="27" t="s">
        <v>534</v>
      </c>
      <c r="C5020" s="27" t="s">
        <v>3652</v>
      </c>
      <c r="D5020" s="26" t="s">
        <v>3663</v>
      </c>
      <c r="E5020" s="28">
        <v>46113.0</v>
      </c>
      <c r="F5020" s="28">
        <v>46171.0</v>
      </c>
      <c r="G5020" s="29"/>
    </row>
    <row r="5021" ht="15.75" customHeight="1">
      <c r="A5021" s="30" t="s">
        <v>8685</v>
      </c>
      <c r="B5021" s="31" t="s">
        <v>534</v>
      </c>
      <c r="C5021" s="31" t="s">
        <v>968</v>
      </c>
      <c r="D5021" s="30" t="s">
        <v>3663</v>
      </c>
      <c r="E5021" s="32">
        <v>46113.0</v>
      </c>
      <c r="F5021" s="32">
        <v>46171.0</v>
      </c>
      <c r="G5021" s="33"/>
    </row>
    <row r="5022" ht="15.75" customHeight="1">
      <c r="A5022" s="26" t="s">
        <v>8686</v>
      </c>
      <c r="B5022" s="27" t="s">
        <v>534</v>
      </c>
      <c r="C5022" s="27" t="s">
        <v>923</v>
      </c>
      <c r="D5022" s="26" t="s">
        <v>3663</v>
      </c>
      <c r="E5022" s="28">
        <v>46113.0</v>
      </c>
      <c r="F5022" s="28">
        <v>46171.0</v>
      </c>
      <c r="G5022" s="29"/>
    </row>
    <row r="5023" ht="15.75" customHeight="1">
      <c r="A5023" s="30" t="s">
        <v>8687</v>
      </c>
      <c r="B5023" s="31" t="s">
        <v>534</v>
      </c>
      <c r="C5023" s="31" t="s">
        <v>955</v>
      </c>
      <c r="D5023" s="30" t="s">
        <v>3663</v>
      </c>
      <c r="E5023" s="32">
        <v>46113.0</v>
      </c>
      <c r="F5023" s="32">
        <v>46171.0</v>
      </c>
      <c r="G5023" s="33"/>
    </row>
    <row r="5024" ht="15.75" customHeight="1">
      <c r="A5024" s="26" t="s">
        <v>8688</v>
      </c>
      <c r="B5024" s="27" t="s">
        <v>535</v>
      </c>
      <c r="C5024" s="27" t="s">
        <v>1240</v>
      </c>
      <c r="D5024" s="27" t="s">
        <v>3663</v>
      </c>
      <c r="E5024" s="28">
        <v>46113.0</v>
      </c>
      <c r="F5024" s="28">
        <v>46171.0</v>
      </c>
      <c r="G5024" s="29"/>
    </row>
    <row r="5025" ht="15.75" customHeight="1">
      <c r="A5025" s="30" t="s">
        <v>8689</v>
      </c>
      <c r="B5025" s="31" t="s">
        <v>535</v>
      </c>
      <c r="C5025" s="31" t="s">
        <v>1242</v>
      </c>
      <c r="D5025" s="31" t="s">
        <v>3663</v>
      </c>
      <c r="E5025" s="32">
        <v>46113.0</v>
      </c>
      <c r="F5025" s="32">
        <v>46171.0</v>
      </c>
      <c r="G5025" s="33"/>
    </row>
    <row r="5026" ht="15.75" customHeight="1">
      <c r="A5026" s="26" t="s">
        <v>8690</v>
      </c>
      <c r="B5026" s="27" t="s">
        <v>535</v>
      </c>
      <c r="C5026" s="27" t="s">
        <v>1244</v>
      </c>
      <c r="D5026" s="27" t="s">
        <v>3663</v>
      </c>
      <c r="E5026" s="28">
        <v>46113.0</v>
      </c>
      <c r="F5026" s="28">
        <v>46171.0</v>
      </c>
      <c r="G5026" s="29"/>
    </row>
    <row r="5027" ht="15.75" customHeight="1">
      <c r="A5027" s="30" t="s">
        <v>8691</v>
      </c>
      <c r="B5027" s="31" t="s">
        <v>535</v>
      </c>
      <c r="C5027" s="31" t="s">
        <v>1246</v>
      </c>
      <c r="D5027" s="31" t="s">
        <v>3663</v>
      </c>
      <c r="E5027" s="32">
        <v>46113.0</v>
      </c>
      <c r="F5027" s="32">
        <v>46171.0</v>
      </c>
      <c r="G5027" s="33"/>
    </row>
    <row r="5028" ht="15.75" customHeight="1">
      <c r="A5028" s="26" t="s">
        <v>8692</v>
      </c>
      <c r="B5028" s="27" t="s">
        <v>535</v>
      </c>
      <c r="C5028" s="27" t="s">
        <v>934</v>
      </c>
      <c r="D5028" s="27" t="s">
        <v>3663</v>
      </c>
      <c r="E5028" s="28">
        <v>46113.0</v>
      </c>
      <c r="F5028" s="28">
        <v>46171.0</v>
      </c>
      <c r="G5028" s="29"/>
    </row>
    <row r="5029" ht="15.75" customHeight="1">
      <c r="A5029" s="30" t="s">
        <v>8693</v>
      </c>
      <c r="B5029" s="31" t="s">
        <v>535</v>
      </c>
      <c r="C5029" s="31" t="s">
        <v>1354</v>
      </c>
      <c r="D5029" s="30" t="s">
        <v>3663</v>
      </c>
      <c r="E5029" s="32">
        <v>46113.0</v>
      </c>
      <c r="F5029" s="32">
        <v>46171.0</v>
      </c>
      <c r="G5029" s="33"/>
    </row>
    <row r="5030" ht="15.75" customHeight="1">
      <c r="A5030" s="26" t="s">
        <v>8694</v>
      </c>
      <c r="B5030" s="27" t="s">
        <v>535</v>
      </c>
      <c r="C5030" s="27" t="s">
        <v>1172</v>
      </c>
      <c r="D5030" s="26" t="s">
        <v>3663</v>
      </c>
      <c r="E5030" s="28">
        <v>46113.0</v>
      </c>
      <c r="F5030" s="28">
        <v>46171.0</v>
      </c>
      <c r="G5030" s="29"/>
    </row>
    <row r="5031" ht="15.75" customHeight="1">
      <c r="A5031" s="30" t="s">
        <v>8695</v>
      </c>
      <c r="B5031" s="31" t="s">
        <v>535</v>
      </c>
      <c r="C5031" s="31" t="s">
        <v>3656</v>
      </c>
      <c r="D5031" s="30" t="s">
        <v>3663</v>
      </c>
      <c r="E5031" s="32">
        <v>46113.0</v>
      </c>
      <c r="F5031" s="32">
        <v>46171.0</v>
      </c>
      <c r="G5031" s="33"/>
    </row>
    <row r="5032" ht="15.75" customHeight="1">
      <c r="A5032" s="26" t="s">
        <v>8696</v>
      </c>
      <c r="B5032" s="27" t="s">
        <v>535</v>
      </c>
      <c r="C5032" s="27" t="s">
        <v>3657</v>
      </c>
      <c r="D5032" s="26" t="s">
        <v>3663</v>
      </c>
      <c r="E5032" s="28">
        <v>46113.0</v>
      </c>
      <c r="F5032" s="28">
        <v>46171.0</v>
      </c>
      <c r="G5032" s="29"/>
    </row>
    <row r="5033" ht="15.75" customHeight="1">
      <c r="A5033" s="30" t="s">
        <v>8697</v>
      </c>
      <c r="B5033" s="31" t="s">
        <v>535</v>
      </c>
      <c r="C5033" s="31" t="s">
        <v>3647</v>
      </c>
      <c r="D5033" s="30" t="s">
        <v>3663</v>
      </c>
      <c r="E5033" s="32">
        <v>46113.0</v>
      </c>
      <c r="F5033" s="32">
        <v>46171.0</v>
      </c>
      <c r="G5033" s="33"/>
    </row>
    <row r="5034" ht="15.75" customHeight="1">
      <c r="A5034" s="26" t="s">
        <v>8698</v>
      </c>
      <c r="B5034" s="27" t="s">
        <v>535</v>
      </c>
      <c r="C5034" s="27" t="s">
        <v>952</v>
      </c>
      <c r="D5034" s="26" t="s">
        <v>3663</v>
      </c>
      <c r="E5034" s="28">
        <v>46113.0</v>
      </c>
      <c r="F5034" s="28">
        <v>46171.0</v>
      </c>
      <c r="G5034" s="29"/>
    </row>
    <row r="5035" ht="15.75" customHeight="1">
      <c r="A5035" s="30" t="s">
        <v>8699</v>
      </c>
      <c r="B5035" s="31" t="s">
        <v>535</v>
      </c>
      <c r="C5035" s="31" t="s">
        <v>1216</v>
      </c>
      <c r="D5035" s="30" t="s">
        <v>3663</v>
      </c>
      <c r="E5035" s="32">
        <v>46113.0</v>
      </c>
      <c r="F5035" s="32">
        <v>46171.0</v>
      </c>
      <c r="G5035" s="33"/>
    </row>
    <row r="5036" ht="15.75" customHeight="1">
      <c r="A5036" s="26" t="s">
        <v>8700</v>
      </c>
      <c r="B5036" s="27" t="s">
        <v>535</v>
      </c>
      <c r="C5036" s="27" t="s">
        <v>965</v>
      </c>
      <c r="D5036" s="26" t="s">
        <v>3663</v>
      </c>
      <c r="E5036" s="28">
        <v>46113.0</v>
      </c>
      <c r="F5036" s="28">
        <v>46171.0</v>
      </c>
      <c r="G5036" s="29"/>
    </row>
    <row r="5037" ht="15.75" customHeight="1">
      <c r="A5037" s="30" t="s">
        <v>8701</v>
      </c>
      <c r="B5037" s="31" t="s">
        <v>535</v>
      </c>
      <c r="C5037" s="31" t="s">
        <v>923</v>
      </c>
      <c r="D5037" s="31" t="s">
        <v>3663</v>
      </c>
      <c r="E5037" s="32">
        <v>46113.0</v>
      </c>
      <c r="F5037" s="32">
        <v>46171.0</v>
      </c>
      <c r="G5037" s="33"/>
    </row>
    <row r="5038" ht="15.75" customHeight="1">
      <c r="A5038" s="26" t="s">
        <v>8702</v>
      </c>
      <c r="B5038" s="27" t="s">
        <v>1192</v>
      </c>
      <c r="C5038" s="27" t="s">
        <v>932</v>
      </c>
      <c r="D5038" s="26" t="s">
        <v>3663</v>
      </c>
      <c r="E5038" s="28">
        <v>46113.0</v>
      </c>
      <c r="F5038" s="28">
        <v>46171.0</v>
      </c>
      <c r="G5038" s="29"/>
    </row>
    <row r="5039" ht="15.75" customHeight="1">
      <c r="A5039" s="30" t="s">
        <v>8703</v>
      </c>
      <c r="B5039" s="31" t="s">
        <v>1192</v>
      </c>
      <c r="C5039" s="31" t="s">
        <v>1164</v>
      </c>
      <c r="D5039" s="30" t="s">
        <v>3663</v>
      </c>
      <c r="E5039" s="32">
        <v>46113.0</v>
      </c>
      <c r="F5039" s="32">
        <v>46171.0</v>
      </c>
      <c r="G5039" s="33"/>
    </row>
    <row r="5040" ht="15.75" customHeight="1">
      <c r="A5040" s="26" t="s">
        <v>8704</v>
      </c>
      <c r="B5040" s="27" t="s">
        <v>1192</v>
      </c>
      <c r="C5040" s="27" t="s">
        <v>1166</v>
      </c>
      <c r="D5040" s="26" t="s">
        <v>3663</v>
      </c>
      <c r="E5040" s="28">
        <v>46113.0</v>
      </c>
      <c r="F5040" s="28">
        <v>46171.0</v>
      </c>
      <c r="G5040" s="29"/>
    </row>
    <row r="5041" ht="15.75" customHeight="1">
      <c r="A5041" s="30" t="s">
        <v>8705</v>
      </c>
      <c r="B5041" s="31" t="s">
        <v>1192</v>
      </c>
      <c r="C5041" s="31" t="s">
        <v>1168</v>
      </c>
      <c r="D5041" s="30" t="s">
        <v>3663</v>
      </c>
      <c r="E5041" s="32">
        <v>46113.0</v>
      </c>
      <c r="F5041" s="32">
        <v>46171.0</v>
      </c>
      <c r="G5041" s="33"/>
    </row>
    <row r="5042" ht="15.75" customHeight="1">
      <c r="A5042" s="26" t="s">
        <v>8706</v>
      </c>
      <c r="B5042" s="27" t="s">
        <v>1192</v>
      </c>
      <c r="C5042" s="27" t="s">
        <v>1170</v>
      </c>
      <c r="D5042" s="26" t="s">
        <v>3663</v>
      </c>
      <c r="E5042" s="28">
        <v>46113.0</v>
      </c>
      <c r="F5042" s="28">
        <v>46171.0</v>
      </c>
      <c r="G5042" s="29"/>
    </row>
    <row r="5043" ht="15.75" customHeight="1">
      <c r="A5043" s="30" t="s">
        <v>8707</v>
      </c>
      <c r="B5043" s="31" t="s">
        <v>1192</v>
      </c>
      <c r="C5043" s="31" t="s">
        <v>1354</v>
      </c>
      <c r="D5043" s="30" t="s">
        <v>3663</v>
      </c>
      <c r="E5043" s="32">
        <v>46113.0</v>
      </c>
      <c r="F5043" s="32">
        <v>46171.0</v>
      </c>
      <c r="G5043" s="33"/>
    </row>
    <row r="5044" ht="15.75" customHeight="1">
      <c r="A5044" s="26" t="s">
        <v>8708</v>
      </c>
      <c r="B5044" s="27" t="s">
        <v>1192</v>
      </c>
      <c r="C5044" s="27" t="s">
        <v>3681</v>
      </c>
      <c r="D5044" s="26" t="s">
        <v>3663</v>
      </c>
      <c r="E5044" s="28">
        <v>46113.0</v>
      </c>
      <c r="F5044" s="28">
        <v>46171.0</v>
      </c>
      <c r="G5044" s="29"/>
    </row>
    <row r="5045" ht="15.75" customHeight="1">
      <c r="A5045" s="30" t="s">
        <v>8709</v>
      </c>
      <c r="B5045" s="31" t="s">
        <v>1192</v>
      </c>
      <c r="C5045" s="31" t="s">
        <v>3683</v>
      </c>
      <c r="D5045" s="30" t="s">
        <v>3663</v>
      </c>
      <c r="E5045" s="32">
        <v>46113.0</v>
      </c>
      <c r="F5045" s="32">
        <v>46171.0</v>
      </c>
      <c r="G5045" s="33"/>
    </row>
    <row r="5046" ht="15.75" customHeight="1">
      <c r="A5046" s="26" t="s">
        <v>8710</v>
      </c>
      <c r="B5046" s="27" t="s">
        <v>1192</v>
      </c>
      <c r="C5046" s="27" t="s">
        <v>1159</v>
      </c>
      <c r="D5046" s="26" t="s">
        <v>3663</v>
      </c>
      <c r="E5046" s="28">
        <v>46113.0</v>
      </c>
      <c r="F5046" s="28">
        <v>46171.0</v>
      </c>
      <c r="G5046" s="29"/>
    </row>
    <row r="5047" ht="15.75" customHeight="1">
      <c r="A5047" s="30" t="s">
        <v>8711</v>
      </c>
      <c r="B5047" s="31" t="s">
        <v>1192</v>
      </c>
      <c r="C5047" s="31" t="s">
        <v>1216</v>
      </c>
      <c r="D5047" s="30" t="s">
        <v>3663</v>
      </c>
      <c r="E5047" s="32">
        <v>46113.0</v>
      </c>
      <c r="F5047" s="32">
        <v>46171.0</v>
      </c>
      <c r="G5047" s="33"/>
    </row>
    <row r="5048" ht="15.75" customHeight="1">
      <c r="A5048" s="26" t="s">
        <v>8712</v>
      </c>
      <c r="B5048" s="27" t="s">
        <v>1192</v>
      </c>
      <c r="C5048" s="27" t="s">
        <v>1351</v>
      </c>
      <c r="D5048" s="26" t="s">
        <v>3663</v>
      </c>
      <c r="E5048" s="28">
        <v>46113.0</v>
      </c>
      <c r="F5048" s="28">
        <v>46171.0</v>
      </c>
      <c r="G5048" s="29"/>
    </row>
    <row r="5049" ht="15.75" customHeight="1">
      <c r="A5049" s="30" t="s">
        <v>8713</v>
      </c>
      <c r="B5049" s="31" t="s">
        <v>1192</v>
      </c>
      <c r="C5049" s="31" t="s">
        <v>1349</v>
      </c>
      <c r="D5049" s="30" t="s">
        <v>3663</v>
      </c>
      <c r="E5049" s="32">
        <v>46113.0</v>
      </c>
      <c r="F5049" s="32">
        <v>46171.0</v>
      </c>
      <c r="G5049" s="33"/>
    </row>
    <row r="5050" ht="15.75" customHeight="1">
      <c r="A5050" s="26" t="s">
        <v>8714</v>
      </c>
      <c r="B5050" s="27" t="s">
        <v>1192</v>
      </c>
      <c r="C5050" s="27" t="s">
        <v>968</v>
      </c>
      <c r="D5050" s="26" t="s">
        <v>3663</v>
      </c>
      <c r="E5050" s="28">
        <v>46113.0</v>
      </c>
      <c r="F5050" s="28">
        <v>46171.0</v>
      </c>
      <c r="G5050" s="29"/>
    </row>
    <row r="5051" ht="15.75" customHeight="1">
      <c r="A5051" s="30" t="s">
        <v>8715</v>
      </c>
      <c r="B5051" s="31" t="s">
        <v>1192</v>
      </c>
      <c r="C5051" s="31" t="s">
        <v>923</v>
      </c>
      <c r="D5051" s="30" t="s">
        <v>3663</v>
      </c>
      <c r="E5051" s="32">
        <v>46113.0</v>
      </c>
      <c r="F5051" s="32">
        <v>46171.0</v>
      </c>
      <c r="G5051" s="33"/>
    </row>
    <row r="5052" ht="15.75" customHeight="1">
      <c r="A5052" s="26" t="s">
        <v>8716</v>
      </c>
      <c r="B5052" s="27" t="s">
        <v>536</v>
      </c>
      <c r="C5052" s="27" t="s">
        <v>1240</v>
      </c>
      <c r="D5052" s="26" t="s">
        <v>3663</v>
      </c>
      <c r="E5052" s="28">
        <v>46113.0</v>
      </c>
      <c r="F5052" s="28">
        <v>46171.0</v>
      </c>
      <c r="G5052" s="29"/>
    </row>
    <row r="5053" ht="15.75" customHeight="1">
      <c r="A5053" s="30" t="s">
        <v>8717</v>
      </c>
      <c r="B5053" s="31" t="s">
        <v>536</v>
      </c>
      <c r="C5053" s="31" t="s">
        <v>1242</v>
      </c>
      <c r="D5053" s="30" t="s">
        <v>3663</v>
      </c>
      <c r="E5053" s="32">
        <v>46113.0</v>
      </c>
      <c r="F5053" s="32">
        <v>46171.0</v>
      </c>
      <c r="G5053" s="33"/>
    </row>
    <row r="5054" ht="15.75" customHeight="1">
      <c r="A5054" s="26" t="s">
        <v>8718</v>
      </c>
      <c r="B5054" s="27" t="s">
        <v>536</v>
      </c>
      <c r="C5054" s="27" t="s">
        <v>1244</v>
      </c>
      <c r="D5054" s="26" t="s">
        <v>3663</v>
      </c>
      <c r="E5054" s="28">
        <v>46113.0</v>
      </c>
      <c r="F5054" s="28">
        <v>46171.0</v>
      </c>
      <c r="G5054" s="29"/>
    </row>
    <row r="5055" ht="15.75" customHeight="1">
      <c r="A5055" s="30" t="s">
        <v>8719</v>
      </c>
      <c r="B5055" s="31" t="s">
        <v>536</v>
      </c>
      <c r="C5055" s="31" t="s">
        <v>1246</v>
      </c>
      <c r="D5055" s="30" t="s">
        <v>3663</v>
      </c>
      <c r="E5055" s="32">
        <v>46113.0</v>
      </c>
      <c r="F5055" s="32">
        <v>46171.0</v>
      </c>
      <c r="G5055" s="33"/>
    </row>
    <row r="5056" ht="15.75" customHeight="1">
      <c r="A5056" s="26" t="s">
        <v>8720</v>
      </c>
      <c r="B5056" s="27" t="s">
        <v>536</v>
      </c>
      <c r="C5056" s="27" t="s">
        <v>3654</v>
      </c>
      <c r="D5056" s="26" t="s">
        <v>3663</v>
      </c>
      <c r="E5056" s="28">
        <v>46113.0</v>
      </c>
      <c r="F5056" s="28">
        <v>46171.0</v>
      </c>
      <c r="G5056" s="29"/>
    </row>
    <row r="5057" ht="15.75" customHeight="1">
      <c r="A5057" s="30" t="s">
        <v>8721</v>
      </c>
      <c r="B5057" s="31" t="s">
        <v>536</v>
      </c>
      <c r="C5057" s="31" t="s">
        <v>3655</v>
      </c>
      <c r="D5057" s="30" t="s">
        <v>3663</v>
      </c>
      <c r="E5057" s="32">
        <v>46113.0</v>
      </c>
      <c r="F5057" s="32">
        <v>46171.0</v>
      </c>
      <c r="G5057" s="33"/>
    </row>
    <row r="5058" ht="15.75" customHeight="1">
      <c r="A5058" s="26" t="s">
        <v>8722</v>
      </c>
      <c r="B5058" s="27" t="s">
        <v>536</v>
      </c>
      <c r="C5058" s="27" t="s">
        <v>934</v>
      </c>
      <c r="D5058" s="26" t="s">
        <v>3663</v>
      </c>
      <c r="E5058" s="28">
        <v>46113.0</v>
      </c>
      <c r="F5058" s="28">
        <v>46171.0</v>
      </c>
      <c r="G5058" s="29"/>
    </row>
    <row r="5059" ht="15.75" customHeight="1">
      <c r="A5059" s="30" t="s">
        <v>8723</v>
      </c>
      <c r="B5059" s="31" t="s">
        <v>536</v>
      </c>
      <c r="C5059" s="31" t="s">
        <v>1354</v>
      </c>
      <c r="D5059" s="30" t="s">
        <v>3663</v>
      </c>
      <c r="E5059" s="32">
        <v>46113.0</v>
      </c>
      <c r="F5059" s="32">
        <v>46171.0</v>
      </c>
      <c r="G5059" s="33"/>
    </row>
    <row r="5060" ht="15.75" customHeight="1">
      <c r="A5060" s="26" t="s">
        <v>8724</v>
      </c>
      <c r="B5060" s="27" t="s">
        <v>536</v>
      </c>
      <c r="C5060" s="27" t="s">
        <v>1159</v>
      </c>
      <c r="D5060" s="26" t="s">
        <v>3663</v>
      </c>
      <c r="E5060" s="28">
        <v>46113.0</v>
      </c>
      <c r="F5060" s="28">
        <v>46171.0</v>
      </c>
      <c r="G5060" s="29"/>
    </row>
    <row r="5061" ht="15.75" customHeight="1">
      <c r="A5061" s="30" t="s">
        <v>8725</v>
      </c>
      <c r="B5061" s="31" t="s">
        <v>536</v>
      </c>
      <c r="C5061" s="31" t="s">
        <v>3647</v>
      </c>
      <c r="D5061" s="30" t="s">
        <v>3663</v>
      </c>
      <c r="E5061" s="32">
        <v>46113.0</v>
      </c>
      <c r="F5061" s="32">
        <v>46171.0</v>
      </c>
      <c r="G5061" s="33"/>
    </row>
    <row r="5062" ht="15.75" customHeight="1">
      <c r="A5062" s="26" t="s">
        <v>8726</v>
      </c>
      <c r="B5062" s="27" t="s">
        <v>536</v>
      </c>
      <c r="C5062" s="27" t="s">
        <v>952</v>
      </c>
      <c r="D5062" s="26" t="s">
        <v>3663</v>
      </c>
      <c r="E5062" s="28">
        <v>46113.0</v>
      </c>
      <c r="F5062" s="28">
        <v>46171.0</v>
      </c>
      <c r="G5062" s="29"/>
    </row>
    <row r="5063" ht="15.75" customHeight="1">
      <c r="A5063" s="30" t="s">
        <v>8727</v>
      </c>
      <c r="B5063" s="31" t="s">
        <v>536</v>
      </c>
      <c r="C5063" s="31" t="s">
        <v>1216</v>
      </c>
      <c r="D5063" s="30" t="s">
        <v>3663</v>
      </c>
      <c r="E5063" s="32">
        <v>46113.0</v>
      </c>
      <c r="F5063" s="32">
        <v>46171.0</v>
      </c>
      <c r="G5063" s="33"/>
    </row>
    <row r="5064" ht="15.75" customHeight="1">
      <c r="A5064" s="26" t="s">
        <v>8728</v>
      </c>
      <c r="B5064" s="27" t="s">
        <v>536</v>
      </c>
      <c r="C5064" s="27" t="s">
        <v>965</v>
      </c>
      <c r="D5064" s="26" t="s">
        <v>3663</v>
      </c>
      <c r="E5064" s="28">
        <v>46113.0</v>
      </c>
      <c r="F5064" s="28">
        <v>46171.0</v>
      </c>
      <c r="G5064" s="29"/>
    </row>
    <row r="5065" ht="15.75" customHeight="1">
      <c r="A5065" s="30" t="s">
        <v>8729</v>
      </c>
      <c r="B5065" s="31" t="s">
        <v>536</v>
      </c>
      <c r="C5065" s="31" t="s">
        <v>923</v>
      </c>
      <c r="D5065" s="30" t="s">
        <v>3663</v>
      </c>
      <c r="E5065" s="32">
        <v>46113.0</v>
      </c>
      <c r="F5065" s="32">
        <v>46171.0</v>
      </c>
      <c r="G5065" s="33"/>
    </row>
    <row r="5066" ht="15.75" customHeight="1">
      <c r="A5066" s="26" t="s">
        <v>8730</v>
      </c>
      <c r="B5066" s="27" t="s">
        <v>537</v>
      </c>
      <c r="C5066" s="27" t="s">
        <v>1240</v>
      </c>
      <c r="D5066" s="26" t="s">
        <v>3663</v>
      </c>
      <c r="E5066" s="28">
        <v>46113.0</v>
      </c>
      <c r="F5066" s="28">
        <v>46171.0</v>
      </c>
      <c r="G5066" s="29"/>
    </row>
    <row r="5067" ht="15.75" customHeight="1">
      <c r="A5067" s="30" t="s">
        <v>8731</v>
      </c>
      <c r="B5067" s="31" t="s">
        <v>537</v>
      </c>
      <c r="C5067" s="31" t="s">
        <v>1242</v>
      </c>
      <c r="D5067" s="30" t="s">
        <v>3663</v>
      </c>
      <c r="E5067" s="32">
        <v>46113.0</v>
      </c>
      <c r="F5067" s="32">
        <v>46171.0</v>
      </c>
      <c r="G5067" s="33"/>
    </row>
    <row r="5068" ht="15.75" customHeight="1">
      <c r="A5068" s="26" t="s">
        <v>8732</v>
      </c>
      <c r="B5068" s="27" t="s">
        <v>537</v>
      </c>
      <c r="C5068" s="27" t="s">
        <v>1244</v>
      </c>
      <c r="D5068" s="26" t="s">
        <v>3663</v>
      </c>
      <c r="E5068" s="28">
        <v>46113.0</v>
      </c>
      <c r="F5068" s="28">
        <v>46171.0</v>
      </c>
      <c r="G5068" s="29"/>
    </row>
    <row r="5069" ht="15.75" customHeight="1">
      <c r="A5069" s="30" t="s">
        <v>8733</v>
      </c>
      <c r="B5069" s="31" t="s">
        <v>537</v>
      </c>
      <c r="C5069" s="31" t="s">
        <v>1246</v>
      </c>
      <c r="D5069" s="30" t="s">
        <v>3663</v>
      </c>
      <c r="E5069" s="32">
        <v>46113.0</v>
      </c>
      <c r="F5069" s="32">
        <v>46171.0</v>
      </c>
      <c r="G5069" s="33"/>
    </row>
    <row r="5070" ht="15.75" customHeight="1">
      <c r="A5070" s="26" t="s">
        <v>8734</v>
      </c>
      <c r="B5070" s="27" t="s">
        <v>537</v>
      </c>
      <c r="C5070" s="27" t="s">
        <v>3654</v>
      </c>
      <c r="D5070" s="26" t="s">
        <v>3663</v>
      </c>
      <c r="E5070" s="28">
        <v>46113.0</v>
      </c>
      <c r="F5070" s="28">
        <v>46171.0</v>
      </c>
      <c r="G5070" s="29"/>
    </row>
    <row r="5071" ht="15.75" customHeight="1">
      <c r="A5071" s="30" t="s">
        <v>8735</v>
      </c>
      <c r="B5071" s="31" t="s">
        <v>537</v>
      </c>
      <c r="C5071" s="31" t="s">
        <v>3655</v>
      </c>
      <c r="D5071" s="30" t="s">
        <v>3663</v>
      </c>
      <c r="E5071" s="32">
        <v>46113.0</v>
      </c>
      <c r="F5071" s="32">
        <v>46171.0</v>
      </c>
      <c r="G5071" s="33"/>
    </row>
    <row r="5072" ht="15.75" customHeight="1">
      <c r="A5072" s="26" t="s">
        <v>8736</v>
      </c>
      <c r="B5072" s="27" t="s">
        <v>537</v>
      </c>
      <c r="C5072" s="27" t="s">
        <v>934</v>
      </c>
      <c r="D5072" s="26" t="s">
        <v>3663</v>
      </c>
      <c r="E5072" s="28">
        <v>46113.0</v>
      </c>
      <c r="F5072" s="28">
        <v>46171.0</v>
      </c>
      <c r="G5072" s="29"/>
    </row>
    <row r="5073" ht="15.75" customHeight="1">
      <c r="A5073" s="30" t="s">
        <v>8737</v>
      </c>
      <c r="B5073" s="31" t="s">
        <v>537</v>
      </c>
      <c r="C5073" s="31" t="s">
        <v>1354</v>
      </c>
      <c r="D5073" s="30" t="s">
        <v>3663</v>
      </c>
      <c r="E5073" s="32">
        <v>46113.0</v>
      </c>
      <c r="F5073" s="32">
        <v>46171.0</v>
      </c>
      <c r="G5073" s="33"/>
    </row>
    <row r="5074" ht="15.75" customHeight="1">
      <c r="A5074" s="26" t="s">
        <v>8738</v>
      </c>
      <c r="B5074" s="27" t="s">
        <v>537</v>
      </c>
      <c r="C5074" s="27" t="s">
        <v>1312</v>
      </c>
      <c r="D5074" s="26" t="s">
        <v>3663</v>
      </c>
      <c r="E5074" s="28">
        <v>46113.0</v>
      </c>
      <c r="F5074" s="28">
        <v>46171.0</v>
      </c>
      <c r="G5074" s="29"/>
    </row>
    <row r="5075" ht="15.75" customHeight="1">
      <c r="A5075" s="30" t="s">
        <v>8739</v>
      </c>
      <c r="B5075" s="31" t="s">
        <v>537</v>
      </c>
      <c r="C5075" s="31" t="s">
        <v>1208</v>
      </c>
      <c r="D5075" s="30" t="s">
        <v>3663</v>
      </c>
      <c r="E5075" s="32">
        <v>46113.0</v>
      </c>
      <c r="F5075" s="32">
        <v>46171.0</v>
      </c>
      <c r="G5075" s="33"/>
    </row>
    <row r="5076" ht="15.75" customHeight="1">
      <c r="A5076" s="26" t="s">
        <v>8740</v>
      </c>
      <c r="B5076" s="27" t="s">
        <v>537</v>
      </c>
      <c r="C5076" s="27" t="s">
        <v>1351</v>
      </c>
      <c r="D5076" s="26" t="s">
        <v>3663</v>
      </c>
      <c r="E5076" s="28">
        <v>46113.0</v>
      </c>
      <c r="F5076" s="28">
        <v>46171.0</v>
      </c>
      <c r="G5076" s="29"/>
    </row>
    <row r="5077" ht="15.75" customHeight="1">
      <c r="A5077" s="30" t="s">
        <v>8741</v>
      </c>
      <c r="B5077" s="31" t="s">
        <v>537</v>
      </c>
      <c r="C5077" s="31" t="s">
        <v>1349</v>
      </c>
      <c r="D5077" s="30" t="s">
        <v>3663</v>
      </c>
      <c r="E5077" s="32">
        <v>46113.0</v>
      </c>
      <c r="F5077" s="32">
        <v>46171.0</v>
      </c>
      <c r="G5077" s="33"/>
    </row>
    <row r="5078" ht="15.75" customHeight="1">
      <c r="A5078" s="26" t="s">
        <v>8742</v>
      </c>
      <c r="B5078" s="27" t="s">
        <v>537</v>
      </c>
      <c r="C5078" s="27" t="s">
        <v>968</v>
      </c>
      <c r="D5078" s="26" t="s">
        <v>3663</v>
      </c>
      <c r="E5078" s="28">
        <v>46113.0</v>
      </c>
      <c r="F5078" s="28">
        <v>46171.0</v>
      </c>
      <c r="G5078" s="29"/>
    </row>
    <row r="5079" ht="15.75" customHeight="1">
      <c r="A5079" s="30" t="s">
        <v>8743</v>
      </c>
      <c r="B5079" s="31" t="s">
        <v>537</v>
      </c>
      <c r="C5079" s="31" t="s">
        <v>923</v>
      </c>
      <c r="D5079" s="30" t="s">
        <v>3663</v>
      </c>
      <c r="E5079" s="32">
        <v>46113.0</v>
      </c>
      <c r="F5079" s="32">
        <v>46171.0</v>
      </c>
      <c r="G5079" s="33"/>
    </row>
    <row r="5080" ht="15.75" customHeight="1">
      <c r="A5080" s="26" t="s">
        <v>8744</v>
      </c>
      <c r="B5080" s="27" t="s">
        <v>538</v>
      </c>
      <c r="C5080" s="27" t="s">
        <v>1240</v>
      </c>
      <c r="D5080" s="26" t="s">
        <v>3663</v>
      </c>
      <c r="E5080" s="28">
        <v>46113.0</v>
      </c>
      <c r="F5080" s="28">
        <v>46171.0</v>
      </c>
      <c r="G5080" s="29"/>
    </row>
    <row r="5081" ht="15.75" customHeight="1">
      <c r="A5081" s="30" t="s">
        <v>8745</v>
      </c>
      <c r="B5081" s="31" t="s">
        <v>538</v>
      </c>
      <c r="C5081" s="31" t="s">
        <v>1242</v>
      </c>
      <c r="D5081" s="30" t="s">
        <v>3663</v>
      </c>
      <c r="E5081" s="32">
        <v>46113.0</v>
      </c>
      <c r="F5081" s="32">
        <v>46171.0</v>
      </c>
      <c r="G5081" s="33"/>
    </row>
    <row r="5082" ht="15.75" customHeight="1">
      <c r="A5082" s="26" t="s">
        <v>8746</v>
      </c>
      <c r="B5082" s="27" t="s">
        <v>538</v>
      </c>
      <c r="C5082" s="27" t="s">
        <v>1244</v>
      </c>
      <c r="D5082" s="26" t="s">
        <v>3663</v>
      </c>
      <c r="E5082" s="28">
        <v>46113.0</v>
      </c>
      <c r="F5082" s="28">
        <v>46171.0</v>
      </c>
      <c r="G5082" s="29"/>
    </row>
    <row r="5083" ht="15.75" customHeight="1">
      <c r="A5083" s="30" t="s">
        <v>8747</v>
      </c>
      <c r="B5083" s="31" t="s">
        <v>538</v>
      </c>
      <c r="C5083" s="31" t="s">
        <v>1246</v>
      </c>
      <c r="D5083" s="30" t="s">
        <v>3663</v>
      </c>
      <c r="E5083" s="32">
        <v>46113.0</v>
      </c>
      <c r="F5083" s="32">
        <v>46171.0</v>
      </c>
      <c r="G5083" s="33"/>
    </row>
    <row r="5084" ht="15.75" customHeight="1">
      <c r="A5084" s="26" t="s">
        <v>8748</v>
      </c>
      <c r="B5084" s="27" t="s">
        <v>538</v>
      </c>
      <c r="C5084" s="27" t="s">
        <v>928</v>
      </c>
      <c r="D5084" s="26" t="s">
        <v>3663</v>
      </c>
      <c r="E5084" s="28">
        <v>46113.0</v>
      </c>
      <c r="F5084" s="28">
        <v>46171.0</v>
      </c>
      <c r="G5084" s="29"/>
    </row>
    <row r="5085" ht="15.75" customHeight="1">
      <c r="A5085" s="30" t="s">
        <v>8749</v>
      </c>
      <c r="B5085" s="31" t="s">
        <v>538</v>
      </c>
      <c r="C5085" s="31" t="s">
        <v>1354</v>
      </c>
      <c r="D5085" s="30" t="s">
        <v>3663</v>
      </c>
      <c r="E5085" s="32">
        <v>46113.0</v>
      </c>
      <c r="F5085" s="32">
        <v>46171.0</v>
      </c>
      <c r="G5085" s="33"/>
    </row>
    <row r="5086" ht="15.75" customHeight="1">
      <c r="A5086" s="26" t="s">
        <v>8750</v>
      </c>
      <c r="B5086" s="27" t="s">
        <v>538</v>
      </c>
      <c r="C5086" s="27" t="s">
        <v>3656</v>
      </c>
      <c r="D5086" s="26" t="s">
        <v>3663</v>
      </c>
      <c r="E5086" s="28">
        <v>46113.0</v>
      </c>
      <c r="F5086" s="28">
        <v>46171.0</v>
      </c>
      <c r="G5086" s="29"/>
    </row>
    <row r="5087" ht="15.75" customHeight="1">
      <c r="A5087" s="30" t="s">
        <v>8751</v>
      </c>
      <c r="B5087" s="31" t="s">
        <v>538</v>
      </c>
      <c r="C5087" s="31" t="s">
        <v>3657</v>
      </c>
      <c r="D5087" s="30" t="s">
        <v>3663</v>
      </c>
      <c r="E5087" s="32">
        <v>46113.0</v>
      </c>
      <c r="F5087" s="32">
        <v>46171.0</v>
      </c>
      <c r="G5087" s="33"/>
    </row>
    <row r="5088" ht="15.75" customHeight="1">
      <c r="A5088" s="26" t="s">
        <v>8752</v>
      </c>
      <c r="B5088" s="27" t="s">
        <v>538</v>
      </c>
      <c r="C5088" s="27" t="s">
        <v>1216</v>
      </c>
      <c r="D5088" s="26" t="s">
        <v>3663</v>
      </c>
      <c r="E5088" s="28">
        <v>46113.0</v>
      </c>
      <c r="F5088" s="28">
        <v>46171.0</v>
      </c>
      <c r="G5088" s="29"/>
    </row>
    <row r="5089" ht="15.75" customHeight="1">
      <c r="A5089" s="30" t="s">
        <v>8753</v>
      </c>
      <c r="B5089" s="31" t="s">
        <v>538</v>
      </c>
      <c r="C5089" s="31" t="s">
        <v>1218</v>
      </c>
      <c r="D5089" s="30" t="s">
        <v>3663</v>
      </c>
      <c r="E5089" s="32">
        <v>46113.0</v>
      </c>
      <c r="F5089" s="32">
        <v>46171.0</v>
      </c>
      <c r="G5089" s="33"/>
    </row>
    <row r="5090" ht="15.75" customHeight="1">
      <c r="A5090" s="26" t="s">
        <v>8754</v>
      </c>
      <c r="B5090" s="27" t="s">
        <v>538</v>
      </c>
      <c r="C5090" s="27" t="s">
        <v>1351</v>
      </c>
      <c r="D5090" s="26" t="s">
        <v>3663</v>
      </c>
      <c r="E5090" s="28">
        <v>46113.0</v>
      </c>
      <c r="F5090" s="28">
        <v>46171.0</v>
      </c>
      <c r="G5090" s="29"/>
    </row>
    <row r="5091" ht="15.75" customHeight="1">
      <c r="A5091" s="30" t="s">
        <v>8755</v>
      </c>
      <c r="B5091" s="31" t="s">
        <v>538</v>
      </c>
      <c r="C5091" s="31" t="s">
        <v>1349</v>
      </c>
      <c r="D5091" s="30" t="s">
        <v>3663</v>
      </c>
      <c r="E5091" s="32">
        <v>46113.0</v>
      </c>
      <c r="F5091" s="32">
        <v>46171.0</v>
      </c>
      <c r="G5091" s="33"/>
    </row>
    <row r="5092" ht="15.75" customHeight="1">
      <c r="A5092" s="26" t="s">
        <v>8756</v>
      </c>
      <c r="B5092" s="27" t="s">
        <v>538</v>
      </c>
      <c r="C5092" s="27" t="s">
        <v>968</v>
      </c>
      <c r="D5092" s="26" t="s">
        <v>3663</v>
      </c>
      <c r="E5092" s="28">
        <v>46113.0</v>
      </c>
      <c r="F5092" s="28">
        <v>46171.0</v>
      </c>
      <c r="G5092" s="29"/>
    </row>
    <row r="5093" ht="15.75" customHeight="1">
      <c r="A5093" s="30" t="s">
        <v>8757</v>
      </c>
      <c r="B5093" s="31" t="s">
        <v>538</v>
      </c>
      <c r="C5093" s="31" t="s">
        <v>923</v>
      </c>
      <c r="D5093" s="30" t="s">
        <v>3663</v>
      </c>
      <c r="E5093" s="32">
        <v>46113.0</v>
      </c>
      <c r="F5093" s="32">
        <v>46171.0</v>
      </c>
      <c r="G5093" s="33"/>
    </row>
    <row r="5094" ht="15.75" customHeight="1">
      <c r="A5094" s="26" t="s">
        <v>8758</v>
      </c>
      <c r="B5094" s="27" t="s">
        <v>539</v>
      </c>
      <c r="C5094" s="27" t="s">
        <v>3654</v>
      </c>
      <c r="D5094" s="26" t="s">
        <v>3750</v>
      </c>
      <c r="E5094" s="28">
        <v>46113.0</v>
      </c>
      <c r="F5094" s="28">
        <v>46171.0</v>
      </c>
      <c r="G5094" s="29"/>
    </row>
    <row r="5095" ht="15.75" customHeight="1">
      <c r="A5095" s="30" t="s">
        <v>8759</v>
      </c>
      <c r="B5095" s="31" t="s">
        <v>539</v>
      </c>
      <c r="C5095" s="31" t="s">
        <v>3655</v>
      </c>
      <c r="D5095" s="30" t="s">
        <v>3750</v>
      </c>
      <c r="E5095" s="32">
        <v>46113.0</v>
      </c>
      <c r="F5095" s="32">
        <v>46171.0</v>
      </c>
      <c r="G5095" s="33"/>
    </row>
    <row r="5096" ht="15.75" customHeight="1">
      <c r="A5096" s="26" t="s">
        <v>8760</v>
      </c>
      <c r="B5096" s="27" t="s">
        <v>539</v>
      </c>
      <c r="C5096" s="27" t="s">
        <v>926</v>
      </c>
      <c r="D5096" s="26" t="s">
        <v>3750</v>
      </c>
      <c r="E5096" s="28">
        <v>46113.0</v>
      </c>
      <c r="F5096" s="28">
        <v>46171.0</v>
      </c>
      <c r="G5096" s="29"/>
    </row>
    <row r="5097" ht="15.75" customHeight="1">
      <c r="A5097" s="30" t="s">
        <v>8761</v>
      </c>
      <c r="B5097" s="31" t="s">
        <v>539</v>
      </c>
      <c r="C5097" s="31" t="s">
        <v>1354</v>
      </c>
      <c r="D5097" s="30" t="s">
        <v>3750</v>
      </c>
      <c r="E5097" s="32">
        <v>46113.0</v>
      </c>
      <c r="F5097" s="32">
        <v>46171.0</v>
      </c>
      <c r="G5097" s="33"/>
    </row>
    <row r="5098" ht="15.75" customHeight="1">
      <c r="A5098" s="26" t="s">
        <v>8762</v>
      </c>
      <c r="B5098" s="27" t="s">
        <v>539</v>
      </c>
      <c r="C5098" s="27" t="s">
        <v>3647</v>
      </c>
      <c r="D5098" s="26" t="s">
        <v>3750</v>
      </c>
      <c r="E5098" s="28">
        <v>46113.0</v>
      </c>
      <c r="F5098" s="28">
        <v>46171.0</v>
      </c>
      <c r="G5098" s="29"/>
    </row>
    <row r="5099" ht="15.75" customHeight="1">
      <c r="A5099" s="30" t="s">
        <v>8763</v>
      </c>
      <c r="B5099" s="31" t="s">
        <v>539</v>
      </c>
      <c r="C5099" s="31" t="s">
        <v>952</v>
      </c>
      <c r="D5099" s="30" t="s">
        <v>3750</v>
      </c>
      <c r="E5099" s="32">
        <v>46113.0</v>
      </c>
      <c r="F5099" s="32">
        <v>46171.0</v>
      </c>
      <c r="G5099" s="33"/>
    </row>
    <row r="5100" ht="15.75" customHeight="1">
      <c r="A5100" s="26" t="s">
        <v>8764</v>
      </c>
      <c r="B5100" s="27" t="s">
        <v>539</v>
      </c>
      <c r="C5100" s="27" t="s">
        <v>3648</v>
      </c>
      <c r="D5100" s="26" t="s">
        <v>3750</v>
      </c>
      <c r="E5100" s="28">
        <v>46113.0</v>
      </c>
      <c r="F5100" s="28">
        <v>46171.0</v>
      </c>
      <c r="G5100" s="29"/>
    </row>
    <row r="5101" ht="15.75" customHeight="1">
      <c r="A5101" s="30" t="s">
        <v>8765</v>
      </c>
      <c r="B5101" s="31" t="s">
        <v>539</v>
      </c>
      <c r="C5101" s="31" t="s">
        <v>3649</v>
      </c>
      <c r="D5101" s="30" t="s">
        <v>3750</v>
      </c>
      <c r="E5101" s="32">
        <v>46113.0</v>
      </c>
      <c r="F5101" s="32">
        <v>46171.0</v>
      </c>
      <c r="G5101" s="33"/>
    </row>
    <row r="5102" ht="15.75" customHeight="1">
      <c r="A5102" s="26" t="s">
        <v>8766</v>
      </c>
      <c r="B5102" s="27" t="s">
        <v>539</v>
      </c>
      <c r="C5102" s="27" t="s">
        <v>3650</v>
      </c>
      <c r="D5102" s="26" t="s">
        <v>3750</v>
      </c>
      <c r="E5102" s="28">
        <v>46113.0</v>
      </c>
      <c r="F5102" s="28">
        <v>46171.0</v>
      </c>
      <c r="G5102" s="29"/>
    </row>
    <row r="5103" ht="15.75" customHeight="1">
      <c r="A5103" s="30" t="s">
        <v>8767</v>
      </c>
      <c r="B5103" s="31" t="s">
        <v>539</v>
      </c>
      <c r="C5103" s="31" t="s">
        <v>1283</v>
      </c>
      <c r="D5103" s="30" t="s">
        <v>3750</v>
      </c>
      <c r="E5103" s="32">
        <v>46113.0</v>
      </c>
      <c r="F5103" s="32">
        <v>46171.0</v>
      </c>
      <c r="G5103" s="33"/>
    </row>
    <row r="5104" ht="15.75" customHeight="1">
      <c r="A5104" s="26" t="s">
        <v>8768</v>
      </c>
      <c r="B5104" s="27" t="s">
        <v>539</v>
      </c>
      <c r="C5104" s="27" t="s">
        <v>968</v>
      </c>
      <c r="D5104" s="26" t="s">
        <v>3750</v>
      </c>
      <c r="E5104" s="28">
        <v>46113.0</v>
      </c>
      <c r="F5104" s="28">
        <v>46171.0</v>
      </c>
      <c r="G5104" s="29"/>
    </row>
    <row r="5105" ht="15.75" customHeight="1">
      <c r="A5105" s="30" t="s">
        <v>8769</v>
      </c>
      <c r="B5105" s="31" t="s">
        <v>539</v>
      </c>
      <c r="C5105" s="31" t="s">
        <v>923</v>
      </c>
      <c r="D5105" s="30" t="s">
        <v>3750</v>
      </c>
      <c r="E5105" s="32">
        <v>46113.0</v>
      </c>
      <c r="F5105" s="32">
        <v>46171.0</v>
      </c>
      <c r="G5105" s="33"/>
    </row>
    <row r="5106" ht="15.75" customHeight="1">
      <c r="A5106" s="26" t="s">
        <v>8770</v>
      </c>
      <c r="B5106" s="27" t="s">
        <v>539</v>
      </c>
      <c r="C5106" s="27" t="s">
        <v>958</v>
      </c>
      <c r="D5106" s="26" t="s">
        <v>3750</v>
      </c>
      <c r="E5106" s="28">
        <v>46113.0</v>
      </c>
      <c r="F5106" s="28">
        <v>46171.0</v>
      </c>
      <c r="G5106" s="29"/>
    </row>
    <row r="5107" ht="15.75" customHeight="1">
      <c r="A5107" s="30" t="s">
        <v>8771</v>
      </c>
      <c r="B5107" s="31" t="s">
        <v>539</v>
      </c>
      <c r="C5107" s="31" t="s">
        <v>955</v>
      </c>
      <c r="D5107" s="30" t="s">
        <v>3750</v>
      </c>
      <c r="E5107" s="32">
        <v>46113.0</v>
      </c>
      <c r="F5107" s="32">
        <v>46171.0</v>
      </c>
      <c r="G5107" s="33"/>
    </row>
    <row r="5108" ht="15.75" customHeight="1">
      <c r="A5108" s="26" t="s">
        <v>8772</v>
      </c>
      <c r="B5108" s="27" t="s">
        <v>540</v>
      </c>
      <c r="C5108" s="27" t="s">
        <v>930</v>
      </c>
      <c r="D5108" s="26" t="s">
        <v>3663</v>
      </c>
      <c r="E5108" s="28">
        <v>46113.0</v>
      </c>
      <c r="F5108" s="28">
        <v>46171.0</v>
      </c>
      <c r="G5108" s="29"/>
    </row>
    <row r="5109" ht="15.75" customHeight="1">
      <c r="A5109" s="30" t="s">
        <v>8773</v>
      </c>
      <c r="B5109" s="31" t="s">
        <v>540</v>
      </c>
      <c r="C5109" s="31" t="s">
        <v>1354</v>
      </c>
      <c r="D5109" s="30" t="s">
        <v>3663</v>
      </c>
      <c r="E5109" s="32">
        <v>46113.0</v>
      </c>
      <c r="F5109" s="32">
        <v>46171.0</v>
      </c>
      <c r="G5109" s="33"/>
    </row>
    <row r="5110" ht="15.75" customHeight="1">
      <c r="A5110" s="26" t="s">
        <v>8774</v>
      </c>
      <c r="B5110" s="27" t="s">
        <v>540</v>
      </c>
      <c r="C5110" s="27" t="s">
        <v>3641</v>
      </c>
      <c r="D5110" s="26" t="s">
        <v>3663</v>
      </c>
      <c r="E5110" s="28">
        <v>46113.0</v>
      </c>
      <c r="F5110" s="28">
        <v>46171.0</v>
      </c>
      <c r="G5110" s="29"/>
    </row>
    <row r="5111" ht="15.75" customHeight="1">
      <c r="A5111" s="30" t="s">
        <v>8775</v>
      </c>
      <c r="B5111" s="31" t="s">
        <v>540</v>
      </c>
      <c r="C5111" s="31" t="s">
        <v>1304</v>
      </c>
      <c r="D5111" s="30" t="s">
        <v>3663</v>
      </c>
      <c r="E5111" s="32">
        <v>46113.0</v>
      </c>
      <c r="F5111" s="32">
        <v>46171.0</v>
      </c>
      <c r="G5111" s="33"/>
    </row>
    <row r="5112" ht="15.75" customHeight="1">
      <c r="A5112" s="26" t="s">
        <v>8776</v>
      </c>
      <c r="B5112" s="27" t="s">
        <v>540</v>
      </c>
      <c r="C5112" s="27" t="s">
        <v>3642</v>
      </c>
      <c r="D5112" s="26" t="s">
        <v>3663</v>
      </c>
      <c r="E5112" s="28">
        <v>46113.0</v>
      </c>
      <c r="F5112" s="28">
        <v>46171.0</v>
      </c>
      <c r="G5112" s="29"/>
    </row>
    <row r="5113" ht="15.75" customHeight="1">
      <c r="A5113" s="30" t="s">
        <v>8777</v>
      </c>
      <c r="B5113" s="31" t="s">
        <v>540</v>
      </c>
      <c r="C5113" s="31" t="s">
        <v>1308</v>
      </c>
      <c r="D5113" s="30" t="s">
        <v>3663</v>
      </c>
      <c r="E5113" s="32">
        <v>46113.0</v>
      </c>
      <c r="F5113" s="32">
        <v>46171.0</v>
      </c>
      <c r="G5113" s="33"/>
    </row>
    <row r="5114" ht="15.75" customHeight="1">
      <c r="A5114" s="26" t="s">
        <v>8778</v>
      </c>
      <c r="B5114" s="27" t="s">
        <v>540</v>
      </c>
      <c r="C5114" s="27" t="s">
        <v>1172</v>
      </c>
      <c r="D5114" s="26" t="s">
        <v>3663</v>
      </c>
      <c r="E5114" s="28">
        <v>46113.0</v>
      </c>
      <c r="F5114" s="28">
        <v>46171.0</v>
      </c>
      <c r="G5114" s="29"/>
    </row>
    <row r="5115" ht="15.75" customHeight="1">
      <c r="A5115" s="30" t="s">
        <v>8779</v>
      </c>
      <c r="B5115" s="31" t="s">
        <v>540</v>
      </c>
      <c r="C5115" s="31" t="s">
        <v>3656</v>
      </c>
      <c r="D5115" s="30" t="s">
        <v>3663</v>
      </c>
      <c r="E5115" s="32">
        <v>46113.0</v>
      </c>
      <c r="F5115" s="32">
        <v>46171.0</v>
      </c>
      <c r="G5115" s="33"/>
    </row>
    <row r="5116" ht="15.75" customHeight="1">
      <c r="A5116" s="26" t="s">
        <v>8780</v>
      </c>
      <c r="B5116" s="27" t="s">
        <v>540</v>
      </c>
      <c r="C5116" s="27" t="s">
        <v>3657</v>
      </c>
      <c r="D5116" s="26" t="s">
        <v>3663</v>
      </c>
      <c r="E5116" s="28">
        <v>46113.0</v>
      </c>
      <c r="F5116" s="28">
        <v>46171.0</v>
      </c>
      <c r="G5116" s="29"/>
    </row>
    <row r="5117" ht="15.75" customHeight="1">
      <c r="A5117" s="30" t="s">
        <v>8781</v>
      </c>
      <c r="B5117" s="31" t="s">
        <v>540</v>
      </c>
      <c r="C5117" s="31" t="s">
        <v>1216</v>
      </c>
      <c r="D5117" s="30" t="s">
        <v>3663</v>
      </c>
      <c r="E5117" s="32">
        <v>46113.0</v>
      </c>
      <c r="F5117" s="32">
        <v>46171.0</v>
      </c>
      <c r="G5117" s="33"/>
    </row>
    <row r="5118" ht="15.75" customHeight="1">
      <c r="A5118" s="26" t="s">
        <v>8782</v>
      </c>
      <c r="B5118" s="27" t="s">
        <v>540</v>
      </c>
      <c r="C5118" s="27" t="s">
        <v>1351</v>
      </c>
      <c r="D5118" s="26" t="s">
        <v>3663</v>
      </c>
      <c r="E5118" s="28">
        <v>46113.0</v>
      </c>
      <c r="F5118" s="28">
        <v>46171.0</v>
      </c>
      <c r="G5118" s="29"/>
    </row>
    <row r="5119" ht="15.75" customHeight="1">
      <c r="A5119" s="30" t="s">
        <v>8783</v>
      </c>
      <c r="B5119" s="31" t="s">
        <v>540</v>
      </c>
      <c r="C5119" s="31" t="s">
        <v>1349</v>
      </c>
      <c r="D5119" s="30" t="s">
        <v>3663</v>
      </c>
      <c r="E5119" s="32">
        <v>46113.0</v>
      </c>
      <c r="F5119" s="32">
        <v>46171.0</v>
      </c>
      <c r="G5119" s="33"/>
    </row>
    <row r="5120" ht="15.75" customHeight="1">
      <c r="A5120" s="26" t="s">
        <v>8784</v>
      </c>
      <c r="B5120" s="27" t="s">
        <v>540</v>
      </c>
      <c r="C5120" s="27" t="s">
        <v>965</v>
      </c>
      <c r="D5120" s="26" t="s">
        <v>3663</v>
      </c>
      <c r="E5120" s="28">
        <v>46113.0</v>
      </c>
      <c r="F5120" s="28">
        <v>46171.0</v>
      </c>
      <c r="G5120" s="29"/>
    </row>
    <row r="5121" ht="15.75" customHeight="1">
      <c r="A5121" s="30" t="s">
        <v>8785</v>
      </c>
      <c r="B5121" s="31" t="s">
        <v>540</v>
      </c>
      <c r="C5121" s="31" t="s">
        <v>923</v>
      </c>
      <c r="D5121" s="30" t="s">
        <v>3663</v>
      </c>
      <c r="E5121" s="32">
        <v>46113.0</v>
      </c>
      <c r="F5121" s="32">
        <v>46171.0</v>
      </c>
      <c r="G5121" s="33"/>
    </row>
    <row r="5122" ht="15.75" customHeight="1">
      <c r="A5122" s="26" t="s">
        <v>8786</v>
      </c>
      <c r="B5122" s="27" t="s">
        <v>1161</v>
      </c>
      <c r="C5122" s="27" t="s">
        <v>932</v>
      </c>
      <c r="D5122" s="26" t="s">
        <v>3663</v>
      </c>
      <c r="E5122" s="28">
        <v>46113.0</v>
      </c>
      <c r="F5122" s="28">
        <v>46171.0</v>
      </c>
      <c r="G5122" s="29"/>
    </row>
    <row r="5123" ht="15.75" customHeight="1">
      <c r="A5123" s="30" t="s">
        <v>8787</v>
      </c>
      <c r="B5123" s="31" t="s">
        <v>1161</v>
      </c>
      <c r="C5123" s="31" t="s">
        <v>1164</v>
      </c>
      <c r="D5123" s="30" t="s">
        <v>3663</v>
      </c>
      <c r="E5123" s="32">
        <v>46113.0</v>
      </c>
      <c r="F5123" s="32">
        <v>46171.0</v>
      </c>
      <c r="G5123" s="33"/>
    </row>
    <row r="5124" ht="15.75" customHeight="1">
      <c r="A5124" s="26" t="s">
        <v>8788</v>
      </c>
      <c r="B5124" s="27" t="s">
        <v>1161</v>
      </c>
      <c r="C5124" s="27" t="s">
        <v>1166</v>
      </c>
      <c r="D5124" s="26" t="s">
        <v>3663</v>
      </c>
      <c r="E5124" s="28">
        <v>46113.0</v>
      </c>
      <c r="F5124" s="28">
        <v>46171.0</v>
      </c>
      <c r="G5124" s="29"/>
    </row>
    <row r="5125" ht="15.75" customHeight="1">
      <c r="A5125" s="30" t="s">
        <v>8789</v>
      </c>
      <c r="B5125" s="31" t="s">
        <v>1161</v>
      </c>
      <c r="C5125" s="31" t="s">
        <v>1168</v>
      </c>
      <c r="D5125" s="30" t="s">
        <v>3663</v>
      </c>
      <c r="E5125" s="32">
        <v>46113.0</v>
      </c>
      <c r="F5125" s="32">
        <v>46171.0</v>
      </c>
      <c r="G5125" s="33"/>
    </row>
    <row r="5126" ht="15.75" customHeight="1">
      <c r="A5126" s="26" t="s">
        <v>8790</v>
      </c>
      <c r="B5126" s="27" t="s">
        <v>1161</v>
      </c>
      <c r="C5126" s="27" t="s">
        <v>1170</v>
      </c>
      <c r="D5126" s="26" t="s">
        <v>3663</v>
      </c>
      <c r="E5126" s="28">
        <v>46113.0</v>
      </c>
      <c r="F5126" s="28">
        <v>46171.0</v>
      </c>
      <c r="G5126" s="29"/>
    </row>
    <row r="5127" ht="15.75" customHeight="1">
      <c r="A5127" s="30" t="s">
        <v>8791</v>
      </c>
      <c r="B5127" s="31" t="s">
        <v>1161</v>
      </c>
      <c r="C5127" s="31" t="s">
        <v>1354</v>
      </c>
      <c r="D5127" s="30" t="s">
        <v>3663</v>
      </c>
      <c r="E5127" s="32">
        <v>46113.0</v>
      </c>
      <c r="F5127" s="32">
        <v>46171.0</v>
      </c>
      <c r="G5127" s="33"/>
    </row>
    <row r="5128" ht="15.75" customHeight="1">
      <c r="A5128" s="26" t="s">
        <v>8792</v>
      </c>
      <c r="B5128" s="27" t="s">
        <v>1161</v>
      </c>
      <c r="C5128" s="27" t="s">
        <v>1172</v>
      </c>
      <c r="D5128" s="26" t="s">
        <v>3663</v>
      </c>
      <c r="E5128" s="28">
        <v>46113.0</v>
      </c>
      <c r="F5128" s="28">
        <v>46171.0</v>
      </c>
      <c r="G5128" s="29"/>
    </row>
    <row r="5129" ht="15.75" customHeight="1">
      <c r="A5129" s="30" t="s">
        <v>8793</v>
      </c>
      <c r="B5129" s="31" t="s">
        <v>1161</v>
      </c>
      <c r="C5129" s="31" t="s">
        <v>3681</v>
      </c>
      <c r="D5129" s="30" t="s">
        <v>3663</v>
      </c>
      <c r="E5129" s="32">
        <v>46113.0</v>
      </c>
      <c r="F5129" s="32">
        <v>46171.0</v>
      </c>
      <c r="G5129" s="33"/>
    </row>
    <row r="5130" ht="15.75" customHeight="1">
      <c r="A5130" s="26" t="s">
        <v>8794</v>
      </c>
      <c r="B5130" s="27" t="s">
        <v>1161</v>
      </c>
      <c r="C5130" s="27" t="s">
        <v>3683</v>
      </c>
      <c r="D5130" s="26" t="s">
        <v>3663</v>
      </c>
      <c r="E5130" s="28">
        <v>46113.0</v>
      </c>
      <c r="F5130" s="28">
        <v>46171.0</v>
      </c>
      <c r="G5130" s="29"/>
    </row>
    <row r="5131" ht="15.75" customHeight="1">
      <c r="A5131" s="30" t="s">
        <v>8795</v>
      </c>
      <c r="B5131" s="31" t="s">
        <v>1161</v>
      </c>
      <c r="C5131" s="31" t="s">
        <v>1351</v>
      </c>
      <c r="D5131" s="30" t="s">
        <v>3663</v>
      </c>
      <c r="E5131" s="32">
        <v>46113.0</v>
      </c>
      <c r="F5131" s="32">
        <v>46171.0</v>
      </c>
      <c r="G5131" s="33"/>
    </row>
    <row r="5132" ht="15.75" customHeight="1">
      <c r="A5132" s="26" t="s">
        <v>8796</v>
      </c>
      <c r="B5132" s="27" t="s">
        <v>1161</v>
      </c>
      <c r="C5132" s="27" t="s">
        <v>1349</v>
      </c>
      <c r="D5132" s="26" t="s">
        <v>3663</v>
      </c>
      <c r="E5132" s="28">
        <v>46113.0</v>
      </c>
      <c r="F5132" s="28">
        <v>46171.0</v>
      </c>
      <c r="G5132" s="29"/>
    </row>
    <row r="5133" ht="15.75" customHeight="1">
      <c r="A5133" s="30" t="s">
        <v>8797</v>
      </c>
      <c r="B5133" s="31" t="s">
        <v>1161</v>
      </c>
      <c r="C5133" s="31" t="s">
        <v>965</v>
      </c>
      <c r="D5133" s="30" t="s">
        <v>3663</v>
      </c>
      <c r="E5133" s="32">
        <v>46113.0</v>
      </c>
      <c r="F5133" s="32">
        <v>46171.0</v>
      </c>
      <c r="G5133" s="33"/>
    </row>
    <row r="5134" ht="15.75" customHeight="1">
      <c r="A5134" s="26" t="s">
        <v>8798</v>
      </c>
      <c r="B5134" s="27" t="s">
        <v>1161</v>
      </c>
      <c r="C5134" s="27" t="s">
        <v>923</v>
      </c>
      <c r="D5134" s="26" t="s">
        <v>3663</v>
      </c>
      <c r="E5134" s="28">
        <v>46113.0</v>
      </c>
      <c r="F5134" s="28">
        <v>46171.0</v>
      </c>
      <c r="G5134" s="29"/>
    </row>
    <row r="5135" ht="15.75" customHeight="1">
      <c r="A5135" s="30" t="s">
        <v>8799</v>
      </c>
      <c r="B5135" s="31" t="s">
        <v>1161</v>
      </c>
      <c r="C5135" s="31" t="s">
        <v>955</v>
      </c>
      <c r="D5135" s="30" t="s">
        <v>3663</v>
      </c>
      <c r="E5135" s="32">
        <v>46113.0</v>
      </c>
      <c r="F5135" s="32">
        <v>46171.0</v>
      </c>
      <c r="G5135" s="33"/>
    </row>
    <row r="5136" ht="15.75" customHeight="1">
      <c r="A5136" s="26" t="s">
        <v>8800</v>
      </c>
      <c r="B5136" s="27" t="s">
        <v>541</v>
      </c>
      <c r="C5136" s="27" t="s">
        <v>1240</v>
      </c>
      <c r="D5136" s="27" t="s">
        <v>3663</v>
      </c>
      <c r="E5136" s="28">
        <v>46113.0</v>
      </c>
      <c r="F5136" s="28">
        <v>46171.0</v>
      </c>
      <c r="G5136" s="29"/>
    </row>
    <row r="5137" ht="15.75" customHeight="1">
      <c r="A5137" s="30" t="s">
        <v>8801</v>
      </c>
      <c r="B5137" s="31" t="s">
        <v>541</v>
      </c>
      <c r="C5137" s="31" t="s">
        <v>1242</v>
      </c>
      <c r="D5137" s="31" t="s">
        <v>3663</v>
      </c>
      <c r="E5137" s="32">
        <v>46113.0</v>
      </c>
      <c r="F5137" s="32">
        <v>46171.0</v>
      </c>
      <c r="G5137" s="33"/>
    </row>
    <row r="5138" ht="15.75" customHeight="1">
      <c r="A5138" s="26" t="s">
        <v>8802</v>
      </c>
      <c r="B5138" s="27" t="s">
        <v>541</v>
      </c>
      <c r="C5138" s="27" t="s">
        <v>1244</v>
      </c>
      <c r="D5138" s="27" t="s">
        <v>3663</v>
      </c>
      <c r="E5138" s="28">
        <v>46113.0</v>
      </c>
      <c r="F5138" s="28">
        <v>46171.0</v>
      </c>
      <c r="G5138" s="29"/>
    </row>
    <row r="5139" ht="15.75" customHeight="1">
      <c r="A5139" s="30" t="s">
        <v>8803</v>
      </c>
      <c r="B5139" s="31" t="s">
        <v>541</v>
      </c>
      <c r="C5139" s="31" t="s">
        <v>1246</v>
      </c>
      <c r="D5139" s="31" t="s">
        <v>3663</v>
      </c>
      <c r="E5139" s="32">
        <v>46113.0</v>
      </c>
      <c r="F5139" s="32">
        <v>46171.0</v>
      </c>
      <c r="G5139" s="33"/>
    </row>
    <row r="5140" ht="15.75" customHeight="1">
      <c r="A5140" s="26" t="s">
        <v>8804</v>
      </c>
      <c r="B5140" s="27" t="s">
        <v>541</v>
      </c>
      <c r="C5140" s="27" t="s">
        <v>3654</v>
      </c>
      <c r="D5140" s="26" t="s">
        <v>3663</v>
      </c>
      <c r="E5140" s="28">
        <v>46113.0</v>
      </c>
      <c r="F5140" s="28">
        <v>46171.0</v>
      </c>
      <c r="G5140" s="29"/>
    </row>
    <row r="5141" ht="15.75" customHeight="1">
      <c r="A5141" s="30" t="s">
        <v>8805</v>
      </c>
      <c r="B5141" s="31" t="s">
        <v>541</v>
      </c>
      <c r="C5141" s="31" t="s">
        <v>3655</v>
      </c>
      <c r="D5141" s="30" t="s">
        <v>3663</v>
      </c>
      <c r="E5141" s="32">
        <v>46113.0</v>
      </c>
      <c r="F5141" s="32">
        <v>46171.0</v>
      </c>
      <c r="G5141" s="33"/>
    </row>
    <row r="5142" ht="15.75" customHeight="1">
      <c r="A5142" s="26" t="s">
        <v>8806</v>
      </c>
      <c r="B5142" s="27" t="s">
        <v>541</v>
      </c>
      <c r="C5142" s="27" t="s">
        <v>934</v>
      </c>
      <c r="D5142" s="27" t="s">
        <v>3663</v>
      </c>
      <c r="E5142" s="28">
        <v>46113.0</v>
      </c>
      <c r="F5142" s="28">
        <v>46171.0</v>
      </c>
      <c r="G5142" s="29"/>
    </row>
    <row r="5143" ht="15.75" customHeight="1">
      <c r="A5143" s="30" t="s">
        <v>8807</v>
      </c>
      <c r="B5143" s="31" t="s">
        <v>541</v>
      </c>
      <c r="C5143" s="31" t="s">
        <v>1354</v>
      </c>
      <c r="D5143" s="30" t="s">
        <v>3663</v>
      </c>
      <c r="E5143" s="32">
        <v>46113.0</v>
      </c>
      <c r="F5143" s="32">
        <v>46171.0</v>
      </c>
      <c r="G5143" s="33"/>
    </row>
    <row r="5144" ht="15.75" customHeight="1">
      <c r="A5144" s="26" t="s">
        <v>8808</v>
      </c>
      <c r="B5144" s="27" t="s">
        <v>541</v>
      </c>
      <c r="C5144" s="27" t="s">
        <v>1218</v>
      </c>
      <c r="D5144" s="26" t="s">
        <v>3663</v>
      </c>
      <c r="E5144" s="28">
        <v>46113.0</v>
      </c>
      <c r="F5144" s="28">
        <v>46171.0</v>
      </c>
      <c r="G5144" s="29"/>
    </row>
    <row r="5145" ht="15.75" customHeight="1">
      <c r="A5145" s="30" t="s">
        <v>8809</v>
      </c>
      <c r="B5145" s="31" t="s">
        <v>541</v>
      </c>
      <c r="C5145" s="31" t="s">
        <v>1351</v>
      </c>
      <c r="D5145" s="30" t="s">
        <v>3663</v>
      </c>
      <c r="E5145" s="32">
        <v>46113.0</v>
      </c>
      <c r="F5145" s="32">
        <v>46171.0</v>
      </c>
      <c r="G5145" s="33"/>
    </row>
    <row r="5146" ht="15.75" customHeight="1">
      <c r="A5146" s="26" t="s">
        <v>8810</v>
      </c>
      <c r="B5146" s="27" t="s">
        <v>541</v>
      </c>
      <c r="C5146" s="27" t="s">
        <v>1349</v>
      </c>
      <c r="D5146" s="26" t="s">
        <v>3663</v>
      </c>
      <c r="E5146" s="28">
        <v>46113.0</v>
      </c>
      <c r="F5146" s="28">
        <v>46171.0</v>
      </c>
      <c r="G5146" s="29"/>
    </row>
    <row r="5147" ht="15.75" customHeight="1">
      <c r="A5147" s="30" t="s">
        <v>8811</v>
      </c>
      <c r="B5147" s="31" t="s">
        <v>541</v>
      </c>
      <c r="C5147" s="31" t="s">
        <v>968</v>
      </c>
      <c r="D5147" s="30" t="s">
        <v>3663</v>
      </c>
      <c r="E5147" s="32">
        <v>46113.0</v>
      </c>
      <c r="F5147" s="32">
        <v>46171.0</v>
      </c>
      <c r="G5147" s="33"/>
    </row>
    <row r="5148" ht="15.75" customHeight="1">
      <c r="A5148" s="26" t="s">
        <v>8812</v>
      </c>
      <c r="B5148" s="27" t="s">
        <v>541</v>
      </c>
      <c r="C5148" s="27" t="s">
        <v>923</v>
      </c>
      <c r="D5148" s="27" t="s">
        <v>3663</v>
      </c>
      <c r="E5148" s="28">
        <v>46113.0</v>
      </c>
      <c r="F5148" s="28">
        <v>46171.0</v>
      </c>
      <c r="G5148" s="29"/>
    </row>
    <row r="5149" ht="15.75" customHeight="1">
      <c r="A5149" s="30" t="s">
        <v>8813</v>
      </c>
      <c r="B5149" s="31" t="s">
        <v>541</v>
      </c>
      <c r="C5149" s="31" t="s">
        <v>955</v>
      </c>
      <c r="D5149" s="30" t="s">
        <v>3663</v>
      </c>
      <c r="E5149" s="32">
        <v>46113.0</v>
      </c>
      <c r="F5149" s="32">
        <v>46171.0</v>
      </c>
      <c r="G5149" s="33"/>
    </row>
    <row r="5150" ht="15.75" customHeight="1">
      <c r="A5150" s="26" t="s">
        <v>8814</v>
      </c>
      <c r="B5150" s="27" t="s">
        <v>542</v>
      </c>
      <c r="C5150" s="27" t="s">
        <v>934</v>
      </c>
      <c r="D5150" s="26" t="s">
        <v>3663</v>
      </c>
      <c r="E5150" s="28">
        <v>46113.0</v>
      </c>
      <c r="F5150" s="28">
        <v>46171.0</v>
      </c>
      <c r="G5150" s="29"/>
    </row>
    <row r="5151" ht="15.75" customHeight="1">
      <c r="A5151" s="30" t="s">
        <v>8815</v>
      </c>
      <c r="B5151" s="31" t="s">
        <v>542</v>
      </c>
      <c r="C5151" s="31" t="s">
        <v>1354</v>
      </c>
      <c r="D5151" s="30" t="s">
        <v>3663</v>
      </c>
      <c r="E5151" s="32">
        <v>46113.0</v>
      </c>
      <c r="F5151" s="32">
        <v>46171.0</v>
      </c>
      <c r="G5151" s="33"/>
    </row>
    <row r="5152" ht="15.75" customHeight="1">
      <c r="A5152" s="26" t="s">
        <v>8816</v>
      </c>
      <c r="B5152" s="27" t="s">
        <v>542</v>
      </c>
      <c r="C5152" s="27" t="s">
        <v>3681</v>
      </c>
      <c r="D5152" s="26" t="s">
        <v>3663</v>
      </c>
      <c r="E5152" s="28">
        <v>46113.0</v>
      </c>
      <c r="F5152" s="28">
        <v>46171.0</v>
      </c>
      <c r="G5152" s="29"/>
    </row>
    <row r="5153" ht="15.75" customHeight="1">
      <c r="A5153" s="30" t="s">
        <v>8817</v>
      </c>
      <c r="B5153" s="31" t="s">
        <v>542</v>
      </c>
      <c r="C5153" s="31" t="s">
        <v>3683</v>
      </c>
      <c r="D5153" s="30" t="s">
        <v>3663</v>
      </c>
      <c r="E5153" s="32">
        <v>46113.0</v>
      </c>
      <c r="F5153" s="32">
        <v>46171.0</v>
      </c>
      <c r="G5153" s="33"/>
    </row>
    <row r="5154" ht="15.75" customHeight="1">
      <c r="A5154" s="26" t="s">
        <v>8818</v>
      </c>
      <c r="B5154" s="27" t="s">
        <v>542</v>
      </c>
      <c r="C5154" s="27" t="s">
        <v>1157</v>
      </c>
      <c r="D5154" s="26" t="s">
        <v>3663</v>
      </c>
      <c r="E5154" s="28">
        <v>46113.0</v>
      </c>
      <c r="F5154" s="28">
        <v>46171.0</v>
      </c>
      <c r="G5154" s="29"/>
    </row>
    <row r="5155" ht="15.75" customHeight="1">
      <c r="A5155" s="30" t="s">
        <v>8819</v>
      </c>
      <c r="B5155" s="31" t="s">
        <v>542</v>
      </c>
      <c r="C5155" s="31" t="s">
        <v>1155</v>
      </c>
      <c r="D5155" s="30" t="s">
        <v>3663</v>
      </c>
      <c r="E5155" s="32">
        <v>46113.0</v>
      </c>
      <c r="F5155" s="32">
        <v>46171.0</v>
      </c>
      <c r="G5155" s="33"/>
    </row>
    <row r="5156" ht="15.75" customHeight="1">
      <c r="A5156" s="26" t="s">
        <v>8820</v>
      </c>
      <c r="B5156" s="27" t="s">
        <v>542</v>
      </c>
      <c r="C5156" s="27" t="s">
        <v>1153</v>
      </c>
      <c r="D5156" s="26" t="s">
        <v>3663</v>
      </c>
      <c r="E5156" s="28">
        <v>46113.0</v>
      </c>
      <c r="F5156" s="28">
        <v>46171.0</v>
      </c>
      <c r="G5156" s="29"/>
    </row>
    <row r="5157" ht="15.75" customHeight="1">
      <c r="A5157" s="30" t="s">
        <v>8821</v>
      </c>
      <c r="B5157" s="31" t="s">
        <v>542</v>
      </c>
      <c r="C5157" s="31" t="s">
        <v>1149</v>
      </c>
      <c r="D5157" s="30" t="s">
        <v>3663</v>
      </c>
      <c r="E5157" s="32">
        <v>46113.0</v>
      </c>
      <c r="F5157" s="32">
        <v>46171.0</v>
      </c>
      <c r="G5157" s="33"/>
    </row>
    <row r="5158" ht="15.75" customHeight="1">
      <c r="A5158" s="26" t="s">
        <v>8822</v>
      </c>
      <c r="B5158" s="27" t="s">
        <v>542</v>
      </c>
      <c r="C5158" s="27" t="s">
        <v>1351</v>
      </c>
      <c r="D5158" s="26" t="s">
        <v>3663</v>
      </c>
      <c r="E5158" s="28">
        <v>46113.0</v>
      </c>
      <c r="F5158" s="28">
        <v>46171.0</v>
      </c>
      <c r="G5158" s="29"/>
    </row>
    <row r="5159" ht="15.75" customHeight="1">
      <c r="A5159" s="30" t="s">
        <v>8823</v>
      </c>
      <c r="B5159" s="31" t="s">
        <v>542</v>
      </c>
      <c r="C5159" s="31" t="s">
        <v>1349</v>
      </c>
      <c r="D5159" s="30" t="s">
        <v>3663</v>
      </c>
      <c r="E5159" s="32">
        <v>46113.0</v>
      </c>
      <c r="F5159" s="32">
        <v>46171.0</v>
      </c>
      <c r="G5159" s="33"/>
    </row>
    <row r="5160" ht="15.75" customHeight="1">
      <c r="A5160" s="26" t="s">
        <v>8824</v>
      </c>
      <c r="B5160" s="27" t="s">
        <v>542</v>
      </c>
      <c r="C5160" s="27" t="s">
        <v>968</v>
      </c>
      <c r="D5160" s="26" t="s">
        <v>3663</v>
      </c>
      <c r="E5160" s="28">
        <v>46113.0</v>
      </c>
      <c r="F5160" s="28">
        <v>46171.0</v>
      </c>
      <c r="G5160" s="29"/>
    </row>
    <row r="5161" ht="15.75" customHeight="1">
      <c r="A5161" s="30" t="s">
        <v>8825</v>
      </c>
      <c r="B5161" s="31" t="s">
        <v>542</v>
      </c>
      <c r="C5161" s="31" t="s">
        <v>923</v>
      </c>
      <c r="D5161" s="30" t="s">
        <v>3663</v>
      </c>
      <c r="E5161" s="32">
        <v>46113.0</v>
      </c>
      <c r="F5161" s="32">
        <v>46171.0</v>
      </c>
      <c r="G5161" s="33"/>
    </row>
    <row r="5162" ht="15.75" customHeight="1">
      <c r="A5162" s="26" t="s">
        <v>8826</v>
      </c>
      <c r="B5162" s="27" t="s">
        <v>542</v>
      </c>
      <c r="C5162" s="27" t="s">
        <v>961</v>
      </c>
      <c r="D5162" s="26" t="s">
        <v>3663</v>
      </c>
      <c r="E5162" s="28">
        <v>46113.0</v>
      </c>
      <c r="F5162" s="28">
        <v>46171.0</v>
      </c>
      <c r="G5162" s="29"/>
    </row>
    <row r="5163" ht="15.75" customHeight="1">
      <c r="A5163" s="30" t="s">
        <v>8827</v>
      </c>
      <c r="B5163" s="31" t="s">
        <v>542</v>
      </c>
      <c r="C5163" s="31" t="s">
        <v>955</v>
      </c>
      <c r="D5163" s="30" t="s">
        <v>3663</v>
      </c>
      <c r="E5163" s="32">
        <v>46113.0</v>
      </c>
      <c r="F5163" s="32">
        <v>46171.0</v>
      </c>
      <c r="G5163" s="33"/>
    </row>
    <row r="5164" ht="15.75" customHeight="1">
      <c r="A5164" s="26" t="s">
        <v>8828</v>
      </c>
      <c r="B5164" s="27" t="s">
        <v>543</v>
      </c>
      <c r="C5164" s="27" t="s">
        <v>930</v>
      </c>
      <c r="D5164" s="26" t="s">
        <v>3750</v>
      </c>
      <c r="E5164" s="28">
        <v>46113.0</v>
      </c>
      <c r="F5164" s="28">
        <v>46171.0</v>
      </c>
      <c r="G5164" s="29"/>
    </row>
    <row r="5165" ht="15.75" customHeight="1">
      <c r="A5165" s="30" t="s">
        <v>8829</v>
      </c>
      <c r="B5165" s="31" t="s">
        <v>543</v>
      </c>
      <c r="C5165" s="31" t="s">
        <v>1354</v>
      </c>
      <c r="D5165" s="30" t="s">
        <v>3750</v>
      </c>
      <c r="E5165" s="32">
        <v>46113.0</v>
      </c>
      <c r="F5165" s="32">
        <v>46171.0</v>
      </c>
      <c r="G5165" s="33"/>
    </row>
    <row r="5166" ht="15.75" customHeight="1">
      <c r="A5166" s="26" t="s">
        <v>8830</v>
      </c>
      <c r="B5166" s="27" t="s">
        <v>543</v>
      </c>
      <c r="C5166" s="27" t="s">
        <v>1172</v>
      </c>
      <c r="D5166" s="26" t="s">
        <v>3750</v>
      </c>
      <c r="E5166" s="28">
        <v>46113.0</v>
      </c>
      <c r="F5166" s="28">
        <v>46171.0</v>
      </c>
      <c r="G5166" s="29"/>
    </row>
    <row r="5167" ht="15.75" customHeight="1">
      <c r="A5167" s="30" t="s">
        <v>8831</v>
      </c>
      <c r="B5167" s="31" t="s">
        <v>543</v>
      </c>
      <c r="C5167" s="31" t="s">
        <v>1312</v>
      </c>
      <c r="D5167" s="30" t="s">
        <v>3750</v>
      </c>
      <c r="E5167" s="32">
        <v>46113.0</v>
      </c>
      <c r="F5167" s="32">
        <v>46171.0</v>
      </c>
      <c r="G5167" s="33"/>
    </row>
    <row r="5168" ht="15.75" customHeight="1">
      <c r="A5168" s="26" t="s">
        <v>8832</v>
      </c>
      <c r="B5168" s="27" t="s">
        <v>543</v>
      </c>
      <c r="C5168" s="27" t="s">
        <v>1157</v>
      </c>
      <c r="D5168" s="26" t="s">
        <v>3750</v>
      </c>
      <c r="E5168" s="28">
        <v>46113.0</v>
      </c>
      <c r="F5168" s="28">
        <v>46171.0</v>
      </c>
      <c r="G5168" s="29"/>
    </row>
    <row r="5169" ht="15.75" customHeight="1">
      <c r="A5169" s="30" t="s">
        <v>8833</v>
      </c>
      <c r="B5169" s="31" t="s">
        <v>543</v>
      </c>
      <c r="C5169" s="31" t="s">
        <v>1155</v>
      </c>
      <c r="D5169" s="30" t="s">
        <v>3750</v>
      </c>
      <c r="E5169" s="32">
        <v>46113.0</v>
      </c>
      <c r="F5169" s="32">
        <v>46171.0</v>
      </c>
      <c r="G5169" s="33"/>
    </row>
    <row r="5170" ht="15.75" customHeight="1">
      <c r="A5170" s="26" t="s">
        <v>8834</v>
      </c>
      <c r="B5170" s="27" t="s">
        <v>543</v>
      </c>
      <c r="C5170" s="27" t="s">
        <v>1153</v>
      </c>
      <c r="D5170" s="26" t="s">
        <v>3750</v>
      </c>
      <c r="E5170" s="28">
        <v>46113.0</v>
      </c>
      <c r="F5170" s="28">
        <v>46171.0</v>
      </c>
      <c r="G5170" s="29"/>
    </row>
    <row r="5171" ht="15.75" customHeight="1">
      <c r="A5171" s="30" t="s">
        <v>8835</v>
      </c>
      <c r="B5171" s="31" t="s">
        <v>543</v>
      </c>
      <c r="C5171" s="31" t="s">
        <v>1149</v>
      </c>
      <c r="D5171" s="30" t="s">
        <v>3750</v>
      </c>
      <c r="E5171" s="32">
        <v>46113.0</v>
      </c>
      <c r="F5171" s="32">
        <v>46171.0</v>
      </c>
      <c r="G5171" s="33"/>
    </row>
    <row r="5172" ht="15.75" customHeight="1">
      <c r="A5172" s="26" t="s">
        <v>8836</v>
      </c>
      <c r="B5172" s="27" t="s">
        <v>543</v>
      </c>
      <c r="C5172" s="27" t="s">
        <v>1351</v>
      </c>
      <c r="D5172" s="26" t="s">
        <v>3750</v>
      </c>
      <c r="E5172" s="28">
        <v>46113.0</v>
      </c>
      <c r="F5172" s="28">
        <v>46171.0</v>
      </c>
      <c r="G5172" s="29"/>
    </row>
    <row r="5173" ht="15.75" customHeight="1">
      <c r="A5173" s="30" t="s">
        <v>8837</v>
      </c>
      <c r="B5173" s="31" t="s">
        <v>543</v>
      </c>
      <c r="C5173" s="31" t="s">
        <v>1349</v>
      </c>
      <c r="D5173" s="30" t="s">
        <v>3750</v>
      </c>
      <c r="E5173" s="32">
        <v>46113.0</v>
      </c>
      <c r="F5173" s="32">
        <v>46171.0</v>
      </c>
      <c r="G5173" s="33"/>
    </row>
    <row r="5174" ht="15.75" customHeight="1">
      <c r="A5174" s="26" t="s">
        <v>8838</v>
      </c>
      <c r="B5174" s="27" t="s">
        <v>543</v>
      </c>
      <c r="C5174" s="27" t="s">
        <v>3653</v>
      </c>
      <c r="D5174" s="26" t="s">
        <v>3750</v>
      </c>
      <c r="E5174" s="28">
        <v>46113.0</v>
      </c>
      <c r="F5174" s="28">
        <v>46171.0</v>
      </c>
      <c r="G5174" s="29"/>
    </row>
    <row r="5175" ht="15.75" customHeight="1">
      <c r="A5175" s="30" t="s">
        <v>8839</v>
      </c>
      <c r="B5175" s="31" t="s">
        <v>543</v>
      </c>
      <c r="C5175" s="31" t="s">
        <v>3652</v>
      </c>
      <c r="D5175" s="30" t="s">
        <v>3750</v>
      </c>
      <c r="E5175" s="32">
        <v>46113.0</v>
      </c>
      <c r="F5175" s="32">
        <v>46171.0</v>
      </c>
      <c r="G5175" s="33"/>
    </row>
    <row r="5176" ht="15.75" customHeight="1">
      <c r="A5176" s="26" t="s">
        <v>8840</v>
      </c>
      <c r="B5176" s="27" t="s">
        <v>543</v>
      </c>
      <c r="C5176" s="27" t="s">
        <v>968</v>
      </c>
      <c r="D5176" s="26" t="s">
        <v>3750</v>
      </c>
      <c r="E5176" s="28">
        <v>46113.0</v>
      </c>
      <c r="F5176" s="28">
        <v>46171.0</v>
      </c>
      <c r="G5176" s="29"/>
    </row>
    <row r="5177" ht="15.75" customHeight="1">
      <c r="A5177" s="30" t="s">
        <v>8841</v>
      </c>
      <c r="B5177" s="31" t="s">
        <v>543</v>
      </c>
      <c r="C5177" s="31" t="s">
        <v>923</v>
      </c>
      <c r="D5177" s="30" t="s">
        <v>3750</v>
      </c>
      <c r="E5177" s="32">
        <v>46113.0</v>
      </c>
      <c r="F5177" s="32">
        <v>46171.0</v>
      </c>
      <c r="G5177" s="33"/>
    </row>
    <row r="5178" ht="15.75" customHeight="1">
      <c r="A5178" s="26" t="s">
        <v>8842</v>
      </c>
      <c r="B5178" s="27" t="s">
        <v>544</v>
      </c>
      <c r="C5178" s="27" t="s">
        <v>1240</v>
      </c>
      <c r="D5178" s="26" t="s">
        <v>3663</v>
      </c>
      <c r="E5178" s="28">
        <v>46113.0</v>
      </c>
      <c r="F5178" s="28">
        <v>46171.0</v>
      </c>
      <c r="G5178" s="29"/>
    </row>
    <row r="5179" ht="15.75" customHeight="1">
      <c r="A5179" s="30" t="s">
        <v>8843</v>
      </c>
      <c r="B5179" s="31" t="s">
        <v>544</v>
      </c>
      <c r="C5179" s="31" t="s">
        <v>1242</v>
      </c>
      <c r="D5179" s="30" t="s">
        <v>3663</v>
      </c>
      <c r="E5179" s="32">
        <v>46113.0</v>
      </c>
      <c r="F5179" s="32">
        <v>46171.0</v>
      </c>
      <c r="G5179" s="33"/>
    </row>
    <row r="5180" ht="15.75" customHeight="1">
      <c r="A5180" s="26" t="s">
        <v>8844</v>
      </c>
      <c r="B5180" s="27" t="s">
        <v>544</v>
      </c>
      <c r="C5180" s="27" t="s">
        <v>1244</v>
      </c>
      <c r="D5180" s="26" t="s">
        <v>3663</v>
      </c>
      <c r="E5180" s="28">
        <v>46113.0</v>
      </c>
      <c r="F5180" s="28">
        <v>46171.0</v>
      </c>
      <c r="G5180" s="29"/>
    </row>
    <row r="5181" ht="15.75" customHeight="1">
      <c r="A5181" s="30" t="s">
        <v>8845</v>
      </c>
      <c r="B5181" s="31" t="s">
        <v>544</v>
      </c>
      <c r="C5181" s="31" t="s">
        <v>1246</v>
      </c>
      <c r="D5181" s="30" t="s">
        <v>3663</v>
      </c>
      <c r="E5181" s="32">
        <v>46113.0</v>
      </c>
      <c r="F5181" s="32">
        <v>46171.0</v>
      </c>
      <c r="G5181" s="33"/>
    </row>
    <row r="5182" ht="15.75" customHeight="1">
      <c r="A5182" s="26" t="s">
        <v>8846</v>
      </c>
      <c r="B5182" s="27" t="s">
        <v>544</v>
      </c>
      <c r="C5182" s="27" t="s">
        <v>934</v>
      </c>
      <c r="D5182" s="26" t="s">
        <v>3663</v>
      </c>
      <c r="E5182" s="28">
        <v>46113.0</v>
      </c>
      <c r="F5182" s="28">
        <v>46171.0</v>
      </c>
      <c r="G5182" s="29"/>
    </row>
    <row r="5183" ht="15.75" customHeight="1">
      <c r="A5183" s="30" t="s">
        <v>8847</v>
      </c>
      <c r="B5183" s="31" t="s">
        <v>544</v>
      </c>
      <c r="C5183" s="31" t="s">
        <v>1354</v>
      </c>
      <c r="D5183" s="30" t="s">
        <v>3663</v>
      </c>
      <c r="E5183" s="32">
        <v>46113.0</v>
      </c>
      <c r="F5183" s="32">
        <v>46171.0</v>
      </c>
      <c r="G5183" s="33"/>
    </row>
    <row r="5184" ht="15.75" customHeight="1">
      <c r="A5184" s="26" t="s">
        <v>8848</v>
      </c>
      <c r="B5184" s="27" t="s">
        <v>544</v>
      </c>
      <c r="C5184" s="27" t="s">
        <v>3656</v>
      </c>
      <c r="D5184" s="26" t="s">
        <v>3663</v>
      </c>
      <c r="E5184" s="28">
        <v>46113.0</v>
      </c>
      <c r="F5184" s="28">
        <v>46171.0</v>
      </c>
      <c r="G5184" s="29"/>
    </row>
    <row r="5185" ht="15.75" customHeight="1">
      <c r="A5185" s="30" t="s">
        <v>8849</v>
      </c>
      <c r="B5185" s="31" t="s">
        <v>544</v>
      </c>
      <c r="C5185" s="31" t="s">
        <v>3657</v>
      </c>
      <c r="D5185" s="30" t="s">
        <v>3663</v>
      </c>
      <c r="E5185" s="32">
        <v>46113.0</v>
      </c>
      <c r="F5185" s="32">
        <v>46171.0</v>
      </c>
      <c r="G5185" s="33"/>
    </row>
    <row r="5186" ht="15.75" customHeight="1">
      <c r="A5186" s="26" t="s">
        <v>8850</v>
      </c>
      <c r="B5186" s="27" t="s">
        <v>544</v>
      </c>
      <c r="C5186" s="27" t="s">
        <v>1216</v>
      </c>
      <c r="D5186" s="26" t="s">
        <v>3663</v>
      </c>
      <c r="E5186" s="28">
        <v>46113.0</v>
      </c>
      <c r="F5186" s="28">
        <v>46171.0</v>
      </c>
      <c r="G5186" s="29"/>
    </row>
    <row r="5187" ht="15.75" customHeight="1">
      <c r="A5187" s="30" t="s">
        <v>8851</v>
      </c>
      <c r="B5187" s="31" t="s">
        <v>544</v>
      </c>
      <c r="C5187" s="31" t="s">
        <v>1218</v>
      </c>
      <c r="D5187" s="30" t="s">
        <v>3663</v>
      </c>
      <c r="E5187" s="32">
        <v>46113.0</v>
      </c>
      <c r="F5187" s="32">
        <v>46171.0</v>
      </c>
      <c r="G5187" s="33"/>
    </row>
    <row r="5188" ht="15.75" customHeight="1">
      <c r="A5188" s="26" t="s">
        <v>8852</v>
      </c>
      <c r="B5188" s="27" t="s">
        <v>544</v>
      </c>
      <c r="C5188" s="27" t="s">
        <v>1351</v>
      </c>
      <c r="D5188" s="26" t="s">
        <v>3663</v>
      </c>
      <c r="E5188" s="28">
        <v>46113.0</v>
      </c>
      <c r="F5188" s="28">
        <v>46171.0</v>
      </c>
      <c r="G5188" s="29"/>
    </row>
    <row r="5189" ht="15.75" customHeight="1">
      <c r="A5189" s="30" t="s">
        <v>8853</v>
      </c>
      <c r="B5189" s="31" t="s">
        <v>544</v>
      </c>
      <c r="C5189" s="31" t="s">
        <v>1349</v>
      </c>
      <c r="D5189" s="30" t="s">
        <v>3663</v>
      </c>
      <c r="E5189" s="32">
        <v>46113.0</v>
      </c>
      <c r="F5189" s="32">
        <v>46171.0</v>
      </c>
      <c r="G5189" s="33"/>
    </row>
    <row r="5190" ht="15.75" customHeight="1">
      <c r="A5190" s="26" t="s">
        <v>8854</v>
      </c>
      <c r="B5190" s="27" t="s">
        <v>544</v>
      </c>
      <c r="C5190" s="27" t="s">
        <v>968</v>
      </c>
      <c r="D5190" s="26" t="s">
        <v>3663</v>
      </c>
      <c r="E5190" s="28">
        <v>46113.0</v>
      </c>
      <c r="F5190" s="28">
        <v>46171.0</v>
      </c>
      <c r="G5190" s="29"/>
    </row>
    <row r="5191" ht="15.75" customHeight="1">
      <c r="A5191" s="30" t="s">
        <v>8855</v>
      </c>
      <c r="B5191" s="31" t="s">
        <v>544</v>
      </c>
      <c r="C5191" s="31" t="s">
        <v>923</v>
      </c>
      <c r="D5191" s="30" t="s">
        <v>3663</v>
      </c>
      <c r="E5191" s="32">
        <v>46113.0</v>
      </c>
      <c r="F5191" s="32">
        <v>46171.0</v>
      </c>
      <c r="G5191" s="33"/>
    </row>
    <row r="5192" ht="15.75" customHeight="1">
      <c r="A5192" s="26" t="s">
        <v>8856</v>
      </c>
      <c r="B5192" s="27" t="s">
        <v>545</v>
      </c>
      <c r="C5192" s="27" t="s">
        <v>3654</v>
      </c>
      <c r="D5192" s="26" t="s">
        <v>3663</v>
      </c>
      <c r="E5192" s="28">
        <v>46113.0</v>
      </c>
      <c r="F5192" s="28">
        <v>46171.0</v>
      </c>
      <c r="G5192" s="29"/>
    </row>
    <row r="5193" ht="15.75" customHeight="1">
      <c r="A5193" s="30" t="s">
        <v>8857</v>
      </c>
      <c r="B5193" s="31" t="s">
        <v>545</v>
      </c>
      <c r="C5193" s="31" t="s">
        <v>3655</v>
      </c>
      <c r="D5193" s="30" t="s">
        <v>3663</v>
      </c>
      <c r="E5193" s="32">
        <v>46113.0</v>
      </c>
      <c r="F5193" s="32">
        <v>46171.0</v>
      </c>
      <c r="G5193" s="33"/>
    </row>
    <row r="5194" ht="15.75" customHeight="1">
      <c r="A5194" s="26" t="s">
        <v>8858</v>
      </c>
      <c r="B5194" s="27" t="s">
        <v>545</v>
      </c>
      <c r="C5194" s="27" t="s">
        <v>930</v>
      </c>
      <c r="D5194" s="26" t="s">
        <v>3663</v>
      </c>
      <c r="E5194" s="28">
        <v>46113.0</v>
      </c>
      <c r="F5194" s="28">
        <v>46171.0</v>
      </c>
      <c r="G5194" s="29"/>
    </row>
    <row r="5195" ht="15.75" customHeight="1">
      <c r="A5195" s="30" t="s">
        <v>8859</v>
      </c>
      <c r="B5195" s="31" t="s">
        <v>545</v>
      </c>
      <c r="C5195" s="31" t="s">
        <v>3640</v>
      </c>
      <c r="D5195" s="30" t="s">
        <v>3663</v>
      </c>
      <c r="E5195" s="32">
        <v>46113.0</v>
      </c>
      <c r="F5195" s="32">
        <v>46171.0</v>
      </c>
      <c r="G5195" s="33"/>
    </row>
    <row r="5196" ht="15.75" customHeight="1">
      <c r="A5196" s="26" t="s">
        <v>8860</v>
      </c>
      <c r="B5196" s="27" t="s">
        <v>545</v>
      </c>
      <c r="C5196" s="27" t="s">
        <v>1323</v>
      </c>
      <c r="D5196" s="26" t="s">
        <v>3663</v>
      </c>
      <c r="E5196" s="28">
        <v>46113.0</v>
      </c>
      <c r="F5196" s="28">
        <v>46171.0</v>
      </c>
      <c r="G5196" s="29"/>
    </row>
    <row r="5197" ht="15.75" customHeight="1">
      <c r="A5197" s="30" t="s">
        <v>8861</v>
      </c>
      <c r="B5197" s="31" t="s">
        <v>545</v>
      </c>
      <c r="C5197" s="31" t="s">
        <v>1354</v>
      </c>
      <c r="D5197" s="30" t="s">
        <v>3663</v>
      </c>
      <c r="E5197" s="32">
        <v>46113.0</v>
      </c>
      <c r="F5197" s="32">
        <v>46171.0</v>
      </c>
      <c r="G5197" s="33"/>
    </row>
    <row r="5198" ht="15.75" customHeight="1">
      <c r="A5198" s="26" t="s">
        <v>8862</v>
      </c>
      <c r="B5198" s="27" t="s">
        <v>545</v>
      </c>
      <c r="C5198" s="27" t="s">
        <v>1304</v>
      </c>
      <c r="D5198" s="26" t="s">
        <v>3663</v>
      </c>
      <c r="E5198" s="28">
        <v>46113.0</v>
      </c>
      <c r="F5198" s="28">
        <v>46171.0</v>
      </c>
      <c r="G5198" s="29"/>
    </row>
    <row r="5199" ht="15.75" customHeight="1">
      <c r="A5199" s="30" t="s">
        <v>8863</v>
      </c>
      <c r="B5199" s="31" t="s">
        <v>545</v>
      </c>
      <c r="C5199" s="31" t="s">
        <v>1306</v>
      </c>
      <c r="D5199" s="30" t="s">
        <v>3663</v>
      </c>
      <c r="E5199" s="32">
        <v>46113.0</v>
      </c>
      <c r="F5199" s="32">
        <v>46171.0</v>
      </c>
      <c r="G5199" s="33"/>
    </row>
    <row r="5200" ht="15.75" customHeight="1">
      <c r="A5200" s="26" t="s">
        <v>8864</v>
      </c>
      <c r="B5200" s="27" t="s">
        <v>545</v>
      </c>
      <c r="C5200" s="27" t="s">
        <v>1308</v>
      </c>
      <c r="D5200" s="26" t="s">
        <v>3663</v>
      </c>
      <c r="E5200" s="28">
        <v>46113.0</v>
      </c>
      <c r="F5200" s="28">
        <v>46171.0</v>
      </c>
      <c r="G5200" s="29"/>
    </row>
    <row r="5201" ht="15.75" customHeight="1">
      <c r="A5201" s="30" t="s">
        <v>8865</v>
      </c>
      <c r="B5201" s="31" t="s">
        <v>545</v>
      </c>
      <c r="C5201" s="31" t="s">
        <v>1310</v>
      </c>
      <c r="D5201" s="30" t="s">
        <v>3663</v>
      </c>
      <c r="E5201" s="32">
        <v>46113.0</v>
      </c>
      <c r="F5201" s="32">
        <v>46171.0</v>
      </c>
      <c r="G5201" s="33"/>
    </row>
    <row r="5202" ht="15.75" customHeight="1">
      <c r="A5202" s="26" t="s">
        <v>8866</v>
      </c>
      <c r="B5202" s="27" t="s">
        <v>545</v>
      </c>
      <c r="C5202" s="27" t="s">
        <v>1351</v>
      </c>
      <c r="D5202" s="26" t="s">
        <v>3663</v>
      </c>
      <c r="E5202" s="28">
        <v>46113.0</v>
      </c>
      <c r="F5202" s="28">
        <v>46171.0</v>
      </c>
      <c r="G5202" s="29"/>
    </row>
    <row r="5203" ht="15.75" customHeight="1">
      <c r="A5203" s="30" t="s">
        <v>8867</v>
      </c>
      <c r="B5203" s="31" t="s">
        <v>545</v>
      </c>
      <c r="C5203" s="31" t="s">
        <v>1349</v>
      </c>
      <c r="D5203" s="30" t="s">
        <v>3663</v>
      </c>
      <c r="E5203" s="32">
        <v>46113.0</v>
      </c>
      <c r="F5203" s="32">
        <v>46171.0</v>
      </c>
      <c r="G5203" s="33"/>
    </row>
    <row r="5204" ht="15.75" customHeight="1">
      <c r="A5204" s="26" t="s">
        <v>8868</v>
      </c>
      <c r="B5204" s="27" t="s">
        <v>545</v>
      </c>
      <c r="C5204" s="27" t="s">
        <v>965</v>
      </c>
      <c r="D5204" s="26" t="s">
        <v>3663</v>
      </c>
      <c r="E5204" s="28">
        <v>46113.0</v>
      </c>
      <c r="F5204" s="28">
        <v>46171.0</v>
      </c>
      <c r="G5204" s="29"/>
    </row>
    <row r="5205" ht="15.75" customHeight="1">
      <c r="A5205" s="30" t="s">
        <v>8869</v>
      </c>
      <c r="B5205" s="31" t="s">
        <v>545</v>
      </c>
      <c r="C5205" s="31" t="s">
        <v>923</v>
      </c>
      <c r="D5205" s="30" t="s">
        <v>3663</v>
      </c>
      <c r="E5205" s="32">
        <v>46113.0</v>
      </c>
      <c r="F5205" s="32">
        <v>46171.0</v>
      </c>
      <c r="G5205" s="33"/>
    </row>
    <row r="5206" ht="15.75" customHeight="1">
      <c r="A5206" s="26" t="s">
        <v>8870</v>
      </c>
      <c r="B5206" s="27" t="s">
        <v>546</v>
      </c>
      <c r="C5206" s="27" t="s">
        <v>3638</v>
      </c>
      <c r="D5206" s="26" t="s">
        <v>3663</v>
      </c>
      <c r="E5206" s="28">
        <v>46113.0</v>
      </c>
      <c r="F5206" s="28">
        <v>46171.0</v>
      </c>
      <c r="G5206" s="29"/>
    </row>
    <row r="5207" ht="15.75" customHeight="1">
      <c r="A5207" s="30" t="s">
        <v>8871</v>
      </c>
      <c r="B5207" s="31" t="s">
        <v>546</v>
      </c>
      <c r="C5207" s="31" t="s">
        <v>932</v>
      </c>
      <c r="D5207" s="30" t="s">
        <v>3663</v>
      </c>
      <c r="E5207" s="32">
        <v>46113.0</v>
      </c>
      <c r="F5207" s="32">
        <v>46171.0</v>
      </c>
      <c r="G5207" s="33"/>
    </row>
    <row r="5208" ht="15.75" customHeight="1">
      <c r="A5208" s="26" t="s">
        <v>8872</v>
      </c>
      <c r="B5208" s="27" t="s">
        <v>546</v>
      </c>
      <c r="C5208" s="27" t="s">
        <v>1164</v>
      </c>
      <c r="D5208" s="26" t="s">
        <v>3663</v>
      </c>
      <c r="E5208" s="28">
        <v>46113.0</v>
      </c>
      <c r="F5208" s="28">
        <v>46171.0</v>
      </c>
      <c r="G5208" s="29"/>
    </row>
    <row r="5209" ht="15.75" customHeight="1">
      <c r="A5209" s="30" t="s">
        <v>8873</v>
      </c>
      <c r="B5209" s="31" t="s">
        <v>546</v>
      </c>
      <c r="C5209" s="31" t="s">
        <v>1166</v>
      </c>
      <c r="D5209" s="30" t="s">
        <v>3663</v>
      </c>
      <c r="E5209" s="32">
        <v>46113.0</v>
      </c>
      <c r="F5209" s="32">
        <v>46171.0</v>
      </c>
      <c r="G5209" s="33"/>
    </row>
    <row r="5210" ht="15.75" customHeight="1">
      <c r="A5210" s="26" t="s">
        <v>8874</v>
      </c>
      <c r="B5210" s="27" t="s">
        <v>546</v>
      </c>
      <c r="C5210" s="27" t="s">
        <v>1168</v>
      </c>
      <c r="D5210" s="26" t="s">
        <v>3663</v>
      </c>
      <c r="E5210" s="28">
        <v>46113.0</v>
      </c>
      <c r="F5210" s="28">
        <v>46171.0</v>
      </c>
      <c r="G5210" s="29"/>
    </row>
    <row r="5211" ht="15.75" customHeight="1">
      <c r="A5211" s="30" t="s">
        <v>8875</v>
      </c>
      <c r="B5211" s="31" t="s">
        <v>546</v>
      </c>
      <c r="C5211" s="31" t="s">
        <v>1170</v>
      </c>
      <c r="D5211" s="30" t="s">
        <v>3663</v>
      </c>
      <c r="E5211" s="32">
        <v>46113.0</v>
      </c>
      <c r="F5211" s="32">
        <v>46171.0</v>
      </c>
      <c r="G5211" s="33"/>
    </row>
    <row r="5212" ht="15.75" customHeight="1">
      <c r="A5212" s="26" t="s">
        <v>8876</v>
      </c>
      <c r="B5212" s="27" t="s">
        <v>546</v>
      </c>
      <c r="C5212" s="27" t="s">
        <v>1354</v>
      </c>
      <c r="D5212" s="26" t="s">
        <v>3663</v>
      </c>
      <c r="E5212" s="28">
        <v>46113.0</v>
      </c>
      <c r="F5212" s="28">
        <v>46171.0</v>
      </c>
      <c r="G5212" s="29"/>
    </row>
    <row r="5213" ht="15.75" customHeight="1">
      <c r="A5213" s="30" t="s">
        <v>8877</v>
      </c>
      <c r="B5213" s="31" t="s">
        <v>546</v>
      </c>
      <c r="C5213" s="31" t="s">
        <v>3681</v>
      </c>
      <c r="D5213" s="30" t="s">
        <v>3663</v>
      </c>
      <c r="E5213" s="32">
        <v>46113.0</v>
      </c>
      <c r="F5213" s="32">
        <v>46171.0</v>
      </c>
      <c r="G5213" s="33"/>
    </row>
    <row r="5214" ht="15.75" customHeight="1">
      <c r="A5214" s="26" t="s">
        <v>8878</v>
      </c>
      <c r="B5214" s="27" t="s">
        <v>546</v>
      </c>
      <c r="C5214" s="27" t="s">
        <v>3683</v>
      </c>
      <c r="D5214" s="26" t="s">
        <v>3663</v>
      </c>
      <c r="E5214" s="28">
        <v>46113.0</v>
      </c>
      <c r="F5214" s="28">
        <v>46171.0</v>
      </c>
      <c r="G5214" s="29"/>
    </row>
    <row r="5215" ht="15.75" customHeight="1">
      <c r="A5215" s="30" t="s">
        <v>8879</v>
      </c>
      <c r="B5215" s="31" t="s">
        <v>546</v>
      </c>
      <c r="C5215" s="31" t="s">
        <v>1351</v>
      </c>
      <c r="D5215" s="30" t="s">
        <v>3663</v>
      </c>
      <c r="E5215" s="32">
        <v>46113.0</v>
      </c>
      <c r="F5215" s="32">
        <v>46171.0</v>
      </c>
      <c r="G5215" s="33"/>
    </row>
    <row r="5216" ht="15.75" customHeight="1">
      <c r="A5216" s="26" t="s">
        <v>8880</v>
      </c>
      <c r="B5216" s="27" t="s">
        <v>546</v>
      </c>
      <c r="C5216" s="27" t="s">
        <v>1349</v>
      </c>
      <c r="D5216" s="26" t="s">
        <v>3663</v>
      </c>
      <c r="E5216" s="28">
        <v>46113.0</v>
      </c>
      <c r="F5216" s="28">
        <v>46171.0</v>
      </c>
      <c r="G5216" s="29"/>
    </row>
    <row r="5217" ht="15.75" customHeight="1">
      <c r="A5217" s="30" t="s">
        <v>8881</v>
      </c>
      <c r="B5217" s="31" t="s">
        <v>546</v>
      </c>
      <c r="C5217" s="31" t="s">
        <v>965</v>
      </c>
      <c r="D5217" s="30" t="s">
        <v>3663</v>
      </c>
      <c r="E5217" s="32">
        <v>46113.0</v>
      </c>
      <c r="F5217" s="32">
        <v>46171.0</v>
      </c>
      <c r="G5217" s="33"/>
    </row>
    <row r="5218" ht="15.75" customHeight="1">
      <c r="A5218" s="26" t="s">
        <v>8882</v>
      </c>
      <c r="B5218" s="27" t="s">
        <v>546</v>
      </c>
      <c r="C5218" s="27" t="s">
        <v>923</v>
      </c>
      <c r="D5218" s="26" t="s">
        <v>3663</v>
      </c>
      <c r="E5218" s="28">
        <v>46113.0</v>
      </c>
      <c r="F5218" s="28">
        <v>46171.0</v>
      </c>
      <c r="G5218" s="29"/>
    </row>
    <row r="5219" ht="15.75" customHeight="1">
      <c r="A5219" s="30" t="s">
        <v>8883</v>
      </c>
      <c r="B5219" s="31" t="s">
        <v>546</v>
      </c>
      <c r="C5219" s="31" t="s">
        <v>961</v>
      </c>
      <c r="D5219" s="30" t="s">
        <v>3663</v>
      </c>
      <c r="E5219" s="32">
        <v>46113.0</v>
      </c>
      <c r="F5219" s="32">
        <v>46171.0</v>
      </c>
      <c r="G5219" s="33"/>
    </row>
    <row r="5220" ht="15.75" customHeight="1">
      <c r="A5220" s="26" t="s">
        <v>8884</v>
      </c>
      <c r="B5220" s="27" t="s">
        <v>547</v>
      </c>
      <c r="C5220" s="27" t="s">
        <v>930</v>
      </c>
      <c r="D5220" s="26" t="s">
        <v>3663</v>
      </c>
      <c r="E5220" s="28">
        <v>46113.0</v>
      </c>
      <c r="F5220" s="28">
        <v>46171.0</v>
      </c>
      <c r="G5220" s="29"/>
    </row>
    <row r="5221" ht="15.75" customHeight="1">
      <c r="A5221" s="30" t="s">
        <v>8885</v>
      </c>
      <c r="B5221" s="31" t="s">
        <v>547</v>
      </c>
      <c r="C5221" s="31" t="s">
        <v>1354</v>
      </c>
      <c r="D5221" s="30" t="s">
        <v>3663</v>
      </c>
      <c r="E5221" s="32">
        <v>46113.0</v>
      </c>
      <c r="F5221" s="32">
        <v>46171.0</v>
      </c>
      <c r="G5221" s="33"/>
    </row>
    <row r="5222" ht="15.75" customHeight="1">
      <c r="A5222" s="26" t="s">
        <v>8886</v>
      </c>
      <c r="B5222" s="27" t="s">
        <v>547</v>
      </c>
      <c r="C5222" s="27" t="s">
        <v>1208</v>
      </c>
      <c r="D5222" s="26" t="s">
        <v>3663</v>
      </c>
      <c r="E5222" s="28">
        <v>46113.0</v>
      </c>
      <c r="F5222" s="28">
        <v>46171.0</v>
      </c>
      <c r="G5222" s="29"/>
    </row>
    <row r="5223" ht="15.75" customHeight="1">
      <c r="A5223" s="30" t="s">
        <v>8887</v>
      </c>
      <c r="B5223" s="31" t="s">
        <v>547</v>
      </c>
      <c r="C5223" s="31" t="s">
        <v>1159</v>
      </c>
      <c r="D5223" s="30" t="s">
        <v>3663</v>
      </c>
      <c r="E5223" s="32">
        <v>46113.0</v>
      </c>
      <c r="F5223" s="32">
        <v>46171.0</v>
      </c>
      <c r="G5223" s="33"/>
    </row>
    <row r="5224" ht="15.75" customHeight="1">
      <c r="A5224" s="26" t="s">
        <v>8888</v>
      </c>
      <c r="B5224" s="27" t="s">
        <v>547</v>
      </c>
      <c r="C5224" s="27" t="s">
        <v>1157</v>
      </c>
      <c r="D5224" s="26" t="s">
        <v>3663</v>
      </c>
      <c r="E5224" s="28">
        <v>46113.0</v>
      </c>
      <c r="F5224" s="28">
        <v>46171.0</v>
      </c>
      <c r="G5224" s="29"/>
    </row>
    <row r="5225" ht="15.75" customHeight="1">
      <c r="A5225" s="30" t="s">
        <v>8889</v>
      </c>
      <c r="B5225" s="31" t="s">
        <v>547</v>
      </c>
      <c r="C5225" s="31" t="s">
        <v>1155</v>
      </c>
      <c r="D5225" s="30" t="s">
        <v>3663</v>
      </c>
      <c r="E5225" s="32">
        <v>46113.0</v>
      </c>
      <c r="F5225" s="32">
        <v>46171.0</v>
      </c>
      <c r="G5225" s="33"/>
    </row>
    <row r="5226" ht="15.75" customHeight="1">
      <c r="A5226" s="26" t="s">
        <v>8890</v>
      </c>
      <c r="B5226" s="27" t="s">
        <v>547</v>
      </c>
      <c r="C5226" s="27" t="s">
        <v>1153</v>
      </c>
      <c r="D5226" s="26" t="s">
        <v>3663</v>
      </c>
      <c r="E5226" s="28">
        <v>46113.0</v>
      </c>
      <c r="F5226" s="28">
        <v>46171.0</v>
      </c>
      <c r="G5226" s="29"/>
    </row>
    <row r="5227" ht="15.75" customHeight="1">
      <c r="A5227" s="30" t="s">
        <v>8891</v>
      </c>
      <c r="B5227" s="31" t="s">
        <v>547</v>
      </c>
      <c r="C5227" s="31" t="s">
        <v>1149</v>
      </c>
      <c r="D5227" s="30" t="s">
        <v>3663</v>
      </c>
      <c r="E5227" s="32">
        <v>46113.0</v>
      </c>
      <c r="F5227" s="32">
        <v>46171.0</v>
      </c>
      <c r="G5227" s="33"/>
    </row>
    <row r="5228" ht="15.75" customHeight="1">
      <c r="A5228" s="26" t="s">
        <v>8892</v>
      </c>
      <c r="B5228" s="27" t="s">
        <v>547</v>
      </c>
      <c r="C5228" s="27" t="s">
        <v>1351</v>
      </c>
      <c r="D5228" s="26" t="s">
        <v>3663</v>
      </c>
      <c r="E5228" s="28">
        <v>46113.0</v>
      </c>
      <c r="F5228" s="28">
        <v>46171.0</v>
      </c>
      <c r="G5228" s="29"/>
    </row>
    <row r="5229" ht="15.75" customHeight="1">
      <c r="A5229" s="30" t="s">
        <v>8893</v>
      </c>
      <c r="B5229" s="31" t="s">
        <v>547</v>
      </c>
      <c r="C5229" s="31" t="s">
        <v>1349</v>
      </c>
      <c r="D5229" s="30" t="s">
        <v>3663</v>
      </c>
      <c r="E5229" s="32">
        <v>46113.0</v>
      </c>
      <c r="F5229" s="32">
        <v>46171.0</v>
      </c>
      <c r="G5229" s="33"/>
    </row>
    <row r="5230" ht="15.75" customHeight="1">
      <c r="A5230" s="26" t="s">
        <v>8894</v>
      </c>
      <c r="B5230" s="27" t="s">
        <v>547</v>
      </c>
      <c r="C5230" s="27" t="s">
        <v>3653</v>
      </c>
      <c r="D5230" s="27" t="s">
        <v>3663</v>
      </c>
      <c r="E5230" s="28">
        <v>46113.0</v>
      </c>
      <c r="F5230" s="28">
        <v>46171.0</v>
      </c>
      <c r="G5230" s="29"/>
    </row>
    <row r="5231" ht="15.75" customHeight="1">
      <c r="A5231" s="30" t="s">
        <v>8895</v>
      </c>
      <c r="B5231" s="31" t="s">
        <v>547</v>
      </c>
      <c r="C5231" s="31" t="s">
        <v>3652</v>
      </c>
      <c r="D5231" s="30" t="s">
        <v>3663</v>
      </c>
      <c r="E5231" s="32">
        <v>46113.0</v>
      </c>
      <c r="F5231" s="32">
        <v>46171.0</v>
      </c>
      <c r="G5231" s="33"/>
    </row>
    <row r="5232" ht="15.75" customHeight="1">
      <c r="A5232" s="26" t="s">
        <v>8896</v>
      </c>
      <c r="B5232" s="27" t="s">
        <v>547</v>
      </c>
      <c r="C5232" s="27" t="s">
        <v>965</v>
      </c>
      <c r="D5232" s="26" t="s">
        <v>3663</v>
      </c>
      <c r="E5232" s="28">
        <v>46113.0</v>
      </c>
      <c r="F5232" s="28">
        <v>46171.0</v>
      </c>
      <c r="G5232" s="29"/>
    </row>
    <row r="5233" ht="15.75" customHeight="1">
      <c r="A5233" s="30" t="s">
        <v>8897</v>
      </c>
      <c r="B5233" s="31" t="s">
        <v>547</v>
      </c>
      <c r="C5233" s="31" t="s">
        <v>923</v>
      </c>
      <c r="D5233" s="30" t="s">
        <v>3663</v>
      </c>
      <c r="E5233" s="32">
        <v>46113.0</v>
      </c>
      <c r="F5233" s="32">
        <v>46171.0</v>
      </c>
      <c r="G5233" s="33"/>
    </row>
    <row r="5234" ht="15.75" customHeight="1">
      <c r="A5234" s="26" t="s">
        <v>8898</v>
      </c>
      <c r="B5234" s="27" t="s">
        <v>548</v>
      </c>
      <c r="C5234" s="27" t="s">
        <v>930</v>
      </c>
      <c r="D5234" s="26" t="s">
        <v>3663</v>
      </c>
      <c r="E5234" s="28">
        <v>46113.0</v>
      </c>
      <c r="F5234" s="28">
        <v>46171.0</v>
      </c>
      <c r="G5234" s="29"/>
    </row>
    <row r="5235" ht="15.75" customHeight="1">
      <c r="A5235" s="30" t="s">
        <v>8899</v>
      </c>
      <c r="B5235" s="31" t="s">
        <v>548</v>
      </c>
      <c r="C5235" s="31" t="s">
        <v>1354</v>
      </c>
      <c r="D5235" s="30" t="s">
        <v>3663</v>
      </c>
      <c r="E5235" s="32">
        <v>46113.0</v>
      </c>
      <c r="F5235" s="32">
        <v>46171.0</v>
      </c>
      <c r="G5235" s="33"/>
    </row>
    <row r="5236" ht="15.75" customHeight="1">
      <c r="A5236" s="26" t="s">
        <v>8900</v>
      </c>
      <c r="B5236" s="27" t="s">
        <v>548</v>
      </c>
      <c r="C5236" s="27" t="s">
        <v>1304</v>
      </c>
      <c r="D5236" s="26" t="s">
        <v>3663</v>
      </c>
      <c r="E5236" s="28">
        <v>46113.0</v>
      </c>
      <c r="F5236" s="28">
        <v>46171.0</v>
      </c>
      <c r="G5236" s="29"/>
    </row>
    <row r="5237" ht="15.75" customHeight="1">
      <c r="A5237" s="30" t="s">
        <v>8901</v>
      </c>
      <c r="B5237" s="31" t="s">
        <v>548</v>
      </c>
      <c r="C5237" s="31" t="s">
        <v>1306</v>
      </c>
      <c r="D5237" s="30" t="s">
        <v>3663</v>
      </c>
      <c r="E5237" s="32">
        <v>46113.0</v>
      </c>
      <c r="F5237" s="32">
        <v>46171.0</v>
      </c>
      <c r="G5237" s="33"/>
    </row>
    <row r="5238" ht="15.75" customHeight="1">
      <c r="A5238" s="26" t="s">
        <v>8902</v>
      </c>
      <c r="B5238" s="27" t="s">
        <v>548</v>
      </c>
      <c r="C5238" s="27" t="s">
        <v>1308</v>
      </c>
      <c r="D5238" s="26" t="s">
        <v>3663</v>
      </c>
      <c r="E5238" s="28">
        <v>46113.0</v>
      </c>
      <c r="F5238" s="28">
        <v>46171.0</v>
      </c>
      <c r="G5238" s="29"/>
    </row>
    <row r="5239" ht="15.75" customHeight="1">
      <c r="A5239" s="30" t="s">
        <v>8903</v>
      </c>
      <c r="B5239" s="31" t="s">
        <v>548</v>
      </c>
      <c r="C5239" s="31" t="s">
        <v>1310</v>
      </c>
      <c r="D5239" s="30" t="s">
        <v>3663</v>
      </c>
      <c r="E5239" s="32">
        <v>46113.0</v>
      </c>
      <c r="F5239" s="32">
        <v>46171.0</v>
      </c>
      <c r="G5239" s="33"/>
    </row>
    <row r="5240" ht="15.75" customHeight="1">
      <c r="A5240" s="26" t="s">
        <v>8904</v>
      </c>
      <c r="B5240" s="27" t="s">
        <v>548</v>
      </c>
      <c r="C5240" s="27" t="s">
        <v>1312</v>
      </c>
      <c r="D5240" s="26" t="s">
        <v>3663</v>
      </c>
      <c r="E5240" s="28">
        <v>46113.0</v>
      </c>
      <c r="F5240" s="28">
        <v>46171.0</v>
      </c>
      <c r="G5240" s="29"/>
    </row>
    <row r="5241" ht="15.75" customHeight="1">
      <c r="A5241" s="30" t="s">
        <v>8905</v>
      </c>
      <c r="B5241" s="31" t="s">
        <v>548</v>
      </c>
      <c r="C5241" s="31" t="s">
        <v>3656</v>
      </c>
      <c r="D5241" s="30" t="s">
        <v>3663</v>
      </c>
      <c r="E5241" s="32">
        <v>46113.0</v>
      </c>
      <c r="F5241" s="32">
        <v>46171.0</v>
      </c>
      <c r="G5241" s="33"/>
    </row>
    <row r="5242" ht="15.75" customHeight="1">
      <c r="A5242" s="26" t="s">
        <v>8906</v>
      </c>
      <c r="B5242" s="27" t="s">
        <v>548</v>
      </c>
      <c r="C5242" s="27" t="s">
        <v>3657</v>
      </c>
      <c r="D5242" s="26" t="s">
        <v>3663</v>
      </c>
      <c r="E5242" s="28">
        <v>46113.0</v>
      </c>
      <c r="F5242" s="28">
        <v>46171.0</v>
      </c>
      <c r="G5242" s="29"/>
    </row>
    <row r="5243" ht="15.75" customHeight="1">
      <c r="A5243" s="30" t="s">
        <v>8907</v>
      </c>
      <c r="B5243" s="31" t="s">
        <v>548</v>
      </c>
      <c r="C5243" s="31" t="s">
        <v>1216</v>
      </c>
      <c r="D5243" s="30" t="s">
        <v>3663</v>
      </c>
      <c r="E5243" s="32">
        <v>46113.0</v>
      </c>
      <c r="F5243" s="32">
        <v>46171.0</v>
      </c>
      <c r="G5243" s="33"/>
    </row>
    <row r="5244" ht="15.75" customHeight="1">
      <c r="A5244" s="26" t="s">
        <v>8908</v>
      </c>
      <c r="B5244" s="27" t="s">
        <v>548</v>
      </c>
      <c r="C5244" s="27" t="s">
        <v>1351</v>
      </c>
      <c r="D5244" s="26" t="s">
        <v>3663</v>
      </c>
      <c r="E5244" s="28">
        <v>46113.0</v>
      </c>
      <c r="F5244" s="28">
        <v>46171.0</v>
      </c>
      <c r="G5244" s="29"/>
    </row>
    <row r="5245" ht="15.75" customHeight="1">
      <c r="A5245" s="30" t="s">
        <v>8909</v>
      </c>
      <c r="B5245" s="31" t="s">
        <v>548</v>
      </c>
      <c r="C5245" s="31" t="s">
        <v>1349</v>
      </c>
      <c r="D5245" s="30" t="s">
        <v>3663</v>
      </c>
      <c r="E5245" s="32">
        <v>46113.0</v>
      </c>
      <c r="F5245" s="32">
        <v>46171.0</v>
      </c>
      <c r="G5245" s="33"/>
    </row>
    <row r="5246" ht="15.75" customHeight="1">
      <c r="A5246" s="26" t="s">
        <v>8910</v>
      </c>
      <c r="B5246" s="27" t="s">
        <v>548</v>
      </c>
      <c r="C5246" s="27" t="s">
        <v>968</v>
      </c>
      <c r="D5246" s="26" t="s">
        <v>3663</v>
      </c>
      <c r="E5246" s="28">
        <v>46113.0</v>
      </c>
      <c r="F5246" s="28">
        <v>46171.0</v>
      </c>
      <c r="G5246" s="29"/>
    </row>
    <row r="5247" ht="15.75" customHeight="1">
      <c r="A5247" s="30" t="s">
        <v>8911</v>
      </c>
      <c r="B5247" s="31" t="s">
        <v>548</v>
      </c>
      <c r="C5247" s="31" t="s">
        <v>923</v>
      </c>
      <c r="D5247" s="30" t="s">
        <v>3663</v>
      </c>
      <c r="E5247" s="32">
        <v>46113.0</v>
      </c>
      <c r="F5247" s="32">
        <v>46171.0</v>
      </c>
      <c r="G5247" s="33"/>
    </row>
    <row r="5248" ht="15.75" customHeight="1">
      <c r="A5248" s="26" t="s">
        <v>8912</v>
      </c>
      <c r="B5248" s="27" t="s">
        <v>549</v>
      </c>
      <c r="C5248" s="27" t="s">
        <v>1240</v>
      </c>
      <c r="D5248" s="26" t="s">
        <v>3663</v>
      </c>
      <c r="E5248" s="28">
        <v>46113.0</v>
      </c>
      <c r="F5248" s="28">
        <v>46171.0</v>
      </c>
      <c r="G5248" s="29"/>
    </row>
    <row r="5249" ht="15.75" customHeight="1">
      <c r="A5249" s="30" t="s">
        <v>8913</v>
      </c>
      <c r="B5249" s="31" t="s">
        <v>549</v>
      </c>
      <c r="C5249" s="31" t="s">
        <v>1242</v>
      </c>
      <c r="D5249" s="30" t="s">
        <v>3663</v>
      </c>
      <c r="E5249" s="32">
        <v>46113.0</v>
      </c>
      <c r="F5249" s="32">
        <v>46171.0</v>
      </c>
      <c r="G5249" s="33"/>
    </row>
    <row r="5250" ht="15.75" customHeight="1">
      <c r="A5250" s="26" t="s">
        <v>8914</v>
      </c>
      <c r="B5250" s="27" t="s">
        <v>549</v>
      </c>
      <c r="C5250" s="27" t="s">
        <v>1244</v>
      </c>
      <c r="D5250" s="26" t="s">
        <v>3663</v>
      </c>
      <c r="E5250" s="28">
        <v>46113.0</v>
      </c>
      <c r="F5250" s="28">
        <v>46171.0</v>
      </c>
      <c r="G5250" s="29"/>
    </row>
    <row r="5251" ht="15.75" customHeight="1">
      <c r="A5251" s="30" t="s">
        <v>8915</v>
      </c>
      <c r="B5251" s="31" t="s">
        <v>549</v>
      </c>
      <c r="C5251" s="31" t="s">
        <v>1246</v>
      </c>
      <c r="D5251" s="30" t="s">
        <v>3663</v>
      </c>
      <c r="E5251" s="32">
        <v>46113.0</v>
      </c>
      <c r="F5251" s="32">
        <v>46171.0</v>
      </c>
      <c r="G5251" s="33"/>
    </row>
    <row r="5252" ht="15.75" customHeight="1">
      <c r="A5252" s="26" t="s">
        <v>8916</v>
      </c>
      <c r="B5252" s="27" t="s">
        <v>549</v>
      </c>
      <c r="C5252" s="27" t="s">
        <v>934</v>
      </c>
      <c r="D5252" s="26" t="s">
        <v>3663</v>
      </c>
      <c r="E5252" s="28">
        <v>46113.0</v>
      </c>
      <c r="F5252" s="28">
        <v>46171.0</v>
      </c>
      <c r="G5252" s="29"/>
    </row>
    <row r="5253" ht="15.75" customHeight="1">
      <c r="A5253" s="30" t="s">
        <v>8917</v>
      </c>
      <c r="B5253" s="31" t="s">
        <v>549</v>
      </c>
      <c r="C5253" s="31" t="s">
        <v>1354</v>
      </c>
      <c r="D5253" s="30" t="s">
        <v>3663</v>
      </c>
      <c r="E5253" s="32">
        <v>46113.0</v>
      </c>
      <c r="F5253" s="32">
        <v>46171.0</v>
      </c>
      <c r="G5253" s="33"/>
    </row>
    <row r="5254" ht="15.75" customHeight="1">
      <c r="A5254" s="26" t="s">
        <v>8918</v>
      </c>
      <c r="B5254" s="27" t="s">
        <v>549</v>
      </c>
      <c r="C5254" s="27" t="s">
        <v>1172</v>
      </c>
      <c r="D5254" s="26" t="s">
        <v>3663</v>
      </c>
      <c r="E5254" s="28">
        <v>46113.0</v>
      </c>
      <c r="F5254" s="28">
        <v>46171.0</v>
      </c>
      <c r="G5254" s="29"/>
    </row>
    <row r="5255" ht="15.75" customHeight="1">
      <c r="A5255" s="30" t="s">
        <v>8919</v>
      </c>
      <c r="B5255" s="31" t="s">
        <v>549</v>
      </c>
      <c r="C5255" s="31" t="s">
        <v>1312</v>
      </c>
      <c r="D5255" s="30" t="s">
        <v>3663</v>
      </c>
      <c r="E5255" s="32">
        <v>46113.0</v>
      </c>
      <c r="F5255" s="32">
        <v>46171.0</v>
      </c>
      <c r="G5255" s="33"/>
    </row>
    <row r="5256" ht="15.75" customHeight="1">
      <c r="A5256" s="26" t="s">
        <v>8920</v>
      </c>
      <c r="B5256" s="27" t="s">
        <v>549</v>
      </c>
      <c r="C5256" s="27" t="s">
        <v>3656</v>
      </c>
      <c r="D5256" s="26" t="s">
        <v>3663</v>
      </c>
      <c r="E5256" s="28">
        <v>46113.0</v>
      </c>
      <c r="F5256" s="28">
        <v>46171.0</v>
      </c>
      <c r="G5256" s="29"/>
    </row>
    <row r="5257" ht="15.75" customHeight="1">
      <c r="A5257" s="30" t="s">
        <v>8921</v>
      </c>
      <c r="B5257" s="31" t="s">
        <v>549</v>
      </c>
      <c r="C5257" s="31" t="s">
        <v>3657</v>
      </c>
      <c r="D5257" s="30" t="s">
        <v>3663</v>
      </c>
      <c r="E5257" s="32">
        <v>46113.0</v>
      </c>
      <c r="F5257" s="32">
        <v>46171.0</v>
      </c>
      <c r="G5257" s="33"/>
    </row>
    <row r="5258" ht="15.75" customHeight="1">
      <c r="A5258" s="26" t="s">
        <v>8922</v>
      </c>
      <c r="B5258" s="27" t="s">
        <v>549</v>
      </c>
      <c r="C5258" s="27" t="s">
        <v>1351</v>
      </c>
      <c r="D5258" s="26" t="s">
        <v>3663</v>
      </c>
      <c r="E5258" s="28">
        <v>46113.0</v>
      </c>
      <c r="F5258" s="28">
        <v>46171.0</v>
      </c>
      <c r="G5258" s="29"/>
    </row>
    <row r="5259" ht="15.75" customHeight="1">
      <c r="A5259" s="30" t="s">
        <v>8923</v>
      </c>
      <c r="B5259" s="31" t="s">
        <v>549</v>
      </c>
      <c r="C5259" s="31" t="s">
        <v>1349</v>
      </c>
      <c r="D5259" s="30" t="s">
        <v>3663</v>
      </c>
      <c r="E5259" s="32">
        <v>46113.0</v>
      </c>
      <c r="F5259" s="32">
        <v>46171.0</v>
      </c>
      <c r="G5259" s="33"/>
    </row>
    <row r="5260" ht="15.75" customHeight="1">
      <c r="A5260" s="26" t="s">
        <v>8924</v>
      </c>
      <c r="B5260" s="27" t="s">
        <v>549</v>
      </c>
      <c r="C5260" s="27" t="s">
        <v>968</v>
      </c>
      <c r="D5260" s="26" t="s">
        <v>3663</v>
      </c>
      <c r="E5260" s="28">
        <v>46113.0</v>
      </c>
      <c r="F5260" s="28">
        <v>46171.0</v>
      </c>
      <c r="G5260" s="29"/>
    </row>
    <row r="5261" ht="15.75" customHeight="1">
      <c r="A5261" s="30" t="s">
        <v>8925</v>
      </c>
      <c r="B5261" s="31" t="s">
        <v>549</v>
      </c>
      <c r="C5261" s="31" t="s">
        <v>923</v>
      </c>
      <c r="D5261" s="30" t="s">
        <v>3663</v>
      </c>
      <c r="E5261" s="32">
        <v>46113.0</v>
      </c>
      <c r="F5261" s="32">
        <v>46171.0</v>
      </c>
      <c r="G5261" s="33"/>
    </row>
    <row r="5262" ht="15.75" customHeight="1">
      <c r="A5262" s="26" t="s">
        <v>8926</v>
      </c>
      <c r="B5262" s="27" t="s">
        <v>551</v>
      </c>
      <c r="C5262" s="27" t="s">
        <v>930</v>
      </c>
      <c r="D5262" s="26" t="s">
        <v>3663</v>
      </c>
      <c r="E5262" s="28">
        <v>46113.0</v>
      </c>
      <c r="F5262" s="28">
        <v>46171.0</v>
      </c>
      <c r="G5262" s="29"/>
    </row>
    <row r="5263" ht="15.75" customHeight="1">
      <c r="A5263" s="30" t="s">
        <v>8927</v>
      </c>
      <c r="B5263" s="31" t="s">
        <v>551</v>
      </c>
      <c r="C5263" s="31" t="s">
        <v>1354</v>
      </c>
      <c r="D5263" s="30" t="s">
        <v>3663</v>
      </c>
      <c r="E5263" s="32">
        <v>46113.0</v>
      </c>
      <c r="F5263" s="32">
        <v>46171.0</v>
      </c>
      <c r="G5263" s="33"/>
    </row>
    <row r="5264" ht="15.75" customHeight="1">
      <c r="A5264" s="26" t="s">
        <v>8928</v>
      </c>
      <c r="B5264" s="27" t="s">
        <v>551</v>
      </c>
      <c r="C5264" s="27" t="s">
        <v>3641</v>
      </c>
      <c r="D5264" s="26" t="s">
        <v>3663</v>
      </c>
      <c r="E5264" s="28">
        <v>46113.0</v>
      </c>
      <c r="F5264" s="28">
        <v>46171.0</v>
      </c>
      <c r="G5264" s="29"/>
    </row>
    <row r="5265" ht="15.75" customHeight="1">
      <c r="A5265" s="30" t="s">
        <v>8929</v>
      </c>
      <c r="B5265" s="31" t="s">
        <v>551</v>
      </c>
      <c r="C5265" s="31" t="s">
        <v>1304</v>
      </c>
      <c r="D5265" s="30" t="s">
        <v>3663</v>
      </c>
      <c r="E5265" s="32">
        <v>46113.0</v>
      </c>
      <c r="F5265" s="32">
        <v>46171.0</v>
      </c>
      <c r="G5265" s="33"/>
    </row>
    <row r="5266" ht="15.75" customHeight="1">
      <c r="A5266" s="26" t="s">
        <v>8930</v>
      </c>
      <c r="B5266" s="27" t="s">
        <v>551</v>
      </c>
      <c r="C5266" s="27" t="s">
        <v>3642</v>
      </c>
      <c r="D5266" s="26" t="s">
        <v>3663</v>
      </c>
      <c r="E5266" s="28">
        <v>46113.0</v>
      </c>
      <c r="F5266" s="28">
        <v>46171.0</v>
      </c>
      <c r="G5266" s="29"/>
    </row>
    <row r="5267" ht="15.75" customHeight="1">
      <c r="A5267" s="30" t="s">
        <v>8931</v>
      </c>
      <c r="B5267" s="31" t="s">
        <v>551</v>
      </c>
      <c r="C5267" s="31" t="s">
        <v>1308</v>
      </c>
      <c r="D5267" s="30" t="s">
        <v>3663</v>
      </c>
      <c r="E5267" s="32">
        <v>46113.0</v>
      </c>
      <c r="F5267" s="32">
        <v>46171.0</v>
      </c>
      <c r="G5267" s="33"/>
    </row>
    <row r="5268" ht="15.75" customHeight="1">
      <c r="A5268" s="26" t="s">
        <v>8932</v>
      </c>
      <c r="B5268" s="27" t="s">
        <v>551</v>
      </c>
      <c r="C5268" s="27" t="s">
        <v>3681</v>
      </c>
      <c r="D5268" s="26" t="s">
        <v>3663</v>
      </c>
      <c r="E5268" s="28">
        <v>46113.0</v>
      </c>
      <c r="F5268" s="28">
        <v>46171.0</v>
      </c>
      <c r="G5268" s="29"/>
    </row>
    <row r="5269" ht="15.75" customHeight="1">
      <c r="A5269" s="30" t="s">
        <v>8933</v>
      </c>
      <c r="B5269" s="31" t="s">
        <v>551</v>
      </c>
      <c r="C5269" s="31" t="s">
        <v>3683</v>
      </c>
      <c r="D5269" s="30" t="s">
        <v>3663</v>
      </c>
      <c r="E5269" s="32">
        <v>46113.0</v>
      </c>
      <c r="F5269" s="32">
        <v>46171.0</v>
      </c>
      <c r="G5269" s="33"/>
    </row>
    <row r="5270" ht="15.75" customHeight="1">
      <c r="A5270" s="26" t="s">
        <v>8934</v>
      </c>
      <c r="B5270" s="27" t="s">
        <v>551</v>
      </c>
      <c r="C5270" s="27" t="s">
        <v>1216</v>
      </c>
      <c r="D5270" s="26" t="s">
        <v>3663</v>
      </c>
      <c r="E5270" s="28">
        <v>46113.0</v>
      </c>
      <c r="F5270" s="28">
        <v>46171.0</v>
      </c>
      <c r="G5270" s="29"/>
    </row>
    <row r="5271" ht="15.75" customHeight="1">
      <c r="A5271" s="30" t="s">
        <v>8935</v>
      </c>
      <c r="B5271" s="31" t="s">
        <v>551</v>
      </c>
      <c r="C5271" s="31" t="s">
        <v>1351</v>
      </c>
      <c r="D5271" s="30" t="s">
        <v>3663</v>
      </c>
      <c r="E5271" s="32">
        <v>46113.0</v>
      </c>
      <c r="F5271" s="32">
        <v>46171.0</v>
      </c>
      <c r="G5271" s="33"/>
    </row>
    <row r="5272" ht="15.75" customHeight="1">
      <c r="A5272" s="26" t="s">
        <v>8936</v>
      </c>
      <c r="B5272" s="27" t="s">
        <v>551</v>
      </c>
      <c r="C5272" s="27" t="s">
        <v>1349</v>
      </c>
      <c r="D5272" s="26" t="s">
        <v>3663</v>
      </c>
      <c r="E5272" s="28">
        <v>46113.0</v>
      </c>
      <c r="F5272" s="28">
        <v>46171.0</v>
      </c>
      <c r="G5272" s="29"/>
    </row>
    <row r="5273" ht="15.75" customHeight="1">
      <c r="A5273" s="30" t="s">
        <v>8937</v>
      </c>
      <c r="B5273" s="31" t="s">
        <v>551</v>
      </c>
      <c r="C5273" s="31" t="s">
        <v>965</v>
      </c>
      <c r="D5273" s="30" t="s">
        <v>3663</v>
      </c>
      <c r="E5273" s="32">
        <v>46113.0</v>
      </c>
      <c r="F5273" s="32">
        <v>46171.0</v>
      </c>
      <c r="G5273" s="33"/>
    </row>
    <row r="5274" ht="15.75" customHeight="1">
      <c r="A5274" s="26" t="s">
        <v>8938</v>
      </c>
      <c r="B5274" s="27" t="s">
        <v>551</v>
      </c>
      <c r="C5274" s="27" t="s">
        <v>923</v>
      </c>
      <c r="D5274" s="26" t="s">
        <v>3663</v>
      </c>
      <c r="E5274" s="28">
        <v>46113.0</v>
      </c>
      <c r="F5274" s="28">
        <v>46171.0</v>
      </c>
      <c r="G5274" s="29"/>
    </row>
    <row r="5275" ht="15.75" customHeight="1">
      <c r="A5275" s="30" t="s">
        <v>8939</v>
      </c>
      <c r="B5275" s="31" t="s">
        <v>551</v>
      </c>
      <c r="C5275" s="31" t="s">
        <v>961</v>
      </c>
      <c r="D5275" s="30" t="s">
        <v>3663</v>
      </c>
      <c r="E5275" s="32">
        <v>46113.0</v>
      </c>
      <c r="F5275" s="32">
        <v>46171.0</v>
      </c>
      <c r="G5275" s="33"/>
    </row>
    <row r="5276" ht="15.75" customHeight="1">
      <c r="A5276" s="26" t="s">
        <v>8940</v>
      </c>
      <c r="B5276" s="27" t="s">
        <v>552</v>
      </c>
      <c r="C5276" s="27" t="s">
        <v>928</v>
      </c>
      <c r="D5276" s="26" t="s">
        <v>3663</v>
      </c>
      <c r="E5276" s="28">
        <v>46113.0</v>
      </c>
      <c r="F5276" s="28">
        <v>46171.0</v>
      </c>
      <c r="G5276" s="29"/>
    </row>
    <row r="5277" ht="15.75" customHeight="1">
      <c r="A5277" s="30" t="s">
        <v>8941</v>
      </c>
      <c r="B5277" s="31" t="s">
        <v>552</v>
      </c>
      <c r="C5277" s="31" t="s">
        <v>1354</v>
      </c>
      <c r="D5277" s="30" t="s">
        <v>3663</v>
      </c>
      <c r="E5277" s="32">
        <v>46113.0</v>
      </c>
      <c r="F5277" s="32">
        <v>46171.0</v>
      </c>
      <c r="G5277" s="33"/>
    </row>
    <row r="5278" ht="15.75" customHeight="1">
      <c r="A5278" s="26" t="s">
        <v>8942</v>
      </c>
      <c r="B5278" s="27" t="s">
        <v>552</v>
      </c>
      <c r="C5278" s="27" t="s">
        <v>1222</v>
      </c>
      <c r="D5278" s="26" t="s">
        <v>3663</v>
      </c>
      <c r="E5278" s="28">
        <v>46113.0</v>
      </c>
      <c r="F5278" s="28">
        <v>46171.0</v>
      </c>
      <c r="G5278" s="29"/>
    </row>
    <row r="5279" ht="15.75" customHeight="1">
      <c r="A5279" s="30" t="s">
        <v>8943</v>
      </c>
      <c r="B5279" s="31" t="s">
        <v>552</v>
      </c>
      <c r="C5279" s="31" t="s">
        <v>1224</v>
      </c>
      <c r="D5279" s="30" t="s">
        <v>3663</v>
      </c>
      <c r="E5279" s="32">
        <v>46113.0</v>
      </c>
      <c r="F5279" s="32">
        <v>46171.0</v>
      </c>
      <c r="G5279" s="33"/>
    </row>
    <row r="5280" ht="15.75" customHeight="1">
      <c r="A5280" s="26" t="s">
        <v>8944</v>
      </c>
      <c r="B5280" s="27" t="s">
        <v>552</v>
      </c>
      <c r="C5280" s="27" t="s">
        <v>1226</v>
      </c>
      <c r="D5280" s="26" t="s">
        <v>3663</v>
      </c>
      <c r="E5280" s="28">
        <v>46113.0</v>
      </c>
      <c r="F5280" s="28">
        <v>46171.0</v>
      </c>
      <c r="G5280" s="29"/>
    </row>
    <row r="5281" ht="15.75" customHeight="1">
      <c r="A5281" s="30" t="s">
        <v>8945</v>
      </c>
      <c r="B5281" s="31" t="s">
        <v>552</v>
      </c>
      <c r="C5281" s="31" t="s">
        <v>1228</v>
      </c>
      <c r="D5281" s="30" t="s">
        <v>3663</v>
      </c>
      <c r="E5281" s="32">
        <v>46113.0</v>
      </c>
      <c r="F5281" s="32">
        <v>46171.0</v>
      </c>
      <c r="G5281" s="33"/>
    </row>
    <row r="5282" ht="15.75" customHeight="1">
      <c r="A5282" s="26" t="s">
        <v>8946</v>
      </c>
      <c r="B5282" s="27" t="s">
        <v>552</v>
      </c>
      <c r="C5282" s="27" t="s">
        <v>1312</v>
      </c>
      <c r="D5282" s="26" t="s">
        <v>3663</v>
      </c>
      <c r="E5282" s="28">
        <v>46113.0</v>
      </c>
      <c r="F5282" s="28">
        <v>46171.0</v>
      </c>
      <c r="G5282" s="29"/>
    </row>
    <row r="5283" ht="15.75" customHeight="1">
      <c r="A5283" s="30" t="s">
        <v>8947</v>
      </c>
      <c r="B5283" s="31" t="s">
        <v>552</v>
      </c>
      <c r="C5283" s="31" t="s">
        <v>1208</v>
      </c>
      <c r="D5283" s="30" t="s">
        <v>3663</v>
      </c>
      <c r="E5283" s="32">
        <v>46113.0</v>
      </c>
      <c r="F5283" s="32">
        <v>46171.0</v>
      </c>
      <c r="G5283" s="33"/>
    </row>
    <row r="5284" ht="15.75" customHeight="1">
      <c r="A5284" s="26" t="s">
        <v>8948</v>
      </c>
      <c r="B5284" s="27" t="s">
        <v>552</v>
      </c>
      <c r="C5284" s="27" t="s">
        <v>3656</v>
      </c>
      <c r="D5284" s="26" t="s">
        <v>3663</v>
      </c>
      <c r="E5284" s="28">
        <v>46113.0</v>
      </c>
      <c r="F5284" s="28">
        <v>46171.0</v>
      </c>
      <c r="G5284" s="29"/>
    </row>
    <row r="5285" ht="15.75" customHeight="1">
      <c r="A5285" s="30" t="s">
        <v>8949</v>
      </c>
      <c r="B5285" s="31" t="s">
        <v>552</v>
      </c>
      <c r="C5285" s="31" t="s">
        <v>3657</v>
      </c>
      <c r="D5285" s="30" t="s">
        <v>3663</v>
      </c>
      <c r="E5285" s="32">
        <v>46113.0</v>
      </c>
      <c r="F5285" s="32">
        <v>46171.0</v>
      </c>
      <c r="G5285" s="33"/>
    </row>
    <row r="5286" ht="15.75" customHeight="1">
      <c r="A5286" s="26" t="s">
        <v>8950</v>
      </c>
      <c r="B5286" s="27" t="s">
        <v>552</v>
      </c>
      <c r="C5286" s="27" t="s">
        <v>1351</v>
      </c>
      <c r="D5286" s="26" t="s">
        <v>3663</v>
      </c>
      <c r="E5286" s="28">
        <v>46113.0</v>
      </c>
      <c r="F5286" s="28">
        <v>46171.0</v>
      </c>
      <c r="G5286" s="29"/>
    </row>
    <row r="5287" ht="15.75" customHeight="1">
      <c r="A5287" s="30" t="s">
        <v>8951</v>
      </c>
      <c r="B5287" s="31" t="s">
        <v>552</v>
      </c>
      <c r="C5287" s="31" t="s">
        <v>1349</v>
      </c>
      <c r="D5287" s="30" t="s">
        <v>3663</v>
      </c>
      <c r="E5287" s="32">
        <v>46113.0</v>
      </c>
      <c r="F5287" s="32">
        <v>46171.0</v>
      </c>
      <c r="G5287" s="33"/>
    </row>
    <row r="5288" ht="15.75" customHeight="1">
      <c r="A5288" s="26" t="s">
        <v>8952</v>
      </c>
      <c r="B5288" s="27" t="s">
        <v>552</v>
      </c>
      <c r="C5288" s="27" t="s">
        <v>968</v>
      </c>
      <c r="D5288" s="26" t="s">
        <v>3663</v>
      </c>
      <c r="E5288" s="28">
        <v>46113.0</v>
      </c>
      <c r="F5288" s="28">
        <v>46171.0</v>
      </c>
      <c r="G5288" s="29"/>
    </row>
    <row r="5289" ht="15.75" customHeight="1">
      <c r="A5289" s="30" t="s">
        <v>8953</v>
      </c>
      <c r="B5289" s="31" t="s">
        <v>552</v>
      </c>
      <c r="C5289" s="31" t="s">
        <v>923</v>
      </c>
      <c r="D5289" s="30" t="s">
        <v>3663</v>
      </c>
      <c r="E5289" s="32">
        <v>46113.0</v>
      </c>
      <c r="F5289" s="32">
        <v>46171.0</v>
      </c>
      <c r="G5289" s="33"/>
    </row>
    <row r="5290" ht="15.75" customHeight="1">
      <c r="A5290" s="26" t="s">
        <v>8954</v>
      </c>
      <c r="B5290" s="27" t="s">
        <v>553</v>
      </c>
      <c r="C5290" s="27" t="s">
        <v>930</v>
      </c>
      <c r="D5290" s="26" t="s">
        <v>3663</v>
      </c>
      <c r="E5290" s="28">
        <v>46113.0</v>
      </c>
      <c r="F5290" s="28">
        <v>46171.0</v>
      </c>
      <c r="G5290" s="29"/>
    </row>
    <row r="5291" ht="15.75" customHeight="1">
      <c r="A5291" s="30" t="s">
        <v>8955</v>
      </c>
      <c r="B5291" s="31" t="s">
        <v>553</v>
      </c>
      <c r="C5291" s="31" t="s">
        <v>1354</v>
      </c>
      <c r="D5291" s="30" t="s">
        <v>3663</v>
      </c>
      <c r="E5291" s="32">
        <v>46113.0</v>
      </c>
      <c r="F5291" s="32">
        <v>46171.0</v>
      </c>
      <c r="G5291" s="33"/>
    </row>
    <row r="5292" ht="15.75" customHeight="1">
      <c r="A5292" s="26" t="s">
        <v>8956</v>
      </c>
      <c r="B5292" s="27" t="s">
        <v>553</v>
      </c>
      <c r="C5292" s="27" t="s">
        <v>3681</v>
      </c>
      <c r="D5292" s="26" t="s">
        <v>3663</v>
      </c>
      <c r="E5292" s="28">
        <v>46113.0</v>
      </c>
      <c r="F5292" s="28">
        <v>46171.0</v>
      </c>
      <c r="G5292" s="29"/>
    </row>
    <row r="5293" ht="15.75" customHeight="1">
      <c r="A5293" s="30" t="s">
        <v>8957</v>
      </c>
      <c r="B5293" s="31" t="s">
        <v>553</v>
      </c>
      <c r="C5293" s="31" t="s">
        <v>3683</v>
      </c>
      <c r="D5293" s="30" t="s">
        <v>3663</v>
      </c>
      <c r="E5293" s="32">
        <v>46113.0</v>
      </c>
      <c r="F5293" s="32">
        <v>46171.0</v>
      </c>
      <c r="G5293" s="33"/>
    </row>
    <row r="5294" ht="15.75" customHeight="1">
      <c r="A5294" s="26" t="s">
        <v>8958</v>
      </c>
      <c r="B5294" s="27" t="s">
        <v>553</v>
      </c>
      <c r="C5294" s="27" t="s">
        <v>1190</v>
      </c>
      <c r="D5294" s="26" t="s">
        <v>3663</v>
      </c>
      <c r="E5294" s="28">
        <v>46113.0</v>
      </c>
      <c r="F5294" s="28">
        <v>46171.0</v>
      </c>
      <c r="G5294" s="29"/>
    </row>
    <row r="5295" ht="15.75" customHeight="1">
      <c r="A5295" s="30" t="s">
        <v>8959</v>
      </c>
      <c r="B5295" s="31" t="s">
        <v>553</v>
      </c>
      <c r="C5295" s="31" t="s">
        <v>1216</v>
      </c>
      <c r="D5295" s="30" t="s">
        <v>3663</v>
      </c>
      <c r="E5295" s="32">
        <v>46113.0</v>
      </c>
      <c r="F5295" s="32">
        <v>46171.0</v>
      </c>
      <c r="G5295" s="33"/>
    </row>
    <row r="5296" ht="15.75" customHeight="1">
      <c r="A5296" s="26" t="s">
        <v>8960</v>
      </c>
      <c r="B5296" s="27" t="s">
        <v>553</v>
      </c>
      <c r="C5296" s="27" t="s">
        <v>1157</v>
      </c>
      <c r="D5296" s="26" t="s">
        <v>3663</v>
      </c>
      <c r="E5296" s="28">
        <v>46113.0</v>
      </c>
      <c r="F5296" s="28">
        <v>46171.0</v>
      </c>
      <c r="G5296" s="29"/>
    </row>
    <row r="5297" ht="15.75" customHeight="1">
      <c r="A5297" s="30" t="s">
        <v>8961</v>
      </c>
      <c r="B5297" s="31" t="s">
        <v>553</v>
      </c>
      <c r="C5297" s="31" t="s">
        <v>1155</v>
      </c>
      <c r="D5297" s="30" t="s">
        <v>3663</v>
      </c>
      <c r="E5297" s="32">
        <v>46113.0</v>
      </c>
      <c r="F5297" s="32">
        <v>46171.0</v>
      </c>
      <c r="G5297" s="33"/>
    </row>
    <row r="5298" ht="15.75" customHeight="1">
      <c r="A5298" s="26" t="s">
        <v>8962</v>
      </c>
      <c r="B5298" s="27" t="s">
        <v>553</v>
      </c>
      <c r="C5298" s="27" t="s">
        <v>1153</v>
      </c>
      <c r="D5298" s="26" t="s">
        <v>3663</v>
      </c>
      <c r="E5298" s="28">
        <v>46113.0</v>
      </c>
      <c r="F5298" s="28">
        <v>46171.0</v>
      </c>
      <c r="G5298" s="29"/>
    </row>
    <row r="5299" ht="15.75" customHeight="1">
      <c r="A5299" s="30" t="s">
        <v>8963</v>
      </c>
      <c r="B5299" s="31" t="s">
        <v>553</v>
      </c>
      <c r="C5299" s="31" t="s">
        <v>1149</v>
      </c>
      <c r="D5299" s="30" t="s">
        <v>3663</v>
      </c>
      <c r="E5299" s="32">
        <v>46113.0</v>
      </c>
      <c r="F5299" s="32">
        <v>46171.0</v>
      </c>
      <c r="G5299" s="33"/>
    </row>
    <row r="5300" ht="15.75" customHeight="1">
      <c r="A5300" s="26" t="s">
        <v>8964</v>
      </c>
      <c r="B5300" s="27" t="s">
        <v>553</v>
      </c>
      <c r="C5300" s="27" t="s">
        <v>1351</v>
      </c>
      <c r="D5300" s="26" t="s">
        <v>3663</v>
      </c>
      <c r="E5300" s="28">
        <v>46113.0</v>
      </c>
      <c r="F5300" s="28">
        <v>46171.0</v>
      </c>
      <c r="G5300" s="29"/>
    </row>
    <row r="5301" ht="15.75" customHeight="1">
      <c r="A5301" s="30" t="s">
        <v>8965</v>
      </c>
      <c r="B5301" s="31" t="s">
        <v>553</v>
      </c>
      <c r="C5301" s="31" t="s">
        <v>1349</v>
      </c>
      <c r="D5301" s="30" t="s">
        <v>3663</v>
      </c>
      <c r="E5301" s="32">
        <v>46113.0</v>
      </c>
      <c r="F5301" s="32">
        <v>46171.0</v>
      </c>
      <c r="G5301" s="33"/>
    </row>
    <row r="5302" ht="15.75" customHeight="1">
      <c r="A5302" s="26" t="s">
        <v>8966</v>
      </c>
      <c r="B5302" s="27" t="s">
        <v>553</v>
      </c>
      <c r="C5302" s="27" t="s">
        <v>968</v>
      </c>
      <c r="D5302" s="26" t="s">
        <v>3663</v>
      </c>
      <c r="E5302" s="28">
        <v>46113.0</v>
      </c>
      <c r="F5302" s="28">
        <v>46171.0</v>
      </c>
      <c r="G5302" s="29"/>
    </row>
    <row r="5303" ht="15.75" customHeight="1">
      <c r="A5303" s="30" t="s">
        <v>8967</v>
      </c>
      <c r="B5303" s="31" t="s">
        <v>553</v>
      </c>
      <c r="C5303" s="31" t="s">
        <v>923</v>
      </c>
      <c r="D5303" s="30" t="s">
        <v>3663</v>
      </c>
      <c r="E5303" s="32">
        <v>46113.0</v>
      </c>
      <c r="F5303" s="32">
        <v>46171.0</v>
      </c>
      <c r="G5303" s="33"/>
    </row>
    <row r="5304" ht="15.75" customHeight="1">
      <c r="A5304" s="26" t="s">
        <v>8968</v>
      </c>
      <c r="B5304" s="27" t="s">
        <v>554</v>
      </c>
      <c r="C5304" s="27" t="s">
        <v>932</v>
      </c>
      <c r="D5304" s="26" t="s">
        <v>3663</v>
      </c>
      <c r="E5304" s="28">
        <v>46113.0</v>
      </c>
      <c r="F5304" s="28">
        <v>46171.0</v>
      </c>
      <c r="G5304" s="29"/>
    </row>
    <row r="5305" ht="15.75" customHeight="1">
      <c r="A5305" s="30" t="s">
        <v>8969</v>
      </c>
      <c r="B5305" s="31" t="s">
        <v>554</v>
      </c>
      <c r="C5305" s="31" t="s">
        <v>1164</v>
      </c>
      <c r="D5305" s="30" t="s">
        <v>3663</v>
      </c>
      <c r="E5305" s="32">
        <v>46113.0</v>
      </c>
      <c r="F5305" s="32">
        <v>46171.0</v>
      </c>
      <c r="G5305" s="33"/>
    </row>
    <row r="5306" ht="15.75" customHeight="1">
      <c r="A5306" s="26" t="s">
        <v>8970</v>
      </c>
      <c r="B5306" s="27" t="s">
        <v>554</v>
      </c>
      <c r="C5306" s="27" t="s">
        <v>1166</v>
      </c>
      <c r="D5306" s="26" t="s">
        <v>3663</v>
      </c>
      <c r="E5306" s="28">
        <v>46113.0</v>
      </c>
      <c r="F5306" s="28">
        <v>46171.0</v>
      </c>
      <c r="G5306" s="29"/>
    </row>
    <row r="5307" ht="15.75" customHeight="1">
      <c r="A5307" s="30" t="s">
        <v>8971</v>
      </c>
      <c r="B5307" s="31" t="s">
        <v>554</v>
      </c>
      <c r="C5307" s="31" t="s">
        <v>1168</v>
      </c>
      <c r="D5307" s="30" t="s">
        <v>3663</v>
      </c>
      <c r="E5307" s="32">
        <v>46113.0</v>
      </c>
      <c r="F5307" s="32">
        <v>46171.0</v>
      </c>
      <c r="G5307" s="33"/>
    </row>
    <row r="5308" ht="15.75" customHeight="1">
      <c r="A5308" s="26" t="s">
        <v>8972</v>
      </c>
      <c r="B5308" s="27" t="s">
        <v>554</v>
      </c>
      <c r="C5308" s="27" t="s">
        <v>1170</v>
      </c>
      <c r="D5308" s="26" t="s">
        <v>3663</v>
      </c>
      <c r="E5308" s="28">
        <v>46113.0</v>
      </c>
      <c r="F5308" s="28">
        <v>46171.0</v>
      </c>
      <c r="G5308" s="29"/>
    </row>
    <row r="5309" ht="15.75" customHeight="1">
      <c r="A5309" s="30" t="s">
        <v>8973</v>
      </c>
      <c r="B5309" s="31" t="s">
        <v>554</v>
      </c>
      <c r="C5309" s="31" t="s">
        <v>1354</v>
      </c>
      <c r="D5309" s="30" t="s">
        <v>3663</v>
      </c>
      <c r="E5309" s="32">
        <v>46113.0</v>
      </c>
      <c r="F5309" s="32">
        <v>46171.0</v>
      </c>
      <c r="G5309" s="33"/>
    </row>
    <row r="5310" ht="15.75" customHeight="1">
      <c r="A5310" s="26" t="s">
        <v>8974</v>
      </c>
      <c r="B5310" s="27" t="s">
        <v>554</v>
      </c>
      <c r="C5310" s="27" t="s">
        <v>3681</v>
      </c>
      <c r="D5310" s="26" t="s">
        <v>3663</v>
      </c>
      <c r="E5310" s="28">
        <v>46113.0</v>
      </c>
      <c r="F5310" s="28">
        <v>46171.0</v>
      </c>
      <c r="G5310" s="29"/>
    </row>
    <row r="5311" ht="15.75" customHeight="1">
      <c r="A5311" s="30" t="s">
        <v>8975</v>
      </c>
      <c r="B5311" s="31" t="s">
        <v>554</v>
      </c>
      <c r="C5311" s="31" t="s">
        <v>3683</v>
      </c>
      <c r="D5311" s="30" t="s">
        <v>3663</v>
      </c>
      <c r="E5311" s="32">
        <v>46113.0</v>
      </c>
      <c r="F5311" s="32">
        <v>46171.0</v>
      </c>
      <c r="G5311" s="33"/>
    </row>
    <row r="5312" ht="15.75" customHeight="1">
      <c r="A5312" s="26" t="s">
        <v>8976</v>
      </c>
      <c r="B5312" s="27" t="s">
        <v>554</v>
      </c>
      <c r="C5312" s="27" t="s">
        <v>1351</v>
      </c>
      <c r="D5312" s="26" t="s">
        <v>3663</v>
      </c>
      <c r="E5312" s="28">
        <v>46113.0</v>
      </c>
      <c r="F5312" s="28">
        <v>46171.0</v>
      </c>
      <c r="G5312" s="29"/>
    </row>
    <row r="5313" ht="15.75" customHeight="1">
      <c r="A5313" s="30" t="s">
        <v>8977</v>
      </c>
      <c r="B5313" s="31" t="s">
        <v>554</v>
      </c>
      <c r="C5313" s="31" t="s">
        <v>1349</v>
      </c>
      <c r="D5313" s="30" t="s">
        <v>3663</v>
      </c>
      <c r="E5313" s="32">
        <v>46113.0</v>
      </c>
      <c r="F5313" s="32">
        <v>46171.0</v>
      </c>
      <c r="G5313" s="33"/>
    </row>
    <row r="5314" ht="15.75" customHeight="1">
      <c r="A5314" s="26" t="s">
        <v>8978</v>
      </c>
      <c r="B5314" s="27" t="s">
        <v>554</v>
      </c>
      <c r="C5314" s="27" t="s">
        <v>965</v>
      </c>
      <c r="D5314" s="26" t="s">
        <v>3663</v>
      </c>
      <c r="E5314" s="28">
        <v>46113.0</v>
      </c>
      <c r="F5314" s="28">
        <v>46171.0</v>
      </c>
      <c r="G5314" s="29"/>
    </row>
    <row r="5315" ht="15.75" customHeight="1">
      <c r="A5315" s="30" t="s">
        <v>8979</v>
      </c>
      <c r="B5315" s="31" t="s">
        <v>554</v>
      </c>
      <c r="C5315" s="31" t="s">
        <v>923</v>
      </c>
      <c r="D5315" s="30" t="s">
        <v>3663</v>
      </c>
      <c r="E5315" s="32">
        <v>46113.0</v>
      </c>
      <c r="F5315" s="32">
        <v>46171.0</v>
      </c>
      <c r="G5315" s="33"/>
    </row>
    <row r="5316" ht="15.75" customHeight="1">
      <c r="A5316" s="26" t="s">
        <v>8980</v>
      </c>
      <c r="B5316" s="27" t="s">
        <v>554</v>
      </c>
      <c r="C5316" s="27" t="s">
        <v>961</v>
      </c>
      <c r="D5316" s="26" t="s">
        <v>3663</v>
      </c>
      <c r="E5316" s="28">
        <v>46113.0</v>
      </c>
      <c r="F5316" s="28">
        <v>46171.0</v>
      </c>
      <c r="G5316" s="29"/>
    </row>
    <row r="5317" ht="15.75" customHeight="1">
      <c r="A5317" s="30" t="s">
        <v>8981</v>
      </c>
      <c r="B5317" s="31" t="s">
        <v>554</v>
      </c>
      <c r="C5317" s="31" t="s">
        <v>955</v>
      </c>
      <c r="D5317" s="30" t="s">
        <v>3663</v>
      </c>
      <c r="E5317" s="32">
        <v>46113.0</v>
      </c>
      <c r="F5317" s="32">
        <v>46171.0</v>
      </c>
      <c r="G5317" s="33"/>
    </row>
    <row r="5318" ht="15.75" customHeight="1">
      <c r="A5318" s="26" t="s">
        <v>8982</v>
      </c>
      <c r="B5318" s="27" t="s">
        <v>555</v>
      </c>
      <c r="C5318" s="27" t="s">
        <v>3654</v>
      </c>
      <c r="D5318" s="26" t="s">
        <v>3663</v>
      </c>
      <c r="E5318" s="28">
        <v>46113.0</v>
      </c>
      <c r="F5318" s="28">
        <v>46171.0</v>
      </c>
      <c r="G5318" s="29"/>
    </row>
    <row r="5319" ht="15.75" customHeight="1">
      <c r="A5319" s="30" t="s">
        <v>8983</v>
      </c>
      <c r="B5319" s="31" t="s">
        <v>555</v>
      </c>
      <c r="C5319" s="31" t="s">
        <v>3655</v>
      </c>
      <c r="D5319" s="30" t="s">
        <v>3663</v>
      </c>
      <c r="E5319" s="32">
        <v>46113.0</v>
      </c>
      <c r="F5319" s="32">
        <v>46171.0</v>
      </c>
      <c r="G5319" s="33"/>
    </row>
    <row r="5320" ht="15.75" customHeight="1">
      <c r="A5320" s="26" t="s">
        <v>8984</v>
      </c>
      <c r="B5320" s="27" t="s">
        <v>555</v>
      </c>
      <c r="C5320" s="27" t="s">
        <v>932</v>
      </c>
      <c r="D5320" s="26" t="s">
        <v>3663</v>
      </c>
      <c r="E5320" s="28">
        <v>46113.0</v>
      </c>
      <c r="F5320" s="28">
        <v>46171.0</v>
      </c>
      <c r="G5320" s="29"/>
    </row>
    <row r="5321" ht="15.75" customHeight="1">
      <c r="A5321" s="30" t="s">
        <v>8985</v>
      </c>
      <c r="B5321" s="31" t="s">
        <v>555</v>
      </c>
      <c r="C5321" s="31" t="s">
        <v>1164</v>
      </c>
      <c r="D5321" s="30" t="s">
        <v>3663</v>
      </c>
      <c r="E5321" s="32">
        <v>46113.0</v>
      </c>
      <c r="F5321" s="32">
        <v>46171.0</v>
      </c>
      <c r="G5321" s="33"/>
    </row>
    <row r="5322" ht="15.75" customHeight="1">
      <c r="A5322" s="26" t="s">
        <v>8986</v>
      </c>
      <c r="B5322" s="27" t="s">
        <v>555</v>
      </c>
      <c r="C5322" s="27" t="s">
        <v>1166</v>
      </c>
      <c r="D5322" s="26" t="s">
        <v>3663</v>
      </c>
      <c r="E5322" s="28">
        <v>46113.0</v>
      </c>
      <c r="F5322" s="28">
        <v>46171.0</v>
      </c>
      <c r="G5322" s="29"/>
    </row>
    <row r="5323" ht="15.75" customHeight="1">
      <c r="A5323" s="30" t="s">
        <v>8987</v>
      </c>
      <c r="B5323" s="31" t="s">
        <v>555</v>
      </c>
      <c r="C5323" s="31" t="s">
        <v>1168</v>
      </c>
      <c r="D5323" s="30" t="s">
        <v>3663</v>
      </c>
      <c r="E5323" s="32">
        <v>46113.0</v>
      </c>
      <c r="F5323" s="32">
        <v>46171.0</v>
      </c>
      <c r="G5323" s="33"/>
    </row>
    <row r="5324" ht="15.75" customHeight="1">
      <c r="A5324" s="26" t="s">
        <v>8988</v>
      </c>
      <c r="B5324" s="27" t="s">
        <v>555</v>
      </c>
      <c r="C5324" s="27" t="s">
        <v>1170</v>
      </c>
      <c r="D5324" s="26" t="s">
        <v>3663</v>
      </c>
      <c r="E5324" s="28">
        <v>46113.0</v>
      </c>
      <c r="F5324" s="28">
        <v>46171.0</v>
      </c>
      <c r="G5324" s="29"/>
    </row>
    <row r="5325" ht="15.75" customHeight="1">
      <c r="A5325" s="30" t="s">
        <v>8989</v>
      </c>
      <c r="B5325" s="31" t="s">
        <v>555</v>
      </c>
      <c r="C5325" s="31" t="s">
        <v>1354</v>
      </c>
      <c r="D5325" s="30" t="s">
        <v>3663</v>
      </c>
      <c r="E5325" s="32">
        <v>46113.0</v>
      </c>
      <c r="F5325" s="32">
        <v>46171.0</v>
      </c>
      <c r="G5325" s="33"/>
    </row>
    <row r="5326" ht="15.75" customHeight="1">
      <c r="A5326" s="26" t="s">
        <v>8990</v>
      </c>
      <c r="B5326" s="27" t="s">
        <v>555</v>
      </c>
      <c r="C5326" s="27" t="s">
        <v>1216</v>
      </c>
      <c r="D5326" s="26" t="s">
        <v>3663</v>
      </c>
      <c r="E5326" s="28">
        <v>46113.0</v>
      </c>
      <c r="F5326" s="28">
        <v>46171.0</v>
      </c>
      <c r="G5326" s="29"/>
    </row>
    <row r="5327" ht="15.75" customHeight="1">
      <c r="A5327" s="30" t="s">
        <v>8991</v>
      </c>
      <c r="B5327" s="31" t="s">
        <v>555</v>
      </c>
      <c r="C5327" s="31" t="s">
        <v>1351</v>
      </c>
      <c r="D5327" s="30" t="s">
        <v>3663</v>
      </c>
      <c r="E5327" s="32">
        <v>46113.0</v>
      </c>
      <c r="F5327" s="32">
        <v>46171.0</v>
      </c>
      <c r="G5327" s="33"/>
    </row>
    <row r="5328" ht="15.75" customHeight="1">
      <c r="A5328" s="26" t="s">
        <v>8992</v>
      </c>
      <c r="B5328" s="27" t="s">
        <v>555</v>
      </c>
      <c r="C5328" s="27" t="s">
        <v>1349</v>
      </c>
      <c r="D5328" s="26" t="s">
        <v>3663</v>
      </c>
      <c r="E5328" s="28">
        <v>46113.0</v>
      </c>
      <c r="F5328" s="28">
        <v>46171.0</v>
      </c>
      <c r="G5328" s="29"/>
    </row>
    <row r="5329" ht="15.75" customHeight="1">
      <c r="A5329" s="30" t="s">
        <v>8993</v>
      </c>
      <c r="B5329" s="31" t="s">
        <v>555</v>
      </c>
      <c r="C5329" s="31" t="s">
        <v>965</v>
      </c>
      <c r="D5329" s="30" t="s">
        <v>3663</v>
      </c>
      <c r="E5329" s="32">
        <v>46113.0</v>
      </c>
      <c r="F5329" s="32">
        <v>46171.0</v>
      </c>
      <c r="G5329" s="33"/>
    </row>
    <row r="5330" ht="15.75" customHeight="1">
      <c r="A5330" s="26" t="s">
        <v>8994</v>
      </c>
      <c r="B5330" s="27" t="s">
        <v>555</v>
      </c>
      <c r="C5330" s="27" t="s">
        <v>923</v>
      </c>
      <c r="D5330" s="26" t="s">
        <v>3663</v>
      </c>
      <c r="E5330" s="28">
        <v>46113.0</v>
      </c>
      <c r="F5330" s="28">
        <v>46171.0</v>
      </c>
      <c r="G5330" s="29"/>
    </row>
    <row r="5331" ht="15.75" customHeight="1">
      <c r="A5331" s="30" t="s">
        <v>8995</v>
      </c>
      <c r="B5331" s="31" t="s">
        <v>555</v>
      </c>
      <c r="C5331" s="31" t="s">
        <v>961</v>
      </c>
      <c r="D5331" s="30" t="s">
        <v>3663</v>
      </c>
      <c r="E5331" s="32">
        <v>46113.0</v>
      </c>
      <c r="F5331" s="32">
        <v>46171.0</v>
      </c>
      <c r="G5331" s="33"/>
    </row>
    <row r="5332" ht="15.75" customHeight="1">
      <c r="A5332" s="26" t="s">
        <v>8996</v>
      </c>
      <c r="B5332" s="27" t="s">
        <v>556</v>
      </c>
      <c r="C5332" s="27" t="s">
        <v>932</v>
      </c>
      <c r="D5332" s="26" t="s">
        <v>3663</v>
      </c>
      <c r="E5332" s="28">
        <v>46113.0</v>
      </c>
      <c r="F5332" s="28">
        <v>46171.0</v>
      </c>
      <c r="G5332" s="29"/>
    </row>
    <row r="5333" ht="15.75" customHeight="1">
      <c r="A5333" s="30" t="s">
        <v>8997</v>
      </c>
      <c r="B5333" s="31" t="s">
        <v>556</v>
      </c>
      <c r="C5333" s="31" t="s">
        <v>1164</v>
      </c>
      <c r="D5333" s="30" t="s">
        <v>3663</v>
      </c>
      <c r="E5333" s="32">
        <v>46113.0</v>
      </c>
      <c r="F5333" s="32">
        <v>46171.0</v>
      </c>
      <c r="G5333" s="33"/>
    </row>
    <row r="5334" ht="15.75" customHeight="1">
      <c r="A5334" s="26" t="s">
        <v>8998</v>
      </c>
      <c r="B5334" s="27" t="s">
        <v>556</v>
      </c>
      <c r="C5334" s="27" t="s">
        <v>1166</v>
      </c>
      <c r="D5334" s="26" t="s">
        <v>3663</v>
      </c>
      <c r="E5334" s="28">
        <v>46113.0</v>
      </c>
      <c r="F5334" s="28">
        <v>46171.0</v>
      </c>
      <c r="G5334" s="29"/>
    </row>
    <row r="5335" ht="15.75" customHeight="1">
      <c r="A5335" s="30" t="s">
        <v>8999</v>
      </c>
      <c r="B5335" s="31" t="s">
        <v>556</v>
      </c>
      <c r="C5335" s="31" t="s">
        <v>1168</v>
      </c>
      <c r="D5335" s="30" t="s">
        <v>3663</v>
      </c>
      <c r="E5335" s="32">
        <v>46113.0</v>
      </c>
      <c r="F5335" s="32">
        <v>46171.0</v>
      </c>
      <c r="G5335" s="33"/>
    </row>
    <row r="5336" ht="15.75" customHeight="1">
      <c r="A5336" s="26" t="s">
        <v>9000</v>
      </c>
      <c r="B5336" s="27" t="s">
        <v>556</v>
      </c>
      <c r="C5336" s="27" t="s">
        <v>1170</v>
      </c>
      <c r="D5336" s="26" t="s">
        <v>3663</v>
      </c>
      <c r="E5336" s="28">
        <v>46113.0</v>
      </c>
      <c r="F5336" s="28">
        <v>46171.0</v>
      </c>
      <c r="G5336" s="29"/>
    </row>
    <row r="5337" ht="15.75" customHeight="1">
      <c r="A5337" s="30" t="s">
        <v>9001</v>
      </c>
      <c r="B5337" s="31" t="s">
        <v>556</v>
      </c>
      <c r="C5337" s="31" t="s">
        <v>1354</v>
      </c>
      <c r="D5337" s="30" t="s">
        <v>3663</v>
      </c>
      <c r="E5337" s="32">
        <v>46113.0</v>
      </c>
      <c r="F5337" s="32">
        <v>46171.0</v>
      </c>
      <c r="G5337" s="33"/>
    </row>
    <row r="5338" ht="15.75" customHeight="1">
      <c r="A5338" s="26" t="s">
        <v>9002</v>
      </c>
      <c r="B5338" s="27" t="s">
        <v>556</v>
      </c>
      <c r="C5338" s="27" t="s">
        <v>3681</v>
      </c>
      <c r="D5338" s="26" t="s">
        <v>3663</v>
      </c>
      <c r="E5338" s="28">
        <v>46113.0</v>
      </c>
      <c r="F5338" s="28">
        <v>46171.0</v>
      </c>
      <c r="G5338" s="29"/>
    </row>
    <row r="5339" ht="15.75" customHeight="1">
      <c r="A5339" s="30" t="s">
        <v>9003</v>
      </c>
      <c r="B5339" s="31" t="s">
        <v>556</v>
      </c>
      <c r="C5339" s="31" t="s">
        <v>3683</v>
      </c>
      <c r="D5339" s="30" t="s">
        <v>3663</v>
      </c>
      <c r="E5339" s="32">
        <v>46113.0</v>
      </c>
      <c r="F5339" s="32">
        <v>46171.0</v>
      </c>
      <c r="G5339" s="33"/>
    </row>
    <row r="5340" ht="15.75" customHeight="1">
      <c r="A5340" s="26" t="s">
        <v>9004</v>
      </c>
      <c r="B5340" s="27" t="s">
        <v>556</v>
      </c>
      <c r="C5340" s="27" t="s">
        <v>1216</v>
      </c>
      <c r="D5340" s="26" t="s">
        <v>3663</v>
      </c>
      <c r="E5340" s="28">
        <v>46113.0</v>
      </c>
      <c r="F5340" s="28">
        <v>46171.0</v>
      </c>
      <c r="G5340" s="29"/>
    </row>
    <row r="5341" ht="15.75" customHeight="1">
      <c r="A5341" s="30" t="s">
        <v>9005</v>
      </c>
      <c r="B5341" s="31" t="s">
        <v>556</v>
      </c>
      <c r="C5341" s="31" t="s">
        <v>1351</v>
      </c>
      <c r="D5341" s="30" t="s">
        <v>3663</v>
      </c>
      <c r="E5341" s="32">
        <v>46113.0</v>
      </c>
      <c r="F5341" s="32">
        <v>46171.0</v>
      </c>
      <c r="G5341" s="33"/>
    </row>
    <row r="5342" ht="15.75" customHeight="1">
      <c r="A5342" s="26" t="s">
        <v>9006</v>
      </c>
      <c r="B5342" s="27" t="s">
        <v>556</v>
      </c>
      <c r="C5342" s="27" t="s">
        <v>1349</v>
      </c>
      <c r="D5342" s="26" t="s">
        <v>3663</v>
      </c>
      <c r="E5342" s="28">
        <v>46113.0</v>
      </c>
      <c r="F5342" s="28">
        <v>46171.0</v>
      </c>
      <c r="G5342" s="29"/>
    </row>
    <row r="5343" ht="15.75" customHeight="1">
      <c r="A5343" s="30" t="s">
        <v>9007</v>
      </c>
      <c r="B5343" s="31" t="s">
        <v>556</v>
      </c>
      <c r="C5343" s="31" t="s">
        <v>968</v>
      </c>
      <c r="D5343" s="30" t="s">
        <v>3663</v>
      </c>
      <c r="E5343" s="32">
        <v>46113.0</v>
      </c>
      <c r="F5343" s="32">
        <v>46171.0</v>
      </c>
      <c r="G5343" s="33"/>
    </row>
    <row r="5344" ht="15.75" customHeight="1">
      <c r="A5344" s="26" t="s">
        <v>9008</v>
      </c>
      <c r="B5344" s="27" t="s">
        <v>556</v>
      </c>
      <c r="C5344" s="27" t="s">
        <v>923</v>
      </c>
      <c r="D5344" s="26" t="s">
        <v>3663</v>
      </c>
      <c r="E5344" s="28">
        <v>46113.0</v>
      </c>
      <c r="F5344" s="28">
        <v>46171.0</v>
      </c>
      <c r="G5344" s="29"/>
    </row>
    <row r="5345" ht="15.75" customHeight="1">
      <c r="A5345" s="30" t="s">
        <v>9009</v>
      </c>
      <c r="B5345" s="31" t="s">
        <v>556</v>
      </c>
      <c r="C5345" s="31" t="s">
        <v>961</v>
      </c>
      <c r="D5345" s="30" t="s">
        <v>3663</v>
      </c>
      <c r="E5345" s="32">
        <v>46113.0</v>
      </c>
      <c r="F5345" s="32">
        <v>46171.0</v>
      </c>
      <c r="G5345" s="33"/>
    </row>
    <row r="5346" ht="15.75" customHeight="1">
      <c r="A5346" s="26" t="s">
        <v>9010</v>
      </c>
      <c r="B5346" s="27" t="s">
        <v>558</v>
      </c>
      <c r="C5346" s="27" t="s">
        <v>3654</v>
      </c>
      <c r="D5346" s="26" t="s">
        <v>3663</v>
      </c>
      <c r="E5346" s="28">
        <v>46113.0</v>
      </c>
      <c r="F5346" s="28">
        <v>46171.0</v>
      </c>
      <c r="G5346" s="29"/>
    </row>
    <row r="5347" ht="15.75" customHeight="1">
      <c r="A5347" s="30" t="s">
        <v>9011</v>
      </c>
      <c r="B5347" s="31" t="s">
        <v>558</v>
      </c>
      <c r="C5347" s="31" t="s">
        <v>3655</v>
      </c>
      <c r="D5347" s="30" t="s">
        <v>3663</v>
      </c>
      <c r="E5347" s="32">
        <v>46113.0</v>
      </c>
      <c r="F5347" s="32">
        <v>46171.0</v>
      </c>
      <c r="G5347" s="33"/>
    </row>
    <row r="5348" ht="15.75" customHeight="1">
      <c r="A5348" s="26" t="s">
        <v>9012</v>
      </c>
      <c r="B5348" s="27" t="s">
        <v>558</v>
      </c>
      <c r="C5348" s="27" t="s">
        <v>932</v>
      </c>
      <c r="D5348" s="26" t="s">
        <v>3663</v>
      </c>
      <c r="E5348" s="28">
        <v>46113.0</v>
      </c>
      <c r="F5348" s="28">
        <v>46171.0</v>
      </c>
      <c r="G5348" s="29"/>
    </row>
    <row r="5349" ht="15.75" customHeight="1">
      <c r="A5349" s="30" t="s">
        <v>9013</v>
      </c>
      <c r="B5349" s="31" t="s">
        <v>558</v>
      </c>
      <c r="C5349" s="31" t="s">
        <v>1164</v>
      </c>
      <c r="D5349" s="30" t="s">
        <v>3663</v>
      </c>
      <c r="E5349" s="32">
        <v>46113.0</v>
      </c>
      <c r="F5349" s="32">
        <v>46171.0</v>
      </c>
      <c r="G5349" s="33"/>
    </row>
    <row r="5350" ht="15.75" customHeight="1">
      <c r="A5350" s="26" t="s">
        <v>9014</v>
      </c>
      <c r="B5350" s="27" t="s">
        <v>558</v>
      </c>
      <c r="C5350" s="27" t="s">
        <v>1166</v>
      </c>
      <c r="D5350" s="26" t="s">
        <v>3663</v>
      </c>
      <c r="E5350" s="28">
        <v>46113.0</v>
      </c>
      <c r="F5350" s="28">
        <v>46171.0</v>
      </c>
      <c r="G5350" s="29"/>
    </row>
    <row r="5351" ht="15.75" customHeight="1">
      <c r="A5351" s="30" t="s">
        <v>9015</v>
      </c>
      <c r="B5351" s="31" t="s">
        <v>558</v>
      </c>
      <c r="C5351" s="31" t="s">
        <v>1168</v>
      </c>
      <c r="D5351" s="30" t="s">
        <v>3663</v>
      </c>
      <c r="E5351" s="32">
        <v>46113.0</v>
      </c>
      <c r="F5351" s="32">
        <v>46171.0</v>
      </c>
      <c r="G5351" s="33"/>
    </row>
    <row r="5352" ht="15.75" customHeight="1">
      <c r="A5352" s="26" t="s">
        <v>9016</v>
      </c>
      <c r="B5352" s="27" t="s">
        <v>558</v>
      </c>
      <c r="C5352" s="27" t="s">
        <v>1170</v>
      </c>
      <c r="D5352" s="26" t="s">
        <v>3663</v>
      </c>
      <c r="E5352" s="28">
        <v>46113.0</v>
      </c>
      <c r="F5352" s="28">
        <v>46171.0</v>
      </c>
      <c r="G5352" s="29"/>
    </row>
    <row r="5353" ht="15.75" customHeight="1">
      <c r="A5353" s="30" t="s">
        <v>9017</v>
      </c>
      <c r="B5353" s="31" t="s">
        <v>558</v>
      </c>
      <c r="C5353" s="31" t="s">
        <v>1354</v>
      </c>
      <c r="D5353" s="30" t="s">
        <v>3663</v>
      </c>
      <c r="E5353" s="32">
        <v>46113.0</v>
      </c>
      <c r="F5353" s="32">
        <v>46171.0</v>
      </c>
      <c r="G5353" s="33"/>
    </row>
    <row r="5354" ht="15.75" customHeight="1">
      <c r="A5354" s="26" t="s">
        <v>9018</v>
      </c>
      <c r="B5354" s="27" t="s">
        <v>558</v>
      </c>
      <c r="C5354" s="27" t="s">
        <v>1172</v>
      </c>
      <c r="D5354" s="26" t="s">
        <v>3663</v>
      </c>
      <c r="E5354" s="28">
        <v>46113.0</v>
      </c>
      <c r="F5354" s="28">
        <v>46171.0</v>
      </c>
      <c r="G5354" s="29"/>
    </row>
    <row r="5355" ht="15.75" customHeight="1">
      <c r="A5355" s="30" t="s">
        <v>9019</v>
      </c>
      <c r="B5355" s="31" t="s">
        <v>558</v>
      </c>
      <c r="C5355" s="31" t="s">
        <v>3647</v>
      </c>
      <c r="D5355" s="30" t="s">
        <v>3663</v>
      </c>
      <c r="E5355" s="32">
        <v>46113.0</v>
      </c>
      <c r="F5355" s="32">
        <v>46171.0</v>
      </c>
      <c r="G5355" s="33"/>
    </row>
    <row r="5356" ht="15.75" customHeight="1">
      <c r="A5356" s="26" t="s">
        <v>9020</v>
      </c>
      <c r="B5356" s="27" t="s">
        <v>558</v>
      </c>
      <c r="C5356" s="27" t="s">
        <v>952</v>
      </c>
      <c r="D5356" s="26" t="s">
        <v>3663</v>
      </c>
      <c r="E5356" s="28">
        <v>46113.0</v>
      </c>
      <c r="F5356" s="28">
        <v>46171.0</v>
      </c>
      <c r="G5356" s="29"/>
    </row>
    <row r="5357" ht="15.75" customHeight="1">
      <c r="A5357" s="30" t="s">
        <v>9021</v>
      </c>
      <c r="B5357" s="31" t="s">
        <v>558</v>
      </c>
      <c r="C5357" s="31" t="s">
        <v>1216</v>
      </c>
      <c r="D5357" s="30" t="s">
        <v>3663</v>
      </c>
      <c r="E5357" s="32">
        <v>46113.0</v>
      </c>
      <c r="F5357" s="32">
        <v>46171.0</v>
      </c>
      <c r="G5357" s="33"/>
    </row>
    <row r="5358" ht="15.75" customHeight="1">
      <c r="A5358" s="26" t="s">
        <v>9022</v>
      </c>
      <c r="B5358" s="27" t="s">
        <v>558</v>
      </c>
      <c r="C5358" s="27" t="s">
        <v>968</v>
      </c>
      <c r="D5358" s="26" t="s">
        <v>3663</v>
      </c>
      <c r="E5358" s="28">
        <v>46113.0</v>
      </c>
      <c r="F5358" s="28">
        <v>46171.0</v>
      </c>
      <c r="G5358" s="29"/>
    </row>
    <row r="5359" ht="15.75" customHeight="1">
      <c r="A5359" s="30" t="s">
        <v>9023</v>
      </c>
      <c r="B5359" s="31" t="s">
        <v>558</v>
      </c>
      <c r="C5359" s="31" t="s">
        <v>923</v>
      </c>
      <c r="D5359" s="30" t="s">
        <v>3663</v>
      </c>
      <c r="E5359" s="32">
        <v>46113.0</v>
      </c>
      <c r="F5359" s="32">
        <v>46171.0</v>
      </c>
      <c r="G5359" s="33"/>
    </row>
    <row r="5360" ht="15.75" customHeight="1">
      <c r="A5360" s="26" t="s">
        <v>9024</v>
      </c>
      <c r="B5360" s="27" t="s">
        <v>559</v>
      </c>
      <c r="C5360" s="27" t="s">
        <v>928</v>
      </c>
      <c r="D5360" s="26" t="s">
        <v>3663</v>
      </c>
      <c r="E5360" s="28">
        <v>46113.0</v>
      </c>
      <c r="F5360" s="28">
        <v>46171.0</v>
      </c>
      <c r="G5360" s="29"/>
    </row>
    <row r="5361" ht="15.75" customHeight="1">
      <c r="A5361" s="30" t="s">
        <v>9025</v>
      </c>
      <c r="B5361" s="31" t="s">
        <v>559</v>
      </c>
      <c r="C5361" s="31" t="s">
        <v>1354</v>
      </c>
      <c r="D5361" s="30" t="s">
        <v>3663</v>
      </c>
      <c r="E5361" s="32">
        <v>46113.0</v>
      </c>
      <c r="F5361" s="32">
        <v>46171.0</v>
      </c>
      <c r="G5361" s="33"/>
    </row>
    <row r="5362" ht="15.75" customHeight="1">
      <c r="A5362" s="26" t="s">
        <v>9026</v>
      </c>
      <c r="B5362" s="27" t="s">
        <v>559</v>
      </c>
      <c r="C5362" s="27" t="s">
        <v>1222</v>
      </c>
      <c r="D5362" s="26" t="s">
        <v>3663</v>
      </c>
      <c r="E5362" s="28">
        <v>46113.0</v>
      </c>
      <c r="F5362" s="28">
        <v>46171.0</v>
      </c>
      <c r="G5362" s="29"/>
    </row>
    <row r="5363" ht="15.75" customHeight="1">
      <c r="A5363" s="30" t="s">
        <v>9027</v>
      </c>
      <c r="B5363" s="31" t="s">
        <v>559</v>
      </c>
      <c r="C5363" s="31" t="s">
        <v>1224</v>
      </c>
      <c r="D5363" s="30" t="s">
        <v>3663</v>
      </c>
      <c r="E5363" s="32">
        <v>46113.0</v>
      </c>
      <c r="F5363" s="32">
        <v>46171.0</v>
      </c>
      <c r="G5363" s="33"/>
    </row>
    <row r="5364" ht="15.75" customHeight="1">
      <c r="A5364" s="26" t="s">
        <v>9028</v>
      </c>
      <c r="B5364" s="27" t="s">
        <v>559</v>
      </c>
      <c r="C5364" s="27" t="s">
        <v>1226</v>
      </c>
      <c r="D5364" s="26" t="s">
        <v>3663</v>
      </c>
      <c r="E5364" s="28">
        <v>46113.0</v>
      </c>
      <c r="F5364" s="28">
        <v>46171.0</v>
      </c>
      <c r="G5364" s="29"/>
    </row>
    <row r="5365" ht="15.75" customHeight="1">
      <c r="A5365" s="30" t="s">
        <v>9029</v>
      </c>
      <c r="B5365" s="31" t="s">
        <v>559</v>
      </c>
      <c r="C5365" s="31" t="s">
        <v>1228</v>
      </c>
      <c r="D5365" s="30" t="s">
        <v>3663</v>
      </c>
      <c r="E5365" s="32">
        <v>46113.0</v>
      </c>
      <c r="F5365" s="32">
        <v>46171.0</v>
      </c>
      <c r="G5365" s="33"/>
    </row>
    <row r="5366" ht="15.75" customHeight="1">
      <c r="A5366" s="26" t="s">
        <v>9030</v>
      </c>
      <c r="B5366" s="27" t="s">
        <v>559</v>
      </c>
      <c r="C5366" s="27" t="s">
        <v>1159</v>
      </c>
      <c r="D5366" s="26" t="s">
        <v>3663</v>
      </c>
      <c r="E5366" s="28">
        <v>46113.0</v>
      </c>
      <c r="F5366" s="28">
        <v>46171.0</v>
      </c>
      <c r="G5366" s="29"/>
    </row>
    <row r="5367" ht="15.75" customHeight="1">
      <c r="A5367" s="30" t="s">
        <v>9031</v>
      </c>
      <c r="B5367" s="31" t="s">
        <v>559</v>
      </c>
      <c r="C5367" s="31" t="s">
        <v>1351</v>
      </c>
      <c r="D5367" s="30" t="s">
        <v>3663</v>
      </c>
      <c r="E5367" s="32">
        <v>46113.0</v>
      </c>
      <c r="F5367" s="32">
        <v>46171.0</v>
      </c>
      <c r="G5367" s="33"/>
    </row>
    <row r="5368" ht="15.75" customHeight="1">
      <c r="A5368" s="26" t="s">
        <v>9032</v>
      </c>
      <c r="B5368" s="27" t="s">
        <v>559</v>
      </c>
      <c r="C5368" s="27" t="s">
        <v>1349</v>
      </c>
      <c r="D5368" s="26" t="s">
        <v>3663</v>
      </c>
      <c r="E5368" s="28">
        <v>46113.0</v>
      </c>
      <c r="F5368" s="28">
        <v>46171.0</v>
      </c>
      <c r="G5368" s="29"/>
    </row>
    <row r="5369" ht="15.75" customHeight="1">
      <c r="A5369" s="30" t="s">
        <v>9033</v>
      </c>
      <c r="B5369" s="31" t="s">
        <v>559</v>
      </c>
      <c r="C5369" s="31" t="s">
        <v>3653</v>
      </c>
      <c r="D5369" s="31" t="s">
        <v>3663</v>
      </c>
      <c r="E5369" s="32">
        <v>46113.0</v>
      </c>
      <c r="F5369" s="32">
        <v>46171.0</v>
      </c>
      <c r="G5369" s="33"/>
    </row>
    <row r="5370" ht="15.75" customHeight="1">
      <c r="A5370" s="26" t="s">
        <v>9034</v>
      </c>
      <c r="B5370" s="27" t="s">
        <v>559</v>
      </c>
      <c r="C5370" s="27" t="s">
        <v>3652</v>
      </c>
      <c r="D5370" s="26" t="s">
        <v>3663</v>
      </c>
      <c r="E5370" s="28">
        <v>46113.0</v>
      </c>
      <c r="F5370" s="28">
        <v>46171.0</v>
      </c>
      <c r="G5370" s="29"/>
    </row>
    <row r="5371" ht="15.75" customHeight="1">
      <c r="A5371" s="30" t="s">
        <v>9035</v>
      </c>
      <c r="B5371" s="31" t="s">
        <v>559</v>
      </c>
      <c r="C5371" s="31" t="s">
        <v>968</v>
      </c>
      <c r="D5371" s="30" t="s">
        <v>3663</v>
      </c>
      <c r="E5371" s="32">
        <v>46113.0</v>
      </c>
      <c r="F5371" s="32">
        <v>46171.0</v>
      </c>
      <c r="G5371" s="33"/>
    </row>
    <row r="5372" ht="15.75" customHeight="1">
      <c r="A5372" s="26" t="s">
        <v>9036</v>
      </c>
      <c r="B5372" s="27" t="s">
        <v>559</v>
      </c>
      <c r="C5372" s="27" t="s">
        <v>923</v>
      </c>
      <c r="D5372" s="26" t="s">
        <v>3663</v>
      </c>
      <c r="E5372" s="28">
        <v>46113.0</v>
      </c>
      <c r="F5372" s="28">
        <v>46171.0</v>
      </c>
      <c r="G5372" s="29"/>
    </row>
    <row r="5373" ht="15.75" customHeight="1">
      <c r="A5373" s="30" t="s">
        <v>9037</v>
      </c>
      <c r="B5373" s="31" t="s">
        <v>559</v>
      </c>
      <c r="C5373" s="31" t="s">
        <v>955</v>
      </c>
      <c r="D5373" s="30" t="s">
        <v>3663</v>
      </c>
      <c r="E5373" s="32">
        <v>46113.0</v>
      </c>
      <c r="F5373" s="32">
        <v>46171.0</v>
      </c>
      <c r="G5373" s="33"/>
    </row>
    <row r="5374" ht="15.75" customHeight="1">
      <c r="A5374" s="26" t="s">
        <v>9038</v>
      </c>
      <c r="B5374" s="27" t="s">
        <v>560</v>
      </c>
      <c r="C5374" s="27" t="s">
        <v>3654</v>
      </c>
      <c r="D5374" s="26" t="s">
        <v>3663</v>
      </c>
      <c r="E5374" s="28">
        <v>46113.0</v>
      </c>
      <c r="F5374" s="28">
        <v>46171.0</v>
      </c>
      <c r="G5374" s="29"/>
    </row>
    <row r="5375" ht="15.75" customHeight="1">
      <c r="A5375" s="30" t="s">
        <v>9039</v>
      </c>
      <c r="B5375" s="31" t="s">
        <v>560</v>
      </c>
      <c r="C5375" s="31" t="s">
        <v>3655</v>
      </c>
      <c r="D5375" s="30" t="s">
        <v>3663</v>
      </c>
      <c r="E5375" s="32">
        <v>46113.0</v>
      </c>
      <c r="F5375" s="32">
        <v>46171.0</v>
      </c>
      <c r="G5375" s="33"/>
    </row>
    <row r="5376" ht="15.75" customHeight="1">
      <c r="A5376" s="26" t="s">
        <v>9040</v>
      </c>
      <c r="B5376" s="27" t="s">
        <v>560</v>
      </c>
      <c r="C5376" s="27" t="s">
        <v>926</v>
      </c>
      <c r="D5376" s="27" t="s">
        <v>3663</v>
      </c>
      <c r="E5376" s="28">
        <v>46113.0</v>
      </c>
      <c r="F5376" s="28">
        <v>46171.0</v>
      </c>
      <c r="G5376" s="29"/>
    </row>
    <row r="5377" ht="15.75" customHeight="1">
      <c r="A5377" s="30" t="s">
        <v>9041</v>
      </c>
      <c r="B5377" s="31" t="s">
        <v>560</v>
      </c>
      <c r="C5377" s="31" t="s">
        <v>1354</v>
      </c>
      <c r="D5377" s="30" t="s">
        <v>3663</v>
      </c>
      <c r="E5377" s="32">
        <v>46113.0</v>
      </c>
      <c r="F5377" s="32">
        <v>46171.0</v>
      </c>
      <c r="G5377" s="33"/>
    </row>
    <row r="5378" ht="15.75" customHeight="1">
      <c r="A5378" s="26" t="s">
        <v>9042</v>
      </c>
      <c r="B5378" s="27" t="s">
        <v>560</v>
      </c>
      <c r="C5378" s="27" t="s">
        <v>3648</v>
      </c>
      <c r="D5378" s="27" t="s">
        <v>3663</v>
      </c>
      <c r="E5378" s="28">
        <v>46113.0</v>
      </c>
      <c r="F5378" s="28">
        <v>46171.0</v>
      </c>
      <c r="G5378" s="29"/>
    </row>
    <row r="5379" ht="15.75" customHeight="1">
      <c r="A5379" s="30" t="s">
        <v>9043</v>
      </c>
      <c r="B5379" s="31" t="s">
        <v>560</v>
      </c>
      <c r="C5379" s="31" t="s">
        <v>3649</v>
      </c>
      <c r="D5379" s="31" t="s">
        <v>3663</v>
      </c>
      <c r="E5379" s="32">
        <v>46113.0</v>
      </c>
      <c r="F5379" s="32">
        <v>46171.0</v>
      </c>
      <c r="G5379" s="33"/>
    </row>
    <row r="5380" ht="15.75" customHeight="1">
      <c r="A5380" s="26" t="s">
        <v>9044</v>
      </c>
      <c r="B5380" s="27" t="s">
        <v>560</v>
      </c>
      <c r="C5380" s="27" t="s">
        <v>3650</v>
      </c>
      <c r="D5380" s="27" t="s">
        <v>3663</v>
      </c>
      <c r="E5380" s="28">
        <v>46113.0</v>
      </c>
      <c r="F5380" s="28">
        <v>46171.0</v>
      </c>
      <c r="G5380" s="29"/>
    </row>
    <row r="5381" ht="15.75" customHeight="1">
      <c r="A5381" s="30" t="s">
        <v>9045</v>
      </c>
      <c r="B5381" s="31" t="s">
        <v>560</v>
      </c>
      <c r="C5381" s="31" t="s">
        <v>1283</v>
      </c>
      <c r="D5381" s="31" t="s">
        <v>3663</v>
      </c>
      <c r="E5381" s="32">
        <v>46113.0</v>
      </c>
      <c r="F5381" s="32">
        <v>46171.0</v>
      </c>
      <c r="G5381" s="33"/>
    </row>
    <row r="5382" ht="15.75" customHeight="1">
      <c r="A5382" s="26" t="s">
        <v>9046</v>
      </c>
      <c r="B5382" s="27" t="s">
        <v>560</v>
      </c>
      <c r="C5382" s="27" t="s">
        <v>1216</v>
      </c>
      <c r="D5382" s="26" t="s">
        <v>3663</v>
      </c>
      <c r="E5382" s="28">
        <v>46113.0</v>
      </c>
      <c r="F5382" s="28">
        <v>46171.0</v>
      </c>
      <c r="G5382" s="29"/>
    </row>
    <row r="5383" ht="15.75" customHeight="1">
      <c r="A5383" s="30" t="s">
        <v>9047</v>
      </c>
      <c r="B5383" s="31" t="s">
        <v>560</v>
      </c>
      <c r="C5383" s="31" t="s">
        <v>1218</v>
      </c>
      <c r="D5383" s="30" t="s">
        <v>3663</v>
      </c>
      <c r="E5383" s="32">
        <v>46113.0</v>
      </c>
      <c r="F5383" s="32">
        <v>46171.0</v>
      </c>
      <c r="G5383" s="33"/>
    </row>
    <row r="5384" ht="15.75" customHeight="1">
      <c r="A5384" s="26" t="s">
        <v>9048</v>
      </c>
      <c r="B5384" s="27" t="s">
        <v>560</v>
      </c>
      <c r="C5384" s="27" t="s">
        <v>1351</v>
      </c>
      <c r="D5384" s="26" t="s">
        <v>3663</v>
      </c>
      <c r="E5384" s="28">
        <v>46113.0</v>
      </c>
      <c r="F5384" s="28">
        <v>46171.0</v>
      </c>
      <c r="G5384" s="29"/>
    </row>
    <row r="5385" ht="15.75" customHeight="1">
      <c r="A5385" s="30" t="s">
        <v>9049</v>
      </c>
      <c r="B5385" s="31" t="s">
        <v>560</v>
      </c>
      <c r="C5385" s="31" t="s">
        <v>1349</v>
      </c>
      <c r="D5385" s="30" t="s">
        <v>3663</v>
      </c>
      <c r="E5385" s="32">
        <v>46113.0</v>
      </c>
      <c r="F5385" s="32">
        <v>46171.0</v>
      </c>
      <c r="G5385" s="33"/>
    </row>
    <row r="5386" ht="15.75" customHeight="1">
      <c r="A5386" s="26" t="s">
        <v>9050</v>
      </c>
      <c r="B5386" s="27" t="s">
        <v>560</v>
      </c>
      <c r="C5386" s="27" t="s">
        <v>968</v>
      </c>
      <c r="D5386" s="26" t="s">
        <v>3663</v>
      </c>
      <c r="E5386" s="28">
        <v>46113.0</v>
      </c>
      <c r="F5386" s="28">
        <v>46171.0</v>
      </c>
      <c r="G5386" s="29"/>
    </row>
    <row r="5387" ht="15.75" customHeight="1">
      <c r="A5387" s="30" t="s">
        <v>9051</v>
      </c>
      <c r="B5387" s="31" t="s">
        <v>560</v>
      </c>
      <c r="C5387" s="31" t="s">
        <v>923</v>
      </c>
      <c r="D5387" s="31" t="s">
        <v>3663</v>
      </c>
      <c r="E5387" s="32">
        <v>46113.0</v>
      </c>
      <c r="F5387" s="32">
        <v>46171.0</v>
      </c>
      <c r="G5387" s="33"/>
    </row>
    <row r="5388" ht="15.75" customHeight="1">
      <c r="A5388" s="26" t="s">
        <v>9052</v>
      </c>
      <c r="B5388" s="27" t="s">
        <v>561</v>
      </c>
      <c r="C5388" s="27" t="s">
        <v>1240</v>
      </c>
      <c r="D5388" s="26" t="s">
        <v>3663</v>
      </c>
      <c r="E5388" s="28">
        <v>46113.0</v>
      </c>
      <c r="F5388" s="28">
        <v>46171.0</v>
      </c>
      <c r="G5388" s="29"/>
    </row>
    <row r="5389" ht="15.75" customHeight="1">
      <c r="A5389" s="30" t="s">
        <v>9053</v>
      </c>
      <c r="B5389" s="31" t="s">
        <v>561</v>
      </c>
      <c r="C5389" s="31" t="s">
        <v>1242</v>
      </c>
      <c r="D5389" s="30" t="s">
        <v>3663</v>
      </c>
      <c r="E5389" s="32">
        <v>46113.0</v>
      </c>
      <c r="F5389" s="32">
        <v>46171.0</v>
      </c>
      <c r="G5389" s="33"/>
    </row>
    <row r="5390" ht="15.75" customHeight="1">
      <c r="A5390" s="26" t="s">
        <v>9054</v>
      </c>
      <c r="B5390" s="27" t="s">
        <v>561</v>
      </c>
      <c r="C5390" s="27" t="s">
        <v>1244</v>
      </c>
      <c r="D5390" s="26" t="s">
        <v>3663</v>
      </c>
      <c r="E5390" s="28">
        <v>46113.0</v>
      </c>
      <c r="F5390" s="28">
        <v>46171.0</v>
      </c>
      <c r="G5390" s="29"/>
    </row>
    <row r="5391" ht="15.75" customHeight="1">
      <c r="A5391" s="30" t="s">
        <v>9055</v>
      </c>
      <c r="B5391" s="31" t="s">
        <v>561</v>
      </c>
      <c r="C5391" s="31" t="s">
        <v>1246</v>
      </c>
      <c r="D5391" s="30" t="s">
        <v>3663</v>
      </c>
      <c r="E5391" s="32">
        <v>46113.0</v>
      </c>
      <c r="F5391" s="32">
        <v>46171.0</v>
      </c>
      <c r="G5391" s="33"/>
    </row>
    <row r="5392" ht="15.75" customHeight="1">
      <c r="A5392" s="26" t="s">
        <v>9056</v>
      </c>
      <c r="B5392" s="27" t="s">
        <v>561</v>
      </c>
      <c r="C5392" s="27" t="s">
        <v>934</v>
      </c>
      <c r="D5392" s="26" t="s">
        <v>3663</v>
      </c>
      <c r="E5392" s="28">
        <v>46113.0</v>
      </c>
      <c r="F5392" s="28">
        <v>46171.0</v>
      </c>
      <c r="G5392" s="29"/>
    </row>
    <row r="5393" ht="15.75" customHeight="1">
      <c r="A5393" s="30" t="s">
        <v>9057</v>
      </c>
      <c r="B5393" s="31" t="s">
        <v>561</v>
      </c>
      <c r="C5393" s="31" t="s">
        <v>1354</v>
      </c>
      <c r="D5393" s="30" t="s">
        <v>3663</v>
      </c>
      <c r="E5393" s="32">
        <v>46113.0</v>
      </c>
      <c r="F5393" s="32">
        <v>46171.0</v>
      </c>
      <c r="G5393" s="33"/>
    </row>
    <row r="5394" ht="15.75" customHeight="1">
      <c r="A5394" s="26" t="s">
        <v>9058</v>
      </c>
      <c r="B5394" s="27" t="s">
        <v>561</v>
      </c>
      <c r="C5394" s="27" t="s">
        <v>3656</v>
      </c>
      <c r="D5394" s="26" t="s">
        <v>3663</v>
      </c>
      <c r="E5394" s="28">
        <v>46113.0</v>
      </c>
      <c r="F5394" s="28">
        <v>46171.0</v>
      </c>
      <c r="G5394" s="29"/>
    </row>
    <row r="5395" ht="15.75" customHeight="1">
      <c r="A5395" s="30" t="s">
        <v>9059</v>
      </c>
      <c r="B5395" s="31" t="s">
        <v>561</v>
      </c>
      <c r="C5395" s="31" t="s">
        <v>3657</v>
      </c>
      <c r="D5395" s="30" t="s">
        <v>3663</v>
      </c>
      <c r="E5395" s="32">
        <v>46113.0</v>
      </c>
      <c r="F5395" s="32">
        <v>46171.0</v>
      </c>
      <c r="G5395" s="33"/>
    </row>
    <row r="5396" ht="15.75" customHeight="1">
      <c r="A5396" s="26" t="s">
        <v>9060</v>
      </c>
      <c r="B5396" s="27" t="s">
        <v>561</v>
      </c>
      <c r="C5396" s="27" t="s">
        <v>3647</v>
      </c>
      <c r="D5396" s="26" t="s">
        <v>3663</v>
      </c>
      <c r="E5396" s="28">
        <v>46113.0</v>
      </c>
      <c r="F5396" s="28">
        <v>46171.0</v>
      </c>
      <c r="G5396" s="29"/>
    </row>
    <row r="5397" ht="15.75" customHeight="1">
      <c r="A5397" s="30" t="s">
        <v>9061</v>
      </c>
      <c r="B5397" s="31" t="s">
        <v>561</v>
      </c>
      <c r="C5397" s="31" t="s">
        <v>952</v>
      </c>
      <c r="D5397" s="30" t="s">
        <v>3663</v>
      </c>
      <c r="E5397" s="32">
        <v>46113.0</v>
      </c>
      <c r="F5397" s="32">
        <v>46171.0</v>
      </c>
      <c r="G5397" s="33"/>
    </row>
    <row r="5398" ht="15.75" customHeight="1">
      <c r="A5398" s="26" t="s">
        <v>9062</v>
      </c>
      <c r="B5398" s="27" t="s">
        <v>561</v>
      </c>
      <c r="C5398" s="27" t="s">
        <v>968</v>
      </c>
      <c r="D5398" s="26" t="s">
        <v>3663</v>
      </c>
      <c r="E5398" s="28">
        <v>46113.0</v>
      </c>
      <c r="F5398" s="28">
        <v>46171.0</v>
      </c>
      <c r="G5398" s="29"/>
    </row>
    <row r="5399" ht="15.75" customHeight="1">
      <c r="A5399" s="30" t="s">
        <v>9063</v>
      </c>
      <c r="B5399" s="31" t="s">
        <v>561</v>
      </c>
      <c r="C5399" s="31" t="s">
        <v>923</v>
      </c>
      <c r="D5399" s="30" t="s">
        <v>3663</v>
      </c>
      <c r="E5399" s="32">
        <v>46113.0</v>
      </c>
      <c r="F5399" s="32">
        <v>46171.0</v>
      </c>
      <c r="G5399" s="33"/>
    </row>
    <row r="5400" ht="15.75" customHeight="1">
      <c r="A5400" s="26" t="s">
        <v>9064</v>
      </c>
      <c r="B5400" s="27" t="s">
        <v>561</v>
      </c>
      <c r="C5400" s="27" t="s">
        <v>958</v>
      </c>
      <c r="D5400" s="26" t="s">
        <v>3663</v>
      </c>
      <c r="E5400" s="28">
        <v>46113.0</v>
      </c>
      <c r="F5400" s="28">
        <v>46171.0</v>
      </c>
      <c r="G5400" s="29"/>
    </row>
    <row r="5401" ht="15.75" customHeight="1">
      <c r="A5401" s="30" t="s">
        <v>9065</v>
      </c>
      <c r="B5401" s="31" t="s">
        <v>561</v>
      </c>
      <c r="C5401" s="31" t="s">
        <v>955</v>
      </c>
      <c r="D5401" s="30" t="s">
        <v>3663</v>
      </c>
      <c r="E5401" s="32">
        <v>46113.0</v>
      </c>
      <c r="F5401" s="32">
        <v>46171.0</v>
      </c>
      <c r="G5401" s="33"/>
    </row>
    <row r="5402" ht="15.75" customHeight="1">
      <c r="A5402" s="26" t="s">
        <v>9066</v>
      </c>
      <c r="B5402" s="27" t="s">
        <v>562</v>
      </c>
      <c r="C5402" s="27" t="s">
        <v>3654</v>
      </c>
      <c r="D5402" s="26" t="s">
        <v>3663</v>
      </c>
      <c r="E5402" s="28">
        <v>46113.0</v>
      </c>
      <c r="F5402" s="28">
        <v>46171.0</v>
      </c>
      <c r="G5402" s="29"/>
    </row>
    <row r="5403" ht="15.75" customHeight="1">
      <c r="A5403" s="30" t="s">
        <v>9067</v>
      </c>
      <c r="B5403" s="31" t="s">
        <v>562</v>
      </c>
      <c r="C5403" s="31" t="s">
        <v>3655</v>
      </c>
      <c r="D5403" s="30" t="s">
        <v>3663</v>
      </c>
      <c r="E5403" s="32">
        <v>46113.0</v>
      </c>
      <c r="F5403" s="32">
        <v>46171.0</v>
      </c>
      <c r="G5403" s="33"/>
    </row>
    <row r="5404" ht="15.75" customHeight="1">
      <c r="A5404" s="26" t="s">
        <v>9068</v>
      </c>
      <c r="B5404" s="27" t="s">
        <v>562</v>
      </c>
      <c r="C5404" s="27" t="s">
        <v>3638</v>
      </c>
      <c r="D5404" s="26" t="s">
        <v>3663</v>
      </c>
      <c r="E5404" s="28">
        <v>46113.0</v>
      </c>
      <c r="F5404" s="28">
        <v>46171.0</v>
      </c>
      <c r="G5404" s="29"/>
    </row>
    <row r="5405" ht="15.75" customHeight="1">
      <c r="A5405" s="30" t="s">
        <v>9069</v>
      </c>
      <c r="B5405" s="31" t="s">
        <v>562</v>
      </c>
      <c r="C5405" s="31" t="s">
        <v>930</v>
      </c>
      <c r="D5405" s="30" t="s">
        <v>3663</v>
      </c>
      <c r="E5405" s="32">
        <v>46113.0</v>
      </c>
      <c r="F5405" s="32">
        <v>46171.0</v>
      </c>
      <c r="G5405" s="33"/>
    </row>
    <row r="5406" ht="15.75" customHeight="1">
      <c r="A5406" s="26" t="s">
        <v>9070</v>
      </c>
      <c r="B5406" s="27" t="s">
        <v>562</v>
      </c>
      <c r="C5406" s="27" t="s">
        <v>1354</v>
      </c>
      <c r="D5406" s="26" t="s">
        <v>3663</v>
      </c>
      <c r="E5406" s="28">
        <v>46113.0</v>
      </c>
      <c r="F5406" s="28">
        <v>46171.0</v>
      </c>
      <c r="G5406" s="29"/>
    </row>
    <row r="5407" ht="15.75" customHeight="1">
      <c r="A5407" s="30" t="s">
        <v>9071</v>
      </c>
      <c r="B5407" s="31" t="s">
        <v>562</v>
      </c>
      <c r="C5407" s="31" t="s">
        <v>1190</v>
      </c>
      <c r="D5407" s="30" t="s">
        <v>3663</v>
      </c>
      <c r="E5407" s="32">
        <v>46113.0</v>
      </c>
      <c r="F5407" s="32">
        <v>46171.0</v>
      </c>
      <c r="G5407" s="33"/>
    </row>
    <row r="5408" ht="15.75" customHeight="1">
      <c r="A5408" s="26" t="s">
        <v>9072</v>
      </c>
      <c r="B5408" s="27" t="s">
        <v>562</v>
      </c>
      <c r="C5408" s="27" t="s">
        <v>1157</v>
      </c>
      <c r="D5408" s="26" t="s">
        <v>3663</v>
      </c>
      <c r="E5408" s="28">
        <v>46113.0</v>
      </c>
      <c r="F5408" s="28">
        <v>46171.0</v>
      </c>
      <c r="G5408" s="29"/>
    </row>
    <row r="5409" ht="15.75" customHeight="1">
      <c r="A5409" s="30" t="s">
        <v>9073</v>
      </c>
      <c r="B5409" s="31" t="s">
        <v>562</v>
      </c>
      <c r="C5409" s="31" t="s">
        <v>1155</v>
      </c>
      <c r="D5409" s="30" t="s">
        <v>3663</v>
      </c>
      <c r="E5409" s="32">
        <v>46113.0</v>
      </c>
      <c r="F5409" s="32">
        <v>46171.0</v>
      </c>
      <c r="G5409" s="33"/>
    </row>
    <row r="5410" ht="15.75" customHeight="1">
      <c r="A5410" s="26" t="s">
        <v>9074</v>
      </c>
      <c r="B5410" s="27" t="s">
        <v>562</v>
      </c>
      <c r="C5410" s="27" t="s">
        <v>1153</v>
      </c>
      <c r="D5410" s="26" t="s">
        <v>3663</v>
      </c>
      <c r="E5410" s="28">
        <v>46113.0</v>
      </c>
      <c r="F5410" s="28">
        <v>46171.0</v>
      </c>
      <c r="G5410" s="29"/>
    </row>
    <row r="5411" ht="15.75" customHeight="1">
      <c r="A5411" s="30" t="s">
        <v>9075</v>
      </c>
      <c r="B5411" s="31" t="s">
        <v>562</v>
      </c>
      <c r="C5411" s="31" t="s">
        <v>1149</v>
      </c>
      <c r="D5411" s="30" t="s">
        <v>3663</v>
      </c>
      <c r="E5411" s="32">
        <v>46113.0</v>
      </c>
      <c r="F5411" s="32">
        <v>46171.0</v>
      </c>
      <c r="G5411" s="33"/>
    </row>
    <row r="5412" ht="15.75" customHeight="1">
      <c r="A5412" s="26" t="s">
        <v>9076</v>
      </c>
      <c r="B5412" s="27" t="s">
        <v>562</v>
      </c>
      <c r="C5412" s="27" t="s">
        <v>1351</v>
      </c>
      <c r="D5412" s="26" t="s">
        <v>3663</v>
      </c>
      <c r="E5412" s="28">
        <v>46113.0</v>
      </c>
      <c r="F5412" s="28">
        <v>46171.0</v>
      </c>
      <c r="G5412" s="29"/>
    </row>
    <row r="5413" ht="15.75" customHeight="1">
      <c r="A5413" s="30" t="s">
        <v>9077</v>
      </c>
      <c r="B5413" s="31" t="s">
        <v>562</v>
      </c>
      <c r="C5413" s="31" t="s">
        <v>1349</v>
      </c>
      <c r="D5413" s="30" t="s">
        <v>3663</v>
      </c>
      <c r="E5413" s="32">
        <v>46113.0</v>
      </c>
      <c r="F5413" s="32">
        <v>46171.0</v>
      </c>
      <c r="G5413" s="33"/>
    </row>
    <row r="5414" ht="15.75" customHeight="1">
      <c r="A5414" s="26" t="s">
        <v>9078</v>
      </c>
      <c r="B5414" s="27" t="s">
        <v>562</v>
      </c>
      <c r="C5414" s="27" t="s">
        <v>965</v>
      </c>
      <c r="D5414" s="26" t="s">
        <v>3663</v>
      </c>
      <c r="E5414" s="28">
        <v>46113.0</v>
      </c>
      <c r="F5414" s="28">
        <v>46171.0</v>
      </c>
      <c r="G5414" s="29"/>
    </row>
    <row r="5415" ht="15.75" customHeight="1">
      <c r="A5415" s="30" t="s">
        <v>9079</v>
      </c>
      <c r="B5415" s="31" t="s">
        <v>562</v>
      </c>
      <c r="C5415" s="31" t="s">
        <v>923</v>
      </c>
      <c r="D5415" s="30" t="s">
        <v>3663</v>
      </c>
      <c r="E5415" s="32">
        <v>46113.0</v>
      </c>
      <c r="F5415" s="32">
        <v>46171.0</v>
      </c>
      <c r="G5415" s="33"/>
    </row>
    <row r="5416" ht="15.75" customHeight="1">
      <c r="A5416" s="26" t="s">
        <v>9080</v>
      </c>
      <c r="B5416" s="27" t="s">
        <v>563</v>
      </c>
      <c r="C5416" s="27" t="s">
        <v>928</v>
      </c>
      <c r="D5416" s="26" t="s">
        <v>3663</v>
      </c>
      <c r="E5416" s="28">
        <v>46113.0</v>
      </c>
      <c r="F5416" s="28">
        <v>46171.0</v>
      </c>
      <c r="G5416" s="29"/>
    </row>
    <row r="5417" ht="15.75" customHeight="1">
      <c r="A5417" s="30" t="s">
        <v>9081</v>
      </c>
      <c r="B5417" s="31" t="s">
        <v>563</v>
      </c>
      <c r="C5417" s="31" t="s">
        <v>1354</v>
      </c>
      <c r="D5417" s="30" t="s">
        <v>3663</v>
      </c>
      <c r="E5417" s="32">
        <v>46113.0</v>
      </c>
      <c r="F5417" s="32">
        <v>46171.0</v>
      </c>
      <c r="G5417" s="33"/>
    </row>
    <row r="5418" ht="15.75" customHeight="1">
      <c r="A5418" s="26" t="s">
        <v>9082</v>
      </c>
      <c r="B5418" s="27" t="s">
        <v>563</v>
      </c>
      <c r="C5418" s="27" t="s">
        <v>1222</v>
      </c>
      <c r="D5418" s="26" t="s">
        <v>3663</v>
      </c>
      <c r="E5418" s="28">
        <v>46113.0</v>
      </c>
      <c r="F5418" s="28">
        <v>46171.0</v>
      </c>
      <c r="G5418" s="29"/>
    </row>
    <row r="5419" ht="15.75" customHeight="1">
      <c r="A5419" s="30" t="s">
        <v>9083</v>
      </c>
      <c r="B5419" s="31" t="s">
        <v>563</v>
      </c>
      <c r="C5419" s="31" t="s">
        <v>1224</v>
      </c>
      <c r="D5419" s="30" t="s">
        <v>3663</v>
      </c>
      <c r="E5419" s="32">
        <v>46113.0</v>
      </c>
      <c r="F5419" s="32">
        <v>46171.0</v>
      </c>
      <c r="G5419" s="33"/>
    </row>
    <row r="5420" ht="15.75" customHeight="1">
      <c r="A5420" s="26" t="s">
        <v>9084</v>
      </c>
      <c r="B5420" s="27" t="s">
        <v>563</v>
      </c>
      <c r="C5420" s="27" t="s">
        <v>1226</v>
      </c>
      <c r="D5420" s="26" t="s">
        <v>3663</v>
      </c>
      <c r="E5420" s="28">
        <v>46113.0</v>
      </c>
      <c r="F5420" s="28">
        <v>46171.0</v>
      </c>
      <c r="G5420" s="29"/>
    </row>
    <row r="5421" ht="15.75" customHeight="1">
      <c r="A5421" s="30" t="s">
        <v>9085</v>
      </c>
      <c r="B5421" s="31" t="s">
        <v>563</v>
      </c>
      <c r="C5421" s="31" t="s">
        <v>1228</v>
      </c>
      <c r="D5421" s="30" t="s">
        <v>3663</v>
      </c>
      <c r="E5421" s="32">
        <v>46113.0</v>
      </c>
      <c r="F5421" s="32">
        <v>46171.0</v>
      </c>
      <c r="G5421" s="33"/>
    </row>
    <row r="5422" ht="15.75" customHeight="1">
      <c r="A5422" s="26" t="s">
        <v>9086</v>
      </c>
      <c r="B5422" s="27" t="s">
        <v>563</v>
      </c>
      <c r="C5422" s="27" t="s">
        <v>1312</v>
      </c>
      <c r="D5422" s="26" t="s">
        <v>3663</v>
      </c>
      <c r="E5422" s="28">
        <v>46113.0</v>
      </c>
      <c r="F5422" s="28">
        <v>46171.0</v>
      </c>
      <c r="G5422" s="29"/>
    </row>
    <row r="5423" ht="15.75" customHeight="1">
      <c r="A5423" s="30" t="s">
        <v>9087</v>
      </c>
      <c r="B5423" s="31" t="s">
        <v>563</v>
      </c>
      <c r="C5423" s="31" t="s">
        <v>1208</v>
      </c>
      <c r="D5423" s="30" t="s">
        <v>3663</v>
      </c>
      <c r="E5423" s="32">
        <v>46113.0</v>
      </c>
      <c r="F5423" s="32">
        <v>46171.0</v>
      </c>
      <c r="G5423" s="33"/>
    </row>
    <row r="5424" ht="15.75" customHeight="1">
      <c r="A5424" s="26" t="s">
        <v>9088</v>
      </c>
      <c r="B5424" s="27" t="s">
        <v>563</v>
      </c>
      <c r="C5424" s="27" t="s">
        <v>3656</v>
      </c>
      <c r="D5424" s="26" t="s">
        <v>3663</v>
      </c>
      <c r="E5424" s="28">
        <v>46113.0</v>
      </c>
      <c r="F5424" s="28">
        <v>46171.0</v>
      </c>
      <c r="G5424" s="29"/>
    </row>
    <row r="5425" ht="15.75" customHeight="1">
      <c r="A5425" s="30" t="s">
        <v>9089</v>
      </c>
      <c r="B5425" s="31" t="s">
        <v>563</v>
      </c>
      <c r="C5425" s="31" t="s">
        <v>3657</v>
      </c>
      <c r="D5425" s="30" t="s">
        <v>3663</v>
      </c>
      <c r="E5425" s="32">
        <v>46113.0</v>
      </c>
      <c r="F5425" s="32">
        <v>46171.0</v>
      </c>
      <c r="G5425" s="33"/>
    </row>
    <row r="5426" ht="15.75" customHeight="1">
      <c r="A5426" s="26" t="s">
        <v>9090</v>
      </c>
      <c r="B5426" s="27" t="s">
        <v>563</v>
      </c>
      <c r="C5426" s="27" t="s">
        <v>3647</v>
      </c>
      <c r="D5426" s="26" t="s">
        <v>3663</v>
      </c>
      <c r="E5426" s="28">
        <v>46113.0</v>
      </c>
      <c r="F5426" s="28">
        <v>46171.0</v>
      </c>
      <c r="G5426" s="29"/>
    </row>
    <row r="5427" ht="15.75" customHeight="1">
      <c r="A5427" s="30" t="s">
        <v>9091</v>
      </c>
      <c r="B5427" s="31" t="s">
        <v>563</v>
      </c>
      <c r="C5427" s="31" t="s">
        <v>952</v>
      </c>
      <c r="D5427" s="30" t="s">
        <v>3663</v>
      </c>
      <c r="E5427" s="32">
        <v>46113.0</v>
      </c>
      <c r="F5427" s="32">
        <v>46171.0</v>
      </c>
      <c r="G5427" s="33"/>
    </row>
    <row r="5428" ht="15.75" customHeight="1">
      <c r="A5428" s="26" t="s">
        <v>9092</v>
      </c>
      <c r="B5428" s="27" t="s">
        <v>563</v>
      </c>
      <c r="C5428" s="27" t="s">
        <v>968</v>
      </c>
      <c r="D5428" s="26" t="s">
        <v>3663</v>
      </c>
      <c r="E5428" s="28">
        <v>46113.0</v>
      </c>
      <c r="F5428" s="28">
        <v>46171.0</v>
      </c>
      <c r="G5428" s="29"/>
    </row>
    <row r="5429" ht="15.75" customHeight="1">
      <c r="A5429" s="30" t="s">
        <v>9093</v>
      </c>
      <c r="B5429" s="31" t="s">
        <v>563</v>
      </c>
      <c r="C5429" s="31" t="s">
        <v>923</v>
      </c>
      <c r="D5429" s="30" t="s">
        <v>3663</v>
      </c>
      <c r="E5429" s="32">
        <v>46113.0</v>
      </c>
      <c r="F5429" s="32">
        <v>46171.0</v>
      </c>
      <c r="G5429" s="33"/>
    </row>
    <row r="5430" ht="15.75" customHeight="1">
      <c r="A5430" s="26" t="s">
        <v>9094</v>
      </c>
      <c r="B5430" s="27" t="s">
        <v>564</v>
      </c>
      <c r="C5430" s="27" t="s">
        <v>3638</v>
      </c>
      <c r="D5430" s="26" t="s">
        <v>3663</v>
      </c>
      <c r="E5430" s="28">
        <v>46113.0</v>
      </c>
      <c r="F5430" s="28">
        <v>46171.0</v>
      </c>
      <c r="G5430" s="29"/>
    </row>
    <row r="5431" ht="15.75" customHeight="1">
      <c r="A5431" s="30" t="s">
        <v>9095</v>
      </c>
      <c r="B5431" s="31" t="s">
        <v>564</v>
      </c>
      <c r="C5431" s="31" t="s">
        <v>934</v>
      </c>
      <c r="D5431" s="30" t="s">
        <v>3663</v>
      </c>
      <c r="E5431" s="32">
        <v>46113.0</v>
      </c>
      <c r="F5431" s="32">
        <v>46171.0</v>
      </c>
      <c r="G5431" s="33"/>
    </row>
    <row r="5432" ht="15.75" customHeight="1">
      <c r="A5432" s="26" t="s">
        <v>9096</v>
      </c>
      <c r="B5432" s="27" t="s">
        <v>564</v>
      </c>
      <c r="C5432" s="27" t="s">
        <v>1354</v>
      </c>
      <c r="D5432" s="26" t="s">
        <v>3663</v>
      </c>
      <c r="E5432" s="28">
        <v>46113.0</v>
      </c>
      <c r="F5432" s="28">
        <v>46171.0</v>
      </c>
      <c r="G5432" s="29"/>
    </row>
    <row r="5433" ht="15.75" customHeight="1">
      <c r="A5433" s="30" t="s">
        <v>9097</v>
      </c>
      <c r="B5433" s="31" t="s">
        <v>564</v>
      </c>
      <c r="C5433" s="31" t="s">
        <v>3656</v>
      </c>
      <c r="D5433" s="30" t="s">
        <v>3663</v>
      </c>
      <c r="E5433" s="32">
        <v>46113.0</v>
      </c>
      <c r="F5433" s="32">
        <v>46171.0</v>
      </c>
      <c r="G5433" s="33"/>
    </row>
    <row r="5434" ht="15.75" customHeight="1">
      <c r="A5434" s="26" t="s">
        <v>9098</v>
      </c>
      <c r="B5434" s="27" t="s">
        <v>564</v>
      </c>
      <c r="C5434" s="27" t="s">
        <v>3657</v>
      </c>
      <c r="D5434" s="26" t="s">
        <v>3663</v>
      </c>
      <c r="E5434" s="28">
        <v>46113.0</v>
      </c>
      <c r="F5434" s="28">
        <v>46171.0</v>
      </c>
      <c r="G5434" s="29"/>
    </row>
    <row r="5435" ht="15.75" customHeight="1">
      <c r="A5435" s="30" t="s">
        <v>9099</v>
      </c>
      <c r="B5435" s="31" t="s">
        <v>564</v>
      </c>
      <c r="C5435" s="31" t="s">
        <v>1157</v>
      </c>
      <c r="D5435" s="30" t="s">
        <v>3663</v>
      </c>
      <c r="E5435" s="32">
        <v>46113.0</v>
      </c>
      <c r="F5435" s="32">
        <v>46171.0</v>
      </c>
      <c r="G5435" s="33"/>
    </row>
    <row r="5436" ht="15.75" customHeight="1">
      <c r="A5436" s="26" t="s">
        <v>9100</v>
      </c>
      <c r="B5436" s="27" t="s">
        <v>564</v>
      </c>
      <c r="C5436" s="27" t="s">
        <v>1155</v>
      </c>
      <c r="D5436" s="26" t="s">
        <v>3663</v>
      </c>
      <c r="E5436" s="28">
        <v>46113.0</v>
      </c>
      <c r="F5436" s="28">
        <v>46171.0</v>
      </c>
      <c r="G5436" s="29"/>
    </row>
    <row r="5437" ht="15.75" customHeight="1">
      <c r="A5437" s="30" t="s">
        <v>9101</v>
      </c>
      <c r="B5437" s="31" t="s">
        <v>564</v>
      </c>
      <c r="C5437" s="31" t="s">
        <v>1153</v>
      </c>
      <c r="D5437" s="30" t="s">
        <v>3663</v>
      </c>
      <c r="E5437" s="32">
        <v>46113.0</v>
      </c>
      <c r="F5437" s="32">
        <v>46171.0</v>
      </c>
      <c r="G5437" s="33"/>
    </row>
    <row r="5438" ht="15.75" customHeight="1">
      <c r="A5438" s="26" t="s">
        <v>9102</v>
      </c>
      <c r="B5438" s="27" t="s">
        <v>564</v>
      </c>
      <c r="C5438" s="27" t="s">
        <v>1149</v>
      </c>
      <c r="D5438" s="26" t="s">
        <v>3663</v>
      </c>
      <c r="E5438" s="28">
        <v>46113.0</v>
      </c>
      <c r="F5438" s="28">
        <v>46171.0</v>
      </c>
      <c r="G5438" s="29"/>
    </row>
    <row r="5439" ht="15.75" customHeight="1">
      <c r="A5439" s="30" t="s">
        <v>9103</v>
      </c>
      <c r="B5439" s="31" t="s">
        <v>564</v>
      </c>
      <c r="C5439" s="31" t="s">
        <v>1351</v>
      </c>
      <c r="D5439" s="30" t="s">
        <v>3663</v>
      </c>
      <c r="E5439" s="32">
        <v>46113.0</v>
      </c>
      <c r="F5439" s="32">
        <v>46171.0</v>
      </c>
      <c r="G5439" s="33"/>
    </row>
    <row r="5440" ht="15.75" customHeight="1">
      <c r="A5440" s="26" t="s">
        <v>9104</v>
      </c>
      <c r="B5440" s="27" t="s">
        <v>564</v>
      </c>
      <c r="C5440" s="27" t="s">
        <v>1349</v>
      </c>
      <c r="D5440" s="26" t="s">
        <v>3663</v>
      </c>
      <c r="E5440" s="28">
        <v>46113.0</v>
      </c>
      <c r="F5440" s="28">
        <v>46171.0</v>
      </c>
      <c r="G5440" s="29"/>
    </row>
    <row r="5441" ht="15.75" customHeight="1">
      <c r="A5441" s="30" t="s">
        <v>9105</v>
      </c>
      <c r="B5441" s="31" t="s">
        <v>564</v>
      </c>
      <c r="C5441" s="31" t="s">
        <v>968</v>
      </c>
      <c r="D5441" s="30" t="s">
        <v>3663</v>
      </c>
      <c r="E5441" s="32">
        <v>46113.0</v>
      </c>
      <c r="F5441" s="32">
        <v>46171.0</v>
      </c>
      <c r="G5441" s="33"/>
    </row>
    <row r="5442" ht="15.75" customHeight="1">
      <c r="A5442" s="26" t="s">
        <v>9106</v>
      </c>
      <c r="B5442" s="27" t="s">
        <v>564</v>
      </c>
      <c r="C5442" s="27" t="s">
        <v>923</v>
      </c>
      <c r="D5442" s="26" t="s">
        <v>3663</v>
      </c>
      <c r="E5442" s="28">
        <v>46113.0</v>
      </c>
      <c r="F5442" s="28">
        <v>46171.0</v>
      </c>
      <c r="G5442" s="29"/>
    </row>
    <row r="5443" ht="15.75" customHeight="1">
      <c r="A5443" s="30" t="s">
        <v>9107</v>
      </c>
      <c r="B5443" s="31" t="s">
        <v>564</v>
      </c>
      <c r="C5443" s="31" t="s">
        <v>961</v>
      </c>
      <c r="D5443" s="30" t="s">
        <v>3663</v>
      </c>
      <c r="E5443" s="32">
        <v>46113.0</v>
      </c>
      <c r="F5443" s="32">
        <v>46171.0</v>
      </c>
      <c r="G5443" s="33"/>
    </row>
    <row r="5444" ht="15.75" customHeight="1">
      <c r="A5444" s="26" t="s">
        <v>9108</v>
      </c>
      <c r="B5444" s="27" t="s">
        <v>565</v>
      </c>
      <c r="C5444" s="27" t="s">
        <v>928</v>
      </c>
      <c r="D5444" s="26" t="s">
        <v>3663</v>
      </c>
      <c r="E5444" s="28">
        <v>46113.0</v>
      </c>
      <c r="F5444" s="28">
        <v>46171.0</v>
      </c>
      <c r="G5444" s="29"/>
    </row>
    <row r="5445" ht="15.75" customHeight="1">
      <c r="A5445" s="30" t="s">
        <v>9109</v>
      </c>
      <c r="B5445" s="31" t="s">
        <v>565</v>
      </c>
      <c r="C5445" s="31" t="s">
        <v>1354</v>
      </c>
      <c r="D5445" s="30" t="s">
        <v>3663</v>
      </c>
      <c r="E5445" s="32">
        <v>46113.0</v>
      </c>
      <c r="F5445" s="32">
        <v>46171.0</v>
      </c>
      <c r="G5445" s="33"/>
    </row>
    <row r="5446" ht="15.75" customHeight="1">
      <c r="A5446" s="26" t="s">
        <v>9110</v>
      </c>
      <c r="B5446" s="27" t="s">
        <v>565</v>
      </c>
      <c r="C5446" s="27" t="s">
        <v>1222</v>
      </c>
      <c r="D5446" s="26" t="s">
        <v>3663</v>
      </c>
      <c r="E5446" s="28">
        <v>46113.0</v>
      </c>
      <c r="F5446" s="28">
        <v>46171.0</v>
      </c>
      <c r="G5446" s="29"/>
    </row>
    <row r="5447" ht="15.75" customHeight="1">
      <c r="A5447" s="30" t="s">
        <v>9111</v>
      </c>
      <c r="B5447" s="31" t="s">
        <v>565</v>
      </c>
      <c r="C5447" s="31" t="s">
        <v>1224</v>
      </c>
      <c r="D5447" s="30" t="s">
        <v>3663</v>
      </c>
      <c r="E5447" s="32">
        <v>46113.0</v>
      </c>
      <c r="F5447" s="32">
        <v>46171.0</v>
      </c>
      <c r="G5447" s="33"/>
    </row>
    <row r="5448" ht="15.75" customHeight="1">
      <c r="A5448" s="26" t="s">
        <v>9112</v>
      </c>
      <c r="B5448" s="27" t="s">
        <v>565</v>
      </c>
      <c r="C5448" s="27" t="s">
        <v>1226</v>
      </c>
      <c r="D5448" s="26" t="s">
        <v>3663</v>
      </c>
      <c r="E5448" s="28">
        <v>46113.0</v>
      </c>
      <c r="F5448" s="28">
        <v>46171.0</v>
      </c>
      <c r="G5448" s="29"/>
    </row>
    <row r="5449" ht="15.75" customHeight="1">
      <c r="A5449" s="30" t="s">
        <v>9113</v>
      </c>
      <c r="B5449" s="31" t="s">
        <v>565</v>
      </c>
      <c r="C5449" s="31" t="s">
        <v>1228</v>
      </c>
      <c r="D5449" s="30" t="s">
        <v>3663</v>
      </c>
      <c r="E5449" s="32">
        <v>46113.0</v>
      </c>
      <c r="F5449" s="32">
        <v>46171.0</v>
      </c>
      <c r="G5449" s="33"/>
    </row>
    <row r="5450" ht="15.75" customHeight="1">
      <c r="A5450" s="26" t="s">
        <v>9114</v>
      </c>
      <c r="B5450" s="27" t="s">
        <v>565</v>
      </c>
      <c r="C5450" s="27" t="s">
        <v>3656</v>
      </c>
      <c r="D5450" s="26" t="s">
        <v>3663</v>
      </c>
      <c r="E5450" s="28">
        <v>46113.0</v>
      </c>
      <c r="F5450" s="28">
        <v>46171.0</v>
      </c>
      <c r="G5450" s="29"/>
    </row>
    <row r="5451" ht="15.75" customHeight="1">
      <c r="A5451" s="30" t="s">
        <v>9115</v>
      </c>
      <c r="B5451" s="31" t="s">
        <v>565</v>
      </c>
      <c r="C5451" s="31" t="s">
        <v>3657</v>
      </c>
      <c r="D5451" s="30" t="s">
        <v>3663</v>
      </c>
      <c r="E5451" s="32">
        <v>46113.0</v>
      </c>
      <c r="F5451" s="32">
        <v>46171.0</v>
      </c>
      <c r="G5451" s="33"/>
    </row>
    <row r="5452" ht="15.75" customHeight="1">
      <c r="A5452" s="26" t="s">
        <v>9116</v>
      </c>
      <c r="B5452" s="27" t="s">
        <v>565</v>
      </c>
      <c r="C5452" s="27" t="s">
        <v>3647</v>
      </c>
      <c r="D5452" s="26" t="s">
        <v>3663</v>
      </c>
      <c r="E5452" s="28">
        <v>46113.0</v>
      </c>
      <c r="F5452" s="28">
        <v>46171.0</v>
      </c>
      <c r="G5452" s="29"/>
    </row>
    <row r="5453" ht="15.75" customHeight="1">
      <c r="A5453" s="30" t="s">
        <v>9117</v>
      </c>
      <c r="B5453" s="31" t="s">
        <v>565</v>
      </c>
      <c r="C5453" s="31" t="s">
        <v>952</v>
      </c>
      <c r="D5453" s="30" t="s">
        <v>3663</v>
      </c>
      <c r="E5453" s="32">
        <v>46113.0</v>
      </c>
      <c r="F5453" s="32">
        <v>46171.0</v>
      </c>
      <c r="G5453" s="33"/>
    </row>
    <row r="5454" ht="15.75" customHeight="1">
      <c r="A5454" s="26" t="s">
        <v>9118</v>
      </c>
      <c r="B5454" s="27" t="s">
        <v>565</v>
      </c>
      <c r="C5454" s="27" t="s">
        <v>1218</v>
      </c>
      <c r="D5454" s="26" t="s">
        <v>3663</v>
      </c>
      <c r="E5454" s="28">
        <v>46113.0</v>
      </c>
      <c r="F5454" s="28">
        <v>46171.0</v>
      </c>
      <c r="G5454" s="29"/>
    </row>
    <row r="5455" ht="15.75" customHeight="1">
      <c r="A5455" s="30" t="s">
        <v>9119</v>
      </c>
      <c r="B5455" s="31" t="s">
        <v>565</v>
      </c>
      <c r="C5455" s="31" t="s">
        <v>1271</v>
      </c>
      <c r="D5455" s="30" t="s">
        <v>3663</v>
      </c>
      <c r="E5455" s="32">
        <v>46113.0</v>
      </c>
      <c r="F5455" s="32">
        <v>46171.0</v>
      </c>
      <c r="G5455" s="33"/>
    </row>
    <row r="5456" ht="15.75" customHeight="1">
      <c r="A5456" s="26" t="s">
        <v>9120</v>
      </c>
      <c r="B5456" s="27" t="s">
        <v>565</v>
      </c>
      <c r="C5456" s="27" t="s">
        <v>968</v>
      </c>
      <c r="D5456" s="26" t="s">
        <v>3663</v>
      </c>
      <c r="E5456" s="28">
        <v>46113.0</v>
      </c>
      <c r="F5456" s="28">
        <v>46171.0</v>
      </c>
      <c r="G5456" s="29"/>
    </row>
    <row r="5457" ht="15.75" customHeight="1">
      <c r="A5457" s="30" t="s">
        <v>9121</v>
      </c>
      <c r="B5457" s="31" t="s">
        <v>565</v>
      </c>
      <c r="C5457" s="31" t="s">
        <v>923</v>
      </c>
      <c r="D5457" s="30" t="s">
        <v>3663</v>
      </c>
      <c r="E5457" s="32">
        <v>46113.0</v>
      </c>
      <c r="F5457" s="32">
        <v>46171.0</v>
      </c>
      <c r="G5457" s="33"/>
    </row>
    <row r="5458" ht="15.75" customHeight="1">
      <c r="A5458" s="26" t="s">
        <v>9122</v>
      </c>
      <c r="B5458" s="27" t="s">
        <v>566</v>
      </c>
      <c r="C5458" s="27" t="s">
        <v>930</v>
      </c>
      <c r="D5458" s="26" t="s">
        <v>3663</v>
      </c>
      <c r="E5458" s="28">
        <v>46113.0</v>
      </c>
      <c r="F5458" s="28">
        <v>46171.0</v>
      </c>
      <c r="G5458" s="29"/>
    </row>
    <row r="5459" ht="15.75" customHeight="1">
      <c r="A5459" s="30" t="s">
        <v>9123</v>
      </c>
      <c r="B5459" s="31" t="s">
        <v>566</v>
      </c>
      <c r="C5459" s="31" t="s">
        <v>1354</v>
      </c>
      <c r="D5459" s="30" t="s">
        <v>3663</v>
      </c>
      <c r="E5459" s="32">
        <v>46113.0</v>
      </c>
      <c r="F5459" s="32">
        <v>46171.0</v>
      </c>
      <c r="G5459" s="33"/>
    </row>
    <row r="5460" ht="15.75" customHeight="1">
      <c r="A5460" s="26" t="s">
        <v>9124</v>
      </c>
      <c r="B5460" s="27" t="s">
        <v>566</v>
      </c>
      <c r="C5460" s="27" t="s">
        <v>1312</v>
      </c>
      <c r="D5460" s="26" t="s">
        <v>3663</v>
      </c>
      <c r="E5460" s="28">
        <v>46113.0</v>
      </c>
      <c r="F5460" s="28">
        <v>46171.0</v>
      </c>
      <c r="G5460" s="29"/>
    </row>
    <row r="5461" ht="15.75" customHeight="1">
      <c r="A5461" s="30" t="s">
        <v>9125</v>
      </c>
      <c r="B5461" s="31" t="s">
        <v>566</v>
      </c>
      <c r="C5461" s="31" t="s">
        <v>3656</v>
      </c>
      <c r="D5461" s="30" t="s">
        <v>3663</v>
      </c>
      <c r="E5461" s="32">
        <v>46113.0</v>
      </c>
      <c r="F5461" s="32">
        <v>46171.0</v>
      </c>
      <c r="G5461" s="33"/>
    </row>
    <row r="5462" ht="15.75" customHeight="1">
      <c r="A5462" s="26" t="s">
        <v>9126</v>
      </c>
      <c r="B5462" s="27" t="s">
        <v>566</v>
      </c>
      <c r="C5462" s="27" t="s">
        <v>3657</v>
      </c>
      <c r="D5462" s="26" t="s">
        <v>3663</v>
      </c>
      <c r="E5462" s="28">
        <v>46113.0</v>
      </c>
      <c r="F5462" s="28">
        <v>46171.0</v>
      </c>
      <c r="G5462" s="29"/>
    </row>
    <row r="5463" ht="15.75" customHeight="1">
      <c r="A5463" s="30" t="s">
        <v>9127</v>
      </c>
      <c r="B5463" s="31" t="s">
        <v>566</v>
      </c>
      <c r="C5463" s="31" t="s">
        <v>3647</v>
      </c>
      <c r="D5463" s="30" t="s">
        <v>3663</v>
      </c>
      <c r="E5463" s="32">
        <v>46113.0</v>
      </c>
      <c r="F5463" s="32">
        <v>46171.0</v>
      </c>
      <c r="G5463" s="33"/>
    </row>
    <row r="5464" ht="15.75" customHeight="1">
      <c r="A5464" s="26" t="s">
        <v>9128</v>
      </c>
      <c r="B5464" s="27" t="s">
        <v>566</v>
      </c>
      <c r="C5464" s="27" t="s">
        <v>952</v>
      </c>
      <c r="D5464" s="26" t="s">
        <v>3663</v>
      </c>
      <c r="E5464" s="28">
        <v>46113.0</v>
      </c>
      <c r="F5464" s="28">
        <v>46171.0</v>
      </c>
      <c r="G5464" s="29"/>
    </row>
    <row r="5465" ht="15.75" customHeight="1">
      <c r="A5465" s="30" t="s">
        <v>9129</v>
      </c>
      <c r="B5465" s="31" t="s">
        <v>566</v>
      </c>
      <c r="C5465" s="31" t="s">
        <v>1216</v>
      </c>
      <c r="D5465" s="30" t="s">
        <v>3663</v>
      </c>
      <c r="E5465" s="32">
        <v>46113.0</v>
      </c>
      <c r="F5465" s="32">
        <v>46171.0</v>
      </c>
      <c r="G5465" s="33"/>
    </row>
    <row r="5466" ht="15.75" customHeight="1">
      <c r="A5466" s="26" t="s">
        <v>9130</v>
      </c>
      <c r="B5466" s="27" t="s">
        <v>566</v>
      </c>
      <c r="C5466" s="27" t="s">
        <v>1157</v>
      </c>
      <c r="D5466" s="26" t="s">
        <v>3663</v>
      </c>
      <c r="E5466" s="28">
        <v>46113.0</v>
      </c>
      <c r="F5466" s="28">
        <v>46171.0</v>
      </c>
      <c r="G5466" s="29"/>
    </row>
    <row r="5467" ht="15.75" customHeight="1">
      <c r="A5467" s="30" t="s">
        <v>9131</v>
      </c>
      <c r="B5467" s="31" t="s">
        <v>566</v>
      </c>
      <c r="C5467" s="31" t="s">
        <v>1155</v>
      </c>
      <c r="D5467" s="30" t="s">
        <v>3663</v>
      </c>
      <c r="E5467" s="32">
        <v>46113.0</v>
      </c>
      <c r="F5467" s="32">
        <v>46171.0</v>
      </c>
      <c r="G5467" s="33"/>
    </row>
    <row r="5468" ht="15.75" customHeight="1">
      <c r="A5468" s="26" t="s">
        <v>9132</v>
      </c>
      <c r="B5468" s="27" t="s">
        <v>566</v>
      </c>
      <c r="C5468" s="27" t="s">
        <v>1153</v>
      </c>
      <c r="D5468" s="26" t="s">
        <v>3663</v>
      </c>
      <c r="E5468" s="28">
        <v>46113.0</v>
      </c>
      <c r="F5468" s="28">
        <v>46171.0</v>
      </c>
      <c r="G5468" s="29"/>
    </row>
    <row r="5469" ht="15.75" customHeight="1">
      <c r="A5469" s="30" t="s">
        <v>9133</v>
      </c>
      <c r="B5469" s="31" t="s">
        <v>566</v>
      </c>
      <c r="C5469" s="31" t="s">
        <v>1149</v>
      </c>
      <c r="D5469" s="30" t="s">
        <v>3663</v>
      </c>
      <c r="E5469" s="32">
        <v>46113.0</v>
      </c>
      <c r="F5469" s="32">
        <v>46171.0</v>
      </c>
      <c r="G5469" s="33"/>
    </row>
    <row r="5470" ht="15.75" customHeight="1">
      <c r="A5470" s="26" t="s">
        <v>9134</v>
      </c>
      <c r="B5470" s="27" t="s">
        <v>566</v>
      </c>
      <c r="C5470" s="27" t="s">
        <v>965</v>
      </c>
      <c r="D5470" s="26" t="s">
        <v>3663</v>
      </c>
      <c r="E5470" s="28">
        <v>46113.0</v>
      </c>
      <c r="F5470" s="28">
        <v>46171.0</v>
      </c>
      <c r="G5470" s="29"/>
    </row>
    <row r="5471" ht="15.75" customHeight="1">
      <c r="A5471" s="30" t="s">
        <v>9135</v>
      </c>
      <c r="B5471" s="31" t="s">
        <v>566</v>
      </c>
      <c r="C5471" s="31" t="s">
        <v>923</v>
      </c>
      <c r="D5471" s="30" t="s">
        <v>3663</v>
      </c>
      <c r="E5471" s="32">
        <v>46113.0</v>
      </c>
      <c r="F5471" s="32">
        <v>46171.0</v>
      </c>
      <c r="G5471" s="33"/>
    </row>
    <row r="5472" ht="15.75" customHeight="1">
      <c r="A5472" s="26" t="s">
        <v>9136</v>
      </c>
      <c r="B5472" s="27" t="s">
        <v>567</v>
      </c>
      <c r="C5472" s="27" t="s">
        <v>928</v>
      </c>
      <c r="D5472" s="26" t="s">
        <v>3663</v>
      </c>
      <c r="E5472" s="28">
        <v>46113.0</v>
      </c>
      <c r="F5472" s="28">
        <v>46171.0</v>
      </c>
      <c r="G5472" s="29"/>
    </row>
    <row r="5473" ht="15.75" customHeight="1">
      <c r="A5473" s="30" t="s">
        <v>9137</v>
      </c>
      <c r="B5473" s="31" t="s">
        <v>567</v>
      </c>
      <c r="C5473" s="31" t="s">
        <v>1354</v>
      </c>
      <c r="D5473" s="30" t="s">
        <v>3663</v>
      </c>
      <c r="E5473" s="32">
        <v>46113.0</v>
      </c>
      <c r="F5473" s="32">
        <v>46171.0</v>
      </c>
      <c r="G5473" s="33"/>
    </row>
    <row r="5474" ht="15.75" customHeight="1">
      <c r="A5474" s="26" t="s">
        <v>9138</v>
      </c>
      <c r="B5474" s="27" t="s">
        <v>567</v>
      </c>
      <c r="C5474" s="27" t="s">
        <v>1222</v>
      </c>
      <c r="D5474" s="26" t="s">
        <v>3663</v>
      </c>
      <c r="E5474" s="28">
        <v>46113.0</v>
      </c>
      <c r="F5474" s="28">
        <v>46171.0</v>
      </c>
      <c r="G5474" s="29"/>
    </row>
    <row r="5475" ht="15.75" customHeight="1">
      <c r="A5475" s="30" t="s">
        <v>9139</v>
      </c>
      <c r="B5475" s="31" t="s">
        <v>567</v>
      </c>
      <c r="C5475" s="31" t="s">
        <v>1224</v>
      </c>
      <c r="D5475" s="30" t="s">
        <v>3663</v>
      </c>
      <c r="E5475" s="32">
        <v>46113.0</v>
      </c>
      <c r="F5475" s="32">
        <v>46171.0</v>
      </c>
      <c r="G5475" s="33"/>
    </row>
    <row r="5476" ht="15.75" customHeight="1">
      <c r="A5476" s="26" t="s">
        <v>9140</v>
      </c>
      <c r="B5476" s="27" t="s">
        <v>567</v>
      </c>
      <c r="C5476" s="27" t="s">
        <v>1226</v>
      </c>
      <c r="D5476" s="26" t="s">
        <v>3663</v>
      </c>
      <c r="E5476" s="28">
        <v>46113.0</v>
      </c>
      <c r="F5476" s="28">
        <v>46171.0</v>
      </c>
      <c r="G5476" s="29"/>
    </row>
    <row r="5477" ht="15.75" customHeight="1">
      <c r="A5477" s="30" t="s">
        <v>9141</v>
      </c>
      <c r="B5477" s="31" t="s">
        <v>567</v>
      </c>
      <c r="C5477" s="31" t="s">
        <v>1228</v>
      </c>
      <c r="D5477" s="30" t="s">
        <v>3663</v>
      </c>
      <c r="E5477" s="32">
        <v>46113.0</v>
      </c>
      <c r="F5477" s="32">
        <v>46171.0</v>
      </c>
      <c r="G5477" s="33"/>
    </row>
    <row r="5478" ht="15.75" customHeight="1">
      <c r="A5478" s="26" t="s">
        <v>9142</v>
      </c>
      <c r="B5478" s="27" t="s">
        <v>567</v>
      </c>
      <c r="C5478" s="27" t="s">
        <v>3656</v>
      </c>
      <c r="D5478" s="26" t="s">
        <v>3663</v>
      </c>
      <c r="E5478" s="28">
        <v>46113.0</v>
      </c>
      <c r="F5478" s="28">
        <v>46171.0</v>
      </c>
      <c r="G5478" s="29"/>
    </row>
    <row r="5479" ht="15.75" customHeight="1">
      <c r="A5479" s="30" t="s">
        <v>9143</v>
      </c>
      <c r="B5479" s="31" t="s">
        <v>567</v>
      </c>
      <c r="C5479" s="31" t="s">
        <v>3657</v>
      </c>
      <c r="D5479" s="30" t="s">
        <v>3663</v>
      </c>
      <c r="E5479" s="32">
        <v>46113.0</v>
      </c>
      <c r="F5479" s="32">
        <v>46171.0</v>
      </c>
      <c r="G5479" s="33"/>
    </row>
    <row r="5480" ht="15.75" customHeight="1">
      <c r="A5480" s="26" t="s">
        <v>9144</v>
      </c>
      <c r="B5480" s="27" t="s">
        <v>567</v>
      </c>
      <c r="C5480" s="27" t="s">
        <v>1218</v>
      </c>
      <c r="D5480" s="26" t="s">
        <v>3663</v>
      </c>
      <c r="E5480" s="28">
        <v>46113.0</v>
      </c>
      <c r="F5480" s="28">
        <v>46171.0</v>
      </c>
      <c r="G5480" s="29"/>
    </row>
    <row r="5481" ht="15.75" customHeight="1">
      <c r="A5481" s="30" t="s">
        <v>9145</v>
      </c>
      <c r="B5481" s="31" t="s">
        <v>567</v>
      </c>
      <c r="C5481" s="31" t="s">
        <v>1351</v>
      </c>
      <c r="D5481" s="30" t="s">
        <v>3663</v>
      </c>
      <c r="E5481" s="32">
        <v>46113.0</v>
      </c>
      <c r="F5481" s="32">
        <v>46171.0</v>
      </c>
      <c r="G5481" s="33"/>
    </row>
    <row r="5482" ht="15.75" customHeight="1">
      <c r="A5482" s="26" t="s">
        <v>9146</v>
      </c>
      <c r="B5482" s="27" t="s">
        <v>567</v>
      </c>
      <c r="C5482" s="27" t="s">
        <v>1349</v>
      </c>
      <c r="D5482" s="26" t="s">
        <v>3663</v>
      </c>
      <c r="E5482" s="28">
        <v>46113.0</v>
      </c>
      <c r="F5482" s="28">
        <v>46171.0</v>
      </c>
      <c r="G5482" s="29"/>
    </row>
    <row r="5483" ht="15.75" customHeight="1">
      <c r="A5483" s="30" t="s">
        <v>9147</v>
      </c>
      <c r="B5483" s="31" t="s">
        <v>567</v>
      </c>
      <c r="C5483" s="31" t="s">
        <v>965</v>
      </c>
      <c r="D5483" s="30" t="s">
        <v>3663</v>
      </c>
      <c r="E5483" s="32">
        <v>46113.0</v>
      </c>
      <c r="F5483" s="32">
        <v>46171.0</v>
      </c>
      <c r="G5483" s="33"/>
    </row>
    <row r="5484" ht="15.75" customHeight="1">
      <c r="A5484" s="26" t="s">
        <v>9148</v>
      </c>
      <c r="B5484" s="27" t="s">
        <v>567</v>
      </c>
      <c r="C5484" s="27" t="s">
        <v>923</v>
      </c>
      <c r="D5484" s="26" t="s">
        <v>3663</v>
      </c>
      <c r="E5484" s="28">
        <v>46113.0</v>
      </c>
      <c r="F5484" s="28">
        <v>46171.0</v>
      </c>
      <c r="G5484" s="29"/>
    </row>
    <row r="5485" ht="15.75" customHeight="1">
      <c r="A5485" s="30" t="s">
        <v>9149</v>
      </c>
      <c r="B5485" s="31" t="s">
        <v>567</v>
      </c>
      <c r="C5485" s="31" t="s">
        <v>955</v>
      </c>
      <c r="D5485" s="30" t="s">
        <v>3663</v>
      </c>
      <c r="E5485" s="32">
        <v>46113.0</v>
      </c>
      <c r="F5485" s="32">
        <v>46171.0</v>
      </c>
      <c r="G5485" s="33"/>
    </row>
    <row r="5486" ht="15.75" customHeight="1">
      <c r="A5486" s="26" t="s">
        <v>9150</v>
      </c>
      <c r="B5486" s="27" t="s">
        <v>568</v>
      </c>
      <c r="C5486" s="27" t="s">
        <v>1240</v>
      </c>
      <c r="D5486" s="26" t="s">
        <v>3663</v>
      </c>
      <c r="E5486" s="28">
        <v>46113.0</v>
      </c>
      <c r="F5486" s="28">
        <v>46171.0</v>
      </c>
      <c r="G5486" s="29"/>
    </row>
    <row r="5487" ht="15.75" customHeight="1">
      <c r="A5487" s="30" t="s">
        <v>9151</v>
      </c>
      <c r="B5487" s="31" t="s">
        <v>568</v>
      </c>
      <c r="C5487" s="31" t="s">
        <v>1242</v>
      </c>
      <c r="D5487" s="30" t="s">
        <v>3663</v>
      </c>
      <c r="E5487" s="32">
        <v>46113.0</v>
      </c>
      <c r="F5487" s="32">
        <v>46171.0</v>
      </c>
      <c r="G5487" s="33"/>
    </row>
    <row r="5488" ht="15.75" customHeight="1">
      <c r="A5488" s="26" t="s">
        <v>9152</v>
      </c>
      <c r="B5488" s="27" t="s">
        <v>568</v>
      </c>
      <c r="C5488" s="27" t="s">
        <v>1244</v>
      </c>
      <c r="D5488" s="26" t="s">
        <v>3663</v>
      </c>
      <c r="E5488" s="28">
        <v>46113.0</v>
      </c>
      <c r="F5488" s="28">
        <v>46171.0</v>
      </c>
      <c r="G5488" s="29"/>
    </row>
    <row r="5489" ht="15.75" customHeight="1">
      <c r="A5489" s="30" t="s">
        <v>9153</v>
      </c>
      <c r="B5489" s="31" t="s">
        <v>568</v>
      </c>
      <c r="C5489" s="31" t="s">
        <v>1246</v>
      </c>
      <c r="D5489" s="30" t="s">
        <v>3663</v>
      </c>
      <c r="E5489" s="32">
        <v>46113.0</v>
      </c>
      <c r="F5489" s="32">
        <v>46171.0</v>
      </c>
      <c r="G5489" s="33"/>
    </row>
    <row r="5490" ht="15.75" customHeight="1">
      <c r="A5490" s="26" t="s">
        <v>9154</v>
      </c>
      <c r="B5490" s="27" t="s">
        <v>568</v>
      </c>
      <c r="C5490" s="27" t="s">
        <v>3654</v>
      </c>
      <c r="D5490" s="26" t="s">
        <v>3663</v>
      </c>
      <c r="E5490" s="28">
        <v>46113.0</v>
      </c>
      <c r="F5490" s="28">
        <v>46171.0</v>
      </c>
      <c r="G5490" s="29"/>
    </row>
    <row r="5491" ht="15.75" customHeight="1">
      <c r="A5491" s="30" t="s">
        <v>9155</v>
      </c>
      <c r="B5491" s="31" t="s">
        <v>568</v>
      </c>
      <c r="C5491" s="31" t="s">
        <v>3655</v>
      </c>
      <c r="D5491" s="30" t="s">
        <v>3663</v>
      </c>
      <c r="E5491" s="32">
        <v>46113.0</v>
      </c>
      <c r="F5491" s="32">
        <v>46171.0</v>
      </c>
      <c r="G5491" s="33"/>
    </row>
    <row r="5492" ht="15.75" customHeight="1">
      <c r="A5492" s="26" t="s">
        <v>9156</v>
      </c>
      <c r="B5492" s="27" t="s">
        <v>568</v>
      </c>
      <c r="C5492" s="27" t="s">
        <v>934</v>
      </c>
      <c r="D5492" s="26" t="s">
        <v>3663</v>
      </c>
      <c r="E5492" s="28">
        <v>46113.0</v>
      </c>
      <c r="F5492" s="28">
        <v>46171.0</v>
      </c>
      <c r="G5492" s="29"/>
    </row>
    <row r="5493" ht="15.75" customHeight="1">
      <c r="A5493" s="30" t="s">
        <v>9157</v>
      </c>
      <c r="B5493" s="31" t="s">
        <v>568</v>
      </c>
      <c r="C5493" s="31" t="s">
        <v>3640</v>
      </c>
      <c r="D5493" s="30" t="s">
        <v>3663</v>
      </c>
      <c r="E5493" s="32">
        <v>46113.0</v>
      </c>
      <c r="F5493" s="32">
        <v>46171.0</v>
      </c>
      <c r="G5493" s="33"/>
    </row>
    <row r="5494" ht="15.75" customHeight="1">
      <c r="A5494" s="26" t="s">
        <v>9158</v>
      </c>
      <c r="B5494" s="27" t="s">
        <v>568</v>
      </c>
      <c r="C5494" s="27" t="s">
        <v>1354</v>
      </c>
      <c r="D5494" s="26" t="s">
        <v>3663</v>
      </c>
      <c r="E5494" s="28">
        <v>46113.0</v>
      </c>
      <c r="F5494" s="28">
        <v>46171.0</v>
      </c>
      <c r="G5494" s="29"/>
    </row>
    <row r="5495" ht="15.75" customHeight="1">
      <c r="A5495" s="30" t="s">
        <v>9159</v>
      </c>
      <c r="B5495" s="31" t="s">
        <v>568</v>
      </c>
      <c r="C5495" s="31" t="s">
        <v>1216</v>
      </c>
      <c r="D5495" s="30" t="s">
        <v>3663</v>
      </c>
      <c r="E5495" s="32">
        <v>46113.0</v>
      </c>
      <c r="F5495" s="32">
        <v>46171.0</v>
      </c>
      <c r="G5495" s="33"/>
    </row>
    <row r="5496" ht="15.75" customHeight="1">
      <c r="A5496" s="26" t="s">
        <v>9160</v>
      </c>
      <c r="B5496" s="27" t="s">
        <v>568</v>
      </c>
      <c r="C5496" s="27" t="s">
        <v>1351</v>
      </c>
      <c r="D5496" s="26" t="s">
        <v>3663</v>
      </c>
      <c r="E5496" s="28">
        <v>46113.0</v>
      </c>
      <c r="F5496" s="28">
        <v>46171.0</v>
      </c>
      <c r="G5496" s="29"/>
    </row>
    <row r="5497" ht="15.75" customHeight="1">
      <c r="A5497" s="30" t="s">
        <v>9161</v>
      </c>
      <c r="B5497" s="31" t="s">
        <v>568</v>
      </c>
      <c r="C5497" s="31" t="s">
        <v>1349</v>
      </c>
      <c r="D5497" s="30" t="s">
        <v>3663</v>
      </c>
      <c r="E5497" s="32">
        <v>46113.0</v>
      </c>
      <c r="F5497" s="32">
        <v>46171.0</v>
      </c>
      <c r="G5497" s="33"/>
    </row>
    <row r="5498" ht="15.75" customHeight="1">
      <c r="A5498" s="26" t="s">
        <v>9162</v>
      </c>
      <c r="B5498" s="27" t="s">
        <v>568</v>
      </c>
      <c r="C5498" s="27" t="s">
        <v>968</v>
      </c>
      <c r="D5498" s="26" t="s">
        <v>3663</v>
      </c>
      <c r="E5498" s="28">
        <v>46113.0</v>
      </c>
      <c r="F5498" s="28">
        <v>46171.0</v>
      </c>
      <c r="G5498" s="29"/>
    </row>
    <row r="5499" ht="15.75" customHeight="1">
      <c r="A5499" s="30" t="s">
        <v>9163</v>
      </c>
      <c r="B5499" s="31" t="s">
        <v>568</v>
      </c>
      <c r="C5499" s="31" t="s">
        <v>923</v>
      </c>
      <c r="D5499" s="30" t="s">
        <v>3663</v>
      </c>
      <c r="E5499" s="32">
        <v>46113.0</v>
      </c>
      <c r="F5499" s="32">
        <v>46171.0</v>
      </c>
      <c r="G5499" s="33"/>
    </row>
    <row r="5500" ht="15.75" customHeight="1">
      <c r="A5500" s="26" t="s">
        <v>9164</v>
      </c>
      <c r="B5500" s="27" t="s">
        <v>569</v>
      </c>
      <c r="C5500" s="27" t="s">
        <v>3654</v>
      </c>
      <c r="D5500" s="26" t="s">
        <v>3663</v>
      </c>
      <c r="E5500" s="28">
        <v>46113.0</v>
      </c>
      <c r="F5500" s="28">
        <v>46171.0</v>
      </c>
      <c r="G5500" s="29"/>
    </row>
    <row r="5501" ht="15.75" customHeight="1">
      <c r="A5501" s="30" t="s">
        <v>9165</v>
      </c>
      <c r="B5501" s="31" t="s">
        <v>569</v>
      </c>
      <c r="C5501" s="31" t="s">
        <v>3655</v>
      </c>
      <c r="D5501" s="30" t="s">
        <v>3663</v>
      </c>
      <c r="E5501" s="32">
        <v>46113.0</v>
      </c>
      <c r="F5501" s="32">
        <v>46171.0</v>
      </c>
      <c r="G5501" s="33"/>
    </row>
    <row r="5502" ht="15.75" customHeight="1">
      <c r="A5502" s="26" t="s">
        <v>9166</v>
      </c>
      <c r="B5502" s="27" t="s">
        <v>569</v>
      </c>
      <c r="C5502" s="27" t="s">
        <v>928</v>
      </c>
      <c r="D5502" s="26" t="s">
        <v>3663</v>
      </c>
      <c r="E5502" s="28">
        <v>46113.0</v>
      </c>
      <c r="F5502" s="28">
        <v>46171.0</v>
      </c>
      <c r="G5502" s="29"/>
    </row>
    <row r="5503" ht="15.75" customHeight="1">
      <c r="A5503" s="30" t="s">
        <v>9167</v>
      </c>
      <c r="B5503" s="31" t="s">
        <v>569</v>
      </c>
      <c r="C5503" s="31" t="s">
        <v>1354</v>
      </c>
      <c r="D5503" s="30" t="s">
        <v>3663</v>
      </c>
      <c r="E5503" s="32">
        <v>46113.0</v>
      </c>
      <c r="F5503" s="32">
        <v>46171.0</v>
      </c>
      <c r="G5503" s="33"/>
    </row>
    <row r="5504" ht="15.75" customHeight="1">
      <c r="A5504" s="26" t="s">
        <v>9168</v>
      </c>
      <c r="B5504" s="27" t="s">
        <v>569</v>
      </c>
      <c r="C5504" s="27" t="s">
        <v>1222</v>
      </c>
      <c r="D5504" s="26" t="s">
        <v>3663</v>
      </c>
      <c r="E5504" s="28">
        <v>46113.0</v>
      </c>
      <c r="F5504" s="28">
        <v>46171.0</v>
      </c>
      <c r="G5504" s="29"/>
    </row>
    <row r="5505" ht="15.75" customHeight="1">
      <c r="A5505" s="30" t="s">
        <v>9169</v>
      </c>
      <c r="B5505" s="31" t="s">
        <v>569</v>
      </c>
      <c r="C5505" s="31" t="s">
        <v>1224</v>
      </c>
      <c r="D5505" s="30" t="s">
        <v>3663</v>
      </c>
      <c r="E5505" s="32">
        <v>46113.0</v>
      </c>
      <c r="F5505" s="32">
        <v>46171.0</v>
      </c>
      <c r="G5505" s="33"/>
    </row>
    <row r="5506" ht="15.75" customHeight="1">
      <c r="A5506" s="26" t="s">
        <v>9170</v>
      </c>
      <c r="B5506" s="27" t="s">
        <v>569</v>
      </c>
      <c r="C5506" s="27" t="s">
        <v>1226</v>
      </c>
      <c r="D5506" s="26" t="s">
        <v>3663</v>
      </c>
      <c r="E5506" s="28">
        <v>46113.0</v>
      </c>
      <c r="F5506" s="28">
        <v>46171.0</v>
      </c>
      <c r="G5506" s="29"/>
    </row>
    <row r="5507" ht="15.75" customHeight="1">
      <c r="A5507" s="30" t="s">
        <v>9171</v>
      </c>
      <c r="B5507" s="31" t="s">
        <v>569</v>
      </c>
      <c r="C5507" s="31" t="s">
        <v>1228</v>
      </c>
      <c r="D5507" s="30" t="s">
        <v>3663</v>
      </c>
      <c r="E5507" s="32">
        <v>46113.0</v>
      </c>
      <c r="F5507" s="32">
        <v>46171.0</v>
      </c>
      <c r="G5507" s="33"/>
    </row>
    <row r="5508" ht="15.75" customHeight="1">
      <c r="A5508" s="26" t="s">
        <v>9172</v>
      </c>
      <c r="B5508" s="27" t="s">
        <v>569</v>
      </c>
      <c r="C5508" s="27" t="s">
        <v>1216</v>
      </c>
      <c r="D5508" s="26" t="s">
        <v>3663</v>
      </c>
      <c r="E5508" s="28">
        <v>46113.0</v>
      </c>
      <c r="F5508" s="28">
        <v>46171.0</v>
      </c>
      <c r="G5508" s="29"/>
    </row>
    <row r="5509" ht="15.75" customHeight="1">
      <c r="A5509" s="30" t="s">
        <v>9173</v>
      </c>
      <c r="B5509" s="31" t="s">
        <v>569</v>
      </c>
      <c r="C5509" s="31" t="s">
        <v>1218</v>
      </c>
      <c r="D5509" s="30" t="s">
        <v>3663</v>
      </c>
      <c r="E5509" s="32">
        <v>46113.0</v>
      </c>
      <c r="F5509" s="32">
        <v>46171.0</v>
      </c>
      <c r="G5509" s="33"/>
    </row>
    <row r="5510" ht="15.75" customHeight="1">
      <c r="A5510" s="26" t="s">
        <v>9174</v>
      </c>
      <c r="B5510" s="27" t="s">
        <v>569</v>
      </c>
      <c r="C5510" s="27" t="s">
        <v>1351</v>
      </c>
      <c r="D5510" s="26" t="s">
        <v>3663</v>
      </c>
      <c r="E5510" s="28">
        <v>46113.0</v>
      </c>
      <c r="F5510" s="28">
        <v>46171.0</v>
      </c>
      <c r="G5510" s="29"/>
    </row>
    <row r="5511" ht="15.75" customHeight="1">
      <c r="A5511" s="30" t="s">
        <v>9175</v>
      </c>
      <c r="B5511" s="31" t="s">
        <v>569</v>
      </c>
      <c r="C5511" s="31" t="s">
        <v>1349</v>
      </c>
      <c r="D5511" s="30" t="s">
        <v>3663</v>
      </c>
      <c r="E5511" s="32">
        <v>46113.0</v>
      </c>
      <c r="F5511" s="32">
        <v>46171.0</v>
      </c>
      <c r="G5511" s="33"/>
    </row>
    <row r="5512" ht="15.75" customHeight="1">
      <c r="A5512" s="26" t="s">
        <v>9176</v>
      </c>
      <c r="B5512" s="27" t="s">
        <v>569</v>
      </c>
      <c r="C5512" s="27" t="s">
        <v>968</v>
      </c>
      <c r="D5512" s="26" t="s">
        <v>3663</v>
      </c>
      <c r="E5512" s="28">
        <v>46113.0</v>
      </c>
      <c r="F5512" s="28">
        <v>46171.0</v>
      </c>
      <c r="G5512" s="29"/>
    </row>
    <row r="5513" ht="15.75" customHeight="1">
      <c r="A5513" s="30" t="s">
        <v>9177</v>
      </c>
      <c r="B5513" s="31" t="s">
        <v>569</v>
      </c>
      <c r="C5513" s="31" t="s">
        <v>923</v>
      </c>
      <c r="D5513" s="30" t="s">
        <v>3663</v>
      </c>
      <c r="E5513" s="32">
        <v>46113.0</v>
      </c>
      <c r="F5513" s="32">
        <v>46171.0</v>
      </c>
      <c r="G5513" s="33"/>
    </row>
    <row r="5514" ht="15.75" customHeight="1">
      <c r="A5514" s="26" t="s">
        <v>9178</v>
      </c>
      <c r="B5514" s="27" t="s">
        <v>570</v>
      </c>
      <c r="C5514" s="27" t="s">
        <v>932</v>
      </c>
      <c r="D5514" s="26" t="s">
        <v>3663</v>
      </c>
      <c r="E5514" s="28">
        <v>46113.0</v>
      </c>
      <c r="F5514" s="28">
        <v>46171.0</v>
      </c>
      <c r="G5514" s="29"/>
    </row>
    <row r="5515" ht="15.75" customHeight="1">
      <c r="A5515" s="30" t="s">
        <v>9179</v>
      </c>
      <c r="B5515" s="31" t="s">
        <v>570</v>
      </c>
      <c r="C5515" s="31" t="s">
        <v>1164</v>
      </c>
      <c r="D5515" s="30" t="s">
        <v>3663</v>
      </c>
      <c r="E5515" s="32">
        <v>46113.0</v>
      </c>
      <c r="F5515" s="32">
        <v>46171.0</v>
      </c>
      <c r="G5515" s="33"/>
    </row>
    <row r="5516" ht="15.75" customHeight="1">
      <c r="A5516" s="26" t="s">
        <v>9180</v>
      </c>
      <c r="B5516" s="27" t="s">
        <v>570</v>
      </c>
      <c r="C5516" s="27" t="s">
        <v>1166</v>
      </c>
      <c r="D5516" s="26" t="s">
        <v>3663</v>
      </c>
      <c r="E5516" s="28">
        <v>46113.0</v>
      </c>
      <c r="F5516" s="28">
        <v>46171.0</v>
      </c>
      <c r="G5516" s="29"/>
    </row>
    <row r="5517" ht="15.75" customHeight="1">
      <c r="A5517" s="30" t="s">
        <v>9181</v>
      </c>
      <c r="B5517" s="31" t="s">
        <v>570</v>
      </c>
      <c r="C5517" s="31" t="s">
        <v>1168</v>
      </c>
      <c r="D5517" s="30" t="s">
        <v>3663</v>
      </c>
      <c r="E5517" s="32">
        <v>46113.0</v>
      </c>
      <c r="F5517" s="32">
        <v>46171.0</v>
      </c>
      <c r="G5517" s="33"/>
    </row>
    <row r="5518" ht="15.75" customHeight="1">
      <c r="A5518" s="26" t="s">
        <v>9182</v>
      </c>
      <c r="B5518" s="27" t="s">
        <v>570</v>
      </c>
      <c r="C5518" s="27" t="s">
        <v>1170</v>
      </c>
      <c r="D5518" s="26" t="s">
        <v>3663</v>
      </c>
      <c r="E5518" s="28">
        <v>46113.0</v>
      </c>
      <c r="F5518" s="28">
        <v>46171.0</v>
      </c>
      <c r="G5518" s="29"/>
    </row>
    <row r="5519" ht="15.75" customHeight="1">
      <c r="A5519" s="30" t="s">
        <v>9183</v>
      </c>
      <c r="B5519" s="31" t="s">
        <v>570</v>
      </c>
      <c r="C5519" s="31" t="s">
        <v>1354</v>
      </c>
      <c r="D5519" s="30" t="s">
        <v>3663</v>
      </c>
      <c r="E5519" s="32">
        <v>46113.0</v>
      </c>
      <c r="F5519" s="32">
        <v>46171.0</v>
      </c>
      <c r="G5519" s="33"/>
    </row>
    <row r="5520" ht="15.75" customHeight="1">
      <c r="A5520" s="26" t="s">
        <v>9184</v>
      </c>
      <c r="B5520" s="27" t="s">
        <v>570</v>
      </c>
      <c r="C5520" s="27" t="s">
        <v>1159</v>
      </c>
      <c r="D5520" s="26" t="s">
        <v>3663</v>
      </c>
      <c r="E5520" s="28">
        <v>46113.0</v>
      </c>
      <c r="F5520" s="28">
        <v>46171.0</v>
      </c>
      <c r="G5520" s="29"/>
    </row>
    <row r="5521" ht="15.75" customHeight="1">
      <c r="A5521" s="30" t="s">
        <v>9185</v>
      </c>
      <c r="B5521" s="31" t="s">
        <v>570</v>
      </c>
      <c r="C5521" s="31" t="s">
        <v>3647</v>
      </c>
      <c r="D5521" s="30" t="s">
        <v>3663</v>
      </c>
      <c r="E5521" s="32">
        <v>46113.0</v>
      </c>
      <c r="F5521" s="32">
        <v>46171.0</v>
      </c>
      <c r="G5521" s="33"/>
    </row>
    <row r="5522" ht="15.75" customHeight="1">
      <c r="A5522" s="26" t="s">
        <v>9186</v>
      </c>
      <c r="B5522" s="27" t="s">
        <v>570</v>
      </c>
      <c r="C5522" s="27" t="s">
        <v>952</v>
      </c>
      <c r="D5522" s="26" t="s">
        <v>3663</v>
      </c>
      <c r="E5522" s="28">
        <v>46113.0</v>
      </c>
      <c r="F5522" s="28">
        <v>46171.0</v>
      </c>
      <c r="G5522" s="29"/>
    </row>
    <row r="5523" ht="15.75" customHeight="1">
      <c r="A5523" s="30" t="s">
        <v>9187</v>
      </c>
      <c r="B5523" s="31" t="s">
        <v>570</v>
      </c>
      <c r="C5523" s="31" t="s">
        <v>1216</v>
      </c>
      <c r="D5523" s="30" t="s">
        <v>3663</v>
      </c>
      <c r="E5523" s="32">
        <v>46113.0</v>
      </c>
      <c r="F5523" s="32">
        <v>46171.0</v>
      </c>
      <c r="G5523" s="33"/>
    </row>
    <row r="5524" ht="15.75" customHeight="1">
      <c r="A5524" s="26" t="s">
        <v>9188</v>
      </c>
      <c r="B5524" s="27" t="s">
        <v>570</v>
      </c>
      <c r="C5524" s="27" t="s">
        <v>3653</v>
      </c>
      <c r="D5524" s="27" t="s">
        <v>3663</v>
      </c>
      <c r="E5524" s="28">
        <v>46113.0</v>
      </c>
      <c r="F5524" s="28">
        <v>46171.0</v>
      </c>
      <c r="G5524" s="29"/>
    </row>
    <row r="5525" ht="15.75" customHeight="1">
      <c r="A5525" s="30" t="s">
        <v>9189</v>
      </c>
      <c r="B5525" s="31" t="s">
        <v>570</v>
      </c>
      <c r="C5525" s="31" t="s">
        <v>3652</v>
      </c>
      <c r="D5525" s="30" t="s">
        <v>3663</v>
      </c>
      <c r="E5525" s="32">
        <v>46113.0</v>
      </c>
      <c r="F5525" s="32">
        <v>46171.0</v>
      </c>
      <c r="G5525" s="33"/>
    </row>
    <row r="5526" ht="15.75" customHeight="1">
      <c r="A5526" s="26" t="s">
        <v>9190</v>
      </c>
      <c r="B5526" s="27" t="s">
        <v>570</v>
      </c>
      <c r="C5526" s="27" t="s">
        <v>965</v>
      </c>
      <c r="D5526" s="26" t="s">
        <v>3663</v>
      </c>
      <c r="E5526" s="28">
        <v>46113.0</v>
      </c>
      <c r="F5526" s="28">
        <v>46171.0</v>
      </c>
      <c r="G5526" s="29"/>
    </row>
    <row r="5527" ht="15.75" customHeight="1">
      <c r="A5527" s="30" t="s">
        <v>9191</v>
      </c>
      <c r="B5527" s="31" t="s">
        <v>570</v>
      </c>
      <c r="C5527" s="31" t="s">
        <v>923</v>
      </c>
      <c r="D5527" s="30" t="s">
        <v>3663</v>
      </c>
      <c r="E5527" s="32">
        <v>46113.0</v>
      </c>
      <c r="F5527" s="32">
        <v>46171.0</v>
      </c>
      <c r="G5527" s="33"/>
    </row>
    <row r="5528" ht="15.75" customHeight="1">
      <c r="A5528" s="26" t="s">
        <v>9192</v>
      </c>
      <c r="B5528" s="27" t="s">
        <v>571</v>
      </c>
      <c r="C5528" s="27" t="s">
        <v>930</v>
      </c>
      <c r="D5528" s="26" t="s">
        <v>3663</v>
      </c>
      <c r="E5528" s="28">
        <v>46113.0</v>
      </c>
      <c r="F5528" s="28">
        <v>46171.0</v>
      </c>
      <c r="G5528" s="29"/>
    </row>
    <row r="5529" ht="15.75" customHeight="1">
      <c r="A5529" s="30" t="s">
        <v>9193</v>
      </c>
      <c r="B5529" s="31" t="s">
        <v>571</v>
      </c>
      <c r="C5529" s="31" t="s">
        <v>1354</v>
      </c>
      <c r="D5529" s="30" t="s">
        <v>3663</v>
      </c>
      <c r="E5529" s="32">
        <v>46113.0</v>
      </c>
      <c r="F5529" s="32">
        <v>46171.0</v>
      </c>
      <c r="G5529" s="33"/>
    </row>
    <row r="5530" ht="15.75" customHeight="1">
      <c r="A5530" s="26" t="s">
        <v>9194</v>
      </c>
      <c r="B5530" s="27" t="s">
        <v>571</v>
      </c>
      <c r="C5530" s="27" t="s">
        <v>1304</v>
      </c>
      <c r="D5530" s="26" t="s">
        <v>3663</v>
      </c>
      <c r="E5530" s="28">
        <v>46113.0</v>
      </c>
      <c r="F5530" s="28">
        <v>46171.0</v>
      </c>
      <c r="G5530" s="29"/>
    </row>
    <row r="5531" ht="15.75" customHeight="1">
      <c r="A5531" s="30" t="s">
        <v>9195</v>
      </c>
      <c r="B5531" s="31" t="s">
        <v>571</v>
      </c>
      <c r="C5531" s="31" t="s">
        <v>1306</v>
      </c>
      <c r="D5531" s="30" t="s">
        <v>3663</v>
      </c>
      <c r="E5531" s="32">
        <v>46113.0</v>
      </c>
      <c r="F5531" s="32">
        <v>46171.0</v>
      </c>
      <c r="G5531" s="33"/>
    </row>
    <row r="5532" ht="15.75" customHeight="1">
      <c r="A5532" s="26" t="s">
        <v>9196</v>
      </c>
      <c r="B5532" s="27" t="s">
        <v>571</v>
      </c>
      <c r="C5532" s="27" t="s">
        <v>1308</v>
      </c>
      <c r="D5532" s="26" t="s">
        <v>3663</v>
      </c>
      <c r="E5532" s="28">
        <v>46113.0</v>
      </c>
      <c r="F5532" s="28">
        <v>46171.0</v>
      </c>
      <c r="G5532" s="29"/>
    </row>
    <row r="5533" ht="15.75" customHeight="1">
      <c r="A5533" s="30" t="s">
        <v>9197</v>
      </c>
      <c r="B5533" s="31" t="s">
        <v>571</v>
      </c>
      <c r="C5533" s="31" t="s">
        <v>1310</v>
      </c>
      <c r="D5533" s="30" t="s">
        <v>3663</v>
      </c>
      <c r="E5533" s="32">
        <v>46113.0</v>
      </c>
      <c r="F5533" s="32">
        <v>46171.0</v>
      </c>
      <c r="G5533" s="33"/>
    </row>
    <row r="5534" ht="15.75" customHeight="1">
      <c r="A5534" s="26" t="s">
        <v>9198</v>
      </c>
      <c r="B5534" s="27" t="s">
        <v>571</v>
      </c>
      <c r="C5534" s="27" t="s">
        <v>3656</v>
      </c>
      <c r="D5534" s="26" t="s">
        <v>3663</v>
      </c>
      <c r="E5534" s="28">
        <v>46113.0</v>
      </c>
      <c r="F5534" s="28">
        <v>46171.0</v>
      </c>
      <c r="G5534" s="29"/>
    </row>
    <row r="5535" ht="15.75" customHeight="1">
      <c r="A5535" s="30" t="s">
        <v>9199</v>
      </c>
      <c r="B5535" s="31" t="s">
        <v>571</v>
      </c>
      <c r="C5535" s="31" t="s">
        <v>3657</v>
      </c>
      <c r="D5535" s="30" t="s">
        <v>3663</v>
      </c>
      <c r="E5535" s="32">
        <v>46113.0</v>
      </c>
      <c r="F5535" s="32">
        <v>46171.0</v>
      </c>
      <c r="G5535" s="33"/>
    </row>
    <row r="5536" ht="15.75" customHeight="1">
      <c r="A5536" s="26" t="s">
        <v>9200</v>
      </c>
      <c r="B5536" s="27" t="s">
        <v>571</v>
      </c>
      <c r="C5536" s="27" t="s">
        <v>1351</v>
      </c>
      <c r="D5536" s="26" t="s">
        <v>3663</v>
      </c>
      <c r="E5536" s="28">
        <v>46113.0</v>
      </c>
      <c r="F5536" s="28">
        <v>46171.0</v>
      </c>
      <c r="G5536" s="29"/>
    </row>
    <row r="5537" ht="15.75" customHeight="1">
      <c r="A5537" s="30" t="s">
        <v>9201</v>
      </c>
      <c r="B5537" s="31" t="s">
        <v>571</v>
      </c>
      <c r="C5537" s="31" t="s">
        <v>1349</v>
      </c>
      <c r="D5537" s="30" t="s">
        <v>3663</v>
      </c>
      <c r="E5537" s="32">
        <v>46113.0</v>
      </c>
      <c r="F5537" s="32">
        <v>46171.0</v>
      </c>
      <c r="G5537" s="33"/>
    </row>
    <row r="5538" ht="15.75" customHeight="1">
      <c r="A5538" s="26" t="s">
        <v>9202</v>
      </c>
      <c r="B5538" s="27" t="s">
        <v>571</v>
      </c>
      <c r="C5538" s="27" t="s">
        <v>968</v>
      </c>
      <c r="D5538" s="26" t="s">
        <v>3663</v>
      </c>
      <c r="E5538" s="28">
        <v>46113.0</v>
      </c>
      <c r="F5538" s="28">
        <v>46171.0</v>
      </c>
      <c r="G5538" s="29"/>
    </row>
    <row r="5539" ht="15.75" customHeight="1">
      <c r="A5539" s="30" t="s">
        <v>9203</v>
      </c>
      <c r="B5539" s="31" t="s">
        <v>571</v>
      </c>
      <c r="C5539" s="31" t="s">
        <v>923</v>
      </c>
      <c r="D5539" s="30" t="s">
        <v>3663</v>
      </c>
      <c r="E5539" s="32">
        <v>46113.0</v>
      </c>
      <c r="F5539" s="32">
        <v>46171.0</v>
      </c>
      <c r="G5539" s="33"/>
    </row>
    <row r="5540" ht="15.75" customHeight="1">
      <c r="A5540" s="26" t="s">
        <v>9204</v>
      </c>
      <c r="B5540" s="27" t="s">
        <v>571</v>
      </c>
      <c r="C5540" s="27" t="s">
        <v>961</v>
      </c>
      <c r="D5540" s="26" t="s">
        <v>3663</v>
      </c>
      <c r="E5540" s="28">
        <v>46113.0</v>
      </c>
      <c r="F5540" s="28">
        <v>46171.0</v>
      </c>
      <c r="G5540" s="29"/>
    </row>
    <row r="5541" ht="15.75" customHeight="1">
      <c r="A5541" s="30" t="s">
        <v>9205</v>
      </c>
      <c r="B5541" s="31" t="s">
        <v>571</v>
      </c>
      <c r="C5541" s="31" t="s">
        <v>955</v>
      </c>
      <c r="D5541" s="30" t="s">
        <v>3663</v>
      </c>
      <c r="E5541" s="32">
        <v>46113.0</v>
      </c>
      <c r="F5541" s="32">
        <v>46171.0</v>
      </c>
      <c r="G5541" s="33"/>
    </row>
    <row r="5542" ht="15.75" customHeight="1">
      <c r="A5542" s="26" t="s">
        <v>9206</v>
      </c>
      <c r="B5542" s="27" t="s">
        <v>572</v>
      </c>
      <c r="C5542" s="27" t="s">
        <v>3654</v>
      </c>
      <c r="D5542" s="26" t="s">
        <v>3663</v>
      </c>
      <c r="E5542" s="28">
        <v>46113.0</v>
      </c>
      <c r="F5542" s="28">
        <v>46171.0</v>
      </c>
      <c r="G5542" s="29"/>
    </row>
    <row r="5543" ht="15.75" customHeight="1">
      <c r="A5543" s="30" t="s">
        <v>9207</v>
      </c>
      <c r="B5543" s="31" t="s">
        <v>572</v>
      </c>
      <c r="C5543" s="31" t="s">
        <v>3655</v>
      </c>
      <c r="D5543" s="30" t="s">
        <v>3663</v>
      </c>
      <c r="E5543" s="32">
        <v>46113.0</v>
      </c>
      <c r="F5543" s="32">
        <v>46171.0</v>
      </c>
      <c r="G5543" s="33"/>
    </row>
    <row r="5544" ht="15.75" customHeight="1">
      <c r="A5544" s="26" t="s">
        <v>9208</v>
      </c>
      <c r="B5544" s="27" t="s">
        <v>572</v>
      </c>
      <c r="C5544" s="27" t="s">
        <v>928</v>
      </c>
      <c r="D5544" s="26" t="s">
        <v>3663</v>
      </c>
      <c r="E5544" s="28">
        <v>46113.0</v>
      </c>
      <c r="F5544" s="28">
        <v>46171.0</v>
      </c>
      <c r="G5544" s="29"/>
    </row>
    <row r="5545" ht="15.75" customHeight="1">
      <c r="A5545" s="30" t="s">
        <v>9209</v>
      </c>
      <c r="B5545" s="31" t="s">
        <v>572</v>
      </c>
      <c r="C5545" s="31" t="s">
        <v>1323</v>
      </c>
      <c r="D5545" s="30" t="s">
        <v>3663</v>
      </c>
      <c r="E5545" s="32">
        <v>46113.0</v>
      </c>
      <c r="F5545" s="32">
        <v>46171.0</v>
      </c>
      <c r="G5545" s="33"/>
    </row>
    <row r="5546" ht="15.75" customHeight="1">
      <c r="A5546" s="26" t="s">
        <v>9210</v>
      </c>
      <c r="B5546" s="27" t="s">
        <v>572</v>
      </c>
      <c r="C5546" s="27" t="s">
        <v>1354</v>
      </c>
      <c r="D5546" s="26" t="s">
        <v>3663</v>
      </c>
      <c r="E5546" s="28">
        <v>46113.0</v>
      </c>
      <c r="F5546" s="28">
        <v>46171.0</v>
      </c>
      <c r="G5546" s="29"/>
    </row>
    <row r="5547" ht="15.75" customHeight="1">
      <c r="A5547" s="30" t="s">
        <v>9211</v>
      </c>
      <c r="B5547" s="31" t="s">
        <v>572</v>
      </c>
      <c r="C5547" s="31" t="s">
        <v>1222</v>
      </c>
      <c r="D5547" s="30" t="s">
        <v>3663</v>
      </c>
      <c r="E5547" s="32">
        <v>46113.0</v>
      </c>
      <c r="F5547" s="32">
        <v>46171.0</v>
      </c>
      <c r="G5547" s="33"/>
    </row>
    <row r="5548" ht="15.75" customHeight="1">
      <c r="A5548" s="26" t="s">
        <v>9212</v>
      </c>
      <c r="B5548" s="27" t="s">
        <v>572</v>
      </c>
      <c r="C5548" s="27" t="s">
        <v>1224</v>
      </c>
      <c r="D5548" s="26" t="s">
        <v>3663</v>
      </c>
      <c r="E5548" s="28">
        <v>46113.0</v>
      </c>
      <c r="F5548" s="28">
        <v>46171.0</v>
      </c>
      <c r="G5548" s="29"/>
    </row>
    <row r="5549" ht="15.75" customHeight="1">
      <c r="A5549" s="30" t="s">
        <v>9213</v>
      </c>
      <c r="B5549" s="31" t="s">
        <v>572</v>
      </c>
      <c r="C5549" s="31" t="s">
        <v>1226</v>
      </c>
      <c r="D5549" s="30" t="s">
        <v>3663</v>
      </c>
      <c r="E5549" s="32">
        <v>46113.0</v>
      </c>
      <c r="F5549" s="32">
        <v>46171.0</v>
      </c>
      <c r="G5549" s="33"/>
    </row>
    <row r="5550" ht="15.75" customHeight="1">
      <c r="A5550" s="26" t="s">
        <v>9214</v>
      </c>
      <c r="B5550" s="27" t="s">
        <v>572</v>
      </c>
      <c r="C5550" s="27" t="s">
        <v>1228</v>
      </c>
      <c r="D5550" s="26" t="s">
        <v>3663</v>
      </c>
      <c r="E5550" s="28">
        <v>46113.0</v>
      </c>
      <c r="F5550" s="28">
        <v>46171.0</v>
      </c>
      <c r="G5550" s="29"/>
    </row>
    <row r="5551" ht="15.75" customHeight="1">
      <c r="A5551" s="30" t="s">
        <v>9215</v>
      </c>
      <c r="B5551" s="31" t="s">
        <v>572</v>
      </c>
      <c r="C5551" s="31" t="s">
        <v>1172</v>
      </c>
      <c r="D5551" s="30" t="s">
        <v>3663</v>
      </c>
      <c r="E5551" s="32">
        <v>46113.0</v>
      </c>
      <c r="F5551" s="32">
        <v>46171.0</v>
      </c>
      <c r="G5551" s="33"/>
    </row>
    <row r="5552" ht="15.75" customHeight="1">
      <c r="A5552" s="26" t="s">
        <v>9216</v>
      </c>
      <c r="B5552" s="27" t="s">
        <v>572</v>
      </c>
      <c r="C5552" s="27" t="s">
        <v>1351</v>
      </c>
      <c r="D5552" s="26" t="s">
        <v>3663</v>
      </c>
      <c r="E5552" s="28">
        <v>46113.0</v>
      </c>
      <c r="F5552" s="28">
        <v>46171.0</v>
      </c>
      <c r="G5552" s="29"/>
    </row>
    <row r="5553" ht="15.75" customHeight="1">
      <c r="A5553" s="30" t="s">
        <v>9217</v>
      </c>
      <c r="B5553" s="31" t="s">
        <v>572</v>
      </c>
      <c r="C5553" s="31" t="s">
        <v>1349</v>
      </c>
      <c r="D5553" s="30" t="s">
        <v>3663</v>
      </c>
      <c r="E5553" s="32">
        <v>46113.0</v>
      </c>
      <c r="F5553" s="32">
        <v>46171.0</v>
      </c>
      <c r="G5553" s="33"/>
    </row>
    <row r="5554" ht="15.75" customHeight="1">
      <c r="A5554" s="26" t="s">
        <v>9218</v>
      </c>
      <c r="B5554" s="27" t="s">
        <v>572</v>
      </c>
      <c r="C5554" s="27" t="s">
        <v>965</v>
      </c>
      <c r="D5554" s="26" t="s">
        <v>3663</v>
      </c>
      <c r="E5554" s="28">
        <v>46113.0</v>
      </c>
      <c r="F5554" s="28">
        <v>46171.0</v>
      </c>
      <c r="G5554" s="29"/>
    </row>
    <row r="5555" ht="15.75" customHeight="1">
      <c r="A5555" s="30" t="s">
        <v>9219</v>
      </c>
      <c r="B5555" s="31" t="s">
        <v>572</v>
      </c>
      <c r="C5555" s="31" t="s">
        <v>923</v>
      </c>
      <c r="D5555" s="30" t="s">
        <v>3663</v>
      </c>
      <c r="E5555" s="32">
        <v>46113.0</v>
      </c>
      <c r="F5555" s="32">
        <v>46171.0</v>
      </c>
      <c r="G5555" s="33"/>
    </row>
    <row r="5556" ht="15.75" customHeight="1">
      <c r="A5556" s="26" t="s">
        <v>9220</v>
      </c>
      <c r="B5556" s="27" t="s">
        <v>573</v>
      </c>
      <c r="C5556" s="27" t="s">
        <v>930</v>
      </c>
      <c r="D5556" s="26" t="s">
        <v>3663</v>
      </c>
      <c r="E5556" s="28">
        <v>46113.0</v>
      </c>
      <c r="F5556" s="28">
        <v>46171.0</v>
      </c>
      <c r="G5556" s="29"/>
    </row>
    <row r="5557" ht="15.75" customHeight="1">
      <c r="A5557" s="30" t="s">
        <v>9221</v>
      </c>
      <c r="B5557" s="31" t="s">
        <v>573</v>
      </c>
      <c r="C5557" s="31" t="s">
        <v>1354</v>
      </c>
      <c r="D5557" s="30" t="s">
        <v>3663</v>
      </c>
      <c r="E5557" s="32">
        <v>46113.0</v>
      </c>
      <c r="F5557" s="32">
        <v>46171.0</v>
      </c>
      <c r="G5557" s="33"/>
    </row>
    <row r="5558" ht="15.75" customHeight="1">
      <c r="A5558" s="26" t="s">
        <v>9222</v>
      </c>
      <c r="B5558" s="27" t="s">
        <v>573</v>
      </c>
      <c r="C5558" s="27" t="s">
        <v>3605</v>
      </c>
      <c r="D5558" s="26" t="s">
        <v>3663</v>
      </c>
      <c r="E5558" s="28">
        <v>46113.0</v>
      </c>
      <c r="F5558" s="28">
        <v>46171.0</v>
      </c>
      <c r="G5558" s="29"/>
    </row>
    <row r="5559" ht="15.75" customHeight="1">
      <c r="A5559" s="30" t="s">
        <v>9223</v>
      </c>
      <c r="B5559" s="31" t="s">
        <v>573</v>
      </c>
      <c r="C5559" s="31" t="s">
        <v>1216</v>
      </c>
      <c r="D5559" s="30" t="s">
        <v>3663</v>
      </c>
      <c r="E5559" s="32">
        <v>46113.0</v>
      </c>
      <c r="F5559" s="32">
        <v>46171.0</v>
      </c>
      <c r="G5559" s="33"/>
    </row>
    <row r="5560" ht="15.75" customHeight="1">
      <c r="A5560" s="26" t="s">
        <v>9224</v>
      </c>
      <c r="B5560" s="27" t="s">
        <v>573</v>
      </c>
      <c r="C5560" s="27" t="s">
        <v>1157</v>
      </c>
      <c r="D5560" s="26" t="s">
        <v>3663</v>
      </c>
      <c r="E5560" s="28">
        <v>46113.0</v>
      </c>
      <c r="F5560" s="28">
        <v>46171.0</v>
      </c>
      <c r="G5560" s="29"/>
    </row>
    <row r="5561" ht="15.75" customHeight="1">
      <c r="A5561" s="30" t="s">
        <v>9225</v>
      </c>
      <c r="B5561" s="31" t="s">
        <v>573</v>
      </c>
      <c r="C5561" s="31" t="s">
        <v>1155</v>
      </c>
      <c r="D5561" s="30" t="s">
        <v>3663</v>
      </c>
      <c r="E5561" s="32">
        <v>46113.0</v>
      </c>
      <c r="F5561" s="32">
        <v>46171.0</v>
      </c>
      <c r="G5561" s="33"/>
    </row>
    <row r="5562" ht="15.75" customHeight="1">
      <c r="A5562" s="26" t="s">
        <v>9226</v>
      </c>
      <c r="B5562" s="27" t="s">
        <v>573</v>
      </c>
      <c r="C5562" s="27" t="s">
        <v>1153</v>
      </c>
      <c r="D5562" s="26" t="s">
        <v>3663</v>
      </c>
      <c r="E5562" s="28">
        <v>46113.0</v>
      </c>
      <c r="F5562" s="28">
        <v>46171.0</v>
      </c>
      <c r="G5562" s="29"/>
    </row>
    <row r="5563" ht="15.75" customHeight="1">
      <c r="A5563" s="30" t="s">
        <v>9227</v>
      </c>
      <c r="B5563" s="31" t="s">
        <v>573</v>
      </c>
      <c r="C5563" s="31" t="s">
        <v>1149</v>
      </c>
      <c r="D5563" s="30" t="s">
        <v>3663</v>
      </c>
      <c r="E5563" s="32">
        <v>46113.0</v>
      </c>
      <c r="F5563" s="32">
        <v>46171.0</v>
      </c>
      <c r="G5563" s="33"/>
    </row>
    <row r="5564" ht="15.75" customHeight="1">
      <c r="A5564" s="26" t="s">
        <v>9228</v>
      </c>
      <c r="B5564" s="27" t="s">
        <v>573</v>
      </c>
      <c r="C5564" s="27" t="s">
        <v>1351</v>
      </c>
      <c r="D5564" s="26" t="s">
        <v>3663</v>
      </c>
      <c r="E5564" s="28">
        <v>46113.0</v>
      </c>
      <c r="F5564" s="28">
        <v>46171.0</v>
      </c>
      <c r="G5564" s="29"/>
    </row>
    <row r="5565" ht="15.75" customHeight="1">
      <c r="A5565" s="30" t="s">
        <v>9229</v>
      </c>
      <c r="B5565" s="31" t="s">
        <v>573</v>
      </c>
      <c r="C5565" s="31" t="s">
        <v>1349</v>
      </c>
      <c r="D5565" s="30" t="s">
        <v>3663</v>
      </c>
      <c r="E5565" s="32">
        <v>46113.0</v>
      </c>
      <c r="F5565" s="32">
        <v>46171.0</v>
      </c>
      <c r="G5565" s="33"/>
    </row>
    <row r="5566" ht="15.75" customHeight="1">
      <c r="A5566" s="26" t="s">
        <v>9230</v>
      </c>
      <c r="B5566" s="27" t="s">
        <v>573</v>
      </c>
      <c r="C5566" s="27" t="s">
        <v>3653</v>
      </c>
      <c r="D5566" s="27" t="s">
        <v>3663</v>
      </c>
      <c r="E5566" s="28">
        <v>46113.0</v>
      </c>
      <c r="F5566" s="28">
        <v>46171.0</v>
      </c>
      <c r="G5566" s="29"/>
    </row>
    <row r="5567" ht="15.75" customHeight="1">
      <c r="A5567" s="30" t="s">
        <v>9231</v>
      </c>
      <c r="B5567" s="31" t="s">
        <v>573</v>
      </c>
      <c r="C5567" s="31" t="s">
        <v>3652</v>
      </c>
      <c r="D5567" s="30" t="s">
        <v>3663</v>
      </c>
      <c r="E5567" s="32">
        <v>46113.0</v>
      </c>
      <c r="F5567" s="32">
        <v>46171.0</v>
      </c>
      <c r="G5567" s="33"/>
    </row>
    <row r="5568" ht="15.75" customHeight="1">
      <c r="A5568" s="26" t="s">
        <v>9232</v>
      </c>
      <c r="B5568" s="27" t="s">
        <v>573</v>
      </c>
      <c r="C5568" s="27" t="s">
        <v>968</v>
      </c>
      <c r="D5568" s="26" t="s">
        <v>3663</v>
      </c>
      <c r="E5568" s="28">
        <v>46113.0</v>
      </c>
      <c r="F5568" s="28">
        <v>46171.0</v>
      </c>
      <c r="G5568" s="29"/>
    </row>
    <row r="5569" ht="15.75" customHeight="1">
      <c r="A5569" s="30" t="s">
        <v>9233</v>
      </c>
      <c r="B5569" s="31" t="s">
        <v>573</v>
      </c>
      <c r="C5569" s="31" t="s">
        <v>923</v>
      </c>
      <c r="D5569" s="30" t="s">
        <v>3663</v>
      </c>
      <c r="E5569" s="32">
        <v>46113.0</v>
      </c>
      <c r="F5569" s="32">
        <v>46171.0</v>
      </c>
      <c r="G5569" s="33"/>
    </row>
    <row r="5570" ht="15.75" customHeight="1">
      <c r="A5570" s="26" t="s">
        <v>9234</v>
      </c>
      <c r="B5570" s="27" t="s">
        <v>574</v>
      </c>
      <c r="C5570" s="27" t="s">
        <v>934</v>
      </c>
      <c r="D5570" s="26" t="s">
        <v>3663</v>
      </c>
      <c r="E5570" s="28">
        <v>46113.0</v>
      </c>
      <c r="F5570" s="28">
        <v>46171.0</v>
      </c>
      <c r="G5570" s="29"/>
    </row>
    <row r="5571" ht="15.75" customHeight="1">
      <c r="A5571" s="30" t="s">
        <v>9235</v>
      </c>
      <c r="B5571" s="31" t="s">
        <v>574</v>
      </c>
      <c r="C5571" s="31" t="s">
        <v>1354</v>
      </c>
      <c r="D5571" s="30" t="s">
        <v>3663</v>
      </c>
      <c r="E5571" s="32">
        <v>46113.0</v>
      </c>
      <c r="F5571" s="32">
        <v>46171.0</v>
      </c>
      <c r="G5571" s="33"/>
    </row>
    <row r="5572" ht="15.75" customHeight="1">
      <c r="A5572" s="26" t="s">
        <v>9236</v>
      </c>
      <c r="B5572" s="27" t="s">
        <v>574</v>
      </c>
      <c r="C5572" s="27" t="s">
        <v>3681</v>
      </c>
      <c r="D5572" s="26" t="s">
        <v>3663</v>
      </c>
      <c r="E5572" s="28">
        <v>46113.0</v>
      </c>
      <c r="F5572" s="28">
        <v>46171.0</v>
      </c>
      <c r="G5572" s="29"/>
    </row>
    <row r="5573" ht="15.75" customHeight="1">
      <c r="A5573" s="30" t="s">
        <v>9237</v>
      </c>
      <c r="B5573" s="31" t="s">
        <v>574</v>
      </c>
      <c r="C5573" s="31" t="s">
        <v>3683</v>
      </c>
      <c r="D5573" s="30" t="s">
        <v>3663</v>
      </c>
      <c r="E5573" s="32">
        <v>46113.0</v>
      </c>
      <c r="F5573" s="32">
        <v>46171.0</v>
      </c>
      <c r="G5573" s="33"/>
    </row>
    <row r="5574" ht="15.75" customHeight="1">
      <c r="A5574" s="26" t="s">
        <v>9238</v>
      </c>
      <c r="B5574" s="27" t="s">
        <v>574</v>
      </c>
      <c r="C5574" s="27" t="s">
        <v>1190</v>
      </c>
      <c r="D5574" s="26" t="s">
        <v>3663</v>
      </c>
      <c r="E5574" s="28">
        <v>46113.0</v>
      </c>
      <c r="F5574" s="28">
        <v>46171.0</v>
      </c>
      <c r="G5574" s="29"/>
    </row>
    <row r="5575" ht="15.75" customHeight="1">
      <c r="A5575" s="30" t="s">
        <v>9239</v>
      </c>
      <c r="B5575" s="31" t="s">
        <v>574</v>
      </c>
      <c r="C5575" s="31" t="s">
        <v>1216</v>
      </c>
      <c r="D5575" s="30" t="s">
        <v>3663</v>
      </c>
      <c r="E5575" s="32">
        <v>46113.0</v>
      </c>
      <c r="F5575" s="32">
        <v>46171.0</v>
      </c>
      <c r="G5575" s="33"/>
    </row>
    <row r="5576" ht="15.75" customHeight="1">
      <c r="A5576" s="26" t="s">
        <v>9240</v>
      </c>
      <c r="B5576" s="27" t="s">
        <v>574</v>
      </c>
      <c r="C5576" s="27" t="s">
        <v>1157</v>
      </c>
      <c r="D5576" s="26" t="s">
        <v>3663</v>
      </c>
      <c r="E5576" s="28">
        <v>46113.0</v>
      </c>
      <c r="F5576" s="28">
        <v>46171.0</v>
      </c>
      <c r="G5576" s="29"/>
    </row>
    <row r="5577" ht="15.75" customHeight="1">
      <c r="A5577" s="30" t="s">
        <v>9241</v>
      </c>
      <c r="B5577" s="31" t="s">
        <v>574</v>
      </c>
      <c r="C5577" s="31" t="s">
        <v>1155</v>
      </c>
      <c r="D5577" s="30" t="s">
        <v>3663</v>
      </c>
      <c r="E5577" s="32">
        <v>46113.0</v>
      </c>
      <c r="F5577" s="32">
        <v>46171.0</v>
      </c>
      <c r="G5577" s="33"/>
    </row>
    <row r="5578" ht="15.75" customHeight="1">
      <c r="A5578" s="26" t="s">
        <v>9242</v>
      </c>
      <c r="B5578" s="27" t="s">
        <v>574</v>
      </c>
      <c r="C5578" s="27" t="s">
        <v>1153</v>
      </c>
      <c r="D5578" s="26" t="s">
        <v>3663</v>
      </c>
      <c r="E5578" s="28">
        <v>46113.0</v>
      </c>
      <c r="F5578" s="28">
        <v>46171.0</v>
      </c>
      <c r="G5578" s="29"/>
    </row>
    <row r="5579" ht="15.75" customHeight="1">
      <c r="A5579" s="30" t="s">
        <v>9243</v>
      </c>
      <c r="B5579" s="31" t="s">
        <v>574</v>
      </c>
      <c r="C5579" s="31" t="s">
        <v>1149</v>
      </c>
      <c r="D5579" s="30" t="s">
        <v>3663</v>
      </c>
      <c r="E5579" s="32">
        <v>46113.0</v>
      </c>
      <c r="F5579" s="32">
        <v>46171.0</v>
      </c>
      <c r="G5579" s="33"/>
    </row>
    <row r="5580" ht="15.75" customHeight="1">
      <c r="A5580" s="26" t="s">
        <v>9244</v>
      </c>
      <c r="B5580" s="27" t="s">
        <v>574</v>
      </c>
      <c r="C5580" s="27" t="s">
        <v>1351</v>
      </c>
      <c r="D5580" s="26" t="s">
        <v>3663</v>
      </c>
      <c r="E5580" s="28">
        <v>46113.0</v>
      </c>
      <c r="F5580" s="28">
        <v>46171.0</v>
      </c>
      <c r="G5580" s="29"/>
    </row>
    <row r="5581" ht="15.75" customHeight="1">
      <c r="A5581" s="30" t="s">
        <v>9245</v>
      </c>
      <c r="B5581" s="31" t="s">
        <v>574</v>
      </c>
      <c r="C5581" s="31" t="s">
        <v>1349</v>
      </c>
      <c r="D5581" s="30" t="s">
        <v>3663</v>
      </c>
      <c r="E5581" s="32">
        <v>46113.0</v>
      </c>
      <c r="F5581" s="32">
        <v>46171.0</v>
      </c>
      <c r="G5581" s="33"/>
    </row>
    <row r="5582" ht="15.75" customHeight="1">
      <c r="A5582" s="26" t="s">
        <v>9246</v>
      </c>
      <c r="B5582" s="27" t="s">
        <v>574</v>
      </c>
      <c r="C5582" s="27" t="s">
        <v>968</v>
      </c>
      <c r="D5582" s="26" t="s">
        <v>3663</v>
      </c>
      <c r="E5582" s="28">
        <v>46113.0</v>
      </c>
      <c r="F5582" s="28">
        <v>46171.0</v>
      </c>
      <c r="G5582" s="29"/>
    </row>
    <row r="5583" ht="15.75" customHeight="1">
      <c r="A5583" s="30" t="s">
        <v>9247</v>
      </c>
      <c r="B5583" s="31" t="s">
        <v>574</v>
      </c>
      <c r="C5583" s="31" t="s">
        <v>923</v>
      </c>
      <c r="D5583" s="30" t="s">
        <v>3663</v>
      </c>
      <c r="E5583" s="32">
        <v>46113.0</v>
      </c>
      <c r="F5583" s="32">
        <v>46171.0</v>
      </c>
      <c r="G5583" s="33"/>
    </row>
    <row r="5584" ht="15.75" customHeight="1">
      <c r="A5584" s="26" t="s">
        <v>9248</v>
      </c>
      <c r="B5584" s="27" t="s">
        <v>575</v>
      </c>
      <c r="C5584" s="27" t="s">
        <v>934</v>
      </c>
      <c r="D5584" s="26" t="s">
        <v>3663</v>
      </c>
      <c r="E5584" s="28">
        <v>46113.0</v>
      </c>
      <c r="F5584" s="28">
        <v>46171.0</v>
      </c>
      <c r="G5584" s="29"/>
    </row>
    <row r="5585" ht="15.75" customHeight="1">
      <c r="A5585" s="30" t="s">
        <v>9249</v>
      </c>
      <c r="B5585" s="31" t="s">
        <v>575</v>
      </c>
      <c r="C5585" s="31" t="s">
        <v>1354</v>
      </c>
      <c r="D5585" s="30" t="s">
        <v>3663</v>
      </c>
      <c r="E5585" s="32">
        <v>46113.0</v>
      </c>
      <c r="F5585" s="32">
        <v>46171.0</v>
      </c>
      <c r="G5585" s="33"/>
    </row>
    <row r="5586" ht="15.75" customHeight="1">
      <c r="A5586" s="26" t="s">
        <v>9250</v>
      </c>
      <c r="B5586" s="27" t="s">
        <v>575</v>
      </c>
      <c r="C5586" s="27" t="s">
        <v>3681</v>
      </c>
      <c r="D5586" s="26" t="s">
        <v>3663</v>
      </c>
      <c r="E5586" s="28">
        <v>46113.0</v>
      </c>
      <c r="F5586" s="28">
        <v>46171.0</v>
      </c>
      <c r="G5586" s="29"/>
    </row>
    <row r="5587" ht="15.75" customHeight="1">
      <c r="A5587" s="30" t="s">
        <v>9251</v>
      </c>
      <c r="B5587" s="31" t="s">
        <v>575</v>
      </c>
      <c r="C5587" s="31" t="s">
        <v>3683</v>
      </c>
      <c r="D5587" s="30" t="s">
        <v>3663</v>
      </c>
      <c r="E5587" s="32">
        <v>46113.0</v>
      </c>
      <c r="F5587" s="32">
        <v>46171.0</v>
      </c>
      <c r="G5587" s="33"/>
    </row>
    <row r="5588" ht="15.75" customHeight="1">
      <c r="A5588" s="26" t="s">
        <v>9252</v>
      </c>
      <c r="B5588" s="27" t="s">
        <v>575</v>
      </c>
      <c r="C5588" s="27" t="s">
        <v>1216</v>
      </c>
      <c r="D5588" s="26" t="s">
        <v>3663</v>
      </c>
      <c r="E5588" s="28">
        <v>46113.0</v>
      </c>
      <c r="F5588" s="28">
        <v>46171.0</v>
      </c>
      <c r="G5588" s="29"/>
    </row>
    <row r="5589" ht="15.75" customHeight="1">
      <c r="A5589" s="30" t="s">
        <v>9253</v>
      </c>
      <c r="B5589" s="31" t="s">
        <v>575</v>
      </c>
      <c r="C5589" s="31" t="s">
        <v>1157</v>
      </c>
      <c r="D5589" s="30" t="s">
        <v>3663</v>
      </c>
      <c r="E5589" s="32">
        <v>46113.0</v>
      </c>
      <c r="F5589" s="32">
        <v>46171.0</v>
      </c>
      <c r="G5589" s="33"/>
    </row>
    <row r="5590" ht="15.75" customHeight="1">
      <c r="A5590" s="26" t="s">
        <v>9254</v>
      </c>
      <c r="B5590" s="27" t="s">
        <v>575</v>
      </c>
      <c r="C5590" s="27" t="s">
        <v>1155</v>
      </c>
      <c r="D5590" s="26" t="s">
        <v>3663</v>
      </c>
      <c r="E5590" s="28">
        <v>46113.0</v>
      </c>
      <c r="F5590" s="28">
        <v>46171.0</v>
      </c>
      <c r="G5590" s="29"/>
    </row>
    <row r="5591" ht="15.75" customHeight="1">
      <c r="A5591" s="30" t="s">
        <v>9255</v>
      </c>
      <c r="B5591" s="31" t="s">
        <v>575</v>
      </c>
      <c r="C5591" s="31" t="s">
        <v>1153</v>
      </c>
      <c r="D5591" s="30" t="s">
        <v>3663</v>
      </c>
      <c r="E5591" s="32">
        <v>46113.0</v>
      </c>
      <c r="F5591" s="32">
        <v>46171.0</v>
      </c>
      <c r="G5591" s="33"/>
    </row>
    <row r="5592" ht="15.75" customHeight="1">
      <c r="A5592" s="26" t="s">
        <v>9256</v>
      </c>
      <c r="B5592" s="27" t="s">
        <v>575</v>
      </c>
      <c r="C5592" s="27" t="s">
        <v>1149</v>
      </c>
      <c r="D5592" s="26" t="s">
        <v>3663</v>
      </c>
      <c r="E5592" s="28">
        <v>46113.0</v>
      </c>
      <c r="F5592" s="28">
        <v>46171.0</v>
      </c>
      <c r="G5592" s="29"/>
    </row>
    <row r="5593" ht="15.75" customHeight="1">
      <c r="A5593" s="30" t="s">
        <v>9257</v>
      </c>
      <c r="B5593" s="31" t="s">
        <v>575</v>
      </c>
      <c r="C5593" s="31" t="s">
        <v>1351</v>
      </c>
      <c r="D5593" s="30" t="s">
        <v>3663</v>
      </c>
      <c r="E5593" s="32">
        <v>46113.0</v>
      </c>
      <c r="F5593" s="32">
        <v>46171.0</v>
      </c>
      <c r="G5593" s="33"/>
    </row>
    <row r="5594" ht="15.75" customHeight="1">
      <c r="A5594" s="26" t="s">
        <v>9258</v>
      </c>
      <c r="B5594" s="27" t="s">
        <v>575</v>
      </c>
      <c r="C5594" s="27" t="s">
        <v>1349</v>
      </c>
      <c r="D5594" s="26" t="s">
        <v>3663</v>
      </c>
      <c r="E5594" s="28">
        <v>46113.0</v>
      </c>
      <c r="F5594" s="28">
        <v>46171.0</v>
      </c>
      <c r="G5594" s="29"/>
    </row>
    <row r="5595" ht="15.75" customHeight="1">
      <c r="A5595" s="30" t="s">
        <v>9259</v>
      </c>
      <c r="B5595" s="31" t="s">
        <v>575</v>
      </c>
      <c r="C5595" s="31" t="s">
        <v>965</v>
      </c>
      <c r="D5595" s="30" t="s">
        <v>3663</v>
      </c>
      <c r="E5595" s="32">
        <v>46113.0</v>
      </c>
      <c r="F5595" s="32">
        <v>46171.0</v>
      </c>
      <c r="G5595" s="33"/>
    </row>
    <row r="5596" ht="15.75" customHeight="1">
      <c r="A5596" s="26" t="s">
        <v>9260</v>
      </c>
      <c r="B5596" s="27" t="s">
        <v>575</v>
      </c>
      <c r="C5596" s="27" t="s">
        <v>923</v>
      </c>
      <c r="D5596" s="26" t="s">
        <v>3663</v>
      </c>
      <c r="E5596" s="28">
        <v>46113.0</v>
      </c>
      <c r="F5596" s="28">
        <v>46171.0</v>
      </c>
      <c r="G5596" s="29"/>
    </row>
    <row r="5597" ht="15.75" customHeight="1">
      <c r="A5597" s="30" t="s">
        <v>9261</v>
      </c>
      <c r="B5597" s="31" t="s">
        <v>575</v>
      </c>
      <c r="C5597" s="31" t="s">
        <v>961</v>
      </c>
      <c r="D5597" s="30" t="s">
        <v>3663</v>
      </c>
      <c r="E5597" s="32">
        <v>46113.0</v>
      </c>
      <c r="F5597" s="32">
        <v>46171.0</v>
      </c>
      <c r="G5597" s="33"/>
    </row>
    <row r="5598" ht="15.75" customHeight="1">
      <c r="A5598" s="26" t="s">
        <v>9262</v>
      </c>
      <c r="B5598" s="27" t="s">
        <v>576</v>
      </c>
      <c r="C5598" s="27" t="s">
        <v>3654</v>
      </c>
      <c r="D5598" s="26" t="s">
        <v>3663</v>
      </c>
      <c r="E5598" s="28">
        <v>46113.0</v>
      </c>
      <c r="F5598" s="28">
        <v>46171.0</v>
      </c>
      <c r="G5598" s="29"/>
    </row>
    <row r="5599" ht="15.75" customHeight="1">
      <c r="A5599" s="30" t="s">
        <v>9263</v>
      </c>
      <c r="B5599" s="31" t="s">
        <v>576</v>
      </c>
      <c r="C5599" s="31" t="s">
        <v>3655</v>
      </c>
      <c r="D5599" s="30" t="s">
        <v>3663</v>
      </c>
      <c r="E5599" s="32">
        <v>46113.0</v>
      </c>
      <c r="F5599" s="32">
        <v>46171.0</v>
      </c>
      <c r="G5599" s="33"/>
    </row>
    <row r="5600" ht="15.75" customHeight="1">
      <c r="A5600" s="26" t="s">
        <v>9264</v>
      </c>
      <c r="B5600" s="27" t="s">
        <v>576</v>
      </c>
      <c r="C5600" s="27" t="s">
        <v>932</v>
      </c>
      <c r="D5600" s="26" t="s">
        <v>3663</v>
      </c>
      <c r="E5600" s="28">
        <v>46113.0</v>
      </c>
      <c r="F5600" s="28">
        <v>46171.0</v>
      </c>
      <c r="G5600" s="29"/>
    </row>
    <row r="5601" ht="15.75" customHeight="1">
      <c r="A5601" s="30" t="s">
        <v>9265</v>
      </c>
      <c r="B5601" s="31" t="s">
        <v>576</v>
      </c>
      <c r="C5601" s="31" t="s">
        <v>1168</v>
      </c>
      <c r="D5601" s="30" t="s">
        <v>3663</v>
      </c>
      <c r="E5601" s="32">
        <v>46113.0</v>
      </c>
      <c r="F5601" s="32">
        <v>46171.0</v>
      </c>
      <c r="G5601" s="33"/>
    </row>
    <row r="5602" ht="15.75" customHeight="1">
      <c r="A5602" s="26" t="s">
        <v>9266</v>
      </c>
      <c r="B5602" s="27" t="s">
        <v>576</v>
      </c>
      <c r="C5602" s="27" t="s">
        <v>1170</v>
      </c>
      <c r="D5602" s="26" t="s">
        <v>3663</v>
      </c>
      <c r="E5602" s="28">
        <v>46113.0</v>
      </c>
      <c r="F5602" s="28">
        <v>46171.0</v>
      </c>
      <c r="G5602" s="29"/>
    </row>
    <row r="5603" ht="15.75" customHeight="1">
      <c r="A5603" s="30" t="s">
        <v>9267</v>
      </c>
      <c r="B5603" s="31" t="s">
        <v>576</v>
      </c>
      <c r="C5603" s="31" t="s">
        <v>1288</v>
      </c>
      <c r="D5603" s="30" t="s">
        <v>3663</v>
      </c>
      <c r="E5603" s="32">
        <v>46113.0</v>
      </c>
      <c r="F5603" s="32">
        <v>46171.0</v>
      </c>
      <c r="G5603" s="33"/>
    </row>
    <row r="5604" ht="15.75" customHeight="1">
      <c r="A5604" s="26" t="s">
        <v>9268</v>
      </c>
      <c r="B5604" s="27" t="s">
        <v>576</v>
      </c>
      <c r="C5604" s="27" t="s">
        <v>1291</v>
      </c>
      <c r="D5604" s="26" t="s">
        <v>3663</v>
      </c>
      <c r="E5604" s="28">
        <v>46113.0</v>
      </c>
      <c r="F5604" s="28">
        <v>46171.0</v>
      </c>
      <c r="G5604" s="29"/>
    </row>
    <row r="5605" ht="15.75" customHeight="1">
      <c r="A5605" s="30" t="s">
        <v>9269</v>
      </c>
      <c r="B5605" s="31" t="s">
        <v>576</v>
      </c>
      <c r="C5605" s="31" t="s">
        <v>1354</v>
      </c>
      <c r="D5605" s="30" t="s">
        <v>3663</v>
      </c>
      <c r="E5605" s="32">
        <v>46113.0</v>
      </c>
      <c r="F5605" s="32">
        <v>46171.0</v>
      </c>
      <c r="G5605" s="33"/>
    </row>
    <row r="5606" ht="15.75" customHeight="1">
      <c r="A5606" s="26" t="s">
        <v>9270</v>
      </c>
      <c r="B5606" s="27" t="s">
        <v>576</v>
      </c>
      <c r="C5606" s="27" t="s">
        <v>1216</v>
      </c>
      <c r="D5606" s="26" t="s">
        <v>3663</v>
      </c>
      <c r="E5606" s="28">
        <v>46113.0</v>
      </c>
      <c r="F5606" s="28">
        <v>46171.0</v>
      </c>
      <c r="G5606" s="29"/>
    </row>
    <row r="5607" ht="15.75" customHeight="1">
      <c r="A5607" s="30" t="s">
        <v>9271</v>
      </c>
      <c r="B5607" s="31" t="s">
        <v>576</v>
      </c>
      <c r="C5607" s="31" t="s">
        <v>1351</v>
      </c>
      <c r="D5607" s="30" t="s">
        <v>3663</v>
      </c>
      <c r="E5607" s="32">
        <v>46113.0</v>
      </c>
      <c r="F5607" s="32">
        <v>46171.0</v>
      </c>
      <c r="G5607" s="33"/>
    </row>
    <row r="5608" ht="15.75" customHeight="1">
      <c r="A5608" s="26" t="s">
        <v>9272</v>
      </c>
      <c r="B5608" s="27" t="s">
        <v>576</v>
      </c>
      <c r="C5608" s="27" t="s">
        <v>1349</v>
      </c>
      <c r="D5608" s="26" t="s">
        <v>3663</v>
      </c>
      <c r="E5608" s="28">
        <v>46113.0</v>
      </c>
      <c r="F5608" s="28">
        <v>46171.0</v>
      </c>
      <c r="G5608" s="29"/>
    </row>
    <row r="5609" ht="15.75" customHeight="1">
      <c r="A5609" s="30" t="s">
        <v>9273</v>
      </c>
      <c r="B5609" s="31" t="s">
        <v>576</v>
      </c>
      <c r="C5609" s="31" t="s">
        <v>968</v>
      </c>
      <c r="D5609" s="30" t="s">
        <v>3663</v>
      </c>
      <c r="E5609" s="32">
        <v>46113.0</v>
      </c>
      <c r="F5609" s="32">
        <v>46171.0</v>
      </c>
      <c r="G5609" s="33"/>
    </row>
    <row r="5610" ht="15.75" customHeight="1">
      <c r="A5610" s="26" t="s">
        <v>9274</v>
      </c>
      <c r="B5610" s="27" t="s">
        <v>576</v>
      </c>
      <c r="C5610" s="27" t="s">
        <v>923</v>
      </c>
      <c r="D5610" s="26" t="s">
        <v>3663</v>
      </c>
      <c r="E5610" s="28">
        <v>46113.0</v>
      </c>
      <c r="F5610" s="28">
        <v>46171.0</v>
      </c>
      <c r="G5610" s="29"/>
    </row>
    <row r="5611" ht="15.75" customHeight="1">
      <c r="A5611" s="30" t="s">
        <v>9275</v>
      </c>
      <c r="B5611" s="31" t="s">
        <v>576</v>
      </c>
      <c r="C5611" s="31" t="s">
        <v>961</v>
      </c>
      <c r="D5611" s="30" t="s">
        <v>3663</v>
      </c>
      <c r="E5611" s="32">
        <v>46113.0</v>
      </c>
      <c r="F5611" s="32">
        <v>46171.0</v>
      </c>
      <c r="G5611" s="33"/>
    </row>
    <row r="5612" ht="15.75" customHeight="1">
      <c r="A5612" s="26" t="s">
        <v>9276</v>
      </c>
      <c r="B5612" s="27" t="s">
        <v>577</v>
      </c>
      <c r="C5612" s="27" t="s">
        <v>3654</v>
      </c>
      <c r="D5612" s="26" t="s">
        <v>3663</v>
      </c>
      <c r="E5612" s="28">
        <v>46113.0</v>
      </c>
      <c r="F5612" s="28">
        <v>46171.0</v>
      </c>
      <c r="G5612" s="29"/>
    </row>
    <row r="5613" ht="15.75" customHeight="1">
      <c r="A5613" s="30" t="s">
        <v>9277</v>
      </c>
      <c r="B5613" s="31" t="s">
        <v>577</v>
      </c>
      <c r="C5613" s="31" t="s">
        <v>3655</v>
      </c>
      <c r="D5613" s="30" t="s">
        <v>3663</v>
      </c>
      <c r="E5613" s="32">
        <v>46113.0</v>
      </c>
      <c r="F5613" s="32">
        <v>46171.0</v>
      </c>
      <c r="G5613" s="33"/>
    </row>
    <row r="5614" ht="15.75" customHeight="1">
      <c r="A5614" s="26" t="s">
        <v>9278</v>
      </c>
      <c r="B5614" s="27" t="s">
        <v>577</v>
      </c>
      <c r="C5614" s="27" t="s">
        <v>932</v>
      </c>
      <c r="D5614" s="26" t="s">
        <v>3663</v>
      </c>
      <c r="E5614" s="28">
        <v>46113.0</v>
      </c>
      <c r="F5614" s="28">
        <v>46171.0</v>
      </c>
      <c r="G5614" s="29"/>
    </row>
    <row r="5615" ht="15.75" customHeight="1">
      <c r="A5615" s="30" t="s">
        <v>9279</v>
      </c>
      <c r="B5615" s="31" t="s">
        <v>577</v>
      </c>
      <c r="C5615" s="31" t="s">
        <v>1168</v>
      </c>
      <c r="D5615" s="30" t="s">
        <v>3663</v>
      </c>
      <c r="E5615" s="32">
        <v>46113.0</v>
      </c>
      <c r="F5615" s="32">
        <v>46171.0</v>
      </c>
      <c r="G5615" s="33"/>
    </row>
    <row r="5616" ht="15.75" customHeight="1">
      <c r="A5616" s="26" t="s">
        <v>9280</v>
      </c>
      <c r="B5616" s="27" t="s">
        <v>577</v>
      </c>
      <c r="C5616" s="27" t="s">
        <v>1170</v>
      </c>
      <c r="D5616" s="26" t="s">
        <v>3663</v>
      </c>
      <c r="E5616" s="28">
        <v>46113.0</v>
      </c>
      <c r="F5616" s="28">
        <v>46171.0</v>
      </c>
      <c r="G5616" s="29"/>
    </row>
    <row r="5617" ht="15.75" customHeight="1">
      <c r="A5617" s="30" t="s">
        <v>9281</v>
      </c>
      <c r="B5617" s="31" t="s">
        <v>577</v>
      </c>
      <c r="C5617" s="31" t="s">
        <v>1288</v>
      </c>
      <c r="D5617" s="30" t="s">
        <v>3663</v>
      </c>
      <c r="E5617" s="32">
        <v>46113.0</v>
      </c>
      <c r="F5617" s="32">
        <v>46171.0</v>
      </c>
      <c r="G5617" s="33"/>
    </row>
    <row r="5618" ht="15.75" customHeight="1">
      <c r="A5618" s="26" t="s">
        <v>9282</v>
      </c>
      <c r="B5618" s="27" t="s">
        <v>577</v>
      </c>
      <c r="C5618" s="27" t="s">
        <v>1291</v>
      </c>
      <c r="D5618" s="26" t="s">
        <v>3663</v>
      </c>
      <c r="E5618" s="28">
        <v>46113.0</v>
      </c>
      <c r="F5618" s="28">
        <v>46171.0</v>
      </c>
      <c r="G5618" s="29"/>
    </row>
    <row r="5619" ht="15.75" customHeight="1">
      <c r="A5619" s="30" t="s">
        <v>9283</v>
      </c>
      <c r="B5619" s="31" t="s">
        <v>577</v>
      </c>
      <c r="C5619" s="31" t="s">
        <v>1354</v>
      </c>
      <c r="D5619" s="30" t="s">
        <v>3663</v>
      </c>
      <c r="E5619" s="32">
        <v>46113.0</v>
      </c>
      <c r="F5619" s="32">
        <v>46171.0</v>
      </c>
      <c r="G5619" s="33"/>
    </row>
    <row r="5620" ht="15.75" customHeight="1">
      <c r="A5620" s="26" t="s">
        <v>9284</v>
      </c>
      <c r="B5620" s="27" t="s">
        <v>577</v>
      </c>
      <c r="C5620" s="27" t="s">
        <v>1159</v>
      </c>
      <c r="D5620" s="26" t="s">
        <v>3663</v>
      </c>
      <c r="E5620" s="28">
        <v>46113.0</v>
      </c>
      <c r="F5620" s="28">
        <v>46171.0</v>
      </c>
      <c r="G5620" s="29"/>
    </row>
    <row r="5621" ht="15.75" customHeight="1">
      <c r="A5621" s="30" t="s">
        <v>9285</v>
      </c>
      <c r="B5621" s="31" t="s">
        <v>577</v>
      </c>
      <c r="C5621" s="31" t="s">
        <v>3647</v>
      </c>
      <c r="D5621" s="30" t="s">
        <v>3663</v>
      </c>
      <c r="E5621" s="32">
        <v>46113.0</v>
      </c>
      <c r="F5621" s="32">
        <v>46171.0</v>
      </c>
      <c r="G5621" s="33"/>
    </row>
    <row r="5622" ht="15.75" customHeight="1">
      <c r="A5622" s="26" t="s">
        <v>9286</v>
      </c>
      <c r="B5622" s="27" t="s">
        <v>577</v>
      </c>
      <c r="C5622" s="27" t="s">
        <v>952</v>
      </c>
      <c r="D5622" s="26" t="s">
        <v>3663</v>
      </c>
      <c r="E5622" s="28">
        <v>46113.0</v>
      </c>
      <c r="F5622" s="28">
        <v>46171.0</v>
      </c>
      <c r="G5622" s="29"/>
    </row>
    <row r="5623" ht="15.75" customHeight="1">
      <c r="A5623" s="30" t="s">
        <v>9287</v>
      </c>
      <c r="B5623" s="31" t="s">
        <v>577</v>
      </c>
      <c r="C5623" s="31" t="s">
        <v>1216</v>
      </c>
      <c r="D5623" s="30" t="s">
        <v>3663</v>
      </c>
      <c r="E5623" s="32">
        <v>46113.0</v>
      </c>
      <c r="F5623" s="32">
        <v>46171.0</v>
      </c>
      <c r="G5623" s="33"/>
    </row>
    <row r="5624" ht="15.75" customHeight="1">
      <c r="A5624" s="26" t="s">
        <v>9288</v>
      </c>
      <c r="B5624" s="27" t="s">
        <v>577</v>
      </c>
      <c r="C5624" s="27" t="s">
        <v>968</v>
      </c>
      <c r="D5624" s="26" t="s">
        <v>3663</v>
      </c>
      <c r="E5624" s="28">
        <v>46113.0</v>
      </c>
      <c r="F5624" s="28">
        <v>46171.0</v>
      </c>
      <c r="G5624" s="29"/>
    </row>
    <row r="5625" ht="15.75" customHeight="1">
      <c r="A5625" s="30" t="s">
        <v>9289</v>
      </c>
      <c r="B5625" s="31" t="s">
        <v>577</v>
      </c>
      <c r="C5625" s="31" t="s">
        <v>923</v>
      </c>
      <c r="D5625" s="30" t="s">
        <v>3663</v>
      </c>
      <c r="E5625" s="32">
        <v>46113.0</v>
      </c>
      <c r="F5625" s="32">
        <v>46171.0</v>
      </c>
      <c r="G5625" s="33"/>
    </row>
    <row r="5626" ht="15.75" customHeight="1">
      <c r="A5626" s="26" t="s">
        <v>9290</v>
      </c>
      <c r="B5626" s="27" t="s">
        <v>578</v>
      </c>
      <c r="C5626" s="27" t="s">
        <v>1240</v>
      </c>
      <c r="D5626" s="27" t="s">
        <v>3663</v>
      </c>
      <c r="E5626" s="28">
        <v>46113.0</v>
      </c>
      <c r="F5626" s="28">
        <v>46171.0</v>
      </c>
      <c r="G5626" s="29"/>
    </row>
    <row r="5627" ht="15.75" customHeight="1">
      <c r="A5627" s="30" t="s">
        <v>9291</v>
      </c>
      <c r="B5627" s="31" t="s">
        <v>578</v>
      </c>
      <c r="C5627" s="31" t="s">
        <v>1242</v>
      </c>
      <c r="D5627" s="31" t="s">
        <v>3663</v>
      </c>
      <c r="E5627" s="32">
        <v>46113.0</v>
      </c>
      <c r="F5627" s="32">
        <v>46171.0</v>
      </c>
      <c r="G5627" s="33"/>
    </row>
    <row r="5628" ht="15.75" customHeight="1">
      <c r="A5628" s="26" t="s">
        <v>9292</v>
      </c>
      <c r="B5628" s="27" t="s">
        <v>578</v>
      </c>
      <c r="C5628" s="27" t="s">
        <v>1244</v>
      </c>
      <c r="D5628" s="27" t="s">
        <v>3663</v>
      </c>
      <c r="E5628" s="28">
        <v>46113.0</v>
      </c>
      <c r="F5628" s="28">
        <v>46171.0</v>
      </c>
      <c r="G5628" s="29"/>
    </row>
    <row r="5629" ht="15.75" customHeight="1">
      <c r="A5629" s="30" t="s">
        <v>9293</v>
      </c>
      <c r="B5629" s="31" t="s">
        <v>578</v>
      </c>
      <c r="C5629" s="31" t="s">
        <v>1246</v>
      </c>
      <c r="D5629" s="31" t="s">
        <v>3663</v>
      </c>
      <c r="E5629" s="32">
        <v>46113.0</v>
      </c>
      <c r="F5629" s="32">
        <v>46171.0</v>
      </c>
      <c r="G5629" s="33"/>
    </row>
    <row r="5630" ht="15.75" customHeight="1">
      <c r="A5630" s="26" t="s">
        <v>9294</v>
      </c>
      <c r="B5630" s="27" t="s">
        <v>578</v>
      </c>
      <c r="C5630" s="27" t="s">
        <v>934</v>
      </c>
      <c r="D5630" s="27" t="s">
        <v>3663</v>
      </c>
      <c r="E5630" s="28">
        <v>46113.0</v>
      </c>
      <c r="F5630" s="28">
        <v>46171.0</v>
      </c>
      <c r="G5630" s="29"/>
    </row>
    <row r="5631" ht="15.75" customHeight="1">
      <c r="A5631" s="30" t="s">
        <v>9295</v>
      </c>
      <c r="B5631" s="31" t="s">
        <v>578</v>
      </c>
      <c r="C5631" s="31" t="s">
        <v>1354</v>
      </c>
      <c r="D5631" s="30" t="s">
        <v>3663</v>
      </c>
      <c r="E5631" s="32">
        <v>46113.0</v>
      </c>
      <c r="F5631" s="32">
        <v>46171.0</v>
      </c>
      <c r="G5631" s="33"/>
    </row>
    <row r="5632" ht="15.75" customHeight="1">
      <c r="A5632" s="26" t="s">
        <v>9296</v>
      </c>
      <c r="B5632" s="27" t="s">
        <v>578</v>
      </c>
      <c r="C5632" s="27" t="s">
        <v>3656</v>
      </c>
      <c r="D5632" s="26" t="s">
        <v>3663</v>
      </c>
      <c r="E5632" s="28">
        <v>46113.0</v>
      </c>
      <c r="F5632" s="28">
        <v>46171.0</v>
      </c>
      <c r="G5632" s="29"/>
    </row>
    <row r="5633" ht="15.75" customHeight="1">
      <c r="A5633" s="30" t="s">
        <v>9297</v>
      </c>
      <c r="B5633" s="31" t="s">
        <v>578</v>
      </c>
      <c r="C5633" s="31" t="s">
        <v>3657</v>
      </c>
      <c r="D5633" s="30" t="s">
        <v>3663</v>
      </c>
      <c r="E5633" s="32">
        <v>46113.0</v>
      </c>
      <c r="F5633" s="32">
        <v>46171.0</v>
      </c>
      <c r="G5633" s="33"/>
    </row>
    <row r="5634" ht="15.75" customHeight="1">
      <c r="A5634" s="26" t="s">
        <v>9298</v>
      </c>
      <c r="B5634" s="27" t="s">
        <v>578</v>
      </c>
      <c r="C5634" s="27" t="s">
        <v>1218</v>
      </c>
      <c r="D5634" s="26" t="s">
        <v>3663</v>
      </c>
      <c r="E5634" s="28">
        <v>46113.0</v>
      </c>
      <c r="F5634" s="28">
        <v>46171.0</v>
      </c>
      <c r="G5634" s="29"/>
    </row>
    <row r="5635" ht="15.75" customHeight="1">
      <c r="A5635" s="30" t="s">
        <v>9299</v>
      </c>
      <c r="B5635" s="31" t="s">
        <v>578</v>
      </c>
      <c r="C5635" s="31" t="s">
        <v>1351</v>
      </c>
      <c r="D5635" s="30" t="s">
        <v>3663</v>
      </c>
      <c r="E5635" s="32">
        <v>46113.0</v>
      </c>
      <c r="F5635" s="32">
        <v>46171.0</v>
      </c>
      <c r="G5635" s="33"/>
    </row>
    <row r="5636" ht="15.75" customHeight="1">
      <c r="A5636" s="26" t="s">
        <v>9300</v>
      </c>
      <c r="B5636" s="27" t="s">
        <v>578</v>
      </c>
      <c r="C5636" s="27" t="s">
        <v>1349</v>
      </c>
      <c r="D5636" s="26" t="s">
        <v>3663</v>
      </c>
      <c r="E5636" s="28">
        <v>46113.0</v>
      </c>
      <c r="F5636" s="28">
        <v>46171.0</v>
      </c>
      <c r="G5636" s="29"/>
    </row>
    <row r="5637" ht="15.75" customHeight="1">
      <c r="A5637" s="30" t="s">
        <v>9301</v>
      </c>
      <c r="B5637" s="31" t="s">
        <v>578</v>
      </c>
      <c r="C5637" s="31" t="s">
        <v>968</v>
      </c>
      <c r="D5637" s="30" t="s">
        <v>3663</v>
      </c>
      <c r="E5637" s="32">
        <v>46113.0</v>
      </c>
      <c r="F5637" s="32">
        <v>46171.0</v>
      </c>
      <c r="G5637" s="33"/>
    </row>
    <row r="5638" ht="15.75" customHeight="1">
      <c r="A5638" s="26" t="s">
        <v>9302</v>
      </c>
      <c r="B5638" s="27" t="s">
        <v>578</v>
      </c>
      <c r="C5638" s="27" t="s">
        <v>923</v>
      </c>
      <c r="D5638" s="27" t="s">
        <v>3663</v>
      </c>
      <c r="E5638" s="28">
        <v>46113.0</v>
      </c>
      <c r="F5638" s="28">
        <v>46171.0</v>
      </c>
      <c r="G5638" s="29"/>
    </row>
    <row r="5639" ht="15.75" customHeight="1">
      <c r="A5639" s="30" t="s">
        <v>9303</v>
      </c>
      <c r="B5639" s="31" t="s">
        <v>578</v>
      </c>
      <c r="C5639" s="31" t="s">
        <v>955</v>
      </c>
      <c r="D5639" s="30" t="s">
        <v>3663</v>
      </c>
      <c r="E5639" s="32">
        <v>46113.0</v>
      </c>
      <c r="F5639" s="32">
        <v>46171.0</v>
      </c>
      <c r="G5639" s="33"/>
    </row>
    <row r="5640" ht="15.75" customHeight="1">
      <c r="A5640" s="26" t="s">
        <v>9304</v>
      </c>
      <c r="B5640" s="27" t="s">
        <v>579</v>
      </c>
      <c r="C5640" s="27" t="s">
        <v>1240</v>
      </c>
      <c r="D5640" s="26" t="s">
        <v>3663</v>
      </c>
      <c r="E5640" s="28">
        <v>46113.0</v>
      </c>
      <c r="F5640" s="28">
        <v>46171.0</v>
      </c>
      <c r="G5640" s="29"/>
    </row>
    <row r="5641" ht="15.75" customHeight="1">
      <c r="A5641" s="30" t="s">
        <v>9305</v>
      </c>
      <c r="B5641" s="31" t="s">
        <v>579</v>
      </c>
      <c r="C5641" s="31" t="s">
        <v>1242</v>
      </c>
      <c r="D5641" s="30" t="s">
        <v>3663</v>
      </c>
      <c r="E5641" s="32">
        <v>46113.0</v>
      </c>
      <c r="F5641" s="32">
        <v>46171.0</v>
      </c>
      <c r="G5641" s="33"/>
    </row>
    <row r="5642" ht="15.75" customHeight="1">
      <c r="A5642" s="26" t="s">
        <v>9306</v>
      </c>
      <c r="B5642" s="27" t="s">
        <v>579</v>
      </c>
      <c r="C5642" s="27" t="s">
        <v>1244</v>
      </c>
      <c r="D5642" s="26" t="s">
        <v>3663</v>
      </c>
      <c r="E5642" s="28">
        <v>46113.0</v>
      </c>
      <c r="F5642" s="28">
        <v>46171.0</v>
      </c>
      <c r="G5642" s="29"/>
    </row>
    <row r="5643" ht="15.75" customHeight="1">
      <c r="A5643" s="30" t="s">
        <v>9307</v>
      </c>
      <c r="B5643" s="31" t="s">
        <v>579</v>
      </c>
      <c r="C5643" s="31" t="s">
        <v>1246</v>
      </c>
      <c r="D5643" s="30" t="s">
        <v>3663</v>
      </c>
      <c r="E5643" s="32">
        <v>46113.0</v>
      </c>
      <c r="F5643" s="32">
        <v>46171.0</v>
      </c>
      <c r="G5643" s="33"/>
    </row>
    <row r="5644" ht="15.75" customHeight="1">
      <c r="A5644" s="26" t="s">
        <v>9308</v>
      </c>
      <c r="B5644" s="27" t="s">
        <v>579</v>
      </c>
      <c r="C5644" s="27" t="s">
        <v>3654</v>
      </c>
      <c r="D5644" s="26" t="s">
        <v>3663</v>
      </c>
      <c r="E5644" s="28">
        <v>46113.0</v>
      </c>
      <c r="F5644" s="28">
        <v>46171.0</v>
      </c>
      <c r="G5644" s="29"/>
    </row>
    <row r="5645" ht="15.75" customHeight="1">
      <c r="A5645" s="30" t="s">
        <v>9309</v>
      </c>
      <c r="B5645" s="31" t="s">
        <v>579</v>
      </c>
      <c r="C5645" s="31" t="s">
        <v>3655</v>
      </c>
      <c r="D5645" s="30" t="s">
        <v>3663</v>
      </c>
      <c r="E5645" s="32">
        <v>46113.0</v>
      </c>
      <c r="F5645" s="32">
        <v>46171.0</v>
      </c>
      <c r="G5645" s="33"/>
    </row>
    <row r="5646" ht="15.75" customHeight="1">
      <c r="A5646" s="26" t="s">
        <v>9310</v>
      </c>
      <c r="B5646" s="27" t="s">
        <v>579</v>
      </c>
      <c r="C5646" s="27" t="s">
        <v>934</v>
      </c>
      <c r="D5646" s="26" t="s">
        <v>3663</v>
      </c>
      <c r="E5646" s="28">
        <v>46113.0</v>
      </c>
      <c r="F5646" s="28">
        <v>46171.0</v>
      </c>
      <c r="G5646" s="29"/>
    </row>
    <row r="5647" ht="15.75" customHeight="1">
      <c r="A5647" s="30" t="s">
        <v>9311</v>
      </c>
      <c r="B5647" s="31" t="s">
        <v>579</v>
      </c>
      <c r="C5647" s="31" t="s">
        <v>1354</v>
      </c>
      <c r="D5647" s="30" t="s">
        <v>3663</v>
      </c>
      <c r="E5647" s="32">
        <v>46113.0</v>
      </c>
      <c r="F5647" s="32">
        <v>46171.0</v>
      </c>
      <c r="G5647" s="33"/>
    </row>
    <row r="5648" ht="15.75" customHeight="1">
      <c r="A5648" s="26" t="s">
        <v>9312</v>
      </c>
      <c r="B5648" s="27" t="s">
        <v>579</v>
      </c>
      <c r="C5648" s="27" t="s">
        <v>1190</v>
      </c>
      <c r="D5648" s="26" t="s">
        <v>3663</v>
      </c>
      <c r="E5648" s="28">
        <v>46113.0</v>
      </c>
      <c r="F5648" s="28">
        <v>46171.0</v>
      </c>
      <c r="G5648" s="29"/>
    </row>
    <row r="5649" ht="15.75" customHeight="1">
      <c r="A5649" s="30" t="s">
        <v>9313</v>
      </c>
      <c r="B5649" s="31" t="s">
        <v>579</v>
      </c>
      <c r="C5649" s="31" t="s">
        <v>1208</v>
      </c>
      <c r="D5649" s="30" t="s">
        <v>3663</v>
      </c>
      <c r="E5649" s="32">
        <v>46113.0</v>
      </c>
      <c r="F5649" s="32">
        <v>46171.0</v>
      </c>
      <c r="G5649" s="33"/>
    </row>
    <row r="5650" ht="15.75" customHeight="1">
      <c r="A5650" s="26" t="s">
        <v>9314</v>
      </c>
      <c r="B5650" s="27" t="s">
        <v>579</v>
      </c>
      <c r="C5650" s="27" t="s">
        <v>3647</v>
      </c>
      <c r="D5650" s="26" t="s">
        <v>3663</v>
      </c>
      <c r="E5650" s="28">
        <v>46113.0</v>
      </c>
      <c r="F5650" s="28">
        <v>46171.0</v>
      </c>
      <c r="G5650" s="29"/>
    </row>
    <row r="5651" ht="15.75" customHeight="1">
      <c r="A5651" s="30" t="s">
        <v>9315</v>
      </c>
      <c r="B5651" s="31" t="s">
        <v>579</v>
      </c>
      <c r="C5651" s="31" t="s">
        <v>952</v>
      </c>
      <c r="D5651" s="30" t="s">
        <v>3663</v>
      </c>
      <c r="E5651" s="32">
        <v>46113.0</v>
      </c>
      <c r="F5651" s="32">
        <v>46171.0</v>
      </c>
      <c r="G5651" s="33"/>
    </row>
    <row r="5652" ht="15.75" customHeight="1">
      <c r="A5652" s="26" t="s">
        <v>9316</v>
      </c>
      <c r="B5652" s="27" t="s">
        <v>579</v>
      </c>
      <c r="C5652" s="27" t="s">
        <v>965</v>
      </c>
      <c r="D5652" s="26" t="s">
        <v>3663</v>
      </c>
      <c r="E5652" s="28">
        <v>46113.0</v>
      </c>
      <c r="F5652" s="28">
        <v>46171.0</v>
      </c>
      <c r="G5652" s="29"/>
    </row>
    <row r="5653" ht="15.75" customHeight="1">
      <c r="A5653" s="30" t="s">
        <v>9317</v>
      </c>
      <c r="B5653" s="31" t="s">
        <v>579</v>
      </c>
      <c r="C5653" s="31" t="s">
        <v>923</v>
      </c>
      <c r="D5653" s="30" t="s">
        <v>3663</v>
      </c>
      <c r="E5653" s="32">
        <v>46113.0</v>
      </c>
      <c r="F5653" s="32">
        <v>46171.0</v>
      </c>
      <c r="G5653" s="33"/>
    </row>
    <row r="5654" ht="15.75" customHeight="1">
      <c r="A5654" s="26" t="s">
        <v>9318</v>
      </c>
      <c r="B5654" s="27" t="s">
        <v>580</v>
      </c>
      <c r="C5654" s="27" t="s">
        <v>934</v>
      </c>
      <c r="D5654" s="26" t="s">
        <v>3663</v>
      </c>
      <c r="E5654" s="28">
        <v>46113.0</v>
      </c>
      <c r="F5654" s="28">
        <v>46171.0</v>
      </c>
      <c r="G5654" s="29"/>
    </row>
    <row r="5655" ht="15.75" customHeight="1">
      <c r="A5655" s="30" t="s">
        <v>9319</v>
      </c>
      <c r="B5655" s="31" t="s">
        <v>580</v>
      </c>
      <c r="C5655" s="31" t="s">
        <v>1354</v>
      </c>
      <c r="D5655" s="30" t="s">
        <v>3663</v>
      </c>
      <c r="E5655" s="32">
        <v>46113.0</v>
      </c>
      <c r="F5655" s="32">
        <v>46171.0</v>
      </c>
      <c r="G5655" s="33"/>
    </row>
    <row r="5656" ht="15.75" customHeight="1">
      <c r="A5656" s="26" t="s">
        <v>9320</v>
      </c>
      <c r="B5656" s="27" t="s">
        <v>580</v>
      </c>
      <c r="C5656" s="27" t="s">
        <v>1190</v>
      </c>
      <c r="D5656" s="26" t="s">
        <v>3663</v>
      </c>
      <c r="E5656" s="28">
        <v>46113.0</v>
      </c>
      <c r="F5656" s="28">
        <v>46171.0</v>
      </c>
      <c r="G5656" s="29"/>
    </row>
    <row r="5657" ht="15.75" customHeight="1">
      <c r="A5657" s="30" t="s">
        <v>9321</v>
      </c>
      <c r="B5657" s="31" t="s">
        <v>580</v>
      </c>
      <c r="C5657" s="31" t="s">
        <v>1159</v>
      </c>
      <c r="D5657" s="30" t="s">
        <v>3663</v>
      </c>
      <c r="E5657" s="32">
        <v>46113.0</v>
      </c>
      <c r="F5657" s="32">
        <v>46171.0</v>
      </c>
      <c r="G5657" s="33"/>
    </row>
    <row r="5658" ht="15.75" customHeight="1">
      <c r="A5658" s="26" t="s">
        <v>9322</v>
      </c>
      <c r="B5658" s="27" t="s">
        <v>580</v>
      </c>
      <c r="C5658" s="27" t="s">
        <v>3656</v>
      </c>
      <c r="D5658" s="26" t="s">
        <v>3663</v>
      </c>
      <c r="E5658" s="28">
        <v>46113.0</v>
      </c>
      <c r="F5658" s="28">
        <v>46171.0</v>
      </c>
      <c r="G5658" s="29"/>
    </row>
    <row r="5659" ht="15.75" customHeight="1">
      <c r="A5659" s="30" t="s">
        <v>9323</v>
      </c>
      <c r="B5659" s="31" t="s">
        <v>580</v>
      </c>
      <c r="C5659" s="31" t="s">
        <v>3657</v>
      </c>
      <c r="D5659" s="30" t="s">
        <v>3663</v>
      </c>
      <c r="E5659" s="32">
        <v>46113.0</v>
      </c>
      <c r="F5659" s="32">
        <v>46171.0</v>
      </c>
      <c r="G5659" s="33"/>
    </row>
    <row r="5660" ht="15.75" customHeight="1">
      <c r="A5660" s="26" t="s">
        <v>9324</v>
      </c>
      <c r="B5660" s="27" t="s">
        <v>580</v>
      </c>
      <c r="C5660" s="27" t="s">
        <v>1157</v>
      </c>
      <c r="D5660" s="26" t="s">
        <v>3663</v>
      </c>
      <c r="E5660" s="28">
        <v>46113.0</v>
      </c>
      <c r="F5660" s="28">
        <v>46171.0</v>
      </c>
      <c r="G5660" s="29"/>
    </row>
    <row r="5661" ht="15.75" customHeight="1">
      <c r="A5661" s="30" t="s">
        <v>9325</v>
      </c>
      <c r="B5661" s="31" t="s">
        <v>580</v>
      </c>
      <c r="C5661" s="31" t="s">
        <v>1155</v>
      </c>
      <c r="D5661" s="30" t="s">
        <v>3663</v>
      </c>
      <c r="E5661" s="32">
        <v>46113.0</v>
      </c>
      <c r="F5661" s="32">
        <v>46171.0</v>
      </c>
      <c r="G5661" s="33"/>
    </row>
    <row r="5662" ht="15.75" customHeight="1">
      <c r="A5662" s="26" t="s">
        <v>9326</v>
      </c>
      <c r="B5662" s="27" t="s">
        <v>580</v>
      </c>
      <c r="C5662" s="27" t="s">
        <v>1153</v>
      </c>
      <c r="D5662" s="26" t="s">
        <v>3663</v>
      </c>
      <c r="E5662" s="28">
        <v>46113.0</v>
      </c>
      <c r="F5662" s="28">
        <v>46171.0</v>
      </c>
      <c r="G5662" s="29"/>
    </row>
    <row r="5663" ht="15.75" customHeight="1">
      <c r="A5663" s="30" t="s">
        <v>9327</v>
      </c>
      <c r="B5663" s="31" t="s">
        <v>580</v>
      </c>
      <c r="C5663" s="31" t="s">
        <v>1149</v>
      </c>
      <c r="D5663" s="30" t="s">
        <v>3663</v>
      </c>
      <c r="E5663" s="32">
        <v>46113.0</v>
      </c>
      <c r="F5663" s="32">
        <v>46171.0</v>
      </c>
      <c r="G5663" s="33"/>
    </row>
    <row r="5664" ht="15.75" customHeight="1">
      <c r="A5664" s="26" t="s">
        <v>9328</v>
      </c>
      <c r="B5664" s="27" t="s">
        <v>580</v>
      </c>
      <c r="C5664" s="27" t="s">
        <v>1351</v>
      </c>
      <c r="D5664" s="26" t="s">
        <v>3663</v>
      </c>
      <c r="E5664" s="28">
        <v>46113.0</v>
      </c>
      <c r="F5664" s="28">
        <v>46171.0</v>
      </c>
      <c r="G5664" s="29"/>
    </row>
    <row r="5665" ht="15.75" customHeight="1">
      <c r="A5665" s="30" t="s">
        <v>9329</v>
      </c>
      <c r="B5665" s="31" t="s">
        <v>580</v>
      </c>
      <c r="C5665" s="31" t="s">
        <v>1349</v>
      </c>
      <c r="D5665" s="30" t="s">
        <v>3663</v>
      </c>
      <c r="E5665" s="32">
        <v>46113.0</v>
      </c>
      <c r="F5665" s="32">
        <v>46171.0</v>
      </c>
      <c r="G5665" s="33"/>
    </row>
    <row r="5666" ht="15.75" customHeight="1">
      <c r="A5666" s="26" t="s">
        <v>9330</v>
      </c>
      <c r="B5666" s="27" t="s">
        <v>580</v>
      </c>
      <c r="C5666" s="27" t="s">
        <v>968</v>
      </c>
      <c r="D5666" s="26" t="s">
        <v>3663</v>
      </c>
      <c r="E5666" s="28">
        <v>46113.0</v>
      </c>
      <c r="F5666" s="28">
        <v>46171.0</v>
      </c>
      <c r="G5666" s="29"/>
    </row>
    <row r="5667" ht="15.75" customHeight="1">
      <c r="A5667" s="30" t="s">
        <v>9331</v>
      </c>
      <c r="B5667" s="31" t="s">
        <v>580</v>
      </c>
      <c r="C5667" s="31" t="s">
        <v>923</v>
      </c>
      <c r="D5667" s="30" t="s">
        <v>3663</v>
      </c>
      <c r="E5667" s="32">
        <v>46113.0</v>
      </c>
      <c r="F5667" s="32">
        <v>46171.0</v>
      </c>
      <c r="G5667" s="33"/>
    </row>
    <row r="5668" ht="15.75" customHeight="1">
      <c r="A5668" s="26" t="s">
        <v>9332</v>
      </c>
      <c r="B5668" s="27" t="s">
        <v>581</v>
      </c>
      <c r="C5668" s="27" t="s">
        <v>930</v>
      </c>
      <c r="D5668" s="26" t="s">
        <v>3663</v>
      </c>
      <c r="E5668" s="28">
        <v>46113.0</v>
      </c>
      <c r="F5668" s="28">
        <v>46171.0</v>
      </c>
      <c r="G5668" s="29"/>
    </row>
    <row r="5669" ht="15.75" customHeight="1">
      <c r="A5669" s="30" t="s">
        <v>9333</v>
      </c>
      <c r="B5669" s="31" t="s">
        <v>581</v>
      </c>
      <c r="C5669" s="31" t="s">
        <v>3640</v>
      </c>
      <c r="D5669" s="30" t="s">
        <v>3663</v>
      </c>
      <c r="E5669" s="32">
        <v>46113.0</v>
      </c>
      <c r="F5669" s="32">
        <v>46171.0</v>
      </c>
      <c r="G5669" s="33"/>
    </row>
    <row r="5670" ht="15.75" customHeight="1">
      <c r="A5670" s="26" t="s">
        <v>9334</v>
      </c>
      <c r="B5670" s="27" t="s">
        <v>581</v>
      </c>
      <c r="C5670" s="27" t="s">
        <v>1354</v>
      </c>
      <c r="D5670" s="26" t="s">
        <v>3663</v>
      </c>
      <c r="E5670" s="28">
        <v>46113.0</v>
      </c>
      <c r="F5670" s="28">
        <v>46171.0</v>
      </c>
      <c r="G5670" s="29"/>
    </row>
    <row r="5671" ht="15.75" customHeight="1">
      <c r="A5671" s="30" t="s">
        <v>9335</v>
      </c>
      <c r="B5671" s="31" t="s">
        <v>581</v>
      </c>
      <c r="C5671" s="31" t="s">
        <v>3656</v>
      </c>
      <c r="D5671" s="30" t="s">
        <v>3663</v>
      </c>
      <c r="E5671" s="32">
        <v>46113.0</v>
      </c>
      <c r="F5671" s="32">
        <v>46171.0</v>
      </c>
      <c r="G5671" s="33"/>
    </row>
    <row r="5672" ht="15.75" customHeight="1">
      <c r="A5672" s="26" t="s">
        <v>9336</v>
      </c>
      <c r="B5672" s="27" t="s">
        <v>581</v>
      </c>
      <c r="C5672" s="27" t="s">
        <v>3657</v>
      </c>
      <c r="D5672" s="26" t="s">
        <v>3663</v>
      </c>
      <c r="E5672" s="28">
        <v>46113.0</v>
      </c>
      <c r="F5672" s="28">
        <v>46171.0</v>
      </c>
      <c r="G5672" s="29"/>
    </row>
    <row r="5673" ht="15.75" customHeight="1">
      <c r="A5673" s="30" t="s">
        <v>9337</v>
      </c>
      <c r="B5673" s="31" t="s">
        <v>581</v>
      </c>
      <c r="C5673" s="31" t="s">
        <v>1216</v>
      </c>
      <c r="D5673" s="30" t="s">
        <v>3663</v>
      </c>
      <c r="E5673" s="32">
        <v>46113.0</v>
      </c>
      <c r="F5673" s="32">
        <v>46171.0</v>
      </c>
      <c r="G5673" s="33"/>
    </row>
    <row r="5674" ht="15.75" customHeight="1">
      <c r="A5674" s="26" t="s">
        <v>9338</v>
      </c>
      <c r="B5674" s="27" t="s">
        <v>581</v>
      </c>
      <c r="C5674" s="27" t="s">
        <v>1157</v>
      </c>
      <c r="D5674" s="26" t="s">
        <v>3663</v>
      </c>
      <c r="E5674" s="28">
        <v>46113.0</v>
      </c>
      <c r="F5674" s="28">
        <v>46171.0</v>
      </c>
      <c r="G5674" s="29"/>
    </row>
    <row r="5675" ht="15.75" customHeight="1">
      <c r="A5675" s="30" t="s">
        <v>9339</v>
      </c>
      <c r="B5675" s="31" t="s">
        <v>581</v>
      </c>
      <c r="C5675" s="31" t="s">
        <v>1155</v>
      </c>
      <c r="D5675" s="30" t="s">
        <v>3663</v>
      </c>
      <c r="E5675" s="32">
        <v>46113.0</v>
      </c>
      <c r="F5675" s="32">
        <v>46171.0</v>
      </c>
      <c r="G5675" s="33"/>
    </row>
    <row r="5676" ht="15.75" customHeight="1">
      <c r="A5676" s="26" t="s">
        <v>9340</v>
      </c>
      <c r="B5676" s="27" t="s">
        <v>581</v>
      </c>
      <c r="C5676" s="27" t="s">
        <v>1153</v>
      </c>
      <c r="D5676" s="26" t="s">
        <v>3663</v>
      </c>
      <c r="E5676" s="28">
        <v>46113.0</v>
      </c>
      <c r="F5676" s="28">
        <v>46171.0</v>
      </c>
      <c r="G5676" s="29"/>
    </row>
    <row r="5677" ht="15.75" customHeight="1">
      <c r="A5677" s="30" t="s">
        <v>9341</v>
      </c>
      <c r="B5677" s="31" t="s">
        <v>581</v>
      </c>
      <c r="C5677" s="31" t="s">
        <v>1149</v>
      </c>
      <c r="D5677" s="30" t="s">
        <v>3663</v>
      </c>
      <c r="E5677" s="32">
        <v>46113.0</v>
      </c>
      <c r="F5677" s="32">
        <v>46171.0</v>
      </c>
      <c r="G5677" s="33"/>
    </row>
    <row r="5678" ht="15.75" customHeight="1">
      <c r="A5678" s="26" t="s">
        <v>9342</v>
      </c>
      <c r="B5678" s="27" t="s">
        <v>581</v>
      </c>
      <c r="C5678" s="27" t="s">
        <v>1351</v>
      </c>
      <c r="D5678" s="26" t="s">
        <v>3663</v>
      </c>
      <c r="E5678" s="28">
        <v>46113.0</v>
      </c>
      <c r="F5678" s="28">
        <v>46171.0</v>
      </c>
      <c r="G5678" s="29"/>
    </row>
    <row r="5679" ht="15.75" customHeight="1">
      <c r="A5679" s="30" t="s">
        <v>9343</v>
      </c>
      <c r="B5679" s="31" t="s">
        <v>581</v>
      </c>
      <c r="C5679" s="31" t="s">
        <v>1349</v>
      </c>
      <c r="D5679" s="30" t="s">
        <v>3663</v>
      </c>
      <c r="E5679" s="32">
        <v>46113.0</v>
      </c>
      <c r="F5679" s="32">
        <v>46171.0</v>
      </c>
      <c r="G5679" s="33"/>
    </row>
    <row r="5680" ht="15.75" customHeight="1">
      <c r="A5680" s="26" t="s">
        <v>9344</v>
      </c>
      <c r="B5680" s="27" t="s">
        <v>581</v>
      </c>
      <c r="C5680" s="27" t="s">
        <v>968</v>
      </c>
      <c r="D5680" s="26" t="s">
        <v>3663</v>
      </c>
      <c r="E5680" s="28">
        <v>46113.0</v>
      </c>
      <c r="F5680" s="28">
        <v>46171.0</v>
      </c>
      <c r="G5680" s="29"/>
    </row>
    <row r="5681" ht="15.75" customHeight="1">
      <c r="A5681" s="30" t="s">
        <v>9345</v>
      </c>
      <c r="B5681" s="31" t="s">
        <v>581</v>
      </c>
      <c r="C5681" s="31" t="s">
        <v>923</v>
      </c>
      <c r="D5681" s="30" t="s">
        <v>3663</v>
      </c>
      <c r="E5681" s="32">
        <v>46113.0</v>
      </c>
      <c r="F5681" s="32">
        <v>46171.0</v>
      </c>
      <c r="G5681" s="33"/>
    </row>
    <row r="5682" ht="15.75" customHeight="1">
      <c r="A5682" s="26" t="s">
        <v>9346</v>
      </c>
      <c r="B5682" s="27" t="s">
        <v>582</v>
      </c>
      <c r="C5682" s="27" t="s">
        <v>928</v>
      </c>
      <c r="D5682" s="26" t="s">
        <v>3663</v>
      </c>
      <c r="E5682" s="28">
        <v>46113.0</v>
      </c>
      <c r="F5682" s="28">
        <v>46171.0</v>
      </c>
      <c r="G5682" s="29"/>
    </row>
    <row r="5683" ht="15.75" customHeight="1">
      <c r="A5683" s="30" t="s">
        <v>9347</v>
      </c>
      <c r="B5683" s="31" t="s">
        <v>582</v>
      </c>
      <c r="C5683" s="31" t="s">
        <v>1354</v>
      </c>
      <c r="D5683" s="30" t="s">
        <v>3663</v>
      </c>
      <c r="E5683" s="32">
        <v>46113.0</v>
      </c>
      <c r="F5683" s="32">
        <v>46171.0</v>
      </c>
      <c r="G5683" s="33"/>
    </row>
    <row r="5684" ht="15.75" customHeight="1">
      <c r="A5684" s="26" t="s">
        <v>9348</v>
      </c>
      <c r="B5684" s="27" t="s">
        <v>582</v>
      </c>
      <c r="C5684" s="27" t="s">
        <v>1222</v>
      </c>
      <c r="D5684" s="26" t="s">
        <v>3663</v>
      </c>
      <c r="E5684" s="28">
        <v>46113.0</v>
      </c>
      <c r="F5684" s="28">
        <v>46171.0</v>
      </c>
      <c r="G5684" s="29"/>
    </row>
    <row r="5685" ht="15.75" customHeight="1">
      <c r="A5685" s="30" t="s">
        <v>9349</v>
      </c>
      <c r="B5685" s="31" t="s">
        <v>582</v>
      </c>
      <c r="C5685" s="31" t="s">
        <v>1224</v>
      </c>
      <c r="D5685" s="30" t="s">
        <v>3663</v>
      </c>
      <c r="E5685" s="32">
        <v>46113.0</v>
      </c>
      <c r="F5685" s="32">
        <v>46171.0</v>
      </c>
      <c r="G5685" s="33"/>
    </row>
    <row r="5686" ht="15.75" customHeight="1">
      <c r="A5686" s="26" t="s">
        <v>9350</v>
      </c>
      <c r="B5686" s="27" t="s">
        <v>582</v>
      </c>
      <c r="C5686" s="27" t="s">
        <v>1226</v>
      </c>
      <c r="D5686" s="26" t="s">
        <v>3663</v>
      </c>
      <c r="E5686" s="28">
        <v>46113.0</v>
      </c>
      <c r="F5686" s="28">
        <v>46171.0</v>
      </c>
      <c r="G5686" s="29"/>
    </row>
    <row r="5687" ht="15.75" customHeight="1">
      <c r="A5687" s="30" t="s">
        <v>9351</v>
      </c>
      <c r="B5687" s="31" t="s">
        <v>582</v>
      </c>
      <c r="C5687" s="31" t="s">
        <v>1228</v>
      </c>
      <c r="D5687" s="30" t="s">
        <v>3663</v>
      </c>
      <c r="E5687" s="32">
        <v>46113.0</v>
      </c>
      <c r="F5687" s="32">
        <v>46171.0</v>
      </c>
      <c r="G5687" s="33"/>
    </row>
    <row r="5688" ht="15.75" customHeight="1">
      <c r="A5688" s="26" t="s">
        <v>9352</v>
      </c>
      <c r="B5688" s="27" t="s">
        <v>582</v>
      </c>
      <c r="C5688" s="27" t="s">
        <v>1208</v>
      </c>
      <c r="D5688" s="26" t="s">
        <v>3663</v>
      </c>
      <c r="E5688" s="28">
        <v>46113.0</v>
      </c>
      <c r="F5688" s="28">
        <v>46171.0</v>
      </c>
      <c r="G5688" s="29"/>
    </row>
    <row r="5689" ht="15.75" customHeight="1">
      <c r="A5689" s="30" t="s">
        <v>9353</v>
      </c>
      <c r="B5689" s="31" t="s">
        <v>582</v>
      </c>
      <c r="C5689" s="31" t="s">
        <v>1218</v>
      </c>
      <c r="D5689" s="30" t="s">
        <v>3663</v>
      </c>
      <c r="E5689" s="32">
        <v>46113.0</v>
      </c>
      <c r="F5689" s="32">
        <v>46171.0</v>
      </c>
      <c r="G5689" s="33"/>
    </row>
    <row r="5690" ht="15.75" customHeight="1">
      <c r="A5690" s="26" t="s">
        <v>9354</v>
      </c>
      <c r="B5690" s="27" t="s">
        <v>582</v>
      </c>
      <c r="C5690" s="27" t="s">
        <v>1351</v>
      </c>
      <c r="D5690" s="26" t="s">
        <v>3663</v>
      </c>
      <c r="E5690" s="28">
        <v>46113.0</v>
      </c>
      <c r="F5690" s="28">
        <v>46171.0</v>
      </c>
      <c r="G5690" s="29"/>
    </row>
    <row r="5691" ht="15.75" customHeight="1">
      <c r="A5691" s="30" t="s">
        <v>9355</v>
      </c>
      <c r="B5691" s="31" t="s">
        <v>582</v>
      </c>
      <c r="C5691" s="31" t="s">
        <v>1349</v>
      </c>
      <c r="D5691" s="30" t="s">
        <v>3663</v>
      </c>
      <c r="E5691" s="32">
        <v>46113.0</v>
      </c>
      <c r="F5691" s="32">
        <v>46171.0</v>
      </c>
      <c r="G5691" s="33"/>
    </row>
    <row r="5692" ht="15.75" customHeight="1">
      <c r="A5692" s="26" t="s">
        <v>9356</v>
      </c>
      <c r="B5692" s="27" t="s">
        <v>582</v>
      </c>
      <c r="C5692" s="27" t="s">
        <v>3653</v>
      </c>
      <c r="D5692" s="27" t="s">
        <v>3663</v>
      </c>
      <c r="E5692" s="28">
        <v>46113.0</v>
      </c>
      <c r="F5692" s="28">
        <v>46171.0</v>
      </c>
      <c r="G5692" s="29"/>
    </row>
    <row r="5693" ht="15.75" customHeight="1">
      <c r="A5693" s="30" t="s">
        <v>9357</v>
      </c>
      <c r="B5693" s="31" t="s">
        <v>582</v>
      </c>
      <c r="C5693" s="31" t="s">
        <v>3652</v>
      </c>
      <c r="D5693" s="30" t="s">
        <v>3663</v>
      </c>
      <c r="E5693" s="32">
        <v>46113.0</v>
      </c>
      <c r="F5693" s="32">
        <v>46171.0</v>
      </c>
      <c r="G5693" s="33"/>
    </row>
    <row r="5694" ht="15.75" customHeight="1">
      <c r="A5694" s="26" t="s">
        <v>9358</v>
      </c>
      <c r="B5694" s="27" t="s">
        <v>582</v>
      </c>
      <c r="C5694" s="27" t="s">
        <v>968</v>
      </c>
      <c r="D5694" s="26" t="s">
        <v>3663</v>
      </c>
      <c r="E5694" s="28">
        <v>46113.0</v>
      </c>
      <c r="F5694" s="28">
        <v>46171.0</v>
      </c>
      <c r="G5694" s="29"/>
    </row>
    <row r="5695" ht="15.75" customHeight="1">
      <c r="A5695" s="30" t="s">
        <v>9359</v>
      </c>
      <c r="B5695" s="31" t="s">
        <v>582</v>
      </c>
      <c r="C5695" s="31" t="s">
        <v>923</v>
      </c>
      <c r="D5695" s="30" t="s">
        <v>3663</v>
      </c>
      <c r="E5695" s="32">
        <v>46113.0</v>
      </c>
      <c r="F5695" s="32">
        <v>46171.0</v>
      </c>
      <c r="G5695" s="33"/>
    </row>
    <row r="5696" ht="15.75" customHeight="1">
      <c r="A5696" s="26" t="s">
        <v>9360</v>
      </c>
      <c r="B5696" s="27" t="s">
        <v>583</v>
      </c>
      <c r="C5696" s="27" t="s">
        <v>1240</v>
      </c>
      <c r="D5696" s="26" t="s">
        <v>3663</v>
      </c>
      <c r="E5696" s="28">
        <v>46113.0</v>
      </c>
      <c r="F5696" s="28">
        <v>46171.0</v>
      </c>
      <c r="G5696" s="29"/>
    </row>
    <row r="5697" ht="15.75" customHeight="1">
      <c r="A5697" s="30" t="s">
        <v>9361</v>
      </c>
      <c r="B5697" s="31" t="s">
        <v>583</v>
      </c>
      <c r="C5697" s="31" t="s">
        <v>1242</v>
      </c>
      <c r="D5697" s="30" t="s">
        <v>3663</v>
      </c>
      <c r="E5697" s="32">
        <v>46113.0</v>
      </c>
      <c r="F5697" s="32">
        <v>46171.0</v>
      </c>
      <c r="G5697" s="33"/>
    </row>
    <row r="5698" ht="15.75" customHeight="1">
      <c r="A5698" s="26" t="s">
        <v>9362</v>
      </c>
      <c r="B5698" s="27" t="s">
        <v>583</v>
      </c>
      <c r="C5698" s="27" t="s">
        <v>1244</v>
      </c>
      <c r="D5698" s="26" t="s">
        <v>3663</v>
      </c>
      <c r="E5698" s="28">
        <v>46113.0</v>
      </c>
      <c r="F5698" s="28">
        <v>46171.0</v>
      </c>
      <c r="G5698" s="29"/>
    </row>
    <row r="5699" ht="15.75" customHeight="1">
      <c r="A5699" s="30" t="s">
        <v>9363</v>
      </c>
      <c r="B5699" s="31" t="s">
        <v>583</v>
      </c>
      <c r="C5699" s="31" t="s">
        <v>1246</v>
      </c>
      <c r="D5699" s="30" t="s">
        <v>3663</v>
      </c>
      <c r="E5699" s="32">
        <v>46113.0</v>
      </c>
      <c r="F5699" s="32">
        <v>46171.0</v>
      </c>
      <c r="G5699" s="33"/>
    </row>
    <row r="5700" ht="15.75" customHeight="1">
      <c r="A5700" s="26" t="s">
        <v>9364</v>
      </c>
      <c r="B5700" s="27" t="s">
        <v>583</v>
      </c>
      <c r="C5700" s="27" t="s">
        <v>3654</v>
      </c>
      <c r="D5700" s="26" t="s">
        <v>3663</v>
      </c>
      <c r="E5700" s="28">
        <v>46113.0</v>
      </c>
      <c r="F5700" s="28">
        <v>46171.0</v>
      </c>
      <c r="G5700" s="29"/>
    </row>
    <row r="5701" ht="15.75" customHeight="1">
      <c r="A5701" s="30" t="s">
        <v>9365</v>
      </c>
      <c r="B5701" s="31" t="s">
        <v>583</v>
      </c>
      <c r="C5701" s="31" t="s">
        <v>3655</v>
      </c>
      <c r="D5701" s="30" t="s">
        <v>3663</v>
      </c>
      <c r="E5701" s="32">
        <v>46113.0</v>
      </c>
      <c r="F5701" s="32">
        <v>46171.0</v>
      </c>
      <c r="G5701" s="33"/>
    </row>
    <row r="5702" ht="15.75" customHeight="1">
      <c r="A5702" s="26" t="s">
        <v>9366</v>
      </c>
      <c r="B5702" s="27" t="s">
        <v>583</v>
      </c>
      <c r="C5702" s="27" t="s">
        <v>934</v>
      </c>
      <c r="D5702" s="26" t="s">
        <v>3663</v>
      </c>
      <c r="E5702" s="28">
        <v>46113.0</v>
      </c>
      <c r="F5702" s="28">
        <v>46171.0</v>
      </c>
      <c r="G5702" s="29"/>
    </row>
    <row r="5703" ht="15.75" customHeight="1">
      <c r="A5703" s="30" t="s">
        <v>9367</v>
      </c>
      <c r="B5703" s="31" t="s">
        <v>583</v>
      </c>
      <c r="C5703" s="31" t="s">
        <v>1354</v>
      </c>
      <c r="D5703" s="30" t="s">
        <v>3663</v>
      </c>
      <c r="E5703" s="32">
        <v>46113.0</v>
      </c>
      <c r="F5703" s="32">
        <v>46171.0</v>
      </c>
      <c r="G5703" s="33"/>
    </row>
    <row r="5704" ht="15.75" customHeight="1">
      <c r="A5704" s="26" t="s">
        <v>9368</v>
      </c>
      <c r="B5704" s="27" t="s">
        <v>583</v>
      </c>
      <c r="C5704" s="27" t="s">
        <v>3647</v>
      </c>
      <c r="D5704" s="26" t="s">
        <v>3663</v>
      </c>
      <c r="E5704" s="28">
        <v>46113.0</v>
      </c>
      <c r="F5704" s="28">
        <v>46171.0</v>
      </c>
      <c r="G5704" s="29"/>
    </row>
    <row r="5705" ht="15.75" customHeight="1">
      <c r="A5705" s="30" t="s">
        <v>9369</v>
      </c>
      <c r="B5705" s="31" t="s">
        <v>583</v>
      </c>
      <c r="C5705" s="31" t="s">
        <v>952</v>
      </c>
      <c r="D5705" s="30" t="s">
        <v>3663</v>
      </c>
      <c r="E5705" s="32">
        <v>46113.0</v>
      </c>
      <c r="F5705" s="32">
        <v>46171.0</v>
      </c>
      <c r="G5705" s="33"/>
    </row>
    <row r="5706" ht="15.75" customHeight="1">
      <c r="A5706" s="26" t="s">
        <v>9370</v>
      </c>
      <c r="B5706" s="27" t="s">
        <v>583</v>
      </c>
      <c r="C5706" s="27" t="s">
        <v>1216</v>
      </c>
      <c r="D5706" s="26" t="s">
        <v>3663</v>
      </c>
      <c r="E5706" s="28">
        <v>46113.0</v>
      </c>
      <c r="F5706" s="28">
        <v>46171.0</v>
      </c>
      <c r="G5706" s="29"/>
    </row>
    <row r="5707" ht="15.75" customHeight="1">
      <c r="A5707" s="30" t="s">
        <v>9371</v>
      </c>
      <c r="B5707" s="31" t="s">
        <v>583</v>
      </c>
      <c r="C5707" s="31" t="s">
        <v>1218</v>
      </c>
      <c r="D5707" s="30" t="s">
        <v>3663</v>
      </c>
      <c r="E5707" s="32">
        <v>46113.0</v>
      </c>
      <c r="F5707" s="32">
        <v>46171.0</v>
      </c>
      <c r="G5707" s="33"/>
    </row>
    <row r="5708" ht="15.75" customHeight="1">
      <c r="A5708" s="26" t="s">
        <v>9372</v>
      </c>
      <c r="B5708" s="27" t="s">
        <v>583</v>
      </c>
      <c r="C5708" s="27" t="s">
        <v>968</v>
      </c>
      <c r="D5708" s="26" t="s">
        <v>3663</v>
      </c>
      <c r="E5708" s="28">
        <v>46113.0</v>
      </c>
      <c r="F5708" s="28">
        <v>46171.0</v>
      </c>
      <c r="G5708" s="29"/>
    </row>
    <row r="5709" ht="15.75" customHeight="1">
      <c r="A5709" s="30" t="s">
        <v>9373</v>
      </c>
      <c r="B5709" s="31" t="s">
        <v>583</v>
      </c>
      <c r="C5709" s="31" t="s">
        <v>923</v>
      </c>
      <c r="D5709" s="30" t="s">
        <v>3663</v>
      </c>
      <c r="E5709" s="32">
        <v>46113.0</v>
      </c>
      <c r="F5709" s="32">
        <v>46171.0</v>
      </c>
      <c r="G5709" s="33"/>
    </row>
    <row r="5710" ht="15.75" customHeight="1">
      <c r="A5710" s="26" t="s">
        <v>9374</v>
      </c>
      <c r="B5710" s="27" t="s">
        <v>584</v>
      </c>
      <c r="C5710" s="27" t="s">
        <v>934</v>
      </c>
      <c r="D5710" s="26" t="s">
        <v>3663</v>
      </c>
      <c r="E5710" s="28">
        <v>46113.0</v>
      </c>
      <c r="F5710" s="28">
        <v>46171.0</v>
      </c>
      <c r="G5710" s="29"/>
    </row>
    <row r="5711" ht="15.75" customHeight="1">
      <c r="A5711" s="30" t="s">
        <v>9375</v>
      </c>
      <c r="B5711" s="31" t="s">
        <v>584</v>
      </c>
      <c r="C5711" s="31" t="s">
        <v>1354</v>
      </c>
      <c r="D5711" s="30" t="s">
        <v>3663</v>
      </c>
      <c r="E5711" s="32">
        <v>46113.0</v>
      </c>
      <c r="F5711" s="32">
        <v>46171.0</v>
      </c>
      <c r="G5711" s="33"/>
    </row>
    <row r="5712" ht="15.75" customHeight="1">
      <c r="A5712" s="26" t="s">
        <v>9376</v>
      </c>
      <c r="B5712" s="27" t="s">
        <v>584</v>
      </c>
      <c r="C5712" s="27" t="s">
        <v>1218</v>
      </c>
      <c r="D5712" s="26" t="s">
        <v>3663</v>
      </c>
      <c r="E5712" s="28">
        <v>46113.0</v>
      </c>
      <c r="F5712" s="28">
        <v>46171.0</v>
      </c>
      <c r="G5712" s="29"/>
    </row>
    <row r="5713" ht="15.75" customHeight="1">
      <c r="A5713" s="30" t="s">
        <v>9377</v>
      </c>
      <c r="B5713" s="31" t="s">
        <v>584</v>
      </c>
      <c r="C5713" s="31" t="s">
        <v>1157</v>
      </c>
      <c r="D5713" s="30" t="s">
        <v>3663</v>
      </c>
      <c r="E5713" s="32">
        <v>46113.0</v>
      </c>
      <c r="F5713" s="32">
        <v>46171.0</v>
      </c>
      <c r="G5713" s="33"/>
    </row>
    <row r="5714" ht="15.75" customHeight="1">
      <c r="A5714" s="26" t="s">
        <v>9378</v>
      </c>
      <c r="B5714" s="27" t="s">
        <v>584</v>
      </c>
      <c r="C5714" s="27" t="s">
        <v>1155</v>
      </c>
      <c r="D5714" s="26" t="s">
        <v>3663</v>
      </c>
      <c r="E5714" s="28">
        <v>46113.0</v>
      </c>
      <c r="F5714" s="28">
        <v>46171.0</v>
      </c>
      <c r="G5714" s="29"/>
    </row>
    <row r="5715" ht="15.75" customHeight="1">
      <c r="A5715" s="30" t="s">
        <v>9379</v>
      </c>
      <c r="B5715" s="31" t="s">
        <v>584</v>
      </c>
      <c r="C5715" s="31" t="s">
        <v>1153</v>
      </c>
      <c r="D5715" s="30" t="s">
        <v>3663</v>
      </c>
      <c r="E5715" s="32">
        <v>46113.0</v>
      </c>
      <c r="F5715" s="32">
        <v>46171.0</v>
      </c>
      <c r="G5715" s="33"/>
    </row>
    <row r="5716" ht="15.75" customHeight="1">
      <c r="A5716" s="26" t="s">
        <v>9380</v>
      </c>
      <c r="B5716" s="27" t="s">
        <v>584</v>
      </c>
      <c r="C5716" s="27" t="s">
        <v>1149</v>
      </c>
      <c r="D5716" s="26" t="s">
        <v>3663</v>
      </c>
      <c r="E5716" s="28">
        <v>46113.0</v>
      </c>
      <c r="F5716" s="28">
        <v>46171.0</v>
      </c>
      <c r="G5716" s="29"/>
    </row>
    <row r="5717" ht="15.75" customHeight="1">
      <c r="A5717" s="30" t="s">
        <v>9381</v>
      </c>
      <c r="B5717" s="31" t="s">
        <v>584</v>
      </c>
      <c r="C5717" s="31" t="s">
        <v>1351</v>
      </c>
      <c r="D5717" s="30" t="s">
        <v>3663</v>
      </c>
      <c r="E5717" s="32">
        <v>46113.0</v>
      </c>
      <c r="F5717" s="32">
        <v>46171.0</v>
      </c>
      <c r="G5717" s="33"/>
    </row>
    <row r="5718" ht="15.75" customHeight="1">
      <c r="A5718" s="26" t="s">
        <v>9382</v>
      </c>
      <c r="B5718" s="27" t="s">
        <v>584</v>
      </c>
      <c r="C5718" s="27" t="s">
        <v>1349</v>
      </c>
      <c r="D5718" s="26" t="s">
        <v>3663</v>
      </c>
      <c r="E5718" s="28">
        <v>46113.0</v>
      </c>
      <c r="F5718" s="28">
        <v>46171.0</v>
      </c>
      <c r="G5718" s="29"/>
    </row>
    <row r="5719" ht="15.75" customHeight="1">
      <c r="A5719" s="30" t="s">
        <v>9383</v>
      </c>
      <c r="B5719" s="31" t="s">
        <v>584</v>
      </c>
      <c r="C5719" s="31" t="s">
        <v>3653</v>
      </c>
      <c r="D5719" s="31" t="s">
        <v>3663</v>
      </c>
      <c r="E5719" s="32">
        <v>46113.0</v>
      </c>
      <c r="F5719" s="32">
        <v>46171.0</v>
      </c>
      <c r="G5719" s="33"/>
    </row>
    <row r="5720" ht="15.75" customHeight="1">
      <c r="A5720" s="26" t="s">
        <v>9384</v>
      </c>
      <c r="B5720" s="27" t="s">
        <v>584</v>
      </c>
      <c r="C5720" s="27" t="s">
        <v>3652</v>
      </c>
      <c r="D5720" s="26" t="s">
        <v>3663</v>
      </c>
      <c r="E5720" s="28">
        <v>46113.0</v>
      </c>
      <c r="F5720" s="28">
        <v>46171.0</v>
      </c>
      <c r="G5720" s="29"/>
    </row>
    <row r="5721" ht="15.75" customHeight="1">
      <c r="A5721" s="30" t="s">
        <v>9385</v>
      </c>
      <c r="B5721" s="31" t="s">
        <v>584</v>
      </c>
      <c r="C5721" s="31" t="s">
        <v>968</v>
      </c>
      <c r="D5721" s="30" t="s">
        <v>3663</v>
      </c>
      <c r="E5721" s="32">
        <v>46113.0</v>
      </c>
      <c r="F5721" s="32">
        <v>46171.0</v>
      </c>
      <c r="G5721" s="33"/>
    </row>
    <row r="5722" ht="15.75" customHeight="1">
      <c r="A5722" s="26" t="s">
        <v>9386</v>
      </c>
      <c r="B5722" s="27" t="s">
        <v>584</v>
      </c>
      <c r="C5722" s="27" t="s">
        <v>923</v>
      </c>
      <c r="D5722" s="26" t="s">
        <v>3663</v>
      </c>
      <c r="E5722" s="28">
        <v>46113.0</v>
      </c>
      <c r="F5722" s="28">
        <v>46171.0</v>
      </c>
      <c r="G5722" s="29"/>
    </row>
    <row r="5723" ht="15.75" customHeight="1">
      <c r="A5723" s="30" t="s">
        <v>9387</v>
      </c>
      <c r="B5723" s="31" t="s">
        <v>584</v>
      </c>
      <c r="C5723" s="31" t="s">
        <v>955</v>
      </c>
      <c r="D5723" s="30" t="s">
        <v>3663</v>
      </c>
      <c r="E5723" s="32">
        <v>46113.0</v>
      </c>
      <c r="F5723" s="32">
        <v>46171.0</v>
      </c>
      <c r="G5723" s="33"/>
    </row>
    <row r="5724" ht="15.75" customHeight="1">
      <c r="A5724" s="26" t="s">
        <v>9388</v>
      </c>
      <c r="B5724" s="27" t="s">
        <v>585</v>
      </c>
      <c r="C5724" s="27" t="s">
        <v>1240</v>
      </c>
      <c r="D5724" s="26" t="s">
        <v>3663</v>
      </c>
      <c r="E5724" s="28">
        <v>46113.0</v>
      </c>
      <c r="F5724" s="28">
        <v>46171.0</v>
      </c>
      <c r="G5724" s="29"/>
    </row>
    <row r="5725" ht="15.75" customHeight="1">
      <c r="A5725" s="30" t="s">
        <v>9389</v>
      </c>
      <c r="B5725" s="31" t="s">
        <v>585</v>
      </c>
      <c r="C5725" s="31" t="s">
        <v>1242</v>
      </c>
      <c r="D5725" s="30" t="s">
        <v>3663</v>
      </c>
      <c r="E5725" s="32">
        <v>46113.0</v>
      </c>
      <c r="F5725" s="32">
        <v>46171.0</v>
      </c>
      <c r="G5725" s="33"/>
    </row>
    <row r="5726" ht="15.75" customHeight="1">
      <c r="A5726" s="26" t="s">
        <v>9390</v>
      </c>
      <c r="B5726" s="27" t="s">
        <v>585</v>
      </c>
      <c r="C5726" s="27" t="s">
        <v>1244</v>
      </c>
      <c r="D5726" s="26" t="s">
        <v>3663</v>
      </c>
      <c r="E5726" s="28">
        <v>46113.0</v>
      </c>
      <c r="F5726" s="28">
        <v>46171.0</v>
      </c>
      <c r="G5726" s="29"/>
    </row>
    <row r="5727" ht="15.75" customHeight="1">
      <c r="A5727" s="30" t="s">
        <v>9391</v>
      </c>
      <c r="B5727" s="31" t="s">
        <v>585</v>
      </c>
      <c r="C5727" s="31" t="s">
        <v>1246</v>
      </c>
      <c r="D5727" s="30" t="s">
        <v>3663</v>
      </c>
      <c r="E5727" s="32">
        <v>46113.0</v>
      </c>
      <c r="F5727" s="32">
        <v>46171.0</v>
      </c>
      <c r="G5727" s="33"/>
    </row>
    <row r="5728" ht="15.75" customHeight="1">
      <c r="A5728" s="26" t="s">
        <v>9392</v>
      </c>
      <c r="B5728" s="27" t="s">
        <v>585</v>
      </c>
      <c r="C5728" s="27" t="s">
        <v>934</v>
      </c>
      <c r="D5728" s="26" t="s">
        <v>3663</v>
      </c>
      <c r="E5728" s="28">
        <v>46113.0</v>
      </c>
      <c r="F5728" s="28">
        <v>46171.0</v>
      </c>
      <c r="G5728" s="29"/>
    </row>
    <row r="5729" ht="15.75" customHeight="1">
      <c r="A5729" s="30" t="s">
        <v>9393</v>
      </c>
      <c r="B5729" s="31" t="s">
        <v>585</v>
      </c>
      <c r="C5729" s="31" t="s">
        <v>1354</v>
      </c>
      <c r="D5729" s="30" t="s">
        <v>3663</v>
      </c>
      <c r="E5729" s="32">
        <v>46113.0</v>
      </c>
      <c r="F5729" s="32">
        <v>46171.0</v>
      </c>
      <c r="G5729" s="33"/>
    </row>
    <row r="5730" ht="15.75" customHeight="1">
      <c r="A5730" s="26" t="s">
        <v>9394</v>
      </c>
      <c r="B5730" s="27" t="s">
        <v>585</v>
      </c>
      <c r="C5730" s="27" t="s">
        <v>1172</v>
      </c>
      <c r="D5730" s="26" t="s">
        <v>3663</v>
      </c>
      <c r="E5730" s="28">
        <v>46113.0</v>
      </c>
      <c r="F5730" s="28">
        <v>46171.0</v>
      </c>
      <c r="G5730" s="29"/>
    </row>
    <row r="5731" ht="15.75" customHeight="1">
      <c r="A5731" s="30" t="s">
        <v>9395</v>
      </c>
      <c r="B5731" s="31" t="s">
        <v>585</v>
      </c>
      <c r="C5731" s="31" t="s">
        <v>1312</v>
      </c>
      <c r="D5731" s="30" t="s">
        <v>3663</v>
      </c>
      <c r="E5731" s="32">
        <v>46113.0</v>
      </c>
      <c r="F5731" s="32">
        <v>46171.0</v>
      </c>
      <c r="G5731" s="33"/>
    </row>
    <row r="5732" ht="15.75" customHeight="1">
      <c r="A5732" s="26" t="s">
        <v>9396</v>
      </c>
      <c r="B5732" s="27" t="s">
        <v>585</v>
      </c>
      <c r="C5732" s="27" t="s">
        <v>3656</v>
      </c>
      <c r="D5732" s="26" t="s">
        <v>3663</v>
      </c>
      <c r="E5732" s="28">
        <v>46113.0</v>
      </c>
      <c r="F5732" s="28">
        <v>46171.0</v>
      </c>
      <c r="G5732" s="29"/>
    </row>
    <row r="5733" ht="15.75" customHeight="1">
      <c r="A5733" s="30" t="s">
        <v>9397</v>
      </c>
      <c r="B5733" s="31" t="s">
        <v>585</v>
      </c>
      <c r="C5733" s="31" t="s">
        <v>3657</v>
      </c>
      <c r="D5733" s="30" t="s">
        <v>3663</v>
      </c>
      <c r="E5733" s="32">
        <v>46113.0</v>
      </c>
      <c r="F5733" s="32">
        <v>46171.0</v>
      </c>
      <c r="G5733" s="33"/>
    </row>
    <row r="5734" ht="15.75" customHeight="1">
      <c r="A5734" s="26" t="s">
        <v>9398</v>
      </c>
      <c r="B5734" s="27" t="s">
        <v>585</v>
      </c>
      <c r="C5734" s="27" t="s">
        <v>3647</v>
      </c>
      <c r="D5734" s="26" t="s">
        <v>3663</v>
      </c>
      <c r="E5734" s="28">
        <v>46113.0</v>
      </c>
      <c r="F5734" s="28">
        <v>46171.0</v>
      </c>
      <c r="G5734" s="29"/>
    </row>
    <row r="5735" ht="15.75" customHeight="1">
      <c r="A5735" s="30" t="s">
        <v>9399</v>
      </c>
      <c r="B5735" s="31" t="s">
        <v>585</v>
      </c>
      <c r="C5735" s="31" t="s">
        <v>952</v>
      </c>
      <c r="D5735" s="30" t="s">
        <v>3663</v>
      </c>
      <c r="E5735" s="32">
        <v>46113.0</v>
      </c>
      <c r="F5735" s="32">
        <v>46171.0</v>
      </c>
      <c r="G5735" s="33"/>
    </row>
    <row r="5736" ht="15.75" customHeight="1">
      <c r="A5736" s="26" t="s">
        <v>9400</v>
      </c>
      <c r="B5736" s="27" t="s">
        <v>585</v>
      </c>
      <c r="C5736" s="27" t="s">
        <v>968</v>
      </c>
      <c r="D5736" s="26" t="s">
        <v>3663</v>
      </c>
      <c r="E5736" s="28">
        <v>46113.0</v>
      </c>
      <c r="F5736" s="28">
        <v>46171.0</v>
      </c>
      <c r="G5736" s="29"/>
    </row>
    <row r="5737" ht="15.75" customHeight="1">
      <c r="A5737" s="30" t="s">
        <v>9401</v>
      </c>
      <c r="B5737" s="31" t="s">
        <v>585</v>
      </c>
      <c r="C5737" s="31" t="s">
        <v>923</v>
      </c>
      <c r="D5737" s="30" t="s">
        <v>3663</v>
      </c>
      <c r="E5737" s="32">
        <v>46113.0</v>
      </c>
      <c r="F5737" s="32">
        <v>46171.0</v>
      </c>
      <c r="G5737" s="33"/>
    </row>
    <row r="5738" ht="15.75" customHeight="1">
      <c r="A5738" s="26" t="s">
        <v>9402</v>
      </c>
      <c r="B5738" s="27" t="s">
        <v>586</v>
      </c>
      <c r="C5738" s="27" t="s">
        <v>3654</v>
      </c>
      <c r="D5738" s="26" t="s">
        <v>3663</v>
      </c>
      <c r="E5738" s="28">
        <v>46113.0</v>
      </c>
      <c r="F5738" s="28">
        <v>46171.0</v>
      </c>
      <c r="G5738" s="29"/>
    </row>
    <row r="5739" ht="15.75" customHeight="1">
      <c r="A5739" s="30" t="s">
        <v>9403</v>
      </c>
      <c r="B5739" s="31" t="s">
        <v>586</v>
      </c>
      <c r="C5739" s="31" t="s">
        <v>3655</v>
      </c>
      <c r="D5739" s="30" t="s">
        <v>3663</v>
      </c>
      <c r="E5739" s="32">
        <v>46113.0</v>
      </c>
      <c r="F5739" s="32">
        <v>46171.0</v>
      </c>
      <c r="G5739" s="33"/>
    </row>
    <row r="5740" ht="15.75" customHeight="1">
      <c r="A5740" s="26" t="s">
        <v>9404</v>
      </c>
      <c r="B5740" s="27" t="s">
        <v>586</v>
      </c>
      <c r="C5740" s="27" t="s">
        <v>934</v>
      </c>
      <c r="D5740" s="26" t="s">
        <v>3663</v>
      </c>
      <c r="E5740" s="28">
        <v>46113.0</v>
      </c>
      <c r="F5740" s="28">
        <v>46171.0</v>
      </c>
      <c r="G5740" s="29"/>
    </row>
    <row r="5741" ht="15.75" customHeight="1">
      <c r="A5741" s="30" t="s">
        <v>9405</v>
      </c>
      <c r="B5741" s="31" t="s">
        <v>586</v>
      </c>
      <c r="C5741" s="31" t="s">
        <v>1354</v>
      </c>
      <c r="D5741" s="30" t="s">
        <v>3663</v>
      </c>
      <c r="E5741" s="32">
        <v>46113.0</v>
      </c>
      <c r="F5741" s="32">
        <v>46171.0</v>
      </c>
      <c r="G5741" s="33"/>
    </row>
    <row r="5742" ht="15.75" customHeight="1">
      <c r="A5742" s="26" t="s">
        <v>9406</v>
      </c>
      <c r="B5742" s="27" t="s">
        <v>586</v>
      </c>
      <c r="C5742" s="27" t="s">
        <v>1312</v>
      </c>
      <c r="D5742" s="26" t="s">
        <v>3663</v>
      </c>
      <c r="E5742" s="28">
        <v>46113.0</v>
      </c>
      <c r="F5742" s="28">
        <v>46171.0</v>
      </c>
      <c r="G5742" s="29"/>
    </row>
    <row r="5743" ht="15.75" customHeight="1">
      <c r="A5743" s="30" t="s">
        <v>9407</v>
      </c>
      <c r="B5743" s="31" t="s">
        <v>586</v>
      </c>
      <c r="C5743" s="31" t="s">
        <v>1208</v>
      </c>
      <c r="D5743" s="30" t="s">
        <v>3663</v>
      </c>
      <c r="E5743" s="32">
        <v>46113.0</v>
      </c>
      <c r="F5743" s="32">
        <v>46171.0</v>
      </c>
      <c r="G5743" s="33"/>
    </row>
    <row r="5744" ht="15.75" customHeight="1">
      <c r="A5744" s="26" t="s">
        <v>9408</v>
      </c>
      <c r="B5744" s="27" t="s">
        <v>586</v>
      </c>
      <c r="C5744" s="27" t="s">
        <v>1157</v>
      </c>
      <c r="D5744" s="26" t="s">
        <v>3663</v>
      </c>
      <c r="E5744" s="28">
        <v>46113.0</v>
      </c>
      <c r="F5744" s="28">
        <v>46171.0</v>
      </c>
      <c r="G5744" s="29"/>
    </row>
    <row r="5745" ht="15.75" customHeight="1">
      <c r="A5745" s="30" t="s">
        <v>9409</v>
      </c>
      <c r="B5745" s="31" t="s">
        <v>586</v>
      </c>
      <c r="C5745" s="31" t="s">
        <v>1155</v>
      </c>
      <c r="D5745" s="30" t="s">
        <v>3663</v>
      </c>
      <c r="E5745" s="32">
        <v>46113.0</v>
      </c>
      <c r="F5745" s="32">
        <v>46171.0</v>
      </c>
      <c r="G5745" s="33"/>
    </row>
    <row r="5746" ht="15.75" customHeight="1">
      <c r="A5746" s="26" t="s">
        <v>9410</v>
      </c>
      <c r="B5746" s="27" t="s">
        <v>586</v>
      </c>
      <c r="C5746" s="27" t="s">
        <v>1153</v>
      </c>
      <c r="D5746" s="26" t="s">
        <v>3663</v>
      </c>
      <c r="E5746" s="28">
        <v>46113.0</v>
      </c>
      <c r="F5746" s="28">
        <v>46171.0</v>
      </c>
      <c r="G5746" s="29"/>
    </row>
    <row r="5747" ht="15.75" customHeight="1">
      <c r="A5747" s="30" t="s">
        <v>9411</v>
      </c>
      <c r="B5747" s="31" t="s">
        <v>586</v>
      </c>
      <c r="C5747" s="31" t="s">
        <v>1149</v>
      </c>
      <c r="D5747" s="30" t="s">
        <v>3663</v>
      </c>
      <c r="E5747" s="32">
        <v>46113.0</v>
      </c>
      <c r="F5747" s="32">
        <v>46171.0</v>
      </c>
      <c r="G5747" s="33"/>
    </row>
    <row r="5748" ht="15.75" customHeight="1">
      <c r="A5748" s="26" t="s">
        <v>9412</v>
      </c>
      <c r="B5748" s="27" t="s">
        <v>586</v>
      </c>
      <c r="C5748" s="27" t="s">
        <v>1351</v>
      </c>
      <c r="D5748" s="26" t="s">
        <v>3663</v>
      </c>
      <c r="E5748" s="28">
        <v>46113.0</v>
      </c>
      <c r="F5748" s="28">
        <v>46171.0</v>
      </c>
      <c r="G5748" s="29"/>
    </row>
    <row r="5749" ht="15.75" customHeight="1">
      <c r="A5749" s="30" t="s">
        <v>9413</v>
      </c>
      <c r="B5749" s="31" t="s">
        <v>586</v>
      </c>
      <c r="C5749" s="31" t="s">
        <v>1349</v>
      </c>
      <c r="D5749" s="30" t="s">
        <v>3663</v>
      </c>
      <c r="E5749" s="32">
        <v>46113.0</v>
      </c>
      <c r="F5749" s="32">
        <v>46171.0</v>
      </c>
      <c r="G5749" s="33"/>
    </row>
    <row r="5750" ht="15.75" customHeight="1">
      <c r="A5750" s="26" t="s">
        <v>9414</v>
      </c>
      <c r="B5750" s="27" t="s">
        <v>586</v>
      </c>
      <c r="C5750" s="27" t="s">
        <v>968</v>
      </c>
      <c r="D5750" s="26" t="s">
        <v>3663</v>
      </c>
      <c r="E5750" s="28">
        <v>46113.0</v>
      </c>
      <c r="F5750" s="28">
        <v>46171.0</v>
      </c>
      <c r="G5750" s="29"/>
    </row>
    <row r="5751" ht="15.75" customHeight="1">
      <c r="A5751" s="30" t="s">
        <v>9415</v>
      </c>
      <c r="B5751" s="31" t="s">
        <v>586</v>
      </c>
      <c r="C5751" s="31" t="s">
        <v>923</v>
      </c>
      <c r="D5751" s="30" t="s">
        <v>3663</v>
      </c>
      <c r="E5751" s="32">
        <v>46113.0</v>
      </c>
      <c r="F5751" s="32">
        <v>46171.0</v>
      </c>
      <c r="G5751" s="33"/>
    </row>
    <row r="5752" ht="15.75" customHeight="1">
      <c r="A5752" s="26" t="s">
        <v>9416</v>
      </c>
      <c r="B5752" s="27" t="s">
        <v>587</v>
      </c>
      <c r="C5752" s="27" t="s">
        <v>930</v>
      </c>
      <c r="D5752" s="27" t="s">
        <v>3663</v>
      </c>
      <c r="E5752" s="28">
        <v>46113.0</v>
      </c>
      <c r="F5752" s="28">
        <v>46171.0</v>
      </c>
      <c r="G5752" s="29"/>
    </row>
    <row r="5753" ht="15.75" customHeight="1">
      <c r="A5753" s="30" t="s">
        <v>9417</v>
      </c>
      <c r="B5753" s="31" t="s">
        <v>587</v>
      </c>
      <c r="C5753" s="31" t="s">
        <v>1354</v>
      </c>
      <c r="D5753" s="30" t="s">
        <v>3663</v>
      </c>
      <c r="E5753" s="32">
        <v>46113.0</v>
      </c>
      <c r="F5753" s="32">
        <v>46171.0</v>
      </c>
      <c r="G5753" s="33"/>
    </row>
    <row r="5754" ht="15.75" customHeight="1">
      <c r="A5754" s="26" t="s">
        <v>9418</v>
      </c>
      <c r="B5754" s="27" t="s">
        <v>587</v>
      </c>
      <c r="C5754" s="27" t="s">
        <v>1304</v>
      </c>
      <c r="D5754" s="27" t="s">
        <v>3663</v>
      </c>
      <c r="E5754" s="28">
        <v>46113.0</v>
      </c>
      <c r="F5754" s="28">
        <v>46171.0</v>
      </c>
      <c r="G5754" s="29"/>
    </row>
    <row r="5755" ht="15.75" customHeight="1">
      <c r="A5755" s="30" t="s">
        <v>9419</v>
      </c>
      <c r="B5755" s="31" t="s">
        <v>587</v>
      </c>
      <c r="C5755" s="31" t="s">
        <v>1306</v>
      </c>
      <c r="D5755" s="31" t="s">
        <v>3663</v>
      </c>
      <c r="E5755" s="32">
        <v>46113.0</v>
      </c>
      <c r="F5755" s="32">
        <v>46171.0</v>
      </c>
      <c r="G5755" s="33"/>
    </row>
    <row r="5756" ht="15.75" customHeight="1">
      <c r="A5756" s="26" t="s">
        <v>9420</v>
      </c>
      <c r="B5756" s="27" t="s">
        <v>587</v>
      </c>
      <c r="C5756" s="27" t="s">
        <v>1308</v>
      </c>
      <c r="D5756" s="27" t="s">
        <v>3663</v>
      </c>
      <c r="E5756" s="28">
        <v>46113.0</v>
      </c>
      <c r="F5756" s="28">
        <v>46171.0</v>
      </c>
      <c r="G5756" s="29"/>
    </row>
    <row r="5757" ht="15.75" customHeight="1">
      <c r="A5757" s="30" t="s">
        <v>9421</v>
      </c>
      <c r="B5757" s="31" t="s">
        <v>587</v>
      </c>
      <c r="C5757" s="31" t="s">
        <v>1310</v>
      </c>
      <c r="D5757" s="31" t="s">
        <v>3663</v>
      </c>
      <c r="E5757" s="32">
        <v>46113.0</v>
      </c>
      <c r="F5757" s="32">
        <v>46171.0</v>
      </c>
      <c r="G5757" s="33"/>
    </row>
    <row r="5758" ht="15.75" customHeight="1">
      <c r="A5758" s="26" t="s">
        <v>9422</v>
      </c>
      <c r="B5758" s="27" t="s">
        <v>587</v>
      </c>
      <c r="C5758" s="27" t="s">
        <v>1159</v>
      </c>
      <c r="D5758" s="26" t="s">
        <v>3663</v>
      </c>
      <c r="E5758" s="28">
        <v>46113.0</v>
      </c>
      <c r="F5758" s="28">
        <v>46171.0</v>
      </c>
      <c r="G5758" s="29"/>
    </row>
    <row r="5759" ht="15.75" customHeight="1">
      <c r="A5759" s="30" t="s">
        <v>9423</v>
      </c>
      <c r="B5759" s="31" t="s">
        <v>587</v>
      </c>
      <c r="C5759" s="31" t="s">
        <v>3656</v>
      </c>
      <c r="D5759" s="30" t="s">
        <v>3663</v>
      </c>
      <c r="E5759" s="32">
        <v>46113.0</v>
      </c>
      <c r="F5759" s="32">
        <v>46171.0</v>
      </c>
      <c r="G5759" s="33"/>
    </row>
    <row r="5760" ht="15.75" customHeight="1">
      <c r="A5760" s="26" t="s">
        <v>9424</v>
      </c>
      <c r="B5760" s="27" t="s">
        <v>587</v>
      </c>
      <c r="C5760" s="27" t="s">
        <v>3657</v>
      </c>
      <c r="D5760" s="26" t="s">
        <v>3663</v>
      </c>
      <c r="E5760" s="28">
        <v>46113.0</v>
      </c>
      <c r="F5760" s="28">
        <v>46171.0</v>
      </c>
      <c r="G5760" s="29"/>
    </row>
    <row r="5761" ht="15.75" customHeight="1">
      <c r="A5761" s="30" t="s">
        <v>9425</v>
      </c>
      <c r="B5761" s="31" t="s">
        <v>587</v>
      </c>
      <c r="C5761" s="31" t="s">
        <v>1351</v>
      </c>
      <c r="D5761" s="30" t="s">
        <v>3663</v>
      </c>
      <c r="E5761" s="32">
        <v>46113.0</v>
      </c>
      <c r="F5761" s="32">
        <v>46171.0</v>
      </c>
      <c r="G5761" s="33"/>
    </row>
    <row r="5762" ht="15.75" customHeight="1">
      <c r="A5762" s="26" t="s">
        <v>9426</v>
      </c>
      <c r="B5762" s="27" t="s">
        <v>587</v>
      </c>
      <c r="C5762" s="27" t="s">
        <v>1349</v>
      </c>
      <c r="D5762" s="26" t="s">
        <v>3663</v>
      </c>
      <c r="E5762" s="28">
        <v>46113.0</v>
      </c>
      <c r="F5762" s="28">
        <v>46171.0</v>
      </c>
      <c r="G5762" s="29"/>
    </row>
    <row r="5763" ht="15.75" customHeight="1">
      <c r="A5763" s="30" t="s">
        <v>9427</v>
      </c>
      <c r="B5763" s="31" t="s">
        <v>587</v>
      </c>
      <c r="C5763" s="31" t="s">
        <v>968</v>
      </c>
      <c r="D5763" s="30" t="s">
        <v>3663</v>
      </c>
      <c r="E5763" s="32">
        <v>46113.0</v>
      </c>
      <c r="F5763" s="32">
        <v>46171.0</v>
      </c>
      <c r="G5763" s="33"/>
    </row>
    <row r="5764" ht="15.75" customHeight="1">
      <c r="A5764" s="26" t="s">
        <v>9428</v>
      </c>
      <c r="B5764" s="27" t="s">
        <v>587</v>
      </c>
      <c r="C5764" s="27" t="s">
        <v>923</v>
      </c>
      <c r="D5764" s="27" t="s">
        <v>3663</v>
      </c>
      <c r="E5764" s="28">
        <v>46113.0</v>
      </c>
      <c r="F5764" s="28">
        <v>46171.0</v>
      </c>
      <c r="G5764" s="29"/>
    </row>
    <row r="5765" ht="15.75" customHeight="1">
      <c r="A5765" s="30" t="s">
        <v>9429</v>
      </c>
      <c r="B5765" s="31" t="s">
        <v>587</v>
      </c>
      <c r="C5765" s="31" t="s">
        <v>955</v>
      </c>
      <c r="D5765" s="30" t="s">
        <v>3663</v>
      </c>
      <c r="E5765" s="32">
        <v>46113.0</v>
      </c>
      <c r="F5765" s="32">
        <v>46171.0</v>
      </c>
      <c r="G5765" s="33"/>
    </row>
    <row r="5766" ht="15.75" customHeight="1">
      <c r="A5766" s="26" t="s">
        <v>9430</v>
      </c>
      <c r="B5766" s="27" t="s">
        <v>588</v>
      </c>
      <c r="C5766" s="27" t="s">
        <v>1240</v>
      </c>
      <c r="D5766" s="26" t="s">
        <v>3663</v>
      </c>
      <c r="E5766" s="28">
        <v>46113.0</v>
      </c>
      <c r="F5766" s="28">
        <v>46171.0</v>
      </c>
      <c r="G5766" s="29"/>
    </row>
    <row r="5767" ht="15.75" customHeight="1">
      <c r="A5767" s="30" t="s">
        <v>9431</v>
      </c>
      <c r="B5767" s="31" t="s">
        <v>588</v>
      </c>
      <c r="C5767" s="31" t="s">
        <v>1242</v>
      </c>
      <c r="D5767" s="30" t="s">
        <v>3663</v>
      </c>
      <c r="E5767" s="32">
        <v>46113.0</v>
      </c>
      <c r="F5767" s="32">
        <v>46171.0</v>
      </c>
      <c r="G5767" s="33"/>
    </row>
    <row r="5768" ht="15.75" customHeight="1">
      <c r="A5768" s="26" t="s">
        <v>9432</v>
      </c>
      <c r="B5768" s="27" t="s">
        <v>588</v>
      </c>
      <c r="C5768" s="27" t="s">
        <v>1244</v>
      </c>
      <c r="D5768" s="26" t="s">
        <v>3663</v>
      </c>
      <c r="E5768" s="28">
        <v>46113.0</v>
      </c>
      <c r="F5768" s="28">
        <v>46171.0</v>
      </c>
      <c r="G5768" s="29"/>
    </row>
    <row r="5769" ht="15.75" customHeight="1">
      <c r="A5769" s="30" t="s">
        <v>9433</v>
      </c>
      <c r="B5769" s="31" t="s">
        <v>588</v>
      </c>
      <c r="C5769" s="31" t="s">
        <v>1246</v>
      </c>
      <c r="D5769" s="30" t="s">
        <v>3663</v>
      </c>
      <c r="E5769" s="32">
        <v>46113.0</v>
      </c>
      <c r="F5769" s="32">
        <v>46171.0</v>
      </c>
      <c r="G5769" s="33"/>
    </row>
    <row r="5770" ht="15.75" customHeight="1">
      <c r="A5770" s="26" t="s">
        <v>9434</v>
      </c>
      <c r="B5770" s="27" t="s">
        <v>588</v>
      </c>
      <c r="C5770" s="27" t="s">
        <v>3654</v>
      </c>
      <c r="D5770" s="26" t="s">
        <v>3663</v>
      </c>
      <c r="E5770" s="28">
        <v>46113.0</v>
      </c>
      <c r="F5770" s="28">
        <v>46171.0</v>
      </c>
      <c r="G5770" s="29"/>
    </row>
    <row r="5771" ht="15.75" customHeight="1">
      <c r="A5771" s="30" t="s">
        <v>9435</v>
      </c>
      <c r="B5771" s="31" t="s">
        <v>588</v>
      </c>
      <c r="C5771" s="31" t="s">
        <v>3655</v>
      </c>
      <c r="D5771" s="30" t="s">
        <v>3663</v>
      </c>
      <c r="E5771" s="32">
        <v>46113.0</v>
      </c>
      <c r="F5771" s="32">
        <v>46171.0</v>
      </c>
      <c r="G5771" s="33"/>
    </row>
    <row r="5772" ht="15.75" customHeight="1">
      <c r="A5772" s="26" t="s">
        <v>9436</v>
      </c>
      <c r="B5772" s="27" t="s">
        <v>588</v>
      </c>
      <c r="C5772" s="27" t="s">
        <v>934</v>
      </c>
      <c r="D5772" s="26" t="s">
        <v>3663</v>
      </c>
      <c r="E5772" s="28">
        <v>46113.0</v>
      </c>
      <c r="F5772" s="28">
        <v>46171.0</v>
      </c>
      <c r="G5772" s="29"/>
    </row>
    <row r="5773" ht="15.75" customHeight="1">
      <c r="A5773" s="30" t="s">
        <v>9437</v>
      </c>
      <c r="B5773" s="31" t="s">
        <v>588</v>
      </c>
      <c r="C5773" s="31" t="s">
        <v>1354</v>
      </c>
      <c r="D5773" s="30" t="s">
        <v>3663</v>
      </c>
      <c r="E5773" s="32">
        <v>46113.0</v>
      </c>
      <c r="F5773" s="32">
        <v>46171.0</v>
      </c>
      <c r="G5773" s="33"/>
    </row>
    <row r="5774" ht="15.75" customHeight="1">
      <c r="A5774" s="26" t="s">
        <v>9438</v>
      </c>
      <c r="B5774" s="27" t="s">
        <v>588</v>
      </c>
      <c r="C5774" s="27" t="s">
        <v>3605</v>
      </c>
      <c r="D5774" s="26" t="s">
        <v>3663</v>
      </c>
      <c r="E5774" s="28">
        <v>46113.0</v>
      </c>
      <c r="F5774" s="28">
        <v>46171.0</v>
      </c>
      <c r="G5774" s="29"/>
    </row>
    <row r="5775" ht="15.75" customHeight="1">
      <c r="A5775" s="30" t="s">
        <v>9439</v>
      </c>
      <c r="B5775" s="31" t="s">
        <v>588</v>
      </c>
      <c r="C5775" s="31" t="s">
        <v>1351</v>
      </c>
      <c r="D5775" s="30" t="s">
        <v>3663</v>
      </c>
      <c r="E5775" s="32">
        <v>46113.0</v>
      </c>
      <c r="F5775" s="32">
        <v>46171.0</v>
      </c>
      <c r="G5775" s="33"/>
    </row>
    <row r="5776" ht="15.75" customHeight="1">
      <c r="A5776" s="26" t="s">
        <v>9440</v>
      </c>
      <c r="B5776" s="27" t="s">
        <v>588</v>
      </c>
      <c r="C5776" s="27" t="s">
        <v>1349</v>
      </c>
      <c r="D5776" s="26" t="s">
        <v>3663</v>
      </c>
      <c r="E5776" s="28">
        <v>46113.0</v>
      </c>
      <c r="F5776" s="28">
        <v>46171.0</v>
      </c>
      <c r="G5776" s="29"/>
    </row>
    <row r="5777" ht="15.75" customHeight="1">
      <c r="A5777" s="30" t="s">
        <v>9441</v>
      </c>
      <c r="B5777" s="31" t="s">
        <v>588</v>
      </c>
      <c r="C5777" s="31" t="s">
        <v>965</v>
      </c>
      <c r="D5777" s="30" t="s">
        <v>3663</v>
      </c>
      <c r="E5777" s="32">
        <v>46113.0</v>
      </c>
      <c r="F5777" s="32">
        <v>46171.0</v>
      </c>
      <c r="G5777" s="33"/>
    </row>
    <row r="5778" ht="15.75" customHeight="1">
      <c r="A5778" s="26" t="s">
        <v>9442</v>
      </c>
      <c r="B5778" s="27" t="s">
        <v>588</v>
      </c>
      <c r="C5778" s="27" t="s">
        <v>923</v>
      </c>
      <c r="D5778" s="26" t="s">
        <v>3663</v>
      </c>
      <c r="E5778" s="28">
        <v>46113.0</v>
      </c>
      <c r="F5778" s="28">
        <v>46171.0</v>
      </c>
      <c r="G5778" s="29"/>
    </row>
    <row r="5779" ht="15.75" customHeight="1">
      <c r="A5779" s="30" t="s">
        <v>9443</v>
      </c>
      <c r="B5779" s="31" t="s">
        <v>588</v>
      </c>
      <c r="C5779" s="31" t="s">
        <v>961</v>
      </c>
      <c r="D5779" s="30" t="s">
        <v>3663</v>
      </c>
      <c r="E5779" s="32">
        <v>46113.0</v>
      </c>
      <c r="F5779" s="32">
        <v>46171.0</v>
      </c>
      <c r="G5779" s="33"/>
    </row>
    <row r="5780" ht="15.75" customHeight="1">
      <c r="A5780" s="26" t="s">
        <v>9444</v>
      </c>
      <c r="B5780" s="27" t="s">
        <v>589</v>
      </c>
      <c r="C5780" s="27" t="s">
        <v>3654</v>
      </c>
      <c r="D5780" s="26" t="s">
        <v>3663</v>
      </c>
      <c r="E5780" s="28">
        <v>46113.0</v>
      </c>
      <c r="F5780" s="28">
        <v>46171.0</v>
      </c>
      <c r="G5780" s="29"/>
    </row>
    <row r="5781" ht="15.75" customHeight="1">
      <c r="A5781" s="30" t="s">
        <v>9445</v>
      </c>
      <c r="B5781" s="31" t="s">
        <v>589</v>
      </c>
      <c r="C5781" s="31" t="s">
        <v>3655</v>
      </c>
      <c r="D5781" s="30" t="s">
        <v>3663</v>
      </c>
      <c r="E5781" s="32">
        <v>46113.0</v>
      </c>
      <c r="F5781" s="32">
        <v>46171.0</v>
      </c>
      <c r="G5781" s="33"/>
    </row>
    <row r="5782" ht="15.75" customHeight="1">
      <c r="A5782" s="26" t="s">
        <v>9446</v>
      </c>
      <c r="B5782" s="27" t="s">
        <v>589</v>
      </c>
      <c r="C5782" s="27" t="s">
        <v>934</v>
      </c>
      <c r="D5782" s="26" t="s">
        <v>3663</v>
      </c>
      <c r="E5782" s="28">
        <v>46113.0</v>
      </c>
      <c r="F5782" s="28">
        <v>46171.0</v>
      </c>
      <c r="G5782" s="29"/>
    </row>
    <row r="5783" ht="15.75" customHeight="1">
      <c r="A5783" s="30" t="s">
        <v>9447</v>
      </c>
      <c r="B5783" s="31" t="s">
        <v>589</v>
      </c>
      <c r="C5783" s="31" t="s">
        <v>1354</v>
      </c>
      <c r="D5783" s="30" t="s">
        <v>3663</v>
      </c>
      <c r="E5783" s="32">
        <v>46113.0</v>
      </c>
      <c r="F5783" s="32">
        <v>46171.0</v>
      </c>
      <c r="G5783" s="33"/>
    </row>
    <row r="5784" ht="15.75" customHeight="1">
      <c r="A5784" s="26" t="s">
        <v>9448</v>
      </c>
      <c r="B5784" s="27" t="s">
        <v>589</v>
      </c>
      <c r="C5784" s="27" t="s">
        <v>1216</v>
      </c>
      <c r="D5784" s="26" t="s">
        <v>3663</v>
      </c>
      <c r="E5784" s="28">
        <v>46113.0</v>
      </c>
      <c r="F5784" s="28">
        <v>46171.0</v>
      </c>
      <c r="G5784" s="29"/>
    </row>
    <row r="5785" ht="15.75" customHeight="1">
      <c r="A5785" s="30" t="s">
        <v>9449</v>
      </c>
      <c r="B5785" s="31" t="s">
        <v>589</v>
      </c>
      <c r="C5785" s="31" t="s">
        <v>1218</v>
      </c>
      <c r="D5785" s="30" t="s">
        <v>3663</v>
      </c>
      <c r="E5785" s="32">
        <v>46113.0</v>
      </c>
      <c r="F5785" s="32">
        <v>46171.0</v>
      </c>
      <c r="G5785" s="33"/>
    </row>
    <row r="5786" ht="15.75" customHeight="1">
      <c r="A5786" s="26" t="s">
        <v>9450</v>
      </c>
      <c r="B5786" s="27" t="s">
        <v>589</v>
      </c>
      <c r="C5786" s="27" t="s">
        <v>1157</v>
      </c>
      <c r="D5786" s="26" t="s">
        <v>3663</v>
      </c>
      <c r="E5786" s="28">
        <v>46113.0</v>
      </c>
      <c r="F5786" s="28">
        <v>46171.0</v>
      </c>
      <c r="G5786" s="29"/>
    </row>
    <row r="5787" ht="15.75" customHeight="1">
      <c r="A5787" s="30" t="s">
        <v>9451</v>
      </c>
      <c r="B5787" s="31" t="s">
        <v>589</v>
      </c>
      <c r="C5787" s="31" t="s">
        <v>1155</v>
      </c>
      <c r="D5787" s="30" t="s">
        <v>3663</v>
      </c>
      <c r="E5787" s="32">
        <v>46113.0</v>
      </c>
      <c r="F5787" s="32">
        <v>46171.0</v>
      </c>
      <c r="G5787" s="33"/>
    </row>
    <row r="5788" ht="15.75" customHeight="1">
      <c r="A5788" s="26" t="s">
        <v>9452</v>
      </c>
      <c r="B5788" s="27" t="s">
        <v>589</v>
      </c>
      <c r="C5788" s="27" t="s">
        <v>1153</v>
      </c>
      <c r="D5788" s="26" t="s">
        <v>3663</v>
      </c>
      <c r="E5788" s="28">
        <v>46113.0</v>
      </c>
      <c r="F5788" s="28">
        <v>46171.0</v>
      </c>
      <c r="G5788" s="29"/>
    </row>
    <row r="5789" ht="15.75" customHeight="1">
      <c r="A5789" s="30" t="s">
        <v>9453</v>
      </c>
      <c r="B5789" s="31" t="s">
        <v>589</v>
      </c>
      <c r="C5789" s="31" t="s">
        <v>1149</v>
      </c>
      <c r="D5789" s="30" t="s">
        <v>3663</v>
      </c>
      <c r="E5789" s="32">
        <v>46113.0</v>
      </c>
      <c r="F5789" s="32">
        <v>46171.0</v>
      </c>
      <c r="G5789" s="33"/>
    </row>
    <row r="5790" ht="15.75" customHeight="1">
      <c r="A5790" s="26" t="s">
        <v>9454</v>
      </c>
      <c r="B5790" s="27" t="s">
        <v>589</v>
      </c>
      <c r="C5790" s="27" t="s">
        <v>1351</v>
      </c>
      <c r="D5790" s="26" t="s">
        <v>3663</v>
      </c>
      <c r="E5790" s="28">
        <v>46113.0</v>
      </c>
      <c r="F5790" s="28">
        <v>46171.0</v>
      </c>
      <c r="G5790" s="29"/>
    </row>
    <row r="5791" ht="15.75" customHeight="1">
      <c r="A5791" s="30" t="s">
        <v>9455</v>
      </c>
      <c r="B5791" s="31" t="s">
        <v>589</v>
      </c>
      <c r="C5791" s="31" t="s">
        <v>1349</v>
      </c>
      <c r="D5791" s="30" t="s">
        <v>3663</v>
      </c>
      <c r="E5791" s="32">
        <v>46113.0</v>
      </c>
      <c r="F5791" s="32">
        <v>46171.0</v>
      </c>
      <c r="G5791" s="33"/>
    </row>
    <row r="5792" ht="15.75" customHeight="1">
      <c r="A5792" s="26" t="s">
        <v>9456</v>
      </c>
      <c r="B5792" s="27" t="s">
        <v>589</v>
      </c>
      <c r="C5792" s="27" t="s">
        <v>968</v>
      </c>
      <c r="D5792" s="26" t="s">
        <v>3663</v>
      </c>
      <c r="E5792" s="28">
        <v>46113.0</v>
      </c>
      <c r="F5792" s="28">
        <v>46171.0</v>
      </c>
      <c r="G5792" s="29"/>
    </row>
    <row r="5793" ht="15.75" customHeight="1">
      <c r="A5793" s="30" t="s">
        <v>9457</v>
      </c>
      <c r="B5793" s="31" t="s">
        <v>589</v>
      </c>
      <c r="C5793" s="31" t="s">
        <v>923</v>
      </c>
      <c r="D5793" s="30" t="s">
        <v>3663</v>
      </c>
      <c r="E5793" s="32">
        <v>46113.0</v>
      </c>
      <c r="F5793" s="32">
        <v>46171.0</v>
      </c>
      <c r="G5793" s="33"/>
    </row>
    <row r="5794" ht="15.75" customHeight="1">
      <c r="A5794" s="26" t="s">
        <v>9458</v>
      </c>
      <c r="B5794" s="27" t="s">
        <v>590</v>
      </c>
      <c r="C5794" s="27" t="s">
        <v>3654</v>
      </c>
      <c r="D5794" s="26" t="s">
        <v>3663</v>
      </c>
      <c r="E5794" s="28">
        <v>46113.0</v>
      </c>
      <c r="F5794" s="28">
        <v>46171.0</v>
      </c>
      <c r="G5794" s="29"/>
    </row>
    <row r="5795" ht="15.75" customHeight="1">
      <c r="A5795" s="30" t="s">
        <v>9459</v>
      </c>
      <c r="B5795" s="31" t="s">
        <v>590</v>
      </c>
      <c r="C5795" s="31" t="s">
        <v>3655</v>
      </c>
      <c r="D5795" s="30" t="s">
        <v>3663</v>
      </c>
      <c r="E5795" s="32">
        <v>46113.0</v>
      </c>
      <c r="F5795" s="32">
        <v>46171.0</v>
      </c>
      <c r="G5795" s="33"/>
    </row>
    <row r="5796" ht="15.75" customHeight="1">
      <c r="A5796" s="26" t="s">
        <v>9460</v>
      </c>
      <c r="B5796" s="27" t="s">
        <v>590</v>
      </c>
      <c r="C5796" s="27" t="s">
        <v>926</v>
      </c>
      <c r="D5796" s="27" t="s">
        <v>3663</v>
      </c>
      <c r="E5796" s="28">
        <v>46113.0</v>
      </c>
      <c r="F5796" s="28">
        <v>46171.0</v>
      </c>
      <c r="G5796" s="29"/>
    </row>
    <row r="5797" ht="15.75" customHeight="1">
      <c r="A5797" s="30" t="s">
        <v>9461</v>
      </c>
      <c r="B5797" s="31" t="s">
        <v>590</v>
      </c>
      <c r="C5797" s="31" t="s">
        <v>1354</v>
      </c>
      <c r="D5797" s="30" t="s">
        <v>3663</v>
      </c>
      <c r="E5797" s="32">
        <v>46113.0</v>
      </c>
      <c r="F5797" s="32">
        <v>46171.0</v>
      </c>
      <c r="G5797" s="33"/>
    </row>
    <row r="5798" ht="15.75" customHeight="1">
      <c r="A5798" s="26" t="s">
        <v>9462</v>
      </c>
      <c r="B5798" s="27" t="s">
        <v>590</v>
      </c>
      <c r="C5798" s="27" t="s">
        <v>3648</v>
      </c>
      <c r="D5798" s="27" t="s">
        <v>3663</v>
      </c>
      <c r="E5798" s="28">
        <v>46113.0</v>
      </c>
      <c r="F5798" s="28">
        <v>46171.0</v>
      </c>
      <c r="G5798" s="29"/>
    </row>
    <row r="5799" ht="15.75" customHeight="1">
      <c r="A5799" s="30" t="s">
        <v>9463</v>
      </c>
      <c r="B5799" s="31" t="s">
        <v>590</v>
      </c>
      <c r="C5799" s="31" t="s">
        <v>3649</v>
      </c>
      <c r="D5799" s="31" t="s">
        <v>3663</v>
      </c>
      <c r="E5799" s="32">
        <v>46113.0</v>
      </c>
      <c r="F5799" s="32">
        <v>46171.0</v>
      </c>
      <c r="G5799" s="33"/>
    </row>
    <row r="5800" ht="15.75" customHeight="1">
      <c r="A5800" s="26" t="s">
        <v>9464</v>
      </c>
      <c r="B5800" s="27" t="s">
        <v>590</v>
      </c>
      <c r="C5800" s="27" t="s">
        <v>3650</v>
      </c>
      <c r="D5800" s="27" t="s">
        <v>3663</v>
      </c>
      <c r="E5800" s="28">
        <v>46113.0</v>
      </c>
      <c r="F5800" s="28">
        <v>46171.0</v>
      </c>
      <c r="G5800" s="29"/>
    </row>
    <row r="5801" ht="15.75" customHeight="1">
      <c r="A5801" s="30" t="s">
        <v>9465</v>
      </c>
      <c r="B5801" s="31" t="s">
        <v>590</v>
      </c>
      <c r="C5801" s="31" t="s">
        <v>1283</v>
      </c>
      <c r="D5801" s="31" t="s">
        <v>3663</v>
      </c>
      <c r="E5801" s="32">
        <v>46113.0</v>
      </c>
      <c r="F5801" s="32">
        <v>46171.0</v>
      </c>
      <c r="G5801" s="33"/>
    </row>
    <row r="5802" ht="15.75" customHeight="1">
      <c r="A5802" s="26" t="s">
        <v>9466</v>
      </c>
      <c r="B5802" s="27" t="s">
        <v>590</v>
      </c>
      <c r="C5802" s="27" t="s">
        <v>1216</v>
      </c>
      <c r="D5802" s="26" t="s">
        <v>3663</v>
      </c>
      <c r="E5802" s="28">
        <v>46113.0</v>
      </c>
      <c r="F5802" s="28">
        <v>46171.0</v>
      </c>
      <c r="G5802" s="29"/>
    </row>
    <row r="5803" ht="15.75" customHeight="1">
      <c r="A5803" s="30" t="s">
        <v>9467</v>
      </c>
      <c r="B5803" s="31" t="s">
        <v>590</v>
      </c>
      <c r="C5803" s="31" t="s">
        <v>1218</v>
      </c>
      <c r="D5803" s="30" t="s">
        <v>3663</v>
      </c>
      <c r="E5803" s="32">
        <v>46113.0</v>
      </c>
      <c r="F5803" s="32">
        <v>46171.0</v>
      </c>
      <c r="G5803" s="33"/>
    </row>
    <row r="5804" ht="15.75" customHeight="1">
      <c r="A5804" s="26" t="s">
        <v>9468</v>
      </c>
      <c r="B5804" s="27" t="s">
        <v>590</v>
      </c>
      <c r="C5804" s="27" t="s">
        <v>1351</v>
      </c>
      <c r="D5804" s="26" t="s">
        <v>3663</v>
      </c>
      <c r="E5804" s="28">
        <v>46113.0</v>
      </c>
      <c r="F5804" s="28">
        <v>46171.0</v>
      </c>
      <c r="G5804" s="29"/>
    </row>
    <row r="5805" ht="15.75" customHeight="1">
      <c r="A5805" s="30" t="s">
        <v>9469</v>
      </c>
      <c r="B5805" s="31" t="s">
        <v>590</v>
      </c>
      <c r="C5805" s="31" t="s">
        <v>1349</v>
      </c>
      <c r="D5805" s="30" t="s">
        <v>3663</v>
      </c>
      <c r="E5805" s="32">
        <v>46113.0</v>
      </c>
      <c r="F5805" s="32">
        <v>46171.0</v>
      </c>
      <c r="G5805" s="33"/>
    </row>
    <row r="5806" ht="15.75" customHeight="1">
      <c r="A5806" s="26" t="s">
        <v>9470</v>
      </c>
      <c r="B5806" s="27" t="s">
        <v>590</v>
      </c>
      <c r="C5806" s="27" t="s">
        <v>968</v>
      </c>
      <c r="D5806" s="26" t="s">
        <v>3663</v>
      </c>
      <c r="E5806" s="28">
        <v>46113.0</v>
      </c>
      <c r="F5806" s="28">
        <v>46171.0</v>
      </c>
      <c r="G5806" s="29"/>
    </row>
    <row r="5807" ht="15.75" customHeight="1">
      <c r="A5807" s="30" t="s">
        <v>9471</v>
      </c>
      <c r="B5807" s="31" t="s">
        <v>590</v>
      </c>
      <c r="C5807" s="31" t="s">
        <v>923</v>
      </c>
      <c r="D5807" s="31" t="s">
        <v>3663</v>
      </c>
      <c r="E5807" s="32">
        <v>46113.0</v>
      </c>
      <c r="F5807" s="32">
        <v>46171.0</v>
      </c>
      <c r="G5807" s="33"/>
    </row>
    <row r="5808" ht="15.75" customHeight="1">
      <c r="A5808" s="26" t="s">
        <v>9472</v>
      </c>
      <c r="B5808" s="27" t="s">
        <v>591</v>
      </c>
      <c r="C5808" s="27" t="s">
        <v>1240</v>
      </c>
      <c r="D5808" s="26" t="s">
        <v>3663</v>
      </c>
      <c r="E5808" s="28">
        <v>46113.0</v>
      </c>
      <c r="F5808" s="28">
        <v>46171.0</v>
      </c>
      <c r="G5808" s="29"/>
    </row>
    <row r="5809" ht="15.75" customHeight="1">
      <c r="A5809" s="30" t="s">
        <v>9473</v>
      </c>
      <c r="B5809" s="31" t="s">
        <v>591</v>
      </c>
      <c r="C5809" s="31" t="s">
        <v>1242</v>
      </c>
      <c r="D5809" s="30" t="s">
        <v>3663</v>
      </c>
      <c r="E5809" s="32">
        <v>46113.0</v>
      </c>
      <c r="F5809" s="32">
        <v>46171.0</v>
      </c>
      <c r="G5809" s="33"/>
    </row>
    <row r="5810" ht="15.75" customHeight="1">
      <c r="A5810" s="26" t="s">
        <v>9474</v>
      </c>
      <c r="B5810" s="27" t="s">
        <v>591</v>
      </c>
      <c r="C5810" s="27" t="s">
        <v>1244</v>
      </c>
      <c r="D5810" s="26" t="s">
        <v>3663</v>
      </c>
      <c r="E5810" s="28">
        <v>46113.0</v>
      </c>
      <c r="F5810" s="28">
        <v>46171.0</v>
      </c>
      <c r="G5810" s="29"/>
    </row>
    <row r="5811" ht="15.75" customHeight="1">
      <c r="A5811" s="30" t="s">
        <v>9475</v>
      </c>
      <c r="B5811" s="31" t="s">
        <v>591</v>
      </c>
      <c r="C5811" s="31" t="s">
        <v>1246</v>
      </c>
      <c r="D5811" s="30" t="s">
        <v>3663</v>
      </c>
      <c r="E5811" s="32">
        <v>46113.0</v>
      </c>
      <c r="F5811" s="32">
        <v>46171.0</v>
      </c>
      <c r="G5811" s="33"/>
    </row>
    <row r="5812" ht="15.75" customHeight="1">
      <c r="A5812" s="26" t="s">
        <v>9476</v>
      </c>
      <c r="B5812" s="27" t="s">
        <v>591</v>
      </c>
      <c r="C5812" s="27" t="s">
        <v>928</v>
      </c>
      <c r="D5812" s="26" t="s">
        <v>3663</v>
      </c>
      <c r="E5812" s="28">
        <v>46113.0</v>
      </c>
      <c r="F5812" s="28">
        <v>46171.0</v>
      </c>
      <c r="G5812" s="29"/>
    </row>
    <row r="5813" ht="15.75" customHeight="1">
      <c r="A5813" s="30" t="s">
        <v>9477</v>
      </c>
      <c r="B5813" s="31" t="s">
        <v>591</v>
      </c>
      <c r="C5813" s="31" t="s">
        <v>1354</v>
      </c>
      <c r="D5813" s="30" t="s">
        <v>3663</v>
      </c>
      <c r="E5813" s="32">
        <v>46113.0</v>
      </c>
      <c r="F5813" s="32">
        <v>46171.0</v>
      </c>
      <c r="G5813" s="33"/>
    </row>
    <row r="5814" ht="15.75" customHeight="1">
      <c r="A5814" s="26" t="s">
        <v>9478</v>
      </c>
      <c r="B5814" s="27" t="s">
        <v>591</v>
      </c>
      <c r="C5814" s="27" t="s">
        <v>3656</v>
      </c>
      <c r="D5814" s="26" t="s">
        <v>3663</v>
      </c>
      <c r="E5814" s="28">
        <v>46113.0</v>
      </c>
      <c r="F5814" s="28">
        <v>46171.0</v>
      </c>
      <c r="G5814" s="29"/>
    </row>
    <row r="5815" ht="15.75" customHeight="1">
      <c r="A5815" s="30" t="s">
        <v>9479</v>
      </c>
      <c r="B5815" s="31" t="s">
        <v>591</v>
      </c>
      <c r="C5815" s="31" t="s">
        <v>3657</v>
      </c>
      <c r="D5815" s="30" t="s">
        <v>3663</v>
      </c>
      <c r="E5815" s="32">
        <v>46113.0</v>
      </c>
      <c r="F5815" s="32">
        <v>46171.0</v>
      </c>
      <c r="G5815" s="33"/>
    </row>
    <row r="5816" ht="15.75" customHeight="1">
      <c r="A5816" s="26" t="s">
        <v>9480</v>
      </c>
      <c r="B5816" s="27" t="s">
        <v>591</v>
      </c>
      <c r="C5816" s="27" t="s">
        <v>3647</v>
      </c>
      <c r="D5816" s="26" t="s">
        <v>3663</v>
      </c>
      <c r="E5816" s="28">
        <v>46113.0</v>
      </c>
      <c r="F5816" s="28">
        <v>46171.0</v>
      </c>
      <c r="G5816" s="29"/>
    </row>
    <row r="5817" ht="15.75" customHeight="1">
      <c r="A5817" s="30" t="s">
        <v>9481</v>
      </c>
      <c r="B5817" s="31" t="s">
        <v>591</v>
      </c>
      <c r="C5817" s="31" t="s">
        <v>952</v>
      </c>
      <c r="D5817" s="30" t="s">
        <v>3663</v>
      </c>
      <c r="E5817" s="32">
        <v>46113.0</v>
      </c>
      <c r="F5817" s="32">
        <v>46171.0</v>
      </c>
      <c r="G5817" s="33"/>
    </row>
    <row r="5818" ht="15.75" customHeight="1">
      <c r="A5818" s="26" t="s">
        <v>9482</v>
      </c>
      <c r="B5818" s="27" t="s">
        <v>591</v>
      </c>
      <c r="C5818" s="27" t="s">
        <v>1218</v>
      </c>
      <c r="D5818" s="26" t="s">
        <v>3663</v>
      </c>
      <c r="E5818" s="28">
        <v>46113.0</v>
      </c>
      <c r="F5818" s="28">
        <v>46171.0</v>
      </c>
      <c r="G5818" s="29"/>
    </row>
    <row r="5819" ht="15.75" customHeight="1">
      <c r="A5819" s="30" t="s">
        <v>9483</v>
      </c>
      <c r="B5819" s="31" t="s">
        <v>591</v>
      </c>
      <c r="C5819" s="31" t="s">
        <v>968</v>
      </c>
      <c r="D5819" s="30" t="s">
        <v>3663</v>
      </c>
      <c r="E5819" s="32">
        <v>46113.0</v>
      </c>
      <c r="F5819" s="32">
        <v>46171.0</v>
      </c>
      <c r="G5819" s="33"/>
    </row>
    <row r="5820" ht="15.75" customHeight="1">
      <c r="A5820" s="26" t="s">
        <v>9484</v>
      </c>
      <c r="B5820" s="27" t="s">
        <v>591</v>
      </c>
      <c r="C5820" s="27" t="s">
        <v>923</v>
      </c>
      <c r="D5820" s="26" t="s">
        <v>3663</v>
      </c>
      <c r="E5820" s="28">
        <v>46113.0</v>
      </c>
      <c r="F5820" s="28">
        <v>46171.0</v>
      </c>
      <c r="G5820" s="29"/>
    </row>
    <row r="5821" ht="15.75" customHeight="1">
      <c r="A5821" s="30" t="s">
        <v>9485</v>
      </c>
      <c r="B5821" s="31" t="s">
        <v>591</v>
      </c>
      <c r="C5821" s="31" t="s">
        <v>955</v>
      </c>
      <c r="D5821" s="30" t="s">
        <v>3663</v>
      </c>
      <c r="E5821" s="32">
        <v>46113.0</v>
      </c>
      <c r="F5821" s="32">
        <v>46171.0</v>
      </c>
      <c r="G5821" s="33"/>
    </row>
    <row r="5822" ht="15.75" customHeight="1">
      <c r="A5822" s="26" t="s">
        <v>9486</v>
      </c>
      <c r="B5822" s="27" t="s">
        <v>592</v>
      </c>
      <c r="C5822" s="27" t="s">
        <v>934</v>
      </c>
      <c r="D5822" s="26" t="s">
        <v>3663</v>
      </c>
      <c r="E5822" s="28">
        <v>46113.0</v>
      </c>
      <c r="F5822" s="28">
        <v>46171.0</v>
      </c>
      <c r="G5822" s="29"/>
    </row>
    <row r="5823" ht="15.75" customHeight="1">
      <c r="A5823" s="30" t="s">
        <v>9487</v>
      </c>
      <c r="B5823" s="31" t="s">
        <v>592</v>
      </c>
      <c r="C5823" s="31" t="s">
        <v>1354</v>
      </c>
      <c r="D5823" s="30" t="s">
        <v>3663</v>
      </c>
      <c r="E5823" s="32">
        <v>46113.0</v>
      </c>
      <c r="F5823" s="32">
        <v>46171.0</v>
      </c>
      <c r="G5823" s="33"/>
    </row>
    <row r="5824" ht="15.75" customHeight="1">
      <c r="A5824" s="26" t="s">
        <v>9488</v>
      </c>
      <c r="B5824" s="27" t="s">
        <v>592</v>
      </c>
      <c r="C5824" s="27" t="s">
        <v>3681</v>
      </c>
      <c r="D5824" s="26" t="s">
        <v>3663</v>
      </c>
      <c r="E5824" s="28">
        <v>46113.0</v>
      </c>
      <c r="F5824" s="28">
        <v>46171.0</v>
      </c>
      <c r="G5824" s="29"/>
    </row>
    <row r="5825" ht="15.75" customHeight="1">
      <c r="A5825" s="30" t="s">
        <v>9489</v>
      </c>
      <c r="B5825" s="31" t="s">
        <v>592</v>
      </c>
      <c r="C5825" s="31" t="s">
        <v>3683</v>
      </c>
      <c r="D5825" s="30" t="s">
        <v>3663</v>
      </c>
      <c r="E5825" s="32">
        <v>46113.0</v>
      </c>
      <c r="F5825" s="32">
        <v>46171.0</v>
      </c>
      <c r="G5825" s="33"/>
    </row>
    <row r="5826" ht="15.75" customHeight="1">
      <c r="A5826" s="26" t="s">
        <v>9490</v>
      </c>
      <c r="B5826" s="27" t="s">
        <v>592</v>
      </c>
      <c r="C5826" s="27" t="s">
        <v>1190</v>
      </c>
      <c r="D5826" s="26" t="s">
        <v>3663</v>
      </c>
      <c r="E5826" s="28">
        <v>46113.0</v>
      </c>
      <c r="F5826" s="28">
        <v>46171.0</v>
      </c>
      <c r="G5826" s="29"/>
    </row>
    <row r="5827" ht="15.75" customHeight="1">
      <c r="A5827" s="30" t="s">
        <v>9491</v>
      </c>
      <c r="B5827" s="31" t="s">
        <v>592</v>
      </c>
      <c r="C5827" s="31" t="s">
        <v>1157</v>
      </c>
      <c r="D5827" s="30" t="s">
        <v>3663</v>
      </c>
      <c r="E5827" s="32">
        <v>46113.0</v>
      </c>
      <c r="F5827" s="32">
        <v>46171.0</v>
      </c>
      <c r="G5827" s="33"/>
    </row>
    <row r="5828" ht="15.75" customHeight="1">
      <c r="A5828" s="26" t="s">
        <v>9492</v>
      </c>
      <c r="B5828" s="27" t="s">
        <v>592</v>
      </c>
      <c r="C5828" s="27" t="s">
        <v>1155</v>
      </c>
      <c r="D5828" s="26" t="s">
        <v>3663</v>
      </c>
      <c r="E5828" s="28">
        <v>46113.0</v>
      </c>
      <c r="F5828" s="28">
        <v>46171.0</v>
      </c>
      <c r="G5828" s="29"/>
    </row>
    <row r="5829" ht="15.75" customHeight="1">
      <c r="A5829" s="30" t="s">
        <v>9493</v>
      </c>
      <c r="B5829" s="31" t="s">
        <v>592</v>
      </c>
      <c r="C5829" s="31" t="s">
        <v>1153</v>
      </c>
      <c r="D5829" s="30" t="s">
        <v>3663</v>
      </c>
      <c r="E5829" s="32">
        <v>46113.0</v>
      </c>
      <c r="F5829" s="32">
        <v>46171.0</v>
      </c>
      <c r="G5829" s="33"/>
    </row>
    <row r="5830" ht="15.75" customHeight="1">
      <c r="A5830" s="26" t="s">
        <v>9494</v>
      </c>
      <c r="B5830" s="27" t="s">
        <v>592</v>
      </c>
      <c r="C5830" s="27" t="s">
        <v>1149</v>
      </c>
      <c r="D5830" s="26" t="s">
        <v>3663</v>
      </c>
      <c r="E5830" s="28">
        <v>46113.0</v>
      </c>
      <c r="F5830" s="28">
        <v>46171.0</v>
      </c>
      <c r="G5830" s="29"/>
    </row>
    <row r="5831" ht="15.75" customHeight="1">
      <c r="A5831" s="30" t="s">
        <v>9495</v>
      </c>
      <c r="B5831" s="31" t="s">
        <v>592</v>
      </c>
      <c r="C5831" s="31" t="s">
        <v>1351</v>
      </c>
      <c r="D5831" s="30" t="s">
        <v>3663</v>
      </c>
      <c r="E5831" s="32">
        <v>46113.0</v>
      </c>
      <c r="F5831" s="32">
        <v>46171.0</v>
      </c>
      <c r="G5831" s="33"/>
    </row>
    <row r="5832" ht="15.75" customHeight="1">
      <c r="A5832" s="26" t="s">
        <v>9496</v>
      </c>
      <c r="B5832" s="27" t="s">
        <v>592</v>
      </c>
      <c r="C5832" s="27" t="s">
        <v>1349</v>
      </c>
      <c r="D5832" s="26" t="s">
        <v>3663</v>
      </c>
      <c r="E5832" s="28">
        <v>46113.0</v>
      </c>
      <c r="F5832" s="28">
        <v>46171.0</v>
      </c>
      <c r="G5832" s="29"/>
    </row>
    <row r="5833" ht="15.75" customHeight="1">
      <c r="A5833" s="30" t="s">
        <v>9497</v>
      </c>
      <c r="B5833" s="31" t="s">
        <v>592</v>
      </c>
      <c r="C5833" s="31" t="s">
        <v>968</v>
      </c>
      <c r="D5833" s="30" t="s">
        <v>3663</v>
      </c>
      <c r="E5833" s="32">
        <v>46113.0</v>
      </c>
      <c r="F5833" s="32">
        <v>46171.0</v>
      </c>
      <c r="G5833" s="33"/>
    </row>
    <row r="5834" ht="15.75" customHeight="1">
      <c r="A5834" s="26" t="s">
        <v>9498</v>
      </c>
      <c r="B5834" s="27" t="s">
        <v>592</v>
      </c>
      <c r="C5834" s="27" t="s">
        <v>923</v>
      </c>
      <c r="D5834" s="26" t="s">
        <v>3663</v>
      </c>
      <c r="E5834" s="28">
        <v>46113.0</v>
      </c>
      <c r="F5834" s="28">
        <v>46171.0</v>
      </c>
      <c r="G5834" s="29"/>
    </row>
    <row r="5835" ht="15.75" customHeight="1">
      <c r="A5835" s="30" t="s">
        <v>9499</v>
      </c>
      <c r="B5835" s="31" t="s">
        <v>592</v>
      </c>
      <c r="C5835" s="31" t="s">
        <v>955</v>
      </c>
      <c r="D5835" s="30" t="s">
        <v>3663</v>
      </c>
      <c r="E5835" s="32">
        <v>46113.0</v>
      </c>
      <c r="F5835" s="32">
        <v>46171.0</v>
      </c>
      <c r="G5835" s="33"/>
    </row>
    <row r="5836" ht="15.75" customHeight="1">
      <c r="A5836" s="26" t="s">
        <v>9500</v>
      </c>
      <c r="B5836" s="27" t="s">
        <v>593</v>
      </c>
      <c r="C5836" s="27" t="s">
        <v>932</v>
      </c>
      <c r="D5836" s="26" t="s">
        <v>3663</v>
      </c>
      <c r="E5836" s="28">
        <v>46113.0</v>
      </c>
      <c r="F5836" s="28">
        <v>46171.0</v>
      </c>
      <c r="G5836" s="29"/>
    </row>
    <row r="5837" ht="15.75" customHeight="1">
      <c r="A5837" s="30" t="s">
        <v>9501</v>
      </c>
      <c r="B5837" s="31" t="s">
        <v>593</v>
      </c>
      <c r="C5837" s="31" t="s">
        <v>1164</v>
      </c>
      <c r="D5837" s="30" t="s">
        <v>3663</v>
      </c>
      <c r="E5837" s="32">
        <v>46113.0</v>
      </c>
      <c r="F5837" s="32">
        <v>46171.0</v>
      </c>
      <c r="G5837" s="33"/>
    </row>
    <row r="5838" ht="15.75" customHeight="1">
      <c r="A5838" s="26" t="s">
        <v>9502</v>
      </c>
      <c r="B5838" s="27" t="s">
        <v>593</v>
      </c>
      <c r="C5838" s="27" t="s">
        <v>1166</v>
      </c>
      <c r="D5838" s="26" t="s">
        <v>3663</v>
      </c>
      <c r="E5838" s="28">
        <v>46113.0</v>
      </c>
      <c r="F5838" s="28">
        <v>46171.0</v>
      </c>
      <c r="G5838" s="29"/>
    </row>
    <row r="5839" ht="15.75" customHeight="1">
      <c r="A5839" s="30" t="s">
        <v>9503</v>
      </c>
      <c r="B5839" s="31" t="s">
        <v>593</v>
      </c>
      <c r="C5839" s="31" t="s">
        <v>1168</v>
      </c>
      <c r="D5839" s="30" t="s">
        <v>3663</v>
      </c>
      <c r="E5839" s="32">
        <v>46113.0</v>
      </c>
      <c r="F5839" s="32">
        <v>46171.0</v>
      </c>
      <c r="G5839" s="33"/>
    </row>
    <row r="5840" ht="15.75" customHeight="1">
      <c r="A5840" s="26" t="s">
        <v>9504</v>
      </c>
      <c r="B5840" s="27" t="s">
        <v>593</v>
      </c>
      <c r="C5840" s="27" t="s">
        <v>1170</v>
      </c>
      <c r="D5840" s="26" t="s">
        <v>3663</v>
      </c>
      <c r="E5840" s="28">
        <v>46113.0</v>
      </c>
      <c r="F5840" s="28">
        <v>46171.0</v>
      </c>
      <c r="G5840" s="29"/>
    </row>
    <row r="5841" ht="15.75" customHeight="1">
      <c r="A5841" s="30" t="s">
        <v>9505</v>
      </c>
      <c r="B5841" s="31" t="s">
        <v>593</v>
      </c>
      <c r="C5841" s="31" t="s">
        <v>1354</v>
      </c>
      <c r="D5841" s="30" t="s">
        <v>3663</v>
      </c>
      <c r="E5841" s="32">
        <v>46113.0</v>
      </c>
      <c r="F5841" s="32">
        <v>46171.0</v>
      </c>
      <c r="G5841" s="33"/>
    </row>
    <row r="5842" ht="15.75" customHeight="1">
      <c r="A5842" s="26" t="s">
        <v>9506</v>
      </c>
      <c r="B5842" s="27" t="s">
        <v>593</v>
      </c>
      <c r="C5842" s="27" t="s">
        <v>3681</v>
      </c>
      <c r="D5842" s="26" t="s">
        <v>3663</v>
      </c>
      <c r="E5842" s="28">
        <v>46113.0</v>
      </c>
      <c r="F5842" s="28">
        <v>46171.0</v>
      </c>
      <c r="G5842" s="29"/>
    </row>
    <row r="5843" ht="15.75" customHeight="1">
      <c r="A5843" s="30" t="s">
        <v>9507</v>
      </c>
      <c r="B5843" s="31" t="s">
        <v>593</v>
      </c>
      <c r="C5843" s="31" t="s">
        <v>3683</v>
      </c>
      <c r="D5843" s="30" t="s">
        <v>3663</v>
      </c>
      <c r="E5843" s="32">
        <v>46113.0</v>
      </c>
      <c r="F5843" s="32">
        <v>46171.0</v>
      </c>
      <c r="G5843" s="33"/>
    </row>
    <row r="5844" ht="15.75" customHeight="1">
      <c r="A5844" s="26" t="s">
        <v>9508</v>
      </c>
      <c r="B5844" s="27" t="s">
        <v>593</v>
      </c>
      <c r="C5844" s="27" t="s">
        <v>1218</v>
      </c>
      <c r="D5844" s="26" t="s">
        <v>3663</v>
      </c>
      <c r="E5844" s="28">
        <v>46113.0</v>
      </c>
      <c r="F5844" s="28">
        <v>46171.0</v>
      </c>
      <c r="G5844" s="29"/>
    </row>
    <row r="5845" ht="15.75" customHeight="1">
      <c r="A5845" s="30" t="s">
        <v>9509</v>
      </c>
      <c r="B5845" s="31" t="s">
        <v>593</v>
      </c>
      <c r="C5845" s="31" t="s">
        <v>1351</v>
      </c>
      <c r="D5845" s="30" t="s">
        <v>3663</v>
      </c>
      <c r="E5845" s="32">
        <v>46113.0</v>
      </c>
      <c r="F5845" s="32">
        <v>46171.0</v>
      </c>
      <c r="G5845" s="33"/>
    </row>
    <row r="5846" ht="15.75" customHeight="1">
      <c r="A5846" s="26" t="s">
        <v>9510</v>
      </c>
      <c r="B5846" s="27" t="s">
        <v>593</v>
      </c>
      <c r="C5846" s="27" t="s">
        <v>1349</v>
      </c>
      <c r="D5846" s="26" t="s">
        <v>3663</v>
      </c>
      <c r="E5846" s="28">
        <v>46113.0</v>
      </c>
      <c r="F5846" s="28">
        <v>46171.0</v>
      </c>
      <c r="G5846" s="29"/>
    </row>
    <row r="5847" ht="15.75" customHeight="1">
      <c r="A5847" s="30" t="s">
        <v>9511</v>
      </c>
      <c r="B5847" s="31" t="s">
        <v>593</v>
      </c>
      <c r="C5847" s="31" t="s">
        <v>968</v>
      </c>
      <c r="D5847" s="30" t="s">
        <v>3663</v>
      </c>
      <c r="E5847" s="32">
        <v>46113.0</v>
      </c>
      <c r="F5847" s="32">
        <v>46171.0</v>
      </c>
      <c r="G5847" s="33"/>
    </row>
    <row r="5848" ht="15.75" customHeight="1">
      <c r="A5848" s="26" t="s">
        <v>9512</v>
      </c>
      <c r="B5848" s="27" t="s">
        <v>593</v>
      </c>
      <c r="C5848" s="27" t="s">
        <v>923</v>
      </c>
      <c r="D5848" s="26" t="s">
        <v>3663</v>
      </c>
      <c r="E5848" s="28">
        <v>46113.0</v>
      </c>
      <c r="F5848" s="28">
        <v>46171.0</v>
      </c>
      <c r="G5848" s="29"/>
    </row>
    <row r="5849" ht="15.75" customHeight="1">
      <c r="A5849" s="30" t="s">
        <v>9513</v>
      </c>
      <c r="B5849" s="31" t="s">
        <v>593</v>
      </c>
      <c r="C5849" s="31" t="s">
        <v>955</v>
      </c>
      <c r="D5849" s="30" t="s">
        <v>3663</v>
      </c>
      <c r="E5849" s="32">
        <v>46113.0</v>
      </c>
      <c r="F5849" s="32">
        <v>46171.0</v>
      </c>
      <c r="G5849" s="33"/>
    </row>
    <row r="5850" ht="15.75" customHeight="1">
      <c r="A5850" s="26" t="s">
        <v>9514</v>
      </c>
      <c r="B5850" s="27" t="s">
        <v>594</v>
      </c>
      <c r="C5850" s="27" t="s">
        <v>930</v>
      </c>
      <c r="D5850" s="26" t="s">
        <v>3663</v>
      </c>
      <c r="E5850" s="28">
        <v>46113.0</v>
      </c>
      <c r="F5850" s="28">
        <v>46171.0</v>
      </c>
      <c r="G5850" s="29"/>
    </row>
    <row r="5851" ht="15.75" customHeight="1">
      <c r="A5851" s="30" t="s">
        <v>9515</v>
      </c>
      <c r="B5851" s="31" t="s">
        <v>594</v>
      </c>
      <c r="C5851" s="31" t="s">
        <v>1354</v>
      </c>
      <c r="D5851" s="30" t="s">
        <v>3663</v>
      </c>
      <c r="E5851" s="32">
        <v>46113.0</v>
      </c>
      <c r="F5851" s="32">
        <v>46171.0</v>
      </c>
      <c r="G5851" s="33"/>
    </row>
    <row r="5852" ht="15.75" customHeight="1">
      <c r="A5852" s="26" t="s">
        <v>9516</v>
      </c>
      <c r="B5852" s="27" t="s">
        <v>594</v>
      </c>
      <c r="C5852" s="27" t="s">
        <v>1304</v>
      </c>
      <c r="D5852" s="26" t="s">
        <v>3663</v>
      </c>
      <c r="E5852" s="28">
        <v>46113.0</v>
      </c>
      <c r="F5852" s="28">
        <v>46171.0</v>
      </c>
      <c r="G5852" s="29"/>
    </row>
    <row r="5853" ht="15.75" customHeight="1">
      <c r="A5853" s="30" t="s">
        <v>9517</v>
      </c>
      <c r="B5853" s="31" t="s">
        <v>594</v>
      </c>
      <c r="C5853" s="31" t="s">
        <v>1306</v>
      </c>
      <c r="D5853" s="30" t="s">
        <v>3663</v>
      </c>
      <c r="E5853" s="32">
        <v>46113.0</v>
      </c>
      <c r="F5853" s="32">
        <v>46171.0</v>
      </c>
      <c r="G5853" s="33"/>
    </row>
    <row r="5854" ht="15.75" customHeight="1">
      <c r="A5854" s="26" t="s">
        <v>9518</v>
      </c>
      <c r="B5854" s="27" t="s">
        <v>594</v>
      </c>
      <c r="C5854" s="27" t="s">
        <v>1308</v>
      </c>
      <c r="D5854" s="26" t="s">
        <v>3663</v>
      </c>
      <c r="E5854" s="28">
        <v>46113.0</v>
      </c>
      <c r="F5854" s="28">
        <v>46171.0</v>
      </c>
      <c r="G5854" s="29"/>
    </row>
    <row r="5855" ht="15.75" customHeight="1">
      <c r="A5855" s="30" t="s">
        <v>9519</v>
      </c>
      <c r="B5855" s="31" t="s">
        <v>594</v>
      </c>
      <c r="C5855" s="31" t="s">
        <v>1310</v>
      </c>
      <c r="D5855" s="30" t="s">
        <v>3663</v>
      </c>
      <c r="E5855" s="32">
        <v>46113.0</v>
      </c>
      <c r="F5855" s="32">
        <v>46171.0</v>
      </c>
      <c r="G5855" s="33"/>
    </row>
    <row r="5856" ht="15.75" customHeight="1">
      <c r="A5856" s="26" t="s">
        <v>9520</v>
      </c>
      <c r="B5856" s="27" t="s">
        <v>594</v>
      </c>
      <c r="C5856" s="27" t="s">
        <v>1312</v>
      </c>
      <c r="D5856" s="26" t="s">
        <v>3663</v>
      </c>
      <c r="E5856" s="28">
        <v>46113.0</v>
      </c>
      <c r="F5856" s="28">
        <v>46171.0</v>
      </c>
      <c r="G5856" s="29"/>
    </row>
    <row r="5857" ht="15.75" customHeight="1">
      <c r="A5857" s="30" t="s">
        <v>9521</v>
      </c>
      <c r="B5857" s="31" t="s">
        <v>594</v>
      </c>
      <c r="C5857" s="31" t="s">
        <v>3681</v>
      </c>
      <c r="D5857" s="30" t="s">
        <v>3663</v>
      </c>
      <c r="E5857" s="32">
        <v>46113.0</v>
      </c>
      <c r="F5857" s="32">
        <v>46171.0</v>
      </c>
      <c r="G5857" s="33"/>
    </row>
    <row r="5858" ht="15.75" customHeight="1">
      <c r="A5858" s="26" t="s">
        <v>9522</v>
      </c>
      <c r="B5858" s="27" t="s">
        <v>594</v>
      </c>
      <c r="C5858" s="27" t="s">
        <v>3683</v>
      </c>
      <c r="D5858" s="26" t="s">
        <v>3663</v>
      </c>
      <c r="E5858" s="28">
        <v>46113.0</v>
      </c>
      <c r="F5858" s="28">
        <v>46171.0</v>
      </c>
      <c r="G5858" s="29"/>
    </row>
    <row r="5859" ht="15.75" customHeight="1">
      <c r="A5859" s="30" t="s">
        <v>9523</v>
      </c>
      <c r="B5859" s="31" t="s">
        <v>594</v>
      </c>
      <c r="C5859" s="31" t="s">
        <v>1208</v>
      </c>
      <c r="D5859" s="30" t="s">
        <v>3663</v>
      </c>
      <c r="E5859" s="32">
        <v>46113.0</v>
      </c>
      <c r="F5859" s="32">
        <v>46171.0</v>
      </c>
      <c r="G5859" s="33"/>
    </row>
    <row r="5860" ht="15.75" customHeight="1">
      <c r="A5860" s="26" t="s">
        <v>9524</v>
      </c>
      <c r="B5860" s="27" t="s">
        <v>594</v>
      </c>
      <c r="C5860" s="27" t="s">
        <v>1351</v>
      </c>
      <c r="D5860" s="26" t="s">
        <v>3663</v>
      </c>
      <c r="E5860" s="28">
        <v>46113.0</v>
      </c>
      <c r="F5860" s="28">
        <v>46171.0</v>
      </c>
      <c r="G5860" s="29"/>
    </row>
    <row r="5861" ht="15.75" customHeight="1">
      <c r="A5861" s="30" t="s">
        <v>9525</v>
      </c>
      <c r="B5861" s="31" t="s">
        <v>594</v>
      </c>
      <c r="C5861" s="31" t="s">
        <v>1349</v>
      </c>
      <c r="D5861" s="30" t="s">
        <v>3663</v>
      </c>
      <c r="E5861" s="32">
        <v>46113.0</v>
      </c>
      <c r="F5861" s="32">
        <v>46171.0</v>
      </c>
      <c r="G5861" s="33"/>
    </row>
    <row r="5862" ht="15.75" customHeight="1">
      <c r="A5862" s="26" t="s">
        <v>9526</v>
      </c>
      <c r="B5862" s="27" t="s">
        <v>594</v>
      </c>
      <c r="C5862" s="27" t="s">
        <v>968</v>
      </c>
      <c r="D5862" s="26" t="s">
        <v>3663</v>
      </c>
      <c r="E5862" s="28">
        <v>46113.0</v>
      </c>
      <c r="F5862" s="28">
        <v>46171.0</v>
      </c>
      <c r="G5862" s="29"/>
    </row>
    <row r="5863" ht="15.75" customHeight="1">
      <c r="A5863" s="30" t="s">
        <v>9527</v>
      </c>
      <c r="B5863" s="31" t="s">
        <v>594</v>
      </c>
      <c r="C5863" s="31" t="s">
        <v>923</v>
      </c>
      <c r="D5863" s="30" t="s">
        <v>3663</v>
      </c>
      <c r="E5863" s="32">
        <v>46113.0</v>
      </c>
      <c r="F5863" s="32">
        <v>46171.0</v>
      </c>
      <c r="G5863" s="33"/>
    </row>
    <row r="5864" ht="15.75" customHeight="1">
      <c r="A5864" s="26" t="s">
        <v>9528</v>
      </c>
      <c r="B5864" s="27" t="s">
        <v>1285</v>
      </c>
      <c r="C5864" s="27" t="s">
        <v>3654</v>
      </c>
      <c r="D5864" s="26" t="s">
        <v>3663</v>
      </c>
      <c r="E5864" s="28">
        <v>46113.0</v>
      </c>
      <c r="F5864" s="28">
        <v>46171.0</v>
      </c>
      <c r="G5864" s="29"/>
    </row>
    <row r="5865" ht="15.75" customHeight="1">
      <c r="A5865" s="30" t="s">
        <v>9529</v>
      </c>
      <c r="B5865" s="31" t="s">
        <v>1285</v>
      </c>
      <c r="C5865" s="31" t="s">
        <v>3655</v>
      </c>
      <c r="D5865" s="30" t="s">
        <v>3663</v>
      </c>
      <c r="E5865" s="32">
        <v>46113.0</v>
      </c>
      <c r="F5865" s="32">
        <v>46171.0</v>
      </c>
      <c r="G5865" s="33"/>
    </row>
    <row r="5866" ht="15.75" customHeight="1">
      <c r="A5866" s="26" t="s">
        <v>9530</v>
      </c>
      <c r="B5866" s="27" t="s">
        <v>1285</v>
      </c>
      <c r="C5866" s="27" t="s">
        <v>932</v>
      </c>
      <c r="D5866" s="26" t="s">
        <v>3663</v>
      </c>
      <c r="E5866" s="28">
        <v>46113.0</v>
      </c>
      <c r="F5866" s="28">
        <v>46171.0</v>
      </c>
      <c r="G5866" s="29"/>
    </row>
    <row r="5867" ht="15.75" customHeight="1">
      <c r="A5867" s="30" t="s">
        <v>9531</v>
      </c>
      <c r="B5867" s="31" t="s">
        <v>1285</v>
      </c>
      <c r="C5867" s="31" t="s">
        <v>1168</v>
      </c>
      <c r="D5867" s="30" t="s">
        <v>3663</v>
      </c>
      <c r="E5867" s="32">
        <v>46113.0</v>
      </c>
      <c r="F5867" s="32">
        <v>46171.0</v>
      </c>
      <c r="G5867" s="33"/>
    </row>
    <row r="5868" ht="15.75" customHeight="1">
      <c r="A5868" s="26" t="s">
        <v>9532</v>
      </c>
      <c r="B5868" s="27" t="s">
        <v>1285</v>
      </c>
      <c r="C5868" s="27" t="s">
        <v>1170</v>
      </c>
      <c r="D5868" s="26" t="s">
        <v>3663</v>
      </c>
      <c r="E5868" s="28">
        <v>46113.0</v>
      </c>
      <c r="F5868" s="28">
        <v>46171.0</v>
      </c>
      <c r="G5868" s="29"/>
    </row>
    <row r="5869" ht="15.75" customHeight="1">
      <c r="A5869" s="30" t="s">
        <v>9533</v>
      </c>
      <c r="B5869" s="31" t="s">
        <v>1285</v>
      </c>
      <c r="C5869" s="31" t="s">
        <v>1288</v>
      </c>
      <c r="D5869" s="30" t="s">
        <v>3663</v>
      </c>
      <c r="E5869" s="32">
        <v>46113.0</v>
      </c>
      <c r="F5869" s="32">
        <v>46171.0</v>
      </c>
      <c r="G5869" s="33"/>
    </row>
    <row r="5870" ht="15.75" customHeight="1">
      <c r="A5870" s="26" t="s">
        <v>9534</v>
      </c>
      <c r="B5870" s="27" t="s">
        <v>1285</v>
      </c>
      <c r="C5870" s="27" t="s">
        <v>1291</v>
      </c>
      <c r="D5870" s="26" t="s">
        <v>3663</v>
      </c>
      <c r="E5870" s="28">
        <v>46113.0</v>
      </c>
      <c r="F5870" s="28">
        <v>46171.0</v>
      </c>
      <c r="G5870" s="29"/>
    </row>
    <row r="5871" ht="15.75" customHeight="1">
      <c r="A5871" s="30" t="s">
        <v>9535</v>
      </c>
      <c r="B5871" s="31" t="s">
        <v>1285</v>
      </c>
      <c r="C5871" s="31" t="s">
        <v>1354</v>
      </c>
      <c r="D5871" s="30" t="s">
        <v>3663</v>
      </c>
      <c r="E5871" s="32">
        <v>46113.0</v>
      </c>
      <c r="F5871" s="32">
        <v>46171.0</v>
      </c>
      <c r="G5871" s="33"/>
    </row>
    <row r="5872" ht="15.75" customHeight="1">
      <c r="A5872" s="26" t="s">
        <v>9536</v>
      </c>
      <c r="B5872" s="27" t="s">
        <v>1285</v>
      </c>
      <c r="C5872" s="27" t="s">
        <v>1159</v>
      </c>
      <c r="D5872" s="26" t="s">
        <v>3663</v>
      </c>
      <c r="E5872" s="28">
        <v>46113.0</v>
      </c>
      <c r="F5872" s="28">
        <v>46171.0</v>
      </c>
      <c r="G5872" s="29"/>
    </row>
    <row r="5873" ht="15.75" customHeight="1">
      <c r="A5873" s="30" t="s">
        <v>9537</v>
      </c>
      <c r="B5873" s="31" t="s">
        <v>1285</v>
      </c>
      <c r="C5873" s="31" t="s">
        <v>3647</v>
      </c>
      <c r="D5873" s="30" t="s">
        <v>3663</v>
      </c>
      <c r="E5873" s="32">
        <v>46113.0</v>
      </c>
      <c r="F5873" s="32">
        <v>46171.0</v>
      </c>
      <c r="G5873" s="33"/>
    </row>
    <row r="5874" ht="15.75" customHeight="1">
      <c r="A5874" s="26" t="s">
        <v>9538</v>
      </c>
      <c r="B5874" s="27" t="s">
        <v>1285</v>
      </c>
      <c r="C5874" s="27" t="s">
        <v>952</v>
      </c>
      <c r="D5874" s="26" t="s">
        <v>3663</v>
      </c>
      <c r="E5874" s="28">
        <v>46113.0</v>
      </c>
      <c r="F5874" s="28">
        <v>46171.0</v>
      </c>
      <c r="G5874" s="29"/>
    </row>
    <row r="5875" ht="15.75" customHeight="1">
      <c r="A5875" s="30" t="s">
        <v>9539</v>
      </c>
      <c r="B5875" s="31" t="s">
        <v>1285</v>
      </c>
      <c r="C5875" s="31" t="s">
        <v>1216</v>
      </c>
      <c r="D5875" s="30" t="s">
        <v>3663</v>
      </c>
      <c r="E5875" s="32">
        <v>46113.0</v>
      </c>
      <c r="F5875" s="32">
        <v>46171.0</v>
      </c>
      <c r="G5875" s="33"/>
    </row>
    <row r="5876" ht="15.75" customHeight="1">
      <c r="A5876" s="26" t="s">
        <v>9540</v>
      </c>
      <c r="B5876" s="27" t="s">
        <v>1285</v>
      </c>
      <c r="C5876" s="27" t="s">
        <v>968</v>
      </c>
      <c r="D5876" s="26" t="s">
        <v>3663</v>
      </c>
      <c r="E5876" s="28">
        <v>46113.0</v>
      </c>
      <c r="F5876" s="28">
        <v>46171.0</v>
      </c>
      <c r="G5876" s="29"/>
    </row>
    <row r="5877" ht="15.75" customHeight="1">
      <c r="A5877" s="30" t="s">
        <v>9541</v>
      </c>
      <c r="B5877" s="31" t="s">
        <v>1285</v>
      </c>
      <c r="C5877" s="31" t="s">
        <v>923</v>
      </c>
      <c r="D5877" s="30" t="s">
        <v>3663</v>
      </c>
      <c r="E5877" s="32">
        <v>46113.0</v>
      </c>
      <c r="F5877" s="32">
        <v>46171.0</v>
      </c>
      <c r="G5877" s="33"/>
    </row>
    <row r="5878" ht="15.75" customHeight="1">
      <c r="A5878" s="26" t="s">
        <v>9542</v>
      </c>
      <c r="B5878" s="27" t="s">
        <v>595</v>
      </c>
      <c r="C5878" s="27" t="s">
        <v>928</v>
      </c>
      <c r="D5878" s="26" t="s">
        <v>3663</v>
      </c>
      <c r="E5878" s="28">
        <v>46113.0</v>
      </c>
      <c r="F5878" s="28">
        <v>46171.0</v>
      </c>
      <c r="G5878" s="29"/>
    </row>
    <row r="5879" ht="15.75" customHeight="1">
      <c r="A5879" s="30" t="s">
        <v>9543</v>
      </c>
      <c r="B5879" s="31" t="s">
        <v>595</v>
      </c>
      <c r="C5879" s="31" t="s">
        <v>1354</v>
      </c>
      <c r="D5879" s="30" t="s">
        <v>3663</v>
      </c>
      <c r="E5879" s="32">
        <v>46113.0</v>
      </c>
      <c r="F5879" s="32">
        <v>46171.0</v>
      </c>
      <c r="G5879" s="33"/>
    </row>
    <row r="5880" ht="15.75" customHeight="1">
      <c r="A5880" s="26" t="s">
        <v>9544</v>
      </c>
      <c r="B5880" s="27" t="s">
        <v>595</v>
      </c>
      <c r="C5880" s="27" t="s">
        <v>1222</v>
      </c>
      <c r="D5880" s="26" t="s">
        <v>3663</v>
      </c>
      <c r="E5880" s="28">
        <v>46113.0</v>
      </c>
      <c r="F5880" s="28">
        <v>46171.0</v>
      </c>
      <c r="G5880" s="29"/>
    </row>
    <row r="5881" ht="15.75" customHeight="1">
      <c r="A5881" s="30" t="s">
        <v>9545</v>
      </c>
      <c r="B5881" s="31" t="s">
        <v>595</v>
      </c>
      <c r="C5881" s="31" t="s">
        <v>1224</v>
      </c>
      <c r="D5881" s="30" t="s">
        <v>3663</v>
      </c>
      <c r="E5881" s="32">
        <v>46113.0</v>
      </c>
      <c r="F5881" s="32">
        <v>46171.0</v>
      </c>
      <c r="G5881" s="33"/>
    </row>
    <row r="5882" ht="15.75" customHeight="1">
      <c r="A5882" s="26" t="s">
        <v>9546</v>
      </c>
      <c r="B5882" s="27" t="s">
        <v>595</v>
      </c>
      <c r="C5882" s="27" t="s">
        <v>1226</v>
      </c>
      <c r="D5882" s="26" t="s">
        <v>3663</v>
      </c>
      <c r="E5882" s="28">
        <v>46113.0</v>
      </c>
      <c r="F5882" s="28">
        <v>46171.0</v>
      </c>
      <c r="G5882" s="29"/>
    </row>
    <row r="5883" ht="15.75" customHeight="1">
      <c r="A5883" s="30" t="s">
        <v>9547</v>
      </c>
      <c r="B5883" s="31" t="s">
        <v>595</v>
      </c>
      <c r="C5883" s="31" t="s">
        <v>1228</v>
      </c>
      <c r="D5883" s="30" t="s">
        <v>3663</v>
      </c>
      <c r="E5883" s="32">
        <v>46113.0</v>
      </c>
      <c r="F5883" s="32">
        <v>46171.0</v>
      </c>
      <c r="G5883" s="33"/>
    </row>
    <row r="5884" ht="15.75" customHeight="1">
      <c r="A5884" s="26" t="s">
        <v>9548</v>
      </c>
      <c r="B5884" s="27" t="s">
        <v>595</v>
      </c>
      <c r="C5884" s="27" t="s">
        <v>1190</v>
      </c>
      <c r="D5884" s="26" t="s">
        <v>3663</v>
      </c>
      <c r="E5884" s="28">
        <v>46113.0</v>
      </c>
      <c r="F5884" s="28">
        <v>46171.0</v>
      </c>
      <c r="G5884" s="29"/>
    </row>
    <row r="5885" ht="15.75" customHeight="1">
      <c r="A5885" s="30" t="s">
        <v>9549</v>
      </c>
      <c r="B5885" s="31" t="s">
        <v>595</v>
      </c>
      <c r="C5885" s="31" t="s">
        <v>1159</v>
      </c>
      <c r="D5885" s="30" t="s">
        <v>3663</v>
      </c>
      <c r="E5885" s="32">
        <v>46113.0</v>
      </c>
      <c r="F5885" s="32">
        <v>46171.0</v>
      </c>
      <c r="G5885" s="33"/>
    </row>
    <row r="5886" ht="15.75" customHeight="1">
      <c r="A5886" s="26" t="s">
        <v>9550</v>
      </c>
      <c r="B5886" s="27" t="s">
        <v>595</v>
      </c>
      <c r="C5886" s="27" t="s">
        <v>3647</v>
      </c>
      <c r="D5886" s="26" t="s">
        <v>3663</v>
      </c>
      <c r="E5886" s="28">
        <v>46113.0</v>
      </c>
      <c r="F5886" s="28">
        <v>46171.0</v>
      </c>
      <c r="G5886" s="29"/>
    </row>
    <row r="5887" ht="15.75" customHeight="1">
      <c r="A5887" s="30" t="s">
        <v>9551</v>
      </c>
      <c r="B5887" s="31" t="s">
        <v>595</v>
      </c>
      <c r="C5887" s="31" t="s">
        <v>952</v>
      </c>
      <c r="D5887" s="30" t="s">
        <v>3663</v>
      </c>
      <c r="E5887" s="32">
        <v>46113.0</v>
      </c>
      <c r="F5887" s="32">
        <v>46171.0</v>
      </c>
      <c r="G5887" s="33"/>
    </row>
    <row r="5888" ht="15.75" customHeight="1">
      <c r="A5888" s="26" t="s">
        <v>9552</v>
      </c>
      <c r="B5888" s="27" t="s">
        <v>595</v>
      </c>
      <c r="C5888" s="27" t="s">
        <v>3653</v>
      </c>
      <c r="D5888" s="26" t="s">
        <v>3663</v>
      </c>
      <c r="E5888" s="28">
        <v>46113.0</v>
      </c>
      <c r="F5888" s="28">
        <v>46171.0</v>
      </c>
      <c r="G5888" s="29"/>
    </row>
    <row r="5889" ht="15.75" customHeight="1">
      <c r="A5889" s="30" t="s">
        <v>9553</v>
      </c>
      <c r="B5889" s="31" t="s">
        <v>595</v>
      </c>
      <c r="C5889" s="31" t="s">
        <v>3652</v>
      </c>
      <c r="D5889" s="31" t="s">
        <v>3663</v>
      </c>
      <c r="E5889" s="32">
        <v>46113.0</v>
      </c>
      <c r="F5889" s="32">
        <v>46171.0</v>
      </c>
      <c r="G5889" s="33"/>
    </row>
    <row r="5890" ht="15.75" customHeight="1">
      <c r="A5890" s="26" t="s">
        <v>9554</v>
      </c>
      <c r="B5890" s="27" t="s">
        <v>595</v>
      </c>
      <c r="C5890" s="27" t="s">
        <v>968</v>
      </c>
      <c r="D5890" s="26" t="s">
        <v>3663</v>
      </c>
      <c r="E5890" s="28">
        <v>46113.0</v>
      </c>
      <c r="F5890" s="28">
        <v>46171.0</v>
      </c>
      <c r="G5890" s="29"/>
    </row>
    <row r="5891" ht="15.75" customHeight="1">
      <c r="A5891" s="30" t="s">
        <v>9555</v>
      </c>
      <c r="B5891" s="31" t="s">
        <v>595</v>
      </c>
      <c r="C5891" s="31" t="s">
        <v>923</v>
      </c>
      <c r="D5891" s="30" t="s">
        <v>3663</v>
      </c>
      <c r="E5891" s="32">
        <v>46113.0</v>
      </c>
      <c r="F5891" s="32">
        <v>46171.0</v>
      </c>
      <c r="G5891" s="33"/>
    </row>
    <row r="5892" ht="15.75" customHeight="1">
      <c r="A5892" s="26" t="s">
        <v>9556</v>
      </c>
      <c r="B5892" s="27" t="s">
        <v>596</v>
      </c>
      <c r="C5892" s="27" t="s">
        <v>3654</v>
      </c>
      <c r="D5892" s="26" t="s">
        <v>3663</v>
      </c>
      <c r="E5892" s="28">
        <v>46113.0</v>
      </c>
      <c r="F5892" s="28">
        <v>46171.0</v>
      </c>
      <c r="G5892" s="29"/>
    </row>
    <row r="5893" ht="15.75" customHeight="1">
      <c r="A5893" s="30" t="s">
        <v>9557</v>
      </c>
      <c r="B5893" s="31" t="s">
        <v>596</v>
      </c>
      <c r="C5893" s="31" t="s">
        <v>3655</v>
      </c>
      <c r="D5893" s="30" t="s">
        <v>3663</v>
      </c>
      <c r="E5893" s="32">
        <v>46113.0</v>
      </c>
      <c r="F5893" s="32">
        <v>46171.0</v>
      </c>
      <c r="G5893" s="33"/>
    </row>
    <row r="5894" ht="15.75" customHeight="1">
      <c r="A5894" s="26" t="s">
        <v>9558</v>
      </c>
      <c r="B5894" s="27" t="s">
        <v>596</v>
      </c>
      <c r="C5894" s="27" t="s">
        <v>928</v>
      </c>
      <c r="D5894" s="26" t="s">
        <v>3663</v>
      </c>
      <c r="E5894" s="28">
        <v>46113.0</v>
      </c>
      <c r="F5894" s="28">
        <v>46171.0</v>
      </c>
      <c r="G5894" s="29"/>
    </row>
    <row r="5895" ht="15.75" customHeight="1">
      <c r="A5895" s="30" t="s">
        <v>9559</v>
      </c>
      <c r="B5895" s="31" t="s">
        <v>596</v>
      </c>
      <c r="C5895" s="31" t="s">
        <v>1354</v>
      </c>
      <c r="D5895" s="30" t="s">
        <v>3663</v>
      </c>
      <c r="E5895" s="32">
        <v>46113.0</v>
      </c>
      <c r="F5895" s="32">
        <v>46171.0</v>
      </c>
      <c r="G5895" s="33"/>
    </row>
    <row r="5896" ht="15.75" customHeight="1">
      <c r="A5896" s="26" t="s">
        <v>9560</v>
      </c>
      <c r="B5896" s="27" t="s">
        <v>596</v>
      </c>
      <c r="C5896" s="27" t="s">
        <v>1222</v>
      </c>
      <c r="D5896" s="26" t="s">
        <v>3663</v>
      </c>
      <c r="E5896" s="28">
        <v>46113.0</v>
      </c>
      <c r="F5896" s="28">
        <v>46171.0</v>
      </c>
      <c r="G5896" s="29"/>
    </row>
    <row r="5897" ht="15.75" customHeight="1">
      <c r="A5897" s="30" t="s">
        <v>9561</v>
      </c>
      <c r="B5897" s="31" t="s">
        <v>596</v>
      </c>
      <c r="C5897" s="31" t="s">
        <v>1224</v>
      </c>
      <c r="D5897" s="30" t="s">
        <v>3663</v>
      </c>
      <c r="E5897" s="32">
        <v>46113.0</v>
      </c>
      <c r="F5897" s="32">
        <v>46171.0</v>
      </c>
      <c r="G5897" s="33"/>
    </row>
    <row r="5898" ht="15.75" customHeight="1">
      <c r="A5898" s="26" t="s">
        <v>9562</v>
      </c>
      <c r="B5898" s="27" t="s">
        <v>596</v>
      </c>
      <c r="C5898" s="27" t="s">
        <v>1226</v>
      </c>
      <c r="D5898" s="26" t="s">
        <v>3663</v>
      </c>
      <c r="E5898" s="28">
        <v>46113.0</v>
      </c>
      <c r="F5898" s="28">
        <v>46171.0</v>
      </c>
      <c r="G5898" s="29"/>
    </row>
    <row r="5899" ht="15.75" customHeight="1">
      <c r="A5899" s="30" t="s">
        <v>9563</v>
      </c>
      <c r="B5899" s="31" t="s">
        <v>596</v>
      </c>
      <c r="C5899" s="31" t="s">
        <v>1228</v>
      </c>
      <c r="D5899" s="30" t="s">
        <v>3663</v>
      </c>
      <c r="E5899" s="32">
        <v>46113.0</v>
      </c>
      <c r="F5899" s="32">
        <v>46171.0</v>
      </c>
      <c r="G5899" s="33"/>
    </row>
    <row r="5900" ht="15.75" customHeight="1">
      <c r="A5900" s="26" t="s">
        <v>9564</v>
      </c>
      <c r="B5900" s="27" t="s">
        <v>596</v>
      </c>
      <c r="C5900" s="27" t="s">
        <v>1172</v>
      </c>
      <c r="D5900" s="26" t="s">
        <v>3663</v>
      </c>
      <c r="E5900" s="28">
        <v>46113.0</v>
      </c>
      <c r="F5900" s="28">
        <v>46171.0</v>
      </c>
      <c r="G5900" s="29"/>
    </row>
    <row r="5901" ht="15.75" customHeight="1">
      <c r="A5901" s="30" t="s">
        <v>9565</v>
      </c>
      <c r="B5901" s="31" t="s">
        <v>596</v>
      </c>
      <c r="C5901" s="31" t="s">
        <v>3647</v>
      </c>
      <c r="D5901" s="30" t="s">
        <v>3663</v>
      </c>
      <c r="E5901" s="32">
        <v>46113.0</v>
      </c>
      <c r="F5901" s="32">
        <v>46171.0</v>
      </c>
      <c r="G5901" s="33"/>
    </row>
    <row r="5902" ht="15.75" customHeight="1">
      <c r="A5902" s="26" t="s">
        <v>9566</v>
      </c>
      <c r="B5902" s="27" t="s">
        <v>596</v>
      </c>
      <c r="C5902" s="27" t="s">
        <v>952</v>
      </c>
      <c r="D5902" s="26" t="s">
        <v>3663</v>
      </c>
      <c r="E5902" s="28">
        <v>46113.0</v>
      </c>
      <c r="F5902" s="28">
        <v>46171.0</v>
      </c>
      <c r="G5902" s="29"/>
    </row>
    <row r="5903" ht="15.75" customHeight="1">
      <c r="A5903" s="30" t="s">
        <v>9567</v>
      </c>
      <c r="B5903" s="31" t="s">
        <v>596</v>
      </c>
      <c r="C5903" s="31" t="s">
        <v>968</v>
      </c>
      <c r="D5903" s="30" t="s">
        <v>3663</v>
      </c>
      <c r="E5903" s="32">
        <v>46113.0</v>
      </c>
      <c r="F5903" s="32">
        <v>46171.0</v>
      </c>
      <c r="G5903" s="33"/>
    </row>
    <row r="5904" ht="15.75" customHeight="1">
      <c r="A5904" s="26" t="s">
        <v>9568</v>
      </c>
      <c r="B5904" s="27" t="s">
        <v>596</v>
      </c>
      <c r="C5904" s="27" t="s">
        <v>923</v>
      </c>
      <c r="D5904" s="26" t="s">
        <v>3663</v>
      </c>
      <c r="E5904" s="28">
        <v>46113.0</v>
      </c>
      <c r="F5904" s="28">
        <v>46171.0</v>
      </c>
      <c r="G5904" s="29"/>
    </row>
    <row r="5905" ht="15.75" customHeight="1">
      <c r="A5905" s="30" t="s">
        <v>9569</v>
      </c>
      <c r="B5905" s="31" t="s">
        <v>596</v>
      </c>
      <c r="C5905" s="31" t="s">
        <v>955</v>
      </c>
      <c r="D5905" s="30" t="s">
        <v>3663</v>
      </c>
      <c r="E5905" s="32">
        <v>46113.0</v>
      </c>
      <c r="F5905" s="32">
        <v>46171.0</v>
      </c>
      <c r="G5905" s="33"/>
    </row>
    <row r="5906" ht="15.75" customHeight="1">
      <c r="A5906" s="26" t="s">
        <v>9570</v>
      </c>
      <c r="B5906" s="27" t="s">
        <v>597</v>
      </c>
      <c r="C5906" s="27" t="s">
        <v>3654</v>
      </c>
      <c r="D5906" s="26" t="s">
        <v>3663</v>
      </c>
      <c r="E5906" s="28">
        <v>46113.0</v>
      </c>
      <c r="F5906" s="28">
        <v>46171.0</v>
      </c>
      <c r="G5906" s="29"/>
    </row>
    <row r="5907" ht="15.75" customHeight="1">
      <c r="A5907" s="30" t="s">
        <v>9571</v>
      </c>
      <c r="B5907" s="31" t="s">
        <v>597</v>
      </c>
      <c r="C5907" s="31" t="s">
        <v>3655</v>
      </c>
      <c r="D5907" s="30" t="s">
        <v>3663</v>
      </c>
      <c r="E5907" s="32">
        <v>46113.0</v>
      </c>
      <c r="F5907" s="32">
        <v>46171.0</v>
      </c>
      <c r="G5907" s="33"/>
    </row>
    <row r="5908" ht="15.75" customHeight="1">
      <c r="A5908" s="26" t="s">
        <v>9572</v>
      </c>
      <c r="B5908" s="27" t="s">
        <v>597</v>
      </c>
      <c r="C5908" s="27" t="s">
        <v>930</v>
      </c>
      <c r="D5908" s="26" t="s">
        <v>3663</v>
      </c>
      <c r="E5908" s="28">
        <v>46113.0</v>
      </c>
      <c r="F5908" s="28">
        <v>46171.0</v>
      </c>
      <c r="G5908" s="29"/>
    </row>
    <row r="5909" ht="15.75" customHeight="1">
      <c r="A5909" s="30" t="s">
        <v>9573</v>
      </c>
      <c r="B5909" s="31" t="s">
        <v>597</v>
      </c>
      <c r="C5909" s="31" t="s">
        <v>1354</v>
      </c>
      <c r="D5909" s="30" t="s">
        <v>3663</v>
      </c>
      <c r="E5909" s="32">
        <v>46113.0</v>
      </c>
      <c r="F5909" s="32">
        <v>46171.0</v>
      </c>
      <c r="G5909" s="33"/>
    </row>
    <row r="5910" ht="15.75" customHeight="1">
      <c r="A5910" s="26" t="s">
        <v>9574</v>
      </c>
      <c r="B5910" s="27" t="s">
        <v>597</v>
      </c>
      <c r="C5910" s="27" t="s">
        <v>1304</v>
      </c>
      <c r="D5910" s="26" t="s">
        <v>3663</v>
      </c>
      <c r="E5910" s="28">
        <v>46113.0</v>
      </c>
      <c r="F5910" s="28">
        <v>46171.0</v>
      </c>
      <c r="G5910" s="29"/>
    </row>
    <row r="5911" ht="15.75" customHeight="1">
      <c r="A5911" s="30" t="s">
        <v>9575</v>
      </c>
      <c r="B5911" s="31" t="s">
        <v>597</v>
      </c>
      <c r="C5911" s="31" t="s">
        <v>1306</v>
      </c>
      <c r="D5911" s="30" t="s">
        <v>3663</v>
      </c>
      <c r="E5911" s="32">
        <v>46113.0</v>
      </c>
      <c r="F5911" s="32">
        <v>46171.0</v>
      </c>
      <c r="G5911" s="33"/>
    </row>
    <row r="5912" ht="15.75" customHeight="1">
      <c r="A5912" s="26" t="s">
        <v>9576</v>
      </c>
      <c r="B5912" s="27" t="s">
        <v>597</v>
      </c>
      <c r="C5912" s="27" t="s">
        <v>1308</v>
      </c>
      <c r="D5912" s="26" t="s">
        <v>3663</v>
      </c>
      <c r="E5912" s="28">
        <v>46113.0</v>
      </c>
      <c r="F5912" s="28">
        <v>46171.0</v>
      </c>
      <c r="G5912" s="29"/>
    </row>
    <row r="5913" ht="15.75" customHeight="1">
      <c r="A5913" s="30" t="s">
        <v>9577</v>
      </c>
      <c r="B5913" s="31" t="s">
        <v>597</v>
      </c>
      <c r="C5913" s="31" t="s">
        <v>1310</v>
      </c>
      <c r="D5913" s="30" t="s">
        <v>3663</v>
      </c>
      <c r="E5913" s="32">
        <v>46113.0</v>
      </c>
      <c r="F5913" s="32">
        <v>46171.0</v>
      </c>
      <c r="G5913" s="33"/>
    </row>
    <row r="5914" ht="15.75" customHeight="1">
      <c r="A5914" s="26" t="s">
        <v>9578</v>
      </c>
      <c r="B5914" s="27" t="s">
        <v>597</v>
      </c>
      <c r="C5914" s="27" t="s">
        <v>1218</v>
      </c>
      <c r="D5914" s="26" t="s">
        <v>3663</v>
      </c>
      <c r="E5914" s="28">
        <v>46113.0</v>
      </c>
      <c r="F5914" s="28">
        <v>46171.0</v>
      </c>
      <c r="G5914" s="29"/>
    </row>
    <row r="5915" ht="15.75" customHeight="1">
      <c r="A5915" s="30" t="s">
        <v>9579</v>
      </c>
      <c r="B5915" s="31" t="s">
        <v>597</v>
      </c>
      <c r="C5915" s="31" t="s">
        <v>1351</v>
      </c>
      <c r="D5915" s="30" t="s">
        <v>3663</v>
      </c>
      <c r="E5915" s="32">
        <v>46113.0</v>
      </c>
      <c r="F5915" s="32">
        <v>46171.0</v>
      </c>
      <c r="G5915" s="33"/>
    </row>
    <row r="5916" ht="15.75" customHeight="1">
      <c r="A5916" s="26" t="s">
        <v>9580</v>
      </c>
      <c r="B5916" s="27" t="s">
        <v>597</v>
      </c>
      <c r="C5916" s="27" t="s">
        <v>1349</v>
      </c>
      <c r="D5916" s="26" t="s">
        <v>3663</v>
      </c>
      <c r="E5916" s="28">
        <v>46113.0</v>
      </c>
      <c r="F5916" s="28">
        <v>46171.0</v>
      </c>
      <c r="G5916" s="29"/>
    </row>
    <row r="5917" ht="15.75" customHeight="1">
      <c r="A5917" s="30" t="s">
        <v>9581</v>
      </c>
      <c r="B5917" s="31" t="s">
        <v>597</v>
      </c>
      <c r="C5917" s="31" t="s">
        <v>968</v>
      </c>
      <c r="D5917" s="30" t="s">
        <v>3663</v>
      </c>
      <c r="E5917" s="32">
        <v>46113.0</v>
      </c>
      <c r="F5917" s="32">
        <v>46171.0</v>
      </c>
      <c r="G5917" s="33"/>
    </row>
    <row r="5918" ht="15.75" customHeight="1">
      <c r="A5918" s="26" t="s">
        <v>9582</v>
      </c>
      <c r="B5918" s="27" t="s">
        <v>597</v>
      </c>
      <c r="C5918" s="27" t="s">
        <v>923</v>
      </c>
      <c r="D5918" s="26" t="s">
        <v>3663</v>
      </c>
      <c r="E5918" s="28">
        <v>46113.0</v>
      </c>
      <c r="F5918" s="28">
        <v>46171.0</v>
      </c>
      <c r="G5918" s="29"/>
    </row>
    <row r="5919" ht="15.75" customHeight="1">
      <c r="A5919" s="30" t="s">
        <v>9583</v>
      </c>
      <c r="B5919" s="31" t="s">
        <v>597</v>
      </c>
      <c r="C5919" s="31" t="s">
        <v>955</v>
      </c>
      <c r="D5919" s="30" t="s">
        <v>3663</v>
      </c>
      <c r="E5919" s="32">
        <v>46113.0</v>
      </c>
      <c r="F5919" s="32">
        <v>46171.0</v>
      </c>
      <c r="G5919" s="33"/>
    </row>
    <row r="5920" ht="15.75" customHeight="1">
      <c r="A5920" s="26" t="s">
        <v>9584</v>
      </c>
      <c r="B5920" s="27" t="s">
        <v>598</v>
      </c>
      <c r="C5920" s="27" t="s">
        <v>1240</v>
      </c>
      <c r="D5920" s="26" t="s">
        <v>3663</v>
      </c>
      <c r="E5920" s="28">
        <v>46113.0</v>
      </c>
      <c r="F5920" s="28">
        <v>46171.0</v>
      </c>
      <c r="G5920" s="29"/>
    </row>
    <row r="5921" ht="15.75" customHeight="1">
      <c r="A5921" s="30" t="s">
        <v>9585</v>
      </c>
      <c r="B5921" s="31" t="s">
        <v>598</v>
      </c>
      <c r="C5921" s="31" t="s">
        <v>1242</v>
      </c>
      <c r="D5921" s="30" t="s">
        <v>3663</v>
      </c>
      <c r="E5921" s="32">
        <v>46113.0</v>
      </c>
      <c r="F5921" s="32">
        <v>46171.0</v>
      </c>
      <c r="G5921" s="33"/>
    </row>
    <row r="5922" ht="15.75" customHeight="1">
      <c r="A5922" s="26" t="s">
        <v>9586</v>
      </c>
      <c r="B5922" s="27" t="s">
        <v>598</v>
      </c>
      <c r="C5922" s="27" t="s">
        <v>1244</v>
      </c>
      <c r="D5922" s="26" t="s">
        <v>3663</v>
      </c>
      <c r="E5922" s="28">
        <v>46113.0</v>
      </c>
      <c r="F5922" s="28">
        <v>46171.0</v>
      </c>
      <c r="G5922" s="29"/>
    </row>
    <row r="5923" ht="15.75" customHeight="1">
      <c r="A5923" s="30" t="s">
        <v>9587</v>
      </c>
      <c r="B5923" s="31" t="s">
        <v>598</v>
      </c>
      <c r="C5923" s="31" t="s">
        <v>1246</v>
      </c>
      <c r="D5923" s="30" t="s">
        <v>3663</v>
      </c>
      <c r="E5923" s="32">
        <v>46113.0</v>
      </c>
      <c r="F5923" s="32">
        <v>46171.0</v>
      </c>
      <c r="G5923" s="33"/>
    </row>
    <row r="5924" ht="15.75" customHeight="1">
      <c r="A5924" s="26" t="s">
        <v>9588</v>
      </c>
      <c r="B5924" s="27" t="s">
        <v>598</v>
      </c>
      <c r="C5924" s="27" t="s">
        <v>934</v>
      </c>
      <c r="D5924" s="26" t="s">
        <v>3663</v>
      </c>
      <c r="E5924" s="28">
        <v>46113.0</v>
      </c>
      <c r="F5924" s="28">
        <v>46171.0</v>
      </c>
      <c r="G5924" s="29"/>
    </row>
    <row r="5925" ht="15.75" customHeight="1">
      <c r="A5925" s="30" t="s">
        <v>9589</v>
      </c>
      <c r="B5925" s="31" t="s">
        <v>598</v>
      </c>
      <c r="C5925" s="31" t="s">
        <v>1354</v>
      </c>
      <c r="D5925" s="30" t="s">
        <v>3663</v>
      </c>
      <c r="E5925" s="32">
        <v>46113.0</v>
      </c>
      <c r="F5925" s="32">
        <v>46171.0</v>
      </c>
      <c r="G5925" s="33"/>
    </row>
    <row r="5926" ht="15.75" customHeight="1">
      <c r="A5926" s="26" t="s">
        <v>9590</v>
      </c>
      <c r="B5926" s="27" t="s">
        <v>598</v>
      </c>
      <c r="C5926" s="27" t="s">
        <v>1312</v>
      </c>
      <c r="D5926" s="26" t="s">
        <v>3663</v>
      </c>
      <c r="E5926" s="28">
        <v>46113.0</v>
      </c>
      <c r="F5926" s="28">
        <v>46171.0</v>
      </c>
      <c r="G5926" s="29"/>
    </row>
    <row r="5927" ht="15.75" customHeight="1">
      <c r="A5927" s="30" t="s">
        <v>9591</v>
      </c>
      <c r="B5927" s="31" t="s">
        <v>598</v>
      </c>
      <c r="C5927" s="31" t="s">
        <v>3656</v>
      </c>
      <c r="D5927" s="30" t="s">
        <v>3663</v>
      </c>
      <c r="E5927" s="32">
        <v>46113.0</v>
      </c>
      <c r="F5927" s="32">
        <v>46171.0</v>
      </c>
      <c r="G5927" s="33"/>
    </row>
    <row r="5928" ht="15.75" customHeight="1">
      <c r="A5928" s="26" t="s">
        <v>9592</v>
      </c>
      <c r="B5928" s="27" t="s">
        <v>598</v>
      </c>
      <c r="C5928" s="27" t="s">
        <v>3657</v>
      </c>
      <c r="D5928" s="26" t="s">
        <v>3663</v>
      </c>
      <c r="E5928" s="28">
        <v>46113.0</v>
      </c>
      <c r="F5928" s="28">
        <v>46171.0</v>
      </c>
      <c r="G5928" s="29"/>
    </row>
    <row r="5929" ht="15.75" customHeight="1">
      <c r="A5929" s="30" t="s">
        <v>9593</v>
      </c>
      <c r="B5929" s="31" t="s">
        <v>598</v>
      </c>
      <c r="C5929" s="31" t="s">
        <v>3647</v>
      </c>
      <c r="D5929" s="30" t="s">
        <v>3663</v>
      </c>
      <c r="E5929" s="32">
        <v>46113.0</v>
      </c>
      <c r="F5929" s="32">
        <v>46171.0</v>
      </c>
      <c r="G5929" s="33"/>
    </row>
    <row r="5930" ht="15.75" customHeight="1">
      <c r="A5930" s="26" t="s">
        <v>9594</v>
      </c>
      <c r="B5930" s="27" t="s">
        <v>598</v>
      </c>
      <c r="C5930" s="27" t="s">
        <v>952</v>
      </c>
      <c r="D5930" s="26" t="s">
        <v>3663</v>
      </c>
      <c r="E5930" s="28">
        <v>46113.0</v>
      </c>
      <c r="F5930" s="28">
        <v>46171.0</v>
      </c>
      <c r="G5930" s="29"/>
    </row>
    <row r="5931" ht="15.75" customHeight="1">
      <c r="A5931" s="30" t="s">
        <v>9595</v>
      </c>
      <c r="B5931" s="31" t="s">
        <v>598</v>
      </c>
      <c r="C5931" s="31" t="s">
        <v>1218</v>
      </c>
      <c r="D5931" s="30" t="s">
        <v>3663</v>
      </c>
      <c r="E5931" s="32">
        <v>46113.0</v>
      </c>
      <c r="F5931" s="32">
        <v>46171.0</v>
      </c>
      <c r="G5931" s="33"/>
    </row>
    <row r="5932" ht="15.75" customHeight="1">
      <c r="A5932" s="26" t="s">
        <v>9596</v>
      </c>
      <c r="B5932" s="27" t="s">
        <v>598</v>
      </c>
      <c r="C5932" s="27" t="s">
        <v>968</v>
      </c>
      <c r="D5932" s="26" t="s">
        <v>3663</v>
      </c>
      <c r="E5932" s="28">
        <v>46113.0</v>
      </c>
      <c r="F5932" s="28">
        <v>46171.0</v>
      </c>
      <c r="G5932" s="29"/>
    </row>
    <row r="5933" ht="15.75" customHeight="1">
      <c r="A5933" s="30" t="s">
        <v>9597</v>
      </c>
      <c r="B5933" s="31" t="s">
        <v>598</v>
      </c>
      <c r="C5933" s="31" t="s">
        <v>923</v>
      </c>
      <c r="D5933" s="30" t="s">
        <v>3663</v>
      </c>
      <c r="E5933" s="32">
        <v>46113.0</v>
      </c>
      <c r="F5933" s="32">
        <v>46171.0</v>
      </c>
      <c r="G5933" s="33"/>
    </row>
    <row r="5934" ht="15.75" customHeight="1">
      <c r="A5934" s="26" t="s">
        <v>9598</v>
      </c>
      <c r="B5934" s="27" t="s">
        <v>600</v>
      </c>
      <c r="C5934" s="27" t="s">
        <v>3654</v>
      </c>
      <c r="D5934" s="26" t="s">
        <v>3663</v>
      </c>
      <c r="E5934" s="28">
        <v>46113.0</v>
      </c>
      <c r="F5934" s="28">
        <v>46171.0</v>
      </c>
      <c r="G5934" s="29"/>
    </row>
    <row r="5935" ht="15.75" customHeight="1">
      <c r="A5935" s="30" t="s">
        <v>9599</v>
      </c>
      <c r="B5935" s="31" t="s">
        <v>600</v>
      </c>
      <c r="C5935" s="31" t="s">
        <v>3655</v>
      </c>
      <c r="D5935" s="30" t="s">
        <v>3663</v>
      </c>
      <c r="E5935" s="32">
        <v>46113.0</v>
      </c>
      <c r="F5935" s="32">
        <v>46171.0</v>
      </c>
      <c r="G5935" s="33"/>
    </row>
    <row r="5936" ht="15.75" customHeight="1">
      <c r="A5936" s="26" t="s">
        <v>9600</v>
      </c>
      <c r="B5936" s="27" t="s">
        <v>600</v>
      </c>
      <c r="C5936" s="27" t="s">
        <v>934</v>
      </c>
      <c r="D5936" s="26" t="s">
        <v>3663</v>
      </c>
      <c r="E5936" s="28">
        <v>46113.0</v>
      </c>
      <c r="F5936" s="28">
        <v>46171.0</v>
      </c>
      <c r="G5936" s="29"/>
    </row>
    <row r="5937" ht="15.75" customHeight="1">
      <c r="A5937" s="30" t="s">
        <v>9601</v>
      </c>
      <c r="B5937" s="31" t="s">
        <v>600</v>
      </c>
      <c r="C5937" s="31" t="s">
        <v>1354</v>
      </c>
      <c r="D5937" s="30" t="s">
        <v>3663</v>
      </c>
      <c r="E5937" s="32">
        <v>46113.0</v>
      </c>
      <c r="F5937" s="32">
        <v>46171.0</v>
      </c>
      <c r="G5937" s="33"/>
    </row>
    <row r="5938" ht="15.75" customHeight="1">
      <c r="A5938" s="26" t="s">
        <v>9602</v>
      </c>
      <c r="B5938" s="27" t="s">
        <v>600</v>
      </c>
      <c r="C5938" s="27" t="s">
        <v>3605</v>
      </c>
      <c r="D5938" s="26" t="s">
        <v>3663</v>
      </c>
      <c r="E5938" s="28">
        <v>46113.0</v>
      </c>
      <c r="F5938" s="28">
        <v>46171.0</v>
      </c>
      <c r="G5938" s="29"/>
    </row>
    <row r="5939" ht="15.75" customHeight="1">
      <c r="A5939" s="30" t="s">
        <v>9603</v>
      </c>
      <c r="B5939" s="31" t="s">
        <v>600</v>
      </c>
      <c r="C5939" s="31" t="s">
        <v>1208</v>
      </c>
      <c r="D5939" s="30" t="s">
        <v>3663</v>
      </c>
      <c r="E5939" s="32">
        <v>46113.0</v>
      </c>
      <c r="F5939" s="32">
        <v>46171.0</v>
      </c>
      <c r="G5939" s="33"/>
    </row>
    <row r="5940" ht="15.75" customHeight="1">
      <c r="A5940" s="26" t="s">
        <v>9604</v>
      </c>
      <c r="B5940" s="27" t="s">
        <v>600</v>
      </c>
      <c r="C5940" s="27" t="s">
        <v>3647</v>
      </c>
      <c r="D5940" s="26" t="s">
        <v>3663</v>
      </c>
      <c r="E5940" s="28">
        <v>46113.0</v>
      </c>
      <c r="F5940" s="28">
        <v>46171.0</v>
      </c>
      <c r="G5940" s="29"/>
    </row>
    <row r="5941" ht="15.75" customHeight="1">
      <c r="A5941" s="30" t="s">
        <v>9605</v>
      </c>
      <c r="B5941" s="31" t="s">
        <v>600</v>
      </c>
      <c r="C5941" s="31" t="s">
        <v>952</v>
      </c>
      <c r="D5941" s="30" t="s">
        <v>3663</v>
      </c>
      <c r="E5941" s="32">
        <v>46113.0</v>
      </c>
      <c r="F5941" s="32">
        <v>46171.0</v>
      </c>
      <c r="G5941" s="33"/>
    </row>
    <row r="5942" ht="15.75" customHeight="1">
      <c r="A5942" s="26" t="s">
        <v>9606</v>
      </c>
      <c r="B5942" s="27" t="s">
        <v>600</v>
      </c>
      <c r="C5942" s="27" t="s">
        <v>1157</v>
      </c>
      <c r="D5942" s="26" t="s">
        <v>3663</v>
      </c>
      <c r="E5942" s="28">
        <v>46113.0</v>
      </c>
      <c r="F5942" s="28">
        <v>46171.0</v>
      </c>
      <c r="G5942" s="29"/>
    </row>
    <row r="5943" ht="15.75" customHeight="1">
      <c r="A5943" s="30" t="s">
        <v>9607</v>
      </c>
      <c r="B5943" s="31" t="s">
        <v>600</v>
      </c>
      <c r="C5943" s="31" t="s">
        <v>1155</v>
      </c>
      <c r="D5943" s="30" t="s">
        <v>3663</v>
      </c>
      <c r="E5943" s="32">
        <v>46113.0</v>
      </c>
      <c r="F5943" s="32">
        <v>46171.0</v>
      </c>
      <c r="G5943" s="33"/>
    </row>
    <row r="5944" ht="15.75" customHeight="1">
      <c r="A5944" s="26" t="s">
        <v>9608</v>
      </c>
      <c r="B5944" s="27" t="s">
        <v>600</v>
      </c>
      <c r="C5944" s="27" t="s">
        <v>1153</v>
      </c>
      <c r="D5944" s="26" t="s">
        <v>3663</v>
      </c>
      <c r="E5944" s="28">
        <v>46113.0</v>
      </c>
      <c r="F5944" s="28">
        <v>46171.0</v>
      </c>
      <c r="G5944" s="29"/>
    </row>
    <row r="5945" ht="15.75" customHeight="1">
      <c r="A5945" s="30" t="s">
        <v>9609</v>
      </c>
      <c r="B5945" s="31" t="s">
        <v>600</v>
      </c>
      <c r="C5945" s="31" t="s">
        <v>1149</v>
      </c>
      <c r="D5945" s="30" t="s">
        <v>3663</v>
      </c>
      <c r="E5945" s="32">
        <v>46113.0</v>
      </c>
      <c r="F5945" s="32">
        <v>46171.0</v>
      </c>
      <c r="G5945" s="33"/>
    </row>
    <row r="5946" ht="15.75" customHeight="1">
      <c r="A5946" s="26" t="s">
        <v>9610</v>
      </c>
      <c r="B5946" s="27" t="s">
        <v>600</v>
      </c>
      <c r="C5946" s="27" t="s">
        <v>965</v>
      </c>
      <c r="D5946" s="26" t="s">
        <v>3663</v>
      </c>
      <c r="E5946" s="28">
        <v>46113.0</v>
      </c>
      <c r="F5946" s="28">
        <v>46171.0</v>
      </c>
      <c r="G5946" s="29"/>
    </row>
    <row r="5947" ht="15.75" customHeight="1">
      <c r="A5947" s="30" t="s">
        <v>9611</v>
      </c>
      <c r="B5947" s="31" t="s">
        <v>600</v>
      </c>
      <c r="C5947" s="31" t="s">
        <v>923</v>
      </c>
      <c r="D5947" s="30" t="s">
        <v>3663</v>
      </c>
      <c r="E5947" s="32">
        <v>46113.0</v>
      </c>
      <c r="F5947" s="32">
        <v>46171.0</v>
      </c>
      <c r="G5947" s="33"/>
    </row>
    <row r="5948" ht="15.75" customHeight="1">
      <c r="A5948" s="26" t="s">
        <v>9612</v>
      </c>
      <c r="B5948" s="27" t="s">
        <v>601</v>
      </c>
      <c r="C5948" s="27" t="s">
        <v>930</v>
      </c>
      <c r="D5948" s="26" t="s">
        <v>3663</v>
      </c>
      <c r="E5948" s="28">
        <v>46113.0</v>
      </c>
      <c r="F5948" s="28">
        <v>46171.0</v>
      </c>
      <c r="G5948" s="29"/>
    </row>
    <row r="5949" ht="15.75" customHeight="1">
      <c r="A5949" s="30" t="s">
        <v>9613</v>
      </c>
      <c r="B5949" s="31" t="s">
        <v>601</v>
      </c>
      <c r="C5949" s="31" t="s">
        <v>1354</v>
      </c>
      <c r="D5949" s="30" t="s">
        <v>3663</v>
      </c>
      <c r="E5949" s="32">
        <v>46113.0</v>
      </c>
      <c r="F5949" s="32">
        <v>46171.0</v>
      </c>
      <c r="G5949" s="33"/>
    </row>
    <row r="5950" ht="15.75" customHeight="1">
      <c r="A5950" s="26" t="s">
        <v>9614</v>
      </c>
      <c r="B5950" s="27" t="s">
        <v>601</v>
      </c>
      <c r="C5950" s="27" t="s">
        <v>1190</v>
      </c>
      <c r="D5950" s="26" t="s">
        <v>3663</v>
      </c>
      <c r="E5950" s="28">
        <v>46113.0</v>
      </c>
      <c r="F5950" s="28">
        <v>46171.0</v>
      </c>
      <c r="G5950" s="29"/>
    </row>
    <row r="5951" ht="15.75" customHeight="1">
      <c r="A5951" s="30" t="s">
        <v>9615</v>
      </c>
      <c r="B5951" s="31" t="s">
        <v>601</v>
      </c>
      <c r="C5951" s="31" t="s">
        <v>1216</v>
      </c>
      <c r="D5951" s="30" t="s">
        <v>3663</v>
      </c>
      <c r="E5951" s="32">
        <v>46113.0</v>
      </c>
      <c r="F5951" s="32">
        <v>46171.0</v>
      </c>
      <c r="G5951" s="33"/>
    </row>
    <row r="5952" ht="15.75" customHeight="1">
      <c r="A5952" s="26" t="s">
        <v>9616</v>
      </c>
      <c r="B5952" s="27" t="s">
        <v>601</v>
      </c>
      <c r="C5952" s="27" t="s">
        <v>1157</v>
      </c>
      <c r="D5952" s="26" t="s">
        <v>3663</v>
      </c>
      <c r="E5952" s="28">
        <v>46113.0</v>
      </c>
      <c r="F5952" s="28">
        <v>46171.0</v>
      </c>
      <c r="G5952" s="29"/>
    </row>
    <row r="5953" ht="15.75" customHeight="1">
      <c r="A5953" s="30" t="s">
        <v>9617</v>
      </c>
      <c r="B5953" s="31" t="s">
        <v>601</v>
      </c>
      <c r="C5953" s="31" t="s">
        <v>1155</v>
      </c>
      <c r="D5953" s="30" t="s">
        <v>3663</v>
      </c>
      <c r="E5953" s="32">
        <v>46113.0</v>
      </c>
      <c r="F5953" s="32">
        <v>46171.0</v>
      </c>
      <c r="G5953" s="33"/>
    </row>
    <row r="5954" ht="15.75" customHeight="1">
      <c r="A5954" s="26" t="s">
        <v>9618</v>
      </c>
      <c r="B5954" s="27" t="s">
        <v>601</v>
      </c>
      <c r="C5954" s="27" t="s">
        <v>1153</v>
      </c>
      <c r="D5954" s="26" t="s">
        <v>3663</v>
      </c>
      <c r="E5954" s="28">
        <v>46113.0</v>
      </c>
      <c r="F5954" s="28">
        <v>46171.0</v>
      </c>
      <c r="G5954" s="29"/>
    </row>
    <row r="5955" ht="15.75" customHeight="1">
      <c r="A5955" s="30" t="s">
        <v>9619</v>
      </c>
      <c r="B5955" s="31" t="s">
        <v>601</v>
      </c>
      <c r="C5955" s="31" t="s">
        <v>1149</v>
      </c>
      <c r="D5955" s="30" t="s">
        <v>3663</v>
      </c>
      <c r="E5955" s="32">
        <v>46113.0</v>
      </c>
      <c r="F5955" s="32">
        <v>46171.0</v>
      </c>
      <c r="G5955" s="33"/>
    </row>
    <row r="5956" ht="15.75" customHeight="1">
      <c r="A5956" s="26" t="s">
        <v>9620</v>
      </c>
      <c r="B5956" s="27" t="s">
        <v>601</v>
      </c>
      <c r="C5956" s="27" t="s">
        <v>1351</v>
      </c>
      <c r="D5956" s="26" t="s">
        <v>3663</v>
      </c>
      <c r="E5956" s="28">
        <v>46113.0</v>
      </c>
      <c r="F5956" s="28">
        <v>46171.0</v>
      </c>
      <c r="G5956" s="29"/>
    </row>
    <row r="5957" ht="15.75" customHeight="1">
      <c r="A5957" s="30" t="s">
        <v>9621</v>
      </c>
      <c r="B5957" s="31" t="s">
        <v>601</v>
      </c>
      <c r="C5957" s="31" t="s">
        <v>1349</v>
      </c>
      <c r="D5957" s="30" t="s">
        <v>3663</v>
      </c>
      <c r="E5957" s="32">
        <v>46113.0</v>
      </c>
      <c r="F5957" s="32">
        <v>46171.0</v>
      </c>
      <c r="G5957" s="33"/>
    </row>
    <row r="5958" ht="15.75" customHeight="1">
      <c r="A5958" s="26" t="s">
        <v>9622</v>
      </c>
      <c r="B5958" s="27" t="s">
        <v>601</v>
      </c>
      <c r="C5958" s="27" t="s">
        <v>3653</v>
      </c>
      <c r="D5958" s="26" t="s">
        <v>3663</v>
      </c>
      <c r="E5958" s="28">
        <v>46113.0</v>
      </c>
      <c r="F5958" s="28">
        <v>46171.0</v>
      </c>
      <c r="G5958" s="29"/>
    </row>
    <row r="5959" ht="15.75" customHeight="1">
      <c r="A5959" s="30" t="s">
        <v>9623</v>
      </c>
      <c r="B5959" s="31" t="s">
        <v>601</v>
      </c>
      <c r="C5959" s="31" t="s">
        <v>3652</v>
      </c>
      <c r="D5959" s="31" t="s">
        <v>3663</v>
      </c>
      <c r="E5959" s="32">
        <v>46113.0</v>
      </c>
      <c r="F5959" s="32">
        <v>46171.0</v>
      </c>
      <c r="G5959" s="33"/>
    </row>
    <row r="5960" ht="15.75" customHeight="1">
      <c r="A5960" s="26" t="s">
        <v>9624</v>
      </c>
      <c r="B5960" s="27" t="s">
        <v>601</v>
      </c>
      <c r="C5960" s="27" t="s">
        <v>965</v>
      </c>
      <c r="D5960" s="26" t="s">
        <v>3663</v>
      </c>
      <c r="E5960" s="28">
        <v>46113.0</v>
      </c>
      <c r="F5960" s="28">
        <v>46171.0</v>
      </c>
      <c r="G5960" s="29"/>
    </row>
    <row r="5961" ht="15.75" customHeight="1">
      <c r="A5961" s="30" t="s">
        <v>9625</v>
      </c>
      <c r="B5961" s="31" t="s">
        <v>601</v>
      </c>
      <c r="C5961" s="31" t="s">
        <v>923</v>
      </c>
      <c r="D5961" s="30" t="s">
        <v>3663</v>
      </c>
      <c r="E5961" s="32">
        <v>46113.0</v>
      </c>
      <c r="F5961" s="32">
        <v>46171.0</v>
      </c>
      <c r="G5961" s="33"/>
    </row>
    <row r="5962" ht="15.75" customHeight="1">
      <c r="A5962" s="26" t="s">
        <v>9626</v>
      </c>
      <c r="B5962" s="27" t="s">
        <v>602</v>
      </c>
      <c r="C5962" s="27" t="s">
        <v>3638</v>
      </c>
      <c r="D5962" s="26" t="s">
        <v>3663</v>
      </c>
      <c r="E5962" s="28">
        <v>46113.0</v>
      </c>
      <c r="F5962" s="28">
        <v>46171.0</v>
      </c>
      <c r="G5962" s="29"/>
    </row>
    <row r="5963" ht="15.75" customHeight="1">
      <c r="A5963" s="30" t="s">
        <v>9627</v>
      </c>
      <c r="B5963" s="31" t="s">
        <v>602</v>
      </c>
      <c r="C5963" s="31" t="s">
        <v>930</v>
      </c>
      <c r="D5963" s="30" t="s">
        <v>3663</v>
      </c>
      <c r="E5963" s="32">
        <v>46113.0</v>
      </c>
      <c r="F5963" s="32">
        <v>46171.0</v>
      </c>
      <c r="G5963" s="33"/>
    </row>
    <row r="5964" ht="15.75" customHeight="1">
      <c r="A5964" s="26" t="s">
        <v>9628</v>
      </c>
      <c r="B5964" s="27" t="s">
        <v>602</v>
      </c>
      <c r="C5964" s="27" t="s">
        <v>1354</v>
      </c>
      <c r="D5964" s="26" t="s">
        <v>3663</v>
      </c>
      <c r="E5964" s="28">
        <v>46113.0</v>
      </c>
      <c r="F5964" s="28">
        <v>46171.0</v>
      </c>
      <c r="G5964" s="29"/>
    </row>
    <row r="5965" ht="15.75" customHeight="1">
      <c r="A5965" s="30" t="s">
        <v>9629</v>
      </c>
      <c r="B5965" s="31" t="s">
        <v>602</v>
      </c>
      <c r="C5965" s="31" t="s">
        <v>3641</v>
      </c>
      <c r="D5965" s="30" t="s">
        <v>3663</v>
      </c>
      <c r="E5965" s="32">
        <v>46113.0</v>
      </c>
      <c r="F5965" s="32">
        <v>46171.0</v>
      </c>
      <c r="G5965" s="33"/>
    </row>
    <row r="5966" ht="15.75" customHeight="1">
      <c r="A5966" s="26" t="s">
        <v>9630</v>
      </c>
      <c r="B5966" s="27" t="s">
        <v>602</v>
      </c>
      <c r="C5966" s="27" t="s">
        <v>1304</v>
      </c>
      <c r="D5966" s="26" t="s">
        <v>3663</v>
      </c>
      <c r="E5966" s="28">
        <v>46113.0</v>
      </c>
      <c r="F5966" s="28">
        <v>46171.0</v>
      </c>
      <c r="G5966" s="29"/>
    </row>
    <row r="5967" ht="15.75" customHeight="1">
      <c r="A5967" s="30" t="s">
        <v>9631</v>
      </c>
      <c r="B5967" s="31" t="s">
        <v>602</v>
      </c>
      <c r="C5967" s="31" t="s">
        <v>3642</v>
      </c>
      <c r="D5967" s="30" t="s">
        <v>3663</v>
      </c>
      <c r="E5967" s="32">
        <v>46113.0</v>
      </c>
      <c r="F5967" s="32">
        <v>46171.0</v>
      </c>
      <c r="G5967" s="33"/>
    </row>
    <row r="5968" ht="15.75" customHeight="1">
      <c r="A5968" s="26" t="s">
        <v>9632</v>
      </c>
      <c r="B5968" s="27" t="s">
        <v>602</v>
      </c>
      <c r="C5968" s="27" t="s">
        <v>1308</v>
      </c>
      <c r="D5968" s="26" t="s">
        <v>3663</v>
      </c>
      <c r="E5968" s="28">
        <v>46113.0</v>
      </c>
      <c r="F5968" s="28">
        <v>46171.0</v>
      </c>
      <c r="G5968" s="29"/>
    </row>
    <row r="5969" ht="15.75" customHeight="1">
      <c r="A5969" s="30" t="s">
        <v>9633</v>
      </c>
      <c r="B5969" s="31" t="s">
        <v>602</v>
      </c>
      <c r="C5969" s="31" t="s">
        <v>3605</v>
      </c>
      <c r="D5969" s="30" t="s">
        <v>3663</v>
      </c>
      <c r="E5969" s="32">
        <v>46113.0</v>
      </c>
      <c r="F5969" s="32">
        <v>46171.0</v>
      </c>
      <c r="G5969" s="33"/>
    </row>
    <row r="5970" ht="15.75" customHeight="1">
      <c r="A5970" s="26" t="s">
        <v>9634</v>
      </c>
      <c r="B5970" s="27" t="s">
        <v>602</v>
      </c>
      <c r="C5970" s="27" t="s">
        <v>3656</v>
      </c>
      <c r="D5970" s="26" t="s">
        <v>3663</v>
      </c>
      <c r="E5970" s="28">
        <v>46113.0</v>
      </c>
      <c r="F5970" s="28">
        <v>46171.0</v>
      </c>
      <c r="G5970" s="29"/>
    </row>
    <row r="5971" ht="15.75" customHeight="1">
      <c r="A5971" s="30" t="s">
        <v>9635</v>
      </c>
      <c r="B5971" s="31" t="s">
        <v>602</v>
      </c>
      <c r="C5971" s="31" t="s">
        <v>3657</v>
      </c>
      <c r="D5971" s="30" t="s">
        <v>3663</v>
      </c>
      <c r="E5971" s="32">
        <v>46113.0</v>
      </c>
      <c r="F5971" s="32">
        <v>46171.0</v>
      </c>
      <c r="G5971" s="33"/>
    </row>
    <row r="5972" ht="15.75" customHeight="1">
      <c r="A5972" s="26" t="s">
        <v>9636</v>
      </c>
      <c r="B5972" s="27" t="s">
        <v>602</v>
      </c>
      <c r="C5972" s="27" t="s">
        <v>1351</v>
      </c>
      <c r="D5972" s="26" t="s">
        <v>3663</v>
      </c>
      <c r="E5972" s="28">
        <v>46113.0</v>
      </c>
      <c r="F5972" s="28">
        <v>46171.0</v>
      </c>
      <c r="G5972" s="29"/>
    </row>
    <row r="5973" ht="15.75" customHeight="1">
      <c r="A5973" s="30" t="s">
        <v>9637</v>
      </c>
      <c r="B5973" s="31" t="s">
        <v>602</v>
      </c>
      <c r="C5973" s="31" t="s">
        <v>1349</v>
      </c>
      <c r="D5973" s="30" t="s">
        <v>3663</v>
      </c>
      <c r="E5973" s="32">
        <v>46113.0</v>
      </c>
      <c r="F5973" s="32">
        <v>46171.0</v>
      </c>
      <c r="G5973" s="33"/>
    </row>
    <row r="5974" ht="15.75" customHeight="1">
      <c r="A5974" s="26" t="s">
        <v>9638</v>
      </c>
      <c r="B5974" s="27" t="s">
        <v>602</v>
      </c>
      <c r="C5974" s="27" t="s">
        <v>968</v>
      </c>
      <c r="D5974" s="26" t="s">
        <v>3663</v>
      </c>
      <c r="E5974" s="28">
        <v>46113.0</v>
      </c>
      <c r="F5974" s="28">
        <v>46171.0</v>
      </c>
      <c r="G5974" s="29"/>
    </row>
    <row r="5975" ht="15.75" customHeight="1">
      <c r="A5975" s="30" t="s">
        <v>9639</v>
      </c>
      <c r="B5975" s="31" t="s">
        <v>602</v>
      </c>
      <c r="C5975" s="31" t="s">
        <v>923</v>
      </c>
      <c r="D5975" s="30" t="s">
        <v>3663</v>
      </c>
      <c r="E5975" s="32">
        <v>46113.0</v>
      </c>
      <c r="F5975" s="32">
        <v>46171.0</v>
      </c>
      <c r="G5975" s="33"/>
    </row>
    <row r="5976" ht="15.75" customHeight="1">
      <c r="A5976" s="26" t="s">
        <v>9640</v>
      </c>
      <c r="B5976" s="27" t="s">
        <v>603</v>
      </c>
      <c r="C5976" s="27" t="s">
        <v>3654</v>
      </c>
      <c r="D5976" s="26" t="s">
        <v>3663</v>
      </c>
      <c r="E5976" s="28">
        <v>46113.0</v>
      </c>
      <c r="F5976" s="28">
        <v>46171.0</v>
      </c>
      <c r="G5976" s="29"/>
    </row>
    <row r="5977" ht="15.75" customHeight="1">
      <c r="A5977" s="30" t="s">
        <v>9641</v>
      </c>
      <c r="B5977" s="31" t="s">
        <v>603</v>
      </c>
      <c r="C5977" s="31" t="s">
        <v>3655</v>
      </c>
      <c r="D5977" s="30" t="s">
        <v>3663</v>
      </c>
      <c r="E5977" s="32">
        <v>46113.0</v>
      </c>
      <c r="F5977" s="32">
        <v>46171.0</v>
      </c>
      <c r="G5977" s="33"/>
    </row>
    <row r="5978" ht="15.75" customHeight="1">
      <c r="A5978" s="26" t="s">
        <v>9642</v>
      </c>
      <c r="B5978" s="27" t="s">
        <v>603</v>
      </c>
      <c r="C5978" s="27" t="s">
        <v>930</v>
      </c>
      <c r="D5978" s="26" t="s">
        <v>3663</v>
      </c>
      <c r="E5978" s="28">
        <v>46113.0</v>
      </c>
      <c r="F5978" s="28">
        <v>46171.0</v>
      </c>
      <c r="G5978" s="29"/>
    </row>
    <row r="5979" ht="15.75" customHeight="1">
      <c r="A5979" s="30" t="s">
        <v>9643</v>
      </c>
      <c r="B5979" s="31" t="s">
        <v>603</v>
      </c>
      <c r="C5979" s="31" t="s">
        <v>1354</v>
      </c>
      <c r="D5979" s="30" t="s">
        <v>3663</v>
      </c>
      <c r="E5979" s="32">
        <v>46113.0</v>
      </c>
      <c r="F5979" s="32">
        <v>46171.0</v>
      </c>
      <c r="G5979" s="33"/>
    </row>
    <row r="5980" ht="15.75" customHeight="1">
      <c r="A5980" s="26" t="s">
        <v>9644</v>
      </c>
      <c r="B5980" s="27" t="s">
        <v>603</v>
      </c>
      <c r="C5980" s="27" t="s">
        <v>1216</v>
      </c>
      <c r="D5980" s="26" t="s">
        <v>3663</v>
      </c>
      <c r="E5980" s="28">
        <v>46113.0</v>
      </c>
      <c r="F5980" s="28">
        <v>46171.0</v>
      </c>
      <c r="G5980" s="29"/>
    </row>
    <row r="5981" ht="15.75" customHeight="1">
      <c r="A5981" s="30" t="s">
        <v>9645</v>
      </c>
      <c r="B5981" s="31" t="s">
        <v>603</v>
      </c>
      <c r="C5981" s="31" t="s">
        <v>1157</v>
      </c>
      <c r="D5981" s="30" t="s">
        <v>3663</v>
      </c>
      <c r="E5981" s="32">
        <v>46113.0</v>
      </c>
      <c r="F5981" s="32">
        <v>46171.0</v>
      </c>
      <c r="G5981" s="33"/>
    </row>
    <row r="5982" ht="15.75" customHeight="1">
      <c r="A5982" s="26" t="s">
        <v>9646</v>
      </c>
      <c r="B5982" s="27" t="s">
        <v>603</v>
      </c>
      <c r="C5982" s="27" t="s">
        <v>1155</v>
      </c>
      <c r="D5982" s="26" t="s">
        <v>3663</v>
      </c>
      <c r="E5982" s="28">
        <v>46113.0</v>
      </c>
      <c r="F5982" s="28">
        <v>46171.0</v>
      </c>
      <c r="G5982" s="29"/>
    </row>
    <row r="5983" ht="15.75" customHeight="1">
      <c r="A5983" s="30" t="s">
        <v>9647</v>
      </c>
      <c r="B5983" s="31" t="s">
        <v>603</v>
      </c>
      <c r="C5983" s="31" t="s">
        <v>1153</v>
      </c>
      <c r="D5983" s="30" t="s">
        <v>3663</v>
      </c>
      <c r="E5983" s="32">
        <v>46113.0</v>
      </c>
      <c r="F5983" s="32">
        <v>46171.0</v>
      </c>
      <c r="G5983" s="33"/>
    </row>
    <row r="5984" ht="15.75" customHeight="1">
      <c r="A5984" s="26" t="s">
        <v>9648</v>
      </c>
      <c r="B5984" s="27" t="s">
        <v>603</v>
      </c>
      <c r="C5984" s="27" t="s">
        <v>1149</v>
      </c>
      <c r="D5984" s="26" t="s">
        <v>3663</v>
      </c>
      <c r="E5984" s="28">
        <v>46113.0</v>
      </c>
      <c r="F5984" s="28">
        <v>46171.0</v>
      </c>
      <c r="G5984" s="29"/>
    </row>
    <row r="5985" ht="15.75" customHeight="1">
      <c r="A5985" s="30" t="s">
        <v>9649</v>
      </c>
      <c r="B5985" s="31" t="s">
        <v>603</v>
      </c>
      <c r="C5985" s="31" t="s">
        <v>1351</v>
      </c>
      <c r="D5985" s="30" t="s">
        <v>3663</v>
      </c>
      <c r="E5985" s="32">
        <v>46113.0</v>
      </c>
      <c r="F5985" s="32">
        <v>46171.0</v>
      </c>
      <c r="G5985" s="33"/>
    </row>
    <row r="5986" ht="15.75" customHeight="1">
      <c r="A5986" s="26" t="s">
        <v>9650</v>
      </c>
      <c r="B5986" s="27" t="s">
        <v>603</v>
      </c>
      <c r="C5986" s="27" t="s">
        <v>1349</v>
      </c>
      <c r="D5986" s="26" t="s">
        <v>3663</v>
      </c>
      <c r="E5986" s="28">
        <v>46113.0</v>
      </c>
      <c r="F5986" s="28">
        <v>46171.0</v>
      </c>
      <c r="G5986" s="29"/>
    </row>
    <row r="5987" ht="15.75" customHeight="1">
      <c r="A5987" s="30" t="s">
        <v>9651</v>
      </c>
      <c r="B5987" s="31" t="s">
        <v>603</v>
      </c>
      <c r="C5987" s="31" t="s">
        <v>968</v>
      </c>
      <c r="D5987" s="30" t="s">
        <v>3663</v>
      </c>
      <c r="E5987" s="32">
        <v>46113.0</v>
      </c>
      <c r="F5987" s="32">
        <v>46171.0</v>
      </c>
      <c r="G5987" s="33"/>
    </row>
    <row r="5988" ht="15.75" customHeight="1">
      <c r="A5988" s="26" t="s">
        <v>9652</v>
      </c>
      <c r="B5988" s="27" t="s">
        <v>603</v>
      </c>
      <c r="C5988" s="27" t="s">
        <v>923</v>
      </c>
      <c r="D5988" s="26" t="s">
        <v>3663</v>
      </c>
      <c r="E5988" s="28">
        <v>46113.0</v>
      </c>
      <c r="F5988" s="28">
        <v>46171.0</v>
      </c>
      <c r="G5988" s="29"/>
    </row>
    <row r="5989" ht="15.75" customHeight="1">
      <c r="A5989" s="30" t="s">
        <v>9653</v>
      </c>
      <c r="B5989" s="31" t="s">
        <v>603</v>
      </c>
      <c r="C5989" s="31" t="s">
        <v>963</v>
      </c>
      <c r="D5989" s="30" t="s">
        <v>3663</v>
      </c>
      <c r="E5989" s="32">
        <v>46113.0</v>
      </c>
      <c r="F5989" s="32">
        <v>46171.0</v>
      </c>
      <c r="G5989" s="33"/>
    </row>
    <row r="5990" ht="15.75" customHeight="1">
      <c r="A5990" s="26" t="s">
        <v>9654</v>
      </c>
      <c r="B5990" s="27" t="s">
        <v>604</v>
      </c>
      <c r="C5990" s="27" t="s">
        <v>3638</v>
      </c>
      <c r="D5990" s="26" t="s">
        <v>3663</v>
      </c>
      <c r="E5990" s="28">
        <v>46113.0</v>
      </c>
      <c r="F5990" s="28">
        <v>46171.0</v>
      </c>
      <c r="G5990" s="29"/>
    </row>
    <row r="5991" ht="15.75" customHeight="1">
      <c r="A5991" s="30" t="s">
        <v>9655</v>
      </c>
      <c r="B5991" s="31" t="s">
        <v>604</v>
      </c>
      <c r="C5991" s="31" t="s">
        <v>930</v>
      </c>
      <c r="D5991" s="30" t="s">
        <v>3663</v>
      </c>
      <c r="E5991" s="32">
        <v>46113.0</v>
      </c>
      <c r="F5991" s="32">
        <v>46171.0</v>
      </c>
      <c r="G5991" s="33"/>
    </row>
    <row r="5992" ht="15.75" customHeight="1">
      <c r="A5992" s="26" t="s">
        <v>9656</v>
      </c>
      <c r="B5992" s="27" t="s">
        <v>604</v>
      </c>
      <c r="C5992" s="27" t="s">
        <v>1354</v>
      </c>
      <c r="D5992" s="26" t="s">
        <v>3663</v>
      </c>
      <c r="E5992" s="28">
        <v>46113.0</v>
      </c>
      <c r="F5992" s="28">
        <v>46171.0</v>
      </c>
      <c r="G5992" s="29"/>
    </row>
    <row r="5993" ht="15.75" customHeight="1">
      <c r="A5993" s="30" t="s">
        <v>9657</v>
      </c>
      <c r="B5993" s="31" t="s">
        <v>604</v>
      </c>
      <c r="C5993" s="31" t="s">
        <v>1218</v>
      </c>
      <c r="D5993" s="30" t="s">
        <v>3663</v>
      </c>
      <c r="E5993" s="32">
        <v>46113.0</v>
      </c>
      <c r="F5993" s="32">
        <v>46171.0</v>
      </c>
      <c r="G5993" s="33"/>
    </row>
    <row r="5994" ht="15.75" customHeight="1">
      <c r="A5994" s="26" t="s">
        <v>9658</v>
      </c>
      <c r="B5994" s="27" t="s">
        <v>604</v>
      </c>
      <c r="C5994" s="27" t="s">
        <v>1157</v>
      </c>
      <c r="D5994" s="26" t="s">
        <v>3663</v>
      </c>
      <c r="E5994" s="28">
        <v>46113.0</v>
      </c>
      <c r="F5994" s="28">
        <v>46171.0</v>
      </c>
      <c r="G5994" s="29"/>
    </row>
    <row r="5995" ht="15.75" customHeight="1">
      <c r="A5995" s="30" t="s">
        <v>9659</v>
      </c>
      <c r="B5995" s="31" t="s">
        <v>604</v>
      </c>
      <c r="C5995" s="31" t="s">
        <v>1155</v>
      </c>
      <c r="D5995" s="30" t="s">
        <v>3663</v>
      </c>
      <c r="E5995" s="32">
        <v>46113.0</v>
      </c>
      <c r="F5995" s="32">
        <v>46171.0</v>
      </c>
      <c r="G5995" s="33"/>
    </row>
    <row r="5996" ht="15.75" customHeight="1">
      <c r="A5996" s="26" t="s">
        <v>9660</v>
      </c>
      <c r="B5996" s="27" t="s">
        <v>604</v>
      </c>
      <c r="C5996" s="27" t="s">
        <v>1153</v>
      </c>
      <c r="D5996" s="26" t="s">
        <v>3663</v>
      </c>
      <c r="E5996" s="28">
        <v>46113.0</v>
      </c>
      <c r="F5996" s="28">
        <v>46171.0</v>
      </c>
      <c r="G5996" s="29"/>
    </row>
    <row r="5997" ht="15.75" customHeight="1">
      <c r="A5997" s="30" t="s">
        <v>9661</v>
      </c>
      <c r="B5997" s="31" t="s">
        <v>604</v>
      </c>
      <c r="C5997" s="31" t="s">
        <v>1149</v>
      </c>
      <c r="D5997" s="30" t="s">
        <v>3663</v>
      </c>
      <c r="E5997" s="32">
        <v>46113.0</v>
      </c>
      <c r="F5997" s="32">
        <v>46171.0</v>
      </c>
      <c r="G5997" s="33"/>
    </row>
    <row r="5998" ht="15.75" customHeight="1">
      <c r="A5998" s="26" t="s">
        <v>9662</v>
      </c>
      <c r="B5998" s="27" t="s">
        <v>604</v>
      </c>
      <c r="C5998" s="27" t="s">
        <v>1351</v>
      </c>
      <c r="D5998" s="26" t="s">
        <v>3663</v>
      </c>
      <c r="E5998" s="28">
        <v>46113.0</v>
      </c>
      <c r="F5998" s="28">
        <v>46171.0</v>
      </c>
      <c r="G5998" s="29"/>
    </row>
    <row r="5999" ht="15.75" customHeight="1">
      <c r="A5999" s="30" t="s">
        <v>9663</v>
      </c>
      <c r="B5999" s="31" t="s">
        <v>604</v>
      </c>
      <c r="C5999" s="31" t="s">
        <v>1349</v>
      </c>
      <c r="D5999" s="30" t="s">
        <v>3663</v>
      </c>
      <c r="E5999" s="32">
        <v>46113.0</v>
      </c>
      <c r="F5999" s="32">
        <v>46171.0</v>
      </c>
      <c r="G5999" s="33"/>
    </row>
    <row r="6000" ht="15.75" customHeight="1">
      <c r="A6000" s="26" t="s">
        <v>9664</v>
      </c>
      <c r="B6000" s="27" t="s">
        <v>604</v>
      </c>
      <c r="C6000" s="27" t="s">
        <v>3653</v>
      </c>
      <c r="D6000" s="26" t="s">
        <v>3663</v>
      </c>
      <c r="E6000" s="28">
        <v>46113.0</v>
      </c>
      <c r="F6000" s="28">
        <v>46171.0</v>
      </c>
      <c r="G6000" s="29"/>
    </row>
    <row r="6001" ht="15.75" customHeight="1">
      <c r="A6001" s="30" t="s">
        <v>9665</v>
      </c>
      <c r="B6001" s="31" t="s">
        <v>604</v>
      </c>
      <c r="C6001" s="31" t="s">
        <v>3652</v>
      </c>
      <c r="D6001" s="31" t="s">
        <v>3663</v>
      </c>
      <c r="E6001" s="32">
        <v>46113.0</v>
      </c>
      <c r="F6001" s="32">
        <v>46171.0</v>
      </c>
      <c r="G6001" s="33"/>
    </row>
    <row r="6002" ht="15.75" customHeight="1">
      <c r="A6002" s="26" t="s">
        <v>9666</v>
      </c>
      <c r="B6002" s="27" t="s">
        <v>604</v>
      </c>
      <c r="C6002" s="27" t="s">
        <v>968</v>
      </c>
      <c r="D6002" s="26" t="s">
        <v>3663</v>
      </c>
      <c r="E6002" s="28">
        <v>46113.0</v>
      </c>
      <c r="F6002" s="28">
        <v>46171.0</v>
      </c>
      <c r="G6002" s="29"/>
    </row>
    <row r="6003" ht="15.75" customHeight="1">
      <c r="A6003" s="30" t="s">
        <v>9667</v>
      </c>
      <c r="B6003" s="31" t="s">
        <v>604</v>
      </c>
      <c r="C6003" s="31" t="s">
        <v>923</v>
      </c>
      <c r="D6003" s="30" t="s">
        <v>3663</v>
      </c>
      <c r="E6003" s="32">
        <v>46113.0</v>
      </c>
      <c r="F6003" s="32">
        <v>46171.0</v>
      </c>
      <c r="G6003" s="33"/>
    </row>
    <row r="6004" ht="15.75" customHeight="1">
      <c r="A6004" s="26" t="s">
        <v>9668</v>
      </c>
      <c r="B6004" s="27" t="s">
        <v>605</v>
      </c>
      <c r="C6004" s="27" t="s">
        <v>926</v>
      </c>
      <c r="D6004" s="27" t="s">
        <v>3663</v>
      </c>
      <c r="E6004" s="28">
        <v>46113.0</v>
      </c>
      <c r="F6004" s="28">
        <v>46171.0</v>
      </c>
      <c r="G6004" s="29"/>
    </row>
    <row r="6005" ht="15.75" customHeight="1">
      <c r="A6005" s="30" t="s">
        <v>9669</v>
      </c>
      <c r="B6005" s="31" t="s">
        <v>605</v>
      </c>
      <c r="C6005" s="31" t="s">
        <v>1323</v>
      </c>
      <c r="D6005" s="30" t="s">
        <v>3663</v>
      </c>
      <c r="E6005" s="32">
        <v>46113.0</v>
      </c>
      <c r="F6005" s="32">
        <v>46171.0</v>
      </c>
      <c r="G6005" s="33"/>
    </row>
    <row r="6006" ht="15.75" customHeight="1">
      <c r="A6006" s="26" t="s">
        <v>9670</v>
      </c>
      <c r="B6006" s="27" t="s">
        <v>605</v>
      </c>
      <c r="C6006" s="27" t="s">
        <v>1354</v>
      </c>
      <c r="D6006" s="26" t="s">
        <v>3663</v>
      </c>
      <c r="E6006" s="28">
        <v>46113.0</v>
      </c>
      <c r="F6006" s="28">
        <v>46171.0</v>
      </c>
      <c r="G6006" s="29"/>
    </row>
    <row r="6007" ht="15.75" customHeight="1">
      <c r="A6007" s="30" t="s">
        <v>9671</v>
      </c>
      <c r="B6007" s="31" t="s">
        <v>605</v>
      </c>
      <c r="C6007" s="31" t="s">
        <v>3681</v>
      </c>
      <c r="D6007" s="30" t="s">
        <v>3663</v>
      </c>
      <c r="E6007" s="32">
        <v>46113.0</v>
      </c>
      <c r="F6007" s="32">
        <v>46171.0</v>
      </c>
      <c r="G6007" s="33"/>
    </row>
    <row r="6008" ht="15.75" customHeight="1">
      <c r="A6008" s="26" t="s">
        <v>9672</v>
      </c>
      <c r="B6008" s="27" t="s">
        <v>605</v>
      </c>
      <c r="C6008" s="27" t="s">
        <v>3683</v>
      </c>
      <c r="D6008" s="26" t="s">
        <v>3663</v>
      </c>
      <c r="E6008" s="28">
        <v>46113.0</v>
      </c>
      <c r="F6008" s="28">
        <v>46171.0</v>
      </c>
      <c r="G6008" s="29"/>
    </row>
    <row r="6009" ht="15.75" customHeight="1">
      <c r="A6009" s="30" t="s">
        <v>9673</v>
      </c>
      <c r="B6009" s="31" t="s">
        <v>605</v>
      </c>
      <c r="C6009" s="31" t="s">
        <v>3648</v>
      </c>
      <c r="D6009" s="31" t="s">
        <v>3663</v>
      </c>
      <c r="E6009" s="32">
        <v>46113.0</v>
      </c>
      <c r="F6009" s="32">
        <v>46171.0</v>
      </c>
      <c r="G6009" s="33"/>
    </row>
    <row r="6010" ht="15.75" customHeight="1">
      <c r="A6010" s="26" t="s">
        <v>9674</v>
      </c>
      <c r="B6010" s="27" t="s">
        <v>605</v>
      </c>
      <c r="C6010" s="27" t="s">
        <v>3649</v>
      </c>
      <c r="D6010" s="27" t="s">
        <v>3663</v>
      </c>
      <c r="E6010" s="28">
        <v>46113.0</v>
      </c>
      <c r="F6010" s="28">
        <v>46171.0</v>
      </c>
      <c r="G6010" s="29"/>
    </row>
    <row r="6011" ht="15.75" customHeight="1">
      <c r="A6011" s="30" t="s">
        <v>9675</v>
      </c>
      <c r="B6011" s="31" t="s">
        <v>605</v>
      </c>
      <c r="C6011" s="31" t="s">
        <v>3650</v>
      </c>
      <c r="D6011" s="31" t="s">
        <v>3663</v>
      </c>
      <c r="E6011" s="32">
        <v>46113.0</v>
      </c>
      <c r="F6011" s="32">
        <v>46171.0</v>
      </c>
      <c r="G6011" s="33"/>
    </row>
    <row r="6012" ht="15.75" customHeight="1">
      <c r="A6012" s="26" t="s">
        <v>9676</v>
      </c>
      <c r="B6012" s="27" t="s">
        <v>605</v>
      </c>
      <c r="C6012" s="27" t="s">
        <v>1283</v>
      </c>
      <c r="D6012" s="27" t="s">
        <v>3663</v>
      </c>
      <c r="E6012" s="28">
        <v>46113.0</v>
      </c>
      <c r="F6012" s="28">
        <v>46171.0</v>
      </c>
      <c r="G6012" s="29"/>
    </row>
    <row r="6013" ht="15.75" customHeight="1">
      <c r="A6013" s="30" t="s">
        <v>9677</v>
      </c>
      <c r="B6013" s="31" t="s">
        <v>605</v>
      </c>
      <c r="C6013" s="31" t="s">
        <v>1218</v>
      </c>
      <c r="D6013" s="30" t="s">
        <v>3663</v>
      </c>
      <c r="E6013" s="32">
        <v>46113.0</v>
      </c>
      <c r="F6013" s="32">
        <v>46171.0</v>
      </c>
      <c r="G6013" s="33"/>
    </row>
    <row r="6014" ht="15.75" customHeight="1">
      <c r="A6014" s="26" t="s">
        <v>9678</v>
      </c>
      <c r="B6014" s="27" t="s">
        <v>605</v>
      </c>
      <c r="C6014" s="27" t="s">
        <v>1351</v>
      </c>
      <c r="D6014" s="26" t="s">
        <v>3663</v>
      </c>
      <c r="E6014" s="28">
        <v>46113.0</v>
      </c>
      <c r="F6014" s="28">
        <v>46171.0</v>
      </c>
      <c r="G6014" s="29"/>
    </row>
    <row r="6015" ht="15.75" customHeight="1">
      <c r="A6015" s="30" t="s">
        <v>9679</v>
      </c>
      <c r="B6015" s="31" t="s">
        <v>605</v>
      </c>
      <c r="C6015" s="31" t="s">
        <v>1349</v>
      </c>
      <c r="D6015" s="30" t="s">
        <v>3663</v>
      </c>
      <c r="E6015" s="32">
        <v>46113.0</v>
      </c>
      <c r="F6015" s="32">
        <v>46171.0</v>
      </c>
      <c r="G6015" s="33"/>
    </row>
    <row r="6016" ht="15.75" customHeight="1">
      <c r="A6016" s="26" t="s">
        <v>9680</v>
      </c>
      <c r="B6016" s="27" t="s">
        <v>605</v>
      </c>
      <c r="C6016" s="27" t="s">
        <v>968</v>
      </c>
      <c r="D6016" s="26" t="s">
        <v>3663</v>
      </c>
      <c r="E6016" s="28">
        <v>46113.0</v>
      </c>
      <c r="F6016" s="28">
        <v>46171.0</v>
      </c>
      <c r="G6016" s="29"/>
    </row>
    <row r="6017" ht="15.75" customHeight="1">
      <c r="A6017" s="30" t="s">
        <v>9681</v>
      </c>
      <c r="B6017" s="31" t="s">
        <v>605</v>
      </c>
      <c r="C6017" s="31" t="s">
        <v>923</v>
      </c>
      <c r="D6017" s="31" t="s">
        <v>3663</v>
      </c>
      <c r="E6017" s="32">
        <v>46113.0</v>
      </c>
      <c r="F6017" s="32">
        <v>46171.0</v>
      </c>
      <c r="G6017" s="33"/>
    </row>
    <row r="6018" ht="15.75" customHeight="1">
      <c r="A6018" s="26" t="s">
        <v>9682</v>
      </c>
      <c r="B6018" s="27" t="s">
        <v>606</v>
      </c>
      <c r="C6018" s="27" t="s">
        <v>928</v>
      </c>
      <c r="D6018" s="26" t="s">
        <v>3663</v>
      </c>
      <c r="E6018" s="28">
        <v>46113.0</v>
      </c>
      <c r="F6018" s="28">
        <v>46171.0</v>
      </c>
      <c r="G6018" s="29"/>
    </row>
    <row r="6019" ht="15.75" customHeight="1">
      <c r="A6019" s="30" t="s">
        <v>9683</v>
      </c>
      <c r="B6019" s="31" t="s">
        <v>606</v>
      </c>
      <c r="C6019" s="31" t="s">
        <v>1354</v>
      </c>
      <c r="D6019" s="30" t="s">
        <v>3663</v>
      </c>
      <c r="E6019" s="32">
        <v>46113.0</v>
      </c>
      <c r="F6019" s="32">
        <v>46171.0</v>
      </c>
      <c r="G6019" s="33"/>
    </row>
    <row r="6020" ht="15.75" customHeight="1">
      <c r="A6020" s="26" t="s">
        <v>9684</v>
      </c>
      <c r="B6020" s="27" t="s">
        <v>606</v>
      </c>
      <c r="C6020" s="27" t="s">
        <v>1222</v>
      </c>
      <c r="D6020" s="26" t="s">
        <v>3663</v>
      </c>
      <c r="E6020" s="28">
        <v>46113.0</v>
      </c>
      <c r="F6020" s="28">
        <v>46171.0</v>
      </c>
      <c r="G6020" s="29"/>
    </row>
    <row r="6021" ht="15.75" customHeight="1">
      <c r="A6021" s="30" t="s">
        <v>9685</v>
      </c>
      <c r="B6021" s="31" t="s">
        <v>606</v>
      </c>
      <c r="C6021" s="31" t="s">
        <v>1224</v>
      </c>
      <c r="D6021" s="30" t="s">
        <v>3663</v>
      </c>
      <c r="E6021" s="32">
        <v>46113.0</v>
      </c>
      <c r="F6021" s="32">
        <v>46171.0</v>
      </c>
      <c r="G6021" s="33"/>
    </row>
    <row r="6022" ht="15.75" customHeight="1">
      <c r="A6022" s="26" t="s">
        <v>9686</v>
      </c>
      <c r="B6022" s="27" t="s">
        <v>606</v>
      </c>
      <c r="C6022" s="27" t="s">
        <v>1226</v>
      </c>
      <c r="D6022" s="26" t="s">
        <v>3663</v>
      </c>
      <c r="E6022" s="28">
        <v>46113.0</v>
      </c>
      <c r="F6022" s="28">
        <v>46171.0</v>
      </c>
      <c r="G6022" s="29"/>
    </row>
    <row r="6023" ht="15.75" customHeight="1">
      <c r="A6023" s="30" t="s">
        <v>9687</v>
      </c>
      <c r="B6023" s="31" t="s">
        <v>606</v>
      </c>
      <c r="C6023" s="31" t="s">
        <v>1228</v>
      </c>
      <c r="D6023" s="30" t="s">
        <v>3663</v>
      </c>
      <c r="E6023" s="32">
        <v>46113.0</v>
      </c>
      <c r="F6023" s="32">
        <v>46171.0</v>
      </c>
      <c r="G6023" s="33"/>
    </row>
    <row r="6024" ht="15.75" customHeight="1">
      <c r="A6024" s="26" t="s">
        <v>9688</v>
      </c>
      <c r="B6024" s="27" t="s">
        <v>606</v>
      </c>
      <c r="C6024" s="27" t="s">
        <v>3656</v>
      </c>
      <c r="D6024" s="26" t="s">
        <v>3663</v>
      </c>
      <c r="E6024" s="28">
        <v>46113.0</v>
      </c>
      <c r="F6024" s="28">
        <v>46171.0</v>
      </c>
      <c r="G6024" s="29"/>
    </row>
    <row r="6025" ht="15.75" customHeight="1">
      <c r="A6025" s="30" t="s">
        <v>9689</v>
      </c>
      <c r="B6025" s="31" t="s">
        <v>606</v>
      </c>
      <c r="C6025" s="31" t="s">
        <v>3657</v>
      </c>
      <c r="D6025" s="30" t="s">
        <v>3663</v>
      </c>
      <c r="E6025" s="32">
        <v>46113.0</v>
      </c>
      <c r="F6025" s="32">
        <v>46171.0</v>
      </c>
      <c r="G6025" s="33"/>
    </row>
    <row r="6026" ht="15.75" customHeight="1">
      <c r="A6026" s="26" t="s">
        <v>9690</v>
      </c>
      <c r="B6026" s="27" t="s">
        <v>606</v>
      </c>
      <c r="C6026" s="27" t="s">
        <v>1218</v>
      </c>
      <c r="D6026" s="26" t="s">
        <v>3663</v>
      </c>
      <c r="E6026" s="28">
        <v>46113.0</v>
      </c>
      <c r="F6026" s="28">
        <v>46171.0</v>
      </c>
      <c r="G6026" s="29"/>
    </row>
    <row r="6027" ht="15.75" customHeight="1">
      <c r="A6027" s="30" t="s">
        <v>9691</v>
      </c>
      <c r="B6027" s="31" t="s">
        <v>606</v>
      </c>
      <c r="C6027" s="31" t="s">
        <v>1351</v>
      </c>
      <c r="D6027" s="30" t="s">
        <v>3663</v>
      </c>
      <c r="E6027" s="32">
        <v>46113.0</v>
      </c>
      <c r="F6027" s="32">
        <v>46171.0</v>
      </c>
      <c r="G6027" s="33"/>
    </row>
    <row r="6028" ht="15.75" customHeight="1">
      <c r="A6028" s="26" t="s">
        <v>9692</v>
      </c>
      <c r="B6028" s="27" t="s">
        <v>606</v>
      </c>
      <c r="C6028" s="27" t="s">
        <v>1349</v>
      </c>
      <c r="D6028" s="26" t="s">
        <v>3663</v>
      </c>
      <c r="E6028" s="28">
        <v>46113.0</v>
      </c>
      <c r="F6028" s="28">
        <v>46171.0</v>
      </c>
      <c r="G6028" s="29"/>
    </row>
    <row r="6029" ht="15.75" customHeight="1">
      <c r="A6029" s="30" t="s">
        <v>9693</v>
      </c>
      <c r="B6029" s="31" t="s">
        <v>606</v>
      </c>
      <c r="C6029" s="31" t="s">
        <v>965</v>
      </c>
      <c r="D6029" s="30" t="s">
        <v>3663</v>
      </c>
      <c r="E6029" s="32">
        <v>46113.0</v>
      </c>
      <c r="F6029" s="32">
        <v>46171.0</v>
      </c>
      <c r="G6029" s="33"/>
    </row>
    <row r="6030" ht="15.75" customHeight="1">
      <c r="A6030" s="26" t="s">
        <v>9694</v>
      </c>
      <c r="B6030" s="27" t="s">
        <v>606</v>
      </c>
      <c r="C6030" s="27" t="s">
        <v>923</v>
      </c>
      <c r="D6030" s="26" t="s">
        <v>3663</v>
      </c>
      <c r="E6030" s="28">
        <v>46113.0</v>
      </c>
      <c r="F6030" s="28">
        <v>46171.0</v>
      </c>
      <c r="G6030" s="29"/>
    </row>
    <row r="6031" ht="15.75" customHeight="1">
      <c r="A6031" s="30" t="s">
        <v>9695</v>
      </c>
      <c r="B6031" s="31" t="s">
        <v>606</v>
      </c>
      <c r="C6031" s="31" t="s">
        <v>955</v>
      </c>
      <c r="D6031" s="30" t="s">
        <v>3663</v>
      </c>
      <c r="E6031" s="32">
        <v>46113.0</v>
      </c>
      <c r="F6031" s="32">
        <v>46171.0</v>
      </c>
      <c r="G6031" s="33"/>
    </row>
    <row r="6032" ht="15.75" customHeight="1">
      <c r="A6032" s="26" t="s">
        <v>9696</v>
      </c>
      <c r="B6032" s="27" t="s">
        <v>607</v>
      </c>
      <c r="C6032" s="27" t="s">
        <v>930</v>
      </c>
      <c r="D6032" s="26" t="s">
        <v>3663</v>
      </c>
      <c r="E6032" s="28">
        <v>46113.0</v>
      </c>
      <c r="F6032" s="28">
        <v>46171.0</v>
      </c>
      <c r="G6032" s="29"/>
    </row>
    <row r="6033" ht="15.75" customHeight="1">
      <c r="A6033" s="30" t="s">
        <v>9697</v>
      </c>
      <c r="B6033" s="31" t="s">
        <v>607</v>
      </c>
      <c r="C6033" s="31" t="s">
        <v>1354</v>
      </c>
      <c r="D6033" s="30" t="s">
        <v>3663</v>
      </c>
      <c r="E6033" s="32">
        <v>46113.0</v>
      </c>
      <c r="F6033" s="32">
        <v>46171.0</v>
      </c>
      <c r="G6033" s="33"/>
    </row>
    <row r="6034" ht="15.75" customHeight="1">
      <c r="A6034" s="26" t="s">
        <v>9698</v>
      </c>
      <c r="B6034" s="27" t="s">
        <v>607</v>
      </c>
      <c r="C6034" s="27" t="s">
        <v>1304</v>
      </c>
      <c r="D6034" s="26" t="s">
        <v>3663</v>
      </c>
      <c r="E6034" s="28">
        <v>46113.0</v>
      </c>
      <c r="F6034" s="28">
        <v>46171.0</v>
      </c>
      <c r="G6034" s="29"/>
    </row>
    <row r="6035" ht="15.75" customHeight="1">
      <c r="A6035" s="30" t="s">
        <v>9699</v>
      </c>
      <c r="B6035" s="31" t="s">
        <v>607</v>
      </c>
      <c r="C6035" s="31" t="s">
        <v>1306</v>
      </c>
      <c r="D6035" s="30" t="s">
        <v>3663</v>
      </c>
      <c r="E6035" s="32">
        <v>46113.0</v>
      </c>
      <c r="F6035" s="32">
        <v>46171.0</v>
      </c>
      <c r="G6035" s="33"/>
    </row>
    <row r="6036" ht="15.75" customHeight="1">
      <c r="A6036" s="26" t="s">
        <v>9700</v>
      </c>
      <c r="B6036" s="27" t="s">
        <v>607</v>
      </c>
      <c r="C6036" s="27" t="s">
        <v>1308</v>
      </c>
      <c r="D6036" s="26" t="s">
        <v>3663</v>
      </c>
      <c r="E6036" s="28">
        <v>46113.0</v>
      </c>
      <c r="F6036" s="28">
        <v>46171.0</v>
      </c>
      <c r="G6036" s="29"/>
    </row>
    <row r="6037" ht="15.75" customHeight="1">
      <c r="A6037" s="30" t="s">
        <v>9701</v>
      </c>
      <c r="B6037" s="31" t="s">
        <v>607</v>
      </c>
      <c r="C6037" s="31" t="s">
        <v>1310</v>
      </c>
      <c r="D6037" s="30" t="s">
        <v>3663</v>
      </c>
      <c r="E6037" s="32">
        <v>46113.0</v>
      </c>
      <c r="F6037" s="32">
        <v>46171.0</v>
      </c>
      <c r="G6037" s="33"/>
    </row>
    <row r="6038" ht="15.75" customHeight="1">
      <c r="A6038" s="26" t="s">
        <v>9702</v>
      </c>
      <c r="B6038" s="27" t="s">
        <v>607</v>
      </c>
      <c r="C6038" s="27" t="s">
        <v>1172</v>
      </c>
      <c r="D6038" s="26" t="s">
        <v>3663</v>
      </c>
      <c r="E6038" s="28">
        <v>46113.0</v>
      </c>
      <c r="F6038" s="28">
        <v>46171.0</v>
      </c>
      <c r="G6038" s="29"/>
    </row>
    <row r="6039" ht="15.75" customHeight="1">
      <c r="A6039" s="30" t="s">
        <v>9703</v>
      </c>
      <c r="B6039" s="31" t="s">
        <v>607</v>
      </c>
      <c r="C6039" s="31" t="s">
        <v>3656</v>
      </c>
      <c r="D6039" s="30" t="s">
        <v>3663</v>
      </c>
      <c r="E6039" s="32">
        <v>46113.0</v>
      </c>
      <c r="F6039" s="32">
        <v>46171.0</v>
      </c>
      <c r="G6039" s="33"/>
    </row>
    <row r="6040" ht="15.75" customHeight="1">
      <c r="A6040" s="26" t="s">
        <v>9704</v>
      </c>
      <c r="B6040" s="27" t="s">
        <v>607</v>
      </c>
      <c r="C6040" s="27" t="s">
        <v>3657</v>
      </c>
      <c r="D6040" s="26" t="s">
        <v>3663</v>
      </c>
      <c r="E6040" s="28">
        <v>46113.0</v>
      </c>
      <c r="F6040" s="28">
        <v>46171.0</v>
      </c>
      <c r="G6040" s="29"/>
    </row>
    <row r="6041" ht="15.75" customHeight="1">
      <c r="A6041" s="30" t="s">
        <v>9705</v>
      </c>
      <c r="B6041" s="31" t="s">
        <v>607</v>
      </c>
      <c r="C6041" s="31" t="s">
        <v>1351</v>
      </c>
      <c r="D6041" s="30" t="s">
        <v>3663</v>
      </c>
      <c r="E6041" s="32">
        <v>46113.0</v>
      </c>
      <c r="F6041" s="32">
        <v>46171.0</v>
      </c>
      <c r="G6041" s="33"/>
    </row>
    <row r="6042" ht="15.75" customHeight="1">
      <c r="A6042" s="26" t="s">
        <v>9706</v>
      </c>
      <c r="B6042" s="27" t="s">
        <v>607</v>
      </c>
      <c r="C6042" s="27" t="s">
        <v>1349</v>
      </c>
      <c r="D6042" s="26" t="s">
        <v>3663</v>
      </c>
      <c r="E6042" s="28">
        <v>46113.0</v>
      </c>
      <c r="F6042" s="28">
        <v>46171.0</v>
      </c>
      <c r="G6042" s="29"/>
    </row>
    <row r="6043" ht="15.75" customHeight="1">
      <c r="A6043" s="30" t="s">
        <v>9707</v>
      </c>
      <c r="B6043" s="31" t="s">
        <v>607</v>
      </c>
      <c r="C6043" s="31" t="s">
        <v>965</v>
      </c>
      <c r="D6043" s="30" t="s">
        <v>3663</v>
      </c>
      <c r="E6043" s="32">
        <v>46113.0</v>
      </c>
      <c r="F6043" s="32">
        <v>46171.0</v>
      </c>
      <c r="G6043" s="33"/>
    </row>
    <row r="6044" ht="15.75" customHeight="1">
      <c r="A6044" s="26" t="s">
        <v>9708</v>
      </c>
      <c r="B6044" s="27" t="s">
        <v>607</v>
      </c>
      <c r="C6044" s="27" t="s">
        <v>923</v>
      </c>
      <c r="D6044" s="26" t="s">
        <v>3663</v>
      </c>
      <c r="E6044" s="28">
        <v>46113.0</v>
      </c>
      <c r="F6044" s="28">
        <v>46171.0</v>
      </c>
      <c r="G6044" s="29"/>
    </row>
    <row r="6045" ht="15.75" customHeight="1">
      <c r="A6045" s="30" t="s">
        <v>9709</v>
      </c>
      <c r="B6045" s="31" t="s">
        <v>607</v>
      </c>
      <c r="C6045" s="31" t="s">
        <v>955</v>
      </c>
      <c r="D6045" s="30" t="s">
        <v>3663</v>
      </c>
      <c r="E6045" s="32">
        <v>46113.0</v>
      </c>
      <c r="F6045" s="32">
        <v>46171.0</v>
      </c>
      <c r="G6045" s="33"/>
    </row>
    <row r="6046" ht="15.75" customHeight="1">
      <c r="A6046" s="26" t="s">
        <v>9710</v>
      </c>
      <c r="B6046" s="27" t="s">
        <v>608</v>
      </c>
      <c r="C6046" s="27" t="s">
        <v>1240</v>
      </c>
      <c r="D6046" s="27" t="s">
        <v>3663</v>
      </c>
      <c r="E6046" s="28">
        <v>46113.0</v>
      </c>
      <c r="F6046" s="28">
        <v>46171.0</v>
      </c>
      <c r="G6046" s="29"/>
    </row>
    <row r="6047" ht="15.75" customHeight="1">
      <c r="A6047" s="30" t="s">
        <v>9711</v>
      </c>
      <c r="B6047" s="31" t="s">
        <v>608</v>
      </c>
      <c r="C6047" s="31" t="s">
        <v>1242</v>
      </c>
      <c r="D6047" s="31" t="s">
        <v>3663</v>
      </c>
      <c r="E6047" s="32">
        <v>46113.0</v>
      </c>
      <c r="F6047" s="32">
        <v>46171.0</v>
      </c>
      <c r="G6047" s="33"/>
    </row>
    <row r="6048" ht="15.75" customHeight="1">
      <c r="A6048" s="26" t="s">
        <v>9712</v>
      </c>
      <c r="B6048" s="27" t="s">
        <v>608</v>
      </c>
      <c r="C6048" s="27" t="s">
        <v>1244</v>
      </c>
      <c r="D6048" s="27" t="s">
        <v>3663</v>
      </c>
      <c r="E6048" s="28">
        <v>46113.0</v>
      </c>
      <c r="F6048" s="28">
        <v>46171.0</v>
      </c>
      <c r="G6048" s="29"/>
    </row>
    <row r="6049" ht="15.75" customHeight="1">
      <c r="A6049" s="30" t="s">
        <v>9713</v>
      </c>
      <c r="B6049" s="31" t="s">
        <v>608</v>
      </c>
      <c r="C6049" s="31" t="s">
        <v>1246</v>
      </c>
      <c r="D6049" s="31" t="s">
        <v>3663</v>
      </c>
      <c r="E6049" s="32">
        <v>46113.0</v>
      </c>
      <c r="F6049" s="32">
        <v>46171.0</v>
      </c>
      <c r="G6049" s="33"/>
    </row>
    <row r="6050" ht="15.75" customHeight="1">
      <c r="A6050" s="26" t="s">
        <v>9714</v>
      </c>
      <c r="B6050" s="27" t="s">
        <v>608</v>
      </c>
      <c r="C6050" s="27" t="s">
        <v>3654</v>
      </c>
      <c r="D6050" s="26" t="s">
        <v>3663</v>
      </c>
      <c r="E6050" s="28">
        <v>46113.0</v>
      </c>
      <c r="F6050" s="28">
        <v>46171.0</v>
      </c>
      <c r="G6050" s="29"/>
    </row>
    <row r="6051" ht="15.75" customHeight="1">
      <c r="A6051" s="30" t="s">
        <v>9715</v>
      </c>
      <c r="B6051" s="31" t="s">
        <v>608</v>
      </c>
      <c r="C6051" s="31" t="s">
        <v>3655</v>
      </c>
      <c r="D6051" s="30" t="s">
        <v>3663</v>
      </c>
      <c r="E6051" s="32">
        <v>46113.0</v>
      </c>
      <c r="F6051" s="32">
        <v>46171.0</v>
      </c>
      <c r="G6051" s="33"/>
    </row>
    <row r="6052" ht="15.75" customHeight="1">
      <c r="A6052" s="26" t="s">
        <v>9716</v>
      </c>
      <c r="B6052" s="27" t="s">
        <v>608</v>
      </c>
      <c r="C6052" s="27" t="s">
        <v>934</v>
      </c>
      <c r="D6052" s="27" t="s">
        <v>3663</v>
      </c>
      <c r="E6052" s="28">
        <v>46113.0</v>
      </c>
      <c r="F6052" s="28">
        <v>46171.0</v>
      </c>
      <c r="G6052" s="29"/>
    </row>
    <row r="6053" ht="15.75" customHeight="1">
      <c r="A6053" s="30" t="s">
        <v>9717</v>
      </c>
      <c r="B6053" s="31" t="s">
        <v>608</v>
      </c>
      <c r="C6053" s="31" t="s">
        <v>1354</v>
      </c>
      <c r="D6053" s="30" t="s">
        <v>3663</v>
      </c>
      <c r="E6053" s="32">
        <v>46113.0</v>
      </c>
      <c r="F6053" s="32">
        <v>46171.0</v>
      </c>
      <c r="G6053" s="33"/>
    </row>
    <row r="6054" ht="15.75" customHeight="1">
      <c r="A6054" s="26" t="s">
        <v>9718</v>
      </c>
      <c r="B6054" s="27" t="s">
        <v>608</v>
      </c>
      <c r="C6054" s="27" t="s">
        <v>1312</v>
      </c>
      <c r="D6054" s="26" t="s">
        <v>3663</v>
      </c>
      <c r="E6054" s="28">
        <v>46113.0</v>
      </c>
      <c r="F6054" s="28">
        <v>46171.0</v>
      </c>
      <c r="G6054" s="29"/>
    </row>
    <row r="6055" ht="15.75" customHeight="1">
      <c r="A6055" s="30" t="s">
        <v>9719</v>
      </c>
      <c r="B6055" s="31" t="s">
        <v>608</v>
      </c>
      <c r="C6055" s="31" t="s">
        <v>1208</v>
      </c>
      <c r="D6055" s="30" t="s">
        <v>3663</v>
      </c>
      <c r="E6055" s="32">
        <v>46113.0</v>
      </c>
      <c r="F6055" s="32">
        <v>46171.0</v>
      </c>
      <c r="G6055" s="33"/>
    </row>
    <row r="6056" ht="15.75" customHeight="1">
      <c r="A6056" s="26" t="s">
        <v>9720</v>
      </c>
      <c r="B6056" s="27" t="s">
        <v>608</v>
      </c>
      <c r="C6056" s="27" t="s">
        <v>1351</v>
      </c>
      <c r="D6056" s="26" t="s">
        <v>3663</v>
      </c>
      <c r="E6056" s="28">
        <v>46113.0</v>
      </c>
      <c r="F6056" s="28">
        <v>46171.0</v>
      </c>
      <c r="G6056" s="29"/>
    </row>
    <row r="6057" ht="15.75" customHeight="1">
      <c r="A6057" s="30" t="s">
        <v>9721</v>
      </c>
      <c r="B6057" s="31" t="s">
        <v>608</v>
      </c>
      <c r="C6057" s="31" t="s">
        <v>1349</v>
      </c>
      <c r="D6057" s="30" t="s">
        <v>3663</v>
      </c>
      <c r="E6057" s="32">
        <v>46113.0</v>
      </c>
      <c r="F6057" s="32">
        <v>46171.0</v>
      </c>
      <c r="G6057" s="33"/>
    </row>
    <row r="6058" ht="15.75" customHeight="1">
      <c r="A6058" s="26" t="s">
        <v>9722</v>
      </c>
      <c r="B6058" s="27" t="s">
        <v>608</v>
      </c>
      <c r="C6058" s="27" t="s">
        <v>968</v>
      </c>
      <c r="D6058" s="26" t="s">
        <v>3663</v>
      </c>
      <c r="E6058" s="28">
        <v>46113.0</v>
      </c>
      <c r="F6058" s="28">
        <v>46171.0</v>
      </c>
      <c r="G6058" s="29"/>
    </row>
    <row r="6059" ht="15.75" customHeight="1">
      <c r="A6059" s="30" t="s">
        <v>9723</v>
      </c>
      <c r="B6059" s="31" t="s">
        <v>608</v>
      </c>
      <c r="C6059" s="31" t="s">
        <v>923</v>
      </c>
      <c r="D6059" s="31" t="s">
        <v>3663</v>
      </c>
      <c r="E6059" s="32">
        <v>46113.0</v>
      </c>
      <c r="F6059" s="32">
        <v>46171.0</v>
      </c>
      <c r="G6059" s="33"/>
    </row>
    <row r="6060" ht="15.75" customHeight="1">
      <c r="A6060" s="26" t="s">
        <v>9724</v>
      </c>
      <c r="B6060" s="27" t="s">
        <v>609</v>
      </c>
      <c r="C6060" s="27" t="s">
        <v>930</v>
      </c>
      <c r="D6060" s="26" t="s">
        <v>3663</v>
      </c>
      <c r="E6060" s="28">
        <v>46113.0</v>
      </c>
      <c r="F6060" s="28">
        <v>46171.0</v>
      </c>
      <c r="G6060" s="29"/>
    </row>
    <row r="6061" ht="15.75" customHeight="1">
      <c r="A6061" s="30" t="s">
        <v>9725</v>
      </c>
      <c r="B6061" s="31" t="s">
        <v>609</v>
      </c>
      <c r="C6061" s="31" t="s">
        <v>1354</v>
      </c>
      <c r="D6061" s="30" t="s">
        <v>3663</v>
      </c>
      <c r="E6061" s="32">
        <v>46113.0</v>
      </c>
      <c r="F6061" s="32">
        <v>46171.0</v>
      </c>
      <c r="G6061" s="33"/>
    </row>
    <row r="6062" ht="15.75" customHeight="1">
      <c r="A6062" s="26" t="s">
        <v>9726</v>
      </c>
      <c r="B6062" s="27" t="s">
        <v>609</v>
      </c>
      <c r="C6062" s="27" t="s">
        <v>1304</v>
      </c>
      <c r="D6062" s="26" t="s">
        <v>3663</v>
      </c>
      <c r="E6062" s="28">
        <v>46113.0</v>
      </c>
      <c r="F6062" s="28">
        <v>46171.0</v>
      </c>
      <c r="G6062" s="29"/>
    </row>
    <row r="6063" ht="15.75" customHeight="1">
      <c r="A6063" s="30" t="s">
        <v>9727</v>
      </c>
      <c r="B6063" s="31" t="s">
        <v>609</v>
      </c>
      <c r="C6063" s="31" t="s">
        <v>1306</v>
      </c>
      <c r="D6063" s="30" t="s">
        <v>3663</v>
      </c>
      <c r="E6063" s="32">
        <v>46113.0</v>
      </c>
      <c r="F6063" s="32">
        <v>46171.0</v>
      </c>
      <c r="G6063" s="33"/>
    </row>
    <row r="6064" ht="15.75" customHeight="1">
      <c r="A6064" s="26" t="s">
        <v>9728</v>
      </c>
      <c r="B6064" s="27" t="s">
        <v>609</v>
      </c>
      <c r="C6064" s="27" t="s">
        <v>1308</v>
      </c>
      <c r="D6064" s="26" t="s">
        <v>3663</v>
      </c>
      <c r="E6064" s="28">
        <v>46113.0</v>
      </c>
      <c r="F6064" s="28">
        <v>46171.0</v>
      </c>
      <c r="G6064" s="29"/>
    </row>
    <row r="6065" ht="15.75" customHeight="1">
      <c r="A6065" s="30" t="s">
        <v>9729</v>
      </c>
      <c r="B6065" s="31" t="s">
        <v>609</v>
      </c>
      <c r="C6065" s="31" t="s">
        <v>1310</v>
      </c>
      <c r="D6065" s="30" t="s">
        <v>3663</v>
      </c>
      <c r="E6065" s="32">
        <v>46113.0</v>
      </c>
      <c r="F6065" s="32">
        <v>46171.0</v>
      </c>
      <c r="G6065" s="33"/>
    </row>
    <row r="6066" ht="15.75" customHeight="1">
      <c r="A6066" s="26" t="s">
        <v>9730</v>
      </c>
      <c r="B6066" s="27" t="s">
        <v>609</v>
      </c>
      <c r="C6066" s="27" t="s">
        <v>3656</v>
      </c>
      <c r="D6066" s="26" t="s">
        <v>3663</v>
      </c>
      <c r="E6066" s="28">
        <v>46113.0</v>
      </c>
      <c r="F6066" s="28">
        <v>46171.0</v>
      </c>
      <c r="G6066" s="29"/>
    </row>
    <row r="6067" ht="15.75" customHeight="1">
      <c r="A6067" s="30" t="s">
        <v>9731</v>
      </c>
      <c r="B6067" s="31" t="s">
        <v>609</v>
      </c>
      <c r="C6067" s="31" t="s">
        <v>3657</v>
      </c>
      <c r="D6067" s="30" t="s">
        <v>3663</v>
      </c>
      <c r="E6067" s="32">
        <v>46113.0</v>
      </c>
      <c r="F6067" s="32">
        <v>46171.0</v>
      </c>
      <c r="G6067" s="33"/>
    </row>
    <row r="6068" ht="15.75" customHeight="1">
      <c r="A6068" s="26" t="s">
        <v>9732</v>
      </c>
      <c r="B6068" s="27" t="s">
        <v>609</v>
      </c>
      <c r="C6068" s="27" t="s">
        <v>1218</v>
      </c>
      <c r="D6068" s="26" t="s">
        <v>3663</v>
      </c>
      <c r="E6068" s="28">
        <v>46113.0</v>
      </c>
      <c r="F6068" s="28">
        <v>46171.0</v>
      </c>
      <c r="G6068" s="29"/>
    </row>
    <row r="6069" ht="15.75" customHeight="1">
      <c r="A6069" s="30" t="s">
        <v>9733</v>
      </c>
      <c r="B6069" s="31" t="s">
        <v>609</v>
      </c>
      <c r="C6069" s="31" t="s">
        <v>1351</v>
      </c>
      <c r="D6069" s="30" t="s">
        <v>3663</v>
      </c>
      <c r="E6069" s="32">
        <v>46113.0</v>
      </c>
      <c r="F6069" s="32">
        <v>46171.0</v>
      </c>
      <c r="G6069" s="33"/>
    </row>
    <row r="6070" ht="15.75" customHeight="1">
      <c r="A6070" s="26" t="s">
        <v>9734</v>
      </c>
      <c r="B6070" s="27" t="s">
        <v>609</v>
      </c>
      <c r="C6070" s="27" t="s">
        <v>1349</v>
      </c>
      <c r="D6070" s="26" t="s">
        <v>3663</v>
      </c>
      <c r="E6070" s="28">
        <v>46113.0</v>
      </c>
      <c r="F6070" s="28">
        <v>46171.0</v>
      </c>
      <c r="G6070" s="29"/>
    </row>
    <row r="6071" ht="15.75" customHeight="1">
      <c r="A6071" s="30" t="s">
        <v>9735</v>
      </c>
      <c r="B6071" s="31" t="s">
        <v>609</v>
      </c>
      <c r="C6071" s="31" t="s">
        <v>965</v>
      </c>
      <c r="D6071" s="30" t="s">
        <v>3663</v>
      </c>
      <c r="E6071" s="32">
        <v>46113.0</v>
      </c>
      <c r="F6071" s="32">
        <v>46171.0</v>
      </c>
      <c r="G6071" s="33"/>
    </row>
    <row r="6072" ht="15.75" customHeight="1">
      <c r="A6072" s="26" t="s">
        <v>9736</v>
      </c>
      <c r="B6072" s="27" t="s">
        <v>609</v>
      </c>
      <c r="C6072" s="27" t="s">
        <v>923</v>
      </c>
      <c r="D6072" s="26" t="s">
        <v>3663</v>
      </c>
      <c r="E6072" s="28">
        <v>46113.0</v>
      </c>
      <c r="F6072" s="28">
        <v>46171.0</v>
      </c>
      <c r="G6072" s="29"/>
    </row>
    <row r="6073" ht="15.75" customHeight="1">
      <c r="A6073" s="30" t="s">
        <v>9737</v>
      </c>
      <c r="B6073" s="31" t="s">
        <v>609</v>
      </c>
      <c r="C6073" s="31" t="s">
        <v>955</v>
      </c>
      <c r="D6073" s="30" t="s">
        <v>3663</v>
      </c>
      <c r="E6073" s="32">
        <v>46113.0</v>
      </c>
      <c r="F6073" s="32">
        <v>46171.0</v>
      </c>
      <c r="G6073" s="33"/>
    </row>
    <row r="6074" ht="15.75" customHeight="1">
      <c r="A6074" s="26" t="s">
        <v>9738</v>
      </c>
      <c r="B6074" s="27" t="s">
        <v>610</v>
      </c>
      <c r="C6074" s="27" t="s">
        <v>1240</v>
      </c>
      <c r="D6074" s="26" t="s">
        <v>3663</v>
      </c>
      <c r="E6074" s="28">
        <v>46113.0</v>
      </c>
      <c r="F6074" s="28">
        <v>46171.0</v>
      </c>
      <c r="G6074" s="29"/>
    </row>
    <row r="6075" ht="15.75" customHeight="1">
      <c r="A6075" s="30" t="s">
        <v>9739</v>
      </c>
      <c r="B6075" s="31" t="s">
        <v>610</v>
      </c>
      <c r="C6075" s="31" t="s">
        <v>1242</v>
      </c>
      <c r="D6075" s="30" t="s">
        <v>3663</v>
      </c>
      <c r="E6075" s="32">
        <v>46113.0</v>
      </c>
      <c r="F6075" s="32">
        <v>46171.0</v>
      </c>
      <c r="G6075" s="33"/>
    </row>
    <row r="6076" ht="15.75" customHeight="1">
      <c r="A6076" s="26" t="s">
        <v>9740</v>
      </c>
      <c r="B6076" s="27" t="s">
        <v>610</v>
      </c>
      <c r="C6076" s="27" t="s">
        <v>1244</v>
      </c>
      <c r="D6076" s="26" t="s">
        <v>3663</v>
      </c>
      <c r="E6076" s="28">
        <v>46113.0</v>
      </c>
      <c r="F6076" s="28">
        <v>46171.0</v>
      </c>
      <c r="G6076" s="29"/>
    </row>
    <row r="6077" ht="15.75" customHeight="1">
      <c r="A6077" s="30" t="s">
        <v>9741</v>
      </c>
      <c r="B6077" s="31" t="s">
        <v>610</v>
      </c>
      <c r="C6077" s="31" t="s">
        <v>1246</v>
      </c>
      <c r="D6077" s="30" t="s">
        <v>3663</v>
      </c>
      <c r="E6077" s="32">
        <v>46113.0</v>
      </c>
      <c r="F6077" s="32">
        <v>46171.0</v>
      </c>
      <c r="G6077" s="33"/>
    </row>
    <row r="6078" ht="15.75" customHeight="1">
      <c r="A6078" s="26" t="s">
        <v>9742</v>
      </c>
      <c r="B6078" s="27" t="s">
        <v>610</v>
      </c>
      <c r="C6078" s="27" t="s">
        <v>934</v>
      </c>
      <c r="D6078" s="26" t="s">
        <v>3663</v>
      </c>
      <c r="E6078" s="28">
        <v>46113.0</v>
      </c>
      <c r="F6078" s="28">
        <v>46171.0</v>
      </c>
      <c r="G6078" s="29"/>
    </row>
    <row r="6079" ht="15.75" customHeight="1">
      <c r="A6079" s="30" t="s">
        <v>9743</v>
      </c>
      <c r="B6079" s="31" t="s">
        <v>610</v>
      </c>
      <c r="C6079" s="31" t="s">
        <v>1354</v>
      </c>
      <c r="D6079" s="30" t="s">
        <v>3663</v>
      </c>
      <c r="E6079" s="32">
        <v>46113.0</v>
      </c>
      <c r="F6079" s="32">
        <v>46171.0</v>
      </c>
      <c r="G6079" s="33"/>
    </row>
    <row r="6080" ht="15.75" customHeight="1">
      <c r="A6080" s="26" t="s">
        <v>9744</v>
      </c>
      <c r="B6080" s="27" t="s">
        <v>610</v>
      </c>
      <c r="C6080" s="27" t="s">
        <v>3656</v>
      </c>
      <c r="D6080" s="26" t="s">
        <v>3663</v>
      </c>
      <c r="E6080" s="28">
        <v>46113.0</v>
      </c>
      <c r="F6080" s="28">
        <v>46171.0</v>
      </c>
      <c r="G6080" s="29"/>
    </row>
    <row r="6081" ht="15.75" customHeight="1">
      <c r="A6081" s="30" t="s">
        <v>9745</v>
      </c>
      <c r="B6081" s="31" t="s">
        <v>610</v>
      </c>
      <c r="C6081" s="31" t="s">
        <v>3657</v>
      </c>
      <c r="D6081" s="30" t="s">
        <v>3663</v>
      </c>
      <c r="E6081" s="32">
        <v>46113.0</v>
      </c>
      <c r="F6081" s="32">
        <v>46171.0</v>
      </c>
      <c r="G6081" s="33"/>
    </row>
    <row r="6082" ht="15.75" customHeight="1">
      <c r="A6082" s="26" t="s">
        <v>9746</v>
      </c>
      <c r="B6082" s="27" t="s">
        <v>610</v>
      </c>
      <c r="C6082" s="27" t="s">
        <v>3647</v>
      </c>
      <c r="D6082" s="26" t="s">
        <v>3663</v>
      </c>
      <c r="E6082" s="28">
        <v>46113.0</v>
      </c>
      <c r="F6082" s="28">
        <v>46171.0</v>
      </c>
      <c r="G6082" s="29"/>
    </row>
    <row r="6083" ht="15.75" customHeight="1">
      <c r="A6083" s="30" t="s">
        <v>9747</v>
      </c>
      <c r="B6083" s="31" t="s">
        <v>610</v>
      </c>
      <c r="C6083" s="31" t="s">
        <v>952</v>
      </c>
      <c r="D6083" s="30" t="s">
        <v>3663</v>
      </c>
      <c r="E6083" s="32">
        <v>46113.0</v>
      </c>
      <c r="F6083" s="32">
        <v>46171.0</v>
      </c>
      <c r="G6083" s="33"/>
    </row>
    <row r="6084" ht="15.75" customHeight="1">
      <c r="A6084" s="26" t="s">
        <v>9748</v>
      </c>
      <c r="B6084" s="27" t="s">
        <v>610</v>
      </c>
      <c r="C6084" s="27" t="s">
        <v>1218</v>
      </c>
      <c r="D6084" s="26" t="s">
        <v>3663</v>
      </c>
      <c r="E6084" s="28">
        <v>46113.0</v>
      </c>
      <c r="F6084" s="28">
        <v>46171.0</v>
      </c>
      <c r="G6084" s="29"/>
    </row>
    <row r="6085" ht="15.75" customHeight="1">
      <c r="A6085" s="30" t="s">
        <v>9749</v>
      </c>
      <c r="B6085" s="31" t="s">
        <v>610</v>
      </c>
      <c r="C6085" s="31" t="s">
        <v>1271</v>
      </c>
      <c r="D6085" s="30" t="s">
        <v>3663</v>
      </c>
      <c r="E6085" s="32">
        <v>46113.0</v>
      </c>
      <c r="F6085" s="32">
        <v>46171.0</v>
      </c>
      <c r="G6085" s="33"/>
    </row>
    <row r="6086" ht="15.75" customHeight="1">
      <c r="A6086" s="26" t="s">
        <v>9750</v>
      </c>
      <c r="B6086" s="27" t="s">
        <v>610</v>
      </c>
      <c r="C6086" s="27" t="s">
        <v>968</v>
      </c>
      <c r="D6086" s="26" t="s">
        <v>3663</v>
      </c>
      <c r="E6086" s="28">
        <v>46113.0</v>
      </c>
      <c r="F6086" s="28">
        <v>46171.0</v>
      </c>
      <c r="G6086" s="29"/>
    </row>
    <row r="6087" ht="15.75" customHeight="1">
      <c r="A6087" s="30" t="s">
        <v>9751</v>
      </c>
      <c r="B6087" s="31" t="s">
        <v>610</v>
      </c>
      <c r="C6087" s="31" t="s">
        <v>923</v>
      </c>
      <c r="D6087" s="30" t="s">
        <v>3663</v>
      </c>
      <c r="E6087" s="32">
        <v>46113.0</v>
      </c>
      <c r="F6087" s="32">
        <v>46171.0</v>
      </c>
      <c r="G6087" s="33"/>
    </row>
    <row r="6088" ht="15.75" customHeight="1">
      <c r="A6088" s="26" t="s">
        <v>9752</v>
      </c>
      <c r="B6088" s="27" t="s">
        <v>1264</v>
      </c>
      <c r="C6088" s="27" t="s">
        <v>1240</v>
      </c>
      <c r="D6088" s="26" t="s">
        <v>3663</v>
      </c>
      <c r="E6088" s="28">
        <v>46113.0</v>
      </c>
      <c r="F6088" s="28">
        <v>46171.0</v>
      </c>
      <c r="G6088" s="29"/>
    </row>
    <row r="6089" ht="15.75" customHeight="1">
      <c r="A6089" s="30" t="s">
        <v>9753</v>
      </c>
      <c r="B6089" s="31" t="s">
        <v>1264</v>
      </c>
      <c r="C6089" s="31" t="s">
        <v>1242</v>
      </c>
      <c r="D6089" s="30" t="s">
        <v>3663</v>
      </c>
      <c r="E6089" s="32">
        <v>46113.0</v>
      </c>
      <c r="F6089" s="32">
        <v>46171.0</v>
      </c>
      <c r="G6089" s="33"/>
    </row>
    <row r="6090" ht="15.75" customHeight="1">
      <c r="A6090" s="26" t="s">
        <v>9754</v>
      </c>
      <c r="B6090" s="27" t="s">
        <v>1264</v>
      </c>
      <c r="C6090" s="27" t="s">
        <v>1244</v>
      </c>
      <c r="D6090" s="26" t="s">
        <v>3663</v>
      </c>
      <c r="E6090" s="28">
        <v>46113.0</v>
      </c>
      <c r="F6090" s="28">
        <v>46171.0</v>
      </c>
      <c r="G6090" s="29"/>
    </row>
    <row r="6091" ht="15.75" customHeight="1">
      <c r="A6091" s="30" t="s">
        <v>9755</v>
      </c>
      <c r="B6091" s="31" t="s">
        <v>1264</v>
      </c>
      <c r="C6091" s="31" t="s">
        <v>1246</v>
      </c>
      <c r="D6091" s="30" t="s">
        <v>3663</v>
      </c>
      <c r="E6091" s="32">
        <v>46113.0</v>
      </c>
      <c r="F6091" s="32">
        <v>46171.0</v>
      </c>
      <c r="G6091" s="33"/>
    </row>
    <row r="6092" ht="15.75" customHeight="1">
      <c r="A6092" s="26" t="s">
        <v>9756</v>
      </c>
      <c r="B6092" s="27" t="s">
        <v>1264</v>
      </c>
      <c r="C6092" s="27" t="s">
        <v>934</v>
      </c>
      <c r="D6092" s="26" t="s">
        <v>3663</v>
      </c>
      <c r="E6092" s="28">
        <v>46113.0</v>
      </c>
      <c r="F6092" s="28">
        <v>46171.0</v>
      </c>
      <c r="G6092" s="29"/>
    </row>
    <row r="6093" ht="15.75" customHeight="1">
      <c r="A6093" s="30" t="s">
        <v>9757</v>
      </c>
      <c r="B6093" s="31" t="s">
        <v>1264</v>
      </c>
      <c r="C6093" s="31" t="s">
        <v>1354</v>
      </c>
      <c r="D6093" s="30" t="s">
        <v>3663</v>
      </c>
      <c r="E6093" s="32">
        <v>46113.0</v>
      </c>
      <c r="F6093" s="32">
        <v>46171.0</v>
      </c>
      <c r="G6093" s="33"/>
    </row>
    <row r="6094" ht="15.75" customHeight="1">
      <c r="A6094" s="26" t="s">
        <v>9758</v>
      </c>
      <c r="B6094" s="27" t="s">
        <v>1264</v>
      </c>
      <c r="C6094" s="27" t="s">
        <v>3656</v>
      </c>
      <c r="D6094" s="26" t="s">
        <v>3663</v>
      </c>
      <c r="E6094" s="28">
        <v>46113.0</v>
      </c>
      <c r="F6094" s="28">
        <v>46171.0</v>
      </c>
      <c r="G6094" s="29"/>
    </row>
    <row r="6095" ht="15.75" customHeight="1">
      <c r="A6095" s="30" t="s">
        <v>9759</v>
      </c>
      <c r="B6095" s="31" t="s">
        <v>1264</v>
      </c>
      <c r="C6095" s="31" t="s">
        <v>3657</v>
      </c>
      <c r="D6095" s="30" t="s">
        <v>3663</v>
      </c>
      <c r="E6095" s="32">
        <v>46113.0</v>
      </c>
      <c r="F6095" s="32">
        <v>46171.0</v>
      </c>
      <c r="G6095" s="33"/>
    </row>
    <row r="6096" ht="15.75" customHeight="1">
      <c r="A6096" s="26" t="s">
        <v>9760</v>
      </c>
      <c r="B6096" s="27" t="s">
        <v>1264</v>
      </c>
      <c r="C6096" s="27" t="s">
        <v>1218</v>
      </c>
      <c r="D6096" s="26" t="s">
        <v>3663</v>
      </c>
      <c r="E6096" s="28">
        <v>46113.0</v>
      </c>
      <c r="F6096" s="28">
        <v>46171.0</v>
      </c>
      <c r="G6096" s="29"/>
    </row>
    <row r="6097" ht="15.75" customHeight="1">
      <c r="A6097" s="30" t="s">
        <v>9761</v>
      </c>
      <c r="B6097" s="31" t="s">
        <v>1264</v>
      </c>
      <c r="C6097" s="31" t="s">
        <v>1271</v>
      </c>
      <c r="D6097" s="30" t="s">
        <v>3663</v>
      </c>
      <c r="E6097" s="32">
        <v>46113.0</v>
      </c>
      <c r="F6097" s="32">
        <v>46171.0</v>
      </c>
      <c r="G6097" s="33"/>
    </row>
    <row r="6098" ht="15.75" customHeight="1">
      <c r="A6098" s="26" t="s">
        <v>9762</v>
      </c>
      <c r="B6098" s="27" t="s">
        <v>1264</v>
      </c>
      <c r="C6098" s="27" t="s">
        <v>1351</v>
      </c>
      <c r="D6098" s="26" t="s">
        <v>3663</v>
      </c>
      <c r="E6098" s="28">
        <v>46113.0</v>
      </c>
      <c r="F6098" s="28">
        <v>46171.0</v>
      </c>
      <c r="G6098" s="29"/>
    </row>
    <row r="6099" ht="15.75" customHeight="1">
      <c r="A6099" s="30" t="s">
        <v>9763</v>
      </c>
      <c r="B6099" s="31" t="s">
        <v>1264</v>
      </c>
      <c r="C6099" s="31" t="s">
        <v>1349</v>
      </c>
      <c r="D6099" s="30" t="s">
        <v>3663</v>
      </c>
      <c r="E6099" s="32">
        <v>46113.0</v>
      </c>
      <c r="F6099" s="32">
        <v>46171.0</v>
      </c>
      <c r="G6099" s="33"/>
    </row>
    <row r="6100" ht="15.75" customHeight="1">
      <c r="A6100" s="26" t="s">
        <v>9764</v>
      </c>
      <c r="B6100" s="27" t="s">
        <v>1264</v>
      </c>
      <c r="C6100" s="27" t="s">
        <v>965</v>
      </c>
      <c r="D6100" s="26" t="s">
        <v>3663</v>
      </c>
      <c r="E6100" s="28">
        <v>46113.0</v>
      </c>
      <c r="F6100" s="28">
        <v>46171.0</v>
      </c>
      <c r="G6100" s="29"/>
    </row>
    <row r="6101" ht="15.75" customHeight="1">
      <c r="A6101" s="30" t="s">
        <v>9765</v>
      </c>
      <c r="B6101" s="31" t="s">
        <v>1264</v>
      </c>
      <c r="C6101" s="31" t="s">
        <v>923</v>
      </c>
      <c r="D6101" s="30" t="s">
        <v>3663</v>
      </c>
      <c r="E6101" s="32">
        <v>46113.0</v>
      </c>
      <c r="F6101" s="32">
        <v>46171.0</v>
      </c>
      <c r="G6101" s="33"/>
    </row>
    <row r="6102" ht="15.75" customHeight="1">
      <c r="A6102" s="26" t="s">
        <v>9766</v>
      </c>
      <c r="B6102" s="27" t="s">
        <v>611</v>
      </c>
      <c r="C6102" s="27" t="s">
        <v>934</v>
      </c>
      <c r="D6102" s="26" t="s">
        <v>3663</v>
      </c>
      <c r="E6102" s="28">
        <v>46113.0</v>
      </c>
      <c r="F6102" s="28">
        <v>46171.0</v>
      </c>
      <c r="G6102" s="29"/>
    </row>
    <row r="6103" ht="15.75" customHeight="1">
      <c r="A6103" s="30" t="s">
        <v>9767</v>
      </c>
      <c r="B6103" s="31" t="s">
        <v>611</v>
      </c>
      <c r="C6103" s="31" t="s">
        <v>1354</v>
      </c>
      <c r="D6103" s="30" t="s">
        <v>3663</v>
      </c>
      <c r="E6103" s="32">
        <v>46113.0</v>
      </c>
      <c r="F6103" s="32">
        <v>46171.0</v>
      </c>
      <c r="G6103" s="33"/>
    </row>
    <row r="6104" ht="15.75" customHeight="1">
      <c r="A6104" s="26" t="s">
        <v>9768</v>
      </c>
      <c r="B6104" s="27" t="s">
        <v>611</v>
      </c>
      <c r="C6104" s="27" t="s">
        <v>1172</v>
      </c>
      <c r="D6104" s="26" t="s">
        <v>3663</v>
      </c>
      <c r="E6104" s="28">
        <v>46113.0</v>
      </c>
      <c r="F6104" s="28">
        <v>46171.0</v>
      </c>
      <c r="G6104" s="29"/>
    </row>
    <row r="6105" ht="15.75" customHeight="1">
      <c r="A6105" s="30" t="s">
        <v>9769</v>
      </c>
      <c r="B6105" s="31" t="s">
        <v>611</v>
      </c>
      <c r="C6105" s="31" t="s">
        <v>1159</v>
      </c>
      <c r="D6105" s="30" t="s">
        <v>3663</v>
      </c>
      <c r="E6105" s="32">
        <v>46113.0</v>
      </c>
      <c r="F6105" s="32">
        <v>46171.0</v>
      </c>
      <c r="G6105" s="33"/>
    </row>
    <row r="6106" ht="15.75" customHeight="1">
      <c r="A6106" s="26" t="s">
        <v>9770</v>
      </c>
      <c r="B6106" s="27" t="s">
        <v>611</v>
      </c>
      <c r="C6106" s="27" t="s">
        <v>3656</v>
      </c>
      <c r="D6106" s="26" t="s">
        <v>3663</v>
      </c>
      <c r="E6106" s="28">
        <v>46113.0</v>
      </c>
      <c r="F6106" s="28">
        <v>46171.0</v>
      </c>
      <c r="G6106" s="29"/>
    </row>
    <row r="6107" ht="15.75" customHeight="1">
      <c r="A6107" s="30" t="s">
        <v>9771</v>
      </c>
      <c r="B6107" s="31" t="s">
        <v>611</v>
      </c>
      <c r="C6107" s="31" t="s">
        <v>3657</v>
      </c>
      <c r="D6107" s="30" t="s">
        <v>3663</v>
      </c>
      <c r="E6107" s="32">
        <v>46113.0</v>
      </c>
      <c r="F6107" s="32">
        <v>46171.0</v>
      </c>
      <c r="G6107" s="33"/>
    </row>
    <row r="6108" ht="15.75" customHeight="1">
      <c r="A6108" s="26" t="s">
        <v>9772</v>
      </c>
      <c r="B6108" s="27" t="s">
        <v>611</v>
      </c>
      <c r="C6108" s="27" t="s">
        <v>3647</v>
      </c>
      <c r="D6108" s="26" t="s">
        <v>3663</v>
      </c>
      <c r="E6108" s="28">
        <v>46113.0</v>
      </c>
      <c r="F6108" s="28">
        <v>46171.0</v>
      </c>
      <c r="G6108" s="29"/>
    </row>
    <row r="6109" ht="15.75" customHeight="1">
      <c r="A6109" s="30" t="s">
        <v>9773</v>
      </c>
      <c r="B6109" s="31" t="s">
        <v>611</v>
      </c>
      <c r="C6109" s="31" t="s">
        <v>952</v>
      </c>
      <c r="D6109" s="30" t="s">
        <v>3663</v>
      </c>
      <c r="E6109" s="32">
        <v>46113.0</v>
      </c>
      <c r="F6109" s="32">
        <v>46171.0</v>
      </c>
      <c r="G6109" s="33"/>
    </row>
    <row r="6110" ht="15.75" customHeight="1">
      <c r="A6110" s="26" t="s">
        <v>9774</v>
      </c>
      <c r="B6110" s="27" t="s">
        <v>611</v>
      </c>
      <c r="C6110" s="27" t="s">
        <v>1157</v>
      </c>
      <c r="D6110" s="26" t="s">
        <v>3663</v>
      </c>
      <c r="E6110" s="28">
        <v>46113.0</v>
      </c>
      <c r="F6110" s="28">
        <v>46171.0</v>
      </c>
      <c r="G6110" s="29"/>
    </row>
    <row r="6111" ht="15.75" customHeight="1">
      <c r="A6111" s="30" t="s">
        <v>9775</v>
      </c>
      <c r="B6111" s="31" t="s">
        <v>611</v>
      </c>
      <c r="C6111" s="31" t="s">
        <v>1155</v>
      </c>
      <c r="D6111" s="30" t="s">
        <v>3663</v>
      </c>
      <c r="E6111" s="32">
        <v>46113.0</v>
      </c>
      <c r="F6111" s="32">
        <v>46171.0</v>
      </c>
      <c r="G6111" s="33"/>
    </row>
    <row r="6112" ht="15.75" customHeight="1">
      <c r="A6112" s="26" t="s">
        <v>9776</v>
      </c>
      <c r="B6112" s="27" t="s">
        <v>611</v>
      </c>
      <c r="C6112" s="27" t="s">
        <v>1153</v>
      </c>
      <c r="D6112" s="26" t="s">
        <v>3663</v>
      </c>
      <c r="E6112" s="28">
        <v>46113.0</v>
      </c>
      <c r="F6112" s="28">
        <v>46171.0</v>
      </c>
      <c r="G6112" s="29"/>
    </row>
    <row r="6113" ht="15.75" customHeight="1">
      <c r="A6113" s="30" t="s">
        <v>9777</v>
      </c>
      <c r="B6113" s="31" t="s">
        <v>611</v>
      </c>
      <c r="C6113" s="31" t="s">
        <v>1149</v>
      </c>
      <c r="D6113" s="30" t="s">
        <v>3663</v>
      </c>
      <c r="E6113" s="32">
        <v>46113.0</v>
      </c>
      <c r="F6113" s="32">
        <v>46171.0</v>
      </c>
      <c r="G6113" s="33"/>
    </row>
    <row r="6114" ht="15.75" customHeight="1">
      <c r="A6114" s="26" t="s">
        <v>9778</v>
      </c>
      <c r="B6114" s="27" t="s">
        <v>611</v>
      </c>
      <c r="C6114" s="27" t="s">
        <v>968</v>
      </c>
      <c r="D6114" s="26" t="s">
        <v>3663</v>
      </c>
      <c r="E6114" s="28">
        <v>46113.0</v>
      </c>
      <c r="F6114" s="28">
        <v>46171.0</v>
      </c>
      <c r="G6114" s="29"/>
    </row>
    <row r="6115" ht="15.75" customHeight="1">
      <c r="A6115" s="30" t="s">
        <v>9779</v>
      </c>
      <c r="B6115" s="31" t="s">
        <v>611</v>
      </c>
      <c r="C6115" s="31" t="s">
        <v>923</v>
      </c>
      <c r="D6115" s="30" t="s">
        <v>3663</v>
      </c>
      <c r="E6115" s="32">
        <v>46113.0</v>
      </c>
      <c r="F6115" s="32">
        <v>46171.0</v>
      </c>
      <c r="G6115" s="33"/>
    </row>
    <row r="6116" ht="15.75" customHeight="1">
      <c r="A6116" s="26" t="s">
        <v>9780</v>
      </c>
      <c r="B6116" s="27" t="s">
        <v>612</v>
      </c>
      <c r="C6116" s="27" t="s">
        <v>928</v>
      </c>
      <c r="D6116" s="26" t="s">
        <v>3663</v>
      </c>
      <c r="E6116" s="28">
        <v>46113.0</v>
      </c>
      <c r="F6116" s="28">
        <v>46171.0</v>
      </c>
      <c r="G6116" s="29"/>
    </row>
    <row r="6117" ht="15.75" customHeight="1">
      <c r="A6117" s="30" t="s">
        <v>9781</v>
      </c>
      <c r="B6117" s="31" t="s">
        <v>612</v>
      </c>
      <c r="C6117" s="31" t="s">
        <v>1354</v>
      </c>
      <c r="D6117" s="30" t="s">
        <v>3663</v>
      </c>
      <c r="E6117" s="32">
        <v>46113.0</v>
      </c>
      <c r="F6117" s="32">
        <v>46171.0</v>
      </c>
      <c r="G6117" s="33"/>
    </row>
    <row r="6118" ht="15.75" customHeight="1">
      <c r="A6118" s="26" t="s">
        <v>9782</v>
      </c>
      <c r="B6118" s="27" t="s">
        <v>612</v>
      </c>
      <c r="C6118" s="27" t="s">
        <v>1222</v>
      </c>
      <c r="D6118" s="26" t="s">
        <v>3663</v>
      </c>
      <c r="E6118" s="28">
        <v>46113.0</v>
      </c>
      <c r="F6118" s="28">
        <v>46171.0</v>
      </c>
      <c r="G6118" s="29"/>
    </row>
    <row r="6119" ht="15.75" customHeight="1">
      <c r="A6119" s="30" t="s">
        <v>9783</v>
      </c>
      <c r="B6119" s="31" t="s">
        <v>612</v>
      </c>
      <c r="C6119" s="31" t="s">
        <v>1224</v>
      </c>
      <c r="D6119" s="30" t="s">
        <v>3663</v>
      </c>
      <c r="E6119" s="32">
        <v>46113.0</v>
      </c>
      <c r="F6119" s="32">
        <v>46171.0</v>
      </c>
      <c r="G6119" s="33"/>
    </row>
    <row r="6120" ht="15.75" customHeight="1">
      <c r="A6120" s="26" t="s">
        <v>9784</v>
      </c>
      <c r="B6120" s="27" t="s">
        <v>612</v>
      </c>
      <c r="C6120" s="27" t="s">
        <v>1226</v>
      </c>
      <c r="D6120" s="26" t="s">
        <v>3663</v>
      </c>
      <c r="E6120" s="28">
        <v>46113.0</v>
      </c>
      <c r="F6120" s="28">
        <v>46171.0</v>
      </c>
      <c r="G6120" s="29"/>
    </row>
    <row r="6121" ht="15.75" customHeight="1">
      <c r="A6121" s="30" t="s">
        <v>9785</v>
      </c>
      <c r="B6121" s="31" t="s">
        <v>612</v>
      </c>
      <c r="C6121" s="31" t="s">
        <v>1228</v>
      </c>
      <c r="D6121" s="30" t="s">
        <v>3663</v>
      </c>
      <c r="E6121" s="32">
        <v>46113.0</v>
      </c>
      <c r="F6121" s="32">
        <v>46171.0</v>
      </c>
      <c r="G6121" s="33"/>
    </row>
    <row r="6122" ht="15.75" customHeight="1">
      <c r="A6122" s="26" t="s">
        <v>9786</v>
      </c>
      <c r="B6122" s="27" t="s">
        <v>612</v>
      </c>
      <c r="C6122" s="27" t="s">
        <v>3681</v>
      </c>
      <c r="D6122" s="26" t="s">
        <v>3663</v>
      </c>
      <c r="E6122" s="28">
        <v>46113.0</v>
      </c>
      <c r="F6122" s="28">
        <v>46171.0</v>
      </c>
      <c r="G6122" s="29"/>
    </row>
    <row r="6123" ht="15.75" customHeight="1">
      <c r="A6123" s="30" t="s">
        <v>9787</v>
      </c>
      <c r="B6123" s="31" t="s">
        <v>612</v>
      </c>
      <c r="C6123" s="31" t="s">
        <v>3683</v>
      </c>
      <c r="D6123" s="30" t="s">
        <v>3663</v>
      </c>
      <c r="E6123" s="32">
        <v>46113.0</v>
      </c>
      <c r="F6123" s="32">
        <v>46171.0</v>
      </c>
      <c r="G6123" s="33"/>
    </row>
    <row r="6124" ht="15.75" customHeight="1">
      <c r="A6124" s="26" t="s">
        <v>9788</v>
      </c>
      <c r="B6124" s="27" t="s">
        <v>612</v>
      </c>
      <c r="C6124" s="27" t="s">
        <v>1218</v>
      </c>
      <c r="D6124" s="26" t="s">
        <v>3663</v>
      </c>
      <c r="E6124" s="28">
        <v>46113.0</v>
      </c>
      <c r="F6124" s="28">
        <v>46171.0</v>
      </c>
      <c r="G6124" s="29"/>
    </row>
    <row r="6125" ht="15.75" customHeight="1">
      <c r="A6125" s="30" t="s">
        <v>9789</v>
      </c>
      <c r="B6125" s="31" t="s">
        <v>612</v>
      </c>
      <c r="C6125" s="31" t="s">
        <v>1271</v>
      </c>
      <c r="D6125" s="30" t="s">
        <v>3663</v>
      </c>
      <c r="E6125" s="32">
        <v>46113.0</v>
      </c>
      <c r="F6125" s="32">
        <v>46171.0</v>
      </c>
      <c r="G6125" s="33"/>
    </row>
    <row r="6126" ht="15.75" customHeight="1">
      <c r="A6126" s="26" t="s">
        <v>9790</v>
      </c>
      <c r="B6126" s="27" t="s">
        <v>612</v>
      </c>
      <c r="C6126" s="27" t="s">
        <v>1351</v>
      </c>
      <c r="D6126" s="26" t="s">
        <v>3663</v>
      </c>
      <c r="E6126" s="28">
        <v>46113.0</v>
      </c>
      <c r="F6126" s="28">
        <v>46171.0</v>
      </c>
      <c r="G6126" s="29"/>
    </row>
    <row r="6127" ht="15.75" customHeight="1">
      <c r="A6127" s="30" t="s">
        <v>9791</v>
      </c>
      <c r="B6127" s="31" t="s">
        <v>612</v>
      </c>
      <c r="C6127" s="31" t="s">
        <v>1349</v>
      </c>
      <c r="D6127" s="30" t="s">
        <v>3663</v>
      </c>
      <c r="E6127" s="32">
        <v>46113.0</v>
      </c>
      <c r="F6127" s="32">
        <v>46171.0</v>
      </c>
      <c r="G6127" s="33"/>
    </row>
    <row r="6128" ht="15.75" customHeight="1">
      <c r="A6128" s="26" t="s">
        <v>9792</v>
      </c>
      <c r="B6128" s="27" t="s">
        <v>612</v>
      </c>
      <c r="C6128" s="27" t="s">
        <v>968</v>
      </c>
      <c r="D6128" s="26" t="s">
        <v>3663</v>
      </c>
      <c r="E6128" s="28">
        <v>46113.0</v>
      </c>
      <c r="F6128" s="28">
        <v>46171.0</v>
      </c>
      <c r="G6128" s="29"/>
    </row>
    <row r="6129" ht="15.75" customHeight="1">
      <c r="A6129" s="30" t="s">
        <v>9793</v>
      </c>
      <c r="B6129" s="31" t="s">
        <v>612</v>
      </c>
      <c r="C6129" s="31" t="s">
        <v>923</v>
      </c>
      <c r="D6129" s="30" t="s">
        <v>3663</v>
      </c>
      <c r="E6129" s="32">
        <v>46113.0</v>
      </c>
      <c r="F6129" s="32">
        <v>46171.0</v>
      </c>
      <c r="G6129" s="33"/>
    </row>
    <row r="6130" ht="15.75" customHeight="1">
      <c r="A6130" s="26" t="s">
        <v>9794</v>
      </c>
      <c r="B6130" s="27" t="s">
        <v>613</v>
      </c>
      <c r="C6130" s="27" t="s">
        <v>1240</v>
      </c>
      <c r="D6130" s="27" t="s">
        <v>3663</v>
      </c>
      <c r="E6130" s="28">
        <v>46113.0</v>
      </c>
      <c r="F6130" s="28">
        <v>46171.0</v>
      </c>
      <c r="G6130" s="29"/>
    </row>
    <row r="6131" ht="15.75" customHeight="1">
      <c r="A6131" s="30" t="s">
        <v>9795</v>
      </c>
      <c r="B6131" s="31" t="s">
        <v>613</v>
      </c>
      <c r="C6131" s="31" t="s">
        <v>1242</v>
      </c>
      <c r="D6131" s="31" t="s">
        <v>3663</v>
      </c>
      <c r="E6131" s="32">
        <v>46113.0</v>
      </c>
      <c r="F6131" s="32">
        <v>46171.0</v>
      </c>
      <c r="G6131" s="33"/>
    </row>
    <row r="6132" ht="15.75" customHeight="1">
      <c r="A6132" s="26" t="s">
        <v>9796</v>
      </c>
      <c r="B6132" s="27" t="s">
        <v>613</v>
      </c>
      <c r="C6132" s="27" t="s">
        <v>1244</v>
      </c>
      <c r="D6132" s="27" t="s">
        <v>3663</v>
      </c>
      <c r="E6132" s="28">
        <v>46113.0</v>
      </c>
      <c r="F6132" s="28">
        <v>46171.0</v>
      </c>
      <c r="G6132" s="29"/>
    </row>
    <row r="6133" ht="15.75" customHeight="1">
      <c r="A6133" s="30" t="s">
        <v>9797</v>
      </c>
      <c r="B6133" s="31" t="s">
        <v>613</v>
      </c>
      <c r="C6133" s="31" t="s">
        <v>1246</v>
      </c>
      <c r="D6133" s="31" t="s">
        <v>3663</v>
      </c>
      <c r="E6133" s="32">
        <v>46113.0</v>
      </c>
      <c r="F6133" s="32">
        <v>46171.0</v>
      </c>
      <c r="G6133" s="33"/>
    </row>
    <row r="6134" ht="15.75" customHeight="1">
      <c r="A6134" s="26" t="s">
        <v>9798</v>
      </c>
      <c r="B6134" s="27" t="s">
        <v>613</v>
      </c>
      <c r="C6134" s="27" t="s">
        <v>934</v>
      </c>
      <c r="D6134" s="27" t="s">
        <v>3663</v>
      </c>
      <c r="E6134" s="28">
        <v>46113.0</v>
      </c>
      <c r="F6134" s="28">
        <v>46171.0</v>
      </c>
      <c r="G6134" s="29"/>
    </row>
    <row r="6135" ht="15.75" customHeight="1">
      <c r="A6135" s="30" t="s">
        <v>9799</v>
      </c>
      <c r="B6135" s="31" t="s">
        <v>613</v>
      </c>
      <c r="C6135" s="31" t="s">
        <v>1354</v>
      </c>
      <c r="D6135" s="30" t="s">
        <v>3663</v>
      </c>
      <c r="E6135" s="32">
        <v>46113.0</v>
      </c>
      <c r="F6135" s="32">
        <v>46171.0</v>
      </c>
      <c r="G6135" s="33"/>
    </row>
    <row r="6136" ht="15.75" customHeight="1">
      <c r="A6136" s="26" t="s">
        <v>9800</v>
      </c>
      <c r="B6136" s="27" t="s">
        <v>613</v>
      </c>
      <c r="C6136" s="27" t="s">
        <v>1172</v>
      </c>
      <c r="D6136" s="26" t="s">
        <v>3663</v>
      </c>
      <c r="E6136" s="28">
        <v>46113.0</v>
      </c>
      <c r="F6136" s="28">
        <v>46171.0</v>
      </c>
      <c r="G6136" s="29"/>
    </row>
    <row r="6137" ht="15.75" customHeight="1">
      <c r="A6137" s="30" t="s">
        <v>9801</v>
      </c>
      <c r="B6137" s="31" t="s">
        <v>613</v>
      </c>
      <c r="C6137" s="31" t="s">
        <v>3656</v>
      </c>
      <c r="D6137" s="30" t="s">
        <v>3663</v>
      </c>
      <c r="E6137" s="32">
        <v>46113.0</v>
      </c>
      <c r="F6137" s="32">
        <v>46171.0</v>
      </c>
      <c r="G6137" s="33"/>
    </row>
    <row r="6138" ht="15.75" customHeight="1">
      <c r="A6138" s="26" t="s">
        <v>9802</v>
      </c>
      <c r="B6138" s="27" t="s">
        <v>613</v>
      </c>
      <c r="C6138" s="27" t="s">
        <v>3657</v>
      </c>
      <c r="D6138" s="26" t="s">
        <v>3663</v>
      </c>
      <c r="E6138" s="28">
        <v>46113.0</v>
      </c>
      <c r="F6138" s="28">
        <v>46171.0</v>
      </c>
      <c r="G6138" s="29"/>
    </row>
    <row r="6139" ht="15.75" customHeight="1">
      <c r="A6139" s="30" t="s">
        <v>9803</v>
      </c>
      <c r="B6139" s="31" t="s">
        <v>613</v>
      </c>
      <c r="C6139" s="31" t="s">
        <v>3647</v>
      </c>
      <c r="D6139" s="30" t="s">
        <v>3663</v>
      </c>
      <c r="E6139" s="32">
        <v>46113.0</v>
      </c>
      <c r="F6139" s="32">
        <v>46171.0</v>
      </c>
      <c r="G6139" s="33"/>
    </row>
    <row r="6140" ht="15.75" customHeight="1">
      <c r="A6140" s="26" t="s">
        <v>9804</v>
      </c>
      <c r="B6140" s="27" t="s">
        <v>613</v>
      </c>
      <c r="C6140" s="27" t="s">
        <v>952</v>
      </c>
      <c r="D6140" s="26" t="s">
        <v>3663</v>
      </c>
      <c r="E6140" s="28">
        <v>46113.0</v>
      </c>
      <c r="F6140" s="28">
        <v>46171.0</v>
      </c>
      <c r="G6140" s="29"/>
    </row>
    <row r="6141" ht="15.75" customHeight="1">
      <c r="A6141" s="30" t="s">
        <v>9805</v>
      </c>
      <c r="B6141" s="31" t="s">
        <v>613</v>
      </c>
      <c r="C6141" s="31" t="s">
        <v>1216</v>
      </c>
      <c r="D6141" s="30" t="s">
        <v>3663</v>
      </c>
      <c r="E6141" s="32">
        <v>46113.0</v>
      </c>
      <c r="F6141" s="32">
        <v>46171.0</v>
      </c>
      <c r="G6141" s="33"/>
    </row>
    <row r="6142" ht="15.75" customHeight="1">
      <c r="A6142" s="26" t="s">
        <v>9806</v>
      </c>
      <c r="B6142" s="27" t="s">
        <v>613</v>
      </c>
      <c r="C6142" s="27" t="s">
        <v>965</v>
      </c>
      <c r="D6142" s="26" t="s">
        <v>3663</v>
      </c>
      <c r="E6142" s="28">
        <v>46113.0</v>
      </c>
      <c r="F6142" s="28">
        <v>46171.0</v>
      </c>
      <c r="G6142" s="29"/>
    </row>
    <row r="6143" ht="15.75" customHeight="1">
      <c r="A6143" s="30" t="s">
        <v>9807</v>
      </c>
      <c r="B6143" s="31" t="s">
        <v>613</v>
      </c>
      <c r="C6143" s="31" t="s">
        <v>923</v>
      </c>
      <c r="D6143" s="31" t="s">
        <v>3663</v>
      </c>
      <c r="E6143" s="32">
        <v>46113.0</v>
      </c>
      <c r="F6143" s="32">
        <v>46171.0</v>
      </c>
      <c r="G6143" s="33"/>
    </row>
    <row r="6144" ht="15.75" customHeight="1">
      <c r="A6144" s="26" t="s">
        <v>9808</v>
      </c>
      <c r="B6144" s="27" t="s">
        <v>615</v>
      </c>
      <c r="C6144" s="27" t="s">
        <v>1240</v>
      </c>
      <c r="D6144" s="26" t="s">
        <v>3663</v>
      </c>
      <c r="E6144" s="28">
        <v>46113.0</v>
      </c>
      <c r="F6144" s="28">
        <v>46171.0</v>
      </c>
      <c r="G6144" s="29"/>
    </row>
    <row r="6145" ht="15.75" customHeight="1">
      <c r="A6145" s="30" t="s">
        <v>9809</v>
      </c>
      <c r="B6145" s="31" t="s">
        <v>615</v>
      </c>
      <c r="C6145" s="31" t="s">
        <v>1242</v>
      </c>
      <c r="D6145" s="30" t="s">
        <v>3663</v>
      </c>
      <c r="E6145" s="32">
        <v>46113.0</v>
      </c>
      <c r="F6145" s="32">
        <v>46171.0</v>
      </c>
      <c r="G6145" s="33"/>
    </row>
    <row r="6146" ht="15.75" customHeight="1">
      <c r="A6146" s="26" t="s">
        <v>9810</v>
      </c>
      <c r="B6146" s="27" t="s">
        <v>615</v>
      </c>
      <c r="C6146" s="27" t="s">
        <v>1244</v>
      </c>
      <c r="D6146" s="26" t="s">
        <v>3663</v>
      </c>
      <c r="E6146" s="28">
        <v>46113.0</v>
      </c>
      <c r="F6146" s="28">
        <v>46171.0</v>
      </c>
      <c r="G6146" s="29"/>
    </row>
    <row r="6147" ht="15.75" customHeight="1">
      <c r="A6147" s="30" t="s">
        <v>9811</v>
      </c>
      <c r="B6147" s="31" t="s">
        <v>615</v>
      </c>
      <c r="C6147" s="31" t="s">
        <v>1246</v>
      </c>
      <c r="D6147" s="30" t="s">
        <v>3663</v>
      </c>
      <c r="E6147" s="32">
        <v>46113.0</v>
      </c>
      <c r="F6147" s="32">
        <v>46171.0</v>
      </c>
      <c r="G6147" s="33"/>
    </row>
    <row r="6148" ht="15.75" customHeight="1">
      <c r="A6148" s="26" t="s">
        <v>9812</v>
      </c>
      <c r="B6148" s="27" t="s">
        <v>615</v>
      </c>
      <c r="C6148" s="27" t="s">
        <v>3654</v>
      </c>
      <c r="D6148" s="26" t="s">
        <v>3663</v>
      </c>
      <c r="E6148" s="28">
        <v>46113.0</v>
      </c>
      <c r="F6148" s="28">
        <v>46171.0</v>
      </c>
      <c r="G6148" s="29"/>
    </row>
    <row r="6149" ht="15.75" customHeight="1">
      <c r="A6149" s="30" t="s">
        <v>9813</v>
      </c>
      <c r="B6149" s="31" t="s">
        <v>615</v>
      </c>
      <c r="C6149" s="31" t="s">
        <v>3655</v>
      </c>
      <c r="D6149" s="30" t="s">
        <v>3663</v>
      </c>
      <c r="E6149" s="32">
        <v>46113.0</v>
      </c>
      <c r="F6149" s="32">
        <v>46171.0</v>
      </c>
      <c r="G6149" s="33"/>
    </row>
    <row r="6150" ht="15.75" customHeight="1">
      <c r="A6150" s="26" t="s">
        <v>9814</v>
      </c>
      <c r="B6150" s="27" t="s">
        <v>615</v>
      </c>
      <c r="C6150" s="27" t="s">
        <v>934</v>
      </c>
      <c r="D6150" s="26" t="s">
        <v>3663</v>
      </c>
      <c r="E6150" s="28">
        <v>46113.0</v>
      </c>
      <c r="F6150" s="28">
        <v>46171.0</v>
      </c>
      <c r="G6150" s="29"/>
    </row>
    <row r="6151" ht="15.75" customHeight="1">
      <c r="A6151" s="30" t="s">
        <v>9815</v>
      </c>
      <c r="B6151" s="31" t="s">
        <v>615</v>
      </c>
      <c r="C6151" s="31" t="s">
        <v>1354</v>
      </c>
      <c r="D6151" s="30" t="s">
        <v>3663</v>
      </c>
      <c r="E6151" s="32">
        <v>46113.0</v>
      </c>
      <c r="F6151" s="32">
        <v>46171.0</v>
      </c>
      <c r="G6151" s="33"/>
    </row>
    <row r="6152" ht="15.75" customHeight="1">
      <c r="A6152" s="26" t="s">
        <v>9816</v>
      </c>
      <c r="B6152" s="27" t="s">
        <v>615</v>
      </c>
      <c r="C6152" s="27" t="s">
        <v>1216</v>
      </c>
      <c r="D6152" s="26" t="s">
        <v>3663</v>
      </c>
      <c r="E6152" s="28">
        <v>46113.0</v>
      </c>
      <c r="F6152" s="28">
        <v>46171.0</v>
      </c>
      <c r="G6152" s="29"/>
    </row>
    <row r="6153" ht="15.75" customHeight="1">
      <c r="A6153" s="30" t="s">
        <v>9817</v>
      </c>
      <c r="B6153" s="31" t="s">
        <v>615</v>
      </c>
      <c r="C6153" s="31" t="s">
        <v>1218</v>
      </c>
      <c r="D6153" s="30" t="s">
        <v>3663</v>
      </c>
      <c r="E6153" s="32">
        <v>46113.0</v>
      </c>
      <c r="F6153" s="32">
        <v>46171.0</v>
      </c>
      <c r="G6153" s="33"/>
    </row>
    <row r="6154" ht="15.75" customHeight="1">
      <c r="A6154" s="26" t="s">
        <v>9818</v>
      </c>
      <c r="B6154" s="27" t="s">
        <v>615</v>
      </c>
      <c r="C6154" s="27" t="s">
        <v>1351</v>
      </c>
      <c r="D6154" s="26" t="s">
        <v>3663</v>
      </c>
      <c r="E6154" s="28">
        <v>46113.0</v>
      </c>
      <c r="F6154" s="28">
        <v>46171.0</v>
      </c>
      <c r="G6154" s="29"/>
    </row>
    <row r="6155" ht="15.75" customHeight="1">
      <c r="A6155" s="30" t="s">
        <v>9819</v>
      </c>
      <c r="B6155" s="31" t="s">
        <v>615</v>
      </c>
      <c r="C6155" s="31" t="s">
        <v>1349</v>
      </c>
      <c r="D6155" s="30" t="s">
        <v>3663</v>
      </c>
      <c r="E6155" s="32">
        <v>46113.0</v>
      </c>
      <c r="F6155" s="32">
        <v>46171.0</v>
      </c>
      <c r="G6155" s="33"/>
    </row>
    <row r="6156" ht="15.75" customHeight="1">
      <c r="A6156" s="26" t="s">
        <v>9820</v>
      </c>
      <c r="B6156" s="27" t="s">
        <v>615</v>
      </c>
      <c r="C6156" s="27" t="s">
        <v>965</v>
      </c>
      <c r="D6156" s="26" t="s">
        <v>3663</v>
      </c>
      <c r="E6156" s="28">
        <v>46113.0</v>
      </c>
      <c r="F6156" s="28">
        <v>46171.0</v>
      </c>
      <c r="G6156" s="29"/>
    </row>
    <row r="6157" ht="15.75" customHeight="1">
      <c r="A6157" s="30" t="s">
        <v>9821</v>
      </c>
      <c r="B6157" s="31" t="s">
        <v>615</v>
      </c>
      <c r="C6157" s="31" t="s">
        <v>923</v>
      </c>
      <c r="D6157" s="30" t="s">
        <v>3663</v>
      </c>
      <c r="E6157" s="32">
        <v>46113.0</v>
      </c>
      <c r="F6157" s="32">
        <v>46171.0</v>
      </c>
      <c r="G6157" s="33"/>
    </row>
    <row r="6158" ht="15.75" customHeight="1">
      <c r="A6158" s="26" t="s">
        <v>9822</v>
      </c>
      <c r="B6158" s="27" t="s">
        <v>616</v>
      </c>
      <c r="C6158" s="27" t="s">
        <v>930</v>
      </c>
      <c r="D6158" s="26" t="s">
        <v>3663</v>
      </c>
      <c r="E6158" s="28">
        <v>46113.0</v>
      </c>
      <c r="F6158" s="28">
        <v>46171.0</v>
      </c>
      <c r="G6158" s="29"/>
    </row>
    <row r="6159" ht="15.75" customHeight="1">
      <c r="A6159" s="30" t="s">
        <v>9823</v>
      </c>
      <c r="B6159" s="31" t="s">
        <v>616</v>
      </c>
      <c r="C6159" s="31" t="s">
        <v>1354</v>
      </c>
      <c r="D6159" s="30" t="s">
        <v>3663</v>
      </c>
      <c r="E6159" s="32">
        <v>46113.0</v>
      </c>
      <c r="F6159" s="32">
        <v>46171.0</v>
      </c>
      <c r="G6159" s="33"/>
    </row>
    <row r="6160" ht="15.75" customHeight="1">
      <c r="A6160" s="26" t="s">
        <v>9824</v>
      </c>
      <c r="B6160" s="27" t="s">
        <v>616</v>
      </c>
      <c r="C6160" s="27" t="s">
        <v>3641</v>
      </c>
      <c r="D6160" s="26" t="s">
        <v>3663</v>
      </c>
      <c r="E6160" s="28">
        <v>46113.0</v>
      </c>
      <c r="F6160" s="28">
        <v>46171.0</v>
      </c>
      <c r="G6160" s="29"/>
    </row>
    <row r="6161" ht="15.75" customHeight="1">
      <c r="A6161" s="30" t="s">
        <v>9825</v>
      </c>
      <c r="B6161" s="31" t="s">
        <v>616</v>
      </c>
      <c r="C6161" s="31" t="s">
        <v>1304</v>
      </c>
      <c r="D6161" s="30" t="s">
        <v>3663</v>
      </c>
      <c r="E6161" s="32">
        <v>46113.0</v>
      </c>
      <c r="F6161" s="32">
        <v>46171.0</v>
      </c>
      <c r="G6161" s="33"/>
    </row>
    <row r="6162" ht="15.75" customHeight="1">
      <c r="A6162" s="26" t="s">
        <v>9826</v>
      </c>
      <c r="B6162" s="27" t="s">
        <v>616</v>
      </c>
      <c r="C6162" s="27" t="s">
        <v>3642</v>
      </c>
      <c r="D6162" s="26" t="s">
        <v>3663</v>
      </c>
      <c r="E6162" s="28">
        <v>46113.0</v>
      </c>
      <c r="F6162" s="28">
        <v>46171.0</v>
      </c>
      <c r="G6162" s="29"/>
    </row>
    <row r="6163" ht="15.75" customHeight="1">
      <c r="A6163" s="30" t="s">
        <v>9827</v>
      </c>
      <c r="B6163" s="31" t="s">
        <v>616</v>
      </c>
      <c r="C6163" s="31" t="s">
        <v>1308</v>
      </c>
      <c r="D6163" s="30" t="s">
        <v>3663</v>
      </c>
      <c r="E6163" s="32">
        <v>46113.0</v>
      </c>
      <c r="F6163" s="32">
        <v>46171.0</v>
      </c>
      <c r="G6163" s="33"/>
    </row>
    <row r="6164" ht="15.75" customHeight="1">
      <c r="A6164" s="26" t="s">
        <v>9828</v>
      </c>
      <c r="B6164" s="27" t="s">
        <v>616</v>
      </c>
      <c r="C6164" s="27" t="s">
        <v>1312</v>
      </c>
      <c r="D6164" s="26" t="s">
        <v>3663</v>
      </c>
      <c r="E6164" s="28">
        <v>46113.0</v>
      </c>
      <c r="F6164" s="28">
        <v>46171.0</v>
      </c>
      <c r="G6164" s="29"/>
    </row>
    <row r="6165" ht="15.75" customHeight="1">
      <c r="A6165" s="30" t="s">
        <v>9829</v>
      </c>
      <c r="B6165" s="31" t="s">
        <v>616</v>
      </c>
      <c r="C6165" s="31" t="s">
        <v>1218</v>
      </c>
      <c r="D6165" s="30" t="s">
        <v>3663</v>
      </c>
      <c r="E6165" s="32">
        <v>46113.0</v>
      </c>
      <c r="F6165" s="32">
        <v>46171.0</v>
      </c>
      <c r="G6165" s="33"/>
    </row>
    <row r="6166" ht="15.75" customHeight="1">
      <c r="A6166" s="26" t="s">
        <v>9830</v>
      </c>
      <c r="B6166" s="27" t="s">
        <v>616</v>
      </c>
      <c r="C6166" s="27" t="s">
        <v>1351</v>
      </c>
      <c r="D6166" s="26" t="s">
        <v>3663</v>
      </c>
      <c r="E6166" s="28">
        <v>46113.0</v>
      </c>
      <c r="F6166" s="28">
        <v>46171.0</v>
      </c>
      <c r="G6166" s="29"/>
    </row>
    <row r="6167" ht="15.75" customHeight="1">
      <c r="A6167" s="30" t="s">
        <v>9831</v>
      </c>
      <c r="B6167" s="31" t="s">
        <v>616</v>
      </c>
      <c r="C6167" s="31" t="s">
        <v>1349</v>
      </c>
      <c r="D6167" s="30" t="s">
        <v>3663</v>
      </c>
      <c r="E6167" s="32">
        <v>46113.0</v>
      </c>
      <c r="F6167" s="32">
        <v>46171.0</v>
      </c>
      <c r="G6167" s="33"/>
    </row>
    <row r="6168" ht="15.75" customHeight="1">
      <c r="A6168" s="26" t="s">
        <v>9832</v>
      </c>
      <c r="B6168" s="27" t="s">
        <v>616</v>
      </c>
      <c r="C6168" s="27" t="s">
        <v>3653</v>
      </c>
      <c r="D6168" s="27" t="s">
        <v>3663</v>
      </c>
      <c r="E6168" s="28">
        <v>46113.0</v>
      </c>
      <c r="F6168" s="28">
        <v>46171.0</v>
      </c>
      <c r="G6168" s="29"/>
    </row>
    <row r="6169" ht="15.75" customHeight="1">
      <c r="A6169" s="30" t="s">
        <v>9833</v>
      </c>
      <c r="B6169" s="31" t="s">
        <v>616</v>
      </c>
      <c r="C6169" s="31" t="s">
        <v>3652</v>
      </c>
      <c r="D6169" s="30" t="s">
        <v>3663</v>
      </c>
      <c r="E6169" s="32">
        <v>46113.0</v>
      </c>
      <c r="F6169" s="32">
        <v>46171.0</v>
      </c>
      <c r="G6169" s="33"/>
    </row>
    <row r="6170" ht="15.75" customHeight="1">
      <c r="A6170" s="26" t="s">
        <v>9834</v>
      </c>
      <c r="B6170" s="27" t="s">
        <v>616</v>
      </c>
      <c r="C6170" s="27" t="s">
        <v>965</v>
      </c>
      <c r="D6170" s="26" t="s">
        <v>3663</v>
      </c>
      <c r="E6170" s="28">
        <v>46113.0</v>
      </c>
      <c r="F6170" s="28">
        <v>46171.0</v>
      </c>
      <c r="G6170" s="29"/>
    </row>
    <row r="6171" ht="15.75" customHeight="1">
      <c r="A6171" s="30" t="s">
        <v>9835</v>
      </c>
      <c r="B6171" s="31" t="s">
        <v>616</v>
      </c>
      <c r="C6171" s="31" t="s">
        <v>923</v>
      </c>
      <c r="D6171" s="30" t="s">
        <v>3663</v>
      </c>
      <c r="E6171" s="32">
        <v>46113.0</v>
      </c>
      <c r="F6171" s="32">
        <v>46171.0</v>
      </c>
      <c r="G6171" s="33"/>
    </row>
    <row r="6172" ht="15.75" customHeight="1">
      <c r="A6172" s="26" t="s">
        <v>9836</v>
      </c>
      <c r="B6172" s="27" t="s">
        <v>617</v>
      </c>
      <c r="C6172" s="27" t="s">
        <v>3654</v>
      </c>
      <c r="D6172" s="26" t="s">
        <v>3663</v>
      </c>
      <c r="E6172" s="28">
        <v>46113.0</v>
      </c>
      <c r="F6172" s="28">
        <v>46171.0</v>
      </c>
      <c r="G6172" s="29"/>
    </row>
    <row r="6173" ht="15.75" customHeight="1">
      <c r="A6173" s="30" t="s">
        <v>9837</v>
      </c>
      <c r="B6173" s="31" t="s">
        <v>617</v>
      </c>
      <c r="C6173" s="31" t="s">
        <v>3655</v>
      </c>
      <c r="D6173" s="30" t="s">
        <v>3663</v>
      </c>
      <c r="E6173" s="32">
        <v>46113.0</v>
      </c>
      <c r="F6173" s="32">
        <v>46171.0</v>
      </c>
      <c r="G6173" s="33"/>
    </row>
    <row r="6174" ht="15.75" customHeight="1">
      <c r="A6174" s="26" t="s">
        <v>9838</v>
      </c>
      <c r="B6174" s="27" t="s">
        <v>617</v>
      </c>
      <c r="C6174" s="27" t="s">
        <v>930</v>
      </c>
      <c r="D6174" s="26" t="s">
        <v>3663</v>
      </c>
      <c r="E6174" s="28">
        <v>46113.0</v>
      </c>
      <c r="F6174" s="28">
        <v>46171.0</v>
      </c>
      <c r="G6174" s="29"/>
    </row>
    <row r="6175" ht="15.75" customHeight="1">
      <c r="A6175" s="30" t="s">
        <v>9839</v>
      </c>
      <c r="B6175" s="31" t="s">
        <v>617</v>
      </c>
      <c r="C6175" s="31" t="s">
        <v>1354</v>
      </c>
      <c r="D6175" s="30" t="s">
        <v>3663</v>
      </c>
      <c r="E6175" s="32">
        <v>46113.0</v>
      </c>
      <c r="F6175" s="32">
        <v>46171.0</v>
      </c>
      <c r="G6175" s="33"/>
    </row>
    <row r="6176" ht="15.75" customHeight="1">
      <c r="A6176" s="26" t="s">
        <v>9840</v>
      </c>
      <c r="B6176" s="27" t="s">
        <v>617</v>
      </c>
      <c r="C6176" s="27" t="s">
        <v>3641</v>
      </c>
      <c r="D6176" s="26" t="s">
        <v>3663</v>
      </c>
      <c r="E6176" s="28">
        <v>46113.0</v>
      </c>
      <c r="F6176" s="28">
        <v>46171.0</v>
      </c>
      <c r="G6176" s="29"/>
    </row>
    <row r="6177" ht="15.75" customHeight="1">
      <c r="A6177" s="30" t="s">
        <v>9841</v>
      </c>
      <c r="B6177" s="31" t="s">
        <v>617</v>
      </c>
      <c r="C6177" s="31" t="s">
        <v>1304</v>
      </c>
      <c r="D6177" s="30" t="s">
        <v>3663</v>
      </c>
      <c r="E6177" s="32">
        <v>46113.0</v>
      </c>
      <c r="F6177" s="32">
        <v>46171.0</v>
      </c>
      <c r="G6177" s="33"/>
    </row>
    <row r="6178" ht="15.75" customHeight="1">
      <c r="A6178" s="26" t="s">
        <v>9842</v>
      </c>
      <c r="B6178" s="27" t="s">
        <v>617</v>
      </c>
      <c r="C6178" s="27" t="s">
        <v>3642</v>
      </c>
      <c r="D6178" s="26" t="s">
        <v>3663</v>
      </c>
      <c r="E6178" s="28">
        <v>46113.0</v>
      </c>
      <c r="F6178" s="28">
        <v>46171.0</v>
      </c>
      <c r="G6178" s="29"/>
    </row>
    <row r="6179" ht="15.75" customHeight="1">
      <c r="A6179" s="30" t="s">
        <v>9843</v>
      </c>
      <c r="B6179" s="31" t="s">
        <v>617</v>
      </c>
      <c r="C6179" s="31" t="s">
        <v>1308</v>
      </c>
      <c r="D6179" s="30" t="s">
        <v>3663</v>
      </c>
      <c r="E6179" s="32">
        <v>46113.0</v>
      </c>
      <c r="F6179" s="32">
        <v>46171.0</v>
      </c>
      <c r="G6179" s="33"/>
    </row>
    <row r="6180" ht="15.75" customHeight="1">
      <c r="A6180" s="26" t="s">
        <v>9844</v>
      </c>
      <c r="B6180" s="27" t="s">
        <v>617</v>
      </c>
      <c r="C6180" s="27" t="s">
        <v>1208</v>
      </c>
      <c r="D6180" s="26" t="s">
        <v>3663</v>
      </c>
      <c r="E6180" s="28">
        <v>46113.0</v>
      </c>
      <c r="F6180" s="28">
        <v>46171.0</v>
      </c>
      <c r="G6180" s="29"/>
    </row>
    <row r="6181" ht="15.75" customHeight="1">
      <c r="A6181" s="30" t="s">
        <v>9845</v>
      </c>
      <c r="B6181" s="31" t="s">
        <v>617</v>
      </c>
      <c r="C6181" s="31" t="s">
        <v>1351</v>
      </c>
      <c r="D6181" s="30" t="s">
        <v>3663</v>
      </c>
      <c r="E6181" s="32">
        <v>46113.0</v>
      </c>
      <c r="F6181" s="32">
        <v>46171.0</v>
      </c>
      <c r="G6181" s="33"/>
    </row>
    <row r="6182" ht="15.75" customHeight="1">
      <c r="A6182" s="26" t="s">
        <v>9846</v>
      </c>
      <c r="B6182" s="27" t="s">
        <v>617</v>
      </c>
      <c r="C6182" s="27" t="s">
        <v>1349</v>
      </c>
      <c r="D6182" s="26" t="s">
        <v>3663</v>
      </c>
      <c r="E6182" s="28">
        <v>46113.0</v>
      </c>
      <c r="F6182" s="28">
        <v>46171.0</v>
      </c>
      <c r="G6182" s="29"/>
    </row>
    <row r="6183" ht="15.75" customHeight="1">
      <c r="A6183" s="30" t="s">
        <v>9847</v>
      </c>
      <c r="B6183" s="31" t="s">
        <v>617</v>
      </c>
      <c r="C6183" s="31" t="s">
        <v>965</v>
      </c>
      <c r="D6183" s="30" t="s">
        <v>3663</v>
      </c>
      <c r="E6183" s="32">
        <v>46113.0</v>
      </c>
      <c r="F6183" s="32">
        <v>46171.0</v>
      </c>
      <c r="G6183" s="33"/>
    </row>
    <row r="6184" ht="15.75" customHeight="1">
      <c r="A6184" s="26" t="s">
        <v>9848</v>
      </c>
      <c r="B6184" s="27" t="s">
        <v>617</v>
      </c>
      <c r="C6184" s="27" t="s">
        <v>923</v>
      </c>
      <c r="D6184" s="26" t="s">
        <v>3663</v>
      </c>
      <c r="E6184" s="28">
        <v>46113.0</v>
      </c>
      <c r="F6184" s="28">
        <v>46171.0</v>
      </c>
      <c r="G6184" s="29"/>
    </row>
    <row r="6185" ht="15.75" customHeight="1">
      <c r="A6185" s="30" t="s">
        <v>9849</v>
      </c>
      <c r="B6185" s="31" t="s">
        <v>617</v>
      </c>
      <c r="C6185" s="31" t="s">
        <v>961</v>
      </c>
      <c r="D6185" s="30" t="s">
        <v>3663</v>
      </c>
      <c r="E6185" s="32">
        <v>46113.0</v>
      </c>
      <c r="F6185" s="32">
        <v>46171.0</v>
      </c>
      <c r="G6185" s="33"/>
    </row>
    <row r="6186" ht="15.75" customHeight="1">
      <c r="A6186" s="26" t="s">
        <v>9850</v>
      </c>
      <c r="B6186" s="27" t="s">
        <v>618</v>
      </c>
      <c r="C6186" s="27" t="s">
        <v>930</v>
      </c>
      <c r="D6186" s="26" t="s">
        <v>3663</v>
      </c>
      <c r="E6186" s="28">
        <v>46113.0</v>
      </c>
      <c r="F6186" s="28">
        <v>46171.0</v>
      </c>
      <c r="G6186" s="29"/>
    </row>
    <row r="6187" ht="15.75" customHeight="1">
      <c r="A6187" s="30" t="s">
        <v>9851</v>
      </c>
      <c r="B6187" s="31" t="s">
        <v>618</v>
      </c>
      <c r="C6187" s="31" t="s">
        <v>1354</v>
      </c>
      <c r="D6187" s="30" t="s">
        <v>3663</v>
      </c>
      <c r="E6187" s="32">
        <v>46113.0</v>
      </c>
      <c r="F6187" s="32">
        <v>46171.0</v>
      </c>
      <c r="G6187" s="33"/>
    </row>
    <row r="6188" ht="15.75" customHeight="1">
      <c r="A6188" s="26" t="s">
        <v>9852</v>
      </c>
      <c r="B6188" s="27" t="s">
        <v>618</v>
      </c>
      <c r="C6188" s="27" t="s">
        <v>1304</v>
      </c>
      <c r="D6188" s="26" t="s">
        <v>3663</v>
      </c>
      <c r="E6188" s="28">
        <v>46113.0</v>
      </c>
      <c r="F6188" s="28">
        <v>46171.0</v>
      </c>
      <c r="G6188" s="29"/>
    </row>
    <row r="6189" ht="15.75" customHeight="1">
      <c r="A6189" s="30" t="s">
        <v>9853</v>
      </c>
      <c r="B6189" s="31" t="s">
        <v>618</v>
      </c>
      <c r="C6189" s="31" t="s">
        <v>1306</v>
      </c>
      <c r="D6189" s="30" t="s">
        <v>3663</v>
      </c>
      <c r="E6189" s="32">
        <v>46113.0</v>
      </c>
      <c r="F6189" s="32">
        <v>46171.0</v>
      </c>
      <c r="G6189" s="33"/>
    </row>
    <row r="6190" ht="15.75" customHeight="1">
      <c r="A6190" s="26" t="s">
        <v>9854</v>
      </c>
      <c r="B6190" s="27" t="s">
        <v>618</v>
      </c>
      <c r="C6190" s="27" t="s">
        <v>1308</v>
      </c>
      <c r="D6190" s="26" t="s">
        <v>3663</v>
      </c>
      <c r="E6190" s="28">
        <v>46113.0</v>
      </c>
      <c r="F6190" s="28">
        <v>46171.0</v>
      </c>
      <c r="G6190" s="29"/>
    </row>
    <row r="6191" ht="15.75" customHeight="1">
      <c r="A6191" s="30" t="s">
        <v>9855</v>
      </c>
      <c r="B6191" s="31" t="s">
        <v>618</v>
      </c>
      <c r="C6191" s="31" t="s">
        <v>1310</v>
      </c>
      <c r="D6191" s="30" t="s">
        <v>3663</v>
      </c>
      <c r="E6191" s="32">
        <v>46113.0</v>
      </c>
      <c r="F6191" s="32">
        <v>46171.0</v>
      </c>
      <c r="G6191" s="33"/>
    </row>
    <row r="6192" ht="15.75" customHeight="1">
      <c r="A6192" s="26" t="s">
        <v>9856</v>
      </c>
      <c r="B6192" s="27" t="s">
        <v>618</v>
      </c>
      <c r="C6192" s="27" t="s">
        <v>1172</v>
      </c>
      <c r="D6192" s="26" t="s">
        <v>3663</v>
      </c>
      <c r="E6192" s="28">
        <v>46113.0</v>
      </c>
      <c r="F6192" s="28">
        <v>46171.0</v>
      </c>
      <c r="G6192" s="29"/>
    </row>
    <row r="6193" ht="15.75" customHeight="1">
      <c r="A6193" s="30" t="s">
        <v>9857</v>
      </c>
      <c r="B6193" s="31" t="s">
        <v>618</v>
      </c>
      <c r="C6193" s="31" t="s">
        <v>1312</v>
      </c>
      <c r="D6193" s="30" t="s">
        <v>3663</v>
      </c>
      <c r="E6193" s="32">
        <v>46113.0</v>
      </c>
      <c r="F6193" s="32">
        <v>46171.0</v>
      </c>
      <c r="G6193" s="33"/>
    </row>
    <row r="6194" ht="15.75" customHeight="1">
      <c r="A6194" s="26" t="s">
        <v>9858</v>
      </c>
      <c r="B6194" s="27" t="s">
        <v>618</v>
      </c>
      <c r="C6194" s="27" t="s">
        <v>3681</v>
      </c>
      <c r="D6194" s="26" t="s">
        <v>3663</v>
      </c>
      <c r="E6194" s="28">
        <v>46113.0</v>
      </c>
      <c r="F6194" s="28">
        <v>46171.0</v>
      </c>
      <c r="G6194" s="29"/>
    </row>
    <row r="6195" ht="15.75" customHeight="1">
      <c r="A6195" s="30" t="s">
        <v>9859</v>
      </c>
      <c r="B6195" s="31" t="s">
        <v>618</v>
      </c>
      <c r="C6195" s="31" t="s">
        <v>3683</v>
      </c>
      <c r="D6195" s="30" t="s">
        <v>3663</v>
      </c>
      <c r="E6195" s="32">
        <v>46113.0</v>
      </c>
      <c r="F6195" s="32">
        <v>46171.0</v>
      </c>
      <c r="G6195" s="33"/>
    </row>
    <row r="6196" ht="15.75" customHeight="1">
      <c r="A6196" s="26" t="s">
        <v>9860</v>
      </c>
      <c r="B6196" s="27" t="s">
        <v>618</v>
      </c>
      <c r="C6196" s="27" t="s">
        <v>3647</v>
      </c>
      <c r="D6196" s="26" t="s">
        <v>3663</v>
      </c>
      <c r="E6196" s="28">
        <v>46113.0</v>
      </c>
      <c r="F6196" s="28">
        <v>46171.0</v>
      </c>
      <c r="G6196" s="29"/>
    </row>
    <row r="6197" ht="15.75" customHeight="1">
      <c r="A6197" s="30" t="s">
        <v>9861</v>
      </c>
      <c r="B6197" s="31" t="s">
        <v>618</v>
      </c>
      <c r="C6197" s="31" t="s">
        <v>952</v>
      </c>
      <c r="D6197" s="30" t="s">
        <v>3663</v>
      </c>
      <c r="E6197" s="32">
        <v>46113.0</v>
      </c>
      <c r="F6197" s="32">
        <v>46171.0</v>
      </c>
      <c r="G6197" s="33"/>
    </row>
    <row r="6198" ht="15.75" customHeight="1">
      <c r="A6198" s="26" t="s">
        <v>9862</v>
      </c>
      <c r="B6198" s="27" t="s">
        <v>618</v>
      </c>
      <c r="C6198" s="27" t="s">
        <v>965</v>
      </c>
      <c r="D6198" s="26" t="s">
        <v>3663</v>
      </c>
      <c r="E6198" s="28">
        <v>46113.0</v>
      </c>
      <c r="F6198" s="28">
        <v>46171.0</v>
      </c>
      <c r="G6198" s="29"/>
    </row>
    <row r="6199" ht="15.75" customHeight="1">
      <c r="A6199" s="30" t="s">
        <v>9863</v>
      </c>
      <c r="B6199" s="31" t="s">
        <v>618</v>
      </c>
      <c r="C6199" s="31" t="s">
        <v>923</v>
      </c>
      <c r="D6199" s="30" t="s">
        <v>3663</v>
      </c>
      <c r="E6199" s="32">
        <v>46113.0</v>
      </c>
      <c r="F6199" s="32">
        <v>46171.0</v>
      </c>
      <c r="G6199" s="33"/>
    </row>
    <row r="6200" ht="15.75" customHeight="1">
      <c r="A6200" s="26" t="s">
        <v>9864</v>
      </c>
      <c r="B6200" s="27" t="s">
        <v>619</v>
      </c>
      <c r="C6200" s="27" t="s">
        <v>1240</v>
      </c>
      <c r="D6200" s="27" t="s">
        <v>3663</v>
      </c>
      <c r="E6200" s="28">
        <v>46113.0</v>
      </c>
      <c r="F6200" s="28">
        <v>46171.0</v>
      </c>
      <c r="G6200" s="29"/>
    </row>
    <row r="6201" ht="15.75" customHeight="1">
      <c r="A6201" s="30" t="s">
        <v>9865</v>
      </c>
      <c r="B6201" s="31" t="s">
        <v>619</v>
      </c>
      <c r="C6201" s="31" t="s">
        <v>1242</v>
      </c>
      <c r="D6201" s="31" t="s">
        <v>3663</v>
      </c>
      <c r="E6201" s="32">
        <v>46113.0</v>
      </c>
      <c r="F6201" s="32">
        <v>46171.0</v>
      </c>
      <c r="G6201" s="33"/>
    </row>
    <row r="6202" ht="15.75" customHeight="1">
      <c r="A6202" s="26" t="s">
        <v>9866</v>
      </c>
      <c r="B6202" s="27" t="s">
        <v>619</v>
      </c>
      <c r="C6202" s="27" t="s">
        <v>1244</v>
      </c>
      <c r="D6202" s="27" t="s">
        <v>3663</v>
      </c>
      <c r="E6202" s="28">
        <v>46113.0</v>
      </c>
      <c r="F6202" s="28">
        <v>46171.0</v>
      </c>
      <c r="G6202" s="29"/>
    </row>
    <row r="6203" ht="15.75" customHeight="1">
      <c r="A6203" s="30" t="s">
        <v>9867</v>
      </c>
      <c r="B6203" s="31" t="s">
        <v>619</v>
      </c>
      <c r="C6203" s="31" t="s">
        <v>1246</v>
      </c>
      <c r="D6203" s="31" t="s">
        <v>3663</v>
      </c>
      <c r="E6203" s="32">
        <v>46113.0</v>
      </c>
      <c r="F6203" s="32">
        <v>46171.0</v>
      </c>
      <c r="G6203" s="33"/>
    </row>
    <row r="6204" ht="15.75" customHeight="1">
      <c r="A6204" s="26" t="s">
        <v>9868</v>
      </c>
      <c r="B6204" s="27" t="s">
        <v>619</v>
      </c>
      <c r="C6204" s="27" t="s">
        <v>3654</v>
      </c>
      <c r="D6204" s="26" t="s">
        <v>3663</v>
      </c>
      <c r="E6204" s="28">
        <v>46113.0</v>
      </c>
      <c r="F6204" s="28">
        <v>46171.0</v>
      </c>
      <c r="G6204" s="29"/>
    </row>
    <row r="6205" ht="15.75" customHeight="1">
      <c r="A6205" s="30" t="s">
        <v>9869</v>
      </c>
      <c r="B6205" s="31" t="s">
        <v>619</v>
      </c>
      <c r="C6205" s="31" t="s">
        <v>3655</v>
      </c>
      <c r="D6205" s="30" t="s">
        <v>3663</v>
      </c>
      <c r="E6205" s="32">
        <v>46113.0</v>
      </c>
      <c r="F6205" s="32">
        <v>46171.0</v>
      </c>
      <c r="G6205" s="33"/>
    </row>
    <row r="6206" ht="15.75" customHeight="1">
      <c r="A6206" s="26" t="s">
        <v>9870</v>
      </c>
      <c r="B6206" s="27" t="s">
        <v>619</v>
      </c>
      <c r="C6206" s="27" t="s">
        <v>934</v>
      </c>
      <c r="D6206" s="27" t="s">
        <v>3663</v>
      </c>
      <c r="E6206" s="28">
        <v>46113.0</v>
      </c>
      <c r="F6206" s="28">
        <v>46171.0</v>
      </c>
      <c r="G6206" s="29"/>
    </row>
    <row r="6207" ht="15.75" customHeight="1">
      <c r="A6207" s="30" t="s">
        <v>9871</v>
      </c>
      <c r="B6207" s="31" t="s">
        <v>619</v>
      </c>
      <c r="C6207" s="31" t="s">
        <v>1354</v>
      </c>
      <c r="D6207" s="30" t="s">
        <v>3663</v>
      </c>
      <c r="E6207" s="32">
        <v>46113.0</v>
      </c>
      <c r="F6207" s="32">
        <v>46171.0</v>
      </c>
      <c r="G6207" s="33"/>
    </row>
    <row r="6208" ht="15.75" customHeight="1">
      <c r="A6208" s="26" t="s">
        <v>9872</v>
      </c>
      <c r="B6208" s="27" t="s">
        <v>619</v>
      </c>
      <c r="C6208" s="27" t="s">
        <v>1218</v>
      </c>
      <c r="D6208" s="26" t="s">
        <v>3663</v>
      </c>
      <c r="E6208" s="28">
        <v>46113.0</v>
      </c>
      <c r="F6208" s="28">
        <v>46171.0</v>
      </c>
      <c r="G6208" s="29"/>
    </row>
    <row r="6209" ht="15.75" customHeight="1">
      <c r="A6209" s="30" t="s">
        <v>9873</v>
      </c>
      <c r="B6209" s="31" t="s">
        <v>619</v>
      </c>
      <c r="C6209" s="31" t="s">
        <v>1271</v>
      </c>
      <c r="D6209" s="30" t="s">
        <v>3663</v>
      </c>
      <c r="E6209" s="32">
        <v>46113.0</v>
      </c>
      <c r="F6209" s="32">
        <v>46171.0</v>
      </c>
      <c r="G6209" s="33"/>
    </row>
    <row r="6210" ht="15.75" customHeight="1">
      <c r="A6210" s="26" t="s">
        <v>9874</v>
      </c>
      <c r="B6210" s="27" t="s">
        <v>619</v>
      </c>
      <c r="C6210" s="27" t="s">
        <v>1351</v>
      </c>
      <c r="D6210" s="26" t="s">
        <v>3663</v>
      </c>
      <c r="E6210" s="28">
        <v>46113.0</v>
      </c>
      <c r="F6210" s="28">
        <v>46171.0</v>
      </c>
      <c r="G6210" s="29"/>
    </row>
    <row r="6211" ht="15.75" customHeight="1">
      <c r="A6211" s="30" t="s">
        <v>9875</v>
      </c>
      <c r="B6211" s="31" t="s">
        <v>619</v>
      </c>
      <c r="C6211" s="31" t="s">
        <v>1349</v>
      </c>
      <c r="D6211" s="30" t="s">
        <v>3663</v>
      </c>
      <c r="E6211" s="32">
        <v>46113.0</v>
      </c>
      <c r="F6211" s="32">
        <v>46171.0</v>
      </c>
      <c r="G6211" s="33"/>
    </row>
    <row r="6212" ht="15.75" customHeight="1">
      <c r="A6212" s="26" t="s">
        <v>9876</v>
      </c>
      <c r="B6212" s="27" t="s">
        <v>619</v>
      </c>
      <c r="C6212" s="27" t="s">
        <v>968</v>
      </c>
      <c r="D6212" s="26" t="s">
        <v>3663</v>
      </c>
      <c r="E6212" s="28">
        <v>46113.0</v>
      </c>
      <c r="F6212" s="28">
        <v>46171.0</v>
      </c>
      <c r="G6212" s="29"/>
    </row>
    <row r="6213" ht="15.75" customHeight="1">
      <c r="A6213" s="30" t="s">
        <v>9877</v>
      </c>
      <c r="B6213" s="31" t="s">
        <v>619</v>
      </c>
      <c r="C6213" s="31" t="s">
        <v>923</v>
      </c>
      <c r="D6213" s="31" t="s">
        <v>3663</v>
      </c>
      <c r="E6213" s="32">
        <v>46113.0</v>
      </c>
      <c r="F6213" s="32">
        <v>46171.0</v>
      </c>
      <c r="G6213" s="33"/>
    </row>
    <row r="6214" ht="15.75" customHeight="1">
      <c r="A6214" s="26" t="s">
        <v>9878</v>
      </c>
      <c r="B6214" s="27" t="s">
        <v>620</v>
      </c>
      <c r="C6214" s="27" t="s">
        <v>934</v>
      </c>
      <c r="D6214" s="26" t="s">
        <v>3663</v>
      </c>
      <c r="E6214" s="28">
        <v>46113.0</v>
      </c>
      <c r="F6214" s="28">
        <v>46171.0</v>
      </c>
      <c r="G6214" s="29"/>
    </row>
    <row r="6215" ht="15.75" customHeight="1">
      <c r="A6215" s="30" t="s">
        <v>9879</v>
      </c>
      <c r="B6215" s="31" t="s">
        <v>620</v>
      </c>
      <c r="C6215" s="31" t="s">
        <v>1354</v>
      </c>
      <c r="D6215" s="30" t="s">
        <v>3663</v>
      </c>
      <c r="E6215" s="32">
        <v>46113.0</v>
      </c>
      <c r="F6215" s="32">
        <v>46171.0</v>
      </c>
      <c r="G6215" s="33"/>
    </row>
    <row r="6216" ht="15.75" customHeight="1">
      <c r="A6216" s="26" t="s">
        <v>9880</v>
      </c>
      <c r="B6216" s="27" t="s">
        <v>620</v>
      </c>
      <c r="C6216" s="27" t="s">
        <v>3681</v>
      </c>
      <c r="D6216" s="26" t="s">
        <v>3663</v>
      </c>
      <c r="E6216" s="28">
        <v>46113.0</v>
      </c>
      <c r="F6216" s="28">
        <v>46171.0</v>
      </c>
      <c r="G6216" s="29"/>
    </row>
    <row r="6217" ht="15.75" customHeight="1">
      <c r="A6217" s="30" t="s">
        <v>9881</v>
      </c>
      <c r="B6217" s="31" t="s">
        <v>620</v>
      </c>
      <c r="C6217" s="31" t="s">
        <v>3683</v>
      </c>
      <c r="D6217" s="30" t="s">
        <v>3663</v>
      </c>
      <c r="E6217" s="32">
        <v>46113.0</v>
      </c>
      <c r="F6217" s="32">
        <v>46171.0</v>
      </c>
      <c r="G6217" s="33"/>
    </row>
    <row r="6218" ht="15.75" customHeight="1">
      <c r="A6218" s="26" t="s">
        <v>9882</v>
      </c>
      <c r="B6218" s="27" t="s">
        <v>620</v>
      </c>
      <c r="C6218" s="27" t="s">
        <v>1216</v>
      </c>
      <c r="D6218" s="26" t="s">
        <v>3663</v>
      </c>
      <c r="E6218" s="28">
        <v>46113.0</v>
      </c>
      <c r="F6218" s="28">
        <v>46171.0</v>
      </c>
      <c r="G6218" s="29"/>
    </row>
    <row r="6219" ht="15.75" customHeight="1">
      <c r="A6219" s="30" t="s">
        <v>9883</v>
      </c>
      <c r="B6219" s="31" t="s">
        <v>620</v>
      </c>
      <c r="C6219" s="31" t="s">
        <v>1157</v>
      </c>
      <c r="D6219" s="30" t="s">
        <v>3663</v>
      </c>
      <c r="E6219" s="32">
        <v>46113.0</v>
      </c>
      <c r="F6219" s="32">
        <v>46171.0</v>
      </c>
      <c r="G6219" s="33"/>
    </row>
    <row r="6220" ht="15.75" customHeight="1">
      <c r="A6220" s="26" t="s">
        <v>9884</v>
      </c>
      <c r="B6220" s="27" t="s">
        <v>620</v>
      </c>
      <c r="C6220" s="27" t="s">
        <v>1155</v>
      </c>
      <c r="D6220" s="26" t="s">
        <v>3663</v>
      </c>
      <c r="E6220" s="28">
        <v>46113.0</v>
      </c>
      <c r="F6220" s="28">
        <v>46171.0</v>
      </c>
      <c r="G6220" s="29"/>
    </row>
    <row r="6221" ht="15.75" customHeight="1">
      <c r="A6221" s="30" t="s">
        <v>9885</v>
      </c>
      <c r="B6221" s="31" t="s">
        <v>620</v>
      </c>
      <c r="C6221" s="31" t="s">
        <v>1153</v>
      </c>
      <c r="D6221" s="30" t="s">
        <v>3663</v>
      </c>
      <c r="E6221" s="32">
        <v>46113.0</v>
      </c>
      <c r="F6221" s="32">
        <v>46171.0</v>
      </c>
      <c r="G6221" s="33"/>
    </row>
    <row r="6222" ht="15.75" customHeight="1">
      <c r="A6222" s="26" t="s">
        <v>9886</v>
      </c>
      <c r="B6222" s="27" t="s">
        <v>620</v>
      </c>
      <c r="C6222" s="27" t="s">
        <v>1149</v>
      </c>
      <c r="D6222" s="26" t="s">
        <v>3663</v>
      </c>
      <c r="E6222" s="28">
        <v>46113.0</v>
      </c>
      <c r="F6222" s="28">
        <v>46171.0</v>
      </c>
      <c r="G6222" s="29"/>
    </row>
    <row r="6223" ht="15.75" customHeight="1">
      <c r="A6223" s="30" t="s">
        <v>9887</v>
      </c>
      <c r="B6223" s="31" t="s">
        <v>620</v>
      </c>
      <c r="C6223" s="31" t="s">
        <v>1351</v>
      </c>
      <c r="D6223" s="30" t="s">
        <v>3663</v>
      </c>
      <c r="E6223" s="32">
        <v>46113.0</v>
      </c>
      <c r="F6223" s="32">
        <v>46171.0</v>
      </c>
      <c r="G6223" s="33"/>
    </row>
    <row r="6224" ht="15.75" customHeight="1">
      <c r="A6224" s="26" t="s">
        <v>9888</v>
      </c>
      <c r="B6224" s="27" t="s">
        <v>620</v>
      </c>
      <c r="C6224" s="27" t="s">
        <v>1349</v>
      </c>
      <c r="D6224" s="26" t="s">
        <v>3663</v>
      </c>
      <c r="E6224" s="28">
        <v>46113.0</v>
      </c>
      <c r="F6224" s="28">
        <v>46171.0</v>
      </c>
      <c r="G6224" s="29"/>
    </row>
    <row r="6225" ht="15.75" customHeight="1">
      <c r="A6225" s="30" t="s">
        <v>9889</v>
      </c>
      <c r="B6225" s="31" t="s">
        <v>620</v>
      </c>
      <c r="C6225" s="31" t="s">
        <v>965</v>
      </c>
      <c r="D6225" s="30" t="s">
        <v>3663</v>
      </c>
      <c r="E6225" s="32">
        <v>46113.0</v>
      </c>
      <c r="F6225" s="32">
        <v>46171.0</v>
      </c>
      <c r="G6225" s="33"/>
    </row>
    <row r="6226" ht="15.75" customHeight="1">
      <c r="A6226" s="26" t="s">
        <v>9890</v>
      </c>
      <c r="B6226" s="27" t="s">
        <v>620</v>
      </c>
      <c r="C6226" s="27" t="s">
        <v>923</v>
      </c>
      <c r="D6226" s="26" t="s">
        <v>3663</v>
      </c>
      <c r="E6226" s="28">
        <v>46113.0</v>
      </c>
      <c r="F6226" s="28">
        <v>46171.0</v>
      </c>
      <c r="G6226" s="29"/>
    </row>
    <row r="6227" ht="15.75" customHeight="1">
      <c r="A6227" s="30" t="s">
        <v>9891</v>
      </c>
      <c r="B6227" s="31" t="s">
        <v>620</v>
      </c>
      <c r="C6227" s="31" t="s">
        <v>961</v>
      </c>
      <c r="D6227" s="30" t="s">
        <v>3663</v>
      </c>
      <c r="E6227" s="32">
        <v>46113.0</v>
      </c>
      <c r="F6227" s="32">
        <v>46171.0</v>
      </c>
      <c r="G6227" s="33"/>
    </row>
    <row r="6228" ht="15.75" customHeight="1">
      <c r="A6228" s="26" t="s">
        <v>9892</v>
      </c>
      <c r="B6228" s="27" t="s">
        <v>621</v>
      </c>
      <c r="C6228" s="27" t="s">
        <v>1240</v>
      </c>
      <c r="D6228" s="26" t="s">
        <v>3663</v>
      </c>
      <c r="E6228" s="28">
        <v>46113.0</v>
      </c>
      <c r="F6228" s="28">
        <v>46171.0</v>
      </c>
      <c r="G6228" s="29"/>
    </row>
    <row r="6229" ht="15.75" customHeight="1">
      <c r="A6229" s="30" t="s">
        <v>9893</v>
      </c>
      <c r="B6229" s="31" t="s">
        <v>621</v>
      </c>
      <c r="C6229" s="31" t="s">
        <v>1242</v>
      </c>
      <c r="D6229" s="30" t="s">
        <v>3663</v>
      </c>
      <c r="E6229" s="32">
        <v>46113.0</v>
      </c>
      <c r="F6229" s="32">
        <v>46171.0</v>
      </c>
      <c r="G6229" s="33"/>
    </row>
    <row r="6230" ht="15.75" customHeight="1">
      <c r="A6230" s="26" t="s">
        <v>9894</v>
      </c>
      <c r="B6230" s="27" t="s">
        <v>621</v>
      </c>
      <c r="C6230" s="27" t="s">
        <v>1244</v>
      </c>
      <c r="D6230" s="26" t="s">
        <v>3663</v>
      </c>
      <c r="E6230" s="28">
        <v>46113.0</v>
      </c>
      <c r="F6230" s="28">
        <v>46171.0</v>
      </c>
      <c r="G6230" s="29"/>
    </row>
    <row r="6231" ht="15.75" customHeight="1">
      <c r="A6231" s="30" t="s">
        <v>9895</v>
      </c>
      <c r="B6231" s="31" t="s">
        <v>621</v>
      </c>
      <c r="C6231" s="31" t="s">
        <v>1246</v>
      </c>
      <c r="D6231" s="30" t="s">
        <v>3663</v>
      </c>
      <c r="E6231" s="32">
        <v>46113.0</v>
      </c>
      <c r="F6231" s="32">
        <v>46171.0</v>
      </c>
      <c r="G6231" s="33"/>
    </row>
    <row r="6232" ht="15.75" customHeight="1">
      <c r="A6232" s="26" t="s">
        <v>9896</v>
      </c>
      <c r="B6232" s="27" t="s">
        <v>621</v>
      </c>
      <c r="C6232" s="27" t="s">
        <v>928</v>
      </c>
      <c r="D6232" s="26" t="s">
        <v>3663</v>
      </c>
      <c r="E6232" s="28">
        <v>46113.0</v>
      </c>
      <c r="F6232" s="28">
        <v>46171.0</v>
      </c>
      <c r="G6232" s="29"/>
    </row>
    <row r="6233" ht="15.75" customHeight="1">
      <c r="A6233" s="30" t="s">
        <v>9897</v>
      </c>
      <c r="B6233" s="31" t="s">
        <v>621</v>
      </c>
      <c r="C6233" s="31" t="s">
        <v>1354</v>
      </c>
      <c r="D6233" s="30" t="s">
        <v>3663</v>
      </c>
      <c r="E6233" s="32">
        <v>46113.0</v>
      </c>
      <c r="F6233" s="32">
        <v>46171.0</v>
      </c>
      <c r="G6233" s="33"/>
    </row>
    <row r="6234" ht="15.75" customHeight="1">
      <c r="A6234" s="26" t="s">
        <v>9898</v>
      </c>
      <c r="B6234" s="27" t="s">
        <v>621</v>
      </c>
      <c r="C6234" s="27" t="s">
        <v>1159</v>
      </c>
      <c r="D6234" s="26" t="s">
        <v>3663</v>
      </c>
      <c r="E6234" s="28">
        <v>46113.0</v>
      </c>
      <c r="F6234" s="28">
        <v>46171.0</v>
      </c>
      <c r="G6234" s="29"/>
    </row>
    <row r="6235" ht="15.75" customHeight="1">
      <c r="A6235" s="30" t="s">
        <v>9899</v>
      </c>
      <c r="B6235" s="31" t="s">
        <v>621</v>
      </c>
      <c r="C6235" s="31" t="s">
        <v>3656</v>
      </c>
      <c r="D6235" s="30" t="s">
        <v>3663</v>
      </c>
      <c r="E6235" s="32">
        <v>46113.0</v>
      </c>
      <c r="F6235" s="32">
        <v>46171.0</v>
      </c>
      <c r="G6235" s="33"/>
    </row>
    <row r="6236" ht="15.75" customHeight="1">
      <c r="A6236" s="26" t="s">
        <v>9900</v>
      </c>
      <c r="B6236" s="27" t="s">
        <v>621</v>
      </c>
      <c r="C6236" s="27" t="s">
        <v>3657</v>
      </c>
      <c r="D6236" s="26" t="s">
        <v>3663</v>
      </c>
      <c r="E6236" s="28">
        <v>46113.0</v>
      </c>
      <c r="F6236" s="28">
        <v>46171.0</v>
      </c>
      <c r="G6236" s="29"/>
    </row>
    <row r="6237" ht="15.75" customHeight="1">
      <c r="A6237" s="30" t="s">
        <v>9901</v>
      </c>
      <c r="B6237" s="31" t="s">
        <v>621</v>
      </c>
      <c r="C6237" s="31" t="s">
        <v>1216</v>
      </c>
      <c r="D6237" s="30" t="s">
        <v>3663</v>
      </c>
      <c r="E6237" s="32">
        <v>46113.0</v>
      </c>
      <c r="F6237" s="32">
        <v>46171.0</v>
      </c>
      <c r="G6237" s="33"/>
    </row>
    <row r="6238" ht="15.75" customHeight="1">
      <c r="A6238" s="26" t="s">
        <v>9902</v>
      </c>
      <c r="B6238" s="27" t="s">
        <v>621</v>
      </c>
      <c r="C6238" s="27" t="s">
        <v>1351</v>
      </c>
      <c r="D6238" s="26" t="s">
        <v>3663</v>
      </c>
      <c r="E6238" s="28">
        <v>46113.0</v>
      </c>
      <c r="F6238" s="28">
        <v>46171.0</v>
      </c>
      <c r="G6238" s="29"/>
    </row>
    <row r="6239" ht="15.75" customHeight="1">
      <c r="A6239" s="30" t="s">
        <v>9903</v>
      </c>
      <c r="B6239" s="31" t="s">
        <v>621</v>
      </c>
      <c r="C6239" s="31" t="s">
        <v>1349</v>
      </c>
      <c r="D6239" s="30" t="s">
        <v>3663</v>
      </c>
      <c r="E6239" s="32">
        <v>46113.0</v>
      </c>
      <c r="F6239" s="32">
        <v>46171.0</v>
      </c>
      <c r="G6239" s="33"/>
    </row>
    <row r="6240" ht="15.75" customHeight="1">
      <c r="A6240" s="26" t="s">
        <v>9904</v>
      </c>
      <c r="B6240" s="27" t="s">
        <v>621</v>
      </c>
      <c r="C6240" s="27" t="s">
        <v>965</v>
      </c>
      <c r="D6240" s="26" t="s">
        <v>3663</v>
      </c>
      <c r="E6240" s="28">
        <v>46113.0</v>
      </c>
      <c r="F6240" s="28">
        <v>46171.0</v>
      </c>
      <c r="G6240" s="29"/>
    </row>
    <row r="6241" ht="15.75" customHeight="1">
      <c r="A6241" s="30" t="s">
        <v>9905</v>
      </c>
      <c r="B6241" s="31" t="s">
        <v>621</v>
      </c>
      <c r="C6241" s="31" t="s">
        <v>923</v>
      </c>
      <c r="D6241" s="30" t="s">
        <v>3663</v>
      </c>
      <c r="E6241" s="32">
        <v>46113.0</v>
      </c>
      <c r="F6241" s="32">
        <v>46171.0</v>
      </c>
      <c r="G6241" s="33"/>
    </row>
    <row r="6242" ht="15.75" customHeight="1">
      <c r="A6242" s="26" t="s">
        <v>9906</v>
      </c>
      <c r="B6242" s="27" t="s">
        <v>622</v>
      </c>
      <c r="C6242" s="27" t="s">
        <v>3654</v>
      </c>
      <c r="D6242" s="26" t="s">
        <v>3663</v>
      </c>
      <c r="E6242" s="28">
        <v>46113.0</v>
      </c>
      <c r="F6242" s="28">
        <v>46171.0</v>
      </c>
      <c r="G6242" s="29"/>
    </row>
    <row r="6243" ht="15.75" customHeight="1">
      <c r="A6243" s="30" t="s">
        <v>9907</v>
      </c>
      <c r="B6243" s="31" t="s">
        <v>622</v>
      </c>
      <c r="C6243" s="31" t="s">
        <v>3655</v>
      </c>
      <c r="D6243" s="30" t="s">
        <v>3663</v>
      </c>
      <c r="E6243" s="32">
        <v>46113.0</v>
      </c>
      <c r="F6243" s="32">
        <v>46171.0</v>
      </c>
      <c r="G6243" s="33"/>
    </row>
    <row r="6244" ht="15.75" customHeight="1">
      <c r="A6244" s="26" t="s">
        <v>9908</v>
      </c>
      <c r="B6244" s="27" t="s">
        <v>622</v>
      </c>
      <c r="C6244" s="27" t="s">
        <v>932</v>
      </c>
      <c r="D6244" s="26" t="s">
        <v>3663</v>
      </c>
      <c r="E6244" s="28">
        <v>46113.0</v>
      </c>
      <c r="F6244" s="28">
        <v>46171.0</v>
      </c>
      <c r="G6244" s="29"/>
    </row>
    <row r="6245" ht="15.75" customHeight="1">
      <c r="A6245" s="30" t="s">
        <v>9909</v>
      </c>
      <c r="B6245" s="31" t="s">
        <v>622</v>
      </c>
      <c r="C6245" s="31" t="s">
        <v>1164</v>
      </c>
      <c r="D6245" s="30" t="s">
        <v>3663</v>
      </c>
      <c r="E6245" s="32">
        <v>46113.0</v>
      </c>
      <c r="F6245" s="32">
        <v>46171.0</v>
      </c>
      <c r="G6245" s="33"/>
    </row>
    <row r="6246" ht="15.75" customHeight="1">
      <c r="A6246" s="26" t="s">
        <v>9910</v>
      </c>
      <c r="B6246" s="27" t="s">
        <v>622</v>
      </c>
      <c r="C6246" s="27" t="s">
        <v>1166</v>
      </c>
      <c r="D6246" s="26" t="s">
        <v>3663</v>
      </c>
      <c r="E6246" s="28">
        <v>46113.0</v>
      </c>
      <c r="F6246" s="28">
        <v>46171.0</v>
      </c>
      <c r="G6246" s="29"/>
    </row>
    <row r="6247" ht="15.75" customHeight="1">
      <c r="A6247" s="30" t="s">
        <v>9911</v>
      </c>
      <c r="B6247" s="31" t="s">
        <v>622</v>
      </c>
      <c r="C6247" s="31" t="s">
        <v>1168</v>
      </c>
      <c r="D6247" s="30" t="s">
        <v>3663</v>
      </c>
      <c r="E6247" s="32">
        <v>46113.0</v>
      </c>
      <c r="F6247" s="32">
        <v>46171.0</v>
      </c>
      <c r="G6247" s="33"/>
    </row>
    <row r="6248" ht="15.75" customHeight="1">
      <c r="A6248" s="26" t="s">
        <v>9912</v>
      </c>
      <c r="B6248" s="27" t="s">
        <v>622</v>
      </c>
      <c r="C6248" s="27" t="s">
        <v>1170</v>
      </c>
      <c r="D6248" s="26" t="s">
        <v>3663</v>
      </c>
      <c r="E6248" s="28">
        <v>46113.0</v>
      </c>
      <c r="F6248" s="28">
        <v>46171.0</v>
      </c>
      <c r="G6248" s="29"/>
    </row>
    <row r="6249" ht="15.75" customHeight="1">
      <c r="A6249" s="30" t="s">
        <v>9913</v>
      </c>
      <c r="B6249" s="31" t="s">
        <v>622</v>
      </c>
      <c r="C6249" s="31" t="s">
        <v>1354</v>
      </c>
      <c r="D6249" s="30" t="s">
        <v>3663</v>
      </c>
      <c r="E6249" s="32">
        <v>46113.0</v>
      </c>
      <c r="F6249" s="32">
        <v>46171.0</v>
      </c>
      <c r="G6249" s="33"/>
    </row>
    <row r="6250" ht="15.75" customHeight="1">
      <c r="A6250" s="26" t="s">
        <v>9914</v>
      </c>
      <c r="B6250" s="27" t="s">
        <v>622</v>
      </c>
      <c r="C6250" s="27" t="s">
        <v>1216</v>
      </c>
      <c r="D6250" s="26" t="s">
        <v>3663</v>
      </c>
      <c r="E6250" s="28">
        <v>46113.0</v>
      </c>
      <c r="F6250" s="28">
        <v>46171.0</v>
      </c>
      <c r="G6250" s="29"/>
    </row>
    <row r="6251" ht="15.75" customHeight="1">
      <c r="A6251" s="30" t="s">
        <v>9915</v>
      </c>
      <c r="B6251" s="31" t="s">
        <v>622</v>
      </c>
      <c r="C6251" s="31" t="s">
        <v>1218</v>
      </c>
      <c r="D6251" s="30" t="s">
        <v>3663</v>
      </c>
      <c r="E6251" s="32">
        <v>46113.0</v>
      </c>
      <c r="F6251" s="32">
        <v>46171.0</v>
      </c>
      <c r="G6251" s="33"/>
    </row>
    <row r="6252" ht="15.75" customHeight="1">
      <c r="A6252" s="26" t="s">
        <v>9916</v>
      </c>
      <c r="B6252" s="27" t="s">
        <v>622</v>
      </c>
      <c r="C6252" s="27" t="s">
        <v>1351</v>
      </c>
      <c r="D6252" s="26" t="s">
        <v>3663</v>
      </c>
      <c r="E6252" s="28">
        <v>46113.0</v>
      </c>
      <c r="F6252" s="28">
        <v>46171.0</v>
      </c>
      <c r="G6252" s="29"/>
    </row>
    <row r="6253" ht="15.75" customHeight="1">
      <c r="A6253" s="30" t="s">
        <v>9917</v>
      </c>
      <c r="B6253" s="31" t="s">
        <v>622</v>
      </c>
      <c r="C6253" s="31" t="s">
        <v>1349</v>
      </c>
      <c r="D6253" s="30" t="s">
        <v>3663</v>
      </c>
      <c r="E6253" s="32">
        <v>46113.0</v>
      </c>
      <c r="F6253" s="32">
        <v>46171.0</v>
      </c>
      <c r="G6253" s="33"/>
    </row>
    <row r="6254" ht="15.75" customHeight="1">
      <c r="A6254" s="26" t="s">
        <v>9918</v>
      </c>
      <c r="B6254" s="27" t="s">
        <v>622</v>
      </c>
      <c r="C6254" s="27" t="s">
        <v>965</v>
      </c>
      <c r="D6254" s="26" t="s">
        <v>3663</v>
      </c>
      <c r="E6254" s="28">
        <v>46113.0</v>
      </c>
      <c r="F6254" s="28">
        <v>46171.0</v>
      </c>
      <c r="G6254" s="29"/>
    </row>
    <row r="6255" ht="15.75" customHeight="1">
      <c r="A6255" s="30" t="s">
        <v>9919</v>
      </c>
      <c r="B6255" s="31" t="s">
        <v>622</v>
      </c>
      <c r="C6255" s="31" t="s">
        <v>923</v>
      </c>
      <c r="D6255" s="30" t="s">
        <v>3663</v>
      </c>
      <c r="E6255" s="32">
        <v>46113.0</v>
      </c>
      <c r="F6255" s="32">
        <v>46171.0</v>
      </c>
      <c r="G6255" s="33"/>
    </row>
    <row r="6256" ht="15.75" customHeight="1">
      <c r="A6256" s="26" t="s">
        <v>9920</v>
      </c>
      <c r="B6256" s="27" t="s">
        <v>623</v>
      </c>
      <c r="C6256" s="27" t="s">
        <v>930</v>
      </c>
      <c r="D6256" s="26" t="s">
        <v>3663</v>
      </c>
      <c r="E6256" s="28">
        <v>46113.0</v>
      </c>
      <c r="F6256" s="28">
        <v>46171.0</v>
      </c>
      <c r="G6256" s="29"/>
    </row>
    <row r="6257" ht="15.75" customHeight="1">
      <c r="A6257" s="30" t="s">
        <v>9921</v>
      </c>
      <c r="B6257" s="31" t="s">
        <v>623</v>
      </c>
      <c r="C6257" s="31" t="s">
        <v>1354</v>
      </c>
      <c r="D6257" s="30" t="s">
        <v>3663</v>
      </c>
      <c r="E6257" s="32">
        <v>46113.0</v>
      </c>
      <c r="F6257" s="32">
        <v>46171.0</v>
      </c>
      <c r="G6257" s="33"/>
    </row>
    <row r="6258" ht="15.75" customHeight="1">
      <c r="A6258" s="26" t="s">
        <v>9922</v>
      </c>
      <c r="B6258" s="27" t="s">
        <v>623</v>
      </c>
      <c r="C6258" s="27" t="s">
        <v>3641</v>
      </c>
      <c r="D6258" s="26" t="s">
        <v>3663</v>
      </c>
      <c r="E6258" s="28">
        <v>46113.0</v>
      </c>
      <c r="F6258" s="28">
        <v>46171.0</v>
      </c>
      <c r="G6258" s="29"/>
    </row>
    <row r="6259" ht="15.75" customHeight="1">
      <c r="A6259" s="30" t="s">
        <v>9923</v>
      </c>
      <c r="B6259" s="31" t="s">
        <v>623</v>
      </c>
      <c r="C6259" s="31" t="s">
        <v>1304</v>
      </c>
      <c r="D6259" s="30" t="s">
        <v>3663</v>
      </c>
      <c r="E6259" s="32">
        <v>46113.0</v>
      </c>
      <c r="F6259" s="32">
        <v>46171.0</v>
      </c>
      <c r="G6259" s="33"/>
    </row>
    <row r="6260" ht="15.75" customHeight="1">
      <c r="A6260" s="26" t="s">
        <v>9924</v>
      </c>
      <c r="B6260" s="27" t="s">
        <v>623</v>
      </c>
      <c r="C6260" s="27" t="s">
        <v>3642</v>
      </c>
      <c r="D6260" s="26" t="s">
        <v>3663</v>
      </c>
      <c r="E6260" s="28">
        <v>46113.0</v>
      </c>
      <c r="F6260" s="28">
        <v>46171.0</v>
      </c>
      <c r="G6260" s="29"/>
    </row>
    <row r="6261" ht="15.75" customHeight="1">
      <c r="A6261" s="30" t="s">
        <v>9925</v>
      </c>
      <c r="B6261" s="31" t="s">
        <v>623</v>
      </c>
      <c r="C6261" s="31" t="s">
        <v>1308</v>
      </c>
      <c r="D6261" s="30" t="s">
        <v>3663</v>
      </c>
      <c r="E6261" s="32">
        <v>46113.0</v>
      </c>
      <c r="F6261" s="32">
        <v>46171.0</v>
      </c>
      <c r="G6261" s="33"/>
    </row>
    <row r="6262" ht="15.75" customHeight="1">
      <c r="A6262" s="26" t="s">
        <v>9926</v>
      </c>
      <c r="B6262" s="27" t="s">
        <v>623</v>
      </c>
      <c r="C6262" s="27" t="s">
        <v>3605</v>
      </c>
      <c r="D6262" s="26" t="s">
        <v>3663</v>
      </c>
      <c r="E6262" s="28">
        <v>46113.0</v>
      </c>
      <c r="F6262" s="28">
        <v>46171.0</v>
      </c>
      <c r="G6262" s="29"/>
    </row>
    <row r="6263" ht="15.75" customHeight="1">
      <c r="A6263" s="30" t="s">
        <v>9927</v>
      </c>
      <c r="B6263" s="31" t="s">
        <v>623</v>
      </c>
      <c r="C6263" s="31" t="s">
        <v>3656</v>
      </c>
      <c r="D6263" s="30" t="s">
        <v>3663</v>
      </c>
      <c r="E6263" s="32">
        <v>46113.0</v>
      </c>
      <c r="F6263" s="32">
        <v>46171.0</v>
      </c>
      <c r="G6263" s="33"/>
    </row>
    <row r="6264" ht="15.75" customHeight="1">
      <c r="A6264" s="26" t="s">
        <v>9928</v>
      </c>
      <c r="B6264" s="27" t="s">
        <v>623</v>
      </c>
      <c r="C6264" s="27" t="s">
        <v>3657</v>
      </c>
      <c r="D6264" s="26" t="s">
        <v>3663</v>
      </c>
      <c r="E6264" s="28">
        <v>46113.0</v>
      </c>
      <c r="F6264" s="28">
        <v>46171.0</v>
      </c>
      <c r="G6264" s="29"/>
    </row>
    <row r="6265" ht="15.75" customHeight="1">
      <c r="A6265" s="30" t="s">
        <v>9929</v>
      </c>
      <c r="B6265" s="31" t="s">
        <v>623</v>
      </c>
      <c r="C6265" s="31" t="s">
        <v>1351</v>
      </c>
      <c r="D6265" s="30" t="s">
        <v>3663</v>
      </c>
      <c r="E6265" s="32">
        <v>46113.0</v>
      </c>
      <c r="F6265" s="32">
        <v>46171.0</v>
      </c>
      <c r="G6265" s="33"/>
    </row>
    <row r="6266" ht="15.75" customHeight="1">
      <c r="A6266" s="26" t="s">
        <v>9930</v>
      </c>
      <c r="B6266" s="27" t="s">
        <v>623</v>
      </c>
      <c r="C6266" s="27" t="s">
        <v>1349</v>
      </c>
      <c r="D6266" s="26" t="s">
        <v>3663</v>
      </c>
      <c r="E6266" s="28">
        <v>46113.0</v>
      </c>
      <c r="F6266" s="28">
        <v>46171.0</v>
      </c>
      <c r="G6266" s="29"/>
    </row>
    <row r="6267" ht="15.75" customHeight="1">
      <c r="A6267" s="30" t="s">
        <v>9931</v>
      </c>
      <c r="B6267" s="31" t="s">
        <v>623</v>
      </c>
      <c r="C6267" s="31" t="s">
        <v>965</v>
      </c>
      <c r="D6267" s="30" t="s">
        <v>3663</v>
      </c>
      <c r="E6267" s="32">
        <v>46113.0</v>
      </c>
      <c r="F6267" s="32">
        <v>46171.0</v>
      </c>
      <c r="G6267" s="33"/>
    </row>
    <row r="6268" ht="15.75" customHeight="1">
      <c r="A6268" s="26" t="s">
        <v>9932</v>
      </c>
      <c r="B6268" s="27" t="s">
        <v>623</v>
      </c>
      <c r="C6268" s="27" t="s">
        <v>923</v>
      </c>
      <c r="D6268" s="26" t="s">
        <v>3663</v>
      </c>
      <c r="E6268" s="28">
        <v>46113.0</v>
      </c>
      <c r="F6268" s="28">
        <v>46171.0</v>
      </c>
      <c r="G6268" s="29"/>
    </row>
    <row r="6269" ht="15.75" customHeight="1">
      <c r="A6269" s="30" t="s">
        <v>9933</v>
      </c>
      <c r="B6269" s="31" t="s">
        <v>623</v>
      </c>
      <c r="C6269" s="31" t="s">
        <v>961</v>
      </c>
      <c r="D6269" s="30" t="s">
        <v>3663</v>
      </c>
      <c r="E6269" s="32">
        <v>46113.0</v>
      </c>
      <c r="F6269" s="32">
        <v>46171.0</v>
      </c>
      <c r="G6269" s="33"/>
    </row>
    <row r="6270" ht="15.75" customHeight="1">
      <c r="A6270" s="26" t="s">
        <v>9934</v>
      </c>
      <c r="B6270" s="27" t="s">
        <v>624</v>
      </c>
      <c r="C6270" s="27" t="s">
        <v>3654</v>
      </c>
      <c r="D6270" s="26" t="s">
        <v>3663</v>
      </c>
      <c r="E6270" s="28">
        <v>46113.0</v>
      </c>
      <c r="F6270" s="28">
        <v>46171.0</v>
      </c>
      <c r="G6270" s="29"/>
    </row>
    <row r="6271" ht="15.75" customHeight="1">
      <c r="A6271" s="30" t="s">
        <v>9935</v>
      </c>
      <c r="B6271" s="31" t="s">
        <v>624</v>
      </c>
      <c r="C6271" s="31" t="s">
        <v>3655</v>
      </c>
      <c r="D6271" s="30" t="s">
        <v>3663</v>
      </c>
      <c r="E6271" s="32">
        <v>46113.0</v>
      </c>
      <c r="F6271" s="32">
        <v>46171.0</v>
      </c>
      <c r="G6271" s="33"/>
    </row>
    <row r="6272" ht="15.75" customHeight="1">
      <c r="A6272" s="26" t="s">
        <v>9936</v>
      </c>
      <c r="B6272" s="27" t="s">
        <v>624</v>
      </c>
      <c r="C6272" s="27" t="s">
        <v>930</v>
      </c>
      <c r="D6272" s="26" t="s">
        <v>3663</v>
      </c>
      <c r="E6272" s="28">
        <v>46113.0</v>
      </c>
      <c r="F6272" s="28">
        <v>46171.0</v>
      </c>
      <c r="G6272" s="29"/>
    </row>
    <row r="6273" ht="15.75" customHeight="1">
      <c r="A6273" s="30" t="s">
        <v>9937</v>
      </c>
      <c r="B6273" s="31" t="s">
        <v>624</v>
      </c>
      <c r="C6273" s="31" t="s">
        <v>1354</v>
      </c>
      <c r="D6273" s="30" t="s">
        <v>3663</v>
      </c>
      <c r="E6273" s="32">
        <v>46113.0</v>
      </c>
      <c r="F6273" s="32">
        <v>46171.0</v>
      </c>
      <c r="G6273" s="33"/>
    </row>
    <row r="6274" ht="15.75" customHeight="1">
      <c r="A6274" s="26" t="s">
        <v>9938</v>
      </c>
      <c r="B6274" s="27" t="s">
        <v>624</v>
      </c>
      <c r="C6274" s="27" t="s">
        <v>1190</v>
      </c>
      <c r="D6274" s="26" t="s">
        <v>3663</v>
      </c>
      <c r="E6274" s="28">
        <v>46113.0</v>
      </c>
      <c r="F6274" s="28">
        <v>46171.0</v>
      </c>
      <c r="G6274" s="29"/>
    </row>
    <row r="6275" ht="15.75" customHeight="1">
      <c r="A6275" s="30" t="s">
        <v>9939</v>
      </c>
      <c r="B6275" s="31" t="s">
        <v>624</v>
      </c>
      <c r="C6275" s="31" t="s">
        <v>1157</v>
      </c>
      <c r="D6275" s="30" t="s">
        <v>3663</v>
      </c>
      <c r="E6275" s="32">
        <v>46113.0</v>
      </c>
      <c r="F6275" s="32">
        <v>46171.0</v>
      </c>
      <c r="G6275" s="33"/>
    </row>
    <row r="6276" ht="15.75" customHeight="1">
      <c r="A6276" s="26" t="s">
        <v>9940</v>
      </c>
      <c r="B6276" s="27" t="s">
        <v>624</v>
      </c>
      <c r="C6276" s="27" t="s">
        <v>1155</v>
      </c>
      <c r="D6276" s="26" t="s">
        <v>3663</v>
      </c>
      <c r="E6276" s="28">
        <v>46113.0</v>
      </c>
      <c r="F6276" s="28">
        <v>46171.0</v>
      </c>
      <c r="G6276" s="29"/>
    </row>
    <row r="6277" ht="15.75" customHeight="1">
      <c r="A6277" s="30" t="s">
        <v>9941</v>
      </c>
      <c r="B6277" s="31" t="s">
        <v>624</v>
      </c>
      <c r="C6277" s="31" t="s">
        <v>1153</v>
      </c>
      <c r="D6277" s="30" t="s">
        <v>3663</v>
      </c>
      <c r="E6277" s="32">
        <v>46113.0</v>
      </c>
      <c r="F6277" s="32">
        <v>46171.0</v>
      </c>
      <c r="G6277" s="33"/>
    </row>
    <row r="6278" ht="15.75" customHeight="1">
      <c r="A6278" s="26" t="s">
        <v>9942</v>
      </c>
      <c r="B6278" s="27" t="s">
        <v>624</v>
      </c>
      <c r="C6278" s="27" t="s">
        <v>1149</v>
      </c>
      <c r="D6278" s="26" t="s">
        <v>3663</v>
      </c>
      <c r="E6278" s="28">
        <v>46113.0</v>
      </c>
      <c r="F6278" s="28">
        <v>46171.0</v>
      </c>
      <c r="G6278" s="29"/>
    </row>
    <row r="6279" ht="15.75" customHeight="1">
      <c r="A6279" s="30" t="s">
        <v>9943</v>
      </c>
      <c r="B6279" s="31" t="s">
        <v>624</v>
      </c>
      <c r="C6279" s="31" t="s">
        <v>1351</v>
      </c>
      <c r="D6279" s="30" t="s">
        <v>3663</v>
      </c>
      <c r="E6279" s="32">
        <v>46113.0</v>
      </c>
      <c r="F6279" s="32">
        <v>46171.0</v>
      </c>
      <c r="G6279" s="33"/>
    </row>
    <row r="6280" ht="15.75" customHeight="1">
      <c r="A6280" s="26" t="s">
        <v>9944</v>
      </c>
      <c r="B6280" s="27" t="s">
        <v>624</v>
      </c>
      <c r="C6280" s="27" t="s">
        <v>1349</v>
      </c>
      <c r="D6280" s="26" t="s">
        <v>3663</v>
      </c>
      <c r="E6280" s="28">
        <v>46113.0</v>
      </c>
      <c r="F6280" s="28">
        <v>46171.0</v>
      </c>
      <c r="G6280" s="29"/>
    </row>
    <row r="6281" ht="15.75" customHeight="1">
      <c r="A6281" s="30" t="s">
        <v>9945</v>
      </c>
      <c r="B6281" s="31" t="s">
        <v>624</v>
      </c>
      <c r="C6281" s="31" t="s">
        <v>965</v>
      </c>
      <c r="D6281" s="30" t="s">
        <v>3663</v>
      </c>
      <c r="E6281" s="32">
        <v>46113.0</v>
      </c>
      <c r="F6281" s="32">
        <v>46171.0</v>
      </c>
      <c r="G6281" s="33"/>
    </row>
    <row r="6282" ht="15.75" customHeight="1">
      <c r="A6282" s="26" t="s">
        <v>9946</v>
      </c>
      <c r="B6282" s="27" t="s">
        <v>624</v>
      </c>
      <c r="C6282" s="27" t="s">
        <v>923</v>
      </c>
      <c r="D6282" s="26" t="s">
        <v>3663</v>
      </c>
      <c r="E6282" s="28">
        <v>46113.0</v>
      </c>
      <c r="F6282" s="28">
        <v>46171.0</v>
      </c>
      <c r="G6282" s="29"/>
    </row>
    <row r="6283" ht="15.75" customHeight="1">
      <c r="A6283" s="30" t="s">
        <v>9947</v>
      </c>
      <c r="B6283" s="31" t="s">
        <v>624</v>
      </c>
      <c r="C6283" s="31" t="s">
        <v>963</v>
      </c>
      <c r="D6283" s="30" t="s">
        <v>3663</v>
      </c>
      <c r="E6283" s="32">
        <v>46113.0</v>
      </c>
      <c r="F6283" s="32">
        <v>46171.0</v>
      </c>
      <c r="G6283" s="33"/>
    </row>
    <row r="6284" ht="15.75" customHeight="1">
      <c r="A6284" s="26" t="s">
        <v>9948</v>
      </c>
      <c r="B6284" s="27" t="s">
        <v>1210</v>
      </c>
      <c r="C6284" s="27" t="s">
        <v>932</v>
      </c>
      <c r="D6284" s="26" t="s">
        <v>3663</v>
      </c>
      <c r="E6284" s="28">
        <v>46113.0</v>
      </c>
      <c r="F6284" s="28">
        <v>46171.0</v>
      </c>
      <c r="G6284" s="29"/>
    </row>
    <row r="6285" ht="15.75" customHeight="1">
      <c r="A6285" s="30" t="s">
        <v>9949</v>
      </c>
      <c r="B6285" s="31" t="s">
        <v>1210</v>
      </c>
      <c r="C6285" s="31" t="s">
        <v>1164</v>
      </c>
      <c r="D6285" s="30" t="s">
        <v>3663</v>
      </c>
      <c r="E6285" s="32">
        <v>46113.0</v>
      </c>
      <c r="F6285" s="32">
        <v>46171.0</v>
      </c>
      <c r="G6285" s="33"/>
    </row>
    <row r="6286" ht="15.75" customHeight="1">
      <c r="A6286" s="26" t="s">
        <v>9950</v>
      </c>
      <c r="B6286" s="27" t="s">
        <v>1210</v>
      </c>
      <c r="C6286" s="27" t="s">
        <v>1166</v>
      </c>
      <c r="D6286" s="26" t="s">
        <v>3663</v>
      </c>
      <c r="E6286" s="28">
        <v>46113.0</v>
      </c>
      <c r="F6286" s="28">
        <v>46171.0</v>
      </c>
      <c r="G6286" s="29"/>
    </row>
    <row r="6287" ht="15.75" customHeight="1">
      <c r="A6287" s="30" t="s">
        <v>9951</v>
      </c>
      <c r="B6287" s="31" t="s">
        <v>1210</v>
      </c>
      <c r="C6287" s="31" t="s">
        <v>1168</v>
      </c>
      <c r="D6287" s="30" t="s">
        <v>3663</v>
      </c>
      <c r="E6287" s="32">
        <v>46113.0</v>
      </c>
      <c r="F6287" s="32">
        <v>46171.0</v>
      </c>
      <c r="G6287" s="33"/>
    </row>
    <row r="6288" ht="15.75" customHeight="1">
      <c r="A6288" s="26" t="s">
        <v>9952</v>
      </c>
      <c r="B6288" s="27" t="s">
        <v>1210</v>
      </c>
      <c r="C6288" s="27" t="s">
        <v>1170</v>
      </c>
      <c r="D6288" s="26" t="s">
        <v>3663</v>
      </c>
      <c r="E6288" s="28">
        <v>46113.0</v>
      </c>
      <c r="F6288" s="28">
        <v>46171.0</v>
      </c>
      <c r="G6288" s="29"/>
    </row>
    <row r="6289" ht="15.75" customHeight="1">
      <c r="A6289" s="30" t="s">
        <v>9953</v>
      </c>
      <c r="B6289" s="31" t="s">
        <v>1210</v>
      </c>
      <c r="C6289" s="31" t="s">
        <v>1354</v>
      </c>
      <c r="D6289" s="30" t="s">
        <v>3663</v>
      </c>
      <c r="E6289" s="32">
        <v>46113.0</v>
      </c>
      <c r="F6289" s="32">
        <v>46171.0</v>
      </c>
      <c r="G6289" s="33"/>
    </row>
    <row r="6290" ht="15.75" customHeight="1">
      <c r="A6290" s="26" t="s">
        <v>9954</v>
      </c>
      <c r="B6290" s="27" t="s">
        <v>1210</v>
      </c>
      <c r="C6290" s="27" t="s">
        <v>1216</v>
      </c>
      <c r="D6290" s="26" t="s">
        <v>3663</v>
      </c>
      <c r="E6290" s="28">
        <v>46113.0</v>
      </c>
      <c r="F6290" s="28">
        <v>46171.0</v>
      </c>
      <c r="G6290" s="29"/>
    </row>
    <row r="6291" ht="15.75" customHeight="1">
      <c r="A6291" s="30" t="s">
        <v>9955</v>
      </c>
      <c r="B6291" s="31" t="s">
        <v>1210</v>
      </c>
      <c r="C6291" s="31" t="s">
        <v>1218</v>
      </c>
      <c r="D6291" s="30" t="s">
        <v>3663</v>
      </c>
      <c r="E6291" s="32">
        <v>46113.0</v>
      </c>
      <c r="F6291" s="32">
        <v>46171.0</v>
      </c>
      <c r="G6291" s="33"/>
    </row>
    <row r="6292" ht="15.75" customHeight="1">
      <c r="A6292" s="26" t="s">
        <v>9956</v>
      </c>
      <c r="B6292" s="27" t="s">
        <v>1210</v>
      </c>
      <c r="C6292" s="27" t="s">
        <v>1351</v>
      </c>
      <c r="D6292" s="26" t="s">
        <v>3663</v>
      </c>
      <c r="E6292" s="28">
        <v>46113.0</v>
      </c>
      <c r="F6292" s="28">
        <v>46171.0</v>
      </c>
      <c r="G6292" s="29"/>
    </row>
    <row r="6293" ht="15.75" customHeight="1">
      <c r="A6293" s="30" t="s">
        <v>9957</v>
      </c>
      <c r="B6293" s="31" t="s">
        <v>1210</v>
      </c>
      <c r="C6293" s="31" t="s">
        <v>1349</v>
      </c>
      <c r="D6293" s="30" t="s">
        <v>3663</v>
      </c>
      <c r="E6293" s="32">
        <v>46113.0</v>
      </c>
      <c r="F6293" s="32">
        <v>46171.0</v>
      </c>
      <c r="G6293" s="33"/>
    </row>
    <row r="6294" ht="15.75" customHeight="1">
      <c r="A6294" s="26" t="s">
        <v>9958</v>
      </c>
      <c r="B6294" s="27" t="s">
        <v>1210</v>
      </c>
      <c r="C6294" s="27" t="s">
        <v>3653</v>
      </c>
      <c r="D6294" s="27" t="s">
        <v>3663</v>
      </c>
      <c r="E6294" s="28">
        <v>46113.0</v>
      </c>
      <c r="F6294" s="28">
        <v>46171.0</v>
      </c>
      <c r="G6294" s="29"/>
    </row>
    <row r="6295" ht="15.75" customHeight="1">
      <c r="A6295" s="30" t="s">
        <v>9959</v>
      </c>
      <c r="B6295" s="31" t="s">
        <v>1210</v>
      </c>
      <c r="C6295" s="31" t="s">
        <v>3652</v>
      </c>
      <c r="D6295" s="30" t="s">
        <v>3663</v>
      </c>
      <c r="E6295" s="32">
        <v>46113.0</v>
      </c>
      <c r="F6295" s="32">
        <v>46171.0</v>
      </c>
      <c r="G6295" s="33"/>
    </row>
    <row r="6296" ht="15.75" customHeight="1">
      <c r="A6296" s="26" t="s">
        <v>9960</v>
      </c>
      <c r="B6296" s="27" t="s">
        <v>1210</v>
      </c>
      <c r="C6296" s="27" t="s">
        <v>968</v>
      </c>
      <c r="D6296" s="26" t="s">
        <v>3663</v>
      </c>
      <c r="E6296" s="28">
        <v>46113.0</v>
      </c>
      <c r="F6296" s="28">
        <v>46171.0</v>
      </c>
      <c r="G6296" s="29"/>
    </row>
    <row r="6297" ht="15.75" customHeight="1">
      <c r="A6297" s="30" t="s">
        <v>9961</v>
      </c>
      <c r="B6297" s="31" t="s">
        <v>1210</v>
      </c>
      <c r="C6297" s="31" t="s">
        <v>923</v>
      </c>
      <c r="D6297" s="30" t="s">
        <v>3663</v>
      </c>
      <c r="E6297" s="32">
        <v>46113.0</v>
      </c>
      <c r="F6297" s="32">
        <v>46171.0</v>
      </c>
      <c r="G6297" s="33"/>
    </row>
    <row r="6298" ht="15.75" customHeight="1">
      <c r="A6298" s="26" t="s">
        <v>9962</v>
      </c>
      <c r="B6298" s="27" t="s">
        <v>625</v>
      </c>
      <c r="C6298" s="27" t="s">
        <v>932</v>
      </c>
      <c r="D6298" s="26" t="s">
        <v>3663</v>
      </c>
      <c r="E6298" s="28">
        <v>46113.0</v>
      </c>
      <c r="F6298" s="28">
        <v>46171.0</v>
      </c>
      <c r="G6298" s="29"/>
    </row>
    <row r="6299" ht="15.75" customHeight="1">
      <c r="A6299" s="30" t="s">
        <v>9963</v>
      </c>
      <c r="B6299" s="31" t="s">
        <v>625</v>
      </c>
      <c r="C6299" s="31" t="s">
        <v>1168</v>
      </c>
      <c r="D6299" s="30" t="s">
        <v>3663</v>
      </c>
      <c r="E6299" s="32">
        <v>46113.0</v>
      </c>
      <c r="F6299" s="32">
        <v>46171.0</v>
      </c>
      <c r="G6299" s="33"/>
    </row>
    <row r="6300" ht="15.75" customHeight="1">
      <c r="A6300" s="26" t="s">
        <v>9964</v>
      </c>
      <c r="B6300" s="27" t="s">
        <v>625</v>
      </c>
      <c r="C6300" s="27" t="s">
        <v>1170</v>
      </c>
      <c r="D6300" s="26" t="s">
        <v>3663</v>
      </c>
      <c r="E6300" s="28">
        <v>46113.0</v>
      </c>
      <c r="F6300" s="28">
        <v>46171.0</v>
      </c>
      <c r="G6300" s="29"/>
    </row>
    <row r="6301" ht="15.75" customHeight="1">
      <c r="A6301" s="30" t="s">
        <v>9965</v>
      </c>
      <c r="B6301" s="31" t="s">
        <v>625</v>
      </c>
      <c r="C6301" s="31" t="s">
        <v>1288</v>
      </c>
      <c r="D6301" s="30" t="s">
        <v>3663</v>
      </c>
      <c r="E6301" s="32">
        <v>46113.0</v>
      </c>
      <c r="F6301" s="32">
        <v>46171.0</v>
      </c>
      <c r="G6301" s="33"/>
    </row>
    <row r="6302" ht="15.75" customHeight="1">
      <c r="A6302" s="26" t="s">
        <v>9966</v>
      </c>
      <c r="B6302" s="27" t="s">
        <v>625</v>
      </c>
      <c r="C6302" s="27" t="s">
        <v>1291</v>
      </c>
      <c r="D6302" s="26" t="s">
        <v>3663</v>
      </c>
      <c r="E6302" s="28">
        <v>46113.0</v>
      </c>
      <c r="F6302" s="28">
        <v>46171.0</v>
      </c>
      <c r="G6302" s="29"/>
    </row>
    <row r="6303" ht="15.75" customHeight="1">
      <c r="A6303" s="30" t="s">
        <v>9967</v>
      </c>
      <c r="B6303" s="31" t="s">
        <v>625</v>
      </c>
      <c r="C6303" s="31" t="s">
        <v>1354</v>
      </c>
      <c r="D6303" s="30" t="s">
        <v>3663</v>
      </c>
      <c r="E6303" s="32">
        <v>46113.0</v>
      </c>
      <c r="F6303" s="32">
        <v>46171.0</v>
      </c>
      <c r="G6303" s="33"/>
    </row>
    <row r="6304" ht="15.75" customHeight="1">
      <c r="A6304" s="26" t="s">
        <v>9968</v>
      </c>
      <c r="B6304" s="27" t="s">
        <v>625</v>
      </c>
      <c r="C6304" s="27" t="s">
        <v>1159</v>
      </c>
      <c r="D6304" s="26" t="s">
        <v>3663</v>
      </c>
      <c r="E6304" s="28">
        <v>46113.0</v>
      </c>
      <c r="F6304" s="28">
        <v>46171.0</v>
      </c>
      <c r="G6304" s="29"/>
    </row>
    <row r="6305" ht="15.75" customHeight="1">
      <c r="A6305" s="30" t="s">
        <v>9969</v>
      </c>
      <c r="B6305" s="31" t="s">
        <v>625</v>
      </c>
      <c r="C6305" s="31" t="s">
        <v>3656</v>
      </c>
      <c r="D6305" s="30" t="s">
        <v>3663</v>
      </c>
      <c r="E6305" s="32">
        <v>46113.0</v>
      </c>
      <c r="F6305" s="32">
        <v>46171.0</v>
      </c>
      <c r="G6305" s="33"/>
    </row>
    <row r="6306" ht="15.75" customHeight="1">
      <c r="A6306" s="26" t="s">
        <v>9970</v>
      </c>
      <c r="B6306" s="27" t="s">
        <v>625</v>
      </c>
      <c r="C6306" s="27" t="s">
        <v>3657</v>
      </c>
      <c r="D6306" s="26" t="s">
        <v>3663</v>
      </c>
      <c r="E6306" s="28">
        <v>46113.0</v>
      </c>
      <c r="F6306" s="28">
        <v>46171.0</v>
      </c>
      <c r="G6306" s="29"/>
    </row>
    <row r="6307" ht="15.75" customHeight="1">
      <c r="A6307" s="30" t="s">
        <v>9971</v>
      </c>
      <c r="B6307" s="31" t="s">
        <v>625</v>
      </c>
      <c r="C6307" s="31" t="s">
        <v>3647</v>
      </c>
      <c r="D6307" s="30" t="s">
        <v>3663</v>
      </c>
      <c r="E6307" s="32">
        <v>46113.0</v>
      </c>
      <c r="F6307" s="32">
        <v>46171.0</v>
      </c>
      <c r="G6307" s="33"/>
    </row>
    <row r="6308" ht="15.75" customHeight="1">
      <c r="A6308" s="26" t="s">
        <v>9972</v>
      </c>
      <c r="B6308" s="27" t="s">
        <v>625</v>
      </c>
      <c r="C6308" s="27" t="s">
        <v>952</v>
      </c>
      <c r="D6308" s="26" t="s">
        <v>3663</v>
      </c>
      <c r="E6308" s="28">
        <v>46113.0</v>
      </c>
      <c r="F6308" s="28">
        <v>46171.0</v>
      </c>
      <c r="G6308" s="29"/>
    </row>
    <row r="6309" ht="15.75" customHeight="1">
      <c r="A6309" s="30" t="s">
        <v>9973</v>
      </c>
      <c r="B6309" s="31" t="s">
        <v>625</v>
      </c>
      <c r="C6309" s="31" t="s">
        <v>968</v>
      </c>
      <c r="D6309" s="30" t="s">
        <v>3663</v>
      </c>
      <c r="E6309" s="32">
        <v>46113.0</v>
      </c>
      <c r="F6309" s="32">
        <v>46171.0</v>
      </c>
      <c r="G6309" s="33"/>
    </row>
    <row r="6310" ht="15.75" customHeight="1">
      <c r="A6310" s="26" t="s">
        <v>9974</v>
      </c>
      <c r="B6310" s="27" t="s">
        <v>625</v>
      </c>
      <c r="C6310" s="27" t="s">
        <v>923</v>
      </c>
      <c r="D6310" s="26" t="s">
        <v>3663</v>
      </c>
      <c r="E6310" s="28">
        <v>46113.0</v>
      </c>
      <c r="F6310" s="28">
        <v>46171.0</v>
      </c>
      <c r="G6310" s="29"/>
    </row>
    <row r="6311" ht="15.75" customHeight="1">
      <c r="A6311" s="30" t="s">
        <v>9975</v>
      </c>
      <c r="B6311" s="31" t="s">
        <v>625</v>
      </c>
      <c r="C6311" s="31" t="s">
        <v>955</v>
      </c>
      <c r="D6311" s="30" t="s">
        <v>3663</v>
      </c>
      <c r="E6311" s="32">
        <v>46113.0</v>
      </c>
      <c r="F6311" s="32">
        <v>46171.0</v>
      </c>
      <c r="G6311" s="33"/>
    </row>
    <row r="6312" ht="15.75" customHeight="1">
      <c r="A6312" s="26" t="s">
        <v>9976</v>
      </c>
      <c r="B6312" s="27" t="s">
        <v>626</v>
      </c>
      <c r="C6312" s="27" t="s">
        <v>930</v>
      </c>
      <c r="D6312" s="27" t="s">
        <v>3663</v>
      </c>
      <c r="E6312" s="28">
        <v>46113.0</v>
      </c>
      <c r="F6312" s="28">
        <v>46171.0</v>
      </c>
      <c r="G6312" s="29"/>
    </row>
    <row r="6313" ht="15.75" customHeight="1">
      <c r="A6313" s="30" t="s">
        <v>9977</v>
      </c>
      <c r="B6313" s="31" t="s">
        <v>626</v>
      </c>
      <c r="C6313" s="31" t="s">
        <v>1354</v>
      </c>
      <c r="D6313" s="30" t="s">
        <v>3663</v>
      </c>
      <c r="E6313" s="32">
        <v>46113.0</v>
      </c>
      <c r="F6313" s="32">
        <v>46171.0</v>
      </c>
      <c r="G6313" s="33"/>
    </row>
    <row r="6314" ht="15.75" customHeight="1">
      <c r="A6314" s="26" t="s">
        <v>9978</v>
      </c>
      <c r="B6314" s="27" t="s">
        <v>626</v>
      </c>
      <c r="C6314" s="27" t="s">
        <v>1304</v>
      </c>
      <c r="D6314" s="27" t="s">
        <v>3663</v>
      </c>
      <c r="E6314" s="28">
        <v>46113.0</v>
      </c>
      <c r="F6314" s="28">
        <v>46171.0</v>
      </c>
      <c r="G6314" s="29"/>
    </row>
    <row r="6315" ht="15.75" customHeight="1">
      <c r="A6315" s="30" t="s">
        <v>9979</v>
      </c>
      <c r="B6315" s="31" t="s">
        <v>626</v>
      </c>
      <c r="C6315" s="31" t="s">
        <v>1306</v>
      </c>
      <c r="D6315" s="31" t="s">
        <v>3663</v>
      </c>
      <c r="E6315" s="32">
        <v>46113.0</v>
      </c>
      <c r="F6315" s="32">
        <v>46171.0</v>
      </c>
      <c r="G6315" s="33"/>
    </row>
    <row r="6316" ht="15.75" customHeight="1">
      <c r="A6316" s="26" t="s">
        <v>9980</v>
      </c>
      <c r="B6316" s="27" t="s">
        <v>626</v>
      </c>
      <c r="C6316" s="27" t="s">
        <v>1308</v>
      </c>
      <c r="D6316" s="27" t="s">
        <v>3663</v>
      </c>
      <c r="E6316" s="28">
        <v>46113.0</v>
      </c>
      <c r="F6316" s="28">
        <v>46171.0</v>
      </c>
      <c r="G6316" s="29"/>
    </row>
    <row r="6317" ht="15.75" customHeight="1">
      <c r="A6317" s="30" t="s">
        <v>9981</v>
      </c>
      <c r="B6317" s="31" t="s">
        <v>626</v>
      </c>
      <c r="C6317" s="31" t="s">
        <v>1310</v>
      </c>
      <c r="D6317" s="31" t="s">
        <v>3663</v>
      </c>
      <c r="E6317" s="32">
        <v>46113.0</v>
      </c>
      <c r="F6317" s="32">
        <v>46171.0</v>
      </c>
      <c r="G6317" s="33"/>
    </row>
    <row r="6318" ht="15.75" customHeight="1">
      <c r="A6318" s="26" t="s">
        <v>9982</v>
      </c>
      <c r="B6318" s="27" t="s">
        <v>626</v>
      </c>
      <c r="C6318" s="27" t="s">
        <v>3656</v>
      </c>
      <c r="D6318" s="26" t="s">
        <v>3663</v>
      </c>
      <c r="E6318" s="28">
        <v>46113.0</v>
      </c>
      <c r="F6318" s="28">
        <v>46171.0</v>
      </c>
      <c r="G6318" s="29"/>
    </row>
    <row r="6319" ht="15.75" customHeight="1">
      <c r="A6319" s="30" t="s">
        <v>9983</v>
      </c>
      <c r="B6319" s="31" t="s">
        <v>626</v>
      </c>
      <c r="C6319" s="31" t="s">
        <v>3657</v>
      </c>
      <c r="D6319" s="30" t="s">
        <v>3663</v>
      </c>
      <c r="E6319" s="32">
        <v>46113.0</v>
      </c>
      <c r="F6319" s="32">
        <v>46171.0</v>
      </c>
      <c r="G6319" s="33"/>
    </row>
    <row r="6320" ht="15.75" customHeight="1">
      <c r="A6320" s="26" t="s">
        <v>9984</v>
      </c>
      <c r="B6320" s="27" t="s">
        <v>626</v>
      </c>
      <c r="C6320" s="27" t="s">
        <v>1218</v>
      </c>
      <c r="D6320" s="26" t="s">
        <v>3663</v>
      </c>
      <c r="E6320" s="28">
        <v>46113.0</v>
      </c>
      <c r="F6320" s="28">
        <v>46171.0</v>
      </c>
      <c r="G6320" s="29"/>
    </row>
    <row r="6321" ht="15.75" customHeight="1">
      <c r="A6321" s="30" t="s">
        <v>9985</v>
      </c>
      <c r="B6321" s="31" t="s">
        <v>626</v>
      </c>
      <c r="C6321" s="31" t="s">
        <v>1271</v>
      </c>
      <c r="D6321" s="30" t="s">
        <v>3663</v>
      </c>
      <c r="E6321" s="32">
        <v>46113.0</v>
      </c>
      <c r="F6321" s="32">
        <v>46171.0</v>
      </c>
      <c r="G6321" s="33"/>
    </row>
    <row r="6322" ht="15.75" customHeight="1">
      <c r="A6322" s="26" t="s">
        <v>9986</v>
      </c>
      <c r="B6322" s="27" t="s">
        <v>626</v>
      </c>
      <c r="C6322" s="27" t="s">
        <v>1351</v>
      </c>
      <c r="D6322" s="26" t="s">
        <v>3663</v>
      </c>
      <c r="E6322" s="28">
        <v>46113.0</v>
      </c>
      <c r="F6322" s="28">
        <v>46171.0</v>
      </c>
      <c r="G6322" s="29"/>
    </row>
    <row r="6323" ht="15.75" customHeight="1">
      <c r="A6323" s="30" t="s">
        <v>9987</v>
      </c>
      <c r="B6323" s="31" t="s">
        <v>626</v>
      </c>
      <c r="C6323" s="31" t="s">
        <v>1349</v>
      </c>
      <c r="D6323" s="30" t="s">
        <v>3663</v>
      </c>
      <c r="E6323" s="32">
        <v>46113.0</v>
      </c>
      <c r="F6323" s="32">
        <v>46171.0</v>
      </c>
      <c r="G6323" s="33"/>
    </row>
    <row r="6324" ht="15.75" customHeight="1">
      <c r="A6324" s="26" t="s">
        <v>9988</v>
      </c>
      <c r="B6324" s="27" t="s">
        <v>626</v>
      </c>
      <c r="C6324" s="27" t="s">
        <v>968</v>
      </c>
      <c r="D6324" s="26" t="s">
        <v>3663</v>
      </c>
      <c r="E6324" s="28">
        <v>46113.0</v>
      </c>
      <c r="F6324" s="28">
        <v>46171.0</v>
      </c>
      <c r="G6324" s="29"/>
    </row>
    <row r="6325" ht="15.75" customHeight="1">
      <c r="A6325" s="30" t="s">
        <v>9989</v>
      </c>
      <c r="B6325" s="31" t="s">
        <v>626</v>
      </c>
      <c r="C6325" s="31" t="s">
        <v>923</v>
      </c>
      <c r="D6325" s="31" t="s">
        <v>3663</v>
      </c>
      <c r="E6325" s="32">
        <v>46113.0</v>
      </c>
      <c r="F6325" s="32">
        <v>46171.0</v>
      </c>
      <c r="G6325" s="33"/>
    </row>
    <row r="6326" ht="15.75" customHeight="1">
      <c r="A6326" s="26" t="s">
        <v>9990</v>
      </c>
      <c r="B6326" s="27" t="s">
        <v>627</v>
      </c>
      <c r="C6326" s="27" t="s">
        <v>1240</v>
      </c>
      <c r="D6326" s="26" t="s">
        <v>3663</v>
      </c>
      <c r="E6326" s="28">
        <v>46113.0</v>
      </c>
      <c r="F6326" s="28">
        <v>46171.0</v>
      </c>
      <c r="G6326" s="29"/>
    </row>
    <row r="6327" ht="15.75" customHeight="1">
      <c r="A6327" s="30" t="s">
        <v>9991</v>
      </c>
      <c r="B6327" s="31" t="s">
        <v>627</v>
      </c>
      <c r="C6327" s="31" t="s">
        <v>1242</v>
      </c>
      <c r="D6327" s="30" t="s">
        <v>3663</v>
      </c>
      <c r="E6327" s="32">
        <v>46113.0</v>
      </c>
      <c r="F6327" s="32">
        <v>46171.0</v>
      </c>
      <c r="G6327" s="33"/>
    </row>
    <row r="6328" ht="15.75" customHeight="1">
      <c r="A6328" s="26" t="s">
        <v>9992</v>
      </c>
      <c r="B6328" s="27" t="s">
        <v>627</v>
      </c>
      <c r="C6328" s="27" t="s">
        <v>1244</v>
      </c>
      <c r="D6328" s="26" t="s">
        <v>3663</v>
      </c>
      <c r="E6328" s="28">
        <v>46113.0</v>
      </c>
      <c r="F6328" s="28">
        <v>46171.0</v>
      </c>
      <c r="G6328" s="29"/>
    </row>
    <row r="6329" ht="15.75" customHeight="1">
      <c r="A6329" s="30" t="s">
        <v>9993</v>
      </c>
      <c r="B6329" s="31" t="s">
        <v>627</v>
      </c>
      <c r="C6329" s="31" t="s">
        <v>1246</v>
      </c>
      <c r="D6329" s="30" t="s">
        <v>3663</v>
      </c>
      <c r="E6329" s="32">
        <v>46113.0</v>
      </c>
      <c r="F6329" s="32">
        <v>46171.0</v>
      </c>
      <c r="G6329" s="33"/>
    </row>
    <row r="6330" ht="15.75" customHeight="1">
      <c r="A6330" s="26" t="s">
        <v>9994</v>
      </c>
      <c r="B6330" s="27" t="s">
        <v>627</v>
      </c>
      <c r="C6330" s="27" t="s">
        <v>934</v>
      </c>
      <c r="D6330" s="26" t="s">
        <v>3663</v>
      </c>
      <c r="E6330" s="28">
        <v>46113.0</v>
      </c>
      <c r="F6330" s="28">
        <v>46171.0</v>
      </c>
      <c r="G6330" s="29"/>
    </row>
    <row r="6331" ht="15.75" customHeight="1">
      <c r="A6331" s="30" t="s">
        <v>9995</v>
      </c>
      <c r="B6331" s="31" t="s">
        <v>627</v>
      </c>
      <c r="C6331" s="31" t="s">
        <v>1354</v>
      </c>
      <c r="D6331" s="30" t="s">
        <v>3663</v>
      </c>
      <c r="E6331" s="32">
        <v>46113.0</v>
      </c>
      <c r="F6331" s="32">
        <v>46171.0</v>
      </c>
      <c r="G6331" s="33"/>
    </row>
    <row r="6332" ht="15.75" customHeight="1">
      <c r="A6332" s="26" t="s">
        <v>9996</v>
      </c>
      <c r="B6332" s="27" t="s">
        <v>627</v>
      </c>
      <c r="C6332" s="27" t="s">
        <v>3656</v>
      </c>
      <c r="D6332" s="26" t="s">
        <v>3663</v>
      </c>
      <c r="E6332" s="28">
        <v>46113.0</v>
      </c>
      <c r="F6332" s="28">
        <v>46171.0</v>
      </c>
      <c r="G6332" s="29"/>
    </row>
    <row r="6333" ht="15.75" customHeight="1">
      <c r="A6333" s="30" t="s">
        <v>9997</v>
      </c>
      <c r="B6333" s="31" t="s">
        <v>627</v>
      </c>
      <c r="C6333" s="31" t="s">
        <v>3657</v>
      </c>
      <c r="D6333" s="30" t="s">
        <v>3663</v>
      </c>
      <c r="E6333" s="32">
        <v>46113.0</v>
      </c>
      <c r="F6333" s="32">
        <v>46171.0</v>
      </c>
      <c r="G6333" s="33"/>
    </row>
    <row r="6334" ht="15.75" customHeight="1">
      <c r="A6334" s="26" t="s">
        <v>9998</v>
      </c>
      <c r="B6334" s="27" t="s">
        <v>627</v>
      </c>
      <c r="C6334" s="27" t="s">
        <v>1216</v>
      </c>
      <c r="D6334" s="26" t="s">
        <v>3663</v>
      </c>
      <c r="E6334" s="28">
        <v>46113.0</v>
      </c>
      <c r="F6334" s="28">
        <v>46171.0</v>
      </c>
      <c r="G6334" s="29"/>
    </row>
    <row r="6335" ht="15.75" customHeight="1">
      <c r="A6335" s="30" t="s">
        <v>9999</v>
      </c>
      <c r="B6335" s="31" t="s">
        <v>627</v>
      </c>
      <c r="C6335" s="31" t="s">
        <v>1218</v>
      </c>
      <c r="D6335" s="30" t="s">
        <v>3663</v>
      </c>
      <c r="E6335" s="32">
        <v>46113.0</v>
      </c>
      <c r="F6335" s="32">
        <v>46171.0</v>
      </c>
      <c r="G6335" s="33"/>
    </row>
    <row r="6336" ht="15.75" customHeight="1">
      <c r="A6336" s="26" t="s">
        <v>10000</v>
      </c>
      <c r="B6336" s="27" t="s">
        <v>627</v>
      </c>
      <c r="C6336" s="27" t="s">
        <v>1351</v>
      </c>
      <c r="D6336" s="26" t="s">
        <v>3663</v>
      </c>
      <c r="E6336" s="28">
        <v>46113.0</v>
      </c>
      <c r="F6336" s="28">
        <v>46171.0</v>
      </c>
      <c r="G6336" s="29"/>
    </row>
    <row r="6337" ht="15.75" customHeight="1">
      <c r="A6337" s="30" t="s">
        <v>10001</v>
      </c>
      <c r="B6337" s="31" t="s">
        <v>627</v>
      </c>
      <c r="C6337" s="31" t="s">
        <v>1349</v>
      </c>
      <c r="D6337" s="30" t="s">
        <v>3663</v>
      </c>
      <c r="E6337" s="32">
        <v>46113.0</v>
      </c>
      <c r="F6337" s="32">
        <v>46171.0</v>
      </c>
      <c r="G6337" s="33"/>
    </row>
    <row r="6338" ht="15.75" customHeight="1">
      <c r="A6338" s="26" t="s">
        <v>10002</v>
      </c>
      <c r="B6338" s="27" t="s">
        <v>627</v>
      </c>
      <c r="C6338" s="27" t="s">
        <v>965</v>
      </c>
      <c r="D6338" s="26" t="s">
        <v>3663</v>
      </c>
      <c r="E6338" s="28">
        <v>46113.0</v>
      </c>
      <c r="F6338" s="28">
        <v>46171.0</v>
      </c>
      <c r="G6338" s="29"/>
    </row>
    <row r="6339" ht="15.75" customHeight="1">
      <c r="A6339" s="30" t="s">
        <v>10003</v>
      </c>
      <c r="B6339" s="31" t="s">
        <v>627</v>
      </c>
      <c r="C6339" s="31" t="s">
        <v>923</v>
      </c>
      <c r="D6339" s="30" t="s">
        <v>3663</v>
      </c>
      <c r="E6339" s="32">
        <v>46113.0</v>
      </c>
      <c r="F6339" s="32">
        <v>46171.0</v>
      </c>
      <c r="G6339" s="33"/>
    </row>
    <row r="6340" ht="15.75" customHeight="1">
      <c r="A6340" s="26" t="s">
        <v>10004</v>
      </c>
      <c r="B6340" s="27" t="s">
        <v>628</v>
      </c>
      <c r="C6340" s="27" t="s">
        <v>926</v>
      </c>
      <c r="D6340" s="27" t="s">
        <v>3663</v>
      </c>
      <c r="E6340" s="28">
        <v>46113.0</v>
      </c>
      <c r="F6340" s="28">
        <v>46171.0</v>
      </c>
      <c r="G6340" s="29"/>
    </row>
    <row r="6341" ht="15.75" customHeight="1">
      <c r="A6341" s="30" t="s">
        <v>10005</v>
      </c>
      <c r="B6341" s="31" t="s">
        <v>628</v>
      </c>
      <c r="C6341" s="31" t="s">
        <v>1354</v>
      </c>
      <c r="D6341" s="30" t="s">
        <v>3663</v>
      </c>
      <c r="E6341" s="32">
        <v>46113.0</v>
      </c>
      <c r="F6341" s="32">
        <v>46171.0</v>
      </c>
      <c r="G6341" s="33"/>
    </row>
    <row r="6342" ht="15.75" customHeight="1">
      <c r="A6342" s="26" t="s">
        <v>10006</v>
      </c>
      <c r="B6342" s="27" t="s">
        <v>628</v>
      </c>
      <c r="C6342" s="27" t="s">
        <v>3681</v>
      </c>
      <c r="D6342" s="26" t="s">
        <v>3663</v>
      </c>
      <c r="E6342" s="28">
        <v>46113.0</v>
      </c>
      <c r="F6342" s="28">
        <v>46171.0</v>
      </c>
      <c r="G6342" s="29"/>
    </row>
    <row r="6343" ht="15.75" customHeight="1">
      <c r="A6343" s="30" t="s">
        <v>10007</v>
      </c>
      <c r="B6343" s="31" t="s">
        <v>628</v>
      </c>
      <c r="C6343" s="31" t="s">
        <v>3683</v>
      </c>
      <c r="D6343" s="30" t="s">
        <v>3663</v>
      </c>
      <c r="E6343" s="32">
        <v>46113.0</v>
      </c>
      <c r="F6343" s="32">
        <v>46171.0</v>
      </c>
      <c r="G6343" s="33"/>
    </row>
    <row r="6344" ht="15.75" customHeight="1">
      <c r="A6344" s="26" t="s">
        <v>10008</v>
      </c>
      <c r="B6344" s="27" t="s">
        <v>628</v>
      </c>
      <c r="C6344" s="27" t="s">
        <v>3648</v>
      </c>
      <c r="D6344" s="27" t="s">
        <v>3663</v>
      </c>
      <c r="E6344" s="28">
        <v>46113.0</v>
      </c>
      <c r="F6344" s="28">
        <v>46171.0</v>
      </c>
      <c r="G6344" s="29"/>
    </row>
    <row r="6345" ht="15.75" customHeight="1">
      <c r="A6345" s="30" t="s">
        <v>10009</v>
      </c>
      <c r="B6345" s="31" t="s">
        <v>628</v>
      </c>
      <c r="C6345" s="31" t="s">
        <v>3649</v>
      </c>
      <c r="D6345" s="31" t="s">
        <v>3663</v>
      </c>
      <c r="E6345" s="32">
        <v>46113.0</v>
      </c>
      <c r="F6345" s="32">
        <v>46171.0</v>
      </c>
      <c r="G6345" s="33"/>
    </row>
    <row r="6346" ht="15.75" customHeight="1">
      <c r="A6346" s="26" t="s">
        <v>10010</v>
      </c>
      <c r="B6346" s="27" t="s">
        <v>628</v>
      </c>
      <c r="C6346" s="27" t="s">
        <v>3650</v>
      </c>
      <c r="D6346" s="27" t="s">
        <v>3663</v>
      </c>
      <c r="E6346" s="28">
        <v>46113.0</v>
      </c>
      <c r="F6346" s="28">
        <v>46171.0</v>
      </c>
      <c r="G6346" s="29"/>
    </row>
    <row r="6347" ht="15.75" customHeight="1">
      <c r="A6347" s="30" t="s">
        <v>10011</v>
      </c>
      <c r="B6347" s="31" t="s">
        <v>628</v>
      </c>
      <c r="C6347" s="31" t="s">
        <v>1283</v>
      </c>
      <c r="D6347" s="31" t="s">
        <v>3663</v>
      </c>
      <c r="E6347" s="32">
        <v>46113.0</v>
      </c>
      <c r="F6347" s="32">
        <v>46171.0</v>
      </c>
      <c r="G6347" s="33"/>
    </row>
    <row r="6348" ht="15.75" customHeight="1">
      <c r="A6348" s="26" t="s">
        <v>10012</v>
      </c>
      <c r="B6348" s="27" t="s">
        <v>628</v>
      </c>
      <c r="C6348" s="27" t="s">
        <v>1218</v>
      </c>
      <c r="D6348" s="26" t="s">
        <v>3663</v>
      </c>
      <c r="E6348" s="28">
        <v>46113.0</v>
      </c>
      <c r="F6348" s="28">
        <v>46171.0</v>
      </c>
      <c r="G6348" s="29"/>
    </row>
    <row r="6349" ht="15.75" customHeight="1">
      <c r="A6349" s="30" t="s">
        <v>10013</v>
      </c>
      <c r="B6349" s="31" t="s">
        <v>628</v>
      </c>
      <c r="C6349" s="31" t="s">
        <v>1351</v>
      </c>
      <c r="D6349" s="30" t="s">
        <v>3663</v>
      </c>
      <c r="E6349" s="32">
        <v>46113.0</v>
      </c>
      <c r="F6349" s="32">
        <v>46171.0</v>
      </c>
      <c r="G6349" s="33"/>
    </row>
    <row r="6350" ht="15.75" customHeight="1">
      <c r="A6350" s="26" t="s">
        <v>10014</v>
      </c>
      <c r="B6350" s="27" t="s">
        <v>628</v>
      </c>
      <c r="C6350" s="27" t="s">
        <v>1349</v>
      </c>
      <c r="D6350" s="26" t="s">
        <v>3663</v>
      </c>
      <c r="E6350" s="28">
        <v>46113.0</v>
      </c>
      <c r="F6350" s="28">
        <v>46171.0</v>
      </c>
      <c r="G6350" s="29"/>
    </row>
    <row r="6351" ht="15.75" customHeight="1">
      <c r="A6351" s="30" t="s">
        <v>10015</v>
      </c>
      <c r="B6351" s="31" t="s">
        <v>628</v>
      </c>
      <c r="C6351" s="31" t="s">
        <v>968</v>
      </c>
      <c r="D6351" s="30" t="s">
        <v>3663</v>
      </c>
      <c r="E6351" s="32">
        <v>46113.0</v>
      </c>
      <c r="F6351" s="32">
        <v>46171.0</v>
      </c>
      <c r="G6351" s="33"/>
    </row>
    <row r="6352" ht="15.75" customHeight="1">
      <c r="A6352" s="26" t="s">
        <v>10016</v>
      </c>
      <c r="B6352" s="27" t="s">
        <v>628</v>
      </c>
      <c r="C6352" s="27" t="s">
        <v>923</v>
      </c>
      <c r="D6352" s="27" t="s">
        <v>3663</v>
      </c>
      <c r="E6352" s="28">
        <v>46113.0</v>
      </c>
      <c r="F6352" s="28">
        <v>46171.0</v>
      </c>
      <c r="G6352" s="29"/>
    </row>
    <row r="6353" ht="15.75" customHeight="1">
      <c r="A6353" s="30" t="s">
        <v>10017</v>
      </c>
      <c r="B6353" s="31" t="s">
        <v>628</v>
      </c>
      <c r="C6353" s="31" t="s">
        <v>958</v>
      </c>
      <c r="D6353" s="30" t="s">
        <v>3663</v>
      </c>
      <c r="E6353" s="32">
        <v>46113.0</v>
      </c>
      <c r="F6353" s="32">
        <v>46171.0</v>
      </c>
      <c r="G6353" s="33"/>
    </row>
    <row r="6354" ht="15.75" customHeight="1">
      <c r="A6354" s="26" t="s">
        <v>10018</v>
      </c>
      <c r="B6354" s="27" t="s">
        <v>629</v>
      </c>
      <c r="C6354" s="27" t="s">
        <v>1240</v>
      </c>
      <c r="D6354" s="27" t="s">
        <v>3663</v>
      </c>
      <c r="E6354" s="28">
        <v>46113.0</v>
      </c>
      <c r="F6354" s="28">
        <v>46171.0</v>
      </c>
      <c r="G6354" s="29"/>
    </row>
    <row r="6355" ht="15.75" customHeight="1">
      <c r="A6355" s="30" t="s">
        <v>10019</v>
      </c>
      <c r="B6355" s="31" t="s">
        <v>629</v>
      </c>
      <c r="C6355" s="31" t="s">
        <v>1242</v>
      </c>
      <c r="D6355" s="31" t="s">
        <v>3663</v>
      </c>
      <c r="E6355" s="32">
        <v>46113.0</v>
      </c>
      <c r="F6355" s="32">
        <v>46171.0</v>
      </c>
      <c r="G6355" s="33"/>
    </row>
    <row r="6356" ht="15.75" customHeight="1">
      <c r="A6356" s="26" t="s">
        <v>10020</v>
      </c>
      <c r="B6356" s="27" t="s">
        <v>629</v>
      </c>
      <c r="C6356" s="27" t="s">
        <v>1244</v>
      </c>
      <c r="D6356" s="27" t="s">
        <v>3663</v>
      </c>
      <c r="E6356" s="28">
        <v>46113.0</v>
      </c>
      <c r="F6356" s="28">
        <v>46171.0</v>
      </c>
      <c r="G6356" s="29"/>
    </row>
    <row r="6357" ht="15.75" customHeight="1">
      <c r="A6357" s="30" t="s">
        <v>10021</v>
      </c>
      <c r="B6357" s="31" t="s">
        <v>629</v>
      </c>
      <c r="C6357" s="31" t="s">
        <v>1246</v>
      </c>
      <c r="D6357" s="31" t="s">
        <v>3663</v>
      </c>
      <c r="E6357" s="32">
        <v>46113.0</v>
      </c>
      <c r="F6357" s="32">
        <v>46171.0</v>
      </c>
      <c r="G6357" s="33"/>
    </row>
    <row r="6358" ht="15.75" customHeight="1">
      <c r="A6358" s="26" t="s">
        <v>10022</v>
      </c>
      <c r="B6358" s="27" t="s">
        <v>629</v>
      </c>
      <c r="C6358" s="27" t="s">
        <v>3654</v>
      </c>
      <c r="D6358" s="26" t="s">
        <v>3663</v>
      </c>
      <c r="E6358" s="28">
        <v>46113.0</v>
      </c>
      <c r="F6358" s="28">
        <v>46171.0</v>
      </c>
      <c r="G6358" s="29"/>
    </row>
    <row r="6359" ht="15.75" customHeight="1">
      <c r="A6359" s="30" t="s">
        <v>10023</v>
      </c>
      <c r="B6359" s="31" t="s">
        <v>629</v>
      </c>
      <c r="C6359" s="31" t="s">
        <v>3655</v>
      </c>
      <c r="D6359" s="30" t="s">
        <v>3663</v>
      </c>
      <c r="E6359" s="32">
        <v>46113.0</v>
      </c>
      <c r="F6359" s="32">
        <v>46171.0</v>
      </c>
      <c r="G6359" s="33"/>
    </row>
    <row r="6360" ht="15.75" customHeight="1">
      <c r="A6360" s="26" t="s">
        <v>10024</v>
      </c>
      <c r="B6360" s="27" t="s">
        <v>629</v>
      </c>
      <c r="C6360" s="27" t="s">
        <v>934</v>
      </c>
      <c r="D6360" s="27" t="s">
        <v>3663</v>
      </c>
      <c r="E6360" s="28">
        <v>46113.0</v>
      </c>
      <c r="F6360" s="28">
        <v>46171.0</v>
      </c>
      <c r="G6360" s="29"/>
    </row>
    <row r="6361" ht="15.75" customHeight="1">
      <c r="A6361" s="30" t="s">
        <v>10025</v>
      </c>
      <c r="B6361" s="31" t="s">
        <v>629</v>
      </c>
      <c r="C6361" s="31" t="s">
        <v>1354</v>
      </c>
      <c r="D6361" s="30" t="s">
        <v>3663</v>
      </c>
      <c r="E6361" s="32">
        <v>46113.0</v>
      </c>
      <c r="F6361" s="32">
        <v>46171.0</v>
      </c>
      <c r="G6361" s="33"/>
    </row>
    <row r="6362" ht="15.75" customHeight="1">
      <c r="A6362" s="26" t="s">
        <v>10026</v>
      </c>
      <c r="B6362" s="27" t="s">
        <v>629</v>
      </c>
      <c r="C6362" s="27" t="s">
        <v>1216</v>
      </c>
      <c r="D6362" s="26" t="s">
        <v>3663</v>
      </c>
      <c r="E6362" s="28">
        <v>46113.0</v>
      </c>
      <c r="F6362" s="28">
        <v>46171.0</v>
      </c>
      <c r="G6362" s="29"/>
    </row>
    <row r="6363" ht="15.75" customHeight="1">
      <c r="A6363" s="30" t="s">
        <v>10027</v>
      </c>
      <c r="B6363" s="31" t="s">
        <v>629</v>
      </c>
      <c r="C6363" s="31" t="s">
        <v>1351</v>
      </c>
      <c r="D6363" s="30" t="s">
        <v>3663</v>
      </c>
      <c r="E6363" s="32">
        <v>46113.0</v>
      </c>
      <c r="F6363" s="32">
        <v>46171.0</v>
      </c>
      <c r="G6363" s="33"/>
    </row>
    <row r="6364" ht="15.75" customHeight="1">
      <c r="A6364" s="26" t="s">
        <v>10028</v>
      </c>
      <c r="B6364" s="27" t="s">
        <v>629</v>
      </c>
      <c r="C6364" s="27" t="s">
        <v>1349</v>
      </c>
      <c r="D6364" s="26" t="s">
        <v>3663</v>
      </c>
      <c r="E6364" s="28">
        <v>46113.0</v>
      </c>
      <c r="F6364" s="28">
        <v>46171.0</v>
      </c>
      <c r="G6364" s="29"/>
    </row>
    <row r="6365" ht="15.75" customHeight="1">
      <c r="A6365" s="30" t="s">
        <v>10029</v>
      </c>
      <c r="B6365" s="31" t="s">
        <v>629</v>
      </c>
      <c r="C6365" s="31" t="s">
        <v>968</v>
      </c>
      <c r="D6365" s="30" t="s">
        <v>3663</v>
      </c>
      <c r="E6365" s="32">
        <v>46113.0</v>
      </c>
      <c r="F6365" s="32">
        <v>46171.0</v>
      </c>
      <c r="G6365" s="33"/>
    </row>
    <row r="6366" ht="15.75" customHeight="1">
      <c r="A6366" s="26" t="s">
        <v>10030</v>
      </c>
      <c r="B6366" s="27" t="s">
        <v>629</v>
      </c>
      <c r="C6366" s="27" t="s">
        <v>923</v>
      </c>
      <c r="D6366" s="27" t="s">
        <v>3663</v>
      </c>
      <c r="E6366" s="28">
        <v>46113.0</v>
      </c>
      <c r="F6366" s="28">
        <v>46171.0</v>
      </c>
      <c r="G6366" s="29"/>
    </row>
    <row r="6367" ht="15.75" customHeight="1">
      <c r="A6367" s="30" t="s">
        <v>10031</v>
      </c>
      <c r="B6367" s="31" t="s">
        <v>629</v>
      </c>
      <c r="C6367" s="31" t="s">
        <v>958</v>
      </c>
      <c r="D6367" s="30" t="s">
        <v>3663</v>
      </c>
      <c r="E6367" s="32">
        <v>46113.0</v>
      </c>
      <c r="F6367" s="32">
        <v>46171.0</v>
      </c>
      <c r="G6367" s="33"/>
    </row>
    <row r="6368" ht="15.75" customHeight="1">
      <c r="A6368" s="26" t="s">
        <v>10032</v>
      </c>
      <c r="B6368" s="27" t="s">
        <v>630</v>
      </c>
      <c r="C6368" s="27" t="s">
        <v>928</v>
      </c>
      <c r="D6368" s="26" t="s">
        <v>3663</v>
      </c>
      <c r="E6368" s="28">
        <v>46113.0</v>
      </c>
      <c r="F6368" s="28">
        <v>46171.0</v>
      </c>
      <c r="G6368" s="29"/>
    </row>
    <row r="6369" ht="15.75" customHeight="1">
      <c r="A6369" s="30" t="s">
        <v>10033</v>
      </c>
      <c r="B6369" s="31" t="s">
        <v>630</v>
      </c>
      <c r="C6369" s="31" t="s">
        <v>1354</v>
      </c>
      <c r="D6369" s="30" t="s">
        <v>3663</v>
      </c>
      <c r="E6369" s="32">
        <v>46113.0</v>
      </c>
      <c r="F6369" s="32">
        <v>46171.0</v>
      </c>
      <c r="G6369" s="33"/>
    </row>
    <row r="6370" ht="15.75" customHeight="1">
      <c r="A6370" s="26" t="s">
        <v>10034</v>
      </c>
      <c r="B6370" s="27" t="s">
        <v>630</v>
      </c>
      <c r="C6370" s="27" t="s">
        <v>1222</v>
      </c>
      <c r="D6370" s="26" t="s">
        <v>3663</v>
      </c>
      <c r="E6370" s="28">
        <v>46113.0</v>
      </c>
      <c r="F6370" s="28">
        <v>46171.0</v>
      </c>
      <c r="G6370" s="29"/>
    </row>
    <row r="6371" ht="15.75" customHeight="1">
      <c r="A6371" s="30" t="s">
        <v>10035</v>
      </c>
      <c r="B6371" s="31" t="s">
        <v>630</v>
      </c>
      <c r="C6371" s="31" t="s">
        <v>1224</v>
      </c>
      <c r="D6371" s="30" t="s">
        <v>3663</v>
      </c>
      <c r="E6371" s="32">
        <v>46113.0</v>
      </c>
      <c r="F6371" s="32">
        <v>46171.0</v>
      </c>
      <c r="G6371" s="33"/>
    </row>
    <row r="6372" ht="15.75" customHeight="1">
      <c r="A6372" s="26" t="s">
        <v>10036</v>
      </c>
      <c r="B6372" s="27" t="s">
        <v>630</v>
      </c>
      <c r="C6372" s="27" t="s">
        <v>1226</v>
      </c>
      <c r="D6372" s="26" t="s">
        <v>3663</v>
      </c>
      <c r="E6372" s="28">
        <v>46113.0</v>
      </c>
      <c r="F6372" s="28">
        <v>46171.0</v>
      </c>
      <c r="G6372" s="29"/>
    </row>
    <row r="6373" ht="15.75" customHeight="1">
      <c r="A6373" s="30" t="s">
        <v>10037</v>
      </c>
      <c r="B6373" s="31" t="s">
        <v>630</v>
      </c>
      <c r="C6373" s="31" t="s">
        <v>1228</v>
      </c>
      <c r="D6373" s="30" t="s">
        <v>3663</v>
      </c>
      <c r="E6373" s="32">
        <v>46113.0</v>
      </c>
      <c r="F6373" s="32">
        <v>46171.0</v>
      </c>
      <c r="G6373" s="33"/>
    </row>
    <row r="6374" ht="15.75" customHeight="1">
      <c r="A6374" s="26" t="s">
        <v>10038</v>
      </c>
      <c r="B6374" s="27" t="s">
        <v>630</v>
      </c>
      <c r="C6374" s="27" t="s">
        <v>3681</v>
      </c>
      <c r="D6374" s="26" t="s">
        <v>3663</v>
      </c>
      <c r="E6374" s="28">
        <v>46113.0</v>
      </c>
      <c r="F6374" s="28">
        <v>46171.0</v>
      </c>
      <c r="G6374" s="29"/>
    </row>
    <row r="6375" ht="15.75" customHeight="1">
      <c r="A6375" s="30" t="s">
        <v>10039</v>
      </c>
      <c r="B6375" s="31" t="s">
        <v>630</v>
      </c>
      <c r="C6375" s="31" t="s">
        <v>3683</v>
      </c>
      <c r="D6375" s="30" t="s">
        <v>3663</v>
      </c>
      <c r="E6375" s="32">
        <v>46113.0</v>
      </c>
      <c r="F6375" s="32">
        <v>46171.0</v>
      </c>
      <c r="G6375" s="33"/>
    </row>
    <row r="6376" ht="15.75" customHeight="1">
      <c r="A6376" s="26" t="s">
        <v>10040</v>
      </c>
      <c r="B6376" s="27" t="s">
        <v>630</v>
      </c>
      <c r="C6376" s="27" t="s">
        <v>1216</v>
      </c>
      <c r="D6376" s="26" t="s">
        <v>3663</v>
      </c>
      <c r="E6376" s="28">
        <v>46113.0</v>
      </c>
      <c r="F6376" s="28">
        <v>46171.0</v>
      </c>
      <c r="G6376" s="29"/>
    </row>
    <row r="6377" ht="15.75" customHeight="1">
      <c r="A6377" s="30" t="s">
        <v>10041</v>
      </c>
      <c r="B6377" s="31" t="s">
        <v>630</v>
      </c>
      <c r="C6377" s="31" t="s">
        <v>1351</v>
      </c>
      <c r="D6377" s="30" t="s">
        <v>3663</v>
      </c>
      <c r="E6377" s="32">
        <v>46113.0</v>
      </c>
      <c r="F6377" s="32">
        <v>46171.0</v>
      </c>
      <c r="G6377" s="33"/>
    </row>
    <row r="6378" ht="15.75" customHeight="1">
      <c r="A6378" s="26" t="s">
        <v>10042</v>
      </c>
      <c r="B6378" s="27" t="s">
        <v>630</v>
      </c>
      <c r="C6378" s="27" t="s">
        <v>1349</v>
      </c>
      <c r="D6378" s="26" t="s">
        <v>3663</v>
      </c>
      <c r="E6378" s="28">
        <v>46113.0</v>
      </c>
      <c r="F6378" s="28">
        <v>46171.0</v>
      </c>
      <c r="G6378" s="29"/>
    </row>
    <row r="6379" ht="15.75" customHeight="1">
      <c r="A6379" s="30" t="s">
        <v>10043</v>
      </c>
      <c r="B6379" s="31" t="s">
        <v>630</v>
      </c>
      <c r="C6379" s="31" t="s">
        <v>965</v>
      </c>
      <c r="D6379" s="30" t="s">
        <v>3663</v>
      </c>
      <c r="E6379" s="32">
        <v>46113.0</v>
      </c>
      <c r="F6379" s="32">
        <v>46171.0</v>
      </c>
      <c r="G6379" s="33"/>
    </row>
    <row r="6380" ht="15.75" customHeight="1">
      <c r="A6380" s="26" t="s">
        <v>10044</v>
      </c>
      <c r="B6380" s="27" t="s">
        <v>630</v>
      </c>
      <c r="C6380" s="27" t="s">
        <v>923</v>
      </c>
      <c r="D6380" s="26" t="s">
        <v>3663</v>
      </c>
      <c r="E6380" s="28">
        <v>46113.0</v>
      </c>
      <c r="F6380" s="28">
        <v>46171.0</v>
      </c>
      <c r="G6380" s="29"/>
    </row>
    <row r="6381" ht="15.75" customHeight="1">
      <c r="A6381" s="30" t="s">
        <v>10045</v>
      </c>
      <c r="B6381" s="31" t="s">
        <v>630</v>
      </c>
      <c r="C6381" s="31" t="s">
        <v>958</v>
      </c>
      <c r="D6381" s="30" t="s">
        <v>3663</v>
      </c>
      <c r="E6381" s="32">
        <v>46113.0</v>
      </c>
      <c r="F6381" s="32">
        <v>46171.0</v>
      </c>
      <c r="G6381" s="33"/>
    </row>
    <row r="6382" ht="15.75" customHeight="1">
      <c r="A6382" s="26" t="s">
        <v>10046</v>
      </c>
      <c r="B6382" s="27" t="s">
        <v>631</v>
      </c>
      <c r="C6382" s="27" t="s">
        <v>934</v>
      </c>
      <c r="D6382" s="26" t="s">
        <v>3663</v>
      </c>
      <c r="E6382" s="28">
        <v>46113.0</v>
      </c>
      <c r="F6382" s="28">
        <v>46171.0</v>
      </c>
      <c r="G6382" s="29"/>
    </row>
    <row r="6383" ht="15.75" customHeight="1">
      <c r="A6383" s="30" t="s">
        <v>10047</v>
      </c>
      <c r="B6383" s="31" t="s">
        <v>631</v>
      </c>
      <c r="C6383" s="31" t="s">
        <v>1354</v>
      </c>
      <c r="D6383" s="30" t="s">
        <v>3663</v>
      </c>
      <c r="E6383" s="32">
        <v>46113.0</v>
      </c>
      <c r="F6383" s="32">
        <v>46171.0</v>
      </c>
      <c r="G6383" s="33"/>
    </row>
    <row r="6384" ht="15.75" customHeight="1">
      <c r="A6384" s="26" t="s">
        <v>10048</v>
      </c>
      <c r="B6384" s="27" t="s">
        <v>631</v>
      </c>
      <c r="C6384" s="27" t="s">
        <v>1216</v>
      </c>
      <c r="D6384" s="26" t="s">
        <v>3663</v>
      </c>
      <c r="E6384" s="28">
        <v>46113.0</v>
      </c>
      <c r="F6384" s="28">
        <v>46171.0</v>
      </c>
      <c r="G6384" s="29"/>
    </row>
    <row r="6385" ht="15.75" customHeight="1">
      <c r="A6385" s="30" t="s">
        <v>10049</v>
      </c>
      <c r="B6385" s="31" t="s">
        <v>631</v>
      </c>
      <c r="C6385" s="31" t="s">
        <v>1157</v>
      </c>
      <c r="D6385" s="30" t="s">
        <v>3663</v>
      </c>
      <c r="E6385" s="32">
        <v>46113.0</v>
      </c>
      <c r="F6385" s="32">
        <v>46171.0</v>
      </c>
      <c r="G6385" s="33"/>
    </row>
    <row r="6386" ht="15.75" customHeight="1">
      <c r="A6386" s="26" t="s">
        <v>10050</v>
      </c>
      <c r="B6386" s="27" t="s">
        <v>631</v>
      </c>
      <c r="C6386" s="27" t="s">
        <v>1155</v>
      </c>
      <c r="D6386" s="26" t="s">
        <v>3663</v>
      </c>
      <c r="E6386" s="28">
        <v>46113.0</v>
      </c>
      <c r="F6386" s="28">
        <v>46171.0</v>
      </c>
      <c r="G6386" s="29"/>
    </row>
    <row r="6387" ht="15.75" customHeight="1">
      <c r="A6387" s="30" t="s">
        <v>10051</v>
      </c>
      <c r="B6387" s="31" t="s">
        <v>631</v>
      </c>
      <c r="C6387" s="31" t="s">
        <v>1153</v>
      </c>
      <c r="D6387" s="30" t="s">
        <v>3663</v>
      </c>
      <c r="E6387" s="32">
        <v>46113.0</v>
      </c>
      <c r="F6387" s="32">
        <v>46171.0</v>
      </c>
      <c r="G6387" s="33"/>
    </row>
    <row r="6388" ht="15.75" customHeight="1">
      <c r="A6388" s="26" t="s">
        <v>10052</v>
      </c>
      <c r="B6388" s="27" t="s">
        <v>631</v>
      </c>
      <c r="C6388" s="27" t="s">
        <v>1149</v>
      </c>
      <c r="D6388" s="26" t="s">
        <v>3663</v>
      </c>
      <c r="E6388" s="28">
        <v>46113.0</v>
      </c>
      <c r="F6388" s="28">
        <v>46171.0</v>
      </c>
      <c r="G6388" s="29"/>
    </row>
    <row r="6389" ht="15.75" customHeight="1">
      <c r="A6389" s="30" t="s">
        <v>10053</v>
      </c>
      <c r="B6389" s="31" t="s">
        <v>631</v>
      </c>
      <c r="C6389" s="31" t="s">
        <v>1351</v>
      </c>
      <c r="D6389" s="30" t="s">
        <v>3663</v>
      </c>
      <c r="E6389" s="32">
        <v>46113.0</v>
      </c>
      <c r="F6389" s="32">
        <v>46171.0</v>
      </c>
      <c r="G6389" s="33"/>
    </row>
    <row r="6390" ht="15.75" customHeight="1">
      <c r="A6390" s="26" t="s">
        <v>10054</v>
      </c>
      <c r="B6390" s="27" t="s">
        <v>631</v>
      </c>
      <c r="C6390" s="27" t="s">
        <v>1349</v>
      </c>
      <c r="D6390" s="26" t="s">
        <v>3663</v>
      </c>
      <c r="E6390" s="28">
        <v>46113.0</v>
      </c>
      <c r="F6390" s="28">
        <v>46171.0</v>
      </c>
      <c r="G6390" s="29"/>
    </row>
    <row r="6391" ht="15.75" customHeight="1">
      <c r="A6391" s="30" t="s">
        <v>10055</v>
      </c>
      <c r="B6391" s="31" t="s">
        <v>631</v>
      </c>
      <c r="C6391" s="31" t="s">
        <v>3653</v>
      </c>
      <c r="D6391" s="31" t="s">
        <v>3663</v>
      </c>
      <c r="E6391" s="32">
        <v>46113.0</v>
      </c>
      <c r="F6391" s="32">
        <v>46171.0</v>
      </c>
      <c r="G6391" s="33"/>
    </row>
    <row r="6392" ht="15.75" customHeight="1">
      <c r="A6392" s="26" t="s">
        <v>10056</v>
      </c>
      <c r="B6392" s="27" t="s">
        <v>631</v>
      </c>
      <c r="C6392" s="27" t="s">
        <v>3652</v>
      </c>
      <c r="D6392" s="26" t="s">
        <v>3663</v>
      </c>
      <c r="E6392" s="28">
        <v>46113.0</v>
      </c>
      <c r="F6392" s="28">
        <v>46171.0</v>
      </c>
      <c r="G6392" s="29"/>
    </row>
    <row r="6393" ht="15.75" customHeight="1">
      <c r="A6393" s="30" t="s">
        <v>10057</v>
      </c>
      <c r="B6393" s="31" t="s">
        <v>631</v>
      </c>
      <c r="C6393" s="31" t="s">
        <v>965</v>
      </c>
      <c r="D6393" s="30" t="s">
        <v>3663</v>
      </c>
      <c r="E6393" s="32">
        <v>46113.0</v>
      </c>
      <c r="F6393" s="32">
        <v>46171.0</v>
      </c>
      <c r="G6393" s="33"/>
    </row>
    <row r="6394" ht="15.75" customHeight="1">
      <c r="A6394" s="26" t="s">
        <v>10058</v>
      </c>
      <c r="B6394" s="27" t="s">
        <v>631</v>
      </c>
      <c r="C6394" s="27" t="s">
        <v>923</v>
      </c>
      <c r="D6394" s="26" t="s">
        <v>3663</v>
      </c>
      <c r="E6394" s="28">
        <v>46113.0</v>
      </c>
      <c r="F6394" s="28">
        <v>46171.0</v>
      </c>
      <c r="G6394" s="29"/>
    </row>
    <row r="6395" ht="15.75" customHeight="1">
      <c r="A6395" s="30" t="s">
        <v>10059</v>
      </c>
      <c r="B6395" s="31" t="s">
        <v>631</v>
      </c>
      <c r="C6395" s="31" t="s">
        <v>961</v>
      </c>
      <c r="D6395" s="30" t="s">
        <v>3663</v>
      </c>
      <c r="E6395" s="32">
        <v>46113.0</v>
      </c>
      <c r="F6395" s="32">
        <v>46171.0</v>
      </c>
      <c r="G6395" s="33"/>
    </row>
    <row r="6396" ht="15.75" customHeight="1">
      <c r="A6396" s="26" t="s">
        <v>10060</v>
      </c>
      <c r="B6396" s="27" t="s">
        <v>632</v>
      </c>
      <c r="C6396" s="27" t="s">
        <v>926</v>
      </c>
      <c r="D6396" s="27" t="s">
        <v>3663</v>
      </c>
      <c r="E6396" s="28">
        <v>46113.0</v>
      </c>
      <c r="F6396" s="28">
        <v>46171.0</v>
      </c>
      <c r="G6396" s="29"/>
    </row>
    <row r="6397" ht="15.75" customHeight="1">
      <c r="A6397" s="30" t="s">
        <v>10061</v>
      </c>
      <c r="B6397" s="31" t="s">
        <v>632</v>
      </c>
      <c r="C6397" s="31" t="s">
        <v>1354</v>
      </c>
      <c r="D6397" s="30" t="s">
        <v>3663</v>
      </c>
      <c r="E6397" s="32">
        <v>46113.0</v>
      </c>
      <c r="F6397" s="32">
        <v>46171.0</v>
      </c>
      <c r="G6397" s="33"/>
    </row>
    <row r="6398" ht="15.75" customHeight="1">
      <c r="A6398" s="26" t="s">
        <v>10062</v>
      </c>
      <c r="B6398" s="27" t="s">
        <v>632</v>
      </c>
      <c r="C6398" s="27" t="s">
        <v>3681</v>
      </c>
      <c r="D6398" s="26" t="s">
        <v>3663</v>
      </c>
      <c r="E6398" s="28">
        <v>46113.0</v>
      </c>
      <c r="F6398" s="28">
        <v>46171.0</v>
      </c>
      <c r="G6398" s="29"/>
    </row>
    <row r="6399" ht="15.75" customHeight="1">
      <c r="A6399" s="30" t="s">
        <v>10063</v>
      </c>
      <c r="B6399" s="31" t="s">
        <v>632</v>
      </c>
      <c r="C6399" s="31" t="s">
        <v>3683</v>
      </c>
      <c r="D6399" s="30" t="s">
        <v>3663</v>
      </c>
      <c r="E6399" s="32">
        <v>46113.0</v>
      </c>
      <c r="F6399" s="32">
        <v>46171.0</v>
      </c>
      <c r="G6399" s="33"/>
    </row>
    <row r="6400" ht="15.75" customHeight="1">
      <c r="A6400" s="26" t="s">
        <v>10064</v>
      </c>
      <c r="B6400" s="27" t="s">
        <v>632</v>
      </c>
      <c r="C6400" s="27" t="s">
        <v>1159</v>
      </c>
      <c r="D6400" s="26" t="s">
        <v>3663</v>
      </c>
      <c r="E6400" s="28">
        <v>46113.0</v>
      </c>
      <c r="F6400" s="28">
        <v>46171.0</v>
      </c>
      <c r="G6400" s="29"/>
    </row>
    <row r="6401" ht="15.75" customHeight="1">
      <c r="A6401" s="30" t="s">
        <v>10065</v>
      </c>
      <c r="B6401" s="31" t="s">
        <v>632</v>
      </c>
      <c r="C6401" s="31" t="s">
        <v>3648</v>
      </c>
      <c r="D6401" s="31" t="s">
        <v>3663</v>
      </c>
      <c r="E6401" s="32">
        <v>46113.0</v>
      </c>
      <c r="F6401" s="32">
        <v>46171.0</v>
      </c>
      <c r="G6401" s="33"/>
    </row>
    <row r="6402" ht="15.75" customHeight="1">
      <c r="A6402" s="26" t="s">
        <v>10066</v>
      </c>
      <c r="B6402" s="27" t="s">
        <v>632</v>
      </c>
      <c r="C6402" s="27" t="s">
        <v>3649</v>
      </c>
      <c r="D6402" s="27" t="s">
        <v>3663</v>
      </c>
      <c r="E6402" s="28">
        <v>46113.0</v>
      </c>
      <c r="F6402" s="28">
        <v>46171.0</v>
      </c>
      <c r="G6402" s="29"/>
    </row>
    <row r="6403" ht="15.75" customHeight="1">
      <c r="A6403" s="30" t="s">
        <v>10067</v>
      </c>
      <c r="B6403" s="31" t="s">
        <v>632</v>
      </c>
      <c r="C6403" s="31" t="s">
        <v>3650</v>
      </c>
      <c r="D6403" s="31" t="s">
        <v>3663</v>
      </c>
      <c r="E6403" s="32">
        <v>46113.0</v>
      </c>
      <c r="F6403" s="32">
        <v>46171.0</v>
      </c>
      <c r="G6403" s="33"/>
    </row>
    <row r="6404" ht="15.75" customHeight="1">
      <c r="A6404" s="26" t="s">
        <v>10068</v>
      </c>
      <c r="B6404" s="27" t="s">
        <v>632</v>
      </c>
      <c r="C6404" s="27" t="s">
        <v>1283</v>
      </c>
      <c r="D6404" s="27" t="s">
        <v>3663</v>
      </c>
      <c r="E6404" s="28">
        <v>46113.0</v>
      </c>
      <c r="F6404" s="28">
        <v>46171.0</v>
      </c>
      <c r="G6404" s="29"/>
    </row>
    <row r="6405" ht="15.75" customHeight="1">
      <c r="A6405" s="30" t="s">
        <v>10069</v>
      </c>
      <c r="B6405" s="31" t="s">
        <v>632</v>
      </c>
      <c r="C6405" s="31" t="s">
        <v>1216</v>
      </c>
      <c r="D6405" s="30" t="s">
        <v>3663</v>
      </c>
      <c r="E6405" s="32">
        <v>46113.0</v>
      </c>
      <c r="F6405" s="32">
        <v>46171.0</v>
      </c>
      <c r="G6405" s="33"/>
    </row>
    <row r="6406" ht="15.75" customHeight="1">
      <c r="A6406" s="26" t="s">
        <v>10070</v>
      </c>
      <c r="B6406" s="27" t="s">
        <v>632</v>
      </c>
      <c r="C6406" s="27" t="s">
        <v>1351</v>
      </c>
      <c r="D6406" s="26" t="s">
        <v>3663</v>
      </c>
      <c r="E6406" s="28">
        <v>46113.0</v>
      </c>
      <c r="F6406" s="28">
        <v>46171.0</v>
      </c>
      <c r="G6406" s="29"/>
    </row>
    <row r="6407" ht="15.75" customHeight="1">
      <c r="A6407" s="30" t="s">
        <v>10071</v>
      </c>
      <c r="B6407" s="31" t="s">
        <v>632</v>
      </c>
      <c r="C6407" s="31" t="s">
        <v>1349</v>
      </c>
      <c r="D6407" s="30" t="s">
        <v>3663</v>
      </c>
      <c r="E6407" s="32">
        <v>46113.0</v>
      </c>
      <c r="F6407" s="32">
        <v>46171.0</v>
      </c>
      <c r="G6407" s="33"/>
    </row>
    <row r="6408" ht="15.75" customHeight="1">
      <c r="A6408" s="26" t="s">
        <v>10072</v>
      </c>
      <c r="B6408" s="27" t="s">
        <v>632</v>
      </c>
      <c r="C6408" s="27" t="s">
        <v>968</v>
      </c>
      <c r="D6408" s="26" t="s">
        <v>3663</v>
      </c>
      <c r="E6408" s="28">
        <v>46113.0</v>
      </c>
      <c r="F6408" s="28">
        <v>46171.0</v>
      </c>
      <c r="G6408" s="29"/>
    </row>
    <row r="6409" ht="15.75" customHeight="1">
      <c r="A6409" s="30" t="s">
        <v>10073</v>
      </c>
      <c r="B6409" s="31" t="s">
        <v>632</v>
      </c>
      <c r="C6409" s="31" t="s">
        <v>923</v>
      </c>
      <c r="D6409" s="31" t="s">
        <v>3663</v>
      </c>
      <c r="E6409" s="32">
        <v>46113.0</v>
      </c>
      <c r="F6409" s="32">
        <v>46171.0</v>
      </c>
      <c r="G6409" s="33"/>
    </row>
    <row r="6410" ht="15.75" customHeight="1">
      <c r="A6410" s="26" t="s">
        <v>10074</v>
      </c>
      <c r="B6410" s="27" t="s">
        <v>633</v>
      </c>
      <c r="C6410" s="27" t="s">
        <v>3654</v>
      </c>
      <c r="D6410" s="26" t="s">
        <v>3663</v>
      </c>
      <c r="E6410" s="28">
        <v>46113.0</v>
      </c>
      <c r="F6410" s="28">
        <v>46171.0</v>
      </c>
      <c r="G6410" s="29"/>
    </row>
    <row r="6411" ht="15.75" customHeight="1">
      <c r="A6411" s="30" t="s">
        <v>10075</v>
      </c>
      <c r="B6411" s="31" t="s">
        <v>633</v>
      </c>
      <c r="C6411" s="31" t="s">
        <v>3655</v>
      </c>
      <c r="D6411" s="30" t="s">
        <v>3663</v>
      </c>
      <c r="E6411" s="32">
        <v>46113.0</v>
      </c>
      <c r="F6411" s="32">
        <v>46171.0</v>
      </c>
      <c r="G6411" s="33"/>
    </row>
    <row r="6412" ht="15.75" customHeight="1">
      <c r="A6412" s="26" t="s">
        <v>10076</v>
      </c>
      <c r="B6412" s="27" t="s">
        <v>633</v>
      </c>
      <c r="C6412" s="27" t="s">
        <v>930</v>
      </c>
      <c r="D6412" s="27" t="s">
        <v>3663</v>
      </c>
      <c r="E6412" s="28">
        <v>46113.0</v>
      </c>
      <c r="F6412" s="28">
        <v>46171.0</v>
      </c>
      <c r="G6412" s="29"/>
    </row>
    <row r="6413" ht="15.75" customHeight="1">
      <c r="A6413" s="30" t="s">
        <v>10077</v>
      </c>
      <c r="B6413" s="31" t="s">
        <v>633</v>
      </c>
      <c r="C6413" s="31" t="s">
        <v>1354</v>
      </c>
      <c r="D6413" s="30" t="s">
        <v>3663</v>
      </c>
      <c r="E6413" s="32">
        <v>46113.0</v>
      </c>
      <c r="F6413" s="32">
        <v>46171.0</v>
      </c>
      <c r="G6413" s="33"/>
    </row>
    <row r="6414" ht="15.75" customHeight="1">
      <c r="A6414" s="26" t="s">
        <v>10078</v>
      </c>
      <c r="B6414" s="27" t="s">
        <v>633</v>
      </c>
      <c r="C6414" s="27" t="s">
        <v>1304</v>
      </c>
      <c r="D6414" s="27" t="s">
        <v>3663</v>
      </c>
      <c r="E6414" s="28">
        <v>46113.0</v>
      </c>
      <c r="F6414" s="28">
        <v>46171.0</v>
      </c>
      <c r="G6414" s="29"/>
    </row>
    <row r="6415" ht="15.75" customHeight="1">
      <c r="A6415" s="30" t="s">
        <v>10079</v>
      </c>
      <c r="B6415" s="31" t="s">
        <v>633</v>
      </c>
      <c r="C6415" s="31" t="s">
        <v>1306</v>
      </c>
      <c r="D6415" s="31" t="s">
        <v>3663</v>
      </c>
      <c r="E6415" s="32">
        <v>46113.0</v>
      </c>
      <c r="F6415" s="32">
        <v>46171.0</v>
      </c>
      <c r="G6415" s="33"/>
    </row>
    <row r="6416" ht="15.75" customHeight="1">
      <c r="A6416" s="26" t="s">
        <v>10080</v>
      </c>
      <c r="B6416" s="27" t="s">
        <v>633</v>
      </c>
      <c r="C6416" s="27" t="s">
        <v>1308</v>
      </c>
      <c r="D6416" s="27" t="s">
        <v>3663</v>
      </c>
      <c r="E6416" s="28">
        <v>46113.0</v>
      </c>
      <c r="F6416" s="28">
        <v>46171.0</v>
      </c>
      <c r="G6416" s="29"/>
    </row>
    <row r="6417" ht="15.75" customHeight="1">
      <c r="A6417" s="30" t="s">
        <v>10081</v>
      </c>
      <c r="B6417" s="31" t="s">
        <v>633</v>
      </c>
      <c r="C6417" s="31" t="s">
        <v>1310</v>
      </c>
      <c r="D6417" s="31" t="s">
        <v>3663</v>
      </c>
      <c r="E6417" s="32">
        <v>46113.0</v>
      </c>
      <c r="F6417" s="32">
        <v>46171.0</v>
      </c>
      <c r="G6417" s="33"/>
    </row>
    <row r="6418" ht="15.75" customHeight="1">
      <c r="A6418" s="26" t="s">
        <v>10082</v>
      </c>
      <c r="B6418" s="27" t="s">
        <v>633</v>
      </c>
      <c r="C6418" s="27" t="s">
        <v>1218</v>
      </c>
      <c r="D6418" s="26" t="s">
        <v>3663</v>
      </c>
      <c r="E6418" s="28">
        <v>46113.0</v>
      </c>
      <c r="F6418" s="28">
        <v>46171.0</v>
      </c>
      <c r="G6418" s="29"/>
    </row>
    <row r="6419" ht="15.75" customHeight="1">
      <c r="A6419" s="30" t="s">
        <v>10083</v>
      </c>
      <c r="B6419" s="31" t="s">
        <v>633</v>
      </c>
      <c r="C6419" s="31" t="s">
        <v>1351</v>
      </c>
      <c r="D6419" s="30" t="s">
        <v>3663</v>
      </c>
      <c r="E6419" s="32">
        <v>46113.0</v>
      </c>
      <c r="F6419" s="32">
        <v>46171.0</v>
      </c>
      <c r="G6419" s="33"/>
    </row>
    <row r="6420" ht="15.75" customHeight="1">
      <c r="A6420" s="26" t="s">
        <v>10084</v>
      </c>
      <c r="B6420" s="27" t="s">
        <v>633</v>
      </c>
      <c r="C6420" s="27" t="s">
        <v>1349</v>
      </c>
      <c r="D6420" s="26" t="s">
        <v>3663</v>
      </c>
      <c r="E6420" s="28">
        <v>46113.0</v>
      </c>
      <c r="F6420" s="28">
        <v>46171.0</v>
      </c>
      <c r="G6420" s="29"/>
    </row>
    <row r="6421" ht="15.75" customHeight="1">
      <c r="A6421" s="30" t="s">
        <v>10085</v>
      </c>
      <c r="B6421" s="31" t="s">
        <v>633</v>
      </c>
      <c r="C6421" s="31" t="s">
        <v>965</v>
      </c>
      <c r="D6421" s="30" t="s">
        <v>3663</v>
      </c>
      <c r="E6421" s="32">
        <v>46113.0</v>
      </c>
      <c r="F6421" s="32">
        <v>46171.0</v>
      </c>
      <c r="G6421" s="33"/>
    </row>
    <row r="6422" ht="15.75" customHeight="1">
      <c r="A6422" s="26" t="s">
        <v>10086</v>
      </c>
      <c r="B6422" s="27" t="s">
        <v>633</v>
      </c>
      <c r="C6422" s="27" t="s">
        <v>923</v>
      </c>
      <c r="D6422" s="27" t="s">
        <v>3663</v>
      </c>
      <c r="E6422" s="28">
        <v>46113.0</v>
      </c>
      <c r="F6422" s="28">
        <v>46171.0</v>
      </c>
      <c r="G6422" s="29"/>
    </row>
    <row r="6423" ht="15.75" customHeight="1">
      <c r="A6423" s="30" t="s">
        <v>10087</v>
      </c>
      <c r="B6423" s="31" t="s">
        <v>633</v>
      </c>
      <c r="C6423" s="31" t="s">
        <v>955</v>
      </c>
      <c r="D6423" s="30" t="s">
        <v>3663</v>
      </c>
      <c r="E6423" s="32">
        <v>46113.0</v>
      </c>
      <c r="F6423" s="32">
        <v>46171.0</v>
      </c>
      <c r="G6423" s="33"/>
    </row>
    <row r="6424" ht="15.75" customHeight="1">
      <c r="A6424" s="26" t="s">
        <v>10088</v>
      </c>
      <c r="B6424" s="27" t="s">
        <v>634</v>
      </c>
      <c r="C6424" s="27" t="s">
        <v>930</v>
      </c>
      <c r="D6424" s="26" t="s">
        <v>3663</v>
      </c>
      <c r="E6424" s="28">
        <v>46113.0</v>
      </c>
      <c r="F6424" s="28">
        <v>46171.0</v>
      </c>
      <c r="G6424" s="29"/>
    </row>
    <row r="6425" ht="15.75" customHeight="1">
      <c r="A6425" s="30" t="s">
        <v>10089</v>
      </c>
      <c r="B6425" s="31" t="s">
        <v>634</v>
      </c>
      <c r="C6425" s="31" t="s">
        <v>1354</v>
      </c>
      <c r="D6425" s="30" t="s">
        <v>3663</v>
      </c>
      <c r="E6425" s="32">
        <v>46113.0</v>
      </c>
      <c r="F6425" s="32">
        <v>46171.0</v>
      </c>
      <c r="G6425" s="33"/>
    </row>
    <row r="6426" ht="15.75" customHeight="1">
      <c r="A6426" s="26" t="s">
        <v>10090</v>
      </c>
      <c r="B6426" s="27" t="s">
        <v>634</v>
      </c>
      <c r="C6426" s="27" t="s">
        <v>1304</v>
      </c>
      <c r="D6426" s="26" t="s">
        <v>3663</v>
      </c>
      <c r="E6426" s="28">
        <v>46113.0</v>
      </c>
      <c r="F6426" s="28">
        <v>46171.0</v>
      </c>
      <c r="G6426" s="29"/>
    </row>
    <row r="6427" ht="15.75" customHeight="1">
      <c r="A6427" s="30" t="s">
        <v>10091</v>
      </c>
      <c r="B6427" s="31" t="s">
        <v>634</v>
      </c>
      <c r="C6427" s="31" t="s">
        <v>1306</v>
      </c>
      <c r="D6427" s="30" t="s">
        <v>3663</v>
      </c>
      <c r="E6427" s="32">
        <v>46113.0</v>
      </c>
      <c r="F6427" s="32">
        <v>46171.0</v>
      </c>
      <c r="G6427" s="33"/>
    </row>
    <row r="6428" ht="15.75" customHeight="1">
      <c r="A6428" s="26" t="s">
        <v>10092</v>
      </c>
      <c r="B6428" s="27" t="s">
        <v>634</v>
      </c>
      <c r="C6428" s="27" t="s">
        <v>1308</v>
      </c>
      <c r="D6428" s="26" t="s">
        <v>3663</v>
      </c>
      <c r="E6428" s="28">
        <v>46113.0</v>
      </c>
      <c r="F6428" s="28">
        <v>46171.0</v>
      </c>
      <c r="G6428" s="29"/>
    </row>
    <row r="6429" ht="15.75" customHeight="1">
      <c r="A6429" s="30" t="s">
        <v>10093</v>
      </c>
      <c r="B6429" s="31" t="s">
        <v>634</v>
      </c>
      <c r="C6429" s="31" t="s">
        <v>1310</v>
      </c>
      <c r="D6429" s="30" t="s">
        <v>3663</v>
      </c>
      <c r="E6429" s="32">
        <v>46113.0</v>
      </c>
      <c r="F6429" s="32">
        <v>46171.0</v>
      </c>
      <c r="G6429" s="33"/>
    </row>
    <row r="6430" ht="15.75" customHeight="1">
      <c r="A6430" s="26" t="s">
        <v>10094</v>
      </c>
      <c r="B6430" s="27" t="s">
        <v>634</v>
      </c>
      <c r="C6430" s="27" t="s">
        <v>3656</v>
      </c>
      <c r="D6430" s="26" t="s">
        <v>3663</v>
      </c>
      <c r="E6430" s="28">
        <v>46113.0</v>
      </c>
      <c r="F6430" s="28">
        <v>46171.0</v>
      </c>
      <c r="G6430" s="29"/>
    </row>
    <row r="6431" ht="15.75" customHeight="1">
      <c r="A6431" s="30" t="s">
        <v>10095</v>
      </c>
      <c r="B6431" s="31" t="s">
        <v>634</v>
      </c>
      <c r="C6431" s="31" t="s">
        <v>3657</v>
      </c>
      <c r="D6431" s="30" t="s">
        <v>3663</v>
      </c>
      <c r="E6431" s="32">
        <v>46113.0</v>
      </c>
      <c r="F6431" s="32">
        <v>46171.0</v>
      </c>
      <c r="G6431" s="33"/>
    </row>
    <row r="6432" ht="15.75" customHeight="1">
      <c r="A6432" s="26" t="s">
        <v>10096</v>
      </c>
      <c r="B6432" s="27" t="s">
        <v>634</v>
      </c>
      <c r="C6432" s="27" t="s">
        <v>1218</v>
      </c>
      <c r="D6432" s="26" t="s">
        <v>3663</v>
      </c>
      <c r="E6432" s="28">
        <v>46113.0</v>
      </c>
      <c r="F6432" s="28">
        <v>46171.0</v>
      </c>
      <c r="G6432" s="29"/>
    </row>
    <row r="6433" ht="15.75" customHeight="1">
      <c r="A6433" s="30" t="s">
        <v>10097</v>
      </c>
      <c r="B6433" s="31" t="s">
        <v>634</v>
      </c>
      <c r="C6433" s="31" t="s">
        <v>1271</v>
      </c>
      <c r="D6433" s="30" t="s">
        <v>3663</v>
      </c>
      <c r="E6433" s="32">
        <v>46113.0</v>
      </c>
      <c r="F6433" s="32">
        <v>46171.0</v>
      </c>
      <c r="G6433" s="33"/>
    </row>
    <row r="6434" ht="15.75" customHeight="1">
      <c r="A6434" s="26" t="s">
        <v>10098</v>
      </c>
      <c r="B6434" s="27" t="s">
        <v>634</v>
      </c>
      <c r="C6434" s="27" t="s">
        <v>1351</v>
      </c>
      <c r="D6434" s="26" t="s">
        <v>3663</v>
      </c>
      <c r="E6434" s="28">
        <v>46113.0</v>
      </c>
      <c r="F6434" s="28">
        <v>46171.0</v>
      </c>
      <c r="G6434" s="29"/>
    </row>
    <row r="6435" ht="15.75" customHeight="1">
      <c r="A6435" s="30" t="s">
        <v>10099</v>
      </c>
      <c r="B6435" s="31" t="s">
        <v>634</v>
      </c>
      <c r="C6435" s="31" t="s">
        <v>1349</v>
      </c>
      <c r="D6435" s="30" t="s">
        <v>3663</v>
      </c>
      <c r="E6435" s="32">
        <v>46113.0</v>
      </c>
      <c r="F6435" s="32">
        <v>46171.0</v>
      </c>
      <c r="G6435" s="33"/>
    </row>
    <row r="6436" ht="15.75" customHeight="1">
      <c r="A6436" s="26" t="s">
        <v>10100</v>
      </c>
      <c r="B6436" s="27" t="s">
        <v>634</v>
      </c>
      <c r="C6436" s="27" t="s">
        <v>968</v>
      </c>
      <c r="D6436" s="26" t="s">
        <v>3663</v>
      </c>
      <c r="E6436" s="28">
        <v>46113.0</v>
      </c>
      <c r="F6436" s="28">
        <v>46171.0</v>
      </c>
      <c r="G6436" s="29"/>
    </row>
    <row r="6437" ht="15.75" customHeight="1">
      <c r="A6437" s="30" t="s">
        <v>10101</v>
      </c>
      <c r="B6437" s="31" t="s">
        <v>634</v>
      </c>
      <c r="C6437" s="31" t="s">
        <v>923</v>
      </c>
      <c r="D6437" s="30" t="s">
        <v>3663</v>
      </c>
      <c r="E6437" s="32">
        <v>46113.0</v>
      </c>
      <c r="F6437" s="32">
        <v>46171.0</v>
      </c>
      <c r="G6437" s="33"/>
    </row>
    <row r="6438" ht="15.75" customHeight="1">
      <c r="A6438" s="26" t="s">
        <v>10102</v>
      </c>
      <c r="B6438" s="27" t="s">
        <v>635</v>
      </c>
      <c r="C6438" s="27" t="s">
        <v>926</v>
      </c>
      <c r="D6438" s="26" t="s">
        <v>3663</v>
      </c>
      <c r="E6438" s="28">
        <v>46113.0</v>
      </c>
      <c r="F6438" s="28">
        <v>46171.0</v>
      </c>
      <c r="G6438" s="29"/>
    </row>
    <row r="6439" ht="15.75" customHeight="1">
      <c r="A6439" s="30" t="s">
        <v>10103</v>
      </c>
      <c r="B6439" s="31" t="s">
        <v>635</v>
      </c>
      <c r="C6439" s="31" t="s">
        <v>1354</v>
      </c>
      <c r="D6439" s="30" t="s">
        <v>3663</v>
      </c>
      <c r="E6439" s="32">
        <v>46113.0</v>
      </c>
      <c r="F6439" s="32">
        <v>46171.0</v>
      </c>
      <c r="G6439" s="33"/>
    </row>
    <row r="6440" ht="15.75" customHeight="1">
      <c r="A6440" s="26" t="s">
        <v>10104</v>
      </c>
      <c r="B6440" s="27" t="s">
        <v>635</v>
      </c>
      <c r="C6440" s="27" t="s">
        <v>1172</v>
      </c>
      <c r="D6440" s="26" t="s">
        <v>3663</v>
      </c>
      <c r="E6440" s="28">
        <v>46113.0</v>
      </c>
      <c r="F6440" s="28">
        <v>46171.0</v>
      </c>
      <c r="G6440" s="29"/>
    </row>
    <row r="6441" ht="15.75" customHeight="1">
      <c r="A6441" s="30" t="s">
        <v>10105</v>
      </c>
      <c r="B6441" s="31" t="s">
        <v>635</v>
      </c>
      <c r="C6441" s="31" t="s">
        <v>1312</v>
      </c>
      <c r="D6441" s="30" t="s">
        <v>3663</v>
      </c>
      <c r="E6441" s="32">
        <v>46113.0</v>
      </c>
      <c r="F6441" s="32">
        <v>46171.0</v>
      </c>
      <c r="G6441" s="33"/>
    </row>
    <row r="6442" ht="15.75" customHeight="1">
      <c r="A6442" s="26" t="s">
        <v>10106</v>
      </c>
      <c r="B6442" s="27" t="s">
        <v>635</v>
      </c>
      <c r="C6442" s="27" t="s">
        <v>3681</v>
      </c>
      <c r="D6442" s="26" t="s">
        <v>3663</v>
      </c>
      <c r="E6442" s="28">
        <v>46113.0</v>
      </c>
      <c r="F6442" s="28">
        <v>46171.0</v>
      </c>
      <c r="G6442" s="29"/>
    </row>
    <row r="6443" ht="15.75" customHeight="1">
      <c r="A6443" s="30" t="s">
        <v>10107</v>
      </c>
      <c r="B6443" s="31" t="s">
        <v>635</v>
      </c>
      <c r="C6443" s="31" t="s">
        <v>3683</v>
      </c>
      <c r="D6443" s="30" t="s">
        <v>3663</v>
      </c>
      <c r="E6443" s="32">
        <v>46113.0</v>
      </c>
      <c r="F6443" s="32">
        <v>46171.0</v>
      </c>
      <c r="G6443" s="33"/>
    </row>
    <row r="6444" ht="15.75" customHeight="1">
      <c r="A6444" s="26" t="s">
        <v>10108</v>
      </c>
      <c r="B6444" s="27" t="s">
        <v>635</v>
      </c>
      <c r="C6444" s="27" t="s">
        <v>1277</v>
      </c>
      <c r="D6444" s="26" t="s">
        <v>3663</v>
      </c>
      <c r="E6444" s="28">
        <v>46113.0</v>
      </c>
      <c r="F6444" s="28">
        <v>46171.0</v>
      </c>
      <c r="G6444" s="29"/>
    </row>
    <row r="6445" ht="15.75" customHeight="1">
      <c r="A6445" s="30" t="s">
        <v>10109</v>
      </c>
      <c r="B6445" s="31" t="s">
        <v>635</v>
      </c>
      <c r="C6445" s="31" t="s">
        <v>1279</v>
      </c>
      <c r="D6445" s="30" t="s">
        <v>3663</v>
      </c>
      <c r="E6445" s="32">
        <v>46113.0</v>
      </c>
      <c r="F6445" s="32">
        <v>46171.0</v>
      </c>
      <c r="G6445" s="33"/>
    </row>
    <row r="6446" ht="15.75" customHeight="1">
      <c r="A6446" s="26" t="s">
        <v>10110</v>
      </c>
      <c r="B6446" s="27" t="s">
        <v>635</v>
      </c>
      <c r="C6446" s="27" t="s">
        <v>1283</v>
      </c>
      <c r="D6446" s="26" t="s">
        <v>3663</v>
      </c>
      <c r="E6446" s="28">
        <v>46113.0</v>
      </c>
      <c r="F6446" s="28">
        <v>46171.0</v>
      </c>
      <c r="G6446" s="29"/>
    </row>
    <row r="6447" ht="15.75" customHeight="1">
      <c r="A6447" s="30" t="s">
        <v>10111</v>
      </c>
      <c r="B6447" s="31" t="s">
        <v>635</v>
      </c>
      <c r="C6447" s="31" t="s">
        <v>1281</v>
      </c>
      <c r="D6447" s="30" t="s">
        <v>3663</v>
      </c>
      <c r="E6447" s="32">
        <v>46113.0</v>
      </c>
      <c r="F6447" s="32">
        <v>46171.0</v>
      </c>
      <c r="G6447" s="33"/>
    </row>
    <row r="6448" ht="15.75" customHeight="1">
      <c r="A6448" s="26" t="s">
        <v>10112</v>
      </c>
      <c r="B6448" s="27" t="s">
        <v>635</v>
      </c>
      <c r="C6448" s="27" t="s">
        <v>1351</v>
      </c>
      <c r="D6448" s="26" t="s">
        <v>3663</v>
      </c>
      <c r="E6448" s="28">
        <v>46113.0</v>
      </c>
      <c r="F6448" s="28">
        <v>46171.0</v>
      </c>
      <c r="G6448" s="29"/>
    </row>
    <row r="6449" ht="15.75" customHeight="1">
      <c r="A6449" s="30" t="s">
        <v>10113</v>
      </c>
      <c r="B6449" s="31" t="s">
        <v>635</v>
      </c>
      <c r="C6449" s="31" t="s">
        <v>1349</v>
      </c>
      <c r="D6449" s="30" t="s">
        <v>3663</v>
      </c>
      <c r="E6449" s="32">
        <v>46113.0</v>
      </c>
      <c r="F6449" s="32">
        <v>46171.0</v>
      </c>
      <c r="G6449" s="33"/>
    </row>
    <row r="6450" ht="15.75" customHeight="1">
      <c r="A6450" s="26" t="s">
        <v>10114</v>
      </c>
      <c r="B6450" s="27" t="s">
        <v>635</v>
      </c>
      <c r="C6450" s="27" t="s">
        <v>968</v>
      </c>
      <c r="D6450" s="26" t="s">
        <v>3663</v>
      </c>
      <c r="E6450" s="28">
        <v>46113.0</v>
      </c>
      <c r="F6450" s="28">
        <v>46171.0</v>
      </c>
      <c r="G6450" s="29"/>
    </row>
    <row r="6451" ht="15.75" customHeight="1">
      <c r="A6451" s="30" t="s">
        <v>10115</v>
      </c>
      <c r="B6451" s="31" t="s">
        <v>635</v>
      </c>
      <c r="C6451" s="31" t="s">
        <v>923</v>
      </c>
      <c r="D6451" s="30" t="s">
        <v>3663</v>
      </c>
      <c r="E6451" s="32">
        <v>46113.0</v>
      </c>
      <c r="F6451" s="32">
        <v>46171.0</v>
      </c>
      <c r="G6451" s="33"/>
    </row>
    <row r="6452" ht="15.75" customHeight="1">
      <c r="A6452" s="26" t="s">
        <v>10116</v>
      </c>
      <c r="B6452" s="27" t="s">
        <v>2726</v>
      </c>
      <c r="C6452" s="27" t="s">
        <v>1240</v>
      </c>
      <c r="D6452" s="26" t="s">
        <v>3663</v>
      </c>
      <c r="E6452" s="28">
        <v>46113.0</v>
      </c>
      <c r="F6452" s="28">
        <v>46171.0</v>
      </c>
      <c r="G6452" s="29"/>
    </row>
    <row r="6453" ht="15.75" customHeight="1">
      <c r="A6453" s="30" t="s">
        <v>10117</v>
      </c>
      <c r="B6453" s="31" t="s">
        <v>2726</v>
      </c>
      <c r="C6453" s="31" t="s">
        <v>1242</v>
      </c>
      <c r="D6453" s="30" t="s">
        <v>3663</v>
      </c>
      <c r="E6453" s="32">
        <v>46113.0</v>
      </c>
      <c r="F6453" s="32">
        <v>46171.0</v>
      </c>
      <c r="G6453" s="33"/>
    </row>
    <row r="6454" ht="15.75" customHeight="1">
      <c r="A6454" s="26" t="s">
        <v>10118</v>
      </c>
      <c r="B6454" s="27" t="s">
        <v>2726</v>
      </c>
      <c r="C6454" s="27" t="s">
        <v>1244</v>
      </c>
      <c r="D6454" s="26" t="s">
        <v>3663</v>
      </c>
      <c r="E6454" s="28">
        <v>46113.0</v>
      </c>
      <c r="F6454" s="28">
        <v>46171.0</v>
      </c>
      <c r="G6454" s="29"/>
    </row>
    <row r="6455" ht="15.75" customHeight="1">
      <c r="A6455" s="30" t="s">
        <v>10119</v>
      </c>
      <c r="B6455" s="31" t="s">
        <v>2726</v>
      </c>
      <c r="C6455" s="31" t="s">
        <v>1246</v>
      </c>
      <c r="D6455" s="30" t="s">
        <v>3663</v>
      </c>
      <c r="E6455" s="32">
        <v>46113.0</v>
      </c>
      <c r="F6455" s="32">
        <v>46171.0</v>
      </c>
      <c r="G6455" s="33"/>
    </row>
    <row r="6456" ht="15.75" customHeight="1">
      <c r="A6456" s="26" t="s">
        <v>10120</v>
      </c>
      <c r="B6456" s="27" t="s">
        <v>2726</v>
      </c>
      <c r="C6456" s="27" t="s">
        <v>934</v>
      </c>
      <c r="D6456" s="26" t="s">
        <v>3663</v>
      </c>
      <c r="E6456" s="28">
        <v>46113.0</v>
      </c>
      <c r="F6456" s="28">
        <v>46171.0</v>
      </c>
      <c r="G6456" s="29"/>
    </row>
    <row r="6457" ht="15.75" customHeight="1">
      <c r="A6457" s="30" t="s">
        <v>10121</v>
      </c>
      <c r="B6457" s="31" t="s">
        <v>2726</v>
      </c>
      <c r="C6457" s="31" t="s">
        <v>1354</v>
      </c>
      <c r="D6457" s="30" t="s">
        <v>3663</v>
      </c>
      <c r="E6457" s="32">
        <v>46113.0</v>
      </c>
      <c r="F6457" s="32">
        <v>46171.0</v>
      </c>
      <c r="G6457" s="33"/>
    </row>
    <row r="6458" ht="15.75" customHeight="1">
      <c r="A6458" s="26" t="s">
        <v>10122</v>
      </c>
      <c r="B6458" s="27" t="s">
        <v>2726</v>
      </c>
      <c r="C6458" s="27" t="s">
        <v>1172</v>
      </c>
      <c r="D6458" s="26" t="s">
        <v>3663</v>
      </c>
      <c r="E6458" s="28">
        <v>46113.0</v>
      </c>
      <c r="F6458" s="28">
        <v>46171.0</v>
      </c>
      <c r="G6458" s="29"/>
    </row>
    <row r="6459" ht="15.75" customHeight="1">
      <c r="A6459" s="30" t="s">
        <v>10123</v>
      </c>
      <c r="B6459" s="31" t="s">
        <v>2726</v>
      </c>
      <c r="C6459" s="31" t="s">
        <v>1312</v>
      </c>
      <c r="D6459" s="30" t="s">
        <v>3663</v>
      </c>
      <c r="E6459" s="32">
        <v>46113.0</v>
      </c>
      <c r="F6459" s="32">
        <v>46171.0</v>
      </c>
      <c r="G6459" s="33"/>
    </row>
    <row r="6460" ht="15.75" customHeight="1">
      <c r="A6460" s="26" t="s">
        <v>10124</v>
      </c>
      <c r="B6460" s="27" t="s">
        <v>2726</v>
      </c>
      <c r="C6460" s="27" t="s">
        <v>3656</v>
      </c>
      <c r="D6460" s="26" t="s">
        <v>3663</v>
      </c>
      <c r="E6460" s="28">
        <v>46113.0</v>
      </c>
      <c r="F6460" s="28">
        <v>46171.0</v>
      </c>
      <c r="G6460" s="29"/>
    </row>
    <row r="6461" ht="15.75" customHeight="1">
      <c r="A6461" s="30" t="s">
        <v>10125</v>
      </c>
      <c r="B6461" s="31" t="s">
        <v>2726</v>
      </c>
      <c r="C6461" s="31" t="s">
        <v>3657</v>
      </c>
      <c r="D6461" s="30" t="s">
        <v>3663</v>
      </c>
      <c r="E6461" s="32">
        <v>46113.0</v>
      </c>
      <c r="F6461" s="32">
        <v>46171.0</v>
      </c>
      <c r="G6461" s="33"/>
    </row>
    <row r="6462" ht="15.75" customHeight="1">
      <c r="A6462" s="26" t="s">
        <v>10126</v>
      </c>
      <c r="B6462" s="27" t="s">
        <v>2726</v>
      </c>
      <c r="C6462" s="27" t="s">
        <v>1351</v>
      </c>
      <c r="D6462" s="26" t="s">
        <v>3663</v>
      </c>
      <c r="E6462" s="28">
        <v>46113.0</v>
      </c>
      <c r="F6462" s="28">
        <v>46171.0</v>
      </c>
      <c r="G6462" s="29"/>
    </row>
    <row r="6463" ht="15.75" customHeight="1">
      <c r="A6463" s="30" t="s">
        <v>10127</v>
      </c>
      <c r="B6463" s="31" t="s">
        <v>2726</v>
      </c>
      <c r="C6463" s="31" t="s">
        <v>1349</v>
      </c>
      <c r="D6463" s="30" t="s">
        <v>3663</v>
      </c>
      <c r="E6463" s="32">
        <v>46113.0</v>
      </c>
      <c r="F6463" s="32">
        <v>46171.0</v>
      </c>
      <c r="G6463" s="33"/>
    </row>
    <row r="6464" ht="15.75" customHeight="1">
      <c r="A6464" s="26" t="s">
        <v>10128</v>
      </c>
      <c r="B6464" s="27" t="s">
        <v>2726</v>
      </c>
      <c r="C6464" s="27" t="s">
        <v>968</v>
      </c>
      <c r="D6464" s="26" t="s">
        <v>3663</v>
      </c>
      <c r="E6464" s="28">
        <v>46113.0</v>
      </c>
      <c r="F6464" s="28">
        <v>46171.0</v>
      </c>
      <c r="G6464" s="29"/>
    </row>
    <row r="6465" ht="15.75" customHeight="1">
      <c r="A6465" s="30" t="s">
        <v>10129</v>
      </c>
      <c r="B6465" s="31" t="s">
        <v>2726</v>
      </c>
      <c r="C6465" s="31" t="s">
        <v>923</v>
      </c>
      <c r="D6465" s="30" t="s">
        <v>3663</v>
      </c>
      <c r="E6465" s="32">
        <v>46113.0</v>
      </c>
      <c r="F6465" s="32">
        <v>46171.0</v>
      </c>
      <c r="G6465" s="33"/>
    </row>
    <row r="6466" ht="15.75" customHeight="1">
      <c r="A6466" s="26" t="s">
        <v>10130</v>
      </c>
      <c r="B6466" s="27" t="s">
        <v>636</v>
      </c>
      <c r="C6466" s="27" t="s">
        <v>932</v>
      </c>
      <c r="D6466" s="26" t="s">
        <v>3663</v>
      </c>
      <c r="E6466" s="28">
        <v>46113.0</v>
      </c>
      <c r="F6466" s="28">
        <v>46171.0</v>
      </c>
      <c r="G6466" s="29"/>
    </row>
    <row r="6467" ht="15.75" customHeight="1">
      <c r="A6467" s="30" t="s">
        <v>10131</v>
      </c>
      <c r="B6467" s="31" t="s">
        <v>636</v>
      </c>
      <c r="C6467" s="31" t="s">
        <v>1168</v>
      </c>
      <c r="D6467" s="30" t="s">
        <v>3663</v>
      </c>
      <c r="E6467" s="32">
        <v>46113.0</v>
      </c>
      <c r="F6467" s="32">
        <v>46171.0</v>
      </c>
      <c r="G6467" s="33"/>
    </row>
    <row r="6468" ht="15.75" customHeight="1">
      <c r="A6468" s="26" t="s">
        <v>10132</v>
      </c>
      <c r="B6468" s="27" t="s">
        <v>636</v>
      </c>
      <c r="C6468" s="27" t="s">
        <v>1170</v>
      </c>
      <c r="D6468" s="26" t="s">
        <v>3663</v>
      </c>
      <c r="E6468" s="28">
        <v>46113.0</v>
      </c>
      <c r="F6468" s="28">
        <v>46171.0</v>
      </c>
      <c r="G6468" s="29"/>
    </row>
    <row r="6469" ht="15.75" customHeight="1">
      <c r="A6469" s="30" t="s">
        <v>10133</v>
      </c>
      <c r="B6469" s="31" t="s">
        <v>636</v>
      </c>
      <c r="C6469" s="31" t="s">
        <v>1288</v>
      </c>
      <c r="D6469" s="30" t="s">
        <v>3663</v>
      </c>
      <c r="E6469" s="32">
        <v>46113.0</v>
      </c>
      <c r="F6469" s="32">
        <v>46171.0</v>
      </c>
      <c r="G6469" s="33"/>
    </row>
    <row r="6470" ht="15.75" customHeight="1">
      <c r="A6470" s="26" t="s">
        <v>10134</v>
      </c>
      <c r="B6470" s="27" t="s">
        <v>636</v>
      </c>
      <c r="C6470" s="27" t="s">
        <v>1291</v>
      </c>
      <c r="D6470" s="26" t="s">
        <v>3663</v>
      </c>
      <c r="E6470" s="28">
        <v>46113.0</v>
      </c>
      <c r="F6470" s="28">
        <v>46171.0</v>
      </c>
      <c r="G6470" s="29"/>
    </row>
    <row r="6471" ht="15.75" customHeight="1">
      <c r="A6471" s="30" t="s">
        <v>10135</v>
      </c>
      <c r="B6471" s="31" t="s">
        <v>636</v>
      </c>
      <c r="C6471" s="31" t="s">
        <v>1354</v>
      </c>
      <c r="D6471" s="30" t="s">
        <v>3663</v>
      </c>
      <c r="E6471" s="32">
        <v>46113.0</v>
      </c>
      <c r="F6471" s="32">
        <v>46171.0</v>
      </c>
      <c r="G6471" s="33"/>
    </row>
    <row r="6472" ht="15.75" customHeight="1">
      <c r="A6472" s="26" t="s">
        <v>10136</v>
      </c>
      <c r="B6472" s="27" t="s">
        <v>636</v>
      </c>
      <c r="C6472" s="27" t="s">
        <v>3681</v>
      </c>
      <c r="D6472" s="26" t="s">
        <v>3663</v>
      </c>
      <c r="E6472" s="28">
        <v>46113.0</v>
      </c>
      <c r="F6472" s="28">
        <v>46171.0</v>
      </c>
      <c r="G6472" s="29"/>
    </row>
    <row r="6473" ht="15.75" customHeight="1">
      <c r="A6473" s="30" t="s">
        <v>10137</v>
      </c>
      <c r="B6473" s="31" t="s">
        <v>636</v>
      </c>
      <c r="C6473" s="31" t="s">
        <v>3683</v>
      </c>
      <c r="D6473" s="30" t="s">
        <v>3663</v>
      </c>
      <c r="E6473" s="32">
        <v>46113.0</v>
      </c>
      <c r="F6473" s="32">
        <v>46171.0</v>
      </c>
      <c r="G6473" s="33"/>
    </row>
    <row r="6474" ht="15.75" customHeight="1">
      <c r="A6474" s="26" t="s">
        <v>10138</v>
      </c>
      <c r="B6474" s="27" t="s">
        <v>636</v>
      </c>
      <c r="C6474" s="27" t="s">
        <v>1216</v>
      </c>
      <c r="D6474" s="26" t="s">
        <v>3663</v>
      </c>
      <c r="E6474" s="28">
        <v>46113.0</v>
      </c>
      <c r="F6474" s="28">
        <v>46171.0</v>
      </c>
      <c r="G6474" s="29"/>
    </row>
    <row r="6475" ht="15.75" customHeight="1">
      <c r="A6475" s="30" t="s">
        <v>10139</v>
      </c>
      <c r="B6475" s="31" t="s">
        <v>636</v>
      </c>
      <c r="C6475" s="31" t="s">
        <v>1218</v>
      </c>
      <c r="D6475" s="30" t="s">
        <v>3663</v>
      </c>
      <c r="E6475" s="32">
        <v>46113.0</v>
      </c>
      <c r="F6475" s="32">
        <v>46171.0</v>
      </c>
      <c r="G6475" s="33"/>
    </row>
    <row r="6476" ht="15.75" customHeight="1">
      <c r="A6476" s="26" t="s">
        <v>10140</v>
      </c>
      <c r="B6476" s="27" t="s">
        <v>636</v>
      </c>
      <c r="C6476" s="27" t="s">
        <v>1351</v>
      </c>
      <c r="D6476" s="26" t="s">
        <v>3663</v>
      </c>
      <c r="E6476" s="28">
        <v>46113.0</v>
      </c>
      <c r="F6476" s="28">
        <v>46171.0</v>
      </c>
      <c r="G6476" s="29"/>
    </row>
    <row r="6477" ht="15.75" customHeight="1">
      <c r="A6477" s="30" t="s">
        <v>10141</v>
      </c>
      <c r="B6477" s="31" t="s">
        <v>636</v>
      </c>
      <c r="C6477" s="31" t="s">
        <v>1349</v>
      </c>
      <c r="D6477" s="30" t="s">
        <v>3663</v>
      </c>
      <c r="E6477" s="32">
        <v>46113.0</v>
      </c>
      <c r="F6477" s="32">
        <v>46171.0</v>
      </c>
      <c r="G6477" s="33"/>
    </row>
    <row r="6478" ht="15.75" customHeight="1">
      <c r="A6478" s="26" t="s">
        <v>10142</v>
      </c>
      <c r="B6478" s="27" t="s">
        <v>636</v>
      </c>
      <c r="C6478" s="27" t="s">
        <v>968</v>
      </c>
      <c r="D6478" s="26" t="s">
        <v>3663</v>
      </c>
      <c r="E6478" s="28">
        <v>46113.0</v>
      </c>
      <c r="F6478" s="28">
        <v>46171.0</v>
      </c>
      <c r="G6478" s="29"/>
    </row>
    <row r="6479" ht="15.75" customHeight="1">
      <c r="A6479" s="30" t="s">
        <v>10143</v>
      </c>
      <c r="B6479" s="31" t="s">
        <v>636</v>
      </c>
      <c r="C6479" s="31" t="s">
        <v>923</v>
      </c>
      <c r="D6479" s="30" t="s">
        <v>3663</v>
      </c>
      <c r="E6479" s="32">
        <v>46113.0</v>
      </c>
      <c r="F6479" s="32">
        <v>46171.0</v>
      </c>
      <c r="G6479" s="33"/>
    </row>
    <row r="6480" ht="15.75" customHeight="1">
      <c r="A6480" s="26" t="s">
        <v>10144</v>
      </c>
      <c r="B6480" s="27" t="s">
        <v>637</v>
      </c>
      <c r="C6480" s="27" t="s">
        <v>1240</v>
      </c>
      <c r="D6480" s="26" t="s">
        <v>3663</v>
      </c>
      <c r="E6480" s="28">
        <v>46113.0</v>
      </c>
      <c r="F6480" s="28">
        <v>46171.0</v>
      </c>
      <c r="G6480" s="29"/>
    </row>
    <row r="6481" ht="15.75" customHeight="1">
      <c r="A6481" s="30" t="s">
        <v>10145</v>
      </c>
      <c r="B6481" s="31" t="s">
        <v>637</v>
      </c>
      <c r="C6481" s="31" t="s">
        <v>1242</v>
      </c>
      <c r="D6481" s="30" t="s">
        <v>3663</v>
      </c>
      <c r="E6481" s="32">
        <v>46113.0</v>
      </c>
      <c r="F6481" s="32">
        <v>46171.0</v>
      </c>
      <c r="G6481" s="33"/>
    </row>
    <row r="6482" ht="15.75" customHeight="1">
      <c r="A6482" s="26" t="s">
        <v>10146</v>
      </c>
      <c r="B6482" s="27" t="s">
        <v>637</v>
      </c>
      <c r="C6482" s="27" t="s">
        <v>1244</v>
      </c>
      <c r="D6482" s="26" t="s">
        <v>3663</v>
      </c>
      <c r="E6482" s="28">
        <v>46113.0</v>
      </c>
      <c r="F6482" s="28">
        <v>46171.0</v>
      </c>
      <c r="G6482" s="29"/>
    </row>
    <row r="6483" ht="15.75" customHeight="1">
      <c r="A6483" s="30" t="s">
        <v>10147</v>
      </c>
      <c r="B6483" s="31" t="s">
        <v>637</v>
      </c>
      <c r="C6483" s="31" t="s">
        <v>1246</v>
      </c>
      <c r="D6483" s="30" t="s">
        <v>3663</v>
      </c>
      <c r="E6483" s="32">
        <v>46113.0</v>
      </c>
      <c r="F6483" s="32">
        <v>46171.0</v>
      </c>
      <c r="G6483" s="33"/>
    </row>
    <row r="6484" ht="15.75" customHeight="1">
      <c r="A6484" s="26" t="s">
        <v>10148</v>
      </c>
      <c r="B6484" s="27" t="s">
        <v>637</v>
      </c>
      <c r="C6484" s="27" t="s">
        <v>3654</v>
      </c>
      <c r="D6484" s="26" t="s">
        <v>3663</v>
      </c>
      <c r="E6484" s="28">
        <v>46113.0</v>
      </c>
      <c r="F6484" s="28">
        <v>46171.0</v>
      </c>
      <c r="G6484" s="29"/>
    </row>
    <row r="6485" ht="15.75" customHeight="1">
      <c r="A6485" s="30" t="s">
        <v>10149</v>
      </c>
      <c r="B6485" s="31" t="s">
        <v>637</v>
      </c>
      <c r="C6485" s="31" t="s">
        <v>3655</v>
      </c>
      <c r="D6485" s="30" t="s">
        <v>3663</v>
      </c>
      <c r="E6485" s="32">
        <v>46113.0</v>
      </c>
      <c r="F6485" s="32">
        <v>46171.0</v>
      </c>
      <c r="G6485" s="33"/>
    </row>
    <row r="6486" ht="15.75" customHeight="1">
      <c r="A6486" s="26" t="s">
        <v>10150</v>
      </c>
      <c r="B6486" s="27" t="s">
        <v>637</v>
      </c>
      <c r="C6486" s="27" t="s">
        <v>928</v>
      </c>
      <c r="D6486" s="26" t="s">
        <v>3663</v>
      </c>
      <c r="E6486" s="28">
        <v>46113.0</v>
      </c>
      <c r="F6486" s="28">
        <v>46171.0</v>
      </c>
      <c r="G6486" s="29"/>
    </row>
    <row r="6487" ht="15.75" customHeight="1">
      <c r="A6487" s="30" t="s">
        <v>10151</v>
      </c>
      <c r="B6487" s="31" t="s">
        <v>637</v>
      </c>
      <c r="C6487" s="31" t="s">
        <v>1354</v>
      </c>
      <c r="D6487" s="30" t="s">
        <v>3663</v>
      </c>
      <c r="E6487" s="32">
        <v>46113.0</v>
      </c>
      <c r="F6487" s="32">
        <v>46171.0</v>
      </c>
      <c r="G6487" s="33"/>
    </row>
    <row r="6488" ht="15.75" customHeight="1">
      <c r="A6488" s="26" t="s">
        <v>10152</v>
      </c>
      <c r="B6488" s="27" t="s">
        <v>637</v>
      </c>
      <c r="C6488" s="27" t="s">
        <v>3647</v>
      </c>
      <c r="D6488" s="26" t="s">
        <v>3663</v>
      </c>
      <c r="E6488" s="28">
        <v>46113.0</v>
      </c>
      <c r="F6488" s="28">
        <v>46171.0</v>
      </c>
      <c r="G6488" s="29"/>
    </row>
    <row r="6489" ht="15.75" customHeight="1">
      <c r="A6489" s="30" t="s">
        <v>10153</v>
      </c>
      <c r="B6489" s="31" t="s">
        <v>637</v>
      </c>
      <c r="C6489" s="31" t="s">
        <v>952</v>
      </c>
      <c r="D6489" s="30" t="s">
        <v>3663</v>
      </c>
      <c r="E6489" s="32">
        <v>46113.0</v>
      </c>
      <c r="F6489" s="32">
        <v>46171.0</v>
      </c>
      <c r="G6489" s="33"/>
    </row>
    <row r="6490" ht="15.75" customHeight="1">
      <c r="A6490" s="26" t="s">
        <v>10154</v>
      </c>
      <c r="B6490" s="27" t="s">
        <v>637</v>
      </c>
      <c r="C6490" s="27" t="s">
        <v>1218</v>
      </c>
      <c r="D6490" s="26" t="s">
        <v>3663</v>
      </c>
      <c r="E6490" s="28">
        <v>46113.0</v>
      </c>
      <c r="F6490" s="28">
        <v>46171.0</v>
      </c>
      <c r="G6490" s="29"/>
    </row>
    <row r="6491" ht="15.75" customHeight="1">
      <c r="A6491" s="30" t="s">
        <v>10155</v>
      </c>
      <c r="B6491" s="31" t="s">
        <v>637</v>
      </c>
      <c r="C6491" s="31" t="s">
        <v>968</v>
      </c>
      <c r="D6491" s="30" t="s">
        <v>3663</v>
      </c>
      <c r="E6491" s="32">
        <v>46113.0</v>
      </c>
      <c r="F6491" s="32">
        <v>46171.0</v>
      </c>
      <c r="G6491" s="33"/>
    </row>
    <row r="6492" ht="15.75" customHeight="1">
      <c r="A6492" s="26" t="s">
        <v>10156</v>
      </c>
      <c r="B6492" s="27" t="s">
        <v>637</v>
      </c>
      <c r="C6492" s="27" t="s">
        <v>923</v>
      </c>
      <c r="D6492" s="26" t="s">
        <v>3663</v>
      </c>
      <c r="E6492" s="28">
        <v>46113.0</v>
      </c>
      <c r="F6492" s="28">
        <v>46171.0</v>
      </c>
      <c r="G6492" s="29"/>
    </row>
    <row r="6493" ht="15.75" customHeight="1">
      <c r="A6493" s="30" t="s">
        <v>10157</v>
      </c>
      <c r="B6493" s="31" t="s">
        <v>637</v>
      </c>
      <c r="C6493" s="31" t="s">
        <v>955</v>
      </c>
      <c r="D6493" s="30" t="s">
        <v>3663</v>
      </c>
      <c r="E6493" s="32">
        <v>46113.0</v>
      </c>
      <c r="F6493" s="32">
        <v>46171.0</v>
      </c>
      <c r="G6493" s="33"/>
    </row>
    <row r="6494" ht="15.75" customHeight="1">
      <c r="A6494" s="26" t="s">
        <v>10158</v>
      </c>
      <c r="B6494" s="27" t="s">
        <v>638</v>
      </c>
      <c r="C6494" s="27" t="s">
        <v>1240</v>
      </c>
      <c r="D6494" s="26" t="s">
        <v>3663</v>
      </c>
      <c r="E6494" s="28">
        <v>46113.0</v>
      </c>
      <c r="F6494" s="28">
        <v>46171.0</v>
      </c>
      <c r="G6494" s="29"/>
    </row>
    <row r="6495" ht="15.75" customHeight="1">
      <c r="A6495" s="30" t="s">
        <v>10159</v>
      </c>
      <c r="B6495" s="31" t="s">
        <v>638</v>
      </c>
      <c r="C6495" s="31" t="s">
        <v>1242</v>
      </c>
      <c r="D6495" s="30" t="s">
        <v>3663</v>
      </c>
      <c r="E6495" s="32">
        <v>46113.0</v>
      </c>
      <c r="F6495" s="32">
        <v>46171.0</v>
      </c>
      <c r="G6495" s="33"/>
    </row>
    <row r="6496" ht="15.75" customHeight="1">
      <c r="A6496" s="26" t="s">
        <v>10160</v>
      </c>
      <c r="B6496" s="27" t="s">
        <v>638</v>
      </c>
      <c r="C6496" s="27" t="s">
        <v>1244</v>
      </c>
      <c r="D6496" s="26" t="s">
        <v>3663</v>
      </c>
      <c r="E6496" s="28">
        <v>46113.0</v>
      </c>
      <c r="F6496" s="28">
        <v>46171.0</v>
      </c>
      <c r="G6496" s="29"/>
    </row>
    <row r="6497" ht="15.75" customHeight="1">
      <c r="A6497" s="30" t="s">
        <v>10161</v>
      </c>
      <c r="B6497" s="31" t="s">
        <v>638</v>
      </c>
      <c r="C6497" s="31" t="s">
        <v>1246</v>
      </c>
      <c r="D6497" s="30" t="s">
        <v>3663</v>
      </c>
      <c r="E6497" s="32">
        <v>46113.0</v>
      </c>
      <c r="F6497" s="32">
        <v>46171.0</v>
      </c>
      <c r="G6497" s="33"/>
    </row>
    <row r="6498" ht="15.75" customHeight="1">
      <c r="A6498" s="26" t="s">
        <v>10162</v>
      </c>
      <c r="B6498" s="27" t="s">
        <v>638</v>
      </c>
      <c r="C6498" s="27" t="s">
        <v>3654</v>
      </c>
      <c r="D6498" s="26" t="s">
        <v>3663</v>
      </c>
      <c r="E6498" s="28">
        <v>46113.0</v>
      </c>
      <c r="F6498" s="28">
        <v>46171.0</v>
      </c>
      <c r="G6498" s="29"/>
    </row>
    <row r="6499" ht="15.75" customHeight="1">
      <c r="A6499" s="30" t="s">
        <v>10163</v>
      </c>
      <c r="B6499" s="31" t="s">
        <v>638</v>
      </c>
      <c r="C6499" s="31" t="s">
        <v>3655</v>
      </c>
      <c r="D6499" s="30" t="s">
        <v>3663</v>
      </c>
      <c r="E6499" s="32">
        <v>46113.0</v>
      </c>
      <c r="F6499" s="32">
        <v>46171.0</v>
      </c>
      <c r="G6499" s="33"/>
    </row>
    <row r="6500" ht="15.75" customHeight="1">
      <c r="A6500" s="26" t="s">
        <v>10164</v>
      </c>
      <c r="B6500" s="27" t="s">
        <v>638</v>
      </c>
      <c r="C6500" s="27" t="s">
        <v>928</v>
      </c>
      <c r="D6500" s="26" t="s">
        <v>3663</v>
      </c>
      <c r="E6500" s="28">
        <v>46113.0</v>
      </c>
      <c r="F6500" s="28">
        <v>46171.0</v>
      </c>
      <c r="G6500" s="29"/>
    </row>
    <row r="6501" ht="15.75" customHeight="1">
      <c r="A6501" s="30" t="s">
        <v>10165</v>
      </c>
      <c r="B6501" s="31" t="s">
        <v>638</v>
      </c>
      <c r="C6501" s="31" t="s">
        <v>1354</v>
      </c>
      <c r="D6501" s="30" t="s">
        <v>3663</v>
      </c>
      <c r="E6501" s="32">
        <v>46113.0</v>
      </c>
      <c r="F6501" s="32">
        <v>46171.0</v>
      </c>
      <c r="G6501" s="33"/>
    </row>
    <row r="6502" ht="15.75" customHeight="1">
      <c r="A6502" s="26" t="s">
        <v>10166</v>
      </c>
      <c r="B6502" s="27" t="s">
        <v>638</v>
      </c>
      <c r="C6502" s="27" t="s">
        <v>1159</v>
      </c>
      <c r="D6502" s="26" t="s">
        <v>3663</v>
      </c>
      <c r="E6502" s="28">
        <v>46113.0</v>
      </c>
      <c r="F6502" s="28">
        <v>46171.0</v>
      </c>
      <c r="G6502" s="29"/>
    </row>
    <row r="6503" ht="15.75" customHeight="1">
      <c r="A6503" s="30" t="s">
        <v>10167</v>
      </c>
      <c r="B6503" s="31" t="s">
        <v>638</v>
      </c>
      <c r="C6503" s="31" t="s">
        <v>3647</v>
      </c>
      <c r="D6503" s="30" t="s">
        <v>3663</v>
      </c>
      <c r="E6503" s="32">
        <v>46113.0</v>
      </c>
      <c r="F6503" s="32">
        <v>46171.0</v>
      </c>
      <c r="G6503" s="33"/>
    </row>
    <row r="6504" ht="15.75" customHeight="1">
      <c r="A6504" s="26" t="s">
        <v>10168</v>
      </c>
      <c r="B6504" s="27" t="s">
        <v>638</v>
      </c>
      <c r="C6504" s="27" t="s">
        <v>952</v>
      </c>
      <c r="D6504" s="26" t="s">
        <v>3663</v>
      </c>
      <c r="E6504" s="28">
        <v>46113.0</v>
      </c>
      <c r="F6504" s="28">
        <v>46171.0</v>
      </c>
      <c r="G6504" s="29"/>
    </row>
    <row r="6505" ht="15.75" customHeight="1">
      <c r="A6505" s="30" t="s">
        <v>10169</v>
      </c>
      <c r="B6505" s="31" t="s">
        <v>638</v>
      </c>
      <c r="C6505" s="31" t="s">
        <v>1216</v>
      </c>
      <c r="D6505" s="30" t="s">
        <v>3663</v>
      </c>
      <c r="E6505" s="32">
        <v>46113.0</v>
      </c>
      <c r="F6505" s="32">
        <v>46171.0</v>
      </c>
      <c r="G6505" s="33"/>
    </row>
    <row r="6506" ht="15.75" customHeight="1">
      <c r="A6506" s="26" t="s">
        <v>10170</v>
      </c>
      <c r="B6506" s="27" t="s">
        <v>638</v>
      </c>
      <c r="C6506" s="27" t="s">
        <v>968</v>
      </c>
      <c r="D6506" s="26" t="s">
        <v>3663</v>
      </c>
      <c r="E6506" s="28">
        <v>46113.0</v>
      </c>
      <c r="F6506" s="28">
        <v>46171.0</v>
      </c>
      <c r="G6506" s="29"/>
    </row>
    <row r="6507" ht="15.75" customHeight="1">
      <c r="A6507" s="30" t="s">
        <v>10171</v>
      </c>
      <c r="B6507" s="31" t="s">
        <v>638</v>
      </c>
      <c r="C6507" s="31" t="s">
        <v>923</v>
      </c>
      <c r="D6507" s="30" t="s">
        <v>3663</v>
      </c>
      <c r="E6507" s="32">
        <v>46113.0</v>
      </c>
      <c r="F6507" s="32">
        <v>46171.0</v>
      </c>
      <c r="G6507" s="33"/>
    </row>
    <row r="6508" ht="15.75" customHeight="1">
      <c r="A6508" s="26" t="s">
        <v>10172</v>
      </c>
      <c r="B6508" s="27" t="s">
        <v>639</v>
      </c>
      <c r="C6508" s="27" t="s">
        <v>930</v>
      </c>
      <c r="D6508" s="26" t="s">
        <v>3663</v>
      </c>
      <c r="E6508" s="28">
        <v>46113.0</v>
      </c>
      <c r="F6508" s="28">
        <v>46171.0</v>
      </c>
      <c r="G6508" s="29"/>
    </row>
    <row r="6509" ht="15.75" customHeight="1">
      <c r="A6509" s="30" t="s">
        <v>10173</v>
      </c>
      <c r="B6509" s="31" t="s">
        <v>639</v>
      </c>
      <c r="C6509" s="31" t="s">
        <v>1354</v>
      </c>
      <c r="D6509" s="30" t="s">
        <v>3663</v>
      </c>
      <c r="E6509" s="32">
        <v>46113.0</v>
      </c>
      <c r="F6509" s="32">
        <v>46171.0</v>
      </c>
      <c r="G6509" s="33"/>
    </row>
    <row r="6510" ht="15.75" customHeight="1">
      <c r="A6510" s="26" t="s">
        <v>10174</v>
      </c>
      <c r="B6510" s="27" t="s">
        <v>639</v>
      </c>
      <c r="C6510" s="27" t="s">
        <v>1304</v>
      </c>
      <c r="D6510" s="26" t="s">
        <v>3663</v>
      </c>
      <c r="E6510" s="28">
        <v>46113.0</v>
      </c>
      <c r="F6510" s="28">
        <v>46171.0</v>
      </c>
      <c r="G6510" s="29"/>
    </row>
    <row r="6511" ht="15.75" customHeight="1">
      <c r="A6511" s="30" t="s">
        <v>10175</v>
      </c>
      <c r="B6511" s="31" t="s">
        <v>639</v>
      </c>
      <c r="C6511" s="31" t="s">
        <v>1306</v>
      </c>
      <c r="D6511" s="30" t="s">
        <v>3663</v>
      </c>
      <c r="E6511" s="32">
        <v>46113.0</v>
      </c>
      <c r="F6511" s="32">
        <v>46171.0</v>
      </c>
      <c r="G6511" s="33"/>
    </row>
    <row r="6512" ht="15.75" customHeight="1">
      <c r="A6512" s="26" t="s">
        <v>10176</v>
      </c>
      <c r="B6512" s="27" t="s">
        <v>639</v>
      </c>
      <c r="C6512" s="27" t="s">
        <v>1308</v>
      </c>
      <c r="D6512" s="26" t="s">
        <v>3663</v>
      </c>
      <c r="E6512" s="28">
        <v>46113.0</v>
      </c>
      <c r="F6512" s="28">
        <v>46171.0</v>
      </c>
      <c r="G6512" s="29"/>
    </row>
    <row r="6513" ht="15.75" customHeight="1">
      <c r="A6513" s="30" t="s">
        <v>10177</v>
      </c>
      <c r="B6513" s="31" t="s">
        <v>639</v>
      </c>
      <c r="C6513" s="31" t="s">
        <v>1310</v>
      </c>
      <c r="D6513" s="30" t="s">
        <v>3663</v>
      </c>
      <c r="E6513" s="32">
        <v>46113.0</v>
      </c>
      <c r="F6513" s="32">
        <v>46171.0</v>
      </c>
      <c r="G6513" s="33"/>
    </row>
    <row r="6514" ht="15.75" customHeight="1">
      <c r="A6514" s="26" t="s">
        <v>10178</v>
      </c>
      <c r="B6514" s="27" t="s">
        <v>639</v>
      </c>
      <c r="C6514" s="27" t="s">
        <v>1208</v>
      </c>
      <c r="D6514" s="26" t="s">
        <v>3663</v>
      </c>
      <c r="E6514" s="28">
        <v>46113.0</v>
      </c>
      <c r="F6514" s="28">
        <v>46171.0</v>
      </c>
      <c r="G6514" s="29"/>
    </row>
    <row r="6515" ht="15.75" customHeight="1">
      <c r="A6515" s="30" t="s">
        <v>10179</v>
      </c>
      <c r="B6515" s="31" t="s">
        <v>639</v>
      </c>
      <c r="C6515" s="31" t="s">
        <v>3656</v>
      </c>
      <c r="D6515" s="30" t="s">
        <v>3663</v>
      </c>
      <c r="E6515" s="32">
        <v>46113.0</v>
      </c>
      <c r="F6515" s="32">
        <v>46171.0</v>
      </c>
      <c r="G6515" s="33"/>
    </row>
    <row r="6516" ht="15.75" customHeight="1">
      <c r="A6516" s="26" t="s">
        <v>10180</v>
      </c>
      <c r="B6516" s="27" t="s">
        <v>639</v>
      </c>
      <c r="C6516" s="27" t="s">
        <v>3657</v>
      </c>
      <c r="D6516" s="26" t="s">
        <v>3663</v>
      </c>
      <c r="E6516" s="28">
        <v>46113.0</v>
      </c>
      <c r="F6516" s="28">
        <v>46171.0</v>
      </c>
      <c r="G6516" s="29"/>
    </row>
    <row r="6517" ht="15.75" customHeight="1">
      <c r="A6517" s="30" t="s">
        <v>10181</v>
      </c>
      <c r="B6517" s="31" t="s">
        <v>639</v>
      </c>
      <c r="C6517" s="31" t="s">
        <v>1218</v>
      </c>
      <c r="D6517" s="30" t="s">
        <v>3663</v>
      </c>
      <c r="E6517" s="32">
        <v>46113.0</v>
      </c>
      <c r="F6517" s="32">
        <v>46171.0</v>
      </c>
      <c r="G6517" s="33"/>
    </row>
    <row r="6518" ht="15.75" customHeight="1">
      <c r="A6518" s="26" t="s">
        <v>10182</v>
      </c>
      <c r="B6518" s="27" t="s">
        <v>639</v>
      </c>
      <c r="C6518" s="27" t="s">
        <v>1351</v>
      </c>
      <c r="D6518" s="26" t="s">
        <v>3663</v>
      </c>
      <c r="E6518" s="28">
        <v>46113.0</v>
      </c>
      <c r="F6518" s="28">
        <v>46171.0</v>
      </c>
      <c r="G6518" s="29"/>
    </row>
    <row r="6519" ht="15.75" customHeight="1">
      <c r="A6519" s="30" t="s">
        <v>10183</v>
      </c>
      <c r="B6519" s="31" t="s">
        <v>639</v>
      </c>
      <c r="C6519" s="31" t="s">
        <v>1349</v>
      </c>
      <c r="D6519" s="30" t="s">
        <v>3663</v>
      </c>
      <c r="E6519" s="32">
        <v>46113.0</v>
      </c>
      <c r="F6519" s="32">
        <v>46171.0</v>
      </c>
      <c r="G6519" s="33"/>
    </row>
    <row r="6520" ht="15.75" customHeight="1">
      <c r="A6520" s="26" t="s">
        <v>10184</v>
      </c>
      <c r="B6520" s="27" t="s">
        <v>639</v>
      </c>
      <c r="C6520" s="27" t="s">
        <v>965</v>
      </c>
      <c r="D6520" s="26" t="s">
        <v>3663</v>
      </c>
      <c r="E6520" s="28">
        <v>46113.0</v>
      </c>
      <c r="F6520" s="28">
        <v>46171.0</v>
      </c>
      <c r="G6520" s="29"/>
    </row>
    <row r="6521" ht="15.75" customHeight="1">
      <c r="A6521" s="30" t="s">
        <v>10185</v>
      </c>
      <c r="B6521" s="31" t="s">
        <v>639</v>
      </c>
      <c r="C6521" s="31" t="s">
        <v>923</v>
      </c>
      <c r="D6521" s="30" t="s">
        <v>3663</v>
      </c>
      <c r="E6521" s="32">
        <v>46113.0</v>
      </c>
      <c r="F6521" s="32">
        <v>46171.0</v>
      </c>
      <c r="G6521" s="33"/>
    </row>
    <row r="6522" ht="15.75" customHeight="1">
      <c r="A6522" s="26" t="s">
        <v>10186</v>
      </c>
      <c r="B6522" s="27" t="s">
        <v>640</v>
      </c>
      <c r="C6522" s="27" t="s">
        <v>932</v>
      </c>
      <c r="D6522" s="26" t="s">
        <v>3663</v>
      </c>
      <c r="E6522" s="28">
        <v>46113.0</v>
      </c>
      <c r="F6522" s="28">
        <v>46171.0</v>
      </c>
      <c r="G6522" s="29"/>
    </row>
    <row r="6523" ht="15.75" customHeight="1">
      <c r="A6523" s="30" t="s">
        <v>10187</v>
      </c>
      <c r="B6523" s="31" t="s">
        <v>640</v>
      </c>
      <c r="C6523" s="31" t="s">
        <v>1164</v>
      </c>
      <c r="D6523" s="30" t="s">
        <v>3663</v>
      </c>
      <c r="E6523" s="32">
        <v>46113.0</v>
      </c>
      <c r="F6523" s="32">
        <v>46171.0</v>
      </c>
      <c r="G6523" s="33"/>
    </row>
    <row r="6524" ht="15.75" customHeight="1">
      <c r="A6524" s="26" t="s">
        <v>10188</v>
      </c>
      <c r="B6524" s="27" t="s">
        <v>640</v>
      </c>
      <c r="C6524" s="27" t="s">
        <v>1166</v>
      </c>
      <c r="D6524" s="26" t="s">
        <v>3663</v>
      </c>
      <c r="E6524" s="28">
        <v>46113.0</v>
      </c>
      <c r="F6524" s="28">
        <v>46171.0</v>
      </c>
      <c r="G6524" s="29"/>
    </row>
    <row r="6525" ht="15.75" customHeight="1">
      <c r="A6525" s="30" t="s">
        <v>10189</v>
      </c>
      <c r="B6525" s="31" t="s">
        <v>640</v>
      </c>
      <c r="C6525" s="31" t="s">
        <v>1168</v>
      </c>
      <c r="D6525" s="30" t="s">
        <v>3663</v>
      </c>
      <c r="E6525" s="32">
        <v>46113.0</v>
      </c>
      <c r="F6525" s="32">
        <v>46171.0</v>
      </c>
      <c r="G6525" s="33"/>
    </row>
    <row r="6526" ht="15.75" customHeight="1">
      <c r="A6526" s="26" t="s">
        <v>10190</v>
      </c>
      <c r="B6526" s="27" t="s">
        <v>640</v>
      </c>
      <c r="C6526" s="27" t="s">
        <v>1170</v>
      </c>
      <c r="D6526" s="26" t="s">
        <v>3663</v>
      </c>
      <c r="E6526" s="28">
        <v>46113.0</v>
      </c>
      <c r="F6526" s="28">
        <v>46171.0</v>
      </c>
      <c r="G6526" s="29"/>
    </row>
    <row r="6527" ht="15.75" customHeight="1">
      <c r="A6527" s="30" t="s">
        <v>10191</v>
      </c>
      <c r="B6527" s="31" t="s">
        <v>640</v>
      </c>
      <c r="C6527" s="31" t="s">
        <v>1354</v>
      </c>
      <c r="D6527" s="30" t="s">
        <v>3663</v>
      </c>
      <c r="E6527" s="32">
        <v>46113.0</v>
      </c>
      <c r="F6527" s="32">
        <v>46171.0</v>
      </c>
      <c r="G6527" s="33"/>
    </row>
    <row r="6528" ht="15.75" customHeight="1">
      <c r="A6528" s="26" t="s">
        <v>10192</v>
      </c>
      <c r="B6528" s="27" t="s">
        <v>640</v>
      </c>
      <c r="C6528" s="27" t="s">
        <v>3656</v>
      </c>
      <c r="D6528" s="26" t="s">
        <v>3663</v>
      </c>
      <c r="E6528" s="28">
        <v>46113.0</v>
      </c>
      <c r="F6528" s="28">
        <v>46171.0</v>
      </c>
      <c r="G6528" s="29"/>
    </row>
    <row r="6529" ht="15.75" customHeight="1">
      <c r="A6529" s="30" t="s">
        <v>10193</v>
      </c>
      <c r="B6529" s="31" t="s">
        <v>640</v>
      </c>
      <c r="C6529" s="31" t="s">
        <v>3657</v>
      </c>
      <c r="D6529" s="30" t="s">
        <v>3663</v>
      </c>
      <c r="E6529" s="32">
        <v>46113.0</v>
      </c>
      <c r="F6529" s="32">
        <v>46171.0</v>
      </c>
      <c r="G6529" s="33"/>
    </row>
    <row r="6530" ht="15.75" customHeight="1">
      <c r="A6530" s="26" t="s">
        <v>10194</v>
      </c>
      <c r="B6530" s="27" t="s">
        <v>640</v>
      </c>
      <c r="C6530" s="27" t="s">
        <v>1216</v>
      </c>
      <c r="D6530" s="26" t="s">
        <v>3663</v>
      </c>
      <c r="E6530" s="28">
        <v>46113.0</v>
      </c>
      <c r="F6530" s="28">
        <v>46171.0</v>
      </c>
      <c r="G6530" s="29"/>
    </row>
    <row r="6531" ht="15.75" customHeight="1">
      <c r="A6531" s="30" t="s">
        <v>10195</v>
      </c>
      <c r="B6531" s="31" t="s">
        <v>640</v>
      </c>
      <c r="C6531" s="31" t="s">
        <v>1351</v>
      </c>
      <c r="D6531" s="30" t="s">
        <v>3663</v>
      </c>
      <c r="E6531" s="32">
        <v>46113.0</v>
      </c>
      <c r="F6531" s="32">
        <v>46171.0</v>
      </c>
      <c r="G6531" s="33"/>
    </row>
    <row r="6532" ht="15.75" customHeight="1">
      <c r="A6532" s="26" t="s">
        <v>10196</v>
      </c>
      <c r="B6532" s="27" t="s">
        <v>640</v>
      </c>
      <c r="C6532" s="27" t="s">
        <v>1349</v>
      </c>
      <c r="D6532" s="26" t="s">
        <v>3663</v>
      </c>
      <c r="E6532" s="28">
        <v>46113.0</v>
      </c>
      <c r="F6532" s="28">
        <v>46171.0</v>
      </c>
      <c r="G6532" s="29"/>
    </row>
    <row r="6533" ht="15.75" customHeight="1">
      <c r="A6533" s="30" t="s">
        <v>10197</v>
      </c>
      <c r="B6533" s="31" t="s">
        <v>640</v>
      </c>
      <c r="C6533" s="31" t="s">
        <v>965</v>
      </c>
      <c r="D6533" s="30" t="s">
        <v>3663</v>
      </c>
      <c r="E6533" s="32">
        <v>46113.0</v>
      </c>
      <c r="F6533" s="32">
        <v>46171.0</v>
      </c>
      <c r="G6533" s="33"/>
    </row>
    <row r="6534" ht="15.75" customHeight="1">
      <c r="A6534" s="26" t="s">
        <v>10198</v>
      </c>
      <c r="B6534" s="27" t="s">
        <v>640</v>
      </c>
      <c r="C6534" s="27" t="s">
        <v>923</v>
      </c>
      <c r="D6534" s="26" t="s">
        <v>3663</v>
      </c>
      <c r="E6534" s="28">
        <v>46113.0</v>
      </c>
      <c r="F6534" s="28">
        <v>46171.0</v>
      </c>
      <c r="G6534" s="29"/>
    </row>
    <row r="6535" ht="15.75" customHeight="1">
      <c r="A6535" s="30" t="s">
        <v>10199</v>
      </c>
      <c r="B6535" s="31" t="s">
        <v>640</v>
      </c>
      <c r="C6535" s="31" t="s">
        <v>961</v>
      </c>
      <c r="D6535" s="30" t="s">
        <v>3663</v>
      </c>
      <c r="E6535" s="32">
        <v>46113.0</v>
      </c>
      <c r="F6535" s="32">
        <v>46171.0</v>
      </c>
      <c r="G6535" s="33"/>
    </row>
    <row r="6536" ht="15.75" customHeight="1">
      <c r="A6536" s="26" t="s">
        <v>10200</v>
      </c>
      <c r="B6536" s="27" t="s">
        <v>641</v>
      </c>
      <c r="C6536" s="27" t="s">
        <v>1240</v>
      </c>
      <c r="D6536" s="26" t="s">
        <v>3663</v>
      </c>
      <c r="E6536" s="28">
        <v>46113.0</v>
      </c>
      <c r="F6536" s="28">
        <v>46171.0</v>
      </c>
      <c r="G6536" s="29"/>
    </row>
    <row r="6537" ht="15.75" customHeight="1">
      <c r="A6537" s="30" t="s">
        <v>10201</v>
      </c>
      <c r="B6537" s="31" t="s">
        <v>641</v>
      </c>
      <c r="C6537" s="31" t="s">
        <v>1242</v>
      </c>
      <c r="D6537" s="30" t="s">
        <v>3663</v>
      </c>
      <c r="E6537" s="32">
        <v>46113.0</v>
      </c>
      <c r="F6537" s="32">
        <v>46171.0</v>
      </c>
      <c r="G6537" s="33"/>
    </row>
    <row r="6538" ht="15.75" customHeight="1">
      <c r="A6538" s="26" t="s">
        <v>10202</v>
      </c>
      <c r="B6538" s="27" t="s">
        <v>641</v>
      </c>
      <c r="C6538" s="27" t="s">
        <v>1244</v>
      </c>
      <c r="D6538" s="26" t="s">
        <v>3663</v>
      </c>
      <c r="E6538" s="28">
        <v>46113.0</v>
      </c>
      <c r="F6538" s="28">
        <v>46171.0</v>
      </c>
      <c r="G6538" s="29"/>
    </row>
    <row r="6539" ht="15.75" customHeight="1">
      <c r="A6539" s="30" t="s">
        <v>10203</v>
      </c>
      <c r="B6539" s="31" t="s">
        <v>641</v>
      </c>
      <c r="C6539" s="31" t="s">
        <v>1246</v>
      </c>
      <c r="D6539" s="30" t="s">
        <v>3663</v>
      </c>
      <c r="E6539" s="32">
        <v>46113.0</v>
      </c>
      <c r="F6539" s="32">
        <v>46171.0</v>
      </c>
      <c r="G6539" s="33"/>
    </row>
    <row r="6540" ht="15.75" customHeight="1">
      <c r="A6540" s="26" t="s">
        <v>10204</v>
      </c>
      <c r="B6540" s="27" t="s">
        <v>641</v>
      </c>
      <c r="C6540" s="27" t="s">
        <v>934</v>
      </c>
      <c r="D6540" s="26" t="s">
        <v>3663</v>
      </c>
      <c r="E6540" s="28">
        <v>46113.0</v>
      </c>
      <c r="F6540" s="28">
        <v>46171.0</v>
      </c>
      <c r="G6540" s="29"/>
    </row>
    <row r="6541" ht="15.75" customHeight="1">
      <c r="A6541" s="30" t="s">
        <v>10205</v>
      </c>
      <c r="B6541" s="31" t="s">
        <v>641</v>
      </c>
      <c r="C6541" s="31" t="s">
        <v>1354</v>
      </c>
      <c r="D6541" s="30" t="s">
        <v>3663</v>
      </c>
      <c r="E6541" s="32">
        <v>46113.0</v>
      </c>
      <c r="F6541" s="32">
        <v>46171.0</v>
      </c>
      <c r="G6541" s="33"/>
    </row>
    <row r="6542" ht="15.75" customHeight="1">
      <c r="A6542" s="26" t="s">
        <v>10206</v>
      </c>
      <c r="B6542" s="27" t="s">
        <v>641</v>
      </c>
      <c r="C6542" s="27" t="s">
        <v>3656</v>
      </c>
      <c r="D6542" s="26" t="s">
        <v>3663</v>
      </c>
      <c r="E6542" s="28">
        <v>46113.0</v>
      </c>
      <c r="F6542" s="28">
        <v>46171.0</v>
      </c>
      <c r="G6542" s="29"/>
    </row>
    <row r="6543" ht="15.75" customHeight="1">
      <c r="A6543" s="30" t="s">
        <v>10207</v>
      </c>
      <c r="B6543" s="31" t="s">
        <v>641</v>
      </c>
      <c r="C6543" s="31" t="s">
        <v>3657</v>
      </c>
      <c r="D6543" s="30" t="s">
        <v>3663</v>
      </c>
      <c r="E6543" s="32">
        <v>46113.0</v>
      </c>
      <c r="F6543" s="32">
        <v>46171.0</v>
      </c>
      <c r="G6543" s="33"/>
    </row>
    <row r="6544" ht="15.75" customHeight="1">
      <c r="A6544" s="26" t="s">
        <v>10208</v>
      </c>
      <c r="B6544" s="27" t="s">
        <v>641</v>
      </c>
      <c r="C6544" s="27" t="s">
        <v>1218</v>
      </c>
      <c r="D6544" s="26" t="s">
        <v>3663</v>
      </c>
      <c r="E6544" s="28">
        <v>46113.0</v>
      </c>
      <c r="F6544" s="28">
        <v>46171.0</v>
      </c>
      <c r="G6544" s="29"/>
    </row>
    <row r="6545" ht="15.75" customHeight="1">
      <c r="A6545" s="30" t="s">
        <v>10209</v>
      </c>
      <c r="B6545" s="31" t="s">
        <v>641</v>
      </c>
      <c r="C6545" s="31" t="s">
        <v>1271</v>
      </c>
      <c r="D6545" s="30" t="s">
        <v>3663</v>
      </c>
      <c r="E6545" s="32">
        <v>46113.0</v>
      </c>
      <c r="F6545" s="32">
        <v>46171.0</v>
      </c>
      <c r="G6545" s="33"/>
    </row>
    <row r="6546" ht="15.75" customHeight="1">
      <c r="A6546" s="26" t="s">
        <v>10210</v>
      </c>
      <c r="B6546" s="27" t="s">
        <v>641</v>
      </c>
      <c r="C6546" s="27" t="s">
        <v>1351</v>
      </c>
      <c r="D6546" s="26" t="s">
        <v>3663</v>
      </c>
      <c r="E6546" s="28">
        <v>46113.0</v>
      </c>
      <c r="F6546" s="28">
        <v>46171.0</v>
      </c>
      <c r="G6546" s="29"/>
    </row>
    <row r="6547" ht="15.75" customHeight="1">
      <c r="A6547" s="30" t="s">
        <v>10211</v>
      </c>
      <c r="B6547" s="31" t="s">
        <v>641</v>
      </c>
      <c r="C6547" s="31" t="s">
        <v>1349</v>
      </c>
      <c r="D6547" s="30" t="s">
        <v>3663</v>
      </c>
      <c r="E6547" s="32">
        <v>46113.0</v>
      </c>
      <c r="F6547" s="32">
        <v>46171.0</v>
      </c>
      <c r="G6547" s="33"/>
    </row>
    <row r="6548" ht="15.75" customHeight="1">
      <c r="A6548" s="26" t="s">
        <v>10212</v>
      </c>
      <c r="B6548" s="27" t="s">
        <v>641</v>
      </c>
      <c r="C6548" s="27" t="s">
        <v>968</v>
      </c>
      <c r="D6548" s="26" t="s">
        <v>3663</v>
      </c>
      <c r="E6548" s="28">
        <v>46113.0</v>
      </c>
      <c r="F6548" s="28">
        <v>46171.0</v>
      </c>
      <c r="G6548" s="29"/>
    </row>
    <row r="6549" ht="15.75" customHeight="1">
      <c r="A6549" s="30" t="s">
        <v>10213</v>
      </c>
      <c r="B6549" s="31" t="s">
        <v>641</v>
      </c>
      <c r="C6549" s="31" t="s">
        <v>923</v>
      </c>
      <c r="D6549" s="30" t="s">
        <v>3663</v>
      </c>
      <c r="E6549" s="32">
        <v>46113.0</v>
      </c>
      <c r="F6549" s="32">
        <v>46171.0</v>
      </c>
      <c r="G6549" s="33"/>
    </row>
    <row r="6550" ht="15.75" customHeight="1">
      <c r="A6550" s="26" t="s">
        <v>10214</v>
      </c>
      <c r="B6550" s="27" t="s">
        <v>642</v>
      </c>
      <c r="C6550" s="27" t="s">
        <v>3654</v>
      </c>
      <c r="D6550" s="26" t="s">
        <v>3663</v>
      </c>
      <c r="E6550" s="28">
        <v>46113.0</v>
      </c>
      <c r="F6550" s="28">
        <v>46171.0</v>
      </c>
      <c r="G6550" s="29"/>
    </row>
    <row r="6551" ht="15.75" customHeight="1">
      <c r="A6551" s="30" t="s">
        <v>10215</v>
      </c>
      <c r="B6551" s="31" t="s">
        <v>642</v>
      </c>
      <c r="C6551" s="31" t="s">
        <v>3655</v>
      </c>
      <c r="D6551" s="30" t="s">
        <v>3663</v>
      </c>
      <c r="E6551" s="32">
        <v>46113.0</v>
      </c>
      <c r="F6551" s="32">
        <v>46171.0</v>
      </c>
      <c r="G6551" s="33"/>
    </row>
    <row r="6552" ht="15.75" customHeight="1">
      <c r="A6552" s="26" t="s">
        <v>10216</v>
      </c>
      <c r="B6552" s="27" t="s">
        <v>642</v>
      </c>
      <c r="C6552" s="27" t="s">
        <v>934</v>
      </c>
      <c r="D6552" s="26" t="s">
        <v>3663</v>
      </c>
      <c r="E6552" s="28">
        <v>46113.0</v>
      </c>
      <c r="F6552" s="28">
        <v>46171.0</v>
      </c>
      <c r="G6552" s="29"/>
    </row>
    <row r="6553" ht="15.75" customHeight="1">
      <c r="A6553" s="30" t="s">
        <v>10217</v>
      </c>
      <c r="B6553" s="31" t="s">
        <v>642</v>
      </c>
      <c r="C6553" s="31" t="s">
        <v>1354</v>
      </c>
      <c r="D6553" s="30" t="s">
        <v>3663</v>
      </c>
      <c r="E6553" s="32">
        <v>46113.0</v>
      </c>
      <c r="F6553" s="32">
        <v>46171.0</v>
      </c>
      <c r="G6553" s="33"/>
    </row>
    <row r="6554" ht="15.75" customHeight="1">
      <c r="A6554" s="26" t="s">
        <v>10218</v>
      </c>
      <c r="B6554" s="27" t="s">
        <v>642</v>
      </c>
      <c r="C6554" s="27" t="s">
        <v>1208</v>
      </c>
      <c r="D6554" s="26" t="s">
        <v>3663</v>
      </c>
      <c r="E6554" s="28">
        <v>46113.0</v>
      </c>
      <c r="F6554" s="28">
        <v>46171.0</v>
      </c>
      <c r="G6554" s="29"/>
    </row>
    <row r="6555" ht="15.75" customHeight="1">
      <c r="A6555" s="30" t="s">
        <v>10219</v>
      </c>
      <c r="B6555" s="31" t="s">
        <v>642</v>
      </c>
      <c r="C6555" s="31" t="s">
        <v>1159</v>
      </c>
      <c r="D6555" s="30" t="s">
        <v>3663</v>
      </c>
      <c r="E6555" s="32">
        <v>46113.0</v>
      </c>
      <c r="F6555" s="32">
        <v>46171.0</v>
      </c>
      <c r="G6555" s="33"/>
    </row>
    <row r="6556" ht="15.75" customHeight="1">
      <c r="A6556" s="26" t="s">
        <v>10220</v>
      </c>
      <c r="B6556" s="27" t="s">
        <v>642</v>
      </c>
      <c r="C6556" s="27" t="s">
        <v>1157</v>
      </c>
      <c r="D6556" s="26" t="s">
        <v>3663</v>
      </c>
      <c r="E6556" s="28">
        <v>46113.0</v>
      </c>
      <c r="F6556" s="28">
        <v>46171.0</v>
      </c>
      <c r="G6556" s="29"/>
    </row>
    <row r="6557" ht="15.75" customHeight="1">
      <c r="A6557" s="30" t="s">
        <v>10221</v>
      </c>
      <c r="B6557" s="31" t="s">
        <v>642</v>
      </c>
      <c r="C6557" s="31" t="s">
        <v>1155</v>
      </c>
      <c r="D6557" s="30" t="s">
        <v>3663</v>
      </c>
      <c r="E6557" s="32">
        <v>46113.0</v>
      </c>
      <c r="F6557" s="32">
        <v>46171.0</v>
      </c>
      <c r="G6557" s="33"/>
    </row>
    <row r="6558" ht="15.75" customHeight="1">
      <c r="A6558" s="26" t="s">
        <v>10222</v>
      </c>
      <c r="B6558" s="27" t="s">
        <v>642</v>
      </c>
      <c r="C6558" s="27" t="s">
        <v>1153</v>
      </c>
      <c r="D6558" s="26" t="s">
        <v>3663</v>
      </c>
      <c r="E6558" s="28">
        <v>46113.0</v>
      </c>
      <c r="F6558" s="28">
        <v>46171.0</v>
      </c>
      <c r="G6558" s="29"/>
    </row>
    <row r="6559" ht="15.75" customHeight="1">
      <c r="A6559" s="30" t="s">
        <v>10223</v>
      </c>
      <c r="B6559" s="31" t="s">
        <v>642</v>
      </c>
      <c r="C6559" s="31" t="s">
        <v>1149</v>
      </c>
      <c r="D6559" s="30" t="s">
        <v>3663</v>
      </c>
      <c r="E6559" s="32">
        <v>46113.0</v>
      </c>
      <c r="F6559" s="32">
        <v>46171.0</v>
      </c>
      <c r="G6559" s="33"/>
    </row>
    <row r="6560" ht="15.75" customHeight="1">
      <c r="A6560" s="26" t="s">
        <v>10224</v>
      </c>
      <c r="B6560" s="27" t="s">
        <v>642</v>
      </c>
      <c r="C6560" s="27" t="s">
        <v>1351</v>
      </c>
      <c r="D6560" s="26" t="s">
        <v>3663</v>
      </c>
      <c r="E6560" s="28">
        <v>46113.0</v>
      </c>
      <c r="F6560" s="28">
        <v>46171.0</v>
      </c>
      <c r="G6560" s="29"/>
    </row>
    <row r="6561" ht="15.75" customHeight="1">
      <c r="A6561" s="30" t="s">
        <v>10225</v>
      </c>
      <c r="B6561" s="31" t="s">
        <v>642</v>
      </c>
      <c r="C6561" s="31" t="s">
        <v>1349</v>
      </c>
      <c r="D6561" s="30" t="s">
        <v>3663</v>
      </c>
      <c r="E6561" s="32">
        <v>46113.0</v>
      </c>
      <c r="F6561" s="32">
        <v>46171.0</v>
      </c>
      <c r="G6561" s="33"/>
    </row>
    <row r="6562" ht="15.75" customHeight="1">
      <c r="A6562" s="26" t="s">
        <v>10226</v>
      </c>
      <c r="B6562" s="27" t="s">
        <v>642</v>
      </c>
      <c r="C6562" s="27" t="s">
        <v>968</v>
      </c>
      <c r="D6562" s="26" t="s">
        <v>3663</v>
      </c>
      <c r="E6562" s="28">
        <v>46113.0</v>
      </c>
      <c r="F6562" s="28">
        <v>46171.0</v>
      </c>
      <c r="G6562" s="29"/>
    </row>
    <row r="6563" ht="15.75" customHeight="1">
      <c r="A6563" s="30" t="s">
        <v>10227</v>
      </c>
      <c r="B6563" s="31" t="s">
        <v>642</v>
      </c>
      <c r="C6563" s="31" t="s">
        <v>923</v>
      </c>
      <c r="D6563" s="30" t="s">
        <v>3663</v>
      </c>
      <c r="E6563" s="32">
        <v>46113.0</v>
      </c>
      <c r="F6563" s="32">
        <v>46171.0</v>
      </c>
      <c r="G6563" s="33"/>
    </row>
    <row r="6564" ht="15.75" customHeight="1">
      <c r="A6564" s="26" t="s">
        <v>10228</v>
      </c>
      <c r="B6564" s="27" t="s">
        <v>643</v>
      </c>
      <c r="C6564" s="27" t="s">
        <v>928</v>
      </c>
      <c r="D6564" s="26" t="s">
        <v>3663</v>
      </c>
      <c r="E6564" s="28">
        <v>46113.0</v>
      </c>
      <c r="F6564" s="28">
        <v>46171.0</v>
      </c>
      <c r="G6564" s="29"/>
    </row>
    <row r="6565" ht="15.75" customHeight="1">
      <c r="A6565" s="30" t="s">
        <v>10229</v>
      </c>
      <c r="B6565" s="31" t="s">
        <v>643</v>
      </c>
      <c r="C6565" s="31" t="s">
        <v>1354</v>
      </c>
      <c r="D6565" s="30" t="s">
        <v>3663</v>
      </c>
      <c r="E6565" s="32">
        <v>46113.0</v>
      </c>
      <c r="F6565" s="32">
        <v>46171.0</v>
      </c>
      <c r="G6565" s="33"/>
    </row>
    <row r="6566" ht="15.75" customHeight="1">
      <c r="A6566" s="26" t="s">
        <v>10230</v>
      </c>
      <c r="B6566" s="27" t="s">
        <v>643</v>
      </c>
      <c r="C6566" s="27" t="s">
        <v>1222</v>
      </c>
      <c r="D6566" s="26" t="s">
        <v>3663</v>
      </c>
      <c r="E6566" s="28">
        <v>46113.0</v>
      </c>
      <c r="F6566" s="28">
        <v>46171.0</v>
      </c>
      <c r="G6566" s="29"/>
    </row>
    <row r="6567" ht="15.75" customHeight="1">
      <c r="A6567" s="30" t="s">
        <v>10231</v>
      </c>
      <c r="B6567" s="31" t="s">
        <v>643</v>
      </c>
      <c r="C6567" s="31" t="s">
        <v>1224</v>
      </c>
      <c r="D6567" s="30" t="s">
        <v>3663</v>
      </c>
      <c r="E6567" s="32">
        <v>46113.0</v>
      </c>
      <c r="F6567" s="32">
        <v>46171.0</v>
      </c>
      <c r="G6567" s="33"/>
    </row>
    <row r="6568" ht="15.75" customHeight="1">
      <c r="A6568" s="26" t="s">
        <v>10232</v>
      </c>
      <c r="B6568" s="27" t="s">
        <v>643</v>
      </c>
      <c r="C6568" s="27" t="s">
        <v>1226</v>
      </c>
      <c r="D6568" s="26" t="s">
        <v>3663</v>
      </c>
      <c r="E6568" s="28">
        <v>46113.0</v>
      </c>
      <c r="F6568" s="28">
        <v>46171.0</v>
      </c>
      <c r="G6568" s="29"/>
    </row>
    <row r="6569" ht="15.75" customHeight="1">
      <c r="A6569" s="30" t="s">
        <v>10233</v>
      </c>
      <c r="B6569" s="31" t="s">
        <v>643</v>
      </c>
      <c r="C6569" s="31" t="s">
        <v>1228</v>
      </c>
      <c r="D6569" s="30" t="s">
        <v>3663</v>
      </c>
      <c r="E6569" s="32">
        <v>46113.0</v>
      </c>
      <c r="F6569" s="32">
        <v>46171.0</v>
      </c>
      <c r="G6569" s="33"/>
    </row>
    <row r="6570" ht="15.75" customHeight="1">
      <c r="A6570" s="26" t="s">
        <v>10234</v>
      </c>
      <c r="B6570" s="27" t="s">
        <v>643</v>
      </c>
      <c r="C6570" s="27" t="s">
        <v>1218</v>
      </c>
      <c r="D6570" s="26" t="s">
        <v>3663</v>
      </c>
      <c r="E6570" s="28">
        <v>46113.0</v>
      </c>
      <c r="F6570" s="28">
        <v>46171.0</v>
      </c>
      <c r="G6570" s="29"/>
    </row>
    <row r="6571" ht="15.75" customHeight="1">
      <c r="A6571" s="30" t="s">
        <v>10235</v>
      </c>
      <c r="B6571" s="31" t="s">
        <v>643</v>
      </c>
      <c r="C6571" s="31" t="s">
        <v>1271</v>
      </c>
      <c r="D6571" s="30" t="s">
        <v>3663</v>
      </c>
      <c r="E6571" s="32">
        <v>46113.0</v>
      </c>
      <c r="F6571" s="32">
        <v>46171.0</v>
      </c>
      <c r="G6571" s="33"/>
    </row>
    <row r="6572" ht="15.75" customHeight="1">
      <c r="A6572" s="26" t="s">
        <v>10236</v>
      </c>
      <c r="B6572" s="27" t="s">
        <v>643</v>
      </c>
      <c r="C6572" s="27" t="s">
        <v>1351</v>
      </c>
      <c r="D6572" s="26" t="s">
        <v>3663</v>
      </c>
      <c r="E6572" s="28">
        <v>46113.0</v>
      </c>
      <c r="F6572" s="28">
        <v>46171.0</v>
      </c>
      <c r="G6572" s="29"/>
    </row>
    <row r="6573" ht="15.75" customHeight="1">
      <c r="A6573" s="30" t="s">
        <v>10237</v>
      </c>
      <c r="B6573" s="31" t="s">
        <v>643</v>
      </c>
      <c r="C6573" s="31" t="s">
        <v>1349</v>
      </c>
      <c r="D6573" s="30" t="s">
        <v>3663</v>
      </c>
      <c r="E6573" s="32">
        <v>46113.0</v>
      </c>
      <c r="F6573" s="32">
        <v>46171.0</v>
      </c>
      <c r="G6573" s="33"/>
    </row>
    <row r="6574" ht="15.75" customHeight="1">
      <c r="A6574" s="26" t="s">
        <v>10238</v>
      </c>
      <c r="B6574" s="27" t="s">
        <v>643</v>
      </c>
      <c r="C6574" s="27" t="s">
        <v>3653</v>
      </c>
      <c r="D6574" s="27" t="s">
        <v>3663</v>
      </c>
      <c r="E6574" s="28">
        <v>46113.0</v>
      </c>
      <c r="F6574" s="28">
        <v>46171.0</v>
      </c>
      <c r="G6574" s="29"/>
    </row>
    <row r="6575" ht="15.75" customHeight="1">
      <c r="A6575" s="30" t="s">
        <v>10239</v>
      </c>
      <c r="B6575" s="31" t="s">
        <v>643</v>
      </c>
      <c r="C6575" s="31" t="s">
        <v>3652</v>
      </c>
      <c r="D6575" s="30" t="s">
        <v>3663</v>
      </c>
      <c r="E6575" s="32">
        <v>46113.0</v>
      </c>
      <c r="F6575" s="32">
        <v>46171.0</v>
      </c>
      <c r="G6575" s="33"/>
    </row>
    <row r="6576" ht="15.75" customHeight="1">
      <c r="A6576" s="26" t="s">
        <v>10240</v>
      </c>
      <c r="B6576" s="27" t="s">
        <v>643</v>
      </c>
      <c r="C6576" s="27" t="s">
        <v>968</v>
      </c>
      <c r="D6576" s="26" t="s">
        <v>3663</v>
      </c>
      <c r="E6576" s="28">
        <v>46113.0</v>
      </c>
      <c r="F6576" s="28">
        <v>46171.0</v>
      </c>
      <c r="G6576" s="29"/>
    </row>
    <row r="6577" ht="15.75" customHeight="1">
      <c r="A6577" s="30" t="s">
        <v>10241</v>
      </c>
      <c r="B6577" s="31" t="s">
        <v>643</v>
      </c>
      <c r="C6577" s="31" t="s">
        <v>923</v>
      </c>
      <c r="D6577" s="30" t="s">
        <v>3663</v>
      </c>
      <c r="E6577" s="32">
        <v>46113.0</v>
      </c>
      <c r="F6577" s="32">
        <v>46171.0</v>
      </c>
      <c r="G6577" s="33"/>
    </row>
    <row r="6578" ht="15.75" customHeight="1">
      <c r="A6578" s="26" t="s">
        <v>10242</v>
      </c>
      <c r="B6578" s="27" t="s">
        <v>644</v>
      </c>
      <c r="C6578" s="27" t="s">
        <v>928</v>
      </c>
      <c r="D6578" s="26" t="s">
        <v>3663</v>
      </c>
      <c r="E6578" s="28">
        <v>46113.0</v>
      </c>
      <c r="F6578" s="28">
        <v>46171.0</v>
      </c>
      <c r="G6578" s="29"/>
    </row>
    <row r="6579" ht="15.75" customHeight="1">
      <c r="A6579" s="30" t="s">
        <v>10243</v>
      </c>
      <c r="B6579" s="31" t="s">
        <v>644</v>
      </c>
      <c r="C6579" s="31" t="s">
        <v>1354</v>
      </c>
      <c r="D6579" s="30" t="s">
        <v>3663</v>
      </c>
      <c r="E6579" s="32">
        <v>46113.0</v>
      </c>
      <c r="F6579" s="32">
        <v>46171.0</v>
      </c>
      <c r="G6579" s="33"/>
    </row>
    <row r="6580" ht="15.75" customHeight="1">
      <c r="A6580" s="26" t="s">
        <v>10244</v>
      </c>
      <c r="B6580" s="27" t="s">
        <v>644</v>
      </c>
      <c r="C6580" s="27" t="s">
        <v>1222</v>
      </c>
      <c r="D6580" s="26" t="s">
        <v>3663</v>
      </c>
      <c r="E6580" s="28">
        <v>46113.0</v>
      </c>
      <c r="F6580" s="28">
        <v>46171.0</v>
      </c>
      <c r="G6580" s="29"/>
    </row>
    <row r="6581" ht="15.75" customHeight="1">
      <c r="A6581" s="30" t="s">
        <v>10245</v>
      </c>
      <c r="B6581" s="31" t="s">
        <v>644</v>
      </c>
      <c r="C6581" s="31" t="s">
        <v>1224</v>
      </c>
      <c r="D6581" s="30" t="s">
        <v>3663</v>
      </c>
      <c r="E6581" s="32">
        <v>46113.0</v>
      </c>
      <c r="F6581" s="32">
        <v>46171.0</v>
      </c>
      <c r="G6581" s="33"/>
    </row>
    <row r="6582" ht="15.75" customHeight="1">
      <c r="A6582" s="26" t="s">
        <v>10246</v>
      </c>
      <c r="B6582" s="27" t="s">
        <v>644</v>
      </c>
      <c r="C6582" s="27" t="s">
        <v>1226</v>
      </c>
      <c r="D6582" s="26" t="s">
        <v>3663</v>
      </c>
      <c r="E6582" s="28">
        <v>46113.0</v>
      </c>
      <c r="F6582" s="28">
        <v>46171.0</v>
      </c>
      <c r="G6582" s="29"/>
    </row>
    <row r="6583" ht="15.75" customHeight="1">
      <c r="A6583" s="30" t="s">
        <v>10247</v>
      </c>
      <c r="B6583" s="31" t="s">
        <v>644</v>
      </c>
      <c r="C6583" s="31" t="s">
        <v>1228</v>
      </c>
      <c r="D6583" s="30" t="s">
        <v>3663</v>
      </c>
      <c r="E6583" s="32">
        <v>46113.0</v>
      </c>
      <c r="F6583" s="32">
        <v>46171.0</v>
      </c>
      <c r="G6583" s="33"/>
    </row>
    <row r="6584" ht="15.75" customHeight="1">
      <c r="A6584" s="26" t="s">
        <v>10248</v>
      </c>
      <c r="B6584" s="27" t="s">
        <v>644</v>
      </c>
      <c r="C6584" s="27" t="s">
        <v>1190</v>
      </c>
      <c r="D6584" s="26" t="s">
        <v>3663</v>
      </c>
      <c r="E6584" s="28">
        <v>46113.0</v>
      </c>
      <c r="F6584" s="28">
        <v>46171.0</v>
      </c>
      <c r="G6584" s="29"/>
    </row>
    <row r="6585" ht="15.75" customHeight="1">
      <c r="A6585" s="30" t="s">
        <v>10249</v>
      </c>
      <c r="B6585" s="31" t="s">
        <v>644</v>
      </c>
      <c r="C6585" s="31" t="s">
        <v>3656</v>
      </c>
      <c r="D6585" s="30" t="s">
        <v>3663</v>
      </c>
      <c r="E6585" s="32">
        <v>46113.0</v>
      </c>
      <c r="F6585" s="32">
        <v>46171.0</v>
      </c>
      <c r="G6585" s="33"/>
    </row>
    <row r="6586" ht="15.75" customHeight="1">
      <c r="A6586" s="26" t="s">
        <v>10250</v>
      </c>
      <c r="B6586" s="27" t="s">
        <v>644</v>
      </c>
      <c r="C6586" s="27" t="s">
        <v>3657</v>
      </c>
      <c r="D6586" s="26" t="s">
        <v>3663</v>
      </c>
      <c r="E6586" s="28">
        <v>46113.0</v>
      </c>
      <c r="F6586" s="28">
        <v>46171.0</v>
      </c>
      <c r="G6586" s="29"/>
    </row>
    <row r="6587" ht="15.75" customHeight="1">
      <c r="A6587" s="30" t="s">
        <v>10251</v>
      </c>
      <c r="B6587" s="31" t="s">
        <v>644</v>
      </c>
      <c r="C6587" s="31" t="s">
        <v>1216</v>
      </c>
      <c r="D6587" s="30" t="s">
        <v>3663</v>
      </c>
      <c r="E6587" s="32">
        <v>46113.0</v>
      </c>
      <c r="F6587" s="32">
        <v>46171.0</v>
      </c>
      <c r="G6587" s="33"/>
    </row>
    <row r="6588" ht="15.75" customHeight="1">
      <c r="A6588" s="26" t="s">
        <v>10252</v>
      </c>
      <c r="B6588" s="27" t="s">
        <v>644</v>
      </c>
      <c r="C6588" s="27" t="s">
        <v>1351</v>
      </c>
      <c r="D6588" s="26" t="s">
        <v>3663</v>
      </c>
      <c r="E6588" s="28">
        <v>46113.0</v>
      </c>
      <c r="F6588" s="28">
        <v>46171.0</v>
      </c>
      <c r="G6588" s="29"/>
    </row>
    <row r="6589" ht="15.75" customHeight="1">
      <c r="A6589" s="30" t="s">
        <v>10253</v>
      </c>
      <c r="B6589" s="31" t="s">
        <v>644</v>
      </c>
      <c r="C6589" s="31" t="s">
        <v>1349</v>
      </c>
      <c r="D6589" s="30" t="s">
        <v>3663</v>
      </c>
      <c r="E6589" s="32">
        <v>46113.0</v>
      </c>
      <c r="F6589" s="32">
        <v>46171.0</v>
      </c>
      <c r="G6589" s="33"/>
    </row>
    <row r="6590" ht="15.75" customHeight="1">
      <c r="A6590" s="26" t="s">
        <v>10254</v>
      </c>
      <c r="B6590" s="27" t="s">
        <v>644</v>
      </c>
      <c r="C6590" s="27" t="s">
        <v>968</v>
      </c>
      <c r="D6590" s="26" t="s">
        <v>3663</v>
      </c>
      <c r="E6590" s="28">
        <v>46113.0</v>
      </c>
      <c r="F6590" s="28">
        <v>46171.0</v>
      </c>
      <c r="G6590" s="29"/>
    </row>
    <row r="6591" ht="15.75" customHeight="1">
      <c r="A6591" s="30" t="s">
        <v>10255</v>
      </c>
      <c r="B6591" s="31" t="s">
        <v>644</v>
      </c>
      <c r="C6591" s="31" t="s">
        <v>923</v>
      </c>
      <c r="D6591" s="30" t="s">
        <v>3663</v>
      </c>
      <c r="E6591" s="32">
        <v>46113.0</v>
      </c>
      <c r="F6591" s="32">
        <v>46171.0</v>
      </c>
      <c r="G6591" s="33"/>
    </row>
    <row r="6592" ht="15.75" customHeight="1">
      <c r="A6592" s="26" t="s">
        <v>10256</v>
      </c>
      <c r="B6592" s="27" t="s">
        <v>645</v>
      </c>
      <c r="C6592" s="27" t="s">
        <v>1240</v>
      </c>
      <c r="D6592" s="26" t="s">
        <v>3663</v>
      </c>
      <c r="E6592" s="28">
        <v>46113.0</v>
      </c>
      <c r="F6592" s="28">
        <v>46171.0</v>
      </c>
      <c r="G6592" s="29"/>
    </row>
    <row r="6593" ht="15.75" customHeight="1">
      <c r="A6593" s="30" t="s">
        <v>10257</v>
      </c>
      <c r="B6593" s="31" t="s">
        <v>645</v>
      </c>
      <c r="C6593" s="31" t="s">
        <v>1242</v>
      </c>
      <c r="D6593" s="30" t="s">
        <v>3663</v>
      </c>
      <c r="E6593" s="32">
        <v>46113.0</v>
      </c>
      <c r="F6593" s="32">
        <v>46171.0</v>
      </c>
      <c r="G6593" s="33"/>
    </row>
    <row r="6594" ht="15.75" customHeight="1">
      <c r="A6594" s="26" t="s">
        <v>10258</v>
      </c>
      <c r="B6594" s="27" t="s">
        <v>645</v>
      </c>
      <c r="C6594" s="27" t="s">
        <v>1244</v>
      </c>
      <c r="D6594" s="26" t="s">
        <v>3663</v>
      </c>
      <c r="E6594" s="28">
        <v>46113.0</v>
      </c>
      <c r="F6594" s="28">
        <v>46171.0</v>
      </c>
      <c r="G6594" s="29"/>
    </row>
    <row r="6595" ht="15.75" customHeight="1">
      <c r="A6595" s="30" t="s">
        <v>10259</v>
      </c>
      <c r="B6595" s="31" t="s">
        <v>645</v>
      </c>
      <c r="C6595" s="31" t="s">
        <v>1246</v>
      </c>
      <c r="D6595" s="30" t="s">
        <v>3663</v>
      </c>
      <c r="E6595" s="32">
        <v>46113.0</v>
      </c>
      <c r="F6595" s="32">
        <v>46171.0</v>
      </c>
      <c r="G6595" s="33"/>
    </row>
    <row r="6596" ht="15.75" customHeight="1">
      <c r="A6596" s="26" t="s">
        <v>10260</v>
      </c>
      <c r="B6596" s="27" t="s">
        <v>645</v>
      </c>
      <c r="C6596" s="27" t="s">
        <v>3654</v>
      </c>
      <c r="D6596" s="26" t="s">
        <v>3663</v>
      </c>
      <c r="E6596" s="28">
        <v>46113.0</v>
      </c>
      <c r="F6596" s="28">
        <v>46171.0</v>
      </c>
      <c r="G6596" s="29"/>
    </row>
    <row r="6597" ht="15.75" customHeight="1">
      <c r="A6597" s="30" t="s">
        <v>10261</v>
      </c>
      <c r="B6597" s="31" t="s">
        <v>645</v>
      </c>
      <c r="C6597" s="31" t="s">
        <v>3655</v>
      </c>
      <c r="D6597" s="30" t="s">
        <v>3663</v>
      </c>
      <c r="E6597" s="32">
        <v>46113.0</v>
      </c>
      <c r="F6597" s="32">
        <v>46171.0</v>
      </c>
      <c r="G6597" s="33"/>
    </row>
    <row r="6598" ht="15.75" customHeight="1">
      <c r="A6598" s="26" t="s">
        <v>10262</v>
      </c>
      <c r="B6598" s="27" t="s">
        <v>645</v>
      </c>
      <c r="C6598" s="27" t="s">
        <v>934</v>
      </c>
      <c r="D6598" s="26" t="s">
        <v>3663</v>
      </c>
      <c r="E6598" s="28">
        <v>46113.0</v>
      </c>
      <c r="F6598" s="28">
        <v>46171.0</v>
      </c>
      <c r="G6598" s="29"/>
    </row>
    <row r="6599" ht="15.75" customHeight="1">
      <c r="A6599" s="30" t="s">
        <v>10263</v>
      </c>
      <c r="B6599" s="31" t="s">
        <v>645</v>
      </c>
      <c r="C6599" s="31" t="s">
        <v>3640</v>
      </c>
      <c r="D6599" s="30" t="s">
        <v>3663</v>
      </c>
      <c r="E6599" s="32">
        <v>46113.0</v>
      </c>
      <c r="F6599" s="32">
        <v>46171.0</v>
      </c>
      <c r="G6599" s="33"/>
    </row>
    <row r="6600" ht="15.75" customHeight="1">
      <c r="A6600" s="26" t="s">
        <v>10264</v>
      </c>
      <c r="B6600" s="27" t="s">
        <v>645</v>
      </c>
      <c r="C6600" s="27" t="s">
        <v>1323</v>
      </c>
      <c r="D6600" s="26" t="s">
        <v>3663</v>
      </c>
      <c r="E6600" s="28">
        <v>46113.0</v>
      </c>
      <c r="F6600" s="28">
        <v>46171.0</v>
      </c>
      <c r="G6600" s="29"/>
    </row>
    <row r="6601" ht="15.75" customHeight="1">
      <c r="A6601" s="30" t="s">
        <v>10265</v>
      </c>
      <c r="B6601" s="31" t="s">
        <v>645</v>
      </c>
      <c r="C6601" s="31" t="s">
        <v>1354</v>
      </c>
      <c r="D6601" s="30" t="s">
        <v>3663</v>
      </c>
      <c r="E6601" s="32">
        <v>46113.0</v>
      </c>
      <c r="F6601" s="32">
        <v>46171.0</v>
      </c>
      <c r="G6601" s="33"/>
    </row>
    <row r="6602" ht="15.75" customHeight="1">
      <c r="A6602" s="26" t="s">
        <v>10266</v>
      </c>
      <c r="B6602" s="27" t="s">
        <v>645</v>
      </c>
      <c r="C6602" s="27" t="s">
        <v>1351</v>
      </c>
      <c r="D6602" s="26" t="s">
        <v>3663</v>
      </c>
      <c r="E6602" s="28">
        <v>46113.0</v>
      </c>
      <c r="F6602" s="28">
        <v>46171.0</v>
      </c>
      <c r="G6602" s="29"/>
    </row>
    <row r="6603" ht="15.75" customHeight="1">
      <c r="A6603" s="30" t="s">
        <v>10267</v>
      </c>
      <c r="B6603" s="31" t="s">
        <v>645</v>
      </c>
      <c r="C6603" s="31" t="s">
        <v>1349</v>
      </c>
      <c r="D6603" s="30" t="s">
        <v>3663</v>
      </c>
      <c r="E6603" s="32">
        <v>46113.0</v>
      </c>
      <c r="F6603" s="32">
        <v>46171.0</v>
      </c>
      <c r="G6603" s="33"/>
    </row>
    <row r="6604" ht="15.75" customHeight="1">
      <c r="A6604" s="26" t="s">
        <v>10268</v>
      </c>
      <c r="B6604" s="27" t="s">
        <v>645</v>
      </c>
      <c r="C6604" s="27" t="s">
        <v>968</v>
      </c>
      <c r="D6604" s="26" t="s">
        <v>3663</v>
      </c>
      <c r="E6604" s="28">
        <v>46113.0</v>
      </c>
      <c r="F6604" s="28">
        <v>46171.0</v>
      </c>
      <c r="G6604" s="29"/>
    </row>
    <row r="6605" ht="15.75" customHeight="1">
      <c r="A6605" s="30" t="s">
        <v>10269</v>
      </c>
      <c r="B6605" s="31" t="s">
        <v>645</v>
      </c>
      <c r="C6605" s="31" t="s">
        <v>923</v>
      </c>
      <c r="D6605" s="30" t="s">
        <v>3663</v>
      </c>
      <c r="E6605" s="32">
        <v>46113.0</v>
      </c>
      <c r="F6605" s="32">
        <v>46171.0</v>
      </c>
      <c r="G6605" s="33"/>
    </row>
    <row r="6606" ht="15.75" customHeight="1">
      <c r="A6606" s="26" t="s">
        <v>10270</v>
      </c>
      <c r="B6606" s="27" t="s">
        <v>646</v>
      </c>
      <c r="C6606" s="27" t="s">
        <v>928</v>
      </c>
      <c r="D6606" s="26" t="s">
        <v>3663</v>
      </c>
      <c r="E6606" s="28">
        <v>46113.0</v>
      </c>
      <c r="F6606" s="28">
        <v>46171.0</v>
      </c>
      <c r="G6606" s="29"/>
    </row>
    <row r="6607" ht="15.75" customHeight="1">
      <c r="A6607" s="30" t="s">
        <v>10271</v>
      </c>
      <c r="B6607" s="31" t="s">
        <v>646</v>
      </c>
      <c r="C6607" s="31" t="s">
        <v>1354</v>
      </c>
      <c r="D6607" s="30" t="s">
        <v>3663</v>
      </c>
      <c r="E6607" s="32">
        <v>46113.0</v>
      </c>
      <c r="F6607" s="32">
        <v>46171.0</v>
      </c>
      <c r="G6607" s="33"/>
    </row>
    <row r="6608" ht="15.75" customHeight="1">
      <c r="A6608" s="26" t="s">
        <v>10272</v>
      </c>
      <c r="B6608" s="27" t="s">
        <v>646</v>
      </c>
      <c r="C6608" s="27" t="s">
        <v>1222</v>
      </c>
      <c r="D6608" s="26" t="s">
        <v>3663</v>
      </c>
      <c r="E6608" s="28">
        <v>46113.0</v>
      </c>
      <c r="F6608" s="28">
        <v>46171.0</v>
      </c>
      <c r="G6608" s="29"/>
    </row>
    <row r="6609" ht="15.75" customHeight="1">
      <c r="A6609" s="30" t="s">
        <v>10273</v>
      </c>
      <c r="B6609" s="31" t="s">
        <v>646</v>
      </c>
      <c r="C6609" s="31" t="s">
        <v>1224</v>
      </c>
      <c r="D6609" s="30" t="s">
        <v>3663</v>
      </c>
      <c r="E6609" s="32">
        <v>46113.0</v>
      </c>
      <c r="F6609" s="32">
        <v>46171.0</v>
      </c>
      <c r="G6609" s="33"/>
    </row>
    <row r="6610" ht="15.75" customHeight="1">
      <c r="A6610" s="26" t="s">
        <v>10274</v>
      </c>
      <c r="B6610" s="27" t="s">
        <v>646</v>
      </c>
      <c r="C6610" s="27" t="s">
        <v>1226</v>
      </c>
      <c r="D6610" s="26" t="s">
        <v>3663</v>
      </c>
      <c r="E6610" s="28">
        <v>46113.0</v>
      </c>
      <c r="F6610" s="28">
        <v>46171.0</v>
      </c>
      <c r="G6610" s="29"/>
    </row>
    <row r="6611" ht="15.75" customHeight="1">
      <c r="A6611" s="30" t="s">
        <v>10275</v>
      </c>
      <c r="B6611" s="31" t="s">
        <v>646</v>
      </c>
      <c r="C6611" s="31" t="s">
        <v>1228</v>
      </c>
      <c r="D6611" s="30" t="s">
        <v>3663</v>
      </c>
      <c r="E6611" s="32">
        <v>46113.0</v>
      </c>
      <c r="F6611" s="32">
        <v>46171.0</v>
      </c>
      <c r="G6611" s="33"/>
    </row>
    <row r="6612" ht="15.75" customHeight="1">
      <c r="A6612" s="26" t="s">
        <v>10276</v>
      </c>
      <c r="B6612" s="27" t="s">
        <v>646</v>
      </c>
      <c r="C6612" s="27" t="s">
        <v>1172</v>
      </c>
      <c r="D6612" s="26" t="s">
        <v>3663</v>
      </c>
      <c r="E6612" s="28">
        <v>46113.0</v>
      </c>
      <c r="F6612" s="28">
        <v>46171.0</v>
      </c>
      <c r="G6612" s="29"/>
    </row>
    <row r="6613" ht="15.75" customHeight="1">
      <c r="A6613" s="30" t="s">
        <v>10277</v>
      </c>
      <c r="B6613" s="31" t="s">
        <v>646</v>
      </c>
      <c r="C6613" s="31" t="s">
        <v>1351</v>
      </c>
      <c r="D6613" s="30" t="s">
        <v>3663</v>
      </c>
      <c r="E6613" s="32">
        <v>46113.0</v>
      </c>
      <c r="F6613" s="32">
        <v>46171.0</v>
      </c>
      <c r="G6613" s="33"/>
    </row>
    <row r="6614" ht="15.75" customHeight="1">
      <c r="A6614" s="26" t="s">
        <v>10278</v>
      </c>
      <c r="B6614" s="27" t="s">
        <v>646</v>
      </c>
      <c r="C6614" s="27" t="s">
        <v>1349</v>
      </c>
      <c r="D6614" s="26" t="s">
        <v>3663</v>
      </c>
      <c r="E6614" s="28">
        <v>46113.0</v>
      </c>
      <c r="F6614" s="28">
        <v>46171.0</v>
      </c>
      <c r="G6614" s="29"/>
    </row>
    <row r="6615" ht="15.75" customHeight="1">
      <c r="A6615" s="30" t="s">
        <v>10279</v>
      </c>
      <c r="B6615" s="31" t="s">
        <v>646</v>
      </c>
      <c r="C6615" s="31" t="s">
        <v>3653</v>
      </c>
      <c r="D6615" s="31" t="s">
        <v>3663</v>
      </c>
      <c r="E6615" s="32">
        <v>46113.0</v>
      </c>
      <c r="F6615" s="32">
        <v>46171.0</v>
      </c>
      <c r="G6615" s="33"/>
    </row>
    <row r="6616" ht="15.75" customHeight="1">
      <c r="A6616" s="26" t="s">
        <v>10280</v>
      </c>
      <c r="B6616" s="27" t="s">
        <v>646</v>
      </c>
      <c r="C6616" s="27" t="s">
        <v>3652</v>
      </c>
      <c r="D6616" s="26" t="s">
        <v>3663</v>
      </c>
      <c r="E6616" s="28">
        <v>46113.0</v>
      </c>
      <c r="F6616" s="28">
        <v>46171.0</v>
      </c>
      <c r="G6616" s="29"/>
    </row>
    <row r="6617" ht="15.75" customHeight="1">
      <c r="A6617" s="30" t="s">
        <v>10281</v>
      </c>
      <c r="B6617" s="31" t="s">
        <v>646</v>
      </c>
      <c r="C6617" s="31" t="s">
        <v>968</v>
      </c>
      <c r="D6617" s="30" t="s">
        <v>3663</v>
      </c>
      <c r="E6617" s="32">
        <v>46113.0</v>
      </c>
      <c r="F6617" s="32">
        <v>46171.0</v>
      </c>
      <c r="G6617" s="33"/>
    </row>
    <row r="6618" ht="15.75" customHeight="1">
      <c r="A6618" s="26" t="s">
        <v>10282</v>
      </c>
      <c r="B6618" s="27" t="s">
        <v>646</v>
      </c>
      <c r="C6618" s="27" t="s">
        <v>923</v>
      </c>
      <c r="D6618" s="26" t="s">
        <v>3663</v>
      </c>
      <c r="E6618" s="28">
        <v>46113.0</v>
      </c>
      <c r="F6618" s="28">
        <v>46171.0</v>
      </c>
      <c r="G6618" s="29"/>
    </row>
    <row r="6619" ht="15.75" customHeight="1">
      <c r="A6619" s="30" t="s">
        <v>10283</v>
      </c>
      <c r="B6619" s="31" t="s">
        <v>646</v>
      </c>
      <c r="C6619" s="31" t="s">
        <v>955</v>
      </c>
      <c r="D6619" s="30" t="s">
        <v>3663</v>
      </c>
      <c r="E6619" s="32">
        <v>46113.0</v>
      </c>
      <c r="F6619" s="32">
        <v>46171.0</v>
      </c>
      <c r="G6619" s="33"/>
    </row>
    <row r="6620" ht="15.75" customHeight="1">
      <c r="A6620" s="26" t="s">
        <v>10284</v>
      </c>
      <c r="B6620" s="27" t="s">
        <v>647</v>
      </c>
      <c r="C6620" s="27" t="s">
        <v>928</v>
      </c>
      <c r="D6620" s="26" t="s">
        <v>3663</v>
      </c>
      <c r="E6620" s="28">
        <v>46113.0</v>
      </c>
      <c r="F6620" s="28">
        <v>46171.0</v>
      </c>
      <c r="G6620" s="29"/>
    </row>
    <row r="6621" ht="15.75" customHeight="1">
      <c r="A6621" s="30" t="s">
        <v>10285</v>
      </c>
      <c r="B6621" s="31" t="s">
        <v>647</v>
      </c>
      <c r="C6621" s="31" t="s">
        <v>1354</v>
      </c>
      <c r="D6621" s="30" t="s">
        <v>3663</v>
      </c>
      <c r="E6621" s="32">
        <v>46113.0</v>
      </c>
      <c r="F6621" s="32">
        <v>46171.0</v>
      </c>
      <c r="G6621" s="33"/>
    </row>
    <row r="6622" ht="15.75" customHeight="1">
      <c r="A6622" s="26" t="s">
        <v>10286</v>
      </c>
      <c r="B6622" s="27" t="s">
        <v>647</v>
      </c>
      <c r="C6622" s="27" t="s">
        <v>1222</v>
      </c>
      <c r="D6622" s="26" t="s">
        <v>3663</v>
      </c>
      <c r="E6622" s="28">
        <v>46113.0</v>
      </c>
      <c r="F6622" s="28">
        <v>46171.0</v>
      </c>
      <c r="G6622" s="29"/>
    </row>
    <row r="6623" ht="15.75" customHeight="1">
      <c r="A6623" s="30" t="s">
        <v>10287</v>
      </c>
      <c r="B6623" s="31" t="s">
        <v>647</v>
      </c>
      <c r="C6623" s="31" t="s">
        <v>1224</v>
      </c>
      <c r="D6623" s="30" t="s">
        <v>3663</v>
      </c>
      <c r="E6623" s="32">
        <v>46113.0</v>
      </c>
      <c r="F6623" s="32">
        <v>46171.0</v>
      </c>
      <c r="G6623" s="33"/>
    </row>
    <row r="6624" ht="15.75" customHeight="1">
      <c r="A6624" s="26" t="s">
        <v>10288</v>
      </c>
      <c r="B6624" s="27" t="s">
        <v>647</v>
      </c>
      <c r="C6624" s="27" t="s">
        <v>1226</v>
      </c>
      <c r="D6624" s="26" t="s">
        <v>3663</v>
      </c>
      <c r="E6624" s="28">
        <v>46113.0</v>
      </c>
      <c r="F6624" s="28">
        <v>46171.0</v>
      </c>
      <c r="G6624" s="29"/>
    </row>
    <row r="6625" ht="15.75" customHeight="1">
      <c r="A6625" s="30" t="s">
        <v>10289</v>
      </c>
      <c r="B6625" s="31" t="s">
        <v>647</v>
      </c>
      <c r="C6625" s="31" t="s">
        <v>1228</v>
      </c>
      <c r="D6625" s="30" t="s">
        <v>3663</v>
      </c>
      <c r="E6625" s="32">
        <v>46113.0</v>
      </c>
      <c r="F6625" s="32">
        <v>46171.0</v>
      </c>
      <c r="G6625" s="33"/>
    </row>
    <row r="6626" ht="15.75" customHeight="1">
      <c r="A6626" s="26" t="s">
        <v>10290</v>
      </c>
      <c r="B6626" s="27" t="s">
        <v>647</v>
      </c>
      <c r="C6626" s="27" t="s">
        <v>1312</v>
      </c>
      <c r="D6626" s="26" t="s">
        <v>3663</v>
      </c>
      <c r="E6626" s="28">
        <v>46113.0</v>
      </c>
      <c r="F6626" s="28">
        <v>46171.0</v>
      </c>
      <c r="G6626" s="29"/>
    </row>
    <row r="6627" ht="15.75" customHeight="1">
      <c r="A6627" s="30" t="s">
        <v>10291</v>
      </c>
      <c r="B6627" s="31" t="s">
        <v>647</v>
      </c>
      <c r="C6627" s="31" t="s">
        <v>1208</v>
      </c>
      <c r="D6627" s="30" t="s">
        <v>3663</v>
      </c>
      <c r="E6627" s="32">
        <v>46113.0</v>
      </c>
      <c r="F6627" s="32">
        <v>46171.0</v>
      </c>
      <c r="G6627" s="33"/>
    </row>
    <row r="6628" ht="15.75" customHeight="1">
      <c r="A6628" s="26" t="s">
        <v>10292</v>
      </c>
      <c r="B6628" s="27" t="s">
        <v>647</v>
      </c>
      <c r="C6628" s="27" t="s">
        <v>3656</v>
      </c>
      <c r="D6628" s="26" t="s">
        <v>3663</v>
      </c>
      <c r="E6628" s="28">
        <v>46113.0</v>
      </c>
      <c r="F6628" s="28">
        <v>46171.0</v>
      </c>
      <c r="G6628" s="29"/>
    </row>
    <row r="6629" ht="15.75" customHeight="1">
      <c r="A6629" s="30" t="s">
        <v>10293</v>
      </c>
      <c r="B6629" s="31" t="s">
        <v>647</v>
      </c>
      <c r="C6629" s="31" t="s">
        <v>3657</v>
      </c>
      <c r="D6629" s="30" t="s">
        <v>3663</v>
      </c>
      <c r="E6629" s="32">
        <v>46113.0</v>
      </c>
      <c r="F6629" s="32">
        <v>46171.0</v>
      </c>
      <c r="G6629" s="33"/>
    </row>
    <row r="6630" ht="15.75" customHeight="1">
      <c r="A6630" s="26" t="s">
        <v>10294</v>
      </c>
      <c r="B6630" s="27" t="s">
        <v>647</v>
      </c>
      <c r="C6630" s="27" t="s">
        <v>1351</v>
      </c>
      <c r="D6630" s="26" t="s">
        <v>3663</v>
      </c>
      <c r="E6630" s="28">
        <v>46113.0</v>
      </c>
      <c r="F6630" s="28">
        <v>46171.0</v>
      </c>
      <c r="G6630" s="29"/>
    </row>
    <row r="6631" ht="15.75" customHeight="1">
      <c r="A6631" s="30" t="s">
        <v>10295</v>
      </c>
      <c r="B6631" s="31" t="s">
        <v>647</v>
      </c>
      <c r="C6631" s="31" t="s">
        <v>1349</v>
      </c>
      <c r="D6631" s="30" t="s">
        <v>3663</v>
      </c>
      <c r="E6631" s="32">
        <v>46113.0</v>
      </c>
      <c r="F6631" s="32">
        <v>46171.0</v>
      </c>
      <c r="G6631" s="33"/>
    </row>
    <row r="6632" ht="15.75" customHeight="1">
      <c r="A6632" s="26" t="s">
        <v>10296</v>
      </c>
      <c r="B6632" s="27" t="s">
        <v>647</v>
      </c>
      <c r="C6632" s="27" t="s">
        <v>968</v>
      </c>
      <c r="D6632" s="26" t="s">
        <v>3663</v>
      </c>
      <c r="E6632" s="28">
        <v>46113.0</v>
      </c>
      <c r="F6632" s="28">
        <v>46171.0</v>
      </c>
      <c r="G6632" s="29"/>
    </row>
    <row r="6633" ht="15.75" customHeight="1">
      <c r="A6633" s="30" t="s">
        <v>10297</v>
      </c>
      <c r="B6633" s="31" t="s">
        <v>647</v>
      </c>
      <c r="C6633" s="31" t="s">
        <v>923</v>
      </c>
      <c r="D6633" s="30" t="s">
        <v>3663</v>
      </c>
      <c r="E6633" s="32">
        <v>46113.0</v>
      </c>
      <c r="F6633" s="32">
        <v>46171.0</v>
      </c>
      <c r="G6633" s="33"/>
    </row>
    <row r="6634" ht="15.75" customHeight="1">
      <c r="A6634" s="26" t="s">
        <v>10298</v>
      </c>
      <c r="B6634" s="27" t="s">
        <v>648</v>
      </c>
      <c r="C6634" s="27" t="s">
        <v>932</v>
      </c>
      <c r="D6634" s="26" t="s">
        <v>3663</v>
      </c>
      <c r="E6634" s="28">
        <v>46113.0</v>
      </c>
      <c r="F6634" s="28">
        <v>46171.0</v>
      </c>
      <c r="G6634" s="29"/>
    </row>
    <row r="6635" ht="15.75" customHeight="1">
      <c r="A6635" s="30" t="s">
        <v>10299</v>
      </c>
      <c r="B6635" s="31" t="s">
        <v>648</v>
      </c>
      <c r="C6635" s="31" t="s">
        <v>1168</v>
      </c>
      <c r="D6635" s="30" t="s">
        <v>3663</v>
      </c>
      <c r="E6635" s="32">
        <v>46113.0</v>
      </c>
      <c r="F6635" s="32">
        <v>46171.0</v>
      </c>
      <c r="G6635" s="33"/>
    </row>
    <row r="6636" ht="15.75" customHeight="1">
      <c r="A6636" s="26" t="s">
        <v>10300</v>
      </c>
      <c r="B6636" s="27" t="s">
        <v>648</v>
      </c>
      <c r="C6636" s="27" t="s">
        <v>1170</v>
      </c>
      <c r="D6636" s="26" t="s">
        <v>3663</v>
      </c>
      <c r="E6636" s="28">
        <v>46113.0</v>
      </c>
      <c r="F6636" s="28">
        <v>46171.0</v>
      </c>
      <c r="G6636" s="29"/>
    </row>
    <row r="6637" ht="15.75" customHeight="1">
      <c r="A6637" s="30" t="s">
        <v>10301</v>
      </c>
      <c r="B6637" s="31" t="s">
        <v>648</v>
      </c>
      <c r="C6637" s="31" t="s">
        <v>1288</v>
      </c>
      <c r="D6637" s="30" t="s">
        <v>3663</v>
      </c>
      <c r="E6637" s="32">
        <v>46113.0</v>
      </c>
      <c r="F6637" s="32">
        <v>46171.0</v>
      </c>
      <c r="G6637" s="33"/>
    </row>
    <row r="6638" ht="15.75" customHeight="1">
      <c r="A6638" s="26" t="s">
        <v>10302</v>
      </c>
      <c r="B6638" s="27" t="s">
        <v>648</v>
      </c>
      <c r="C6638" s="27" t="s">
        <v>1291</v>
      </c>
      <c r="D6638" s="26" t="s">
        <v>3663</v>
      </c>
      <c r="E6638" s="28">
        <v>46113.0</v>
      </c>
      <c r="F6638" s="28">
        <v>46171.0</v>
      </c>
      <c r="G6638" s="29"/>
    </row>
    <row r="6639" ht="15.75" customHeight="1">
      <c r="A6639" s="30" t="s">
        <v>10303</v>
      </c>
      <c r="B6639" s="31" t="s">
        <v>648</v>
      </c>
      <c r="C6639" s="31" t="s">
        <v>1354</v>
      </c>
      <c r="D6639" s="30" t="s">
        <v>3663</v>
      </c>
      <c r="E6639" s="32">
        <v>46113.0</v>
      </c>
      <c r="F6639" s="32">
        <v>46171.0</v>
      </c>
      <c r="G6639" s="33"/>
    </row>
    <row r="6640" ht="15.75" customHeight="1">
      <c r="A6640" s="26" t="s">
        <v>10304</v>
      </c>
      <c r="B6640" s="27" t="s">
        <v>648</v>
      </c>
      <c r="C6640" s="27" t="s">
        <v>3681</v>
      </c>
      <c r="D6640" s="26" t="s">
        <v>3663</v>
      </c>
      <c r="E6640" s="28">
        <v>46113.0</v>
      </c>
      <c r="F6640" s="28">
        <v>46171.0</v>
      </c>
      <c r="G6640" s="29"/>
    </row>
    <row r="6641" ht="15.75" customHeight="1">
      <c r="A6641" s="30" t="s">
        <v>10305</v>
      </c>
      <c r="B6641" s="31" t="s">
        <v>648</v>
      </c>
      <c r="C6641" s="31" t="s">
        <v>3683</v>
      </c>
      <c r="D6641" s="30" t="s">
        <v>3663</v>
      </c>
      <c r="E6641" s="32">
        <v>46113.0</v>
      </c>
      <c r="F6641" s="32">
        <v>46171.0</v>
      </c>
      <c r="G6641" s="33"/>
    </row>
    <row r="6642" ht="15.75" customHeight="1">
      <c r="A6642" s="26" t="s">
        <v>10306</v>
      </c>
      <c r="B6642" s="27" t="s">
        <v>648</v>
      </c>
      <c r="C6642" s="27" t="s">
        <v>1208</v>
      </c>
      <c r="D6642" s="26" t="s">
        <v>3663</v>
      </c>
      <c r="E6642" s="28">
        <v>46113.0</v>
      </c>
      <c r="F6642" s="28">
        <v>46171.0</v>
      </c>
      <c r="G6642" s="29"/>
    </row>
    <row r="6643" ht="15.75" customHeight="1">
      <c r="A6643" s="30" t="s">
        <v>10307</v>
      </c>
      <c r="B6643" s="31" t="s">
        <v>648</v>
      </c>
      <c r="C6643" s="31" t="s">
        <v>1159</v>
      </c>
      <c r="D6643" s="30" t="s">
        <v>3663</v>
      </c>
      <c r="E6643" s="32">
        <v>46113.0</v>
      </c>
      <c r="F6643" s="32">
        <v>46171.0</v>
      </c>
      <c r="G6643" s="33"/>
    </row>
    <row r="6644" ht="15.75" customHeight="1">
      <c r="A6644" s="26" t="s">
        <v>10308</v>
      </c>
      <c r="B6644" s="27" t="s">
        <v>648</v>
      </c>
      <c r="C6644" s="27" t="s">
        <v>3647</v>
      </c>
      <c r="D6644" s="26" t="s">
        <v>3663</v>
      </c>
      <c r="E6644" s="28">
        <v>46113.0</v>
      </c>
      <c r="F6644" s="28">
        <v>46171.0</v>
      </c>
      <c r="G6644" s="29"/>
    </row>
    <row r="6645" ht="15.75" customHeight="1">
      <c r="A6645" s="30" t="s">
        <v>10309</v>
      </c>
      <c r="B6645" s="31" t="s">
        <v>648</v>
      </c>
      <c r="C6645" s="31" t="s">
        <v>952</v>
      </c>
      <c r="D6645" s="30" t="s">
        <v>3663</v>
      </c>
      <c r="E6645" s="32">
        <v>46113.0</v>
      </c>
      <c r="F6645" s="32">
        <v>46171.0</v>
      </c>
      <c r="G6645" s="33"/>
    </row>
    <row r="6646" ht="15.75" customHeight="1">
      <c r="A6646" s="26" t="s">
        <v>10310</v>
      </c>
      <c r="B6646" s="27" t="s">
        <v>648</v>
      </c>
      <c r="C6646" s="27" t="s">
        <v>968</v>
      </c>
      <c r="D6646" s="26" t="s">
        <v>3663</v>
      </c>
      <c r="E6646" s="28">
        <v>46113.0</v>
      </c>
      <c r="F6646" s="28">
        <v>46171.0</v>
      </c>
      <c r="G6646" s="29"/>
    </row>
    <row r="6647" ht="15.75" customHeight="1">
      <c r="A6647" s="30" t="s">
        <v>10311</v>
      </c>
      <c r="B6647" s="31" t="s">
        <v>648</v>
      </c>
      <c r="C6647" s="31" t="s">
        <v>923</v>
      </c>
      <c r="D6647" s="30" t="s">
        <v>3663</v>
      </c>
      <c r="E6647" s="32">
        <v>46113.0</v>
      </c>
      <c r="F6647" s="32">
        <v>46171.0</v>
      </c>
      <c r="G6647" s="33"/>
    </row>
    <row r="6648" ht="15.75" customHeight="1">
      <c r="A6648" s="26" t="s">
        <v>10312</v>
      </c>
      <c r="B6648" s="27" t="s">
        <v>649</v>
      </c>
      <c r="C6648" s="27" t="s">
        <v>930</v>
      </c>
      <c r="D6648" s="26" t="s">
        <v>3663</v>
      </c>
      <c r="E6648" s="28">
        <v>46113.0</v>
      </c>
      <c r="F6648" s="28">
        <v>46171.0</v>
      </c>
      <c r="G6648" s="29"/>
    </row>
    <row r="6649" ht="15.75" customHeight="1">
      <c r="A6649" s="30" t="s">
        <v>10313</v>
      </c>
      <c r="B6649" s="31" t="s">
        <v>649</v>
      </c>
      <c r="C6649" s="31" t="s">
        <v>1354</v>
      </c>
      <c r="D6649" s="30" t="s">
        <v>3663</v>
      </c>
      <c r="E6649" s="32">
        <v>46113.0</v>
      </c>
      <c r="F6649" s="32">
        <v>46171.0</v>
      </c>
      <c r="G6649" s="33"/>
    </row>
    <row r="6650" ht="15.75" customHeight="1">
      <c r="A6650" s="26" t="s">
        <v>10314</v>
      </c>
      <c r="B6650" s="27" t="s">
        <v>649</v>
      </c>
      <c r="C6650" s="27" t="s">
        <v>1208</v>
      </c>
      <c r="D6650" s="26" t="s">
        <v>3663</v>
      </c>
      <c r="E6650" s="28">
        <v>46113.0</v>
      </c>
      <c r="F6650" s="28">
        <v>46171.0</v>
      </c>
      <c r="G6650" s="29"/>
    </row>
    <row r="6651" ht="15.75" customHeight="1">
      <c r="A6651" s="30" t="s">
        <v>10315</v>
      </c>
      <c r="B6651" s="31" t="s">
        <v>649</v>
      </c>
      <c r="C6651" s="31" t="s">
        <v>3656</v>
      </c>
      <c r="D6651" s="30" t="s">
        <v>3663</v>
      </c>
      <c r="E6651" s="32">
        <v>46113.0</v>
      </c>
      <c r="F6651" s="32">
        <v>46171.0</v>
      </c>
      <c r="G6651" s="33"/>
    </row>
    <row r="6652" ht="15.75" customHeight="1">
      <c r="A6652" s="26" t="s">
        <v>10316</v>
      </c>
      <c r="B6652" s="27" t="s">
        <v>649</v>
      </c>
      <c r="C6652" s="27" t="s">
        <v>3657</v>
      </c>
      <c r="D6652" s="26" t="s">
        <v>3663</v>
      </c>
      <c r="E6652" s="28">
        <v>46113.0</v>
      </c>
      <c r="F6652" s="28">
        <v>46171.0</v>
      </c>
      <c r="G6652" s="29"/>
    </row>
    <row r="6653" ht="15.75" customHeight="1">
      <c r="A6653" s="30" t="s">
        <v>10317</v>
      </c>
      <c r="B6653" s="31" t="s">
        <v>649</v>
      </c>
      <c r="C6653" s="31" t="s">
        <v>1157</v>
      </c>
      <c r="D6653" s="30" t="s">
        <v>3663</v>
      </c>
      <c r="E6653" s="32">
        <v>46113.0</v>
      </c>
      <c r="F6653" s="32">
        <v>46171.0</v>
      </c>
      <c r="G6653" s="33"/>
    </row>
    <row r="6654" ht="15.75" customHeight="1">
      <c r="A6654" s="26" t="s">
        <v>10318</v>
      </c>
      <c r="B6654" s="27" t="s">
        <v>649</v>
      </c>
      <c r="C6654" s="27" t="s">
        <v>1155</v>
      </c>
      <c r="D6654" s="26" t="s">
        <v>3663</v>
      </c>
      <c r="E6654" s="28">
        <v>46113.0</v>
      </c>
      <c r="F6654" s="28">
        <v>46171.0</v>
      </c>
      <c r="G6654" s="29"/>
    </row>
    <row r="6655" ht="15.75" customHeight="1">
      <c r="A6655" s="30" t="s">
        <v>10319</v>
      </c>
      <c r="B6655" s="31" t="s">
        <v>649</v>
      </c>
      <c r="C6655" s="31" t="s">
        <v>1153</v>
      </c>
      <c r="D6655" s="30" t="s">
        <v>3663</v>
      </c>
      <c r="E6655" s="32">
        <v>46113.0</v>
      </c>
      <c r="F6655" s="32">
        <v>46171.0</v>
      </c>
      <c r="G6655" s="33"/>
    </row>
    <row r="6656" ht="15.75" customHeight="1">
      <c r="A6656" s="26" t="s">
        <v>10320</v>
      </c>
      <c r="B6656" s="27" t="s">
        <v>649</v>
      </c>
      <c r="C6656" s="27" t="s">
        <v>1149</v>
      </c>
      <c r="D6656" s="26" t="s">
        <v>3663</v>
      </c>
      <c r="E6656" s="28">
        <v>46113.0</v>
      </c>
      <c r="F6656" s="28">
        <v>46171.0</v>
      </c>
      <c r="G6656" s="29"/>
    </row>
    <row r="6657" ht="15.75" customHeight="1">
      <c r="A6657" s="30" t="s">
        <v>10321</v>
      </c>
      <c r="B6657" s="31" t="s">
        <v>649</v>
      </c>
      <c r="C6657" s="31" t="s">
        <v>1351</v>
      </c>
      <c r="D6657" s="30" t="s">
        <v>3663</v>
      </c>
      <c r="E6657" s="32">
        <v>46113.0</v>
      </c>
      <c r="F6657" s="32">
        <v>46171.0</v>
      </c>
      <c r="G6657" s="33"/>
    </row>
    <row r="6658" ht="15.75" customHeight="1">
      <c r="A6658" s="26" t="s">
        <v>10322</v>
      </c>
      <c r="B6658" s="27" t="s">
        <v>649</v>
      </c>
      <c r="C6658" s="27" t="s">
        <v>1349</v>
      </c>
      <c r="D6658" s="26" t="s">
        <v>3663</v>
      </c>
      <c r="E6658" s="28">
        <v>46113.0</v>
      </c>
      <c r="F6658" s="28">
        <v>46171.0</v>
      </c>
      <c r="G6658" s="29"/>
    </row>
    <row r="6659" ht="15.75" customHeight="1">
      <c r="A6659" s="30" t="s">
        <v>10323</v>
      </c>
      <c r="B6659" s="31" t="s">
        <v>649</v>
      </c>
      <c r="C6659" s="31" t="s">
        <v>968</v>
      </c>
      <c r="D6659" s="30" t="s">
        <v>3663</v>
      </c>
      <c r="E6659" s="32">
        <v>46113.0</v>
      </c>
      <c r="F6659" s="32">
        <v>46171.0</v>
      </c>
      <c r="G6659" s="33"/>
    </row>
    <row r="6660" ht="15.75" customHeight="1">
      <c r="A6660" s="26" t="s">
        <v>10324</v>
      </c>
      <c r="B6660" s="27" t="s">
        <v>649</v>
      </c>
      <c r="C6660" s="27" t="s">
        <v>923</v>
      </c>
      <c r="D6660" s="26" t="s">
        <v>3663</v>
      </c>
      <c r="E6660" s="28">
        <v>46113.0</v>
      </c>
      <c r="F6660" s="28">
        <v>46171.0</v>
      </c>
      <c r="G6660" s="29"/>
    </row>
    <row r="6661" ht="15.75" customHeight="1">
      <c r="A6661" s="30" t="s">
        <v>10325</v>
      </c>
      <c r="B6661" s="31" t="s">
        <v>649</v>
      </c>
      <c r="C6661" s="31" t="s">
        <v>961</v>
      </c>
      <c r="D6661" s="30" t="s">
        <v>3663</v>
      </c>
      <c r="E6661" s="32">
        <v>46113.0</v>
      </c>
      <c r="F6661" s="32">
        <v>46171.0</v>
      </c>
      <c r="G6661" s="33"/>
    </row>
    <row r="6662" ht="15.75" customHeight="1">
      <c r="A6662" s="26" t="s">
        <v>10326</v>
      </c>
      <c r="B6662" s="27" t="s">
        <v>650</v>
      </c>
      <c r="C6662" s="27" t="s">
        <v>3654</v>
      </c>
      <c r="D6662" s="26" t="s">
        <v>3663</v>
      </c>
      <c r="E6662" s="28">
        <v>46113.0</v>
      </c>
      <c r="F6662" s="28">
        <v>46171.0</v>
      </c>
      <c r="G6662" s="29"/>
    </row>
    <row r="6663" ht="15.75" customHeight="1">
      <c r="A6663" s="30" t="s">
        <v>10327</v>
      </c>
      <c r="B6663" s="31" t="s">
        <v>650</v>
      </c>
      <c r="C6663" s="31" t="s">
        <v>3655</v>
      </c>
      <c r="D6663" s="30" t="s">
        <v>3663</v>
      </c>
      <c r="E6663" s="32">
        <v>46113.0</v>
      </c>
      <c r="F6663" s="32">
        <v>46171.0</v>
      </c>
      <c r="G6663" s="33"/>
    </row>
    <row r="6664" ht="15.75" customHeight="1">
      <c r="A6664" s="26" t="s">
        <v>10328</v>
      </c>
      <c r="B6664" s="27" t="s">
        <v>650</v>
      </c>
      <c r="C6664" s="27" t="s">
        <v>930</v>
      </c>
      <c r="D6664" s="26" t="s">
        <v>3663</v>
      </c>
      <c r="E6664" s="28">
        <v>46113.0</v>
      </c>
      <c r="F6664" s="28">
        <v>46171.0</v>
      </c>
      <c r="G6664" s="29"/>
    </row>
    <row r="6665" ht="15.75" customHeight="1">
      <c r="A6665" s="30" t="s">
        <v>10329</v>
      </c>
      <c r="B6665" s="31" t="s">
        <v>650</v>
      </c>
      <c r="C6665" s="31" t="s">
        <v>3640</v>
      </c>
      <c r="D6665" s="30" t="s">
        <v>3663</v>
      </c>
      <c r="E6665" s="32">
        <v>46113.0</v>
      </c>
      <c r="F6665" s="32">
        <v>46171.0</v>
      </c>
      <c r="G6665" s="33"/>
    </row>
    <row r="6666" ht="15.75" customHeight="1">
      <c r="A6666" s="26" t="s">
        <v>10330</v>
      </c>
      <c r="B6666" s="27" t="s">
        <v>650</v>
      </c>
      <c r="C6666" s="27" t="s">
        <v>1354</v>
      </c>
      <c r="D6666" s="26" t="s">
        <v>3663</v>
      </c>
      <c r="E6666" s="28">
        <v>46113.0</v>
      </c>
      <c r="F6666" s="28">
        <v>46171.0</v>
      </c>
      <c r="G6666" s="29"/>
    </row>
    <row r="6667" ht="15.75" customHeight="1">
      <c r="A6667" s="30" t="s">
        <v>10331</v>
      </c>
      <c r="B6667" s="31" t="s">
        <v>650</v>
      </c>
      <c r="C6667" s="31" t="s">
        <v>3641</v>
      </c>
      <c r="D6667" s="30" t="s">
        <v>3663</v>
      </c>
      <c r="E6667" s="32">
        <v>46113.0</v>
      </c>
      <c r="F6667" s="32">
        <v>46171.0</v>
      </c>
      <c r="G6667" s="33"/>
    </row>
    <row r="6668" ht="15.75" customHeight="1">
      <c r="A6668" s="26" t="s">
        <v>10332</v>
      </c>
      <c r="B6668" s="27" t="s">
        <v>650</v>
      </c>
      <c r="C6668" s="27" t="s">
        <v>1304</v>
      </c>
      <c r="D6668" s="26" t="s">
        <v>3663</v>
      </c>
      <c r="E6668" s="28">
        <v>46113.0</v>
      </c>
      <c r="F6668" s="28">
        <v>46171.0</v>
      </c>
      <c r="G6668" s="29"/>
    </row>
    <row r="6669" ht="15.75" customHeight="1">
      <c r="A6669" s="30" t="s">
        <v>10333</v>
      </c>
      <c r="B6669" s="31" t="s">
        <v>650</v>
      </c>
      <c r="C6669" s="31" t="s">
        <v>3642</v>
      </c>
      <c r="D6669" s="30" t="s">
        <v>3663</v>
      </c>
      <c r="E6669" s="32">
        <v>46113.0</v>
      </c>
      <c r="F6669" s="32">
        <v>46171.0</v>
      </c>
      <c r="G6669" s="33"/>
    </row>
    <row r="6670" ht="15.75" customHeight="1">
      <c r="A6670" s="26" t="s">
        <v>10334</v>
      </c>
      <c r="B6670" s="27" t="s">
        <v>650</v>
      </c>
      <c r="C6670" s="27" t="s">
        <v>1308</v>
      </c>
      <c r="D6670" s="26" t="s">
        <v>3663</v>
      </c>
      <c r="E6670" s="28">
        <v>46113.0</v>
      </c>
      <c r="F6670" s="28">
        <v>46171.0</v>
      </c>
      <c r="G6670" s="29"/>
    </row>
    <row r="6671" ht="15.75" customHeight="1">
      <c r="A6671" s="30" t="s">
        <v>10335</v>
      </c>
      <c r="B6671" s="31" t="s">
        <v>650</v>
      </c>
      <c r="C6671" s="31" t="s">
        <v>1216</v>
      </c>
      <c r="D6671" s="30" t="s">
        <v>3663</v>
      </c>
      <c r="E6671" s="32">
        <v>46113.0</v>
      </c>
      <c r="F6671" s="32">
        <v>46171.0</v>
      </c>
      <c r="G6671" s="33"/>
    </row>
    <row r="6672" ht="15.75" customHeight="1">
      <c r="A6672" s="26" t="s">
        <v>10336</v>
      </c>
      <c r="B6672" s="27" t="s">
        <v>650</v>
      </c>
      <c r="C6672" s="27" t="s">
        <v>1351</v>
      </c>
      <c r="D6672" s="26" t="s">
        <v>3663</v>
      </c>
      <c r="E6672" s="28">
        <v>46113.0</v>
      </c>
      <c r="F6672" s="28">
        <v>46171.0</v>
      </c>
      <c r="G6672" s="29"/>
    </row>
    <row r="6673" ht="15.75" customHeight="1">
      <c r="A6673" s="30" t="s">
        <v>10337</v>
      </c>
      <c r="B6673" s="31" t="s">
        <v>650</v>
      </c>
      <c r="C6673" s="31" t="s">
        <v>1349</v>
      </c>
      <c r="D6673" s="30" t="s">
        <v>3663</v>
      </c>
      <c r="E6673" s="32">
        <v>46113.0</v>
      </c>
      <c r="F6673" s="32">
        <v>46171.0</v>
      </c>
      <c r="G6673" s="33"/>
    </row>
    <row r="6674" ht="15.75" customHeight="1">
      <c r="A6674" s="26" t="s">
        <v>10338</v>
      </c>
      <c r="B6674" s="27" t="s">
        <v>650</v>
      </c>
      <c r="C6674" s="27" t="s">
        <v>968</v>
      </c>
      <c r="D6674" s="26" t="s">
        <v>3663</v>
      </c>
      <c r="E6674" s="28">
        <v>46113.0</v>
      </c>
      <c r="F6674" s="28">
        <v>46171.0</v>
      </c>
      <c r="G6674" s="29"/>
    </row>
    <row r="6675" ht="15.75" customHeight="1">
      <c r="A6675" s="30" t="s">
        <v>10339</v>
      </c>
      <c r="B6675" s="31" t="s">
        <v>650</v>
      </c>
      <c r="C6675" s="31" t="s">
        <v>923</v>
      </c>
      <c r="D6675" s="30" t="s">
        <v>3663</v>
      </c>
      <c r="E6675" s="32">
        <v>46113.0</v>
      </c>
      <c r="F6675" s="32">
        <v>46171.0</v>
      </c>
      <c r="G6675" s="33"/>
    </row>
    <row r="6676" ht="15.75" customHeight="1">
      <c r="A6676" s="26" t="s">
        <v>10340</v>
      </c>
      <c r="B6676" s="27" t="s">
        <v>651</v>
      </c>
      <c r="C6676" s="27" t="s">
        <v>3654</v>
      </c>
      <c r="D6676" s="26" t="s">
        <v>3663</v>
      </c>
      <c r="E6676" s="28">
        <v>46113.0</v>
      </c>
      <c r="F6676" s="28">
        <v>46171.0</v>
      </c>
      <c r="G6676" s="29"/>
    </row>
    <row r="6677" ht="15.75" customHeight="1">
      <c r="A6677" s="30" t="s">
        <v>10341</v>
      </c>
      <c r="B6677" s="31" t="s">
        <v>651</v>
      </c>
      <c r="C6677" s="31" t="s">
        <v>3655</v>
      </c>
      <c r="D6677" s="30" t="s">
        <v>3663</v>
      </c>
      <c r="E6677" s="32">
        <v>46113.0</v>
      </c>
      <c r="F6677" s="32">
        <v>46171.0</v>
      </c>
      <c r="G6677" s="33"/>
    </row>
    <row r="6678" ht="15.75" customHeight="1">
      <c r="A6678" s="26" t="s">
        <v>10342</v>
      </c>
      <c r="B6678" s="27" t="s">
        <v>651</v>
      </c>
      <c r="C6678" s="27" t="s">
        <v>928</v>
      </c>
      <c r="D6678" s="26" t="s">
        <v>3663</v>
      </c>
      <c r="E6678" s="28">
        <v>46113.0</v>
      </c>
      <c r="F6678" s="28">
        <v>46171.0</v>
      </c>
      <c r="G6678" s="29"/>
    </row>
    <row r="6679" ht="15.75" customHeight="1">
      <c r="A6679" s="30" t="s">
        <v>10343</v>
      </c>
      <c r="B6679" s="31" t="s">
        <v>651</v>
      </c>
      <c r="C6679" s="31" t="s">
        <v>1354</v>
      </c>
      <c r="D6679" s="30" t="s">
        <v>3663</v>
      </c>
      <c r="E6679" s="32">
        <v>46113.0</v>
      </c>
      <c r="F6679" s="32">
        <v>46171.0</v>
      </c>
      <c r="G6679" s="33"/>
    </row>
    <row r="6680" ht="15.75" customHeight="1">
      <c r="A6680" s="26" t="s">
        <v>10344</v>
      </c>
      <c r="B6680" s="27" t="s">
        <v>651</v>
      </c>
      <c r="C6680" s="27" t="s">
        <v>1222</v>
      </c>
      <c r="D6680" s="26" t="s">
        <v>3663</v>
      </c>
      <c r="E6680" s="28">
        <v>46113.0</v>
      </c>
      <c r="F6680" s="28">
        <v>46171.0</v>
      </c>
      <c r="G6680" s="29"/>
    </row>
    <row r="6681" ht="15.75" customHeight="1">
      <c r="A6681" s="30" t="s">
        <v>10345</v>
      </c>
      <c r="B6681" s="31" t="s">
        <v>651</v>
      </c>
      <c r="C6681" s="31" t="s">
        <v>1224</v>
      </c>
      <c r="D6681" s="30" t="s">
        <v>3663</v>
      </c>
      <c r="E6681" s="32">
        <v>46113.0</v>
      </c>
      <c r="F6681" s="32">
        <v>46171.0</v>
      </c>
      <c r="G6681" s="33"/>
    </row>
    <row r="6682" ht="15.75" customHeight="1">
      <c r="A6682" s="26" t="s">
        <v>10346</v>
      </c>
      <c r="B6682" s="27" t="s">
        <v>651</v>
      </c>
      <c r="C6682" s="27" t="s">
        <v>1226</v>
      </c>
      <c r="D6682" s="26" t="s">
        <v>3663</v>
      </c>
      <c r="E6682" s="28">
        <v>46113.0</v>
      </c>
      <c r="F6682" s="28">
        <v>46171.0</v>
      </c>
      <c r="G6682" s="29"/>
    </row>
    <row r="6683" ht="15.75" customHeight="1">
      <c r="A6683" s="30" t="s">
        <v>10347</v>
      </c>
      <c r="B6683" s="31" t="s">
        <v>651</v>
      </c>
      <c r="C6683" s="31" t="s">
        <v>1228</v>
      </c>
      <c r="D6683" s="30" t="s">
        <v>3663</v>
      </c>
      <c r="E6683" s="32">
        <v>46113.0</v>
      </c>
      <c r="F6683" s="32">
        <v>46171.0</v>
      </c>
      <c r="G6683" s="33"/>
    </row>
    <row r="6684" ht="15.75" customHeight="1">
      <c r="A6684" s="26" t="s">
        <v>10348</v>
      </c>
      <c r="B6684" s="27" t="s">
        <v>651</v>
      </c>
      <c r="C6684" s="27" t="s">
        <v>3647</v>
      </c>
      <c r="D6684" s="26" t="s">
        <v>3663</v>
      </c>
      <c r="E6684" s="28">
        <v>46113.0</v>
      </c>
      <c r="F6684" s="28">
        <v>46171.0</v>
      </c>
      <c r="G6684" s="29"/>
    </row>
    <row r="6685" ht="15.75" customHeight="1">
      <c r="A6685" s="30" t="s">
        <v>10349</v>
      </c>
      <c r="B6685" s="31" t="s">
        <v>651</v>
      </c>
      <c r="C6685" s="31" t="s">
        <v>952</v>
      </c>
      <c r="D6685" s="30" t="s">
        <v>3663</v>
      </c>
      <c r="E6685" s="32">
        <v>46113.0</v>
      </c>
      <c r="F6685" s="32">
        <v>46171.0</v>
      </c>
      <c r="G6685" s="33"/>
    </row>
    <row r="6686" ht="15.75" customHeight="1">
      <c r="A6686" s="26" t="s">
        <v>10350</v>
      </c>
      <c r="B6686" s="27" t="s">
        <v>651</v>
      </c>
      <c r="C6686" s="27" t="s">
        <v>1216</v>
      </c>
      <c r="D6686" s="26" t="s">
        <v>3663</v>
      </c>
      <c r="E6686" s="28">
        <v>46113.0</v>
      </c>
      <c r="F6686" s="28">
        <v>46171.0</v>
      </c>
      <c r="G6686" s="29"/>
    </row>
    <row r="6687" ht="15.75" customHeight="1">
      <c r="A6687" s="30" t="s">
        <v>10351</v>
      </c>
      <c r="B6687" s="31" t="s">
        <v>651</v>
      </c>
      <c r="C6687" s="31" t="s">
        <v>1218</v>
      </c>
      <c r="D6687" s="30" t="s">
        <v>3663</v>
      </c>
      <c r="E6687" s="32">
        <v>46113.0</v>
      </c>
      <c r="F6687" s="32">
        <v>46171.0</v>
      </c>
      <c r="G6687" s="33"/>
    </row>
    <row r="6688" ht="15.75" customHeight="1">
      <c r="A6688" s="26" t="s">
        <v>10352</v>
      </c>
      <c r="B6688" s="27" t="s">
        <v>651</v>
      </c>
      <c r="C6688" s="27" t="s">
        <v>965</v>
      </c>
      <c r="D6688" s="26" t="s">
        <v>3663</v>
      </c>
      <c r="E6688" s="28">
        <v>46113.0</v>
      </c>
      <c r="F6688" s="28">
        <v>46171.0</v>
      </c>
      <c r="G6688" s="29"/>
    </row>
    <row r="6689" ht="15.75" customHeight="1">
      <c r="A6689" s="30" t="s">
        <v>10353</v>
      </c>
      <c r="B6689" s="31" t="s">
        <v>651</v>
      </c>
      <c r="C6689" s="31" t="s">
        <v>923</v>
      </c>
      <c r="D6689" s="30" t="s">
        <v>3663</v>
      </c>
      <c r="E6689" s="32">
        <v>46113.0</v>
      </c>
      <c r="F6689" s="32">
        <v>46171.0</v>
      </c>
      <c r="G6689" s="33"/>
    </row>
    <row r="6690" ht="15.75" customHeight="1">
      <c r="A6690" s="26" t="s">
        <v>10354</v>
      </c>
      <c r="B6690" s="27" t="s">
        <v>653</v>
      </c>
      <c r="C6690" s="27" t="s">
        <v>928</v>
      </c>
      <c r="D6690" s="26" t="s">
        <v>3663</v>
      </c>
      <c r="E6690" s="28">
        <v>46113.0</v>
      </c>
      <c r="F6690" s="28">
        <v>46171.0</v>
      </c>
      <c r="G6690" s="29"/>
    </row>
    <row r="6691" ht="15.75" customHeight="1">
      <c r="A6691" s="30" t="s">
        <v>10355</v>
      </c>
      <c r="B6691" s="31" t="s">
        <v>653</v>
      </c>
      <c r="C6691" s="31" t="s">
        <v>1354</v>
      </c>
      <c r="D6691" s="30" t="s">
        <v>3663</v>
      </c>
      <c r="E6691" s="32">
        <v>46113.0</v>
      </c>
      <c r="F6691" s="32">
        <v>46171.0</v>
      </c>
      <c r="G6691" s="33"/>
    </row>
    <row r="6692" ht="15.75" customHeight="1">
      <c r="A6692" s="26" t="s">
        <v>10356</v>
      </c>
      <c r="B6692" s="27" t="s">
        <v>653</v>
      </c>
      <c r="C6692" s="27" t="s">
        <v>1222</v>
      </c>
      <c r="D6692" s="26" t="s">
        <v>3663</v>
      </c>
      <c r="E6692" s="28">
        <v>46113.0</v>
      </c>
      <c r="F6692" s="28">
        <v>46171.0</v>
      </c>
      <c r="G6692" s="29"/>
    </row>
    <row r="6693" ht="15.75" customHeight="1">
      <c r="A6693" s="30" t="s">
        <v>10357</v>
      </c>
      <c r="B6693" s="31" t="s">
        <v>653</v>
      </c>
      <c r="C6693" s="31" t="s">
        <v>1224</v>
      </c>
      <c r="D6693" s="30" t="s">
        <v>3663</v>
      </c>
      <c r="E6693" s="32">
        <v>46113.0</v>
      </c>
      <c r="F6693" s="32">
        <v>46171.0</v>
      </c>
      <c r="G6693" s="33"/>
    </row>
    <row r="6694" ht="15.75" customHeight="1">
      <c r="A6694" s="26" t="s">
        <v>10358</v>
      </c>
      <c r="B6694" s="27" t="s">
        <v>653</v>
      </c>
      <c r="C6694" s="27" t="s">
        <v>1226</v>
      </c>
      <c r="D6694" s="26" t="s">
        <v>3663</v>
      </c>
      <c r="E6694" s="28">
        <v>46113.0</v>
      </c>
      <c r="F6694" s="28">
        <v>46171.0</v>
      </c>
      <c r="G6694" s="29"/>
    </row>
    <row r="6695" ht="15.75" customHeight="1">
      <c r="A6695" s="30" t="s">
        <v>10359</v>
      </c>
      <c r="B6695" s="31" t="s">
        <v>653</v>
      </c>
      <c r="C6695" s="31" t="s">
        <v>1228</v>
      </c>
      <c r="D6695" s="30" t="s">
        <v>3663</v>
      </c>
      <c r="E6695" s="32">
        <v>46113.0</v>
      </c>
      <c r="F6695" s="32">
        <v>46171.0</v>
      </c>
      <c r="G6695" s="33"/>
    </row>
    <row r="6696" ht="15.75" customHeight="1">
      <c r="A6696" s="26" t="s">
        <v>10360</v>
      </c>
      <c r="B6696" s="27" t="s">
        <v>653</v>
      </c>
      <c r="C6696" s="27" t="s">
        <v>1172</v>
      </c>
      <c r="D6696" s="26" t="s">
        <v>3663</v>
      </c>
      <c r="E6696" s="28">
        <v>46113.0</v>
      </c>
      <c r="F6696" s="28">
        <v>46171.0</v>
      </c>
      <c r="G6696" s="29"/>
    </row>
    <row r="6697" ht="15.75" customHeight="1">
      <c r="A6697" s="30" t="s">
        <v>10361</v>
      </c>
      <c r="B6697" s="31" t="s">
        <v>653</v>
      </c>
      <c r="C6697" s="31" t="s">
        <v>1351</v>
      </c>
      <c r="D6697" s="30" t="s">
        <v>3663</v>
      </c>
      <c r="E6697" s="32">
        <v>46113.0</v>
      </c>
      <c r="F6697" s="32">
        <v>46171.0</v>
      </c>
      <c r="G6697" s="33"/>
    </row>
    <row r="6698" ht="15.75" customHeight="1">
      <c r="A6698" s="26" t="s">
        <v>10362</v>
      </c>
      <c r="B6698" s="27" t="s">
        <v>653</v>
      </c>
      <c r="C6698" s="27" t="s">
        <v>1349</v>
      </c>
      <c r="D6698" s="26" t="s">
        <v>3663</v>
      </c>
      <c r="E6698" s="28">
        <v>46113.0</v>
      </c>
      <c r="F6698" s="28">
        <v>46171.0</v>
      </c>
      <c r="G6698" s="29"/>
    </row>
    <row r="6699" ht="15.75" customHeight="1">
      <c r="A6699" s="30" t="s">
        <v>10363</v>
      </c>
      <c r="B6699" s="31" t="s">
        <v>653</v>
      </c>
      <c r="C6699" s="31" t="s">
        <v>3653</v>
      </c>
      <c r="D6699" s="31" t="s">
        <v>3663</v>
      </c>
      <c r="E6699" s="32">
        <v>46113.0</v>
      </c>
      <c r="F6699" s="32">
        <v>46171.0</v>
      </c>
      <c r="G6699" s="33"/>
    </row>
    <row r="6700" ht="15.75" customHeight="1">
      <c r="A6700" s="26" t="s">
        <v>10364</v>
      </c>
      <c r="B6700" s="27" t="s">
        <v>653</v>
      </c>
      <c r="C6700" s="27" t="s">
        <v>3652</v>
      </c>
      <c r="D6700" s="26" t="s">
        <v>3663</v>
      </c>
      <c r="E6700" s="28">
        <v>46113.0</v>
      </c>
      <c r="F6700" s="28">
        <v>46171.0</v>
      </c>
      <c r="G6700" s="29"/>
    </row>
    <row r="6701" ht="15.75" customHeight="1">
      <c r="A6701" s="30" t="s">
        <v>10365</v>
      </c>
      <c r="B6701" s="31" t="s">
        <v>653</v>
      </c>
      <c r="C6701" s="31" t="s">
        <v>968</v>
      </c>
      <c r="D6701" s="30" t="s">
        <v>3663</v>
      </c>
      <c r="E6701" s="32">
        <v>46113.0</v>
      </c>
      <c r="F6701" s="32">
        <v>46171.0</v>
      </c>
      <c r="G6701" s="33"/>
    </row>
    <row r="6702" ht="15.75" customHeight="1">
      <c r="A6702" s="26" t="s">
        <v>10366</v>
      </c>
      <c r="B6702" s="27" t="s">
        <v>653</v>
      </c>
      <c r="C6702" s="27" t="s">
        <v>923</v>
      </c>
      <c r="D6702" s="26" t="s">
        <v>3663</v>
      </c>
      <c r="E6702" s="28">
        <v>46113.0</v>
      </c>
      <c r="F6702" s="28">
        <v>46171.0</v>
      </c>
      <c r="G6702" s="29"/>
    </row>
    <row r="6703" ht="15.75" customHeight="1">
      <c r="A6703" s="30" t="s">
        <v>10367</v>
      </c>
      <c r="B6703" s="31" t="s">
        <v>653</v>
      </c>
      <c r="C6703" s="31" t="s">
        <v>955</v>
      </c>
      <c r="D6703" s="30" t="s">
        <v>3663</v>
      </c>
      <c r="E6703" s="32">
        <v>46113.0</v>
      </c>
      <c r="F6703" s="32">
        <v>46171.0</v>
      </c>
      <c r="G6703" s="33"/>
    </row>
    <row r="6704" ht="15.75" customHeight="1">
      <c r="A6704" s="26" t="s">
        <v>10368</v>
      </c>
      <c r="B6704" s="27" t="s">
        <v>654</v>
      </c>
      <c r="C6704" s="27" t="s">
        <v>3654</v>
      </c>
      <c r="D6704" s="26" t="s">
        <v>3663</v>
      </c>
      <c r="E6704" s="28">
        <v>46113.0</v>
      </c>
      <c r="F6704" s="28">
        <v>46171.0</v>
      </c>
      <c r="G6704" s="29"/>
    </row>
    <row r="6705" ht="15.75" customHeight="1">
      <c r="A6705" s="30" t="s">
        <v>10369</v>
      </c>
      <c r="B6705" s="31" t="s">
        <v>654</v>
      </c>
      <c r="C6705" s="31" t="s">
        <v>3655</v>
      </c>
      <c r="D6705" s="30" t="s">
        <v>3663</v>
      </c>
      <c r="E6705" s="32">
        <v>46113.0</v>
      </c>
      <c r="F6705" s="32">
        <v>46171.0</v>
      </c>
      <c r="G6705" s="33"/>
    </row>
    <row r="6706" ht="15.75" customHeight="1">
      <c r="A6706" s="26" t="s">
        <v>10370</v>
      </c>
      <c r="B6706" s="27" t="s">
        <v>654</v>
      </c>
      <c r="C6706" s="27" t="s">
        <v>930</v>
      </c>
      <c r="D6706" s="27" t="s">
        <v>3663</v>
      </c>
      <c r="E6706" s="28">
        <v>46113.0</v>
      </c>
      <c r="F6706" s="28">
        <v>46171.0</v>
      </c>
      <c r="G6706" s="29"/>
    </row>
    <row r="6707" ht="15.75" customHeight="1">
      <c r="A6707" s="30" t="s">
        <v>10371</v>
      </c>
      <c r="B6707" s="31" t="s">
        <v>654</v>
      </c>
      <c r="C6707" s="31" t="s">
        <v>1354</v>
      </c>
      <c r="D6707" s="30" t="s">
        <v>3663</v>
      </c>
      <c r="E6707" s="32">
        <v>46113.0</v>
      </c>
      <c r="F6707" s="32">
        <v>46171.0</v>
      </c>
      <c r="G6707" s="33"/>
    </row>
    <row r="6708" ht="15.75" customHeight="1">
      <c r="A6708" s="26" t="s">
        <v>10372</v>
      </c>
      <c r="B6708" s="27" t="s">
        <v>654</v>
      </c>
      <c r="C6708" s="27" t="s">
        <v>1304</v>
      </c>
      <c r="D6708" s="27" t="s">
        <v>3663</v>
      </c>
      <c r="E6708" s="28">
        <v>46113.0</v>
      </c>
      <c r="F6708" s="28">
        <v>46171.0</v>
      </c>
      <c r="G6708" s="29"/>
    </row>
    <row r="6709" ht="15.75" customHeight="1">
      <c r="A6709" s="30" t="s">
        <v>10373</v>
      </c>
      <c r="B6709" s="31" t="s">
        <v>654</v>
      </c>
      <c r="C6709" s="31" t="s">
        <v>1306</v>
      </c>
      <c r="D6709" s="31" t="s">
        <v>3663</v>
      </c>
      <c r="E6709" s="32">
        <v>46113.0</v>
      </c>
      <c r="F6709" s="32">
        <v>46171.0</v>
      </c>
      <c r="G6709" s="33"/>
    </row>
    <row r="6710" ht="15.75" customHeight="1">
      <c r="A6710" s="26" t="s">
        <v>10374</v>
      </c>
      <c r="B6710" s="27" t="s">
        <v>654</v>
      </c>
      <c r="C6710" s="27" t="s">
        <v>1308</v>
      </c>
      <c r="D6710" s="27" t="s">
        <v>3663</v>
      </c>
      <c r="E6710" s="28">
        <v>46113.0</v>
      </c>
      <c r="F6710" s="28">
        <v>46171.0</v>
      </c>
      <c r="G6710" s="29"/>
    </row>
    <row r="6711" ht="15.75" customHeight="1">
      <c r="A6711" s="30" t="s">
        <v>10375</v>
      </c>
      <c r="B6711" s="31" t="s">
        <v>654</v>
      </c>
      <c r="C6711" s="31" t="s">
        <v>1310</v>
      </c>
      <c r="D6711" s="31" t="s">
        <v>3663</v>
      </c>
      <c r="E6711" s="32">
        <v>46113.0</v>
      </c>
      <c r="F6711" s="32">
        <v>46171.0</v>
      </c>
      <c r="G6711" s="33"/>
    </row>
    <row r="6712" ht="15.75" customHeight="1">
      <c r="A6712" s="26" t="s">
        <v>10376</v>
      </c>
      <c r="B6712" s="27" t="s">
        <v>654</v>
      </c>
      <c r="C6712" s="27" t="s">
        <v>1172</v>
      </c>
      <c r="D6712" s="26" t="s">
        <v>3663</v>
      </c>
      <c r="E6712" s="28">
        <v>46113.0</v>
      </c>
      <c r="F6712" s="28">
        <v>46171.0</v>
      </c>
      <c r="G6712" s="29"/>
    </row>
    <row r="6713" ht="15.75" customHeight="1">
      <c r="A6713" s="30" t="s">
        <v>10377</v>
      </c>
      <c r="B6713" s="31" t="s">
        <v>654</v>
      </c>
      <c r="C6713" s="31" t="s">
        <v>1216</v>
      </c>
      <c r="D6713" s="30" t="s">
        <v>3663</v>
      </c>
      <c r="E6713" s="32">
        <v>46113.0</v>
      </c>
      <c r="F6713" s="32">
        <v>46171.0</v>
      </c>
      <c r="G6713" s="33"/>
    </row>
    <row r="6714" ht="15.75" customHeight="1">
      <c r="A6714" s="26" t="s">
        <v>10378</v>
      </c>
      <c r="B6714" s="27" t="s">
        <v>654</v>
      </c>
      <c r="C6714" s="27" t="s">
        <v>1351</v>
      </c>
      <c r="D6714" s="26" t="s">
        <v>3663</v>
      </c>
      <c r="E6714" s="28">
        <v>46113.0</v>
      </c>
      <c r="F6714" s="28">
        <v>46171.0</v>
      </c>
      <c r="G6714" s="29"/>
    </row>
    <row r="6715" ht="15.75" customHeight="1">
      <c r="A6715" s="30" t="s">
        <v>10379</v>
      </c>
      <c r="B6715" s="31" t="s">
        <v>654</v>
      </c>
      <c r="C6715" s="31" t="s">
        <v>1349</v>
      </c>
      <c r="D6715" s="30" t="s">
        <v>3663</v>
      </c>
      <c r="E6715" s="32">
        <v>46113.0</v>
      </c>
      <c r="F6715" s="32">
        <v>46171.0</v>
      </c>
      <c r="G6715" s="33"/>
    </row>
    <row r="6716" ht="15.75" customHeight="1">
      <c r="A6716" s="26" t="s">
        <v>10380</v>
      </c>
      <c r="B6716" s="27" t="s">
        <v>654</v>
      </c>
      <c r="C6716" s="27" t="s">
        <v>968</v>
      </c>
      <c r="D6716" s="26" t="s">
        <v>3663</v>
      </c>
      <c r="E6716" s="28">
        <v>46113.0</v>
      </c>
      <c r="F6716" s="28">
        <v>46171.0</v>
      </c>
      <c r="G6716" s="29"/>
    </row>
    <row r="6717" ht="15.75" customHeight="1">
      <c r="A6717" s="30" t="s">
        <v>10381</v>
      </c>
      <c r="B6717" s="31" t="s">
        <v>654</v>
      </c>
      <c r="C6717" s="31" t="s">
        <v>923</v>
      </c>
      <c r="D6717" s="31" t="s">
        <v>3663</v>
      </c>
      <c r="E6717" s="32">
        <v>46113.0</v>
      </c>
      <c r="F6717" s="32">
        <v>46171.0</v>
      </c>
      <c r="G6717" s="33"/>
    </row>
    <row r="6718" ht="15.75" customHeight="1">
      <c r="A6718" s="26" t="s">
        <v>10382</v>
      </c>
      <c r="B6718" s="27" t="s">
        <v>655</v>
      </c>
      <c r="C6718" s="27" t="s">
        <v>932</v>
      </c>
      <c r="D6718" s="26" t="s">
        <v>3663</v>
      </c>
      <c r="E6718" s="28">
        <v>46113.0</v>
      </c>
      <c r="F6718" s="28">
        <v>46171.0</v>
      </c>
      <c r="G6718" s="29"/>
    </row>
    <row r="6719" ht="15.75" customHeight="1">
      <c r="A6719" s="30" t="s">
        <v>10383</v>
      </c>
      <c r="B6719" s="31" t="s">
        <v>655</v>
      </c>
      <c r="C6719" s="31" t="s">
        <v>1164</v>
      </c>
      <c r="D6719" s="30" t="s">
        <v>3663</v>
      </c>
      <c r="E6719" s="32">
        <v>46113.0</v>
      </c>
      <c r="F6719" s="32">
        <v>46171.0</v>
      </c>
      <c r="G6719" s="33"/>
    </row>
    <row r="6720" ht="15.75" customHeight="1">
      <c r="A6720" s="26" t="s">
        <v>10384</v>
      </c>
      <c r="B6720" s="27" t="s">
        <v>655</v>
      </c>
      <c r="C6720" s="27" t="s">
        <v>1166</v>
      </c>
      <c r="D6720" s="26" t="s">
        <v>3663</v>
      </c>
      <c r="E6720" s="28">
        <v>46113.0</v>
      </c>
      <c r="F6720" s="28">
        <v>46171.0</v>
      </c>
      <c r="G6720" s="29"/>
    </row>
    <row r="6721" ht="15.75" customHeight="1">
      <c r="A6721" s="30" t="s">
        <v>10385</v>
      </c>
      <c r="B6721" s="31" t="s">
        <v>655</v>
      </c>
      <c r="C6721" s="31" t="s">
        <v>1168</v>
      </c>
      <c r="D6721" s="30" t="s">
        <v>3663</v>
      </c>
      <c r="E6721" s="32">
        <v>46113.0</v>
      </c>
      <c r="F6721" s="32">
        <v>46171.0</v>
      </c>
      <c r="G6721" s="33"/>
    </row>
    <row r="6722" ht="15.75" customHeight="1">
      <c r="A6722" s="26" t="s">
        <v>10386</v>
      </c>
      <c r="B6722" s="27" t="s">
        <v>655</v>
      </c>
      <c r="C6722" s="27" t="s">
        <v>1170</v>
      </c>
      <c r="D6722" s="26" t="s">
        <v>3663</v>
      </c>
      <c r="E6722" s="28">
        <v>46113.0</v>
      </c>
      <c r="F6722" s="28">
        <v>46171.0</v>
      </c>
      <c r="G6722" s="29"/>
    </row>
    <row r="6723" ht="15.75" customHeight="1">
      <c r="A6723" s="30" t="s">
        <v>10387</v>
      </c>
      <c r="B6723" s="31" t="s">
        <v>655</v>
      </c>
      <c r="C6723" s="31" t="s">
        <v>1354</v>
      </c>
      <c r="D6723" s="30" t="s">
        <v>3663</v>
      </c>
      <c r="E6723" s="32">
        <v>46113.0</v>
      </c>
      <c r="F6723" s="32">
        <v>46171.0</v>
      </c>
      <c r="G6723" s="33"/>
    </row>
    <row r="6724" ht="15.75" customHeight="1">
      <c r="A6724" s="26" t="s">
        <v>10388</v>
      </c>
      <c r="B6724" s="27" t="s">
        <v>655</v>
      </c>
      <c r="C6724" s="27" t="s">
        <v>1172</v>
      </c>
      <c r="D6724" s="26" t="s">
        <v>3663</v>
      </c>
      <c r="E6724" s="28">
        <v>46113.0</v>
      </c>
      <c r="F6724" s="28">
        <v>46171.0</v>
      </c>
      <c r="G6724" s="35"/>
    </row>
    <row r="6725" ht="15.75" customHeight="1">
      <c r="A6725" s="30" t="s">
        <v>10389</v>
      </c>
      <c r="B6725" s="31" t="s">
        <v>655</v>
      </c>
      <c r="C6725" s="31" t="s">
        <v>1216</v>
      </c>
      <c r="D6725" s="30" t="s">
        <v>3663</v>
      </c>
      <c r="E6725" s="32">
        <v>46113.0</v>
      </c>
      <c r="F6725" s="32">
        <v>46171.0</v>
      </c>
      <c r="G6725" s="33"/>
    </row>
    <row r="6726" ht="15.75" customHeight="1">
      <c r="A6726" s="26" t="s">
        <v>10390</v>
      </c>
      <c r="B6726" s="27" t="s">
        <v>655</v>
      </c>
      <c r="C6726" s="27" t="s">
        <v>1351</v>
      </c>
      <c r="D6726" s="26" t="s">
        <v>3663</v>
      </c>
      <c r="E6726" s="28">
        <v>46113.0</v>
      </c>
      <c r="F6726" s="28">
        <v>46171.0</v>
      </c>
      <c r="G6726" s="29"/>
    </row>
    <row r="6727" ht="15.75" customHeight="1">
      <c r="A6727" s="30" t="s">
        <v>10391</v>
      </c>
      <c r="B6727" s="31" t="s">
        <v>655</v>
      </c>
      <c r="C6727" s="31" t="s">
        <v>1349</v>
      </c>
      <c r="D6727" s="30" t="s">
        <v>3663</v>
      </c>
      <c r="E6727" s="32">
        <v>46113.0</v>
      </c>
      <c r="F6727" s="32">
        <v>46171.0</v>
      </c>
      <c r="G6727" s="33"/>
    </row>
    <row r="6728" ht="15.75" customHeight="1">
      <c r="A6728" s="26" t="s">
        <v>10392</v>
      </c>
      <c r="B6728" s="27" t="s">
        <v>655</v>
      </c>
      <c r="C6728" s="27" t="s">
        <v>3653</v>
      </c>
      <c r="D6728" s="26" t="s">
        <v>3663</v>
      </c>
      <c r="E6728" s="28">
        <v>46113.0</v>
      </c>
      <c r="F6728" s="28">
        <v>46171.0</v>
      </c>
      <c r="G6728" s="29"/>
    </row>
    <row r="6729" ht="15.75" customHeight="1">
      <c r="A6729" s="30" t="s">
        <v>10393</v>
      </c>
      <c r="B6729" s="31" t="s">
        <v>655</v>
      </c>
      <c r="C6729" s="31" t="s">
        <v>3652</v>
      </c>
      <c r="D6729" s="31" t="s">
        <v>3663</v>
      </c>
      <c r="E6729" s="32">
        <v>46113.0</v>
      </c>
      <c r="F6729" s="32">
        <v>46171.0</v>
      </c>
      <c r="G6729" s="33"/>
    </row>
    <row r="6730" ht="15.75" customHeight="1">
      <c r="A6730" s="26" t="s">
        <v>10394</v>
      </c>
      <c r="B6730" s="27" t="s">
        <v>655</v>
      </c>
      <c r="C6730" s="27" t="s">
        <v>968</v>
      </c>
      <c r="D6730" s="26" t="s">
        <v>3663</v>
      </c>
      <c r="E6730" s="28">
        <v>46113.0</v>
      </c>
      <c r="F6730" s="28">
        <v>46171.0</v>
      </c>
      <c r="G6730" s="29"/>
    </row>
    <row r="6731" ht="15.75" customHeight="1">
      <c r="A6731" s="30" t="s">
        <v>10395</v>
      </c>
      <c r="B6731" s="31" t="s">
        <v>655</v>
      </c>
      <c r="C6731" s="31" t="s">
        <v>923</v>
      </c>
      <c r="D6731" s="30" t="s">
        <v>3663</v>
      </c>
      <c r="E6731" s="32">
        <v>46113.0</v>
      </c>
      <c r="F6731" s="32">
        <v>46171.0</v>
      </c>
      <c r="G6731" s="33"/>
    </row>
    <row r="6732" ht="15.75" customHeight="1">
      <c r="A6732" s="26" t="s">
        <v>10396</v>
      </c>
      <c r="B6732" s="27" t="s">
        <v>656</v>
      </c>
      <c r="C6732" s="27" t="s">
        <v>928</v>
      </c>
      <c r="D6732" s="26" t="s">
        <v>3663</v>
      </c>
      <c r="E6732" s="28">
        <v>46113.0</v>
      </c>
      <c r="F6732" s="28">
        <v>46171.0</v>
      </c>
      <c r="G6732" s="29"/>
    </row>
    <row r="6733" ht="15.75" customHeight="1">
      <c r="A6733" s="30" t="s">
        <v>10397</v>
      </c>
      <c r="B6733" s="31" t="s">
        <v>656</v>
      </c>
      <c r="C6733" s="31" t="s">
        <v>3640</v>
      </c>
      <c r="D6733" s="30" t="s">
        <v>3663</v>
      </c>
      <c r="E6733" s="32">
        <v>46113.0</v>
      </c>
      <c r="F6733" s="32">
        <v>46171.0</v>
      </c>
      <c r="G6733" s="33"/>
    </row>
    <row r="6734" ht="15.75" customHeight="1">
      <c r="A6734" s="26" t="s">
        <v>10398</v>
      </c>
      <c r="B6734" s="27" t="s">
        <v>656</v>
      </c>
      <c r="C6734" s="27" t="s">
        <v>1354</v>
      </c>
      <c r="D6734" s="26" t="s">
        <v>3663</v>
      </c>
      <c r="E6734" s="28">
        <v>46113.0</v>
      </c>
      <c r="F6734" s="28">
        <v>46171.0</v>
      </c>
      <c r="G6734" s="29"/>
    </row>
    <row r="6735" ht="15.75" customHeight="1">
      <c r="A6735" s="30" t="s">
        <v>10399</v>
      </c>
      <c r="B6735" s="31" t="s">
        <v>656</v>
      </c>
      <c r="C6735" s="31" t="s">
        <v>1222</v>
      </c>
      <c r="D6735" s="30" t="s">
        <v>3663</v>
      </c>
      <c r="E6735" s="32">
        <v>46113.0</v>
      </c>
      <c r="F6735" s="32">
        <v>46171.0</v>
      </c>
      <c r="G6735" s="33"/>
    </row>
    <row r="6736" ht="15.75" customHeight="1">
      <c r="A6736" s="26" t="s">
        <v>10400</v>
      </c>
      <c r="B6736" s="27" t="s">
        <v>656</v>
      </c>
      <c r="C6736" s="27" t="s">
        <v>1224</v>
      </c>
      <c r="D6736" s="26" t="s">
        <v>3663</v>
      </c>
      <c r="E6736" s="28">
        <v>46113.0</v>
      </c>
      <c r="F6736" s="28">
        <v>46171.0</v>
      </c>
      <c r="G6736" s="29"/>
    </row>
    <row r="6737" ht="15.75" customHeight="1">
      <c r="A6737" s="30" t="s">
        <v>10401</v>
      </c>
      <c r="B6737" s="31" t="s">
        <v>656</v>
      </c>
      <c r="C6737" s="31" t="s">
        <v>1226</v>
      </c>
      <c r="D6737" s="30" t="s">
        <v>3663</v>
      </c>
      <c r="E6737" s="32">
        <v>46113.0</v>
      </c>
      <c r="F6737" s="32">
        <v>46171.0</v>
      </c>
      <c r="G6737" s="33"/>
    </row>
    <row r="6738" ht="15.75" customHeight="1">
      <c r="A6738" s="26" t="s">
        <v>10402</v>
      </c>
      <c r="B6738" s="27" t="s">
        <v>656</v>
      </c>
      <c r="C6738" s="27" t="s">
        <v>1228</v>
      </c>
      <c r="D6738" s="26" t="s">
        <v>3663</v>
      </c>
      <c r="E6738" s="28">
        <v>46113.0</v>
      </c>
      <c r="F6738" s="28">
        <v>46171.0</v>
      </c>
      <c r="G6738" s="29"/>
    </row>
    <row r="6739" ht="15.75" customHeight="1">
      <c r="A6739" s="30" t="s">
        <v>10403</v>
      </c>
      <c r="B6739" s="31" t="s">
        <v>656</v>
      </c>
      <c r="C6739" s="31" t="s">
        <v>3656</v>
      </c>
      <c r="D6739" s="30" t="s">
        <v>3663</v>
      </c>
      <c r="E6739" s="32">
        <v>46113.0</v>
      </c>
      <c r="F6739" s="32">
        <v>46171.0</v>
      </c>
      <c r="G6739" s="33"/>
    </row>
    <row r="6740" ht="15.75" customHeight="1">
      <c r="A6740" s="26" t="s">
        <v>10404</v>
      </c>
      <c r="B6740" s="27" t="s">
        <v>656</v>
      </c>
      <c r="C6740" s="27" t="s">
        <v>3657</v>
      </c>
      <c r="D6740" s="26" t="s">
        <v>3663</v>
      </c>
      <c r="E6740" s="28">
        <v>46113.0</v>
      </c>
      <c r="F6740" s="28">
        <v>46171.0</v>
      </c>
      <c r="G6740" s="29"/>
    </row>
    <row r="6741" ht="15.75" customHeight="1">
      <c r="A6741" s="30" t="s">
        <v>10405</v>
      </c>
      <c r="B6741" s="31" t="s">
        <v>656</v>
      </c>
      <c r="C6741" s="31" t="s">
        <v>1351</v>
      </c>
      <c r="D6741" s="30" t="s">
        <v>3663</v>
      </c>
      <c r="E6741" s="32">
        <v>46113.0</v>
      </c>
      <c r="F6741" s="32">
        <v>46171.0</v>
      </c>
      <c r="G6741" s="33"/>
    </row>
    <row r="6742" ht="15.75" customHeight="1">
      <c r="A6742" s="26" t="s">
        <v>10406</v>
      </c>
      <c r="B6742" s="27" t="s">
        <v>656</v>
      </c>
      <c r="C6742" s="27" t="s">
        <v>1349</v>
      </c>
      <c r="D6742" s="26" t="s">
        <v>3663</v>
      </c>
      <c r="E6742" s="28">
        <v>46113.0</v>
      </c>
      <c r="F6742" s="28">
        <v>46171.0</v>
      </c>
      <c r="G6742" s="29"/>
    </row>
    <row r="6743" ht="15.75" customHeight="1">
      <c r="A6743" s="30" t="s">
        <v>10407</v>
      </c>
      <c r="B6743" s="31" t="s">
        <v>656</v>
      </c>
      <c r="C6743" s="31" t="s">
        <v>968</v>
      </c>
      <c r="D6743" s="30" t="s">
        <v>3663</v>
      </c>
      <c r="E6743" s="32">
        <v>46113.0</v>
      </c>
      <c r="F6743" s="32">
        <v>46171.0</v>
      </c>
      <c r="G6743" s="33"/>
    </row>
    <row r="6744" ht="15.75" customHeight="1">
      <c r="A6744" s="26" t="s">
        <v>10408</v>
      </c>
      <c r="B6744" s="27" t="s">
        <v>656</v>
      </c>
      <c r="C6744" s="27" t="s">
        <v>923</v>
      </c>
      <c r="D6744" s="26" t="s">
        <v>3663</v>
      </c>
      <c r="E6744" s="28">
        <v>46113.0</v>
      </c>
      <c r="F6744" s="28">
        <v>46171.0</v>
      </c>
      <c r="G6744" s="29"/>
    </row>
    <row r="6745" ht="15.75" customHeight="1">
      <c r="A6745" s="30" t="s">
        <v>10409</v>
      </c>
      <c r="B6745" s="31" t="s">
        <v>656</v>
      </c>
      <c r="C6745" s="31" t="s">
        <v>955</v>
      </c>
      <c r="D6745" s="30" t="s">
        <v>3663</v>
      </c>
      <c r="E6745" s="32">
        <v>46113.0</v>
      </c>
      <c r="F6745" s="32">
        <v>46171.0</v>
      </c>
      <c r="G6745" s="33"/>
    </row>
    <row r="6746" ht="15.75" customHeight="1">
      <c r="A6746" s="26" t="s">
        <v>10410</v>
      </c>
      <c r="B6746" s="27" t="s">
        <v>657</v>
      </c>
      <c r="C6746" s="27" t="s">
        <v>928</v>
      </c>
      <c r="D6746" s="26" t="s">
        <v>3663</v>
      </c>
      <c r="E6746" s="28">
        <v>46113.0</v>
      </c>
      <c r="F6746" s="28">
        <v>46171.0</v>
      </c>
      <c r="G6746" s="29"/>
    </row>
    <row r="6747" ht="15.75" customHeight="1">
      <c r="A6747" s="30" t="s">
        <v>10411</v>
      </c>
      <c r="B6747" s="31" t="s">
        <v>657</v>
      </c>
      <c r="C6747" s="31" t="s">
        <v>1354</v>
      </c>
      <c r="D6747" s="30" t="s">
        <v>3663</v>
      </c>
      <c r="E6747" s="32">
        <v>46113.0</v>
      </c>
      <c r="F6747" s="32">
        <v>46171.0</v>
      </c>
      <c r="G6747" s="33"/>
    </row>
    <row r="6748" ht="15.75" customHeight="1">
      <c r="A6748" s="26" t="s">
        <v>10412</v>
      </c>
      <c r="B6748" s="27" t="s">
        <v>657</v>
      </c>
      <c r="C6748" s="27" t="s">
        <v>1222</v>
      </c>
      <c r="D6748" s="26" t="s">
        <v>3663</v>
      </c>
      <c r="E6748" s="28">
        <v>46113.0</v>
      </c>
      <c r="F6748" s="28">
        <v>46171.0</v>
      </c>
      <c r="G6748" s="29"/>
    </row>
    <row r="6749" ht="15.75" customHeight="1">
      <c r="A6749" s="30" t="s">
        <v>10413</v>
      </c>
      <c r="B6749" s="31" t="s">
        <v>657</v>
      </c>
      <c r="C6749" s="31" t="s">
        <v>1224</v>
      </c>
      <c r="D6749" s="30" t="s">
        <v>3663</v>
      </c>
      <c r="E6749" s="32">
        <v>46113.0</v>
      </c>
      <c r="F6749" s="32">
        <v>46171.0</v>
      </c>
      <c r="G6749" s="33"/>
    </row>
    <row r="6750" ht="15.75" customHeight="1">
      <c r="A6750" s="26" t="s">
        <v>10414</v>
      </c>
      <c r="B6750" s="27" t="s">
        <v>657</v>
      </c>
      <c r="C6750" s="27" t="s">
        <v>1226</v>
      </c>
      <c r="D6750" s="26" t="s">
        <v>3663</v>
      </c>
      <c r="E6750" s="28">
        <v>46113.0</v>
      </c>
      <c r="F6750" s="28">
        <v>46171.0</v>
      </c>
      <c r="G6750" s="29"/>
    </row>
    <row r="6751" ht="15.75" customHeight="1">
      <c r="A6751" s="30" t="s">
        <v>10415</v>
      </c>
      <c r="B6751" s="31" t="s">
        <v>657</v>
      </c>
      <c r="C6751" s="31" t="s">
        <v>1228</v>
      </c>
      <c r="D6751" s="30" t="s">
        <v>3663</v>
      </c>
      <c r="E6751" s="32">
        <v>46113.0</v>
      </c>
      <c r="F6751" s="32">
        <v>46171.0</v>
      </c>
      <c r="G6751" s="33"/>
    </row>
    <row r="6752" ht="15.75" customHeight="1">
      <c r="A6752" s="26" t="s">
        <v>10416</v>
      </c>
      <c r="B6752" s="27" t="s">
        <v>657</v>
      </c>
      <c r="C6752" s="27" t="s">
        <v>1172</v>
      </c>
      <c r="D6752" s="26" t="s">
        <v>3663</v>
      </c>
      <c r="E6752" s="28">
        <v>46113.0</v>
      </c>
      <c r="F6752" s="28">
        <v>46171.0</v>
      </c>
      <c r="G6752" s="29"/>
    </row>
    <row r="6753" ht="15.75" customHeight="1">
      <c r="A6753" s="30" t="s">
        <v>10417</v>
      </c>
      <c r="B6753" s="31" t="s">
        <v>657</v>
      </c>
      <c r="C6753" s="31" t="s">
        <v>3656</v>
      </c>
      <c r="D6753" s="30" t="s">
        <v>3663</v>
      </c>
      <c r="E6753" s="32">
        <v>46113.0</v>
      </c>
      <c r="F6753" s="32">
        <v>46171.0</v>
      </c>
      <c r="G6753" s="33"/>
    </row>
    <row r="6754" ht="15.75" customHeight="1">
      <c r="A6754" s="26" t="s">
        <v>10418</v>
      </c>
      <c r="B6754" s="27" t="s">
        <v>657</v>
      </c>
      <c r="C6754" s="27" t="s">
        <v>3657</v>
      </c>
      <c r="D6754" s="26" t="s">
        <v>3663</v>
      </c>
      <c r="E6754" s="28">
        <v>46113.0</v>
      </c>
      <c r="F6754" s="28">
        <v>46171.0</v>
      </c>
      <c r="G6754" s="29"/>
    </row>
    <row r="6755" ht="15.75" customHeight="1">
      <c r="A6755" s="30" t="s">
        <v>10419</v>
      </c>
      <c r="B6755" s="31" t="s">
        <v>657</v>
      </c>
      <c r="C6755" s="31" t="s">
        <v>3647</v>
      </c>
      <c r="D6755" s="30" t="s">
        <v>3663</v>
      </c>
      <c r="E6755" s="32">
        <v>46113.0</v>
      </c>
      <c r="F6755" s="32">
        <v>46171.0</v>
      </c>
      <c r="G6755" s="33"/>
    </row>
    <row r="6756" ht="15.75" customHeight="1">
      <c r="A6756" s="26" t="s">
        <v>10420</v>
      </c>
      <c r="B6756" s="27" t="s">
        <v>657</v>
      </c>
      <c r="C6756" s="27" t="s">
        <v>952</v>
      </c>
      <c r="D6756" s="26" t="s">
        <v>3663</v>
      </c>
      <c r="E6756" s="28">
        <v>46113.0</v>
      </c>
      <c r="F6756" s="28">
        <v>46171.0</v>
      </c>
      <c r="G6756" s="29"/>
    </row>
    <row r="6757" ht="15.75" customHeight="1">
      <c r="A6757" s="30" t="s">
        <v>10421</v>
      </c>
      <c r="B6757" s="31" t="s">
        <v>657</v>
      </c>
      <c r="C6757" s="31" t="s">
        <v>1216</v>
      </c>
      <c r="D6757" s="30" t="s">
        <v>3663</v>
      </c>
      <c r="E6757" s="32">
        <v>46113.0</v>
      </c>
      <c r="F6757" s="32">
        <v>46171.0</v>
      </c>
      <c r="G6757" s="33"/>
    </row>
    <row r="6758" ht="15.75" customHeight="1">
      <c r="A6758" s="26" t="s">
        <v>10422</v>
      </c>
      <c r="B6758" s="27" t="s">
        <v>657</v>
      </c>
      <c r="C6758" s="27" t="s">
        <v>968</v>
      </c>
      <c r="D6758" s="26" t="s">
        <v>3663</v>
      </c>
      <c r="E6758" s="28">
        <v>46113.0</v>
      </c>
      <c r="F6758" s="28">
        <v>46171.0</v>
      </c>
      <c r="G6758" s="29"/>
    </row>
    <row r="6759" ht="15.75" customHeight="1">
      <c r="A6759" s="30" t="s">
        <v>10423</v>
      </c>
      <c r="B6759" s="31" t="s">
        <v>657</v>
      </c>
      <c r="C6759" s="31" t="s">
        <v>923</v>
      </c>
      <c r="D6759" s="30" t="s">
        <v>3663</v>
      </c>
      <c r="E6759" s="32">
        <v>46113.0</v>
      </c>
      <c r="F6759" s="32">
        <v>46171.0</v>
      </c>
      <c r="G6759" s="33"/>
    </row>
    <row r="6760" ht="15.75" customHeight="1">
      <c r="A6760" s="26" t="s">
        <v>10424</v>
      </c>
      <c r="B6760" s="27" t="s">
        <v>658</v>
      </c>
      <c r="C6760" s="27" t="s">
        <v>1240</v>
      </c>
      <c r="D6760" s="26" t="s">
        <v>3663</v>
      </c>
      <c r="E6760" s="28">
        <v>46113.0</v>
      </c>
      <c r="F6760" s="28">
        <v>46171.0</v>
      </c>
      <c r="G6760" s="29"/>
    </row>
    <row r="6761" ht="15.75" customHeight="1">
      <c r="A6761" s="30" t="s">
        <v>10425</v>
      </c>
      <c r="B6761" s="31" t="s">
        <v>658</v>
      </c>
      <c r="C6761" s="31" t="s">
        <v>1242</v>
      </c>
      <c r="D6761" s="30" t="s">
        <v>3663</v>
      </c>
      <c r="E6761" s="32">
        <v>46113.0</v>
      </c>
      <c r="F6761" s="32">
        <v>46171.0</v>
      </c>
      <c r="G6761" s="33"/>
    </row>
    <row r="6762" ht="15.75" customHeight="1">
      <c r="A6762" s="26" t="s">
        <v>10426</v>
      </c>
      <c r="B6762" s="27" t="s">
        <v>658</v>
      </c>
      <c r="C6762" s="27" t="s">
        <v>1244</v>
      </c>
      <c r="D6762" s="26" t="s">
        <v>3663</v>
      </c>
      <c r="E6762" s="28">
        <v>46113.0</v>
      </c>
      <c r="F6762" s="28">
        <v>46171.0</v>
      </c>
      <c r="G6762" s="29"/>
    </row>
    <row r="6763" ht="15.75" customHeight="1">
      <c r="A6763" s="30" t="s">
        <v>10427</v>
      </c>
      <c r="B6763" s="31" t="s">
        <v>658</v>
      </c>
      <c r="C6763" s="31" t="s">
        <v>1246</v>
      </c>
      <c r="D6763" s="30" t="s">
        <v>3663</v>
      </c>
      <c r="E6763" s="32">
        <v>46113.0</v>
      </c>
      <c r="F6763" s="32">
        <v>46171.0</v>
      </c>
      <c r="G6763" s="33"/>
    </row>
    <row r="6764" ht="15.75" customHeight="1">
      <c r="A6764" s="26" t="s">
        <v>10428</v>
      </c>
      <c r="B6764" s="27" t="s">
        <v>658</v>
      </c>
      <c r="C6764" s="27" t="s">
        <v>3654</v>
      </c>
      <c r="D6764" s="26" t="s">
        <v>3663</v>
      </c>
      <c r="E6764" s="28">
        <v>46113.0</v>
      </c>
      <c r="F6764" s="28">
        <v>46171.0</v>
      </c>
      <c r="G6764" s="29"/>
    </row>
    <row r="6765" ht="15.75" customHeight="1">
      <c r="A6765" s="30" t="s">
        <v>10429</v>
      </c>
      <c r="B6765" s="31" t="s">
        <v>658</v>
      </c>
      <c r="C6765" s="31" t="s">
        <v>3655</v>
      </c>
      <c r="D6765" s="30" t="s">
        <v>3663</v>
      </c>
      <c r="E6765" s="32">
        <v>46113.0</v>
      </c>
      <c r="F6765" s="32">
        <v>46171.0</v>
      </c>
      <c r="G6765" s="33"/>
    </row>
    <row r="6766" ht="15.75" customHeight="1">
      <c r="A6766" s="26" t="s">
        <v>10430</v>
      </c>
      <c r="B6766" s="27" t="s">
        <v>658</v>
      </c>
      <c r="C6766" s="27" t="s">
        <v>934</v>
      </c>
      <c r="D6766" s="26" t="s">
        <v>3663</v>
      </c>
      <c r="E6766" s="28">
        <v>46113.0</v>
      </c>
      <c r="F6766" s="28">
        <v>46171.0</v>
      </c>
      <c r="G6766" s="29"/>
    </row>
    <row r="6767" ht="15.75" customHeight="1">
      <c r="A6767" s="30" t="s">
        <v>10431</v>
      </c>
      <c r="B6767" s="31" t="s">
        <v>658</v>
      </c>
      <c r="C6767" s="31" t="s">
        <v>1354</v>
      </c>
      <c r="D6767" s="30" t="s">
        <v>3663</v>
      </c>
      <c r="E6767" s="32">
        <v>46113.0</v>
      </c>
      <c r="F6767" s="32">
        <v>46171.0</v>
      </c>
      <c r="G6767" s="33"/>
    </row>
    <row r="6768" ht="15.75" customHeight="1">
      <c r="A6768" s="26" t="s">
        <v>10432</v>
      </c>
      <c r="B6768" s="27" t="s">
        <v>658</v>
      </c>
      <c r="C6768" s="27" t="s">
        <v>1208</v>
      </c>
      <c r="D6768" s="26" t="s">
        <v>3663</v>
      </c>
      <c r="E6768" s="28">
        <v>46113.0</v>
      </c>
      <c r="F6768" s="28">
        <v>46171.0</v>
      </c>
      <c r="G6768" s="29"/>
    </row>
    <row r="6769" ht="15.75" customHeight="1">
      <c r="A6769" s="30" t="s">
        <v>10433</v>
      </c>
      <c r="B6769" s="31" t="s">
        <v>658</v>
      </c>
      <c r="C6769" s="31" t="s">
        <v>1159</v>
      </c>
      <c r="D6769" s="30" t="s">
        <v>3663</v>
      </c>
      <c r="E6769" s="32">
        <v>46113.0</v>
      </c>
      <c r="F6769" s="32">
        <v>46171.0</v>
      </c>
      <c r="G6769" s="33"/>
    </row>
    <row r="6770" ht="15.75" customHeight="1">
      <c r="A6770" s="26" t="s">
        <v>10434</v>
      </c>
      <c r="B6770" s="27" t="s">
        <v>658</v>
      </c>
      <c r="C6770" s="27" t="s">
        <v>3647</v>
      </c>
      <c r="D6770" s="26" t="s">
        <v>3663</v>
      </c>
      <c r="E6770" s="28">
        <v>46113.0</v>
      </c>
      <c r="F6770" s="28">
        <v>46171.0</v>
      </c>
      <c r="G6770" s="29"/>
    </row>
    <row r="6771" ht="15.75" customHeight="1">
      <c r="A6771" s="30" t="s">
        <v>10435</v>
      </c>
      <c r="B6771" s="31" t="s">
        <v>658</v>
      </c>
      <c r="C6771" s="31" t="s">
        <v>952</v>
      </c>
      <c r="D6771" s="30" t="s">
        <v>3663</v>
      </c>
      <c r="E6771" s="32">
        <v>46113.0</v>
      </c>
      <c r="F6771" s="32">
        <v>46171.0</v>
      </c>
      <c r="G6771" s="33"/>
    </row>
    <row r="6772" ht="15.75" customHeight="1">
      <c r="A6772" s="26" t="s">
        <v>10436</v>
      </c>
      <c r="B6772" s="27" t="s">
        <v>658</v>
      </c>
      <c r="C6772" s="27" t="s">
        <v>968</v>
      </c>
      <c r="D6772" s="26" t="s">
        <v>3663</v>
      </c>
      <c r="E6772" s="28">
        <v>46113.0</v>
      </c>
      <c r="F6772" s="28">
        <v>46171.0</v>
      </c>
      <c r="G6772" s="29"/>
    </row>
    <row r="6773" ht="15.75" customHeight="1">
      <c r="A6773" s="30" t="s">
        <v>10437</v>
      </c>
      <c r="B6773" s="31" t="s">
        <v>658</v>
      </c>
      <c r="C6773" s="31" t="s">
        <v>923</v>
      </c>
      <c r="D6773" s="30" t="s">
        <v>3663</v>
      </c>
      <c r="E6773" s="32">
        <v>46113.0</v>
      </c>
      <c r="F6773" s="32">
        <v>46171.0</v>
      </c>
      <c r="G6773" s="33"/>
    </row>
    <row r="6774" ht="15.75" customHeight="1">
      <c r="A6774" s="26" t="s">
        <v>10438</v>
      </c>
      <c r="B6774" s="27" t="s">
        <v>659</v>
      </c>
      <c r="C6774" s="27" t="s">
        <v>3654</v>
      </c>
      <c r="D6774" s="26" t="s">
        <v>3663</v>
      </c>
      <c r="E6774" s="28">
        <v>46113.0</v>
      </c>
      <c r="F6774" s="28">
        <v>46171.0</v>
      </c>
      <c r="G6774" s="29"/>
    </row>
    <row r="6775" ht="15.75" customHeight="1">
      <c r="A6775" s="30" t="s">
        <v>10439</v>
      </c>
      <c r="B6775" s="31" t="s">
        <v>659</v>
      </c>
      <c r="C6775" s="31" t="s">
        <v>3655</v>
      </c>
      <c r="D6775" s="30" t="s">
        <v>3663</v>
      </c>
      <c r="E6775" s="32">
        <v>46113.0</v>
      </c>
      <c r="F6775" s="32">
        <v>46171.0</v>
      </c>
      <c r="G6775" s="33"/>
    </row>
    <row r="6776" ht="15.75" customHeight="1">
      <c r="A6776" s="26" t="s">
        <v>10440</v>
      </c>
      <c r="B6776" s="27" t="s">
        <v>659</v>
      </c>
      <c r="C6776" s="27" t="s">
        <v>928</v>
      </c>
      <c r="D6776" s="26" t="s">
        <v>3663</v>
      </c>
      <c r="E6776" s="28">
        <v>46113.0</v>
      </c>
      <c r="F6776" s="28">
        <v>46171.0</v>
      </c>
      <c r="G6776" s="29"/>
    </row>
    <row r="6777" ht="15.75" customHeight="1">
      <c r="A6777" s="30" t="s">
        <v>10441</v>
      </c>
      <c r="B6777" s="31" t="s">
        <v>659</v>
      </c>
      <c r="C6777" s="31" t="s">
        <v>1354</v>
      </c>
      <c r="D6777" s="30" t="s">
        <v>3663</v>
      </c>
      <c r="E6777" s="32">
        <v>46113.0</v>
      </c>
      <c r="F6777" s="32">
        <v>46171.0</v>
      </c>
      <c r="G6777" s="33"/>
    </row>
    <row r="6778" ht="15.75" customHeight="1">
      <c r="A6778" s="26" t="s">
        <v>10442</v>
      </c>
      <c r="B6778" s="27" t="s">
        <v>659</v>
      </c>
      <c r="C6778" s="27" t="s">
        <v>1222</v>
      </c>
      <c r="D6778" s="26" t="s">
        <v>3663</v>
      </c>
      <c r="E6778" s="28">
        <v>46113.0</v>
      </c>
      <c r="F6778" s="28">
        <v>46171.0</v>
      </c>
      <c r="G6778" s="29"/>
    </row>
    <row r="6779" ht="15.75" customHeight="1">
      <c r="A6779" s="30" t="s">
        <v>10443</v>
      </c>
      <c r="B6779" s="31" t="s">
        <v>659</v>
      </c>
      <c r="C6779" s="31" t="s">
        <v>1224</v>
      </c>
      <c r="D6779" s="30" t="s">
        <v>3663</v>
      </c>
      <c r="E6779" s="32">
        <v>46113.0</v>
      </c>
      <c r="F6779" s="32">
        <v>46171.0</v>
      </c>
      <c r="G6779" s="33"/>
    </row>
    <row r="6780" ht="15.75" customHeight="1">
      <c r="A6780" s="26" t="s">
        <v>10444</v>
      </c>
      <c r="B6780" s="27" t="s">
        <v>659</v>
      </c>
      <c r="C6780" s="27" t="s">
        <v>1226</v>
      </c>
      <c r="D6780" s="26" t="s">
        <v>3663</v>
      </c>
      <c r="E6780" s="28">
        <v>46113.0</v>
      </c>
      <c r="F6780" s="28">
        <v>46171.0</v>
      </c>
      <c r="G6780" s="29"/>
    </row>
    <row r="6781" ht="15.75" customHeight="1">
      <c r="A6781" s="30" t="s">
        <v>10445</v>
      </c>
      <c r="B6781" s="31" t="s">
        <v>659</v>
      </c>
      <c r="C6781" s="31" t="s">
        <v>1228</v>
      </c>
      <c r="D6781" s="30" t="s">
        <v>3663</v>
      </c>
      <c r="E6781" s="32">
        <v>46113.0</v>
      </c>
      <c r="F6781" s="32">
        <v>46171.0</v>
      </c>
      <c r="G6781" s="33"/>
    </row>
    <row r="6782" ht="15.75" customHeight="1">
      <c r="A6782" s="26" t="s">
        <v>10446</v>
      </c>
      <c r="B6782" s="27" t="s">
        <v>659</v>
      </c>
      <c r="C6782" s="27" t="s">
        <v>1159</v>
      </c>
      <c r="D6782" s="26" t="s">
        <v>3663</v>
      </c>
      <c r="E6782" s="28">
        <v>46113.0</v>
      </c>
      <c r="F6782" s="28">
        <v>46171.0</v>
      </c>
      <c r="G6782" s="29"/>
    </row>
    <row r="6783" ht="15.75" customHeight="1">
      <c r="A6783" s="30" t="s">
        <v>10447</v>
      </c>
      <c r="B6783" s="31" t="s">
        <v>659</v>
      </c>
      <c r="C6783" s="31" t="s">
        <v>1351</v>
      </c>
      <c r="D6783" s="30" t="s">
        <v>3663</v>
      </c>
      <c r="E6783" s="32">
        <v>46113.0</v>
      </c>
      <c r="F6783" s="32">
        <v>46171.0</v>
      </c>
      <c r="G6783" s="33"/>
    </row>
    <row r="6784" ht="15.75" customHeight="1">
      <c r="A6784" s="26" t="s">
        <v>10448</v>
      </c>
      <c r="B6784" s="27" t="s">
        <v>659</v>
      </c>
      <c r="C6784" s="27" t="s">
        <v>1349</v>
      </c>
      <c r="D6784" s="26" t="s">
        <v>3663</v>
      </c>
      <c r="E6784" s="28">
        <v>46113.0</v>
      </c>
      <c r="F6784" s="28">
        <v>46171.0</v>
      </c>
      <c r="G6784" s="29"/>
    </row>
    <row r="6785" ht="15.75" customHeight="1">
      <c r="A6785" s="30" t="s">
        <v>10449</v>
      </c>
      <c r="B6785" s="31" t="s">
        <v>659</v>
      </c>
      <c r="C6785" s="31" t="s">
        <v>968</v>
      </c>
      <c r="D6785" s="30" t="s">
        <v>3663</v>
      </c>
      <c r="E6785" s="32">
        <v>46113.0</v>
      </c>
      <c r="F6785" s="32">
        <v>46171.0</v>
      </c>
      <c r="G6785" s="33"/>
    </row>
    <row r="6786" ht="15.75" customHeight="1">
      <c r="A6786" s="26" t="s">
        <v>10450</v>
      </c>
      <c r="B6786" s="27" t="s">
        <v>659</v>
      </c>
      <c r="C6786" s="27" t="s">
        <v>923</v>
      </c>
      <c r="D6786" s="26" t="s">
        <v>3663</v>
      </c>
      <c r="E6786" s="28">
        <v>46113.0</v>
      </c>
      <c r="F6786" s="28">
        <v>46171.0</v>
      </c>
      <c r="G6786" s="29"/>
    </row>
    <row r="6787" ht="15.75" customHeight="1">
      <c r="A6787" s="30" t="s">
        <v>10451</v>
      </c>
      <c r="B6787" s="31" t="s">
        <v>659</v>
      </c>
      <c r="C6787" s="31" t="s">
        <v>958</v>
      </c>
      <c r="D6787" s="30" t="s">
        <v>3663</v>
      </c>
      <c r="E6787" s="32">
        <v>46113.0</v>
      </c>
      <c r="F6787" s="32">
        <v>46171.0</v>
      </c>
      <c r="G6787" s="33"/>
    </row>
    <row r="6788" ht="15.75" customHeight="1">
      <c r="A6788" s="26" t="s">
        <v>10452</v>
      </c>
      <c r="B6788" s="27" t="s">
        <v>660</v>
      </c>
      <c r="C6788" s="27" t="s">
        <v>3654</v>
      </c>
      <c r="D6788" s="26" t="s">
        <v>3663</v>
      </c>
      <c r="E6788" s="28">
        <v>46113.0</v>
      </c>
      <c r="F6788" s="28">
        <v>46171.0</v>
      </c>
      <c r="G6788" s="29"/>
    </row>
    <row r="6789" ht="15.75" customHeight="1">
      <c r="A6789" s="30" t="s">
        <v>10453</v>
      </c>
      <c r="B6789" s="31" t="s">
        <v>660</v>
      </c>
      <c r="C6789" s="31" t="s">
        <v>3655</v>
      </c>
      <c r="D6789" s="30" t="s">
        <v>3663</v>
      </c>
      <c r="E6789" s="32">
        <v>46113.0</v>
      </c>
      <c r="F6789" s="32">
        <v>46171.0</v>
      </c>
      <c r="G6789" s="33"/>
    </row>
    <row r="6790" ht="15.75" customHeight="1">
      <c r="A6790" s="26" t="s">
        <v>10454</v>
      </c>
      <c r="B6790" s="27" t="s">
        <v>660</v>
      </c>
      <c r="C6790" s="27" t="s">
        <v>930</v>
      </c>
      <c r="D6790" s="26" t="s">
        <v>3663</v>
      </c>
      <c r="E6790" s="28">
        <v>46113.0</v>
      </c>
      <c r="F6790" s="28">
        <v>46171.0</v>
      </c>
      <c r="G6790" s="29"/>
    </row>
    <row r="6791" ht="15.75" customHeight="1">
      <c r="A6791" s="30" t="s">
        <v>10455</v>
      </c>
      <c r="B6791" s="31" t="s">
        <v>660</v>
      </c>
      <c r="C6791" s="31" t="s">
        <v>1354</v>
      </c>
      <c r="D6791" s="30" t="s">
        <v>3663</v>
      </c>
      <c r="E6791" s="32">
        <v>46113.0</v>
      </c>
      <c r="F6791" s="32">
        <v>46171.0</v>
      </c>
      <c r="G6791" s="33"/>
    </row>
    <row r="6792" ht="15.75" customHeight="1">
      <c r="A6792" s="26" t="s">
        <v>10456</v>
      </c>
      <c r="B6792" s="27" t="s">
        <v>660</v>
      </c>
      <c r="C6792" s="27" t="s">
        <v>1304</v>
      </c>
      <c r="D6792" s="26" t="s">
        <v>3663</v>
      </c>
      <c r="E6792" s="28">
        <v>46113.0</v>
      </c>
      <c r="F6792" s="28">
        <v>46171.0</v>
      </c>
      <c r="G6792" s="29"/>
    </row>
    <row r="6793" ht="15.75" customHeight="1">
      <c r="A6793" s="30" t="s">
        <v>10457</v>
      </c>
      <c r="B6793" s="31" t="s">
        <v>660</v>
      </c>
      <c r="C6793" s="31" t="s">
        <v>1306</v>
      </c>
      <c r="D6793" s="30" t="s">
        <v>3663</v>
      </c>
      <c r="E6793" s="32">
        <v>46113.0</v>
      </c>
      <c r="F6793" s="32">
        <v>46171.0</v>
      </c>
      <c r="G6793" s="33"/>
    </row>
    <row r="6794" ht="15.75" customHeight="1">
      <c r="A6794" s="26" t="s">
        <v>10458</v>
      </c>
      <c r="B6794" s="27" t="s">
        <v>660</v>
      </c>
      <c r="C6794" s="27" t="s">
        <v>1308</v>
      </c>
      <c r="D6794" s="26" t="s">
        <v>3663</v>
      </c>
      <c r="E6794" s="28">
        <v>46113.0</v>
      </c>
      <c r="F6794" s="28">
        <v>46171.0</v>
      </c>
      <c r="G6794" s="29"/>
    </row>
    <row r="6795" ht="15.75" customHeight="1">
      <c r="A6795" s="30" t="s">
        <v>10459</v>
      </c>
      <c r="B6795" s="31" t="s">
        <v>660</v>
      </c>
      <c r="C6795" s="31" t="s">
        <v>1310</v>
      </c>
      <c r="D6795" s="30" t="s">
        <v>3663</v>
      </c>
      <c r="E6795" s="32">
        <v>46113.0</v>
      </c>
      <c r="F6795" s="32">
        <v>46171.0</v>
      </c>
      <c r="G6795" s="33"/>
    </row>
    <row r="6796" ht="15.75" customHeight="1">
      <c r="A6796" s="26" t="s">
        <v>10460</v>
      </c>
      <c r="B6796" s="27" t="s">
        <v>660</v>
      </c>
      <c r="C6796" s="27" t="s">
        <v>1351</v>
      </c>
      <c r="D6796" s="26" t="s">
        <v>3663</v>
      </c>
      <c r="E6796" s="28">
        <v>46113.0</v>
      </c>
      <c r="F6796" s="28">
        <v>46171.0</v>
      </c>
      <c r="G6796" s="29"/>
    </row>
    <row r="6797" ht="15.75" customHeight="1">
      <c r="A6797" s="30" t="s">
        <v>10461</v>
      </c>
      <c r="B6797" s="31" t="s">
        <v>660</v>
      </c>
      <c r="C6797" s="31" t="s">
        <v>1349</v>
      </c>
      <c r="D6797" s="30" t="s">
        <v>3663</v>
      </c>
      <c r="E6797" s="32">
        <v>46113.0</v>
      </c>
      <c r="F6797" s="32">
        <v>46171.0</v>
      </c>
      <c r="G6797" s="33"/>
    </row>
    <row r="6798" ht="15.75" customHeight="1">
      <c r="A6798" s="26" t="s">
        <v>10462</v>
      </c>
      <c r="B6798" s="27" t="s">
        <v>660</v>
      </c>
      <c r="C6798" s="27" t="s">
        <v>968</v>
      </c>
      <c r="D6798" s="26" t="s">
        <v>3663</v>
      </c>
      <c r="E6798" s="28">
        <v>46113.0</v>
      </c>
      <c r="F6798" s="28">
        <v>46171.0</v>
      </c>
      <c r="G6798" s="29"/>
    </row>
    <row r="6799" ht="15.75" customHeight="1">
      <c r="A6799" s="30" t="s">
        <v>10463</v>
      </c>
      <c r="B6799" s="31" t="s">
        <v>660</v>
      </c>
      <c r="C6799" s="31" t="s">
        <v>923</v>
      </c>
      <c r="D6799" s="30" t="s">
        <v>3663</v>
      </c>
      <c r="E6799" s="32">
        <v>46113.0</v>
      </c>
      <c r="F6799" s="32">
        <v>46171.0</v>
      </c>
      <c r="G6799" s="33"/>
    </row>
    <row r="6800" ht="15.75" customHeight="1">
      <c r="A6800" s="26" t="s">
        <v>10464</v>
      </c>
      <c r="B6800" s="27" t="s">
        <v>660</v>
      </c>
      <c r="C6800" s="27" t="s">
        <v>958</v>
      </c>
      <c r="D6800" s="26" t="s">
        <v>3663</v>
      </c>
      <c r="E6800" s="28">
        <v>46113.0</v>
      </c>
      <c r="F6800" s="28">
        <v>46171.0</v>
      </c>
      <c r="G6800" s="29"/>
    </row>
    <row r="6801" ht="15.75" customHeight="1">
      <c r="A6801" s="30" t="s">
        <v>10465</v>
      </c>
      <c r="B6801" s="31" t="s">
        <v>660</v>
      </c>
      <c r="C6801" s="31" t="s">
        <v>955</v>
      </c>
      <c r="D6801" s="30" t="s">
        <v>3663</v>
      </c>
      <c r="E6801" s="32">
        <v>46113.0</v>
      </c>
      <c r="F6801" s="32">
        <v>46171.0</v>
      </c>
      <c r="G6801" s="33"/>
    </row>
    <row r="6802" ht="15.75" customHeight="1">
      <c r="A6802" s="26" t="s">
        <v>10466</v>
      </c>
      <c r="B6802" s="27" t="s">
        <v>1302</v>
      </c>
      <c r="C6802" s="27" t="s">
        <v>930</v>
      </c>
      <c r="D6802" s="26" t="s">
        <v>3750</v>
      </c>
      <c r="E6802" s="28">
        <v>46113.0</v>
      </c>
      <c r="F6802" s="28">
        <v>46171.0</v>
      </c>
      <c r="G6802" s="29"/>
    </row>
    <row r="6803" ht="15.75" customHeight="1">
      <c r="A6803" s="30" t="s">
        <v>10467</v>
      </c>
      <c r="B6803" s="31" t="s">
        <v>1302</v>
      </c>
      <c r="C6803" s="31" t="s">
        <v>1354</v>
      </c>
      <c r="D6803" s="30" t="s">
        <v>3750</v>
      </c>
      <c r="E6803" s="32">
        <v>46113.0</v>
      </c>
      <c r="F6803" s="32">
        <v>46171.0</v>
      </c>
      <c r="G6803" s="33"/>
    </row>
    <row r="6804" ht="15.75" customHeight="1">
      <c r="A6804" s="26" t="s">
        <v>10468</v>
      </c>
      <c r="B6804" s="27" t="s">
        <v>1302</v>
      </c>
      <c r="C6804" s="27" t="s">
        <v>1304</v>
      </c>
      <c r="D6804" s="26" t="s">
        <v>3750</v>
      </c>
      <c r="E6804" s="28">
        <v>46113.0</v>
      </c>
      <c r="F6804" s="28">
        <v>46171.0</v>
      </c>
      <c r="G6804" s="29"/>
    </row>
    <row r="6805" ht="15.75" customHeight="1">
      <c r="A6805" s="30" t="s">
        <v>10469</v>
      </c>
      <c r="B6805" s="31" t="s">
        <v>1302</v>
      </c>
      <c r="C6805" s="31" t="s">
        <v>1306</v>
      </c>
      <c r="D6805" s="30" t="s">
        <v>3750</v>
      </c>
      <c r="E6805" s="32">
        <v>46113.0</v>
      </c>
      <c r="F6805" s="32">
        <v>46171.0</v>
      </c>
      <c r="G6805" s="33"/>
    </row>
    <row r="6806" ht="15.75" customHeight="1">
      <c r="A6806" s="26" t="s">
        <v>10470</v>
      </c>
      <c r="B6806" s="27" t="s">
        <v>1302</v>
      </c>
      <c r="C6806" s="27" t="s">
        <v>1308</v>
      </c>
      <c r="D6806" s="26" t="s">
        <v>3750</v>
      </c>
      <c r="E6806" s="28">
        <v>46113.0</v>
      </c>
      <c r="F6806" s="28">
        <v>46171.0</v>
      </c>
      <c r="G6806" s="29"/>
    </row>
    <row r="6807" ht="15.75" customHeight="1">
      <c r="A6807" s="30" t="s">
        <v>10471</v>
      </c>
      <c r="B6807" s="31" t="s">
        <v>1302</v>
      </c>
      <c r="C6807" s="31" t="s">
        <v>1310</v>
      </c>
      <c r="D6807" s="30" t="s">
        <v>3750</v>
      </c>
      <c r="E6807" s="32">
        <v>46113.0</v>
      </c>
      <c r="F6807" s="32">
        <v>46171.0</v>
      </c>
      <c r="G6807" s="33"/>
    </row>
    <row r="6808" ht="15.75" customHeight="1">
      <c r="A6808" s="26" t="s">
        <v>10472</v>
      </c>
      <c r="B6808" s="27" t="s">
        <v>1302</v>
      </c>
      <c r="C6808" s="27" t="s">
        <v>1312</v>
      </c>
      <c r="D6808" s="26" t="s">
        <v>3750</v>
      </c>
      <c r="E6808" s="28">
        <v>46113.0</v>
      </c>
      <c r="F6808" s="28">
        <v>46171.0</v>
      </c>
      <c r="G6808" s="29"/>
    </row>
    <row r="6809" ht="15.75" customHeight="1">
      <c r="A6809" s="30" t="s">
        <v>10473</v>
      </c>
      <c r="B6809" s="31" t="s">
        <v>1302</v>
      </c>
      <c r="C6809" s="31" t="s">
        <v>3656</v>
      </c>
      <c r="D6809" s="30" t="s">
        <v>3750</v>
      </c>
      <c r="E6809" s="32">
        <v>46113.0</v>
      </c>
      <c r="F6809" s="32">
        <v>46171.0</v>
      </c>
      <c r="G6809" s="33"/>
    </row>
    <row r="6810" ht="15.75" customHeight="1">
      <c r="A6810" s="26" t="s">
        <v>10474</v>
      </c>
      <c r="B6810" s="27" t="s">
        <v>1302</v>
      </c>
      <c r="C6810" s="27" t="s">
        <v>3657</v>
      </c>
      <c r="D6810" s="26" t="s">
        <v>3750</v>
      </c>
      <c r="E6810" s="28">
        <v>46113.0</v>
      </c>
      <c r="F6810" s="28">
        <v>46171.0</v>
      </c>
      <c r="G6810" s="29"/>
    </row>
    <row r="6811" ht="15.75" customHeight="1">
      <c r="A6811" s="30" t="s">
        <v>10475</v>
      </c>
      <c r="B6811" s="31" t="s">
        <v>1302</v>
      </c>
      <c r="C6811" s="31" t="s">
        <v>1216</v>
      </c>
      <c r="D6811" s="30" t="s">
        <v>3750</v>
      </c>
      <c r="E6811" s="32">
        <v>46113.0</v>
      </c>
      <c r="F6811" s="32">
        <v>46171.0</v>
      </c>
      <c r="G6811" s="33"/>
    </row>
    <row r="6812" ht="15.75" customHeight="1">
      <c r="A6812" s="26" t="s">
        <v>10476</v>
      </c>
      <c r="B6812" s="27" t="s">
        <v>1302</v>
      </c>
      <c r="C6812" s="27" t="s">
        <v>1351</v>
      </c>
      <c r="D6812" s="26" t="s">
        <v>3750</v>
      </c>
      <c r="E6812" s="28">
        <v>46113.0</v>
      </c>
      <c r="F6812" s="28">
        <v>46171.0</v>
      </c>
      <c r="G6812" s="29"/>
    </row>
    <row r="6813" ht="15.75" customHeight="1">
      <c r="A6813" s="30" t="s">
        <v>10477</v>
      </c>
      <c r="B6813" s="31" t="s">
        <v>1302</v>
      </c>
      <c r="C6813" s="31" t="s">
        <v>1349</v>
      </c>
      <c r="D6813" s="30" t="s">
        <v>3750</v>
      </c>
      <c r="E6813" s="32">
        <v>46113.0</v>
      </c>
      <c r="F6813" s="32">
        <v>46171.0</v>
      </c>
      <c r="G6813" s="33"/>
    </row>
    <row r="6814" ht="15.75" customHeight="1">
      <c r="A6814" s="26" t="s">
        <v>10478</v>
      </c>
      <c r="B6814" s="27" t="s">
        <v>1302</v>
      </c>
      <c r="C6814" s="27" t="s">
        <v>965</v>
      </c>
      <c r="D6814" s="26" t="s">
        <v>3750</v>
      </c>
      <c r="E6814" s="28">
        <v>46113.0</v>
      </c>
      <c r="F6814" s="28">
        <v>46171.0</v>
      </c>
      <c r="G6814" s="29"/>
    </row>
    <row r="6815" ht="15.75" customHeight="1">
      <c r="A6815" s="30" t="s">
        <v>10479</v>
      </c>
      <c r="B6815" s="31" t="s">
        <v>1302</v>
      </c>
      <c r="C6815" s="31" t="s">
        <v>923</v>
      </c>
      <c r="D6815" s="30" t="s">
        <v>3750</v>
      </c>
      <c r="E6815" s="32">
        <v>46113.0</v>
      </c>
      <c r="F6815" s="32">
        <v>46171.0</v>
      </c>
      <c r="G6815" s="33"/>
    </row>
    <row r="6816" ht="15.75" customHeight="1">
      <c r="A6816" s="26" t="s">
        <v>10480</v>
      </c>
      <c r="B6816" s="27" t="s">
        <v>662</v>
      </c>
      <c r="C6816" s="27" t="s">
        <v>1240</v>
      </c>
      <c r="D6816" s="26" t="s">
        <v>3663</v>
      </c>
      <c r="E6816" s="28">
        <v>46113.0</v>
      </c>
      <c r="F6816" s="28">
        <v>46171.0</v>
      </c>
      <c r="G6816" s="29"/>
    </row>
    <row r="6817" ht="15.75" customHeight="1">
      <c r="A6817" s="30" t="s">
        <v>10481</v>
      </c>
      <c r="B6817" s="31" t="s">
        <v>662</v>
      </c>
      <c r="C6817" s="31" t="s">
        <v>1242</v>
      </c>
      <c r="D6817" s="30" t="s">
        <v>3663</v>
      </c>
      <c r="E6817" s="32">
        <v>46113.0</v>
      </c>
      <c r="F6817" s="32">
        <v>46171.0</v>
      </c>
      <c r="G6817" s="33"/>
    </row>
    <row r="6818" ht="15.75" customHeight="1">
      <c r="A6818" s="26" t="s">
        <v>10482</v>
      </c>
      <c r="B6818" s="27" t="s">
        <v>662</v>
      </c>
      <c r="C6818" s="27" t="s">
        <v>1244</v>
      </c>
      <c r="D6818" s="26" t="s">
        <v>3663</v>
      </c>
      <c r="E6818" s="28">
        <v>46113.0</v>
      </c>
      <c r="F6818" s="28">
        <v>46171.0</v>
      </c>
      <c r="G6818" s="29"/>
    </row>
    <row r="6819" ht="15.75" customHeight="1">
      <c r="A6819" s="30" t="s">
        <v>10483</v>
      </c>
      <c r="B6819" s="31" t="s">
        <v>662</v>
      </c>
      <c r="C6819" s="31" t="s">
        <v>1246</v>
      </c>
      <c r="D6819" s="30" t="s">
        <v>3663</v>
      </c>
      <c r="E6819" s="32">
        <v>46113.0</v>
      </c>
      <c r="F6819" s="32">
        <v>46171.0</v>
      </c>
      <c r="G6819" s="33"/>
    </row>
    <row r="6820" ht="15.75" customHeight="1">
      <c r="A6820" s="26" t="s">
        <v>10484</v>
      </c>
      <c r="B6820" s="27" t="s">
        <v>662</v>
      </c>
      <c r="C6820" s="27" t="s">
        <v>934</v>
      </c>
      <c r="D6820" s="26" t="s">
        <v>3663</v>
      </c>
      <c r="E6820" s="28">
        <v>46113.0</v>
      </c>
      <c r="F6820" s="28">
        <v>46171.0</v>
      </c>
      <c r="G6820" s="29"/>
    </row>
    <row r="6821" ht="15.75" customHeight="1">
      <c r="A6821" s="30" t="s">
        <v>10485</v>
      </c>
      <c r="B6821" s="31" t="s">
        <v>662</v>
      </c>
      <c r="C6821" s="31" t="s">
        <v>1354</v>
      </c>
      <c r="D6821" s="30" t="s">
        <v>3663</v>
      </c>
      <c r="E6821" s="32">
        <v>46113.0</v>
      </c>
      <c r="F6821" s="32">
        <v>46171.0</v>
      </c>
      <c r="G6821" s="33"/>
    </row>
    <row r="6822" ht="15.75" customHeight="1">
      <c r="A6822" s="26" t="s">
        <v>10486</v>
      </c>
      <c r="B6822" s="27" t="s">
        <v>662</v>
      </c>
      <c r="C6822" s="27" t="s">
        <v>1172</v>
      </c>
      <c r="D6822" s="26" t="s">
        <v>3663</v>
      </c>
      <c r="E6822" s="28">
        <v>46113.0</v>
      </c>
      <c r="F6822" s="28">
        <v>46171.0</v>
      </c>
      <c r="G6822" s="29"/>
    </row>
    <row r="6823" ht="15.75" customHeight="1">
      <c r="A6823" s="30" t="s">
        <v>10487</v>
      </c>
      <c r="B6823" s="31" t="s">
        <v>662</v>
      </c>
      <c r="C6823" s="31" t="s">
        <v>1312</v>
      </c>
      <c r="D6823" s="30" t="s">
        <v>3663</v>
      </c>
      <c r="E6823" s="32">
        <v>46113.0</v>
      </c>
      <c r="F6823" s="32">
        <v>46171.0</v>
      </c>
      <c r="G6823" s="33"/>
    </row>
    <row r="6824" ht="15.75" customHeight="1">
      <c r="A6824" s="26" t="s">
        <v>10488</v>
      </c>
      <c r="B6824" s="27" t="s">
        <v>662</v>
      </c>
      <c r="C6824" s="27" t="s">
        <v>3656</v>
      </c>
      <c r="D6824" s="26" t="s">
        <v>3663</v>
      </c>
      <c r="E6824" s="28">
        <v>46113.0</v>
      </c>
      <c r="F6824" s="28">
        <v>46171.0</v>
      </c>
      <c r="G6824" s="29"/>
    </row>
    <row r="6825" ht="15.75" customHeight="1">
      <c r="A6825" s="30" t="s">
        <v>10489</v>
      </c>
      <c r="B6825" s="31" t="s">
        <v>662</v>
      </c>
      <c r="C6825" s="31" t="s">
        <v>3657</v>
      </c>
      <c r="D6825" s="30" t="s">
        <v>3663</v>
      </c>
      <c r="E6825" s="32">
        <v>46113.0</v>
      </c>
      <c r="F6825" s="32">
        <v>46171.0</v>
      </c>
      <c r="G6825" s="33"/>
    </row>
    <row r="6826" ht="15.75" customHeight="1">
      <c r="A6826" s="26" t="s">
        <v>10490</v>
      </c>
      <c r="B6826" s="27" t="s">
        <v>662</v>
      </c>
      <c r="C6826" s="27" t="s">
        <v>1351</v>
      </c>
      <c r="D6826" s="26" t="s">
        <v>3663</v>
      </c>
      <c r="E6826" s="28">
        <v>46113.0</v>
      </c>
      <c r="F6826" s="28">
        <v>46171.0</v>
      </c>
      <c r="G6826" s="29"/>
    </row>
    <row r="6827" ht="15.75" customHeight="1">
      <c r="A6827" s="30" t="s">
        <v>10491</v>
      </c>
      <c r="B6827" s="31" t="s">
        <v>662</v>
      </c>
      <c r="C6827" s="31" t="s">
        <v>1349</v>
      </c>
      <c r="D6827" s="30" t="s">
        <v>3663</v>
      </c>
      <c r="E6827" s="32">
        <v>46113.0</v>
      </c>
      <c r="F6827" s="32">
        <v>46171.0</v>
      </c>
      <c r="G6827" s="33"/>
    </row>
    <row r="6828" ht="15.75" customHeight="1">
      <c r="A6828" s="26" t="s">
        <v>10492</v>
      </c>
      <c r="B6828" s="27" t="s">
        <v>662</v>
      </c>
      <c r="C6828" s="27" t="s">
        <v>968</v>
      </c>
      <c r="D6828" s="26" t="s">
        <v>3663</v>
      </c>
      <c r="E6828" s="28">
        <v>46113.0</v>
      </c>
      <c r="F6828" s="28">
        <v>46171.0</v>
      </c>
      <c r="G6828" s="29"/>
    </row>
    <row r="6829" ht="15.75" customHeight="1">
      <c r="A6829" s="30" t="s">
        <v>10493</v>
      </c>
      <c r="B6829" s="31" t="s">
        <v>662</v>
      </c>
      <c r="C6829" s="31" t="s">
        <v>923</v>
      </c>
      <c r="D6829" s="30" t="s">
        <v>3663</v>
      </c>
      <c r="E6829" s="32">
        <v>46113.0</v>
      </c>
      <c r="F6829" s="32">
        <v>46171.0</v>
      </c>
      <c r="G6829" s="33"/>
    </row>
    <row r="6830" ht="15.75" customHeight="1">
      <c r="A6830" s="26" t="s">
        <v>10494</v>
      </c>
      <c r="B6830" s="27" t="s">
        <v>663</v>
      </c>
      <c r="C6830" s="27" t="s">
        <v>928</v>
      </c>
      <c r="D6830" s="26" t="s">
        <v>3663</v>
      </c>
      <c r="E6830" s="28">
        <v>46113.0</v>
      </c>
      <c r="F6830" s="28">
        <v>46171.0</v>
      </c>
      <c r="G6830" s="29"/>
    </row>
    <row r="6831" ht="15.75" customHeight="1">
      <c r="A6831" s="30" t="s">
        <v>10495</v>
      </c>
      <c r="B6831" s="31" t="s">
        <v>663</v>
      </c>
      <c r="C6831" s="31" t="s">
        <v>1354</v>
      </c>
      <c r="D6831" s="30" t="s">
        <v>3663</v>
      </c>
      <c r="E6831" s="32">
        <v>46113.0</v>
      </c>
      <c r="F6831" s="32">
        <v>46171.0</v>
      </c>
      <c r="G6831" s="33"/>
    </row>
    <row r="6832" ht="15.75" customHeight="1">
      <c r="A6832" s="26" t="s">
        <v>10496</v>
      </c>
      <c r="B6832" s="27" t="s">
        <v>663</v>
      </c>
      <c r="C6832" s="27" t="s">
        <v>1222</v>
      </c>
      <c r="D6832" s="26" t="s">
        <v>3663</v>
      </c>
      <c r="E6832" s="28">
        <v>46113.0</v>
      </c>
      <c r="F6832" s="28">
        <v>46171.0</v>
      </c>
      <c r="G6832" s="29"/>
    </row>
    <row r="6833" ht="15.75" customHeight="1">
      <c r="A6833" s="30" t="s">
        <v>10497</v>
      </c>
      <c r="B6833" s="31" t="s">
        <v>663</v>
      </c>
      <c r="C6833" s="31" t="s">
        <v>1224</v>
      </c>
      <c r="D6833" s="30" t="s">
        <v>3663</v>
      </c>
      <c r="E6833" s="32">
        <v>46113.0</v>
      </c>
      <c r="F6833" s="32">
        <v>46171.0</v>
      </c>
      <c r="G6833" s="33"/>
    </row>
    <row r="6834" ht="15.75" customHeight="1">
      <c r="A6834" s="26" t="s">
        <v>10498</v>
      </c>
      <c r="B6834" s="27" t="s">
        <v>663</v>
      </c>
      <c r="C6834" s="27" t="s">
        <v>1226</v>
      </c>
      <c r="D6834" s="26" t="s">
        <v>3663</v>
      </c>
      <c r="E6834" s="28">
        <v>46113.0</v>
      </c>
      <c r="F6834" s="28">
        <v>46171.0</v>
      </c>
      <c r="G6834" s="29"/>
    </row>
    <row r="6835" ht="15.75" customHeight="1">
      <c r="A6835" s="30" t="s">
        <v>10499</v>
      </c>
      <c r="B6835" s="31" t="s">
        <v>663</v>
      </c>
      <c r="C6835" s="31" t="s">
        <v>1228</v>
      </c>
      <c r="D6835" s="30" t="s">
        <v>3663</v>
      </c>
      <c r="E6835" s="32">
        <v>46113.0</v>
      </c>
      <c r="F6835" s="32">
        <v>46171.0</v>
      </c>
      <c r="G6835" s="33"/>
    </row>
    <row r="6836" ht="15.75" customHeight="1">
      <c r="A6836" s="26" t="s">
        <v>10500</v>
      </c>
      <c r="B6836" s="27" t="s">
        <v>663</v>
      </c>
      <c r="C6836" s="27" t="s">
        <v>3681</v>
      </c>
      <c r="D6836" s="26" t="s">
        <v>3663</v>
      </c>
      <c r="E6836" s="28">
        <v>46113.0</v>
      </c>
      <c r="F6836" s="28">
        <v>46171.0</v>
      </c>
      <c r="G6836" s="29"/>
    </row>
    <row r="6837" ht="15.75" customHeight="1">
      <c r="A6837" s="30" t="s">
        <v>10501</v>
      </c>
      <c r="B6837" s="31" t="s">
        <v>663</v>
      </c>
      <c r="C6837" s="31" t="s">
        <v>3683</v>
      </c>
      <c r="D6837" s="30" t="s">
        <v>3663</v>
      </c>
      <c r="E6837" s="32">
        <v>46113.0</v>
      </c>
      <c r="F6837" s="32">
        <v>46171.0</v>
      </c>
      <c r="G6837" s="33"/>
    </row>
    <row r="6838" ht="15.75" customHeight="1">
      <c r="A6838" s="26" t="s">
        <v>10502</v>
      </c>
      <c r="B6838" s="27" t="s">
        <v>663</v>
      </c>
      <c r="C6838" s="27" t="s">
        <v>1216</v>
      </c>
      <c r="D6838" s="26" t="s">
        <v>3663</v>
      </c>
      <c r="E6838" s="28">
        <v>46113.0</v>
      </c>
      <c r="F6838" s="28">
        <v>46171.0</v>
      </c>
      <c r="G6838" s="29"/>
    </row>
    <row r="6839" ht="15.75" customHeight="1">
      <c r="A6839" s="30" t="s">
        <v>10503</v>
      </c>
      <c r="B6839" s="31" t="s">
        <v>663</v>
      </c>
      <c r="C6839" s="31" t="s">
        <v>1218</v>
      </c>
      <c r="D6839" s="30" t="s">
        <v>3663</v>
      </c>
      <c r="E6839" s="32">
        <v>46113.0</v>
      </c>
      <c r="F6839" s="32">
        <v>46171.0</v>
      </c>
      <c r="G6839" s="33"/>
    </row>
    <row r="6840" ht="15.75" customHeight="1">
      <c r="A6840" s="26" t="s">
        <v>10504</v>
      </c>
      <c r="B6840" s="27" t="s">
        <v>663</v>
      </c>
      <c r="C6840" s="27" t="s">
        <v>1351</v>
      </c>
      <c r="D6840" s="26" t="s">
        <v>3663</v>
      </c>
      <c r="E6840" s="28">
        <v>46113.0</v>
      </c>
      <c r="F6840" s="28">
        <v>46171.0</v>
      </c>
      <c r="G6840" s="29"/>
    </row>
    <row r="6841" ht="15.75" customHeight="1">
      <c r="A6841" s="30" t="s">
        <v>10505</v>
      </c>
      <c r="B6841" s="31" t="s">
        <v>663</v>
      </c>
      <c r="C6841" s="31" t="s">
        <v>1349</v>
      </c>
      <c r="D6841" s="30" t="s">
        <v>3663</v>
      </c>
      <c r="E6841" s="32">
        <v>46113.0</v>
      </c>
      <c r="F6841" s="32">
        <v>46171.0</v>
      </c>
      <c r="G6841" s="33"/>
    </row>
    <row r="6842" ht="15.75" customHeight="1">
      <c r="A6842" s="26" t="s">
        <v>10506</v>
      </c>
      <c r="B6842" s="27" t="s">
        <v>663</v>
      </c>
      <c r="C6842" s="27" t="s">
        <v>968</v>
      </c>
      <c r="D6842" s="26" t="s">
        <v>3663</v>
      </c>
      <c r="E6842" s="28">
        <v>46113.0</v>
      </c>
      <c r="F6842" s="28">
        <v>46171.0</v>
      </c>
      <c r="G6842" s="29"/>
    </row>
    <row r="6843" ht="15.75" customHeight="1">
      <c r="A6843" s="30" t="s">
        <v>10507</v>
      </c>
      <c r="B6843" s="31" t="s">
        <v>663</v>
      </c>
      <c r="C6843" s="31" t="s">
        <v>923</v>
      </c>
      <c r="D6843" s="30" t="s">
        <v>3663</v>
      </c>
      <c r="E6843" s="32">
        <v>46113.0</v>
      </c>
      <c r="F6843" s="32">
        <v>46171.0</v>
      </c>
      <c r="G6843" s="33"/>
    </row>
    <row r="6844" ht="15.75" customHeight="1">
      <c r="A6844" s="26" t="s">
        <v>10508</v>
      </c>
      <c r="B6844" s="27" t="s">
        <v>665</v>
      </c>
      <c r="C6844" s="27" t="s">
        <v>926</v>
      </c>
      <c r="D6844" s="26" t="s">
        <v>3663</v>
      </c>
      <c r="E6844" s="28">
        <v>46113.0</v>
      </c>
      <c r="F6844" s="28">
        <v>46171.0</v>
      </c>
      <c r="G6844" s="29"/>
    </row>
    <row r="6845" ht="15.75" customHeight="1">
      <c r="A6845" s="30" t="s">
        <v>10509</v>
      </c>
      <c r="B6845" s="31" t="s">
        <v>665</v>
      </c>
      <c r="C6845" s="31" t="s">
        <v>1354</v>
      </c>
      <c r="D6845" s="30" t="s">
        <v>3663</v>
      </c>
      <c r="E6845" s="32">
        <v>46113.0</v>
      </c>
      <c r="F6845" s="32">
        <v>46171.0</v>
      </c>
      <c r="G6845" s="33"/>
    </row>
    <row r="6846" ht="15.75" customHeight="1">
      <c r="A6846" s="26" t="s">
        <v>10510</v>
      </c>
      <c r="B6846" s="27" t="s">
        <v>665</v>
      </c>
      <c r="C6846" s="27" t="s">
        <v>3656</v>
      </c>
      <c r="D6846" s="26" t="s">
        <v>3663</v>
      </c>
      <c r="E6846" s="28">
        <v>46113.0</v>
      </c>
      <c r="F6846" s="28">
        <v>46171.0</v>
      </c>
      <c r="G6846" s="29"/>
    </row>
    <row r="6847" ht="15.75" customHeight="1">
      <c r="A6847" s="30" t="s">
        <v>10511</v>
      </c>
      <c r="B6847" s="31" t="s">
        <v>665</v>
      </c>
      <c r="C6847" s="31" t="s">
        <v>3657</v>
      </c>
      <c r="D6847" s="30" t="s">
        <v>3663</v>
      </c>
      <c r="E6847" s="32">
        <v>46113.0</v>
      </c>
      <c r="F6847" s="32">
        <v>46171.0</v>
      </c>
      <c r="G6847" s="33"/>
    </row>
    <row r="6848" ht="15.75" customHeight="1">
      <c r="A6848" s="26" t="s">
        <v>10512</v>
      </c>
      <c r="B6848" s="27" t="s">
        <v>665</v>
      </c>
      <c r="C6848" s="27" t="s">
        <v>1277</v>
      </c>
      <c r="D6848" s="26" t="s">
        <v>3663</v>
      </c>
      <c r="E6848" s="28">
        <v>46113.0</v>
      </c>
      <c r="F6848" s="28">
        <v>46171.0</v>
      </c>
      <c r="G6848" s="29"/>
    </row>
    <row r="6849" ht="15.75" customHeight="1">
      <c r="A6849" s="30" t="s">
        <v>10513</v>
      </c>
      <c r="B6849" s="31" t="s">
        <v>665</v>
      </c>
      <c r="C6849" s="31" t="s">
        <v>1279</v>
      </c>
      <c r="D6849" s="30" t="s">
        <v>3663</v>
      </c>
      <c r="E6849" s="32">
        <v>46113.0</v>
      </c>
      <c r="F6849" s="32">
        <v>46171.0</v>
      </c>
      <c r="G6849" s="33"/>
    </row>
    <row r="6850" ht="15.75" customHeight="1">
      <c r="A6850" s="26" t="s">
        <v>10514</v>
      </c>
      <c r="B6850" s="27" t="s">
        <v>665</v>
      </c>
      <c r="C6850" s="27" t="s">
        <v>1283</v>
      </c>
      <c r="D6850" s="26" t="s">
        <v>3663</v>
      </c>
      <c r="E6850" s="28">
        <v>46113.0</v>
      </c>
      <c r="F6850" s="28">
        <v>46171.0</v>
      </c>
      <c r="G6850" s="29"/>
    </row>
    <row r="6851" ht="15.75" customHeight="1">
      <c r="A6851" s="30" t="s">
        <v>10515</v>
      </c>
      <c r="B6851" s="31" t="s">
        <v>665</v>
      </c>
      <c r="C6851" s="31" t="s">
        <v>1281</v>
      </c>
      <c r="D6851" s="30" t="s">
        <v>3663</v>
      </c>
      <c r="E6851" s="32">
        <v>46113.0</v>
      </c>
      <c r="F6851" s="32">
        <v>46171.0</v>
      </c>
      <c r="G6851" s="33"/>
    </row>
    <row r="6852" ht="15.75" customHeight="1">
      <c r="A6852" s="26" t="s">
        <v>10516</v>
      </c>
      <c r="B6852" s="27" t="s">
        <v>665</v>
      </c>
      <c r="C6852" s="27" t="s">
        <v>1216</v>
      </c>
      <c r="D6852" s="26" t="s">
        <v>3663</v>
      </c>
      <c r="E6852" s="28">
        <v>46113.0</v>
      </c>
      <c r="F6852" s="28">
        <v>46171.0</v>
      </c>
      <c r="G6852" s="29"/>
    </row>
    <row r="6853" ht="15.75" customHeight="1">
      <c r="A6853" s="30" t="s">
        <v>10517</v>
      </c>
      <c r="B6853" s="31" t="s">
        <v>665</v>
      </c>
      <c r="C6853" s="31" t="s">
        <v>1218</v>
      </c>
      <c r="D6853" s="30" t="s">
        <v>3663</v>
      </c>
      <c r="E6853" s="32">
        <v>46113.0</v>
      </c>
      <c r="F6853" s="32">
        <v>46171.0</v>
      </c>
      <c r="G6853" s="33"/>
    </row>
    <row r="6854" ht="15.75" customHeight="1">
      <c r="A6854" s="26" t="s">
        <v>10518</v>
      </c>
      <c r="B6854" s="27" t="s">
        <v>665</v>
      </c>
      <c r="C6854" s="27" t="s">
        <v>1351</v>
      </c>
      <c r="D6854" s="26" t="s">
        <v>3663</v>
      </c>
      <c r="E6854" s="28">
        <v>46113.0</v>
      </c>
      <c r="F6854" s="28">
        <v>46171.0</v>
      </c>
      <c r="G6854" s="29"/>
    </row>
    <row r="6855" ht="15.75" customHeight="1">
      <c r="A6855" s="30" t="s">
        <v>10519</v>
      </c>
      <c r="B6855" s="31" t="s">
        <v>665</v>
      </c>
      <c r="C6855" s="31" t="s">
        <v>1349</v>
      </c>
      <c r="D6855" s="30" t="s">
        <v>3663</v>
      </c>
      <c r="E6855" s="32">
        <v>46113.0</v>
      </c>
      <c r="F6855" s="32">
        <v>46171.0</v>
      </c>
      <c r="G6855" s="33"/>
    </row>
    <row r="6856" ht="15.75" customHeight="1">
      <c r="A6856" s="26" t="s">
        <v>10520</v>
      </c>
      <c r="B6856" s="27" t="s">
        <v>665</v>
      </c>
      <c r="C6856" s="27" t="s">
        <v>968</v>
      </c>
      <c r="D6856" s="26" t="s">
        <v>3663</v>
      </c>
      <c r="E6856" s="28">
        <v>46113.0</v>
      </c>
      <c r="F6856" s="28">
        <v>46171.0</v>
      </c>
      <c r="G6856" s="29"/>
    </row>
    <row r="6857" ht="15.75" customHeight="1">
      <c r="A6857" s="30" t="s">
        <v>10521</v>
      </c>
      <c r="B6857" s="31" t="s">
        <v>665</v>
      </c>
      <c r="C6857" s="31" t="s">
        <v>923</v>
      </c>
      <c r="D6857" s="30" t="s">
        <v>3663</v>
      </c>
      <c r="E6857" s="32">
        <v>46113.0</v>
      </c>
      <c r="F6857" s="32">
        <v>46171.0</v>
      </c>
      <c r="G6857" s="33"/>
    </row>
    <row r="6858" ht="15.75" customHeight="1">
      <c r="A6858" s="26" t="s">
        <v>10522</v>
      </c>
      <c r="B6858" s="27" t="s">
        <v>666</v>
      </c>
      <c r="C6858" s="27" t="s">
        <v>3654</v>
      </c>
      <c r="D6858" s="26" t="s">
        <v>3663</v>
      </c>
      <c r="E6858" s="28">
        <v>46113.0</v>
      </c>
      <c r="F6858" s="28">
        <v>46171.0</v>
      </c>
      <c r="G6858" s="29"/>
    </row>
    <row r="6859" ht="15.75" customHeight="1">
      <c r="A6859" s="30" t="s">
        <v>10523</v>
      </c>
      <c r="B6859" s="31" t="s">
        <v>666</v>
      </c>
      <c r="C6859" s="31" t="s">
        <v>3655</v>
      </c>
      <c r="D6859" s="30" t="s">
        <v>3663</v>
      </c>
      <c r="E6859" s="32">
        <v>46113.0</v>
      </c>
      <c r="F6859" s="32">
        <v>46171.0</v>
      </c>
      <c r="G6859" s="33"/>
    </row>
    <row r="6860" ht="15.75" customHeight="1">
      <c r="A6860" s="26" t="s">
        <v>10524</v>
      </c>
      <c r="B6860" s="27" t="s">
        <v>666</v>
      </c>
      <c r="C6860" s="27" t="s">
        <v>930</v>
      </c>
      <c r="D6860" s="26" t="s">
        <v>3663</v>
      </c>
      <c r="E6860" s="28">
        <v>46113.0</v>
      </c>
      <c r="F6860" s="28">
        <v>46171.0</v>
      </c>
      <c r="G6860" s="29"/>
    </row>
    <row r="6861" ht="15.75" customHeight="1">
      <c r="A6861" s="30" t="s">
        <v>10525</v>
      </c>
      <c r="B6861" s="31" t="s">
        <v>666</v>
      </c>
      <c r="C6861" s="31" t="s">
        <v>1354</v>
      </c>
      <c r="D6861" s="30" t="s">
        <v>3663</v>
      </c>
      <c r="E6861" s="32">
        <v>46113.0</v>
      </c>
      <c r="F6861" s="32">
        <v>46171.0</v>
      </c>
      <c r="G6861" s="33"/>
    </row>
    <row r="6862" ht="15.75" customHeight="1">
      <c r="A6862" s="26" t="s">
        <v>10526</v>
      </c>
      <c r="B6862" s="27" t="s">
        <v>666</v>
      </c>
      <c r="C6862" s="27" t="s">
        <v>1157</v>
      </c>
      <c r="D6862" s="26" t="s">
        <v>3663</v>
      </c>
      <c r="E6862" s="28">
        <v>46113.0</v>
      </c>
      <c r="F6862" s="28">
        <v>46171.0</v>
      </c>
      <c r="G6862" s="29"/>
    </row>
    <row r="6863" ht="15.75" customHeight="1">
      <c r="A6863" s="30" t="s">
        <v>10527</v>
      </c>
      <c r="B6863" s="31" t="s">
        <v>666</v>
      </c>
      <c r="C6863" s="31" t="s">
        <v>1155</v>
      </c>
      <c r="D6863" s="30" t="s">
        <v>3663</v>
      </c>
      <c r="E6863" s="32">
        <v>46113.0</v>
      </c>
      <c r="F6863" s="32">
        <v>46171.0</v>
      </c>
      <c r="G6863" s="33"/>
    </row>
    <row r="6864" ht="15.75" customHeight="1">
      <c r="A6864" s="26" t="s">
        <v>10528</v>
      </c>
      <c r="B6864" s="27" t="s">
        <v>666</v>
      </c>
      <c r="C6864" s="27" t="s">
        <v>1153</v>
      </c>
      <c r="D6864" s="26" t="s">
        <v>3663</v>
      </c>
      <c r="E6864" s="28">
        <v>46113.0</v>
      </c>
      <c r="F6864" s="28">
        <v>46171.0</v>
      </c>
      <c r="G6864" s="29"/>
    </row>
    <row r="6865" ht="15.75" customHeight="1">
      <c r="A6865" s="30" t="s">
        <v>10529</v>
      </c>
      <c r="B6865" s="31" t="s">
        <v>666</v>
      </c>
      <c r="C6865" s="31" t="s">
        <v>1149</v>
      </c>
      <c r="D6865" s="30" t="s">
        <v>3663</v>
      </c>
      <c r="E6865" s="32">
        <v>46113.0</v>
      </c>
      <c r="F6865" s="32">
        <v>46171.0</v>
      </c>
      <c r="G6865" s="33"/>
    </row>
    <row r="6866" ht="15.75" customHeight="1">
      <c r="A6866" s="26" t="s">
        <v>10530</v>
      </c>
      <c r="B6866" s="27" t="s">
        <v>666</v>
      </c>
      <c r="C6866" s="27" t="s">
        <v>1351</v>
      </c>
      <c r="D6866" s="26" t="s">
        <v>3663</v>
      </c>
      <c r="E6866" s="28">
        <v>46113.0</v>
      </c>
      <c r="F6866" s="28">
        <v>46171.0</v>
      </c>
      <c r="G6866" s="29"/>
    </row>
    <row r="6867" ht="15.75" customHeight="1">
      <c r="A6867" s="30" t="s">
        <v>10531</v>
      </c>
      <c r="B6867" s="31" t="s">
        <v>666</v>
      </c>
      <c r="C6867" s="31" t="s">
        <v>1349</v>
      </c>
      <c r="D6867" s="30" t="s">
        <v>3663</v>
      </c>
      <c r="E6867" s="32">
        <v>46113.0</v>
      </c>
      <c r="F6867" s="32">
        <v>46171.0</v>
      </c>
      <c r="G6867" s="33"/>
    </row>
    <row r="6868" ht="15.75" customHeight="1">
      <c r="A6868" s="26" t="s">
        <v>10532</v>
      </c>
      <c r="B6868" s="27" t="s">
        <v>666</v>
      </c>
      <c r="C6868" s="27" t="s">
        <v>965</v>
      </c>
      <c r="D6868" s="26" t="s">
        <v>3663</v>
      </c>
      <c r="E6868" s="28">
        <v>46113.0</v>
      </c>
      <c r="F6868" s="28">
        <v>46171.0</v>
      </c>
      <c r="G6868" s="29"/>
    </row>
    <row r="6869" ht="15.75" customHeight="1">
      <c r="A6869" s="30" t="s">
        <v>10533</v>
      </c>
      <c r="B6869" s="31" t="s">
        <v>666</v>
      </c>
      <c r="C6869" s="31" t="s">
        <v>923</v>
      </c>
      <c r="D6869" s="30" t="s">
        <v>3663</v>
      </c>
      <c r="E6869" s="32">
        <v>46113.0</v>
      </c>
      <c r="F6869" s="32">
        <v>46171.0</v>
      </c>
      <c r="G6869" s="33"/>
    </row>
    <row r="6870" ht="15.75" customHeight="1">
      <c r="A6870" s="26" t="s">
        <v>10534</v>
      </c>
      <c r="B6870" s="27" t="s">
        <v>666</v>
      </c>
      <c r="C6870" s="27" t="s">
        <v>963</v>
      </c>
      <c r="D6870" s="26" t="s">
        <v>3663</v>
      </c>
      <c r="E6870" s="28">
        <v>46113.0</v>
      </c>
      <c r="F6870" s="28">
        <v>46171.0</v>
      </c>
      <c r="G6870" s="29"/>
    </row>
    <row r="6871" ht="15.75" customHeight="1">
      <c r="A6871" s="30" t="s">
        <v>10535</v>
      </c>
      <c r="B6871" s="31" t="s">
        <v>666</v>
      </c>
      <c r="C6871" s="31" t="s">
        <v>961</v>
      </c>
      <c r="D6871" s="30" t="s">
        <v>3663</v>
      </c>
      <c r="E6871" s="32">
        <v>46113.0</v>
      </c>
      <c r="F6871" s="32">
        <v>46171.0</v>
      </c>
      <c r="G6871" s="33"/>
    </row>
    <row r="6872" ht="15.75" customHeight="1">
      <c r="A6872" s="26" t="s">
        <v>10536</v>
      </c>
      <c r="B6872" s="27" t="s">
        <v>667</v>
      </c>
      <c r="C6872" s="27" t="s">
        <v>3654</v>
      </c>
      <c r="D6872" s="26" t="s">
        <v>3663</v>
      </c>
      <c r="E6872" s="28">
        <v>46113.0</v>
      </c>
      <c r="F6872" s="28">
        <v>46171.0</v>
      </c>
      <c r="G6872" s="29"/>
    </row>
    <row r="6873" ht="15.75" customHeight="1">
      <c r="A6873" s="30" t="s">
        <v>10537</v>
      </c>
      <c r="B6873" s="31" t="s">
        <v>667</v>
      </c>
      <c r="C6873" s="31" t="s">
        <v>3655</v>
      </c>
      <c r="D6873" s="30" t="s">
        <v>3663</v>
      </c>
      <c r="E6873" s="32">
        <v>46113.0</v>
      </c>
      <c r="F6873" s="32">
        <v>46171.0</v>
      </c>
      <c r="G6873" s="33"/>
    </row>
    <row r="6874" ht="15.75" customHeight="1">
      <c r="A6874" s="26" t="s">
        <v>10538</v>
      </c>
      <c r="B6874" s="27" t="s">
        <v>667</v>
      </c>
      <c r="C6874" s="27" t="s">
        <v>932</v>
      </c>
      <c r="D6874" s="26" t="s">
        <v>3663</v>
      </c>
      <c r="E6874" s="28">
        <v>46113.0</v>
      </c>
      <c r="F6874" s="28">
        <v>46171.0</v>
      </c>
      <c r="G6874" s="29"/>
    </row>
    <row r="6875" ht="15.75" customHeight="1">
      <c r="A6875" s="30" t="s">
        <v>10539</v>
      </c>
      <c r="B6875" s="31" t="s">
        <v>667</v>
      </c>
      <c r="C6875" s="31" t="s">
        <v>1168</v>
      </c>
      <c r="D6875" s="30" t="s">
        <v>3663</v>
      </c>
      <c r="E6875" s="32">
        <v>46113.0</v>
      </c>
      <c r="F6875" s="32">
        <v>46171.0</v>
      </c>
      <c r="G6875" s="33"/>
    </row>
    <row r="6876" ht="15.75" customHeight="1">
      <c r="A6876" s="26" t="s">
        <v>10540</v>
      </c>
      <c r="B6876" s="27" t="s">
        <v>667</v>
      </c>
      <c r="C6876" s="27" t="s">
        <v>1170</v>
      </c>
      <c r="D6876" s="26" t="s">
        <v>3663</v>
      </c>
      <c r="E6876" s="28">
        <v>46113.0</v>
      </c>
      <c r="F6876" s="28">
        <v>46171.0</v>
      </c>
      <c r="G6876" s="29"/>
    </row>
    <row r="6877" ht="15.75" customHeight="1">
      <c r="A6877" s="30" t="s">
        <v>10541</v>
      </c>
      <c r="B6877" s="31" t="s">
        <v>667</v>
      </c>
      <c r="C6877" s="31" t="s">
        <v>1288</v>
      </c>
      <c r="D6877" s="30" t="s">
        <v>3663</v>
      </c>
      <c r="E6877" s="32">
        <v>46113.0</v>
      </c>
      <c r="F6877" s="32">
        <v>46171.0</v>
      </c>
      <c r="G6877" s="33"/>
    </row>
    <row r="6878" ht="15.75" customHeight="1">
      <c r="A6878" s="26" t="s">
        <v>10542</v>
      </c>
      <c r="B6878" s="27" t="s">
        <v>667</v>
      </c>
      <c r="C6878" s="27" t="s">
        <v>1291</v>
      </c>
      <c r="D6878" s="26" t="s">
        <v>3663</v>
      </c>
      <c r="E6878" s="28">
        <v>46113.0</v>
      </c>
      <c r="F6878" s="28">
        <v>46171.0</v>
      </c>
      <c r="G6878" s="29"/>
    </row>
    <row r="6879" ht="15.75" customHeight="1">
      <c r="A6879" s="30" t="s">
        <v>10543</v>
      </c>
      <c r="B6879" s="31" t="s">
        <v>667</v>
      </c>
      <c r="C6879" s="31" t="s">
        <v>1354</v>
      </c>
      <c r="D6879" s="30" t="s">
        <v>3663</v>
      </c>
      <c r="E6879" s="32">
        <v>46113.0</v>
      </c>
      <c r="F6879" s="32">
        <v>46171.0</v>
      </c>
      <c r="G6879" s="33"/>
    </row>
    <row r="6880" ht="15.75" customHeight="1">
      <c r="A6880" s="26" t="s">
        <v>10544</v>
      </c>
      <c r="B6880" s="27" t="s">
        <v>667</v>
      </c>
      <c r="C6880" s="27" t="s">
        <v>3647</v>
      </c>
      <c r="D6880" s="26" t="s">
        <v>3663</v>
      </c>
      <c r="E6880" s="28">
        <v>46113.0</v>
      </c>
      <c r="F6880" s="28">
        <v>46171.0</v>
      </c>
      <c r="G6880" s="29"/>
    </row>
    <row r="6881" ht="15.75" customHeight="1">
      <c r="A6881" s="30" t="s">
        <v>10545</v>
      </c>
      <c r="B6881" s="31" t="s">
        <v>667</v>
      </c>
      <c r="C6881" s="31" t="s">
        <v>952</v>
      </c>
      <c r="D6881" s="30" t="s">
        <v>3663</v>
      </c>
      <c r="E6881" s="32">
        <v>46113.0</v>
      </c>
      <c r="F6881" s="32">
        <v>46171.0</v>
      </c>
      <c r="G6881" s="33"/>
    </row>
    <row r="6882" ht="15.75" customHeight="1">
      <c r="A6882" s="26" t="s">
        <v>10546</v>
      </c>
      <c r="B6882" s="27" t="s">
        <v>667</v>
      </c>
      <c r="C6882" s="27" t="s">
        <v>1218</v>
      </c>
      <c r="D6882" s="26" t="s">
        <v>3663</v>
      </c>
      <c r="E6882" s="28">
        <v>46113.0</v>
      </c>
      <c r="F6882" s="28">
        <v>46171.0</v>
      </c>
      <c r="G6882" s="29"/>
    </row>
    <row r="6883" ht="15.75" customHeight="1">
      <c r="A6883" s="30" t="s">
        <v>10547</v>
      </c>
      <c r="B6883" s="31" t="s">
        <v>667</v>
      </c>
      <c r="C6883" s="31" t="s">
        <v>1271</v>
      </c>
      <c r="D6883" s="30" t="s">
        <v>3663</v>
      </c>
      <c r="E6883" s="32">
        <v>46113.0</v>
      </c>
      <c r="F6883" s="32">
        <v>46171.0</v>
      </c>
      <c r="G6883" s="33"/>
    </row>
    <row r="6884" ht="15.75" customHeight="1">
      <c r="A6884" s="26" t="s">
        <v>10548</v>
      </c>
      <c r="B6884" s="27" t="s">
        <v>667</v>
      </c>
      <c r="C6884" s="27" t="s">
        <v>968</v>
      </c>
      <c r="D6884" s="26" t="s">
        <v>3663</v>
      </c>
      <c r="E6884" s="28">
        <v>46113.0</v>
      </c>
      <c r="F6884" s="28">
        <v>46171.0</v>
      </c>
      <c r="G6884" s="29"/>
    </row>
    <row r="6885" ht="15.75" customHeight="1">
      <c r="A6885" s="30" t="s">
        <v>10549</v>
      </c>
      <c r="B6885" s="31" t="s">
        <v>667</v>
      </c>
      <c r="C6885" s="31" t="s">
        <v>923</v>
      </c>
      <c r="D6885" s="30" t="s">
        <v>3663</v>
      </c>
      <c r="E6885" s="32">
        <v>46113.0</v>
      </c>
      <c r="F6885" s="32">
        <v>46171.0</v>
      </c>
      <c r="G6885" s="33"/>
    </row>
    <row r="6886" ht="15.75" customHeight="1">
      <c r="A6886" s="26" t="s">
        <v>10550</v>
      </c>
      <c r="B6886" s="27" t="s">
        <v>1220</v>
      </c>
      <c r="C6886" s="27" t="s">
        <v>928</v>
      </c>
      <c r="D6886" s="26" t="s">
        <v>3750</v>
      </c>
      <c r="E6886" s="28">
        <v>46113.0</v>
      </c>
      <c r="F6886" s="28">
        <v>46171.0</v>
      </c>
      <c r="G6886" s="29"/>
    </row>
    <row r="6887" ht="15.75" customHeight="1">
      <c r="A6887" s="30" t="s">
        <v>10551</v>
      </c>
      <c r="B6887" s="31" t="s">
        <v>1220</v>
      </c>
      <c r="C6887" s="31" t="s">
        <v>1354</v>
      </c>
      <c r="D6887" s="30" t="s">
        <v>3750</v>
      </c>
      <c r="E6887" s="32">
        <v>46113.0</v>
      </c>
      <c r="F6887" s="32">
        <v>46171.0</v>
      </c>
      <c r="G6887" s="33"/>
    </row>
    <row r="6888" ht="15.75" customHeight="1">
      <c r="A6888" s="26" t="s">
        <v>10552</v>
      </c>
      <c r="B6888" s="27" t="s">
        <v>1220</v>
      </c>
      <c r="C6888" s="27" t="s">
        <v>1222</v>
      </c>
      <c r="D6888" s="26" t="s">
        <v>3750</v>
      </c>
      <c r="E6888" s="28">
        <v>46113.0</v>
      </c>
      <c r="F6888" s="28">
        <v>46171.0</v>
      </c>
      <c r="G6888" s="29"/>
    </row>
    <row r="6889" ht="15.75" customHeight="1">
      <c r="A6889" s="30" t="s">
        <v>10553</v>
      </c>
      <c r="B6889" s="31" t="s">
        <v>1220</v>
      </c>
      <c r="C6889" s="31" t="s">
        <v>1224</v>
      </c>
      <c r="D6889" s="30" t="s">
        <v>3750</v>
      </c>
      <c r="E6889" s="32">
        <v>46113.0</v>
      </c>
      <c r="F6889" s="32">
        <v>46171.0</v>
      </c>
      <c r="G6889" s="33"/>
    </row>
    <row r="6890" ht="15.75" customHeight="1">
      <c r="A6890" s="26" t="s">
        <v>10554</v>
      </c>
      <c r="B6890" s="27" t="s">
        <v>1220</v>
      </c>
      <c r="C6890" s="27" t="s">
        <v>1226</v>
      </c>
      <c r="D6890" s="26" t="s">
        <v>3750</v>
      </c>
      <c r="E6890" s="28">
        <v>46113.0</v>
      </c>
      <c r="F6890" s="28">
        <v>46171.0</v>
      </c>
      <c r="G6890" s="29"/>
    </row>
    <row r="6891" ht="15.75" customHeight="1">
      <c r="A6891" s="30" t="s">
        <v>10555</v>
      </c>
      <c r="B6891" s="31" t="s">
        <v>1220</v>
      </c>
      <c r="C6891" s="31" t="s">
        <v>1228</v>
      </c>
      <c r="D6891" s="30" t="s">
        <v>3750</v>
      </c>
      <c r="E6891" s="32">
        <v>46113.0</v>
      </c>
      <c r="F6891" s="32">
        <v>46171.0</v>
      </c>
      <c r="G6891" s="33"/>
    </row>
    <row r="6892" ht="15.75" customHeight="1">
      <c r="A6892" s="26" t="s">
        <v>10556</v>
      </c>
      <c r="B6892" s="27" t="s">
        <v>1220</v>
      </c>
      <c r="C6892" s="27" t="s">
        <v>1216</v>
      </c>
      <c r="D6892" s="26" t="s">
        <v>3750</v>
      </c>
      <c r="E6892" s="28">
        <v>46113.0</v>
      </c>
      <c r="F6892" s="28">
        <v>46171.0</v>
      </c>
      <c r="G6892" s="29"/>
    </row>
    <row r="6893" ht="15.75" customHeight="1">
      <c r="A6893" s="30" t="s">
        <v>10557</v>
      </c>
      <c r="B6893" s="31" t="s">
        <v>1220</v>
      </c>
      <c r="C6893" s="31" t="s">
        <v>1218</v>
      </c>
      <c r="D6893" s="30" t="s">
        <v>3750</v>
      </c>
      <c r="E6893" s="32">
        <v>46113.0</v>
      </c>
      <c r="F6893" s="32">
        <v>46171.0</v>
      </c>
      <c r="G6893" s="33"/>
    </row>
    <row r="6894" ht="15.75" customHeight="1">
      <c r="A6894" s="26" t="s">
        <v>10558</v>
      </c>
      <c r="B6894" s="27" t="s">
        <v>1220</v>
      </c>
      <c r="C6894" s="27" t="s">
        <v>1351</v>
      </c>
      <c r="D6894" s="26" t="s">
        <v>3750</v>
      </c>
      <c r="E6894" s="28">
        <v>46113.0</v>
      </c>
      <c r="F6894" s="28">
        <v>46171.0</v>
      </c>
      <c r="G6894" s="29"/>
    </row>
    <row r="6895" ht="15.75" customHeight="1">
      <c r="A6895" s="30" t="s">
        <v>10559</v>
      </c>
      <c r="B6895" s="31" t="s">
        <v>1220</v>
      </c>
      <c r="C6895" s="31" t="s">
        <v>1349</v>
      </c>
      <c r="D6895" s="30" t="s">
        <v>3750</v>
      </c>
      <c r="E6895" s="32">
        <v>46113.0</v>
      </c>
      <c r="F6895" s="32">
        <v>46171.0</v>
      </c>
      <c r="G6895" s="33"/>
    </row>
    <row r="6896" ht="15.75" customHeight="1">
      <c r="A6896" s="26" t="s">
        <v>10560</v>
      </c>
      <c r="B6896" s="27" t="s">
        <v>1220</v>
      </c>
      <c r="C6896" s="27" t="s">
        <v>3653</v>
      </c>
      <c r="D6896" s="26" t="s">
        <v>3750</v>
      </c>
      <c r="E6896" s="28">
        <v>46113.0</v>
      </c>
      <c r="F6896" s="28">
        <v>46171.0</v>
      </c>
      <c r="G6896" s="29"/>
    </row>
    <row r="6897" ht="15.75" customHeight="1">
      <c r="A6897" s="30" t="s">
        <v>10561</v>
      </c>
      <c r="B6897" s="31" t="s">
        <v>1220</v>
      </c>
      <c r="C6897" s="31" t="s">
        <v>3652</v>
      </c>
      <c r="D6897" s="30" t="s">
        <v>3750</v>
      </c>
      <c r="E6897" s="32">
        <v>46113.0</v>
      </c>
      <c r="F6897" s="32">
        <v>46171.0</v>
      </c>
      <c r="G6897" s="33"/>
    </row>
    <row r="6898" ht="15.75" customHeight="1">
      <c r="A6898" s="26" t="s">
        <v>10562</v>
      </c>
      <c r="B6898" s="27" t="s">
        <v>1220</v>
      </c>
      <c r="C6898" s="27" t="s">
        <v>968</v>
      </c>
      <c r="D6898" s="26" t="s">
        <v>3750</v>
      </c>
      <c r="E6898" s="28">
        <v>46113.0</v>
      </c>
      <c r="F6898" s="28">
        <v>46171.0</v>
      </c>
      <c r="G6898" s="29"/>
    </row>
    <row r="6899" ht="15.75" customHeight="1">
      <c r="A6899" s="30" t="s">
        <v>10563</v>
      </c>
      <c r="B6899" s="31" t="s">
        <v>1220</v>
      </c>
      <c r="C6899" s="31" t="s">
        <v>923</v>
      </c>
      <c r="D6899" s="30" t="s">
        <v>3750</v>
      </c>
      <c r="E6899" s="32">
        <v>46113.0</v>
      </c>
      <c r="F6899" s="32">
        <v>46171.0</v>
      </c>
      <c r="G6899" s="33"/>
    </row>
    <row r="6900" ht="15.75" customHeight="1">
      <c r="A6900" s="26" t="s">
        <v>10564</v>
      </c>
      <c r="B6900" s="27" t="s">
        <v>668</v>
      </c>
      <c r="C6900" s="27" t="s">
        <v>3654</v>
      </c>
      <c r="D6900" s="26" t="s">
        <v>3663</v>
      </c>
      <c r="E6900" s="28">
        <v>46113.0</v>
      </c>
      <c r="F6900" s="28">
        <v>46171.0</v>
      </c>
      <c r="G6900" s="29"/>
    </row>
    <row r="6901" ht="15.75" customHeight="1">
      <c r="A6901" s="30" t="s">
        <v>10565</v>
      </c>
      <c r="B6901" s="31" t="s">
        <v>668</v>
      </c>
      <c r="C6901" s="31" t="s">
        <v>3655</v>
      </c>
      <c r="D6901" s="30" t="s">
        <v>3663</v>
      </c>
      <c r="E6901" s="32">
        <v>46113.0</v>
      </c>
      <c r="F6901" s="32">
        <v>46171.0</v>
      </c>
      <c r="G6901" s="33"/>
    </row>
    <row r="6902" ht="15.75" customHeight="1">
      <c r="A6902" s="26" t="s">
        <v>10566</v>
      </c>
      <c r="B6902" s="27" t="s">
        <v>668</v>
      </c>
      <c r="C6902" s="27" t="s">
        <v>930</v>
      </c>
      <c r="D6902" s="26" t="s">
        <v>3663</v>
      </c>
      <c r="E6902" s="28">
        <v>46113.0</v>
      </c>
      <c r="F6902" s="28">
        <v>46171.0</v>
      </c>
      <c r="G6902" s="29"/>
    </row>
    <row r="6903" ht="15.75" customHeight="1">
      <c r="A6903" s="30" t="s">
        <v>10567</v>
      </c>
      <c r="B6903" s="31" t="s">
        <v>668</v>
      </c>
      <c r="C6903" s="31" t="s">
        <v>1354</v>
      </c>
      <c r="D6903" s="30" t="s">
        <v>3663</v>
      </c>
      <c r="E6903" s="32">
        <v>46113.0</v>
      </c>
      <c r="F6903" s="32">
        <v>46171.0</v>
      </c>
      <c r="G6903" s="33"/>
    </row>
    <row r="6904" ht="15.75" customHeight="1">
      <c r="A6904" s="26" t="s">
        <v>10568</v>
      </c>
      <c r="B6904" s="27" t="s">
        <v>668</v>
      </c>
      <c r="C6904" s="27" t="s">
        <v>3641</v>
      </c>
      <c r="D6904" s="26" t="s">
        <v>3663</v>
      </c>
      <c r="E6904" s="28">
        <v>46113.0</v>
      </c>
      <c r="F6904" s="28">
        <v>46171.0</v>
      </c>
      <c r="G6904" s="29"/>
    </row>
    <row r="6905" ht="15.75" customHeight="1">
      <c r="A6905" s="30" t="s">
        <v>10569</v>
      </c>
      <c r="B6905" s="31" t="s">
        <v>668</v>
      </c>
      <c r="C6905" s="31" t="s">
        <v>1304</v>
      </c>
      <c r="D6905" s="30" t="s">
        <v>3663</v>
      </c>
      <c r="E6905" s="32">
        <v>46113.0</v>
      </c>
      <c r="F6905" s="32">
        <v>46171.0</v>
      </c>
      <c r="G6905" s="33"/>
    </row>
    <row r="6906" ht="15.75" customHeight="1">
      <c r="A6906" s="26" t="s">
        <v>10570</v>
      </c>
      <c r="B6906" s="27" t="s">
        <v>668</v>
      </c>
      <c r="C6906" s="27" t="s">
        <v>3642</v>
      </c>
      <c r="D6906" s="26" t="s">
        <v>3663</v>
      </c>
      <c r="E6906" s="28">
        <v>46113.0</v>
      </c>
      <c r="F6906" s="28">
        <v>46171.0</v>
      </c>
      <c r="G6906" s="29"/>
    </row>
    <row r="6907" ht="15.75" customHeight="1">
      <c r="A6907" s="30" t="s">
        <v>10571</v>
      </c>
      <c r="B6907" s="31" t="s">
        <v>668</v>
      </c>
      <c r="C6907" s="31" t="s">
        <v>1308</v>
      </c>
      <c r="D6907" s="30" t="s">
        <v>3663</v>
      </c>
      <c r="E6907" s="32">
        <v>46113.0</v>
      </c>
      <c r="F6907" s="32">
        <v>46171.0</v>
      </c>
      <c r="G6907" s="33"/>
    </row>
    <row r="6908" ht="15.75" customHeight="1">
      <c r="A6908" s="26" t="s">
        <v>10572</v>
      </c>
      <c r="B6908" s="27" t="s">
        <v>668</v>
      </c>
      <c r="C6908" s="27" t="s">
        <v>1190</v>
      </c>
      <c r="D6908" s="26" t="s">
        <v>3663</v>
      </c>
      <c r="E6908" s="28">
        <v>46113.0</v>
      </c>
      <c r="F6908" s="28">
        <v>46171.0</v>
      </c>
      <c r="G6908" s="29"/>
    </row>
    <row r="6909" ht="15.75" customHeight="1">
      <c r="A6909" s="30" t="s">
        <v>10573</v>
      </c>
      <c r="B6909" s="31" t="s">
        <v>668</v>
      </c>
      <c r="C6909" s="31" t="s">
        <v>1351</v>
      </c>
      <c r="D6909" s="30" t="s">
        <v>3663</v>
      </c>
      <c r="E6909" s="32">
        <v>46113.0</v>
      </c>
      <c r="F6909" s="32">
        <v>46171.0</v>
      </c>
      <c r="G6909" s="33"/>
    </row>
    <row r="6910" ht="15.75" customHeight="1">
      <c r="A6910" s="26" t="s">
        <v>10574</v>
      </c>
      <c r="B6910" s="27" t="s">
        <v>668</v>
      </c>
      <c r="C6910" s="27" t="s">
        <v>1349</v>
      </c>
      <c r="D6910" s="26" t="s">
        <v>3663</v>
      </c>
      <c r="E6910" s="28">
        <v>46113.0</v>
      </c>
      <c r="F6910" s="28">
        <v>46171.0</v>
      </c>
      <c r="G6910" s="29"/>
    </row>
    <row r="6911" ht="15.75" customHeight="1">
      <c r="A6911" s="30" t="s">
        <v>10575</v>
      </c>
      <c r="B6911" s="31" t="s">
        <v>668</v>
      </c>
      <c r="C6911" s="31" t="s">
        <v>968</v>
      </c>
      <c r="D6911" s="30" t="s">
        <v>3663</v>
      </c>
      <c r="E6911" s="32">
        <v>46113.0</v>
      </c>
      <c r="F6911" s="32">
        <v>46171.0</v>
      </c>
      <c r="G6911" s="33"/>
    </row>
    <row r="6912" ht="15.75" customHeight="1">
      <c r="A6912" s="26" t="s">
        <v>10576</v>
      </c>
      <c r="B6912" s="27" t="s">
        <v>668</v>
      </c>
      <c r="C6912" s="27" t="s">
        <v>923</v>
      </c>
      <c r="D6912" s="26" t="s">
        <v>3663</v>
      </c>
      <c r="E6912" s="28">
        <v>46113.0</v>
      </c>
      <c r="F6912" s="28">
        <v>46171.0</v>
      </c>
      <c r="G6912" s="29"/>
    </row>
    <row r="6913" ht="15.75" customHeight="1">
      <c r="A6913" s="30" t="s">
        <v>10577</v>
      </c>
      <c r="B6913" s="31" t="s">
        <v>668</v>
      </c>
      <c r="C6913" s="31" t="s">
        <v>955</v>
      </c>
      <c r="D6913" s="30" t="s">
        <v>3663</v>
      </c>
      <c r="E6913" s="32">
        <v>46113.0</v>
      </c>
      <c r="F6913" s="32">
        <v>46171.0</v>
      </c>
      <c r="G6913" s="33"/>
    </row>
    <row r="6914" ht="15.75" customHeight="1">
      <c r="A6914" s="26" t="s">
        <v>10578</v>
      </c>
      <c r="B6914" s="27" t="s">
        <v>669</v>
      </c>
      <c r="C6914" s="27" t="s">
        <v>930</v>
      </c>
      <c r="D6914" s="27" t="s">
        <v>3663</v>
      </c>
      <c r="E6914" s="28">
        <v>46113.0</v>
      </c>
      <c r="F6914" s="28">
        <v>46171.0</v>
      </c>
      <c r="G6914" s="29"/>
    </row>
    <row r="6915" ht="15.75" customHeight="1">
      <c r="A6915" s="30" t="s">
        <v>10579</v>
      </c>
      <c r="B6915" s="31" t="s">
        <v>669</v>
      </c>
      <c r="C6915" s="31" t="s">
        <v>1354</v>
      </c>
      <c r="D6915" s="30" t="s">
        <v>3663</v>
      </c>
      <c r="E6915" s="32">
        <v>46113.0</v>
      </c>
      <c r="F6915" s="32">
        <v>46171.0</v>
      </c>
      <c r="G6915" s="33"/>
    </row>
    <row r="6916" ht="15.75" customHeight="1">
      <c r="A6916" s="26" t="s">
        <v>10580</v>
      </c>
      <c r="B6916" s="27" t="s">
        <v>669</v>
      </c>
      <c r="C6916" s="27" t="s">
        <v>1304</v>
      </c>
      <c r="D6916" s="27" t="s">
        <v>3663</v>
      </c>
      <c r="E6916" s="28">
        <v>46113.0</v>
      </c>
      <c r="F6916" s="28">
        <v>46171.0</v>
      </c>
      <c r="G6916" s="29"/>
    </row>
    <row r="6917" ht="15.75" customHeight="1">
      <c r="A6917" s="30" t="s">
        <v>10581</v>
      </c>
      <c r="B6917" s="31" t="s">
        <v>669</v>
      </c>
      <c r="C6917" s="31" t="s">
        <v>1306</v>
      </c>
      <c r="D6917" s="31" t="s">
        <v>3663</v>
      </c>
      <c r="E6917" s="32">
        <v>46113.0</v>
      </c>
      <c r="F6917" s="32">
        <v>46171.0</v>
      </c>
      <c r="G6917" s="33"/>
    </row>
    <row r="6918" ht="15.75" customHeight="1">
      <c r="A6918" s="26" t="s">
        <v>10582</v>
      </c>
      <c r="B6918" s="27" t="s">
        <v>669</v>
      </c>
      <c r="C6918" s="27" t="s">
        <v>1308</v>
      </c>
      <c r="D6918" s="27" t="s">
        <v>3663</v>
      </c>
      <c r="E6918" s="28">
        <v>46113.0</v>
      </c>
      <c r="F6918" s="28">
        <v>46171.0</v>
      </c>
      <c r="G6918" s="29"/>
    </row>
    <row r="6919" ht="15.75" customHeight="1">
      <c r="A6919" s="30" t="s">
        <v>10583</v>
      </c>
      <c r="B6919" s="31" t="s">
        <v>669</v>
      </c>
      <c r="C6919" s="31" t="s">
        <v>1310</v>
      </c>
      <c r="D6919" s="31" t="s">
        <v>3663</v>
      </c>
      <c r="E6919" s="32">
        <v>46113.0</v>
      </c>
      <c r="F6919" s="32">
        <v>46171.0</v>
      </c>
      <c r="G6919" s="33"/>
    </row>
    <row r="6920" ht="15.75" customHeight="1">
      <c r="A6920" s="26" t="s">
        <v>10584</v>
      </c>
      <c r="B6920" s="27" t="s">
        <v>669</v>
      </c>
      <c r="C6920" s="27" t="s">
        <v>3656</v>
      </c>
      <c r="D6920" s="26" t="s">
        <v>3663</v>
      </c>
      <c r="E6920" s="28">
        <v>46113.0</v>
      </c>
      <c r="F6920" s="28">
        <v>46171.0</v>
      </c>
      <c r="G6920" s="29"/>
    </row>
    <row r="6921" ht="15.75" customHeight="1">
      <c r="A6921" s="30" t="s">
        <v>10585</v>
      </c>
      <c r="B6921" s="31" t="s">
        <v>669</v>
      </c>
      <c r="C6921" s="31" t="s">
        <v>3657</v>
      </c>
      <c r="D6921" s="30" t="s">
        <v>3663</v>
      </c>
      <c r="E6921" s="32">
        <v>46113.0</v>
      </c>
      <c r="F6921" s="32">
        <v>46171.0</v>
      </c>
      <c r="G6921" s="33"/>
    </row>
    <row r="6922" ht="15.75" customHeight="1">
      <c r="A6922" s="26" t="s">
        <v>10586</v>
      </c>
      <c r="B6922" s="27" t="s">
        <v>669</v>
      </c>
      <c r="C6922" s="27" t="s">
        <v>1216</v>
      </c>
      <c r="D6922" s="26" t="s">
        <v>3663</v>
      </c>
      <c r="E6922" s="28">
        <v>46113.0</v>
      </c>
      <c r="F6922" s="28">
        <v>46171.0</v>
      </c>
      <c r="G6922" s="29"/>
    </row>
    <row r="6923" ht="15.75" customHeight="1">
      <c r="A6923" s="30" t="s">
        <v>10587</v>
      </c>
      <c r="B6923" s="31" t="s">
        <v>669</v>
      </c>
      <c r="C6923" s="31" t="s">
        <v>1351</v>
      </c>
      <c r="D6923" s="30" t="s">
        <v>3663</v>
      </c>
      <c r="E6923" s="32">
        <v>46113.0</v>
      </c>
      <c r="F6923" s="32">
        <v>46171.0</v>
      </c>
      <c r="G6923" s="33"/>
    </row>
    <row r="6924" ht="15.75" customHeight="1">
      <c r="A6924" s="26" t="s">
        <v>10588</v>
      </c>
      <c r="B6924" s="27" t="s">
        <v>669</v>
      </c>
      <c r="C6924" s="27" t="s">
        <v>1349</v>
      </c>
      <c r="D6924" s="26" t="s">
        <v>3663</v>
      </c>
      <c r="E6924" s="28">
        <v>46113.0</v>
      </c>
      <c r="F6924" s="28">
        <v>46171.0</v>
      </c>
      <c r="G6924" s="29"/>
    </row>
    <row r="6925" ht="15.75" customHeight="1">
      <c r="A6925" s="30" t="s">
        <v>10589</v>
      </c>
      <c r="B6925" s="31" t="s">
        <v>669</v>
      </c>
      <c r="C6925" s="31" t="s">
        <v>965</v>
      </c>
      <c r="D6925" s="30" t="s">
        <v>3663</v>
      </c>
      <c r="E6925" s="32">
        <v>46113.0</v>
      </c>
      <c r="F6925" s="32">
        <v>46171.0</v>
      </c>
      <c r="G6925" s="33"/>
    </row>
    <row r="6926" ht="15.75" customHeight="1">
      <c r="A6926" s="26" t="s">
        <v>10590</v>
      </c>
      <c r="B6926" s="27" t="s">
        <v>669</v>
      </c>
      <c r="C6926" s="27" t="s">
        <v>923</v>
      </c>
      <c r="D6926" s="27" t="s">
        <v>3663</v>
      </c>
      <c r="E6926" s="28">
        <v>46113.0</v>
      </c>
      <c r="F6926" s="28">
        <v>46171.0</v>
      </c>
      <c r="G6926" s="29"/>
    </row>
    <row r="6927" ht="15.75" customHeight="1">
      <c r="A6927" s="30" t="s">
        <v>10591</v>
      </c>
      <c r="B6927" s="31" t="s">
        <v>669</v>
      </c>
      <c r="C6927" s="31" t="s">
        <v>961</v>
      </c>
      <c r="D6927" s="30" t="s">
        <v>3663</v>
      </c>
      <c r="E6927" s="32">
        <v>46113.0</v>
      </c>
      <c r="F6927" s="32">
        <v>46171.0</v>
      </c>
      <c r="G6927" s="33"/>
    </row>
    <row r="6928" ht="15.75" customHeight="1">
      <c r="A6928" s="26" t="s">
        <v>10592</v>
      </c>
      <c r="B6928" s="27" t="s">
        <v>670</v>
      </c>
      <c r="C6928" s="27" t="s">
        <v>932</v>
      </c>
      <c r="D6928" s="26" t="s">
        <v>3663</v>
      </c>
      <c r="E6928" s="28">
        <v>46113.0</v>
      </c>
      <c r="F6928" s="28">
        <v>46171.0</v>
      </c>
      <c r="G6928" s="29"/>
    </row>
    <row r="6929" ht="15.75" customHeight="1">
      <c r="A6929" s="30" t="s">
        <v>10593</v>
      </c>
      <c r="B6929" s="31" t="s">
        <v>670</v>
      </c>
      <c r="C6929" s="31" t="s">
        <v>1164</v>
      </c>
      <c r="D6929" s="30" t="s">
        <v>3663</v>
      </c>
      <c r="E6929" s="32">
        <v>46113.0</v>
      </c>
      <c r="F6929" s="32">
        <v>46171.0</v>
      </c>
      <c r="G6929" s="33"/>
    </row>
    <row r="6930" ht="15.75" customHeight="1">
      <c r="A6930" s="26" t="s">
        <v>10594</v>
      </c>
      <c r="B6930" s="27" t="s">
        <v>670</v>
      </c>
      <c r="C6930" s="27" t="s">
        <v>1166</v>
      </c>
      <c r="D6930" s="26" t="s">
        <v>3663</v>
      </c>
      <c r="E6930" s="28">
        <v>46113.0</v>
      </c>
      <c r="F6930" s="28">
        <v>46171.0</v>
      </c>
      <c r="G6930" s="29"/>
    </row>
    <row r="6931" ht="15.75" customHeight="1">
      <c r="A6931" s="30" t="s">
        <v>10595</v>
      </c>
      <c r="B6931" s="31" t="s">
        <v>670</v>
      </c>
      <c r="C6931" s="31" t="s">
        <v>1168</v>
      </c>
      <c r="D6931" s="30" t="s">
        <v>3663</v>
      </c>
      <c r="E6931" s="32">
        <v>46113.0</v>
      </c>
      <c r="F6931" s="32">
        <v>46171.0</v>
      </c>
      <c r="G6931" s="33"/>
    </row>
    <row r="6932" ht="15.75" customHeight="1">
      <c r="A6932" s="26" t="s">
        <v>10596</v>
      </c>
      <c r="B6932" s="27" t="s">
        <v>670</v>
      </c>
      <c r="C6932" s="27" t="s">
        <v>1170</v>
      </c>
      <c r="D6932" s="26" t="s">
        <v>3663</v>
      </c>
      <c r="E6932" s="28">
        <v>46113.0</v>
      </c>
      <c r="F6932" s="28">
        <v>46171.0</v>
      </c>
      <c r="G6932" s="29"/>
    </row>
    <row r="6933" ht="15.75" customHeight="1">
      <c r="A6933" s="30" t="s">
        <v>10597</v>
      </c>
      <c r="B6933" s="31" t="s">
        <v>670</v>
      </c>
      <c r="C6933" s="31" t="s">
        <v>1354</v>
      </c>
      <c r="D6933" s="30" t="s">
        <v>3663</v>
      </c>
      <c r="E6933" s="32">
        <v>46113.0</v>
      </c>
      <c r="F6933" s="32">
        <v>46171.0</v>
      </c>
      <c r="G6933" s="33"/>
    </row>
    <row r="6934" ht="15.75" customHeight="1">
      <c r="A6934" s="26" t="s">
        <v>10598</v>
      </c>
      <c r="B6934" s="27" t="s">
        <v>670</v>
      </c>
      <c r="C6934" s="27" t="s">
        <v>1312</v>
      </c>
      <c r="D6934" s="26" t="s">
        <v>3663</v>
      </c>
      <c r="E6934" s="28">
        <v>46113.0</v>
      </c>
      <c r="F6934" s="28">
        <v>46171.0</v>
      </c>
      <c r="G6934" s="29"/>
    </row>
    <row r="6935" ht="15.75" customHeight="1">
      <c r="A6935" s="30" t="s">
        <v>10599</v>
      </c>
      <c r="B6935" s="31" t="s">
        <v>670</v>
      </c>
      <c r="C6935" s="31" t="s">
        <v>3681</v>
      </c>
      <c r="D6935" s="30" t="s">
        <v>3663</v>
      </c>
      <c r="E6935" s="32">
        <v>46113.0</v>
      </c>
      <c r="F6935" s="32">
        <v>46171.0</v>
      </c>
      <c r="G6935" s="33"/>
    </row>
    <row r="6936" ht="15.75" customHeight="1">
      <c r="A6936" s="26" t="s">
        <v>10600</v>
      </c>
      <c r="B6936" s="27" t="s">
        <v>670</v>
      </c>
      <c r="C6936" s="27" t="s">
        <v>3683</v>
      </c>
      <c r="D6936" s="26" t="s">
        <v>3663</v>
      </c>
      <c r="E6936" s="28">
        <v>46113.0</v>
      </c>
      <c r="F6936" s="28">
        <v>46171.0</v>
      </c>
      <c r="G6936" s="29"/>
    </row>
    <row r="6937" ht="15.75" customHeight="1">
      <c r="A6937" s="30" t="s">
        <v>10601</v>
      </c>
      <c r="B6937" s="31" t="s">
        <v>670</v>
      </c>
      <c r="C6937" s="31" t="s">
        <v>1351</v>
      </c>
      <c r="D6937" s="30" t="s">
        <v>3663</v>
      </c>
      <c r="E6937" s="32">
        <v>46113.0</v>
      </c>
      <c r="F6937" s="32">
        <v>46171.0</v>
      </c>
      <c r="G6937" s="33"/>
    </row>
    <row r="6938" ht="15.75" customHeight="1">
      <c r="A6938" s="26" t="s">
        <v>10602</v>
      </c>
      <c r="B6938" s="27" t="s">
        <v>670</v>
      </c>
      <c r="C6938" s="27" t="s">
        <v>1349</v>
      </c>
      <c r="D6938" s="26" t="s">
        <v>3663</v>
      </c>
      <c r="E6938" s="28">
        <v>46113.0</v>
      </c>
      <c r="F6938" s="28">
        <v>46171.0</v>
      </c>
      <c r="G6938" s="29"/>
    </row>
    <row r="6939" ht="15.75" customHeight="1">
      <c r="A6939" s="30" t="s">
        <v>10603</v>
      </c>
      <c r="B6939" s="31" t="s">
        <v>670</v>
      </c>
      <c r="C6939" s="31" t="s">
        <v>968</v>
      </c>
      <c r="D6939" s="30" t="s">
        <v>3663</v>
      </c>
      <c r="E6939" s="32">
        <v>46113.0</v>
      </c>
      <c r="F6939" s="32">
        <v>46171.0</v>
      </c>
      <c r="G6939" s="33"/>
    </row>
    <row r="6940" ht="15.75" customHeight="1">
      <c r="A6940" s="26" t="s">
        <v>10604</v>
      </c>
      <c r="B6940" s="27" t="s">
        <v>670</v>
      </c>
      <c r="C6940" s="27" t="s">
        <v>923</v>
      </c>
      <c r="D6940" s="26" t="s">
        <v>3663</v>
      </c>
      <c r="E6940" s="28">
        <v>46113.0</v>
      </c>
      <c r="F6940" s="28">
        <v>46171.0</v>
      </c>
      <c r="G6940" s="29"/>
    </row>
    <row r="6941" ht="15.75" customHeight="1">
      <c r="A6941" s="30" t="s">
        <v>10605</v>
      </c>
      <c r="B6941" s="31" t="s">
        <v>671</v>
      </c>
      <c r="C6941" s="31" t="s">
        <v>930</v>
      </c>
      <c r="D6941" s="30" t="s">
        <v>3663</v>
      </c>
      <c r="E6941" s="32">
        <v>46113.0</v>
      </c>
      <c r="F6941" s="32">
        <v>46171.0</v>
      </c>
      <c r="G6941" s="33"/>
    </row>
    <row r="6942" ht="15.75" customHeight="1">
      <c r="A6942" s="26" t="s">
        <v>10606</v>
      </c>
      <c r="B6942" s="27" t="s">
        <v>671</v>
      </c>
      <c r="C6942" s="27" t="s">
        <v>1354</v>
      </c>
      <c r="D6942" s="26" t="s">
        <v>3663</v>
      </c>
      <c r="E6942" s="28">
        <v>46113.0</v>
      </c>
      <c r="F6942" s="28">
        <v>46171.0</v>
      </c>
      <c r="G6942" s="29"/>
    </row>
    <row r="6943" ht="15.75" customHeight="1">
      <c r="A6943" s="30" t="s">
        <v>10607</v>
      </c>
      <c r="B6943" s="31" t="s">
        <v>671</v>
      </c>
      <c r="C6943" s="31" t="s">
        <v>1304</v>
      </c>
      <c r="D6943" s="30" t="s">
        <v>3663</v>
      </c>
      <c r="E6943" s="32">
        <v>46113.0</v>
      </c>
      <c r="F6943" s="32">
        <v>46171.0</v>
      </c>
      <c r="G6943" s="33"/>
    </row>
    <row r="6944" ht="15.75" customHeight="1">
      <c r="A6944" s="26" t="s">
        <v>10608</v>
      </c>
      <c r="B6944" s="27" t="s">
        <v>671</v>
      </c>
      <c r="C6944" s="27" t="s">
        <v>1306</v>
      </c>
      <c r="D6944" s="26" t="s">
        <v>3663</v>
      </c>
      <c r="E6944" s="28">
        <v>46113.0</v>
      </c>
      <c r="F6944" s="28">
        <v>46171.0</v>
      </c>
      <c r="G6944" s="29"/>
    </row>
    <row r="6945" ht="15.75" customHeight="1">
      <c r="A6945" s="30" t="s">
        <v>10609</v>
      </c>
      <c r="B6945" s="31" t="s">
        <v>671</v>
      </c>
      <c r="C6945" s="31" t="s">
        <v>1308</v>
      </c>
      <c r="D6945" s="30" t="s">
        <v>3663</v>
      </c>
      <c r="E6945" s="32">
        <v>46113.0</v>
      </c>
      <c r="F6945" s="32">
        <v>46171.0</v>
      </c>
      <c r="G6945" s="33"/>
    </row>
    <row r="6946" ht="15.75" customHeight="1">
      <c r="A6946" s="26" t="s">
        <v>10610</v>
      </c>
      <c r="B6946" s="27" t="s">
        <v>671</v>
      </c>
      <c r="C6946" s="27" t="s">
        <v>1310</v>
      </c>
      <c r="D6946" s="26" t="s">
        <v>3663</v>
      </c>
      <c r="E6946" s="28">
        <v>46113.0</v>
      </c>
      <c r="F6946" s="28">
        <v>46171.0</v>
      </c>
      <c r="G6946" s="29"/>
    </row>
    <row r="6947" ht="15.75" customHeight="1">
      <c r="A6947" s="30" t="s">
        <v>10611</v>
      </c>
      <c r="B6947" s="31" t="s">
        <v>671</v>
      </c>
      <c r="C6947" s="31" t="s">
        <v>3681</v>
      </c>
      <c r="D6947" s="30" t="s">
        <v>3663</v>
      </c>
      <c r="E6947" s="32">
        <v>46113.0</v>
      </c>
      <c r="F6947" s="32">
        <v>46171.0</v>
      </c>
      <c r="G6947" s="33"/>
    </row>
    <row r="6948" ht="15.75" customHeight="1">
      <c r="A6948" s="26" t="s">
        <v>10612</v>
      </c>
      <c r="B6948" s="27" t="s">
        <v>671</v>
      </c>
      <c r="C6948" s="27" t="s">
        <v>3683</v>
      </c>
      <c r="D6948" s="26" t="s">
        <v>3663</v>
      </c>
      <c r="E6948" s="28">
        <v>46113.0</v>
      </c>
      <c r="F6948" s="28">
        <v>46171.0</v>
      </c>
      <c r="G6948" s="29"/>
    </row>
    <row r="6949" ht="15.75" customHeight="1">
      <c r="A6949" s="30" t="s">
        <v>10613</v>
      </c>
      <c r="B6949" s="31" t="s">
        <v>671</v>
      </c>
      <c r="C6949" s="31" t="s">
        <v>1218</v>
      </c>
      <c r="D6949" s="30" t="s">
        <v>3663</v>
      </c>
      <c r="E6949" s="32">
        <v>46113.0</v>
      </c>
      <c r="F6949" s="32">
        <v>46171.0</v>
      </c>
      <c r="G6949" s="33"/>
    </row>
    <row r="6950" ht="15.75" customHeight="1">
      <c r="A6950" s="26" t="s">
        <v>10614</v>
      </c>
      <c r="B6950" s="27" t="s">
        <v>671</v>
      </c>
      <c r="C6950" s="27" t="s">
        <v>1271</v>
      </c>
      <c r="D6950" s="26" t="s">
        <v>3663</v>
      </c>
      <c r="E6950" s="28">
        <v>46113.0</v>
      </c>
      <c r="F6950" s="28">
        <v>46171.0</v>
      </c>
      <c r="G6950" s="29"/>
    </row>
    <row r="6951" ht="15.75" customHeight="1">
      <c r="A6951" s="30" t="s">
        <v>10615</v>
      </c>
      <c r="B6951" s="31" t="s">
        <v>671</v>
      </c>
      <c r="C6951" s="31" t="s">
        <v>1351</v>
      </c>
      <c r="D6951" s="30" t="s">
        <v>3663</v>
      </c>
      <c r="E6951" s="32">
        <v>46113.0</v>
      </c>
      <c r="F6951" s="32">
        <v>46171.0</v>
      </c>
      <c r="G6951" s="33"/>
    </row>
    <row r="6952" ht="15.75" customHeight="1">
      <c r="A6952" s="26" t="s">
        <v>10616</v>
      </c>
      <c r="B6952" s="27" t="s">
        <v>671</v>
      </c>
      <c r="C6952" s="27" t="s">
        <v>1349</v>
      </c>
      <c r="D6952" s="26" t="s">
        <v>3663</v>
      </c>
      <c r="E6952" s="28">
        <v>46113.0</v>
      </c>
      <c r="F6952" s="28">
        <v>46171.0</v>
      </c>
      <c r="G6952" s="29"/>
    </row>
    <row r="6953" ht="15.75" customHeight="1">
      <c r="A6953" s="30" t="s">
        <v>10617</v>
      </c>
      <c r="B6953" s="31" t="s">
        <v>671</v>
      </c>
      <c r="C6953" s="31" t="s">
        <v>968</v>
      </c>
      <c r="D6953" s="30" t="s">
        <v>3663</v>
      </c>
      <c r="E6953" s="32">
        <v>46113.0</v>
      </c>
      <c r="F6953" s="32">
        <v>46171.0</v>
      </c>
      <c r="G6953" s="33"/>
    </row>
    <row r="6954" ht="15.75" customHeight="1">
      <c r="A6954" s="26" t="s">
        <v>10618</v>
      </c>
      <c r="B6954" s="27" t="s">
        <v>671</v>
      </c>
      <c r="C6954" s="27" t="s">
        <v>923</v>
      </c>
      <c r="D6954" s="26" t="s">
        <v>3663</v>
      </c>
      <c r="E6954" s="28">
        <v>46113.0</v>
      </c>
      <c r="F6954" s="28">
        <v>46171.0</v>
      </c>
      <c r="G6954" s="29"/>
    </row>
    <row r="6955" ht="15.75" customHeight="1">
      <c r="A6955" s="30" t="s">
        <v>10619</v>
      </c>
      <c r="B6955" s="31" t="s">
        <v>672</v>
      </c>
      <c r="C6955" s="31" t="s">
        <v>1240</v>
      </c>
      <c r="D6955" s="31" t="s">
        <v>3663</v>
      </c>
      <c r="E6955" s="32">
        <v>46113.0</v>
      </c>
      <c r="F6955" s="32">
        <v>46171.0</v>
      </c>
      <c r="G6955" s="33"/>
    </row>
    <row r="6956" ht="15.75" customHeight="1">
      <c r="A6956" s="26" t="s">
        <v>10620</v>
      </c>
      <c r="B6956" s="27" t="s">
        <v>672</v>
      </c>
      <c r="C6956" s="27" t="s">
        <v>1242</v>
      </c>
      <c r="D6956" s="27" t="s">
        <v>3663</v>
      </c>
      <c r="E6956" s="28">
        <v>46113.0</v>
      </c>
      <c r="F6956" s="28">
        <v>46171.0</v>
      </c>
      <c r="G6956" s="29"/>
    </row>
    <row r="6957" ht="15.75" customHeight="1">
      <c r="A6957" s="30" t="s">
        <v>10621</v>
      </c>
      <c r="B6957" s="31" t="s">
        <v>672</v>
      </c>
      <c r="C6957" s="31" t="s">
        <v>1244</v>
      </c>
      <c r="D6957" s="31" t="s">
        <v>3663</v>
      </c>
      <c r="E6957" s="32">
        <v>46113.0</v>
      </c>
      <c r="F6957" s="32">
        <v>46171.0</v>
      </c>
      <c r="G6957" s="33"/>
    </row>
    <row r="6958" ht="15.75" customHeight="1">
      <c r="A6958" s="26" t="s">
        <v>10622</v>
      </c>
      <c r="B6958" s="27" t="s">
        <v>672</v>
      </c>
      <c r="C6958" s="27" t="s">
        <v>1246</v>
      </c>
      <c r="D6958" s="27" t="s">
        <v>3663</v>
      </c>
      <c r="E6958" s="28">
        <v>46113.0</v>
      </c>
      <c r="F6958" s="28">
        <v>46171.0</v>
      </c>
      <c r="G6958" s="29"/>
    </row>
    <row r="6959" ht="15.75" customHeight="1">
      <c r="A6959" s="30" t="s">
        <v>10623</v>
      </c>
      <c r="B6959" s="31" t="s">
        <v>672</v>
      </c>
      <c r="C6959" s="31" t="s">
        <v>934</v>
      </c>
      <c r="D6959" s="31" t="s">
        <v>3663</v>
      </c>
      <c r="E6959" s="32">
        <v>46113.0</v>
      </c>
      <c r="F6959" s="32">
        <v>46171.0</v>
      </c>
      <c r="G6959" s="33"/>
    </row>
    <row r="6960" ht="15.75" customHeight="1">
      <c r="A6960" s="26" t="s">
        <v>10624</v>
      </c>
      <c r="B6960" s="27" t="s">
        <v>672</v>
      </c>
      <c r="C6960" s="27" t="s">
        <v>1354</v>
      </c>
      <c r="D6960" s="26" t="s">
        <v>3663</v>
      </c>
      <c r="E6960" s="28">
        <v>46113.0</v>
      </c>
      <c r="F6960" s="28">
        <v>46171.0</v>
      </c>
      <c r="G6960" s="29"/>
    </row>
    <row r="6961" ht="15.75" customHeight="1">
      <c r="A6961" s="30" t="s">
        <v>10625</v>
      </c>
      <c r="B6961" s="31" t="s">
        <v>672</v>
      </c>
      <c r="C6961" s="31" t="s">
        <v>3656</v>
      </c>
      <c r="D6961" s="30" t="s">
        <v>3663</v>
      </c>
      <c r="E6961" s="32">
        <v>46113.0</v>
      </c>
      <c r="F6961" s="32">
        <v>46171.0</v>
      </c>
      <c r="G6961" s="33"/>
    </row>
    <row r="6962" ht="15.75" customHeight="1">
      <c r="A6962" s="26" t="s">
        <v>10626</v>
      </c>
      <c r="B6962" s="27" t="s">
        <v>672</v>
      </c>
      <c r="C6962" s="27" t="s">
        <v>3657</v>
      </c>
      <c r="D6962" s="26" t="s">
        <v>3663</v>
      </c>
      <c r="E6962" s="28">
        <v>46113.0</v>
      </c>
      <c r="F6962" s="28">
        <v>46171.0</v>
      </c>
      <c r="G6962" s="29"/>
    </row>
    <row r="6963" ht="15.75" customHeight="1">
      <c r="A6963" s="30" t="s">
        <v>10627</v>
      </c>
      <c r="B6963" s="31" t="s">
        <v>672</v>
      </c>
      <c r="C6963" s="31" t="s">
        <v>1216</v>
      </c>
      <c r="D6963" s="30" t="s">
        <v>3663</v>
      </c>
      <c r="E6963" s="32">
        <v>46113.0</v>
      </c>
      <c r="F6963" s="32">
        <v>46171.0</v>
      </c>
      <c r="G6963" s="33"/>
    </row>
    <row r="6964" ht="15.75" customHeight="1">
      <c r="A6964" s="26" t="s">
        <v>10628</v>
      </c>
      <c r="B6964" s="27" t="s">
        <v>672</v>
      </c>
      <c r="C6964" s="27" t="s">
        <v>1218</v>
      </c>
      <c r="D6964" s="26" t="s">
        <v>3663</v>
      </c>
      <c r="E6964" s="28">
        <v>46113.0</v>
      </c>
      <c r="F6964" s="28">
        <v>46171.0</v>
      </c>
      <c r="G6964" s="29"/>
    </row>
    <row r="6965" ht="15.75" customHeight="1">
      <c r="A6965" s="30" t="s">
        <v>10629</v>
      </c>
      <c r="B6965" s="31" t="s">
        <v>672</v>
      </c>
      <c r="C6965" s="31" t="s">
        <v>1351</v>
      </c>
      <c r="D6965" s="30" t="s">
        <v>3663</v>
      </c>
      <c r="E6965" s="32">
        <v>46113.0</v>
      </c>
      <c r="F6965" s="32">
        <v>46171.0</v>
      </c>
      <c r="G6965" s="33"/>
    </row>
    <row r="6966" ht="15.75" customHeight="1">
      <c r="A6966" s="26" t="s">
        <v>10630</v>
      </c>
      <c r="B6966" s="27" t="s">
        <v>672</v>
      </c>
      <c r="C6966" s="27" t="s">
        <v>1349</v>
      </c>
      <c r="D6966" s="26" t="s">
        <v>3663</v>
      </c>
      <c r="E6966" s="28">
        <v>46113.0</v>
      </c>
      <c r="F6966" s="28">
        <v>46171.0</v>
      </c>
      <c r="G6966" s="29"/>
    </row>
    <row r="6967" ht="15.75" customHeight="1">
      <c r="A6967" s="30" t="s">
        <v>10631</v>
      </c>
      <c r="B6967" s="31" t="s">
        <v>672</v>
      </c>
      <c r="C6967" s="31" t="s">
        <v>965</v>
      </c>
      <c r="D6967" s="30" t="s">
        <v>3663</v>
      </c>
      <c r="E6967" s="32">
        <v>46113.0</v>
      </c>
      <c r="F6967" s="32">
        <v>46171.0</v>
      </c>
      <c r="G6967" s="33"/>
    </row>
    <row r="6968" ht="15.75" customHeight="1">
      <c r="A6968" s="26" t="s">
        <v>10632</v>
      </c>
      <c r="B6968" s="27" t="s">
        <v>672</v>
      </c>
      <c r="C6968" s="27" t="s">
        <v>923</v>
      </c>
      <c r="D6968" s="27" t="s">
        <v>3663</v>
      </c>
      <c r="E6968" s="28">
        <v>46113.0</v>
      </c>
      <c r="F6968" s="28">
        <v>46171.0</v>
      </c>
      <c r="G6968" s="29"/>
    </row>
    <row r="6969" ht="15.75" customHeight="1">
      <c r="A6969" s="30" t="s">
        <v>10633</v>
      </c>
      <c r="B6969" s="31" t="s">
        <v>673</v>
      </c>
      <c r="C6969" s="31" t="s">
        <v>3654</v>
      </c>
      <c r="D6969" s="30" t="s">
        <v>3663</v>
      </c>
      <c r="E6969" s="32">
        <v>46113.0</v>
      </c>
      <c r="F6969" s="32">
        <v>46171.0</v>
      </c>
      <c r="G6969" s="33"/>
    </row>
    <row r="6970" ht="15.75" customHeight="1">
      <c r="A6970" s="26" t="s">
        <v>10634</v>
      </c>
      <c r="B6970" s="27" t="s">
        <v>673</v>
      </c>
      <c r="C6970" s="27" t="s">
        <v>3655</v>
      </c>
      <c r="D6970" s="26" t="s">
        <v>3663</v>
      </c>
      <c r="E6970" s="28">
        <v>46113.0</v>
      </c>
      <c r="F6970" s="28">
        <v>46171.0</v>
      </c>
      <c r="G6970" s="29"/>
    </row>
    <row r="6971" ht="15.75" customHeight="1">
      <c r="A6971" s="30" t="s">
        <v>10635</v>
      </c>
      <c r="B6971" s="31" t="s">
        <v>673</v>
      </c>
      <c r="C6971" s="31" t="s">
        <v>930</v>
      </c>
      <c r="D6971" s="30" t="s">
        <v>3663</v>
      </c>
      <c r="E6971" s="32">
        <v>46113.0</v>
      </c>
      <c r="F6971" s="32">
        <v>46171.0</v>
      </c>
      <c r="G6971" s="33"/>
    </row>
    <row r="6972" ht="15.75" customHeight="1">
      <c r="A6972" s="26" t="s">
        <v>10636</v>
      </c>
      <c r="B6972" s="27" t="s">
        <v>673</v>
      </c>
      <c r="C6972" s="27" t="s">
        <v>1354</v>
      </c>
      <c r="D6972" s="26" t="s">
        <v>3663</v>
      </c>
      <c r="E6972" s="28">
        <v>46113.0</v>
      </c>
      <c r="F6972" s="28">
        <v>46171.0</v>
      </c>
      <c r="G6972" s="29"/>
    </row>
    <row r="6973" ht="15.75" customHeight="1">
      <c r="A6973" s="30" t="s">
        <v>10637</v>
      </c>
      <c r="B6973" s="31" t="s">
        <v>673</v>
      </c>
      <c r="C6973" s="31" t="s">
        <v>3641</v>
      </c>
      <c r="D6973" s="30" t="s">
        <v>3663</v>
      </c>
      <c r="E6973" s="32">
        <v>46113.0</v>
      </c>
      <c r="F6973" s="32">
        <v>46171.0</v>
      </c>
      <c r="G6973" s="33"/>
    </row>
    <row r="6974" ht="15.75" customHeight="1">
      <c r="A6974" s="26" t="s">
        <v>10638</v>
      </c>
      <c r="B6974" s="27" t="s">
        <v>673</v>
      </c>
      <c r="C6974" s="27" t="s">
        <v>1304</v>
      </c>
      <c r="D6974" s="26" t="s">
        <v>3663</v>
      </c>
      <c r="E6974" s="28">
        <v>46113.0</v>
      </c>
      <c r="F6974" s="28">
        <v>46171.0</v>
      </c>
      <c r="G6974" s="29"/>
    </row>
    <row r="6975" ht="15.75" customHeight="1">
      <c r="A6975" s="30" t="s">
        <v>10639</v>
      </c>
      <c r="B6975" s="31" t="s">
        <v>673</v>
      </c>
      <c r="C6975" s="31" t="s">
        <v>3642</v>
      </c>
      <c r="D6975" s="30" t="s">
        <v>3663</v>
      </c>
      <c r="E6975" s="32">
        <v>46113.0</v>
      </c>
      <c r="F6975" s="32">
        <v>46171.0</v>
      </c>
      <c r="G6975" s="33"/>
    </row>
    <row r="6976" ht="15.75" customHeight="1">
      <c r="A6976" s="26" t="s">
        <v>10640</v>
      </c>
      <c r="B6976" s="27" t="s">
        <v>673</v>
      </c>
      <c r="C6976" s="27" t="s">
        <v>1308</v>
      </c>
      <c r="D6976" s="26" t="s">
        <v>3663</v>
      </c>
      <c r="E6976" s="28">
        <v>46113.0</v>
      </c>
      <c r="F6976" s="28">
        <v>46171.0</v>
      </c>
      <c r="G6976" s="29"/>
    </row>
    <row r="6977" ht="15.75" customHeight="1">
      <c r="A6977" s="30" t="s">
        <v>10641</v>
      </c>
      <c r="B6977" s="31" t="s">
        <v>673</v>
      </c>
      <c r="C6977" s="31" t="s">
        <v>3605</v>
      </c>
      <c r="D6977" s="30" t="s">
        <v>3663</v>
      </c>
      <c r="E6977" s="32">
        <v>46113.0</v>
      </c>
      <c r="F6977" s="32">
        <v>46171.0</v>
      </c>
      <c r="G6977" s="33"/>
    </row>
    <row r="6978" ht="15.75" customHeight="1">
      <c r="A6978" s="26" t="s">
        <v>10642</v>
      </c>
      <c r="B6978" s="27" t="s">
        <v>673</v>
      </c>
      <c r="C6978" s="27" t="s">
        <v>1172</v>
      </c>
      <c r="D6978" s="26" t="s">
        <v>3663</v>
      </c>
      <c r="E6978" s="28">
        <v>46113.0</v>
      </c>
      <c r="F6978" s="28">
        <v>46171.0</v>
      </c>
      <c r="G6978" s="29"/>
    </row>
    <row r="6979" ht="15.75" customHeight="1">
      <c r="A6979" s="30" t="s">
        <v>10643</v>
      </c>
      <c r="B6979" s="31" t="s">
        <v>673</v>
      </c>
      <c r="C6979" s="31" t="s">
        <v>1351</v>
      </c>
      <c r="D6979" s="30" t="s">
        <v>3663</v>
      </c>
      <c r="E6979" s="32">
        <v>46113.0</v>
      </c>
      <c r="F6979" s="32">
        <v>46171.0</v>
      </c>
      <c r="G6979" s="33"/>
    </row>
    <row r="6980" ht="15.75" customHeight="1">
      <c r="A6980" s="26" t="s">
        <v>10644</v>
      </c>
      <c r="B6980" s="27" t="s">
        <v>673</v>
      </c>
      <c r="C6980" s="27" t="s">
        <v>1349</v>
      </c>
      <c r="D6980" s="26" t="s">
        <v>3663</v>
      </c>
      <c r="E6980" s="28">
        <v>46113.0</v>
      </c>
      <c r="F6980" s="28">
        <v>46171.0</v>
      </c>
      <c r="G6980" s="29"/>
    </row>
    <row r="6981" ht="15.75" customHeight="1">
      <c r="A6981" s="30" t="s">
        <v>10645</v>
      </c>
      <c r="B6981" s="31" t="s">
        <v>673</v>
      </c>
      <c r="C6981" s="31" t="s">
        <v>965</v>
      </c>
      <c r="D6981" s="30" t="s">
        <v>3663</v>
      </c>
      <c r="E6981" s="32">
        <v>46113.0</v>
      </c>
      <c r="F6981" s="32">
        <v>46171.0</v>
      </c>
      <c r="G6981" s="33"/>
    </row>
    <row r="6982" ht="15.75" customHeight="1">
      <c r="A6982" s="26" t="s">
        <v>10646</v>
      </c>
      <c r="B6982" s="27" t="s">
        <v>673</v>
      </c>
      <c r="C6982" s="27" t="s">
        <v>923</v>
      </c>
      <c r="D6982" s="26" t="s">
        <v>3663</v>
      </c>
      <c r="E6982" s="28">
        <v>46113.0</v>
      </c>
      <c r="F6982" s="28">
        <v>46171.0</v>
      </c>
      <c r="G6982" s="29"/>
    </row>
    <row r="6983" ht="15.75" customHeight="1">
      <c r="A6983" s="30" t="s">
        <v>10647</v>
      </c>
      <c r="B6983" s="31" t="s">
        <v>674</v>
      </c>
      <c r="C6983" s="31" t="s">
        <v>928</v>
      </c>
      <c r="D6983" s="30" t="s">
        <v>3663</v>
      </c>
      <c r="E6983" s="32">
        <v>46113.0</v>
      </c>
      <c r="F6983" s="32">
        <v>46171.0</v>
      </c>
      <c r="G6983" s="33"/>
    </row>
    <row r="6984" ht="15.75" customHeight="1">
      <c r="A6984" s="26" t="s">
        <v>10648</v>
      </c>
      <c r="B6984" s="27" t="s">
        <v>674</v>
      </c>
      <c r="C6984" s="27" t="s">
        <v>1354</v>
      </c>
      <c r="D6984" s="26" t="s">
        <v>3663</v>
      </c>
      <c r="E6984" s="28">
        <v>46113.0</v>
      </c>
      <c r="F6984" s="28">
        <v>46171.0</v>
      </c>
      <c r="G6984" s="29"/>
    </row>
    <row r="6985" ht="15.75" customHeight="1">
      <c r="A6985" s="30" t="s">
        <v>10649</v>
      </c>
      <c r="B6985" s="31" t="s">
        <v>674</v>
      </c>
      <c r="C6985" s="31" t="s">
        <v>1222</v>
      </c>
      <c r="D6985" s="30" t="s">
        <v>3663</v>
      </c>
      <c r="E6985" s="32">
        <v>46113.0</v>
      </c>
      <c r="F6985" s="32">
        <v>46171.0</v>
      </c>
      <c r="G6985" s="33"/>
    </row>
    <row r="6986" ht="15.75" customHeight="1">
      <c r="A6986" s="26" t="s">
        <v>10650</v>
      </c>
      <c r="B6986" s="27" t="s">
        <v>674</v>
      </c>
      <c r="C6986" s="27" t="s">
        <v>1224</v>
      </c>
      <c r="D6986" s="26" t="s">
        <v>3663</v>
      </c>
      <c r="E6986" s="28">
        <v>46113.0</v>
      </c>
      <c r="F6986" s="28">
        <v>46171.0</v>
      </c>
      <c r="G6986" s="29"/>
    </row>
    <row r="6987" ht="15.75" customHeight="1">
      <c r="A6987" s="30" t="s">
        <v>10651</v>
      </c>
      <c r="B6987" s="31" t="s">
        <v>674</v>
      </c>
      <c r="C6987" s="31" t="s">
        <v>1226</v>
      </c>
      <c r="D6987" s="30" t="s">
        <v>3663</v>
      </c>
      <c r="E6987" s="32">
        <v>46113.0</v>
      </c>
      <c r="F6987" s="32">
        <v>46171.0</v>
      </c>
      <c r="G6987" s="33"/>
    </row>
    <row r="6988" ht="15.75" customHeight="1">
      <c r="A6988" s="26" t="s">
        <v>10652</v>
      </c>
      <c r="B6988" s="27" t="s">
        <v>674</v>
      </c>
      <c r="C6988" s="27" t="s">
        <v>1228</v>
      </c>
      <c r="D6988" s="26" t="s">
        <v>3663</v>
      </c>
      <c r="E6988" s="28">
        <v>46113.0</v>
      </c>
      <c r="F6988" s="28">
        <v>46171.0</v>
      </c>
      <c r="G6988" s="29"/>
    </row>
    <row r="6989" ht="15.75" customHeight="1">
      <c r="A6989" s="30" t="s">
        <v>10653</v>
      </c>
      <c r="B6989" s="31" t="s">
        <v>674</v>
      </c>
      <c r="C6989" s="31" t="s">
        <v>1159</v>
      </c>
      <c r="D6989" s="30" t="s">
        <v>3663</v>
      </c>
      <c r="E6989" s="32">
        <v>46113.0</v>
      </c>
      <c r="F6989" s="32">
        <v>46171.0</v>
      </c>
      <c r="G6989" s="33"/>
    </row>
    <row r="6990" ht="15.75" customHeight="1">
      <c r="A6990" s="26" t="s">
        <v>10654</v>
      </c>
      <c r="B6990" s="27" t="s">
        <v>674</v>
      </c>
      <c r="C6990" s="27" t="s">
        <v>1216</v>
      </c>
      <c r="D6990" s="26" t="s">
        <v>3663</v>
      </c>
      <c r="E6990" s="28">
        <v>46113.0</v>
      </c>
      <c r="F6990" s="28">
        <v>46171.0</v>
      </c>
      <c r="G6990" s="29"/>
    </row>
    <row r="6991" ht="15.75" customHeight="1">
      <c r="A6991" s="30" t="s">
        <v>10655</v>
      </c>
      <c r="B6991" s="31" t="s">
        <v>674</v>
      </c>
      <c r="C6991" s="31" t="s">
        <v>1351</v>
      </c>
      <c r="D6991" s="30" t="s">
        <v>3663</v>
      </c>
      <c r="E6991" s="32">
        <v>46113.0</v>
      </c>
      <c r="F6991" s="32">
        <v>46171.0</v>
      </c>
      <c r="G6991" s="33"/>
    </row>
    <row r="6992" ht="15.75" customHeight="1">
      <c r="A6992" s="26" t="s">
        <v>10656</v>
      </c>
      <c r="B6992" s="27" t="s">
        <v>674</v>
      </c>
      <c r="C6992" s="27" t="s">
        <v>1349</v>
      </c>
      <c r="D6992" s="26" t="s">
        <v>3663</v>
      </c>
      <c r="E6992" s="28">
        <v>46113.0</v>
      </c>
      <c r="F6992" s="28">
        <v>46171.0</v>
      </c>
      <c r="G6992" s="29"/>
    </row>
    <row r="6993" ht="15.75" customHeight="1">
      <c r="A6993" s="30" t="s">
        <v>10657</v>
      </c>
      <c r="B6993" s="31" t="s">
        <v>674</v>
      </c>
      <c r="C6993" s="31" t="s">
        <v>3653</v>
      </c>
      <c r="D6993" s="31" t="s">
        <v>3663</v>
      </c>
      <c r="E6993" s="32">
        <v>46113.0</v>
      </c>
      <c r="F6993" s="32">
        <v>46171.0</v>
      </c>
      <c r="G6993" s="33"/>
    </row>
    <row r="6994" ht="15.75" customHeight="1">
      <c r="A6994" s="26" t="s">
        <v>10658</v>
      </c>
      <c r="B6994" s="27" t="s">
        <v>674</v>
      </c>
      <c r="C6994" s="27" t="s">
        <v>3652</v>
      </c>
      <c r="D6994" s="26" t="s">
        <v>3663</v>
      </c>
      <c r="E6994" s="28">
        <v>46113.0</v>
      </c>
      <c r="F6994" s="28">
        <v>46171.0</v>
      </c>
      <c r="G6994" s="29"/>
    </row>
    <row r="6995" ht="15.75" customHeight="1">
      <c r="A6995" s="30" t="s">
        <v>10659</v>
      </c>
      <c r="B6995" s="31" t="s">
        <v>674</v>
      </c>
      <c r="C6995" s="31" t="s">
        <v>968</v>
      </c>
      <c r="D6995" s="30" t="s">
        <v>3663</v>
      </c>
      <c r="E6995" s="32">
        <v>46113.0</v>
      </c>
      <c r="F6995" s="32">
        <v>46171.0</v>
      </c>
      <c r="G6995" s="33"/>
    </row>
    <row r="6996" ht="15.75" customHeight="1">
      <c r="A6996" s="26" t="s">
        <v>10660</v>
      </c>
      <c r="B6996" s="27" t="s">
        <v>674</v>
      </c>
      <c r="C6996" s="27" t="s">
        <v>923</v>
      </c>
      <c r="D6996" s="26" t="s">
        <v>3663</v>
      </c>
      <c r="E6996" s="28">
        <v>46113.0</v>
      </c>
      <c r="F6996" s="28">
        <v>46171.0</v>
      </c>
      <c r="G6996" s="29"/>
    </row>
    <row r="6997" ht="15.75" customHeight="1">
      <c r="A6997" s="30" t="s">
        <v>10661</v>
      </c>
      <c r="B6997" s="31" t="s">
        <v>675</v>
      </c>
      <c r="C6997" s="31" t="s">
        <v>1240</v>
      </c>
      <c r="D6997" s="31" t="s">
        <v>3663</v>
      </c>
      <c r="E6997" s="32">
        <v>46113.0</v>
      </c>
      <c r="F6997" s="32">
        <v>46171.0</v>
      </c>
      <c r="G6997" s="33"/>
    </row>
    <row r="6998" ht="15.75" customHeight="1">
      <c r="A6998" s="26" t="s">
        <v>10662</v>
      </c>
      <c r="B6998" s="27" t="s">
        <v>675</v>
      </c>
      <c r="C6998" s="27" t="s">
        <v>1242</v>
      </c>
      <c r="D6998" s="27" t="s">
        <v>3663</v>
      </c>
      <c r="E6998" s="28">
        <v>46113.0</v>
      </c>
      <c r="F6998" s="28">
        <v>46171.0</v>
      </c>
      <c r="G6998" s="29"/>
    </row>
    <row r="6999" ht="15.75" customHeight="1">
      <c r="A6999" s="30" t="s">
        <v>10663</v>
      </c>
      <c r="B6999" s="31" t="s">
        <v>675</v>
      </c>
      <c r="C6999" s="31" t="s">
        <v>1244</v>
      </c>
      <c r="D6999" s="31" t="s">
        <v>3663</v>
      </c>
      <c r="E6999" s="32">
        <v>46113.0</v>
      </c>
      <c r="F6999" s="32">
        <v>46171.0</v>
      </c>
      <c r="G6999" s="33"/>
    </row>
    <row r="7000" ht="15.75" customHeight="1">
      <c r="A7000" s="26" t="s">
        <v>10664</v>
      </c>
      <c r="B7000" s="27" t="s">
        <v>675</v>
      </c>
      <c r="C7000" s="27" t="s">
        <v>1246</v>
      </c>
      <c r="D7000" s="27" t="s">
        <v>3663</v>
      </c>
      <c r="E7000" s="28">
        <v>46113.0</v>
      </c>
      <c r="F7000" s="28">
        <v>46171.0</v>
      </c>
      <c r="G7000" s="29"/>
    </row>
    <row r="7001" ht="15.75" customHeight="1">
      <c r="A7001" s="30" t="s">
        <v>10665</v>
      </c>
      <c r="B7001" s="31" t="s">
        <v>675</v>
      </c>
      <c r="C7001" s="31" t="s">
        <v>934</v>
      </c>
      <c r="D7001" s="31" t="s">
        <v>3663</v>
      </c>
      <c r="E7001" s="32">
        <v>46113.0</v>
      </c>
      <c r="F7001" s="32">
        <v>46171.0</v>
      </c>
      <c r="G7001" s="33"/>
    </row>
    <row r="7002" ht="15.75" customHeight="1">
      <c r="A7002" s="26" t="s">
        <v>10666</v>
      </c>
      <c r="B7002" s="27" t="s">
        <v>675</v>
      </c>
      <c r="C7002" s="27" t="s">
        <v>1354</v>
      </c>
      <c r="D7002" s="26" t="s">
        <v>3663</v>
      </c>
      <c r="E7002" s="28">
        <v>46113.0</v>
      </c>
      <c r="F7002" s="28">
        <v>46171.0</v>
      </c>
      <c r="G7002" s="29"/>
    </row>
    <row r="7003" ht="15.75" customHeight="1">
      <c r="A7003" s="30" t="s">
        <v>10667</v>
      </c>
      <c r="B7003" s="31" t="s">
        <v>675</v>
      </c>
      <c r="C7003" s="31" t="s">
        <v>3656</v>
      </c>
      <c r="D7003" s="30" t="s">
        <v>3663</v>
      </c>
      <c r="E7003" s="32">
        <v>46113.0</v>
      </c>
      <c r="F7003" s="32">
        <v>46171.0</v>
      </c>
      <c r="G7003" s="33"/>
    </row>
    <row r="7004" ht="15.75" customHeight="1">
      <c r="A7004" s="26" t="s">
        <v>10668</v>
      </c>
      <c r="B7004" s="27" t="s">
        <v>675</v>
      </c>
      <c r="C7004" s="27" t="s">
        <v>3657</v>
      </c>
      <c r="D7004" s="26" t="s">
        <v>3663</v>
      </c>
      <c r="E7004" s="28">
        <v>46113.0</v>
      </c>
      <c r="F7004" s="28">
        <v>46171.0</v>
      </c>
      <c r="G7004" s="29"/>
    </row>
    <row r="7005" ht="15.75" customHeight="1">
      <c r="A7005" s="30" t="s">
        <v>10669</v>
      </c>
      <c r="B7005" s="31" t="s">
        <v>675</v>
      </c>
      <c r="C7005" s="31" t="s">
        <v>3647</v>
      </c>
      <c r="D7005" s="30" t="s">
        <v>3663</v>
      </c>
      <c r="E7005" s="32">
        <v>46113.0</v>
      </c>
      <c r="F7005" s="32">
        <v>46171.0</v>
      </c>
      <c r="G7005" s="33"/>
    </row>
    <row r="7006" ht="15.75" customHeight="1">
      <c r="A7006" s="26" t="s">
        <v>10670</v>
      </c>
      <c r="B7006" s="27" t="s">
        <v>675</v>
      </c>
      <c r="C7006" s="27" t="s">
        <v>952</v>
      </c>
      <c r="D7006" s="26" t="s">
        <v>3663</v>
      </c>
      <c r="E7006" s="28">
        <v>46113.0</v>
      </c>
      <c r="F7006" s="28">
        <v>46171.0</v>
      </c>
      <c r="G7006" s="29"/>
    </row>
    <row r="7007" ht="15.75" customHeight="1">
      <c r="A7007" s="30" t="s">
        <v>10671</v>
      </c>
      <c r="B7007" s="31" t="s">
        <v>675</v>
      </c>
      <c r="C7007" s="31" t="s">
        <v>1218</v>
      </c>
      <c r="D7007" s="30" t="s">
        <v>3663</v>
      </c>
      <c r="E7007" s="32">
        <v>46113.0</v>
      </c>
      <c r="F7007" s="32">
        <v>46171.0</v>
      </c>
      <c r="G7007" s="33"/>
    </row>
    <row r="7008" ht="15.75" customHeight="1">
      <c r="A7008" s="26" t="s">
        <v>10672</v>
      </c>
      <c r="B7008" s="27" t="s">
        <v>675</v>
      </c>
      <c r="C7008" s="27" t="s">
        <v>968</v>
      </c>
      <c r="D7008" s="26" t="s">
        <v>3663</v>
      </c>
      <c r="E7008" s="28">
        <v>46113.0</v>
      </c>
      <c r="F7008" s="28">
        <v>46171.0</v>
      </c>
      <c r="G7008" s="29"/>
    </row>
    <row r="7009" ht="15.75" customHeight="1">
      <c r="A7009" s="30" t="s">
        <v>10673</v>
      </c>
      <c r="B7009" s="31" t="s">
        <v>675</v>
      </c>
      <c r="C7009" s="31" t="s">
        <v>923</v>
      </c>
      <c r="D7009" s="31" t="s">
        <v>3663</v>
      </c>
      <c r="E7009" s="32">
        <v>46113.0</v>
      </c>
      <c r="F7009" s="32">
        <v>46171.0</v>
      </c>
      <c r="G7009" s="33"/>
    </row>
    <row r="7010" ht="15.75" customHeight="1">
      <c r="A7010" s="26" t="s">
        <v>10674</v>
      </c>
      <c r="B7010" s="27" t="s">
        <v>675</v>
      </c>
      <c r="C7010" s="27" t="s">
        <v>955</v>
      </c>
      <c r="D7010" s="26" t="s">
        <v>3663</v>
      </c>
      <c r="E7010" s="28">
        <v>46113.0</v>
      </c>
      <c r="F7010" s="28">
        <v>46171.0</v>
      </c>
      <c r="G7010" s="29"/>
    </row>
    <row r="7011" ht="15.75" customHeight="1">
      <c r="A7011" s="30" t="s">
        <v>10675</v>
      </c>
      <c r="B7011" s="31" t="s">
        <v>676</v>
      </c>
      <c r="C7011" s="31" t="s">
        <v>930</v>
      </c>
      <c r="D7011" s="30" t="s">
        <v>3663</v>
      </c>
      <c r="E7011" s="32">
        <v>46113.0</v>
      </c>
      <c r="F7011" s="32">
        <v>46171.0</v>
      </c>
      <c r="G7011" s="33"/>
    </row>
    <row r="7012" ht="15.75" customHeight="1">
      <c r="A7012" s="26" t="s">
        <v>10676</v>
      </c>
      <c r="B7012" s="27" t="s">
        <v>676</v>
      </c>
      <c r="C7012" s="27" t="s">
        <v>1354</v>
      </c>
      <c r="D7012" s="26" t="s">
        <v>3663</v>
      </c>
      <c r="E7012" s="28">
        <v>46113.0</v>
      </c>
      <c r="F7012" s="28">
        <v>46171.0</v>
      </c>
      <c r="G7012" s="29"/>
    </row>
    <row r="7013" ht="15.75" customHeight="1">
      <c r="A7013" s="30" t="s">
        <v>10677</v>
      </c>
      <c r="B7013" s="31" t="s">
        <v>676</v>
      </c>
      <c r="C7013" s="31" t="s">
        <v>3641</v>
      </c>
      <c r="D7013" s="30" t="s">
        <v>3663</v>
      </c>
      <c r="E7013" s="32">
        <v>46113.0</v>
      </c>
      <c r="F7013" s="32">
        <v>46171.0</v>
      </c>
      <c r="G7013" s="33"/>
    </row>
    <row r="7014" ht="15.75" customHeight="1">
      <c r="A7014" s="26" t="s">
        <v>10678</v>
      </c>
      <c r="B7014" s="27" t="s">
        <v>676</v>
      </c>
      <c r="C7014" s="27" t="s">
        <v>1304</v>
      </c>
      <c r="D7014" s="26" t="s">
        <v>3663</v>
      </c>
      <c r="E7014" s="28">
        <v>46113.0</v>
      </c>
      <c r="F7014" s="28">
        <v>46171.0</v>
      </c>
      <c r="G7014" s="29"/>
    </row>
    <row r="7015" ht="15.75" customHeight="1">
      <c r="A7015" s="30" t="s">
        <v>10679</v>
      </c>
      <c r="B7015" s="31" t="s">
        <v>676</v>
      </c>
      <c r="C7015" s="31" t="s">
        <v>3642</v>
      </c>
      <c r="D7015" s="30" t="s">
        <v>3663</v>
      </c>
      <c r="E7015" s="32">
        <v>46113.0</v>
      </c>
      <c r="F7015" s="32">
        <v>46171.0</v>
      </c>
      <c r="G7015" s="33"/>
    </row>
    <row r="7016" ht="15.75" customHeight="1">
      <c r="A7016" s="26" t="s">
        <v>10680</v>
      </c>
      <c r="B7016" s="27" t="s">
        <v>676</v>
      </c>
      <c r="C7016" s="27" t="s">
        <v>1308</v>
      </c>
      <c r="D7016" s="26" t="s">
        <v>3663</v>
      </c>
      <c r="E7016" s="28">
        <v>46113.0</v>
      </c>
      <c r="F7016" s="28">
        <v>46171.0</v>
      </c>
      <c r="G7016" s="29"/>
    </row>
    <row r="7017" ht="15.75" customHeight="1">
      <c r="A7017" s="30" t="s">
        <v>10681</v>
      </c>
      <c r="B7017" s="31" t="s">
        <v>676</v>
      </c>
      <c r="C7017" s="31" t="s">
        <v>1159</v>
      </c>
      <c r="D7017" s="30" t="s">
        <v>3663</v>
      </c>
      <c r="E7017" s="32">
        <v>46113.0</v>
      </c>
      <c r="F7017" s="32">
        <v>46171.0</v>
      </c>
      <c r="G7017" s="33"/>
    </row>
    <row r="7018" ht="15.75" customHeight="1">
      <c r="A7018" s="26" t="s">
        <v>10682</v>
      </c>
      <c r="B7018" s="27" t="s">
        <v>676</v>
      </c>
      <c r="C7018" s="27" t="s">
        <v>3656</v>
      </c>
      <c r="D7018" s="26" t="s">
        <v>3663</v>
      </c>
      <c r="E7018" s="28">
        <v>46113.0</v>
      </c>
      <c r="F7018" s="28">
        <v>46171.0</v>
      </c>
      <c r="G7018" s="29"/>
    </row>
    <row r="7019" ht="15.75" customHeight="1">
      <c r="A7019" s="30" t="s">
        <v>10683</v>
      </c>
      <c r="B7019" s="31" t="s">
        <v>676</v>
      </c>
      <c r="C7019" s="31" t="s">
        <v>3657</v>
      </c>
      <c r="D7019" s="30" t="s">
        <v>3663</v>
      </c>
      <c r="E7019" s="32">
        <v>46113.0</v>
      </c>
      <c r="F7019" s="32">
        <v>46171.0</v>
      </c>
      <c r="G7019" s="33"/>
    </row>
    <row r="7020" ht="15.75" customHeight="1">
      <c r="A7020" s="26" t="s">
        <v>10684</v>
      </c>
      <c r="B7020" s="27" t="s">
        <v>676</v>
      </c>
      <c r="C7020" s="27" t="s">
        <v>1216</v>
      </c>
      <c r="D7020" s="26" t="s">
        <v>3663</v>
      </c>
      <c r="E7020" s="28">
        <v>46113.0</v>
      </c>
      <c r="F7020" s="28">
        <v>46171.0</v>
      </c>
      <c r="G7020" s="29"/>
    </row>
    <row r="7021" ht="15.75" customHeight="1">
      <c r="A7021" s="30" t="s">
        <v>10685</v>
      </c>
      <c r="B7021" s="31" t="s">
        <v>676</v>
      </c>
      <c r="C7021" s="31" t="s">
        <v>1351</v>
      </c>
      <c r="D7021" s="30" t="s">
        <v>3663</v>
      </c>
      <c r="E7021" s="32">
        <v>46113.0</v>
      </c>
      <c r="F7021" s="32">
        <v>46171.0</v>
      </c>
      <c r="G7021" s="33"/>
    </row>
    <row r="7022" ht="15.75" customHeight="1">
      <c r="A7022" s="26" t="s">
        <v>10686</v>
      </c>
      <c r="B7022" s="27" t="s">
        <v>676</v>
      </c>
      <c r="C7022" s="27" t="s">
        <v>1349</v>
      </c>
      <c r="D7022" s="26" t="s">
        <v>3663</v>
      </c>
      <c r="E7022" s="28">
        <v>46113.0</v>
      </c>
      <c r="F7022" s="28">
        <v>46171.0</v>
      </c>
      <c r="G7022" s="29"/>
    </row>
    <row r="7023" ht="15.75" customHeight="1">
      <c r="A7023" s="30" t="s">
        <v>10687</v>
      </c>
      <c r="B7023" s="31" t="s">
        <v>676</v>
      </c>
      <c r="C7023" s="31" t="s">
        <v>968</v>
      </c>
      <c r="D7023" s="30" t="s">
        <v>3663</v>
      </c>
      <c r="E7023" s="32">
        <v>46113.0</v>
      </c>
      <c r="F7023" s="32">
        <v>46171.0</v>
      </c>
      <c r="G7023" s="33"/>
    </row>
    <row r="7024" ht="15.75" customHeight="1">
      <c r="A7024" s="26" t="s">
        <v>10688</v>
      </c>
      <c r="B7024" s="27" t="s">
        <v>676</v>
      </c>
      <c r="C7024" s="27" t="s">
        <v>923</v>
      </c>
      <c r="D7024" s="26" t="s">
        <v>3663</v>
      </c>
      <c r="E7024" s="28">
        <v>46113.0</v>
      </c>
      <c r="F7024" s="28">
        <v>46171.0</v>
      </c>
      <c r="G7024" s="29"/>
    </row>
    <row r="7025" ht="15.75" customHeight="1">
      <c r="A7025" s="30" t="s">
        <v>10689</v>
      </c>
      <c r="B7025" s="31" t="s">
        <v>677</v>
      </c>
      <c r="C7025" s="31" t="s">
        <v>1240</v>
      </c>
      <c r="D7025" s="30" t="s">
        <v>3663</v>
      </c>
      <c r="E7025" s="32">
        <v>46113.0</v>
      </c>
      <c r="F7025" s="32">
        <v>46171.0</v>
      </c>
      <c r="G7025" s="33"/>
    </row>
    <row r="7026" ht="15.75" customHeight="1">
      <c r="A7026" s="26" t="s">
        <v>10690</v>
      </c>
      <c r="B7026" s="27" t="s">
        <v>677</v>
      </c>
      <c r="C7026" s="27" t="s">
        <v>1242</v>
      </c>
      <c r="D7026" s="26" t="s">
        <v>3663</v>
      </c>
      <c r="E7026" s="28">
        <v>46113.0</v>
      </c>
      <c r="F7026" s="28">
        <v>46171.0</v>
      </c>
      <c r="G7026" s="29"/>
    </row>
    <row r="7027" ht="15.75" customHeight="1">
      <c r="A7027" s="30" t="s">
        <v>10691</v>
      </c>
      <c r="B7027" s="31" t="s">
        <v>677</v>
      </c>
      <c r="C7027" s="31" t="s">
        <v>1244</v>
      </c>
      <c r="D7027" s="30" t="s">
        <v>3663</v>
      </c>
      <c r="E7027" s="32">
        <v>46113.0</v>
      </c>
      <c r="F7027" s="32">
        <v>46171.0</v>
      </c>
      <c r="G7027" s="33"/>
    </row>
    <row r="7028" ht="15.75" customHeight="1">
      <c r="A7028" s="26" t="s">
        <v>10692</v>
      </c>
      <c r="B7028" s="27" t="s">
        <v>677</v>
      </c>
      <c r="C7028" s="27" t="s">
        <v>1246</v>
      </c>
      <c r="D7028" s="26" t="s">
        <v>3663</v>
      </c>
      <c r="E7028" s="28">
        <v>46113.0</v>
      </c>
      <c r="F7028" s="28">
        <v>46171.0</v>
      </c>
      <c r="G7028" s="29"/>
    </row>
    <row r="7029" ht="15.75" customHeight="1">
      <c r="A7029" s="30" t="s">
        <v>10693</v>
      </c>
      <c r="B7029" s="31" t="s">
        <v>677</v>
      </c>
      <c r="C7029" s="31" t="s">
        <v>3654</v>
      </c>
      <c r="D7029" s="30" t="s">
        <v>3663</v>
      </c>
      <c r="E7029" s="32">
        <v>46113.0</v>
      </c>
      <c r="F7029" s="32">
        <v>46171.0</v>
      </c>
      <c r="G7029" s="33"/>
    </row>
    <row r="7030" ht="15.75" customHeight="1">
      <c r="A7030" s="26" t="s">
        <v>10694</v>
      </c>
      <c r="B7030" s="27" t="s">
        <v>677</v>
      </c>
      <c r="C7030" s="27" t="s">
        <v>3655</v>
      </c>
      <c r="D7030" s="26" t="s">
        <v>3663</v>
      </c>
      <c r="E7030" s="28">
        <v>46113.0</v>
      </c>
      <c r="F7030" s="28">
        <v>46171.0</v>
      </c>
      <c r="G7030" s="29"/>
    </row>
    <row r="7031" ht="15.75" customHeight="1">
      <c r="A7031" s="30" t="s">
        <v>10695</v>
      </c>
      <c r="B7031" s="31" t="s">
        <v>677</v>
      </c>
      <c r="C7031" s="31" t="s">
        <v>934</v>
      </c>
      <c r="D7031" s="30" t="s">
        <v>3663</v>
      </c>
      <c r="E7031" s="32">
        <v>46113.0</v>
      </c>
      <c r="F7031" s="32">
        <v>46171.0</v>
      </c>
      <c r="G7031" s="33"/>
    </row>
    <row r="7032" ht="15.75" customHeight="1">
      <c r="A7032" s="26" t="s">
        <v>10696</v>
      </c>
      <c r="B7032" s="27" t="s">
        <v>677</v>
      </c>
      <c r="C7032" s="27" t="s">
        <v>1354</v>
      </c>
      <c r="D7032" s="26" t="s">
        <v>3663</v>
      </c>
      <c r="E7032" s="28">
        <v>46113.0</v>
      </c>
      <c r="F7032" s="28">
        <v>46171.0</v>
      </c>
      <c r="G7032" s="29"/>
    </row>
    <row r="7033" ht="15.75" customHeight="1">
      <c r="A7033" s="30" t="s">
        <v>10697</v>
      </c>
      <c r="B7033" s="31" t="s">
        <v>677</v>
      </c>
      <c r="C7033" s="31" t="s">
        <v>1172</v>
      </c>
      <c r="D7033" s="30" t="s">
        <v>3663</v>
      </c>
      <c r="E7033" s="32">
        <v>46113.0</v>
      </c>
      <c r="F7033" s="32">
        <v>46171.0</v>
      </c>
      <c r="G7033" s="33"/>
    </row>
    <row r="7034" ht="15.75" customHeight="1">
      <c r="A7034" s="26" t="s">
        <v>10698</v>
      </c>
      <c r="B7034" s="27" t="s">
        <v>677</v>
      </c>
      <c r="C7034" s="27" t="s">
        <v>1216</v>
      </c>
      <c r="D7034" s="26" t="s">
        <v>3663</v>
      </c>
      <c r="E7034" s="28">
        <v>46113.0</v>
      </c>
      <c r="F7034" s="28">
        <v>46171.0</v>
      </c>
      <c r="G7034" s="29"/>
    </row>
    <row r="7035" ht="15.75" customHeight="1">
      <c r="A7035" s="30" t="s">
        <v>10699</v>
      </c>
      <c r="B7035" s="31" t="s">
        <v>677</v>
      </c>
      <c r="C7035" s="31" t="s">
        <v>1351</v>
      </c>
      <c r="D7035" s="30" t="s">
        <v>3663</v>
      </c>
      <c r="E7035" s="32">
        <v>46113.0</v>
      </c>
      <c r="F7035" s="32">
        <v>46171.0</v>
      </c>
      <c r="G7035" s="33"/>
    </row>
    <row r="7036" ht="15.75" customHeight="1">
      <c r="A7036" s="26" t="s">
        <v>10700</v>
      </c>
      <c r="B7036" s="27" t="s">
        <v>677</v>
      </c>
      <c r="C7036" s="27" t="s">
        <v>1349</v>
      </c>
      <c r="D7036" s="26" t="s">
        <v>3663</v>
      </c>
      <c r="E7036" s="28">
        <v>46113.0</v>
      </c>
      <c r="F7036" s="28">
        <v>46171.0</v>
      </c>
      <c r="G7036" s="29"/>
    </row>
    <row r="7037" ht="15.75" customHeight="1">
      <c r="A7037" s="30" t="s">
        <v>10701</v>
      </c>
      <c r="B7037" s="31" t="s">
        <v>677</v>
      </c>
      <c r="C7037" s="31" t="s">
        <v>968</v>
      </c>
      <c r="D7037" s="30" t="s">
        <v>3663</v>
      </c>
      <c r="E7037" s="32">
        <v>46113.0</v>
      </c>
      <c r="F7037" s="32">
        <v>46171.0</v>
      </c>
      <c r="G7037" s="33"/>
    </row>
    <row r="7038" ht="15.75" customHeight="1">
      <c r="A7038" s="26" t="s">
        <v>10702</v>
      </c>
      <c r="B7038" s="27" t="s">
        <v>677</v>
      </c>
      <c r="C7038" s="27" t="s">
        <v>923</v>
      </c>
      <c r="D7038" s="26" t="s">
        <v>3663</v>
      </c>
      <c r="E7038" s="28">
        <v>46113.0</v>
      </c>
      <c r="F7038" s="28">
        <v>46171.0</v>
      </c>
      <c r="G7038" s="29"/>
    </row>
    <row r="7039" ht="15.75" customHeight="1">
      <c r="A7039" s="30" t="s">
        <v>10703</v>
      </c>
      <c r="B7039" s="31" t="s">
        <v>678</v>
      </c>
      <c r="C7039" s="31" t="s">
        <v>934</v>
      </c>
      <c r="D7039" s="30" t="s">
        <v>3663</v>
      </c>
      <c r="E7039" s="32">
        <v>46113.0</v>
      </c>
      <c r="F7039" s="32">
        <v>46171.0</v>
      </c>
      <c r="G7039" s="33"/>
    </row>
    <row r="7040" ht="15.75" customHeight="1">
      <c r="A7040" s="26" t="s">
        <v>10704</v>
      </c>
      <c r="B7040" s="27" t="s">
        <v>678</v>
      </c>
      <c r="C7040" s="27" t="s">
        <v>1354</v>
      </c>
      <c r="D7040" s="26" t="s">
        <v>3663</v>
      </c>
      <c r="E7040" s="28">
        <v>46113.0</v>
      </c>
      <c r="F7040" s="28">
        <v>46171.0</v>
      </c>
      <c r="G7040" s="29"/>
    </row>
    <row r="7041" ht="15.75" customHeight="1">
      <c r="A7041" s="30" t="s">
        <v>10705</v>
      </c>
      <c r="B7041" s="31" t="s">
        <v>678</v>
      </c>
      <c r="C7041" s="31" t="s">
        <v>1157</v>
      </c>
      <c r="D7041" s="30" t="s">
        <v>3663</v>
      </c>
      <c r="E7041" s="32">
        <v>46113.0</v>
      </c>
      <c r="F7041" s="32">
        <v>46171.0</v>
      </c>
      <c r="G7041" s="33"/>
    </row>
    <row r="7042" ht="15.75" customHeight="1">
      <c r="A7042" s="26" t="s">
        <v>10706</v>
      </c>
      <c r="B7042" s="27" t="s">
        <v>678</v>
      </c>
      <c r="C7042" s="27" t="s">
        <v>1155</v>
      </c>
      <c r="D7042" s="26" t="s">
        <v>3663</v>
      </c>
      <c r="E7042" s="28">
        <v>46113.0</v>
      </c>
      <c r="F7042" s="28">
        <v>46171.0</v>
      </c>
      <c r="G7042" s="29"/>
    </row>
    <row r="7043" ht="15.75" customHeight="1">
      <c r="A7043" s="30" t="s">
        <v>10707</v>
      </c>
      <c r="B7043" s="31" t="s">
        <v>678</v>
      </c>
      <c r="C7043" s="31" t="s">
        <v>1153</v>
      </c>
      <c r="D7043" s="30" t="s">
        <v>3663</v>
      </c>
      <c r="E7043" s="32">
        <v>46113.0</v>
      </c>
      <c r="F7043" s="32">
        <v>46171.0</v>
      </c>
      <c r="G7043" s="33"/>
    </row>
    <row r="7044" ht="15.75" customHeight="1">
      <c r="A7044" s="26" t="s">
        <v>10708</v>
      </c>
      <c r="B7044" s="27" t="s">
        <v>678</v>
      </c>
      <c r="C7044" s="27" t="s">
        <v>1149</v>
      </c>
      <c r="D7044" s="26" t="s">
        <v>3663</v>
      </c>
      <c r="E7044" s="28">
        <v>46113.0</v>
      </c>
      <c r="F7044" s="28">
        <v>46171.0</v>
      </c>
      <c r="G7044" s="29"/>
    </row>
    <row r="7045" ht="15.75" customHeight="1">
      <c r="A7045" s="30" t="s">
        <v>10709</v>
      </c>
      <c r="B7045" s="31" t="s">
        <v>678</v>
      </c>
      <c r="C7045" s="31" t="s">
        <v>1351</v>
      </c>
      <c r="D7045" s="30" t="s">
        <v>3663</v>
      </c>
      <c r="E7045" s="32">
        <v>46113.0</v>
      </c>
      <c r="F7045" s="32">
        <v>46171.0</v>
      </c>
      <c r="G7045" s="33"/>
    </row>
    <row r="7046" ht="15.75" customHeight="1">
      <c r="A7046" s="26" t="s">
        <v>10710</v>
      </c>
      <c r="B7046" s="27" t="s">
        <v>678</v>
      </c>
      <c r="C7046" s="27" t="s">
        <v>1349</v>
      </c>
      <c r="D7046" s="26" t="s">
        <v>3663</v>
      </c>
      <c r="E7046" s="28">
        <v>46113.0</v>
      </c>
      <c r="F7046" s="28">
        <v>46171.0</v>
      </c>
      <c r="G7046" s="29"/>
    </row>
    <row r="7047" ht="15.75" customHeight="1">
      <c r="A7047" s="30" t="s">
        <v>10711</v>
      </c>
      <c r="B7047" s="31" t="s">
        <v>678</v>
      </c>
      <c r="C7047" s="31" t="s">
        <v>3653</v>
      </c>
      <c r="D7047" s="31" t="s">
        <v>3663</v>
      </c>
      <c r="E7047" s="32">
        <v>46113.0</v>
      </c>
      <c r="F7047" s="32">
        <v>46171.0</v>
      </c>
      <c r="G7047" s="33"/>
    </row>
    <row r="7048" ht="15.75" customHeight="1">
      <c r="A7048" s="26" t="s">
        <v>10712</v>
      </c>
      <c r="B7048" s="27" t="s">
        <v>678</v>
      </c>
      <c r="C7048" s="27" t="s">
        <v>3652</v>
      </c>
      <c r="D7048" s="26" t="s">
        <v>3663</v>
      </c>
      <c r="E7048" s="28">
        <v>46113.0</v>
      </c>
      <c r="F7048" s="28">
        <v>46171.0</v>
      </c>
      <c r="G7048" s="29"/>
    </row>
    <row r="7049" ht="15.75" customHeight="1">
      <c r="A7049" s="30" t="s">
        <v>10713</v>
      </c>
      <c r="B7049" s="31" t="s">
        <v>678</v>
      </c>
      <c r="C7049" s="31" t="s">
        <v>965</v>
      </c>
      <c r="D7049" s="30" t="s">
        <v>3663</v>
      </c>
      <c r="E7049" s="32">
        <v>46113.0</v>
      </c>
      <c r="F7049" s="32">
        <v>46171.0</v>
      </c>
      <c r="G7049" s="33"/>
    </row>
    <row r="7050" ht="15.75" customHeight="1">
      <c r="A7050" s="26" t="s">
        <v>10714</v>
      </c>
      <c r="B7050" s="27" t="s">
        <v>678</v>
      </c>
      <c r="C7050" s="27" t="s">
        <v>923</v>
      </c>
      <c r="D7050" s="26" t="s">
        <v>3663</v>
      </c>
      <c r="E7050" s="28">
        <v>46113.0</v>
      </c>
      <c r="F7050" s="28">
        <v>46171.0</v>
      </c>
      <c r="G7050" s="29"/>
    </row>
    <row r="7051" ht="15.75" customHeight="1">
      <c r="A7051" s="30" t="s">
        <v>10715</v>
      </c>
      <c r="B7051" s="31" t="s">
        <v>678</v>
      </c>
      <c r="C7051" s="31" t="s">
        <v>963</v>
      </c>
      <c r="D7051" s="30" t="s">
        <v>3663</v>
      </c>
      <c r="E7051" s="32">
        <v>46113.0</v>
      </c>
      <c r="F7051" s="32">
        <v>46171.0</v>
      </c>
      <c r="G7051" s="33"/>
    </row>
    <row r="7052" ht="15.75" customHeight="1">
      <c r="A7052" s="26" t="s">
        <v>10716</v>
      </c>
      <c r="B7052" s="27" t="s">
        <v>678</v>
      </c>
      <c r="C7052" s="27" t="s">
        <v>961</v>
      </c>
      <c r="D7052" s="26" t="s">
        <v>3663</v>
      </c>
      <c r="E7052" s="28">
        <v>46113.0</v>
      </c>
      <c r="F7052" s="28">
        <v>46171.0</v>
      </c>
      <c r="G7052" s="29"/>
    </row>
    <row r="7053" ht="15.75" customHeight="1">
      <c r="A7053" s="30" t="s">
        <v>10717</v>
      </c>
      <c r="B7053" s="31" t="s">
        <v>679</v>
      </c>
      <c r="C7053" s="31" t="s">
        <v>932</v>
      </c>
      <c r="D7053" s="30" t="s">
        <v>3663</v>
      </c>
      <c r="E7053" s="32">
        <v>46113.0</v>
      </c>
      <c r="F7053" s="32">
        <v>46171.0</v>
      </c>
      <c r="G7053" s="33"/>
    </row>
    <row r="7054" ht="15.75" customHeight="1">
      <c r="A7054" s="26" t="s">
        <v>10718</v>
      </c>
      <c r="B7054" s="27" t="s">
        <v>679</v>
      </c>
      <c r="C7054" s="27" t="s">
        <v>1168</v>
      </c>
      <c r="D7054" s="26" t="s">
        <v>3663</v>
      </c>
      <c r="E7054" s="28">
        <v>46113.0</v>
      </c>
      <c r="F7054" s="28">
        <v>46171.0</v>
      </c>
      <c r="G7054" s="29"/>
    </row>
    <row r="7055" ht="15.75" customHeight="1">
      <c r="A7055" s="30" t="s">
        <v>10719</v>
      </c>
      <c r="B7055" s="31" t="s">
        <v>679</v>
      </c>
      <c r="C7055" s="31" t="s">
        <v>1170</v>
      </c>
      <c r="D7055" s="30" t="s">
        <v>3663</v>
      </c>
      <c r="E7055" s="32">
        <v>46113.0</v>
      </c>
      <c r="F7055" s="32">
        <v>46171.0</v>
      </c>
      <c r="G7055" s="33"/>
    </row>
    <row r="7056" ht="15.75" customHeight="1">
      <c r="A7056" s="26" t="s">
        <v>10720</v>
      </c>
      <c r="B7056" s="27" t="s">
        <v>679</v>
      </c>
      <c r="C7056" s="27" t="s">
        <v>1288</v>
      </c>
      <c r="D7056" s="26" t="s">
        <v>3663</v>
      </c>
      <c r="E7056" s="28">
        <v>46113.0</v>
      </c>
      <c r="F7056" s="28">
        <v>46171.0</v>
      </c>
      <c r="G7056" s="29"/>
    </row>
    <row r="7057" ht="15.75" customHeight="1">
      <c r="A7057" s="30" t="s">
        <v>10721</v>
      </c>
      <c r="B7057" s="31" t="s">
        <v>679</v>
      </c>
      <c r="C7057" s="31" t="s">
        <v>1291</v>
      </c>
      <c r="D7057" s="30" t="s">
        <v>3663</v>
      </c>
      <c r="E7057" s="32">
        <v>46113.0</v>
      </c>
      <c r="F7057" s="32">
        <v>46171.0</v>
      </c>
      <c r="G7057" s="33"/>
    </row>
    <row r="7058" ht="15.75" customHeight="1">
      <c r="A7058" s="26" t="s">
        <v>10722</v>
      </c>
      <c r="B7058" s="27" t="s">
        <v>679</v>
      </c>
      <c r="C7058" s="27" t="s">
        <v>1354</v>
      </c>
      <c r="D7058" s="26" t="s">
        <v>3663</v>
      </c>
      <c r="E7058" s="28">
        <v>46113.0</v>
      </c>
      <c r="F7058" s="28">
        <v>46171.0</v>
      </c>
      <c r="G7058" s="29"/>
    </row>
    <row r="7059" ht="15.75" customHeight="1">
      <c r="A7059" s="30" t="s">
        <v>10723</v>
      </c>
      <c r="B7059" s="31" t="s">
        <v>679</v>
      </c>
      <c r="C7059" s="31" t="s">
        <v>1172</v>
      </c>
      <c r="D7059" s="30" t="s">
        <v>3663</v>
      </c>
      <c r="E7059" s="32">
        <v>46113.0</v>
      </c>
      <c r="F7059" s="32">
        <v>46171.0</v>
      </c>
      <c r="G7059" s="34"/>
    </row>
    <row r="7060" ht="15.75" customHeight="1">
      <c r="A7060" s="26" t="s">
        <v>10724</v>
      </c>
      <c r="B7060" s="27" t="s">
        <v>679</v>
      </c>
      <c r="C7060" s="27" t="s">
        <v>1312</v>
      </c>
      <c r="D7060" s="26" t="s">
        <v>3663</v>
      </c>
      <c r="E7060" s="28">
        <v>46113.0</v>
      </c>
      <c r="F7060" s="28">
        <v>46171.0</v>
      </c>
      <c r="G7060" s="29"/>
    </row>
    <row r="7061" ht="15.75" customHeight="1">
      <c r="A7061" s="30" t="s">
        <v>10725</v>
      </c>
      <c r="B7061" s="31" t="s">
        <v>679</v>
      </c>
      <c r="C7061" s="31" t="s">
        <v>3656</v>
      </c>
      <c r="D7061" s="30" t="s">
        <v>3663</v>
      </c>
      <c r="E7061" s="32">
        <v>46113.0</v>
      </c>
      <c r="F7061" s="32">
        <v>46171.0</v>
      </c>
      <c r="G7061" s="33"/>
    </row>
    <row r="7062" ht="15.75" customHeight="1">
      <c r="A7062" s="26" t="s">
        <v>10726</v>
      </c>
      <c r="B7062" s="27" t="s">
        <v>679</v>
      </c>
      <c r="C7062" s="27" t="s">
        <v>3657</v>
      </c>
      <c r="D7062" s="26" t="s">
        <v>3663</v>
      </c>
      <c r="E7062" s="28">
        <v>46113.0</v>
      </c>
      <c r="F7062" s="28">
        <v>46171.0</v>
      </c>
      <c r="G7062" s="29"/>
    </row>
    <row r="7063" ht="15.75" customHeight="1">
      <c r="A7063" s="30" t="s">
        <v>10727</v>
      </c>
      <c r="B7063" s="31" t="s">
        <v>679</v>
      </c>
      <c r="C7063" s="31" t="s">
        <v>3647</v>
      </c>
      <c r="D7063" s="30" t="s">
        <v>3663</v>
      </c>
      <c r="E7063" s="32">
        <v>46113.0</v>
      </c>
      <c r="F7063" s="32">
        <v>46171.0</v>
      </c>
      <c r="G7063" s="33"/>
    </row>
    <row r="7064" ht="15.75" customHeight="1">
      <c r="A7064" s="26" t="s">
        <v>10728</v>
      </c>
      <c r="B7064" s="27" t="s">
        <v>679</v>
      </c>
      <c r="C7064" s="27" t="s">
        <v>952</v>
      </c>
      <c r="D7064" s="26" t="s">
        <v>3663</v>
      </c>
      <c r="E7064" s="28">
        <v>46113.0</v>
      </c>
      <c r="F7064" s="28">
        <v>46171.0</v>
      </c>
      <c r="G7064" s="29"/>
    </row>
    <row r="7065" ht="15.75" customHeight="1">
      <c r="A7065" s="30" t="s">
        <v>10729</v>
      </c>
      <c r="B7065" s="31" t="s">
        <v>679</v>
      </c>
      <c r="C7065" s="31" t="s">
        <v>968</v>
      </c>
      <c r="D7065" s="30" t="s">
        <v>3663</v>
      </c>
      <c r="E7065" s="32">
        <v>46113.0</v>
      </c>
      <c r="F7065" s="32">
        <v>46171.0</v>
      </c>
      <c r="G7065" s="33"/>
    </row>
    <row r="7066" ht="15.75" customHeight="1">
      <c r="A7066" s="26" t="s">
        <v>10730</v>
      </c>
      <c r="B7066" s="27" t="s">
        <v>679</v>
      </c>
      <c r="C7066" s="27" t="s">
        <v>923</v>
      </c>
      <c r="D7066" s="26" t="s">
        <v>3663</v>
      </c>
      <c r="E7066" s="28">
        <v>46113.0</v>
      </c>
      <c r="F7066" s="28">
        <v>46171.0</v>
      </c>
      <c r="G7066" s="29"/>
    </row>
    <row r="7067" ht="15.75" customHeight="1">
      <c r="A7067" s="30" t="s">
        <v>10731</v>
      </c>
      <c r="B7067" s="31" t="s">
        <v>2770</v>
      </c>
      <c r="C7067" s="31" t="s">
        <v>1240</v>
      </c>
      <c r="D7067" s="30" t="s">
        <v>3663</v>
      </c>
      <c r="E7067" s="32">
        <v>46113.0</v>
      </c>
      <c r="F7067" s="32">
        <v>46171.0</v>
      </c>
      <c r="G7067" s="33"/>
    </row>
    <row r="7068" ht="15.75" customHeight="1">
      <c r="A7068" s="26" t="s">
        <v>10732</v>
      </c>
      <c r="B7068" s="27" t="s">
        <v>2770</v>
      </c>
      <c r="C7068" s="27" t="s">
        <v>1242</v>
      </c>
      <c r="D7068" s="26" t="s">
        <v>3663</v>
      </c>
      <c r="E7068" s="28">
        <v>46113.0</v>
      </c>
      <c r="F7068" s="28">
        <v>46171.0</v>
      </c>
      <c r="G7068" s="29"/>
    </row>
    <row r="7069" ht="15.75" customHeight="1">
      <c r="A7069" s="30" t="s">
        <v>10733</v>
      </c>
      <c r="B7069" s="31" t="s">
        <v>2770</v>
      </c>
      <c r="C7069" s="31" t="s">
        <v>1244</v>
      </c>
      <c r="D7069" s="30" t="s">
        <v>3663</v>
      </c>
      <c r="E7069" s="32">
        <v>46113.0</v>
      </c>
      <c r="F7069" s="32">
        <v>46171.0</v>
      </c>
      <c r="G7069" s="33"/>
    </row>
    <row r="7070" ht="15.75" customHeight="1">
      <c r="A7070" s="26" t="s">
        <v>10734</v>
      </c>
      <c r="B7070" s="27" t="s">
        <v>2770</v>
      </c>
      <c r="C7070" s="27" t="s">
        <v>1246</v>
      </c>
      <c r="D7070" s="26" t="s">
        <v>3663</v>
      </c>
      <c r="E7070" s="28">
        <v>46113.0</v>
      </c>
      <c r="F7070" s="28">
        <v>46171.0</v>
      </c>
      <c r="G7070" s="29"/>
    </row>
    <row r="7071" ht="15.75" customHeight="1">
      <c r="A7071" s="30" t="s">
        <v>10735</v>
      </c>
      <c r="B7071" s="31" t="s">
        <v>2770</v>
      </c>
      <c r="C7071" s="31" t="s">
        <v>3654</v>
      </c>
      <c r="D7071" s="30" t="s">
        <v>3663</v>
      </c>
      <c r="E7071" s="32">
        <v>46113.0</v>
      </c>
      <c r="F7071" s="32">
        <v>46171.0</v>
      </c>
      <c r="G7071" s="33"/>
    </row>
    <row r="7072" ht="15.75" customHeight="1">
      <c r="A7072" s="26" t="s">
        <v>10736</v>
      </c>
      <c r="B7072" s="27" t="s">
        <v>2770</v>
      </c>
      <c r="C7072" s="27" t="s">
        <v>3655</v>
      </c>
      <c r="D7072" s="26" t="s">
        <v>3663</v>
      </c>
      <c r="E7072" s="28">
        <v>46113.0</v>
      </c>
      <c r="F7072" s="28">
        <v>46171.0</v>
      </c>
      <c r="G7072" s="29"/>
    </row>
    <row r="7073" ht="15.75" customHeight="1">
      <c r="A7073" s="30" t="s">
        <v>10737</v>
      </c>
      <c r="B7073" s="31" t="s">
        <v>2770</v>
      </c>
      <c r="C7073" s="31" t="s">
        <v>928</v>
      </c>
      <c r="D7073" s="30" t="s">
        <v>3663</v>
      </c>
      <c r="E7073" s="32">
        <v>46113.0</v>
      </c>
      <c r="F7073" s="32">
        <v>46171.0</v>
      </c>
      <c r="G7073" s="33"/>
    </row>
    <row r="7074" ht="15.75" customHeight="1">
      <c r="A7074" s="26" t="s">
        <v>10738</v>
      </c>
      <c r="B7074" s="27" t="s">
        <v>2770</v>
      </c>
      <c r="C7074" s="27" t="s">
        <v>1354</v>
      </c>
      <c r="D7074" s="26" t="s">
        <v>3663</v>
      </c>
      <c r="E7074" s="28">
        <v>46113.0</v>
      </c>
      <c r="F7074" s="28">
        <v>46171.0</v>
      </c>
      <c r="G7074" s="29"/>
    </row>
    <row r="7075" ht="15.75" customHeight="1">
      <c r="A7075" s="30" t="s">
        <v>10739</v>
      </c>
      <c r="B7075" s="31" t="s">
        <v>2770</v>
      </c>
      <c r="C7075" s="31" t="s">
        <v>3647</v>
      </c>
      <c r="D7075" s="30" t="s">
        <v>3663</v>
      </c>
      <c r="E7075" s="32">
        <v>46113.0</v>
      </c>
      <c r="F7075" s="32">
        <v>46171.0</v>
      </c>
      <c r="G7075" s="33"/>
    </row>
    <row r="7076" ht="15.75" customHeight="1">
      <c r="A7076" s="26" t="s">
        <v>10740</v>
      </c>
      <c r="B7076" s="27" t="s">
        <v>2770</v>
      </c>
      <c r="C7076" s="27" t="s">
        <v>952</v>
      </c>
      <c r="D7076" s="26" t="s">
        <v>3663</v>
      </c>
      <c r="E7076" s="28">
        <v>46113.0</v>
      </c>
      <c r="F7076" s="28">
        <v>46171.0</v>
      </c>
      <c r="G7076" s="29"/>
    </row>
    <row r="7077" ht="15.75" customHeight="1">
      <c r="A7077" s="30" t="s">
        <v>10741</v>
      </c>
      <c r="B7077" s="31" t="s">
        <v>2770</v>
      </c>
      <c r="C7077" s="31" t="s">
        <v>1218</v>
      </c>
      <c r="D7077" s="30" t="s">
        <v>3663</v>
      </c>
      <c r="E7077" s="32">
        <v>46113.0</v>
      </c>
      <c r="F7077" s="32">
        <v>46171.0</v>
      </c>
      <c r="G7077" s="33"/>
    </row>
    <row r="7078" ht="15.75" customHeight="1">
      <c r="A7078" s="26" t="s">
        <v>10742</v>
      </c>
      <c r="B7078" s="27" t="s">
        <v>2770</v>
      </c>
      <c r="C7078" s="27" t="s">
        <v>1271</v>
      </c>
      <c r="D7078" s="26" t="s">
        <v>3663</v>
      </c>
      <c r="E7078" s="28">
        <v>46113.0</v>
      </c>
      <c r="F7078" s="28">
        <v>46171.0</v>
      </c>
      <c r="G7078" s="29"/>
    </row>
    <row r="7079" ht="15.75" customHeight="1">
      <c r="A7079" s="30" t="s">
        <v>10743</v>
      </c>
      <c r="B7079" s="31" t="s">
        <v>2770</v>
      </c>
      <c r="C7079" s="31" t="s">
        <v>968</v>
      </c>
      <c r="D7079" s="30" t="s">
        <v>3663</v>
      </c>
      <c r="E7079" s="32">
        <v>46113.0</v>
      </c>
      <c r="F7079" s="32">
        <v>46171.0</v>
      </c>
      <c r="G7079" s="33"/>
    </row>
    <row r="7080" ht="15.75" customHeight="1">
      <c r="A7080" s="26" t="s">
        <v>10744</v>
      </c>
      <c r="B7080" s="27" t="s">
        <v>2770</v>
      </c>
      <c r="C7080" s="27" t="s">
        <v>923</v>
      </c>
      <c r="D7080" s="26" t="s">
        <v>3663</v>
      </c>
      <c r="E7080" s="28">
        <v>46113.0</v>
      </c>
      <c r="F7080" s="28">
        <v>46171.0</v>
      </c>
      <c r="G7080" s="29"/>
    </row>
    <row r="7081" ht="15.75" customHeight="1">
      <c r="A7081" s="30" t="s">
        <v>10745</v>
      </c>
      <c r="B7081" s="31" t="s">
        <v>680</v>
      </c>
      <c r="C7081" s="31" t="s">
        <v>926</v>
      </c>
      <c r="D7081" s="30" t="s">
        <v>3663</v>
      </c>
      <c r="E7081" s="32">
        <v>46113.0</v>
      </c>
      <c r="F7081" s="32">
        <v>46171.0</v>
      </c>
      <c r="G7081" s="33"/>
    </row>
    <row r="7082" ht="15.75" customHeight="1">
      <c r="A7082" s="26" t="s">
        <v>10746</v>
      </c>
      <c r="B7082" s="27" t="s">
        <v>680</v>
      </c>
      <c r="C7082" s="27" t="s">
        <v>1354</v>
      </c>
      <c r="D7082" s="26" t="s">
        <v>3663</v>
      </c>
      <c r="E7082" s="28">
        <v>46113.0</v>
      </c>
      <c r="F7082" s="28">
        <v>46171.0</v>
      </c>
      <c r="G7082" s="29"/>
    </row>
    <row r="7083" ht="15.75" customHeight="1">
      <c r="A7083" s="30" t="s">
        <v>10747</v>
      </c>
      <c r="B7083" s="31" t="s">
        <v>680</v>
      </c>
      <c r="C7083" s="31" t="s">
        <v>3681</v>
      </c>
      <c r="D7083" s="30" t="s">
        <v>3663</v>
      </c>
      <c r="E7083" s="32">
        <v>46113.0</v>
      </c>
      <c r="F7083" s="32">
        <v>46171.0</v>
      </c>
      <c r="G7083" s="33"/>
    </row>
    <row r="7084" ht="15.75" customHeight="1">
      <c r="A7084" s="26" t="s">
        <v>10748</v>
      </c>
      <c r="B7084" s="27" t="s">
        <v>680</v>
      </c>
      <c r="C7084" s="27" t="s">
        <v>3683</v>
      </c>
      <c r="D7084" s="26" t="s">
        <v>3663</v>
      </c>
      <c r="E7084" s="28">
        <v>46113.0</v>
      </c>
      <c r="F7084" s="28">
        <v>46171.0</v>
      </c>
      <c r="G7084" s="29"/>
    </row>
    <row r="7085" ht="15.75" customHeight="1">
      <c r="A7085" s="30" t="s">
        <v>10749</v>
      </c>
      <c r="B7085" s="31" t="s">
        <v>680</v>
      </c>
      <c r="C7085" s="31" t="s">
        <v>1159</v>
      </c>
      <c r="D7085" s="30" t="s">
        <v>3663</v>
      </c>
      <c r="E7085" s="32">
        <v>46113.0</v>
      </c>
      <c r="F7085" s="32">
        <v>46171.0</v>
      </c>
      <c r="G7085" s="33"/>
    </row>
    <row r="7086" ht="15.75" customHeight="1">
      <c r="A7086" s="26" t="s">
        <v>10750</v>
      </c>
      <c r="B7086" s="27" t="s">
        <v>680</v>
      </c>
      <c r="C7086" s="27" t="s">
        <v>1277</v>
      </c>
      <c r="D7086" s="26" t="s">
        <v>3663</v>
      </c>
      <c r="E7086" s="28">
        <v>46113.0</v>
      </c>
      <c r="F7086" s="28">
        <v>46171.0</v>
      </c>
      <c r="G7086" s="29"/>
    </row>
    <row r="7087" ht="15.75" customHeight="1">
      <c r="A7087" s="30" t="s">
        <v>10751</v>
      </c>
      <c r="B7087" s="31" t="s">
        <v>680</v>
      </c>
      <c r="C7087" s="31" t="s">
        <v>1279</v>
      </c>
      <c r="D7087" s="30" t="s">
        <v>3663</v>
      </c>
      <c r="E7087" s="32">
        <v>46113.0</v>
      </c>
      <c r="F7087" s="32">
        <v>46171.0</v>
      </c>
      <c r="G7087" s="33"/>
    </row>
    <row r="7088" ht="15.75" customHeight="1">
      <c r="A7088" s="26" t="s">
        <v>10752</v>
      </c>
      <c r="B7088" s="27" t="s">
        <v>680</v>
      </c>
      <c r="C7088" s="27" t="s">
        <v>1283</v>
      </c>
      <c r="D7088" s="26" t="s">
        <v>3663</v>
      </c>
      <c r="E7088" s="28">
        <v>46113.0</v>
      </c>
      <c r="F7088" s="28">
        <v>46171.0</v>
      </c>
      <c r="G7088" s="29"/>
    </row>
    <row r="7089" ht="15.75" customHeight="1">
      <c r="A7089" s="30" t="s">
        <v>10753</v>
      </c>
      <c r="B7089" s="31" t="s">
        <v>680</v>
      </c>
      <c r="C7089" s="31" t="s">
        <v>1281</v>
      </c>
      <c r="D7089" s="30" t="s">
        <v>3663</v>
      </c>
      <c r="E7089" s="32">
        <v>46113.0</v>
      </c>
      <c r="F7089" s="32">
        <v>46171.0</v>
      </c>
      <c r="G7089" s="33"/>
    </row>
    <row r="7090" ht="15.75" customHeight="1">
      <c r="A7090" s="26" t="s">
        <v>10754</v>
      </c>
      <c r="B7090" s="27" t="s">
        <v>680</v>
      </c>
      <c r="C7090" s="27" t="s">
        <v>1216</v>
      </c>
      <c r="D7090" s="26" t="s">
        <v>3663</v>
      </c>
      <c r="E7090" s="28">
        <v>46113.0</v>
      </c>
      <c r="F7090" s="28">
        <v>46171.0</v>
      </c>
      <c r="G7090" s="29"/>
    </row>
    <row r="7091" ht="15.75" customHeight="1">
      <c r="A7091" s="30" t="s">
        <v>10755</v>
      </c>
      <c r="B7091" s="31" t="s">
        <v>680</v>
      </c>
      <c r="C7091" s="31" t="s">
        <v>1351</v>
      </c>
      <c r="D7091" s="30" t="s">
        <v>3663</v>
      </c>
      <c r="E7091" s="32">
        <v>46113.0</v>
      </c>
      <c r="F7091" s="32">
        <v>46171.0</v>
      </c>
      <c r="G7091" s="33"/>
    </row>
    <row r="7092" ht="15.75" customHeight="1">
      <c r="A7092" s="26" t="s">
        <v>10756</v>
      </c>
      <c r="B7092" s="27" t="s">
        <v>680</v>
      </c>
      <c r="C7092" s="27" t="s">
        <v>1349</v>
      </c>
      <c r="D7092" s="26" t="s">
        <v>3663</v>
      </c>
      <c r="E7092" s="28">
        <v>46113.0</v>
      </c>
      <c r="F7092" s="28">
        <v>46171.0</v>
      </c>
      <c r="G7092" s="29"/>
    </row>
    <row r="7093" ht="15.75" customHeight="1">
      <c r="A7093" s="30" t="s">
        <v>10757</v>
      </c>
      <c r="B7093" s="31" t="s">
        <v>680</v>
      </c>
      <c r="C7093" s="31" t="s">
        <v>968</v>
      </c>
      <c r="D7093" s="30" t="s">
        <v>3663</v>
      </c>
      <c r="E7093" s="32">
        <v>46113.0</v>
      </c>
      <c r="F7093" s="32">
        <v>46171.0</v>
      </c>
      <c r="G7093" s="33"/>
    </row>
    <row r="7094" ht="15.75" customHeight="1">
      <c r="A7094" s="26" t="s">
        <v>10758</v>
      </c>
      <c r="B7094" s="27" t="s">
        <v>680</v>
      </c>
      <c r="C7094" s="27" t="s">
        <v>923</v>
      </c>
      <c r="D7094" s="26" t="s">
        <v>3663</v>
      </c>
      <c r="E7094" s="28">
        <v>46113.0</v>
      </c>
      <c r="F7094" s="28">
        <v>46171.0</v>
      </c>
      <c r="G7094" s="29"/>
    </row>
    <row r="7095" ht="15.75" customHeight="1">
      <c r="A7095" s="30" t="s">
        <v>10759</v>
      </c>
      <c r="B7095" s="31" t="s">
        <v>681</v>
      </c>
      <c r="C7095" s="31" t="s">
        <v>1240</v>
      </c>
      <c r="D7095" s="30" t="s">
        <v>3663</v>
      </c>
      <c r="E7095" s="32">
        <v>46113.0</v>
      </c>
      <c r="F7095" s="32">
        <v>46171.0</v>
      </c>
      <c r="G7095" s="33"/>
    </row>
    <row r="7096" ht="15.75" customHeight="1">
      <c r="A7096" s="26" t="s">
        <v>10760</v>
      </c>
      <c r="B7096" s="27" t="s">
        <v>681</v>
      </c>
      <c r="C7096" s="27" t="s">
        <v>1242</v>
      </c>
      <c r="D7096" s="26" t="s">
        <v>3663</v>
      </c>
      <c r="E7096" s="28">
        <v>46113.0</v>
      </c>
      <c r="F7096" s="28">
        <v>46171.0</v>
      </c>
      <c r="G7096" s="29"/>
    </row>
    <row r="7097" ht="15.75" customHeight="1">
      <c r="A7097" s="30" t="s">
        <v>10761</v>
      </c>
      <c r="B7097" s="31" t="s">
        <v>681</v>
      </c>
      <c r="C7097" s="31" t="s">
        <v>1244</v>
      </c>
      <c r="D7097" s="30" t="s">
        <v>3663</v>
      </c>
      <c r="E7097" s="32">
        <v>46113.0</v>
      </c>
      <c r="F7097" s="32">
        <v>46171.0</v>
      </c>
      <c r="G7097" s="33"/>
    </row>
    <row r="7098" ht="15.75" customHeight="1">
      <c r="A7098" s="26" t="s">
        <v>10762</v>
      </c>
      <c r="B7098" s="27" t="s">
        <v>681</v>
      </c>
      <c r="C7098" s="27" t="s">
        <v>1246</v>
      </c>
      <c r="D7098" s="26" t="s">
        <v>3663</v>
      </c>
      <c r="E7098" s="28">
        <v>46113.0</v>
      </c>
      <c r="F7098" s="28">
        <v>46171.0</v>
      </c>
      <c r="G7098" s="29"/>
    </row>
    <row r="7099" ht="15.75" customHeight="1">
      <c r="A7099" s="30" t="s">
        <v>10763</v>
      </c>
      <c r="B7099" s="31" t="s">
        <v>681</v>
      </c>
      <c r="C7099" s="31" t="s">
        <v>3654</v>
      </c>
      <c r="D7099" s="30" t="s">
        <v>3663</v>
      </c>
      <c r="E7099" s="32">
        <v>46113.0</v>
      </c>
      <c r="F7099" s="32">
        <v>46171.0</v>
      </c>
      <c r="G7099" s="33"/>
    </row>
    <row r="7100" ht="15.75" customHeight="1">
      <c r="A7100" s="26" t="s">
        <v>10764</v>
      </c>
      <c r="B7100" s="27" t="s">
        <v>681</v>
      </c>
      <c r="C7100" s="27" t="s">
        <v>3655</v>
      </c>
      <c r="D7100" s="26" t="s">
        <v>3663</v>
      </c>
      <c r="E7100" s="28">
        <v>46113.0</v>
      </c>
      <c r="F7100" s="28">
        <v>46171.0</v>
      </c>
      <c r="G7100" s="29"/>
    </row>
    <row r="7101" ht="15.75" customHeight="1">
      <c r="A7101" s="30" t="s">
        <v>10765</v>
      </c>
      <c r="B7101" s="31" t="s">
        <v>681</v>
      </c>
      <c r="C7101" s="31" t="s">
        <v>934</v>
      </c>
      <c r="D7101" s="30" t="s">
        <v>3663</v>
      </c>
      <c r="E7101" s="32">
        <v>46113.0</v>
      </c>
      <c r="F7101" s="32">
        <v>46171.0</v>
      </c>
      <c r="G7101" s="33"/>
    </row>
    <row r="7102" ht="15.75" customHeight="1">
      <c r="A7102" s="26" t="s">
        <v>10766</v>
      </c>
      <c r="B7102" s="27" t="s">
        <v>681</v>
      </c>
      <c r="C7102" s="27" t="s">
        <v>1354</v>
      </c>
      <c r="D7102" s="26" t="s">
        <v>3663</v>
      </c>
      <c r="E7102" s="28">
        <v>46113.0</v>
      </c>
      <c r="F7102" s="28">
        <v>46171.0</v>
      </c>
      <c r="G7102" s="29"/>
    </row>
    <row r="7103" ht="15.75" customHeight="1">
      <c r="A7103" s="30" t="s">
        <v>10767</v>
      </c>
      <c r="B7103" s="31" t="s">
        <v>681</v>
      </c>
      <c r="C7103" s="31" t="s">
        <v>1172</v>
      </c>
      <c r="D7103" s="30" t="s">
        <v>3663</v>
      </c>
      <c r="E7103" s="32">
        <v>46113.0</v>
      </c>
      <c r="F7103" s="32">
        <v>46171.0</v>
      </c>
      <c r="G7103" s="34"/>
    </row>
    <row r="7104" ht="15.75" customHeight="1">
      <c r="A7104" s="26" t="s">
        <v>10768</v>
      </c>
      <c r="B7104" s="27" t="s">
        <v>681</v>
      </c>
      <c r="C7104" s="27" t="s">
        <v>1216</v>
      </c>
      <c r="D7104" s="26" t="s">
        <v>3663</v>
      </c>
      <c r="E7104" s="28">
        <v>46113.0</v>
      </c>
      <c r="F7104" s="28">
        <v>46171.0</v>
      </c>
      <c r="G7104" s="29"/>
    </row>
    <row r="7105" ht="15.75" customHeight="1">
      <c r="A7105" s="30" t="s">
        <v>10769</v>
      </c>
      <c r="B7105" s="31" t="s">
        <v>681</v>
      </c>
      <c r="C7105" s="31" t="s">
        <v>1351</v>
      </c>
      <c r="D7105" s="30" t="s">
        <v>3663</v>
      </c>
      <c r="E7105" s="32">
        <v>46113.0</v>
      </c>
      <c r="F7105" s="32">
        <v>46171.0</v>
      </c>
      <c r="G7105" s="33"/>
    </row>
    <row r="7106" ht="15.75" customHeight="1">
      <c r="A7106" s="26" t="s">
        <v>10770</v>
      </c>
      <c r="B7106" s="27" t="s">
        <v>681</v>
      </c>
      <c r="C7106" s="27" t="s">
        <v>1349</v>
      </c>
      <c r="D7106" s="26" t="s">
        <v>3663</v>
      </c>
      <c r="E7106" s="28">
        <v>46113.0</v>
      </c>
      <c r="F7106" s="28">
        <v>46171.0</v>
      </c>
      <c r="G7106" s="29"/>
    </row>
    <row r="7107" ht="15.75" customHeight="1">
      <c r="A7107" s="30" t="s">
        <v>10771</v>
      </c>
      <c r="B7107" s="31" t="s">
        <v>681</v>
      </c>
      <c r="C7107" s="31" t="s">
        <v>968</v>
      </c>
      <c r="D7107" s="30" t="s">
        <v>3663</v>
      </c>
      <c r="E7107" s="32">
        <v>46113.0</v>
      </c>
      <c r="F7107" s="32">
        <v>46171.0</v>
      </c>
      <c r="G7107" s="33"/>
    </row>
    <row r="7108" ht="15.75" customHeight="1">
      <c r="A7108" s="26" t="s">
        <v>10772</v>
      </c>
      <c r="B7108" s="27" t="s">
        <v>681</v>
      </c>
      <c r="C7108" s="27" t="s">
        <v>923</v>
      </c>
      <c r="D7108" s="26" t="s">
        <v>3663</v>
      </c>
      <c r="E7108" s="28">
        <v>46113.0</v>
      </c>
      <c r="F7108" s="28">
        <v>46171.0</v>
      </c>
      <c r="G7108" s="29"/>
    </row>
    <row r="7109" ht="15.75" customHeight="1">
      <c r="A7109" s="30" t="s">
        <v>10773</v>
      </c>
      <c r="B7109" s="31" t="s">
        <v>682</v>
      </c>
      <c r="C7109" s="31" t="s">
        <v>3654</v>
      </c>
      <c r="D7109" s="30" t="s">
        <v>3663</v>
      </c>
      <c r="E7109" s="32">
        <v>46113.0</v>
      </c>
      <c r="F7109" s="32">
        <v>46171.0</v>
      </c>
      <c r="G7109" s="33"/>
    </row>
    <row r="7110" ht="15.75" customHeight="1">
      <c r="A7110" s="26" t="s">
        <v>10774</v>
      </c>
      <c r="B7110" s="27" t="s">
        <v>682</v>
      </c>
      <c r="C7110" s="27" t="s">
        <v>3655</v>
      </c>
      <c r="D7110" s="26" t="s">
        <v>3663</v>
      </c>
      <c r="E7110" s="28">
        <v>46113.0</v>
      </c>
      <c r="F7110" s="28">
        <v>46171.0</v>
      </c>
      <c r="G7110" s="29"/>
    </row>
    <row r="7111" ht="15.75" customHeight="1">
      <c r="A7111" s="30" t="s">
        <v>10775</v>
      </c>
      <c r="B7111" s="31" t="s">
        <v>682</v>
      </c>
      <c r="C7111" s="31" t="s">
        <v>932</v>
      </c>
      <c r="D7111" s="30" t="s">
        <v>3663</v>
      </c>
      <c r="E7111" s="32">
        <v>46113.0</v>
      </c>
      <c r="F7111" s="32">
        <v>46171.0</v>
      </c>
      <c r="G7111" s="33"/>
    </row>
    <row r="7112" ht="15.75" customHeight="1">
      <c r="A7112" s="26" t="s">
        <v>10776</v>
      </c>
      <c r="B7112" s="27" t="s">
        <v>682</v>
      </c>
      <c r="C7112" s="27" t="s">
        <v>1168</v>
      </c>
      <c r="D7112" s="26" t="s">
        <v>3663</v>
      </c>
      <c r="E7112" s="28">
        <v>46113.0</v>
      </c>
      <c r="F7112" s="28">
        <v>46171.0</v>
      </c>
      <c r="G7112" s="29"/>
    </row>
    <row r="7113" ht="15.75" customHeight="1">
      <c r="A7113" s="30" t="s">
        <v>10777</v>
      </c>
      <c r="B7113" s="31" t="s">
        <v>682</v>
      </c>
      <c r="C7113" s="31" t="s">
        <v>1170</v>
      </c>
      <c r="D7113" s="30" t="s">
        <v>3663</v>
      </c>
      <c r="E7113" s="32">
        <v>46113.0</v>
      </c>
      <c r="F7113" s="32">
        <v>46171.0</v>
      </c>
      <c r="G7113" s="33"/>
    </row>
    <row r="7114" ht="15.75" customHeight="1">
      <c r="A7114" s="26" t="s">
        <v>10778</v>
      </c>
      <c r="B7114" s="27" t="s">
        <v>682</v>
      </c>
      <c r="C7114" s="27" t="s">
        <v>1288</v>
      </c>
      <c r="D7114" s="26" t="s">
        <v>3663</v>
      </c>
      <c r="E7114" s="28">
        <v>46113.0</v>
      </c>
      <c r="F7114" s="28">
        <v>46171.0</v>
      </c>
      <c r="G7114" s="29"/>
    </row>
    <row r="7115" ht="15.75" customHeight="1">
      <c r="A7115" s="30" t="s">
        <v>10779</v>
      </c>
      <c r="B7115" s="31" t="s">
        <v>682</v>
      </c>
      <c r="C7115" s="31" t="s">
        <v>1291</v>
      </c>
      <c r="D7115" s="30" t="s">
        <v>3663</v>
      </c>
      <c r="E7115" s="32">
        <v>46113.0</v>
      </c>
      <c r="F7115" s="32">
        <v>46171.0</v>
      </c>
      <c r="G7115" s="33"/>
    </row>
    <row r="7116" ht="15.75" customHeight="1">
      <c r="A7116" s="26" t="s">
        <v>10780</v>
      </c>
      <c r="B7116" s="27" t="s">
        <v>682</v>
      </c>
      <c r="C7116" s="27" t="s">
        <v>1354</v>
      </c>
      <c r="D7116" s="26" t="s">
        <v>3663</v>
      </c>
      <c r="E7116" s="28">
        <v>46113.0</v>
      </c>
      <c r="F7116" s="28">
        <v>46171.0</v>
      </c>
      <c r="G7116" s="29"/>
    </row>
    <row r="7117" ht="15.75" customHeight="1">
      <c r="A7117" s="30" t="s">
        <v>10781</v>
      </c>
      <c r="B7117" s="31" t="s">
        <v>682</v>
      </c>
      <c r="C7117" s="31" t="s">
        <v>1159</v>
      </c>
      <c r="D7117" s="30" t="s">
        <v>3663</v>
      </c>
      <c r="E7117" s="32">
        <v>46113.0</v>
      </c>
      <c r="F7117" s="32">
        <v>46171.0</v>
      </c>
      <c r="G7117" s="33"/>
    </row>
    <row r="7118" ht="15.75" customHeight="1">
      <c r="A7118" s="26" t="s">
        <v>10782</v>
      </c>
      <c r="B7118" s="27" t="s">
        <v>682</v>
      </c>
      <c r="C7118" s="27" t="s">
        <v>3647</v>
      </c>
      <c r="D7118" s="26" t="s">
        <v>3663</v>
      </c>
      <c r="E7118" s="28">
        <v>46113.0</v>
      </c>
      <c r="F7118" s="28">
        <v>46171.0</v>
      </c>
      <c r="G7118" s="29"/>
    </row>
    <row r="7119" ht="15.75" customHeight="1">
      <c r="A7119" s="30" t="s">
        <v>10783</v>
      </c>
      <c r="B7119" s="31" t="s">
        <v>682</v>
      </c>
      <c r="C7119" s="31" t="s">
        <v>952</v>
      </c>
      <c r="D7119" s="30" t="s">
        <v>3663</v>
      </c>
      <c r="E7119" s="32">
        <v>46113.0</v>
      </c>
      <c r="F7119" s="32">
        <v>46171.0</v>
      </c>
      <c r="G7119" s="33"/>
    </row>
    <row r="7120" ht="15.75" customHeight="1">
      <c r="A7120" s="26" t="s">
        <v>10784</v>
      </c>
      <c r="B7120" s="27" t="s">
        <v>682</v>
      </c>
      <c r="C7120" s="27" t="s">
        <v>1216</v>
      </c>
      <c r="D7120" s="26" t="s">
        <v>3663</v>
      </c>
      <c r="E7120" s="28">
        <v>46113.0</v>
      </c>
      <c r="F7120" s="28">
        <v>46171.0</v>
      </c>
      <c r="G7120" s="29"/>
    </row>
    <row r="7121" ht="15.75" customHeight="1">
      <c r="A7121" s="30" t="s">
        <v>10785</v>
      </c>
      <c r="B7121" s="31" t="s">
        <v>682</v>
      </c>
      <c r="C7121" s="31" t="s">
        <v>965</v>
      </c>
      <c r="D7121" s="30" t="s">
        <v>3663</v>
      </c>
      <c r="E7121" s="32">
        <v>46113.0</v>
      </c>
      <c r="F7121" s="32">
        <v>46171.0</v>
      </c>
      <c r="G7121" s="33"/>
    </row>
    <row r="7122" ht="15.75" customHeight="1">
      <c r="A7122" s="26" t="s">
        <v>10786</v>
      </c>
      <c r="B7122" s="27" t="s">
        <v>682</v>
      </c>
      <c r="C7122" s="27" t="s">
        <v>923</v>
      </c>
      <c r="D7122" s="26" t="s">
        <v>3663</v>
      </c>
      <c r="E7122" s="28">
        <v>46113.0</v>
      </c>
      <c r="F7122" s="28">
        <v>46171.0</v>
      </c>
      <c r="G7122" s="29"/>
    </row>
    <row r="7123" ht="15.75" customHeight="1">
      <c r="A7123" s="30" t="s">
        <v>10787</v>
      </c>
      <c r="B7123" s="31" t="s">
        <v>683</v>
      </c>
      <c r="C7123" s="31" t="s">
        <v>3654</v>
      </c>
      <c r="D7123" s="30" t="s">
        <v>3663</v>
      </c>
      <c r="E7123" s="32">
        <v>46113.0</v>
      </c>
      <c r="F7123" s="32">
        <v>46171.0</v>
      </c>
      <c r="G7123" s="33"/>
    </row>
    <row r="7124" ht="15.75" customHeight="1">
      <c r="A7124" s="26" t="s">
        <v>10788</v>
      </c>
      <c r="B7124" s="27" t="s">
        <v>683</v>
      </c>
      <c r="C7124" s="27" t="s">
        <v>3655</v>
      </c>
      <c r="D7124" s="26" t="s">
        <v>3663</v>
      </c>
      <c r="E7124" s="28">
        <v>46113.0</v>
      </c>
      <c r="F7124" s="28">
        <v>46171.0</v>
      </c>
      <c r="G7124" s="29"/>
    </row>
    <row r="7125" ht="15.75" customHeight="1">
      <c r="A7125" s="30" t="s">
        <v>10789</v>
      </c>
      <c r="B7125" s="31" t="s">
        <v>683</v>
      </c>
      <c r="C7125" s="31" t="s">
        <v>932</v>
      </c>
      <c r="D7125" s="30" t="s">
        <v>3663</v>
      </c>
      <c r="E7125" s="32">
        <v>46113.0</v>
      </c>
      <c r="F7125" s="32">
        <v>46171.0</v>
      </c>
      <c r="G7125" s="33"/>
    </row>
    <row r="7126" ht="15.75" customHeight="1">
      <c r="A7126" s="26" t="s">
        <v>10790</v>
      </c>
      <c r="B7126" s="27" t="s">
        <v>683</v>
      </c>
      <c r="C7126" s="27" t="s">
        <v>1168</v>
      </c>
      <c r="D7126" s="26" t="s">
        <v>3663</v>
      </c>
      <c r="E7126" s="28">
        <v>46113.0</v>
      </c>
      <c r="F7126" s="28">
        <v>46171.0</v>
      </c>
      <c r="G7126" s="29"/>
    </row>
    <row r="7127" ht="15.75" customHeight="1">
      <c r="A7127" s="30" t="s">
        <v>10791</v>
      </c>
      <c r="B7127" s="31" t="s">
        <v>683</v>
      </c>
      <c r="C7127" s="31" t="s">
        <v>1170</v>
      </c>
      <c r="D7127" s="30" t="s">
        <v>3663</v>
      </c>
      <c r="E7127" s="32">
        <v>46113.0</v>
      </c>
      <c r="F7127" s="32">
        <v>46171.0</v>
      </c>
      <c r="G7127" s="33"/>
    </row>
    <row r="7128" ht="15.75" customHeight="1">
      <c r="A7128" s="26" t="s">
        <v>10792</v>
      </c>
      <c r="B7128" s="27" t="s">
        <v>683</v>
      </c>
      <c r="C7128" s="27" t="s">
        <v>1288</v>
      </c>
      <c r="D7128" s="26" t="s">
        <v>3663</v>
      </c>
      <c r="E7128" s="28">
        <v>46113.0</v>
      </c>
      <c r="F7128" s="28">
        <v>46171.0</v>
      </c>
      <c r="G7128" s="29"/>
    </row>
    <row r="7129" ht="15.75" customHeight="1">
      <c r="A7129" s="30" t="s">
        <v>10793</v>
      </c>
      <c r="B7129" s="31" t="s">
        <v>683</v>
      </c>
      <c r="C7129" s="31" t="s">
        <v>1291</v>
      </c>
      <c r="D7129" s="30" t="s">
        <v>3663</v>
      </c>
      <c r="E7129" s="32">
        <v>46113.0</v>
      </c>
      <c r="F7129" s="32">
        <v>46171.0</v>
      </c>
      <c r="G7129" s="33"/>
    </row>
    <row r="7130" ht="15.75" customHeight="1">
      <c r="A7130" s="26" t="s">
        <v>10794</v>
      </c>
      <c r="B7130" s="27" t="s">
        <v>683</v>
      </c>
      <c r="C7130" s="27" t="s">
        <v>1354</v>
      </c>
      <c r="D7130" s="26" t="s">
        <v>3663</v>
      </c>
      <c r="E7130" s="28">
        <v>46113.0</v>
      </c>
      <c r="F7130" s="28">
        <v>46171.0</v>
      </c>
      <c r="G7130" s="29"/>
    </row>
    <row r="7131" ht="15.75" customHeight="1">
      <c r="A7131" s="30" t="s">
        <v>10795</v>
      </c>
      <c r="B7131" s="31" t="s">
        <v>683</v>
      </c>
      <c r="C7131" s="31" t="s">
        <v>3647</v>
      </c>
      <c r="D7131" s="30" t="s">
        <v>3663</v>
      </c>
      <c r="E7131" s="32">
        <v>46113.0</v>
      </c>
      <c r="F7131" s="32">
        <v>46171.0</v>
      </c>
      <c r="G7131" s="33"/>
    </row>
    <row r="7132" ht="15.75" customHeight="1">
      <c r="A7132" s="26" t="s">
        <v>10796</v>
      </c>
      <c r="B7132" s="27" t="s">
        <v>683</v>
      </c>
      <c r="C7132" s="27" t="s">
        <v>952</v>
      </c>
      <c r="D7132" s="26" t="s">
        <v>3663</v>
      </c>
      <c r="E7132" s="28">
        <v>46113.0</v>
      </c>
      <c r="F7132" s="28">
        <v>46171.0</v>
      </c>
      <c r="G7132" s="29"/>
    </row>
    <row r="7133" ht="15.75" customHeight="1">
      <c r="A7133" s="30" t="s">
        <v>10797</v>
      </c>
      <c r="B7133" s="31" t="s">
        <v>683</v>
      </c>
      <c r="C7133" s="31" t="s">
        <v>1216</v>
      </c>
      <c r="D7133" s="30" t="s">
        <v>3663</v>
      </c>
      <c r="E7133" s="32">
        <v>46113.0</v>
      </c>
      <c r="F7133" s="32">
        <v>46171.0</v>
      </c>
      <c r="G7133" s="33"/>
    </row>
    <row r="7134" ht="15.75" customHeight="1">
      <c r="A7134" s="26" t="s">
        <v>10798</v>
      </c>
      <c r="B7134" s="27" t="s">
        <v>683</v>
      </c>
      <c r="C7134" s="27" t="s">
        <v>1218</v>
      </c>
      <c r="D7134" s="26" t="s">
        <v>3663</v>
      </c>
      <c r="E7134" s="28">
        <v>46113.0</v>
      </c>
      <c r="F7134" s="28">
        <v>46171.0</v>
      </c>
      <c r="G7134" s="29"/>
    </row>
    <row r="7135" ht="15.75" customHeight="1">
      <c r="A7135" s="30" t="s">
        <v>10799</v>
      </c>
      <c r="B7135" s="31" t="s">
        <v>683</v>
      </c>
      <c r="C7135" s="31" t="s">
        <v>965</v>
      </c>
      <c r="D7135" s="30" t="s">
        <v>3663</v>
      </c>
      <c r="E7135" s="32">
        <v>46113.0</v>
      </c>
      <c r="F7135" s="32">
        <v>46171.0</v>
      </c>
      <c r="G7135" s="33"/>
    </row>
    <row r="7136" ht="15.75" customHeight="1">
      <c r="A7136" s="26" t="s">
        <v>10800</v>
      </c>
      <c r="B7136" s="27" t="s">
        <v>683</v>
      </c>
      <c r="C7136" s="27" t="s">
        <v>923</v>
      </c>
      <c r="D7136" s="26" t="s">
        <v>3663</v>
      </c>
      <c r="E7136" s="28">
        <v>46113.0</v>
      </c>
      <c r="F7136" s="28">
        <v>46171.0</v>
      </c>
      <c r="G7136" s="29"/>
    </row>
    <row r="7137" ht="15.75" customHeight="1">
      <c r="A7137" s="30" t="s">
        <v>10801</v>
      </c>
      <c r="B7137" s="31" t="s">
        <v>684</v>
      </c>
      <c r="C7137" s="31" t="s">
        <v>932</v>
      </c>
      <c r="D7137" s="30" t="s">
        <v>3663</v>
      </c>
      <c r="E7137" s="32">
        <v>46113.0</v>
      </c>
      <c r="F7137" s="32">
        <v>46171.0</v>
      </c>
      <c r="G7137" s="33"/>
    </row>
    <row r="7138" ht="15.75" customHeight="1">
      <c r="A7138" s="26" t="s">
        <v>10802</v>
      </c>
      <c r="B7138" s="27" t="s">
        <v>684</v>
      </c>
      <c r="C7138" s="27" t="s">
        <v>1168</v>
      </c>
      <c r="D7138" s="26" t="s">
        <v>3663</v>
      </c>
      <c r="E7138" s="28">
        <v>46113.0</v>
      </c>
      <c r="F7138" s="28">
        <v>46171.0</v>
      </c>
      <c r="G7138" s="29"/>
    </row>
    <row r="7139" ht="15.75" customHeight="1">
      <c r="A7139" s="30" t="s">
        <v>10803</v>
      </c>
      <c r="B7139" s="31" t="s">
        <v>684</v>
      </c>
      <c r="C7139" s="31" t="s">
        <v>1170</v>
      </c>
      <c r="D7139" s="30" t="s">
        <v>3663</v>
      </c>
      <c r="E7139" s="32">
        <v>46113.0</v>
      </c>
      <c r="F7139" s="32">
        <v>46171.0</v>
      </c>
      <c r="G7139" s="33"/>
    </row>
    <row r="7140" ht="15.75" customHeight="1">
      <c r="A7140" s="26" t="s">
        <v>10804</v>
      </c>
      <c r="B7140" s="27" t="s">
        <v>684</v>
      </c>
      <c r="C7140" s="27" t="s">
        <v>1288</v>
      </c>
      <c r="D7140" s="26" t="s">
        <v>3663</v>
      </c>
      <c r="E7140" s="28">
        <v>46113.0</v>
      </c>
      <c r="F7140" s="28">
        <v>46171.0</v>
      </c>
      <c r="G7140" s="29"/>
    </row>
    <row r="7141" ht="15.75" customHeight="1">
      <c r="A7141" s="30" t="s">
        <v>10805</v>
      </c>
      <c r="B7141" s="31" t="s">
        <v>684</v>
      </c>
      <c r="C7141" s="31" t="s">
        <v>1291</v>
      </c>
      <c r="D7141" s="30" t="s">
        <v>3663</v>
      </c>
      <c r="E7141" s="32">
        <v>46113.0</v>
      </c>
      <c r="F7141" s="32">
        <v>46171.0</v>
      </c>
      <c r="G7141" s="33"/>
    </row>
    <row r="7142" ht="15.75" customHeight="1">
      <c r="A7142" s="26" t="s">
        <v>10806</v>
      </c>
      <c r="B7142" s="27" t="s">
        <v>684</v>
      </c>
      <c r="C7142" s="27" t="s">
        <v>1354</v>
      </c>
      <c r="D7142" s="26" t="s">
        <v>3663</v>
      </c>
      <c r="E7142" s="28">
        <v>46113.0</v>
      </c>
      <c r="F7142" s="28">
        <v>46171.0</v>
      </c>
      <c r="G7142" s="29"/>
    </row>
    <row r="7143" ht="15.75" customHeight="1">
      <c r="A7143" s="30" t="s">
        <v>10807</v>
      </c>
      <c r="B7143" s="31" t="s">
        <v>684</v>
      </c>
      <c r="C7143" s="31" t="s">
        <v>3656</v>
      </c>
      <c r="D7143" s="30" t="s">
        <v>3663</v>
      </c>
      <c r="E7143" s="32">
        <v>46113.0</v>
      </c>
      <c r="F7143" s="32">
        <v>46171.0</v>
      </c>
      <c r="G7143" s="33"/>
    </row>
    <row r="7144" ht="15.75" customHeight="1">
      <c r="A7144" s="26" t="s">
        <v>10808</v>
      </c>
      <c r="B7144" s="27" t="s">
        <v>684</v>
      </c>
      <c r="C7144" s="27" t="s">
        <v>3657</v>
      </c>
      <c r="D7144" s="26" t="s">
        <v>3663</v>
      </c>
      <c r="E7144" s="28">
        <v>46113.0</v>
      </c>
      <c r="F7144" s="28">
        <v>46171.0</v>
      </c>
      <c r="G7144" s="29"/>
    </row>
    <row r="7145" ht="15.75" customHeight="1">
      <c r="A7145" s="30" t="s">
        <v>10809</v>
      </c>
      <c r="B7145" s="31" t="s">
        <v>684</v>
      </c>
      <c r="C7145" s="31" t="s">
        <v>3647</v>
      </c>
      <c r="D7145" s="30" t="s">
        <v>3663</v>
      </c>
      <c r="E7145" s="32">
        <v>46113.0</v>
      </c>
      <c r="F7145" s="32">
        <v>46171.0</v>
      </c>
      <c r="G7145" s="33"/>
    </row>
    <row r="7146" ht="15.75" customHeight="1">
      <c r="A7146" s="26" t="s">
        <v>10810</v>
      </c>
      <c r="B7146" s="27" t="s">
        <v>684</v>
      </c>
      <c r="C7146" s="27" t="s">
        <v>952</v>
      </c>
      <c r="D7146" s="26" t="s">
        <v>3663</v>
      </c>
      <c r="E7146" s="28">
        <v>46113.0</v>
      </c>
      <c r="F7146" s="28">
        <v>46171.0</v>
      </c>
      <c r="G7146" s="29"/>
    </row>
    <row r="7147" ht="15.75" customHeight="1">
      <c r="A7147" s="30" t="s">
        <v>10811</v>
      </c>
      <c r="B7147" s="31" t="s">
        <v>684</v>
      </c>
      <c r="C7147" s="31" t="s">
        <v>968</v>
      </c>
      <c r="D7147" s="30" t="s">
        <v>3663</v>
      </c>
      <c r="E7147" s="32">
        <v>46113.0</v>
      </c>
      <c r="F7147" s="32">
        <v>46171.0</v>
      </c>
      <c r="G7147" s="33"/>
    </row>
    <row r="7148" ht="15.75" customHeight="1">
      <c r="A7148" s="26" t="s">
        <v>10812</v>
      </c>
      <c r="B7148" s="27" t="s">
        <v>684</v>
      </c>
      <c r="C7148" s="27" t="s">
        <v>923</v>
      </c>
      <c r="D7148" s="26" t="s">
        <v>3663</v>
      </c>
      <c r="E7148" s="28">
        <v>46113.0</v>
      </c>
      <c r="F7148" s="28">
        <v>46171.0</v>
      </c>
      <c r="G7148" s="29"/>
    </row>
    <row r="7149" ht="15.75" customHeight="1">
      <c r="A7149" s="30" t="s">
        <v>10813</v>
      </c>
      <c r="B7149" s="31" t="s">
        <v>684</v>
      </c>
      <c r="C7149" s="31" t="s">
        <v>958</v>
      </c>
      <c r="D7149" s="30" t="s">
        <v>3663</v>
      </c>
      <c r="E7149" s="32">
        <v>46113.0</v>
      </c>
      <c r="F7149" s="32">
        <v>46171.0</v>
      </c>
      <c r="G7149" s="33"/>
    </row>
    <row r="7150" ht="15.75" customHeight="1">
      <c r="A7150" s="26" t="s">
        <v>10814</v>
      </c>
      <c r="B7150" s="27" t="s">
        <v>684</v>
      </c>
      <c r="C7150" s="27" t="s">
        <v>955</v>
      </c>
      <c r="D7150" s="26" t="s">
        <v>3663</v>
      </c>
      <c r="E7150" s="28">
        <v>46113.0</v>
      </c>
      <c r="F7150" s="28">
        <v>46171.0</v>
      </c>
      <c r="G7150" s="29"/>
    </row>
    <row r="7151" ht="15.75" customHeight="1">
      <c r="A7151" s="30" t="s">
        <v>10815</v>
      </c>
      <c r="B7151" s="31" t="s">
        <v>685</v>
      </c>
      <c r="C7151" s="31" t="s">
        <v>930</v>
      </c>
      <c r="D7151" s="30" t="s">
        <v>3663</v>
      </c>
      <c r="E7151" s="32">
        <v>46113.0</v>
      </c>
      <c r="F7151" s="32">
        <v>46171.0</v>
      </c>
      <c r="G7151" s="33"/>
    </row>
    <row r="7152" ht="15.75" customHeight="1">
      <c r="A7152" s="26" t="s">
        <v>10816</v>
      </c>
      <c r="B7152" s="27" t="s">
        <v>685</v>
      </c>
      <c r="C7152" s="27" t="s">
        <v>1354</v>
      </c>
      <c r="D7152" s="26" t="s">
        <v>3663</v>
      </c>
      <c r="E7152" s="28">
        <v>46113.0</v>
      </c>
      <c r="F7152" s="28">
        <v>46171.0</v>
      </c>
      <c r="G7152" s="29"/>
    </row>
    <row r="7153" ht="15.75" customHeight="1">
      <c r="A7153" s="30" t="s">
        <v>10817</v>
      </c>
      <c r="B7153" s="31" t="s">
        <v>685</v>
      </c>
      <c r="C7153" s="31" t="s">
        <v>3647</v>
      </c>
      <c r="D7153" s="30" t="s">
        <v>3663</v>
      </c>
      <c r="E7153" s="32">
        <v>46113.0</v>
      </c>
      <c r="F7153" s="32">
        <v>46171.0</v>
      </c>
      <c r="G7153" s="33"/>
    </row>
    <row r="7154" ht="15.75" customHeight="1">
      <c r="A7154" s="26" t="s">
        <v>10818</v>
      </c>
      <c r="B7154" s="27" t="s">
        <v>685</v>
      </c>
      <c r="C7154" s="27" t="s">
        <v>952</v>
      </c>
      <c r="D7154" s="26" t="s">
        <v>3663</v>
      </c>
      <c r="E7154" s="28">
        <v>46113.0</v>
      </c>
      <c r="F7154" s="28">
        <v>46171.0</v>
      </c>
      <c r="G7154" s="29"/>
    </row>
    <row r="7155" ht="15.75" customHeight="1">
      <c r="A7155" s="30" t="s">
        <v>10819</v>
      </c>
      <c r="B7155" s="31" t="s">
        <v>685</v>
      </c>
      <c r="C7155" s="31" t="s">
        <v>1218</v>
      </c>
      <c r="D7155" s="30" t="s">
        <v>3663</v>
      </c>
      <c r="E7155" s="32">
        <v>46113.0</v>
      </c>
      <c r="F7155" s="32">
        <v>46171.0</v>
      </c>
      <c r="G7155" s="33"/>
    </row>
    <row r="7156" ht="15.75" customHeight="1">
      <c r="A7156" s="26" t="s">
        <v>10820</v>
      </c>
      <c r="B7156" s="27" t="s">
        <v>685</v>
      </c>
      <c r="C7156" s="27" t="s">
        <v>1157</v>
      </c>
      <c r="D7156" s="26" t="s">
        <v>3663</v>
      </c>
      <c r="E7156" s="28">
        <v>46113.0</v>
      </c>
      <c r="F7156" s="28">
        <v>46171.0</v>
      </c>
      <c r="G7156" s="29"/>
    </row>
    <row r="7157" ht="15.75" customHeight="1">
      <c r="A7157" s="30" t="s">
        <v>10821</v>
      </c>
      <c r="B7157" s="31" t="s">
        <v>685</v>
      </c>
      <c r="C7157" s="31" t="s">
        <v>1155</v>
      </c>
      <c r="D7157" s="30" t="s">
        <v>3663</v>
      </c>
      <c r="E7157" s="32">
        <v>46113.0</v>
      </c>
      <c r="F7157" s="32">
        <v>46171.0</v>
      </c>
      <c r="G7157" s="33"/>
    </row>
    <row r="7158" ht="15.75" customHeight="1">
      <c r="A7158" s="26" t="s">
        <v>10822</v>
      </c>
      <c r="B7158" s="27" t="s">
        <v>685</v>
      </c>
      <c r="C7158" s="27" t="s">
        <v>1153</v>
      </c>
      <c r="D7158" s="26" t="s">
        <v>3663</v>
      </c>
      <c r="E7158" s="28">
        <v>46113.0</v>
      </c>
      <c r="F7158" s="28">
        <v>46171.0</v>
      </c>
      <c r="G7158" s="29"/>
    </row>
    <row r="7159" ht="15.75" customHeight="1">
      <c r="A7159" s="30" t="s">
        <v>10823</v>
      </c>
      <c r="B7159" s="31" t="s">
        <v>685</v>
      </c>
      <c r="C7159" s="31" t="s">
        <v>1149</v>
      </c>
      <c r="D7159" s="30" t="s">
        <v>3663</v>
      </c>
      <c r="E7159" s="32">
        <v>46113.0</v>
      </c>
      <c r="F7159" s="32">
        <v>46171.0</v>
      </c>
      <c r="G7159" s="33"/>
    </row>
    <row r="7160" ht="15.75" customHeight="1">
      <c r="A7160" s="26" t="s">
        <v>10824</v>
      </c>
      <c r="B7160" s="27" t="s">
        <v>685</v>
      </c>
      <c r="C7160" s="27" t="s">
        <v>3653</v>
      </c>
      <c r="D7160" s="26" t="s">
        <v>3663</v>
      </c>
      <c r="E7160" s="28">
        <v>46113.0</v>
      </c>
      <c r="F7160" s="28">
        <v>46171.0</v>
      </c>
      <c r="G7160" s="29"/>
    </row>
    <row r="7161" ht="15.75" customHeight="1">
      <c r="A7161" s="30" t="s">
        <v>10825</v>
      </c>
      <c r="B7161" s="31" t="s">
        <v>685</v>
      </c>
      <c r="C7161" s="31" t="s">
        <v>3652</v>
      </c>
      <c r="D7161" s="30" t="s">
        <v>3663</v>
      </c>
      <c r="E7161" s="32">
        <v>46113.0</v>
      </c>
      <c r="F7161" s="32">
        <v>46171.0</v>
      </c>
      <c r="G7161" s="33"/>
    </row>
    <row r="7162" ht="15.75" customHeight="1">
      <c r="A7162" s="26" t="s">
        <v>10826</v>
      </c>
      <c r="B7162" s="27" t="s">
        <v>685</v>
      </c>
      <c r="C7162" s="27" t="s">
        <v>965</v>
      </c>
      <c r="D7162" s="26" t="s">
        <v>3663</v>
      </c>
      <c r="E7162" s="28">
        <v>46113.0</v>
      </c>
      <c r="F7162" s="28">
        <v>46171.0</v>
      </c>
      <c r="G7162" s="29"/>
    </row>
    <row r="7163" ht="15.75" customHeight="1">
      <c r="A7163" s="30" t="s">
        <v>10827</v>
      </c>
      <c r="B7163" s="31" t="s">
        <v>685</v>
      </c>
      <c r="C7163" s="31" t="s">
        <v>923</v>
      </c>
      <c r="D7163" s="30" t="s">
        <v>3663</v>
      </c>
      <c r="E7163" s="32">
        <v>46113.0</v>
      </c>
      <c r="F7163" s="32">
        <v>46171.0</v>
      </c>
      <c r="G7163" s="33"/>
    </row>
    <row r="7164" ht="15.75" customHeight="1">
      <c r="A7164" s="26" t="s">
        <v>10828</v>
      </c>
      <c r="B7164" s="27" t="s">
        <v>685</v>
      </c>
      <c r="C7164" s="27" t="s">
        <v>955</v>
      </c>
      <c r="D7164" s="26" t="s">
        <v>3663</v>
      </c>
      <c r="E7164" s="28">
        <v>46113.0</v>
      </c>
      <c r="F7164" s="28">
        <v>46171.0</v>
      </c>
      <c r="G7164" s="29"/>
    </row>
    <row r="7165" ht="15.75" customHeight="1">
      <c r="A7165" s="30" t="s">
        <v>10829</v>
      </c>
      <c r="B7165" s="31" t="s">
        <v>686</v>
      </c>
      <c r="C7165" s="31" t="s">
        <v>932</v>
      </c>
      <c r="D7165" s="30" t="s">
        <v>3663</v>
      </c>
      <c r="E7165" s="32">
        <v>46113.0</v>
      </c>
      <c r="F7165" s="32">
        <v>46171.0</v>
      </c>
      <c r="G7165" s="33"/>
    </row>
    <row r="7166" ht="15.75" customHeight="1">
      <c r="A7166" s="26" t="s">
        <v>10830</v>
      </c>
      <c r="B7166" s="27" t="s">
        <v>686</v>
      </c>
      <c r="C7166" s="27" t="s">
        <v>1323</v>
      </c>
      <c r="D7166" s="26" t="s">
        <v>3663</v>
      </c>
      <c r="E7166" s="28">
        <v>46113.0</v>
      </c>
      <c r="F7166" s="28">
        <v>46171.0</v>
      </c>
      <c r="G7166" s="29"/>
    </row>
    <row r="7167" ht="15.75" customHeight="1">
      <c r="A7167" s="30" t="s">
        <v>10831</v>
      </c>
      <c r="B7167" s="31" t="s">
        <v>686</v>
      </c>
      <c r="C7167" s="31" t="s">
        <v>1164</v>
      </c>
      <c r="D7167" s="30" t="s">
        <v>3663</v>
      </c>
      <c r="E7167" s="32">
        <v>46113.0</v>
      </c>
      <c r="F7167" s="32">
        <v>46171.0</v>
      </c>
      <c r="G7167" s="33"/>
    </row>
    <row r="7168" ht="15.75" customHeight="1">
      <c r="A7168" s="26" t="s">
        <v>10832</v>
      </c>
      <c r="B7168" s="27" t="s">
        <v>686</v>
      </c>
      <c r="C7168" s="27" t="s">
        <v>1166</v>
      </c>
      <c r="D7168" s="26" t="s">
        <v>3663</v>
      </c>
      <c r="E7168" s="28">
        <v>46113.0</v>
      </c>
      <c r="F7168" s="28">
        <v>46171.0</v>
      </c>
      <c r="G7168" s="29"/>
    </row>
    <row r="7169" ht="15.75" customHeight="1">
      <c r="A7169" s="30" t="s">
        <v>10833</v>
      </c>
      <c r="B7169" s="31" t="s">
        <v>686</v>
      </c>
      <c r="C7169" s="31" t="s">
        <v>1168</v>
      </c>
      <c r="D7169" s="30" t="s">
        <v>3663</v>
      </c>
      <c r="E7169" s="32">
        <v>46113.0</v>
      </c>
      <c r="F7169" s="32">
        <v>46171.0</v>
      </c>
      <c r="G7169" s="33"/>
    </row>
    <row r="7170" ht="15.75" customHeight="1">
      <c r="A7170" s="26" t="s">
        <v>10834</v>
      </c>
      <c r="B7170" s="27" t="s">
        <v>686</v>
      </c>
      <c r="C7170" s="27" t="s">
        <v>1170</v>
      </c>
      <c r="D7170" s="26" t="s">
        <v>3663</v>
      </c>
      <c r="E7170" s="28">
        <v>46113.0</v>
      </c>
      <c r="F7170" s="28">
        <v>46171.0</v>
      </c>
      <c r="G7170" s="29"/>
    </row>
    <row r="7171" ht="15.75" customHeight="1">
      <c r="A7171" s="30" t="s">
        <v>10835</v>
      </c>
      <c r="B7171" s="31" t="s">
        <v>686</v>
      </c>
      <c r="C7171" s="31" t="s">
        <v>1354</v>
      </c>
      <c r="D7171" s="30" t="s">
        <v>3663</v>
      </c>
      <c r="E7171" s="32">
        <v>46113.0</v>
      </c>
      <c r="F7171" s="32">
        <v>46171.0</v>
      </c>
      <c r="G7171" s="33"/>
    </row>
    <row r="7172" ht="15.75" customHeight="1">
      <c r="A7172" s="26" t="s">
        <v>10836</v>
      </c>
      <c r="B7172" s="27" t="s">
        <v>686</v>
      </c>
      <c r="C7172" s="27" t="s">
        <v>1351</v>
      </c>
      <c r="D7172" s="26" t="s">
        <v>3663</v>
      </c>
      <c r="E7172" s="28">
        <v>46113.0</v>
      </c>
      <c r="F7172" s="28">
        <v>46171.0</v>
      </c>
      <c r="G7172" s="29"/>
    </row>
    <row r="7173" ht="15.75" customHeight="1">
      <c r="A7173" s="30" t="s">
        <v>10837</v>
      </c>
      <c r="B7173" s="31" t="s">
        <v>686</v>
      </c>
      <c r="C7173" s="31" t="s">
        <v>1349</v>
      </c>
      <c r="D7173" s="30" t="s">
        <v>3663</v>
      </c>
      <c r="E7173" s="32">
        <v>46113.0</v>
      </c>
      <c r="F7173" s="32">
        <v>46171.0</v>
      </c>
      <c r="G7173" s="33"/>
    </row>
    <row r="7174" ht="15.75" customHeight="1">
      <c r="A7174" s="26" t="s">
        <v>10838</v>
      </c>
      <c r="B7174" s="27" t="s">
        <v>686</v>
      </c>
      <c r="C7174" s="27" t="s">
        <v>3653</v>
      </c>
      <c r="D7174" s="26" t="s">
        <v>3663</v>
      </c>
      <c r="E7174" s="28">
        <v>46113.0</v>
      </c>
      <c r="F7174" s="28">
        <v>46171.0</v>
      </c>
      <c r="G7174" s="29"/>
    </row>
    <row r="7175" ht="15.75" customHeight="1">
      <c r="A7175" s="30" t="s">
        <v>10839</v>
      </c>
      <c r="B7175" s="31" t="s">
        <v>686</v>
      </c>
      <c r="C7175" s="31" t="s">
        <v>3652</v>
      </c>
      <c r="D7175" s="30" t="s">
        <v>3663</v>
      </c>
      <c r="E7175" s="32">
        <v>46113.0</v>
      </c>
      <c r="F7175" s="32">
        <v>46171.0</v>
      </c>
      <c r="G7175" s="33"/>
    </row>
    <row r="7176" ht="15.75" customHeight="1">
      <c r="A7176" s="26" t="s">
        <v>10840</v>
      </c>
      <c r="B7176" s="27" t="s">
        <v>686</v>
      </c>
      <c r="C7176" s="27" t="s">
        <v>968</v>
      </c>
      <c r="D7176" s="26" t="s">
        <v>3663</v>
      </c>
      <c r="E7176" s="28">
        <v>46113.0</v>
      </c>
      <c r="F7176" s="28">
        <v>46171.0</v>
      </c>
      <c r="G7176" s="29"/>
    </row>
    <row r="7177" ht="15.75" customHeight="1">
      <c r="A7177" s="30" t="s">
        <v>10841</v>
      </c>
      <c r="B7177" s="31" t="s">
        <v>686</v>
      </c>
      <c r="C7177" s="31" t="s">
        <v>923</v>
      </c>
      <c r="D7177" s="30" t="s">
        <v>3663</v>
      </c>
      <c r="E7177" s="32">
        <v>46113.0</v>
      </c>
      <c r="F7177" s="32">
        <v>46171.0</v>
      </c>
      <c r="G7177" s="33"/>
    </row>
    <row r="7178" ht="15.75" customHeight="1">
      <c r="A7178" s="26" t="s">
        <v>10842</v>
      </c>
      <c r="B7178" s="27" t="s">
        <v>686</v>
      </c>
      <c r="C7178" s="27" t="s">
        <v>958</v>
      </c>
      <c r="D7178" s="26" t="s">
        <v>3663</v>
      </c>
      <c r="E7178" s="28">
        <v>46113.0</v>
      </c>
      <c r="F7178" s="28">
        <v>46171.0</v>
      </c>
      <c r="G7178" s="29"/>
    </row>
    <row r="7179" ht="15.75" customHeight="1">
      <c r="A7179" s="30" t="s">
        <v>10843</v>
      </c>
      <c r="B7179" s="31" t="s">
        <v>687</v>
      </c>
      <c r="C7179" s="31" t="s">
        <v>1240</v>
      </c>
      <c r="D7179" s="30" t="s">
        <v>3663</v>
      </c>
      <c r="E7179" s="32">
        <v>46113.0</v>
      </c>
      <c r="F7179" s="32">
        <v>46171.0</v>
      </c>
      <c r="G7179" s="33"/>
    </row>
    <row r="7180" ht="15.75" customHeight="1">
      <c r="A7180" s="26" t="s">
        <v>10844</v>
      </c>
      <c r="B7180" s="27" t="s">
        <v>687</v>
      </c>
      <c r="C7180" s="27" t="s">
        <v>1242</v>
      </c>
      <c r="D7180" s="26" t="s">
        <v>3663</v>
      </c>
      <c r="E7180" s="28">
        <v>46113.0</v>
      </c>
      <c r="F7180" s="28">
        <v>46171.0</v>
      </c>
      <c r="G7180" s="29"/>
    </row>
    <row r="7181" ht="15.75" customHeight="1">
      <c r="A7181" s="30" t="s">
        <v>10845</v>
      </c>
      <c r="B7181" s="31" t="s">
        <v>687</v>
      </c>
      <c r="C7181" s="31" t="s">
        <v>1244</v>
      </c>
      <c r="D7181" s="30" t="s">
        <v>3663</v>
      </c>
      <c r="E7181" s="32">
        <v>46113.0</v>
      </c>
      <c r="F7181" s="32">
        <v>46171.0</v>
      </c>
      <c r="G7181" s="33"/>
    </row>
    <row r="7182" ht="15.75" customHeight="1">
      <c r="A7182" s="26" t="s">
        <v>10846</v>
      </c>
      <c r="B7182" s="27" t="s">
        <v>687</v>
      </c>
      <c r="C7182" s="27" t="s">
        <v>1246</v>
      </c>
      <c r="D7182" s="26" t="s">
        <v>3663</v>
      </c>
      <c r="E7182" s="28">
        <v>46113.0</v>
      </c>
      <c r="F7182" s="28">
        <v>46171.0</v>
      </c>
      <c r="G7182" s="29"/>
    </row>
    <row r="7183" ht="15.75" customHeight="1">
      <c r="A7183" s="30" t="s">
        <v>10847</v>
      </c>
      <c r="B7183" s="31" t="s">
        <v>687</v>
      </c>
      <c r="C7183" s="31" t="s">
        <v>3654</v>
      </c>
      <c r="D7183" s="30" t="s">
        <v>3663</v>
      </c>
      <c r="E7183" s="32">
        <v>46113.0</v>
      </c>
      <c r="F7183" s="32">
        <v>46171.0</v>
      </c>
      <c r="G7183" s="33"/>
    </row>
    <row r="7184" ht="15.75" customHeight="1">
      <c r="A7184" s="26" t="s">
        <v>10848</v>
      </c>
      <c r="B7184" s="27" t="s">
        <v>687</v>
      </c>
      <c r="C7184" s="27" t="s">
        <v>3655</v>
      </c>
      <c r="D7184" s="26" t="s">
        <v>3663</v>
      </c>
      <c r="E7184" s="28">
        <v>46113.0</v>
      </c>
      <c r="F7184" s="28">
        <v>46171.0</v>
      </c>
      <c r="G7184" s="29"/>
    </row>
    <row r="7185" ht="15.75" customHeight="1">
      <c r="A7185" s="30" t="s">
        <v>10849</v>
      </c>
      <c r="B7185" s="31" t="s">
        <v>687</v>
      </c>
      <c r="C7185" s="31" t="s">
        <v>934</v>
      </c>
      <c r="D7185" s="30" t="s">
        <v>3663</v>
      </c>
      <c r="E7185" s="32">
        <v>46113.0</v>
      </c>
      <c r="F7185" s="32">
        <v>46171.0</v>
      </c>
      <c r="G7185" s="33"/>
    </row>
    <row r="7186" ht="15.75" customHeight="1">
      <c r="A7186" s="26" t="s">
        <v>10850</v>
      </c>
      <c r="B7186" s="27" t="s">
        <v>687</v>
      </c>
      <c r="C7186" s="27" t="s">
        <v>1354</v>
      </c>
      <c r="D7186" s="26" t="s">
        <v>3663</v>
      </c>
      <c r="E7186" s="28">
        <v>46113.0</v>
      </c>
      <c r="F7186" s="28">
        <v>46171.0</v>
      </c>
      <c r="G7186" s="29"/>
    </row>
    <row r="7187" ht="15.75" customHeight="1">
      <c r="A7187" s="30" t="s">
        <v>10851</v>
      </c>
      <c r="B7187" s="31" t="s">
        <v>687</v>
      </c>
      <c r="C7187" s="31" t="s">
        <v>1159</v>
      </c>
      <c r="D7187" s="30" t="s">
        <v>3663</v>
      </c>
      <c r="E7187" s="32">
        <v>46113.0</v>
      </c>
      <c r="F7187" s="32">
        <v>46171.0</v>
      </c>
      <c r="G7187" s="33"/>
    </row>
    <row r="7188" ht="15.75" customHeight="1">
      <c r="A7188" s="26" t="s">
        <v>10852</v>
      </c>
      <c r="B7188" s="27" t="s">
        <v>687</v>
      </c>
      <c r="C7188" s="27" t="s">
        <v>3647</v>
      </c>
      <c r="D7188" s="26" t="s">
        <v>3663</v>
      </c>
      <c r="E7188" s="28">
        <v>46113.0</v>
      </c>
      <c r="F7188" s="28">
        <v>46171.0</v>
      </c>
      <c r="G7188" s="29"/>
    </row>
    <row r="7189" ht="15.75" customHeight="1">
      <c r="A7189" s="30" t="s">
        <v>10853</v>
      </c>
      <c r="B7189" s="31" t="s">
        <v>687</v>
      </c>
      <c r="C7189" s="31" t="s">
        <v>952</v>
      </c>
      <c r="D7189" s="30" t="s">
        <v>3663</v>
      </c>
      <c r="E7189" s="32">
        <v>46113.0</v>
      </c>
      <c r="F7189" s="32">
        <v>46171.0</v>
      </c>
      <c r="G7189" s="33"/>
    </row>
    <row r="7190" ht="15.75" customHeight="1">
      <c r="A7190" s="26" t="s">
        <v>10854</v>
      </c>
      <c r="B7190" s="27" t="s">
        <v>687</v>
      </c>
      <c r="C7190" s="27" t="s">
        <v>1216</v>
      </c>
      <c r="D7190" s="26" t="s">
        <v>3663</v>
      </c>
      <c r="E7190" s="28">
        <v>46113.0</v>
      </c>
      <c r="F7190" s="28">
        <v>46171.0</v>
      </c>
      <c r="G7190" s="29"/>
    </row>
    <row r="7191" ht="15.75" customHeight="1">
      <c r="A7191" s="30" t="s">
        <v>10855</v>
      </c>
      <c r="B7191" s="31" t="s">
        <v>687</v>
      </c>
      <c r="C7191" s="31" t="s">
        <v>968</v>
      </c>
      <c r="D7191" s="30" t="s">
        <v>3663</v>
      </c>
      <c r="E7191" s="32">
        <v>46113.0</v>
      </c>
      <c r="F7191" s="32">
        <v>46171.0</v>
      </c>
      <c r="G7191" s="33"/>
    </row>
    <row r="7192" ht="15.75" customHeight="1">
      <c r="A7192" s="26" t="s">
        <v>10856</v>
      </c>
      <c r="B7192" s="27" t="s">
        <v>687</v>
      </c>
      <c r="C7192" s="27" t="s">
        <v>923</v>
      </c>
      <c r="D7192" s="26" t="s">
        <v>3663</v>
      </c>
      <c r="E7192" s="28">
        <v>46113.0</v>
      </c>
      <c r="F7192" s="28">
        <v>46171.0</v>
      </c>
      <c r="G7192" s="29"/>
    </row>
    <row r="7193" ht="15.75" customHeight="1">
      <c r="A7193" s="30" t="s">
        <v>10857</v>
      </c>
      <c r="B7193" s="31" t="s">
        <v>688</v>
      </c>
      <c r="C7193" s="31" t="s">
        <v>1240</v>
      </c>
      <c r="D7193" s="30" t="s">
        <v>3663</v>
      </c>
      <c r="E7193" s="32">
        <v>46113.0</v>
      </c>
      <c r="F7193" s="32">
        <v>46171.0</v>
      </c>
      <c r="G7193" s="33"/>
    </row>
    <row r="7194" ht="15.75" customHeight="1">
      <c r="A7194" s="26" t="s">
        <v>10858</v>
      </c>
      <c r="B7194" s="27" t="s">
        <v>688</v>
      </c>
      <c r="C7194" s="27" t="s">
        <v>1242</v>
      </c>
      <c r="D7194" s="26" t="s">
        <v>3663</v>
      </c>
      <c r="E7194" s="28">
        <v>46113.0</v>
      </c>
      <c r="F7194" s="28">
        <v>46171.0</v>
      </c>
      <c r="G7194" s="29"/>
    </row>
    <row r="7195" ht="15.75" customHeight="1">
      <c r="A7195" s="30" t="s">
        <v>10859</v>
      </c>
      <c r="B7195" s="31" t="s">
        <v>688</v>
      </c>
      <c r="C7195" s="31" t="s">
        <v>1244</v>
      </c>
      <c r="D7195" s="30" t="s">
        <v>3663</v>
      </c>
      <c r="E7195" s="32">
        <v>46113.0</v>
      </c>
      <c r="F7195" s="32">
        <v>46171.0</v>
      </c>
      <c r="G7195" s="33"/>
    </row>
    <row r="7196" ht="15.75" customHeight="1">
      <c r="A7196" s="26" t="s">
        <v>10860</v>
      </c>
      <c r="B7196" s="27" t="s">
        <v>688</v>
      </c>
      <c r="C7196" s="27" t="s">
        <v>1246</v>
      </c>
      <c r="D7196" s="26" t="s">
        <v>3663</v>
      </c>
      <c r="E7196" s="28">
        <v>46113.0</v>
      </c>
      <c r="F7196" s="28">
        <v>46171.0</v>
      </c>
      <c r="G7196" s="29"/>
    </row>
    <row r="7197" ht="15.75" customHeight="1">
      <c r="A7197" s="30" t="s">
        <v>10861</v>
      </c>
      <c r="B7197" s="31" t="s">
        <v>688</v>
      </c>
      <c r="C7197" s="31" t="s">
        <v>934</v>
      </c>
      <c r="D7197" s="30" t="s">
        <v>3663</v>
      </c>
      <c r="E7197" s="32">
        <v>46113.0</v>
      </c>
      <c r="F7197" s="32">
        <v>46171.0</v>
      </c>
      <c r="G7197" s="33"/>
    </row>
    <row r="7198" ht="15.75" customHeight="1">
      <c r="A7198" s="26" t="s">
        <v>10862</v>
      </c>
      <c r="B7198" s="27" t="s">
        <v>688</v>
      </c>
      <c r="C7198" s="27" t="s">
        <v>1354</v>
      </c>
      <c r="D7198" s="26" t="s">
        <v>3663</v>
      </c>
      <c r="E7198" s="28">
        <v>46113.0</v>
      </c>
      <c r="F7198" s="28">
        <v>46171.0</v>
      </c>
      <c r="G7198" s="29"/>
    </row>
    <row r="7199" ht="15.75" customHeight="1">
      <c r="A7199" s="30" t="s">
        <v>10863</v>
      </c>
      <c r="B7199" s="31" t="s">
        <v>688</v>
      </c>
      <c r="C7199" s="31" t="s">
        <v>1172</v>
      </c>
      <c r="D7199" s="30" t="s">
        <v>3663</v>
      </c>
      <c r="E7199" s="32">
        <v>46113.0</v>
      </c>
      <c r="F7199" s="32">
        <v>46171.0</v>
      </c>
      <c r="G7199" s="33"/>
    </row>
    <row r="7200" ht="15.75" customHeight="1">
      <c r="A7200" s="26" t="s">
        <v>10864</v>
      </c>
      <c r="B7200" s="27" t="s">
        <v>688</v>
      </c>
      <c r="C7200" s="27" t="s">
        <v>1159</v>
      </c>
      <c r="D7200" s="26" t="s">
        <v>3663</v>
      </c>
      <c r="E7200" s="28">
        <v>46113.0</v>
      </c>
      <c r="F7200" s="28">
        <v>46171.0</v>
      </c>
      <c r="G7200" s="29"/>
    </row>
    <row r="7201" ht="15.75" customHeight="1">
      <c r="A7201" s="30" t="s">
        <v>10865</v>
      </c>
      <c r="B7201" s="31" t="s">
        <v>688</v>
      </c>
      <c r="C7201" s="31" t="s">
        <v>3656</v>
      </c>
      <c r="D7201" s="30" t="s">
        <v>3663</v>
      </c>
      <c r="E7201" s="32">
        <v>46113.0</v>
      </c>
      <c r="F7201" s="32">
        <v>46171.0</v>
      </c>
      <c r="G7201" s="33"/>
    </row>
    <row r="7202" ht="15.75" customHeight="1">
      <c r="A7202" s="26" t="s">
        <v>10866</v>
      </c>
      <c r="B7202" s="27" t="s">
        <v>688</v>
      </c>
      <c r="C7202" s="27" t="s">
        <v>3657</v>
      </c>
      <c r="D7202" s="26" t="s">
        <v>3663</v>
      </c>
      <c r="E7202" s="28">
        <v>46113.0</v>
      </c>
      <c r="F7202" s="28">
        <v>46171.0</v>
      </c>
      <c r="G7202" s="29"/>
    </row>
    <row r="7203" ht="15.75" customHeight="1">
      <c r="A7203" s="30" t="s">
        <v>10867</v>
      </c>
      <c r="B7203" s="31" t="s">
        <v>688</v>
      </c>
      <c r="C7203" s="31" t="s">
        <v>3647</v>
      </c>
      <c r="D7203" s="30" t="s">
        <v>3663</v>
      </c>
      <c r="E7203" s="32">
        <v>46113.0</v>
      </c>
      <c r="F7203" s="32">
        <v>46171.0</v>
      </c>
      <c r="G7203" s="33"/>
    </row>
    <row r="7204" ht="15.75" customHeight="1">
      <c r="A7204" s="26" t="s">
        <v>10868</v>
      </c>
      <c r="B7204" s="27" t="s">
        <v>688</v>
      </c>
      <c r="C7204" s="27" t="s">
        <v>952</v>
      </c>
      <c r="D7204" s="26" t="s">
        <v>3663</v>
      </c>
      <c r="E7204" s="28">
        <v>46113.0</v>
      </c>
      <c r="F7204" s="28">
        <v>46171.0</v>
      </c>
      <c r="G7204" s="29"/>
    </row>
    <row r="7205" ht="15.75" customHeight="1">
      <c r="A7205" s="30" t="s">
        <v>10869</v>
      </c>
      <c r="B7205" s="31" t="s">
        <v>688</v>
      </c>
      <c r="C7205" s="31" t="s">
        <v>968</v>
      </c>
      <c r="D7205" s="30" t="s">
        <v>3663</v>
      </c>
      <c r="E7205" s="32">
        <v>46113.0</v>
      </c>
      <c r="F7205" s="32">
        <v>46171.0</v>
      </c>
      <c r="G7205" s="33"/>
    </row>
    <row r="7206" ht="15.75" customHeight="1">
      <c r="A7206" s="26" t="s">
        <v>10870</v>
      </c>
      <c r="B7206" s="27" t="s">
        <v>688</v>
      </c>
      <c r="C7206" s="27" t="s">
        <v>923</v>
      </c>
      <c r="D7206" s="26" t="s">
        <v>3663</v>
      </c>
      <c r="E7206" s="28">
        <v>46113.0</v>
      </c>
      <c r="F7206" s="28">
        <v>46171.0</v>
      </c>
      <c r="G7206" s="29"/>
    </row>
    <row r="7207" ht="15.75" customHeight="1">
      <c r="A7207" s="30" t="s">
        <v>10871</v>
      </c>
      <c r="B7207" s="31" t="s">
        <v>689</v>
      </c>
      <c r="C7207" s="31" t="s">
        <v>932</v>
      </c>
      <c r="D7207" s="30" t="s">
        <v>3663</v>
      </c>
      <c r="E7207" s="32">
        <v>46113.0</v>
      </c>
      <c r="F7207" s="32">
        <v>46171.0</v>
      </c>
      <c r="G7207" s="33"/>
    </row>
    <row r="7208" ht="15.75" customHeight="1">
      <c r="A7208" s="26" t="s">
        <v>10872</v>
      </c>
      <c r="B7208" s="27" t="s">
        <v>689</v>
      </c>
      <c r="C7208" s="27" t="s">
        <v>1164</v>
      </c>
      <c r="D7208" s="26" t="s">
        <v>3663</v>
      </c>
      <c r="E7208" s="28">
        <v>46113.0</v>
      </c>
      <c r="F7208" s="28">
        <v>46171.0</v>
      </c>
      <c r="G7208" s="29"/>
    </row>
    <row r="7209" ht="15.75" customHeight="1">
      <c r="A7209" s="30" t="s">
        <v>10873</v>
      </c>
      <c r="B7209" s="31" t="s">
        <v>689</v>
      </c>
      <c r="C7209" s="31" t="s">
        <v>1166</v>
      </c>
      <c r="D7209" s="30" t="s">
        <v>3663</v>
      </c>
      <c r="E7209" s="32">
        <v>46113.0</v>
      </c>
      <c r="F7209" s="32">
        <v>46171.0</v>
      </c>
      <c r="G7209" s="33"/>
    </row>
    <row r="7210" ht="15.75" customHeight="1">
      <c r="A7210" s="26" t="s">
        <v>10874</v>
      </c>
      <c r="B7210" s="27" t="s">
        <v>689</v>
      </c>
      <c r="C7210" s="27" t="s">
        <v>1168</v>
      </c>
      <c r="D7210" s="26" t="s">
        <v>3663</v>
      </c>
      <c r="E7210" s="28">
        <v>46113.0</v>
      </c>
      <c r="F7210" s="28">
        <v>46171.0</v>
      </c>
      <c r="G7210" s="29"/>
    </row>
    <row r="7211" ht="15.75" customHeight="1">
      <c r="A7211" s="30" t="s">
        <v>10875</v>
      </c>
      <c r="B7211" s="31" t="s">
        <v>689</v>
      </c>
      <c r="C7211" s="31" t="s">
        <v>1170</v>
      </c>
      <c r="D7211" s="30" t="s">
        <v>3663</v>
      </c>
      <c r="E7211" s="32">
        <v>46113.0</v>
      </c>
      <c r="F7211" s="32">
        <v>46171.0</v>
      </c>
      <c r="G7211" s="33"/>
    </row>
    <row r="7212" ht="15.75" customHeight="1">
      <c r="A7212" s="26" t="s">
        <v>10876</v>
      </c>
      <c r="B7212" s="27" t="s">
        <v>689</v>
      </c>
      <c r="C7212" s="27" t="s">
        <v>1354</v>
      </c>
      <c r="D7212" s="26" t="s">
        <v>3663</v>
      </c>
      <c r="E7212" s="28">
        <v>46113.0</v>
      </c>
      <c r="F7212" s="28">
        <v>46171.0</v>
      </c>
      <c r="G7212" s="29"/>
    </row>
    <row r="7213" ht="15.75" customHeight="1">
      <c r="A7213" s="30" t="s">
        <v>10877</v>
      </c>
      <c r="B7213" s="31" t="s">
        <v>689</v>
      </c>
      <c r="C7213" s="31" t="s">
        <v>3681</v>
      </c>
      <c r="D7213" s="30" t="s">
        <v>3663</v>
      </c>
      <c r="E7213" s="32">
        <v>46113.0</v>
      </c>
      <c r="F7213" s="32">
        <v>46171.0</v>
      </c>
      <c r="G7213" s="33"/>
    </row>
    <row r="7214" ht="15.75" customHeight="1">
      <c r="A7214" s="26" t="s">
        <v>10878</v>
      </c>
      <c r="B7214" s="27" t="s">
        <v>689</v>
      </c>
      <c r="C7214" s="27" t="s">
        <v>3683</v>
      </c>
      <c r="D7214" s="26" t="s">
        <v>3663</v>
      </c>
      <c r="E7214" s="28">
        <v>46113.0</v>
      </c>
      <c r="F7214" s="28">
        <v>46171.0</v>
      </c>
      <c r="G7214" s="29"/>
    </row>
    <row r="7215" ht="15.75" customHeight="1">
      <c r="A7215" s="30" t="s">
        <v>10879</v>
      </c>
      <c r="B7215" s="31" t="s">
        <v>689</v>
      </c>
      <c r="C7215" s="31" t="s">
        <v>1351</v>
      </c>
      <c r="D7215" s="30" t="s">
        <v>3663</v>
      </c>
      <c r="E7215" s="32">
        <v>46113.0</v>
      </c>
      <c r="F7215" s="32">
        <v>46171.0</v>
      </c>
      <c r="G7215" s="33"/>
    </row>
    <row r="7216" ht="15.75" customHeight="1">
      <c r="A7216" s="26" t="s">
        <v>10880</v>
      </c>
      <c r="B7216" s="27" t="s">
        <v>689</v>
      </c>
      <c r="C7216" s="27" t="s">
        <v>1349</v>
      </c>
      <c r="D7216" s="26" t="s">
        <v>3663</v>
      </c>
      <c r="E7216" s="28">
        <v>46113.0</v>
      </c>
      <c r="F7216" s="28">
        <v>46171.0</v>
      </c>
      <c r="G7216" s="29"/>
    </row>
    <row r="7217" ht="15.75" customHeight="1">
      <c r="A7217" s="30" t="s">
        <v>10881</v>
      </c>
      <c r="B7217" s="31" t="s">
        <v>689</v>
      </c>
      <c r="C7217" s="31" t="s">
        <v>965</v>
      </c>
      <c r="D7217" s="30" t="s">
        <v>3663</v>
      </c>
      <c r="E7217" s="32">
        <v>46113.0</v>
      </c>
      <c r="F7217" s="32">
        <v>46171.0</v>
      </c>
      <c r="G7217" s="33"/>
    </row>
    <row r="7218" ht="15.75" customHeight="1">
      <c r="A7218" s="26" t="s">
        <v>10882</v>
      </c>
      <c r="B7218" s="27" t="s">
        <v>689</v>
      </c>
      <c r="C7218" s="27" t="s">
        <v>923</v>
      </c>
      <c r="D7218" s="26" t="s">
        <v>3663</v>
      </c>
      <c r="E7218" s="28">
        <v>46113.0</v>
      </c>
      <c r="F7218" s="28">
        <v>46171.0</v>
      </c>
      <c r="G7218" s="29"/>
    </row>
    <row r="7219" ht="15.75" customHeight="1">
      <c r="A7219" s="30" t="s">
        <v>10883</v>
      </c>
      <c r="B7219" s="31" t="s">
        <v>689</v>
      </c>
      <c r="C7219" s="31" t="s">
        <v>961</v>
      </c>
      <c r="D7219" s="30" t="s">
        <v>3663</v>
      </c>
      <c r="E7219" s="32">
        <v>46113.0</v>
      </c>
      <c r="F7219" s="32">
        <v>46171.0</v>
      </c>
      <c r="G7219" s="33"/>
    </row>
    <row r="7220" ht="15.75" customHeight="1">
      <c r="A7220" s="26" t="s">
        <v>10884</v>
      </c>
      <c r="B7220" s="27" t="s">
        <v>1256</v>
      </c>
      <c r="C7220" s="27" t="s">
        <v>1240</v>
      </c>
      <c r="D7220" s="26" t="s">
        <v>3750</v>
      </c>
      <c r="E7220" s="28">
        <v>46113.0</v>
      </c>
      <c r="F7220" s="28">
        <v>46171.0</v>
      </c>
      <c r="G7220" s="29"/>
    </row>
    <row r="7221" ht="15.75" customHeight="1">
      <c r="A7221" s="30" t="s">
        <v>10885</v>
      </c>
      <c r="B7221" s="31" t="s">
        <v>1256</v>
      </c>
      <c r="C7221" s="31" t="s">
        <v>1242</v>
      </c>
      <c r="D7221" s="30" t="s">
        <v>3750</v>
      </c>
      <c r="E7221" s="32">
        <v>46113.0</v>
      </c>
      <c r="F7221" s="32">
        <v>46171.0</v>
      </c>
      <c r="G7221" s="33"/>
    </row>
    <row r="7222" ht="15.75" customHeight="1">
      <c r="A7222" s="26" t="s">
        <v>10886</v>
      </c>
      <c r="B7222" s="27" t="s">
        <v>1256</v>
      </c>
      <c r="C7222" s="27" t="s">
        <v>1244</v>
      </c>
      <c r="D7222" s="26" t="s">
        <v>3750</v>
      </c>
      <c r="E7222" s="28">
        <v>46113.0</v>
      </c>
      <c r="F7222" s="28">
        <v>46171.0</v>
      </c>
      <c r="G7222" s="29"/>
    </row>
    <row r="7223" ht="15.75" customHeight="1">
      <c r="A7223" s="30" t="s">
        <v>10887</v>
      </c>
      <c r="B7223" s="31" t="s">
        <v>1256</v>
      </c>
      <c r="C7223" s="31" t="s">
        <v>1246</v>
      </c>
      <c r="D7223" s="30" t="s">
        <v>3750</v>
      </c>
      <c r="E7223" s="32">
        <v>46113.0</v>
      </c>
      <c r="F7223" s="32">
        <v>46171.0</v>
      </c>
      <c r="G7223" s="33"/>
    </row>
    <row r="7224" ht="15.75" customHeight="1">
      <c r="A7224" s="26" t="s">
        <v>10888</v>
      </c>
      <c r="B7224" s="27" t="s">
        <v>1256</v>
      </c>
      <c r="C7224" s="27" t="s">
        <v>934</v>
      </c>
      <c r="D7224" s="26" t="s">
        <v>3750</v>
      </c>
      <c r="E7224" s="28">
        <v>46113.0</v>
      </c>
      <c r="F7224" s="28">
        <v>46171.0</v>
      </c>
      <c r="G7224" s="29"/>
    </row>
    <row r="7225" ht="15.75" customHeight="1">
      <c r="A7225" s="30" t="s">
        <v>10889</v>
      </c>
      <c r="B7225" s="31" t="s">
        <v>1256</v>
      </c>
      <c r="C7225" s="31" t="s">
        <v>1354</v>
      </c>
      <c r="D7225" s="30" t="s">
        <v>3750</v>
      </c>
      <c r="E7225" s="32">
        <v>46113.0</v>
      </c>
      <c r="F7225" s="32">
        <v>46171.0</v>
      </c>
      <c r="G7225" s="33"/>
    </row>
    <row r="7226" ht="15.75" customHeight="1">
      <c r="A7226" s="26" t="s">
        <v>10890</v>
      </c>
      <c r="B7226" s="27" t="s">
        <v>1256</v>
      </c>
      <c r="C7226" s="27" t="s">
        <v>3656</v>
      </c>
      <c r="D7226" s="26" t="s">
        <v>3750</v>
      </c>
      <c r="E7226" s="28">
        <v>46113.0</v>
      </c>
      <c r="F7226" s="28">
        <v>46171.0</v>
      </c>
      <c r="G7226" s="29"/>
    </row>
    <row r="7227" ht="15.75" customHeight="1">
      <c r="A7227" s="30" t="s">
        <v>10891</v>
      </c>
      <c r="B7227" s="31" t="s">
        <v>1256</v>
      </c>
      <c r="C7227" s="31" t="s">
        <v>3657</v>
      </c>
      <c r="D7227" s="30" t="s">
        <v>3750</v>
      </c>
      <c r="E7227" s="32">
        <v>46113.0</v>
      </c>
      <c r="F7227" s="32">
        <v>46171.0</v>
      </c>
      <c r="G7227" s="33"/>
    </row>
    <row r="7228" ht="15.75" customHeight="1">
      <c r="A7228" s="26" t="s">
        <v>10892</v>
      </c>
      <c r="B7228" s="27" t="s">
        <v>1256</v>
      </c>
      <c r="C7228" s="27" t="s">
        <v>1216</v>
      </c>
      <c r="D7228" s="26" t="s">
        <v>3750</v>
      </c>
      <c r="E7228" s="28">
        <v>46113.0</v>
      </c>
      <c r="F7228" s="28">
        <v>46171.0</v>
      </c>
      <c r="G7228" s="29"/>
    </row>
    <row r="7229" ht="15.75" customHeight="1">
      <c r="A7229" s="30" t="s">
        <v>10893</v>
      </c>
      <c r="B7229" s="31" t="s">
        <v>1256</v>
      </c>
      <c r="C7229" s="31" t="s">
        <v>1351</v>
      </c>
      <c r="D7229" s="30" t="s">
        <v>3750</v>
      </c>
      <c r="E7229" s="32">
        <v>46113.0</v>
      </c>
      <c r="F7229" s="32">
        <v>46171.0</v>
      </c>
      <c r="G7229" s="33"/>
    </row>
    <row r="7230" ht="15.75" customHeight="1">
      <c r="A7230" s="26" t="s">
        <v>10894</v>
      </c>
      <c r="B7230" s="27" t="s">
        <v>1256</v>
      </c>
      <c r="C7230" s="27" t="s">
        <v>1349</v>
      </c>
      <c r="D7230" s="26" t="s">
        <v>3750</v>
      </c>
      <c r="E7230" s="28">
        <v>46113.0</v>
      </c>
      <c r="F7230" s="28">
        <v>46171.0</v>
      </c>
      <c r="G7230" s="29"/>
    </row>
    <row r="7231" ht="15.75" customHeight="1">
      <c r="A7231" s="30" t="s">
        <v>10895</v>
      </c>
      <c r="B7231" s="31" t="s">
        <v>1256</v>
      </c>
      <c r="C7231" s="31" t="s">
        <v>968</v>
      </c>
      <c r="D7231" s="30" t="s">
        <v>3750</v>
      </c>
      <c r="E7231" s="32">
        <v>46113.0</v>
      </c>
      <c r="F7231" s="32">
        <v>46171.0</v>
      </c>
      <c r="G7231" s="33"/>
    </row>
    <row r="7232" ht="15.75" customHeight="1">
      <c r="A7232" s="26" t="s">
        <v>10896</v>
      </c>
      <c r="B7232" s="27" t="s">
        <v>1256</v>
      </c>
      <c r="C7232" s="27" t="s">
        <v>923</v>
      </c>
      <c r="D7232" s="26" t="s">
        <v>3750</v>
      </c>
      <c r="E7232" s="28">
        <v>46113.0</v>
      </c>
      <c r="F7232" s="28">
        <v>46171.0</v>
      </c>
      <c r="G7232" s="29"/>
    </row>
    <row r="7233" ht="15.75" customHeight="1">
      <c r="A7233" s="30" t="s">
        <v>10897</v>
      </c>
      <c r="B7233" s="31" t="s">
        <v>1256</v>
      </c>
      <c r="C7233" s="31" t="s">
        <v>958</v>
      </c>
      <c r="D7233" s="30" t="s">
        <v>3750</v>
      </c>
      <c r="E7233" s="32">
        <v>46113.0</v>
      </c>
      <c r="F7233" s="32">
        <v>46171.0</v>
      </c>
      <c r="G7233" s="33"/>
    </row>
    <row r="7234" ht="15.75" customHeight="1">
      <c r="A7234" s="26" t="s">
        <v>10898</v>
      </c>
      <c r="B7234" s="27" t="s">
        <v>690</v>
      </c>
      <c r="C7234" s="27" t="s">
        <v>934</v>
      </c>
      <c r="D7234" s="26" t="s">
        <v>3663</v>
      </c>
      <c r="E7234" s="28">
        <v>46113.0</v>
      </c>
      <c r="F7234" s="28">
        <v>46171.0</v>
      </c>
      <c r="G7234" s="29"/>
    </row>
    <row r="7235" ht="15.75" customHeight="1">
      <c r="A7235" s="30" t="s">
        <v>10899</v>
      </c>
      <c r="B7235" s="31" t="s">
        <v>690</v>
      </c>
      <c r="C7235" s="31" t="s">
        <v>1354</v>
      </c>
      <c r="D7235" s="30" t="s">
        <v>3663</v>
      </c>
      <c r="E7235" s="32">
        <v>46113.0</v>
      </c>
      <c r="F7235" s="32">
        <v>46171.0</v>
      </c>
      <c r="G7235" s="33"/>
    </row>
    <row r="7236" ht="15.75" customHeight="1">
      <c r="A7236" s="26" t="s">
        <v>10900</v>
      </c>
      <c r="B7236" s="27" t="s">
        <v>690</v>
      </c>
      <c r="C7236" s="27" t="s">
        <v>1218</v>
      </c>
      <c r="D7236" s="26" t="s">
        <v>3663</v>
      </c>
      <c r="E7236" s="28">
        <v>46113.0</v>
      </c>
      <c r="F7236" s="28">
        <v>46171.0</v>
      </c>
      <c r="G7236" s="29"/>
    </row>
    <row r="7237" ht="15.75" customHeight="1">
      <c r="A7237" s="30" t="s">
        <v>10901</v>
      </c>
      <c r="B7237" s="31" t="s">
        <v>690</v>
      </c>
      <c r="C7237" s="31" t="s">
        <v>1271</v>
      </c>
      <c r="D7237" s="30" t="s">
        <v>3663</v>
      </c>
      <c r="E7237" s="32">
        <v>46113.0</v>
      </c>
      <c r="F7237" s="32">
        <v>46171.0</v>
      </c>
      <c r="G7237" s="33"/>
    </row>
    <row r="7238" ht="15.75" customHeight="1">
      <c r="A7238" s="26" t="s">
        <v>10902</v>
      </c>
      <c r="B7238" s="27" t="s">
        <v>690</v>
      </c>
      <c r="C7238" s="27" t="s">
        <v>1157</v>
      </c>
      <c r="D7238" s="26" t="s">
        <v>3663</v>
      </c>
      <c r="E7238" s="28">
        <v>46113.0</v>
      </c>
      <c r="F7238" s="28">
        <v>46171.0</v>
      </c>
      <c r="G7238" s="29"/>
    </row>
    <row r="7239" ht="15.75" customHeight="1">
      <c r="A7239" s="30" t="s">
        <v>10903</v>
      </c>
      <c r="B7239" s="31" t="s">
        <v>690</v>
      </c>
      <c r="C7239" s="31" t="s">
        <v>1155</v>
      </c>
      <c r="D7239" s="30" t="s">
        <v>3663</v>
      </c>
      <c r="E7239" s="32">
        <v>46113.0</v>
      </c>
      <c r="F7239" s="32">
        <v>46171.0</v>
      </c>
      <c r="G7239" s="33"/>
    </row>
    <row r="7240" ht="15.75" customHeight="1">
      <c r="A7240" s="26" t="s">
        <v>10904</v>
      </c>
      <c r="B7240" s="27" t="s">
        <v>690</v>
      </c>
      <c r="C7240" s="27" t="s">
        <v>1153</v>
      </c>
      <c r="D7240" s="26" t="s">
        <v>3663</v>
      </c>
      <c r="E7240" s="28">
        <v>46113.0</v>
      </c>
      <c r="F7240" s="28">
        <v>46171.0</v>
      </c>
      <c r="G7240" s="29"/>
    </row>
    <row r="7241" ht="15.75" customHeight="1">
      <c r="A7241" s="30" t="s">
        <v>10905</v>
      </c>
      <c r="B7241" s="31" t="s">
        <v>690</v>
      </c>
      <c r="C7241" s="31" t="s">
        <v>1149</v>
      </c>
      <c r="D7241" s="30" t="s">
        <v>3663</v>
      </c>
      <c r="E7241" s="32">
        <v>46113.0</v>
      </c>
      <c r="F7241" s="32">
        <v>46171.0</v>
      </c>
      <c r="G7241" s="33"/>
    </row>
    <row r="7242" ht="15.75" customHeight="1">
      <c r="A7242" s="26" t="s">
        <v>10906</v>
      </c>
      <c r="B7242" s="27" t="s">
        <v>690</v>
      </c>
      <c r="C7242" s="27" t="s">
        <v>1351</v>
      </c>
      <c r="D7242" s="26" t="s">
        <v>3663</v>
      </c>
      <c r="E7242" s="28">
        <v>46113.0</v>
      </c>
      <c r="F7242" s="28">
        <v>46171.0</v>
      </c>
      <c r="G7242" s="29"/>
    </row>
    <row r="7243" ht="15.75" customHeight="1">
      <c r="A7243" s="30" t="s">
        <v>10907</v>
      </c>
      <c r="B7243" s="31" t="s">
        <v>690</v>
      </c>
      <c r="C7243" s="31" t="s">
        <v>1349</v>
      </c>
      <c r="D7243" s="30" t="s">
        <v>3663</v>
      </c>
      <c r="E7243" s="32">
        <v>46113.0</v>
      </c>
      <c r="F7243" s="32">
        <v>46171.0</v>
      </c>
      <c r="G7243" s="33"/>
    </row>
    <row r="7244" ht="15.75" customHeight="1">
      <c r="A7244" s="26" t="s">
        <v>10908</v>
      </c>
      <c r="B7244" s="27" t="s">
        <v>690</v>
      </c>
      <c r="C7244" s="27" t="s">
        <v>3653</v>
      </c>
      <c r="D7244" s="26" t="s">
        <v>3663</v>
      </c>
      <c r="E7244" s="28">
        <v>46113.0</v>
      </c>
      <c r="F7244" s="28">
        <v>46171.0</v>
      </c>
      <c r="G7244" s="29"/>
    </row>
    <row r="7245" ht="15.75" customHeight="1">
      <c r="A7245" s="30" t="s">
        <v>10909</v>
      </c>
      <c r="B7245" s="31" t="s">
        <v>690</v>
      </c>
      <c r="C7245" s="31" t="s">
        <v>3652</v>
      </c>
      <c r="D7245" s="30" t="s">
        <v>3663</v>
      </c>
      <c r="E7245" s="32">
        <v>46113.0</v>
      </c>
      <c r="F7245" s="32">
        <v>46171.0</v>
      </c>
      <c r="G7245" s="33"/>
    </row>
    <row r="7246" ht="15.75" customHeight="1">
      <c r="A7246" s="26" t="s">
        <v>10910</v>
      </c>
      <c r="B7246" s="27" t="s">
        <v>690</v>
      </c>
      <c r="C7246" s="27" t="s">
        <v>968</v>
      </c>
      <c r="D7246" s="26" t="s">
        <v>3663</v>
      </c>
      <c r="E7246" s="28">
        <v>46113.0</v>
      </c>
      <c r="F7246" s="28">
        <v>46171.0</v>
      </c>
      <c r="G7246" s="29"/>
    </row>
    <row r="7247" ht="15.75" customHeight="1">
      <c r="A7247" s="30" t="s">
        <v>10911</v>
      </c>
      <c r="B7247" s="31" t="s">
        <v>690</v>
      </c>
      <c r="C7247" s="31" t="s">
        <v>923</v>
      </c>
      <c r="D7247" s="30" t="s">
        <v>3663</v>
      </c>
      <c r="E7247" s="32">
        <v>46113.0</v>
      </c>
      <c r="F7247" s="32">
        <v>46171.0</v>
      </c>
      <c r="G7247" s="33"/>
    </row>
    <row r="7248" ht="15.75" customHeight="1">
      <c r="A7248" s="26" t="s">
        <v>10912</v>
      </c>
      <c r="B7248" s="27" t="s">
        <v>691</v>
      </c>
      <c r="C7248" s="27" t="s">
        <v>934</v>
      </c>
      <c r="D7248" s="26" t="s">
        <v>3663</v>
      </c>
      <c r="E7248" s="28">
        <v>46113.0</v>
      </c>
      <c r="F7248" s="28">
        <v>46171.0</v>
      </c>
      <c r="G7248" s="29"/>
    </row>
    <row r="7249" ht="15.75" customHeight="1">
      <c r="A7249" s="30" t="s">
        <v>10913</v>
      </c>
      <c r="B7249" s="31" t="s">
        <v>691</v>
      </c>
      <c r="C7249" s="31" t="s">
        <v>1354</v>
      </c>
      <c r="D7249" s="30" t="s">
        <v>3663</v>
      </c>
      <c r="E7249" s="32">
        <v>46113.0</v>
      </c>
      <c r="F7249" s="32">
        <v>46171.0</v>
      </c>
      <c r="G7249" s="33"/>
    </row>
    <row r="7250" ht="15.75" customHeight="1">
      <c r="A7250" s="26" t="s">
        <v>10914</v>
      </c>
      <c r="B7250" s="27" t="s">
        <v>691</v>
      </c>
      <c r="C7250" s="27" t="s">
        <v>1190</v>
      </c>
      <c r="D7250" s="26" t="s">
        <v>3663</v>
      </c>
      <c r="E7250" s="28">
        <v>46113.0</v>
      </c>
      <c r="F7250" s="28">
        <v>46171.0</v>
      </c>
      <c r="G7250" s="29"/>
    </row>
    <row r="7251" ht="15.75" customHeight="1">
      <c r="A7251" s="30" t="s">
        <v>10915</v>
      </c>
      <c r="B7251" s="31" t="s">
        <v>691</v>
      </c>
      <c r="C7251" s="31" t="s">
        <v>1157</v>
      </c>
      <c r="D7251" s="30" t="s">
        <v>3663</v>
      </c>
      <c r="E7251" s="32">
        <v>46113.0</v>
      </c>
      <c r="F7251" s="32">
        <v>46171.0</v>
      </c>
      <c r="G7251" s="33"/>
    </row>
    <row r="7252" ht="15.75" customHeight="1">
      <c r="A7252" s="26" t="s">
        <v>10916</v>
      </c>
      <c r="B7252" s="27" t="s">
        <v>691</v>
      </c>
      <c r="C7252" s="27" t="s">
        <v>1155</v>
      </c>
      <c r="D7252" s="26" t="s">
        <v>3663</v>
      </c>
      <c r="E7252" s="28">
        <v>46113.0</v>
      </c>
      <c r="F7252" s="28">
        <v>46171.0</v>
      </c>
      <c r="G7252" s="29"/>
    </row>
    <row r="7253" ht="15.75" customHeight="1">
      <c r="A7253" s="30" t="s">
        <v>10917</v>
      </c>
      <c r="B7253" s="31" t="s">
        <v>691</v>
      </c>
      <c r="C7253" s="31" t="s">
        <v>1153</v>
      </c>
      <c r="D7253" s="30" t="s">
        <v>3663</v>
      </c>
      <c r="E7253" s="32">
        <v>46113.0</v>
      </c>
      <c r="F7253" s="32">
        <v>46171.0</v>
      </c>
      <c r="G7253" s="33"/>
    </row>
    <row r="7254" ht="15.75" customHeight="1">
      <c r="A7254" s="26" t="s">
        <v>10918</v>
      </c>
      <c r="B7254" s="27" t="s">
        <v>691</v>
      </c>
      <c r="C7254" s="27" t="s">
        <v>1149</v>
      </c>
      <c r="D7254" s="26" t="s">
        <v>3663</v>
      </c>
      <c r="E7254" s="28">
        <v>46113.0</v>
      </c>
      <c r="F7254" s="28">
        <v>46171.0</v>
      </c>
      <c r="G7254" s="29"/>
    </row>
    <row r="7255" ht="15.75" customHeight="1">
      <c r="A7255" s="30" t="s">
        <v>10919</v>
      </c>
      <c r="B7255" s="31" t="s">
        <v>691</v>
      </c>
      <c r="C7255" s="31" t="s">
        <v>1351</v>
      </c>
      <c r="D7255" s="30" t="s">
        <v>3663</v>
      </c>
      <c r="E7255" s="32">
        <v>46113.0</v>
      </c>
      <c r="F7255" s="32">
        <v>46171.0</v>
      </c>
      <c r="G7255" s="33"/>
    </row>
    <row r="7256" ht="15.75" customHeight="1">
      <c r="A7256" s="26" t="s">
        <v>10920</v>
      </c>
      <c r="B7256" s="27" t="s">
        <v>691</v>
      </c>
      <c r="C7256" s="27" t="s">
        <v>1349</v>
      </c>
      <c r="D7256" s="26" t="s">
        <v>3663</v>
      </c>
      <c r="E7256" s="28">
        <v>46113.0</v>
      </c>
      <c r="F7256" s="28">
        <v>46171.0</v>
      </c>
      <c r="G7256" s="29"/>
    </row>
    <row r="7257" ht="15.75" customHeight="1">
      <c r="A7257" s="30" t="s">
        <v>10921</v>
      </c>
      <c r="B7257" s="31" t="s">
        <v>691</v>
      </c>
      <c r="C7257" s="31" t="s">
        <v>3653</v>
      </c>
      <c r="D7257" s="31" t="s">
        <v>3663</v>
      </c>
      <c r="E7257" s="32">
        <v>46113.0</v>
      </c>
      <c r="F7257" s="32">
        <v>46171.0</v>
      </c>
      <c r="G7257" s="33"/>
    </row>
    <row r="7258" ht="15.75" customHeight="1">
      <c r="A7258" s="26" t="s">
        <v>10922</v>
      </c>
      <c r="B7258" s="27" t="s">
        <v>691</v>
      </c>
      <c r="C7258" s="27" t="s">
        <v>3652</v>
      </c>
      <c r="D7258" s="26" t="s">
        <v>3663</v>
      </c>
      <c r="E7258" s="28">
        <v>46113.0</v>
      </c>
      <c r="F7258" s="28">
        <v>46171.0</v>
      </c>
      <c r="G7258" s="29"/>
    </row>
    <row r="7259" ht="15.75" customHeight="1">
      <c r="A7259" s="30" t="s">
        <v>10923</v>
      </c>
      <c r="B7259" s="31" t="s">
        <v>691</v>
      </c>
      <c r="C7259" s="31" t="s">
        <v>965</v>
      </c>
      <c r="D7259" s="30" t="s">
        <v>3663</v>
      </c>
      <c r="E7259" s="32">
        <v>46113.0</v>
      </c>
      <c r="F7259" s="32">
        <v>46171.0</v>
      </c>
      <c r="G7259" s="33"/>
    </row>
    <row r="7260" ht="15.75" customHeight="1">
      <c r="A7260" s="26" t="s">
        <v>10924</v>
      </c>
      <c r="B7260" s="27" t="s">
        <v>691</v>
      </c>
      <c r="C7260" s="27" t="s">
        <v>923</v>
      </c>
      <c r="D7260" s="26" t="s">
        <v>3663</v>
      </c>
      <c r="E7260" s="28">
        <v>46113.0</v>
      </c>
      <c r="F7260" s="28">
        <v>46171.0</v>
      </c>
      <c r="G7260" s="29"/>
    </row>
    <row r="7261" ht="15.75" customHeight="1">
      <c r="A7261" s="30" t="s">
        <v>10925</v>
      </c>
      <c r="B7261" s="31" t="s">
        <v>691</v>
      </c>
      <c r="C7261" s="31" t="s">
        <v>961</v>
      </c>
      <c r="D7261" s="30" t="s">
        <v>3663</v>
      </c>
      <c r="E7261" s="32">
        <v>46113.0</v>
      </c>
      <c r="F7261" s="32">
        <v>46171.0</v>
      </c>
      <c r="G7261" s="33"/>
    </row>
    <row r="7262" ht="15.75" customHeight="1">
      <c r="A7262" s="26" t="s">
        <v>10926</v>
      </c>
      <c r="B7262" s="27" t="s">
        <v>692</v>
      </c>
      <c r="C7262" s="27" t="s">
        <v>1240</v>
      </c>
      <c r="D7262" s="26" t="s">
        <v>3663</v>
      </c>
      <c r="E7262" s="28">
        <v>46113.0</v>
      </c>
      <c r="F7262" s="28">
        <v>46171.0</v>
      </c>
      <c r="G7262" s="29"/>
    </row>
    <row r="7263" ht="15.75" customHeight="1">
      <c r="A7263" s="30" t="s">
        <v>10927</v>
      </c>
      <c r="B7263" s="31" t="s">
        <v>692</v>
      </c>
      <c r="C7263" s="31" t="s">
        <v>1242</v>
      </c>
      <c r="D7263" s="30" t="s">
        <v>3663</v>
      </c>
      <c r="E7263" s="32">
        <v>46113.0</v>
      </c>
      <c r="F7263" s="32">
        <v>46171.0</v>
      </c>
      <c r="G7263" s="33"/>
    </row>
    <row r="7264" ht="15.75" customHeight="1">
      <c r="A7264" s="26" t="s">
        <v>10928</v>
      </c>
      <c r="B7264" s="27" t="s">
        <v>692</v>
      </c>
      <c r="C7264" s="27" t="s">
        <v>1244</v>
      </c>
      <c r="D7264" s="26" t="s">
        <v>3663</v>
      </c>
      <c r="E7264" s="28">
        <v>46113.0</v>
      </c>
      <c r="F7264" s="28">
        <v>46171.0</v>
      </c>
      <c r="G7264" s="29"/>
    </row>
    <row r="7265" ht="15.75" customHeight="1">
      <c r="A7265" s="30" t="s">
        <v>10929</v>
      </c>
      <c r="B7265" s="31" t="s">
        <v>692</v>
      </c>
      <c r="C7265" s="31" t="s">
        <v>1246</v>
      </c>
      <c r="D7265" s="30" t="s">
        <v>3663</v>
      </c>
      <c r="E7265" s="32">
        <v>46113.0</v>
      </c>
      <c r="F7265" s="32">
        <v>46171.0</v>
      </c>
      <c r="G7265" s="33"/>
    </row>
    <row r="7266" ht="15.75" customHeight="1">
      <c r="A7266" s="26" t="s">
        <v>10930</v>
      </c>
      <c r="B7266" s="27" t="s">
        <v>692</v>
      </c>
      <c r="C7266" s="27" t="s">
        <v>3654</v>
      </c>
      <c r="D7266" s="26" t="s">
        <v>3663</v>
      </c>
      <c r="E7266" s="28">
        <v>46113.0</v>
      </c>
      <c r="F7266" s="28">
        <v>46171.0</v>
      </c>
      <c r="G7266" s="29"/>
    </row>
    <row r="7267" ht="15.75" customHeight="1">
      <c r="A7267" s="30" t="s">
        <v>10931</v>
      </c>
      <c r="B7267" s="31" t="s">
        <v>692</v>
      </c>
      <c r="C7267" s="31" t="s">
        <v>3655</v>
      </c>
      <c r="D7267" s="30" t="s">
        <v>3663</v>
      </c>
      <c r="E7267" s="32">
        <v>46113.0</v>
      </c>
      <c r="F7267" s="32">
        <v>46171.0</v>
      </c>
      <c r="G7267" s="33"/>
    </row>
    <row r="7268" ht="15.75" customHeight="1">
      <c r="A7268" s="26" t="s">
        <v>10932</v>
      </c>
      <c r="B7268" s="27" t="s">
        <v>692</v>
      </c>
      <c r="C7268" s="27" t="s">
        <v>928</v>
      </c>
      <c r="D7268" s="26" t="s">
        <v>3663</v>
      </c>
      <c r="E7268" s="28">
        <v>46113.0</v>
      </c>
      <c r="F7268" s="28">
        <v>46171.0</v>
      </c>
      <c r="G7268" s="29"/>
    </row>
    <row r="7269" ht="15.75" customHeight="1">
      <c r="A7269" s="30" t="s">
        <v>10933</v>
      </c>
      <c r="B7269" s="31" t="s">
        <v>692</v>
      </c>
      <c r="C7269" s="31" t="s">
        <v>1354</v>
      </c>
      <c r="D7269" s="30" t="s">
        <v>3663</v>
      </c>
      <c r="E7269" s="32">
        <v>46113.0</v>
      </c>
      <c r="F7269" s="32">
        <v>46171.0</v>
      </c>
      <c r="G7269" s="33"/>
    </row>
    <row r="7270" ht="15.75" customHeight="1">
      <c r="A7270" s="26" t="s">
        <v>10934</v>
      </c>
      <c r="B7270" s="27" t="s">
        <v>692</v>
      </c>
      <c r="C7270" s="27" t="s">
        <v>1218</v>
      </c>
      <c r="D7270" s="26" t="s">
        <v>3663</v>
      </c>
      <c r="E7270" s="28">
        <v>46113.0</v>
      </c>
      <c r="F7270" s="28">
        <v>46171.0</v>
      </c>
      <c r="G7270" s="29"/>
    </row>
    <row r="7271" ht="15.75" customHeight="1">
      <c r="A7271" s="30" t="s">
        <v>10935</v>
      </c>
      <c r="B7271" s="31" t="s">
        <v>692</v>
      </c>
      <c r="C7271" s="31" t="s">
        <v>1271</v>
      </c>
      <c r="D7271" s="30" t="s">
        <v>3663</v>
      </c>
      <c r="E7271" s="32">
        <v>46113.0</v>
      </c>
      <c r="F7271" s="32">
        <v>46171.0</v>
      </c>
      <c r="G7271" s="33"/>
    </row>
    <row r="7272" ht="15.75" customHeight="1">
      <c r="A7272" s="26" t="s">
        <v>10936</v>
      </c>
      <c r="B7272" s="27" t="s">
        <v>692</v>
      </c>
      <c r="C7272" s="27" t="s">
        <v>1351</v>
      </c>
      <c r="D7272" s="26" t="s">
        <v>3663</v>
      </c>
      <c r="E7272" s="28">
        <v>46113.0</v>
      </c>
      <c r="F7272" s="28">
        <v>46171.0</v>
      </c>
      <c r="G7272" s="29"/>
    </row>
    <row r="7273" ht="15.75" customHeight="1">
      <c r="A7273" s="30" t="s">
        <v>10937</v>
      </c>
      <c r="B7273" s="31" t="s">
        <v>692</v>
      </c>
      <c r="C7273" s="31" t="s">
        <v>1349</v>
      </c>
      <c r="D7273" s="30" t="s">
        <v>3663</v>
      </c>
      <c r="E7273" s="32">
        <v>46113.0</v>
      </c>
      <c r="F7273" s="32">
        <v>46171.0</v>
      </c>
      <c r="G7273" s="33"/>
    </row>
    <row r="7274" ht="15.75" customHeight="1">
      <c r="A7274" s="26" t="s">
        <v>10938</v>
      </c>
      <c r="B7274" s="27" t="s">
        <v>692</v>
      </c>
      <c r="C7274" s="27" t="s">
        <v>965</v>
      </c>
      <c r="D7274" s="26" t="s">
        <v>3663</v>
      </c>
      <c r="E7274" s="28">
        <v>46113.0</v>
      </c>
      <c r="F7274" s="28">
        <v>46171.0</v>
      </c>
      <c r="G7274" s="29"/>
    </row>
    <row r="7275" ht="15.75" customHeight="1">
      <c r="A7275" s="30" t="s">
        <v>10939</v>
      </c>
      <c r="B7275" s="31" t="s">
        <v>692</v>
      </c>
      <c r="C7275" s="31" t="s">
        <v>923</v>
      </c>
      <c r="D7275" s="30" t="s">
        <v>3663</v>
      </c>
      <c r="E7275" s="32">
        <v>46113.0</v>
      </c>
      <c r="F7275" s="32">
        <v>46171.0</v>
      </c>
      <c r="G7275" s="33"/>
    </row>
    <row r="7276" ht="15.75" customHeight="1">
      <c r="A7276" s="26" t="s">
        <v>10940</v>
      </c>
      <c r="B7276" s="27" t="s">
        <v>693</v>
      </c>
      <c r="C7276" s="27" t="s">
        <v>926</v>
      </c>
      <c r="D7276" s="27" t="s">
        <v>3663</v>
      </c>
      <c r="E7276" s="28">
        <v>46113.0</v>
      </c>
      <c r="F7276" s="28">
        <v>46171.0</v>
      </c>
      <c r="G7276" s="29"/>
    </row>
    <row r="7277" ht="15.75" customHeight="1">
      <c r="A7277" s="30" t="s">
        <v>10941</v>
      </c>
      <c r="B7277" s="31" t="s">
        <v>693</v>
      </c>
      <c r="C7277" s="31" t="s">
        <v>1323</v>
      </c>
      <c r="D7277" s="30" t="s">
        <v>3663</v>
      </c>
      <c r="E7277" s="32">
        <v>46113.0</v>
      </c>
      <c r="F7277" s="32">
        <v>46171.0</v>
      </c>
      <c r="G7277" s="33"/>
    </row>
    <row r="7278" ht="15.75" customHeight="1">
      <c r="A7278" s="26" t="s">
        <v>10942</v>
      </c>
      <c r="B7278" s="27" t="s">
        <v>693</v>
      </c>
      <c r="C7278" s="27" t="s">
        <v>1354</v>
      </c>
      <c r="D7278" s="26" t="s">
        <v>3663</v>
      </c>
      <c r="E7278" s="28">
        <v>46113.0</v>
      </c>
      <c r="F7278" s="28">
        <v>46171.0</v>
      </c>
      <c r="G7278" s="29"/>
    </row>
    <row r="7279" ht="15.75" customHeight="1">
      <c r="A7279" s="30" t="s">
        <v>10943</v>
      </c>
      <c r="B7279" s="31" t="s">
        <v>693</v>
      </c>
      <c r="C7279" s="31" t="s">
        <v>1172</v>
      </c>
      <c r="D7279" s="30" t="s">
        <v>3663</v>
      </c>
      <c r="E7279" s="32">
        <v>46113.0</v>
      </c>
      <c r="F7279" s="32">
        <v>46171.0</v>
      </c>
      <c r="G7279" s="33"/>
    </row>
    <row r="7280" ht="15.75" customHeight="1">
      <c r="A7280" s="26" t="s">
        <v>10944</v>
      </c>
      <c r="B7280" s="27" t="s">
        <v>693</v>
      </c>
      <c r="C7280" s="27" t="s">
        <v>3656</v>
      </c>
      <c r="D7280" s="26" t="s">
        <v>3663</v>
      </c>
      <c r="E7280" s="28">
        <v>46113.0</v>
      </c>
      <c r="F7280" s="28">
        <v>46171.0</v>
      </c>
      <c r="G7280" s="29"/>
    </row>
    <row r="7281" ht="15.75" customHeight="1">
      <c r="A7281" s="30" t="s">
        <v>10945</v>
      </c>
      <c r="B7281" s="31" t="s">
        <v>693</v>
      </c>
      <c r="C7281" s="31" t="s">
        <v>3657</v>
      </c>
      <c r="D7281" s="30" t="s">
        <v>3663</v>
      </c>
      <c r="E7281" s="32">
        <v>46113.0</v>
      </c>
      <c r="F7281" s="32">
        <v>46171.0</v>
      </c>
      <c r="G7281" s="33"/>
    </row>
    <row r="7282" ht="15.75" customHeight="1">
      <c r="A7282" s="26" t="s">
        <v>10946</v>
      </c>
      <c r="B7282" s="27" t="s">
        <v>693</v>
      </c>
      <c r="C7282" s="27" t="s">
        <v>3647</v>
      </c>
      <c r="D7282" s="26" t="s">
        <v>3663</v>
      </c>
      <c r="E7282" s="28">
        <v>46113.0</v>
      </c>
      <c r="F7282" s="28">
        <v>46171.0</v>
      </c>
      <c r="G7282" s="29"/>
    </row>
    <row r="7283" ht="15.75" customHeight="1">
      <c r="A7283" s="30" t="s">
        <v>10947</v>
      </c>
      <c r="B7283" s="31" t="s">
        <v>693</v>
      </c>
      <c r="C7283" s="31" t="s">
        <v>952</v>
      </c>
      <c r="D7283" s="30" t="s">
        <v>3663</v>
      </c>
      <c r="E7283" s="32">
        <v>46113.0</v>
      </c>
      <c r="F7283" s="32">
        <v>46171.0</v>
      </c>
      <c r="G7283" s="33"/>
    </row>
    <row r="7284" ht="15.75" customHeight="1">
      <c r="A7284" s="26" t="s">
        <v>10948</v>
      </c>
      <c r="B7284" s="27" t="s">
        <v>693</v>
      </c>
      <c r="C7284" s="27" t="s">
        <v>3648</v>
      </c>
      <c r="D7284" s="27" t="s">
        <v>3663</v>
      </c>
      <c r="E7284" s="28">
        <v>46113.0</v>
      </c>
      <c r="F7284" s="28">
        <v>46171.0</v>
      </c>
      <c r="G7284" s="29"/>
    </row>
    <row r="7285" ht="15.75" customHeight="1">
      <c r="A7285" s="30" t="s">
        <v>10949</v>
      </c>
      <c r="B7285" s="31" t="s">
        <v>693</v>
      </c>
      <c r="C7285" s="31" t="s">
        <v>3649</v>
      </c>
      <c r="D7285" s="31" t="s">
        <v>3663</v>
      </c>
      <c r="E7285" s="32">
        <v>46113.0</v>
      </c>
      <c r="F7285" s="32">
        <v>46171.0</v>
      </c>
      <c r="G7285" s="33"/>
    </row>
    <row r="7286" ht="15.75" customHeight="1">
      <c r="A7286" s="26" t="s">
        <v>10950</v>
      </c>
      <c r="B7286" s="27" t="s">
        <v>693</v>
      </c>
      <c r="C7286" s="27" t="s">
        <v>3650</v>
      </c>
      <c r="D7286" s="27" t="s">
        <v>3663</v>
      </c>
      <c r="E7286" s="28">
        <v>46113.0</v>
      </c>
      <c r="F7286" s="28">
        <v>46171.0</v>
      </c>
      <c r="G7286" s="29"/>
    </row>
    <row r="7287" ht="15.75" customHeight="1">
      <c r="A7287" s="30" t="s">
        <v>10951</v>
      </c>
      <c r="B7287" s="31" t="s">
        <v>693</v>
      </c>
      <c r="C7287" s="31" t="s">
        <v>1283</v>
      </c>
      <c r="D7287" s="31" t="s">
        <v>3663</v>
      </c>
      <c r="E7287" s="32">
        <v>46113.0</v>
      </c>
      <c r="F7287" s="32">
        <v>46171.0</v>
      </c>
      <c r="G7287" s="33"/>
    </row>
    <row r="7288" ht="15.75" customHeight="1">
      <c r="A7288" s="26" t="s">
        <v>10952</v>
      </c>
      <c r="B7288" s="27" t="s">
        <v>693</v>
      </c>
      <c r="C7288" s="27" t="s">
        <v>968</v>
      </c>
      <c r="D7288" s="26" t="s">
        <v>3663</v>
      </c>
      <c r="E7288" s="28">
        <v>46113.0</v>
      </c>
      <c r="F7288" s="28">
        <v>46171.0</v>
      </c>
      <c r="G7288" s="29"/>
    </row>
    <row r="7289" ht="15.75" customHeight="1">
      <c r="A7289" s="30" t="s">
        <v>10953</v>
      </c>
      <c r="B7289" s="31" t="s">
        <v>693</v>
      </c>
      <c r="C7289" s="31" t="s">
        <v>923</v>
      </c>
      <c r="D7289" s="31" t="s">
        <v>3663</v>
      </c>
      <c r="E7289" s="32">
        <v>46113.0</v>
      </c>
      <c r="F7289" s="32">
        <v>46171.0</v>
      </c>
      <c r="G7289" s="33"/>
    </row>
    <row r="7290" ht="15.75" customHeight="1">
      <c r="A7290" s="26" t="s">
        <v>10954</v>
      </c>
      <c r="B7290" s="27" t="s">
        <v>694</v>
      </c>
      <c r="C7290" s="27" t="s">
        <v>932</v>
      </c>
      <c r="D7290" s="26" t="s">
        <v>3663</v>
      </c>
      <c r="E7290" s="28">
        <v>46113.0</v>
      </c>
      <c r="F7290" s="28">
        <v>46171.0</v>
      </c>
      <c r="G7290" s="29"/>
    </row>
    <row r="7291" ht="15.75" customHeight="1">
      <c r="A7291" s="30" t="s">
        <v>10955</v>
      </c>
      <c r="B7291" s="31" t="s">
        <v>694</v>
      </c>
      <c r="C7291" s="31" t="s">
        <v>1164</v>
      </c>
      <c r="D7291" s="30" t="s">
        <v>3663</v>
      </c>
      <c r="E7291" s="32">
        <v>46113.0</v>
      </c>
      <c r="F7291" s="32">
        <v>46171.0</v>
      </c>
      <c r="G7291" s="33"/>
    </row>
    <row r="7292" ht="15.75" customHeight="1">
      <c r="A7292" s="26" t="s">
        <v>10956</v>
      </c>
      <c r="B7292" s="27" t="s">
        <v>694</v>
      </c>
      <c r="C7292" s="27" t="s">
        <v>1166</v>
      </c>
      <c r="D7292" s="26" t="s">
        <v>3663</v>
      </c>
      <c r="E7292" s="28">
        <v>46113.0</v>
      </c>
      <c r="F7292" s="28">
        <v>46171.0</v>
      </c>
      <c r="G7292" s="29"/>
    </row>
    <row r="7293" ht="15.75" customHeight="1">
      <c r="A7293" s="30" t="s">
        <v>10957</v>
      </c>
      <c r="B7293" s="31" t="s">
        <v>694</v>
      </c>
      <c r="C7293" s="31" t="s">
        <v>1168</v>
      </c>
      <c r="D7293" s="30" t="s">
        <v>3663</v>
      </c>
      <c r="E7293" s="32">
        <v>46113.0</v>
      </c>
      <c r="F7293" s="32">
        <v>46171.0</v>
      </c>
      <c r="G7293" s="33"/>
    </row>
    <row r="7294" ht="15.75" customHeight="1">
      <c r="A7294" s="26" t="s">
        <v>10958</v>
      </c>
      <c r="B7294" s="27" t="s">
        <v>694</v>
      </c>
      <c r="C7294" s="27" t="s">
        <v>1170</v>
      </c>
      <c r="D7294" s="26" t="s">
        <v>3663</v>
      </c>
      <c r="E7294" s="28">
        <v>46113.0</v>
      </c>
      <c r="F7294" s="28">
        <v>46171.0</v>
      </c>
      <c r="G7294" s="29"/>
    </row>
    <row r="7295" ht="15.75" customHeight="1">
      <c r="A7295" s="30" t="s">
        <v>10959</v>
      </c>
      <c r="B7295" s="31" t="s">
        <v>694</v>
      </c>
      <c r="C7295" s="31" t="s">
        <v>1354</v>
      </c>
      <c r="D7295" s="30" t="s">
        <v>3663</v>
      </c>
      <c r="E7295" s="32">
        <v>46113.0</v>
      </c>
      <c r="F7295" s="32">
        <v>46171.0</v>
      </c>
      <c r="G7295" s="33"/>
    </row>
    <row r="7296" ht="15.75" customHeight="1">
      <c r="A7296" s="26" t="s">
        <v>10960</v>
      </c>
      <c r="B7296" s="27" t="s">
        <v>694</v>
      </c>
      <c r="C7296" s="27" t="s">
        <v>3681</v>
      </c>
      <c r="D7296" s="26" t="s">
        <v>3663</v>
      </c>
      <c r="E7296" s="28">
        <v>46113.0</v>
      </c>
      <c r="F7296" s="28">
        <v>46171.0</v>
      </c>
      <c r="G7296" s="29"/>
    </row>
    <row r="7297" ht="15.75" customHeight="1">
      <c r="A7297" s="30" t="s">
        <v>10961</v>
      </c>
      <c r="B7297" s="31" t="s">
        <v>694</v>
      </c>
      <c r="C7297" s="31" t="s">
        <v>3683</v>
      </c>
      <c r="D7297" s="30" t="s">
        <v>3663</v>
      </c>
      <c r="E7297" s="32">
        <v>46113.0</v>
      </c>
      <c r="F7297" s="32">
        <v>46171.0</v>
      </c>
      <c r="G7297" s="33"/>
    </row>
    <row r="7298" ht="15.75" customHeight="1">
      <c r="A7298" s="26" t="s">
        <v>10962</v>
      </c>
      <c r="B7298" s="27" t="s">
        <v>694</v>
      </c>
      <c r="C7298" s="27" t="s">
        <v>1208</v>
      </c>
      <c r="D7298" s="26" t="s">
        <v>3663</v>
      </c>
      <c r="E7298" s="28">
        <v>46113.0</v>
      </c>
      <c r="F7298" s="28">
        <v>46171.0</v>
      </c>
      <c r="G7298" s="29"/>
    </row>
    <row r="7299" ht="15.75" customHeight="1">
      <c r="A7299" s="30" t="s">
        <v>10963</v>
      </c>
      <c r="B7299" s="31" t="s">
        <v>694</v>
      </c>
      <c r="C7299" s="31" t="s">
        <v>1351</v>
      </c>
      <c r="D7299" s="30" t="s">
        <v>3663</v>
      </c>
      <c r="E7299" s="32">
        <v>46113.0</v>
      </c>
      <c r="F7299" s="32">
        <v>46171.0</v>
      </c>
      <c r="G7299" s="33"/>
    </row>
    <row r="7300" ht="15.75" customHeight="1">
      <c r="A7300" s="26" t="s">
        <v>10964</v>
      </c>
      <c r="B7300" s="27" t="s">
        <v>694</v>
      </c>
      <c r="C7300" s="27" t="s">
        <v>1349</v>
      </c>
      <c r="D7300" s="26" t="s">
        <v>3663</v>
      </c>
      <c r="E7300" s="28">
        <v>46113.0</v>
      </c>
      <c r="F7300" s="28">
        <v>46171.0</v>
      </c>
      <c r="G7300" s="29"/>
    </row>
    <row r="7301" ht="15.75" customHeight="1">
      <c r="A7301" s="30" t="s">
        <v>10965</v>
      </c>
      <c r="B7301" s="31" t="s">
        <v>694</v>
      </c>
      <c r="C7301" s="31" t="s">
        <v>968</v>
      </c>
      <c r="D7301" s="30" t="s">
        <v>3663</v>
      </c>
      <c r="E7301" s="32">
        <v>46113.0</v>
      </c>
      <c r="F7301" s="32">
        <v>46171.0</v>
      </c>
      <c r="G7301" s="33"/>
    </row>
    <row r="7302" ht="15.75" customHeight="1">
      <c r="A7302" s="26" t="s">
        <v>10966</v>
      </c>
      <c r="B7302" s="27" t="s">
        <v>694</v>
      </c>
      <c r="C7302" s="27" t="s">
        <v>923</v>
      </c>
      <c r="D7302" s="26" t="s">
        <v>3663</v>
      </c>
      <c r="E7302" s="28">
        <v>46113.0</v>
      </c>
      <c r="F7302" s="28">
        <v>46171.0</v>
      </c>
      <c r="G7302" s="29"/>
    </row>
    <row r="7303" ht="15.75" customHeight="1">
      <c r="A7303" s="30" t="s">
        <v>10967</v>
      </c>
      <c r="B7303" s="31" t="s">
        <v>694</v>
      </c>
      <c r="C7303" s="31" t="s">
        <v>961</v>
      </c>
      <c r="D7303" s="30" t="s">
        <v>3663</v>
      </c>
      <c r="E7303" s="32">
        <v>46113.0</v>
      </c>
      <c r="F7303" s="32">
        <v>46171.0</v>
      </c>
      <c r="G7303" s="33"/>
    </row>
    <row r="7304" ht="15.75" customHeight="1">
      <c r="A7304" s="26" t="s">
        <v>10968</v>
      </c>
      <c r="B7304" s="27" t="s">
        <v>695</v>
      </c>
      <c r="C7304" s="27" t="s">
        <v>1240</v>
      </c>
      <c r="D7304" s="26" t="s">
        <v>3663</v>
      </c>
      <c r="E7304" s="28">
        <v>46113.0</v>
      </c>
      <c r="F7304" s="28">
        <v>46171.0</v>
      </c>
      <c r="G7304" s="29"/>
    </row>
    <row r="7305" ht="15.75" customHeight="1">
      <c r="A7305" s="30" t="s">
        <v>10969</v>
      </c>
      <c r="B7305" s="31" t="s">
        <v>695</v>
      </c>
      <c r="C7305" s="31" t="s">
        <v>1242</v>
      </c>
      <c r="D7305" s="30" t="s">
        <v>3663</v>
      </c>
      <c r="E7305" s="32">
        <v>46113.0</v>
      </c>
      <c r="F7305" s="32">
        <v>46171.0</v>
      </c>
      <c r="G7305" s="33"/>
    </row>
    <row r="7306" ht="15.75" customHeight="1">
      <c r="A7306" s="26" t="s">
        <v>10970</v>
      </c>
      <c r="B7306" s="27" t="s">
        <v>695</v>
      </c>
      <c r="C7306" s="27" t="s">
        <v>1244</v>
      </c>
      <c r="D7306" s="26" t="s">
        <v>3663</v>
      </c>
      <c r="E7306" s="28">
        <v>46113.0</v>
      </c>
      <c r="F7306" s="28">
        <v>46171.0</v>
      </c>
      <c r="G7306" s="29"/>
    </row>
    <row r="7307" ht="15.75" customHeight="1">
      <c r="A7307" s="30" t="s">
        <v>10971</v>
      </c>
      <c r="B7307" s="31" t="s">
        <v>695</v>
      </c>
      <c r="C7307" s="31" t="s">
        <v>1246</v>
      </c>
      <c r="D7307" s="30" t="s">
        <v>3663</v>
      </c>
      <c r="E7307" s="32">
        <v>46113.0</v>
      </c>
      <c r="F7307" s="32">
        <v>46171.0</v>
      </c>
      <c r="G7307" s="33"/>
    </row>
    <row r="7308" ht="15.75" customHeight="1">
      <c r="A7308" s="26" t="s">
        <v>10972</v>
      </c>
      <c r="B7308" s="27" t="s">
        <v>695</v>
      </c>
      <c r="C7308" s="27" t="s">
        <v>3654</v>
      </c>
      <c r="D7308" s="26" t="s">
        <v>3663</v>
      </c>
      <c r="E7308" s="28">
        <v>46113.0</v>
      </c>
      <c r="F7308" s="28">
        <v>46171.0</v>
      </c>
      <c r="G7308" s="29"/>
    </row>
    <row r="7309" ht="15.75" customHeight="1">
      <c r="A7309" s="30" t="s">
        <v>10973</v>
      </c>
      <c r="B7309" s="31" t="s">
        <v>695</v>
      </c>
      <c r="C7309" s="31" t="s">
        <v>3655</v>
      </c>
      <c r="D7309" s="30" t="s">
        <v>3663</v>
      </c>
      <c r="E7309" s="32">
        <v>46113.0</v>
      </c>
      <c r="F7309" s="32">
        <v>46171.0</v>
      </c>
      <c r="G7309" s="33"/>
    </row>
    <row r="7310" ht="15.75" customHeight="1">
      <c r="A7310" s="26" t="s">
        <v>10974</v>
      </c>
      <c r="B7310" s="27" t="s">
        <v>695</v>
      </c>
      <c r="C7310" s="27" t="s">
        <v>934</v>
      </c>
      <c r="D7310" s="26" t="s">
        <v>3663</v>
      </c>
      <c r="E7310" s="28">
        <v>46113.0</v>
      </c>
      <c r="F7310" s="28">
        <v>46171.0</v>
      </c>
      <c r="G7310" s="29"/>
    </row>
    <row r="7311" ht="15.75" customHeight="1">
      <c r="A7311" s="30" t="s">
        <v>10975</v>
      </c>
      <c r="B7311" s="31" t="s">
        <v>695</v>
      </c>
      <c r="C7311" s="31" t="s">
        <v>1354</v>
      </c>
      <c r="D7311" s="30" t="s">
        <v>3663</v>
      </c>
      <c r="E7311" s="32">
        <v>46113.0</v>
      </c>
      <c r="F7311" s="32">
        <v>46171.0</v>
      </c>
      <c r="G7311" s="33"/>
    </row>
    <row r="7312" ht="15.75" customHeight="1">
      <c r="A7312" s="26" t="s">
        <v>10976</v>
      </c>
      <c r="B7312" s="27" t="s">
        <v>695</v>
      </c>
      <c r="C7312" s="27" t="s">
        <v>1312</v>
      </c>
      <c r="D7312" s="26" t="s">
        <v>3663</v>
      </c>
      <c r="E7312" s="28">
        <v>46113.0</v>
      </c>
      <c r="F7312" s="28">
        <v>46171.0</v>
      </c>
      <c r="G7312" s="29"/>
    </row>
    <row r="7313" ht="15.75" customHeight="1">
      <c r="A7313" s="30" t="s">
        <v>10977</v>
      </c>
      <c r="B7313" s="31" t="s">
        <v>695</v>
      </c>
      <c r="C7313" s="31" t="s">
        <v>3647</v>
      </c>
      <c r="D7313" s="30" t="s">
        <v>3663</v>
      </c>
      <c r="E7313" s="32">
        <v>46113.0</v>
      </c>
      <c r="F7313" s="32">
        <v>46171.0</v>
      </c>
      <c r="G7313" s="33"/>
    </row>
    <row r="7314" ht="15.75" customHeight="1">
      <c r="A7314" s="26" t="s">
        <v>10978</v>
      </c>
      <c r="B7314" s="27" t="s">
        <v>695</v>
      </c>
      <c r="C7314" s="27" t="s">
        <v>952</v>
      </c>
      <c r="D7314" s="26" t="s">
        <v>3663</v>
      </c>
      <c r="E7314" s="28">
        <v>46113.0</v>
      </c>
      <c r="F7314" s="28">
        <v>46171.0</v>
      </c>
      <c r="G7314" s="29"/>
    </row>
    <row r="7315" ht="15.75" customHeight="1">
      <c r="A7315" s="30" t="s">
        <v>10979</v>
      </c>
      <c r="B7315" s="31" t="s">
        <v>695</v>
      </c>
      <c r="C7315" s="31" t="s">
        <v>1216</v>
      </c>
      <c r="D7315" s="30" t="s">
        <v>3663</v>
      </c>
      <c r="E7315" s="32">
        <v>46113.0</v>
      </c>
      <c r="F7315" s="32">
        <v>46171.0</v>
      </c>
      <c r="G7315" s="33"/>
    </row>
    <row r="7316" ht="15.75" customHeight="1">
      <c r="A7316" s="26" t="s">
        <v>10980</v>
      </c>
      <c r="B7316" s="27" t="s">
        <v>695</v>
      </c>
      <c r="C7316" s="27" t="s">
        <v>965</v>
      </c>
      <c r="D7316" s="26" t="s">
        <v>3663</v>
      </c>
      <c r="E7316" s="28">
        <v>46113.0</v>
      </c>
      <c r="F7316" s="28">
        <v>46171.0</v>
      </c>
      <c r="G7316" s="29"/>
    </row>
    <row r="7317" ht="15.75" customHeight="1">
      <c r="A7317" s="30" t="s">
        <v>10981</v>
      </c>
      <c r="B7317" s="31" t="s">
        <v>695</v>
      </c>
      <c r="C7317" s="31" t="s">
        <v>923</v>
      </c>
      <c r="D7317" s="30" t="s">
        <v>3663</v>
      </c>
      <c r="E7317" s="32">
        <v>46113.0</v>
      </c>
      <c r="F7317" s="32">
        <v>46171.0</v>
      </c>
      <c r="G7317" s="33"/>
    </row>
    <row r="7318" ht="15.75" customHeight="1">
      <c r="A7318" s="26" t="s">
        <v>10982</v>
      </c>
      <c r="B7318" s="27" t="s">
        <v>696</v>
      </c>
      <c r="C7318" s="27" t="s">
        <v>926</v>
      </c>
      <c r="D7318" s="26" t="s">
        <v>3663</v>
      </c>
      <c r="E7318" s="28">
        <v>46113.0</v>
      </c>
      <c r="F7318" s="28">
        <v>46171.0</v>
      </c>
      <c r="G7318" s="29"/>
    </row>
    <row r="7319" ht="15.75" customHeight="1">
      <c r="A7319" s="30" t="s">
        <v>10983</v>
      </c>
      <c r="B7319" s="31" t="s">
        <v>696</v>
      </c>
      <c r="C7319" s="31" t="s">
        <v>1354</v>
      </c>
      <c r="D7319" s="30" t="s">
        <v>3663</v>
      </c>
      <c r="E7319" s="32">
        <v>46113.0</v>
      </c>
      <c r="F7319" s="32">
        <v>46171.0</v>
      </c>
      <c r="G7319" s="33"/>
    </row>
    <row r="7320" ht="15.75" customHeight="1">
      <c r="A7320" s="26" t="s">
        <v>10984</v>
      </c>
      <c r="B7320" s="27" t="s">
        <v>696</v>
      </c>
      <c r="C7320" s="27" t="s">
        <v>1172</v>
      </c>
      <c r="D7320" s="26" t="s">
        <v>3663</v>
      </c>
      <c r="E7320" s="28">
        <v>46113.0</v>
      </c>
      <c r="F7320" s="28">
        <v>46171.0</v>
      </c>
      <c r="G7320" s="29"/>
    </row>
    <row r="7321" ht="15.75" customHeight="1">
      <c r="A7321" s="30" t="s">
        <v>10985</v>
      </c>
      <c r="B7321" s="31" t="s">
        <v>696</v>
      </c>
      <c r="C7321" s="31" t="s">
        <v>1312</v>
      </c>
      <c r="D7321" s="30" t="s">
        <v>3663</v>
      </c>
      <c r="E7321" s="32">
        <v>46113.0</v>
      </c>
      <c r="F7321" s="32">
        <v>46171.0</v>
      </c>
      <c r="G7321" s="33"/>
    </row>
    <row r="7322" ht="15.75" customHeight="1">
      <c r="A7322" s="26" t="s">
        <v>10986</v>
      </c>
      <c r="B7322" s="27" t="s">
        <v>696</v>
      </c>
      <c r="C7322" s="27" t="s">
        <v>3656</v>
      </c>
      <c r="D7322" s="26" t="s">
        <v>3663</v>
      </c>
      <c r="E7322" s="28">
        <v>46113.0</v>
      </c>
      <c r="F7322" s="28">
        <v>46171.0</v>
      </c>
      <c r="G7322" s="29"/>
    </row>
    <row r="7323" ht="15.75" customHeight="1">
      <c r="A7323" s="30" t="s">
        <v>10987</v>
      </c>
      <c r="B7323" s="31" t="s">
        <v>696</v>
      </c>
      <c r="C7323" s="31" t="s">
        <v>3657</v>
      </c>
      <c r="D7323" s="30" t="s">
        <v>3663</v>
      </c>
      <c r="E7323" s="32">
        <v>46113.0</v>
      </c>
      <c r="F7323" s="32">
        <v>46171.0</v>
      </c>
      <c r="G7323" s="33"/>
    </row>
    <row r="7324" ht="15.75" customHeight="1">
      <c r="A7324" s="26" t="s">
        <v>10988</v>
      </c>
      <c r="B7324" s="27" t="s">
        <v>696</v>
      </c>
      <c r="C7324" s="27" t="s">
        <v>1277</v>
      </c>
      <c r="D7324" s="26" t="s">
        <v>3663</v>
      </c>
      <c r="E7324" s="28">
        <v>46113.0</v>
      </c>
      <c r="F7324" s="28">
        <v>46171.0</v>
      </c>
      <c r="G7324" s="29"/>
    </row>
    <row r="7325" ht="15.75" customHeight="1">
      <c r="A7325" s="30" t="s">
        <v>10989</v>
      </c>
      <c r="B7325" s="31" t="s">
        <v>696</v>
      </c>
      <c r="C7325" s="31" t="s">
        <v>1279</v>
      </c>
      <c r="D7325" s="30" t="s">
        <v>3663</v>
      </c>
      <c r="E7325" s="32">
        <v>46113.0</v>
      </c>
      <c r="F7325" s="32">
        <v>46171.0</v>
      </c>
      <c r="G7325" s="33"/>
    </row>
    <row r="7326" ht="15.75" customHeight="1">
      <c r="A7326" s="26" t="s">
        <v>10990</v>
      </c>
      <c r="B7326" s="27" t="s">
        <v>696</v>
      </c>
      <c r="C7326" s="27" t="s">
        <v>1283</v>
      </c>
      <c r="D7326" s="26" t="s">
        <v>3663</v>
      </c>
      <c r="E7326" s="28">
        <v>46113.0</v>
      </c>
      <c r="F7326" s="28">
        <v>46171.0</v>
      </c>
      <c r="G7326" s="29"/>
    </row>
    <row r="7327" ht="15.75" customHeight="1">
      <c r="A7327" s="30" t="s">
        <v>10991</v>
      </c>
      <c r="B7327" s="31" t="s">
        <v>696</v>
      </c>
      <c r="C7327" s="31" t="s">
        <v>1281</v>
      </c>
      <c r="D7327" s="30" t="s">
        <v>3663</v>
      </c>
      <c r="E7327" s="32">
        <v>46113.0</v>
      </c>
      <c r="F7327" s="32">
        <v>46171.0</v>
      </c>
      <c r="G7327" s="33"/>
    </row>
    <row r="7328" ht="15.75" customHeight="1">
      <c r="A7328" s="26" t="s">
        <v>10992</v>
      </c>
      <c r="B7328" s="27" t="s">
        <v>696</v>
      </c>
      <c r="C7328" s="27" t="s">
        <v>1351</v>
      </c>
      <c r="D7328" s="26" t="s">
        <v>3663</v>
      </c>
      <c r="E7328" s="28">
        <v>46113.0</v>
      </c>
      <c r="F7328" s="28">
        <v>46171.0</v>
      </c>
      <c r="G7328" s="29"/>
    </row>
    <row r="7329" ht="15.75" customHeight="1">
      <c r="A7329" s="30" t="s">
        <v>10993</v>
      </c>
      <c r="B7329" s="31" t="s">
        <v>696</v>
      </c>
      <c r="C7329" s="31" t="s">
        <v>1349</v>
      </c>
      <c r="D7329" s="30" t="s">
        <v>3663</v>
      </c>
      <c r="E7329" s="32">
        <v>46113.0</v>
      </c>
      <c r="F7329" s="32">
        <v>46171.0</v>
      </c>
      <c r="G7329" s="33"/>
    </row>
    <row r="7330" ht="15.75" customHeight="1">
      <c r="A7330" s="26" t="s">
        <v>10994</v>
      </c>
      <c r="B7330" s="27" t="s">
        <v>696</v>
      </c>
      <c r="C7330" s="27" t="s">
        <v>965</v>
      </c>
      <c r="D7330" s="26" t="s">
        <v>3663</v>
      </c>
      <c r="E7330" s="28">
        <v>46113.0</v>
      </c>
      <c r="F7330" s="28">
        <v>46171.0</v>
      </c>
      <c r="G7330" s="29"/>
    </row>
    <row r="7331" ht="15.75" customHeight="1">
      <c r="A7331" s="30" t="s">
        <v>10995</v>
      </c>
      <c r="B7331" s="31" t="s">
        <v>696</v>
      </c>
      <c r="C7331" s="31" t="s">
        <v>923</v>
      </c>
      <c r="D7331" s="30" t="s">
        <v>3663</v>
      </c>
      <c r="E7331" s="32">
        <v>46113.0</v>
      </c>
      <c r="F7331" s="32">
        <v>46171.0</v>
      </c>
      <c r="G7331" s="33"/>
    </row>
    <row r="7332" ht="15.75" customHeight="1">
      <c r="A7332" s="26" t="s">
        <v>10996</v>
      </c>
      <c r="B7332" s="27" t="s">
        <v>697</v>
      </c>
      <c r="C7332" s="27" t="s">
        <v>928</v>
      </c>
      <c r="D7332" s="26" t="s">
        <v>3663</v>
      </c>
      <c r="E7332" s="28">
        <v>46113.0</v>
      </c>
      <c r="F7332" s="28">
        <v>46171.0</v>
      </c>
      <c r="G7332" s="29"/>
    </row>
    <row r="7333" ht="15.75" customHeight="1">
      <c r="A7333" s="30" t="s">
        <v>10997</v>
      </c>
      <c r="B7333" s="31" t="s">
        <v>697</v>
      </c>
      <c r="C7333" s="31" t="s">
        <v>1354</v>
      </c>
      <c r="D7333" s="30" t="s">
        <v>3663</v>
      </c>
      <c r="E7333" s="32">
        <v>46113.0</v>
      </c>
      <c r="F7333" s="32">
        <v>46171.0</v>
      </c>
      <c r="G7333" s="33"/>
    </row>
    <row r="7334" ht="15.75" customHeight="1">
      <c r="A7334" s="26" t="s">
        <v>10998</v>
      </c>
      <c r="B7334" s="27" t="s">
        <v>697</v>
      </c>
      <c r="C7334" s="27" t="s">
        <v>1222</v>
      </c>
      <c r="D7334" s="26" t="s">
        <v>3663</v>
      </c>
      <c r="E7334" s="28">
        <v>46113.0</v>
      </c>
      <c r="F7334" s="28">
        <v>46171.0</v>
      </c>
      <c r="G7334" s="29"/>
    </row>
    <row r="7335" ht="15.75" customHeight="1">
      <c r="A7335" s="30" t="s">
        <v>10999</v>
      </c>
      <c r="B7335" s="31" t="s">
        <v>697</v>
      </c>
      <c r="C7335" s="31" t="s">
        <v>1224</v>
      </c>
      <c r="D7335" s="30" t="s">
        <v>3663</v>
      </c>
      <c r="E7335" s="32">
        <v>46113.0</v>
      </c>
      <c r="F7335" s="32">
        <v>46171.0</v>
      </c>
      <c r="G7335" s="33"/>
    </row>
    <row r="7336" ht="15.75" customHeight="1">
      <c r="A7336" s="26" t="s">
        <v>11000</v>
      </c>
      <c r="B7336" s="27" t="s">
        <v>697</v>
      </c>
      <c r="C7336" s="27" t="s">
        <v>1226</v>
      </c>
      <c r="D7336" s="26" t="s">
        <v>3663</v>
      </c>
      <c r="E7336" s="28">
        <v>46113.0</v>
      </c>
      <c r="F7336" s="28">
        <v>46171.0</v>
      </c>
      <c r="G7336" s="29"/>
    </row>
    <row r="7337" ht="15.75" customHeight="1">
      <c r="A7337" s="30" t="s">
        <v>11001</v>
      </c>
      <c r="B7337" s="31" t="s">
        <v>697</v>
      </c>
      <c r="C7337" s="31" t="s">
        <v>1228</v>
      </c>
      <c r="D7337" s="30" t="s">
        <v>3663</v>
      </c>
      <c r="E7337" s="32">
        <v>46113.0</v>
      </c>
      <c r="F7337" s="32">
        <v>46171.0</v>
      </c>
      <c r="G7337" s="33"/>
    </row>
    <row r="7338" ht="15.75" customHeight="1">
      <c r="A7338" s="26" t="s">
        <v>11002</v>
      </c>
      <c r="B7338" s="27" t="s">
        <v>697</v>
      </c>
      <c r="C7338" s="27" t="s">
        <v>1208</v>
      </c>
      <c r="D7338" s="26" t="s">
        <v>3663</v>
      </c>
      <c r="E7338" s="28">
        <v>46113.0</v>
      </c>
      <c r="F7338" s="28">
        <v>46171.0</v>
      </c>
      <c r="G7338" s="29"/>
    </row>
    <row r="7339" ht="15.75" customHeight="1">
      <c r="A7339" s="30" t="s">
        <v>11003</v>
      </c>
      <c r="B7339" s="31" t="s">
        <v>697</v>
      </c>
      <c r="C7339" s="31" t="s">
        <v>1159</v>
      </c>
      <c r="D7339" s="30" t="s">
        <v>3663</v>
      </c>
      <c r="E7339" s="32">
        <v>46113.0</v>
      </c>
      <c r="F7339" s="32">
        <v>46171.0</v>
      </c>
      <c r="G7339" s="33"/>
    </row>
    <row r="7340" ht="15.75" customHeight="1">
      <c r="A7340" s="26" t="s">
        <v>11004</v>
      </c>
      <c r="B7340" s="27" t="s">
        <v>697</v>
      </c>
      <c r="C7340" s="27" t="s">
        <v>1351</v>
      </c>
      <c r="D7340" s="26" t="s">
        <v>3663</v>
      </c>
      <c r="E7340" s="28">
        <v>46113.0</v>
      </c>
      <c r="F7340" s="28">
        <v>46171.0</v>
      </c>
      <c r="G7340" s="29"/>
    </row>
    <row r="7341" ht="15.75" customHeight="1">
      <c r="A7341" s="30" t="s">
        <v>11005</v>
      </c>
      <c r="B7341" s="31" t="s">
        <v>697</v>
      </c>
      <c r="C7341" s="31" t="s">
        <v>1349</v>
      </c>
      <c r="D7341" s="30" t="s">
        <v>3663</v>
      </c>
      <c r="E7341" s="32">
        <v>46113.0</v>
      </c>
      <c r="F7341" s="32">
        <v>46171.0</v>
      </c>
      <c r="G7341" s="33"/>
    </row>
    <row r="7342" ht="15.75" customHeight="1">
      <c r="A7342" s="26" t="s">
        <v>11006</v>
      </c>
      <c r="B7342" s="27" t="s">
        <v>697</v>
      </c>
      <c r="C7342" s="27" t="s">
        <v>3653</v>
      </c>
      <c r="D7342" s="27" t="s">
        <v>3663</v>
      </c>
      <c r="E7342" s="28">
        <v>46113.0</v>
      </c>
      <c r="F7342" s="28">
        <v>46171.0</v>
      </c>
      <c r="G7342" s="29"/>
    </row>
    <row r="7343" ht="15.75" customHeight="1">
      <c r="A7343" s="30" t="s">
        <v>11007</v>
      </c>
      <c r="B7343" s="31" t="s">
        <v>697</v>
      </c>
      <c r="C7343" s="31" t="s">
        <v>3652</v>
      </c>
      <c r="D7343" s="30" t="s">
        <v>3663</v>
      </c>
      <c r="E7343" s="32">
        <v>46113.0</v>
      </c>
      <c r="F7343" s="32">
        <v>46171.0</v>
      </c>
      <c r="G7343" s="33"/>
    </row>
    <row r="7344" ht="15.75" customHeight="1">
      <c r="A7344" s="26" t="s">
        <v>11008</v>
      </c>
      <c r="B7344" s="27" t="s">
        <v>697</v>
      </c>
      <c r="C7344" s="27" t="s">
        <v>968</v>
      </c>
      <c r="D7344" s="26" t="s">
        <v>3663</v>
      </c>
      <c r="E7344" s="28">
        <v>46113.0</v>
      </c>
      <c r="F7344" s="28">
        <v>46171.0</v>
      </c>
      <c r="G7344" s="29"/>
    </row>
    <row r="7345" ht="15.75" customHeight="1">
      <c r="A7345" s="30" t="s">
        <v>11009</v>
      </c>
      <c r="B7345" s="31" t="s">
        <v>697</v>
      </c>
      <c r="C7345" s="31" t="s">
        <v>923</v>
      </c>
      <c r="D7345" s="30" t="s">
        <v>3663</v>
      </c>
      <c r="E7345" s="32">
        <v>46113.0</v>
      </c>
      <c r="F7345" s="32">
        <v>46171.0</v>
      </c>
      <c r="G7345" s="33"/>
    </row>
    <row r="7346" ht="15.75" customHeight="1">
      <c r="A7346" s="26" t="s">
        <v>11010</v>
      </c>
      <c r="B7346" s="27" t="s">
        <v>698</v>
      </c>
      <c r="C7346" s="27" t="s">
        <v>3654</v>
      </c>
      <c r="D7346" s="26" t="s">
        <v>3663</v>
      </c>
      <c r="E7346" s="28">
        <v>46113.0</v>
      </c>
      <c r="F7346" s="28">
        <v>46171.0</v>
      </c>
      <c r="G7346" s="29"/>
    </row>
    <row r="7347" ht="15.75" customHeight="1">
      <c r="A7347" s="30" t="s">
        <v>11011</v>
      </c>
      <c r="B7347" s="31" t="s">
        <v>698</v>
      </c>
      <c r="C7347" s="31" t="s">
        <v>3655</v>
      </c>
      <c r="D7347" s="30" t="s">
        <v>3663</v>
      </c>
      <c r="E7347" s="32">
        <v>46113.0</v>
      </c>
      <c r="F7347" s="32">
        <v>46171.0</v>
      </c>
      <c r="G7347" s="33"/>
    </row>
    <row r="7348" ht="15.75" customHeight="1">
      <c r="A7348" s="26" t="s">
        <v>11012</v>
      </c>
      <c r="B7348" s="27" t="s">
        <v>698</v>
      </c>
      <c r="C7348" s="27" t="s">
        <v>930</v>
      </c>
      <c r="D7348" s="26" t="s">
        <v>3663</v>
      </c>
      <c r="E7348" s="28">
        <v>46113.0</v>
      </c>
      <c r="F7348" s="28">
        <v>46171.0</v>
      </c>
      <c r="G7348" s="29"/>
    </row>
    <row r="7349" ht="15.75" customHeight="1">
      <c r="A7349" s="30" t="s">
        <v>11013</v>
      </c>
      <c r="B7349" s="31" t="s">
        <v>698</v>
      </c>
      <c r="C7349" s="31" t="s">
        <v>1354</v>
      </c>
      <c r="D7349" s="30" t="s">
        <v>3663</v>
      </c>
      <c r="E7349" s="32">
        <v>46113.0</v>
      </c>
      <c r="F7349" s="32">
        <v>46171.0</v>
      </c>
      <c r="G7349" s="33"/>
    </row>
    <row r="7350" ht="15.75" customHeight="1">
      <c r="A7350" s="26" t="s">
        <v>11014</v>
      </c>
      <c r="B7350" s="27" t="s">
        <v>698</v>
      </c>
      <c r="C7350" s="27" t="s">
        <v>3641</v>
      </c>
      <c r="D7350" s="26" t="s">
        <v>3663</v>
      </c>
      <c r="E7350" s="28">
        <v>46113.0</v>
      </c>
      <c r="F7350" s="28">
        <v>46171.0</v>
      </c>
      <c r="G7350" s="29"/>
    </row>
    <row r="7351" ht="15.75" customHeight="1">
      <c r="A7351" s="30" t="s">
        <v>11015</v>
      </c>
      <c r="B7351" s="31" t="s">
        <v>698</v>
      </c>
      <c r="C7351" s="31" t="s">
        <v>1304</v>
      </c>
      <c r="D7351" s="30" t="s">
        <v>3663</v>
      </c>
      <c r="E7351" s="32">
        <v>46113.0</v>
      </c>
      <c r="F7351" s="32">
        <v>46171.0</v>
      </c>
      <c r="G7351" s="33"/>
    </row>
    <row r="7352" ht="15.75" customHeight="1">
      <c r="A7352" s="26" t="s">
        <v>11016</v>
      </c>
      <c r="B7352" s="27" t="s">
        <v>698</v>
      </c>
      <c r="C7352" s="27" t="s">
        <v>3642</v>
      </c>
      <c r="D7352" s="26" t="s">
        <v>3663</v>
      </c>
      <c r="E7352" s="28">
        <v>46113.0</v>
      </c>
      <c r="F7352" s="28">
        <v>46171.0</v>
      </c>
      <c r="G7352" s="29"/>
    </row>
    <row r="7353" ht="15.75" customHeight="1">
      <c r="A7353" s="30" t="s">
        <v>11017</v>
      </c>
      <c r="B7353" s="31" t="s">
        <v>698</v>
      </c>
      <c r="C7353" s="31" t="s">
        <v>1308</v>
      </c>
      <c r="D7353" s="30" t="s">
        <v>3663</v>
      </c>
      <c r="E7353" s="32">
        <v>46113.0</v>
      </c>
      <c r="F7353" s="32">
        <v>46171.0</v>
      </c>
      <c r="G7353" s="33"/>
    </row>
    <row r="7354" ht="15.75" customHeight="1">
      <c r="A7354" s="26" t="s">
        <v>11018</v>
      </c>
      <c r="B7354" s="27" t="s">
        <v>698</v>
      </c>
      <c r="C7354" s="27" t="s">
        <v>1159</v>
      </c>
      <c r="D7354" s="26" t="s">
        <v>3663</v>
      </c>
      <c r="E7354" s="28">
        <v>46113.0</v>
      </c>
      <c r="F7354" s="28">
        <v>46171.0</v>
      </c>
      <c r="G7354" s="29"/>
    </row>
    <row r="7355" ht="15.75" customHeight="1">
      <c r="A7355" s="30" t="s">
        <v>11019</v>
      </c>
      <c r="B7355" s="31" t="s">
        <v>698</v>
      </c>
      <c r="C7355" s="31" t="s">
        <v>1216</v>
      </c>
      <c r="D7355" s="30" t="s">
        <v>3663</v>
      </c>
      <c r="E7355" s="32">
        <v>46113.0</v>
      </c>
      <c r="F7355" s="32">
        <v>46171.0</v>
      </c>
      <c r="G7355" s="33"/>
    </row>
    <row r="7356" ht="15.75" customHeight="1">
      <c r="A7356" s="26" t="s">
        <v>11020</v>
      </c>
      <c r="B7356" s="27" t="s">
        <v>698</v>
      </c>
      <c r="C7356" s="27" t="s">
        <v>1351</v>
      </c>
      <c r="D7356" s="26" t="s">
        <v>3663</v>
      </c>
      <c r="E7356" s="28">
        <v>46113.0</v>
      </c>
      <c r="F7356" s="28">
        <v>46171.0</v>
      </c>
      <c r="G7356" s="29"/>
    </row>
    <row r="7357" ht="15.75" customHeight="1">
      <c r="A7357" s="30" t="s">
        <v>11021</v>
      </c>
      <c r="B7357" s="31" t="s">
        <v>698</v>
      </c>
      <c r="C7357" s="31" t="s">
        <v>1349</v>
      </c>
      <c r="D7357" s="30" t="s">
        <v>3663</v>
      </c>
      <c r="E7357" s="32">
        <v>46113.0</v>
      </c>
      <c r="F7357" s="32">
        <v>46171.0</v>
      </c>
      <c r="G7357" s="33"/>
    </row>
    <row r="7358" ht="15.75" customHeight="1">
      <c r="A7358" s="26" t="s">
        <v>11022</v>
      </c>
      <c r="B7358" s="27" t="s">
        <v>698</v>
      </c>
      <c r="C7358" s="27" t="s">
        <v>965</v>
      </c>
      <c r="D7358" s="26" t="s">
        <v>3663</v>
      </c>
      <c r="E7358" s="28">
        <v>46113.0</v>
      </c>
      <c r="F7358" s="28">
        <v>46171.0</v>
      </c>
      <c r="G7358" s="29"/>
    </row>
    <row r="7359" ht="15.75" customHeight="1">
      <c r="A7359" s="30" t="s">
        <v>11023</v>
      </c>
      <c r="B7359" s="31" t="s">
        <v>698</v>
      </c>
      <c r="C7359" s="31" t="s">
        <v>923</v>
      </c>
      <c r="D7359" s="30" t="s">
        <v>3663</v>
      </c>
      <c r="E7359" s="32">
        <v>46113.0</v>
      </c>
      <c r="F7359" s="32">
        <v>46171.0</v>
      </c>
      <c r="G7359" s="33"/>
    </row>
    <row r="7360" ht="15.75" customHeight="1">
      <c r="A7360" s="26" t="s">
        <v>11024</v>
      </c>
      <c r="B7360" s="27" t="s">
        <v>699</v>
      </c>
      <c r="C7360" s="27" t="s">
        <v>932</v>
      </c>
      <c r="D7360" s="26" t="s">
        <v>3663</v>
      </c>
      <c r="E7360" s="28">
        <v>46113.0</v>
      </c>
      <c r="F7360" s="28">
        <v>46171.0</v>
      </c>
      <c r="G7360" s="29"/>
    </row>
    <row r="7361" ht="15.75" customHeight="1">
      <c r="A7361" s="30" t="s">
        <v>11025</v>
      </c>
      <c r="B7361" s="31" t="s">
        <v>699</v>
      </c>
      <c r="C7361" s="31" t="s">
        <v>1164</v>
      </c>
      <c r="D7361" s="30" t="s">
        <v>3663</v>
      </c>
      <c r="E7361" s="32">
        <v>46113.0</v>
      </c>
      <c r="F7361" s="32">
        <v>46171.0</v>
      </c>
      <c r="G7361" s="33"/>
    </row>
    <row r="7362" ht="15.75" customHeight="1">
      <c r="A7362" s="26" t="s">
        <v>11026</v>
      </c>
      <c r="B7362" s="27" t="s">
        <v>699</v>
      </c>
      <c r="C7362" s="27" t="s">
        <v>1166</v>
      </c>
      <c r="D7362" s="26" t="s">
        <v>3663</v>
      </c>
      <c r="E7362" s="28">
        <v>46113.0</v>
      </c>
      <c r="F7362" s="28">
        <v>46171.0</v>
      </c>
      <c r="G7362" s="29"/>
    </row>
    <row r="7363" ht="15.75" customHeight="1">
      <c r="A7363" s="30" t="s">
        <v>11027</v>
      </c>
      <c r="B7363" s="31" t="s">
        <v>699</v>
      </c>
      <c r="C7363" s="31" t="s">
        <v>1168</v>
      </c>
      <c r="D7363" s="30" t="s">
        <v>3663</v>
      </c>
      <c r="E7363" s="32">
        <v>46113.0</v>
      </c>
      <c r="F7363" s="32">
        <v>46171.0</v>
      </c>
      <c r="G7363" s="33"/>
    </row>
    <row r="7364" ht="15.75" customHeight="1">
      <c r="A7364" s="26" t="s">
        <v>11028</v>
      </c>
      <c r="B7364" s="27" t="s">
        <v>699</v>
      </c>
      <c r="C7364" s="27" t="s">
        <v>1170</v>
      </c>
      <c r="D7364" s="26" t="s">
        <v>3663</v>
      </c>
      <c r="E7364" s="28">
        <v>46113.0</v>
      </c>
      <c r="F7364" s="28">
        <v>46171.0</v>
      </c>
      <c r="G7364" s="29"/>
    </row>
    <row r="7365" ht="15.75" customHeight="1">
      <c r="A7365" s="30" t="s">
        <v>11029</v>
      </c>
      <c r="B7365" s="31" t="s">
        <v>699</v>
      </c>
      <c r="C7365" s="31" t="s">
        <v>1354</v>
      </c>
      <c r="D7365" s="30" t="s">
        <v>3663</v>
      </c>
      <c r="E7365" s="32">
        <v>46113.0</v>
      </c>
      <c r="F7365" s="32">
        <v>46171.0</v>
      </c>
      <c r="G7365" s="33"/>
    </row>
    <row r="7366" ht="15.75" customHeight="1">
      <c r="A7366" s="26" t="s">
        <v>11030</v>
      </c>
      <c r="B7366" s="27" t="s">
        <v>699</v>
      </c>
      <c r="C7366" s="27" t="s">
        <v>1312</v>
      </c>
      <c r="D7366" s="26" t="s">
        <v>3663</v>
      </c>
      <c r="E7366" s="28">
        <v>46113.0</v>
      </c>
      <c r="F7366" s="28">
        <v>46171.0</v>
      </c>
      <c r="G7366" s="29"/>
    </row>
    <row r="7367" ht="15.75" customHeight="1">
      <c r="A7367" s="30" t="s">
        <v>11031</v>
      </c>
      <c r="B7367" s="31" t="s">
        <v>699</v>
      </c>
      <c r="C7367" s="31" t="s">
        <v>3681</v>
      </c>
      <c r="D7367" s="30" t="s">
        <v>3663</v>
      </c>
      <c r="E7367" s="32">
        <v>46113.0</v>
      </c>
      <c r="F7367" s="32">
        <v>46171.0</v>
      </c>
      <c r="G7367" s="33"/>
    </row>
    <row r="7368" ht="15.75" customHeight="1">
      <c r="A7368" s="26" t="s">
        <v>11032</v>
      </c>
      <c r="B7368" s="27" t="s">
        <v>699</v>
      </c>
      <c r="C7368" s="27" t="s">
        <v>3683</v>
      </c>
      <c r="D7368" s="26" t="s">
        <v>3663</v>
      </c>
      <c r="E7368" s="28">
        <v>46113.0</v>
      </c>
      <c r="F7368" s="28">
        <v>46171.0</v>
      </c>
      <c r="G7368" s="29"/>
    </row>
    <row r="7369" ht="15.75" customHeight="1">
      <c r="A7369" s="30" t="s">
        <v>11033</v>
      </c>
      <c r="B7369" s="31" t="s">
        <v>699</v>
      </c>
      <c r="C7369" s="31" t="s">
        <v>1216</v>
      </c>
      <c r="D7369" s="30" t="s">
        <v>3663</v>
      </c>
      <c r="E7369" s="32">
        <v>46113.0</v>
      </c>
      <c r="F7369" s="32">
        <v>46171.0</v>
      </c>
      <c r="G7369" s="33"/>
    </row>
    <row r="7370" ht="15.75" customHeight="1">
      <c r="A7370" s="26" t="s">
        <v>11034</v>
      </c>
      <c r="B7370" s="27" t="s">
        <v>699</v>
      </c>
      <c r="C7370" s="27" t="s">
        <v>1351</v>
      </c>
      <c r="D7370" s="26" t="s">
        <v>3663</v>
      </c>
      <c r="E7370" s="28">
        <v>46113.0</v>
      </c>
      <c r="F7370" s="28">
        <v>46171.0</v>
      </c>
      <c r="G7370" s="29"/>
    </row>
    <row r="7371" ht="15.75" customHeight="1">
      <c r="A7371" s="30" t="s">
        <v>11035</v>
      </c>
      <c r="B7371" s="31" t="s">
        <v>699</v>
      </c>
      <c r="C7371" s="31" t="s">
        <v>1349</v>
      </c>
      <c r="D7371" s="30" t="s">
        <v>3663</v>
      </c>
      <c r="E7371" s="32">
        <v>46113.0</v>
      </c>
      <c r="F7371" s="32">
        <v>46171.0</v>
      </c>
      <c r="G7371" s="33"/>
    </row>
    <row r="7372" ht="15.75" customHeight="1">
      <c r="A7372" s="26" t="s">
        <v>11036</v>
      </c>
      <c r="B7372" s="27" t="s">
        <v>699</v>
      </c>
      <c r="C7372" s="27" t="s">
        <v>965</v>
      </c>
      <c r="D7372" s="26" t="s">
        <v>3663</v>
      </c>
      <c r="E7372" s="28">
        <v>46113.0</v>
      </c>
      <c r="F7372" s="28">
        <v>46171.0</v>
      </c>
      <c r="G7372" s="29"/>
    </row>
    <row r="7373" ht="15.75" customHeight="1">
      <c r="A7373" s="30" t="s">
        <v>11037</v>
      </c>
      <c r="B7373" s="31" t="s">
        <v>699</v>
      </c>
      <c r="C7373" s="31" t="s">
        <v>923</v>
      </c>
      <c r="D7373" s="30" t="s">
        <v>3663</v>
      </c>
      <c r="E7373" s="32">
        <v>46113.0</v>
      </c>
      <c r="F7373" s="32">
        <v>46171.0</v>
      </c>
      <c r="G7373" s="33"/>
    </row>
    <row r="7374" ht="15.75" customHeight="1">
      <c r="A7374" s="26" t="s">
        <v>11038</v>
      </c>
      <c r="B7374" s="27" t="s">
        <v>700</v>
      </c>
      <c r="C7374" s="27" t="s">
        <v>928</v>
      </c>
      <c r="D7374" s="26" t="s">
        <v>3663</v>
      </c>
      <c r="E7374" s="28">
        <v>46113.0</v>
      </c>
      <c r="F7374" s="28">
        <v>46171.0</v>
      </c>
      <c r="G7374" s="29"/>
    </row>
    <row r="7375" ht="15.75" customHeight="1">
      <c r="A7375" s="30" t="s">
        <v>11039</v>
      </c>
      <c r="B7375" s="31" t="s">
        <v>700</v>
      </c>
      <c r="C7375" s="31" t="s">
        <v>1354</v>
      </c>
      <c r="D7375" s="30" t="s">
        <v>3663</v>
      </c>
      <c r="E7375" s="32">
        <v>46113.0</v>
      </c>
      <c r="F7375" s="32">
        <v>46171.0</v>
      </c>
      <c r="G7375" s="33"/>
    </row>
    <row r="7376" ht="15.75" customHeight="1">
      <c r="A7376" s="26" t="s">
        <v>11040</v>
      </c>
      <c r="B7376" s="27" t="s">
        <v>700</v>
      </c>
      <c r="C7376" s="27" t="s">
        <v>1222</v>
      </c>
      <c r="D7376" s="26" t="s">
        <v>3663</v>
      </c>
      <c r="E7376" s="28">
        <v>46113.0</v>
      </c>
      <c r="F7376" s="28">
        <v>46171.0</v>
      </c>
      <c r="G7376" s="29"/>
    </row>
    <row r="7377" ht="15.75" customHeight="1">
      <c r="A7377" s="30" t="s">
        <v>11041</v>
      </c>
      <c r="B7377" s="31" t="s">
        <v>700</v>
      </c>
      <c r="C7377" s="31" t="s">
        <v>1224</v>
      </c>
      <c r="D7377" s="30" t="s">
        <v>3663</v>
      </c>
      <c r="E7377" s="32">
        <v>46113.0</v>
      </c>
      <c r="F7377" s="32">
        <v>46171.0</v>
      </c>
      <c r="G7377" s="33"/>
    </row>
    <row r="7378" ht="15.75" customHeight="1">
      <c r="A7378" s="26" t="s">
        <v>11042</v>
      </c>
      <c r="B7378" s="27" t="s">
        <v>700</v>
      </c>
      <c r="C7378" s="27" t="s">
        <v>1226</v>
      </c>
      <c r="D7378" s="26" t="s">
        <v>3663</v>
      </c>
      <c r="E7378" s="28">
        <v>46113.0</v>
      </c>
      <c r="F7378" s="28">
        <v>46171.0</v>
      </c>
      <c r="G7378" s="29"/>
    </row>
    <row r="7379" ht="15.75" customHeight="1">
      <c r="A7379" s="30" t="s">
        <v>11043</v>
      </c>
      <c r="B7379" s="31" t="s">
        <v>700</v>
      </c>
      <c r="C7379" s="31" t="s">
        <v>1228</v>
      </c>
      <c r="D7379" s="30" t="s">
        <v>3663</v>
      </c>
      <c r="E7379" s="32">
        <v>46113.0</v>
      </c>
      <c r="F7379" s="32">
        <v>46171.0</v>
      </c>
      <c r="G7379" s="33"/>
    </row>
    <row r="7380" ht="15.75" customHeight="1">
      <c r="A7380" s="26" t="s">
        <v>11044</v>
      </c>
      <c r="B7380" s="27" t="s">
        <v>700</v>
      </c>
      <c r="C7380" s="27" t="s">
        <v>3681</v>
      </c>
      <c r="D7380" s="26" t="s">
        <v>3663</v>
      </c>
      <c r="E7380" s="28">
        <v>46113.0</v>
      </c>
      <c r="F7380" s="28">
        <v>46171.0</v>
      </c>
      <c r="G7380" s="29"/>
    </row>
    <row r="7381" ht="15.75" customHeight="1">
      <c r="A7381" s="30" t="s">
        <v>11045</v>
      </c>
      <c r="B7381" s="31" t="s">
        <v>700</v>
      </c>
      <c r="C7381" s="31" t="s">
        <v>3683</v>
      </c>
      <c r="D7381" s="30" t="s">
        <v>3663</v>
      </c>
      <c r="E7381" s="32">
        <v>46113.0</v>
      </c>
      <c r="F7381" s="32">
        <v>46171.0</v>
      </c>
      <c r="G7381" s="33"/>
    </row>
    <row r="7382" ht="15.75" customHeight="1">
      <c r="A7382" s="26" t="s">
        <v>11046</v>
      </c>
      <c r="B7382" s="27" t="s">
        <v>700</v>
      </c>
      <c r="C7382" s="27" t="s">
        <v>1216</v>
      </c>
      <c r="D7382" s="26" t="s">
        <v>3663</v>
      </c>
      <c r="E7382" s="28">
        <v>46113.0</v>
      </c>
      <c r="F7382" s="28">
        <v>46171.0</v>
      </c>
      <c r="G7382" s="29"/>
    </row>
    <row r="7383" ht="15.75" customHeight="1">
      <c r="A7383" s="30" t="s">
        <v>11047</v>
      </c>
      <c r="B7383" s="31" t="s">
        <v>700</v>
      </c>
      <c r="C7383" s="31" t="s">
        <v>1351</v>
      </c>
      <c r="D7383" s="30" t="s">
        <v>3663</v>
      </c>
      <c r="E7383" s="32">
        <v>46113.0</v>
      </c>
      <c r="F7383" s="32">
        <v>46171.0</v>
      </c>
      <c r="G7383" s="33"/>
    </row>
    <row r="7384" ht="15.75" customHeight="1">
      <c r="A7384" s="26" t="s">
        <v>11048</v>
      </c>
      <c r="B7384" s="27" t="s">
        <v>700</v>
      </c>
      <c r="C7384" s="27" t="s">
        <v>1349</v>
      </c>
      <c r="D7384" s="26" t="s">
        <v>3663</v>
      </c>
      <c r="E7384" s="28">
        <v>46113.0</v>
      </c>
      <c r="F7384" s="28">
        <v>46171.0</v>
      </c>
      <c r="G7384" s="29"/>
    </row>
    <row r="7385" ht="15.75" customHeight="1">
      <c r="A7385" s="30" t="s">
        <v>11049</v>
      </c>
      <c r="B7385" s="31" t="s">
        <v>700</v>
      </c>
      <c r="C7385" s="31" t="s">
        <v>968</v>
      </c>
      <c r="D7385" s="30" t="s">
        <v>3663</v>
      </c>
      <c r="E7385" s="32">
        <v>46113.0</v>
      </c>
      <c r="F7385" s="32">
        <v>46171.0</v>
      </c>
      <c r="G7385" s="33"/>
    </row>
    <row r="7386" ht="15.75" customHeight="1">
      <c r="A7386" s="26" t="s">
        <v>11050</v>
      </c>
      <c r="B7386" s="27" t="s">
        <v>700</v>
      </c>
      <c r="C7386" s="27" t="s">
        <v>923</v>
      </c>
      <c r="D7386" s="26" t="s">
        <v>3663</v>
      </c>
      <c r="E7386" s="28">
        <v>46113.0</v>
      </c>
      <c r="F7386" s="28">
        <v>46171.0</v>
      </c>
      <c r="G7386" s="29"/>
    </row>
    <row r="7387" ht="15.75" customHeight="1">
      <c r="A7387" s="30" t="s">
        <v>11051</v>
      </c>
      <c r="B7387" s="31" t="s">
        <v>700</v>
      </c>
      <c r="C7387" s="31" t="s">
        <v>961</v>
      </c>
      <c r="D7387" s="30" t="s">
        <v>3663</v>
      </c>
      <c r="E7387" s="32">
        <v>46113.0</v>
      </c>
      <c r="F7387" s="32">
        <v>46171.0</v>
      </c>
      <c r="G7387" s="33"/>
    </row>
    <row r="7388" ht="15.75" customHeight="1">
      <c r="A7388" s="26" t="s">
        <v>11052</v>
      </c>
      <c r="B7388" s="27" t="s">
        <v>701</v>
      </c>
      <c r="C7388" s="27" t="s">
        <v>1240</v>
      </c>
      <c r="D7388" s="27" t="s">
        <v>3663</v>
      </c>
      <c r="E7388" s="28">
        <v>46113.0</v>
      </c>
      <c r="F7388" s="28">
        <v>46171.0</v>
      </c>
      <c r="G7388" s="29"/>
    </row>
    <row r="7389" ht="15.75" customHeight="1">
      <c r="A7389" s="30" t="s">
        <v>11053</v>
      </c>
      <c r="B7389" s="31" t="s">
        <v>701</v>
      </c>
      <c r="C7389" s="31" t="s">
        <v>1242</v>
      </c>
      <c r="D7389" s="31" t="s">
        <v>3663</v>
      </c>
      <c r="E7389" s="32">
        <v>46113.0</v>
      </c>
      <c r="F7389" s="32">
        <v>46171.0</v>
      </c>
      <c r="G7389" s="33"/>
    </row>
    <row r="7390" ht="15.75" customHeight="1">
      <c r="A7390" s="26" t="s">
        <v>11054</v>
      </c>
      <c r="B7390" s="27" t="s">
        <v>701</v>
      </c>
      <c r="C7390" s="27" t="s">
        <v>1244</v>
      </c>
      <c r="D7390" s="27" t="s">
        <v>3663</v>
      </c>
      <c r="E7390" s="28">
        <v>46113.0</v>
      </c>
      <c r="F7390" s="28">
        <v>46171.0</v>
      </c>
      <c r="G7390" s="29"/>
    </row>
    <row r="7391" ht="15.75" customHeight="1">
      <c r="A7391" s="30" t="s">
        <v>11055</v>
      </c>
      <c r="B7391" s="31" t="s">
        <v>701</v>
      </c>
      <c r="C7391" s="31" t="s">
        <v>1246</v>
      </c>
      <c r="D7391" s="31" t="s">
        <v>3663</v>
      </c>
      <c r="E7391" s="32">
        <v>46113.0</v>
      </c>
      <c r="F7391" s="32">
        <v>46171.0</v>
      </c>
      <c r="G7391" s="33"/>
    </row>
    <row r="7392" ht="15.75" customHeight="1">
      <c r="A7392" s="26" t="s">
        <v>11056</v>
      </c>
      <c r="B7392" s="27" t="s">
        <v>701</v>
      </c>
      <c r="C7392" s="27" t="s">
        <v>934</v>
      </c>
      <c r="D7392" s="27" t="s">
        <v>3663</v>
      </c>
      <c r="E7392" s="28">
        <v>46113.0</v>
      </c>
      <c r="F7392" s="28">
        <v>46171.0</v>
      </c>
      <c r="G7392" s="29"/>
    </row>
    <row r="7393" ht="15.75" customHeight="1">
      <c r="A7393" s="30" t="s">
        <v>11057</v>
      </c>
      <c r="B7393" s="31" t="s">
        <v>701</v>
      </c>
      <c r="C7393" s="31" t="s">
        <v>3640</v>
      </c>
      <c r="D7393" s="30" t="s">
        <v>3663</v>
      </c>
      <c r="E7393" s="32">
        <v>46113.0</v>
      </c>
      <c r="F7393" s="32">
        <v>46171.0</v>
      </c>
      <c r="G7393" s="33"/>
    </row>
    <row r="7394" ht="15.75" customHeight="1">
      <c r="A7394" s="26" t="s">
        <v>11058</v>
      </c>
      <c r="B7394" s="27" t="s">
        <v>701</v>
      </c>
      <c r="C7394" s="27" t="s">
        <v>1323</v>
      </c>
      <c r="D7394" s="26" t="s">
        <v>3663</v>
      </c>
      <c r="E7394" s="28">
        <v>46113.0</v>
      </c>
      <c r="F7394" s="28">
        <v>46171.0</v>
      </c>
      <c r="G7394" s="29"/>
    </row>
    <row r="7395" ht="15.75" customHeight="1">
      <c r="A7395" s="30" t="s">
        <v>11059</v>
      </c>
      <c r="B7395" s="31" t="s">
        <v>701</v>
      </c>
      <c r="C7395" s="31" t="s">
        <v>1354</v>
      </c>
      <c r="D7395" s="30" t="s">
        <v>3663</v>
      </c>
      <c r="E7395" s="32">
        <v>46113.0</v>
      </c>
      <c r="F7395" s="32">
        <v>46171.0</v>
      </c>
      <c r="G7395" s="33"/>
    </row>
    <row r="7396" ht="15.75" customHeight="1">
      <c r="A7396" s="26" t="s">
        <v>11060</v>
      </c>
      <c r="B7396" s="27" t="s">
        <v>701</v>
      </c>
      <c r="C7396" s="27" t="s">
        <v>3656</v>
      </c>
      <c r="D7396" s="26" t="s">
        <v>3663</v>
      </c>
      <c r="E7396" s="28">
        <v>46113.0</v>
      </c>
      <c r="F7396" s="28">
        <v>46171.0</v>
      </c>
      <c r="G7396" s="29"/>
    </row>
    <row r="7397" ht="15.75" customHeight="1">
      <c r="A7397" s="30" t="s">
        <v>11061</v>
      </c>
      <c r="B7397" s="31" t="s">
        <v>701</v>
      </c>
      <c r="C7397" s="31" t="s">
        <v>3657</v>
      </c>
      <c r="D7397" s="30" t="s">
        <v>3663</v>
      </c>
      <c r="E7397" s="32">
        <v>46113.0</v>
      </c>
      <c r="F7397" s="32">
        <v>46171.0</v>
      </c>
      <c r="G7397" s="33"/>
    </row>
    <row r="7398" ht="15.75" customHeight="1">
      <c r="A7398" s="26" t="s">
        <v>11062</v>
      </c>
      <c r="B7398" s="27" t="s">
        <v>701</v>
      </c>
      <c r="C7398" s="27" t="s">
        <v>1351</v>
      </c>
      <c r="D7398" s="26" t="s">
        <v>3663</v>
      </c>
      <c r="E7398" s="28">
        <v>46113.0</v>
      </c>
      <c r="F7398" s="28">
        <v>46171.0</v>
      </c>
      <c r="G7398" s="29"/>
    </row>
    <row r="7399" ht="15.75" customHeight="1">
      <c r="A7399" s="30" t="s">
        <v>11063</v>
      </c>
      <c r="B7399" s="31" t="s">
        <v>701</v>
      </c>
      <c r="C7399" s="31" t="s">
        <v>1349</v>
      </c>
      <c r="D7399" s="30" t="s">
        <v>3663</v>
      </c>
      <c r="E7399" s="32">
        <v>46113.0</v>
      </c>
      <c r="F7399" s="32">
        <v>46171.0</v>
      </c>
      <c r="G7399" s="33"/>
    </row>
    <row r="7400" ht="15.75" customHeight="1">
      <c r="A7400" s="26" t="s">
        <v>11064</v>
      </c>
      <c r="B7400" s="27" t="s">
        <v>701</v>
      </c>
      <c r="C7400" s="27" t="s">
        <v>968</v>
      </c>
      <c r="D7400" s="26" t="s">
        <v>3663</v>
      </c>
      <c r="E7400" s="28">
        <v>46113.0</v>
      </c>
      <c r="F7400" s="28">
        <v>46171.0</v>
      </c>
      <c r="G7400" s="29"/>
    </row>
    <row r="7401" ht="15.75" customHeight="1">
      <c r="A7401" s="30" t="s">
        <v>11065</v>
      </c>
      <c r="B7401" s="31" t="s">
        <v>701</v>
      </c>
      <c r="C7401" s="31" t="s">
        <v>923</v>
      </c>
      <c r="D7401" s="31" t="s">
        <v>3663</v>
      </c>
      <c r="E7401" s="32">
        <v>46113.0</v>
      </c>
      <c r="F7401" s="32">
        <v>46171.0</v>
      </c>
      <c r="G7401" s="33"/>
    </row>
    <row r="7402" ht="15.75" customHeight="1">
      <c r="A7402" s="26" t="s">
        <v>11066</v>
      </c>
      <c r="B7402" s="27" t="s">
        <v>2794</v>
      </c>
      <c r="C7402" s="27" t="s">
        <v>3638</v>
      </c>
      <c r="D7402" s="26" t="s">
        <v>3663</v>
      </c>
      <c r="E7402" s="28">
        <v>46113.0</v>
      </c>
      <c r="F7402" s="28">
        <v>46171.0</v>
      </c>
      <c r="G7402" s="29"/>
    </row>
    <row r="7403" ht="15.75" customHeight="1">
      <c r="A7403" s="30" t="s">
        <v>11067</v>
      </c>
      <c r="B7403" s="31" t="s">
        <v>2794</v>
      </c>
      <c r="C7403" s="31" t="s">
        <v>930</v>
      </c>
      <c r="D7403" s="30" t="s">
        <v>3663</v>
      </c>
      <c r="E7403" s="32">
        <v>46113.0</v>
      </c>
      <c r="F7403" s="32">
        <v>46171.0</v>
      </c>
      <c r="G7403" s="33"/>
    </row>
    <row r="7404" ht="15.75" customHeight="1">
      <c r="A7404" s="26" t="s">
        <v>11068</v>
      </c>
      <c r="B7404" s="27" t="s">
        <v>2794</v>
      </c>
      <c r="C7404" s="27" t="s">
        <v>1354</v>
      </c>
      <c r="D7404" s="26" t="s">
        <v>3663</v>
      </c>
      <c r="E7404" s="28">
        <v>46113.0</v>
      </c>
      <c r="F7404" s="28">
        <v>46171.0</v>
      </c>
      <c r="G7404" s="29"/>
    </row>
    <row r="7405" ht="15.75" customHeight="1">
      <c r="A7405" s="30" t="s">
        <v>11069</v>
      </c>
      <c r="B7405" s="31" t="s">
        <v>2794</v>
      </c>
      <c r="C7405" s="31" t="s">
        <v>1190</v>
      </c>
      <c r="D7405" s="30" t="s">
        <v>3663</v>
      </c>
      <c r="E7405" s="32">
        <v>46113.0</v>
      </c>
      <c r="F7405" s="32">
        <v>46171.0</v>
      </c>
      <c r="G7405" s="33"/>
    </row>
    <row r="7406" ht="15.75" customHeight="1">
      <c r="A7406" s="26" t="s">
        <v>11070</v>
      </c>
      <c r="B7406" s="27" t="s">
        <v>2794</v>
      </c>
      <c r="C7406" s="27" t="s">
        <v>3647</v>
      </c>
      <c r="D7406" s="26" t="s">
        <v>3663</v>
      </c>
      <c r="E7406" s="28">
        <v>46113.0</v>
      </c>
      <c r="F7406" s="28">
        <v>46171.0</v>
      </c>
      <c r="G7406" s="29"/>
    </row>
    <row r="7407" ht="15.75" customHeight="1">
      <c r="A7407" s="30" t="s">
        <v>11071</v>
      </c>
      <c r="B7407" s="31" t="s">
        <v>2794</v>
      </c>
      <c r="C7407" s="31" t="s">
        <v>952</v>
      </c>
      <c r="D7407" s="30" t="s">
        <v>3663</v>
      </c>
      <c r="E7407" s="32">
        <v>46113.0</v>
      </c>
      <c r="F7407" s="32">
        <v>46171.0</v>
      </c>
      <c r="G7407" s="33"/>
    </row>
    <row r="7408" ht="15.75" customHeight="1">
      <c r="A7408" s="26" t="s">
        <v>11072</v>
      </c>
      <c r="B7408" s="27" t="s">
        <v>2794</v>
      </c>
      <c r="C7408" s="27" t="s">
        <v>1157</v>
      </c>
      <c r="D7408" s="26" t="s">
        <v>3663</v>
      </c>
      <c r="E7408" s="28">
        <v>46113.0</v>
      </c>
      <c r="F7408" s="28">
        <v>46171.0</v>
      </c>
      <c r="G7408" s="29"/>
    </row>
    <row r="7409" ht="15.75" customHeight="1">
      <c r="A7409" s="30" t="s">
        <v>11073</v>
      </c>
      <c r="B7409" s="31" t="s">
        <v>2794</v>
      </c>
      <c r="C7409" s="31" t="s">
        <v>1155</v>
      </c>
      <c r="D7409" s="30" t="s">
        <v>3663</v>
      </c>
      <c r="E7409" s="32">
        <v>46113.0</v>
      </c>
      <c r="F7409" s="32">
        <v>46171.0</v>
      </c>
      <c r="G7409" s="33"/>
    </row>
    <row r="7410" ht="15.75" customHeight="1">
      <c r="A7410" s="26" t="s">
        <v>11074</v>
      </c>
      <c r="B7410" s="27" t="s">
        <v>2794</v>
      </c>
      <c r="C7410" s="27" t="s">
        <v>1153</v>
      </c>
      <c r="D7410" s="26" t="s">
        <v>3663</v>
      </c>
      <c r="E7410" s="28">
        <v>46113.0</v>
      </c>
      <c r="F7410" s="28">
        <v>46171.0</v>
      </c>
      <c r="G7410" s="29"/>
    </row>
    <row r="7411" ht="15.75" customHeight="1">
      <c r="A7411" s="30" t="s">
        <v>11075</v>
      </c>
      <c r="B7411" s="31" t="s">
        <v>2794</v>
      </c>
      <c r="C7411" s="31" t="s">
        <v>1149</v>
      </c>
      <c r="D7411" s="30" t="s">
        <v>3663</v>
      </c>
      <c r="E7411" s="32">
        <v>46113.0</v>
      </c>
      <c r="F7411" s="32">
        <v>46171.0</v>
      </c>
      <c r="G7411" s="33"/>
    </row>
    <row r="7412" ht="15.75" customHeight="1">
      <c r="A7412" s="26" t="s">
        <v>11076</v>
      </c>
      <c r="B7412" s="27" t="s">
        <v>2794</v>
      </c>
      <c r="C7412" s="27" t="s">
        <v>3653</v>
      </c>
      <c r="D7412" s="26" t="s">
        <v>3663</v>
      </c>
      <c r="E7412" s="28">
        <v>46113.0</v>
      </c>
      <c r="F7412" s="28">
        <v>46171.0</v>
      </c>
      <c r="G7412" s="29"/>
    </row>
    <row r="7413" ht="15.75" customHeight="1">
      <c r="A7413" s="30" t="s">
        <v>11077</v>
      </c>
      <c r="B7413" s="31" t="s">
        <v>2794</v>
      </c>
      <c r="C7413" s="31" t="s">
        <v>3652</v>
      </c>
      <c r="D7413" s="31" t="s">
        <v>3663</v>
      </c>
      <c r="E7413" s="32">
        <v>46113.0</v>
      </c>
      <c r="F7413" s="32">
        <v>46171.0</v>
      </c>
      <c r="G7413" s="33"/>
    </row>
    <row r="7414" ht="15.75" customHeight="1">
      <c r="A7414" s="26" t="s">
        <v>11078</v>
      </c>
      <c r="B7414" s="27" t="s">
        <v>2794</v>
      </c>
      <c r="C7414" s="27" t="s">
        <v>965</v>
      </c>
      <c r="D7414" s="26" t="s">
        <v>3663</v>
      </c>
      <c r="E7414" s="28">
        <v>46113.0</v>
      </c>
      <c r="F7414" s="28">
        <v>46171.0</v>
      </c>
      <c r="G7414" s="29"/>
    </row>
    <row r="7415" ht="15.75" customHeight="1">
      <c r="A7415" s="30" t="s">
        <v>11079</v>
      </c>
      <c r="B7415" s="31" t="s">
        <v>2794</v>
      </c>
      <c r="C7415" s="31" t="s">
        <v>923</v>
      </c>
      <c r="D7415" s="30" t="s">
        <v>3663</v>
      </c>
      <c r="E7415" s="32">
        <v>46113.0</v>
      </c>
      <c r="F7415" s="32">
        <v>46171.0</v>
      </c>
      <c r="G7415" s="33"/>
    </row>
    <row r="7416" ht="15.75" customHeight="1">
      <c r="A7416" s="26" t="s">
        <v>11080</v>
      </c>
      <c r="B7416" s="27" t="s">
        <v>703</v>
      </c>
      <c r="C7416" s="27" t="s">
        <v>1240</v>
      </c>
      <c r="D7416" s="26" t="s">
        <v>3663</v>
      </c>
      <c r="E7416" s="28">
        <v>46113.0</v>
      </c>
      <c r="F7416" s="28">
        <v>46171.0</v>
      </c>
      <c r="G7416" s="29"/>
    </row>
    <row r="7417" ht="15.75" customHeight="1">
      <c r="A7417" s="30" t="s">
        <v>11081</v>
      </c>
      <c r="B7417" s="31" t="s">
        <v>703</v>
      </c>
      <c r="C7417" s="31" t="s">
        <v>1242</v>
      </c>
      <c r="D7417" s="30" t="s">
        <v>3663</v>
      </c>
      <c r="E7417" s="32">
        <v>46113.0</v>
      </c>
      <c r="F7417" s="32">
        <v>46171.0</v>
      </c>
      <c r="G7417" s="33"/>
    </row>
    <row r="7418" ht="15.75" customHeight="1">
      <c r="A7418" s="26" t="s">
        <v>11082</v>
      </c>
      <c r="B7418" s="27" t="s">
        <v>703</v>
      </c>
      <c r="C7418" s="27" t="s">
        <v>1244</v>
      </c>
      <c r="D7418" s="26" t="s">
        <v>3663</v>
      </c>
      <c r="E7418" s="28">
        <v>46113.0</v>
      </c>
      <c r="F7418" s="28">
        <v>46171.0</v>
      </c>
      <c r="G7418" s="29"/>
    </row>
    <row r="7419" ht="15.75" customHeight="1">
      <c r="A7419" s="30" t="s">
        <v>11083</v>
      </c>
      <c r="B7419" s="31" t="s">
        <v>703</v>
      </c>
      <c r="C7419" s="31" t="s">
        <v>1246</v>
      </c>
      <c r="D7419" s="30" t="s">
        <v>3663</v>
      </c>
      <c r="E7419" s="32">
        <v>46113.0</v>
      </c>
      <c r="F7419" s="32">
        <v>46171.0</v>
      </c>
      <c r="G7419" s="33"/>
    </row>
    <row r="7420" ht="15.75" customHeight="1">
      <c r="A7420" s="26" t="s">
        <v>11084</v>
      </c>
      <c r="B7420" s="27" t="s">
        <v>703</v>
      </c>
      <c r="C7420" s="27" t="s">
        <v>3654</v>
      </c>
      <c r="D7420" s="26" t="s">
        <v>3663</v>
      </c>
      <c r="E7420" s="28">
        <v>46113.0</v>
      </c>
      <c r="F7420" s="28">
        <v>46171.0</v>
      </c>
      <c r="G7420" s="29"/>
    </row>
    <row r="7421" ht="15.75" customHeight="1">
      <c r="A7421" s="30" t="s">
        <v>11085</v>
      </c>
      <c r="B7421" s="31" t="s">
        <v>703</v>
      </c>
      <c r="C7421" s="31" t="s">
        <v>3655</v>
      </c>
      <c r="D7421" s="30" t="s">
        <v>3663</v>
      </c>
      <c r="E7421" s="32">
        <v>46113.0</v>
      </c>
      <c r="F7421" s="32">
        <v>46171.0</v>
      </c>
      <c r="G7421" s="33"/>
    </row>
    <row r="7422" ht="15.75" customHeight="1">
      <c r="A7422" s="26" t="s">
        <v>11086</v>
      </c>
      <c r="B7422" s="27" t="s">
        <v>703</v>
      </c>
      <c r="C7422" s="27" t="s">
        <v>928</v>
      </c>
      <c r="D7422" s="26" t="s">
        <v>3663</v>
      </c>
      <c r="E7422" s="28">
        <v>46113.0</v>
      </c>
      <c r="F7422" s="28">
        <v>46171.0</v>
      </c>
      <c r="G7422" s="29"/>
    </row>
    <row r="7423" ht="15.75" customHeight="1">
      <c r="A7423" s="30" t="s">
        <v>11087</v>
      </c>
      <c r="B7423" s="31" t="s">
        <v>703</v>
      </c>
      <c r="C7423" s="31" t="s">
        <v>3640</v>
      </c>
      <c r="D7423" s="30" t="s">
        <v>3663</v>
      </c>
      <c r="E7423" s="32">
        <v>46113.0</v>
      </c>
      <c r="F7423" s="32">
        <v>46171.0</v>
      </c>
      <c r="G7423" s="33"/>
    </row>
    <row r="7424" ht="15.75" customHeight="1">
      <c r="A7424" s="26" t="s">
        <v>11088</v>
      </c>
      <c r="B7424" s="27" t="s">
        <v>703</v>
      </c>
      <c r="C7424" s="27" t="s">
        <v>1354</v>
      </c>
      <c r="D7424" s="26" t="s">
        <v>3663</v>
      </c>
      <c r="E7424" s="28">
        <v>46113.0</v>
      </c>
      <c r="F7424" s="28">
        <v>46171.0</v>
      </c>
      <c r="G7424" s="29"/>
    </row>
    <row r="7425" ht="15.75" customHeight="1">
      <c r="A7425" s="30" t="s">
        <v>11089</v>
      </c>
      <c r="B7425" s="31" t="s">
        <v>703</v>
      </c>
      <c r="C7425" s="31" t="s">
        <v>1218</v>
      </c>
      <c r="D7425" s="30" t="s">
        <v>3663</v>
      </c>
      <c r="E7425" s="32">
        <v>46113.0</v>
      </c>
      <c r="F7425" s="32">
        <v>46171.0</v>
      </c>
      <c r="G7425" s="33"/>
    </row>
    <row r="7426" ht="15.75" customHeight="1">
      <c r="A7426" s="26" t="s">
        <v>11090</v>
      </c>
      <c r="B7426" s="27" t="s">
        <v>703</v>
      </c>
      <c r="C7426" s="27" t="s">
        <v>1351</v>
      </c>
      <c r="D7426" s="26" t="s">
        <v>3663</v>
      </c>
      <c r="E7426" s="28">
        <v>46113.0</v>
      </c>
      <c r="F7426" s="28">
        <v>46171.0</v>
      </c>
      <c r="G7426" s="29"/>
    </row>
    <row r="7427" ht="15.75" customHeight="1">
      <c r="A7427" s="30" t="s">
        <v>11091</v>
      </c>
      <c r="B7427" s="31" t="s">
        <v>703</v>
      </c>
      <c r="C7427" s="31" t="s">
        <v>1349</v>
      </c>
      <c r="D7427" s="30" t="s">
        <v>3663</v>
      </c>
      <c r="E7427" s="32">
        <v>46113.0</v>
      </c>
      <c r="F7427" s="32">
        <v>46171.0</v>
      </c>
      <c r="G7427" s="33"/>
    </row>
    <row r="7428" ht="15.75" customHeight="1">
      <c r="A7428" s="26" t="s">
        <v>11092</v>
      </c>
      <c r="B7428" s="27" t="s">
        <v>703</v>
      </c>
      <c r="C7428" s="27" t="s">
        <v>965</v>
      </c>
      <c r="D7428" s="26" t="s">
        <v>3663</v>
      </c>
      <c r="E7428" s="28">
        <v>46113.0</v>
      </c>
      <c r="F7428" s="28">
        <v>46171.0</v>
      </c>
      <c r="G7428" s="29"/>
    </row>
    <row r="7429" ht="15.75" customHeight="1">
      <c r="A7429" s="30" t="s">
        <v>11093</v>
      </c>
      <c r="B7429" s="31" t="s">
        <v>703</v>
      </c>
      <c r="C7429" s="31" t="s">
        <v>923</v>
      </c>
      <c r="D7429" s="30" t="s">
        <v>3663</v>
      </c>
      <c r="E7429" s="32">
        <v>46113.0</v>
      </c>
      <c r="F7429" s="32">
        <v>46171.0</v>
      </c>
      <c r="G7429" s="33"/>
    </row>
    <row r="7430" ht="15.75" customHeight="1">
      <c r="A7430" s="26" t="s">
        <v>11094</v>
      </c>
      <c r="B7430" s="27" t="s">
        <v>704</v>
      </c>
      <c r="C7430" s="27" t="s">
        <v>3654</v>
      </c>
      <c r="D7430" s="26" t="s">
        <v>3663</v>
      </c>
      <c r="E7430" s="28">
        <v>46113.0</v>
      </c>
      <c r="F7430" s="28">
        <v>46171.0</v>
      </c>
      <c r="G7430" s="29"/>
    </row>
    <row r="7431" ht="15.75" customHeight="1">
      <c r="A7431" s="30" t="s">
        <v>11095</v>
      </c>
      <c r="B7431" s="31" t="s">
        <v>704</v>
      </c>
      <c r="C7431" s="31" t="s">
        <v>3655</v>
      </c>
      <c r="D7431" s="30" t="s">
        <v>3663</v>
      </c>
      <c r="E7431" s="32">
        <v>46113.0</v>
      </c>
      <c r="F7431" s="32">
        <v>46171.0</v>
      </c>
      <c r="G7431" s="33"/>
    </row>
    <row r="7432" ht="15.75" customHeight="1">
      <c r="A7432" s="26" t="s">
        <v>11096</v>
      </c>
      <c r="B7432" s="27" t="s">
        <v>704</v>
      </c>
      <c r="C7432" s="27" t="s">
        <v>930</v>
      </c>
      <c r="D7432" s="26" t="s">
        <v>3663</v>
      </c>
      <c r="E7432" s="28">
        <v>46113.0</v>
      </c>
      <c r="F7432" s="28">
        <v>46171.0</v>
      </c>
      <c r="G7432" s="29"/>
    </row>
    <row r="7433" ht="15.75" customHeight="1">
      <c r="A7433" s="30" t="s">
        <v>11097</v>
      </c>
      <c r="B7433" s="31" t="s">
        <v>704</v>
      </c>
      <c r="C7433" s="31" t="s">
        <v>1354</v>
      </c>
      <c r="D7433" s="30" t="s">
        <v>3663</v>
      </c>
      <c r="E7433" s="32">
        <v>46113.0</v>
      </c>
      <c r="F7433" s="32">
        <v>46171.0</v>
      </c>
      <c r="G7433" s="33"/>
    </row>
    <row r="7434" ht="15.75" customHeight="1">
      <c r="A7434" s="26" t="s">
        <v>11098</v>
      </c>
      <c r="B7434" s="27" t="s">
        <v>704</v>
      </c>
      <c r="C7434" s="27" t="s">
        <v>3641</v>
      </c>
      <c r="D7434" s="26" t="s">
        <v>3663</v>
      </c>
      <c r="E7434" s="28">
        <v>46113.0</v>
      </c>
      <c r="F7434" s="28">
        <v>46171.0</v>
      </c>
      <c r="G7434" s="29"/>
    </row>
    <row r="7435" ht="15.75" customHeight="1">
      <c r="A7435" s="30" t="s">
        <v>11099</v>
      </c>
      <c r="B7435" s="31" t="s">
        <v>704</v>
      </c>
      <c r="C7435" s="31" t="s">
        <v>1304</v>
      </c>
      <c r="D7435" s="30" t="s">
        <v>3663</v>
      </c>
      <c r="E7435" s="32">
        <v>46113.0</v>
      </c>
      <c r="F7435" s="32">
        <v>46171.0</v>
      </c>
      <c r="G7435" s="33"/>
    </row>
    <row r="7436" ht="15.75" customHeight="1">
      <c r="A7436" s="26" t="s">
        <v>11100</v>
      </c>
      <c r="B7436" s="27" t="s">
        <v>704</v>
      </c>
      <c r="C7436" s="27" t="s">
        <v>3642</v>
      </c>
      <c r="D7436" s="26" t="s">
        <v>3663</v>
      </c>
      <c r="E7436" s="28">
        <v>46113.0</v>
      </c>
      <c r="F7436" s="28">
        <v>46171.0</v>
      </c>
      <c r="G7436" s="29"/>
    </row>
    <row r="7437" ht="15.75" customHeight="1">
      <c r="A7437" s="30" t="s">
        <v>11101</v>
      </c>
      <c r="B7437" s="31" t="s">
        <v>704</v>
      </c>
      <c r="C7437" s="31" t="s">
        <v>1308</v>
      </c>
      <c r="D7437" s="30" t="s">
        <v>3663</v>
      </c>
      <c r="E7437" s="32">
        <v>46113.0</v>
      </c>
      <c r="F7437" s="32">
        <v>46171.0</v>
      </c>
      <c r="G7437" s="33"/>
    </row>
    <row r="7438" ht="15.75" customHeight="1">
      <c r="A7438" s="26" t="s">
        <v>11102</v>
      </c>
      <c r="B7438" s="27" t="s">
        <v>704</v>
      </c>
      <c r="C7438" s="27" t="s">
        <v>3605</v>
      </c>
      <c r="D7438" s="26" t="s">
        <v>3663</v>
      </c>
      <c r="E7438" s="28">
        <v>46113.0</v>
      </c>
      <c r="F7438" s="28">
        <v>46171.0</v>
      </c>
      <c r="G7438" s="29"/>
    </row>
    <row r="7439" ht="15.75" customHeight="1">
      <c r="A7439" s="30" t="s">
        <v>11103</v>
      </c>
      <c r="B7439" s="31" t="s">
        <v>704</v>
      </c>
      <c r="C7439" s="31" t="s">
        <v>3647</v>
      </c>
      <c r="D7439" s="30" t="s">
        <v>3663</v>
      </c>
      <c r="E7439" s="32">
        <v>46113.0</v>
      </c>
      <c r="F7439" s="32">
        <v>46171.0</v>
      </c>
      <c r="G7439" s="33"/>
    </row>
    <row r="7440" ht="15.75" customHeight="1">
      <c r="A7440" s="26" t="s">
        <v>11104</v>
      </c>
      <c r="B7440" s="27" t="s">
        <v>704</v>
      </c>
      <c r="C7440" s="27" t="s">
        <v>952</v>
      </c>
      <c r="D7440" s="26" t="s">
        <v>3663</v>
      </c>
      <c r="E7440" s="28">
        <v>46113.0</v>
      </c>
      <c r="F7440" s="28">
        <v>46171.0</v>
      </c>
      <c r="G7440" s="29"/>
    </row>
    <row r="7441" ht="15.75" customHeight="1">
      <c r="A7441" s="30" t="s">
        <v>11105</v>
      </c>
      <c r="B7441" s="31" t="s">
        <v>704</v>
      </c>
      <c r="C7441" s="31" t="s">
        <v>968</v>
      </c>
      <c r="D7441" s="30" t="s">
        <v>3663</v>
      </c>
      <c r="E7441" s="32">
        <v>46113.0</v>
      </c>
      <c r="F7441" s="32">
        <v>46171.0</v>
      </c>
      <c r="G7441" s="33"/>
    </row>
    <row r="7442" ht="15.75" customHeight="1">
      <c r="A7442" s="26" t="s">
        <v>11106</v>
      </c>
      <c r="B7442" s="27" t="s">
        <v>704</v>
      </c>
      <c r="C7442" s="27" t="s">
        <v>923</v>
      </c>
      <c r="D7442" s="26" t="s">
        <v>3663</v>
      </c>
      <c r="E7442" s="28">
        <v>46113.0</v>
      </c>
      <c r="F7442" s="28">
        <v>46171.0</v>
      </c>
      <c r="G7442" s="29"/>
    </row>
    <row r="7443" ht="15.75" customHeight="1">
      <c r="A7443" s="30" t="s">
        <v>11107</v>
      </c>
      <c r="B7443" s="31" t="s">
        <v>704</v>
      </c>
      <c r="C7443" s="31" t="s">
        <v>961</v>
      </c>
      <c r="D7443" s="30" t="s">
        <v>3663</v>
      </c>
      <c r="E7443" s="32">
        <v>46113.0</v>
      </c>
      <c r="F7443" s="32">
        <v>46171.0</v>
      </c>
      <c r="G7443" s="33"/>
    </row>
    <row r="7444" ht="15.75" customHeight="1">
      <c r="A7444" s="26" t="s">
        <v>11108</v>
      </c>
      <c r="B7444" s="27" t="s">
        <v>705</v>
      </c>
      <c r="C7444" s="27" t="s">
        <v>928</v>
      </c>
      <c r="D7444" s="26" t="s">
        <v>3663</v>
      </c>
      <c r="E7444" s="28">
        <v>46113.0</v>
      </c>
      <c r="F7444" s="28">
        <v>46171.0</v>
      </c>
      <c r="G7444" s="29"/>
    </row>
    <row r="7445" ht="15.75" customHeight="1">
      <c r="A7445" s="30" t="s">
        <v>11109</v>
      </c>
      <c r="B7445" s="31" t="s">
        <v>705</v>
      </c>
      <c r="C7445" s="31" t="s">
        <v>1354</v>
      </c>
      <c r="D7445" s="30" t="s">
        <v>3663</v>
      </c>
      <c r="E7445" s="32">
        <v>46113.0</v>
      </c>
      <c r="F7445" s="32">
        <v>46171.0</v>
      </c>
      <c r="G7445" s="33"/>
    </row>
    <row r="7446" ht="15.75" customHeight="1">
      <c r="A7446" s="26" t="s">
        <v>11110</v>
      </c>
      <c r="B7446" s="27" t="s">
        <v>705</v>
      </c>
      <c r="C7446" s="27" t="s">
        <v>1222</v>
      </c>
      <c r="D7446" s="26" t="s">
        <v>3663</v>
      </c>
      <c r="E7446" s="28">
        <v>46113.0</v>
      </c>
      <c r="F7446" s="28">
        <v>46171.0</v>
      </c>
      <c r="G7446" s="29"/>
    </row>
    <row r="7447" ht="15.75" customHeight="1">
      <c r="A7447" s="30" t="s">
        <v>11111</v>
      </c>
      <c r="B7447" s="31" t="s">
        <v>705</v>
      </c>
      <c r="C7447" s="31" t="s">
        <v>1224</v>
      </c>
      <c r="D7447" s="30" t="s">
        <v>3663</v>
      </c>
      <c r="E7447" s="32">
        <v>46113.0</v>
      </c>
      <c r="F7447" s="32">
        <v>46171.0</v>
      </c>
      <c r="G7447" s="33"/>
    </row>
    <row r="7448" ht="15.75" customHeight="1">
      <c r="A7448" s="26" t="s">
        <v>11112</v>
      </c>
      <c r="B7448" s="27" t="s">
        <v>705</v>
      </c>
      <c r="C7448" s="27" t="s">
        <v>1226</v>
      </c>
      <c r="D7448" s="26" t="s">
        <v>3663</v>
      </c>
      <c r="E7448" s="28">
        <v>46113.0</v>
      </c>
      <c r="F7448" s="28">
        <v>46171.0</v>
      </c>
      <c r="G7448" s="29"/>
    </row>
    <row r="7449" ht="15.75" customHeight="1">
      <c r="A7449" s="30" t="s">
        <v>11113</v>
      </c>
      <c r="B7449" s="31" t="s">
        <v>705</v>
      </c>
      <c r="C7449" s="31" t="s">
        <v>1228</v>
      </c>
      <c r="D7449" s="30" t="s">
        <v>3663</v>
      </c>
      <c r="E7449" s="32">
        <v>46113.0</v>
      </c>
      <c r="F7449" s="32">
        <v>46171.0</v>
      </c>
      <c r="G7449" s="33"/>
    </row>
    <row r="7450" ht="15.75" customHeight="1">
      <c r="A7450" s="26" t="s">
        <v>11114</v>
      </c>
      <c r="B7450" s="27" t="s">
        <v>705</v>
      </c>
      <c r="C7450" s="27" t="s">
        <v>1159</v>
      </c>
      <c r="D7450" s="26" t="s">
        <v>3663</v>
      </c>
      <c r="E7450" s="28">
        <v>46113.0</v>
      </c>
      <c r="F7450" s="28">
        <v>46171.0</v>
      </c>
      <c r="G7450" s="29"/>
    </row>
    <row r="7451" ht="15.75" customHeight="1">
      <c r="A7451" s="30" t="s">
        <v>11115</v>
      </c>
      <c r="B7451" s="31" t="s">
        <v>705</v>
      </c>
      <c r="C7451" s="31" t="s">
        <v>1216</v>
      </c>
      <c r="D7451" s="30" t="s">
        <v>3663</v>
      </c>
      <c r="E7451" s="32">
        <v>46113.0</v>
      </c>
      <c r="F7451" s="32">
        <v>46171.0</v>
      </c>
      <c r="G7451" s="33"/>
    </row>
    <row r="7452" ht="15.75" customHeight="1">
      <c r="A7452" s="26" t="s">
        <v>11116</v>
      </c>
      <c r="B7452" s="27" t="s">
        <v>705</v>
      </c>
      <c r="C7452" s="27" t="s">
        <v>1351</v>
      </c>
      <c r="D7452" s="26" t="s">
        <v>3663</v>
      </c>
      <c r="E7452" s="28">
        <v>46113.0</v>
      </c>
      <c r="F7452" s="28">
        <v>46171.0</v>
      </c>
      <c r="G7452" s="29"/>
    </row>
    <row r="7453" ht="15.75" customHeight="1">
      <c r="A7453" s="30" t="s">
        <v>11117</v>
      </c>
      <c r="B7453" s="31" t="s">
        <v>705</v>
      </c>
      <c r="C7453" s="31" t="s">
        <v>1349</v>
      </c>
      <c r="D7453" s="30" t="s">
        <v>3663</v>
      </c>
      <c r="E7453" s="32">
        <v>46113.0</v>
      </c>
      <c r="F7453" s="32">
        <v>46171.0</v>
      </c>
      <c r="G7453" s="33"/>
    </row>
    <row r="7454" ht="15.75" customHeight="1">
      <c r="A7454" s="26" t="s">
        <v>11118</v>
      </c>
      <c r="B7454" s="27" t="s">
        <v>705</v>
      </c>
      <c r="C7454" s="27" t="s">
        <v>3653</v>
      </c>
      <c r="D7454" s="27" t="s">
        <v>3663</v>
      </c>
      <c r="E7454" s="28">
        <v>46113.0</v>
      </c>
      <c r="F7454" s="28">
        <v>46171.0</v>
      </c>
      <c r="G7454" s="29"/>
    </row>
    <row r="7455" ht="15.75" customHeight="1">
      <c r="A7455" s="30" t="s">
        <v>11119</v>
      </c>
      <c r="B7455" s="31" t="s">
        <v>705</v>
      </c>
      <c r="C7455" s="31" t="s">
        <v>3652</v>
      </c>
      <c r="D7455" s="30" t="s">
        <v>3663</v>
      </c>
      <c r="E7455" s="32">
        <v>46113.0</v>
      </c>
      <c r="F7455" s="32">
        <v>46171.0</v>
      </c>
      <c r="G7455" s="33"/>
    </row>
    <row r="7456" ht="15.75" customHeight="1">
      <c r="A7456" s="26" t="s">
        <v>11120</v>
      </c>
      <c r="B7456" s="27" t="s">
        <v>705</v>
      </c>
      <c r="C7456" s="27" t="s">
        <v>968</v>
      </c>
      <c r="D7456" s="26" t="s">
        <v>3663</v>
      </c>
      <c r="E7456" s="28">
        <v>46113.0</v>
      </c>
      <c r="F7456" s="28">
        <v>46171.0</v>
      </c>
      <c r="G7456" s="29"/>
    </row>
    <row r="7457" ht="15.75" customHeight="1">
      <c r="A7457" s="30" t="s">
        <v>11121</v>
      </c>
      <c r="B7457" s="31" t="s">
        <v>705</v>
      </c>
      <c r="C7457" s="31" t="s">
        <v>923</v>
      </c>
      <c r="D7457" s="30" t="s">
        <v>3663</v>
      </c>
      <c r="E7457" s="32">
        <v>46113.0</v>
      </c>
      <c r="F7457" s="32">
        <v>46171.0</v>
      </c>
      <c r="G7457" s="33"/>
    </row>
    <row r="7458" ht="15.75" customHeight="1">
      <c r="A7458" s="26" t="s">
        <v>11122</v>
      </c>
      <c r="B7458" s="27" t="s">
        <v>706</v>
      </c>
      <c r="C7458" s="27" t="s">
        <v>1240</v>
      </c>
      <c r="D7458" s="26" t="s">
        <v>3663</v>
      </c>
      <c r="E7458" s="28">
        <v>46113.0</v>
      </c>
      <c r="F7458" s="28">
        <v>46171.0</v>
      </c>
      <c r="G7458" s="29"/>
    </row>
    <row r="7459" ht="15.75" customHeight="1">
      <c r="A7459" s="30" t="s">
        <v>11123</v>
      </c>
      <c r="B7459" s="31" t="s">
        <v>706</v>
      </c>
      <c r="C7459" s="31" t="s">
        <v>1242</v>
      </c>
      <c r="D7459" s="30" t="s">
        <v>3663</v>
      </c>
      <c r="E7459" s="32">
        <v>46113.0</v>
      </c>
      <c r="F7459" s="32">
        <v>46171.0</v>
      </c>
      <c r="G7459" s="33"/>
    </row>
    <row r="7460" ht="15.75" customHeight="1">
      <c r="A7460" s="26" t="s">
        <v>11124</v>
      </c>
      <c r="B7460" s="27" t="s">
        <v>706</v>
      </c>
      <c r="C7460" s="27" t="s">
        <v>1244</v>
      </c>
      <c r="D7460" s="26" t="s">
        <v>3663</v>
      </c>
      <c r="E7460" s="28">
        <v>46113.0</v>
      </c>
      <c r="F7460" s="28">
        <v>46171.0</v>
      </c>
      <c r="G7460" s="29"/>
    </row>
    <row r="7461" ht="15.75" customHeight="1">
      <c r="A7461" s="30" t="s">
        <v>11125</v>
      </c>
      <c r="B7461" s="31" t="s">
        <v>706</v>
      </c>
      <c r="C7461" s="31" t="s">
        <v>1246</v>
      </c>
      <c r="D7461" s="30" t="s">
        <v>3663</v>
      </c>
      <c r="E7461" s="32">
        <v>46113.0</v>
      </c>
      <c r="F7461" s="32">
        <v>46171.0</v>
      </c>
      <c r="G7461" s="33"/>
    </row>
    <row r="7462" ht="15.75" customHeight="1">
      <c r="A7462" s="26" t="s">
        <v>11126</v>
      </c>
      <c r="B7462" s="27" t="s">
        <v>706</v>
      </c>
      <c r="C7462" s="27" t="s">
        <v>3654</v>
      </c>
      <c r="D7462" s="26" t="s">
        <v>3663</v>
      </c>
      <c r="E7462" s="28">
        <v>46113.0</v>
      </c>
      <c r="F7462" s="28">
        <v>46171.0</v>
      </c>
      <c r="G7462" s="29"/>
    </row>
    <row r="7463" ht="15.75" customHeight="1">
      <c r="A7463" s="30" t="s">
        <v>11127</v>
      </c>
      <c r="B7463" s="31" t="s">
        <v>706</v>
      </c>
      <c r="C7463" s="31" t="s">
        <v>3655</v>
      </c>
      <c r="D7463" s="30" t="s">
        <v>3663</v>
      </c>
      <c r="E7463" s="32">
        <v>46113.0</v>
      </c>
      <c r="F7463" s="32">
        <v>46171.0</v>
      </c>
      <c r="G7463" s="33"/>
    </row>
    <row r="7464" ht="15.75" customHeight="1">
      <c r="A7464" s="26" t="s">
        <v>11128</v>
      </c>
      <c r="B7464" s="27" t="s">
        <v>706</v>
      </c>
      <c r="C7464" s="27" t="s">
        <v>928</v>
      </c>
      <c r="D7464" s="26" t="s">
        <v>3663</v>
      </c>
      <c r="E7464" s="28">
        <v>46113.0</v>
      </c>
      <c r="F7464" s="28">
        <v>46171.0</v>
      </c>
      <c r="G7464" s="29"/>
    </row>
    <row r="7465" ht="15.75" customHeight="1">
      <c r="A7465" s="30" t="s">
        <v>11129</v>
      </c>
      <c r="B7465" s="31" t="s">
        <v>706</v>
      </c>
      <c r="C7465" s="31" t="s">
        <v>1354</v>
      </c>
      <c r="D7465" s="30" t="s">
        <v>3663</v>
      </c>
      <c r="E7465" s="32">
        <v>46113.0</v>
      </c>
      <c r="F7465" s="32">
        <v>46171.0</v>
      </c>
      <c r="G7465" s="33"/>
    </row>
    <row r="7466" ht="15.75" customHeight="1">
      <c r="A7466" s="26" t="s">
        <v>11130</v>
      </c>
      <c r="B7466" s="27" t="s">
        <v>706</v>
      </c>
      <c r="C7466" s="27" t="s">
        <v>3647</v>
      </c>
      <c r="D7466" s="26" t="s">
        <v>3663</v>
      </c>
      <c r="E7466" s="28">
        <v>46113.0</v>
      </c>
      <c r="F7466" s="28">
        <v>46171.0</v>
      </c>
      <c r="G7466" s="29"/>
    </row>
    <row r="7467" ht="15.75" customHeight="1">
      <c r="A7467" s="30" t="s">
        <v>11131</v>
      </c>
      <c r="B7467" s="31" t="s">
        <v>706</v>
      </c>
      <c r="C7467" s="31" t="s">
        <v>952</v>
      </c>
      <c r="D7467" s="30" t="s">
        <v>3663</v>
      </c>
      <c r="E7467" s="32">
        <v>46113.0</v>
      </c>
      <c r="F7467" s="32">
        <v>46171.0</v>
      </c>
      <c r="G7467" s="33"/>
    </row>
    <row r="7468" ht="15.75" customHeight="1">
      <c r="A7468" s="26" t="s">
        <v>11132</v>
      </c>
      <c r="B7468" s="27" t="s">
        <v>706</v>
      </c>
      <c r="C7468" s="27" t="s">
        <v>1218</v>
      </c>
      <c r="D7468" s="26" t="s">
        <v>3663</v>
      </c>
      <c r="E7468" s="28">
        <v>46113.0</v>
      </c>
      <c r="F7468" s="28">
        <v>46171.0</v>
      </c>
      <c r="G7468" s="29"/>
    </row>
    <row r="7469" ht="15.75" customHeight="1">
      <c r="A7469" s="30" t="s">
        <v>11133</v>
      </c>
      <c r="B7469" s="31" t="s">
        <v>706</v>
      </c>
      <c r="C7469" s="31" t="s">
        <v>968</v>
      </c>
      <c r="D7469" s="30" t="s">
        <v>3663</v>
      </c>
      <c r="E7469" s="32">
        <v>46113.0</v>
      </c>
      <c r="F7469" s="32">
        <v>46171.0</v>
      </c>
      <c r="G7469" s="33"/>
    </row>
    <row r="7470" ht="15.75" customHeight="1">
      <c r="A7470" s="26" t="s">
        <v>11134</v>
      </c>
      <c r="B7470" s="27" t="s">
        <v>706</v>
      </c>
      <c r="C7470" s="27" t="s">
        <v>923</v>
      </c>
      <c r="D7470" s="26" t="s">
        <v>3663</v>
      </c>
      <c r="E7470" s="28">
        <v>46113.0</v>
      </c>
      <c r="F7470" s="28">
        <v>46171.0</v>
      </c>
      <c r="G7470" s="29"/>
    </row>
    <row r="7471" ht="15.75" customHeight="1">
      <c r="A7471" s="30" t="s">
        <v>11135</v>
      </c>
      <c r="B7471" s="31" t="s">
        <v>706</v>
      </c>
      <c r="C7471" s="31" t="s">
        <v>955</v>
      </c>
      <c r="D7471" s="30" t="s">
        <v>3663</v>
      </c>
      <c r="E7471" s="32">
        <v>46113.0</v>
      </c>
      <c r="F7471" s="32">
        <v>46171.0</v>
      </c>
      <c r="G7471" s="33"/>
    </row>
    <row r="7472" ht="15.75" customHeight="1">
      <c r="A7472" s="26" t="s">
        <v>11136</v>
      </c>
      <c r="B7472" s="27" t="s">
        <v>707</v>
      </c>
      <c r="C7472" s="27" t="s">
        <v>930</v>
      </c>
      <c r="D7472" s="26" t="s">
        <v>3663</v>
      </c>
      <c r="E7472" s="28">
        <v>46113.0</v>
      </c>
      <c r="F7472" s="28">
        <v>46171.0</v>
      </c>
      <c r="G7472" s="29"/>
    </row>
    <row r="7473" ht="15.75" customHeight="1">
      <c r="A7473" s="30" t="s">
        <v>11137</v>
      </c>
      <c r="B7473" s="31" t="s">
        <v>707</v>
      </c>
      <c r="C7473" s="31" t="s">
        <v>1354</v>
      </c>
      <c r="D7473" s="30" t="s">
        <v>3663</v>
      </c>
      <c r="E7473" s="32">
        <v>46113.0</v>
      </c>
      <c r="F7473" s="32">
        <v>46171.0</v>
      </c>
      <c r="G7473" s="33"/>
    </row>
    <row r="7474" ht="15.75" customHeight="1">
      <c r="A7474" s="26" t="s">
        <v>11138</v>
      </c>
      <c r="B7474" s="27" t="s">
        <v>707</v>
      </c>
      <c r="C7474" s="27" t="s">
        <v>1304</v>
      </c>
      <c r="D7474" s="26" t="s">
        <v>3663</v>
      </c>
      <c r="E7474" s="28">
        <v>46113.0</v>
      </c>
      <c r="F7474" s="28">
        <v>46171.0</v>
      </c>
      <c r="G7474" s="29"/>
    </row>
    <row r="7475" ht="15.75" customHeight="1">
      <c r="A7475" s="30" t="s">
        <v>11139</v>
      </c>
      <c r="B7475" s="31" t="s">
        <v>707</v>
      </c>
      <c r="C7475" s="31" t="s">
        <v>1306</v>
      </c>
      <c r="D7475" s="30" t="s">
        <v>3663</v>
      </c>
      <c r="E7475" s="32">
        <v>46113.0</v>
      </c>
      <c r="F7475" s="32">
        <v>46171.0</v>
      </c>
      <c r="G7475" s="33"/>
    </row>
    <row r="7476" ht="15.75" customHeight="1">
      <c r="A7476" s="26" t="s">
        <v>11140</v>
      </c>
      <c r="B7476" s="27" t="s">
        <v>707</v>
      </c>
      <c r="C7476" s="27" t="s">
        <v>1308</v>
      </c>
      <c r="D7476" s="26" t="s">
        <v>3663</v>
      </c>
      <c r="E7476" s="28">
        <v>46113.0</v>
      </c>
      <c r="F7476" s="28">
        <v>46171.0</v>
      </c>
      <c r="G7476" s="29"/>
    </row>
    <row r="7477" ht="15.75" customHeight="1">
      <c r="A7477" s="30" t="s">
        <v>11141</v>
      </c>
      <c r="B7477" s="31" t="s">
        <v>707</v>
      </c>
      <c r="C7477" s="31" t="s">
        <v>1310</v>
      </c>
      <c r="D7477" s="30" t="s">
        <v>3663</v>
      </c>
      <c r="E7477" s="32">
        <v>46113.0</v>
      </c>
      <c r="F7477" s="32">
        <v>46171.0</v>
      </c>
      <c r="G7477" s="33"/>
    </row>
    <row r="7478" ht="15.75" customHeight="1">
      <c r="A7478" s="26" t="s">
        <v>11142</v>
      </c>
      <c r="B7478" s="27" t="s">
        <v>707</v>
      </c>
      <c r="C7478" s="27" t="s">
        <v>3656</v>
      </c>
      <c r="D7478" s="26" t="s">
        <v>3663</v>
      </c>
      <c r="E7478" s="28">
        <v>46113.0</v>
      </c>
      <c r="F7478" s="28">
        <v>46171.0</v>
      </c>
      <c r="G7478" s="29"/>
    </row>
    <row r="7479" ht="15.75" customHeight="1">
      <c r="A7479" s="30" t="s">
        <v>11143</v>
      </c>
      <c r="B7479" s="31" t="s">
        <v>707</v>
      </c>
      <c r="C7479" s="31" t="s">
        <v>3657</v>
      </c>
      <c r="D7479" s="30" t="s">
        <v>3663</v>
      </c>
      <c r="E7479" s="32">
        <v>46113.0</v>
      </c>
      <c r="F7479" s="32">
        <v>46171.0</v>
      </c>
      <c r="G7479" s="33"/>
    </row>
    <row r="7480" ht="15.75" customHeight="1">
      <c r="A7480" s="26" t="s">
        <v>11144</v>
      </c>
      <c r="B7480" s="27" t="s">
        <v>707</v>
      </c>
      <c r="C7480" s="27" t="s">
        <v>1218</v>
      </c>
      <c r="D7480" s="26" t="s">
        <v>3663</v>
      </c>
      <c r="E7480" s="28">
        <v>46113.0</v>
      </c>
      <c r="F7480" s="28">
        <v>46171.0</v>
      </c>
      <c r="G7480" s="29"/>
    </row>
    <row r="7481" ht="15.75" customHeight="1">
      <c r="A7481" s="30" t="s">
        <v>11145</v>
      </c>
      <c r="B7481" s="31" t="s">
        <v>707</v>
      </c>
      <c r="C7481" s="31" t="s">
        <v>1351</v>
      </c>
      <c r="D7481" s="30" t="s">
        <v>3663</v>
      </c>
      <c r="E7481" s="32">
        <v>46113.0</v>
      </c>
      <c r="F7481" s="32">
        <v>46171.0</v>
      </c>
      <c r="G7481" s="33"/>
    </row>
    <row r="7482" ht="15.75" customHeight="1">
      <c r="A7482" s="26" t="s">
        <v>11146</v>
      </c>
      <c r="B7482" s="27" t="s">
        <v>707</v>
      </c>
      <c r="C7482" s="27" t="s">
        <v>1349</v>
      </c>
      <c r="D7482" s="26" t="s">
        <v>3663</v>
      </c>
      <c r="E7482" s="28">
        <v>46113.0</v>
      </c>
      <c r="F7482" s="28">
        <v>46171.0</v>
      </c>
      <c r="G7482" s="29"/>
    </row>
    <row r="7483" ht="15.75" customHeight="1">
      <c r="A7483" s="30" t="s">
        <v>11147</v>
      </c>
      <c r="B7483" s="31" t="s">
        <v>707</v>
      </c>
      <c r="C7483" s="31" t="s">
        <v>968</v>
      </c>
      <c r="D7483" s="30" t="s">
        <v>3663</v>
      </c>
      <c r="E7483" s="32">
        <v>46113.0</v>
      </c>
      <c r="F7483" s="32">
        <v>46171.0</v>
      </c>
      <c r="G7483" s="33"/>
    </row>
    <row r="7484" ht="15.75" customHeight="1">
      <c r="A7484" s="26" t="s">
        <v>11148</v>
      </c>
      <c r="B7484" s="27" t="s">
        <v>707</v>
      </c>
      <c r="C7484" s="27" t="s">
        <v>923</v>
      </c>
      <c r="D7484" s="26" t="s">
        <v>3663</v>
      </c>
      <c r="E7484" s="28">
        <v>46113.0</v>
      </c>
      <c r="F7484" s="28">
        <v>46171.0</v>
      </c>
      <c r="G7484" s="29"/>
    </row>
    <row r="7485" ht="15.75" customHeight="1">
      <c r="A7485" s="30" t="s">
        <v>11149</v>
      </c>
      <c r="B7485" s="31" t="s">
        <v>707</v>
      </c>
      <c r="C7485" s="31" t="s">
        <v>955</v>
      </c>
      <c r="D7485" s="30" t="s">
        <v>3663</v>
      </c>
      <c r="E7485" s="32">
        <v>46113.0</v>
      </c>
      <c r="F7485" s="32">
        <v>46171.0</v>
      </c>
      <c r="G7485" s="33"/>
    </row>
    <row r="7486" ht="15.75" customHeight="1">
      <c r="A7486" s="26" t="s">
        <v>11150</v>
      </c>
      <c r="B7486" s="27" t="s">
        <v>708</v>
      </c>
      <c r="C7486" s="27" t="s">
        <v>3654</v>
      </c>
      <c r="D7486" s="26" t="s">
        <v>3663</v>
      </c>
      <c r="E7486" s="28">
        <v>46113.0</v>
      </c>
      <c r="F7486" s="28">
        <v>46171.0</v>
      </c>
      <c r="G7486" s="29"/>
    </row>
    <row r="7487" ht="15.75" customHeight="1">
      <c r="A7487" s="30" t="s">
        <v>11151</v>
      </c>
      <c r="B7487" s="31" t="s">
        <v>708</v>
      </c>
      <c r="C7487" s="31" t="s">
        <v>3655</v>
      </c>
      <c r="D7487" s="30" t="s">
        <v>3663</v>
      </c>
      <c r="E7487" s="32">
        <v>46113.0</v>
      </c>
      <c r="F7487" s="32">
        <v>46171.0</v>
      </c>
      <c r="G7487" s="33"/>
    </row>
    <row r="7488" ht="15.75" customHeight="1">
      <c r="A7488" s="26" t="s">
        <v>11152</v>
      </c>
      <c r="B7488" s="27" t="s">
        <v>708</v>
      </c>
      <c r="C7488" s="27" t="s">
        <v>930</v>
      </c>
      <c r="D7488" s="27" t="s">
        <v>3663</v>
      </c>
      <c r="E7488" s="28">
        <v>46113.0</v>
      </c>
      <c r="F7488" s="28">
        <v>46171.0</v>
      </c>
      <c r="G7488" s="29"/>
    </row>
    <row r="7489" ht="15.75" customHeight="1">
      <c r="A7489" s="30" t="s">
        <v>11153</v>
      </c>
      <c r="B7489" s="31" t="s">
        <v>708</v>
      </c>
      <c r="C7489" s="31" t="s">
        <v>1354</v>
      </c>
      <c r="D7489" s="30" t="s">
        <v>3663</v>
      </c>
      <c r="E7489" s="32">
        <v>46113.0</v>
      </c>
      <c r="F7489" s="32">
        <v>46171.0</v>
      </c>
      <c r="G7489" s="33"/>
    </row>
    <row r="7490" ht="15.75" customHeight="1">
      <c r="A7490" s="26" t="s">
        <v>11154</v>
      </c>
      <c r="B7490" s="27" t="s">
        <v>708</v>
      </c>
      <c r="C7490" s="27" t="s">
        <v>1304</v>
      </c>
      <c r="D7490" s="27" t="s">
        <v>3663</v>
      </c>
      <c r="E7490" s="28">
        <v>46113.0</v>
      </c>
      <c r="F7490" s="28">
        <v>46171.0</v>
      </c>
      <c r="G7490" s="29"/>
    </row>
    <row r="7491" ht="15.75" customHeight="1">
      <c r="A7491" s="30" t="s">
        <v>11155</v>
      </c>
      <c r="B7491" s="31" t="s">
        <v>708</v>
      </c>
      <c r="C7491" s="31" t="s">
        <v>1306</v>
      </c>
      <c r="D7491" s="31" t="s">
        <v>3663</v>
      </c>
      <c r="E7491" s="32">
        <v>46113.0</v>
      </c>
      <c r="F7491" s="32">
        <v>46171.0</v>
      </c>
      <c r="G7491" s="33"/>
    </row>
    <row r="7492" ht="15.75" customHeight="1">
      <c r="A7492" s="26" t="s">
        <v>11156</v>
      </c>
      <c r="B7492" s="27" t="s">
        <v>708</v>
      </c>
      <c r="C7492" s="27" t="s">
        <v>1308</v>
      </c>
      <c r="D7492" s="27" t="s">
        <v>3663</v>
      </c>
      <c r="E7492" s="28">
        <v>46113.0</v>
      </c>
      <c r="F7492" s="28">
        <v>46171.0</v>
      </c>
      <c r="G7492" s="29"/>
    </row>
    <row r="7493" ht="15.75" customHeight="1">
      <c r="A7493" s="30" t="s">
        <v>11157</v>
      </c>
      <c r="B7493" s="31" t="s">
        <v>708</v>
      </c>
      <c r="C7493" s="31" t="s">
        <v>1310</v>
      </c>
      <c r="D7493" s="31" t="s">
        <v>3663</v>
      </c>
      <c r="E7493" s="32">
        <v>46113.0</v>
      </c>
      <c r="F7493" s="32">
        <v>46171.0</v>
      </c>
      <c r="G7493" s="33"/>
    </row>
    <row r="7494" ht="15.75" customHeight="1">
      <c r="A7494" s="26" t="s">
        <v>11158</v>
      </c>
      <c r="B7494" s="27" t="s">
        <v>708</v>
      </c>
      <c r="C7494" s="27" t="s">
        <v>1218</v>
      </c>
      <c r="D7494" s="26" t="s">
        <v>3663</v>
      </c>
      <c r="E7494" s="28">
        <v>46113.0</v>
      </c>
      <c r="F7494" s="28">
        <v>46171.0</v>
      </c>
      <c r="G7494" s="29"/>
    </row>
    <row r="7495" ht="15.75" customHeight="1">
      <c r="A7495" s="30" t="s">
        <v>11159</v>
      </c>
      <c r="B7495" s="31" t="s">
        <v>708</v>
      </c>
      <c r="C7495" s="31" t="s">
        <v>1351</v>
      </c>
      <c r="D7495" s="30" t="s">
        <v>3663</v>
      </c>
      <c r="E7495" s="32">
        <v>46113.0</v>
      </c>
      <c r="F7495" s="32">
        <v>46171.0</v>
      </c>
      <c r="G7495" s="33"/>
    </row>
    <row r="7496" ht="15.75" customHeight="1">
      <c r="A7496" s="26" t="s">
        <v>11160</v>
      </c>
      <c r="B7496" s="27" t="s">
        <v>708</v>
      </c>
      <c r="C7496" s="27" t="s">
        <v>1349</v>
      </c>
      <c r="D7496" s="26" t="s">
        <v>3663</v>
      </c>
      <c r="E7496" s="28">
        <v>46113.0</v>
      </c>
      <c r="F7496" s="28">
        <v>46171.0</v>
      </c>
      <c r="G7496" s="29"/>
    </row>
    <row r="7497" ht="15.75" customHeight="1">
      <c r="A7497" s="30" t="s">
        <v>11161</v>
      </c>
      <c r="B7497" s="31" t="s">
        <v>708</v>
      </c>
      <c r="C7497" s="31" t="s">
        <v>968</v>
      </c>
      <c r="D7497" s="30" t="s">
        <v>3663</v>
      </c>
      <c r="E7497" s="32">
        <v>46113.0</v>
      </c>
      <c r="F7497" s="32">
        <v>46171.0</v>
      </c>
      <c r="G7497" s="33"/>
    </row>
    <row r="7498" ht="15.75" customHeight="1">
      <c r="A7498" s="26" t="s">
        <v>11162</v>
      </c>
      <c r="B7498" s="27" t="s">
        <v>708</v>
      </c>
      <c r="C7498" s="27" t="s">
        <v>923</v>
      </c>
      <c r="D7498" s="27" t="s">
        <v>3663</v>
      </c>
      <c r="E7498" s="28">
        <v>46113.0</v>
      </c>
      <c r="F7498" s="28">
        <v>46171.0</v>
      </c>
      <c r="G7498" s="29"/>
    </row>
    <row r="7499" ht="15.75" customHeight="1">
      <c r="A7499" s="30" t="s">
        <v>11163</v>
      </c>
      <c r="B7499" s="31" t="s">
        <v>708</v>
      </c>
      <c r="C7499" s="31" t="s">
        <v>955</v>
      </c>
      <c r="D7499" s="30" t="s">
        <v>3663</v>
      </c>
      <c r="E7499" s="32">
        <v>46113.0</v>
      </c>
      <c r="F7499" s="32">
        <v>46171.0</v>
      </c>
      <c r="G7499" s="33"/>
    </row>
    <row r="7500" ht="15.75" customHeight="1">
      <c r="A7500" s="26" t="s">
        <v>11164</v>
      </c>
      <c r="B7500" s="27" t="s">
        <v>709</v>
      </c>
      <c r="C7500" s="27" t="s">
        <v>930</v>
      </c>
      <c r="D7500" s="26" t="s">
        <v>3663</v>
      </c>
      <c r="E7500" s="28">
        <v>46113.0</v>
      </c>
      <c r="F7500" s="28">
        <v>46171.0</v>
      </c>
      <c r="G7500" s="29"/>
    </row>
    <row r="7501" ht="15.75" customHeight="1">
      <c r="A7501" s="30" t="s">
        <v>11165</v>
      </c>
      <c r="B7501" s="31" t="s">
        <v>709</v>
      </c>
      <c r="C7501" s="31" t="s">
        <v>1354</v>
      </c>
      <c r="D7501" s="30" t="s">
        <v>3663</v>
      </c>
      <c r="E7501" s="32">
        <v>46113.0</v>
      </c>
      <c r="F7501" s="32">
        <v>46171.0</v>
      </c>
      <c r="G7501" s="33"/>
    </row>
    <row r="7502" ht="15.75" customHeight="1">
      <c r="A7502" s="26" t="s">
        <v>11166</v>
      </c>
      <c r="B7502" s="27" t="s">
        <v>709</v>
      </c>
      <c r="C7502" s="27" t="s">
        <v>3641</v>
      </c>
      <c r="D7502" s="26" t="s">
        <v>3663</v>
      </c>
      <c r="E7502" s="28">
        <v>46113.0</v>
      </c>
      <c r="F7502" s="28">
        <v>46171.0</v>
      </c>
      <c r="G7502" s="29"/>
    </row>
    <row r="7503" ht="15.75" customHeight="1">
      <c r="A7503" s="30" t="s">
        <v>11167</v>
      </c>
      <c r="B7503" s="31" t="s">
        <v>709</v>
      </c>
      <c r="C7503" s="31" t="s">
        <v>1304</v>
      </c>
      <c r="D7503" s="30" t="s">
        <v>3663</v>
      </c>
      <c r="E7503" s="32">
        <v>46113.0</v>
      </c>
      <c r="F7503" s="32">
        <v>46171.0</v>
      </c>
      <c r="G7503" s="33"/>
    </row>
    <row r="7504" ht="15.75" customHeight="1">
      <c r="A7504" s="26" t="s">
        <v>11168</v>
      </c>
      <c r="B7504" s="27" t="s">
        <v>709</v>
      </c>
      <c r="C7504" s="27" t="s">
        <v>3642</v>
      </c>
      <c r="D7504" s="26" t="s">
        <v>3663</v>
      </c>
      <c r="E7504" s="28">
        <v>46113.0</v>
      </c>
      <c r="F7504" s="28">
        <v>46171.0</v>
      </c>
      <c r="G7504" s="29"/>
    </row>
    <row r="7505" ht="15.75" customHeight="1">
      <c r="A7505" s="30" t="s">
        <v>11169</v>
      </c>
      <c r="B7505" s="31" t="s">
        <v>709</v>
      </c>
      <c r="C7505" s="31" t="s">
        <v>1308</v>
      </c>
      <c r="D7505" s="30" t="s">
        <v>3663</v>
      </c>
      <c r="E7505" s="32">
        <v>46113.0</v>
      </c>
      <c r="F7505" s="32">
        <v>46171.0</v>
      </c>
      <c r="G7505" s="33"/>
    </row>
    <row r="7506" ht="15.75" customHeight="1">
      <c r="A7506" s="26" t="s">
        <v>11170</v>
      </c>
      <c r="B7506" s="27" t="s">
        <v>709</v>
      </c>
      <c r="C7506" s="27" t="s">
        <v>1172</v>
      </c>
      <c r="D7506" s="26" t="s">
        <v>3663</v>
      </c>
      <c r="E7506" s="28">
        <v>46113.0</v>
      </c>
      <c r="F7506" s="28">
        <v>46171.0</v>
      </c>
      <c r="G7506" s="29"/>
    </row>
    <row r="7507" ht="15.75" customHeight="1">
      <c r="A7507" s="30" t="s">
        <v>11171</v>
      </c>
      <c r="B7507" s="31" t="s">
        <v>709</v>
      </c>
      <c r="C7507" s="31" t="s">
        <v>1216</v>
      </c>
      <c r="D7507" s="30" t="s">
        <v>3663</v>
      </c>
      <c r="E7507" s="32">
        <v>46113.0</v>
      </c>
      <c r="F7507" s="32">
        <v>46171.0</v>
      </c>
      <c r="G7507" s="33"/>
    </row>
    <row r="7508" ht="15.75" customHeight="1">
      <c r="A7508" s="26" t="s">
        <v>11172</v>
      </c>
      <c r="B7508" s="27" t="s">
        <v>709</v>
      </c>
      <c r="C7508" s="27" t="s">
        <v>1351</v>
      </c>
      <c r="D7508" s="26" t="s">
        <v>3663</v>
      </c>
      <c r="E7508" s="28">
        <v>46113.0</v>
      </c>
      <c r="F7508" s="28">
        <v>46171.0</v>
      </c>
      <c r="G7508" s="29"/>
    </row>
    <row r="7509" ht="15.75" customHeight="1">
      <c r="A7509" s="30" t="s">
        <v>11173</v>
      </c>
      <c r="B7509" s="31" t="s">
        <v>709</v>
      </c>
      <c r="C7509" s="31" t="s">
        <v>1349</v>
      </c>
      <c r="D7509" s="30" t="s">
        <v>3663</v>
      </c>
      <c r="E7509" s="32">
        <v>46113.0</v>
      </c>
      <c r="F7509" s="32">
        <v>46171.0</v>
      </c>
      <c r="G7509" s="33"/>
    </row>
    <row r="7510" ht="15.75" customHeight="1">
      <c r="A7510" s="26" t="s">
        <v>11174</v>
      </c>
      <c r="B7510" s="27" t="s">
        <v>709</v>
      </c>
      <c r="C7510" s="27" t="s">
        <v>3653</v>
      </c>
      <c r="D7510" s="27" t="s">
        <v>3663</v>
      </c>
      <c r="E7510" s="28">
        <v>46113.0</v>
      </c>
      <c r="F7510" s="28">
        <v>46171.0</v>
      </c>
      <c r="G7510" s="29"/>
    </row>
    <row r="7511" ht="15.75" customHeight="1">
      <c r="A7511" s="30" t="s">
        <v>11175</v>
      </c>
      <c r="B7511" s="31" t="s">
        <v>709</v>
      </c>
      <c r="C7511" s="31" t="s">
        <v>3652</v>
      </c>
      <c r="D7511" s="30" t="s">
        <v>3663</v>
      </c>
      <c r="E7511" s="32">
        <v>46113.0</v>
      </c>
      <c r="F7511" s="32">
        <v>46171.0</v>
      </c>
      <c r="G7511" s="33"/>
    </row>
    <row r="7512" ht="15.75" customHeight="1">
      <c r="A7512" s="26" t="s">
        <v>11176</v>
      </c>
      <c r="B7512" s="27" t="s">
        <v>709</v>
      </c>
      <c r="C7512" s="27" t="s">
        <v>968</v>
      </c>
      <c r="D7512" s="26" t="s">
        <v>3663</v>
      </c>
      <c r="E7512" s="28">
        <v>46113.0</v>
      </c>
      <c r="F7512" s="28">
        <v>46171.0</v>
      </c>
      <c r="G7512" s="29"/>
    </row>
    <row r="7513" ht="15.75" customHeight="1">
      <c r="A7513" s="30" t="s">
        <v>11177</v>
      </c>
      <c r="B7513" s="31" t="s">
        <v>709</v>
      </c>
      <c r="C7513" s="31" t="s">
        <v>923</v>
      </c>
      <c r="D7513" s="30" t="s">
        <v>3663</v>
      </c>
      <c r="E7513" s="32">
        <v>46113.0</v>
      </c>
      <c r="F7513" s="32">
        <v>46171.0</v>
      </c>
      <c r="G7513" s="33"/>
    </row>
    <row r="7514" ht="15.75" customHeight="1">
      <c r="A7514" s="26" t="s">
        <v>11178</v>
      </c>
      <c r="B7514" s="27" t="s">
        <v>710</v>
      </c>
      <c r="C7514" s="27" t="s">
        <v>3654</v>
      </c>
      <c r="D7514" s="26" t="s">
        <v>3663</v>
      </c>
      <c r="E7514" s="28">
        <v>46113.0</v>
      </c>
      <c r="F7514" s="28">
        <v>46171.0</v>
      </c>
      <c r="G7514" s="29"/>
    </row>
    <row r="7515" ht="15.75" customHeight="1">
      <c r="A7515" s="30" t="s">
        <v>11179</v>
      </c>
      <c r="B7515" s="31" t="s">
        <v>710</v>
      </c>
      <c r="C7515" s="31" t="s">
        <v>3655</v>
      </c>
      <c r="D7515" s="30" t="s">
        <v>3663</v>
      </c>
      <c r="E7515" s="32">
        <v>46113.0</v>
      </c>
      <c r="F7515" s="32">
        <v>46171.0</v>
      </c>
      <c r="G7515" s="33"/>
    </row>
    <row r="7516" ht="15.75" customHeight="1">
      <c r="A7516" s="26" t="s">
        <v>11180</v>
      </c>
      <c r="B7516" s="27" t="s">
        <v>710</v>
      </c>
      <c r="C7516" s="27" t="s">
        <v>930</v>
      </c>
      <c r="D7516" s="26" t="s">
        <v>3663</v>
      </c>
      <c r="E7516" s="28">
        <v>46113.0</v>
      </c>
      <c r="F7516" s="28">
        <v>46171.0</v>
      </c>
      <c r="G7516" s="29"/>
    </row>
    <row r="7517" ht="15.75" customHeight="1">
      <c r="A7517" s="30" t="s">
        <v>11181</v>
      </c>
      <c r="B7517" s="31" t="s">
        <v>710</v>
      </c>
      <c r="C7517" s="31" t="s">
        <v>1354</v>
      </c>
      <c r="D7517" s="30" t="s">
        <v>3663</v>
      </c>
      <c r="E7517" s="32">
        <v>46113.0</v>
      </c>
      <c r="F7517" s="32">
        <v>46171.0</v>
      </c>
      <c r="G7517" s="33"/>
    </row>
    <row r="7518" ht="15.75" customHeight="1">
      <c r="A7518" s="26" t="s">
        <v>11182</v>
      </c>
      <c r="B7518" s="27" t="s">
        <v>710</v>
      </c>
      <c r="C7518" s="27" t="s">
        <v>3641</v>
      </c>
      <c r="D7518" s="26" t="s">
        <v>3663</v>
      </c>
      <c r="E7518" s="28">
        <v>46113.0</v>
      </c>
      <c r="F7518" s="28">
        <v>46171.0</v>
      </c>
      <c r="G7518" s="29"/>
    </row>
    <row r="7519" ht="15.75" customHeight="1">
      <c r="A7519" s="30" t="s">
        <v>11183</v>
      </c>
      <c r="B7519" s="31" t="s">
        <v>710</v>
      </c>
      <c r="C7519" s="31" t="s">
        <v>1304</v>
      </c>
      <c r="D7519" s="30" t="s">
        <v>3663</v>
      </c>
      <c r="E7519" s="32">
        <v>46113.0</v>
      </c>
      <c r="F7519" s="32">
        <v>46171.0</v>
      </c>
      <c r="G7519" s="33"/>
    </row>
    <row r="7520" ht="15.75" customHeight="1">
      <c r="A7520" s="26" t="s">
        <v>11184</v>
      </c>
      <c r="B7520" s="27" t="s">
        <v>710</v>
      </c>
      <c r="C7520" s="27" t="s">
        <v>3642</v>
      </c>
      <c r="D7520" s="26" t="s">
        <v>3663</v>
      </c>
      <c r="E7520" s="28">
        <v>46113.0</v>
      </c>
      <c r="F7520" s="28">
        <v>46171.0</v>
      </c>
      <c r="G7520" s="29"/>
    </row>
    <row r="7521" ht="15.75" customHeight="1">
      <c r="A7521" s="30" t="s">
        <v>11185</v>
      </c>
      <c r="B7521" s="31" t="s">
        <v>710</v>
      </c>
      <c r="C7521" s="31" t="s">
        <v>1308</v>
      </c>
      <c r="D7521" s="30" t="s">
        <v>3663</v>
      </c>
      <c r="E7521" s="32">
        <v>46113.0</v>
      </c>
      <c r="F7521" s="32">
        <v>46171.0</v>
      </c>
      <c r="G7521" s="33"/>
    </row>
    <row r="7522" ht="15.75" customHeight="1">
      <c r="A7522" s="26" t="s">
        <v>11186</v>
      </c>
      <c r="B7522" s="27" t="s">
        <v>710</v>
      </c>
      <c r="C7522" s="27" t="s">
        <v>3605</v>
      </c>
      <c r="D7522" s="26" t="s">
        <v>3663</v>
      </c>
      <c r="E7522" s="28">
        <v>46113.0</v>
      </c>
      <c r="F7522" s="28">
        <v>46171.0</v>
      </c>
      <c r="G7522" s="29"/>
    </row>
    <row r="7523" ht="15.75" customHeight="1">
      <c r="A7523" s="30" t="s">
        <v>11187</v>
      </c>
      <c r="B7523" s="31" t="s">
        <v>710</v>
      </c>
      <c r="C7523" s="31" t="s">
        <v>1172</v>
      </c>
      <c r="D7523" s="30" t="s">
        <v>3663</v>
      </c>
      <c r="E7523" s="32">
        <v>46113.0</v>
      </c>
      <c r="F7523" s="32">
        <v>46171.0</v>
      </c>
      <c r="G7523" s="33"/>
    </row>
    <row r="7524" ht="15.75" customHeight="1">
      <c r="A7524" s="26" t="s">
        <v>11188</v>
      </c>
      <c r="B7524" s="27" t="s">
        <v>710</v>
      </c>
      <c r="C7524" s="27" t="s">
        <v>1351</v>
      </c>
      <c r="D7524" s="26" t="s">
        <v>3663</v>
      </c>
      <c r="E7524" s="28">
        <v>46113.0</v>
      </c>
      <c r="F7524" s="28">
        <v>46171.0</v>
      </c>
      <c r="G7524" s="29"/>
    </row>
    <row r="7525" ht="15.75" customHeight="1">
      <c r="A7525" s="30" t="s">
        <v>11189</v>
      </c>
      <c r="B7525" s="31" t="s">
        <v>710</v>
      </c>
      <c r="C7525" s="31" t="s">
        <v>1349</v>
      </c>
      <c r="D7525" s="30" t="s">
        <v>3663</v>
      </c>
      <c r="E7525" s="32">
        <v>46113.0</v>
      </c>
      <c r="F7525" s="32">
        <v>46171.0</v>
      </c>
      <c r="G7525" s="33"/>
    </row>
    <row r="7526" ht="15.75" customHeight="1">
      <c r="A7526" s="26" t="s">
        <v>11190</v>
      </c>
      <c r="B7526" s="27" t="s">
        <v>710</v>
      </c>
      <c r="C7526" s="27" t="s">
        <v>965</v>
      </c>
      <c r="D7526" s="26" t="s">
        <v>3663</v>
      </c>
      <c r="E7526" s="28">
        <v>46113.0</v>
      </c>
      <c r="F7526" s="28">
        <v>46171.0</v>
      </c>
      <c r="G7526" s="29"/>
    </row>
    <row r="7527" ht="15.75" customHeight="1">
      <c r="A7527" s="30" t="s">
        <v>11191</v>
      </c>
      <c r="B7527" s="31" t="s">
        <v>710</v>
      </c>
      <c r="C7527" s="31" t="s">
        <v>923</v>
      </c>
      <c r="D7527" s="30" t="s">
        <v>3663</v>
      </c>
      <c r="E7527" s="32">
        <v>46113.0</v>
      </c>
      <c r="F7527" s="32">
        <v>46171.0</v>
      </c>
      <c r="G7527" s="33"/>
    </row>
    <row r="7528" ht="15.75" customHeight="1">
      <c r="A7528" s="26" t="s">
        <v>11192</v>
      </c>
      <c r="B7528" s="27" t="s">
        <v>711</v>
      </c>
      <c r="C7528" s="27" t="s">
        <v>3654</v>
      </c>
      <c r="D7528" s="26" t="s">
        <v>3663</v>
      </c>
      <c r="E7528" s="28">
        <v>46113.0</v>
      </c>
      <c r="F7528" s="28">
        <v>46171.0</v>
      </c>
      <c r="G7528" s="29"/>
    </row>
    <row r="7529" ht="15.75" customHeight="1">
      <c r="A7529" s="30" t="s">
        <v>11193</v>
      </c>
      <c r="B7529" s="31" t="s">
        <v>711</v>
      </c>
      <c r="C7529" s="31" t="s">
        <v>3655</v>
      </c>
      <c r="D7529" s="30" t="s">
        <v>3663</v>
      </c>
      <c r="E7529" s="32">
        <v>46113.0</v>
      </c>
      <c r="F7529" s="32">
        <v>46171.0</v>
      </c>
      <c r="G7529" s="33"/>
    </row>
    <row r="7530" ht="15.75" customHeight="1">
      <c r="A7530" s="26" t="s">
        <v>11194</v>
      </c>
      <c r="B7530" s="27" t="s">
        <v>711</v>
      </c>
      <c r="C7530" s="27" t="s">
        <v>934</v>
      </c>
      <c r="D7530" s="26" t="s">
        <v>3663</v>
      </c>
      <c r="E7530" s="28">
        <v>46113.0</v>
      </c>
      <c r="F7530" s="28">
        <v>46171.0</v>
      </c>
      <c r="G7530" s="29"/>
    </row>
    <row r="7531" ht="15.75" customHeight="1">
      <c r="A7531" s="30" t="s">
        <v>11195</v>
      </c>
      <c r="B7531" s="31" t="s">
        <v>711</v>
      </c>
      <c r="C7531" s="31" t="s">
        <v>1354</v>
      </c>
      <c r="D7531" s="30" t="s">
        <v>3663</v>
      </c>
      <c r="E7531" s="32">
        <v>46113.0</v>
      </c>
      <c r="F7531" s="32">
        <v>46171.0</v>
      </c>
      <c r="G7531" s="33"/>
    </row>
    <row r="7532" ht="15.75" customHeight="1">
      <c r="A7532" s="26" t="s">
        <v>11196</v>
      </c>
      <c r="B7532" s="27" t="s">
        <v>711</v>
      </c>
      <c r="C7532" s="27" t="s">
        <v>1172</v>
      </c>
      <c r="D7532" s="26" t="s">
        <v>3663</v>
      </c>
      <c r="E7532" s="28">
        <v>46113.0</v>
      </c>
      <c r="F7532" s="28">
        <v>46171.0</v>
      </c>
      <c r="G7532" s="35"/>
    </row>
    <row r="7533" ht="15.75" customHeight="1">
      <c r="A7533" s="30" t="s">
        <v>11197</v>
      </c>
      <c r="B7533" s="31" t="s">
        <v>711</v>
      </c>
      <c r="C7533" s="31" t="s">
        <v>3647</v>
      </c>
      <c r="D7533" s="30" t="s">
        <v>3663</v>
      </c>
      <c r="E7533" s="32">
        <v>46113.0</v>
      </c>
      <c r="F7533" s="32">
        <v>46171.0</v>
      </c>
      <c r="G7533" s="33"/>
    </row>
    <row r="7534" ht="15.75" customHeight="1">
      <c r="A7534" s="26" t="s">
        <v>11198</v>
      </c>
      <c r="B7534" s="27" t="s">
        <v>711</v>
      </c>
      <c r="C7534" s="27" t="s">
        <v>952</v>
      </c>
      <c r="D7534" s="26" t="s">
        <v>3663</v>
      </c>
      <c r="E7534" s="28">
        <v>46113.0</v>
      </c>
      <c r="F7534" s="28">
        <v>46171.0</v>
      </c>
      <c r="G7534" s="29"/>
    </row>
    <row r="7535" ht="15.75" customHeight="1">
      <c r="A7535" s="30" t="s">
        <v>11199</v>
      </c>
      <c r="B7535" s="31" t="s">
        <v>711</v>
      </c>
      <c r="C7535" s="31" t="s">
        <v>1216</v>
      </c>
      <c r="D7535" s="30" t="s">
        <v>3663</v>
      </c>
      <c r="E7535" s="32">
        <v>46113.0</v>
      </c>
      <c r="F7535" s="32">
        <v>46171.0</v>
      </c>
      <c r="G7535" s="33"/>
    </row>
    <row r="7536" ht="15.75" customHeight="1">
      <c r="A7536" s="26" t="s">
        <v>11200</v>
      </c>
      <c r="B7536" s="27" t="s">
        <v>711</v>
      </c>
      <c r="C7536" s="27" t="s">
        <v>1157</v>
      </c>
      <c r="D7536" s="26" t="s">
        <v>3663</v>
      </c>
      <c r="E7536" s="28">
        <v>46113.0</v>
      </c>
      <c r="F7536" s="28">
        <v>46171.0</v>
      </c>
      <c r="G7536" s="29"/>
    </row>
    <row r="7537" ht="15.75" customHeight="1">
      <c r="A7537" s="30" t="s">
        <v>11201</v>
      </c>
      <c r="B7537" s="31" t="s">
        <v>711</v>
      </c>
      <c r="C7537" s="31" t="s">
        <v>1155</v>
      </c>
      <c r="D7537" s="30" t="s">
        <v>3663</v>
      </c>
      <c r="E7537" s="32">
        <v>46113.0</v>
      </c>
      <c r="F7537" s="32">
        <v>46171.0</v>
      </c>
      <c r="G7537" s="33"/>
    </row>
    <row r="7538" ht="15.75" customHeight="1">
      <c r="A7538" s="26" t="s">
        <v>11202</v>
      </c>
      <c r="B7538" s="27" t="s">
        <v>711</v>
      </c>
      <c r="C7538" s="27" t="s">
        <v>1153</v>
      </c>
      <c r="D7538" s="26" t="s">
        <v>3663</v>
      </c>
      <c r="E7538" s="28">
        <v>46113.0</v>
      </c>
      <c r="F7538" s="28">
        <v>46171.0</v>
      </c>
      <c r="G7538" s="29"/>
    </row>
    <row r="7539" ht="15.75" customHeight="1">
      <c r="A7539" s="30" t="s">
        <v>11203</v>
      </c>
      <c r="B7539" s="31" t="s">
        <v>711</v>
      </c>
      <c r="C7539" s="31" t="s">
        <v>1149</v>
      </c>
      <c r="D7539" s="30" t="s">
        <v>3663</v>
      </c>
      <c r="E7539" s="32">
        <v>46113.0</v>
      </c>
      <c r="F7539" s="32">
        <v>46171.0</v>
      </c>
      <c r="G7539" s="33"/>
    </row>
    <row r="7540" ht="15.75" customHeight="1">
      <c r="A7540" s="26" t="s">
        <v>11204</v>
      </c>
      <c r="B7540" s="27" t="s">
        <v>711</v>
      </c>
      <c r="C7540" s="27" t="s">
        <v>965</v>
      </c>
      <c r="D7540" s="26" t="s">
        <v>3663</v>
      </c>
      <c r="E7540" s="28">
        <v>46113.0</v>
      </c>
      <c r="F7540" s="28">
        <v>46171.0</v>
      </c>
      <c r="G7540" s="29"/>
    </row>
    <row r="7541" ht="15.75" customHeight="1">
      <c r="A7541" s="30" t="s">
        <v>11205</v>
      </c>
      <c r="B7541" s="31" t="s">
        <v>711</v>
      </c>
      <c r="C7541" s="31" t="s">
        <v>923</v>
      </c>
      <c r="D7541" s="30" t="s">
        <v>3663</v>
      </c>
      <c r="E7541" s="32">
        <v>46113.0</v>
      </c>
      <c r="F7541" s="32">
        <v>46171.0</v>
      </c>
      <c r="G7541" s="33"/>
    </row>
    <row r="7542" ht="15.75" customHeight="1">
      <c r="A7542" s="26" t="s">
        <v>11206</v>
      </c>
      <c r="B7542" s="27" t="s">
        <v>712</v>
      </c>
      <c r="C7542" s="27" t="s">
        <v>928</v>
      </c>
      <c r="D7542" s="26" t="s">
        <v>3663</v>
      </c>
      <c r="E7542" s="28">
        <v>46113.0</v>
      </c>
      <c r="F7542" s="28">
        <v>46171.0</v>
      </c>
      <c r="G7542" s="29"/>
    </row>
    <row r="7543" ht="15.75" customHeight="1">
      <c r="A7543" s="30" t="s">
        <v>11207</v>
      </c>
      <c r="B7543" s="31" t="s">
        <v>712</v>
      </c>
      <c r="C7543" s="31" t="s">
        <v>1354</v>
      </c>
      <c r="D7543" s="30" t="s">
        <v>3663</v>
      </c>
      <c r="E7543" s="32">
        <v>46113.0</v>
      </c>
      <c r="F7543" s="32">
        <v>46171.0</v>
      </c>
      <c r="G7543" s="33"/>
    </row>
    <row r="7544" ht="15.75" customHeight="1">
      <c r="A7544" s="26" t="s">
        <v>11208</v>
      </c>
      <c r="B7544" s="27" t="s">
        <v>712</v>
      </c>
      <c r="C7544" s="27" t="s">
        <v>1222</v>
      </c>
      <c r="D7544" s="26" t="s">
        <v>3663</v>
      </c>
      <c r="E7544" s="28">
        <v>46113.0</v>
      </c>
      <c r="F7544" s="28">
        <v>46171.0</v>
      </c>
      <c r="G7544" s="29"/>
    </row>
    <row r="7545" ht="15.75" customHeight="1">
      <c r="A7545" s="30" t="s">
        <v>11209</v>
      </c>
      <c r="B7545" s="31" t="s">
        <v>712</v>
      </c>
      <c r="C7545" s="31" t="s">
        <v>1224</v>
      </c>
      <c r="D7545" s="30" t="s">
        <v>3663</v>
      </c>
      <c r="E7545" s="32">
        <v>46113.0</v>
      </c>
      <c r="F7545" s="32">
        <v>46171.0</v>
      </c>
      <c r="G7545" s="33"/>
    </row>
    <row r="7546" ht="15.75" customHeight="1">
      <c r="A7546" s="26" t="s">
        <v>11210</v>
      </c>
      <c r="B7546" s="27" t="s">
        <v>712</v>
      </c>
      <c r="C7546" s="27" t="s">
        <v>1226</v>
      </c>
      <c r="D7546" s="26" t="s">
        <v>3663</v>
      </c>
      <c r="E7546" s="28">
        <v>46113.0</v>
      </c>
      <c r="F7546" s="28">
        <v>46171.0</v>
      </c>
      <c r="G7546" s="29"/>
    </row>
    <row r="7547" ht="15.75" customHeight="1">
      <c r="A7547" s="30" t="s">
        <v>11211</v>
      </c>
      <c r="B7547" s="31" t="s">
        <v>712</v>
      </c>
      <c r="C7547" s="31" t="s">
        <v>1228</v>
      </c>
      <c r="D7547" s="30" t="s">
        <v>3663</v>
      </c>
      <c r="E7547" s="32">
        <v>46113.0</v>
      </c>
      <c r="F7547" s="32">
        <v>46171.0</v>
      </c>
      <c r="G7547" s="33"/>
    </row>
    <row r="7548" ht="15.75" customHeight="1">
      <c r="A7548" s="26" t="s">
        <v>11212</v>
      </c>
      <c r="B7548" s="27" t="s">
        <v>712</v>
      </c>
      <c r="C7548" s="27" t="s">
        <v>1312</v>
      </c>
      <c r="D7548" s="26" t="s">
        <v>3663</v>
      </c>
      <c r="E7548" s="28">
        <v>46113.0</v>
      </c>
      <c r="F7548" s="28">
        <v>46171.0</v>
      </c>
      <c r="G7548" s="29"/>
    </row>
    <row r="7549" ht="15.75" customHeight="1">
      <c r="A7549" s="30" t="s">
        <v>11213</v>
      </c>
      <c r="B7549" s="31" t="s">
        <v>712</v>
      </c>
      <c r="C7549" s="31" t="s">
        <v>1208</v>
      </c>
      <c r="D7549" s="30" t="s">
        <v>3663</v>
      </c>
      <c r="E7549" s="32">
        <v>46113.0</v>
      </c>
      <c r="F7549" s="32">
        <v>46171.0</v>
      </c>
      <c r="G7549" s="33"/>
    </row>
    <row r="7550" ht="15.75" customHeight="1">
      <c r="A7550" s="26" t="s">
        <v>11214</v>
      </c>
      <c r="B7550" s="27" t="s">
        <v>712</v>
      </c>
      <c r="C7550" s="27" t="s">
        <v>3647</v>
      </c>
      <c r="D7550" s="26" t="s">
        <v>3663</v>
      </c>
      <c r="E7550" s="28">
        <v>46113.0</v>
      </c>
      <c r="F7550" s="28">
        <v>46171.0</v>
      </c>
      <c r="G7550" s="29"/>
    </row>
    <row r="7551" ht="15.75" customHeight="1">
      <c r="A7551" s="30" t="s">
        <v>11215</v>
      </c>
      <c r="B7551" s="31" t="s">
        <v>712</v>
      </c>
      <c r="C7551" s="31" t="s">
        <v>952</v>
      </c>
      <c r="D7551" s="30" t="s">
        <v>3663</v>
      </c>
      <c r="E7551" s="32">
        <v>46113.0</v>
      </c>
      <c r="F7551" s="32">
        <v>46171.0</v>
      </c>
      <c r="G7551" s="33"/>
    </row>
    <row r="7552" ht="15.75" customHeight="1">
      <c r="A7552" s="26" t="s">
        <v>11216</v>
      </c>
      <c r="B7552" s="27" t="s">
        <v>712</v>
      </c>
      <c r="C7552" s="27" t="s">
        <v>3653</v>
      </c>
      <c r="D7552" s="26" t="s">
        <v>3663</v>
      </c>
      <c r="E7552" s="28">
        <v>46113.0</v>
      </c>
      <c r="F7552" s="28">
        <v>46171.0</v>
      </c>
      <c r="G7552" s="29"/>
    </row>
    <row r="7553" ht="15.75" customHeight="1">
      <c r="A7553" s="30" t="s">
        <v>11217</v>
      </c>
      <c r="B7553" s="31" t="s">
        <v>712</v>
      </c>
      <c r="C7553" s="31" t="s">
        <v>3652</v>
      </c>
      <c r="D7553" s="31" t="s">
        <v>3663</v>
      </c>
      <c r="E7553" s="32">
        <v>46113.0</v>
      </c>
      <c r="F7553" s="32">
        <v>46171.0</v>
      </c>
      <c r="G7553" s="33"/>
    </row>
    <row r="7554" ht="15.75" customHeight="1">
      <c r="A7554" s="26" t="s">
        <v>11218</v>
      </c>
      <c r="B7554" s="27" t="s">
        <v>712</v>
      </c>
      <c r="C7554" s="27" t="s">
        <v>968</v>
      </c>
      <c r="D7554" s="26" t="s">
        <v>3663</v>
      </c>
      <c r="E7554" s="28">
        <v>46113.0</v>
      </c>
      <c r="F7554" s="28">
        <v>46171.0</v>
      </c>
      <c r="G7554" s="29"/>
    </row>
    <row r="7555" ht="15.75" customHeight="1">
      <c r="A7555" s="30" t="s">
        <v>11219</v>
      </c>
      <c r="B7555" s="31" t="s">
        <v>712</v>
      </c>
      <c r="C7555" s="31" t="s">
        <v>923</v>
      </c>
      <c r="D7555" s="30" t="s">
        <v>3663</v>
      </c>
      <c r="E7555" s="32">
        <v>46113.0</v>
      </c>
      <c r="F7555" s="32">
        <v>46171.0</v>
      </c>
      <c r="G7555" s="33"/>
    </row>
    <row r="7556" ht="15.75" customHeight="1">
      <c r="A7556" s="26" t="s">
        <v>11220</v>
      </c>
      <c r="B7556" s="27" t="s">
        <v>713</v>
      </c>
      <c r="C7556" s="27" t="s">
        <v>932</v>
      </c>
      <c r="D7556" s="26" t="s">
        <v>3663</v>
      </c>
      <c r="E7556" s="28">
        <v>46113.0</v>
      </c>
      <c r="F7556" s="28">
        <v>46171.0</v>
      </c>
      <c r="G7556" s="29"/>
    </row>
    <row r="7557" ht="15.75" customHeight="1">
      <c r="A7557" s="30" t="s">
        <v>11221</v>
      </c>
      <c r="B7557" s="31" t="s">
        <v>713</v>
      </c>
      <c r="C7557" s="31" t="s">
        <v>1164</v>
      </c>
      <c r="D7557" s="30" t="s">
        <v>3663</v>
      </c>
      <c r="E7557" s="32">
        <v>46113.0</v>
      </c>
      <c r="F7557" s="32">
        <v>46171.0</v>
      </c>
      <c r="G7557" s="33"/>
    </row>
    <row r="7558" ht="15.75" customHeight="1">
      <c r="A7558" s="26" t="s">
        <v>11222</v>
      </c>
      <c r="B7558" s="27" t="s">
        <v>713</v>
      </c>
      <c r="C7558" s="27" t="s">
        <v>1166</v>
      </c>
      <c r="D7558" s="26" t="s">
        <v>3663</v>
      </c>
      <c r="E7558" s="28">
        <v>46113.0</v>
      </c>
      <c r="F7558" s="28">
        <v>46171.0</v>
      </c>
      <c r="G7558" s="29"/>
    </row>
    <row r="7559" ht="15.75" customHeight="1">
      <c r="A7559" s="30" t="s">
        <v>11223</v>
      </c>
      <c r="B7559" s="31" t="s">
        <v>713</v>
      </c>
      <c r="C7559" s="31" t="s">
        <v>1168</v>
      </c>
      <c r="D7559" s="30" t="s">
        <v>3663</v>
      </c>
      <c r="E7559" s="32">
        <v>46113.0</v>
      </c>
      <c r="F7559" s="32">
        <v>46171.0</v>
      </c>
      <c r="G7559" s="33"/>
    </row>
    <row r="7560" ht="15.75" customHeight="1">
      <c r="A7560" s="26" t="s">
        <v>11224</v>
      </c>
      <c r="B7560" s="27" t="s">
        <v>713</v>
      </c>
      <c r="C7560" s="27" t="s">
        <v>1170</v>
      </c>
      <c r="D7560" s="26" t="s">
        <v>3663</v>
      </c>
      <c r="E7560" s="28">
        <v>46113.0</v>
      </c>
      <c r="F7560" s="28">
        <v>46171.0</v>
      </c>
      <c r="G7560" s="29"/>
    </row>
    <row r="7561" ht="15.75" customHeight="1">
      <c r="A7561" s="30" t="s">
        <v>11225</v>
      </c>
      <c r="B7561" s="31" t="s">
        <v>713</v>
      </c>
      <c r="C7561" s="31" t="s">
        <v>1354</v>
      </c>
      <c r="D7561" s="30" t="s">
        <v>3663</v>
      </c>
      <c r="E7561" s="32">
        <v>46113.0</v>
      </c>
      <c r="F7561" s="32">
        <v>46171.0</v>
      </c>
      <c r="G7561" s="33"/>
    </row>
    <row r="7562" ht="15.75" customHeight="1">
      <c r="A7562" s="26" t="s">
        <v>11226</v>
      </c>
      <c r="B7562" s="27" t="s">
        <v>713</v>
      </c>
      <c r="C7562" s="27" t="s">
        <v>1190</v>
      </c>
      <c r="D7562" s="26" t="s">
        <v>3663</v>
      </c>
      <c r="E7562" s="28">
        <v>46113.0</v>
      </c>
      <c r="F7562" s="28">
        <v>46171.0</v>
      </c>
      <c r="G7562" s="29"/>
    </row>
    <row r="7563" ht="15.75" customHeight="1">
      <c r="A7563" s="30" t="s">
        <v>11227</v>
      </c>
      <c r="B7563" s="31" t="s">
        <v>713</v>
      </c>
      <c r="C7563" s="31" t="s">
        <v>3647</v>
      </c>
      <c r="D7563" s="30" t="s">
        <v>3663</v>
      </c>
      <c r="E7563" s="32">
        <v>46113.0</v>
      </c>
      <c r="F7563" s="32">
        <v>46171.0</v>
      </c>
      <c r="G7563" s="33"/>
    </row>
    <row r="7564" ht="15.75" customHeight="1">
      <c r="A7564" s="26" t="s">
        <v>11228</v>
      </c>
      <c r="B7564" s="27" t="s">
        <v>713</v>
      </c>
      <c r="C7564" s="27" t="s">
        <v>952</v>
      </c>
      <c r="D7564" s="26" t="s">
        <v>3663</v>
      </c>
      <c r="E7564" s="28">
        <v>46113.0</v>
      </c>
      <c r="F7564" s="28">
        <v>46171.0</v>
      </c>
      <c r="G7564" s="29"/>
    </row>
    <row r="7565" ht="15.75" customHeight="1">
      <c r="A7565" s="30" t="s">
        <v>11229</v>
      </c>
      <c r="B7565" s="31" t="s">
        <v>713</v>
      </c>
      <c r="C7565" s="31" t="s">
        <v>3653</v>
      </c>
      <c r="D7565" s="30" t="s">
        <v>3663</v>
      </c>
      <c r="E7565" s="32">
        <v>46113.0</v>
      </c>
      <c r="F7565" s="32">
        <v>46171.0</v>
      </c>
      <c r="G7565" s="33"/>
    </row>
    <row r="7566" ht="15.75" customHeight="1">
      <c r="A7566" s="26" t="s">
        <v>11230</v>
      </c>
      <c r="B7566" s="27" t="s">
        <v>713</v>
      </c>
      <c r="C7566" s="27" t="s">
        <v>3652</v>
      </c>
      <c r="D7566" s="27" t="s">
        <v>3663</v>
      </c>
      <c r="E7566" s="28">
        <v>46113.0</v>
      </c>
      <c r="F7566" s="28">
        <v>46171.0</v>
      </c>
      <c r="G7566" s="29"/>
    </row>
    <row r="7567" ht="15.75" customHeight="1">
      <c r="A7567" s="30" t="s">
        <v>11231</v>
      </c>
      <c r="B7567" s="31" t="s">
        <v>713</v>
      </c>
      <c r="C7567" s="31" t="s">
        <v>968</v>
      </c>
      <c r="D7567" s="30" t="s">
        <v>3663</v>
      </c>
      <c r="E7567" s="32">
        <v>46113.0</v>
      </c>
      <c r="F7567" s="32">
        <v>46171.0</v>
      </c>
      <c r="G7567" s="33"/>
    </row>
    <row r="7568" ht="15.75" customHeight="1">
      <c r="A7568" s="26" t="s">
        <v>11232</v>
      </c>
      <c r="B7568" s="27" t="s">
        <v>713</v>
      </c>
      <c r="C7568" s="27" t="s">
        <v>923</v>
      </c>
      <c r="D7568" s="26" t="s">
        <v>3663</v>
      </c>
      <c r="E7568" s="28">
        <v>46113.0</v>
      </c>
      <c r="F7568" s="28">
        <v>46171.0</v>
      </c>
      <c r="G7568" s="29"/>
    </row>
    <row r="7569" ht="15.75" customHeight="1">
      <c r="A7569" s="30" t="s">
        <v>11233</v>
      </c>
      <c r="B7569" s="31" t="s">
        <v>713</v>
      </c>
      <c r="C7569" s="31" t="s">
        <v>961</v>
      </c>
      <c r="D7569" s="30" t="s">
        <v>3663</v>
      </c>
      <c r="E7569" s="32">
        <v>46113.0</v>
      </c>
      <c r="F7569" s="32">
        <v>46171.0</v>
      </c>
      <c r="G7569" s="33"/>
    </row>
    <row r="7570" ht="15.75" customHeight="1">
      <c r="A7570" s="26" t="s">
        <v>11234</v>
      </c>
      <c r="B7570" s="27" t="s">
        <v>714</v>
      </c>
      <c r="C7570" s="27" t="s">
        <v>928</v>
      </c>
      <c r="D7570" s="26" t="s">
        <v>3663</v>
      </c>
      <c r="E7570" s="28">
        <v>46113.0</v>
      </c>
      <c r="F7570" s="28">
        <v>46171.0</v>
      </c>
      <c r="G7570" s="29"/>
    </row>
    <row r="7571" ht="15.75" customHeight="1">
      <c r="A7571" s="30" t="s">
        <v>11235</v>
      </c>
      <c r="B7571" s="31" t="s">
        <v>714</v>
      </c>
      <c r="C7571" s="31" t="s">
        <v>1354</v>
      </c>
      <c r="D7571" s="30" t="s">
        <v>3663</v>
      </c>
      <c r="E7571" s="32">
        <v>46113.0</v>
      </c>
      <c r="F7571" s="32">
        <v>46171.0</v>
      </c>
      <c r="G7571" s="33"/>
    </row>
    <row r="7572" ht="15.75" customHeight="1">
      <c r="A7572" s="26" t="s">
        <v>11236</v>
      </c>
      <c r="B7572" s="27" t="s">
        <v>714</v>
      </c>
      <c r="C7572" s="27" t="s">
        <v>1222</v>
      </c>
      <c r="D7572" s="26" t="s">
        <v>3663</v>
      </c>
      <c r="E7572" s="28">
        <v>46113.0</v>
      </c>
      <c r="F7572" s="28">
        <v>46171.0</v>
      </c>
      <c r="G7572" s="29"/>
    </row>
    <row r="7573" ht="15.75" customHeight="1">
      <c r="A7573" s="30" t="s">
        <v>11237</v>
      </c>
      <c r="B7573" s="31" t="s">
        <v>714</v>
      </c>
      <c r="C7573" s="31" t="s">
        <v>1224</v>
      </c>
      <c r="D7573" s="30" t="s">
        <v>3663</v>
      </c>
      <c r="E7573" s="32">
        <v>46113.0</v>
      </c>
      <c r="F7573" s="32">
        <v>46171.0</v>
      </c>
      <c r="G7573" s="33"/>
    </row>
    <row r="7574" ht="15.75" customHeight="1">
      <c r="A7574" s="26" t="s">
        <v>11238</v>
      </c>
      <c r="B7574" s="27" t="s">
        <v>714</v>
      </c>
      <c r="C7574" s="27" t="s">
        <v>1226</v>
      </c>
      <c r="D7574" s="26" t="s">
        <v>3663</v>
      </c>
      <c r="E7574" s="28">
        <v>46113.0</v>
      </c>
      <c r="F7574" s="28">
        <v>46171.0</v>
      </c>
      <c r="G7574" s="29"/>
    </row>
    <row r="7575" ht="15.75" customHeight="1">
      <c r="A7575" s="30" t="s">
        <v>11239</v>
      </c>
      <c r="B7575" s="31" t="s">
        <v>714</v>
      </c>
      <c r="C7575" s="31" t="s">
        <v>1228</v>
      </c>
      <c r="D7575" s="30" t="s">
        <v>3663</v>
      </c>
      <c r="E7575" s="32">
        <v>46113.0</v>
      </c>
      <c r="F7575" s="32">
        <v>46171.0</v>
      </c>
      <c r="G7575" s="33"/>
    </row>
    <row r="7576" ht="15.75" customHeight="1">
      <c r="A7576" s="26" t="s">
        <v>11240</v>
      </c>
      <c r="B7576" s="27" t="s">
        <v>714</v>
      </c>
      <c r="C7576" s="27" t="s">
        <v>3656</v>
      </c>
      <c r="D7576" s="26" t="s">
        <v>3663</v>
      </c>
      <c r="E7576" s="28">
        <v>46113.0</v>
      </c>
      <c r="F7576" s="28">
        <v>46171.0</v>
      </c>
      <c r="G7576" s="29"/>
    </row>
    <row r="7577" ht="15.75" customHeight="1">
      <c r="A7577" s="30" t="s">
        <v>11241</v>
      </c>
      <c r="B7577" s="31" t="s">
        <v>714</v>
      </c>
      <c r="C7577" s="31" t="s">
        <v>3657</v>
      </c>
      <c r="D7577" s="30" t="s">
        <v>3663</v>
      </c>
      <c r="E7577" s="32">
        <v>46113.0</v>
      </c>
      <c r="F7577" s="32">
        <v>46171.0</v>
      </c>
      <c r="G7577" s="33"/>
    </row>
    <row r="7578" ht="15.75" customHeight="1">
      <c r="A7578" s="26" t="s">
        <v>11242</v>
      </c>
      <c r="B7578" s="27" t="s">
        <v>714</v>
      </c>
      <c r="C7578" s="27" t="s">
        <v>1216</v>
      </c>
      <c r="D7578" s="26" t="s">
        <v>3663</v>
      </c>
      <c r="E7578" s="28">
        <v>46113.0</v>
      </c>
      <c r="F7578" s="28">
        <v>46171.0</v>
      </c>
      <c r="G7578" s="29"/>
    </row>
    <row r="7579" ht="15.75" customHeight="1">
      <c r="A7579" s="30" t="s">
        <v>11243</v>
      </c>
      <c r="B7579" s="31" t="s">
        <v>714</v>
      </c>
      <c r="C7579" s="31" t="s">
        <v>1218</v>
      </c>
      <c r="D7579" s="30" t="s">
        <v>3663</v>
      </c>
      <c r="E7579" s="32">
        <v>46113.0</v>
      </c>
      <c r="F7579" s="32">
        <v>46171.0</v>
      </c>
      <c r="G7579" s="33"/>
    </row>
    <row r="7580" ht="15.75" customHeight="1">
      <c r="A7580" s="26" t="s">
        <v>11244</v>
      </c>
      <c r="B7580" s="27" t="s">
        <v>714</v>
      </c>
      <c r="C7580" s="27" t="s">
        <v>1351</v>
      </c>
      <c r="D7580" s="26" t="s">
        <v>3663</v>
      </c>
      <c r="E7580" s="28">
        <v>46113.0</v>
      </c>
      <c r="F7580" s="28">
        <v>46171.0</v>
      </c>
      <c r="G7580" s="29"/>
    </row>
    <row r="7581" ht="15.75" customHeight="1">
      <c r="A7581" s="30" t="s">
        <v>11245</v>
      </c>
      <c r="B7581" s="31" t="s">
        <v>714</v>
      </c>
      <c r="C7581" s="31" t="s">
        <v>1349</v>
      </c>
      <c r="D7581" s="30" t="s">
        <v>3663</v>
      </c>
      <c r="E7581" s="32">
        <v>46113.0</v>
      </c>
      <c r="F7581" s="32">
        <v>46171.0</v>
      </c>
      <c r="G7581" s="33"/>
    </row>
    <row r="7582" ht="15.75" customHeight="1">
      <c r="A7582" s="26" t="s">
        <v>11246</v>
      </c>
      <c r="B7582" s="27" t="s">
        <v>714</v>
      </c>
      <c r="C7582" s="27" t="s">
        <v>968</v>
      </c>
      <c r="D7582" s="26" t="s">
        <v>3663</v>
      </c>
      <c r="E7582" s="28">
        <v>46113.0</v>
      </c>
      <c r="F7582" s="28">
        <v>46171.0</v>
      </c>
      <c r="G7582" s="29"/>
    </row>
    <row r="7583" ht="15.75" customHeight="1">
      <c r="A7583" s="30" t="s">
        <v>11247</v>
      </c>
      <c r="B7583" s="31" t="s">
        <v>714</v>
      </c>
      <c r="C7583" s="31" t="s">
        <v>923</v>
      </c>
      <c r="D7583" s="30" t="s">
        <v>3663</v>
      </c>
      <c r="E7583" s="32">
        <v>46113.0</v>
      </c>
      <c r="F7583" s="32">
        <v>46171.0</v>
      </c>
      <c r="G7583" s="33"/>
    </row>
    <row r="7584" ht="15.75" customHeight="1">
      <c r="A7584" s="26" t="s">
        <v>11248</v>
      </c>
      <c r="B7584" s="27" t="s">
        <v>715</v>
      </c>
      <c r="C7584" s="27" t="s">
        <v>1240</v>
      </c>
      <c r="D7584" s="26" t="s">
        <v>3663</v>
      </c>
      <c r="E7584" s="28">
        <v>46113.0</v>
      </c>
      <c r="F7584" s="28">
        <v>46171.0</v>
      </c>
      <c r="G7584" s="29"/>
    </row>
    <row r="7585" ht="15.75" customHeight="1">
      <c r="A7585" s="30" t="s">
        <v>11249</v>
      </c>
      <c r="B7585" s="31" t="s">
        <v>715</v>
      </c>
      <c r="C7585" s="31" t="s">
        <v>1242</v>
      </c>
      <c r="D7585" s="30" t="s">
        <v>3663</v>
      </c>
      <c r="E7585" s="32">
        <v>46113.0</v>
      </c>
      <c r="F7585" s="32">
        <v>46171.0</v>
      </c>
      <c r="G7585" s="33"/>
    </row>
    <row r="7586" ht="15.75" customHeight="1">
      <c r="A7586" s="26" t="s">
        <v>11250</v>
      </c>
      <c r="B7586" s="27" t="s">
        <v>715</v>
      </c>
      <c r="C7586" s="27" t="s">
        <v>1244</v>
      </c>
      <c r="D7586" s="26" t="s">
        <v>3663</v>
      </c>
      <c r="E7586" s="28">
        <v>46113.0</v>
      </c>
      <c r="F7586" s="28">
        <v>46171.0</v>
      </c>
      <c r="G7586" s="29"/>
    </row>
    <row r="7587" ht="15.75" customHeight="1">
      <c r="A7587" s="30" t="s">
        <v>11251</v>
      </c>
      <c r="B7587" s="31" t="s">
        <v>715</v>
      </c>
      <c r="C7587" s="31" t="s">
        <v>1246</v>
      </c>
      <c r="D7587" s="30" t="s">
        <v>3663</v>
      </c>
      <c r="E7587" s="32">
        <v>46113.0</v>
      </c>
      <c r="F7587" s="32">
        <v>46171.0</v>
      </c>
      <c r="G7587" s="33"/>
    </row>
    <row r="7588" ht="15.75" customHeight="1">
      <c r="A7588" s="26" t="s">
        <v>11252</v>
      </c>
      <c r="B7588" s="27" t="s">
        <v>715</v>
      </c>
      <c r="C7588" s="27" t="s">
        <v>928</v>
      </c>
      <c r="D7588" s="26" t="s">
        <v>3663</v>
      </c>
      <c r="E7588" s="28">
        <v>46113.0</v>
      </c>
      <c r="F7588" s="28">
        <v>46171.0</v>
      </c>
      <c r="G7588" s="29"/>
    </row>
    <row r="7589" ht="15.75" customHeight="1">
      <c r="A7589" s="30" t="s">
        <v>11253</v>
      </c>
      <c r="B7589" s="31" t="s">
        <v>715</v>
      </c>
      <c r="C7589" s="31" t="s">
        <v>1354</v>
      </c>
      <c r="D7589" s="30" t="s">
        <v>3663</v>
      </c>
      <c r="E7589" s="32">
        <v>46113.0</v>
      </c>
      <c r="F7589" s="32">
        <v>46171.0</v>
      </c>
      <c r="G7589" s="33"/>
    </row>
    <row r="7590" ht="15.75" customHeight="1">
      <c r="A7590" s="26" t="s">
        <v>11254</v>
      </c>
      <c r="B7590" s="27" t="s">
        <v>715</v>
      </c>
      <c r="C7590" s="27" t="s">
        <v>3605</v>
      </c>
      <c r="D7590" s="26" t="s">
        <v>3663</v>
      </c>
      <c r="E7590" s="28">
        <v>46113.0</v>
      </c>
      <c r="F7590" s="28">
        <v>46171.0</v>
      </c>
      <c r="G7590" s="29"/>
    </row>
    <row r="7591" ht="15.75" customHeight="1">
      <c r="A7591" s="30" t="s">
        <v>11255</v>
      </c>
      <c r="B7591" s="31" t="s">
        <v>715</v>
      </c>
      <c r="C7591" s="31" t="s">
        <v>1172</v>
      </c>
      <c r="D7591" s="30" t="s">
        <v>3663</v>
      </c>
      <c r="E7591" s="32">
        <v>46113.0</v>
      </c>
      <c r="F7591" s="32">
        <v>46171.0</v>
      </c>
      <c r="G7591" s="33"/>
    </row>
    <row r="7592" ht="15.75" customHeight="1">
      <c r="A7592" s="26" t="s">
        <v>11256</v>
      </c>
      <c r="B7592" s="27" t="s">
        <v>715</v>
      </c>
      <c r="C7592" s="27" t="s">
        <v>3656</v>
      </c>
      <c r="D7592" s="26" t="s">
        <v>3663</v>
      </c>
      <c r="E7592" s="28">
        <v>46113.0</v>
      </c>
      <c r="F7592" s="28">
        <v>46171.0</v>
      </c>
      <c r="G7592" s="29"/>
    </row>
    <row r="7593" ht="15.75" customHeight="1">
      <c r="A7593" s="30" t="s">
        <v>11257</v>
      </c>
      <c r="B7593" s="31" t="s">
        <v>715</v>
      </c>
      <c r="C7593" s="31" t="s">
        <v>3657</v>
      </c>
      <c r="D7593" s="30" t="s">
        <v>3663</v>
      </c>
      <c r="E7593" s="32">
        <v>46113.0</v>
      </c>
      <c r="F7593" s="32">
        <v>46171.0</v>
      </c>
      <c r="G7593" s="33"/>
    </row>
    <row r="7594" ht="15.75" customHeight="1">
      <c r="A7594" s="26" t="s">
        <v>11258</v>
      </c>
      <c r="B7594" s="27" t="s">
        <v>715</v>
      </c>
      <c r="C7594" s="27" t="s">
        <v>1351</v>
      </c>
      <c r="D7594" s="26" t="s">
        <v>3663</v>
      </c>
      <c r="E7594" s="28">
        <v>46113.0</v>
      </c>
      <c r="F7594" s="28">
        <v>46171.0</v>
      </c>
      <c r="G7594" s="29"/>
    </row>
    <row r="7595" ht="15.75" customHeight="1">
      <c r="A7595" s="30" t="s">
        <v>11259</v>
      </c>
      <c r="B7595" s="31" t="s">
        <v>715</v>
      </c>
      <c r="C7595" s="31" t="s">
        <v>1349</v>
      </c>
      <c r="D7595" s="30" t="s">
        <v>3663</v>
      </c>
      <c r="E7595" s="32">
        <v>46113.0</v>
      </c>
      <c r="F7595" s="32">
        <v>46171.0</v>
      </c>
      <c r="G7595" s="33"/>
    </row>
    <row r="7596" ht="15.75" customHeight="1">
      <c r="A7596" s="26" t="s">
        <v>11260</v>
      </c>
      <c r="B7596" s="27" t="s">
        <v>715</v>
      </c>
      <c r="C7596" s="27" t="s">
        <v>968</v>
      </c>
      <c r="D7596" s="26" t="s">
        <v>3663</v>
      </c>
      <c r="E7596" s="28">
        <v>46113.0</v>
      </c>
      <c r="F7596" s="28">
        <v>46171.0</v>
      </c>
      <c r="G7596" s="29"/>
    </row>
    <row r="7597" ht="15.75" customHeight="1">
      <c r="A7597" s="30" t="s">
        <v>11261</v>
      </c>
      <c r="B7597" s="31" t="s">
        <v>715</v>
      </c>
      <c r="C7597" s="31" t="s">
        <v>923</v>
      </c>
      <c r="D7597" s="30" t="s">
        <v>3663</v>
      </c>
      <c r="E7597" s="32">
        <v>46113.0</v>
      </c>
      <c r="F7597" s="32">
        <v>46171.0</v>
      </c>
      <c r="G7597" s="33"/>
    </row>
    <row r="7598" ht="15.75" customHeight="1">
      <c r="A7598" s="26" t="s">
        <v>11262</v>
      </c>
      <c r="B7598" s="27" t="s">
        <v>1200</v>
      </c>
      <c r="C7598" s="27" t="s">
        <v>930</v>
      </c>
      <c r="D7598" s="26" t="s">
        <v>3663</v>
      </c>
      <c r="E7598" s="28">
        <v>46113.0</v>
      </c>
      <c r="F7598" s="28">
        <v>46171.0</v>
      </c>
      <c r="G7598" s="29"/>
    </row>
    <row r="7599" ht="15.75" customHeight="1">
      <c r="A7599" s="30" t="s">
        <v>11263</v>
      </c>
      <c r="B7599" s="31" t="s">
        <v>1200</v>
      </c>
      <c r="C7599" s="31" t="s">
        <v>1354</v>
      </c>
      <c r="D7599" s="30" t="s">
        <v>3663</v>
      </c>
      <c r="E7599" s="32">
        <v>46113.0</v>
      </c>
      <c r="F7599" s="32">
        <v>46171.0</v>
      </c>
      <c r="G7599" s="33"/>
    </row>
    <row r="7600" ht="15.75" customHeight="1">
      <c r="A7600" s="26" t="s">
        <v>11264</v>
      </c>
      <c r="B7600" s="27" t="s">
        <v>1200</v>
      </c>
      <c r="C7600" s="27" t="s">
        <v>1208</v>
      </c>
      <c r="D7600" s="26" t="s">
        <v>3663</v>
      </c>
      <c r="E7600" s="28">
        <v>46113.0</v>
      </c>
      <c r="F7600" s="28">
        <v>46171.0</v>
      </c>
      <c r="G7600" s="29"/>
    </row>
    <row r="7601" ht="15.75" customHeight="1">
      <c r="A7601" s="30" t="s">
        <v>11265</v>
      </c>
      <c r="B7601" s="31" t="s">
        <v>1200</v>
      </c>
      <c r="C7601" s="31" t="s">
        <v>3647</v>
      </c>
      <c r="D7601" s="30" t="s">
        <v>3663</v>
      </c>
      <c r="E7601" s="32">
        <v>46113.0</v>
      </c>
      <c r="F7601" s="32">
        <v>46171.0</v>
      </c>
      <c r="G7601" s="33"/>
    </row>
    <row r="7602" ht="15.75" customHeight="1">
      <c r="A7602" s="26" t="s">
        <v>11266</v>
      </c>
      <c r="B7602" s="27" t="s">
        <v>1200</v>
      </c>
      <c r="C7602" s="27" t="s">
        <v>952</v>
      </c>
      <c r="D7602" s="26" t="s">
        <v>3663</v>
      </c>
      <c r="E7602" s="28">
        <v>46113.0</v>
      </c>
      <c r="F7602" s="28">
        <v>46171.0</v>
      </c>
      <c r="G7602" s="29"/>
    </row>
    <row r="7603" ht="15.75" customHeight="1">
      <c r="A7603" s="30" t="s">
        <v>11267</v>
      </c>
      <c r="B7603" s="31" t="s">
        <v>1200</v>
      </c>
      <c r="C7603" s="31" t="s">
        <v>1157</v>
      </c>
      <c r="D7603" s="30" t="s">
        <v>3663</v>
      </c>
      <c r="E7603" s="32">
        <v>46113.0</v>
      </c>
      <c r="F7603" s="32">
        <v>46171.0</v>
      </c>
      <c r="G7603" s="33"/>
    </row>
    <row r="7604" ht="15.75" customHeight="1">
      <c r="A7604" s="26" t="s">
        <v>11268</v>
      </c>
      <c r="B7604" s="27" t="s">
        <v>1200</v>
      </c>
      <c r="C7604" s="27" t="s">
        <v>1155</v>
      </c>
      <c r="D7604" s="26" t="s">
        <v>3663</v>
      </c>
      <c r="E7604" s="28">
        <v>46113.0</v>
      </c>
      <c r="F7604" s="28">
        <v>46171.0</v>
      </c>
      <c r="G7604" s="29"/>
    </row>
    <row r="7605" ht="15.75" customHeight="1">
      <c r="A7605" s="30" t="s">
        <v>11269</v>
      </c>
      <c r="B7605" s="31" t="s">
        <v>1200</v>
      </c>
      <c r="C7605" s="31" t="s">
        <v>1153</v>
      </c>
      <c r="D7605" s="30" t="s">
        <v>3663</v>
      </c>
      <c r="E7605" s="32">
        <v>46113.0</v>
      </c>
      <c r="F7605" s="32">
        <v>46171.0</v>
      </c>
      <c r="G7605" s="33"/>
    </row>
    <row r="7606" ht="15.75" customHeight="1">
      <c r="A7606" s="26" t="s">
        <v>11270</v>
      </c>
      <c r="B7606" s="27" t="s">
        <v>1200</v>
      </c>
      <c r="C7606" s="27" t="s">
        <v>1149</v>
      </c>
      <c r="D7606" s="26" t="s">
        <v>3663</v>
      </c>
      <c r="E7606" s="28">
        <v>46113.0</v>
      </c>
      <c r="F7606" s="28">
        <v>46171.0</v>
      </c>
      <c r="G7606" s="29"/>
    </row>
    <row r="7607" ht="15.75" customHeight="1">
      <c r="A7607" s="30" t="s">
        <v>11271</v>
      </c>
      <c r="B7607" s="31" t="s">
        <v>1200</v>
      </c>
      <c r="C7607" s="31" t="s">
        <v>3653</v>
      </c>
      <c r="D7607" s="30" t="s">
        <v>3663</v>
      </c>
      <c r="E7607" s="32">
        <v>46113.0</v>
      </c>
      <c r="F7607" s="32">
        <v>46171.0</v>
      </c>
      <c r="G7607" s="33"/>
    </row>
    <row r="7608" ht="15.75" customHeight="1">
      <c r="A7608" s="26" t="s">
        <v>11272</v>
      </c>
      <c r="B7608" s="27" t="s">
        <v>1200</v>
      </c>
      <c r="C7608" s="27" t="s">
        <v>3652</v>
      </c>
      <c r="D7608" s="27" t="s">
        <v>3663</v>
      </c>
      <c r="E7608" s="28">
        <v>46113.0</v>
      </c>
      <c r="F7608" s="28">
        <v>46171.0</v>
      </c>
      <c r="G7608" s="29"/>
    </row>
    <row r="7609" ht="15.75" customHeight="1">
      <c r="A7609" s="30" t="s">
        <v>11273</v>
      </c>
      <c r="B7609" s="31" t="s">
        <v>1200</v>
      </c>
      <c r="C7609" s="31" t="s">
        <v>968</v>
      </c>
      <c r="D7609" s="30" t="s">
        <v>3663</v>
      </c>
      <c r="E7609" s="32">
        <v>46113.0</v>
      </c>
      <c r="F7609" s="32">
        <v>46171.0</v>
      </c>
      <c r="G7609" s="33"/>
    </row>
    <row r="7610" ht="15.75" customHeight="1">
      <c r="A7610" s="26" t="s">
        <v>11274</v>
      </c>
      <c r="B7610" s="27" t="s">
        <v>1200</v>
      </c>
      <c r="C7610" s="27" t="s">
        <v>923</v>
      </c>
      <c r="D7610" s="26" t="s">
        <v>3663</v>
      </c>
      <c r="E7610" s="28">
        <v>46113.0</v>
      </c>
      <c r="F7610" s="28">
        <v>46171.0</v>
      </c>
      <c r="G7610" s="29"/>
    </row>
    <row r="7611" ht="15.75" customHeight="1">
      <c r="A7611" s="30" t="s">
        <v>11275</v>
      </c>
      <c r="B7611" s="31" t="s">
        <v>1200</v>
      </c>
      <c r="C7611" s="31" t="s">
        <v>963</v>
      </c>
      <c r="D7611" s="30" t="s">
        <v>3663</v>
      </c>
      <c r="E7611" s="32">
        <v>46113.0</v>
      </c>
      <c r="F7611" s="32">
        <v>46171.0</v>
      </c>
      <c r="G7611" s="33"/>
    </row>
    <row r="7612" ht="15.75" customHeight="1">
      <c r="A7612" s="26" t="s">
        <v>11276</v>
      </c>
      <c r="B7612" s="27" t="s">
        <v>716</v>
      </c>
      <c r="C7612" s="27" t="s">
        <v>1240</v>
      </c>
      <c r="D7612" s="26" t="s">
        <v>3663</v>
      </c>
      <c r="E7612" s="28">
        <v>46113.0</v>
      </c>
      <c r="F7612" s="28">
        <v>46171.0</v>
      </c>
      <c r="G7612" s="29"/>
    </row>
    <row r="7613" ht="15.75" customHeight="1">
      <c r="A7613" s="30" t="s">
        <v>11277</v>
      </c>
      <c r="B7613" s="31" t="s">
        <v>716</v>
      </c>
      <c r="C7613" s="31" t="s">
        <v>1242</v>
      </c>
      <c r="D7613" s="30" t="s">
        <v>3663</v>
      </c>
      <c r="E7613" s="32">
        <v>46113.0</v>
      </c>
      <c r="F7613" s="32">
        <v>46171.0</v>
      </c>
      <c r="G7613" s="33"/>
    </row>
    <row r="7614" ht="15.75" customHeight="1">
      <c r="A7614" s="26" t="s">
        <v>11278</v>
      </c>
      <c r="B7614" s="27" t="s">
        <v>716</v>
      </c>
      <c r="C7614" s="27" t="s">
        <v>1244</v>
      </c>
      <c r="D7614" s="26" t="s">
        <v>3663</v>
      </c>
      <c r="E7614" s="28">
        <v>46113.0</v>
      </c>
      <c r="F7614" s="28">
        <v>46171.0</v>
      </c>
      <c r="G7614" s="29"/>
    </row>
    <row r="7615" ht="15.75" customHeight="1">
      <c r="A7615" s="30" t="s">
        <v>11279</v>
      </c>
      <c r="B7615" s="31" t="s">
        <v>716</v>
      </c>
      <c r="C7615" s="31" t="s">
        <v>1246</v>
      </c>
      <c r="D7615" s="30" t="s">
        <v>3663</v>
      </c>
      <c r="E7615" s="32">
        <v>46113.0</v>
      </c>
      <c r="F7615" s="32">
        <v>46171.0</v>
      </c>
      <c r="G7615" s="33"/>
    </row>
    <row r="7616" ht="15.75" customHeight="1">
      <c r="A7616" s="26" t="s">
        <v>11280</v>
      </c>
      <c r="B7616" s="27" t="s">
        <v>716</v>
      </c>
      <c r="C7616" s="27" t="s">
        <v>3654</v>
      </c>
      <c r="D7616" s="26" t="s">
        <v>3663</v>
      </c>
      <c r="E7616" s="28">
        <v>46113.0</v>
      </c>
      <c r="F7616" s="28">
        <v>46171.0</v>
      </c>
      <c r="G7616" s="29"/>
    </row>
    <row r="7617" ht="15.75" customHeight="1">
      <c r="A7617" s="30" t="s">
        <v>11281</v>
      </c>
      <c r="B7617" s="31" t="s">
        <v>716</v>
      </c>
      <c r="C7617" s="31" t="s">
        <v>3655</v>
      </c>
      <c r="D7617" s="30" t="s">
        <v>3663</v>
      </c>
      <c r="E7617" s="32">
        <v>46113.0</v>
      </c>
      <c r="F7617" s="32">
        <v>46171.0</v>
      </c>
      <c r="G7617" s="33"/>
    </row>
    <row r="7618" ht="15.75" customHeight="1">
      <c r="A7618" s="26" t="s">
        <v>11282</v>
      </c>
      <c r="B7618" s="27" t="s">
        <v>716</v>
      </c>
      <c r="C7618" s="27" t="s">
        <v>934</v>
      </c>
      <c r="D7618" s="26" t="s">
        <v>3663</v>
      </c>
      <c r="E7618" s="28">
        <v>46113.0</v>
      </c>
      <c r="F7618" s="28">
        <v>46171.0</v>
      </c>
      <c r="G7618" s="29"/>
    </row>
    <row r="7619" ht="15.75" customHeight="1">
      <c r="A7619" s="30" t="s">
        <v>11283</v>
      </c>
      <c r="B7619" s="31" t="s">
        <v>716</v>
      </c>
      <c r="C7619" s="31" t="s">
        <v>3640</v>
      </c>
      <c r="D7619" s="30" t="s">
        <v>3663</v>
      </c>
      <c r="E7619" s="32">
        <v>46113.0</v>
      </c>
      <c r="F7619" s="32">
        <v>46171.0</v>
      </c>
      <c r="G7619" s="33"/>
    </row>
    <row r="7620" ht="15.75" customHeight="1">
      <c r="A7620" s="26" t="s">
        <v>11284</v>
      </c>
      <c r="B7620" s="27" t="s">
        <v>716</v>
      </c>
      <c r="C7620" s="27" t="s">
        <v>1354</v>
      </c>
      <c r="D7620" s="26" t="s">
        <v>3663</v>
      </c>
      <c r="E7620" s="28">
        <v>46113.0</v>
      </c>
      <c r="F7620" s="28">
        <v>46171.0</v>
      </c>
      <c r="G7620" s="29"/>
    </row>
    <row r="7621" ht="15.75" customHeight="1">
      <c r="A7621" s="30" t="s">
        <v>11285</v>
      </c>
      <c r="B7621" s="31" t="s">
        <v>716</v>
      </c>
      <c r="C7621" s="31" t="s">
        <v>1159</v>
      </c>
      <c r="D7621" s="30" t="s">
        <v>3663</v>
      </c>
      <c r="E7621" s="32">
        <v>46113.0</v>
      </c>
      <c r="F7621" s="32">
        <v>46171.0</v>
      </c>
      <c r="G7621" s="33"/>
    </row>
    <row r="7622" ht="15.75" customHeight="1">
      <c r="A7622" s="26" t="s">
        <v>11286</v>
      </c>
      <c r="B7622" s="27" t="s">
        <v>716</v>
      </c>
      <c r="C7622" s="27" t="s">
        <v>1351</v>
      </c>
      <c r="D7622" s="26" t="s">
        <v>3663</v>
      </c>
      <c r="E7622" s="28">
        <v>46113.0</v>
      </c>
      <c r="F7622" s="28">
        <v>46171.0</v>
      </c>
      <c r="G7622" s="29"/>
    </row>
    <row r="7623" ht="15.75" customHeight="1">
      <c r="A7623" s="30" t="s">
        <v>11287</v>
      </c>
      <c r="B7623" s="31" t="s">
        <v>716</v>
      </c>
      <c r="C7623" s="31" t="s">
        <v>1349</v>
      </c>
      <c r="D7623" s="30" t="s">
        <v>3663</v>
      </c>
      <c r="E7623" s="32">
        <v>46113.0</v>
      </c>
      <c r="F7623" s="32">
        <v>46171.0</v>
      </c>
      <c r="G7623" s="33"/>
    </row>
    <row r="7624" ht="15.75" customHeight="1">
      <c r="A7624" s="26" t="s">
        <v>11288</v>
      </c>
      <c r="B7624" s="27" t="s">
        <v>716</v>
      </c>
      <c r="C7624" s="27" t="s">
        <v>968</v>
      </c>
      <c r="D7624" s="26" t="s">
        <v>3663</v>
      </c>
      <c r="E7624" s="28">
        <v>46113.0</v>
      </c>
      <c r="F7624" s="28">
        <v>46171.0</v>
      </c>
      <c r="G7624" s="29"/>
    </row>
    <row r="7625" ht="15.75" customHeight="1">
      <c r="A7625" s="30" t="s">
        <v>11289</v>
      </c>
      <c r="B7625" s="31" t="s">
        <v>716</v>
      </c>
      <c r="C7625" s="31" t="s">
        <v>923</v>
      </c>
      <c r="D7625" s="30" t="s">
        <v>3663</v>
      </c>
      <c r="E7625" s="32">
        <v>46113.0</v>
      </c>
      <c r="F7625" s="32">
        <v>46171.0</v>
      </c>
      <c r="G7625" s="33"/>
    </row>
    <row r="7626" ht="15.75" customHeight="1">
      <c r="A7626" s="26" t="s">
        <v>11290</v>
      </c>
      <c r="B7626" s="27" t="s">
        <v>717</v>
      </c>
      <c r="C7626" s="27" t="s">
        <v>3654</v>
      </c>
      <c r="D7626" s="26" t="s">
        <v>3663</v>
      </c>
      <c r="E7626" s="28">
        <v>46113.0</v>
      </c>
      <c r="F7626" s="28">
        <v>46171.0</v>
      </c>
      <c r="G7626" s="29"/>
    </row>
    <row r="7627" ht="15.75" customHeight="1">
      <c r="A7627" s="30" t="s">
        <v>11291</v>
      </c>
      <c r="B7627" s="31" t="s">
        <v>717</v>
      </c>
      <c r="C7627" s="31" t="s">
        <v>3655</v>
      </c>
      <c r="D7627" s="30" t="s">
        <v>3663</v>
      </c>
      <c r="E7627" s="32">
        <v>46113.0</v>
      </c>
      <c r="F7627" s="32">
        <v>46171.0</v>
      </c>
      <c r="G7627" s="33"/>
    </row>
    <row r="7628" ht="15.75" customHeight="1">
      <c r="A7628" s="26" t="s">
        <v>11292</v>
      </c>
      <c r="B7628" s="27" t="s">
        <v>717</v>
      </c>
      <c r="C7628" s="27" t="s">
        <v>932</v>
      </c>
      <c r="D7628" s="26" t="s">
        <v>3663</v>
      </c>
      <c r="E7628" s="28">
        <v>46113.0</v>
      </c>
      <c r="F7628" s="28">
        <v>46171.0</v>
      </c>
      <c r="G7628" s="29"/>
    </row>
    <row r="7629" ht="15.75" customHeight="1">
      <c r="A7629" s="30" t="s">
        <v>11293</v>
      </c>
      <c r="B7629" s="31" t="s">
        <v>717</v>
      </c>
      <c r="C7629" s="31" t="s">
        <v>3640</v>
      </c>
      <c r="D7629" s="30" t="s">
        <v>3663</v>
      </c>
      <c r="E7629" s="32">
        <v>46113.0</v>
      </c>
      <c r="F7629" s="32">
        <v>46171.0</v>
      </c>
      <c r="G7629" s="33"/>
    </row>
    <row r="7630" ht="15.75" customHeight="1">
      <c r="A7630" s="26" t="s">
        <v>11294</v>
      </c>
      <c r="B7630" s="27" t="s">
        <v>717</v>
      </c>
      <c r="C7630" s="27" t="s">
        <v>1323</v>
      </c>
      <c r="D7630" s="26" t="s">
        <v>3663</v>
      </c>
      <c r="E7630" s="28">
        <v>46113.0</v>
      </c>
      <c r="F7630" s="28">
        <v>46171.0</v>
      </c>
      <c r="G7630" s="29"/>
    </row>
    <row r="7631" ht="15.75" customHeight="1">
      <c r="A7631" s="30" t="s">
        <v>11295</v>
      </c>
      <c r="B7631" s="31" t="s">
        <v>717</v>
      </c>
      <c r="C7631" s="31" t="s">
        <v>1168</v>
      </c>
      <c r="D7631" s="30" t="s">
        <v>3663</v>
      </c>
      <c r="E7631" s="32">
        <v>46113.0</v>
      </c>
      <c r="F7631" s="32">
        <v>46171.0</v>
      </c>
      <c r="G7631" s="33"/>
    </row>
    <row r="7632" ht="15.75" customHeight="1">
      <c r="A7632" s="26" t="s">
        <v>11296</v>
      </c>
      <c r="B7632" s="27" t="s">
        <v>717</v>
      </c>
      <c r="C7632" s="27" t="s">
        <v>1170</v>
      </c>
      <c r="D7632" s="26" t="s">
        <v>3663</v>
      </c>
      <c r="E7632" s="28">
        <v>46113.0</v>
      </c>
      <c r="F7632" s="28">
        <v>46171.0</v>
      </c>
      <c r="G7632" s="29"/>
    </row>
    <row r="7633" ht="15.75" customHeight="1">
      <c r="A7633" s="30" t="s">
        <v>11297</v>
      </c>
      <c r="B7633" s="31" t="s">
        <v>717</v>
      </c>
      <c r="C7633" s="31" t="s">
        <v>1288</v>
      </c>
      <c r="D7633" s="30" t="s">
        <v>3663</v>
      </c>
      <c r="E7633" s="32">
        <v>46113.0</v>
      </c>
      <c r="F7633" s="32">
        <v>46171.0</v>
      </c>
      <c r="G7633" s="33"/>
    </row>
    <row r="7634" ht="15.75" customHeight="1">
      <c r="A7634" s="26" t="s">
        <v>11298</v>
      </c>
      <c r="B7634" s="27" t="s">
        <v>717</v>
      </c>
      <c r="C7634" s="27" t="s">
        <v>1291</v>
      </c>
      <c r="D7634" s="26" t="s">
        <v>3663</v>
      </c>
      <c r="E7634" s="28">
        <v>46113.0</v>
      </c>
      <c r="F7634" s="28">
        <v>46171.0</v>
      </c>
      <c r="G7634" s="29"/>
    </row>
    <row r="7635" ht="15.75" customHeight="1">
      <c r="A7635" s="30" t="s">
        <v>11299</v>
      </c>
      <c r="B7635" s="31" t="s">
        <v>717</v>
      </c>
      <c r="C7635" s="31" t="s">
        <v>1354</v>
      </c>
      <c r="D7635" s="30" t="s">
        <v>3663</v>
      </c>
      <c r="E7635" s="32">
        <v>46113.0</v>
      </c>
      <c r="F7635" s="32">
        <v>46171.0</v>
      </c>
      <c r="G7635" s="33"/>
    </row>
    <row r="7636" ht="15.75" customHeight="1">
      <c r="A7636" s="26" t="s">
        <v>11300</v>
      </c>
      <c r="B7636" s="27" t="s">
        <v>717</v>
      </c>
      <c r="C7636" s="27" t="s">
        <v>3647</v>
      </c>
      <c r="D7636" s="26" t="s">
        <v>3663</v>
      </c>
      <c r="E7636" s="28">
        <v>46113.0</v>
      </c>
      <c r="F7636" s="28">
        <v>46171.0</v>
      </c>
      <c r="G7636" s="29"/>
    </row>
    <row r="7637" ht="15.75" customHeight="1">
      <c r="A7637" s="30" t="s">
        <v>11301</v>
      </c>
      <c r="B7637" s="31" t="s">
        <v>717</v>
      </c>
      <c r="C7637" s="31" t="s">
        <v>952</v>
      </c>
      <c r="D7637" s="30" t="s">
        <v>3663</v>
      </c>
      <c r="E7637" s="32">
        <v>46113.0</v>
      </c>
      <c r="F7637" s="32">
        <v>46171.0</v>
      </c>
      <c r="G7637" s="33"/>
    </row>
    <row r="7638" ht="15.75" customHeight="1">
      <c r="A7638" s="26" t="s">
        <v>11302</v>
      </c>
      <c r="B7638" s="27" t="s">
        <v>717</v>
      </c>
      <c r="C7638" s="27" t="s">
        <v>968</v>
      </c>
      <c r="D7638" s="26" t="s">
        <v>3663</v>
      </c>
      <c r="E7638" s="28">
        <v>46113.0</v>
      </c>
      <c r="F7638" s="28">
        <v>46171.0</v>
      </c>
      <c r="G7638" s="29"/>
    </row>
    <row r="7639" ht="15.75" customHeight="1">
      <c r="A7639" s="30" t="s">
        <v>11303</v>
      </c>
      <c r="B7639" s="31" t="s">
        <v>717</v>
      </c>
      <c r="C7639" s="31" t="s">
        <v>923</v>
      </c>
      <c r="D7639" s="30" t="s">
        <v>3663</v>
      </c>
      <c r="E7639" s="32">
        <v>46113.0</v>
      </c>
      <c r="F7639" s="32">
        <v>46171.0</v>
      </c>
      <c r="G7639" s="33"/>
    </row>
    <row r="7640" ht="15.75" customHeight="1">
      <c r="A7640" s="26" t="s">
        <v>11304</v>
      </c>
      <c r="B7640" s="27" t="s">
        <v>718</v>
      </c>
      <c r="C7640" s="27" t="s">
        <v>3654</v>
      </c>
      <c r="D7640" s="26" t="s">
        <v>3663</v>
      </c>
      <c r="E7640" s="28">
        <v>46113.0</v>
      </c>
      <c r="F7640" s="28">
        <v>46171.0</v>
      </c>
      <c r="G7640" s="29"/>
    </row>
    <row r="7641" ht="15.75" customHeight="1">
      <c r="A7641" s="30" t="s">
        <v>11305</v>
      </c>
      <c r="B7641" s="31" t="s">
        <v>718</v>
      </c>
      <c r="C7641" s="31" t="s">
        <v>3655</v>
      </c>
      <c r="D7641" s="30" t="s">
        <v>3663</v>
      </c>
      <c r="E7641" s="32">
        <v>46113.0</v>
      </c>
      <c r="F7641" s="32">
        <v>46171.0</v>
      </c>
      <c r="G7641" s="33"/>
    </row>
    <row r="7642" ht="15.75" customHeight="1">
      <c r="A7642" s="26" t="s">
        <v>11306</v>
      </c>
      <c r="B7642" s="27" t="s">
        <v>718</v>
      </c>
      <c r="C7642" s="27" t="s">
        <v>932</v>
      </c>
      <c r="D7642" s="26" t="s">
        <v>3663</v>
      </c>
      <c r="E7642" s="28">
        <v>46113.0</v>
      </c>
      <c r="F7642" s="28">
        <v>46171.0</v>
      </c>
      <c r="G7642" s="29"/>
    </row>
    <row r="7643" ht="15.75" customHeight="1">
      <c r="A7643" s="30" t="s">
        <v>11307</v>
      </c>
      <c r="B7643" s="31" t="s">
        <v>718</v>
      </c>
      <c r="C7643" s="31" t="s">
        <v>1164</v>
      </c>
      <c r="D7643" s="30" t="s">
        <v>3663</v>
      </c>
      <c r="E7643" s="32">
        <v>46113.0</v>
      </c>
      <c r="F7643" s="32">
        <v>46171.0</v>
      </c>
      <c r="G7643" s="33"/>
    </row>
    <row r="7644" ht="15.75" customHeight="1">
      <c r="A7644" s="26" t="s">
        <v>11308</v>
      </c>
      <c r="B7644" s="27" t="s">
        <v>718</v>
      </c>
      <c r="C7644" s="27" t="s">
        <v>1166</v>
      </c>
      <c r="D7644" s="26" t="s">
        <v>3663</v>
      </c>
      <c r="E7644" s="28">
        <v>46113.0</v>
      </c>
      <c r="F7644" s="28">
        <v>46171.0</v>
      </c>
      <c r="G7644" s="29"/>
    </row>
    <row r="7645" ht="15.75" customHeight="1">
      <c r="A7645" s="30" t="s">
        <v>11309</v>
      </c>
      <c r="B7645" s="31" t="s">
        <v>718</v>
      </c>
      <c r="C7645" s="31" t="s">
        <v>1168</v>
      </c>
      <c r="D7645" s="30" t="s">
        <v>3663</v>
      </c>
      <c r="E7645" s="32">
        <v>46113.0</v>
      </c>
      <c r="F7645" s="32">
        <v>46171.0</v>
      </c>
      <c r="G7645" s="33"/>
    </row>
    <row r="7646" ht="15.75" customHeight="1">
      <c r="A7646" s="26" t="s">
        <v>11310</v>
      </c>
      <c r="B7646" s="27" t="s">
        <v>718</v>
      </c>
      <c r="C7646" s="27" t="s">
        <v>1170</v>
      </c>
      <c r="D7646" s="26" t="s">
        <v>3663</v>
      </c>
      <c r="E7646" s="28">
        <v>46113.0</v>
      </c>
      <c r="F7646" s="28">
        <v>46171.0</v>
      </c>
      <c r="G7646" s="29"/>
    </row>
    <row r="7647" ht="15.75" customHeight="1">
      <c r="A7647" s="30" t="s">
        <v>11311</v>
      </c>
      <c r="B7647" s="31" t="s">
        <v>718</v>
      </c>
      <c r="C7647" s="31" t="s">
        <v>1354</v>
      </c>
      <c r="D7647" s="30" t="s">
        <v>3663</v>
      </c>
      <c r="E7647" s="32">
        <v>46113.0</v>
      </c>
      <c r="F7647" s="32">
        <v>46171.0</v>
      </c>
      <c r="G7647" s="33"/>
    </row>
    <row r="7648" ht="15.75" customHeight="1">
      <c r="A7648" s="26" t="s">
        <v>11312</v>
      </c>
      <c r="B7648" s="27" t="s">
        <v>718</v>
      </c>
      <c r="C7648" s="27" t="s">
        <v>1216</v>
      </c>
      <c r="D7648" s="26" t="s">
        <v>3663</v>
      </c>
      <c r="E7648" s="28">
        <v>46113.0</v>
      </c>
      <c r="F7648" s="28">
        <v>46171.0</v>
      </c>
      <c r="G7648" s="29"/>
    </row>
    <row r="7649" ht="15.75" customHeight="1">
      <c r="A7649" s="30" t="s">
        <v>11313</v>
      </c>
      <c r="B7649" s="31" t="s">
        <v>718</v>
      </c>
      <c r="C7649" s="31" t="s">
        <v>1351</v>
      </c>
      <c r="D7649" s="30" t="s">
        <v>3663</v>
      </c>
      <c r="E7649" s="32">
        <v>46113.0</v>
      </c>
      <c r="F7649" s="32">
        <v>46171.0</v>
      </c>
      <c r="G7649" s="33"/>
    </row>
    <row r="7650" ht="15.75" customHeight="1">
      <c r="A7650" s="26" t="s">
        <v>11314</v>
      </c>
      <c r="B7650" s="27" t="s">
        <v>718</v>
      </c>
      <c r="C7650" s="27" t="s">
        <v>1349</v>
      </c>
      <c r="D7650" s="26" t="s">
        <v>3663</v>
      </c>
      <c r="E7650" s="28">
        <v>46113.0</v>
      </c>
      <c r="F7650" s="28">
        <v>46171.0</v>
      </c>
      <c r="G7650" s="29"/>
    </row>
    <row r="7651" ht="15.75" customHeight="1">
      <c r="A7651" s="30" t="s">
        <v>11315</v>
      </c>
      <c r="B7651" s="31" t="s">
        <v>718</v>
      </c>
      <c r="C7651" s="31" t="s">
        <v>968</v>
      </c>
      <c r="D7651" s="30" t="s">
        <v>3663</v>
      </c>
      <c r="E7651" s="32">
        <v>46113.0</v>
      </c>
      <c r="F7651" s="32">
        <v>46171.0</v>
      </c>
      <c r="G7651" s="33"/>
    </row>
    <row r="7652" ht="15.75" customHeight="1">
      <c r="A7652" s="26" t="s">
        <v>11316</v>
      </c>
      <c r="B7652" s="27" t="s">
        <v>718</v>
      </c>
      <c r="C7652" s="27" t="s">
        <v>923</v>
      </c>
      <c r="D7652" s="26" t="s">
        <v>3663</v>
      </c>
      <c r="E7652" s="28">
        <v>46113.0</v>
      </c>
      <c r="F7652" s="28">
        <v>46171.0</v>
      </c>
      <c r="G7652" s="29"/>
    </row>
    <row r="7653" ht="15.75" customHeight="1">
      <c r="A7653" s="30" t="s">
        <v>11317</v>
      </c>
      <c r="B7653" s="31" t="s">
        <v>718</v>
      </c>
      <c r="C7653" s="31" t="s">
        <v>961</v>
      </c>
      <c r="D7653" s="30" t="s">
        <v>3663</v>
      </c>
      <c r="E7653" s="32">
        <v>46113.0</v>
      </c>
      <c r="F7653" s="32">
        <v>46171.0</v>
      </c>
      <c r="G7653" s="33"/>
    </row>
    <row r="7654" ht="15.75" customHeight="1">
      <c r="A7654" s="26" t="s">
        <v>11318</v>
      </c>
      <c r="B7654" s="27" t="s">
        <v>719</v>
      </c>
      <c r="C7654" s="27" t="s">
        <v>934</v>
      </c>
      <c r="D7654" s="26" t="s">
        <v>3663</v>
      </c>
      <c r="E7654" s="28">
        <v>46113.0</v>
      </c>
      <c r="F7654" s="28">
        <v>46171.0</v>
      </c>
      <c r="G7654" s="29"/>
    </row>
    <row r="7655" ht="15.75" customHeight="1">
      <c r="A7655" s="30" t="s">
        <v>11319</v>
      </c>
      <c r="B7655" s="31" t="s">
        <v>719</v>
      </c>
      <c r="C7655" s="31" t="s">
        <v>1354</v>
      </c>
      <c r="D7655" s="30" t="s">
        <v>3663</v>
      </c>
      <c r="E7655" s="32">
        <v>46113.0</v>
      </c>
      <c r="F7655" s="32">
        <v>46171.0</v>
      </c>
      <c r="G7655" s="33"/>
    </row>
    <row r="7656" ht="15.75" customHeight="1">
      <c r="A7656" s="26" t="s">
        <v>11320</v>
      </c>
      <c r="B7656" s="27" t="s">
        <v>719</v>
      </c>
      <c r="C7656" s="27" t="s">
        <v>3605</v>
      </c>
      <c r="D7656" s="26" t="s">
        <v>3663</v>
      </c>
      <c r="E7656" s="28">
        <v>46113.0</v>
      </c>
      <c r="F7656" s="28">
        <v>46171.0</v>
      </c>
      <c r="G7656" s="29"/>
    </row>
    <row r="7657" ht="15.75" customHeight="1">
      <c r="A7657" s="30" t="s">
        <v>11321</v>
      </c>
      <c r="B7657" s="31" t="s">
        <v>719</v>
      </c>
      <c r="C7657" s="31" t="s">
        <v>1218</v>
      </c>
      <c r="D7657" s="30" t="s">
        <v>3663</v>
      </c>
      <c r="E7657" s="32">
        <v>46113.0</v>
      </c>
      <c r="F7657" s="32">
        <v>46171.0</v>
      </c>
      <c r="G7657" s="33"/>
    </row>
    <row r="7658" ht="15.75" customHeight="1">
      <c r="A7658" s="26" t="s">
        <v>11322</v>
      </c>
      <c r="B7658" s="27" t="s">
        <v>719</v>
      </c>
      <c r="C7658" s="27" t="s">
        <v>1157</v>
      </c>
      <c r="D7658" s="26" t="s">
        <v>3663</v>
      </c>
      <c r="E7658" s="28">
        <v>46113.0</v>
      </c>
      <c r="F7658" s="28">
        <v>46171.0</v>
      </c>
      <c r="G7658" s="29"/>
    </row>
    <row r="7659" ht="15.75" customHeight="1">
      <c r="A7659" s="30" t="s">
        <v>11323</v>
      </c>
      <c r="B7659" s="31" t="s">
        <v>719</v>
      </c>
      <c r="C7659" s="31" t="s">
        <v>1155</v>
      </c>
      <c r="D7659" s="30" t="s">
        <v>3663</v>
      </c>
      <c r="E7659" s="32">
        <v>46113.0</v>
      </c>
      <c r="F7659" s="32">
        <v>46171.0</v>
      </c>
      <c r="G7659" s="33"/>
    </row>
    <row r="7660" ht="15.75" customHeight="1">
      <c r="A7660" s="26" t="s">
        <v>11324</v>
      </c>
      <c r="B7660" s="27" t="s">
        <v>719</v>
      </c>
      <c r="C7660" s="27" t="s">
        <v>1153</v>
      </c>
      <c r="D7660" s="26" t="s">
        <v>3663</v>
      </c>
      <c r="E7660" s="28">
        <v>46113.0</v>
      </c>
      <c r="F7660" s="28">
        <v>46171.0</v>
      </c>
      <c r="G7660" s="29"/>
    </row>
    <row r="7661" ht="15.75" customHeight="1">
      <c r="A7661" s="30" t="s">
        <v>11325</v>
      </c>
      <c r="B7661" s="31" t="s">
        <v>719</v>
      </c>
      <c r="C7661" s="31" t="s">
        <v>1149</v>
      </c>
      <c r="D7661" s="30" t="s">
        <v>3663</v>
      </c>
      <c r="E7661" s="32">
        <v>46113.0</v>
      </c>
      <c r="F7661" s="32">
        <v>46171.0</v>
      </c>
      <c r="G7661" s="33"/>
    </row>
    <row r="7662" ht="15.75" customHeight="1">
      <c r="A7662" s="26" t="s">
        <v>11326</v>
      </c>
      <c r="B7662" s="27" t="s">
        <v>719</v>
      </c>
      <c r="C7662" s="27" t="s">
        <v>1351</v>
      </c>
      <c r="D7662" s="26" t="s">
        <v>3663</v>
      </c>
      <c r="E7662" s="28">
        <v>46113.0</v>
      </c>
      <c r="F7662" s="28">
        <v>46171.0</v>
      </c>
      <c r="G7662" s="29"/>
    </row>
    <row r="7663" ht="15.75" customHeight="1">
      <c r="A7663" s="30" t="s">
        <v>11327</v>
      </c>
      <c r="B7663" s="31" t="s">
        <v>719</v>
      </c>
      <c r="C7663" s="31" t="s">
        <v>1349</v>
      </c>
      <c r="D7663" s="30" t="s">
        <v>3663</v>
      </c>
      <c r="E7663" s="32">
        <v>46113.0</v>
      </c>
      <c r="F7663" s="32">
        <v>46171.0</v>
      </c>
      <c r="G7663" s="33"/>
    </row>
    <row r="7664" ht="15.75" customHeight="1">
      <c r="A7664" s="26" t="s">
        <v>11328</v>
      </c>
      <c r="B7664" s="27" t="s">
        <v>719</v>
      </c>
      <c r="C7664" s="27" t="s">
        <v>3653</v>
      </c>
      <c r="D7664" s="27" t="s">
        <v>3663</v>
      </c>
      <c r="E7664" s="28">
        <v>46113.0</v>
      </c>
      <c r="F7664" s="28">
        <v>46171.0</v>
      </c>
      <c r="G7664" s="29"/>
    </row>
    <row r="7665" ht="15.75" customHeight="1">
      <c r="A7665" s="30" t="s">
        <v>11329</v>
      </c>
      <c r="B7665" s="31" t="s">
        <v>719</v>
      </c>
      <c r="C7665" s="31" t="s">
        <v>3652</v>
      </c>
      <c r="D7665" s="30" t="s">
        <v>3663</v>
      </c>
      <c r="E7665" s="32">
        <v>46113.0</v>
      </c>
      <c r="F7665" s="32">
        <v>46171.0</v>
      </c>
      <c r="G7665" s="33"/>
    </row>
    <row r="7666" ht="15.75" customHeight="1">
      <c r="A7666" s="26" t="s">
        <v>11330</v>
      </c>
      <c r="B7666" s="27" t="s">
        <v>719</v>
      </c>
      <c r="C7666" s="27" t="s">
        <v>968</v>
      </c>
      <c r="D7666" s="26" t="s">
        <v>3663</v>
      </c>
      <c r="E7666" s="28">
        <v>46113.0</v>
      </c>
      <c r="F7666" s="28">
        <v>46171.0</v>
      </c>
      <c r="G7666" s="29"/>
    </row>
    <row r="7667" ht="15.75" customHeight="1">
      <c r="A7667" s="30" t="s">
        <v>11331</v>
      </c>
      <c r="B7667" s="31" t="s">
        <v>719</v>
      </c>
      <c r="C7667" s="31" t="s">
        <v>923</v>
      </c>
      <c r="D7667" s="30" t="s">
        <v>3663</v>
      </c>
      <c r="E7667" s="32">
        <v>46113.0</v>
      </c>
      <c r="F7667" s="32">
        <v>46171.0</v>
      </c>
      <c r="G7667" s="33"/>
    </row>
    <row r="7668" ht="15.75" customHeight="1">
      <c r="A7668" s="26" t="s">
        <v>11332</v>
      </c>
      <c r="B7668" s="27" t="s">
        <v>720</v>
      </c>
      <c r="C7668" s="27" t="s">
        <v>3654</v>
      </c>
      <c r="D7668" s="26" t="s">
        <v>3663</v>
      </c>
      <c r="E7668" s="28">
        <v>46113.0</v>
      </c>
      <c r="F7668" s="28">
        <v>46171.0</v>
      </c>
      <c r="G7668" s="29"/>
    </row>
    <row r="7669" ht="15.75" customHeight="1">
      <c r="A7669" s="30" t="s">
        <v>11333</v>
      </c>
      <c r="B7669" s="31" t="s">
        <v>720</v>
      </c>
      <c r="C7669" s="31" t="s">
        <v>3655</v>
      </c>
      <c r="D7669" s="30" t="s">
        <v>3663</v>
      </c>
      <c r="E7669" s="32">
        <v>46113.0</v>
      </c>
      <c r="F7669" s="32">
        <v>46171.0</v>
      </c>
      <c r="G7669" s="33"/>
    </row>
    <row r="7670" ht="15.75" customHeight="1">
      <c r="A7670" s="26" t="s">
        <v>11334</v>
      </c>
      <c r="B7670" s="27" t="s">
        <v>720</v>
      </c>
      <c r="C7670" s="27" t="s">
        <v>932</v>
      </c>
      <c r="D7670" s="26" t="s">
        <v>3663</v>
      </c>
      <c r="E7670" s="28">
        <v>46113.0</v>
      </c>
      <c r="F7670" s="28">
        <v>46171.0</v>
      </c>
      <c r="G7670" s="29"/>
    </row>
    <row r="7671" ht="15.75" customHeight="1">
      <c r="A7671" s="30" t="s">
        <v>11335</v>
      </c>
      <c r="B7671" s="31" t="s">
        <v>720</v>
      </c>
      <c r="C7671" s="31" t="s">
        <v>1168</v>
      </c>
      <c r="D7671" s="30" t="s">
        <v>3663</v>
      </c>
      <c r="E7671" s="32">
        <v>46113.0</v>
      </c>
      <c r="F7671" s="32">
        <v>46171.0</v>
      </c>
      <c r="G7671" s="33"/>
    </row>
    <row r="7672" ht="15.75" customHeight="1">
      <c r="A7672" s="26" t="s">
        <v>11336</v>
      </c>
      <c r="B7672" s="27" t="s">
        <v>720</v>
      </c>
      <c r="C7672" s="27" t="s">
        <v>1170</v>
      </c>
      <c r="D7672" s="26" t="s">
        <v>3663</v>
      </c>
      <c r="E7672" s="28">
        <v>46113.0</v>
      </c>
      <c r="F7672" s="28">
        <v>46171.0</v>
      </c>
      <c r="G7672" s="29"/>
    </row>
    <row r="7673" ht="15.75" customHeight="1">
      <c r="A7673" s="30" t="s">
        <v>11337</v>
      </c>
      <c r="B7673" s="31" t="s">
        <v>720</v>
      </c>
      <c r="C7673" s="31" t="s">
        <v>1288</v>
      </c>
      <c r="D7673" s="30" t="s">
        <v>3663</v>
      </c>
      <c r="E7673" s="32">
        <v>46113.0</v>
      </c>
      <c r="F7673" s="32">
        <v>46171.0</v>
      </c>
      <c r="G7673" s="33"/>
    </row>
    <row r="7674" ht="15.75" customHeight="1">
      <c r="A7674" s="26" t="s">
        <v>11338</v>
      </c>
      <c r="B7674" s="27" t="s">
        <v>720</v>
      </c>
      <c r="C7674" s="27" t="s">
        <v>1291</v>
      </c>
      <c r="D7674" s="26" t="s">
        <v>3663</v>
      </c>
      <c r="E7674" s="28">
        <v>46113.0</v>
      </c>
      <c r="F7674" s="28">
        <v>46171.0</v>
      </c>
      <c r="G7674" s="29"/>
    </row>
    <row r="7675" ht="15.75" customHeight="1">
      <c r="A7675" s="30" t="s">
        <v>11339</v>
      </c>
      <c r="B7675" s="31" t="s">
        <v>720</v>
      </c>
      <c r="C7675" s="31" t="s">
        <v>1354</v>
      </c>
      <c r="D7675" s="30" t="s">
        <v>3663</v>
      </c>
      <c r="E7675" s="32">
        <v>46113.0</v>
      </c>
      <c r="F7675" s="32">
        <v>46171.0</v>
      </c>
      <c r="G7675" s="33"/>
    </row>
    <row r="7676" ht="15.75" customHeight="1">
      <c r="A7676" s="26" t="s">
        <v>11340</v>
      </c>
      <c r="B7676" s="27" t="s">
        <v>720</v>
      </c>
      <c r="C7676" s="27" t="s">
        <v>1172</v>
      </c>
      <c r="D7676" s="26" t="s">
        <v>3663</v>
      </c>
      <c r="E7676" s="28">
        <v>46113.0</v>
      </c>
      <c r="F7676" s="28">
        <v>46171.0</v>
      </c>
      <c r="G7676" s="35"/>
    </row>
    <row r="7677" ht="15.75" customHeight="1">
      <c r="A7677" s="30" t="s">
        <v>11341</v>
      </c>
      <c r="B7677" s="31" t="s">
        <v>720</v>
      </c>
      <c r="C7677" s="31" t="s">
        <v>1312</v>
      </c>
      <c r="D7677" s="30" t="s">
        <v>3663</v>
      </c>
      <c r="E7677" s="32">
        <v>46113.0</v>
      </c>
      <c r="F7677" s="32">
        <v>46171.0</v>
      </c>
      <c r="G7677" s="33"/>
    </row>
    <row r="7678" ht="15.75" customHeight="1">
      <c r="A7678" s="26" t="s">
        <v>11342</v>
      </c>
      <c r="B7678" s="27" t="s">
        <v>720</v>
      </c>
      <c r="C7678" s="27" t="s">
        <v>3647</v>
      </c>
      <c r="D7678" s="26" t="s">
        <v>3663</v>
      </c>
      <c r="E7678" s="28">
        <v>46113.0</v>
      </c>
      <c r="F7678" s="28">
        <v>46171.0</v>
      </c>
      <c r="G7678" s="29"/>
    </row>
    <row r="7679" ht="15.75" customHeight="1">
      <c r="A7679" s="30" t="s">
        <v>11343</v>
      </c>
      <c r="B7679" s="31" t="s">
        <v>720</v>
      </c>
      <c r="C7679" s="31" t="s">
        <v>952</v>
      </c>
      <c r="D7679" s="30" t="s">
        <v>3663</v>
      </c>
      <c r="E7679" s="32">
        <v>46113.0</v>
      </c>
      <c r="F7679" s="32">
        <v>46171.0</v>
      </c>
      <c r="G7679" s="33"/>
    </row>
    <row r="7680" ht="15.75" customHeight="1">
      <c r="A7680" s="26" t="s">
        <v>11344</v>
      </c>
      <c r="B7680" s="27" t="s">
        <v>720</v>
      </c>
      <c r="C7680" s="27" t="s">
        <v>968</v>
      </c>
      <c r="D7680" s="26" t="s">
        <v>3663</v>
      </c>
      <c r="E7680" s="28">
        <v>46113.0</v>
      </c>
      <c r="F7680" s="28">
        <v>46171.0</v>
      </c>
      <c r="G7680" s="29"/>
    </row>
    <row r="7681" ht="15.75" customHeight="1">
      <c r="A7681" s="30" t="s">
        <v>11345</v>
      </c>
      <c r="B7681" s="31" t="s">
        <v>720</v>
      </c>
      <c r="C7681" s="31" t="s">
        <v>923</v>
      </c>
      <c r="D7681" s="30" t="s">
        <v>3663</v>
      </c>
      <c r="E7681" s="32">
        <v>46113.0</v>
      </c>
      <c r="F7681" s="32">
        <v>46171.0</v>
      </c>
      <c r="G7681" s="33"/>
    </row>
    <row r="7682" ht="15.75" customHeight="1">
      <c r="A7682" s="26" t="s">
        <v>11346</v>
      </c>
      <c r="B7682" s="27" t="s">
        <v>721</v>
      </c>
      <c r="C7682" s="27" t="s">
        <v>928</v>
      </c>
      <c r="D7682" s="26" t="s">
        <v>3663</v>
      </c>
      <c r="E7682" s="28">
        <v>46113.0</v>
      </c>
      <c r="F7682" s="28">
        <v>46171.0</v>
      </c>
      <c r="G7682" s="29"/>
    </row>
    <row r="7683" ht="15.75" customHeight="1">
      <c r="A7683" s="30" t="s">
        <v>11347</v>
      </c>
      <c r="B7683" s="31" t="s">
        <v>721</v>
      </c>
      <c r="C7683" s="31" t="s">
        <v>1354</v>
      </c>
      <c r="D7683" s="30" t="s">
        <v>3663</v>
      </c>
      <c r="E7683" s="32">
        <v>46113.0</v>
      </c>
      <c r="F7683" s="32">
        <v>46171.0</v>
      </c>
      <c r="G7683" s="33"/>
    </row>
    <row r="7684" ht="15.75" customHeight="1">
      <c r="A7684" s="26" t="s">
        <v>11348</v>
      </c>
      <c r="B7684" s="27" t="s">
        <v>721</v>
      </c>
      <c r="C7684" s="27" t="s">
        <v>1222</v>
      </c>
      <c r="D7684" s="26" t="s">
        <v>3663</v>
      </c>
      <c r="E7684" s="28">
        <v>46113.0</v>
      </c>
      <c r="F7684" s="28">
        <v>46171.0</v>
      </c>
      <c r="G7684" s="29"/>
    </row>
    <row r="7685" ht="15.75" customHeight="1">
      <c r="A7685" s="30" t="s">
        <v>11349</v>
      </c>
      <c r="B7685" s="31" t="s">
        <v>721</v>
      </c>
      <c r="C7685" s="31" t="s">
        <v>1224</v>
      </c>
      <c r="D7685" s="30" t="s">
        <v>3663</v>
      </c>
      <c r="E7685" s="32">
        <v>46113.0</v>
      </c>
      <c r="F7685" s="32">
        <v>46171.0</v>
      </c>
      <c r="G7685" s="33"/>
    </row>
    <row r="7686" ht="15.75" customHeight="1">
      <c r="A7686" s="26" t="s">
        <v>11350</v>
      </c>
      <c r="B7686" s="27" t="s">
        <v>721</v>
      </c>
      <c r="C7686" s="27" t="s">
        <v>1226</v>
      </c>
      <c r="D7686" s="26" t="s">
        <v>3663</v>
      </c>
      <c r="E7686" s="28">
        <v>46113.0</v>
      </c>
      <c r="F7686" s="28">
        <v>46171.0</v>
      </c>
      <c r="G7686" s="29"/>
    </row>
    <row r="7687" ht="15.75" customHeight="1">
      <c r="A7687" s="30" t="s">
        <v>11351</v>
      </c>
      <c r="B7687" s="31" t="s">
        <v>721</v>
      </c>
      <c r="C7687" s="31" t="s">
        <v>1228</v>
      </c>
      <c r="D7687" s="30" t="s">
        <v>3663</v>
      </c>
      <c r="E7687" s="32">
        <v>46113.0</v>
      </c>
      <c r="F7687" s="32">
        <v>46171.0</v>
      </c>
      <c r="G7687" s="33"/>
    </row>
    <row r="7688" ht="15.75" customHeight="1">
      <c r="A7688" s="26" t="s">
        <v>11352</v>
      </c>
      <c r="B7688" s="27" t="s">
        <v>721</v>
      </c>
      <c r="C7688" s="27" t="s">
        <v>1216</v>
      </c>
      <c r="D7688" s="26" t="s">
        <v>3663</v>
      </c>
      <c r="E7688" s="28">
        <v>46113.0</v>
      </c>
      <c r="F7688" s="28">
        <v>46171.0</v>
      </c>
      <c r="G7688" s="29"/>
    </row>
    <row r="7689" ht="15.75" customHeight="1">
      <c r="A7689" s="30" t="s">
        <v>11353</v>
      </c>
      <c r="B7689" s="31" t="s">
        <v>721</v>
      </c>
      <c r="C7689" s="31" t="s">
        <v>1218</v>
      </c>
      <c r="D7689" s="30" t="s">
        <v>3663</v>
      </c>
      <c r="E7689" s="32">
        <v>46113.0</v>
      </c>
      <c r="F7689" s="32">
        <v>46171.0</v>
      </c>
      <c r="G7689" s="33"/>
    </row>
    <row r="7690" ht="15.75" customHeight="1">
      <c r="A7690" s="26" t="s">
        <v>11354</v>
      </c>
      <c r="B7690" s="27" t="s">
        <v>721</v>
      </c>
      <c r="C7690" s="27" t="s">
        <v>1351</v>
      </c>
      <c r="D7690" s="26" t="s">
        <v>3663</v>
      </c>
      <c r="E7690" s="28">
        <v>46113.0</v>
      </c>
      <c r="F7690" s="28">
        <v>46171.0</v>
      </c>
      <c r="G7690" s="29"/>
    </row>
    <row r="7691" ht="15.75" customHeight="1">
      <c r="A7691" s="30" t="s">
        <v>11355</v>
      </c>
      <c r="B7691" s="31" t="s">
        <v>721</v>
      </c>
      <c r="C7691" s="31" t="s">
        <v>1349</v>
      </c>
      <c r="D7691" s="30" t="s">
        <v>3663</v>
      </c>
      <c r="E7691" s="32">
        <v>46113.0</v>
      </c>
      <c r="F7691" s="32">
        <v>46171.0</v>
      </c>
      <c r="G7691" s="33"/>
    </row>
    <row r="7692" ht="15.75" customHeight="1">
      <c r="A7692" s="26" t="s">
        <v>11356</v>
      </c>
      <c r="B7692" s="27" t="s">
        <v>721</v>
      </c>
      <c r="C7692" s="27" t="s">
        <v>3653</v>
      </c>
      <c r="D7692" s="26" t="s">
        <v>3663</v>
      </c>
      <c r="E7692" s="28">
        <v>46113.0</v>
      </c>
      <c r="F7692" s="28">
        <v>46171.0</v>
      </c>
      <c r="G7692" s="29"/>
    </row>
    <row r="7693" ht="15.75" customHeight="1">
      <c r="A7693" s="30" t="s">
        <v>11357</v>
      </c>
      <c r="B7693" s="31" t="s">
        <v>721</v>
      </c>
      <c r="C7693" s="31" t="s">
        <v>3652</v>
      </c>
      <c r="D7693" s="31" t="s">
        <v>3663</v>
      </c>
      <c r="E7693" s="32">
        <v>46113.0</v>
      </c>
      <c r="F7693" s="32">
        <v>46171.0</v>
      </c>
      <c r="G7693" s="33"/>
    </row>
    <row r="7694" ht="15.75" customHeight="1">
      <c r="A7694" s="26" t="s">
        <v>11358</v>
      </c>
      <c r="B7694" s="27" t="s">
        <v>721</v>
      </c>
      <c r="C7694" s="27" t="s">
        <v>965</v>
      </c>
      <c r="D7694" s="26" t="s">
        <v>3663</v>
      </c>
      <c r="E7694" s="28">
        <v>46113.0</v>
      </c>
      <c r="F7694" s="28">
        <v>46171.0</v>
      </c>
      <c r="G7694" s="29"/>
    </row>
    <row r="7695" ht="15.75" customHeight="1">
      <c r="A7695" s="30" t="s">
        <v>11359</v>
      </c>
      <c r="B7695" s="31" t="s">
        <v>721</v>
      </c>
      <c r="C7695" s="31" t="s">
        <v>923</v>
      </c>
      <c r="D7695" s="30" t="s">
        <v>3663</v>
      </c>
      <c r="E7695" s="32">
        <v>46113.0</v>
      </c>
      <c r="F7695" s="32">
        <v>46171.0</v>
      </c>
      <c r="G7695" s="33"/>
    </row>
    <row r="7696" ht="15.75" customHeight="1">
      <c r="A7696" s="26" t="s">
        <v>11360</v>
      </c>
      <c r="B7696" s="27" t="s">
        <v>722</v>
      </c>
      <c r="C7696" s="27" t="s">
        <v>932</v>
      </c>
      <c r="D7696" s="26" t="s">
        <v>3663</v>
      </c>
      <c r="E7696" s="28">
        <v>46113.0</v>
      </c>
      <c r="F7696" s="28">
        <v>46171.0</v>
      </c>
      <c r="G7696" s="29"/>
    </row>
    <row r="7697" ht="15.75" customHeight="1">
      <c r="A7697" s="30" t="s">
        <v>11361</v>
      </c>
      <c r="B7697" s="31" t="s">
        <v>722</v>
      </c>
      <c r="C7697" s="31" t="s">
        <v>1168</v>
      </c>
      <c r="D7697" s="30" t="s">
        <v>3663</v>
      </c>
      <c r="E7697" s="32">
        <v>46113.0</v>
      </c>
      <c r="F7697" s="32">
        <v>46171.0</v>
      </c>
      <c r="G7697" s="33"/>
    </row>
    <row r="7698" ht="15.75" customHeight="1">
      <c r="A7698" s="26" t="s">
        <v>11362</v>
      </c>
      <c r="B7698" s="27" t="s">
        <v>722</v>
      </c>
      <c r="C7698" s="27" t="s">
        <v>1170</v>
      </c>
      <c r="D7698" s="26" t="s">
        <v>3663</v>
      </c>
      <c r="E7698" s="28">
        <v>46113.0</v>
      </c>
      <c r="F7698" s="28">
        <v>46171.0</v>
      </c>
      <c r="G7698" s="29"/>
    </row>
    <row r="7699" ht="15.75" customHeight="1">
      <c r="A7699" s="30" t="s">
        <v>11363</v>
      </c>
      <c r="B7699" s="31" t="s">
        <v>722</v>
      </c>
      <c r="C7699" s="31" t="s">
        <v>1288</v>
      </c>
      <c r="D7699" s="30" t="s">
        <v>3663</v>
      </c>
      <c r="E7699" s="32">
        <v>46113.0</v>
      </c>
      <c r="F7699" s="32">
        <v>46171.0</v>
      </c>
      <c r="G7699" s="33"/>
    </row>
    <row r="7700" ht="15.75" customHeight="1">
      <c r="A7700" s="26" t="s">
        <v>11364</v>
      </c>
      <c r="B7700" s="27" t="s">
        <v>722</v>
      </c>
      <c r="C7700" s="27" t="s">
        <v>1291</v>
      </c>
      <c r="D7700" s="26" t="s">
        <v>3663</v>
      </c>
      <c r="E7700" s="28">
        <v>46113.0</v>
      </c>
      <c r="F7700" s="28">
        <v>46171.0</v>
      </c>
      <c r="G7700" s="29"/>
    </row>
    <row r="7701" ht="15.75" customHeight="1">
      <c r="A7701" s="30" t="s">
        <v>11365</v>
      </c>
      <c r="B7701" s="31" t="s">
        <v>722</v>
      </c>
      <c r="C7701" s="31" t="s">
        <v>1354</v>
      </c>
      <c r="D7701" s="30" t="s">
        <v>3663</v>
      </c>
      <c r="E7701" s="32">
        <v>46113.0</v>
      </c>
      <c r="F7701" s="32">
        <v>46171.0</v>
      </c>
      <c r="G7701" s="33"/>
    </row>
    <row r="7702" ht="15.75" customHeight="1">
      <c r="A7702" s="26" t="s">
        <v>11366</v>
      </c>
      <c r="B7702" s="27" t="s">
        <v>722</v>
      </c>
      <c r="C7702" s="27" t="s">
        <v>1172</v>
      </c>
      <c r="D7702" s="26" t="s">
        <v>3663</v>
      </c>
      <c r="E7702" s="28">
        <v>46113.0</v>
      </c>
      <c r="F7702" s="28">
        <v>46171.0</v>
      </c>
      <c r="G7702" s="29"/>
    </row>
    <row r="7703" ht="15.75" customHeight="1">
      <c r="A7703" s="30" t="s">
        <v>11367</v>
      </c>
      <c r="B7703" s="31" t="s">
        <v>722</v>
      </c>
      <c r="C7703" s="31" t="s">
        <v>1312</v>
      </c>
      <c r="D7703" s="30" t="s">
        <v>3663</v>
      </c>
      <c r="E7703" s="32">
        <v>46113.0</v>
      </c>
      <c r="F7703" s="32">
        <v>46171.0</v>
      </c>
      <c r="G7703" s="33"/>
    </row>
    <row r="7704" ht="15.75" customHeight="1">
      <c r="A7704" s="26" t="s">
        <v>11368</v>
      </c>
      <c r="B7704" s="27" t="s">
        <v>722</v>
      </c>
      <c r="C7704" s="27" t="s">
        <v>3681</v>
      </c>
      <c r="D7704" s="26" t="s">
        <v>3663</v>
      </c>
      <c r="E7704" s="28">
        <v>46113.0</v>
      </c>
      <c r="F7704" s="28">
        <v>46171.0</v>
      </c>
      <c r="G7704" s="29"/>
    </row>
    <row r="7705" ht="15.75" customHeight="1">
      <c r="A7705" s="30" t="s">
        <v>11369</v>
      </c>
      <c r="B7705" s="31" t="s">
        <v>722</v>
      </c>
      <c r="C7705" s="31" t="s">
        <v>3683</v>
      </c>
      <c r="D7705" s="30" t="s">
        <v>3663</v>
      </c>
      <c r="E7705" s="32">
        <v>46113.0</v>
      </c>
      <c r="F7705" s="32">
        <v>46171.0</v>
      </c>
      <c r="G7705" s="33"/>
    </row>
    <row r="7706" ht="15.75" customHeight="1">
      <c r="A7706" s="26" t="s">
        <v>11370</v>
      </c>
      <c r="B7706" s="27" t="s">
        <v>722</v>
      </c>
      <c r="C7706" s="27" t="s">
        <v>3647</v>
      </c>
      <c r="D7706" s="26" t="s">
        <v>3663</v>
      </c>
      <c r="E7706" s="28">
        <v>46113.0</v>
      </c>
      <c r="F7706" s="28">
        <v>46171.0</v>
      </c>
      <c r="G7706" s="29"/>
    </row>
    <row r="7707" ht="15.75" customHeight="1">
      <c r="A7707" s="30" t="s">
        <v>11371</v>
      </c>
      <c r="B7707" s="31" t="s">
        <v>722</v>
      </c>
      <c r="C7707" s="31" t="s">
        <v>952</v>
      </c>
      <c r="D7707" s="30" t="s">
        <v>3663</v>
      </c>
      <c r="E7707" s="32">
        <v>46113.0</v>
      </c>
      <c r="F7707" s="32">
        <v>46171.0</v>
      </c>
      <c r="G7707" s="33"/>
    </row>
    <row r="7708" ht="15.75" customHeight="1">
      <c r="A7708" s="26" t="s">
        <v>11372</v>
      </c>
      <c r="B7708" s="27" t="s">
        <v>722</v>
      </c>
      <c r="C7708" s="27" t="s">
        <v>965</v>
      </c>
      <c r="D7708" s="26" t="s">
        <v>3663</v>
      </c>
      <c r="E7708" s="28">
        <v>46113.0</v>
      </c>
      <c r="F7708" s="28">
        <v>46171.0</v>
      </c>
      <c r="G7708" s="29"/>
    </row>
    <row r="7709" ht="15.75" customHeight="1">
      <c r="A7709" s="30" t="s">
        <v>11373</v>
      </c>
      <c r="B7709" s="31" t="s">
        <v>722</v>
      </c>
      <c r="C7709" s="31" t="s">
        <v>923</v>
      </c>
      <c r="D7709" s="30" t="s">
        <v>3663</v>
      </c>
      <c r="E7709" s="32">
        <v>46113.0</v>
      </c>
      <c r="F7709" s="32">
        <v>46171.0</v>
      </c>
      <c r="G7709" s="33"/>
    </row>
    <row r="7710" ht="15.75" customHeight="1">
      <c r="A7710" s="26" t="s">
        <v>11374</v>
      </c>
      <c r="B7710" s="27" t="s">
        <v>723</v>
      </c>
      <c r="C7710" s="27" t="s">
        <v>930</v>
      </c>
      <c r="D7710" s="26" t="s">
        <v>3663</v>
      </c>
      <c r="E7710" s="28">
        <v>46113.0</v>
      </c>
      <c r="F7710" s="28">
        <v>46171.0</v>
      </c>
      <c r="G7710" s="29"/>
    </row>
    <row r="7711" ht="15.75" customHeight="1">
      <c r="A7711" s="30" t="s">
        <v>11375</v>
      </c>
      <c r="B7711" s="31" t="s">
        <v>723</v>
      </c>
      <c r="C7711" s="31" t="s">
        <v>1354</v>
      </c>
      <c r="D7711" s="30" t="s">
        <v>3663</v>
      </c>
      <c r="E7711" s="32">
        <v>46113.0</v>
      </c>
      <c r="F7711" s="32">
        <v>46171.0</v>
      </c>
      <c r="G7711" s="33"/>
    </row>
    <row r="7712" ht="15.75" customHeight="1">
      <c r="A7712" s="26" t="s">
        <v>11376</v>
      </c>
      <c r="B7712" s="27" t="s">
        <v>723</v>
      </c>
      <c r="C7712" s="27" t="s">
        <v>1304</v>
      </c>
      <c r="D7712" s="26" t="s">
        <v>3663</v>
      </c>
      <c r="E7712" s="28">
        <v>46113.0</v>
      </c>
      <c r="F7712" s="28">
        <v>46171.0</v>
      </c>
      <c r="G7712" s="29"/>
    </row>
    <row r="7713" ht="15.75" customHeight="1">
      <c r="A7713" s="30" t="s">
        <v>11377</v>
      </c>
      <c r="B7713" s="31" t="s">
        <v>723</v>
      </c>
      <c r="C7713" s="31" t="s">
        <v>1306</v>
      </c>
      <c r="D7713" s="30" t="s">
        <v>3663</v>
      </c>
      <c r="E7713" s="32">
        <v>46113.0</v>
      </c>
      <c r="F7713" s="32">
        <v>46171.0</v>
      </c>
      <c r="G7713" s="33"/>
    </row>
    <row r="7714" ht="15.75" customHeight="1">
      <c r="A7714" s="26" t="s">
        <v>11378</v>
      </c>
      <c r="B7714" s="27" t="s">
        <v>723</v>
      </c>
      <c r="C7714" s="27" t="s">
        <v>1308</v>
      </c>
      <c r="D7714" s="26" t="s">
        <v>3663</v>
      </c>
      <c r="E7714" s="28">
        <v>46113.0</v>
      </c>
      <c r="F7714" s="28">
        <v>46171.0</v>
      </c>
      <c r="G7714" s="29"/>
    </row>
    <row r="7715" ht="15.75" customHeight="1">
      <c r="A7715" s="30" t="s">
        <v>11379</v>
      </c>
      <c r="B7715" s="31" t="s">
        <v>723</v>
      </c>
      <c r="C7715" s="31" t="s">
        <v>1310</v>
      </c>
      <c r="D7715" s="30" t="s">
        <v>3663</v>
      </c>
      <c r="E7715" s="32">
        <v>46113.0</v>
      </c>
      <c r="F7715" s="32">
        <v>46171.0</v>
      </c>
      <c r="G7715" s="33"/>
    </row>
    <row r="7716" ht="15.75" customHeight="1">
      <c r="A7716" s="26" t="s">
        <v>11380</v>
      </c>
      <c r="B7716" s="27" t="s">
        <v>723</v>
      </c>
      <c r="C7716" s="27" t="s">
        <v>1172</v>
      </c>
      <c r="D7716" s="26" t="s">
        <v>3663</v>
      </c>
      <c r="E7716" s="28">
        <v>46113.0</v>
      </c>
      <c r="F7716" s="28">
        <v>46171.0</v>
      </c>
      <c r="G7716" s="29"/>
    </row>
    <row r="7717" ht="15.75" customHeight="1">
      <c r="A7717" s="30" t="s">
        <v>11381</v>
      </c>
      <c r="B7717" s="31" t="s">
        <v>723</v>
      </c>
      <c r="C7717" s="31" t="s">
        <v>1312</v>
      </c>
      <c r="D7717" s="30" t="s">
        <v>3663</v>
      </c>
      <c r="E7717" s="32">
        <v>46113.0</v>
      </c>
      <c r="F7717" s="32">
        <v>46171.0</v>
      </c>
      <c r="G7717" s="33"/>
    </row>
    <row r="7718" ht="15.75" customHeight="1">
      <c r="A7718" s="26" t="s">
        <v>11382</v>
      </c>
      <c r="B7718" s="27" t="s">
        <v>723</v>
      </c>
      <c r="C7718" s="27" t="s">
        <v>3656</v>
      </c>
      <c r="D7718" s="26" t="s">
        <v>3663</v>
      </c>
      <c r="E7718" s="28">
        <v>46113.0</v>
      </c>
      <c r="F7718" s="28">
        <v>46171.0</v>
      </c>
      <c r="G7718" s="29"/>
    </row>
    <row r="7719" ht="15.75" customHeight="1">
      <c r="A7719" s="30" t="s">
        <v>11383</v>
      </c>
      <c r="B7719" s="31" t="s">
        <v>723</v>
      </c>
      <c r="C7719" s="31" t="s">
        <v>3657</v>
      </c>
      <c r="D7719" s="30" t="s">
        <v>3663</v>
      </c>
      <c r="E7719" s="32">
        <v>46113.0</v>
      </c>
      <c r="F7719" s="32">
        <v>46171.0</v>
      </c>
      <c r="G7719" s="33"/>
    </row>
    <row r="7720" ht="15.75" customHeight="1">
      <c r="A7720" s="26" t="s">
        <v>11384</v>
      </c>
      <c r="B7720" s="27" t="s">
        <v>723</v>
      </c>
      <c r="C7720" s="27" t="s">
        <v>1351</v>
      </c>
      <c r="D7720" s="26" t="s">
        <v>3663</v>
      </c>
      <c r="E7720" s="28">
        <v>46113.0</v>
      </c>
      <c r="F7720" s="28">
        <v>46171.0</v>
      </c>
      <c r="G7720" s="29"/>
    </row>
    <row r="7721" ht="15.75" customHeight="1">
      <c r="A7721" s="30" t="s">
        <v>11385</v>
      </c>
      <c r="B7721" s="31" t="s">
        <v>723</v>
      </c>
      <c r="C7721" s="31" t="s">
        <v>1349</v>
      </c>
      <c r="D7721" s="30" t="s">
        <v>3663</v>
      </c>
      <c r="E7721" s="32">
        <v>46113.0</v>
      </c>
      <c r="F7721" s="32">
        <v>46171.0</v>
      </c>
      <c r="G7721" s="33"/>
    </row>
    <row r="7722" ht="15.75" customHeight="1">
      <c r="A7722" s="26" t="s">
        <v>11386</v>
      </c>
      <c r="B7722" s="27" t="s">
        <v>723</v>
      </c>
      <c r="C7722" s="27" t="s">
        <v>965</v>
      </c>
      <c r="D7722" s="26" t="s">
        <v>3663</v>
      </c>
      <c r="E7722" s="28">
        <v>46113.0</v>
      </c>
      <c r="F7722" s="28">
        <v>46171.0</v>
      </c>
      <c r="G7722" s="29"/>
    </row>
    <row r="7723" ht="15.75" customHeight="1">
      <c r="A7723" s="30" t="s">
        <v>11387</v>
      </c>
      <c r="B7723" s="31" t="s">
        <v>723</v>
      </c>
      <c r="C7723" s="31" t="s">
        <v>923</v>
      </c>
      <c r="D7723" s="30" t="s">
        <v>3663</v>
      </c>
      <c r="E7723" s="32">
        <v>46113.0</v>
      </c>
      <c r="F7723" s="32">
        <v>46171.0</v>
      </c>
      <c r="G7723" s="33"/>
    </row>
    <row r="7724" ht="15.75" customHeight="1">
      <c r="A7724" s="26" t="s">
        <v>11388</v>
      </c>
      <c r="B7724" s="27" t="s">
        <v>724</v>
      </c>
      <c r="C7724" s="27" t="s">
        <v>1240</v>
      </c>
      <c r="D7724" s="26" t="s">
        <v>3663</v>
      </c>
      <c r="E7724" s="28">
        <v>46113.0</v>
      </c>
      <c r="F7724" s="28">
        <v>46171.0</v>
      </c>
      <c r="G7724" s="29"/>
    </row>
    <row r="7725" ht="15.75" customHeight="1">
      <c r="A7725" s="30" t="s">
        <v>11389</v>
      </c>
      <c r="B7725" s="31" t="s">
        <v>724</v>
      </c>
      <c r="C7725" s="31" t="s">
        <v>1242</v>
      </c>
      <c r="D7725" s="30" t="s">
        <v>3663</v>
      </c>
      <c r="E7725" s="32">
        <v>46113.0</v>
      </c>
      <c r="F7725" s="32">
        <v>46171.0</v>
      </c>
      <c r="G7725" s="33"/>
    </row>
    <row r="7726" ht="15.75" customHeight="1">
      <c r="A7726" s="26" t="s">
        <v>11390</v>
      </c>
      <c r="B7726" s="27" t="s">
        <v>724</v>
      </c>
      <c r="C7726" s="27" t="s">
        <v>1244</v>
      </c>
      <c r="D7726" s="26" t="s">
        <v>3663</v>
      </c>
      <c r="E7726" s="28">
        <v>46113.0</v>
      </c>
      <c r="F7726" s="28">
        <v>46171.0</v>
      </c>
      <c r="G7726" s="29"/>
    </row>
    <row r="7727" ht="15.75" customHeight="1">
      <c r="A7727" s="30" t="s">
        <v>11391</v>
      </c>
      <c r="B7727" s="31" t="s">
        <v>724</v>
      </c>
      <c r="C7727" s="31" t="s">
        <v>1246</v>
      </c>
      <c r="D7727" s="30" t="s">
        <v>3663</v>
      </c>
      <c r="E7727" s="32">
        <v>46113.0</v>
      </c>
      <c r="F7727" s="32">
        <v>46171.0</v>
      </c>
      <c r="G7727" s="33"/>
    </row>
    <row r="7728" ht="15.75" customHeight="1">
      <c r="A7728" s="26" t="s">
        <v>11392</v>
      </c>
      <c r="B7728" s="27" t="s">
        <v>724</v>
      </c>
      <c r="C7728" s="27" t="s">
        <v>3654</v>
      </c>
      <c r="D7728" s="26" t="s">
        <v>3663</v>
      </c>
      <c r="E7728" s="28">
        <v>46113.0</v>
      </c>
      <c r="F7728" s="28">
        <v>46171.0</v>
      </c>
      <c r="G7728" s="29"/>
    </row>
    <row r="7729" ht="15.75" customHeight="1">
      <c r="A7729" s="30" t="s">
        <v>11393</v>
      </c>
      <c r="B7729" s="31" t="s">
        <v>724</v>
      </c>
      <c r="C7729" s="31" t="s">
        <v>3655</v>
      </c>
      <c r="D7729" s="30" t="s">
        <v>3663</v>
      </c>
      <c r="E7729" s="32">
        <v>46113.0</v>
      </c>
      <c r="F7729" s="32">
        <v>46171.0</v>
      </c>
      <c r="G7729" s="33"/>
    </row>
    <row r="7730" ht="15.75" customHeight="1">
      <c r="A7730" s="26" t="s">
        <v>11394</v>
      </c>
      <c r="B7730" s="27" t="s">
        <v>724</v>
      </c>
      <c r="C7730" s="27" t="s">
        <v>934</v>
      </c>
      <c r="D7730" s="26" t="s">
        <v>3663</v>
      </c>
      <c r="E7730" s="28">
        <v>46113.0</v>
      </c>
      <c r="F7730" s="28">
        <v>46171.0</v>
      </c>
      <c r="G7730" s="29"/>
    </row>
    <row r="7731" ht="15.75" customHeight="1">
      <c r="A7731" s="30" t="s">
        <v>11395</v>
      </c>
      <c r="B7731" s="31" t="s">
        <v>724</v>
      </c>
      <c r="C7731" s="31" t="s">
        <v>1354</v>
      </c>
      <c r="D7731" s="30" t="s">
        <v>3663</v>
      </c>
      <c r="E7731" s="32">
        <v>46113.0</v>
      </c>
      <c r="F7731" s="32">
        <v>46171.0</v>
      </c>
      <c r="G7731" s="33"/>
    </row>
    <row r="7732" ht="15.75" customHeight="1">
      <c r="A7732" s="26" t="s">
        <v>11396</v>
      </c>
      <c r="B7732" s="27" t="s">
        <v>724</v>
      </c>
      <c r="C7732" s="27" t="s">
        <v>3647</v>
      </c>
      <c r="D7732" s="26" t="s">
        <v>3663</v>
      </c>
      <c r="E7732" s="28">
        <v>46113.0</v>
      </c>
      <c r="F7732" s="28">
        <v>46171.0</v>
      </c>
      <c r="G7732" s="29"/>
    </row>
    <row r="7733" ht="15.75" customHeight="1">
      <c r="A7733" s="30" t="s">
        <v>11397</v>
      </c>
      <c r="B7733" s="31" t="s">
        <v>724</v>
      </c>
      <c r="C7733" s="31" t="s">
        <v>952</v>
      </c>
      <c r="D7733" s="30" t="s">
        <v>3663</v>
      </c>
      <c r="E7733" s="32">
        <v>46113.0</v>
      </c>
      <c r="F7733" s="32">
        <v>46171.0</v>
      </c>
      <c r="G7733" s="33"/>
    </row>
    <row r="7734" ht="15.75" customHeight="1">
      <c r="A7734" s="26" t="s">
        <v>11398</v>
      </c>
      <c r="B7734" s="27" t="s">
        <v>724</v>
      </c>
      <c r="C7734" s="27" t="s">
        <v>1218</v>
      </c>
      <c r="D7734" s="26" t="s">
        <v>3663</v>
      </c>
      <c r="E7734" s="28">
        <v>46113.0</v>
      </c>
      <c r="F7734" s="28">
        <v>46171.0</v>
      </c>
      <c r="G7734" s="29"/>
    </row>
    <row r="7735" ht="15.75" customHeight="1">
      <c r="A7735" s="30" t="s">
        <v>11399</v>
      </c>
      <c r="B7735" s="31" t="s">
        <v>724</v>
      </c>
      <c r="C7735" s="31" t="s">
        <v>1271</v>
      </c>
      <c r="D7735" s="30" t="s">
        <v>3663</v>
      </c>
      <c r="E7735" s="32">
        <v>46113.0</v>
      </c>
      <c r="F7735" s="32">
        <v>46171.0</v>
      </c>
      <c r="G7735" s="33"/>
    </row>
    <row r="7736" ht="15.75" customHeight="1">
      <c r="A7736" s="26" t="s">
        <v>11400</v>
      </c>
      <c r="B7736" s="27" t="s">
        <v>724</v>
      </c>
      <c r="C7736" s="27" t="s">
        <v>968</v>
      </c>
      <c r="D7736" s="26" t="s">
        <v>3663</v>
      </c>
      <c r="E7736" s="28">
        <v>46113.0</v>
      </c>
      <c r="F7736" s="28">
        <v>46171.0</v>
      </c>
      <c r="G7736" s="29"/>
    </row>
    <row r="7737" ht="15.75" customHeight="1">
      <c r="A7737" s="30" t="s">
        <v>11401</v>
      </c>
      <c r="B7737" s="31" t="s">
        <v>724</v>
      </c>
      <c r="C7737" s="31" t="s">
        <v>923</v>
      </c>
      <c r="D7737" s="30" t="s">
        <v>3663</v>
      </c>
      <c r="E7737" s="32">
        <v>46113.0</v>
      </c>
      <c r="F7737" s="32">
        <v>46171.0</v>
      </c>
      <c r="G7737" s="33"/>
    </row>
    <row r="7738" ht="15.75" customHeight="1">
      <c r="A7738" s="26" t="s">
        <v>11402</v>
      </c>
      <c r="B7738" s="27" t="s">
        <v>725</v>
      </c>
      <c r="C7738" s="27" t="s">
        <v>1240</v>
      </c>
      <c r="D7738" s="26" t="s">
        <v>3663</v>
      </c>
      <c r="E7738" s="28">
        <v>46113.0</v>
      </c>
      <c r="F7738" s="28">
        <v>46171.0</v>
      </c>
      <c r="G7738" s="29"/>
    </row>
    <row r="7739" ht="15.75" customHeight="1">
      <c r="A7739" s="30" t="s">
        <v>11403</v>
      </c>
      <c r="B7739" s="31" t="s">
        <v>725</v>
      </c>
      <c r="C7739" s="31" t="s">
        <v>1242</v>
      </c>
      <c r="D7739" s="30" t="s">
        <v>3663</v>
      </c>
      <c r="E7739" s="32">
        <v>46113.0</v>
      </c>
      <c r="F7739" s="32">
        <v>46171.0</v>
      </c>
      <c r="G7739" s="33"/>
    </row>
    <row r="7740" ht="15.75" customHeight="1">
      <c r="A7740" s="26" t="s">
        <v>11404</v>
      </c>
      <c r="B7740" s="27" t="s">
        <v>725</v>
      </c>
      <c r="C7740" s="27" t="s">
        <v>1244</v>
      </c>
      <c r="D7740" s="26" t="s">
        <v>3663</v>
      </c>
      <c r="E7740" s="28">
        <v>46113.0</v>
      </c>
      <c r="F7740" s="28">
        <v>46171.0</v>
      </c>
      <c r="G7740" s="29"/>
    </row>
    <row r="7741" ht="15.75" customHeight="1">
      <c r="A7741" s="30" t="s">
        <v>11405</v>
      </c>
      <c r="B7741" s="31" t="s">
        <v>725</v>
      </c>
      <c r="C7741" s="31" t="s">
        <v>1246</v>
      </c>
      <c r="D7741" s="30" t="s">
        <v>3663</v>
      </c>
      <c r="E7741" s="32">
        <v>46113.0</v>
      </c>
      <c r="F7741" s="32">
        <v>46171.0</v>
      </c>
      <c r="G7741" s="33"/>
    </row>
    <row r="7742" ht="15.75" customHeight="1">
      <c r="A7742" s="26" t="s">
        <v>11406</v>
      </c>
      <c r="B7742" s="27" t="s">
        <v>725</v>
      </c>
      <c r="C7742" s="27" t="s">
        <v>3654</v>
      </c>
      <c r="D7742" s="26" t="s">
        <v>3663</v>
      </c>
      <c r="E7742" s="28">
        <v>46113.0</v>
      </c>
      <c r="F7742" s="28">
        <v>46171.0</v>
      </c>
      <c r="G7742" s="29"/>
    </row>
    <row r="7743" ht="15.75" customHeight="1">
      <c r="A7743" s="30" t="s">
        <v>11407</v>
      </c>
      <c r="B7743" s="31" t="s">
        <v>725</v>
      </c>
      <c r="C7743" s="31" t="s">
        <v>3655</v>
      </c>
      <c r="D7743" s="30" t="s">
        <v>3663</v>
      </c>
      <c r="E7743" s="32">
        <v>46113.0</v>
      </c>
      <c r="F7743" s="32">
        <v>46171.0</v>
      </c>
      <c r="G7743" s="33"/>
    </row>
    <row r="7744" ht="15.75" customHeight="1">
      <c r="A7744" s="26" t="s">
        <v>11408</v>
      </c>
      <c r="B7744" s="27" t="s">
        <v>725</v>
      </c>
      <c r="C7744" s="27" t="s">
        <v>928</v>
      </c>
      <c r="D7744" s="26" t="s">
        <v>3663</v>
      </c>
      <c r="E7744" s="28">
        <v>46113.0</v>
      </c>
      <c r="F7744" s="28">
        <v>46171.0</v>
      </c>
      <c r="G7744" s="29"/>
    </row>
    <row r="7745" ht="15.75" customHeight="1">
      <c r="A7745" s="30" t="s">
        <v>11409</v>
      </c>
      <c r="B7745" s="31" t="s">
        <v>725</v>
      </c>
      <c r="C7745" s="31" t="s">
        <v>3640</v>
      </c>
      <c r="D7745" s="30" t="s">
        <v>3663</v>
      </c>
      <c r="E7745" s="32">
        <v>46113.0</v>
      </c>
      <c r="F7745" s="32">
        <v>46171.0</v>
      </c>
      <c r="G7745" s="33"/>
    </row>
    <row r="7746" ht="15.75" customHeight="1">
      <c r="A7746" s="26" t="s">
        <v>11410</v>
      </c>
      <c r="B7746" s="27" t="s">
        <v>725</v>
      </c>
      <c r="C7746" s="27" t="s">
        <v>1323</v>
      </c>
      <c r="D7746" s="26" t="s">
        <v>3663</v>
      </c>
      <c r="E7746" s="28">
        <v>46113.0</v>
      </c>
      <c r="F7746" s="28">
        <v>46171.0</v>
      </c>
      <c r="G7746" s="29"/>
    </row>
    <row r="7747" ht="15.75" customHeight="1">
      <c r="A7747" s="30" t="s">
        <v>11411</v>
      </c>
      <c r="B7747" s="31" t="s">
        <v>725</v>
      </c>
      <c r="C7747" s="31" t="s">
        <v>1354</v>
      </c>
      <c r="D7747" s="30" t="s">
        <v>3663</v>
      </c>
      <c r="E7747" s="32">
        <v>46113.0</v>
      </c>
      <c r="F7747" s="32">
        <v>46171.0</v>
      </c>
      <c r="G7747" s="33"/>
    </row>
    <row r="7748" ht="15.75" customHeight="1">
      <c r="A7748" s="26" t="s">
        <v>11412</v>
      </c>
      <c r="B7748" s="27" t="s">
        <v>725</v>
      </c>
      <c r="C7748" s="27" t="s">
        <v>1351</v>
      </c>
      <c r="D7748" s="26" t="s">
        <v>3663</v>
      </c>
      <c r="E7748" s="28">
        <v>46113.0</v>
      </c>
      <c r="F7748" s="28">
        <v>46171.0</v>
      </c>
      <c r="G7748" s="29"/>
    </row>
    <row r="7749" ht="15.75" customHeight="1">
      <c r="A7749" s="30" t="s">
        <v>11413</v>
      </c>
      <c r="B7749" s="31" t="s">
        <v>725</v>
      </c>
      <c r="C7749" s="31" t="s">
        <v>1349</v>
      </c>
      <c r="D7749" s="30" t="s">
        <v>3663</v>
      </c>
      <c r="E7749" s="32">
        <v>46113.0</v>
      </c>
      <c r="F7749" s="32">
        <v>46171.0</v>
      </c>
      <c r="G7749" s="33"/>
    </row>
    <row r="7750" ht="15.75" customHeight="1">
      <c r="A7750" s="26" t="s">
        <v>11414</v>
      </c>
      <c r="B7750" s="27" t="s">
        <v>725</v>
      </c>
      <c r="C7750" s="27" t="s">
        <v>968</v>
      </c>
      <c r="D7750" s="26" t="s">
        <v>3663</v>
      </c>
      <c r="E7750" s="28">
        <v>46113.0</v>
      </c>
      <c r="F7750" s="28">
        <v>46171.0</v>
      </c>
      <c r="G7750" s="29"/>
    </row>
    <row r="7751" ht="15.75" customHeight="1">
      <c r="A7751" s="30" t="s">
        <v>11415</v>
      </c>
      <c r="B7751" s="31" t="s">
        <v>725</v>
      </c>
      <c r="C7751" s="31" t="s">
        <v>923</v>
      </c>
      <c r="D7751" s="30" t="s">
        <v>3663</v>
      </c>
      <c r="E7751" s="32">
        <v>46113.0</v>
      </c>
      <c r="F7751" s="32">
        <v>46171.0</v>
      </c>
      <c r="G7751" s="33"/>
    </row>
    <row r="7752" ht="15.75" customHeight="1">
      <c r="A7752" s="26" t="s">
        <v>11416</v>
      </c>
      <c r="B7752" s="27" t="s">
        <v>726</v>
      </c>
      <c r="C7752" s="27" t="s">
        <v>1240</v>
      </c>
      <c r="D7752" s="26" t="s">
        <v>3663</v>
      </c>
      <c r="E7752" s="28">
        <v>46113.0</v>
      </c>
      <c r="F7752" s="28">
        <v>46171.0</v>
      </c>
      <c r="G7752" s="29"/>
    </row>
    <row r="7753" ht="15.75" customHeight="1">
      <c r="A7753" s="30" t="s">
        <v>11417</v>
      </c>
      <c r="B7753" s="31" t="s">
        <v>726</v>
      </c>
      <c r="C7753" s="31" t="s">
        <v>1242</v>
      </c>
      <c r="D7753" s="30" t="s">
        <v>3663</v>
      </c>
      <c r="E7753" s="32">
        <v>46113.0</v>
      </c>
      <c r="F7753" s="32">
        <v>46171.0</v>
      </c>
      <c r="G7753" s="33"/>
    </row>
    <row r="7754" ht="15.75" customHeight="1">
      <c r="A7754" s="26" t="s">
        <v>11418</v>
      </c>
      <c r="B7754" s="27" t="s">
        <v>726</v>
      </c>
      <c r="C7754" s="27" t="s">
        <v>1244</v>
      </c>
      <c r="D7754" s="26" t="s">
        <v>3663</v>
      </c>
      <c r="E7754" s="28">
        <v>46113.0</v>
      </c>
      <c r="F7754" s="28">
        <v>46171.0</v>
      </c>
      <c r="G7754" s="29"/>
    </row>
    <row r="7755" ht="15.75" customHeight="1">
      <c r="A7755" s="30" t="s">
        <v>11419</v>
      </c>
      <c r="B7755" s="31" t="s">
        <v>726</v>
      </c>
      <c r="C7755" s="31" t="s">
        <v>1246</v>
      </c>
      <c r="D7755" s="30" t="s">
        <v>3663</v>
      </c>
      <c r="E7755" s="32">
        <v>46113.0</v>
      </c>
      <c r="F7755" s="32">
        <v>46171.0</v>
      </c>
      <c r="G7755" s="33"/>
    </row>
    <row r="7756" ht="15.75" customHeight="1">
      <c r="A7756" s="26" t="s">
        <v>11420</v>
      </c>
      <c r="B7756" s="27" t="s">
        <v>726</v>
      </c>
      <c r="C7756" s="27" t="s">
        <v>934</v>
      </c>
      <c r="D7756" s="26" t="s">
        <v>3663</v>
      </c>
      <c r="E7756" s="28">
        <v>46113.0</v>
      </c>
      <c r="F7756" s="28">
        <v>46171.0</v>
      </c>
      <c r="G7756" s="29"/>
    </row>
    <row r="7757" ht="15.75" customHeight="1">
      <c r="A7757" s="30" t="s">
        <v>11421</v>
      </c>
      <c r="B7757" s="31" t="s">
        <v>726</v>
      </c>
      <c r="C7757" s="31" t="s">
        <v>1354</v>
      </c>
      <c r="D7757" s="30" t="s">
        <v>3663</v>
      </c>
      <c r="E7757" s="32">
        <v>46113.0</v>
      </c>
      <c r="F7757" s="32">
        <v>46171.0</v>
      </c>
      <c r="G7757" s="33"/>
    </row>
    <row r="7758" ht="15.75" customHeight="1">
      <c r="A7758" s="26" t="s">
        <v>11422</v>
      </c>
      <c r="B7758" s="27" t="s">
        <v>726</v>
      </c>
      <c r="C7758" s="27" t="s">
        <v>1208</v>
      </c>
      <c r="D7758" s="26" t="s">
        <v>3663</v>
      </c>
      <c r="E7758" s="28">
        <v>46113.0</v>
      </c>
      <c r="F7758" s="28">
        <v>46171.0</v>
      </c>
      <c r="G7758" s="29"/>
    </row>
    <row r="7759" ht="15.75" customHeight="1">
      <c r="A7759" s="30" t="s">
        <v>11423</v>
      </c>
      <c r="B7759" s="31" t="s">
        <v>726</v>
      </c>
      <c r="C7759" s="31" t="s">
        <v>3656</v>
      </c>
      <c r="D7759" s="30" t="s">
        <v>3663</v>
      </c>
      <c r="E7759" s="32">
        <v>46113.0</v>
      </c>
      <c r="F7759" s="32">
        <v>46171.0</v>
      </c>
      <c r="G7759" s="33"/>
    </row>
    <row r="7760" ht="15.75" customHeight="1">
      <c r="A7760" s="26" t="s">
        <v>11424</v>
      </c>
      <c r="B7760" s="27" t="s">
        <v>726</v>
      </c>
      <c r="C7760" s="27" t="s">
        <v>3657</v>
      </c>
      <c r="D7760" s="26" t="s">
        <v>3663</v>
      </c>
      <c r="E7760" s="28">
        <v>46113.0</v>
      </c>
      <c r="F7760" s="28">
        <v>46171.0</v>
      </c>
      <c r="G7760" s="29"/>
    </row>
    <row r="7761" ht="15.75" customHeight="1">
      <c r="A7761" s="30" t="s">
        <v>11425</v>
      </c>
      <c r="B7761" s="31" t="s">
        <v>726</v>
      </c>
      <c r="C7761" s="31" t="s">
        <v>1351</v>
      </c>
      <c r="D7761" s="30" t="s">
        <v>3663</v>
      </c>
      <c r="E7761" s="32">
        <v>46113.0</v>
      </c>
      <c r="F7761" s="32">
        <v>46171.0</v>
      </c>
      <c r="G7761" s="33"/>
    </row>
    <row r="7762" ht="15.75" customHeight="1">
      <c r="A7762" s="26" t="s">
        <v>11426</v>
      </c>
      <c r="B7762" s="27" t="s">
        <v>726</v>
      </c>
      <c r="C7762" s="27" t="s">
        <v>1349</v>
      </c>
      <c r="D7762" s="26" t="s">
        <v>3663</v>
      </c>
      <c r="E7762" s="28">
        <v>46113.0</v>
      </c>
      <c r="F7762" s="28">
        <v>46171.0</v>
      </c>
      <c r="G7762" s="29"/>
    </row>
    <row r="7763" ht="15.75" customHeight="1">
      <c r="A7763" s="30" t="s">
        <v>11427</v>
      </c>
      <c r="B7763" s="31" t="s">
        <v>726</v>
      </c>
      <c r="C7763" s="31" t="s">
        <v>965</v>
      </c>
      <c r="D7763" s="30" t="s">
        <v>3663</v>
      </c>
      <c r="E7763" s="32">
        <v>46113.0</v>
      </c>
      <c r="F7763" s="32">
        <v>46171.0</v>
      </c>
      <c r="G7763" s="33"/>
    </row>
    <row r="7764" ht="15.75" customHeight="1">
      <c r="A7764" s="26" t="s">
        <v>11428</v>
      </c>
      <c r="B7764" s="27" t="s">
        <v>726</v>
      </c>
      <c r="C7764" s="27" t="s">
        <v>923</v>
      </c>
      <c r="D7764" s="26" t="s">
        <v>3663</v>
      </c>
      <c r="E7764" s="28">
        <v>46113.0</v>
      </c>
      <c r="F7764" s="28">
        <v>46171.0</v>
      </c>
      <c r="G7764" s="29"/>
    </row>
    <row r="7765" ht="15.75" customHeight="1">
      <c r="A7765" s="30" t="s">
        <v>11429</v>
      </c>
      <c r="B7765" s="31" t="s">
        <v>726</v>
      </c>
      <c r="C7765" s="31" t="s">
        <v>961</v>
      </c>
      <c r="D7765" s="30" t="s">
        <v>3663</v>
      </c>
      <c r="E7765" s="32">
        <v>46113.0</v>
      </c>
      <c r="F7765" s="32">
        <v>46171.0</v>
      </c>
      <c r="G7765" s="33"/>
    </row>
    <row r="7766" ht="15.75" customHeight="1">
      <c r="A7766" s="26" t="s">
        <v>11430</v>
      </c>
      <c r="B7766" s="27" t="s">
        <v>727</v>
      </c>
      <c r="C7766" s="27" t="s">
        <v>930</v>
      </c>
      <c r="D7766" s="26" t="s">
        <v>3663</v>
      </c>
      <c r="E7766" s="28">
        <v>46113.0</v>
      </c>
      <c r="F7766" s="28">
        <v>46171.0</v>
      </c>
      <c r="G7766" s="29"/>
    </row>
    <row r="7767" ht="15.75" customHeight="1">
      <c r="A7767" s="30" t="s">
        <v>11431</v>
      </c>
      <c r="B7767" s="31" t="s">
        <v>727</v>
      </c>
      <c r="C7767" s="31" t="s">
        <v>1354</v>
      </c>
      <c r="D7767" s="30" t="s">
        <v>3663</v>
      </c>
      <c r="E7767" s="32">
        <v>46113.0</v>
      </c>
      <c r="F7767" s="32">
        <v>46171.0</v>
      </c>
      <c r="G7767" s="33"/>
    </row>
    <row r="7768" ht="15.75" customHeight="1">
      <c r="A7768" s="26" t="s">
        <v>11432</v>
      </c>
      <c r="B7768" s="27" t="s">
        <v>727</v>
      </c>
      <c r="C7768" s="27" t="s">
        <v>1172</v>
      </c>
      <c r="D7768" s="26" t="s">
        <v>3663</v>
      </c>
      <c r="E7768" s="28">
        <v>46113.0</v>
      </c>
      <c r="F7768" s="28">
        <v>46171.0</v>
      </c>
      <c r="G7768" s="29"/>
    </row>
    <row r="7769" ht="15.75" customHeight="1">
      <c r="A7769" s="30" t="s">
        <v>11433</v>
      </c>
      <c r="B7769" s="31" t="s">
        <v>727</v>
      </c>
      <c r="C7769" s="31" t="s">
        <v>1312</v>
      </c>
      <c r="D7769" s="30" t="s">
        <v>3663</v>
      </c>
      <c r="E7769" s="32">
        <v>46113.0</v>
      </c>
      <c r="F7769" s="32">
        <v>46171.0</v>
      </c>
      <c r="G7769" s="33"/>
    </row>
    <row r="7770" ht="15.75" customHeight="1">
      <c r="A7770" s="26" t="s">
        <v>11434</v>
      </c>
      <c r="B7770" s="27" t="s">
        <v>727</v>
      </c>
      <c r="C7770" s="27" t="s">
        <v>1157</v>
      </c>
      <c r="D7770" s="26" t="s">
        <v>3663</v>
      </c>
      <c r="E7770" s="28">
        <v>46113.0</v>
      </c>
      <c r="F7770" s="28">
        <v>46171.0</v>
      </c>
      <c r="G7770" s="29"/>
    </row>
    <row r="7771" ht="15.75" customHeight="1">
      <c r="A7771" s="30" t="s">
        <v>11435</v>
      </c>
      <c r="B7771" s="31" t="s">
        <v>727</v>
      </c>
      <c r="C7771" s="31" t="s">
        <v>1155</v>
      </c>
      <c r="D7771" s="30" t="s">
        <v>3663</v>
      </c>
      <c r="E7771" s="32">
        <v>46113.0</v>
      </c>
      <c r="F7771" s="32">
        <v>46171.0</v>
      </c>
      <c r="G7771" s="33"/>
    </row>
    <row r="7772" ht="15.75" customHeight="1">
      <c r="A7772" s="26" t="s">
        <v>11436</v>
      </c>
      <c r="B7772" s="27" t="s">
        <v>727</v>
      </c>
      <c r="C7772" s="27" t="s">
        <v>1153</v>
      </c>
      <c r="D7772" s="26" t="s">
        <v>3663</v>
      </c>
      <c r="E7772" s="28">
        <v>46113.0</v>
      </c>
      <c r="F7772" s="28">
        <v>46171.0</v>
      </c>
      <c r="G7772" s="29"/>
    </row>
    <row r="7773" ht="15.75" customHeight="1">
      <c r="A7773" s="30" t="s">
        <v>11437</v>
      </c>
      <c r="B7773" s="31" t="s">
        <v>727</v>
      </c>
      <c r="C7773" s="31" t="s">
        <v>1149</v>
      </c>
      <c r="D7773" s="30" t="s">
        <v>3663</v>
      </c>
      <c r="E7773" s="32">
        <v>46113.0</v>
      </c>
      <c r="F7773" s="32">
        <v>46171.0</v>
      </c>
      <c r="G7773" s="33"/>
    </row>
    <row r="7774" ht="15.75" customHeight="1">
      <c r="A7774" s="26" t="s">
        <v>11438</v>
      </c>
      <c r="B7774" s="27" t="s">
        <v>727</v>
      </c>
      <c r="C7774" s="27" t="s">
        <v>1351</v>
      </c>
      <c r="D7774" s="26" t="s">
        <v>3663</v>
      </c>
      <c r="E7774" s="28">
        <v>46113.0</v>
      </c>
      <c r="F7774" s="28">
        <v>46171.0</v>
      </c>
      <c r="G7774" s="29"/>
    </row>
    <row r="7775" ht="15.75" customHeight="1">
      <c r="A7775" s="30" t="s">
        <v>11439</v>
      </c>
      <c r="B7775" s="31" t="s">
        <v>727</v>
      </c>
      <c r="C7775" s="31" t="s">
        <v>1349</v>
      </c>
      <c r="D7775" s="30" t="s">
        <v>3663</v>
      </c>
      <c r="E7775" s="32">
        <v>46113.0</v>
      </c>
      <c r="F7775" s="32">
        <v>46171.0</v>
      </c>
      <c r="G7775" s="33"/>
    </row>
    <row r="7776" ht="15.75" customHeight="1">
      <c r="A7776" s="26" t="s">
        <v>11440</v>
      </c>
      <c r="B7776" s="27" t="s">
        <v>727</v>
      </c>
      <c r="C7776" s="27" t="s">
        <v>3653</v>
      </c>
      <c r="D7776" s="26" t="s">
        <v>3663</v>
      </c>
      <c r="E7776" s="28">
        <v>46113.0</v>
      </c>
      <c r="F7776" s="28">
        <v>46171.0</v>
      </c>
      <c r="G7776" s="29"/>
    </row>
    <row r="7777" ht="15.75" customHeight="1">
      <c r="A7777" s="30" t="s">
        <v>11441</v>
      </c>
      <c r="B7777" s="31" t="s">
        <v>727</v>
      </c>
      <c r="C7777" s="31" t="s">
        <v>3652</v>
      </c>
      <c r="D7777" s="31" t="s">
        <v>3663</v>
      </c>
      <c r="E7777" s="32">
        <v>46113.0</v>
      </c>
      <c r="F7777" s="32">
        <v>46171.0</v>
      </c>
      <c r="G7777" s="33"/>
    </row>
    <row r="7778" ht="15.75" customHeight="1">
      <c r="A7778" s="26" t="s">
        <v>11442</v>
      </c>
      <c r="B7778" s="27" t="s">
        <v>727</v>
      </c>
      <c r="C7778" s="27" t="s">
        <v>968</v>
      </c>
      <c r="D7778" s="26" t="s">
        <v>3663</v>
      </c>
      <c r="E7778" s="28">
        <v>46113.0</v>
      </c>
      <c r="F7778" s="28">
        <v>46171.0</v>
      </c>
      <c r="G7778" s="29"/>
    </row>
    <row r="7779" ht="15.75" customHeight="1">
      <c r="A7779" s="30" t="s">
        <v>11443</v>
      </c>
      <c r="B7779" s="31" t="s">
        <v>727</v>
      </c>
      <c r="C7779" s="31" t="s">
        <v>923</v>
      </c>
      <c r="D7779" s="30" t="s">
        <v>3663</v>
      </c>
      <c r="E7779" s="32">
        <v>46113.0</v>
      </c>
      <c r="F7779" s="32">
        <v>46171.0</v>
      </c>
      <c r="G7779" s="33"/>
    </row>
    <row r="7780" ht="15.75" customHeight="1">
      <c r="A7780" s="26" t="s">
        <v>11444</v>
      </c>
      <c r="B7780" s="27" t="s">
        <v>728</v>
      </c>
      <c r="C7780" s="27" t="s">
        <v>930</v>
      </c>
      <c r="D7780" s="26" t="s">
        <v>3663</v>
      </c>
      <c r="E7780" s="28">
        <v>46113.0</v>
      </c>
      <c r="F7780" s="28">
        <v>46171.0</v>
      </c>
      <c r="G7780" s="29"/>
    </row>
    <row r="7781" ht="15.75" customHeight="1">
      <c r="A7781" s="30" t="s">
        <v>11445</v>
      </c>
      <c r="B7781" s="31" t="s">
        <v>728</v>
      </c>
      <c r="C7781" s="31" t="s">
        <v>1354</v>
      </c>
      <c r="D7781" s="30" t="s">
        <v>3663</v>
      </c>
      <c r="E7781" s="32">
        <v>46113.0</v>
      </c>
      <c r="F7781" s="32">
        <v>46171.0</v>
      </c>
      <c r="G7781" s="33"/>
    </row>
    <row r="7782" ht="15.75" customHeight="1">
      <c r="A7782" s="26" t="s">
        <v>11446</v>
      </c>
      <c r="B7782" s="27" t="s">
        <v>728</v>
      </c>
      <c r="C7782" s="27" t="s">
        <v>1312</v>
      </c>
      <c r="D7782" s="26" t="s">
        <v>3663</v>
      </c>
      <c r="E7782" s="28">
        <v>46113.0</v>
      </c>
      <c r="F7782" s="28">
        <v>46171.0</v>
      </c>
      <c r="G7782" s="29"/>
    </row>
    <row r="7783" ht="15.75" customHeight="1">
      <c r="A7783" s="30" t="s">
        <v>11447</v>
      </c>
      <c r="B7783" s="31" t="s">
        <v>728</v>
      </c>
      <c r="C7783" s="31" t="s">
        <v>3681</v>
      </c>
      <c r="D7783" s="30" t="s">
        <v>3663</v>
      </c>
      <c r="E7783" s="32">
        <v>46113.0</v>
      </c>
      <c r="F7783" s="32">
        <v>46171.0</v>
      </c>
      <c r="G7783" s="33"/>
    </row>
    <row r="7784" ht="15.75" customHeight="1">
      <c r="A7784" s="26" t="s">
        <v>11448</v>
      </c>
      <c r="B7784" s="27" t="s">
        <v>728</v>
      </c>
      <c r="C7784" s="27" t="s">
        <v>3683</v>
      </c>
      <c r="D7784" s="26" t="s">
        <v>3663</v>
      </c>
      <c r="E7784" s="28">
        <v>46113.0</v>
      </c>
      <c r="F7784" s="28">
        <v>46171.0</v>
      </c>
      <c r="G7784" s="29"/>
    </row>
    <row r="7785" ht="15.75" customHeight="1">
      <c r="A7785" s="30" t="s">
        <v>11449</v>
      </c>
      <c r="B7785" s="31" t="s">
        <v>728</v>
      </c>
      <c r="C7785" s="31" t="s">
        <v>1157</v>
      </c>
      <c r="D7785" s="30" t="s">
        <v>3663</v>
      </c>
      <c r="E7785" s="32">
        <v>46113.0</v>
      </c>
      <c r="F7785" s="32">
        <v>46171.0</v>
      </c>
      <c r="G7785" s="33"/>
    </row>
    <row r="7786" ht="15.75" customHeight="1">
      <c r="A7786" s="26" t="s">
        <v>11450</v>
      </c>
      <c r="B7786" s="27" t="s">
        <v>728</v>
      </c>
      <c r="C7786" s="27" t="s">
        <v>1155</v>
      </c>
      <c r="D7786" s="26" t="s">
        <v>3663</v>
      </c>
      <c r="E7786" s="28">
        <v>46113.0</v>
      </c>
      <c r="F7786" s="28">
        <v>46171.0</v>
      </c>
      <c r="G7786" s="29"/>
    </row>
    <row r="7787" ht="15.75" customHeight="1">
      <c r="A7787" s="30" t="s">
        <v>11451</v>
      </c>
      <c r="B7787" s="31" t="s">
        <v>728</v>
      </c>
      <c r="C7787" s="31" t="s">
        <v>1153</v>
      </c>
      <c r="D7787" s="30" t="s">
        <v>3663</v>
      </c>
      <c r="E7787" s="32">
        <v>46113.0</v>
      </c>
      <c r="F7787" s="32">
        <v>46171.0</v>
      </c>
      <c r="G7787" s="33"/>
    </row>
    <row r="7788" ht="15.75" customHeight="1">
      <c r="A7788" s="26" t="s">
        <v>11452</v>
      </c>
      <c r="B7788" s="27" t="s">
        <v>728</v>
      </c>
      <c r="C7788" s="27" t="s">
        <v>1149</v>
      </c>
      <c r="D7788" s="26" t="s">
        <v>3663</v>
      </c>
      <c r="E7788" s="28">
        <v>46113.0</v>
      </c>
      <c r="F7788" s="28">
        <v>46171.0</v>
      </c>
      <c r="G7788" s="29"/>
    </row>
    <row r="7789" ht="15.75" customHeight="1">
      <c r="A7789" s="30" t="s">
        <v>11453</v>
      </c>
      <c r="B7789" s="31" t="s">
        <v>728</v>
      </c>
      <c r="C7789" s="31" t="s">
        <v>1351</v>
      </c>
      <c r="D7789" s="30" t="s">
        <v>3663</v>
      </c>
      <c r="E7789" s="32">
        <v>46113.0</v>
      </c>
      <c r="F7789" s="32">
        <v>46171.0</v>
      </c>
      <c r="G7789" s="33"/>
    </row>
    <row r="7790" ht="15.75" customHeight="1">
      <c r="A7790" s="26" t="s">
        <v>11454</v>
      </c>
      <c r="B7790" s="27" t="s">
        <v>728</v>
      </c>
      <c r="C7790" s="27" t="s">
        <v>1349</v>
      </c>
      <c r="D7790" s="26" t="s">
        <v>3663</v>
      </c>
      <c r="E7790" s="28">
        <v>46113.0</v>
      </c>
      <c r="F7790" s="28">
        <v>46171.0</v>
      </c>
      <c r="G7790" s="29"/>
    </row>
    <row r="7791" ht="15.75" customHeight="1">
      <c r="A7791" s="30" t="s">
        <v>11455</v>
      </c>
      <c r="B7791" s="31" t="s">
        <v>728</v>
      </c>
      <c r="C7791" s="31" t="s">
        <v>965</v>
      </c>
      <c r="D7791" s="30" t="s">
        <v>3663</v>
      </c>
      <c r="E7791" s="32">
        <v>46113.0</v>
      </c>
      <c r="F7791" s="32">
        <v>46171.0</v>
      </c>
      <c r="G7791" s="33"/>
    </row>
    <row r="7792" ht="15.75" customHeight="1">
      <c r="A7792" s="26" t="s">
        <v>11456</v>
      </c>
      <c r="B7792" s="27" t="s">
        <v>728</v>
      </c>
      <c r="C7792" s="27" t="s">
        <v>923</v>
      </c>
      <c r="D7792" s="26" t="s">
        <v>3663</v>
      </c>
      <c r="E7792" s="28">
        <v>46113.0</v>
      </c>
      <c r="F7792" s="28">
        <v>46171.0</v>
      </c>
      <c r="G7792" s="29"/>
    </row>
    <row r="7793" ht="15.75" customHeight="1">
      <c r="A7793" s="30" t="s">
        <v>11457</v>
      </c>
      <c r="B7793" s="31" t="s">
        <v>728</v>
      </c>
      <c r="C7793" s="31" t="s">
        <v>961</v>
      </c>
      <c r="D7793" s="30" t="s">
        <v>3663</v>
      </c>
      <c r="E7793" s="32">
        <v>46113.0</v>
      </c>
      <c r="F7793" s="32">
        <v>46171.0</v>
      </c>
      <c r="G7793" s="33"/>
    </row>
    <row r="7794" ht="15.75" customHeight="1">
      <c r="A7794" s="26" t="s">
        <v>11458</v>
      </c>
      <c r="B7794" s="27" t="s">
        <v>729</v>
      </c>
      <c r="C7794" s="27" t="s">
        <v>1240</v>
      </c>
      <c r="D7794" s="26" t="s">
        <v>3663</v>
      </c>
      <c r="E7794" s="28">
        <v>46113.0</v>
      </c>
      <c r="F7794" s="28">
        <v>46171.0</v>
      </c>
      <c r="G7794" s="29"/>
    </row>
    <row r="7795" ht="15.75" customHeight="1">
      <c r="A7795" s="30" t="s">
        <v>11459</v>
      </c>
      <c r="B7795" s="31" t="s">
        <v>729</v>
      </c>
      <c r="C7795" s="31" t="s">
        <v>1242</v>
      </c>
      <c r="D7795" s="30" t="s">
        <v>3663</v>
      </c>
      <c r="E7795" s="32">
        <v>46113.0</v>
      </c>
      <c r="F7795" s="32">
        <v>46171.0</v>
      </c>
      <c r="G7795" s="33"/>
    </row>
    <row r="7796" ht="15.75" customHeight="1">
      <c r="A7796" s="26" t="s">
        <v>11460</v>
      </c>
      <c r="B7796" s="27" t="s">
        <v>729</v>
      </c>
      <c r="C7796" s="27" t="s">
        <v>1244</v>
      </c>
      <c r="D7796" s="26" t="s">
        <v>3663</v>
      </c>
      <c r="E7796" s="28">
        <v>46113.0</v>
      </c>
      <c r="F7796" s="28">
        <v>46171.0</v>
      </c>
      <c r="G7796" s="29"/>
    </row>
    <row r="7797" ht="15.75" customHeight="1">
      <c r="A7797" s="30" t="s">
        <v>11461</v>
      </c>
      <c r="B7797" s="31" t="s">
        <v>729</v>
      </c>
      <c r="C7797" s="31" t="s">
        <v>1246</v>
      </c>
      <c r="D7797" s="30" t="s">
        <v>3663</v>
      </c>
      <c r="E7797" s="32">
        <v>46113.0</v>
      </c>
      <c r="F7797" s="32">
        <v>46171.0</v>
      </c>
      <c r="G7797" s="33"/>
    </row>
    <row r="7798" ht="15.75" customHeight="1">
      <c r="A7798" s="26" t="s">
        <v>11462</v>
      </c>
      <c r="B7798" s="27" t="s">
        <v>729</v>
      </c>
      <c r="C7798" s="27" t="s">
        <v>3654</v>
      </c>
      <c r="D7798" s="26" t="s">
        <v>3663</v>
      </c>
      <c r="E7798" s="28">
        <v>46113.0</v>
      </c>
      <c r="F7798" s="28">
        <v>46171.0</v>
      </c>
      <c r="G7798" s="29"/>
    </row>
    <row r="7799" ht="15.75" customHeight="1">
      <c r="A7799" s="30" t="s">
        <v>11463</v>
      </c>
      <c r="B7799" s="31" t="s">
        <v>729</v>
      </c>
      <c r="C7799" s="31" t="s">
        <v>3655</v>
      </c>
      <c r="D7799" s="30" t="s">
        <v>3663</v>
      </c>
      <c r="E7799" s="32">
        <v>46113.0</v>
      </c>
      <c r="F7799" s="32">
        <v>46171.0</v>
      </c>
      <c r="G7799" s="33"/>
    </row>
    <row r="7800" ht="15.75" customHeight="1">
      <c r="A7800" s="26" t="s">
        <v>11464</v>
      </c>
      <c r="B7800" s="27" t="s">
        <v>729</v>
      </c>
      <c r="C7800" s="27" t="s">
        <v>928</v>
      </c>
      <c r="D7800" s="26" t="s">
        <v>3663</v>
      </c>
      <c r="E7800" s="28">
        <v>46113.0</v>
      </c>
      <c r="F7800" s="28">
        <v>46171.0</v>
      </c>
      <c r="G7800" s="29"/>
    </row>
    <row r="7801" ht="15.75" customHeight="1">
      <c r="A7801" s="30" t="s">
        <v>11465</v>
      </c>
      <c r="B7801" s="31" t="s">
        <v>729</v>
      </c>
      <c r="C7801" s="31" t="s">
        <v>1354</v>
      </c>
      <c r="D7801" s="30" t="s">
        <v>3663</v>
      </c>
      <c r="E7801" s="32">
        <v>46113.0</v>
      </c>
      <c r="F7801" s="32">
        <v>46171.0</v>
      </c>
      <c r="G7801" s="33"/>
    </row>
    <row r="7802" ht="15.75" customHeight="1">
      <c r="A7802" s="26" t="s">
        <v>11466</v>
      </c>
      <c r="B7802" s="27" t="s">
        <v>729</v>
      </c>
      <c r="C7802" s="27" t="s">
        <v>1218</v>
      </c>
      <c r="D7802" s="26" t="s">
        <v>3663</v>
      </c>
      <c r="E7802" s="28">
        <v>46113.0</v>
      </c>
      <c r="F7802" s="28">
        <v>46171.0</v>
      </c>
      <c r="G7802" s="29"/>
    </row>
    <row r="7803" ht="15.75" customHeight="1">
      <c r="A7803" s="30" t="s">
        <v>11467</v>
      </c>
      <c r="B7803" s="31" t="s">
        <v>729</v>
      </c>
      <c r="C7803" s="31" t="s">
        <v>1351</v>
      </c>
      <c r="D7803" s="30" t="s">
        <v>3663</v>
      </c>
      <c r="E7803" s="32">
        <v>46113.0</v>
      </c>
      <c r="F7803" s="32">
        <v>46171.0</v>
      </c>
      <c r="G7803" s="33"/>
    </row>
    <row r="7804" ht="15.75" customHeight="1">
      <c r="A7804" s="26" t="s">
        <v>11468</v>
      </c>
      <c r="B7804" s="27" t="s">
        <v>729</v>
      </c>
      <c r="C7804" s="27" t="s">
        <v>1349</v>
      </c>
      <c r="D7804" s="26" t="s">
        <v>3663</v>
      </c>
      <c r="E7804" s="28">
        <v>46113.0</v>
      </c>
      <c r="F7804" s="28">
        <v>46171.0</v>
      </c>
      <c r="G7804" s="29"/>
    </row>
    <row r="7805" ht="15.75" customHeight="1">
      <c r="A7805" s="30" t="s">
        <v>11469</v>
      </c>
      <c r="B7805" s="31" t="s">
        <v>729</v>
      </c>
      <c r="C7805" s="31" t="s">
        <v>968</v>
      </c>
      <c r="D7805" s="30" t="s">
        <v>3663</v>
      </c>
      <c r="E7805" s="32">
        <v>46113.0</v>
      </c>
      <c r="F7805" s="32">
        <v>46171.0</v>
      </c>
      <c r="G7805" s="33"/>
    </row>
    <row r="7806" ht="15.75" customHeight="1">
      <c r="A7806" s="26" t="s">
        <v>11470</v>
      </c>
      <c r="B7806" s="27" t="s">
        <v>729</v>
      </c>
      <c r="C7806" s="27" t="s">
        <v>923</v>
      </c>
      <c r="D7806" s="26" t="s">
        <v>3663</v>
      </c>
      <c r="E7806" s="28">
        <v>46113.0</v>
      </c>
      <c r="F7806" s="28">
        <v>46171.0</v>
      </c>
      <c r="G7806" s="29"/>
    </row>
    <row r="7807" ht="15.75" customHeight="1">
      <c r="A7807" s="30" t="s">
        <v>11471</v>
      </c>
      <c r="B7807" s="31" t="s">
        <v>729</v>
      </c>
      <c r="C7807" s="31" t="s">
        <v>955</v>
      </c>
      <c r="D7807" s="30" t="s">
        <v>3663</v>
      </c>
      <c r="E7807" s="32">
        <v>46113.0</v>
      </c>
      <c r="F7807" s="32">
        <v>46171.0</v>
      </c>
      <c r="G7807" s="33"/>
    </row>
    <row r="7808" ht="15.75" customHeight="1">
      <c r="A7808" s="26" t="s">
        <v>11472</v>
      </c>
      <c r="B7808" s="27" t="s">
        <v>2824</v>
      </c>
      <c r="C7808" s="27" t="s">
        <v>3654</v>
      </c>
      <c r="D7808" s="26" t="s">
        <v>3663</v>
      </c>
      <c r="E7808" s="28">
        <v>46113.0</v>
      </c>
      <c r="F7808" s="28">
        <v>46171.0</v>
      </c>
      <c r="G7808" s="29"/>
    </row>
    <row r="7809" ht="15.75" customHeight="1">
      <c r="A7809" s="30" t="s">
        <v>11473</v>
      </c>
      <c r="B7809" s="31" t="s">
        <v>2824</v>
      </c>
      <c r="C7809" s="31" t="s">
        <v>3655</v>
      </c>
      <c r="D7809" s="30" t="s">
        <v>3663</v>
      </c>
      <c r="E7809" s="32">
        <v>46113.0</v>
      </c>
      <c r="F7809" s="32">
        <v>46171.0</v>
      </c>
      <c r="G7809" s="33"/>
    </row>
    <row r="7810" ht="15.75" customHeight="1">
      <c r="A7810" s="26" t="s">
        <v>11474</v>
      </c>
      <c r="B7810" s="27" t="s">
        <v>2824</v>
      </c>
      <c r="C7810" s="27" t="s">
        <v>930</v>
      </c>
      <c r="D7810" s="26" t="s">
        <v>3663</v>
      </c>
      <c r="E7810" s="28">
        <v>46113.0</v>
      </c>
      <c r="F7810" s="28">
        <v>46171.0</v>
      </c>
      <c r="G7810" s="29"/>
    </row>
    <row r="7811" ht="15.75" customHeight="1">
      <c r="A7811" s="30" t="s">
        <v>11475</v>
      </c>
      <c r="B7811" s="31" t="s">
        <v>2824</v>
      </c>
      <c r="C7811" s="31" t="s">
        <v>1323</v>
      </c>
      <c r="D7811" s="30" t="s">
        <v>3663</v>
      </c>
      <c r="E7811" s="32">
        <v>46113.0</v>
      </c>
      <c r="F7811" s="32">
        <v>46171.0</v>
      </c>
      <c r="G7811" s="33"/>
    </row>
    <row r="7812" ht="15.75" customHeight="1">
      <c r="A7812" s="26" t="s">
        <v>11476</v>
      </c>
      <c r="B7812" s="27" t="s">
        <v>2824</v>
      </c>
      <c r="C7812" s="27" t="s">
        <v>1354</v>
      </c>
      <c r="D7812" s="26" t="s">
        <v>3663</v>
      </c>
      <c r="E7812" s="28">
        <v>46113.0</v>
      </c>
      <c r="F7812" s="28">
        <v>46171.0</v>
      </c>
      <c r="G7812" s="29"/>
    </row>
    <row r="7813" ht="15.75" customHeight="1">
      <c r="A7813" s="30" t="s">
        <v>11477</v>
      </c>
      <c r="B7813" s="31" t="s">
        <v>2824</v>
      </c>
      <c r="C7813" s="31" t="s">
        <v>1190</v>
      </c>
      <c r="D7813" s="30" t="s">
        <v>3663</v>
      </c>
      <c r="E7813" s="32">
        <v>46113.0</v>
      </c>
      <c r="F7813" s="32">
        <v>46171.0</v>
      </c>
      <c r="G7813" s="33"/>
    </row>
    <row r="7814" ht="15.75" customHeight="1">
      <c r="A7814" s="26" t="s">
        <v>11478</v>
      </c>
      <c r="B7814" s="27" t="s">
        <v>2824</v>
      </c>
      <c r="C7814" s="27" t="s">
        <v>3647</v>
      </c>
      <c r="D7814" s="26" t="s">
        <v>3663</v>
      </c>
      <c r="E7814" s="28">
        <v>46113.0</v>
      </c>
      <c r="F7814" s="28">
        <v>46171.0</v>
      </c>
      <c r="G7814" s="29"/>
    </row>
    <row r="7815" ht="15.75" customHeight="1">
      <c r="A7815" s="30" t="s">
        <v>11479</v>
      </c>
      <c r="B7815" s="31" t="s">
        <v>2824</v>
      </c>
      <c r="C7815" s="31" t="s">
        <v>952</v>
      </c>
      <c r="D7815" s="30" t="s">
        <v>3663</v>
      </c>
      <c r="E7815" s="32">
        <v>46113.0</v>
      </c>
      <c r="F7815" s="32">
        <v>46171.0</v>
      </c>
      <c r="G7815" s="33"/>
    </row>
    <row r="7816" ht="15.75" customHeight="1">
      <c r="A7816" s="26" t="s">
        <v>11480</v>
      </c>
      <c r="B7816" s="27" t="s">
        <v>2824</v>
      </c>
      <c r="C7816" s="27" t="s">
        <v>1157</v>
      </c>
      <c r="D7816" s="26" t="s">
        <v>3663</v>
      </c>
      <c r="E7816" s="28">
        <v>46113.0</v>
      </c>
      <c r="F7816" s="28">
        <v>46171.0</v>
      </c>
      <c r="G7816" s="29"/>
    </row>
    <row r="7817" ht="15.75" customHeight="1">
      <c r="A7817" s="30" t="s">
        <v>11481</v>
      </c>
      <c r="B7817" s="31" t="s">
        <v>2824</v>
      </c>
      <c r="C7817" s="31" t="s">
        <v>1155</v>
      </c>
      <c r="D7817" s="30" t="s">
        <v>3663</v>
      </c>
      <c r="E7817" s="32">
        <v>46113.0</v>
      </c>
      <c r="F7817" s="32">
        <v>46171.0</v>
      </c>
      <c r="G7817" s="33"/>
    </row>
    <row r="7818" ht="15.75" customHeight="1">
      <c r="A7818" s="26" t="s">
        <v>11482</v>
      </c>
      <c r="B7818" s="27" t="s">
        <v>2824</v>
      </c>
      <c r="C7818" s="27" t="s">
        <v>1153</v>
      </c>
      <c r="D7818" s="26" t="s">
        <v>3663</v>
      </c>
      <c r="E7818" s="28">
        <v>46113.0</v>
      </c>
      <c r="F7818" s="28">
        <v>46171.0</v>
      </c>
      <c r="G7818" s="29"/>
    </row>
    <row r="7819" ht="15.75" customHeight="1">
      <c r="A7819" s="30" t="s">
        <v>11483</v>
      </c>
      <c r="B7819" s="31" t="s">
        <v>2824</v>
      </c>
      <c r="C7819" s="31" t="s">
        <v>1149</v>
      </c>
      <c r="D7819" s="30" t="s">
        <v>3663</v>
      </c>
      <c r="E7819" s="32">
        <v>46113.0</v>
      </c>
      <c r="F7819" s="32">
        <v>46171.0</v>
      </c>
      <c r="G7819" s="33"/>
    </row>
    <row r="7820" ht="15.75" customHeight="1">
      <c r="A7820" s="26" t="s">
        <v>11484</v>
      </c>
      <c r="B7820" s="27" t="s">
        <v>2824</v>
      </c>
      <c r="C7820" s="27" t="s">
        <v>968</v>
      </c>
      <c r="D7820" s="26" t="s">
        <v>3663</v>
      </c>
      <c r="E7820" s="28">
        <v>46113.0</v>
      </c>
      <c r="F7820" s="28">
        <v>46171.0</v>
      </c>
      <c r="G7820" s="29"/>
    </row>
    <row r="7821" ht="15.75" customHeight="1">
      <c r="A7821" s="30" t="s">
        <v>11485</v>
      </c>
      <c r="B7821" s="31" t="s">
        <v>2824</v>
      </c>
      <c r="C7821" s="31" t="s">
        <v>923</v>
      </c>
      <c r="D7821" s="30" t="s">
        <v>3663</v>
      </c>
      <c r="E7821" s="32">
        <v>46113.0</v>
      </c>
      <c r="F7821" s="32">
        <v>46171.0</v>
      </c>
      <c r="G7821" s="33"/>
    </row>
    <row r="7822" ht="15.75" customHeight="1">
      <c r="A7822" s="26" t="s">
        <v>11486</v>
      </c>
      <c r="B7822" s="27" t="s">
        <v>730</v>
      </c>
      <c r="C7822" s="27" t="s">
        <v>3654</v>
      </c>
      <c r="D7822" s="26" t="s">
        <v>3663</v>
      </c>
      <c r="E7822" s="28">
        <v>46113.0</v>
      </c>
      <c r="F7822" s="28">
        <v>46171.0</v>
      </c>
      <c r="G7822" s="29"/>
    </row>
    <row r="7823" ht="15.75" customHeight="1">
      <c r="A7823" s="30" t="s">
        <v>11487</v>
      </c>
      <c r="B7823" s="31" t="s">
        <v>730</v>
      </c>
      <c r="C7823" s="31" t="s">
        <v>3655</v>
      </c>
      <c r="D7823" s="30" t="s">
        <v>3663</v>
      </c>
      <c r="E7823" s="32">
        <v>46113.0</v>
      </c>
      <c r="F7823" s="32">
        <v>46171.0</v>
      </c>
      <c r="G7823" s="33"/>
    </row>
    <row r="7824" ht="15.75" customHeight="1">
      <c r="A7824" s="26" t="s">
        <v>11488</v>
      </c>
      <c r="B7824" s="27" t="s">
        <v>730</v>
      </c>
      <c r="C7824" s="27" t="s">
        <v>930</v>
      </c>
      <c r="D7824" s="26" t="s">
        <v>3663</v>
      </c>
      <c r="E7824" s="28">
        <v>46113.0</v>
      </c>
      <c r="F7824" s="28">
        <v>46171.0</v>
      </c>
      <c r="G7824" s="29"/>
    </row>
    <row r="7825" ht="15.75" customHeight="1">
      <c r="A7825" s="30" t="s">
        <v>11489</v>
      </c>
      <c r="B7825" s="31" t="s">
        <v>730</v>
      </c>
      <c r="C7825" s="31" t="s">
        <v>1354</v>
      </c>
      <c r="D7825" s="30" t="s">
        <v>3663</v>
      </c>
      <c r="E7825" s="32">
        <v>46113.0</v>
      </c>
      <c r="F7825" s="32">
        <v>46171.0</v>
      </c>
      <c r="G7825" s="33"/>
    </row>
    <row r="7826" ht="15.75" customHeight="1">
      <c r="A7826" s="26" t="s">
        <v>11490</v>
      </c>
      <c r="B7826" s="27" t="s">
        <v>730</v>
      </c>
      <c r="C7826" s="27" t="s">
        <v>1216</v>
      </c>
      <c r="D7826" s="26" t="s">
        <v>3663</v>
      </c>
      <c r="E7826" s="28">
        <v>46113.0</v>
      </c>
      <c r="F7826" s="28">
        <v>46171.0</v>
      </c>
      <c r="G7826" s="29"/>
    </row>
    <row r="7827" ht="15.75" customHeight="1">
      <c r="A7827" s="30" t="s">
        <v>11491</v>
      </c>
      <c r="B7827" s="31" t="s">
        <v>730</v>
      </c>
      <c r="C7827" s="31" t="s">
        <v>1271</v>
      </c>
      <c r="D7827" s="30" t="s">
        <v>3663</v>
      </c>
      <c r="E7827" s="32">
        <v>46113.0</v>
      </c>
      <c r="F7827" s="32">
        <v>46171.0</v>
      </c>
      <c r="G7827" s="33"/>
    </row>
    <row r="7828" ht="15.75" customHeight="1">
      <c r="A7828" s="26" t="s">
        <v>11492</v>
      </c>
      <c r="B7828" s="27" t="s">
        <v>730</v>
      </c>
      <c r="C7828" s="27" t="s">
        <v>1157</v>
      </c>
      <c r="D7828" s="26" t="s">
        <v>3663</v>
      </c>
      <c r="E7828" s="28">
        <v>46113.0</v>
      </c>
      <c r="F7828" s="28">
        <v>46171.0</v>
      </c>
      <c r="G7828" s="29"/>
    </row>
    <row r="7829" ht="15.75" customHeight="1">
      <c r="A7829" s="30" t="s">
        <v>11493</v>
      </c>
      <c r="B7829" s="31" t="s">
        <v>730</v>
      </c>
      <c r="C7829" s="31" t="s">
        <v>1155</v>
      </c>
      <c r="D7829" s="30" t="s">
        <v>3663</v>
      </c>
      <c r="E7829" s="32">
        <v>46113.0</v>
      </c>
      <c r="F7829" s="32">
        <v>46171.0</v>
      </c>
      <c r="G7829" s="33"/>
    </row>
    <row r="7830" ht="15.75" customHeight="1">
      <c r="A7830" s="26" t="s">
        <v>11494</v>
      </c>
      <c r="B7830" s="27" t="s">
        <v>730</v>
      </c>
      <c r="C7830" s="27" t="s">
        <v>1153</v>
      </c>
      <c r="D7830" s="26" t="s">
        <v>3663</v>
      </c>
      <c r="E7830" s="28">
        <v>46113.0</v>
      </c>
      <c r="F7830" s="28">
        <v>46171.0</v>
      </c>
      <c r="G7830" s="29"/>
    </row>
    <row r="7831" ht="15.75" customHeight="1">
      <c r="A7831" s="30" t="s">
        <v>11495</v>
      </c>
      <c r="B7831" s="31" t="s">
        <v>730</v>
      </c>
      <c r="C7831" s="31" t="s">
        <v>1149</v>
      </c>
      <c r="D7831" s="30" t="s">
        <v>3663</v>
      </c>
      <c r="E7831" s="32">
        <v>46113.0</v>
      </c>
      <c r="F7831" s="32">
        <v>46171.0</v>
      </c>
      <c r="G7831" s="33"/>
    </row>
    <row r="7832" ht="15.75" customHeight="1">
      <c r="A7832" s="26" t="s">
        <v>11496</v>
      </c>
      <c r="B7832" s="27" t="s">
        <v>730</v>
      </c>
      <c r="C7832" s="27" t="s">
        <v>1351</v>
      </c>
      <c r="D7832" s="26" t="s">
        <v>3663</v>
      </c>
      <c r="E7832" s="28">
        <v>46113.0</v>
      </c>
      <c r="F7832" s="28">
        <v>46171.0</v>
      </c>
      <c r="G7832" s="29"/>
    </row>
    <row r="7833" ht="15.75" customHeight="1">
      <c r="A7833" s="30" t="s">
        <v>11497</v>
      </c>
      <c r="B7833" s="31" t="s">
        <v>730</v>
      </c>
      <c r="C7833" s="31" t="s">
        <v>1349</v>
      </c>
      <c r="D7833" s="30" t="s">
        <v>3663</v>
      </c>
      <c r="E7833" s="32">
        <v>46113.0</v>
      </c>
      <c r="F7833" s="32">
        <v>46171.0</v>
      </c>
      <c r="G7833" s="33"/>
    </row>
    <row r="7834" ht="15.75" customHeight="1">
      <c r="A7834" s="26" t="s">
        <v>11498</v>
      </c>
      <c r="B7834" s="27" t="s">
        <v>730</v>
      </c>
      <c r="C7834" s="27" t="s">
        <v>965</v>
      </c>
      <c r="D7834" s="26" t="s">
        <v>3663</v>
      </c>
      <c r="E7834" s="28">
        <v>46113.0</v>
      </c>
      <c r="F7834" s="28">
        <v>46171.0</v>
      </c>
      <c r="G7834" s="29"/>
    </row>
    <row r="7835" ht="15.75" customHeight="1">
      <c r="A7835" s="30" t="s">
        <v>11499</v>
      </c>
      <c r="B7835" s="31" t="s">
        <v>730</v>
      </c>
      <c r="C7835" s="31" t="s">
        <v>923</v>
      </c>
      <c r="D7835" s="30" t="s">
        <v>3663</v>
      </c>
      <c r="E7835" s="32">
        <v>46113.0</v>
      </c>
      <c r="F7835" s="32">
        <v>46171.0</v>
      </c>
      <c r="G7835" s="33"/>
    </row>
    <row r="7836" ht="15.75" customHeight="1">
      <c r="A7836" s="26" t="s">
        <v>11500</v>
      </c>
      <c r="B7836" s="27" t="s">
        <v>731</v>
      </c>
      <c r="C7836" s="27" t="s">
        <v>926</v>
      </c>
      <c r="D7836" s="27" t="s">
        <v>3663</v>
      </c>
      <c r="E7836" s="28">
        <v>46113.0</v>
      </c>
      <c r="F7836" s="28">
        <v>46171.0</v>
      </c>
      <c r="G7836" s="29"/>
    </row>
    <row r="7837" ht="15.75" customHeight="1">
      <c r="A7837" s="30" t="s">
        <v>11501</v>
      </c>
      <c r="B7837" s="31" t="s">
        <v>731</v>
      </c>
      <c r="C7837" s="31" t="s">
        <v>1354</v>
      </c>
      <c r="D7837" s="30" t="s">
        <v>3663</v>
      </c>
      <c r="E7837" s="32">
        <v>46113.0</v>
      </c>
      <c r="F7837" s="32">
        <v>46171.0</v>
      </c>
      <c r="G7837" s="33"/>
    </row>
    <row r="7838" ht="15.75" customHeight="1">
      <c r="A7838" s="26" t="s">
        <v>11502</v>
      </c>
      <c r="B7838" s="27" t="s">
        <v>731</v>
      </c>
      <c r="C7838" s="27" t="s">
        <v>1172</v>
      </c>
      <c r="D7838" s="26" t="s">
        <v>3663</v>
      </c>
      <c r="E7838" s="28">
        <v>46113.0</v>
      </c>
      <c r="F7838" s="28">
        <v>46171.0</v>
      </c>
      <c r="G7838" s="29"/>
    </row>
    <row r="7839" ht="15.75" customHeight="1">
      <c r="A7839" s="30" t="s">
        <v>11503</v>
      </c>
      <c r="B7839" s="31" t="s">
        <v>731</v>
      </c>
      <c r="C7839" s="31" t="s">
        <v>3681</v>
      </c>
      <c r="D7839" s="30" t="s">
        <v>3663</v>
      </c>
      <c r="E7839" s="32">
        <v>46113.0</v>
      </c>
      <c r="F7839" s="32">
        <v>46171.0</v>
      </c>
      <c r="G7839" s="33"/>
    </row>
    <row r="7840" ht="15.75" customHeight="1">
      <c r="A7840" s="26" t="s">
        <v>11504</v>
      </c>
      <c r="B7840" s="27" t="s">
        <v>731</v>
      </c>
      <c r="C7840" s="27" t="s">
        <v>3683</v>
      </c>
      <c r="D7840" s="26" t="s">
        <v>3663</v>
      </c>
      <c r="E7840" s="28">
        <v>46113.0</v>
      </c>
      <c r="F7840" s="28">
        <v>46171.0</v>
      </c>
      <c r="G7840" s="29"/>
    </row>
    <row r="7841" ht="15.75" customHeight="1">
      <c r="A7841" s="30" t="s">
        <v>11505</v>
      </c>
      <c r="B7841" s="31" t="s">
        <v>731</v>
      </c>
      <c r="C7841" s="31" t="s">
        <v>3647</v>
      </c>
      <c r="D7841" s="30" t="s">
        <v>3663</v>
      </c>
      <c r="E7841" s="32">
        <v>46113.0</v>
      </c>
      <c r="F7841" s="32">
        <v>46171.0</v>
      </c>
      <c r="G7841" s="33"/>
    </row>
    <row r="7842" ht="15.75" customHeight="1">
      <c r="A7842" s="26" t="s">
        <v>11506</v>
      </c>
      <c r="B7842" s="27" t="s">
        <v>731</v>
      </c>
      <c r="C7842" s="27" t="s">
        <v>952</v>
      </c>
      <c r="D7842" s="26" t="s">
        <v>3663</v>
      </c>
      <c r="E7842" s="28">
        <v>46113.0</v>
      </c>
      <c r="F7842" s="28">
        <v>46171.0</v>
      </c>
      <c r="G7842" s="29"/>
    </row>
    <row r="7843" ht="15.75" customHeight="1">
      <c r="A7843" s="30" t="s">
        <v>11507</v>
      </c>
      <c r="B7843" s="31" t="s">
        <v>731</v>
      </c>
      <c r="C7843" s="31" t="s">
        <v>3648</v>
      </c>
      <c r="D7843" s="31" t="s">
        <v>3663</v>
      </c>
      <c r="E7843" s="32">
        <v>46113.0</v>
      </c>
      <c r="F7843" s="32">
        <v>46171.0</v>
      </c>
      <c r="G7843" s="33"/>
    </row>
    <row r="7844" ht="15.75" customHeight="1">
      <c r="A7844" s="26" t="s">
        <v>11508</v>
      </c>
      <c r="B7844" s="27" t="s">
        <v>731</v>
      </c>
      <c r="C7844" s="27" t="s">
        <v>3649</v>
      </c>
      <c r="D7844" s="27" t="s">
        <v>3663</v>
      </c>
      <c r="E7844" s="28">
        <v>46113.0</v>
      </c>
      <c r="F7844" s="28">
        <v>46171.0</v>
      </c>
      <c r="G7844" s="29"/>
    </row>
    <row r="7845" ht="15.75" customHeight="1">
      <c r="A7845" s="30" t="s">
        <v>11509</v>
      </c>
      <c r="B7845" s="31" t="s">
        <v>731</v>
      </c>
      <c r="C7845" s="31" t="s">
        <v>3650</v>
      </c>
      <c r="D7845" s="31" t="s">
        <v>3663</v>
      </c>
      <c r="E7845" s="32">
        <v>46113.0</v>
      </c>
      <c r="F7845" s="32">
        <v>46171.0</v>
      </c>
      <c r="G7845" s="33"/>
    </row>
    <row r="7846" ht="15.75" customHeight="1">
      <c r="A7846" s="26" t="s">
        <v>11510</v>
      </c>
      <c r="B7846" s="27" t="s">
        <v>731</v>
      </c>
      <c r="C7846" s="27" t="s">
        <v>1283</v>
      </c>
      <c r="D7846" s="27" t="s">
        <v>3663</v>
      </c>
      <c r="E7846" s="28">
        <v>46113.0</v>
      </c>
      <c r="F7846" s="28">
        <v>46171.0</v>
      </c>
      <c r="G7846" s="29"/>
    </row>
    <row r="7847" ht="15.75" customHeight="1">
      <c r="A7847" s="30" t="s">
        <v>11511</v>
      </c>
      <c r="B7847" s="31" t="s">
        <v>731</v>
      </c>
      <c r="C7847" s="31" t="s">
        <v>1216</v>
      </c>
      <c r="D7847" s="30" t="s">
        <v>3663</v>
      </c>
      <c r="E7847" s="32">
        <v>46113.0</v>
      </c>
      <c r="F7847" s="32">
        <v>46171.0</v>
      </c>
      <c r="G7847" s="33"/>
    </row>
    <row r="7848" ht="15.75" customHeight="1">
      <c r="A7848" s="26" t="s">
        <v>11512</v>
      </c>
      <c r="B7848" s="27" t="s">
        <v>731</v>
      </c>
      <c r="C7848" s="27" t="s">
        <v>968</v>
      </c>
      <c r="D7848" s="26" t="s">
        <v>3663</v>
      </c>
      <c r="E7848" s="28">
        <v>46113.0</v>
      </c>
      <c r="F7848" s="28">
        <v>46171.0</v>
      </c>
      <c r="G7848" s="29"/>
    </row>
    <row r="7849" ht="15.75" customHeight="1">
      <c r="A7849" s="30" t="s">
        <v>11513</v>
      </c>
      <c r="B7849" s="31" t="s">
        <v>731</v>
      </c>
      <c r="C7849" s="31" t="s">
        <v>923</v>
      </c>
      <c r="D7849" s="31" t="s">
        <v>3663</v>
      </c>
      <c r="E7849" s="32">
        <v>46113.0</v>
      </c>
      <c r="F7849" s="32">
        <v>46171.0</v>
      </c>
      <c r="G7849" s="33"/>
    </row>
    <row r="7850" ht="15.75" customHeight="1">
      <c r="A7850" s="26" t="s">
        <v>11514</v>
      </c>
      <c r="B7850" s="27" t="s">
        <v>732</v>
      </c>
      <c r="C7850" s="27" t="s">
        <v>926</v>
      </c>
      <c r="D7850" s="26" t="s">
        <v>3663</v>
      </c>
      <c r="E7850" s="28">
        <v>46113.0</v>
      </c>
      <c r="F7850" s="28">
        <v>46171.0</v>
      </c>
      <c r="G7850" s="29"/>
    </row>
    <row r="7851" ht="15.75" customHeight="1">
      <c r="A7851" s="30" t="s">
        <v>11515</v>
      </c>
      <c r="B7851" s="31" t="s">
        <v>732</v>
      </c>
      <c r="C7851" s="31" t="s">
        <v>1354</v>
      </c>
      <c r="D7851" s="30" t="s">
        <v>3663</v>
      </c>
      <c r="E7851" s="32">
        <v>46113.0</v>
      </c>
      <c r="F7851" s="32">
        <v>46171.0</v>
      </c>
      <c r="G7851" s="33"/>
    </row>
    <row r="7852" ht="15.75" customHeight="1">
      <c r="A7852" s="26" t="s">
        <v>11516</v>
      </c>
      <c r="B7852" s="27" t="s">
        <v>732</v>
      </c>
      <c r="C7852" s="27" t="s">
        <v>3681</v>
      </c>
      <c r="D7852" s="26" t="s">
        <v>3663</v>
      </c>
      <c r="E7852" s="28">
        <v>46113.0</v>
      </c>
      <c r="F7852" s="28">
        <v>46171.0</v>
      </c>
      <c r="G7852" s="29"/>
    </row>
    <row r="7853" ht="15.75" customHeight="1">
      <c r="A7853" s="30" t="s">
        <v>11517</v>
      </c>
      <c r="B7853" s="31" t="s">
        <v>732</v>
      </c>
      <c r="C7853" s="31" t="s">
        <v>3683</v>
      </c>
      <c r="D7853" s="30" t="s">
        <v>3663</v>
      </c>
      <c r="E7853" s="32">
        <v>46113.0</v>
      </c>
      <c r="F7853" s="32">
        <v>46171.0</v>
      </c>
      <c r="G7853" s="33"/>
    </row>
    <row r="7854" ht="15.75" customHeight="1">
      <c r="A7854" s="26" t="s">
        <v>11518</v>
      </c>
      <c r="B7854" s="27" t="s">
        <v>732</v>
      </c>
      <c r="C7854" s="27" t="s">
        <v>1190</v>
      </c>
      <c r="D7854" s="26" t="s">
        <v>3663</v>
      </c>
      <c r="E7854" s="28">
        <v>46113.0</v>
      </c>
      <c r="F7854" s="28">
        <v>46171.0</v>
      </c>
      <c r="G7854" s="29"/>
    </row>
    <row r="7855" ht="15.75" customHeight="1">
      <c r="A7855" s="30" t="s">
        <v>11519</v>
      </c>
      <c r="B7855" s="31" t="s">
        <v>732</v>
      </c>
      <c r="C7855" s="31" t="s">
        <v>1277</v>
      </c>
      <c r="D7855" s="30" t="s">
        <v>3663</v>
      </c>
      <c r="E7855" s="32">
        <v>46113.0</v>
      </c>
      <c r="F7855" s="32">
        <v>46171.0</v>
      </c>
      <c r="G7855" s="33"/>
    </row>
    <row r="7856" ht="15.75" customHeight="1">
      <c r="A7856" s="26" t="s">
        <v>11520</v>
      </c>
      <c r="B7856" s="27" t="s">
        <v>732</v>
      </c>
      <c r="C7856" s="27" t="s">
        <v>1279</v>
      </c>
      <c r="D7856" s="26" t="s">
        <v>3663</v>
      </c>
      <c r="E7856" s="28">
        <v>46113.0</v>
      </c>
      <c r="F7856" s="28">
        <v>46171.0</v>
      </c>
      <c r="G7856" s="29"/>
    </row>
    <row r="7857" ht="15.75" customHeight="1">
      <c r="A7857" s="30" t="s">
        <v>11521</v>
      </c>
      <c r="B7857" s="31" t="s">
        <v>732</v>
      </c>
      <c r="C7857" s="31" t="s">
        <v>1283</v>
      </c>
      <c r="D7857" s="30" t="s">
        <v>3663</v>
      </c>
      <c r="E7857" s="32">
        <v>46113.0</v>
      </c>
      <c r="F7857" s="32">
        <v>46171.0</v>
      </c>
      <c r="G7857" s="33"/>
    </row>
    <row r="7858" ht="15.75" customHeight="1">
      <c r="A7858" s="26" t="s">
        <v>11522</v>
      </c>
      <c r="B7858" s="27" t="s">
        <v>732</v>
      </c>
      <c r="C7858" s="27" t="s">
        <v>1281</v>
      </c>
      <c r="D7858" s="26" t="s">
        <v>3663</v>
      </c>
      <c r="E7858" s="28">
        <v>46113.0</v>
      </c>
      <c r="F7858" s="28">
        <v>46171.0</v>
      </c>
      <c r="G7858" s="29"/>
    </row>
    <row r="7859" ht="15.75" customHeight="1">
      <c r="A7859" s="30" t="s">
        <v>11523</v>
      </c>
      <c r="B7859" s="31" t="s">
        <v>732</v>
      </c>
      <c r="C7859" s="31" t="s">
        <v>1351</v>
      </c>
      <c r="D7859" s="30" t="s">
        <v>3663</v>
      </c>
      <c r="E7859" s="32">
        <v>46113.0</v>
      </c>
      <c r="F7859" s="32">
        <v>46171.0</v>
      </c>
      <c r="G7859" s="33"/>
    </row>
    <row r="7860" ht="15.75" customHeight="1">
      <c r="A7860" s="26" t="s">
        <v>11524</v>
      </c>
      <c r="B7860" s="27" t="s">
        <v>732</v>
      </c>
      <c r="C7860" s="27" t="s">
        <v>1349</v>
      </c>
      <c r="D7860" s="26" t="s">
        <v>3663</v>
      </c>
      <c r="E7860" s="28">
        <v>46113.0</v>
      </c>
      <c r="F7860" s="28">
        <v>46171.0</v>
      </c>
      <c r="G7860" s="29"/>
    </row>
    <row r="7861" ht="15.75" customHeight="1">
      <c r="A7861" s="30" t="s">
        <v>11525</v>
      </c>
      <c r="B7861" s="31" t="s">
        <v>732</v>
      </c>
      <c r="C7861" s="31" t="s">
        <v>968</v>
      </c>
      <c r="D7861" s="30" t="s">
        <v>3663</v>
      </c>
      <c r="E7861" s="32">
        <v>46113.0</v>
      </c>
      <c r="F7861" s="32">
        <v>46171.0</v>
      </c>
      <c r="G7861" s="33"/>
    </row>
    <row r="7862" ht="15.75" customHeight="1">
      <c r="A7862" s="26" t="s">
        <v>11526</v>
      </c>
      <c r="B7862" s="27" t="s">
        <v>732</v>
      </c>
      <c r="C7862" s="27" t="s">
        <v>923</v>
      </c>
      <c r="D7862" s="26" t="s">
        <v>3663</v>
      </c>
      <c r="E7862" s="28">
        <v>46113.0</v>
      </c>
      <c r="F7862" s="28">
        <v>46171.0</v>
      </c>
      <c r="G7862" s="29"/>
    </row>
    <row r="7863" ht="15.75" customHeight="1">
      <c r="A7863" s="30" t="s">
        <v>11527</v>
      </c>
      <c r="B7863" s="31" t="s">
        <v>732</v>
      </c>
      <c r="C7863" s="31" t="s">
        <v>955</v>
      </c>
      <c r="D7863" s="30" t="s">
        <v>3663</v>
      </c>
      <c r="E7863" s="32">
        <v>46113.0</v>
      </c>
      <c r="F7863" s="32">
        <v>46171.0</v>
      </c>
      <c r="G7863" s="33"/>
    </row>
    <row r="7864" ht="15.75" customHeight="1">
      <c r="A7864" s="26" t="s">
        <v>11528</v>
      </c>
      <c r="B7864" s="27" t="s">
        <v>733</v>
      </c>
      <c r="C7864" s="27" t="s">
        <v>3654</v>
      </c>
      <c r="D7864" s="26" t="s">
        <v>3663</v>
      </c>
      <c r="E7864" s="28">
        <v>46113.0</v>
      </c>
      <c r="F7864" s="28">
        <v>46171.0</v>
      </c>
      <c r="G7864" s="29"/>
    </row>
    <row r="7865" ht="15.75" customHeight="1">
      <c r="A7865" s="30" t="s">
        <v>11529</v>
      </c>
      <c r="B7865" s="31" t="s">
        <v>733</v>
      </c>
      <c r="C7865" s="31" t="s">
        <v>3655</v>
      </c>
      <c r="D7865" s="30" t="s">
        <v>3663</v>
      </c>
      <c r="E7865" s="32">
        <v>46113.0</v>
      </c>
      <c r="F7865" s="32">
        <v>46171.0</v>
      </c>
      <c r="G7865" s="33"/>
    </row>
    <row r="7866" ht="15.75" customHeight="1">
      <c r="A7866" s="26" t="s">
        <v>11530</v>
      </c>
      <c r="B7866" s="27" t="s">
        <v>733</v>
      </c>
      <c r="C7866" s="27" t="s">
        <v>932</v>
      </c>
      <c r="D7866" s="26" t="s">
        <v>3663</v>
      </c>
      <c r="E7866" s="28">
        <v>46113.0</v>
      </c>
      <c r="F7866" s="28">
        <v>46171.0</v>
      </c>
      <c r="G7866" s="29"/>
    </row>
    <row r="7867" ht="15.75" customHeight="1">
      <c r="A7867" s="30" t="s">
        <v>11531</v>
      </c>
      <c r="B7867" s="31" t="s">
        <v>733</v>
      </c>
      <c r="C7867" s="31" t="s">
        <v>3640</v>
      </c>
      <c r="D7867" s="30" t="s">
        <v>3663</v>
      </c>
      <c r="E7867" s="32">
        <v>46113.0</v>
      </c>
      <c r="F7867" s="32">
        <v>46171.0</v>
      </c>
      <c r="G7867" s="33"/>
    </row>
    <row r="7868" ht="15.75" customHeight="1">
      <c r="A7868" s="26" t="s">
        <v>11532</v>
      </c>
      <c r="B7868" s="27" t="s">
        <v>733</v>
      </c>
      <c r="C7868" s="27" t="s">
        <v>1323</v>
      </c>
      <c r="D7868" s="26" t="s">
        <v>3663</v>
      </c>
      <c r="E7868" s="28">
        <v>46113.0</v>
      </c>
      <c r="F7868" s="28">
        <v>46171.0</v>
      </c>
      <c r="G7868" s="29"/>
    </row>
    <row r="7869" ht="15.75" customHeight="1">
      <c r="A7869" s="30" t="s">
        <v>11533</v>
      </c>
      <c r="B7869" s="31" t="s">
        <v>733</v>
      </c>
      <c r="C7869" s="31" t="s">
        <v>1168</v>
      </c>
      <c r="D7869" s="30" t="s">
        <v>3663</v>
      </c>
      <c r="E7869" s="32">
        <v>46113.0</v>
      </c>
      <c r="F7869" s="32">
        <v>46171.0</v>
      </c>
      <c r="G7869" s="33"/>
    </row>
    <row r="7870" ht="15.75" customHeight="1">
      <c r="A7870" s="26" t="s">
        <v>11534</v>
      </c>
      <c r="B7870" s="27" t="s">
        <v>733</v>
      </c>
      <c r="C7870" s="27" t="s">
        <v>1170</v>
      </c>
      <c r="D7870" s="26" t="s">
        <v>3663</v>
      </c>
      <c r="E7870" s="28">
        <v>46113.0</v>
      </c>
      <c r="F7870" s="28">
        <v>46171.0</v>
      </c>
      <c r="G7870" s="29"/>
    </row>
    <row r="7871" ht="15.75" customHeight="1">
      <c r="A7871" s="30" t="s">
        <v>11535</v>
      </c>
      <c r="B7871" s="31" t="s">
        <v>733</v>
      </c>
      <c r="C7871" s="31" t="s">
        <v>1288</v>
      </c>
      <c r="D7871" s="30" t="s">
        <v>3663</v>
      </c>
      <c r="E7871" s="32">
        <v>46113.0</v>
      </c>
      <c r="F7871" s="32">
        <v>46171.0</v>
      </c>
      <c r="G7871" s="33"/>
    </row>
    <row r="7872" ht="15.75" customHeight="1">
      <c r="A7872" s="26" t="s">
        <v>11536</v>
      </c>
      <c r="B7872" s="27" t="s">
        <v>733</v>
      </c>
      <c r="C7872" s="27" t="s">
        <v>1291</v>
      </c>
      <c r="D7872" s="26" t="s">
        <v>3663</v>
      </c>
      <c r="E7872" s="28">
        <v>46113.0</v>
      </c>
      <c r="F7872" s="28">
        <v>46171.0</v>
      </c>
      <c r="G7872" s="29"/>
    </row>
    <row r="7873" ht="15.75" customHeight="1">
      <c r="A7873" s="30" t="s">
        <v>11537</v>
      </c>
      <c r="B7873" s="31" t="s">
        <v>733</v>
      </c>
      <c r="C7873" s="31" t="s">
        <v>1354</v>
      </c>
      <c r="D7873" s="30" t="s">
        <v>3663</v>
      </c>
      <c r="E7873" s="32">
        <v>46113.0</v>
      </c>
      <c r="F7873" s="32">
        <v>46171.0</v>
      </c>
      <c r="G7873" s="33"/>
    </row>
    <row r="7874" ht="15.75" customHeight="1">
      <c r="A7874" s="26" t="s">
        <v>11538</v>
      </c>
      <c r="B7874" s="27" t="s">
        <v>733</v>
      </c>
      <c r="C7874" s="27" t="s">
        <v>1351</v>
      </c>
      <c r="D7874" s="26" t="s">
        <v>3663</v>
      </c>
      <c r="E7874" s="28">
        <v>46113.0</v>
      </c>
      <c r="F7874" s="28">
        <v>46171.0</v>
      </c>
      <c r="G7874" s="29"/>
    </row>
    <row r="7875" ht="15.75" customHeight="1">
      <c r="A7875" s="30" t="s">
        <v>11539</v>
      </c>
      <c r="B7875" s="31" t="s">
        <v>733</v>
      </c>
      <c r="C7875" s="31" t="s">
        <v>1349</v>
      </c>
      <c r="D7875" s="30" t="s">
        <v>3663</v>
      </c>
      <c r="E7875" s="32">
        <v>46113.0</v>
      </c>
      <c r="F7875" s="32">
        <v>46171.0</v>
      </c>
      <c r="G7875" s="33"/>
    </row>
    <row r="7876" ht="15.75" customHeight="1">
      <c r="A7876" s="26" t="s">
        <v>11540</v>
      </c>
      <c r="B7876" s="27" t="s">
        <v>733</v>
      </c>
      <c r="C7876" s="27" t="s">
        <v>968</v>
      </c>
      <c r="D7876" s="26" t="s">
        <v>3663</v>
      </c>
      <c r="E7876" s="28">
        <v>46113.0</v>
      </c>
      <c r="F7876" s="28">
        <v>46171.0</v>
      </c>
      <c r="G7876" s="29"/>
    </row>
    <row r="7877" ht="15.75" customHeight="1">
      <c r="A7877" s="30" t="s">
        <v>11541</v>
      </c>
      <c r="B7877" s="31" t="s">
        <v>733</v>
      </c>
      <c r="C7877" s="31" t="s">
        <v>923</v>
      </c>
      <c r="D7877" s="30" t="s">
        <v>3663</v>
      </c>
      <c r="E7877" s="32">
        <v>46113.0</v>
      </c>
      <c r="F7877" s="32">
        <v>46171.0</v>
      </c>
      <c r="G7877" s="33"/>
    </row>
    <row r="7878" ht="15.75" customHeight="1">
      <c r="A7878" s="26" t="s">
        <v>11542</v>
      </c>
      <c r="B7878" s="27" t="s">
        <v>734</v>
      </c>
      <c r="C7878" s="27" t="s">
        <v>928</v>
      </c>
      <c r="D7878" s="26" t="s">
        <v>3663</v>
      </c>
      <c r="E7878" s="28">
        <v>46113.0</v>
      </c>
      <c r="F7878" s="28">
        <v>46171.0</v>
      </c>
      <c r="G7878" s="29"/>
    </row>
    <row r="7879" ht="15.75" customHeight="1">
      <c r="A7879" s="30" t="s">
        <v>11543</v>
      </c>
      <c r="B7879" s="31" t="s">
        <v>734</v>
      </c>
      <c r="C7879" s="31" t="s">
        <v>1354</v>
      </c>
      <c r="D7879" s="30" t="s">
        <v>3663</v>
      </c>
      <c r="E7879" s="32">
        <v>46113.0</v>
      </c>
      <c r="F7879" s="32">
        <v>46171.0</v>
      </c>
      <c r="G7879" s="33"/>
    </row>
    <row r="7880" ht="15.75" customHeight="1">
      <c r="A7880" s="26" t="s">
        <v>11544</v>
      </c>
      <c r="B7880" s="27" t="s">
        <v>734</v>
      </c>
      <c r="C7880" s="27" t="s">
        <v>1222</v>
      </c>
      <c r="D7880" s="26" t="s">
        <v>3663</v>
      </c>
      <c r="E7880" s="28">
        <v>46113.0</v>
      </c>
      <c r="F7880" s="28">
        <v>46171.0</v>
      </c>
      <c r="G7880" s="29"/>
    </row>
    <row r="7881" ht="15.75" customHeight="1">
      <c r="A7881" s="30" t="s">
        <v>11545</v>
      </c>
      <c r="B7881" s="31" t="s">
        <v>734</v>
      </c>
      <c r="C7881" s="31" t="s">
        <v>1224</v>
      </c>
      <c r="D7881" s="30" t="s">
        <v>3663</v>
      </c>
      <c r="E7881" s="32">
        <v>46113.0</v>
      </c>
      <c r="F7881" s="32">
        <v>46171.0</v>
      </c>
      <c r="G7881" s="33"/>
    </row>
    <row r="7882" ht="15.75" customHeight="1">
      <c r="A7882" s="26" t="s">
        <v>11546</v>
      </c>
      <c r="B7882" s="27" t="s">
        <v>734</v>
      </c>
      <c r="C7882" s="27" t="s">
        <v>1226</v>
      </c>
      <c r="D7882" s="26" t="s">
        <v>3663</v>
      </c>
      <c r="E7882" s="28">
        <v>46113.0</v>
      </c>
      <c r="F7882" s="28">
        <v>46171.0</v>
      </c>
      <c r="G7882" s="29"/>
    </row>
    <row r="7883" ht="15.75" customHeight="1">
      <c r="A7883" s="30" t="s">
        <v>11547</v>
      </c>
      <c r="B7883" s="31" t="s">
        <v>734</v>
      </c>
      <c r="C7883" s="31" t="s">
        <v>1228</v>
      </c>
      <c r="D7883" s="30" t="s">
        <v>3663</v>
      </c>
      <c r="E7883" s="32">
        <v>46113.0</v>
      </c>
      <c r="F7883" s="32">
        <v>46171.0</v>
      </c>
      <c r="G7883" s="33"/>
    </row>
    <row r="7884" ht="15.75" customHeight="1">
      <c r="A7884" s="26" t="s">
        <v>11548</v>
      </c>
      <c r="B7884" s="27" t="s">
        <v>734</v>
      </c>
      <c r="C7884" s="27" t="s">
        <v>3681</v>
      </c>
      <c r="D7884" s="26" t="s">
        <v>3663</v>
      </c>
      <c r="E7884" s="28">
        <v>46113.0</v>
      </c>
      <c r="F7884" s="28">
        <v>46171.0</v>
      </c>
      <c r="G7884" s="29"/>
    </row>
    <row r="7885" ht="15.75" customHeight="1">
      <c r="A7885" s="30" t="s">
        <v>11549</v>
      </c>
      <c r="B7885" s="31" t="s">
        <v>734</v>
      </c>
      <c r="C7885" s="31" t="s">
        <v>3683</v>
      </c>
      <c r="D7885" s="30" t="s">
        <v>3663</v>
      </c>
      <c r="E7885" s="32">
        <v>46113.0</v>
      </c>
      <c r="F7885" s="32">
        <v>46171.0</v>
      </c>
      <c r="G7885" s="33"/>
    </row>
    <row r="7886" ht="15.75" customHeight="1">
      <c r="A7886" s="26" t="s">
        <v>11550</v>
      </c>
      <c r="B7886" s="27" t="s">
        <v>734</v>
      </c>
      <c r="C7886" s="27" t="s">
        <v>1216</v>
      </c>
      <c r="D7886" s="26" t="s">
        <v>3663</v>
      </c>
      <c r="E7886" s="28">
        <v>46113.0</v>
      </c>
      <c r="F7886" s="28">
        <v>46171.0</v>
      </c>
      <c r="G7886" s="29"/>
    </row>
    <row r="7887" ht="15.75" customHeight="1">
      <c r="A7887" s="30" t="s">
        <v>11551</v>
      </c>
      <c r="B7887" s="31" t="s">
        <v>734</v>
      </c>
      <c r="C7887" s="31" t="s">
        <v>1218</v>
      </c>
      <c r="D7887" s="30" t="s">
        <v>3663</v>
      </c>
      <c r="E7887" s="32">
        <v>46113.0</v>
      </c>
      <c r="F7887" s="32">
        <v>46171.0</v>
      </c>
      <c r="G7887" s="33"/>
    </row>
    <row r="7888" ht="15.75" customHeight="1">
      <c r="A7888" s="26" t="s">
        <v>11552</v>
      </c>
      <c r="B7888" s="27" t="s">
        <v>734</v>
      </c>
      <c r="C7888" s="27" t="s">
        <v>1351</v>
      </c>
      <c r="D7888" s="26" t="s">
        <v>3663</v>
      </c>
      <c r="E7888" s="28">
        <v>46113.0</v>
      </c>
      <c r="F7888" s="28">
        <v>46171.0</v>
      </c>
      <c r="G7888" s="29"/>
    </row>
    <row r="7889" ht="15.75" customHeight="1">
      <c r="A7889" s="30" t="s">
        <v>11553</v>
      </c>
      <c r="B7889" s="31" t="s">
        <v>734</v>
      </c>
      <c r="C7889" s="31" t="s">
        <v>1349</v>
      </c>
      <c r="D7889" s="30" t="s">
        <v>3663</v>
      </c>
      <c r="E7889" s="32">
        <v>46113.0</v>
      </c>
      <c r="F7889" s="32">
        <v>46171.0</v>
      </c>
      <c r="G7889" s="33"/>
    </row>
    <row r="7890" ht="15.75" customHeight="1">
      <c r="A7890" s="26" t="s">
        <v>11554</v>
      </c>
      <c r="B7890" s="27" t="s">
        <v>734</v>
      </c>
      <c r="C7890" s="27" t="s">
        <v>968</v>
      </c>
      <c r="D7890" s="26" t="s">
        <v>3663</v>
      </c>
      <c r="E7890" s="28">
        <v>46113.0</v>
      </c>
      <c r="F7890" s="28">
        <v>46171.0</v>
      </c>
      <c r="G7890" s="29"/>
    </row>
    <row r="7891" ht="15.75" customHeight="1">
      <c r="A7891" s="30" t="s">
        <v>11555</v>
      </c>
      <c r="B7891" s="31" t="s">
        <v>734</v>
      </c>
      <c r="C7891" s="31" t="s">
        <v>923</v>
      </c>
      <c r="D7891" s="30" t="s">
        <v>3663</v>
      </c>
      <c r="E7891" s="32">
        <v>46113.0</v>
      </c>
      <c r="F7891" s="32">
        <v>46171.0</v>
      </c>
      <c r="G7891" s="33"/>
    </row>
    <row r="7892" ht="15.75" customHeight="1">
      <c r="A7892" s="26" t="s">
        <v>11556</v>
      </c>
      <c r="B7892" s="27" t="s">
        <v>735</v>
      </c>
      <c r="C7892" s="27" t="s">
        <v>934</v>
      </c>
      <c r="D7892" s="26" t="s">
        <v>3663</v>
      </c>
      <c r="E7892" s="28">
        <v>46113.0</v>
      </c>
      <c r="F7892" s="28">
        <v>46171.0</v>
      </c>
      <c r="G7892" s="29"/>
    </row>
    <row r="7893" ht="15.75" customHeight="1">
      <c r="A7893" s="30" t="s">
        <v>11557</v>
      </c>
      <c r="B7893" s="31" t="s">
        <v>735</v>
      </c>
      <c r="C7893" s="31" t="s">
        <v>1354</v>
      </c>
      <c r="D7893" s="30" t="s">
        <v>3663</v>
      </c>
      <c r="E7893" s="32">
        <v>46113.0</v>
      </c>
      <c r="F7893" s="32">
        <v>46171.0</v>
      </c>
      <c r="G7893" s="33"/>
    </row>
    <row r="7894" ht="15.75" customHeight="1">
      <c r="A7894" s="26" t="s">
        <v>11558</v>
      </c>
      <c r="B7894" s="27" t="s">
        <v>735</v>
      </c>
      <c r="C7894" s="27" t="s">
        <v>1312</v>
      </c>
      <c r="D7894" s="26" t="s">
        <v>3663</v>
      </c>
      <c r="E7894" s="28">
        <v>46113.0</v>
      </c>
      <c r="F7894" s="28">
        <v>46171.0</v>
      </c>
      <c r="G7894" s="29"/>
    </row>
    <row r="7895" ht="15.75" customHeight="1">
      <c r="A7895" s="30" t="s">
        <v>11559</v>
      </c>
      <c r="B7895" s="31" t="s">
        <v>735</v>
      </c>
      <c r="C7895" s="31" t="s">
        <v>1208</v>
      </c>
      <c r="D7895" s="30" t="s">
        <v>3663</v>
      </c>
      <c r="E7895" s="32">
        <v>46113.0</v>
      </c>
      <c r="F7895" s="32">
        <v>46171.0</v>
      </c>
      <c r="G7895" s="33"/>
    </row>
    <row r="7896" ht="15.75" customHeight="1">
      <c r="A7896" s="26" t="s">
        <v>11560</v>
      </c>
      <c r="B7896" s="27" t="s">
        <v>735</v>
      </c>
      <c r="C7896" s="27" t="s">
        <v>3656</v>
      </c>
      <c r="D7896" s="26" t="s">
        <v>3663</v>
      </c>
      <c r="E7896" s="28">
        <v>46113.0</v>
      </c>
      <c r="F7896" s="28">
        <v>46171.0</v>
      </c>
      <c r="G7896" s="29"/>
    </row>
    <row r="7897" ht="15.75" customHeight="1">
      <c r="A7897" s="30" t="s">
        <v>11561</v>
      </c>
      <c r="B7897" s="31" t="s">
        <v>735</v>
      </c>
      <c r="C7897" s="31" t="s">
        <v>3657</v>
      </c>
      <c r="D7897" s="30" t="s">
        <v>3663</v>
      </c>
      <c r="E7897" s="32">
        <v>46113.0</v>
      </c>
      <c r="F7897" s="32">
        <v>46171.0</v>
      </c>
      <c r="G7897" s="33"/>
    </row>
    <row r="7898" ht="15.75" customHeight="1">
      <c r="A7898" s="26" t="s">
        <v>11562</v>
      </c>
      <c r="B7898" s="27" t="s">
        <v>735</v>
      </c>
      <c r="C7898" s="27" t="s">
        <v>3647</v>
      </c>
      <c r="D7898" s="26" t="s">
        <v>3663</v>
      </c>
      <c r="E7898" s="28">
        <v>46113.0</v>
      </c>
      <c r="F7898" s="28">
        <v>46171.0</v>
      </c>
      <c r="G7898" s="29"/>
    </row>
    <row r="7899" ht="15.75" customHeight="1">
      <c r="A7899" s="30" t="s">
        <v>11563</v>
      </c>
      <c r="B7899" s="31" t="s">
        <v>735</v>
      </c>
      <c r="C7899" s="31" t="s">
        <v>952</v>
      </c>
      <c r="D7899" s="30" t="s">
        <v>3663</v>
      </c>
      <c r="E7899" s="32">
        <v>46113.0</v>
      </c>
      <c r="F7899" s="32">
        <v>46171.0</v>
      </c>
      <c r="G7899" s="33"/>
    </row>
    <row r="7900" ht="15.75" customHeight="1">
      <c r="A7900" s="26" t="s">
        <v>11564</v>
      </c>
      <c r="B7900" s="27" t="s">
        <v>735</v>
      </c>
      <c r="C7900" s="27" t="s">
        <v>1157</v>
      </c>
      <c r="D7900" s="26" t="s">
        <v>3663</v>
      </c>
      <c r="E7900" s="28">
        <v>46113.0</v>
      </c>
      <c r="F7900" s="28">
        <v>46171.0</v>
      </c>
      <c r="G7900" s="29"/>
    </row>
    <row r="7901" ht="15.75" customHeight="1">
      <c r="A7901" s="30" t="s">
        <v>11565</v>
      </c>
      <c r="B7901" s="31" t="s">
        <v>735</v>
      </c>
      <c r="C7901" s="31" t="s">
        <v>1155</v>
      </c>
      <c r="D7901" s="30" t="s">
        <v>3663</v>
      </c>
      <c r="E7901" s="32">
        <v>46113.0</v>
      </c>
      <c r="F7901" s="32">
        <v>46171.0</v>
      </c>
      <c r="G7901" s="33"/>
    </row>
    <row r="7902" ht="15.75" customHeight="1">
      <c r="A7902" s="26" t="s">
        <v>11566</v>
      </c>
      <c r="B7902" s="27" t="s">
        <v>735</v>
      </c>
      <c r="C7902" s="27" t="s">
        <v>1153</v>
      </c>
      <c r="D7902" s="26" t="s">
        <v>3663</v>
      </c>
      <c r="E7902" s="28">
        <v>46113.0</v>
      </c>
      <c r="F7902" s="28">
        <v>46171.0</v>
      </c>
      <c r="G7902" s="29"/>
    </row>
    <row r="7903" ht="15.75" customHeight="1">
      <c r="A7903" s="30" t="s">
        <v>11567</v>
      </c>
      <c r="B7903" s="31" t="s">
        <v>735</v>
      </c>
      <c r="C7903" s="31" t="s">
        <v>1149</v>
      </c>
      <c r="D7903" s="30" t="s">
        <v>3663</v>
      </c>
      <c r="E7903" s="32">
        <v>46113.0</v>
      </c>
      <c r="F7903" s="32">
        <v>46171.0</v>
      </c>
      <c r="G7903" s="33"/>
    </row>
    <row r="7904" ht="15.75" customHeight="1">
      <c r="A7904" s="26" t="s">
        <v>11568</v>
      </c>
      <c r="B7904" s="27" t="s">
        <v>735</v>
      </c>
      <c r="C7904" s="27" t="s">
        <v>968</v>
      </c>
      <c r="D7904" s="26" t="s">
        <v>3663</v>
      </c>
      <c r="E7904" s="28">
        <v>46113.0</v>
      </c>
      <c r="F7904" s="28">
        <v>46171.0</v>
      </c>
      <c r="G7904" s="29"/>
    </row>
    <row r="7905" ht="15.75" customHeight="1">
      <c r="A7905" s="30" t="s">
        <v>11569</v>
      </c>
      <c r="B7905" s="31" t="s">
        <v>735</v>
      </c>
      <c r="C7905" s="31" t="s">
        <v>923</v>
      </c>
      <c r="D7905" s="30" t="s">
        <v>3663</v>
      </c>
      <c r="E7905" s="32">
        <v>46113.0</v>
      </c>
      <c r="F7905" s="32">
        <v>46171.0</v>
      </c>
      <c r="G7905" s="33"/>
    </row>
    <row r="7906" ht="15.75" customHeight="1">
      <c r="A7906" s="26" t="s">
        <v>11570</v>
      </c>
      <c r="B7906" s="27" t="s">
        <v>1238</v>
      </c>
      <c r="C7906" s="27" t="s">
        <v>1240</v>
      </c>
      <c r="D7906" s="27" t="s">
        <v>3663</v>
      </c>
      <c r="E7906" s="28">
        <v>46113.0</v>
      </c>
      <c r="F7906" s="28">
        <v>46171.0</v>
      </c>
      <c r="G7906" s="29"/>
    </row>
    <row r="7907" ht="15.75" customHeight="1">
      <c r="A7907" s="30" t="s">
        <v>11571</v>
      </c>
      <c r="B7907" s="31" t="s">
        <v>1238</v>
      </c>
      <c r="C7907" s="31" t="s">
        <v>1242</v>
      </c>
      <c r="D7907" s="31" t="s">
        <v>3663</v>
      </c>
      <c r="E7907" s="32">
        <v>46113.0</v>
      </c>
      <c r="F7907" s="32">
        <v>46171.0</v>
      </c>
      <c r="G7907" s="33"/>
    </row>
    <row r="7908" ht="15.75" customHeight="1">
      <c r="A7908" s="26" t="s">
        <v>11572</v>
      </c>
      <c r="B7908" s="27" t="s">
        <v>1238</v>
      </c>
      <c r="C7908" s="27" t="s">
        <v>1244</v>
      </c>
      <c r="D7908" s="27" t="s">
        <v>3663</v>
      </c>
      <c r="E7908" s="28">
        <v>46113.0</v>
      </c>
      <c r="F7908" s="28">
        <v>46171.0</v>
      </c>
      <c r="G7908" s="29"/>
    </row>
    <row r="7909" ht="15.75" customHeight="1">
      <c r="A7909" s="30" t="s">
        <v>11573</v>
      </c>
      <c r="B7909" s="31" t="s">
        <v>1238</v>
      </c>
      <c r="C7909" s="31" t="s">
        <v>1246</v>
      </c>
      <c r="D7909" s="31" t="s">
        <v>3663</v>
      </c>
      <c r="E7909" s="32">
        <v>46113.0</v>
      </c>
      <c r="F7909" s="32">
        <v>46171.0</v>
      </c>
      <c r="G7909" s="33"/>
    </row>
    <row r="7910" ht="15.75" customHeight="1">
      <c r="A7910" s="26" t="s">
        <v>11574</v>
      </c>
      <c r="B7910" s="27" t="s">
        <v>1238</v>
      </c>
      <c r="C7910" s="27" t="s">
        <v>934</v>
      </c>
      <c r="D7910" s="27" t="s">
        <v>3663</v>
      </c>
      <c r="E7910" s="28">
        <v>46113.0</v>
      </c>
      <c r="F7910" s="28">
        <v>46171.0</v>
      </c>
      <c r="G7910" s="29"/>
    </row>
    <row r="7911" ht="15.75" customHeight="1">
      <c r="A7911" s="30" t="s">
        <v>11575</v>
      </c>
      <c r="B7911" s="31" t="s">
        <v>1238</v>
      </c>
      <c r="C7911" s="31" t="s">
        <v>1354</v>
      </c>
      <c r="D7911" s="30" t="s">
        <v>3663</v>
      </c>
      <c r="E7911" s="32">
        <v>46113.0</v>
      </c>
      <c r="F7911" s="32">
        <v>46171.0</v>
      </c>
      <c r="G7911" s="33"/>
    </row>
    <row r="7912" ht="15.75" customHeight="1">
      <c r="A7912" s="26" t="s">
        <v>11576</v>
      </c>
      <c r="B7912" s="27" t="s">
        <v>1238</v>
      </c>
      <c r="C7912" s="27" t="s">
        <v>3656</v>
      </c>
      <c r="D7912" s="26" t="s">
        <v>3663</v>
      </c>
      <c r="E7912" s="28">
        <v>46113.0</v>
      </c>
      <c r="F7912" s="28">
        <v>46171.0</v>
      </c>
      <c r="G7912" s="29"/>
    </row>
    <row r="7913" ht="15.75" customHeight="1">
      <c r="A7913" s="30" t="s">
        <v>11577</v>
      </c>
      <c r="B7913" s="31" t="s">
        <v>1238</v>
      </c>
      <c r="C7913" s="31" t="s">
        <v>3657</v>
      </c>
      <c r="D7913" s="30" t="s">
        <v>3663</v>
      </c>
      <c r="E7913" s="32">
        <v>46113.0</v>
      </c>
      <c r="F7913" s="32">
        <v>46171.0</v>
      </c>
      <c r="G7913" s="33"/>
    </row>
    <row r="7914" ht="15.75" customHeight="1">
      <c r="A7914" s="26" t="s">
        <v>11578</v>
      </c>
      <c r="B7914" s="27" t="s">
        <v>1238</v>
      </c>
      <c r="C7914" s="27" t="s">
        <v>1216</v>
      </c>
      <c r="D7914" s="26" t="s">
        <v>3663</v>
      </c>
      <c r="E7914" s="28">
        <v>46113.0</v>
      </c>
      <c r="F7914" s="28">
        <v>46171.0</v>
      </c>
      <c r="G7914" s="29"/>
    </row>
    <row r="7915" ht="15.75" customHeight="1">
      <c r="A7915" s="30" t="s">
        <v>11579</v>
      </c>
      <c r="B7915" s="31" t="s">
        <v>1238</v>
      </c>
      <c r="C7915" s="31" t="s">
        <v>1218</v>
      </c>
      <c r="D7915" s="30" t="s">
        <v>3663</v>
      </c>
      <c r="E7915" s="32">
        <v>46113.0</v>
      </c>
      <c r="F7915" s="32">
        <v>46171.0</v>
      </c>
      <c r="G7915" s="33"/>
    </row>
    <row r="7916" ht="15.75" customHeight="1">
      <c r="A7916" s="26" t="s">
        <v>11580</v>
      </c>
      <c r="B7916" s="27" t="s">
        <v>1238</v>
      </c>
      <c r="C7916" s="27" t="s">
        <v>1351</v>
      </c>
      <c r="D7916" s="26" t="s">
        <v>3663</v>
      </c>
      <c r="E7916" s="28">
        <v>46113.0</v>
      </c>
      <c r="F7916" s="28">
        <v>46171.0</v>
      </c>
      <c r="G7916" s="29"/>
    </row>
    <row r="7917" ht="15.75" customHeight="1">
      <c r="A7917" s="30" t="s">
        <v>11581</v>
      </c>
      <c r="B7917" s="31" t="s">
        <v>1238</v>
      </c>
      <c r="C7917" s="31" t="s">
        <v>1349</v>
      </c>
      <c r="D7917" s="30" t="s">
        <v>3663</v>
      </c>
      <c r="E7917" s="32">
        <v>46113.0</v>
      </c>
      <c r="F7917" s="32">
        <v>46171.0</v>
      </c>
      <c r="G7917" s="33"/>
    </row>
    <row r="7918" ht="15.75" customHeight="1">
      <c r="A7918" s="26" t="s">
        <v>11582</v>
      </c>
      <c r="B7918" s="27" t="s">
        <v>1238</v>
      </c>
      <c r="C7918" s="27" t="s">
        <v>968</v>
      </c>
      <c r="D7918" s="26" t="s">
        <v>3663</v>
      </c>
      <c r="E7918" s="28">
        <v>46113.0</v>
      </c>
      <c r="F7918" s="28">
        <v>46171.0</v>
      </c>
      <c r="G7918" s="29"/>
    </row>
    <row r="7919" ht="15.75" customHeight="1">
      <c r="A7919" s="30" t="s">
        <v>11583</v>
      </c>
      <c r="B7919" s="31" t="s">
        <v>1238</v>
      </c>
      <c r="C7919" s="31" t="s">
        <v>923</v>
      </c>
      <c r="D7919" s="31" t="s">
        <v>3663</v>
      </c>
      <c r="E7919" s="32">
        <v>46113.0</v>
      </c>
      <c r="F7919" s="32">
        <v>46171.0</v>
      </c>
      <c r="G7919" s="33"/>
    </row>
    <row r="7920" ht="15.75" customHeight="1">
      <c r="A7920" s="26" t="s">
        <v>11584</v>
      </c>
      <c r="B7920" s="27" t="s">
        <v>737</v>
      </c>
      <c r="C7920" s="27" t="s">
        <v>930</v>
      </c>
      <c r="D7920" s="27" t="s">
        <v>3663</v>
      </c>
      <c r="E7920" s="28">
        <v>46113.0</v>
      </c>
      <c r="F7920" s="28">
        <v>46171.0</v>
      </c>
      <c r="G7920" s="29"/>
    </row>
    <row r="7921" ht="15.75" customHeight="1">
      <c r="A7921" s="30" t="s">
        <v>11585</v>
      </c>
      <c r="B7921" s="31" t="s">
        <v>737</v>
      </c>
      <c r="C7921" s="31" t="s">
        <v>1354</v>
      </c>
      <c r="D7921" s="30" t="s">
        <v>3663</v>
      </c>
      <c r="E7921" s="32">
        <v>46113.0</v>
      </c>
      <c r="F7921" s="32">
        <v>46171.0</v>
      </c>
      <c r="G7921" s="33"/>
    </row>
    <row r="7922" ht="15.75" customHeight="1">
      <c r="A7922" s="26" t="s">
        <v>11586</v>
      </c>
      <c r="B7922" s="27" t="s">
        <v>737</v>
      </c>
      <c r="C7922" s="27" t="s">
        <v>1304</v>
      </c>
      <c r="D7922" s="27" t="s">
        <v>3663</v>
      </c>
      <c r="E7922" s="28">
        <v>46113.0</v>
      </c>
      <c r="F7922" s="28">
        <v>46171.0</v>
      </c>
      <c r="G7922" s="29"/>
    </row>
    <row r="7923" ht="15.75" customHeight="1">
      <c r="A7923" s="30" t="s">
        <v>11587</v>
      </c>
      <c r="B7923" s="31" t="s">
        <v>737</v>
      </c>
      <c r="C7923" s="31" t="s">
        <v>1306</v>
      </c>
      <c r="D7923" s="31" t="s">
        <v>3663</v>
      </c>
      <c r="E7923" s="32">
        <v>46113.0</v>
      </c>
      <c r="F7923" s="32">
        <v>46171.0</v>
      </c>
      <c r="G7923" s="33"/>
    </row>
    <row r="7924" ht="15.75" customHeight="1">
      <c r="A7924" s="26" t="s">
        <v>11588</v>
      </c>
      <c r="B7924" s="27" t="s">
        <v>737</v>
      </c>
      <c r="C7924" s="27" t="s">
        <v>1308</v>
      </c>
      <c r="D7924" s="27" t="s">
        <v>3663</v>
      </c>
      <c r="E7924" s="28">
        <v>46113.0</v>
      </c>
      <c r="F7924" s="28">
        <v>46171.0</v>
      </c>
      <c r="G7924" s="29"/>
    </row>
    <row r="7925" ht="15.75" customHeight="1">
      <c r="A7925" s="30" t="s">
        <v>11589</v>
      </c>
      <c r="B7925" s="31" t="s">
        <v>737</v>
      </c>
      <c r="C7925" s="31" t="s">
        <v>1310</v>
      </c>
      <c r="D7925" s="31" t="s">
        <v>3663</v>
      </c>
      <c r="E7925" s="32">
        <v>46113.0</v>
      </c>
      <c r="F7925" s="32">
        <v>46171.0</v>
      </c>
      <c r="G7925" s="33"/>
    </row>
    <row r="7926" ht="15.75" customHeight="1">
      <c r="A7926" s="26" t="s">
        <v>11590</v>
      </c>
      <c r="B7926" s="27" t="s">
        <v>737</v>
      </c>
      <c r="C7926" s="27" t="s">
        <v>3656</v>
      </c>
      <c r="D7926" s="26" t="s">
        <v>3663</v>
      </c>
      <c r="E7926" s="28">
        <v>46113.0</v>
      </c>
      <c r="F7926" s="28">
        <v>46171.0</v>
      </c>
      <c r="G7926" s="29"/>
    </row>
    <row r="7927" ht="15.75" customHeight="1">
      <c r="A7927" s="30" t="s">
        <v>11591</v>
      </c>
      <c r="B7927" s="31" t="s">
        <v>737</v>
      </c>
      <c r="C7927" s="31" t="s">
        <v>3657</v>
      </c>
      <c r="D7927" s="30" t="s">
        <v>3663</v>
      </c>
      <c r="E7927" s="32">
        <v>46113.0</v>
      </c>
      <c r="F7927" s="32">
        <v>46171.0</v>
      </c>
      <c r="G7927" s="33"/>
    </row>
    <row r="7928" ht="15.75" customHeight="1">
      <c r="A7928" s="26" t="s">
        <v>11592</v>
      </c>
      <c r="B7928" s="27" t="s">
        <v>737</v>
      </c>
      <c r="C7928" s="27" t="s">
        <v>1218</v>
      </c>
      <c r="D7928" s="26" t="s">
        <v>3663</v>
      </c>
      <c r="E7928" s="28">
        <v>46113.0</v>
      </c>
      <c r="F7928" s="28">
        <v>46171.0</v>
      </c>
      <c r="G7928" s="29"/>
    </row>
    <row r="7929" ht="15.75" customHeight="1">
      <c r="A7929" s="30" t="s">
        <v>11593</v>
      </c>
      <c r="B7929" s="31" t="s">
        <v>737</v>
      </c>
      <c r="C7929" s="31" t="s">
        <v>1351</v>
      </c>
      <c r="D7929" s="30" t="s">
        <v>3663</v>
      </c>
      <c r="E7929" s="32">
        <v>46113.0</v>
      </c>
      <c r="F7929" s="32">
        <v>46171.0</v>
      </c>
      <c r="G7929" s="33"/>
    </row>
    <row r="7930" ht="15.75" customHeight="1">
      <c r="A7930" s="26" t="s">
        <v>11594</v>
      </c>
      <c r="B7930" s="27" t="s">
        <v>737</v>
      </c>
      <c r="C7930" s="27" t="s">
        <v>1349</v>
      </c>
      <c r="D7930" s="26" t="s">
        <v>3663</v>
      </c>
      <c r="E7930" s="28">
        <v>46113.0</v>
      </c>
      <c r="F7930" s="28">
        <v>46171.0</v>
      </c>
      <c r="G7930" s="29"/>
    </row>
    <row r="7931" ht="15.75" customHeight="1">
      <c r="A7931" s="30" t="s">
        <v>11595</v>
      </c>
      <c r="B7931" s="31" t="s">
        <v>737</v>
      </c>
      <c r="C7931" s="31" t="s">
        <v>965</v>
      </c>
      <c r="D7931" s="30" t="s">
        <v>3663</v>
      </c>
      <c r="E7931" s="32">
        <v>46113.0</v>
      </c>
      <c r="F7931" s="32">
        <v>46171.0</v>
      </c>
      <c r="G7931" s="33"/>
    </row>
    <row r="7932" ht="15.75" customHeight="1">
      <c r="A7932" s="26" t="s">
        <v>11596</v>
      </c>
      <c r="B7932" s="27" t="s">
        <v>737</v>
      </c>
      <c r="C7932" s="27" t="s">
        <v>923</v>
      </c>
      <c r="D7932" s="27" t="s">
        <v>3663</v>
      </c>
      <c r="E7932" s="28">
        <v>46113.0</v>
      </c>
      <c r="F7932" s="28">
        <v>46171.0</v>
      </c>
      <c r="G7932" s="29"/>
    </row>
    <row r="7933" ht="15.75" customHeight="1">
      <c r="A7933" s="30" t="s">
        <v>11597</v>
      </c>
      <c r="B7933" s="31" t="s">
        <v>737</v>
      </c>
      <c r="C7933" s="31" t="s">
        <v>955</v>
      </c>
      <c r="D7933" s="30" t="s">
        <v>3663</v>
      </c>
      <c r="E7933" s="32">
        <v>46113.0</v>
      </c>
      <c r="F7933" s="32">
        <v>46171.0</v>
      </c>
      <c r="G7933" s="33"/>
    </row>
    <row r="7934" ht="15.75" customHeight="1">
      <c r="A7934" s="26" t="s">
        <v>11598</v>
      </c>
      <c r="B7934" s="27" t="s">
        <v>738</v>
      </c>
      <c r="C7934" s="27" t="s">
        <v>930</v>
      </c>
      <c r="D7934" s="26" t="s">
        <v>3663</v>
      </c>
      <c r="E7934" s="28">
        <v>46113.0</v>
      </c>
      <c r="F7934" s="28">
        <v>46171.0</v>
      </c>
      <c r="G7934" s="29"/>
    </row>
    <row r="7935" ht="15.75" customHeight="1">
      <c r="A7935" s="30" t="s">
        <v>11599</v>
      </c>
      <c r="B7935" s="31" t="s">
        <v>738</v>
      </c>
      <c r="C7935" s="31" t="s">
        <v>1354</v>
      </c>
      <c r="D7935" s="30" t="s">
        <v>3663</v>
      </c>
      <c r="E7935" s="32">
        <v>46113.0</v>
      </c>
      <c r="F7935" s="32">
        <v>46171.0</v>
      </c>
      <c r="G7935" s="33"/>
    </row>
    <row r="7936" ht="15.75" customHeight="1">
      <c r="A7936" s="26" t="s">
        <v>11600</v>
      </c>
      <c r="B7936" s="27" t="s">
        <v>738</v>
      </c>
      <c r="C7936" s="27" t="s">
        <v>1190</v>
      </c>
      <c r="D7936" s="26" t="s">
        <v>3663</v>
      </c>
      <c r="E7936" s="28">
        <v>46113.0</v>
      </c>
      <c r="F7936" s="28">
        <v>46171.0</v>
      </c>
      <c r="G7936" s="29"/>
    </row>
    <row r="7937" ht="15.75" customHeight="1">
      <c r="A7937" s="30" t="s">
        <v>11601</v>
      </c>
      <c r="B7937" s="31" t="s">
        <v>738</v>
      </c>
      <c r="C7937" s="31" t="s">
        <v>1216</v>
      </c>
      <c r="D7937" s="30" t="s">
        <v>3663</v>
      </c>
      <c r="E7937" s="32">
        <v>46113.0</v>
      </c>
      <c r="F7937" s="32">
        <v>46171.0</v>
      </c>
      <c r="G7937" s="33"/>
    </row>
    <row r="7938" ht="15.75" customHeight="1">
      <c r="A7938" s="26" t="s">
        <v>11602</v>
      </c>
      <c r="B7938" s="27" t="s">
        <v>738</v>
      </c>
      <c r="C7938" s="27" t="s">
        <v>1157</v>
      </c>
      <c r="D7938" s="26" t="s">
        <v>3663</v>
      </c>
      <c r="E7938" s="28">
        <v>46113.0</v>
      </c>
      <c r="F7938" s="28">
        <v>46171.0</v>
      </c>
      <c r="G7938" s="29"/>
    </row>
    <row r="7939" ht="15.75" customHeight="1">
      <c r="A7939" s="30" t="s">
        <v>11603</v>
      </c>
      <c r="B7939" s="31" t="s">
        <v>738</v>
      </c>
      <c r="C7939" s="31" t="s">
        <v>1155</v>
      </c>
      <c r="D7939" s="30" t="s">
        <v>3663</v>
      </c>
      <c r="E7939" s="32">
        <v>46113.0</v>
      </c>
      <c r="F7939" s="32">
        <v>46171.0</v>
      </c>
      <c r="G7939" s="33"/>
    </row>
    <row r="7940" ht="15.75" customHeight="1">
      <c r="A7940" s="26" t="s">
        <v>11604</v>
      </c>
      <c r="B7940" s="27" t="s">
        <v>738</v>
      </c>
      <c r="C7940" s="27" t="s">
        <v>1153</v>
      </c>
      <c r="D7940" s="26" t="s">
        <v>3663</v>
      </c>
      <c r="E7940" s="28">
        <v>46113.0</v>
      </c>
      <c r="F7940" s="28">
        <v>46171.0</v>
      </c>
      <c r="G7940" s="29"/>
    </row>
    <row r="7941" ht="15.75" customHeight="1">
      <c r="A7941" s="30" t="s">
        <v>11605</v>
      </c>
      <c r="B7941" s="31" t="s">
        <v>738</v>
      </c>
      <c r="C7941" s="31" t="s">
        <v>1149</v>
      </c>
      <c r="D7941" s="30" t="s">
        <v>3663</v>
      </c>
      <c r="E7941" s="32">
        <v>46113.0</v>
      </c>
      <c r="F7941" s="32">
        <v>46171.0</v>
      </c>
      <c r="G7941" s="33"/>
    </row>
    <row r="7942" ht="15.75" customHeight="1">
      <c r="A7942" s="26" t="s">
        <v>11606</v>
      </c>
      <c r="B7942" s="27" t="s">
        <v>738</v>
      </c>
      <c r="C7942" s="27" t="s">
        <v>1351</v>
      </c>
      <c r="D7942" s="26" t="s">
        <v>3663</v>
      </c>
      <c r="E7942" s="28">
        <v>46113.0</v>
      </c>
      <c r="F7942" s="28">
        <v>46171.0</v>
      </c>
      <c r="G7942" s="29"/>
    </row>
    <row r="7943" ht="15.75" customHeight="1">
      <c r="A7943" s="30" t="s">
        <v>11607</v>
      </c>
      <c r="B7943" s="31" t="s">
        <v>738</v>
      </c>
      <c r="C7943" s="31" t="s">
        <v>1349</v>
      </c>
      <c r="D7943" s="30" t="s">
        <v>3663</v>
      </c>
      <c r="E7943" s="32">
        <v>46113.0</v>
      </c>
      <c r="F7943" s="32">
        <v>46171.0</v>
      </c>
      <c r="G7943" s="33"/>
    </row>
    <row r="7944" ht="15.75" customHeight="1">
      <c r="A7944" s="26" t="s">
        <v>11608</v>
      </c>
      <c r="B7944" s="27" t="s">
        <v>738</v>
      </c>
      <c r="C7944" s="27" t="s">
        <v>3653</v>
      </c>
      <c r="D7944" s="26" t="s">
        <v>3663</v>
      </c>
      <c r="E7944" s="28">
        <v>46113.0</v>
      </c>
      <c r="F7944" s="28">
        <v>46171.0</v>
      </c>
      <c r="G7944" s="29"/>
    </row>
    <row r="7945" ht="15.75" customHeight="1">
      <c r="A7945" s="30" t="s">
        <v>11609</v>
      </c>
      <c r="B7945" s="31" t="s">
        <v>738</v>
      </c>
      <c r="C7945" s="31" t="s">
        <v>3652</v>
      </c>
      <c r="D7945" s="31" t="s">
        <v>3663</v>
      </c>
      <c r="E7945" s="32">
        <v>46113.0</v>
      </c>
      <c r="F7945" s="32">
        <v>46171.0</v>
      </c>
      <c r="G7945" s="33"/>
    </row>
    <row r="7946" ht="15.75" customHeight="1">
      <c r="A7946" s="26" t="s">
        <v>11610</v>
      </c>
      <c r="B7946" s="27" t="s">
        <v>738</v>
      </c>
      <c r="C7946" s="27" t="s">
        <v>965</v>
      </c>
      <c r="D7946" s="26" t="s">
        <v>3663</v>
      </c>
      <c r="E7946" s="28">
        <v>46113.0</v>
      </c>
      <c r="F7946" s="28">
        <v>46171.0</v>
      </c>
      <c r="G7946" s="29"/>
    </row>
    <row r="7947" ht="15.75" customHeight="1">
      <c r="A7947" s="30" t="s">
        <v>11611</v>
      </c>
      <c r="B7947" s="31" t="s">
        <v>738</v>
      </c>
      <c r="C7947" s="31" t="s">
        <v>923</v>
      </c>
      <c r="D7947" s="30" t="s">
        <v>3663</v>
      </c>
      <c r="E7947" s="32">
        <v>46113.0</v>
      </c>
      <c r="F7947" s="32">
        <v>46171.0</v>
      </c>
      <c r="G7947" s="33"/>
    </row>
    <row r="7948" ht="15.75" customHeight="1">
      <c r="A7948" s="26" t="s">
        <v>11612</v>
      </c>
      <c r="B7948" s="27" t="s">
        <v>739</v>
      </c>
      <c r="C7948" s="27" t="s">
        <v>3654</v>
      </c>
      <c r="D7948" s="26" t="s">
        <v>3663</v>
      </c>
      <c r="E7948" s="28">
        <v>46113.0</v>
      </c>
      <c r="F7948" s="28">
        <v>46171.0</v>
      </c>
      <c r="G7948" s="29"/>
    </row>
    <row r="7949" ht="15.75" customHeight="1">
      <c r="A7949" s="30" t="s">
        <v>11613</v>
      </c>
      <c r="B7949" s="31" t="s">
        <v>739</v>
      </c>
      <c r="C7949" s="31" t="s">
        <v>3655</v>
      </c>
      <c r="D7949" s="30" t="s">
        <v>3663</v>
      </c>
      <c r="E7949" s="32">
        <v>46113.0</v>
      </c>
      <c r="F7949" s="32">
        <v>46171.0</v>
      </c>
      <c r="G7949" s="33"/>
    </row>
    <row r="7950" ht="15.75" customHeight="1">
      <c r="A7950" s="26" t="s">
        <v>11614</v>
      </c>
      <c r="B7950" s="27" t="s">
        <v>739</v>
      </c>
      <c r="C7950" s="27" t="s">
        <v>930</v>
      </c>
      <c r="D7950" s="27" t="s">
        <v>3663</v>
      </c>
      <c r="E7950" s="28">
        <v>46113.0</v>
      </c>
      <c r="F7950" s="28">
        <v>46171.0</v>
      </c>
      <c r="G7950" s="29"/>
    </row>
    <row r="7951" ht="15.75" customHeight="1">
      <c r="A7951" s="30" t="s">
        <v>11615</v>
      </c>
      <c r="B7951" s="31" t="s">
        <v>739</v>
      </c>
      <c r="C7951" s="31" t="s">
        <v>1354</v>
      </c>
      <c r="D7951" s="30" t="s">
        <v>3663</v>
      </c>
      <c r="E7951" s="32">
        <v>46113.0</v>
      </c>
      <c r="F7951" s="32">
        <v>46171.0</v>
      </c>
      <c r="G7951" s="33"/>
    </row>
    <row r="7952" ht="15.75" customHeight="1">
      <c r="A7952" s="26" t="s">
        <v>11616</v>
      </c>
      <c r="B7952" s="27" t="s">
        <v>739</v>
      </c>
      <c r="C7952" s="27" t="s">
        <v>1304</v>
      </c>
      <c r="D7952" s="27" t="s">
        <v>3663</v>
      </c>
      <c r="E7952" s="28">
        <v>46113.0</v>
      </c>
      <c r="F7952" s="28">
        <v>46171.0</v>
      </c>
      <c r="G7952" s="29"/>
    </row>
    <row r="7953" ht="15.75" customHeight="1">
      <c r="A7953" s="30" t="s">
        <v>11617</v>
      </c>
      <c r="B7953" s="31" t="s">
        <v>739</v>
      </c>
      <c r="C7953" s="31" t="s">
        <v>1306</v>
      </c>
      <c r="D7953" s="31" t="s">
        <v>3663</v>
      </c>
      <c r="E7953" s="32">
        <v>46113.0</v>
      </c>
      <c r="F7953" s="32">
        <v>46171.0</v>
      </c>
      <c r="G7953" s="33"/>
    </row>
    <row r="7954" ht="15.75" customHeight="1">
      <c r="A7954" s="26" t="s">
        <v>11618</v>
      </c>
      <c r="B7954" s="27" t="s">
        <v>739</v>
      </c>
      <c r="C7954" s="27" t="s">
        <v>1308</v>
      </c>
      <c r="D7954" s="27" t="s">
        <v>3663</v>
      </c>
      <c r="E7954" s="28">
        <v>46113.0</v>
      </c>
      <c r="F7954" s="28">
        <v>46171.0</v>
      </c>
      <c r="G7954" s="29"/>
    </row>
    <row r="7955" ht="15.75" customHeight="1">
      <c r="A7955" s="30" t="s">
        <v>11619</v>
      </c>
      <c r="B7955" s="31" t="s">
        <v>739</v>
      </c>
      <c r="C7955" s="31" t="s">
        <v>1310</v>
      </c>
      <c r="D7955" s="31" t="s">
        <v>3663</v>
      </c>
      <c r="E7955" s="32">
        <v>46113.0</v>
      </c>
      <c r="F7955" s="32">
        <v>46171.0</v>
      </c>
      <c r="G7955" s="33"/>
    </row>
    <row r="7956" ht="15.75" customHeight="1">
      <c r="A7956" s="26" t="s">
        <v>11620</v>
      </c>
      <c r="B7956" s="27" t="s">
        <v>739</v>
      </c>
      <c r="C7956" s="27" t="s">
        <v>1216</v>
      </c>
      <c r="D7956" s="26" t="s">
        <v>3663</v>
      </c>
      <c r="E7956" s="28">
        <v>46113.0</v>
      </c>
      <c r="F7956" s="28">
        <v>46171.0</v>
      </c>
      <c r="G7956" s="29"/>
    </row>
    <row r="7957" ht="15.75" customHeight="1">
      <c r="A7957" s="30" t="s">
        <v>11621</v>
      </c>
      <c r="B7957" s="31" t="s">
        <v>739</v>
      </c>
      <c r="C7957" s="31" t="s">
        <v>1218</v>
      </c>
      <c r="D7957" s="30" t="s">
        <v>3663</v>
      </c>
      <c r="E7957" s="32">
        <v>46113.0</v>
      </c>
      <c r="F7957" s="32">
        <v>46171.0</v>
      </c>
      <c r="G7957" s="33"/>
    </row>
    <row r="7958" ht="15.75" customHeight="1">
      <c r="A7958" s="26" t="s">
        <v>11622</v>
      </c>
      <c r="B7958" s="27" t="s">
        <v>739</v>
      </c>
      <c r="C7958" s="27" t="s">
        <v>1351</v>
      </c>
      <c r="D7958" s="26" t="s">
        <v>3663</v>
      </c>
      <c r="E7958" s="28">
        <v>46113.0</v>
      </c>
      <c r="F7958" s="28">
        <v>46171.0</v>
      </c>
      <c r="G7958" s="29"/>
    </row>
    <row r="7959" ht="15.75" customHeight="1">
      <c r="A7959" s="30" t="s">
        <v>11623</v>
      </c>
      <c r="B7959" s="31" t="s">
        <v>739</v>
      </c>
      <c r="C7959" s="31" t="s">
        <v>1349</v>
      </c>
      <c r="D7959" s="30" t="s">
        <v>3663</v>
      </c>
      <c r="E7959" s="32">
        <v>46113.0</v>
      </c>
      <c r="F7959" s="32">
        <v>46171.0</v>
      </c>
      <c r="G7959" s="33"/>
    </row>
    <row r="7960" ht="15.75" customHeight="1">
      <c r="A7960" s="26" t="s">
        <v>11624</v>
      </c>
      <c r="B7960" s="27" t="s">
        <v>739</v>
      </c>
      <c r="C7960" s="27" t="s">
        <v>965</v>
      </c>
      <c r="D7960" s="26" t="s">
        <v>3663</v>
      </c>
      <c r="E7960" s="28">
        <v>46113.0</v>
      </c>
      <c r="F7960" s="28">
        <v>46171.0</v>
      </c>
      <c r="G7960" s="29"/>
    </row>
    <row r="7961" ht="15.75" customHeight="1">
      <c r="A7961" s="30" t="s">
        <v>11625</v>
      </c>
      <c r="B7961" s="31" t="s">
        <v>739</v>
      </c>
      <c r="C7961" s="31" t="s">
        <v>923</v>
      </c>
      <c r="D7961" s="31" t="s">
        <v>3663</v>
      </c>
      <c r="E7961" s="32">
        <v>46113.0</v>
      </c>
      <c r="F7961" s="32">
        <v>46171.0</v>
      </c>
      <c r="G7961" s="33"/>
    </row>
    <row r="7962" ht="15.75" customHeight="1">
      <c r="A7962" s="26" t="s">
        <v>11626</v>
      </c>
      <c r="B7962" s="27" t="s">
        <v>740</v>
      </c>
      <c r="C7962" s="27" t="s">
        <v>928</v>
      </c>
      <c r="D7962" s="26" t="s">
        <v>3663</v>
      </c>
      <c r="E7962" s="28">
        <v>46113.0</v>
      </c>
      <c r="F7962" s="28">
        <v>46171.0</v>
      </c>
      <c r="G7962" s="29"/>
    </row>
    <row r="7963" ht="15.75" customHeight="1">
      <c r="A7963" s="30" t="s">
        <v>11627</v>
      </c>
      <c r="B7963" s="31" t="s">
        <v>740</v>
      </c>
      <c r="C7963" s="31" t="s">
        <v>1354</v>
      </c>
      <c r="D7963" s="30" t="s">
        <v>3663</v>
      </c>
      <c r="E7963" s="32">
        <v>46113.0</v>
      </c>
      <c r="F7963" s="32">
        <v>46171.0</v>
      </c>
      <c r="G7963" s="33"/>
    </row>
    <row r="7964" ht="15.75" customHeight="1">
      <c r="A7964" s="26" t="s">
        <v>11628</v>
      </c>
      <c r="B7964" s="27" t="s">
        <v>740</v>
      </c>
      <c r="C7964" s="27" t="s">
        <v>1222</v>
      </c>
      <c r="D7964" s="26" t="s">
        <v>3663</v>
      </c>
      <c r="E7964" s="28">
        <v>46113.0</v>
      </c>
      <c r="F7964" s="28">
        <v>46171.0</v>
      </c>
      <c r="G7964" s="29"/>
    </row>
    <row r="7965" ht="15.75" customHeight="1">
      <c r="A7965" s="30" t="s">
        <v>11629</v>
      </c>
      <c r="B7965" s="31" t="s">
        <v>740</v>
      </c>
      <c r="C7965" s="31" t="s">
        <v>1224</v>
      </c>
      <c r="D7965" s="30" t="s">
        <v>3663</v>
      </c>
      <c r="E7965" s="32">
        <v>46113.0</v>
      </c>
      <c r="F7965" s="32">
        <v>46171.0</v>
      </c>
      <c r="G7965" s="33"/>
    </row>
    <row r="7966" ht="15.75" customHeight="1">
      <c r="A7966" s="26" t="s">
        <v>11630</v>
      </c>
      <c r="B7966" s="27" t="s">
        <v>740</v>
      </c>
      <c r="C7966" s="27" t="s">
        <v>1226</v>
      </c>
      <c r="D7966" s="26" t="s">
        <v>3663</v>
      </c>
      <c r="E7966" s="28">
        <v>46113.0</v>
      </c>
      <c r="F7966" s="28">
        <v>46171.0</v>
      </c>
      <c r="G7966" s="29"/>
    </row>
    <row r="7967" ht="15.75" customHeight="1">
      <c r="A7967" s="30" t="s">
        <v>11631</v>
      </c>
      <c r="B7967" s="31" t="s">
        <v>740</v>
      </c>
      <c r="C7967" s="31" t="s">
        <v>1228</v>
      </c>
      <c r="D7967" s="30" t="s">
        <v>3663</v>
      </c>
      <c r="E7967" s="32">
        <v>46113.0</v>
      </c>
      <c r="F7967" s="32">
        <v>46171.0</v>
      </c>
      <c r="G7967" s="33"/>
    </row>
    <row r="7968" ht="15.75" customHeight="1">
      <c r="A7968" s="26" t="s">
        <v>11632</v>
      </c>
      <c r="B7968" s="27" t="s">
        <v>740</v>
      </c>
      <c r="C7968" s="27" t="s">
        <v>3656</v>
      </c>
      <c r="D7968" s="26" t="s">
        <v>3663</v>
      </c>
      <c r="E7968" s="28">
        <v>46113.0</v>
      </c>
      <c r="F7968" s="28">
        <v>46171.0</v>
      </c>
      <c r="G7968" s="29"/>
    </row>
    <row r="7969" ht="15.75" customHeight="1">
      <c r="A7969" s="30" t="s">
        <v>11633</v>
      </c>
      <c r="B7969" s="31" t="s">
        <v>740</v>
      </c>
      <c r="C7969" s="31" t="s">
        <v>3657</v>
      </c>
      <c r="D7969" s="30" t="s">
        <v>3663</v>
      </c>
      <c r="E7969" s="32">
        <v>46113.0</v>
      </c>
      <c r="F7969" s="32">
        <v>46171.0</v>
      </c>
      <c r="G7969" s="33"/>
    </row>
    <row r="7970" ht="15.75" customHeight="1">
      <c r="A7970" s="26" t="s">
        <v>11634</v>
      </c>
      <c r="B7970" s="27" t="s">
        <v>740</v>
      </c>
      <c r="C7970" s="27" t="s">
        <v>3647</v>
      </c>
      <c r="D7970" s="26" t="s">
        <v>3663</v>
      </c>
      <c r="E7970" s="28">
        <v>46113.0</v>
      </c>
      <c r="F7970" s="28">
        <v>46171.0</v>
      </c>
      <c r="G7970" s="29"/>
    </row>
    <row r="7971" ht="15.75" customHeight="1">
      <c r="A7971" s="30" t="s">
        <v>11635</v>
      </c>
      <c r="B7971" s="31" t="s">
        <v>740</v>
      </c>
      <c r="C7971" s="31" t="s">
        <v>952</v>
      </c>
      <c r="D7971" s="30" t="s">
        <v>3663</v>
      </c>
      <c r="E7971" s="32">
        <v>46113.0</v>
      </c>
      <c r="F7971" s="32">
        <v>46171.0</v>
      </c>
      <c r="G7971" s="33"/>
    </row>
    <row r="7972" ht="15.75" customHeight="1">
      <c r="A7972" s="26" t="s">
        <v>11636</v>
      </c>
      <c r="B7972" s="27" t="s">
        <v>740</v>
      </c>
      <c r="C7972" s="27" t="s">
        <v>1216</v>
      </c>
      <c r="D7972" s="26" t="s">
        <v>3663</v>
      </c>
      <c r="E7972" s="28">
        <v>46113.0</v>
      </c>
      <c r="F7972" s="28">
        <v>46171.0</v>
      </c>
      <c r="G7972" s="29"/>
    </row>
    <row r="7973" ht="15.75" customHeight="1">
      <c r="A7973" s="30" t="s">
        <v>11637</v>
      </c>
      <c r="B7973" s="31" t="s">
        <v>740</v>
      </c>
      <c r="C7973" s="31" t="s">
        <v>1218</v>
      </c>
      <c r="D7973" s="30" t="s">
        <v>3663</v>
      </c>
      <c r="E7973" s="32">
        <v>46113.0</v>
      </c>
      <c r="F7973" s="32">
        <v>46171.0</v>
      </c>
      <c r="G7973" s="33"/>
    </row>
    <row r="7974" ht="15.75" customHeight="1">
      <c r="A7974" s="26" t="s">
        <v>11638</v>
      </c>
      <c r="B7974" s="27" t="s">
        <v>740</v>
      </c>
      <c r="C7974" s="27" t="s">
        <v>968</v>
      </c>
      <c r="D7974" s="26" t="s">
        <v>3663</v>
      </c>
      <c r="E7974" s="28">
        <v>46113.0</v>
      </c>
      <c r="F7974" s="28">
        <v>46171.0</v>
      </c>
      <c r="G7974" s="29"/>
    </row>
    <row r="7975" ht="15.75" customHeight="1">
      <c r="A7975" s="30" t="s">
        <v>11639</v>
      </c>
      <c r="B7975" s="31" t="s">
        <v>740</v>
      </c>
      <c r="C7975" s="31" t="s">
        <v>923</v>
      </c>
      <c r="D7975" s="30" t="s">
        <v>3663</v>
      </c>
      <c r="E7975" s="32">
        <v>46113.0</v>
      </c>
      <c r="F7975" s="32">
        <v>46171.0</v>
      </c>
      <c r="G7975" s="33"/>
    </row>
    <row r="7976" ht="15.75" customHeight="1">
      <c r="A7976" s="26" t="s">
        <v>11640</v>
      </c>
      <c r="B7976" s="27" t="s">
        <v>741</v>
      </c>
      <c r="C7976" s="27" t="s">
        <v>928</v>
      </c>
      <c r="D7976" s="26" t="s">
        <v>3663</v>
      </c>
      <c r="E7976" s="28">
        <v>46113.0</v>
      </c>
      <c r="F7976" s="28">
        <v>46171.0</v>
      </c>
      <c r="G7976" s="29"/>
    </row>
    <row r="7977" ht="15.75" customHeight="1">
      <c r="A7977" s="30" t="s">
        <v>11641</v>
      </c>
      <c r="B7977" s="31" t="s">
        <v>741</v>
      </c>
      <c r="C7977" s="31" t="s">
        <v>1354</v>
      </c>
      <c r="D7977" s="30" t="s">
        <v>3663</v>
      </c>
      <c r="E7977" s="32">
        <v>46113.0</v>
      </c>
      <c r="F7977" s="32">
        <v>46171.0</v>
      </c>
      <c r="G7977" s="33"/>
    </row>
    <row r="7978" ht="15.75" customHeight="1">
      <c r="A7978" s="26" t="s">
        <v>11642</v>
      </c>
      <c r="B7978" s="27" t="s">
        <v>741</v>
      </c>
      <c r="C7978" s="27" t="s">
        <v>1222</v>
      </c>
      <c r="D7978" s="26" t="s">
        <v>3663</v>
      </c>
      <c r="E7978" s="28">
        <v>46113.0</v>
      </c>
      <c r="F7978" s="28">
        <v>46171.0</v>
      </c>
      <c r="G7978" s="29"/>
    </row>
    <row r="7979" ht="15.75" customHeight="1">
      <c r="A7979" s="30" t="s">
        <v>11643</v>
      </c>
      <c r="B7979" s="31" t="s">
        <v>741</v>
      </c>
      <c r="C7979" s="31" t="s">
        <v>1224</v>
      </c>
      <c r="D7979" s="30" t="s">
        <v>3663</v>
      </c>
      <c r="E7979" s="32">
        <v>46113.0</v>
      </c>
      <c r="F7979" s="32">
        <v>46171.0</v>
      </c>
      <c r="G7979" s="33"/>
    </row>
    <row r="7980" ht="15.75" customHeight="1">
      <c r="A7980" s="26" t="s">
        <v>11644</v>
      </c>
      <c r="B7980" s="27" t="s">
        <v>741</v>
      </c>
      <c r="C7980" s="27" t="s">
        <v>1226</v>
      </c>
      <c r="D7980" s="26" t="s">
        <v>3663</v>
      </c>
      <c r="E7980" s="28">
        <v>46113.0</v>
      </c>
      <c r="F7980" s="28">
        <v>46171.0</v>
      </c>
      <c r="G7980" s="29"/>
    </row>
    <row r="7981" ht="15.75" customHeight="1">
      <c r="A7981" s="30" t="s">
        <v>11645</v>
      </c>
      <c r="B7981" s="31" t="s">
        <v>741</v>
      </c>
      <c r="C7981" s="31" t="s">
        <v>1228</v>
      </c>
      <c r="D7981" s="30" t="s">
        <v>3663</v>
      </c>
      <c r="E7981" s="32">
        <v>46113.0</v>
      </c>
      <c r="F7981" s="32">
        <v>46171.0</v>
      </c>
      <c r="G7981" s="33"/>
    </row>
    <row r="7982" ht="15.75" customHeight="1">
      <c r="A7982" s="26" t="s">
        <v>11646</v>
      </c>
      <c r="B7982" s="27" t="s">
        <v>741</v>
      </c>
      <c r="C7982" s="27" t="s">
        <v>1159</v>
      </c>
      <c r="D7982" s="26" t="s">
        <v>3663</v>
      </c>
      <c r="E7982" s="28">
        <v>46113.0</v>
      </c>
      <c r="F7982" s="28">
        <v>46171.0</v>
      </c>
      <c r="G7982" s="29"/>
    </row>
    <row r="7983" ht="15.75" customHeight="1">
      <c r="A7983" s="30" t="s">
        <v>11647</v>
      </c>
      <c r="B7983" s="31" t="s">
        <v>741</v>
      </c>
      <c r="C7983" s="31" t="s">
        <v>3647</v>
      </c>
      <c r="D7983" s="30" t="s">
        <v>3663</v>
      </c>
      <c r="E7983" s="32">
        <v>46113.0</v>
      </c>
      <c r="F7983" s="32">
        <v>46171.0</v>
      </c>
      <c r="G7983" s="33"/>
    </row>
    <row r="7984" ht="15.75" customHeight="1">
      <c r="A7984" s="26" t="s">
        <v>11648</v>
      </c>
      <c r="B7984" s="27" t="s">
        <v>741</v>
      </c>
      <c r="C7984" s="27" t="s">
        <v>952</v>
      </c>
      <c r="D7984" s="26" t="s">
        <v>3663</v>
      </c>
      <c r="E7984" s="28">
        <v>46113.0</v>
      </c>
      <c r="F7984" s="28">
        <v>46171.0</v>
      </c>
      <c r="G7984" s="29"/>
    </row>
    <row r="7985" ht="15.75" customHeight="1">
      <c r="A7985" s="30" t="s">
        <v>11649</v>
      </c>
      <c r="B7985" s="31" t="s">
        <v>741</v>
      </c>
      <c r="C7985" s="31" t="s">
        <v>1216</v>
      </c>
      <c r="D7985" s="30" t="s">
        <v>3663</v>
      </c>
      <c r="E7985" s="32">
        <v>46113.0</v>
      </c>
      <c r="F7985" s="32">
        <v>46171.0</v>
      </c>
      <c r="G7985" s="33"/>
    </row>
    <row r="7986" ht="15.75" customHeight="1">
      <c r="A7986" s="26" t="s">
        <v>11650</v>
      </c>
      <c r="B7986" s="27" t="s">
        <v>741</v>
      </c>
      <c r="C7986" s="27" t="s">
        <v>3653</v>
      </c>
      <c r="D7986" s="26" t="s">
        <v>3663</v>
      </c>
      <c r="E7986" s="28">
        <v>46113.0</v>
      </c>
      <c r="F7986" s="28">
        <v>46171.0</v>
      </c>
      <c r="G7986" s="29"/>
    </row>
    <row r="7987" ht="15.75" customHeight="1">
      <c r="A7987" s="30" t="s">
        <v>11651</v>
      </c>
      <c r="B7987" s="31" t="s">
        <v>741</v>
      </c>
      <c r="C7987" s="31" t="s">
        <v>3652</v>
      </c>
      <c r="D7987" s="30" t="s">
        <v>3663</v>
      </c>
      <c r="E7987" s="32">
        <v>46113.0</v>
      </c>
      <c r="F7987" s="32">
        <v>46171.0</v>
      </c>
      <c r="G7987" s="33"/>
    </row>
    <row r="7988" ht="15.75" customHeight="1">
      <c r="A7988" s="26" t="s">
        <v>11652</v>
      </c>
      <c r="B7988" s="27" t="s">
        <v>741</v>
      </c>
      <c r="C7988" s="27" t="s">
        <v>965</v>
      </c>
      <c r="D7988" s="26" t="s">
        <v>3663</v>
      </c>
      <c r="E7988" s="28">
        <v>46113.0</v>
      </c>
      <c r="F7988" s="28">
        <v>46171.0</v>
      </c>
      <c r="G7988" s="29"/>
    </row>
    <row r="7989" ht="15.75" customHeight="1">
      <c r="A7989" s="30" t="s">
        <v>11653</v>
      </c>
      <c r="B7989" s="31" t="s">
        <v>741</v>
      </c>
      <c r="C7989" s="31" t="s">
        <v>923</v>
      </c>
      <c r="D7989" s="30" t="s">
        <v>3663</v>
      </c>
      <c r="E7989" s="32">
        <v>46113.0</v>
      </c>
      <c r="F7989" s="32">
        <v>46171.0</v>
      </c>
      <c r="G7989" s="33"/>
    </row>
    <row r="7990" ht="15.75" customHeight="1">
      <c r="A7990" s="26" t="s">
        <v>11654</v>
      </c>
      <c r="B7990" s="27" t="s">
        <v>742</v>
      </c>
      <c r="C7990" s="27" t="s">
        <v>930</v>
      </c>
      <c r="D7990" s="26" t="s">
        <v>3663</v>
      </c>
      <c r="E7990" s="28">
        <v>46113.0</v>
      </c>
      <c r="F7990" s="28">
        <v>46171.0</v>
      </c>
      <c r="G7990" s="29"/>
    </row>
    <row r="7991" ht="15.75" customHeight="1">
      <c r="A7991" s="30" t="s">
        <v>11655</v>
      </c>
      <c r="B7991" s="31" t="s">
        <v>742</v>
      </c>
      <c r="C7991" s="31" t="s">
        <v>1354</v>
      </c>
      <c r="D7991" s="30" t="s">
        <v>3663</v>
      </c>
      <c r="E7991" s="32">
        <v>46113.0</v>
      </c>
      <c r="F7991" s="32">
        <v>46171.0</v>
      </c>
      <c r="G7991" s="33"/>
    </row>
    <row r="7992" ht="15.75" customHeight="1">
      <c r="A7992" s="26" t="s">
        <v>11656</v>
      </c>
      <c r="B7992" s="27" t="s">
        <v>742</v>
      </c>
      <c r="C7992" s="27" t="s">
        <v>3641</v>
      </c>
      <c r="D7992" s="26" t="s">
        <v>3663</v>
      </c>
      <c r="E7992" s="28">
        <v>46113.0</v>
      </c>
      <c r="F7992" s="28">
        <v>46171.0</v>
      </c>
      <c r="G7992" s="29"/>
    </row>
    <row r="7993" ht="15.75" customHeight="1">
      <c r="A7993" s="30" t="s">
        <v>11657</v>
      </c>
      <c r="B7993" s="31" t="s">
        <v>742</v>
      </c>
      <c r="C7993" s="31" t="s">
        <v>1304</v>
      </c>
      <c r="D7993" s="30" t="s">
        <v>3663</v>
      </c>
      <c r="E7993" s="32">
        <v>46113.0</v>
      </c>
      <c r="F7993" s="32">
        <v>46171.0</v>
      </c>
      <c r="G7993" s="33"/>
    </row>
    <row r="7994" ht="15.75" customHeight="1">
      <c r="A7994" s="26" t="s">
        <v>11658</v>
      </c>
      <c r="B7994" s="27" t="s">
        <v>742</v>
      </c>
      <c r="C7994" s="27" t="s">
        <v>3642</v>
      </c>
      <c r="D7994" s="26" t="s">
        <v>3663</v>
      </c>
      <c r="E7994" s="28">
        <v>46113.0</v>
      </c>
      <c r="F7994" s="28">
        <v>46171.0</v>
      </c>
      <c r="G7994" s="29"/>
    </row>
    <row r="7995" ht="15.75" customHeight="1">
      <c r="A7995" s="30" t="s">
        <v>11659</v>
      </c>
      <c r="B7995" s="31" t="s">
        <v>742</v>
      </c>
      <c r="C7995" s="31" t="s">
        <v>1308</v>
      </c>
      <c r="D7995" s="30" t="s">
        <v>3663</v>
      </c>
      <c r="E7995" s="32">
        <v>46113.0</v>
      </c>
      <c r="F7995" s="32">
        <v>46171.0</v>
      </c>
      <c r="G7995" s="33"/>
    </row>
    <row r="7996" ht="15.75" customHeight="1">
      <c r="A7996" s="26" t="s">
        <v>11660</v>
      </c>
      <c r="B7996" s="27" t="s">
        <v>742</v>
      </c>
      <c r="C7996" s="27" t="s">
        <v>1172</v>
      </c>
      <c r="D7996" s="26" t="s">
        <v>3663</v>
      </c>
      <c r="E7996" s="28">
        <v>46113.0</v>
      </c>
      <c r="F7996" s="28">
        <v>46171.0</v>
      </c>
      <c r="G7996" s="29"/>
    </row>
    <row r="7997" ht="15.75" customHeight="1">
      <c r="A7997" s="30" t="s">
        <v>11661</v>
      </c>
      <c r="B7997" s="31" t="s">
        <v>742</v>
      </c>
      <c r="C7997" s="31" t="s">
        <v>3656</v>
      </c>
      <c r="D7997" s="30" t="s">
        <v>3663</v>
      </c>
      <c r="E7997" s="32">
        <v>46113.0</v>
      </c>
      <c r="F7997" s="32">
        <v>46171.0</v>
      </c>
      <c r="G7997" s="33"/>
    </row>
    <row r="7998" ht="15.75" customHeight="1">
      <c r="A7998" s="26" t="s">
        <v>11662</v>
      </c>
      <c r="B7998" s="27" t="s">
        <v>742</v>
      </c>
      <c r="C7998" s="27" t="s">
        <v>3657</v>
      </c>
      <c r="D7998" s="26" t="s">
        <v>3663</v>
      </c>
      <c r="E7998" s="28">
        <v>46113.0</v>
      </c>
      <c r="F7998" s="28">
        <v>46171.0</v>
      </c>
      <c r="G7998" s="29"/>
    </row>
    <row r="7999" ht="15.75" customHeight="1">
      <c r="A7999" s="30" t="s">
        <v>11663</v>
      </c>
      <c r="B7999" s="31" t="s">
        <v>742</v>
      </c>
      <c r="C7999" s="31" t="s">
        <v>1216</v>
      </c>
      <c r="D7999" s="30" t="s">
        <v>3663</v>
      </c>
      <c r="E7999" s="32">
        <v>46113.0</v>
      </c>
      <c r="F7999" s="32">
        <v>46171.0</v>
      </c>
      <c r="G7999" s="33"/>
    </row>
    <row r="8000" ht="15.75" customHeight="1">
      <c r="A8000" s="26" t="s">
        <v>11664</v>
      </c>
      <c r="B8000" s="27" t="s">
        <v>742</v>
      </c>
      <c r="C8000" s="27" t="s">
        <v>1351</v>
      </c>
      <c r="D8000" s="26" t="s">
        <v>3663</v>
      </c>
      <c r="E8000" s="28">
        <v>46113.0</v>
      </c>
      <c r="F8000" s="28">
        <v>46171.0</v>
      </c>
      <c r="G8000" s="29"/>
    </row>
    <row r="8001" ht="15.75" customHeight="1">
      <c r="A8001" s="30" t="s">
        <v>11665</v>
      </c>
      <c r="B8001" s="31" t="s">
        <v>742</v>
      </c>
      <c r="C8001" s="31" t="s">
        <v>1349</v>
      </c>
      <c r="D8001" s="30" t="s">
        <v>3663</v>
      </c>
      <c r="E8001" s="32">
        <v>46113.0</v>
      </c>
      <c r="F8001" s="32">
        <v>46171.0</v>
      </c>
      <c r="G8001" s="33"/>
    </row>
    <row r="8002" ht="15.75" customHeight="1">
      <c r="A8002" s="26" t="s">
        <v>11666</v>
      </c>
      <c r="B8002" s="27" t="s">
        <v>742</v>
      </c>
      <c r="C8002" s="27" t="s">
        <v>965</v>
      </c>
      <c r="D8002" s="26" t="s">
        <v>3663</v>
      </c>
      <c r="E8002" s="28">
        <v>46113.0</v>
      </c>
      <c r="F8002" s="28">
        <v>46171.0</v>
      </c>
      <c r="G8002" s="29"/>
    </row>
    <row r="8003" ht="15.75" customHeight="1">
      <c r="A8003" s="30" t="s">
        <v>11667</v>
      </c>
      <c r="B8003" s="31" t="s">
        <v>742</v>
      </c>
      <c r="C8003" s="31" t="s">
        <v>923</v>
      </c>
      <c r="D8003" s="30" t="s">
        <v>3663</v>
      </c>
      <c r="E8003" s="32">
        <v>46113.0</v>
      </c>
      <c r="F8003" s="32">
        <v>46171.0</v>
      </c>
      <c r="G8003" s="33"/>
    </row>
    <row r="8004" ht="15.75" customHeight="1">
      <c r="A8004" s="26" t="s">
        <v>11668</v>
      </c>
      <c r="B8004" s="27" t="s">
        <v>743</v>
      </c>
      <c r="C8004" s="27" t="s">
        <v>1240</v>
      </c>
      <c r="D8004" s="27" t="s">
        <v>3663</v>
      </c>
      <c r="E8004" s="28">
        <v>46113.0</v>
      </c>
      <c r="F8004" s="28">
        <v>46171.0</v>
      </c>
      <c r="G8004" s="29"/>
    </row>
    <row r="8005" ht="15.75" customHeight="1">
      <c r="A8005" s="30" t="s">
        <v>11669</v>
      </c>
      <c r="B8005" s="31" t="s">
        <v>743</v>
      </c>
      <c r="C8005" s="31" t="s">
        <v>1242</v>
      </c>
      <c r="D8005" s="31" t="s">
        <v>3663</v>
      </c>
      <c r="E8005" s="32">
        <v>46113.0</v>
      </c>
      <c r="F8005" s="32">
        <v>46171.0</v>
      </c>
      <c r="G8005" s="33"/>
    </row>
    <row r="8006" ht="15.75" customHeight="1">
      <c r="A8006" s="26" t="s">
        <v>11670</v>
      </c>
      <c r="B8006" s="27" t="s">
        <v>743</v>
      </c>
      <c r="C8006" s="27" t="s">
        <v>1244</v>
      </c>
      <c r="D8006" s="27" t="s">
        <v>3663</v>
      </c>
      <c r="E8006" s="28">
        <v>46113.0</v>
      </c>
      <c r="F8006" s="28">
        <v>46171.0</v>
      </c>
      <c r="G8006" s="29"/>
    </row>
    <row r="8007" ht="15.75" customHeight="1">
      <c r="A8007" s="30" t="s">
        <v>11671</v>
      </c>
      <c r="B8007" s="31" t="s">
        <v>743</v>
      </c>
      <c r="C8007" s="31" t="s">
        <v>1246</v>
      </c>
      <c r="D8007" s="31" t="s">
        <v>3663</v>
      </c>
      <c r="E8007" s="32">
        <v>46113.0</v>
      </c>
      <c r="F8007" s="32">
        <v>46171.0</v>
      </c>
      <c r="G8007" s="33"/>
    </row>
    <row r="8008" ht="15.75" customHeight="1">
      <c r="A8008" s="26" t="s">
        <v>11672</v>
      </c>
      <c r="B8008" s="27" t="s">
        <v>743</v>
      </c>
      <c r="C8008" s="27" t="s">
        <v>934</v>
      </c>
      <c r="D8008" s="27" t="s">
        <v>3663</v>
      </c>
      <c r="E8008" s="28">
        <v>46113.0</v>
      </c>
      <c r="F8008" s="28">
        <v>46171.0</v>
      </c>
      <c r="G8008" s="29"/>
    </row>
    <row r="8009" ht="15.75" customHeight="1">
      <c r="A8009" s="30" t="s">
        <v>11673</v>
      </c>
      <c r="B8009" s="31" t="s">
        <v>743</v>
      </c>
      <c r="C8009" s="31" t="s">
        <v>1354</v>
      </c>
      <c r="D8009" s="30" t="s">
        <v>3663</v>
      </c>
      <c r="E8009" s="32">
        <v>46113.0</v>
      </c>
      <c r="F8009" s="32">
        <v>46171.0</v>
      </c>
      <c r="G8009" s="33"/>
    </row>
    <row r="8010" ht="15.75" customHeight="1">
      <c r="A8010" s="26" t="s">
        <v>11674</v>
      </c>
      <c r="B8010" s="27" t="s">
        <v>743</v>
      </c>
      <c r="C8010" s="27" t="s">
        <v>3656</v>
      </c>
      <c r="D8010" s="26" t="s">
        <v>3663</v>
      </c>
      <c r="E8010" s="28">
        <v>46113.0</v>
      </c>
      <c r="F8010" s="28">
        <v>46171.0</v>
      </c>
      <c r="G8010" s="29"/>
    </row>
    <row r="8011" ht="15.75" customHeight="1">
      <c r="A8011" s="30" t="s">
        <v>11675</v>
      </c>
      <c r="B8011" s="31" t="s">
        <v>743</v>
      </c>
      <c r="C8011" s="31" t="s">
        <v>3657</v>
      </c>
      <c r="D8011" s="30" t="s">
        <v>3663</v>
      </c>
      <c r="E8011" s="32">
        <v>46113.0</v>
      </c>
      <c r="F8011" s="32">
        <v>46171.0</v>
      </c>
      <c r="G8011" s="33"/>
    </row>
    <row r="8012" ht="15.75" customHeight="1">
      <c r="A8012" s="26" t="s">
        <v>11676</v>
      </c>
      <c r="B8012" s="27" t="s">
        <v>743</v>
      </c>
      <c r="C8012" s="27" t="s">
        <v>1218</v>
      </c>
      <c r="D8012" s="26" t="s">
        <v>3663</v>
      </c>
      <c r="E8012" s="28">
        <v>46113.0</v>
      </c>
      <c r="F8012" s="28">
        <v>46171.0</v>
      </c>
      <c r="G8012" s="29"/>
    </row>
    <row r="8013" ht="15.75" customHeight="1">
      <c r="A8013" s="30" t="s">
        <v>11677</v>
      </c>
      <c r="B8013" s="31" t="s">
        <v>743</v>
      </c>
      <c r="C8013" s="31" t="s">
        <v>1351</v>
      </c>
      <c r="D8013" s="30" t="s">
        <v>3663</v>
      </c>
      <c r="E8013" s="32">
        <v>46113.0</v>
      </c>
      <c r="F8013" s="32">
        <v>46171.0</v>
      </c>
      <c r="G8013" s="33"/>
    </row>
    <row r="8014" ht="15.75" customHeight="1">
      <c r="A8014" s="26" t="s">
        <v>11678</v>
      </c>
      <c r="B8014" s="27" t="s">
        <v>743</v>
      </c>
      <c r="C8014" s="27" t="s">
        <v>1349</v>
      </c>
      <c r="D8014" s="26" t="s">
        <v>3663</v>
      </c>
      <c r="E8014" s="28">
        <v>46113.0</v>
      </c>
      <c r="F8014" s="28">
        <v>46171.0</v>
      </c>
      <c r="G8014" s="29"/>
    </row>
    <row r="8015" ht="15.75" customHeight="1">
      <c r="A8015" s="30" t="s">
        <v>11679</v>
      </c>
      <c r="B8015" s="31" t="s">
        <v>743</v>
      </c>
      <c r="C8015" s="31" t="s">
        <v>965</v>
      </c>
      <c r="D8015" s="30" t="s">
        <v>3663</v>
      </c>
      <c r="E8015" s="32">
        <v>46113.0</v>
      </c>
      <c r="F8015" s="32">
        <v>46171.0</v>
      </c>
      <c r="G8015" s="33"/>
    </row>
    <row r="8016" ht="15.75" customHeight="1">
      <c r="A8016" s="26" t="s">
        <v>11680</v>
      </c>
      <c r="B8016" s="27" t="s">
        <v>743</v>
      </c>
      <c r="C8016" s="27" t="s">
        <v>923</v>
      </c>
      <c r="D8016" s="27" t="s">
        <v>3663</v>
      </c>
      <c r="E8016" s="28">
        <v>46113.0</v>
      </c>
      <c r="F8016" s="28">
        <v>46171.0</v>
      </c>
      <c r="G8016" s="29"/>
    </row>
    <row r="8017" ht="15.75" customHeight="1">
      <c r="A8017" s="30" t="s">
        <v>11681</v>
      </c>
      <c r="B8017" s="31" t="s">
        <v>743</v>
      </c>
      <c r="C8017" s="31" t="s">
        <v>955</v>
      </c>
      <c r="D8017" s="30" t="s">
        <v>3663</v>
      </c>
      <c r="E8017" s="32">
        <v>46113.0</v>
      </c>
      <c r="F8017" s="32">
        <v>46171.0</v>
      </c>
      <c r="G8017" s="33"/>
    </row>
    <row r="8018" ht="15.75" customHeight="1">
      <c r="A8018" s="26" t="s">
        <v>11682</v>
      </c>
      <c r="B8018" s="27" t="s">
        <v>1321</v>
      </c>
      <c r="C8018" s="27" t="s">
        <v>932</v>
      </c>
      <c r="D8018" s="26" t="s">
        <v>3663</v>
      </c>
      <c r="E8018" s="28">
        <v>46113.0</v>
      </c>
      <c r="F8018" s="28">
        <v>46171.0</v>
      </c>
      <c r="G8018" s="29"/>
    </row>
    <row r="8019" ht="15.75" customHeight="1">
      <c r="A8019" s="30" t="s">
        <v>11683</v>
      </c>
      <c r="B8019" s="31" t="s">
        <v>1321</v>
      </c>
      <c r="C8019" s="31" t="s">
        <v>3640</v>
      </c>
      <c r="D8019" s="30" t="s">
        <v>3663</v>
      </c>
      <c r="E8019" s="32">
        <v>46113.0</v>
      </c>
      <c r="F8019" s="32">
        <v>46171.0</v>
      </c>
      <c r="G8019" s="33"/>
    </row>
    <row r="8020" ht="15.75" customHeight="1">
      <c r="A8020" s="26" t="s">
        <v>11684</v>
      </c>
      <c r="B8020" s="27" t="s">
        <v>1321</v>
      </c>
      <c r="C8020" s="27" t="s">
        <v>1323</v>
      </c>
      <c r="D8020" s="26" t="s">
        <v>3663</v>
      </c>
      <c r="E8020" s="28">
        <v>46113.0</v>
      </c>
      <c r="F8020" s="28">
        <v>46171.0</v>
      </c>
      <c r="G8020" s="29"/>
    </row>
    <row r="8021" ht="15.75" customHeight="1">
      <c r="A8021" s="30" t="s">
        <v>11685</v>
      </c>
      <c r="B8021" s="31" t="s">
        <v>1321</v>
      </c>
      <c r="C8021" s="31" t="s">
        <v>1168</v>
      </c>
      <c r="D8021" s="30" t="s">
        <v>3663</v>
      </c>
      <c r="E8021" s="32">
        <v>46113.0</v>
      </c>
      <c r="F8021" s="32">
        <v>46171.0</v>
      </c>
      <c r="G8021" s="33"/>
    </row>
    <row r="8022" ht="15.75" customHeight="1">
      <c r="A8022" s="26" t="s">
        <v>11686</v>
      </c>
      <c r="B8022" s="27" t="s">
        <v>1321</v>
      </c>
      <c r="C8022" s="27" t="s">
        <v>1170</v>
      </c>
      <c r="D8022" s="26" t="s">
        <v>3663</v>
      </c>
      <c r="E8022" s="28">
        <v>46113.0</v>
      </c>
      <c r="F8022" s="28">
        <v>46171.0</v>
      </c>
      <c r="G8022" s="29"/>
    </row>
    <row r="8023" ht="15.75" customHeight="1">
      <c r="A8023" s="30" t="s">
        <v>11687</v>
      </c>
      <c r="B8023" s="31" t="s">
        <v>1321</v>
      </c>
      <c r="C8023" s="31" t="s">
        <v>1288</v>
      </c>
      <c r="D8023" s="30" t="s">
        <v>3663</v>
      </c>
      <c r="E8023" s="32">
        <v>46113.0</v>
      </c>
      <c r="F8023" s="32">
        <v>46171.0</v>
      </c>
      <c r="G8023" s="33"/>
    </row>
    <row r="8024" ht="15.75" customHeight="1">
      <c r="A8024" s="26" t="s">
        <v>11688</v>
      </c>
      <c r="B8024" s="27" t="s">
        <v>1321</v>
      </c>
      <c r="C8024" s="27" t="s">
        <v>1291</v>
      </c>
      <c r="D8024" s="26" t="s">
        <v>3663</v>
      </c>
      <c r="E8024" s="28">
        <v>46113.0</v>
      </c>
      <c r="F8024" s="28">
        <v>46171.0</v>
      </c>
      <c r="G8024" s="29"/>
    </row>
    <row r="8025" ht="15.75" customHeight="1">
      <c r="A8025" s="30" t="s">
        <v>11689</v>
      </c>
      <c r="B8025" s="31" t="s">
        <v>1321</v>
      </c>
      <c r="C8025" s="31" t="s">
        <v>1354</v>
      </c>
      <c r="D8025" s="30" t="s">
        <v>3663</v>
      </c>
      <c r="E8025" s="32">
        <v>46113.0</v>
      </c>
      <c r="F8025" s="32">
        <v>46171.0</v>
      </c>
      <c r="G8025" s="33"/>
    </row>
    <row r="8026" ht="15.75" customHeight="1">
      <c r="A8026" s="26" t="s">
        <v>11690</v>
      </c>
      <c r="B8026" s="27" t="s">
        <v>1321</v>
      </c>
      <c r="C8026" s="27" t="s">
        <v>3656</v>
      </c>
      <c r="D8026" s="26" t="s">
        <v>3663</v>
      </c>
      <c r="E8026" s="28">
        <v>46113.0</v>
      </c>
      <c r="F8026" s="28">
        <v>46171.0</v>
      </c>
      <c r="G8026" s="29"/>
    </row>
    <row r="8027" ht="15.75" customHeight="1">
      <c r="A8027" s="30" t="s">
        <v>11691</v>
      </c>
      <c r="B8027" s="31" t="s">
        <v>1321</v>
      </c>
      <c r="C8027" s="31" t="s">
        <v>3657</v>
      </c>
      <c r="D8027" s="30" t="s">
        <v>3663</v>
      </c>
      <c r="E8027" s="32">
        <v>46113.0</v>
      </c>
      <c r="F8027" s="32">
        <v>46171.0</v>
      </c>
      <c r="G8027" s="33"/>
    </row>
    <row r="8028" ht="15.75" customHeight="1">
      <c r="A8028" s="26" t="s">
        <v>11692</v>
      </c>
      <c r="B8028" s="27" t="s">
        <v>1321</v>
      </c>
      <c r="C8028" s="27" t="s">
        <v>3647</v>
      </c>
      <c r="D8028" s="26" t="s">
        <v>3663</v>
      </c>
      <c r="E8028" s="28">
        <v>46113.0</v>
      </c>
      <c r="F8028" s="28">
        <v>46171.0</v>
      </c>
      <c r="G8028" s="29"/>
    </row>
    <row r="8029" ht="15.75" customHeight="1">
      <c r="A8029" s="30" t="s">
        <v>11693</v>
      </c>
      <c r="B8029" s="31" t="s">
        <v>1321</v>
      </c>
      <c r="C8029" s="31" t="s">
        <v>952</v>
      </c>
      <c r="D8029" s="30" t="s">
        <v>3663</v>
      </c>
      <c r="E8029" s="32">
        <v>46113.0</v>
      </c>
      <c r="F8029" s="32">
        <v>46171.0</v>
      </c>
      <c r="G8029" s="33"/>
    </row>
    <row r="8030" ht="15.75" customHeight="1">
      <c r="A8030" s="26" t="s">
        <v>11694</v>
      </c>
      <c r="B8030" s="27" t="s">
        <v>1321</v>
      </c>
      <c r="C8030" s="27" t="s">
        <v>965</v>
      </c>
      <c r="D8030" s="26" t="s">
        <v>3663</v>
      </c>
      <c r="E8030" s="28">
        <v>46113.0</v>
      </c>
      <c r="F8030" s="28">
        <v>46171.0</v>
      </c>
      <c r="G8030" s="29"/>
    </row>
    <row r="8031" ht="15.75" customHeight="1">
      <c r="A8031" s="30" t="s">
        <v>11695</v>
      </c>
      <c r="B8031" s="31" t="s">
        <v>1321</v>
      </c>
      <c r="C8031" s="31" t="s">
        <v>923</v>
      </c>
      <c r="D8031" s="30" t="s">
        <v>3663</v>
      </c>
      <c r="E8031" s="32">
        <v>46113.0</v>
      </c>
      <c r="F8031" s="32">
        <v>46171.0</v>
      </c>
      <c r="G8031" s="33"/>
    </row>
    <row r="8032" ht="15.75" customHeight="1">
      <c r="A8032" s="26" t="s">
        <v>11696</v>
      </c>
      <c r="B8032" s="27" t="s">
        <v>744</v>
      </c>
      <c r="C8032" s="27" t="s">
        <v>3654</v>
      </c>
      <c r="D8032" s="26" t="s">
        <v>3663</v>
      </c>
      <c r="E8032" s="28">
        <v>46113.0</v>
      </c>
      <c r="F8032" s="28">
        <v>46171.0</v>
      </c>
      <c r="G8032" s="29"/>
    </row>
    <row r="8033" ht="15.75" customHeight="1">
      <c r="A8033" s="30" t="s">
        <v>11697</v>
      </c>
      <c r="B8033" s="31" t="s">
        <v>744</v>
      </c>
      <c r="C8033" s="31" t="s">
        <v>3655</v>
      </c>
      <c r="D8033" s="30" t="s">
        <v>3663</v>
      </c>
      <c r="E8033" s="32">
        <v>46113.0</v>
      </c>
      <c r="F8033" s="32">
        <v>46171.0</v>
      </c>
      <c r="G8033" s="33"/>
    </row>
    <row r="8034" ht="15.75" customHeight="1">
      <c r="A8034" s="26" t="s">
        <v>11698</v>
      </c>
      <c r="B8034" s="27" t="s">
        <v>744</v>
      </c>
      <c r="C8034" s="27" t="s">
        <v>930</v>
      </c>
      <c r="D8034" s="26" t="s">
        <v>3663</v>
      </c>
      <c r="E8034" s="28">
        <v>46113.0</v>
      </c>
      <c r="F8034" s="28">
        <v>46171.0</v>
      </c>
      <c r="G8034" s="29"/>
    </row>
    <row r="8035" ht="15.75" customHeight="1">
      <c r="A8035" s="30" t="s">
        <v>11699</v>
      </c>
      <c r="B8035" s="31" t="s">
        <v>744</v>
      </c>
      <c r="C8035" s="31" t="s">
        <v>1354</v>
      </c>
      <c r="D8035" s="30" t="s">
        <v>3663</v>
      </c>
      <c r="E8035" s="32">
        <v>46113.0</v>
      </c>
      <c r="F8035" s="32">
        <v>46171.0</v>
      </c>
      <c r="G8035" s="33"/>
    </row>
    <row r="8036" ht="15.75" customHeight="1">
      <c r="A8036" s="26" t="s">
        <v>11700</v>
      </c>
      <c r="B8036" s="27" t="s">
        <v>744</v>
      </c>
      <c r="C8036" s="27" t="s">
        <v>1304</v>
      </c>
      <c r="D8036" s="26" t="s">
        <v>3663</v>
      </c>
      <c r="E8036" s="28">
        <v>46113.0</v>
      </c>
      <c r="F8036" s="28">
        <v>46171.0</v>
      </c>
      <c r="G8036" s="29"/>
    </row>
    <row r="8037" ht="15.75" customHeight="1">
      <c r="A8037" s="30" t="s">
        <v>11701</v>
      </c>
      <c r="B8037" s="31" t="s">
        <v>744</v>
      </c>
      <c r="C8037" s="31" t="s">
        <v>1306</v>
      </c>
      <c r="D8037" s="30" t="s">
        <v>3663</v>
      </c>
      <c r="E8037" s="32">
        <v>46113.0</v>
      </c>
      <c r="F8037" s="32">
        <v>46171.0</v>
      </c>
      <c r="G8037" s="33"/>
    </row>
    <row r="8038" ht="15.75" customHeight="1">
      <c r="A8038" s="26" t="s">
        <v>11702</v>
      </c>
      <c r="B8038" s="27" t="s">
        <v>744</v>
      </c>
      <c r="C8038" s="27" t="s">
        <v>1308</v>
      </c>
      <c r="D8038" s="26" t="s">
        <v>3663</v>
      </c>
      <c r="E8038" s="28">
        <v>46113.0</v>
      </c>
      <c r="F8038" s="28">
        <v>46171.0</v>
      </c>
      <c r="G8038" s="29"/>
    </row>
    <row r="8039" ht="15.75" customHeight="1">
      <c r="A8039" s="30" t="s">
        <v>11703</v>
      </c>
      <c r="B8039" s="31" t="s">
        <v>744</v>
      </c>
      <c r="C8039" s="31" t="s">
        <v>1310</v>
      </c>
      <c r="D8039" s="30" t="s">
        <v>3663</v>
      </c>
      <c r="E8039" s="32">
        <v>46113.0</v>
      </c>
      <c r="F8039" s="32">
        <v>46171.0</v>
      </c>
      <c r="G8039" s="33"/>
    </row>
    <row r="8040" ht="15.75" customHeight="1">
      <c r="A8040" s="26" t="s">
        <v>11704</v>
      </c>
      <c r="B8040" s="27" t="s">
        <v>744</v>
      </c>
      <c r="C8040" s="27" t="s">
        <v>1159</v>
      </c>
      <c r="D8040" s="26" t="s">
        <v>3663</v>
      </c>
      <c r="E8040" s="28">
        <v>46113.0</v>
      </c>
      <c r="F8040" s="28">
        <v>46171.0</v>
      </c>
      <c r="G8040" s="29"/>
    </row>
    <row r="8041" ht="15.75" customHeight="1">
      <c r="A8041" s="30" t="s">
        <v>11705</v>
      </c>
      <c r="B8041" s="31" t="s">
        <v>744</v>
      </c>
      <c r="C8041" s="31" t="s">
        <v>1216</v>
      </c>
      <c r="D8041" s="30" t="s">
        <v>3663</v>
      </c>
      <c r="E8041" s="32">
        <v>46113.0</v>
      </c>
      <c r="F8041" s="32">
        <v>46171.0</v>
      </c>
      <c r="G8041" s="33"/>
    </row>
    <row r="8042" ht="15.75" customHeight="1">
      <c r="A8042" s="26" t="s">
        <v>11706</v>
      </c>
      <c r="B8042" s="27" t="s">
        <v>744</v>
      </c>
      <c r="C8042" s="27" t="s">
        <v>1351</v>
      </c>
      <c r="D8042" s="26" t="s">
        <v>3663</v>
      </c>
      <c r="E8042" s="28">
        <v>46113.0</v>
      </c>
      <c r="F8042" s="28">
        <v>46171.0</v>
      </c>
      <c r="G8042" s="29"/>
    </row>
    <row r="8043" ht="15.75" customHeight="1">
      <c r="A8043" s="30" t="s">
        <v>11707</v>
      </c>
      <c r="B8043" s="31" t="s">
        <v>744</v>
      </c>
      <c r="C8043" s="31" t="s">
        <v>1349</v>
      </c>
      <c r="D8043" s="30" t="s">
        <v>3663</v>
      </c>
      <c r="E8043" s="32">
        <v>46113.0</v>
      </c>
      <c r="F8043" s="32">
        <v>46171.0</v>
      </c>
      <c r="G8043" s="33"/>
    </row>
    <row r="8044" ht="15.75" customHeight="1">
      <c r="A8044" s="26" t="s">
        <v>11708</v>
      </c>
      <c r="B8044" s="27" t="s">
        <v>744</v>
      </c>
      <c r="C8044" s="27" t="s">
        <v>965</v>
      </c>
      <c r="D8044" s="26" t="s">
        <v>3663</v>
      </c>
      <c r="E8044" s="28">
        <v>46113.0</v>
      </c>
      <c r="F8044" s="28">
        <v>46171.0</v>
      </c>
      <c r="G8044" s="29"/>
    </row>
    <row r="8045" ht="15.75" customHeight="1">
      <c r="A8045" s="30" t="s">
        <v>11709</v>
      </c>
      <c r="B8045" s="31" t="s">
        <v>744</v>
      </c>
      <c r="C8045" s="31" t="s">
        <v>923</v>
      </c>
      <c r="D8045" s="30" t="s">
        <v>3663</v>
      </c>
      <c r="E8045" s="32">
        <v>46113.0</v>
      </c>
      <c r="F8045" s="32">
        <v>46171.0</v>
      </c>
      <c r="G8045" s="33"/>
    </row>
    <row r="8046" ht="15.75" customHeight="1">
      <c r="A8046" s="26" t="s">
        <v>11710</v>
      </c>
      <c r="B8046" s="27" t="s">
        <v>745</v>
      </c>
      <c r="C8046" s="27" t="s">
        <v>1240</v>
      </c>
      <c r="D8046" s="26" t="s">
        <v>3663</v>
      </c>
      <c r="E8046" s="28">
        <v>46113.0</v>
      </c>
      <c r="F8046" s="28">
        <v>46171.0</v>
      </c>
      <c r="G8046" s="29"/>
    </row>
    <row r="8047" ht="15.75" customHeight="1">
      <c r="A8047" s="30" t="s">
        <v>11711</v>
      </c>
      <c r="B8047" s="31" t="s">
        <v>745</v>
      </c>
      <c r="C8047" s="31" t="s">
        <v>1242</v>
      </c>
      <c r="D8047" s="30" t="s">
        <v>3663</v>
      </c>
      <c r="E8047" s="32">
        <v>46113.0</v>
      </c>
      <c r="F8047" s="32">
        <v>46171.0</v>
      </c>
      <c r="G8047" s="33"/>
    </row>
    <row r="8048" ht="15.75" customHeight="1">
      <c r="A8048" s="26" t="s">
        <v>11712</v>
      </c>
      <c r="B8048" s="27" t="s">
        <v>745</v>
      </c>
      <c r="C8048" s="27" t="s">
        <v>1244</v>
      </c>
      <c r="D8048" s="26" t="s">
        <v>3663</v>
      </c>
      <c r="E8048" s="28">
        <v>46113.0</v>
      </c>
      <c r="F8048" s="28">
        <v>46171.0</v>
      </c>
      <c r="G8048" s="29"/>
    </row>
    <row r="8049" ht="15.75" customHeight="1">
      <c r="A8049" s="30" t="s">
        <v>11713</v>
      </c>
      <c r="B8049" s="31" t="s">
        <v>745</v>
      </c>
      <c r="C8049" s="31" t="s">
        <v>1246</v>
      </c>
      <c r="D8049" s="30" t="s">
        <v>3663</v>
      </c>
      <c r="E8049" s="32">
        <v>46113.0</v>
      </c>
      <c r="F8049" s="32">
        <v>46171.0</v>
      </c>
      <c r="G8049" s="33"/>
    </row>
    <row r="8050" ht="15.75" customHeight="1">
      <c r="A8050" s="26" t="s">
        <v>11714</v>
      </c>
      <c r="B8050" s="27" t="s">
        <v>745</v>
      </c>
      <c r="C8050" s="27" t="s">
        <v>3654</v>
      </c>
      <c r="D8050" s="26" t="s">
        <v>3663</v>
      </c>
      <c r="E8050" s="28">
        <v>46113.0</v>
      </c>
      <c r="F8050" s="28">
        <v>46171.0</v>
      </c>
      <c r="G8050" s="29"/>
    </row>
    <row r="8051" ht="15.75" customHeight="1">
      <c r="A8051" s="30" t="s">
        <v>11715</v>
      </c>
      <c r="B8051" s="31" t="s">
        <v>745</v>
      </c>
      <c r="C8051" s="31" t="s">
        <v>3655</v>
      </c>
      <c r="D8051" s="30" t="s">
        <v>3663</v>
      </c>
      <c r="E8051" s="32">
        <v>46113.0</v>
      </c>
      <c r="F8051" s="32">
        <v>46171.0</v>
      </c>
      <c r="G8051" s="33"/>
    </row>
    <row r="8052" ht="15.75" customHeight="1">
      <c r="A8052" s="26" t="s">
        <v>11716</v>
      </c>
      <c r="B8052" s="27" t="s">
        <v>745</v>
      </c>
      <c r="C8052" s="27" t="s">
        <v>934</v>
      </c>
      <c r="D8052" s="26" t="s">
        <v>3663</v>
      </c>
      <c r="E8052" s="28">
        <v>46113.0</v>
      </c>
      <c r="F8052" s="28">
        <v>46171.0</v>
      </c>
      <c r="G8052" s="29"/>
    </row>
    <row r="8053" ht="15.75" customHeight="1">
      <c r="A8053" s="30" t="s">
        <v>11717</v>
      </c>
      <c r="B8053" s="31" t="s">
        <v>745</v>
      </c>
      <c r="C8053" s="31" t="s">
        <v>3640</v>
      </c>
      <c r="D8053" s="30" t="s">
        <v>3663</v>
      </c>
      <c r="E8053" s="32">
        <v>46113.0</v>
      </c>
      <c r="F8053" s="32">
        <v>46171.0</v>
      </c>
      <c r="G8053" s="33"/>
    </row>
    <row r="8054" ht="15.75" customHeight="1">
      <c r="A8054" s="26" t="s">
        <v>11718</v>
      </c>
      <c r="B8054" s="27" t="s">
        <v>745</v>
      </c>
      <c r="C8054" s="27" t="s">
        <v>1323</v>
      </c>
      <c r="D8054" s="26" t="s">
        <v>3663</v>
      </c>
      <c r="E8054" s="28">
        <v>46113.0</v>
      </c>
      <c r="F8054" s="28">
        <v>46171.0</v>
      </c>
      <c r="G8054" s="29"/>
    </row>
    <row r="8055" ht="15.75" customHeight="1">
      <c r="A8055" s="30" t="s">
        <v>11719</v>
      </c>
      <c r="B8055" s="31" t="s">
        <v>745</v>
      </c>
      <c r="C8055" s="31" t="s">
        <v>1354</v>
      </c>
      <c r="D8055" s="30" t="s">
        <v>3663</v>
      </c>
      <c r="E8055" s="32">
        <v>46113.0</v>
      </c>
      <c r="F8055" s="32">
        <v>46171.0</v>
      </c>
      <c r="G8055" s="33"/>
    </row>
    <row r="8056" ht="15.75" customHeight="1">
      <c r="A8056" s="26" t="s">
        <v>11720</v>
      </c>
      <c r="B8056" s="27" t="s">
        <v>745</v>
      </c>
      <c r="C8056" s="27" t="s">
        <v>3647</v>
      </c>
      <c r="D8056" s="26" t="s">
        <v>3663</v>
      </c>
      <c r="E8056" s="28">
        <v>46113.0</v>
      </c>
      <c r="F8056" s="28">
        <v>46171.0</v>
      </c>
      <c r="G8056" s="29"/>
    </row>
    <row r="8057" ht="15.75" customHeight="1">
      <c r="A8057" s="30" t="s">
        <v>11721</v>
      </c>
      <c r="B8057" s="31" t="s">
        <v>745</v>
      </c>
      <c r="C8057" s="31" t="s">
        <v>952</v>
      </c>
      <c r="D8057" s="30" t="s">
        <v>3663</v>
      </c>
      <c r="E8057" s="32">
        <v>46113.0</v>
      </c>
      <c r="F8057" s="32">
        <v>46171.0</v>
      </c>
      <c r="G8057" s="33"/>
    </row>
    <row r="8058" ht="15.75" customHeight="1">
      <c r="A8058" s="26" t="s">
        <v>11722</v>
      </c>
      <c r="B8058" s="27" t="s">
        <v>745</v>
      </c>
      <c r="C8058" s="27" t="s">
        <v>968</v>
      </c>
      <c r="D8058" s="26" t="s">
        <v>3663</v>
      </c>
      <c r="E8058" s="28">
        <v>46113.0</v>
      </c>
      <c r="F8058" s="28">
        <v>46171.0</v>
      </c>
      <c r="G8058" s="29"/>
    </row>
    <row r="8059" ht="15.75" customHeight="1">
      <c r="A8059" s="30" t="s">
        <v>11723</v>
      </c>
      <c r="B8059" s="31" t="s">
        <v>745</v>
      </c>
      <c r="C8059" s="31" t="s">
        <v>923</v>
      </c>
      <c r="D8059" s="30" t="s">
        <v>3663</v>
      </c>
      <c r="E8059" s="32">
        <v>46113.0</v>
      </c>
      <c r="F8059" s="32">
        <v>46171.0</v>
      </c>
      <c r="G8059" s="33"/>
    </row>
    <row r="8060" ht="15.75" customHeight="1">
      <c r="A8060" s="26" t="s">
        <v>11724</v>
      </c>
      <c r="B8060" s="27" t="s">
        <v>746</v>
      </c>
      <c r="C8060" s="27" t="s">
        <v>3654</v>
      </c>
      <c r="D8060" s="26" t="s">
        <v>3663</v>
      </c>
      <c r="E8060" s="28">
        <v>46113.0</v>
      </c>
      <c r="F8060" s="28">
        <v>46171.0</v>
      </c>
      <c r="G8060" s="29"/>
    </row>
    <row r="8061" ht="15.75" customHeight="1">
      <c r="A8061" s="30" t="s">
        <v>11725</v>
      </c>
      <c r="B8061" s="31" t="s">
        <v>746</v>
      </c>
      <c r="C8061" s="31" t="s">
        <v>3655</v>
      </c>
      <c r="D8061" s="30" t="s">
        <v>3663</v>
      </c>
      <c r="E8061" s="32">
        <v>46113.0</v>
      </c>
      <c r="F8061" s="32">
        <v>46171.0</v>
      </c>
      <c r="G8061" s="33"/>
    </row>
    <row r="8062" ht="15.75" customHeight="1">
      <c r="A8062" s="26" t="s">
        <v>11726</v>
      </c>
      <c r="B8062" s="27" t="s">
        <v>746</v>
      </c>
      <c r="C8062" s="27" t="s">
        <v>930</v>
      </c>
      <c r="D8062" s="26" t="s">
        <v>3663</v>
      </c>
      <c r="E8062" s="28">
        <v>46113.0</v>
      </c>
      <c r="F8062" s="28">
        <v>46171.0</v>
      </c>
      <c r="G8062" s="29"/>
    </row>
    <row r="8063" ht="15.75" customHeight="1">
      <c r="A8063" s="30" t="s">
        <v>11727</v>
      </c>
      <c r="B8063" s="31" t="s">
        <v>746</v>
      </c>
      <c r="C8063" s="31" t="s">
        <v>1354</v>
      </c>
      <c r="D8063" s="30" t="s">
        <v>3663</v>
      </c>
      <c r="E8063" s="32">
        <v>46113.0</v>
      </c>
      <c r="F8063" s="32">
        <v>46171.0</v>
      </c>
      <c r="G8063" s="33"/>
    </row>
    <row r="8064" ht="15.75" customHeight="1">
      <c r="A8064" s="26" t="s">
        <v>11728</v>
      </c>
      <c r="B8064" s="27" t="s">
        <v>746</v>
      </c>
      <c r="C8064" s="27" t="s">
        <v>3641</v>
      </c>
      <c r="D8064" s="26" t="s">
        <v>3663</v>
      </c>
      <c r="E8064" s="28">
        <v>46113.0</v>
      </c>
      <c r="F8064" s="28">
        <v>46171.0</v>
      </c>
      <c r="G8064" s="29"/>
    </row>
    <row r="8065" ht="15.75" customHeight="1">
      <c r="A8065" s="30" t="s">
        <v>11729</v>
      </c>
      <c r="B8065" s="31" t="s">
        <v>746</v>
      </c>
      <c r="C8065" s="31" t="s">
        <v>1304</v>
      </c>
      <c r="D8065" s="30" t="s">
        <v>3663</v>
      </c>
      <c r="E8065" s="32">
        <v>46113.0</v>
      </c>
      <c r="F8065" s="32">
        <v>46171.0</v>
      </c>
      <c r="G8065" s="33"/>
    </row>
    <row r="8066" ht="15.75" customHeight="1">
      <c r="A8066" s="26" t="s">
        <v>11730</v>
      </c>
      <c r="B8066" s="27" t="s">
        <v>746</v>
      </c>
      <c r="C8066" s="27" t="s">
        <v>3642</v>
      </c>
      <c r="D8066" s="26" t="s">
        <v>3663</v>
      </c>
      <c r="E8066" s="28">
        <v>46113.0</v>
      </c>
      <c r="F8066" s="28">
        <v>46171.0</v>
      </c>
      <c r="G8066" s="29"/>
    </row>
    <row r="8067" ht="15.75" customHeight="1">
      <c r="A8067" s="30" t="s">
        <v>11731</v>
      </c>
      <c r="B8067" s="31" t="s">
        <v>746</v>
      </c>
      <c r="C8067" s="31" t="s">
        <v>1308</v>
      </c>
      <c r="D8067" s="30" t="s">
        <v>3663</v>
      </c>
      <c r="E8067" s="32">
        <v>46113.0</v>
      </c>
      <c r="F8067" s="32">
        <v>46171.0</v>
      </c>
      <c r="G8067" s="33"/>
    </row>
    <row r="8068" ht="15.75" customHeight="1">
      <c r="A8068" s="26" t="s">
        <v>11732</v>
      </c>
      <c r="B8068" s="27" t="s">
        <v>746</v>
      </c>
      <c r="C8068" s="27" t="s">
        <v>1172</v>
      </c>
      <c r="D8068" s="26" t="s">
        <v>3663</v>
      </c>
      <c r="E8068" s="28">
        <v>46113.0</v>
      </c>
      <c r="F8068" s="28">
        <v>46171.0</v>
      </c>
      <c r="G8068" s="29"/>
    </row>
    <row r="8069" ht="15.75" customHeight="1">
      <c r="A8069" s="30" t="s">
        <v>11733</v>
      </c>
      <c r="B8069" s="31" t="s">
        <v>746</v>
      </c>
      <c r="C8069" s="31" t="s">
        <v>1351</v>
      </c>
      <c r="D8069" s="30" t="s">
        <v>3663</v>
      </c>
      <c r="E8069" s="32">
        <v>46113.0</v>
      </c>
      <c r="F8069" s="32">
        <v>46171.0</v>
      </c>
      <c r="G8069" s="33"/>
    </row>
    <row r="8070" ht="15.75" customHeight="1">
      <c r="A8070" s="26" t="s">
        <v>11734</v>
      </c>
      <c r="B8070" s="27" t="s">
        <v>746</v>
      </c>
      <c r="C8070" s="27" t="s">
        <v>1349</v>
      </c>
      <c r="D8070" s="26" t="s">
        <v>3663</v>
      </c>
      <c r="E8070" s="28">
        <v>46113.0</v>
      </c>
      <c r="F8070" s="28">
        <v>46171.0</v>
      </c>
      <c r="G8070" s="29"/>
    </row>
    <row r="8071" ht="15.75" customHeight="1">
      <c r="A8071" s="30" t="s">
        <v>11735</v>
      </c>
      <c r="B8071" s="31" t="s">
        <v>746</v>
      </c>
      <c r="C8071" s="31" t="s">
        <v>965</v>
      </c>
      <c r="D8071" s="30" t="s">
        <v>3663</v>
      </c>
      <c r="E8071" s="32">
        <v>46113.0</v>
      </c>
      <c r="F8071" s="32">
        <v>46171.0</v>
      </c>
      <c r="G8071" s="33"/>
    </row>
    <row r="8072" ht="15.75" customHeight="1">
      <c r="A8072" s="26" t="s">
        <v>11736</v>
      </c>
      <c r="B8072" s="27" t="s">
        <v>746</v>
      </c>
      <c r="C8072" s="27" t="s">
        <v>923</v>
      </c>
      <c r="D8072" s="26" t="s">
        <v>3663</v>
      </c>
      <c r="E8072" s="28">
        <v>46113.0</v>
      </c>
      <c r="F8072" s="28">
        <v>46171.0</v>
      </c>
      <c r="G8072" s="29"/>
    </row>
    <row r="8073" ht="15.75" customHeight="1">
      <c r="A8073" s="30" t="s">
        <v>11737</v>
      </c>
      <c r="B8073" s="31" t="s">
        <v>746</v>
      </c>
      <c r="C8073" s="31" t="s">
        <v>955</v>
      </c>
      <c r="D8073" s="30" t="s">
        <v>3663</v>
      </c>
      <c r="E8073" s="32">
        <v>46113.0</v>
      </c>
      <c r="F8073" s="32">
        <v>46171.0</v>
      </c>
      <c r="G8073" s="33"/>
    </row>
    <row r="8074" ht="15.75" customHeight="1">
      <c r="A8074" s="26" t="s">
        <v>11738</v>
      </c>
      <c r="B8074" s="27" t="s">
        <v>747</v>
      </c>
      <c r="C8074" s="27" t="s">
        <v>930</v>
      </c>
      <c r="D8074" s="26" t="s">
        <v>3663</v>
      </c>
      <c r="E8074" s="28">
        <v>46113.0</v>
      </c>
      <c r="F8074" s="28">
        <v>46171.0</v>
      </c>
      <c r="G8074" s="29"/>
    </row>
    <row r="8075" ht="15.75" customHeight="1">
      <c r="A8075" s="30" t="s">
        <v>11739</v>
      </c>
      <c r="B8075" s="31" t="s">
        <v>747</v>
      </c>
      <c r="C8075" s="31" t="s">
        <v>1354</v>
      </c>
      <c r="D8075" s="30" t="s">
        <v>3663</v>
      </c>
      <c r="E8075" s="32">
        <v>46113.0</v>
      </c>
      <c r="F8075" s="32">
        <v>46171.0</v>
      </c>
      <c r="G8075" s="33"/>
    </row>
    <row r="8076" ht="15.75" customHeight="1">
      <c r="A8076" s="26" t="s">
        <v>11740</v>
      </c>
      <c r="B8076" s="27" t="s">
        <v>747</v>
      </c>
      <c r="C8076" s="27" t="s">
        <v>1172</v>
      </c>
      <c r="D8076" s="26" t="s">
        <v>3663</v>
      </c>
      <c r="E8076" s="28">
        <v>46113.0</v>
      </c>
      <c r="F8076" s="28">
        <v>46171.0</v>
      </c>
      <c r="G8076" s="29"/>
    </row>
    <row r="8077" ht="15.75" customHeight="1">
      <c r="A8077" s="30" t="s">
        <v>11741</v>
      </c>
      <c r="B8077" s="31" t="s">
        <v>747</v>
      </c>
      <c r="C8077" s="31" t="s">
        <v>1312</v>
      </c>
      <c r="D8077" s="30" t="s">
        <v>3663</v>
      </c>
      <c r="E8077" s="32">
        <v>46113.0</v>
      </c>
      <c r="F8077" s="32">
        <v>46171.0</v>
      </c>
      <c r="G8077" s="33"/>
    </row>
    <row r="8078" ht="15.75" customHeight="1">
      <c r="A8078" s="26" t="s">
        <v>11742</v>
      </c>
      <c r="B8078" s="27" t="s">
        <v>747</v>
      </c>
      <c r="C8078" s="27" t="s">
        <v>3656</v>
      </c>
      <c r="D8078" s="26" t="s">
        <v>3663</v>
      </c>
      <c r="E8078" s="28">
        <v>46113.0</v>
      </c>
      <c r="F8078" s="28">
        <v>46171.0</v>
      </c>
      <c r="G8078" s="29"/>
    </row>
    <row r="8079" ht="15.75" customHeight="1">
      <c r="A8079" s="30" t="s">
        <v>11743</v>
      </c>
      <c r="B8079" s="31" t="s">
        <v>747</v>
      </c>
      <c r="C8079" s="31" t="s">
        <v>3657</v>
      </c>
      <c r="D8079" s="30" t="s">
        <v>3663</v>
      </c>
      <c r="E8079" s="32">
        <v>46113.0</v>
      </c>
      <c r="F8079" s="32">
        <v>46171.0</v>
      </c>
      <c r="G8079" s="33"/>
    </row>
    <row r="8080" ht="15.75" customHeight="1">
      <c r="A8080" s="26" t="s">
        <v>11744</v>
      </c>
      <c r="B8080" s="27" t="s">
        <v>747</v>
      </c>
      <c r="C8080" s="27" t="s">
        <v>1157</v>
      </c>
      <c r="D8080" s="26" t="s">
        <v>3663</v>
      </c>
      <c r="E8080" s="28">
        <v>46113.0</v>
      </c>
      <c r="F8080" s="28">
        <v>46171.0</v>
      </c>
      <c r="G8080" s="29"/>
    </row>
    <row r="8081" ht="15.75" customHeight="1">
      <c r="A8081" s="30" t="s">
        <v>11745</v>
      </c>
      <c r="B8081" s="31" t="s">
        <v>747</v>
      </c>
      <c r="C8081" s="31" t="s">
        <v>1155</v>
      </c>
      <c r="D8081" s="30" t="s">
        <v>3663</v>
      </c>
      <c r="E8081" s="32">
        <v>46113.0</v>
      </c>
      <c r="F8081" s="32">
        <v>46171.0</v>
      </c>
      <c r="G8081" s="33"/>
    </row>
    <row r="8082" ht="15.75" customHeight="1">
      <c r="A8082" s="26" t="s">
        <v>11746</v>
      </c>
      <c r="B8082" s="27" t="s">
        <v>747</v>
      </c>
      <c r="C8082" s="27" t="s">
        <v>1153</v>
      </c>
      <c r="D8082" s="26" t="s">
        <v>3663</v>
      </c>
      <c r="E8082" s="28">
        <v>46113.0</v>
      </c>
      <c r="F8082" s="28">
        <v>46171.0</v>
      </c>
      <c r="G8082" s="29"/>
    </row>
    <row r="8083" ht="15.75" customHeight="1">
      <c r="A8083" s="30" t="s">
        <v>11747</v>
      </c>
      <c r="B8083" s="31" t="s">
        <v>747</v>
      </c>
      <c r="C8083" s="31" t="s">
        <v>1149</v>
      </c>
      <c r="D8083" s="30" t="s">
        <v>3663</v>
      </c>
      <c r="E8083" s="32">
        <v>46113.0</v>
      </c>
      <c r="F8083" s="32">
        <v>46171.0</v>
      </c>
      <c r="G8083" s="33"/>
    </row>
    <row r="8084" ht="15.75" customHeight="1">
      <c r="A8084" s="26" t="s">
        <v>11748</v>
      </c>
      <c r="B8084" s="27" t="s">
        <v>747</v>
      </c>
      <c r="C8084" s="27" t="s">
        <v>1351</v>
      </c>
      <c r="D8084" s="26" t="s">
        <v>3663</v>
      </c>
      <c r="E8084" s="28">
        <v>46113.0</v>
      </c>
      <c r="F8084" s="28">
        <v>46171.0</v>
      </c>
      <c r="G8084" s="29"/>
    </row>
    <row r="8085" ht="15.75" customHeight="1">
      <c r="A8085" s="30" t="s">
        <v>11749</v>
      </c>
      <c r="B8085" s="31" t="s">
        <v>747</v>
      </c>
      <c r="C8085" s="31" t="s">
        <v>1349</v>
      </c>
      <c r="D8085" s="30" t="s">
        <v>3663</v>
      </c>
      <c r="E8085" s="32">
        <v>46113.0</v>
      </c>
      <c r="F8085" s="32">
        <v>46171.0</v>
      </c>
      <c r="G8085" s="33"/>
    </row>
    <row r="8086" ht="15.75" customHeight="1">
      <c r="A8086" s="26" t="s">
        <v>11750</v>
      </c>
      <c r="B8086" s="27" t="s">
        <v>747</v>
      </c>
      <c r="C8086" s="27" t="s">
        <v>968</v>
      </c>
      <c r="D8086" s="26" t="s">
        <v>3663</v>
      </c>
      <c r="E8086" s="28">
        <v>46113.0</v>
      </c>
      <c r="F8086" s="28">
        <v>46171.0</v>
      </c>
      <c r="G8086" s="29"/>
    </row>
    <row r="8087" ht="15.75" customHeight="1">
      <c r="A8087" s="30" t="s">
        <v>11751</v>
      </c>
      <c r="B8087" s="31" t="s">
        <v>747</v>
      </c>
      <c r="C8087" s="31" t="s">
        <v>923</v>
      </c>
      <c r="D8087" s="30" t="s">
        <v>3663</v>
      </c>
      <c r="E8087" s="32">
        <v>46113.0</v>
      </c>
      <c r="F8087" s="32">
        <v>46171.0</v>
      </c>
      <c r="G8087" s="33"/>
    </row>
    <row r="8088" ht="15.75" customHeight="1">
      <c r="A8088" s="26" t="s">
        <v>11752</v>
      </c>
      <c r="B8088" s="27" t="s">
        <v>748</v>
      </c>
      <c r="C8088" s="27" t="s">
        <v>930</v>
      </c>
      <c r="D8088" s="26" t="s">
        <v>3663</v>
      </c>
      <c r="E8088" s="28">
        <v>46113.0</v>
      </c>
      <c r="F8088" s="28">
        <v>46171.0</v>
      </c>
      <c r="G8088" s="29"/>
    </row>
    <row r="8089" ht="15.75" customHeight="1">
      <c r="A8089" s="30" t="s">
        <v>11753</v>
      </c>
      <c r="B8089" s="31" t="s">
        <v>748</v>
      </c>
      <c r="C8089" s="31" t="s">
        <v>1354</v>
      </c>
      <c r="D8089" s="30" t="s">
        <v>3663</v>
      </c>
      <c r="E8089" s="32">
        <v>46113.0</v>
      </c>
      <c r="F8089" s="32">
        <v>46171.0</v>
      </c>
      <c r="G8089" s="33"/>
    </row>
    <row r="8090" ht="15.75" customHeight="1">
      <c r="A8090" s="26" t="s">
        <v>11754</v>
      </c>
      <c r="B8090" s="27" t="s">
        <v>748</v>
      </c>
      <c r="C8090" s="27" t="s">
        <v>1172</v>
      </c>
      <c r="D8090" s="26" t="s">
        <v>3663</v>
      </c>
      <c r="E8090" s="28">
        <v>46113.0</v>
      </c>
      <c r="F8090" s="28">
        <v>46171.0</v>
      </c>
      <c r="G8090" s="29"/>
    </row>
    <row r="8091" ht="15.75" customHeight="1">
      <c r="A8091" s="30" t="s">
        <v>11755</v>
      </c>
      <c r="B8091" s="31" t="s">
        <v>748</v>
      </c>
      <c r="C8091" s="31" t="s">
        <v>3681</v>
      </c>
      <c r="D8091" s="30" t="s">
        <v>3663</v>
      </c>
      <c r="E8091" s="32">
        <v>46113.0</v>
      </c>
      <c r="F8091" s="32">
        <v>46171.0</v>
      </c>
      <c r="G8091" s="33"/>
    </row>
    <row r="8092" ht="15.75" customHeight="1">
      <c r="A8092" s="26" t="s">
        <v>11756</v>
      </c>
      <c r="B8092" s="27" t="s">
        <v>748</v>
      </c>
      <c r="C8092" s="27" t="s">
        <v>3683</v>
      </c>
      <c r="D8092" s="26" t="s">
        <v>3663</v>
      </c>
      <c r="E8092" s="28">
        <v>46113.0</v>
      </c>
      <c r="F8092" s="28">
        <v>46171.0</v>
      </c>
      <c r="G8092" s="29"/>
    </row>
    <row r="8093" ht="15.75" customHeight="1">
      <c r="A8093" s="30" t="s">
        <v>11757</v>
      </c>
      <c r="B8093" s="31" t="s">
        <v>748</v>
      </c>
      <c r="C8093" s="31" t="s">
        <v>1157</v>
      </c>
      <c r="D8093" s="30" t="s">
        <v>3663</v>
      </c>
      <c r="E8093" s="32">
        <v>46113.0</v>
      </c>
      <c r="F8093" s="32">
        <v>46171.0</v>
      </c>
      <c r="G8093" s="33"/>
    </row>
    <row r="8094" ht="15.75" customHeight="1">
      <c r="A8094" s="26" t="s">
        <v>11758</v>
      </c>
      <c r="B8094" s="27" t="s">
        <v>748</v>
      </c>
      <c r="C8094" s="27" t="s">
        <v>1155</v>
      </c>
      <c r="D8094" s="26" t="s">
        <v>3663</v>
      </c>
      <c r="E8094" s="28">
        <v>46113.0</v>
      </c>
      <c r="F8094" s="28">
        <v>46171.0</v>
      </c>
      <c r="G8094" s="29"/>
    </row>
    <row r="8095" ht="15.75" customHeight="1">
      <c r="A8095" s="30" t="s">
        <v>11759</v>
      </c>
      <c r="B8095" s="31" t="s">
        <v>748</v>
      </c>
      <c r="C8095" s="31" t="s">
        <v>1153</v>
      </c>
      <c r="D8095" s="30" t="s">
        <v>3663</v>
      </c>
      <c r="E8095" s="32">
        <v>46113.0</v>
      </c>
      <c r="F8095" s="32">
        <v>46171.0</v>
      </c>
      <c r="G8095" s="33"/>
    </row>
    <row r="8096" ht="15.75" customHeight="1">
      <c r="A8096" s="26" t="s">
        <v>11760</v>
      </c>
      <c r="B8096" s="27" t="s">
        <v>748</v>
      </c>
      <c r="C8096" s="27" t="s">
        <v>1149</v>
      </c>
      <c r="D8096" s="26" t="s">
        <v>3663</v>
      </c>
      <c r="E8096" s="28">
        <v>46113.0</v>
      </c>
      <c r="F8096" s="28">
        <v>46171.0</v>
      </c>
      <c r="G8096" s="29"/>
    </row>
    <row r="8097" ht="15.75" customHeight="1">
      <c r="A8097" s="30" t="s">
        <v>11761</v>
      </c>
      <c r="B8097" s="31" t="s">
        <v>748</v>
      </c>
      <c r="C8097" s="31" t="s">
        <v>1351</v>
      </c>
      <c r="D8097" s="30" t="s">
        <v>3663</v>
      </c>
      <c r="E8097" s="32">
        <v>46113.0</v>
      </c>
      <c r="F8097" s="32">
        <v>46171.0</v>
      </c>
      <c r="G8097" s="33"/>
    </row>
    <row r="8098" ht="15.75" customHeight="1">
      <c r="A8098" s="26" t="s">
        <v>11762</v>
      </c>
      <c r="B8098" s="27" t="s">
        <v>748</v>
      </c>
      <c r="C8098" s="27" t="s">
        <v>1349</v>
      </c>
      <c r="D8098" s="26" t="s">
        <v>3663</v>
      </c>
      <c r="E8098" s="28">
        <v>46113.0</v>
      </c>
      <c r="F8098" s="28">
        <v>46171.0</v>
      </c>
      <c r="G8098" s="29"/>
    </row>
    <row r="8099" ht="15.75" customHeight="1">
      <c r="A8099" s="30" t="s">
        <v>11763</v>
      </c>
      <c r="B8099" s="31" t="s">
        <v>748</v>
      </c>
      <c r="C8099" s="31" t="s">
        <v>968</v>
      </c>
      <c r="D8099" s="30" t="s">
        <v>3663</v>
      </c>
      <c r="E8099" s="32">
        <v>46113.0</v>
      </c>
      <c r="F8099" s="32">
        <v>46171.0</v>
      </c>
      <c r="G8099" s="33"/>
    </row>
    <row r="8100" ht="15.75" customHeight="1">
      <c r="A8100" s="26" t="s">
        <v>11764</v>
      </c>
      <c r="B8100" s="27" t="s">
        <v>748</v>
      </c>
      <c r="C8100" s="27" t="s">
        <v>923</v>
      </c>
      <c r="D8100" s="26" t="s">
        <v>3663</v>
      </c>
      <c r="E8100" s="28">
        <v>46113.0</v>
      </c>
      <c r="F8100" s="28">
        <v>46171.0</v>
      </c>
      <c r="G8100" s="29"/>
    </row>
    <row r="8101" ht="15.75" customHeight="1">
      <c r="A8101" s="30" t="s">
        <v>11765</v>
      </c>
      <c r="B8101" s="31" t="s">
        <v>748</v>
      </c>
      <c r="C8101" s="31" t="s">
        <v>955</v>
      </c>
      <c r="D8101" s="30" t="s">
        <v>3663</v>
      </c>
      <c r="E8101" s="32">
        <v>46113.0</v>
      </c>
      <c r="F8101" s="32">
        <v>46171.0</v>
      </c>
      <c r="G8101" s="33"/>
    </row>
    <row r="8102" ht="15.75" customHeight="1">
      <c r="A8102" s="26" t="s">
        <v>11766</v>
      </c>
      <c r="B8102" s="27" t="s">
        <v>749</v>
      </c>
      <c r="C8102" s="27" t="s">
        <v>932</v>
      </c>
      <c r="D8102" s="26" t="s">
        <v>3663</v>
      </c>
      <c r="E8102" s="28">
        <v>46113.0</v>
      </c>
      <c r="F8102" s="28">
        <v>46171.0</v>
      </c>
      <c r="G8102" s="29"/>
    </row>
    <row r="8103" ht="15.75" customHeight="1">
      <c r="A8103" s="30" t="s">
        <v>11767</v>
      </c>
      <c r="B8103" s="31" t="s">
        <v>749</v>
      </c>
      <c r="C8103" s="31" t="s">
        <v>1168</v>
      </c>
      <c r="D8103" s="30" t="s">
        <v>3663</v>
      </c>
      <c r="E8103" s="32">
        <v>46113.0</v>
      </c>
      <c r="F8103" s="32">
        <v>46171.0</v>
      </c>
      <c r="G8103" s="33"/>
    </row>
    <row r="8104" ht="15.75" customHeight="1">
      <c r="A8104" s="26" t="s">
        <v>11768</v>
      </c>
      <c r="B8104" s="27" t="s">
        <v>749</v>
      </c>
      <c r="C8104" s="27" t="s">
        <v>1170</v>
      </c>
      <c r="D8104" s="26" t="s">
        <v>3663</v>
      </c>
      <c r="E8104" s="28">
        <v>46113.0</v>
      </c>
      <c r="F8104" s="28">
        <v>46171.0</v>
      </c>
      <c r="G8104" s="29"/>
    </row>
    <row r="8105" ht="15.75" customHeight="1">
      <c r="A8105" s="30" t="s">
        <v>11769</v>
      </c>
      <c r="B8105" s="31" t="s">
        <v>749</v>
      </c>
      <c r="C8105" s="31" t="s">
        <v>1288</v>
      </c>
      <c r="D8105" s="30" t="s">
        <v>3663</v>
      </c>
      <c r="E8105" s="32">
        <v>46113.0</v>
      </c>
      <c r="F8105" s="32">
        <v>46171.0</v>
      </c>
      <c r="G8105" s="33"/>
    </row>
    <row r="8106" ht="15.75" customHeight="1">
      <c r="A8106" s="26" t="s">
        <v>11770</v>
      </c>
      <c r="B8106" s="27" t="s">
        <v>749</v>
      </c>
      <c r="C8106" s="27" t="s">
        <v>1291</v>
      </c>
      <c r="D8106" s="26" t="s">
        <v>3663</v>
      </c>
      <c r="E8106" s="28">
        <v>46113.0</v>
      </c>
      <c r="F8106" s="28">
        <v>46171.0</v>
      </c>
      <c r="G8106" s="29"/>
    </row>
    <row r="8107" ht="15.75" customHeight="1">
      <c r="A8107" s="30" t="s">
        <v>11771</v>
      </c>
      <c r="B8107" s="31" t="s">
        <v>749</v>
      </c>
      <c r="C8107" s="31" t="s">
        <v>1354</v>
      </c>
      <c r="D8107" s="30" t="s">
        <v>3663</v>
      </c>
      <c r="E8107" s="32">
        <v>46113.0</v>
      </c>
      <c r="F8107" s="32">
        <v>46171.0</v>
      </c>
      <c r="G8107" s="33"/>
    </row>
    <row r="8108" ht="15.75" customHeight="1">
      <c r="A8108" s="26" t="s">
        <v>11772</v>
      </c>
      <c r="B8108" s="27" t="s">
        <v>749</v>
      </c>
      <c r="C8108" s="27" t="s">
        <v>1312</v>
      </c>
      <c r="D8108" s="26" t="s">
        <v>3663</v>
      </c>
      <c r="E8108" s="28">
        <v>46113.0</v>
      </c>
      <c r="F8108" s="28">
        <v>46171.0</v>
      </c>
      <c r="G8108" s="29"/>
    </row>
    <row r="8109" ht="15.75" customHeight="1">
      <c r="A8109" s="30" t="s">
        <v>11773</v>
      </c>
      <c r="B8109" s="31" t="s">
        <v>749</v>
      </c>
      <c r="C8109" s="31" t="s">
        <v>3681</v>
      </c>
      <c r="D8109" s="30" t="s">
        <v>3663</v>
      </c>
      <c r="E8109" s="32">
        <v>46113.0</v>
      </c>
      <c r="F8109" s="32">
        <v>46171.0</v>
      </c>
      <c r="G8109" s="33"/>
    </row>
    <row r="8110" ht="15.75" customHeight="1">
      <c r="A8110" s="26" t="s">
        <v>11774</v>
      </c>
      <c r="B8110" s="27" t="s">
        <v>749</v>
      </c>
      <c r="C8110" s="27" t="s">
        <v>3683</v>
      </c>
      <c r="D8110" s="26" t="s">
        <v>3663</v>
      </c>
      <c r="E8110" s="28">
        <v>46113.0</v>
      </c>
      <c r="F8110" s="28">
        <v>46171.0</v>
      </c>
      <c r="G8110" s="29"/>
    </row>
    <row r="8111" ht="15.75" customHeight="1">
      <c r="A8111" s="30" t="s">
        <v>11775</v>
      </c>
      <c r="B8111" s="31" t="s">
        <v>749</v>
      </c>
      <c r="C8111" s="31" t="s">
        <v>1216</v>
      </c>
      <c r="D8111" s="30" t="s">
        <v>3663</v>
      </c>
      <c r="E8111" s="32">
        <v>46113.0</v>
      </c>
      <c r="F8111" s="32">
        <v>46171.0</v>
      </c>
      <c r="G8111" s="33"/>
    </row>
    <row r="8112" ht="15.75" customHeight="1">
      <c r="A8112" s="26" t="s">
        <v>11776</v>
      </c>
      <c r="B8112" s="27" t="s">
        <v>749</v>
      </c>
      <c r="C8112" s="27" t="s">
        <v>1351</v>
      </c>
      <c r="D8112" s="26" t="s">
        <v>3663</v>
      </c>
      <c r="E8112" s="28">
        <v>46113.0</v>
      </c>
      <c r="F8112" s="28">
        <v>46171.0</v>
      </c>
      <c r="G8112" s="29"/>
    </row>
    <row r="8113" ht="15.75" customHeight="1">
      <c r="A8113" s="30" t="s">
        <v>11777</v>
      </c>
      <c r="B8113" s="31" t="s">
        <v>749</v>
      </c>
      <c r="C8113" s="31" t="s">
        <v>1349</v>
      </c>
      <c r="D8113" s="30" t="s">
        <v>3663</v>
      </c>
      <c r="E8113" s="32">
        <v>46113.0</v>
      </c>
      <c r="F8113" s="32">
        <v>46171.0</v>
      </c>
      <c r="G8113" s="33"/>
    </row>
    <row r="8114" ht="15.75" customHeight="1">
      <c r="A8114" s="26" t="s">
        <v>11778</v>
      </c>
      <c r="B8114" s="27" t="s">
        <v>749</v>
      </c>
      <c r="C8114" s="27" t="s">
        <v>968</v>
      </c>
      <c r="D8114" s="26" t="s">
        <v>3663</v>
      </c>
      <c r="E8114" s="28">
        <v>46113.0</v>
      </c>
      <c r="F8114" s="28">
        <v>46171.0</v>
      </c>
      <c r="G8114" s="29"/>
    </row>
    <row r="8115" ht="15.75" customHeight="1">
      <c r="A8115" s="30" t="s">
        <v>11779</v>
      </c>
      <c r="B8115" s="31" t="s">
        <v>749</v>
      </c>
      <c r="C8115" s="31" t="s">
        <v>923</v>
      </c>
      <c r="D8115" s="30" t="s">
        <v>3663</v>
      </c>
      <c r="E8115" s="32">
        <v>46113.0</v>
      </c>
      <c r="F8115" s="32">
        <v>46171.0</v>
      </c>
      <c r="G8115" s="33"/>
    </row>
    <row r="8116" ht="15.75" customHeight="1">
      <c r="A8116" s="26" t="s">
        <v>11780</v>
      </c>
      <c r="B8116" s="27" t="s">
        <v>750</v>
      </c>
      <c r="C8116" s="27" t="s">
        <v>3654</v>
      </c>
      <c r="D8116" s="26" t="s">
        <v>3663</v>
      </c>
      <c r="E8116" s="28">
        <v>46113.0</v>
      </c>
      <c r="F8116" s="28">
        <v>46171.0</v>
      </c>
      <c r="G8116" s="29"/>
    </row>
    <row r="8117" ht="15.75" customHeight="1">
      <c r="A8117" s="30" t="s">
        <v>11781</v>
      </c>
      <c r="B8117" s="31" t="s">
        <v>750</v>
      </c>
      <c r="C8117" s="31" t="s">
        <v>3655</v>
      </c>
      <c r="D8117" s="30" t="s">
        <v>3663</v>
      </c>
      <c r="E8117" s="32">
        <v>46113.0</v>
      </c>
      <c r="F8117" s="32">
        <v>46171.0</v>
      </c>
      <c r="G8117" s="33"/>
    </row>
    <row r="8118" ht="15.75" customHeight="1">
      <c r="A8118" s="26" t="s">
        <v>11782</v>
      </c>
      <c r="B8118" s="27" t="s">
        <v>750</v>
      </c>
      <c r="C8118" s="27" t="s">
        <v>930</v>
      </c>
      <c r="D8118" s="26" t="s">
        <v>3663</v>
      </c>
      <c r="E8118" s="28">
        <v>46113.0</v>
      </c>
      <c r="F8118" s="28">
        <v>46171.0</v>
      </c>
      <c r="G8118" s="29"/>
    </row>
    <row r="8119" ht="15.75" customHeight="1">
      <c r="A8119" s="30" t="s">
        <v>11783</v>
      </c>
      <c r="B8119" s="31" t="s">
        <v>750</v>
      </c>
      <c r="C8119" s="31" t="s">
        <v>1354</v>
      </c>
      <c r="D8119" s="30" t="s">
        <v>3663</v>
      </c>
      <c r="E8119" s="32">
        <v>46113.0</v>
      </c>
      <c r="F8119" s="32">
        <v>46171.0</v>
      </c>
      <c r="G8119" s="33"/>
    </row>
    <row r="8120" ht="15.75" customHeight="1">
      <c r="A8120" s="26" t="s">
        <v>11784</v>
      </c>
      <c r="B8120" s="27" t="s">
        <v>750</v>
      </c>
      <c r="C8120" s="27" t="s">
        <v>1304</v>
      </c>
      <c r="D8120" s="26" t="s">
        <v>3663</v>
      </c>
      <c r="E8120" s="28">
        <v>46113.0</v>
      </c>
      <c r="F8120" s="28">
        <v>46171.0</v>
      </c>
      <c r="G8120" s="29"/>
    </row>
    <row r="8121" ht="15.75" customHeight="1">
      <c r="A8121" s="30" t="s">
        <v>11785</v>
      </c>
      <c r="B8121" s="31" t="s">
        <v>750</v>
      </c>
      <c r="C8121" s="31" t="s">
        <v>1306</v>
      </c>
      <c r="D8121" s="30" t="s">
        <v>3663</v>
      </c>
      <c r="E8121" s="32">
        <v>46113.0</v>
      </c>
      <c r="F8121" s="32">
        <v>46171.0</v>
      </c>
      <c r="G8121" s="33"/>
    </row>
    <row r="8122" ht="15.75" customHeight="1">
      <c r="A8122" s="26" t="s">
        <v>11786</v>
      </c>
      <c r="B8122" s="27" t="s">
        <v>750</v>
      </c>
      <c r="C8122" s="27" t="s">
        <v>1308</v>
      </c>
      <c r="D8122" s="26" t="s">
        <v>3663</v>
      </c>
      <c r="E8122" s="28">
        <v>46113.0</v>
      </c>
      <c r="F8122" s="28">
        <v>46171.0</v>
      </c>
      <c r="G8122" s="29"/>
    </row>
    <row r="8123" ht="15.75" customHeight="1">
      <c r="A8123" s="30" t="s">
        <v>11787</v>
      </c>
      <c r="B8123" s="31" t="s">
        <v>750</v>
      </c>
      <c r="C8123" s="31" t="s">
        <v>1310</v>
      </c>
      <c r="D8123" s="30" t="s">
        <v>3663</v>
      </c>
      <c r="E8123" s="32">
        <v>46113.0</v>
      </c>
      <c r="F8123" s="32">
        <v>46171.0</v>
      </c>
      <c r="G8123" s="33"/>
    </row>
    <row r="8124" ht="15.75" customHeight="1">
      <c r="A8124" s="26" t="s">
        <v>11788</v>
      </c>
      <c r="B8124" s="27" t="s">
        <v>750</v>
      </c>
      <c r="C8124" s="27" t="s">
        <v>1216</v>
      </c>
      <c r="D8124" s="26" t="s">
        <v>3663</v>
      </c>
      <c r="E8124" s="28">
        <v>46113.0</v>
      </c>
      <c r="F8124" s="28">
        <v>46171.0</v>
      </c>
      <c r="G8124" s="29"/>
    </row>
    <row r="8125" ht="15.75" customHeight="1">
      <c r="A8125" s="30" t="s">
        <v>11789</v>
      </c>
      <c r="B8125" s="31" t="s">
        <v>750</v>
      </c>
      <c r="C8125" s="31" t="s">
        <v>1218</v>
      </c>
      <c r="D8125" s="30" t="s">
        <v>3663</v>
      </c>
      <c r="E8125" s="32">
        <v>46113.0</v>
      </c>
      <c r="F8125" s="32">
        <v>46171.0</v>
      </c>
      <c r="G8125" s="33"/>
    </row>
    <row r="8126" ht="15.75" customHeight="1">
      <c r="A8126" s="26" t="s">
        <v>11790</v>
      </c>
      <c r="B8126" s="27" t="s">
        <v>750</v>
      </c>
      <c r="C8126" s="27" t="s">
        <v>1351</v>
      </c>
      <c r="D8126" s="26" t="s">
        <v>3663</v>
      </c>
      <c r="E8126" s="28">
        <v>46113.0</v>
      </c>
      <c r="F8126" s="28">
        <v>46171.0</v>
      </c>
      <c r="G8126" s="29"/>
    </row>
    <row r="8127" ht="15.75" customHeight="1">
      <c r="A8127" s="30" t="s">
        <v>11791</v>
      </c>
      <c r="B8127" s="31" t="s">
        <v>750</v>
      </c>
      <c r="C8127" s="31" t="s">
        <v>1349</v>
      </c>
      <c r="D8127" s="30" t="s">
        <v>3663</v>
      </c>
      <c r="E8127" s="32">
        <v>46113.0</v>
      </c>
      <c r="F8127" s="32">
        <v>46171.0</v>
      </c>
      <c r="G8127" s="33"/>
    </row>
    <row r="8128" ht="15.75" customHeight="1">
      <c r="A8128" s="26" t="s">
        <v>11792</v>
      </c>
      <c r="B8128" s="27" t="s">
        <v>750</v>
      </c>
      <c r="C8128" s="27" t="s">
        <v>965</v>
      </c>
      <c r="D8128" s="26" t="s">
        <v>3663</v>
      </c>
      <c r="E8128" s="28">
        <v>46113.0</v>
      </c>
      <c r="F8128" s="28">
        <v>46171.0</v>
      </c>
      <c r="G8128" s="29"/>
    </row>
    <row r="8129" ht="15.75" customHeight="1">
      <c r="A8129" s="30" t="s">
        <v>11793</v>
      </c>
      <c r="B8129" s="31" t="s">
        <v>750</v>
      </c>
      <c r="C8129" s="31" t="s">
        <v>923</v>
      </c>
      <c r="D8129" s="30" t="s">
        <v>3663</v>
      </c>
      <c r="E8129" s="32">
        <v>46113.0</v>
      </c>
      <c r="F8129" s="32">
        <v>46171.0</v>
      </c>
      <c r="G8129" s="33"/>
    </row>
    <row r="8130" ht="15.75" customHeight="1">
      <c r="A8130" s="26" t="s">
        <v>11794</v>
      </c>
      <c r="B8130" s="27" t="s">
        <v>751</v>
      </c>
      <c r="C8130" s="27" t="s">
        <v>3654</v>
      </c>
      <c r="D8130" s="26" t="s">
        <v>3663</v>
      </c>
      <c r="E8130" s="28">
        <v>46113.0</v>
      </c>
      <c r="F8130" s="28">
        <v>46171.0</v>
      </c>
      <c r="G8130" s="29"/>
    </row>
    <row r="8131" ht="15.75" customHeight="1">
      <c r="A8131" s="30" t="s">
        <v>11795</v>
      </c>
      <c r="B8131" s="31" t="s">
        <v>751</v>
      </c>
      <c r="C8131" s="31" t="s">
        <v>3655</v>
      </c>
      <c r="D8131" s="30" t="s">
        <v>3663</v>
      </c>
      <c r="E8131" s="32">
        <v>46113.0</v>
      </c>
      <c r="F8131" s="32">
        <v>46171.0</v>
      </c>
      <c r="G8131" s="33"/>
    </row>
    <row r="8132" ht="15.75" customHeight="1">
      <c r="A8132" s="26" t="s">
        <v>11796</v>
      </c>
      <c r="B8132" s="27" t="s">
        <v>751</v>
      </c>
      <c r="C8132" s="27" t="s">
        <v>926</v>
      </c>
      <c r="D8132" s="27" t="s">
        <v>3663</v>
      </c>
      <c r="E8132" s="28">
        <v>46113.0</v>
      </c>
      <c r="F8132" s="28">
        <v>46171.0</v>
      </c>
      <c r="G8132" s="29"/>
    </row>
    <row r="8133" ht="15.75" customHeight="1">
      <c r="A8133" s="30" t="s">
        <v>11797</v>
      </c>
      <c r="B8133" s="31" t="s">
        <v>751</v>
      </c>
      <c r="C8133" s="31" t="s">
        <v>1354</v>
      </c>
      <c r="D8133" s="30" t="s">
        <v>3663</v>
      </c>
      <c r="E8133" s="32">
        <v>46113.0</v>
      </c>
      <c r="F8133" s="32">
        <v>46171.0</v>
      </c>
      <c r="G8133" s="33"/>
    </row>
    <row r="8134" ht="15.75" customHeight="1">
      <c r="A8134" s="26" t="s">
        <v>11798</v>
      </c>
      <c r="B8134" s="27" t="s">
        <v>751</v>
      </c>
      <c r="C8134" s="27" t="s">
        <v>3647</v>
      </c>
      <c r="D8134" s="26" t="s">
        <v>3663</v>
      </c>
      <c r="E8134" s="28">
        <v>46113.0</v>
      </c>
      <c r="F8134" s="28">
        <v>46171.0</v>
      </c>
      <c r="G8134" s="29"/>
    </row>
    <row r="8135" ht="15.75" customHeight="1">
      <c r="A8135" s="30" t="s">
        <v>11799</v>
      </c>
      <c r="B8135" s="31" t="s">
        <v>751</v>
      </c>
      <c r="C8135" s="31" t="s">
        <v>952</v>
      </c>
      <c r="D8135" s="30" t="s">
        <v>3663</v>
      </c>
      <c r="E8135" s="32">
        <v>46113.0</v>
      </c>
      <c r="F8135" s="32">
        <v>46171.0</v>
      </c>
      <c r="G8135" s="33"/>
    </row>
    <row r="8136" ht="15.75" customHeight="1">
      <c r="A8136" s="26" t="s">
        <v>11800</v>
      </c>
      <c r="B8136" s="27" t="s">
        <v>751</v>
      </c>
      <c r="C8136" s="27" t="s">
        <v>3648</v>
      </c>
      <c r="D8136" s="27" t="s">
        <v>3663</v>
      </c>
      <c r="E8136" s="28">
        <v>46113.0</v>
      </c>
      <c r="F8136" s="28">
        <v>46171.0</v>
      </c>
      <c r="G8136" s="29"/>
    </row>
    <row r="8137" ht="15.75" customHeight="1">
      <c r="A8137" s="30" t="s">
        <v>11801</v>
      </c>
      <c r="B8137" s="31" t="s">
        <v>751</v>
      </c>
      <c r="C8137" s="31" t="s">
        <v>3649</v>
      </c>
      <c r="D8137" s="31" t="s">
        <v>3663</v>
      </c>
      <c r="E8137" s="32">
        <v>46113.0</v>
      </c>
      <c r="F8137" s="32">
        <v>46171.0</v>
      </c>
      <c r="G8137" s="33"/>
    </row>
    <row r="8138" ht="15.75" customHeight="1">
      <c r="A8138" s="26" t="s">
        <v>11802</v>
      </c>
      <c r="B8138" s="27" t="s">
        <v>751</v>
      </c>
      <c r="C8138" s="27" t="s">
        <v>3650</v>
      </c>
      <c r="D8138" s="27" t="s">
        <v>3663</v>
      </c>
      <c r="E8138" s="28">
        <v>46113.0</v>
      </c>
      <c r="F8138" s="28">
        <v>46171.0</v>
      </c>
      <c r="G8138" s="29"/>
    </row>
    <row r="8139" ht="15.75" customHeight="1">
      <c r="A8139" s="30" t="s">
        <v>11803</v>
      </c>
      <c r="B8139" s="31" t="s">
        <v>751</v>
      </c>
      <c r="C8139" s="31" t="s">
        <v>1283</v>
      </c>
      <c r="D8139" s="31" t="s">
        <v>3663</v>
      </c>
      <c r="E8139" s="32">
        <v>46113.0</v>
      </c>
      <c r="F8139" s="32">
        <v>46171.0</v>
      </c>
      <c r="G8139" s="33"/>
    </row>
    <row r="8140" ht="15.75" customHeight="1">
      <c r="A8140" s="26" t="s">
        <v>11804</v>
      </c>
      <c r="B8140" s="27" t="s">
        <v>751</v>
      </c>
      <c r="C8140" s="27" t="s">
        <v>1218</v>
      </c>
      <c r="D8140" s="26" t="s">
        <v>3663</v>
      </c>
      <c r="E8140" s="28">
        <v>46113.0</v>
      </c>
      <c r="F8140" s="28">
        <v>46171.0</v>
      </c>
      <c r="G8140" s="29"/>
    </row>
    <row r="8141" ht="15.75" customHeight="1">
      <c r="A8141" s="30" t="s">
        <v>11805</v>
      </c>
      <c r="B8141" s="31" t="s">
        <v>751</v>
      </c>
      <c r="C8141" s="31" t="s">
        <v>968</v>
      </c>
      <c r="D8141" s="30" t="s">
        <v>3663</v>
      </c>
      <c r="E8141" s="32">
        <v>46113.0</v>
      </c>
      <c r="F8141" s="32">
        <v>46171.0</v>
      </c>
      <c r="G8141" s="33"/>
    </row>
    <row r="8142" ht="15.75" customHeight="1">
      <c r="A8142" s="26" t="s">
        <v>11806</v>
      </c>
      <c r="B8142" s="27" t="s">
        <v>751</v>
      </c>
      <c r="C8142" s="27" t="s">
        <v>923</v>
      </c>
      <c r="D8142" s="27" t="s">
        <v>3663</v>
      </c>
      <c r="E8142" s="28">
        <v>46113.0</v>
      </c>
      <c r="F8142" s="28">
        <v>46171.0</v>
      </c>
      <c r="G8142" s="29"/>
    </row>
    <row r="8143" ht="15.75" customHeight="1">
      <c r="A8143" s="30" t="s">
        <v>11807</v>
      </c>
      <c r="B8143" s="31" t="s">
        <v>751</v>
      </c>
      <c r="C8143" s="31" t="s">
        <v>955</v>
      </c>
      <c r="D8143" s="30" t="s">
        <v>3663</v>
      </c>
      <c r="E8143" s="32">
        <v>46113.0</v>
      </c>
      <c r="F8143" s="32">
        <v>46171.0</v>
      </c>
      <c r="G8143" s="33"/>
    </row>
    <row r="8144" ht="15.75" customHeight="1">
      <c r="A8144" s="26" t="s">
        <v>11808</v>
      </c>
      <c r="B8144" s="27" t="s">
        <v>752</v>
      </c>
      <c r="C8144" s="27" t="s">
        <v>932</v>
      </c>
      <c r="D8144" s="26" t="s">
        <v>3663</v>
      </c>
      <c r="E8144" s="28">
        <v>46113.0</v>
      </c>
      <c r="F8144" s="28">
        <v>46171.0</v>
      </c>
      <c r="G8144" s="29"/>
    </row>
    <row r="8145" ht="15.75" customHeight="1">
      <c r="A8145" s="30" t="s">
        <v>11809</v>
      </c>
      <c r="B8145" s="31" t="s">
        <v>752</v>
      </c>
      <c r="C8145" s="31" t="s">
        <v>1168</v>
      </c>
      <c r="D8145" s="30" t="s">
        <v>3663</v>
      </c>
      <c r="E8145" s="32">
        <v>46113.0</v>
      </c>
      <c r="F8145" s="32">
        <v>46171.0</v>
      </c>
      <c r="G8145" s="33"/>
    </row>
    <row r="8146" ht="15.75" customHeight="1">
      <c r="A8146" s="26" t="s">
        <v>11810</v>
      </c>
      <c r="B8146" s="27" t="s">
        <v>752</v>
      </c>
      <c r="C8146" s="27" t="s">
        <v>1170</v>
      </c>
      <c r="D8146" s="26" t="s">
        <v>3663</v>
      </c>
      <c r="E8146" s="28">
        <v>46113.0</v>
      </c>
      <c r="F8146" s="28">
        <v>46171.0</v>
      </c>
      <c r="G8146" s="29"/>
    </row>
    <row r="8147" ht="15.75" customHeight="1">
      <c r="A8147" s="30" t="s">
        <v>11811</v>
      </c>
      <c r="B8147" s="31" t="s">
        <v>752</v>
      </c>
      <c r="C8147" s="31" t="s">
        <v>1288</v>
      </c>
      <c r="D8147" s="30" t="s">
        <v>3663</v>
      </c>
      <c r="E8147" s="32">
        <v>46113.0</v>
      </c>
      <c r="F8147" s="32">
        <v>46171.0</v>
      </c>
      <c r="G8147" s="33"/>
    </row>
    <row r="8148" ht="15.75" customHeight="1">
      <c r="A8148" s="26" t="s">
        <v>11812</v>
      </c>
      <c r="B8148" s="27" t="s">
        <v>752</v>
      </c>
      <c r="C8148" s="27" t="s">
        <v>1291</v>
      </c>
      <c r="D8148" s="26" t="s">
        <v>3663</v>
      </c>
      <c r="E8148" s="28">
        <v>46113.0</v>
      </c>
      <c r="F8148" s="28">
        <v>46171.0</v>
      </c>
      <c r="G8148" s="29"/>
    </row>
    <row r="8149" ht="15.75" customHeight="1">
      <c r="A8149" s="30" t="s">
        <v>11813</v>
      </c>
      <c r="B8149" s="31" t="s">
        <v>752</v>
      </c>
      <c r="C8149" s="31" t="s">
        <v>1354</v>
      </c>
      <c r="D8149" s="30" t="s">
        <v>3663</v>
      </c>
      <c r="E8149" s="32">
        <v>46113.0</v>
      </c>
      <c r="F8149" s="32">
        <v>46171.0</v>
      </c>
      <c r="G8149" s="33"/>
    </row>
    <row r="8150" ht="15.75" customHeight="1">
      <c r="A8150" s="26" t="s">
        <v>11814</v>
      </c>
      <c r="B8150" s="27" t="s">
        <v>752</v>
      </c>
      <c r="C8150" s="27" t="s">
        <v>1159</v>
      </c>
      <c r="D8150" s="26" t="s">
        <v>3663</v>
      </c>
      <c r="E8150" s="28">
        <v>46113.0</v>
      </c>
      <c r="F8150" s="28">
        <v>46171.0</v>
      </c>
      <c r="G8150" s="29"/>
    </row>
    <row r="8151" ht="15.75" customHeight="1">
      <c r="A8151" s="30" t="s">
        <v>11815</v>
      </c>
      <c r="B8151" s="31" t="s">
        <v>752</v>
      </c>
      <c r="C8151" s="31" t="s">
        <v>3656</v>
      </c>
      <c r="D8151" s="30" t="s">
        <v>3663</v>
      </c>
      <c r="E8151" s="32">
        <v>46113.0</v>
      </c>
      <c r="F8151" s="32">
        <v>46171.0</v>
      </c>
      <c r="G8151" s="33"/>
    </row>
    <row r="8152" ht="15.75" customHeight="1">
      <c r="A8152" s="26" t="s">
        <v>11816</v>
      </c>
      <c r="B8152" s="27" t="s">
        <v>752</v>
      </c>
      <c r="C8152" s="27" t="s">
        <v>3657</v>
      </c>
      <c r="D8152" s="26" t="s">
        <v>3663</v>
      </c>
      <c r="E8152" s="28">
        <v>46113.0</v>
      </c>
      <c r="F8152" s="28">
        <v>46171.0</v>
      </c>
      <c r="G8152" s="29"/>
    </row>
    <row r="8153" ht="15.75" customHeight="1">
      <c r="A8153" s="30" t="s">
        <v>11817</v>
      </c>
      <c r="B8153" s="31" t="s">
        <v>752</v>
      </c>
      <c r="C8153" s="31" t="s">
        <v>1351</v>
      </c>
      <c r="D8153" s="30" t="s">
        <v>3663</v>
      </c>
      <c r="E8153" s="32">
        <v>46113.0</v>
      </c>
      <c r="F8153" s="32">
        <v>46171.0</v>
      </c>
      <c r="G8153" s="33"/>
    </row>
    <row r="8154" ht="15.75" customHeight="1">
      <c r="A8154" s="26" t="s">
        <v>11818</v>
      </c>
      <c r="B8154" s="27" t="s">
        <v>752</v>
      </c>
      <c r="C8154" s="27" t="s">
        <v>1349</v>
      </c>
      <c r="D8154" s="26" t="s">
        <v>3663</v>
      </c>
      <c r="E8154" s="28">
        <v>46113.0</v>
      </c>
      <c r="F8154" s="28">
        <v>46171.0</v>
      </c>
      <c r="G8154" s="29"/>
    </row>
    <row r="8155" ht="15.75" customHeight="1">
      <c r="A8155" s="30" t="s">
        <v>11819</v>
      </c>
      <c r="B8155" s="31" t="s">
        <v>752</v>
      </c>
      <c r="C8155" s="31" t="s">
        <v>965</v>
      </c>
      <c r="D8155" s="30" t="s">
        <v>3663</v>
      </c>
      <c r="E8155" s="32">
        <v>46113.0</v>
      </c>
      <c r="F8155" s="32">
        <v>46171.0</v>
      </c>
      <c r="G8155" s="33"/>
    </row>
    <row r="8156" ht="15.75" customHeight="1">
      <c r="A8156" s="26" t="s">
        <v>11820</v>
      </c>
      <c r="B8156" s="27" t="s">
        <v>752</v>
      </c>
      <c r="C8156" s="27" t="s">
        <v>923</v>
      </c>
      <c r="D8156" s="26" t="s">
        <v>3663</v>
      </c>
      <c r="E8156" s="28">
        <v>46113.0</v>
      </c>
      <c r="F8156" s="28">
        <v>46171.0</v>
      </c>
      <c r="G8156" s="29"/>
    </row>
    <row r="8157" ht="15.75" customHeight="1">
      <c r="A8157" s="30" t="s">
        <v>11821</v>
      </c>
      <c r="B8157" s="31" t="s">
        <v>752</v>
      </c>
      <c r="C8157" s="31" t="s">
        <v>955</v>
      </c>
      <c r="D8157" s="30" t="s">
        <v>3663</v>
      </c>
      <c r="E8157" s="32">
        <v>46113.0</v>
      </c>
      <c r="F8157" s="32">
        <v>46171.0</v>
      </c>
      <c r="G8157" s="33"/>
    </row>
    <row r="8158" ht="15.75" customHeight="1">
      <c r="A8158" s="26" t="s">
        <v>11822</v>
      </c>
      <c r="B8158" s="27" t="s">
        <v>753</v>
      </c>
      <c r="C8158" s="27" t="s">
        <v>932</v>
      </c>
      <c r="D8158" s="26" t="s">
        <v>3663</v>
      </c>
      <c r="E8158" s="28">
        <v>46113.0</v>
      </c>
      <c r="F8158" s="28">
        <v>46171.0</v>
      </c>
      <c r="G8158" s="29"/>
    </row>
    <row r="8159" ht="15.75" customHeight="1">
      <c r="A8159" s="30" t="s">
        <v>11823</v>
      </c>
      <c r="B8159" s="31" t="s">
        <v>753</v>
      </c>
      <c r="C8159" s="31" t="s">
        <v>1164</v>
      </c>
      <c r="D8159" s="30" t="s">
        <v>3663</v>
      </c>
      <c r="E8159" s="32">
        <v>46113.0</v>
      </c>
      <c r="F8159" s="32">
        <v>46171.0</v>
      </c>
      <c r="G8159" s="33"/>
    </row>
    <row r="8160" ht="15.75" customHeight="1">
      <c r="A8160" s="26" t="s">
        <v>11824</v>
      </c>
      <c r="B8160" s="27" t="s">
        <v>753</v>
      </c>
      <c r="C8160" s="27" t="s">
        <v>1166</v>
      </c>
      <c r="D8160" s="26" t="s">
        <v>3663</v>
      </c>
      <c r="E8160" s="28">
        <v>46113.0</v>
      </c>
      <c r="F8160" s="28">
        <v>46171.0</v>
      </c>
      <c r="G8160" s="29"/>
    </row>
    <row r="8161" ht="15.75" customHeight="1">
      <c r="A8161" s="30" t="s">
        <v>11825</v>
      </c>
      <c r="B8161" s="31" t="s">
        <v>753</v>
      </c>
      <c r="C8161" s="31" t="s">
        <v>1168</v>
      </c>
      <c r="D8161" s="30" t="s">
        <v>3663</v>
      </c>
      <c r="E8161" s="32">
        <v>46113.0</v>
      </c>
      <c r="F8161" s="32">
        <v>46171.0</v>
      </c>
      <c r="G8161" s="33"/>
    </row>
    <row r="8162" ht="15.75" customHeight="1">
      <c r="A8162" s="26" t="s">
        <v>11826</v>
      </c>
      <c r="B8162" s="27" t="s">
        <v>753</v>
      </c>
      <c r="C8162" s="27" t="s">
        <v>1170</v>
      </c>
      <c r="D8162" s="26" t="s">
        <v>3663</v>
      </c>
      <c r="E8162" s="28">
        <v>46113.0</v>
      </c>
      <c r="F8162" s="28">
        <v>46171.0</v>
      </c>
      <c r="G8162" s="29"/>
    </row>
    <row r="8163" ht="15.75" customHeight="1">
      <c r="A8163" s="30" t="s">
        <v>11827</v>
      </c>
      <c r="B8163" s="31" t="s">
        <v>753</v>
      </c>
      <c r="C8163" s="31" t="s">
        <v>1354</v>
      </c>
      <c r="D8163" s="30" t="s">
        <v>3663</v>
      </c>
      <c r="E8163" s="32">
        <v>46113.0</v>
      </c>
      <c r="F8163" s="32">
        <v>46171.0</v>
      </c>
      <c r="G8163" s="33"/>
    </row>
    <row r="8164" ht="15.75" customHeight="1">
      <c r="A8164" s="26" t="s">
        <v>11828</v>
      </c>
      <c r="B8164" s="27" t="s">
        <v>753</v>
      </c>
      <c r="C8164" s="27" t="s">
        <v>1172</v>
      </c>
      <c r="D8164" s="26" t="s">
        <v>3663</v>
      </c>
      <c r="E8164" s="28">
        <v>46113.0</v>
      </c>
      <c r="F8164" s="28">
        <v>46171.0</v>
      </c>
      <c r="G8164" s="29"/>
    </row>
    <row r="8165" ht="15.75" customHeight="1">
      <c r="A8165" s="30" t="s">
        <v>11829</v>
      </c>
      <c r="B8165" s="31" t="s">
        <v>753</v>
      </c>
      <c r="C8165" s="31" t="s">
        <v>1351</v>
      </c>
      <c r="D8165" s="30" t="s">
        <v>3663</v>
      </c>
      <c r="E8165" s="32">
        <v>46113.0</v>
      </c>
      <c r="F8165" s="32">
        <v>46171.0</v>
      </c>
      <c r="G8165" s="33"/>
    </row>
    <row r="8166" ht="15.75" customHeight="1">
      <c r="A8166" s="26" t="s">
        <v>11830</v>
      </c>
      <c r="B8166" s="27" t="s">
        <v>753</v>
      </c>
      <c r="C8166" s="27" t="s">
        <v>1349</v>
      </c>
      <c r="D8166" s="26" t="s">
        <v>3663</v>
      </c>
      <c r="E8166" s="28">
        <v>46113.0</v>
      </c>
      <c r="F8166" s="28">
        <v>46171.0</v>
      </c>
      <c r="G8166" s="29"/>
    </row>
    <row r="8167" ht="15.75" customHeight="1">
      <c r="A8167" s="30" t="s">
        <v>11831</v>
      </c>
      <c r="B8167" s="31" t="s">
        <v>753</v>
      </c>
      <c r="C8167" s="31" t="s">
        <v>3653</v>
      </c>
      <c r="D8167" s="31" t="s">
        <v>3663</v>
      </c>
      <c r="E8167" s="32">
        <v>46113.0</v>
      </c>
      <c r="F8167" s="32">
        <v>46171.0</v>
      </c>
      <c r="G8167" s="33"/>
    </row>
    <row r="8168" ht="15.75" customHeight="1">
      <c r="A8168" s="26" t="s">
        <v>11832</v>
      </c>
      <c r="B8168" s="27" t="s">
        <v>753</v>
      </c>
      <c r="C8168" s="27" t="s">
        <v>3652</v>
      </c>
      <c r="D8168" s="26" t="s">
        <v>3663</v>
      </c>
      <c r="E8168" s="28">
        <v>46113.0</v>
      </c>
      <c r="F8168" s="28">
        <v>46171.0</v>
      </c>
      <c r="G8168" s="29"/>
    </row>
    <row r="8169" ht="15.75" customHeight="1">
      <c r="A8169" s="30" t="s">
        <v>11833</v>
      </c>
      <c r="B8169" s="31" t="s">
        <v>753</v>
      </c>
      <c r="C8169" s="31" t="s">
        <v>968</v>
      </c>
      <c r="D8169" s="30" t="s">
        <v>3663</v>
      </c>
      <c r="E8169" s="32">
        <v>46113.0</v>
      </c>
      <c r="F8169" s="32">
        <v>46171.0</v>
      </c>
      <c r="G8169" s="33"/>
    </row>
    <row r="8170" ht="15.75" customHeight="1">
      <c r="A8170" s="26" t="s">
        <v>11834</v>
      </c>
      <c r="B8170" s="27" t="s">
        <v>753</v>
      </c>
      <c r="C8170" s="27" t="s">
        <v>923</v>
      </c>
      <c r="D8170" s="26" t="s">
        <v>3663</v>
      </c>
      <c r="E8170" s="28">
        <v>46113.0</v>
      </c>
      <c r="F8170" s="28">
        <v>46171.0</v>
      </c>
      <c r="G8170" s="29"/>
    </row>
    <row r="8171" ht="15.75" customHeight="1">
      <c r="A8171" s="30" t="s">
        <v>11835</v>
      </c>
      <c r="B8171" s="31" t="s">
        <v>753</v>
      </c>
      <c r="C8171" s="31" t="s">
        <v>955</v>
      </c>
      <c r="D8171" s="30" t="s">
        <v>3663</v>
      </c>
      <c r="E8171" s="32">
        <v>46113.0</v>
      </c>
      <c r="F8171" s="32">
        <v>46171.0</v>
      </c>
      <c r="G8171" s="33"/>
    </row>
    <row r="8172" ht="15.75" customHeight="1">
      <c r="A8172" s="26" t="s">
        <v>11836</v>
      </c>
      <c r="B8172" s="27" t="s">
        <v>754</v>
      </c>
      <c r="C8172" s="27" t="s">
        <v>1240</v>
      </c>
      <c r="D8172" s="26" t="s">
        <v>3663</v>
      </c>
      <c r="E8172" s="28">
        <v>46113.0</v>
      </c>
      <c r="F8172" s="28">
        <v>46171.0</v>
      </c>
      <c r="G8172" s="29"/>
    </row>
    <row r="8173" ht="15.75" customHeight="1">
      <c r="A8173" s="30" t="s">
        <v>11837</v>
      </c>
      <c r="B8173" s="31" t="s">
        <v>754</v>
      </c>
      <c r="C8173" s="31" t="s">
        <v>1242</v>
      </c>
      <c r="D8173" s="30" t="s">
        <v>3663</v>
      </c>
      <c r="E8173" s="32">
        <v>46113.0</v>
      </c>
      <c r="F8173" s="32">
        <v>46171.0</v>
      </c>
      <c r="G8173" s="33"/>
    </row>
    <row r="8174" ht="15.75" customHeight="1">
      <c r="A8174" s="26" t="s">
        <v>11838</v>
      </c>
      <c r="B8174" s="27" t="s">
        <v>754</v>
      </c>
      <c r="C8174" s="27" t="s">
        <v>1244</v>
      </c>
      <c r="D8174" s="26" t="s">
        <v>3663</v>
      </c>
      <c r="E8174" s="28">
        <v>46113.0</v>
      </c>
      <c r="F8174" s="28">
        <v>46171.0</v>
      </c>
      <c r="G8174" s="29"/>
    </row>
    <row r="8175" ht="15.75" customHeight="1">
      <c r="A8175" s="30" t="s">
        <v>11839</v>
      </c>
      <c r="B8175" s="31" t="s">
        <v>754</v>
      </c>
      <c r="C8175" s="31" t="s">
        <v>1246</v>
      </c>
      <c r="D8175" s="30" t="s">
        <v>3663</v>
      </c>
      <c r="E8175" s="32">
        <v>46113.0</v>
      </c>
      <c r="F8175" s="32">
        <v>46171.0</v>
      </c>
      <c r="G8175" s="33"/>
    </row>
    <row r="8176" ht="15.75" customHeight="1">
      <c r="A8176" s="26" t="s">
        <v>11840</v>
      </c>
      <c r="B8176" s="27" t="s">
        <v>754</v>
      </c>
      <c r="C8176" s="27" t="s">
        <v>934</v>
      </c>
      <c r="D8176" s="26" t="s">
        <v>3663</v>
      </c>
      <c r="E8176" s="28">
        <v>46113.0</v>
      </c>
      <c r="F8176" s="28">
        <v>46171.0</v>
      </c>
      <c r="G8176" s="29"/>
    </row>
    <row r="8177" ht="15.75" customHeight="1">
      <c r="A8177" s="30" t="s">
        <v>11841</v>
      </c>
      <c r="B8177" s="31" t="s">
        <v>754</v>
      </c>
      <c r="C8177" s="31" t="s">
        <v>1354</v>
      </c>
      <c r="D8177" s="30" t="s">
        <v>3663</v>
      </c>
      <c r="E8177" s="32">
        <v>46113.0</v>
      </c>
      <c r="F8177" s="32">
        <v>46171.0</v>
      </c>
      <c r="G8177" s="33"/>
    </row>
    <row r="8178" ht="15.75" customHeight="1">
      <c r="A8178" s="26" t="s">
        <v>11842</v>
      </c>
      <c r="B8178" s="27" t="s">
        <v>754</v>
      </c>
      <c r="C8178" s="27" t="s">
        <v>3656</v>
      </c>
      <c r="D8178" s="26" t="s">
        <v>3663</v>
      </c>
      <c r="E8178" s="28">
        <v>46113.0</v>
      </c>
      <c r="F8178" s="28">
        <v>46171.0</v>
      </c>
      <c r="G8178" s="29"/>
    </row>
    <row r="8179" ht="15.75" customHeight="1">
      <c r="A8179" s="30" t="s">
        <v>11843</v>
      </c>
      <c r="B8179" s="31" t="s">
        <v>754</v>
      </c>
      <c r="C8179" s="31" t="s">
        <v>3657</v>
      </c>
      <c r="D8179" s="30" t="s">
        <v>3663</v>
      </c>
      <c r="E8179" s="32">
        <v>46113.0</v>
      </c>
      <c r="F8179" s="32">
        <v>46171.0</v>
      </c>
      <c r="G8179" s="33"/>
    </row>
    <row r="8180" ht="15.75" customHeight="1">
      <c r="A8180" s="26" t="s">
        <v>11844</v>
      </c>
      <c r="B8180" s="27" t="s">
        <v>754</v>
      </c>
      <c r="C8180" s="27" t="s">
        <v>1218</v>
      </c>
      <c r="D8180" s="26" t="s">
        <v>3663</v>
      </c>
      <c r="E8180" s="28">
        <v>46113.0</v>
      </c>
      <c r="F8180" s="28">
        <v>46171.0</v>
      </c>
      <c r="G8180" s="29"/>
    </row>
    <row r="8181" ht="15.75" customHeight="1">
      <c r="A8181" s="30" t="s">
        <v>11845</v>
      </c>
      <c r="B8181" s="31" t="s">
        <v>754</v>
      </c>
      <c r="C8181" s="31" t="s">
        <v>1271</v>
      </c>
      <c r="D8181" s="30" t="s">
        <v>3663</v>
      </c>
      <c r="E8181" s="32">
        <v>46113.0</v>
      </c>
      <c r="F8181" s="32">
        <v>46171.0</v>
      </c>
      <c r="G8181" s="33"/>
    </row>
    <row r="8182" ht="15.75" customHeight="1">
      <c r="A8182" s="26" t="s">
        <v>11846</v>
      </c>
      <c r="B8182" s="27" t="s">
        <v>754</v>
      </c>
      <c r="C8182" s="27" t="s">
        <v>1351</v>
      </c>
      <c r="D8182" s="26" t="s">
        <v>3663</v>
      </c>
      <c r="E8182" s="28">
        <v>46113.0</v>
      </c>
      <c r="F8182" s="28">
        <v>46171.0</v>
      </c>
      <c r="G8182" s="29"/>
    </row>
    <row r="8183" ht="15.75" customHeight="1">
      <c r="A8183" s="30" t="s">
        <v>11847</v>
      </c>
      <c r="B8183" s="31" t="s">
        <v>754</v>
      </c>
      <c r="C8183" s="31" t="s">
        <v>1349</v>
      </c>
      <c r="D8183" s="30" t="s">
        <v>3663</v>
      </c>
      <c r="E8183" s="32">
        <v>46113.0</v>
      </c>
      <c r="F8183" s="32">
        <v>46171.0</v>
      </c>
      <c r="G8183" s="33"/>
    </row>
    <row r="8184" ht="15.75" customHeight="1">
      <c r="A8184" s="26" t="s">
        <v>11848</v>
      </c>
      <c r="B8184" s="27" t="s">
        <v>754</v>
      </c>
      <c r="C8184" s="27" t="s">
        <v>968</v>
      </c>
      <c r="D8184" s="26" t="s">
        <v>3663</v>
      </c>
      <c r="E8184" s="28">
        <v>46113.0</v>
      </c>
      <c r="F8184" s="28">
        <v>46171.0</v>
      </c>
      <c r="G8184" s="29"/>
    </row>
    <row r="8185" ht="15.75" customHeight="1">
      <c r="A8185" s="30" t="s">
        <v>11849</v>
      </c>
      <c r="B8185" s="31" t="s">
        <v>754</v>
      </c>
      <c r="C8185" s="31" t="s">
        <v>923</v>
      </c>
      <c r="D8185" s="30" t="s">
        <v>3663</v>
      </c>
      <c r="E8185" s="32">
        <v>46113.0</v>
      </c>
      <c r="F8185" s="32">
        <v>46171.0</v>
      </c>
      <c r="G8185" s="33"/>
    </row>
    <row r="8186" ht="15.75" customHeight="1">
      <c r="A8186" s="26" t="s">
        <v>11850</v>
      </c>
      <c r="B8186" s="27" t="s">
        <v>755</v>
      </c>
      <c r="C8186" s="27" t="s">
        <v>3654</v>
      </c>
      <c r="D8186" s="26" t="s">
        <v>3663</v>
      </c>
      <c r="E8186" s="28">
        <v>46113.0</v>
      </c>
      <c r="F8186" s="28">
        <v>46171.0</v>
      </c>
      <c r="G8186" s="29"/>
    </row>
    <row r="8187" ht="15.75" customHeight="1">
      <c r="A8187" s="30" t="s">
        <v>11851</v>
      </c>
      <c r="B8187" s="31" t="s">
        <v>755</v>
      </c>
      <c r="C8187" s="31" t="s">
        <v>3655</v>
      </c>
      <c r="D8187" s="30" t="s">
        <v>3663</v>
      </c>
      <c r="E8187" s="32">
        <v>46113.0</v>
      </c>
      <c r="F8187" s="32">
        <v>46171.0</v>
      </c>
      <c r="G8187" s="33"/>
    </row>
    <row r="8188" ht="15.75" customHeight="1">
      <c r="A8188" s="26" t="s">
        <v>11852</v>
      </c>
      <c r="B8188" s="27" t="s">
        <v>755</v>
      </c>
      <c r="C8188" s="27" t="s">
        <v>934</v>
      </c>
      <c r="D8188" s="26" t="s">
        <v>3663</v>
      </c>
      <c r="E8188" s="28">
        <v>46113.0</v>
      </c>
      <c r="F8188" s="28">
        <v>46171.0</v>
      </c>
      <c r="G8188" s="29"/>
    </row>
    <row r="8189" ht="15.75" customHeight="1">
      <c r="A8189" s="30" t="s">
        <v>11853</v>
      </c>
      <c r="B8189" s="31" t="s">
        <v>755</v>
      </c>
      <c r="C8189" s="31" t="s">
        <v>1354</v>
      </c>
      <c r="D8189" s="30" t="s">
        <v>3663</v>
      </c>
      <c r="E8189" s="32">
        <v>46113.0</v>
      </c>
      <c r="F8189" s="32">
        <v>46171.0</v>
      </c>
      <c r="G8189" s="33"/>
    </row>
    <row r="8190" ht="15.75" customHeight="1">
      <c r="A8190" s="26" t="s">
        <v>11854</v>
      </c>
      <c r="B8190" s="27" t="s">
        <v>755</v>
      </c>
      <c r="C8190" s="27" t="s">
        <v>1218</v>
      </c>
      <c r="D8190" s="26" t="s">
        <v>3663</v>
      </c>
      <c r="E8190" s="28">
        <v>46113.0</v>
      </c>
      <c r="F8190" s="28">
        <v>46171.0</v>
      </c>
      <c r="G8190" s="29"/>
    </row>
    <row r="8191" ht="15.75" customHeight="1">
      <c r="A8191" s="30" t="s">
        <v>11855</v>
      </c>
      <c r="B8191" s="31" t="s">
        <v>755</v>
      </c>
      <c r="C8191" s="31" t="s">
        <v>1157</v>
      </c>
      <c r="D8191" s="30" t="s">
        <v>3663</v>
      </c>
      <c r="E8191" s="32">
        <v>46113.0</v>
      </c>
      <c r="F8191" s="32">
        <v>46171.0</v>
      </c>
      <c r="G8191" s="33"/>
    </row>
    <row r="8192" ht="15.75" customHeight="1">
      <c r="A8192" s="26" t="s">
        <v>11856</v>
      </c>
      <c r="B8192" s="27" t="s">
        <v>755</v>
      </c>
      <c r="C8192" s="27" t="s">
        <v>1155</v>
      </c>
      <c r="D8192" s="26" t="s">
        <v>3663</v>
      </c>
      <c r="E8192" s="28">
        <v>46113.0</v>
      </c>
      <c r="F8192" s="28">
        <v>46171.0</v>
      </c>
      <c r="G8192" s="29"/>
    </row>
    <row r="8193" ht="15.75" customHeight="1">
      <c r="A8193" s="30" t="s">
        <v>11857</v>
      </c>
      <c r="B8193" s="31" t="s">
        <v>755</v>
      </c>
      <c r="C8193" s="31" t="s">
        <v>1153</v>
      </c>
      <c r="D8193" s="30" t="s">
        <v>3663</v>
      </c>
      <c r="E8193" s="32">
        <v>46113.0</v>
      </c>
      <c r="F8193" s="32">
        <v>46171.0</v>
      </c>
      <c r="G8193" s="33"/>
    </row>
    <row r="8194" ht="15.75" customHeight="1">
      <c r="A8194" s="26" t="s">
        <v>11858</v>
      </c>
      <c r="B8194" s="27" t="s">
        <v>755</v>
      </c>
      <c r="C8194" s="27" t="s">
        <v>1149</v>
      </c>
      <c r="D8194" s="26" t="s">
        <v>3663</v>
      </c>
      <c r="E8194" s="28">
        <v>46113.0</v>
      </c>
      <c r="F8194" s="28">
        <v>46171.0</v>
      </c>
      <c r="G8194" s="29"/>
    </row>
    <row r="8195" ht="15.75" customHeight="1">
      <c r="A8195" s="30" t="s">
        <v>11859</v>
      </c>
      <c r="B8195" s="31" t="s">
        <v>755</v>
      </c>
      <c r="C8195" s="31" t="s">
        <v>1351</v>
      </c>
      <c r="D8195" s="30" t="s">
        <v>3663</v>
      </c>
      <c r="E8195" s="32">
        <v>46113.0</v>
      </c>
      <c r="F8195" s="32">
        <v>46171.0</v>
      </c>
      <c r="G8195" s="33"/>
    </row>
    <row r="8196" ht="15.75" customHeight="1">
      <c r="A8196" s="26" t="s">
        <v>11860</v>
      </c>
      <c r="B8196" s="27" t="s">
        <v>755</v>
      </c>
      <c r="C8196" s="27" t="s">
        <v>1349</v>
      </c>
      <c r="D8196" s="26" t="s">
        <v>3663</v>
      </c>
      <c r="E8196" s="28">
        <v>46113.0</v>
      </c>
      <c r="F8196" s="28">
        <v>46171.0</v>
      </c>
      <c r="G8196" s="29"/>
    </row>
    <row r="8197" ht="15.75" customHeight="1">
      <c r="A8197" s="30" t="s">
        <v>11861</v>
      </c>
      <c r="B8197" s="31" t="s">
        <v>755</v>
      </c>
      <c r="C8197" s="31" t="s">
        <v>965</v>
      </c>
      <c r="D8197" s="30" t="s">
        <v>3663</v>
      </c>
      <c r="E8197" s="32">
        <v>46113.0</v>
      </c>
      <c r="F8197" s="32">
        <v>46171.0</v>
      </c>
      <c r="G8197" s="33"/>
    </row>
    <row r="8198" ht="15.75" customHeight="1">
      <c r="A8198" s="26" t="s">
        <v>11862</v>
      </c>
      <c r="B8198" s="27" t="s">
        <v>755</v>
      </c>
      <c r="C8198" s="27" t="s">
        <v>923</v>
      </c>
      <c r="D8198" s="26" t="s">
        <v>3663</v>
      </c>
      <c r="E8198" s="28">
        <v>46113.0</v>
      </c>
      <c r="F8198" s="28">
        <v>46171.0</v>
      </c>
      <c r="G8198" s="29"/>
    </row>
    <row r="8199" ht="15.75" customHeight="1">
      <c r="A8199" s="30" t="s">
        <v>11863</v>
      </c>
      <c r="B8199" s="31" t="s">
        <v>755</v>
      </c>
      <c r="C8199" s="31" t="s">
        <v>955</v>
      </c>
      <c r="D8199" s="30" t="s">
        <v>3663</v>
      </c>
      <c r="E8199" s="32">
        <v>46113.0</v>
      </c>
      <c r="F8199" s="32">
        <v>46171.0</v>
      </c>
      <c r="G8199" s="33"/>
    </row>
    <row r="8200" ht="15.75" customHeight="1">
      <c r="A8200" s="26" t="s">
        <v>11864</v>
      </c>
      <c r="B8200" s="27" t="s">
        <v>756</v>
      </c>
      <c r="C8200" s="27" t="s">
        <v>3638</v>
      </c>
      <c r="D8200" s="26" t="s">
        <v>3663</v>
      </c>
      <c r="E8200" s="28">
        <v>46113.0</v>
      </c>
      <c r="F8200" s="28">
        <v>46171.0</v>
      </c>
      <c r="G8200" s="29"/>
    </row>
    <row r="8201" ht="15.75" customHeight="1">
      <c r="A8201" s="30" t="s">
        <v>11865</v>
      </c>
      <c r="B8201" s="31" t="s">
        <v>756</v>
      </c>
      <c r="C8201" s="31" t="s">
        <v>930</v>
      </c>
      <c r="D8201" s="30" t="s">
        <v>3663</v>
      </c>
      <c r="E8201" s="32">
        <v>46113.0</v>
      </c>
      <c r="F8201" s="32">
        <v>46171.0</v>
      </c>
      <c r="G8201" s="33"/>
    </row>
    <row r="8202" ht="15.75" customHeight="1">
      <c r="A8202" s="26" t="s">
        <v>11866</v>
      </c>
      <c r="B8202" s="27" t="s">
        <v>756</v>
      </c>
      <c r="C8202" s="27" t="s">
        <v>1354</v>
      </c>
      <c r="D8202" s="26" t="s">
        <v>3663</v>
      </c>
      <c r="E8202" s="28">
        <v>46113.0</v>
      </c>
      <c r="F8202" s="28">
        <v>46171.0</v>
      </c>
      <c r="G8202" s="29"/>
    </row>
    <row r="8203" ht="15.75" customHeight="1">
      <c r="A8203" s="30" t="s">
        <v>11867</v>
      </c>
      <c r="B8203" s="31" t="s">
        <v>756</v>
      </c>
      <c r="C8203" s="31" t="s">
        <v>1190</v>
      </c>
      <c r="D8203" s="30" t="s">
        <v>3663</v>
      </c>
      <c r="E8203" s="32">
        <v>46113.0</v>
      </c>
      <c r="F8203" s="32">
        <v>46171.0</v>
      </c>
      <c r="G8203" s="33"/>
    </row>
    <row r="8204" ht="15.75" customHeight="1">
      <c r="A8204" s="26" t="s">
        <v>11868</v>
      </c>
      <c r="B8204" s="27" t="s">
        <v>756</v>
      </c>
      <c r="C8204" s="27" t="s">
        <v>1157</v>
      </c>
      <c r="D8204" s="26" t="s">
        <v>3663</v>
      </c>
      <c r="E8204" s="28">
        <v>46113.0</v>
      </c>
      <c r="F8204" s="28">
        <v>46171.0</v>
      </c>
      <c r="G8204" s="29"/>
    </row>
    <row r="8205" ht="15.75" customHeight="1">
      <c r="A8205" s="30" t="s">
        <v>11869</v>
      </c>
      <c r="B8205" s="31" t="s">
        <v>756</v>
      </c>
      <c r="C8205" s="31" t="s">
        <v>1155</v>
      </c>
      <c r="D8205" s="30" t="s">
        <v>3663</v>
      </c>
      <c r="E8205" s="32">
        <v>46113.0</v>
      </c>
      <c r="F8205" s="32">
        <v>46171.0</v>
      </c>
      <c r="G8205" s="33"/>
    </row>
    <row r="8206" ht="15.75" customHeight="1">
      <c r="A8206" s="26" t="s">
        <v>11870</v>
      </c>
      <c r="B8206" s="27" t="s">
        <v>756</v>
      </c>
      <c r="C8206" s="27" t="s">
        <v>1153</v>
      </c>
      <c r="D8206" s="26" t="s">
        <v>3663</v>
      </c>
      <c r="E8206" s="28">
        <v>46113.0</v>
      </c>
      <c r="F8206" s="28">
        <v>46171.0</v>
      </c>
      <c r="G8206" s="29"/>
    </row>
    <row r="8207" ht="15.75" customHeight="1">
      <c r="A8207" s="30" t="s">
        <v>11871</v>
      </c>
      <c r="B8207" s="31" t="s">
        <v>756</v>
      </c>
      <c r="C8207" s="31" t="s">
        <v>1149</v>
      </c>
      <c r="D8207" s="30" t="s">
        <v>3663</v>
      </c>
      <c r="E8207" s="32">
        <v>46113.0</v>
      </c>
      <c r="F8207" s="32">
        <v>46171.0</v>
      </c>
      <c r="G8207" s="33"/>
    </row>
    <row r="8208" ht="15.75" customHeight="1">
      <c r="A8208" s="26" t="s">
        <v>11872</v>
      </c>
      <c r="B8208" s="27" t="s">
        <v>756</v>
      </c>
      <c r="C8208" s="27" t="s">
        <v>1351</v>
      </c>
      <c r="D8208" s="26" t="s">
        <v>3663</v>
      </c>
      <c r="E8208" s="28">
        <v>46113.0</v>
      </c>
      <c r="F8208" s="28">
        <v>46171.0</v>
      </c>
      <c r="G8208" s="29"/>
    </row>
    <row r="8209" ht="15.75" customHeight="1">
      <c r="A8209" s="30" t="s">
        <v>11873</v>
      </c>
      <c r="B8209" s="31" t="s">
        <v>756</v>
      </c>
      <c r="C8209" s="31" t="s">
        <v>1349</v>
      </c>
      <c r="D8209" s="30" t="s">
        <v>3663</v>
      </c>
      <c r="E8209" s="32">
        <v>46113.0</v>
      </c>
      <c r="F8209" s="32">
        <v>46171.0</v>
      </c>
      <c r="G8209" s="33"/>
    </row>
    <row r="8210" ht="15.75" customHeight="1">
      <c r="A8210" s="26" t="s">
        <v>11874</v>
      </c>
      <c r="B8210" s="27" t="s">
        <v>756</v>
      </c>
      <c r="C8210" s="27" t="s">
        <v>3653</v>
      </c>
      <c r="D8210" s="26" t="s">
        <v>3663</v>
      </c>
      <c r="E8210" s="28">
        <v>46113.0</v>
      </c>
      <c r="F8210" s="28">
        <v>46171.0</v>
      </c>
      <c r="G8210" s="29"/>
    </row>
    <row r="8211" ht="15.75" customHeight="1">
      <c r="A8211" s="30" t="s">
        <v>11875</v>
      </c>
      <c r="B8211" s="31" t="s">
        <v>756</v>
      </c>
      <c r="C8211" s="31" t="s">
        <v>3652</v>
      </c>
      <c r="D8211" s="31" t="s">
        <v>3663</v>
      </c>
      <c r="E8211" s="32">
        <v>46113.0</v>
      </c>
      <c r="F8211" s="32">
        <v>46171.0</v>
      </c>
      <c r="G8211" s="33"/>
    </row>
    <row r="8212" ht="15.75" customHeight="1">
      <c r="A8212" s="26" t="s">
        <v>11876</v>
      </c>
      <c r="B8212" s="27" t="s">
        <v>756</v>
      </c>
      <c r="C8212" s="27" t="s">
        <v>968</v>
      </c>
      <c r="D8212" s="26" t="s">
        <v>3663</v>
      </c>
      <c r="E8212" s="28">
        <v>46113.0</v>
      </c>
      <c r="F8212" s="28">
        <v>46171.0</v>
      </c>
      <c r="G8212" s="29"/>
    </row>
    <row r="8213" ht="15.75" customHeight="1">
      <c r="A8213" s="30" t="s">
        <v>11877</v>
      </c>
      <c r="B8213" s="31" t="s">
        <v>756</v>
      </c>
      <c r="C8213" s="31" t="s">
        <v>923</v>
      </c>
      <c r="D8213" s="30" t="s">
        <v>3663</v>
      </c>
      <c r="E8213" s="32">
        <v>46113.0</v>
      </c>
      <c r="F8213" s="32">
        <v>46171.0</v>
      </c>
      <c r="G8213" s="33"/>
    </row>
    <row r="8214" ht="15.75" customHeight="1">
      <c r="A8214" s="26" t="s">
        <v>11878</v>
      </c>
      <c r="B8214" s="27" t="s">
        <v>757</v>
      </c>
      <c r="C8214" s="27" t="s">
        <v>3654</v>
      </c>
      <c r="D8214" s="26" t="s">
        <v>3663</v>
      </c>
      <c r="E8214" s="28">
        <v>46113.0</v>
      </c>
      <c r="F8214" s="28">
        <v>46171.0</v>
      </c>
      <c r="G8214" s="29"/>
    </row>
    <row r="8215" ht="15.75" customHeight="1">
      <c r="A8215" s="30" t="s">
        <v>11879</v>
      </c>
      <c r="B8215" s="31" t="s">
        <v>757</v>
      </c>
      <c r="C8215" s="31" t="s">
        <v>3655</v>
      </c>
      <c r="D8215" s="30" t="s">
        <v>3663</v>
      </c>
      <c r="E8215" s="32">
        <v>46113.0</v>
      </c>
      <c r="F8215" s="32">
        <v>46171.0</v>
      </c>
      <c r="G8215" s="33"/>
    </row>
    <row r="8216" ht="15.75" customHeight="1">
      <c r="A8216" s="26" t="s">
        <v>11880</v>
      </c>
      <c r="B8216" s="27" t="s">
        <v>757</v>
      </c>
      <c r="C8216" s="27" t="s">
        <v>934</v>
      </c>
      <c r="D8216" s="26" t="s">
        <v>3663</v>
      </c>
      <c r="E8216" s="28">
        <v>46113.0</v>
      </c>
      <c r="F8216" s="28">
        <v>46171.0</v>
      </c>
      <c r="G8216" s="29"/>
    </row>
    <row r="8217" ht="15.75" customHeight="1">
      <c r="A8217" s="30" t="s">
        <v>11881</v>
      </c>
      <c r="B8217" s="31" t="s">
        <v>757</v>
      </c>
      <c r="C8217" s="31" t="s">
        <v>1354</v>
      </c>
      <c r="D8217" s="30" t="s">
        <v>3663</v>
      </c>
      <c r="E8217" s="32">
        <v>46113.0</v>
      </c>
      <c r="F8217" s="32">
        <v>46171.0</v>
      </c>
      <c r="G8217" s="33"/>
    </row>
    <row r="8218" ht="15.75" customHeight="1">
      <c r="A8218" s="26" t="s">
        <v>11882</v>
      </c>
      <c r="B8218" s="27" t="s">
        <v>757</v>
      </c>
      <c r="C8218" s="27" t="s">
        <v>3605</v>
      </c>
      <c r="D8218" s="26" t="s">
        <v>3663</v>
      </c>
      <c r="E8218" s="28">
        <v>46113.0</v>
      </c>
      <c r="F8218" s="28">
        <v>46171.0</v>
      </c>
      <c r="G8218" s="29"/>
    </row>
    <row r="8219" ht="15.75" customHeight="1">
      <c r="A8219" s="30" t="s">
        <v>11883</v>
      </c>
      <c r="B8219" s="31" t="s">
        <v>757</v>
      </c>
      <c r="C8219" s="31" t="s">
        <v>1172</v>
      </c>
      <c r="D8219" s="30" t="s">
        <v>3663</v>
      </c>
      <c r="E8219" s="32">
        <v>46113.0</v>
      </c>
      <c r="F8219" s="32">
        <v>46171.0</v>
      </c>
      <c r="G8219" s="33"/>
    </row>
    <row r="8220" ht="15.75" customHeight="1">
      <c r="A8220" s="26" t="s">
        <v>11884</v>
      </c>
      <c r="B8220" s="27" t="s">
        <v>757</v>
      </c>
      <c r="C8220" s="27" t="s">
        <v>3647</v>
      </c>
      <c r="D8220" s="26" t="s">
        <v>3663</v>
      </c>
      <c r="E8220" s="28">
        <v>46113.0</v>
      </c>
      <c r="F8220" s="28">
        <v>46171.0</v>
      </c>
      <c r="G8220" s="29"/>
    </row>
    <row r="8221" ht="15.75" customHeight="1">
      <c r="A8221" s="30" t="s">
        <v>11885</v>
      </c>
      <c r="B8221" s="31" t="s">
        <v>757</v>
      </c>
      <c r="C8221" s="31" t="s">
        <v>952</v>
      </c>
      <c r="D8221" s="30" t="s">
        <v>3663</v>
      </c>
      <c r="E8221" s="32">
        <v>46113.0</v>
      </c>
      <c r="F8221" s="32">
        <v>46171.0</v>
      </c>
      <c r="G8221" s="33"/>
    </row>
    <row r="8222" ht="15.75" customHeight="1">
      <c r="A8222" s="26" t="s">
        <v>11886</v>
      </c>
      <c r="B8222" s="27" t="s">
        <v>757</v>
      </c>
      <c r="C8222" s="27" t="s">
        <v>1157</v>
      </c>
      <c r="D8222" s="26" t="s">
        <v>3663</v>
      </c>
      <c r="E8222" s="28">
        <v>46113.0</v>
      </c>
      <c r="F8222" s="28">
        <v>46171.0</v>
      </c>
      <c r="G8222" s="29"/>
    </row>
    <row r="8223" ht="15.75" customHeight="1">
      <c r="A8223" s="30" t="s">
        <v>11887</v>
      </c>
      <c r="B8223" s="31" t="s">
        <v>757</v>
      </c>
      <c r="C8223" s="31" t="s">
        <v>1155</v>
      </c>
      <c r="D8223" s="30" t="s">
        <v>3663</v>
      </c>
      <c r="E8223" s="32">
        <v>46113.0</v>
      </c>
      <c r="F8223" s="32">
        <v>46171.0</v>
      </c>
      <c r="G8223" s="33"/>
    </row>
    <row r="8224" ht="15.75" customHeight="1">
      <c r="A8224" s="26" t="s">
        <v>11888</v>
      </c>
      <c r="B8224" s="27" t="s">
        <v>757</v>
      </c>
      <c r="C8224" s="27" t="s">
        <v>1153</v>
      </c>
      <c r="D8224" s="26" t="s">
        <v>3663</v>
      </c>
      <c r="E8224" s="28">
        <v>46113.0</v>
      </c>
      <c r="F8224" s="28">
        <v>46171.0</v>
      </c>
      <c r="G8224" s="29"/>
    </row>
    <row r="8225" ht="15.75" customHeight="1">
      <c r="A8225" s="30" t="s">
        <v>11889</v>
      </c>
      <c r="B8225" s="31" t="s">
        <v>757</v>
      </c>
      <c r="C8225" s="31" t="s">
        <v>1149</v>
      </c>
      <c r="D8225" s="30" t="s">
        <v>3663</v>
      </c>
      <c r="E8225" s="32">
        <v>46113.0</v>
      </c>
      <c r="F8225" s="32">
        <v>46171.0</v>
      </c>
      <c r="G8225" s="33"/>
    </row>
    <row r="8226" ht="15.75" customHeight="1">
      <c r="A8226" s="26" t="s">
        <v>11890</v>
      </c>
      <c r="B8226" s="27" t="s">
        <v>757</v>
      </c>
      <c r="C8226" s="27" t="s">
        <v>968</v>
      </c>
      <c r="D8226" s="26" t="s">
        <v>3663</v>
      </c>
      <c r="E8226" s="28">
        <v>46113.0</v>
      </c>
      <c r="F8226" s="28">
        <v>46171.0</v>
      </c>
      <c r="G8226" s="29"/>
    </row>
    <row r="8227" ht="15.75" customHeight="1">
      <c r="A8227" s="30" t="s">
        <v>11891</v>
      </c>
      <c r="B8227" s="31" t="s">
        <v>757</v>
      </c>
      <c r="C8227" s="31" t="s">
        <v>923</v>
      </c>
      <c r="D8227" s="30" t="s">
        <v>3663</v>
      </c>
      <c r="E8227" s="32">
        <v>46113.0</v>
      </c>
      <c r="F8227" s="32">
        <v>46171.0</v>
      </c>
      <c r="G8227" s="33"/>
    </row>
    <row r="8228" ht="15.75" customHeight="1">
      <c r="A8228" s="26" t="s">
        <v>11892</v>
      </c>
      <c r="B8228" s="27" t="s">
        <v>758</v>
      </c>
      <c r="C8228" s="27" t="s">
        <v>930</v>
      </c>
      <c r="D8228" s="26" t="s">
        <v>3663</v>
      </c>
      <c r="E8228" s="28">
        <v>46113.0</v>
      </c>
      <c r="F8228" s="28">
        <v>46171.0</v>
      </c>
      <c r="G8228" s="29"/>
    </row>
    <row r="8229" ht="15.75" customHeight="1">
      <c r="A8229" s="30" t="s">
        <v>11893</v>
      </c>
      <c r="B8229" s="31" t="s">
        <v>758</v>
      </c>
      <c r="C8229" s="31" t="s">
        <v>1354</v>
      </c>
      <c r="D8229" s="30" t="s">
        <v>3663</v>
      </c>
      <c r="E8229" s="32">
        <v>46113.0</v>
      </c>
      <c r="F8229" s="32">
        <v>46171.0</v>
      </c>
      <c r="G8229" s="33"/>
    </row>
    <row r="8230" ht="15.75" customHeight="1">
      <c r="A8230" s="26" t="s">
        <v>11894</v>
      </c>
      <c r="B8230" s="27" t="s">
        <v>758</v>
      </c>
      <c r="C8230" s="27" t="s">
        <v>1216</v>
      </c>
      <c r="D8230" s="26" t="s">
        <v>3663</v>
      </c>
      <c r="E8230" s="28">
        <v>46113.0</v>
      </c>
      <c r="F8230" s="28">
        <v>46171.0</v>
      </c>
      <c r="G8230" s="29"/>
    </row>
    <row r="8231" ht="15.75" customHeight="1">
      <c r="A8231" s="30" t="s">
        <v>11895</v>
      </c>
      <c r="B8231" s="31" t="s">
        <v>758</v>
      </c>
      <c r="C8231" s="31" t="s">
        <v>1218</v>
      </c>
      <c r="D8231" s="30" t="s">
        <v>3663</v>
      </c>
      <c r="E8231" s="32">
        <v>46113.0</v>
      </c>
      <c r="F8231" s="32">
        <v>46171.0</v>
      </c>
      <c r="G8231" s="33"/>
    </row>
    <row r="8232" ht="15.75" customHeight="1">
      <c r="A8232" s="26" t="s">
        <v>11896</v>
      </c>
      <c r="B8232" s="27" t="s">
        <v>758</v>
      </c>
      <c r="C8232" s="27" t="s">
        <v>1157</v>
      </c>
      <c r="D8232" s="26" t="s">
        <v>3663</v>
      </c>
      <c r="E8232" s="28">
        <v>46113.0</v>
      </c>
      <c r="F8232" s="28">
        <v>46171.0</v>
      </c>
      <c r="G8232" s="29"/>
    </row>
    <row r="8233" ht="15.75" customHeight="1">
      <c r="A8233" s="30" t="s">
        <v>11897</v>
      </c>
      <c r="B8233" s="31" t="s">
        <v>758</v>
      </c>
      <c r="C8233" s="31" t="s">
        <v>1155</v>
      </c>
      <c r="D8233" s="30" t="s">
        <v>3663</v>
      </c>
      <c r="E8233" s="32">
        <v>46113.0</v>
      </c>
      <c r="F8233" s="32">
        <v>46171.0</v>
      </c>
      <c r="G8233" s="33"/>
    </row>
    <row r="8234" ht="15.75" customHeight="1">
      <c r="A8234" s="26" t="s">
        <v>11898</v>
      </c>
      <c r="B8234" s="27" t="s">
        <v>758</v>
      </c>
      <c r="C8234" s="27" t="s">
        <v>1153</v>
      </c>
      <c r="D8234" s="26" t="s">
        <v>3663</v>
      </c>
      <c r="E8234" s="28">
        <v>46113.0</v>
      </c>
      <c r="F8234" s="28">
        <v>46171.0</v>
      </c>
      <c r="G8234" s="29"/>
    </row>
    <row r="8235" ht="15.75" customHeight="1">
      <c r="A8235" s="30" t="s">
        <v>11899</v>
      </c>
      <c r="B8235" s="31" t="s">
        <v>758</v>
      </c>
      <c r="C8235" s="31" t="s">
        <v>1149</v>
      </c>
      <c r="D8235" s="30" t="s">
        <v>3663</v>
      </c>
      <c r="E8235" s="32">
        <v>46113.0</v>
      </c>
      <c r="F8235" s="32">
        <v>46171.0</v>
      </c>
      <c r="G8235" s="33"/>
    </row>
    <row r="8236" ht="15.75" customHeight="1">
      <c r="A8236" s="26" t="s">
        <v>11900</v>
      </c>
      <c r="B8236" s="27" t="s">
        <v>758</v>
      </c>
      <c r="C8236" s="27" t="s">
        <v>1351</v>
      </c>
      <c r="D8236" s="26" t="s">
        <v>3663</v>
      </c>
      <c r="E8236" s="28">
        <v>46113.0</v>
      </c>
      <c r="F8236" s="28">
        <v>46171.0</v>
      </c>
      <c r="G8236" s="29"/>
    </row>
    <row r="8237" ht="15.75" customHeight="1">
      <c r="A8237" s="30" t="s">
        <v>11901</v>
      </c>
      <c r="B8237" s="31" t="s">
        <v>758</v>
      </c>
      <c r="C8237" s="31" t="s">
        <v>1349</v>
      </c>
      <c r="D8237" s="30" t="s">
        <v>3663</v>
      </c>
      <c r="E8237" s="32">
        <v>46113.0</v>
      </c>
      <c r="F8237" s="32">
        <v>46171.0</v>
      </c>
      <c r="G8237" s="33"/>
    </row>
    <row r="8238" ht="15.75" customHeight="1">
      <c r="A8238" s="26" t="s">
        <v>11902</v>
      </c>
      <c r="B8238" s="27" t="s">
        <v>758</v>
      </c>
      <c r="C8238" s="27" t="s">
        <v>3653</v>
      </c>
      <c r="D8238" s="26" t="s">
        <v>3663</v>
      </c>
      <c r="E8238" s="28">
        <v>46113.0</v>
      </c>
      <c r="F8238" s="28">
        <v>46171.0</v>
      </c>
      <c r="G8238" s="29"/>
    </row>
    <row r="8239" ht="15.75" customHeight="1">
      <c r="A8239" s="30" t="s">
        <v>11903</v>
      </c>
      <c r="B8239" s="31" t="s">
        <v>758</v>
      </c>
      <c r="C8239" s="31" t="s">
        <v>3652</v>
      </c>
      <c r="D8239" s="30" t="s">
        <v>3663</v>
      </c>
      <c r="E8239" s="32">
        <v>46113.0</v>
      </c>
      <c r="F8239" s="32">
        <v>46171.0</v>
      </c>
      <c r="G8239" s="33"/>
    </row>
    <row r="8240" ht="15.75" customHeight="1">
      <c r="A8240" s="26" t="s">
        <v>11904</v>
      </c>
      <c r="B8240" s="27" t="s">
        <v>758</v>
      </c>
      <c r="C8240" s="27" t="s">
        <v>968</v>
      </c>
      <c r="D8240" s="26" t="s">
        <v>3663</v>
      </c>
      <c r="E8240" s="28">
        <v>46113.0</v>
      </c>
      <c r="F8240" s="28">
        <v>46171.0</v>
      </c>
      <c r="G8240" s="29"/>
    </row>
    <row r="8241" ht="15.75" customHeight="1">
      <c r="A8241" s="30" t="s">
        <v>11905</v>
      </c>
      <c r="B8241" s="31" t="s">
        <v>758</v>
      </c>
      <c r="C8241" s="31" t="s">
        <v>923</v>
      </c>
      <c r="D8241" s="30" t="s">
        <v>3663</v>
      </c>
      <c r="E8241" s="32">
        <v>46113.0</v>
      </c>
      <c r="F8241" s="32">
        <v>46171.0</v>
      </c>
      <c r="G8241" s="33"/>
    </row>
    <row r="8242" ht="15.75" customHeight="1">
      <c r="A8242" s="26" t="s">
        <v>11906</v>
      </c>
      <c r="B8242" s="27" t="s">
        <v>759</v>
      </c>
      <c r="C8242" s="27" t="s">
        <v>926</v>
      </c>
      <c r="D8242" s="27" t="s">
        <v>3663</v>
      </c>
      <c r="E8242" s="28">
        <v>46113.0</v>
      </c>
      <c r="F8242" s="28">
        <v>46171.0</v>
      </c>
      <c r="G8242" s="29"/>
    </row>
    <row r="8243" ht="15.75" customHeight="1">
      <c r="A8243" s="30" t="s">
        <v>11907</v>
      </c>
      <c r="B8243" s="31" t="s">
        <v>759</v>
      </c>
      <c r="C8243" s="31" t="s">
        <v>1354</v>
      </c>
      <c r="D8243" s="30" t="s">
        <v>3663</v>
      </c>
      <c r="E8243" s="32">
        <v>46113.0</v>
      </c>
      <c r="F8243" s="32">
        <v>46171.0</v>
      </c>
      <c r="G8243" s="33"/>
    </row>
    <row r="8244" ht="15.75" customHeight="1">
      <c r="A8244" s="26" t="s">
        <v>11908</v>
      </c>
      <c r="B8244" s="27" t="s">
        <v>759</v>
      </c>
      <c r="C8244" s="27" t="s">
        <v>1172</v>
      </c>
      <c r="D8244" s="26" t="s">
        <v>3663</v>
      </c>
      <c r="E8244" s="28">
        <v>46113.0</v>
      </c>
      <c r="F8244" s="28">
        <v>46171.0</v>
      </c>
      <c r="G8244" s="29"/>
    </row>
    <row r="8245" ht="15.75" customHeight="1">
      <c r="A8245" s="30" t="s">
        <v>11909</v>
      </c>
      <c r="B8245" s="31" t="s">
        <v>759</v>
      </c>
      <c r="C8245" s="31" t="s">
        <v>1312</v>
      </c>
      <c r="D8245" s="30" t="s">
        <v>3663</v>
      </c>
      <c r="E8245" s="32">
        <v>46113.0</v>
      </c>
      <c r="F8245" s="32">
        <v>46171.0</v>
      </c>
      <c r="G8245" s="33"/>
    </row>
    <row r="8246" ht="15.75" customHeight="1">
      <c r="A8246" s="26" t="s">
        <v>11910</v>
      </c>
      <c r="B8246" s="27" t="s">
        <v>759</v>
      </c>
      <c r="C8246" s="27" t="s">
        <v>3656</v>
      </c>
      <c r="D8246" s="26" t="s">
        <v>3663</v>
      </c>
      <c r="E8246" s="28">
        <v>46113.0</v>
      </c>
      <c r="F8246" s="28">
        <v>46171.0</v>
      </c>
      <c r="G8246" s="29"/>
    </row>
    <row r="8247" ht="15.75" customHeight="1">
      <c r="A8247" s="30" t="s">
        <v>11911</v>
      </c>
      <c r="B8247" s="31" t="s">
        <v>759</v>
      </c>
      <c r="C8247" s="31" t="s">
        <v>3657</v>
      </c>
      <c r="D8247" s="30" t="s">
        <v>3663</v>
      </c>
      <c r="E8247" s="32">
        <v>46113.0</v>
      </c>
      <c r="F8247" s="32">
        <v>46171.0</v>
      </c>
      <c r="G8247" s="33"/>
    </row>
    <row r="8248" ht="15.75" customHeight="1">
      <c r="A8248" s="26" t="s">
        <v>11912</v>
      </c>
      <c r="B8248" s="27" t="s">
        <v>759</v>
      </c>
      <c r="C8248" s="27" t="s">
        <v>3648</v>
      </c>
      <c r="D8248" s="27" t="s">
        <v>3663</v>
      </c>
      <c r="E8248" s="28">
        <v>46113.0</v>
      </c>
      <c r="F8248" s="28">
        <v>46171.0</v>
      </c>
      <c r="G8248" s="29"/>
    </row>
    <row r="8249" ht="15.75" customHeight="1">
      <c r="A8249" s="30" t="s">
        <v>11913</v>
      </c>
      <c r="B8249" s="31" t="s">
        <v>759</v>
      </c>
      <c r="C8249" s="31" t="s">
        <v>3649</v>
      </c>
      <c r="D8249" s="31" t="s">
        <v>3663</v>
      </c>
      <c r="E8249" s="32">
        <v>46113.0</v>
      </c>
      <c r="F8249" s="32">
        <v>46171.0</v>
      </c>
      <c r="G8249" s="33"/>
    </row>
    <row r="8250" ht="15.75" customHeight="1">
      <c r="A8250" s="26" t="s">
        <v>11914</v>
      </c>
      <c r="B8250" s="27" t="s">
        <v>759</v>
      </c>
      <c r="C8250" s="27" t="s">
        <v>3650</v>
      </c>
      <c r="D8250" s="27" t="s">
        <v>3663</v>
      </c>
      <c r="E8250" s="28">
        <v>46113.0</v>
      </c>
      <c r="F8250" s="28">
        <v>46171.0</v>
      </c>
      <c r="G8250" s="29"/>
    </row>
    <row r="8251" ht="15.75" customHeight="1">
      <c r="A8251" s="30" t="s">
        <v>11915</v>
      </c>
      <c r="B8251" s="31" t="s">
        <v>759</v>
      </c>
      <c r="C8251" s="31" t="s">
        <v>1283</v>
      </c>
      <c r="D8251" s="31" t="s">
        <v>3663</v>
      </c>
      <c r="E8251" s="32">
        <v>46113.0</v>
      </c>
      <c r="F8251" s="32">
        <v>46171.0</v>
      </c>
      <c r="G8251" s="33"/>
    </row>
    <row r="8252" ht="15.75" customHeight="1">
      <c r="A8252" s="26" t="s">
        <v>11916</v>
      </c>
      <c r="B8252" s="27" t="s">
        <v>759</v>
      </c>
      <c r="C8252" s="27" t="s">
        <v>1351</v>
      </c>
      <c r="D8252" s="26" t="s">
        <v>3663</v>
      </c>
      <c r="E8252" s="28">
        <v>46113.0</v>
      </c>
      <c r="F8252" s="28">
        <v>46171.0</v>
      </c>
      <c r="G8252" s="29"/>
    </row>
    <row r="8253" ht="15.75" customHeight="1">
      <c r="A8253" s="30" t="s">
        <v>11917</v>
      </c>
      <c r="B8253" s="31" t="s">
        <v>759</v>
      </c>
      <c r="C8253" s="31" t="s">
        <v>1349</v>
      </c>
      <c r="D8253" s="30" t="s">
        <v>3663</v>
      </c>
      <c r="E8253" s="32">
        <v>46113.0</v>
      </c>
      <c r="F8253" s="32">
        <v>46171.0</v>
      </c>
      <c r="G8253" s="33"/>
    </row>
    <row r="8254" ht="15.75" customHeight="1">
      <c r="A8254" s="26" t="s">
        <v>11918</v>
      </c>
      <c r="B8254" s="27" t="s">
        <v>759</v>
      </c>
      <c r="C8254" s="27" t="s">
        <v>968</v>
      </c>
      <c r="D8254" s="26" t="s">
        <v>3663</v>
      </c>
      <c r="E8254" s="28">
        <v>46113.0</v>
      </c>
      <c r="F8254" s="28">
        <v>46171.0</v>
      </c>
      <c r="G8254" s="29"/>
    </row>
    <row r="8255" ht="15.75" customHeight="1">
      <c r="A8255" s="30" t="s">
        <v>11919</v>
      </c>
      <c r="B8255" s="31" t="s">
        <v>759</v>
      </c>
      <c r="C8255" s="31" t="s">
        <v>923</v>
      </c>
      <c r="D8255" s="31" t="s">
        <v>3663</v>
      </c>
      <c r="E8255" s="32">
        <v>46113.0</v>
      </c>
      <c r="F8255" s="32">
        <v>46171.0</v>
      </c>
      <c r="G8255" s="33"/>
    </row>
    <row r="8256" ht="15.75" customHeight="1">
      <c r="A8256" s="26" t="s">
        <v>11920</v>
      </c>
      <c r="B8256" s="27" t="s">
        <v>760</v>
      </c>
      <c r="C8256" s="27" t="s">
        <v>1240</v>
      </c>
      <c r="D8256" s="27" t="s">
        <v>3663</v>
      </c>
      <c r="E8256" s="28">
        <v>46113.0</v>
      </c>
      <c r="F8256" s="28">
        <v>46171.0</v>
      </c>
      <c r="G8256" s="29"/>
    </row>
    <row r="8257" ht="15.75" customHeight="1">
      <c r="A8257" s="30" t="s">
        <v>11921</v>
      </c>
      <c r="B8257" s="31" t="s">
        <v>760</v>
      </c>
      <c r="C8257" s="31" t="s">
        <v>1242</v>
      </c>
      <c r="D8257" s="31" t="s">
        <v>3663</v>
      </c>
      <c r="E8257" s="32">
        <v>46113.0</v>
      </c>
      <c r="F8257" s="32">
        <v>46171.0</v>
      </c>
      <c r="G8257" s="33"/>
    </row>
    <row r="8258" ht="15.75" customHeight="1">
      <c r="A8258" s="26" t="s">
        <v>11922</v>
      </c>
      <c r="B8258" s="27" t="s">
        <v>760</v>
      </c>
      <c r="C8258" s="27" t="s">
        <v>1244</v>
      </c>
      <c r="D8258" s="27" t="s">
        <v>3663</v>
      </c>
      <c r="E8258" s="28">
        <v>46113.0</v>
      </c>
      <c r="F8258" s="28">
        <v>46171.0</v>
      </c>
      <c r="G8258" s="29"/>
    </row>
    <row r="8259" ht="15.75" customHeight="1">
      <c r="A8259" s="30" t="s">
        <v>11923</v>
      </c>
      <c r="B8259" s="31" t="s">
        <v>760</v>
      </c>
      <c r="C8259" s="31" t="s">
        <v>1246</v>
      </c>
      <c r="D8259" s="31" t="s">
        <v>3663</v>
      </c>
      <c r="E8259" s="32">
        <v>46113.0</v>
      </c>
      <c r="F8259" s="32">
        <v>46171.0</v>
      </c>
      <c r="G8259" s="33"/>
    </row>
    <row r="8260" ht="15.75" customHeight="1">
      <c r="A8260" s="26" t="s">
        <v>11924</v>
      </c>
      <c r="B8260" s="27" t="s">
        <v>760</v>
      </c>
      <c r="C8260" s="27" t="s">
        <v>934</v>
      </c>
      <c r="D8260" s="27" t="s">
        <v>3663</v>
      </c>
      <c r="E8260" s="28">
        <v>46113.0</v>
      </c>
      <c r="F8260" s="28">
        <v>46171.0</v>
      </c>
      <c r="G8260" s="29"/>
    </row>
    <row r="8261" ht="15.75" customHeight="1">
      <c r="A8261" s="30" t="s">
        <v>11925</v>
      </c>
      <c r="B8261" s="31" t="s">
        <v>760</v>
      </c>
      <c r="C8261" s="31" t="s">
        <v>1354</v>
      </c>
      <c r="D8261" s="30" t="s">
        <v>3663</v>
      </c>
      <c r="E8261" s="32">
        <v>46113.0</v>
      </c>
      <c r="F8261" s="32">
        <v>46171.0</v>
      </c>
      <c r="G8261" s="33"/>
    </row>
    <row r="8262" ht="15.75" customHeight="1">
      <c r="A8262" s="26" t="s">
        <v>11926</v>
      </c>
      <c r="B8262" s="27" t="s">
        <v>760</v>
      </c>
      <c r="C8262" s="27" t="s">
        <v>1208</v>
      </c>
      <c r="D8262" s="26" t="s">
        <v>3663</v>
      </c>
      <c r="E8262" s="28">
        <v>46113.0</v>
      </c>
      <c r="F8262" s="28">
        <v>46171.0</v>
      </c>
      <c r="G8262" s="29"/>
    </row>
    <row r="8263" ht="15.75" customHeight="1">
      <c r="A8263" s="30" t="s">
        <v>11927</v>
      </c>
      <c r="B8263" s="31" t="s">
        <v>760</v>
      </c>
      <c r="C8263" s="31" t="s">
        <v>3656</v>
      </c>
      <c r="D8263" s="30" t="s">
        <v>3663</v>
      </c>
      <c r="E8263" s="32">
        <v>46113.0</v>
      </c>
      <c r="F8263" s="32">
        <v>46171.0</v>
      </c>
      <c r="G8263" s="33"/>
    </row>
    <row r="8264" ht="15.75" customHeight="1">
      <c r="A8264" s="26" t="s">
        <v>11928</v>
      </c>
      <c r="B8264" s="27" t="s">
        <v>760</v>
      </c>
      <c r="C8264" s="27" t="s">
        <v>3657</v>
      </c>
      <c r="D8264" s="26" t="s">
        <v>3663</v>
      </c>
      <c r="E8264" s="28">
        <v>46113.0</v>
      </c>
      <c r="F8264" s="28">
        <v>46171.0</v>
      </c>
      <c r="G8264" s="29"/>
    </row>
    <row r="8265" ht="15.75" customHeight="1">
      <c r="A8265" s="30" t="s">
        <v>11929</v>
      </c>
      <c r="B8265" s="31" t="s">
        <v>760</v>
      </c>
      <c r="C8265" s="31" t="s">
        <v>3647</v>
      </c>
      <c r="D8265" s="30" t="s">
        <v>3663</v>
      </c>
      <c r="E8265" s="32">
        <v>46113.0</v>
      </c>
      <c r="F8265" s="32">
        <v>46171.0</v>
      </c>
      <c r="G8265" s="33"/>
    </row>
    <row r="8266" ht="15.75" customHeight="1">
      <c r="A8266" s="26" t="s">
        <v>11930</v>
      </c>
      <c r="B8266" s="27" t="s">
        <v>760</v>
      </c>
      <c r="C8266" s="27" t="s">
        <v>952</v>
      </c>
      <c r="D8266" s="26" t="s">
        <v>3663</v>
      </c>
      <c r="E8266" s="28">
        <v>46113.0</v>
      </c>
      <c r="F8266" s="28">
        <v>46171.0</v>
      </c>
      <c r="G8266" s="29"/>
    </row>
    <row r="8267" ht="15.75" customHeight="1">
      <c r="A8267" s="30" t="s">
        <v>11931</v>
      </c>
      <c r="B8267" s="31" t="s">
        <v>760</v>
      </c>
      <c r="C8267" s="31" t="s">
        <v>1218</v>
      </c>
      <c r="D8267" s="30" t="s">
        <v>3663</v>
      </c>
      <c r="E8267" s="32">
        <v>46113.0</v>
      </c>
      <c r="F8267" s="32">
        <v>46171.0</v>
      </c>
      <c r="G8267" s="33"/>
    </row>
    <row r="8268" ht="15.75" customHeight="1">
      <c r="A8268" s="26" t="s">
        <v>11932</v>
      </c>
      <c r="B8268" s="27" t="s">
        <v>760</v>
      </c>
      <c r="C8268" s="27" t="s">
        <v>968</v>
      </c>
      <c r="D8268" s="26" t="s">
        <v>3663</v>
      </c>
      <c r="E8268" s="28">
        <v>46113.0</v>
      </c>
      <c r="F8268" s="28">
        <v>46171.0</v>
      </c>
      <c r="G8268" s="29"/>
    </row>
    <row r="8269" ht="15.75" customHeight="1">
      <c r="A8269" s="30" t="s">
        <v>11933</v>
      </c>
      <c r="B8269" s="31" t="s">
        <v>760</v>
      </c>
      <c r="C8269" s="31" t="s">
        <v>923</v>
      </c>
      <c r="D8269" s="31" t="s">
        <v>3663</v>
      </c>
      <c r="E8269" s="32">
        <v>46113.0</v>
      </c>
      <c r="F8269" s="32">
        <v>46171.0</v>
      </c>
      <c r="G8269" s="33"/>
    </row>
    <row r="8270" ht="15.75" customHeight="1">
      <c r="A8270" s="26" t="s">
        <v>11934</v>
      </c>
      <c r="B8270" s="27" t="s">
        <v>761</v>
      </c>
      <c r="C8270" s="27" t="s">
        <v>1240</v>
      </c>
      <c r="D8270" s="26" t="s">
        <v>3663</v>
      </c>
      <c r="E8270" s="28">
        <v>46113.0</v>
      </c>
      <c r="F8270" s="28">
        <v>46171.0</v>
      </c>
      <c r="G8270" s="29"/>
    </row>
    <row r="8271" ht="15.75" customHeight="1">
      <c r="A8271" s="30" t="s">
        <v>11935</v>
      </c>
      <c r="B8271" s="31" t="s">
        <v>761</v>
      </c>
      <c r="C8271" s="31" t="s">
        <v>1242</v>
      </c>
      <c r="D8271" s="30" t="s">
        <v>3663</v>
      </c>
      <c r="E8271" s="32">
        <v>46113.0</v>
      </c>
      <c r="F8271" s="32">
        <v>46171.0</v>
      </c>
      <c r="G8271" s="33"/>
    </row>
    <row r="8272" ht="15.75" customHeight="1">
      <c r="A8272" s="26" t="s">
        <v>11936</v>
      </c>
      <c r="B8272" s="27" t="s">
        <v>761</v>
      </c>
      <c r="C8272" s="27" t="s">
        <v>1244</v>
      </c>
      <c r="D8272" s="26" t="s">
        <v>3663</v>
      </c>
      <c r="E8272" s="28">
        <v>46113.0</v>
      </c>
      <c r="F8272" s="28">
        <v>46171.0</v>
      </c>
      <c r="G8272" s="29"/>
    </row>
    <row r="8273" ht="15.75" customHeight="1">
      <c r="A8273" s="30" t="s">
        <v>11937</v>
      </c>
      <c r="B8273" s="31" t="s">
        <v>761</v>
      </c>
      <c r="C8273" s="31" t="s">
        <v>1246</v>
      </c>
      <c r="D8273" s="30" t="s">
        <v>3663</v>
      </c>
      <c r="E8273" s="32">
        <v>46113.0</v>
      </c>
      <c r="F8273" s="32">
        <v>46171.0</v>
      </c>
      <c r="G8273" s="33"/>
    </row>
    <row r="8274" ht="15.75" customHeight="1">
      <c r="A8274" s="26" t="s">
        <v>11938</v>
      </c>
      <c r="B8274" s="27" t="s">
        <v>761</v>
      </c>
      <c r="C8274" s="27" t="s">
        <v>928</v>
      </c>
      <c r="D8274" s="26" t="s">
        <v>3663</v>
      </c>
      <c r="E8274" s="28">
        <v>46113.0</v>
      </c>
      <c r="F8274" s="28">
        <v>46171.0</v>
      </c>
      <c r="G8274" s="29"/>
    </row>
    <row r="8275" ht="15.75" customHeight="1">
      <c r="A8275" s="30" t="s">
        <v>11939</v>
      </c>
      <c r="B8275" s="31" t="s">
        <v>761</v>
      </c>
      <c r="C8275" s="31" t="s">
        <v>3640</v>
      </c>
      <c r="D8275" s="30" t="s">
        <v>3663</v>
      </c>
      <c r="E8275" s="32">
        <v>46113.0</v>
      </c>
      <c r="F8275" s="32">
        <v>46171.0</v>
      </c>
      <c r="G8275" s="33"/>
    </row>
    <row r="8276" ht="15.75" customHeight="1">
      <c r="A8276" s="26" t="s">
        <v>11940</v>
      </c>
      <c r="B8276" s="27" t="s">
        <v>761</v>
      </c>
      <c r="C8276" s="27" t="s">
        <v>1354</v>
      </c>
      <c r="D8276" s="26" t="s">
        <v>3663</v>
      </c>
      <c r="E8276" s="28">
        <v>46113.0</v>
      </c>
      <c r="F8276" s="28">
        <v>46171.0</v>
      </c>
      <c r="G8276" s="29"/>
    </row>
    <row r="8277" ht="15.75" customHeight="1">
      <c r="A8277" s="30" t="s">
        <v>11941</v>
      </c>
      <c r="B8277" s="31" t="s">
        <v>761</v>
      </c>
      <c r="C8277" s="31" t="s">
        <v>3656</v>
      </c>
      <c r="D8277" s="30" t="s">
        <v>3663</v>
      </c>
      <c r="E8277" s="32">
        <v>46113.0</v>
      </c>
      <c r="F8277" s="32">
        <v>46171.0</v>
      </c>
      <c r="G8277" s="33"/>
    </row>
    <row r="8278" ht="15.75" customHeight="1">
      <c r="A8278" s="26" t="s">
        <v>11942</v>
      </c>
      <c r="B8278" s="27" t="s">
        <v>761</v>
      </c>
      <c r="C8278" s="27" t="s">
        <v>3657</v>
      </c>
      <c r="D8278" s="26" t="s">
        <v>3663</v>
      </c>
      <c r="E8278" s="28">
        <v>46113.0</v>
      </c>
      <c r="F8278" s="28">
        <v>46171.0</v>
      </c>
      <c r="G8278" s="29"/>
    </row>
    <row r="8279" ht="15.75" customHeight="1">
      <c r="A8279" s="30" t="s">
        <v>11943</v>
      </c>
      <c r="B8279" s="31" t="s">
        <v>761</v>
      </c>
      <c r="C8279" s="31" t="s">
        <v>1351</v>
      </c>
      <c r="D8279" s="30" t="s">
        <v>3663</v>
      </c>
      <c r="E8279" s="32">
        <v>46113.0</v>
      </c>
      <c r="F8279" s="32">
        <v>46171.0</v>
      </c>
      <c r="G8279" s="33"/>
    </row>
    <row r="8280" ht="15.75" customHeight="1">
      <c r="A8280" s="26" t="s">
        <v>11944</v>
      </c>
      <c r="B8280" s="27" t="s">
        <v>761</v>
      </c>
      <c r="C8280" s="27" t="s">
        <v>1349</v>
      </c>
      <c r="D8280" s="26" t="s">
        <v>3663</v>
      </c>
      <c r="E8280" s="28">
        <v>46113.0</v>
      </c>
      <c r="F8280" s="28">
        <v>46171.0</v>
      </c>
      <c r="G8280" s="29"/>
    </row>
    <row r="8281" ht="15.75" customHeight="1">
      <c r="A8281" s="30" t="s">
        <v>11945</v>
      </c>
      <c r="B8281" s="31" t="s">
        <v>761</v>
      </c>
      <c r="C8281" s="31" t="s">
        <v>968</v>
      </c>
      <c r="D8281" s="30" t="s">
        <v>3663</v>
      </c>
      <c r="E8281" s="32">
        <v>46113.0</v>
      </c>
      <c r="F8281" s="32">
        <v>46171.0</v>
      </c>
      <c r="G8281" s="33"/>
    </row>
    <row r="8282" ht="15.75" customHeight="1">
      <c r="A8282" s="26" t="s">
        <v>11946</v>
      </c>
      <c r="B8282" s="27" t="s">
        <v>761</v>
      </c>
      <c r="C8282" s="27" t="s">
        <v>923</v>
      </c>
      <c r="D8282" s="26" t="s">
        <v>3663</v>
      </c>
      <c r="E8282" s="28">
        <v>46113.0</v>
      </c>
      <c r="F8282" s="28">
        <v>46171.0</v>
      </c>
      <c r="G8282" s="29"/>
    </row>
    <row r="8283" ht="15.75" customHeight="1">
      <c r="A8283" s="30" t="s">
        <v>11947</v>
      </c>
      <c r="B8283" s="31" t="s">
        <v>761</v>
      </c>
      <c r="C8283" s="31" t="s">
        <v>955</v>
      </c>
      <c r="D8283" s="30" t="s">
        <v>3663</v>
      </c>
      <c r="E8283" s="32">
        <v>46113.0</v>
      </c>
      <c r="F8283" s="32">
        <v>46171.0</v>
      </c>
      <c r="G8283" s="33"/>
    </row>
    <row r="8284" ht="15.75" customHeight="1">
      <c r="A8284" s="26" t="s">
        <v>11948</v>
      </c>
      <c r="B8284" s="27" t="s">
        <v>1273</v>
      </c>
      <c r="C8284" s="27" t="s">
        <v>3654</v>
      </c>
      <c r="D8284" s="26" t="s">
        <v>3663</v>
      </c>
      <c r="E8284" s="28">
        <v>46113.0</v>
      </c>
      <c r="F8284" s="28">
        <v>46171.0</v>
      </c>
      <c r="G8284" s="29"/>
    </row>
    <row r="8285" ht="15.75" customHeight="1">
      <c r="A8285" s="30" t="s">
        <v>11949</v>
      </c>
      <c r="B8285" s="31" t="s">
        <v>1273</v>
      </c>
      <c r="C8285" s="31" t="s">
        <v>3655</v>
      </c>
      <c r="D8285" s="30" t="s">
        <v>3663</v>
      </c>
      <c r="E8285" s="32">
        <v>46113.0</v>
      </c>
      <c r="F8285" s="32">
        <v>46171.0</v>
      </c>
      <c r="G8285" s="33"/>
    </row>
    <row r="8286" ht="15.75" customHeight="1">
      <c r="A8286" s="26" t="s">
        <v>11950</v>
      </c>
      <c r="B8286" s="27" t="s">
        <v>1273</v>
      </c>
      <c r="C8286" s="27" t="s">
        <v>926</v>
      </c>
      <c r="D8286" s="26" t="s">
        <v>3663</v>
      </c>
      <c r="E8286" s="28">
        <v>46113.0</v>
      </c>
      <c r="F8286" s="28">
        <v>46171.0</v>
      </c>
      <c r="G8286" s="29"/>
    </row>
    <row r="8287" ht="15.75" customHeight="1">
      <c r="A8287" s="30" t="s">
        <v>11951</v>
      </c>
      <c r="B8287" s="31" t="s">
        <v>1273</v>
      </c>
      <c r="C8287" s="31" t="s">
        <v>1354</v>
      </c>
      <c r="D8287" s="30" t="s">
        <v>3663</v>
      </c>
      <c r="E8287" s="32">
        <v>46113.0</v>
      </c>
      <c r="F8287" s="32">
        <v>46171.0</v>
      </c>
      <c r="G8287" s="33"/>
    </row>
    <row r="8288" ht="15.75" customHeight="1">
      <c r="A8288" s="26" t="s">
        <v>11952</v>
      </c>
      <c r="B8288" s="27" t="s">
        <v>1273</v>
      </c>
      <c r="C8288" s="27" t="s">
        <v>1172</v>
      </c>
      <c r="D8288" s="26" t="s">
        <v>3663</v>
      </c>
      <c r="E8288" s="28">
        <v>46113.0</v>
      </c>
      <c r="F8288" s="28">
        <v>46171.0</v>
      </c>
      <c r="G8288" s="29"/>
    </row>
    <row r="8289" ht="15.75" customHeight="1">
      <c r="A8289" s="30" t="s">
        <v>11953</v>
      </c>
      <c r="B8289" s="31" t="s">
        <v>1273</v>
      </c>
      <c r="C8289" s="31" t="s">
        <v>1277</v>
      </c>
      <c r="D8289" s="30" t="s">
        <v>3663</v>
      </c>
      <c r="E8289" s="32">
        <v>46113.0</v>
      </c>
      <c r="F8289" s="32">
        <v>46171.0</v>
      </c>
      <c r="G8289" s="33"/>
    </row>
    <row r="8290" ht="15.75" customHeight="1">
      <c r="A8290" s="26" t="s">
        <v>11954</v>
      </c>
      <c r="B8290" s="27" t="s">
        <v>1273</v>
      </c>
      <c r="C8290" s="27" t="s">
        <v>1279</v>
      </c>
      <c r="D8290" s="26" t="s">
        <v>3663</v>
      </c>
      <c r="E8290" s="28">
        <v>46113.0</v>
      </c>
      <c r="F8290" s="28">
        <v>46171.0</v>
      </c>
      <c r="G8290" s="29"/>
    </row>
    <row r="8291" ht="15.75" customHeight="1">
      <c r="A8291" s="30" t="s">
        <v>11955</v>
      </c>
      <c r="B8291" s="31" t="s">
        <v>1273</v>
      </c>
      <c r="C8291" s="31" t="s">
        <v>1283</v>
      </c>
      <c r="D8291" s="30" t="s">
        <v>3663</v>
      </c>
      <c r="E8291" s="32">
        <v>46113.0</v>
      </c>
      <c r="F8291" s="32">
        <v>46171.0</v>
      </c>
      <c r="G8291" s="33"/>
    </row>
    <row r="8292" ht="15.75" customHeight="1">
      <c r="A8292" s="26" t="s">
        <v>11956</v>
      </c>
      <c r="B8292" s="27" t="s">
        <v>1273</v>
      </c>
      <c r="C8292" s="27" t="s">
        <v>1281</v>
      </c>
      <c r="D8292" s="26" t="s">
        <v>3663</v>
      </c>
      <c r="E8292" s="28">
        <v>46113.0</v>
      </c>
      <c r="F8292" s="28">
        <v>46171.0</v>
      </c>
      <c r="G8292" s="29"/>
    </row>
    <row r="8293" ht="15.75" customHeight="1">
      <c r="A8293" s="30" t="s">
        <v>11957</v>
      </c>
      <c r="B8293" s="31" t="s">
        <v>1273</v>
      </c>
      <c r="C8293" s="31" t="s">
        <v>1351</v>
      </c>
      <c r="D8293" s="30" t="s">
        <v>3663</v>
      </c>
      <c r="E8293" s="32">
        <v>46113.0</v>
      </c>
      <c r="F8293" s="32">
        <v>46171.0</v>
      </c>
      <c r="G8293" s="33"/>
    </row>
    <row r="8294" ht="15.75" customHeight="1">
      <c r="A8294" s="26" t="s">
        <v>11958</v>
      </c>
      <c r="B8294" s="27" t="s">
        <v>1273</v>
      </c>
      <c r="C8294" s="27" t="s">
        <v>1349</v>
      </c>
      <c r="D8294" s="26" t="s">
        <v>3663</v>
      </c>
      <c r="E8294" s="28">
        <v>46113.0</v>
      </c>
      <c r="F8294" s="28">
        <v>46171.0</v>
      </c>
      <c r="G8294" s="29"/>
    </row>
    <row r="8295" ht="15.75" customHeight="1">
      <c r="A8295" s="30" t="s">
        <v>11959</v>
      </c>
      <c r="B8295" s="31" t="s">
        <v>1273</v>
      </c>
      <c r="C8295" s="31" t="s">
        <v>968</v>
      </c>
      <c r="D8295" s="30" t="s">
        <v>3663</v>
      </c>
      <c r="E8295" s="32">
        <v>46113.0</v>
      </c>
      <c r="F8295" s="32">
        <v>46171.0</v>
      </c>
      <c r="G8295" s="33"/>
    </row>
    <row r="8296" ht="15.75" customHeight="1">
      <c r="A8296" s="26" t="s">
        <v>11960</v>
      </c>
      <c r="B8296" s="27" t="s">
        <v>1273</v>
      </c>
      <c r="C8296" s="27" t="s">
        <v>923</v>
      </c>
      <c r="D8296" s="26" t="s">
        <v>3663</v>
      </c>
      <c r="E8296" s="28">
        <v>46113.0</v>
      </c>
      <c r="F8296" s="28">
        <v>46171.0</v>
      </c>
      <c r="G8296" s="29"/>
    </row>
    <row r="8297" ht="15.75" customHeight="1">
      <c r="A8297" s="30" t="s">
        <v>11961</v>
      </c>
      <c r="B8297" s="31" t="s">
        <v>1273</v>
      </c>
      <c r="C8297" s="31" t="s">
        <v>955</v>
      </c>
      <c r="D8297" s="30" t="s">
        <v>3663</v>
      </c>
      <c r="E8297" s="32">
        <v>46113.0</v>
      </c>
      <c r="F8297" s="32">
        <v>46171.0</v>
      </c>
      <c r="G8297" s="33"/>
    </row>
    <row r="8298" ht="15.75" customHeight="1">
      <c r="A8298" s="26" t="s">
        <v>11962</v>
      </c>
      <c r="B8298" s="27" t="s">
        <v>762</v>
      </c>
      <c r="C8298" s="27" t="s">
        <v>930</v>
      </c>
      <c r="D8298" s="26" t="s">
        <v>3663</v>
      </c>
      <c r="E8298" s="28">
        <v>46113.0</v>
      </c>
      <c r="F8298" s="28">
        <v>46171.0</v>
      </c>
      <c r="G8298" s="29"/>
    </row>
    <row r="8299" ht="15.75" customHeight="1">
      <c r="A8299" s="30" t="s">
        <v>11963</v>
      </c>
      <c r="B8299" s="31" t="s">
        <v>762</v>
      </c>
      <c r="C8299" s="31" t="s">
        <v>1354</v>
      </c>
      <c r="D8299" s="30" t="s">
        <v>3663</v>
      </c>
      <c r="E8299" s="32">
        <v>46113.0</v>
      </c>
      <c r="F8299" s="32">
        <v>46171.0</v>
      </c>
      <c r="G8299" s="33"/>
    </row>
    <row r="8300" ht="15.75" customHeight="1">
      <c r="A8300" s="26" t="s">
        <v>11964</v>
      </c>
      <c r="B8300" s="27" t="s">
        <v>762</v>
      </c>
      <c r="C8300" s="27" t="s">
        <v>3641</v>
      </c>
      <c r="D8300" s="26" t="s">
        <v>3663</v>
      </c>
      <c r="E8300" s="28">
        <v>46113.0</v>
      </c>
      <c r="F8300" s="28">
        <v>46171.0</v>
      </c>
      <c r="G8300" s="29"/>
    </row>
    <row r="8301" ht="15.75" customHeight="1">
      <c r="A8301" s="30" t="s">
        <v>11965</v>
      </c>
      <c r="B8301" s="31" t="s">
        <v>762</v>
      </c>
      <c r="C8301" s="31" t="s">
        <v>1304</v>
      </c>
      <c r="D8301" s="30" t="s">
        <v>3663</v>
      </c>
      <c r="E8301" s="32">
        <v>46113.0</v>
      </c>
      <c r="F8301" s="32">
        <v>46171.0</v>
      </c>
      <c r="G8301" s="33"/>
    </row>
    <row r="8302" ht="15.75" customHeight="1">
      <c r="A8302" s="26" t="s">
        <v>11966</v>
      </c>
      <c r="B8302" s="27" t="s">
        <v>762</v>
      </c>
      <c r="C8302" s="27" t="s">
        <v>3642</v>
      </c>
      <c r="D8302" s="26" t="s">
        <v>3663</v>
      </c>
      <c r="E8302" s="28">
        <v>46113.0</v>
      </c>
      <c r="F8302" s="28">
        <v>46171.0</v>
      </c>
      <c r="G8302" s="29"/>
    </row>
    <row r="8303" ht="15.75" customHeight="1">
      <c r="A8303" s="30" t="s">
        <v>11967</v>
      </c>
      <c r="B8303" s="31" t="s">
        <v>762</v>
      </c>
      <c r="C8303" s="31" t="s">
        <v>1308</v>
      </c>
      <c r="D8303" s="30" t="s">
        <v>3663</v>
      </c>
      <c r="E8303" s="32">
        <v>46113.0</v>
      </c>
      <c r="F8303" s="32">
        <v>46171.0</v>
      </c>
      <c r="G8303" s="33"/>
    </row>
    <row r="8304" ht="15.75" customHeight="1">
      <c r="A8304" s="26" t="s">
        <v>11968</v>
      </c>
      <c r="B8304" s="27" t="s">
        <v>762</v>
      </c>
      <c r="C8304" s="27" t="s">
        <v>3656</v>
      </c>
      <c r="D8304" s="26" t="s">
        <v>3663</v>
      </c>
      <c r="E8304" s="28">
        <v>46113.0</v>
      </c>
      <c r="F8304" s="28">
        <v>46171.0</v>
      </c>
      <c r="G8304" s="29"/>
    </row>
    <row r="8305" ht="15.75" customHeight="1">
      <c r="A8305" s="30" t="s">
        <v>11969</v>
      </c>
      <c r="B8305" s="31" t="s">
        <v>762</v>
      </c>
      <c r="C8305" s="31" t="s">
        <v>3657</v>
      </c>
      <c r="D8305" s="30" t="s">
        <v>3663</v>
      </c>
      <c r="E8305" s="32">
        <v>46113.0</v>
      </c>
      <c r="F8305" s="32">
        <v>46171.0</v>
      </c>
      <c r="G8305" s="33"/>
    </row>
    <row r="8306" ht="15.75" customHeight="1">
      <c r="A8306" s="26" t="s">
        <v>11970</v>
      </c>
      <c r="B8306" s="27" t="s">
        <v>762</v>
      </c>
      <c r="C8306" s="27" t="s">
        <v>3647</v>
      </c>
      <c r="D8306" s="26" t="s">
        <v>3663</v>
      </c>
      <c r="E8306" s="28">
        <v>46113.0</v>
      </c>
      <c r="F8306" s="28">
        <v>46171.0</v>
      </c>
      <c r="G8306" s="29"/>
    </row>
    <row r="8307" ht="15.75" customHeight="1">
      <c r="A8307" s="30" t="s">
        <v>11971</v>
      </c>
      <c r="B8307" s="31" t="s">
        <v>762</v>
      </c>
      <c r="C8307" s="31" t="s">
        <v>952</v>
      </c>
      <c r="D8307" s="30" t="s">
        <v>3663</v>
      </c>
      <c r="E8307" s="32">
        <v>46113.0</v>
      </c>
      <c r="F8307" s="32">
        <v>46171.0</v>
      </c>
      <c r="G8307" s="33"/>
    </row>
    <row r="8308" ht="15.75" customHeight="1">
      <c r="A8308" s="26" t="s">
        <v>11972</v>
      </c>
      <c r="B8308" s="27" t="s">
        <v>762</v>
      </c>
      <c r="C8308" s="27" t="s">
        <v>1218</v>
      </c>
      <c r="D8308" s="26" t="s">
        <v>3663</v>
      </c>
      <c r="E8308" s="28">
        <v>46113.0</v>
      </c>
      <c r="F8308" s="28">
        <v>46171.0</v>
      </c>
      <c r="G8308" s="29"/>
    </row>
    <row r="8309" ht="15.75" customHeight="1">
      <c r="A8309" s="30" t="s">
        <v>11973</v>
      </c>
      <c r="B8309" s="31" t="s">
        <v>762</v>
      </c>
      <c r="C8309" s="31" t="s">
        <v>968</v>
      </c>
      <c r="D8309" s="30" t="s">
        <v>3663</v>
      </c>
      <c r="E8309" s="32">
        <v>46113.0</v>
      </c>
      <c r="F8309" s="32">
        <v>46171.0</v>
      </c>
      <c r="G8309" s="33"/>
    </row>
    <row r="8310" ht="15.75" customHeight="1">
      <c r="A8310" s="26" t="s">
        <v>11974</v>
      </c>
      <c r="B8310" s="27" t="s">
        <v>762</v>
      </c>
      <c r="C8310" s="27" t="s">
        <v>923</v>
      </c>
      <c r="D8310" s="26" t="s">
        <v>3663</v>
      </c>
      <c r="E8310" s="28">
        <v>46113.0</v>
      </c>
      <c r="F8310" s="28">
        <v>46171.0</v>
      </c>
      <c r="G8310" s="29"/>
    </row>
    <row r="8311" ht="15.75" customHeight="1">
      <c r="A8311" s="30" t="s">
        <v>11975</v>
      </c>
      <c r="B8311" s="31" t="s">
        <v>762</v>
      </c>
      <c r="C8311" s="31" t="s">
        <v>955</v>
      </c>
      <c r="D8311" s="30" t="s">
        <v>3663</v>
      </c>
      <c r="E8311" s="32">
        <v>46113.0</v>
      </c>
      <c r="F8311" s="32">
        <v>46171.0</v>
      </c>
      <c r="G8311" s="33"/>
    </row>
    <row r="8312" ht="15.75" customHeight="1">
      <c r="A8312" s="26" t="s">
        <v>11976</v>
      </c>
      <c r="B8312" s="27" t="s">
        <v>763</v>
      </c>
      <c r="C8312" s="27" t="s">
        <v>3654</v>
      </c>
      <c r="D8312" s="26" t="s">
        <v>3663</v>
      </c>
      <c r="E8312" s="28">
        <v>46113.0</v>
      </c>
      <c r="F8312" s="28">
        <v>46171.0</v>
      </c>
      <c r="G8312" s="29"/>
    </row>
    <row r="8313" ht="15.75" customHeight="1">
      <c r="A8313" s="30" t="s">
        <v>11977</v>
      </c>
      <c r="B8313" s="31" t="s">
        <v>763</v>
      </c>
      <c r="C8313" s="31" t="s">
        <v>3655</v>
      </c>
      <c r="D8313" s="30" t="s">
        <v>3663</v>
      </c>
      <c r="E8313" s="32">
        <v>46113.0</v>
      </c>
      <c r="F8313" s="32">
        <v>46171.0</v>
      </c>
      <c r="G8313" s="33"/>
    </row>
    <row r="8314" ht="15.75" customHeight="1">
      <c r="A8314" s="26" t="s">
        <v>11978</v>
      </c>
      <c r="B8314" s="27" t="s">
        <v>763</v>
      </c>
      <c r="C8314" s="27" t="s">
        <v>926</v>
      </c>
      <c r="D8314" s="27" t="s">
        <v>3663</v>
      </c>
      <c r="E8314" s="28">
        <v>46113.0</v>
      </c>
      <c r="F8314" s="28">
        <v>46171.0</v>
      </c>
      <c r="G8314" s="29"/>
    </row>
    <row r="8315" ht="15.75" customHeight="1">
      <c r="A8315" s="30" t="s">
        <v>11979</v>
      </c>
      <c r="B8315" s="31" t="s">
        <v>763</v>
      </c>
      <c r="C8315" s="31" t="s">
        <v>1354</v>
      </c>
      <c r="D8315" s="30" t="s">
        <v>3663</v>
      </c>
      <c r="E8315" s="32">
        <v>46113.0</v>
      </c>
      <c r="F8315" s="32">
        <v>46171.0</v>
      </c>
      <c r="G8315" s="33"/>
    </row>
    <row r="8316" ht="15.75" customHeight="1">
      <c r="A8316" s="26" t="s">
        <v>11980</v>
      </c>
      <c r="B8316" s="27" t="s">
        <v>763</v>
      </c>
      <c r="C8316" s="27" t="s">
        <v>3647</v>
      </c>
      <c r="D8316" s="26" t="s">
        <v>3663</v>
      </c>
      <c r="E8316" s="28">
        <v>46113.0</v>
      </c>
      <c r="F8316" s="28">
        <v>46171.0</v>
      </c>
      <c r="G8316" s="29"/>
    </row>
    <row r="8317" ht="15.75" customHeight="1">
      <c r="A8317" s="30" t="s">
        <v>11981</v>
      </c>
      <c r="B8317" s="31" t="s">
        <v>763</v>
      </c>
      <c r="C8317" s="31" t="s">
        <v>952</v>
      </c>
      <c r="D8317" s="30" t="s">
        <v>3663</v>
      </c>
      <c r="E8317" s="32">
        <v>46113.0</v>
      </c>
      <c r="F8317" s="32">
        <v>46171.0</v>
      </c>
      <c r="G8317" s="33"/>
    </row>
    <row r="8318" ht="15.75" customHeight="1">
      <c r="A8318" s="26" t="s">
        <v>11982</v>
      </c>
      <c r="B8318" s="27" t="s">
        <v>763</v>
      </c>
      <c r="C8318" s="27" t="s">
        <v>3648</v>
      </c>
      <c r="D8318" s="27" t="s">
        <v>3663</v>
      </c>
      <c r="E8318" s="28">
        <v>46113.0</v>
      </c>
      <c r="F8318" s="28">
        <v>46171.0</v>
      </c>
      <c r="G8318" s="29"/>
    </row>
    <row r="8319" ht="15.75" customHeight="1">
      <c r="A8319" s="30" t="s">
        <v>11983</v>
      </c>
      <c r="B8319" s="31" t="s">
        <v>763</v>
      </c>
      <c r="C8319" s="31" t="s">
        <v>3649</v>
      </c>
      <c r="D8319" s="31" t="s">
        <v>3663</v>
      </c>
      <c r="E8319" s="32">
        <v>46113.0</v>
      </c>
      <c r="F8319" s="32">
        <v>46171.0</v>
      </c>
      <c r="G8319" s="33"/>
    </row>
    <row r="8320" ht="15.75" customHeight="1">
      <c r="A8320" s="26" t="s">
        <v>11984</v>
      </c>
      <c r="B8320" s="27" t="s">
        <v>763</v>
      </c>
      <c r="C8320" s="27" t="s">
        <v>3650</v>
      </c>
      <c r="D8320" s="27" t="s">
        <v>3663</v>
      </c>
      <c r="E8320" s="28">
        <v>46113.0</v>
      </c>
      <c r="F8320" s="28">
        <v>46171.0</v>
      </c>
      <c r="G8320" s="29"/>
    </row>
    <row r="8321" ht="15.75" customHeight="1">
      <c r="A8321" s="30" t="s">
        <v>11985</v>
      </c>
      <c r="B8321" s="31" t="s">
        <v>763</v>
      </c>
      <c r="C8321" s="31" t="s">
        <v>1283</v>
      </c>
      <c r="D8321" s="31" t="s">
        <v>3663</v>
      </c>
      <c r="E8321" s="32">
        <v>46113.0</v>
      </c>
      <c r="F8321" s="32">
        <v>46171.0</v>
      </c>
      <c r="G8321" s="33"/>
    </row>
    <row r="8322" ht="15.75" customHeight="1">
      <c r="A8322" s="26" t="s">
        <v>11986</v>
      </c>
      <c r="B8322" s="27" t="s">
        <v>763</v>
      </c>
      <c r="C8322" s="27" t="s">
        <v>1218</v>
      </c>
      <c r="D8322" s="26" t="s">
        <v>3663</v>
      </c>
      <c r="E8322" s="28">
        <v>46113.0</v>
      </c>
      <c r="F8322" s="28">
        <v>46171.0</v>
      </c>
      <c r="G8322" s="29"/>
    </row>
    <row r="8323" ht="15.75" customHeight="1">
      <c r="A8323" s="30" t="s">
        <v>11987</v>
      </c>
      <c r="B8323" s="31" t="s">
        <v>763</v>
      </c>
      <c r="C8323" s="31" t="s">
        <v>1271</v>
      </c>
      <c r="D8323" s="30" t="s">
        <v>3663</v>
      </c>
      <c r="E8323" s="32">
        <v>46113.0</v>
      </c>
      <c r="F8323" s="32">
        <v>46171.0</v>
      </c>
      <c r="G8323" s="33"/>
    </row>
    <row r="8324" ht="15.75" customHeight="1">
      <c r="A8324" s="26" t="s">
        <v>11988</v>
      </c>
      <c r="B8324" s="27" t="s">
        <v>763</v>
      </c>
      <c r="C8324" s="27" t="s">
        <v>968</v>
      </c>
      <c r="D8324" s="26" t="s">
        <v>3663</v>
      </c>
      <c r="E8324" s="28">
        <v>46113.0</v>
      </c>
      <c r="F8324" s="28">
        <v>46171.0</v>
      </c>
      <c r="G8324" s="29"/>
    </row>
    <row r="8325" ht="15.75" customHeight="1">
      <c r="A8325" s="30" t="s">
        <v>11989</v>
      </c>
      <c r="B8325" s="31" t="s">
        <v>763</v>
      </c>
      <c r="C8325" s="31" t="s">
        <v>923</v>
      </c>
      <c r="D8325" s="31" t="s">
        <v>3663</v>
      </c>
      <c r="E8325" s="32">
        <v>46113.0</v>
      </c>
      <c r="F8325" s="32">
        <v>46171.0</v>
      </c>
      <c r="G8325" s="33"/>
    </row>
    <row r="8326" ht="15.75" customHeight="1">
      <c r="A8326" s="26" t="s">
        <v>11990</v>
      </c>
      <c r="B8326" s="27" t="s">
        <v>764</v>
      </c>
      <c r="C8326" s="27" t="s">
        <v>930</v>
      </c>
      <c r="D8326" s="26" t="s">
        <v>3663</v>
      </c>
      <c r="E8326" s="28">
        <v>46113.0</v>
      </c>
      <c r="F8326" s="28">
        <v>46171.0</v>
      </c>
      <c r="G8326" s="29"/>
    </row>
    <row r="8327" ht="15.75" customHeight="1">
      <c r="A8327" s="30" t="s">
        <v>11991</v>
      </c>
      <c r="B8327" s="31" t="s">
        <v>764</v>
      </c>
      <c r="C8327" s="31" t="s">
        <v>1354</v>
      </c>
      <c r="D8327" s="30" t="s">
        <v>3663</v>
      </c>
      <c r="E8327" s="32">
        <v>46113.0</v>
      </c>
      <c r="F8327" s="32">
        <v>46171.0</v>
      </c>
      <c r="G8327" s="33"/>
    </row>
    <row r="8328" ht="15.75" customHeight="1">
      <c r="A8328" s="26" t="s">
        <v>11992</v>
      </c>
      <c r="B8328" s="27" t="s">
        <v>764</v>
      </c>
      <c r="C8328" s="27" t="s">
        <v>1157</v>
      </c>
      <c r="D8328" s="26" t="s">
        <v>3663</v>
      </c>
      <c r="E8328" s="28">
        <v>46113.0</v>
      </c>
      <c r="F8328" s="28">
        <v>46171.0</v>
      </c>
      <c r="G8328" s="29"/>
    </row>
    <row r="8329" ht="15.75" customHeight="1">
      <c r="A8329" s="30" t="s">
        <v>11993</v>
      </c>
      <c r="B8329" s="31" t="s">
        <v>764</v>
      </c>
      <c r="C8329" s="31" t="s">
        <v>1155</v>
      </c>
      <c r="D8329" s="30" t="s">
        <v>3663</v>
      </c>
      <c r="E8329" s="32">
        <v>46113.0</v>
      </c>
      <c r="F8329" s="32">
        <v>46171.0</v>
      </c>
      <c r="G8329" s="33"/>
    </row>
    <row r="8330" ht="15.75" customHeight="1">
      <c r="A8330" s="26" t="s">
        <v>11994</v>
      </c>
      <c r="B8330" s="27" t="s">
        <v>764</v>
      </c>
      <c r="C8330" s="27" t="s">
        <v>1153</v>
      </c>
      <c r="D8330" s="26" t="s">
        <v>3663</v>
      </c>
      <c r="E8330" s="28">
        <v>46113.0</v>
      </c>
      <c r="F8330" s="28">
        <v>46171.0</v>
      </c>
      <c r="G8330" s="29"/>
    </row>
    <row r="8331" ht="15.75" customHeight="1">
      <c r="A8331" s="30" t="s">
        <v>11995</v>
      </c>
      <c r="B8331" s="31" t="s">
        <v>764</v>
      </c>
      <c r="C8331" s="31" t="s">
        <v>1149</v>
      </c>
      <c r="D8331" s="30" t="s">
        <v>3663</v>
      </c>
      <c r="E8331" s="32">
        <v>46113.0</v>
      </c>
      <c r="F8331" s="32">
        <v>46171.0</v>
      </c>
      <c r="G8331" s="33"/>
    </row>
    <row r="8332" ht="15.75" customHeight="1">
      <c r="A8332" s="26" t="s">
        <v>11996</v>
      </c>
      <c r="B8332" s="27" t="s">
        <v>764</v>
      </c>
      <c r="C8332" s="27" t="s">
        <v>1351</v>
      </c>
      <c r="D8332" s="26" t="s">
        <v>3663</v>
      </c>
      <c r="E8332" s="28">
        <v>46113.0</v>
      </c>
      <c r="F8332" s="28">
        <v>46171.0</v>
      </c>
      <c r="G8332" s="29"/>
    </row>
    <row r="8333" ht="15.75" customHeight="1">
      <c r="A8333" s="30" t="s">
        <v>11997</v>
      </c>
      <c r="B8333" s="31" t="s">
        <v>764</v>
      </c>
      <c r="C8333" s="31" t="s">
        <v>1349</v>
      </c>
      <c r="D8333" s="30" t="s">
        <v>3663</v>
      </c>
      <c r="E8333" s="32">
        <v>46113.0</v>
      </c>
      <c r="F8333" s="32">
        <v>46171.0</v>
      </c>
      <c r="G8333" s="33"/>
    </row>
    <row r="8334" ht="15.75" customHeight="1">
      <c r="A8334" s="26" t="s">
        <v>11998</v>
      </c>
      <c r="B8334" s="27" t="s">
        <v>764</v>
      </c>
      <c r="C8334" s="27" t="s">
        <v>3653</v>
      </c>
      <c r="D8334" s="26" t="s">
        <v>3663</v>
      </c>
      <c r="E8334" s="28">
        <v>46113.0</v>
      </c>
      <c r="F8334" s="28">
        <v>46171.0</v>
      </c>
      <c r="G8334" s="29"/>
    </row>
    <row r="8335" ht="15.75" customHeight="1">
      <c r="A8335" s="30" t="s">
        <v>11999</v>
      </c>
      <c r="B8335" s="31" t="s">
        <v>764</v>
      </c>
      <c r="C8335" s="31" t="s">
        <v>3652</v>
      </c>
      <c r="D8335" s="30" t="s">
        <v>3663</v>
      </c>
      <c r="E8335" s="32">
        <v>46113.0</v>
      </c>
      <c r="F8335" s="32">
        <v>46171.0</v>
      </c>
      <c r="G8335" s="33"/>
    </row>
    <row r="8336" ht="15.75" customHeight="1">
      <c r="A8336" s="26" t="s">
        <v>12000</v>
      </c>
      <c r="B8336" s="27" t="s">
        <v>764</v>
      </c>
      <c r="C8336" s="27" t="s">
        <v>965</v>
      </c>
      <c r="D8336" s="26" t="s">
        <v>3663</v>
      </c>
      <c r="E8336" s="28">
        <v>46113.0</v>
      </c>
      <c r="F8336" s="28">
        <v>46171.0</v>
      </c>
      <c r="G8336" s="29"/>
    </row>
    <row r="8337" ht="15.75" customHeight="1">
      <c r="A8337" s="30" t="s">
        <v>12001</v>
      </c>
      <c r="B8337" s="31" t="s">
        <v>764</v>
      </c>
      <c r="C8337" s="31" t="s">
        <v>923</v>
      </c>
      <c r="D8337" s="30" t="s">
        <v>3663</v>
      </c>
      <c r="E8337" s="32">
        <v>46113.0</v>
      </c>
      <c r="F8337" s="32">
        <v>46171.0</v>
      </c>
      <c r="G8337" s="33"/>
    </row>
    <row r="8338" ht="15.75" customHeight="1">
      <c r="A8338" s="26" t="s">
        <v>12002</v>
      </c>
      <c r="B8338" s="27" t="s">
        <v>764</v>
      </c>
      <c r="C8338" s="27" t="s">
        <v>963</v>
      </c>
      <c r="D8338" s="26" t="s">
        <v>3663</v>
      </c>
      <c r="E8338" s="28">
        <v>46113.0</v>
      </c>
      <c r="F8338" s="28">
        <v>46171.0</v>
      </c>
      <c r="G8338" s="29"/>
    </row>
    <row r="8339" ht="15.75" customHeight="1">
      <c r="A8339" s="30" t="s">
        <v>12003</v>
      </c>
      <c r="B8339" s="31" t="s">
        <v>764</v>
      </c>
      <c r="C8339" s="31" t="s">
        <v>961</v>
      </c>
      <c r="D8339" s="30" t="s">
        <v>3663</v>
      </c>
      <c r="E8339" s="32">
        <v>46113.0</v>
      </c>
      <c r="F8339" s="32">
        <v>46171.0</v>
      </c>
      <c r="G8339" s="33"/>
    </row>
    <row r="8340" ht="15.75" customHeight="1">
      <c r="A8340" s="26" t="s">
        <v>12004</v>
      </c>
      <c r="B8340" s="27" t="s">
        <v>1147</v>
      </c>
      <c r="C8340" s="27" t="s">
        <v>930</v>
      </c>
      <c r="D8340" s="26" t="s">
        <v>3663</v>
      </c>
      <c r="E8340" s="28">
        <v>46113.0</v>
      </c>
      <c r="F8340" s="28">
        <v>46171.0</v>
      </c>
      <c r="G8340" s="29"/>
    </row>
    <row r="8341" ht="15.75" customHeight="1">
      <c r="A8341" s="30" t="s">
        <v>12005</v>
      </c>
      <c r="B8341" s="31" t="s">
        <v>1147</v>
      </c>
      <c r="C8341" s="31" t="s">
        <v>1354</v>
      </c>
      <c r="D8341" s="30" t="s">
        <v>3663</v>
      </c>
      <c r="E8341" s="32">
        <v>46113.0</v>
      </c>
      <c r="F8341" s="32">
        <v>46171.0</v>
      </c>
      <c r="G8341" s="33"/>
    </row>
    <row r="8342" ht="15.75" customHeight="1">
      <c r="A8342" s="26" t="s">
        <v>12006</v>
      </c>
      <c r="B8342" s="27" t="s">
        <v>1147</v>
      </c>
      <c r="C8342" s="27" t="s">
        <v>1159</v>
      </c>
      <c r="D8342" s="26" t="s">
        <v>3663</v>
      </c>
      <c r="E8342" s="28">
        <v>46113.0</v>
      </c>
      <c r="F8342" s="28">
        <v>46171.0</v>
      </c>
      <c r="G8342" s="29"/>
    </row>
    <row r="8343" ht="15.75" customHeight="1">
      <c r="A8343" s="30" t="s">
        <v>12007</v>
      </c>
      <c r="B8343" s="31" t="s">
        <v>1147</v>
      </c>
      <c r="C8343" s="31" t="s">
        <v>3647</v>
      </c>
      <c r="D8343" s="30" t="s">
        <v>3663</v>
      </c>
      <c r="E8343" s="32">
        <v>46113.0</v>
      </c>
      <c r="F8343" s="32">
        <v>46171.0</v>
      </c>
      <c r="G8343" s="33"/>
    </row>
    <row r="8344" ht="15.75" customHeight="1">
      <c r="A8344" s="26" t="s">
        <v>12008</v>
      </c>
      <c r="B8344" s="27" t="s">
        <v>1147</v>
      </c>
      <c r="C8344" s="27" t="s">
        <v>952</v>
      </c>
      <c r="D8344" s="26" t="s">
        <v>3663</v>
      </c>
      <c r="E8344" s="28">
        <v>46113.0</v>
      </c>
      <c r="F8344" s="28">
        <v>46171.0</v>
      </c>
      <c r="G8344" s="29"/>
    </row>
    <row r="8345" ht="15.75" customHeight="1">
      <c r="A8345" s="30" t="s">
        <v>12009</v>
      </c>
      <c r="B8345" s="31" t="s">
        <v>1147</v>
      </c>
      <c r="C8345" s="31" t="s">
        <v>1216</v>
      </c>
      <c r="D8345" s="30" t="s">
        <v>3663</v>
      </c>
      <c r="E8345" s="32">
        <v>46113.0</v>
      </c>
      <c r="F8345" s="32">
        <v>46171.0</v>
      </c>
      <c r="G8345" s="33"/>
    </row>
    <row r="8346" ht="15.75" customHeight="1">
      <c r="A8346" s="26" t="s">
        <v>12010</v>
      </c>
      <c r="B8346" s="27" t="s">
        <v>1147</v>
      </c>
      <c r="C8346" s="27" t="s">
        <v>1157</v>
      </c>
      <c r="D8346" s="26" t="s">
        <v>3663</v>
      </c>
      <c r="E8346" s="28">
        <v>46113.0</v>
      </c>
      <c r="F8346" s="28">
        <v>46171.0</v>
      </c>
      <c r="G8346" s="29"/>
    </row>
    <row r="8347" ht="15.75" customHeight="1">
      <c r="A8347" s="30" t="s">
        <v>12011</v>
      </c>
      <c r="B8347" s="31" t="s">
        <v>1147</v>
      </c>
      <c r="C8347" s="31" t="s">
        <v>1155</v>
      </c>
      <c r="D8347" s="30" t="s">
        <v>3663</v>
      </c>
      <c r="E8347" s="32">
        <v>46113.0</v>
      </c>
      <c r="F8347" s="32">
        <v>46171.0</v>
      </c>
      <c r="G8347" s="33"/>
    </row>
    <row r="8348" ht="15.75" customHeight="1">
      <c r="A8348" s="26" t="s">
        <v>12012</v>
      </c>
      <c r="B8348" s="27" t="s">
        <v>1147</v>
      </c>
      <c r="C8348" s="27" t="s">
        <v>1153</v>
      </c>
      <c r="D8348" s="26" t="s">
        <v>3663</v>
      </c>
      <c r="E8348" s="28">
        <v>46113.0</v>
      </c>
      <c r="F8348" s="28">
        <v>46171.0</v>
      </c>
      <c r="G8348" s="29"/>
    </row>
    <row r="8349" ht="15.75" customHeight="1">
      <c r="A8349" s="30" t="s">
        <v>12013</v>
      </c>
      <c r="B8349" s="31" t="s">
        <v>1147</v>
      </c>
      <c r="C8349" s="31" t="s">
        <v>1149</v>
      </c>
      <c r="D8349" s="30" t="s">
        <v>3663</v>
      </c>
      <c r="E8349" s="32">
        <v>46113.0</v>
      </c>
      <c r="F8349" s="32">
        <v>46171.0</v>
      </c>
      <c r="G8349" s="33"/>
    </row>
    <row r="8350" ht="15.75" customHeight="1">
      <c r="A8350" s="26" t="s">
        <v>12014</v>
      </c>
      <c r="B8350" s="27" t="s">
        <v>1147</v>
      </c>
      <c r="C8350" s="27" t="s">
        <v>3653</v>
      </c>
      <c r="D8350" s="26" t="s">
        <v>3663</v>
      </c>
      <c r="E8350" s="28">
        <v>46113.0</v>
      </c>
      <c r="F8350" s="28">
        <v>46171.0</v>
      </c>
      <c r="G8350" s="29"/>
    </row>
    <row r="8351" ht="15.75" customHeight="1">
      <c r="A8351" s="30" t="s">
        <v>12015</v>
      </c>
      <c r="B8351" s="31" t="s">
        <v>1147</v>
      </c>
      <c r="C8351" s="31" t="s">
        <v>3652</v>
      </c>
      <c r="D8351" s="30" t="s">
        <v>3663</v>
      </c>
      <c r="E8351" s="32">
        <v>46113.0</v>
      </c>
      <c r="F8351" s="32">
        <v>46171.0</v>
      </c>
      <c r="G8351" s="33"/>
    </row>
    <row r="8352" ht="15.75" customHeight="1">
      <c r="A8352" s="26" t="s">
        <v>12016</v>
      </c>
      <c r="B8352" s="27" t="s">
        <v>1147</v>
      </c>
      <c r="C8352" s="27" t="s">
        <v>968</v>
      </c>
      <c r="D8352" s="26" t="s">
        <v>3663</v>
      </c>
      <c r="E8352" s="28">
        <v>46113.0</v>
      </c>
      <c r="F8352" s="28">
        <v>46171.0</v>
      </c>
      <c r="G8352" s="29"/>
    </row>
    <row r="8353" ht="15.75" customHeight="1">
      <c r="A8353" s="30" t="s">
        <v>12017</v>
      </c>
      <c r="B8353" s="31" t="s">
        <v>1147</v>
      </c>
      <c r="C8353" s="31" t="s">
        <v>923</v>
      </c>
      <c r="D8353" s="30" t="s">
        <v>3663</v>
      </c>
      <c r="E8353" s="32">
        <v>46113.0</v>
      </c>
      <c r="F8353" s="32">
        <v>46171.0</v>
      </c>
      <c r="G8353" s="33"/>
    </row>
    <row r="8354" ht="15.75" customHeight="1">
      <c r="A8354" s="26" t="s">
        <v>12018</v>
      </c>
      <c r="B8354" s="27" t="s">
        <v>765</v>
      </c>
      <c r="C8354" s="27" t="s">
        <v>3654</v>
      </c>
      <c r="D8354" s="26" t="s">
        <v>3663</v>
      </c>
      <c r="E8354" s="28">
        <v>46113.0</v>
      </c>
      <c r="F8354" s="28">
        <v>46171.0</v>
      </c>
      <c r="G8354" s="29"/>
    </row>
    <row r="8355" ht="15.75" customHeight="1">
      <c r="A8355" s="30" t="s">
        <v>12019</v>
      </c>
      <c r="B8355" s="31" t="s">
        <v>765</v>
      </c>
      <c r="C8355" s="31" t="s">
        <v>3655</v>
      </c>
      <c r="D8355" s="30" t="s">
        <v>3663</v>
      </c>
      <c r="E8355" s="32">
        <v>46113.0</v>
      </c>
      <c r="F8355" s="32">
        <v>46171.0</v>
      </c>
      <c r="G8355" s="33"/>
    </row>
    <row r="8356" ht="15.75" customHeight="1">
      <c r="A8356" s="26" t="s">
        <v>12020</v>
      </c>
      <c r="B8356" s="27" t="s">
        <v>765</v>
      </c>
      <c r="C8356" s="27" t="s">
        <v>932</v>
      </c>
      <c r="D8356" s="26" t="s">
        <v>3663</v>
      </c>
      <c r="E8356" s="28">
        <v>46113.0</v>
      </c>
      <c r="F8356" s="28">
        <v>46171.0</v>
      </c>
      <c r="G8356" s="29"/>
    </row>
    <row r="8357" ht="15.75" customHeight="1">
      <c r="A8357" s="30" t="s">
        <v>12021</v>
      </c>
      <c r="B8357" s="31" t="s">
        <v>765</v>
      </c>
      <c r="C8357" s="31" t="s">
        <v>1168</v>
      </c>
      <c r="D8357" s="30" t="s">
        <v>3663</v>
      </c>
      <c r="E8357" s="32">
        <v>46113.0</v>
      </c>
      <c r="F8357" s="32">
        <v>46171.0</v>
      </c>
      <c r="G8357" s="33"/>
    </row>
    <row r="8358" ht="15.75" customHeight="1">
      <c r="A8358" s="26" t="s">
        <v>12022</v>
      </c>
      <c r="B8358" s="27" t="s">
        <v>765</v>
      </c>
      <c r="C8358" s="27" t="s">
        <v>1170</v>
      </c>
      <c r="D8358" s="26" t="s">
        <v>3663</v>
      </c>
      <c r="E8358" s="28">
        <v>46113.0</v>
      </c>
      <c r="F8358" s="28">
        <v>46171.0</v>
      </c>
      <c r="G8358" s="29"/>
    </row>
    <row r="8359" ht="15.75" customHeight="1">
      <c r="A8359" s="30" t="s">
        <v>12023</v>
      </c>
      <c r="B8359" s="31" t="s">
        <v>765</v>
      </c>
      <c r="C8359" s="31" t="s">
        <v>1288</v>
      </c>
      <c r="D8359" s="30" t="s">
        <v>3663</v>
      </c>
      <c r="E8359" s="32">
        <v>46113.0</v>
      </c>
      <c r="F8359" s="32">
        <v>46171.0</v>
      </c>
      <c r="G8359" s="33"/>
    </row>
    <row r="8360" ht="15.75" customHeight="1">
      <c r="A8360" s="26" t="s">
        <v>12024</v>
      </c>
      <c r="B8360" s="27" t="s">
        <v>765</v>
      </c>
      <c r="C8360" s="27" t="s">
        <v>1291</v>
      </c>
      <c r="D8360" s="26" t="s">
        <v>3663</v>
      </c>
      <c r="E8360" s="28">
        <v>46113.0</v>
      </c>
      <c r="F8360" s="28">
        <v>46171.0</v>
      </c>
      <c r="G8360" s="29"/>
    </row>
    <row r="8361" ht="15.75" customHeight="1">
      <c r="A8361" s="30" t="s">
        <v>12025</v>
      </c>
      <c r="B8361" s="31" t="s">
        <v>765</v>
      </c>
      <c r="C8361" s="31" t="s">
        <v>1354</v>
      </c>
      <c r="D8361" s="30" t="s">
        <v>3663</v>
      </c>
      <c r="E8361" s="32">
        <v>46113.0</v>
      </c>
      <c r="F8361" s="32">
        <v>46171.0</v>
      </c>
      <c r="G8361" s="33"/>
    </row>
    <row r="8362" ht="15.75" customHeight="1">
      <c r="A8362" s="26" t="s">
        <v>12026</v>
      </c>
      <c r="B8362" s="27" t="s">
        <v>765</v>
      </c>
      <c r="C8362" s="27" t="s">
        <v>1218</v>
      </c>
      <c r="D8362" s="26" t="s">
        <v>3663</v>
      </c>
      <c r="E8362" s="28">
        <v>46113.0</v>
      </c>
      <c r="F8362" s="28">
        <v>46171.0</v>
      </c>
      <c r="G8362" s="29"/>
    </row>
    <row r="8363" ht="15.75" customHeight="1">
      <c r="A8363" s="30" t="s">
        <v>12027</v>
      </c>
      <c r="B8363" s="31" t="s">
        <v>765</v>
      </c>
      <c r="C8363" s="31" t="s">
        <v>1351</v>
      </c>
      <c r="D8363" s="30" t="s">
        <v>3663</v>
      </c>
      <c r="E8363" s="32">
        <v>46113.0</v>
      </c>
      <c r="F8363" s="32">
        <v>46171.0</v>
      </c>
      <c r="G8363" s="33"/>
    </row>
    <row r="8364" ht="15.75" customHeight="1">
      <c r="A8364" s="26" t="s">
        <v>12028</v>
      </c>
      <c r="B8364" s="27" t="s">
        <v>765</v>
      </c>
      <c r="C8364" s="27" t="s">
        <v>1349</v>
      </c>
      <c r="D8364" s="26" t="s">
        <v>3663</v>
      </c>
      <c r="E8364" s="28">
        <v>46113.0</v>
      </c>
      <c r="F8364" s="28">
        <v>46171.0</v>
      </c>
      <c r="G8364" s="29"/>
    </row>
    <row r="8365" ht="15.75" customHeight="1">
      <c r="A8365" s="30" t="s">
        <v>12029</v>
      </c>
      <c r="B8365" s="31" t="s">
        <v>765</v>
      </c>
      <c r="C8365" s="31" t="s">
        <v>968</v>
      </c>
      <c r="D8365" s="30" t="s">
        <v>3663</v>
      </c>
      <c r="E8365" s="32">
        <v>46113.0</v>
      </c>
      <c r="F8365" s="32">
        <v>46171.0</v>
      </c>
      <c r="G8365" s="33"/>
    </row>
    <row r="8366" ht="15.75" customHeight="1">
      <c r="A8366" s="26" t="s">
        <v>12030</v>
      </c>
      <c r="B8366" s="27" t="s">
        <v>765</v>
      </c>
      <c r="C8366" s="27" t="s">
        <v>923</v>
      </c>
      <c r="D8366" s="26" t="s">
        <v>3663</v>
      </c>
      <c r="E8366" s="28">
        <v>46113.0</v>
      </c>
      <c r="F8366" s="28">
        <v>46171.0</v>
      </c>
      <c r="G8366" s="29"/>
    </row>
    <row r="8367" ht="15.75" customHeight="1">
      <c r="A8367" s="30" t="s">
        <v>12031</v>
      </c>
      <c r="B8367" s="31" t="s">
        <v>765</v>
      </c>
      <c r="C8367" s="31" t="s">
        <v>955</v>
      </c>
      <c r="D8367" s="30" t="s">
        <v>3663</v>
      </c>
      <c r="E8367" s="32">
        <v>46113.0</v>
      </c>
      <c r="F8367" s="32">
        <v>46171.0</v>
      </c>
      <c r="G8367" s="33"/>
    </row>
    <row r="8368" ht="15.75" customHeight="1">
      <c r="A8368" s="26" t="s">
        <v>12032</v>
      </c>
      <c r="B8368" s="27" t="s">
        <v>766</v>
      </c>
      <c r="C8368" s="27" t="s">
        <v>930</v>
      </c>
      <c r="D8368" s="27" t="s">
        <v>3663</v>
      </c>
      <c r="E8368" s="28">
        <v>46113.0</v>
      </c>
      <c r="F8368" s="28">
        <v>46171.0</v>
      </c>
      <c r="G8368" s="29"/>
    </row>
    <row r="8369" ht="15.75" customHeight="1">
      <c r="A8369" s="30" t="s">
        <v>12033</v>
      </c>
      <c r="B8369" s="31" t="s">
        <v>766</v>
      </c>
      <c r="C8369" s="31" t="s">
        <v>1354</v>
      </c>
      <c r="D8369" s="30" t="s">
        <v>3663</v>
      </c>
      <c r="E8369" s="32">
        <v>46113.0</v>
      </c>
      <c r="F8369" s="32">
        <v>46171.0</v>
      </c>
      <c r="G8369" s="33"/>
    </row>
    <row r="8370" ht="15.75" customHeight="1">
      <c r="A8370" s="26" t="s">
        <v>12034</v>
      </c>
      <c r="B8370" s="27" t="s">
        <v>766</v>
      </c>
      <c r="C8370" s="27" t="s">
        <v>1304</v>
      </c>
      <c r="D8370" s="27" t="s">
        <v>3663</v>
      </c>
      <c r="E8370" s="28">
        <v>46113.0</v>
      </c>
      <c r="F8370" s="28">
        <v>46171.0</v>
      </c>
      <c r="G8370" s="29"/>
    </row>
    <row r="8371" ht="15.75" customHeight="1">
      <c r="A8371" s="30" t="s">
        <v>12035</v>
      </c>
      <c r="B8371" s="31" t="s">
        <v>766</v>
      </c>
      <c r="C8371" s="31" t="s">
        <v>1306</v>
      </c>
      <c r="D8371" s="31" t="s">
        <v>3663</v>
      </c>
      <c r="E8371" s="32">
        <v>46113.0</v>
      </c>
      <c r="F8371" s="32">
        <v>46171.0</v>
      </c>
      <c r="G8371" s="33"/>
    </row>
    <row r="8372" ht="15.75" customHeight="1">
      <c r="A8372" s="26" t="s">
        <v>12036</v>
      </c>
      <c r="B8372" s="27" t="s">
        <v>766</v>
      </c>
      <c r="C8372" s="27" t="s">
        <v>1308</v>
      </c>
      <c r="D8372" s="27" t="s">
        <v>3663</v>
      </c>
      <c r="E8372" s="28">
        <v>46113.0</v>
      </c>
      <c r="F8372" s="28">
        <v>46171.0</v>
      </c>
      <c r="G8372" s="29"/>
    </row>
    <row r="8373" ht="15.75" customHeight="1">
      <c r="A8373" s="30" t="s">
        <v>12037</v>
      </c>
      <c r="B8373" s="31" t="s">
        <v>766</v>
      </c>
      <c r="C8373" s="31" t="s">
        <v>1310</v>
      </c>
      <c r="D8373" s="31" t="s">
        <v>3663</v>
      </c>
      <c r="E8373" s="32">
        <v>46113.0</v>
      </c>
      <c r="F8373" s="32">
        <v>46171.0</v>
      </c>
      <c r="G8373" s="33"/>
    </row>
    <row r="8374" ht="15.75" customHeight="1">
      <c r="A8374" s="26" t="s">
        <v>12038</v>
      </c>
      <c r="B8374" s="27" t="s">
        <v>766</v>
      </c>
      <c r="C8374" s="27" t="s">
        <v>1159</v>
      </c>
      <c r="D8374" s="26" t="s">
        <v>3663</v>
      </c>
      <c r="E8374" s="28">
        <v>46113.0</v>
      </c>
      <c r="F8374" s="28">
        <v>46171.0</v>
      </c>
      <c r="G8374" s="29"/>
    </row>
    <row r="8375" ht="15.75" customHeight="1">
      <c r="A8375" s="30" t="s">
        <v>12039</v>
      </c>
      <c r="B8375" s="31" t="s">
        <v>766</v>
      </c>
      <c r="C8375" s="31" t="s">
        <v>3656</v>
      </c>
      <c r="D8375" s="30" t="s">
        <v>3663</v>
      </c>
      <c r="E8375" s="32">
        <v>46113.0</v>
      </c>
      <c r="F8375" s="32">
        <v>46171.0</v>
      </c>
      <c r="G8375" s="33"/>
    </row>
    <row r="8376" ht="15.75" customHeight="1">
      <c r="A8376" s="26" t="s">
        <v>12040</v>
      </c>
      <c r="B8376" s="27" t="s">
        <v>766</v>
      </c>
      <c r="C8376" s="27" t="s">
        <v>3657</v>
      </c>
      <c r="D8376" s="26" t="s">
        <v>3663</v>
      </c>
      <c r="E8376" s="28">
        <v>46113.0</v>
      </c>
      <c r="F8376" s="28">
        <v>46171.0</v>
      </c>
      <c r="G8376" s="29"/>
    </row>
    <row r="8377" ht="15.75" customHeight="1">
      <c r="A8377" s="30" t="s">
        <v>12041</v>
      </c>
      <c r="B8377" s="31" t="s">
        <v>766</v>
      </c>
      <c r="C8377" s="31" t="s">
        <v>1216</v>
      </c>
      <c r="D8377" s="30" t="s">
        <v>3663</v>
      </c>
      <c r="E8377" s="32">
        <v>46113.0</v>
      </c>
      <c r="F8377" s="32">
        <v>46171.0</v>
      </c>
      <c r="G8377" s="33"/>
    </row>
    <row r="8378" ht="15.75" customHeight="1">
      <c r="A8378" s="26" t="s">
        <v>12042</v>
      </c>
      <c r="B8378" s="27" t="s">
        <v>766</v>
      </c>
      <c r="C8378" s="27" t="s">
        <v>1351</v>
      </c>
      <c r="D8378" s="26" t="s">
        <v>3663</v>
      </c>
      <c r="E8378" s="28">
        <v>46113.0</v>
      </c>
      <c r="F8378" s="28">
        <v>46171.0</v>
      </c>
      <c r="G8378" s="29"/>
    </row>
    <row r="8379" ht="15.75" customHeight="1">
      <c r="A8379" s="30" t="s">
        <v>12043</v>
      </c>
      <c r="B8379" s="31" t="s">
        <v>766</v>
      </c>
      <c r="C8379" s="31" t="s">
        <v>1349</v>
      </c>
      <c r="D8379" s="30" t="s">
        <v>3663</v>
      </c>
      <c r="E8379" s="32">
        <v>46113.0</v>
      </c>
      <c r="F8379" s="32">
        <v>46171.0</v>
      </c>
      <c r="G8379" s="33"/>
    </row>
    <row r="8380" ht="15.75" customHeight="1">
      <c r="A8380" s="26" t="s">
        <v>12044</v>
      </c>
      <c r="B8380" s="27" t="s">
        <v>766</v>
      </c>
      <c r="C8380" s="27" t="s">
        <v>968</v>
      </c>
      <c r="D8380" s="26" t="s">
        <v>3663</v>
      </c>
      <c r="E8380" s="28">
        <v>46113.0</v>
      </c>
      <c r="F8380" s="28">
        <v>46171.0</v>
      </c>
      <c r="G8380" s="29"/>
    </row>
    <row r="8381" ht="15.75" customHeight="1">
      <c r="A8381" s="30" t="s">
        <v>12045</v>
      </c>
      <c r="B8381" s="31" t="s">
        <v>766</v>
      </c>
      <c r="C8381" s="31" t="s">
        <v>923</v>
      </c>
      <c r="D8381" s="31" t="s">
        <v>3663</v>
      </c>
      <c r="E8381" s="32">
        <v>46113.0</v>
      </c>
      <c r="F8381" s="32">
        <v>46171.0</v>
      </c>
      <c r="G8381" s="33"/>
    </row>
    <row r="8382" ht="15.75" customHeight="1">
      <c r="A8382" s="26" t="s">
        <v>12046</v>
      </c>
      <c r="B8382" s="27" t="s">
        <v>767</v>
      </c>
      <c r="C8382" s="27" t="s">
        <v>930</v>
      </c>
      <c r="D8382" s="27" t="s">
        <v>3663</v>
      </c>
      <c r="E8382" s="28">
        <v>46113.0</v>
      </c>
      <c r="F8382" s="28">
        <v>46171.0</v>
      </c>
      <c r="G8382" s="29"/>
    </row>
    <row r="8383" ht="15.75" customHeight="1">
      <c r="A8383" s="30" t="s">
        <v>12047</v>
      </c>
      <c r="B8383" s="31" t="s">
        <v>767</v>
      </c>
      <c r="C8383" s="31" t="s">
        <v>1354</v>
      </c>
      <c r="D8383" s="30" t="s">
        <v>3663</v>
      </c>
      <c r="E8383" s="32">
        <v>46113.0</v>
      </c>
      <c r="F8383" s="32">
        <v>46171.0</v>
      </c>
      <c r="G8383" s="33"/>
    </row>
    <row r="8384" ht="15.75" customHeight="1">
      <c r="A8384" s="26" t="s">
        <v>12048</v>
      </c>
      <c r="B8384" s="27" t="s">
        <v>767</v>
      </c>
      <c r="C8384" s="27" t="s">
        <v>1304</v>
      </c>
      <c r="D8384" s="27" t="s">
        <v>3663</v>
      </c>
      <c r="E8384" s="28">
        <v>46113.0</v>
      </c>
      <c r="F8384" s="28">
        <v>46171.0</v>
      </c>
      <c r="G8384" s="29"/>
    </row>
    <row r="8385" ht="15.75" customHeight="1">
      <c r="A8385" s="30" t="s">
        <v>12049</v>
      </c>
      <c r="B8385" s="31" t="s">
        <v>767</v>
      </c>
      <c r="C8385" s="31" t="s">
        <v>1306</v>
      </c>
      <c r="D8385" s="31" t="s">
        <v>3663</v>
      </c>
      <c r="E8385" s="32">
        <v>46113.0</v>
      </c>
      <c r="F8385" s="32">
        <v>46171.0</v>
      </c>
      <c r="G8385" s="33"/>
    </row>
    <row r="8386" ht="15.75" customHeight="1">
      <c r="A8386" s="26" t="s">
        <v>12050</v>
      </c>
      <c r="B8386" s="27" t="s">
        <v>767</v>
      </c>
      <c r="C8386" s="27" t="s">
        <v>1308</v>
      </c>
      <c r="D8386" s="27" t="s">
        <v>3663</v>
      </c>
      <c r="E8386" s="28">
        <v>46113.0</v>
      </c>
      <c r="F8386" s="28">
        <v>46171.0</v>
      </c>
      <c r="G8386" s="29"/>
    </row>
    <row r="8387" ht="15.75" customHeight="1">
      <c r="A8387" s="30" t="s">
        <v>12051</v>
      </c>
      <c r="B8387" s="31" t="s">
        <v>767</v>
      </c>
      <c r="C8387" s="31" t="s">
        <v>1310</v>
      </c>
      <c r="D8387" s="31" t="s">
        <v>3663</v>
      </c>
      <c r="E8387" s="32">
        <v>46113.0</v>
      </c>
      <c r="F8387" s="32">
        <v>46171.0</v>
      </c>
      <c r="G8387" s="33"/>
    </row>
    <row r="8388" ht="15.75" customHeight="1">
      <c r="A8388" s="26" t="s">
        <v>12052</v>
      </c>
      <c r="B8388" s="27" t="s">
        <v>767</v>
      </c>
      <c r="C8388" s="27" t="s">
        <v>1312</v>
      </c>
      <c r="D8388" s="26" t="s">
        <v>3663</v>
      </c>
      <c r="E8388" s="28">
        <v>46113.0</v>
      </c>
      <c r="F8388" s="28">
        <v>46171.0</v>
      </c>
      <c r="G8388" s="29"/>
    </row>
    <row r="8389" ht="15.75" customHeight="1">
      <c r="A8389" s="30" t="s">
        <v>12053</v>
      </c>
      <c r="B8389" s="31" t="s">
        <v>767</v>
      </c>
      <c r="C8389" s="31" t="s">
        <v>3681</v>
      </c>
      <c r="D8389" s="30" t="s">
        <v>3663</v>
      </c>
      <c r="E8389" s="32">
        <v>46113.0</v>
      </c>
      <c r="F8389" s="32">
        <v>46171.0</v>
      </c>
      <c r="G8389" s="33"/>
    </row>
    <row r="8390" ht="15.75" customHeight="1">
      <c r="A8390" s="26" t="s">
        <v>12054</v>
      </c>
      <c r="B8390" s="27" t="s">
        <v>767</v>
      </c>
      <c r="C8390" s="27" t="s">
        <v>3683</v>
      </c>
      <c r="D8390" s="26" t="s">
        <v>3663</v>
      </c>
      <c r="E8390" s="28">
        <v>46113.0</v>
      </c>
      <c r="F8390" s="28">
        <v>46171.0</v>
      </c>
      <c r="G8390" s="29"/>
    </row>
    <row r="8391" ht="15.75" customHeight="1">
      <c r="A8391" s="30" t="s">
        <v>12055</v>
      </c>
      <c r="B8391" s="31" t="s">
        <v>767</v>
      </c>
      <c r="C8391" s="31" t="s">
        <v>3647</v>
      </c>
      <c r="D8391" s="30" t="s">
        <v>3663</v>
      </c>
      <c r="E8391" s="32">
        <v>46113.0</v>
      </c>
      <c r="F8391" s="32">
        <v>46171.0</v>
      </c>
      <c r="G8391" s="33"/>
    </row>
    <row r="8392" ht="15.75" customHeight="1">
      <c r="A8392" s="26" t="s">
        <v>12056</v>
      </c>
      <c r="B8392" s="27" t="s">
        <v>767</v>
      </c>
      <c r="C8392" s="27" t="s">
        <v>952</v>
      </c>
      <c r="D8392" s="26" t="s">
        <v>3663</v>
      </c>
      <c r="E8392" s="28">
        <v>46113.0</v>
      </c>
      <c r="F8392" s="28">
        <v>46171.0</v>
      </c>
      <c r="G8392" s="29"/>
    </row>
    <row r="8393" ht="15.75" customHeight="1">
      <c r="A8393" s="30" t="s">
        <v>12057</v>
      </c>
      <c r="B8393" s="31" t="s">
        <v>767</v>
      </c>
      <c r="C8393" s="31" t="s">
        <v>1216</v>
      </c>
      <c r="D8393" s="30" t="s">
        <v>3663</v>
      </c>
      <c r="E8393" s="32">
        <v>46113.0</v>
      </c>
      <c r="F8393" s="32">
        <v>46171.0</v>
      </c>
      <c r="G8393" s="33"/>
    </row>
    <row r="8394" ht="15.75" customHeight="1">
      <c r="A8394" s="26" t="s">
        <v>12058</v>
      </c>
      <c r="B8394" s="27" t="s">
        <v>767</v>
      </c>
      <c r="C8394" s="27" t="s">
        <v>968</v>
      </c>
      <c r="D8394" s="26" t="s">
        <v>3663</v>
      </c>
      <c r="E8394" s="28">
        <v>46113.0</v>
      </c>
      <c r="F8394" s="28">
        <v>46171.0</v>
      </c>
      <c r="G8394" s="29"/>
    </row>
    <row r="8395" ht="15.75" customHeight="1">
      <c r="A8395" s="30" t="s">
        <v>12059</v>
      </c>
      <c r="B8395" s="31" t="s">
        <v>767</v>
      </c>
      <c r="C8395" s="31" t="s">
        <v>923</v>
      </c>
      <c r="D8395" s="31" t="s">
        <v>3663</v>
      </c>
      <c r="E8395" s="32">
        <v>46113.0</v>
      </c>
      <c r="F8395" s="32">
        <v>46171.0</v>
      </c>
      <c r="G8395" s="33"/>
    </row>
    <row r="8396" ht="15.75" customHeight="1">
      <c r="A8396" s="26" t="s">
        <v>12060</v>
      </c>
      <c r="B8396" s="27" t="s">
        <v>768</v>
      </c>
      <c r="C8396" s="27" t="s">
        <v>928</v>
      </c>
      <c r="D8396" s="26" t="s">
        <v>3663</v>
      </c>
      <c r="E8396" s="28">
        <v>46113.0</v>
      </c>
      <c r="F8396" s="28">
        <v>46171.0</v>
      </c>
      <c r="G8396" s="29"/>
    </row>
    <row r="8397" ht="15.75" customHeight="1">
      <c r="A8397" s="30" t="s">
        <v>12061</v>
      </c>
      <c r="B8397" s="31" t="s">
        <v>768</v>
      </c>
      <c r="C8397" s="31" t="s">
        <v>1354</v>
      </c>
      <c r="D8397" s="30" t="s">
        <v>3663</v>
      </c>
      <c r="E8397" s="32">
        <v>46113.0</v>
      </c>
      <c r="F8397" s="32">
        <v>46171.0</v>
      </c>
      <c r="G8397" s="33"/>
    </row>
    <row r="8398" ht="15.75" customHeight="1">
      <c r="A8398" s="26" t="s">
        <v>12062</v>
      </c>
      <c r="B8398" s="27" t="s">
        <v>768</v>
      </c>
      <c r="C8398" s="27" t="s">
        <v>1222</v>
      </c>
      <c r="D8398" s="26" t="s">
        <v>3663</v>
      </c>
      <c r="E8398" s="28">
        <v>46113.0</v>
      </c>
      <c r="F8398" s="28">
        <v>46171.0</v>
      </c>
      <c r="G8398" s="29"/>
    </row>
    <row r="8399" ht="15.75" customHeight="1">
      <c r="A8399" s="30" t="s">
        <v>12063</v>
      </c>
      <c r="B8399" s="31" t="s">
        <v>768</v>
      </c>
      <c r="C8399" s="31" t="s">
        <v>1224</v>
      </c>
      <c r="D8399" s="30" t="s">
        <v>3663</v>
      </c>
      <c r="E8399" s="32">
        <v>46113.0</v>
      </c>
      <c r="F8399" s="32">
        <v>46171.0</v>
      </c>
      <c r="G8399" s="33"/>
    </row>
    <row r="8400" ht="15.75" customHeight="1">
      <c r="A8400" s="26" t="s">
        <v>12064</v>
      </c>
      <c r="B8400" s="27" t="s">
        <v>768</v>
      </c>
      <c r="C8400" s="27" t="s">
        <v>1226</v>
      </c>
      <c r="D8400" s="26" t="s">
        <v>3663</v>
      </c>
      <c r="E8400" s="28">
        <v>46113.0</v>
      </c>
      <c r="F8400" s="28">
        <v>46171.0</v>
      </c>
      <c r="G8400" s="29"/>
    </row>
    <row r="8401" ht="15.75" customHeight="1">
      <c r="A8401" s="30" t="s">
        <v>12065</v>
      </c>
      <c r="B8401" s="31" t="s">
        <v>768</v>
      </c>
      <c r="C8401" s="31" t="s">
        <v>1228</v>
      </c>
      <c r="D8401" s="30" t="s">
        <v>3663</v>
      </c>
      <c r="E8401" s="32">
        <v>46113.0</v>
      </c>
      <c r="F8401" s="32">
        <v>46171.0</v>
      </c>
      <c r="G8401" s="33"/>
    </row>
    <row r="8402" ht="15.75" customHeight="1">
      <c r="A8402" s="26" t="s">
        <v>12066</v>
      </c>
      <c r="B8402" s="27" t="s">
        <v>768</v>
      </c>
      <c r="C8402" s="27" t="s">
        <v>3681</v>
      </c>
      <c r="D8402" s="26" t="s">
        <v>3663</v>
      </c>
      <c r="E8402" s="28">
        <v>46113.0</v>
      </c>
      <c r="F8402" s="28">
        <v>46171.0</v>
      </c>
      <c r="G8402" s="29"/>
    </row>
    <row r="8403" ht="15.75" customHeight="1">
      <c r="A8403" s="30" t="s">
        <v>12067</v>
      </c>
      <c r="B8403" s="31" t="s">
        <v>768</v>
      </c>
      <c r="C8403" s="31" t="s">
        <v>3683</v>
      </c>
      <c r="D8403" s="30" t="s">
        <v>3663</v>
      </c>
      <c r="E8403" s="32">
        <v>46113.0</v>
      </c>
      <c r="F8403" s="32">
        <v>46171.0</v>
      </c>
      <c r="G8403" s="33"/>
    </row>
    <row r="8404" ht="15.75" customHeight="1">
      <c r="A8404" s="26" t="s">
        <v>12068</v>
      </c>
      <c r="B8404" s="27" t="s">
        <v>768</v>
      </c>
      <c r="C8404" s="27" t="s">
        <v>1351</v>
      </c>
      <c r="D8404" s="26" t="s">
        <v>3663</v>
      </c>
      <c r="E8404" s="28">
        <v>46113.0</v>
      </c>
      <c r="F8404" s="28">
        <v>46171.0</v>
      </c>
      <c r="G8404" s="29"/>
    </row>
    <row r="8405" ht="15.75" customHeight="1">
      <c r="A8405" s="30" t="s">
        <v>12069</v>
      </c>
      <c r="B8405" s="31" t="s">
        <v>768</v>
      </c>
      <c r="C8405" s="31" t="s">
        <v>1349</v>
      </c>
      <c r="D8405" s="30" t="s">
        <v>3663</v>
      </c>
      <c r="E8405" s="32">
        <v>46113.0</v>
      </c>
      <c r="F8405" s="32">
        <v>46171.0</v>
      </c>
      <c r="G8405" s="33"/>
    </row>
    <row r="8406" ht="15.75" customHeight="1">
      <c r="A8406" s="26" t="s">
        <v>12070</v>
      </c>
      <c r="B8406" s="27" t="s">
        <v>768</v>
      </c>
      <c r="C8406" s="27" t="s">
        <v>968</v>
      </c>
      <c r="D8406" s="26" t="s">
        <v>3663</v>
      </c>
      <c r="E8406" s="28">
        <v>46113.0</v>
      </c>
      <c r="F8406" s="28">
        <v>46171.0</v>
      </c>
      <c r="G8406" s="29"/>
    </row>
    <row r="8407" ht="15.75" customHeight="1">
      <c r="A8407" s="30" t="s">
        <v>12071</v>
      </c>
      <c r="B8407" s="31" t="s">
        <v>768</v>
      </c>
      <c r="C8407" s="31" t="s">
        <v>923</v>
      </c>
      <c r="D8407" s="30" t="s">
        <v>3663</v>
      </c>
      <c r="E8407" s="32">
        <v>46113.0</v>
      </c>
      <c r="F8407" s="32">
        <v>46171.0</v>
      </c>
      <c r="G8407" s="33"/>
    </row>
    <row r="8408" ht="15.75" customHeight="1">
      <c r="A8408" s="26" t="s">
        <v>12072</v>
      </c>
      <c r="B8408" s="27" t="s">
        <v>768</v>
      </c>
      <c r="C8408" s="27" t="s">
        <v>961</v>
      </c>
      <c r="D8408" s="26" t="s">
        <v>3663</v>
      </c>
      <c r="E8408" s="28">
        <v>46113.0</v>
      </c>
      <c r="F8408" s="28">
        <v>46171.0</v>
      </c>
      <c r="G8408" s="29"/>
    </row>
    <row r="8409" ht="15.75" customHeight="1">
      <c r="A8409" s="30" t="s">
        <v>12073</v>
      </c>
      <c r="B8409" s="31" t="s">
        <v>768</v>
      </c>
      <c r="C8409" s="31" t="s">
        <v>955</v>
      </c>
      <c r="D8409" s="30" t="s">
        <v>3663</v>
      </c>
      <c r="E8409" s="32">
        <v>46113.0</v>
      </c>
      <c r="F8409" s="32">
        <v>46171.0</v>
      </c>
      <c r="G8409" s="33"/>
    </row>
    <row r="8410" ht="15.75" customHeight="1">
      <c r="A8410" s="26" t="s">
        <v>12074</v>
      </c>
      <c r="B8410" s="27" t="s">
        <v>769</v>
      </c>
      <c r="C8410" s="27" t="s">
        <v>3654</v>
      </c>
      <c r="D8410" s="26" t="s">
        <v>3663</v>
      </c>
      <c r="E8410" s="28">
        <v>46113.0</v>
      </c>
      <c r="F8410" s="28">
        <v>46171.0</v>
      </c>
      <c r="G8410" s="29"/>
    </row>
    <row r="8411" ht="15.75" customHeight="1">
      <c r="A8411" s="30" t="s">
        <v>12075</v>
      </c>
      <c r="B8411" s="31" t="s">
        <v>769</v>
      </c>
      <c r="C8411" s="31" t="s">
        <v>3655</v>
      </c>
      <c r="D8411" s="30" t="s">
        <v>3663</v>
      </c>
      <c r="E8411" s="32">
        <v>46113.0</v>
      </c>
      <c r="F8411" s="32">
        <v>46171.0</v>
      </c>
      <c r="G8411" s="33"/>
    </row>
    <row r="8412" ht="15.75" customHeight="1">
      <c r="A8412" s="26" t="s">
        <v>12076</v>
      </c>
      <c r="B8412" s="27" t="s">
        <v>769</v>
      </c>
      <c r="C8412" s="27" t="s">
        <v>930</v>
      </c>
      <c r="D8412" s="27" t="s">
        <v>3663</v>
      </c>
      <c r="E8412" s="28">
        <v>46113.0</v>
      </c>
      <c r="F8412" s="28">
        <v>46171.0</v>
      </c>
      <c r="G8412" s="29"/>
    </row>
    <row r="8413" ht="15.75" customHeight="1">
      <c r="A8413" s="30" t="s">
        <v>12077</v>
      </c>
      <c r="B8413" s="31" t="s">
        <v>769</v>
      </c>
      <c r="C8413" s="31" t="s">
        <v>1354</v>
      </c>
      <c r="D8413" s="30" t="s">
        <v>3663</v>
      </c>
      <c r="E8413" s="32">
        <v>46113.0</v>
      </c>
      <c r="F8413" s="32">
        <v>46171.0</v>
      </c>
      <c r="G8413" s="33"/>
    </row>
    <row r="8414" ht="15.75" customHeight="1">
      <c r="A8414" s="26" t="s">
        <v>12078</v>
      </c>
      <c r="B8414" s="27" t="s">
        <v>769</v>
      </c>
      <c r="C8414" s="27" t="s">
        <v>1304</v>
      </c>
      <c r="D8414" s="27" t="s">
        <v>3663</v>
      </c>
      <c r="E8414" s="28">
        <v>46113.0</v>
      </c>
      <c r="F8414" s="28">
        <v>46171.0</v>
      </c>
      <c r="G8414" s="29"/>
    </row>
    <row r="8415" ht="15.75" customHeight="1">
      <c r="A8415" s="30" t="s">
        <v>12079</v>
      </c>
      <c r="B8415" s="31" t="s">
        <v>769</v>
      </c>
      <c r="C8415" s="31" t="s">
        <v>1306</v>
      </c>
      <c r="D8415" s="31" t="s">
        <v>3663</v>
      </c>
      <c r="E8415" s="32">
        <v>46113.0</v>
      </c>
      <c r="F8415" s="32">
        <v>46171.0</v>
      </c>
      <c r="G8415" s="33"/>
    </row>
    <row r="8416" ht="15.75" customHeight="1">
      <c r="A8416" s="26" t="s">
        <v>12080</v>
      </c>
      <c r="B8416" s="27" t="s">
        <v>769</v>
      </c>
      <c r="C8416" s="27" t="s">
        <v>1308</v>
      </c>
      <c r="D8416" s="27" t="s">
        <v>3663</v>
      </c>
      <c r="E8416" s="28">
        <v>46113.0</v>
      </c>
      <c r="F8416" s="28">
        <v>46171.0</v>
      </c>
      <c r="G8416" s="29"/>
    </row>
    <row r="8417" ht="15.75" customHeight="1">
      <c r="A8417" s="30" t="s">
        <v>12081</v>
      </c>
      <c r="B8417" s="31" t="s">
        <v>769</v>
      </c>
      <c r="C8417" s="31" t="s">
        <v>1310</v>
      </c>
      <c r="D8417" s="31" t="s">
        <v>3663</v>
      </c>
      <c r="E8417" s="32">
        <v>46113.0</v>
      </c>
      <c r="F8417" s="32">
        <v>46171.0</v>
      </c>
      <c r="G8417" s="33"/>
    </row>
    <row r="8418" ht="15.75" customHeight="1">
      <c r="A8418" s="26" t="s">
        <v>12082</v>
      </c>
      <c r="B8418" s="27" t="s">
        <v>769</v>
      </c>
      <c r="C8418" s="27" t="s">
        <v>1216</v>
      </c>
      <c r="D8418" s="26" t="s">
        <v>3663</v>
      </c>
      <c r="E8418" s="28">
        <v>46113.0</v>
      </c>
      <c r="F8418" s="28">
        <v>46171.0</v>
      </c>
      <c r="G8418" s="29"/>
    </row>
    <row r="8419" ht="15.75" customHeight="1">
      <c r="A8419" s="30" t="s">
        <v>12083</v>
      </c>
      <c r="B8419" s="31" t="s">
        <v>769</v>
      </c>
      <c r="C8419" s="31" t="s">
        <v>1218</v>
      </c>
      <c r="D8419" s="30" t="s">
        <v>3663</v>
      </c>
      <c r="E8419" s="32">
        <v>46113.0</v>
      </c>
      <c r="F8419" s="32">
        <v>46171.0</v>
      </c>
      <c r="G8419" s="33"/>
    </row>
    <row r="8420" ht="15.75" customHeight="1">
      <c r="A8420" s="26" t="s">
        <v>12084</v>
      </c>
      <c r="B8420" s="27" t="s">
        <v>769</v>
      </c>
      <c r="C8420" s="27" t="s">
        <v>1351</v>
      </c>
      <c r="D8420" s="26" t="s">
        <v>3663</v>
      </c>
      <c r="E8420" s="28">
        <v>46113.0</v>
      </c>
      <c r="F8420" s="28">
        <v>46171.0</v>
      </c>
      <c r="G8420" s="29"/>
    </row>
    <row r="8421" ht="15.75" customHeight="1">
      <c r="A8421" s="30" t="s">
        <v>12085</v>
      </c>
      <c r="B8421" s="31" t="s">
        <v>769</v>
      </c>
      <c r="C8421" s="31" t="s">
        <v>1349</v>
      </c>
      <c r="D8421" s="30" t="s">
        <v>3663</v>
      </c>
      <c r="E8421" s="32">
        <v>46113.0</v>
      </c>
      <c r="F8421" s="32">
        <v>46171.0</v>
      </c>
      <c r="G8421" s="33"/>
    </row>
    <row r="8422" ht="15.75" customHeight="1">
      <c r="A8422" s="26" t="s">
        <v>12086</v>
      </c>
      <c r="B8422" s="27" t="s">
        <v>769</v>
      </c>
      <c r="C8422" s="27" t="s">
        <v>965</v>
      </c>
      <c r="D8422" s="26" t="s">
        <v>3663</v>
      </c>
      <c r="E8422" s="28">
        <v>46113.0</v>
      </c>
      <c r="F8422" s="28">
        <v>46171.0</v>
      </c>
      <c r="G8422" s="29"/>
    </row>
    <row r="8423" ht="15.75" customHeight="1">
      <c r="A8423" s="30" t="s">
        <v>12087</v>
      </c>
      <c r="B8423" s="31" t="s">
        <v>769</v>
      </c>
      <c r="C8423" s="31" t="s">
        <v>923</v>
      </c>
      <c r="D8423" s="31" t="s">
        <v>3663</v>
      </c>
      <c r="E8423" s="32">
        <v>46113.0</v>
      </c>
      <c r="F8423" s="32">
        <v>46171.0</v>
      </c>
      <c r="G8423" s="33"/>
    </row>
    <row r="8424" ht="15.75" customHeight="1">
      <c r="A8424" s="26" t="s">
        <v>12088</v>
      </c>
      <c r="B8424" s="27" t="s">
        <v>770</v>
      </c>
      <c r="C8424" s="27" t="s">
        <v>930</v>
      </c>
      <c r="D8424" s="26" t="s">
        <v>3663</v>
      </c>
      <c r="E8424" s="28">
        <v>46113.0</v>
      </c>
      <c r="F8424" s="28">
        <v>46171.0</v>
      </c>
      <c r="G8424" s="29"/>
    </row>
    <row r="8425" ht="15.75" customHeight="1">
      <c r="A8425" s="30" t="s">
        <v>12089</v>
      </c>
      <c r="B8425" s="31" t="s">
        <v>770</v>
      </c>
      <c r="C8425" s="31" t="s">
        <v>1354</v>
      </c>
      <c r="D8425" s="30" t="s">
        <v>3663</v>
      </c>
      <c r="E8425" s="32">
        <v>46113.0</v>
      </c>
      <c r="F8425" s="32">
        <v>46171.0</v>
      </c>
      <c r="G8425" s="33"/>
    </row>
    <row r="8426" ht="15.75" customHeight="1">
      <c r="A8426" s="26" t="s">
        <v>12090</v>
      </c>
      <c r="B8426" s="27" t="s">
        <v>770</v>
      </c>
      <c r="C8426" s="27" t="s">
        <v>3656</v>
      </c>
      <c r="D8426" s="26" t="s">
        <v>3663</v>
      </c>
      <c r="E8426" s="28">
        <v>46113.0</v>
      </c>
      <c r="F8426" s="28">
        <v>46171.0</v>
      </c>
      <c r="G8426" s="29"/>
    </row>
    <row r="8427" ht="15.75" customHeight="1">
      <c r="A8427" s="30" t="s">
        <v>12091</v>
      </c>
      <c r="B8427" s="31" t="s">
        <v>770</v>
      </c>
      <c r="C8427" s="31" t="s">
        <v>3657</v>
      </c>
      <c r="D8427" s="30" t="s">
        <v>3663</v>
      </c>
      <c r="E8427" s="32">
        <v>46113.0</v>
      </c>
      <c r="F8427" s="32">
        <v>46171.0</v>
      </c>
      <c r="G8427" s="33"/>
    </row>
    <row r="8428" ht="15.75" customHeight="1">
      <c r="A8428" s="26" t="s">
        <v>12092</v>
      </c>
      <c r="B8428" s="27" t="s">
        <v>770</v>
      </c>
      <c r="C8428" s="27" t="s">
        <v>1216</v>
      </c>
      <c r="D8428" s="26" t="s">
        <v>3663</v>
      </c>
      <c r="E8428" s="28">
        <v>46113.0</v>
      </c>
      <c r="F8428" s="28">
        <v>46171.0</v>
      </c>
      <c r="G8428" s="29"/>
    </row>
    <row r="8429" ht="15.75" customHeight="1">
      <c r="A8429" s="30" t="s">
        <v>12093</v>
      </c>
      <c r="B8429" s="31" t="s">
        <v>770</v>
      </c>
      <c r="C8429" s="31" t="s">
        <v>1157</v>
      </c>
      <c r="D8429" s="30" t="s">
        <v>3663</v>
      </c>
      <c r="E8429" s="32">
        <v>46113.0</v>
      </c>
      <c r="F8429" s="32">
        <v>46171.0</v>
      </c>
      <c r="G8429" s="33"/>
    </row>
    <row r="8430" ht="15.75" customHeight="1">
      <c r="A8430" s="26" t="s">
        <v>12094</v>
      </c>
      <c r="B8430" s="27" t="s">
        <v>770</v>
      </c>
      <c r="C8430" s="27" t="s">
        <v>1155</v>
      </c>
      <c r="D8430" s="26" t="s">
        <v>3663</v>
      </c>
      <c r="E8430" s="28">
        <v>46113.0</v>
      </c>
      <c r="F8430" s="28">
        <v>46171.0</v>
      </c>
      <c r="G8430" s="29"/>
    </row>
    <row r="8431" ht="15.75" customHeight="1">
      <c r="A8431" s="30" t="s">
        <v>12095</v>
      </c>
      <c r="B8431" s="31" t="s">
        <v>770</v>
      </c>
      <c r="C8431" s="31" t="s">
        <v>1153</v>
      </c>
      <c r="D8431" s="30" t="s">
        <v>3663</v>
      </c>
      <c r="E8431" s="32">
        <v>46113.0</v>
      </c>
      <c r="F8431" s="32">
        <v>46171.0</v>
      </c>
      <c r="G8431" s="33"/>
    </row>
    <row r="8432" ht="15.75" customHeight="1">
      <c r="A8432" s="26" t="s">
        <v>12096</v>
      </c>
      <c r="B8432" s="27" t="s">
        <v>770</v>
      </c>
      <c r="C8432" s="27" t="s">
        <v>1149</v>
      </c>
      <c r="D8432" s="26" t="s">
        <v>3663</v>
      </c>
      <c r="E8432" s="28">
        <v>46113.0</v>
      </c>
      <c r="F8432" s="28">
        <v>46171.0</v>
      </c>
      <c r="G8432" s="29"/>
    </row>
    <row r="8433" ht="15.75" customHeight="1">
      <c r="A8433" s="30" t="s">
        <v>12097</v>
      </c>
      <c r="B8433" s="31" t="s">
        <v>770</v>
      </c>
      <c r="C8433" s="31" t="s">
        <v>1351</v>
      </c>
      <c r="D8433" s="30" t="s">
        <v>3663</v>
      </c>
      <c r="E8433" s="32">
        <v>46113.0</v>
      </c>
      <c r="F8433" s="32">
        <v>46171.0</v>
      </c>
      <c r="G8433" s="33"/>
    </row>
    <row r="8434" ht="15.75" customHeight="1">
      <c r="A8434" s="26" t="s">
        <v>12098</v>
      </c>
      <c r="B8434" s="27" t="s">
        <v>770</v>
      </c>
      <c r="C8434" s="27" t="s">
        <v>1349</v>
      </c>
      <c r="D8434" s="26" t="s">
        <v>3663</v>
      </c>
      <c r="E8434" s="28">
        <v>46113.0</v>
      </c>
      <c r="F8434" s="28">
        <v>46171.0</v>
      </c>
      <c r="G8434" s="29"/>
    </row>
    <row r="8435" ht="15.75" customHeight="1">
      <c r="A8435" s="30" t="s">
        <v>12099</v>
      </c>
      <c r="B8435" s="31" t="s">
        <v>770</v>
      </c>
      <c r="C8435" s="31" t="s">
        <v>965</v>
      </c>
      <c r="D8435" s="30" t="s">
        <v>3663</v>
      </c>
      <c r="E8435" s="32">
        <v>46113.0</v>
      </c>
      <c r="F8435" s="32">
        <v>46171.0</v>
      </c>
      <c r="G8435" s="33"/>
    </row>
    <row r="8436" ht="15.75" customHeight="1">
      <c r="A8436" s="26" t="s">
        <v>12100</v>
      </c>
      <c r="B8436" s="27" t="s">
        <v>770</v>
      </c>
      <c r="C8436" s="27" t="s">
        <v>923</v>
      </c>
      <c r="D8436" s="26" t="s">
        <v>3663</v>
      </c>
      <c r="E8436" s="28">
        <v>46113.0</v>
      </c>
      <c r="F8436" s="28">
        <v>46171.0</v>
      </c>
      <c r="G8436" s="29"/>
    </row>
    <row r="8437" ht="15.75" customHeight="1">
      <c r="A8437" s="30" t="s">
        <v>12101</v>
      </c>
      <c r="B8437" s="31" t="s">
        <v>770</v>
      </c>
      <c r="C8437" s="31" t="s">
        <v>961</v>
      </c>
      <c r="D8437" s="30" t="s">
        <v>3663</v>
      </c>
      <c r="E8437" s="32">
        <v>46113.0</v>
      </c>
      <c r="F8437" s="32">
        <v>46171.0</v>
      </c>
      <c r="G8437" s="33"/>
    </row>
    <row r="8438" ht="15.75" customHeight="1">
      <c r="A8438" s="26" t="s">
        <v>12102</v>
      </c>
      <c r="B8438" s="27" t="s">
        <v>771</v>
      </c>
      <c r="C8438" s="27" t="s">
        <v>930</v>
      </c>
      <c r="D8438" s="27" t="s">
        <v>3663</v>
      </c>
      <c r="E8438" s="28">
        <v>46113.0</v>
      </c>
      <c r="F8438" s="28">
        <v>46171.0</v>
      </c>
      <c r="G8438" s="29"/>
    </row>
    <row r="8439" ht="15.75" customHeight="1">
      <c r="A8439" s="30" t="s">
        <v>12103</v>
      </c>
      <c r="B8439" s="31" t="s">
        <v>771</v>
      </c>
      <c r="C8439" s="31" t="s">
        <v>1354</v>
      </c>
      <c r="D8439" s="30" t="s">
        <v>3663</v>
      </c>
      <c r="E8439" s="32">
        <v>46113.0</v>
      </c>
      <c r="F8439" s="32">
        <v>46171.0</v>
      </c>
      <c r="G8439" s="33"/>
    </row>
    <row r="8440" ht="15.75" customHeight="1">
      <c r="A8440" s="26" t="s">
        <v>12104</v>
      </c>
      <c r="B8440" s="27" t="s">
        <v>771</v>
      </c>
      <c r="C8440" s="27" t="s">
        <v>1304</v>
      </c>
      <c r="D8440" s="27" t="s">
        <v>3663</v>
      </c>
      <c r="E8440" s="28">
        <v>46113.0</v>
      </c>
      <c r="F8440" s="28">
        <v>46171.0</v>
      </c>
      <c r="G8440" s="29"/>
    </row>
    <row r="8441" ht="15.75" customHeight="1">
      <c r="A8441" s="30" t="s">
        <v>12105</v>
      </c>
      <c r="B8441" s="31" t="s">
        <v>771</v>
      </c>
      <c r="C8441" s="31" t="s">
        <v>1306</v>
      </c>
      <c r="D8441" s="31" t="s">
        <v>3663</v>
      </c>
      <c r="E8441" s="32">
        <v>46113.0</v>
      </c>
      <c r="F8441" s="32">
        <v>46171.0</v>
      </c>
      <c r="G8441" s="33"/>
    </row>
    <row r="8442" ht="15.75" customHeight="1">
      <c r="A8442" s="26" t="s">
        <v>12106</v>
      </c>
      <c r="B8442" s="27" t="s">
        <v>771</v>
      </c>
      <c r="C8442" s="27" t="s">
        <v>1308</v>
      </c>
      <c r="D8442" s="27" t="s">
        <v>3663</v>
      </c>
      <c r="E8442" s="28">
        <v>46113.0</v>
      </c>
      <c r="F8442" s="28">
        <v>46171.0</v>
      </c>
      <c r="G8442" s="29"/>
    </row>
    <row r="8443" ht="15.75" customHeight="1">
      <c r="A8443" s="30" t="s">
        <v>12107</v>
      </c>
      <c r="B8443" s="31" t="s">
        <v>771</v>
      </c>
      <c r="C8443" s="31" t="s">
        <v>1310</v>
      </c>
      <c r="D8443" s="31" t="s">
        <v>3663</v>
      </c>
      <c r="E8443" s="32">
        <v>46113.0</v>
      </c>
      <c r="F8443" s="32">
        <v>46171.0</v>
      </c>
      <c r="G8443" s="33"/>
    </row>
    <row r="8444" ht="15.75" customHeight="1">
      <c r="A8444" s="26" t="s">
        <v>12108</v>
      </c>
      <c r="B8444" s="27" t="s">
        <v>771</v>
      </c>
      <c r="C8444" s="27" t="s">
        <v>1312</v>
      </c>
      <c r="D8444" s="26" t="s">
        <v>3663</v>
      </c>
      <c r="E8444" s="28">
        <v>46113.0</v>
      </c>
      <c r="F8444" s="28">
        <v>46171.0</v>
      </c>
      <c r="G8444" s="29"/>
    </row>
    <row r="8445" ht="15.75" customHeight="1">
      <c r="A8445" s="30" t="s">
        <v>12109</v>
      </c>
      <c r="B8445" s="31" t="s">
        <v>771</v>
      </c>
      <c r="C8445" s="31" t="s">
        <v>3656</v>
      </c>
      <c r="D8445" s="30" t="s">
        <v>3663</v>
      </c>
      <c r="E8445" s="32">
        <v>46113.0</v>
      </c>
      <c r="F8445" s="32">
        <v>46171.0</v>
      </c>
      <c r="G8445" s="33"/>
    </row>
    <row r="8446" ht="15.75" customHeight="1">
      <c r="A8446" s="26" t="s">
        <v>12110</v>
      </c>
      <c r="B8446" s="27" t="s">
        <v>771</v>
      </c>
      <c r="C8446" s="27" t="s">
        <v>3657</v>
      </c>
      <c r="D8446" s="26" t="s">
        <v>3663</v>
      </c>
      <c r="E8446" s="28">
        <v>46113.0</v>
      </c>
      <c r="F8446" s="28">
        <v>46171.0</v>
      </c>
      <c r="G8446" s="29"/>
    </row>
    <row r="8447" ht="15.75" customHeight="1">
      <c r="A8447" s="30" t="s">
        <v>12111</v>
      </c>
      <c r="B8447" s="31" t="s">
        <v>771</v>
      </c>
      <c r="C8447" s="31" t="s">
        <v>1216</v>
      </c>
      <c r="D8447" s="30" t="s">
        <v>3663</v>
      </c>
      <c r="E8447" s="32">
        <v>46113.0</v>
      </c>
      <c r="F8447" s="32">
        <v>46171.0</v>
      </c>
      <c r="G8447" s="33"/>
    </row>
    <row r="8448" ht="15.75" customHeight="1">
      <c r="A8448" s="26" t="s">
        <v>12112</v>
      </c>
      <c r="B8448" s="27" t="s">
        <v>771</v>
      </c>
      <c r="C8448" s="27" t="s">
        <v>1351</v>
      </c>
      <c r="D8448" s="26" t="s">
        <v>3663</v>
      </c>
      <c r="E8448" s="28">
        <v>46113.0</v>
      </c>
      <c r="F8448" s="28">
        <v>46171.0</v>
      </c>
      <c r="G8448" s="29"/>
    </row>
    <row r="8449" ht="15.75" customHeight="1">
      <c r="A8449" s="30" t="s">
        <v>12113</v>
      </c>
      <c r="B8449" s="31" t="s">
        <v>771</v>
      </c>
      <c r="C8449" s="31" t="s">
        <v>1349</v>
      </c>
      <c r="D8449" s="30" t="s">
        <v>3663</v>
      </c>
      <c r="E8449" s="32">
        <v>46113.0</v>
      </c>
      <c r="F8449" s="32">
        <v>46171.0</v>
      </c>
      <c r="G8449" s="33"/>
    </row>
    <row r="8450" ht="15.75" customHeight="1">
      <c r="A8450" s="26" t="s">
        <v>12114</v>
      </c>
      <c r="B8450" s="27" t="s">
        <v>771</v>
      </c>
      <c r="C8450" s="27" t="s">
        <v>965</v>
      </c>
      <c r="D8450" s="26" t="s">
        <v>3663</v>
      </c>
      <c r="E8450" s="28">
        <v>46113.0</v>
      </c>
      <c r="F8450" s="28">
        <v>46171.0</v>
      </c>
      <c r="G8450" s="29"/>
    </row>
    <row r="8451" ht="15.75" customHeight="1">
      <c r="A8451" s="30" t="s">
        <v>12115</v>
      </c>
      <c r="B8451" s="31" t="s">
        <v>771</v>
      </c>
      <c r="C8451" s="31" t="s">
        <v>923</v>
      </c>
      <c r="D8451" s="31" t="s">
        <v>3663</v>
      </c>
      <c r="E8451" s="32">
        <v>46113.0</v>
      </c>
      <c r="F8451" s="32">
        <v>46171.0</v>
      </c>
      <c r="G8451" s="33"/>
    </row>
    <row r="8452" ht="15.75" customHeight="1">
      <c r="A8452" s="26" t="s">
        <v>12116</v>
      </c>
      <c r="B8452" s="27" t="s">
        <v>772</v>
      </c>
      <c r="C8452" s="27" t="s">
        <v>1240</v>
      </c>
      <c r="D8452" s="27" t="s">
        <v>3663</v>
      </c>
      <c r="E8452" s="28">
        <v>46113.0</v>
      </c>
      <c r="F8452" s="28">
        <v>46171.0</v>
      </c>
      <c r="G8452" s="29"/>
    </row>
    <row r="8453" ht="15.75" customHeight="1">
      <c r="A8453" s="30" t="s">
        <v>12117</v>
      </c>
      <c r="B8453" s="31" t="s">
        <v>772</v>
      </c>
      <c r="C8453" s="31" t="s">
        <v>1242</v>
      </c>
      <c r="D8453" s="31" t="s">
        <v>3663</v>
      </c>
      <c r="E8453" s="32">
        <v>46113.0</v>
      </c>
      <c r="F8453" s="32">
        <v>46171.0</v>
      </c>
      <c r="G8453" s="33"/>
    </row>
    <row r="8454" ht="15.75" customHeight="1">
      <c r="A8454" s="26" t="s">
        <v>12118</v>
      </c>
      <c r="B8454" s="27" t="s">
        <v>772</v>
      </c>
      <c r="C8454" s="27" t="s">
        <v>1244</v>
      </c>
      <c r="D8454" s="27" t="s">
        <v>3663</v>
      </c>
      <c r="E8454" s="28">
        <v>46113.0</v>
      </c>
      <c r="F8454" s="28">
        <v>46171.0</v>
      </c>
      <c r="G8454" s="29"/>
    </row>
    <row r="8455" ht="15.75" customHeight="1">
      <c r="A8455" s="30" t="s">
        <v>12119</v>
      </c>
      <c r="B8455" s="31" t="s">
        <v>772</v>
      </c>
      <c r="C8455" s="31" t="s">
        <v>1246</v>
      </c>
      <c r="D8455" s="31" t="s">
        <v>3663</v>
      </c>
      <c r="E8455" s="32">
        <v>46113.0</v>
      </c>
      <c r="F8455" s="32">
        <v>46171.0</v>
      </c>
      <c r="G8455" s="33"/>
    </row>
    <row r="8456" ht="15.75" customHeight="1">
      <c r="A8456" s="26" t="s">
        <v>12120</v>
      </c>
      <c r="B8456" s="27" t="s">
        <v>772</v>
      </c>
      <c r="C8456" s="27" t="s">
        <v>934</v>
      </c>
      <c r="D8456" s="27" t="s">
        <v>3663</v>
      </c>
      <c r="E8456" s="28">
        <v>46113.0</v>
      </c>
      <c r="F8456" s="28">
        <v>46171.0</v>
      </c>
      <c r="G8456" s="29"/>
    </row>
    <row r="8457" ht="15.75" customHeight="1">
      <c r="A8457" s="30" t="s">
        <v>12121</v>
      </c>
      <c r="B8457" s="31" t="s">
        <v>772</v>
      </c>
      <c r="C8457" s="31" t="s">
        <v>1354</v>
      </c>
      <c r="D8457" s="30" t="s">
        <v>3663</v>
      </c>
      <c r="E8457" s="32">
        <v>46113.0</v>
      </c>
      <c r="F8457" s="32">
        <v>46171.0</v>
      </c>
      <c r="G8457" s="33"/>
    </row>
    <row r="8458" ht="15.75" customHeight="1">
      <c r="A8458" s="26" t="s">
        <v>12122</v>
      </c>
      <c r="B8458" s="27" t="s">
        <v>772</v>
      </c>
      <c r="C8458" s="27" t="s">
        <v>3656</v>
      </c>
      <c r="D8458" s="26" t="s">
        <v>3663</v>
      </c>
      <c r="E8458" s="28">
        <v>46113.0</v>
      </c>
      <c r="F8458" s="28">
        <v>46171.0</v>
      </c>
      <c r="G8458" s="29"/>
    </row>
    <row r="8459" ht="15.75" customHeight="1">
      <c r="A8459" s="30" t="s">
        <v>12123</v>
      </c>
      <c r="B8459" s="31" t="s">
        <v>772</v>
      </c>
      <c r="C8459" s="31" t="s">
        <v>3657</v>
      </c>
      <c r="D8459" s="30" t="s">
        <v>3663</v>
      </c>
      <c r="E8459" s="32">
        <v>46113.0</v>
      </c>
      <c r="F8459" s="32">
        <v>46171.0</v>
      </c>
      <c r="G8459" s="33"/>
    </row>
    <row r="8460" ht="15.75" customHeight="1">
      <c r="A8460" s="26" t="s">
        <v>12124</v>
      </c>
      <c r="B8460" s="27" t="s">
        <v>772</v>
      </c>
      <c r="C8460" s="27" t="s">
        <v>3647</v>
      </c>
      <c r="D8460" s="26" t="s">
        <v>3663</v>
      </c>
      <c r="E8460" s="28">
        <v>46113.0</v>
      </c>
      <c r="F8460" s="28">
        <v>46171.0</v>
      </c>
      <c r="G8460" s="29"/>
    </row>
    <row r="8461" ht="15.75" customHeight="1">
      <c r="A8461" s="30" t="s">
        <v>12125</v>
      </c>
      <c r="B8461" s="31" t="s">
        <v>772</v>
      </c>
      <c r="C8461" s="31" t="s">
        <v>952</v>
      </c>
      <c r="D8461" s="30" t="s">
        <v>3663</v>
      </c>
      <c r="E8461" s="32">
        <v>46113.0</v>
      </c>
      <c r="F8461" s="32">
        <v>46171.0</v>
      </c>
      <c r="G8461" s="33"/>
    </row>
    <row r="8462" ht="15.75" customHeight="1">
      <c r="A8462" s="26" t="s">
        <v>12126</v>
      </c>
      <c r="B8462" s="27" t="s">
        <v>772</v>
      </c>
      <c r="C8462" s="27" t="s">
        <v>1218</v>
      </c>
      <c r="D8462" s="26" t="s">
        <v>3663</v>
      </c>
      <c r="E8462" s="28">
        <v>46113.0</v>
      </c>
      <c r="F8462" s="28">
        <v>46171.0</v>
      </c>
      <c r="G8462" s="29"/>
    </row>
    <row r="8463" ht="15.75" customHeight="1">
      <c r="A8463" s="30" t="s">
        <v>12127</v>
      </c>
      <c r="B8463" s="31" t="s">
        <v>772</v>
      </c>
      <c r="C8463" s="31" t="s">
        <v>968</v>
      </c>
      <c r="D8463" s="30" t="s">
        <v>3663</v>
      </c>
      <c r="E8463" s="32">
        <v>46113.0</v>
      </c>
      <c r="F8463" s="32">
        <v>46171.0</v>
      </c>
      <c r="G8463" s="33"/>
    </row>
    <row r="8464" ht="15.75" customHeight="1">
      <c r="A8464" s="26" t="s">
        <v>12128</v>
      </c>
      <c r="B8464" s="27" t="s">
        <v>772</v>
      </c>
      <c r="C8464" s="27" t="s">
        <v>923</v>
      </c>
      <c r="D8464" s="27" t="s">
        <v>3663</v>
      </c>
      <c r="E8464" s="28">
        <v>46113.0</v>
      </c>
      <c r="F8464" s="28">
        <v>46171.0</v>
      </c>
      <c r="G8464" s="29"/>
    </row>
    <row r="8465" ht="15.75" customHeight="1">
      <c r="A8465" s="30" t="s">
        <v>12129</v>
      </c>
      <c r="B8465" s="31" t="s">
        <v>772</v>
      </c>
      <c r="C8465" s="31" t="s">
        <v>955</v>
      </c>
      <c r="D8465" s="30" t="s">
        <v>3663</v>
      </c>
      <c r="E8465" s="32">
        <v>46113.0</v>
      </c>
      <c r="F8465" s="32">
        <v>46171.0</v>
      </c>
      <c r="G8465" s="33"/>
    </row>
    <row r="8466" ht="15.75" customHeight="1">
      <c r="A8466" s="26" t="s">
        <v>12130</v>
      </c>
      <c r="B8466" s="27" t="s">
        <v>773</v>
      </c>
      <c r="C8466" s="27" t="s">
        <v>932</v>
      </c>
      <c r="D8466" s="26" t="s">
        <v>3663</v>
      </c>
      <c r="E8466" s="28">
        <v>46113.0</v>
      </c>
      <c r="F8466" s="28">
        <v>46171.0</v>
      </c>
      <c r="G8466" s="29"/>
    </row>
    <row r="8467" ht="15.75" customHeight="1">
      <c r="A8467" s="30" t="s">
        <v>12131</v>
      </c>
      <c r="B8467" s="31" t="s">
        <v>773</v>
      </c>
      <c r="C8467" s="31" t="s">
        <v>1164</v>
      </c>
      <c r="D8467" s="30" t="s">
        <v>3663</v>
      </c>
      <c r="E8467" s="32">
        <v>46113.0</v>
      </c>
      <c r="F8467" s="32">
        <v>46171.0</v>
      </c>
      <c r="G8467" s="33"/>
    </row>
    <row r="8468" ht="15.75" customHeight="1">
      <c r="A8468" s="26" t="s">
        <v>12132</v>
      </c>
      <c r="B8468" s="27" t="s">
        <v>773</v>
      </c>
      <c r="C8468" s="27" t="s">
        <v>1166</v>
      </c>
      <c r="D8468" s="26" t="s">
        <v>3663</v>
      </c>
      <c r="E8468" s="28">
        <v>46113.0</v>
      </c>
      <c r="F8468" s="28">
        <v>46171.0</v>
      </c>
      <c r="G8468" s="29"/>
    </row>
    <row r="8469" ht="15.75" customHeight="1">
      <c r="A8469" s="30" t="s">
        <v>12133</v>
      </c>
      <c r="B8469" s="31" t="s">
        <v>773</v>
      </c>
      <c r="C8469" s="31" t="s">
        <v>1168</v>
      </c>
      <c r="D8469" s="30" t="s">
        <v>3663</v>
      </c>
      <c r="E8469" s="32">
        <v>46113.0</v>
      </c>
      <c r="F8469" s="32">
        <v>46171.0</v>
      </c>
      <c r="G8469" s="33"/>
    </row>
    <row r="8470" ht="15.75" customHeight="1">
      <c r="A8470" s="26" t="s">
        <v>12134</v>
      </c>
      <c r="B8470" s="27" t="s">
        <v>773</v>
      </c>
      <c r="C8470" s="27" t="s">
        <v>1170</v>
      </c>
      <c r="D8470" s="26" t="s">
        <v>3663</v>
      </c>
      <c r="E8470" s="28">
        <v>46113.0</v>
      </c>
      <c r="F8470" s="28">
        <v>46171.0</v>
      </c>
      <c r="G8470" s="29"/>
    </row>
    <row r="8471" ht="15.75" customHeight="1">
      <c r="A8471" s="30" t="s">
        <v>12135</v>
      </c>
      <c r="B8471" s="31" t="s">
        <v>773</v>
      </c>
      <c r="C8471" s="31" t="s">
        <v>1354</v>
      </c>
      <c r="D8471" s="30" t="s">
        <v>3663</v>
      </c>
      <c r="E8471" s="32">
        <v>46113.0</v>
      </c>
      <c r="F8471" s="32">
        <v>46171.0</v>
      </c>
      <c r="G8471" s="33"/>
    </row>
    <row r="8472" ht="15.75" customHeight="1">
      <c r="A8472" s="26" t="s">
        <v>12136</v>
      </c>
      <c r="B8472" s="27" t="s">
        <v>773</v>
      </c>
      <c r="C8472" s="27" t="s">
        <v>3605</v>
      </c>
      <c r="D8472" s="26" t="s">
        <v>3663</v>
      </c>
      <c r="E8472" s="28">
        <v>46113.0</v>
      </c>
      <c r="F8472" s="28">
        <v>46171.0</v>
      </c>
      <c r="G8472" s="29"/>
    </row>
    <row r="8473" ht="15.75" customHeight="1">
      <c r="A8473" s="30" t="s">
        <v>12137</v>
      </c>
      <c r="B8473" s="31" t="s">
        <v>773</v>
      </c>
      <c r="C8473" s="31" t="s">
        <v>3681</v>
      </c>
      <c r="D8473" s="30" t="s">
        <v>3663</v>
      </c>
      <c r="E8473" s="32">
        <v>46113.0</v>
      </c>
      <c r="F8473" s="32">
        <v>46171.0</v>
      </c>
      <c r="G8473" s="33"/>
    </row>
    <row r="8474" ht="15.75" customHeight="1">
      <c r="A8474" s="26" t="s">
        <v>12138</v>
      </c>
      <c r="B8474" s="27" t="s">
        <v>773</v>
      </c>
      <c r="C8474" s="27" t="s">
        <v>3683</v>
      </c>
      <c r="D8474" s="26" t="s">
        <v>3663</v>
      </c>
      <c r="E8474" s="28">
        <v>46113.0</v>
      </c>
      <c r="F8474" s="28">
        <v>46171.0</v>
      </c>
      <c r="G8474" s="29"/>
    </row>
    <row r="8475" ht="15.75" customHeight="1">
      <c r="A8475" s="30" t="s">
        <v>12139</v>
      </c>
      <c r="B8475" s="31" t="s">
        <v>773</v>
      </c>
      <c r="C8475" s="31" t="s">
        <v>1351</v>
      </c>
      <c r="D8475" s="30" t="s">
        <v>3663</v>
      </c>
      <c r="E8475" s="32">
        <v>46113.0</v>
      </c>
      <c r="F8475" s="32">
        <v>46171.0</v>
      </c>
      <c r="G8475" s="33"/>
    </row>
    <row r="8476" ht="15.75" customHeight="1">
      <c r="A8476" s="26" t="s">
        <v>12140</v>
      </c>
      <c r="B8476" s="27" t="s">
        <v>773</v>
      </c>
      <c r="C8476" s="27" t="s">
        <v>1349</v>
      </c>
      <c r="D8476" s="26" t="s">
        <v>3663</v>
      </c>
      <c r="E8476" s="28">
        <v>46113.0</v>
      </c>
      <c r="F8476" s="28">
        <v>46171.0</v>
      </c>
      <c r="G8476" s="29"/>
    </row>
    <row r="8477" ht="15.75" customHeight="1">
      <c r="A8477" s="30" t="s">
        <v>12141</v>
      </c>
      <c r="B8477" s="31" t="s">
        <v>773</v>
      </c>
      <c r="C8477" s="31" t="s">
        <v>968</v>
      </c>
      <c r="D8477" s="30" t="s">
        <v>3663</v>
      </c>
      <c r="E8477" s="32">
        <v>46113.0</v>
      </c>
      <c r="F8477" s="32">
        <v>46171.0</v>
      </c>
      <c r="G8477" s="33"/>
    </row>
    <row r="8478" ht="15.75" customHeight="1">
      <c r="A8478" s="26" t="s">
        <v>12142</v>
      </c>
      <c r="B8478" s="27" t="s">
        <v>773</v>
      </c>
      <c r="C8478" s="27" t="s">
        <v>923</v>
      </c>
      <c r="D8478" s="26" t="s">
        <v>3663</v>
      </c>
      <c r="E8478" s="28">
        <v>46113.0</v>
      </c>
      <c r="F8478" s="28">
        <v>46171.0</v>
      </c>
      <c r="G8478" s="29"/>
    </row>
    <row r="8479" ht="15.75" customHeight="1">
      <c r="A8479" s="30" t="s">
        <v>12143</v>
      </c>
      <c r="B8479" s="31" t="s">
        <v>773</v>
      </c>
      <c r="C8479" s="31" t="s">
        <v>955</v>
      </c>
      <c r="D8479" s="30" t="s">
        <v>3663</v>
      </c>
      <c r="E8479" s="32">
        <v>46113.0</v>
      </c>
      <c r="F8479" s="32">
        <v>46171.0</v>
      </c>
      <c r="G8479" s="33"/>
    </row>
    <row r="8480" ht="15.75" customHeight="1">
      <c r="A8480" s="26" t="s">
        <v>12144</v>
      </c>
      <c r="B8480" s="27" t="s">
        <v>774</v>
      </c>
      <c r="C8480" s="27" t="s">
        <v>3654</v>
      </c>
      <c r="D8480" s="26" t="s">
        <v>3663</v>
      </c>
      <c r="E8480" s="28">
        <v>46113.0</v>
      </c>
      <c r="F8480" s="28">
        <v>46171.0</v>
      </c>
      <c r="G8480" s="29"/>
    </row>
    <row r="8481" ht="15.75" customHeight="1">
      <c r="A8481" s="30" t="s">
        <v>12145</v>
      </c>
      <c r="B8481" s="31" t="s">
        <v>774</v>
      </c>
      <c r="C8481" s="31" t="s">
        <v>3655</v>
      </c>
      <c r="D8481" s="30" t="s">
        <v>3663</v>
      </c>
      <c r="E8481" s="32">
        <v>46113.0</v>
      </c>
      <c r="F8481" s="32">
        <v>46171.0</v>
      </c>
      <c r="G8481" s="33"/>
    </row>
    <row r="8482" ht="15.75" customHeight="1">
      <c r="A8482" s="26" t="s">
        <v>12146</v>
      </c>
      <c r="B8482" s="27" t="s">
        <v>774</v>
      </c>
      <c r="C8482" s="27" t="s">
        <v>930</v>
      </c>
      <c r="D8482" s="26" t="s">
        <v>3663</v>
      </c>
      <c r="E8482" s="28">
        <v>46113.0</v>
      </c>
      <c r="F8482" s="28">
        <v>46171.0</v>
      </c>
      <c r="G8482" s="29"/>
    </row>
    <row r="8483" ht="15.75" customHeight="1">
      <c r="A8483" s="30" t="s">
        <v>12147</v>
      </c>
      <c r="B8483" s="31" t="s">
        <v>774</v>
      </c>
      <c r="C8483" s="31" t="s">
        <v>1354</v>
      </c>
      <c r="D8483" s="30" t="s">
        <v>3663</v>
      </c>
      <c r="E8483" s="32">
        <v>46113.0</v>
      </c>
      <c r="F8483" s="32">
        <v>46171.0</v>
      </c>
      <c r="G8483" s="33"/>
    </row>
    <row r="8484" ht="15.75" customHeight="1">
      <c r="A8484" s="26" t="s">
        <v>12148</v>
      </c>
      <c r="B8484" s="27" t="s">
        <v>774</v>
      </c>
      <c r="C8484" s="27" t="s">
        <v>1312</v>
      </c>
      <c r="D8484" s="26" t="s">
        <v>3663</v>
      </c>
      <c r="E8484" s="28">
        <v>46113.0</v>
      </c>
      <c r="F8484" s="28">
        <v>46171.0</v>
      </c>
      <c r="G8484" s="29"/>
    </row>
    <row r="8485" ht="15.75" customHeight="1">
      <c r="A8485" s="30" t="s">
        <v>12149</v>
      </c>
      <c r="B8485" s="31" t="s">
        <v>774</v>
      </c>
      <c r="C8485" s="31" t="s">
        <v>1208</v>
      </c>
      <c r="D8485" s="30" t="s">
        <v>3663</v>
      </c>
      <c r="E8485" s="32">
        <v>46113.0</v>
      </c>
      <c r="F8485" s="32">
        <v>46171.0</v>
      </c>
      <c r="G8485" s="33"/>
    </row>
    <row r="8486" ht="15.75" customHeight="1">
      <c r="A8486" s="26" t="s">
        <v>12150</v>
      </c>
      <c r="B8486" s="27" t="s">
        <v>774</v>
      </c>
      <c r="C8486" s="27" t="s">
        <v>1157</v>
      </c>
      <c r="D8486" s="26" t="s">
        <v>3663</v>
      </c>
      <c r="E8486" s="28">
        <v>46113.0</v>
      </c>
      <c r="F8486" s="28">
        <v>46171.0</v>
      </c>
      <c r="G8486" s="29"/>
    </row>
    <row r="8487" ht="15.75" customHeight="1">
      <c r="A8487" s="30" t="s">
        <v>12151</v>
      </c>
      <c r="B8487" s="31" t="s">
        <v>774</v>
      </c>
      <c r="C8487" s="31" t="s">
        <v>1155</v>
      </c>
      <c r="D8487" s="30" t="s">
        <v>3663</v>
      </c>
      <c r="E8487" s="32">
        <v>46113.0</v>
      </c>
      <c r="F8487" s="32">
        <v>46171.0</v>
      </c>
      <c r="G8487" s="33"/>
    </row>
    <row r="8488" ht="15.75" customHeight="1">
      <c r="A8488" s="26" t="s">
        <v>12152</v>
      </c>
      <c r="B8488" s="27" t="s">
        <v>774</v>
      </c>
      <c r="C8488" s="27" t="s">
        <v>1153</v>
      </c>
      <c r="D8488" s="26" t="s">
        <v>3663</v>
      </c>
      <c r="E8488" s="28">
        <v>46113.0</v>
      </c>
      <c r="F8488" s="28">
        <v>46171.0</v>
      </c>
      <c r="G8488" s="29"/>
    </row>
    <row r="8489" ht="15.75" customHeight="1">
      <c r="A8489" s="30" t="s">
        <v>12153</v>
      </c>
      <c r="B8489" s="31" t="s">
        <v>774</v>
      </c>
      <c r="C8489" s="31" t="s">
        <v>1149</v>
      </c>
      <c r="D8489" s="30" t="s">
        <v>3663</v>
      </c>
      <c r="E8489" s="32">
        <v>46113.0</v>
      </c>
      <c r="F8489" s="32">
        <v>46171.0</v>
      </c>
      <c r="G8489" s="33"/>
    </row>
    <row r="8490" ht="15.75" customHeight="1">
      <c r="A8490" s="26" t="s">
        <v>12154</v>
      </c>
      <c r="B8490" s="27" t="s">
        <v>774</v>
      </c>
      <c r="C8490" s="27" t="s">
        <v>1351</v>
      </c>
      <c r="D8490" s="26" t="s">
        <v>3663</v>
      </c>
      <c r="E8490" s="28">
        <v>46113.0</v>
      </c>
      <c r="F8490" s="28">
        <v>46171.0</v>
      </c>
      <c r="G8490" s="29"/>
    </row>
    <row r="8491" ht="15.75" customHeight="1">
      <c r="A8491" s="30" t="s">
        <v>12155</v>
      </c>
      <c r="B8491" s="31" t="s">
        <v>774</v>
      </c>
      <c r="C8491" s="31" t="s">
        <v>1349</v>
      </c>
      <c r="D8491" s="30" t="s">
        <v>3663</v>
      </c>
      <c r="E8491" s="32">
        <v>46113.0</v>
      </c>
      <c r="F8491" s="32">
        <v>46171.0</v>
      </c>
      <c r="G8491" s="33"/>
    </row>
    <row r="8492" ht="15.75" customHeight="1">
      <c r="A8492" s="26" t="s">
        <v>12156</v>
      </c>
      <c r="B8492" s="27" t="s">
        <v>774</v>
      </c>
      <c r="C8492" s="27" t="s">
        <v>965</v>
      </c>
      <c r="D8492" s="26" t="s">
        <v>3663</v>
      </c>
      <c r="E8492" s="28">
        <v>46113.0</v>
      </c>
      <c r="F8492" s="28">
        <v>46171.0</v>
      </c>
      <c r="G8492" s="29"/>
    </row>
    <row r="8493" ht="15.75" customHeight="1">
      <c r="A8493" s="30" t="s">
        <v>12157</v>
      </c>
      <c r="B8493" s="31" t="s">
        <v>774</v>
      </c>
      <c r="C8493" s="31" t="s">
        <v>923</v>
      </c>
      <c r="D8493" s="30" t="s">
        <v>3663</v>
      </c>
      <c r="E8493" s="32">
        <v>46113.0</v>
      </c>
      <c r="F8493" s="32">
        <v>46171.0</v>
      </c>
      <c r="G8493" s="33"/>
    </row>
    <row r="8494" ht="15.75" customHeight="1">
      <c r="A8494" s="26" t="s">
        <v>12158</v>
      </c>
      <c r="B8494" s="27" t="s">
        <v>775</v>
      </c>
      <c r="C8494" s="27" t="s">
        <v>1240</v>
      </c>
      <c r="D8494" s="26" t="s">
        <v>3663</v>
      </c>
      <c r="E8494" s="28">
        <v>46113.0</v>
      </c>
      <c r="F8494" s="28">
        <v>46171.0</v>
      </c>
      <c r="G8494" s="29"/>
    </row>
    <row r="8495" ht="15.75" customHeight="1">
      <c r="A8495" s="30" t="s">
        <v>12159</v>
      </c>
      <c r="B8495" s="31" t="s">
        <v>775</v>
      </c>
      <c r="C8495" s="31" t="s">
        <v>1242</v>
      </c>
      <c r="D8495" s="30" t="s">
        <v>3663</v>
      </c>
      <c r="E8495" s="32">
        <v>46113.0</v>
      </c>
      <c r="F8495" s="32">
        <v>46171.0</v>
      </c>
      <c r="G8495" s="33"/>
    </row>
    <row r="8496" ht="15.75" customHeight="1">
      <c r="A8496" s="26" t="s">
        <v>12160</v>
      </c>
      <c r="B8496" s="27" t="s">
        <v>775</v>
      </c>
      <c r="C8496" s="27" t="s">
        <v>1244</v>
      </c>
      <c r="D8496" s="26" t="s">
        <v>3663</v>
      </c>
      <c r="E8496" s="28">
        <v>46113.0</v>
      </c>
      <c r="F8496" s="28">
        <v>46171.0</v>
      </c>
      <c r="G8496" s="29"/>
    </row>
    <row r="8497" ht="15.75" customHeight="1">
      <c r="A8497" s="30" t="s">
        <v>12161</v>
      </c>
      <c r="B8497" s="31" t="s">
        <v>775</v>
      </c>
      <c r="C8497" s="31" t="s">
        <v>1246</v>
      </c>
      <c r="D8497" s="30" t="s">
        <v>3663</v>
      </c>
      <c r="E8497" s="32">
        <v>46113.0</v>
      </c>
      <c r="F8497" s="32">
        <v>46171.0</v>
      </c>
      <c r="G8497" s="33"/>
    </row>
    <row r="8498" ht="15.75" customHeight="1">
      <c r="A8498" s="26" t="s">
        <v>12162</v>
      </c>
      <c r="B8498" s="27" t="s">
        <v>775</v>
      </c>
      <c r="C8498" s="27" t="s">
        <v>3654</v>
      </c>
      <c r="D8498" s="26" t="s">
        <v>3663</v>
      </c>
      <c r="E8498" s="28">
        <v>46113.0</v>
      </c>
      <c r="F8498" s="28">
        <v>46171.0</v>
      </c>
      <c r="G8498" s="29"/>
    </row>
    <row r="8499" ht="15.75" customHeight="1">
      <c r="A8499" s="30" t="s">
        <v>12163</v>
      </c>
      <c r="B8499" s="31" t="s">
        <v>775</v>
      </c>
      <c r="C8499" s="31" t="s">
        <v>3655</v>
      </c>
      <c r="D8499" s="30" t="s">
        <v>3663</v>
      </c>
      <c r="E8499" s="32">
        <v>46113.0</v>
      </c>
      <c r="F8499" s="32">
        <v>46171.0</v>
      </c>
      <c r="G8499" s="33"/>
    </row>
    <row r="8500" ht="15.75" customHeight="1">
      <c r="A8500" s="26" t="s">
        <v>12164</v>
      </c>
      <c r="B8500" s="27" t="s">
        <v>775</v>
      </c>
      <c r="C8500" s="27" t="s">
        <v>934</v>
      </c>
      <c r="D8500" s="26" t="s">
        <v>3663</v>
      </c>
      <c r="E8500" s="28">
        <v>46113.0</v>
      </c>
      <c r="F8500" s="28">
        <v>46171.0</v>
      </c>
      <c r="G8500" s="29"/>
    </row>
    <row r="8501" ht="15.75" customHeight="1">
      <c r="A8501" s="30" t="s">
        <v>12165</v>
      </c>
      <c r="B8501" s="31" t="s">
        <v>775</v>
      </c>
      <c r="C8501" s="31" t="s">
        <v>1354</v>
      </c>
      <c r="D8501" s="30" t="s">
        <v>3663</v>
      </c>
      <c r="E8501" s="32">
        <v>46113.0</v>
      </c>
      <c r="F8501" s="32">
        <v>46171.0</v>
      </c>
      <c r="G8501" s="33"/>
    </row>
    <row r="8502" ht="15.75" customHeight="1">
      <c r="A8502" s="26" t="s">
        <v>12166</v>
      </c>
      <c r="B8502" s="27" t="s">
        <v>775</v>
      </c>
      <c r="C8502" s="27" t="s">
        <v>1216</v>
      </c>
      <c r="D8502" s="26" t="s">
        <v>3663</v>
      </c>
      <c r="E8502" s="28">
        <v>46113.0</v>
      </c>
      <c r="F8502" s="28">
        <v>46171.0</v>
      </c>
      <c r="G8502" s="29"/>
    </row>
    <row r="8503" ht="15.75" customHeight="1">
      <c r="A8503" s="30" t="s">
        <v>12167</v>
      </c>
      <c r="B8503" s="31" t="s">
        <v>775</v>
      </c>
      <c r="C8503" s="31" t="s">
        <v>1218</v>
      </c>
      <c r="D8503" s="30" t="s">
        <v>3663</v>
      </c>
      <c r="E8503" s="32">
        <v>46113.0</v>
      </c>
      <c r="F8503" s="32">
        <v>46171.0</v>
      </c>
      <c r="G8503" s="33"/>
    </row>
    <row r="8504" ht="15.75" customHeight="1">
      <c r="A8504" s="26" t="s">
        <v>12168</v>
      </c>
      <c r="B8504" s="27" t="s">
        <v>775</v>
      </c>
      <c r="C8504" s="27" t="s">
        <v>1351</v>
      </c>
      <c r="D8504" s="26" t="s">
        <v>3663</v>
      </c>
      <c r="E8504" s="28">
        <v>46113.0</v>
      </c>
      <c r="F8504" s="28">
        <v>46171.0</v>
      </c>
      <c r="G8504" s="29"/>
    </row>
    <row r="8505" ht="15.75" customHeight="1">
      <c r="A8505" s="30" t="s">
        <v>12169</v>
      </c>
      <c r="B8505" s="31" t="s">
        <v>775</v>
      </c>
      <c r="C8505" s="31" t="s">
        <v>1349</v>
      </c>
      <c r="D8505" s="30" t="s">
        <v>3663</v>
      </c>
      <c r="E8505" s="32">
        <v>46113.0</v>
      </c>
      <c r="F8505" s="32">
        <v>46171.0</v>
      </c>
      <c r="G8505" s="33"/>
    </row>
    <row r="8506" ht="15.75" customHeight="1">
      <c r="A8506" s="26" t="s">
        <v>12170</v>
      </c>
      <c r="B8506" s="27" t="s">
        <v>775</v>
      </c>
      <c r="C8506" s="27" t="s">
        <v>968</v>
      </c>
      <c r="D8506" s="26" t="s">
        <v>3663</v>
      </c>
      <c r="E8506" s="28">
        <v>46113.0</v>
      </c>
      <c r="F8506" s="28">
        <v>46171.0</v>
      </c>
      <c r="G8506" s="29"/>
    </row>
    <row r="8507" ht="15.75" customHeight="1">
      <c r="A8507" s="30" t="s">
        <v>12171</v>
      </c>
      <c r="B8507" s="31" t="s">
        <v>775</v>
      </c>
      <c r="C8507" s="31" t="s">
        <v>923</v>
      </c>
      <c r="D8507" s="30" t="s">
        <v>3663</v>
      </c>
      <c r="E8507" s="32">
        <v>46113.0</v>
      </c>
      <c r="F8507" s="32">
        <v>46171.0</v>
      </c>
      <c r="G8507" s="33"/>
    </row>
    <row r="8508" ht="15.75" customHeight="1">
      <c r="A8508" s="26" t="s">
        <v>12172</v>
      </c>
      <c r="B8508" s="27" t="s">
        <v>776</v>
      </c>
      <c r="C8508" s="27" t="s">
        <v>930</v>
      </c>
      <c r="D8508" s="26" t="s">
        <v>3750</v>
      </c>
      <c r="E8508" s="28">
        <v>46113.0</v>
      </c>
      <c r="F8508" s="28">
        <v>46171.0</v>
      </c>
      <c r="G8508" s="29"/>
    </row>
    <row r="8509" ht="15.75" customHeight="1">
      <c r="A8509" s="30" t="s">
        <v>12173</v>
      </c>
      <c r="B8509" s="31" t="s">
        <v>776</v>
      </c>
      <c r="C8509" s="31" t="s">
        <v>1354</v>
      </c>
      <c r="D8509" s="30" t="s">
        <v>3750</v>
      </c>
      <c r="E8509" s="32">
        <v>46113.0</v>
      </c>
      <c r="F8509" s="32">
        <v>46171.0</v>
      </c>
      <c r="G8509" s="33"/>
    </row>
    <row r="8510" ht="15.75" customHeight="1">
      <c r="A8510" s="26" t="s">
        <v>12174</v>
      </c>
      <c r="B8510" s="27" t="s">
        <v>776</v>
      </c>
      <c r="C8510" s="27" t="s">
        <v>1304</v>
      </c>
      <c r="D8510" s="26" t="s">
        <v>3750</v>
      </c>
      <c r="E8510" s="28">
        <v>46113.0</v>
      </c>
      <c r="F8510" s="28">
        <v>46171.0</v>
      </c>
      <c r="G8510" s="29"/>
    </row>
    <row r="8511" ht="15.75" customHeight="1">
      <c r="A8511" s="30" t="s">
        <v>12175</v>
      </c>
      <c r="B8511" s="31" t="s">
        <v>776</v>
      </c>
      <c r="C8511" s="31" t="s">
        <v>1306</v>
      </c>
      <c r="D8511" s="30" t="s">
        <v>3750</v>
      </c>
      <c r="E8511" s="32">
        <v>46113.0</v>
      </c>
      <c r="F8511" s="32">
        <v>46171.0</v>
      </c>
      <c r="G8511" s="33"/>
    </row>
    <row r="8512" ht="15.75" customHeight="1">
      <c r="A8512" s="26" t="s">
        <v>12176</v>
      </c>
      <c r="B8512" s="27" t="s">
        <v>776</v>
      </c>
      <c r="C8512" s="27" t="s">
        <v>1308</v>
      </c>
      <c r="D8512" s="26" t="s">
        <v>3750</v>
      </c>
      <c r="E8512" s="28">
        <v>46113.0</v>
      </c>
      <c r="F8512" s="28">
        <v>46171.0</v>
      </c>
      <c r="G8512" s="29"/>
    </row>
    <row r="8513" ht="15.75" customHeight="1">
      <c r="A8513" s="30" t="s">
        <v>12177</v>
      </c>
      <c r="B8513" s="31" t="s">
        <v>776</v>
      </c>
      <c r="C8513" s="31" t="s">
        <v>1310</v>
      </c>
      <c r="D8513" s="30" t="s">
        <v>3750</v>
      </c>
      <c r="E8513" s="32">
        <v>46113.0</v>
      </c>
      <c r="F8513" s="32">
        <v>46171.0</v>
      </c>
      <c r="G8513" s="33"/>
    </row>
    <row r="8514" ht="15.75" customHeight="1">
      <c r="A8514" s="26" t="s">
        <v>12178</v>
      </c>
      <c r="B8514" s="27" t="s">
        <v>776</v>
      </c>
      <c r="C8514" s="27" t="s">
        <v>3656</v>
      </c>
      <c r="D8514" s="26" t="s">
        <v>3750</v>
      </c>
      <c r="E8514" s="28">
        <v>46113.0</v>
      </c>
      <c r="F8514" s="28">
        <v>46171.0</v>
      </c>
      <c r="G8514" s="29"/>
    </row>
    <row r="8515" ht="15.75" customHeight="1">
      <c r="A8515" s="30" t="s">
        <v>12179</v>
      </c>
      <c r="B8515" s="31" t="s">
        <v>776</v>
      </c>
      <c r="C8515" s="31" t="s">
        <v>3657</v>
      </c>
      <c r="D8515" s="30" t="s">
        <v>3750</v>
      </c>
      <c r="E8515" s="32">
        <v>46113.0</v>
      </c>
      <c r="F8515" s="32">
        <v>46171.0</v>
      </c>
      <c r="G8515" s="33"/>
    </row>
    <row r="8516" ht="15.75" customHeight="1">
      <c r="A8516" s="26" t="s">
        <v>12180</v>
      </c>
      <c r="B8516" s="27" t="s">
        <v>776</v>
      </c>
      <c r="C8516" s="27" t="s">
        <v>1218</v>
      </c>
      <c r="D8516" s="26" t="s">
        <v>3750</v>
      </c>
      <c r="E8516" s="28">
        <v>46113.0</v>
      </c>
      <c r="F8516" s="28">
        <v>46171.0</v>
      </c>
      <c r="G8516" s="29"/>
    </row>
    <row r="8517" ht="15.75" customHeight="1">
      <c r="A8517" s="30" t="s">
        <v>12181</v>
      </c>
      <c r="B8517" s="31" t="s">
        <v>776</v>
      </c>
      <c r="C8517" s="31" t="s">
        <v>1271</v>
      </c>
      <c r="D8517" s="30" t="s">
        <v>3750</v>
      </c>
      <c r="E8517" s="32">
        <v>46113.0</v>
      </c>
      <c r="F8517" s="32">
        <v>46171.0</v>
      </c>
      <c r="G8517" s="33"/>
    </row>
    <row r="8518" ht="15.75" customHeight="1">
      <c r="A8518" s="26" t="s">
        <v>12182</v>
      </c>
      <c r="B8518" s="27" t="s">
        <v>776</v>
      </c>
      <c r="C8518" s="27" t="s">
        <v>1351</v>
      </c>
      <c r="D8518" s="26" t="s">
        <v>3750</v>
      </c>
      <c r="E8518" s="28">
        <v>46113.0</v>
      </c>
      <c r="F8518" s="28">
        <v>46171.0</v>
      </c>
      <c r="G8518" s="29"/>
    </row>
    <row r="8519" ht="15.75" customHeight="1">
      <c r="A8519" s="30" t="s">
        <v>12183</v>
      </c>
      <c r="B8519" s="31" t="s">
        <v>776</v>
      </c>
      <c r="C8519" s="31" t="s">
        <v>1349</v>
      </c>
      <c r="D8519" s="30" t="s">
        <v>3750</v>
      </c>
      <c r="E8519" s="32">
        <v>46113.0</v>
      </c>
      <c r="F8519" s="32">
        <v>46171.0</v>
      </c>
      <c r="G8519" s="33"/>
    </row>
    <row r="8520" ht="15.75" customHeight="1">
      <c r="A8520" s="26" t="s">
        <v>12184</v>
      </c>
      <c r="B8520" s="27" t="s">
        <v>776</v>
      </c>
      <c r="C8520" s="27" t="s">
        <v>965</v>
      </c>
      <c r="D8520" s="26" t="s">
        <v>3750</v>
      </c>
      <c r="E8520" s="28">
        <v>46113.0</v>
      </c>
      <c r="F8520" s="28">
        <v>46171.0</v>
      </c>
      <c r="G8520" s="29"/>
    </row>
    <row r="8521" ht="15.75" customHeight="1">
      <c r="A8521" s="30" t="s">
        <v>12185</v>
      </c>
      <c r="B8521" s="31" t="s">
        <v>776</v>
      </c>
      <c r="C8521" s="31" t="s">
        <v>923</v>
      </c>
      <c r="D8521" s="30" t="s">
        <v>3750</v>
      </c>
      <c r="E8521" s="32">
        <v>46113.0</v>
      </c>
      <c r="F8521" s="32">
        <v>46171.0</v>
      </c>
      <c r="G8521" s="33"/>
    </row>
    <row r="8522" ht="15.75" customHeight="1">
      <c r="A8522" s="26" t="s">
        <v>12186</v>
      </c>
      <c r="B8522" s="27" t="s">
        <v>1248</v>
      </c>
      <c r="C8522" s="27" t="s">
        <v>1240</v>
      </c>
      <c r="D8522" s="26" t="s">
        <v>3663</v>
      </c>
      <c r="E8522" s="28">
        <v>46113.0</v>
      </c>
      <c r="F8522" s="28">
        <v>46171.0</v>
      </c>
      <c r="G8522" s="29"/>
    </row>
    <row r="8523" ht="15.75" customHeight="1">
      <c r="A8523" s="30" t="s">
        <v>12187</v>
      </c>
      <c r="B8523" s="31" t="s">
        <v>1248</v>
      </c>
      <c r="C8523" s="31" t="s">
        <v>1242</v>
      </c>
      <c r="D8523" s="30" t="s">
        <v>3663</v>
      </c>
      <c r="E8523" s="32">
        <v>46113.0</v>
      </c>
      <c r="F8523" s="32">
        <v>46171.0</v>
      </c>
      <c r="G8523" s="33"/>
    </row>
    <row r="8524" ht="15.75" customHeight="1">
      <c r="A8524" s="26" t="s">
        <v>12188</v>
      </c>
      <c r="B8524" s="27" t="s">
        <v>1248</v>
      </c>
      <c r="C8524" s="27" t="s">
        <v>1244</v>
      </c>
      <c r="D8524" s="26" t="s">
        <v>3663</v>
      </c>
      <c r="E8524" s="28">
        <v>46113.0</v>
      </c>
      <c r="F8524" s="28">
        <v>46171.0</v>
      </c>
      <c r="G8524" s="29"/>
    </row>
    <row r="8525" ht="15.75" customHeight="1">
      <c r="A8525" s="30" t="s">
        <v>12189</v>
      </c>
      <c r="B8525" s="31" t="s">
        <v>1248</v>
      </c>
      <c r="C8525" s="31" t="s">
        <v>1246</v>
      </c>
      <c r="D8525" s="30" t="s">
        <v>3663</v>
      </c>
      <c r="E8525" s="32">
        <v>46113.0</v>
      </c>
      <c r="F8525" s="32">
        <v>46171.0</v>
      </c>
      <c r="G8525" s="33"/>
    </row>
    <row r="8526" ht="15.75" customHeight="1">
      <c r="A8526" s="26" t="s">
        <v>12190</v>
      </c>
      <c r="B8526" s="27" t="s">
        <v>1248</v>
      </c>
      <c r="C8526" s="27" t="s">
        <v>928</v>
      </c>
      <c r="D8526" s="26" t="s">
        <v>3663</v>
      </c>
      <c r="E8526" s="28">
        <v>46113.0</v>
      </c>
      <c r="F8526" s="28">
        <v>46171.0</v>
      </c>
      <c r="G8526" s="29"/>
    </row>
    <row r="8527" ht="15.75" customHeight="1">
      <c r="A8527" s="30" t="s">
        <v>12191</v>
      </c>
      <c r="B8527" s="31" t="s">
        <v>1248</v>
      </c>
      <c r="C8527" s="31" t="s">
        <v>1354</v>
      </c>
      <c r="D8527" s="30" t="s">
        <v>3663</v>
      </c>
      <c r="E8527" s="32">
        <v>46113.0</v>
      </c>
      <c r="F8527" s="32">
        <v>46171.0</v>
      </c>
      <c r="G8527" s="33"/>
    </row>
    <row r="8528" ht="15.75" customHeight="1">
      <c r="A8528" s="26" t="s">
        <v>12192</v>
      </c>
      <c r="B8528" s="27" t="s">
        <v>1248</v>
      </c>
      <c r="C8528" s="27" t="s">
        <v>1159</v>
      </c>
      <c r="D8528" s="26" t="s">
        <v>3663</v>
      </c>
      <c r="E8528" s="28">
        <v>46113.0</v>
      </c>
      <c r="F8528" s="28">
        <v>46171.0</v>
      </c>
      <c r="G8528" s="29"/>
    </row>
    <row r="8529" ht="15.75" customHeight="1">
      <c r="A8529" s="30" t="s">
        <v>12193</v>
      </c>
      <c r="B8529" s="31" t="s">
        <v>1248</v>
      </c>
      <c r="C8529" s="31" t="s">
        <v>3656</v>
      </c>
      <c r="D8529" s="30" t="s">
        <v>3663</v>
      </c>
      <c r="E8529" s="32">
        <v>46113.0</v>
      </c>
      <c r="F8529" s="32">
        <v>46171.0</v>
      </c>
      <c r="G8529" s="33"/>
    </row>
    <row r="8530" ht="15.75" customHeight="1">
      <c r="A8530" s="26" t="s">
        <v>12194</v>
      </c>
      <c r="B8530" s="27" t="s">
        <v>1248</v>
      </c>
      <c r="C8530" s="27" t="s">
        <v>3657</v>
      </c>
      <c r="D8530" s="26" t="s">
        <v>3663</v>
      </c>
      <c r="E8530" s="28">
        <v>46113.0</v>
      </c>
      <c r="F8530" s="28">
        <v>46171.0</v>
      </c>
      <c r="G8530" s="29"/>
    </row>
    <row r="8531" ht="15.75" customHeight="1">
      <c r="A8531" s="30" t="s">
        <v>12195</v>
      </c>
      <c r="B8531" s="31" t="s">
        <v>1248</v>
      </c>
      <c r="C8531" s="31" t="s">
        <v>3647</v>
      </c>
      <c r="D8531" s="30" t="s">
        <v>3663</v>
      </c>
      <c r="E8531" s="32">
        <v>46113.0</v>
      </c>
      <c r="F8531" s="32">
        <v>46171.0</v>
      </c>
      <c r="G8531" s="33"/>
    </row>
    <row r="8532" ht="15.75" customHeight="1">
      <c r="A8532" s="26" t="s">
        <v>12196</v>
      </c>
      <c r="B8532" s="27" t="s">
        <v>1248</v>
      </c>
      <c r="C8532" s="27" t="s">
        <v>952</v>
      </c>
      <c r="D8532" s="26" t="s">
        <v>3663</v>
      </c>
      <c r="E8532" s="28">
        <v>46113.0</v>
      </c>
      <c r="F8532" s="28">
        <v>46171.0</v>
      </c>
      <c r="G8532" s="29"/>
    </row>
    <row r="8533" ht="15.75" customHeight="1">
      <c r="A8533" s="30" t="s">
        <v>12197</v>
      </c>
      <c r="B8533" s="31" t="s">
        <v>1248</v>
      </c>
      <c r="C8533" s="31" t="s">
        <v>965</v>
      </c>
      <c r="D8533" s="30" t="s">
        <v>3663</v>
      </c>
      <c r="E8533" s="32">
        <v>46113.0</v>
      </c>
      <c r="F8533" s="32">
        <v>46171.0</v>
      </c>
      <c r="G8533" s="33"/>
    </row>
    <row r="8534" ht="15.75" customHeight="1">
      <c r="A8534" s="26" t="s">
        <v>12198</v>
      </c>
      <c r="B8534" s="27" t="s">
        <v>1248</v>
      </c>
      <c r="C8534" s="27" t="s">
        <v>923</v>
      </c>
      <c r="D8534" s="26" t="s">
        <v>3663</v>
      </c>
      <c r="E8534" s="28">
        <v>46113.0</v>
      </c>
      <c r="F8534" s="28">
        <v>46171.0</v>
      </c>
      <c r="G8534" s="29"/>
    </row>
    <row r="8535" ht="15.75" customHeight="1">
      <c r="A8535" s="30" t="s">
        <v>12199</v>
      </c>
      <c r="B8535" s="31" t="s">
        <v>1248</v>
      </c>
      <c r="C8535" s="31" t="s">
        <v>955</v>
      </c>
      <c r="D8535" s="30" t="s">
        <v>3663</v>
      </c>
      <c r="E8535" s="32">
        <v>46113.0</v>
      </c>
      <c r="F8535" s="32">
        <v>46171.0</v>
      </c>
      <c r="G8535" s="33"/>
    </row>
    <row r="8536" ht="15.75" customHeight="1">
      <c r="A8536" s="26" t="s">
        <v>12200</v>
      </c>
      <c r="B8536" s="27" t="s">
        <v>777</v>
      </c>
      <c r="C8536" s="27" t="s">
        <v>3654</v>
      </c>
      <c r="D8536" s="26" t="s">
        <v>3663</v>
      </c>
      <c r="E8536" s="28">
        <v>46113.0</v>
      </c>
      <c r="F8536" s="28">
        <v>46171.0</v>
      </c>
      <c r="G8536" s="29"/>
    </row>
    <row r="8537" ht="15.75" customHeight="1">
      <c r="A8537" s="30" t="s">
        <v>12201</v>
      </c>
      <c r="B8537" s="31" t="s">
        <v>777</v>
      </c>
      <c r="C8537" s="31" t="s">
        <v>3655</v>
      </c>
      <c r="D8537" s="30" t="s">
        <v>3663</v>
      </c>
      <c r="E8537" s="32">
        <v>46113.0</v>
      </c>
      <c r="F8537" s="32">
        <v>46171.0</v>
      </c>
      <c r="G8537" s="33"/>
    </row>
    <row r="8538" ht="15.75" customHeight="1">
      <c r="A8538" s="26" t="s">
        <v>12202</v>
      </c>
      <c r="B8538" s="27" t="s">
        <v>777</v>
      </c>
      <c r="C8538" s="27" t="s">
        <v>932</v>
      </c>
      <c r="D8538" s="26" t="s">
        <v>3663</v>
      </c>
      <c r="E8538" s="28">
        <v>46113.0</v>
      </c>
      <c r="F8538" s="28">
        <v>46171.0</v>
      </c>
      <c r="G8538" s="29"/>
    </row>
    <row r="8539" ht="15.75" customHeight="1">
      <c r="A8539" s="30" t="s">
        <v>12203</v>
      </c>
      <c r="B8539" s="31" t="s">
        <v>777</v>
      </c>
      <c r="C8539" s="31" t="s">
        <v>3640</v>
      </c>
      <c r="D8539" s="30" t="s">
        <v>3663</v>
      </c>
      <c r="E8539" s="32">
        <v>46113.0</v>
      </c>
      <c r="F8539" s="32">
        <v>46171.0</v>
      </c>
      <c r="G8539" s="33"/>
    </row>
    <row r="8540" ht="15.75" customHeight="1">
      <c r="A8540" s="26" t="s">
        <v>12204</v>
      </c>
      <c r="B8540" s="27" t="s">
        <v>777</v>
      </c>
      <c r="C8540" s="27" t="s">
        <v>1323</v>
      </c>
      <c r="D8540" s="26" t="s">
        <v>3663</v>
      </c>
      <c r="E8540" s="28">
        <v>46113.0</v>
      </c>
      <c r="F8540" s="28">
        <v>46171.0</v>
      </c>
      <c r="G8540" s="29"/>
    </row>
    <row r="8541" ht="15.75" customHeight="1">
      <c r="A8541" s="30" t="s">
        <v>12205</v>
      </c>
      <c r="B8541" s="31" t="s">
        <v>777</v>
      </c>
      <c r="C8541" s="31" t="s">
        <v>1168</v>
      </c>
      <c r="D8541" s="30" t="s">
        <v>3663</v>
      </c>
      <c r="E8541" s="32">
        <v>46113.0</v>
      </c>
      <c r="F8541" s="32">
        <v>46171.0</v>
      </c>
      <c r="G8541" s="33"/>
    </row>
    <row r="8542" ht="15.75" customHeight="1">
      <c r="A8542" s="26" t="s">
        <v>12206</v>
      </c>
      <c r="B8542" s="27" t="s">
        <v>777</v>
      </c>
      <c r="C8542" s="27" t="s">
        <v>1170</v>
      </c>
      <c r="D8542" s="26" t="s">
        <v>3663</v>
      </c>
      <c r="E8542" s="28">
        <v>46113.0</v>
      </c>
      <c r="F8542" s="28">
        <v>46171.0</v>
      </c>
      <c r="G8542" s="29"/>
    </row>
    <row r="8543" ht="15.75" customHeight="1">
      <c r="A8543" s="30" t="s">
        <v>12207</v>
      </c>
      <c r="B8543" s="31" t="s">
        <v>777</v>
      </c>
      <c r="C8543" s="31" t="s">
        <v>1288</v>
      </c>
      <c r="D8543" s="30" t="s">
        <v>3663</v>
      </c>
      <c r="E8543" s="32">
        <v>46113.0</v>
      </c>
      <c r="F8543" s="32">
        <v>46171.0</v>
      </c>
      <c r="G8543" s="33"/>
    </row>
    <row r="8544" ht="15.75" customHeight="1">
      <c r="A8544" s="26" t="s">
        <v>12208</v>
      </c>
      <c r="B8544" s="27" t="s">
        <v>777</v>
      </c>
      <c r="C8544" s="27" t="s">
        <v>1291</v>
      </c>
      <c r="D8544" s="26" t="s">
        <v>3663</v>
      </c>
      <c r="E8544" s="28">
        <v>46113.0</v>
      </c>
      <c r="F8544" s="28">
        <v>46171.0</v>
      </c>
      <c r="G8544" s="29"/>
    </row>
    <row r="8545" ht="15.75" customHeight="1">
      <c r="A8545" s="30" t="s">
        <v>12209</v>
      </c>
      <c r="B8545" s="31" t="s">
        <v>777</v>
      </c>
      <c r="C8545" s="31" t="s">
        <v>1354</v>
      </c>
      <c r="D8545" s="30" t="s">
        <v>3663</v>
      </c>
      <c r="E8545" s="32">
        <v>46113.0</v>
      </c>
      <c r="F8545" s="32">
        <v>46171.0</v>
      </c>
      <c r="G8545" s="33"/>
    </row>
    <row r="8546" ht="15.75" customHeight="1">
      <c r="A8546" s="26" t="s">
        <v>12210</v>
      </c>
      <c r="B8546" s="27" t="s">
        <v>777</v>
      </c>
      <c r="C8546" s="27" t="s">
        <v>1351</v>
      </c>
      <c r="D8546" s="26" t="s">
        <v>3663</v>
      </c>
      <c r="E8546" s="28">
        <v>46113.0</v>
      </c>
      <c r="F8546" s="28">
        <v>46171.0</v>
      </c>
      <c r="G8546" s="29"/>
    </row>
    <row r="8547" ht="15.75" customHeight="1">
      <c r="A8547" s="30" t="s">
        <v>12211</v>
      </c>
      <c r="B8547" s="31" t="s">
        <v>777</v>
      </c>
      <c r="C8547" s="31" t="s">
        <v>1349</v>
      </c>
      <c r="D8547" s="30" t="s">
        <v>3663</v>
      </c>
      <c r="E8547" s="32">
        <v>46113.0</v>
      </c>
      <c r="F8547" s="32">
        <v>46171.0</v>
      </c>
      <c r="G8547" s="33"/>
    </row>
    <row r="8548" ht="15.75" customHeight="1">
      <c r="A8548" s="26" t="s">
        <v>12212</v>
      </c>
      <c r="B8548" s="27" t="s">
        <v>777</v>
      </c>
      <c r="C8548" s="27" t="s">
        <v>968</v>
      </c>
      <c r="D8548" s="26" t="s">
        <v>3663</v>
      </c>
      <c r="E8548" s="28">
        <v>46113.0</v>
      </c>
      <c r="F8548" s="28">
        <v>46171.0</v>
      </c>
      <c r="G8548" s="29"/>
    </row>
    <row r="8549" ht="15.75" customHeight="1">
      <c r="A8549" s="30" t="s">
        <v>12213</v>
      </c>
      <c r="B8549" s="31" t="s">
        <v>777</v>
      </c>
      <c r="C8549" s="31" t="s">
        <v>923</v>
      </c>
      <c r="D8549" s="30" t="s">
        <v>3663</v>
      </c>
      <c r="E8549" s="32">
        <v>46113.0</v>
      </c>
      <c r="F8549" s="32">
        <v>46171.0</v>
      </c>
      <c r="G8549" s="33"/>
    </row>
    <row r="8550" ht="15.75" customHeight="1">
      <c r="A8550" s="26" t="s">
        <v>12214</v>
      </c>
      <c r="B8550" s="27" t="s">
        <v>778</v>
      </c>
      <c r="C8550" s="27" t="s">
        <v>928</v>
      </c>
      <c r="D8550" s="26" t="s">
        <v>3663</v>
      </c>
      <c r="E8550" s="28">
        <v>46113.0</v>
      </c>
      <c r="F8550" s="28">
        <v>46171.0</v>
      </c>
      <c r="G8550" s="29"/>
    </row>
    <row r="8551" ht="15.75" customHeight="1">
      <c r="A8551" s="30" t="s">
        <v>12215</v>
      </c>
      <c r="B8551" s="31" t="s">
        <v>778</v>
      </c>
      <c r="C8551" s="31" t="s">
        <v>1354</v>
      </c>
      <c r="D8551" s="30" t="s">
        <v>3663</v>
      </c>
      <c r="E8551" s="32">
        <v>46113.0</v>
      </c>
      <c r="F8551" s="32">
        <v>46171.0</v>
      </c>
      <c r="G8551" s="33"/>
    </row>
    <row r="8552" ht="15.75" customHeight="1">
      <c r="A8552" s="26" t="s">
        <v>12216</v>
      </c>
      <c r="B8552" s="27" t="s">
        <v>778</v>
      </c>
      <c r="C8552" s="27" t="s">
        <v>1222</v>
      </c>
      <c r="D8552" s="26" t="s">
        <v>3663</v>
      </c>
      <c r="E8552" s="28">
        <v>46113.0</v>
      </c>
      <c r="F8552" s="28">
        <v>46171.0</v>
      </c>
      <c r="G8552" s="29"/>
    </row>
    <row r="8553" ht="15.75" customHeight="1">
      <c r="A8553" s="30" t="s">
        <v>12217</v>
      </c>
      <c r="B8553" s="31" t="s">
        <v>778</v>
      </c>
      <c r="C8553" s="31" t="s">
        <v>1224</v>
      </c>
      <c r="D8553" s="30" t="s">
        <v>3663</v>
      </c>
      <c r="E8553" s="32">
        <v>46113.0</v>
      </c>
      <c r="F8553" s="32">
        <v>46171.0</v>
      </c>
      <c r="G8553" s="33"/>
    </row>
    <row r="8554" ht="15.75" customHeight="1">
      <c r="A8554" s="26" t="s">
        <v>12218</v>
      </c>
      <c r="B8554" s="27" t="s">
        <v>778</v>
      </c>
      <c r="C8554" s="27" t="s">
        <v>1226</v>
      </c>
      <c r="D8554" s="26" t="s">
        <v>3663</v>
      </c>
      <c r="E8554" s="28">
        <v>46113.0</v>
      </c>
      <c r="F8554" s="28">
        <v>46171.0</v>
      </c>
      <c r="G8554" s="29"/>
    </row>
    <row r="8555" ht="15.75" customHeight="1">
      <c r="A8555" s="30" t="s">
        <v>12219</v>
      </c>
      <c r="B8555" s="31" t="s">
        <v>778</v>
      </c>
      <c r="C8555" s="31" t="s">
        <v>1228</v>
      </c>
      <c r="D8555" s="30" t="s">
        <v>3663</v>
      </c>
      <c r="E8555" s="32">
        <v>46113.0</v>
      </c>
      <c r="F8555" s="32">
        <v>46171.0</v>
      </c>
      <c r="G8555" s="33"/>
    </row>
    <row r="8556" ht="15.75" customHeight="1">
      <c r="A8556" s="26" t="s">
        <v>12220</v>
      </c>
      <c r="B8556" s="27" t="s">
        <v>778</v>
      </c>
      <c r="C8556" s="27" t="s">
        <v>3656</v>
      </c>
      <c r="D8556" s="26" t="s">
        <v>3663</v>
      </c>
      <c r="E8556" s="28">
        <v>46113.0</v>
      </c>
      <c r="F8556" s="28">
        <v>46171.0</v>
      </c>
      <c r="G8556" s="29"/>
    </row>
    <row r="8557" ht="15.75" customHeight="1">
      <c r="A8557" s="30" t="s">
        <v>12221</v>
      </c>
      <c r="B8557" s="31" t="s">
        <v>778</v>
      </c>
      <c r="C8557" s="31" t="s">
        <v>3657</v>
      </c>
      <c r="D8557" s="30" t="s">
        <v>3663</v>
      </c>
      <c r="E8557" s="32">
        <v>46113.0</v>
      </c>
      <c r="F8557" s="32">
        <v>46171.0</v>
      </c>
      <c r="G8557" s="33"/>
    </row>
    <row r="8558" ht="15.75" customHeight="1">
      <c r="A8558" s="26" t="s">
        <v>12222</v>
      </c>
      <c r="B8558" s="27" t="s">
        <v>778</v>
      </c>
      <c r="C8558" s="27" t="s">
        <v>1218</v>
      </c>
      <c r="D8558" s="26" t="s">
        <v>3663</v>
      </c>
      <c r="E8558" s="28">
        <v>46113.0</v>
      </c>
      <c r="F8558" s="28">
        <v>46171.0</v>
      </c>
      <c r="G8558" s="29"/>
    </row>
    <row r="8559" ht="15.75" customHeight="1">
      <c r="A8559" s="30" t="s">
        <v>12223</v>
      </c>
      <c r="B8559" s="31" t="s">
        <v>778</v>
      </c>
      <c r="C8559" s="31" t="s">
        <v>1271</v>
      </c>
      <c r="D8559" s="30" t="s">
        <v>3663</v>
      </c>
      <c r="E8559" s="32">
        <v>46113.0</v>
      </c>
      <c r="F8559" s="32">
        <v>46171.0</v>
      </c>
      <c r="G8559" s="33"/>
    </row>
    <row r="8560" ht="15.75" customHeight="1">
      <c r="A8560" s="26" t="s">
        <v>12224</v>
      </c>
      <c r="B8560" s="27" t="s">
        <v>778</v>
      </c>
      <c r="C8560" s="27" t="s">
        <v>1351</v>
      </c>
      <c r="D8560" s="26" t="s">
        <v>3663</v>
      </c>
      <c r="E8560" s="28">
        <v>46113.0</v>
      </c>
      <c r="F8560" s="28">
        <v>46171.0</v>
      </c>
      <c r="G8560" s="29"/>
    </row>
    <row r="8561" ht="15.75" customHeight="1">
      <c r="A8561" s="30" t="s">
        <v>12225</v>
      </c>
      <c r="B8561" s="31" t="s">
        <v>778</v>
      </c>
      <c r="C8561" s="31" t="s">
        <v>1349</v>
      </c>
      <c r="D8561" s="30" t="s">
        <v>3663</v>
      </c>
      <c r="E8561" s="32">
        <v>46113.0</v>
      </c>
      <c r="F8561" s="32">
        <v>46171.0</v>
      </c>
      <c r="G8561" s="33"/>
    </row>
    <row r="8562" ht="15.75" customHeight="1">
      <c r="A8562" s="26" t="s">
        <v>12226</v>
      </c>
      <c r="B8562" s="27" t="s">
        <v>778</v>
      </c>
      <c r="C8562" s="27" t="s">
        <v>968</v>
      </c>
      <c r="D8562" s="26" t="s">
        <v>3663</v>
      </c>
      <c r="E8562" s="28">
        <v>46113.0</v>
      </c>
      <c r="F8562" s="28">
        <v>46171.0</v>
      </c>
      <c r="G8562" s="29"/>
    </row>
    <row r="8563" ht="15.75" customHeight="1">
      <c r="A8563" s="30" t="s">
        <v>12227</v>
      </c>
      <c r="B8563" s="31" t="s">
        <v>778</v>
      </c>
      <c r="C8563" s="31" t="s">
        <v>923</v>
      </c>
      <c r="D8563" s="30" t="s">
        <v>3663</v>
      </c>
      <c r="E8563" s="32">
        <v>46113.0</v>
      </c>
      <c r="F8563" s="32">
        <v>46171.0</v>
      </c>
      <c r="G8563" s="33"/>
    </row>
    <row r="8564" ht="15.75" customHeight="1">
      <c r="A8564" s="26" t="s">
        <v>12228</v>
      </c>
      <c r="B8564" s="27" t="s">
        <v>779</v>
      </c>
      <c r="C8564" s="27" t="s">
        <v>3654</v>
      </c>
      <c r="D8564" s="26" t="s">
        <v>3663</v>
      </c>
      <c r="E8564" s="28">
        <v>46113.0</v>
      </c>
      <c r="F8564" s="28">
        <v>46171.0</v>
      </c>
      <c r="G8564" s="29"/>
    </row>
    <row r="8565" ht="15.75" customHeight="1">
      <c r="A8565" s="30" t="s">
        <v>12229</v>
      </c>
      <c r="B8565" s="31" t="s">
        <v>779</v>
      </c>
      <c r="C8565" s="31" t="s">
        <v>3655</v>
      </c>
      <c r="D8565" s="30" t="s">
        <v>3663</v>
      </c>
      <c r="E8565" s="32">
        <v>46113.0</v>
      </c>
      <c r="F8565" s="32">
        <v>46171.0</v>
      </c>
      <c r="G8565" s="33"/>
    </row>
    <row r="8566" ht="15.75" customHeight="1">
      <c r="A8566" s="26" t="s">
        <v>12230</v>
      </c>
      <c r="B8566" s="27" t="s">
        <v>779</v>
      </c>
      <c r="C8566" s="27" t="s">
        <v>932</v>
      </c>
      <c r="D8566" s="26" t="s">
        <v>3663</v>
      </c>
      <c r="E8566" s="28">
        <v>46113.0</v>
      </c>
      <c r="F8566" s="28">
        <v>46171.0</v>
      </c>
      <c r="G8566" s="29"/>
    </row>
    <row r="8567" ht="15.75" customHeight="1">
      <c r="A8567" s="30" t="s">
        <v>12231</v>
      </c>
      <c r="B8567" s="31" t="s">
        <v>779</v>
      </c>
      <c r="C8567" s="31" t="s">
        <v>1168</v>
      </c>
      <c r="D8567" s="30" t="s">
        <v>3663</v>
      </c>
      <c r="E8567" s="32">
        <v>46113.0</v>
      </c>
      <c r="F8567" s="32">
        <v>46171.0</v>
      </c>
      <c r="G8567" s="33"/>
    </row>
    <row r="8568" ht="15.75" customHeight="1">
      <c r="A8568" s="26" t="s">
        <v>12232</v>
      </c>
      <c r="B8568" s="27" t="s">
        <v>779</v>
      </c>
      <c r="C8568" s="27" t="s">
        <v>1170</v>
      </c>
      <c r="D8568" s="26" t="s">
        <v>3663</v>
      </c>
      <c r="E8568" s="28">
        <v>46113.0</v>
      </c>
      <c r="F8568" s="28">
        <v>46171.0</v>
      </c>
      <c r="G8568" s="29"/>
    </row>
    <row r="8569" ht="15.75" customHeight="1">
      <c r="A8569" s="30" t="s">
        <v>12233</v>
      </c>
      <c r="B8569" s="31" t="s">
        <v>779</v>
      </c>
      <c r="C8569" s="31" t="s">
        <v>1288</v>
      </c>
      <c r="D8569" s="30" t="s">
        <v>3663</v>
      </c>
      <c r="E8569" s="32">
        <v>46113.0</v>
      </c>
      <c r="F8569" s="32">
        <v>46171.0</v>
      </c>
      <c r="G8569" s="33"/>
    </row>
    <row r="8570" ht="15.75" customHeight="1">
      <c r="A8570" s="26" t="s">
        <v>12234</v>
      </c>
      <c r="B8570" s="27" t="s">
        <v>779</v>
      </c>
      <c r="C8570" s="27" t="s">
        <v>1291</v>
      </c>
      <c r="D8570" s="26" t="s">
        <v>3663</v>
      </c>
      <c r="E8570" s="28">
        <v>46113.0</v>
      </c>
      <c r="F8570" s="28">
        <v>46171.0</v>
      </c>
      <c r="G8570" s="29"/>
    </row>
    <row r="8571" ht="15.75" customHeight="1">
      <c r="A8571" s="30" t="s">
        <v>12235</v>
      </c>
      <c r="B8571" s="31" t="s">
        <v>779</v>
      </c>
      <c r="C8571" s="31" t="s">
        <v>1354</v>
      </c>
      <c r="D8571" s="30" t="s">
        <v>3663</v>
      </c>
      <c r="E8571" s="32">
        <v>46113.0</v>
      </c>
      <c r="F8571" s="32">
        <v>46171.0</v>
      </c>
      <c r="G8571" s="33"/>
    </row>
    <row r="8572" ht="15.75" customHeight="1">
      <c r="A8572" s="26" t="s">
        <v>12236</v>
      </c>
      <c r="B8572" s="27" t="s">
        <v>779</v>
      </c>
      <c r="C8572" s="27" t="s">
        <v>1312</v>
      </c>
      <c r="D8572" s="26" t="s">
        <v>3663</v>
      </c>
      <c r="E8572" s="28">
        <v>46113.0</v>
      </c>
      <c r="F8572" s="28">
        <v>46171.0</v>
      </c>
      <c r="G8572" s="29"/>
    </row>
    <row r="8573" ht="15.75" customHeight="1">
      <c r="A8573" s="30" t="s">
        <v>12237</v>
      </c>
      <c r="B8573" s="31" t="s">
        <v>779</v>
      </c>
      <c r="C8573" s="31" t="s">
        <v>3647</v>
      </c>
      <c r="D8573" s="30" t="s">
        <v>3663</v>
      </c>
      <c r="E8573" s="32">
        <v>46113.0</v>
      </c>
      <c r="F8573" s="32">
        <v>46171.0</v>
      </c>
      <c r="G8573" s="33"/>
    </row>
    <row r="8574" ht="15.75" customHeight="1">
      <c r="A8574" s="26" t="s">
        <v>12238</v>
      </c>
      <c r="B8574" s="27" t="s">
        <v>779</v>
      </c>
      <c r="C8574" s="27" t="s">
        <v>952</v>
      </c>
      <c r="D8574" s="26" t="s">
        <v>3663</v>
      </c>
      <c r="E8574" s="28">
        <v>46113.0</v>
      </c>
      <c r="F8574" s="28">
        <v>46171.0</v>
      </c>
      <c r="G8574" s="29"/>
    </row>
    <row r="8575" ht="15.75" customHeight="1">
      <c r="A8575" s="30" t="s">
        <v>12239</v>
      </c>
      <c r="B8575" s="31" t="s">
        <v>779</v>
      </c>
      <c r="C8575" s="31" t="s">
        <v>1218</v>
      </c>
      <c r="D8575" s="30" t="s">
        <v>3663</v>
      </c>
      <c r="E8575" s="32">
        <v>46113.0</v>
      </c>
      <c r="F8575" s="32">
        <v>46171.0</v>
      </c>
      <c r="G8575" s="33"/>
    </row>
    <row r="8576" ht="15.75" customHeight="1">
      <c r="A8576" s="26" t="s">
        <v>12240</v>
      </c>
      <c r="B8576" s="27" t="s">
        <v>779</v>
      </c>
      <c r="C8576" s="27" t="s">
        <v>965</v>
      </c>
      <c r="D8576" s="26" t="s">
        <v>3663</v>
      </c>
      <c r="E8576" s="28">
        <v>46113.0</v>
      </c>
      <c r="F8576" s="28">
        <v>46171.0</v>
      </c>
      <c r="G8576" s="29"/>
    </row>
    <row r="8577" ht="15.75" customHeight="1">
      <c r="A8577" s="30" t="s">
        <v>12241</v>
      </c>
      <c r="B8577" s="31" t="s">
        <v>779</v>
      </c>
      <c r="C8577" s="31" t="s">
        <v>923</v>
      </c>
      <c r="D8577" s="30" t="s">
        <v>3663</v>
      </c>
      <c r="E8577" s="32">
        <v>46113.0</v>
      </c>
      <c r="F8577" s="32">
        <v>46171.0</v>
      </c>
      <c r="G8577" s="33"/>
    </row>
    <row r="8578" ht="15.75" customHeight="1">
      <c r="A8578" s="26" t="s">
        <v>12242</v>
      </c>
      <c r="B8578" s="27" t="s">
        <v>780</v>
      </c>
      <c r="C8578" s="27" t="s">
        <v>934</v>
      </c>
      <c r="D8578" s="26" t="s">
        <v>3663</v>
      </c>
      <c r="E8578" s="28">
        <v>46113.0</v>
      </c>
      <c r="F8578" s="28">
        <v>46171.0</v>
      </c>
      <c r="G8578" s="29"/>
    </row>
    <row r="8579" ht="15.75" customHeight="1">
      <c r="A8579" s="30" t="s">
        <v>12243</v>
      </c>
      <c r="B8579" s="31" t="s">
        <v>780</v>
      </c>
      <c r="C8579" s="31" t="s">
        <v>1354</v>
      </c>
      <c r="D8579" s="30" t="s">
        <v>3663</v>
      </c>
      <c r="E8579" s="32">
        <v>46113.0</v>
      </c>
      <c r="F8579" s="32">
        <v>46171.0</v>
      </c>
      <c r="G8579" s="33"/>
    </row>
    <row r="8580" ht="15.75" customHeight="1">
      <c r="A8580" s="26" t="s">
        <v>12244</v>
      </c>
      <c r="B8580" s="27" t="s">
        <v>780</v>
      </c>
      <c r="C8580" s="27" t="s">
        <v>1208</v>
      </c>
      <c r="D8580" s="26" t="s">
        <v>3663</v>
      </c>
      <c r="E8580" s="28">
        <v>46113.0</v>
      </c>
      <c r="F8580" s="28">
        <v>46171.0</v>
      </c>
      <c r="G8580" s="29"/>
    </row>
    <row r="8581" ht="15.75" customHeight="1">
      <c r="A8581" s="30" t="s">
        <v>12245</v>
      </c>
      <c r="B8581" s="31" t="s">
        <v>780</v>
      </c>
      <c r="C8581" s="31" t="s">
        <v>1218</v>
      </c>
      <c r="D8581" s="30" t="s">
        <v>3663</v>
      </c>
      <c r="E8581" s="32">
        <v>46113.0</v>
      </c>
      <c r="F8581" s="32">
        <v>46171.0</v>
      </c>
      <c r="G8581" s="33"/>
    </row>
    <row r="8582" ht="15.75" customHeight="1">
      <c r="A8582" s="26" t="s">
        <v>12246</v>
      </c>
      <c r="B8582" s="27" t="s">
        <v>780</v>
      </c>
      <c r="C8582" s="27" t="s">
        <v>1157</v>
      </c>
      <c r="D8582" s="26" t="s">
        <v>3663</v>
      </c>
      <c r="E8582" s="28">
        <v>46113.0</v>
      </c>
      <c r="F8582" s="28">
        <v>46171.0</v>
      </c>
      <c r="G8582" s="29"/>
    </row>
    <row r="8583" ht="15.75" customHeight="1">
      <c r="A8583" s="30" t="s">
        <v>12247</v>
      </c>
      <c r="B8583" s="31" t="s">
        <v>780</v>
      </c>
      <c r="C8583" s="31" t="s">
        <v>1155</v>
      </c>
      <c r="D8583" s="30" t="s">
        <v>3663</v>
      </c>
      <c r="E8583" s="32">
        <v>46113.0</v>
      </c>
      <c r="F8583" s="32">
        <v>46171.0</v>
      </c>
      <c r="G8583" s="33"/>
    </row>
    <row r="8584" ht="15.75" customHeight="1">
      <c r="A8584" s="26" t="s">
        <v>12248</v>
      </c>
      <c r="B8584" s="27" t="s">
        <v>780</v>
      </c>
      <c r="C8584" s="27" t="s">
        <v>1153</v>
      </c>
      <c r="D8584" s="26" t="s">
        <v>3663</v>
      </c>
      <c r="E8584" s="28">
        <v>46113.0</v>
      </c>
      <c r="F8584" s="28">
        <v>46171.0</v>
      </c>
      <c r="G8584" s="29"/>
    </row>
    <row r="8585" ht="15.75" customHeight="1">
      <c r="A8585" s="30" t="s">
        <v>12249</v>
      </c>
      <c r="B8585" s="31" t="s">
        <v>780</v>
      </c>
      <c r="C8585" s="31" t="s">
        <v>1149</v>
      </c>
      <c r="D8585" s="30" t="s">
        <v>3663</v>
      </c>
      <c r="E8585" s="32">
        <v>46113.0</v>
      </c>
      <c r="F8585" s="32">
        <v>46171.0</v>
      </c>
      <c r="G8585" s="33"/>
    </row>
    <row r="8586" ht="15.75" customHeight="1">
      <c r="A8586" s="26" t="s">
        <v>12250</v>
      </c>
      <c r="B8586" s="27" t="s">
        <v>780</v>
      </c>
      <c r="C8586" s="27" t="s">
        <v>1351</v>
      </c>
      <c r="D8586" s="26" t="s">
        <v>3663</v>
      </c>
      <c r="E8586" s="28">
        <v>46113.0</v>
      </c>
      <c r="F8586" s="28">
        <v>46171.0</v>
      </c>
      <c r="G8586" s="29"/>
    </row>
    <row r="8587" ht="15.75" customHeight="1">
      <c r="A8587" s="30" t="s">
        <v>12251</v>
      </c>
      <c r="B8587" s="31" t="s">
        <v>780</v>
      </c>
      <c r="C8587" s="31" t="s">
        <v>1349</v>
      </c>
      <c r="D8587" s="30" t="s">
        <v>3663</v>
      </c>
      <c r="E8587" s="32">
        <v>46113.0</v>
      </c>
      <c r="F8587" s="32">
        <v>46171.0</v>
      </c>
      <c r="G8587" s="33"/>
    </row>
    <row r="8588" ht="15.75" customHeight="1">
      <c r="A8588" s="26" t="s">
        <v>12252</v>
      </c>
      <c r="B8588" s="27" t="s">
        <v>780</v>
      </c>
      <c r="C8588" s="27" t="s">
        <v>3653</v>
      </c>
      <c r="D8588" s="26" t="s">
        <v>3663</v>
      </c>
      <c r="E8588" s="28">
        <v>46113.0</v>
      </c>
      <c r="F8588" s="28">
        <v>46171.0</v>
      </c>
      <c r="G8588" s="29"/>
    </row>
    <row r="8589" ht="15.75" customHeight="1">
      <c r="A8589" s="30" t="s">
        <v>12253</v>
      </c>
      <c r="B8589" s="31" t="s">
        <v>780</v>
      </c>
      <c r="C8589" s="31" t="s">
        <v>3652</v>
      </c>
      <c r="D8589" s="30" t="s">
        <v>3663</v>
      </c>
      <c r="E8589" s="32">
        <v>46113.0</v>
      </c>
      <c r="F8589" s="32">
        <v>46171.0</v>
      </c>
      <c r="G8589" s="33"/>
    </row>
    <row r="8590" ht="15.75" customHeight="1">
      <c r="A8590" s="26" t="s">
        <v>12254</v>
      </c>
      <c r="B8590" s="27" t="s">
        <v>780</v>
      </c>
      <c r="C8590" s="27" t="s">
        <v>965</v>
      </c>
      <c r="D8590" s="26" t="s">
        <v>3663</v>
      </c>
      <c r="E8590" s="28">
        <v>46113.0</v>
      </c>
      <c r="F8590" s="28">
        <v>46171.0</v>
      </c>
      <c r="G8590" s="29"/>
    </row>
    <row r="8591" ht="15.75" customHeight="1">
      <c r="A8591" s="30" t="s">
        <v>12255</v>
      </c>
      <c r="B8591" s="31" t="s">
        <v>780</v>
      </c>
      <c r="C8591" s="31" t="s">
        <v>923</v>
      </c>
      <c r="D8591" s="30" t="s">
        <v>3663</v>
      </c>
      <c r="E8591" s="32">
        <v>46113.0</v>
      </c>
      <c r="F8591" s="32">
        <v>46171.0</v>
      </c>
      <c r="G8591" s="33"/>
    </row>
    <row r="8592" ht="15.75" customHeight="1">
      <c r="A8592" s="26" t="s">
        <v>12256</v>
      </c>
      <c r="B8592" s="27" t="s">
        <v>781</v>
      </c>
      <c r="C8592" s="27" t="s">
        <v>1240</v>
      </c>
      <c r="D8592" s="26" t="s">
        <v>3663</v>
      </c>
      <c r="E8592" s="28">
        <v>46113.0</v>
      </c>
      <c r="F8592" s="28">
        <v>46171.0</v>
      </c>
      <c r="G8592" s="29"/>
    </row>
    <row r="8593" ht="15.75" customHeight="1">
      <c r="A8593" s="30" t="s">
        <v>12257</v>
      </c>
      <c r="B8593" s="31" t="s">
        <v>781</v>
      </c>
      <c r="C8593" s="31" t="s">
        <v>1242</v>
      </c>
      <c r="D8593" s="30" t="s">
        <v>3663</v>
      </c>
      <c r="E8593" s="32">
        <v>46113.0</v>
      </c>
      <c r="F8593" s="32">
        <v>46171.0</v>
      </c>
      <c r="G8593" s="33"/>
    </row>
    <row r="8594" ht="15.75" customHeight="1">
      <c r="A8594" s="26" t="s">
        <v>12258</v>
      </c>
      <c r="B8594" s="27" t="s">
        <v>781</v>
      </c>
      <c r="C8594" s="27" t="s">
        <v>1244</v>
      </c>
      <c r="D8594" s="26" t="s">
        <v>3663</v>
      </c>
      <c r="E8594" s="28">
        <v>46113.0</v>
      </c>
      <c r="F8594" s="28">
        <v>46171.0</v>
      </c>
      <c r="G8594" s="29"/>
    </row>
    <row r="8595" ht="15.75" customHeight="1">
      <c r="A8595" s="30" t="s">
        <v>12259</v>
      </c>
      <c r="B8595" s="31" t="s">
        <v>781</v>
      </c>
      <c r="C8595" s="31" t="s">
        <v>1246</v>
      </c>
      <c r="D8595" s="30" t="s">
        <v>3663</v>
      </c>
      <c r="E8595" s="32">
        <v>46113.0</v>
      </c>
      <c r="F8595" s="32">
        <v>46171.0</v>
      </c>
      <c r="G8595" s="33"/>
    </row>
    <row r="8596" ht="15.75" customHeight="1">
      <c r="A8596" s="26" t="s">
        <v>12260</v>
      </c>
      <c r="B8596" s="27" t="s">
        <v>781</v>
      </c>
      <c r="C8596" s="27" t="s">
        <v>934</v>
      </c>
      <c r="D8596" s="26" t="s">
        <v>3663</v>
      </c>
      <c r="E8596" s="28">
        <v>46113.0</v>
      </c>
      <c r="F8596" s="28">
        <v>46171.0</v>
      </c>
      <c r="G8596" s="29"/>
    </row>
    <row r="8597" ht="15.75" customHeight="1">
      <c r="A8597" s="30" t="s">
        <v>12261</v>
      </c>
      <c r="B8597" s="31" t="s">
        <v>781</v>
      </c>
      <c r="C8597" s="31" t="s">
        <v>1354</v>
      </c>
      <c r="D8597" s="30" t="s">
        <v>3663</v>
      </c>
      <c r="E8597" s="32">
        <v>46113.0</v>
      </c>
      <c r="F8597" s="32">
        <v>46171.0</v>
      </c>
      <c r="G8597" s="33"/>
    </row>
    <row r="8598" ht="15.75" customHeight="1">
      <c r="A8598" s="26" t="s">
        <v>12262</v>
      </c>
      <c r="B8598" s="27" t="s">
        <v>781</v>
      </c>
      <c r="C8598" s="27" t="s">
        <v>1172</v>
      </c>
      <c r="D8598" s="26" t="s">
        <v>3663</v>
      </c>
      <c r="E8598" s="28">
        <v>46113.0</v>
      </c>
      <c r="F8598" s="28">
        <v>46171.0</v>
      </c>
      <c r="G8598" s="29"/>
    </row>
    <row r="8599" ht="15.75" customHeight="1">
      <c r="A8599" s="30" t="s">
        <v>12263</v>
      </c>
      <c r="B8599" s="31" t="s">
        <v>781</v>
      </c>
      <c r="C8599" s="31" t="s">
        <v>3681</v>
      </c>
      <c r="D8599" s="30" t="s">
        <v>3663</v>
      </c>
      <c r="E8599" s="32">
        <v>46113.0</v>
      </c>
      <c r="F8599" s="32">
        <v>46171.0</v>
      </c>
      <c r="G8599" s="33"/>
    </row>
    <row r="8600" ht="15.75" customHeight="1">
      <c r="A8600" s="26" t="s">
        <v>12264</v>
      </c>
      <c r="B8600" s="27" t="s">
        <v>781</v>
      </c>
      <c r="C8600" s="27" t="s">
        <v>3683</v>
      </c>
      <c r="D8600" s="26" t="s">
        <v>3663</v>
      </c>
      <c r="E8600" s="28">
        <v>46113.0</v>
      </c>
      <c r="F8600" s="28">
        <v>46171.0</v>
      </c>
      <c r="G8600" s="29"/>
    </row>
    <row r="8601" ht="15.75" customHeight="1">
      <c r="A8601" s="30" t="s">
        <v>12265</v>
      </c>
      <c r="B8601" s="31" t="s">
        <v>781</v>
      </c>
      <c r="C8601" s="31" t="s">
        <v>1351</v>
      </c>
      <c r="D8601" s="30" t="s">
        <v>3663</v>
      </c>
      <c r="E8601" s="32">
        <v>46113.0</v>
      </c>
      <c r="F8601" s="32">
        <v>46171.0</v>
      </c>
      <c r="G8601" s="33"/>
    </row>
    <row r="8602" ht="15.75" customHeight="1">
      <c r="A8602" s="26" t="s">
        <v>12266</v>
      </c>
      <c r="B8602" s="27" t="s">
        <v>781</v>
      </c>
      <c r="C8602" s="27" t="s">
        <v>1349</v>
      </c>
      <c r="D8602" s="26" t="s">
        <v>3663</v>
      </c>
      <c r="E8602" s="28">
        <v>46113.0</v>
      </c>
      <c r="F8602" s="28">
        <v>46171.0</v>
      </c>
      <c r="G8602" s="29"/>
    </row>
    <row r="8603" ht="15.75" customHeight="1">
      <c r="A8603" s="30" t="s">
        <v>12267</v>
      </c>
      <c r="B8603" s="31" t="s">
        <v>781</v>
      </c>
      <c r="C8603" s="31" t="s">
        <v>968</v>
      </c>
      <c r="D8603" s="30" t="s">
        <v>3663</v>
      </c>
      <c r="E8603" s="32">
        <v>46113.0</v>
      </c>
      <c r="F8603" s="32">
        <v>46171.0</v>
      </c>
      <c r="G8603" s="33"/>
    </row>
    <row r="8604" ht="15.75" customHeight="1">
      <c r="A8604" s="26" t="s">
        <v>12268</v>
      </c>
      <c r="B8604" s="27" t="s">
        <v>781</v>
      </c>
      <c r="C8604" s="27" t="s">
        <v>923</v>
      </c>
      <c r="D8604" s="26" t="s">
        <v>3663</v>
      </c>
      <c r="E8604" s="28">
        <v>46113.0</v>
      </c>
      <c r="F8604" s="28">
        <v>46171.0</v>
      </c>
      <c r="G8604" s="29"/>
    </row>
    <row r="8605" ht="15.75" customHeight="1">
      <c r="A8605" s="30" t="s">
        <v>12269</v>
      </c>
      <c r="B8605" s="31" t="s">
        <v>781</v>
      </c>
      <c r="C8605" s="31" t="s">
        <v>961</v>
      </c>
      <c r="D8605" s="30" t="s">
        <v>3663</v>
      </c>
      <c r="E8605" s="32">
        <v>46113.0</v>
      </c>
      <c r="F8605" s="32">
        <v>46171.0</v>
      </c>
      <c r="G8605" s="33"/>
    </row>
    <row r="8606" ht="15.75" customHeight="1">
      <c r="A8606" s="26" t="s">
        <v>12270</v>
      </c>
      <c r="B8606" s="27" t="s">
        <v>782</v>
      </c>
      <c r="C8606" s="27" t="s">
        <v>1240</v>
      </c>
      <c r="D8606" s="26" t="s">
        <v>3663</v>
      </c>
      <c r="E8606" s="28">
        <v>46113.0</v>
      </c>
      <c r="F8606" s="28">
        <v>46171.0</v>
      </c>
      <c r="G8606" s="29"/>
    </row>
    <row r="8607" ht="15.75" customHeight="1">
      <c r="A8607" s="30" t="s">
        <v>12271</v>
      </c>
      <c r="B8607" s="31" t="s">
        <v>782</v>
      </c>
      <c r="C8607" s="31" t="s">
        <v>1242</v>
      </c>
      <c r="D8607" s="30" t="s">
        <v>3663</v>
      </c>
      <c r="E8607" s="32">
        <v>46113.0</v>
      </c>
      <c r="F8607" s="32">
        <v>46171.0</v>
      </c>
      <c r="G8607" s="33"/>
    </row>
    <row r="8608" ht="15.75" customHeight="1">
      <c r="A8608" s="26" t="s">
        <v>12272</v>
      </c>
      <c r="B8608" s="27" t="s">
        <v>782</v>
      </c>
      <c r="C8608" s="27" t="s">
        <v>1244</v>
      </c>
      <c r="D8608" s="26" t="s">
        <v>3663</v>
      </c>
      <c r="E8608" s="28">
        <v>46113.0</v>
      </c>
      <c r="F8608" s="28">
        <v>46171.0</v>
      </c>
      <c r="G8608" s="29"/>
    </row>
    <row r="8609" ht="15.75" customHeight="1">
      <c r="A8609" s="30" t="s">
        <v>12273</v>
      </c>
      <c r="B8609" s="31" t="s">
        <v>782</v>
      </c>
      <c r="C8609" s="31" t="s">
        <v>1246</v>
      </c>
      <c r="D8609" s="30" t="s">
        <v>3663</v>
      </c>
      <c r="E8609" s="32">
        <v>46113.0</v>
      </c>
      <c r="F8609" s="32">
        <v>46171.0</v>
      </c>
      <c r="G8609" s="33"/>
    </row>
    <row r="8610" ht="15.75" customHeight="1">
      <c r="A8610" s="26" t="s">
        <v>12274</v>
      </c>
      <c r="B8610" s="27" t="s">
        <v>782</v>
      </c>
      <c r="C8610" s="27" t="s">
        <v>3654</v>
      </c>
      <c r="D8610" s="26" t="s">
        <v>3663</v>
      </c>
      <c r="E8610" s="28">
        <v>46113.0</v>
      </c>
      <c r="F8610" s="28">
        <v>46171.0</v>
      </c>
      <c r="G8610" s="29"/>
    </row>
    <row r="8611" ht="15.75" customHeight="1">
      <c r="A8611" s="30" t="s">
        <v>12275</v>
      </c>
      <c r="B8611" s="31" t="s">
        <v>782</v>
      </c>
      <c r="C8611" s="31" t="s">
        <v>3655</v>
      </c>
      <c r="D8611" s="30" t="s">
        <v>3663</v>
      </c>
      <c r="E8611" s="32">
        <v>46113.0</v>
      </c>
      <c r="F8611" s="32">
        <v>46171.0</v>
      </c>
      <c r="G8611" s="33"/>
    </row>
    <row r="8612" ht="15.75" customHeight="1">
      <c r="A8612" s="26" t="s">
        <v>12276</v>
      </c>
      <c r="B8612" s="27" t="s">
        <v>782</v>
      </c>
      <c r="C8612" s="27" t="s">
        <v>934</v>
      </c>
      <c r="D8612" s="26" t="s">
        <v>3663</v>
      </c>
      <c r="E8612" s="28">
        <v>46113.0</v>
      </c>
      <c r="F8612" s="28">
        <v>46171.0</v>
      </c>
      <c r="G8612" s="29"/>
    </row>
    <row r="8613" ht="15.75" customHeight="1">
      <c r="A8613" s="30" t="s">
        <v>12277</v>
      </c>
      <c r="B8613" s="31" t="s">
        <v>782</v>
      </c>
      <c r="C8613" s="31" t="s">
        <v>1354</v>
      </c>
      <c r="D8613" s="30" t="s">
        <v>3663</v>
      </c>
      <c r="E8613" s="32">
        <v>46113.0</v>
      </c>
      <c r="F8613" s="32">
        <v>46171.0</v>
      </c>
      <c r="G8613" s="33"/>
    </row>
    <row r="8614" ht="15.75" customHeight="1">
      <c r="A8614" s="26" t="s">
        <v>12278</v>
      </c>
      <c r="B8614" s="27" t="s">
        <v>782</v>
      </c>
      <c r="C8614" s="27" t="s">
        <v>1172</v>
      </c>
      <c r="D8614" s="26" t="s">
        <v>3663</v>
      </c>
      <c r="E8614" s="28">
        <v>46113.0</v>
      </c>
      <c r="F8614" s="28">
        <v>46171.0</v>
      </c>
      <c r="G8614" s="29"/>
    </row>
    <row r="8615" ht="15.75" customHeight="1">
      <c r="A8615" s="30" t="s">
        <v>12279</v>
      </c>
      <c r="B8615" s="31" t="s">
        <v>782</v>
      </c>
      <c r="C8615" s="31" t="s">
        <v>1312</v>
      </c>
      <c r="D8615" s="30" t="s">
        <v>3663</v>
      </c>
      <c r="E8615" s="32">
        <v>46113.0</v>
      </c>
      <c r="F8615" s="32">
        <v>46171.0</v>
      </c>
      <c r="G8615" s="33"/>
    </row>
    <row r="8616" ht="15.75" customHeight="1">
      <c r="A8616" s="26" t="s">
        <v>12280</v>
      </c>
      <c r="B8616" s="27" t="s">
        <v>782</v>
      </c>
      <c r="C8616" s="27" t="s">
        <v>1351</v>
      </c>
      <c r="D8616" s="26" t="s">
        <v>3663</v>
      </c>
      <c r="E8616" s="28">
        <v>46113.0</v>
      </c>
      <c r="F8616" s="28">
        <v>46171.0</v>
      </c>
      <c r="G8616" s="29"/>
    </row>
    <row r="8617" ht="15.75" customHeight="1">
      <c r="A8617" s="30" t="s">
        <v>12281</v>
      </c>
      <c r="B8617" s="31" t="s">
        <v>782</v>
      </c>
      <c r="C8617" s="31" t="s">
        <v>1349</v>
      </c>
      <c r="D8617" s="30" t="s">
        <v>3663</v>
      </c>
      <c r="E8617" s="32">
        <v>46113.0</v>
      </c>
      <c r="F8617" s="32">
        <v>46171.0</v>
      </c>
      <c r="G8617" s="33"/>
    </row>
    <row r="8618" ht="15.75" customHeight="1">
      <c r="A8618" s="26" t="s">
        <v>12282</v>
      </c>
      <c r="B8618" s="27" t="s">
        <v>782</v>
      </c>
      <c r="C8618" s="27" t="s">
        <v>968</v>
      </c>
      <c r="D8618" s="26" t="s">
        <v>3663</v>
      </c>
      <c r="E8618" s="28">
        <v>46113.0</v>
      </c>
      <c r="F8618" s="28">
        <v>46171.0</v>
      </c>
      <c r="G8618" s="29"/>
    </row>
    <row r="8619" ht="15.75" customHeight="1">
      <c r="A8619" s="30" t="s">
        <v>12283</v>
      </c>
      <c r="B8619" s="31" t="s">
        <v>782</v>
      </c>
      <c r="C8619" s="31" t="s">
        <v>923</v>
      </c>
      <c r="D8619" s="30" t="s">
        <v>3663</v>
      </c>
      <c r="E8619" s="32">
        <v>46113.0</v>
      </c>
      <c r="F8619" s="32">
        <v>46171.0</v>
      </c>
      <c r="G8619" s="33"/>
    </row>
    <row r="8620" ht="15.75" customHeight="1">
      <c r="A8620" s="26" t="s">
        <v>12284</v>
      </c>
      <c r="B8620" s="27" t="s">
        <v>783</v>
      </c>
      <c r="C8620" s="27" t="s">
        <v>934</v>
      </c>
      <c r="D8620" s="26" t="s">
        <v>3663</v>
      </c>
      <c r="E8620" s="28">
        <v>46113.0</v>
      </c>
      <c r="F8620" s="28">
        <v>46171.0</v>
      </c>
      <c r="G8620" s="29"/>
    </row>
    <row r="8621" ht="15.75" customHeight="1">
      <c r="A8621" s="30" t="s">
        <v>12285</v>
      </c>
      <c r="B8621" s="31" t="s">
        <v>783</v>
      </c>
      <c r="C8621" s="31" t="s">
        <v>1354</v>
      </c>
      <c r="D8621" s="30" t="s">
        <v>3663</v>
      </c>
      <c r="E8621" s="32">
        <v>46113.0</v>
      </c>
      <c r="F8621" s="32">
        <v>46171.0</v>
      </c>
      <c r="G8621" s="33"/>
    </row>
    <row r="8622" ht="15.75" customHeight="1">
      <c r="A8622" s="26" t="s">
        <v>12286</v>
      </c>
      <c r="B8622" s="27" t="s">
        <v>783</v>
      </c>
      <c r="C8622" s="27" t="s">
        <v>1172</v>
      </c>
      <c r="D8622" s="26" t="s">
        <v>3663</v>
      </c>
      <c r="E8622" s="28">
        <v>46113.0</v>
      </c>
      <c r="F8622" s="28">
        <v>46171.0</v>
      </c>
      <c r="G8622" s="29"/>
    </row>
    <row r="8623" ht="15.75" customHeight="1">
      <c r="A8623" s="30" t="s">
        <v>12287</v>
      </c>
      <c r="B8623" s="31" t="s">
        <v>783</v>
      </c>
      <c r="C8623" s="31" t="s">
        <v>1216</v>
      </c>
      <c r="D8623" s="30" t="s">
        <v>3663</v>
      </c>
      <c r="E8623" s="32">
        <v>46113.0</v>
      </c>
      <c r="F8623" s="32">
        <v>46171.0</v>
      </c>
      <c r="G8623" s="33"/>
    </row>
    <row r="8624" ht="15.75" customHeight="1">
      <c r="A8624" s="26" t="s">
        <v>12288</v>
      </c>
      <c r="B8624" s="27" t="s">
        <v>783</v>
      </c>
      <c r="C8624" s="27" t="s">
        <v>1157</v>
      </c>
      <c r="D8624" s="26" t="s">
        <v>3663</v>
      </c>
      <c r="E8624" s="28">
        <v>46113.0</v>
      </c>
      <c r="F8624" s="28">
        <v>46171.0</v>
      </c>
      <c r="G8624" s="29"/>
    </row>
    <row r="8625" ht="15.75" customHeight="1">
      <c r="A8625" s="30" t="s">
        <v>12289</v>
      </c>
      <c r="B8625" s="31" t="s">
        <v>783</v>
      </c>
      <c r="C8625" s="31" t="s">
        <v>1155</v>
      </c>
      <c r="D8625" s="30" t="s">
        <v>3663</v>
      </c>
      <c r="E8625" s="32">
        <v>46113.0</v>
      </c>
      <c r="F8625" s="32">
        <v>46171.0</v>
      </c>
      <c r="G8625" s="33"/>
    </row>
    <row r="8626" ht="15.75" customHeight="1">
      <c r="A8626" s="26" t="s">
        <v>12290</v>
      </c>
      <c r="B8626" s="27" t="s">
        <v>783</v>
      </c>
      <c r="C8626" s="27" t="s">
        <v>1153</v>
      </c>
      <c r="D8626" s="26" t="s">
        <v>3663</v>
      </c>
      <c r="E8626" s="28">
        <v>46113.0</v>
      </c>
      <c r="F8626" s="28">
        <v>46171.0</v>
      </c>
      <c r="G8626" s="29"/>
    </row>
    <row r="8627" ht="15.75" customHeight="1">
      <c r="A8627" s="30" t="s">
        <v>12291</v>
      </c>
      <c r="B8627" s="31" t="s">
        <v>783</v>
      </c>
      <c r="C8627" s="31" t="s">
        <v>1149</v>
      </c>
      <c r="D8627" s="30" t="s">
        <v>3663</v>
      </c>
      <c r="E8627" s="32">
        <v>46113.0</v>
      </c>
      <c r="F8627" s="32">
        <v>46171.0</v>
      </c>
      <c r="G8627" s="33"/>
    </row>
    <row r="8628" ht="15.75" customHeight="1">
      <c r="A8628" s="26" t="s">
        <v>12292</v>
      </c>
      <c r="B8628" s="27" t="s">
        <v>783</v>
      </c>
      <c r="C8628" s="27" t="s">
        <v>1351</v>
      </c>
      <c r="D8628" s="26" t="s">
        <v>3663</v>
      </c>
      <c r="E8628" s="28">
        <v>46113.0</v>
      </c>
      <c r="F8628" s="28">
        <v>46171.0</v>
      </c>
      <c r="G8628" s="29"/>
    </row>
    <row r="8629" ht="15.75" customHeight="1">
      <c r="A8629" s="30" t="s">
        <v>12293</v>
      </c>
      <c r="B8629" s="31" t="s">
        <v>783</v>
      </c>
      <c r="C8629" s="31" t="s">
        <v>1349</v>
      </c>
      <c r="D8629" s="30" t="s">
        <v>3663</v>
      </c>
      <c r="E8629" s="32">
        <v>46113.0</v>
      </c>
      <c r="F8629" s="32">
        <v>46171.0</v>
      </c>
      <c r="G8629" s="33"/>
    </row>
    <row r="8630" ht="15.75" customHeight="1">
      <c r="A8630" s="26" t="s">
        <v>12294</v>
      </c>
      <c r="B8630" s="27" t="s">
        <v>783</v>
      </c>
      <c r="C8630" s="27" t="s">
        <v>3653</v>
      </c>
      <c r="D8630" s="27" t="s">
        <v>3663</v>
      </c>
      <c r="E8630" s="28">
        <v>46113.0</v>
      </c>
      <c r="F8630" s="28">
        <v>46171.0</v>
      </c>
      <c r="G8630" s="29"/>
    </row>
    <row r="8631" ht="15.75" customHeight="1">
      <c r="A8631" s="30" t="s">
        <v>12295</v>
      </c>
      <c r="B8631" s="31" t="s">
        <v>783</v>
      </c>
      <c r="C8631" s="31" t="s">
        <v>3652</v>
      </c>
      <c r="D8631" s="30" t="s">
        <v>3663</v>
      </c>
      <c r="E8631" s="32">
        <v>46113.0</v>
      </c>
      <c r="F8631" s="32">
        <v>46171.0</v>
      </c>
      <c r="G8631" s="33"/>
    </row>
    <row r="8632" ht="15.75" customHeight="1">
      <c r="A8632" s="26" t="s">
        <v>12296</v>
      </c>
      <c r="B8632" s="27" t="s">
        <v>783</v>
      </c>
      <c r="C8632" s="27" t="s">
        <v>968</v>
      </c>
      <c r="D8632" s="26" t="s">
        <v>3663</v>
      </c>
      <c r="E8632" s="28">
        <v>46113.0</v>
      </c>
      <c r="F8632" s="28">
        <v>46171.0</v>
      </c>
      <c r="G8632" s="29"/>
    </row>
    <row r="8633" ht="15.75" customHeight="1">
      <c r="A8633" s="30" t="s">
        <v>12297</v>
      </c>
      <c r="B8633" s="31" t="s">
        <v>783</v>
      </c>
      <c r="C8633" s="31" t="s">
        <v>923</v>
      </c>
      <c r="D8633" s="30" t="s">
        <v>3663</v>
      </c>
      <c r="E8633" s="32">
        <v>46113.0</v>
      </c>
      <c r="F8633" s="32">
        <v>46171.0</v>
      </c>
      <c r="G8633" s="33"/>
    </row>
    <row r="8634" ht="15.75" customHeight="1">
      <c r="A8634" s="26" t="s">
        <v>12298</v>
      </c>
      <c r="B8634" s="27" t="s">
        <v>785</v>
      </c>
      <c r="C8634" s="27" t="s">
        <v>1240</v>
      </c>
      <c r="D8634" s="26" t="s">
        <v>3663</v>
      </c>
      <c r="E8634" s="28">
        <v>46113.0</v>
      </c>
      <c r="F8634" s="28">
        <v>46171.0</v>
      </c>
      <c r="G8634" s="29"/>
    </row>
    <row r="8635" ht="15.75" customHeight="1">
      <c r="A8635" s="30" t="s">
        <v>12299</v>
      </c>
      <c r="B8635" s="31" t="s">
        <v>785</v>
      </c>
      <c r="C8635" s="31" t="s">
        <v>1242</v>
      </c>
      <c r="D8635" s="30" t="s">
        <v>3663</v>
      </c>
      <c r="E8635" s="32">
        <v>46113.0</v>
      </c>
      <c r="F8635" s="32">
        <v>46171.0</v>
      </c>
      <c r="G8635" s="33"/>
    </row>
    <row r="8636" ht="15.75" customHeight="1">
      <c r="A8636" s="26" t="s">
        <v>12300</v>
      </c>
      <c r="B8636" s="27" t="s">
        <v>785</v>
      </c>
      <c r="C8636" s="27" t="s">
        <v>1244</v>
      </c>
      <c r="D8636" s="26" t="s">
        <v>3663</v>
      </c>
      <c r="E8636" s="28">
        <v>46113.0</v>
      </c>
      <c r="F8636" s="28">
        <v>46171.0</v>
      </c>
      <c r="G8636" s="29"/>
    </row>
    <row r="8637" ht="15.75" customHeight="1">
      <c r="A8637" s="30" t="s">
        <v>12301</v>
      </c>
      <c r="B8637" s="31" t="s">
        <v>785</v>
      </c>
      <c r="C8637" s="31" t="s">
        <v>1246</v>
      </c>
      <c r="D8637" s="30" t="s">
        <v>3663</v>
      </c>
      <c r="E8637" s="32">
        <v>46113.0</v>
      </c>
      <c r="F8637" s="32">
        <v>46171.0</v>
      </c>
      <c r="G8637" s="33"/>
    </row>
    <row r="8638" ht="15.75" customHeight="1">
      <c r="A8638" s="26" t="s">
        <v>12302</v>
      </c>
      <c r="B8638" s="27" t="s">
        <v>785</v>
      </c>
      <c r="C8638" s="27" t="s">
        <v>3654</v>
      </c>
      <c r="D8638" s="26" t="s">
        <v>3663</v>
      </c>
      <c r="E8638" s="28">
        <v>46113.0</v>
      </c>
      <c r="F8638" s="28">
        <v>46171.0</v>
      </c>
      <c r="G8638" s="29"/>
    </row>
    <row r="8639" ht="15.75" customHeight="1">
      <c r="A8639" s="30" t="s">
        <v>12303</v>
      </c>
      <c r="B8639" s="31" t="s">
        <v>785</v>
      </c>
      <c r="C8639" s="31" t="s">
        <v>3655</v>
      </c>
      <c r="D8639" s="30" t="s">
        <v>3663</v>
      </c>
      <c r="E8639" s="32">
        <v>46113.0</v>
      </c>
      <c r="F8639" s="32">
        <v>46171.0</v>
      </c>
      <c r="G8639" s="33"/>
    </row>
    <row r="8640" ht="15.75" customHeight="1">
      <c r="A8640" s="26" t="s">
        <v>12304</v>
      </c>
      <c r="B8640" s="27" t="s">
        <v>785</v>
      </c>
      <c r="C8640" s="27" t="s">
        <v>928</v>
      </c>
      <c r="D8640" s="26" t="s">
        <v>3663</v>
      </c>
      <c r="E8640" s="28">
        <v>46113.0</v>
      </c>
      <c r="F8640" s="28">
        <v>46171.0</v>
      </c>
      <c r="G8640" s="29"/>
    </row>
    <row r="8641" ht="15.75" customHeight="1">
      <c r="A8641" s="30" t="s">
        <v>12305</v>
      </c>
      <c r="B8641" s="31" t="s">
        <v>785</v>
      </c>
      <c r="C8641" s="31" t="s">
        <v>3640</v>
      </c>
      <c r="D8641" s="30" t="s">
        <v>3663</v>
      </c>
      <c r="E8641" s="32">
        <v>46113.0</v>
      </c>
      <c r="F8641" s="32">
        <v>46171.0</v>
      </c>
      <c r="G8641" s="33"/>
    </row>
    <row r="8642" ht="15.75" customHeight="1">
      <c r="A8642" s="26" t="s">
        <v>12306</v>
      </c>
      <c r="B8642" s="27" t="s">
        <v>785</v>
      </c>
      <c r="C8642" s="27" t="s">
        <v>1354</v>
      </c>
      <c r="D8642" s="26" t="s">
        <v>3663</v>
      </c>
      <c r="E8642" s="28">
        <v>46113.0</v>
      </c>
      <c r="F8642" s="28">
        <v>46171.0</v>
      </c>
      <c r="G8642" s="29"/>
    </row>
    <row r="8643" ht="15.75" customHeight="1">
      <c r="A8643" s="30" t="s">
        <v>12307</v>
      </c>
      <c r="B8643" s="31" t="s">
        <v>785</v>
      </c>
      <c r="C8643" s="31" t="s">
        <v>3647</v>
      </c>
      <c r="D8643" s="30" t="s">
        <v>3663</v>
      </c>
      <c r="E8643" s="32">
        <v>46113.0</v>
      </c>
      <c r="F8643" s="32">
        <v>46171.0</v>
      </c>
      <c r="G8643" s="33"/>
    </row>
    <row r="8644" ht="15.75" customHeight="1">
      <c r="A8644" s="26" t="s">
        <v>12308</v>
      </c>
      <c r="B8644" s="27" t="s">
        <v>785</v>
      </c>
      <c r="C8644" s="27" t="s">
        <v>952</v>
      </c>
      <c r="D8644" s="26" t="s">
        <v>3663</v>
      </c>
      <c r="E8644" s="28">
        <v>46113.0</v>
      </c>
      <c r="F8644" s="28">
        <v>46171.0</v>
      </c>
      <c r="G8644" s="29"/>
    </row>
    <row r="8645" ht="15.75" customHeight="1">
      <c r="A8645" s="30" t="s">
        <v>12309</v>
      </c>
      <c r="B8645" s="31" t="s">
        <v>785</v>
      </c>
      <c r="C8645" s="31" t="s">
        <v>968</v>
      </c>
      <c r="D8645" s="30" t="s">
        <v>3663</v>
      </c>
      <c r="E8645" s="32">
        <v>46113.0</v>
      </c>
      <c r="F8645" s="32">
        <v>46171.0</v>
      </c>
      <c r="G8645" s="33"/>
    </row>
    <row r="8646" ht="15.75" customHeight="1">
      <c r="A8646" s="26" t="s">
        <v>12310</v>
      </c>
      <c r="B8646" s="27" t="s">
        <v>785</v>
      </c>
      <c r="C8646" s="27" t="s">
        <v>923</v>
      </c>
      <c r="D8646" s="26" t="s">
        <v>3663</v>
      </c>
      <c r="E8646" s="28">
        <v>46113.0</v>
      </c>
      <c r="F8646" s="28">
        <v>46171.0</v>
      </c>
      <c r="G8646" s="29"/>
    </row>
    <row r="8647" ht="15.75" customHeight="1">
      <c r="A8647" s="30" t="s">
        <v>12311</v>
      </c>
      <c r="B8647" s="31" t="s">
        <v>785</v>
      </c>
      <c r="C8647" s="31" t="s">
        <v>955</v>
      </c>
      <c r="D8647" s="30" t="s">
        <v>3663</v>
      </c>
      <c r="E8647" s="32">
        <v>46113.0</v>
      </c>
      <c r="F8647" s="32">
        <v>46171.0</v>
      </c>
      <c r="G8647" s="33"/>
    </row>
    <row r="8648" ht="15.75" customHeight="1">
      <c r="A8648" s="26" t="s">
        <v>12312</v>
      </c>
      <c r="B8648" s="27" t="s">
        <v>786</v>
      </c>
      <c r="C8648" s="27" t="s">
        <v>1240</v>
      </c>
      <c r="D8648" s="26" t="s">
        <v>3663</v>
      </c>
      <c r="E8648" s="28">
        <v>46113.0</v>
      </c>
      <c r="F8648" s="28">
        <v>46171.0</v>
      </c>
      <c r="G8648" s="29"/>
    </row>
    <row r="8649" ht="15.75" customHeight="1">
      <c r="A8649" s="30" t="s">
        <v>12313</v>
      </c>
      <c r="B8649" s="31" t="s">
        <v>786</v>
      </c>
      <c r="C8649" s="31" t="s">
        <v>1242</v>
      </c>
      <c r="D8649" s="30" t="s">
        <v>3663</v>
      </c>
      <c r="E8649" s="32">
        <v>46113.0</v>
      </c>
      <c r="F8649" s="32">
        <v>46171.0</v>
      </c>
      <c r="G8649" s="33"/>
    </row>
    <row r="8650" ht="15.75" customHeight="1">
      <c r="A8650" s="26" t="s">
        <v>12314</v>
      </c>
      <c r="B8650" s="27" t="s">
        <v>786</v>
      </c>
      <c r="C8650" s="27" t="s">
        <v>1244</v>
      </c>
      <c r="D8650" s="26" t="s">
        <v>3663</v>
      </c>
      <c r="E8650" s="28">
        <v>46113.0</v>
      </c>
      <c r="F8650" s="28">
        <v>46171.0</v>
      </c>
      <c r="G8650" s="29"/>
    </row>
    <row r="8651" ht="15.75" customHeight="1">
      <c r="A8651" s="30" t="s">
        <v>12315</v>
      </c>
      <c r="B8651" s="31" t="s">
        <v>786</v>
      </c>
      <c r="C8651" s="31" t="s">
        <v>1246</v>
      </c>
      <c r="D8651" s="30" t="s">
        <v>3663</v>
      </c>
      <c r="E8651" s="32">
        <v>46113.0</v>
      </c>
      <c r="F8651" s="32">
        <v>46171.0</v>
      </c>
      <c r="G8651" s="33"/>
    </row>
    <row r="8652" ht="15.75" customHeight="1">
      <c r="A8652" s="26" t="s">
        <v>12316</v>
      </c>
      <c r="B8652" s="27" t="s">
        <v>786</v>
      </c>
      <c r="C8652" s="27" t="s">
        <v>3654</v>
      </c>
      <c r="D8652" s="26" t="s">
        <v>3663</v>
      </c>
      <c r="E8652" s="28">
        <v>46113.0</v>
      </c>
      <c r="F8652" s="28">
        <v>46171.0</v>
      </c>
      <c r="G8652" s="29"/>
    </row>
    <row r="8653" ht="15.75" customHeight="1">
      <c r="A8653" s="30" t="s">
        <v>12317</v>
      </c>
      <c r="B8653" s="31" t="s">
        <v>786</v>
      </c>
      <c r="C8653" s="31" t="s">
        <v>3655</v>
      </c>
      <c r="D8653" s="30" t="s">
        <v>3663</v>
      </c>
      <c r="E8653" s="32">
        <v>46113.0</v>
      </c>
      <c r="F8653" s="32">
        <v>46171.0</v>
      </c>
      <c r="G8653" s="33"/>
    </row>
    <row r="8654" ht="15.75" customHeight="1">
      <c r="A8654" s="26" t="s">
        <v>12318</v>
      </c>
      <c r="B8654" s="27" t="s">
        <v>786</v>
      </c>
      <c r="C8654" s="27" t="s">
        <v>928</v>
      </c>
      <c r="D8654" s="26" t="s">
        <v>3663</v>
      </c>
      <c r="E8654" s="28">
        <v>46113.0</v>
      </c>
      <c r="F8654" s="28">
        <v>46171.0</v>
      </c>
      <c r="G8654" s="29"/>
    </row>
    <row r="8655" ht="15.75" customHeight="1">
      <c r="A8655" s="30" t="s">
        <v>12319</v>
      </c>
      <c r="B8655" s="31" t="s">
        <v>786</v>
      </c>
      <c r="C8655" s="31" t="s">
        <v>1354</v>
      </c>
      <c r="D8655" s="30" t="s">
        <v>3663</v>
      </c>
      <c r="E8655" s="32">
        <v>46113.0</v>
      </c>
      <c r="F8655" s="32">
        <v>46171.0</v>
      </c>
      <c r="G8655" s="33"/>
    </row>
    <row r="8656" ht="15.75" customHeight="1">
      <c r="A8656" s="26" t="s">
        <v>12320</v>
      </c>
      <c r="B8656" s="27" t="s">
        <v>786</v>
      </c>
      <c r="C8656" s="27" t="s">
        <v>3647</v>
      </c>
      <c r="D8656" s="26" t="s">
        <v>3663</v>
      </c>
      <c r="E8656" s="28">
        <v>46113.0</v>
      </c>
      <c r="F8656" s="28">
        <v>46171.0</v>
      </c>
      <c r="G8656" s="29"/>
    </row>
    <row r="8657" ht="15.75" customHeight="1">
      <c r="A8657" s="30" t="s">
        <v>12321</v>
      </c>
      <c r="B8657" s="31" t="s">
        <v>786</v>
      </c>
      <c r="C8657" s="31" t="s">
        <v>952</v>
      </c>
      <c r="D8657" s="30" t="s">
        <v>3663</v>
      </c>
      <c r="E8657" s="32">
        <v>46113.0</v>
      </c>
      <c r="F8657" s="32">
        <v>46171.0</v>
      </c>
      <c r="G8657" s="33"/>
    </row>
    <row r="8658" ht="15.75" customHeight="1">
      <c r="A8658" s="26" t="s">
        <v>12322</v>
      </c>
      <c r="B8658" s="27" t="s">
        <v>786</v>
      </c>
      <c r="C8658" s="27" t="s">
        <v>1218</v>
      </c>
      <c r="D8658" s="26" t="s">
        <v>3663</v>
      </c>
      <c r="E8658" s="28">
        <v>46113.0</v>
      </c>
      <c r="F8658" s="28">
        <v>46171.0</v>
      </c>
      <c r="G8658" s="29"/>
    </row>
    <row r="8659" ht="15.75" customHeight="1">
      <c r="A8659" s="30" t="s">
        <v>12323</v>
      </c>
      <c r="B8659" s="31" t="s">
        <v>786</v>
      </c>
      <c r="C8659" s="31" t="s">
        <v>968</v>
      </c>
      <c r="D8659" s="30" t="s">
        <v>3663</v>
      </c>
      <c r="E8659" s="32">
        <v>46113.0</v>
      </c>
      <c r="F8659" s="32">
        <v>46171.0</v>
      </c>
      <c r="G8659" s="33"/>
    </row>
    <row r="8660" ht="15.75" customHeight="1">
      <c r="A8660" s="26" t="s">
        <v>12324</v>
      </c>
      <c r="B8660" s="27" t="s">
        <v>786</v>
      </c>
      <c r="C8660" s="27" t="s">
        <v>923</v>
      </c>
      <c r="D8660" s="26" t="s">
        <v>3663</v>
      </c>
      <c r="E8660" s="28">
        <v>46113.0</v>
      </c>
      <c r="F8660" s="28">
        <v>46171.0</v>
      </c>
      <c r="G8660" s="29"/>
    </row>
    <row r="8661" ht="15.75" customHeight="1">
      <c r="A8661" s="30" t="s">
        <v>12325</v>
      </c>
      <c r="B8661" s="31" t="s">
        <v>786</v>
      </c>
      <c r="C8661" s="31" t="s">
        <v>955</v>
      </c>
      <c r="D8661" s="30" t="s">
        <v>3663</v>
      </c>
      <c r="E8661" s="32">
        <v>46113.0</v>
      </c>
      <c r="F8661" s="32">
        <v>46171.0</v>
      </c>
      <c r="G8661" s="33"/>
    </row>
    <row r="8662" ht="15.75" customHeight="1">
      <c r="A8662" s="26" t="s">
        <v>12326</v>
      </c>
      <c r="B8662" s="27" t="s">
        <v>787</v>
      </c>
      <c r="C8662" s="27" t="s">
        <v>934</v>
      </c>
      <c r="D8662" s="26" t="s">
        <v>3663</v>
      </c>
      <c r="E8662" s="28">
        <v>46113.0</v>
      </c>
      <c r="F8662" s="28">
        <v>46171.0</v>
      </c>
      <c r="G8662" s="29"/>
    </row>
    <row r="8663" ht="15.75" customHeight="1">
      <c r="A8663" s="30" t="s">
        <v>12327</v>
      </c>
      <c r="B8663" s="31" t="s">
        <v>787</v>
      </c>
      <c r="C8663" s="31" t="s">
        <v>3640</v>
      </c>
      <c r="D8663" s="30" t="s">
        <v>3663</v>
      </c>
      <c r="E8663" s="32">
        <v>46113.0</v>
      </c>
      <c r="F8663" s="32">
        <v>46171.0</v>
      </c>
      <c r="G8663" s="33"/>
    </row>
    <row r="8664" ht="15.75" customHeight="1">
      <c r="A8664" s="26" t="s">
        <v>12328</v>
      </c>
      <c r="B8664" s="27" t="s">
        <v>787</v>
      </c>
      <c r="C8664" s="27" t="s">
        <v>1323</v>
      </c>
      <c r="D8664" s="26" t="s">
        <v>3663</v>
      </c>
      <c r="E8664" s="28">
        <v>46113.0</v>
      </c>
      <c r="F8664" s="28">
        <v>46171.0</v>
      </c>
      <c r="G8664" s="29"/>
    </row>
    <row r="8665" ht="15.75" customHeight="1">
      <c r="A8665" s="30" t="s">
        <v>12329</v>
      </c>
      <c r="B8665" s="31" t="s">
        <v>787</v>
      </c>
      <c r="C8665" s="31" t="s">
        <v>1354</v>
      </c>
      <c r="D8665" s="30" t="s">
        <v>3663</v>
      </c>
      <c r="E8665" s="32">
        <v>46113.0</v>
      </c>
      <c r="F8665" s="32">
        <v>46171.0</v>
      </c>
      <c r="G8665" s="33"/>
    </row>
    <row r="8666" ht="15.75" customHeight="1">
      <c r="A8666" s="26" t="s">
        <v>12330</v>
      </c>
      <c r="B8666" s="27" t="s">
        <v>787</v>
      </c>
      <c r="C8666" s="27" t="s">
        <v>3656</v>
      </c>
      <c r="D8666" s="26" t="s">
        <v>3663</v>
      </c>
      <c r="E8666" s="28">
        <v>46113.0</v>
      </c>
      <c r="F8666" s="28">
        <v>46171.0</v>
      </c>
      <c r="G8666" s="29"/>
    </row>
    <row r="8667" ht="15.75" customHeight="1">
      <c r="A8667" s="30" t="s">
        <v>12331</v>
      </c>
      <c r="B8667" s="31" t="s">
        <v>787</v>
      </c>
      <c r="C8667" s="31" t="s">
        <v>3657</v>
      </c>
      <c r="D8667" s="30" t="s">
        <v>3663</v>
      </c>
      <c r="E8667" s="32">
        <v>46113.0</v>
      </c>
      <c r="F8667" s="32">
        <v>46171.0</v>
      </c>
      <c r="G8667" s="33"/>
    </row>
    <row r="8668" ht="15.75" customHeight="1">
      <c r="A8668" s="26" t="s">
        <v>12332</v>
      </c>
      <c r="B8668" s="27" t="s">
        <v>787</v>
      </c>
      <c r="C8668" s="27" t="s">
        <v>1157</v>
      </c>
      <c r="D8668" s="26" t="s">
        <v>3663</v>
      </c>
      <c r="E8668" s="28">
        <v>46113.0</v>
      </c>
      <c r="F8668" s="28">
        <v>46171.0</v>
      </c>
      <c r="G8668" s="29"/>
    </row>
    <row r="8669" ht="15.75" customHeight="1">
      <c r="A8669" s="30" t="s">
        <v>12333</v>
      </c>
      <c r="B8669" s="31" t="s">
        <v>787</v>
      </c>
      <c r="C8669" s="31" t="s">
        <v>1155</v>
      </c>
      <c r="D8669" s="30" t="s">
        <v>3663</v>
      </c>
      <c r="E8669" s="32">
        <v>46113.0</v>
      </c>
      <c r="F8669" s="32">
        <v>46171.0</v>
      </c>
      <c r="G8669" s="33"/>
    </row>
    <row r="8670" ht="15.75" customHeight="1">
      <c r="A8670" s="26" t="s">
        <v>12334</v>
      </c>
      <c r="B8670" s="27" t="s">
        <v>787</v>
      </c>
      <c r="C8670" s="27" t="s">
        <v>1153</v>
      </c>
      <c r="D8670" s="26" t="s">
        <v>3663</v>
      </c>
      <c r="E8670" s="28">
        <v>46113.0</v>
      </c>
      <c r="F8670" s="28">
        <v>46171.0</v>
      </c>
      <c r="G8670" s="29"/>
    </row>
    <row r="8671" ht="15.75" customHeight="1">
      <c r="A8671" s="30" t="s">
        <v>12335</v>
      </c>
      <c r="B8671" s="31" t="s">
        <v>787</v>
      </c>
      <c r="C8671" s="31" t="s">
        <v>1149</v>
      </c>
      <c r="D8671" s="30" t="s">
        <v>3663</v>
      </c>
      <c r="E8671" s="32">
        <v>46113.0</v>
      </c>
      <c r="F8671" s="32">
        <v>46171.0</v>
      </c>
      <c r="G8671" s="33"/>
    </row>
    <row r="8672" ht="15.75" customHeight="1">
      <c r="A8672" s="26" t="s">
        <v>12336</v>
      </c>
      <c r="B8672" s="27" t="s">
        <v>787</v>
      </c>
      <c r="C8672" s="27" t="s">
        <v>1351</v>
      </c>
      <c r="D8672" s="26" t="s">
        <v>3663</v>
      </c>
      <c r="E8672" s="28">
        <v>46113.0</v>
      </c>
      <c r="F8672" s="28">
        <v>46171.0</v>
      </c>
      <c r="G8672" s="29"/>
    </row>
    <row r="8673" ht="15.75" customHeight="1">
      <c r="A8673" s="30" t="s">
        <v>12337</v>
      </c>
      <c r="B8673" s="31" t="s">
        <v>787</v>
      </c>
      <c r="C8673" s="31" t="s">
        <v>1349</v>
      </c>
      <c r="D8673" s="30" t="s">
        <v>3663</v>
      </c>
      <c r="E8673" s="32">
        <v>46113.0</v>
      </c>
      <c r="F8673" s="32">
        <v>46171.0</v>
      </c>
      <c r="G8673" s="33"/>
    </row>
    <row r="8674" ht="15.75" customHeight="1">
      <c r="A8674" s="26" t="s">
        <v>12338</v>
      </c>
      <c r="B8674" s="27" t="s">
        <v>787</v>
      </c>
      <c r="C8674" s="27" t="s">
        <v>968</v>
      </c>
      <c r="D8674" s="26" t="s">
        <v>3663</v>
      </c>
      <c r="E8674" s="28">
        <v>46113.0</v>
      </c>
      <c r="F8674" s="28">
        <v>46171.0</v>
      </c>
      <c r="G8674" s="29"/>
    </row>
    <row r="8675" ht="15.75" customHeight="1">
      <c r="A8675" s="30" t="s">
        <v>12339</v>
      </c>
      <c r="B8675" s="31" t="s">
        <v>787</v>
      </c>
      <c r="C8675" s="31" t="s">
        <v>923</v>
      </c>
      <c r="D8675" s="30" t="s">
        <v>3663</v>
      </c>
      <c r="E8675" s="32">
        <v>46113.0</v>
      </c>
      <c r="F8675" s="32">
        <v>46171.0</v>
      </c>
      <c r="G8675" s="33"/>
    </row>
    <row r="8676" ht="15.75" customHeight="1">
      <c r="A8676" s="26" t="s">
        <v>12340</v>
      </c>
      <c r="B8676" s="27" t="s">
        <v>788</v>
      </c>
      <c r="C8676" s="27" t="s">
        <v>930</v>
      </c>
      <c r="D8676" s="27" t="s">
        <v>3663</v>
      </c>
      <c r="E8676" s="28">
        <v>46113.0</v>
      </c>
      <c r="F8676" s="28">
        <v>46171.0</v>
      </c>
      <c r="G8676" s="29"/>
    </row>
    <row r="8677" ht="15.75" customHeight="1">
      <c r="A8677" s="30" t="s">
        <v>12341</v>
      </c>
      <c r="B8677" s="31" t="s">
        <v>788</v>
      </c>
      <c r="C8677" s="31" t="s">
        <v>1354</v>
      </c>
      <c r="D8677" s="30" t="s">
        <v>3663</v>
      </c>
      <c r="E8677" s="32">
        <v>46113.0</v>
      </c>
      <c r="F8677" s="32">
        <v>46171.0</v>
      </c>
      <c r="G8677" s="33"/>
    </row>
    <row r="8678" ht="15.75" customHeight="1">
      <c r="A8678" s="26" t="s">
        <v>12342</v>
      </c>
      <c r="B8678" s="27" t="s">
        <v>788</v>
      </c>
      <c r="C8678" s="27" t="s">
        <v>1304</v>
      </c>
      <c r="D8678" s="27" t="s">
        <v>3663</v>
      </c>
      <c r="E8678" s="28">
        <v>46113.0</v>
      </c>
      <c r="F8678" s="28">
        <v>46171.0</v>
      </c>
      <c r="G8678" s="29"/>
    </row>
    <row r="8679" ht="15.75" customHeight="1">
      <c r="A8679" s="30" t="s">
        <v>12343</v>
      </c>
      <c r="B8679" s="31" t="s">
        <v>788</v>
      </c>
      <c r="C8679" s="31" t="s">
        <v>1306</v>
      </c>
      <c r="D8679" s="31" t="s">
        <v>3663</v>
      </c>
      <c r="E8679" s="32">
        <v>46113.0</v>
      </c>
      <c r="F8679" s="32">
        <v>46171.0</v>
      </c>
      <c r="G8679" s="33"/>
    </row>
    <row r="8680" ht="15.75" customHeight="1">
      <c r="A8680" s="26" t="s">
        <v>12344</v>
      </c>
      <c r="B8680" s="27" t="s">
        <v>788</v>
      </c>
      <c r="C8680" s="27" t="s">
        <v>1308</v>
      </c>
      <c r="D8680" s="27" t="s">
        <v>3663</v>
      </c>
      <c r="E8680" s="28">
        <v>46113.0</v>
      </c>
      <c r="F8680" s="28">
        <v>46171.0</v>
      </c>
      <c r="G8680" s="29"/>
    </row>
    <row r="8681" ht="15.75" customHeight="1">
      <c r="A8681" s="30" t="s">
        <v>12345</v>
      </c>
      <c r="B8681" s="31" t="s">
        <v>788</v>
      </c>
      <c r="C8681" s="31" t="s">
        <v>1310</v>
      </c>
      <c r="D8681" s="31" t="s">
        <v>3663</v>
      </c>
      <c r="E8681" s="32">
        <v>46113.0</v>
      </c>
      <c r="F8681" s="32">
        <v>46171.0</v>
      </c>
      <c r="G8681" s="33"/>
    </row>
    <row r="8682" ht="15.75" customHeight="1">
      <c r="A8682" s="26" t="s">
        <v>12346</v>
      </c>
      <c r="B8682" s="27" t="s">
        <v>788</v>
      </c>
      <c r="C8682" s="27" t="s">
        <v>1312</v>
      </c>
      <c r="D8682" s="26" t="s">
        <v>3663</v>
      </c>
      <c r="E8682" s="28">
        <v>46113.0</v>
      </c>
      <c r="F8682" s="28">
        <v>46171.0</v>
      </c>
      <c r="G8682" s="29"/>
    </row>
    <row r="8683" ht="15.75" customHeight="1">
      <c r="A8683" s="30" t="s">
        <v>12347</v>
      </c>
      <c r="B8683" s="31" t="s">
        <v>788</v>
      </c>
      <c r="C8683" s="31" t="s">
        <v>3681</v>
      </c>
      <c r="D8683" s="30" t="s">
        <v>3663</v>
      </c>
      <c r="E8683" s="32">
        <v>46113.0</v>
      </c>
      <c r="F8683" s="32">
        <v>46171.0</v>
      </c>
      <c r="G8683" s="33"/>
    </row>
    <row r="8684" ht="15.75" customHeight="1">
      <c r="A8684" s="26" t="s">
        <v>12348</v>
      </c>
      <c r="B8684" s="27" t="s">
        <v>788</v>
      </c>
      <c r="C8684" s="27" t="s">
        <v>3683</v>
      </c>
      <c r="D8684" s="26" t="s">
        <v>3663</v>
      </c>
      <c r="E8684" s="28">
        <v>46113.0</v>
      </c>
      <c r="F8684" s="28">
        <v>46171.0</v>
      </c>
      <c r="G8684" s="29"/>
    </row>
    <row r="8685" ht="15.75" customHeight="1">
      <c r="A8685" s="30" t="s">
        <v>12349</v>
      </c>
      <c r="B8685" s="31" t="s">
        <v>788</v>
      </c>
      <c r="C8685" s="31" t="s">
        <v>1208</v>
      </c>
      <c r="D8685" s="30" t="s">
        <v>3663</v>
      </c>
      <c r="E8685" s="32">
        <v>46113.0</v>
      </c>
      <c r="F8685" s="32">
        <v>46171.0</v>
      </c>
      <c r="G8685" s="33"/>
    </row>
    <row r="8686" ht="15.75" customHeight="1">
      <c r="A8686" s="26" t="s">
        <v>12350</v>
      </c>
      <c r="B8686" s="27" t="s">
        <v>788</v>
      </c>
      <c r="C8686" s="27" t="s">
        <v>1351</v>
      </c>
      <c r="D8686" s="26" t="s">
        <v>3663</v>
      </c>
      <c r="E8686" s="28">
        <v>46113.0</v>
      </c>
      <c r="F8686" s="28">
        <v>46171.0</v>
      </c>
      <c r="G8686" s="29"/>
    </row>
    <row r="8687" ht="15.75" customHeight="1">
      <c r="A8687" s="30" t="s">
        <v>12351</v>
      </c>
      <c r="B8687" s="31" t="s">
        <v>788</v>
      </c>
      <c r="C8687" s="31" t="s">
        <v>1349</v>
      </c>
      <c r="D8687" s="30" t="s">
        <v>3663</v>
      </c>
      <c r="E8687" s="32">
        <v>46113.0</v>
      </c>
      <c r="F8687" s="32">
        <v>46171.0</v>
      </c>
      <c r="G8687" s="33"/>
    </row>
    <row r="8688" ht="15.75" customHeight="1">
      <c r="A8688" s="26" t="s">
        <v>12352</v>
      </c>
      <c r="B8688" s="27" t="s">
        <v>788</v>
      </c>
      <c r="C8688" s="27" t="s">
        <v>968</v>
      </c>
      <c r="D8688" s="26" t="s">
        <v>3663</v>
      </c>
      <c r="E8688" s="28">
        <v>46113.0</v>
      </c>
      <c r="F8688" s="28">
        <v>46171.0</v>
      </c>
      <c r="G8688" s="29"/>
    </row>
    <row r="8689" ht="15.75" customHeight="1">
      <c r="A8689" s="30" t="s">
        <v>12353</v>
      </c>
      <c r="B8689" s="31" t="s">
        <v>788</v>
      </c>
      <c r="C8689" s="31" t="s">
        <v>923</v>
      </c>
      <c r="D8689" s="31" t="s">
        <v>3663</v>
      </c>
      <c r="E8689" s="32">
        <v>46113.0</v>
      </c>
      <c r="F8689" s="32">
        <v>46171.0</v>
      </c>
      <c r="G8689" s="33"/>
    </row>
    <row r="8690" ht="15.75" customHeight="1">
      <c r="A8690" s="26" t="s">
        <v>12354</v>
      </c>
      <c r="B8690" s="27" t="s">
        <v>789</v>
      </c>
      <c r="C8690" s="27" t="s">
        <v>926</v>
      </c>
      <c r="D8690" s="27" t="s">
        <v>3663</v>
      </c>
      <c r="E8690" s="28">
        <v>46113.0</v>
      </c>
      <c r="F8690" s="28">
        <v>46171.0</v>
      </c>
      <c r="G8690" s="29"/>
    </row>
    <row r="8691" ht="15.75" customHeight="1">
      <c r="A8691" s="30" t="s">
        <v>12355</v>
      </c>
      <c r="B8691" s="31" t="s">
        <v>789</v>
      </c>
      <c r="C8691" s="31" t="s">
        <v>1354</v>
      </c>
      <c r="D8691" s="30" t="s">
        <v>3663</v>
      </c>
      <c r="E8691" s="32">
        <v>46113.0</v>
      </c>
      <c r="F8691" s="32">
        <v>46171.0</v>
      </c>
      <c r="G8691" s="33"/>
    </row>
    <row r="8692" ht="15.75" customHeight="1">
      <c r="A8692" s="26" t="s">
        <v>12356</v>
      </c>
      <c r="B8692" s="27" t="s">
        <v>789</v>
      </c>
      <c r="C8692" s="27" t="s">
        <v>3681</v>
      </c>
      <c r="D8692" s="26" t="s">
        <v>3663</v>
      </c>
      <c r="E8692" s="28">
        <v>46113.0</v>
      </c>
      <c r="F8692" s="28">
        <v>46171.0</v>
      </c>
      <c r="G8692" s="29"/>
    </row>
    <row r="8693" ht="15.75" customHeight="1">
      <c r="A8693" s="30" t="s">
        <v>12357</v>
      </c>
      <c r="B8693" s="31" t="s">
        <v>789</v>
      </c>
      <c r="C8693" s="31" t="s">
        <v>3683</v>
      </c>
      <c r="D8693" s="30" t="s">
        <v>3663</v>
      </c>
      <c r="E8693" s="32">
        <v>46113.0</v>
      </c>
      <c r="F8693" s="32">
        <v>46171.0</v>
      </c>
      <c r="G8693" s="33"/>
    </row>
    <row r="8694" ht="15.75" customHeight="1">
      <c r="A8694" s="26" t="s">
        <v>12358</v>
      </c>
      <c r="B8694" s="27" t="s">
        <v>789</v>
      </c>
      <c r="C8694" s="27" t="s">
        <v>1190</v>
      </c>
      <c r="D8694" s="26" t="s">
        <v>3663</v>
      </c>
      <c r="E8694" s="28">
        <v>46113.0</v>
      </c>
      <c r="F8694" s="28">
        <v>46171.0</v>
      </c>
      <c r="G8694" s="29"/>
    </row>
    <row r="8695" ht="15.75" customHeight="1">
      <c r="A8695" s="30" t="s">
        <v>12359</v>
      </c>
      <c r="B8695" s="31" t="s">
        <v>789</v>
      </c>
      <c r="C8695" s="31" t="s">
        <v>3648</v>
      </c>
      <c r="D8695" s="31" t="s">
        <v>3663</v>
      </c>
      <c r="E8695" s="32">
        <v>46113.0</v>
      </c>
      <c r="F8695" s="32">
        <v>46171.0</v>
      </c>
      <c r="G8695" s="33"/>
    </row>
    <row r="8696" ht="15.75" customHeight="1">
      <c r="A8696" s="26" t="s">
        <v>12360</v>
      </c>
      <c r="B8696" s="27" t="s">
        <v>789</v>
      </c>
      <c r="C8696" s="27" t="s">
        <v>3649</v>
      </c>
      <c r="D8696" s="27" t="s">
        <v>3663</v>
      </c>
      <c r="E8696" s="28">
        <v>46113.0</v>
      </c>
      <c r="F8696" s="28">
        <v>46171.0</v>
      </c>
      <c r="G8696" s="29"/>
    </row>
    <row r="8697" ht="15.75" customHeight="1">
      <c r="A8697" s="30" t="s">
        <v>12361</v>
      </c>
      <c r="B8697" s="31" t="s">
        <v>789</v>
      </c>
      <c r="C8697" s="31" t="s">
        <v>3650</v>
      </c>
      <c r="D8697" s="31" t="s">
        <v>3663</v>
      </c>
      <c r="E8697" s="32">
        <v>46113.0</v>
      </c>
      <c r="F8697" s="32">
        <v>46171.0</v>
      </c>
      <c r="G8697" s="33"/>
    </row>
    <row r="8698" ht="15.75" customHeight="1">
      <c r="A8698" s="26" t="s">
        <v>12362</v>
      </c>
      <c r="B8698" s="27" t="s">
        <v>789</v>
      </c>
      <c r="C8698" s="27" t="s">
        <v>1283</v>
      </c>
      <c r="D8698" s="27" t="s">
        <v>3663</v>
      </c>
      <c r="E8698" s="28">
        <v>46113.0</v>
      </c>
      <c r="F8698" s="28">
        <v>46171.0</v>
      </c>
      <c r="G8698" s="29"/>
    </row>
    <row r="8699" ht="15.75" customHeight="1">
      <c r="A8699" s="30" t="s">
        <v>12363</v>
      </c>
      <c r="B8699" s="31" t="s">
        <v>789</v>
      </c>
      <c r="C8699" s="31" t="s">
        <v>1351</v>
      </c>
      <c r="D8699" s="30" t="s">
        <v>3663</v>
      </c>
      <c r="E8699" s="32">
        <v>46113.0</v>
      </c>
      <c r="F8699" s="32">
        <v>46171.0</v>
      </c>
      <c r="G8699" s="33"/>
    </row>
    <row r="8700" ht="15.75" customHeight="1">
      <c r="A8700" s="26" t="s">
        <v>12364</v>
      </c>
      <c r="B8700" s="27" t="s">
        <v>789</v>
      </c>
      <c r="C8700" s="27" t="s">
        <v>1349</v>
      </c>
      <c r="D8700" s="26" t="s">
        <v>3663</v>
      </c>
      <c r="E8700" s="28">
        <v>46113.0</v>
      </c>
      <c r="F8700" s="28">
        <v>46171.0</v>
      </c>
      <c r="G8700" s="29"/>
    </row>
    <row r="8701" ht="15.75" customHeight="1">
      <c r="A8701" s="30" t="s">
        <v>12365</v>
      </c>
      <c r="B8701" s="31" t="s">
        <v>789</v>
      </c>
      <c r="C8701" s="31" t="s">
        <v>968</v>
      </c>
      <c r="D8701" s="30" t="s">
        <v>3663</v>
      </c>
      <c r="E8701" s="32">
        <v>46113.0</v>
      </c>
      <c r="F8701" s="32">
        <v>46171.0</v>
      </c>
      <c r="G8701" s="33"/>
    </row>
    <row r="8702" ht="15.75" customHeight="1">
      <c r="A8702" s="26" t="s">
        <v>12366</v>
      </c>
      <c r="B8702" s="27" t="s">
        <v>789</v>
      </c>
      <c r="C8702" s="27" t="s">
        <v>923</v>
      </c>
      <c r="D8702" s="27" t="s">
        <v>3663</v>
      </c>
      <c r="E8702" s="28">
        <v>46113.0</v>
      </c>
      <c r="F8702" s="28">
        <v>46171.0</v>
      </c>
      <c r="G8702" s="29"/>
    </row>
    <row r="8703" ht="15.75" customHeight="1">
      <c r="A8703" s="30" t="s">
        <v>12367</v>
      </c>
      <c r="B8703" s="31" t="s">
        <v>789</v>
      </c>
      <c r="C8703" s="31" t="s">
        <v>961</v>
      </c>
      <c r="D8703" s="30" t="s">
        <v>3663</v>
      </c>
      <c r="E8703" s="32">
        <v>46113.0</v>
      </c>
      <c r="F8703" s="32">
        <v>46171.0</v>
      </c>
      <c r="G8703" s="33"/>
    </row>
    <row r="8704" ht="15.75" customHeight="1">
      <c r="A8704" s="26" t="s">
        <v>12368</v>
      </c>
      <c r="B8704" s="27" t="s">
        <v>790</v>
      </c>
      <c r="C8704" s="27" t="s">
        <v>1240</v>
      </c>
      <c r="D8704" s="26" t="s">
        <v>3663</v>
      </c>
      <c r="E8704" s="28">
        <v>46113.0</v>
      </c>
      <c r="F8704" s="28">
        <v>46171.0</v>
      </c>
      <c r="G8704" s="29"/>
    </row>
    <row r="8705" ht="15.75" customHeight="1">
      <c r="A8705" s="30" t="s">
        <v>12369</v>
      </c>
      <c r="B8705" s="31" t="s">
        <v>790</v>
      </c>
      <c r="C8705" s="31" t="s">
        <v>1242</v>
      </c>
      <c r="D8705" s="30" t="s">
        <v>3663</v>
      </c>
      <c r="E8705" s="32">
        <v>46113.0</v>
      </c>
      <c r="F8705" s="32">
        <v>46171.0</v>
      </c>
      <c r="G8705" s="33"/>
    </row>
    <row r="8706" ht="15.75" customHeight="1">
      <c r="A8706" s="26" t="s">
        <v>12370</v>
      </c>
      <c r="B8706" s="27" t="s">
        <v>790</v>
      </c>
      <c r="C8706" s="27" t="s">
        <v>1244</v>
      </c>
      <c r="D8706" s="26" t="s">
        <v>3663</v>
      </c>
      <c r="E8706" s="28">
        <v>46113.0</v>
      </c>
      <c r="F8706" s="28">
        <v>46171.0</v>
      </c>
      <c r="G8706" s="29"/>
    </row>
    <row r="8707" ht="15.75" customHeight="1">
      <c r="A8707" s="30" t="s">
        <v>12371</v>
      </c>
      <c r="B8707" s="31" t="s">
        <v>790</v>
      </c>
      <c r="C8707" s="31" t="s">
        <v>1246</v>
      </c>
      <c r="D8707" s="30" t="s">
        <v>3663</v>
      </c>
      <c r="E8707" s="32">
        <v>46113.0</v>
      </c>
      <c r="F8707" s="32">
        <v>46171.0</v>
      </c>
      <c r="G8707" s="33"/>
    </row>
    <row r="8708" ht="15.75" customHeight="1">
      <c r="A8708" s="26" t="s">
        <v>12372</v>
      </c>
      <c r="B8708" s="27" t="s">
        <v>790</v>
      </c>
      <c r="C8708" s="27" t="s">
        <v>928</v>
      </c>
      <c r="D8708" s="26" t="s">
        <v>3663</v>
      </c>
      <c r="E8708" s="28">
        <v>46113.0</v>
      </c>
      <c r="F8708" s="28">
        <v>46171.0</v>
      </c>
      <c r="G8708" s="29"/>
    </row>
    <row r="8709" ht="15.75" customHeight="1">
      <c r="A8709" s="30" t="s">
        <v>12373</v>
      </c>
      <c r="B8709" s="31" t="s">
        <v>790</v>
      </c>
      <c r="C8709" s="31" t="s">
        <v>1354</v>
      </c>
      <c r="D8709" s="30" t="s">
        <v>3663</v>
      </c>
      <c r="E8709" s="32">
        <v>46113.0</v>
      </c>
      <c r="F8709" s="32">
        <v>46171.0</v>
      </c>
      <c r="G8709" s="33"/>
    </row>
    <row r="8710" ht="15.75" customHeight="1">
      <c r="A8710" s="26" t="s">
        <v>12374</v>
      </c>
      <c r="B8710" s="27" t="s">
        <v>790</v>
      </c>
      <c r="C8710" s="27" t="s">
        <v>1159</v>
      </c>
      <c r="D8710" s="26" t="s">
        <v>3663</v>
      </c>
      <c r="E8710" s="28">
        <v>46113.0</v>
      </c>
      <c r="F8710" s="28">
        <v>46171.0</v>
      </c>
      <c r="G8710" s="29"/>
    </row>
    <row r="8711" ht="15.75" customHeight="1">
      <c r="A8711" s="30" t="s">
        <v>12375</v>
      </c>
      <c r="B8711" s="31" t="s">
        <v>790</v>
      </c>
      <c r="C8711" s="31" t="s">
        <v>3656</v>
      </c>
      <c r="D8711" s="30" t="s">
        <v>3663</v>
      </c>
      <c r="E8711" s="32">
        <v>46113.0</v>
      </c>
      <c r="F8711" s="32">
        <v>46171.0</v>
      </c>
      <c r="G8711" s="33"/>
    </row>
    <row r="8712" ht="15.75" customHeight="1">
      <c r="A8712" s="26" t="s">
        <v>12376</v>
      </c>
      <c r="B8712" s="27" t="s">
        <v>790</v>
      </c>
      <c r="C8712" s="27" t="s">
        <v>3657</v>
      </c>
      <c r="D8712" s="26" t="s">
        <v>3663</v>
      </c>
      <c r="E8712" s="28">
        <v>46113.0</v>
      </c>
      <c r="F8712" s="28">
        <v>46171.0</v>
      </c>
      <c r="G8712" s="29"/>
    </row>
    <row r="8713" ht="15.75" customHeight="1">
      <c r="A8713" s="30" t="s">
        <v>12377</v>
      </c>
      <c r="B8713" s="31" t="s">
        <v>790</v>
      </c>
      <c r="C8713" s="31" t="s">
        <v>1216</v>
      </c>
      <c r="D8713" s="30" t="s">
        <v>3663</v>
      </c>
      <c r="E8713" s="32">
        <v>46113.0</v>
      </c>
      <c r="F8713" s="32">
        <v>46171.0</v>
      </c>
      <c r="G8713" s="33"/>
    </row>
    <row r="8714" ht="15.75" customHeight="1">
      <c r="A8714" s="26" t="s">
        <v>12378</v>
      </c>
      <c r="B8714" s="27" t="s">
        <v>790</v>
      </c>
      <c r="C8714" s="27" t="s">
        <v>1351</v>
      </c>
      <c r="D8714" s="26" t="s">
        <v>3663</v>
      </c>
      <c r="E8714" s="28">
        <v>46113.0</v>
      </c>
      <c r="F8714" s="28">
        <v>46171.0</v>
      </c>
      <c r="G8714" s="29"/>
    </row>
    <row r="8715" ht="15.75" customHeight="1">
      <c r="A8715" s="30" t="s">
        <v>12379</v>
      </c>
      <c r="B8715" s="31" t="s">
        <v>790</v>
      </c>
      <c r="C8715" s="31" t="s">
        <v>1349</v>
      </c>
      <c r="D8715" s="30" t="s">
        <v>3663</v>
      </c>
      <c r="E8715" s="32">
        <v>46113.0</v>
      </c>
      <c r="F8715" s="32">
        <v>46171.0</v>
      </c>
      <c r="G8715" s="33"/>
    </row>
    <row r="8716" ht="15.75" customHeight="1">
      <c r="A8716" s="26" t="s">
        <v>12380</v>
      </c>
      <c r="B8716" s="27" t="s">
        <v>790</v>
      </c>
      <c r="C8716" s="27" t="s">
        <v>968</v>
      </c>
      <c r="D8716" s="26" t="s">
        <v>3663</v>
      </c>
      <c r="E8716" s="28">
        <v>46113.0</v>
      </c>
      <c r="F8716" s="28">
        <v>46171.0</v>
      </c>
      <c r="G8716" s="29"/>
    </row>
    <row r="8717" ht="15.75" customHeight="1">
      <c r="A8717" s="30" t="s">
        <v>12381</v>
      </c>
      <c r="B8717" s="31" t="s">
        <v>790</v>
      </c>
      <c r="C8717" s="31" t="s">
        <v>923</v>
      </c>
      <c r="D8717" s="30" t="s">
        <v>3663</v>
      </c>
      <c r="E8717" s="32">
        <v>46113.0</v>
      </c>
      <c r="F8717" s="32">
        <v>46171.0</v>
      </c>
      <c r="G8717" s="33"/>
    </row>
    <row r="8718" ht="15.75" customHeight="1">
      <c r="A8718" s="26" t="s">
        <v>12382</v>
      </c>
      <c r="B8718" s="27" t="s">
        <v>791</v>
      </c>
      <c r="C8718" s="27" t="s">
        <v>928</v>
      </c>
      <c r="D8718" s="26" t="s">
        <v>3663</v>
      </c>
      <c r="E8718" s="28">
        <v>46113.0</v>
      </c>
      <c r="F8718" s="28">
        <v>46171.0</v>
      </c>
      <c r="G8718" s="29"/>
    </row>
    <row r="8719" ht="15.75" customHeight="1">
      <c r="A8719" s="30" t="s">
        <v>12383</v>
      </c>
      <c r="B8719" s="31" t="s">
        <v>791</v>
      </c>
      <c r="C8719" s="31" t="s">
        <v>1354</v>
      </c>
      <c r="D8719" s="30" t="s">
        <v>3663</v>
      </c>
      <c r="E8719" s="32">
        <v>46113.0</v>
      </c>
      <c r="F8719" s="32">
        <v>46171.0</v>
      </c>
      <c r="G8719" s="33"/>
    </row>
    <row r="8720" ht="15.75" customHeight="1">
      <c r="A8720" s="26" t="s">
        <v>12384</v>
      </c>
      <c r="B8720" s="27" t="s">
        <v>791</v>
      </c>
      <c r="C8720" s="27" t="s">
        <v>1222</v>
      </c>
      <c r="D8720" s="26" t="s">
        <v>3663</v>
      </c>
      <c r="E8720" s="28">
        <v>46113.0</v>
      </c>
      <c r="F8720" s="28">
        <v>46171.0</v>
      </c>
      <c r="G8720" s="29"/>
    </row>
    <row r="8721" ht="15.75" customHeight="1">
      <c r="A8721" s="30" t="s">
        <v>12385</v>
      </c>
      <c r="B8721" s="31" t="s">
        <v>791</v>
      </c>
      <c r="C8721" s="31" t="s">
        <v>1224</v>
      </c>
      <c r="D8721" s="30" t="s">
        <v>3663</v>
      </c>
      <c r="E8721" s="32">
        <v>46113.0</v>
      </c>
      <c r="F8721" s="32">
        <v>46171.0</v>
      </c>
      <c r="G8721" s="33"/>
    </row>
    <row r="8722" ht="15.75" customHeight="1">
      <c r="A8722" s="26" t="s">
        <v>12386</v>
      </c>
      <c r="B8722" s="27" t="s">
        <v>791</v>
      </c>
      <c r="C8722" s="27" t="s">
        <v>1226</v>
      </c>
      <c r="D8722" s="26" t="s">
        <v>3663</v>
      </c>
      <c r="E8722" s="28">
        <v>46113.0</v>
      </c>
      <c r="F8722" s="28">
        <v>46171.0</v>
      </c>
      <c r="G8722" s="29"/>
    </row>
    <row r="8723" ht="15.75" customHeight="1">
      <c r="A8723" s="30" t="s">
        <v>12387</v>
      </c>
      <c r="B8723" s="31" t="s">
        <v>791</v>
      </c>
      <c r="C8723" s="31" t="s">
        <v>1228</v>
      </c>
      <c r="D8723" s="30" t="s">
        <v>3663</v>
      </c>
      <c r="E8723" s="32">
        <v>46113.0</v>
      </c>
      <c r="F8723" s="32">
        <v>46171.0</v>
      </c>
      <c r="G8723" s="33"/>
    </row>
    <row r="8724" ht="15.75" customHeight="1">
      <c r="A8724" s="26" t="s">
        <v>12388</v>
      </c>
      <c r="B8724" s="27" t="s">
        <v>791</v>
      </c>
      <c r="C8724" s="27" t="s">
        <v>1159</v>
      </c>
      <c r="D8724" s="26" t="s">
        <v>3663</v>
      </c>
      <c r="E8724" s="28">
        <v>46113.0</v>
      </c>
      <c r="F8724" s="28">
        <v>46171.0</v>
      </c>
      <c r="G8724" s="29"/>
    </row>
    <row r="8725" ht="15.75" customHeight="1">
      <c r="A8725" s="30" t="s">
        <v>12389</v>
      </c>
      <c r="B8725" s="31" t="s">
        <v>791</v>
      </c>
      <c r="C8725" s="31" t="s">
        <v>3656</v>
      </c>
      <c r="D8725" s="30" t="s">
        <v>3663</v>
      </c>
      <c r="E8725" s="32">
        <v>46113.0</v>
      </c>
      <c r="F8725" s="32">
        <v>46171.0</v>
      </c>
      <c r="G8725" s="33"/>
    </row>
    <row r="8726" ht="15.75" customHeight="1">
      <c r="A8726" s="26" t="s">
        <v>12390</v>
      </c>
      <c r="B8726" s="27" t="s">
        <v>791</v>
      </c>
      <c r="C8726" s="27" t="s">
        <v>3657</v>
      </c>
      <c r="D8726" s="26" t="s">
        <v>3663</v>
      </c>
      <c r="E8726" s="28">
        <v>46113.0</v>
      </c>
      <c r="F8726" s="28">
        <v>46171.0</v>
      </c>
      <c r="G8726" s="29"/>
    </row>
    <row r="8727" ht="15.75" customHeight="1">
      <c r="A8727" s="30" t="s">
        <v>12391</v>
      </c>
      <c r="B8727" s="31" t="s">
        <v>791</v>
      </c>
      <c r="C8727" s="31" t="s">
        <v>1351</v>
      </c>
      <c r="D8727" s="30" t="s">
        <v>3663</v>
      </c>
      <c r="E8727" s="32">
        <v>46113.0</v>
      </c>
      <c r="F8727" s="32">
        <v>46171.0</v>
      </c>
      <c r="G8727" s="33"/>
    </row>
    <row r="8728" ht="15.75" customHeight="1">
      <c r="A8728" s="26" t="s">
        <v>12392</v>
      </c>
      <c r="B8728" s="27" t="s">
        <v>791</v>
      </c>
      <c r="C8728" s="27" t="s">
        <v>1349</v>
      </c>
      <c r="D8728" s="26" t="s">
        <v>3663</v>
      </c>
      <c r="E8728" s="28">
        <v>46113.0</v>
      </c>
      <c r="F8728" s="28">
        <v>46171.0</v>
      </c>
      <c r="G8728" s="29"/>
    </row>
    <row r="8729" ht="15.75" customHeight="1">
      <c r="A8729" s="30" t="s">
        <v>12393</v>
      </c>
      <c r="B8729" s="31" t="s">
        <v>791</v>
      </c>
      <c r="C8729" s="31" t="s">
        <v>968</v>
      </c>
      <c r="D8729" s="30" t="s">
        <v>3663</v>
      </c>
      <c r="E8729" s="32">
        <v>46113.0</v>
      </c>
      <c r="F8729" s="32">
        <v>46171.0</v>
      </c>
      <c r="G8729" s="33"/>
    </row>
    <row r="8730" ht="15.75" customHeight="1">
      <c r="A8730" s="26" t="s">
        <v>12394</v>
      </c>
      <c r="B8730" s="27" t="s">
        <v>791</v>
      </c>
      <c r="C8730" s="27" t="s">
        <v>923</v>
      </c>
      <c r="D8730" s="26" t="s">
        <v>3663</v>
      </c>
      <c r="E8730" s="28">
        <v>46113.0</v>
      </c>
      <c r="F8730" s="28">
        <v>46171.0</v>
      </c>
      <c r="G8730" s="29"/>
    </row>
    <row r="8731" ht="15.75" customHeight="1">
      <c r="A8731" s="30" t="s">
        <v>12395</v>
      </c>
      <c r="B8731" s="31" t="s">
        <v>791</v>
      </c>
      <c r="C8731" s="31" t="s">
        <v>955</v>
      </c>
      <c r="D8731" s="30" t="s">
        <v>3663</v>
      </c>
      <c r="E8731" s="32">
        <v>46113.0</v>
      </c>
      <c r="F8731" s="32">
        <v>46171.0</v>
      </c>
      <c r="G8731" s="33"/>
    </row>
    <row r="8732" ht="15.75" customHeight="1">
      <c r="A8732" s="26" t="s">
        <v>12396</v>
      </c>
      <c r="B8732" s="27" t="s">
        <v>792</v>
      </c>
      <c r="C8732" s="27" t="s">
        <v>1240</v>
      </c>
      <c r="D8732" s="26" t="s">
        <v>3663</v>
      </c>
      <c r="E8732" s="28">
        <v>46113.0</v>
      </c>
      <c r="F8732" s="28">
        <v>46171.0</v>
      </c>
      <c r="G8732" s="29"/>
    </row>
    <row r="8733" ht="15.75" customHeight="1">
      <c r="A8733" s="30" t="s">
        <v>12397</v>
      </c>
      <c r="B8733" s="31" t="s">
        <v>792</v>
      </c>
      <c r="C8733" s="31" t="s">
        <v>1242</v>
      </c>
      <c r="D8733" s="30" t="s">
        <v>3663</v>
      </c>
      <c r="E8733" s="32">
        <v>46113.0</v>
      </c>
      <c r="F8733" s="32">
        <v>46171.0</v>
      </c>
      <c r="G8733" s="33"/>
    </row>
    <row r="8734" ht="15.75" customHeight="1">
      <c r="A8734" s="26" t="s">
        <v>12398</v>
      </c>
      <c r="B8734" s="27" t="s">
        <v>792</v>
      </c>
      <c r="C8734" s="27" t="s">
        <v>1244</v>
      </c>
      <c r="D8734" s="26" t="s">
        <v>3663</v>
      </c>
      <c r="E8734" s="28">
        <v>46113.0</v>
      </c>
      <c r="F8734" s="28">
        <v>46171.0</v>
      </c>
      <c r="G8734" s="29"/>
    </row>
    <row r="8735" ht="15.75" customHeight="1">
      <c r="A8735" s="30" t="s">
        <v>12399</v>
      </c>
      <c r="B8735" s="31" t="s">
        <v>792</v>
      </c>
      <c r="C8735" s="31" t="s">
        <v>1246</v>
      </c>
      <c r="D8735" s="30" t="s">
        <v>3663</v>
      </c>
      <c r="E8735" s="32">
        <v>46113.0</v>
      </c>
      <c r="F8735" s="32">
        <v>46171.0</v>
      </c>
      <c r="G8735" s="33"/>
    </row>
    <row r="8736" ht="15.75" customHeight="1">
      <c r="A8736" s="26" t="s">
        <v>12400</v>
      </c>
      <c r="B8736" s="27" t="s">
        <v>792</v>
      </c>
      <c r="C8736" s="27" t="s">
        <v>3654</v>
      </c>
      <c r="D8736" s="26" t="s">
        <v>3663</v>
      </c>
      <c r="E8736" s="28">
        <v>46113.0</v>
      </c>
      <c r="F8736" s="28">
        <v>46171.0</v>
      </c>
      <c r="G8736" s="29"/>
    </row>
    <row r="8737" ht="15.75" customHeight="1">
      <c r="A8737" s="30" t="s">
        <v>12401</v>
      </c>
      <c r="B8737" s="31" t="s">
        <v>792</v>
      </c>
      <c r="C8737" s="31" t="s">
        <v>3655</v>
      </c>
      <c r="D8737" s="30" t="s">
        <v>3663</v>
      </c>
      <c r="E8737" s="32">
        <v>46113.0</v>
      </c>
      <c r="F8737" s="32">
        <v>46171.0</v>
      </c>
      <c r="G8737" s="33"/>
    </row>
    <row r="8738" ht="15.75" customHeight="1">
      <c r="A8738" s="26" t="s">
        <v>12402</v>
      </c>
      <c r="B8738" s="27" t="s">
        <v>792</v>
      </c>
      <c r="C8738" s="27" t="s">
        <v>934</v>
      </c>
      <c r="D8738" s="26" t="s">
        <v>3663</v>
      </c>
      <c r="E8738" s="28">
        <v>46113.0</v>
      </c>
      <c r="F8738" s="28">
        <v>46171.0</v>
      </c>
      <c r="G8738" s="29"/>
    </row>
    <row r="8739" ht="15.75" customHeight="1">
      <c r="A8739" s="30" t="s">
        <v>12403</v>
      </c>
      <c r="B8739" s="31" t="s">
        <v>792</v>
      </c>
      <c r="C8739" s="31" t="s">
        <v>1354</v>
      </c>
      <c r="D8739" s="30" t="s">
        <v>3663</v>
      </c>
      <c r="E8739" s="32">
        <v>46113.0</v>
      </c>
      <c r="F8739" s="32">
        <v>46171.0</v>
      </c>
      <c r="G8739" s="33"/>
    </row>
    <row r="8740" ht="15.75" customHeight="1">
      <c r="A8740" s="26" t="s">
        <v>12404</v>
      </c>
      <c r="B8740" s="27" t="s">
        <v>792</v>
      </c>
      <c r="C8740" s="27" t="s">
        <v>1351</v>
      </c>
      <c r="D8740" s="26" t="s">
        <v>3663</v>
      </c>
      <c r="E8740" s="28">
        <v>46113.0</v>
      </c>
      <c r="F8740" s="28">
        <v>46171.0</v>
      </c>
      <c r="G8740" s="29"/>
    </row>
    <row r="8741" ht="15.75" customHeight="1">
      <c r="A8741" s="30" t="s">
        <v>12405</v>
      </c>
      <c r="B8741" s="31" t="s">
        <v>792</v>
      </c>
      <c r="C8741" s="31" t="s">
        <v>1349</v>
      </c>
      <c r="D8741" s="30" t="s">
        <v>3663</v>
      </c>
      <c r="E8741" s="32">
        <v>46113.0</v>
      </c>
      <c r="F8741" s="32">
        <v>46171.0</v>
      </c>
      <c r="G8741" s="33"/>
    </row>
    <row r="8742" ht="15.75" customHeight="1">
      <c r="A8742" s="26" t="s">
        <v>12406</v>
      </c>
      <c r="B8742" s="27" t="s">
        <v>792</v>
      </c>
      <c r="C8742" s="27" t="s">
        <v>968</v>
      </c>
      <c r="D8742" s="26" t="s">
        <v>3663</v>
      </c>
      <c r="E8742" s="28">
        <v>46113.0</v>
      </c>
      <c r="F8742" s="28">
        <v>46171.0</v>
      </c>
      <c r="G8742" s="29"/>
    </row>
    <row r="8743" ht="15.75" customHeight="1">
      <c r="A8743" s="30" t="s">
        <v>12407</v>
      </c>
      <c r="B8743" s="31" t="s">
        <v>792</v>
      </c>
      <c r="C8743" s="31" t="s">
        <v>923</v>
      </c>
      <c r="D8743" s="30" t="s">
        <v>3663</v>
      </c>
      <c r="E8743" s="32">
        <v>46113.0</v>
      </c>
      <c r="F8743" s="32">
        <v>46171.0</v>
      </c>
      <c r="G8743" s="33"/>
    </row>
    <row r="8744" ht="15.75" customHeight="1">
      <c r="A8744" s="26" t="s">
        <v>12408</v>
      </c>
      <c r="B8744" s="27" t="s">
        <v>792</v>
      </c>
      <c r="C8744" s="27" t="s">
        <v>958</v>
      </c>
      <c r="D8744" s="26" t="s">
        <v>3663</v>
      </c>
      <c r="E8744" s="28">
        <v>46113.0</v>
      </c>
      <c r="F8744" s="28">
        <v>46171.0</v>
      </c>
      <c r="G8744" s="29"/>
    </row>
    <row r="8745" ht="15.75" customHeight="1">
      <c r="A8745" s="30" t="s">
        <v>12409</v>
      </c>
      <c r="B8745" s="31" t="s">
        <v>792</v>
      </c>
      <c r="C8745" s="31" t="s">
        <v>955</v>
      </c>
      <c r="D8745" s="30" t="s">
        <v>3663</v>
      </c>
      <c r="E8745" s="32">
        <v>46113.0</v>
      </c>
      <c r="F8745" s="32">
        <v>46171.0</v>
      </c>
      <c r="G8745" s="33"/>
    </row>
    <row r="8746" ht="15.75" customHeight="1">
      <c r="A8746" s="26" t="s">
        <v>12410</v>
      </c>
      <c r="B8746" s="27" t="s">
        <v>793</v>
      </c>
      <c r="C8746" s="27" t="s">
        <v>930</v>
      </c>
      <c r="D8746" s="26" t="s">
        <v>3663</v>
      </c>
      <c r="E8746" s="28">
        <v>46113.0</v>
      </c>
      <c r="F8746" s="28">
        <v>46171.0</v>
      </c>
      <c r="G8746" s="29"/>
    </row>
    <row r="8747" ht="15.75" customHeight="1">
      <c r="A8747" s="30" t="s">
        <v>12411</v>
      </c>
      <c r="B8747" s="31" t="s">
        <v>793</v>
      </c>
      <c r="C8747" s="31" t="s">
        <v>1354</v>
      </c>
      <c r="D8747" s="30" t="s">
        <v>3663</v>
      </c>
      <c r="E8747" s="32">
        <v>46113.0</v>
      </c>
      <c r="F8747" s="32">
        <v>46171.0</v>
      </c>
      <c r="G8747" s="33"/>
    </row>
    <row r="8748" ht="15.75" customHeight="1">
      <c r="A8748" s="26" t="s">
        <v>12412</v>
      </c>
      <c r="B8748" s="27" t="s">
        <v>793</v>
      </c>
      <c r="C8748" s="27" t="s">
        <v>3605</v>
      </c>
      <c r="D8748" s="26" t="s">
        <v>3663</v>
      </c>
      <c r="E8748" s="28">
        <v>46113.0</v>
      </c>
      <c r="F8748" s="28">
        <v>46171.0</v>
      </c>
      <c r="G8748" s="29"/>
    </row>
    <row r="8749" ht="15.75" customHeight="1">
      <c r="A8749" s="30" t="s">
        <v>12413</v>
      </c>
      <c r="B8749" s="31" t="s">
        <v>793</v>
      </c>
      <c r="C8749" s="31" t="s">
        <v>1216</v>
      </c>
      <c r="D8749" s="30" t="s">
        <v>3663</v>
      </c>
      <c r="E8749" s="32">
        <v>46113.0</v>
      </c>
      <c r="F8749" s="32">
        <v>46171.0</v>
      </c>
      <c r="G8749" s="33"/>
    </row>
    <row r="8750" ht="15.75" customHeight="1">
      <c r="A8750" s="26" t="s">
        <v>12414</v>
      </c>
      <c r="B8750" s="27" t="s">
        <v>793</v>
      </c>
      <c r="C8750" s="27" t="s">
        <v>1157</v>
      </c>
      <c r="D8750" s="26" t="s">
        <v>3663</v>
      </c>
      <c r="E8750" s="28">
        <v>46113.0</v>
      </c>
      <c r="F8750" s="28">
        <v>46171.0</v>
      </c>
      <c r="G8750" s="29"/>
    </row>
    <row r="8751" ht="15.75" customHeight="1">
      <c r="A8751" s="30" t="s">
        <v>12415</v>
      </c>
      <c r="B8751" s="31" t="s">
        <v>793</v>
      </c>
      <c r="C8751" s="31" t="s">
        <v>1155</v>
      </c>
      <c r="D8751" s="30" t="s">
        <v>3663</v>
      </c>
      <c r="E8751" s="32">
        <v>46113.0</v>
      </c>
      <c r="F8751" s="32">
        <v>46171.0</v>
      </c>
      <c r="G8751" s="33"/>
    </row>
    <row r="8752" ht="15.75" customHeight="1">
      <c r="A8752" s="26" t="s">
        <v>12416</v>
      </c>
      <c r="B8752" s="27" t="s">
        <v>793</v>
      </c>
      <c r="C8752" s="27" t="s">
        <v>1153</v>
      </c>
      <c r="D8752" s="26" t="s">
        <v>3663</v>
      </c>
      <c r="E8752" s="28">
        <v>46113.0</v>
      </c>
      <c r="F8752" s="28">
        <v>46171.0</v>
      </c>
      <c r="G8752" s="29"/>
    </row>
    <row r="8753" ht="15.75" customHeight="1">
      <c r="A8753" s="30" t="s">
        <v>12417</v>
      </c>
      <c r="B8753" s="31" t="s">
        <v>793</v>
      </c>
      <c r="C8753" s="31" t="s">
        <v>1149</v>
      </c>
      <c r="D8753" s="30" t="s">
        <v>3663</v>
      </c>
      <c r="E8753" s="32">
        <v>46113.0</v>
      </c>
      <c r="F8753" s="32">
        <v>46171.0</v>
      </c>
      <c r="G8753" s="33"/>
    </row>
    <row r="8754" ht="15.75" customHeight="1">
      <c r="A8754" s="26" t="s">
        <v>12418</v>
      </c>
      <c r="B8754" s="27" t="s">
        <v>793</v>
      </c>
      <c r="C8754" s="27" t="s">
        <v>1351</v>
      </c>
      <c r="D8754" s="26" t="s">
        <v>3663</v>
      </c>
      <c r="E8754" s="28">
        <v>46113.0</v>
      </c>
      <c r="F8754" s="28">
        <v>46171.0</v>
      </c>
      <c r="G8754" s="29"/>
    </row>
    <row r="8755" ht="15.75" customHeight="1">
      <c r="A8755" s="30" t="s">
        <v>12419</v>
      </c>
      <c r="B8755" s="31" t="s">
        <v>793</v>
      </c>
      <c r="C8755" s="31" t="s">
        <v>1349</v>
      </c>
      <c r="D8755" s="30" t="s">
        <v>3663</v>
      </c>
      <c r="E8755" s="32">
        <v>46113.0</v>
      </c>
      <c r="F8755" s="32">
        <v>46171.0</v>
      </c>
      <c r="G8755" s="33"/>
    </row>
    <row r="8756" ht="15.75" customHeight="1">
      <c r="A8756" s="26" t="s">
        <v>12420</v>
      </c>
      <c r="B8756" s="27" t="s">
        <v>793</v>
      </c>
      <c r="C8756" s="27" t="s">
        <v>3653</v>
      </c>
      <c r="D8756" s="27" t="s">
        <v>3663</v>
      </c>
      <c r="E8756" s="28">
        <v>46113.0</v>
      </c>
      <c r="F8756" s="28">
        <v>46171.0</v>
      </c>
      <c r="G8756" s="29"/>
    </row>
    <row r="8757" ht="15.75" customHeight="1">
      <c r="A8757" s="30" t="s">
        <v>12421</v>
      </c>
      <c r="B8757" s="31" t="s">
        <v>793</v>
      </c>
      <c r="C8757" s="31" t="s">
        <v>3652</v>
      </c>
      <c r="D8757" s="30" t="s">
        <v>3663</v>
      </c>
      <c r="E8757" s="32">
        <v>46113.0</v>
      </c>
      <c r="F8757" s="32">
        <v>46171.0</v>
      </c>
      <c r="G8757" s="33"/>
    </row>
    <row r="8758" ht="15.75" customHeight="1">
      <c r="A8758" s="26" t="s">
        <v>12422</v>
      </c>
      <c r="B8758" s="27" t="s">
        <v>793</v>
      </c>
      <c r="C8758" s="27" t="s">
        <v>965</v>
      </c>
      <c r="D8758" s="26" t="s">
        <v>3663</v>
      </c>
      <c r="E8758" s="28">
        <v>46113.0</v>
      </c>
      <c r="F8758" s="28">
        <v>46171.0</v>
      </c>
      <c r="G8758" s="29"/>
    </row>
    <row r="8759" ht="15.75" customHeight="1">
      <c r="A8759" s="30" t="s">
        <v>12423</v>
      </c>
      <c r="B8759" s="31" t="s">
        <v>793</v>
      </c>
      <c r="C8759" s="31" t="s">
        <v>923</v>
      </c>
      <c r="D8759" s="30" t="s">
        <v>3663</v>
      </c>
      <c r="E8759" s="32">
        <v>46113.0</v>
      </c>
      <c r="F8759" s="32">
        <v>46171.0</v>
      </c>
      <c r="G8759" s="33"/>
    </row>
    <row r="8760" ht="15.75" customHeight="1">
      <c r="A8760" s="26" t="s">
        <v>12424</v>
      </c>
      <c r="B8760" s="27" t="s">
        <v>2893</v>
      </c>
      <c r="C8760" s="27" t="s">
        <v>928</v>
      </c>
      <c r="D8760" s="26" t="s">
        <v>3663</v>
      </c>
      <c r="E8760" s="28">
        <v>46113.0</v>
      </c>
      <c r="F8760" s="28">
        <v>46171.0</v>
      </c>
      <c r="G8760" s="29"/>
    </row>
    <row r="8761" ht="15.75" customHeight="1">
      <c r="A8761" s="30" t="s">
        <v>12425</v>
      </c>
      <c r="B8761" s="31" t="s">
        <v>2893</v>
      </c>
      <c r="C8761" s="31" t="s">
        <v>1354</v>
      </c>
      <c r="D8761" s="30" t="s">
        <v>3663</v>
      </c>
      <c r="E8761" s="32">
        <v>46113.0</v>
      </c>
      <c r="F8761" s="32">
        <v>46171.0</v>
      </c>
      <c r="G8761" s="33"/>
    </row>
    <row r="8762" ht="15.75" customHeight="1">
      <c r="A8762" s="26" t="s">
        <v>12426</v>
      </c>
      <c r="B8762" s="27" t="s">
        <v>2893</v>
      </c>
      <c r="C8762" s="27" t="s">
        <v>1222</v>
      </c>
      <c r="D8762" s="26" t="s">
        <v>3663</v>
      </c>
      <c r="E8762" s="28">
        <v>46113.0</v>
      </c>
      <c r="F8762" s="28">
        <v>46171.0</v>
      </c>
      <c r="G8762" s="29"/>
    </row>
    <row r="8763" ht="15.75" customHeight="1">
      <c r="A8763" s="30" t="s">
        <v>12427</v>
      </c>
      <c r="B8763" s="31" t="s">
        <v>2893</v>
      </c>
      <c r="C8763" s="31" t="s">
        <v>1224</v>
      </c>
      <c r="D8763" s="30" t="s">
        <v>3663</v>
      </c>
      <c r="E8763" s="32">
        <v>46113.0</v>
      </c>
      <c r="F8763" s="32">
        <v>46171.0</v>
      </c>
      <c r="G8763" s="33"/>
    </row>
    <row r="8764" ht="15.75" customHeight="1">
      <c r="A8764" s="26" t="s">
        <v>12428</v>
      </c>
      <c r="B8764" s="27" t="s">
        <v>2893</v>
      </c>
      <c r="C8764" s="27" t="s">
        <v>1226</v>
      </c>
      <c r="D8764" s="26" t="s">
        <v>3663</v>
      </c>
      <c r="E8764" s="28">
        <v>46113.0</v>
      </c>
      <c r="F8764" s="28">
        <v>46171.0</v>
      </c>
      <c r="G8764" s="29"/>
    </row>
    <row r="8765" ht="15.75" customHeight="1">
      <c r="A8765" s="30" t="s">
        <v>12429</v>
      </c>
      <c r="B8765" s="31" t="s">
        <v>2893</v>
      </c>
      <c r="C8765" s="31" t="s">
        <v>1228</v>
      </c>
      <c r="D8765" s="30" t="s">
        <v>3663</v>
      </c>
      <c r="E8765" s="32">
        <v>46113.0</v>
      </c>
      <c r="F8765" s="32">
        <v>46171.0</v>
      </c>
      <c r="G8765" s="33"/>
    </row>
    <row r="8766" ht="15.75" customHeight="1">
      <c r="A8766" s="26" t="s">
        <v>12430</v>
      </c>
      <c r="B8766" s="27" t="s">
        <v>2893</v>
      </c>
      <c r="C8766" s="27" t="s">
        <v>3647</v>
      </c>
      <c r="D8766" s="26" t="s">
        <v>3663</v>
      </c>
      <c r="E8766" s="28">
        <v>46113.0</v>
      </c>
      <c r="F8766" s="28">
        <v>46171.0</v>
      </c>
      <c r="G8766" s="29"/>
    </row>
    <row r="8767" ht="15.75" customHeight="1">
      <c r="A8767" s="30" t="s">
        <v>12431</v>
      </c>
      <c r="B8767" s="31" t="s">
        <v>2893</v>
      </c>
      <c r="C8767" s="31" t="s">
        <v>952</v>
      </c>
      <c r="D8767" s="30" t="s">
        <v>3663</v>
      </c>
      <c r="E8767" s="32">
        <v>46113.0</v>
      </c>
      <c r="F8767" s="32">
        <v>46171.0</v>
      </c>
      <c r="G8767" s="33"/>
    </row>
    <row r="8768" ht="15.75" customHeight="1">
      <c r="A8768" s="26" t="s">
        <v>12432</v>
      </c>
      <c r="B8768" s="27" t="s">
        <v>2893</v>
      </c>
      <c r="C8768" s="27" t="s">
        <v>1216</v>
      </c>
      <c r="D8768" s="26" t="s">
        <v>3663</v>
      </c>
      <c r="E8768" s="28">
        <v>46113.0</v>
      </c>
      <c r="F8768" s="28">
        <v>46171.0</v>
      </c>
      <c r="G8768" s="29"/>
    </row>
    <row r="8769" ht="15.75" customHeight="1">
      <c r="A8769" s="30" t="s">
        <v>12433</v>
      </c>
      <c r="B8769" s="31" t="s">
        <v>2893</v>
      </c>
      <c r="C8769" s="31" t="s">
        <v>1218</v>
      </c>
      <c r="D8769" s="30" t="s">
        <v>3663</v>
      </c>
      <c r="E8769" s="32">
        <v>46113.0</v>
      </c>
      <c r="F8769" s="32">
        <v>46171.0</v>
      </c>
      <c r="G8769" s="33"/>
    </row>
    <row r="8770" ht="15.75" customHeight="1">
      <c r="A8770" s="26" t="s">
        <v>12434</v>
      </c>
      <c r="B8770" s="27" t="s">
        <v>2893</v>
      </c>
      <c r="C8770" s="27" t="s">
        <v>3653</v>
      </c>
      <c r="D8770" s="26" t="s">
        <v>3663</v>
      </c>
      <c r="E8770" s="28">
        <v>46113.0</v>
      </c>
      <c r="F8770" s="28">
        <v>46171.0</v>
      </c>
      <c r="G8770" s="29"/>
    </row>
    <row r="8771" ht="15.75" customHeight="1">
      <c r="A8771" s="30" t="s">
        <v>12435</v>
      </c>
      <c r="B8771" s="31" t="s">
        <v>2893</v>
      </c>
      <c r="C8771" s="31" t="s">
        <v>3652</v>
      </c>
      <c r="D8771" s="31" t="s">
        <v>3663</v>
      </c>
      <c r="E8771" s="32">
        <v>46113.0</v>
      </c>
      <c r="F8771" s="32">
        <v>46171.0</v>
      </c>
      <c r="G8771" s="33"/>
    </row>
    <row r="8772" ht="15.75" customHeight="1">
      <c r="A8772" s="26" t="s">
        <v>12436</v>
      </c>
      <c r="B8772" s="27" t="s">
        <v>2893</v>
      </c>
      <c r="C8772" s="27" t="s">
        <v>968</v>
      </c>
      <c r="D8772" s="26" t="s">
        <v>3663</v>
      </c>
      <c r="E8772" s="28">
        <v>46113.0</v>
      </c>
      <c r="F8772" s="28">
        <v>46171.0</v>
      </c>
      <c r="G8772" s="29"/>
    </row>
    <row r="8773" ht="15.75" customHeight="1">
      <c r="A8773" s="30" t="s">
        <v>12437</v>
      </c>
      <c r="B8773" s="31" t="s">
        <v>2893</v>
      </c>
      <c r="C8773" s="31" t="s">
        <v>923</v>
      </c>
      <c r="D8773" s="30" t="s">
        <v>3663</v>
      </c>
      <c r="E8773" s="32">
        <v>46113.0</v>
      </c>
      <c r="F8773" s="32">
        <v>46171.0</v>
      </c>
      <c r="G8773" s="33"/>
    </row>
    <row r="8774" ht="15.75" customHeight="1">
      <c r="A8774" s="26" t="s">
        <v>12438</v>
      </c>
      <c r="B8774" s="27" t="s">
        <v>1329</v>
      </c>
      <c r="C8774" s="27" t="s">
        <v>1240</v>
      </c>
      <c r="D8774" s="26" t="s">
        <v>3663</v>
      </c>
      <c r="E8774" s="28">
        <v>46113.0</v>
      </c>
      <c r="F8774" s="28">
        <v>46171.0</v>
      </c>
      <c r="G8774" s="29"/>
    </row>
    <row r="8775" ht="15.75" customHeight="1">
      <c r="A8775" s="30" t="s">
        <v>12439</v>
      </c>
      <c r="B8775" s="31" t="s">
        <v>1329</v>
      </c>
      <c r="C8775" s="31" t="s">
        <v>1242</v>
      </c>
      <c r="D8775" s="30" t="s">
        <v>3663</v>
      </c>
      <c r="E8775" s="32">
        <v>46113.0</v>
      </c>
      <c r="F8775" s="32">
        <v>46171.0</v>
      </c>
      <c r="G8775" s="33"/>
    </row>
    <row r="8776" ht="15.75" customHeight="1">
      <c r="A8776" s="26" t="s">
        <v>12440</v>
      </c>
      <c r="B8776" s="27" t="s">
        <v>1329</v>
      </c>
      <c r="C8776" s="27" t="s">
        <v>1244</v>
      </c>
      <c r="D8776" s="26" t="s">
        <v>3663</v>
      </c>
      <c r="E8776" s="28">
        <v>46113.0</v>
      </c>
      <c r="F8776" s="28">
        <v>46171.0</v>
      </c>
      <c r="G8776" s="29"/>
    </row>
    <row r="8777" ht="15.75" customHeight="1">
      <c r="A8777" s="30" t="s">
        <v>12441</v>
      </c>
      <c r="B8777" s="31" t="s">
        <v>1329</v>
      </c>
      <c r="C8777" s="31" t="s">
        <v>1246</v>
      </c>
      <c r="D8777" s="30" t="s">
        <v>3663</v>
      </c>
      <c r="E8777" s="32">
        <v>46113.0</v>
      </c>
      <c r="F8777" s="32">
        <v>46171.0</v>
      </c>
      <c r="G8777" s="33"/>
    </row>
    <row r="8778" ht="15.75" customHeight="1">
      <c r="A8778" s="26" t="s">
        <v>12442</v>
      </c>
      <c r="B8778" s="27" t="s">
        <v>1329</v>
      </c>
      <c r="C8778" s="27" t="s">
        <v>934</v>
      </c>
      <c r="D8778" s="26" t="s">
        <v>3663</v>
      </c>
      <c r="E8778" s="28">
        <v>46113.0</v>
      </c>
      <c r="F8778" s="28">
        <v>46171.0</v>
      </c>
      <c r="G8778" s="29"/>
    </row>
    <row r="8779" ht="15.75" customHeight="1">
      <c r="A8779" s="30" t="s">
        <v>12443</v>
      </c>
      <c r="B8779" s="31" t="s">
        <v>1329</v>
      </c>
      <c r="C8779" s="31" t="s">
        <v>1354</v>
      </c>
      <c r="D8779" s="30" t="s">
        <v>3663</v>
      </c>
      <c r="E8779" s="32">
        <v>46113.0</v>
      </c>
      <c r="F8779" s="32">
        <v>46171.0</v>
      </c>
      <c r="G8779" s="33"/>
    </row>
    <row r="8780" ht="15.75" customHeight="1">
      <c r="A8780" s="26" t="s">
        <v>12444</v>
      </c>
      <c r="B8780" s="27" t="s">
        <v>1329</v>
      </c>
      <c r="C8780" s="27" t="s">
        <v>3656</v>
      </c>
      <c r="D8780" s="26" t="s">
        <v>3663</v>
      </c>
      <c r="E8780" s="28">
        <v>46113.0</v>
      </c>
      <c r="F8780" s="28">
        <v>46171.0</v>
      </c>
      <c r="G8780" s="29"/>
    </row>
    <row r="8781" ht="15.75" customHeight="1">
      <c r="A8781" s="30" t="s">
        <v>12445</v>
      </c>
      <c r="B8781" s="31" t="s">
        <v>1329</v>
      </c>
      <c r="C8781" s="31" t="s">
        <v>3657</v>
      </c>
      <c r="D8781" s="30" t="s">
        <v>3663</v>
      </c>
      <c r="E8781" s="32">
        <v>46113.0</v>
      </c>
      <c r="F8781" s="32">
        <v>46171.0</v>
      </c>
      <c r="G8781" s="33"/>
    </row>
    <row r="8782" ht="15.75" customHeight="1">
      <c r="A8782" s="26" t="s">
        <v>12446</v>
      </c>
      <c r="B8782" s="27" t="s">
        <v>1329</v>
      </c>
      <c r="C8782" s="27" t="s">
        <v>1218</v>
      </c>
      <c r="D8782" s="26" t="s">
        <v>3663</v>
      </c>
      <c r="E8782" s="28">
        <v>46113.0</v>
      </c>
      <c r="F8782" s="28">
        <v>46171.0</v>
      </c>
      <c r="G8782" s="29"/>
    </row>
    <row r="8783" ht="15.75" customHeight="1">
      <c r="A8783" s="30" t="s">
        <v>12447</v>
      </c>
      <c r="B8783" s="31" t="s">
        <v>1329</v>
      </c>
      <c r="C8783" s="31" t="s">
        <v>1271</v>
      </c>
      <c r="D8783" s="30" t="s">
        <v>3663</v>
      </c>
      <c r="E8783" s="32">
        <v>46113.0</v>
      </c>
      <c r="F8783" s="32">
        <v>46171.0</v>
      </c>
      <c r="G8783" s="33"/>
    </row>
    <row r="8784" ht="15.75" customHeight="1">
      <c r="A8784" s="26" t="s">
        <v>12448</v>
      </c>
      <c r="B8784" s="27" t="s">
        <v>1329</v>
      </c>
      <c r="C8784" s="27" t="s">
        <v>1351</v>
      </c>
      <c r="D8784" s="26" t="s">
        <v>3663</v>
      </c>
      <c r="E8784" s="28">
        <v>46113.0</v>
      </c>
      <c r="F8784" s="28">
        <v>46171.0</v>
      </c>
      <c r="G8784" s="29"/>
    </row>
    <row r="8785" ht="15.75" customHeight="1">
      <c r="A8785" s="30" t="s">
        <v>12449</v>
      </c>
      <c r="B8785" s="31" t="s">
        <v>1329</v>
      </c>
      <c r="C8785" s="31" t="s">
        <v>1349</v>
      </c>
      <c r="D8785" s="30" t="s">
        <v>3663</v>
      </c>
      <c r="E8785" s="32">
        <v>46113.0</v>
      </c>
      <c r="F8785" s="32">
        <v>46171.0</v>
      </c>
      <c r="G8785" s="33"/>
    </row>
    <row r="8786" ht="15.75" customHeight="1">
      <c r="A8786" s="26" t="s">
        <v>12450</v>
      </c>
      <c r="B8786" s="27" t="s">
        <v>1329</v>
      </c>
      <c r="C8786" s="27" t="s">
        <v>968</v>
      </c>
      <c r="D8786" s="26" t="s">
        <v>3663</v>
      </c>
      <c r="E8786" s="28">
        <v>46113.0</v>
      </c>
      <c r="F8786" s="28">
        <v>46171.0</v>
      </c>
      <c r="G8786" s="29"/>
    </row>
    <row r="8787" ht="15.75" customHeight="1">
      <c r="A8787" s="30" t="s">
        <v>12451</v>
      </c>
      <c r="B8787" s="31" t="s">
        <v>1329</v>
      </c>
      <c r="C8787" s="31" t="s">
        <v>923</v>
      </c>
      <c r="D8787" s="30" t="s">
        <v>3663</v>
      </c>
      <c r="E8787" s="32">
        <v>46113.0</v>
      </c>
      <c r="F8787" s="32">
        <v>46171.0</v>
      </c>
      <c r="G8787" s="33"/>
    </row>
    <row r="8788" ht="15.75" customHeight="1">
      <c r="A8788" s="26" t="s">
        <v>12452</v>
      </c>
      <c r="B8788" s="27" t="s">
        <v>1183</v>
      </c>
      <c r="C8788" s="27" t="s">
        <v>932</v>
      </c>
      <c r="D8788" s="26" t="s">
        <v>3663</v>
      </c>
      <c r="E8788" s="28">
        <v>46113.0</v>
      </c>
      <c r="F8788" s="28">
        <v>46171.0</v>
      </c>
      <c r="G8788" s="29"/>
    </row>
    <row r="8789" ht="15.75" customHeight="1">
      <c r="A8789" s="30" t="s">
        <v>12453</v>
      </c>
      <c r="B8789" s="31" t="s">
        <v>1183</v>
      </c>
      <c r="C8789" s="31" t="s">
        <v>1164</v>
      </c>
      <c r="D8789" s="30" t="s">
        <v>3663</v>
      </c>
      <c r="E8789" s="32">
        <v>46113.0</v>
      </c>
      <c r="F8789" s="32">
        <v>46171.0</v>
      </c>
      <c r="G8789" s="33"/>
    </row>
    <row r="8790" ht="15.75" customHeight="1">
      <c r="A8790" s="26" t="s">
        <v>12454</v>
      </c>
      <c r="B8790" s="27" t="s">
        <v>1183</v>
      </c>
      <c r="C8790" s="27" t="s">
        <v>1166</v>
      </c>
      <c r="D8790" s="26" t="s">
        <v>3663</v>
      </c>
      <c r="E8790" s="28">
        <v>46113.0</v>
      </c>
      <c r="F8790" s="28">
        <v>46171.0</v>
      </c>
      <c r="G8790" s="29"/>
    </row>
    <row r="8791" ht="15.75" customHeight="1">
      <c r="A8791" s="30" t="s">
        <v>12455</v>
      </c>
      <c r="B8791" s="31" t="s">
        <v>1183</v>
      </c>
      <c r="C8791" s="31" t="s">
        <v>1168</v>
      </c>
      <c r="D8791" s="30" t="s">
        <v>3663</v>
      </c>
      <c r="E8791" s="32">
        <v>46113.0</v>
      </c>
      <c r="F8791" s="32">
        <v>46171.0</v>
      </c>
      <c r="G8791" s="33"/>
    </row>
    <row r="8792" ht="15.75" customHeight="1">
      <c r="A8792" s="26" t="s">
        <v>12456</v>
      </c>
      <c r="B8792" s="27" t="s">
        <v>1183</v>
      </c>
      <c r="C8792" s="27" t="s">
        <v>1170</v>
      </c>
      <c r="D8792" s="26" t="s">
        <v>3663</v>
      </c>
      <c r="E8792" s="28">
        <v>46113.0</v>
      </c>
      <c r="F8792" s="28">
        <v>46171.0</v>
      </c>
      <c r="G8792" s="29"/>
    </row>
    <row r="8793" ht="15.75" customHeight="1">
      <c r="A8793" s="30" t="s">
        <v>12457</v>
      </c>
      <c r="B8793" s="31" t="s">
        <v>1183</v>
      </c>
      <c r="C8793" s="31" t="s">
        <v>1354</v>
      </c>
      <c r="D8793" s="30" t="s">
        <v>3663</v>
      </c>
      <c r="E8793" s="32">
        <v>46113.0</v>
      </c>
      <c r="F8793" s="32">
        <v>46171.0</v>
      </c>
      <c r="G8793" s="33"/>
    </row>
    <row r="8794" ht="15.75" customHeight="1">
      <c r="A8794" s="26" t="s">
        <v>12458</v>
      </c>
      <c r="B8794" s="27" t="s">
        <v>1183</v>
      </c>
      <c r="C8794" s="27" t="s">
        <v>1190</v>
      </c>
      <c r="D8794" s="26" t="s">
        <v>3663</v>
      </c>
      <c r="E8794" s="28">
        <v>46113.0</v>
      </c>
      <c r="F8794" s="28">
        <v>46171.0</v>
      </c>
      <c r="G8794" s="29"/>
    </row>
    <row r="8795" ht="15.75" customHeight="1">
      <c r="A8795" s="30" t="s">
        <v>12459</v>
      </c>
      <c r="B8795" s="31" t="s">
        <v>1183</v>
      </c>
      <c r="C8795" s="31" t="s">
        <v>3656</v>
      </c>
      <c r="D8795" s="30" t="s">
        <v>3663</v>
      </c>
      <c r="E8795" s="32">
        <v>46113.0</v>
      </c>
      <c r="F8795" s="32">
        <v>46171.0</v>
      </c>
      <c r="G8795" s="33"/>
    </row>
    <row r="8796" ht="15.75" customHeight="1">
      <c r="A8796" s="26" t="s">
        <v>12460</v>
      </c>
      <c r="B8796" s="27" t="s">
        <v>1183</v>
      </c>
      <c r="C8796" s="27" t="s">
        <v>3657</v>
      </c>
      <c r="D8796" s="26" t="s">
        <v>3663</v>
      </c>
      <c r="E8796" s="28">
        <v>46113.0</v>
      </c>
      <c r="F8796" s="28">
        <v>46171.0</v>
      </c>
      <c r="G8796" s="29"/>
    </row>
    <row r="8797" ht="15.75" customHeight="1">
      <c r="A8797" s="30" t="s">
        <v>12461</v>
      </c>
      <c r="B8797" s="31" t="s">
        <v>1183</v>
      </c>
      <c r="C8797" s="31" t="s">
        <v>3647</v>
      </c>
      <c r="D8797" s="30" t="s">
        <v>3663</v>
      </c>
      <c r="E8797" s="32">
        <v>46113.0</v>
      </c>
      <c r="F8797" s="32">
        <v>46171.0</v>
      </c>
      <c r="G8797" s="33"/>
    </row>
    <row r="8798" ht="15.75" customHeight="1">
      <c r="A8798" s="26" t="s">
        <v>12462</v>
      </c>
      <c r="B8798" s="27" t="s">
        <v>1183</v>
      </c>
      <c r="C8798" s="27" t="s">
        <v>952</v>
      </c>
      <c r="D8798" s="26" t="s">
        <v>3663</v>
      </c>
      <c r="E8798" s="28">
        <v>46113.0</v>
      </c>
      <c r="F8798" s="28">
        <v>46171.0</v>
      </c>
      <c r="G8798" s="29"/>
    </row>
    <row r="8799" ht="15.75" customHeight="1">
      <c r="A8799" s="30" t="s">
        <v>12463</v>
      </c>
      <c r="B8799" s="31" t="s">
        <v>1183</v>
      </c>
      <c r="C8799" s="31" t="s">
        <v>968</v>
      </c>
      <c r="D8799" s="30" t="s">
        <v>3663</v>
      </c>
      <c r="E8799" s="32">
        <v>46113.0</v>
      </c>
      <c r="F8799" s="32">
        <v>46171.0</v>
      </c>
      <c r="G8799" s="33"/>
    </row>
    <row r="8800" ht="15.75" customHeight="1">
      <c r="A8800" s="26" t="s">
        <v>12464</v>
      </c>
      <c r="B8800" s="27" t="s">
        <v>1183</v>
      </c>
      <c r="C8800" s="27" t="s">
        <v>923</v>
      </c>
      <c r="D8800" s="26" t="s">
        <v>3663</v>
      </c>
      <c r="E8800" s="28">
        <v>46113.0</v>
      </c>
      <c r="F8800" s="28">
        <v>46171.0</v>
      </c>
      <c r="G8800" s="29"/>
    </row>
    <row r="8801" ht="15.75" customHeight="1">
      <c r="A8801" s="30" t="s">
        <v>12465</v>
      </c>
      <c r="B8801" s="31" t="s">
        <v>1183</v>
      </c>
      <c r="C8801" s="31" t="s">
        <v>955</v>
      </c>
      <c r="D8801" s="30" t="s">
        <v>3663</v>
      </c>
      <c r="E8801" s="32">
        <v>46113.0</v>
      </c>
      <c r="F8801" s="32">
        <v>46171.0</v>
      </c>
      <c r="G8801" s="33"/>
    </row>
    <row r="8802" ht="15.75" customHeight="1">
      <c r="A8802" s="26" t="s">
        <v>12466</v>
      </c>
      <c r="B8802" s="27" t="s">
        <v>794</v>
      </c>
      <c r="C8802" s="27" t="s">
        <v>3654</v>
      </c>
      <c r="D8802" s="26" t="s">
        <v>3663</v>
      </c>
      <c r="E8802" s="28">
        <v>46113.0</v>
      </c>
      <c r="F8802" s="28">
        <v>46171.0</v>
      </c>
      <c r="G8802" s="29"/>
    </row>
    <row r="8803" ht="15.75" customHeight="1">
      <c r="A8803" s="30" t="s">
        <v>12467</v>
      </c>
      <c r="B8803" s="31" t="s">
        <v>794</v>
      </c>
      <c r="C8803" s="31" t="s">
        <v>3655</v>
      </c>
      <c r="D8803" s="30" t="s">
        <v>3663</v>
      </c>
      <c r="E8803" s="32">
        <v>46113.0</v>
      </c>
      <c r="F8803" s="32">
        <v>46171.0</v>
      </c>
      <c r="G8803" s="33"/>
    </row>
    <row r="8804" ht="15.75" customHeight="1">
      <c r="A8804" s="26" t="s">
        <v>12468</v>
      </c>
      <c r="B8804" s="27" t="s">
        <v>794</v>
      </c>
      <c r="C8804" s="27" t="s">
        <v>932</v>
      </c>
      <c r="D8804" s="26" t="s">
        <v>3663</v>
      </c>
      <c r="E8804" s="28">
        <v>46113.0</v>
      </c>
      <c r="F8804" s="28">
        <v>46171.0</v>
      </c>
      <c r="G8804" s="29"/>
    </row>
    <row r="8805" ht="15.75" customHeight="1">
      <c r="A8805" s="30" t="s">
        <v>12469</v>
      </c>
      <c r="B8805" s="31" t="s">
        <v>794</v>
      </c>
      <c r="C8805" s="31" t="s">
        <v>1168</v>
      </c>
      <c r="D8805" s="30" t="s">
        <v>3663</v>
      </c>
      <c r="E8805" s="32">
        <v>46113.0</v>
      </c>
      <c r="F8805" s="32">
        <v>46171.0</v>
      </c>
      <c r="G8805" s="33"/>
    </row>
    <row r="8806" ht="15.75" customHeight="1">
      <c r="A8806" s="26" t="s">
        <v>12470</v>
      </c>
      <c r="B8806" s="27" t="s">
        <v>794</v>
      </c>
      <c r="C8806" s="27" t="s">
        <v>1170</v>
      </c>
      <c r="D8806" s="26" t="s">
        <v>3663</v>
      </c>
      <c r="E8806" s="28">
        <v>46113.0</v>
      </c>
      <c r="F8806" s="28">
        <v>46171.0</v>
      </c>
      <c r="G8806" s="29"/>
    </row>
    <row r="8807" ht="15.75" customHeight="1">
      <c r="A8807" s="30" t="s">
        <v>12471</v>
      </c>
      <c r="B8807" s="31" t="s">
        <v>794</v>
      </c>
      <c r="C8807" s="31" t="s">
        <v>1288</v>
      </c>
      <c r="D8807" s="30" t="s">
        <v>3663</v>
      </c>
      <c r="E8807" s="32">
        <v>46113.0</v>
      </c>
      <c r="F8807" s="32">
        <v>46171.0</v>
      </c>
      <c r="G8807" s="33"/>
    </row>
    <row r="8808" ht="15.75" customHeight="1">
      <c r="A8808" s="26" t="s">
        <v>12472</v>
      </c>
      <c r="B8808" s="27" t="s">
        <v>794</v>
      </c>
      <c r="C8808" s="27" t="s">
        <v>1291</v>
      </c>
      <c r="D8808" s="26" t="s">
        <v>3663</v>
      </c>
      <c r="E8808" s="28">
        <v>46113.0</v>
      </c>
      <c r="F8808" s="28">
        <v>46171.0</v>
      </c>
      <c r="G8808" s="29"/>
    </row>
    <row r="8809" ht="15.75" customHeight="1">
      <c r="A8809" s="30" t="s">
        <v>12473</v>
      </c>
      <c r="B8809" s="31" t="s">
        <v>794</v>
      </c>
      <c r="C8809" s="31" t="s">
        <v>1354</v>
      </c>
      <c r="D8809" s="30" t="s">
        <v>3663</v>
      </c>
      <c r="E8809" s="32">
        <v>46113.0</v>
      </c>
      <c r="F8809" s="32">
        <v>46171.0</v>
      </c>
      <c r="G8809" s="33"/>
    </row>
    <row r="8810" ht="15.75" customHeight="1">
      <c r="A8810" s="26" t="s">
        <v>12474</v>
      </c>
      <c r="B8810" s="27" t="s">
        <v>794</v>
      </c>
      <c r="C8810" s="27" t="s">
        <v>1208</v>
      </c>
      <c r="D8810" s="26" t="s">
        <v>3663</v>
      </c>
      <c r="E8810" s="28">
        <v>46113.0</v>
      </c>
      <c r="F8810" s="28">
        <v>46171.0</v>
      </c>
      <c r="G8810" s="29"/>
    </row>
    <row r="8811" ht="15.75" customHeight="1">
      <c r="A8811" s="30" t="s">
        <v>12475</v>
      </c>
      <c r="B8811" s="31" t="s">
        <v>794</v>
      </c>
      <c r="C8811" s="31" t="s">
        <v>1159</v>
      </c>
      <c r="D8811" s="30" t="s">
        <v>3663</v>
      </c>
      <c r="E8811" s="32">
        <v>46113.0</v>
      </c>
      <c r="F8811" s="32">
        <v>46171.0</v>
      </c>
      <c r="G8811" s="33"/>
    </row>
    <row r="8812" ht="15.75" customHeight="1">
      <c r="A8812" s="26" t="s">
        <v>12476</v>
      </c>
      <c r="B8812" s="27" t="s">
        <v>794</v>
      </c>
      <c r="C8812" s="27" t="s">
        <v>3647</v>
      </c>
      <c r="D8812" s="26" t="s">
        <v>3663</v>
      </c>
      <c r="E8812" s="28">
        <v>46113.0</v>
      </c>
      <c r="F8812" s="28">
        <v>46171.0</v>
      </c>
      <c r="G8812" s="29"/>
    </row>
    <row r="8813" ht="15.75" customHeight="1">
      <c r="A8813" s="30" t="s">
        <v>12477</v>
      </c>
      <c r="B8813" s="31" t="s">
        <v>794</v>
      </c>
      <c r="C8813" s="31" t="s">
        <v>952</v>
      </c>
      <c r="D8813" s="30" t="s">
        <v>3663</v>
      </c>
      <c r="E8813" s="32">
        <v>46113.0</v>
      </c>
      <c r="F8813" s="32">
        <v>46171.0</v>
      </c>
      <c r="G8813" s="33"/>
    </row>
    <row r="8814" ht="15.75" customHeight="1">
      <c r="A8814" s="26" t="s">
        <v>12478</v>
      </c>
      <c r="B8814" s="27" t="s">
        <v>794</v>
      </c>
      <c r="C8814" s="27" t="s">
        <v>968</v>
      </c>
      <c r="D8814" s="26" t="s">
        <v>3663</v>
      </c>
      <c r="E8814" s="28">
        <v>46113.0</v>
      </c>
      <c r="F8814" s="28">
        <v>46171.0</v>
      </c>
      <c r="G8814" s="29"/>
    </row>
    <row r="8815" ht="15.75" customHeight="1">
      <c r="A8815" s="30" t="s">
        <v>12479</v>
      </c>
      <c r="B8815" s="31" t="s">
        <v>794</v>
      </c>
      <c r="C8815" s="31" t="s">
        <v>923</v>
      </c>
      <c r="D8815" s="30" t="s">
        <v>3663</v>
      </c>
      <c r="E8815" s="32">
        <v>46113.0</v>
      </c>
      <c r="F8815" s="32">
        <v>46171.0</v>
      </c>
      <c r="G8815" s="33"/>
    </row>
    <row r="8816" ht="15.75" customHeight="1">
      <c r="A8816" s="26" t="s">
        <v>12480</v>
      </c>
      <c r="B8816" s="27" t="s">
        <v>795</v>
      </c>
      <c r="C8816" s="27" t="s">
        <v>3654</v>
      </c>
      <c r="D8816" s="26" t="s">
        <v>3663</v>
      </c>
      <c r="E8816" s="28">
        <v>46113.0</v>
      </c>
      <c r="F8816" s="28">
        <v>46171.0</v>
      </c>
      <c r="G8816" s="29"/>
    </row>
    <row r="8817" ht="15.75" customHeight="1">
      <c r="A8817" s="30" t="s">
        <v>12481</v>
      </c>
      <c r="B8817" s="31" t="s">
        <v>795</v>
      </c>
      <c r="C8817" s="31" t="s">
        <v>3655</v>
      </c>
      <c r="D8817" s="30" t="s">
        <v>3663</v>
      </c>
      <c r="E8817" s="32">
        <v>46113.0</v>
      </c>
      <c r="F8817" s="32">
        <v>46171.0</v>
      </c>
      <c r="G8817" s="33"/>
    </row>
    <row r="8818" ht="15.75" customHeight="1">
      <c r="A8818" s="26" t="s">
        <v>12482</v>
      </c>
      <c r="B8818" s="27" t="s">
        <v>795</v>
      </c>
      <c r="C8818" s="27" t="s">
        <v>926</v>
      </c>
      <c r="D8818" s="26" t="s">
        <v>3663</v>
      </c>
      <c r="E8818" s="28">
        <v>46113.0</v>
      </c>
      <c r="F8818" s="28">
        <v>46171.0</v>
      </c>
      <c r="G8818" s="29"/>
    </row>
    <row r="8819" ht="15.75" customHeight="1">
      <c r="A8819" s="30" t="s">
        <v>12483</v>
      </c>
      <c r="B8819" s="31" t="s">
        <v>795</v>
      </c>
      <c r="C8819" s="31" t="s">
        <v>1354</v>
      </c>
      <c r="D8819" s="30" t="s">
        <v>3663</v>
      </c>
      <c r="E8819" s="32">
        <v>46113.0</v>
      </c>
      <c r="F8819" s="32">
        <v>46171.0</v>
      </c>
      <c r="G8819" s="33"/>
    </row>
    <row r="8820" ht="15.75" customHeight="1">
      <c r="A8820" s="26" t="s">
        <v>12484</v>
      </c>
      <c r="B8820" s="27" t="s">
        <v>795</v>
      </c>
      <c r="C8820" s="27" t="s">
        <v>3647</v>
      </c>
      <c r="D8820" s="26" t="s">
        <v>3663</v>
      </c>
      <c r="E8820" s="28">
        <v>46113.0</v>
      </c>
      <c r="F8820" s="28">
        <v>46171.0</v>
      </c>
      <c r="G8820" s="29"/>
    </row>
    <row r="8821" ht="15.75" customHeight="1">
      <c r="A8821" s="30" t="s">
        <v>12485</v>
      </c>
      <c r="B8821" s="31" t="s">
        <v>795</v>
      </c>
      <c r="C8821" s="31" t="s">
        <v>952</v>
      </c>
      <c r="D8821" s="30" t="s">
        <v>3663</v>
      </c>
      <c r="E8821" s="32">
        <v>46113.0</v>
      </c>
      <c r="F8821" s="32">
        <v>46171.0</v>
      </c>
      <c r="G8821" s="33"/>
    </row>
    <row r="8822" ht="15.75" customHeight="1">
      <c r="A8822" s="26" t="s">
        <v>12486</v>
      </c>
      <c r="B8822" s="27" t="s">
        <v>795</v>
      </c>
      <c r="C8822" s="27" t="s">
        <v>1277</v>
      </c>
      <c r="D8822" s="26" t="s">
        <v>3663</v>
      </c>
      <c r="E8822" s="28">
        <v>46113.0</v>
      </c>
      <c r="F8822" s="28">
        <v>46171.0</v>
      </c>
      <c r="G8822" s="29"/>
    </row>
    <row r="8823" ht="15.75" customHeight="1">
      <c r="A8823" s="30" t="s">
        <v>12487</v>
      </c>
      <c r="B8823" s="31" t="s">
        <v>795</v>
      </c>
      <c r="C8823" s="31" t="s">
        <v>1279</v>
      </c>
      <c r="D8823" s="30" t="s">
        <v>3663</v>
      </c>
      <c r="E8823" s="32">
        <v>46113.0</v>
      </c>
      <c r="F8823" s="32">
        <v>46171.0</v>
      </c>
      <c r="G8823" s="33"/>
    </row>
    <row r="8824" ht="15.75" customHeight="1">
      <c r="A8824" s="26" t="s">
        <v>12488</v>
      </c>
      <c r="B8824" s="27" t="s">
        <v>795</v>
      </c>
      <c r="C8824" s="27" t="s">
        <v>1283</v>
      </c>
      <c r="D8824" s="26" t="s">
        <v>3663</v>
      </c>
      <c r="E8824" s="28">
        <v>46113.0</v>
      </c>
      <c r="F8824" s="28">
        <v>46171.0</v>
      </c>
      <c r="G8824" s="29"/>
    </row>
    <row r="8825" ht="15.75" customHeight="1">
      <c r="A8825" s="30" t="s">
        <v>12489</v>
      </c>
      <c r="B8825" s="31" t="s">
        <v>795</v>
      </c>
      <c r="C8825" s="31" t="s">
        <v>1281</v>
      </c>
      <c r="D8825" s="30" t="s">
        <v>3663</v>
      </c>
      <c r="E8825" s="32">
        <v>46113.0</v>
      </c>
      <c r="F8825" s="32">
        <v>46171.0</v>
      </c>
      <c r="G8825" s="33"/>
    </row>
    <row r="8826" ht="15.75" customHeight="1">
      <c r="A8826" s="26" t="s">
        <v>12490</v>
      </c>
      <c r="B8826" s="27" t="s">
        <v>795</v>
      </c>
      <c r="C8826" s="27" t="s">
        <v>1216</v>
      </c>
      <c r="D8826" s="26" t="s">
        <v>3663</v>
      </c>
      <c r="E8826" s="28">
        <v>46113.0</v>
      </c>
      <c r="F8826" s="28">
        <v>46171.0</v>
      </c>
      <c r="G8826" s="29"/>
    </row>
    <row r="8827" ht="15.75" customHeight="1">
      <c r="A8827" s="30" t="s">
        <v>12491</v>
      </c>
      <c r="B8827" s="31" t="s">
        <v>795</v>
      </c>
      <c r="C8827" s="31" t="s">
        <v>1218</v>
      </c>
      <c r="D8827" s="30" t="s">
        <v>3663</v>
      </c>
      <c r="E8827" s="32">
        <v>46113.0</v>
      </c>
      <c r="F8827" s="32">
        <v>46171.0</v>
      </c>
      <c r="G8827" s="33"/>
    </row>
    <row r="8828" ht="15.75" customHeight="1">
      <c r="A8828" s="26" t="s">
        <v>12492</v>
      </c>
      <c r="B8828" s="27" t="s">
        <v>795</v>
      </c>
      <c r="C8828" s="27" t="s">
        <v>968</v>
      </c>
      <c r="D8828" s="26" t="s">
        <v>3663</v>
      </c>
      <c r="E8828" s="28">
        <v>46113.0</v>
      </c>
      <c r="F8828" s="28">
        <v>46171.0</v>
      </c>
      <c r="G8828" s="29"/>
    </row>
    <row r="8829" ht="15.75" customHeight="1">
      <c r="A8829" s="30" t="s">
        <v>12493</v>
      </c>
      <c r="B8829" s="31" t="s">
        <v>795</v>
      </c>
      <c r="C8829" s="31" t="s">
        <v>923</v>
      </c>
      <c r="D8829" s="30" t="s">
        <v>3663</v>
      </c>
      <c r="E8829" s="32">
        <v>46113.0</v>
      </c>
      <c r="F8829" s="32">
        <v>46171.0</v>
      </c>
      <c r="G8829" s="33"/>
    </row>
    <row r="8830" ht="15.75" customHeight="1">
      <c r="A8830" s="26" t="s">
        <v>12494</v>
      </c>
      <c r="B8830" s="27" t="s">
        <v>796</v>
      </c>
      <c r="C8830" s="27" t="s">
        <v>928</v>
      </c>
      <c r="D8830" s="26" t="s">
        <v>3663</v>
      </c>
      <c r="E8830" s="28">
        <v>46113.0</v>
      </c>
      <c r="F8830" s="28">
        <v>46171.0</v>
      </c>
      <c r="G8830" s="29"/>
    </row>
    <row r="8831" ht="15.75" customHeight="1">
      <c r="A8831" s="30" t="s">
        <v>12495</v>
      </c>
      <c r="B8831" s="31" t="s">
        <v>796</v>
      </c>
      <c r="C8831" s="31" t="s">
        <v>1354</v>
      </c>
      <c r="D8831" s="30" t="s">
        <v>3663</v>
      </c>
      <c r="E8831" s="32">
        <v>46113.0</v>
      </c>
      <c r="F8831" s="32">
        <v>46171.0</v>
      </c>
      <c r="G8831" s="33"/>
    </row>
    <row r="8832" ht="15.75" customHeight="1">
      <c r="A8832" s="26" t="s">
        <v>12496</v>
      </c>
      <c r="B8832" s="27" t="s">
        <v>796</v>
      </c>
      <c r="C8832" s="27" t="s">
        <v>1222</v>
      </c>
      <c r="D8832" s="26" t="s">
        <v>3663</v>
      </c>
      <c r="E8832" s="28">
        <v>46113.0</v>
      </c>
      <c r="F8832" s="28">
        <v>46171.0</v>
      </c>
      <c r="G8832" s="29"/>
    </row>
    <row r="8833" ht="15.75" customHeight="1">
      <c r="A8833" s="30" t="s">
        <v>12497</v>
      </c>
      <c r="B8833" s="31" t="s">
        <v>796</v>
      </c>
      <c r="C8833" s="31" t="s">
        <v>1224</v>
      </c>
      <c r="D8833" s="30" t="s">
        <v>3663</v>
      </c>
      <c r="E8833" s="32">
        <v>46113.0</v>
      </c>
      <c r="F8833" s="32">
        <v>46171.0</v>
      </c>
      <c r="G8833" s="33"/>
    </row>
    <row r="8834" ht="15.75" customHeight="1">
      <c r="A8834" s="26" t="s">
        <v>12498</v>
      </c>
      <c r="B8834" s="27" t="s">
        <v>796</v>
      </c>
      <c r="C8834" s="27" t="s">
        <v>1226</v>
      </c>
      <c r="D8834" s="26" t="s">
        <v>3663</v>
      </c>
      <c r="E8834" s="28">
        <v>46113.0</v>
      </c>
      <c r="F8834" s="28">
        <v>46171.0</v>
      </c>
      <c r="G8834" s="29"/>
    </row>
    <row r="8835" ht="15.75" customHeight="1">
      <c r="A8835" s="30" t="s">
        <v>12499</v>
      </c>
      <c r="B8835" s="31" t="s">
        <v>796</v>
      </c>
      <c r="C8835" s="31" t="s">
        <v>1228</v>
      </c>
      <c r="D8835" s="30" t="s">
        <v>3663</v>
      </c>
      <c r="E8835" s="32">
        <v>46113.0</v>
      </c>
      <c r="F8835" s="32">
        <v>46171.0</v>
      </c>
      <c r="G8835" s="33"/>
    </row>
    <row r="8836" ht="15.75" customHeight="1">
      <c r="A8836" s="26" t="s">
        <v>12500</v>
      </c>
      <c r="B8836" s="27" t="s">
        <v>796</v>
      </c>
      <c r="C8836" s="27" t="s">
        <v>1159</v>
      </c>
      <c r="D8836" s="26" t="s">
        <v>3663</v>
      </c>
      <c r="E8836" s="28">
        <v>46113.0</v>
      </c>
      <c r="F8836" s="28">
        <v>46171.0</v>
      </c>
      <c r="G8836" s="29"/>
    </row>
    <row r="8837" ht="15.75" customHeight="1">
      <c r="A8837" s="30" t="s">
        <v>12501</v>
      </c>
      <c r="B8837" s="31" t="s">
        <v>796</v>
      </c>
      <c r="C8837" s="31" t="s">
        <v>3656</v>
      </c>
      <c r="D8837" s="30" t="s">
        <v>3663</v>
      </c>
      <c r="E8837" s="32">
        <v>46113.0</v>
      </c>
      <c r="F8837" s="32">
        <v>46171.0</v>
      </c>
      <c r="G8837" s="33"/>
    </row>
    <row r="8838" ht="15.75" customHeight="1">
      <c r="A8838" s="26" t="s">
        <v>12502</v>
      </c>
      <c r="B8838" s="27" t="s">
        <v>796</v>
      </c>
      <c r="C8838" s="27" t="s">
        <v>3657</v>
      </c>
      <c r="D8838" s="26" t="s">
        <v>3663</v>
      </c>
      <c r="E8838" s="28">
        <v>46113.0</v>
      </c>
      <c r="F8838" s="28">
        <v>46171.0</v>
      </c>
      <c r="G8838" s="29"/>
    </row>
    <row r="8839" ht="15.75" customHeight="1">
      <c r="A8839" s="30" t="s">
        <v>12503</v>
      </c>
      <c r="B8839" s="31" t="s">
        <v>796</v>
      </c>
      <c r="C8839" s="31" t="s">
        <v>1216</v>
      </c>
      <c r="D8839" s="30" t="s">
        <v>3663</v>
      </c>
      <c r="E8839" s="32">
        <v>46113.0</v>
      </c>
      <c r="F8839" s="32">
        <v>46171.0</v>
      </c>
      <c r="G8839" s="33"/>
    </row>
    <row r="8840" ht="15.75" customHeight="1">
      <c r="A8840" s="26" t="s">
        <v>12504</v>
      </c>
      <c r="B8840" s="27" t="s">
        <v>796</v>
      </c>
      <c r="C8840" s="27" t="s">
        <v>1351</v>
      </c>
      <c r="D8840" s="26" t="s">
        <v>3663</v>
      </c>
      <c r="E8840" s="28">
        <v>46113.0</v>
      </c>
      <c r="F8840" s="28">
        <v>46171.0</v>
      </c>
      <c r="G8840" s="29"/>
    </row>
    <row r="8841" ht="15.75" customHeight="1">
      <c r="A8841" s="30" t="s">
        <v>12505</v>
      </c>
      <c r="B8841" s="31" t="s">
        <v>796</v>
      </c>
      <c r="C8841" s="31" t="s">
        <v>1349</v>
      </c>
      <c r="D8841" s="30" t="s">
        <v>3663</v>
      </c>
      <c r="E8841" s="32">
        <v>46113.0</v>
      </c>
      <c r="F8841" s="32">
        <v>46171.0</v>
      </c>
      <c r="G8841" s="33"/>
    </row>
    <row r="8842" ht="15.75" customHeight="1">
      <c r="A8842" s="26" t="s">
        <v>12506</v>
      </c>
      <c r="B8842" s="27" t="s">
        <v>796</v>
      </c>
      <c r="C8842" s="27" t="s">
        <v>968</v>
      </c>
      <c r="D8842" s="26" t="s">
        <v>3663</v>
      </c>
      <c r="E8842" s="28">
        <v>46113.0</v>
      </c>
      <c r="F8842" s="28">
        <v>46171.0</v>
      </c>
      <c r="G8842" s="29"/>
    </row>
    <row r="8843" ht="15.75" customHeight="1">
      <c r="A8843" s="30" t="s">
        <v>12507</v>
      </c>
      <c r="B8843" s="31" t="s">
        <v>796</v>
      </c>
      <c r="C8843" s="31" t="s">
        <v>923</v>
      </c>
      <c r="D8843" s="30" t="s">
        <v>3663</v>
      </c>
      <c r="E8843" s="32">
        <v>46113.0</v>
      </c>
      <c r="F8843" s="32">
        <v>46171.0</v>
      </c>
      <c r="G8843" s="33"/>
    </row>
    <row r="8844" ht="15.75" customHeight="1">
      <c r="A8844" s="26" t="s">
        <v>12508</v>
      </c>
      <c r="B8844" s="27" t="s">
        <v>797</v>
      </c>
      <c r="C8844" s="27" t="s">
        <v>932</v>
      </c>
      <c r="D8844" s="26" t="s">
        <v>3663</v>
      </c>
      <c r="E8844" s="28">
        <v>46113.0</v>
      </c>
      <c r="F8844" s="28">
        <v>46171.0</v>
      </c>
      <c r="G8844" s="29"/>
    </row>
    <row r="8845" ht="15.75" customHeight="1">
      <c r="A8845" s="30" t="s">
        <v>12509</v>
      </c>
      <c r="B8845" s="31" t="s">
        <v>797</v>
      </c>
      <c r="C8845" s="31" t="s">
        <v>1168</v>
      </c>
      <c r="D8845" s="30" t="s">
        <v>3663</v>
      </c>
      <c r="E8845" s="32">
        <v>46113.0</v>
      </c>
      <c r="F8845" s="32">
        <v>46171.0</v>
      </c>
      <c r="G8845" s="33"/>
    </row>
    <row r="8846" ht="15.75" customHeight="1">
      <c r="A8846" s="26" t="s">
        <v>12510</v>
      </c>
      <c r="B8846" s="27" t="s">
        <v>797</v>
      </c>
      <c r="C8846" s="27" t="s">
        <v>1170</v>
      </c>
      <c r="D8846" s="26" t="s">
        <v>3663</v>
      </c>
      <c r="E8846" s="28">
        <v>46113.0</v>
      </c>
      <c r="F8846" s="28">
        <v>46171.0</v>
      </c>
      <c r="G8846" s="29"/>
    </row>
    <row r="8847" ht="15.75" customHeight="1">
      <c r="A8847" s="30" t="s">
        <v>12511</v>
      </c>
      <c r="B8847" s="31" t="s">
        <v>797</v>
      </c>
      <c r="C8847" s="31" t="s">
        <v>1288</v>
      </c>
      <c r="D8847" s="30" t="s">
        <v>3663</v>
      </c>
      <c r="E8847" s="32">
        <v>46113.0</v>
      </c>
      <c r="F8847" s="32">
        <v>46171.0</v>
      </c>
      <c r="G8847" s="33"/>
    </row>
    <row r="8848" ht="15.75" customHeight="1">
      <c r="A8848" s="26" t="s">
        <v>12512</v>
      </c>
      <c r="B8848" s="27" t="s">
        <v>797</v>
      </c>
      <c r="C8848" s="27" t="s">
        <v>1291</v>
      </c>
      <c r="D8848" s="26" t="s">
        <v>3663</v>
      </c>
      <c r="E8848" s="28">
        <v>46113.0</v>
      </c>
      <c r="F8848" s="28">
        <v>46171.0</v>
      </c>
      <c r="G8848" s="29"/>
    </row>
    <row r="8849" ht="15.75" customHeight="1">
      <c r="A8849" s="30" t="s">
        <v>12513</v>
      </c>
      <c r="B8849" s="31" t="s">
        <v>797</v>
      </c>
      <c r="C8849" s="31" t="s">
        <v>1354</v>
      </c>
      <c r="D8849" s="30" t="s">
        <v>3663</v>
      </c>
      <c r="E8849" s="32">
        <v>46113.0</v>
      </c>
      <c r="F8849" s="32">
        <v>46171.0</v>
      </c>
      <c r="G8849" s="33"/>
    </row>
    <row r="8850" ht="15.75" customHeight="1">
      <c r="A8850" s="26" t="s">
        <v>12514</v>
      </c>
      <c r="B8850" s="27" t="s">
        <v>797</v>
      </c>
      <c r="C8850" s="27" t="s">
        <v>3681</v>
      </c>
      <c r="D8850" s="26" t="s">
        <v>3663</v>
      </c>
      <c r="E8850" s="28">
        <v>46113.0</v>
      </c>
      <c r="F8850" s="28">
        <v>46171.0</v>
      </c>
      <c r="G8850" s="29"/>
    </row>
    <row r="8851" ht="15.75" customHeight="1">
      <c r="A8851" s="30" t="s">
        <v>12515</v>
      </c>
      <c r="B8851" s="31" t="s">
        <v>797</v>
      </c>
      <c r="C8851" s="31" t="s">
        <v>3683</v>
      </c>
      <c r="D8851" s="30" t="s">
        <v>3663</v>
      </c>
      <c r="E8851" s="32">
        <v>46113.0</v>
      </c>
      <c r="F8851" s="32">
        <v>46171.0</v>
      </c>
      <c r="G8851" s="33"/>
    </row>
    <row r="8852" ht="15.75" customHeight="1">
      <c r="A8852" s="26" t="s">
        <v>12516</v>
      </c>
      <c r="B8852" s="27" t="s">
        <v>797</v>
      </c>
      <c r="C8852" s="27" t="s">
        <v>1208</v>
      </c>
      <c r="D8852" s="26" t="s">
        <v>3663</v>
      </c>
      <c r="E8852" s="28">
        <v>46113.0</v>
      </c>
      <c r="F8852" s="28">
        <v>46171.0</v>
      </c>
      <c r="G8852" s="29"/>
    </row>
    <row r="8853" ht="15.75" customHeight="1">
      <c r="A8853" s="30" t="s">
        <v>12517</v>
      </c>
      <c r="B8853" s="31" t="s">
        <v>797</v>
      </c>
      <c r="C8853" s="31" t="s">
        <v>1159</v>
      </c>
      <c r="D8853" s="30" t="s">
        <v>3663</v>
      </c>
      <c r="E8853" s="32">
        <v>46113.0</v>
      </c>
      <c r="F8853" s="32">
        <v>46171.0</v>
      </c>
      <c r="G8853" s="33"/>
    </row>
    <row r="8854" ht="15.75" customHeight="1">
      <c r="A8854" s="26" t="s">
        <v>12518</v>
      </c>
      <c r="B8854" s="27" t="s">
        <v>797</v>
      </c>
      <c r="C8854" s="27" t="s">
        <v>3647</v>
      </c>
      <c r="D8854" s="26" t="s">
        <v>3663</v>
      </c>
      <c r="E8854" s="28">
        <v>46113.0</v>
      </c>
      <c r="F8854" s="28">
        <v>46171.0</v>
      </c>
      <c r="G8854" s="29"/>
    </row>
    <row r="8855" ht="15.75" customHeight="1">
      <c r="A8855" s="30" t="s">
        <v>12519</v>
      </c>
      <c r="B8855" s="31" t="s">
        <v>797</v>
      </c>
      <c r="C8855" s="31" t="s">
        <v>952</v>
      </c>
      <c r="D8855" s="30" t="s">
        <v>3663</v>
      </c>
      <c r="E8855" s="32">
        <v>46113.0</v>
      </c>
      <c r="F8855" s="32">
        <v>46171.0</v>
      </c>
      <c r="G8855" s="33"/>
    </row>
    <row r="8856" ht="15.75" customHeight="1">
      <c r="A8856" s="26" t="s">
        <v>12520</v>
      </c>
      <c r="B8856" s="27" t="s">
        <v>797</v>
      </c>
      <c r="C8856" s="27" t="s">
        <v>968</v>
      </c>
      <c r="D8856" s="26" t="s">
        <v>3663</v>
      </c>
      <c r="E8856" s="28">
        <v>46113.0</v>
      </c>
      <c r="F8856" s="28">
        <v>46171.0</v>
      </c>
      <c r="G8856" s="29"/>
    </row>
    <row r="8857" ht="15.75" customHeight="1">
      <c r="A8857" s="30" t="s">
        <v>12521</v>
      </c>
      <c r="B8857" s="31" t="s">
        <v>797</v>
      </c>
      <c r="C8857" s="31" t="s">
        <v>923</v>
      </c>
      <c r="D8857" s="30" t="s">
        <v>3663</v>
      </c>
      <c r="E8857" s="32">
        <v>46113.0</v>
      </c>
      <c r="F8857" s="32">
        <v>46171.0</v>
      </c>
      <c r="G8857" s="33"/>
    </row>
    <row r="8858" ht="15.75" customHeight="1">
      <c r="A8858" s="26" t="s">
        <v>12522</v>
      </c>
      <c r="B8858" s="27" t="s">
        <v>798</v>
      </c>
      <c r="C8858" s="27" t="s">
        <v>928</v>
      </c>
      <c r="D8858" s="26" t="s">
        <v>3663</v>
      </c>
      <c r="E8858" s="28">
        <v>46113.0</v>
      </c>
      <c r="F8858" s="28">
        <v>46171.0</v>
      </c>
      <c r="G8858" s="29"/>
    </row>
    <row r="8859" ht="15.75" customHeight="1">
      <c r="A8859" s="30" t="s">
        <v>12523</v>
      </c>
      <c r="B8859" s="31" t="s">
        <v>798</v>
      </c>
      <c r="C8859" s="31" t="s">
        <v>1354</v>
      </c>
      <c r="D8859" s="30" t="s">
        <v>3663</v>
      </c>
      <c r="E8859" s="32">
        <v>46113.0</v>
      </c>
      <c r="F8859" s="32">
        <v>46171.0</v>
      </c>
      <c r="G8859" s="33"/>
    </row>
    <row r="8860" ht="15.75" customHeight="1">
      <c r="A8860" s="26" t="s">
        <v>12524</v>
      </c>
      <c r="B8860" s="27" t="s">
        <v>798</v>
      </c>
      <c r="C8860" s="27" t="s">
        <v>1222</v>
      </c>
      <c r="D8860" s="26" t="s">
        <v>3663</v>
      </c>
      <c r="E8860" s="28">
        <v>46113.0</v>
      </c>
      <c r="F8860" s="28">
        <v>46171.0</v>
      </c>
      <c r="G8860" s="29"/>
    </row>
    <row r="8861" ht="15.75" customHeight="1">
      <c r="A8861" s="30" t="s">
        <v>12525</v>
      </c>
      <c r="B8861" s="31" t="s">
        <v>798</v>
      </c>
      <c r="C8861" s="31" t="s">
        <v>1224</v>
      </c>
      <c r="D8861" s="30" t="s">
        <v>3663</v>
      </c>
      <c r="E8861" s="32">
        <v>46113.0</v>
      </c>
      <c r="F8861" s="32">
        <v>46171.0</v>
      </c>
      <c r="G8861" s="33"/>
    </row>
    <row r="8862" ht="15.75" customHeight="1">
      <c r="A8862" s="26" t="s">
        <v>12526</v>
      </c>
      <c r="B8862" s="27" t="s">
        <v>798</v>
      </c>
      <c r="C8862" s="27" t="s">
        <v>1226</v>
      </c>
      <c r="D8862" s="26" t="s">
        <v>3663</v>
      </c>
      <c r="E8862" s="28">
        <v>46113.0</v>
      </c>
      <c r="F8862" s="28">
        <v>46171.0</v>
      </c>
      <c r="G8862" s="29"/>
    </row>
    <row r="8863" ht="15.75" customHeight="1">
      <c r="A8863" s="30" t="s">
        <v>12527</v>
      </c>
      <c r="B8863" s="31" t="s">
        <v>798</v>
      </c>
      <c r="C8863" s="31" t="s">
        <v>1228</v>
      </c>
      <c r="D8863" s="30" t="s">
        <v>3663</v>
      </c>
      <c r="E8863" s="32">
        <v>46113.0</v>
      </c>
      <c r="F8863" s="32">
        <v>46171.0</v>
      </c>
      <c r="G8863" s="33"/>
    </row>
    <row r="8864" ht="15.75" customHeight="1">
      <c r="A8864" s="26" t="s">
        <v>12528</v>
      </c>
      <c r="B8864" s="27" t="s">
        <v>798</v>
      </c>
      <c r="C8864" s="27" t="s">
        <v>1218</v>
      </c>
      <c r="D8864" s="26" t="s">
        <v>3663</v>
      </c>
      <c r="E8864" s="28">
        <v>46113.0</v>
      </c>
      <c r="F8864" s="28">
        <v>46171.0</v>
      </c>
      <c r="G8864" s="29"/>
    </row>
    <row r="8865" ht="15.75" customHeight="1">
      <c r="A8865" s="30" t="s">
        <v>12529</v>
      </c>
      <c r="B8865" s="31" t="s">
        <v>798</v>
      </c>
      <c r="C8865" s="31" t="s">
        <v>1351</v>
      </c>
      <c r="D8865" s="30" t="s">
        <v>3663</v>
      </c>
      <c r="E8865" s="32">
        <v>46113.0</v>
      </c>
      <c r="F8865" s="32">
        <v>46171.0</v>
      </c>
      <c r="G8865" s="33"/>
    </row>
    <row r="8866" ht="15.75" customHeight="1">
      <c r="A8866" s="26" t="s">
        <v>12530</v>
      </c>
      <c r="B8866" s="27" t="s">
        <v>798</v>
      </c>
      <c r="C8866" s="27" t="s">
        <v>1349</v>
      </c>
      <c r="D8866" s="26" t="s">
        <v>3663</v>
      </c>
      <c r="E8866" s="28">
        <v>46113.0</v>
      </c>
      <c r="F8866" s="28">
        <v>46171.0</v>
      </c>
      <c r="G8866" s="29"/>
    </row>
    <row r="8867" ht="15.75" customHeight="1">
      <c r="A8867" s="30" t="s">
        <v>12531</v>
      </c>
      <c r="B8867" s="31" t="s">
        <v>798</v>
      </c>
      <c r="C8867" s="31" t="s">
        <v>3653</v>
      </c>
      <c r="D8867" s="31" t="s">
        <v>3663</v>
      </c>
      <c r="E8867" s="32">
        <v>46113.0</v>
      </c>
      <c r="F8867" s="32">
        <v>46171.0</v>
      </c>
      <c r="G8867" s="33"/>
    </row>
    <row r="8868" ht="15.75" customHeight="1">
      <c r="A8868" s="26" t="s">
        <v>12532</v>
      </c>
      <c r="B8868" s="27" t="s">
        <v>798</v>
      </c>
      <c r="C8868" s="27" t="s">
        <v>3652</v>
      </c>
      <c r="D8868" s="26" t="s">
        <v>3663</v>
      </c>
      <c r="E8868" s="28">
        <v>46113.0</v>
      </c>
      <c r="F8868" s="28">
        <v>46171.0</v>
      </c>
      <c r="G8868" s="29"/>
    </row>
    <row r="8869" ht="15.75" customHeight="1">
      <c r="A8869" s="30" t="s">
        <v>12533</v>
      </c>
      <c r="B8869" s="31" t="s">
        <v>798</v>
      </c>
      <c r="C8869" s="31" t="s">
        <v>965</v>
      </c>
      <c r="D8869" s="30" t="s">
        <v>3663</v>
      </c>
      <c r="E8869" s="32">
        <v>46113.0</v>
      </c>
      <c r="F8869" s="32">
        <v>46171.0</v>
      </c>
      <c r="G8869" s="33"/>
    </row>
    <row r="8870" ht="15.75" customHeight="1">
      <c r="A8870" s="26" t="s">
        <v>12534</v>
      </c>
      <c r="B8870" s="27" t="s">
        <v>798</v>
      </c>
      <c r="C8870" s="27" t="s">
        <v>923</v>
      </c>
      <c r="D8870" s="26" t="s">
        <v>3663</v>
      </c>
      <c r="E8870" s="28">
        <v>46113.0</v>
      </c>
      <c r="F8870" s="28">
        <v>46171.0</v>
      </c>
      <c r="G8870" s="29"/>
    </row>
    <row r="8871" ht="15.75" customHeight="1">
      <c r="A8871" s="30" t="s">
        <v>12535</v>
      </c>
      <c r="B8871" s="31" t="s">
        <v>798</v>
      </c>
      <c r="C8871" s="31" t="s">
        <v>955</v>
      </c>
      <c r="D8871" s="30" t="s">
        <v>3663</v>
      </c>
      <c r="E8871" s="32">
        <v>46113.0</v>
      </c>
      <c r="F8871" s="32">
        <v>46171.0</v>
      </c>
      <c r="G8871" s="33"/>
    </row>
    <row r="8872" ht="15.75" customHeight="1">
      <c r="A8872" s="26" t="s">
        <v>12536</v>
      </c>
      <c r="B8872" s="27" t="s">
        <v>799</v>
      </c>
      <c r="C8872" s="27" t="s">
        <v>1240</v>
      </c>
      <c r="D8872" s="26" t="s">
        <v>3663</v>
      </c>
      <c r="E8872" s="28">
        <v>46113.0</v>
      </c>
      <c r="F8872" s="28">
        <v>46171.0</v>
      </c>
      <c r="G8872" s="29"/>
    </row>
    <row r="8873" ht="15.75" customHeight="1">
      <c r="A8873" s="30" t="s">
        <v>12537</v>
      </c>
      <c r="B8873" s="31" t="s">
        <v>799</v>
      </c>
      <c r="C8873" s="31" t="s">
        <v>1242</v>
      </c>
      <c r="D8873" s="30" t="s">
        <v>3663</v>
      </c>
      <c r="E8873" s="32">
        <v>46113.0</v>
      </c>
      <c r="F8873" s="32">
        <v>46171.0</v>
      </c>
      <c r="G8873" s="33"/>
    </row>
    <row r="8874" ht="15.75" customHeight="1">
      <c r="A8874" s="26" t="s">
        <v>12538</v>
      </c>
      <c r="B8874" s="27" t="s">
        <v>799</v>
      </c>
      <c r="C8874" s="27" t="s">
        <v>1244</v>
      </c>
      <c r="D8874" s="26" t="s">
        <v>3663</v>
      </c>
      <c r="E8874" s="28">
        <v>46113.0</v>
      </c>
      <c r="F8874" s="28">
        <v>46171.0</v>
      </c>
      <c r="G8874" s="29"/>
    </row>
    <row r="8875" ht="15.75" customHeight="1">
      <c r="A8875" s="30" t="s">
        <v>12539</v>
      </c>
      <c r="B8875" s="31" t="s">
        <v>799</v>
      </c>
      <c r="C8875" s="31" t="s">
        <v>1246</v>
      </c>
      <c r="D8875" s="30" t="s">
        <v>3663</v>
      </c>
      <c r="E8875" s="32">
        <v>46113.0</v>
      </c>
      <c r="F8875" s="32">
        <v>46171.0</v>
      </c>
      <c r="G8875" s="33"/>
    </row>
    <row r="8876" ht="15.75" customHeight="1">
      <c r="A8876" s="26" t="s">
        <v>12540</v>
      </c>
      <c r="B8876" s="27" t="s">
        <v>799</v>
      </c>
      <c r="C8876" s="27" t="s">
        <v>934</v>
      </c>
      <c r="D8876" s="26" t="s">
        <v>3663</v>
      </c>
      <c r="E8876" s="28">
        <v>46113.0</v>
      </c>
      <c r="F8876" s="28">
        <v>46171.0</v>
      </c>
      <c r="G8876" s="29"/>
    </row>
    <row r="8877" ht="15.75" customHeight="1">
      <c r="A8877" s="30" t="s">
        <v>12541</v>
      </c>
      <c r="B8877" s="31" t="s">
        <v>799</v>
      </c>
      <c r="C8877" s="31" t="s">
        <v>1354</v>
      </c>
      <c r="D8877" s="30" t="s">
        <v>3663</v>
      </c>
      <c r="E8877" s="32">
        <v>46113.0</v>
      </c>
      <c r="F8877" s="32">
        <v>46171.0</v>
      </c>
      <c r="G8877" s="33"/>
    </row>
    <row r="8878" ht="15.75" customHeight="1">
      <c r="A8878" s="26" t="s">
        <v>12542</v>
      </c>
      <c r="B8878" s="27" t="s">
        <v>799</v>
      </c>
      <c r="C8878" s="27" t="s">
        <v>3656</v>
      </c>
      <c r="D8878" s="26" t="s">
        <v>3663</v>
      </c>
      <c r="E8878" s="28">
        <v>46113.0</v>
      </c>
      <c r="F8878" s="28">
        <v>46171.0</v>
      </c>
      <c r="G8878" s="29"/>
    </row>
    <row r="8879" ht="15.75" customHeight="1">
      <c r="A8879" s="30" t="s">
        <v>12543</v>
      </c>
      <c r="B8879" s="31" t="s">
        <v>799</v>
      </c>
      <c r="C8879" s="31" t="s">
        <v>3657</v>
      </c>
      <c r="D8879" s="30" t="s">
        <v>3663</v>
      </c>
      <c r="E8879" s="32">
        <v>46113.0</v>
      </c>
      <c r="F8879" s="32">
        <v>46171.0</v>
      </c>
      <c r="G8879" s="33"/>
    </row>
    <row r="8880" ht="15.75" customHeight="1">
      <c r="A8880" s="26" t="s">
        <v>12544</v>
      </c>
      <c r="B8880" s="27" t="s">
        <v>799</v>
      </c>
      <c r="C8880" s="27" t="s">
        <v>1216</v>
      </c>
      <c r="D8880" s="26" t="s">
        <v>3663</v>
      </c>
      <c r="E8880" s="28">
        <v>46113.0</v>
      </c>
      <c r="F8880" s="28">
        <v>46171.0</v>
      </c>
      <c r="G8880" s="29"/>
    </row>
    <row r="8881" ht="15.75" customHeight="1">
      <c r="A8881" s="30" t="s">
        <v>12545</v>
      </c>
      <c r="B8881" s="31" t="s">
        <v>799</v>
      </c>
      <c r="C8881" s="31" t="s">
        <v>1218</v>
      </c>
      <c r="D8881" s="30" t="s">
        <v>3663</v>
      </c>
      <c r="E8881" s="32">
        <v>46113.0</v>
      </c>
      <c r="F8881" s="32">
        <v>46171.0</v>
      </c>
      <c r="G8881" s="33"/>
    </row>
    <row r="8882" ht="15.75" customHeight="1">
      <c r="A8882" s="26" t="s">
        <v>12546</v>
      </c>
      <c r="B8882" s="27" t="s">
        <v>799</v>
      </c>
      <c r="C8882" s="27" t="s">
        <v>1351</v>
      </c>
      <c r="D8882" s="26" t="s">
        <v>3663</v>
      </c>
      <c r="E8882" s="28">
        <v>46113.0</v>
      </c>
      <c r="F8882" s="28">
        <v>46171.0</v>
      </c>
      <c r="G8882" s="29"/>
    </row>
    <row r="8883" ht="15.75" customHeight="1">
      <c r="A8883" s="30" t="s">
        <v>12547</v>
      </c>
      <c r="B8883" s="31" t="s">
        <v>799</v>
      </c>
      <c r="C8883" s="31" t="s">
        <v>1349</v>
      </c>
      <c r="D8883" s="30" t="s">
        <v>3663</v>
      </c>
      <c r="E8883" s="32">
        <v>46113.0</v>
      </c>
      <c r="F8883" s="32">
        <v>46171.0</v>
      </c>
      <c r="G8883" s="33"/>
    </row>
    <row r="8884" ht="15.75" customHeight="1">
      <c r="A8884" s="26" t="s">
        <v>12548</v>
      </c>
      <c r="B8884" s="27" t="s">
        <v>799</v>
      </c>
      <c r="C8884" s="27" t="s">
        <v>965</v>
      </c>
      <c r="D8884" s="26" t="s">
        <v>3663</v>
      </c>
      <c r="E8884" s="28">
        <v>46113.0</v>
      </c>
      <c r="F8884" s="28">
        <v>46171.0</v>
      </c>
      <c r="G8884" s="29"/>
    </row>
    <row r="8885" ht="15.75" customHeight="1">
      <c r="A8885" s="30" t="s">
        <v>12549</v>
      </c>
      <c r="B8885" s="31" t="s">
        <v>799</v>
      </c>
      <c r="C8885" s="31" t="s">
        <v>923</v>
      </c>
      <c r="D8885" s="30" t="s">
        <v>3663</v>
      </c>
      <c r="E8885" s="32">
        <v>46113.0</v>
      </c>
      <c r="F8885" s="32">
        <v>46171.0</v>
      </c>
      <c r="G8885" s="33"/>
    </row>
    <row r="8886" ht="15.75" customHeight="1">
      <c r="A8886" s="26" t="s">
        <v>12550</v>
      </c>
      <c r="B8886" s="27" t="s">
        <v>801</v>
      </c>
      <c r="C8886" s="27" t="s">
        <v>930</v>
      </c>
      <c r="D8886" s="26" t="s">
        <v>3663</v>
      </c>
      <c r="E8886" s="28">
        <v>46113.0</v>
      </c>
      <c r="F8886" s="28">
        <v>46171.0</v>
      </c>
      <c r="G8886" s="29"/>
    </row>
    <row r="8887" ht="15.75" customHeight="1">
      <c r="A8887" s="30" t="s">
        <v>12551</v>
      </c>
      <c r="B8887" s="31" t="s">
        <v>801</v>
      </c>
      <c r="C8887" s="31" t="s">
        <v>1354</v>
      </c>
      <c r="D8887" s="30" t="s">
        <v>3663</v>
      </c>
      <c r="E8887" s="32">
        <v>46113.0</v>
      </c>
      <c r="F8887" s="32">
        <v>46171.0</v>
      </c>
      <c r="G8887" s="33"/>
    </row>
    <row r="8888" ht="15.75" customHeight="1">
      <c r="A8888" s="26" t="s">
        <v>12552</v>
      </c>
      <c r="B8888" s="27" t="s">
        <v>801</v>
      </c>
      <c r="C8888" s="27" t="s">
        <v>1216</v>
      </c>
      <c r="D8888" s="26" t="s">
        <v>3663</v>
      </c>
      <c r="E8888" s="28">
        <v>46113.0</v>
      </c>
      <c r="F8888" s="28">
        <v>46171.0</v>
      </c>
      <c r="G8888" s="29"/>
    </row>
    <row r="8889" ht="15.75" customHeight="1">
      <c r="A8889" s="30" t="s">
        <v>12553</v>
      </c>
      <c r="B8889" s="31" t="s">
        <v>801</v>
      </c>
      <c r="C8889" s="31" t="s">
        <v>1157</v>
      </c>
      <c r="D8889" s="30" t="s">
        <v>3663</v>
      </c>
      <c r="E8889" s="32">
        <v>46113.0</v>
      </c>
      <c r="F8889" s="32">
        <v>46171.0</v>
      </c>
      <c r="G8889" s="33"/>
    </row>
    <row r="8890" ht="15.75" customHeight="1">
      <c r="A8890" s="26" t="s">
        <v>12554</v>
      </c>
      <c r="B8890" s="27" t="s">
        <v>801</v>
      </c>
      <c r="C8890" s="27" t="s">
        <v>1155</v>
      </c>
      <c r="D8890" s="26" t="s">
        <v>3663</v>
      </c>
      <c r="E8890" s="28">
        <v>46113.0</v>
      </c>
      <c r="F8890" s="28">
        <v>46171.0</v>
      </c>
      <c r="G8890" s="29"/>
    </row>
    <row r="8891" ht="15.75" customHeight="1">
      <c r="A8891" s="30" t="s">
        <v>12555</v>
      </c>
      <c r="B8891" s="31" t="s">
        <v>801</v>
      </c>
      <c r="C8891" s="31" t="s">
        <v>1153</v>
      </c>
      <c r="D8891" s="30" t="s">
        <v>3663</v>
      </c>
      <c r="E8891" s="32">
        <v>46113.0</v>
      </c>
      <c r="F8891" s="32">
        <v>46171.0</v>
      </c>
      <c r="G8891" s="33"/>
    </row>
    <row r="8892" ht="15.75" customHeight="1">
      <c r="A8892" s="26" t="s">
        <v>12556</v>
      </c>
      <c r="B8892" s="27" t="s">
        <v>801</v>
      </c>
      <c r="C8892" s="27" t="s">
        <v>1149</v>
      </c>
      <c r="D8892" s="26" t="s">
        <v>3663</v>
      </c>
      <c r="E8892" s="28">
        <v>46113.0</v>
      </c>
      <c r="F8892" s="28">
        <v>46171.0</v>
      </c>
      <c r="G8892" s="29"/>
    </row>
    <row r="8893" ht="15.75" customHeight="1">
      <c r="A8893" s="30" t="s">
        <v>12557</v>
      </c>
      <c r="B8893" s="31" t="s">
        <v>801</v>
      </c>
      <c r="C8893" s="31" t="s">
        <v>1351</v>
      </c>
      <c r="D8893" s="30" t="s">
        <v>3663</v>
      </c>
      <c r="E8893" s="32">
        <v>46113.0</v>
      </c>
      <c r="F8893" s="32">
        <v>46171.0</v>
      </c>
      <c r="G8893" s="33"/>
    </row>
    <row r="8894" ht="15.75" customHeight="1">
      <c r="A8894" s="26" t="s">
        <v>12558</v>
      </c>
      <c r="B8894" s="27" t="s">
        <v>801</v>
      </c>
      <c r="C8894" s="27" t="s">
        <v>1349</v>
      </c>
      <c r="D8894" s="26" t="s">
        <v>3663</v>
      </c>
      <c r="E8894" s="28">
        <v>46113.0</v>
      </c>
      <c r="F8894" s="28">
        <v>46171.0</v>
      </c>
      <c r="G8894" s="29"/>
    </row>
    <row r="8895" ht="15.75" customHeight="1">
      <c r="A8895" s="30" t="s">
        <v>12559</v>
      </c>
      <c r="B8895" s="31" t="s">
        <v>801</v>
      </c>
      <c r="C8895" s="31" t="s">
        <v>3653</v>
      </c>
      <c r="D8895" s="30" t="s">
        <v>3663</v>
      </c>
      <c r="E8895" s="32">
        <v>46113.0</v>
      </c>
      <c r="F8895" s="32">
        <v>46171.0</v>
      </c>
      <c r="G8895" s="33"/>
    </row>
    <row r="8896" ht="15.75" customHeight="1">
      <c r="A8896" s="26" t="s">
        <v>12560</v>
      </c>
      <c r="B8896" s="27" t="s">
        <v>801</v>
      </c>
      <c r="C8896" s="27" t="s">
        <v>3652</v>
      </c>
      <c r="D8896" s="27" t="s">
        <v>3663</v>
      </c>
      <c r="E8896" s="28">
        <v>46113.0</v>
      </c>
      <c r="F8896" s="28">
        <v>46171.0</v>
      </c>
      <c r="G8896" s="29"/>
    </row>
    <row r="8897" ht="15.75" customHeight="1">
      <c r="A8897" s="30" t="s">
        <v>12561</v>
      </c>
      <c r="B8897" s="31" t="s">
        <v>801</v>
      </c>
      <c r="C8897" s="31" t="s">
        <v>968</v>
      </c>
      <c r="D8897" s="30" t="s">
        <v>3663</v>
      </c>
      <c r="E8897" s="32">
        <v>46113.0</v>
      </c>
      <c r="F8897" s="32">
        <v>46171.0</v>
      </c>
      <c r="G8897" s="33"/>
    </row>
    <row r="8898" ht="15.75" customHeight="1">
      <c r="A8898" s="26" t="s">
        <v>12562</v>
      </c>
      <c r="B8898" s="27" t="s">
        <v>801</v>
      </c>
      <c r="C8898" s="27" t="s">
        <v>923</v>
      </c>
      <c r="D8898" s="26" t="s">
        <v>3663</v>
      </c>
      <c r="E8898" s="28">
        <v>46113.0</v>
      </c>
      <c r="F8898" s="28">
        <v>46171.0</v>
      </c>
      <c r="G8898" s="29"/>
    </row>
    <row r="8899" ht="15.75" customHeight="1">
      <c r="A8899" s="30" t="s">
        <v>12563</v>
      </c>
      <c r="B8899" s="31" t="s">
        <v>801</v>
      </c>
      <c r="C8899" s="31" t="s">
        <v>961</v>
      </c>
      <c r="D8899" s="30" t="s">
        <v>3663</v>
      </c>
      <c r="E8899" s="32">
        <v>46113.0</v>
      </c>
      <c r="F8899" s="32">
        <v>46171.0</v>
      </c>
      <c r="G8899" s="33"/>
    </row>
    <row r="8900" ht="15.75" customHeight="1">
      <c r="A8900" s="26" t="s">
        <v>12564</v>
      </c>
      <c r="B8900" s="27" t="s">
        <v>802</v>
      </c>
      <c r="C8900" s="27" t="s">
        <v>930</v>
      </c>
      <c r="D8900" s="26" t="s">
        <v>3663</v>
      </c>
      <c r="E8900" s="28">
        <v>46113.0</v>
      </c>
      <c r="F8900" s="28">
        <v>46171.0</v>
      </c>
      <c r="G8900" s="29"/>
    </row>
    <row r="8901" ht="15.75" customHeight="1">
      <c r="A8901" s="30" t="s">
        <v>12565</v>
      </c>
      <c r="B8901" s="31" t="s">
        <v>802</v>
      </c>
      <c r="C8901" s="31" t="s">
        <v>1354</v>
      </c>
      <c r="D8901" s="30" t="s">
        <v>3663</v>
      </c>
      <c r="E8901" s="32">
        <v>46113.0</v>
      </c>
      <c r="F8901" s="32">
        <v>46171.0</v>
      </c>
      <c r="G8901" s="33"/>
    </row>
    <row r="8902" ht="15.75" customHeight="1">
      <c r="A8902" s="26" t="s">
        <v>12566</v>
      </c>
      <c r="B8902" s="27" t="s">
        <v>802</v>
      </c>
      <c r="C8902" s="27" t="s">
        <v>3656</v>
      </c>
      <c r="D8902" s="26" t="s">
        <v>3663</v>
      </c>
      <c r="E8902" s="28">
        <v>46113.0</v>
      </c>
      <c r="F8902" s="28">
        <v>46171.0</v>
      </c>
      <c r="G8902" s="29"/>
    </row>
    <row r="8903" ht="15.75" customHeight="1">
      <c r="A8903" s="30" t="s">
        <v>12567</v>
      </c>
      <c r="B8903" s="31" t="s">
        <v>802</v>
      </c>
      <c r="C8903" s="31" t="s">
        <v>3657</v>
      </c>
      <c r="D8903" s="30" t="s">
        <v>3663</v>
      </c>
      <c r="E8903" s="32">
        <v>46113.0</v>
      </c>
      <c r="F8903" s="32">
        <v>46171.0</v>
      </c>
      <c r="G8903" s="33"/>
    </row>
    <row r="8904" ht="15.75" customHeight="1">
      <c r="A8904" s="26" t="s">
        <v>12568</v>
      </c>
      <c r="B8904" s="27" t="s">
        <v>802</v>
      </c>
      <c r="C8904" s="27" t="s">
        <v>1157</v>
      </c>
      <c r="D8904" s="26" t="s">
        <v>3663</v>
      </c>
      <c r="E8904" s="28">
        <v>46113.0</v>
      </c>
      <c r="F8904" s="28">
        <v>46171.0</v>
      </c>
      <c r="G8904" s="29"/>
    </row>
    <row r="8905" ht="15.75" customHeight="1">
      <c r="A8905" s="30" t="s">
        <v>12569</v>
      </c>
      <c r="B8905" s="31" t="s">
        <v>802</v>
      </c>
      <c r="C8905" s="31" t="s">
        <v>1155</v>
      </c>
      <c r="D8905" s="30" t="s">
        <v>3663</v>
      </c>
      <c r="E8905" s="32">
        <v>46113.0</v>
      </c>
      <c r="F8905" s="32">
        <v>46171.0</v>
      </c>
      <c r="G8905" s="33"/>
    </row>
    <row r="8906" ht="15.75" customHeight="1">
      <c r="A8906" s="26" t="s">
        <v>12570</v>
      </c>
      <c r="B8906" s="27" t="s">
        <v>802</v>
      </c>
      <c r="C8906" s="27" t="s">
        <v>1153</v>
      </c>
      <c r="D8906" s="26" t="s">
        <v>3663</v>
      </c>
      <c r="E8906" s="28">
        <v>46113.0</v>
      </c>
      <c r="F8906" s="28">
        <v>46171.0</v>
      </c>
      <c r="G8906" s="29"/>
    </row>
    <row r="8907" ht="15.75" customHeight="1">
      <c r="A8907" s="30" t="s">
        <v>12571</v>
      </c>
      <c r="B8907" s="31" t="s">
        <v>802</v>
      </c>
      <c r="C8907" s="31" t="s">
        <v>1149</v>
      </c>
      <c r="D8907" s="30" t="s">
        <v>3663</v>
      </c>
      <c r="E8907" s="32">
        <v>46113.0</v>
      </c>
      <c r="F8907" s="32">
        <v>46171.0</v>
      </c>
      <c r="G8907" s="33"/>
    </row>
    <row r="8908" ht="15.75" customHeight="1">
      <c r="A8908" s="26" t="s">
        <v>12572</v>
      </c>
      <c r="B8908" s="27" t="s">
        <v>802</v>
      </c>
      <c r="C8908" s="27" t="s">
        <v>1351</v>
      </c>
      <c r="D8908" s="26" t="s">
        <v>3663</v>
      </c>
      <c r="E8908" s="28">
        <v>46113.0</v>
      </c>
      <c r="F8908" s="28">
        <v>46171.0</v>
      </c>
      <c r="G8908" s="29"/>
    </row>
    <row r="8909" ht="15.75" customHeight="1">
      <c r="A8909" s="30" t="s">
        <v>12573</v>
      </c>
      <c r="B8909" s="31" t="s">
        <v>802</v>
      </c>
      <c r="C8909" s="31" t="s">
        <v>1349</v>
      </c>
      <c r="D8909" s="30" t="s">
        <v>3663</v>
      </c>
      <c r="E8909" s="32">
        <v>46113.0</v>
      </c>
      <c r="F8909" s="32">
        <v>46171.0</v>
      </c>
      <c r="G8909" s="33"/>
    </row>
    <row r="8910" ht="15.75" customHeight="1">
      <c r="A8910" s="26" t="s">
        <v>12574</v>
      </c>
      <c r="B8910" s="27" t="s">
        <v>802</v>
      </c>
      <c r="C8910" s="27" t="s">
        <v>965</v>
      </c>
      <c r="D8910" s="26" t="s">
        <v>3663</v>
      </c>
      <c r="E8910" s="28">
        <v>46113.0</v>
      </c>
      <c r="F8910" s="28">
        <v>46171.0</v>
      </c>
      <c r="G8910" s="29"/>
    </row>
    <row r="8911" ht="15.75" customHeight="1">
      <c r="A8911" s="30" t="s">
        <v>12575</v>
      </c>
      <c r="B8911" s="31" t="s">
        <v>802</v>
      </c>
      <c r="C8911" s="31" t="s">
        <v>923</v>
      </c>
      <c r="D8911" s="30" t="s">
        <v>3663</v>
      </c>
      <c r="E8911" s="32">
        <v>46113.0</v>
      </c>
      <c r="F8911" s="32">
        <v>46171.0</v>
      </c>
      <c r="G8911" s="33"/>
    </row>
    <row r="8912" ht="15.75" customHeight="1">
      <c r="A8912" s="26" t="s">
        <v>12576</v>
      </c>
      <c r="B8912" s="27" t="s">
        <v>802</v>
      </c>
      <c r="C8912" s="27" t="s">
        <v>963</v>
      </c>
      <c r="D8912" s="26" t="s">
        <v>3663</v>
      </c>
      <c r="E8912" s="28">
        <v>46113.0</v>
      </c>
      <c r="F8912" s="28">
        <v>46171.0</v>
      </c>
      <c r="G8912" s="29"/>
    </row>
    <row r="8913" ht="15.75" customHeight="1">
      <c r="A8913" s="30" t="s">
        <v>12577</v>
      </c>
      <c r="B8913" s="31" t="s">
        <v>802</v>
      </c>
      <c r="C8913" s="31" t="s">
        <v>961</v>
      </c>
      <c r="D8913" s="30" t="s">
        <v>3663</v>
      </c>
      <c r="E8913" s="32">
        <v>46113.0</v>
      </c>
      <c r="F8913" s="32">
        <v>46171.0</v>
      </c>
      <c r="G8913" s="33"/>
    </row>
    <row r="8914" ht="15.75" customHeight="1">
      <c r="A8914" s="26" t="s">
        <v>12578</v>
      </c>
      <c r="B8914" s="27" t="s">
        <v>803</v>
      </c>
      <c r="C8914" s="27" t="s">
        <v>930</v>
      </c>
      <c r="D8914" s="26" t="s">
        <v>3663</v>
      </c>
      <c r="E8914" s="28">
        <v>46113.0</v>
      </c>
      <c r="F8914" s="28">
        <v>46171.0</v>
      </c>
      <c r="G8914" s="29"/>
    </row>
    <row r="8915" ht="15.75" customHeight="1">
      <c r="A8915" s="30" t="s">
        <v>12579</v>
      </c>
      <c r="B8915" s="31" t="s">
        <v>803</v>
      </c>
      <c r="C8915" s="31" t="s">
        <v>1354</v>
      </c>
      <c r="D8915" s="30" t="s">
        <v>3663</v>
      </c>
      <c r="E8915" s="32">
        <v>46113.0</v>
      </c>
      <c r="F8915" s="32">
        <v>46171.0</v>
      </c>
      <c r="G8915" s="33"/>
    </row>
    <row r="8916" ht="15.75" customHeight="1">
      <c r="A8916" s="26" t="s">
        <v>12580</v>
      </c>
      <c r="B8916" s="27" t="s">
        <v>803</v>
      </c>
      <c r="C8916" s="27" t="s">
        <v>3641</v>
      </c>
      <c r="D8916" s="26" t="s">
        <v>3663</v>
      </c>
      <c r="E8916" s="28">
        <v>46113.0</v>
      </c>
      <c r="F8916" s="28">
        <v>46171.0</v>
      </c>
      <c r="G8916" s="29"/>
    </row>
    <row r="8917" ht="15.75" customHeight="1">
      <c r="A8917" s="30" t="s">
        <v>12581</v>
      </c>
      <c r="B8917" s="31" t="s">
        <v>803</v>
      </c>
      <c r="C8917" s="31" t="s">
        <v>1304</v>
      </c>
      <c r="D8917" s="30" t="s">
        <v>3663</v>
      </c>
      <c r="E8917" s="32">
        <v>46113.0</v>
      </c>
      <c r="F8917" s="32">
        <v>46171.0</v>
      </c>
      <c r="G8917" s="33"/>
    </row>
    <row r="8918" ht="15.75" customHeight="1">
      <c r="A8918" s="26" t="s">
        <v>12582</v>
      </c>
      <c r="B8918" s="27" t="s">
        <v>803</v>
      </c>
      <c r="C8918" s="27" t="s">
        <v>3642</v>
      </c>
      <c r="D8918" s="26" t="s">
        <v>3663</v>
      </c>
      <c r="E8918" s="28">
        <v>46113.0</v>
      </c>
      <c r="F8918" s="28">
        <v>46171.0</v>
      </c>
      <c r="G8918" s="29"/>
    </row>
    <row r="8919" ht="15.75" customHeight="1">
      <c r="A8919" s="30" t="s">
        <v>12583</v>
      </c>
      <c r="B8919" s="31" t="s">
        <v>803</v>
      </c>
      <c r="C8919" s="31" t="s">
        <v>1308</v>
      </c>
      <c r="D8919" s="30" t="s">
        <v>3663</v>
      </c>
      <c r="E8919" s="32">
        <v>46113.0</v>
      </c>
      <c r="F8919" s="32">
        <v>46171.0</v>
      </c>
      <c r="G8919" s="33"/>
    </row>
    <row r="8920" ht="15.75" customHeight="1">
      <c r="A8920" s="26" t="s">
        <v>12584</v>
      </c>
      <c r="B8920" s="27" t="s">
        <v>803</v>
      </c>
      <c r="C8920" s="27" t="s">
        <v>1159</v>
      </c>
      <c r="D8920" s="26" t="s">
        <v>3663</v>
      </c>
      <c r="E8920" s="28">
        <v>46113.0</v>
      </c>
      <c r="F8920" s="28">
        <v>46171.0</v>
      </c>
      <c r="G8920" s="29"/>
    </row>
    <row r="8921" ht="15.75" customHeight="1">
      <c r="A8921" s="30" t="s">
        <v>12585</v>
      </c>
      <c r="B8921" s="31" t="s">
        <v>803</v>
      </c>
      <c r="C8921" s="31" t="s">
        <v>1351</v>
      </c>
      <c r="D8921" s="30" t="s">
        <v>3663</v>
      </c>
      <c r="E8921" s="32">
        <v>46113.0</v>
      </c>
      <c r="F8921" s="32">
        <v>46171.0</v>
      </c>
      <c r="G8921" s="33"/>
    </row>
    <row r="8922" ht="15.75" customHeight="1">
      <c r="A8922" s="26" t="s">
        <v>12586</v>
      </c>
      <c r="B8922" s="27" t="s">
        <v>803</v>
      </c>
      <c r="C8922" s="27" t="s">
        <v>1349</v>
      </c>
      <c r="D8922" s="26" t="s">
        <v>3663</v>
      </c>
      <c r="E8922" s="28">
        <v>46113.0</v>
      </c>
      <c r="F8922" s="28">
        <v>46171.0</v>
      </c>
      <c r="G8922" s="29"/>
    </row>
    <row r="8923" ht="15.75" customHeight="1">
      <c r="A8923" s="30" t="s">
        <v>12587</v>
      </c>
      <c r="B8923" s="31" t="s">
        <v>803</v>
      </c>
      <c r="C8923" s="31" t="s">
        <v>3653</v>
      </c>
      <c r="D8923" s="31" t="s">
        <v>3663</v>
      </c>
      <c r="E8923" s="32">
        <v>46113.0</v>
      </c>
      <c r="F8923" s="32">
        <v>46171.0</v>
      </c>
      <c r="G8923" s="33"/>
    </row>
    <row r="8924" ht="15.75" customHeight="1">
      <c r="A8924" s="26" t="s">
        <v>12588</v>
      </c>
      <c r="B8924" s="27" t="s">
        <v>803</v>
      </c>
      <c r="C8924" s="27" t="s">
        <v>3652</v>
      </c>
      <c r="D8924" s="26" t="s">
        <v>3663</v>
      </c>
      <c r="E8924" s="28">
        <v>46113.0</v>
      </c>
      <c r="F8924" s="28">
        <v>46171.0</v>
      </c>
      <c r="G8924" s="29"/>
    </row>
    <row r="8925" ht="15.75" customHeight="1">
      <c r="A8925" s="30" t="s">
        <v>12589</v>
      </c>
      <c r="B8925" s="31" t="s">
        <v>803</v>
      </c>
      <c r="C8925" s="31" t="s">
        <v>965</v>
      </c>
      <c r="D8925" s="30" t="s">
        <v>3663</v>
      </c>
      <c r="E8925" s="32">
        <v>46113.0</v>
      </c>
      <c r="F8925" s="32">
        <v>46171.0</v>
      </c>
      <c r="G8925" s="33"/>
    </row>
    <row r="8926" ht="15.75" customHeight="1">
      <c r="A8926" s="26" t="s">
        <v>12590</v>
      </c>
      <c r="B8926" s="27" t="s">
        <v>803</v>
      </c>
      <c r="C8926" s="27" t="s">
        <v>923</v>
      </c>
      <c r="D8926" s="26" t="s">
        <v>3663</v>
      </c>
      <c r="E8926" s="28">
        <v>46113.0</v>
      </c>
      <c r="F8926" s="28">
        <v>46171.0</v>
      </c>
      <c r="G8926" s="29"/>
    </row>
    <row r="8927" ht="15.75" customHeight="1">
      <c r="A8927" s="30" t="s">
        <v>12591</v>
      </c>
      <c r="B8927" s="31" t="s">
        <v>803</v>
      </c>
      <c r="C8927" s="31" t="s">
        <v>961</v>
      </c>
      <c r="D8927" s="30" t="s">
        <v>3663</v>
      </c>
      <c r="E8927" s="32">
        <v>46113.0</v>
      </c>
      <c r="F8927" s="32">
        <v>46171.0</v>
      </c>
      <c r="G8927" s="33"/>
    </row>
    <row r="8928" ht="15.75" customHeight="1">
      <c r="A8928" s="26" t="s">
        <v>12592</v>
      </c>
      <c r="B8928" s="27" t="s">
        <v>804</v>
      </c>
      <c r="C8928" s="27" t="s">
        <v>1240</v>
      </c>
      <c r="D8928" s="26" t="s">
        <v>3663</v>
      </c>
      <c r="E8928" s="28">
        <v>46113.0</v>
      </c>
      <c r="F8928" s="28">
        <v>46171.0</v>
      </c>
      <c r="G8928" s="29"/>
    </row>
    <row r="8929" ht="15.75" customHeight="1">
      <c r="A8929" s="30" t="s">
        <v>12593</v>
      </c>
      <c r="B8929" s="31" t="s">
        <v>804</v>
      </c>
      <c r="C8929" s="31" t="s">
        <v>1242</v>
      </c>
      <c r="D8929" s="30" t="s">
        <v>3663</v>
      </c>
      <c r="E8929" s="32">
        <v>46113.0</v>
      </c>
      <c r="F8929" s="32">
        <v>46171.0</v>
      </c>
      <c r="G8929" s="33"/>
    </row>
    <row r="8930" ht="15.75" customHeight="1">
      <c r="A8930" s="26" t="s">
        <v>12594</v>
      </c>
      <c r="B8930" s="27" t="s">
        <v>804</v>
      </c>
      <c r="C8930" s="27" t="s">
        <v>1244</v>
      </c>
      <c r="D8930" s="26" t="s">
        <v>3663</v>
      </c>
      <c r="E8930" s="28">
        <v>46113.0</v>
      </c>
      <c r="F8930" s="28">
        <v>46171.0</v>
      </c>
      <c r="G8930" s="29"/>
    </row>
    <row r="8931" ht="15.75" customHeight="1">
      <c r="A8931" s="30" t="s">
        <v>12595</v>
      </c>
      <c r="B8931" s="31" t="s">
        <v>804</v>
      </c>
      <c r="C8931" s="31" t="s">
        <v>1246</v>
      </c>
      <c r="D8931" s="30" t="s">
        <v>3663</v>
      </c>
      <c r="E8931" s="32">
        <v>46113.0</v>
      </c>
      <c r="F8931" s="32">
        <v>46171.0</v>
      </c>
      <c r="G8931" s="33"/>
    </row>
    <row r="8932" ht="15.75" customHeight="1">
      <c r="A8932" s="26" t="s">
        <v>12596</v>
      </c>
      <c r="B8932" s="27" t="s">
        <v>804</v>
      </c>
      <c r="C8932" s="27" t="s">
        <v>3654</v>
      </c>
      <c r="D8932" s="26" t="s">
        <v>3663</v>
      </c>
      <c r="E8932" s="28">
        <v>46113.0</v>
      </c>
      <c r="F8932" s="28">
        <v>46171.0</v>
      </c>
      <c r="G8932" s="29"/>
    </row>
    <row r="8933" ht="15.75" customHeight="1">
      <c r="A8933" s="30" t="s">
        <v>12597</v>
      </c>
      <c r="B8933" s="31" t="s">
        <v>804</v>
      </c>
      <c r="C8933" s="31" t="s">
        <v>3655</v>
      </c>
      <c r="D8933" s="30" t="s">
        <v>3663</v>
      </c>
      <c r="E8933" s="32">
        <v>46113.0</v>
      </c>
      <c r="F8933" s="32">
        <v>46171.0</v>
      </c>
      <c r="G8933" s="33"/>
    </row>
    <row r="8934" ht="15.75" customHeight="1">
      <c r="A8934" s="26" t="s">
        <v>12598</v>
      </c>
      <c r="B8934" s="27" t="s">
        <v>804</v>
      </c>
      <c r="C8934" s="27" t="s">
        <v>928</v>
      </c>
      <c r="D8934" s="26" t="s">
        <v>3663</v>
      </c>
      <c r="E8934" s="28">
        <v>46113.0</v>
      </c>
      <c r="F8934" s="28">
        <v>46171.0</v>
      </c>
      <c r="G8934" s="29"/>
    </row>
    <row r="8935" ht="15.75" customHeight="1">
      <c r="A8935" s="30" t="s">
        <v>12599</v>
      </c>
      <c r="B8935" s="31" t="s">
        <v>804</v>
      </c>
      <c r="C8935" s="31" t="s">
        <v>1354</v>
      </c>
      <c r="D8935" s="30" t="s">
        <v>3663</v>
      </c>
      <c r="E8935" s="32">
        <v>46113.0</v>
      </c>
      <c r="F8935" s="32">
        <v>46171.0</v>
      </c>
      <c r="G8935" s="33"/>
    </row>
    <row r="8936" ht="15.75" customHeight="1">
      <c r="A8936" s="26" t="s">
        <v>12600</v>
      </c>
      <c r="B8936" s="27" t="s">
        <v>804</v>
      </c>
      <c r="C8936" s="27" t="s">
        <v>1208</v>
      </c>
      <c r="D8936" s="26" t="s">
        <v>3663</v>
      </c>
      <c r="E8936" s="28">
        <v>46113.0</v>
      </c>
      <c r="F8936" s="28">
        <v>46171.0</v>
      </c>
      <c r="G8936" s="29"/>
    </row>
    <row r="8937" ht="15.75" customHeight="1">
      <c r="A8937" s="30" t="s">
        <v>12601</v>
      </c>
      <c r="B8937" s="31" t="s">
        <v>804</v>
      </c>
      <c r="C8937" s="31" t="s">
        <v>1159</v>
      </c>
      <c r="D8937" s="30" t="s">
        <v>3663</v>
      </c>
      <c r="E8937" s="32">
        <v>46113.0</v>
      </c>
      <c r="F8937" s="32">
        <v>46171.0</v>
      </c>
      <c r="G8937" s="33"/>
    </row>
    <row r="8938" ht="15.75" customHeight="1">
      <c r="A8938" s="26" t="s">
        <v>12602</v>
      </c>
      <c r="B8938" s="27" t="s">
        <v>804</v>
      </c>
      <c r="C8938" s="27" t="s">
        <v>3647</v>
      </c>
      <c r="D8938" s="26" t="s">
        <v>3663</v>
      </c>
      <c r="E8938" s="28">
        <v>46113.0</v>
      </c>
      <c r="F8938" s="28">
        <v>46171.0</v>
      </c>
      <c r="G8938" s="29"/>
    </row>
    <row r="8939" ht="15.75" customHeight="1">
      <c r="A8939" s="30" t="s">
        <v>12603</v>
      </c>
      <c r="B8939" s="31" t="s">
        <v>804</v>
      </c>
      <c r="C8939" s="31" t="s">
        <v>952</v>
      </c>
      <c r="D8939" s="30" t="s">
        <v>3663</v>
      </c>
      <c r="E8939" s="32">
        <v>46113.0</v>
      </c>
      <c r="F8939" s="32">
        <v>46171.0</v>
      </c>
      <c r="G8939" s="33"/>
    </row>
    <row r="8940" ht="15.75" customHeight="1">
      <c r="A8940" s="26" t="s">
        <v>12604</v>
      </c>
      <c r="B8940" s="27" t="s">
        <v>804</v>
      </c>
      <c r="C8940" s="27" t="s">
        <v>965</v>
      </c>
      <c r="D8940" s="26" t="s">
        <v>3663</v>
      </c>
      <c r="E8940" s="28">
        <v>46113.0</v>
      </c>
      <c r="F8940" s="28">
        <v>46171.0</v>
      </c>
      <c r="G8940" s="29"/>
    </row>
    <row r="8941" ht="15.75" customHeight="1">
      <c r="A8941" s="30" t="s">
        <v>12605</v>
      </c>
      <c r="B8941" s="31" t="s">
        <v>804</v>
      </c>
      <c r="C8941" s="31" t="s">
        <v>923</v>
      </c>
      <c r="D8941" s="30" t="s">
        <v>3663</v>
      </c>
      <c r="E8941" s="32">
        <v>46113.0</v>
      </c>
      <c r="F8941" s="32">
        <v>46171.0</v>
      </c>
      <c r="G8941" s="33"/>
    </row>
    <row r="8942" ht="15.75" customHeight="1">
      <c r="A8942" s="26" t="s">
        <v>12606</v>
      </c>
      <c r="B8942" s="27" t="s">
        <v>805</v>
      </c>
      <c r="C8942" s="27" t="s">
        <v>928</v>
      </c>
      <c r="D8942" s="26" t="s">
        <v>3663</v>
      </c>
      <c r="E8942" s="28">
        <v>46113.0</v>
      </c>
      <c r="F8942" s="28">
        <v>46171.0</v>
      </c>
      <c r="G8942" s="29"/>
    </row>
    <row r="8943" ht="15.75" customHeight="1">
      <c r="A8943" s="30" t="s">
        <v>12607</v>
      </c>
      <c r="B8943" s="31" t="s">
        <v>805</v>
      </c>
      <c r="C8943" s="31" t="s">
        <v>1354</v>
      </c>
      <c r="D8943" s="30" t="s">
        <v>3663</v>
      </c>
      <c r="E8943" s="32">
        <v>46113.0</v>
      </c>
      <c r="F8943" s="32">
        <v>46171.0</v>
      </c>
      <c r="G8943" s="33"/>
    </row>
    <row r="8944" ht="15.75" customHeight="1">
      <c r="A8944" s="26" t="s">
        <v>12608</v>
      </c>
      <c r="B8944" s="27" t="s">
        <v>805</v>
      </c>
      <c r="C8944" s="27" t="s">
        <v>1222</v>
      </c>
      <c r="D8944" s="26" t="s">
        <v>3663</v>
      </c>
      <c r="E8944" s="28">
        <v>46113.0</v>
      </c>
      <c r="F8944" s="28">
        <v>46171.0</v>
      </c>
      <c r="G8944" s="29"/>
    </row>
    <row r="8945" ht="15.75" customHeight="1">
      <c r="A8945" s="30" t="s">
        <v>12609</v>
      </c>
      <c r="B8945" s="31" t="s">
        <v>805</v>
      </c>
      <c r="C8945" s="31" t="s">
        <v>1224</v>
      </c>
      <c r="D8945" s="30" t="s">
        <v>3663</v>
      </c>
      <c r="E8945" s="32">
        <v>46113.0</v>
      </c>
      <c r="F8945" s="32">
        <v>46171.0</v>
      </c>
      <c r="G8945" s="33"/>
    </row>
    <row r="8946" ht="15.75" customHeight="1">
      <c r="A8946" s="26" t="s">
        <v>12610</v>
      </c>
      <c r="B8946" s="27" t="s">
        <v>805</v>
      </c>
      <c r="C8946" s="27" t="s">
        <v>1226</v>
      </c>
      <c r="D8946" s="26" t="s">
        <v>3663</v>
      </c>
      <c r="E8946" s="28">
        <v>46113.0</v>
      </c>
      <c r="F8946" s="28">
        <v>46171.0</v>
      </c>
      <c r="G8946" s="29"/>
    </row>
    <row r="8947" ht="15.75" customHeight="1">
      <c r="A8947" s="30" t="s">
        <v>12611</v>
      </c>
      <c r="B8947" s="31" t="s">
        <v>805</v>
      </c>
      <c r="C8947" s="31" t="s">
        <v>1228</v>
      </c>
      <c r="D8947" s="30" t="s">
        <v>3663</v>
      </c>
      <c r="E8947" s="32">
        <v>46113.0</v>
      </c>
      <c r="F8947" s="32">
        <v>46171.0</v>
      </c>
      <c r="G8947" s="33"/>
    </row>
    <row r="8948" ht="15.75" customHeight="1">
      <c r="A8948" s="26" t="s">
        <v>12612</v>
      </c>
      <c r="B8948" s="27" t="s">
        <v>805</v>
      </c>
      <c r="C8948" s="27" t="s">
        <v>1218</v>
      </c>
      <c r="D8948" s="26" t="s">
        <v>3663</v>
      </c>
      <c r="E8948" s="28">
        <v>46113.0</v>
      </c>
      <c r="F8948" s="28">
        <v>46171.0</v>
      </c>
      <c r="G8948" s="29"/>
    </row>
    <row r="8949" ht="15.75" customHeight="1">
      <c r="A8949" s="30" t="s">
        <v>12613</v>
      </c>
      <c r="B8949" s="31" t="s">
        <v>805</v>
      </c>
      <c r="C8949" s="31" t="s">
        <v>1271</v>
      </c>
      <c r="D8949" s="30" t="s">
        <v>3663</v>
      </c>
      <c r="E8949" s="32">
        <v>46113.0</v>
      </c>
      <c r="F8949" s="32">
        <v>46171.0</v>
      </c>
      <c r="G8949" s="33"/>
    </row>
    <row r="8950" ht="15.75" customHeight="1">
      <c r="A8950" s="26" t="s">
        <v>12614</v>
      </c>
      <c r="B8950" s="27" t="s">
        <v>805</v>
      </c>
      <c r="C8950" s="27" t="s">
        <v>1351</v>
      </c>
      <c r="D8950" s="26" t="s">
        <v>3663</v>
      </c>
      <c r="E8950" s="28">
        <v>46113.0</v>
      </c>
      <c r="F8950" s="28">
        <v>46171.0</v>
      </c>
      <c r="G8950" s="29"/>
    </row>
    <row r="8951" ht="15.75" customHeight="1">
      <c r="A8951" s="30" t="s">
        <v>12615</v>
      </c>
      <c r="B8951" s="31" t="s">
        <v>805</v>
      </c>
      <c r="C8951" s="31" t="s">
        <v>1349</v>
      </c>
      <c r="D8951" s="30" t="s">
        <v>3663</v>
      </c>
      <c r="E8951" s="32">
        <v>46113.0</v>
      </c>
      <c r="F8951" s="32">
        <v>46171.0</v>
      </c>
      <c r="G8951" s="33"/>
    </row>
    <row r="8952" ht="15.75" customHeight="1">
      <c r="A8952" s="26" t="s">
        <v>12616</v>
      </c>
      <c r="B8952" s="27" t="s">
        <v>805</v>
      </c>
      <c r="C8952" s="27" t="s">
        <v>3653</v>
      </c>
      <c r="D8952" s="27" t="s">
        <v>3663</v>
      </c>
      <c r="E8952" s="28">
        <v>46113.0</v>
      </c>
      <c r="F8952" s="28">
        <v>46171.0</v>
      </c>
      <c r="G8952" s="29"/>
    </row>
    <row r="8953" ht="15.75" customHeight="1">
      <c r="A8953" s="30" t="s">
        <v>12617</v>
      </c>
      <c r="B8953" s="31" t="s">
        <v>805</v>
      </c>
      <c r="C8953" s="31" t="s">
        <v>3652</v>
      </c>
      <c r="D8953" s="30" t="s">
        <v>3663</v>
      </c>
      <c r="E8953" s="32">
        <v>46113.0</v>
      </c>
      <c r="F8953" s="32">
        <v>46171.0</v>
      </c>
      <c r="G8953" s="33"/>
    </row>
    <row r="8954" ht="15.75" customHeight="1">
      <c r="A8954" s="26" t="s">
        <v>12618</v>
      </c>
      <c r="B8954" s="27" t="s">
        <v>805</v>
      </c>
      <c r="C8954" s="27" t="s">
        <v>968</v>
      </c>
      <c r="D8954" s="26" t="s">
        <v>3663</v>
      </c>
      <c r="E8954" s="28">
        <v>46113.0</v>
      </c>
      <c r="F8954" s="28">
        <v>46171.0</v>
      </c>
      <c r="G8954" s="29"/>
    </row>
    <row r="8955" ht="15.75" customHeight="1">
      <c r="A8955" s="30" t="s">
        <v>12619</v>
      </c>
      <c r="B8955" s="31" t="s">
        <v>805</v>
      </c>
      <c r="C8955" s="31" t="s">
        <v>923</v>
      </c>
      <c r="D8955" s="30" t="s">
        <v>3663</v>
      </c>
      <c r="E8955" s="32">
        <v>46113.0</v>
      </c>
      <c r="F8955" s="32">
        <v>46171.0</v>
      </c>
      <c r="G8955" s="33"/>
    </row>
    <row r="8956" ht="15.75" customHeight="1">
      <c r="A8956" s="26" t="s">
        <v>12620</v>
      </c>
      <c r="B8956" s="27" t="s">
        <v>806</v>
      </c>
      <c r="C8956" s="27" t="s">
        <v>932</v>
      </c>
      <c r="D8956" s="26" t="s">
        <v>3663</v>
      </c>
      <c r="E8956" s="28">
        <v>46113.0</v>
      </c>
      <c r="F8956" s="28">
        <v>46171.0</v>
      </c>
      <c r="G8956" s="29"/>
    </row>
    <row r="8957" ht="15.75" customHeight="1">
      <c r="A8957" s="30" t="s">
        <v>12621</v>
      </c>
      <c r="B8957" s="31" t="s">
        <v>806</v>
      </c>
      <c r="C8957" s="31" t="s">
        <v>1164</v>
      </c>
      <c r="D8957" s="30" t="s">
        <v>3663</v>
      </c>
      <c r="E8957" s="32">
        <v>46113.0</v>
      </c>
      <c r="F8957" s="32">
        <v>46171.0</v>
      </c>
      <c r="G8957" s="33"/>
    </row>
    <row r="8958" ht="15.75" customHeight="1">
      <c r="A8958" s="26" t="s">
        <v>12622</v>
      </c>
      <c r="B8958" s="27" t="s">
        <v>806</v>
      </c>
      <c r="C8958" s="27" t="s">
        <v>1166</v>
      </c>
      <c r="D8958" s="26" t="s">
        <v>3663</v>
      </c>
      <c r="E8958" s="28">
        <v>46113.0</v>
      </c>
      <c r="F8958" s="28">
        <v>46171.0</v>
      </c>
      <c r="G8958" s="29"/>
    </row>
    <row r="8959" ht="15.75" customHeight="1">
      <c r="A8959" s="30" t="s">
        <v>12623</v>
      </c>
      <c r="B8959" s="31" t="s">
        <v>806</v>
      </c>
      <c r="C8959" s="31" t="s">
        <v>1168</v>
      </c>
      <c r="D8959" s="30" t="s">
        <v>3663</v>
      </c>
      <c r="E8959" s="32">
        <v>46113.0</v>
      </c>
      <c r="F8959" s="32">
        <v>46171.0</v>
      </c>
      <c r="G8959" s="33"/>
    </row>
    <row r="8960" ht="15.75" customHeight="1">
      <c r="A8960" s="26" t="s">
        <v>12624</v>
      </c>
      <c r="B8960" s="27" t="s">
        <v>806</v>
      </c>
      <c r="C8960" s="27" t="s">
        <v>1170</v>
      </c>
      <c r="D8960" s="26" t="s">
        <v>3663</v>
      </c>
      <c r="E8960" s="28">
        <v>46113.0</v>
      </c>
      <c r="F8960" s="28">
        <v>46171.0</v>
      </c>
      <c r="G8960" s="29"/>
    </row>
    <row r="8961" ht="15.75" customHeight="1">
      <c r="A8961" s="30" t="s">
        <v>12625</v>
      </c>
      <c r="B8961" s="31" t="s">
        <v>806</v>
      </c>
      <c r="C8961" s="31" t="s">
        <v>1354</v>
      </c>
      <c r="D8961" s="30" t="s">
        <v>3663</v>
      </c>
      <c r="E8961" s="32">
        <v>46113.0</v>
      </c>
      <c r="F8961" s="32">
        <v>46171.0</v>
      </c>
      <c r="G8961" s="33"/>
    </row>
    <row r="8962" ht="15.75" customHeight="1">
      <c r="A8962" s="26" t="s">
        <v>12626</v>
      </c>
      <c r="B8962" s="27" t="s">
        <v>806</v>
      </c>
      <c r="C8962" s="27" t="s">
        <v>1172</v>
      </c>
      <c r="D8962" s="26" t="s">
        <v>3663</v>
      </c>
      <c r="E8962" s="28">
        <v>46113.0</v>
      </c>
      <c r="F8962" s="28">
        <v>46171.0</v>
      </c>
      <c r="G8962" s="29"/>
    </row>
    <row r="8963" ht="15.75" customHeight="1">
      <c r="A8963" s="30" t="s">
        <v>12627</v>
      </c>
      <c r="B8963" s="31" t="s">
        <v>806</v>
      </c>
      <c r="C8963" s="31" t="s">
        <v>1159</v>
      </c>
      <c r="D8963" s="30" t="s">
        <v>3663</v>
      </c>
      <c r="E8963" s="32">
        <v>46113.0</v>
      </c>
      <c r="F8963" s="32">
        <v>46171.0</v>
      </c>
      <c r="G8963" s="33"/>
    </row>
    <row r="8964" ht="15.75" customHeight="1">
      <c r="A8964" s="26" t="s">
        <v>12628</v>
      </c>
      <c r="B8964" s="27" t="s">
        <v>806</v>
      </c>
      <c r="C8964" s="27" t="s">
        <v>3656</v>
      </c>
      <c r="D8964" s="26" t="s">
        <v>3663</v>
      </c>
      <c r="E8964" s="28">
        <v>46113.0</v>
      </c>
      <c r="F8964" s="28">
        <v>46171.0</v>
      </c>
      <c r="G8964" s="29"/>
    </row>
    <row r="8965" ht="15.75" customHeight="1">
      <c r="A8965" s="30" t="s">
        <v>12629</v>
      </c>
      <c r="B8965" s="31" t="s">
        <v>806</v>
      </c>
      <c r="C8965" s="31" t="s">
        <v>3657</v>
      </c>
      <c r="D8965" s="30" t="s">
        <v>3663</v>
      </c>
      <c r="E8965" s="32">
        <v>46113.0</v>
      </c>
      <c r="F8965" s="32">
        <v>46171.0</v>
      </c>
      <c r="G8965" s="33"/>
    </row>
    <row r="8966" ht="15.75" customHeight="1">
      <c r="A8966" s="26" t="s">
        <v>12630</v>
      </c>
      <c r="B8966" s="27" t="s">
        <v>806</v>
      </c>
      <c r="C8966" s="27" t="s">
        <v>1351</v>
      </c>
      <c r="D8966" s="26" t="s">
        <v>3663</v>
      </c>
      <c r="E8966" s="28">
        <v>46113.0</v>
      </c>
      <c r="F8966" s="28">
        <v>46171.0</v>
      </c>
      <c r="G8966" s="29"/>
    </row>
    <row r="8967" ht="15.75" customHeight="1">
      <c r="A8967" s="30" t="s">
        <v>12631</v>
      </c>
      <c r="B8967" s="31" t="s">
        <v>806</v>
      </c>
      <c r="C8967" s="31" t="s">
        <v>1349</v>
      </c>
      <c r="D8967" s="30" t="s">
        <v>3663</v>
      </c>
      <c r="E8967" s="32">
        <v>46113.0</v>
      </c>
      <c r="F8967" s="32">
        <v>46171.0</v>
      </c>
      <c r="G8967" s="33"/>
    </row>
    <row r="8968" ht="15.75" customHeight="1">
      <c r="A8968" s="26" t="s">
        <v>12632</v>
      </c>
      <c r="B8968" s="27" t="s">
        <v>806</v>
      </c>
      <c r="C8968" s="27" t="s">
        <v>965</v>
      </c>
      <c r="D8968" s="26" t="s">
        <v>3663</v>
      </c>
      <c r="E8968" s="28">
        <v>46113.0</v>
      </c>
      <c r="F8968" s="28">
        <v>46171.0</v>
      </c>
      <c r="G8968" s="29"/>
    </row>
    <row r="8969" ht="15.75" customHeight="1">
      <c r="A8969" s="30" t="s">
        <v>12633</v>
      </c>
      <c r="B8969" s="31" t="s">
        <v>806</v>
      </c>
      <c r="C8969" s="31" t="s">
        <v>923</v>
      </c>
      <c r="D8969" s="30" t="s">
        <v>3663</v>
      </c>
      <c r="E8969" s="32">
        <v>46113.0</v>
      </c>
      <c r="F8969" s="32">
        <v>46171.0</v>
      </c>
      <c r="G8969" s="33"/>
    </row>
    <row r="8970" ht="15.75" customHeight="1">
      <c r="A8970" s="26" t="s">
        <v>12634</v>
      </c>
      <c r="B8970" s="27" t="s">
        <v>807</v>
      </c>
      <c r="C8970" s="27" t="s">
        <v>928</v>
      </c>
      <c r="D8970" s="26" t="s">
        <v>3663</v>
      </c>
      <c r="E8970" s="28">
        <v>46113.0</v>
      </c>
      <c r="F8970" s="28">
        <v>46171.0</v>
      </c>
      <c r="G8970" s="29"/>
    </row>
    <row r="8971" ht="15.75" customHeight="1">
      <c r="A8971" s="30" t="s">
        <v>12635</v>
      </c>
      <c r="B8971" s="31" t="s">
        <v>807</v>
      </c>
      <c r="C8971" s="31" t="s">
        <v>1354</v>
      </c>
      <c r="D8971" s="30" t="s">
        <v>3663</v>
      </c>
      <c r="E8971" s="32">
        <v>46113.0</v>
      </c>
      <c r="F8971" s="32">
        <v>46171.0</v>
      </c>
      <c r="G8971" s="33"/>
    </row>
    <row r="8972" ht="15.75" customHeight="1">
      <c r="A8972" s="26" t="s">
        <v>12636</v>
      </c>
      <c r="B8972" s="27" t="s">
        <v>807</v>
      </c>
      <c r="C8972" s="27" t="s">
        <v>1222</v>
      </c>
      <c r="D8972" s="26" t="s">
        <v>3663</v>
      </c>
      <c r="E8972" s="28">
        <v>46113.0</v>
      </c>
      <c r="F8972" s="28">
        <v>46171.0</v>
      </c>
      <c r="G8972" s="29"/>
    </row>
    <row r="8973" ht="15.75" customHeight="1">
      <c r="A8973" s="30" t="s">
        <v>12637</v>
      </c>
      <c r="B8973" s="31" t="s">
        <v>807</v>
      </c>
      <c r="C8973" s="31" t="s">
        <v>1224</v>
      </c>
      <c r="D8973" s="30" t="s">
        <v>3663</v>
      </c>
      <c r="E8973" s="32">
        <v>46113.0</v>
      </c>
      <c r="F8973" s="32">
        <v>46171.0</v>
      </c>
      <c r="G8973" s="33"/>
    </row>
    <row r="8974" ht="15.75" customHeight="1">
      <c r="A8974" s="26" t="s">
        <v>12638</v>
      </c>
      <c r="B8974" s="27" t="s">
        <v>807</v>
      </c>
      <c r="C8974" s="27" t="s">
        <v>1226</v>
      </c>
      <c r="D8974" s="26" t="s">
        <v>3663</v>
      </c>
      <c r="E8974" s="28">
        <v>46113.0</v>
      </c>
      <c r="F8974" s="28">
        <v>46171.0</v>
      </c>
      <c r="G8974" s="29"/>
    </row>
    <row r="8975" ht="15.75" customHeight="1">
      <c r="A8975" s="30" t="s">
        <v>12639</v>
      </c>
      <c r="B8975" s="31" t="s">
        <v>807</v>
      </c>
      <c r="C8975" s="31" t="s">
        <v>1228</v>
      </c>
      <c r="D8975" s="30" t="s">
        <v>3663</v>
      </c>
      <c r="E8975" s="32">
        <v>46113.0</v>
      </c>
      <c r="F8975" s="32">
        <v>46171.0</v>
      </c>
      <c r="G8975" s="33"/>
    </row>
    <row r="8976" ht="15.75" customHeight="1">
      <c r="A8976" s="26" t="s">
        <v>12640</v>
      </c>
      <c r="B8976" s="27" t="s">
        <v>807</v>
      </c>
      <c r="C8976" s="27" t="s">
        <v>1159</v>
      </c>
      <c r="D8976" s="26" t="s">
        <v>3663</v>
      </c>
      <c r="E8976" s="28">
        <v>46113.0</v>
      </c>
      <c r="F8976" s="28">
        <v>46171.0</v>
      </c>
      <c r="G8976" s="29"/>
    </row>
    <row r="8977" ht="15.75" customHeight="1">
      <c r="A8977" s="30" t="s">
        <v>12641</v>
      </c>
      <c r="B8977" s="31" t="s">
        <v>807</v>
      </c>
      <c r="C8977" s="31" t="s">
        <v>1216</v>
      </c>
      <c r="D8977" s="30" t="s">
        <v>3663</v>
      </c>
      <c r="E8977" s="32">
        <v>46113.0</v>
      </c>
      <c r="F8977" s="32">
        <v>46171.0</v>
      </c>
      <c r="G8977" s="33"/>
    </row>
    <row r="8978" ht="15.75" customHeight="1">
      <c r="A8978" s="26" t="s">
        <v>12642</v>
      </c>
      <c r="B8978" s="27" t="s">
        <v>807</v>
      </c>
      <c r="C8978" s="27" t="s">
        <v>1351</v>
      </c>
      <c r="D8978" s="26" t="s">
        <v>3663</v>
      </c>
      <c r="E8978" s="28">
        <v>46113.0</v>
      </c>
      <c r="F8978" s="28">
        <v>46171.0</v>
      </c>
      <c r="G8978" s="29"/>
    </row>
    <row r="8979" ht="15.75" customHeight="1">
      <c r="A8979" s="30" t="s">
        <v>12643</v>
      </c>
      <c r="B8979" s="31" t="s">
        <v>807</v>
      </c>
      <c r="C8979" s="31" t="s">
        <v>1349</v>
      </c>
      <c r="D8979" s="30" t="s">
        <v>3663</v>
      </c>
      <c r="E8979" s="32">
        <v>46113.0</v>
      </c>
      <c r="F8979" s="32">
        <v>46171.0</v>
      </c>
      <c r="G8979" s="33"/>
    </row>
    <row r="8980" ht="15.75" customHeight="1">
      <c r="A8980" s="26" t="s">
        <v>12644</v>
      </c>
      <c r="B8980" s="27" t="s">
        <v>807</v>
      </c>
      <c r="C8980" s="27" t="s">
        <v>3653</v>
      </c>
      <c r="D8980" s="27" t="s">
        <v>3663</v>
      </c>
      <c r="E8980" s="28">
        <v>46113.0</v>
      </c>
      <c r="F8980" s="28">
        <v>46171.0</v>
      </c>
      <c r="G8980" s="29"/>
    </row>
    <row r="8981" ht="15.75" customHeight="1">
      <c r="A8981" s="30" t="s">
        <v>12645</v>
      </c>
      <c r="B8981" s="31" t="s">
        <v>807</v>
      </c>
      <c r="C8981" s="31" t="s">
        <v>3652</v>
      </c>
      <c r="D8981" s="30" t="s">
        <v>3663</v>
      </c>
      <c r="E8981" s="32">
        <v>46113.0</v>
      </c>
      <c r="F8981" s="32">
        <v>46171.0</v>
      </c>
      <c r="G8981" s="33"/>
    </row>
    <row r="8982" ht="15.75" customHeight="1">
      <c r="A8982" s="26" t="s">
        <v>12646</v>
      </c>
      <c r="B8982" s="27" t="s">
        <v>807</v>
      </c>
      <c r="C8982" s="27" t="s">
        <v>968</v>
      </c>
      <c r="D8982" s="26" t="s">
        <v>3663</v>
      </c>
      <c r="E8982" s="28">
        <v>46113.0</v>
      </c>
      <c r="F8982" s="28">
        <v>46171.0</v>
      </c>
      <c r="G8982" s="29"/>
    </row>
    <row r="8983" ht="15.75" customHeight="1">
      <c r="A8983" s="30" t="s">
        <v>12647</v>
      </c>
      <c r="B8983" s="31" t="s">
        <v>807</v>
      </c>
      <c r="C8983" s="31" t="s">
        <v>923</v>
      </c>
      <c r="D8983" s="30" t="s">
        <v>3663</v>
      </c>
      <c r="E8983" s="32">
        <v>46113.0</v>
      </c>
      <c r="F8983" s="32">
        <v>46171.0</v>
      </c>
      <c r="G8983" s="33"/>
    </row>
    <row r="8984" ht="15.75" customHeight="1">
      <c r="A8984" s="26" t="s">
        <v>12648</v>
      </c>
      <c r="B8984" s="27" t="s">
        <v>808</v>
      </c>
      <c r="C8984" s="27" t="s">
        <v>930</v>
      </c>
      <c r="D8984" s="26" t="s">
        <v>3663</v>
      </c>
      <c r="E8984" s="28">
        <v>46113.0</v>
      </c>
      <c r="F8984" s="28">
        <v>46171.0</v>
      </c>
      <c r="G8984" s="29"/>
    </row>
    <row r="8985" ht="15.75" customHeight="1">
      <c r="A8985" s="30" t="s">
        <v>12649</v>
      </c>
      <c r="B8985" s="31" t="s">
        <v>808</v>
      </c>
      <c r="C8985" s="31" t="s">
        <v>1354</v>
      </c>
      <c r="D8985" s="30" t="s">
        <v>3663</v>
      </c>
      <c r="E8985" s="32">
        <v>46113.0</v>
      </c>
      <c r="F8985" s="32">
        <v>46171.0</v>
      </c>
      <c r="G8985" s="33"/>
    </row>
    <row r="8986" ht="15.75" customHeight="1">
      <c r="A8986" s="26" t="s">
        <v>12650</v>
      </c>
      <c r="B8986" s="27" t="s">
        <v>808</v>
      </c>
      <c r="C8986" s="27" t="s">
        <v>3641</v>
      </c>
      <c r="D8986" s="26" t="s">
        <v>3663</v>
      </c>
      <c r="E8986" s="28">
        <v>46113.0</v>
      </c>
      <c r="F8986" s="28">
        <v>46171.0</v>
      </c>
      <c r="G8986" s="29"/>
    </row>
    <row r="8987" ht="15.75" customHeight="1">
      <c r="A8987" s="30" t="s">
        <v>12651</v>
      </c>
      <c r="B8987" s="31" t="s">
        <v>808</v>
      </c>
      <c r="C8987" s="31" t="s">
        <v>1304</v>
      </c>
      <c r="D8987" s="30" t="s">
        <v>3663</v>
      </c>
      <c r="E8987" s="32">
        <v>46113.0</v>
      </c>
      <c r="F8987" s="32">
        <v>46171.0</v>
      </c>
      <c r="G8987" s="33"/>
    </row>
    <row r="8988" ht="15.75" customHeight="1">
      <c r="A8988" s="26" t="s">
        <v>12652</v>
      </c>
      <c r="B8988" s="27" t="s">
        <v>808</v>
      </c>
      <c r="C8988" s="27" t="s">
        <v>3642</v>
      </c>
      <c r="D8988" s="26" t="s">
        <v>3663</v>
      </c>
      <c r="E8988" s="28">
        <v>46113.0</v>
      </c>
      <c r="F8988" s="28">
        <v>46171.0</v>
      </c>
      <c r="G8988" s="29"/>
    </row>
    <row r="8989" ht="15.75" customHeight="1">
      <c r="A8989" s="30" t="s">
        <v>12653</v>
      </c>
      <c r="B8989" s="31" t="s">
        <v>808</v>
      </c>
      <c r="C8989" s="31" t="s">
        <v>1308</v>
      </c>
      <c r="D8989" s="30" t="s">
        <v>3663</v>
      </c>
      <c r="E8989" s="32">
        <v>46113.0</v>
      </c>
      <c r="F8989" s="32">
        <v>46171.0</v>
      </c>
      <c r="G8989" s="33"/>
    </row>
    <row r="8990" ht="15.75" customHeight="1">
      <c r="A8990" s="26" t="s">
        <v>12654</v>
      </c>
      <c r="B8990" s="27" t="s">
        <v>808</v>
      </c>
      <c r="C8990" s="27" t="s">
        <v>3605</v>
      </c>
      <c r="D8990" s="26" t="s">
        <v>3663</v>
      </c>
      <c r="E8990" s="28">
        <v>46113.0</v>
      </c>
      <c r="F8990" s="28">
        <v>46171.0</v>
      </c>
      <c r="G8990" s="29"/>
    </row>
    <row r="8991" ht="15.75" customHeight="1">
      <c r="A8991" s="30" t="s">
        <v>12655</v>
      </c>
      <c r="B8991" s="31" t="s">
        <v>808</v>
      </c>
      <c r="C8991" s="31" t="s">
        <v>1216</v>
      </c>
      <c r="D8991" s="30" t="s">
        <v>3663</v>
      </c>
      <c r="E8991" s="32">
        <v>46113.0</v>
      </c>
      <c r="F8991" s="32">
        <v>46171.0</v>
      </c>
      <c r="G8991" s="33"/>
    </row>
    <row r="8992" ht="15.75" customHeight="1">
      <c r="A8992" s="26" t="s">
        <v>12656</v>
      </c>
      <c r="B8992" s="27" t="s">
        <v>808</v>
      </c>
      <c r="C8992" s="27" t="s">
        <v>1351</v>
      </c>
      <c r="D8992" s="26" t="s">
        <v>3663</v>
      </c>
      <c r="E8992" s="28">
        <v>46113.0</v>
      </c>
      <c r="F8992" s="28">
        <v>46171.0</v>
      </c>
      <c r="G8992" s="29"/>
    </row>
    <row r="8993" ht="15.75" customHeight="1">
      <c r="A8993" s="30" t="s">
        <v>12657</v>
      </c>
      <c r="B8993" s="31" t="s">
        <v>808</v>
      </c>
      <c r="C8993" s="31" t="s">
        <v>1349</v>
      </c>
      <c r="D8993" s="30" t="s">
        <v>3663</v>
      </c>
      <c r="E8993" s="32">
        <v>46113.0</v>
      </c>
      <c r="F8993" s="32">
        <v>46171.0</v>
      </c>
      <c r="G8993" s="33"/>
    </row>
    <row r="8994" ht="15.75" customHeight="1">
      <c r="A8994" s="26" t="s">
        <v>12658</v>
      </c>
      <c r="B8994" s="27" t="s">
        <v>808</v>
      </c>
      <c r="C8994" s="27" t="s">
        <v>3653</v>
      </c>
      <c r="D8994" s="26" t="s">
        <v>3663</v>
      </c>
      <c r="E8994" s="28">
        <v>46113.0</v>
      </c>
      <c r="F8994" s="28">
        <v>46171.0</v>
      </c>
      <c r="G8994" s="29"/>
    </row>
    <row r="8995" ht="15.75" customHeight="1">
      <c r="A8995" s="30" t="s">
        <v>12659</v>
      </c>
      <c r="B8995" s="31" t="s">
        <v>808</v>
      </c>
      <c r="C8995" s="31" t="s">
        <v>3652</v>
      </c>
      <c r="D8995" s="30" t="s">
        <v>3663</v>
      </c>
      <c r="E8995" s="32">
        <v>46113.0</v>
      </c>
      <c r="F8995" s="32">
        <v>46171.0</v>
      </c>
      <c r="G8995" s="33"/>
    </row>
    <row r="8996" ht="15.75" customHeight="1">
      <c r="A8996" s="26" t="s">
        <v>12660</v>
      </c>
      <c r="B8996" s="27" t="s">
        <v>808</v>
      </c>
      <c r="C8996" s="27" t="s">
        <v>968</v>
      </c>
      <c r="D8996" s="26" t="s">
        <v>3663</v>
      </c>
      <c r="E8996" s="28">
        <v>46113.0</v>
      </c>
      <c r="F8996" s="28">
        <v>46171.0</v>
      </c>
      <c r="G8996" s="29"/>
    </row>
    <row r="8997" ht="15.75" customHeight="1">
      <c r="A8997" s="30" t="s">
        <v>12661</v>
      </c>
      <c r="B8997" s="31" t="s">
        <v>808</v>
      </c>
      <c r="C8997" s="31" t="s">
        <v>923</v>
      </c>
      <c r="D8997" s="30" t="s">
        <v>3663</v>
      </c>
      <c r="E8997" s="32">
        <v>46113.0</v>
      </c>
      <c r="F8997" s="32">
        <v>46171.0</v>
      </c>
      <c r="G8997" s="33"/>
    </row>
    <row r="8998" ht="15.75" customHeight="1">
      <c r="A8998" s="26" t="s">
        <v>12662</v>
      </c>
      <c r="B8998" s="27" t="s">
        <v>810</v>
      </c>
      <c r="C8998" s="27" t="s">
        <v>1240</v>
      </c>
      <c r="D8998" s="26" t="s">
        <v>3663</v>
      </c>
      <c r="E8998" s="28">
        <v>46113.0</v>
      </c>
      <c r="F8998" s="28">
        <v>46171.0</v>
      </c>
      <c r="G8998" s="29"/>
    </row>
    <row r="8999" ht="15.75" customHeight="1">
      <c r="A8999" s="30" t="s">
        <v>12663</v>
      </c>
      <c r="B8999" s="31" t="s">
        <v>810</v>
      </c>
      <c r="C8999" s="31" t="s">
        <v>1242</v>
      </c>
      <c r="D8999" s="30" t="s">
        <v>3663</v>
      </c>
      <c r="E8999" s="32">
        <v>46113.0</v>
      </c>
      <c r="F8999" s="32">
        <v>46171.0</v>
      </c>
      <c r="G8999" s="33"/>
    </row>
    <row r="9000" ht="15.75" customHeight="1">
      <c r="A9000" s="26" t="s">
        <v>12664</v>
      </c>
      <c r="B9000" s="27" t="s">
        <v>810</v>
      </c>
      <c r="C9000" s="27" t="s">
        <v>1244</v>
      </c>
      <c r="D9000" s="26" t="s">
        <v>3663</v>
      </c>
      <c r="E9000" s="28">
        <v>46113.0</v>
      </c>
      <c r="F9000" s="28">
        <v>46171.0</v>
      </c>
      <c r="G9000" s="29"/>
    </row>
    <row r="9001" ht="15.75" customHeight="1">
      <c r="A9001" s="30" t="s">
        <v>12665</v>
      </c>
      <c r="B9001" s="31" t="s">
        <v>810</v>
      </c>
      <c r="C9001" s="31" t="s">
        <v>1246</v>
      </c>
      <c r="D9001" s="30" t="s">
        <v>3663</v>
      </c>
      <c r="E9001" s="32">
        <v>46113.0</v>
      </c>
      <c r="F9001" s="32">
        <v>46171.0</v>
      </c>
      <c r="G9001" s="33"/>
    </row>
    <row r="9002" ht="15.75" customHeight="1">
      <c r="A9002" s="26" t="s">
        <v>12666</v>
      </c>
      <c r="B9002" s="27" t="s">
        <v>810</v>
      </c>
      <c r="C9002" s="27" t="s">
        <v>934</v>
      </c>
      <c r="D9002" s="26" t="s">
        <v>3663</v>
      </c>
      <c r="E9002" s="28">
        <v>46113.0</v>
      </c>
      <c r="F9002" s="28">
        <v>46171.0</v>
      </c>
      <c r="G9002" s="29"/>
    </row>
    <row r="9003" ht="15.75" customHeight="1">
      <c r="A9003" s="30" t="s">
        <v>12667</v>
      </c>
      <c r="B9003" s="31" t="s">
        <v>810</v>
      </c>
      <c r="C9003" s="31" t="s">
        <v>1354</v>
      </c>
      <c r="D9003" s="30" t="s">
        <v>3663</v>
      </c>
      <c r="E9003" s="32">
        <v>46113.0</v>
      </c>
      <c r="F9003" s="32">
        <v>46171.0</v>
      </c>
      <c r="G9003" s="33"/>
    </row>
    <row r="9004" ht="15.75" customHeight="1">
      <c r="A9004" s="26" t="s">
        <v>12668</v>
      </c>
      <c r="B9004" s="27" t="s">
        <v>810</v>
      </c>
      <c r="C9004" s="27" t="s">
        <v>1312</v>
      </c>
      <c r="D9004" s="26" t="s">
        <v>3663</v>
      </c>
      <c r="E9004" s="28">
        <v>46113.0</v>
      </c>
      <c r="F9004" s="28">
        <v>46171.0</v>
      </c>
      <c r="G9004" s="29"/>
    </row>
    <row r="9005" ht="15.75" customHeight="1">
      <c r="A9005" s="30" t="s">
        <v>12669</v>
      </c>
      <c r="B9005" s="31" t="s">
        <v>810</v>
      </c>
      <c r="C9005" s="31" t="s">
        <v>1190</v>
      </c>
      <c r="D9005" s="30" t="s">
        <v>3663</v>
      </c>
      <c r="E9005" s="32">
        <v>46113.0</v>
      </c>
      <c r="F9005" s="32">
        <v>46171.0</v>
      </c>
      <c r="G9005" s="33"/>
    </row>
    <row r="9006" ht="15.75" customHeight="1">
      <c r="A9006" s="26" t="s">
        <v>12670</v>
      </c>
      <c r="B9006" s="27" t="s">
        <v>810</v>
      </c>
      <c r="C9006" s="27" t="s">
        <v>3656</v>
      </c>
      <c r="D9006" s="26" t="s">
        <v>3663</v>
      </c>
      <c r="E9006" s="28">
        <v>46113.0</v>
      </c>
      <c r="F9006" s="28">
        <v>46171.0</v>
      </c>
      <c r="G9006" s="29"/>
    </row>
    <row r="9007" ht="15.75" customHeight="1">
      <c r="A9007" s="30" t="s">
        <v>12671</v>
      </c>
      <c r="B9007" s="31" t="s">
        <v>810</v>
      </c>
      <c r="C9007" s="31" t="s">
        <v>3657</v>
      </c>
      <c r="D9007" s="30" t="s">
        <v>3663</v>
      </c>
      <c r="E9007" s="32">
        <v>46113.0</v>
      </c>
      <c r="F9007" s="32">
        <v>46171.0</v>
      </c>
      <c r="G9007" s="33"/>
    </row>
    <row r="9008" ht="15.75" customHeight="1">
      <c r="A9008" s="26" t="s">
        <v>12672</v>
      </c>
      <c r="B9008" s="27" t="s">
        <v>810</v>
      </c>
      <c r="C9008" s="27" t="s">
        <v>1351</v>
      </c>
      <c r="D9008" s="26" t="s">
        <v>3663</v>
      </c>
      <c r="E9008" s="28">
        <v>46113.0</v>
      </c>
      <c r="F9008" s="28">
        <v>46171.0</v>
      </c>
      <c r="G9008" s="29"/>
    </row>
    <row r="9009" ht="15.75" customHeight="1">
      <c r="A9009" s="30" t="s">
        <v>12673</v>
      </c>
      <c r="B9009" s="31" t="s">
        <v>810</v>
      </c>
      <c r="C9009" s="31" t="s">
        <v>1349</v>
      </c>
      <c r="D9009" s="30" t="s">
        <v>3663</v>
      </c>
      <c r="E9009" s="32">
        <v>46113.0</v>
      </c>
      <c r="F9009" s="32">
        <v>46171.0</v>
      </c>
      <c r="G9009" s="33"/>
    </row>
    <row r="9010" ht="15.75" customHeight="1">
      <c r="A9010" s="26" t="s">
        <v>12674</v>
      </c>
      <c r="B9010" s="27" t="s">
        <v>810</v>
      </c>
      <c r="C9010" s="27" t="s">
        <v>968</v>
      </c>
      <c r="D9010" s="26" t="s">
        <v>3663</v>
      </c>
      <c r="E9010" s="28">
        <v>46113.0</v>
      </c>
      <c r="F9010" s="28">
        <v>46171.0</v>
      </c>
      <c r="G9010" s="29"/>
    </row>
    <row r="9011" ht="15.75" customHeight="1">
      <c r="A9011" s="30" t="s">
        <v>12675</v>
      </c>
      <c r="B9011" s="31" t="s">
        <v>810</v>
      </c>
      <c r="C9011" s="31" t="s">
        <v>923</v>
      </c>
      <c r="D9011" s="30" t="s">
        <v>3663</v>
      </c>
      <c r="E9011" s="32">
        <v>46113.0</v>
      </c>
      <c r="F9011" s="32">
        <v>46171.0</v>
      </c>
      <c r="G9011" s="33"/>
    </row>
    <row r="9012" ht="15.75" customHeight="1">
      <c r="A9012" s="26" t="s">
        <v>12676</v>
      </c>
      <c r="B9012" s="27" t="s">
        <v>811</v>
      </c>
      <c r="C9012" s="27" t="s">
        <v>930</v>
      </c>
      <c r="D9012" s="26" t="s">
        <v>3663</v>
      </c>
      <c r="E9012" s="28">
        <v>46113.0</v>
      </c>
      <c r="F9012" s="28">
        <v>46171.0</v>
      </c>
      <c r="G9012" s="29"/>
    </row>
    <row r="9013" ht="15.75" customHeight="1">
      <c r="A9013" s="30" t="s">
        <v>12677</v>
      </c>
      <c r="B9013" s="31" t="s">
        <v>811</v>
      </c>
      <c r="C9013" s="31" t="s">
        <v>1354</v>
      </c>
      <c r="D9013" s="30" t="s">
        <v>3663</v>
      </c>
      <c r="E9013" s="32">
        <v>46113.0</v>
      </c>
      <c r="F9013" s="32">
        <v>46171.0</v>
      </c>
      <c r="G9013" s="33"/>
    </row>
    <row r="9014" ht="15.75" customHeight="1">
      <c r="A9014" s="26" t="s">
        <v>12678</v>
      </c>
      <c r="B9014" s="27" t="s">
        <v>811</v>
      </c>
      <c r="C9014" s="27" t="s">
        <v>1216</v>
      </c>
      <c r="D9014" s="26" t="s">
        <v>3663</v>
      </c>
      <c r="E9014" s="28">
        <v>46113.0</v>
      </c>
      <c r="F9014" s="28">
        <v>46171.0</v>
      </c>
      <c r="G9014" s="29"/>
    </row>
    <row r="9015" ht="15.75" customHeight="1">
      <c r="A9015" s="30" t="s">
        <v>12679</v>
      </c>
      <c r="B9015" s="31" t="s">
        <v>811</v>
      </c>
      <c r="C9015" s="31" t="s">
        <v>1157</v>
      </c>
      <c r="D9015" s="30" t="s">
        <v>3663</v>
      </c>
      <c r="E9015" s="32">
        <v>46113.0</v>
      </c>
      <c r="F9015" s="32">
        <v>46171.0</v>
      </c>
      <c r="G9015" s="33"/>
    </row>
    <row r="9016" ht="15.75" customHeight="1">
      <c r="A9016" s="26" t="s">
        <v>12680</v>
      </c>
      <c r="B9016" s="27" t="s">
        <v>811</v>
      </c>
      <c r="C9016" s="27" t="s">
        <v>1155</v>
      </c>
      <c r="D9016" s="26" t="s">
        <v>3663</v>
      </c>
      <c r="E9016" s="28">
        <v>46113.0</v>
      </c>
      <c r="F9016" s="28">
        <v>46171.0</v>
      </c>
      <c r="G9016" s="29"/>
    </row>
    <row r="9017" ht="15.75" customHeight="1">
      <c r="A9017" s="30" t="s">
        <v>12681</v>
      </c>
      <c r="B9017" s="31" t="s">
        <v>811</v>
      </c>
      <c r="C9017" s="31" t="s">
        <v>1153</v>
      </c>
      <c r="D9017" s="30" t="s">
        <v>3663</v>
      </c>
      <c r="E9017" s="32">
        <v>46113.0</v>
      </c>
      <c r="F9017" s="32">
        <v>46171.0</v>
      </c>
      <c r="G9017" s="33"/>
    </row>
    <row r="9018" ht="15.75" customHeight="1">
      <c r="A9018" s="26" t="s">
        <v>12682</v>
      </c>
      <c r="B9018" s="27" t="s">
        <v>811</v>
      </c>
      <c r="C9018" s="27" t="s">
        <v>1149</v>
      </c>
      <c r="D9018" s="26" t="s">
        <v>3663</v>
      </c>
      <c r="E9018" s="28">
        <v>46113.0</v>
      </c>
      <c r="F9018" s="28">
        <v>46171.0</v>
      </c>
      <c r="G9018" s="29"/>
    </row>
    <row r="9019" ht="15.75" customHeight="1">
      <c r="A9019" s="30" t="s">
        <v>12683</v>
      </c>
      <c r="B9019" s="31" t="s">
        <v>811</v>
      </c>
      <c r="C9019" s="31" t="s">
        <v>1351</v>
      </c>
      <c r="D9019" s="30" t="s">
        <v>3663</v>
      </c>
      <c r="E9019" s="32">
        <v>46113.0</v>
      </c>
      <c r="F9019" s="32">
        <v>46171.0</v>
      </c>
      <c r="G9019" s="33"/>
    </row>
    <row r="9020" ht="15.75" customHeight="1">
      <c r="A9020" s="26" t="s">
        <v>12684</v>
      </c>
      <c r="B9020" s="27" t="s">
        <v>811</v>
      </c>
      <c r="C9020" s="27" t="s">
        <v>1349</v>
      </c>
      <c r="D9020" s="26" t="s">
        <v>3663</v>
      </c>
      <c r="E9020" s="28">
        <v>46113.0</v>
      </c>
      <c r="F9020" s="28">
        <v>46171.0</v>
      </c>
      <c r="G9020" s="29"/>
    </row>
    <row r="9021" ht="15.75" customHeight="1">
      <c r="A9021" s="30" t="s">
        <v>12685</v>
      </c>
      <c r="B9021" s="31" t="s">
        <v>811</v>
      </c>
      <c r="C9021" s="31" t="s">
        <v>3653</v>
      </c>
      <c r="D9021" s="30" t="s">
        <v>3663</v>
      </c>
      <c r="E9021" s="32">
        <v>46113.0</v>
      </c>
      <c r="F9021" s="32">
        <v>46171.0</v>
      </c>
      <c r="G9021" s="33"/>
    </row>
    <row r="9022" ht="15.75" customHeight="1">
      <c r="A9022" s="26" t="s">
        <v>12686</v>
      </c>
      <c r="B9022" s="27" t="s">
        <v>811</v>
      </c>
      <c r="C9022" s="27" t="s">
        <v>3652</v>
      </c>
      <c r="D9022" s="26" t="s">
        <v>3663</v>
      </c>
      <c r="E9022" s="28">
        <v>46113.0</v>
      </c>
      <c r="F9022" s="28">
        <v>46171.0</v>
      </c>
      <c r="G9022" s="29"/>
    </row>
    <row r="9023" ht="15.75" customHeight="1">
      <c r="A9023" s="30" t="s">
        <v>12687</v>
      </c>
      <c r="B9023" s="31" t="s">
        <v>811</v>
      </c>
      <c r="C9023" s="31" t="s">
        <v>965</v>
      </c>
      <c r="D9023" s="30" t="s">
        <v>3663</v>
      </c>
      <c r="E9023" s="32">
        <v>46113.0</v>
      </c>
      <c r="F9023" s="32">
        <v>46171.0</v>
      </c>
      <c r="G9023" s="33"/>
    </row>
    <row r="9024" ht="15.75" customHeight="1">
      <c r="A9024" s="26" t="s">
        <v>12688</v>
      </c>
      <c r="B9024" s="27" t="s">
        <v>811</v>
      </c>
      <c r="C9024" s="27" t="s">
        <v>923</v>
      </c>
      <c r="D9024" s="26" t="s">
        <v>3663</v>
      </c>
      <c r="E9024" s="28">
        <v>46113.0</v>
      </c>
      <c r="F9024" s="28">
        <v>46171.0</v>
      </c>
      <c r="G9024" s="29"/>
    </row>
    <row r="9025" ht="15.75" customHeight="1">
      <c r="A9025" s="30" t="s">
        <v>12689</v>
      </c>
      <c r="B9025" s="31" t="s">
        <v>811</v>
      </c>
      <c r="C9025" s="31" t="s">
        <v>963</v>
      </c>
      <c r="D9025" s="30" t="s">
        <v>3663</v>
      </c>
      <c r="E9025" s="32">
        <v>46113.0</v>
      </c>
      <c r="F9025" s="32">
        <v>46171.0</v>
      </c>
      <c r="G9025" s="33"/>
    </row>
    <row r="9026" ht="15.75" customHeight="1">
      <c r="A9026" s="26" t="s">
        <v>12690</v>
      </c>
      <c r="B9026" s="27" t="s">
        <v>812</v>
      </c>
      <c r="C9026" s="27" t="s">
        <v>3654</v>
      </c>
      <c r="D9026" s="26" t="s">
        <v>3663</v>
      </c>
      <c r="E9026" s="28">
        <v>46113.0</v>
      </c>
      <c r="F9026" s="28">
        <v>46171.0</v>
      </c>
      <c r="G9026" s="29"/>
    </row>
    <row r="9027" ht="15.75" customHeight="1">
      <c r="A9027" s="30" t="s">
        <v>12691</v>
      </c>
      <c r="B9027" s="31" t="s">
        <v>812</v>
      </c>
      <c r="C9027" s="31" t="s">
        <v>3655</v>
      </c>
      <c r="D9027" s="30" t="s">
        <v>3663</v>
      </c>
      <c r="E9027" s="32">
        <v>46113.0</v>
      </c>
      <c r="F9027" s="32">
        <v>46171.0</v>
      </c>
      <c r="G9027" s="33"/>
    </row>
    <row r="9028" ht="15.75" customHeight="1">
      <c r="A9028" s="26" t="s">
        <v>12692</v>
      </c>
      <c r="B9028" s="27" t="s">
        <v>812</v>
      </c>
      <c r="C9028" s="27" t="s">
        <v>928</v>
      </c>
      <c r="D9028" s="26" t="s">
        <v>3663</v>
      </c>
      <c r="E9028" s="28">
        <v>46113.0</v>
      </c>
      <c r="F9028" s="28">
        <v>46171.0</v>
      </c>
      <c r="G9028" s="29"/>
    </row>
    <row r="9029" ht="15.75" customHeight="1">
      <c r="A9029" s="30" t="s">
        <v>12693</v>
      </c>
      <c r="B9029" s="31" t="s">
        <v>812</v>
      </c>
      <c r="C9029" s="31" t="s">
        <v>1354</v>
      </c>
      <c r="D9029" s="30" t="s">
        <v>3663</v>
      </c>
      <c r="E9029" s="32">
        <v>46113.0</v>
      </c>
      <c r="F9029" s="32">
        <v>46171.0</v>
      </c>
      <c r="G9029" s="33"/>
    </row>
    <row r="9030" ht="15.75" customHeight="1">
      <c r="A9030" s="26" t="s">
        <v>12694</v>
      </c>
      <c r="B9030" s="27" t="s">
        <v>812</v>
      </c>
      <c r="C9030" s="27" t="s">
        <v>1222</v>
      </c>
      <c r="D9030" s="26" t="s">
        <v>3663</v>
      </c>
      <c r="E9030" s="28">
        <v>46113.0</v>
      </c>
      <c r="F9030" s="28">
        <v>46171.0</v>
      </c>
      <c r="G9030" s="29"/>
    </row>
    <row r="9031" ht="15.75" customHeight="1">
      <c r="A9031" s="30" t="s">
        <v>12695</v>
      </c>
      <c r="B9031" s="31" t="s">
        <v>812</v>
      </c>
      <c r="C9031" s="31" t="s">
        <v>1224</v>
      </c>
      <c r="D9031" s="30" t="s">
        <v>3663</v>
      </c>
      <c r="E9031" s="32">
        <v>46113.0</v>
      </c>
      <c r="F9031" s="32">
        <v>46171.0</v>
      </c>
      <c r="G9031" s="33"/>
    </row>
    <row r="9032" ht="15.75" customHeight="1">
      <c r="A9032" s="26" t="s">
        <v>12696</v>
      </c>
      <c r="B9032" s="27" t="s">
        <v>812</v>
      </c>
      <c r="C9032" s="27" t="s">
        <v>1226</v>
      </c>
      <c r="D9032" s="26" t="s">
        <v>3663</v>
      </c>
      <c r="E9032" s="28">
        <v>46113.0</v>
      </c>
      <c r="F9032" s="28">
        <v>46171.0</v>
      </c>
      <c r="G9032" s="29"/>
    </row>
    <row r="9033" ht="15.75" customHeight="1">
      <c r="A9033" s="30" t="s">
        <v>12697</v>
      </c>
      <c r="B9033" s="31" t="s">
        <v>812</v>
      </c>
      <c r="C9033" s="31" t="s">
        <v>1228</v>
      </c>
      <c r="D9033" s="30" t="s">
        <v>3663</v>
      </c>
      <c r="E9033" s="32">
        <v>46113.0</v>
      </c>
      <c r="F9033" s="32">
        <v>46171.0</v>
      </c>
      <c r="G9033" s="33"/>
    </row>
    <row r="9034" ht="15.75" customHeight="1">
      <c r="A9034" s="26" t="s">
        <v>12698</v>
      </c>
      <c r="B9034" s="27" t="s">
        <v>812</v>
      </c>
      <c r="C9034" s="27" t="s">
        <v>1312</v>
      </c>
      <c r="D9034" s="26" t="s">
        <v>3663</v>
      </c>
      <c r="E9034" s="28">
        <v>46113.0</v>
      </c>
      <c r="F9034" s="28">
        <v>46171.0</v>
      </c>
      <c r="G9034" s="29"/>
    </row>
    <row r="9035" ht="15.75" customHeight="1">
      <c r="A9035" s="30" t="s">
        <v>12699</v>
      </c>
      <c r="B9035" s="31" t="s">
        <v>812</v>
      </c>
      <c r="C9035" s="31" t="s">
        <v>1208</v>
      </c>
      <c r="D9035" s="30" t="s">
        <v>3663</v>
      </c>
      <c r="E9035" s="32">
        <v>46113.0</v>
      </c>
      <c r="F9035" s="32">
        <v>46171.0</v>
      </c>
      <c r="G9035" s="33"/>
    </row>
    <row r="9036" ht="15.75" customHeight="1">
      <c r="A9036" s="26" t="s">
        <v>12700</v>
      </c>
      <c r="B9036" s="27" t="s">
        <v>812</v>
      </c>
      <c r="C9036" s="27" t="s">
        <v>1351</v>
      </c>
      <c r="D9036" s="26" t="s">
        <v>3663</v>
      </c>
      <c r="E9036" s="28">
        <v>46113.0</v>
      </c>
      <c r="F9036" s="28">
        <v>46171.0</v>
      </c>
      <c r="G9036" s="29"/>
    </row>
    <row r="9037" ht="15.75" customHeight="1">
      <c r="A9037" s="30" t="s">
        <v>12701</v>
      </c>
      <c r="B9037" s="31" t="s">
        <v>812</v>
      </c>
      <c r="C9037" s="31" t="s">
        <v>1349</v>
      </c>
      <c r="D9037" s="30" t="s">
        <v>3663</v>
      </c>
      <c r="E9037" s="32">
        <v>46113.0</v>
      </c>
      <c r="F9037" s="32">
        <v>46171.0</v>
      </c>
      <c r="G9037" s="33"/>
    </row>
    <row r="9038" ht="15.75" customHeight="1">
      <c r="A9038" s="26" t="s">
        <v>12702</v>
      </c>
      <c r="B9038" s="27" t="s">
        <v>812</v>
      </c>
      <c r="C9038" s="27" t="s">
        <v>968</v>
      </c>
      <c r="D9038" s="26" t="s">
        <v>3663</v>
      </c>
      <c r="E9038" s="28">
        <v>46113.0</v>
      </c>
      <c r="F9038" s="28">
        <v>46171.0</v>
      </c>
      <c r="G9038" s="29"/>
    </row>
    <row r="9039" ht="15.75" customHeight="1">
      <c r="A9039" s="30" t="s">
        <v>12703</v>
      </c>
      <c r="B9039" s="31" t="s">
        <v>812</v>
      </c>
      <c r="C9039" s="31" t="s">
        <v>923</v>
      </c>
      <c r="D9039" s="30" t="s">
        <v>3663</v>
      </c>
      <c r="E9039" s="32">
        <v>46113.0</v>
      </c>
      <c r="F9039" s="32">
        <v>46171.0</v>
      </c>
      <c r="G9039" s="33"/>
    </row>
    <row r="9040" ht="15.75" customHeight="1">
      <c r="A9040" s="26" t="s">
        <v>12704</v>
      </c>
      <c r="B9040" s="27" t="s">
        <v>813</v>
      </c>
      <c r="C9040" s="27" t="s">
        <v>928</v>
      </c>
      <c r="D9040" s="26" t="s">
        <v>3663</v>
      </c>
      <c r="E9040" s="28">
        <v>46113.0</v>
      </c>
      <c r="F9040" s="28">
        <v>46171.0</v>
      </c>
      <c r="G9040" s="29"/>
    </row>
    <row r="9041" ht="15.75" customHeight="1">
      <c r="A9041" s="30" t="s">
        <v>12705</v>
      </c>
      <c r="B9041" s="31" t="s">
        <v>813</v>
      </c>
      <c r="C9041" s="31" t="s">
        <v>1354</v>
      </c>
      <c r="D9041" s="30" t="s">
        <v>3663</v>
      </c>
      <c r="E9041" s="32">
        <v>46113.0</v>
      </c>
      <c r="F9041" s="32">
        <v>46171.0</v>
      </c>
      <c r="G9041" s="33"/>
    </row>
    <row r="9042" ht="15.75" customHeight="1">
      <c r="A9042" s="26" t="s">
        <v>12706</v>
      </c>
      <c r="B9042" s="27" t="s">
        <v>813</v>
      </c>
      <c r="C9042" s="27" t="s">
        <v>1222</v>
      </c>
      <c r="D9042" s="26" t="s">
        <v>3663</v>
      </c>
      <c r="E9042" s="28">
        <v>46113.0</v>
      </c>
      <c r="F9042" s="28">
        <v>46171.0</v>
      </c>
      <c r="G9042" s="29"/>
    </row>
    <row r="9043" ht="15.75" customHeight="1">
      <c r="A9043" s="30" t="s">
        <v>12707</v>
      </c>
      <c r="B9043" s="31" t="s">
        <v>813</v>
      </c>
      <c r="C9043" s="31" t="s">
        <v>1224</v>
      </c>
      <c r="D9043" s="30" t="s">
        <v>3663</v>
      </c>
      <c r="E9043" s="32">
        <v>46113.0</v>
      </c>
      <c r="F9043" s="32">
        <v>46171.0</v>
      </c>
      <c r="G9043" s="33"/>
    </row>
    <row r="9044" ht="15.75" customHeight="1">
      <c r="A9044" s="26" t="s">
        <v>12708</v>
      </c>
      <c r="B9044" s="27" t="s">
        <v>813</v>
      </c>
      <c r="C9044" s="27" t="s">
        <v>1226</v>
      </c>
      <c r="D9044" s="26" t="s">
        <v>3663</v>
      </c>
      <c r="E9044" s="28">
        <v>46113.0</v>
      </c>
      <c r="F9044" s="28">
        <v>46171.0</v>
      </c>
      <c r="G9044" s="29"/>
    </row>
    <row r="9045" ht="15.75" customHeight="1">
      <c r="A9045" s="30" t="s">
        <v>12709</v>
      </c>
      <c r="B9045" s="31" t="s">
        <v>813</v>
      </c>
      <c r="C9045" s="31" t="s">
        <v>1228</v>
      </c>
      <c r="D9045" s="30" t="s">
        <v>3663</v>
      </c>
      <c r="E9045" s="32">
        <v>46113.0</v>
      </c>
      <c r="F9045" s="32">
        <v>46171.0</v>
      </c>
      <c r="G9045" s="33"/>
    </row>
    <row r="9046" ht="15.75" customHeight="1">
      <c r="A9046" s="26" t="s">
        <v>12710</v>
      </c>
      <c r="B9046" s="27" t="s">
        <v>813</v>
      </c>
      <c r="C9046" s="27" t="s">
        <v>1172</v>
      </c>
      <c r="D9046" s="26" t="s">
        <v>3663</v>
      </c>
      <c r="E9046" s="28">
        <v>46113.0</v>
      </c>
      <c r="F9046" s="28">
        <v>46171.0</v>
      </c>
      <c r="G9046" s="29"/>
    </row>
    <row r="9047" ht="15.75" customHeight="1">
      <c r="A9047" s="30" t="s">
        <v>12711</v>
      </c>
      <c r="B9047" s="31" t="s">
        <v>813</v>
      </c>
      <c r="C9047" s="31" t="s">
        <v>1159</v>
      </c>
      <c r="D9047" s="30" t="s">
        <v>3663</v>
      </c>
      <c r="E9047" s="32">
        <v>46113.0</v>
      </c>
      <c r="F9047" s="32">
        <v>46171.0</v>
      </c>
      <c r="G9047" s="33"/>
    </row>
    <row r="9048" ht="15.75" customHeight="1">
      <c r="A9048" s="26" t="s">
        <v>12712</v>
      </c>
      <c r="B9048" s="27" t="s">
        <v>813</v>
      </c>
      <c r="C9048" s="27" t="s">
        <v>1351</v>
      </c>
      <c r="D9048" s="26" t="s">
        <v>3663</v>
      </c>
      <c r="E9048" s="28">
        <v>46113.0</v>
      </c>
      <c r="F9048" s="28">
        <v>46171.0</v>
      </c>
      <c r="G9048" s="29"/>
    </row>
    <row r="9049" ht="15.75" customHeight="1">
      <c r="A9049" s="30" t="s">
        <v>12713</v>
      </c>
      <c r="B9049" s="31" t="s">
        <v>813</v>
      </c>
      <c r="C9049" s="31" t="s">
        <v>1349</v>
      </c>
      <c r="D9049" s="30" t="s">
        <v>3663</v>
      </c>
      <c r="E9049" s="32">
        <v>46113.0</v>
      </c>
      <c r="F9049" s="32">
        <v>46171.0</v>
      </c>
      <c r="G9049" s="33"/>
    </row>
    <row r="9050" ht="15.75" customHeight="1">
      <c r="A9050" s="26" t="s">
        <v>12714</v>
      </c>
      <c r="B9050" s="27" t="s">
        <v>813</v>
      </c>
      <c r="C9050" s="27" t="s">
        <v>3653</v>
      </c>
      <c r="D9050" s="27" t="s">
        <v>3663</v>
      </c>
      <c r="E9050" s="28">
        <v>46113.0</v>
      </c>
      <c r="F9050" s="28">
        <v>46171.0</v>
      </c>
      <c r="G9050" s="29"/>
    </row>
    <row r="9051" ht="15.75" customHeight="1">
      <c r="A9051" s="30" t="s">
        <v>12715</v>
      </c>
      <c r="B9051" s="31" t="s">
        <v>813</v>
      </c>
      <c r="C9051" s="31" t="s">
        <v>3652</v>
      </c>
      <c r="D9051" s="30" t="s">
        <v>3663</v>
      </c>
      <c r="E9051" s="32">
        <v>46113.0</v>
      </c>
      <c r="F9051" s="32">
        <v>46171.0</v>
      </c>
      <c r="G9051" s="33"/>
    </row>
    <row r="9052" ht="15.75" customHeight="1">
      <c r="A9052" s="26" t="s">
        <v>12716</v>
      </c>
      <c r="B9052" s="27" t="s">
        <v>813</v>
      </c>
      <c r="C9052" s="27" t="s">
        <v>968</v>
      </c>
      <c r="D9052" s="26" t="s">
        <v>3663</v>
      </c>
      <c r="E9052" s="28">
        <v>46113.0</v>
      </c>
      <c r="F9052" s="28">
        <v>46171.0</v>
      </c>
      <c r="G9052" s="29"/>
    </row>
    <row r="9053" ht="15.75" customHeight="1">
      <c r="A9053" s="30" t="s">
        <v>12717</v>
      </c>
      <c r="B9053" s="31" t="s">
        <v>813</v>
      </c>
      <c r="C9053" s="31" t="s">
        <v>923</v>
      </c>
      <c r="D9053" s="30" t="s">
        <v>3663</v>
      </c>
      <c r="E9053" s="32">
        <v>46113.0</v>
      </c>
      <c r="F9053" s="32">
        <v>46171.0</v>
      </c>
      <c r="G9053" s="33"/>
    </row>
    <row r="9054" ht="15.75" customHeight="1">
      <c r="A9054" s="26" t="s">
        <v>12718</v>
      </c>
      <c r="B9054" s="27" t="s">
        <v>814</v>
      </c>
      <c r="C9054" s="27" t="s">
        <v>926</v>
      </c>
      <c r="D9054" s="27" t="s">
        <v>3663</v>
      </c>
      <c r="E9054" s="28">
        <v>46113.0</v>
      </c>
      <c r="F9054" s="28">
        <v>46171.0</v>
      </c>
      <c r="G9054" s="29"/>
    </row>
    <row r="9055" ht="15.75" customHeight="1">
      <c r="A9055" s="30" t="s">
        <v>12719</v>
      </c>
      <c r="B9055" s="31" t="s">
        <v>814</v>
      </c>
      <c r="C9055" s="31" t="s">
        <v>1354</v>
      </c>
      <c r="D9055" s="30" t="s">
        <v>3663</v>
      </c>
      <c r="E9055" s="32">
        <v>46113.0</v>
      </c>
      <c r="F9055" s="32">
        <v>46171.0</v>
      </c>
      <c r="G9055" s="33"/>
    </row>
    <row r="9056" ht="15.75" customHeight="1">
      <c r="A9056" s="26" t="s">
        <v>12720</v>
      </c>
      <c r="B9056" s="27" t="s">
        <v>814</v>
      </c>
      <c r="C9056" s="27" t="s">
        <v>3681</v>
      </c>
      <c r="D9056" s="26" t="s">
        <v>3663</v>
      </c>
      <c r="E9056" s="28">
        <v>46113.0</v>
      </c>
      <c r="F9056" s="28">
        <v>46171.0</v>
      </c>
      <c r="G9056" s="29"/>
    </row>
    <row r="9057" ht="15.75" customHeight="1">
      <c r="A9057" s="30" t="s">
        <v>12721</v>
      </c>
      <c r="B9057" s="31" t="s">
        <v>814</v>
      </c>
      <c r="C9057" s="31" t="s">
        <v>3683</v>
      </c>
      <c r="D9057" s="30" t="s">
        <v>3663</v>
      </c>
      <c r="E9057" s="32">
        <v>46113.0</v>
      </c>
      <c r="F9057" s="32">
        <v>46171.0</v>
      </c>
      <c r="G9057" s="33"/>
    </row>
    <row r="9058" ht="15.75" customHeight="1">
      <c r="A9058" s="26" t="s">
        <v>12722</v>
      </c>
      <c r="B9058" s="27" t="s">
        <v>814</v>
      </c>
      <c r="C9058" s="27" t="s">
        <v>3648</v>
      </c>
      <c r="D9058" s="27" t="s">
        <v>3663</v>
      </c>
      <c r="E9058" s="28">
        <v>46113.0</v>
      </c>
      <c r="F9058" s="28">
        <v>46171.0</v>
      </c>
      <c r="G9058" s="29"/>
    </row>
    <row r="9059" ht="15.75" customHeight="1">
      <c r="A9059" s="30" t="s">
        <v>12723</v>
      </c>
      <c r="B9059" s="31" t="s">
        <v>814</v>
      </c>
      <c r="C9059" s="31" t="s">
        <v>3649</v>
      </c>
      <c r="D9059" s="31" t="s">
        <v>3663</v>
      </c>
      <c r="E9059" s="32">
        <v>46113.0</v>
      </c>
      <c r="F9059" s="32">
        <v>46171.0</v>
      </c>
      <c r="G9059" s="33"/>
    </row>
    <row r="9060" ht="15.75" customHeight="1">
      <c r="A9060" s="26" t="s">
        <v>12724</v>
      </c>
      <c r="B9060" s="27" t="s">
        <v>814</v>
      </c>
      <c r="C9060" s="27" t="s">
        <v>3650</v>
      </c>
      <c r="D9060" s="27" t="s">
        <v>3663</v>
      </c>
      <c r="E9060" s="28">
        <v>46113.0</v>
      </c>
      <c r="F9060" s="28">
        <v>46171.0</v>
      </c>
      <c r="G9060" s="29"/>
    </row>
    <row r="9061" ht="15.75" customHeight="1">
      <c r="A9061" s="30" t="s">
        <v>12725</v>
      </c>
      <c r="B9061" s="31" t="s">
        <v>814</v>
      </c>
      <c r="C9061" s="31" t="s">
        <v>1283</v>
      </c>
      <c r="D9061" s="31" t="s">
        <v>3663</v>
      </c>
      <c r="E9061" s="32">
        <v>46113.0</v>
      </c>
      <c r="F9061" s="32">
        <v>46171.0</v>
      </c>
      <c r="G9061" s="33"/>
    </row>
    <row r="9062" ht="15.75" customHeight="1">
      <c r="A9062" s="26" t="s">
        <v>12726</v>
      </c>
      <c r="B9062" s="27" t="s">
        <v>814</v>
      </c>
      <c r="C9062" s="27" t="s">
        <v>1216</v>
      </c>
      <c r="D9062" s="26" t="s">
        <v>3663</v>
      </c>
      <c r="E9062" s="28">
        <v>46113.0</v>
      </c>
      <c r="F9062" s="28">
        <v>46171.0</v>
      </c>
      <c r="G9062" s="29"/>
    </row>
    <row r="9063" ht="15.75" customHeight="1">
      <c r="A9063" s="30" t="s">
        <v>12727</v>
      </c>
      <c r="B9063" s="31" t="s">
        <v>814</v>
      </c>
      <c r="C9063" s="31" t="s">
        <v>1271</v>
      </c>
      <c r="D9063" s="30" t="s">
        <v>3663</v>
      </c>
      <c r="E9063" s="32">
        <v>46113.0</v>
      </c>
      <c r="F9063" s="32">
        <v>46171.0</v>
      </c>
      <c r="G9063" s="33"/>
    </row>
    <row r="9064" ht="15.75" customHeight="1">
      <c r="A9064" s="26" t="s">
        <v>12728</v>
      </c>
      <c r="B9064" s="27" t="s">
        <v>814</v>
      </c>
      <c r="C9064" s="27" t="s">
        <v>1351</v>
      </c>
      <c r="D9064" s="26" t="s">
        <v>3663</v>
      </c>
      <c r="E9064" s="28">
        <v>46113.0</v>
      </c>
      <c r="F9064" s="28">
        <v>46171.0</v>
      </c>
      <c r="G9064" s="29"/>
    </row>
    <row r="9065" ht="15.75" customHeight="1">
      <c r="A9065" s="30" t="s">
        <v>12729</v>
      </c>
      <c r="B9065" s="31" t="s">
        <v>814</v>
      </c>
      <c r="C9065" s="31" t="s">
        <v>1349</v>
      </c>
      <c r="D9065" s="30" t="s">
        <v>3663</v>
      </c>
      <c r="E9065" s="32">
        <v>46113.0</v>
      </c>
      <c r="F9065" s="32">
        <v>46171.0</v>
      </c>
      <c r="G9065" s="33"/>
    </row>
    <row r="9066" ht="15.75" customHeight="1">
      <c r="A9066" s="26" t="s">
        <v>12730</v>
      </c>
      <c r="B9066" s="27" t="s">
        <v>814</v>
      </c>
      <c r="C9066" s="27" t="s">
        <v>968</v>
      </c>
      <c r="D9066" s="26" t="s">
        <v>3663</v>
      </c>
      <c r="E9066" s="28">
        <v>46113.0</v>
      </c>
      <c r="F9066" s="28">
        <v>46171.0</v>
      </c>
      <c r="G9066" s="29"/>
    </row>
    <row r="9067" ht="15.75" customHeight="1">
      <c r="A9067" s="30" t="s">
        <v>12731</v>
      </c>
      <c r="B9067" s="31" t="s">
        <v>814</v>
      </c>
      <c r="C9067" s="31" t="s">
        <v>923</v>
      </c>
      <c r="D9067" s="31" t="s">
        <v>3663</v>
      </c>
      <c r="E9067" s="32">
        <v>46113.0</v>
      </c>
      <c r="F9067" s="32">
        <v>46171.0</v>
      </c>
      <c r="G9067" s="33"/>
    </row>
    <row r="9068" ht="15.75" customHeight="1">
      <c r="A9068" s="26" t="s">
        <v>12732</v>
      </c>
      <c r="B9068" s="27" t="s">
        <v>815</v>
      </c>
      <c r="C9068" s="27" t="s">
        <v>928</v>
      </c>
      <c r="D9068" s="26" t="s">
        <v>3663</v>
      </c>
      <c r="E9068" s="28">
        <v>46113.0</v>
      </c>
      <c r="F9068" s="28">
        <v>46171.0</v>
      </c>
      <c r="G9068" s="29"/>
    </row>
    <row r="9069" ht="15.75" customHeight="1">
      <c r="A9069" s="30" t="s">
        <v>12733</v>
      </c>
      <c r="B9069" s="31" t="s">
        <v>815</v>
      </c>
      <c r="C9069" s="31" t="s">
        <v>1354</v>
      </c>
      <c r="D9069" s="30" t="s">
        <v>3663</v>
      </c>
      <c r="E9069" s="32">
        <v>46113.0</v>
      </c>
      <c r="F9069" s="32">
        <v>46171.0</v>
      </c>
      <c r="G9069" s="33"/>
    </row>
    <row r="9070" ht="15.75" customHeight="1">
      <c r="A9070" s="26" t="s">
        <v>12734</v>
      </c>
      <c r="B9070" s="27" t="s">
        <v>815</v>
      </c>
      <c r="C9070" s="27" t="s">
        <v>1222</v>
      </c>
      <c r="D9070" s="26" t="s">
        <v>3663</v>
      </c>
      <c r="E9070" s="28">
        <v>46113.0</v>
      </c>
      <c r="F9070" s="28">
        <v>46171.0</v>
      </c>
      <c r="G9070" s="29"/>
    </row>
    <row r="9071" ht="15.75" customHeight="1">
      <c r="A9071" s="30" t="s">
        <v>12735</v>
      </c>
      <c r="B9071" s="31" t="s">
        <v>815</v>
      </c>
      <c r="C9071" s="31" t="s">
        <v>1224</v>
      </c>
      <c r="D9071" s="30" t="s">
        <v>3663</v>
      </c>
      <c r="E9071" s="32">
        <v>46113.0</v>
      </c>
      <c r="F9071" s="32">
        <v>46171.0</v>
      </c>
      <c r="G9071" s="33"/>
    </row>
    <row r="9072" ht="15.75" customHeight="1">
      <c r="A9072" s="26" t="s">
        <v>12736</v>
      </c>
      <c r="B9072" s="27" t="s">
        <v>815</v>
      </c>
      <c r="C9072" s="27" t="s">
        <v>1226</v>
      </c>
      <c r="D9072" s="26" t="s">
        <v>3663</v>
      </c>
      <c r="E9072" s="28">
        <v>46113.0</v>
      </c>
      <c r="F9072" s="28">
        <v>46171.0</v>
      </c>
      <c r="G9072" s="29"/>
    </row>
    <row r="9073" ht="15.75" customHeight="1">
      <c r="A9073" s="30" t="s">
        <v>12737</v>
      </c>
      <c r="B9073" s="31" t="s">
        <v>815</v>
      </c>
      <c r="C9073" s="31" t="s">
        <v>1228</v>
      </c>
      <c r="D9073" s="30" t="s">
        <v>3663</v>
      </c>
      <c r="E9073" s="32">
        <v>46113.0</v>
      </c>
      <c r="F9073" s="32">
        <v>46171.0</v>
      </c>
      <c r="G9073" s="33"/>
    </row>
    <row r="9074" ht="15.75" customHeight="1">
      <c r="A9074" s="26" t="s">
        <v>12738</v>
      </c>
      <c r="B9074" s="27" t="s">
        <v>815</v>
      </c>
      <c r="C9074" s="27" t="s">
        <v>3681</v>
      </c>
      <c r="D9074" s="26" t="s">
        <v>3663</v>
      </c>
      <c r="E9074" s="28">
        <v>46113.0</v>
      </c>
      <c r="F9074" s="28">
        <v>46171.0</v>
      </c>
      <c r="G9074" s="29"/>
    </row>
    <row r="9075" ht="15.75" customHeight="1">
      <c r="A9075" s="30" t="s">
        <v>12739</v>
      </c>
      <c r="B9075" s="31" t="s">
        <v>815</v>
      </c>
      <c r="C9075" s="31" t="s">
        <v>3683</v>
      </c>
      <c r="D9075" s="30" t="s">
        <v>3663</v>
      </c>
      <c r="E9075" s="32">
        <v>46113.0</v>
      </c>
      <c r="F9075" s="32">
        <v>46171.0</v>
      </c>
      <c r="G9075" s="33"/>
    </row>
    <row r="9076" ht="15.75" customHeight="1">
      <c r="A9076" s="26" t="s">
        <v>12740</v>
      </c>
      <c r="B9076" s="27" t="s">
        <v>815</v>
      </c>
      <c r="C9076" s="27" t="s">
        <v>1218</v>
      </c>
      <c r="D9076" s="26" t="s">
        <v>3663</v>
      </c>
      <c r="E9076" s="28">
        <v>46113.0</v>
      </c>
      <c r="F9076" s="28">
        <v>46171.0</v>
      </c>
      <c r="G9076" s="29"/>
    </row>
    <row r="9077" ht="15.75" customHeight="1">
      <c r="A9077" s="30" t="s">
        <v>12741</v>
      </c>
      <c r="B9077" s="31" t="s">
        <v>815</v>
      </c>
      <c r="C9077" s="31" t="s">
        <v>1351</v>
      </c>
      <c r="D9077" s="30" t="s">
        <v>3663</v>
      </c>
      <c r="E9077" s="32">
        <v>46113.0</v>
      </c>
      <c r="F9077" s="32">
        <v>46171.0</v>
      </c>
      <c r="G9077" s="33"/>
    </row>
    <row r="9078" ht="15.75" customHeight="1">
      <c r="A9078" s="26" t="s">
        <v>12742</v>
      </c>
      <c r="B9078" s="27" t="s">
        <v>815</v>
      </c>
      <c r="C9078" s="27" t="s">
        <v>1349</v>
      </c>
      <c r="D9078" s="26" t="s">
        <v>3663</v>
      </c>
      <c r="E9078" s="28">
        <v>46113.0</v>
      </c>
      <c r="F9078" s="28">
        <v>46171.0</v>
      </c>
      <c r="G9078" s="29"/>
    </row>
    <row r="9079" ht="15.75" customHeight="1">
      <c r="A9079" s="30" t="s">
        <v>12743</v>
      </c>
      <c r="B9079" s="31" t="s">
        <v>815</v>
      </c>
      <c r="C9079" s="31" t="s">
        <v>968</v>
      </c>
      <c r="D9079" s="30" t="s">
        <v>3663</v>
      </c>
      <c r="E9079" s="32">
        <v>46113.0</v>
      </c>
      <c r="F9079" s="32">
        <v>46171.0</v>
      </c>
      <c r="G9079" s="33"/>
    </row>
    <row r="9080" ht="15.75" customHeight="1">
      <c r="A9080" s="26" t="s">
        <v>12744</v>
      </c>
      <c r="B9080" s="27" t="s">
        <v>815</v>
      </c>
      <c r="C9080" s="27" t="s">
        <v>923</v>
      </c>
      <c r="D9080" s="26" t="s">
        <v>3663</v>
      </c>
      <c r="E9080" s="28">
        <v>46113.0</v>
      </c>
      <c r="F9080" s="28">
        <v>46171.0</v>
      </c>
      <c r="G9080" s="29"/>
    </row>
    <row r="9081" ht="15.75" customHeight="1">
      <c r="A9081" s="30" t="s">
        <v>12745</v>
      </c>
      <c r="B9081" s="31" t="s">
        <v>815</v>
      </c>
      <c r="C9081" s="31" t="s">
        <v>955</v>
      </c>
      <c r="D9081" s="30" t="s">
        <v>3663</v>
      </c>
      <c r="E9081" s="32">
        <v>46113.0</v>
      </c>
      <c r="F9081" s="32">
        <v>46171.0</v>
      </c>
      <c r="G9081" s="33"/>
    </row>
    <row r="9082" ht="15.75" customHeight="1">
      <c r="A9082" s="26" t="s">
        <v>12746</v>
      </c>
      <c r="B9082" s="27" t="s">
        <v>816</v>
      </c>
      <c r="C9082" s="27" t="s">
        <v>1240</v>
      </c>
      <c r="D9082" s="26" t="s">
        <v>3663</v>
      </c>
      <c r="E9082" s="28">
        <v>46113.0</v>
      </c>
      <c r="F9082" s="28">
        <v>46171.0</v>
      </c>
      <c r="G9082" s="29"/>
    </row>
    <row r="9083" ht="15.75" customHeight="1">
      <c r="A9083" s="30" t="s">
        <v>12747</v>
      </c>
      <c r="B9083" s="31" t="s">
        <v>816</v>
      </c>
      <c r="C9083" s="31" t="s">
        <v>1242</v>
      </c>
      <c r="D9083" s="30" t="s">
        <v>3663</v>
      </c>
      <c r="E9083" s="32">
        <v>46113.0</v>
      </c>
      <c r="F9083" s="32">
        <v>46171.0</v>
      </c>
      <c r="G9083" s="33"/>
    </row>
    <row r="9084" ht="15.75" customHeight="1">
      <c r="A9084" s="26" t="s">
        <v>12748</v>
      </c>
      <c r="B9084" s="27" t="s">
        <v>816</v>
      </c>
      <c r="C9084" s="27" t="s">
        <v>1244</v>
      </c>
      <c r="D9084" s="26" t="s">
        <v>3663</v>
      </c>
      <c r="E9084" s="28">
        <v>46113.0</v>
      </c>
      <c r="F9084" s="28">
        <v>46171.0</v>
      </c>
      <c r="G9084" s="29"/>
    </row>
    <row r="9085" ht="15.75" customHeight="1">
      <c r="A9085" s="30" t="s">
        <v>12749</v>
      </c>
      <c r="B9085" s="31" t="s">
        <v>816</v>
      </c>
      <c r="C9085" s="31" t="s">
        <v>1246</v>
      </c>
      <c r="D9085" s="30" t="s">
        <v>3663</v>
      </c>
      <c r="E9085" s="32">
        <v>46113.0</v>
      </c>
      <c r="F9085" s="32">
        <v>46171.0</v>
      </c>
      <c r="G9085" s="33"/>
    </row>
    <row r="9086" ht="15.75" customHeight="1">
      <c r="A9086" s="26" t="s">
        <v>12750</v>
      </c>
      <c r="B9086" s="27" t="s">
        <v>816</v>
      </c>
      <c r="C9086" s="27" t="s">
        <v>934</v>
      </c>
      <c r="D9086" s="26" t="s">
        <v>3663</v>
      </c>
      <c r="E9086" s="28">
        <v>46113.0</v>
      </c>
      <c r="F9086" s="28">
        <v>46171.0</v>
      </c>
      <c r="G9086" s="29"/>
    </row>
    <row r="9087" ht="15.75" customHeight="1">
      <c r="A9087" s="30" t="s">
        <v>12751</v>
      </c>
      <c r="B9087" s="31" t="s">
        <v>816</v>
      </c>
      <c r="C9087" s="31" t="s">
        <v>1354</v>
      </c>
      <c r="D9087" s="30" t="s">
        <v>3663</v>
      </c>
      <c r="E9087" s="32">
        <v>46113.0</v>
      </c>
      <c r="F9087" s="32">
        <v>46171.0</v>
      </c>
      <c r="G9087" s="33"/>
    </row>
    <row r="9088" ht="15.75" customHeight="1">
      <c r="A9088" s="26" t="s">
        <v>12752</v>
      </c>
      <c r="B9088" s="27" t="s">
        <v>816</v>
      </c>
      <c r="C9088" s="27" t="s">
        <v>3681</v>
      </c>
      <c r="D9088" s="26" t="s">
        <v>3663</v>
      </c>
      <c r="E9088" s="28">
        <v>46113.0</v>
      </c>
      <c r="F9088" s="28">
        <v>46171.0</v>
      </c>
      <c r="G9088" s="29"/>
    </row>
    <row r="9089" ht="15.75" customHeight="1">
      <c r="A9089" s="30" t="s">
        <v>12753</v>
      </c>
      <c r="B9089" s="31" t="s">
        <v>816</v>
      </c>
      <c r="C9089" s="31" t="s">
        <v>3683</v>
      </c>
      <c r="D9089" s="30" t="s">
        <v>3663</v>
      </c>
      <c r="E9089" s="32">
        <v>46113.0</v>
      </c>
      <c r="F9089" s="32">
        <v>46171.0</v>
      </c>
      <c r="G9089" s="33"/>
    </row>
    <row r="9090" ht="15.75" customHeight="1">
      <c r="A9090" s="26" t="s">
        <v>12754</v>
      </c>
      <c r="B9090" s="27" t="s">
        <v>816</v>
      </c>
      <c r="C9090" s="27" t="s">
        <v>3647</v>
      </c>
      <c r="D9090" s="26" t="s">
        <v>3663</v>
      </c>
      <c r="E9090" s="28">
        <v>46113.0</v>
      </c>
      <c r="F9090" s="28">
        <v>46171.0</v>
      </c>
      <c r="G9090" s="29"/>
    </row>
    <row r="9091" ht="15.75" customHeight="1">
      <c r="A9091" s="30" t="s">
        <v>12755</v>
      </c>
      <c r="B9091" s="31" t="s">
        <v>816</v>
      </c>
      <c r="C9091" s="31" t="s">
        <v>952</v>
      </c>
      <c r="D9091" s="30" t="s">
        <v>3663</v>
      </c>
      <c r="E9091" s="32">
        <v>46113.0</v>
      </c>
      <c r="F9091" s="32">
        <v>46171.0</v>
      </c>
      <c r="G9091" s="33"/>
    </row>
    <row r="9092" ht="15.75" customHeight="1">
      <c r="A9092" s="26" t="s">
        <v>12756</v>
      </c>
      <c r="B9092" s="27" t="s">
        <v>816</v>
      </c>
      <c r="C9092" s="27" t="s">
        <v>1218</v>
      </c>
      <c r="D9092" s="26" t="s">
        <v>3663</v>
      </c>
      <c r="E9092" s="28">
        <v>46113.0</v>
      </c>
      <c r="F9092" s="28">
        <v>46171.0</v>
      </c>
      <c r="G9092" s="29"/>
    </row>
    <row r="9093" ht="15.75" customHeight="1">
      <c r="A9093" s="30" t="s">
        <v>12757</v>
      </c>
      <c r="B9093" s="31" t="s">
        <v>816</v>
      </c>
      <c r="C9093" s="31" t="s">
        <v>968</v>
      </c>
      <c r="D9093" s="30" t="s">
        <v>3663</v>
      </c>
      <c r="E9093" s="32">
        <v>46113.0</v>
      </c>
      <c r="F9093" s="32">
        <v>46171.0</v>
      </c>
      <c r="G9093" s="33"/>
    </row>
    <row r="9094" ht="15.75" customHeight="1">
      <c r="A9094" s="26" t="s">
        <v>12758</v>
      </c>
      <c r="B9094" s="27" t="s">
        <v>816</v>
      </c>
      <c r="C9094" s="27" t="s">
        <v>923</v>
      </c>
      <c r="D9094" s="26" t="s">
        <v>3663</v>
      </c>
      <c r="E9094" s="28">
        <v>46113.0</v>
      </c>
      <c r="F9094" s="28">
        <v>46171.0</v>
      </c>
      <c r="G9094" s="29"/>
    </row>
    <row r="9095" ht="15.75" customHeight="1">
      <c r="A9095" s="30" t="s">
        <v>12759</v>
      </c>
      <c r="B9095" s="31" t="s">
        <v>816</v>
      </c>
      <c r="C9095" s="31" t="s">
        <v>955</v>
      </c>
      <c r="D9095" s="30" t="s">
        <v>3663</v>
      </c>
      <c r="E9095" s="32">
        <v>46113.0</v>
      </c>
      <c r="F9095" s="32">
        <v>46171.0</v>
      </c>
      <c r="G9095" s="33"/>
    </row>
    <row r="9096" ht="15.75" customHeight="1">
      <c r="A9096" s="26" t="s">
        <v>12760</v>
      </c>
      <c r="B9096" s="27" t="s">
        <v>817</v>
      </c>
      <c r="C9096" s="27" t="s">
        <v>930</v>
      </c>
      <c r="D9096" s="26" t="s">
        <v>3663</v>
      </c>
      <c r="E9096" s="28">
        <v>46113.0</v>
      </c>
      <c r="F9096" s="28">
        <v>46171.0</v>
      </c>
      <c r="G9096" s="29"/>
    </row>
    <row r="9097" ht="15.75" customHeight="1">
      <c r="A9097" s="30" t="s">
        <v>12761</v>
      </c>
      <c r="B9097" s="31" t="s">
        <v>817</v>
      </c>
      <c r="C9097" s="31" t="s">
        <v>1354</v>
      </c>
      <c r="D9097" s="30" t="s">
        <v>3663</v>
      </c>
      <c r="E9097" s="32">
        <v>46113.0</v>
      </c>
      <c r="F9097" s="32">
        <v>46171.0</v>
      </c>
      <c r="G9097" s="33"/>
    </row>
    <row r="9098" ht="15.75" customHeight="1">
      <c r="A9098" s="26" t="s">
        <v>12762</v>
      </c>
      <c r="B9098" s="27" t="s">
        <v>817</v>
      </c>
      <c r="C9098" s="27" t="s">
        <v>3641</v>
      </c>
      <c r="D9098" s="26" t="s">
        <v>3663</v>
      </c>
      <c r="E9098" s="28">
        <v>46113.0</v>
      </c>
      <c r="F9098" s="28">
        <v>46171.0</v>
      </c>
      <c r="G9098" s="29"/>
    </row>
    <row r="9099" ht="15.75" customHeight="1">
      <c r="A9099" s="30" t="s">
        <v>12763</v>
      </c>
      <c r="B9099" s="31" t="s">
        <v>817</v>
      </c>
      <c r="C9099" s="31" t="s">
        <v>1304</v>
      </c>
      <c r="D9099" s="30" t="s">
        <v>3663</v>
      </c>
      <c r="E9099" s="32">
        <v>46113.0</v>
      </c>
      <c r="F9099" s="32">
        <v>46171.0</v>
      </c>
      <c r="G9099" s="33"/>
    </row>
    <row r="9100" ht="15.75" customHeight="1">
      <c r="A9100" s="26" t="s">
        <v>12764</v>
      </c>
      <c r="B9100" s="27" t="s">
        <v>817</v>
      </c>
      <c r="C9100" s="27" t="s">
        <v>3642</v>
      </c>
      <c r="D9100" s="26" t="s">
        <v>3663</v>
      </c>
      <c r="E9100" s="28">
        <v>46113.0</v>
      </c>
      <c r="F9100" s="28">
        <v>46171.0</v>
      </c>
      <c r="G9100" s="29"/>
    </row>
    <row r="9101" ht="15.75" customHeight="1">
      <c r="A9101" s="30" t="s">
        <v>12765</v>
      </c>
      <c r="B9101" s="31" t="s">
        <v>817</v>
      </c>
      <c r="C9101" s="31" t="s">
        <v>1308</v>
      </c>
      <c r="D9101" s="30" t="s">
        <v>3663</v>
      </c>
      <c r="E9101" s="32">
        <v>46113.0</v>
      </c>
      <c r="F9101" s="32">
        <v>46171.0</v>
      </c>
      <c r="G9101" s="33"/>
    </row>
    <row r="9102" ht="15.75" customHeight="1">
      <c r="A9102" s="26" t="s">
        <v>12766</v>
      </c>
      <c r="B9102" s="27" t="s">
        <v>817</v>
      </c>
      <c r="C9102" s="27" t="s">
        <v>1172</v>
      </c>
      <c r="D9102" s="26" t="s">
        <v>3663</v>
      </c>
      <c r="E9102" s="28">
        <v>46113.0</v>
      </c>
      <c r="F9102" s="28">
        <v>46171.0</v>
      </c>
      <c r="G9102" s="29"/>
    </row>
    <row r="9103" ht="15.75" customHeight="1">
      <c r="A9103" s="30" t="s">
        <v>12767</v>
      </c>
      <c r="B9103" s="31" t="s">
        <v>817</v>
      </c>
      <c r="C9103" s="31" t="s">
        <v>1351</v>
      </c>
      <c r="D9103" s="30" t="s">
        <v>3663</v>
      </c>
      <c r="E9103" s="32">
        <v>46113.0</v>
      </c>
      <c r="F9103" s="32">
        <v>46171.0</v>
      </c>
      <c r="G9103" s="33"/>
    </row>
    <row r="9104" ht="15.75" customHeight="1">
      <c r="A9104" s="26" t="s">
        <v>12768</v>
      </c>
      <c r="B9104" s="27" t="s">
        <v>817</v>
      </c>
      <c r="C9104" s="27" t="s">
        <v>1349</v>
      </c>
      <c r="D9104" s="26" t="s">
        <v>3663</v>
      </c>
      <c r="E9104" s="28">
        <v>46113.0</v>
      </c>
      <c r="F9104" s="28">
        <v>46171.0</v>
      </c>
      <c r="G9104" s="29"/>
    </row>
    <row r="9105" ht="15.75" customHeight="1">
      <c r="A9105" s="30" t="s">
        <v>12769</v>
      </c>
      <c r="B9105" s="31" t="s">
        <v>817</v>
      </c>
      <c r="C9105" s="31" t="s">
        <v>3653</v>
      </c>
      <c r="D9105" s="31" t="s">
        <v>3663</v>
      </c>
      <c r="E9105" s="32">
        <v>46113.0</v>
      </c>
      <c r="F9105" s="32">
        <v>46171.0</v>
      </c>
      <c r="G9105" s="33"/>
    </row>
    <row r="9106" ht="15.75" customHeight="1">
      <c r="A9106" s="26" t="s">
        <v>12770</v>
      </c>
      <c r="B9106" s="27" t="s">
        <v>817</v>
      </c>
      <c r="C9106" s="27" t="s">
        <v>3652</v>
      </c>
      <c r="D9106" s="26" t="s">
        <v>3663</v>
      </c>
      <c r="E9106" s="28">
        <v>46113.0</v>
      </c>
      <c r="F9106" s="28">
        <v>46171.0</v>
      </c>
      <c r="G9106" s="29"/>
    </row>
    <row r="9107" ht="15.75" customHeight="1">
      <c r="A9107" s="30" t="s">
        <v>12771</v>
      </c>
      <c r="B9107" s="31" t="s">
        <v>817</v>
      </c>
      <c r="C9107" s="31" t="s">
        <v>968</v>
      </c>
      <c r="D9107" s="30" t="s">
        <v>3663</v>
      </c>
      <c r="E9107" s="32">
        <v>46113.0</v>
      </c>
      <c r="F9107" s="32">
        <v>46171.0</v>
      </c>
      <c r="G9107" s="33"/>
    </row>
    <row r="9108" ht="15.75" customHeight="1">
      <c r="A9108" s="26" t="s">
        <v>12772</v>
      </c>
      <c r="B9108" s="27" t="s">
        <v>817</v>
      </c>
      <c r="C9108" s="27" t="s">
        <v>923</v>
      </c>
      <c r="D9108" s="26" t="s">
        <v>3663</v>
      </c>
      <c r="E9108" s="28">
        <v>46113.0</v>
      </c>
      <c r="F9108" s="28">
        <v>46171.0</v>
      </c>
      <c r="G9108" s="29"/>
    </row>
    <row r="9109" ht="15.75" customHeight="1">
      <c r="A9109" s="30" t="s">
        <v>12773</v>
      </c>
      <c r="B9109" s="31" t="s">
        <v>817</v>
      </c>
      <c r="C9109" s="31" t="s">
        <v>961</v>
      </c>
      <c r="D9109" s="30" t="s">
        <v>3663</v>
      </c>
      <c r="E9109" s="32">
        <v>46113.0</v>
      </c>
      <c r="F9109" s="32">
        <v>46171.0</v>
      </c>
      <c r="G9109" s="33"/>
    </row>
    <row r="9110" ht="15.75" customHeight="1">
      <c r="A9110" s="26" t="s">
        <v>12774</v>
      </c>
      <c r="B9110" s="27" t="s">
        <v>818</v>
      </c>
      <c r="C9110" s="27" t="s">
        <v>930</v>
      </c>
      <c r="D9110" s="27" t="s">
        <v>3663</v>
      </c>
      <c r="E9110" s="28">
        <v>46113.0</v>
      </c>
      <c r="F9110" s="28">
        <v>46171.0</v>
      </c>
      <c r="G9110" s="29"/>
    </row>
    <row r="9111" ht="15.75" customHeight="1">
      <c r="A9111" s="30" t="s">
        <v>12775</v>
      </c>
      <c r="B9111" s="31" t="s">
        <v>818</v>
      </c>
      <c r="C9111" s="31" t="s">
        <v>1354</v>
      </c>
      <c r="D9111" s="30" t="s">
        <v>3663</v>
      </c>
      <c r="E9111" s="32">
        <v>46113.0</v>
      </c>
      <c r="F9111" s="32">
        <v>46171.0</v>
      </c>
      <c r="G9111" s="33"/>
    </row>
    <row r="9112" ht="15.75" customHeight="1">
      <c r="A9112" s="26" t="s">
        <v>12776</v>
      </c>
      <c r="B9112" s="27" t="s">
        <v>818</v>
      </c>
      <c r="C9112" s="27" t="s">
        <v>1304</v>
      </c>
      <c r="D9112" s="27" t="s">
        <v>3663</v>
      </c>
      <c r="E9112" s="28">
        <v>46113.0</v>
      </c>
      <c r="F9112" s="28">
        <v>46171.0</v>
      </c>
      <c r="G9112" s="29"/>
    </row>
    <row r="9113" ht="15.75" customHeight="1">
      <c r="A9113" s="30" t="s">
        <v>12777</v>
      </c>
      <c r="B9113" s="31" t="s">
        <v>818</v>
      </c>
      <c r="C9113" s="31" t="s">
        <v>1306</v>
      </c>
      <c r="D9113" s="31" t="s">
        <v>3663</v>
      </c>
      <c r="E9113" s="32">
        <v>46113.0</v>
      </c>
      <c r="F9113" s="32">
        <v>46171.0</v>
      </c>
      <c r="G9113" s="33"/>
    </row>
    <row r="9114" ht="15.75" customHeight="1">
      <c r="A9114" s="26" t="s">
        <v>12778</v>
      </c>
      <c r="B9114" s="27" t="s">
        <v>818</v>
      </c>
      <c r="C9114" s="27" t="s">
        <v>1308</v>
      </c>
      <c r="D9114" s="27" t="s">
        <v>3663</v>
      </c>
      <c r="E9114" s="28">
        <v>46113.0</v>
      </c>
      <c r="F9114" s="28">
        <v>46171.0</v>
      </c>
      <c r="G9114" s="29"/>
    </row>
    <row r="9115" ht="15.75" customHeight="1">
      <c r="A9115" s="30" t="s">
        <v>12779</v>
      </c>
      <c r="B9115" s="31" t="s">
        <v>818</v>
      </c>
      <c r="C9115" s="31" t="s">
        <v>1310</v>
      </c>
      <c r="D9115" s="31" t="s">
        <v>3663</v>
      </c>
      <c r="E9115" s="32">
        <v>46113.0</v>
      </c>
      <c r="F9115" s="32">
        <v>46171.0</v>
      </c>
      <c r="G9115" s="33"/>
    </row>
    <row r="9116" ht="15.75" customHeight="1">
      <c r="A9116" s="26" t="s">
        <v>12780</v>
      </c>
      <c r="B9116" s="27" t="s">
        <v>818</v>
      </c>
      <c r="C9116" s="27" t="s">
        <v>1172</v>
      </c>
      <c r="D9116" s="26" t="s">
        <v>3663</v>
      </c>
      <c r="E9116" s="28">
        <v>46113.0</v>
      </c>
      <c r="F9116" s="28">
        <v>46171.0</v>
      </c>
      <c r="G9116" s="29"/>
    </row>
    <row r="9117" ht="15.75" customHeight="1">
      <c r="A9117" s="30" t="s">
        <v>12781</v>
      </c>
      <c r="B9117" s="31" t="s">
        <v>818</v>
      </c>
      <c r="C9117" s="31" t="s">
        <v>3656</v>
      </c>
      <c r="D9117" s="30" t="s">
        <v>3663</v>
      </c>
      <c r="E9117" s="32">
        <v>46113.0</v>
      </c>
      <c r="F9117" s="32">
        <v>46171.0</v>
      </c>
      <c r="G9117" s="33"/>
    </row>
    <row r="9118" ht="15.75" customHeight="1">
      <c r="A9118" s="26" t="s">
        <v>12782</v>
      </c>
      <c r="B9118" s="27" t="s">
        <v>818</v>
      </c>
      <c r="C9118" s="27" t="s">
        <v>3657</v>
      </c>
      <c r="D9118" s="26" t="s">
        <v>3663</v>
      </c>
      <c r="E9118" s="28">
        <v>46113.0</v>
      </c>
      <c r="F9118" s="28">
        <v>46171.0</v>
      </c>
      <c r="G9118" s="29"/>
    </row>
    <row r="9119" ht="15.75" customHeight="1">
      <c r="A9119" s="30" t="s">
        <v>12783</v>
      </c>
      <c r="B9119" s="31" t="s">
        <v>818</v>
      </c>
      <c r="C9119" s="31" t="s">
        <v>1216</v>
      </c>
      <c r="D9119" s="30" t="s">
        <v>3663</v>
      </c>
      <c r="E9119" s="32">
        <v>46113.0</v>
      </c>
      <c r="F9119" s="32">
        <v>46171.0</v>
      </c>
      <c r="G9119" s="33"/>
    </row>
    <row r="9120" ht="15.75" customHeight="1">
      <c r="A9120" s="26" t="s">
        <v>12784</v>
      </c>
      <c r="B9120" s="27" t="s">
        <v>818</v>
      </c>
      <c r="C9120" s="27" t="s">
        <v>1351</v>
      </c>
      <c r="D9120" s="26" t="s">
        <v>3663</v>
      </c>
      <c r="E9120" s="28">
        <v>46113.0</v>
      </c>
      <c r="F9120" s="28">
        <v>46171.0</v>
      </c>
      <c r="G9120" s="29"/>
    </row>
    <row r="9121" ht="15.75" customHeight="1">
      <c r="A9121" s="30" t="s">
        <v>12785</v>
      </c>
      <c r="B9121" s="31" t="s">
        <v>818</v>
      </c>
      <c r="C9121" s="31" t="s">
        <v>1349</v>
      </c>
      <c r="D9121" s="30" t="s">
        <v>3663</v>
      </c>
      <c r="E9121" s="32">
        <v>46113.0</v>
      </c>
      <c r="F9121" s="32">
        <v>46171.0</v>
      </c>
      <c r="G9121" s="33"/>
    </row>
    <row r="9122" ht="15.75" customHeight="1">
      <c r="A9122" s="26" t="s">
        <v>12786</v>
      </c>
      <c r="B9122" s="27" t="s">
        <v>818</v>
      </c>
      <c r="C9122" s="27" t="s">
        <v>968</v>
      </c>
      <c r="D9122" s="26" t="s">
        <v>3663</v>
      </c>
      <c r="E9122" s="28">
        <v>46113.0</v>
      </c>
      <c r="F9122" s="28">
        <v>46171.0</v>
      </c>
      <c r="G9122" s="29"/>
    </row>
    <row r="9123" ht="15.75" customHeight="1">
      <c r="A9123" s="30" t="s">
        <v>12787</v>
      </c>
      <c r="B9123" s="31" t="s">
        <v>818</v>
      </c>
      <c r="C9123" s="31" t="s">
        <v>923</v>
      </c>
      <c r="D9123" s="31" t="s">
        <v>3663</v>
      </c>
      <c r="E9123" s="32">
        <v>46113.0</v>
      </c>
      <c r="F9123" s="32">
        <v>46171.0</v>
      </c>
      <c r="G9123" s="33"/>
    </row>
    <row r="9124" ht="15.75" customHeight="1">
      <c r="A9124" s="26" t="s">
        <v>12788</v>
      </c>
      <c r="B9124" s="27" t="s">
        <v>819</v>
      </c>
      <c r="C9124" s="27" t="s">
        <v>3654</v>
      </c>
      <c r="D9124" s="26" t="s">
        <v>3663</v>
      </c>
      <c r="E9124" s="28">
        <v>46113.0</v>
      </c>
      <c r="F9124" s="28">
        <v>46171.0</v>
      </c>
      <c r="G9124" s="29"/>
    </row>
    <row r="9125" ht="15.75" customHeight="1">
      <c r="A9125" s="30" t="s">
        <v>12789</v>
      </c>
      <c r="B9125" s="31" t="s">
        <v>819</v>
      </c>
      <c r="C9125" s="31" t="s">
        <v>3655</v>
      </c>
      <c r="D9125" s="30" t="s">
        <v>3663</v>
      </c>
      <c r="E9125" s="32">
        <v>46113.0</v>
      </c>
      <c r="F9125" s="32">
        <v>46171.0</v>
      </c>
      <c r="G9125" s="33"/>
    </row>
    <row r="9126" ht="15.75" customHeight="1">
      <c r="A9126" s="26" t="s">
        <v>12790</v>
      </c>
      <c r="B9126" s="27" t="s">
        <v>819</v>
      </c>
      <c r="C9126" s="27" t="s">
        <v>3638</v>
      </c>
      <c r="D9126" s="26" t="s">
        <v>3663</v>
      </c>
      <c r="E9126" s="28">
        <v>46113.0</v>
      </c>
      <c r="F9126" s="28">
        <v>46171.0</v>
      </c>
      <c r="G9126" s="29"/>
    </row>
    <row r="9127" ht="15.75" customHeight="1">
      <c r="A9127" s="30" t="s">
        <v>12791</v>
      </c>
      <c r="B9127" s="31" t="s">
        <v>819</v>
      </c>
      <c r="C9127" s="31" t="s">
        <v>930</v>
      </c>
      <c r="D9127" s="30" t="s">
        <v>3663</v>
      </c>
      <c r="E9127" s="32">
        <v>46113.0</v>
      </c>
      <c r="F9127" s="32">
        <v>46171.0</v>
      </c>
      <c r="G9127" s="33"/>
    </row>
    <row r="9128" ht="15.75" customHeight="1">
      <c r="A9128" s="26" t="s">
        <v>12792</v>
      </c>
      <c r="B9128" s="27" t="s">
        <v>819</v>
      </c>
      <c r="C9128" s="27" t="s">
        <v>1354</v>
      </c>
      <c r="D9128" s="26" t="s">
        <v>3663</v>
      </c>
      <c r="E9128" s="28">
        <v>46113.0</v>
      </c>
      <c r="F9128" s="28">
        <v>46171.0</v>
      </c>
      <c r="G9128" s="29"/>
    </row>
    <row r="9129" ht="15.75" customHeight="1">
      <c r="A9129" s="30" t="s">
        <v>12793</v>
      </c>
      <c r="B9129" s="31" t="s">
        <v>819</v>
      </c>
      <c r="C9129" s="31" t="s">
        <v>3605</v>
      </c>
      <c r="D9129" s="30" t="s">
        <v>3663</v>
      </c>
      <c r="E9129" s="32">
        <v>46113.0</v>
      </c>
      <c r="F9129" s="32">
        <v>46171.0</v>
      </c>
      <c r="G9129" s="33"/>
    </row>
    <row r="9130" ht="15.75" customHeight="1">
      <c r="A9130" s="26" t="s">
        <v>12794</v>
      </c>
      <c r="B9130" s="27" t="s">
        <v>819</v>
      </c>
      <c r="C9130" s="27" t="s">
        <v>1157</v>
      </c>
      <c r="D9130" s="26" t="s">
        <v>3663</v>
      </c>
      <c r="E9130" s="28">
        <v>46113.0</v>
      </c>
      <c r="F9130" s="28">
        <v>46171.0</v>
      </c>
      <c r="G9130" s="29"/>
    </row>
    <row r="9131" ht="15.75" customHeight="1">
      <c r="A9131" s="30" t="s">
        <v>12795</v>
      </c>
      <c r="B9131" s="31" t="s">
        <v>819</v>
      </c>
      <c r="C9131" s="31" t="s">
        <v>1155</v>
      </c>
      <c r="D9131" s="30" t="s">
        <v>3663</v>
      </c>
      <c r="E9131" s="32">
        <v>46113.0</v>
      </c>
      <c r="F9131" s="32">
        <v>46171.0</v>
      </c>
      <c r="G9131" s="33"/>
    </row>
    <row r="9132" ht="15.75" customHeight="1">
      <c r="A9132" s="26" t="s">
        <v>12796</v>
      </c>
      <c r="B9132" s="27" t="s">
        <v>819</v>
      </c>
      <c r="C9132" s="27" t="s">
        <v>1153</v>
      </c>
      <c r="D9132" s="26" t="s">
        <v>3663</v>
      </c>
      <c r="E9132" s="28">
        <v>46113.0</v>
      </c>
      <c r="F9132" s="28">
        <v>46171.0</v>
      </c>
      <c r="G9132" s="29"/>
    </row>
    <row r="9133" ht="15.75" customHeight="1">
      <c r="A9133" s="30" t="s">
        <v>12797</v>
      </c>
      <c r="B9133" s="31" t="s">
        <v>819</v>
      </c>
      <c r="C9133" s="31" t="s">
        <v>1149</v>
      </c>
      <c r="D9133" s="30" t="s">
        <v>3663</v>
      </c>
      <c r="E9133" s="32">
        <v>46113.0</v>
      </c>
      <c r="F9133" s="32">
        <v>46171.0</v>
      </c>
      <c r="G9133" s="33"/>
    </row>
    <row r="9134" ht="15.75" customHeight="1">
      <c r="A9134" s="26" t="s">
        <v>12798</v>
      </c>
      <c r="B9134" s="27" t="s">
        <v>819</v>
      </c>
      <c r="C9134" s="27" t="s">
        <v>1351</v>
      </c>
      <c r="D9134" s="26" t="s">
        <v>3663</v>
      </c>
      <c r="E9134" s="28">
        <v>46113.0</v>
      </c>
      <c r="F9134" s="28">
        <v>46171.0</v>
      </c>
      <c r="G9134" s="29"/>
    </row>
    <row r="9135" ht="15.75" customHeight="1">
      <c r="A9135" s="30" t="s">
        <v>12799</v>
      </c>
      <c r="B9135" s="31" t="s">
        <v>819</v>
      </c>
      <c r="C9135" s="31" t="s">
        <v>1349</v>
      </c>
      <c r="D9135" s="30" t="s">
        <v>3663</v>
      </c>
      <c r="E9135" s="32">
        <v>46113.0</v>
      </c>
      <c r="F9135" s="32">
        <v>46171.0</v>
      </c>
      <c r="G9135" s="33"/>
    </row>
    <row r="9136" ht="15.75" customHeight="1">
      <c r="A9136" s="26" t="s">
        <v>12800</v>
      </c>
      <c r="B9136" s="27" t="s">
        <v>819</v>
      </c>
      <c r="C9136" s="27" t="s">
        <v>965</v>
      </c>
      <c r="D9136" s="26" t="s">
        <v>3663</v>
      </c>
      <c r="E9136" s="28">
        <v>46113.0</v>
      </c>
      <c r="F9136" s="28">
        <v>46171.0</v>
      </c>
      <c r="G9136" s="29"/>
    </row>
    <row r="9137" ht="15.75" customHeight="1">
      <c r="A9137" s="30" t="s">
        <v>12801</v>
      </c>
      <c r="B9137" s="31" t="s">
        <v>819</v>
      </c>
      <c r="C9137" s="31" t="s">
        <v>923</v>
      </c>
      <c r="D9137" s="30" t="s">
        <v>3663</v>
      </c>
      <c r="E9137" s="32">
        <v>46113.0</v>
      </c>
      <c r="F9137" s="32">
        <v>46171.0</v>
      </c>
      <c r="G9137" s="33"/>
    </row>
    <row r="9138" ht="15.75" customHeight="1">
      <c r="A9138" s="26" t="s">
        <v>12802</v>
      </c>
      <c r="B9138" s="27" t="s">
        <v>820</v>
      </c>
      <c r="C9138" s="27" t="s">
        <v>1240</v>
      </c>
      <c r="D9138" s="27" t="s">
        <v>3663</v>
      </c>
      <c r="E9138" s="28">
        <v>46113.0</v>
      </c>
      <c r="F9138" s="28">
        <v>46171.0</v>
      </c>
      <c r="G9138" s="29"/>
    </row>
    <row r="9139" ht="15.75" customHeight="1">
      <c r="A9139" s="30" t="s">
        <v>12803</v>
      </c>
      <c r="B9139" s="31" t="s">
        <v>820</v>
      </c>
      <c r="C9139" s="31" t="s">
        <v>1242</v>
      </c>
      <c r="D9139" s="31" t="s">
        <v>3663</v>
      </c>
      <c r="E9139" s="32">
        <v>46113.0</v>
      </c>
      <c r="F9139" s="32">
        <v>46171.0</v>
      </c>
      <c r="G9139" s="33"/>
    </row>
    <row r="9140" ht="15.75" customHeight="1">
      <c r="A9140" s="26" t="s">
        <v>12804</v>
      </c>
      <c r="B9140" s="27" t="s">
        <v>820</v>
      </c>
      <c r="C9140" s="27" t="s">
        <v>1244</v>
      </c>
      <c r="D9140" s="27" t="s">
        <v>3663</v>
      </c>
      <c r="E9140" s="28">
        <v>46113.0</v>
      </c>
      <c r="F9140" s="28">
        <v>46171.0</v>
      </c>
      <c r="G9140" s="29"/>
    </row>
    <row r="9141" ht="15.75" customHeight="1">
      <c r="A9141" s="30" t="s">
        <v>12805</v>
      </c>
      <c r="B9141" s="31" t="s">
        <v>820</v>
      </c>
      <c r="C9141" s="31" t="s">
        <v>1246</v>
      </c>
      <c r="D9141" s="31" t="s">
        <v>3663</v>
      </c>
      <c r="E9141" s="32">
        <v>46113.0</v>
      </c>
      <c r="F9141" s="32">
        <v>46171.0</v>
      </c>
      <c r="G9141" s="33"/>
    </row>
    <row r="9142" ht="15.75" customHeight="1">
      <c r="A9142" s="26" t="s">
        <v>12806</v>
      </c>
      <c r="B9142" s="27" t="s">
        <v>820</v>
      </c>
      <c r="C9142" s="27" t="s">
        <v>3654</v>
      </c>
      <c r="D9142" s="26" t="s">
        <v>3663</v>
      </c>
      <c r="E9142" s="28">
        <v>46113.0</v>
      </c>
      <c r="F9142" s="28">
        <v>46171.0</v>
      </c>
      <c r="G9142" s="29"/>
    </row>
    <row r="9143" ht="15.75" customHeight="1">
      <c r="A9143" s="30" t="s">
        <v>12807</v>
      </c>
      <c r="B9143" s="31" t="s">
        <v>820</v>
      </c>
      <c r="C9143" s="31" t="s">
        <v>3655</v>
      </c>
      <c r="D9143" s="30" t="s">
        <v>3663</v>
      </c>
      <c r="E9143" s="32">
        <v>46113.0</v>
      </c>
      <c r="F9143" s="32">
        <v>46171.0</v>
      </c>
      <c r="G9143" s="33"/>
    </row>
    <row r="9144" ht="15.75" customHeight="1">
      <c r="A9144" s="26" t="s">
        <v>12808</v>
      </c>
      <c r="B9144" s="27" t="s">
        <v>820</v>
      </c>
      <c r="C9144" s="27" t="s">
        <v>934</v>
      </c>
      <c r="D9144" s="27" t="s">
        <v>3663</v>
      </c>
      <c r="E9144" s="28">
        <v>46113.0</v>
      </c>
      <c r="F9144" s="28">
        <v>46171.0</v>
      </c>
      <c r="G9144" s="29"/>
    </row>
    <row r="9145" ht="15.75" customHeight="1">
      <c r="A9145" s="30" t="s">
        <v>12809</v>
      </c>
      <c r="B9145" s="31" t="s">
        <v>820</v>
      </c>
      <c r="C9145" s="31" t="s">
        <v>1354</v>
      </c>
      <c r="D9145" s="30" t="s">
        <v>3663</v>
      </c>
      <c r="E9145" s="32">
        <v>46113.0</v>
      </c>
      <c r="F9145" s="32">
        <v>46171.0</v>
      </c>
      <c r="G9145" s="33"/>
    </row>
    <row r="9146" ht="15.75" customHeight="1">
      <c r="A9146" s="26" t="s">
        <v>12810</v>
      </c>
      <c r="B9146" s="27" t="s">
        <v>820</v>
      </c>
      <c r="C9146" s="27" t="s">
        <v>1172</v>
      </c>
      <c r="D9146" s="26" t="s">
        <v>3663</v>
      </c>
      <c r="E9146" s="28">
        <v>46113.0</v>
      </c>
      <c r="F9146" s="28">
        <v>46171.0</v>
      </c>
      <c r="G9146" s="29"/>
    </row>
    <row r="9147" ht="15.75" customHeight="1">
      <c r="A9147" s="30" t="s">
        <v>12811</v>
      </c>
      <c r="B9147" s="31" t="s">
        <v>820</v>
      </c>
      <c r="C9147" s="31" t="s">
        <v>1312</v>
      </c>
      <c r="D9147" s="30" t="s">
        <v>3663</v>
      </c>
      <c r="E9147" s="32">
        <v>46113.0</v>
      </c>
      <c r="F9147" s="32">
        <v>46171.0</v>
      </c>
      <c r="G9147" s="33"/>
    </row>
    <row r="9148" ht="15.75" customHeight="1">
      <c r="A9148" s="26" t="s">
        <v>12812</v>
      </c>
      <c r="B9148" s="27" t="s">
        <v>820</v>
      </c>
      <c r="C9148" s="27" t="s">
        <v>1351</v>
      </c>
      <c r="D9148" s="26" t="s">
        <v>3663</v>
      </c>
      <c r="E9148" s="28">
        <v>46113.0</v>
      </c>
      <c r="F9148" s="28">
        <v>46171.0</v>
      </c>
      <c r="G9148" s="29"/>
    </row>
    <row r="9149" ht="15.75" customHeight="1">
      <c r="A9149" s="30" t="s">
        <v>12813</v>
      </c>
      <c r="B9149" s="31" t="s">
        <v>820</v>
      </c>
      <c r="C9149" s="31" t="s">
        <v>1349</v>
      </c>
      <c r="D9149" s="30" t="s">
        <v>3663</v>
      </c>
      <c r="E9149" s="32">
        <v>46113.0</v>
      </c>
      <c r="F9149" s="32">
        <v>46171.0</v>
      </c>
      <c r="G9149" s="33"/>
    </row>
    <row r="9150" ht="15.75" customHeight="1">
      <c r="A9150" s="26" t="s">
        <v>12814</v>
      </c>
      <c r="B9150" s="27" t="s">
        <v>820</v>
      </c>
      <c r="C9150" s="27" t="s">
        <v>968</v>
      </c>
      <c r="D9150" s="26" t="s">
        <v>3663</v>
      </c>
      <c r="E9150" s="28">
        <v>46113.0</v>
      </c>
      <c r="F9150" s="28">
        <v>46171.0</v>
      </c>
      <c r="G9150" s="29"/>
    </row>
    <row r="9151" ht="15.75" customHeight="1">
      <c r="A9151" s="30" t="s">
        <v>12815</v>
      </c>
      <c r="B9151" s="31" t="s">
        <v>820</v>
      </c>
      <c r="C9151" s="31" t="s">
        <v>923</v>
      </c>
      <c r="D9151" s="31" t="s">
        <v>3663</v>
      </c>
      <c r="E9151" s="32">
        <v>46113.0</v>
      </c>
      <c r="F9151" s="32">
        <v>46171.0</v>
      </c>
      <c r="G9151" s="33"/>
    </row>
    <row r="9152" ht="15.75" customHeight="1">
      <c r="A9152" s="26" t="s">
        <v>12816</v>
      </c>
      <c r="B9152" s="27" t="s">
        <v>821</v>
      </c>
      <c r="C9152" s="27" t="s">
        <v>928</v>
      </c>
      <c r="D9152" s="26" t="s">
        <v>3663</v>
      </c>
      <c r="E9152" s="28">
        <v>46113.0</v>
      </c>
      <c r="F9152" s="28">
        <v>46171.0</v>
      </c>
      <c r="G9152" s="29"/>
    </row>
    <row r="9153" ht="15.75" customHeight="1">
      <c r="A9153" s="30" t="s">
        <v>12817</v>
      </c>
      <c r="B9153" s="31" t="s">
        <v>821</v>
      </c>
      <c r="C9153" s="31" t="s">
        <v>1354</v>
      </c>
      <c r="D9153" s="30" t="s">
        <v>3663</v>
      </c>
      <c r="E9153" s="32">
        <v>46113.0</v>
      </c>
      <c r="F9153" s="32">
        <v>46171.0</v>
      </c>
      <c r="G9153" s="33"/>
    </row>
    <row r="9154" ht="15.75" customHeight="1">
      <c r="A9154" s="26" t="s">
        <v>12818</v>
      </c>
      <c r="B9154" s="27" t="s">
        <v>821</v>
      </c>
      <c r="C9154" s="27" t="s">
        <v>1222</v>
      </c>
      <c r="D9154" s="26" t="s">
        <v>3663</v>
      </c>
      <c r="E9154" s="28">
        <v>46113.0</v>
      </c>
      <c r="F9154" s="28">
        <v>46171.0</v>
      </c>
      <c r="G9154" s="29"/>
    </row>
    <row r="9155" ht="15.75" customHeight="1">
      <c r="A9155" s="30" t="s">
        <v>12819</v>
      </c>
      <c r="B9155" s="31" t="s">
        <v>821</v>
      </c>
      <c r="C9155" s="31" t="s">
        <v>1224</v>
      </c>
      <c r="D9155" s="30" t="s">
        <v>3663</v>
      </c>
      <c r="E9155" s="32">
        <v>46113.0</v>
      </c>
      <c r="F9155" s="32">
        <v>46171.0</v>
      </c>
      <c r="G9155" s="33"/>
    </row>
    <row r="9156" ht="15.75" customHeight="1">
      <c r="A9156" s="26" t="s">
        <v>12820</v>
      </c>
      <c r="B9156" s="27" t="s">
        <v>821</v>
      </c>
      <c r="C9156" s="27" t="s">
        <v>1226</v>
      </c>
      <c r="D9156" s="26" t="s">
        <v>3663</v>
      </c>
      <c r="E9156" s="28">
        <v>46113.0</v>
      </c>
      <c r="F9156" s="28">
        <v>46171.0</v>
      </c>
      <c r="G9156" s="29"/>
    </row>
    <row r="9157" ht="15.75" customHeight="1">
      <c r="A9157" s="30" t="s">
        <v>12821</v>
      </c>
      <c r="B9157" s="31" t="s">
        <v>821</v>
      </c>
      <c r="C9157" s="31" t="s">
        <v>1228</v>
      </c>
      <c r="D9157" s="30" t="s">
        <v>3663</v>
      </c>
      <c r="E9157" s="32">
        <v>46113.0</v>
      </c>
      <c r="F9157" s="32">
        <v>46171.0</v>
      </c>
      <c r="G9157" s="33"/>
    </row>
    <row r="9158" ht="15.75" customHeight="1">
      <c r="A9158" s="26" t="s">
        <v>12822</v>
      </c>
      <c r="B9158" s="27" t="s">
        <v>821</v>
      </c>
      <c r="C9158" s="27" t="s">
        <v>1218</v>
      </c>
      <c r="D9158" s="26" t="s">
        <v>3663</v>
      </c>
      <c r="E9158" s="28">
        <v>46113.0</v>
      </c>
      <c r="F9158" s="28">
        <v>46171.0</v>
      </c>
      <c r="G9158" s="29"/>
    </row>
    <row r="9159" ht="15.75" customHeight="1">
      <c r="A9159" s="30" t="s">
        <v>12823</v>
      </c>
      <c r="B9159" s="31" t="s">
        <v>821</v>
      </c>
      <c r="C9159" s="31" t="s">
        <v>1351</v>
      </c>
      <c r="D9159" s="30" t="s">
        <v>3663</v>
      </c>
      <c r="E9159" s="32">
        <v>46113.0</v>
      </c>
      <c r="F9159" s="32">
        <v>46171.0</v>
      </c>
      <c r="G9159" s="33"/>
    </row>
    <row r="9160" ht="15.75" customHeight="1">
      <c r="A9160" s="26" t="s">
        <v>12824</v>
      </c>
      <c r="B9160" s="27" t="s">
        <v>821</v>
      </c>
      <c r="C9160" s="27" t="s">
        <v>1349</v>
      </c>
      <c r="D9160" s="26" t="s">
        <v>3663</v>
      </c>
      <c r="E9160" s="28">
        <v>46113.0</v>
      </c>
      <c r="F9160" s="28">
        <v>46171.0</v>
      </c>
      <c r="G9160" s="29"/>
    </row>
    <row r="9161" ht="15.75" customHeight="1">
      <c r="A9161" s="30" t="s">
        <v>12825</v>
      </c>
      <c r="B9161" s="31" t="s">
        <v>821</v>
      </c>
      <c r="C9161" s="31" t="s">
        <v>3653</v>
      </c>
      <c r="D9161" s="30" t="s">
        <v>3663</v>
      </c>
      <c r="E9161" s="32">
        <v>46113.0</v>
      </c>
      <c r="F9161" s="32">
        <v>46171.0</v>
      </c>
      <c r="G9161" s="33"/>
    </row>
    <row r="9162" ht="15.75" customHeight="1">
      <c r="A9162" s="26" t="s">
        <v>12826</v>
      </c>
      <c r="B9162" s="27" t="s">
        <v>821</v>
      </c>
      <c r="C9162" s="27" t="s">
        <v>3652</v>
      </c>
      <c r="D9162" s="26" t="s">
        <v>3663</v>
      </c>
      <c r="E9162" s="28">
        <v>46113.0</v>
      </c>
      <c r="F9162" s="28">
        <v>46171.0</v>
      </c>
      <c r="G9162" s="29"/>
    </row>
    <row r="9163" ht="15.75" customHeight="1">
      <c r="A9163" s="30" t="s">
        <v>12827</v>
      </c>
      <c r="B9163" s="31" t="s">
        <v>821</v>
      </c>
      <c r="C9163" s="31" t="s">
        <v>968</v>
      </c>
      <c r="D9163" s="30" t="s">
        <v>3663</v>
      </c>
      <c r="E9163" s="32">
        <v>46113.0</v>
      </c>
      <c r="F9163" s="32">
        <v>46171.0</v>
      </c>
      <c r="G9163" s="33"/>
    </row>
    <row r="9164" ht="15.75" customHeight="1">
      <c r="A9164" s="26" t="s">
        <v>12828</v>
      </c>
      <c r="B9164" s="27" t="s">
        <v>821</v>
      </c>
      <c r="C9164" s="27" t="s">
        <v>923</v>
      </c>
      <c r="D9164" s="26" t="s">
        <v>3663</v>
      </c>
      <c r="E9164" s="28">
        <v>46113.0</v>
      </c>
      <c r="F9164" s="28">
        <v>46171.0</v>
      </c>
      <c r="G9164" s="29"/>
    </row>
    <row r="9165" ht="15.75" customHeight="1">
      <c r="A9165" s="30" t="s">
        <v>12829</v>
      </c>
      <c r="B9165" s="31" t="s">
        <v>821</v>
      </c>
      <c r="C9165" s="31" t="s">
        <v>955</v>
      </c>
      <c r="D9165" s="30" t="s">
        <v>3663</v>
      </c>
      <c r="E9165" s="32">
        <v>46113.0</v>
      </c>
      <c r="F9165" s="32">
        <v>46171.0</v>
      </c>
      <c r="G9165" s="33"/>
    </row>
    <row r="9166" ht="15.75" customHeight="1">
      <c r="A9166" s="26" t="s">
        <v>12830</v>
      </c>
      <c r="B9166" s="27" t="s">
        <v>822</v>
      </c>
      <c r="C9166" s="27" t="s">
        <v>1240</v>
      </c>
      <c r="D9166" s="26" t="s">
        <v>3663</v>
      </c>
      <c r="E9166" s="28">
        <v>46113.0</v>
      </c>
      <c r="F9166" s="28">
        <v>46171.0</v>
      </c>
      <c r="G9166" s="29"/>
    </row>
    <row r="9167" ht="15.75" customHeight="1">
      <c r="A9167" s="30" t="s">
        <v>12831</v>
      </c>
      <c r="B9167" s="31" t="s">
        <v>822</v>
      </c>
      <c r="C9167" s="31" t="s">
        <v>1242</v>
      </c>
      <c r="D9167" s="30" t="s">
        <v>3663</v>
      </c>
      <c r="E9167" s="32">
        <v>46113.0</v>
      </c>
      <c r="F9167" s="32">
        <v>46171.0</v>
      </c>
      <c r="G9167" s="33"/>
    </row>
    <row r="9168" ht="15.75" customHeight="1">
      <c r="A9168" s="26" t="s">
        <v>12832</v>
      </c>
      <c r="B9168" s="27" t="s">
        <v>822</v>
      </c>
      <c r="C9168" s="27" t="s">
        <v>1244</v>
      </c>
      <c r="D9168" s="26" t="s">
        <v>3663</v>
      </c>
      <c r="E9168" s="28">
        <v>46113.0</v>
      </c>
      <c r="F9168" s="28">
        <v>46171.0</v>
      </c>
      <c r="G9168" s="29"/>
    </row>
    <row r="9169" ht="15.75" customHeight="1">
      <c r="A9169" s="30" t="s">
        <v>12833</v>
      </c>
      <c r="B9169" s="31" t="s">
        <v>822</v>
      </c>
      <c r="C9169" s="31" t="s">
        <v>1246</v>
      </c>
      <c r="D9169" s="30" t="s">
        <v>3663</v>
      </c>
      <c r="E9169" s="32">
        <v>46113.0</v>
      </c>
      <c r="F9169" s="32">
        <v>46171.0</v>
      </c>
      <c r="G9169" s="33"/>
    </row>
    <row r="9170" ht="15.75" customHeight="1">
      <c r="A9170" s="26" t="s">
        <v>12834</v>
      </c>
      <c r="B9170" s="27" t="s">
        <v>822</v>
      </c>
      <c r="C9170" s="27" t="s">
        <v>934</v>
      </c>
      <c r="D9170" s="26" t="s">
        <v>3663</v>
      </c>
      <c r="E9170" s="28">
        <v>46113.0</v>
      </c>
      <c r="F9170" s="28">
        <v>46171.0</v>
      </c>
      <c r="G9170" s="29"/>
    </row>
    <row r="9171" ht="15.75" customHeight="1">
      <c r="A9171" s="30" t="s">
        <v>12835</v>
      </c>
      <c r="B9171" s="31" t="s">
        <v>822</v>
      </c>
      <c r="C9171" s="31" t="s">
        <v>1354</v>
      </c>
      <c r="D9171" s="30" t="s">
        <v>3663</v>
      </c>
      <c r="E9171" s="32">
        <v>46113.0</v>
      </c>
      <c r="F9171" s="32">
        <v>46171.0</v>
      </c>
      <c r="G9171" s="33"/>
    </row>
    <row r="9172" ht="15.75" customHeight="1">
      <c r="A9172" s="26" t="s">
        <v>12836</v>
      </c>
      <c r="B9172" s="27" t="s">
        <v>822</v>
      </c>
      <c r="C9172" s="27" t="s">
        <v>1159</v>
      </c>
      <c r="D9172" s="26" t="s">
        <v>3663</v>
      </c>
      <c r="E9172" s="28">
        <v>46113.0</v>
      </c>
      <c r="F9172" s="28">
        <v>46171.0</v>
      </c>
      <c r="G9172" s="29"/>
    </row>
    <row r="9173" ht="15.75" customHeight="1">
      <c r="A9173" s="30" t="s">
        <v>12837</v>
      </c>
      <c r="B9173" s="31" t="s">
        <v>822</v>
      </c>
      <c r="C9173" s="31" t="s">
        <v>3656</v>
      </c>
      <c r="D9173" s="30" t="s">
        <v>3663</v>
      </c>
      <c r="E9173" s="32">
        <v>46113.0</v>
      </c>
      <c r="F9173" s="32">
        <v>46171.0</v>
      </c>
      <c r="G9173" s="33"/>
    </row>
    <row r="9174" ht="15.75" customHeight="1">
      <c r="A9174" s="26" t="s">
        <v>12838</v>
      </c>
      <c r="B9174" s="27" t="s">
        <v>822</v>
      </c>
      <c r="C9174" s="27" t="s">
        <v>3657</v>
      </c>
      <c r="D9174" s="26" t="s">
        <v>3663</v>
      </c>
      <c r="E9174" s="28">
        <v>46113.0</v>
      </c>
      <c r="F9174" s="28">
        <v>46171.0</v>
      </c>
      <c r="G9174" s="29"/>
    </row>
    <row r="9175" ht="15.75" customHeight="1">
      <c r="A9175" s="30" t="s">
        <v>12839</v>
      </c>
      <c r="B9175" s="31" t="s">
        <v>822</v>
      </c>
      <c r="C9175" s="31" t="s">
        <v>1216</v>
      </c>
      <c r="D9175" s="30" t="s">
        <v>3663</v>
      </c>
      <c r="E9175" s="32">
        <v>46113.0</v>
      </c>
      <c r="F9175" s="32">
        <v>46171.0</v>
      </c>
      <c r="G9175" s="33"/>
    </row>
    <row r="9176" ht="15.75" customHeight="1">
      <c r="A9176" s="26" t="s">
        <v>12840</v>
      </c>
      <c r="B9176" s="27" t="s">
        <v>822</v>
      </c>
      <c r="C9176" s="27" t="s">
        <v>1351</v>
      </c>
      <c r="D9176" s="26" t="s">
        <v>3663</v>
      </c>
      <c r="E9176" s="28">
        <v>46113.0</v>
      </c>
      <c r="F9176" s="28">
        <v>46171.0</v>
      </c>
      <c r="G9176" s="29"/>
    </row>
    <row r="9177" ht="15.75" customHeight="1">
      <c r="A9177" s="30" t="s">
        <v>12841</v>
      </c>
      <c r="B9177" s="31" t="s">
        <v>822</v>
      </c>
      <c r="C9177" s="31" t="s">
        <v>1349</v>
      </c>
      <c r="D9177" s="30" t="s">
        <v>3663</v>
      </c>
      <c r="E9177" s="32">
        <v>46113.0</v>
      </c>
      <c r="F9177" s="32">
        <v>46171.0</v>
      </c>
      <c r="G9177" s="33"/>
    </row>
    <row r="9178" ht="15.75" customHeight="1">
      <c r="A9178" s="26" t="s">
        <v>12842</v>
      </c>
      <c r="B9178" s="27" t="s">
        <v>822</v>
      </c>
      <c r="C9178" s="27" t="s">
        <v>968</v>
      </c>
      <c r="D9178" s="26" t="s">
        <v>3663</v>
      </c>
      <c r="E9178" s="28">
        <v>46113.0</v>
      </c>
      <c r="F9178" s="28">
        <v>46171.0</v>
      </c>
      <c r="G9178" s="29"/>
    </row>
    <row r="9179" ht="15.75" customHeight="1">
      <c r="A9179" s="30" t="s">
        <v>12843</v>
      </c>
      <c r="B9179" s="31" t="s">
        <v>822</v>
      </c>
      <c r="C9179" s="31" t="s">
        <v>923</v>
      </c>
      <c r="D9179" s="30" t="s">
        <v>3663</v>
      </c>
      <c r="E9179" s="32">
        <v>46113.0</v>
      </c>
      <c r="F9179" s="32">
        <v>46171.0</v>
      </c>
      <c r="G9179" s="33"/>
    </row>
    <row r="9180" ht="15.75" customHeight="1">
      <c r="A9180" s="26" t="s">
        <v>12844</v>
      </c>
      <c r="B9180" s="27" t="s">
        <v>823</v>
      </c>
      <c r="C9180" s="27" t="s">
        <v>928</v>
      </c>
      <c r="D9180" s="26" t="s">
        <v>3663</v>
      </c>
      <c r="E9180" s="28">
        <v>46113.0</v>
      </c>
      <c r="F9180" s="28">
        <v>46171.0</v>
      </c>
      <c r="G9180" s="29"/>
    </row>
    <row r="9181" ht="15.75" customHeight="1">
      <c r="A9181" s="30" t="s">
        <v>12845</v>
      </c>
      <c r="B9181" s="31" t="s">
        <v>823</v>
      </c>
      <c r="C9181" s="31" t="s">
        <v>1354</v>
      </c>
      <c r="D9181" s="30" t="s">
        <v>3663</v>
      </c>
      <c r="E9181" s="32">
        <v>46113.0</v>
      </c>
      <c r="F9181" s="32">
        <v>46171.0</v>
      </c>
      <c r="G9181" s="33"/>
    </row>
    <row r="9182" ht="15.75" customHeight="1">
      <c r="A9182" s="26" t="s">
        <v>12846</v>
      </c>
      <c r="B9182" s="27" t="s">
        <v>823</v>
      </c>
      <c r="C9182" s="27" t="s">
        <v>1222</v>
      </c>
      <c r="D9182" s="26" t="s">
        <v>3663</v>
      </c>
      <c r="E9182" s="28">
        <v>46113.0</v>
      </c>
      <c r="F9182" s="28">
        <v>46171.0</v>
      </c>
      <c r="G9182" s="29"/>
    </row>
    <row r="9183" ht="15.75" customHeight="1">
      <c r="A9183" s="30" t="s">
        <v>12847</v>
      </c>
      <c r="B9183" s="31" t="s">
        <v>823</v>
      </c>
      <c r="C9183" s="31" t="s">
        <v>1224</v>
      </c>
      <c r="D9183" s="30" t="s">
        <v>3663</v>
      </c>
      <c r="E9183" s="32">
        <v>46113.0</v>
      </c>
      <c r="F9183" s="32">
        <v>46171.0</v>
      </c>
      <c r="G9183" s="33"/>
    </row>
    <row r="9184" ht="15.75" customHeight="1">
      <c r="A9184" s="26" t="s">
        <v>12848</v>
      </c>
      <c r="B9184" s="27" t="s">
        <v>823</v>
      </c>
      <c r="C9184" s="27" t="s">
        <v>1226</v>
      </c>
      <c r="D9184" s="26" t="s">
        <v>3663</v>
      </c>
      <c r="E9184" s="28">
        <v>46113.0</v>
      </c>
      <c r="F9184" s="28">
        <v>46171.0</v>
      </c>
      <c r="G9184" s="29"/>
    </row>
    <row r="9185" ht="15.75" customHeight="1">
      <c r="A9185" s="30" t="s">
        <v>12849</v>
      </c>
      <c r="B9185" s="31" t="s">
        <v>823</v>
      </c>
      <c r="C9185" s="31" t="s">
        <v>1228</v>
      </c>
      <c r="D9185" s="30" t="s">
        <v>3663</v>
      </c>
      <c r="E9185" s="32">
        <v>46113.0</v>
      </c>
      <c r="F9185" s="32">
        <v>46171.0</v>
      </c>
      <c r="G9185" s="33"/>
    </row>
    <row r="9186" ht="15.75" customHeight="1">
      <c r="A9186" s="26" t="s">
        <v>12850</v>
      </c>
      <c r="B9186" s="27" t="s">
        <v>823</v>
      </c>
      <c r="C9186" s="27" t="s">
        <v>3681</v>
      </c>
      <c r="D9186" s="26" t="s">
        <v>3663</v>
      </c>
      <c r="E9186" s="28">
        <v>46113.0</v>
      </c>
      <c r="F9186" s="28">
        <v>46171.0</v>
      </c>
      <c r="G9186" s="29"/>
    </row>
    <row r="9187" ht="15.75" customHeight="1">
      <c r="A9187" s="30" t="s">
        <v>12851</v>
      </c>
      <c r="B9187" s="31" t="s">
        <v>823</v>
      </c>
      <c r="C9187" s="31" t="s">
        <v>3683</v>
      </c>
      <c r="D9187" s="30" t="s">
        <v>3663</v>
      </c>
      <c r="E9187" s="32">
        <v>46113.0</v>
      </c>
      <c r="F9187" s="32">
        <v>46171.0</v>
      </c>
      <c r="G9187" s="33"/>
    </row>
    <row r="9188" ht="15.75" customHeight="1">
      <c r="A9188" s="26" t="s">
        <v>12852</v>
      </c>
      <c r="B9188" s="27" t="s">
        <v>823</v>
      </c>
      <c r="C9188" s="27" t="s">
        <v>1351</v>
      </c>
      <c r="D9188" s="26" t="s">
        <v>3663</v>
      </c>
      <c r="E9188" s="28">
        <v>46113.0</v>
      </c>
      <c r="F9188" s="28">
        <v>46171.0</v>
      </c>
      <c r="G9188" s="29"/>
    </row>
    <row r="9189" ht="15.75" customHeight="1">
      <c r="A9189" s="30" t="s">
        <v>12853</v>
      </c>
      <c r="B9189" s="31" t="s">
        <v>823</v>
      </c>
      <c r="C9189" s="31" t="s">
        <v>1349</v>
      </c>
      <c r="D9189" s="30" t="s">
        <v>3663</v>
      </c>
      <c r="E9189" s="32">
        <v>46113.0</v>
      </c>
      <c r="F9189" s="32">
        <v>46171.0</v>
      </c>
      <c r="G9189" s="33"/>
    </row>
    <row r="9190" ht="15.75" customHeight="1">
      <c r="A9190" s="26" t="s">
        <v>12854</v>
      </c>
      <c r="B9190" s="27" t="s">
        <v>823</v>
      </c>
      <c r="C9190" s="27" t="s">
        <v>968</v>
      </c>
      <c r="D9190" s="26" t="s">
        <v>3663</v>
      </c>
      <c r="E9190" s="28">
        <v>46113.0</v>
      </c>
      <c r="F9190" s="28">
        <v>46171.0</v>
      </c>
      <c r="G9190" s="29"/>
    </row>
    <row r="9191" ht="15.75" customHeight="1">
      <c r="A9191" s="30" t="s">
        <v>12855</v>
      </c>
      <c r="B9191" s="31" t="s">
        <v>823</v>
      </c>
      <c r="C9191" s="31" t="s">
        <v>923</v>
      </c>
      <c r="D9191" s="30" t="s">
        <v>3663</v>
      </c>
      <c r="E9191" s="32">
        <v>46113.0</v>
      </c>
      <c r="F9191" s="32">
        <v>46171.0</v>
      </c>
      <c r="G9191" s="33"/>
    </row>
    <row r="9192" ht="15.75" customHeight="1">
      <c r="A9192" s="26" t="s">
        <v>12856</v>
      </c>
      <c r="B9192" s="27" t="s">
        <v>823</v>
      </c>
      <c r="C9192" s="27" t="s">
        <v>961</v>
      </c>
      <c r="D9192" s="26" t="s">
        <v>3663</v>
      </c>
      <c r="E9192" s="28">
        <v>46113.0</v>
      </c>
      <c r="F9192" s="28">
        <v>46171.0</v>
      </c>
      <c r="G9192" s="29"/>
    </row>
    <row r="9193" ht="15.75" customHeight="1">
      <c r="A9193" s="30" t="s">
        <v>12857</v>
      </c>
      <c r="B9193" s="31" t="s">
        <v>823</v>
      </c>
      <c r="C9193" s="31" t="s">
        <v>955</v>
      </c>
      <c r="D9193" s="30" t="s">
        <v>3663</v>
      </c>
      <c r="E9193" s="32">
        <v>46113.0</v>
      </c>
      <c r="F9193" s="32">
        <v>46171.0</v>
      </c>
      <c r="G9193" s="33"/>
    </row>
    <row r="9194" ht="15.75" customHeight="1">
      <c r="A9194" s="26" t="s">
        <v>12858</v>
      </c>
      <c r="B9194" s="27" t="s">
        <v>824</v>
      </c>
      <c r="C9194" s="27" t="s">
        <v>3654</v>
      </c>
      <c r="D9194" s="26" t="s">
        <v>3663</v>
      </c>
      <c r="E9194" s="28">
        <v>46113.0</v>
      </c>
      <c r="F9194" s="28">
        <v>46171.0</v>
      </c>
      <c r="G9194" s="29"/>
    </row>
    <row r="9195" ht="15.75" customHeight="1">
      <c r="A9195" s="30" t="s">
        <v>12859</v>
      </c>
      <c r="B9195" s="31" t="s">
        <v>824</v>
      </c>
      <c r="C9195" s="31" t="s">
        <v>3655</v>
      </c>
      <c r="D9195" s="30" t="s">
        <v>3663</v>
      </c>
      <c r="E9195" s="32">
        <v>46113.0</v>
      </c>
      <c r="F9195" s="32">
        <v>46171.0</v>
      </c>
      <c r="G9195" s="33"/>
    </row>
    <row r="9196" ht="15.75" customHeight="1">
      <c r="A9196" s="26" t="s">
        <v>12860</v>
      </c>
      <c r="B9196" s="27" t="s">
        <v>824</v>
      </c>
      <c r="C9196" s="27" t="s">
        <v>928</v>
      </c>
      <c r="D9196" s="26" t="s">
        <v>3663</v>
      </c>
      <c r="E9196" s="28">
        <v>46113.0</v>
      </c>
      <c r="F9196" s="28">
        <v>46171.0</v>
      </c>
      <c r="G9196" s="29"/>
    </row>
    <row r="9197" ht="15.75" customHeight="1">
      <c r="A9197" s="30" t="s">
        <v>12861</v>
      </c>
      <c r="B9197" s="31" t="s">
        <v>824</v>
      </c>
      <c r="C9197" s="31" t="s">
        <v>1354</v>
      </c>
      <c r="D9197" s="30" t="s">
        <v>3663</v>
      </c>
      <c r="E9197" s="32">
        <v>46113.0</v>
      </c>
      <c r="F9197" s="32">
        <v>46171.0</v>
      </c>
      <c r="G9197" s="33"/>
    </row>
    <row r="9198" ht="15.75" customHeight="1">
      <c r="A9198" s="26" t="s">
        <v>12862</v>
      </c>
      <c r="B9198" s="27" t="s">
        <v>824</v>
      </c>
      <c r="C9198" s="27" t="s">
        <v>1222</v>
      </c>
      <c r="D9198" s="26" t="s">
        <v>3663</v>
      </c>
      <c r="E9198" s="28">
        <v>46113.0</v>
      </c>
      <c r="F9198" s="28">
        <v>46171.0</v>
      </c>
      <c r="G9198" s="29"/>
    </row>
    <row r="9199" ht="15.75" customHeight="1">
      <c r="A9199" s="30" t="s">
        <v>12863</v>
      </c>
      <c r="B9199" s="31" t="s">
        <v>824</v>
      </c>
      <c r="C9199" s="31" t="s">
        <v>1224</v>
      </c>
      <c r="D9199" s="30" t="s">
        <v>3663</v>
      </c>
      <c r="E9199" s="32">
        <v>46113.0</v>
      </c>
      <c r="F9199" s="32">
        <v>46171.0</v>
      </c>
      <c r="G9199" s="33"/>
    </row>
    <row r="9200" ht="15.75" customHeight="1">
      <c r="A9200" s="26" t="s">
        <v>12864</v>
      </c>
      <c r="B9200" s="27" t="s">
        <v>824</v>
      </c>
      <c r="C9200" s="27" t="s">
        <v>1226</v>
      </c>
      <c r="D9200" s="26" t="s">
        <v>3663</v>
      </c>
      <c r="E9200" s="28">
        <v>46113.0</v>
      </c>
      <c r="F9200" s="28">
        <v>46171.0</v>
      </c>
      <c r="G9200" s="29"/>
    </row>
    <row r="9201" ht="15.75" customHeight="1">
      <c r="A9201" s="30" t="s">
        <v>12865</v>
      </c>
      <c r="B9201" s="31" t="s">
        <v>824</v>
      </c>
      <c r="C9201" s="31" t="s">
        <v>1228</v>
      </c>
      <c r="D9201" s="30" t="s">
        <v>3663</v>
      </c>
      <c r="E9201" s="32">
        <v>46113.0</v>
      </c>
      <c r="F9201" s="32">
        <v>46171.0</v>
      </c>
      <c r="G9201" s="33"/>
    </row>
    <row r="9202" ht="15.75" customHeight="1">
      <c r="A9202" s="26" t="s">
        <v>12866</v>
      </c>
      <c r="B9202" s="27" t="s">
        <v>824</v>
      </c>
      <c r="C9202" s="27" t="s">
        <v>1172</v>
      </c>
      <c r="D9202" s="26" t="s">
        <v>3663</v>
      </c>
      <c r="E9202" s="28">
        <v>46113.0</v>
      </c>
      <c r="F9202" s="28">
        <v>46171.0</v>
      </c>
      <c r="G9202" s="29"/>
    </row>
    <row r="9203" ht="15.75" customHeight="1">
      <c r="A9203" s="30" t="s">
        <v>12867</v>
      </c>
      <c r="B9203" s="31" t="s">
        <v>824</v>
      </c>
      <c r="C9203" s="31" t="s">
        <v>1312</v>
      </c>
      <c r="D9203" s="30" t="s">
        <v>3663</v>
      </c>
      <c r="E9203" s="32">
        <v>46113.0</v>
      </c>
      <c r="F9203" s="32">
        <v>46171.0</v>
      </c>
      <c r="G9203" s="33"/>
    </row>
    <row r="9204" ht="15.75" customHeight="1">
      <c r="A9204" s="26" t="s">
        <v>12868</v>
      </c>
      <c r="B9204" s="27" t="s">
        <v>824</v>
      </c>
      <c r="C9204" s="27" t="s">
        <v>1351</v>
      </c>
      <c r="D9204" s="26" t="s">
        <v>3663</v>
      </c>
      <c r="E9204" s="28">
        <v>46113.0</v>
      </c>
      <c r="F9204" s="28">
        <v>46171.0</v>
      </c>
      <c r="G9204" s="29"/>
    </row>
    <row r="9205" ht="15.75" customHeight="1">
      <c r="A9205" s="30" t="s">
        <v>12869</v>
      </c>
      <c r="B9205" s="31" t="s">
        <v>824</v>
      </c>
      <c r="C9205" s="31" t="s">
        <v>1349</v>
      </c>
      <c r="D9205" s="30" t="s">
        <v>3663</v>
      </c>
      <c r="E9205" s="32">
        <v>46113.0</v>
      </c>
      <c r="F9205" s="32">
        <v>46171.0</v>
      </c>
      <c r="G9205" s="33"/>
    </row>
    <row r="9206" ht="15.75" customHeight="1">
      <c r="A9206" s="26" t="s">
        <v>12870</v>
      </c>
      <c r="B9206" s="27" t="s">
        <v>824</v>
      </c>
      <c r="C9206" s="27" t="s">
        <v>965</v>
      </c>
      <c r="D9206" s="26" t="s">
        <v>3663</v>
      </c>
      <c r="E9206" s="28">
        <v>46113.0</v>
      </c>
      <c r="F9206" s="28">
        <v>46171.0</v>
      </c>
      <c r="G9206" s="29"/>
    </row>
    <row r="9207" ht="15.75" customHeight="1">
      <c r="A9207" s="30" t="s">
        <v>12871</v>
      </c>
      <c r="B9207" s="31" t="s">
        <v>824</v>
      </c>
      <c r="C9207" s="31" t="s">
        <v>923</v>
      </c>
      <c r="D9207" s="30" t="s">
        <v>3663</v>
      </c>
      <c r="E9207" s="32">
        <v>46113.0</v>
      </c>
      <c r="F9207" s="32">
        <v>46171.0</v>
      </c>
      <c r="G9207" s="33"/>
    </row>
    <row r="9208" ht="15.75" customHeight="1">
      <c r="A9208" s="26" t="s">
        <v>12872</v>
      </c>
      <c r="B9208" s="27" t="s">
        <v>826</v>
      </c>
      <c r="C9208" s="27" t="s">
        <v>926</v>
      </c>
      <c r="D9208" s="27" t="s">
        <v>3663</v>
      </c>
      <c r="E9208" s="28">
        <v>46113.0</v>
      </c>
      <c r="F9208" s="28">
        <v>46171.0</v>
      </c>
      <c r="G9208" s="29"/>
    </row>
    <row r="9209" ht="15.75" customHeight="1">
      <c r="A9209" s="30" t="s">
        <v>12873</v>
      </c>
      <c r="B9209" s="31" t="s">
        <v>826</v>
      </c>
      <c r="C9209" s="31" t="s">
        <v>1354</v>
      </c>
      <c r="D9209" s="30" t="s">
        <v>3663</v>
      </c>
      <c r="E9209" s="32">
        <v>46113.0</v>
      </c>
      <c r="F9209" s="32">
        <v>46171.0</v>
      </c>
      <c r="G9209" s="33"/>
    </row>
    <row r="9210" ht="15.75" customHeight="1">
      <c r="A9210" s="26" t="s">
        <v>12874</v>
      </c>
      <c r="B9210" s="27" t="s">
        <v>826</v>
      </c>
      <c r="C9210" s="27" t="s">
        <v>1172</v>
      </c>
      <c r="D9210" s="26" t="s">
        <v>3663</v>
      </c>
      <c r="E9210" s="28">
        <v>46113.0</v>
      </c>
      <c r="F9210" s="28">
        <v>46171.0</v>
      </c>
      <c r="G9210" s="29"/>
    </row>
    <row r="9211" ht="15.75" customHeight="1">
      <c r="A9211" s="30" t="s">
        <v>12875</v>
      </c>
      <c r="B9211" s="31" t="s">
        <v>826</v>
      </c>
      <c r="C9211" s="31" t="s">
        <v>1312</v>
      </c>
      <c r="D9211" s="30" t="s">
        <v>3663</v>
      </c>
      <c r="E9211" s="32">
        <v>46113.0</v>
      </c>
      <c r="F9211" s="32">
        <v>46171.0</v>
      </c>
      <c r="G9211" s="33"/>
    </row>
    <row r="9212" ht="15.75" customHeight="1">
      <c r="A9212" s="26" t="s">
        <v>12876</v>
      </c>
      <c r="B9212" s="27" t="s">
        <v>826</v>
      </c>
      <c r="C9212" s="27" t="s">
        <v>3681</v>
      </c>
      <c r="D9212" s="26" t="s">
        <v>3663</v>
      </c>
      <c r="E9212" s="28">
        <v>46113.0</v>
      </c>
      <c r="F9212" s="28">
        <v>46171.0</v>
      </c>
      <c r="G9212" s="29"/>
    </row>
    <row r="9213" ht="15.75" customHeight="1">
      <c r="A9213" s="30" t="s">
        <v>12877</v>
      </c>
      <c r="B9213" s="31" t="s">
        <v>826</v>
      </c>
      <c r="C9213" s="31" t="s">
        <v>3683</v>
      </c>
      <c r="D9213" s="30" t="s">
        <v>3663</v>
      </c>
      <c r="E9213" s="32">
        <v>46113.0</v>
      </c>
      <c r="F9213" s="32">
        <v>46171.0</v>
      </c>
      <c r="G9213" s="33"/>
    </row>
    <row r="9214" ht="15.75" customHeight="1">
      <c r="A9214" s="26" t="s">
        <v>12878</v>
      </c>
      <c r="B9214" s="27" t="s">
        <v>826</v>
      </c>
      <c r="C9214" s="27" t="s">
        <v>3647</v>
      </c>
      <c r="D9214" s="26" t="s">
        <v>3663</v>
      </c>
      <c r="E9214" s="28">
        <v>46113.0</v>
      </c>
      <c r="F9214" s="28">
        <v>46171.0</v>
      </c>
      <c r="G9214" s="29"/>
    </row>
    <row r="9215" ht="15.75" customHeight="1">
      <c r="A9215" s="30" t="s">
        <v>12879</v>
      </c>
      <c r="B9215" s="31" t="s">
        <v>826</v>
      </c>
      <c r="C9215" s="31" t="s">
        <v>952</v>
      </c>
      <c r="D9215" s="30" t="s">
        <v>3663</v>
      </c>
      <c r="E9215" s="32">
        <v>46113.0</v>
      </c>
      <c r="F9215" s="32">
        <v>46171.0</v>
      </c>
      <c r="G9215" s="33"/>
    </row>
    <row r="9216" ht="15.75" customHeight="1">
      <c r="A9216" s="26" t="s">
        <v>12880</v>
      </c>
      <c r="B9216" s="27" t="s">
        <v>826</v>
      </c>
      <c r="C9216" s="27" t="s">
        <v>3648</v>
      </c>
      <c r="D9216" s="27" t="s">
        <v>3663</v>
      </c>
      <c r="E9216" s="28">
        <v>46113.0</v>
      </c>
      <c r="F9216" s="28">
        <v>46171.0</v>
      </c>
      <c r="G9216" s="29"/>
    </row>
    <row r="9217" ht="15.75" customHeight="1">
      <c r="A9217" s="30" t="s">
        <v>12881</v>
      </c>
      <c r="B9217" s="31" t="s">
        <v>826</v>
      </c>
      <c r="C9217" s="31" t="s">
        <v>3649</v>
      </c>
      <c r="D9217" s="31" t="s">
        <v>3663</v>
      </c>
      <c r="E9217" s="32">
        <v>46113.0</v>
      </c>
      <c r="F9217" s="32">
        <v>46171.0</v>
      </c>
      <c r="G9217" s="33"/>
    </row>
    <row r="9218" ht="15.75" customHeight="1">
      <c r="A9218" s="26" t="s">
        <v>12882</v>
      </c>
      <c r="B9218" s="27" t="s">
        <v>826</v>
      </c>
      <c r="C9218" s="27" t="s">
        <v>3650</v>
      </c>
      <c r="D9218" s="27" t="s">
        <v>3663</v>
      </c>
      <c r="E9218" s="28">
        <v>46113.0</v>
      </c>
      <c r="F9218" s="28">
        <v>46171.0</v>
      </c>
      <c r="G9218" s="29"/>
    </row>
    <row r="9219" ht="15.75" customHeight="1">
      <c r="A9219" s="30" t="s">
        <v>12883</v>
      </c>
      <c r="B9219" s="31" t="s">
        <v>826</v>
      </c>
      <c r="C9219" s="31" t="s">
        <v>1283</v>
      </c>
      <c r="D9219" s="31" t="s">
        <v>3663</v>
      </c>
      <c r="E9219" s="32">
        <v>46113.0</v>
      </c>
      <c r="F9219" s="32">
        <v>46171.0</v>
      </c>
      <c r="G9219" s="33"/>
    </row>
    <row r="9220" ht="15.75" customHeight="1">
      <c r="A9220" s="26" t="s">
        <v>12884</v>
      </c>
      <c r="B9220" s="27" t="s">
        <v>826</v>
      </c>
      <c r="C9220" s="27" t="s">
        <v>968</v>
      </c>
      <c r="D9220" s="26" t="s">
        <v>3663</v>
      </c>
      <c r="E9220" s="28">
        <v>46113.0</v>
      </c>
      <c r="F9220" s="28">
        <v>46171.0</v>
      </c>
      <c r="G9220" s="29"/>
    </row>
    <row r="9221" ht="15.75" customHeight="1">
      <c r="A9221" s="30" t="s">
        <v>12885</v>
      </c>
      <c r="B9221" s="31" t="s">
        <v>826</v>
      </c>
      <c r="C9221" s="31" t="s">
        <v>923</v>
      </c>
      <c r="D9221" s="31" t="s">
        <v>3663</v>
      </c>
      <c r="E9221" s="32">
        <v>46113.0</v>
      </c>
      <c r="F9221" s="32">
        <v>46171.0</v>
      </c>
      <c r="G9221" s="33"/>
    </row>
    <row r="9222" ht="15.75" customHeight="1">
      <c r="A9222" s="26" t="s">
        <v>12886</v>
      </c>
      <c r="B9222" s="27" t="s">
        <v>1342</v>
      </c>
      <c r="C9222" s="23" t="s">
        <v>1277</v>
      </c>
      <c r="D9222" s="26" t="s">
        <v>3663</v>
      </c>
      <c r="E9222" s="28">
        <v>46118.0</v>
      </c>
      <c r="F9222" s="28">
        <v>46171.0</v>
      </c>
      <c r="G9222" s="29"/>
    </row>
    <row r="9223" ht="15.75" customHeight="1">
      <c r="A9223" s="30" t="s">
        <v>12887</v>
      </c>
      <c r="B9223" s="31" t="s">
        <v>1342</v>
      </c>
      <c r="C9223" s="24" t="s">
        <v>1279</v>
      </c>
      <c r="D9223" s="30" t="s">
        <v>3663</v>
      </c>
      <c r="E9223" s="32">
        <v>46118.0</v>
      </c>
      <c r="F9223" s="32">
        <v>46171.0</v>
      </c>
      <c r="G9223" s="33"/>
    </row>
    <row r="9224" ht="15.75" customHeight="1">
      <c r="A9224" s="26" t="s">
        <v>12888</v>
      </c>
      <c r="B9224" s="27" t="s">
        <v>1342</v>
      </c>
      <c r="C9224" s="24" t="s">
        <v>1283</v>
      </c>
      <c r="D9224" s="26" t="s">
        <v>3663</v>
      </c>
      <c r="E9224" s="28">
        <v>46118.0</v>
      </c>
      <c r="F9224" s="28">
        <v>46171.0</v>
      </c>
      <c r="G9224" s="29"/>
    </row>
    <row r="9225" ht="15.75" customHeight="1">
      <c r="A9225" s="30" t="s">
        <v>12889</v>
      </c>
      <c r="B9225" s="31" t="s">
        <v>1342</v>
      </c>
      <c r="C9225" s="23" t="s">
        <v>1281</v>
      </c>
      <c r="D9225" s="30" t="s">
        <v>3663</v>
      </c>
      <c r="E9225" s="32">
        <v>46118.0</v>
      </c>
      <c r="F9225" s="32">
        <v>46171.0</v>
      </c>
      <c r="G9225" s="33"/>
    </row>
    <row r="9226" ht="15.75" customHeight="1">
      <c r="A9226" s="26" t="s">
        <v>12890</v>
      </c>
      <c r="B9226" s="27" t="s">
        <v>1342</v>
      </c>
      <c r="C9226" s="27" t="s">
        <v>923</v>
      </c>
      <c r="D9226" s="26" t="s">
        <v>3663</v>
      </c>
      <c r="E9226" s="28">
        <v>46118.0</v>
      </c>
      <c r="F9226" s="28">
        <v>46171.0</v>
      </c>
      <c r="G9226" s="29"/>
    </row>
    <row r="9227" ht="15.75" customHeight="1">
      <c r="A9227" s="30" t="s">
        <v>12891</v>
      </c>
      <c r="B9227" s="31" t="s">
        <v>1342</v>
      </c>
      <c r="C9227" s="31" t="s">
        <v>926</v>
      </c>
      <c r="D9227" s="30" t="s">
        <v>3663</v>
      </c>
      <c r="E9227" s="32">
        <v>46118.0</v>
      </c>
      <c r="F9227" s="32">
        <v>46171.0</v>
      </c>
      <c r="G9227" s="33"/>
    </row>
    <row r="9228" ht="15.75" customHeight="1">
      <c r="A9228" s="26" t="s">
        <v>12892</v>
      </c>
      <c r="B9228" s="27" t="s">
        <v>1342</v>
      </c>
      <c r="C9228" s="21" t="s">
        <v>955</v>
      </c>
      <c r="D9228" s="26" t="s">
        <v>3663</v>
      </c>
      <c r="E9228" s="28">
        <v>46118.0</v>
      </c>
      <c r="F9228" s="28">
        <v>46171.0</v>
      </c>
      <c r="G9228" s="29"/>
    </row>
    <row r="9229" ht="15.75" customHeight="1">
      <c r="A9229" s="30" t="s">
        <v>12893</v>
      </c>
      <c r="B9229" s="31" t="s">
        <v>1342</v>
      </c>
      <c r="C9229" s="21" t="s">
        <v>961</v>
      </c>
      <c r="D9229" s="30" t="s">
        <v>3663</v>
      </c>
      <c r="E9229" s="32">
        <v>46118.0</v>
      </c>
      <c r="F9229" s="32">
        <v>46171.0</v>
      </c>
      <c r="G9229" s="33"/>
    </row>
    <row r="9230" ht="15.75" customHeight="1">
      <c r="A9230" s="26" t="s">
        <v>12894</v>
      </c>
      <c r="B9230" s="27" t="s">
        <v>1342</v>
      </c>
      <c r="C9230" s="27" t="s">
        <v>1349</v>
      </c>
      <c r="D9230" s="26" t="s">
        <v>3663</v>
      </c>
      <c r="E9230" s="28">
        <v>46118.0</v>
      </c>
      <c r="F9230" s="28">
        <v>46171.0</v>
      </c>
      <c r="G9230" s="29"/>
    </row>
    <row r="9231" ht="15.75" customHeight="1">
      <c r="A9231" s="30" t="s">
        <v>12895</v>
      </c>
      <c r="B9231" s="31" t="s">
        <v>1342</v>
      </c>
      <c r="C9231" s="31" t="s">
        <v>1351</v>
      </c>
      <c r="D9231" s="30" t="s">
        <v>3663</v>
      </c>
      <c r="E9231" s="32">
        <v>46118.0</v>
      </c>
      <c r="F9231" s="32">
        <v>46171.0</v>
      </c>
      <c r="G9231" s="33"/>
    </row>
    <row r="9232" ht="15.75" customHeight="1">
      <c r="A9232" s="26" t="s">
        <v>12896</v>
      </c>
      <c r="B9232" s="27" t="s">
        <v>1342</v>
      </c>
      <c r="C9232" s="27" t="s">
        <v>3681</v>
      </c>
      <c r="D9232" s="26" t="s">
        <v>3663</v>
      </c>
      <c r="E9232" s="28">
        <v>46118.0</v>
      </c>
      <c r="F9232" s="28">
        <v>46171.0</v>
      </c>
      <c r="G9232" s="29"/>
    </row>
    <row r="9233" ht="15.75" customHeight="1">
      <c r="A9233" s="30" t="s">
        <v>12897</v>
      </c>
      <c r="B9233" s="31" t="s">
        <v>1342</v>
      </c>
      <c r="C9233" s="31" t="s">
        <v>3683</v>
      </c>
      <c r="D9233" s="30" t="s">
        <v>3663</v>
      </c>
      <c r="E9233" s="32">
        <v>46118.0</v>
      </c>
      <c r="F9233" s="32">
        <v>46171.0</v>
      </c>
      <c r="G9233" s="33"/>
    </row>
    <row r="9234" ht="15.75" customHeight="1">
      <c r="A9234" s="26" t="s">
        <v>12898</v>
      </c>
      <c r="B9234" s="27" t="s">
        <v>1353</v>
      </c>
      <c r="C9234" s="27" t="s">
        <v>923</v>
      </c>
      <c r="D9234" s="26" t="s">
        <v>3750</v>
      </c>
      <c r="E9234" s="28">
        <v>46118.0</v>
      </c>
      <c r="F9234" s="28">
        <v>46171.0</v>
      </c>
      <c r="G9234" s="29"/>
    </row>
    <row r="9235" ht="15.75" customHeight="1">
      <c r="A9235" s="30" t="s">
        <v>12899</v>
      </c>
      <c r="B9235" s="31" t="s">
        <v>1353</v>
      </c>
      <c r="C9235" s="23" t="s">
        <v>1240</v>
      </c>
      <c r="D9235" s="30" t="s">
        <v>3750</v>
      </c>
      <c r="E9235" s="32">
        <v>46118.0</v>
      </c>
      <c r="F9235" s="32">
        <v>46171.0</v>
      </c>
      <c r="G9235" s="33"/>
    </row>
    <row r="9236" ht="15.75" customHeight="1">
      <c r="A9236" s="26" t="s">
        <v>12900</v>
      </c>
      <c r="B9236" s="27" t="s">
        <v>1353</v>
      </c>
      <c r="C9236" s="24" t="s">
        <v>1242</v>
      </c>
      <c r="D9236" s="26" t="s">
        <v>3750</v>
      </c>
      <c r="E9236" s="28">
        <v>46118.0</v>
      </c>
      <c r="F9236" s="28">
        <v>46171.0</v>
      </c>
      <c r="G9236" s="29"/>
    </row>
    <row r="9237" ht="15.75" customHeight="1">
      <c r="A9237" s="30" t="s">
        <v>12901</v>
      </c>
      <c r="B9237" s="31" t="s">
        <v>1353</v>
      </c>
      <c r="C9237" s="23" t="s">
        <v>1244</v>
      </c>
      <c r="D9237" s="30" t="s">
        <v>3750</v>
      </c>
      <c r="E9237" s="32">
        <v>46118.0</v>
      </c>
      <c r="F9237" s="32">
        <v>46171.0</v>
      </c>
      <c r="G9237" s="33"/>
    </row>
    <row r="9238" ht="15.75" customHeight="1">
      <c r="A9238" s="26" t="s">
        <v>12902</v>
      </c>
      <c r="B9238" s="27" t="s">
        <v>1353</v>
      </c>
      <c r="C9238" s="24" t="s">
        <v>1246</v>
      </c>
      <c r="D9238" s="26" t="s">
        <v>3750</v>
      </c>
      <c r="E9238" s="28">
        <v>46118.0</v>
      </c>
      <c r="F9238" s="28">
        <v>46171.0</v>
      </c>
      <c r="G9238" s="29"/>
    </row>
    <row r="9239" ht="15.75" customHeight="1">
      <c r="A9239" s="30" t="s">
        <v>12903</v>
      </c>
      <c r="B9239" s="31" t="s">
        <v>1353</v>
      </c>
      <c r="C9239" s="22" t="s">
        <v>1159</v>
      </c>
      <c r="D9239" s="30" t="s">
        <v>3750</v>
      </c>
      <c r="E9239" s="32">
        <v>46118.0</v>
      </c>
      <c r="F9239" s="32">
        <v>46171.0</v>
      </c>
      <c r="G9239" s="33"/>
    </row>
    <row r="9240" ht="15.75" customHeight="1">
      <c r="A9240" s="26" t="s">
        <v>12904</v>
      </c>
      <c r="B9240" s="27" t="s">
        <v>1353</v>
      </c>
      <c r="C9240" s="23" t="s">
        <v>3656</v>
      </c>
      <c r="D9240" s="26" t="s">
        <v>3750</v>
      </c>
      <c r="E9240" s="28">
        <v>46118.0</v>
      </c>
      <c r="F9240" s="28">
        <v>46171.0</v>
      </c>
      <c r="G9240" s="29"/>
    </row>
    <row r="9241" ht="15.75" customHeight="1">
      <c r="A9241" s="30" t="s">
        <v>12905</v>
      </c>
      <c r="B9241" s="31" t="s">
        <v>1353</v>
      </c>
      <c r="C9241" s="24" t="s">
        <v>3657</v>
      </c>
      <c r="D9241" s="30" t="s">
        <v>3750</v>
      </c>
      <c r="E9241" s="32">
        <v>46118.0</v>
      </c>
      <c r="F9241" s="32">
        <v>46171.0</v>
      </c>
      <c r="G9241" s="33"/>
    </row>
    <row r="9242" ht="15.75" customHeight="1">
      <c r="A9242" s="26" t="s">
        <v>12906</v>
      </c>
      <c r="B9242" s="27" t="s">
        <v>1353</v>
      </c>
      <c r="C9242" s="22" t="s">
        <v>1216</v>
      </c>
      <c r="D9242" s="26" t="s">
        <v>3750</v>
      </c>
      <c r="E9242" s="28">
        <v>46118.0</v>
      </c>
      <c r="F9242" s="28">
        <v>46171.0</v>
      </c>
      <c r="G9242" s="29"/>
    </row>
    <row r="9243" ht="15.75" customHeight="1">
      <c r="A9243" s="30" t="s">
        <v>12907</v>
      </c>
      <c r="B9243" s="31" t="s">
        <v>1353</v>
      </c>
      <c r="C9243" s="23" t="s">
        <v>1349</v>
      </c>
      <c r="D9243" s="30" t="s">
        <v>3750</v>
      </c>
      <c r="E9243" s="32">
        <v>46118.0</v>
      </c>
      <c r="F9243" s="32">
        <v>46171.0</v>
      </c>
      <c r="G9243" s="33"/>
    </row>
    <row r="9244" ht="15.75" customHeight="1">
      <c r="A9244" s="26" t="s">
        <v>12908</v>
      </c>
      <c r="B9244" s="27" t="s">
        <v>1353</v>
      </c>
      <c r="C9244" s="24" t="s">
        <v>1351</v>
      </c>
      <c r="D9244" s="26" t="s">
        <v>3750</v>
      </c>
      <c r="E9244" s="28">
        <v>46118.0</v>
      </c>
      <c r="F9244" s="28">
        <v>46171.0</v>
      </c>
      <c r="G9244" s="29"/>
    </row>
    <row r="9245" ht="15.75" customHeight="1">
      <c r="A9245" s="30" t="s">
        <v>12909</v>
      </c>
      <c r="B9245" s="31" t="s">
        <v>1353</v>
      </c>
      <c r="C9245" s="21" t="s">
        <v>928</v>
      </c>
      <c r="D9245" s="30" t="s">
        <v>3750</v>
      </c>
      <c r="E9245" s="32">
        <v>46118.0</v>
      </c>
      <c r="F9245" s="32">
        <v>46171.0</v>
      </c>
      <c r="G9245" s="33"/>
    </row>
    <row r="9246" ht="15.75" customHeight="1">
      <c r="A9246" s="26" t="s">
        <v>12910</v>
      </c>
      <c r="B9246" s="27" t="s">
        <v>1353</v>
      </c>
      <c r="C9246" s="36" t="s">
        <v>1354</v>
      </c>
      <c r="D9246" s="26" t="s">
        <v>3750</v>
      </c>
      <c r="E9246" s="28">
        <v>46118.0</v>
      </c>
      <c r="F9246" s="28">
        <v>46171.0</v>
      </c>
      <c r="G9246" s="29"/>
    </row>
    <row r="9247" ht="15.75" customHeight="1">
      <c r="A9247" s="30" t="s">
        <v>12911</v>
      </c>
      <c r="B9247" s="31" t="s">
        <v>1342</v>
      </c>
      <c r="C9247" s="37" t="s">
        <v>1354</v>
      </c>
      <c r="D9247" s="30" t="s">
        <v>3663</v>
      </c>
      <c r="E9247" s="32">
        <v>46118.0</v>
      </c>
      <c r="F9247" s="32">
        <v>46171.0</v>
      </c>
      <c r="G9247" s="33"/>
    </row>
    <row r="9248" ht="15.75" customHeight="1">
      <c r="A9248" s="26" t="s">
        <v>12912</v>
      </c>
      <c r="B9248" s="27" t="s">
        <v>1121</v>
      </c>
      <c r="C9248" s="26" t="s">
        <v>936</v>
      </c>
      <c r="D9248" s="26" t="s">
        <v>3663</v>
      </c>
      <c r="E9248" s="28">
        <v>46118.0</v>
      </c>
      <c r="F9248" s="28">
        <v>46171.0</v>
      </c>
      <c r="G9248" s="29"/>
    </row>
    <row r="9249" ht="15.75" customHeight="1">
      <c r="A9249" s="30" t="s">
        <v>12913</v>
      </c>
      <c r="B9249" s="31" t="s">
        <v>1132</v>
      </c>
      <c r="C9249" s="30" t="s">
        <v>936</v>
      </c>
      <c r="D9249" s="30" t="s">
        <v>3663</v>
      </c>
      <c r="E9249" s="32">
        <v>46118.0</v>
      </c>
      <c r="F9249" s="32">
        <v>46171.0</v>
      </c>
      <c r="G9249" s="33"/>
    </row>
    <row r="9250" ht="15.75" customHeight="1">
      <c r="A9250" s="26" t="s">
        <v>12914</v>
      </c>
      <c r="B9250" s="27" t="s">
        <v>2080</v>
      </c>
      <c r="C9250" s="26" t="s">
        <v>936</v>
      </c>
      <c r="D9250" s="26" t="s">
        <v>3663</v>
      </c>
      <c r="E9250" s="28">
        <v>46118.0</v>
      </c>
      <c r="F9250" s="28">
        <v>46171.0</v>
      </c>
      <c r="G9250" s="29"/>
    </row>
    <row r="9251" ht="15.75" customHeight="1">
      <c r="A9251" s="30" t="s">
        <v>12915</v>
      </c>
      <c r="B9251" s="31" t="s">
        <v>2083</v>
      </c>
      <c r="C9251" s="30" t="s">
        <v>936</v>
      </c>
      <c r="D9251" s="30" t="s">
        <v>3663</v>
      </c>
      <c r="E9251" s="32">
        <v>46118.0</v>
      </c>
      <c r="F9251" s="32">
        <v>46171.0</v>
      </c>
      <c r="G9251" s="33"/>
    </row>
    <row r="9252" ht="15.75" customHeight="1">
      <c r="A9252" s="29" t="s">
        <v>12916</v>
      </c>
      <c r="B9252" s="27" t="s">
        <v>12917</v>
      </c>
      <c r="C9252" s="23" t="s">
        <v>1149</v>
      </c>
      <c r="D9252" s="26" t="s">
        <v>3663</v>
      </c>
      <c r="E9252" s="28">
        <v>46118.0</v>
      </c>
      <c r="F9252" s="28">
        <v>46171.0</v>
      </c>
      <c r="G9252" s="29"/>
    </row>
    <row r="9253" ht="15.75" customHeight="1">
      <c r="A9253" s="33" t="s">
        <v>12918</v>
      </c>
      <c r="B9253" s="31" t="s">
        <v>12917</v>
      </c>
      <c r="C9253" s="24" t="s">
        <v>1153</v>
      </c>
      <c r="D9253" s="30" t="s">
        <v>3663</v>
      </c>
      <c r="E9253" s="32">
        <v>46118.0</v>
      </c>
      <c r="F9253" s="32">
        <v>46171.0</v>
      </c>
      <c r="G9253" s="33"/>
    </row>
    <row r="9254" ht="15.75" customHeight="1">
      <c r="A9254" s="29" t="s">
        <v>12919</v>
      </c>
      <c r="B9254" s="27" t="s">
        <v>12917</v>
      </c>
      <c r="C9254" s="23" t="s">
        <v>1155</v>
      </c>
      <c r="D9254" s="26" t="s">
        <v>3663</v>
      </c>
      <c r="E9254" s="28">
        <v>46118.0</v>
      </c>
      <c r="F9254" s="28">
        <v>46171.0</v>
      </c>
      <c r="G9254" s="29"/>
    </row>
    <row r="9255" ht="15.75" customHeight="1">
      <c r="A9255" s="33" t="s">
        <v>12920</v>
      </c>
      <c r="B9255" s="31" t="s">
        <v>12917</v>
      </c>
      <c r="C9255" s="24" t="s">
        <v>1157</v>
      </c>
      <c r="D9255" s="30" t="s">
        <v>3663</v>
      </c>
      <c r="E9255" s="32">
        <v>46118.0</v>
      </c>
      <c r="F9255" s="32">
        <v>46171.0</v>
      </c>
      <c r="G9255" s="33"/>
    </row>
    <row r="9256" ht="15.75" customHeight="1">
      <c r="A9256" s="29" t="s">
        <v>12921</v>
      </c>
      <c r="B9256" s="27" t="s">
        <v>12917</v>
      </c>
      <c r="C9256" s="23" t="s">
        <v>3656</v>
      </c>
      <c r="D9256" s="26" t="s">
        <v>3663</v>
      </c>
      <c r="E9256" s="28">
        <v>46118.0</v>
      </c>
      <c r="F9256" s="28">
        <v>46171.0</v>
      </c>
      <c r="G9256" s="29"/>
    </row>
    <row r="9257" ht="15.75" customHeight="1">
      <c r="A9257" s="33" t="s">
        <v>12922</v>
      </c>
      <c r="B9257" s="31" t="s">
        <v>12917</v>
      </c>
      <c r="C9257" s="24" t="s">
        <v>3657</v>
      </c>
      <c r="D9257" s="30" t="s">
        <v>3663</v>
      </c>
      <c r="E9257" s="32">
        <v>46118.0</v>
      </c>
      <c r="F9257" s="32">
        <v>46171.0</v>
      </c>
      <c r="G9257" s="33"/>
    </row>
    <row r="9258" ht="15.75" customHeight="1">
      <c r="A9258" s="29" t="s">
        <v>12923</v>
      </c>
      <c r="B9258" s="27" t="s">
        <v>12917</v>
      </c>
      <c r="C9258" s="21" t="s">
        <v>952</v>
      </c>
      <c r="D9258" s="26" t="s">
        <v>3663</v>
      </c>
      <c r="E9258" s="28">
        <v>46118.0</v>
      </c>
      <c r="F9258" s="28">
        <v>46171.0</v>
      </c>
      <c r="G9258" s="29"/>
    </row>
    <row r="9259" ht="15.75" customHeight="1">
      <c r="A9259" s="33" t="s">
        <v>12924</v>
      </c>
      <c r="B9259" s="31" t="s">
        <v>12917</v>
      </c>
      <c r="C9259" s="22" t="s">
        <v>3647</v>
      </c>
      <c r="D9259" s="30" t="s">
        <v>3663</v>
      </c>
      <c r="E9259" s="32">
        <v>46118.0</v>
      </c>
      <c r="F9259" s="32">
        <v>46171.0</v>
      </c>
      <c r="G9259" s="33"/>
    </row>
    <row r="9260" ht="15.75" customHeight="1">
      <c r="A9260" s="29" t="s">
        <v>12925</v>
      </c>
      <c r="B9260" s="27" t="s">
        <v>12917</v>
      </c>
      <c r="C9260" s="21" t="s">
        <v>961</v>
      </c>
      <c r="D9260" s="26" t="s">
        <v>3663</v>
      </c>
      <c r="E9260" s="28">
        <v>46118.0</v>
      </c>
      <c r="F9260" s="28">
        <v>46171.0</v>
      </c>
      <c r="G9260" s="29"/>
    </row>
    <row r="9261" ht="15.75" customHeight="1">
      <c r="A9261" s="33" t="s">
        <v>12926</v>
      </c>
      <c r="B9261" s="31" t="s">
        <v>12917</v>
      </c>
      <c r="C9261" s="21" t="s">
        <v>3605</v>
      </c>
      <c r="D9261" s="30" t="s">
        <v>3663</v>
      </c>
      <c r="E9261" s="32">
        <v>46118.0</v>
      </c>
      <c r="F9261" s="32">
        <v>46171.0</v>
      </c>
      <c r="G9261" s="33"/>
    </row>
    <row r="9262" ht="15.75" customHeight="1">
      <c r="A9262" s="29" t="s">
        <v>12927</v>
      </c>
      <c r="B9262" s="27" t="s">
        <v>12917</v>
      </c>
      <c r="C9262" s="38" t="s">
        <v>968</v>
      </c>
      <c r="D9262" s="26" t="s">
        <v>3663</v>
      </c>
      <c r="E9262" s="28">
        <v>46118.0</v>
      </c>
      <c r="F9262" s="28">
        <v>46171.0</v>
      </c>
      <c r="G9262" s="29"/>
    </row>
    <row r="9263" ht="15.75" customHeight="1">
      <c r="A9263" s="33" t="s">
        <v>12928</v>
      </c>
      <c r="B9263" s="31" t="s">
        <v>12929</v>
      </c>
      <c r="C9263" s="23" t="s">
        <v>1149</v>
      </c>
      <c r="D9263" s="30" t="s">
        <v>3663</v>
      </c>
      <c r="E9263" s="32">
        <v>46118.0</v>
      </c>
      <c r="F9263" s="32">
        <v>46171.0</v>
      </c>
      <c r="G9263" s="33"/>
    </row>
    <row r="9264" ht="15.75" customHeight="1">
      <c r="A9264" s="29" t="s">
        <v>12930</v>
      </c>
      <c r="B9264" s="27" t="s">
        <v>12929</v>
      </c>
      <c r="C9264" s="24" t="s">
        <v>1153</v>
      </c>
      <c r="D9264" s="26" t="s">
        <v>3663</v>
      </c>
      <c r="E9264" s="28">
        <v>46118.0</v>
      </c>
      <c r="F9264" s="28">
        <v>46171.0</v>
      </c>
      <c r="G9264" s="29"/>
    </row>
    <row r="9265" ht="15.75" customHeight="1">
      <c r="A9265" s="33" t="s">
        <v>12931</v>
      </c>
      <c r="B9265" s="31" t="s">
        <v>12929</v>
      </c>
      <c r="C9265" s="23" t="s">
        <v>1155</v>
      </c>
      <c r="D9265" s="30" t="s">
        <v>3663</v>
      </c>
      <c r="E9265" s="32">
        <v>46118.0</v>
      </c>
      <c r="F9265" s="32">
        <v>46171.0</v>
      </c>
      <c r="G9265" s="33"/>
    </row>
    <row r="9266" ht="15.75" customHeight="1">
      <c r="A9266" s="29" t="s">
        <v>12932</v>
      </c>
      <c r="B9266" s="27" t="s">
        <v>12929</v>
      </c>
      <c r="C9266" s="24" t="s">
        <v>1157</v>
      </c>
      <c r="D9266" s="26" t="s">
        <v>3663</v>
      </c>
      <c r="E9266" s="28">
        <v>46118.0</v>
      </c>
      <c r="F9266" s="28">
        <v>46171.0</v>
      </c>
      <c r="G9266" s="29"/>
    </row>
    <row r="9267" ht="15.75" customHeight="1">
      <c r="A9267" s="33" t="s">
        <v>12933</v>
      </c>
      <c r="B9267" s="31" t="s">
        <v>12929</v>
      </c>
      <c r="C9267" s="39" t="s">
        <v>952</v>
      </c>
      <c r="D9267" s="30" t="s">
        <v>3663</v>
      </c>
      <c r="E9267" s="32">
        <v>46118.0</v>
      </c>
      <c r="F9267" s="32">
        <v>46171.0</v>
      </c>
      <c r="G9267" s="33"/>
    </row>
    <row r="9268" ht="15.75" customHeight="1">
      <c r="A9268" s="29" t="s">
        <v>12934</v>
      </c>
      <c r="B9268" s="27" t="s">
        <v>12929</v>
      </c>
      <c r="C9268" s="40" t="s">
        <v>3647</v>
      </c>
      <c r="D9268" s="26" t="s">
        <v>3663</v>
      </c>
      <c r="E9268" s="28">
        <v>46118.0</v>
      </c>
      <c r="F9268" s="28">
        <v>46171.0</v>
      </c>
      <c r="G9268" s="29"/>
    </row>
    <row r="9269" ht="15.75" customHeight="1">
      <c r="A9269" s="33" t="s">
        <v>12935</v>
      </c>
      <c r="B9269" s="31" t="s">
        <v>12929</v>
      </c>
      <c r="C9269" s="41" t="s">
        <v>3652</v>
      </c>
      <c r="D9269" s="30" t="s">
        <v>3663</v>
      </c>
      <c r="E9269" s="32">
        <v>46118.0</v>
      </c>
      <c r="F9269" s="32">
        <v>46171.0</v>
      </c>
      <c r="G9269" s="33"/>
    </row>
    <row r="9270" ht="15.75" customHeight="1">
      <c r="A9270" s="29" t="s">
        <v>12936</v>
      </c>
      <c r="B9270" s="27" t="s">
        <v>12929</v>
      </c>
      <c r="C9270" s="38" t="s">
        <v>3653</v>
      </c>
      <c r="D9270" s="26" t="s">
        <v>3663</v>
      </c>
      <c r="E9270" s="28">
        <v>46118.0</v>
      </c>
      <c r="F9270" s="28">
        <v>46171.0</v>
      </c>
      <c r="G9270" s="29"/>
    </row>
    <row r="9271" ht="15.75" customHeight="1">
      <c r="A9271" s="33" t="s">
        <v>12937</v>
      </c>
      <c r="B9271" s="31" t="s">
        <v>12929</v>
      </c>
      <c r="C9271" s="21" t="s">
        <v>3638</v>
      </c>
      <c r="D9271" s="30" t="s">
        <v>3663</v>
      </c>
      <c r="E9271" s="32">
        <v>46118.0</v>
      </c>
      <c r="F9271" s="32">
        <v>46171.0</v>
      </c>
      <c r="G9271" s="33"/>
    </row>
    <row r="9272" ht="15.75" customHeight="1">
      <c r="A9272" s="29" t="s">
        <v>12938</v>
      </c>
      <c r="B9272" s="27" t="s">
        <v>12929</v>
      </c>
      <c r="C9272" s="21" t="s">
        <v>1208</v>
      </c>
      <c r="D9272" s="26" t="s">
        <v>3663</v>
      </c>
      <c r="E9272" s="28">
        <v>46118.0</v>
      </c>
      <c r="F9272" s="28">
        <v>46171.0</v>
      </c>
      <c r="G9272" s="29"/>
    </row>
    <row r="9273" ht="15.75" customHeight="1">
      <c r="A9273" s="33" t="s">
        <v>12939</v>
      </c>
      <c r="B9273" s="31" t="s">
        <v>12929</v>
      </c>
      <c r="C9273" s="41" t="s">
        <v>965</v>
      </c>
      <c r="D9273" s="30" t="s">
        <v>3663</v>
      </c>
      <c r="E9273" s="32">
        <v>46118.0</v>
      </c>
      <c r="F9273" s="32">
        <v>46171.0</v>
      </c>
      <c r="G9273" s="33"/>
    </row>
    <row r="9274" ht="15.75" customHeight="1">
      <c r="A9274" s="29" t="s">
        <v>12940</v>
      </c>
      <c r="B9274" s="27" t="s">
        <v>12941</v>
      </c>
      <c r="C9274" s="23" t="s">
        <v>1349</v>
      </c>
      <c r="D9274" s="26" t="s">
        <v>3663</v>
      </c>
      <c r="E9274" s="28">
        <v>46118.0</v>
      </c>
      <c r="F9274" s="28">
        <v>46171.0</v>
      </c>
      <c r="G9274" s="29"/>
    </row>
    <row r="9275" ht="15.75" customHeight="1">
      <c r="A9275" s="33" t="s">
        <v>12942</v>
      </c>
      <c r="B9275" s="31" t="s">
        <v>12941</v>
      </c>
      <c r="C9275" s="24" t="s">
        <v>1351</v>
      </c>
      <c r="D9275" s="30" t="s">
        <v>3663</v>
      </c>
      <c r="E9275" s="32">
        <v>46118.0</v>
      </c>
      <c r="F9275" s="32">
        <v>46171.0</v>
      </c>
      <c r="G9275" s="33"/>
    </row>
    <row r="9276" ht="15.75" customHeight="1">
      <c r="A9276" s="29" t="s">
        <v>12943</v>
      </c>
      <c r="B9276" s="27" t="s">
        <v>12941</v>
      </c>
      <c r="C9276" s="23" t="s">
        <v>1222</v>
      </c>
      <c r="D9276" s="26" t="s">
        <v>3663</v>
      </c>
      <c r="E9276" s="28">
        <v>46118.0</v>
      </c>
      <c r="F9276" s="28">
        <v>46171.0</v>
      </c>
      <c r="G9276" s="29"/>
    </row>
    <row r="9277" ht="15.75" customHeight="1">
      <c r="A9277" s="33" t="s">
        <v>12944</v>
      </c>
      <c r="B9277" s="31" t="s">
        <v>12941</v>
      </c>
      <c r="C9277" s="24" t="s">
        <v>1224</v>
      </c>
      <c r="D9277" s="30" t="s">
        <v>3663</v>
      </c>
      <c r="E9277" s="32">
        <v>46118.0</v>
      </c>
      <c r="F9277" s="32">
        <v>46171.0</v>
      </c>
      <c r="G9277" s="33"/>
    </row>
    <row r="9278" ht="15.75" customHeight="1">
      <c r="A9278" s="29" t="s">
        <v>12945</v>
      </c>
      <c r="B9278" s="27" t="s">
        <v>12941</v>
      </c>
      <c r="C9278" s="23" t="s">
        <v>1226</v>
      </c>
      <c r="D9278" s="26" t="s">
        <v>3663</v>
      </c>
      <c r="E9278" s="28">
        <v>46118.0</v>
      </c>
      <c r="F9278" s="28">
        <v>46171.0</v>
      </c>
      <c r="G9278" s="29"/>
    </row>
    <row r="9279" ht="15.75" customHeight="1">
      <c r="A9279" s="33" t="s">
        <v>12946</v>
      </c>
      <c r="B9279" s="31" t="s">
        <v>12941</v>
      </c>
      <c r="C9279" s="24" t="s">
        <v>1228</v>
      </c>
      <c r="D9279" s="30" t="s">
        <v>3663</v>
      </c>
      <c r="E9279" s="32">
        <v>46118.0</v>
      </c>
      <c r="F9279" s="32">
        <v>46171.0</v>
      </c>
      <c r="G9279" s="33"/>
    </row>
    <row r="9280" ht="15.75" customHeight="1">
      <c r="A9280" s="29" t="s">
        <v>12947</v>
      </c>
      <c r="B9280" s="27" t="s">
        <v>12941</v>
      </c>
      <c r="C9280" s="24" t="s">
        <v>3681</v>
      </c>
      <c r="D9280" s="26" t="s">
        <v>3663</v>
      </c>
      <c r="E9280" s="28">
        <v>46118.0</v>
      </c>
      <c r="F9280" s="28">
        <v>46171.0</v>
      </c>
      <c r="G9280" s="29"/>
    </row>
    <row r="9281" ht="15.75" customHeight="1">
      <c r="A9281" s="33" t="s">
        <v>12948</v>
      </c>
      <c r="B9281" s="31" t="s">
        <v>12941</v>
      </c>
      <c r="C9281" s="23" t="s">
        <v>3683</v>
      </c>
      <c r="D9281" s="30" t="s">
        <v>3663</v>
      </c>
      <c r="E9281" s="32">
        <v>46118.0</v>
      </c>
      <c r="F9281" s="32">
        <v>46171.0</v>
      </c>
      <c r="G9281" s="33"/>
    </row>
    <row r="9282" ht="15.75" customHeight="1">
      <c r="A9282" s="29" t="s">
        <v>12949</v>
      </c>
      <c r="B9282" s="27" t="s">
        <v>12941</v>
      </c>
      <c r="C9282" s="38" t="s">
        <v>1218</v>
      </c>
      <c r="D9282" s="26" t="s">
        <v>3663</v>
      </c>
      <c r="E9282" s="28">
        <v>46118.0</v>
      </c>
      <c r="F9282" s="28">
        <v>46171.0</v>
      </c>
      <c r="G9282" s="29"/>
    </row>
    <row r="9283" ht="15.75" customHeight="1">
      <c r="A9283" s="33" t="s">
        <v>12950</v>
      </c>
      <c r="B9283" s="31" t="s">
        <v>12941</v>
      </c>
      <c r="C9283" s="41" t="s">
        <v>1271</v>
      </c>
      <c r="D9283" s="30" t="s">
        <v>3663</v>
      </c>
      <c r="E9283" s="32">
        <v>46118.0</v>
      </c>
      <c r="F9283" s="32">
        <v>46171.0</v>
      </c>
      <c r="G9283" s="33"/>
    </row>
    <row r="9284" ht="15.75" customHeight="1">
      <c r="A9284" s="29" t="s">
        <v>12951</v>
      </c>
      <c r="B9284" s="27" t="s">
        <v>12941</v>
      </c>
      <c r="C9284" s="38" t="s">
        <v>968</v>
      </c>
      <c r="D9284" s="26" t="s">
        <v>3663</v>
      </c>
      <c r="E9284" s="28">
        <v>46118.0</v>
      </c>
      <c r="F9284" s="28">
        <v>46171.0</v>
      </c>
      <c r="G9284" s="29"/>
    </row>
    <row r="9285" ht="15.75" customHeight="1">
      <c r="A9285" s="33" t="s">
        <v>12952</v>
      </c>
      <c r="B9285" s="31" t="s">
        <v>12953</v>
      </c>
      <c r="C9285" s="41" t="s">
        <v>968</v>
      </c>
      <c r="D9285" s="30" t="s">
        <v>3663</v>
      </c>
      <c r="E9285" s="32">
        <v>46118.0</v>
      </c>
      <c r="F9285" s="32">
        <v>46171.0</v>
      </c>
      <c r="G9285" s="33"/>
    </row>
    <row r="9286" ht="15.75" customHeight="1">
      <c r="A9286" s="29" t="s">
        <v>12954</v>
      </c>
      <c r="B9286" s="27" t="s">
        <v>12953</v>
      </c>
      <c r="C9286" s="23" t="s">
        <v>1349</v>
      </c>
      <c r="D9286" s="26" t="s">
        <v>3663</v>
      </c>
      <c r="E9286" s="28">
        <v>46118.0</v>
      </c>
      <c r="F9286" s="28">
        <v>46171.0</v>
      </c>
      <c r="G9286" s="29"/>
    </row>
    <row r="9287" ht="15.75" customHeight="1">
      <c r="A9287" s="33" t="s">
        <v>12955</v>
      </c>
      <c r="B9287" s="31" t="s">
        <v>12953</v>
      </c>
      <c r="C9287" s="24" t="s">
        <v>1351</v>
      </c>
      <c r="D9287" s="30" t="s">
        <v>3663</v>
      </c>
      <c r="E9287" s="32">
        <v>46118.0</v>
      </c>
      <c r="F9287" s="32">
        <v>46171.0</v>
      </c>
      <c r="G9287" s="33"/>
    </row>
    <row r="9288" ht="15.75" customHeight="1">
      <c r="A9288" s="29" t="s">
        <v>12956</v>
      </c>
      <c r="B9288" s="27" t="s">
        <v>12953</v>
      </c>
      <c r="C9288" s="24" t="s">
        <v>1304</v>
      </c>
      <c r="D9288" s="26" t="s">
        <v>3663</v>
      </c>
      <c r="E9288" s="28">
        <v>46118.0</v>
      </c>
      <c r="F9288" s="28">
        <v>46171.0</v>
      </c>
      <c r="G9288" s="29"/>
    </row>
    <row r="9289" ht="15.75" customHeight="1">
      <c r="A9289" s="33" t="s">
        <v>12957</v>
      </c>
      <c r="B9289" s="31" t="s">
        <v>12953</v>
      </c>
      <c r="C9289" s="23" t="s">
        <v>1306</v>
      </c>
      <c r="D9289" s="30" t="s">
        <v>3663</v>
      </c>
      <c r="E9289" s="32">
        <v>46118.0</v>
      </c>
      <c r="F9289" s="32">
        <v>46171.0</v>
      </c>
      <c r="G9289" s="33"/>
    </row>
    <row r="9290" ht="15.75" customHeight="1">
      <c r="A9290" s="29" t="s">
        <v>12958</v>
      </c>
      <c r="B9290" s="27" t="s">
        <v>12953</v>
      </c>
      <c r="C9290" s="23" t="s">
        <v>1308</v>
      </c>
      <c r="D9290" s="26" t="s">
        <v>3663</v>
      </c>
      <c r="E9290" s="28">
        <v>46118.0</v>
      </c>
      <c r="F9290" s="28">
        <v>46171.0</v>
      </c>
      <c r="G9290" s="29"/>
    </row>
    <row r="9291" ht="15.75" customHeight="1">
      <c r="A9291" s="33" t="s">
        <v>12959</v>
      </c>
      <c r="B9291" s="31" t="s">
        <v>12953</v>
      </c>
      <c r="C9291" s="24" t="s">
        <v>1310</v>
      </c>
      <c r="D9291" s="30" t="s">
        <v>3663</v>
      </c>
      <c r="E9291" s="32">
        <v>46118.0</v>
      </c>
      <c r="F9291" s="32">
        <v>46171.0</v>
      </c>
      <c r="G9291" s="33"/>
    </row>
    <row r="9292" ht="15.75" customHeight="1">
      <c r="A9292" s="29" t="s">
        <v>12960</v>
      </c>
      <c r="B9292" s="27" t="s">
        <v>12953</v>
      </c>
      <c r="C9292" s="38" t="s">
        <v>3654</v>
      </c>
      <c r="D9292" s="26" t="s">
        <v>3663</v>
      </c>
      <c r="E9292" s="28">
        <v>46118.0</v>
      </c>
      <c r="F9292" s="28">
        <v>46171.0</v>
      </c>
      <c r="G9292" s="29"/>
    </row>
    <row r="9293" ht="15.75" customHeight="1">
      <c r="A9293" s="33" t="s">
        <v>12961</v>
      </c>
      <c r="B9293" s="31" t="s">
        <v>12953</v>
      </c>
      <c r="C9293" s="41" t="s">
        <v>3655</v>
      </c>
      <c r="D9293" s="30" t="s">
        <v>3663</v>
      </c>
      <c r="E9293" s="32">
        <v>46118.0</v>
      </c>
      <c r="F9293" s="32">
        <v>46171.0</v>
      </c>
      <c r="G9293" s="33"/>
    </row>
    <row r="9294" ht="15.75" customHeight="1">
      <c r="A9294" s="29" t="s">
        <v>12962</v>
      </c>
      <c r="B9294" s="27" t="s">
        <v>12953</v>
      </c>
      <c r="C9294" s="22" t="s">
        <v>1159</v>
      </c>
      <c r="D9294" s="26" t="s">
        <v>3663</v>
      </c>
      <c r="E9294" s="28">
        <v>46118.0</v>
      </c>
      <c r="F9294" s="28">
        <v>46171.0</v>
      </c>
      <c r="G9294" s="29"/>
    </row>
    <row r="9295" ht="15.75" customHeight="1">
      <c r="A9295" s="33" t="s">
        <v>12963</v>
      </c>
      <c r="B9295" s="31" t="s">
        <v>12953</v>
      </c>
      <c r="C9295" s="22" t="s">
        <v>1216</v>
      </c>
      <c r="D9295" s="30" t="s">
        <v>3663</v>
      </c>
      <c r="E9295" s="32">
        <v>46118.0</v>
      </c>
      <c r="F9295" s="32">
        <v>46171.0</v>
      </c>
      <c r="G9295" s="33"/>
    </row>
    <row r="9296" ht="15.75" customHeight="1">
      <c r="A9296" s="29" t="s">
        <v>12964</v>
      </c>
      <c r="B9296" s="27" t="s">
        <v>12965</v>
      </c>
      <c r="C9296" s="38" t="s">
        <v>968</v>
      </c>
      <c r="D9296" s="26" t="s">
        <v>3663</v>
      </c>
      <c r="E9296" s="28">
        <v>46118.0</v>
      </c>
      <c r="F9296" s="28">
        <v>46171.0</v>
      </c>
      <c r="G9296" s="29"/>
    </row>
    <row r="9297" ht="15.75" customHeight="1">
      <c r="A9297" s="33" t="s">
        <v>12966</v>
      </c>
      <c r="B9297" s="31" t="s">
        <v>12965</v>
      </c>
      <c r="C9297" s="31" t="s">
        <v>1168</v>
      </c>
      <c r="D9297" s="30" t="s">
        <v>3663</v>
      </c>
      <c r="E9297" s="32">
        <v>46118.0</v>
      </c>
      <c r="F9297" s="32">
        <v>46171.0</v>
      </c>
      <c r="G9297" s="33"/>
    </row>
    <row r="9298" ht="15.75" customHeight="1">
      <c r="A9298" s="29" t="s">
        <v>12967</v>
      </c>
      <c r="B9298" s="27" t="s">
        <v>12965</v>
      </c>
      <c r="C9298" s="27" t="s">
        <v>1170</v>
      </c>
      <c r="D9298" s="26" t="s">
        <v>3663</v>
      </c>
      <c r="E9298" s="28">
        <v>46118.0</v>
      </c>
      <c r="F9298" s="28">
        <v>46171.0</v>
      </c>
      <c r="G9298" s="29"/>
    </row>
    <row r="9299" ht="15.75" customHeight="1">
      <c r="A9299" s="33" t="s">
        <v>12968</v>
      </c>
      <c r="B9299" s="31" t="s">
        <v>12965</v>
      </c>
      <c r="C9299" s="31" t="s">
        <v>1288</v>
      </c>
      <c r="D9299" s="30" t="s">
        <v>3663</v>
      </c>
      <c r="E9299" s="32">
        <v>46118.0</v>
      </c>
      <c r="F9299" s="32">
        <v>46171.0</v>
      </c>
      <c r="G9299" s="33"/>
    </row>
    <row r="9300" ht="15.75" customHeight="1">
      <c r="A9300" s="29" t="s">
        <v>12969</v>
      </c>
      <c r="B9300" s="27" t="s">
        <v>12965</v>
      </c>
      <c r="C9300" s="27" t="s">
        <v>1291</v>
      </c>
      <c r="D9300" s="26" t="s">
        <v>3663</v>
      </c>
      <c r="E9300" s="28">
        <v>46118.0</v>
      </c>
      <c r="F9300" s="28">
        <v>46171.0</v>
      </c>
      <c r="G9300" s="29"/>
    </row>
    <row r="9301" ht="15.75" customHeight="1">
      <c r="A9301" s="33" t="s">
        <v>12970</v>
      </c>
      <c r="B9301" s="31" t="s">
        <v>12965</v>
      </c>
      <c r="C9301" s="41" t="s">
        <v>3654</v>
      </c>
      <c r="D9301" s="30" t="s">
        <v>3663</v>
      </c>
      <c r="E9301" s="32">
        <v>46118.0</v>
      </c>
      <c r="F9301" s="32">
        <v>46171.0</v>
      </c>
      <c r="G9301" s="33"/>
    </row>
    <row r="9302" ht="15.75" customHeight="1">
      <c r="A9302" s="29" t="s">
        <v>12971</v>
      </c>
      <c r="B9302" s="27" t="s">
        <v>12965</v>
      </c>
      <c r="C9302" s="38" t="s">
        <v>3655</v>
      </c>
      <c r="D9302" s="26" t="s">
        <v>3663</v>
      </c>
      <c r="E9302" s="28">
        <v>46118.0</v>
      </c>
      <c r="F9302" s="28">
        <v>46171.0</v>
      </c>
      <c r="G9302" s="29"/>
    </row>
    <row r="9303" ht="15.75" customHeight="1">
      <c r="A9303" s="33" t="s">
        <v>12972</v>
      </c>
      <c r="B9303" s="31" t="s">
        <v>12965</v>
      </c>
      <c r="C9303" s="21" t="s">
        <v>952</v>
      </c>
      <c r="D9303" s="30" t="s">
        <v>3663</v>
      </c>
      <c r="E9303" s="32">
        <v>46118.0</v>
      </c>
      <c r="F9303" s="32">
        <v>46171.0</v>
      </c>
      <c r="G9303" s="33"/>
    </row>
    <row r="9304" ht="15.75" customHeight="1">
      <c r="A9304" s="29" t="s">
        <v>12973</v>
      </c>
      <c r="B9304" s="27" t="s">
        <v>12965</v>
      </c>
      <c r="C9304" s="22" t="s">
        <v>3647</v>
      </c>
      <c r="D9304" s="26" t="s">
        <v>3663</v>
      </c>
      <c r="E9304" s="28">
        <v>46118.0</v>
      </c>
      <c r="F9304" s="28">
        <v>46171.0</v>
      </c>
      <c r="G9304" s="29"/>
    </row>
    <row r="9305" ht="15.75" customHeight="1">
      <c r="A9305" s="33" t="s">
        <v>12974</v>
      </c>
      <c r="B9305" s="31" t="s">
        <v>12965</v>
      </c>
      <c r="C9305" s="21" t="s">
        <v>955</v>
      </c>
      <c r="D9305" s="30" t="s">
        <v>3663</v>
      </c>
      <c r="E9305" s="32">
        <v>46118.0</v>
      </c>
      <c r="F9305" s="32">
        <v>46171.0</v>
      </c>
      <c r="G9305" s="33"/>
    </row>
    <row r="9306" ht="15.75" customHeight="1">
      <c r="A9306" s="29" t="s">
        <v>12975</v>
      </c>
      <c r="B9306" s="27" t="s">
        <v>12965</v>
      </c>
      <c r="C9306" s="21" t="s">
        <v>1218</v>
      </c>
      <c r="D9306" s="26" t="s">
        <v>3663</v>
      </c>
      <c r="E9306" s="28">
        <v>46118.0</v>
      </c>
      <c r="F9306" s="28">
        <v>46171.0</v>
      </c>
      <c r="G9306" s="29"/>
    </row>
    <row r="9307" ht="15.75" customHeight="1">
      <c r="A9307" s="33" t="s">
        <v>12976</v>
      </c>
      <c r="B9307" s="42" t="s">
        <v>163</v>
      </c>
      <c r="C9307" s="31" t="s">
        <v>942</v>
      </c>
      <c r="D9307" s="30" t="s">
        <v>3663</v>
      </c>
      <c r="E9307" s="32">
        <v>46123.0</v>
      </c>
      <c r="F9307" s="32">
        <v>46171.0</v>
      </c>
      <c r="G9307" s="33"/>
    </row>
    <row r="9308" ht="15.75" customHeight="1">
      <c r="A9308" s="29" t="s">
        <v>12977</v>
      </c>
      <c r="B9308" s="43" t="s">
        <v>177</v>
      </c>
      <c r="C9308" s="27" t="s">
        <v>942</v>
      </c>
      <c r="D9308" s="26" t="s">
        <v>3663</v>
      </c>
      <c r="E9308" s="28">
        <v>46123.0</v>
      </c>
      <c r="F9308" s="28">
        <v>46171.0</v>
      </c>
      <c r="G9308" s="29"/>
    </row>
    <row r="9309" ht="15.75" customHeight="1">
      <c r="A9309" s="33" t="s">
        <v>12978</v>
      </c>
      <c r="B9309" s="42" t="s">
        <v>201</v>
      </c>
      <c r="C9309" s="31" t="s">
        <v>942</v>
      </c>
      <c r="D9309" s="30" t="s">
        <v>3663</v>
      </c>
      <c r="E9309" s="32">
        <v>46123.0</v>
      </c>
      <c r="F9309" s="32">
        <v>46171.0</v>
      </c>
      <c r="G9309" s="33"/>
    </row>
    <row r="9310" ht="15.75" customHeight="1">
      <c r="A9310" s="29" t="s">
        <v>12979</v>
      </c>
      <c r="B9310" s="43" t="s">
        <v>209</v>
      </c>
      <c r="C9310" s="27" t="s">
        <v>942</v>
      </c>
      <c r="D9310" s="26" t="s">
        <v>3663</v>
      </c>
      <c r="E9310" s="28">
        <v>46123.0</v>
      </c>
      <c r="F9310" s="28">
        <v>46171.0</v>
      </c>
      <c r="G9310" s="29"/>
    </row>
    <row r="9311" ht="15.75" customHeight="1">
      <c r="A9311" s="33" t="s">
        <v>12980</v>
      </c>
      <c r="B9311" s="42" t="s">
        <v>254</v>
      </c>
      <c r="C9311" s="31" t="s">
        <v>942</v>
      </c>
      <c r="D9311" s="30" t="s">
        <v>3663</v>
      </c>
      <c r="E9311" s="32">
        <v>46123.0</v>
      </c>
      <c r="F9311" s="32">
        <v>46171.0</v>
      </c>
      <c r="G9311" s="33"/>
    </row>
    <row r="9312" ht="15.75" customHeight="1">
      <c r="A9312" s="29" t="s">
        <v>12981</v>
      </c>
      <c r="B9312" s="43" t="s">
        <v>1295</v>
      </c>
      <c r="C9312" s="27" t="s">
        <v>942</v>
      </c>
      <c r="D9312" s="26" t="s">
        <v>3663</v>
      </c>
      <c r="E9312" s="28">
        <v>46123.0</v>
      </c>
      <c r="F9312" s="28">
        <v>46171.0</v>
      </c>
      <c r="G9312" s="29"/>
    </row>
    <row r="9313" ht="15.75" customHeight="1">
      <c r="A9313" s="33" t="s">
        <v>12982</v>
      </c>
      <c r="B9313" s="42" t="s">
        <v>281</v>
      </c>
      <c r="C9313" s="31" t="s">
        <v>942</v>
      </c>
      <c r="D9313" s="30" t="s">
        <v>3663</v>
      </c>
      <c r="E9313" s="32">
        <v>46123.0</v>
      </c>
      <c r="F9313" s="32">
        <v>46171.0</v>
      </c>
      <c r="G9313" s="33"/>
    </row>
    <row r="9314" ht="15.75" customHeight="1">
      <c r="A9314" s="29" t="s">
        <v>12983</v>
      </c>
      <c r="B9314" s="43" t="s">
        <v>287</v>
      </c>
      <c r="C9314" s="27" t="s">
        <v>942</v>
      </c>
      <c r="D9314" s="26" t="s">
        <v>3663</v>
      </c>
      <c r="E9314" s="28">
        <v>46123.0</v>
      </c>
      <c r="F9314" s="28">
        <v>46171.0</v>
      </c>
      <c r="G9314" s="29"/>
    </row>
    <row r="9315" ht="15.75" customHeight="1">
      <c r="A9315" s="33" t="s">
        <v>12984</v>
      </c>
      <c r="B9315" s="42" t="s">
        <v>288</v>
      </c>
      <c r="C9315" s="31" t="s">
        <v>942</v>
      </c>
      <c r="D9315" s="30" t="s">
        <v>3663</v>
      </c>
      <c r="E9315" s="32">
        <v>46123.0</v>
      </c>
      <c r="F9315" s="32">
        <v>46171.0</v>
      </c>
      <c r="G9315" s="33"/>
    </row>
    <row r="9316" ht="15.75" customHeight="1">
      <c r="A9316" s="29" t="s">
        <v>12985</v>
      </c>
      <c r="B9316" s="43" t="s">
        <v>289</v>
      </c>
      <c r="C9316" s="27" t="s">
        <v>942</v>
      </c>
      <c r="D9316" s="26" t="s">
        <v>3663</v>
      </c>
      <c r="E9316" s="28">
        <v>46123.0</v>
      </c>
      <c r="F9316" s="28">
        <v>46171.0</v>
      </c>
      <c r="G9316" s="29"/>
    </row>
    <row r="9317" ht="15.75" customHeight="1">
      <c r="A9317" s="33" t="s">
        <v>12986</v>
      </c>
      <c r="B9317" s="42" t="s">
        <v>298</v>
      </c>
      <c r="C9317" s="31" t="s">
        <v>942</v>
      </c>
      <c r="D9317" s="30" t="s">
        <v>3663</v>
      </c>
      <c r="E9317" s="32">
        <v>46123.0</v>
      </c>
      <c r="F9317" s="32">
        <v>46171.0</v>
      </c>
      <c r="G9317" s="33"/>
    </row>
    <row r="9318" ht="15.75" customHeight="1">
      <c r="A9318" s="29" t="s">
        <v>12987</v>
      </c>
      <c r="B9318" s="43" t="s">
        <v>316</v>
      </c>
      <c r="C9318" s="27" t="s">
        <v>942</v>
      </c>
      <c r="D9318" s="26" t="s">
        <v>3663</v>
      </c>
      <c r="E9318" s="28">
        <v>46123.0</v>
      </c>
      <c r="F9318" s="28">
        <v>46171.0</v>
      </c>
      <c r="G9318" s="29"/>
    </row>
    <row r="9319" ht="15.75" customHeight="1">
      <c r="A9319" s="33" t="s">
        <v>12988</v>
      </c>
      <c r="B9319" s="42" t="s">
        <v>344</v>
      </c>
      <c r="C9319" s="31" t="s">
        <v>942</v>
      </c>
      <c r="D9319" s="30" t="s">
        <v>3663</v>
      </c>
      <c r="E9319" s="32">
        <v>46123.0</v>
      </c>
      <c r="F9319" s="32">
        <v>46171.0</v>
      </c>
      <c r="G9319" s="33"/>
    </row>
    <row r="9320" ht="15.75" customHeight="1">
      <c r="A9320" s="29" t="s">
        <v>12989</v>
      </c>
      <c r="B9320" s="43" t="s">
        <v>351</v>
      </c>
      <c r="C9320" s="27" t="s">
        <v>942</v>
      </c>
      <c r="D9320" s="26" t="s">
        <v>3663</v>
      </c>
      <c r="E9320" s="28">
        <v>46123.0</v>
      </c>
      <c r="F9320" s="28">
        <v>46171.0</v>
      </c>
      <c r="G9320" s="29"/>
    </row>
    <row r="9321" ht="15.75" customHeight="1">
      <c r="A9321" s="33" t="s">
        <v>12990</v>
      </c>
      <c r="B9321" s="42" t="s">
        <v>359</v>
      </c>
      <c r="C9321" s="31" t="s">
        <v>942</v>
      </c>
      <c r="D9321" s="30" t="s">
        <v>3663</v>
      </c>
      <c r="E9321" s="32">
        <v>46123.0</v>
      </c>
      <c r="F9321" s="32">
        <v>46171.0</v>
      </c>
      <c r="G9321" s="33"/>
    </row>
    <row r="9322" ht="15.75" customHeight="1">
      <c r="A9322" s="29" t="s">
        <v>12991</v>
      </c>
      <c r="B9322" s="43" t="s">
        <v>370</v>
      </c>
      <c r="C9322" s="27" t="s">
        <v>942</v>
      </c>
      <c r="D9322" s="26" t="s">
        <v>3663</v>
      </c>
      <c r="E9322" s="28">
        <v>46123.0</v>
      </c>
      <c r="F9322" s="28">
        <v>46171.0</v>
      </c>
      <c r="G9322" s="29"/>
    </row>
    <row r="9323" ht="15.75" customHeight="1">
      <c r="A9323" s="33" t="s">
        <v>12992</v>
      </c>
      <c r="B9323" s="42" t="s">
        <v>373</v>
      </c>
      <c r="C9323" s="31" t="s">
        <v>942</v>
      </c>
      <c r="D9323" s="30" t="s">
        <v>3663</v>
      </c>
      <c r="E9323" s="32">
        <v>46123.0</v>
      </c>
      <c r="F9323" s="32">
        <v>46171.0</v>
      </c>
      <c r="G9323" s="33"/>
    </row>
    <row r="9324" ht="15.75" customHeight="1">
      <c r="A9324" s="29" t="s">
        <v>12993</v>
      </c>
      <c r="B9324" s="43" t="s">
        <v>374</v>
      </c>
      <c r="C9324" s="27" t="s">
        <v>942</v>
      </c>
      <c r="D9324" s="26" t="s">
        <v>3663</v>
      </c>
      <c r="E9324" s="28">
        <v>46123.0</v>
      </c>
      <c r="F9324" s="28">
        <v>46171.0</v>
      </c>
      <c r="G9324" s="29"/>
    </row>
    <row r="9325" ht="15.75" customHeight="1">
      <c r="A9325" s="33" t="s">
        <v>12994</v>
      </c>
      <c r="B9325" s="42" t="s">
        <v>378</v>
      </c>
      <c r="C9325" s="31" t="s">
        <v>942</v>
      </c>
      <c r="D9325" s="30" t="s">
        <v>3663</v>
      </c>
      <c r="E9325" s="32">
        <v>46123.0</v>
      </c>
      <c r="F9325" s="32">
        <v>46171.0</v>
      </c>
      <c r="G9325" s="33"/>
    </row>
    <row r="9326" ht="15.75" customHeight="1">
      <c r="A9326" s="29" t="s">
        <v>12995</v>
      </c>
      <c r="B9326" s="43" t="s">
        <v>383</v>
      </c>
      <c r="C9326" s="27" t="s">
        <v>942</v>
      </c>
      <c r="D9326" s="26" t="s">
        <v>3663</v>
      </c>
      <c r="E9326" s="28">
        <v>46123.0</v>
      </c>
      <c r="F9326" s="28">
        <v>46171.0</v>
      </c>
      <c r="G9326" s="29"/>
    </row>
    <row r="9327" ht="15.75" customHeight="1">
      <c r="A9327" s="33" t="s">
        <v>12996</v>
      </c>
      <c r="B9327" s="42" t="s">
        <v>445</v>
      </c>
      <c r="C9327" s="31" t="s">
        <v>942</v>
      </c>
      <c r="D9327" s="30" t="s">
        <v>3663</v>
      </c>
      <c r="E9327" s="32">
        <v>46123.0</v>
      </c>
      <c r="F9327" s="32">
        <v>46171.0</v>
      </c>
      <c r="G9327" s="33"/>
    </row>
    <row r="9328" ht="15.75" customHeight="1">
      <c r="A9328" s="29" t="s">
        <v>12997</v>
      </c>
      <c r="B9328" s="43" t="s">
        <v>486</v>
      </c>
      <c r="C9328" s="27" t="s">
        <v>942</v>
      </c>
      <c r="D9328" s="26" t="s">
        <v>3663</v>
      </c>
      <c r="E9328" s="28">
        <v>46123.0</v>
      </c>
      <c r="F9328" s="28">
        <v>46171.0</v>
      </c>
      <c r="G9328" s="29"/>
    </row>
    <row r="9329" ht="15.75" customHeight="1">
      <c r="A9329" s="33" t="s">
        <v>12998</v>
      </c>
      <c r="B9329" s="42" t="s">
        <v>635</v>
      </c>
      <c r="C9329" s="31" t="s">
        <v>942</v>
      </c>
      <c r="D9329" s="30" t="s">
        <v>3663</v>
      </c>
      <c r="E9329" s="32">
        <v>46123.0</v>
      </c>
      <c r="F9329" s="32">
        <v>46171.0</v>
      </c>
      <c r="G9329" s="33"/>
    </row>
    <row r="9330" ht="15.75" customHeight="1">
      <c r="A9330" s="29" t="s">
        <v>12999</v>
      </c>
      <c r="B9330" s="43" t="s">
        <v>665</v>
      </c>
      <c r="C9330" s="27" t="s">
        <v>942</v>
      </c>
      <c r="D9330" s="26" t="s">
        <v>3663</v>
      </c>
      <c r="E9330" s="28">
        <v>46123.0</v>
      </c>
      <c r="F9330" s="28">
        <v>46171.0</v>
      </c>
      <c r="G9330" s="29"/>
    </row>
    <row r="9331" ht="15.75" customHeight="1">
      <c r="A9331" s="33" t="s">
        <v>13000</v>
      </c>
      <c r="B9331" s="42" t="s">
        <v>680</v>
      </c>
      <c r="C9331" s="31" t="s">
        <v>942</v>
      </c>
      <c r="D9331" s="30" t="s">
        <v>3663</v>
      </c>
      <c r="E9331" s="32">
        <v>46123.0</v>
      </c>
      <c r="F9331" s="32">
        <v>46171.0</v>
      </c>
      <c r="G9331" s="33"/>
    </row>
    <row r="9332" ht="15.75" customHeight="1">
      <c r="A9332" s="29" t="s">
        <v>13001</v>
      </c>
      <c r="B9332" s="43" t="s">
        <v>696</v>
      </c>
      <c r="C9332" s="27" t="s">
        <v>942</v>
      </c>
      <c r="D9332" s="26" t="s">
        <v>3663</v>
      </c>
      <c r="E9332" s="28">
        <v>46123.0</v>
      </c>
      <c r="F9332" s="28">
        <v>46171.0</v>
      </c>
      <c r="G9332" s="29"/>
    </row>
    <row r="9333" ht="15.75" customHeight="1">
      <c r="A9333" s="33" t="s">
        <v>13002</v>
      </c>
      <c r="B9333" s="42" t="s">
        <v>732</v>
      </c>
      <c r="C9333" s="31" t="s">
        <v>942</v>
      </c>
      <c r="D9333" s="30" t="s">
        <v>3663</v>
      </c>
      <c r="E9333" s="32">
        <v>46123.0</v>
      </c>
      <c r="F9333" s="32">
        <v>46171.0</v>
      </c>
      <c r="G9333" s="33"/>
    </row>
    <row r="9334" ht="15.75" customHeight="1">
      <c r="A9334" s="29" t="s">
        <v>13003</v>
      </c>
      <c r="B9334" s="43" t="s">
        <v>1273</v>
      </c>
      <c r="C9334" s="27" t="s">
        <v>942</v>
      </c>
      <c r="D9334" s="26" t="s">
        <v>3663</v>
      </c>
      <c r="E9334" s="28">
        <v>46123.0</v>
      </c>
      <c r="F9334" s="28">
        <v>46171.0</v>
      </c>
      <c r="G9334" s="29"/>
    </row>
    <row r="9335" ht="15.75" customHeight="1">
      <c r="A9335" s="33" t="s">
        <v>13004</v>
      </c>
      <c r="B9335" s="42" t="s">
        <v>795</v>
      </c>
      <c r="C9335" s="31" t="s">
        <v>942</v>
      </c>
      <c r="D9335" s="30" t="s">
        <v>3663</v>
      </c>
      <c r="E9335" s="32">
        <v>46123.0</v>
      </c>
      <c r="F9335" s="32">
        <v>46171.0</v>
      </c>
      <c r="G9335" s="33"/>
    </row>
    <row r="9336" ht="15.75" customHeight="1">
      <c r="A9336" s="29" t="s">
        <v>13005</v>
      </c>
      <c r="B9336" s="43" t="s">
        <v>221</v>
      </c>
      <c r="C9336" s="27" t="s">
        <v>942</v>
      </c>
      <c r="D9336" s="26" t="s">
        <v>3663</v>
      </c>
      <c r="E9336" s="28">
        <v>46123.0</v>
      </c>
      <c r="F9336" s="28">
        <v>46171.0</v>
      </c>
      <c r="G9336" s="29"/>
    </row>
    <row r="9337" ht="15.75" customHeight="1">
      <c r="A9337" s="33" t="s">
        <v>13006</v>
      </c>
      <c r="B9337" s="42" t="s">
        <v>224</v>
      </c>
      <c r="C9337" s="31" t="s">
        <v>942</v>
      </c>
      <c r="D9337" s="30" t="s">
        <v>3663</v>
      </c>
      <c r="E9337" s="32">
        <v>46123.0</v>
      </c>
      <c r="F9337" s="32">
        <v>46171.0</v>
      </c>
      <c r="G9337" s="33"/>
    </row>
    <row r="9338" ht="15.75" customHeight="1">
      <c r="A9338" s="29" t="s">
        <v>13007</v>
      </c>
      <c r="B9338" s="43" t="s">
        <v>227</v>
      </c>
      <c r="C9338" s="27" t="s">
        <v>942</v>
      </c>
      <c r="D9338" s="26" t="s">
        <v>3663</v>
      </c>
      <c r="E9338" s="28">
        <v>46123.0</v>
      </c>
      <c r="F9338" s="28">
        <v>46171.0</v>
      </c>
      <c r="G9338" s="29"/>
    </row>
    <row r="9339" ht="15.75" customHeight="1">
      <c r="A9339" s="33" t="s">
        <v>13008</v>
      </c>
      <c r="B9339" s="42" t="s">
        <v>269</v>
      </c>
      <c r="C9339" s="31" t="s">
        <v>942</v>
      </c>
      <c r="D9339" s="30" t="s">
        <v>3663</v>
      </c>
      <c r="E9339" s="32">
        <v>46123.0</v>
      </c>
      <c r="F9339" s="32">
        <v>46171.0</v>
      </c>
      <c r="G9339" s="33"/>
    </row>
    <row r="9340" ht="15.75" customHeight="1">
      <c r="A9340" s="29" t="s">
        <v>13009</v>
      </c>
      <c r="B9340" s="43" t="s">
        <v>332</v>
      </c>
      <c r="C9340" s="27" t="s">
        <v>942</v>
      </c>
      <c r="D9340" s="26" t="s">
        <v>3663</v>
      </c>
      <c r="E9340" s="28">
        <v>46123.0</v>
      </c>
      <c r="F9340" s="28">
        <v>46171.0</v>
      </c>
      <c r="G9340" s="29"/>
    </row>
    <row r="9341" ht="15.75" customHeight="1">
      <c r="A9341" s="33" t="s">
        <v>13010</v>
      </c>
      <c r="B9341" s="42" t="s">
        <v>357</v>
      </c>
      <c r="C9341" s="31" t="s">
        <v>942</v>
      </c>
      <c r="D9341" s="30" t="s">
        <v>3663</v>
      </c>
      <c r="E9341" s="32">
        <v>46123.0</v>
      </c>
      <c r="F9341" s="32">
        <v>46171.0</v>
      </c>
      <c r="G9341" s="33"/>
    </row>
    <row r="9342" ht="15.75" customHeight="1">
      <c r="A9342" s="29" t="s">
        <v>13011</v>
      </c>
      <c r="B9342" s="43" t="s">
        <v>388</v>
      </c>
      <c r="C9342" s="27" t="s">
        <v>942</v>
      </c>
      <c r="D9342" s="26" t="s">
        <v>3663</v>
      </c>
      <c r="E9342" s="28">
        <v>46123.0</v>
      </c>
      <c r="F9342" s="28">
        <v>46171.0</v>
      </c>
      <c r="G9342" s="29"/>
    </row>
    <row r="9343" ht="15.75" customHeight="1">
      <c r="A9343" s="33" t="s">
        <v>13012</v>
      </c>
      <c r="B9343" s="42" t="s">
        <v>1342</v>
      </c>
      <c r="C9343" s="31" t="s">
        <v>942</v>
      </c>
      <c r="D9343" s="30" t="s">
        <v>3663</v>
      </c>
      <c r="E9343" s="32">
        <v>46123.0</v>
      </c>
      <c r="F9343" s="32">
        <v>46171.0</v>
      </c>
      <c r="G9343" s="33"/>
    </row>
    <row r="9344" ht="15.75" customHeight="1">
      <c r="A9344" s="29" t="s">
        <v>13013</v>
      </c>
      <c r="B9344" s="43" t="s">
        <v>395</v>
      </c>
      <c r="C9344" s="27" t="s">
        <v>942</v>
      </c>
      <c r="D9344" s="26" t="s">
        <v>3663</v>
      </c>
      <c r="E9344" s="28">
        <v>46123.0</v>
      </c>
      <c r="F9344" s="28">
        <v>46171.0</v>
      </c>
      <c r="G9344" s="29"/>
    </row>
    <row r="9345" ht="15.75" customHeight="1">
      <c r="A9345" s="33" t="s">
        <v>13014</v>
      </c>
      <c r="B9345" s="42" t="s">
        <v>396</v>
      </c>
      <c r="C9345" s="31" t="s">
        <v>942</v>
      </c>
      <c r="D9345" s="30" t="s">
        <v>3663</v>
      </c>
      <c r="E9345" s="32">
        <v>46123.0</v>
      </c>
      <c r="F9345" s="32">
        <v>46171.0</v>
      </c>
      <c r="G9345" s="33"/>
    </row>
    <row r="9346" ht="15.75" customHeight="1">
      <c r="A9346" s="29" t="s">
        <v>13015</v>
      </c>
      <c r="B9346" s="43" t="s">
        <v>397</v>
      </c>
      <c r="C9346" s="27" t="s">
        <v>942</v>
      </c>
      <c r="D9346" s="26" t="s">
        <v>3663</v>
      </c>
      <c r="E9346" s="28">
        <v>46123.0</v>
      </c>
      <c r="F9346" s="28">
        <v>46171.0</v>
      </c>
      <c r="G9346" s="29"/>
    </row>
    <row r="9347" ht="15.75" customHeight="1">
      <c r="A9347" s="33" t="s">
        <v>13016</v>
      </c>
      <c r="B9347" s="42" t="s">
        <v>422</v>
      </c>
      <c r="C9347" s="31" t="s">
        <v>942</v>
      </c>
      <c r="D9347" s="30" t="s">
        <v>3663</v>
      </c>
      <c r="E9347" s="32">
        <v>46123.0</v>
      </c>
      <c r="F9347" s="32">
        <v>46171.0</v>
      </c>
      <c r="G9347" s="33"/>
    </row>
    <row r="9348" ht="15.75" customHeight="1">
      <c r="A9348" s="29" t="s">
        <v>13017</v>
      </c>
      <c r="B9348" s="43" t="s">
        <v>476</v>
      </c>
      <c r="C9348" s="27" t="s">
        <v>942</v>
      </c>
      <c r="D9348" s="26" t="s">
        <v>3663</v>
      </c>
      <c r="E9348" s="28">
        <v>46123.0</v>
      </c>
      <c r="F9348" s="28">
        <v>46171.0</v>
      </c>
      <c r="G9348" s="29"/>
    </row>
    <row r="9349" ht="15.75" customHeight="1">
      <c r="A9349" s="33" t="s">
        <v>13018</v>
      </c>
      <c r="B9349" s="42" t="s">
        <v>491</v>
      </c>
      <c r="C9349" s="31" t="s">
        <v>942</v>
      </c>
      <c r="D9349" s="30" t="s">
        <v>3663</v>
      </c>
      <c r="E9349" s="32">
        <v>46123.0</v>
      </c>
      <c r="F9349" s="32">
        <v>46171.0</v>
      </c>
      <c r="G9349" s="33"/>
    </row>
    <row r="9350" ht="15.75" customHeight="1">
      <c r="A9350" s="29" t="s">
        <v>13019</v>
      </c>
      <c r="B9350" s="43" t="s">
        <v>514</v>
      </c>
      <c r="C9350" s="27" t="s">
        <v>942</v>
      </c>
      <c r="D9350" s="26" t="s">
        <v>3663</v>
      </c>
      <c r="E9350" s="28">
        <v>46123.0</v>
      </c>
      <c r="F9350" s="28">
        <v>46171.0</v>
      </c>
      <c r="G9350" s="29"/>
    </row>
    <row r="9351" ht="15.75" customHeight="1">
      <c r="A9351" s="33" t="s">
        <v>13020</v>
      </c>
      <c r="B9351" s="42" t="s">
        <v>516</v>
      </c>
      <c r="C9351" s="31" t="s">
        <v>942</v>
      </c>
      <c r="D9351" s="30" t="s">
        <v>3663</v>
      </c>
      <c r="E9351" s="32">
        <v>46123.0</v>
      </c>
      <c r="F9351" s="32">
        <v>46171.0</v>
      </c>
      <c r="G9351" s="33"/>
    </row>
    <row r="9352" ht="15.75" customHeight="1">
      <c r="A9352" s="29" t="s">
        <v>13021</v>
      </c>
      <c r="B9352" s="43" t="s">
        <v>560</v>
      </c>
      <c r="C9352" s="27" t="s">
        <v>942</v>
      </c>
      <c r="D9352" s="26" t="s">
        <v>3663</v>
      </c>
      <c r="E9352" s="28">
        <v>46123.0</v>
      </c>
      <c r="F9352" s="28">
        <v>46171.0</v>
      </c>
      <c r="G9352" s="29"/>
    </row>
    <row r="9353" ht="15.75" customHeight="1">
      <c r="A9353" s="33" t="s">
        <v>13022</v>
      </c>
      <c r="B9353" s="42" t="s">
        <v>590</v>
      </c>
      <c r="C9353" s="31" t="s">
        <v>942</v>
      </c>
      <c r="D9353" s="30" t="s">
        <v>3663</v>
      </c>
      <c r="E9353" s="32">
        <v>46123.0</v>
      </c>
      <c r="F9353" s="32">
        <v>46171.0</v>
      </c>
      <c r="G9353" s="33"/>
    </row>
    <row r="9354" ht="15.75" customHeight="1">
      <c r="A9354" s="29" t="s">
        <v>13023</v>
      </c>
      <c r="B9354" s="43" t="s">
        <v>605</v>
      </c>
      <c r="C9354" s="27" t="s">
        <v>942</v>
      </c>
      <c r="D9354" s="26" t="s">
        <v>3663</v>
      </c>
      <c r="E9354" s="28">
        <v>46123.0</v>
      </c>
      <c r="F9354" s="28">
        <v>46171.0</v>
      </c>
      <c r="G9354" s="29"/>
    </row>
    <row r="9355" ht="15.75" customHeight="1">
      <c r="A9355" s="33" t="s">
        <v>13024</v>
      </c>
      <c r="B9355" s="42" t="s">
        <v>628</v>
      </c>
      <c r="C9355" s="31" t="s">
        <v>942</v>
      </c>
      <c r="D9355" s="30" t="s">
        <v>3663</v>
      </c>
      <c r="E9355" s="32">
        <v>46123.0</v>
      </c>
      <c r="F9355" s="32">
        <v>46171.0</v>
      </c>
      <c r="G9355" s="33"/>
    </row>
    <row r="9356" ht="15.75" customHeight="1">
      <c r="A9356" s="29" t="s">
        <v>13025</v>
      </c>
      <c r="B9356" s="43" t="s">
        <v>632</v>
      </c>
      <c r="C9356" s="27" t="s">
        <v>942</v>
      </c>
      <c r="D9356" s="26" t="s">
        <v>3663</v>
      </c>
      <c r="E9356" s="28">
        <v>46123.0</v>
      </c>
      <c r="F9356" s="28">
        <v>46171.0</v>
      </c>
      <c r="G9356" s="29"/>
    </row>
    <row r="9357" ht="15.75" customHeight="1">
      <c r="A9357" s="33" t="s">
        <v>13026</v>
      </c>
      <c r="B9357" s="42" t="s">
        <v>693</v>
      </c>
      <c r="C9357" s="31" t="s">
        <v>942</v>
      </c>
      <c r="D9357" s="30" t="s">
        <v>3663</v>
      </c>
      <c r="E9357" s="32">
        <v>46123.0</v>
      </c>
      <c r="F9357" s="32">
        <v>46171.0</v>
      </c>
      <c r="G9357" s="33"/>
    </row>
    <row r="9358" ht="15.75" customHeight="1">
      <c r="A9358" s="29" t="s">
        <v>13027</v>
      </c>
      <c r="B9358" s="43" t="s">
        <v>731</v>
      </c>
      <c r="C9358" s="27" t="s">
        <v>942</v>
      </c>
      <c r="D9358" s="26" t="s">
        <v>3663</v>
      </c>
      <c r="E9358" s="28">
        <v>46123.0</v>
      </c>
      <c r="F9358" s="28">
        <v>46171.0</v>
      </c>
      <c r="G9358" s="29"/>
    </row>
    <row r="9359" ht="15.75" customHeight="1">
      <c r="A9359" s="33" t="s">
        <v>13028</v>
      </c>
      <c r="B9359" s="42" t="s">
        <v>751</v>
      </c>
      <c r="C9359" s="31" t="s">
        <v>942</v>
      </c>
      <c r="D9359" s="30" t="s">
        <v>3663</v>
      </c>
      <c r="E9359" s="32">
        <v>46123.0</v>
      </c>
      <c r="F9359" s="32">
        <v>46171.0</v>
      </c>
      <c r="G9359" s="33"/>
    </row>
    <row r="9360" ht="15.75" customHeight="1">
      <c r="A9360" s="29" t="s">
        <v>13029</v>
      </c>
      <c r="B9360" s="43" t="s">
        <v>759</v>
      </c>
      <c r="C9360" s="27" t="s">
        <v>942</v>
      </c>
      <c r="D9360" s="26" t="s">
        <v>3663</v>
      </c>
      <c r="E9360" s="28">
        <v>46123.0</v>
      </c>
      <c r="F9360" s="28">
        <v>46171.0</v>
      </c>
      <c r="G9360" s="29"/>
    </row>
    <row r="9361" ht="15.75" customHeight="1">
      <c r="A9361" s="33" t="s">
        <v>13030</v>
      </c>
      <c r="B9361" s="42" t="s">
        <v>763</v>
      </c>
      <c r="C9361" s="31" t="s">
        <v>942</v>
      </c>
      <c r="D9361" s="30" t="s">
        <v>3663</v>
      </c>
      <c r="E9361" s="32">
        <v>46123.0</v>
      </c>
      <c r="F9361" s="32">
        <v>46171.0</v>
      </c>
      <c r="G9361" s="33"/>
    </row>
    <row r="9362" ht="15.75" customHeight="1">
      <c r="A9362" s="29" t="s">
        <v>13031</v>
      </c>
      <c r="B9362" s="43" t="s">
        <v>789</v>
      </c>
      <c r="C9362" s="27" t="s">
        <v>942</v>
      </c>
      <c r="D9362" s="26" t="s">
        <v>3663</v>
      </c>
      <c r="E9362" s="28">
        <v>46123.0</v>
      </c>
      <c r="F9362" s="28">
        <v>46171.0</v>
      </c>
      <c r="G9362" s="29"/>
    </row>
    <row r="9363" ht="15.75" customHeight="1">
      <c r="A9363" s="33" t="s">
        <v>13032</v>
      </c>
      <c r="B9363" s="42" t="s">
        <v>814</v>
      </c>
      <c r="C9363" s="31" t="s">
        <v>942</v>
      </c>
      <c r="D9363" s="30" t="s">
        <v>3663</v>
      </c>
      <c r="E9363" s="32">
        <v>46123.0</v>
      </c>
      <c r="F9363" s="32">
        <v>46171.0</v>
      </c>
      <c r="G9363" s="33"/>
    </row>
    <row r="9364" ht="15.75" customHeight="1">
      <c r="A9364" s="29" t="s">
        <v>13033</v>
      </c>
      <c r="B9364" s="43" t="s">
        <v>826</v>
      </c>
      <c r="C9364" s="27" t="s">
        <v>942</v>
      </c>
      <c r="D9364" s="26" t="s">
        <v>3663</v>
      </c>
      <c r="E9364" s="28">
        <v>46123.0</v>
      </c>
      <c r="F9364" s="28">
        <v>46171.0</v>
      </c>
      <c r="G9364" s="29"/>
    </row>
    <row r="9365" ht="15.75" customHeight="1">
      <c r="A9365" s="33" t="s">
        <v>13034</v>
      </c>
      <c r="B9365" s="42" t="s">
        <v>155</v>
      </c>
      <c r="C9365" s="31" t="s">
        <v>946</v>
      </c>
      <c r="D9365" s="30" t="s">
        <v>3663</v>
      </c>
      <c r="E9365" s="32">
        <v>46123.0</v>
      </c>
      <c r="F9365" s="32">
        <v>46171.0</v>
      </c>
      <c r="G9365" s="33"/>
    </row>
    <row r="9366" ht="15.75" customHeight="1">
      <c r="A9366" s="29" t="s">
        <v>13035</v>
      </c>
      <c r="B9366" s="43" t="s">
        <v>261</v>
      </c>
      <c r="C9366" s="27" t="s">
        <v>946</v>
      </c>
      <c r="D9366" s="26" t="s">
        <v>3663</v>
      </c>
      <c r="E9366" s="28">
        <v>46123.0</v>
      </c>
      <c r="F9366" s="28">
        <v>46171.0</v>
      </c>
      <c r="G9366" s="29"/>
    </row>
    <row r="9367" ht="15.75" customHeight="1">
      <c r="A9367" s="33" t="s">
        <v>13036</v>
      </c>
      <c r="B9367" s="42" t="s">
        <v>302</v>
      </c>
      <c r="C9367" s="31" t="s">
        <v>946</v>
      </c>
      <c r="D9367" s="30" t="s">
        <v>3663</v>
      </c>
      <c r="E9367" s="32">
        <v>46123.0</v>
      </c>
      <c r="F9367" s="32">
        <v>46171.0</v>
      </c>
      <c r="G9367" s="33"/>
    </row>
    <row r="9368" ht="15.75" customHeight="1">
      <c r="A9368" s="29" t="s">
        <v>13037</v>
      </c>
      <c r="B9368" s="43" t="s">
        <v>321</v>
      </c>
      <c r="C9368" s="27" t="s">
        <v>946</v>
      </c>
      <c r="D9368" s="26" t="s">
        <v>3663</v>
      </c>
      <c r="E9368" s="28">
        <v>46123.0</v>
      </c>
      <c r="F9368" s="28">
        <v>46171.0</v>
      </c>
      <c r="G9368" s="29"/>
    </row>
    <row r="9369" ht="15.75" customHeight="1">
      <c r="A9369" s="33" t="s">
        <v>13038</v>
      </c>
      <c r="B9369" s="42" t="s">
        <v>326</v>
      </c>
      <c r="C9369" s="31" t="s">
        <v>946</v>
      </c>
      <c r="D9369" s="30" t="s">
        <v>3663</v>
      </c>
      <c r="E9369" s="32">
        <v>46123.0</v>
      </c>
      <c r="F9369" s="32">
        <v>46171.0</v>
      </c>
      <c r="G9369" s="33"/>
    </row>
    <row r="9370" ht="15.75" customHeight="1">
      <c r="A9370" s="29" t="s">
        <v>13039</v>
      </c>
      <c r="B9370" s="43" t="s">
        <v>346</v>
      </c>
      <c r="C9370" s="27" t="s">
        <v>946</v>
      </c>
      <c r="D9370" s="26" t="s">
        <v>3663</v>
      </c>
      <c r="E9370" s="28">
        <v>46123.0</v>
      </c>
      <c r="F9370" s="28">
        <v>46171.0</v>
      </c>
      <c r="G9370" s="29"/>
    </row>
    <row r="9371" ht="15.75" customHeight="1">
      <c r="A9371" s="33" t="s">
        <v>13040</v>
      </c>
      <c r="B9371" s="42" t="s">
        <v>353</v>
      </c>
      <c r="C9371" s="31" t="s">
        <v>946</v>
      </c>
      <c r="D9371" s="30" t="s">
        <v>3663</v>
      </c>
      <c r="E9371" s="32">
        <v>46123.0</v>
      </c>
      <c r="F9371" s="32">
        <v>46171.0</v>
      </c>
      <c r="G9371" s="33"/>
    </row>
    <row r="9372" ht="15.75" customHeight="1">
      <c r="A9372" s="29" t="s">
        <v>13041</v>
      </c>
      <c r="B9372" s="43" t="s">
        <v>446</v>
      </c>
      <c r="C9372" s="27" t="s">
        <v>946</v>
      </c>
      <c r="D9372" s="26" t="s">
        <v>3663</v>
      </c>
      <c r="E9372" s="28">
        <v>46123.0</v>
      </c>
      <c r="F9372" s="28">
        <v>46171.0</v>
      </c>
      <c r="G9372" s="29"/>
    </row>
    <row r="9373" ht="15.75" customHeight="1">
      <c r="A9373" s="33" t="s">
        <v>13042</v>
      </c>
      <c r="B9373" s="42" t="s">
        <v>13043</v>
      </c>
      <c r="C9373" s="31" t="s">
        <v>946</v>
      </c>
      <c r="D9373" s="30" t="s">
        <v>3663</v>
      </c>
      <c r="E9373" s="32">
        <v>46123.0</v>
      </c>
      <c r="F9373" s="32">
        <v>46171.0</v>
      </c>
      <c r="G9373" s="33"/>
    </row>
    <row r="9374" ht="15.75" customHeight="1">
      <c r="A9374" s="29" t="s">
        <v>13044</v>
      </c>
      <c r="B9374" s="43" t="s">
        <v>502</v>
      </c>
      <c r="C9374" s="27" t="s">
        <v>946</v>
      </c>
      <c r="D9374" s="26" t="s">
        <v>3663</v>
      </c>
      <c r="E9374" s="28">
        <v>46123.0</v>
      </c>
      <c r="F9374" s="28">
        <v>46171.0</v>
      </c>
      <c r="G9374" s="29"/>
    </row>
    <row r="9375" ht="15.75" customHeight="1">
      <c r="A9375" s="33" t="s">
        <v>13045</v>
      </c>
      <c r="B9375" s="42" t="s">
        <v>533</v>
      </c>
      <c r="C9375" s="31" t="s">
        <v>946</v>
      </c>
      <c r="D9375" s="30" t="s">
        <v>3663</v>
      </c>
      <c r="E9375" s="32">
        <v>46123.0</v>
      </c>
      <c r="F9375" s="32">
        <v>46171.0</v>
      </c>
      <c r="G9375" s="33"/>
    </row>
    <row r="9376" ht="15.75" customHeight="1">
      <c r="A9376" s="29" t="s">
        <v>13046</v>
      </c>
      <c r="B9376" s="43" t="s">
        <v>545</v>
      </c>
      <c r="C9376" s="27" t="s">
        <v>946</v>
      </c>
      <c r="D9376" s="26" t="s">
        <v>3663</v>
      </c>
      <c r="E9376" s="28">
        <v>46123.0</v>
      </c>
      <c r="F9376" s="28">
        <v>46171.0</v>
      </c>
      <c r="G9376" s="29"/>
    </row>
    <row r="9377" ht="15.75" customHeight="1">
      <c r="A9377" s="33" t="s">
        <v>13047</v>
      </c>
      <c r="B9377" s="42" t="s">
        <v>548</v>
      </c>
      <c r="C9377" s="31" t="s">
        <v>946</v>
      </c>
      <c r="D9377" s="30" t="s">
        <v>3663</v>
      </c>
      <c r="E9377" s="32">
        <v>46123.0</v>
      </c>
      <c r="F9377" s="32">
        <v>46171.0</v>
      </c>
      <c r="G9377" s="33"/>
    </row>
    <row r="9378" ht="15.75" customHeight="1">
      <c r="A9378" s="29" t="s">
        <v>13048</v>
      </c>
      <c r="B9378" s="43" t="s">
        <v>571</v>
      </c>
      <c r="C9378" s="27" t="s">
        <v>946</v>
      </c>
      <c r="D9378" s="26" t="s">
        <v>3663</v>
      </c>
      <c r="E9378" s="28">
        <v>46123.0</v>
      </c>
      <c r="F9378" s="28">
        <v>46171.0</v>
      </c>
      <c r="G9378" s="29"/>
    </row>
    <row r="9379" ht="15.75" customHeight="1">
      <c r="A9379" s="33" t="s">
        <v>13049</v>
      </c>
      <c r="B9379" s="42" t="s">
        <v>594</v>
      </c>
      <c r="C9379" s="31" t="s">
        <v>946</v>
      </c>
      <c r="D9379" s="30" t="s">
        <v>3663</v>
      </c>
      <c r="E9379" s="32">
        <v>46123.0</v>
      </c>
      <c r="F9379" s="32">
        <v>46171.0</v>
      </c>
      <c r="G9379" s="33"/>
    </row>
    <row r="9380" ht="15.75" customHeight="1">
      <c r="A9380" s="29" t="s">
        <v>13050</v>
      </c>
      <c r="B9380" s="43" t="s">
        <v>597</v>
      </c>
      <c r="C9380" s="27" t="s">
        <v>946</v>
      </c>
      <c r="D9380" s="26" t="s">
        <v>3663</v>
      </c>
      <c r="E9380" s="28">
        <v>46123.0</v>
      </c>
      <c r="F9380" s="28">
        <v>46171.0</v>
      </c>
      <c r="G9380" s="29"/>
    </row>
    <row r="9381" ht="15.75" customHeight="1">
      <c r="A9381" s="33" t="s">
        <v>13051</v>
      </c>
      <c r="B9381" s="42" t="s">
        <v>607</v>
      </c>
      <c r="C9381" s="31" t="s">
        <v>946</v>
      </c>
      <c r="D9381" s="30" t="s">
        <v>3663</v>
      </c>
      <c r="E9381" s="32">
        <v>46123.0</v>
      </c>
      <c r="F9381" s="32">
        <v>46171.0</v>
      </c>
      <c r="G9381" s="33"/>
    </row>
    <row r="9382" ht="15.75" customHeight="1">
      <c r="A9382" s="29" t="s">
        <v>13052</v>
      </c>
      <c r="B9382" s="43" t="s">
        <v>609</v>
      </c>
      <c r="C9382" s="27" t="s">
        <v>946</v>
      </c>
      <c r="D9382" s="26" t="s">
        <v>3663</v>
      </c>
      <c r="E9382" s="28">
        <v>46123.0</v>
      </c>
      <c r="F9382" s="28">
        <v>46171.0</v>
      </c>
      <c r="G9382" s="29"/>
    </row>
    <row r="9383" ht="15.75" customHeight="1">
      <c r="A9383" s="33" t="s">
        <v>13053</v>
      </c>
      <c r="B9383" s="42" t="s">
        <v>618</v>
      </c>
      <c r="C9383" s="31" t="s">
        <v>946</v>
      </c>
      <c r="D9383" s="30" t="s">
        <v>3663</v>
      </c>
      <c r="E9383" s="32">
        <v>46123.0</v>
      </c>
      <c r="F9383" s="32">
        <v>46171.0</v>
      </c>
      <c r="G9383" s="33"/>
    </row>
    <row r="9384" ht="15.75" customHeight="1">
      <c r="A9384" s="29" t="s">
        <v>13054</v>
      </c>
      <c r="B9384" s="43" t="s">
        <v>634</v>
      </c>
      <c r="C9384" s="27" t="s">
        <v>946</v>
      </c>
      <c r="D9384" s="26" t="s">
        <v>3663</v>
      </c>
      <c r="E9384" s="28">
        <v>46123.0</v>
      </c>
      <c r="F9384" s="28">
        <v>46171.0</v>
      </c>
      <c r="G9384" s="29"/>
    </row>
    <row r="9385" ht="15.75" customHeight="1">
      <c r="A9385" s="33" t="s">
        <v>13055</v>
      </c>
      <c r="B9385" s="42" t="s">
        <v>639</v>
      </c>
      <c r="C9385" s="31" t="s">
        <v>946</v>
      </c>
      <c r="D9385" s="30" t="s">
        <v>3663</v>
      </c>
      <c r="E9385" s="32">
        <v>46123.0</v>
      </c>
      <c r="F9385" s="32">
        <v>46171.0</v>
      </c>
      <c r="G9385" s="33"/>
    </row>
    <row r="9386" ht="15.75" customHeight="1">
      <c r="A9386" s="29" t="s">
        <v>13056</v>
      </c>
      <c r="B9386" s="43" t="s">
        <v>660</v>
      </c>
      <c r="C9386" s="27" t="s">
        <v>946</v>
      </c>
      <c r="D9386" s="26" t="s">
        <v>3663</v>
      </c>
      <c r="E9386" s="28">
        <v>46123.0</v>
      </c>
      <c r="F9386" s="28">
        <v>46171.0</v>
      </c>
      <c r="G9386" s="29"/>
    </row>
    <row r="9387" ht="15.75" customHeight="1">
      <c r="A9387" s="33" t="s">
        <v>13057</v>
      </c>
      <c r="B9387" s="42" t="s">
        <v>671</v>
      </c>
      <c r="C9387" s="31" t="s">
        <v>946</v>
      </c>
      <c r="D9387" s="30" t="s">
        <v>3663</v>
      </c>
      <c r="E9387" s="32">
        <v>46123.0</v>
      </c>
      <c r="F9387" s="32">
        <v>46171.0</v>
      </c>
      <c r="G9387" s="33"/>
    </row>
    <row r="9388" ht="15.75" customHeight="1">
      <c r="A9388" s="29" t="s">
        <v>13058</v>
      </c>
      <c r="B9388" s="43" t="s">
        <v>707</v>
      </c>
      <c r="C9388" s="27" t="s">
        <v>946</v>
      </c>
      <c r="D9388" s="26" t="s">
        <v>3663</v>
      </c>
      <c r="E9388" s="28">
        <v>46123.0</v>
      </c>
      <c r="F9388" s="28">
        <v>46171.0</v>
      </c>
      <c r="G9388" s="29"/>
    </row>
    <row r="9389" ht="15.75" customHeight="1">
      <c r="A9389" s="33" t="s">
        <v>13059</v>
      </c>
      <c r="B9389" s="42" t="s">
        <v>723</v>
      </c>
      <c r="C9389" s="31" t="s">
        <v>946</v>
      </c>
      <c r="D9389" s="30" t="s">
        <v>3663</v>
      </c>
      <c r="E9389" s="32">
        <v>46123.0</v>
      </c>
      <c r="F9389" s="32">
        <v>46171.0</v>
      </c>
      <c r="G9389" s="33"/>
    </row>
    <row r="9390" ht="15.75" customHeight="1">
      <c r="A9390" s="29" t="s">
        <v>13060</v>
      </c>
      <c r="B9390" s="43" t="s">
        <v>750</v>
      </c>
      <c r="C9390" s="27" t="s">
        <v>946</v>
      </c>
      <c r="D9390" s="26" t="s">
        <v>3663</v>
      </c>
      <c r="E9390" s="28">
        <v>46123.0</v>
      </c>
      <c r="F9390" s="28">
        <v>46171.0</v>
      </c>
      <c r="G9390" s="29"/>
    </row>
    <row r="9391" ht="15.75" customHeight="1">
      <c r="A9391" s="33" t="s">
        <v>13061</v>
      </c>
      <c r="B9391" s="42" t="s">
        <v>121</v>
      </c>
      <c r="C9391" s="31" t="s">
        <v>946</v>
      </c>
      <c r="D9391" s="30" t="s">
        <v>3663</v>
      </c>
      <c r="E9391" s="32">
        <v>46123.0</v>
      </c>
      <c r="F9391" s="32">
        <v>46171.0</v>
      </c>
      <c r="G9391" s="33"/>
    </row>
    <row r="9392" ht="15.75" customHeight="1">
      <c r="A9392" s="29" t="s">
        <v>13062</v>
      </c>
      <c r="B9392" s="43" t="s">
        <v>133</v>
      </c>
      <c r="C9392" s="27" t="s">
        <v>946</v>
      </c>
      <c r="D9392" s="26" t="s">
        <v>3663</v>
      </c>
      <c r="E9392" s="28">
        <v>46123.0</v>
      </c>
      <c r="F9392" s="28">
        <v>46171.0</v>
      </c>
      <c r="G9392" s="29"/>
    </row>
    <row r="9393" ht="15.75" customHeight="1">
      <c r="A9393" s="33" t="s">
        <v>13063</v>
      </c>
      <c r="B9393" s="42" t="s">
        <v>138</v>
      </c>
      <c r="C9393" s="31" t="s">
        <v>946</v>
      </c>
      <c r="D9393" s="30" t="s">
        <v>3663</v>
      </c>
      <c r="E9393" s="32">
        <v>46123.0</v>
      </c>
      <c r="F9393" s="32">
        <v>46171.0</v>
      </c>
      <c r="G9393" s="33"/>
    </row>
    <row r="9394" ht="15.75" customHeight="1">
      <c r="A9394" s="29" t="s">
        <v>13064</v>
      </c>
      <c r="B9394" s="43" t="s">
        <v>165</v>
      </c>
      <c r="C9394" s="27" t="s">
        <v>946</v>
      </c>
      <c r="D9394" s="26" t="s">
        <v>3663</v>
      </c>
      <c r="E9394" s="28">
        <v>46123.0</v>
      </c>
      <c r="F9394" s="28">
        <v>46171.0</v>
      </c>
      <c r="G9394" s="29"/>
    </row>
    <row r="9395" ht="15.75" customHeight="1">
      <c r="A9395" s="33" t="s">
        <v>13065</v>
      </c>
      <c r="B9395" s="42" t="s">
        <v>168</v>
      </c>
      <c r="C9395" s="31" t="s">
        <v>946</v>
      </c>
      <c r="D9395" s="30" t="s">
        <v>3663</v>
      </c>
      <c r="E9395" s="32">
        <v>46123.0</v>
      </c>
      <c r="F9395" s="32">
        <v>46171.0</v>
      </c>
      <c r="G9395" s="33"/>
    </row>
    <row r="9396" ht="15.75" customHeight="1">
      <c r="A9396" s="29" t="s">
        <v>13066</v>
      </c>
      <c r="B9396" s="43" t="s">
        <v>318</v>
      </c>
      <c r="C9396" s="27" t="s">
        <v>946</v>
      </c>
      <c r="D9396" s="26" t="s">
        <v>3663</v>
      </c>
      <c r="E9396" s="28">
        <v>46123.0</v>
      </c>
      <c r="F9396" s="28">
        <v>46171.0</v>
      </c>
      <c r="G9396" s="29"/>
    </row>
    <row r="9397" ht="15.75" customHeight="1">
      <c r="A9397" s="33" t="s">
        <v>13067</v>
      </c>
      <c r="B9397" s="42" t="s">
        <v>2482</v>
      </c>
      <c r="C9397" s="31" t="s">
        <v>946</v>
      </c>
      <c r="D9397" s="30" t="s">
        <v>3663</v>
      </c>
      <c r="E9397" s="32">
        <v>46123.0</v>
      </c>
      <c r="F9397" s="32">
        <v>46171.0</v>
      </c>
      <c r="G9397" s="33"/>
    </row>
    <row r="9398" ht="15.75" customHeight="1">
      <c r="A9398" s="29" t="s">
        <v>13068</v>
      </c>
      <c r="B9398" s="43" t="s">
        <v>398</v>
      </c>
      <c r="C9398" s="27" t="s">
        <v>946</v>
      </c>
      <c r="D9398" s="26" t="s">
        <v>3663</v>
      </c>
      <c r="E9398" s="28">
        <v>46123.0</v>
      </c>
      <c r="F9398" s="28">
        <v>46171.0</v>
      </c>
      <c r="G9398" s="29"/>
    </row>
    <row r="9399" ht="15.75" customHeight="1">
      <c r="A9399" s="33" t="s">
        <v>13069</v>
      </c>
      <c r="B9399" s="42" t="s">
        <v>412</v>
      </c>
      <c r="C9399" s="31" t="s">
        <v>946</v>
      </c>
      <c r="D9399" s="30" t="s">
        <v>3663</v>
      </c>
      <c r="E9399" s="32">
        <v>46123.0</v>
      </c>
      <c r="F9399" s="32">
        <v>46171.0</v>
      </c>
      <c r="G9399" s="33"/>
    </row>
    <row r="9400" ht="15.75" customHeight="1">
      <c r="A9400" s="29" t="s">
        <v>13070</v>
      </c>
      <c r="B9400" s="43" t="s">
        <v>436</v>
      </c>
      <c r="C9400" s="27" t="s">
        <v>946</v>
      </c>
      <c r="D9400" s="26" t="s">
        <v>3663</v>
      </c>
      <c r="E9400" s="28">
        <v>46123.0</v>
      </c>
      <c r="F9400" s="28">
        <v>46171.0</v>
      </c>
      <c r="G9400" s="29"/>
    </row>
    <row r="9401" ht="15.75" customHeight="1">
      <c r="A9401" s="33" t="s">
        <v>13071</v>
      </c>
      <c r="B9401" s="42" t="s">
        <v>460</v>
      </c>
      <c r="C9401" s="31" t="s">
        <v>946</v>
      </c>
      <c r="D9401" s="30" t="s">
        <v>3663</v>
      </c>
      <c r="E9401" s="32">
        <v>46123.0</v>
      </c>
      <c r="F9401" s="32">
        <v>46171.0</v>
      </c>
      <c r="G9401" s="33"/>
    </row>
    <row r="9402" ht="15.75" customHeight="1">
      <c r="A9402" s="29" t="s">
        <v>13072</v>
      </c>
      <c r="B9402" s="43" t="s">
        <v>462</v>
      </c>
      <c r="C9402" s="27" t="s">
        <v>946</v>
      </c>
      <c r="D9402" s="26" t="s">
        <v>3663</v>
      </c>
      <c r="E9402" s="28">
        <v>46123.0</v>
      </c>
      <c r="F9402" s="28">
        <v>46171.0</v>
      </c>
      <c r="G9402" s="29"/>
    </row>
    <row r="9403" ht="15.75" customHeight="1">
      <c r="A9403" s="33" t="s">
        <v>13073</v>
      </c>
      <c r="B9403" s="42" t="s">
        <v>479</v>
      </c>
      <c r="C9403" s="31" t="s">
        <v>946</v>
      </c>
      <c r="D9403" s="30" t="s">
        <v>3663</v>
      </c>
      <c r="E9403" s="32">
        <v>46123.0</v>
      </c>
      <c r="F9403" s="32">
        <v>46171.0</v>
      </c>
      <c r="G9403" s="33"/>
    </row>
    <row r="9404" ht="15.75" customHeight="1">
      <c r="A9404" s="29" t="s">
        <v>13074</v>
      </c>
      <c r="B9404" s="43" t="s">
        <v>518</v>
      </c>
      <c r="C9404" s="27" t="s">
        <v>946</v>
      </c>
      <c r="D9404" s="26" t="s">
        <v>3663</v>
      </c>
      <c r="E9404" s="28">
        <v>46123.0</v>
      </c>
      <c r="F9404" s="28">
        <v>46171.0</v>
      </c>
      <c r="G9404" s="29"/>
    </row>
    <row r="9405" ht="15.75" customHeight="1">
      <c r="A9405" s="33" t="s">
        <v>13075</v>
      </c>
      <c r="B9405" s="42" t="s">
        <v>587</v>
      </c>
      <c r="C9405" s="31" t="s">
        <v>946</v>
      </c>
      <c r="D9405" s="30" t="s">
        <v>3663</v>
      </c>
      <c r="E9405" s="32">
        <v>46123.0</v>
      </c>
      <c r="F9405" s="32">
        <v>46171.0</v>
      </c>
      <c r="G9405" s="33"/>
    </row>
    <row r="9406" ht="15.75" customHeight="1">
      <c r="A9406" s="29" t="s">
        <v>13076</v>
      </c>
      <c r="B9406" s="43" t="s">
        <v>626</v>
      </c>
      <c r="C9406" s="27" t="s">
        <v>946</v>
      </c>
      <c r="D9406" s="26" t="s">
        <v>3663</v>
      </c>
      <c r="E9406" s="28">
        <v>46123.0</v>
      </c>
      <c r="F9406" s="28">
        <v>46171.0</v>
      </c>
      <c r="G9406" s="29"/>
    </row>
    <row r="9407" ht="15.75" customHeight="1">
      <c r="A9407" s="33" t="s">
        <v>13077</v>
      </c>
      <c r="B9407" s="42" t="s">
        <v>633</v>
      </c>
      <c r="C9407" s="31" t="s">
        <v>946</v>
      </c>
      <c r="D9407" s="30" t="s">
        <v>3663</v>
      </c>
      <c r="E9407" s="32">
        <v>46123.0</v>
      </c>
      <c r="F9407" s="32">
        <v>46171.0</v>
      </c>
      <c r="G9407" s="33"/>
    </row>
    <row r="9408" ht="15.75" customHeight="1">
      <c r="A9408" s="29" t="s">
        <v>13078</v>
      </c>
      <c r="B9408" s="43" t="s">
        <v>654</v>
      </c>
      <c r="C9408" s="27" t="s">
        <v>946</v>
      </c>
      <c r="D9408" s="26" t="s">
        <v>3663</v>
      </c>
      <c r="E9408" s="28">
        <v>46123.0</v>
      </c>
      <c r="F9408" s="28">
        <v>46171.0</v>
      </c>
      <c r="G9408" s="29"/>
    </row>
    <row r="9409" ht="15.75" customHeight="1">
      <c r="A9409" s="33" t="s">
        <v>13079</v>
      </c>
      <c r="B9409" s="42" t="s">
        <v>669</v>
      </c>
      <c r="C9409" s="31" t="s">
        <v>946</v>
      </c>
      <c r="D9409" s="30" t="s">
        <v>3663</v>
      </c>
      <c r="E9409" s="32">
        <v>46123.0</v>
      </c>
      <c r="F9409" s="32">
        <v>46171.0</v>
      </c>
      <c r="G9409" s="33"/>
    </row>
    <row r="9410" ht="15.75" customHeight="1">
      <c r="A9410" s="29" t="s">
        <v>13080</v>
      </c>
      <c r="B9410" s="43" t="s">
        <v>708</v>
      </c>
      <c r="C9410" s="27" t="s">
        <v>946</v>
      </c>
      <c r="D9410" s="26" t="s">
        <v>3663</v>
      </c>
      <c r="E9410" s="28">
        <v>46123.0</v>
      </c>
      <c r="F9410" s="28">
        <v>46171.0</v>
      </c>
      <c r="G9410" s="29"/>
    </row>
    <row r="9411" ht="15.75" customHeight="1">
      <c r="A9411" s="33" t="s">
        <v>13081</v>
      </c>
      <c r="B9411" s="42" t="s">
        <v>737</v>
      </c>
      <c r="C9411" s="31" t="s">
        <v>946</v>
      </c>
      <c r="D9411" s="30" t="s">
        <v>3663</v>
      </c>
      <c r="E9411" s="32">
        <v>46123.0</v>
      </c>
      <c r="F9411" s="32">
        <v>46171.0</v>
      </c>
      <c r="G9411" s="33"/>
    </row>
    <row r="9412" ht="15.75" customHeight="1">
      <c r="A9412" s="29" t="s">
        <v>13082</v>
      </c>
      <c r="B9412" s="43" t="s">
        <v>739</v>
      </c>
      <c r="C9412" s="27" t="s">
        <v>946</v>
      </c>
      <c r="D9412" s="26" t="s">
        <v>3663</v>
      </c>
      <c r="E9412" s="28">
        <v>46123.0</v>
      </c>
      <c r="F9412" s="28">
        <v>46171.0</v>
      </c>
      <c r="G9412" s="29"/>
    </row>
    <row r="9413" ht="15.75" customHeight="1">
      <c r="A9413" s="33" t="s">
        <v>13083</v>
      </c>
      <c r="B9413" s="42" t="s">
        <v>744</v>
      </c>
      <c r="C9413" s="31" t="s">
        <v>946</v>
      </c>
      <c r="D9413" s="30" t="s">
        <v>3663</v>
      </c>
      <c r="E9413" s="32">
        <v>46123.0</v>
      </c>
      <c r="F9413" s="32">
        <v>46171.0</v>
      </c>
      <c r="G9413" s="33"/>
    </row>
    <row r="9414" ht="15.75" customHeight="1">
      <c r="A9414" s="29" t="s">
        <v>13084</v>
      </c>
      <c r="B9414" s="43" t="s">
        <v>766</v>
      </c>
      <c r="C9414" s="27" t="s">
        <v>946</v>
      </c>
      <c r="D9414" s="26" t="s">
        <v>3663</v>
      </c>
      <c r="E9414" s="28">
        <v>46123.0</v>
      </c>
      <c r="F9414" s="28">
        <v>46171.0</v>
      </c>
      <c r="G9414" s="29"/>
    </row>
    <row r="9415" ht="15.75" customHeight="1">
      <c r="A9415" s="33" t="s">
        <v>13085</v>
      </c>
      <c r="B9415" s="42" t="s">
        <v>767</v>
      </c>
      <c r="C9415" s="31" t="s">
        <v>946</v>
      </c>
      <c r="D9415" s="30" t="s">
        <v>3663</v>
      </c>
      <c r="E9415" s="32">
        <v>46123.0</v>
      </c>
      <c r="F9415" s="32">
        <v>46171.0</v>
      </c>
      <c r="G9415" s="33"/>
    </row>
    <row r="9416" ht="15.75" customHeight="1">
      <c r="A9416" s="29" t="s">
        <v>13086</v>
      </c>
      <c r="B9416" s="43" t="s">
        <v>769</v>
      </c>
      <c r="C9416" s="27" t="s">
        <v>946</v>
      </c>
      <c r="D9416" s="26" t="s">
        <v>3663</v>
      </c>
      <c r="E9416" s="28">
        <v>46123.0</v>
      </c>
      <c r="F9416" s="28">
        <v>46171.0</v>
      </c>
      <c r="G9416" s="29"/>
    </row>
    <row r="9417" ht="15.75" customHeight="1">
      <c r="A9417" s="33" t="s">
        <v>13087</v>
      </c>
      <c r="B9417" s="42" t="s">
        <v>771</v>
      </c>
      <c r="C9417" s="31" t="s">
        <v>946</v>
      </c>
      <c r="D9417" s="30" t="s">
        <v>3663</v>
      </c>
      <c r="E9417" s="32">
        <v>46123.0</v>
      </c>
      <c r="F9417" s="32">
        <v>46171.0</v>
      </c>
      <c r="G9417" s="33"/>
    </row>
    <row r="9418" ht="15.75" customHeight="1">
      <c r="A9418" s="29" t="s">
        <v>13088</v>
      </c>
      <c r="B9418" s="43" t="s">
        <v>788</v>
      </c>
      <c r="C9418" s="27" t="s">
        <v>946</v>
      </c>
      <c r="D9418" s="26" t="s">
        <v>3663</v>
      </c>
      <c r="E9418" s="28">
        <v>46123.0</v>
      </c>
      <c r="F9418" s="28">
        <v>46171.0</v>
      </c>
      <c r="G9418" s="29"/>
    </row>
    <row r="9419" ht="15.75" customHeight="1">
      <c r="A9419" s="33" t="s">
        <v>13089</v>
      </c>
      <c r="B9419" s="42" t="s">
        <v>818</v>
      </c>
      <c r="C9419" s="31" t="s">
        <v>946</v>
      </c>
      <c r="D9419" s="30" t="s">
        <v>3663</v>
      </c>
      <c r="E9419" s="32">
        <v>46123.0</v>
      </c>
      <c r="F9419" s="32">
        <v>46171.0</v>
      </c>
      <c r="G9419" s="33"/>
    </row>
    <row r="9420" ht="15.75" customHeight="1">
      <c r="A9420" s="29" t="s">
        <v>13090</v>
      </c>
      <c r="B9420" s="43" t="s">
        <v>76</v>
      </c>
      <c r="C9420" s="27" t="s">
        <v>946</v>
      </c>
      <c r="D9420" s="26" t="s">
        <v>3663</v>
      </c>
      <c r="E9420" s="28">
        <v>46123.0</v>
      </c>
      <c r="F9420" s="28">
        <v>46171.0</v>
      </c>
      <c r="G9420" s="29"/>
    </row>
    <row r="9421" ht="15.75" customHeight="1">
      <c r="A9421" s="33" t="s">
        <v>13091</v>
      </c>
      <c r="B9421" s="42" t="s">
        <v>182</v>
      </c>
      <c r="C9421" s="31" t="s">
        <v>946</v>
      </c>
      <c r="D9421" s="30" t="s">
        <v>3663</v>
      </c>
      <c r="E9421" s="32">
        <v>46123.0</v>
      </c>
      <c r="F9421" s="32">
        <v>46171.0</v>
      </c>
      <c r="G9421" s="33"/>
    </row>
    <row r="9422" ht="15.75" customHeight="1">
      <c r="A9422" s="29" t="s">
        <v>13092</v>
      </c>
      <c r="B9422" s="43" t="s">
        <v>232</v>
      </c>
      <c r="C9422" s="27" t="s">
        <v>946</v>
      </c>
      <c r="D9422" s="26" t="s">
        <v>3663</v>
      </c>
      <c r="E9422" s="28">
        <v>46123.0</v>
      </c>
      <c r="F9422" s="28">
        <v>46171.0</v>
      </c>
      <c r="G9422" s="29"/>
    </row>
    <row r="9423" ht="15.75" customHeight="1">
      <c r="A9423" s="33" t="s">
        <v>13093</v>
      </c>
      <c r="B9423" s="42" t="s">
        <v>237</v>
      </c>
      <c r="C9423" s="31" t="s">
        <v>946</v>
      </c>
      <c r="D9423" s="30" t="s">
        <v>3663</v>
      </c>
      <c r="E9423" s="32">
        <v>46123.0</v>
      </c>
      <c r="F9423" s="32">
        <v>46171.0</v>
      </c>
      <c r="G9423" s="33"/>
    </row>
    <row r="9424" ht="15.75" customHeight="1">
      <c r="A9424" s="29" t="s">
        <v>13094</v>
      </c>
      <c r="B9424" s="43" t="s">
        <v>256</v>
      </c>
      <c r="C9424" s="27" t="s">
        <v>946</v>
      </c>
      <c r="D9424" s="26" t="s">
        <v>3663</v>
      </c>
      <c r="E9424" s="28">
        <v>46123.0</v>
      </c>
      <c r="F9424" s="28">
        <v>46171.0</v>
      </c>
      <c r="G9424" s="29"/>
    </row>
    <row r="9425" ht="15.75" customHeight="1">
      <c r="A9425" s="33" t="s">
        <v>13095</v>
      </c>
      <c r="B9425" s="42" t="s">
        <v>274</v>
      </c>
      <c r="C9425" s="31" t="s">
        <v>946</v>
      </c>
      <c r="D9425" s="30" t="s">
        <v>3663</v>
      </c>
      <c r="E9425" s="32">
        <v>46123.0</v>
      </c>
      <c r="F9425" s="32">
        <v>46171.0</v>
      </c>
      <c r="G9425" s="33"/>
    </row>
    <row r="9426" ht="15.75" customHeight="1">
      <c r="A9426" s="29" t="s">
        <v>13096</v>
      </c>
      <c r="B9426" s="43" t="s">
        <v>285</v>
      </c>
      <c r="C9426" s="27" t="s">
        <v>946</v>
      </c>
      <c r="D9426" s="26" t="s">
        <v>3663</v>
      </c>
      <c r="E9426" s="28">
        <v>46123.0</v>
      </c>
      <c r="F9426" s="28">
        <v>46171.0</v>
      </c>
      <c r="G9426" s="29"/>
    </row>
    <row r="9427" ht="15.75" customHeight="1">
      <c r="A9427" s="33" t="s">
        <v>13097</v>
      </c>
      <c r="B9427" s="42" t="s">
        <v>299</v>
      </c>
      <c r="C9427" s="31" t="s">
        <v>946</v>
      </c>
      <c r="D9427" s="30" t="s">
        <v>3663</v>
      </c>
      <c r="E9427" s="32">
        <v>46123.0</v>
      </c>
      <c r="F9427" s="32">
        <v>46171.0</v>
      </c>
      <c r="G9427" s="33"/>
    </row>
    <row r="9428" ht="15.75" customHeight="1">
      <c r="A9428" s="29" t="s">
        <v>13098</v>
      </c>
      <c r="B9428" s="43" t="s">
        <v>338</v>
      </c>
      <c r="C9428" s="27" t="s">
        <v>946</v>
      </c>
      <c r="D9428" s="26" t="s">
        <v>3663</v>
      </c>
      <c r="E9428" s="28">
        <v>46123.0</v>
      </c>
      <c r="F9428" s="28">
        <v>46171.0</v>
      </c>
      <c r="G9428" s="29"/>
    </row>
    <row r="9429" ht="15.75" customHeight="1">
      <c r="A9429" s="33" t="s">
        <v>13099</v>
      </c>
      <c r="B9429" s="42" t="s">
        <v>366</v>
      </c>
      <c r="C9429" s="31" t="s">
        <v>946</v>
      </c>
      <c r="D9429" s="30" t="s">
        <v>3663</v>
      </c>
      <c r="E9429" s="32">
        <v>46123.0</v>
      </c>
      <c r="F9429" s="32">
        <v>46171.0</v>
      </c>
      <c r="G9429" s="33"/>
    </row>
    <row r="9430" ht="15.75" customHeight="1">
      <c r="A9430" s="29" t="s">
        <v>13100</v>
      </c>
      <c r="B9430" s="43" t="s">
        <v>414</v>
      </c>
      <c r="C9430" s="27" t="s">
        <v>946</v>
      </c>
      <c r="D9430" s="26" t="s">
        <v>3663</v>
      </c>
      <c r="E9430" s="28">
        <v>46123.0</v>
      </c>
      <c r="F9430" s="28">
        <v>46171.0</v>
      </c>
      <c r="G9430" s="29"/>
    </row>
    <row r="9431" ht="15.75" customHeight="1">
      <c r="A9431" s="33" t="s">
        <v>13101</v>
      </c>
      <c r="B9431" s="42" t="s">
        <v>416</v>
      </c>
      <c r="C9431" s="31" t="s">
        <v>946</v>
      </c>
      <c r="D9431" s="30" t="s">
        <v>3663</v>
      </c>
      <c r="E9431" s="32">
        <v>46123.0</v>
      </c>
      <c r="F9431" s="32">
        <v>46171.0</v>
      </c>
      <c r="G9431" s="33"/>
    </row>
    <row r="9432" ht="15.75" customHeight="1">
      <c r="A9432" s="29" t="s">
        <v>13102</v>
      </c>
      <c r="B9432" s="43" t="s">
        <v>432</v>
      </c>
      <c r="C9432" s="27" t="s">
        <v>946</v>
      </c>
      <c r="D9432" s="26" t="s">
        <v>3663</v>
      </c>
      <c r="E9432" s="28">
        <v>46123.0</v>
      </c>
      <c r="F9432" s="28">
        <v>46171.0</v>
      </c>
      <c r="G9432" s="29"/>
    </row>
    <row r="9433" ht="15.75" customHeight="1">
      <c r="A9433" s="33" t="s">
        <v>13103</v>
      </c>
      <c r="B9433" s="42" t="s">
        <v>469</v>
      </c>
      <c r="C9433" s="31" t="s">
        <v>946</v>
      </c>
      <c r="D9433" s="30" t="s">
        <v>3663</v>
      </c>
      <c r="E9433" s="32">
        <v>46123.0</v>
      </c>
      <c r="F9433" s="32">
        <v>46171.0</v>
      </c>
      <c r="G9433" s="33"/>
    </row>
    <row r="9434" ht="15.75" customHeight="1">
      <c r="A9434" s="29" t="s">
        <v>13104</v>
      </c>
      <c r="B9434" s="43" t="s">
        <v>520</v>
      </c>
      <c r="C9434" s="27" t="s">
        <v>946</v>
      </c>
      <c r="D9434" s="26" t="s">
        <v>3663</v>
      </c>
      <c r="E9434" s="28">
        <v>46123.0</v>
      </c>
      <c r="F9434" s="28">
        <v>46171.0</v>
      </c>
      <c r="G9434" s="29"/>
    </row>
    <row r="9435" ht="15.75" customHeight="1">
      <c r="A9435" s="33" t="s">
        <v>13105</v>
      </c>
      <c r="B9435" s="42" t="s">
        <v>534</v>
      </c>
      <c r="C9435" s="31" t="s">
        <v>946</v>
      </c>
      <c r="D9435" s="30" t="s">
        <v>3663</v>
      </c>
      <c r="E9435" s="32">
        <v>46123.0</v>
      </c>
      <c r="F9435" s="32">
        <v>46171.0</v>
      </c>
      <c r="G9435" s="33"/>
    </row>
    <row r="9436" ht="15.75" customHeight="1">
      <c r="A9436" s="29" t="s">
        <v>13106</v>
      </c>
      <c r="B9436" s="43" t="s">
        <v>617</v>
      </c>
      <c r="C9436" s="27" t="s">
        <v>946</v>
      </c>
      <c r="D9436" s="26" t="s">
        <v>3663</v>
      </c>
      <c r="E9436" s="28">
        <v>46123.0</v>
      </c>
      <c r="F9436" s="28">
        <v>46171.0</v>
      </c>
      <c r="G9436" s="29"/>
    </row>
    <row r="9437" ht="15.75" customHeight="1">
      <c r="A9437" s="33" t="s">
        <v>13107</v>
      </c>
      <c r="B9437" s="42" t="s">
        <v>623</v>
      </c>
      <c r="C9437" s="31" t="s">
        <v>946</v>
      </c>
      <c r="D9437" s="30" t="s">
        <v>3663</v>
      </c>
      <c r="E9437" s="32">
        <v>46123.0</v>
      </c>
      <c r="F9437" s="32">
        <v>46171.0</v>
      </c>
      <c r="G9437" s="33"/>
    </row>
    <row r="9438" ht="15.75" customHeight="1">
      <c r="A9438" s="29" t="s">
        <v>13108</v>
      </c>
      <c r="B9438" s="43" t="s">
        <v>673</v>
      </c>
      <c r="C9438" s="27" t="s">
        <v>946</v>
      </c>
      <c r="D9438" s="26" t="s">
        <v>3663</v>
      </c>
      <c r="E9438" s="28">
        <v>46123.0</v>
      </c>
      <c r="F9438" s="28">
        <v>46171.0</v>
      </c>
      <c r="G9438" s="29"/>
    </row>
    <row r="9439" ht="15.75" customHeight="1">
      <c r="A9439" s="33" t="s">
        <v>13109</v>
      </c>
      <c r="B9439" s="42" t="s">
        <v>676</v>
      </c>
      <c r="C9439" s="31" t="s">
        <v>946</v>
      </c>
      <c r="D9439" s="30" t="s">
        <v>3663</v>
      </c>
      <c r="E9439" s="32">
        <v>46123.0</v>
      </c>
      <c r="F9439" s="32">
        <v>46171.0</v>
      </c>
      <c r="G9439" s="33"/>
    </row>
    <row r="9440" ht="15.75" customHeight="1">
      <c r="A9440" s="29" t="s">
        <v>13110</v>
      </c>
      <c r="B9440" s="43" t="s">
        <v>698</v>
      </c>
      <c r="C9440" s="27" t="s">
        <v>946</v>
      </c>
      <c r="D9440" s="26" t="s">
        <v>3663</v>
      </c>
      <c r="E9440" s="28">
        <v>46123.0</v>
      </c>
      <c r="F9440" s="28">
        <v>46171.0</v>
      </c>
      <c r="G9440" s="29"/>
    </row>
    <row r="9441" ht="15.75" customHeight="1">
      <c r="A9441" s="33" t="s">
        <v>13111</v>
      </c>
      <c r="B9441" s="42" t="s">
        <v>709</v>
      </c>
      <c r="C9441" s="31" t="s">
        <v>946</v>
      </c>
      <c r="D9441" s="30" t="s">
        <v>3663</v>
      </c>
      <c r="E9441" s="32">
        <v>46123.0</v>
      </c>
      <c r="F9441" s="32">
        <v>46171.0</v>
      </c>
      <c r="G9441" s="33"/>
    </row>
    <row r="9442" ht="15.75" customHeight="1">
      <c r="A9442" s="29" t="s">
        <v>13112</v>
      </c>
      <c r="B9442" s="43" t="s">
        <v>742</v>
      </c>
      <c r="C9442" s="27" t="s">
        <v>946</v>
      </c>
      <c r="D9442" s="26" t="s">
        <v>3663</v>
      </c>
      <c r="E9442" s="28">
        <v>46123.0</v>
      </c>
      <c r="F9442" s="28">
        <v>46171.0</v>
      </c>
      <c r="G9442" s="29"/>
    </row>
    <row r="9443" ht="15.75" customHeight="1">
      <c r="A9443" s="33" t="s">
        <v>13113</v>
      </c>
      <c r="B9443" s="42" t="s">
        <v>746</v>
      </c>
      <c r="C9443" s="31" t="s">
        <v>946</v>
      </c>
      <c r="D9443" s="30" t="s">
        <v>3663</v>
      </c>
      <c r="E9443" s="32">
        <v>46123.0</v>
      </c>
      <c r="F9443" s="32">
        <v>46171.0</v>
      </c>
      <c r="G9443" s="33"/>
    </row>
    <row r="9444" ht="15.75" customHeight="1">
      <c r="A9444" s="29" t="s">
        <v>13114</v>
      </c>
      <c r="B9444" s="43" t="s">
        <v>808</v>
      </c>
      <c r="C9444" s="27" t="s">
        <v>946</v>
      </c>
      <c r="D9444" s="26" t="s">
        <v>3663</v>
      </c>
      <c r="E9444" s="28">
        <v>46123.0</v>
      </c>
      <c r="F9444" s="28">
        <v>46171.0</v>
      </c>
      <c r="G9444" s="29"/>
    </row>
    <row r="9445" ht="15.75" customHeight="1">
      <c r="A9445" s="33" t="s">
        <v>13115</v>
      </c>
      <c r="B9445" s="42" t="s">
        <v>62</v>
      </c>
      <c r="C9445" s="31" t="s">
        <v>946</v>
      </c>
      <c r="D9445" s="30" t="s">
        <v>3663</v>
      </c>
      <c r="E9445" s="32">
        <v>46123.0</v>
      </c>
      <c r="F9445" s="32">
        <v>46171.0</v>
      </c>
      <c r="G9445" s="33"/>
    </row>
    <row r="9446" ht="15.75" customHeight="1">
      <c r="A9446" s="29" t="s">
        <v>13116</v>
      </c>
      <c r="B9446" s="43" t="s">
        <v>200</v>
      </c>
      <c r="C9446" s="27" t="s">
        <v>946</v>
      </c>
      <c r="D9446" s="26" t="s">
        <v>3663</v>
      </c>
      <c r="E9446" s="28">
        <v>46123.0</v>
      </c>
      <c r="F9446" s="28">
        <v>46171.0</v>
      </c>
      <c r="G9446" s="29"/>
    </row>
    <row r="9447" ht="15.75" customHeight="1">
      <c r="A9447" s="33" t="s">
        <v>13117</v>
      </c>
      <c r="B9447" s="42" t="s">
        <v>225</v>
      </c>
      <c r="C9447" s="31" t="s">
        <v>946</v>
      </c>
      <c r="D9447" s="30" t="s">
        <v>3663</v>
      </c>
      <c r="E9447" s="32">
        <v>46123.0</v>
      </c>
      <c r="F9447" s="32">
        <v>46171.0</v>
      </c>
      <c r="G9447" s="33"/>
    </row>
    <row r="9448" ht="15.75" customHeight="1">
      <c r="A9448" s="29" t="s">
        <v>13118</v>
      </c>
      <c r="B9448" s="43" t="s">
        <v>228</v>
      </c>
      <c r="C9448" s="27" t="s">
        <v>946</v>
      </c>
      <c r="D9448" s="26" t="s">
        <v>3663</v>
      </c>
      <c r="E9448" s="28">
        <v>46123.0</v>
      </c>
      <c r="F9448" s="28">
        <v>46171.0</v>
      </c>
      <c r="G9448" s="29"/>
    </row>
    <row r="9449" ht="15.75" customHeight="1">
      <c r="A9449" s="33" t="s">
        <v>13119</v>
      </c>
      <c r="B9449" s="42" t="s">
        <v>229</v>
      </c>
      <c r="C9449" s="31" t="s">
        <v>946</v>
      </c>
      <c r="D9449" s="30" t="s">
        <v>3663</v>
      </c>
      <c r="E9449" s="32">
        <v>46123.0</v>
      </c>
      <c r="F9449" s="32">
        <v>46171.0</v>
      </c>
      <c r="G9449" s="33"/>
    </row>
    <row r="9450" ht="15.75" customHeight="1">
      <c r="A9450" s="29" t="s">
        <v>13120</v>
      </c>
      <c r="B9450" s="43" t="s">
        <v>235</v>
      </c>
      <c r="C9450" s="27" t="s">
        <v>946</v>
      </c>
      <c r="D9450" s="26" t="s">
        <v>3663</v>
      </c>
      <c r="E9450" s="28">
        <v>46123.0</v>
      </c>
      <c r="F9450" s="28">
        <v>46171.0</v>
      </c>
      <c r="G9450" s="29"/>
    </row>
    <row r="9451" ht="15.75" customHeight="1">
      <c r="A9451" s="33" t="s">
        <v>13121</v>
      </c>
      <c r="B9451" s="42" t="s">
        <v>246</v>
      </c>
      <c r="C9451" s="31" t="s">
        <v>946</v>
      </c>
      <c r="D9451" s="30" t="s">
        <v>3663</v>
      </c>
      <c r="E9451" s="32">
        <v>46123.0</v>
      </c>
      <c r="F9451" s="32">
        <v>46171.0</v>
      </c>
      <c r="G9451" s="33"/>
    </row>
    <row r="9452" ht="15.75" customHeight="1">
      <c r="A9452" s="29" t="s">
        <v>13122</v>
      </c>
      <c r="B9452" s="43" t="s">
        <v>276</v>
      </c>
      <c r="C9452" s="27" t="s">
        <v>946</v>
      </c>
      <c r="D9452" s="26" t="s">
        <v>3663</v>
      </c>
      <c r="E9452" s="28">
        <v>46123.0</v>
      </c>
      <c r="F9452" s="28">
        <v>46171.0</v>
      </c>
      <c r="G9452" s="29"/>
    </row>
    <row r="9453" ht="15.75" customHeight="1">
      <c r="A9453" s="33" t="s">
        <v>13123</v>
      </c>
      <c r="B9453" s="42" t="s">
        <v>283</v>
      </c>
      <c r="C9453" s="31" t="s">
        <v>946</v>
      </c>
      <c r="D9453" s="30" t="s">
        <v>3663</v>
      </c>
      <c r="E9453" s="32">
        <v>46123.0</v>
      </c>
      <c r="F9453" s="32">
        <v>46171.0</v>
      </c>
      <c r="G9453" s="33"/>
    </row>
    <row r="9454" ht="15.75" customHeight="1">
      <c r="A9454" s="29" t="s">
        <v>13124</v>
      </c>
      <c r="B9454" s="43" t="s">
        <v>293</v>
      </c>
      <c r="C9454" s="27" t="s">
        <v>946</v>
      </c>
      <c r="D9454" s="26" t="s">
        <v>3663</v>
      </c>
      <c r="E9454" s="28">
        <v>46123.0</v>
      </c>
      <c r="F9454" s="28">
        <v>46171.0</v>
      </c>
      <c r="G9454" s="29"/>
    </row>
    <row r="9455" ht="15.75" customHeight="1">
      <c r="A9455" s="33" t="s">
        <v>13125</v>
      </c>
      <c r="B9455" s="42" t="s">
        <v>308</v>
      </c>
      <c r="C9455" s="31" t="s">
        <v>946</v>
      </c>
      <c r="D9455" s="30" t="s">
        <v>3663</v>
      </c>
      <c r="E9455" s="32">
        <v>46123.0</v>
      </c>
      <c r="F9455" s="32">
        <v>46171.0</v>
      </c>
      <c r="G9455" s="33"/>
    </row>
    <row r="9456" ht="15.75" customHeight="1">
      <c r="A9456" s="29" t="s">
        <v>13126</v>
      </c>
      <c r="B9456" s="43" t="s">
        <v>309</v>
      </c>
      <c r="C9456" s="27" t="s">
        <v>946</v>
      </c>
      <c r="D9456" s="26" t="s">
        <v>3663</v>
      </c>
      <c r="E9456" s="28">
        <v>46123.0</v>
      </c>
      <c r="F9456" s="28">
        <v>46171.0</v>
      </c>
      <c r="G9456" s="29"/>
    </row>
    <row r="9457" ht="15.75" customHeight="1">
      <c r="A9457" s="33" t="s">
        <v>13127</v>
      </c>
      <c r="B9457" s="42" t="s">
        <v>2480</v>
      </c>
      <c r="C9457" s="31" t="s">
        <v>946</v>
      </c>
      <c r="D9457" s="30" t="s">
        <v>3663</v>
      </c>
      <c r="E9457" s="32">
        <v>46123.0</v>
      </c>
      <c r="F9457" s="32">
        <v>46171.0</v>
      </c>
      <c r="G9457" s="33"/>
    </row>
    <row r="9458" ht="15.75" customHeight="1">
      <c r="A9458" s="29" t="s">
        <v>13128</v>
      </c>
      <c r="B9458" s="43" t="s">
        <v>399</v>
      </c>
      <c r="C9458" s="27" t="s">
        <v>946</v>
      </c>
      <c r="D9458" s="26" t="s">
        <v>3663</v>
      </c>
      <c r="E9458" s="28">
        <v>46123.0</v>
      </c>
      <c r="F9458" s="28">
        <v>46171.0</v>
      </c>
      <c r="G9458" s="29"/>
    </row>
    <row r="9459" ht="15.75" customHeight="1">
      <c r="A9459" s="33" t="s">
        <v>13129</v>
      </c>
      <c r="B9459" s="42" t="s">
        <v>435</v>
      </c>
      <c r="C9459" s="31" t="s">
        <v>946</v>
      </c>
      <c r="D9459" s="30" t="s">
        <v>3663</v>
      </c>
      <c r="E9459" s="32">
        <v>46123.0</v>
      </c>
      <c r="F9459" s="32">
        <v>46171.0</v>
      </c>
      <c r="G9459" s="33"/>
    </row>
    <row r="9460" ht="15.75" customHeight="1">
      <c r="A9460" s="29" t="s">
        <v>13130</v>
      </c>
      <c r="B9460" s="43" t="s">
        <v>450</v>
      </c>
      <c r="C9460" s="27" t="s">
        <v>946</v>
      </c>
      <c r="D9460" s="26" t="s">
        <v>3663</v>
      </c>
      <c r="E9460" s="28">
        <v>46123.0</v>
      </c>
      <c r="F9460" s="28">
        <v>46171.0</v>
      </c>
      <c r="G9460" s="29"/>
    </row>
    <row r="9461" ht="15.75" customHeight="1">
      <c r="A9461" s="33" t="s">
        <v>13131</v>
      </c>
      <c r="B9461" s="42" t="s">
        <v>477</v>
      </c>
      <c r="C9461" s="31" t="s">
        <v>946</v>
      </c>
      <c r="D9461" s="30" t="s">
        <v>3663</v>
      </c>
      <c r="E9461" s="32">
        <v>46123.0</v>
      </c>
      <c r="F9461" s="32">
        <v>46171.0</v>
      </c>
      <c r="G9461" s="33"/>
    </row>
    <row r="9462" ht="15.75" customHeight="1">
      <c r="A9462" s="29" t="s">
        <v>13132</v>
      </c>
      <c r="B9462" s="43" t="s">
        <v>498</v>
      </c>
      <c r="C9462" s="27" t="s">
        <v>946</v>
      </c>
      <c r="D9462" s="26" t="s">
        <v>3663</v>
      </c>
      <c r="E9462" s="28">
        <v>46123.0</v>
      </c>
      <c r="F9462" s="28">
        <v>46171.0</v>
      </c>
      <c r="G9462" s="29"/>
    </row>
    <row r="9463" ht="15.75" customHeight="1">
      <c r="A9463" s="33" t="s">
        <v>13133</v>
      </c>
      <c r="B9463" s="42" t="s">
        <v>507</v>
      </c>
      <c r="C9463" s="31" t="s">
        <v>946</v>
      </c>
      <c r="D9463" s="30" t="s">
        <v>3663</v>
      </c>
      <c r="E9463" s="32">
        <v>46123.0</v>
      </c>
      <c r="F9463" s="32">
        <v>46171.0</v>
      </c>
      <c r="G9463" s="33"/>
    </row>
    <row r="9464" ht="15.75" customHeight="1">
      <c r="A9464" s="29" t="s">
        <v>13134</v>
      </c>
      <c r="B9464" s="43" t="s">
        <v>547</v>
      </c>
      <c r="C9464" s="27" t="s">
        <v>946</v>
      </c>
      <c r="D9464" s="26" t="s">
        <v>3663</v>
      </c>
      <c r="E9464" s="28">
        <v>46123.0</v>
      </c>
      <c r="F9464" s="28">
        <v>46171.0</v>
      </c>
      <c r="G9464" s="29"/>
    </row>
    <row r="9465" ht="15.75" customHeight="1">
      <c r="A9465" s="33" t="s">
        <v>13135</v>
      </c>
      <c r="B9465" s="42" t="s">
        <v>562</v>
      </c>
      <c r="C9465" s="31" t="s">
        <v>946</v>
      </c>
      <c r="D9465" s="30" t="s">
        <v>3663</v>
      </c>
      <c r="E9465" s="32">
        <v>46123.0</v>
      </c>
      <c r="F9465" s="32">
        <v>46171.0</v>
      </c>
      <c r="G9465" s="33"/>
    </row>
    <row r="9466" ht="15.75" customHeight="1">
      <c r="A9466" s="29" t="s">
        <v>13136</v>
      </c>
      <c r="B9466" s="43" t="s">
        <v>573</v>
      </c>
      <c r="C9466" s="27" t="s">
        <v>946</v>
      </c>
      <c r="D9466" s="26" t="s">
        <v>3663</v>
      </c>
      <c r="E9466" s="28">
        <v>46123.0</v>
      </c>
      <c r="F9466" s="28">
        <v>46171.0</v>
      </c>
      <c r="G9466" s="29"/>
    </row>
    <row r="9467" ht="15.75" customHeight="1">
      <c r="A9467" s="33" t="s">
        <v>13137</v>
      </c>
      <c r="B9467" s="42" t="s">
        <v>601</v>
      </c>
      <c r="C9467" s="31" t="s">
        <v>946</v>
      </c>
      <c r="D9467" s="30" t="s">
        <v>3663</v>
      </c>
      <c r="E9467" s="32">
        <v>46123.0</v>
      </c>
      <c r="F9467" s="32">
        <v>46171.0</v>
      </c>
      <c r="G9467" s="33"/>
    </row>
    <row r="9468" ht="15.75" customHeight="1">
      <c r="A9468" s="29" t="s">
        <v>13138</v>
      </c>
      <c r="B9468" s="43" t="s">
        <v>603</v>
      </c>
      <c r="C9468" s="27" t="s">
        <v>946</v>
      </c>
      <c r="D9468" s="26" t="s">
        <v>3663</v>
      </c>
      <c r="E9468" s="28">
        <v>46123.0</v>
      </c>
      <c r="F9468" s="28">
        <v>46171.0</v>
      </c>
      <c r="G9468" s="29"/>
    </row>
    <row r="9469" ht="15.75" customHeight="1">
      <c r="A9469" s="33" t="s">
        <v>13139</v>
      </c>
      <c r="B9469" s="42" t="s">
        <v>685</v>
      </c>
      <c r="C9469" s="31" t="s">
        <v>946</v>
      </c>
      <c r="D9469" s="30" t="s">
        <v>3663</v>
      </c>
      <c r="E9469" s="32">
        <v>46123.0</v>
      </c>
      <c r="F9469" s="32">
        <v>46171.0</v>
      </c>
      <c r="G9469" s="33"/>
    </row>
    <row r="9470" ht="15.75" customHeight="1">
      <c r="A9470" s="29" t="s">
        <v>13140</v>
      </c>
      <c r="B9470" s="43" t="s">
        <v>2794</v>
      </c>
      <c r="C9470" s="27" t="s">
        <v>946</v>
      </c>
      <c r="D9470" s="26" t="s">
        <v>3663</v>
      </c>
      <c r="E9470" s="28">
        <v>46123.0</v>
      </c>
      <c r="F9470" s="28">
        <v>46171.0</v>
      </c>
      <c r="G9470" s="29"/>
    </row>
    <row r="9471" ht="15.75" customHeight="1">
      <c r="A9471" s="33" t="s">
        <v>13141</v>
      </c>
      <c r="B9471" s="42" t="s">
        <v>727</v>
      </c>
      <c r="C9471" s="31" t="s">
        <v>946</v>
      </c>
      <c r="D9471" s="30" t="s">
        <v>3663</v>
      </c>
      <c r="E9471" s="32">
        <v>46123.0</v>
      </c>
      <c r="F9471" s="32">
        <v>46171.0</v>
      </c>
      <c r="G9471" s="33"/>
    </row>
    <row r="9472" ht="15.75" customHeight="1">
      <c r="A9472" s="29" t="s">
        <v>13142</v>
      </c>
      <c r="B9472" s="43" t="s">
        <v>728</v>
      </c>
      <c r="C9472" s="27" t="s">
        <v>946</v>
      </c>
      <c r="D9472" s="26" t="s">
        <v>3663</v>
      </c>
      <c r="E9472" s="28">
        <v>46123.0</v>
      </c>
      <c r="F9472" s="28">
        <v>46171.0</v>
      </c>
      <c r="G9472" s="29"/>
    </row>
    <row r="9473" ht="15.75" customHeight="1">
      <c r="A9473" s="33" t="s">
        <v>13143</v>
      </c>
      <c r="B9473" s="42" t="s">
        <v>2824</v>
      </c>
      <c r="C9473" s="31" t="s">
        <v>946</v>
      </c>
      <c r="D9473" s="30" t="s">
        <v>3663</v>
      </c>
      <c r="E9473" s="32">
        <v>46123.0</v>
      </c>
      <c r="F9473" s="32">
        <v>46171.0</v>
      </c>
      <c r="G9473" s="33"/>
    </row>
    <row r="9474" ht="15.75" customHeight="1">
      <c r="A9474" s="29" t="s">
        <v>13144</v>
      </c>
      <c r="B9474" s="43" t="s">
        <v>730</v>
      </c>
      <c r="C9474" s="27" t="s">
        <v>946</v>
      </c>
      <c r="D9474" s="26" t="s">
        <v>3663</v>
      </c>
      <c r="E9474" s="28">
        <v>46123.0</v>
      </c>
      <c r="F9474" s="28">
        <v>46171.0</v>
      </c>
      <c r="G9474" s="29"/>
    </row>
    <row r="9475" ht="15.75" customHeight="1">
      <c r="A9475" s="33" t="s">
        <v>13145</v>
      </c>
      <c r="B9475" s="42" t="s">
        <v>758</v>
      </c>
      <c r="C9475" s="31" t="s">
        <v>946</v>
      </c>
      <c r="D9475" s="30" t="s">
        <v>3663</v>
      </c>
      <c r="E9475" s="32">
        <v>46123.0</v>
      </c>
      <c r="F9475" s="32">
        <v>46171.0</v>
      </c>
      <c r="G9475" s="33"/>
    </row>
    <row r="9476" ht="15.75" customHeight="1">
      <c r="A9476" s="29" t="s">
        <v>13146</v>
      </c>
      <c r="B9476" s="43" t="s">
        <v>764</v>
      </c>
      <c r="C9476" s="27" t="s">
        <v>946</v>
      </c>
      <c r="D9476" s="26" t="s">
        <v>3663</v>
      </c>
      <c r="E9476" s="28">
        <v>46123.0</v>
      </c>
      <c r="F9476" s="28">
        <v>46171.0</v>
      </c>
      <c r="G9476" s="29"/>
    </row>
    <row r="9477" ht="15.75" customHeight="1">
      <c r="A9477" s="33" t="s">
        <v>13147</v>
      </c>
      <c r="B9477" s="42" t="s">
        <v>1147</v>
      </c>
      <c r="C9477" s="31" t="s">
        <v>946</v>
      </c>
      <c r="D9477" s="30" t="s">
        <v>3663</v>
      </c>
      <c r="E9477" s="32">
        <v>46123.0</v>
      </c>
      <c r="F9477" s="32">
        <v>46171.0</v>
      </c>
      <c r="G9477" s="33"/>
    </row>
    <row r="9478" ht="15.75" customHeight="1">
      <c r="A9478" s="29" t="s">
        <v>13148</v>
      </c>
      <c r="B9478" s="43" t="s">
        <v>770</v>
      </c>
      <c r="C9478" s="27" t="s">
        <v>946</v>
      </c>
      <c r="D9478" s="26" t="s">
        <v>3663</v>
      </c>
      <c r="E9478" s="28">
        <v>46123.0</v>
      </c>
      <c r="F9478" s="28">
        <v>46171.0</v>
      </c>
      <c r="G9478" s="29"/>
    </row>
    <row r="9479" ht="15.75" customHeight="1">
      <c r="A9479" s="33" t="s">
        <v>13149</v>
      </c>
      <c r="B9479" s="42" t="s">
        <v>801</v>
      </c>
      <c r="C9479" s="31" t="s">
        <v>946</v>
      </c>
      <c r="D9479" s="30" t="s">
        <v>3663</v>
      </c>
      <c r="E9479" s="32">
        <v>46123.0</v>
      </c>
      <c r="F9479" s="32">
        <v>46171.0</v>
      </c>
      <c r="G9479" s="33"/>
    </row>
    <row r="9480" ht="15.75" customHeight="1">
      <c r="A9480" s="29" t="s">
        <v>13150</v>
      </c>
      <c r="B9480" s="43" t="s">
        <v>83</v>
      </c>
      <c r="C9480" s="27" t="s">
        <v>946</v>
      </c>
      <c r="D9480" s="26" t="s">
        <v>3663</v>
      </c>
      <c r="E9480" s="28">
        <v>46123.0</v>
      </c>
      <c r="F9480" s="28">
        <v>46171.0</v>
      </c>
      <c r="G9480" s="29"/>
    </row>
    <row r="9481" ht="15.75" customHeight="1">
      <c r="A9481" s="33" t="s">
        <v>13151</v>
      </c>
      <c r="B9481" s="42" t="s">
        <v>2278</v>
      </c>
      <c r="C9481" s="31" t="s">
        <v>946</v>
      </c>
      <c r="D9481" s="30" t="s">
        <v>3663</v>
      </c>
      <c r="E9481" s="32">
        <v>46123.0</v>
      </c>
      <c r="F9481" s="32">
        <v>46171.0</v>
      </c>
      <c r="G9481" s="33"/>
    </row>
    <row r="9482" ht="15.75" customHeight="1">
      <c r="A9482" s="29" t="s">
        <v>13152</v>
      </c>
      <c r="B9482" s="43" t="s">
        <v>151</v>
      </c>
      <c r="C9482" s="27" t="s">
        <v>946</v>
      </c>
      <c r="D9482" s="26" t="s">
        <v>3663</v>
      </c>
      <c r="E9482" s="28">
        <v>46123.0</v>
      </c>
      <c r="F9482" s="28">
        <v>46171.0</v>
      </c>
      <c r="G9482" s="29"/>
    </row>
    <row r="9483" ht="15.75" customHeight="1">
      <c r="A9483" s="33" t="s">
        <v>13153</v>
      </c>
      <c r="B9483" s="42" t="s">
        <v>214</v>
      </c>
      <c r="C9483" s="31" t="s">
        <v>946</v>
      </c>
      <c r="D9483" s="30" t="s">
        <v>3663</v>
      </c>
      <c r="E9483" s="32">
        <v>46123.0</v>
      </c>
      <c r="F9483" s="32">
        <v>46171.0</v>
      </c>
      <c r="G9483" s="33"/>
    </row>
    <row r="9484" ht="15.75" customHeight="1">
      <c r="A9484" s="29" t="s">
        <v>13154</v>
      </c>
      <c r="B9484" s="43" t="s">
        <v>231</v>
      </c>
      <c r="C9484" s="27" t="s">
        <v>946</v>
      </c>
      <c r="D9484" s="26" t="s">
        <v>3663</v>
      </c>
      <c r="E9484" s="28">
        <v>46123.0</v>
      </c>
      <c r="F9484" s="28">
        <v>46171.0</v>
      </c>
      <c r="G9484" s="29"/>
    </row>
    <row r="9485" ht="15.75" customHeight="1">
      <c r="A9485" s="33" t="s">
        <v>13155</v>
      </c>
      <c r="B9485" s="42" t="s">
        <v>249</v>
      </c>
      <c r="C9485" s="31" t="s">
        <v>946</v>
      </c>
      <c r="D9485" s="30" t="s">
        <v>3663</v>
      </c>
      <c r="E9485" s="32">
        <v>46123.0</v>
      </c>
      <c r="F9485" s="32">
        <v>46171.0</v>
      </c>
      <c r="G9485" s="33"/>
    </row>
    <row r="9486" ht="15.75" customHeight="1">
      <c r="A9486" s="29" t="s">
        <v>13156</v>
      </c>
      <c r="B9486" s="43" t="s">
        <v>296</v>
      </c>
      <c r="C9486" s="27" t="s">
        <v>946</v>
      </c>
      <c r="D9486" s="26" t="s">
        <v>3663</v>
      </c>
      <c r="E9486" s="28">
        <v>46123.0</v>
      </c>
      <c r="F9486" s="28">
        <v>46171.0</v>
      </c>
      <c r="G9486" s="29"/>
    </row>
    <row r="9487" ht="15.75" customHeight="1">
      <c r="A9487" s="33" t="s">
        <v>13157</v>
      </c>
      <c r="B9487" s="42" t="s">
        <v>301</v>
      </c>
      <c r="C9487" s="31" t="s">
        <v>946</v>
      </c>
      <c r="D9487" s="30" t="s">
        <v>3663</v>
      </c>
      <c r="E9487" s="32">
        <v>46123.0</v>
      </c>
      <c r="F9487" s="32">
        <v>46171.0</v>
      </c>
      <c r="G9487" s="33"/>
    </row>
    <row r="9488" ht="15.75" customHeight="1">
      <c r="A9488" s="29" t="s">
        <v>13158</v>
      </c>
      <c r="B9488" s="43" t="s">
        <v>328</v>
      </c>
      <c r="C9488" s="27" t="s">
        <v>946</v>
      </c>
      <c r="D9488" s="26" t="s">
        <v>3663</v>
      </c>
      <c r="E9488" s="28">
        <v>46123.0</v>
      </c>
      <c r="F9488" s="28">
        <v>46171.0</v>
      </c>
      <c r="G9488" s="29"/>
    </row>
    <row r="9489" ht="15.75" customHeight="1">
      <c r="A9489" s="33" t="s">
        <v>13159</v>
      </c>
      <c r="B9489" s="42" t="s">
        <v>336</v>
      </c>
      <c r="C9489" s="31" t="s">
        <v>946</v>
      </c>
      <c r="D9489" s="30" t="s">
        <v>3663</v>
      </c>
      <c r="E9489" s="32">
        <v>46123.0</v>
      </c>
      <c r="F9489" s="32">
        <v>46171.0</v>
      </c>
      <c r="G9489" s="33"/>
    </row>
    <row r="9490" ht="15.75" customHeight="1">
      <c r="A9490" s="29" t="s">
        <v>13160</v>
      </c>
      <c r="B9490" s="43" t="s">
        <v>372</v>
      </c>
      <c r="C9490" s="27" t="s">
        <v>946</v>
      </c>
      <c r="D9490" s="26" t="s">
        <v>3663</v>
      </c>
      <c r="E9490" s="28">
        <v>46123.0</v>
      </c>
      <c r="F9490" s="28">
        <v>46171.0</v>
      </c>
      <c r="G9490" s="29"/>
    </row>
    <row r="9491" ht="15.75" customHeight="1">
      <c r="A9491" s="33" t="s">
        <v>13161</v>
      </c>
      <c r="B9491" s="42" t="s">
        <v>403</v>
      </c>
      <c r="C9491" s="31" t="s">
        <v>946</v>
      </c>
      <c r="D9491" s="30" t="s">
        <v>3663</v>
      </c>
      <c r="E9491" s="32">
        <v>46123.0</v>
      </c>
      <c r="F9491" s="32">
        <v>46171.0</v>
      </c>
      <c r="G9491" s="33"/>
    </row>
    <row r="9492" ht="15.75" customHeight="1">
      <c r="A9492" s="29" t="s">
        <v>13162</v>
      </c>
      <c r="B9492" s="43" t="s">
        <v>411</v>
      </c>
      <c r="C9492" s="27" t="s">
        <v>946</v>
      </c>
      <c r="D9492" s="26" t="s">
        <v>3663</v>
      </c>
      <c r="E9492" s="28">
        <v>46123.0</v>
      </c>
      <c r="F9492" s="28">
        <v>46171.0</v>
      </c>
      <c r="G9492" s="29"/>
    </row>
    <row r="9493" ht="15.75" customHeight="1">
      <c r="A9493" s="33" t="s">
        <v>13163</v>
      </c>
      <c r="B9493" s="42" t="s">
        <v>451</v>
      </c>
      <c r="C9493" s="31" t="s">
        <v>946</v>
      </c>
      <c r="D9493" s="30" t="s">
        <v>3663</v>
      </c>
      <c r="E9493" s="32">
        <v>46123.0</v>
      </c>
      <c r="F9493" s="32">
        <v>46171.0</v>
      </c>
      <c r="G9493" s="33"/>
    </row>
    <row r="9494" ht="15.75" customHeight="1">
      <c r="A9494" s="29" t="s">
        <v>13164</v>
      </c>
      <c r="B9494" s="43" t="s">
        <v>472</v>
      </c>
      <c r="C9494" s="27" t="s">
        <v>946</v>
      </c>
      <c r="D9494" s="26" t="s">
        <v>3663</v>
      </c>
      <c r="E9494" s="28">
        <v>46123.0</v>
      </c>
      <c r="F9494" s="28">
        <v>46171.0</v>
      </c>
      <c r="G9494" s="29"/>
    </row>
    <row r="9495" ht="15.75" customHeight="1">
      <c r="A9495" s="33" t="s">
        <v>13165</v>
      </c>
      <c r="B9495" s="42" t="s">
        <v>483</v>
      </c>
      <c r="C9495" s="31" t="s">
        <v>946</v>
      </c>
      <c r="D9495" s="30" t="s">
        <v>3663</v>
      </c>
      <c r="E9495" s="32">
        <v>46123.0</v>
      </c>
      <c r="F9495" s="32">
        <v>46171.0</v>
      </c>
      <c r="G9495" s="33"/>
    </row>
    <row r="9496" ht="15.75" customHeight="1">
      <c r="A9496" s="29" t="s">
        <v>13166</v>
      </c>
      <c r="B9496" s="43" t="s">
        <v>510</v>
      </c>
      <c r="C9496" s="27" t="s">
        <v>946</v>
      </c>
      <c r="D9496" s="26" t="s">
        <v>3663</v>
      </c>
      <c r="E9496" s="28">
        <v>46123.0</v>
      </c>
      <c r="F9496" s="28">
        <v>46171.0</v>
      </c>
      <c r="G9496" s="29"/>
    </row>
    <row r="9497" ht="15.75" customHeight="1">
      <c r="A9497" s="33" t="s">
        <v>13167</v>
      </c>
      <c r="B9497" s="42" t="s">
        <v>522</v>
      </c>
      <c r="C9497" s="31" t="s">
        <v>946</v>
      </c>
      <c r="D9497" s="30" t="s">
        <v>3663</v>
      </c>
      <c r="E9497" s="32">
        <v>46123.0</v>
      </c>
      <c r="F9497" s="32">
        <v>46171.0</v>
      </c>
      <c r="G9497" s="33"/>
    </row>
    <row r="9498" ht="15.75" customHeight="1">
      <c r="A9498" s="29" t="s">
        <v>13168</v>
      </c>
      <c r="B9498" s="43" t="s">
        <v>540</v>
      </c>
      <c r="C9498" s="27" t="s">
        <v>946</v>
      </c>
      <c r="D9498" s="26" t="s">
        <v>3663</v>
      </c>
      <c r="E9498" s="28">
        <v>46123.0</v>
      </c>
      <c r="F9498" s="28">
        <v>46171.0</v>
      </c>
      <c r="G9498" s="29"/>
    </row>
    <row r="9499" ht="15.75" customHeight="1">
      <c r="A9499" s="33" t="s">
        <v>13169</v>
      </c>
      <c r="B9499" s="42" t="s">
        <v>551</v>
      </c>
      <c r="C9499" s="31" t="s">
        <v>946</v>
      </c>
      <c r="D9499" s="30" t="s">
        <v>3663</v>
      </c>
      <c r="E9499" s="32">
        <v>46123.0</v>
      </c>
      <c r="F9499" s="32">
        <v>46171.0</v>
      </c>
      <c r="G9499" s="33"/>
    </row>
    <row r="9500" ht="15.75" customHeight="1">
      <c r="A9500" s="29" t="s">
        <v>13170</v>
      </c>
      <c r="B9500" s="43" t="s">
        <v>602</v>
      </c>
      <c r="C9500" s="27" t="s">
        <v>946</v>
      </c>
      <c r="D9500" s="26" t="s">
        <v>3663</v>
      </c>
      <c r="E9500" s="28">
        <v>46123.0</v>
      </c>
      <c r="F9500" s="28">
        <v>46171.0</v>
      </c>
      <c r="G9500" s="29"/>
    </row>
    <row r="9501" ht="15.75" customHeight="1">
      <c r="A9501" s="33" t="s">
        <v>13171</v>
      </c>
      <c r="B9501" s="42" t="s">
        <v>616</v>
      </c>
      <c r="C9501" s="31" t="s">
        <v>946</v>
      </c>
      <c r="D9501" s="30" t="s">
        <v>3663</v>
      </c>
      <c r="E9501" s="32">
        <v>46123.0</v>
      </c>
      <c r="F9501" s="32">
        <v>46171.0</v>
      </c>
      <c r="G9501" s="33"/>
    </row>
    <row r="9502" ht="15.75" customHeight="1">
      <c r="A9502" s="29" t="s">
        <v>13172</v>
      </c>
      <c r="B9502" s="43" t="s">
        <v>650</v>
      </c>
      <c r="C9502" s="27" t="s">
        <v>946</v>
      </c>
      <c r="D9502" s="26" t="s">
        <v>3663</v>
      </c>
      <c r="E9502" s="28">
        <v>46123.0</v>
      </c>
      <c r="F9502" s="28">
        <v>46171.0</v>
      </c>
      <c r="G9502" s="29"/>
    </row>
    <row r="9503" ht="15.75" customHeight="1">
      <c r="A9503" s="33" t="s">
        <v>13173</v>
      </c>
      <c r="B9503" s="42" t="s">
        <v>668</v>
      </c>
      <c r="C9503" s="31" t="s">
        <v>946</v>
      </c>
      <c r="D9503" s="30" t="s">
        <v>3663</v>
      </c>
      <c r="E9503" s="32">
        <v>46123.0</v>
      </c>
      <c r="F9503" s="32">
        <v>46171.0</v>
      </c>
      <c r="G9503" s="33"/>
    </row>
    <row r="9504" ht="15.75" customHeight="1">
      <c r="A9504" s="29" t="s">
        <v>13174</v>
      </c>
      <c r="B9504" s="43" t="s">
        <v>704</v>
      </c>
      <c r="C9504" s="27" t="s">
        <v>946</v>
      </c>
      <c r="D9504" s="26" t="s">
        <v>3663</v>
      </c>
      <c r="E9504" s="28">
        <v>46123.0</v>
      </c>
      <c r="F9504" s="28">
        <v>46171.0</v>
      </c>
      <c r="G9504" s="29"/>
    </row>
    <row r="9505" ht="15.75" customHeight="1">
      <c r="A9505" s="33" t="s">
        <v>13175</v>
      </c>
      <c r="B9505" s="42" t="s">
        <v>710</v>
      </c>
      <c r="C9505" s="31" t="s">
        <v>946</v>
      </c>
      <c r="D9505" s="30" t="s">
        <v>3663</v>
      </c>
      <c r="E9505" s="32">
        <v>46123.0</v>
      </c>
      <c r="F9505" s="32">
        <v>46171.0</v>
      </c>
      <c r="G9505" s="33"/>
    </row>
    <row r="9506" ht="15.75" customHeight="1">
      <c r="A9506" s="29" t="s">
        <v>13176</v>
      </c>
      <c r="B9506" s="43" t="s">
        <v>762</v>
      </c>
      <c r="C9506" s="27" t="s">
        <v>946</v>
      </c>
      <c r="D9506" s="26" t="s">
        <v>3663</v>
      </c>
      <c r="E9506" s="28">
        <v>46123.0</v>
      </c>
      <c r="F9506" s="28">
        <v>46171.0</v>
      </c>
      <c r="G9506" s="29"/>
    </row>
    <row r="9507" ht="15.75" customHeight="1">
      <c r="A9507" s="33" t="s">
        <v>13177</v>
      </c>
      <c r="B9507" s="42" t="s">
        <v>803</v>
      </c>
      <c r="C9507" s="31" t="s">
        <v>946</v>
      </c>
      <c r="D9507" s="30" t="s">
        <v>3663</v>
      </c>
      <c r="E9507" s="32">
        <v>46123.0</v>
      </c>
      <c r="F9507" s="32">
        <v>46171.0</v>
      </c>
      <c r="G9507" s="33"/>
    </row>
    <row r="9508" ht="15.75" customHeight="1">
      <c r="A9508" s="29" t="s">
        <v>13178</v>
      </c>
      <c r="B9508" s="43" t="s">
        <v>817</v>
      </c>
      <c r="C9508" s="27" t="s">
        <v>946</v>
      </c>
      <c r="D9508" s="26" t="s">
        <v>3663</v>
      </c>
      <c r="E9508" s="28">
        <v>46123.0</v>
      </c>
      <c r="F9508" s="28">
        <v>46171.0</v>
      </c>
      <c r="G9508" s="29"/>
    </row>
    <row r="9509" ht="15.75" customHeight="1">
      <c r="A9509" s="33" t="s">
        <v>13179</v>
      </c>
      <c r="B9509" s="42" t="s">
        <v>112</v>
      </c>
      <c r="C9509" s="31" t="s">
        <v>946</v>
      </c>
      <c r="D9509" s="30" t="s">
        <v>3663</v>
      </c>
      <c r="E9509" s="32">
        <v>46123.0</v>
      </c>
      <c r="F9509" s="32">
        <v>46171.0</v>
      </c>
      <c r="G9509" s="33"/>
    </row>
    <row r="9510" ht="15.75" customHeight="1">
      <c r="A9510" s="29" t="s">
        <v>13180</v>
      </c>
      <c r="B9510" s="43" t="s">
        <v>119</v>
      </c>
      <c r="C9510" s="27" t="s">
        <v>946</v>
      </c>
      <c r="D9510" s="26" t="s">
        <v>3663</v>
      </c>
      <c r="E9510" s="28">
        <v>46123.0</v>
      </c>
      <c r="F9510" s="28">
        <v>46171.0</v>
      </c>
      <c r="G9510" s="29"/>
    </row>
    <row r="9511" ht="15.75" customHeight="1">
      <c r="A9511" s="33" t="s">
        <v>13181</v>
      </c>
      <c r="B9511" s="42" t="s">
        <v>179</v>
      </c>
      <c r="C9511" s="31" t="s">
        <v>946</v>
      </c>
      <c r="D9511" s="30" t="s">
        <v>3663</v>
      </c>
      <c r="E9511" s="32">
        <v>46123.0</v>
      </c>
      <c r="F9511" s="32">
        <v>46171.0</v>
      </c>
      <c r="G9511" s="33"/>
    </row>
    <row r="9512" ht="15.75" customHeight="1">
      <c r="A9512" s="29" t="s">
        <v>13182</v>
      </c>
      <c r="B9512" s="43" t="s">
        <v>205</v>
      </c>
      <c r="C9512" s="27" t="s">
        <v>946</v>
      </c>
      <c r="D9512" s="26" t="s">
        <v>3663</v>
      </c>
      <c r="E9512" s="28">
        <v>46123.0</v>
      </c>
      <c r="F9512" s="28">
        <v>46171.0</v>
      </c>
      <c r="G9512" s="29"/>
    </row>
    <row r="9513" ht="15.75" customHeight="1">
      <c r="A9513" s="33" t="s">
        <v>13183</v>
      </c>
      <c r="B9513" s="42" t="s">
        <v>300</v>
      </c>
      <c r="C9513" s="31" t="s">
        <v>946</v>
      </c>
      <c r="D9513" s="30" t="s">
        <v>3663</v>
      </c>
      <c r="E9513" s="32">
        <v>46123.0</v>
      </c>
      <c r="F9513" s="32">
        <v>46171.0</v>
      </c>
      <c r="G9513" s="33"/>
    </row>
    <row r="9514" ht="15.75" customHeight="1">
      <c r="A9514" s="29" t="s">
        <v>13184</v>
      </c>
      <c r="B9514" s="43" t="s">
        <v>314</v>
      </c>
      <c r="C9514" s="27" t="s">
        <v>946</v>
      </c>
      <c r="D9514" s="26" t="s">
        <v>3663</v>
      </c>
      <c r="E9514" s="28">
        <v>46123.0</v>
      </c>
      <c r="F9514" s="28">
        <v>46171.0</v>
      </c>
      <c r="G9514" s="29"/>
    </row>
    <row r="9515" ht="15.75" customHeight="1">
      <c r="A9515" s="33" t="s">
        <v>13185</v>
      </c>
      <c r="B9515" s="42" t="s">
        <v>345</v>
      </c>
      <c r="C9515" s="31" t="s">
        <v>946</v>
      </c>
      <c r="D9515" s="30" t="s">
        <v>3663</v>
      </c>
      <c r="E9515" s="32">
        <v>46123.0</v>
      </c>
      <c r="F9515" s="32">
        <v>46171.0</v>
      </c>
      <c r="G9515" s="33"/>
    </row>
    <row r="9516" ht="15.75" customHeight="1">
      <c r="A9516" s="29" t="s">
        <v>13186</v>
      </c>
      <c r="B9516" s="43" t="s">
        <v>375</v>
      </c>
      <c r="C9516" s="27" t="s">
        <v>946</v>
      </c>
      <c r="D9516" s="26" t="s">
        <v>3663</v>
      </c>
      <c r="E9516" s="28">
        <v>46123.0</v>
      </c>
      <c r="F9516" s="28">
        <v>46171.0</v>
      </c>
      <c r="G9516" s="29"/>
    </row>
    <row r="9517" ht="15.75" customHeight="1">
      <c r="A9517" s="33" t="s">
        <v>13187</v>
      </c>
      <c r="B9517" s="42" t="s">
        <v>430</v>
      </c>
      <c r="C9517" s="31" t="s">
        <v>946</v>
      </c>
      <c r="D9517" s="30" t="s">
        <v>3663</v>
      </c>
      <c r="E9517" s="32">
        <v>46123.0</v>
      </c>
      <c r="F9517" s="32">
        <v>46171.0</v>
      </c>
      <c r="G9517" s="33"/>
    </row>
    <row r="9518" ht="15.75" customHeight="1">
      <c r="A9518" s="29" t="s">
        <v>13188</v>
      </c>
      <c r="B9518" s="43" t="s">
        <v>448</v>
      </c>
      <c r="C9518" s="27" t="s">
        <v>946</v>
      </c>
      <c r="D9518" s="26" t="s">
        <v>3663</v>
      </c>
      <c r="E9518" s="28">
        <v>46123.0</v>
      </c>
      <c r="F9518" s="28">
        <v>46171.0</v>
      </c>
      <c r="G9518" s="29"/>
    </row>
    <row r="9519" ht="15.75" customHeight="1">
      <c r="A9519" s="33" t="s">
        <v>13189</v>
      </c>
      <c r="B9519" s="42" t="s">
        <v>449</v>
      </c>
      <c r="C9519" s="31" t="s">
        <v>946</v>
      </c>
      <c r="D9519" s="30" t="s">
        <v>3663</v>
      </c>
      <c r="E9519" s="32">
        <v>46123.0</v>
      </c>
      <c r="F9519" s="32">
        <v>46171.0</v>
      </c>
      <c r="G9519" s="33"/>
    </row>
    <row r="9520" ht="15.75" customHeight="1">
      <c r="A9520" s="29" t="s">
        <v>13190</v>
      </c>
      <c r="B9520" s="43" t="s">
        <v>455</v>
      </c>
      <c r="C9520" s="27" t="s">
        <v>946</v>
      </c>
      <c r="D9520" s="26" t="s">
        <v>3663</v>
      </c>
      <c r="E9520" s="28">
        <v>46123.0</v>
      </c>
      <c r="F9520" s="28">
        <v>46171.0</v>
      </c>
      <c r="G9520" s="29"/>
    </row>
    <row r="9521" ht="15.75" customHeight="1">
      <c r="A9521" s="33" t="s">
        <v>13191</v>
      </c>
      <c r="B9521" s="42" t="s">
        <v>465</v>
      </c>
      <c r="C9521" s="31" t="s">
        <v>946</v>
      </c>
      <c r="D9521" s="30" t="s">
        <v>3663</v>
      </c>
      <c r="E9521" s="32">
        <v>46123.0</v>
      </c>
      <c r="F9521" s="32">
        <v>46171.0</v>
      </c>
      <c r="G9521" s="33"/>
    </row>
    <row r="9522" ht="15.75" customHeight="1">
      <c r="A9522" s="29" t="s">
        <v>13192</v>
      </c>
      <c r="B9522" s="43" t="s">
        <v>488</v>
      </c>
      <c r="C9522" s="27" t="s">
        <v>946</v>
      </c>
      <c r="D9522" s="26" t="s">
        <v>3663</v>
      </c>
      <c r="E9522" s="28">
        <v>46123.0</v>
      </c>
      <c r="F9522" s="28">
        <v>46171.0</v>
      </c>
      <c r="G9522" s="29"/>
    </row>
    <row r="9523" ht="15.75" customHeight="1">
      <c r="A9523" s="33" t="s">
        <v>13193</v>
      </c>
      <c r="B9523" s="42" t="s">
        <v>513</v>
      </c>
      <c r="C9523" s="31" t="s">
        <v>946</v>
      </c>
      <c r="D9523" s="30" t="s">
        <v>3663</v>
      </c>
      <c r="E9523" s="32">
        <v>46123.0</v>
      </c>
      <c r="F9523" s="32">
        <v>46171.0</v>
      </c>
      <c r="G9523" s="33"/>
    </row>
    <row r="9524" ht="15.75" customHeight="1">
      <c r="A9524" s="29" t="s">
        <v>13194</v>
      </c>
      <c r="B9524" s="43" t="s">
        <v>515</v>
      </c>
      <c r="C9524" s="27" t="s">
        <v>946</v>
      </c>
      <c r="D9524" s="26" t="s">
        <v>3663</v>
      </c>
      <c r="E9524" s="28">
        <v>46123.0</v>
      </c>
      <c r="F9524" s="28">
        <v>46171.0</v>
      </c>
      <c r="G9524" s="29"/>
    </row>
    <row r="9525" ht="15.75" customHeight="1">
      <c r="A9525" s="33" t="s">
        <v>13195</v>
      </c>
      <c r="B9525" s="42" t="s">
        <v>12929</v>
      </c>
      <c r="C9525" s="31" t="s">
        <v>946</v>
      </c>
      <c r="D9525" s="30" t="s">
        <v>3663</v>
      </c>
      <c r="E9525" s="32">
        <v>46123.0</v>
      </c>
      <c r="F9525" s="32">
        <v>46171.0</v>
      </c>
      <c r="G9525" s="33"/>
    </row>
    <row r="9526" ht="15.75" customHeight="1">
      <c r="A9526" s="29" t="s">
        <v>13196</v>
      </c>
      <c r="B9526" s="43" t="s">
        <v>553</v>
      </c>
      <c r="C9526" s="27" t="s">
        <v>946</v>
      </c>
      <c r="D9526" s="26" t="s">
        <v>3663</v>
      </c>
      <c r="E9526" s="28">
        <v>46123.0</v>
      </c>
      <c r="F9526" s="28">
        <v>46171.0</v>
      </c>
      <c r="G9526" s="29"/>
    </row>
    <row r="9527" ht="15.75" customHeight="1">
      <c r="A9527" s="33" t="s">
        <v>13197</v>
      </c>
      <c r="B9527" s="42" t="s">
        <v>566</v>
      </c>
      <c r="C9527" s="31" t="s">
        <v>946</v>
      </c>
      <c r="D9527" s="30" t="s">
        <v>3663</v>
      </c>
      <c r="E9527" s="32">
        <v>46123.0</v>
      </c>
      <c r="F9527" s="32">
        <v>46171.0</v>
      </c>
      <c r="G9527" s="33"/>
    </row>
    <row r="9528" ht="15.75" customHeight="1">
      <c r="A9528" s="29" t="s">
        <v>13198</v>
      </c>
      <c r="B9528" s="43" t="s">
        <v>581</v>
      </c>
      <c r="C9528" s="27" t="s">
        <v>946</v>
      </c>
      <c r="D9528" s="26" t="s">
        <v>3663</v>
      </c>
      <c r="E9528" s="28">
        <v>46123.0</v>
      </c>
      <c r="F9528" s="28">
        <v>46171.0</v>
      </c>
      <c r="G9528" s="29"/>
    </row>
    <row r="9529" ht="15.75" customHeight="1">
      <c r="A9529" s="33" t="s">
        <v>13199</v>
      </c>
      <c r="B9529" s="42" t="s">
        <v>604</v>
      </c>
      <c r="C9529" s="31" t="s">
        <v>946</v>
      </c>
      <c r="D9529" s="30" t="s">
        <v>3663</v>
      </c>
      <c r="E9529" s="32">
        <v>46123.0</v>
      </c>
      <c r="F9529" s="32">
        <v>46171.0</v>
      </c>
      <c r="G9529" s="33"/>
    </row>
    <row r="9530" ht="15.75" customHeight="1">
      <c r="A9530" s="29" t="s">
        <v>13200</v>
      </c>
      <c r="B9530" s="43" t="s">
        <v>624</v>
      </c>
      <c r="C9530" s="27" t="s">
        <v>946</v>
      </c>
      <c r="D9530" s="26" t="s">
        <v>3663</v>
      </c>
      <c r="E9530" s="28">
        <v>46123.0</v>
      </c>
      <c r="F9530" s="28">
        <v>46171.0</v>
      </c>
      <c r="G9530" s="29"/>
    </row>
    <row r="9531" ht="15.75" customHeight="1">
      <c r="A9531" s="33" t="s">
        <v>13201</v>
      </c>
      <c r="B9531" s="42" t="s">
        <v>649</v>
      </c>
      <c r="C9531" s="31" t="s">
        <v>946</v>
      </c>
      <c r="D9531" s="30" t="s">
        <v>3663</v>
      </c>
      <c r="E9531" s="32">
        <v>46123.0</v>
      </c>
      <c r="F9531" s="32">
        <v>46171.0</v>
      </c>
      <c r="G9531" s="33"/>
    </row>
    <row r="9532" ht="15.75" customHeight="1">
      <c r="A9532" s="29" t="s">
        <v>13202</v>
      </c>
      <c r="B9532" s="43" t="s">
        <v>666</v>
      </c>
      <c r="C9532" s="27" t="s">
        <v>946</v>
      </c>
      <c r="D9532" s="26" t="s">
        <v>3663</v>
      </c>
      <c r="E9532" s="28">
        <v>46123.0</v>
      </c>
      <c r="F9532" s="28">
        <v>46171.0</v>
      </c>
      <c r="G9532" s="29"/>
    </row>
    <row r="9533" ht="15.75" customHeight="1">
      <c r="A9533" s="33" t="s">
        <v>13203</v>
      </c>
      <c r="B9533" s="42" t="s">
        <v>12917</v>
      </c>
      <c r="C9533" s="31" t="s">
        <v>946</v>
      </c>
      <c r="D9533" s="30" t="s">
        <v>3663</v>
      </c>
      <c r="E9533" s="32">
        <v>46123.0</v>
      </c>
      <c r="F9533" s="32">
        <v>46171.0</v>
      </c>
      <c r="G9533" s="33"/>
    </row>
    <row r="9534" ht="15.75" customHeight="1">
      <c r="A9534" s="29" t="s">
        <v>13204</v>
      </c>
      <c r="B9534" s="43" t="s">
        <v>1200</v>
      </c>
      <c r="C9534" s="27" t="s">
        <v>946</v>
      </c>
      <c r="D9534" s="26" t="s">
        <v>3663</v>
      </c>
      <c r="E9534" s="28">
        <v>46123.0</v>
      </c>
      <c r="F9534" s="28">
        <v>46171.0</v>
      </c>
      <c r="G9534" s="29"/>
    </row>
    <row r="9535" ht="15.75" customHeight="1">
      <c r="A9535" s="33" t="s">
        <v>13205</v>
      </c>
      <c r="B9535" s="42" t="s">
        <v>738</v>
      </c>
      <c r="C9535" s="31" t="s">
        <v>946</v>
      </c>
      <c r="D9535" s="30" t="s">
        <v>3663</v>
      </c>
      <c r="E9535" s="32">
        <v>46123.0</v>
      </c>
      <c r="F9535" s="32">
        <v>46171.0</v>
      </c>
      <c r="G9535" s="33"/>
    </row>
    <row r="9536" ht="15.75" customHeight="1">
      <c r="A9536" s="29" t="s">
        <v>13206</v>
      </c>
      <c r="B9536" s="43" t="s">
        <v>747</v>
      </c>
      <c r="C9536" s="27" t="s">
        <v>946</v>
      </c>
      <c r="D9536" s="26" t="s">
        <v>3663</v>
      </c>
      <c r="E9536" s="28">
        <v>46123.0</v>
      </c>
      <c r="F9536" s="28">
        <v>46171.0</v>
      </c>
      <c r="G9536" s="29"/>
    </row>
    <row r="9537" ht="15.75" customHeight="1">
      <c r="A9537" s="33" t="s">
        <v>13207</v>
      </c>
      <c r="B9537" s="42" t="s">
        <v>748</v>
      </c>
      <c r="C9537" s="31" t="s">
        <v>946</v>
      </c>
      <c r="D9537" s="30" t="s">
        <v>3663</v>
      </c>
      <c r="E9537" s="32">
        <v>46123.0</v>
      </c>
      <c r="F9537" s="32">
        <v>46171.0</v>
      </c>
      <c r="G9537" s="33"/>
    </row>
    <row r="9538" ht="15.75" customHeight="1">
      <c r="A9538" s="29" t="s">
        <v>13208</v>
      </c>
      <c r="B9538" s="43" t="s">
        <v>756</v>
      </c>
      <c r="C9538" s="27" t="s">
        <v>946</v>
      </c>
      <c r="D9538" s="26" t="s">
        <v>3663</v>
      </c>
      <c r="E9538" s="28">
        <v>46123.0</v>
      </c>
      <c r="F9538" s="28">
        <v>46171.0</v>
      </c>
      <c r="G9538" s="29"/>
    </row>
    <row r="9539" ht="15.75" customHeight="1">
      <c r="A9539" s="33" t="s">
        <v>13209</v>
      </c>
      <c r="B9539" s="42" t="s">
        <v>774</v>
      </c>
      <c r="C9539" s="31" t="s">
        <v>946</v>
      </c>
      <c r="D9539" s="30" t="s">
        <v>3663</v>
      </c>
      <c r="E9539" s="32">
        <v>46123.0</v>
      </c>
      <c r="F9539" s="32">
        <v>46171.0</v>
      </c>
      <c r="G9539" s="33"/>
    </row>
    <row r="9540" ht="15.75" customHeight="1">
      <c r="A9540" s="29" t="s">
        <v>13210</v>
      </c>
      <c r="B9540" s="43" t="s">
        <v>793</v>
      </c>
      <c r="C9540" s="27" t="s">
        <v>946</v>
      </c>
      <c r="D9540" s="26" t="s">
        <v>3663</v>
      </c>
      <c r="E9540" s="28">
        <v>46123.0</v>
      </c>
      <c r="F9540" s="28">
        <v>46171.0</v>
      </c>
      <c r="G9540" s="29"/>
    </row>
    <row r="9541" ht="15.75" customHeight="1">
      <c r="A9541" s="33" t="s">
        <v>13211</v>
      </c>
      <c r="B9541" s="42" t="s">
        <v>802</v>
      </c>
      <c r="C9541" s="31" t="s">
        <v>946</v>
      </c>
      <c r="D9541" s="30" t="s">
        <v>3663</v>
      </c>
      <c r="E9541" s="32">
        <v>46123.0</v>
      </c>
      <c r="F9541" s="32">
        <v>46171.0</v>
      </c>
      <c r="G9541" s="33"/>
    </row>
    <row r="9542" ht="15.75" customHeight="1">
      <c r="A9542" s="29" t="s">
        <v>13212</v>
      </c>
      <c r="B9542" s="43" t="s">
        <v>811</v>
      </c>
      <c r="C9542" s="27" t="s">
        <v>946</v>
      </c>
      <c r="D9542" s="26" t="s">
        <v>3663</v>
      </c>
      <c r="E9542" s="28">
        <v>46123.0</v>
      </c>
      <c r="F9542" s="28">
        <v>46171.0</v>
      </c>
      <c r="G9542" s="29"/>
    </row>
    <row r="9543" ht="15.75" customHeight="1">
      <c r="A9543" s="33" t="s">
        <v>13213</v>
      </c>
      <c r="B9543" s="42" t="s">
        <v>819</v>
      </c>
      <c r="C9543" s="31" t="s">
        <v>946</v>
      </c>
      <c r="D9543" s="30" t="s">
        <v>3663</v>
      </c>
      <c r="E9543" s="32">
        <v>46123.0</v>
      </c>
      <c r="F9543" s="32">
        <v>46171.0</v>
      </c>
      <c r="G9543" s="33"/>
    </row>
    <row r="9544" ht="15.75" customHeight="1">
      <c r="A9544" s="29" t="s">
        <v>13214</v>
      </c>
      <c r="B9544" s="43" t="s">
        <v>186</v>
      </c>
      <c r="C9544" s="27" t="s">
        <v>944</v>
      </c>
      <c r="D9544" s="26" t="s">
        <v>3663</v>
      </c>
      <c r="E9544" s="28">
        <v>46123.0</v>
      </c>
      <c r="F9544" s="28">
        <v>46171.0</v>
      </c>
      <c r="G9544" s="29"/>
    </row>
    <row r="9545" ht="15.75" customHeight="1">
      <c r="A9545" s="33" t="s">
        <v>13215</v>
      </c>
      <c r="B9545" s="42" t="s">
        <v>234</v>
      </c>
      <c r="C9545" s="31" t="s">
        <v>944</v>
      </c>
      <c r="D9545" s="30" t="s">
        <v>3663</v>
      </c>
      <c r="E9545" s="32">
        <v>46123.0</v>
      </c>
      <c r="F9545" s="32">
        <v>46171.0</v>
      </c>
      <c r="G9545" s="33"/>
    </row>
    <row r="9546" ht="15.75" customHeight="1">
      <c r="A9546" s="29" t="s">
        <v>13216</v>
      </c>
      <c r="B9546" s="43" t="s">
        <v>245</v>
      </c>
      <c r="C9546" s="27" t="s">
        <v>944</v>
      </c>
      <c r="D9546" s="26" t="s">
        <v>3663</v>
      </c>
      <c r="E9546" s="28">
        <v>46123.0</v>
      </c>
      <c r="F9546" s="28">
        <v>46171.0</v>
      </c>
      <c r="G9546" s="29"/>
    </row>
    <row r="9547" ht="15.75" customHeight="1">
      <c r="A9547" s="33" t="s">
        <v>13217</v>
      </c>
      <c r="B9547" s="42" t="s">
        <v>315</v>
      </c>
      <c r="C9547" s="31" t="s">
        <v>944</v>
      </c>
      <c r="D9547" s="30" t="s">
        <v>3663</v>
      </c>
      <c r="E9547" s="32">
        <v>46123.0</v>
      </c>
      <c r="F9547" s="32">
        <v>46171.0</v>
      </c>
      <c r="G9547" s="33"/>
    </row>
    <row r="9548" ht="15.75" customHeight="1">
      <c r="A9548" s="29" t="s">
        <v>13218</v>
      </c>
      <c r="B9548" s="43" t="s">
        <v>341</v>
      </c>
      <c r="C9548" s="27" t="s">
        <v>944</v>
      </c>
      <c r="D9548" s="26" t="s">
        <v>3663</v>
      </c>
      <c r="E9548" s="28">
        <v>46123.0</v>
      </c>
      <c r="F9548" s="28">
        <v>46171.0</v>
      </c>
      <c r="G9548" s="29"/>
    </row>
    <row r="9549" ht="15.75" customHeight="1">
      <c r="A9549" s="33" t="s">
        <v>13219</v>
      </c>
      <c r="B9549" s="42" t="s">
        <v>349</v>
      </c>
      <c r="C9549" s="31" t="s">
        <v>944</v>
      </c>
      <c r="D9549" s="30" t="s">
        <v>3663</v>
      </c>
      <c r="E9549" s="32">
        <v>46123.0</v>
      </c>
      <c r="F9549" s="32">
        <v>46171.0</v>
      </c>
      <c r="G9549" s="33"/>
    </row>
    <row r="9550" ht="15.75" customHeight="1">
      <c r="A9550" s="29" t="s">
        <v>13220</v>
      </c>
      <c r="B9550" s="43" t="s">
        <v>361</v>
      </c>
      <c r="C9550" s="27" t="s">
        <v>944</v>
      </c>
      <c r="D9550" s="26" t="s">
        <v>3663</v>
      </c>
      <c r="E9550" s="28">
        <v>46123.0</v>
      </c>
      <c r="F9550" s="28">
        <v>46171.0</v>
      </c>
      <c r="G9550" s="29"/>
    </row>
    <row r="9551" ht="15.75" customHeight="1">
      <c r="A9551" s="33" t="s">
        <v>13221</v>
      </c>
      <c r="B9551" s="42" t="s">
        <v>368</v>
      </c>
      <c r="C9551" s="31" t="s">
        <v>944</v>
      </c>
      <c r="D9551" s="30" t="s">
        <v>3663</v>
      </c>
      <c r="E9551" s="32">
        <v>46123.0</v>
      </c>
      <c r="F9551" s="32">
        <v>46171.0</v>
      </c>
      <c r="G9551" s="33"/>
    </row>
    <row r="9552" ht="15.75" customHeight="1">
      <c r="A9552" s="29" t="s">
        <v>13222</v>
      </c>
      <c r="B9552" s="43" t="s">
        <v>13223</v>
      </c>
      <c r="C9552" s="27" t="s">
        <v>944</v>
      </c>
      <c r="D9552" s="26" t="s">
        <v>3663</v>
      </c>
      <c r="E9552" s="28">
        <v>46123.0</v>
      </c>
      <c r="F9552" s="28">
        <v>46171.0</v>
      </c>
      <c r="G9552" s="29"/>
    </row>
    <row r="9553" ht="15.75" customHeight="1">
      <c r="A9553" s="33" t="s">
        <v>13224</v>
      </c>
      <c r="B9553" s="42" t="s">
        <v>392</v>
      </c>
      <c r="C9553" s="31" t="s">
        <v>944</v>
      </c>
      <c r="D9553" s="30" t="s">
        <v>3663</v>
      </c>
      <c r="E9553" s="32">
        <v>46123.0</v>
      </c>
      <c r="F9553" s="32">
        <v>46171.0</v>
      </c>
      <c r="G9553" s="33"/>
    </row>
    <row r="9554" ht="15.75" customHeight="1">
      <c r="A9554" s="29" t="s">
        <v>13225</v>
      </c>
      <c r="B9554" s="43" t="s">
        <v>409</v>
      </c>
      <c r="C9554" s="27" t="s">
        <v>944</v>
      </c>
      <c r="D9554" s="26" t="s">
        <v>3663</v>
      </c>
      <c r="E9554" s="28">
        <v>46123.0</v>
      </c>
      <c r="F9554" s="28">
        <v>46171.0</v>
      </c>
      <c r="G9554" s="29"/>
    </row>
    <row r="9555" ht="15.75" customHeight="1">
      <c r="A9555" s="33" t="s">
        <v>13226</v>
      </c>
      <c r="B9555" s="42" t="s">
        <v>418</v>
      </c>
      <c r="C9555" s="31" t="s">
        <v>944</v>
      </c>
      <c r="D9555" s="30" t="s">
        <v>3663</v>
      </c>
      <c r="E9555" s="32">
        <v>46123.0</v>
      </c>
      <c r="F9555" s="32">
        <v>46171.0</v>
      </c>
      <c r="G9555" s="33"/>
    </row>
    <row r="9556" ht="15.75" customHeight="1">
      <c r="A9556" s="29" t="s">
        <v>13227</v>
      </c>
      <c r="B9556" s="43" t="s">
        <v>459</v>
      </c>
      <c r="C9556" s="27" t="s">
        <v>944</v>
      </c>
      <c r="D9556" s="26" t="s">
        <v>3663</v>
      </c>
      <c r="E9556" s="28">
        <v>46123.0</v>
      </c>
      <c r="F9556" s="28">
        <v>46171.0</v>
      </c>
      <c r="G9556" s="29"/>
    </row>
    <row r="9557" ht="15.75" customHeight="1">
      <c r="A9557" s="33" t="s">
        <v>13228</v>
      </c>
      <c r="B9557" s="42" t="s">
        <v>13229</v>
      </c>
      <c r="C9557" s="31" t="s">
        <v>944</v>
      </c>
      <c r="D9557" s="30" t="s">
        <v>3663</v>
      </c>
      <c r="E9557" s="32">
        <v>46123.0</v>
      </c>
      <c r="F9557" s="32">
        <v>46171.0</v>
      </c>
      <c r="G9557" s="33"/>
    </row>
    <row r="9558" ht="15.75" customHeight="1">
      <c r="A9558" s="29" t="s">
        <v>13230</v>
      </c>
      <c r="B9558" s="43" t="s">
        <v>13231</v>
      </c>
      <c r="C9558" s="27" t="s">
        <v>944</v>
      </c>
      <c r="D9558" s="26" t="s">
        <v>3663</v>
      </c>
      <c r="E9558" s="28">
        <v>46123.0</v>
      </c>
      <c r="F9558" s="28">
        <v>46171.0</v>
      </c>
      <c r="G9558" s="29"/>
    </row>
    <row r="9559" ht="15.75" customHeight="1">
      <c r="A9559" s="33" t="s">
        <v>13232</v>
      </c>
      <c r="B9559" s="42" t="s">
        <v>538</v>
      </c>
      <c r="C9559" s="31" t="s">
        <v>944</v>
      </c>
      <c r="D9559" s="30" t="s">
        <v>3663</v>
      </c>
      <c r="E9559" s="32">
        <v>46123.0</v>
      </c>
      <c r="F9559" s="32">
        <v>46171.0</v>
      </c>
      <c r="G9559" s="33"/>
    </row>
    <row r="9560" ht="15.75" customHeight="1">
      <c r="A9560" s="29" t="s">
        <v>13233</v>
      </c>
      <c r="B9560" s="43" t="s">
        <v>591</v>
      </c>
      <c r="C9560" s="27" t="s">
        <v>944</v>
      </c>
      <c r="D9560" s="26" t="s">
        <v>3663</v>
      </c>
      <c r="E9560" s="28">
        <v>46123.0</v>
      </c>
      <c r="F9560" s="28">
        <v>46171.0</v>
      </c>
      <c r="G9560" s="29"/>
    </row>
    <row r="9561" ht="15.75" customHeight="1">
      <c r="A9561" s="33" t="s">
        <v>13234</v>
      </c>
      <c r="B9561" s="42" t="s">
        <v>621</v>
      </c>
      <c r="C9561" s="31" t="s">
        <v>944</v>
      </c>
      <c r="D9561" s="30" t="s">
        <v>3663</v>
      </c>
      <c r="E9561" s="32">
        <v>46123.0</v>
      </c>
      <c r="F9561" s="32">
        <v>46171.0</v>
      </c>
      <c r="G9561" s="33"/>
    </row>
    <row r="9562" ht="15.75" customHeight="1">
      <c r="A9562" s="29" t="s">
        <v>13235</v>
      </c>
      <c r="B9562" s="43" t="s">
        <v>13236</v>
      </c>
      <c r="C9562" s="27" t="s">
        <v>944</v>
      </c>
      <c r="D9562" s="26" t="s">
        <v>3663</v>
      </c>
      <c r="E9562" s="28">
        <v>46123.0</v>
      </c>
      <c r="F9562" s="28">
        <v>46171.0</v>
      </c>
      <c r="G9562" s="29"/>
    </row>
    <row r="9563" ht="15.75" customHeight="1">
      <c r="A9563" s="33" t="s">
        <v>13237</v>
      </c>
      <c r="B9563" s="42" t="s">
        <v>637</v>
      </c>
      <c r="C9563" s="31" t="s">
        <v>944</v>
      </c>
      <c r="D9563" s="30" t="s">
        <v>3663</v>
      </c>
      <c r="E9563" s="32">
        <v>46123.0</v>
      </c>
      <c r="F9563" s="32">
        <v>46171.0</v>
      </c>
      <c r="G9563" s="33"/>
    </row>
    <row r="9564" ht="15.75" customHeight="1">
      <c r="A9564" s="29" t="s">
        <v>13238</v>
      </c>
      <c r="B9564" s="43" t="s">
        <v>638</v>
      </c>
      <c r="C9564" s="27" t="s">
        <v>944</v>
      </c>
      <c r="D9564" s="26" t="s">
        <v>3663</v>
      </c>
      <c r="E9564" s="28">
        <v>46123.0</v>
      </c>
      <c r="F9564" s="28">
        <v>46171.0</v>
      </c>
      <c r="G9564" s="29"/>
    </row>
    <row r="9565" ht="15.75" customHeight="1">
      <c r="A9565" s="33" t="s">
        <v>13239</v>
      </c>
      <c r="B9565" s="42" t="s">
        <v>2770</v>
      </c>
      <c r="C9565" s="31" t="s">
        <v>944</v>
      </c>
      <c r="D9565" s="30" t="s">
        <v>3663</v>
      </c>
      <c r="E9565" s="32">
        <v>46123.0</v>
      </c>
      <c r="F9565" s="32">
        <v>46171.0</v>
      </c>
      <c r="G9565" s="33"/>
    </row>
    <row r="9566" ht="15.75" customHeight="1">
      <c r="A9566" s="29" t="s">
        <v>13240</v>
      </c>
      <c r="B9566" s="43" t="s">
        <v>692</v>
      </c>
      <c r="C9566" s="27" t="s">
        <v>944</v>
      </c>
      <c r="D9566" s="26" t="s">
        <v>3663</v>
      </c>
      <c r="E9566" s="28">
        <v>46123.0</v>
      </c>
      <c r="F9566" s="28">
        <v>46171.0</v>
      </c>
      <c r="G9566" s="29"/>
    </row>
    <row r="9567" ht="15.75" customHeight="1">
      <c r="A9567" s="33" t="s">
        <v>13241</v>
      </c>
      <c r="B9567" s="42" t="s">
        <v>703</v>
      </c>
      <c r="C9567" s="31" t="s">
        <v>944</v>
      </c>
      <c r="D9567" s="30" t="s">
        <v>3663</v>
      </c>
      <c r="E9567" s="32">
        <v>46123.0</v>
      </c>
      <c r="F9567" s="32">
        <v>46171.0</v>
      </c>
      <c r="G9567" s="33"/>
    </row>
    <row r="9568" ht="15.75" customHeight="1">
      <c r="A9568" s="29" t="s">
        <v>13242</v>
      </c>
      <c r="B9568" s="43" t="s">
        <v>706</v>
      </c>
      <c r="C9568" s="27" t="s">
        <v>944</v>
      </c>
      <c r="D9568" s="26" t="s">
        <v>3663</v>
      </c>
      <c r="E9568" s="28">
        <v>46123.0</v>
      </c>
      <c r="F9568" s="28">
        <v>46171.0</v>
      </c>
      <c r="G9568" s="29"/>
    </row>
    <row r="9569" ht="15.75" customHeight="1">
      <c r="A9569" s="33" t="s">
        <v>13243</v>
      </c>
      <c r="B9569" s="42" t="s">
        <v>715</v>
      </c>
      <c r="C9569" s="31" t="s">
        <v>944</v>
      </c>
      <c r="D9569" s="30" t="s">
        <v>3663</v>
      </c>
      <c r="E9569" s="32">
        <v>46123.0</v>
      </c>
      <c r="F9569" s="32">
        <v>46171.0</v>
      </c>
      <c r="G9569" s="33"/>
    </row>
    <row r="9570" ht="15.75" customHeight="1">
      <c r="A9570" s="29" t="s">
        <v>13244</v>
      </c>
      <c r="B9570" s="43" t="s">
        <v>725</v>
      </c>
      <c r="C9570" s="27" t="s">
        <v>944</v>
      </c>
      <c r="D9570" s="26" t="s">
        <v>3663</v>
      </c>
      <c r="E9570" s="28">
        <v>46123.0</v>
      </c>
      <c r="F9570" s="28">
        <v>46171.0</v>
      </c>
      <c r="G9570" s="29"/>
    </row>
    <row r="9571" ht="15.75" customHeight="1">
      <c r="A9571" s="33" t="s">
        <v>13245</v>
      </c>
      <c r="B9571" s="42" t="s">
        <v>729</v>
      </c>
      <c r="C9571" s="31" t="s">
        <v>944</v>
      </c>
      <c r="D9571" s="30" t="s">
        <v>3663</v>
      </c>
      <c r="E9571" s="32">
        <v>46123.0</v>
      </c>
      <c r="F9571" s="32">
        <v>46171.0</v>
      </c>
      <c r="G9571" s="33"/>
    </row>
    <row r="9572" ht="15.75" customHeight="1">
      <c r="A9572" s="29" t="s">
        <v>13246</v>
      </c>
      <c r="B9572" s="43" t="s">
        <v>761</v>
      </c>
      <c r="C9572" s="27" t="s">
        <v>944</v>
      </c>
      <c r="D9572" s="26" t="s">
        <v>3663</v>
      </c>
      <c r="E9572" s="28">
        <v>46123.0</v>
      </c>
      <c r="F9572" s="28">
        <v>46171.0</v>
      </c>
      <c r="G9572" s="29"/>
    </row>
    <row r="9573" ht="15.75" customHeight="1">
      <c r="A9573" s="33" t="s">
        <v>13247</v>
      </c>
      <c r="B9573" s="42" t="s">
        <v>1248</v>
      </c>
      <c r="C9573" s="31" t="s">
        <v>944</v>
      </c>
      <c r="D9573" s="30" t="s">
        <v>3663</v>
      </c>
      <c r="E9573" s="32">
        <v>46123.0</v>
      </c>
      <c r="F9573" s="32">
        <v>46171.0</v>
      </c>
      <c r="G9573" s="33"/>
    </row>
    <row r="9574" ht="15.75" customHeight="1">
      <c r="A9574" s="29" t="s">
        <v>13248</v>
      </c>
      <c r="B9574" s="43" t="s">
        <v>785</v>
      </c>
      <c r="C9574" s="27" t="s">
        <v>944</v>
      </c>
      <c r="D9574" s="26" t="s">
        <v>3663</v>
      </c>
      <c r="E9574" s="28">
        <v>46123.0</v>
      </c>
      <c r="F9574" s="28">
        <v>46171.0</v>
      </c>
      <c r="G9574" s="29"/>
    </row>
    <row r="9575" ht="15.75" customHeight="1">
      <c r="A9575" s="33" t="s">
        <v>13249</v>
      </c>
      <c r="B9575" s="42" t="s">
        <v>786</v>
      </c>
      <c r="C9575" s="31" t="s">
        <v>944</v>
      </c>
      <c r="D9575" s="30" t="s">
        <v>3663</v>
      </c>
      <c r="E9575" s="32">
        <v>46123.0</v>
      </c>
      <c r="F9575" s="32">
        <v>46171.0</v>
      </c>
      <c r="G9575" s="33"/>
    </row>
    <row r="9576" ht="15.75" customHeight="1">
      <c r="A9576" s="29" t="s">
        <v>13250</v>
      </c>
      <c r="B9576" s="43" t="s">
        <v>790</v>
      </c>
      <c r="C9576" s="27" t="s">
        <v>944</v>
      </c>
      <c r="D9576" s="26" t="s">
        <v>3663</v>
      </c>
      <c r="E9576" s="28">
        <v>46123.0</v>
      </c>
      <c r="F9576" s="28">
        <v>46171.0</v>
      </c>
      <c r="G9576" s="29"/>
    </row>
    <row r="9577" ht="15.75" customHeight="1">
      <c r="A9577" s="33" t="s">
        <v>13251</v>
      </c>
      <c r="B9577" s="42" t="s">
        <v>804</v>
      </c>
      <c r="C9577" s="31" t="s">
        <v>944</v>
      </c>
      <c r="D9577" s="30" t="s">
        <v>3663</v>
      </c>
      <c r="E9577" s="32">
        <v>46123.0</v>
      </c>
      <c r="F9577" s="32">
        <v>46171.0</v>
      </c>
      <c r="G9577" s="33"/>
    </row>
    <row r="9578" ht="15.75" customHeight="1">
      <c r="A9578" s="29" t="s">
        <v>13252</v>
      </c>
      <c r="B9578" s="43" t="s">
        <v>115</v>
      </c>
      <c r="C9578" s="27" t="s">
        <v>944</v>
      </c>
      <c r="D9578" s="26" t="s">
        <v>3663</v>
      </c>
      <c r="E9578" s="28">
        <v>46123.0</v>
      </c>
      <c r="F9578" s="28">
        <v>46171.0</v>
      </c>
      <c r="G9578" s="29"/>
    </row>
    <row r="9579" ht="15.75" customHeight="1">
      <c r="A9579" s="33" t="s">
        <v>13253</v>
      </c>
      <c r="B9579" s="42" t="s">
        <v>238</v>
      </c>
      <c r="C9579" s="31" t="s">
        <v>944</v>
      </c>
      <c r="D9579" s="30" t="s">
        <v>3663</v>
      </c>
      <c r="E9579" s="32">
        <v>46123.0</v>
      </c>
      <c r="F9579" s="32">
        <v>46171.0</v>
      </c>
      <c r="G9579" s="33"/>
    </row>
    <row r="9580" ht="15.75" customHeight="1">
      <c r="A9580" s="29" t="s">
        <v>13254</v>
      </c>
      <c r="B9580" s="43" t="s">
        <v>239</v>
      </c>
      <c r="C9580" s="27" t="s">
        <v>944</v>
      </c>
      <c r="D9580" s="26" t="s">
        <v>3663</v>
      </c>
      <c r="E9580" s="28">
        <v>46123.0</v>
      </c>
      <c r="F9580" s="28">
        <v>46171.0</v>
      </c>
      <c r="G9580" s="29"/>
    </row>
    <row r="9581" ht="15.75" customHeight="1">
      <c r="A9581" s="33" t="s">
        <v>13255</v>
      </c>
      <c r="B9581" s="42" t="s">
        <v>248</v>
      </c>
      <c r="C9581" s="31" t="s">
        <v>944</v>
      </c>
      <c r="D9581" s="30" t="s">
        <v>3663</v>
      </c>
      <c r="E9581" s="32">
        <v>46123.0</v>
      </c>
      <c r="F9581" s="32">
        <v>46171.0</v>
      </c>
      <c r="G9581" s="33"/>
    </row>
    <row r="9582" ht="15.75" customHeight="1">
      <c r="A9582" s="29" t="s">
        <v>13256</v>
      </c>
      <c r="B9582" s="43" t="s">
        <v>270</v>
      </c>
      <c r="C9582" s="27" t="s">
        <v>944</v>
      </c>
      <c r="D9582" s="26" t="s">
        <v>3663</v>
      </c>
      <c r="E9582" s="28">
        <v>46123.0</v>
      </c>
      <c r="F9582" s="28">
        <v>46171.0</v>
      </c>
      <c r="G9582" s="29"/>
    </row>
    <row r="9583" ht="15.75" customHeight="1">
      <c r="A9583" s="33" t="s">
        <v>13257</v>
      </c>
      <c r="B9583" s="42" t="s">
        <v>273</v>
      </c>
      <c r="C9583" s="31" t="s">
        <v>944</v>
      </c>
      <c r="D9583" s="30" t="s">
        <v>3663</v>
      </c>
      <c r="E9583" s="32">
        <v>46123.0</v>
      </c>
      <c r="F9583" s="32">
        <v>46171.0</v>
      </c>
      <c r="G9583" s="33"/>
    </row>
    <row r="9584" ht="15.75" customHeight="1">
      <c r="A9584" s="29" t="s">
        <v>13258</v>
      </c>
      <c r="B9584" s="43" t="s">
        <v>278</v>
      </c>
      <c r="C9584" s="27" t="s">
        <v>944</v>
      </c>
      <c r="D9584" s="26" t="s">
        <v>3663</v>
      </c>
      <c r="E9584" s="28">
        <v>46123.0</v>
      </c>
      <c r="F9584" s="28">
        <v>46171.0</v>
      </c>
      <c r="G9584" s="29"/>
    </row>
    <row r="9585" ht="15.75" customHeight="1">
      <c r="A9585" s="33" t="s">
        <v>13259</v>
      </c>
      <c r="B9585" s="42" t="s">
        <v>291</v>
      </c>
      <c r="C9585" s="31" t="s">
        <v>944</v>
      </c>
      <c r="D9585" s="30" t="s">
        <v>3663</v>
      </c>
      <c r="E9585" s="32">
        <v>46123.0</v>
      </c>
      <c r="F9585" s="32">
        <v>46171.0</v>
      </c>
      <c r="G9585" s="33"/>
    </row>
    <row r="9586" ht="15.75" customHeight="1">
      <c r="A9586" s="29" t="s">
        <v>13260</v>
      </c>
      <c r="B9586" s="43" t="s">
        <v>305</v>
      </c>
      <c r="C9586" s="27" t="s">
        <v>944</v>
      </c>
      <c r="D9586" s="26" t="s">
        <v>3663</v>
      </c>
      <c r="E9586" s="28">
        <v>46123.0</v>
      </c>
      <c r="F9586" s="28">
        <v>46171.0</v>
      </c>
      <c r="G9586" s="29"/>
    </row>
    <row r="9587" ht="15.75" customHeight="1">
      <c r="A9587" s="33" t="s">
        <v>13261</v>
      </c>
      <c r="B9587" s="42" t="s">
        <v>327</v>
      </c>
      <c r="C9587" s="31" t="s">
        <v>944</v>
      </c>
      <c r="D9587" s="30" t="s">
        <v>3663</v>
      </c>
      <c r="E9587" s="32">
        <v>46123.0</v>
      </c>
      <c r="F9587" s="32">
        <v>46171.0</v>
      </c>
      <c r="G9587" s="33"/>
    </row>
    <row r="9588" ht="15.75" customHeight="1">
      <c r="A9588" s="29" t="s">
        <v>13262</v>
      </c>
      <c r="B9588" s="43" t="s">
        <v>350</v>
      </c>
      <c r="C9588" s="27" t="s">
        <v>944</v>
      </c>
      <c r="D9588" s="26" t="s">
        <v>3663</v>
      </c>
      <c r="E9588" s="28">
        <v>46123.0</v>
      </c>
      <c r="F9588" s="28">
        <v>46171.0</v>
      </c>
      <c r="G9588" s="29"/>
    </row>
    <row r="9589" ht="15.75" customHeight="1">
      <c r="A9589" s="33" t="s">
        <v>13263</v>
      </c>
      <c r="B9589" s="42" t="s">
        <v>354</v>
      </c>
      <c r="C9589" s="31" t="s">
        <v>944</v>
      </c>
      <c r="D9589" s="30" t="s">
        <v>3663</v>
      </c>
      <c r="E9589" s="32">
        <v>46123.0</v>
      </c>
      <c r="F9589" s="32">
        <v>46171.0</v>
      </c>
      <c r="G9589" s="33"/>
    </row>
    <row r="9590" ht="15.75" customHeight="1">
      <c r="A9590" s="29" t="s">
        <v>13264</v>
      </c>
      <c r="B9590" s="43" t="s">
        <v>402</v>
      </c>
      <c r="C9590" s="27" t="s">
        <v>944</v>
      </c>
      <c r="D9590" s="26" t="s">
        <v>3663</v>
      </c>
      <c r="E9590" s="28">
        <v>46123.0</v>
      </c>
      <c r="F9590" s="28">
        <v>46171.0</v>
      </c>
      <c r="G9590" s="29"/>
    </row>
    <row r="9591" ht="15.75" customHeight="1">
      <c r="A9591" s="33" t="s">
        <v>13265</v>
      </c>
      <c r="B9591" s="42" t="s">
        <v>431</v>
      </c>
      <c r="C9591" s="31" t="s">
        <v>944</v>
      </c>
      <c r="D9591" s="30" t="s">
        <v>3663</v>
      </c>
      <c r="E9591" s="32">
        <v>46123.0</v>
      </c>
      <c r="F9591" s="32">
        <v>46171.0</v>
      </c>
      <c r="G9591" s="33"/>
    </row>
    <row r="9592" ht="15.75" customHeight="1">
      <c r="A9592" s="29" t="s">
        <v>13266</v>
      </c>
      <c r="B9592" s="43" t="s">
        <v>433</v>
      </c>
      <c r="C9592" s="27" t="s">
        <v>944</v>
      </c>
      <c r="D9592" s="26" t="s">
        <v>3663</v>
      </c>
      <c r="E9592" s="28">
        <v>46123.0</v>
      </c>
      <c r="F9592" s="28">
        <v>46171.0</v>
      </c>
      <c r="G9592" s="29"/>
    </row>
    <row r="9593" ht="15.75" customHeight="1">
      <c r="A9593" s="33" t="s">
        <v>13267</v>
      </c>
      <c r="B9593" s="42" t="s">
        <v>475</v>
      </c>
      <c r="C9593" s="31" t="s">
        <v>944</v>
      </c>
      <c r="D9593" s="30" t="s">
        <v>3663</v>
      </c>
      <c r="E9593" s="32">
        <v>46123.0</v>
      </c>
      <c r="F9593" s="32">
        <v>46171.0</v>
      </c>
      <c r="G9593" s="33"/>
    </row>
    <row r="9594" ht="15.75" customHeight="1">
      <c r="A9594" s="29" t="s">
        <v>13268</v>
      </c>
      <c r="B9594" s="43" t="s">
        <v>482</v>
      </c>
      <c r="C9594" s="27" t="s">
        <v>944</v>
      </c>
      <c r="D9594" s="26" t="s">
        <v>3663</v>
      </c>
      <c r="E9594" s="28">
        <v>46123.0</v>
      </c>
      <c r="F9594" s="28">
        <v>46171.0</v>
      </c>
      <c r="G9594" s="29"/>
    </row>
    <row r="9595" ht="15.75" customHeight="1">
      <c r="A9595" s="33" t="s">
        <v>13269</v>
      </c>
      <c r="B9595" s="42" t="s">
        <v>552</v>
      </c>
      <c r="C9595" s="31" t="s">
        <v>944</v>
      </c>
      <c r="D9595" s="30" t="s">
        <v>3663</v>
      </c>
      <c r="E9595" s="32">
        <v>46123.0</v>
      </c>
      <c r="F9595" s="32">
        <v>46171.0</v>
      </c>
      <c r="G9595" s="33"/>
    </row>
    <row r="9596" ht="15.75" customHeight="1">
      <c r="A9596" s="29" t="s">
        <v>13270</v>
      </c>
      <c r="B9596" s="43" t="s">
        <v>559</v>
      </c>
      <c r="C9596" s="27" t="s">
        <v>944</v>
      </c>
      <c r="D9596" s="26" t="s">
        <v>3663</v>
      </c>
      <c r="E9596" s="28">
        <v>46123.0</v>
      </c>
      <c r="F9596" s="28">
        <v>46171.0</v>
      </c>
      <c r="G9596" s="29"/>
    </row>
    <row r="9597" ht="15.75" customHeight="1">
      <c r="A9597" s="33" t="s">
        <v>13271</v>
      </c>
      <c r="B9597" s="42" t="s">
        <v>563</v>
      </c>
      <c r="C9597" s="31" t="s">
        <v>944</v>
      </c>
      <c r="D9597" s="30" t="s">
        <v>3663</v>
      </c>
      <c r="E9597" s="32">
        <v>46123.0</v>
      </c>
      <c r="F9597" s="32">
        <v>46171.0</v>
      </c>
      <c r="G9597" s="33"/>
    </row>
    <row r="9598" ht="15.75" customHeight="1">
      <c r="A9598" s="29" t="s">
        <v>13272</v>
      </c>
      <c r="B9598" s="43" t="s">
        <v>565</v>
      </c>
      <c r="C9598" s="27" t="s">
        <v>944</v>
      </c>
      <c r="D9598" s="26" t="s">
        <v>3663</v>
      </c>
      <c r="E9598" s="28">
        <v>46123.0</v>
      </c>
      <c r="F9598" s="28">
        <v>46171.0</v>
      </c>
      <c r="G9598" s="29"/>
    </row>
    <row r="9599" ht="15.75" customHeight="1">
      <c r="A9599" s="33" t="s">
        <v>13273</v>
      </c>
      <c r="B9599" s="42" t="s">
        <v>569</v>
      </c>
      <c r="C9599" s="31" t="s">
        <v>944</v>
      </c>
      <c r="D9599" s="30" t="s">
        <v>3663</v>
      </c>
      <c r="E9599" s="32">
        <v>46123.0</v>
      </c>
      <c r="F9599" s="32">
        <v>46171.0</v>
      </c>
      <c r="G9599" s="33"/>
    </row>
    <row r="9600" ht="15.75" customHeight="1">
      <c r="A9600" s="29" t="s">
        <v>13274</v>
      </c>
      <c r="B9600" s="43" t="s">
        <v>572</v>
      </c>
      <c r="C9600" s="27" t="s">
        <v>944</v>
      </c>
      <c r="D9600" s="26" t="s">
        <v>3663</v>
      </c>
      <c r="E9600" s="28">
        <v>46123.0</v>
      </c>
      <c r="F9600" s="28">
        <v>46171.0</v>
      </c>
      <c r="G9600" s="29"/>
    </row>
    <row r="9601" ht="15.75" customHeight="1">
      <c r="A9601" s="33" t="s">
        <v>13275</v>
      </c>
      <c r="B9601" s="42" t="s">
        <v>595</v>
      </c>
      <c r="C9601" s="31" t="s">
        <v>944</v>
      </c>
      <c r="D9601" s="30" t="s">
        <v>3663</v>
      </c>
      <c r="E9601" s="32">
        <v>46123.0</v>
      </c>
      <c r="F9601" s="32">
        <v>46171.0</v>
      </c>
      <c r="G9601" s="33"/>
    </row>
    <row r="9602" ht="15.75" customHeight="1">
      <c r="A9602" s="29" t="s">
        <v>13276</v>
      </c>
      <c r="B9602" s="43" t="s">
        <v>612</v>
      </c>
      <c r="C9602" s="27" t="s">
        <v>944</v>
      </c>
      <c r="D9602" s="26" t="s">
        <v>3663</v>
      </c>
      <c r="E9602" s="28">
        <v>46123.0</v>
      </c>
      <c r="F9602" s="28">
        <v>46171.0</v>
      </c>
      <c r="G9602" s="29"/>
    </row>
    <row r="9603" ht="15.75" customHeight="1">
      <c r="A9603" s="33" t="s">
        <v>13277</v>
      </c>
      <c r="B9603" s="42" t="s">
        <v>644</v>
      </c>
      <c r="C9603" s="31" t="s">
        <v>944</v>
      </c>
      <c r="D9603" s="30" t="s">
        <v>3663</v>
      </c>
      <c r="E9603" s="32">
        <v>46123.0</v>
      </c>
      <c r="F9603" s="32">
        <v>46171.0</v>
      </c>
      <c r="G9603" s="33"/>
    </row>
    <row r="9604" ht="15.75" customHeight="1">
      <c r="A9604" s="29" t="s">
        <v>13278</v>
      </c>
      <c r="B9604" s="43" t="s">
        <v>647</v>
      </c>
      <c r="C9604" s="27" t="s">
        <v>944</v>
      </c>
      <c r="D9604" s="26" t="s">
        <v>3663</v>
      </c>
      <c r="E9604" s="28">
        <v>46123.0</v>
      </c>
      <c r="F9604" s="28">
        <v>46171.0</v>
      </c>
      <c r="G9604" s="29"/>
    </row>
    <row r="9605" ht="15.75" customHeight="1">
      <c r="A9605" s="33" t="s">
        <v>13279</v>
      </c>
      <c r="B9605" s="42" t="s">
        <v>651</v>
      </c>
      <c r="C9605" s="31" t="s">
        <v>944</v>
      </c>
      <c r="D9605" s="30" t="s">
        <v>3663</v>
      </c>
      <c r="E9605" s="32">
        <v>46123.0</v>
      </c>
      <c r="F9605" s="32">
        <v>46171.0</v>
      </c>
      <c r="G9605" s="33"/>
    </row>
    <row r="9606" ht="15.75" customHeight="1">
      <c r="A9606" s="29" t="s">
        <v>13280</v>
      </c>
      <c r="B9606" s="43" t="s">
        <v>653</v>
      </c>
      <c r="C9606" s="27" t="s">
        <v>944</v>
      </c>
      <c r="D9606" s="26" t="s">
        <v>3663</v>
      </c>
      <c r="E9606" s="28">
        <v>46123.0</v>
      </c>
      <c r="F9606" s="28">
        <v>46171.0</v>
      </c>
      <c r="G9606" s="29"/>
    </row>
    <row r="9607" ht="15.75" customHeight="1">
      <c r="A9607" s="33" t="s">
        <v>13281</v>
      </c>
      <c r="B9607" s="42" t="s">
        <v>657</v>
      </c>
      <c r="C9607" s="31" t="s">
        <v>944</v>
      </c>
      <c r="D9607" s="30" t="s">
        <v>3663</v>
      </c>
      <c r="E9607" s="32">
        <v>46123.0</v>
      </c>
      <c r="F9607" s="32">
        <v>46171.0</v>
      </c>
      <c r="G9607" s="33"/>
    </row>
    <row r="9608" ht="15.75" customHeight="1">
      <c r="A9608" s="29" t="s">
        <v>13282</v>
      </c>
      <c r="B9608" s="43" t="s">
        <v>659</v>
      </c>
      <c r="C9608" s="27" t="s">
        <v>944</v>
      </c>
      <c r="D9608" s="26" t="s">
        <v>3663</v>
      </c>
      <c r="E9608" s="28">
        <v>46123.0</v>
      </c>
      <c r="F9608" s="28">
        <v>46171.0</v>
      </c>
      <c r="G9608" s="29"/>
    </row>
    <row r="9609" ht="15.75" customHeight="1">
      <c r="A9609" s="33" t="s">
        <v>13283</v>
      </c>
      <c r="B9609" s="42" t="s">
        <v>697</v>
      </c>
      <c r="C9609" s="31" t="s">
        <v>944</v>
      </c>
      <c r="D9609" s="30" t="s">
        <v>3663</v>
      </c>
      <c r="E9609" s="32">
        <v>46123.0</v>
      </c>
      <c r="F9609" s="32">
        <v>46171.0</v>
      </c>
      <c r="G9609" s="33"/>
    </row>
    <row r="9610" ht="15.75" customHeight="1">
      <c r="A9610" s="29" t="s">
        <v>13284</v>
      </c>
      <c r="B9610" s="43" t="s">
        <v>700</v>
      </c>
      <c r="C9610" s="27" t="s">
        <v>944</v>
      </c>
      <c r="D9610" s="26" t="s">
        <v>3663</v>
      </c>
      <c r="E9610" s="28">
        <v>46123.0</v>
      </c>
      <c r="F9610" s="28">
        <v>46171.0</v>
      </c>
      <c r="G9610" s="29"/>
    </row>
    <row r="9611" ht="15.75" customHeight="1">
      <c r="A9611" s="33" t="s">
        <v>13285</v>
      </c>
      <c r="B9611" s="42" t="s">
        <v>12941</v>
      </c>
      <c r="C9611" s="31" t="s">
        <v>944</v>
      </c>
      <c r="D9611" s="30" t="s">
        <v>3663</v>
      </c>
      <c r="E9611" s="32">
        <v>46123.0</v>
      </c>
      <c r="F9611" s="32">
        <v>46171.0</v>
      </c>
      <c r="G9611" s="33"/>
    </row>
    <row r="9612" ht="15.75" customHeight="1">
      <c r="A9612" s="29" t="s">
        <v>13286</v>
      </c>
      <c r="B9612" s="43" t="s">
        <v>712</v>
      </c>
      <c r="C9612" s="27" t="s">
        <v>944</v>
      </c>
      <c r="D9612" s="26" t="s">
        <v>3663</v>
      </c>
      <c r="E9612" s="28">
        <v>46123.0</v>
      </c>
      <c r="F9612" s="28">
        <v>46171.0</v>
      </c>
      <c r="G9612" s="29"/>
    </row>
    <row r="9613" ht="15.75" customHeight="1">
      <c r="A9613" s="33" t="s">
        <v>13287</v>
      </c>
      <c r="B9613" s="42" t="s">
        <v>734</v>
      </c>
      <c r="C9613" s="31" t="s">
        <v>944</v>
      </c>
      <c r="D9613" s="30" t="s">
        <v>3663</v>
      </c>
      <c r="E9613" s="32">
        <v>46123.0</v>
      </c>
      <c r="F9613" s="32">
        <v>46171.0</v>
      </c>
      <c r="G9613" s="33"/>
    </row>
    <row r="9614" ht="15.75" customHeight="1">
      <c r="A9614" s="29" t="s">
        <v>13288</v>
      </c>
      <c r="B9614" s="43" t="s">
        <v>741</v>
      </c>
      <c r="C9614" s="27" t="s">
        <v>944</v>
      </c>
      <c r="D9614" s="26" t="s">
        <v>3663</v>
      </c>
      <c r="E9614" s="28">
        <v>46123.0</v>
      </c>
      <c r="F9614" s="28">
        <v>46171.0</v>
      </c>
      <c r="G9614" s="29"/>
    </row>
    <row r="9615" ht="15.75" customHeight="1">
      <c r="A9615" s="33" t="s">
        <v>13289</v>
      </c>
      <c r="B9615" s="42" t="s">
        <v>768</v>
      </c>
      <c r="C9615" s="31" t="s">
        <v>944</v>
      </c>
      <c r="D9615" s="30" t="s">
        <v>3663</v>
      </c>
      <c r="E9615" s="32">
        <v>46123.0</v>
      </c>
      <c r="F9615" s="32">
        <v>46171.0</v>
      </c>
      <c r="G9615" s="33"/>
    </row>
    <row r="9616" ht="15.75" customHeight="1">
      <c r="A9616" s="29" t="s">
        <v>13290</v>
      </c>
      <c r="B9616" s="43" t="s">
        <v>791</v>
      </c>
      <c r="C9616" s="27" t="s">
        <v>944</v>
      </c>
      <c r="D9616" s="26" t="s">
        <v>3663</v>
      </c>
      <c r="E9616" s="28">
        <v>46123.0</v>
      </c>
      <c r="F9616" s="28">
        <v>46171.0</v>
      </c>
      <c r="G9616" s="29"/>
    </row>
    <row r="9617" ht="15.75" customHeight="1">
      <c r="A9617" s="33" t="s">
        <v>13291</v>
      </c>
      <c r="B9617" s="42" t="s">
        <v>805</v>
      </c>
      <c r="C9617" s="31" t="s">
        <v>944</v>
      </c>
      <c r="D9617" s="30" t="s">
        <v>3663</v>
      </c>
      <c r="E9617" s="32">
        <v>46123.0</v>
      </c>
      <c r="F9617" s="32">
        <v>46171.0</v>
      </c>
      <c r="G9617" s="33"/>
    </row>
    <row r="9618" ht="15.75" customHeight="1">
      <c r="A9618" s="29" t="s">
        <v>13292</v>
      </c>
      <c r="B9618" s="43" t="s">
        <v>813</v>
      </c>
      <c r="C9618" s="27" t="s">
        <v>944</v>
      </c>
      <c r="D9618" s="26" t="s">
        <v>3663</v>
      </c>
      <c r="E9618" s="28">
        <v>46123.0</v>
      </c>
      <c r="F9618" s="28">
        <v>46171.0</v>
      </c>
      <c r="G9618" s="29"/>
    </row>
    <row r="9619" ht="15.75" customHeight="1">
      <c r="A9619" s="33" t="s">
        <v>13293</v>
      </c>
      <c r="B9619" s="42" t="s">
        <v>824</v>
      </c>
      <c r="C9619" s="31" t="s">
        <v>944</v>
      </c>
      <c r="D9619" s="30" t="s">
        <v>3663</v>
      </c>
      <c r="E9619" s="32">
        <v>46123.0</v>
      </c>
      <c r="F9619" s="32">
        <v>46171.0</v>
      </c>
      <c r="G9619" s="33"/>
    </row>
    <row r="9620" ht="15.75" customHeight="1">
      <c r="A9620" s="29" t="s">
        <v>13294</v>
      </c>
      <c r="B9620" s="43" t="s">
        <v>130</v>
      </c>
      <c r="C9620" s="27" t="s">
        <v>944</v>
      </c>
      <c r="D9620" s="26" t="s">
        <v>3663</v>
      </c>
      <c r="E9620" s="28">
        <v>46123.0</v>
      </c>
      <c r="F9620" s="28">
        <v>46171.0</v>
      </c>
      <c r="G9620" s="29"/>
    </row>
    <row r="9621" ht="15.75" customHeight="1">
      <c r="A9621" s="33" t="s">
        <v>13295</v>
      </c>
      <c r="B9621" s="42" t="s">
        <v>152</v>
      </c>
      <c r="C9621" s="31" t="s">
        <v>944</v>
      </c>
      <c r="D9621" s="30" t="s">
        <v>3663</v>
      </c>
      <c r="E9621" s="32">
        <v>46123.0</v>
      </c>
      <c r="F9621" s="32">
        <v>46171.0</v>
      </c>
      <c r="G9621" s="33"/>
    </row>
    <row r="9622" ht="15.75" customHeight="1">
      <c r="A9622" s="29" t="s">
        <v>13296</v>
      </c>
      <c r="B9622" s="43" t="s">
        <v>213</v>
      </c>
      <c r="C9622" s="27" t="s">
        <v>944</v>
      </c>
      <c r="D9622" s="26" t="s">
        <v>3663</v>
      </c>
      <c r="E9622" s="28">
        <v>46123.0</v>
      </c>
      <c r="F9622" s="28">
        <v>46171.0</v>
      </c>
      <c r="G9622" s="29"/>
    </row>
    <row r="9623" ht="15.75" customHeight="1">
      <c r="A9623" s="33" t="s">
        <v>13297</v>
      </c>
      <c r="B9623" s="42" t="s">
        <v>247</v>
      </c>
      <c r="C9623" s="31" t="s">
        <v>944</v>
      </c>
      <c r="D9623" s="30" t="s">
        <v>3663</v>
      </c>
      <c r="E9623" s="32">
        <v>46123.0</v>
      </c>
      <c r="F9623" s="32">
        <v>46171.0</v>
      </c>
      <c r="G9623" s="33"/>
    </row>
    <row r="9624" ht="15.75" customHeight="1">
      <c r="A9624" s="29" t="s">
        <v>13298</v>
      </c>
      <c r="B9624" s="43" t="s">
        <v>369</v>
      </c>
      <c r="C9624" s="27" t="s">
        <v>944</v>
      </c>
      <c r="D9624" s="26" t="s">
        <v>3663</v>
      </c>
      <c r="E9624" s="28">
        <v>46123.0</v>
      </c>
      <c r="F9624" s="28">
        <v>46171.0</v>
      </c>
      <c r="G9624" s="29"/>
    </row>
    <row r="9625" ht="15.75" customHeight="1">
      <c r="A9625" s="33" t="s">
        <v>13299</v>
      </c>
      <c r="B9625" s="42" t="s">
        <v>410</v>
      </c>
      <c r="C9625" s="31" t="s">
        <v>944</v>
      </c>
      <c r="D9625" s="30" t="s">
        <v>3663</v>
      </c>
      <c r="E9625" s="32">
        <v>46123.0</v>
      </c>
      <c r="F9625" s="32">
        <v>46171.0</v>
      </c>
      <c r="G9625" s="33"/>
    </row>
    <row r="9626" ht="15.75" customHeight="1">
      <c r="A9626" s="29" t="s">
        <v>13300</v>
      </c>
      <c r="B9626" s="43" t="s">
        <v>424</v>
      </c>
      <c r="C9626" s="27" t="s">
        <v>944</v>
      </c>
      <c r="D9626" s="26" t="s">
        <v>3663</v>
      </c>
      <c r="E9626" s="28">
        <v>46123.0</v>
      </c>
      <c r="F9626" s="28">
        <v>46171.0</v>
      </c>
      <c r="G9626" s="29"/>
    </row>
    <row r="9627" ht="15.75" customHeight="1">
      <c r="A9627" s="33" t="s">
        <v>13301</v>
      </c>
      <c r="B9627" s="42" t="s">
        <v>427</v>
      </c>
      <c r="C9627" s="31" t="s">
        <v>944</v>
      </c>
      <c r="D9627" s="30" t="s">
        <v>3663</v>
      </c>
      <c r="E9627" s="32">
        <v>46123.0</v>
      </c>
      <c r="F9627" s="32">
        <v>46171.0</v>
      </c>
      <c r="G9627" s="33"/>
    </row>
    <row r="9628" ht="15.75" customHeight="1">
      <c r="A9628" s="29" t="s">
        <v>13302</v>
      </c>
      <c r="B9628" s="43" t="s">
        <v>437</v>
      </c>
      <c r="C9628" s="27" t="s">
        <v>944</v>
      </c>
      <c r="D9628" s="26" t="s">
        <v>3663</v>
      </c>
      <c r="E9628" s="28">
        <v>46123.0</v>
      </c>
      <c r="F9628" s="28">
        <v>46171.0</v>
      </c>
      <c r="G9628" s="29"/>
    </row>
    <row r="9629" ht="15.75" customHeight="1">
      <c r="A9629" s="33" t="s">
        <v>13303</v>
      </c>
      <c r="B9629" s="42" t="s">
        <v>453</v>
      </c>
      <c r="C9629" s="31" t="s">
        <v>944</v>
      </c>
      <c r="D9629" s="30" t="s">
        <v>3663</v>
      </c>
      <c r="E9629" s="32">
        <v>46123.0</v>
      </c>
      <c r="F9629" s="32">
        <v>46171.0</v>
      </c>
      <c r="G9629" s="33"/>
    </row>
    <row r="9630" ht="15.75" customHeight="1">
      <c r="A9630" s="29" t="s">
        <v>13304</v>
      </c>
      <c r="B9630" s="43" t="s">
        <v>454</v>
      </c>
      <c r="C9630" s="27" t="s">
        <v>944</v>
      </c>
      <c r="D9630" s="26" t="s">
        <v>3663</v>
      </c>
      <c r="E9630" s="28">
        <v>46123.0</v>
      </c>
      <c r="F9630" s="28">
        <v>46171.0</v>
      </c>
      <c r="G9630" s="29"/>
    </row>
    <row r="9631" ht="15.75" customHeight="1">
      <c r="A9631" s="33" t="s">
        <v>13305</v>
      </c>
      <c r="B9631" s="42" t="s">
        <v>456</v>
      </c>
      <c r="C9631" s="31" t="s">
        <v>944</v>
      </c>
      <c r="D9631" s="30" t="s">
        <v>3663</v>
      </c>
      <c r="E9631" s="32">
        <v>46123.0</v>
      </c>
      <c r="F9631" s="32">
        <v>46171.0</v>
      </c>
      <c r="G9631" s="33"/>
    </row>
    <row r="9632" ht="15.75" customHeight="1">
      <c r="A9632" s="29" t="s">
        <v>13306</v>
      </c>
      <c r="B9632" s="43" t="s">
        <v>461</v>
      </c>
      <c r="C9632" s="27" t="s">
        <v>944</v>
      </c>
      <c r="D9632" s="26" t="s">
        <v>3663</v>
      </c>
      <c r="E9632" s="28">
        <v>46123.0</v>
      </c>
      <c r="F9632" s="28">
        <v>46171.0</v>
      </c>
      <c r="G9632" s="29"/>
    </row>
    <row r="9633" ht="15.75" customHeight="1">
      <c r="A9633" s="33" t="s">
        <v>13307</v>
      </c>
      <c r="B9633" s="42" t="s">
        <v>471</v>
      </c>
      <c r="C9633" s="31" t="s">
        <v>944</v>
      </c>
      <c r="D9633" s="30" t="s">
        <v>3663</v>
      </c>
      <c r="E9633" s="32">
        <v>46123.0</v>
      </c>
      <c r="F9633" s="32">
        <v>46171.0</v>
      </c>
      <c r="G9633" s="33"/>
    </row>
    <row r="9634" ht="15.75" customHeight="1">
      <c r="A9634" s="29" t="s">
        <v>13308</v>
      </c>
      <c r="B9634" s="43" t="s">
        <v>1231</v>
      </c>
      <c r="C9634" s="27" t="s">
        <v>944</v>
      </c>
      <c r="D9634" s="26" t="s">
        <v>3663</v>
      </c>
      <c r="E9634" s="28">
        <v>46123.0</v>
      </c>
      <c r="F9634" s="28">
        <v>46171.0</v>
      </c>
      <c r="G9634" s="29"/>
    </row>
    <row r="9635" ht="15.75" customHeight="1">
      <c r="A9635" s="33" t="s">
        <v>13309</v>
      </c>
      <c r="B9635" s="42" t="s">
        <v>495</v>
      </c>
      <c r="C9635" s="31" t="s">
        <v>944</v>
      </c>
      <c r="D9635" s="30" t="s">
        <v>3663</v>
      </c>
      <c r="E9635" s="32">
        <v>46123.0</v>
      </c>
      <c r="F9635" s="32">
        <v>46171.0</v>
      </c>
      <c r="G9635" s="33"/>
    </row>
    <row r="9636" ht="15.75" customHeight="1">
      <c r="A9636" s="29" t="s">
        <v>13310</v>
      </c>
      <c r="B9636" s="43" t="s">
        <v>517</v>
      </c>
      <c r="C9636" s="27" t="s">
        <v>944</v>
      </c>
      <c r="D9636" s="26" t="s">
        <v>3663</v>
      </c>
      <c r="E9636" s="28">
        <v>46123.0</v>
      </c>
      <c r="F9636" s="28">
        <v>46171.0</v>
      </c>
      <c r="G9636" s="29"/>
    </row>
    <row r="9637" ht="15.75" customHeight="1">
      <c r="A9637" s="33" t="s">
        <v>13311</v>
      </c>
      <c r="B9637" s="42" t="s">
        <v>523</v>
      </c>
      <c r="C9637" s="31" t="s">
        <v>944</v>
      </c>
      <c r="D9637" s="30" t="s">
        <v>3663</v>
      </c>
      <c r="E9637" s="32">
        <v>46123.0</v>
      </c>
      <c r="F9637" s="32">
        <v>46171.0</v>
      </c>
      <c r="G9637" s="33"/>
    </row>
    <row r="9638" ht="15.75" customHeight="1">
      <c r="A9638" s="29" t="s">
        <v>13312</v>
      </c>
      <c r="B9638" s="43" t="s">
        <v>567</v>
      </c>
      <c r="C9638" s="27" t="s">
        <v>944</v>
      </c>
      <c r="D9638" s="26" t="s">
        <v>3663</v>
      </c>
      <c r="E9638" s="28">
        <v>46123.0</v>
      </c>
      <c r="F9638" s="28">
        <v>46171.0</v>
      </c>
      <c r="G9638" s="29"/>
    </row>
    <row r="9639" ht="15.75" customHeight="1">
      <c r="A9639" s="33" t="s">
        <v>13313</v>
      </c>
      <c r="B9639" s="42" t="s">
        <v>582</v>
      </c>
      <c r="C9639" s="31" t="s">
        <v>944</v>
      </c>
      <c r="D9639" s="30" t="s">
        <v>3663</v>
      </c>
      <c r="E9639" s="32">
        <v>46123.0</v>
      </c>
      <c r="F9639" s="32">
        <v>46171.0</v>
      </c>
      <c r="G9639" s="33"/>
    </row>
    <row r="9640" ht="15.75" customHeight="1">
      <c r="A9640" s="29" t="s">
        <v>13314</v>
      </c>
      <c r="B9640" s="43" t="s">
        <v>596</v>
      </c>
      <c r="C9640" s="27" t="s">
        <v>944</v>
      </c>
      <c r="D9640" s="26" t="s">
        <v>3663</v>
      </c>
      <c r="E9640" s="28">
        <v>46123.0</v>
      </c>
      <c r="F9640" s="28">
        <v>46171.0</v>
      </c>
      <c r="G9640" s="29"/>
    </row>
    <row r="9641" ht="15.75" customHeight="1">
      <c r="A9641" s="33" t="s">
        <v>13315</v>
      </c>
      <c r="B9641" s="42" t="s">
        <v>606</v>
      </c>
      <c r="C9641" s="31" t="s">
        <v>944</v>
      </c>
      <c r="D9641" s="30" t="s">
        <v>3663</v>
      </c>
      <c r="E9641" s="32">
        <v>46123.0</v>
      </c>
      <c r="F9641" s="32">
        <v>46171.0</v>
      </c>
      <c r="G9641" s="33"/>
    </row>
    <row r="9642" ht="15.75" customHeight="1">
      <c r="A9642" s="29" t="s">
        <v>13316</v>
      </c>
      <c r="B9642" s="43" t="s">
        <v>630</v>
      </c>
      <c r="C9642" s="27" t="s">
        <v>944</v>
      </c>
      <c r="D9642" s="26" t="s">
        <v>3663</v>
      </c>
      <c r="E9642" s="28">
        <v>46123.0</v>
      </c>
      <c r="F9642" s="28">
        <v>46171.0</v>
      </c>
      <c r="G9642" s="29"/>
    </row>
    <row r="9643" ht="15.75" customHeight="1">
      <c r="A9643" s="33" t="s">
        <v>13317</v>
      </c>
      <c r="B9643" s="42" t="s">
        <v>643</v>
      </c>
      <c r="C9643" s="31" t="s">
        <v>944</v>
      </c>
      <c r="D9643" s="30" t="s">
        <v>3663</v>
      </c>
      <c r="E9643" s="32">
        <v>46123.0</v>
      </c>
      <c r="F9643" s="32">
        <v>46171.0</v>
      </c>
      <c r="G9643" s="33"/>
    </row>
    <row r="9644" ht="15.75" customHeight="1">
      <c r="A9644" s="29" t="s">
        <v>13318</v>
      </c>
      <c r="B9644" s="43" t="s">
        <v>646</v>
      </c>
      <c r="C9644" s="27" t="s">
        <v>944</v>
      </c>
      <c r="D9644" s="26" t="s">
        <v>3663</v>
      </c>
      <c r="E9644" s="28">
        <v>46123.0</v>
      </c>
      <c r="F9644" s="28">
        <v>46171.0</v>
      </c>
      <c r="G9644" s="29"/>
    </row>
    <row r="9645" ht="15.75" customHeight="1">
      <c r="A9645" s="33" t="s">
        <v>13319</v>
      </c>
      <c r="B9645" s="42" t="s">
        <v>656</v>
      </c>
      <c r="C9645" s="31" t="s">
        <v>944</v>
      </c>
      <c r="D9645" s="30" t="s">
        <v>3663</v>
      </c>
      <c r="E9645" s="32">
        <v>46123.0</v>
      </c>
      <c r="F9645" s="32">
        <v>46171.0</v>
      </c>
      <c r="G9645" s="33"/>
    </row>
    <row r="9646" ht="15.75" customHeight="1">
      <c r="A9646" s="29" t="s">
        <v>13320</v>
      </c>
      <c r="B9646" s="43" t="s">
        <v>663</v>
      </c>
      <c r="C9646" s="27" t="s">
        <v>944</v>
      </c>
      <c r="D9646" s="26" t="s">
        <v>3663</v>
      </c>
      <c r="E9646" s="28">
        <v>46123.0</v>
      </c>
      <c r="F9646" s="28">
        <v>46171.0</v>
      </c>
      <c r="G9646" s="29"/>
    </row>
    <row r="9647" ht="15.75" customHeight="1">
      <c r="A9647" s="33" t="s">
        <v>13321</v>
      </c>
      <c r="B9647" s="42" t="s">
        <v>674</v>
      </c>
      <c r="C9647" s="31" t="s">
        <v>944</v>
      </c>
      <c r="D9647" s="30" t="s">
        <v>3663</v>
      </c>
      <c r="E9647" s="32">
        <v>46123.0</v>
      </c>
      <c r="F9647" s="32">
        <v>46171.0</v>
      </c>
      <c r="G9647" s="33"/>
    </row>
    <row r="9648" ht="15.75" customHeight="1">
      <c r="A9648" s="29" t="s">
        <v>13322</v>
      </c>
      <c r="B9648" s="43" t="s">
        <v>705</v>
      </c>
      <c r="C9648" s="27" t="s">
        <v>944</v>
      </c>
      <c r="D9648" s="26" t="s">
        <v>3663</v>
      </c>
      <c r="E9648" s="28">
        <v>46123.0</v>
      </c>
      <c r="F9648" s="28">
        <v>46171.0</v>
      </c>
      <c r="G9648" s="29"/>
    </row>
    <row r="9649" ht="15.75" customHeight="1">
      <c r="A9649" s="33" t="s">
        <v>13323</v>
      </c>
      <c r="B9649" s="42" t="s">
        <v>714</v>
      </c>
      <c r="C9649" s="31" t="s">
        <v>944</v>
      </c>
      <c r="D9649" s="30" t="s">
        <v>3663</v>
      </c>
      <c r="E9649" s="32">
        <v>46123.0</v>
      </c>
      <c r="F9649" s="32">
        <v>46171.0</v>
      </c>
      <c r="G9649" s="33"/>
    </row>
    <row r="9650" ht="15.75" customHeight="1">
      <c r="A9650" s="29" t="s">
        <v>13324</v>
      </c>
      <c r="B9650" s="43" t="s">
        <v>721</v>
      </c>
      <c r="C9650" s="27" t="s">
        <v>944</v>
      </c>
      <c r="D9650" s="26" t="s">
        <v>3663</v>
      </c>
      <c r="E9650" s="28">
        <v>46123.0</v>
      </c>
      <c r="F9650" s="28">
        <v>46171.0</v>
      </c>
      <c r="G9650" s="29"/>
    </row>
    <row r="9651" ht="15.75" customHeight="1">
      <c r="A9651" s="33" t="s">
        <v>13325</v>
      </c>
      <c r="B9651" s="42" t="s">
        <v>740</v>
      </c>
      <c r="C9651" s="31" t="s">
        <v>944</v>
      </c>
      <c r="D9651" s="30" t="s">
        <v>3663</v>
      </c>
      <c r="E9651" s="32">
        <v>46123.0</v>
      </c>
      <c r="F9651" s="32">
        <v>46171.0</v>
      </c>
      <c r="G9651" s="33"/>
    </row>
    <row r="9652" ht="15.75" customHeight="1">
      <c r="A9652" s="29" t="s">
        <v>13326</v>
      </c>
      <c r="B9652" s="43" t="s">
        <v>778</v>
      </c>
      <c r="C9652" s="27" t="s">
        <v>944</v>
      </c>
      <c r="D9652" s="26" t="s">
        <v>3663</v>
      </c>
      <c r="E9652" s="28">
        <v>46123.0</v>
      </c>
      <c r="F9652" s="28">
        <v>46171.0</v>
      </c>
      <c r="G9652" s="29"/>
    </row>
    <row r="9653" ht="15.75" customHeight="1">
      <c r="A9653" s="33" t="s">
        <v>13327</v>
      </c>
      <c r="B9653" s="42" t="s">
        <v>2893</v>
      </c>
      <c r="C9653" s="31" t="s">
        <v>944</v>
      </c>
      <c r="D9653" s="30" t="s">
        <v>3663</v>
      </c>
      <c r="E9653" s="32">
        <v>46123.0</v>
      </c>
      <c r="F9653" s="32">
        <v>46171.0</v>
      </c>
      <c r="G9653" s="33"/>
    </row>
    <row r="9654" ht="15.75" customHeight="1">
      <c r="A9654" s="29" t="s">
        <v>13328</v>
      </c>
      <c r="B9654" s="43" t="s">
        <v>796</v>
      </c>
      <c r="C9654" s="27" t="s">
        <v>944</v>
      </c>
      <c r="D9654" s="26" t="s">
        <v>3663</v>
      </c>
      <c r="E9654" s="28">
        <v>46123.0</v>
      </c>
      <c r="F9654" s="28">
        <v>46171.0</v>
      </c>
      <c r="G9654" s="29"/>
    </row>
    <row r="9655" ht="15.75" customHeight="1">
      <c r="A9655" s="33" t="s">
        <v>13329</v>
      </c>
      <c r="B9655" s="42" t="s">
        <v>798</v>
      </c>
      <c r="C9655" s="31" t="s">
        <v>944</v>
      </c>
      <c r="D9655" s="30" t="s">
        <v>3663</v>
      </c>
      <c r="E9655" s="32">
        <v>46123.0</v>
      </c>
      <c r="F9655" s="32">
        <v>46171.0</v>
      </c>
      <c r="G9655" s="33"/>
    </row>
    <row r="9656" ht="15.75" customHeight="1">
      <c r="A9656" s="29" t="s">
        <v>13330</v>
      </c>
      <c r="B9656" s="43" t="s">
        <v>807</v>
      </c>
      <c r="C9656" s="27" t="s">
        <v>944</v>
      </c>
      <c r="D9656" s="26" t="s">
        <v>3663</v>
      </c>
      <c r="E9656" s="28">
        <v>46123.0</v>
      </c>
      <c r="F9656" s="28">
        <v>46171.0</v>
      </c>
      <c r="G9656" s="29"/>
    </row>
    <row r="9657" ht="15.75" customHeight="1">
      <c r="A9657" s="33" t="s">
        <v>13331</v>
      </c>
      <c r="B9657" s="42" t="s">
        <v>812</v>
      </c>
      <c r="C9657" s="31" t="s">
        <v>944</v>
      </c>
      <c r="D9657" s="30" t="s">
        <v>3663</v>
      </c>
      <c r="E9657" s="32">
        <v>46123.0</v>
      </c>
      <c r="F9657" s="32">
        <v>46171.0</v>
      </c>
      <c r="G9657" s="33"/>
    </row>
    <row r="9658" ht="15.75" customHeight="1">
      <c r="A9658" s="29" t="s">
        <v>13332</v>
      </c>
      <c r="B9658" s="43" t="s">
        <v>815</v>
      </c>
      <c r="C9658" s="27" t="s">
        <v>944</v>
      </c>
      <c r="D9658" s="26" t="s">
        <v>3663</v>
      </c>
      <c r="E9658" s="28">
        <v>46123.0</v>
      </c>
      <c r="F9658" s="28">
        <v>46171.0</v>
      </c>
      <c r="G9658" s="29"/>
    </row>
    <row r="9659" ht="15.75" customHeight="1">
      <c r="A9659" s="33" t="s">
        <v>13333</v>
      </c>
      <c r="B9659" s="42" t="s">
        <v>821</v>
      </c>
      <c r="C9659" s="31" t="s">
        <v>944</v>
      </c>
      <c r="D9659" s="30" t="s">
        <v>3663</v>
      </c>
      <c r="E9659" s="32">
        <v>46123.0</v>
      </c>
      <c r="F9659" s="32">
        <v>46171.0</v>
      </c>
      <c r="G9659" s="33"/>
    </row>
    <row r="9660" ht="15.75" customHeight="1">
      <c r="A9660" s="29" t="s">
        <v>13334</v>
      </c>
      <c r="B9660" s="43" t="s">
        <v>823</v>
      </c>
      <c r="C9660" s="27" t="s">
        <v>944</v>
      </c>
      <c r="D9660" s="26" t="s">
        <v>3663</v>
      </c>
      <c r="E9660" s="28">
        <v>46123.0</v>
      </c>
      <c r="F9660" s="28">
        <v>46171.0</v>
      </c>
      <c r="G9660" s="29"/>
    </row>
    <row r="9661" ht="15.75" customHeight="1">
      <c r="A9661" s="33" t="s">
        <v>13335</v>
      </c>
      <c r="B9661" s="42" t="s">
        <v>103</v>
      </c>
      <c r="C9661" s="31" t="s">
        <v>948</v>
      </c>
      <c r="D9661" s="30" t="s">
        <v>3663</v>
      </c>
      <c r="E9661" s="32">
        <v>46123.0</v>
      </c>
      <c r="F9661" s="32">
        <v>46171.0</v>
      </c>
      <c r="G9661" s="33"/>
    </row>
    <row r="9662" ht="15.75" customHeight="1">
      <c r="A9662" s="29" t="s">
        <v>13336</v>
      </c>
      <c r="B9662" s="43" t="s">
        <v>108</v>
      </c>
      <c r="C9662" s="27" t="s">
        <v>948</v>
      </c>
      <c r="D9662" s="26" t="s">
        <v>3663</v>
      </c>
      <c r="E9662" s="28">
        <v>46123.0</v>
      </c>
      <c r="F9662" s="28">
        <v>46171.0</v>
      </c>
      <c r="G9662" s="29"/>
    </row>
    <row r="9663" ht="15.75" customHeight="1">
      <c r="A9663" s="33" t="s">
        <v>13337</v>
      </c>
      <c r="B9663" s="42" t="s">
        <v>210</v>
      </c>
      <c r="C9663" s="31" t="s">
        <v>948</v>
      </c>
      <c r="D9663" s="30" t="s">
        <v>3663</v>
      </c>
      <c r="E9663" s="32">
        <v>46123.0</v>
      </c>
      <c r="F9663" s="32">
        <v>46171.0</v>
      </c>
      <c r="G9663" s="33"/>
    </row>
    <row r="9664" ht="15.75" customHeight="1">
      <c r="A9664" s="29" t="s">
        <v>13338</v>
      </c>
      <c r="B9664" s="43" t="s">
        <v>219</v>
      </c>
      <c r="C9664" s="27" t="s">
        <v>948</v>
      </c>
      <c r="D9664" s="26" t="s">
        <v>3663</v>
      </c>
      <c r="E9664" s="28">
        <v>46123.0</v>
      </c>
      <c r="F9664" s="28">
        <v>46171.0</v>
      </c>
      <c r="G9664" s="29"/>
    </row>
    <row r="9665" ht="15.75" customHeight="1">
      <c r="A9665" s="33" t="s">
        <v>13339</v>
      </c>
      <c r="B9665" s="42" t="s">
        <v>230</v>
      </c>
      <c r="C9665" s="31" t="s">
        <v>948</v>
      </c>
      <c r="D9665" s="30" t="s">
        <v>3663</v>
      </c>
      <c r="E9665" s="32">
        <v>46123.0</v>
      </c>
      <c r="F9665" s="32">
        <v>46171.0</v>
      </c>
      <c r="G9665" s="33"/>
    </row>
    <row r="9666" ht="15.75" customHeight="1">
      <c r="A9666" s="29" t="s">
        <v>13340</v>
      </c>
      <c r="B9666" s="43" t="s">
        <v>259</v>
      </c>
      <c r="C9666" s="27" t="s">
        <v>948</v>
      </c>
      <c r="D9666" s="26" t="s">
        <v>3663</v>
      </c>
      <c r="E9666" s="28">
        <v>46123.0</v>
      </c>
      <c r="F9666" s="28">
        <v>46171.0</v>
      </c>
      <c r="G9666" s="29"/>
    </row>
    <row r="9667" ht="15.75" customHeight="1">
      <c r="A9667" s="33" t="s">
        <v>13341</v>
      </c>
      <c r="B9667" s="42" t="s">
        <v>2365</v>
      </c>
      <c r="C9667" s="31" t="s">
        <v>948</v>
      </c>
      <c r="D9667" s="30" t="s">
        <v>3663</v>
      </c>
      <c r="E9667" s="32">
        <v>46123.0</v>
      </c>
      <c r="F9667" s="32">
        <v>46171.0</v>
      </c>
      <c r="G9667" s="33"/>
    </row>
    <row r="9668" ht="15.75" customHeight="1">
      <c r="A9668" s="29" t="s">
        <v>13342</v>
      </c>
      <c r="B9668" s="43" t="s">
        <v>279</v>
      </c>
      <c r="C9668" s="27" t="s">
        <v>948</v>
      </c>
      <c r="D9668" s="26" t="s">
        <v>3663</v>
      </c>
      <c r="E9668" s="28">
        <v>46123.0</v>
      </c>
      <c r="F9668" s="28">
        <v>46171.0</v>
      </c>
      <c r="G9668" s="29"/>
    </row>
    <row r="9669" ht="15.75" customHeight="1">
      <c r="A9669" s="33" t="s">
        <v>13343</v>
      </c>
      <c r="B9669" s="42" t="s">
        <v>280</v>
      </c>
      <c r="C9669" s="31" t="s">
        <v>948</v>
      </c>
      <c r="D9669" s="30" t="s">
        <v>3663</v>
      </c>
      <c r="E9669" s="32">
        <v>46123.0</v>
      </c>
      <c r="F9669" s="32">
        <v>46171.0</v>
      </c>
      <c r="G9669" s="33"/>
    </row>
    <row r="9670" ht="15.75" customHeight="1">
      <c r="A9670" s="29" t="s">
        <v>13344</v>
      </c>
      <c r="B9670" s="43" t="s">
        <v>303</v>
      </c>
      <c r="C9670" s="27" t="s">
        <v>948</v>
      </c>
      <c r="D9670" s="26" t="s">
        <v>3663</v>
      </c>
      <c r="E9670" s="28">
        <v>46123.0</v>
      </c>
      <c r="F9670" s="28">
        <v>46171.0</v>
      </c>
      <c r="G9670" s="29"/>
    </row>
    <row r="9671" ht="15.75" customHeight="1">
      <c r="A9671" s="33" t="s">
        <v>13345</v>
      </c>
      <c r="B9671" s="42" t="s">
        <v>310</v>
      </c>
      <c r="C9671" s="31" t="s">
        <v>948</v>
      </c>
      <c r="D9671" s="30" t="s">
        <v>3663</v>
      </c>
      <c r="E9671" s="32">
        <v>46123.0</v>
      </c>
      <c r="F9671" s="32">
        <v>46171.0</v>
      </c>
      <c r="G9671" s="33"/>
    </row>
    <row r="9672" ht="15.75" customHeight="1">
      <c r="A9672" s="29" t="s">
        <v>13346</v>
      </c>
      <c r="B9672" s="43" t="s">
        <v>312</v>
      </c>
      <c r="C9672" s="27" t="s">
        <v>948</v>
      </c>
      <c r="D9672" s="26" t="s">
        <v>3663</v>
      </c>
      <c r="E9672" s="28">
        <v>46123.0</v>
      </c>
      <c r="F9672" s="28">
        <v>46171.0</v>
      </c>
      <c r="G9672" s="29"/>
    </row>
    <row r="9673" ht="15.75" customHeight="1">
      <c r="A9673" s="33" t="s">
        <v>13347</v>
      </c>
      <c r="B9673" s="42" t="s">
        <v>313</v>
      </c>
      <c r="C9673" s="31" t="s">
        <v>948</v>
      </c>
      <c r="D9673" s="30" t="s">
        <v>3663</v>
      </c>
      <c r="E9673" s="32">
        <v>46123.0</v>
      </c>
      <c r="F9673" s="32">
        <v>46171.0</v>
      </c>
      <c r="G9673" s="33"/>
    </row>
    <row r="9674" ht="15.75" customHeight="1">
      <c r="A9674" s="29" t="s">
        <v>13348</v>
      </c>
      <c r="B9674" s="43" t="s">
        <v>323</v>
      </c>
      <c r="C9674" s="27" t="s">
        <v>948</v>
      </c>
      <c r="D9674" s="26" t="s">
        <v>3663</v>
      </c>
      <c r="E9674" s="28">
        <v>46123.0</v>
      </c>
      <c r="F9674" s="28">
        <v>46171.0</v>
      </c>
      <c r="G9674" s="29"/>
    </row>
    <row r="9675" ht="15.75" customHeight="1">
      <c r="A9675" s="33" t="s">
        <v>13349</v>
      </c>
      <c r="B9675" s="42" t="s">
        <v>335</v>
      </c>
      <c r="C9675" s="31" t="s">
        <v>948</v>
      </c>
      <c r="D9675" s="30" t="s">
        <v>3663</v>
      </c>
      <c r="E9675" s="32">
        <v>46123.0</v>
      </c>
      <c r="F9675" s="32">
        <v>46171.0</v>
      </c>
      <c r="G9675" s="33"/>
    </row>
    <row r="9676" ht="15.75" customHeight="1">
      <c r="A9676" s="29" t="s">
        <v>13350</v>
      </c>
      <c r="B9676" s="43" t="s">
        <v>348</v>
      </c>
      <c r="C9676" s="27" t="s">
        <v>948</v>
      </c>
      <c r="D9676" s="26" t="s">
        <v>3663</v>
      </c>
      <c r="E9676" s="28">
        <v>46123.0</v>
      </c>
      <c r="F9676" s="28">
        <v>46171.0</v>
      </c>
      <c r="G9676" s="29"/>
    </row>
    <row r="9677" ht="15.75" customHeight="1">
      <c r="A9677" s="33" t="s">
        <v>13351</v>
      </c>
      <c r="B9677" s="42" t="s">
        <v>385</v>
      </c>
      <c r="C9677" s="31" t="s">
        <v>948</v>
      </c>
      <c r="D9677" s="30" t="s">
        <v>3663</v>
      </c>
      <c r="E9677" s="32">
        <v>46123.0</v>
      </c>
      <c r="F9677" s="32">
        <v>46171.0</v>
      </c>
      <c r="G9677" s="33"/>
    </row>
    <row r="9678" ht="15.75" customHeight="1">
      <c r="A9678" s="29" t="s">
        <v>13352</v>
      </c>
      <c r="B9678" s="43" t="s">
        <v>393</v>
      </c>
      <c r="C9678" s="27" t="s">
        <v>948</v>
      </c>
      <c r="D9678" s="26" t="s">
        <v>3663</v>
      </c>
      <c r="E9678" s="28">
        <v>46123.0</v>
      </c>
      <c r="F9678" s="28">
        <v>46171.0</v>
      </c>
      <c r="G9678" s="29"/>
    </row>
    <row r="9679" ht="15.75" customHeight="1">
      <c r="A9679" s="33" t="s">
        <v>13353</v>
      </c>
      <c r="B9679" s="42" t="s">
        <v>425</v>
      </c>
      <c r="C9679" s="31" t="s">
        <v>948</v>
      </c>
      <c r="D9679" s="30" t="s">
        <v>3663</v>
      </c>
      <c r="E9679" s="32">
        <v>46123.0</v>
      </c>
      <c r="F9679" s="32">
        <v>46171.0</v>
      </c>
      <c r="G9679" s="33"/>
    </row>
    <row r="9680" ht="15.75" customHeight="1">
      <c r="A9680" s="29" t="s">
        <v>13354</v>
      </c>
      <c r="B9680" s="43" t="s">
        <v>434</v>
      </c>
      <c r="C9680" s="27" t="s">
        <v>948</v>
      </c>
      <c r="D9680" s="26" t="s">
        <v>3663</v>
      </c>
      <c r="E9680" s="28">
        <v>46123.0</v>
      </c>
      <c r="F9680" s="28">
        <v>46171.0</v>
      </c>
      <c r="G9680" s="29"/>
    </row>
    <row r="9681" ht="15.75" customHeight="1">
      <c r="A9681" s="33" t="s">
        <v>13355</v>
      </c>
      <c r="B9681" s="42" t="s">
        <v>470</v>
      </c>
      <c r="C9681" s="31" t="s">
        <v>948</v>
      </c>
      <c r="D9681" s="30" t="s">
        <v>3663</v>
      </c>
      <c r="E9681" s="32">
        <v>46123.0</v>
      </c>
      <c r="F9681" s="32">
        <v>46171.0</v>
      </c>
      <c r="G9681" s="33"/>
    </row>
    <row r="9682" ht="15.75" customHeight="1">
      <c r="A9682" s="29" t="s">
        <v>13356</v>
      </c>
      <c r="B9682" s="43" t="s">
        <v>478</v>
      </c>
      <c r="C9682" s="27" t="s">
        <v>948</v>
      </c>
      <c r="D9682" s="26" t="s">
        <v>3663</v>
      </c>
      <c r="E9682" s="28">
        <v>46123.0</v>
      </c>
      <c r="F9682" s="28">
        <v>46171.0</v>
      </c>
      <c r="G9682" s="29"/>
    </row>
    <row r="9683" ht="15.75" customHeight="1">
      <c r="A9683" s="33" t="s">
        <v>13357</v>
      </c>
      <c r="B9683" s="42" t="s">
        <v>487</v>
      </c>
      <c r="C9683" s="31" t="s">
        <v>948</v>
      </c>
      <c r="D9683" s="30" t="s">
        <v>3663</v>
      </c>
      <c r="E9683" s="32">
        <v>46123.0</v>
      </c>
      <c r="F9683" s="32">
        <v>46171.0</v>
      </c>
      <c r="G9683" s="33"/>
    </row>
    <row r="9684" ht="15.75" customHeight="1">
      <c r="A9684" s="29" t="s">
        <v>13358</v>
      </c>
      <c r="B9684" s="43" t="s">
        <v>490</v>
      </c>
      <c r="C9684" s="27" t="s">
        <v>948</v>
      </c>
      <c r="D9684" s="26" t="s">
        <v>3663</v>
      </c>
      <c r="E9684" s="28">
        <v>46123.0</v>
      </c>
      <c r="F9684" s="28">
        <v>46171.0</v>
      </c>
      <c r="G9684" s="29"/>
    </row>
    <row r="9685" ht="15.75" customHeight="1">
      <c r="A9685" s="33" t="s">
        <v>13359</v>
      </c>
      <c r="B9685" s="42" t="s">
        <v>494</v>
      </c>
      <c r="C9685" s="31" t="s">
        <v>948</v>
      </c>
      <c r="D9685" s="30" t="s">
        <v>3663</v>
      </c>
      <c r="E9685" s="32">
        <v>46123.0</v>
      </c>
      <c r="F9685" s="32">
        <v>46171.0</v>
      </c>
      <c r="G9685" s="33"/>
    </row>
    <row r="9686" ht="15.75" customHeight="1">
      <c r="A9686" s="29" t="s">
        <v>13360</v>
      </c>
      <c r="B9686" s="43" t="s">
        <v>503</v>
      </c>
      <c r="C9686" s="27" t="s">
        <v>948</v>
      </c>
      <c r="D9686" s="26" t="s">
        <v>3663</v>
      </c>
      <c r="E9686" s="28">
        <v>46123.0</v>
      </c>
      <c r="F9686" s="28">
        <v>46171.0</v>
      </c>
      <c r="G9686" s="29"/>
    </row>
    <row r="9687" ht="15.75" customHeight="1">
      <c r="A9687" s="33" t="s">
        <v>13361</v>
      </c>
      <c r="B9687" s="42" t="s">
        <v>508</v>
      </c>
      <c r="C9687" s="31" t="s">
        <v>948</v>
      </c>
      <c r="D9687" s="30" t="s">
        <v>3663</v>
      </c>
      <c r="E9687" s="32">
        <v>46123.0</v>
      </c>
      <c r="F9687" s="32">
        <v>46171.0</v>
      </c>
      <c r="G9687" s="33"/>
    </row>
    <row r="9688" ht="15.75" customHeight="1">
      <c r="A9688" s="29" t="s">
        <v>13362</v>
      </c>
      <c r="B9688" s="43" t="s">
        <v>512</v>
      </c>
      <c r="C9688" s="27" t="s">
        <v>948</v>
      </c>
      <c r="D9688" s="26" t="s">
        <v>3663</v>
      </c>
      <c r="E9688" s="28">
        <v>46123.0</v>
      </c>
      <c r="F9688" s="28">
        <v>46171.0</v>
      </c>
      <c r="G9688" s="29"/>
    </row>
    <row r="9689" ht="15.75" customHeight="1">
      <c r="A9689" s="33" t="s">
        <v>13363</v>
      </c>
      <c r="B9689" s="42" t="s">
        <v>525</v>
      </c>
      <c r="C9689" s="31" t="s">
        <v>948</v>
      </c>
      <c r="D9689" s="30" t="s">
        <v>3663</v>
      </c>
      <c r="E9689" s="32">
        <v>46123.0</v>
      </c>
      <c r="F9689" s="32">
        <v>46171.0</v>
      </c>
      <c r="G9689" s="33"/>
    </row>
    <row r="9690" ht="15.75" customHeight="1">
      <c r="A9690" s="29" t="s">
        <v>13364</v>
      </c>
      <c r="B9690" s="43" t="s">
        <v>577</v>
      </c>
      <c r="C9690" s="27" t="s">
        <v>948</v>
      </c>
      <c r="D9690" s="26" t="s">
        <v>3663</v>
      </c>
      <c r="E9690" s="28">
        <v>46123.0</v>
      </c>
      <c r="F9690" s="28">
        <v>46171.0</v>
      </c>
      <c r="G9690" s="29"/>
    </row>
    <row r="9691" ht="15.75" customHeight="1">
      <c r="A9691" s="33" t="s">
        <v>13365</v>
      </c>
      <c r="B9691" s="42" t="s">
        <v>648</v>
      </c>
      <c r="C9691" s="31" t="s">
        <v>948</v>
      </c>
      <c r="D9691" s="30" t="s">
        <v>3663</v>
      </c>
      <c r="E9691" s="32">
        <v>46123.0</v>
      </c>
      <c r="F9691" s="32">
        <v>46171.0</v>
      </c>
      <c r="G9691" s="33"/>
    </row>
    <row r="9692" ht="15.75" customHeight="1">
      <c r="A9692" s="29" t="s">
        <v>13366</v>
      </c>
      <c r="B9692" s="43" t="s">
        <v>667</v>
      </c>
      <c r="C9692" s="27" t="s">
        <v>948</v>
      </c>
      <c r="D9692" s="26" t="s">
        <v>3663</v>
      </c>
      <c r="E9692" s="28">
        <v>46123.0</v>
      </c>
      <c r="F9692" s="28">
        <v>46171.0</v>
      </c>
      <c r="G9692" s="29"/>
    </row>
    <row r="9693" ht="15.75" customHeight="1">
      <c r="A9693" s="33" t="s">
        <v>13367</v>
      </c>
      <c r="B9693" s="42" t="s">
        <v>682</v>
      </c>
      <c r="C9693" s="31" t="s">
        <v>948</v>
      </c>
      <c r="D9693" s="30" t="s">
        <v>3663</v>
      </c>
      <c r="E9693" s="32">
        <v>46123.0</v>
      </c>
      <c r="F9693" s="32">
        <v>46171.0</v>
      </c>
      <c r="G9693" s="33"/>
    </row>
    <row r="9694" ht="15.75" customHeight="1">
      <c r="A9694" s="29" t="s">
        <v>13368</v>
      </c>
      <c r="B9694" s="43" t="s">
        <v>683</v>
      </c>
      <c r="C9694" s="27" t="s">
        <v>948</v>
      </c>
      <c r="D9694" s="26" t="s">
        <v>3663</v>
      </c>
      <c r="E9694" s="28">
        <v>46123.0</v>
      </c>
      <c r="F9694" s="28">
        <v>46171.0</v>
      </c>
      <c r="G9694" s="29"/>
    </row>
    <row r="9695" ht="15.75" customHeight="1">
      <c r="A9695" s="33" t="s">
        <v>13369</v>
      </c>
      <c r="B9695" s="42" t="s">
        <v>684</v>
      </c>
      <c r="C9695" s="31" t="s">
        <v>948</v>
      </c>
      <c r="D9695" s="30" t="s">
        <v>3663</v>
      </c>
      <c r="E9695" s="32">
        <v>46123.0</v>
      </c>
      <c r="F9695" s="32">
        <v>46171.0</v>
      </c>
      <c r="G9695" s="33"/>
    </row>
    <row r="9696" ht="15.75" customHeight="1">
      <c r="A9696" s="29" t="s">
        <v>13370</v>
      </c>
      <c r="B9696" s="43" t="s">
        <v>717</v>
      </c>
      <c r="C9696" s="27" t="s">
        <v>948</v>
      </c>
      <c r="D9696" s="26" t="s">
        <v>3663</v>
      </c>
      <c r="E9696" s="28">
        <v>46123.0</v>
      </c>
      <c r="F9696" s="28">
        <v>46171.0</v>
      </c>
      <c r="G9696" s="29"/>
    </row>
    <row r="9697" ht="15.75" customHeight="1">
      <c r="A9697" s="33" t="s">
        <v>13371</v>
      </c>
      <c r="B9697" s="42" t="s">
        <v>720</v>
      </c>
      <c r="C9697" s="31" t="s">
        <v>948</v>
      </c>
      <c r="D9697" s="30" t="s">
        <v>3663</v>
      </c>
      <c r="E9697" s="32">
        <v>46123.0</v>
      </c>
      <c r="F9697" s="32">
        <v>46171.0</v>
      </c>
      <c r="G9697" s="33"/>
    </row>
    <row r="9698" ht="15.75" customHeight="1">
      <c r="A9698" s="29" t="s">
        <v>13372</v>
      </c>
      <c r="B9698" s="43" t="s">
        <v>722</v>
      </c>
      <c r="C9698" s="27" t="s">
        <v>948</v>
      </c>
      <c r="D9698" s="26" t="s">
        <v>3663</v>
      </c>
      <c r="E9698" s="28">
        <v>46123.0</v>
      </c>
      <c r="F9698" s="28">
        <v>46171.0</v>
      </c>
      <c r="G9698" s="29"/>
    </row>
    <row r="9699" ht="15.75" customHeight="1">
      <c r="A9699" s="33" t="s">
        <v>13373</v>
      </c>
      <c r="B9699" s="42" t="s">
        <v>733</v>
      </c>
      <c r="C9699" s="31" t="s">
        <v>948</v>
      </c>
      <c r="D9699" s="30" t="s">
        <v>3663</v>
      </c>
      <c r="E9699" s="32">
        <v>46123.0</v>
      </c>
      <c r="F9699" s="32">
        <v>46171.0</v>
      </c>
      <c r="G9699" s="33"/>
    </row>
    <row r="9700" ht="15.75" customHeight="1">
      <c r="A9700" s="29" t="s">
        <v>13374</v>
      </c>
      <c r="B9700" s="43" t="s">
        <v>765</v>
      </c>
      <c r="C9700" s="27" t="s">
        <v>948</v>
      </c>
      <c r="D9700" s="26" t="s">
        <v>3663</v>
      </c>
      <c r="E9700" s="28">
        <v>46123.0</v>
      </c>
      <c r="F9700" s="28">
        <v>46171.0</v>
      </c>
      <c r="G9700" s="29"/>
    </row>
    <row r="9701" ht="15.75" customHeight="1">
      <c r="A9701" s="33" t="s">
        <v>13375</v>
      </c>
      <c r="B9701" s="42" t="s">
        <v>779</v>
      </c>
      <c r="C9701" s="31" t="s">
        <v>948</v>
      </c>
      <c r="D9701" s="30" t="s">
        <v>3663</v>
      </c>
      <c r="E9701" s="32">
        <v>46123.0</v>
      </c>
      <c r="F9701" s="32">
        <v>46171.0</v>
      </c>
      <c r="G9701" s="33"/>
    </row>
    <row r="9702" ht="15.75" customHeight="1">
      <c r="A9702" s="29" t="s">
        <v>13376</v>
      </c>
      <c r="B9702" s="43" t="s">
        <v>797</v>
      </c>
      <c r="C9702" s="27" t="s">
        <v>948</v>
      </c>
      <c r="D9702" s="26" t="s">
        <v>3663</v>
      </c>
      <c r="E9702" s="28">
        <v>46123.0</v>
      </c>
      <c r="F9702" s="28">
        <v>46171.0</v>
      </c>
      <c r="G9702" s="29"/>
    </row>
    <row r="9703" ht="15.75" customHeight="1">
      <c r="A9703" s="33" t="s">
        <v>13377</v>
      </c>
      <c r="B9703" s="42" t="s">
        <v>12965</v>
      </c>
      <c r="C9703" s="31" t="s">
        <v>948</v>
      </c>
      <c r="D9703" s="30" t="s">
        <v>3663</v>
      </c>
      <c r="E9703" s="32">
        <v>46123.0</v>
      </c>
      <c r="F9703" s="32">
        <v>46171.0</v>
      </c>
      <c r="G9703" s="33"/>
    </row>
    <row r="9704" ht="15.75" customHeight="1">
      <c r="A9704" s="29" t="s">
        <v>13378</v>
      </c>
      <c r="B9704" s="43" t="s">
        <v>160</v>
      </c>
      <c r="C9704" s="27" t="s">
        <v>948</v>
      </c>
      <c r="D9704" s="26" t="s">
        <v>3663</v>
      </c>
      <c r="E9704" s="28">
        <v>46123.0</v>
      </c>
      <c r="F9704" s="28">
        <v>46171.0</v>
      </c>
      <c r="G9704" s="29"/>
    </row>
    <row r="9705" ht="15.75" customHeight="1">
      <c r="A9705" s="33" t="s">
        <v>13379</v>
      </c>
      <c r="B9705" s="42" t="s">
        <v>202</v>
      </c>
      <c r="C9705" s="31" t="s">
        <v>948</v>
      </c>
      <c r="D9705" s="30" t="s">
        <v>3663</v>
      </c>
      <c r="E9705" s="32">
        <v>46123.0</v>
      </c>
      <c r="F9705" s="32">
        <v>46171.0</v>
      </c>
      <c r="G9705" s="33"/>
    </row>
    <row r="9706" ht="15.75" customHeight="1">
      <c r="A9706" s="29" t="s">
        <v>13380</v>
      </c>
      <c r="B9706" s="43" t="s">
        <v>203</v>
      </c>
      <c r="C9706" s="27" t="s">
        <v>948</v>
      </c>
      <c r="D9706" s="26" t="s">
        <v>3663</v>
      </c>
      <c r="E9706" s="28">
        <v>46123.0</v>
      </c>
      <c r="F9706" s="28">
        <v>46171.0</v>
      </c>
      <c r="G9706" s="29"/>
    </row>
    <row r="9707" ht="15.75" customHeight="1">
      <c r="A9707" s="33" t="s">
        <v>13381</v>
      </c>
      <c r="B9707" s="42" t="s">
        <v>223</v>
      </c>
      <c r="C9707" s="31" t="s">
        <v>948</v>
      </c>
      <c r="D9707" s="30" t="s">
        <v>3663</v>
      </c>
      <c r="E9707" s="32">
        <v>46123.0</v>
      </c>
      <c r="F9707" s="32">
        <v>46171.0</v>
      </c>
      <c r="G9707" s="33"/>
    </row>
    <row r="9708" ht="15.75" customHeight="1">
      <c r="A9708" s="29" t="s">
        <v>13382</v>
      </c>
      <c r="B9708" s="43" t="s">
        <v>236</v>
      </c>
      <c r="C9708" s="27" t="s">
        <v>948</v>
      </c>
      <c r="D9708" s="26" t="s">
        <v>3663</v>
      </c>
      <c r="E9708" s="28">
        <v>46123.0</v>
      </c>
      <c r="F9708" s="28">
        <v>46171.0</v>
      </c>
      <c r="G9708" s="29"/>
    </row>
    <row r="9709" ht="15.75" customHeight="1">
      <c r="A9709" s="33" t="s">
        <v>13383</v>
      </c>
      <c r="B9709" s="42" t="s">
        <v>243</v>
      </c>
      <c r="C9709" s="31" t="s">
        <v>948</v>
      </c>
      <c r="D9709" s="30" t="s">
        <v>3663</v>
      </c>
      <c r="E9709" s="32">
        <v>46123.0</v>
      </c>
      <c r="F9709" s="32">
        <v>46171.0</v>
      </c>
      <c r="G9709" s="33"/>
    </row>
    <row r="9710" ht="15.75" customHeight="1">
      <c r="A9710" s="29" t="s">
        <v>13384</v>
      </c>
      <c r="B9710" s="43" t="s">
        <v>258</v>
      </c>
      <c r="C9710" s="27" t="s">
        <v>948</v>
      </c>
      <c r="D9710" s="26" t="s">
        <v>3663</v>
      </c>
      <c r="E9710" s="28">
        <v>46123.0</v>
      </c>
      <c r="F9710" s="28">
        <v>46171.0</v>
      </c>
      <c r="G9710" s="29"/>
    </row>
    <row r="9711" ht="15.75" customHeight="1">
      <c r="A9711" s="33" t="s">
        <v>13385</v>
      </c>
      <c r="B9711" s="42" t="s">
        <v>330</v>
      </c>
      <c r="C9711" s="31" t="s">
        <v>948</v>
      </c>
      <c r="D9711" s="30" t="s">
        <v>3663</v>
      </c>
      <c r="E9711" s="32">
        <v>46123.0</v>
      </c>
      <c r="F9711" s="32">
        <v>46171.0</v>
      </c>
      <c r="G9711" s="33"/>
    </row>
    <row r="9712" ht="15.75" customHeight="1">
      <c r="A9712" s="29" t="s">
        <v>13386</v>
      </c>
      <c r="B9712" s="43" t="s">
        <v>367</v>
      </c>
      <c r="C9712" s="27" t="s">
        <v>948</v>
      </c>
      <c r="D9712" s="26" t="s">
        <v>3663</v>
      </c>
      <c r="E9712" s="28">
        <v>46123.0</v>
      </c>
      <c r="F9712" s="28">
        <v>46171.0</v>
      </c>
      <c r="G9712" s="29"/>
    </row>
    <row r="9713" ht="15.75" customHeight="1">
      <c r="A9713" s="33" t="s">
        <v>13387</v>
      </c>
      <c r="B9713" s="42" t="s">
        <v>391</v>
      </c>
      <c r="C9713" s="31" t="s">
        <v>948</v>
      </c>
      <c r="D9713" s="30" t="s">
        <v>3663</v>
      </c>
      <c r="E9713" s="32">
        <v>46123.0</v>
      </c>
      <c r="F9713" s="32">
        <v>46171.0</v>
      </c>
      <c r="G9713" s="33"/>
    </row>
    <row r="9714" ht="15.75" customHeight="1">
      <c r="A9714" s="29" t="s">
        <v>13388</v>
      </c>
      <c r="B9714" s="43" t="s">
        <v>406</v>
      </c>
      <c r="C9714" s="27" t="s">
        <v>948</v>
      </c>
      <c r="D9714" s="26" t="s">
        <v>3663</v>
      </c>
      <c r="E9714" s="28">
        <v>46123.0</v>
      </c>
      <c r="F9714" s="28">
        <v>46171.0</v>
      </c>
      <c r="G9714" s="29"/>
    </row>
    <row r="9715" ht="15.75" customHeight="1">
      <c r="A9715" s="33" t="s">
        <v>13389</v>
      </c>
      <c r="B9715" s="42" t="s">
        <v>413</v>
      </c>
      <c r="C9715" s="31" t="s">
        <v>948</v>
      </c>
      <c r="D9715" s="30" t="s">
        <v>3663</v>
      </c>
      <c r="E9715" s="32">
        <v>46123.0</v>
      </c>
      <c r="F9715" s="32">
        <v>46171.0</v>
      </c>
      <c r="G9715" s="33"/>
    </row>
    <row r="9716" ht="15.75" customHeight="1">
      <c r="A9716" s="29" t="s">
        <v>13390</v>
      </c>
      <c r="B9716" s="43" t="s">
        <v>423</v>
      </c>
      <c r="C9716" s="27" t="s">
        <v>948</v>
      </c>
      <c r="D9716" s="26" t="s">
        <v>3663</v>
      </c>
      <c r="E9716" s="28">
        <v>46123.0</v>
      </c>
      <c r="F9716" s="28">
        <v>46171.0</v>
      </c>
      <c r="G9716" s="29"/>
    </row>
    <row r="9717" ht="15.75" customHeight="1">
      <c r="A9717" s="33" t="s">
        <v>13391</v>
      </c>
      <c r="B9717" s="42" t="s">
        <v>426</v>
      </c>
      <c r="C9717" s="31" t="s">
        <v>948</v>
      </c>
      <c r="D9717" s="30" t="s">
        <v>3663</v>
      </c>
      <c r="E9717" s="32">
        <v>46123.0</v>
      </c>
      <c r="F9717" s="32">
        <v>46171.0</v>
      </c>
      <c r="G9717" s="33"/>
    </row>
    <row r="9718" ht="15.75" customHeight="1">
      <c r="A9718" s="29" t="s">
        <v>13392</v>
      </c>
      <c r="B9718" s="43" t="s">
        <v>463</v>
      </c>
      <c r="C9718" s="27" t="s">
        <v>948</v>
      </c>
      <c r="D9718" s="26" t="s">
        <v>3663</v>
      </c>
      <c r="E9718" s="28">
        <v>46123.0</v>
      </c>
      <c r="F9718" s="28">
        <v>46171.0</v>
      </c>
      <c r="G9718" s="29"/>
    </row>
    <row r="9719" ht="15.75" customHeight="1">
      <c r="A9719" s="33" t="s">
        <v>13393</v>
      </c>
      <c r="B9719" s="42" t="s">
        <v>500</v>
      </c>
      <c r="C9719" s="31" t="s">
        <v>948</v>
      </c>
      <c r="D9719" s="30" t="s">
        <v>3663</v>
      </c>
      <c r="E9719" s="32">
        <v>46123.0</v>
      </c>
      <c r="F9719" s="32">
        <v>46171.0</v>
      </c>
      <c r="G9719" s="33"/>
    </row>
    <row r="9720" ht="15.75" customHeight="1">
      <c r="A9720" s="29" t="s">
        <v>13394</v>
      </c>
      <c r="B9720" s="43" t="s">
        <v>521</v>
      </c>
      <c r="C9720" s="27" t="s">
        <v>948</v>
      </c>
      <c r="D9720" s="26" t="s">
        <v>3663</v>
      </c>
      <c r="E9720" s="28">
        <v>46123.0</v>
      </c>
      <c r="F9720" s="28">
        <v>46171.0</v>
      </c>
      <c r="G9720" s="29"/>
    </row>
    <row r="9721" ht="15.75" customHeight="1">
      <c r="A9721" s="33" t="s">
        <v>13395</v>
      </c>
      <c r="B9721" s="42" t="s">
        <v>576</v>
      </c>
      <c r="C9721" s="31" t="s">
        <v>948</v>
      </c>
      <c r="D9721" s="30" t="s">
        <v>3663</v>
      </c>
      <c r="E9721" s="32">
        <v>46123.0</v>
      </c>
      <c r="F9721" s="32">
        <v>46171.0</v>
      </c>
      <c r="G9721" s="33"/>
    </row>
    <row r="9722" ht="15.75" customHeight="1">
      <c r="A9722" s="29" t="s">
        <v>13396</v>
      </c>
      <c r="B9722" s="43" t="s">
        <v>1285</v>
      </c>
      <c r="C9722" s="27" t="s">
        <v>948</v>
      </c>
      <c r="D9722" s="26" t="s">
        <v>3663</v>
      </c>
      <c r="E9722" s="28">
        <v>46123.0</v>
      </c>
      <c r="F9722" s="28">
        <v>46171.0</v>
      </c>
      <c r="G9722" s="29"/>
    </row>
    <row r="9723" ht="15.75" customHeight="1">
      <c r="A9723" s="33" t="s">
        <v>13397</v>
      </c>
      <c r="B9723" s="42" t="s">
        <v>625</v>
      </c>
      <c r="C9723" s="31" t="s">
        <v>948</v>
      </c>
      <c r="D9723" s="30" t="s">
        <v>3663</v>
      </c>
      <c r="E9723" s="32">
        <v>46123.0</v>
      </c>
      <c r="F9723" s="32">
        <v>46171.0</v>
      </c>
      <c r="G9723" s="33"/>
    </row>
    <row r="9724" ht="15.75" customHeight="1">
      <c r="A9724" s="29" t="s">
        <v>13398</v>
      </c>
      <c r="B9724" s="43" t="s">
        <v>636</v>
      </c>
      <c r="C9724" s="27" t="s">
        <v>948</v>
      </c>
      <c r="D9724" s="26" t="s">
        <v>3663</v>
      </c>
      <c r="E9724" s="28">
        <v>46123.0</v>
      </c>
      <c r="F9724" s="28">
        <v>46171.0</v>
      </c>
      <c r="G9724" s="29"/>
    </row>
    <row r="9725" ht="15.75" customHeight="1">
      <c r="A9725" s="33" t="s">
        <v>13399</v>
      </c>
      <c r="B9725" s="42" t="s">
        <v>13400</v>
      </c>
      <c r="C9725" s="31" t="s">
        <v>948</v>
      </c>
      <c r="D9725" s="30" t="s">
        <v>3663</v>
      </c>
      <c r="E9725" s="32">
        <v>46123.0</v>
      </c>
      <c r="F9725" s="32">
        <v>46171.0</v>
      </c>
      <c r="G9725" s="33"/>
    </row>
    <row r="9726" ht="15.75" customHeight="1">
      <c r="A9726" s="29" t="s">
        <v>13401</v>
      </c>
      <c r="B9726" s="43" t="s">
        <v>679</v>
      </c>
      <c r="C9726" s="27" t="s">
        <v>948</v>
      </c>
      <c r="D9726" s="26" t="s">
        <v>3663</v>
      </c>
      <c r="E9726" s="28">
        <v>46123.0</v>
      </c>
      <c r="F9726" s="28">
        <v>46171.0</v>
      </c>
      <c r="G9726" s="29"/>
    </row>
    <row r="9727" ht="15.75" customHeight="1">
      <c r="A9727" s="33" t="s">
        <v>13402</v>
      </c>
      <c r="B9727" s="42" t="s">
        <v>1321</v>
      </c>
      <c r="C9727" s="31" t="s">
        <v>948</v>
      </c>
      <c r="D9727" s="30" t="s">
        <v>3663</v>
      </c>
      <c r="E9727" s="32">
        <v>46123.0</v>
      </c>
      <c r="F9727" s="32">
        <v>46171.0</v>
      </c>
      <c r="G9727" s="33"/>
    </row>
    <row r="9728" ht="15.75" customHeight="1">
      <c r="A9728" s="29" t="s">
        <v>13403</v>
      </c>
      <c r="B9728" s="43" t="s">
        <v>749</v>
      </c>
      <c r="C9728" s="27" t="s">
        <v>948</v>
      </c>
      <c r="D9728" s="26" t="s">
        <v>3663</v>
      </c>
      <c r="E9728" s="28">
        <v>46123.0</v>
      </c>
      <c r="F9728" s="28">
        <v>46171.0</v>
      </c>
      <c r="G9728" s="29"/>
    </row>
    <row r="9729" ht="15.75" customHeight="1">
      <c r="A9729" s="33" t="s">
        <v>13404</v>
      </c>
      <c r="B9729" s="42" t="s">
        <v>752</v>
      </c>
      <c r="C9729" s="31" t="s">
        <v>948</v>
      </c>
      <c r="D9729" s="30" t="s">
        <v>3663</v>
      </c>
      <c r="E9729" s="32">
        <v>46123.0</v>
      </c>
      <c r="F9729" s="32">
        <v>46171.0</v>
      </c>
      <c r="G9729" s="33"/>
    </row>
    <row r="9730" ht="15.75" customHeight="1">
      <c r="A9730" s="29" t="s">
        <v>13405</v>
      </c>
      <c r="B9730" s="43" t="s">
        <v>777</v>
      </c>
      <c r="C9730" s="27" t="s">
        <v>948</v>
      </c>
      <c r="D9730" s="26" t="s">
        <v>3663</v>
      </c>
      <c r="E9730" s="28">
        <v>46123.0</v>
      </c>
      <c r="F9730" s="28">
        <v>46171.0</v>
      </c>
      <c r="G9730" s="29"/>
    </row>
    <row r="9731" ht="15.75" customHeight="1">
      <c r="A9731" s="33" t="s">
        <v>13406</v>
      </c>
      <c r="B9731" s="42" t="s">
        <v>794</v>
      </c>
      <c r="C9731" s="31" t="s">
        <v>948</v>
      </c>
      <c r="D9731" s="30" t="s">
        <v>3663</v>
      </c>
      <c r="E9731" s="32">
        <v>46123.0</v>
      </c>
      <c r="F9731" s="32">
        <v>46171.0</v>
      </c>
      <c r="G9731" s="33"/>
    </row>
    <row r="9732" ht="15.75" customHeight="1">
      <c r="A9732" s="29" t="s">
        <v>13407</v>
      </c>
      <c r="B9732" s="43" t="s">
        <v>90</v>
      </c>
      <c r="C9732" s="27" t="s">
        <v>948</v>
      </c>
      <c r="D9732" s="26" t="s">
        <v>3663</v>
      </c>
      <c r="E9732" s="28">
        <v>46123.0</v>
      </c>
      <c r="F9732" s="28">
        <v>46171.0</v>
      </c>
      <c r="G9732" s="29"/>
    </row>
    <row r="9733" ht="15.75" customHeight="1">
      <c r="A9733" s="33" t="s">
        <v>13408</v>
      </c>
      <c r="B9733" s="42" t="s">
        <v>96</v>
      </c>
      <c r="C9733" s="31" t="s">
        <v>948</v>
      </c>
      <c r="D9733" s="30" t="s">
        <v>3663</v>
      </c>
      <c r="E9733" s="32">
        <v>46123.0</v>
      </c>
      <c r="F9733" s="32">
        <v>46171.0</v>
      </c>
      <c r="G9733" s="33"/>
    </row>
    <row r="9734" ht="15.75" customHeight="1">
      <c r="A9734" s="29" t="s">
        <v>13409</v>
      </c>
      <c r="B9734" s="43" t="s">
        <v>101</v>
      </c>
      <c r="C9734" s="27" t="s">
        <v>948</v>
      </c>
      <c r="D9734" s="26" t="s">
        <v>3663</v>
      </c>
      <c r="E9734" s="28">
        <v>46123.0</v>
      </c>
      <c r="F9734" s="28">
        <v>46171.0</v>
      </c>
      <c r="G9734" s="29"/>
    </row>
    <row r="9735" ht="15.75" customHeight="1">
      <c r="A9735" s="33" t="s">
        <v>13410</v>
      </c>
      <c r="B9735" s="42" t="s">
        <v>128</v>
      </c>
      <c r="C9735" s="31" t="s">
        <v>948</v>
      </c>
      <c r="D9735" s="30" t="s">
        <v>3663</v>
      </c>
      <c r="E9735" s="32">
        <v>46123.0</v>
      </c>
      <c r="F9735" s="32">
        <v>46171.0</v>
      </c>
      <c r="G9735" s="33"/>
    </row>
    <row r="9736" ht="15.75" customHeight="1">
      <c r="A9736" s="29" t="s">
        <v>13411</v>
      </c>
      <c r="B9736" s="43" t="s">
        <v>253</v>
      </c>
      <c r="C9736" s="27" t="s">
        <v>948</v>
      </c>
      <c r="D9736" s="26" t="s">
        <v>3663</v>
      </c>
      <c r="E9736" s="28">
        <v>46123.0</v>
      </c>
      <c r="F9736" s="28">
        <v>46171.0</v>
      </c>
      <c r="G9736" s="29"/>
    </row>
    <row r="9737" ht="15.75" customHeight="1">
      <c r="A9737" s="33" t="s">
        <v>13412</v>
      </c>
      <c r="B9737" s="42" t="s">
        <v>272</v>
      </c>
      <c r="C9737" s="31" t="s">
        <v>948</v>
      </c>
      <c r="D9737" s="30" t="s">
        <v>3663</v>
      </c>
      <c r="E9737" s="32">
        <v>46123.0</v>
      </c>
      <c r="F9737" s="32">
        <v>46171.0</v>
      </c>
      <c r="G9737" s="33"/>
    </row>
    <row r="9738" ht="15.75" customHeight="1">
      <c r="A9738" s="29" t="s">
        <v>13413</v>
      </c>
      <c r="B9738" s="43" t="s">
        <v>343</v>
      </c>
      <c r="C9738" s="27" t="s">
        <v>948</v>
      </c>
      <c r="D9738" s="26" t="s">
        <v>3663</v>
      </c>
      <c r="E9738" s="28">
        <v>46123.0</v>
      </c>
      <c r="F9738" s="28">
        <v>46171.0</v>
      </c>
      <c r="G9738" s="29"/>
    </row>
    <row r="9739" ht="15.75" customHeight="1">
      <c r="A9739" s="33" t="s">
        <v>13414</v>
      </c>
      <c r="B9739" s="42" t="s">
        <v>355</v>
      </c>
      <c r="C9739" s="31" t="s">
        <v>948</v>
      </c>
      <c r="D9739" s="30" t="s">
        <v>3663</v>
      </c>
      <c r="E9739" s="32">
        <v>46123.0</v>
      </c>
      <c r="F9739" s="32">
        <v>46171.0</v>
      </c>
      <c r="G9739" s="33"/>
    </row>
    <row r="9740" ht="15.75" customHeight="1">
      <c r="A9740" s="29" t="s">
        <v>13415</v>
      </c>
      <c r="B9740" s="43" t="s">
        <v>405</v>
      </c>
      <c r="C9740" s="27" t="s">
        <v>948</v>
      </c>
      <c r="D9740" s="26" t="s">
        <v>3663</v>
      </c>
      <c r="E9740" s="28">
        <v>46123.0</v>
      </c>
      <c r="F9740" s="28">
        <v>46171.0</v>
      </c>
      <c r="G9740" s="29"/>
    </row>
    <row r="9741" ht="15.75" customHeight="1">
      <c r="A9741" s="33" t="s">
        <v>13416</v>
      </c>
      <c r="B9741" s="42" t="s">
        <v>421</v>
      </c>
      <c r="C9741" s="31" t="s">
        <v>948</v>
      </c>
      <c r="D9741" s="30" t="s">
        <v>3663</v>
      </c>
      <c r="E9741" s="32">
        <v>46123.0</v>
      </c>
      <c r="F9741" s="32">
        <v>46171.0</v>
      </c>
      <c r="G9741" s="33"/>
    </row>
    <row r="9742" ht="15.75" customHeight="1">
      <c r="A9742" s="29" t="s">
        <v>13417</v>
      </c>
      <c r="B9742" s="43" t="s">
        <v>428</v>
      </c>
      <c r="C9742" s="27" t="s">
        <v>948</v>
      </c>
      <c r="D9742" s="26" t="s">
        <v>3663</v>
      </c>
      <c r="E9742" s="28">
        <v>46123.0</v>
      </c>
      <c r="F9742" s="28">
        <v>46171.0</v>
      </c>
      <c r="G9742" s="29"/>
    </row>
    <row r="9743" ht="15.75" customHeight="1">
      <c r="A9743" s="33" t="s">
        <v>13418</v>
      </c>
      <c r="B9743" s="42" t="s">
        <v>429</v>
      </c>
      <c r="C9743" s="31" t="s">
        <v>948</v>
      </c>
      <c r="D9743" s="30" t="s">
        <v>3663</v>
      </c>
      <c r="E9743" s="32">
        <v>46123.0</v>
      </c>
      <c r="F9743" s="32">
        <v>46171.0</v>
      </c>
      <c r="G9743" s="33"/>
    </row>
    <row r="9744" ht="15.75" customHeight="1">
      <c r="A9744" s="29" t="s">
        <v>13419</v>
      </c>
      <c r="B9744" s="43" t="s">
        <v>2535</v>
      </c>
      <c r="C9744" s="27" t="s">
        <v>948</v>
      </c>
      <c r="D9744" s="26" t="s">
        <v>3663</v>
      </c>
      <c r="E9744" s="28">
        <v>46123.0</v>
      </c>
      <c r="F9744" s="28">
        <v>46171.0</v>
      </c>
      <c r="G9744" s="29"/>
    </row>
    <row r="9745" ht="15.75" customHeight="1">
      <c r="A9745" s="33" t="s">
        <v>13420</v>
      </c>
      <c r="B9745" s="42" t="s">
        <v>474</v>
      </c>
      <c r="C9745" s="31" t="s">
        <v>948</v>
      </c>
      <c r="D9745" s="30" t="s">
        <v>3663</v>
      </c>
      <c r="E9745" s="32">
        <v>46123.0</v>
      </c>
      <c r="F9745" s="32">
        <v>46171.0</v>
      </c>
      <c r="G9745" s="33"/>
    </row>
    <row r="9746" ht="15.75" customHeight="1">
      <c r="A9746" s="29" t="s">
        <v>13421</v>
      </c>
      <c r="B9746" s="43" t="s">
        <v>530</v>
      </c>
      <c r="C9746" s="27" t="s">
        <v>948</v>
      </c>
      <c r="D9746" s="26" t="s">
        <v>3663</v>
      </c>
      <c r="E9746" s="28">
        <v>46123.0</v>
      </c>
      <c r="F9746" s="28">
        <v>46171.0</v>
      </c>
      <c r="G9746" s="29"/>
    </row>
    <row r="9747" ht="15.75" customHeight="1">
      <c r="A9747" s="33" t="s">
        <v>13422</v>
      </c>
      <c r="B9747" s="42" t="s">
        <v>1192</v>
      </c>
      <c r="C9747" s="31" t="s">
        <v>948</v>
      </c>
      <c r="D9747" s="30" t="s">
        <v>3663</v>
      </c>
      <c r="E9747" s="32">
        <v>46123.0</v>
      </c>
      <c r="F9747" s="32">
        <v>46171.0</v>
      </c>
      <c r="G9747" s="33"/>
    </row>
    <row r="9748" ht="15.75" customHeight="1">
      <c r="A9748" s="29" t="s">
        <v>13423</v>
      </c>
      <c r="B9748" s="43" t="s">
        <v>1161</v>
      </c>
      <c r="C9748" s="27" t="s">
        <v>948</v>
      </c>
      <c r="D9748" s="26" t="s">
        <v>3663</v>
      </c>
      <c r="E9748" s="28">
        <v>46123.0</v>
      </c>
      <c r="F9748" s="28">
        <v>46171.0</v>
      </c>
      <c r="G9748" s="29"/>
    </row>
    <row r="9749" ht="15.75" customHeight="1">
      <c r="A9749" s="33" t="s">
        <v>13424</v>
      </c>
      <c r="B9749" s="42" t="s">
        <v>546</v>
      </c>
      <c r="C9749" s="31" t="s">
        <v>948</v>
      </c>
      <c r="D9749" s="30" t="s">
        <v>3663</v>
      </c>
      <c r="E9749" s="32">
        <v>46123.0</v>
      </c>
      <c r="F9749" s="32">
        <v>46171.0</v>
      </c>
      <c r="G9749" s="33"/>
    </row>
    <row r="9750" ht="15.75" customHeight="1">
      <c r="A9750" s="29" t="s">
        <v>13425</v>
      </c>
      <c r="B9750" s="43" t="s">
        <v>554</v>
      </c>
      <c r="C9750" s="27" t="s">
        <v>948</v>
      </c>
      <c r="D9750" s="26" t="s">
        <v>3663</v>
      </c>
      <c r="E9750" s="28">
        <v>46123.0</v>
      </c>
      <c r="F9750" s="28">
        <v>46171.0</v>
      </c>
      <c r="G9750" s="29"/>
    </row>
    <row r="9751" ht="15.75" customHeight="1">
      <c r="A9751" s="33" t="s">
        <v>13426</v>
      </c>
      <c r="B9751" s="42" t="s">
        <v>556</v>
      </c>
      <c r="C9751" s="31" t="s">
        <v>948</v>
      </c>
      <c r="D9751" s="30" t="s">
        <v>3663</v>
      </c>
      <c r="E9751" s="32">
        <v>46123.0</v>
      </c>
      <c r="F9751" s="32">
        <v>46171.0</v>
      </c>
      <c r="G9751" s="33"/>
    </row>
    <row r="9752" ht="15.75" customHeight="1">
      <c r="A9752" s="29" t="s">
        <v>13427</v>
      </c>
      <c r="B9752" s="43" t="s">
        <v>558</v>
      </c>
      <c r="C9752" s="27" t="s">
        <v>948</v>
      </c>
      <c r="D9752" s="26" t="s">
        <v>3663</v>
      </c>
      <c r="E9752" s="28">
        <v>46123.0</v>
      </c>
      <c r="F9752" s="28">
        <v>46171.0</v>
      </c>
      <c r="G9752" s="29"/>
    </row>
    <row r="9753" ht="15.75" customHeight="1">
      <c r="A9753" s="33" t="s">
        <v>13428</v>
      </c>
      <c r="B9753" s="42" t="s">
        <v>620</v>
      </c>
      <c r="C9753" s="31" t="s">
        <v>948</v>
      </c>
      <c r="D9753" s="30" t="s">
        <v>3663</v>
      </c>
      <c r="E9753" s="32">
        <v>46123.0</v>
      </c>
      <c r="F9753" s="32">
        <v>46171.0</v>
      </c>
      <c r="G9753" s="33"/>
    </row>
    <row r="9754" ht="15.75" customHeight="1">
      <c r="A9754" s="29" t="s">
        <v>13429</v>
      </c>
      <c r="B9754" s="43" t="s">
        <v>1210</v>
      </c>
      <c r="C9754" s="27" t="s">
        <v>948</v>
      </c>
      <c r="D9754" s="26" t="s">
        <v>3663</v>
      </c>
      <c r="E9754" s="28">
        <v>46123.0</v>
      </c>
      <c r="F9754" s="28">
        <v>46171.0</v>
      </c>
      <c r="G9754" s="29"/>
    </row>
    <row r="9755" ht="15.75" customHeight="1">
      <c r="A9755" s="33" t="s">
        <v>13430</v>
      </c>
      <c r="B9755" s="42" t="s">
        <v>640</v>
      </c>
      <c r="C9755" s="31" t="s">
        <v>948</v>
      </c>
      <c r="D9755" s="30" t="s">
        <v>3663</v>
      </c>
      <c r="E9755" s="32">
        <v>46123.0</v>
      </c>
      <c r="F9755" s="32">
        <v>46171.0</v>
      </c>
      <c r="G9755" s="33"/>
    </row>
    <row r="9756" ht="15.75" customHeight="1">
      <c r="A9756" s="29" t="s">
        <v>13431</v>
      </c>
      <c r="B9756" s="43" t="s">
        <v>689</v>
      </c>
      <c r="C9756" s="27" t="s">
        <v>948</v>
      </c>
      <c r="D9756" s="26" t="s">
        <v>3663</v>
      </c>
      <c r="E9756" s="28">
        <v>46123.0</v>
      </c>
      <c r="F9756" s="28">
        <v>46171.0</v>
      </c>
      <c r="G9756" s="29"/>
    </row>
    <row r="9757" ht="15.75" customHeight="1">
      <c r="A9757" s="33" t="s">
        <v>13432</v>
      </c>
      <c r="B9757" s="42" t="s">
        <v>699</v>
      </c>
      <c r="C9757" s="31" t="s">
        <v>948</v>
      </c>
      <c r="D9757" s="30" t="s">
        <v>3663</v>
      </c>
      <c r="E9757" s="32">
        <v>46123.0</v>
      </c>
      <c r="F9757" s="32">
        <v>46171.0</v>
      </c>
      <c r="G9757" s="33"/>
    </row>
    <row r="9758" ht="15.75" customHeight="1">
      <c r="A9758" s="29" t="s">
        <v>13433</v>
      </c>
      <c r="B9758" s="43" t="s">
        <v>753</v>
      </c>
      <c r="C9758" s="27" t="s">
        <v>948</v>
      </c>
      <c r="D9758" s="26" t="s">
        <v>3663</v>
      </c>
      <c r="E9758" s="28">
        <v>46123.0</v>
      </c>
      <c r="F9758" s="28">
        <v>46171.0</v>
      </c>
      <c r="G9758" s="29"/>
    </row>
    <row r="9759" ht="15.75" customHeight="1">
      <c r="A9759" s="33" t="s">
        <v>13434</v>
      </c>
      <c r="B9759" s="42" t="s">
        <v>773</v>
      </c>
      <c r="C9759" s="31" t="s">
        <v>948</v>
      </c>
      <c r="D9759" s="30" t="s">
        <v>3663</v>
      </c>
      <c r="E9759" s="32">
        <v>46123.0</v>
      </c>
      <c r="F9759" s="32">
        <v>46171.0</v>
      </c>
      <c r="G9759" s="33"/>
    </row>
    <row r="9760" ht="15.75" customHeight="1">
      <c r="A9760" s="29" t="s">
        <v>13435</v>
      </c>
      <c r="B9760" s="43" t="s">
        <v>806</v>
      </c>
      <c r="C9760" s="27" t="s">
        <v>948</v>
      </c>
      <c r="D9760" s="26" t="s">
        <v>3663</v>
      </c>
      <c r="E9760" s="28">
        <v>46123.0</v>
      </c>
      <c r="F9760" s="28">
        <v>46171.0</v>
      </c>
      <c r="G9760" s="29"/>
    </row>
    <row r="9761" ht="15.75" customHeight="1">
      <c r="A9761" s="33" t="s">
        <v>13436</v>
      </c>
      <c r="B9761" s="42" t="s">
        <v>206</v>
      </c>
      <c r="C9761" s="31" t="s">
        <v>948</v>
      </c>
      <c r="D9761" s="30" t="s">
        <v>3663</v>
      </c>
      <c r="E9761" s="32">
        <v>46123.0</v>
      </c>
      <c r="F9761" s="32">
        <v>46171.0</v>
      </c>
      <c r="G9761" s="33"/>
    </row>
    <row r="9762" ht="15.75" customHeight="1">
      <c r="A9762" s="29" t="s">
        <v>13437</v>
      </c>
      <c r="B9762" s="43" t="s">
        <v>244</v>
      </c>
      <c r="C9762" s="27" t="s">
        <v>948</v>
      </c>
      <c r="D9762" s="26" t="s">
        <v>3663</v>
      </c>
      <c r="E9762" s="28">
        <v>46123.0</v>
      </c>
      <c r="F9762" s="28">
        <v>46171.0</v>
      </c>
      <c r="G9762" s="29"/>
    </row>
    <row r="9763" ht="15.75" customHeight="1">
      <c r="A9763" s="33" t="s">
        <v>13438</v>
      </c>
      <c r="B9763" s="42" t="s">
        <v>260</v>
      </c>
      <c r="C9763" s="31" t="s">
        <v>948</v>
      </c>
      <c r="D9763" s="30" t="s">
        <v>3663</v>
      </c>
      <c r="E9763" s="32">
        <v>46123.0</v>
      </c>
      <c r="F9763" s="32">
        <v>46171.0</v>
      </c>
      <c r="G9763" s="33"/>
    </row>
    <row r="9764" ht="15.75" customHeight="1">
      <c r="A9764" s="29" t="s">
        <v>13439</v>
      </c>
      <c r="B9764" s="43" t="s">
        <v>268</v>
      </c>
      <c r="C9764" s="27" t="s">
        <v>948</v>
      </c>
      <c r="D9764" s="26" t="s">
        <v>3663</v>
      </c>
      <c r="E9764" s="28">
        <v>46123.0</v>
      </c>
      <c r="F9764" s="28">
        <v>46171.0</v>
      </c>
      <c r="G9764" s="29"/>
    </row>
    <row r="9765" ht="15.75" customHeight="1">
      <c r="A9765" s="33" t="s">
        <v>13440</v>
      </c>
      <c r="B9765" s="42" t="s">
        <v>304</v>
      </c>
      <c r="C9765" s="31" t="s">
        <v>948</v>
      </c>
      <c r="D9765" s="30" t="s">
        <v>3663</v>
      </c>
      <c r="E9765" s="32">
        <v>46123.0</v>
      </c>
      <c r="F9765" s="32">
        <v>46171.0</v>
      </c>
      <c r="G9765" s="33"/>
    </row>
    <row r="9766" ht="15.75" customHeight="1">
      <c r="A9766" s="29" t="s">
        <v>13441</v>
      </c>
      <c r="B9766" s="43" t="s">
        <v>307</v>
      </c>
      <c r="C9766" s="27" t="s">
        <v>948</v>
      </c>
      <c r="D9766" s="26" t="s">
        <v>3663</v>
      </c>
      <c r="E9766" s="28">
        <v>46123.0</v>
      </c>
      <c r="F9766" s="28">
        <v>46171.0</v>
      </c>
      <c r="G9766" s="29"/>
    </row>
    <row r="9767" ht="15.75" customHeight="1">
      <c r="A9767" s="33" t="s">
        <v>13442</v>
      </c>
      <c r="B9767" s="42" t="s">
        <v>371</v>
      </c>
      <c r="C9767" s="31" t="s">
        <v>948</v>
      </c>
      <c r="D9767" s="30" t="s">
        <v>3663</v>
      </c>
      <c r="E9767" s="32">
        <v>46123.0</v>
      </c>
      <c r="F9767" s="32">
        <v>46171.0</v>
      </c>
      <c r="G9767" s="33"/>
    </row>
    <row r="9768" ht="15.75" customHeight="1">
      <c r="A9768" s="29" t="s">
        <v>13443</v>
      </c>
      <c r="B9768" s="43" t="s">
        <v>384</v>
      </c>
      <c r="C9768" s="27" t="s">
        <v>948</v>
      </c>
      <c r="D9768" s="26" t="s">
        <v>3663</v>
      </c>
      <c r="E9768" s="28">
        <v>46123.0</v>
      </c>
      <c r="F9768" s="28">
        <v>46171.0</v>
      </c>
      <c r="G9768" s="29"/>
    </row>
    <row r="9769" ht="15.75" customHeight="1">
      <c r="A9769" s="33" t="s">
        <v>13444</v>
      </c>
      <c r="B9769" s="42" t="s">
        <v>389</v>
      </c>
      <c r="C9769" s="31" t="s">
        <v>948</v>
      </c>
      <c r="D9769" s="30" t="s">
        <v>3663</v>
      </c>
      <c r="E9769" s="32">
        <v>46123.0</v>
      </c>
      <c r="F9769" s="32">
        <v>46171.0</v>
      </c>
      <c r="G9769" s="33"/>
    </row>
    <row r="9770" ht="15.75" customHeight="1">
      <c r="A9770" s="29" t="s">
        <v>13445</v>
      </c>
      <c r="B9770" s="43" t="s">
        <v>394</v>
      </c>
      <c r="C9770" s="27" t="s">
        <v>948</v>
      </c>
      <c r="D9770" s="26" t="s">
        <v>3663</v>
      </c>
      <c r="E9770" s="28">
        <v>46123.0</v>
      </c>
      <c r="F9770" s="28">
        <v>46171.0</v>
      </c>
      <c r="G9770" s="29"/>
    </row>
    <row r="9771" ht="15.75" customHeight="1">
      <c r="A9771" s="33" t="s">
        <v>13446</v>
      </c>
      <c r="B9771" s="42" t="s">
        <v>401</v>
      </c>
      <c r="C9771" s="31" t="s">
        <v>948</v>
      </c>
      <c r="D9771" s="30" t="s">
        <v>3663</v>
      </c>
      <c r="E9771" s="32">
        <v>46123.0</v>
      </c>
      <c r="F9771" s="32">
        <v>46171.0</v>
      </c>
      <c r="G9771" s="33"/>
    </row>
    <row r="9772" ht="15.75" customHeight="1">
      <c r="A9772" s="29" t="s">
        <v>13447</v>
      </c>
      <c r="B9772" s="43" t="s">
        <v>420</v>
      </c>
      <c r="C9772" s="27" t="s">
        <v>948</v>
      </c>
      <c r="D9772" s="26" t="s">
        <v>3663</v>
      </c>
      <c r="E9772" s="28">
        <v>46123.0</v>
      </c>
      <c r="F9772" s="28">
        <v>46171.0</v>
      </c>
      <c r="G9772" s="29"/>
    </row>
    <row r="9773" ht="15.75" customHeight="1">
      <c r="A9773" s="33" t="s">
        <v>13448</v>
      </c>
      <c r="B9773" s="42" t="s">
        <v>438</v>
      </c>
      <c r="C9773" s="31" t="s">
        <v>948</v>
      </c>
      <c r="D9773" s="30" t="s">
        <v>3663</v>
      </c>
      <c r="E9773" s="32">
        <v>46123.0</v>
      </c>
      <c r="F9773" s="32">
        <v>46171.0</v>
      </c>
      <c r="G9773" s="33"/>
    </row>
    <row r="9774" ht="15.75" customHeight="1">
      <c r="A9774" s="29" t="s">
        <v>13449</v>
      </c>
      <c r="B9774" s="43" t="s">
        <v>443</v>
      </c>
      <c r="C9774" s="27" t="s">
        <v>948</v>
      </c>
      <c r="D9774" s="26" t="s">
        <v>3663</v>
      </c>
      <c r="E9774" s="28">
        <v>46123.0</v>
      </c>
      <c r="F9774" s="28">
        <v>46171.0</v>
      </c>
      <c r="G9774" s="29"/>
    </row>
    <row r="9775" ht="15.75" customHeight="1">
      <c r="A9775" s="33" t="s">
        <v>13450</v>
      </c>
      <c r="B9775" s="42" t="s">
        <v>484</v>
      </c>
      <c r="C9775" s="31" t="s">
        <v>948</v>
      </c>
      <c r="D9775" s="30" t="s">
        <v>3663</v>
      </c>
      <c r="E9775" s="32">
        <v>46123.0</v>
      </c>
      <c r="F9775" s="32">
        <v>46171.0</v>
      </c>
      <c r="G9775" s="33"/>
    </row>
    <row r="9776" ht="15.75" customHeight="1">
      <c r="A9776" s="29" t="s">
        <v>13451</v>
      </c>
      <c r="B9776" s="43" t="s">
        <v>493</v>
      </c>
      <c r="C9776" s="27" t="s">
        <v>948</v>
      </c>
      <c r="D9776" s="26" t="s">
        <v>3663</v>
      </c>
      <c r="E9776" s="28">
        <v>46123.0</v>
      </c>
      <c r="F9776" s="28">
        <v>46171.0</v>
      </c>
      <c r="G9776" s="29"/>
    </row>
    <row r="9777" ht="15.75" customHeight="1">
      <c r="A9777" s="33" t="s">
        <v>13452</v>
      </c>
      <c r="B9777" s="42" t="s">
        <v>1174</v>
      </c>
      <c r="C9777" s="31" t="s">
        <v>948</v>
      </c>
      <c r="D9777" s="30" t="s">
        <v>3663</v>
      </c>
      <c r="E9777" s="32">
        <v>46123.0</v>
      </c>
      <c r="F9777" s="32">
        <v>46171.0</v>
      </c>
      <c r="G9777" s="33"/>
    </row>
    <row r="9778" ht="15.75" customHeight="1">
      <c r="A9778" s="29" t="s">
        <v>13453</v>
      </c>
      <c r="B9778" s="43" t="s">
        <v>504</v>
      </c>
      <c r="C9778" s="27" t="s">
        <v>948</v>
      </c>
      <c r="D9778" s="26" t="s">
        <v>3663</v>
      </c>
      <c r="E9778" s="28">
        <v>46123.0</v>
      </c>
      <c r="F9778" s="28">
        <v>46171.0</v>
      </c>
      <c r="G9778" s="29"/>
    </row>
    <row r="9779" ht="15.75" customHeight="1">
      <c r="A9779" s="33" t="s">
        <v>13454</v>
      </c>
      <c r="B9779" s="42" t="s">
        <v>555</v>
      </c>
      <c r="C9779" s="31" t="s">
        <v>948</v>
      </c>
      <c r="D9779" s="30" t="s">
        <v>3663</v>
      </c>
      <c r="E9779" s="32">
        <v>46123.0</v>
      </c>
      <c r="F9779" s="32">
        <v>46171.0</v>
      </c>
      <c r="G9779" s="33"/>
    </row>
    <row r="9780" ht="15.75" customHeight="1">
      <c r="A9780" s="29" t="s">
        <v>13455</v>
      </c>
      <c r="B9780" s="43" t="s">
        <v>570</v>
      </c>
      <c r="C9780" s="27" t="s">
        <v>948</v>
      </c>
      <c r="D9780" s="26" t="s">
        <v>3663</v>
      </c>
      <c r="E9780" s="28">
        <v>46123.0</v>
      </c>
      <c r="F9780" s="28">
        <v>46171.0</v>
      </c>
      <c r="G9780" s="29"/>
    </row>
    <row r="9781" ht="15.75" customHeight="1">
      <c r="A9781" s="33" t="s">
        <v>13456</v>
      </c>
      <c r="B9781" s="42" t="s">
        <v>593</v>
      </c>
      <c r="C9781" s="31" t="s">
        <v>948</v>
      </c>
      <c r="D9781" s="30" t="s">
        <v>3663</v>
      </c>
      <c r="E9781" s="32">
        <v>46123.0</v>
      </c>
      <c r="F9781" s="32">
        <v>46171.0</v>
      </c>
      <c r="G9781" s="33"/>
    </row>
    <row r="9782" ht="15.75" customHeight="1">
      <c r="A9782" s="29" t="s">
        <v>13457</v>
      </c>
      <c r="B9782" s="43" t="s">
        <v>622</v>
      </c>
      <c r="C9782" s="27" t="s">
        <v>948</v>
      </c>
      <c r="D9782" s="26" t="s">
        <v>3663</v>
      </c>
      <c r="E9782" s="28">
        <v>46123.0</v>
      </c>
      <c r="F9782" s="28">
        <v>46171.0</v>
      </c>
      <c r="G9782" s="29"/>
    </row>
    <row r="9783" ht="15.75" customHeight="1">
      <c r="A9783" s="33" t="s">
        <v>13458</v>
      </c>
      <c r="B9783" s="42" t="s">
        <v>655</v>
      </c>
      <c r="C9783" s="31" t="s">
        <v>948</v>
      </c>
      <c r="D9783" s="30" t="s">
        <v>3663</v>
      </c>
      <c r="E9783" s="32">
        <v>46123.0</v>
      </c>
      <c r="F9783" s="32">
        <v>46171.0</v>
      </c>
      <c r="G9783" s="33"/>
    </row>
    <row r="9784" ht="15.75" customHeight="1">
      <c r="A9784" s="29" t="s">
        <v>13459</v>
      </c>
      <c r="B9784" s="43" t="s">
        <v>670</v>
      </c>
      <c r="C9784" s="27" t="s">
        <v>948</v>
      </c>
      <c r="D9784" s="26" t="s">
        <v>3663</v>
      </c>
      <c r="E9784" s="28">
        <v>46123.0</v>
      </c>
      <c r="F9784" s="28">
        <v>46171.0</v>
      </c>
      <c r="G9784" s="29"/>
    </row>
    <row r="9785" ht="15.75" customHeight="1">
      <c r="A9785" s="33" t="s">
        <v>13460</v>
      </c>
      <c r="B9785" s="42" t="s">
        <v>686</v>
      </c>
      <c r="C9785" s="31" t="s">
        <v>948</v>
      </c>
      <c r="D9785" s="30" t="s">
        <v>3663</v>
      </c>
      <c r="E9785" s="32">
        <v>46123.0</v>
      </c>
      <c r="F9785" s="32">
        <v>46171.0</v>
      </c>
      <c r="G9785" s="33"/>
    </row>
    <row r="9786" ht="15.75" customHeight="1">
      <c r="A9786" s="29" t="s">
        <v>13461</v>
      </c>
      <c r="B9786" s="43" t="s">
        <v>694</v>
      </c>
      <c r="C9786" s="27" t="s">
        <v>948</v>
      </c>
      <c r="D9786" s="26" t="s">
        <v>3663</v>
      </c>
      <c r="E9786" s="28">
        <v>46123.0</v>
      </c>
      <c r="F9786" s="28">
        <v>46171.0</v>
      </c>
      <c r="G9786" s="29"/>
    </row>
    <row r="9787" ht="15.75" customHeight="1">
      <c r="A9787" s="33" t="s">
        <v>13462</v>
      </c>
      <c r="B9787" s="42" t="s">
        <v>713</v>
      </c>
      <c r="C9787" s="31" t="s">
        <v>948</v>
      </c>
      <c r="D9787" s="30" t="s">
        <v>3663</v>
      </c>
      <c r="E9787" s="32">
        <v>46123.0</v>
      </c>
      <c r="F9787" s="32">
        <v>46171.0</v>
      </c>
      <c r="G9787" s="33"/>
    </row>
    <row r="9788" ht="15.75" customHeight="1">
      <c r="A9788" s="29" t="s">
        <v>13463</v>
      </c>
      <c r="B9788" s="43" t="s">
        <v>718</v>
      </c>
      <c r="C9788" s="27" t="s">
        <v>948</v>
      </c>
      <c r="D9788" s="26" t="s">
        <v>3663</v>
      </c>
      <c r="E9788" s="28">
        <v>46123.0</v>
      </c>
      <c r="F9788" s="28">
        <v>46171.0</v>
      </c>
      <c r="G9788" s="29"/>
    </row>
    <row r="9789" ht="15.75" customHeight="1">
      <c r="A9789" s="33" t="s">
        <v>13464</v>
      </c>
      <c r="B9789" s="42" t="s">
        <v>1183</v>
      </c>
      <c r="C9789" s="31" t="s">
        <v>948</v>
      </c>
      <c r="D9789" s="30" t="s">
        <v>3663</v>
      </c>
      <c r="E9789" s="32">
        <v>46123.0</v>
      </c>
      <c r="F9789" s="32">
        <v>46171.0</v>
      </c>
      <c r="G9789" s="33"/>
    </row>
    <row r="9790" ht="15.75" customHeight="1">
      <c r="A9790" s="29" t="s">
        <v>13465</v>
      </c>
      <c r="B9790" s="43" t="s">
        <v>193</v>
      </c>
      <c r="C9790" s="27" t="s">
        <v>950</v>
      </c>
      <c r="D9790" s="26" t="s">
        <v>3663</v>
      </c>
      <c r="E9790" s="28">
        <v>46123.0</v>
      </c>
      <c r="F9790" s="28">
        <v>46171.0</v>
      </c>
      <c r="G9790" s="29"/>
    </row>
    <row r="9791" ht="15.75" customHeight="1">
      <c r="A9791" s="33" t="s">
        <v>13466</v>
      </c>
      <c r="B9791" s="42" t="s">
        <v>216</v>
      </c>
      <c r="C9791" s="31" t="s">
        <v>950</v>
      </c>
      <c r="D9791" s="30" t="s">
        <v>3663</v>
      </c>
      <c r="E9791" s="32">
        <v>46123.0</v>
      </c>
      <c r="F9791" s="32">
        <v>46171.0</v>
      </c>
      <c r="G9791" s="33"/>
    </row>
    <row r="9792" ht="15.75" customHeight="1">
      <c r="A9792" s="29" t="s">
        <v>13467</v>
      </c>
      <c r="B9792" s="43" t="s">
        <v>252</v>
      </c>
      <c r="C9792" s="27" t="s">
        <v>950</v>
      </c>
      <c r="D9792" s="26" t="s">
        <v>3663</v>
      </c>
      <c r="E9792" s="28">
        <v>46123.0</v>
      </c>
      <c r="F9792" s="28">
        <v>46171.0</v>
      </c>
      <c r="G9792" s="29"/>
    </row>
    <row r="9793" ht="15.75" customHeight="1">
      <c r="A9793" s="33" t="s">
        <v>13468</v>
      </c>
      <c r="B9793" s="42" t="s">
        <v>267</v>
      </c>
      <c r="C9793" s="31" t="s">
        <v>950</v>
      </c>
      <c r="D9793" s="30" t="s">
        <v>3663</v>
      </c>
      <c r="E9793" s="32">
        <v>46123.0</v>
      </c>
      <c r="F9793" s="32">
        <v>46171.0</v>
      </c>
      <c r="G9793" s="33"/>
    </row>
    <row r="9794" ht="15.75" customHeight="1">
      <c r="A9794" s="29" t="s">
        <v>13469</v>
      </c>
      <c r="B9794" s="43" t="s">
        <v>286</v>
      </c>
      <c r="C9794" s="27" t="s">
        <v>950</v>
      </c>
      <c r="D9794" s="26" t="s">
        <v>3663</v>
      </c>
      <c r="E9794" s="28">
        <v>46123.0</v>
      </c>
      <c r="F9794" s="28">
        <v>46171.0</v>
      </c>
      <c r="G9794" s="29"/>
    </row>
    <row r="9795" ht="15.75" customHeight="1">
      <c r="A9795" s="33" t="s">
        <v>13470</v>
      </c>
      <c r="B9795" s="42" t="s">
        <v>324</v>
      </c>
      <c r="C9795" s="31" t="s">
        <v>950</v>
      </c>
      <c r="D9795" s="30" t="s">
        <v>3663</v>
      </c>
      <c r="E9795" s="32">
        <v>46123.0</v>
      </c>
      <c r="F9795" s="32">
        <v>46171.0</v>
      </c>
      <c r="G9795" s="33"/>
    </row>
    <row r="9796" ht="15.75" customHeight="1">
      <c r="A9796" s="29" t="s">
        <v>13471</v>
      </c>
      <c r="B9796" s="43" t="s">
        <v>329</v>
      </c>
      <c r="C9796" s="27" t="s">
        <v>950</v>
      </c>
      <c r="D9796" s="26" t="s">
        <v>3663</v>
      </c>
      <c r="E9796" s="28">
        <v>46123.0</v>
      </c>
      <c r="F9796" s="28">
        <v>46171.0</v>
      </c>
      <c r="G9796" s="29"/>
    </row>
    <row r="9797" ht="15.75" customHeight="1">
      <c r="A9797" s="33" t="s">
        <v>13472</v>
      </c>
      <c r="B9797" s="42" t="s">
        <v>331</v>
      </c>
      <c r="C9797" s="31" t="s">
        <v>950</v>
      </c>
      <c r="D9797" s="30" t="s">
        <v>3663</v>
      </c>
      <c r="E9797" s="32">
        <v>46123.0</v>
      </c>
      <c r="F9797" s="32">
        <v>46171.0</v>
      </c>
      <c r="G9797" s="33"/>
    </row>
    <row r="9798" ht="15.75" customHeight="1">
      <c r="A9798" s="29" t="s">
        <v>13473</v>
      </c>
      <c r="B9798" s="43" t="s">
        <v>333</v>
      </c>
      <c r="C9798" s="27" t="s">
        <v>950</v>
      </c>
      <c r="D9798" s="26" t="s">
        <v>3663</v>
      </c>
      <c r="E9798" s="28">
        <v>46123.0</v>
      </c>
      <c r="F9798" s="28">
        <v>46171.0</v>
      </c>
      <c r="G9798" s="29"/>
    </row>
    <row r="9799" ht="15.75" customHeight="1">
      <c r="A9799" s="33" t="s">
        <v>13474</v>
      </c>
      <c r="B9799" s="42" t="s">
        <v>339</v>
      </c>
      <c r="C9799" s="31" t="s">
        <v>950</v>
      </c>
      <c r="D9799" s="30" t="s">
        <v>3663</v>
      </c>
      <c r="E9799" s="32">
        <v>46123.0</v>
      </c>
      <c r="F9799" s="32">
        <v>46171.0</v>
      </c>
      <c r="G9799" s="33"/>
    </row>
    <row r="9800" ht="15.75" customHeight="1">
      <c r="A9800" s="29" t="s">
        <v>13475</v>
      </c>
      <c r="B9800" s="43" t="s">
        <v>352</v>
      </c>
      <c r="C9800" s="27" t="s">
        <v>950</v>
      </c>
      <c r="D9800" s="26" t="s">
        <v>3663</v>
      </c>
      <c r="E9800" s="28">
        <v>46123.0</v>
      </c>
      <c r="F9800" s="28">
        <v>46171.0</v>
      </c>
      <c r="G9800" s="29"/>
    </row>
    <row r="9801" ht="15.75" customHeight="1">
      <c r="A9801" s="33" t="s">
        <v>13476</v>
      </c>
      <c r="B9801" s="42" t="s">
        <v>390</v>
      </c>
      <c r="C9801" s="31" t="s">
        <v>950</v>
      </c>
      <c r="D9801" s="30" t="s">
        <v>3663</v>
      </c>
      <c r="E9801" s="32">
        <v>46123.0</v>
      </c>
      <c r="F9801" s="32">
        <v>46171.0</v>
      </c>
      <c r="G9801" s="33"/>
    </row>
    <row r="9802" ht="15.75" customHeight="1">
      <c r="A9802" s="29" t="s">
        <v>13477</v>
      </c>
      <c r="B9802" s="43" t="s">
        <v>419</v>
      </c>
      <c r="C9802" s="27" t="s">
        <v>950</v>
      </c>
      <c r="D9802" s="26" t="s">
        <v>3663</v>
      </c>
      <c r="E9802" s="28">
        <v>46123.0</v>
      </c>
      <c r="F9802" s="28">
        <v>46171.0</v>
      </c>
      <c r="G9802" s="29"/>
    </row>
    <row r="9803" ht="15.75" customHeight="1">
      <c r="A9803" s="33" t="s">
        <v>13478</v>
      </c>
      <c r="B9803" s="42" t="s">
        <v>452</v>
      </c>
      <c r="C9803" s="31" t="s">
        <v>950</v>
      </c>
      <c r="D9803" s="30" t="s">
        <v>3663</v>
      </c>
      <c r="E9803" s="32">
        <v>46123.0</v>
      </c>
      <c r="F9803" s="32">
        <v>46171.0</v>
      </c>
      <c r="G9803" s="33"/>
    </row>
    <row r="9804" ht="15.75" customHeight="1">
      <c r="A9804" s="29" t="s">
        <v>13479</v>
      </c>
      <c r="B9804" s="43" t="s">
        <v>509</v>
      </c>
      <c r="C9804" s="27" t="s">
        <v>950</v>
      </c>
      <c r="D9804" s="26" t="s">
        <v>3663</v>
      </c>
      <c r="E9804" s="28">
        <v>46123.0</v>
      </c>
      <c r="F9804" s="28">
        <v>46171.0</v>
      </c>
      <c r="G9804" s="29"/>
    </row>
    <row r="9805" ht="15.75" customHeight="1">
      <c r="A9805" s="33" t="s">
        <v>13480</v>
      </c>
      <c r="B9805" s="42" t="s">
        <v>526</v>
      </c>
      <c r="C9805" s="31" t="s">
        <v>950</v>
      </c>
      <c r="D9805" s="30" t="s">
        <v>3663</v>
      </c>
      <c r="E9805" s="32">
        <v>46123.0</v>
      </c>
      <c r="F9805" s="32">
        <v>46171.0</v>
      </c>
      <c r="G9805" s="33"/>
    </row>
    <row r="9806" ht="15.75" customHeight="1">
      <c r="A9806" s="29" t="s">
        <v>13481</v>
      </c>
      <c r="B9806" s="43" t="s">
        <v>528</v>
      </c>
      <c r="C9806" s="27" t="s">
        <v>950</v>
      </c>
      <c r="D9806" s="26" t="s">
        <v>3663</v>
      </c>
      <c r="E9806" s="28">
        <v>46123.0</v>
      </c>
      <c r="F9806" s="28">
        <v>46171.0</v>
      </c>
      <c r="G9806" s="29"/>
    </row>
    <row r="9807" ht="15.75" customHeight="1">
      <c r="A9807" s="33" t="s">
        <v>13482</v>
      </c>
      <c r="B9807" s="42" t="s">
        <v>529</v>
      </c>
      <c r="C9807" s="31" t="s">
        <v>950</v>
      </c>
      <c r="D9807" s="30" t="s">
        <v>3663</v>
      </c>
      <c r="E9807" s="32">
        <v>46123.0</v>
      </c>
      <c r="F9807" s="32">
        <v>46171.0</v>
      </c>
      <c r="G9807" s="33"/>
    </row>
    <row r="9808" ht="15.75" customHeight="1">
      <c r="A9808" s="29" t="s">
        <v>13483</v>
      </c>
      <c r="B9808" s="43" t="s">
        <v>537</v>
      </c>
      <c r="C9808" s="27" t="s">
        <v>950</v>
      </c>
      <c r="D9808" s="26" t="s">
        <v>3663</v>
      </c>
      <c r="E9808" s="28">
        <v>46123.0</v>
      </c>
      <c r="F9808" s="28">
        <v>46171.0</v>
      </c>
      <c r="G9808" s="29"/>
    </row>
    <row r="9809" ht="15.75" customHeight="1">
      <c r="A9809" s="33" t="s">
        <v>13484</v>
      </c>
      <c r="B9809" s="42" t="s">
        <v>549</v>
      </c>
      <c r="C9809" s="31" t="s">
        <v>950</v>
      </c>
      <c r="D9809" s="30" t="s">
        <v>3663</v>
      </c>
      <c r="E9809" s="32">
        <v>46123.0</v>
      </c>
      <c r="F9809" s="32">
        <v>46171.0</v>
      </c>
      <c r="G9809" s="33"/>
    </row>
    <row r="9810" ht="15.75" customHeight="1">
      <c r="A9810" s="29" t="s">
        <v>13485</v>
      </c>
      <c r="B9810" s="43" t="s">
        <v>561</v>
      </c>
      <c r="C9810" s="27" t="s">
        <v>950</v>
      </c>
      <c r="D9810" s="26" t="s">
        <v>3663</v>
      </c>
      <c r="E9810" s="28">
        <v>46123.0</v>
      </c>
      <c r="F9810" s="28">
        <v>46171.0</v>
      </c>
      <c r="G9810" s="29"/>
    </row>
    <row r="9811" ht="15.75" customHeight="1">
      <c r="A9811" s="33" t="s">
        <v>13486</v>
      </c>
      <c r="B9811" s="42" t="s">
        <v>568</v>
      </c>
      <c r="C9811" s="31" t="s">
        <v>950</v>
      </c>
      <c r="D9811" s="30" t="s">
        <v>3663</v>
      </c>
      <c r="E9811" s="32">
        <v>46123.0</v>
      </c>
      <c r="F9811" s="32">
        <v>46171.0</v>
      </c>
      <c r="G9811" s="33"/>
    </row>
    <row r="9812" ht="15.75" customHeight="1">
      <c r="A9812" s="29" t="s">
        <v>13487</v>
      </c>
      <c r="B9812" s="43" t="s">
        <v>579</v>
      </c>
      <c r="C9812" s="27" t="s">
        <v>950</v>
      </c>
      <c r="D9812" s="26" t="s">
        <v>3663</v>
      </c>
      <c r="E9812" s="28">
        <v>46123.0</v>
      </c>
      <c r="F9812" s="28">
        <v>46171.0</v>
      </c>
      <c r="G9812" s="29"/>
    </row>
    <row r="9813" ht="15.75" customHeight="1">
      <c r="A9813" s="33" t="s">
        <v>13488</v>
      </c>
      <c r="B9813" s="42" t="s">
        <v>588</v>
      </c>
      <c r="C9813" s="31" t="s">
        <v>950</v>
      </c>
      <c r="D9813" s="30" t="s">
        <v>3663</v>
      </c>
      <c r="E9813" s="32">
        <v>46123.0</v>
      </c>
      <c r="F9813" s="32">
        <v>46171.0</v>
      </c>
      <c r="G9813" s="33"/>
    </row>
    <row r="9814" ht="15.75" customHeight="1">
      <c r="A9814" s="29" t="s">
        <v>13489</v>
      </c>
      <c r="B9814" s="43" t="s">
        <v>610</v>
      </c>
      <c r="C9814" s="27" t="s">
        <v>950</v>
      </c>
      <c r="D9814" s="26" t="s">
        <v>3663</v>
      </c>
      <c r="E9814" s="28">
        <v>46123.0</v>
      </c>
      <c r="F9814" s="28">
        <v>46171.0</v>
      </c>
      <c r="G9814" s="29"/>
    </row>
    <row r="9815" ht="15.75" customHeight="1">
      <c r="A9815" s="33" t="s">
        <v>13490</v>
      </c>
      <c r="B9815" s="42" t="s">
        <v>615</v>
      </c>
      <c r="C9815" s="31" t="s">
        <v>950</v>
      </c>
      <c r="D9815" s="30" t="s">
        <v>3663</v>
      </c>
      <c r="E9815" s="32">
        <v>46123.0</v>
      </c>
      <c r="F9815" s="32">
        <v>46171.0</v>
      </c>
      <c r="G9815" s="33"/>
    </row>
    <row r="9816" ht="15.75" customHeight="1">
      <c r="A9816" s="29" t="s">
        <v>13491</v>
      </c>
      <c r="B9816" s="43" t="s">
        <v>2726</v>
      </c>
      <c r="C9816" s="27" t="s">
        <v>950</v>
      </c>
      <c r="D9816" s="26" t="s">
        <v>3663</v>
      </c>
      <c r="E9816" s="28">
        <v>46123.0</v>
      </c>
      <c r="F9816" s="28">
        <v>46171.0</v>
      </c>
      <c r="G9816" s="29"/>
    </row>
    <row r="9817" ht="15.75" customHeight="1">
      <c r="A9817" s="33" t="s">
        <v>13492</v>
      </c>
      <c r="B9817" s="42" t="s">
        <v>681</v>
      </c>
      <c r="C9817" s="31" t="s">
        <v>950</v>
      </c>
      <c r="D9817" s="30" t="s">
        <v>3663</v>
      </c>
      <c r="E9817" s="32">
        <v>46123.0</v>
      </c>
      <c r="F9817" s="32">
        <v>46171.0</v>
      </c>
      <c r="G9817" s="33"/>
    </row>
    <row r="9818" ht="15.75" customHeight="1">
      <c r="A9818" s="29" t="s">
        <v>13493</v>
      </c>
      <c r="B9818" s="43" t="s">
        <v>688</v>
      </c>
      <c r="C9818" s="27" t="s">
        <v>950</v>
      </c>
      <c r="D9818" s="26" t="s">
        <v>3663</v>
      </c>
      <c r="E9818" s="28">
        <v>46123.0</v>
      </c>
      <c r="F9818" s="28">
        <v>46171.0</v>
      </c>
      <c r="G9818" s="29"/>
    </row>
    <row r="9819" ht="15.75" customHeight="1">
      <c r="A9819" s="33" t="s">
        <v>13494</v>
      </c>
      <c r="B9819" s="42" t="s">
        <v>695</v>
      </c>
      <c r="C9819" s="31" t="s">
        <v>950</v>
      </c>
      <c r="D9819" s="30" t="s">
        <v>3663</v>
      </c>
      <c r="E9819" s="32">
        <v>46123.0</v>
      </c>
      <c r="F9819" s="32">
        <v>46171.0</v>
      </c>
      <c r="G9819" s="33"/>
    </row>
    <row r="9820" ht="15.75" customHeight="1">
      <c r="A9820" s="29" t="s">
        <v>13495</v>
      </c>
      <c r="B9820" s="43" t="s">
        <v>782</v>
      </c>
      <c r="C9820" s="27" t="s">
        <v>950</v>
      </c>
      <c r="D9820" s="26" t="s">
        <v>3663</v>
      </c>
      <c r="E9820" s="28">
        <v>46123.0</v>
      </c>
      <c r="F9820" s="28">
        <v>46171.0</v>
      </c>
      <c r="G9820" s="29"/>
    </row>
    <row r="9821" ht="15.75" customHeight="1">
      <c r="A9821" s="33" t="s">
        <v>13496</v>
      </c>
      <c r="B9821" s="42" t="s">
        <v>792</v>
      </c>
      <c r="C9821" s="31" t="s">
        <v>950</v>
      </c>
      <c r="D9821" s="30" t="s">
        <v>3663</v>
      </c>
      <c r="E9821" s="32">
        <v>46123.0</v>
      </c>
      <c r="F9821" s="32">
        <v>46171.0</v>
      </c>
      <c r="G9821" s="33"/>
    </row>
    <row r="9822" ht="15.75" customHeight="1">
      <c r="A9822" s="29" t="s">
        <v>13497</v>
      </c>
      <c r="B9822" s="43" t="s">
        <v>799</v>
      </c>
      <c r="C9822" s="27" t="s">
        <v>950</v>
      </c>
      <c r="D9822" s="26" t="s">
        <v>3663</v>
      </c>
      <c r="E9822" s="28">
        <v>46123.0</v>
      </c>
      <c r="F9822" s="28">
        <v>46171.0</v>
      </c>
      <c r="G9822" s="29"/>
    </row>
    <row r="9823" ht="15.75" customHeight="1">
      <c r="A9823" s="33" t="s">
        <v>13498</v>
      </c>
      <c r="B9823" s="42" t="s">
        <v>810</v>
      </c>
      <c r="C9823" s="31" t="s">
        <v>950</v>
      </c>
      <c r="D9823" s="30" t="s">
        <v>3663</v>
      </c>
      <c r="E9823" s="32">
        <v>46123.0</v>
      </c>
      <c r="F9823" s="32">
        <v>46171.0</v>
      </c>
      <c r="G9823" s="33"/>
    </row>
    <row r="9824" ht="15.75" customHeight="1">
      <c r="A9824" s="29" t="s">
        <v>13499</v>
      </c>
      <c r="B9824" s="43" t="s">
        <v>822</v>
      </c>
      <c r="C9824" s="27" t="s">
        <v>950</v>
      </c>
      <c r="D9824" s="26" t="s">
        <v>3663</v>
      </c>
      <c r="E9824" s="28">
        <v>46123.0</v>
      </c>
      <c r="F9824" s="28">
        <v>46171.0</v>
      </c>
      <c r="G9824" s="29"/>
    </row>
    <row r="9825" ht="15.75" customHeight="1">
      <c r="A9825" s="33" t="s">
        <v>13500</v>
      </c>
      <c r="B9825" s="42" t="s">
        <v>147</v>
      </c>
      <c r="C9825" s="31" t="s">
        <v>950</v>
      </c>
      <c r="D9825" s="30" t="s">
        <v>3663</v>
      </c>
      <c r="E9825" s="32">
        <v>46123.0</v>
      </c>
      <c r="F9825" s="32">
        <v>46171.0</v>
      </c>
      <c r="G9825" s="33"/>
    </row>
    <row r="9826" ht="15.75" customHeight="1">
      <c r="A9826" s="29" t="s">
        <v>13501</v>
      </c>
      <c r="B9826" s="43" t="s">
        <v>174</v>
      </c>
      <c r="C9826" s="27" t="s">
        <v>950</v>
      </c>
      <c r="D9826" s="26" t="s">
        <v>3663</v>
      </c>
      <c r="E9826" s="28">
        <v>46123.0</v>
      </c>
      <c r="F9826" s="28">
        <v>46171.0</v>
      </c>
      <c r="G9826" s="29"/>
    </row>
    <row r="9827" ht="15.75" customHeight="1">
      <c r="A9827" s="33" t="s">
        <v>13502</v>
      </c>
      <c r="B9827" s="42" t="s">
        <v>217</v>
      </c>
      <c r="C9827" s="31" t="s">
        <v>950</v>
      </c>
      <c r="D9827" s="30" t="s">
        <v>3663</v>
      </c>
      <c r="E9827" s="32">
        <v>46123.0</v>
      </c>
      <c r="F9827" s="32">
        <v>46171.0</v>
      </c>
      <c r="G9827" s="33"/>
    </row>
    <row r="9828" ht="15.75" customHeight="1">
      <c r="A9828" s="29" t="s">
        <v>13503</v>
      </c>
      <c r="B9828" s="43" t="s">
        <v>265</v>
      </c>
      <c r="C9828" s="27" t="s">
        <v>950</v>
      </c>
      <c r="D9828" s="26" t="s">
        <v>3663</v>
      </c>
      <c r="E9828" s="28">
        <v>46123.0</v>
      </c>
      <c r="F9828" s="28">
        <v>46171.0</v>
      </c>
      <c r="G9828" s="29"/>
    </row>
    <row r="9829" ht="15.75" customHeight="1">
      <c r="A9829" s="33" t="s">
        <v>13504</v>
      </c>
      <c r="B9829" s="42" t="s">
        <v>266</v>
      </c>
      <c r="C9829" s="31" t="s">
        <v>950</v>
      </c>
      <c r="D9829" s="30" t="s">
        <v>3663</v>
      </c>
      <c r="E9829" s="32">
        <v>46123.0</v>
      </c>
      <c r="F9829" s="32">
        <v>46171.0</v>
      </c>
      <c r="G9829" s="33"/>
    </row>
    <row r="9830" ht="15.75" customHeight="1">
      <c r="A9830" s="29" t="s">
        <v>13505</v>
      </c>
      <c r="B9830" s="43" t="s">
        <v>271</v>
      </c>
      <c r="C9830" s="27" t="s">
        <v>950</v>
      </c>
      <c r="D9830" s="26" t="s">
        <v>3663</v>
      </c>
      <c r="E9830" s="28">
        <v>46123.0</v>
      </c>
      <c r="F9830" s="28">
        <v>46171.0</v>
      </c>
      <c r="G9830" s="29"/>
    </row>
    <row r="9831" ht="15.75" customHeight="1">
      <c r="A9831" s="33" t="s">
        <v>13506</v>
      </c>
      <c r="B9831" s="42" t="s">
        <v>275</v>
      </c>
      <c r="C9831" s="31" t="s">
        <v>950</v>
      </c>
      <c r="D9831" s="30" t="s">
        <v>3663</v>
      </c>
      <c r="E9831" s="32">
        <v>46123.0</v>
      </c>
      <c r="F9831" s="32">
        <v>46171.0</v>
      </c>
      <c r="G9831" s="33"/>
    </row>
    <row r="9832" ht="15.75" customHeight="1">
      <c r="A9832" s="29" t="s">
        <v>13507</v>
      </c>
      <c r="B9832" s="43" t="s">
        <v>294</v>
      </c>
      <c r="C9832" s="27" t="s">
        <v>950</v>
      </c>
      <c r="D9832" s="26" t="s">
        <v>3663</v>
      </c>
      <c r="E9832" s="28">
        <v>46123.0</v>
      </c>
      <c r="F9832" s="28">
        <v>46171.0</v>
      </c>
      <c r="G9832" s="29"/>
    </row>
    <row r="9833" ht="15.75" customHeight="1">
      <c r="A9833" s="33" t="s">
        <v>13508</v>
      </c>
      <c r="B9833" s="42" t="s">
        <v>297</v>
      </c>
      <c r="C9833" s="31" t="s">
        <v>950</v>
      </c>
      <c r="D9833" s="30" t="s">
        <v>3663</v>
      </c>
      <c r="E9833" s="32">
        <v>46123.0</v>
      </c>
      <c r="F9833" s="32">
        <v>46171.0</v>
      </c>
      <c r="G9833" s="33"/>
    </row>
    <row r="9834" ht="15.75" customHeight="1">
      <c r="A9834" s="29" t="s">
        <v>13509</v>
      </c>
      <c r="B9834" s="43" t="s">
        <v>337</v>
      </c>
      <c r="C9834" s="27" t="s">
        <v>950</v>
      </c>
      <c r="D9834" s="26" t="s">
        <v>3663</v>
      </c>
      <c r="E9834" s="28">
        <v>46123.0</v>
      </c>
      <c r="F9834" s="28">
        <v>46171.0</v>
      </c>
      <c r="G9834" s="29"/>
    </row>
    <row r="9835" ht="15.75" customHeight="1">
      <c r="A9835" s="33" t="s">
        <v>13510</v>
      </c>
      <c r="B9835" s="42" t="s">
        <v>365</v>
      </c>
      <c r="C9835" s="31" t="s">
        <v>950</v>
      </c>
      <c r="D9835" s="30" t="s">
        <v>3663</v>
      </c>
      <c r="E9835" s="32">
        <v>46123.0</v>
      </c>
      <c r="F9835" s="32">
        <v>46171.0</v>
      </c>
      <c r="G9835" s="33"/>
    </row>
    <row r="9836" ht="15.75" customHeight="1">
      <c r="A9836" s="29" t="s">
        <v>13511</v>
      </c>
      <c r="B9836" s="43" t="s">
        <v>1314</v>
      </c>
      <c r="C9836" s="27" t="s">
        <v>950</v>
      </c>
      <c r="D9836" s="26" t="s">
        <v>3663</v>
      </c>
      <c r="E9836" s="28">
        <v>46123.0</v>
      </c>
      <c r="F9836" s="28">
        <v>46171.0</v>
      </c>
      <c r="G9836" s="29"/>
    </row>
    <row r="9837" ht="15.75" customHeight="1">
      <c r="A9837" s="33" t="s">
        <v>13512</v>
      </c>
      <c r="B9837" s="42" t="s">
        <v>407</v>
      </c>
      <c r="C9837" s="31" t="s">
        <v>950</v>
      </c>
      <c r="D9837" s="30" t="s">
        <v>3663</v>
      </c>
      <c r="E9837" s="32">
        <v>46123.0</v>
      </c>
      <c r="F9837" s="32">
        <v>46171.0</v>
      </c>
      <c r="G9837" s="33"/>
    </row>
    <row r="9838" ht="15.75" customHeight="1">
      <c r="A9838" s="29" t="s">
        <v>13513</v>
      </c>
      <c r="B9838" s="43" t="s">
        <v>467</v>
      </c>
      <c r="C9838" s="27" t="s">
        <v>950</v>
      </c>
      <c r="D9838" s="26" t="s">
        <v>3663</v>
      </c>
      <c r="E9838" s="28">
        <v>46123.0</v>
      </c>
      <c r="F9838" s="28">
        <v>46171.0</v>
      </c>
      <c r="G9838" s="29"/>
    </row>
    <row r="9839" ht="15.75" customHeight="1">
      <c r="A9839" s="33" t="s">
        <v>13514</v>
      </c>
      <c r="B9839" s="42" t="s">
        <v>473</v>
      </c>
      <c r="C9839" s="31" t="s">
        <v>950</v>
      </c>
      <c r="D9839" s="30" t="s">
        <v>3663</v>
      </c>
      <c r="E9839" s="32">
        <v>46123.0</v>
      </c>
      <c r="F9839" s="32">
        <v>46171.0</v>
      </c>
      <c r="G9839" s="33"/>
    </row>
    <row r="9840" ht="15.75" customHeight="1">
      <c r="A9840" s="29" t="s">
        <v>13515</v>
      </c>
      <c r="B9840" s="43" t="s">
        <v>480</v>
      </c>
      <c r="C9840" s="27" t="s">
        <v>950</v>
      </c>
      <c r="D9840" s="26" t="s">
        <v>3663</v>
      </c>
      <c r="E9840" s="28">
        <v>46123.0</v>
      </c>
      <c r="F9840" s="28">
        <v>46171.0</v>
      </c>
      <c r="G9840" s="29"/>
    </row>
    <row r="9841" ht="15.75" customHeight="1">
      <c r="A9841" s="33" t="s">
        <v>13516</v>
      </c>
      <c r="B9841" s="42" t="s">
        <v>496</v>
      </c>
      <c r="C9841" s="31" t="s">
        <v>950</v>
      </c>
      <c r="D9841" s="30" t="s">
        <v>3663</v>
      </c>
      <c r="E9841" s="32">
        <v>46123.0</v>
      </c>
      <c r="F9841" s="32">
        <v>46171.0</v>
      </c>
      <c r="G9841" s="33"/>
    </row>
    <row r="9842" ht="15.75" customHeight="1">
      <c r="A9842" s="29" t="s">
        <v>13517</v>
      </c>
      <c r="B9842" s="43" t="s">
        <v>505</v>
      </c>
      <c r="C9842" s="27" t="s">
        <v>950</v>
      </c>
      <c r="D9842" s="26" t="s">
        <v>3663</v>
      </c>
      <c r="E9842" s="28">
        <v>46123.0</v>
      </c>
      <c r="F9842" s="28">
        <v>46171.0</v>
      </c>
      <c r="G9842" s="29"/>
    </row>
    <row r="9843" ht="15.75" customHeight="1">
      <c r="A9843" s="33" t="s">
        <v>13518</v>
      </c>
      <c r="B9843" s="42" t="s">
        <v>524</v>
      </c>
      <c r="C9843" s="31" t="s">
        <v>950</v>
      </c>
      <c r="D9843" s="30" t="s">
        <v>3663</v>
      </c>
      <c r="E9843" s="32">
        <v>46123.0</v>
      </c>
      <c r="F9843" s="32">
        <v>46171.0</v>
      </c>
      <c r="G9843" s="33"/>
    </row>
    <row r="9844" ht="15.75" customHeight="1">
      <c r="A9844" s="29" t="s">
        <v>13519</v>
      </c>
      <c r="B9844" s="43" t="s">
        <v>532</v>
      </c>
      <c r="C9844" s="27" t="s">
        <v>950</v>
      </c>
      <c r="D9844" s="26" t="s">
        <v>3663</v>
      </c>
      <c r="E9844" s="28">
        <v>46123.0</v>
      </c>
      <c r="F9844" s="28">
        <v>46171.0</v>
      </c>
      <c r="G9844" s="29"/>
    </row>
    <row r="9845" ht="15.75" customHeight="1">
      <c r="A9845" s="33" t="s">
        <v>13520</v>
      </c>
      <c r="B9845" s="42" t="s">
        <v>535</v>
      </c>
      <c r="C9845" s="31" t="s">
        <v>950</v>
      </c>
      <c r="D9845" s="30" t="s">
        <v>3663</v>
      </c>
      <c r="E9845" s="32">
        <v>46123.0</v>
      </c>
      <c r="F9845" s="32">
        <v>46171.0</v>
      </c>
      <c r="G9845" s="33"/>
    </row>
    <row r="9846" ht="15.75" customHeight="1">
      <c r="A9846" s="29" t="s">
        <v>13521</v>
      </c>
      <c r="B9846" s="43" t="s">
        <v>541</v>
      </c>
      <c r="C9846" s="27" t="s">
        <v>950</v>
      </c>
      <c r="D9846" s="26" t="s">
        <v>3663</v>
      </c>
      <c r="E9846" s="28">
        <v>46123.0</v>
      </c>
      <c r="F9846" s="28">
        <v>46171.0</v>
      </c>
      <c r="G9846" s="29"/>
    </row>
    <row r="9847" ht="15.75" customHeight="1">
      <c r="A9847" s="33" t="s">
        <v>13522</v>
      </c>
      <c r="B9847" s="42" t="s">
        <v>578</v>
      </c>
      <c r="C9847" s="31" t="s">
        <v>950</v>
      </c>
      <c r="D9847" s="30" t="s">
        <v>3663</v>
      </c>
      <c r="E9847" s="32">
        <v>46123.0</v>
      </c>
      <c r="F9847" s="32">
        <v>46171.0</v>
      </c>
      <c r="G9847" s="33"/>
    </row>
    <row r="9848" ht="15.75" customHeight="1">
      <c r="A9848" s="29" t="s">
        <v>13523</v>
      </c>
      <c r="B9848" s="43" t="s">
        <v>608</v>
      </c>
      <c r="C9848" s="27" t="s">
        <v>950</v>
      </c>
      <c r="D9848" s="26" t="s">
        <v>3663</v>
      </c>
      <c r="E9848" s="28">
        <v>46123.0</v>
      </c>
      <c r="F9848" s="28">
        <v>46171.0</v>
      </c>
      <c r="G9848" s="29"/>
    </row>
    <row r="9849" ht="15.75" customHeight="1">
      <c r="A9849" s="33" t="s">
        <v>13524</v>
      </c>
      <c r="B9849" s="42" t="s">
        <v>613</v>
      </c>
      <c r="C9849" s="31" t="s">
        <v>950</v>
      </c>
      <c r="D9849" s="30" t="s">
        <v>3663</v>
      </c>
      <c r="E9849" s="32">
        <v>46123.0</v>
      </c>
      <c r="F9849" s="32">
        <v>46171.0</v>
      </c>
      <c r="G9849" s="33"/>
    </row>
    <row r="9850" ht="15.75" customHeight="1">
      <c r="A9850" s="29" t="s">
        <v>13525</v>
      </c>
      <c r="B9850" s="43" t="s">
        <v>619</v>
      </c>
      <c r="C9850" s="27" t="s">
        <v>950</v>
      </c>
      <c r="D9850" s="26" t="s">
        <v>3663</v>
      </c>
      <c r="E9850" s="28">
        <v>46123.0</v>
      </c>
      <c r="F9850" s="28">
        <v>46171.0</v>
      </c>
      <c r="G9850" s="29"/>
    </row>
    <row r="9851" ht="15.75" customHeight="1">
      <c r="A9851" s="33" t="s">
        <v>13526</v>
      </c>
      <c r="B9851" s="42" t="s">
        <v>629</v>
      </c>
      <c r="C9851" s="31" t="s">
        <v>950</v>
      </c>
      <c r="D9851" s="30" t="s">
        <v>3663</v>
      </c>
      <c r="E9851" s="32">
        <v>46123.0</v>
      </c>
      <c r="F9851" s="32">
        <v>46171.0</v>
      </c>
      <c r="G9851" s="33"/>
    </row>
    <row r="9852" ht="15.75" customHeight="1">
      <c r="A9852" s="29" t="s">
        <v>13527</v>
      </c>
      <c r="B9852" s="43" t="s">
        <v>672</v>
      </c>
      <c r="C9852" s="27" t="s">
        <v>950</v>
      </c>
      <c r="D9852" s="26" t="s">
        <v>3663</v>
      </c>
      <c r="E9852" s="28">
        <v>46123.0</v>
      </c>
      <c r="F9852" s="28">
        <v>46171.0</v>
      </c>
      <c r="G9852" s="29"/>
    </row>
    <row r="9853" ht="15.75" customHeight="1">
      <c r="A9853" s="33" t="s">
        <v>13528</v>
      </c>
      <c r="B9853" s="42" t="s">
        <v>675</v>
      </c>
      <c r="C9853" s="31" t="s">
        <v>950</v>
      </c>
      <c r="D9853" s="30" t="s">
        <v>3663</v>
      </c>
      <c r="E9853" s="32">
        <v>46123.0</v>
      </c>
      <c r="F9853" s="32">
        <v>46171.0</v>
      </c>
      <c r="G9853" s="33"/>
    </row>
    <row r="9854" ht="15.75" customHeight="1">
      <c r="A9854" s="29" t="s">
        <v>13529</v>
      </c>
      <c r="B9854" s="43" t="s">
        <v>701</v>
      </c>
      <c r="C9854" s="27" t="s">
        <v>950</v>
      </c>
      <c r="D9854" s="26" t="s">
        <v>3663</v>
      </c>
      <c r="E9854" s="28">
        <v>46123.0</v>
      </c>
      <c r="F9854" s="28">
        <v>46171.0</v>
      </c>
      <c r="G9854" s="29"/>
    </row>
    <row r="9855" ht="15.75" customHeight="1">
      <c r="A9855" s="33" t="s">
        <v>13530</v>
      </c>
      <c r="B9855" s="42" t="s">
        <v>1238</v>
      </c>
      <c r="C9855" s="31" t="s">
        <v>950</v>
      </c>
      <c r="D9855" s="30" t="s">
        <v>3663</v>
      </c>
      <c r="E9855" s="32">
        <v>46123.0</v>
      </c>
      <c r="F9855" s="32">
        <v>46171.0</v>
      </c>
      <c r="G9855" s="33"/>
    </row>
    <row r="9856" ht="15.75" customHeight="1">
      <c r="A9856" s="29" t="s">
        <v>13531</v>
      </c>
      <c r="B9856" s="43" t="s">
        <v>743</v>
      </c>
      <c r="C9856" s="27" t="s">
        <v>950</v>
      </c>
      <c r="D9856" s="26" t="s">
        <v>3663</v>
      </c>
      <c r="E9856" s="28">
        <v>46123.0</v>
      </c>
      <c r="F9856" s="28">
        <v>46171.0</v>
      </c>
      <c r="G9856" s="29"/>
    </row>
    <row r="9857" ht="15.75" customHeight="1">
      <c r="A9857" s="33" t="s">
        <v>13532</v>
      </c>
      <c r="B9857" s="42" t="s">
        <v>760</v>
      </c>
      <c r="C9857" s="31" t="s">
        <v>950</v>
      </c>
      <c r="D9857" s="30" t="s">
        <v>3663</v>
      </c>
      <c r="E9857" s="32">
        <v>46123.0</v>
      </c>
      <c r="F9857" s="32">
        <v>46171.0</v>
      </c>
      <c r="G9857" s="33"/>
    </row>
    <row r="9858" ht="15.75" customHeight="1">
      <c r="A9858" s="29" t="s">
        <v>13533</v>
      </c>
      <c r="B9858" s="43" t="s">
        <v>772</v>
      </c>
      <c r="C9858" s="27" t="s">
        <v>950</v>
      </c>
      <c r="D9858" s="26" t="s">
        <v>3663</v>
      </c>
      <c r="E9858" s="28">
        <v>46123.0</v>
      </c>
      <c r="F9858" s="28">
        <v>46171.0</v>
      </c>
      <c r="G9858" s="29"/>
    </row>
    <row r="9859" ht="15.75" customHeight="1">
      <c r="A9859" s="33" t="s">
        <v>13534</v>
      </c>
      <c r="B9859" s="42" t="s">
        <v>820</v>
      </c>
      <c r="C9859" s="31" t="s">
        <v>950</v>
      </c>
      <c r="D9859" s="30" t="s">
        <v>3663</v>
      </c>
      <c r="E9859" s="32">
        <v>46123.0</v>
      </c>
      <c r="F9859" s="32">
        <v>46171.0</v>
      </c>
      <c r="G9859" s="33"/>
    </row>
    <row r="9860" ht="15.75" customHeight="1">
      <c r="A9860" s="29" t="s">
        <v>13535</v>
      </c>
      <c r="B9860" s="43" t="s">
        <v>125</v>
      </c>
      <c r="C9860" s="27" t="s">
        <v>950</v>
      </c>
      <c r="D9860" s="26" t="s">
        <v>3663</v>
      </c>
      <c r="E9860" s="28">
        <v>46123.0</v>
      </c>
      <c r="F9860" s="28">
        <v>46171.0</v>
      </c>
      <c r="G9860" s="29"/>
    </row>
    <row r="9861" ht="15.75" customHeight="1">
      <c r="A9861" s="33" t="s">
        <v>13536</v>
      </c>
      <c r="B9861" s="42" t="s">
        <v>180</v>
      </c>
      <c r="C9861" s="31" t="s">
        <v>950</v>
      </c>
      <c r="D9861" s="30" t="s">
        <v>3663</v>
      </c>
      <c r="E9861" s="32">
        <v>46123.0</v>
      </c>
      <c r="F9861" s="32">
        <v>46171.0</v>
      </c>
      <c r="G9861" s="33"/>
    </row>
    <row r="9862" ht="15.75" customHeight="1">
      <c r="A9862" s="29" t="s">
        <v>13537</v>
      </c>
      <c r="B9862" s="43" t="s">
        <v>242</v>
      </c>
      <c r="C9862" s="27" t="s">
        <v>950</v>
      </c>
      <c r="D9862" s="26" t="s">
        <v>3663</v>
      </c>
      <c r="E9862" s="28">
        <v>46123.0</v>
      </c>
      <c r="F9862" s="28">
        <v>46171.0</v>
      </c>
      <c r="G9862" s="29"/>
    </row>
    <row r="9863" ht="15.75" customHeight="1">
      <c r="A9863" s="33" t="s">
        <v>13538</v>
      </c>
      <c r="B9863" s="42" t="s">
        <v>262</v>
      </c>
      <c r="C9863" s="31" t="s">
        <v>950</v>
      </c>
      <c r="D9863" s="30" t="s">
        <v>3663</v>
      </c>
      <c r="E9863" s="32">
        <v>46123.0</v>
      </c>
      <c r="F9863" s="32">
        <v>46171.0</v>
      </c>
      <c r="G9863" s="33"/>
    </row>
    <row r="9864" ht="15.75" customHeight="1">
      <c r="A9864" s="29" t="s">
        <v>13539</v>
      </c>
      <c r="B9864" s="43" t="s">
        <v>264</v>
      </c>
      <c r="C9864" s="27" t="s">
        <v>950</v>
      </c>
      <c r="D9864" s="26" t="s">
        <v>3663</v>
      </c>
      <c r="E9864" s="28">
        <v>46123.0</v>
      </c>
      <c r="F9864" s="28">
        <v>46171.0</v>
      </c>
      <c r="G9864" s="29"/>
    </row>
    <row r="9865" ht="15.75" customHeight="1">
      <c r="A9865" s="33" t="s">
        <v>13540</v>
      </c>
      <c r="B9865" s="42" t="s">
        <v>295</v>
      </c>
      <c r="C9865" s="31" t="s">
        <v>950</v>
      </c>
      <c r="D9865" s="30" t="s">
        <v>3663</v>
      </c>
      <c r="E9865" s="32">
        <v>46123.0</v>
      </c>
      <c r="F9865" s="32">
        <v>46171.0</v>
      </c>
      <c r="G9865" s="33"/>
    </row>
    <row r="9866" ht="15.75" customHeight="1">
      <c r="A9866" s="29" t="s">
        <v>13541</v>
      </c>
      <c r="B9866" s="43" t="s">
        <v>306</v>
      </c>
      <c r="C9866" s="27" t="s">
        <v>950</v>
      </c>
      <c r="D9866" s="26" t="s">
        <v>3663</v>
      </c>
      <c r="E9866" s="28">
        <v>46123.0</v>
      </c>
      <c r="F9866" s="28">
        <v>46171.0</v>
      </c>
      <c r="G9866" s="29"/>
    </row>
    <row r="9867" ht="15.75" customHeight="1">
      <c r="A9867" s="33" t="s">
        <v>13542</v>
      </c>
      <c r="B9867" s="42" t="s">
        <v>322</v>
      </c>
      <c r="C9867" s="31" t="s">
        <v>950</v>
      </c>
      <c r="D9867" s="30" t="s">
        <v>3663</v>
      </c>
      <c r="E9867" s="32">
        <v>46123.0</v>
      </c>
      <c r="F9867" s="32">
        <v>46171.0</v>
      </c>
      <c r="G9867" s="33"/>
    </row>
    <row r="9868" ht="15.75" customHeight="1">
      <c r="A9868" s="29" t="s">
        <v>13543</v>
      </c>
      <c r="B9868" s="43" t="s">
        <v>325</v>
      </c>
      <c r="C9868" s="27" t="s">
        <v>950</v>
      </c>
      <c r="D9868" s="26" t="s">
        <v>3663</v>
      </c>
      <c r="E9868" s="28">
        <v>46123.0</v>
      </c>
      <c r="F9868" s="28">
        <v>46171.0</v>
      </c>
      <c r="G9868" s="29"/>
    </row>
    <row r="9869" ht="15.75" customHeight="1">
      <c r="A9869" s="33" t="s">
        <v>13544</v>
      </c>
      <c r="B9869" s="42" t="s">
        <v>342</v>
      </c>
      <c r="C9869" s="31" t="s">
        <v>950</v>
      </c>
      <c r="D9869" s="30" t="s">
        <v>3663</v>
      </c>
      <c r="E9869" s="32">
        <v>46123.0</v>
      </c>
      <c r="F9869" s="32">
        <v>46171.0</v>
      </c>
      <c r="G9869" s="33"/>
    </row>
    <row r="9870" ht="15.75" customHeight="1">
      <c r="A9870" s="29" t="s">
        <v>13545</v>
      </c>
      <c r="B9870" s="43" t="s">
        <v>360</v>
      </c>
      <c r="C9870" s="27" t="s">
        <v>950</v>
      </c>
      <c r="D9870" s="26" t="s">
        <v>3663</v>
      </c>
      <c r="E9870" s="28">
        <v>46123.0</v>
      </c>
      <c r="F9870" s="28">
        <v>46171.0</v>
      </c>
      <c r="G9870" s="29"/>
    </row>
    <row r="9871" ht="15.75" customHeight="1">
      <c r="A9871" s="33" t="s">
        <v>13546</v>
      </c>
      <c r="B9871" s="42" t="s">
        <v>363</v>
      </c>
      <c r="C9871" s="31" t="s">
        <v>950</v>
      </c>
      <c r="D9871" s="30" t="s">
        <v>3663</v>
      </c>
      <c r="E9871" s="32">
        <v>46123.0</v>
      </c>
      <c r="F9871" s="32">
        <v>46171.0</v>
      </c>
      <c r="G9871" s="33"/>
    </row>
    <row r="9872" ht="15.75" customHeight="1">
      <c r="A9872" s="29" t="s">
        <v>13547</v>
      </c>
      <c r="B9872" s="43" t="s">
        <v>376</v>
      </c>
      <c r="C9872" s="27" t="s">
        <v>950</v>
      </c>
      <c r="D9872" s="26" t="s">
        <v>3663</v>
      </c>
      <c r="E9872" s="28">
        <v>46123.0</v>
      </c>
      <c r="F9872" s="28">
        <v>46171.0</v>
      </c>
      <c r="G9872" s="29"/>
    </row>
    <row r="9873" ht="15.75" customHeight="1">
      <c r="A9873" s="33" t="s">
        <v>13548</v>
      </c>
      <c r="B9873" s="42" t="s">
        <v>386</v>
      </c>
      <c r="C9873" s="31" t="s">
        <v>950</v>
      </c>
      <c r="D9873" s="30" t="s">
        <v>3663</v>
      </c>
      <c r="E9873" s="32">
        <v>46123.0</v>
      </c>
      <c r="F9873" s="32">
        <v>46171.0</v>
      </c>
      <c r="G9873" s="33"/>
    </row>
    <row r="9874" ht="15.75" customHeight="1">
      <c r="A9874" s="29" t="s">
        <v>13549</v>
      </c>
      <c r="B9874" s="43" t="s">
        <v>440</v>
      </c>
      <c r="C9874" s="27" t="s">
        <v>950</v>
      </c>
      <c r="D9874" s="26" t="s">
        <v>3663</v>
      </c>
      <c r="E9874" s="28">
        <v>46123.0</v>
      </c>
      <c r="F9874" s="28">
        <v>46171.0</v>
      </c>
      <c r="G9874" s="29"/>
    </row>
    <row r="9875" ht="15.75" customHeight="1">
      <c r="A9875" s="33" t="s">
        <v>13550</v>
      </c>
      <c r="B9875" s="42" t="s">
        <v>458</v>
      </c>
      <c r="C9875" s="31" t="s">
        <v>950</v>
      </c>
      <c r="D9875" s="30" t="s">
        <v>3663</v>
      </c>
      <c r="E9875" s="32">
        <v>46123.0</v>
      </c>
      <c r="F9875" s="32">
        <v>46171.0</v>
      </c>
      <c r="G9875" s="33"/>
    </row>
    <row r="9876" ht="15.75" customHeight="1">
      <c r="A9876" s="29" t="s">
        <v>13551</v>
      </c>
      <c r="B9876" s="43" t="s">
        <v>464</v>
      </c>
      <c r="C9876" s="27" t="s">
        <v>950</v>
      </c>
      <c r="D9876" s="26" t="s">
        <v>3663</v>
      </c>
      <c r="E9876" s="28">
        <v>46123.0</v>
      </c>
      <c r="F9876" s="28">
        <v>46171.0</v>
      </c>
      <c r="G9876" s="29"/>
    </row>
    <row r="9877" ht="15.75" customHeight="1">
      <c r="A9877" s="33" t="s">
        <v>13552</v>
      </c>
      <c r="B9877" s="42" t="s">
        <v>466</v>
      </c>
      <c r="C9877" s="31" t="s">
        <v>950</v>
      </c>
      <c r="D9877" s="30" t="s">
        <v>3663</v>
      </c>
      <c r="E9877" s="32">
        <v>46123.0</v>
      </c>
      <c r="F9877" s="32">
        <v>46171.0</v>
      </c>
      <c r="G9877" s="33"/>
    </row>
    <row r="9878" ht="15.75" customHeight="1">
      <c r="A9878" s="29" t="s">
        <v>13553</v>
      </c>
      <c r="B9878" s="43" t="s">
        <v>485</v>
      </c>
      <c r="C9878" s="27" t="s">
        <v>950</v>
      </c>
      <c r="D9878" s="26" t="s">
        <v>3663</v>
      </c>
      <c r="E9878" s="28">
        <v>46123.0</v>
      </c>
      <c r="F9878" s="28">
        <v>46171.0</v>
      </c>
      <c r="G9878" s="29"/>
    </row>
    <row r="9879" ht="15.75" customHeight="1">
      <c r="A9879" s="33" t="s">
        <v>13554</v>
      </c>
      <c r="B9879" s="42" t="s">
        <v>506</v>
      </c>
      <c r="C9879" s="31" t="s">
        <v>950</v>
      </c>
      <c r="D9879" s="30" t="s">
        <v>3663</v>
      </c>
      <c r="E9879" s="32">
        <v>46123.0</v>
      </c>
      <c r="F9879" s="32">
        <v>46171.0</v>
      </c>
      <c r="G9879" s="33"/>
    </row>
    <row r="9880" ht="15.75" customHeight="1">
      <c r="A9880" s="29" t="s">
        <v>13555</v>
      </c>
      <c r="B9880" s="43" t="s">
        <v>511</v>
      </c>
      <c r="C9880" s="27" t="s">
        <v>950</v>
      </c>
      <c r="D9880" s="26" t="s">
        <v>3663</v>
      </c>
      <c r="E9880" s="28">
        <v>46123.0</v>
      </c>
      <c r="F9880" s="28">
        <v>46171.0</v>
      </c>
      <c r="G9880" s="29"/>
    </row>
    <row r="9881" ht="15.75" customHeight="1">
      <c r="A9881" s="33" t="s">
        <v>13556</v>
      </c>
      <c r="B9881" s="42" t="s">
        <v>536</v>
      </c>
      <c r="C9881" s="31" t="s">
        <v>950</v>
      </c>
      <c r="D9881" s="30" t="s">
        <v>3663</v>
      </c>
      <c r="E9881" s="32">
        <v>46123.0</v>
      </c>
      <c r="F9881" s="32">
        <v>46171.0</v>
      </c>
      <c r="G9881" s="33"/>
    </row>
    <row r="9882" ht="15.75" customHeight="1">
      <c r="A9882" s="29" t="s">
        <v>13557</v>
      </c>
      <c r="B9882" s="43" t="s">
        <v>544</v>
      </c>
      <c r="C9882" s="27" t="s">
        <v>950</v>
      </c>
      <c r="D9882" s="26" t="s">
        <v>3663</v>
      </c>
      <c r="E9882" s="28">
        <v>46123.0</v>
      </c>
      <c r="F9882" s="28">
        <v>46171.0</v>
      </c>
      <c r="G9882" s="29"/>
    </row>
    <row r="9883" ht="15.75" customHeight="1">
      <c r="A9883" s="33" t="s">
        <v>13558</v>
      </c>
      <c r="B9883" s="42" t="s">
        <v>583</v>
      </c>
      <c r="C9883" s="31" t="s">
        <v>950</v>
      </c>
      <c r="D9883" s="30" t="s">
        <v>3663</v>
      </c>
      <c r="E9883" s="32">
        <v>46123.0</v>
      </c>
      <c r="F9883" s="32">
        <v>46171.0</v>
      </c>
      <c r="G9883" s="33"/>
    </row>
    <row r="9884" ht="15.75" customHeight="1">
      <c r="A9884" s="29" t="s">
        <v>13559</v>
      </c>
      <c r="B9884" s="43" t="s">
        <v>585</v>
      </c>
      <c r="C9884" s="27" t="s">
        <v>950</v>
      </c>
      <c r="D9884" s="26" t="s">
        <v>3663</v>
      </c>
      <c r="E9884" s="28">
        <v>46123.0</v>
      </c>
      <c r="F9884" s="28">
        <v>46171.0</v>
      </c>
      <c r="G9884" s="29"/>
    </row>
    <row r="9885" ht="15.75" customHeight="1">
      <c r="A9885" s="33" t="s">
        <v>13560</v>
      </c>
      <c r="B9885" s="42" t="s">
        <v>598</v>
      </c>
      <c r="C9885" s="31" t="s">
        <v>950</v>
      </c>
      <c r="D9885" s="30" t="s">
        <v>3663</v>
      </c>
      <c r="E9885" s="32">
        <v>46123.0</v>
      </c>
      <c r="F9885" s="32">
        <v>46171.0</v>
      </c>
      <c r="G9885" s="33"/>
    </row>
    <row r="9886" ht="15.75" customHeight="1">
      <c r="A9886" s="29" t="s">
        <v>13561</v>
      </c>
      <c r="B9886" s="43" t="s">
        <v>1264</v>
      </c>
      <c r="C9886" s="27" t="s">
        <v>950</v>
      </c>
      <c r="D9886" s="26" t="s">
        <v>3663</v>
      </c>
      <c r="E9886" s="28">
        <v>46123.0</v>
      </c>
      <c r="F9886" s="28">
        <v>46171.0</v>
      </c>
      <c r="G9886" s="29"/>
    </row>
    <row r="9887" ht="15.75" customHeight="1">
      <c r="A9887" s="33" t="s">
        <v>13562</v>
      </c>
      <c r="B9887" s="42" t="s">
        <v>627</v>
      </c>
      <c r="C9887" s="31" t="s">
        <v>950</v>
      </c>
      <c r="D9887" s="30" t="s">
        <v>3663</v>
      </c>
      <c r="E9887" s="32">
        <v>46123.0</v>
      </c>
      <c r="F9887" s="32">
        <v>46171.0</v>
      </c>
      <c r="G9887" s="33"/>
    </row>
    <row r="9888" ht="15.75" customHeight="1">
      <c r="A9888" s="29" t="s">
        <v>13563</v>
      </c>
      <c r="B9888" s="43" t="s">
        <v>641</v>
      </c>
      <c r="C9888" s="27" t="s">
        <v>950</v>
      </c>
      <c r="D9888" s="26" t="s">
        <v>3663</v>
      </c>
      <c r="E9888" s="28">
        <v>46123.0</v>
      </c>
      <c r="F9888" s="28">
        <v>46171.0</v>
      </c>
      <c r="G9888" s="29"/>
    </row>
    <row r="9889" ht="15.75" customHeight="1">
      <c r="A9889" s="33" t="s">
        <v>13564</v>
      </c>
      <c r="B9889" s="42" t="s">
        <v>645</v>
      </c>
      <c r="C9889" s="31" t="s">
        <v>950</v>
      </c>
      <c r="D9889" s="30" t="s">
        <v>3663</v>
      </c>
      <c r="E9889" s="32">
        <v>46123.0</v>
      </c>
      <c r="F9889" s="32">
        <v>46171.0</v>
      </c>
      <c r="G9889" s="33"/>
    </row>
    <row r="9890" ht="15.75" customHeight="1">
      <c r="A9890" s="29" t="s">
        <v>13565</v>
      </c>
      <c r="B9890" s="43" t="s">
        <v>658</v>
      </c>
      <c r="C9890" s="27" t="s">
        <v>950</v>
      </c>
      <c r="D9890" s="26" t="s">
        <v>3663</v>
      </c>
      <c r="E9890" s="28">
        <v>46123.0</v>
      </c>
      <c r="F9890" s="28">
        <v>46171.0</v>
      </c>
      <c r="G9890" s="29"/>
    </row>
    <row r="9891" ht="15.75" customHeight="1">
      <c r="A9891" s="33" t="s">
        <v>13566</v>
      </c>
      <c r="B9891" s="42" t="s">
        <v>662</v>
      </c>
      <c r="C9891" s="31" t="s">
        <v>950</v>
      </c>
      <c r="D9891" s="30" t="s">
        <v>3663</v>
      </c>
      <c r="E9891" s="32">
        <v>46123.0</v>
      </c>
      <c r="F9891" s="32">
        <v>46171.0</v>
      </c>
      <c r="G9891" s="33"/>
    </row>
    <row r="9892" ht="15.75" customHeight="1">
      <c r="A9892" s="29" t="s">
        <v>13567</v>
      </c>
      <c r="B9892" s="43" t="s">
        <v>677</v>
      </c>
      <c r="C9892" s="27" t="s">
        <v>950</v>
      </c>
      <c r="D9892" s="26" t="s">
        <v>3663</v>
      </c>
      <c r="E9892" s="28">
        <v>46123.0</v>
      </c>
      <c r="F9892" s="28">
        <v>46171.0</v>
      </c>
      <c r="G9892" s="29"/>
    </row>
    <row r="9893" ht="15.75" customHeight="1">
      <c r="A9893" s="33" t="s">
        <v>13568</v>
      </c>
      <c r="B9893" s="42" t="s">
        <v>687</v>
      </c>
      <c r="C9893" s="31" t="s">
        <v>950</v>
      </c>
      <c r="D9893" s="30" t="s">
        <v>3663</v>
      </c>
      <c r="E9893" s="32">
        <v>46123.0</v>
      </c>
      <c r="F9893" s="32">
        <v>46171.0</v>
      </c>
      <c r="G9893" s="33"/>
    </row>
    <row r="9894" ht="15.75" customHeight="1">
      <c r="A9894" s="29" t="s">
        <v>13569</v>
      </c>
      <c r="B9894" s="43" t="s">
        <v>716</v>
      </c>
      <c r="C9894" s="27" t="s">
        <v>950</v>
      </c>
      <c r="D9894" s="26" t="s">
        <v>3663</v>
      </c>
      <c r="E9894" s="28">
        <v>46123.0</v>
      </c>
      <c r="F9894" s="28">
        <v>46171.0</v>
      </c>
      <c r="G9894" s="29"/>
    </row>
    <row r="9895" ht="15.75" customHeight="1">
      <c r="A9895" s="33" t="s">
        <v>13570</v>
      </c>
      <c r="B9895" s="42" t="s">
        <v>724</v>
      </c>
      <c r="C9895" s="31" t="s">
        <v>950</v>
      </c>
      <c r="D9895" s="30" t="s">
        <v>3663</v>
      </c>
      <c r="E9895" s="32">
        <v>46123.0</v>
      </c>
      <c r="F9895" s="32">
        <v>46171.0</v>
      </c>
      <c r="G9895" s="33"/>
    </row>
    <row r="9896" ht="15.75" customHeight="1">
      <c r="A9896" s="29" t="s">
        <v>13571</v>
      </c>
      <c r="B9896" s="43" t="s">
        <v>726</v>
      </c>
      <c r="C9896" s="27" t="s">
        <v>950</v>
      </c>
      <c r="D9896" s="26" t="s">
        <v>3663</v>
      </c>
      <c r="E9896" s="28">
        <v>46123.0</v>
      </c>
      <c r="F9896" s="28">
        <v>46171.0</v>
      </c>
      <c r="G9896" s="29"/>
    </row>
    <row r="9897" ht="15.75" customHeight="1">
      <c r="A9897" s="33" t="s">
        <v>13572</v>
      </c>
      <c r="B9897" s="42" t="s">
        <v>745</v>
      </c>
      <c r="C9897" s="31" t="s">
        <v>950</v>
      </c>
      <c r="D9897" s="30" t="s">
        <v>3663</v>
      </c>
      <c r="E9897" s="32">
        <v>46123.0</v>
      </c>
      <c r="F9897" s="32">
        <v>46171.0</v>
      </c>
      <c r="G9897" s="33"/>
    </row>
    <row r="9898" ht="15.75" customHeight="1">
      <c r="A9898" s="29" t="s">
        <v>13573</v>
      </c>
      <c r="B9898" s="43" t="s">
        <v>754</v>
      </c>
      <c r="C9898" s="27" t="s">
        <v>950</v>
      </c>
      <c r="D9898" s="26" t="s">
        <v>3663</v>
      </c>
      <c r="E9898" s="28">
        <v>46123.0</v>
      </c>
      <c r="F9898" s="28">
        <v>46171.0</v>
      </c>
      <c r="G9898" s="29"/>
    </row>
    <row r="9899" ht="15.75" customHeight="1">
      <c r="A9899" s="33" t="s">
        <v>13574</v>
      </c>
      <c r="B9899" s="42" t="s">
        <v>775</v>
      </c>
      <c r="C9899" s="31" t="s">
        <v>950</v>
      </c>
      <c r="D9899" s="30" t="s">
        <v>3663</v>
      </c>
      <c r="E9899" s="32">
        <v>46123.0</v>
      </c>
      <c r="F9899" s="32">
        <v>46171.0</v>
      </c>
      <c r="G9899" s="33"/>
    </row>
    <row r="9900" ht="15.75" customHeight="1">
      <c r="A9900" s="29" t="s">
        <v>13575</v>
      </c>
      <c r="B9900" s="43" t="s">
        <v>781</v>
      </c>
      <c r="C9900" s="27" t="s">
        <v>950</v>
      </c>
      <c r="D9900" s="26" t="s">
        <v>3663</v>
      </c>
      <c r="E9900" s="28">
        <v>46123.0</v>
      </c>
      <c r="F9900" s="28">
        <v>46171.0</v>
      </c>
      <c r="G9900" s="29"/>
    </row>
    <row r="9901" ht="15.75" customHeight="1">
      <c r="A9901" s="33" t="s">
        <v>13576</v>
      </c>
      <c r="B9901" s="42" t="s">
        <v>1329</v>
      </c>
      <c r="C9901" s="31" t="s">
        <v>950</v>
      </c>
      <c r="D9901" s="30" t="s">
        <v>3663</v>
      </c>
      <c r="E9901" s="32">
        <v>46123.0</v>
      </c>
      <c r="F9901" s="32">
        <v>46171.0</v>
      </c>
      <c r="G9901" s="33"/>
    </row>
    <row r="9902" ht="15.75" customHeight="1">
      <c r="A9902" s="29" t="s">
        <v>13577</v>
      </c>
      <c r="B9902" s="43" t="s">
        <v>816</v>
      </c>
      <c r="C9902" s="27" t="s">
        <v>950</v>
      </c>
      <c r="D9902" s="26" t="s">
        <v>3663</v>
      </c>
      <c r="E9902" s="28">
        <v>46123.0</v>
      </c>
      <c r="F9902" s="28">
        <v>46171.0</v>
      </c>
      <c r="G9902" s="29"/>
    </row>
    <row r="9903" ht="15.75" customHeight="1">
      <c r="A9903" s="33" t="s">
        <v>13578</v>
      </c>
      <c r="B9903" s="42" t="s">
        <v>233</v>
      </c>
      <c r="C9903" s="31" t="s">
        <v>950</v>
      </c>
      <c r="D9903" s="30" t="s">
        <v>3663</v>
      </c>
      <c r="E9903" s="32">
        <v>46123.0</v>
      </c>
      <c r="F9903" s="32">
        <v>46171.0</v>
      </c>
      <c r="G9903" s="33"/>
    </row>
    <row r="9904" ht="15.75" customHeight="1">
      <c r="A9904" s="29" t="s">
        <v>13579</v>
      </c>
      <c r="B9904" s="43" t="s">
        <v>2347</v>
      </c>
      <c r="C9904" s="27" t="s">
        <v>950</v>
      </c>
      <c r="D9904" s="26" t="s">
        <v>3663</v>
      </c>
      <c r="E9904" s="28">
        <v>46123.0</v>
      </c>
      <c r="F9904" s="28">
        <v>46171.0</v>
      </c>
      <c r="G9904" s="29"/>
    </row>
    <row r="9905" ht="15.75" customHeight="1">
      <c r="A9905" s="33" t="s">
        <v>13580</v>
      </c>
      <c r="B9905" s="42" t="s">
        <v>277</v>
      </c>
      <c r="C9905" s="31" t="s">
        <v>950</v>
      </c>
      <c r="D9905" s="30" t="s">
        <v>3663</v>
      </c>
      <c r="E9905" s="32">
        <v>46123.0</v>
      </c>
      <c r="F9905" s="32">
        <v>46171.0</v>
      </c>
      <c r="G9905" s="33"/>
    </row>
    <row r="9906" ht="15.75" customHeight="1">
      <c r="A9906" s="29" t="s">
        <v>13581</v>
      </c>
      <c r="B9906" s="43" t="s">
        <v>284</v>
      </c>
      <c r="C9906" s="27" t="s">
        <v>950</v>
      </c>
      <c r="D9906" s="26" t="s">
        <v>3663</v>
      </c>
      <c r="E9906" s="28">
        <v>46123.0</v>
      </c>
      <c r="F9906" s="28">
        <v>46171.0</v>
      </c>
      <c r="G9906" s="29"/>
    </row>
    <row r="9907" ht="15.75" customHeight="1">
      <c r="A9907" s="33" t="s">
        <v>13582</v>
      </c>
      <c r="B9907" s="42" t="s">
        <v>317</v>
      </c>
      <c r="C9907" s="31" t="s">
        <v>950</v>
      </c>
      <c r="D9907" s="30" t="s">
        <v>3663</v>
      </c>
      <c r="E9907" s="32">
        <v>46123.0</v>
      </c>
      <c r="F9907" s="32">
        <v>46171.0</v>
      </c>
      <c r="G9907" s="33"/>
    </row>
    <row r="9908" ht="15.75" customHeight="1">
      <c r="A9908" s="29" t="s">
        <v>13583</v>
      </c>
      <c r="B9908" s="43" t="s">
        <v>319</v>
      </c>
      <c r="C9908" s="27" t="s">
        <v>950</v>
      </c>
      <c r="D9908" s="26" t="s">
        <v>3663</v>
      </c>
      <c r="E9908" s="28">
        <v>46123.0</v>
      </c>
      <c r="F9908" s="28">
        <v>46171.0</v>
      </c>
      <c r="G9908" s="29"/>
    </row>
    <row r="9909" ht="15.75" customHeight="1">
      <c r="A9909" s="33" t="s">
        <v>13584</v>
      </c>
      <c r="B9909" s="42" t="s">
        <v>358</v>
      </c>
      <c r="C9909" s="31" t="s">
        <v>950</v>
      </c>
      <c r="D9909" s="30" t="s">
        <v>3663</v>
      </c>
      <c r="E9909" s="32">
        <v>46123.0</v>
      </c>
      <c r="F9909" s="32">
        <v>46171.0</v>
      </c>
      <c r="G9909" s="33"/>
    </row>
    <row r="9910" ht="15.75" customHeight="1">
      <c r="A9910" s="29" t="s">
        <v>13585</v>
      </c>
      <c r="B9910" s="43" t="s">
        <v>380</v>
      </c>
      <c r="C9910" s="27" t="s">
        <v>950</v>
      </c>
      <c r="D9910" s="26" t="s">
        <v>3663</v>
      </c>
      <c r="E9910" s="28">
        <v>46123.0</v>
      </c>
      <c r="F9910" s="28">
        <v>46171.0</v>
      </c>
      <c r="G9910" s="29"/>
    </row>
    <row r="9911" ht="15.75" customHeight="1">
      <c r="A9911" s="33" t="s">
        <v>13586</v>
      </c>
      <c r="B9911" s="42" t="s">
        <v>382</v>
      </c>
      <c r="C9911" s="31" t="s">
        <v>950</v>
      </c>
      <c r="D9911" s="30" t="s">
        <v>3663</v>
      </c>
      <c r="E9911" s="32">
        <v>46123.0</v>
      </c>
      <c r="F9911" s="32">
        <v>46171.0</v>
      </c>
      <c r="G9911" s="33"/>
    </row>
    <row r="9912" ht="15.75" customHeight="1">
      <c r="A9912" s="29" t="s">
        <v>13587</v>
      </c>
      <c r="B9912" s="43" t="s">
        <v>415</v>
      </c>
      <c r="C9912" s="27" t="s">
        <v>950</v>
      </c>
      <c r="D9912" s="26" t="s">
        <v>3663</v>
      </c>
      <c r="E9912" s="28">
        <v>46123.0</v>
      </c>
      <c r="F9912" s="28">
        <v>46171.0</v>
      </c>
      <c r="G9912" s="29"/>
    </row>
    <row r="9913" ht="15.75" customHeight="1">
      <c r="A9913" s="33" t="s">
        <v>13588</v>
      </c>
      <c r="B9913" s="42" t="s">
        <v>2505</v>
      </c>
      <c r="C9913" s="31" t="s">
        <v>950</v>
      </c>
      <c r="D9913" s="30" t="s">
        <v>3663</v>
      </c>
      <c r="E9913" s="32">
        <v>46123.0</v>
      </c>
      <c r="F9913" s="32">
        <v>46171.0</v>
      </c>
      <c r="G9913" s="33"/>
    </row>
    <row r="9914" ht="15.75" customHeight="1">
      <c r="A9914" s="29" t="s">
        <v>13589</v>
      </c>
      <c r="B9914" s="43" t="s">
        <v>417</v>
      </c>
      <c r="C9914" s="27" t="s">
        <v>950</v>
      </c>
      <c r="D9914" s="26" t="s">
        <v>3663</v>
      </c>
      <c r="E9914" s="28">
        <v>46123.0</v>
      </c>
      <c r="F9914" s="28">
        <v>46171.0</v>
      </c>
      <c r="G9914" s="29"/>
    </row>
    <row r="9915" ht="15.75" customHeight="1">
      <c r="A9915" s="33" t="s">
        <v>13590</v>
      </c>
      <c r="B9915" s="42" t="s">
        <v>439</v>
      </c>
      <c r="C9915" s="31" t="s">
        <v>950</v>
      </c>
      <c r="D9915" s="30" t="s">
        <v>3663</v>
      </c>
      <c r="E9915" s="32">
        <v>46123.0</v>
      </c>
      <c r="F9915" s="32">
        <v>46171.0</v>
      </c>
      <c r="G9915" s="33"/>
    </row>
    <row r="9916" ht="15.75" customHeight="1">
      <c r="A9916" s="29" t="s">
        <v>13591</v>
      </c>
      <c r="B9916" s="43" t="s">
        <v>13592</v>
      </c>
      <c r="C9916" s="27" t="s">
        <v>950</v>
      </c>
      <c r="D9916" s="26" t="s">
        <v>3663</v>
      </c>
      <c r="E9916" s="28">
        <v>46123.0</v>
      </c>
      <c r="F9916" s="28">
        <v>46171.0</v>
      </c>
      <c r="G9916" s="29"/>
    </row>
    <row r="9917" ht="15.75" customHeight="1">
      <c r="A9917" s="33" t="s">
        <v>13593</v>
      </c>
      <c r="B9917" s="42" t="s">
        <v>499</v>
      </c>
      <c r="C9917" s="31" t="s">
        <v>950</v>
      </c>
      <c r="D9917" s="30" t="s">
        <v>3663</v>
      </c>
      <c r="E9917" s="32">
        <v>46123.0</v>
      </c>
      <c r="F9917" s="32">
        <v>46171.0</v>
      </c>
      <c r="G9917" s="33"/>
    </row>
    <row r="9918" ht="15.75" customHeight="1">
      <c r="A9918" s="29" t="s">
        <v>13594</v>
      </c>
      <c r="B9918" s="43" t="s">
        <v>527</v>
      </c>
      <c r="C9918" s="27" t="s">
        <v>950</v>
      </c>
      <c r="D9918" s="26" t="s">
        <v>3663</v>
      </c>
      <c r="E9918" s="28">
        <v>46123.0</v>
      </c>
      <c r="F9918" s="28">
        <v>46171.0</v>
      </c>
      <c r="G9918" s="29"/>
    </row>
    <row r="9919" ht="15.75" customHeight="1">
      <c r="A9919" s="33" t="s">
        <v>13595</v>
      </c>
      <c r="B9919" s="42" t="s">
        <v>542</v>
      </c>
      <c r="C9919" s="31" t="s">
        <v>950</v>
      </c>
      <c r="D9919" s="30" t="s">
        <v>3663</v>
      </c>
      <c r="E9919" s="32">
        <v>46123.0</v>
      </c>
      <c r="F9919" s="32">
        <v>46171.0</v>
      </c>
      <c r="G9919" s="33"/>
    </row>
    <row r="9920" ht="15.75" customHeight="1">
      <c r="A9920" s="29" t="s">
        <v>13596</v>
      </c>
      <c r="B9920" s="43" t="s">
        <v>574</v>
      </c>
      <c r="C9920" s="27" t="s">
        <v>950</v>
      </c>
      <c r="D9920" s="26" t="s">
        <v>3663</v>
      </c>
      <c r="E9920" s="28">
        <v>46123.0</v>
      </c>
      <c r="F9920" s="28">
        <v>46171.0</v>
      </c>
      <c r="G9920" s="29"/>
    </row>
    <row r="9921" ht="15.75" customHeight="1">
      <c r="A9921" s="33" t="s">
        <v>13597</v>
      </c>
      <c r="B9921" s="42" t="s">
        <v>575</v>
      </c>
      <c r="C9921" s="31" t="s">
        <v>950</v>
      </c>
      <c r="D9921" s="30" t="s">
        <v>3663</v>
      </c>
      <c r="E9921" s="32">
        <v>46123.0</v>
      </c>
      <c r="F9921" s="32">
        <v>46171.0</v>
      </c>
      <c r="G9921" s="33"/>
    </row>
    <row r="9922" ht="15.75" customHeight="1">
      <c r="A9922" s="29" t="s">
        <v>13598</v>
      </c>
      <c r="B9922" s="43" t="s">
        <v>584</v>
      </c>
      <c r="C9922" s="27" t="s">
        <v>950</v>
      </c>
      <c r="D9922" s="26" t="s">
        <v>3663</v>
      </c>
      <c r="E9922" s="28">
        <v>46123.0</v>
      </c>
      <c r="F9922" s="28">
        <v>46171.0</v>
      </c>
      <c r="G9922" s="29"/>
    </row>
    <row r="9923" ht="15.75" customHeight="1">
      <c r="A9923" s="33" t="s">
        <v>13599</v>
      </c>
      <c r="B9923" s="42" t="s">
        <v>586</v>
      </c>
      <c r="C9923" s="31" t="s">
        <v>950</v>
      </c>
      <c r="D9923" s="30" t="s">
        <v>3663</v>
      </c>
      <c r="E9923" s="32">
        <v>46123.0</v>
      </c>
      <c r="F9923" s="32">
        <v>46171.0</v>
      </c>
      <c r="G9923" s="33"/>
    </row>
    <row r="9924" ht="15.75" customHeight="1">
      <c r="A9924" s="29" t="s">
        <v>13600</v>
      </c>
      <c r="B9924" s="43" t="s">
        <v>592</v>
      </c>
      <c r="C9924" s="27" t="s">
        <v>950</v>
      </c>
      <c r="D9924" s="26" t="s">
        <v>3663</v>
      </c>
      <c r="E9924" s="28">
        <v>46123.0</v>
      </c>
      <c r="F9924" s="28">
        <v>46171.0</v>
      </c>
      <c r="G9924" s="29"/>
    </row>
    <row r="9925" ht="15.75" customHeight="1">
      <c r="A9925" s="33" t="s">
        <v>13601</v>
      </c>
      <c r="B9925" s="42" t="s">
        <v>631</v>
      </c>
      <c r="C9925" s="31" t="s">
        <v>950</v>
      </c>
      <c r="D9925" s="30" t="s">
        <v>3663</v>
      </c>
      <c r="E9925" s="32">
        <v>46123.0</v>
      </c>
      <c r="F9925" s="32">
        <v>46171.0</v>
      </c>
      <c r="G9925" s="33"/>
    </row>
    <row r="9926" ht="15.75" customHeight="1">
      <c r="A9926" s="29" t="s">
        <v>13602</v>
      </c>
      <c r="B9926" s="43" t="s">
        <v>678</v>
      </c>
      <c r="C9926" s="27" t="s">
        <v>950</v>
      </c>
      <c r="D9926" s="26" t="s">
        <v>3663</v>
      </c>
      <c r="E9926" s="28">
        <v>46123.0</v>
      </c>
      <c r="F9926" s="28">
        <v>46171.0</v>
      </c>
      <c r="G9926" s="29"/>
    </row>
    <row r="9927" ht="15.75" customHeight="1">
      <c r="A9927" s="33" t="s">
        <v>13603</v>
      </c>
      <c r="B9927" s="42" t="s">
        <v>690</v>
      </c>
      <c r="C9927" s="31" t="s">
        <v>950</v>
      </c>
      <c r="D9927" s="30" t="s">
        <v>3663</v>
      </c>
      <c r="E9927" s="32">
        <v>46123.0</v>
      </c>
      <c r="F9927" s="32">
        <v>46171.0</v>
      </c>
      <c r="G9927" s="33"/>
    </row>
    <row r="9928" ht="15.75" customHeight="1">
      <c r="A9928" s="29" t="s">
        <v>13604</v>
      </c>
      <c r="B9928" s="43" t="s">
        <v>711</v>
      </c>
      <c r="C9928" s="27" t="s">
        <v>950</v>
      </c>
      <c r="D9928" s="26" t="s">
        <v>3663</v>
      </c>
      <c r="E9928" s="28">
        <v>46123.0</v>
      </c>
      <c r="F9928" s="28">
        <v>46171.0</v>
      </c>
      <c r="G9928" s="29"/>
    </row>
    <row r="9929" ht="15.75" customHeight="1">
      <c r="A9929" s="33" t="s">
        <v>13605</v>
      </c>
      <c r="B9929" s="42" t="s">
        <v>755</v>
      </c>
      <c r="C9929" s="31" t="s">
        <v>950</v>
      </c>
      <c r="D9929" s="30" t="s">
        <v>3663</v>
      </c>
      <c r="E9929" s="32">
        <v>46123.0</v>
      </c>
      <c r="F9929" s="32">
        <v>46171.0</v>
      </c>
      <c r="G9929" s="33"/>
    </row>
    <row r="9930" ht="15.75" customHeight="1">
      <c r="A9930" s="29" t="s">
        <v>13606</v>
      </c>
      <c r="B9930" s="43" t="s">
        <v>757</v>
      </c>
      <c r="C9930" s="27" t="s">
        <v>950</v>
      </c>
      <c r="D9930" s="26" t="s">
        <v>3663</v>
      </c>
      <c r="E9930" s="28">
        <v>46123.0</v>
      </c>
      <c r="F9930" s="28">
        <v>46171.0</v>
      </c>
      <c r="G9930" s="29"/>
    </row>
    <row r="9931" ht="15.75" customHeight="1">
      <c r="A9931" s="33" t="s">
        <v>13607</v>
      </c>
      <c r="B9931" s="42" t="s">
        <v>787</v>
      </c>
      <c r="C9931" s="31" t="s">
        <v>950</v>
      </c>
      <c r="D9931" s="30" t="s">
        <v>3663</v>
      </c>
      <c r="E9931" s="32">
        <v>46123.0</v>
      </c>
      <c r="F9931" s="32">
        <v>46171.0</v>
      </c>
      <c r="G9931" s="33"/>
    </row>
    <row r="9932" ht="15.75" customHeight="1">
      <c r="A9932" s="29" t="s">
        <v>13608</v>
      </c>
      <c r="B9932" s="43" t="s">
        <v>140</v>
      </c>
      <c r="C9932" s="27" t="s">
        <v>950</v>
      </c>
      <c r="D9932" s="26" t="s">
        <v>3663</v>
      </c>
      <c r="E9932" s="28">
        <v>46123.0</v>
      </c>
      <c r="F9932" s="28">
        <v>46171.0</v>
      </c>
      <c r="G9932" s="29"/>
    </row>
    <row r="9933" ht="15.75" customHeight="1">
      <c r="A9933" s="33" t="s">
        <v>13609</v>
      </c>
      <c r="B9933" s="42" t="s">
        <v>167</v>
      </c>
      <c r="C9933" s="31" t="s">
        <v>950</v>
      </c>
      <c r="D9933" s="30" t="s">
        <v>3663</v>
      </c>
      <c r="E9933" s="32">
        <v>46123.0</v>
      </c>
      <c r="F9933" s="32">
        <v>46171.0</v>
      </c>
      <c r="G9933" s="33"/>
    </row>
    <row r="9934" ht="15.75" customHeight="1">
      <c r="A9934" s="29" t="s">
        <v>13610</v>
      </c>
      <c r="B9934" s="43" t="s">
        <v>218</v>
      </c>
      <c r="C9934" s="27" t="s">
        <v>950</v>
      </c>
      <c r="D9934" s="26" t="s">
        <v>3663</v>
      </c>
      <c r="E9934" s="28">
        <v>46123.0</v>
      </c>
      <c r="F9934" s="28">
        <v>46171.0</v>
      </c>
      <c r="G9934" s="29"/>
    </row>
    <row r="9935" ht="15.75" customHeight="1">
      <c r="A9935" s="33" t="s">
        <v>13611</v>
      </c>
      <c r="B9935" s="42" t="s">
        <v>251</v>
      </c>
      <c r="C9935" s="31" t="s">
        <v>950</v>
      </c>
      <c r="D9935" s="30" t="s">
        <v>3663</v>
      </c>
      <c r="E9935" s="32">
        <v>46123.0</v>
      </c>
      <c r="F9935" s="32">
        <v>46171.0</v>
      </c>
      <c r="G9935" s="33"/>
    </row>
    <row r="9936" ht="15.75" customHeight="1">
      <c r="A9936" s="29" t="s">
        <v>13612</v>
      </c>
      <c r="B9936" s="43" t="s">
        <v>311</v>
      </c>
      <c r="C9936" s="27" t="s">
        <v>950</v>
      </c>
      <c r="D9936" s="26" t="s">
        <v>3663</v>
      </c>
      <c r="E9936" s="28">
        <v>46123.0</v>
      </c>
      <c r="F9936" s="28">
        <v>46171.0</v>
      </c>
      <c r="G9936" s="29"/>
    </row>
    <row r="9937" ht="15.75" customHeight="1">
      <c r="A9937" s="33" t="s">
        <v>13613</v>
      </c>
      <c r="B9937" s="42" t="s">
        <v>320</v>
      </c>
      <c r="C9937" s="31" t="s">
        <v>950</v>
      </c>
      <c r="D9937" s="30" t="s">
        <v>3663</v>
      </c>
      <c r="E9937" s="32">
        <v>46123.0</v>
      </c>
      <c r="F9937" s="32">
        <v>46171.0</v>
      </c>
      <c r="G9937" s="33"/>
    </row>
    <row r="9938" ht="15.75" customHeight="1">
      <c r="A9938" s="29" t="s">
        <v>13614</v>
      </c>
      <c r="B9938" s="43" t="s">
        <v>334</v>
      </c>
      <c r="C9938" s="27" t="s">
        <v>950</v>
      </c>
      <c r="D9938" s="26" t="s">
        <v>3663</v>
      </c>
      <c r="E9938" s="28">
        <v>46123.0</v>
      </c>
      <c r="F9938" s="28">
        <v>46171.0</v>
      </c>
      <c r="G9938" s="29"/>
    </row>
    <row r="9939" ht="15.75" customHeight="1">
      <c r="A9939" s="33" t="s">
        <v>13615</v>
      </c>
      <c r="B9939" s="42" t="s">
        <v>340</v>
      </c>
      <c r="C9939" s="31" t="s">
        <v>950</v>
      </c>
      <c r="D9939" s="30" t="s">
        <v>3663</v>
      </c>
      <c r="E9939" s="32">
        <v>46123.0</v>
      </c>
      <c r="F9939" s="32">
        <v>46171.0</v>
      </c>
      <c r="G9939" s="33"/>
    </row>
    <row r="9940" ht="15.75" customHeight="1">
      <c r="A9940" s="29" t="s">
        <v>13616</v>
      </c>
      <c r="B9940" s="43" t="s">
        <v>356</v>
      </c>
      <c r="C9940" s="27" t="s">
        <v>950</v>
      </c>
      <c r="D9940" s="26" t="s">
        <v>3663</v>
      </c>
      <c r="E9940" s="28">
        <v>46123.0</v>
      </c>
      <c r="F9940" s="28">
        <v>46171.0</v>
      </c>
      <c r="G9940" s="29"/>
    </row>
    <row r="9941" ht="15.75" customHeight="1">
      <c r="A9941" s="33" t="s">
        <v>13617</v>
      </c>
      <c r="B9941" s="42" t="s">
        <v>362</v>
      </c>
      <c r="C9941" s="31" t="s">
        <v>950</v>
      </c>
      <c r="D9941" s="30" t="s">
        <v>3663</v>
      </c>
      <c r="E9941" s="32">
        <v>46123.0</v>
      </c>
      <c r="F9941" s="32">
        <v>46171.0</v>
      </c>
      <c r="G9941" s="33"/>
    </row>
    <row r="9942" ht="15.75" customHeight="1">
      <c r="A9942" s="29" t="s">
        <v>13618</v>
      </c>
      <c r="B9942" s="43" t="s">
        <v>387</v>
      </c>
      <c r="C9942" s="27" t="s">
        <v>950</v>
      </c>
      <c r="D9942" s="26" t="s">
        <v>3663</v>
      </c>
      <c r="E9942" s="28">
        <v>46123.0</v>
      </c>
      <c r="F9942" s="28">
        <v>46171.0</v>
      </c>
      <c r="G9942" s="29"/>
    </row>
    <row r="9943" ht="15.75" customHeight="1">
      <c r="A9943" s="33" t="s">
        <v>13619</v>
      </c>
      <c r="B9943" s="42" t="s">
        <v>400</v>
      </c>
      <c r="C9943" s="31" t="s">
        <v>950</v>
      </c>
      <c r="D9943" s="30" t="s">
        <v>3663</v>
      </c>
      <c r="E9943" s="32">
        <v>46123.0</v>
      </c>
      <c r="F9943" s="32">
        <v>46171.0</v>
      </c>
      <c r="G9943" s="33"/>
    </row>
    <row r="9944" ht="15.75" customHeight="1">
      <c r="A9944" s="29" t="s">
        <v>13620</v>
      </c>
      <c r="B9944" s="43" t="s">
        <v>404</v>
      </c>
      <c r="C9944" s="27" t="s">
        <v>950</v>
      </c>
      <c r="D9944" s="26" t="s">
        <v>3663</v>
      </c>
      <c r="E9944" s="28">
        <v>46123.0</v>
      </c>
      <c r="F9944" s="28">
        <v>46171.0</v>
      </c>
      <c r="G9944" s="29"/>
    </row>
    <row r="9945" ht="15.75" customHeight="1">
      <c r="A9945" s="33" t="s">
        <v>13621</v>
      </c>
      <c r="B9945" s="42" t="s">
        <v>408</v>
      </c>
      <c r="C9945" s="31" t="s">
        <v>950</v>
      </c>
      <c r="D9945" s="30" t="s">
        <v>3663</v>
      </c>
      <c r="E9945" s="32">
        <v>46123.0</v>
      </c>
      <c r="F9945" s="32">
        <v>46171.0</v>
      </c>
      <c r="G9945" s="33"/>
    </row>
    <row r="9946" ht="15.75" customHeight="1">
      <c r="A9946" s="29" t="s">
        <v>13622</v>
      </c>
      <c r="B9946" s="43" t="s">
        <v>441</v>
      </c>
      <c r="C9946" s="27" t="s">
        <v>950</v>
      </c>
      <c r="D9946" s="26" t="s">
        <v>3663</v>
      </c>
      <c r="E9946" s="28">
        <v>46123.0</v>
      </c>
      <c r="F9946" s="28">
        <v>46171.0</v>
      </c>
      <c r="G9946" s="29"/>
    </row>
    <row r="9947" ht="15.75" customHeight="1">
      <c r="A9947" s="33" t="s">
        <v>13623</v>
      </c>
      <c r="B9947" s="42" t="s">
        <v>457</v>
      </c>
      <c r="C9947" s="31" t="s">
        <v>950</v>
      </c>
      <c r="D9947" s="30" t="s">
        <v>3663</v>
      </c>
      <c r="E9947" s="32">
        <v>46123.0</v>
      </c>
      <c r="F9947" s="32">
        <v>46171.0</v>
      </c>
      <c r="G9947" s="33"/>
    </row>
    <row r="9948" ht="15.75" customHeight="1">
      <c r="A9948" s="29" t="s">
        <v>13624</v>
      </c>
      <c r="B9948" s="43" t="s">
        <v>481</v>
      </c>
      <c r="C9948" s="27" t="s">
        <v>950</v>
      </c>
      <c r="D9948" s="26" t="s">
        <v>3663</v>
      </c>
      <c r="E9948" s="28">
        <v>46123.0</v>
      </c>
      <c r="F9948" s="28">
        <v>46171.0</v>
      </c>
      <c r="G9948" s="29"/>
    </row>
    <row r="9949" ht="15.75" customHeight="1">
      <c r="A9949" s="33" t="s">
        <v>13625</v>
      </c>
      <c r="B9949" s="42" t="s">
        <v>492</v>
      </c>
      <c r="C9949" s="31" t="s">
        <v>950</v>
      </c>
      <c r="D9949" s="30" t="s">
        <v>3663</v>
      </c>
      <c r="E9949" s="32">
        <v>46123.0</v>
      </c>
      <c r="F9949" s="32">
        <v>46171.0</v>
      </c>
      <c r="G9949" s="33"/>
    </row>
    <row r="9950" ht="15.75" customHeight="1">
      <c r="A9950" s="29" t="s">
        <v>13626</v>
      </c>
      <c r="B9950" s="43" t="s">
        <v>497</v>
      </c>
      <c r="C9950" s="27" t="s">
        <v>950</v>
      </c>
      <c r="D9950" s="26" t="s">
        <v>3663</v>
      </c>
      <c r="E9950" s="28">
        <v>46123.0</v>
      </c>
      <c r="F9950" s="28">
        <v>46171.0</v>
      </c>
      <c r="G9950" s="29"/>
    </row>
    <row r="9951" ht="15.75" customHeight="1">
      <c r="A9951" s="33" t="s">
        <v>13627</v>
      </c>
      <c r="B9951" s="42" t="s">
        <v>564</v>
      </c>
      <c r="C9951" s="31" t="s">
        <v>950</v>
      </c>
      <c r="D9951" s="30" t="s">
        <v>3663</v>
      </c>
      <c r="E9951" s="32">
        <v>46123.0</v>
      </c>
      <c r="F9951" s="32">
        <v>46171.0</v>
      </c>
      <c r="G9951" s="33"/>
    </row>
    <row r="9952" ht="15.75" customHeight="1">
      <c r="A9952" s="29" t="s">
        <v>13628</v>
      </c>
      <c r="B9952" s="43" t="s">
        <v>580</v>
      </c>
      <c r="C9952" s="27" t="s">
        <v>950</v>
      </c>
      <c r="D9952" s="26" t="s">
        <v>3663</v>
      </c>
      <c r="E9952" s="28">
        <v>46123.0</v>
      </c>
      <c r="F9952" s="28">
        <v>46171.0</v>
      </c>
      <c r="G9952" s="29"/>
    </row>
    <row r="9953" ht="15.75" customHeight="1">
      <c r="A9953" s="33" t="s">
        <v>13629</v>
      </c>
      <c r="B9953" s="42" t="s">
        <v>589</v>
      </c>
      <c r="C9953" s="31" t="s">
        <v>950</v>
      </c>
      <c r="D9953" s="30" t="s">
        <v>3663</v>
      </c>
      <c r="E9953" s="32">
        <v>46123.0</v>
      </c>
      <c r="F9953" s="32">
        <v>46171.0</v>
      </c>
      <c r="G9953" s="33"/>
    </row>
    <row r="9954" ht="15.75" customHeight="1">
      <c r="A9954" s="29" t="s">
        <v>13630</v>
      </c>
      <c r="B9954" s="43" t="s">
        <v>600</v>
      </c>
      <c r="C9954" s="27" t="s">
        <v>950</v>
      </c>
      <c r="D9954" s="26" t="s">
        <v>3663</v>
      </c>
      <c r="E9954" s="28">
        <v>46123.0</v>
      </c>
      <c r="F9954" s="28">
        <v>46171.0</v>
      </c>
      <c r="G9954" s="29"/>
    </row>
    <row r="9955" ht="15.75" customHeight="1">
      <c r="A9955" s="33" t="s">
        <v>13631</v>
      </c>
      <c r="B9955" s="42" t="s">
        <v>611</v>
      </c>
      <c r="C9955" s="31" t="s">
        <v>950</v>
      </c>
      <c r="D9955" s="30" t="s">
        <v>3663</v>
      </c>
      <c r="E9955" s="32">
        <v>46123.0</v>
      </c>
      <c r="F9955" s="32">
        <v>46171.0</v>
      </c>
      <c r="G9955" s="33"/>
    </row>
    <row r="9956" ht="15.75" customHeight="1">
      <c r="A9956" s="29" t="s">
        <v>13632</v>
      </c>
      <c r="B9956" s="43" t="s">
        <v>642</v>
      </c>
      <c r="C9956" s="27" t="s">
        <v>950</v>
      </c>
      <c r="D9956" s="26" t="s">
        <v>3663</v>
      </c>
      <c r="E9956" s="28">
        <v>46123.0</v>
      </c>
      <c r="F9956" s="28">
        <v>46171.0</v>
      </c>
      <c r="G9956" s="29"/>
    </row>
    <row r="9957" ht="15.75" customHeight="1">
      <c r="A9957" s="33" t="s">
        <v>13633</v>
      </c>
      <c r="B9957" s="42" t="s">
        <v>691</v>
      </c>
      <c r="C9957" s="31" t="s">
        <v>950</v>
      </c>
      <c r="D9957" s="30" t="s">
        <v>3663</v>
      </c>
      <c r="E9957" s="32">
        <v>46123.0</v>
      </c>
      <c r="F9957" s="32">
        <v>46171.0</v>
      </c>
      <c r="G9957" s="33"/>
    </row>
    <row r="9958" ht="15.75" customHeight="1">
      <c r="A9958" s="29" t="s">
        <v>13634</v>
      </c>
      <c r="B9958" s="43" t="s">
        <v>719</v>
      </c>
      <c r="C9958" s="27" t="s">
        <v>950</v>
      </c>
      <c r="D9958" s="26" t="s">
        <v>3663</v>
      </c>
      <c r="E9958" s="28">
        <v>46123.0</v>
      </c>
      <c r="F9958" s="28">
        <v>46171.0</v>
      </c>
      <c r="G9958" s="29"/>
    </row>
    <row r="9959" ht="15.75" customHeight="1">
      <c r="A9959" s="33" t="s">
        <v>13635</v>
      </c>
      <c r="B9959" s="42" t="s">
        <v>735</v>
      </c>
      <c r="C9959" s="31" t="s">
        <v>950</v>
      </c>
      <c r="D9959" s="30" t="s">
        <v>3663</v>
      </c>
      <c r="E9959" s="32">
        <v>46123.0</v>
      </c>
      <c r="F9959" s="32">
        <v>46171.0</v>
      </c>
      <c r="G9959" s="33"/>
    </row>
    <row r="9960" ht="15.75" customHeight="1">
      <c r="A9960" s="29" t="s">
        <v>13636</v>
      </c>
      <c r="B9960" s="43" t="s">
        <v>780</v>
      </c>
      <c r="C9960" s="27" t="s">
        <v>950</v>
      </c>
      <c r="D9960" s="26" t="s">
        <v>3663</v>
      </c>
      <c r="E9960" s="28">
        <v>46123.0</v>
      </c>
      <c r="F9960" s="28">
        <v>46171.0</v>
      </c>
      <c r="G9960" s="29"/>
    </row>
    <row r="9961" ht="15.75" customHeight="1">
      <c r="A9961" s="33" t="s">
        <v>13637</v>
      </c>
      <c r="B9961" s="42" t="s">
        <v>783</v>
      </c>
      <c r="C9961" s="31" t="s">
        <v>950</v>
      </c>
      <c r="D9961" s="30" t="s">
        <v>3663</v>
      </c>
      <c r="E9961" s="32">
        <v>46123.0</v>
      </c>
      <c r="F9961" s="32">
        <v>46171.0</v>
      </c>
      <c r="G9961" s="33"/>
    </row>
    <row r="9962" ht="15.75" customHeight="1">
      <c r="A9962" s="29" t="s">
        <v>13638</v>
      </c>
      <c r="B9962" s="27" t="s">
        <v>13639</v>
      </c>
      <c r="C9962" s="27" t="s">
        <v>944</v>
      </c>
      <c r="D9962" s="26" t="s">
        <v>3663</v>
      </c>
      <c r="E9962" s="28">
        <v>46123.0</v>
      </c>
      <c r="F9962" s="28">
        <v>46171.0</v>
      </c>
      <c r="G9962" s="29"/>
    </row>
    <row r="9963" ht="15.75" customHeight="1">
      <c r="A9963" s="33" t="s">
        <v>13640</v>
      </c>
      <c r="B9963" s="42" t="s">
        <v>163</v>
      </c>
      <c r="C9963" s="30" t="s">
        <v>940</v>
      </c>
      <c r="D9963" s="30" t="s">
        <v>3663</v>
      </c>
      <c r="E9963" s="32">
        <v>46123.0</v>
      </c>
      <c r="F9963" s="32">
        <v>46171.0</v>
      </c>
      <c r="G9963" s="33"/>
    </row>
    <row r="9964" ht="15.75" customHeight="1">
      <c r="A9964" s="29" t="s">
        <v>13641</v>
      </c>
      <c r="B9964" s="43" t="s">
        <v>177</v>
      </c>
      <c r="C9964" s="26" t="s">
        <v>940</v>
      </c>
      <c r="D9964" s="26" t="s">
        <v>3663</v>
      </c>
      <c r="E9964" s="28">
        <v>46123.0</v>
      </c>
      <c r="F9964" s="28">
        <v>46171.0</v>
      </c>
      <c r="G9964" s="29"/>
    </row>
    <row r="9965" ht="15.75" customHeight="1">
      <c r="A9965" s="33" t="s">
        <v>13642</v>
      </c>
      <c r="B9965" s="42" t="s">
        <v>201</v>
      </c>
      <c r="C9965" s="30" t="s">
        <v>940</v>
      </c>
      <c r="D9965" s="30" t="s">
        <v>3663</v>
      </c>
      <c r="E9965" s="32">
        <v>46123.0</v>
      </c>
      <c r="F9965" s="32">
        <v>46171.0</v>
      </c>
      <c r="G9965" s="33"/>
    </row>
    <row r="9966" ht="15.75" customHeight="1">
      <c r="A9966" s="29" t="s">
        <v>13643</v>
      </c>
      <c r="B9966" s="43" t="s">
        <v>209</v>
      </c>
      <c r="C9966" s="26" t="s">
        <v>940</v>
      </c>
      <c r="D9966" s="26" t="s">
        <v>3663</v>
      </c>
      <c r="E9966" s="28">
        <v>46123.0</v>
      </c>
      <c r="F9966" s="28">
        <v>46171.0</v>
      </c>
      <c r="G9966" s="29"/>
    </row>
    <row r="9967" ht="15.75" customHeight="1">
      <c r="A9967" s="33" t="s">
        <v>13644</v>
      </c>
      <c r="B9967" s="42" t="s">
        <v>254</v>
      </c>
      <c r="C9967" s="30" t="s">
        <v>940</v>
      </c>
      <c r="D9967" s="30" t="s">
        <v>3663</v>
      </c>
      <c r="E9967" s="32">
        <v>46123.0</v>
      </c>
      <c r="F9967" s="32">
        <v>46171.0</v>
      </c>
      <c r="G9967" s="33"/>
    </row>
    <row r="9968" ht="15.75" customHeight="1">
      <c r="A9968" s="29" t="s">
        <v>13645</v>
      </c>
      <c r="B9968" s="43" t="s">
        <v>1295</v>
      </c>
      <c r="C9968" s="26" t="s">
        <v>940</v>
      </c>
      <c r="D9968" s="26" t="s">
        <v>3663</v>
      </c>
      <c r="E9968" s="28">
        <v>46123.0</v>
      </c>
      <c r="F9968" s="28">
        <v>46171.0</v>
      </c>
      <c r="G9968" s="29"/>
    </row>
    <row r="9969" ht="15.75" customHeight="1">
      <c r="A9969" s="33" t="s">
        <v>13646</v>
      </c>
      <c r="B9969" s="42" t="s">
        <v>281</v>
      </c>
      <c r="C9969" s="30" t="s">
        <v>940</v>
      </c>
      <c r="D9969" s="30" t="s">
        <v>3663</v>
      </c>
      <c r="E9969" s="32">
        <v>46123.0</v>
      </c>
      <c r="F9969" s="32">
        <v>46171.0</v>
      </c>
      <c r="G9969" s="33"/>
    </row>
    <row r="9970" ht="15.75" customHeight="1">
      <c r="A9970" s="29" t="s">
        <v>13647</v>
      </c>
      <c r="B9970" s="43" t="s">
        <v>287</v>
      </c>
      <c r="C9970" s="26" t="s">
        <v>940</v>
      </c>
      <c r="D9970" s="26" t="s">
        <v>3663</v>
      </c>
      <c r="E9970" s="28">
        <v>46123.0</v>
      </c>
      <c r="F9970" s="28">
        <v>46171.0</v>
      </c>
      <c r="G9970" s="29"/>
    </row>
    <row r="9971" ht="15.75" customHeight="1">
      <c r="A9971" s="33" t="s">
        <v>13648</v>
      </c>
      <c r="B9971" s="42" t="s">
        <v>288</v>
      </c>
      <c r="C9971" s="30" t="s">
        <v>940</v>
      </c>
      <c r="D9971" s="30" t="s">
        <v>3663</v>
      </c>
      <c r="E9971" s="32">
        <v>46123.0</v>
      </c>
      <c r="F9971" s="32">
        <v>46171.0</v>
      </c>
      <c r="G9971" s="33"/>
    </row>
    <row r="9972" ht="15.75" customHeight="1">
      <c r="A9972" s="29" t="s">
        <v>13649</v>
      </c>
      <c r="B9972" s="43" t="s">
        <v>289</v>
      </c>
      <c r="C9972" s="26" t="s">
        <v>940</v>
      </c>
      <c r="D9972" s="26" t="s">
        <v>3663</v>
      </c>
      <c r="E9972" s="28">
        <v>46123.0</v>
      </c>
      <c r="F9972" s="28">
        <v>46171.0</v>
      </c>
      <c r="G9972" s="29"/>
    </row>
    <row r="9973" ht="15.75" customHeight="1">
      <c r="A9973" s="33" t="s">
        <v>13650</v>
      </c>
      <c r="B9973" s="42" t="s">
        <v>298</v>
      </c>
      <c r="C9973" s="30" t="s">
        <v>940</v>
      </c>
      <c r="D9973" s="30" t="s">
        <v>3663</v>
      </c>
      <c r="E9973" s="32">
        <v>46123.0</v>
      </c>
      <c r="F9973" s="32">
        <v>46171.0</v>
      </c>
      <c r="G9973" s="33"/>
    </row>
    <row r="9974" ht="15.75" customHeight="1">
      <c r="A9974" s="29" t="s">
        <v>13651</v>
      </c>
      <c r="B9974" s="43" t="s">
        <v>316</v>
      </c>
      <c r="C9974" s="26" t="s">
        <v>940</v>
      </c>
      <c r="D9974" s="26" t="s">
        <v>3663</v>
      </c>
      <c r="E9974" s="28">
        <v>46123.0</v>
      </c>
      <c r="F9974" s="28">
        <v>46171.0</v>
      </c>
      <c r="G9974" s="29"/>
    </row>
    <row r="9975" ht="15.75" customHeight="1">
      <c r="A9975" s="33" t="s">
        <v>13652</v>
      </c>
      <c r="B9975" s="42" t="s">
        <v>344</v>
      </c>
      <c r="C9975" s="30" t="s">
        <v>940</v>
      </c>
      <c r="D9975" s="30" t="s">
        <v>3663</v>
      </c>
      <c r="E9975" s="32">
        <v>46123.0</v>
      </c>
      <c r="F9975" s="32">
        <v>46171.0</v>
      </c>
      <c r="G9975" s="33"/>
    </row>
    <row r="9976" ht="15.75" customHeight="1">
      <c r="A9976" s="29" t="s">
        <v>13653</v>
      </c>
      <c r="B9976" s="43" t="s">
        <v>351</v>
      </c>
      <c r="C9976" s="26" t="s">
        <v>940</v>
      </c>
      <c r="D9976" s="26" t="s">
        <v>3663</v>
      </c>
      <c r="E9976" s="28">
        <v>46123.0</v>
      </c>
      <c r="F9976" s="28">
        <v>46171.0</v>
      </c>
      <c r="G9976" s="29"/>
    </row>
    <row r="9977" ht="15.75" customHeight="1">
      <c r="A9977" s="33" t="s">
        <v>13654</v>
      </c>
      <c r="B9977" s="42" t="s">
        <v>359</v>
      </c>
      <c r="C9977" s="30" t="s">
        <v>940</v>
      </c>
      <c r="D9977" s="30" t="s">
        <v>3663</v>
      </c>
      <c r="E9977" s="32">
        <v>46123.0</v>
      </c>
      <c r="F9977" s="32">
        <v>46171.0</v>
      </c>
      <c r="G9977" s="33"/>
    </row>
    <row r="9978" ht="15.75" customHeight="1">
      <c r="A9978" s="29" t="s">
        <v>13655</v>
      </c>
      <c r="B9978" s="43" t="s">
        <v>370</v>
      </c>
      <c r="C9978" s="26" t="s">
        <v>940</v>
      </c>
      <c r="D9978" s="26" t="s">
        <v>3663</v>
      </c>
      <c r="E9978" s="28">
        <v>46123.0</v>
      </c>
      <c r="F9978" s="28">
        <v>46171.0</v>
      </c>
      <c r="G9978" s="29"/>
    </row>
    <row r="9979" ht="15.75" customHeight="1">
      <c r="A9979" s="33" t="s">
        <v>13656</v>
      </c>
      <c r="B9979" s="42" t="s">
        <v>373</v>
      </c>
      <c r="C9979" s="30" t="s">
        <v>940</v>
      </c>
      <c r="D9979" s="30" t="s">
        <v>3663</v>
      </c>
      <c r="E9979" s="32">
        <v>46123.0</v>
      </c>
      <c r="F9979" s="32">
        <v>46171.0</v>
      </c>
      <c r="G9979" s="33"/>
    </row>
    <row r="9980" ht="15.75" customHeight="1">
      <c r="A9980" s="29" t="s">
        <v>13657</v>
      </c>
      <c r="B9980" s="43" t="s">
        <v>374</v>
      </c>
      <c r="C9980" s="26" t="s">
        <v>940</v>
      </c>
      <c r="D9980" s="26" t="s">
        <v>3663</v>
      </c>
      <c r="E9980" s="28">
        <v>46123.0</v>
      </c>
      <c r="F9980" s="28">
        <v>46171.0</v>
      </c>
      <c r="G9980" s="29"/>
    </row>
    <row r="9981" ht="15.75" customHeight="1">
      <c r="A9981" s="33" t="s">
        <v>13658</v>
      </c>
      <c r="B9981" s="42" t="s">
        <v>378</v>
      </c>
      <c r="C9981" s="30" t="s">
        <v>940</v>
      </c>
      <c r="D9981" s="30" t="s">
        <v>3663</v>
      </c>
      <c r="E9981" s="32">
        <v>46123.0</v>
      </c>
      <c r="F9981" s="32">
        <v>46171.0</v>
      </c>
      <c r="G9981" s="33"/>
    </row>
    <row r="9982" ht="15.75" customHeight="1">
      <c r="A9982" s="29" t="s">
        <v>13659</v>
      </c>
      <c r="B9982" s="43" t="s">
        <v>383</v>
      </c>
      <c r="C9982" s="26" t="s">
        <v>940</v>
      </c>
      <c r="D9982" s="26" t="s">
        <v>3663</v>
      </c>
      <c r="E9982" s="28">
        <v>46123.0</v>
      </c>
      <c r="F9982" s="28">
        <v>46171.0</v>
      </c>
      <c r="G9982" s="29"/>
    </row>
    <row r="9983" ht="15.75" customHeight="1">
      <c r="A9983" s="33" t="s">
        <v>13660</v>
      </c>
      <c r="B9983" s="42" t="s">
        <v>445</v>
      </c>
      <c r="C9983" s="30" t="s">
        <v>940</v>
      </c>
      <c r="D9983" s="30" t="s">
        <v>3663</v>
      </c>
      <c r="E9983" s="32">
        <v>46123.0</v>
      </c>
      <c r="F9983" s="32">
        <v>46171.0</v>
      </c>
      <c r="G9983" s="33"/>
    </row>
    <row r="9984" ht="15.75" customHeight="1">
      <c r="A9984" s="29" t="s">
        <v>13661</v>
      </c>
      <c r="B9984" s="43" t="s">
        <v>486</v>
      </c>
      <c r="C9984" s="26" t="s">
        <v>940</v>
      </c>
      <c r="D9984" s="26" t="s">
        <v>3663</v>
      </c>
      <c r="E9984" s="28">
        <v>46123.0</v>
      </c>
      <c r="F9984" s="28">
        <v>46171.0</v>
      </c>
      <c r="G9984" s="29"/>
    </row>
    <row r="9985" ht="15.75" customHeight="1">
      <c r="A9985" s="33" t="s">
        <v>13662</v>
      </c>
      <c r="B9985" s="42" t="s">
        <v>635</v>
      </c>
      <c r="C9985" s="30" t="s">
        <v>940</v>
      </c>
      <c r="D9985" s="30" t="s">
        <v>3663</v>
      </c>
      <c r="E9985" s="32">
        <v>46123.0</v>
      </c>
      <c r="F9985" s="32">
        <v>46171.0</v>
      </c>
      <c r="G9985" s="33"/>
    </row>
    <row r="9986" ht="15.75" customHeight="1">
      <c r="A9986" s="29" t="s">
        <v>13663</v>
      </c>
      <c r="B9986" s="43" t="s">
        <v>665</v>
      </c>
      <c r="C9986" s="26" t="s">
        <v>940</v>
      </c>
      <c r="D9986" s="26" t="s">
        <v>3663</v>
      </c>
      <c r="E9986" s="28">
        <v>46123.0</v>
      </c>
      <c r="F9986" s="28">
        <v>46171.0</v>
      </c>
      <c r="G9986" s="29"/>
    </row>
    <row r="9987" ht="15.75" customHeight="1">
      <c r="A9987" s="33" t="s">
        <v>13664</v>
      </c>
      <c r="B9987" s="42" t="s">
        <v>680</v>
      </c>
      <c r="C9987" s="30" t="s">
        <v>940</v>
      </c>
      <c r="D9987" s="30" t="s">
        <v>3663</v>
      </c>
      <c r="E9987" s="32">
        <v>46123.0</v>
      </c>
      <c r="F9987" s="32">
        <v>46171.0</v>
      </c>
      <c r="G9987" s="33"/>
    </row>
    <row r="9988" ht="15.75" customHeight="1">
      <c r="A9988" s="29" t="s">
        <v>13665</v>
      </c>
      <c r="B9988" s="43" t="s">
        <v>696</v>
      </c>
      <c r="C9988" s="26" t="s">
        <v>940</v>
      </c>
      <c r="D9988" s="26" t="s">
        <v>3663</v>
      </c>
      <c r="E9988" s="28">
        <v>46123.0</v>
      </c>
      <c r="F9988" s="28">
        <v>46171.0</v>
      </c>
      <c r="G9988" s="29"/>
    </row>
    <row r="9989" ht="15.75" customHeight="1">
      <c r="A9989" s="33" t="s">
        <v>13666</v>
      </c>
      <c r="B9989" s="42" t="s">
        <v>732</v>
      </c>
      <c r="C9989" s="30" t="s">
        <v>940</v>
      </c>
      <c r="D9989" s="30" t="s">
        <v>3663</v>
      </c>
      <c r="E9989" s="32">
        <v>46123.0</v>
      </c>
      <c r="F9989" s="32">
        <v>46171.0</v>
      </c>
      <c r="G9989" s="33"/>
    </row>
    <row r="9990" ht="15.75" customHeight="1">
      <c r="A9990" s="29" t="s">
        <v>13667</v>
      </c>
      <c r="B9990" s="43" t="s">
        <v>1273</v>
      </c>
      <c r="C9990" s="26" t="s">
        <v>940</v>
      </c>
      <c r="D9990" s="26" t="s">
        <v>3663</v>
      </c>
      <c r="E9990" s="28">
        <v>46123.0</v>
      </c>
      <c r="F9990" s="28">
        <v>46171.0</v>
      </c>
      <c r="G9990" s="29"/>
    </row>
    <row r="9991" ht="15.75" customHeight="1">
      <c r="A9991" s="33" t="s">
        <v>13668</v>
      </c>
      <c r="B9991" s="42" t="s">
        <v>795</v>
      </c>
      <c r="C9991" s="30" t="s">
        <v>940</v>
      </c>
      <c r="D9991" s="30" t="s">
        <v>3663</v>
      </c>
      <c r="E9991" s="32">
        <v>46123.0</v>
      </c>
      <c r="F9991" s="32">
        <v>46171.0</v>
      </c>
      <c r="G9991" s="33"/>
    </row>
    <row r="9992" ht="15.75" customHeight="1">
      <c r="A9992" s="29" t="s">
        <v>13669</v>
      </c>
      <c r="B9992" s="43" t="s">
        <v>221</v>
      </c>
      <c r="C9992" s="26" t="s">
        <v>940</v>
      </c>
      <c r="D9992" s="26" t="s">
        <v>3663</v>
      </c>
      <c r="E9992" s="28">
        <v>46123.0</v>
      </c>
      <c r="F9992" s="28">
        <v>46171.0</v>
      </c>
      <c r="G9992" s="29"/>
    </row>
    <row r="9993" ht="15.75" customHeight="1">
      <c r="A9993" s="33" t="s">
        <v>13670</v>
      </c>
      <c r="B9993" s="42" t="s">
        <v>224</v>
      </c>
      <c r="C9993" s="30" t="s">
        <v>940</v>
      </c>
      <c r="D9993" s="30" t="s">
        <v>3663</v>
      </c>
      <c r="E9993" s="32">
        <v>46123.0</v>
      </c>
      <c r="F9993" s="32">
        <v>46171.0</v>
      </c>
      <c r="G9993" s="33"/>
    </row>
    <row r="9994" ht="15.75" customHeight="1">
      <c r="A9994" s="29" t="s">
        <v>13671</v>
      </c>
      <c r="B9994" s="43" t="s">
        <v>227</v>
      </c>
      <c r="C9994" s="26" t="s">
        <v>940</v>
      </c>
      <c r="D9994" s="26" t="s">
        <v>3663</v>
      </c>
      <c r="E9994" s="28">
        <v>46123.0</v>
      </c>
      <c r="F9994" s="28">
        <v>46171.0</v>
      </c>
      <c r="G9994" s="29"/>
    </row>
    <row r="9995" ht="15.75" customHeight="1">
      <c r="A9995" s="33" t="s">
        <v>13672</v>
      </c>
      <c r="B9995" s="42" t="s">
        <v>269</v>
      </c>
      <c r="C9995" s="30" t="s">
        <v>940</v>
      </c>
      <c r="D9995" s="30" t="s">
        <v>3663</v>
      </c>
      <c r="E9995" s="32">
        <v>46123.0</v>
      </c>
      <c r="F9995" s="32">
        <v>46171.0</v>
      </c>
      <c r="G9995" s="33"/>
    </row>
    <row r="9996" ht="15.75" customHeight="1">
      <c r="A9996" s="29" t="s">
        <v>13673</v>
      </c>
      <c r="B9996" s="43" t="s">
        <v>332</v>
      </c>
      <c r="C9996" s="26" t="s">
        <v>940</v>
      </c>
      <c r="D9996" s="26" t="s">
        <v>3663</v>
      </c>
      <c r="E9996" s="28">
        <v>46123.0</v>
      </c>
      <c r="F9996" s="28">
        <v>46171.0</v>
      </c>
      <c r="G9996" s="29"/>
    </row>
    <row r="9997" ht="15.75" customHeight="1">
      <c r="A9997" s="33" t="s">
        <v>13674</v>
      </c>
      <c r="B9997" s="42" t="s">
        <v>357</v>
      </c>
      <c r="C9997" s="30" t="s">
        <v>940</v>
      </c>
      <c r="D9997" s="30" t="s">
        <v>3663</v>
      </c>
      <c r="E9997" s="32">
        <v>46123.0</v>
      </c>
      <c r="F9997" s="32">
        <v>46171.0</v>
      </c>
      <c r="G9997" s="33"/>
    </row>
    <row r="9998" ht="15.75" customHeight="1">
      <c r="A9998" s="29" t="s">
        <v>13675</v>
      </c>
      <c r="B9998" s="43" t="s">
        <v>388</v>
      </c>
      <c r="C9998" s="26" t="s">
        <v>940</v>
      </c>
      <c r="D9998" s="26" t="s">
        <v>3663</v>
      </c>
      <c r="E9998" s="28">
        <v>46123.0</v>
      </c>
      <c r="F9998" s="28">
        <v>46171.0</v>
      </c>
      <c r="G9998" s="29"/>
    </row>
    <row r="9999" ht="15.75" customHeight="1">
      <c r="A9999" s="33" t="s">
        <v>13676</v>
      </c>
      <c r="B9999" s="42" t="s">
        <v>1342</v>
      </c>
      <c r="C9999" s="30" t="s">
        <v>940</v>
      </c>
      <c r="D9999" s="30" t="s">
        <v>3663</v>
      </c>
      <c r="E9999" s="32">
        <v>46123.0</v>
      </c>
      <c r="F9999" s="32">
        <v>46171.0</v>
      </c>
      <c r="G9999" s="33"/>
    </row>
    <row r="10000" ht="15.75" customHeight="1">
      <c r="A10000" s="29" t="s">
        <v>13677</v>
      </c>
      <c r="B10000" s="43" t="s">
        <v>395</v>
      </c>
      <c r="C10000" s="26" t="s">
        <v>940</v>
      </c>
      <c r="D10000" s="26" t="s">
        <v>3663</v>
      </c>
      <c r="E10000" s="28">
        <v>46123.0</v>
      </c>
      <c r="F10000" s="28">
        <v>46171.0</v>
      </c>
      <c r="G10000" s="29"/>
    </row>
    <row r="10001" ht="15.75" customHeight="1">
      <c r="A10001" s="33" t="s">
        <v>13678</v>
      </c>
      <c r="B10001" s="42" t="s">
        <v>396</v>
      </c>
      <c r="C10001" s="30" t="s">
        <v>940</v>
      </c>
      <c r="D10001" s="30" t="s">
        <v>3663</v>
      </c>
      <c r="E10001" s="32">
        <v>46123.0</v>
      </c>
      <c r="F10001" s="32">
        <v>46171.0</v>
      </c>
      <c r="G10001" s="33"/>
    </row>
    <row r="10002" ht="15.75" customHeight="1">
      <c r="A10002" s="29" t="s">
        <v>13679</v>
      </c>
      <c r="B10002" s="43" t="s">
        <v>397</v>
      </c>
      <c r="C10002" s="26" t="s">
        <v>940</v>
      </c>
      <c r="D10002" s="26" t="s">
        <v>3663</v>
      </c>
      <c r="E10002" s="28">
        <v>46123.0</v>
      </c>
      <c r="F10002" s="28">
        <v>46171.0</v>
      </c>
      <c r="G10002" s="29"/>
    </row>
    <row r="10003" ht="15.75" customHeight="1">
      <c r="A10003" s="33" t="s">
        <v>13680</v>
      </c>
      <c r="B10003" s="42" t="s">
        <v>422</v>
      </c>
      <c r="C10003" s="30" t="s">
        <v>940</v>
      </c>
      <c r="D10003" s="30" t="s">
        <v>3663</v>
      </c>
      <c r="E10003" s="32">
        <v>46123.0</v>
      </c>
      <c r="F10003" s="32">
        <v>46171.0</v>
      </c>
      <c r="G10003" s="33"/>
    </row>
    <row r="10004" ht="15.75" customHeight="1">
      <c r="A10004" s="29" t="s">
        <v>13681</v>
      </c>
      <c r="B10004" s="43" t="s">
        <v>476</v>
      </c>
      <c r="C10004" s="26" t="s">
        <v>940</v>
      </c>
      <c r="D10004" s="26" t="s">
        <v>3663</v>
      </c>
      <c r="E10004" s="28">
        <v>46123.0</v>
      </c>
      <c r="F10004" s="28">
        <v>46171.0</v>
      </c>
      <c r="G10004" s="29"/>
    </row>
    <row r="10005" ht="15.75" customHeight="1">
      <c r="A10005" s="33" t="s">
        <v>13682</v>
      </c>
      <c r="B10005" s="42" t="s">
        <v>491</v>
      </c>
      <c r="C10005" s="30" t="s">
        <v>940</v>
      </c>
      <c r="D10005" s="30" t="s">
        <v>3663</v>
      </c>
      <c r="E10005" s="32">
        <v>46123.0</v>
      </c>
      <c r="F10005" s="32">
        <v>46171.0</v>
      </c>
      <c r="G10005" s="33"/>
    </row>
    <row r="10006" ht="15.75" customHeight="1">
      <c r="A10006" s="29" t="s">
        <v>13683</v>
      </c>
      <c r="B10006" s="43" t="s">
        <v>514</v>
      </c>
      <c r="C10006" s="26" t="s">
        <v>940</v>
      </c>
      <c r="D10006" s="26" t="s">
        <v>3663</v>
      </c>
      <c r="E10006" s="28">
        <v>46123.0</v>
      </c>
      <c r="F10006" s="28">
        <v>46171.0</v>
      </c>
      <c r="G10006" s="29"/>
    </row>
    <row r="10007" ht="15.75" customHeight="1">
      <c r="A10007" s="33" t="s">
        <v>13684</v>
      </c>
      <c r="B10007" s="42" t="s">
        <v>516</v>
      </c>
      <c r="C10007" s="30" t="s">
        <v>940</v>
      </c>
      <c r="D10007" s="30" t="s">
        <v>3663</v>
      </c>
      <c r="E10007" s="32">
        <v>46123.0</v>
      </c>
      <c r="F10007" s="32">
        <v>46171.0</v>
      </c>
      <c r="G10007" s="33"/>
    </row>
    <row r="10008" ht="15.75" customHeight="1">
      <c r="A10008" s="29" t="s">
        <v>13685</v>
      </c>
      <c r="B10008" s="43" t="s">
        <v>560</v>
      </c>
      <c r="C10008" s="26" t="s">
        <v>940</v>
      </c>
      <c r="D10008" s="26" t="s">
        <v>3663</v>
      </c>
      <c r="E10008" s="28">
        <v>46123.0</v>
      </c>
      <c r="F10008" s="28">
        <v>46171.0</v>
      </c>
      <c r="G10008" s="29"/>
    </row>
    <row r="10009" ht="15.75" customHeight="1">
      <c r="A10009" s="33" t="s">
        <v>13686</v>
      </c>
      <c r="B10009" s="42" t="s">
        <v>590</v>
      </c>
      <c r="C10009" s="30" t="s">
        <v>940</v>
      </c>
      <c r="D10009" s="30" t="s">
        <v>3663</v>
      </c>
      <c r="E10009" s="32">
        <v>46123.0</v>
      </c>
      <c r="F10009" s="32">
        <v>46171.0</v>
      </c>
      <c r="G10009" s="33"/>
    </row>
    <row r="10010" ht="15.75" customHeight="1">
      <c r="A10010" s="29" t="s">
        <v>13687</v>
      </c>
      <c r="B10010" s="43" t="s">
        <v>605</v>
      </c>
      <c r="C10010" s="26" t="s">
        <v>940</v>
      </c>
      <c r="D10010" s="26" t="s">
        <v>3663</v>
      </c>
      <c r="E10010" s="28">
        <v>46123.0</v>
      </c>
      <c r="F10010" s="28">
        <v>46171.0</v>
      </c>
      <c r="G10010" s="29"/>
    </row>
    <row r="10011" ht="15.75" customHeight="1">
      <c r="A10011" s="33" t="s">
        <v>13688</v>
      </c>
      <c r="B10011" s="42" t="s">
        <v>628</v>
      </c>
      <c r="C10011" s="30" t="s">
        <v>940</v>
      </c>
      <c r="D10011" s="30" t="s">
        <v>3663</v>
      </c>
      <c r="E10011" s="32">
        <v>46123.0</v>
      </c>
      <c r="F10011" s="32">
        <v>46171.0</v>
      </c>
      <c r="G10011" s="33"/>
    </row>
    <row r="10012" ht="15.75" customHeight="1">
      <c r="A10012" s="29" t="s">
        <v>13689</v>
      </c>
      <c r="B10012" s="43" t="s">
        <v>632</v>
      </c>
      <c r="C10012" s="26" t="s">
        <v>940</v>
      </c>
      <c r="D10012" s="26" t="s">
        <v>3663</v>
      </c>
      <c r="E10012" s="28">
        <v>46123.0</v>
      </c>
      <c r="F10012" s="28">
        <v>46171.0</v>
      </c>
      <c r="G10012" s="29"/>
    </row>
    <row r="10013" ht="15.75" customHeight="1">
      <c r="A10013" s="33" t="s">
        <v>13690</v>
      </c>
      <c r="B10013" s="42" t="s">
        <v>693</v>
      </c>
      <c r="C10013" s="30" t="s">
        <v>940</v>
      </c>
      <c r="D10013" s="30" t="s">
        <v>3663</v>
      </c>
      <c r="E10013" s="32">
        <v>46123.0</v>
      </c>
      <c r="F10013" s="32">
        <v>46171.0</v>
      </c>
      <c r="G10013" s="33"/>
    </row>
    <row r="10014" ht="15.75" customHeight="1">
      <c r="A10014" s="29" t="s">
        <v>13691</v>
      </c>
      <c r="B10014" s="43" t="s">
        <v>731</v>
      </c>
      <c r="C10014" s="26" t="s">
        <v>940</v>
      </c>
      <c r="D10014" s="26" t="s">
        <v>3663</v>
      </c>
      <c r="E10014" s="28">
        <v>46123.0</v>
      </c>
      <c r="F10014" s="28">
        <v>46171.0</v>
      </c>
      <c r="G10014" s="29"/>
    </row>
    <row r="10015" ht="15.75" customHeight="1">
      <c r="A10015" s="33" t="s">
        <v>13692</v>
      </c>
      <c r="B10015" s="42" t="s">
        <v>751</v>
      </c>
      <c r="C10015" s="30" t="s">
        <v>940</v>
      </c>
      <c r="D10015" s="30" t="s">
        <v>3663</v>
      </c>
      <c r="E10015" s="32">
        <v>46123.0</v>
      </c>
      <c r="F10015" s="32">
        <v>46171.0</v>
      </c>
      <c r="G10015" s="33"/>
    </row>
    <row r="10016" ht="15.75" customHeight="1">
      <c r="A10016" s="29" t="s">
        <v>13693</v>
      </c>
      <c r="B10016" s="43" t="s">
        <v>759</v>
      </c>
      <c r="C10016" s="26" t="s">
        <v>940</v>
      </c>
      <c r="D10016" s="26" t="s">
        <v>3663</v>
      </c>
      <c r="E10016" s="28">
        <v>46123.0</v>
      </c>
      <c r="F10016" s="28">
        <v>46171.0</v>
      </c>
      <c r="G10016" s="29"/>
    </row>
    <row r="10017" ht="15.75" customHeight="1">
      <c r="A10017" s="33" t="s">
        <v>13694</v>
      </c>
      <c r="B10017" s="42" t="s">
        <v>763</v>
      </c>
      <c r="C10017" s="30" t="s">
        <v>940</v>
      </c>
      <c r="D10017" s="30" t="s">
        <v>3663</v>
      </c>
      <c r="E10017" s="32">
        <v>46123.0</v>
      </c>
      <c r="F10017" s="32">
        <v>46171.0</v>
      </c>
      <c r="G10017" s="33"/>
    </row>
    <row r="10018" ht="15.75" customHeight="1">
      <c r="A10018" s="29" t="s">
        <v>13695</v>
      </c>
      <c r="B10018" s="43" t="s">
        <v>789</v>
      </c>
      <c r="C10018" s="26" t="s">
        <v>940</v>
      </c>
      <c r="D10018" s="26" t="s">
        <v>3663</v>
      </c>
      <c r="E10018" s="28">
        <v>46123.0</v>
      </c>
      <c r="F10018" s="28">
        <v>46171.0</v>
      </c>
      <c r="G10018" s="29"/>
    </row>
    <row r="10019" ht="15.75" customHeight="1">
      <c r="A10019" s="33" t="s">
        <v>13696</v>
      </c>
      <c r="B10019" s="42" t="s">
        <v>814</v>
      </c>
      <c r="C10019" s="30" t="s">
        <v>940</v>
      </c>
      <c r="D10019" s="30" t="s">
        <v>3663</v>
      </c>
      <c r="E10019" s="32">
        <v>46123.0</v>
      </c>
      <c r="F10019" s="32">
        <v>46171.0</v>
      </c>
      <c r="G10019" s="33"/>
    </row>
    <row r="10020" ht="15.75" customHeight="1">
      <c r="A10020" s="29" t="s">
        <v>13697</v>
      </c>
      <c r="B10020" s="43" t="s">
        <v>826</v>
      </c>
      <c r="C10020" s="26" t="s">
        <v>940</v>
      </c>
      <c r="D10020" s="26" t="s">
        <v>3663</v>
      </c>
      <c r="E10020" s="28">
        <v>46123.0</v>
      </c>
      <c r="F10020" s="28">
        <v>46171.0</v>
      </c>
      <c r="G10020" s="29"/>
    </row>
    <row r="10021" ht="15.75" customHeight="1">
      <c r="A10021" s="33" t="s">
        <v>13698</v>
      </c>
      <c r="B10021" s="42" t="s">
        <v>155</v>
      </c>
      <c r="C10021" s="30" t="s">
        <v>940</v>
      </c>
      <c r="D10021" s="30" t="s">
        <v>3663</v>
      </c>
      <c r="E10021" s="32">
        <v>46123.0</v>
      </c>
      <c r="F10021" s="32">
        <v>46171.0</v>
      </c>
      <c r="G10021" s="33"/>
    </row>
    <row r="10022" ht="15.75" customHeight="1">
      <c r="A10022" s="29" t="s">
        <v>13699</v>
      </c>
      <c r="B10022" s="43" t="s">
        <v>261</v>
      </c>
      <c r="C10022" s="26" t="s">
        <v>940</v>
      </c>
      <c r="D10022" s="26" t="s">
        <v>3663</v>
      </c>
      <c r="E10022" s="28">
        <v>46123.0</v>
      </c>
      <c r="F10022" s="28">
        <v>46171.0</v>
      </c>
      <c r="G10022" s="29"/>
    </row>
    <row r="10023" ht="15.75" customHeight="1">
      <c r="A10023" s="33" t="s">
        <v>13700</v>
      </c>
      <c r="B10023" s="42" t="s">
        <v>302</v>
      </c>
      <c r="C10023" s="30" t="s">
        <v>940</v>
      </c>
      <c r="D10023" s="30" t="s">
        <v>3663</v>
      </c>
      <c r="E10023" s="32">
        <v>46123.0</v>
      </c>
      <c r="F10023" s="32">
        <v>46171.0</v>
      </c>
      <c r="G10023" s="33"/>
    </row>
    <row r="10024" ht="15.75" customHeight="1">
      <c r="A10024" s="29" t="s">
        <v>13701</v>
      </c>
      <c r="B10024" s="43" t="s">
        <v>321</v>
      </c>
      <c r="C10024" s="26" t="s">
        <v>940</v>
      </c>
      <c r="D10024" s="26" t="s">
        <v>3663</v>
      </c>
      <c r="E10024" s="28">
        <v>46123.0</v>
      </c>
      <c r="F10024" s="28">
        <v>46171.0</v>
      </c>
      <c r="G10024" s="29"/>
    </row>
    <row r="10025" ht="15.75" customHeight="1">
      <c r="A10025" s="33" t="s">
        <v>13702</v>
      </c>
      <c r="B10025" s="42" t="s">
        <v>326</v>
      </c>
      <c r="C10025" s="30" t="s">
        <v>940</v>
      </c>
      <c r="D10025" s="30" t="s">
        <v>3663</v>
      </c>
      <c r="E10025" s="32">
        <v>46123.0</v>
      </c>
      <c r="F10025" s="32">
        <v>46171.0</v>
      </c>
      <c r="G10025" s="33"/>
    </row>
    <row r="10026" ht="15.75" customHeight="1">
      <c r="A10026" s="29" t="s">
        <v>13703</v>
      </c>
      <c r="B10026" s="43" t="s">
        <v>346</v>
      </c>
      <c r="C10026" s="26" t="s">
        <v>940</v>
      </c>
      <c r="D10026" s="26" t="s">
        <v>3663</v>
      </c>
      <c r="E10026" s="28">
        <v>46123.0</v>
      </c>
      <c r="F10026" s="28">
        <v>46171.0</v>
      </c>
      <c r="G10026" s="29"/>
    </row>
    <row r="10027" ht="15.75" customHeight="1">
      <c r="A10027" s="33" t="s">
        <v>13704</v>
      </c>
      <c r="B10027" s="42" t="s">
        <v>353</v>
      </c>
      <c r="C10027" s="30" t="s">
        <v>940</v>
      </c>
      <c r="D10027" s="30" t="s">
        <v>3663</v>
      </c>
      <c r="E10027" s="32">
        <v>46123.0</v>
      </c>
      <c r="F10027" s="32">
        <v>46171.0</v>
      </c>
      <c r="G10027" s="33"/>
    </row>
    <row r="10028" ht="15.75" customHeight="1">
      <c r="A10028" s="29" t="s">
        <v>13705</v>
      </c>
      <c r="B10028" s="43" t="s">
        <v>446</v>
      </c>
      <c r="C10028" s="26" t="s">
        <v>940</v>
      </c>
      <c r="D10028" s="26" t="s">
        <v>3663</v>
      </c>
      <c r="E10028" s="28">
        <v>46123.0</v>
      </c>
      <c r="F10028" s="28">
        <v>46171.0</v>
      </c>
      <c r="G10028" s="29"/>
    </row>
    <row r="10029" ht="15.75" customHeight="1">
      <c r="A10029" s="33" t="s">
        <v>13706</v>
      </c>
      <c r="B10029" s="42" t="s">
        <v>13043</v>
      </c>
      <c r="C10029" s="30" t="s">
        <v>940</v>
      </c>
      <c r="D10029" s="30" t="s">
        <v>3663</v>
      </c>
      <c r="E10029" s="32">
        <v>46123.0</v>
      </c>
      <c r="F10029" s="32">
        <v>46171.0</v>
      </c>
      <c r="G10029" s="33"/>
    </row>
    <row r="10030" ht="15.75" customHeight="1">
      <c r="A10030" s="29" t="s">
        <v>13707</v>
      </c>
      <c r="B10030" s="43" t="s">
        <v>502</v>
      </c>
      <c r="C10030" s="26" t="s">
        <v>940</v>
      </c>
      <c r="D10030" s="26" t="s">
        <v>3663</v>
      </c>
      <c r="E10030" s="28">
        <v>46123.0</v>
      </c>
      <c r="F10030" s="28">
        <v>46171.0</v>
      </c>
      <c r="G10030" s="29"/>
    </row>
    <row r="10031" ht="15.75" customHeight="1">
      <c r="A10031" s="33" t="s">
        <v>13708</v>
      </c>
      <c r="B10031" s="42" t="s">
        <v>533</v>
      </c>
      <c r="C10031" s="30" t="s">
        <v>940</v>
      </c>
      <c r="D10031" s="30" t="s">
        <v>3663</v>
      </c>
      <c r="E10031" s="32">
        <v>46123.0</v>
      </c>
      <c r="F10031" s="32">
        <v>46171.0</v>
      </c>
      <c r="G10031" s="33"/>
    </row>
    <row r="10032" ht="15.75" customHeight="1">
      <c r="A10032" s="29" t="s">
        <v>13709</v>
      </c>
      <c r="B10032" s="43" t="s">
        <v>545</v>
      </c>
      <c r="C10032" s="26" t="s">
        <v>940</v>
      </c>
      <c r="D10032" s="26" t="s">
        <v>3663</v>
      </c>
      <c r="E10032" s="28">
        <v>46123.0</v>
      </c>
      <c r="F10032" s="28">
        <v>46171.0</v>
      </c>
      <c r="G10032" s="29"/>
    </row>
    <row r="10033" ht="15.75" customHeight="1">
      <c r="A10033" s="33" t="s">
        <v>13710</v>
      </c>
      <c r="B10033" s="42" t="s">
        <v>548</v>
      </c>
      <c r="C10033" s="30" t="s">
        <v>940</v>
      </c>
      <c r="D10033" s="30" t="s">
        <v>3663</v>
      </c>
      <c r="E10033" s="32">
        <v>46123.0</v>
      </c>
      <c r="F10033" s="32">
        <v>46171.0</v>
      </c>
      <c r="G10033" s="33"/>
    </row>
    <row r="10034" ht="15.75" customHeight="1">
      <c r="A10034" s="29" t="s">
        <v>13711</v>
      </c>
      <c r="B10034" s="43" t="s">
        <v>571</v>
      </c>
      <c r="C10034" s="26" t="s">
        <v>940</v>
      </c>
      <c r="D10034" s="26" t="s">
        <v>3663</v>
      </c>
      <c r="E10034" s="28">
        <v>46123.0</v>
      </c>
      <c r="F10034" s="28">
        <v>46171.0</v>
      </c>
      <c r="G10034" s="29"/>
    </row>
    <row r="10035" ht="15.75" customHeight="1">
      <c r="A10035" s="33" t="s">
        <v>13712</v>
      </c>
      <c r="B10035" s="42" t="s">
        <v>594</v>
      </c>
      <c r="C10035" s="30" t="s">
        <v>940</v>
      </c>
      <c r="D10035" s="30" t="s">
        <v>3663</v>
      </c>
      <c r="E10035" s="32">
        <v>46123.0</v>
      </c>
      <c r="F10035" s="32">
        <v>46171.0</v>
      </c>
      <c r="G10035" s="33"/>
    </row>
    <row r="10036" ht="15.75" customHeight="1">
      <c r="A10036" s="29" t="s">
        <v>13713</v>
      </c>
      <c r="B10036" s="43" t="s">
        <v>597</v>
      </c>
      <c r="C10036" s="26" t="s">
        <v>940</v>
      </c>
      <c r="D10036" s="26" t="s">
        <v>3663</v>
      </c>
      <c r="E10036" s="28">
        <v>46123.0</v>
      </c>
      <c r="F10036" s="28">
        <v>46171.0</v>
      </c>
      <c r="G10036" s="29"/>
    </row>
    <row r="10037" ht="15.75" customHeight="1">
      <c r="A10037" s="33" t="s">
        <v>13714</v>
      </c>
      <c r="B10037" s="42" t="s">
        <v>607</v>
      </c>
      <c r="C10037" s="30" t="s">
        <v>940</v>
      </c>
      <c r="D10037" s="30" t="s">
        <v>3663</v>
      </c>
      <c r="E10037" s="32">
        <v>46123.0</v>
      </c>
      <c r="F10037" s="32">
        <v>46171.0</v>
      </c>
      <c r="G10037" s="33"/>
    </row>
    <row r="10038" ht="15.75" customHeight="1">
      <c r="A10038" s="29" t="s">
        <v>13715</v>
      </c>
      <c r="B10038" s="43" t="s">
        <v>609</v>
      </c>
      <c r="C10038" s="26" t="s">
        <v>940</v>
      </c>
      <c r="D10038" s="26" t="s">
        <v>3663</v>
      </c>
      <c r="E10038" s="28">
        <v>46123.0</v>
      </c>
      <c r="F10038" s="28">
        <v>46171.0</v>
      </c>
      <c r="G10038" s="29"/>
    </row>
    <row r="10039" ht="15.75" customHeight="1">
      <c r="A10039" s="33" t="s">
        <v>13716</v>
      </c>
      <c r="B10039" s="42" t="s">
        <v>618</v>
      </c>
      <c r="C10039" s="30" t="s">
        <v>940</v>
      </c>
      <c r="D10039" s="30" t="s">
        <v>3663</v>
      </c>
      <c r="E10039" s="32">
        <v>46123.0</v>
      </c>
      <c r="F10039" s="32">
        <v>46171.0</v>
      </c>
      <c r="G10039" s="33"/>
    </row>
    <row r="10040" ht="15.75" customHeight="1">
      <c r="A10040" s="29" t="s">
        <v>13717</v>
      </c>
      <c r="B10040" s="43" t="s">
        <v>634</v>
      </c>
      <c r="C10040" s="26" t="s">
        <v>940</v>
      </c>
      <c r="D10040" s="26" t="s">
        <v>3663</v>
      </c>
      <c r="E10040" s="28">
        <v>46123.0</v>
      </c>
      <c r="F10040" s="28">
        <v>46171.0</v>
      </c>
      <c r="G10040" s="29"/>
    </row>
    <row r="10041" ht="15.75" customHeight="1">
      <c r="A10041" s="33" t="s">
        <v>13718</v>
      </c>
      <c r="B10041" s="42" t="s">
        <v>639</v>
      </c>
      <c r="C10041" s="30" t="s">
        <v>940</v>
      </c>
      <c r="D10041" s="30" t="s">
        <v>3663</v>
      </c>
      <c r="E10041" s="32">
        <v>46123.0</v>
      </c>
      <c r="F10041" s="32">
        <v>46171.0</v>
      </c>
      <c r="G10041" s="33"/>
    </row>
    <row r="10042" ht="15.75" customHeight="1">
      <c r="A10042" s="29" t="s">
        <v>13719</v>
      </c>
      <c r="B10042" s="43" t="s">
        <v>660</v>
      </c>
      <c r="C10042" s="26" t="s">
        <v>940</v>
      </c>
      <c r="D10042" s="26" t="s">
        <v>3663</v>
      </c>
      <c r="E10042" s="28">
        <v>46123.0</v>
      </c>
      <c r="F10042" s="28">
        <v>46171.0</v>
      </c>
      <c r="G10042" s="29"/>
    </row>
    <row r="10043" ht="15.75" customHeight="1">
      <c r="A10043" s="33" t="s">
        <v>13720</v>
      </c>
      <c r="B10043" s="42" t="s">
        <v>671</v>
      </c>
      <c r="C10043" s="30" t="s">
        <v>940</v>
      </c>
      <c r="D10043" s="30" t="s">
        <v>3663</v>
      </c>
      <c r="E10043" s="32">
        <v>46123.0</v>
      </c>
      <c r="F10043" s="32">
        <v>46171.0</v>
      </c>
      <c r="G10043" s="33"/>
    </row>
    <row r="10044" ht="15.75" customHeight="1">
      <c r="A10044" s="29" t="s">
        <v>13721</v>
      </c>
      <c r="B10044" s="43" t="s">
        <v>707</v>
      </c>
      <c r="C10044" s="26" t="s">
        <v>940</v>
      </c>
      <c r="D10044" s="26" t="s">
        <v>3663</v>
      </c>
      <c r="E10044" s="28">
        <v>46123.0</v>
      </c>
      <c r="F10044" s="28">
        <v>46171.0</v>
      </c>
      <c r="G10044" s="29"/>
    </row>
    <row r="10045" ht="15.75" customHeight="1">
      <c r="A10045" s="33" t="s">
        <v>13722</v>
      </c>
      <c r="B10045" s="42" t="s">
        <v>723</v>
      </c>
      <c r="C10045" s="30" t="s">
        <v>940</v>
      </c>
      <c r="D10045" s="30" t="s">
        <v>3663</v>
      </c>
      <c r="E10045" s="32">
        <v>46123.0</v>
      </c>
      <c r="F10045" s="32">
        <v>46171.0</v>
      </c>
      <c r="G10045" s="33"/>
    </row>
    <row r="10046" ht="15.75" customHeight="1">
      <c r="A10046" s="29" t="s">
        <v>13723</v>
      </c>
      <c r="B10046" s="43" t="s">
        <v>750</v>
      </c>
      <c r="C10046" s="26" t="s">
        <v>940</v>
      </c>
      <c r="D10046" s="26" t="s">
        <v>3663</v>
      </c>
      <c r="E10046" s="28">
        <v>46123.0</v>
      </c>
      <c r="F10046" s="28">
        <v>46171.0</v>
      </c>
      <c r="G10046" s="29"/>
    </row>
    <row r="10047" ht="15.75" customHeight="1">
      <c r="A10047" s="33" t="s">
        <v>13724</v>
      </c>
      <c r="B10047" s="42" t="s">
        <v>121</v>
      </c>
      <c r="C10047" s="30" t="s">
        <v>940</v>
      </c>
      <c r="D10047" s="30" t="s">
        <v>3663</v>
      </c>
      <c r="E10047" s="32">
        <v>46123.0</v>
      </c>
      <c r="F10047" s="32">
        <v>46171.0</v>
      </c>
      <c r="G10047" s="33"/>
    </row>
    <row r="10048" ht="15.75" customHeight="1">
      <c r="A10048" s="29" t="s">
        <v>13725</v>
      </c>
      <c r="B10048" s="43" t="s">
        <v>133</v>
      </c>
      <c r="C10048" s="26" t="s">
        <v>940</v>
      </c>
      <c r="D10048" s="26" t="s">
        <v>3663</v>
      </c>
      <c r="E10048" s="28">
        <v>46123.0</v>
      </c>
      <c r="F10048" s="28">
        <v>46171.0</v>
      </c>
      <c r="G10048" s="29"/>
    </row>
    <row r="10049" ht="15.75" customHeight="1">
      <c r="A10049" s="33" t="s">
        <v>13726</v>
      </c>
      <c r="B10049" s="42" t="s">
        <v>138</v>
      </c>
      <c r="C10049" s="30" t="s">
        <v>940</v>
      </c>
      <c r="D10049" s="30" t="s">
        <v>3663</v>
      </c>
      <c r="E10049" s="32">
        <v>46123.0</v>
      </c>
      <c r="F10049" s="32">
        <v>46171.0</v>
      </c>
      <c r="G10049" s="33"/>
    </row>
    <row r="10050" ht="15.75" customHeight="1">
      <c r="A10050" s="29" t="s">
        <v>13727</v>
      </c>
      <c r="B10050" s="43" t="s">
        <v>165</v>
      </c>
      <c r="C10050" s="26" t="s">
        <v>940</v>
      </c>
      <c r="D10050" s="26" t="s">
        <v>3663</v>
      </c>
      <c r="E10050" s="28">
        <v>46123.0</v>
      </c>
      <c r="F10050" s="28">
        <v>46171.0</v>
      </c>
      <c r="G10050" s="29"/>
    </row>
    <row r="10051" ht="15.75" customHeight="1">
      <c r="A10051" s="33" t="s">
        <v>13728</v>
      </c>
      <c r="B10051" s="42" t="s">
        <v>168</v>
      </c>
      <c r="C10051" s="30" t="s">
        <v>940</v>
      </c>
      <c r="D10051" s="30" t="s">
        <v>3663</v>
      </c>
      <c r="E10051" s="32">
        <v>46123.0</v>
      </c>
      <c r="F10051" s="32">
        <v>46171.0</v>
      </c>
      <c r="G10051" s="33"/>
    </row>
    <row r="10052" ht="15.75" customHeight="1">
      <c r="A10052" s="29" t="s">
        <v>13729</v>
      </c>
      <c r="B10052" s="43" t="s">
        <v>318</v>
      </c>
      <c r="C10052" s="26" t="s">
        <v>940</v>
      </c>
      <c r="D10052" s="26" t="s">
        <v>3663</v>
      </c>
      <c r="E10052" s="28">
        <v>46123.0</v>
      </c>
      <c r="F10052" s="28">
        <v>46171.0</v>
      </c>
      <c r="G10052" s="29"/>
    </row>
    <row r="10053" ht="15.75" customHeight="1">
      <c r="A10053" s="33" t="s">
        <v>13730</v>
      </c>
      <c r="B10053" s="42" t="s">
        <v>2482</v>
      </c>
      <c r="C10053" s="30" t="s">
        <v>940</v>
      </c>
      <c r="D10053" s="30" t="s">
        <v>3663</v>
      </c>
      <c r="E10053" s="32">
        <v>46123.0</v>
      </c>
      <c r="F10053" s="32">
        <v>46171.0</v>
      </c>
      <c r="G10053" s="33"/>
    </row>
    <row r="10054" ht="15.75" customHeight="1">
      <c r="A10054" s="29" t="s">
        <v>13731</v>
      </c>
      <c r="B10054" s="43" t="s">
        <v>398</v>
      </c>
      <c r="C10054" s="26" t="s">
        <v>940</v>
      </c>
      <c r="D10054" s="26" t="s">
        <v>3663</v>
      </c>
      <c r="E10054" s="28">
        <v>46123.0</v>
      </c>
      <c r="F10054" s="28">
        <v>46171.0</v>
      </c>
      <c r="G10054" s="29"/>
    </row>
    <row r="10055" ht="15.75" customHeight="1">
      <c r="A10055" s="33" t="s">
        <v>13732</v>
      </c>
      <c r="B10055" s="42" t="s">
        <v>412</v>
      </c>
      <c r="C10055" s="30" t="s">
        <v>940</v>
      </c>
      <c r="D10055" s="30" t="s">
        <v>3663</v>
      </c>
      <c r="E10055" s="32">
        <v>46123.0</v>
      </c>
      <c r="F10055" s="32">
        <v>46171.0</v>
      </c>
      <c r="G10055" s="33"/>
    </row>
    <row r="10056" ht="15.75" customHeight="1">
      <c r="A10056" s="29" t="s">
        <v>13733</v>
      </c>
      <c r="B10056" s="43" t="s">
        <v>436</v>
      </c>
      <c r="C10056" s="26" t="s">
        <v>940</v>
      </c>
      <c r="D10056" s="26" t="s">
        <v>3663</v>
      </c>
      <c r="E10056" s="28">
        <v>46123.0</v>
      </c>
      <c r="F10056" s="28">
        <v>46171.0</v>
      </c>
      <c r="G10056" s="29"/>
    </row>
    <row r="10057" ht="15.75" customHeight="1">
      <c r="A10057" s="33" t="s">
        <v>13734</v>
      </c>
      <c r="B10057" s="42" t="s">
        <v>460</v>
      </c>
      <c r="C10057" s="30" t="s">
        <v>940</v>
      </c>
      <c r="D10057" s="30" t="s">
        <v>3663</v>
      </c>
      <c r="E10057" s="32">
        <v>46123.0</v>
      </c>
      <c r="F10057" s="32">
        <v>46171.0</v>
      </c>
      <c r="G10057" s="33"/>
    </row>
    <row r="10058" ht="15.75" customHeight="1">
      <c r="A10058" s="29" t="s">
        <v>13735</v>
      </c>
      <c r="B10058" s="43" t="s">
        <v>462</v>
      </c>
      <c r="C10058" s="26" t="s">
        <v>940</v>
      </c>
      <c r="D10058" s="26" t="s">
        <v>3663</v>
      </c>
      <c r="E10058" s="28">
        <v>46123.0</v>
      </c>
      <c r="F10058" s="28">
        <v>46171.0</v>
      </c>
      <c r="G10058" s="29"/>
    </row>
    <row r="10059" ht="15.75" customHeight="1">
      <c r="A10059" s="33" t="s">
        <v>13736</v>
      </c>
      <c r="B10059" s="42" t="s">
        <v>479</v>
      </c>
      <c r="C10059" s="30" t="s">
        <v>940</v>
      </c>
      <c r="D10059" s="30" t="s">
        <v>3663</v>
      </c>
      <c r="E10059" s="32">
        <v>46123.0</v>
      </c>
      <c r="F10059" s="32">
        <v>46171.0</v>
      </c>
      <c r="G10059" s="33"/>
    </row>
    <row r="10060" ht="15.75" customHeight="1">
      <c r="A10060" s="29" t="s">
        <v>13737</v>
      </c>
      <c r="B10060" s="43" t="s">
        <v>518</v>
      </c>
      <c r="C10060" s="26" t="s">
        <v>940</v>
      </c>
      <c r="D10060" s="26" t="s">
        <v>3663</v>
      </c>
      <c r="E10060" s="28">
        <v>46123.0</v>
      </c>
      <c r="F10060" s="28">
        <v>46171.0</v>
      </c>
      <c r="G10060" s="29"/>
    </row>
    <row r="10061" ht="15.75" customHeight="1">
      <c r="A10061" s="33" t="s">
        <v>13738</v>
      </c>
      <c r="B10061" s="42" t="s">
        <v>587</v>
      </c>
      <c r="C10061" s="30" t="s">
        <v>940</v>
      </c>
      <c r="D10061" s="30" t="s">
        <v>3663</v>
      </c>
      <c r="E10061" s="32">
        <v>46123.0</v>
      </c>
      <c r="F10061" s="32">
        <v>46171.0</v>
      </c>
      <c r="G10061" s="33"/>
    </row>
    <row r="10062" ht="15.75" customHeight="1">
      <c r="A10062" s="29" t="s">
        <v>13739</v>
      </c>
      <c r="B10062" s="43" t="s">
        <v>626</v>
      </c>
      <c r="C10062" s="26" t="s">
        <v>940</v>
      </c>
      <c r="D10062" s="26" t="s">
        <v>3663</v>
      </c>
      <c r="E10062" s="28">
        <v>46123.0</v>
      </c>
      <c r="F10062" s="28">
        <v>46171.0</v>
      </c>
      <c r="G10062" s="29"/>
    </row>
    <row r="10063" ht="15.75" customHeight="1">
      <c r="A10063" s="33" t="s">
        <v>13740</v>
      </c>
      <c r="B10063" s="42" t="s">
        <v>633</v>
      </c>
      <c r="C10063" s="30" t="s">
        <v>940</v>
      </c>
      <c r="D10063" s="30" t="s">
        <v>3663</v>
      </c>
      <c r="E10063" s="32">
        <v>46123.0</v>
      </c>
      <c r="F10063" s="32">
        <v>46171.0</v>
      </c>
      <c r="G10063" s="33"/>
    </row>
    <row r="10064" ht="15.75" customHeight="1">
      <c r="A10064" s="29" t="s">
        <v>13741</v>
      </c>
      <c r="B10064" s="43" t="s">
        <v>654</v>
      </c>
      <c r="C10064" s="26" t="s">
        <v>940</v>
      </c>
      <c r="D10064" s="26" t="s">
        <v>3663</v>
      </c>
      <c r="E10064" s="28">
        <v>46123.0</v>
      </c>
      <c r="F10064" s="28">
        <v>46171.0</v>
      </c>
      <c r="G10064" s="29"/>
    </row>
    <row r="10065" ht="15.75" customHeight="1">
      <c r="A10065" s="33" t="s">
        <v>13742</v>
      </c>
      <c r="B10065" s="42" t="s">
        <v>669</v>
      </c>
      <c r="C10065" s="30" t="s">
        <v>940</v>
      </c>
      <c r="D10065" s="30" t="s">
        <v>3663</v>
      </c>
      <c r="E10065" s="32">
        <v>46123.0</v>
      </c>
      <c r="F10065" s="32">
        <v>46171.0</v>
      </c>
      <c r="G10065" s="33"/>
    </row>
    <row r="10066" ht="15.75" customHeight="1">
      <c r="A10066" s="29" t="s">
        <v>13743</v>
      </c>
      <c r="B10066" s="43" t="s">
        <v>708</v>
      </c>
      <c r="C10066" s="26" t="s">
        <v>940</v>
      </c>
      <c r="D10066" s="26" t="s">
        <v>3663</v>
      </c>
      <c r="E10066" s="28">
        <v>46123.0</v>
      </c>
      <c r="F10066" s="28">
        <v>46171.0</v>
      </c>
      <c r="G10066" s="29"/>
    </row>
    <row r="10067" ht="15.75" customHeight="1">
      <c r="A10067" s="33" t="s">
        <v>13744</v>
      </c>
      <c r="B10067" s="42" t="s">
        <v>737</v>
      </c>
      <c r="C10067" s="30" t="s">
        <v>940</v>
      </c>
      <c r="D10067" s="30" t="s">
        <v>3663</v>
      </c>
      <c r="E10067" s="32">
        <v>46123.0</v>
      </c>
      <c r="F10067" s="32">
        <v>46171.0</v>
      </c>
      <c r="G10067" s="33"/>
    </row>
    <row r="10068" ht="15.75" customHeight="1">
      <c r="A10068" s="29" t="s">
        <v>13745</v>
      </c>
      <c r="B10068" s="43" t="s">
        <v>739</v>
      </c>
      <c r="C10068" s="26" t="s">
        <v>940</v>
      </c>
      <c r="D10068" s="26" t="s">
        <v>3663</v>
      </c>
      <c r="E10068" s="28">
        <v>46123.0</v>
      </c>
      <c r="F10068" s="28">
        <v>46171.0</v>
      </c>
      <c r="G10068" s="29"/>
    </row>
    <row r="10069" ht="15.75" customHeight="1">
      <c r="A10069" s="33" t="s">
        <v>13746</v>
      </c>
      <c r="B10069" s="42" t="s">
        <v>744</v>
      </c>
      <c r="C10069" s="30" t="s">
        <v>940</v>
      </c>
      <c r="D10069" s="30" t="s">
        <v>3663</v>
      </c>
      <c r="E10069" s="32">
        <v>46123.0</v>
      </c>
      <c r="F10069" s="32">
        <v>46171.0</v>
      </c>
      <c r="G10069" s="33"/>
    </row>
    <row r="10070" ht="15.75" customHeight="1">
      <c r="A10070" s="29" t="s">
        <v>13747</v>
      </c>
      <c r="B10070" s="43" t="s">
        <v>766</v>
      </c>
      <c r="C10070" s="26" t="s">
        <v>940</v>
      </c>
      <c r="D10070" s="26" t="s">
        <v>3663</v>
      </c>
      <c r="E10070" s="28">
        <v>46123.0</v>
      </c>
      <c r="F10070" s="28">
        <v>46171.0</v>
      </c>
      <c r="G10070" s="29"/>
    </row>
    <row r="10071" ht="15.75" customHeight="1">
      <c r="A10071" s="33" t="s">
        <v>13748</v>
      </c>
      <c r="B10071" s="42" t="s">
        <v>767</v>
      </c>
      <c r="C10071" s="30" t="s">
        <v>940</v>
      </c>
      <c r="D10071" s="30" t="s">
        <v>3663</v>
      </c>
      <c r="E10071" s="32">
        <v>46123.0</v>
      </c>
      <c r="F10071" s="32">
        <v>46171.0</v>
      </c>
      <c r="G10071" s="33"/>
    </row>
    <row r="10072" ht="15.75" customHeight="1">
      <c r="A10072" s="29" t="s">
        <v>13749</v>
      </c>
      <c r="B10072" s="43" t="s">
        <v>769</v>
      </c>
      <c r="C10072" s="26" t="s">
        <v>940</v>
      </c>
      <c r="D10072" s="26" t="s">
        <v>3663</v>
      </c>
      <c r="E10072" s="28">
        <v>46123.0</v>
      </c>
      <c r="F10072" s="28">
        <v>46171.0</v>
      </c>
      <c r="G10072" s="29"/>
    </row>
    <row r="10073" ht="15.75" customHeight="1">
      <c r="A10073" s="33" t="s">
        <v>13750</v>
      </c>
      <c r="B10073" s="42" t="s">
        <v>771</v>
      </c>
      <c r="C10073" s="30" t="s">
        <v>940</v>
      </c>
      <c r="D10073" s="30" t="s">
        <v>3663</v>
      </c>
      <c r="E10073" s="32">
        <v>46123.0</v>
      </c>
      <c r="F10073" s="32">
        <v>46171.0</v>
      </c>
      <c r="G10073" s="33"/>
    </row>
    <row r="10074" ht="15.75" customHeight="1">
      <c r="A10074" s="29" t="s">
        <v>13751</v>
      </c>
      <c r="B10074" s="43" t="s">
        <v>788</v>
      </c>
      <c r="C10074" s="26" t="s">
        <v>940</v>
      </c>
      <c r="D10074" s="26" t="s">
        <v>3663</v>
      </c>
      <c r="E10074" s="28">
        <v>46123.0</v>
      </c>
      <c r="F10074" s="28">
        <v>46171.0</v>
      </c>
      <c r="G10074" s="29"/>
    </row>
    <row r="10075" ht="15.75" customHeight="1">
      <c r="A10075" s="33" t="s">
        <v>13752</v>
      </c>
      <c r="B10075" s="42" t="s">
        <v>818</v>
      </c>
      <c r="C10075" s="30" t="s">
        <v>940</v>
      </c>
      <c r="D10075" s="30" t="s">
        <v>3663</v>
      </c>
      <c r="E10075" s="32">
        <v>46123.0</v>
      </c>
      <c r="F10075" s="32">
        <v>46171.0</v>
      </c>
      <c r="G10075" s="33"/>
    </row>
    <row r="10076" ht="15.75" customHeight="1">
      <c r="A10076" s="29" t="s">
        <v>13753</v>
      </c>
      <c r="B10076" s="43" t="s">
        <v>76</v>
      </c>
      <c r="C10076" s="26" t="s">
        <v>940</v>
      </c>
      <c r="D10076" s="26" t="s">
        <v>3663</v>
      </c>
      <c r="E10076" s="28">
        <v>46123.0</v>
      </c>
      <c r="F10076" s="28">
        <v>46171.0</v>
      </c>
      <c r="G10076" s="29"/>
    </row>
    <row r="10077" ht="15.75" customHeight="1">
      <c r="A10077" s="33" t="s">
        <v>13754</v>
      </c>
      <c r="B10077" s="42" t="s">
        <v>182</v>
      </c>
      <c r="C10077" s="30" t="s">
        <v>940</v>
      </c>
      <c r="D10077" s="30" t="s">
        <v>3663</v>
      </c>
      <c r="E10077" s="32">
        <v>46123.0</v>
      </c>
      <c r="F10077" s="32">
        <v>46171.0</v>
      </c>
      <c r="G10077" s="33"/>
    </row>
    <row r="10078" ht="15.75" customHeight="1">
      <c r="A10078" s="29" t="s">
        <v>13755</v>
      </c>
      <c r="B10078" s="43" t="s">
        <v>232</v>
      </c>
      <c r="C10078" s="26" t="s">
        <v>940</v>
      </c>
      <c r="D10078" s="26" t="s">
        <v>3663</v>
      </c>
      <c r="E10078" s="28">
        <v>46123.0</v>
      </c>
      <c r="F10078" s="28">
        <v>46171.0</v>
      </c>
      <c r="G10078" s="29"/>
    </row>
    <row r="10079" ht="15.75" customHeight="1">
      <c r="A10079" s="33" t="s">
        <v>13756</v>
      </c>
      <c r="B10079" s="42" t="s">
        <v>237</v>
      </c>
      <c r="C10079" s="30" t="s">
        <v>940</v>
      </c>
      <c r="D10079" s="30" t="s">
        <v>3663</v>
      </c>
      <c r="E10079" s="32">
        <v>46123.0</v>
      </c>
      <c r="F10079" s="32">
        <v>46171.0</v>
      </c>
      <c r="G10079" s="33"/>
    </row>
    <row r="10080" ht="15.75" customHeight="1">
      <c r="A10080" s="29" t="s">
        <v>13757</v>
      </c>
      <c r="B10080" s="43" t="s">
        <v>256</v>
      </c>
      <c r="C10080" s="26" t="s">
        <v>940</v>
      </c>
      <c r="D10080" s="26" t="s">
        <v>3663</v>
      </c>
      <c r="E10080" s="28">
        <v>46123.0</v>
      </c>
      <c r="F10080" s="28">
        <v>46171.0</v>
      </c>
      <c r="G10080" s="29"/>
    </row>
    <row r="10081" ht="15.75" customHeight="1">
      <c r="A10081" s="33" t="s">
        <v>13758</v>
      </c>
      <c r="B10081" s="42" t="s">
        <v>274</v>
      </c>
      <c r="C10081" s="30" t="s">
        <v>940</v>
      </c>
      <c r="D10081" s="30" t="s">
        <v>3663</v>
      </c>
      <c r="E10081" s="32">
        <v>46123.0</v>
      </c>
      <c r="F10081" s="32">
        <v>46171.0</v>
      </c>
      <c r="G10081" s="33"/>
    </row>
    <row r="10082" ht="15.75" customHeight="1">
      <c r="A10082" s="29" t="s">
        <v>13759</v>
      </c>
      <c r="B10082" s="43" t="s">
        <v>285</v>
      </c>
      <c r="C10082" s="26" t="s">
        <v>940</v>
      </c>
      <c r="D10082" s="26" t="s">
        <v>3663</v>
      </c>
      <c r="E10082" s="28">
        <v>46123.0</v>
      </c>
      <c r="F10082" s="28">
        <v>46171.0</v>
      </c>
      <c r="G10082" s="29"/>
    </row>
    <row r="10083" ht="15.75" customHeight="1">
      <c r="A10083" s="33" t="s">
        <v>13760</v>
      </c>
      <c r="B10083" s="42" t="s">
        <v>299</v>
      </c>
      <c r="C10083" s="30" t="s">
        <v>940</v>
      </c>
      <c r="D10083" s="30" t="s">
        <v>3663</v>
      </c>
      <c r="E10083" s="32">
        <v>46123.0</v>
      </c>
      <c r="F10083" s="32">
        <v>46171.0</v>
      </c>
      <c r="G10083" s="33"/>
    </row>
    <row r="10084" ht="15.75" customHeight="1">
      <c r="A10084" s="29" t="s">
        <v>13761</v>
      </c>
      <c r="B10084" s="43" t="s">
        <v>338</v>
      </c>
      <c r="C10084" s="26" t="s">
        <v>940</v>
      </c>
      <c r="D10084" s="26" t="s">
        <v>3663</v>
      </c>
      <c r="E10084" s="28">
        <v>46123.0</v>
      </c>
      <c r="F10084" s="28">
        <v>46171.0</v>
      </c>
      <c r="G10084" s="29"/>
    </row>
    <row r="10085" ht="15.75" customHeight="1">
      <c r="A10085" s="33" t="s">
        <v>13762</v>
      </c>
      <c r="B10085" s="42" t="s">
        <v>366</v>
      </c>
      <c r="C10085" s="30" t="s">
        <v>940</v>
      </c>
      <c r="D10085" s="30" t="s">
        <v>3663</v>
      </c>
      <c r="E10085" s="32">
        <v>46123.0</v>
      </c>
      <c r="F10085" s="32">
        <v>46171.0</v>
      </c>
      <c r="G10085" s="33"/>
    </row>
    <row r="10086" ht="15.75" customHeight="1">
      <c r="A10086" s="29" t="s">
        <v>13763</v>
      </c>
      <c r="B10086" s="43" t="s">
        <v>414</v>
      </c>
      <c r="C10086" s="26" t="s">
        <v>940</v>
      </c>
      <c r="D10086" s="26" t="s">
        <v>3663</v>
      </c>
      <c r="E10086" s="28">
        <v>46123.0</v>
      </c>
      <c r="F10086" s="28">
        <v>46171.0</v>
      </c>
      <c r="G10086" s="29"/>
    </row>
    <row r="10087" ht="15.75" customHeight="1">
      <c r="A10087" s="33" t="s">
        <v>13764</v>
      </c>
      <c r="B10087" s="42" t="s">
        <v>416</v>
      </c>
      <c r="C10087" s="30" t="s">
        <v>940</v>
      </c>
      <c r="D10087" s="30" t="s">
        <v>3663</v>
      </c>
      <c r="E10087" s="32">
        <v>46123.0</v>
      </c>
      <c r="F10087" s="32">
        <v>46171.0</v>
      </c>
      <c r="G10087" s="33"/>
    </row>
    <row r="10088" ht="15.75" customHeight="1">
      <c r="A10088" s="29" t="s">
        <v>13765</v>
      </c>
      <c r="B10088" s="43" t="s">
        <v>432</v>
      </c>
      <c r="C10088" s="26" t="s">
        <v>940</v>
      </c>
      <c r="D10088" s="26" t="s">
        <v>3663</v>
      </c>
      <c r="E10088" s="28">
        <v>46123.0</v>
      </c>
      <c r="F10088" s="28">
        <v>46171.0</v>
      </c>
      <c r="G10088" s="29"/>
    </row>
    <row r="10089" ht="15.75" customHeight="1">
      <c r="A10089" s="33" t="s">
        <v>13766</v>
      </c>
      <c r="B10089" s="42" t="s">
        <v>469</v>
      </c>
      <c r="C10089" s="30" t="s">
        <v>940</v>
      </c>
      <c r="D10089" s="30" t="s">
        <v>3663</v>
      </c>
      <c r="E10089" s="32">
        <v>46123.0</v>
      </c>
      <c r="F10089" s="32">
        <v>46171.0</v>
      </c>
      <c r="G10089" s="33"/>
    </row>
    <row r="10090" ht="15.75" customHeight="1">
      <c r="A10090" s="29" t="s">
        <v>13767</v>
      </c>
      <c r="B10090" s="43" t="s">
        <v>520</v>
      </c>
      <c r="C10090" s="26" t="s">
        <v>940</v>
      </c>
      <c r="D10090" s="26" t="s">
        <v>3663</v>
      </c>
      <c r="E10090" s="28">
        <v>46123.0</v>
      </c>
      <c r="F10090" s="28">
        <v>46171.0</v>
      </c>
      <c r="G10090" s="29"/>
    </row>
    <row r="10091" ht="15.75" customHeight="1">
      <c r="A10091" s="33" t="s">
        <v>13768</v>
      </c>
      <c r="B10091" s="42" t="s">
        <v>534</v>
      </c>
      <c r="C10091" s="30" t="s">
        <v>940</v>
      </c>
      <c r="D10091" s="30" t="s">
        <v>3663</v>
      </c>
      <c r="E10091" s="32">
        <v>46123.0</v>
      </c>
      <c r="F10091" s="32">
        <v>46171.0</v>
      </c>
      <c r="G10091" s="33"/>
    </row>
    <row r="10092" ht="15.75" customHeight="1">
      <c r="A10092" s="29" t="s">
        <v>13769</v>
      </c>
      <c r="B10092" s="43" t="s">
        <v>617</v>
      </c>
      <c r="C10092" s="26" t="s">
        <v>940</v>
      </c>
      <c r="D10092" s="26" t="s">
        <v>3663</v>
      </c>
      <c r="E10092" s="28">
        <v>46123.0</v>
      </c>
      <c r="F10092" s="28">
        <v>46171.0</v>
      </c>
      <c r="G10092" s="29"/>
    </row>
    <row r="10093" ht="15.75" customHeight="1">
      <c r="A10093" s="33" t="s">
        <v>13770</v>
      </c>
      <c r="B10093" s="42" t="s">
        <v>623</v>
      </c>
      <c r="C10093" s="30" t="s">
        <v>940</v>
      </c>
      <c r="D10093" s="30" t="s">
        <v>3663</v>
      </c>
      <c r="E10093" s="32">
        <v>46123.0</v>
      </c>
      <c r="F10093" s="32">
        <v>46171.0</v>
      </c>
      <c r="G10093" s="33"/>
    </row>
    <row r="10094" ht="15.75" customHeight="1">
      <c r="A10094" s="29" t="s">
        <v>13771</v>
      </c>
      <c r="B10094" s="43" t="s">
        <v>673</v>
      </c>
      <c r="C10094" s="26" t="s">
        <v>940</v>
      </c>
      <c r="D10094" s="26" t="s">
        <v>3663</v>
      </c>
      <c r="E10094" s="28">
        <v>46123.0</v>
      </c>
      <c r="F10094" s="28">
        <v>46171.0</v>
      </c>
      <c r="G10094" s="29"/>
    </row>
    <row r="10095" ht="15.75" customHeight="1">
      <c r="A10095" s="33" t="s">
        <v>13772</v>
      </c>
      <c r="B10095" s="42" t="s">
        <v>676</v>
      </c>
      <c r="C10095" s="30" t="s">
        <v>940</v>
      </c>
      <c r="D10095" s="30" t="s">
        <v>3663</v>
      </c>
      <c r="E10095" s="32">
        <v>46123.0</v>
      </c>
      <c r="F10095" s="32">
        <v>46171.0</v>
      </c>
      <c r="G10095" s="33"/>
    </row>
    <row r="10096" ht="15.75" customHeight="1">
      <c r="A10096" s="29" t="s">
        <v>13773</v>
      </c>
      <c r="B10096" s="43" t="s">
        <v>698</v>
      </c>
      <c r="C10096" s="26" t="s">
        <v>940</v>
      </c>
      <c r="D10096" s="26" t="s">
        <v>3663</v>
      </c>
      <c r="E10096" s="28">
        <v>46123.0</v>
      </c>
      <c r="F10096" s="28">
        <v>46171.0</v>
      </c>
      <c r="G10096" s="29"/>
    </row>
    <row r="10097" ht="15.75" customHeight="1">
      <c r="A10097" s="33" t="s">
        <v>13774</v>
      </c>
      <c r="B10097" s="42" t="s">
        <v>709</v>
      </c>
      <c r="C10097" s="30" t="s">
        <v>940</v>
      </c>
      <c r="D10097" s="30" t="s">
        <v>3663</v>
      </c>
      <c r="E10097" s="32">
        <v>46123.0</v>
      </c>
      <c r="F10097" s="32">
        <v>46171.0</v>
      </c>
      <c r="G10097" s="33"/>
    </row>
    <row r="10098" ht="15.75" customHeight="1">
      <c r="A10098" s="29" t="s">
        <v>13775</v>
      </c>
      <c r="B10098" s="43" t="s">
        <v>742</v>
      </c>
      <c r="C10098" s="26" t="s">
        <v>940</v>
      </c>
      <c r="D10098" s="26" t="s">
        <v>3663</v>
      </c>
      <c r="E10098" s="28">
        <v>46123.0</v>
      </c>
      <c r="F10098" s="28">
        <v>46171.0</v>
      </c>
      <c r="G10098" s="29"/>
    </row>
    <row r="10099" ht="15.75" customHeight="1">
      <c r="A10099" s="33" t="s">
        <v>13776</v>
      </c>
      <c r="B10099" s="42" t="s">
        <v>746</v>
      </c>
      <c r="C10099" s="30" t="s">
        <v>940</v>
      </c>
      <c r="D10099" s="30" t="s">
        <v>3663</v>
      </c>
      <c r="E10099" s="32">
        <v>46123.0</v>
      </c>
      <c r="F10099" s="32">
        <v>46171.0</v>
      </c>
      <c r="G10099" s="33"/>
    </row>
    <row r="10100" ht="15.75" customHeight="1">
      <c r="A10100" s="29" t="s">
        <v>13777</v>
      </c>
      <c r="B10100" s="43" t="s">
        <v>808</v>
      </c>
      <c r="C10100" s="26" t="s">
        <v>940</v>
      </c>
      <c r="D10100" s="26" t="s">
        <v>3663</v>
      </c>
      <c r="E10100" s="28">
        <v>46123.0</v>
      </c>
      <c r="F10100" s="28">
        <v>46171.0</v>
      </c>
      <c r="G10100" s="29"/>
    </row>
    <row r="10101" ht="15.75" customHeight="1">
      <c r="A10101" s="33" t="s">
        <v>13778</v>
      </c>
      <c r="B10101" s="42" t="s">
        <v>62</v>
      </c>
      <c r="C10101" s="30" t="s">
        <v>940</v>
      </c>
      <c r="D10101" s="30" t="s">
        <v>3663</v>
      </c>
      <c r="E10101" s="32">
        <v>46123.0</v>
      </c>
      <c r="F10101" s="32">
        <v>46171.0</v>
      </c>
      <c r="G10101" s="33"/>
    </row>
    <row r="10102" ht="15.75" customHeight="1">
      <c r="A10102" s="29" t="s">
        <v>13779</v>
      </c>
      <c r="B10102" s="43" t="s">
        <v>200</v>
      </c>
      <c r="C10102" s="26" t="s">
        <v>940</v>
      </c>
      <c r="D10102" s="26" t="s">
        <v>3663</v>
      </c>
      <c r="E10102" s="28">
        <v>46123.0</v>
      </c>
      <c r="F10102" s="28">
        <v>46171.0</v>
      </c>
      <c r="G10102" s="29"/>
    </row>
    <row r="10103" ht="15.75" customHeight="1">
      <c r="A10103" s="33" t="s">
        <v>13780</v>
      </c>
      <c r="B10103" s="42" t="s">
        <v>225</v>
      </c>
      <c r="C10103" s="30" t="s">
        <v>940</v>
      </c>
      <c r="D10103" s="30" t="s">
        <v>3663</v>
      </c>
      <c r="E10103" s="32">
        <v>46123.0</v>
      </c>
      <c r="F10103" s="32">
        <v>46171.0</v>
      </c>
      <c r="G10103" s="33"/>
    </row>
    <row r="10104" ht="15.75" customHeight="1">
      <c r="A10104" s="29" t="s">
        <v>13781</v>
      </c>
      <c r="B10104" s="43" t="s">
        <v>228</v>
      </c>
      <c r="C10104" s="26" t="s">
        <v>940</v>
      </c>
      <c r="D10104" s="26" t="s">
        <v>3663</v>
      </c>
      <c r="E10104" s="28">
        <v>46123.0</v>
      </c>
      <c r="F10104" s="28">
        <v>46171.0</v>
      </c>
      <c r="G10104" s="29"/>
    </row>
    <row r="10105" ht="15.75" customHeight="1">
      <c r="A10105" s="33" t="s">
        <v>13782</v>
      </c>
      <c r="B10105" s="42" t="s">
        <v>229</v>
      </c>
      <c r="C10105" s="30" t="s">
        <v>940</v>
      </c>
      <c r="D10105" s="30" t="s">
        <v>3663</v>
      </c>
      <c r="E10105" s="32">
        <v>46123.0</v>
      </c>
      <c r="F10105" s="32">
        <v>46171.0</v>
      </c>
      <c r="G10105" s="33"/>
    </row>
    <row r="10106" ht="15.75" customHeight="1">
      <c r="A10106" s="29" t="s">
        <v>13783</v>
      </c>
      <c r="B10106" s="43" t="s">
        <v>235</v>
      </c>
      <c r="C10106" s="26" t="s">
        <v>940</v>
      </c>
      <c r="D10106" s="26" t="s">
        <v>3663</v>
      </c>
      <c r="E10106" s="28">
        <v>46123.0</v>
      </c>
      <c r="F10106" s="28">
        <v>46171.0</v>
      </c>
      <c r="G10106" s="29"/>
    </row>
    <row r="10107" ht="15.75" customHeight="1">
      <c r="A10107" s="33" t="s">
        <v>13784</v>
      </c>
      <c r="B10107" s="42" t="s">
        <v>246</v>
      </c>
      <c r="C10107" s="30" t="s">
        <v>940</v>
      </c>
      <c r="D10107" s="30" t="s">
        <v>3663</v>
      </c>
      <c r="E10107" s="32">
        <v>46123.0</v>
      </c>
      <c r="F10107" s="32">
        <v>46171.0</v>
      </c>
      <c r="G10107" s="33"/>
    </row>
    <row r="10108" ht="15.75" customHeight="1">
      <c r="A10108" s="29" t="s">
        <v>13785</v>
      </c>
      <c r="B10108" s="43" t="s">
        <v>276</v>
      </c>
      <c r="C10108" s="26" t="s">
        <v>940</v>
      </c>
      <c r="D10108" s="26" t="s">
        <v>3663</v>
      </c>
      <c r="E10108" s="28">
        <v>46123.0</v>
      </c>
      <c r="F10108" s="28">
        <v>46171.0</v>
      </c>
      <c r="G10108" s="29"/>
    </row>
    <row r="10109" ht="15.75" customHeight="1">
      <c r="A10109" s="33" t="s">
        <v>13786</v>
      </c>
      <c r="B10109" s="42" t="s">
        <v>283</v>
      </c>
      <c r="C10109" s="30" t="s">
        <v>940</v>
      </c>
      <c r="D10109" s="30" t="s">
        <v>3663</v>
      </c>
      <c r="E10109" s="32">
        <v>46123.0</v>
      </c>
      <c r="F10109" s="32">
        <v>46171.0</v>
      </c>
      <c r="G10109" s="33"/>
    </row>
    <row r="10110" ht="15.75" customHeight="1">
      <c r="A10110" s="29" t="s">
        <v>13787</v>
      </c>
      <c r="B10110" s="43" t="s">
        <v>293</v>
      </c>
      <c r="C10110" s="26" t="s">
        <v>940</v>
      </c>
      <c r="D10110" s="26" t="s">
        <v>3663</v>
      </c>
      <c r="E10110" s="28">
        <v>46123.0</v>
      </c>
      <c r="F10110" s="28">
        <v>46171.0</v>
      </c>
      <c r="G10110" s="29"/>
    </row>
    <row r="10111" ht="15.75" customHeight="1">
      <c r="A10111" s="33" t="s">
        <v>13788</v>
      </c>
      <c r="B10111" s="42" t="s">
        <v>308</v>
      </c>
      <c r="C10111" s="30" t="s">
        <v>940</v>
      </c>
      <c r="D10111" s="30" t="s">
        <v>3663</v>
      </c>
      <c r="E10111" s="32">
        <v>46123.0</v>
      </c>
      <c r="F10111" s="32">
        <v>46171.0</v>
      </c>
      <c r="G10111" s="33"/>
    </row>
    <row r="10112" ht="15.75" customHeight="1">
      <c r="A10112" s="29" t="s">
        <v>13789</v>
      </c>
      <c r="B10112" s="43" t="s">
        <v>309</v>
      </c>
      <c r="C10112" s="26" t="s">
        <v>940</v>
      </c>
      <c r="D10112" s="26" t="s">
        <v>3663</v>
      </c>
      <c r="E10112" s="28">
        <v>46123.0</v>
      </c>
      <c r="F10112" s="28">
        <v>46171.0</v>
      </c>
      <c r="G10112" s="29"/>
    </row>
    <row r="10113" ht="15.75" customHeight="1">
      <c r="A10113" s="33" t="s">
        <v>13790</v>
      </c>
      <c r="B10113" s="42" t="s">
        <v>2480</v>
      </c>
      <c r="C10113" s="30" t="s">
        <v>940</v>
      </c>
      <c r="D10113" s="30" t="s">
        <v>3663</v>
      </c>
      <c r="E10113" s="32">
        <v>46123.0</v>
      </c>
      <c r="F10113" s="32">
        <v>46171.0</v>
      </c>
      <c r="G10113" s="33"/>
    </row>
    <row r="10114" ht="15.75" customHeight="1">
      <c r="A10114" s="29" t="s">
        <v>13791</v>
      </c>
      <c r="B10114" s="43" t="s">
        <v>399</v>
      </c>
      <c r="C10114" s="26" t="s">
        <v>940</v>
      </c>
      <c r="D10114" s="26" t="s">
        <v>3663</v>
      </c>
      <c r="E10114" s="28">
        <v>46123.0</v>
      </c>
      <c r="F10114" s="28">
        <v>46171.0</v>
      </c>
      <c r="G10114" s="29"/>
    </row>
    <row r="10115" ht="15.75" customHeight="1">
      <c r="A10115" s="33" t="s">
        <v>13792</v>
      </c>
      <c r="B10115" s="42" t="s">
        <v>435</v>
      </c>
      <c r="C10115" s="30" t="s">
        <v>940</v>
      </c>
      <c r="D10115" s="30" t="s">
        <v>3663</v>
      </c>
      <c r="E10115" s="32">
        <v>46123.0</v>
      </c>
      <c r="F10115" s="32">
        <v>46171.0</v>
      </c>
      <c r="G10115" s="33"/>
    </row>
    <row r="10116" ht="15.75" customHeight="1">
      <c r="A10116" s="29" t="s">
        <v>13793</v>
      </c>
      <c r="B10116" s="43" t="s">
        <v>450</v>
      </c>
      <c r="C10116" s="26" t="s">
        <v>940</v>
      </c>
      <c r="D10116" s="26" t="s">
        <v>3663</v>
      </c>
      <c r="E10116" s="28">
        <v>46123.0</v>
      </c>
      <c r="F10116" s="28">
        <v>46171.0</v>
      </c>
      <c r="G10116" s="29"/>
    </row>
    <row r="10117" ht="15.75" customHeight="1">
      <c r="A10117" s="33" t="s">
        <v>13794</v>
      </c>
      <c r="B10117" s="42" t="s">
        <v>477</v>
      </c>
      <c r="C10117" s="30" t="s">
        <v>940</v>
      </c>
      <c r="D10117" s="30" t="s">
        <v>3663</v>
      </c>
      <c r="E10117" s="32">
        <v>46123.0</v>
      </c>
      <c r="F10117" s="32">
        <v>46171.0</v>
      </c>
      <c r="G10117" s="33"/>
    </row>
    <row r="10118" ht="15.75" customHeight="1">
      <c r="A10118" s="29" t="s">
        <v>13795</v>
      </c>
      <c r="B10118" s="43" t="s">
        <v>498</v>
      </c>
      <c r="C10118" s="26" t="s">
        <v>940</v>
      </c>
      <c r="D10118" s="26" t="s">
        <v>3663</v>
      </c>
      <c r="E10118" s="28">
        <v>46123.0</v>
      </c>
      <c r="F10118" s="28">
        <v>46171.0</v>
      </c>
      <c r="G10118" s="29"/>
    </row>
    <row r="10119" ht="15.75" customHeight="1">
      <c r="A10119" s="33" t="s">
        <v>13796</v>
      </c>
      <c r="B10119" s="42" t="s">
        <v>507</v>
      </c>
      <c r="C10119" s="30" t="s">
        <v>940</v>
      </c>
      <c r="D10119" s="30" t="s">
        <v>3663</v>
      </c>
      <c r="E10119" s="32">
        <v>46123.0</v>
      </c>
      <c r="F10119" s="32">
        <v>46171.0</v>
      </c>
      <c r="G10119" s="33"/>
    </row>
    <row r="10120" ht="15.75" customHeight="1">
      <c r="A10120" s="29" t="s">
        <v>13797</v>
      </c>
      <c r="B10120" s="43" t="s">
        <v>547</v>
      </c>
      <c r="C10120" s="26" t="s">
        <v>940</v>
      </c>
      <c r="D10120" s="26" t="s">
        <v>3663</v>
      </c>
      <c r="E10120" s="28">
        <v>46123.0</v>
      </c>
      <c r="F10120" s="28">
        <v>46171.0</v>
      </c>
      <c r="G10120" s="29"/>
    </row>
    <row r="10121" ht="15.75" customHeight="1">
      <c r="A10121" s="33" t="s">
        <v>13798</v>
      </c>
      <c r="B10121" s="42" t="s">
        <v>562</v>
      </c>
      <c r="C10121" s="30" t="s">
        <v>940</v>
      </c>
      <c r="D10121" s="30" t="s">
        <v>3663</v>
      </c>
      <c r="E10121" s="32">
        <v>46123.0</v>
      </c>
      <c r="F10121" s="32">
        <v>46171.0</v>
      </c>
      <c r="G10121" s="33"/>
    </row>
    <row r="10122" ht="15.75" customHeight="1">
      <c r="A10122" s="29" t="s">
        <v>13799</v>
      </c>
      <c r="B10122" s="43" t="s">
        <v>573</v>
      </c>
      <c r="C10122" s="26" t="s">
        <v>940</v>
      </c>
      <c r="D10122" s="26" t="s">
        <v>3663</v>
      </c>
      <c r="E10122" s="28">
        <v>46123.0</v>
      </c>
      <c r="F10122" s="28">
        <v>46171.0</v>
      </c>
      <c r="G10122" s="29"/>
    </row>
    <row r="10123" ht="15.75" customHeight="1">
      <c r="A10123" s="33" t="s">
        <v>13800</v>
      </c>
      <c r="B10123" s="42" t="s">
        <v>601</v>
      </c>
      <c r="C10123" s="30" t="s">
        <v>940</v>
      </c>
      <c r="D10123" s="30" t="s">
        <v>3663</v>
      </c>
      <c r="E10123" s="32">
        <v>46123.0</v>
      </c>
      <c r="F10123" s="32">
        <v>46171.0</v>
      </c>
      <c r="G10123" s="33"/>
    </row>
    <row r="10124" ht="15.75" customHeight="1">
      <c r="A10124" s="29" t="s">
        <v>13801</v>
      </c>
      <c r="B10124" s="43" t="s">
        <v>603</v>
      </c>
      <c r="C10124" s="26" t="s">
        <v>940</v>
      </c>
      <c r="D10124" s="26" t="s">
        <v>3663</v>
      </c>
      <c r="E10124" s="28">
        <v>46123.0</v>
      </c>
      <c r="F10124" s="28">
        <v>46171.0</v>
      </c>
      <c r="G10124" s="29"/>
    </row>
    <row r="10125" ht="15.75" customHeight="1">
      <c r="A10125" s="33" t="s">
        <v>13802</v>
      </c>
      <c r="B10125" s="42" t="s">
        <v>685</v>
      </c>
      <c r="C10125" s="30" t="s">
        <v>940</v>
      </c>
      <c r="D10125" s="30" t="s">
        <v>3663</v>
      </c>
      <c r="E10125" s="32">
        <v>46123.0</v>
      </c>
      <c r="F10125" s="32">
        <v>46171.0</v>
      </c>
      <c r="G10125" s="33"/>
    </row>
    <row r="10126" ht="15.75" customHeight="1">
      <c r="A10126" s="29" t="s">
        <v>13803</v>
      </c>
      <c r="B10126" s="43" t="s">
        <v>2794</v>
      </c>
      <c r="C10126" s="26" t="s">
        <v>940</v>
      </c>
      <c r="D10126" s="26" t="s">
        <v>3663</v>
      </c>
      <c r="E10126" s="28">
        <v>46123.0</v>
      </c>
      <c r="F10126" s="28">
        <v>46171.0</v>
      </c>
      <c r="G10126" s="29"/>
    </row>
    <row r="10127" ht="15.75" customHeight="1">
      <c r="A10127" s="33" t="s">
        <v>13804</v>
      </c>
      <c r="B10127" s="42" t="s">
        <v>727</v>
      </c>
      <c r="C10127" s="30" t="s">
        <v>940</v>
      </c>
      <c r="D10127" s="30" t="s">
        <v>3663</v>
      </c>
      <c r="E10127" s="32">
        <v>46123.0</v>
      </c>
      <c r="F10127" s="32">
        <v>46171.0</v>
      </c>
      <c r="G10127" s="33"/>
    </row>
    <row r="10128" ht="15.75" customHeight="1">
      <c r="A10128" s="29" t="s">
        <v>13805</v>
      </c>
      <c r="B10128" s="43" t="s">
        <v>728</v>
      </c>
      <c r="C10128" s="26" t="s">
        <v>940</v>
      </c>
      <c r="D10128" s="26" t="s">
        <v>3663</v>
      </c>
      <c r="E10128" s="28">
        <v>46123.0</v>
      </c>
      <c r="F10128" s="28">
        <v>46171.0</v>
      </c>
      <c r="G10128" s="29"/>
    </row>
    <row r="10129" ht="15.75" customHeight="1">
      <c r="A10129" s="33" t="s">
        <v>13806</v>
      </c>
      <c r="B10129" s="42" t="s">
        <v>2824</v>
      </c>
      <c r="C10129" s="30" t="s">
        <v>940</v>
      </c>
      <c r="D10129" s="30" t="s">
        <v>3663</v>
      </c>
      <c r="E10129" s="32">
        <v>46123.0</v>
      </c>
      <c r="F10129" s="32">
        <v>46171.0</v>
      </c>
      <c r="G10129" s="33"/>
    </row>
    <row r="10130" ht="15.75" customHeight="1">
      <c r="A10130" s="29" t="s">
        <v>13807</v>
      </c>
      <c r="B10130" s="43" t="s">
        <v>730</v>
      </c>
      <c r="C10130" s="26" t="s">
        <v>940</v>
      </c>
      <c r="D10130" s="26" t="s">
        <v>3663</v>
      </c>
      <c r="E10130" s="28">
        <v>46123.0</v>
      </c>
      <c r="F10130" s="28">
        <v>46171.0</v>
      </c>
      <c r="G10130" s="29"/>
    </row>
    <row r="10131" ht="15.75" customHeight="1">
      <c r="A10131" s="33" t="s">
        <v>13808</v>
      </c>
      <c r="B10131" s="42" t="s">
        <v>758</v>
      </c>
      <c r="C10131" s="30" t="s">
        <v>940</v>
      </c>
      <c r="D10131" s="30" t="s">
        <v>3663</v>
      </c>
      <c r="E10131" s="32">
        <v>46123.0</v>
      </c>
      <c r="F10131" s="32">
        <v>46171.0</v>
      </c>
      <c r="G10131" s="33"/>
    </row>
    <row r="10132" ht="15.75" customHeight="1">
      <c r="A10132" s="29" t="s">
        <v>13809</v>
      </c>
      <c r="B10132" s="43" t="s">
        <v>764</v>
      </c>
      <c r="C10132" s="26" t="s">
        <v>940</v>
      </c>
      <c r="D10132" s="26" t="s">
        <v>3663</v>
      </c>
      <c r="E10132" s="28">
        <v>46123.0</v>
      </c>
      <c r="F10132" s="28">
        <v>46171.0</v>
      </c>
      <c r="G10132" s="29"/>
    </row>
    <row r="10133" ht="15.75" customHeight="1">
      <c r="A10133" s="33" t="s">
        <v>13810</v>
      </c>
      <c r="B10133" s="42" t="s">
        <v>1147</v>
      </c>
      <c r="C10133" s="30" t="s">
        <v>940</v>
      </c>
      <c r="D10133" s="30" t="s">
        <v>3663</v>
      </c>
      <c r="E10133" s="32">
        <v>46123.0</v>
      </c>
      <c r="F10133" s="32">
        <v>46171.0</v>
      </c>
      <c r="G10133" s="33"/>
    </row>
    <row r="10134" ht="15.75" customHeight="1">
      <c r="A10134" s="29" t="s">
        <v>13811</v>
      </c>
      <c r="B10134" s="43" t="s">
        <v>770</v>
      </c>
      <c r="C10134" s="26" t="s">
        <v>940</v>
      </c>
      <c r="D10134" s="26" t="s">
        <v>3663</v>
      </c>
      <c r="E10134" s="28">
        <v>46123.0</v>
      </c>
      <c r="F10134" s="28">
        <v>46171.0</v>
      </c>
      <c r="G10134" s="29"/>
    </row>
    <row r="10135" ht="15.75" customHeight="1">
      <c r="A10135" s="33" t="s">
        <v>13812</v>
      </c>
      <c r="B10135" s="42" t="s">
        <v>801</v>
      </c>
      <c r="C10135" s="30" t="s">
        <v>940</v>
      </c>
      <c r="D10135" s="30" t="s">
        <v>3663</v>
      </c>
      <c r="E10135" s="32">
        <v>46123.0</v>
      </c>
      <c r="F10135" s="32">
        <v>46171.0</v>
      </c>
      <c r="G10135" s="33"/>
    </row>
    <row r="10136" ht="15.75" customHeight="1">
      <c r="A10136" s="29" t="s">
        <v>13813</v>
      </c>
      <c r="B10136" s="43" t="s">
        <v>83</v>
      </c>
      <c r="C10136" s="26" t="s">
        <v>940</v>
      </c>
      <c r="D10136" s="26" t="s">
        <v>3663</v>
      </c>
      <c r="E10136" s="28">
        <v>46123.0</v>
      </c>
      <c r="F10136" s="28">
        <v>46171.0</v>
      </c>
      <c r="G10136" s="29"/>
    </row>
    <row r="10137" ht="15.75" customHeight="1">
      <c r="A10137" s="33" t="s">
        <v>13814</v>
      </c>
      <c r="B10137" s="42" t="s">
        <v>2278</v>
      </c>
      <c r="C10137" s="30" t="s">
        <v>940</v>
      </c>
      <c r="D10137" s="30" t="s">
        <v>3663</v>
      </c>
      <c r="E10137" s="32">
        <v>46123.0</v>
      </c>
      <c r="F10137" s="32">
        <v>46171.0</v>
      </c>
      <c r="G10137" s="33"/>
    </row>
    <row r="10138" ht="15.75" customHeight="1">
      <c r="A10138" s="29" t="s">
        <v>13815</v>
      </c>
      <c r="B10138" s="43" t="s">
        <v>151</v>
      </c>
      <c r="C10138" s="26" t="s">
        <v>940</v>
      </c>
      <c r="D10138" s="26" t="s">
        <v>3663</v>
      </c>
      <c r="E10138" s="28">
        <v>46123.0</v>
      </c>
      <c r="F10138" s="28">
        <v>46171.0</v>
      </c>
      <c r="G10138" s="29"/>
    </row>
    <row r="10139" ht="15.75" customHeight="1">
      <c r="A10139" s="33" t="s">
        <v>13816</v>
      </c>
      <c r="B10139" s="42" t="s">
        <v>214</v>
      </c>
      <c r="C10139" s="30" t="s">
        <v>940</v>
      </c>
      <c r="D10139" s="30" t="s">
        <v>3663</v>
      </c>
      <c r="E10139" s="32">
        <v>46123.0</v>
      </c>
      <c r="F10139" s="32">
        <v>46171.0</v>
      </c>
      <c r="G10139" s="33"/>
    </row>
    <row r="10140" ht="15.75" customHeight="1">
      <c r="A10140" s="29" t="s">
        <v>13817</v>
      </c>
      <c r="B10140" s="43" t="s">
        <v>231</v>
      </c>
      <c r="C10140" s="26" t="s">
        <v>940</v>
      </c>
      <c r="D10140" s="26" t="s">
        <v>3663</v>
      </c>
      <c r="E10140" s="28">
        <v>46123.0</v>
      </c>
      <c r="F10140" s="28">
        <v>46171.0</v>
      </c>
      <c r="G10140" s="29"/>
    </row>
    <row r="10141" ht="15.75" customHeight="1">
      <c r="A10141" s="33" t="s">
        <v>13818</v>
      </c>
      <c r="B10141" s="42" t="s">
        <v>249</v>
      </c>
      <c r="C10141" s="30" t="s">
        <v>940</v>
      </c>
      <c r="D10141" s="30" t="s">
        <v>3663</v>
      </c>
      <c r="E10141" s="32">
        <v>46123.0</v>
      </c>
      <c r="F10141" s="32">
        <v>46171.0</v>
      </c>
      <c r="G10141" s="33"/>
    </row>
    <row r="10142" ht="15.75" customHeight="1">
      <c r="A10142" s="29" t="s">
        <v>13819</v>
      </c>
      <c r="B10142" s="43" t="s">
        <v>296</v>
      </c>
      <c r="C10142" s="26" t="s">
        <v>940</v>
      </c>
      <c r="D10142" s="26" t="s">
        <v>3663</v>
      </c>
      <c r="E10142" s="28">
        <v>46123.0</v>
      </c>
      <c r="F10142" s="28">
        <v>46171.0</v>
      </c>
      <c r="G10142" s="29"/>
    </row>
    <row r="10143" ht="15.75" customHeight="1">
      <c r="A10143" s="33" t="s">
        <v>13820</v>
      </c>
      <c r="B10143" s="42" t="s">
        <v>301</v>
      </c>
      <c r="C10143" s="30" t="s">
        <v>940</v>
      </c>
      <c r="D10143" s="30" t="s">
        <v>3663</v>
      </c>
      <c r="E10143" s="32">
        <v>46123.0</v>
      </c>
      <c r="F10143" s="32">
        <v>46171.0</v>
      </c>
      <c r="G10143" s="33"/>
    </row>
    <row r="10144" ht="15.75" customHeight="1">
      <c r="A10144" s="29" t="s">
        <v>13821</v>
      </c>
      <c r="B10144" s="43" t="s">
        <v>328</v>
      </c>
      <c r="C10144" s="26" t="s">
        <v>940</v>
      </c>
      <c r="D10144" s="26" t="s">
        <v>3663</v>
      </c>
      <c r="E10144" s="28">
        <v>46123.0</v>
      </c>
      <c r="F10144" s="28">
        <v>46171.0</v>
      </c>
      <c r="G10144" s="29"/>
    </row>
    <row r="10145" ht="15.75" customHeight="1">
      <c r="A10145" s="33" t="s">
        <v>13822</v>
      </c>
      <c r="B10145" s="42" t="s">
        <v>336</v>
      </c>
      <c r="C10145" s="30" t="s">
        <v>940</v>
      </c>
      <c r="D10145" s="30" t="s">
        <v>3663</v>
      </c>
      <c r="E10145" s="32">
        <v>46123.0</v>
      </c>
      <c r="F10145" s="32">
        <v>46171.0</v>
      </c>
      <c r="G10145" s="33"/>
    </row>
    <row r="10146" ht="15.75" customHeight="1">
      <c r="A10146" s="29" t="s">
        <v>13823</v>
      </c>
      <c r="B10146" s="43" t="s">
        <v>372</v>
      </c>
      <c r="C10146" s="26" t="s">
        <v>940</v>
      </c>
      <c r="D10146" s="26" t="s">
        <v>3663</v>
      </c>
      <c r="E10146" s="28">
        <v>46123.0</v>
      </c>
      <c r="F10146" s="28">
        <v>46171.0</v>
      </c>
      <c r="G10146" s="29"/>
    </row>
    <row r="10147" ht="15.75" customHeight="1">
      <c r="A10147" s="33" t="s">
        <v>13824</v>
      </c>
      <c r="B10147" s="42" t="s">
        <v>403</v>
      </c>
      <c r="C10147" s="30" t="s">
        <v>940</v>
      </c>
      <c r="D10147" s="30" t="s">
        <v>3663</v>
      </c>
      <c r="E10147" s="32">
        <v>46123.0</v>
      </c>
      <c r="F10147" s="32">
        <v>46171.0</v>
      </c>
      <c r="G10147" s="33"/>
    </row>
    <row r="10148" ht="15.75" customHeight="1">
      <c r="A10148" s="29" t="s">
        <v>13825</v>
      </c>
      <c r="B10148" s="43" t="s">
        <v>411</v>
      </c>
      <c r="C10148" s="26" t="s">
        <v>940</v>
      </c>
      <c r="D10148" s="26" t="s">
        <v>3663</v>
      </c>
      <c r="E10148" s="28">
        <v>46123.0</v>
      </c>
      <c r="F10148" s="28">
        <v>46171.0</v>
      </c>
      <c r="G10148" s="29"/>
    </row>
    <row r="10149" ht="15.75" customHeight="1">
      <c r="A10149" s="33" t="s">
        <v>13826</v>
      </c>
      <c r="B10149" s="42" t="s">
        <v>451</v>
      </c>
      <c r="C10149" s="30" t="s">
        <v>940</v>
      </c>
      <c r="D10149" s="30" t="s">
        <v>3663</v>
      </c>
      <c r="E10149" s="32">
        <v>46123.0</v>
      </c>
      <c r="F10149" s="32">
        <v>46171.0</v>
      </c>
      <c r="G10149" s="33"/>
    </row>
    <row r="10150" ht="15.75" customHeight="1">
      <c r="A10150" s="29" t="s">
        <v>13827</v>
      </c>
      <c r="B10150" s="43" t="s">
        <v>472</v>
      </c>
      <c r="C10150" s="26" t="s">
        <v>940</v>
      </c>
      <c r="D10150" s="26" t="s">
        <v>3663</v>
      </c>
      <c r="E10150" s="28">
        <v>46123.0</v>
      </c>
      <c r="F10150" s="28">
        <v>46171.0</v>
      </c>
      <c r="G10150" s="29"/>
    </row>
    <row r="10151" ht="15.75" customHeight="1">
      <c r="A10151" s="33" t="s">
        <v>13828</v>
      </c>
      <c r="B10151" s="42" t="s">
        <v>483</v>
      </c>
      <c r="C10151" s="30" t="s">
        <v>940</v>
      </c>
      <c r="D10151" s="30" t="s">
        <v>3663</v>
      </c>
      <c r="E10151" s="32">
        <v>46123.0</v>
      </c>
      <c r="F10151" s="32">
        <v>46171.0</v>
      </c>
      <c r="G10151" s="33"/>
    </row>
    <row r="10152" ht="15.75" customHeight="1">
      <c r="A10152" s="29" t="s">
        <v>13829</v>
      </c>
      <c r="B10152" s="43" t="s">
        <v>510</v>
      </c>
      <c r="C10152" s="26" t="s">
        <v>940</v>
      </c>
      <c r="D10152" s="26" t="s">
        <v>3663</v>
      </c>
      <c r="E10152" s="28">
        <v>46123.0</v>
      </c>
      <c r="F10152" s="28">
        <v>46171.0</v>
      </c>
      <c r="G10152" s="29"/>
    </row>
    <row r="10153" ht="15.75" customHeight="1">
      <c r="A10153" s="33" t="s">
        <v>13830</v>
      </c>
      <c r="B10153" s="42" t="s">
        <v>522</v>
      </c>
      <c r="C10153" s="30" t="s">
        <v>940</v>
      </c>
      <c r="D10153" s="30" t="s">
        <v>3663</v>
      </c>
      <c r="E10153" s="32">
        <v>46123.0</v>
      </c>
      <c r="F10153" s="32">
        <v>46171.0</v>
      </c>
      <c r="G10153" s="33"/>
    </row>
    <row r="10154" ht="15.75" customHeight="1">
      <c r="A10154" s="29" t="s">
        <v>13831</v>
      </c>
      <c r="B10154" s="43" t="s">
        <v>540</v>
      </c>
      <c r="C10154" s="26" t="s">
        <v>940</v>
      </c>
      <c r="D10154" s="26" t="s">
        <v>3663</v>
      </c>
      <c r="E10154" s="28">
        <v>46123.0</v>
      </c>
      <c r="F10154" s="28">
        <v>46171.0</v>
      </c>
      <c r="G10154" s="29"/>
    </row>
    <row r="10155" ht="15.75" customHeight="1">
      <c r="A10155" s="33" t="s">
        <v>13832</v>
      </c>
      <c r="B10155" s="42" t="s">
        <v>551</v>
      </c>
      <c r="C10155" s="30" t="s">
        <v>940</v>
      </c>
      <c r="D10155" s="30" t="s">
        <v>3663</v>
      </c>
      <c r="E10155" s="32">
        <v>46123.0</v>
      </c>
      <c r="F10155" s="32">
        <v>46171.0</v>
      </c>
      <c r="G10155" s="33"/>
    </row>
    <row r="10156" ht="15.75" customHeight="1">
      <c r="A10156" s="29" t="s">
        <v>13833</v>
      </c>
      <c r="B10156" s="43" t="s">
        <v>602</v>
      </c>
      <c r="C10156" s="26" t="s">
        <v>940</v>
      </c>
      <c r="D10156" s="26" t="s">
        <v>3663</v>
      </c>
      <c r="E10156" s="28">
        <v>46123.0</v>
      </c>
      <c r="F10156" s="28">
        <v>46171.0</v>
      </c>
      <c r="G10156" s="29"/>
    </row>
    <row r="10157" ht="15.75" customHeight="1">
      <c r="A10157" s="33" t="s">
        <v>13834</v>
      </c>
      <c r="B10157" s="42" t="s">
        <v>616</v>
      </c>
      <c r="C10157" s="30" t="s">
        <v>940</v>
      </c>
      <c r="D10157" s="30" t="s">
        <v>3663</v>
      </c>
      <c r="E10157" s="32">
        <v>46123.0</v>
      </c>
      <c r="F10157" s="32">
        <v>46171.0</v>
      </c>
      <c r="G10157" s="33"/>
    </row>
    <row r="10158" ht="15.75" customHeight="1">
      <c r="A10158" s="29" t="s">
        <v>13835</v>
      </c>
      <c r="B10158" s="43" t="s">
        <v>650</v>
      </c>
      <c r="C10158" s="26" t="s">
        <v>940</v>
      </c>
      <c r="D10158" s="26" t="s">
        <v>3663</v>
      </c>
      <c r="E10158" s="28">
        <v>46123.0</v>
      </c>
      <c r="F10158" s="28">
        <v>46171.0</v>
      </c>
      <c r="G10158" s="29"/>
    </row>
    <row r="10159" ht="15.75" customHeight="1">
      <c r="A10159" s="33" t="s">
        <v>13836</v>
      </c>
      <c r="B10159" s="42" t="s">
        <v>668</v>
      </c>
      <c r="C10159" s="30" t="s">
        <v>940</v>
      </c>
      <c r="D10159" s="30" t="s">
        <v>3663</v>
      </c>
      <c r="E10159" s="32">
        <v>46123.0</v>
      </c>
      <c r="F10159" s="32">
        <v>46171.0</v>
      </c>
      <c r="G10159" s="33"/>
    </row>
    <row r="10160" ht="15.75" customHeight="1">
      <c r="A10160" s="29" t="s">
        <v>13837</v>
      </c>
      <c r="B10160" s="43" t="s">
        <v>704</v>
      </c>
      <c r="C10160" s="26" t="s">
        <v>940</v>
      </c>
      <c r="D10160" s="26" t="s">
        <v>3663</v>
      </c>
      <c r="E10160" s="28">
        <v>46123.0</v>
      </c>
      <c r="F10160" s="28">
        <v>46171.0</v>
      </c>
      <c r="G10160" s="29"/>
    </row>
    <row r="10161" ht="15.75" customHeight="1">
      <c r="A10161" s="33" t="s">
        <v>13838</v>
      </c>
      <c r="B10161" s="42" t="s">
        <v>710</v>
      </c>
      <c r="C10161" s="30" t="s">
        <v>940</v>
      </c>
      <c r="D10161" s="30" t="s">
        <v>3663</v>
      </c>
      <c r="E10161" s="32">
        <v>46123.0</v>
      </c>
      <c r="F10161" s="32">
        <v>46171.0</v>
      </c>
      <c r="G10161" s="33"/>
    </row>
    <row r="10162" ht="15.75" customHeight="1">
      <c r="A10162" s="29" t="s">
        <v>13839</v>
      </c>
      <c r="B10162" s="43" t="s">
        <v>762</v>
      </c>
      <c r="C10162" s="26" t="s">
        <v>940</v>
      </c>
      <c r="D10162" s="26" t="s">
        <v>3663</v>
      </c>
      <c r="E10162" s="28">
        <v>46123.0</v>
      </c>
      <c r="F10162" s="28">
        <v>46171.0</v>
      </c>
      <c r="G10162" s="29"/>
    </row>
    <row r="10163" ht="15.75" customHeight="1">
      <c r="A10163" s="33" t="s">
        <v>13840</v>
      </c>
      <c r="B10163" s="42" t="s">
        <v>803</v>
      </c>
      <c r="C10163" s="30" t="s">
        <v>940</v>
      </c>
      <c r="D10163" s="30" t="s">
        <v>3663</v>
      </c>
      <c r="E10163" s="32">
        <v>46123.0</v>
      </c>
      <c r="F10163" s="32">
        <v>46171.0</v>
      </c>
      <c r="G10163" s="33"/>
    </row>
    <row r="10164" ht="15.75" customHeight="1">
      <c r="A10164" s="29" t="s">
        <v>13841</v>
      </c>
      <c r="B10164" s="43" t="s">
        <v>817</v>
      </c>
      <c r="C10164" s="26" t="s">
        <v>940</v>
      </c>
      <c r="D10164" s="26" t="s">
        <v>3663</v>
      </c>
      <c r="E10164" s="28">
        <v>46123.0</v>
      </c>
      <c r="F10164" s="28">
        <v>46171.0</v>
      </c>
      <c r="G10164" s="29"/>
    </row>
    <row r="10165" ht="15.75" customHeight="1">
      <c r="A10165" s="33" t="s">
        <v>13842</v>
      </c>
      <c r="B10165" s="42" t="s">
        <v>112</v>
      </c>
      <c r="C10165" s="30" t="s">
        <v>940</v>
      </c>
      <c r="D10165" s="30" t="s">
        <v>3663</v>
      </c>
      <c r="E10165" s="32">
        <v>46123.0</v>
      </c>
      <c r="F10165" s="32">
        <v>46171.0</v>
      </c>
      <c r="G10165" s="33"/>
    </row>
    <row r="10166" ht="15.75" customHeight="1">
      <c r="A10166" s="29" t="s">
        <v>13843</v>
      </c>
      <c r="B10166" s="43" t="s">
        <v>119</v>
      </c>
      <c r="C10166" s="26" t="s">
        <v>940</v>
      </c>
      <c r="D10166" s="26" t="s">
        <v>3663</v>
      </c>
      <c r="E10166" s="28">
        <v>46123.0</v>
      </c>
      <c r="F10166" s="28">
        <v>46171.0</v>
      </c>
      <c r="G10166" s="29"/>
    </row>
    <row r="10167" ht="15.75" customHeight="1">
      <c r="A10167" s="33" t="s">
        <v>13844</v>
      </c>
      <c r="B10167" s="42" t="s">
        <v>179</v>
      </c>
      <c r="C10167" s="30" t="s">
        <v>940</v>
      </c>
      <c r="D10167" s="30" t="s">
        <v>3663</v>
      </c>
      <c r="E10167" s="32">
        <v>46123.0</v>
      </c>
      <c r="F10167" s="32">
        <v>46171.0</v>
      </c>
      <c r="G10167" s="33"/>
    </row>
    <row r="10168" ht="15.75" customHeight="1">
      <c r="A10168" s="29" t="s">
        <v>13845</v>
      </c>
      <c r="B10168" s="43" t="s">
        <v>205</v>
      </c>
      <c r="C10168" s="26" t="s">
        <v>940</v>
      </c>
      <c r="D10168" s="26" t="s">
        <v>3663</v>
      </c>
      <c r="E10168" s="28">
        <v>46123.0</v>
      </c>
      <c r="F10168" s="28">
        <v>46171.0</v>
      </c>
      <c r="G10168" s="29"/>
    </row>
    <row r="10169" ht="15.75" customHeight="1">
      <c r="A10169" s="33" t="s">
        <v>13846</v>
      </c>
      <c r="B10169" s="42" t="s">
        <v>300</v>
      </c>
      <c r="C10169" s="30" t="s">
        <v>940</v>
      </c>
      <c r="D10169" s="30" t="s">
        <v>3663</v>
      </c>
      <c r="E10169" s="32">
        <v>46123.0</v>
      </c>
      <c r="F10169" s="32">
        <v>46171.0</v>
      </c>
      <c r="G10169" s="33"/>
    </row>
    <row r="10170" ht="15.75" customHeight="1">
      <c r="A10170" s="29" t="s">
        <v>13847</v>
      </c>
      <c r="B10170" s="43" t="s">
        <v>314</v>
      </c>
      <c r="C10170" s="26" t="s">
        <v>940</v>
      </c>
      <c r="D10170" s="26" t="s">
        <v>3663</v>
      </c>
      <c r="E10170" s="28">
        <v>46123.0</v>
      </c>
      <c r="F10170" s="28">
        <v>46171.0</v>
      </c>
      <c r="G10170" s="29"/>
    </row>
    <row r="10171" ht="15.75" customHeight="1">
      <c r="A10171" s="33" t="s">
        <v>13848</v>
      </c>
      <c r="B10171" s="42" t="s">
        <v>345</v>
      </c>
      <c r="C10171" s="30" t="s">
        <v>940</v>
      </c>
      <c r="D10171" s="30" t="s">
        <v>3663</v>
      </c>
      <c r="E10171" s="32">
        <v>46123.0</v>
      </c>
      <c r="F10171" s="32">
        <v>46171.0</v>
      </c>
      <c r="G10171" s="33"/>
    </row>
    <row r="10172" ht="15.75" customHeight="1">
      <c r="A10172" s="29" t="s">
        <v>13849</v>
      </c>
      <c r="B10172" s="43" t="s">
        <v>375</v>
      </c>
      <c r="C10172" s="26" t="s">
        <v>940</v>
      </c>
      <c r="D10172" s="26" t="s">
        <v>3663</v>
      </c>
      <c r="E10172" s="28">
        <v>46123.0</v>
      </c>
      <c r="F10172" s="28">
        <v>46171.0</v>
      </c>
      <c r="G10172" s="29"/>
    </row>
    <row r="10173" ht="15.75" customHeight="1">
      <c r="A10173" s="33" t="s">
        <v>13850</v>
      </c>
      <c r="B10173" s="42" t="s">
        <v>430</v>
      </c>
      <c r="C10173" s="30" t="s">
        <v>940</v>
      </c>
      <c r="D10173" s="30" t="s">
        <v>3663</v>
      </c>
      <c r="E10173" s="32">
        <v>46123.0</v>
      </c>
      <c r="F10173" s="32">
        <v>46171.0</v>
      </c>
      <c r="G10173" s="33"/>
    </row>
    <row r="10174" ht="15.75" customHeight="1">
      <c r="A10174" s="29" t="s">
        <v>13851</v>
      </c>
      <c r="B10174" s="43" t="s">
        <v>448</v>
      </c>
      <c r="C10174" s="26" t="s">
        <v>940</v>
      </c>
      <c r="D10174" s="26" t="s">
        <v>3663</v>
      </c>
      <c r="E10174" s="28">
        <v>46123.0</v>
      </c>
      <c r="F10174" s="28">
        <v>46171.0</v>
      </c>
      <c r="G10174" s="29"/>
    </row>
    <row r="10175" ht="15.75" customHeight="1">
      <c r="A10175" s="33" t="s">
        <v>13852</v>
      </c>
      <c r="B10175" s="42" t="s">
        <v>449</v>
      </c>
      <c r="C10175" s="30" t="s">
        <v>940</v>
      </c>
      <c r="D10175" s="30" t="s">
        <v>3663</v>
      </c>
      <c r="E10175" s="32">
        <v>46123.0</v>
      </c>
      <c r="F10175" s="32">
        <v>46171.0</v>
      </c>
      <c r="G10175" s="33"/>
    </row>
    <row r="10176" ht="15.75" customHeight="1">
      <c r="A10176" s="29" t="s">
        <v>13853</v>
      </c>
      <c r="B10176" s="43" t="s">
        <v>455</v>
      </c>
      <c r="C10176" s="26" t="s">
        <v>940</v>
      </c>
      <c r="D10176" s="26" t="s">
        <v>3663</v>
      </c>
      <c r="E10176" s="28">
        <v>46123.0</v>
      </c>
      <c r="F10176" s="28">
        <v>46171.0</v>
      </c>
      <c r="G10176" s="29"/>
    </row>
    <row r="10177" ht="15.75" customHeight="1">
      <c r="A10177" s="33" t="s">
        <v>13854</v>
      </c>
      <c r="B10177" s="42" t="s">
        <v>465</v>
      </c>
      <c r="C10177" s="30" t="s">
        <v>940</v>
      </c>
      <c r="D10177" s="30" t="s">
        <v>3663</v>
      </c>
      <c r="E10177" s="32">
        <v>46123.0</v>
      </c>
      <c r="F10177" s="32">
        <v>46171.0</v>
      </c>
      <c r="G10177" s="33"/>
    </row>
    <row r="10178" ht="15.75" customHeight="1">
      <c r="A10178" s="29" t="s">
        <v>13855</v>
      </c>
      <c r="B10178" s="43" t="s">
        <v>488</v>
      </c>
      <c r="C10178" s="26" t="s">
        <v>940</v>
      </c>
      <c r="D10178" s="26" t="s">
        <v>3663</v>
      </c>
      <c r="E10178" s="28">
        <v>46123.0</v>
      </c>
      <c r="F10178" s="28">
        <v>46171.0</v>
      </c>
      <c r="G10178" s="29"/>
    </row>
    <row r="10179" ht="15.75" customHeight="1">
      <c r="A10179" s="33" t="s">
        <v>13856</v>
      </c>
      <c r="B10179" s="42" t="s">
        <v>513</v>
      </c>
      <c r="C10179" s="30" t="s">
        <v>940</v>
      </c>
      <c r="D10179" s="30" t="s">
        <v>3663</v>
      </c>
      <c r="E10179" s="32">
        <v>46123.0</v>
      </c>
      <c r="F10179" s="32">
        <v>46171.0</v>
      </c>
      <c r="G10179" s="33"/>
    </row>
    <row r="10180" ht="15.75" customHeight="1">
      <c r="A10180" s="29" t="s">
        <v>13857</v>
      </c>
      <c r="B10180" s="43" t="s">
        <v>515</v>
      </c>
      <c r="C10180" s="26" t="s">
        <v>940</v>
      </c>
      <c r="D10180" s="26" t="s">
        <v>3663</v>
      </c>
      <c r="E10180" s="28">
        <v>46123.0</v>
      </c>
      <c r="F10180" s="28">
        <v>46171.0</v>
      </c>
      <c r="G10180" s="29"/>
    </row>
    <row r="10181" ht="15.75" customHeight="1">
      <c r="A10181" s="33" t="s">
        <v>13858</v>
      </c>
      <c r="B10181" s="42" t="s">
        <v>12929</v>
      </c>
      <c r="C10181" s="30" t="s">
        <v>940</v>
      </c>
      <c r="D10181" s="30" t="s">
        <v>3663</v>
      </c>
      <c r="E10181" s="32">
        <v>46123.0</v>
      </c>
      <c r="F10181" s="32">
        <v>46171.0</v>
      </c>
      <c r="G10181" s="33"/>
    </row>
    <row r="10182" ht="15.75" customHeight="1">
      <c r="A10182" s="29" t="s">
        <v>13859</v>
      </c>
      <c r="B10182" s="43" t="s">
        <v>553</v>
      </c>
      <c r="C10182" s="26" t="s">
        <v>940</v>
      </c>
      <c r="D10182" s="26" t="s">
        <v>3663</v>
      </c>
      <c r="E10182" s="28">
        <v>46123.0</v>
      </c>
      <c r="F10182" s="28">
        <v>46171.0</v>
      </c>
      <c r="G10182" s="29"/>
    </row>
    <row r="10183" ht="15.75" customHeight="1">
      <c r="A10183" s="33" t="s">
        <v>13860</v>
      </c>
      <c r="B10183" s="42" t="s">
        <v>566</v>
      </c>
      <c r="C10183" s="30" t="s">
        <v>940</v>
      </c>
      <c r="D10183" s="30" t="s">
        <v>3663</v>
      </c>
      <c r="E10183" s="32">
        <v>46123.0</v>
      </c>
      <c r="F10183" s="32">
        <v>46171.0</v>
      </c>
      <c r="G10183" s="33"/>
    </row>
    <row r="10184" ht="15.75" customHeight="1">
      <c r="A10184" s="29" t="s">
        <v>13861</v>
      </c>
      <c r="B10184" s="43" t="s">
        <v>581</v>
      </c>
      <c r="C10184" s="26" t="s">
        <v>940</v>
      </c>
      <c r="D10184" s="26" t="s">
        <v>3663</v>
      </c>
      <c r="E10184" s="28">
        <v>46123.0</v>
      </c>
      <c r="F10184" s="28">
        <v>46171.0</v>
      </c>
      <c r="G10184" s="29"/>
    </row>
    <row r="10185" ht="15.75" customHeight="1">
      <c r="A10185" s="33" t="s">
        <v>13862</v>
      </c>
      <c r="B10185" s="42" t="s">
        <v>604</v>
      </c>
      <c r="C10185" s="30" t="s">
        <v>940</v>
      </c>
      <c r="D10185" s="30" t="s">
        <v>3663</v>
      </c>
      <c r="E10185" s="32">
        <v>46123.0</v>
      </c>
      <c r="F10185" s="32">
        <v>46171.0</v>
      </c>
      <c r="G10185" s="33"/>
    </row>
    <row r="10186" ht="15.75" customHeight="1">
      <c r="A10186" s="29" t="s">
        <v>13863</v>
      </c>
      <c r="B10186" s="43" t="s">
        <v>624</v>
      </c>
      <c r="C10186" s="26" t="s">
        <v>940</v>
      </c>
      <c r="D10186" s="26" t="s">
        <v>3663</v>
      </c>
      <c r="E10186" s="28">
        <v>46123.0</v>
      </c>
      <c r="F10186" s="28">
        <v>46171.0</v>
      </c>
      <c r="G10186" s="29"/>
    </row>
    <row r="10187" ht="15.75" customHeight="1">
      <c r="A10187" s="33" t="s">
        <v>13864</v>
      </c>
      <c r="B10187" s="42" t="s">
        <v>649</v>
      </c>
      <c r="C10187" s="30" t="s">
        <v>940</v>
      </c>
      <c r="D10187" s="30" t="s">
        <v>3663</v>
      </c>
      <c r="E10187" s="32">
        <v>46123.0</v>
      </c>
      <c r="F10187" s="32">
        <v>46171.0</v>
      </c>
      <c r="G10187" s="33"/>
    </row>
    <row r="10188" ht="15.75" customHeight="1">
      <c r="A10188" s="29" t="s">
        <v>13865</v>
      </c>
      <c r="B10188" s="43" t="s">
        <v>666</v>
      </c>
      <c r="C10188" s="26" t="s">
        <v>940</v>
      </c>
      <c r="D10188" s="26" t="s">
        <v>3663</v>
      </c>
      <c r="E10188" s="28">
        <v>46123.0</v>
      </c>
      <c r="F10188" s="28">
        <v>46171.0</v>
      </c>
      <c r="G10188" s="29"/>
    </row>
    <row r="10189" ht="15.75" customHeight="1">
      <c r="A10189" s="33" t="s">
        <v>13866</v>
      </c>
      <c r="B10189" s="42" t="s">
        <v>12917</v>
      </c>
      <c r="C10189" s="30" t="s">
        <v>940</v>
      </c>
      <c r="D10189" s="30" t="s">
        <v>3663</v>
      </c>
      <c r="E10189" s="32">
        <v>46123.0</v>
      </c>
      <c r="F10189" s="32">
        <v>46171.0</v>
      </c>
      <c r="G10189" s="33"/>
    </row>
    <row r="10190" ht="15.75" customHeight="1">
      <c r="A10190" s="29" t="s">
        <v>13867</v>
      </c>
      <c r="B10190" s="43" t="s">
        <v>1200</v>
      </c>
      <c r="C10190" s="26" t="s">
        <v>940</v>
      </c>
      <c r="D10190" s="26" t="s">
        <v>3663</v>
      </c>
      <c r="E10190" s="28">
        <v>46123.0</v>
      </c>
      <c r="F10190" s="28">
        <v>46171.0</v>
      </c>
      <c r="G10190" s="29"/>
    </row>
    <row r="10191" ht="15.75" customHeight="1">
      <c r="A10191" s="33" t="s">
        <v>13868</v>
      </c>
      <c r="B10191" s="42" t="s">
        <v>738</v>
      </c>
      <c r="C10191" s="30" t="s">
        <v>940</v>
      </c>
      <c r="D10191" s="30" t="s">
        <v>3663</v>
      </c>
      <c r="E10191" s="32">
        <v>46123.0</v>
      </c>
      <c r="F10191" s="32">
        <v>46171.0</v>
      </c>
      <c r="G10191" s="33"/>
    </row>
    <row r="10192" ht="15.75" customHeight="1">
      <c r="A10192" s="29" t="s">
        <v>13869</v>
      </c>
      <c r="B10192" s="43" t="s">
        <v>747</v>
      </c>
      <c r="C10192" s="26" t="s">
        <v>940</v>
      </c>
      <c r="D10192" s="26" t="s">
        <v>3663</v>
      </c>
      <c r="E10192" s="28">
        <v>46123.0</v>
      </c>
      <c r="F10192" s="28">
        <v>46171.0</v>
      </c>
      <c r="G10192" s="29"/>
    </row>
    <row r="10193" ht="15.75" customHeight="1">
      <c r="A10193" s="33" t="s">
        <v>13870</v>
      </c>
      <c r="B10193" s="42" t="s">
        <v>748</v>
      </c>
      <c r="C10193" s="30" t="s">
        <v>940</v>
      </c>
      <c r="D10193" s="30" t="s">
        <v>3663</v>
      </c>
      <c r="E10193" s="32">
        <v>46123.0</v>
      </c>
      <c r="F10193" s="32">
        <v>46171.0</v>
      </c>
      <c r="G10193" s="33"/>
    </row>
    <row r="10194" ht="15.75" customHeight="1">
      <c r="A10194" s="29" t="s">
        <v>13871</v>
      </c>
      <c r="B10194" s="43" t="s">
        <v>756</v>
      </c>
      <c r="C10194" s="26" t="s">
        <v>940</v>
      </c>
      <c r="D10194" s="26" t="s">
        <v>3663</v>
      </c>
      <c r="E10194" s="28">
        <v>46123.0</v>
      </c>
      <c r="F10194" s="28">
        <v>46171.0</v>
      </c>
      <c r="G10194" s="29"/>
    </row>
    <row r="10195" ht="15.75" customHeight="1">
      <c r="A10195" s="33" t="s">
        <v>13872</v>
      </c>
      <c r="B10195" s="42" t="s">
        <v>774</v>
      </c>
      <c r="C10195" s="30" t="s">
        <v>940</v>
      </c>
      <c r="D10195" s="30" t="s">
        <v>3663</v>
      </c>
      <c r="E10195" s="32">
        <v>46123.0</v>
      </c>
      <c r="F10195" s="32">
        <v>46171.0</v>
      </c>
      <c r="G10195" s="33"/>
    </row>
    <row r="10196" ht="15.75" customHeight="1">
      <c r="A10196" s="29" t="s">
        <v>13873</v>
      </c>
      <c r="B10196" s="43" t="s">
        <v>793</v>
      </c>
      <c r="C10196" s="26" t="s">
        <v>940</v>
      </c>
      <c r="D10196" s="26" t="s">
        <v>3663</v>
      </c>
      <c r="E10196" s="28">
        <v>46123.0</v>
      </c>
      <c r="F10196" s="28">
        <v>46171.0</v>
      </c>
      <c r="G10196" s="29"/>
    </row>
    <row r="10197" ht="15.75" customHeight="1">
      <c r="A10197" s="33" t="s">
        <v>13874</v>
      </c>
      <c r="B10197" s="42" t="s">
        <v>802</v>
      </c>
      <c r="C10197" s="30" t="s">
        <v>940</v>
      </c>
      <c r="D10197" s="30" t="s">
        <v>3663</v>
      </c>
      <c r="E10197" s="32">
        <v>46123.0</v>
      </c>
      <c r="F10197" s="32">
        <v>46171.0</v>
      </c>
      <c r="G10197" s="33"/>
    </row>
    <row r="10198" ht="15.75" customHeight="1">
      <c r="A10198" s="29" t="s">
        <v>13875</v>
      </c>
      <c r="B10198" s="43" t="s">
        <v>811</v>
      </c>
      <c r="C10198" s="26" t="s">
        <v>940</v>
      </c>
      <c r="D10198" s="26" t="s">
        <v>3663</v>
      </c>
      <c r="E10198" s="28">
        <v>46123.0</v>
      </c>
      <c r="F10198" s="28">
        <v>46171.0</v>
      </c>
      <c r="G10198" s="29"/>
    </row>
    <row r="10199" ht="15.75" customHeight="1">
      <c r="A10199" s="33" t="s">
        <v>13876</v>
      </c>
      <c r="B10199" s="42" t="s">
        <v>819</v>
      </c>
      <c r="C10199" s="30" t="s">
        <v>940</v>
      </c>
      <c r="D10199" s="30" t="s">
        <v>3663</v>
      </c>
      <c r="E10199" s="32">
        <v>46123.0</v>
      </c>
      <c r="F10199" s="32">
        <v>46171.0</v>
      </c>
      <c r="G10199" s="33"/>
    </row>
    <row r="10200" ht="15.75" customHeight="1">
      <c r="A10200" s="29" t="s">
        <v>13877</v>
      </c>
      <c r="B10200" s="43" t="s">
        <v>186</v>
      </c>
      <c r="C10200" s="26" t="s">
        <v>940</v>
      </c>
      <c r="D10200" s="26" t="s">
        <v>3663</v>
      </c>
      <c r="E10200" s="28">
        <v>46123.0</v>
      </c>
      <c r="F10200" s="28">
        <v>46171.0</v>
      </c>
      <c r="G10200" s="29"/>
    </row>
    <row r="10201" ht="15.75" customHeight="1">
      <c r="A10201" s="33" t="s">
        <v>13878</v>
      </c>
      <c r="B10201" s="42" t="s">
        <v>234</v>
      </c>
      <c r="C10201" s="30" t="s">
        <v>940</v>
      </c>
      <c r="D10201" s="30" t="s">
        <v>3663</v>
      </c>
      <c r="E10201" s="32">
        <v>46123.0</v>
      </c>
      <c r="F10201" s="32">
        <v>46171.0</v>
      </c>
      <c r="G10201" s="33"/>
    </row>
    <row r="10202" ht="15.75" customHeight="1">
      <c r="A10202" s="29" t="s">
        <v>13879</v>
      </c>
      <c r="B10202" s="43" t="s">
        <v>245</v>
      </c>
      <c r="C10202" s="26" t="s">
        <v>940</v>
      </c>
      <c r="D10202" s="26" t="s">
        <v>3663</v>
      </c>
      <c r="E10202" s="28">
        <v>46123.0</v>
      </c>
      <c r="F10202" s="28">
        <v>46171.0</v>
      </c>
      <c r="G10202" s="29"/>
    </row>
    <row r="10203" ht="15.75" customHeight="1">
      <c r="A10203" s="33" t="s">
        <v>13880</v>
      </c>
      <c r="B10203" s="42" t="s">
        <v>315</v>
      </c>
      <c r="C10203" s="30" t="s">
        <v>940</v>
      </c>
      <c r="D10203" s="30" t="s">
        <v>3663</v>
      </c>
      <c r="E10203" s="32">
        <v>46123.0</v>
      </c>
      <c r="F10203" s="32">
        <v>46171.0</v>
      </c>
      <c r="G10203" s="33"/>
    </row>
    <row r="10204" ht="15.75" customHeight="1">
      <c r="A10204" s="29" t="s">
        <v>13881</v>
      </c>
      <c r="B10204" s="43" t="s">
        <v>341</v>
      </c>
      <c r="C10204" s="26" t="s">
        <v>940</v>
      </c>
      <c r="D10204" s="26" t="s">
        <v>3663</v>
      </c>
      <c r="E10204" s="28">
        <v>46123.0</v>
      </c>
      <c r="F10204" s="28">
        <v>46171.0</v>
      </c>
      <c r="G10204" s="29"/>
    </row>
    <row r="10205" ht="15.75" customHeight="1">
      <c r="A10205" s="33" t="s">
        <v>13882</v>
      </c>
      <c r="B10205" s="42" t="s">
        <v>349</v>
      </c>
      <c r="C10205" s="30" t="s">
        <v>940</v>
      </c>
      <c r="D10205" s="30" t="s">
        <v>3663</v>
      </c>
      <c r="E10205" s="32">
        <v>46123.0</v>
      </c>
      <c r="F10205" s="32">
        <v>46171.0</v>
      </c>
      <c r="G10205" s="33"/>
    </row>
    <row r="10206" ht="15.75" customHeight="1">
      <c r="A10206" s="29" t="s">
        <v>13883</v>
      </c>
      <c r="B10206" s="43" t="s">
        <v>361</v>
      </c>
      <c r="C10206" s="26" t="s">
        <v>940</v>
      </c>
      <c r="D10206" s="26" t="s">
        <v>3663</v>
      </c>
      <c r="E10206" s="28">
        <v>46123.0</v>
      </c>
      <c r="F10206" s="28">
        <v>46171.0</v>
      </c>
      <c r="G10206" s="29"/>
    </row>
    <row r="10207" ht="15.75" customHeight="1">
      <c r="A10207" s="33" t="s">
        <v>13884</v>
      </c>
      <c r="B10207" s="42" t="s">
        <v>368</v>
      </c>
      <c r="C10207" s="30" t="s">
        <v>940</v>
      </c>
      <c r="D10207" s="30" t="s">
        <v>3663</v>
      </c>
      <c r="E10207" s="32">
        <v>46123.0</v>
      </c>
      <c r="F10207" s="32">
        <v>46171.0</v>
      </c>
      <c r="G10207" s="33"/>
    </row>
    <row r="10208" ht="15.75" customHeight="1">
      <c r="A10208" s="29" t="s">
        <v>13885</v>
      </c>
      <c r="B10208" s="43" t="s">
        <v>13223</v>
      </c>
      <c r="C10208" s="26" t="s">
        <v>940</v>
      </c>
      <c r="D10208" s="26" t="s">
        <v>3663</v>
      </c>
      <c r="E10208" s="28">
        <v>46123.0</v>
      </c>
      <c r="F10208" s="28">
        <v>46171.0</v>
      </c>
      <c r="G10208" s="29"/>
    </row>
    <row r="10209" ht="15.75" customHeight="1">
      <c r="A10209" s="33" t="s">
        <v>13886</v>
      </c>
      <c r="B10209" s="42" t="s">
        <v>392</v>
      </c>
      <c r="C10209" s="30" t="s">
        <v>940</v>
      </c>
      <c r="D10209" s="30" t="s">
        <v>3663</v>
      </c>
      <c r="E10209" s="32">
        <v>46123.0</v>
      </c>
      <c r="F10209" s="32">
        <v>46171.0</v>
      </c>
      <c r="G10209" s="33"/>
    </row>
    <row r="10210" ht="15.75" customHeight="1">
      <c r="A10210" s="29" t="s">
        <v>13887</v>
      </c>
      <c r="B10210" s="43" t="s">
        <v>409</v>
      </c>
      <c r="C10210" s="26" t="s">
        <v>940</v>
      </c>
      <c r="D10210" s="26" t="s">
        <v>3663</v>
      </c>
      <c r="E10210" s="28">
        <v>46123.0</v>
      </c>
      <c r="F10210" s="28">
        <v>46171.0</v>
      </c>
      <c r="G10210" s="29"/>
    </row>
    <row r="10211" ht="15.75" customHeight="1">
      <c r="A10211" s="33" t="s">
        <v>13888</v>
      </c>
      <c r="B10211" s="42" t="s">
        <v>418</v>
      </c>
      <c r="C10211" s="30" t="s">
        <v>940</v>
      </c>
      <c r="D10211" s="30" t="s">
        <v>3663</v>
      </c>
      <c r="E10211" s="32">
        <v>46123.0</v>
      </c>
      <c r="F10211" s="32">
        <v>46171.0</v>
      </c>
      <c r="G10211" s="33"/>
    </row>
    <row r="10212" ht="15.75" customHeight="1">
      <c r="A10212" s="29" t="s">
        <v>13889</v>
      </c>
      <c r="B10212" s="43" t="s">
        <v>459</v>
      </c>
      <c r="C10212" s="26" t="s">
        <v>940</v>
      </c>
      <c r="D10212" s="26" t="s">
        <v>3663</v>
      </c>
      <c r="E10212" s="28">
        <v>46123.0</v>
      </c>
      <c r="F10212" s="28">
        <v>46171.0</v>
      </c>
      <c r="G10212" s="29"/>
    </row>
    <row r="10213" ht="15.75" customHeight="1">
      <c r="A10213" s="33" t="s">
        <v>13890</v>
      </c>
      <c r="B10213" s="42" t="s">
        <v>13229</v>
      </c>
      <c r="C10213" s="30" t="s">
        <v>940</v>
      </c>
      <c r="D10213" s="30" t="s">
        <v>3663</v>
      </c>
      <c r="E10213" s="32">
        <v>46123.0</v>
      </c>
      <c r="F10213" s="32">
        <v>46171.0</v>
      </c>
      <c r="G10213" s="33"/>
    </row>
    <row r="10214" ht="15.75" customHeight="1">
      <c r="A10214" s="29" t="s">
        <v>13891</v>
      </c>
      <c r="B10214" s="43" t="s">
        <v>13231</v>
      </c>
      <c r="C10214" s="26" t="s">
        <v>940</v>
      </c>
      <c r="D10214" s="26" t="s">
        <v>3663</v>
      </c>
      <c r="E10214" s="28">
        <v>46123.0</v>
      </c>
      <c r="F10214" s="28">
        <v>46171.0</v>
      </c>
      <c r="G10214" s="29"/>
    </row>
    <row r="10215" ht="15.75" customHeight="1">
      <c r="A10215" s="33" t="s">
        <v>13892</v>
      </c>
      <c r="B10215" s="42" t="s">
        <v>538</v>
      </c>
      <c r="C10215" s="30" t="s">
        <v>940</v>
      </c>
      <c r="D10215" s="30" t="s">
        <v>3663</v>
      </c>
      <c r="E10215" s="32">
        <v>46123.0</v>
      </c>
      <c r="F10215" s="32">
        <v>46171.0</v>
      </c>
      <c r="G10215" s="33"/>
    </row>
    <row r="10216" ht="15.75" customHeight="1">
      <c r="A10216" s="29" t="s">
        <v>13893</v>
      </c>
      <c r="B10216" s="43" t="s">
        <v>591</v>
      </c>
      <c r="C10216" s="26" t="s">
        <v>940</v>
      </c>
      <c r="D10216" s="26" t="s">
        <v>3663</v>
      </c>
      <c r="E10216" s="28">
        <v>46123.0</v>
      </c>
      <c r="F10216" s="28">
        <v>46171.0</v>
      </c>
      <c r="G10216" s="29"/>
    </row>
    <row r="10217" ht="15.75" customHeight="1">
      <c r="A10217" s="33" t="s">
        <v>13894</v>
      </c>
      <c r="B10217" s="42" t="s">
        <v>621</v>
      </c>
      <c r="C10217" s="30" t="s">
        <v>940</v>
      </c>
      <c r="D10217" s="30" t="s">
        <v>3663</v>
      </c>
      <c r="E10217" s="32">
        <v>46123.0</v>
      </c>
      <c r="F10217" s="32">
        <v>46171.0</v>
      </c>
      <c r="G10217" s="33"/>
    </row>
    <row r="10218" ht="15.75" customHeight="1">
      <c r="A10218" s="29" t="s">
        <v>13895</v>
      </c>
      <c r="B10218" s="43" t="s">
        <v>13236</v>
      </c>
      <c r="C10218" s="26" t="s">
        <v>940</v>
      </c>
      <c r="D10218" s="26" t="s">
        <v>3663</v>
      </c>
      <c r="E10218" s="28">
        <v>46123.0</v>
      </c>
      <c r="F10218" s="28">
        <v>46171.0</v>
      </c>
      <c r="G10218" s="29"/>
    </row>
    <row r="10219" ht="15.75" customHeight="1">
      <c r="A10219" s="33" t="s">
        <v>13896</v>
      </c>
      <c r="B10219" s="42" t="s">
        <v>637</v>
      </c>
      <c r="C10219" s="30" t="s">
        <v>940</v>
      </c>
      <c r="D10219" s="30" t="s">
        <v>3663</v>
      </c>
      <c r="E10219" s="32">
        <v>46123.0</v>
      </c>
      <c r="F10219" s="32">
        <v>46171.0</v>
      </c>
      <c r="G10219" s="33"/>
    </row>
    <row r="10220" ht="15.75" customHeight="1">
      <c r="A10220" s="29" t="s">
        <v>13897</v>
      </c>
      <c r="B10220" s="43" t="s">
        <v>638</v>
      </c>
      <c r="C10220" s="26" t="s">
        <v>940</v>
      </c>
      <c r="D10220" s="26" t="s">
        <v>3663</v>
      </c>
      <c r="E10220" s="28">
        <v>46123.0</v>
      </c>
      <c r="F10220" s="28">
        <v>46171.0</v>
      </c>
      <c r="G10220" s="29"/>
    </row>
    <row r="10221" ht="15.75" customHeight="1">
      <c r="A10221" s="33" t="s">
        <v>13898</v>
      </c>
      <c r="B10221" s="42" t="s">
        <v>2770</v>
      </c>
      <c r="C10221" s="30" t="s">
        <v>940</v>
      </c>
      <c r="D10221" s="30" t="s">
        <v>3663</v>
      </c>
      <c r="E10221" s="32">
        <v>46123.0</v>
      </c>
      <c r="F10221" s="32">
        <v>46171.0</v>
      </c>
      <c r="G10221" s="33"/>
    </row>
    <row r="10222" ht="15.75" customHeight="1">
      <c r="A10222" s="29" t="s">
        <v>13899</v>
      </c>
      <c r="B10222" s="43" t="s">
        <v>692</v>
      </c>
      <c r="C10222" s="26" t="s">
        <v>940</v>
      </c>
      <c r="D10222" s="26" t="s">
        <v>3663</v>
      </c>
      <c r="E10222" s="28">
        <v>46123.0</v>
      </c>
      <c r="F10222" s="28">
        <v>46171.0</v>
      </c>
      <c r="G10222" s="29"/>
    </row>
    <row r="10223" ht="15.75" customHeight="1">
      <c r="A10223" s="33" t="s">
        <v>13900</v>
      </c>
      <c r="B10223" s="42" t="s">
        <v>703</v>
      </c>
      <c r="C10223" s="30" t="s">
        <v>940</v>
      </c>
      <c r="D10223" s="30" t="s">
        <v>3663</v>
      </c>
      <c r="E10223" s="32">
        <v>46123.0</v>
      </c>
      <c r="F10223" s="32">
        <v>46171.0</v>
      </c>
      <c r="G10223" s="33"/>
    </row>
    <row r="10224" ht="15.75" customHeight="1">
      <c r="A10224" s="29" t="s">
        <v>13901</v>
      </c>
      <c r="B10224" s="43" t="s">
        <v>706</v>
      </c>
      <c r="C10224" s="26" t="s">
        <v>940</v>
      </c>
      <c r="D10224" s="26" t="s">
        <v>3663</v>
      </c>
      <c r="E10224" s="28">
        <v>46123.0</v>
      </c>
      <c r="F10224" s="28">
        <v>46171.0</v>
      </c>
      <c r="G10224" s="29"/>
    </row>
    <row r="10225" ht="15.75" customHeight="1">
      <c r="A10225" s="33" t="s">
        <v>13902</v>
      </c>
      <c r="B10225" s="42" t="s">
        <v>715</v>
      </c>
      <c r="C10225" s="30" t="s">
        <v>940</v>
      </c>
      <c r="D10225" s="30" t="s">
        <v>3663</v>
      </c>
      <c r="E10225" s="32">
        <v>46123.0</v>
      </c>
      <c r="F10225" s="32">
        <v>46171.0</v>
      </c>
      <c r="G10225" s="33"/>
    </row>
    <row r="10226" ht="15.75" customHeight="1">
      <c r="A10226" s="29" t="s">
        <v>13903</v>
      </c>
      <c r="B10226" s="43" t="s">
        <v>725</v>
      </c>
      <c r="C10226" s="26" t="s">
        <v>940</v>
      </c>
      <c r="D10226" s="26" t="s">
        <v>3663</v>
      </c>
      <c r="E10226" s="28">
        <v>46123.0</v>
      </c>
      <c r="F10226" s="28">
        <v>46171.0</v>
      </c>
      <c r="G10226" s="29"/>
    </row>
    <row r="10227" ht="15.75" customHeight="1">
      <c r="A10227" s="33" t="s">
        <v>13904</v>
      </c>
      <c r="B10227" s="42" t="s">
        <v>729</v>
      </c>
      <c r="C10227" s="30" t="s">
        <v>940</v>
      </c>
      <c r="D10227" s="30" t="s">
        <v>3663</v>
      </c>
      <c r="E10227" s="32">
        <v>46123.0</v>
      </c>
      <c r="F10227" s="32">
        <v>46171.0</v>
      </c>
      <c r="G10227" s="33"/>
    </row>
    <row r="10228" ht="15.75" customHeight="1">
      <c r="A10228" s="29" t="s">
        <v>13905</v>
      </c>
      <c r="B10228" s="43" t="s">
        <v>761</v>
      </c>
      <c r="C10228" s="26" t="s">
        <v>940</v>
      </c>
      <c r="D10228" s="26" t="s">
        <v>3663</v>
      </c>
      <c r="E10228" s="28">
        <v>46123.0</v>
      </c>
      <c r="F10228" s="28">
        <v>46171.0</v>
      </c>
      <c r="G10228" s="29"/>
    </row>
    <row r="10229" ht="15.75" customHeight="1">
      <c r="A10229" s="33" t="s">
        <v>13906</v>
      </c>
      <c r="B10229" s="42" t="s">
        <v>1248</v>
      </c>
      <c r="C10229" s="30" t="s">
        <v>940</v>
      </c>
      <c r="D10229" s="30" t="s">
        <v>3663</v>
      </c>
      <c r="E10229" s="32">
        <v>46123.0</v>
      </c>
      <c r="F10229" s="32">
        <v>46171.0</v>
      </c>
      <c r="G10229" s="33"/>
    </row>
    <row r="10230" ht="15.75" customHeight="1">
      <c r="A10230" s="29" t="s">
        <v>13907</v>
      </c>
      <c r="B10230" s="43" t="s">
        <v>785</v>
      </c>
      <c r="C10230" s="26" t="s">
        <v>940</v>
      </c>
      <c r="D10230" s="26" t="s">
        <v>3663</v>
      </c>
      <c r="E10230" s="28">
        <v>46123.0</v>
      </c>
      <c r="F10230" s="28">
        <v>46171.0</v>
      </c>
      <c r="G10230" s="29"/>
    </row>
    <row r="10231" ht="15.75" customHeight="1">
      <c r="A10231" s="33" t="s">
        <v>13908</v>
      </c>
      <c r="B10231" s="42" t="s">
        <v>786</v>
      </c>
      <c r="C10231" s="30" t="s">
        <v>940</v>
      </c>
      <c r="D10231" s="30" t="s">
        <v>3663</v>
      </c>
      <c r="E10231" s="32">
        <v>46123.0</v>
      </c>
      <c r="F10231" s="32">
        <v>46171.0</v>
      </c>
      <c r="G10231" s="33"/>
    </row>
    <row r="10232" ht="15.75" customHeight="1">
      <c r="A10232" s="29" t="s">
        <v>13909</v>
      </c>
      <c r="B10232" s="43" t="s">
        <v>790</v>
      </c>
      <c r="C10232" s="26" t="s">
        <v>940</v>
      </c>
      <c r="D10232" s="26" t="s">
        <v>3663</v>
      </c>
      <c r="E10232" s="28">
        <v>46123.0</v>
      </c>
      <c r="F10232" s="28">
        <v>46171.0</v>
      </c>
      <c r="G10232" s="29"/>
    </row>
    <row r="10233" ht="15.75" customHeight="1">
      <c r="A10233" s="33" t="s">
        <v>13910</v>
      </c>
      <c r="B10233" s="42" t="s">
        <v>804</v>
      </c>
      <c r="C10233" s="30" t="s">
        <v>940</v>
      </c>
      <c r="D10233" s="30" t="s">
        <v>3663</v>
      </c>
      <c r="E10233" s="32">
        <v>46123.0</v>
      </c>
      <c r="F10233" s="32">
        <v>46171.0</v>
      </c>
      <c r="G10233" s="33"/>
    </row>
    <row r="10234" ht="15.75" customHeight="1">
      <c r="A10234" s="29" t="s">
        <v>13911</v>
      </c>
      <c r="B10234" s="43" t="s">
        <v>115</v>
      </c>
      <c r="C10234" s="26" t="s">
        <v>940</v>
      </c>
      <c r="D10234" s="26" t="s">
        <v>3663</v>
      </c>
      <c r="E10234" s="28">
        <v>46123.0</v>
      </c>
      <c r="F10234" s="28">
        <v>46171.0</v>
      </c>
      <c r="G10234" s="29"/>
    </row>
    <row r="10235" ht="15.75" customHeight="1">
      <c r="A10235" s="33" t="s">
        <v>13912</v>
      </c>
      <c r="B10235" s="42" t="s">
        <v>238</v>
      </c>
      <c r="C10235" s="30" t="s">
        <v>940</v>
      </c>
      <c r="D10235" s="30" t="s">
        <v>3663</v>
      </c>
      <c r="E10235" s="32">
        <v>46123.0</v>
      </c>
      <c r="F10235" s="32">
        <v>46171.0</v>
      </c>
      <c r="G10235" s="33"/>
    </row>
    <row r="10236" ht="15.75" customHeight="1">
      <c r="A10236" s="29" t="s">
        <v>13913</v>
      </c>
      <c r="B10236" s="43" t="s">
        <v>239</v>
      </c>
      <c r="C10236" s="26" t="s">
        <v>940</v>
      </c>
      <c r="D10236" s="26" t="s">
        <v>3663</v>
      </c>
      <c r="E10236" s="28">
        <v>46123.0</v>
      </c>
      <c r="F10236" s="28">
        <v>46171.0</v>
      </c>
      <c r="G10236" s="29"/>
    </row>
    <row r="10237" ht="15.75" customHeight="1">
      <c r="A10237" s="33" t="s">
        <v>13914</v>
      </c>
      <c r="B10237" s="42" t="s">
        <v>248</v>
      </c>
      <c r="C10237" s="30" t="s">
        <v>940</v>
      </c>
      <c r="D10237" s="30" t="s">
        <v>3663</v>
      </c>
      <c r="E10237" s="32">
        <v>46123.0</v>
      </c>
      <c r="F10237" s="32">
        <v>46171.0</v>
      </c>
      <c r="G10237" s="33"/>
    </row>
    <row r="10238" ht="15.75" customHeight="1">
      <c r="A10238" s="29" t="s">
        <v>13915</v>
      </c>
      <c r="B10238" s="43" t="s">
        <v>270</v>
      </c>
      <c r="C10238" s="26" t="s">
        <v>940</v>
      </c>
      <c r="D10238" s="26" t="s">
        <v>3663</v>
      </c>
      <c r="E10238" s="28">
        <v>46123.0</v>
      </c>
      <c r="F10238" s="28">
        <v>46171.0</v>
      </c>
      <c r="G10238" s="29"/>
    </row>
    <row r="10239" ht="15.75" customHeight="1">
      <c r="A10239" s="33" t="s">
        <v>13916</v>
      </c>
      <c r="B10239" s="42" t="s">
        <v>273</v>
      </c>
      <c r="C10239" s="30" t="s">
        <v>940</v>
      </c>
      <c r="D10239" s="30" t="s">
        <v>3663</v>
      </c>
      <c r="E10239" s="32">
        <v>46123.0</v>
      </c>
      <c r="F10239" s="32">
        <v>46171.0</v>
      </c>
      <c r="G10239" s="33"/>
    </row>
    <row r="10240" ht="15.75" customHeight="1">
      <c r="A10240" s="29" t="s">
        <v>13917</v>
      </c>
      <c r="B10240" s="43" t="s">
        <v>278</v>
      </c>
      <c r="C10240" s="26" t="s">
        <v>940</v>
      </c>
      <c r="D10240" s="26" t="s">
        <v>3663</v>
      </c>
      <c r="E10240" s="28">
        <v>46123.0</v>
      </c>
      <c r="F10240" s="28">
        <v>46171.0</v>
      </c>
      <c r="G10240" s="29"/>
    </row>
    <row r="10241" ht="15.75" customHeight="1">
      <c r="A10241" s="33" t="s">
        <v>13918</v>
      </c>
      <c r="B10241" s="42" t="s">
        <v>291</v>
      </c>
      <c r="C10241" s="30" t="s">
        <v>940</v>
      </c>
      <c r="D10241" s="30" t="s">
        <v>3663</v>
      </c>
      <c r="E10241" s="32">
        <v>46123.0</v>
      </c>
      <c r="F10241" s="32">
        <v>46171.0</v>
      </c>
      <c r="G10241" s="33"/>
    </row>
    <row r="10242" ht="15.75" customHeight="1">
      <c r="A10242" s="29" t="s">
        <v>13919</v>
      </c>
      <c r="B10242" s="43" t="s">
        <v>305</v>
      </c>
      <c r="C10242" s="26" t="s">
        <v>940</v>
      </c>
      <c r="D10242" s="26" t="s">
        <v>3663</v>
      </c>
      <c r="E10242" s="28">
        <v>46123.0</v>
      </c>
      <c r="F10242" s="28">
        <v>46171.0</v>
      </c>
      <c r="G10242" s="29"/>
    </row>
    <row r="10243" ht="15.75" customHeight="1">
      <c r="A10243" s="33" t="s">
        <v>13920</v>
      </c>
      <c r="B10243" s="42" t="s">
        <v>327</v>
      </c>
      <c r="C10243" s="30" t="s">
        <v>940</v>
      </c>
      <c r="D10243" s="30" t="s">
        <v>3663</v>
      </c>
      <c r="E10243" s="32">
        <v>46123.0</v>
      </c>
      <c r="F10243" s="32">
        <v>46171.0</v>
      </c>
      <c r="G10243" s="33"/>
    </row>
    <row r="10244" ht="15.75" customHeight="1">
      <c r="A10244" s="29" t="s">
        <v>13921</v>
      </c>
      <c r="B10244" s="43" t="s">
        <v>350</v>
      </c>
      <c r="C10244" s="26" t="s">
        <v>940</v>
      </c>
      <c r="D10244" s="26" t="s">
        <v>3663</v>
      </c>
      <c r="E10244" s="28">
        <v>46123.0</v>
      </c>
      <c r="F10244" s="28">
        <v>46171.0</v>
      </c>
      <c r="G10244" s="29"/>
    </row>
    <row r="10245" ht="15.75" customHeight="1">
      <c r="A10245" s="33" t="s">
        <v>13922</v>
      </c>
      <c r="B10245" s="42" t="s">
        <v>354</v>
      </c>
      <c r="C10245" s="30" t="s">
        <v>940</v>
      </c>
      <c r="D10245" s="30" t="s">
        <v>3663</v>
      </c>
      <c r="E10245" s="32">
        <v>46123.0</v>
      </c>
      <c r="F10245" s="32">
        <v>46171.0</v>
      </c>
      <c r="G10245" s="33"/>
    </row>
    <row r="10246" ht="15.75" customHeight="1">
      <c r="A10246" s="29" t="s">
        <v>13923</v>
      </c>
      <c r="B10246" s="43" t="s">
        <v>402</v>
      </c>
      <c r="C10246" s="26" t="s">
        <v>940</v>
      </c>
      <c r="D10246" s="26" t="s">
        <v>3663</v>
      </c>
      <c r="E10246" s="28">
        <v>46123.0</v>
      </c>
      <c r="F10246" s="28">
        <v>46171.0</v>
      </c>
      <c r="G10246" s="29"/>
    </row>
    <row r="10247" ht="15.75" customHeight="1">
      <c r="A10247" s="33" t="s">
        <v>13924</v>
      </c>
      <c r="B10247" s="42" t="s">
        <v>431</v>
      </c>
      <c r="C10247" s="30" t="s">
        <v>940</v>
      </c>
      <c r="D10247" s="30" t="s">
        <v>3663</v>
      </c>
      <c r="E10247" s="32">
        <v>46123.0</v>
      </c>
      <c r="F10247" s="32">
        <v>46171.0</v>
      </c>
      <c r="G10247" s="33"/>
    </row>
    <row r="10248" ht="15.75" customHeight="1">
      <c r="A10248" s="29" t="s">
        <v>13925</v>
      </c>
      <c r="B10248" s="43" t="s">
        <v>433</v>
      </c>
      <c r="C10248" s="26" t="s">
        <v>940</v>
      </c>
      <c r="D10248" s="26" t="s">
        <v>3663</v>
      </c>
      <c r="E10248" s="28">
        <v>46123.0</v>
      </c>
      <c r="F10248" s="28">
        <v>46171.0</v>
      </c>
      <c r="G10248" s="29"/>
    </row>
    <row r="10249" ht="15.75" customHeight="1">
      <c r="A10249" s="33" t="s">
        <v>13926</v>
      </c>
      <c r="B10249" s="42" t="s">
        <v>475</v>
      </c>
      <c r="C10249" s="30" t="s">
        <v>940</v>
      </c>
      <c r="D10249" s="30" t="s">
        <v>3663</v>
      </c>
      <c r="E10249" s="32">
        <v>46123.0</v>
      </c>
      <c r="F10249" s="32">
        <v>46171.0</v>
      </c>
      <c r="G10249" s="33"/>
    </row>
    <row r="10250" ht="15.75" customHeight="1">
      <c r="A10250" s="29" t="s">
        <v>13927</v>
      </c>
      <c r="B10250" s="43" t="s">
        <v>482</v>
      </c>
      <c r="C10250" s="26" t="s">
        <v>940</v>
      </c>
      <c r="D10250" s="26" t="s">
        <v>3663</v>
      </c>
      <c r="E10250" s="28">
        <v>46123.0</v>
      </c>
      <c r="F10250" s="28">
        <v>46171.0</v>
      </c>
      <c r="G10250" s="29"/>
    </row>
    <row r="10251" ht="15.75" customHeight="1">
      <c r="A10251" s="33" t="s">
        <v>13928</v>
      </c>
      <c r="B10251" s="42" t="s">
        <v>552</v>
      </c>
      <c r="C10251" s="30" t="s">
        <v>940</v>
      </c>
      <c r="D10251" s="30" t="s">
        <v>3663</v>
      </c>
      <c r="E10251" s="32">
        <v>46123.0</v>
      </c>
      <c r="F10251" s="32">
        <v>46171.0</v>
      </c>
      <c r="G10251" s="33"/>
    </row>
    <row r="10252" ht="15.75" customHeight="1">
      <c r="A10252" s="29" t="s">
        <v>13929</v>
      </c>
      <c r="B10252" s="43" t="s">
        <v>559</v>
      </c>
      <c r="C10252" s="26" t="s">
        <v>940</v>
      </c>
      <c r="D10252" s="26" t="s">
        <v>3663</v>
      </c>
      <c r="E10252" s="28">
        <v>46123.0</v>
      </c>
      <c r="F10252" s="28">
        <v>46171.0</v>
      </c>
      <c r="G10252" s="29"/>
    </row>
    <row r="10253" ht="15.75" customHeight="1">
      <c r="A10253" s="33" t="s">
        <v>13930</v>
      </c>
      <c r="B10253" s="42" t="s">
        <v>563</v>
      </c>
      <c r="C10253" s="30" t="s">
        <v>940</v>
      </c>
      <c r="D10253" s="30" t="s">
        <v>3663</v>
      </c>
      <c r="E10253" s="32">
        <v>46123.0</v>
      </c>
      <c r="F10253" s="32">
        <v>46171.0</v>
      </c>
      <c r="G10253" s="33"/>
    </row>
    <row r="10254" ht="15.75" customHeight="1">
      <c r="A10254" s="29" t="s">
        <v>13931</v>
      </c>
      <c r="B10254" s="43" t="s">
        <v>565</v>
      </c>
      <c r="C10254" s="26" t="s">
        <v>940</v>
      </c>
      <c r="D10254" s="26" t="s">
        <v>3663</v>
      </c>
      <c r="E10254" s="28">
        <v>46123.0</v>
      </c>
      <c r="F10254" s="28">
        <v>46171.0</v>
      </c>
      <c r="G10254" s="29"/>
    </row>
    <row r="10255" ht="15.75" customHeight="1">
      <c r="A10255" s="33" t="s">
        <v>13932</v>
      </c>
      <c r="B10255" s="42" t="s">
        <v>569</v>
      </c>
      <c r="C10255" s="30" t="s">
        <v>940</v>
      </c>
      <c r="D10255" s="30" t="s">
        <v>3663</v>
      </c>
      <c r="E10255" s="32">
        <v>46123.0</v>
      </c>
      <c r="F10255" s="32">
        <v>46171.0</v>
      </c>
      <c r="G10255" s="33"/>
    </row>
    <row r="10256" ht="15.75" customHeight="1">
      <c r="A10256" s="29" t="s">
        <v>13933</v>
      </c>
      <c r="B10256" s="43" t="s">
        <v>572</v>
      </c>
      <c r="C10256" s="26" t="s">
        <v>940</v>
      </c>
      <c r="D10256" s="26" t="s">
        <v>3663</v>
      </c>
      <c r="E10256" s="28">
        <v>46123.0</v>
      </c>
      <c r="F10256" s="28">
        <v>46171.0</v>
      </c>
      <c r="G10256" s="29"/>
    </row>
    <row r="10257" ht="15.75" customHeight="1">
      <c r="A10257" s="33" t="s">
        <v>13934</v>
      </c>
      <c r="B10257" s="42" t="s">
        <v>595</v>
      </c>
      <c r="C10257" s="30" t="s">
        <v>940</v>
      </c>
      <c r="D10257" s="30" t="s">
        <v>3663</v>
      </c>
      <c r="E10257" s="32">
        <v>46123.0</v>
      </c>
      <c r="F10257" s="32">
        <v>46171.0</v>
      </c>
      <c r="G10257" s="33"/>
    </row>
    <row r="10258" ht="15.75" customHeight="1">
      <c r="A10258" s="29" t="s">
        <v>13935</v>
      </c>
      <c r="B10258" s="43" t="s">
        <v>612</v>
      </c>
      <c r="C10258" s="26" t="s">
        <v>940</v>
      </c>
      <c r="D10258" s="26" t="s">
        <v>3663</v>
      </c>
      <c r="E10258" s="28">
        <v>46123.0</v>
      </c>
      <c r="F10258" s="28">
        <v>46171.0</v>
      </c>
      <c r="G10258" s="29"/>
    </row>
    <row r="10259" ht="15.75" customHeight="1">
      <c r="A10259" s="33" t="s">
        <v>13936</v>
      </c>
      <c r="B10259" s="42" t="s">
        <v>644</v>
      </c>
      <c r="C10259" s="30" t="s">
        <v>940</v>
      </c>
      <c r="D10259" s="30" t="s">
        <v>3663</v>
      </c>
      <c r="E10259" s="32">
        <v>46123.0</v>
      </c>
      <c r="F10259" s="32">
        <v>46171.0</v>
      </c>
      <c r="G10259" s="33"/>
    </row>
    <row r="10260" ht="15.75" customHeight="1">
      <c r="A10260" s="29" t="s">
        <v>13937</v>
      </c>
      <c r="B10260" s="43" t="s">
        <v>647</v>
      </c>
      <c r="C10260" s="26" t="s">
        <v>940</v>
      </c>
      <c r="D10260" s="26" t="s">
        <v>3663</v>
      </c>
      <c r="E10260" s="28">
        <v>46123.0</v>
      </c>
      <c r="F10260" s="28">
        <v>46171.0</v>
      </c>
      <c r="G10260" s="29"/>
    </row>
    <row r="10261" ht="15.75" customHeight="1">
      <c r="A10261" s="33" t="s">
        <v>13938</v>
      </c>
      <c r="B10261" s="42" t="s">
        <v>651</v>
      </c>
      <c r="C10261" s="30" t="s">
        <v>940</v>
      </c>
      <c r="D10261" s="30" t="s">
        <v>3663</v>
      </c>
      <c r="E10261" s="32">
        <v>46123.0</v>
      </c>
      <c r="F10261" s="32">
        <v>46171.0</v>
      </c>
      <c r="G10261" s="33"/>
    </row>
    <row r="10262" ht="15.75" customHeight="1">
      <c r="A10262" s="29" t="s">
        <v>13939</v>
      </c>
      <c r="B10262" s="43" t="s">
        <v>653</v>
      </c>
      <c r="C10262" s="26" t="s">
        <v>940</v>
      </c>
      <c r="D10262" s="26" t="s">
        <v>3663</v>
      </c>
      <c r="E10262" s="28">
        <v>46123.0</v>
      </c>
      <c r="F10262" s="28">
        <v>46171.0</v>
      </c>
      <c r="G10262" s="29"/>
    </row>
    <row r="10263" ht="15.75" customHeight="1">
      <c r="A10263" s="33" t="s">
        <v>13940</v>
      </c>
      <c r="B10263" s="42" t="s">
        <v>657</v>
      </c>
      <c r="C10263" s="30" t="s">
        <v>940</v>
      </c>
      <c r="D10263" s="30" t="s">
        <v>3663</v>
      </c>
      <c r="E10263" s="32">
        <v>46123.0</v>
      </c>
      <c r="F10263" s="32">
        <v>46171.0</v>
      </c>
      <c r="G10263" s="33"/>
    </row>
    <row r="10264" ht="15.75" customHeight="1">
      <c r="A10264" s="29" t="s">
        <v>13941</v>
      </c>
      <c r="B10264" s="43" t="s">
        <v>659</v>
      </c>
      <c r="C10264" s="26" t="s">
        <v>940</v>
      </c>
      <c r="D10264" s="26" t="s">
        <v>3663</v>
      </c>
      <c r="E10264" s="28">
        <v>46123.0</v>
      </c>
      <c r="F10264" s="28">
        <v>46171.0</v>
      </c>
      <c r="G10264" s="29"/>
    </row>
    <row r="10265" ht="15.75" customHeight="1">
      <c r="A10265" s="33" t="s">
        <v>13942</v>
      </c>
      <c r="B10265" s="42" t="s">
        <v>697</v>
      </c>
      <c r="C10265" s="30" t="s">
        <v>940</v>
      </c>
      <c r="D10265" s="30" t="s">
        <v>3663</v>
      </c>
      <c r="E10265" s="32">
        <v>46123.0</v>
      </c>
      <c r="F10265" s="32">
        <v>46171.0</v>
      </c>
      <c r="G10265" s="33"/>
    </row>
    <row r="10266" ht="15.75" customHeight="1">
      <c r="A10266" s="29" t="s">
        <v>13943</v>
      </c>
      <c r="B10266" s="43" t="s">
        <v>700</v>
      </c>
      <c r="C10266" s="26" t="s">
        <v>940</v>
      </c>
      <c r="D10266" s="26" t="s">
        <v>3663</v>
      </c>
      <c r="E10266" s="28">
        <v>46123.0</v>
      </c>
      <c r="F10266" s="28">
        <v>46171.0</v>
      </c>
      <c r="G10266" s="29"/>
    </row>
    <row r="10267" ht="15.75" customHeight="1">
      <c r="A10267" s="33" t="s">
        <v>13944</v>
      </c>
      <c r="B10267" s="42" t="s">
        <v>12941</v>
      </c>
      <c r="C10267" s="30" t="s">
        <v>940</v>
      </c>
      <c r="D10267" s="30" t="s">
        <v>3663</v>
      </c>
      <c r="E10267" s="32">
        <v>46123.0</v>
      </c>
      <c r="F10267" s="32">
        <v>46171.0</v>
      </c>
      <c r="G10267" s="33"/>
    </row>
    <row r="10268" ht="15.75" customHeight="1">
      <c r="A10268" s="29" t="s">
        <v>13945</v>
      </c>
      <c r="B10268" s="43" t="s">
        <v>712</v>
      </c>
      <c r="C10268" s="26" t="s">
        <v>940</v>
      </c>
      <c r="D10268" s="26" t="s">
        <v>3663</v>
      </c>
      <c r="E10268" s="28">
        <v>46123.0</v>
      </c>
      <c r="F10268" s="28">
        <v>46171.0</v>
      </c>
      <c r="G10268" s="29"/>
    </row>
    <row r="10269" ht="15.75" customHeight="1">
      <c r="A10269" s="33" t="s">
        <v>13946</v>
      </c>
      <c r="B10269" s="42" t="s">
        <v>734</v>
      </c>
      <c r="C10269" s="30" t="s">
        <v>940</v>
      </c>
      <c r="D10269" s="30" t="s">
        <v>3663</v>
      </c>
      <c r="E10269" s="32">
        <v>46123.0</v>
      </c>
      <c r="F10269" s="32">
        <v>46171.0</v>
      </c>
      <c r="G10269" s="33"/>
    </row>
    <row r="10270" ht="15.75" customHeight="1">
      <c r="A10270" s="29" t="s">
        <v>13947</v>
      </c>
      <c r="B10270" s="43" t="s">
        <v>741</v>
      </c>
      <c r="C10270" s="26" t="s">
        <v>940</v>
      </c>
      <c r="D10270" s="26" t="s">
        <v>3663</v>
      </c>
      <c r="E10270" s="28">
        <v>46123.0</v>
      </c>
      <c r="F10270" s="28">
        <v>46171.0</v>
      </c>
      <c r="G10270" s="29"/>
    </row>
    <row r="10271" ht="15.75" customHeight="1">
      <c r="A10271" s="33" t="s">
        <v>13948</v>
      </c>
      <c r="B10271" s="42" t="s">
        <v>768</v>
      </c>
      <c r="C10271" s="30" t="s">
        <v>940</v>
      </c>
      <c r="D10271" s="30" t="s">
        <v>3663</v>
      </c>
      <c r="E10271" s="32">
        <v>46123.0</v>
      </c>
      <c r="F10271" s="32">
        <v>46171.0</v>
      </c>
      <c r="G10271" s="33"/>
    </row>
    <row r="10272" ht="15.75" customHeight="1">
      <c r="A10272" s="29" t="s">
        <v>13949</v>
      </c>
      <c r="B10272" s="43" t="s">
        <v>791</v>
      </c>
      <c r="C10272" s="26" t="s">
        <v>940</v>
      </c>
      <c r="D10272" s="26" t="s">
        <v>3663</v>
      </c>
      <c r="E10272" s="28">
        <v>46123.0</v>
      </c>
      <c r="F10272" s="28">
        <v>46171.0</v>
      </c>
      <c r="G10272" s="29"/>
    </row>
    <row r="10273" ht="15.75" customHeight="1">
      <c r="A10273" s="33" t="s">
        <v>13950</v>
      </c>
      <c r="B10273" s="42" t="s">
        <v>805</v>
      </c>
      <c r="C10273" s="30" t="s">
        <v>940</v>
      </c>
      <c r="D10273" s="30" t="s">
        <v>3663</v>
      </c>
      <c r="E10273" s="32">
        <v>46123.0</v>
      </c>
      <c r="F10273" s="32">
        <v>46171.0</v>
      </c>
      <c r="G10273" s="33"/>
    </row>
    <row r="10274" ht="15.75" customHeight="1">
      <c r="A10274" s="29" t="s">
        <v>13951</v>
      </c>
      <c r="B10274" s="43" t="s">
        <v>813</v>
      </c>
      <c r="C10274" s="26" t="s">
        <v>940</v>
      </c>
      <c r="D10274" s="26" t="s">
        <v>3663</v>
      </c>
      <c r="E10274" s="28">
        <v>46123.0</v>
      </c>
      <c r="F10274" s="28">
        <v>46171.0</v>
      </c>
      <c r="G10274" s="29"/>
    </row>
    <row r="10275" ht="15.75" customHeight="1">
      <c r="A10275" s="33" t="s">
        <v>13952</v>
      </c>
      <c r="B10275" s="42" t="s">
        <v>824</v>
      </c>
      <c r="C10275" s="30" t="s">
        <v>940</v>
      </c>
      <c r="D10275" s="30" t="s">
        <v>3663</v>
      </c>
      <c r="E10275" s="32">
        <v>46123.0</v>
      </c>
      <c r="F10275" s="32">
        <v>46171.0</v>
      </c>
      <c r="G10275" s="33"/>
    </row>
    <row r="10276" ht="15.75" customHeight="1">
      <c r="A10276" s="29" t="s">
        <v>13953</v>
      </c>
      <c r="B10276" s="43" t="s">
        <v>130</v>
      </c>
      <c r="C10276" s="26" t="s">
        <v>940</v>
      </c>
      <c r="D10276" s="26" t="s">
        <v>3663</v>
      </c>
      <c r="E10276" s="28">
        <v>46123.0</v>
      </c>
      <c r="F10276" s="28">
        <v>46171.0</v>
      </c>
      <c r="G10276" s="29"/>
    </row>
    <row r="10277" ht="15.75" customHeight="1">
      <c r="A10277" s="33" t="s">
        <v>13954</v>
      </c>
      <c r="B10277" s="42" t="s">
        <v>152</v>
      </c>
      <c r="C10277" s="30" t="s">
        <v>940</v>
      </c>
      <c r="D10277" s="30" t="s">
        <v>3663</v>
      </c>
      <c r="E10277" s="32">
        <v>46123.0</v>
      </c>
      <c r="F10277" s="32">
        <v>46171.0</v>
      </c>
      <c r="G10277" s="33"/>
    </row>
    <row r="10278" ht="15.75" customHeight="1">
      <c r="A10278" s="29" t="s">
        <v>13955</v>
      </c>
      <c r="B10278" s="43" t="s">
        <v>213</v>
      </c>
      <c r="C10278" s="26" t="s">
        <v>940</v>
      </c>
      <c r="D10278" s="26" t="s">
        <v>3663</v>
      </c>
      <c r="E10278" s="28">
        <v>46123.0</v>
      </c>
      <c r="F10278" s="28">
        <v>46171.0</v>
      </c>
      <c r="G10278" s="29"/>
    </row>
    <row r="10279" ht="15.75" customHeight="1">
      <c r="A10279" s="33" t="s">
        <v>13956</v>
      </c>
      <c r="B10279" s="42" t="s">
        <v>247</v>
      </c>
      <c r="C10279" s="30" t="s">
        <v>940</v>
      </c>
      <c r="D10279" s="30" t="s">
        <v>3663</v>
      </c>
      <c r="E10279" s="32">
        <v>46123.0</v>
      </c>
      <c r="F10279" s="32">
        <v>46171.0</v>
      </c>
      <c r="G10279" s="33"/>
    </row>
    <row r="10280" ht="15.75" customHeight="1">
      <c r="A10280" s="29" t="s">
        <v>13957</v>
      </c>
      <c r="B10280" s="43" t="s">
        <v>369</v>
      </c>
      <c r="C10280" s="26" t="s">
        <v>940</v>
      </c>
      <c r="D10280" s="26" t="s">
        <v>3663</v>
      </c>
      <c r="E10280" s="28">
        <v>46123.0</v>
      </c>
      <c r="F10280" s="28">
        <v>46171.0</v>
      </c>
      <c r="G10280" s="29"/>
    </row>
    <row r="10281" ht="15.75" customHeight="1">
      <c r="A10281" s="33" t="s">
        <v>13958</v>
      </c>
      <c r="B10281" s="42" t="s">
        <v>410</v>
      </c>
      <c r="C10281" s="30" t="s">
        <v>940</v>
      </c>
      <c r="D10281" s="30" t="s">
        <v>3663</v>
      </c>
      <c r="E10281" s="32">
        <v>46123.0</v>
      </c>
      <c r="F10281" s="32">
        <v>46171.0</v>
      </c>
      <c r="G10281" s="33"/>
    </row>
    <row r="10282" ht="15.75" customHeight="1">
      <c r="A10282" s="29" t="s">
        <v>13959</v>
      </c>
      <c r="B10282" s="43" t="s">
        <v>424</v>
      </c>
      <c r="C10282" s="26" t="s">
        <v>940</v>
      </c>
      <c r="D10282" s="26" t="s">
        <v>3663</v>
      </c>
      <c r="E10282" s="28">
        <v>46123.0</v>
      </c>
      <c r="F10282" s="28">
        <v>46171.0</v>
      </c>
      <c r="G10282" s="29"/>
    </row>
    <row r="10283" ht="15.75" customHeight="1">
      <c r="A10283" s="33" t="s">
        <v>13960</v>
      </c>
      <c r="B10283" s="42" t="s">
        <v>427</v>
      </c>
      <c r="C10283" s="30" t="s">
        <v>940</v>
      </c>
      <c r="D10283" s="30" t="s">
        <v>3663</v>
      </c>
      <c r="E10283" s="32">
        <v>46123.0</v>
      </c>
      <c r="F10283" s="32">
        <v>46171.0</v>
      </c>
      <c r="G10283" s="33"/>
    </row>
    <row r="10284" ht="15.75" customHeight="1">
      <c r="A10284" s="29" t="s">
        <v>13961</v>
      </c>
      <c r="B10284" s="43" t="s">
        <v>437</v>
      </c>
      <c r="C10284" s="26" t="s">
        <v>940</v>
      </c>
      <c r="D10284" s="26" t="s">
        <v>3663</v>
      </c>
      <c r="E10284" s="28">
        <v>46123.0</v>
      </c>
      <c r="F10284" s="28">
        <v>46171.0</v>
      </c>
      <c r="G10284" s="29"/>
    </row>
    <row r="10285" ht="15.75" customHeight="1">
      <c r="A10285" s="33" t="s">
        <v>13962</v>
      </c>
      <c r="B10285" s="42" t="s">
        <v>453</v>
      </c>
      <c r="C10285" s="30" t="s">
        <v>940</v>
      </c>
      <c r="D10285" s="30" t="s">
        <v>3663</v>
      </c>
      <c r="E10285" s="32">
        <v>46123.0</v>
      </c>
      <c r="F10285" s="32">
        <v>46171.0</v>
      </c>
      <c r="G10285" s="33"/>
    </row>
    <row r="10286" ht="15.75" customHeight="1">
      <c r="A10286" s="29" t="s">
        <v>13963</v>
      </c>
      <c r="B10286" s="43" t="s">
        <v>454</v>
      </c>
      <c r="C10286" s="26" t="s">
        <v>940</v>
      </c>
      <c r="D10286" s="26" t="s">
        <v>3663</v>
      </c>
      <c r="E10286" s="28">
        <v>46123.0</v>
      </c>
      <c r="F10286" s="28">
        <v>46171.0</v>
      </c>
      <c r="G10286" s="29"/>
    </row>
    <row r="10287" ht="15.75" customHeight="1">
      <c r="A10287" s="33" t="s">
        <v>13964</v>
      </c>
      <c r="B10287" s="42" t="s">
        <v>456</v>
      </c>
      <c r="C10287" s="30" t="s">
        <v>940</v>
      </c>
      <c r="D10287" s="30" t="s">
        <v>3663</v>
      </c>
      <c r="E10287" s="32">
        <v>46123.0</v>
      </c>
      <c r="F10287" s="32">
        <v>46171.0</v>
      </c>
      <c r="G10287" s="33"/>
    </row>
    <row r="10288" ht="15.75" customHeight="1">
      <c r="A10288" s="29" t="s">
        <v>13965</v>
      </c>
      <c r="B10288" s="43" t="s">
        <v>461</v>
      </c>
      <c r="C10288" s="26" t="s">
        <v>940</v>
      </c>
      <c r="D10288" s="26" t="s">
        <v>3663</v>
      </c>
      <c r="E10288" s="28">
        <v>46123.0</v>
      </c>
      <c r="F10288" s="28">
        <v>46171.0</v>
      </c>
      <c r="G10288" s="29"/>
    </row>
    <row r="10289" ht="15.75" customHeight="1">
      <c r="A10289" s="33" t="s">
        <v>13966</v>
      </c>
      <c r="B10289" s="42" t="s">
        <v>471</v>
      </c>
      <c r="C10289" s="30" t="s">
        <v>940</v>
      </c>
      <c r="D10289" s="30" t="s">
        <v>3663</v>
      </c>
      <c r="E10289" s="32">
        <v>46123.0</v>
      </c>
      <c r="F10289" s="32">
        <v>46171.0</v>
      </c>
      <c r="G10289" s="33"/>
    </row>
    <row r="10290" ht="15.75" customHeight="1">
      <c r="A10290" s="29" t="s">
        <v>13967</v>
      </c>
      <c r="B10290" s="43" t="s">
        <v>1231</v>
      </c>
      <c r="C10290" s="26" t="s">
        <v>940</v>
      </c>
      <c r="D10290" s="26" t="s">
        <v>3663</v>
      </c>
      <c r="E10290" s="28">
        <v>46123.0</v>
      </c>
      <c r="F10290" s="28">
        <v>46171.0</v>
      </c>
      <c r="G10290" s="29"/>
    </row>
    <row r="10291" ht="15.75" customHeight="1">
      <c r="A10291" s="33" t="s">
        <v>13968</v>
      </c>
      <c r="B10291" s="42" t="s">
        <v>495</v>
      </c>
      <c r="C10291" s="30" t="s">
        <v>940</v>
      </c>
      <c r="D10291" s="30" t="s">
        <v>3663</v>
      </c>
      <c r="E10291" s="32">
        <v>46123.0</v>
      </c>
      <c r="F10291" s="32">
        <v>46171.0</v>
      </c>
      <c r="G10291" s="33"/>
    </row>
    <row r="10292" ht="15.75" customHeight="1">
      <c r="A10292" s="29" t="s">
        <v>13969</v>
      </c>
      <c r="B10292" s="43" t="s">
        <v>517</v>
      </c>
      <c r="C10292" s="26" t="s">
        <v>940</v>
      </c>
      <c r="D10292" s="26" t="s">
        <v>3663</v>
      </c>
      <c r="E10292" s="28">
        <v>46123.0</v>
      </c>
      <c r="F10292" s="28">
        <v>46171.0</v>
      </c>
      <c r="G10292" s="29"/>
    </row>
    <row r="10293" ht="15.75" customHeight="1">
      <c r="A10293" s="33" t="s">
        <v>13970</v>
      </c>
      <c r="B10293" s="42" t="s">
        <v>523</v>
      </c>
      <c r="C10293" s="30" t="s">
        <v>940</v>
      </c>
      <c r="D10293" s="30" t="s">
        <v>3663</v>
      </c>
      <c r="E10293" s="32">
        <v>46123.0</v>
      </c>
      <c r="F10293" s="32">
        <v>46171.0</v>
      </c>
      <c r="G10293" s="33"/>
    </row>
    <row r="10294" ht="15.75" customHeight="1">
      <c r="A10294" s="29" t="s">
        <v>13971</v>
      </c>
      <c r="B10294" s="43" t="s">
        <v>567</v>
      </c>
      <c r="C10294" s="26" t="s">
        <v>940</v>
      </c>
      <c r="D10294" s="26" t="s">
        <v>3663</v>
      </c>
      <c r="E10294" s="28">
        <v>46123.0</v>
      </c>
      <c r="F10294" s="28">
        <v>46171.0</v>
      </c>
      <c r="G10294" s="29"/>
    </row>
    <row r="10295" ht="15.75" customHeight="1">
      <c r="A10295" s="33" t="s">
        <v>13972</v>
      </c>
      <c r="B10295" s="42" t="s">
        <v>582</v>
      </c>
      <c r="C10295" s="30" t="s">
        <v>940</v>
      </c>
      <c r="D10295" s="30" t="s">
        <v>3663</v>
      </c>
      <c r="E10295" s="32">
        <v>46123.0</v>
      </c>
      <c r="F10295" s="32">
        <v>46171.0</v>
      </c>
      <c r="G10295" s="33"/>
    </row>
    <row r="10296" ht="15.75" customHeight="1">
      <c r="A10296" s="29" t="s">
        <v>13973</v>
      </c>
      <c r="B10296" s="43" t="s">
        <v>596</v>
      </c>
      <c r="C10296" s="26" t="s">
        <v>940</v>
      </c>
      <c r="D10296" s="26" t="s">
        <v>3663</v>
      </c>
      <c r="E10296" s="28">
        <v>46123.0</v>
      </c>
      <c r="F10296" s="28">
        <v>46171.0</v>
      </c>
      <c r="G10296" s="29"/>
    </row>
    <row r="10297" ht="15.75" customHeight="1">
      <c r="A10297" s="33" t="s">
        <v>13974</v>
      </c>
      <c r="B10297" s="42" t="s">
        <v>606</v>
      </c>
      <c r="C10297" s="30" t="s">
        <v>940</v>
      </c>
      <c r="D10297" s="30" t="s">
        <v>3663</v>
      </c>
      <c r="E10297" s="32">
        <v>46123.0</v>
      </c>
      <c r="F10297" s="32">
        <v>46171.0</v>
      </c>
      <c r="G10297" s="33"/>
    </row>
    <row r="10298" ht="15.75" customHeight="1">
      <c r="A10298" s="29" t="s">
        <v>13975</v>
      </c>
      <c r="B10298" s="43" t="s">
        <v>630</v>
      </c>
      <c r="C10298" s="26" t="s">
        <v>940</v>
      </c>
      <c r="D10298" s="26" t="s">
        <v>3663</v>
      </c>
      <c r="E10298" s="28">
        <v>46123.0</v>
      </c>
      <c r="F10298" s="28">
        <v>46171.0</v>
      </c>
      <c r="G10298" s="29"/>
    </row>
    <row r="10299" ht="15.75" customHeight="1">
      <c r="A10299" s="33" t="s">
        <v>13976</v>
      </c>
      <c r="B10299" s="42" t="s">
        <v>643</v>
      </c>
      <c r="C10299" s="30" t="s">
        <v>940</v>
      </c>
      <c r="D10299" s="30" t="s">
        <v>3663</v>
      </c>
      <c r="E10299" s="32">
        <v>46123.0</v>
      </c>
      <c r="F10299" s="32">
        <v>46171.0</v>
      </c>
      <c r="G10299" s="33"/>
    </row>
    <row r="10300" ht="15.75" customHeight="1">
      <c r="A10300" s="29" t="s">
        <v>13977</v>
      </c>
      <c r="B10300" s="43" t="s">
        <v>646</v>
      </c>
      <c r="C10300" s="26" t="s">
        <v>940</v>
      </c>
      <c r="D10300" s="26" t="s">
        <v>3663</v>
      </c>
      <c r="E10300" s="28">
        <v>46123.0</v>
      </c>
      <c r="F10300" s="28">
        <v>46171.0</v>
      </c>
      <c r="G10300" s="29"/>
    </row>
    <row r="10301" ht="15.75" customHeight="1">
      <c r="A10301" s="33" t="s">
        <v>13978</v>
      </c>
      <c r="B10301" s="42" t="s">
        <v>656</v>
      </c>
      <c r="C10301" s="30" t="s">
        <v>940</v>
      </c>
      <c r="D10301" s="30" t="s">
        <v>3663</v>
      </c>
      <c r="E10301" s="32">
        <v>46123.0</v>
      </c>
      <c r="F10301" s="32">
        <v>46171.0</v>
      </c>
      <c r="G10301" s="33"/>
    </row>
    <row r="10302" ht="15.75" customHeight="1">
      <c r="A10302" s="29" t="s">
        <v>13979</v>
      </c>
      <c r="B10302" s="43" t="s">
        <v>663</v>
      </c>
      <c r="C10302" s="26" t="s">
        <v>940</v>
      </c>
      <c r="D10302" s="26" t="s">
        <v>3663</v>
      </c>
      <c r="E10302" s="28">
        <v>46123.0</v>
      </c>
      <c r="F10302" s="28">
        <v>46171.0</v>
      </c>
      <c r="G10302" s="29"/>
    </row>
    <row r="10303" ht="15.75" customHeight="1">
      <c r="A10303" s="33" t="s">
        <v>13980</v>
      </c>
      <c r="B10303" s="42" t="s">
        <v>674</v>
      </c>
      <c r="C10303" s="30" t="s">
        <v>940</v>
      </c>
      <c r="D10303" s="30" t="s">
        <v>3663</v>
      </c>
      <c r="E10303" s="32">
        <v>46123.0</v>
      </c>
      <c r="F10303" s="32">
        <v>46171.0</v>
      </c>
      <c r="G10303" s="33"/>
    </row>
    <row r="10304" ht="15.75" customHeight="1">
      <c r="A10304" s="29" t="s">
        <v>13981</v>
      </c>
      <c r="B10304" s="43" t="s">
        <v>705</v>
      </c>
      <c r="C10304" s="26" t="s">
        <v>940</v>
      </c>
      <c r="D10304" s="26" t="s">
        <v>3663</v>
      </c>
      <c r="E10304" s="28">
        <v>46123.0</v>
      </c>
      <c r="F10304" s="28">
        <v>46171.0</v>
      </c>
      <c r="G10304" s="29"/>
    </row>
    <row r="10305" ht="15.75" customHeight="1">
      <c r="A10305" s="33" t="s">
        <v>13982</v>
      </c>
      <c r="B10305" s="42" t="s">
        <v>714</v>
      </c>
      <c r="C10305" s="30" t="s">
        <v>940</v>
      </c>
      <c r="D10305" s="30" t="s">
        <v>3663</v>
      </c>
      <c r="E10305" s="32">
        <v>46123.0</v>
      </c>
      <c r="F10305" s="32">
        <v>46171.0</v>
      </c>
      <c r="G10305" s="33"/>
    </row>
    <row r="10306" ht="15.75" customHeight="1">
      <c r="A10306" s="29" t="s">
        <v>13983</v>
      </c>
      <c r="B10306" s="43" t="s">
        <v>721</v>
      </c>
      <c r="C10306" s="26" t="s">
        <v>940</v>
      </c>
      <c r="D10306" s="26" t="s">
        <v>3663</v>
      </c>
      <c r="E10306" s="28">
        <v>46123.0</v>
      </c>
      <c r="F10306" s="28">
        <v>46171.0</v>
      </c>
      <c r="G10306" s="29"/>
    </row>
    <row r="10307" ht="15.75" customHeight="1">
      <c r="A10307" s="33" t="s">
        <v>13984</v>
      </c>
      <c r="B10307" s="42" t="s">
        <v>740</v>
      </c>
      <c r="C10307" s="30" t="s">
        <v>940</v>
      </c>
      <c r="D10307" s="30" t="s">
        <v>3663</v>
      </c>
      <c r="E10307" s="32">
        <v>46123.0</v>
      </c>
      <c r="F10307" s="32">
        <v>46171.0</v>
      </c>
      <c r="G10307" s="33"/>
    </row>
    <row r="10308" ht="15.75" customHeight="1">
      <c r="A10308" s="29" t="s">
        <v>13985</v>
      </c>
      <c r="B10308" s="43" t="s">
        <v>778</v>
      </c>
      <c r="C10308" s="26" t="s">
        <v>940</v>
      </c>
      <c r="D10308" s="26" t="s">
        <v>3663</v>
      </c>
      <c r="E10308" s="28">
        <v>46123.0</v>
      </c>
      <c r="F10308" s="28">
        <v>46171.0</v>
      </c>
      <c r="G10308" s="29"/>
    </row>
    <row r="10309" ht="15.75" customHeight="1">
      <c r="A10309" s="33" t="s">
        <v>13986</v>
      </c>
      <c r="B10309" s="42" t="s">
        <v>2893</v>
      </c>
      <c r="C10309" s="30" t="s">
        <v>940</v>
      </c>
      <c r="D10309" s="30" t="s">
        <v>3663</v>
      </c>
      <c r="E10309" s="32">
        <v>46123.0</v>
      </c>
      <c r="F10309" s="32">
        <v>46171.0</v>
      </c>
      <c r="G10309" s="33"/>
    </row>
    <row r="10310" ht="15.75" customHeight="1">
      <c r="A10310" s="29" t="s">
        <v>13987</v>
      </c>
      <c r="B10310" s="43" t="s">
        <v>796</v>
      </c>
      <c r="C10310" s="26" t="s">
        <v>940</v>
      </c>
      <c r="D10310" s="26" t="s">
        <v>3663</v>
      </c>
      <c r="E10310" s="28">
        <v>46123.0</v>
      </c>
      <c r="F10310" s="28">
        <v>46171.0</v>
      </c>
      <c r="G10310" s="29"/>
    </row>
    <row r="10311" ht="15.75" customHeight="1">
      <c r="A10311" s="33" t="s">
        <v>13988</v>
      </c>
      <c r="B10311" s="42" t="s">
        <v>798</v>
      </c>
      <c r="C10311" s="30" t="s">
        <v>940</v>
      </c>
      <c r="D10311" s="30" t="s">
        <v>3663</v>
      </c>
      <c r="E10311" s="32">
        <v>46123.0</v>
      </c>
      <c r="F10311" s="32">
        <v>46171.0</v>
      </c>
      <c r="G10311" s="33"/>
    </row>
    <row r="10312" ht="15.75" customHeight="1">
      <c r="A10312" s="29" t="s">
        <v>13989</v>
      </c>
      <c r="B10312" s="43" t="s">
        <v>807</v>
      </c>
      <c r="C10312" s="26" t="s">
        <v>940</v>
      </c>
      <c r="D10312" s="26" t="s">
        <v>3663</v>
      </c>
      <c r="E10312" s="28">
        <v>46123.0</v>
      </c>
      <c r="F10312" s="28">
        <v>46171.0</v>
      </c>
      <c r="G10312" s="29"/>
    </row>
    <row r="10313" ht="15.75" customHeight="1">
      <c r="A10313" s="33" t="s">
        <v>13990</v>
      </c>
      <c r="B10313" s="42" t="s">
        <v>812</v>
      </c>
      <c r="C10313" s="30" t="s">
        <v>940</v>
      </c>
      <c r="D10313" s="30" t="s">
        <v>3663</v>
      </c>
      <c r="E10313" s="32">
        <v>46123.0</v>
      </c>
      <c r="F10313" s="32">
        <v>46171.0</v>
      </c>
      <c r="G10313" s="33"/>
    </row>
    <row r="10314" ht="15.75" customHeight="1">
      <c r="A10314" s="29" t="s">
        <v>13991</v>
      </c>
      <c r="B10314" s="43" t="s">
        <v>815</v>
      </c>
      <c r="C10314" s="26" t="s">
        <v>940</v>
      </c>
      <c r="D10314" s="26" t="s">
        <v>3663</v>
      </c>
      <c r="E10314" s="28">
        <v>46123.0</v>
      </c>
      <c r="F10314" s="28">
        <v>46171.0</v>
      </c>
      <c r="G10314" s="29"/>
    </row>
    <row r="10315" ht="15.75" customHeight="1">
      <c r="A10315" s="33" t="s">
        <v>13992</v>
      </c>
      <c r="B10315" s="42" t="s">
        <v>821</v>
      </c>
      <c r="C10315" s="30" t="s">
        <v>940</v>
      </c>
      <c r="D10315" s="30" t="s">
        <v>3663</v>
      </c>
      <c r="E10315" s="32">
        <v>46123.0</v>
      </c>
      <c r="F10315" s="32">
        <v>46171.0</v>
      </c>
      <c r="G10315" s="33"/>
    </row>
    <row r="10316" ht="15.75" customHeight="1">
      <c r="A10316" s="29" t="s">
        <v>13993</v>
      </c>
      <c r="B10316" s="43" t="s">
        <v>823</v>
      </c>
      <c r="C10316" s="26" t="s">
        <v>940</v>
      </c>
      <c r="D10316" s="26" t="s">
        <v>3663</v>
      </c>
      <c r="E10316" s="28">
        <v>46123.0</v>
      </c>
      <c r="F10316" s="28">
        <v>46171.0</v>
      </c>
      <c r="G10316" s="29"/>
    </row>
    <row r="10317" ht="15.75" customHeight="1">
      <c r="A10317" s="33" t="s">
        <v>13994</v>
      </c>
      <c r="B10317" s="42" t="s">
        <v>103</v>
      </c>
      <c r="C10317" s="30" t="s">
        <v>940</v>
      </c>
      <c r="D10317" s="30" t="s">
        <v>3663</v>
      </c>
      <c r="E10317" s="32">
        <v>46123.0</v>
      </c>
      <c r="F10317" s="32">
        <v>46171.0</v>
      </c>
      <c r="G10317" s="33"/>
    </row>
    <row r="10318" ht="15.75" customHeight="1">
      <c r="A10318" s="29" t="s">
        <v>13995</v>
      </c>
      <c r="B10318" s="43" t="s">
        <v>108</v>
      </c>
      <c r="C10318" s="26" t="s">
        <v>940</v>
      </c>
      <c r="D10318" s="26" t="s">
        <v>3663</v>
      </c>
      <c r="E10318" s="28">
        <v>46123.0</v>
      </c>
      <c r="F10318" s="28">
        <v>46171.0</v>
      </c>
      <c r="G10318" s="29"/>
    </row>
    <row r="10319" ht="15.75" customHeight="1">
      <c r="A10319" s="33" t="s">
        <v>13996</v>
      </c>
      <c r="B10319" s="42" t="s">
        <v>210</v>
      </c>
      <c r="C10319" s="30" t="s">
        <v>940</v>
      </c>
      <c r="D10319" s="30" t="s">
        <v>3663</v>
      </c>
      <c r="E10319" s="32">
        <v>46123.0</v>
      </c>
      <c r="F10319" s="32">
        <v>46171.0</v>
      </c>
      <c r="G10319" s="33"/>
    </row>
    <row r="10320" ht="15.75" customHeight="1">
      <c r="A10320" s="29" t="s">
        <v>13997</v>
      </c>
      <c r="B10320" s="43" t="s">
        <v>219</v>
      </c>
      <c r="C10320" s="26" t="s">
        <v>940</v>
      </c>
      <c r="D10320" s="26" t="s">
        <v>3663</v>
      </c>
      <c r="E10320" s="28">
        <v>46123.0</v>
      </c>
      <c r="F10320" s="28">
        <v>46171.0</v>
      </c>
      <c r="G10320" s="29"/>
    </row>
    <row r="10321" ht="15.75" customHeight="1">
      <c r="A10321" s="33" t="s">
        <v>13998</v>
      </c>
      <c r="B10321" s="42" t="s">
        <v>230</v>
      </c>
      <c r="C10321" s="30" t="s">
        <v>940</v>
      </c>
      <c r="D10321" s="30" t="s">
        <v>3663</v>
      </c>
      <c r="E10321" s="32">
        <v>46123.0</v>
      </c>
      <c r="F10321" s="32">
        <v>46171.0</v>
      </c>
      <c r="G10321" s="33"/>
    </row>
    <row r="10322" ht="15.75" customHeight="1">
      <c r="A10322" s="29" t="s">
        <v>13999</v>
      </c>
      <c r="B10322" s="43" t="s">
        <v>259</v>
      </c>
      <c r="C10322" s="26" t="s">
        <v>940</v>
      </c>
      <c r="D10322" s="26" t="s">
        <v>3663</v>
      </c>
      <c r="E10322" s="28">
        <v>46123.0</v>
      </c>
      <c r="F10322" s="28">
        <v>46171.0</v>
      </c>
      <c r="G10322" s="29"/>
    </row>
    <row r="10323" ht="15.75" customHeight="1">
      <c r="A10323" s="33" t="s">
        <v>14000</v>
      </c>
      <c r="B10323" s="42" t="s">
        <v>2365</v>
      </c>
      <c r="C10323" s="30" t="s">
        <v>940</v>
      </c>
      <c r="D10323" s="30" t="s">
        <v>3663</v>
      </c>
      <c r="E10323" s="32">
        <v>46123.0</v>
      </c>
      <c r="F10323" s="32">
        <v>46171.0</v>
      </c>
      <c r="G10323" s="33"/>
    </row>
    <row r="10324" ht="15.75" customHeight="1">
      <c r="A10324" s="29" t="s">
        <v>14001</v>
      </c>
      <c r="B10324" s="43" t="s">
        <v>279</v>
      </c>
      <c r="C10324" s="26" t="s">
        <v>940</v>
      </c>
      <c r="D10324" s="26" t="s">
        <v>3663</v>
      </c>
      <c r="E10324" s="28">
        <v>46123.0</v>
      </c>
      <c r="F10324" s="28">
        <v>46171.0</v>
      </c>
      <c r="G10324" s="29"/>
    </row>
    <row r="10325" ht="15.75" customHeight="1">
      <c r="A10325" s="33" t="s">
        <v>14002</v>
      </c>
      <c r="B10325" s="42" t="s">
        <v>280</v>
      </c>
      <c r="C10325" s="30" t="s">
        <v>940</v>
      </c>
      <c r="D10325" s="30" t="s">
        <v>3663</v>
      </c>
      <c r="E10325" s="32">
        <v>46123.0</v>
      </c>
      <c r="F10325" s="32">
        <v>46171.0</v>
      </c>
      <c r="G10325" s="33"/>
    </row>
    <row r="10326" ht="15.75" customHeight="1">
      <c r="A10326" s="29" t="s">
        <v>14003</v>
      </c>
      <c r="B10326" s="43" t="s">
        <v>303</v>
      </c>
      <c r="C10326" s="26" t="s">
        <v>940</v>
      </c>
      <c r="D10326" s="26" t="s">
        <v>3663</v>
      </c>
      <c r="E10326" s="28">
        <v>46123.0</v>
      </c>
      <c r="F10326" s="28">
        <v>46171.0</v>
      </c>
      <c r="G10326" s="29"/>
    </row>
    <row r="10327" ht="15.75" customHeight="1">
      <c r="A10327" s="33" t="s">
        <v>14004</v>
      </c>
      <c r="B10327" s="42" t="s">
        <v>310</v>
      </c>
      <c r="C10327" s="30" t="s">
        <v>940</v>
      </c>
      <c r="D10327" s="30" t="s">
        <v>3663</v>
      </c>
      <c r="E10327" s="32">
        <v>46123.0</v>
      </c>
      <c r="F10327" s="32">
        <v>46171.0</v>
      </c>
      <c r="G10327" s="33"/>
    </row>
    <row r="10328" ht="15.75" customHeight="1">
      <c r="A10328" s="29" t="s">
        <v>14005</v>
      </c>
      <c r="B10328" s="43" t="s">
        <v>312</v>
      </c>
      <c r="C10328" s="26" t="s">
        <v>940</v>
      </c>
      <c r="D10328" s="26" t="s">
        <v>3663</v>
      </c>
      <c r="E10328" s="28">
        <v>46123.0</v>
      </c>
      <c r="F10328" s="28">
        <v>46171.0</v>
      </c>
      <c r="G10328" s="29"/>
    </row>
    <row r="10329" ht="15.75" customHeight="1">
      <c r="A10329" s="33" t="s">
        <v>14006</v>
      </c>
      <c r="B10329" s="42" t="s">
        <v>313</v>
      </c>
      <c r="C10329" s="30" t="s">
        <v>940</v>
      </c>
      <c r="D10329" s="30" t="s">
        <v>3663</v>
      </c>
      <c r="E10329" s="32">
        <v>46123.0</v>
      </c>
      <c r="F10329" s="32">
        <v>46171.0</v>
      </c>
      <c r="G10329" s="33"/>
    </row>
    <row r="10330" ht="15.75" customHeight="1">
      <c r="A10330" s="29" t="s">
        <v>14007</v>
      </c>
      <c r="B10330" s="43" t="s">
        <v>323</v>
      </c>
      <c r="C10330" s="26" t="s">
        <v>940</v>
      </c>
      <c r="D10330" s="26" t="s">
        <v>3663</v>
      </c>
      <c r="E10330" s="28">
        <v>46123.0</v>
      </c>
      <c r="F10330" s="28">
        <v>46171.0</v>
      </c>
      <c r="G10330" s="29"/>
    </row>
    <row r="10331" ht="15.75" customHeight="1">
      <c r="A10331" s="33" t="s">
        <v>14008</v>
      </c>
      <c r="B10331" s="42" t="s">
        <v>335</v>
      </c>
      <c r="C10331" s="30" t="s">
        <v>940</v>
      </c>
      <c r="D10331" s="30" t="s">
        <v>3663</v>
      </c>
      <c r="E10331" s="32">
        <v>46123.0</v>
      </c>
      <c r="F10331" s="32">
        <v>46171.0</v>
      </c>
      <c r="G10331" s="33"/>
    </row>
    <row r="10332" ht="15.75" customHeight="1">
      <c r="A10332" s="29" t="s">
        <v>14009</v>
      </c>
      <c r="B10332" s="43" t="s">
        <v>348</v>
      </c>
      <c r="C10332" s="26" t="s">
        <v>940</v>
      </c>
      <c r="D10332" s="26" t="s">
        <v>3663</v>
      </c>
      <c r="E10332" s="28">
        <v>46123.0</v>
      </c>
      <c r="F10332" s="28">
        <v>46171.0</v>
      </c>
      <c r="G10332" s="29"/>
    </row>
    <row r="10333" ht="15.75" customHeight="1">
      <c r="A10333" s="33" t="s">
        <v>14010</v>
      </c>
      <c r="B10333" s="42" t="s">
        <v>385</v>
      </c>
      <c r="C10333" s="30" t="s">
        <v>940</v>
      </c>
      <c r="D10333" s="30" t="s">
        <v>3663</v>
      </c>
      <c r="E10333" s="32">
        <v>46123.0</v>
      </c>
      <c r="F10333" s="32">
        <v>46171.0</v>
      </c>
      <c r="G10333" s="33"/>
    </row>
    <row r="10334" ht="15.75" customHeight="1">
      <c r="A10334" s="29" t="s">
        <v>14011</v>
      </c>
      <c r="B10334" s="43" t="s">
        <v>393</v>
      </c>
      <c r="C10334" s="26" t="s">
        <v>940</v>
      </c>
      <c r="D10334" s="26" t="s">
        <v>3663</v>
      </c>
      <c r="E10334" s="28">
        <v>46123.0</v>
      </c>
      <c r="F10334" s="28">
        <v>46171.0</v>
      </c>
      <c r="G10334" s="29"/>
    </row>
    <row r="10335" ht="15.75" customHeight="1">
      <c r="A10335" s="33" t="s">
        <v>14012</v>
      </c>
      <c r="B10335" s="42" t="s">
        <v>425</v>
      </c>
      <c r="C10335" s="30" t="s">
        <v>940</v>
      </c>
      <c r="D10335" s="30" t="s">
        <v>3663</v>
      </c>
      <c r="E10335" s="32">
        <v>46123.0</v>
      </c>
      <c r="F10335" s="32">
        <v>46171.0</v>
      </c>
      <c r="G10335" s="33"/>
    </row>
    <row r="10336" ht="15.75" customHeight="1">
      <c r="A10336" s="29" t="s">
        <v>14013</v>
      </c>
      <c r="B10336" s="43" t="s">
        <v>434</v>
      </c>
      <c r="C10336" s="26" t="s">
        <v>940</v>
      </c>
      <c r="D10336" s="26" t="s">
        <v>3663</v>
      </c>
      <c r="E10336" s="28">
        <v>46123.0</v>
      </c>
      <c r="F10336" s="28">
        <v>46171.0</v>
      </c>
      <c r="G10336" s="29"/>
    </row>
    <row r="10337" ht="15.75" customHeight="1">
      <c r="A10337" s="33" t="s">
        <v>14014</v>
      </c>
      <c r="B10337" s="42" t="s">
        <v>470</v>
      </c>
      <c r="C10337" s="30" t="s">
        <v>940</v>
      </c>
      <c r="D10337" s="30" t="s">
        <v>3663</v>
      </c>
      <c r="E10337" s="32">
        <v>46123.0</v>
      </c>
      <c r="F10337" s="32">
        <v>46171.0</v>
      </c>
      <c r="G10337" s="33"/>
    </row>
    <row r="10338" ht="15.75" customHeight="1">
      <c r="A10338" s="29" t="s">
        <v>14015</v>
      </c>
      <c r="B10338" s="43" t="s">
        <v>478</v>
      </c>
      <c r="C10338" s="26" t="s">
        <v>940</v>
      </c>
      <c r="D10338" s="26" t="s">
        <v>3663</v>
      </c>
      <c r="E10338" s="28">
        <v>46123.0</v>
      </c>
      <c r="F10338" s="28">
        <v>46171.0</v>
      </c>
      <c r="G10338" s="29"/>
    </row>
    <row r="10339" ht="15.75" customHeight="1">
      <c r="A10339" s="33" t="s">
        <v>14016</v>
      </c>
      <c r="B10339" s="42" t="s">
        <v>487</v>
      </c>
      <c r="C10339" s="30" t="s">
        <v>940</v>
      </c>
      <c r="D10339" s="30" t="s">
        <v>3663</v>
      </c>
      <c r="E10339" s="32">
        <v>46123.0</v>
      </c>
      <c r="F10339" s="32">
        <v>46171.0</v>
      </c>
      <c r="G10339" s="33"/>
    </row>
    <row r="10340" ht="15.75" customHeight="1">
      <c r="A10340" s="29" t="s">
        <v>14017</v>
      </c>
      <c r="B10340" s="43" t="s">
        <v>490</v>
      </c>
      <c r="C10340" s="26" t="s">
        <v>940</v>
      </c>
      <c r="D10340" s="26" t="s">
        <v>3663</v>
      </c>
      <c r="E10340" s="28">
        <v>46123.0</v>
      </c>
      <c r="F10340" s="28">
        <v>46171.0</v>
      </c>
      <c r="G10340" s="29"/>
    </row>
    <row r="10341" ht="15.75" customHeight="1">
      <c r="A10341" s="33" t="s">
        <v>14018</v>
      </c>
      <c r="B10341" s="42" t="s">
        <v>494</v>
      </c>
      <c r="C10341" s="30" t="s">
        <v>940</v>
      </c>
      <c r="D10341" s="30" t="s">
        <v>3663</v>
      </c>
      <c r="E10341" s="32">
        <v>46123.0</v>
      </c>
      <c r="F10341" s="32">
        <v>46171.0</v>
      </c>
      <c r="G10341" s="33"/>
    </row>
    <row r="10342" ht="15.75" customHeight="1">
      <c r="A10342" s="29" t="s">
        <v>14019</v>
      </c>
      <c r="B10342" s="43" t="s">
        <v>503</v>
      </c>
      <c r="C10342" s="26" t="s">
        <v>940</v>
      </c>
      <c r="D10342" s="26" t="s">
        <v>3663</v>
      </c>
      <c r="E10342" s="28">
        <v>46123.0</v>
      </c>
      <c r="F10342" s="28">
        <v>46171.0</v>
      </c>
      <c r="G10342" s="29"/>
    </row>
    <row r="10343" ht="15.75" customHeight="1">
      <c r="A10343" s="33" t="s">
        <v>14020</v>
      </c>
      <c r="B10343" s="42" t="s">
        <v>508</v>
      </c>
      <c r="C10343" s="30" t="s">
        <v>940</v>
      </c>
      <c r="D10343" s="30" t="s">
        <v>3663</v>
      </c>
      <c r="E10343" s="32">
        <v>46123.0</v>
      </c>
      <c r="F10343" s="32">
        <v>46171.0</v>
      </c>
      <c r="G10343" s="33"/>
    </row>
    <row r="10344" ht="15.75" customHeight="1">
      <c r="A10344" s="29" t="s">
        <v>14021</v>
      </c>
      <c r="B10344" s="43" t="s">
        <v>512</v>
      </c>
      <c r="C10344" s="26" t="s">
        <v>940</v>
      </c>
      <c r="D10344" s="26" t="s">
        <v>3663</v>
      </c>
      <c r="E10344" s="28">
        <v>46123.0</v>
      </c>
      <c r="F10344" s="28">
        <v>46171.0</v>
      </c>
      <c r="G10344" s="29"/>
    </row>
    <row r="10345" ht="15.75" customHeight="1">
      <c r="A10345" s="33" t="s">
        <v>14022</v>
      </c>
      <c r="B10345" s="42" t="s">
        <v>525</v>
      </c>
      <c r="C10345" s="30" t="s">
        <v>940</v>
      </c>
      <c r="D10345" s="30" t="s">
        <v>3663</v>
      </c>
      <c r="E10345" s="32">
        <v>46123.0</v>
      </c>
      <c r="F10345" s="32">
        <v>46171.0</v>
      </c>
      <c r="G10345" s="33"/>
    </row>
    <row r="10346" ht="15.75" customHeight="1">
      <c r="A10346" s="29" t="s">
        <v>14023</v>
      </c>
      <c r="B10346" s="43" t="s">
        <v>577</v>
      </c>
      <c r="C10346" s="26" t="s">
        <v>940</v>
      </c>
      <c r="D10346" s="26" t="s">
        <v>3663</v>
      </c>
      <c r="E10346" s="28">
        <v>46123.0</v>
      </c>
      <c r="F10346" s="28">
        <v>46171.0</v>
      </c>
      <c r="G10346" s="29"/>
    </row>
    <row r="10347" ht="15.75" customHeight="1">
      <c r="A10347" s="33" t="s">
        <v>14024</v>
      </c>
      <c r="B10347" s="42" t="s">
        <v>648</v>
      </c>
      <c r="C10347" s="30" t="s">
        <v>940</v>
      </c>
      <c r="D10347" s="30" t="s">
        <v>3663</v>
      </c>
      <c r="E10347" s="32">
        <v>46123.0</v>
      </c>
      <c r="F10347" s="32">
        <v>46171.0</v>
      </c>
      <c r="G10347" s="33"/>
    </row>
    <row r="10348" ht="15.75" customHeight="1">
      <c r="A10348" s="29" t="s">
        <v>14025</v>
      </c>
      <c r="B10348" s="43" t="s">
        <v>667</v>
      </c>
      <c r="C10348" s="26" t="s">
        <v>940</v>
      </c>
      <c r="D10348" s="26" t="s">
        <v>3663</v>
      </c>
      <c r="E10348" s="28">
        <v>46123.0</v>
      </c>
      <c r="F10348" s="28">
        <v>46171.0</v>
      </c>
      <c r="G10348" s="29"/>
    </row>
    <row r="10349" ht="15.75" customHeight="1">
      <c r="A10349" s="33" t="s">
        <v>14026</v>
      </c>
      <c r="B10349" s="42" t="s">
        <v>682</v>
      </c>
      <c r="C10349" s="30" t="s">
        <v>940</v>
      </c>
      <c r="D10349" s="30" t="s">
        <v>3663</v>
      </c>
      <c r="E10349" s="32">
        <v>46123.0</v>
      </c>
      <c r="F10349" s="32">
        <v>46171.0</v>
      </c>
      <c r="G10349" s="33"/>
    </row>
    <row r="10350" ht="15.75" customHeight="1">
      <c r="A10350" s="29" t="s">
        <v>14027</v>
      </c>
      <c r="B10350" s="43" t="s">
        <v>683</v>
      </c>
      <c r="C10350" s="26" t="s">
        <v>940</v>
      </c>
      <c r="D10350" s="26" t="s">
        <v>3663</v>
      </c>
      <c r="E10350" s="28">
        <v>46123.0</v>
      </c>
      <c r="F10350" s="28">
        <v>46171.0</v>
      </c>
      <c r="G10350" s="29"/>
    </row>
    <row r="10351" ht="15.75" customHeight="1">
      <c r="A10351" s="33" t="s">
        <v>14028</v>
      </c>
      <c r="B10351" s="42" t="s">
        <v>684</v>
      </c>
      <c r="C10351" s="30" t="s">
        <v>940</v>
      </c>
      <c r="D10351" s="30" t="s">
        <v>3663</v>
      </c>
      <c r="E10351" s="32">
        <v>46123.0</v>
      </c>
      <c r="F10351" s="32">
        <v>46171.0</v>
      </c>
      <c r="G10351" s="33"/>
    </row>
    <row r="10352" ht="15.75" customHeight="1">
      <c r="A10352" s="29" t="s">
        <v>14029</v>
      </c>
      <c r="B10352" s="43" t="s">
        <v>717</v>
      </c>
      <c r="C10352" s="26" t="s">
        <v>940</v>
      </c>
      <c r="D10352" s="26" t="s">
        <v>3663</v>
      </c>
      <c r="E10352" s="28">
        <v>46123.0</v>
      </c>
      <c r="F10352" s="28">
        <v>46171.0</v>
      </c>
      <c r="G10352" s="29"/>
    </row>
    <row r="10353" ht="15.75" customHeight="1">
      <c r="A10353" s="33" t="s">
        <v>14030</v>
      </c>
      <c r="B10353" s="42" t="s">
        <v>720</v>
      </c>
      <c r="C10353" s="30" t="s">
        <v>940</v>
      </c>
      <c r="D10353" s="30" t="s">
        <v>3663</v>
      </c>
      <c r="E10353" s="32">
        <v>46123.0</v>
      </c>
      <c r="F10353" s="32">
        <v>46171.0</v>
      </c>
      <c r="G10353" s="33"/>
    </row>
    <row r="10354" ht="15.75" customHeight="1">
      <c r="A10354" s="29" t="s">
        <v>14031</v>
      </c>
      <c r="B10354" s="43" t="s">
        <v>722</v>
      </c>
      <c r="C10354" s="26" t="s">
        <v>940</v>
      </c>
      <c r="D10354" s="26" t="s">
        <v>3663</v>
      </c>
      <c r="E10354" s="28">
        <v>46123.0</v>
      </c>
      <c r="F10354" s="28">
        <v>46171.0</v>
      </c>
      <c r="G10354" s="29"/>
    </row>
    <row r="10355" ht="15.75" customHeight="1">
      <c r="A10355" s="33" t="s">
        <v>14032</v>
      </c>
      <c r="B10355" s="42" t="s">
        <v>733</v>
      </c>
      <c r="C10355" s="30" t="s">
        <v>940</v>
      </c>
      <c r="D10355" s="30" t="s">
        <v>3663</v>
      </c>
      <c r="E10355" s="32">
        <v>46123.0</v>
      </c>
      <c r="F10355" s="32">
        <v>46171.0</v>
      </c>
      <c r="G10355" s="33"/>
    </row>
    <row r="10356" ht="15.75" customHeight="1">
      <c r="A10356" s="29" t="s">
        <v>14033</v>
      </c>
      <c r="B10356" s="43" t="s">
        <v>765</v>
      </c>
      <c r="C10356" s="26" t="s">
        <v>940</v>
      </c>
      <c r="D10356" s="26" t="s">
        <v>3663</v>
      </c>
      <c r="E10356" s="28">
        <v>46123.0</v>
      </c>
      <c r="F10356" s="28">
        <v>46171.0</v>
      </c>
      <c r="G10356" s="29"/>
    </row>
    <row r="10357" ht="15.75" customHeight="1">
      <c r="A10357" s="33" t="s">
        <v>14034</v>
      </c>
      <c r="B10357" s="42" t="s">
        <v>779</v>
      </c>
      <c r="C10357" s="30" t="s">
        <v>940</v>
      </c>
      <c r="D10357" s="30" t="s">
        <v>3663</v>
      </c>
      <c r="E10357" s="32">
        <v>46123.0</v>
      </c>
      <c r="F10357" s="32">
        <v>46171.0</v>
      </c>
      <c r="G10357" s="33"/>
    </row>
    <row r="10358" ht="15.75" customHeight="1">
      <c r="A10358" s="29" t="s">
        <v>14035</v>
      </c>
      <c r="B10358" s="43" t="s">
        <v>797</v>
      </c>
      <c r="C10358" s="26" t="s">
        <v>940</v>
      </c>
      <c r="D10358" s="26" t="s">
        <v>3663</v>
      </c>
      <c r="E10358" s="28">
        <v>46123.0</v>
      </c>
      <c r="F10358" s="28">
        <v>46171.0</v>
      </c>
      <c r="G10358" s="29"/>
    </row>
    <row r="10359" ht="15.75" customHeight="1">
      <c r="A10359" s="33" t="s">
        <v>14036</v>
      </c>
      <c r="B10359" s="42" t="s">
        <v>12965</v>
      </c>
      <c r="C10359" s="30" t="s">
        <v>940</v>
      </c>
      <c r="D10359" s="30" t="s">
        <v>3663</v>
      </c>
      <c r="E10359" s="32">
        <v>46123.0</v>
      </c>
      <c r="F10359" s="32">
        <v>46171.0</v>
      </c>
      <c r="G10359" s="33"/>
    </row>
    <row r="10360" ht="15.75" customHeight="1">
      <c r="A10360" s="29" t="s">
        <v>14037</v>
      </c>
      <c r="B10360" s="43" t="s">
        <v>160</v>
      </c>
      <c r="C10360" s="26" t="s">
        <v>940</v>
      </c>
      <c r="D10360" s="26" t="s">
        <v>3663</v>
      </c>
      <c r="E10360" s="28">
        <v>46123.0</v>
      </c>
      <c r="F10360" s="28">
        <v>46171.0</v>
      </c>
      <c r="G10360" s="29"/>
    </row>
    <row r="10361" ht="15.75" customHeight="1">
      <c r="A10361" s="33" t="s">
        <v>14038</v>
      </c>
      <c r="B10361" s="42" t="s">
        <v>202</v>
      </c>
      <c r="C10361" s="30" t="s">
        <v>940</v>
      </c>
      <c r="D10361" s="30" t="s">
        <v>3663</v>
      </c>
      <c r="E10361" s="32">
        <v>46123.0</v>
      </c>
      <c r="F10361" s="32">
        <v>46171.0</v>
      </c>
      <c r="G10361" s="33"/>
    </row>
    <row r="10362" ht="15.75" customHeight="1">
      <c r="A10362" s="29" t="s">
        <v>14039</v>
      </c>
      <c r="B10362" s="43" t="s">
        <v>203</v>
      </c>
      <c r="C10362" s="26" t="s">
        <v>940</v>
      </c>
      <c r="D10362" s="26" t="s">
        <v>3663</v>
      </c>
      <c r="E10362" s="28">
        <v>46123.0</v>
      </c>
      <c r="F10362" s="28">
        <v>46171.0</v>
      </c>
      <c r="G10362" s="29"/>
    </row>
    <row r="10363" ht="15.75" customHeight="1">
      <c r="A10363" s="33" t="s">
        <v>14040</v>
      </c>
      <c r="B10363" s="42" t="s">
        <v>223</v>
      </c>
      <c r="C10363" s="30" t="s">
        <v>940</v>
      </c>
      <c r="D10363" s="30" t="s">
        <v>3663</v>
      </c>
      <c r="E10363" s="32">
        <v>46123.0</v>
      </c>
      <c r="F10363" s="32">
        <v>46171.0</v>
      </c>
      <c r="G10363" s="33"/>
    </row>
    <row r="10364" ht="15.75" customHeight="1">
      <c r="A10364" s="29" t="s">
        <v>14041</v>
      </c>
      <c r="B10364" s="43" t="s">
        <v>236</v>
      </c>
      <c r="C10364" s="26" t="s">
        <v>940</v>
      </c>
      <c r="D10364" s="26" t="s">
        <v>3663</v>
      </c>
      <c r="E10364" s="28">
        <v>46123.0</v>
      </c>
      <c r="F10364" s="28">
        <v>46171.0</v>
      </c>
      <c r="G10364" s="29"/>
    </row>
    <row r="10365" ht="15.75" customHeight="1">
      <c r="A10365" s="33" t="s">
        <v>14042</v>
      </c>
      <c r="B10365" s="42" t="s">
        <v>243</v>
      </c>
      <c r="C10365" s="30" t="s">
        <v>940</v>
      </c>
      <c r="D10365" s="30" t="s">
        <v>3663</v>
      </c>
      <c r="E10365" s="32">
        <v>46123.0</v>
      </c>
      <c r="F10365" s="32">
        <v>46171.0</v>
      </c>
      <c r="G10365" s="33"/>
    </row>
    <row r="10366" ht="15.75" customHeight="1">
      <c r="A10366" s="29" t="s">
        <v>14043</v>
      </c>
      <c r="B10366" s="43" t="s">
        <v>258</v>
      </c>
      <c r="C10366" s="26" t="s">
        <v>940</v>
      </c>
      <c r="D10366" s="26" t="s">
        <v>3663</v>
      </c>
      <c r="E10366" s="28">
        <v>46123.0</v>
      </c>
      <c r="F10366" s="28">
        <v>46171.0</v>
      </c>
      <c r="G10366" s="29"/>
    </row>
    <row r="10367" ht="15.75" customHeight="1">
      <c r="A10367" s="33" t="s">
        <v>14044</v>
      </c>
      <c r="B10367" s="42" t="s">
        <v>330</v>
      </c>
      <c r="C10367" s="30" t="s">
        <v>940</v>
      </c>
      <c r="D10367" s="30" t="s">
        <v>3663</v>
      </c>
      <c r="E10367" s="32">
        <v>46123.0</v>
      </c>
      <c r="F10367" s="32">
        <v>46171.0</v>
      </c>
      <c r="G10367" s="33"/>
    </row>
    <row r="10368" ht="15.75" customHeight="1">
      <c r="A10368" s="29" t="s">
        <v>14045</v>
      </c>
      <c r="B10368" s="43" t="s">
        <v>367</v>
      </c>
      <c r="C10368" s="26" t="s">
        <v>940</v>
      </c>
      <c r="D10368" s="26" t="s">
        <v>3663</v>
      </c>
      <c r="E10368" s="28">
        <v>46123.0</v>
      </c>
      <c r="F10368" s="28">
        <v>46171.0</v>
      </c>
      <c r="G10368" s="29"/>
    </row>
    <row r="10369" ht="15.75" customHeight="1">
      <c r="A10369" s="33" t="s">
        <v>14046</v>
      </c>
      <c r="B10369" s="42" t="s">
        <v>391</v>
      </c>
      <c r="C10369" s="30" t="s">
        <v>940</v>
      </c>
      <c r="D10369" s="30" t="s">
        <v>3663</v>
      </c>
      <c r="E10369" s="32">
        <v>46123.0</v>
      </c>
      <c r="F10369" s="32">
        <v>46171.0</v>
      </c>
      <c r="G10369" s="33"/>
    </row>
    <row r="10370" ht="15.75" customHeight="1">
      <c r="A10370" s="29" t="s">
        <v>14047</v>
      </c>
      <c r="B10370" s="43" t="s">
        <v>406</v>
      </c>
      <c r="C10370" s="26" t="s">
        <v>940</v>
      </c>
      <c r="D10370" s="26" t="s">
        <v>3663</v>
      </c>
      <c r="E10370" s="28">
        <v>46123.0</v>
      </c>
      <c r="F10370" s="28">
        <v>46171.0</v>
      </c>
      <c r="G10370" s="29"/>
    </row>
    <row r="10371" ht="15.75" customHeight="1">
      <c r="A10371" s="33" t="s">
        <v>14048</v>
      </c>
      <c r="B10371" s="42" t="s">
        <v>413</v>
      </c>
      <c r="C10371" s="30" t="s">
        <v>940</v>
      </c>
      <c r="D10371" s="30" t="s">
        <v>3663</v>
      </c>
      <c r="E10371" s="32">
        <v>46123.0</v>
      </c>
      <c r="F10371" s="32">
        <v>46171.0</v>
      </c>
      <c r="G10371" s="33"/>
    </row>
    <row r="10372" ht="15.75" customHeight="1">
      <c r="A10372" s="29" t="s">
        <v>14049</v>
      </c>
      <c r="B10372" s="43" t="s">
        <v>423</v>
      </c>
      <c r="C10372" s="26" t="s">
        <v>940</v>
      </c>
      <c r="D10372" s="26" t="s">
        <v>3663</v>
      </c>
      <c r="E10372" s="28">
        <v>46123.0</v>
      </c>
      <c r="F10372" s="28">
        <v>46171.0</v>
      </c>
      <c r="G10372" s="29"/>
    </row>
    <row r="10373" ht="15.75" customHeight="1">
      <c r="A10373" s="33" t="s">
        <v>14050</v>
      </c>
      <c r="B10373" s="42" t="s">
        <v>426</v>
      </c>
      <c r="C10373" s="30" t="s">
        <v>940</v>
      </c>
      <c r="D10373" s="30" t="s">
        <v>3663</v>
      </c>
      <c r="E10373" s="32">
        <v>46123.0</v>
      </c>
      <c r="F10373" s="32">
        <v>46171.0</v>
      </c>
      <c r="G10373" s="33"/>
    </row>
    <row r="10374" ht="15.75" customHeight="1">
      <c r="A10374" s="29" t="s">
        <v>14051</v>
      </c>
      <c r="B10374" s="43" t="s">
        <v>463</v>
      </c>
      <c r="C10374" s="26" t="s">
        <v>940</v>
      </c>
      <c r="D10374" s="26" t="s">
        <v>3663</v>
      </c>
      <c r="E10374" s="28">
        <v>46123.0</v>
      </c>
      <c r="F10374" s="28">
        <v>46171.0</v>
      </c>
      <c r="G10374" s="29"/>
    </row>
    <row r="10375" ht="15.75" customHeight="1">
      <c r="A10375" s="33" t="s">
        <v>14052</v>
      </c>
      <c r="B10375" s="42" t="s">
        <v>500</v>
      </c>
      <c r="C10375" s="30" t="s">
        <v>940</v>
      </c>
      <c r="D10375" s="30" t="s">
        <v>3663</v>
      </c>
      <c r="E10375" s="32">
        <v>46123.0</v>
      </c>
      <c r="F10375" s="32">
        <v>46171.0</v>
      </c>
      <c r="G10375" s="33"/>
    </row>
    <row r="10376" ht="15.75" customHeight="1">
      <c r="A10376" s="29" t="s">
        <v>14053</v>
      </c>
      <c r="B10376" s="43" t="s">
        <v>521</v>
      </c>
      <c r="C10376" s="26" t="s">
        <v>940</v>
      </c>
      <c r="D10376" s="26" t="s">
        <v>3663</v>
      </c>
      <c r="E10376" s="28">
        <v>46123.0</v>
      </c>
      <c r="F10376" s="28">
        <v>46171.0</v>
      </c>
      <c r="G10376" s="29"/>
    </row>
    <row r="10377" ht="15.75" customHeight="1">
      <c r="A10377" s="33" t="s">
        <v>14054</v>
      </c>
      <c r="B10377" s="42" t="s">
        <v>576</v>
      </c>
      <c r="C10377" s="30" t="s">
        <v>940</v>
      </c>
      <c r="D10377" s="30" t="s">
        <v>3663</v>
      </c>
      <c r="E10377" s="32">
        <v>46123.0</v>
      </c>
      <c r="F10377" s="32">
        <v>46171.0</v>
      </c>
      <c r="G10377" s="33"/>
    </row>
    <row r="10378" ht="15.75" customHeight="1">
      <c r="A10378" s="29" t="s">
        <v>14055</v>
      </c>
      <c r="B10378" s="43" t="s">
        <v>1285</v>
      </c>
      <c r="C10378" s="26" t="s">
        <v>940</v>
      </c>
      <c r="D10378" s="26" t="s">
        <v>3663</v>
      </c>
      <c r="E10378" s="28">
        <v>46123.0</v>
      </c>
      <c r="F10378" s="28">
        <v>46171.0</v>
      </c>
      <c r="G10378" s="29"/>
    </row>
    <row r="10379" ht="15.75" customHeight="1">
      <c r="A10379" s="33" t="s">
        <v>14056</v>
      </c>
      <c r="B10379" s="42" t="s">
        <v>625</v>
      </c>
      <c r="C10379" s="30" t="s">
        <v>940</v>
      </c>
      <c r="D10379" s="30" t="s">
        <v>3663</v>
      </c>
      <c r="E10379" s="32">
        <v>46123.0</v>
      </c>
      <c r="F10379" s="32">
        <v>46171.0</v>
      </c>
      <c r="G10379" s="33"/>
    </row>
    <row r="10380" ht="15.75" customHeight="1">
      <c r="A10380" s="29" t="s">
        <v>14057</v>
      </c>
      <c r="B10380" s="43" t="s">
        <v>636</v>
      </c>
      <c r="C10380" s="26" t="s">
        <v>940</v>
      </c>
      <c r="D10380" s="26" t="s">
        <v>3663</v>
      </c>
      <c r="E10380" s="28">
        <v>46123.0</v>
      </c>
      <c r="F10380" s="28">
        <v>46171.0</v>
      </c>
      <c r="G10380" s="29"/>
    </row>
    <row r="10381" ht="15.75" customHeight="1">
      <c r="A10381" s="33" t="s">
        <v>14058</v>
      </c>
      <c r="B10381" s="42" t="s">
        <v>13400</v>
      </c>
      <c r="C10381" s="30" t="s">
        <v>940</v>
      </c>
      <c r="D10381" s="30" t="s">
        <v>3663</v>
      </c>
      <c r="E10381" s="32">
        <v>46123.0</v>
      </c>
      <c r="F10381" s="32">
        <v>46171.0</v>
      </c>
      <c r="G10381" s="33"/>
    </row>
    <row r="10382" ht="15.75" customHeight="1">
      <c r="A10382" s="29" t="s">
        <v>14059</v>
      </c>
      <c r="B10382" s="43" t="s">
        <v>679</v>
      </c>
      <c r="C10382" s="26" t="s">
        <v>940</v>
      </c>
      <c r="D10382" s="26" t="s">
        <v>3663</v>
      </c>
      <c r="E10382" s="28">
        <v>46123.0</v>
      </c>
      <c r="F10382" s="28">
        <v>46171.0</v>
      </c>
      <c r="G10382" s="29"/>
    </row>
    <row r="10383" ht="15.75" customHeight="1">
      <c r="A10383" s="33" t="s">
        <v>14060</v>
      </c>
      <c r="B10383" s="42" t="s">
        <v>1321</v>
      </c>
      <c r="C10383" s="30" t="s">
        <v>940</v>
      </c>
      <c r="D10383" s="30" t="s">
        <v>3663</v>
      </c>
      <c r="E10383" s="32">
        <v>46123.0</v>
      </c>
      <c r="F10383" s="32">
        <v>46171.0</v>
      </c>
      <c r="G10383" s="33"/>
    </row>
    <row r="10384" ht="15.75" customHeight="1">
      <c r="A10384" s="29" t="s">
        <v>14061</v>
      </c>
      <c r="B10384" s="43" t="s">
        <v>749</v>
      </c>
      <c r="C10384" s="26" t="s">
        <v>940</v>
      </c>
      <c r="D10384" s="26" t="s">
        <v>3663</v>
      </c>
      <c r="E10384" s="28">
        <v>46123.0</v>
      </c>
      <c r="F10384" s="28">
        <v>46171.0</v>
      </c>
      <c r="G10384" s="29"/>
    </row>
    <row r="10385" ht="15.75" customHeight="1">
      <c r="A10385" s="33" t="s">
        <v>14062</v>
      </c>
      <c r="B10385" s="42" t="s">
        <v>752</v>
      </c>
      <c r="C10385" s="30" t="s">
        <v>940</v>
      </c>
      <c r="D10385" s="30" t="s">
        <v>3663</v>
      </c>
      <c r="E10385" s="32">
        <v>46123.0</v>
      </c>
      <c r="F10385" s="32">
        <v>46171.0</v>
      </c>
      <c r="G10385" s="33"/>
    </row>
    <row r="10386" ht="15.75" customHeight="1">
      <c r="A10386" s="29" t="s">
        <v>14063</v>
      </c>
      <c r="B10386" s="43" t="s">
        <v>777</v>
      </c>
      <c r="C10386" s="26" t="s">
        <v>940</v>
      </c>
      <c r="D10386" s="26" t="s">
        <v>3663</v>
      </c>
      <c r="E10386" s="28">
        <v>46123.0</v>
      </c>
      <c r="F10386" s="28">
        <v>46171.0</v>
      </c>
      <c r="G10386" s="29"/>
    </row>
    <row r="10387" ht="15.75" customHeight="1">
      <c r="A10387" s="33" t="s">
        <v>14064</v>
      </c>
      <c r="B10387" s="42" t="s">
        <v>794</v>
      </c>
      <c r="C10387" s="30" t="s">
        <v>940</v>
      </c>
      <c r="D10387" s="30" t="s">
        <v>3663</v>
      </c>
      <c r="E10387" s="32">
        <v>46123.0</v>
      </c>
      <c r="F10387" s="32">
        <v>46171.0</v>
      </c>
      <c r="G10387" s="33"/>
    </row>
    <row r="10388" ht="15.75" customHeight="1">
      <c r="A10388" s="29" t="s">
        <v>14065</v>
      </c>
      <c r="B10388" s="43" t="s">
        <v>90</v>
      </c>
      <c r="C10388" s="26" t="s">
        <v>940</v>
      </c>
      <c r="D10388" s="26" t="s">
        <v>3663</v>
      </c>
      <c r="E10388" s="28">
        <v>46123.0</v>
      </c>
      <c r="F10388" s="28">
        <v>46171.0</v>
      </c>
      <c r="G10388" s="29"/>
    </row>
    <row r="10389" ht="15.75" customHeight="1">
      <c r="A10389" s="33" t="s">
        <v>14066</v>
      </c>
      <c r="B10389" s="42" t="s">
        <v>96</v>
      </c>
      <c r="C10389" s="30" t="s">
        <v>940</v>
      </c>
      <c r="D10389" s="30" t="s">
        <v>3663</v>
      </c>
      <c r="E10389" s="32">
        <v>46123.0</v>
      </c>
      <c r="F10389" s="32">
        <v>46171.0</v>
      </c>
      <c r="G10389" s="33"/>
    </row>
    <row r="10390" ht="15.75" customHeight="1">
      <c r="A10390" s="29" t="s">
        <v>14067</v>
      </c>
      <c r="B10390" s="43" t="s">
        <v>101</v>
      </c>
      <c r="C10390" s="26" t="s">
        <v>940</v>
      </c>
      <c r="D10390" s="26" t="s">
        <v>3663</v>
      </c>
      <c r="E10390" s="28">
        <v>46123.0</v>
      </c>
      <c r="F10390" s="28">
        <v>46171.0</v>
      </c>
      <c r="G10390" s="29"/>
    </row>
    <row r="10391" ht="15.75" customHeight="1">
      <c r="A10391" s="33" t="s">
        <v>14068</v>
      </c>
      <c r="B10391" s="42" t="s">
        <v>128</v>
      </c>
      <c r="C10391" s="30" t="s">
        <v>940</v>
      </c>
      <c r="D10391" s="30" t="s">
        <v>3663</v>
      </c>
      <c r="E10391" s="32">
        <v>46123.0</v>
      </c>
      <c r="F10391" s="32">
        <v>46171.0</v>
      </c>
      <c r="G10391" s="33"/>
    </row>
    <row r="10392" ht="15.75" customHeight="1">
      <c r="A10392" s="29" t="s">
        <v>14069</v>
      </c>
      <c r="B10392" s="43" t="s">
        <v>253</v>
      </c>
      <c r="C10392" s="26" t="s">
        <v>940</v>
      </c>
      <c r="D10392" s="26" t="s">
        <v>3663</v>
      </c>
      <c r="E10392" s="28">
        <v>46123.0</v>
      </c>
      <c r="F10392" s="28">
        <v>46171.0</v>
      </c>
      <c r="G10392" s="29"/>
    </row>
    <row r="10393" ht="15.75" customHeight="1">
      <c r="A10393" s="33" t="s">
        <v>14070</v>
      </c>
      <c r="B10393" s="42" t="s">
        <v>272</v>
      </c>
      <c r="C10393" s="30" t="s">
        <v>940</v>
      </c>
      <c r="D10393" s="30" t="s">
        <v>3663</v>
      </c>
      <c r="E10393" s="32">
        <v>46123.0</v>
      </c>
      <c r="F10393" s="32">
        <v>46171.0</v>
      </c>
      <c r="G10393" s="33"/>
    </row>
    <row r="10394" ht="15.75" customHeight="1">
      <c r="A10394" s="29" t="s">
        <v>14071</v>
      </c>
      <c r="B10394" s="43" t="s">
        <v>343</v>
      </c>
      <c r="C10394" s="26" t="s">
        <v>940</v>
      </c>
      <c r="D10394" s="26" t="s">
        <v>3663</v>
      </c>
      <c r="E10394" s="28">
        <v>46123.0</v>
      </c>
      <c r="F10394" s="28">
        <v>46171.0</v>
      </c>
      <c r="G10394" s="29"/>
    </row>
    <row r="10395" ht="15.75" customHeight="1">
      <c r="A10395" s="33" t="s">
        <v>14072</v>
      </c>
      <c r="B10395" s="42" t="s">
        <v>355</v>
      </c>
      <c r="C10395" s="30" t="s">
        <v>940</v>
      </c>
      <c r="D10395" s="30" t="s">
        <v>3663</v>
      </c>
      <c r="E10395" s="32">
        <v>46123.0</v>
      </c>
      <c r="F10395" s="32">
        <v>46171.0</v>
      </c>
      <c r="G10395" s="33"/>
    </row>
    <row r="10396" ht="15.75" customHeight="1">
      <c r="A10396" s="29" t="s">
        <v>14073</v>
      </c>
      <c r="B10396" s="43" t="s">
        <v>405</v>
      </c>
      <c r="C10396" s="26" t="s">
        <v>940</v>
      </c>
      <c r="D10396" s="26" t="s">
        <v>3663</v>
      </c>
      <c r="E10396" s="28">
        <v>46123.0</v>
      </c>
      <c r="F10396" s="28">
        <v>46171.0</v>
      </c>
      <c r="G10396" s="29"/>
    </row>
    <row r="10397" ht="15.75" customHeight="1">
      <c r="A10397" s="33" t="s">
        <v>14074</v>
      </c>
      <c r="B10397" s="42" t="s">
        <v>421</v>
      </c>
      <c r="C10397" s="30" t="s">
        <v>940</v>
      </c>
      <c r="D10397" s="30" t="s">
        <v>3663</v>
      </c>
      <c r="E10397" s="32">
        <v>46123.0</v>
      </c>
      <c r="F10397" s="32">
        <v>46171.0</v>
      </c>
      <c r="G10397" s="33"/>
    </row>
    <row r="10398" ht="15.75" customHeight="1">
      <c r="A10398" s="29" t="s">
        <v>14075</v>
      </c>
      <c r="B10398" s="43" t="s">
        <v>428</v>
      </c>
      <c r="C10398" s="26" t="s">
        <v>940</v>
      </c>
      <c r="D10398" s="26" t="s">
        <v>3663</v>
      </c>
      <c r="E10398" s="28">
        <v>46123.0</v>
      </c>
      <c r="F10398" s="28">
        <v>46171.0</v>
      </c>
      <c r="G10398" s="29"/>
    </row>
    <row r="10399" ht="15.75" customHeight="1">
      <c r="A10399" s="33" t="s">
        <v>14076</v>
      </c>
      <c r="B10399" s="42" t="s">
        <v>429</v>
      </c>
      <c r="C10399" s="30" t="s">
        <v>940</v>
      </c>
      <c r="D10399" s="30" t="s">
        <v>3663</v>
      </c>
      <c r="E10399" s="32">
        <v>46123.0</v>
      </c>
      <c r="F10399" s="32">
        <v>46171.0</v>
      </c>
      <c r="G10399" s="33"/>
    </row>
    <row r="10400" ht="15.75" customHeight="1">
      <c r="A10400" s="29" t="s">
        <v>14077</v>
      </c>
      <c r="B10400" s="43" t="s">
        <v>2535</v>
      </c>
      <c r="C10400" s="26" t="s">
        <v>940</v>
      </c>
      <c r="D10400" s="26" t="s">
        <v>3663</v>
      </c>
      <c r="E10400" s="28">
        <v>46123.0</v>
      </c>
      <c r="F10400" s="28">
        <v>46171.0</v>
      </c>
      <c r="G10400" s="29"/>
    </row>
    <row r="10401" ht="15.75" customHeight="1">
      <c r="A10401" s="33" t="s">
        <v>14078</v>
      </c>
      <c r="B10401" s="42" t="s">
        <v>474</v>
      </c>
      <c r="C10401" s="30" t="s">
        <v>940</v>
      </c>
      <c r="D10401" s="30" t="s">
        <v>3663</v>
      </c>
      <c r="E10401" s="32">
        <v>46123.0</v>
      </c>
      <c r="F10401" s="32">
        <v>46171.0</v>
      </c>
      <c r="G10401" s="33"/>
    </row>
    <row r="10402" ht="15.75" customHeight="1">
      <c r="A10402" s="29" t="s">
        <v>14079</v>
      </c>
      <c r="B10402" s="43" t="s">
        <v>530</v>
      </c>
      <c r="C10402" s="26" t="s">
        <v>940</v>
      </c>
      <c r="D10402" s="26" t="s">
        <v>3663</v>
      </c>
      <c r="E10402" s="28">
        <v>46123.0</v>
      </c>
      <c r="F10402" s="28">
        <v>46171.0</v>
      </c>
      <c r="G10402" s="29"/>
    </row>
    <row r="10403" ht="15.75" customHeight="1">
      <c r="A10403" s="33" t="s">
        <v>14080</v>
      </c>
      <c r="B10403" s="42" t="s">
        <v>1192</v>
      </c>
      <c r="C10403" s="30" t="s">
        <v>940</v>
      </c>
      <c r="D10403" s="30" t="s">
        <v>3663</v>
      </c>
      <c r="E10403" s="32">
        <v>46123.0</v>
      </c>
      <c r="F10403" s="32">
        <v>46171.0</v>
      </c>
      <c r="G10403" s="33"/>
    </row>
    <row r="10404" ht="15.75" customHeight="1">
      <c r="A10404" s="29" t="s">
        <v>14081</v>
      </c>
      <c r="B10404" s="43" t="s">
        <v>1161</v>
      </c>
      <c r="C10404" s="26" t="s">
        <v>940</v>
      </c>
      <c r="D10404" s="26" t="s">
        <v>3663</v>
      </c>
      <c r="E10404" s="28">
        <v>46123.0</v>
      </c>
      <c r="F10404" s="28">
        <v>46171.0</v>
      </c>
      <c r="G10404" s="29"/>
    </row>
    <row r="10405" ht="15.75" customHeight="1">
      <c r="A10405" s="33" t="s">
        <v>14082</v>
      </c>
      <c r="B10405" s="42" t="s">
        <v>546</v>
      </c>
      <c r="C10405" s="30" t="s">
        <v>940</v>
      </c>
      <c r="D10405" s="30" t="s">
        <v>3663</v>
      </c>
      <c r="E10405" s="32">
        <v>46123.0</v>
      </c>
      <c r="F10405" s="32">
        <v>46171.0</v>
      </c>
      <c r="G10405" s="33"/>
    </row>
    <row r="10406" ht="15.75" customHeight="1">
      <c r="A10406" s="29" t="s">
        <v>14083</v>
      </c>
      <c r="B10406" s="43" t="s">
        <v>554</v>
      </c>
      <c r="C10406" s="26" t="s">
        <v>940</v>
      </c>
      <c r="D10406" s="26" t="s">
        <v>3663</v>
      </c>
      <c r="E10406" s="28">
        <v>46123.0</v>
      </c>
      <c r="F10406" s="28">
        <v>46171.0</v>
      </c>
      <c r="G10406" s="29"/>
    </row>
    <row r="10407" ht="15.75" customHeight="1">
      <c r="A10407" s="33" t="s">
        <v>14084</v>
      </c>
      <c r="B10407" s="42" t="s">
        <v>556</v>
      </c>
      <c r="C10407" s="30" t="s">
        <v>940</v>
      </c>
      <c r="D10407" s="30" t="s">
        <v>3663</v>
      </c>
      <c r="E10407" s="32">
        <v>46123.0</v>
      </c>
      <c r="F10407" s="32">
        <v>46171.0</v>
      </c>
      <c r="G10407" s="33"/>
    </row>
    <row r="10408" ht="15.75" customHeight="1">
      <c r="A10408" s="29" t="s">
        <v>14085</v>
      </c>
      <c r="B10408" s="43" t="s">
        <v>558</v>
      </c>
      <c r="C10408" s="26" t="s">
        <v>940</v>
      </c>
      <c r="D10408" s="26" t="s">
        <v>3663</v>
      </c>
      <c r="E10408" s="28">
        <v>46123.0</v>
      </c>
      <c r="F10408" s="28">
        <v>46171.0</v>
      </c>
      <c r="G10408" s="29"/>
    </row>
    <row r="10409" ht="15.75" customHeight="1">
      <c r="A10409" s="33" t="s">
        <v>14086</v>
      </c>
      <c r="B10409" s="42" t="s">
        <v>620</v>
      </c>
      <c r="C10409" s="30" t="s">
        <v>940</v>
      </c>
      <c r="D10409" s="30" t="s">
        <v>3663</v>
      </c>
      <c r="E10409" s="32">
        <v>46123.0</v>
      </c>
      <c r="F10409" s="32">
        <v>46171.0</v>
      </c>
      <c r="G10409" s="33"/>
    </row>
    <row r="10410" ht="15.75" customHeight="1">
      <c r="A10410" s="29" t="s">
        <v>14087</v>
      </c>
      <c r="B10410" s="43" t="s">
        <v>1210</v>
      </c>
      <c r="C10410" s="26" t="s">
        <v>940</v>
      </c>
      <c r="D10410" s="26" t="s">
        <v>3663</v>
      </c>
      <c r="E10410" s="28">
        <v>46123.0</v>
      </c>
      <c r="F10410" s="28">
        <v>46171.0</v>
      </c>
      <c r="G10410" s="29"/>
    </row>
    <row r="10411" ht="15.75" customHeight="1">
      <c r="A10411" s="33" t="s">
        <v>14088</v>
      </c>
      <c r="B10411" s="42" t="s">
        <v>640</v>
      </c>
      <c r="C10411" s="30" t="s">
        <v>940</v>
      </c>
      <c r="D10411" s="30" t="s">
        <v>3663</v>
      </c>
      <c r="E10411" s="32">
        <v>46123.0</v>
      </c>
      <c r="F10411" s="32">
        <v>46171.0</v>
      </c>
      <c r="G10411" s="33"/>
    </row>
    <row r="10412" ht="15.75" customHeight="1">
      <c r="A10412" s="29" t="s">
        <v>14089</v>
      </c>
      <c r="B10412" s="43" t="s">
        <v>689</v>
      </c>
      <c r="C10412" s="26" t="s">
        <v>940</v>
      </c>
      <c r="D10412" s="26" t="s">
        <v>3663</v>
      </c>
      <c r="E10412" s="28">
        <v>46123.0</v>
      </c>
      <c r="F10412" s="28">
        <v>46171.0</v>
      </c>
      <c r="G10412" s="29"/>
    </row>
    <row r="10413" ht="15.75" customHeight="1">
      <c r="A10413" s="33" t="s">
        <v>14090</v>
      </c>
      <c r="B10413" s="42" t="s">
        <v>699</v>
      </c>
      <c r="C10413" s="30" t="s">
        <v>940</v>
      </c>
      <c r="D10413" s="30" t="s">
        <v>3663</v>
      </c>
      <c r="E10413" s="32">
        <v>46123.0</v>
      </c>
      <c r="F10413" s="32">
        <v>46171.0</v>
      </c>
      <c r="G10413" s="33"/>
    </row>
    <row r="10414" ht="15.75" customHeight="1">
      <c r="A10414" s="29" t="s">
        <v>14091</v>
      </c>
      <c r="B10414" s="43" t="s">
        <v>753</v>
      </c>
      <c r="C10414" s="26" t="s">
        <v>940</v>
      </c>
      <c r="D10414" s="26" t="s">
        <v>3663</v>
      </c>
      <c r="E10414" s="28">
        <v>46123.0</v>
      </c>
      <c r="F10414" s="28">
        <v>46171.0</v>
      </c>
      <c r="G10414" s="29"/>
    </row>
    <row r="10415" ht="15.75" customHeight="1">
      <c r="A10415" s="33" t="s">
        <v>14092</v>
      </c>
      <c r="B10415" s="42" t="s">
        <v>773</v>
      </c>
      <c r="C10415" s="30" t="s">
        <v>940</v>
      </c>
      <c r="D10415" s="30" t="s">
        <v>3663</v>
      </c>
      <c r="E10415" s="32">
        <v>46123.0</v>
      </c>
      <c r="F10415" s="32">
        <v>46171.0</v>
      </c>
      <c r="G10415" s="33"/>
    </row>
    <row r="10416" ht="15.75" customHeight="1">
      <c r="A10416" s="29" t="s">
        <v>14093</v>
      </c>
      <c r="B10416" s="43" t="s">
        <v>806</v>
      </c>
      <c r="C10416" s="26" t="s">
        <v>940</v>
      </c>
      <c r="D10416" s="26" t="s">
        <v>3663</v>
      </c>
      <c r="E10416" s="28">
        <v>46123.0</v>
      </c>
      <c r="F10416" s="28">
        <v>46171.0</v>
      </c>
      <c r="G10416" s="29"/>
    </row>
    <row r="10417" ht="15.75" customHeight="1">
      <c r="A10417" s="33" t="s">
        <v>14094</v>
      </c>
      <c r="B10417" s="42" t="s">
        <v>206</v>
      </c>
      <c r="C10417" s="30" t="s">
        <v>940</v>
      </c>
      <c r="D10417" s="30" t="s">
        <v>3663</v>
      </c>
      <c r="E10417" s="32">
        <v>46123.0</v>
      </c>
      <c r="F10417" s="32">
        <v>46171.0</v>
      </c>
      <c r="G10417" s="33"/>
    </row>
    <row r="10418" ht="15.75" customHeight="1">
      <c r="A10418" s="29" t="s">
        <v>14095</v>
      </c>
      <c r="B10418" s="43" t="s">
        <v>244</v>
      </c>
      <c r="C10418" s="26" t="s">
        <v>940</v>
      </c>
      <c r="D10418" s="26" t="s">
        <v>3663</v>
      </c>
      <c r="E10418" s="28">
        <v>46123.0</v>
      </c>
      <c r="F10418" s="28">
        <v>46171.0</v>
      </c>
      <c r="G10418" s="29"/>
    </row>
    <row r="10419" ht="15.75" customHeight="1">
      <c r="A10419" s="33" t="s">
        <v>14096</v>
      </c>
      <c r="B10419" s="42" t="s">
        <v>260</v>
      </c>
      <c r="C10419" s="30" t="s">
        <v>940</v>
      </c>
      <c r="D10419" s="30" t="s">
        <v>3663</v>
      </c>
      <c r="E10419" s="32">
        <v>46123.0</v>
      </c>
      <c r="F10419" s="32">
        <v>46171.0</v>
      </c>
      <c r="G10419" s="33"/>
    </row>
    <row r="10420" ht="15.75" customHeight="1">
      <c r="A10420" s="29" t="s">
        <v>14097</v>
      </c>
      <c r="B10420" s="43" t="s">
        <v>268</v>
      </c>
      <c r="C10420" s="26" t="s">
        <v>940</v>
      </c>
      <c r="D10420" s="26" t="s">
        <v>3663</v>
      </c>
      <c r="E10420" s="28">
        <v>46123.0</v>
      </c>
      <c r="F10420" s="28">
        <v>46171.0</v>
      </c>
      <c r="G10420" s="29"/>
    </row>
    <row r="10421" ht="15.75" customHeight="1">
      <c r="A10421" s="33" t="s">
        <v>14098</v>
      </c>
      <c r="B10421" s="42" t="s">
        <v>304</v>
      </c>
      <c r="C10421" s="30" t="s">
        <v>940</v>
      </c>
      <c r="D10421" s="30" t="s">
        <v>3663</v>
      </c>
      <c r="E10421" s="32">
        <v>46123.0</v>
      </c>
      <c r="F10421" s="32">
        <v>46171.0</v>
      </c>
      <c r="G10421" s="33"/>
    </row>
    <row r="10422" ht="15.75" customHeight="1">
      <c r="A10422" s="29" t="s">
        <v>14099</v>
      </c>
      <c r="B10422" s="43" t="s">
        <v>307</v>
      </c>
      <c r="C10422" s="26" t="s">
        <v>940</v>
      </c>
      <c r="D10422" s="26" t="s">
        <v>3663</v>
      </c>
      <c r="E10422" s="28">
        <v>46123.0</v>
      </c>
      <c r="F10422" s="28">
        <v>46171.0</v>
      </c>
      <c r="G10422" s="29"/>
    </row>
    <row r="10423" ht="15.75" customHeight="1">
      <c r="A10423" s="33" t="s">
        <v>14100</v>
      </c>
      <c r="B10423" s="42" t="s">
        <v>371</v>
      </c>
      <c r="C10423" s="30" t="s">
        <v>940</v>
      </c>
      <c r="D10423" s="30" t="s">
        <v>3663</v>
      </c>
      <c r="E10423" s="32">
        <v>46123.0</v>
      </c>
      <c r="F10423" s="32">
        <v>46171.0</v>
      </c>
      <c r="G10423" s="33"/>
    </row>
    <row r="10424" ht="15.75" customHeight="1">
      <c r="A10424" s="29" t="s">
        <v>14101</v>
      </c>
      <c r="B10424" s="43" t="s">
        <v>384</v>
      </c>
      <c r="C10424" s="26" t="s">
        <v>940</v>
      </c>
      <c r="D10424" s="26" t="s">
        <v>3663</v>
      </c>
      <c r="E10424" s="28">
        <v>46123.0</v>
      </c>
      <c r="F10424" s="28">
        <v>46171.0</v>
      </c>
      <c r="G10424" s="29"/>
    </row>
    <row r="10425" ht="15.75" customHeight="1">
      <c r="A10425" s="33" t="s">
        <v>14102</v>
      </c>
      <c r="B10425" s="42" t="s">
        <v>389</v>
      </c>
      <c r="C10425" s="30" t="s">
        <v>940</v>
      </c>
      <c r="D10425" s="30" t="s">
        <v>3663</v>
      </c>
      <c r="E10425" s="32">
        <v>46123.0</v>
      </c>
      <c r="F10425" s="32">
        <v>46171.0</v>
      </c>
      <c r="G10425" s="33"/>
    </row>
    <row r="10426" ht="15.75" customHeight="1">
      <c r="A10426" s="29" t="s">
        <v>14103</v>
      </c>
      <c r="B10426" s="43" t="s">
        <v>394</v>
      </c>
      <c r="C10426" s="26" t="s">
        <v>940</v>
      </c>
      <c r="D10426" s="26" t="s">
        <v>3663</v>
      </c>
      <c r="E10426" s="28">
        <v>46123.0</v>
      </c>
      <c r="F10426" s="28">
        <v>46171.0</v>
      </c>
      <c r="G10426" s="29"/>
    </row>
    <row r="10427" ht="15.75" customHeight="1">
      <c r="A10427" s="33" t="s">
        <v>14104</v>
      </c>
      <c r="B10427" s="42" t="s">
        <v>401</v>
      </c>
      <c r="C10427" s="30" t="s">
        <v>940</v>
      </c>
      <c r="D10427" s="30" t="s">
        <v>3663</v>
      </c>
      <c r="E10427" s="32">
        <v>46123.0</v>
      </c>
      <c r="F10427" s="32">
        <v>46171.0</v>
      </c>
      <c r="G10427" s="33"/>
    </row>
    <row r="10428" ht="15.75" customHeight="1">
      <c r="A10428" s="29" t="s">
        <v>14105</v>
      </c>
      <c r="B10428" s="43" t="s">
        <v>420</v>
      </c>
      <c r="C10428" s="26" t="s">
        <v>940</v>
      </c>
      <c r="D10428" s="26" t="s">
        <v>3663</v>
      </c>
      <c r="E10428" s="28">
        <v>46123.0</v>
      </c>
      <c r="F10428" s="28">
        <v>46171.0</v>
      </c>
      <c r="G10428" s="29"/>
    </row>
    <row r="10429" ht="15.75" customHeight="1">
      <c r="A10429" s="33" t="s">
        <v>14106</v>
      </c>
      <c r="B10429" s="42" t="s">
        <v>438</v>
      </c>
      <c r="C10429" s="30" t="s">
        <v>940</v>
      </c>
      <c r="D10429" s="30" t="s">
        <v>3663</v>
      </c>
      <c r="E10429" s="32">
        <v>46123.0</v>
      </c>
      <c r="F10429" s="32">
        <v>46171.0</v>
      </c>
      <c r="G10429" s="33"/>
    </row>
    <row r="10430" ht="15.75" customHeight="1">
      <c r="A10430" s="29" t="s">
        <v>14107</v>
      </c>
      <c r="B10430" s="43" t="s">
        <v>443</v>
      </c>
      <c r="C10430" s="26" t="s">
        <v>940</v>
      </c>
      <c r="D10430" s="26" t="s">
        <v>3663</v>
      </c>
      <c r="E10430" s="28">
        <v>46123.0</v>
      </c>
      <c r="F10430" s="28">
        <v>46171.0</v>
      </c>
      <c r="G10430" s="29"/>
    </row>
    <row r="10431" ht="15.75" customHeight="1">
      <c r="A10431" s="33" t="s">
        <v>14108</v>
      </c>
      <c r="B10431" s="42" t="s">
        <v>484</v>
      </c>
      <c r="C10431" s="30" t="s">
        <v>940</v>
      </c>
      <c r="D10431" s="30" t="s">
        <v>3663</v>
      </c>
      <c r="E10431" s="32">
        <v>46123.0</v>
      </c>
      <c r="F10431" s="32">
        <v>46171.0</v>
      </c>
      <c r="G10431" s="33"/>
    </row>
    <row r="10432" ht="15.75" customHeight="1">
      <c r="A10432" s="29" t="s">
        <v>14109</v>
      </c>
      <c r="B10432" s="43" t="s">
        <v>493</v>
      </c>
      <c r="C10432" s="26" t="s">
        <v>940</v>
      </c>
      <c r="D10432" s="26" t="s">
        <v>3663</v>
      </c>
      <c r="E10432" s="28">
        <v>46123.0</v>
      </c>
      <c r="F10432" s="28">
        <v>46171.0</v>
      </c>
      <c r="G10432" s="29"/>
    </row>
    <row r="10433" ht="15.75" customHeight="1">
      <c r="A10433" s="33" t="s">
        <v>14110</v>
      </c>
      <c r="B10433" s="42" t="s">
        <v>1174</v>
      </c>
      <c r="C10433" s="30" t="s">
        <v>940</v>
      </c>
      <c r="D10433" s="30" t="s">
        <v>3663</v>
      </c>
      <c r="E10433" s="32">
        <v>46123.0</v>
      </c>
      <c r="F10433" s="32">
        <v>46171.0</v>
      </c>
      <c r="G10433" s="33"/>
    </row>
    <row r="10434" ht="15.75" customHeight="1">
      <c r="A10434" s="29" t="s">
        <v>14111</v>
      </c>
      <c r="B10434" s="43" t="s">
        <v>504</v>
      </c>
      <c r="C10434" s="26" t="s">
        <v>940</v>
      </c>
      <c r="D10434" s="26" t="s">
        <v>3663</v>
      </c>
      <c r="E10434" s="28">
        <v>46123.0</v>
      </c>
      <c r="F10434" s="28">
        <v>46171.0</v>
      </c>
      <c r="G10434" s="29"/>
    </row>
    <row r="10435" ht="15.75" customHeight="1">
      <c r="A10435" s="33" t="s">
        <v>14112</v>
      </c>
      <c r="B10435" s="42" t="s">
        <v>555</v>
      </c>
      <c r="C10435" s="30" t="s">
        <v>940</v>
      </c>
      <c r="D10435" s="30" t="s">
        <v>3663</v>
      </c>
      <c r="E10435" s="32">
        <v>46123.0</v>
      </c>
      <c r="F10435" s="32">
        <v>46171.0</v>
      </c>
      <c r="G10435" s="33"/>
    </row>
    <row r="10436" ht="15.75" customHeight="1">
      <c r="A10436" s="29" t="s">
        <v>14113</v>
      </c>
      <c r="B10436" s="43" t="s">
        <v>570</v>
      </c>
      <c r="C10436" s="26" t="s">
        <v>940</v>
      </c>
      <c r="D10436" s="26" t="s">
        <v>3663</v>
      </c>
      <c r="E10436" s="28">
        <v>46123.0</v>
      </c>
      <c r="F10436" s="28">
        <v>46171.0</v>
      </c>
      <c r="G10436" s="29"/>
    </row>
    <row r="10437" ht="15.75" customHeight="1">
      <c r="A10437" s="33" t="s">
        <v>14114</v>
      </c>
      <c r="B10437" s="42" t="s">
        <v>593</v>
      </c>
      <c r="C10437" s="30" t="s">
        <v>940</v>
      </c>
      <c r="D10437" s="30" t="s">
        <v>3663</v>
      </c>
      <c r="E10437" s="32">
        <v>46123.0</v>
      </c>
      <c r="F10437" s="32">
        <v>46171.0</v>
      </c>
      <c r="G10437" s="33"/>
    </row>
    <row r="10438" ht="15.75" customHeight="1">
      <c r="A10438" s="29" t="s">
        <v>14115</v>
      </c>
      <c r="B10438" s="43" t="s">
        <v>622</v>
      </c>
      <c r="C10438" s="26" t="s">
        <v>940</v>
      </c>
      <c r="D10438" s="26" t="s">
        <v>3663</v>
      </c>
      <c r="E10438" s="28">
        <v>46123.0</v>
      </c>
      <c r="F10438" s="28">
        <v>46171.0</v>
      </c>
      <c r="G10438" s="29"/>
    </row>
    <row r="10439" ht="15.75" customHeight="1">
      <c r="A10439" s="33" t="s">
        <v>14116</v>
      </c>
      <c r="B10439" s="42" t="s">
        <v>655</v>
      </c>
      <c r="C10439" s="30" t="s">
        <v>940</v>
      </c>
      <c r="D10439" s="30" t="s">
        <v>3663</v>
      </c>
      <c r="E10439" s="32">
        <v>46123.0</v>
      </c>
      <c r="F10439" s="32">
        <v>46171.0</v>
      </c>
      <c r="G10439" s="33"/>
    </row>
    <row r="10440" ht="15.75" customHeight="1">
      <c r="A10440" s="29" t="s">
        <v>14117</v>
      </c>
      <c r="B10440" s="43" t="s">
        <v>670</v>
      </c>
      <c r="C10440" s="26" t="s">
        <v>940</v>
      </c>
      <c r="D10440" s="26" t="s">
        <v>3663</v>
      </c>
      <c r="E10440" s="28">
        <v>46123.0</v>
      </c>
      <c r="F10440" s="28">
        <v>46171.0</v>
      </c>
      <c r="G10440" s="29"/>
    </row>
    <row r="10441" ht="15.75" customHeight="1">
      <c r="A10441" s="33" t="s">
        <v>14118</v>
      </c>
      <c r="B10441" s="42" t="s">
        <v>686</v>
      </c>
      <c r="C10441" s="30" t="s">
        <v>940</v>
      </c>
      <c r="D10441" s="30" t="s">
        <v>3663</v>
      </c>
      <c r="E10441" s="32">
        <v>46123.0</v>
      </c>
      <c r="F10441" s="32">
        <v>46171.0</v>
      </c>
      <c r="G10441" s="33"/>
    </row>
    <row r="10442" ht="15.75" customHeight="1">
      <c r="A10442" s="29" t="s">
        <v>14119</v>
      </c>
      <c r="B10442" s="43" t="s">
        <v>694</v>
      </c>
      <c r="C10442" s="26" t="s">
        <v>940</v>
      </c>
      <c r="D10442" s="26" t="s">
        <v>3663</v>
      </c>
      <c r="E10442" s="28">
        <v>46123.0</v>
      </c>
      <c r="F10442" s="28">
        <v>46171.0</v>
      </c>
      <c r="G10442" s="29"/>
    </row>
    <row r="10443" ht="15.75" customHeight="1">
      <c r="A10443" s="33" t="s">
        <v>14120</v>
      </c>
      <c r="B10443" s="42" t="s">
        <v>713</v>
      </c>
      <c r="C10443" s="30" t="s">
        <v>940</v>
      </c>
      <c r="D10443" s="30" t="s">
        <v>3663</v>
      </c>
      <c r="E10443" s="32">
        <v>46123.0</v>
      </c>
      <c r="F10443" s="32">
        <v>46171.0</v>
      </c>
      <c r="G10443" s="33"/>
    </row>
    <row r="10444" ht="15.75" customHeight="1">
      <c r="A10444" s="29" t="s">
        <v>14121</v>
      </c>
      <c r="B10444" s="43" t="s">
        <v>718</v>
      </c>
      <c r="C10444" s="26" t="s">
        <v>940</v>
      </c>
      <c r="D10444" s="26" t="s">
        <v>3663</v>
      </c>
      <c r="E10444" s="28">
        <v>46123.0</v>
      </c>
      <c r="F10444" s="28">
        <v>46171.0</v>
      </c>
      <c r="G10444" s="29"/>
    </row>
    <row r="10445" ht="15.75" customHeight="1">
      <c r="A10445" s="33" t="s">
        <v>14122</v>
      </c>
      <c r="B10445" s="42" t="s">
        <v>1183</v>
      </c>
      <c r="C10445" s="30" t="s">
        <v>940</v>
      </c>
      <c r="D10445" s="30" t="s">
        <v>3663</v>
      </c>
      <c r="E10445" s="32">
        <v>46123.0</v>
      </c>
      <c r="F10445" s="32">
        <v>46171.0</v>
      </c>
      <c r="G10445" s="33"/>
    </row>
    <row r="10446" ht="15.75" customHeight="1">
      <c r="A10446" s="29" t="s">
        <v>14123</v>
      </c>
      <c r="B10446" s="43" t="s">
        <v>193</v>
      </c>
      <c r="C10446" s="26" t="s">
        <v>940</v>
      </c>
      <c r="D10446" s="26" t="s">
        <v>3663</v>
      </c>
      <c r="E10446" s="28">
        <v>46123.0</v>
      </c>
      <c r="F10446" s="28">
        <v>46171.0</v>
      </c>
      <c r="G10446" s="29"/>
    </row>
    <row r="10447" ht="15.75" customHeight="1">
      <c r="A10447" s="33" t="s">
        <v>14124</v>
      </c>
      <c r="B10447" s="42" t="s">
        <v>216</v>
      </c>
      <c r="C10447" s="30" t="s">
        <v>940</v>
      </c>
      <c r="D10447" s="30" t="s">
        <v>3663</v>
      </c>
      <c r="E10447" s="32">
        <v>46123.0</v>
      </c>
      <c r="F10447" s="32">
        <v>46171.0</v>
      </c>
      <c r="G10447" s="33"/>
    </row>
    <row r="10448" ht="15.75" customHeight="1">
      <c r="A10448" s="29" t="s">
        <v>14125</v>
      </c>
      <c r="B10448" s="43" t="s">
        <v>252</v>
      </c>
      <c r="C10448" s="26" t="s">
        <v>940</v>
      </c>
      <c r="D10448" s="26" t="s">
        <v>3663</v>
      </c>
      <c r="E10448" s="28">
        <v>46123.0</v>
      </c>
      <c r="F10448" s="28">
        <v>46171.0</v>
      </c>
      <c r="G10448" s="29"/>
    </row>
    <row r="10449" ht="15.75" customHeight="1">
      <c r="A10449" s="33" t="s">
        <v>14126</v>
      </c>
      <c r="B10449" s="42" t="s">
        <v>267</v>
      </c>
      <c r="C10449" s="30" t="s">
        <v>940</v>
      </c>
      <c r="D10449" s="30" t="s">
        <v>3663</v>
      </c>
      <c r="E10449" s="32">
        <v>46123.0</v>
      </c>
      <c r="F10449" s="32">
        <v>46171.0</v>
      </c>
      <c r="G10449" s="33"/>
    </row>
    <row r="10450" ht="15.75" customHeight="1">
      <c r="A10450" s="29" t="s">
        <v>14127</v>
      </c>
      <c r="B10450" s="43" t="s">
        <v>286</v>
      </c>
      <c r="C10450" s="26" t="s">
        <v>940</v>
      </c>
      <c r="D10450" s="26" t="s">
        <v>3663</v>
      </c>
      <c r="E10450" s="28">
        <v>46123.0</v>
      </c>
      <c r="F10450" s="28">
        <v>46171.0</v>
      </c>
      <c r="G10450" s="29"/>
    </row>
    <row r="10451" ht="15.75" customHeight="1">
      <c r="A10451" s="33" t="s">
        <v>14128</v>
      </c>
      <c r="B10451" s="42" t="s">
        <v>324</v>
      </c>
      <c r="C10451" s="30" t="s">
        <v>940</v>
      </c>
      <c r="D10451" s="30" t="s">
        <v>3663</v>
      </c>
      <c r="E10451" s="32">
        <v>46123.0</v>
      </c>
      <c r="F10451" s="32">
        <v>46171.0</v>
      </c>
      <c r="G10451" s="33"/>
    </row>
    <row r="10452" ht="15.75" customHeight="1">
      <c r="A10452" s="29" t="s">
        <v>14129</v>
      </c>
      <c r="B10452" s="43" t="s">
        <v>329</v>
      </c>
      <c r="C10452" s="26" t="s">
        <v>940</v>
      </c>
      <c r="D10452" s="26" t="s">
        <v>3663</v>
      </c>
      <c r="E10452" s="28">
        <v>46123.0</v>
      </c>
      <c r="F10452" s="28">
        <v>46171.0</v>
      </c>
      <c r="G10452" s="29"/>
    </row>
    <row r="10453" ht="15.75" customHeight="1">
      <c r="A10453" s="33" t="s">
        <v>14130</v>
      </c>
      <c r="B10453" s="42" t="s">
        <v>331</v>
      </c>
      <c r="C10453" s="30" t="s">
        <v>940</v>
      </c>
      <c r="D10453" s="30" t="s">
        <v>3663</v>
      </c>
      <c r="E10453" s="32">
        <v>46123.0</v>
      </c>
      <c r="F10453" s="32">
        <v>46171.0</v>
      </c>
      <c r="G10453" s="33"/>
    </row>
    <row r="10454" ht="15.75" customHeight="1">
      <c r="A10454" s="29" t="s">
        <v>14131</v>
      </c>
      <c r="B10454" s="43" t="s">
        <v>333</v>
      </c>
      <c r="C10454" s="26" t="s">
        <v>940</v>
      </c>
      <c r="D10454" s="26" t="s">
        <v>3663</v>
      </c>
      <c r="E10454" s="28">
        <v>46123.0</v>
      </c>
      <c r="F10454" s="28">
        <v>46171.0</v>
      </c>
      <c r="G10454" s="29"/>
    </row>
    <row r="10455" ht="15.75" customHeight="1">
      <c r="A10455" s="33" t="s">
        <v>14132</v>
      </c>
      <c r="B10455" s="42" t="s">
        <v>339</v>
      </c>
      <c r="C10455" s="30" t="s">
        <v>940</v>
      </c>
      <c r="D10455" s="30" t="s">
        <v>3663</v>
      </c>
      <c r="E10455" s="32">
        <v>46123.0</v>
      </c>
      <c r="F10455" s="32">
        <v>46171.0</v>
      </c>
      <c r="G10455" s="33"/>
    </row>
    <row r="10456" ht="15.75" customHeight="1">
      <c r="A10456" s="29" t="s">
        <v>14133</v>
      </c>
      <c r="B10456" s="43" t="s">
        <v>352</v>
      </c>
      <c r="C10456" s="26" t="s">
        <v>940</v>
      </c>
      <c r="D10456" s="26" t="s">
        <v>3663</v>
      </c>
      <c r="E10456" s="28">
        <v>46123.0</v>
      </c>
      <c r="F10456" s="28">
        <v>46171.0</v>
      </c>
      <c r="G10456" s="29"/>
    </row>
    <row r="10457" ht="15.75" customHeight="1">
      <c r="A10457" s="33" t="s">
        <v>14134</v>
      </c>
      <c r="B10457" s="42" t="s">
        <v>390</v>
      </c>
      <c r="C10457" s="30" t="s">
        <v>940</v>
      </c>
      <c r="D10457" s="30" t="s">
        <v>3663</v>
      </c>
      <c r="E10457" s="32">
        <v>46123.0</v>
      </c>
      <c r="F10457" s="32">
        <v>46171.0</v>
      </c>
      <c r="G10457" s="33"/>
    </row>
    <row r="10458" ht="15.75" customHeight="1">
      <c r="A10458" s="29" t="s">
        <v>14135</v>
      </c>
      <c r="B10458" s="43" t="s">
        <v>419</v>
      </c>
      <c r="C10458" s="26" t="s">
        <v>940</v>
      </c>
      <c r="D10458" s="26" t="s">
        <v>3663</v>
      </c>
      <c r="E10458" s="28">
        <v>46123.0</v>
      </c>
      <c r="F10458" s="28">
        <v>46171.0</v>
      </c>
      <c r="G10458" s="29"/>
    </row>
    <row r="10459" ht="15.75" customHeight="1">
      <c r="A10459" s="33" t="s">
        <v>14136</v>
      </c>
      <c r="B10459" s="42" t="s">
        <v>452</v>
      </c>
      <c r="C10459" s="30" t="s">
        <v>940</v>
      </c>
      <c r="D10459" s="30" t="s">
        <v>3663</v>
      </c>
      <c r="E10459" s="32">
        <v>46123.0</v>
      </c>
      <c r="F10459" s="32">
        <v>46171.0</v>
      </c>
      <c r="G10459" s="33"/>
    </row>
    <row r="10460" ht="15.75" customHeight="1">
      <c r="A10460" s="29" t="s">
        <v>14137</v>
      </c>
      <c r="B10460" s="43" t="s">
        <v>509</v>
      </c>
      <c r="C10460" s="26" t="s">
        <v>940</v>
      </c>
      <c r="D10460" s="26" t="s">
        <v>3663</v>
      </c>
      <c r="E10460" s="28">
        <v>46123.0</v>
      </c>
      <c r="F10460" s="28">
        <v>46171.0</v>
      </c>
      <c r="G10460" s="29"/>
    </row>
    <row r="10461" ht="15.75" customHeight="1">
      <c r="A10461" s="33" t="s">
        <v>14138</v>
      </c>
      <c r="B10461" s="42" t="s">
        <v>526</v>
      </c>
      <c r="C10461" s="30" t="s">
        <v>940</v>
      </c>
      <c r="D10461" s="30" t="s">
        <v>3663</v>
      </c>
      <c r="E10461" s="32">
        <v>46123.0</v>
      </c>
      <c r="F10461" s="32">
        <v>46171.0</v>
      </c>
      <c r="G10461" s="33"/>
    </row>
    <row r="10462" ht="15.75" customHeight="1">
      <c r="A10462" s="29" t="s">
        <v>14139</v>
      </c>
      <c r="B10462" s="43" t="s">
        <v>528</v>
      </c>
      <c r="C10462" s="26" t="s">
        <v>940</v>
      </c>
      <c r="D10462" s="26" t="s">
        <v>3663</v>
      </c>
      <c r="E10462" s="28">
        <v>46123.0</v>
      </c>
      <c r="F10462" s="28">
        <v>46171.0</v>
      </c>
      <c r="G10462" s="29"/>
    </row>
    <row r="10463" ht="15.75" customHeight="1">
      <c r="A10463" s="33" t="s">
        <v>14140</v>
      </c>
      <c r="B10463" s="42" t="s">
        <v>529</v>
      </c>
      <c r="C10463" s="30" t="s">
        <v>940</v>
      </c>
      <c r="D10463" s="30" t="s">
        <v>3663</v>
      </c>
      <c r="E10463" s="32">
        <v>46123.0</v>
      </c>
      <c r="F10463" s="32">
        <v>46171.0</v>
      </c>
      <c r="G10463" s="33"/>
    </row>
    <row r="10464" ht="15.75" customHeight="1">
      <c r="A10464" s="29" t="s">
        <v>14141</v>
      </c>
      <c r="B10464" s="43" t="s">
        <v>537</v>
      </c>
      <c r="C10464" s="26" t="s">
        <v>940</v>
      </c>
      <c r="D10464" s="26" t="s">
        <v>3663</v>
      </c>
      <c r="E10464" s="28">
        <v>46123.0</v>
      </c>
      <c r="F10464" s="28">
        <v>46171.0</v>
      </c>
      <c r="G10464" s="29"/>
    </row>
    <row r="10465" ht="15.75" customHeight="1">
      <c r="A10465" s="33" t="s">
        <v>14142</v>
      </c>
      <c r="B10465" s="42" t="s">
        <v>549</v>
      </c>
      <c r="C10465" s="30" t="s">
        <v>940</v>
      </c>
      <c r="D10465" s="30" t="s">
        <v>3663</v>
      </c>
      <c r="E10465" s="32">
        <v>46123.0</v>
      </c>
      <c r="F10465" s="32">
        <v>46171.0</v>
      </c>
      <c r="G10465" s="33"/>
    </row>
    <row r="10466" ht="15.75" customHeight="1">
      <c r="A10466" s="29" t="s">
        <v>14143</v>
      </c>
      <c r="B10466" s="43" t="s">
        <v>561</v>
      </c>
      <c r="C10466" s="26" t="s">
        <v>940</v>
      </c>
      <c r="D10466" s="26" t="s">
        <v>3663</v>
      </c>
      <c r="E10466" s="28">
        <v>46123.0</v>
      </c>
      <c r="F10466" s="28">
        <v>46171.0</v>
      </c>
      <c r="G10466" s="29"/>
    </row>
    <row r="10467" ht="15.75" customHeight="1">
      <c r="A10467" s="33" t="s">
        <v>14144</v>
      </c>
      <c r="B10467" s="42" t="s">
        <v>568</v>
      </c>
      <c r="C10467" s="30" t="s">
        <v>940</v>
      </c>
      <c r="D10467" s="30" t="s">
        <v>3663</v>
      </c>
      <c r="E10467" s="32">
        <v>46123.0</v>
      </c>
      <c r="F10467" s="32">
        <v>46171.0</v>
      </c>
      <c r="G10467" s="33"/>
    </row>
    <row r="10468" ht="15.75" customHeight="1">
      <c r="A10468" s="29" t="s">
        <v>14145</v>
      </c>
      <c r="B10468" s="43" t="s">
        <v>579</v>
      </c>
      <c r="C10468" s="26" t="s">
        <v>940</v>
      </c>
      <c r="D10468" s="26" t="s">
        <v>3663</v>
      </c>
      <c r="E10468" s="28">
        <v>46123.0</v>
      </c>
      <c r="F10468" s="28">
        <v>46171.0</v>
      </c>
      <c r="G10468" s="29"/>
    </row>
    <row r="10469" ht="15.75" customHeight="1">
      <c r="A10469" s="33" t="s">
        <v>14146</v>
      </c>
      <c r="B10469" s="42" t="s">
        <v>588</v>
      </c>
      <c r="C10469" s="30" t="s">
        <v>940</v>
      </c>
      <c r="D10469" s="30" t="s">
        <v>3663</v>
      </c>
      <c r="E10469" s="32">
        <v>46123.0</v>
      </c>
      <c r="F10469" s="32">
        <v>46171.0</v>
      </c>
      <c r="G10469" s="33"/>
    </row>
    <row r="10470" ht="15.75" customHeight="1">
      <c r="A10470" s="29" t="s">
        <v>14147</v>
      </c>
      <c r="B10470" s="43" t="s">
        <v>610</v>
      </c>
      <c r="C10470" s="26" t="s">
        <v>940</v>
      </c>
      <c r="D10470" s="26" t="s">
        <v>3663</v>
      </c>
      <c r="E10470" s="28">
        <v>46123.0</v>
      </c>
      <c r="F10470" s="28">
        <v>46171.0</v>
      </c>
      <c r="G10470" s="29"/>
    </row>
    <row r="10471" ht="15.75" customHeight="1">
      <c r="A10471" s="33" t="s">
        <v>14148</v>
      </c>
      <c r="B10471" s="42" t="s">
        <v>615</v>
      </c>
      <c r="C10471" s="30" t="s">
        <v>940</v>
      </c>
      <c r="D10471" s="30" t="s">
        <v>3663</v>
      </c>
      <c r="E10471" s="32">
        <v>46123.0</v>
      </c>
      <c r="F10471" s="32">
        <v>46171.0</v>
      </c>
      <c r="G10471" s="33"/>
    </row>
    <row r="10472" ht="15.75" customHeight="1">
      <c r="A10472" s="29" t="s">
        <v>14149</v>
      </c>
      <c r="B10472" s="43" t="s">
        <v>2726</v>
      </c>
      <c r="C10472" s="26" t="s">
        <v>940</v>
      </c>
      <c r="D10472" s="26" t="s">
        <v>3663</v>
      </c>
      <c r="E10472" s="28">
        <v>46123.0</v>
      </c>
      <c r="F10472" s="28">
        <v>46171.0</v>
      </c>
      <c r="G10472" s="29"/>
    </row>
    <row r="10473" ht="15.75" customHeight="1">
      <c r="A10473" s="33" t="s">
        <v>14150</v>
      </c>
      <c r="B10473" s="42" t="s">
        <v>681</v>
      </c>
      <c r="C10473" s="30" t="s">
        <v>940</v>
      </c>
      <c r="D10473" s="30" t="s">
        <v>3663</v>
      </c>
      <c r="E10473" s="32">
        <v>46123.0</v>
      </c>
      <c r="F10473" s="32">
        <v>46171.0</v>
      </c>
      <c r="G10473" s="33"/>
    </row>
    <row r="10474" ht="15.75" customHeight="1">
      <c r="A10474" s="29" t="s">
        <v>14151</v>
      </c>
      <c r="B10474" s="43" t="s">
        <v>688</v>
      </c>
      <c r="C10474" s="26" t="s">
        <v>940</v>
      </c>
      <c r="D10474" s="26" t="s">
        <v>3663</v>
      </c>
      <c r="E10474" s="28">
        <v>46123.0</v>
      </c>
      <c r="F10474" s="28">
        <v>46171.0</v>
      </c>
      <c r="G10474" s="29"/>
    </row>
    <row r="10475" ht="15.75" customHeight="1">
      <c r="A10475" s="33" t="s">
        <v>14152</v>
      </c>
      <c r="B10475" s="42" t="s">
        <v>695</v>
      </c>
      <c r="C10475" s="30" t="s">
        <v>940</v>
      </c>
      <c r="D10475" s="30" t="s">
        <v>3663</v>
      </c>
      <c r="E10475" s="32">
        <v>46123.0</v>
      </c>
      <c r="F10475" s="32">
        <v>46171.0</v>
      </c>
      <c r="G10475" s="33"/>
    </row>
    <row r="10476" ht="15.75" customHeight="1">
      <c r="A10476" s="29" t="s">
        <v>14153</v>
      </c>
      <c r="B10476" s="43" t="s">
        <v>782</v>
      </c>
      <c r="C10476" s="26" t="s">
        <v>940</v>
      </c>
      <c r="D10476" s="26" t="s">
        <v>3663</v>
      </c>
      <c r="E10476" s="28">
        <v>46123.0</v>
      </c>
      <c r="F10476" s="28">
        <v>46171.0</v>
      </c>
      <c r="G10476" s="29"/>
    </row>
    <row r="10477" ht="15.75" customHeight="1">
      <c r="A10477" s="33" t="s">
        <v>14154</v>
      </c>
      <c r="B10477" s="42" t="s">
        <v>792</v>
      </c>
      <c r="C10477" s="30" t="s">
        <v>940</v>
      </c>
      <c r="D10477" s="30" t="s">
        <v>3663</v>
      </c>
      <c r="E10477" s="32">
        <v>46123.0</v>
      </c>
      <c r="F10477" s="32">
        <v>46171.0</v>
      </c>
      <c r="G10477" s="33"/>
    </row>
    <row r="10478" ht="15.75" customHeight="1">
      <c r="A10478" s="29" t="s">
        <v>14155</v>
      </c>
      <c r="B10478" s="43" t="s">
        <v>799</v>
      </c>
      <c r="C10478" s="26" t="s">
        <v>940</v>
      </c>
      <c r="D10478" s="26" t="s">
        <v>3663</v>
      </c>
      <c r="E10478" s="28">
        <v>46123.0</v>
      </c>
      <c r="F10478" s="28">
        <v>46171.0</v>
      </c>
      <c r="G10478" s="29"/>
    </row>
    <row r="10479" ht="15.75" customHeight="1">
      <c r="A10479" s="33" t="s">
        <v>14156</v>
      </c>
      <c r="B10479" s="42" t="s">
        <v>810</v>
      </c>
      <c r="C10479" s="30" t="s">
        <v>940</v>
      </c>
      <c r="D10479" s="30" t="s">
        <v>3663</v>
      </c>
      <c r="E10479" s="32">
        <v>46123.0</v>
      </c>
      <c r="F10479" s="32">
        <v>46171.0</v>
      </c>
      <c r="G10479" s="33"/>
    </row>
    <row r="10480" ht="15.75" customHeight="1">
      <c r="A10480" s="29" t="s">
        <v>14157</v>
      </c>
      <c r="B10480" s="43" t="s">
        <v>822</v>
      </c>
      <c r="C10480" s="26" t="s">
        <v>940</v>
      </c>
      <c r="D10480" s="26" t="s">
        <v>3663</v>
      </c>
      <c r="E10480" s="28">
        <v>46123.0</v>
      </c>
      <c r="F10480" s="28">
        <v>46171.0</v>
      </c>
      <c r="G10480" s="29"/>
    </row>
    <row r="10481" ht="15.75" customHeight="1">
      <c r="A10481" s="33" t="s">
        <v>14158</v>
      </c>
      <c r="B10481" s="42" t="s">
        <v>147</v>
      </c>
      <c r="C10481" s="30" t="s">
        <v>940</v>
      </c>
      <c r="D10481" s="30" t="s">
        <v>3663</v>
      </c>
      <c r="E10481" s="32">
        <v>46123.0</v>
      </c>
      <c r="F10481" s="32">
        <v>46171.0</v>
      </c>
      <c r="G10481" s="33"/>
    </row>
    <row r="10482" ht="15.75" customHeight="1">
      <c r="A10482" s="29" t="s">
        <v>14159</v>
      </c>
      <c r="B10482" s="43" t="s">
        <v>174</v>
      </c>
      <c r="C10482" s="26" t="s">
        <v>940</v>
      </c>
      <c r="D10482" s="26" t="s">
        <v>3663</v>
      </c>
      <c r="E10482" s="28">
        <v>46123.0</v>
      </c>
      <c r="F10482" s="28">
        <v>46171.0</v>
      </c>
      <c r="G10482" s="29"/>
    </row>
    <row r="10483" ht="15.75" customHeight="1">
      <c r="A10483" s="33" t="s">
        <v>14160</v>
      </c>
      <c r="B10483" s="42" t="s">
        <v>217</v>
      </c>
      <c r="C10483" s="30" t="s">
        <v>940</v>
      </c>
      <c r="D10483" s="30" t="s">
        <v>3663</v>
      </c>
      <c r="E10483" s="32">
        <v>46123.0</v>
      </c>
      <c r="F10483" s="32">
        <v>46171.0</v>
      </c>
      <c r="G10483" s="33"/>
    </row>
    <row r="10484" ht="15.75" customHeight="1">
      <c r="A10484" s="29" t="s">
        <v>14161</v>
      </c>
      <c r="B10484" s="43" t="s">
        <v>265</v>
      </c>
      <c r="C10484" s="26" t="s">
        <v>940</v>
      </c>
      <c r="D10484" s="26" t="s">
        <v>3663</v>
      </c>
      <c r="E10484" s="28">
        <v>46123.0</v>
      </c>
      <c r="F10484" s="28">
        <v>46171.0</v>
      </c>
      <c r="G10484" s="29"/>
    </row>
    <row r="10485" ht="15.75" customHeight="1">
      <c r="A10485" s="33" t="s">
        <v>14162</v>
      </c>
      <c r="B10485" s="42" t="s">
        <v>266</v>
      </c>
      <c r="C10485" s="30" t="s">
        <v>940</v>
      </c>
      <c r="D10485" s="30" t="s">
        <v>3663</v>
      </c>
      <c r="E10485" s="32">
        <v>46123.0</v>
      </c>
      <c r="F10485" s="32">
        <v>46171.0</v>
      </c>
      <c r="G10485" s="33"/>
    </row>
    <row r="10486" ht="15.75" customHeight="1">
      <c r="A10486" s="29" t="s">
        <v>14163</v>
      </c>
      <c r="B10486" s="43" t="s">
        <v>271</v>
      </c>
      <c r="C10486" s="26" t="s">
        <v>940</v>
      </c>
      <c r="D10486" s="26" t="s">
        <v>3663</v>
      </c>
      <c r="E10486" s="28">
        <v>46123.0</v>
      </c>
      <c r="F10486" s="28">
        <v>46171.0</v>
      </c>
      <c r="G10486" s="29"/>
    </row>
    <row r="10487" ht="15.75" customHeight="1">
      <c r="A10487" s="33" t="s">
        <v>14164</v>
      </c>
      <c r="B10487" s="42" t="s">
        <v>275</v>
      </c>
      <c r="C10487" s="30" t="s">
        <v>940</v>
      </c>
      <c r="D10487" s="30" t="s">
        <v>3663</v>
      </c>
      <c r="E10487" s="32">
        <v>46123.0</v>
      </c>
      <c r="F10487" s="32">
        <v>46171.0</v>
      </c>
      <c r="G10487" s="33"/>
    </row>
    <row r="10488" ht="15.75" customHeight="1">
      <c r="A10488" s="29" t="s">
        <v>14165</v>
      </c>
      <c r="B10488" s="43" t="s">
        <v>294</v>
      </c>
      <c r="C10488" s="26" t="s">
        <v>940</v>
      </c>
      <c r="D10488" s="26" t="s">
        <v>3663</v>
      </c>
      <c r="E10488" s="28">
        <v>46123.0</v>
      </c>
      <c r="F10488" s="28">
        <v>46171.0</v>
      </c>
      <c r="G10488" s="29"/>
    </row>
    <row r="10489" ht="15.75" customHeight="1">
      <c r="A10489" s="33" t="s">
        <v>14166</v>
      </c>
      <c r="B10489" s="42" t="s">
        <v>297</v>
      </c>
      <c r="C10489" s="30" t="s">
        <v>940</v>
      </c>
      <c r="D10489" s="30" t="s">
        <v>3663</v>
      </c>
      <c r="E10489" s="32">
        <v>46123.0</v>
      </c>
      <c r="F10489" s="32">
        <v>46171.0</v>
      </c>
      <c r="G10489" s="33"/>
    </row>
    <row r="10490" ht="15.75" customHeight="1">
      <c r="A10490" s="29" t="s">
        <v>14167</v>
      </c>
      <c r="B10490" s="43" t="s">
        <v>337</v>
      </c>
      <c r="C10490" s="26" t="s">
        <v>940</v>
      </c>
      <c r="D10490" s="26" t="s">
        <v>3663</v>
      </c>
      <c r="E10490" s="28">
        <v>46123.0</v>
      </c>
      <c r="F10490" s="28">
        <v>46171.0</v>
      </c>
      <c r="G10490" s="29"/>
    </row>
    <row r="10491" ht="15.75" customHeight="1">
      <c r="A10491" s="33" t="s">
        <v>14168</v>
      </c>
      <c r="B10491" s="42" t="s">
        <v>365</v>
      </c>
      <c r="C10491" s="30" t="s">
        <v>940</v>
      </c>
      <c r="D10491" s="30" t="s">
        <v>3663</v>
      </c>
      <c r="E10491" s="32">
        <v>46123.0</v>
      </c>
      <c r="F10491" s="32">
        <v>46171.0</v>
      </c>
      <c r="G10491" s="33"/>
    </row>
    <row r="10492" ht="15.75" customHeight="1">
      <c r="A10492" s="29" t="s">
        <v>14169</v>
      </c>
      <c r="B10492" s="43" t="s">
        <v>1314</v>
      </c>
      <c r="C10492" s="26" t="s">
        <v>940</v>
      </c>
      <c r="D10492" s="26" t="s">
        <v>3663</v>
      </c>
      <c r="E10492" s="28">
        <v>46123.0</v>
      </c>
      <c r="F10492" s="28">
        <v>46171.0</v>
      </c>
      <c r="G10492" s="29"/>
    </row>
    <row r="10493" ht="15.75" customHeight="1">
      <c r="A10493" s="33" t="s">
        <v>14170</v>
      </c>
      <c r="B10493" s="42" t="s">
        <v>407</v>
      </c>
      <c r="C10493" s="30" t="s">
        <v>940</v>
      </c>
      <c r="D10493" s="30" t="s">
        <v>3663</v>
      </c>
      <c r="E10493" s="32">
        <v>46123.0</v>
      </c>
      <c r="F10493" s="32">
        <v>46171.0</v>
      </c>
      <c r="G10493" s="33"/>
    </row>
    <row r="10494" ht="15.75" customHeight="1">
      <c r="A10494" s="29" t="s">
        <v>14171</v>
      </c>
      <c r="B10494" s="43" t="s">
        <v>467</v>
      </c>
      <c r="C10494" s="26" t="s">
        <v>940</v>
      </c>
      <c r="D10494" s="26" t="s">
        <v>3663</v>
      </c>
      <c r="E10494" s="28">
        <v>46123.0</v>
      </c>
      <c r="F10494" s="28">
        <v>46171.0</v>
      </c>
      <c r="G10494" s="29"/>
    </row>
    <row r="10495" ht="15.75" customHeight="1">
      <c r="A10495" s="33" t="s">
        <v>14172</v>
      </c>
      <c r="B10495" s="42" t="s">
        <v>473</v>
      </c>
      <c r="C10495" s="30" t="s">
        <v>940</v>
      </c>
      <c r="D10495" s="30" t="s">
        <v>3663</v>
      </c>
      <c r="E10495" s="32">
        <v>46123.0</v>
      </c>
      <c r="F10495" s="32">
        <v>46171.0</v>
      </c>
      <c r="G10495" s="33"/>
    </row>
    <row r="10496" ht="15.75" customHeight="1">
      <c r="A10496" s="29" t="s">
        <v>14173</v>
      </c>
      <c r="B10496" s="43" t="s">
        <v>480</v>
      </c>
      <c r="C10496" s="26" t="s">
        <v>940</v>
      </c>
      <c r="D10496" s="26" t="s">
        <v>3663</v>
      </c>
      <c r="E10496" s="28">
        <v>46123.0</v>
      </c>
      <c r="F10496" s="28">
        <v>46171.0</v>
      </c>
      <c r="G10496" s="29"/>
    </row>
    <row r="10497" ht="15.75" customHeight="1">
      <c r="A10497" s="33" t="s">
        <v>14174</v>
      </c>
      <c r="B10497" s="42" t="s">
        <v>496</v>
      </c>
      <c r="C10497" s="30" t="s">
        <v>940</v>
      </c>
      <c r="D10497" s="30" t="s">
        <v>3663</v>
      </c>
      <c r="E10497" s="32">
        <v>46123.0</v>
      </c>
      <c r="F10497" s="32">
        <v>46171.0</v>
      </c>
      <c r="G10497" s="33"/>
    </row>
    <row r="10498" ht="15.75" customHeight="1">
      <c r="A10498" s="29" t="s">
        <v>14175</v>
      </c>
      <c r="B10498" s="43" t="s">
        <v>505</v>
      </c>
      <c r="C10498" s="26" t="s">
        <v>940</v>
      </c>
      <c r="D10498" s="26" t="s">
        <v>3663</v>
      </c>
      <c r="E10498" s="28">
        <v>46123.0</v>
      </c>
      <c r="F10498" s="28">
        <v>46171.0</v>
      </c>
      <c r="G10498" s="29"/>
    </row>
    <row r="10499" ht="15.75" customHeight="1">
      <c r="A10499" s="33" t="s">
        <v>14176</v>
      </c>
      <c r="B10499" s="42" t="s">
        <v>524</v>
      </c>
      <c r="C10499" s="30" t="s">
        <v>940</v>
      </c>
      <c r="D10499" s="30" t="s">
        <v>3663</v>
      </c>
      <c r="E10499" s="32">
        <v>46123.0</v>
      </c>
      <c r="F10499" s="32">
        <v>46171.0</v>
      </c>
      <c r="G10499" s="33"/>
    </row>
    <row r="10500" ht="15.75" customHeight="1">
      <c r="A10500" s="29" t="s">
        <v>14177</v>
      </c>
      <c r="B10500" s="43" t="s">
        <v>532</v>
      </c>
      <c r="C10500" s="26" t="s">
        <v>940</v>
      </c>
      <c r="D10500" s="26" t="s">
        <v>3663</v>
      </c>
      <c r="E10500" s="28">
        <v>46123.0</v>
      </c>
      <c r="F10500" s="28">
        <v>46171.0</v>
      </c>
      <c r="G10500" s="29"/>
    </row>
    <row r="10501" ht="15.75" customHeight="1">
      <c r="A10501" s="33" t="s">
        <v>14178</v>
      </c>
      <c r="B10501" s="42" t="s">
        <v>535</v>
      </c>
      <c r="C10501" s="30" t="s">
        <v>940</v>
      </c>
      <c r="D10501" s="30" t="s">
        <v>3663</v>
      </c>
      <c r="E10501" s="32">
        <v>46123.0</v>
      </c>
      <c r="F10501" s="32">
        <v>46171.0</v>
      </c>
      <c r="G10501" s="33"/>
    </row>
    <row r="10502" ht="15.75" customHeight="1">
      <c r="A10502" s="29" t="s">
        <v>14179</v>
      </c>
      <c r="B10502" s="43" t="s">
        <v>541</v>
      </c>
      <c r="C10502" s="26" t="s">
        <v>940</v>
      </c>
      <c r="D10502" s="26" t="s">
        <v>3663</v>
      </c>
      <c r="E10502" s="28">
        <v>46123.0</v>
      </c>
      <c r="F10502" s="28">
        <v>46171.0</v>
      </c>
      <c r="G10502" s="29"/>
    </row>
    <row r="10503" ht="15.75" customHeight="1">
      <c r="A10503" s="33" t="s">
        <v>14180</v>
      </c>
      <c r="B10503" s="42" t="s">
        <v>578</v>
      </c>
      <c r="C10503" s="30" t="s">
        <v>940</v>
      </c>
      <c r="D10503" s="30" t="s">
        <v>3663</v>
      </c>
      <c r="E10503" s="32">
        <v>46123.0</v>
      </c>
      <c r="F10503" s="32">
        <v>46171.0</v>
      </c>
      <c r="G10503" s="33"/>
    </row>
    <row r="10504" ht="15.75" customHeight="1">
      <c r="A10504" s="29" t="s">
        <v>14181</v>
      </c>
      <c r="B10504" s="43" t="s">
        <v>608</v>
      </c>
      <c r="C10504" s="26" t="s">
        <v>940</v>
      </c>
      <c r="D10504" s="26" t="s">
        <v>3663</v>
      </c>
      <c r="E10504" s="28">
        <v>46123.0</v>
      </c>
      <c r="F10504" s="28">
        <v>46171.0</v>
      </c>
      <c r="G10504" s="29"/>
    </row>
    <row r="10505" ht="15.75" customHeight="1">
      <c r="A10505" s="33" t="s">
        <v>14182</v>
      </c>
      <c r="B10505" s="42" t="s">
        <v>613</v>
      </c>
      <c r="C10505" s="30" t="s">
        <v>940</v>
      </c>
      <c r="D10505" s="30" t="s">
        <v>3663</v>
      </c>
      <c r="E10505" s="32">
        <v>46123.0</v>
      </c>
      <c r="F10505" s="32">
        <v>46171.0</v>
      </c>
      <c r="G10505" s="33"/>
    </row>
    <row r="10506" ht="15.75" customHeight="1">
      <c r="A10506" s="29" t="s">
        <v>14183</v>
      </c>
      <c r="B10506" s="43" t="s">
        <v>619</v>
      </c>
      <c r="C10506" s="26" t="s">
        <v>940</v>
      </c>
      <c r="D10506" s="26" t="s">
        <v>3663</v>
      </c>
      <c r="E10506" s="28">
        <v>46123.0</v>
      </c>
      <c r="F10506" s="28">
        <v>46171.0</v>
      </c>
      <c r="G10506" s="29"/>
    </row>
    <row r="10507" ht="15.75" customHeight="1">
      <c r="A10507" s="33" t="s">
        <v>14184</v>
      </c>
      <c r="B10507" s="42" t="s">
        <v>629</v>
      </c>
      <c r="C10507" s="30" t="s">
        <v>940</v>
      </c>
      <c r="D10507" s="30" t="s">
        <v>3663</v>
      </c>
      <c r="E10507" s="32">
        <v>46123.0</v>
      </c>
      <c r="F10507" s="32">
        <v>46171.0</v>
      </c>
      <c r="G10507" s="33"/>
    </row>
    <row r="10508" ht="15.75" customHeight="1">
      <c r="A10508" s="29" t="s">
        <v>14185</v>
      </c>
      <c r="B10508" s="43" t="s">
        <v>672</v>
      </c>
      <c r="C10508" s="26" t="s">
        <v>940</v>
      </c>
      <c r="D10508" s="26" t="s">
        <v>3663</v>
      </c>
      <c r="E10508" s="28">
        <v>46123.0</v>
      </c>
      <c r="F10508" s="28">
        <v>46171.0</v>
      </c>
      <c r="G10508" s="29"/>
    </row>
    <row r="10509" ht="15.75" customHeight="1">
      <c r="A10509" s="33" t="s">
        <v>14186</v>
      </c>
      <c r="B10509" s="42" t="s">
        <v>675</v>
      </c>
      <c r="C10509" s="30" t="s">
        <v>940</v>
      </c>
      <c r="D10509" s="30" t="s">
        <v>3663</v>
      </c>
      <c r="E10509" s="32">
        <v>46123.0</v>
      </c>
      <c r="F10509" s="32">
        <v>46171.0</v>
      </c>
      <c r="G10509" s="33"/>
    </row>
    <row r="10510" ht="15.75" customHeight="1">
      <c r="A10510" s="29" t="s">
        <v>14187</v>
      </c>
      <c r="B10510" s="43" t="s">
        <v>701</v>
      </c>
      <c r="C10510" s="26" t="s">
        <v>940</v>
      </c>
      <c r="D10510" s="26" t="s">
        <v>3663</v>
      </c>
      <c r="E10510" s="28">
        <v>46123.0</v>
      </c>
      <c r="F10510" s="28">
        <v>46171.0</v>
      </c>
      <c r="G10510" s="29"/>
    </row>
    <row r="10511" ht="15.75" customHeight="1">
      <c r="A10511" s="33" t="s">
        <v>14188</v>
      </c>
      <c r="B10511" s="42" t="s">
        <v>1238</v>
      </c>
      <c r="C10511" s="30" t="s">
        <v>940</v>
      </c>
      <c r="D10511" s="30" t="s">
        <v>3663</v>
      </c>
      <c r="E10511" s="32">
        <v>46123.0</v>
      </c>
      <c r="F10511" s="32">
        <v>46171.0</v>
      </c>
      <c r="G10511" s="33"/>
    </row>
    <row r="10512" ht="15.75" customHeight="1">
      <c r="A10512" s="29" t="s">
        <v>14189</v>
      </c>
      <c r="B10512" s="43" t="s">
        <v>743</v>
      </c>
      <c r="C10512" s="26" t="s">
        <v>940</v>
      </c>
      <c r="D10512" s="26" t="s">
        <v>3663</v>
      </c>
      <c r="E10512" s="28">
        <v>46123.0</v>
      </c>
      <c r="F10512" s="28">
        <v>46171.0</v>
      </c>
      <c r="G10512" s="29"/>
    </row>
    <row r="10513" ht="15.75" customHeight="1">
      <c r="A10513" s="33" t="s">
        <v>14190</v>
      </c>
      <c r="B10513" s="42" t="s">
        <v>760</v>
      </c>
      <c r="C10513" s="30" t="s">
        <v>940</v>
      </c>
      <c r="D10513" s="30" t="s">
        <v>3663</v>
      </c>
      <c r="E10513" s="32">
        <v>46123.0</v>
      </c>
      <c r="F10513" s="32">
        <v>46171.0</v>
      </c>
      <c r="G10513" s="33"/>
    </row>
    <row r="10514" ht="15.75" customHeight="1">
      <c r="A10514" s="29" t="s">
        <v>14191</v>
      </c>
      <c r="B10514" s="43" t="s">
        <v>772</v>
      </c>
      <c r="C10514" s="26" t="s">
        <v>940</v>
      </c>
      <c r="D10514" s="26" t="s">
        <v>3663</v>
      </c>
      <c r="E10514" s="28">
        <v>46123.0</v>
      </c>
      <c r="F10514" s="28">
        <v>46171.0</v>
      </c>
      <c r="G10514" s="29"/>
    </row>
    <row r="10515" ht="15.75" customHeight="1">
      <c r="A10515" s="33" t="s">
        <v>14192</v>
      </c>
      <c r="B10515" s="42" t="s">
        <v>820</v>
      </c>
      <c r="C10515" s="30" t="s">
        <v>940</v>
      </c>
      <c r="D10515" s="30" t="s">
        <v>3663</v>
      </c>
      <c r="E10515" s="32">
        <v>46123.0</v>
      </c>
      <c r="F10515" s="32">
        <v>46171.0</v>
      </c>
      <c r="G10515" s="33"/>
    </row>
    <row r="10516" ht="15.75" customHeight="1">
      <c r="A10516" s="29" t="s">
        <v>14193</v>
      </c>
      <c r="B10516" s="43" t="s">
        <v>125</v>
      </c>
      <c r="C10516" s="26" t="s">
        <v>940</v>
      </c>
      <c r="D10516" s="26" t="s">
        <v>3663</v>
      </c>
      <c r="E10516" s="28">
        <v>46123.0</v>
      </c>
      <c r="F10516" s="28">
        <v>46171.0</v>
      </c>
      <c r="G10516" s="29"/>
    </row>
    <row r="10517" ht="15.75" customHeight="1">
      <c r="A10517" s="33" t="s">
        <v>14194</v>
      </c>
      <c r="B10517" s="42" t="s">
        <v>180</v>
      </c>
      <c r="C10517" s="30" t="s">
        <v>940</v>
      </c>
      <c r="D10517" s="30" t="s">
        <v>3663</v>
      </c>
      <c r="E10517" s="32">
        <v>46123.0</v>
      </c>
      <c r="F10517" s="32">
        <v>46171.0</v>
      </c>
      <c r="G10517" s="33"/>
    </row>
    <row r="10518" ht="15.75" customHeight="1">
      <c r="A10518" s="29" t="s">
        <v>14195</v>
      </c>
      <c r="B10518" s="43" t="s">
        <v>242</v>
      </c>
      <c r="C10518" s="26" t="s">
        <v>940</v>
      </c>
      <c r="D10518" s="26" t="s">
        <v>3663</v>
      </c>
      <c r="E10518" s="28">
        <v>46123.0</v>
      </c>
      <c r="F10518" s="28">
        <v>46171.0</v>
      </c>
      <c r="G10518" s="29"/>
    </row>
    <row r="10519" ht="15.75" customHeight="1">
      <c r="A10519" s="33" t="s">
        <v>14196</v>
      </c>
      <c r="B10519" s="42" t="s">
        <v>262</v>
      </c>
      <c r="C10519" s="30" t="s">
        <v>940</v>
      </c>
      <c r="D10519" s="30" t="s">
        <v>3663</v>
      </c>
      <c r="E10519" s="32">
        <v>46123.0</v>
      </c>
      <c r="F10519" s="32">
        <v>46171.0</v>
      </c>
      <c r="G10519" s="33"/>
    </row>
    <row r="10520" ht="15.75" customHeight="1">
      <c r="A10520" s="29" t="s">
        <v>14197</v>
      </c>
      <c r="B10520" s="43" t="s">
        <v>264</v>
      </c>
      <c r="C10520" s="26" t="s">
        <v>940</v>
      </c>
      <c r="D10520" s="26" t="s">
        <v>3663</v>
      </c>
      <c r="E10520" s="28">
        <v>46123.0</v>
      </c>
      <c r="F10520" s="28">
        <v>46171.0</v>
      </c>
      <c r="G10520" s="29"/>
    </row>
    <row r="10521" ht="15.75" customHeight="1">
      <c r="A10521" s="33" t="s">
        <v>14198</v>
      </c>
      <c r="B10521" s="42" t="s">
        <v>295</v>
      </c>
      <c r="C10521" s="30" t="s">
        <v>940</v>
      </c>
      <c r="D10521" s="30" t="s">
        <v>3663</v>
      </c>
      <c r="E10521" s="32">
        <v>46123.0</v>
      </c>
      <c r="F10521" s="32">
        <v>46171.0</v>
      </c>
      <c r="G10521" s="33"/>
    </row>
    <row r="10522" ht="15.75" customHeight="1">
      <c r="A10522" s="29" t="s">
        <v>14199</v>
      </c>
      <c r="B10522" s="43" t="s">
        <v>306</v>
      </c>
      <c r="C10522" s="26" t="s">
        <v>940</v>
      </c>
      <c r="D10522" s="26" t="s">
        <v>3663</v>
      </c>
      <c r="E10522" s="28">
        <v>46123.0</v>
      </c>
      <c r="F10522" s="28">
        <v>46171.0</v>
      </c>
      <c r="G10522" s="29"/>
    </row>
    <row r="10523" ht="15.75" customHeight="1">
      <c r="A10523" s="33" t="s">
        <v>14200</v>
      </c>
      <c r="B10523" s="42" t="s">
        <v>322</v>
      </c>
      <c r="C10523" s="30" t="s">
        <v>940</v>
      </c>
      <c r="D10523" s="30" t="s">
        <v>3663</v>
      </c>
      <c r="E10523" s="32">
        <v>46123.0</v>
      </c>
      <c r="F10523" s="32">
        <v>46171.0</v>
      </c>
      <c r="G10523" s="33"/>
    </row>
    <row r="10524" ht="15.75" customHeight="1">
      <c r="A10524" s="29" t="s">
        <v>14201</v>
      </c>
      <c r="B10524" s="43" t="s">
        <v>325</v>
      </c>
      <c r="C10524" s="26" t="s">
        <v>940</v>
      </c>
      <c r="D10524" s="26" t="s">
        <v>3663</v>
      </c>
      <c r="E10524" s="28">
        <v>46123.0</v>
      </c>
      <c r="F10524" s="28">
        <v>46171.0</v>
      </c>
      <c r="G10524" s="29"/>
    </row>
    <row r="10525" ht="15.75" customHeight="1">
      <c r="A10525" s="33" t="s">
        <v>14202</v>
      </c>
      <c r="B10525" s="42" t="s">
        <v>342</v>
      </c>
      <c r="C10525" s="30" t="s">
        <v>940</v>
      </c>
      <c r="D10525" s="30" t="s">
        <v>3663</v>
      </c>
      <c r="E10525" s="32">
        <v>46123.0</v>
      </c>
      <c r="F10525" s="32">
        <v>46171.0</v>
      </c>
      <c r="G10525" s="33"/>
    </row>
    <row r="10526" ht="15.75" customHeight="1">
      <c r="A10526" s="29" t="s">
        <v>14203</v>
      </c>
      <c r="B10526" s="43" t="s">
        <v>360</v>
      </c>
      <c r="C10526" s="26" t="s">
        <v>940</v>
      </c>
      <c r="D10526" s="26" t="s">
        <v>3663</v>
      </c>
      <c r="E10526" s="28">
        <v>46123.0</v>
      </c>
      <c r="F10526" s="28">
        <v>46171.0</v>
      </c>
      <c r="G10526" s="29"/>
    </row>
    <row r="10527" ht="15.75" customHeight="1">
      <c r="A10527" s="33" t="s">
        <v>14204</v>
      </c>
      <c r="B10527" s="42" t="s">
        <v>363</v>
      </c>
      <c r="C10527" s="30" t="s">
        <v>940</v>
      </c>
      <c r="D10527" s="30" t="s">
        <v>3663</v>
      </c>
      <c r="E10527" s="32">
        <v>46123.0</v>
      </c>
      <c r="F10527" s="32">
        <v>46171.0</v>
      </c>
      <c r="G10527" s="33"/>
    </row>
    <row r="10528" ht="15.75" customHeight="1">
      <c r="A10528" s="29" t="s">
        <v>14205</v>
      </c>
      <c r="B10528" s="43" t="s">
        <v>376</v>
      </c>
      <c r="C10528" s="26" t="s">
        <v>940</v>
      </c>
      <c r="D10528" s="26" t="s">
        <v>3663</v>
      </c>
      <c r="E10528" s="28">
        <v>46123.0</v>
      </c>
      <c r="F10528" s="28">
        <v>46171.0</v>
      </c>
      <c r="G10528" s="29"/>
    </row>
    <row r="10529" ht="15.75" customHeight="1">
      <c r="A10529" s="33" t="s">
        <v>14206</v>
      </c>
      <c r="B10529" s="42" t="s">
        <v>386</v>
      </c>
      <c r="C10529" s="30" t="s">
        <v>940</v>
      </c>
      <c r="D10529" s="30" t="s">
        <v>3663</v>
      </c>
      <c r="E10529" s="32">
        <v>46123.0</v>
      </c>
      <c r="F10529" s="32">
        <v>46171.0</v>
      </c>
      <c r="G10529" s="33"/>
    </row>
    <row r="10530" ht="15.75" customHeight="1">
      <c r="A10530" s="29" t="s">
        <v>14207</v>
      </c>
      <c r="B10530" s="43" t="s">
        <v>440</v>
      </c>
      <c r="C10530" s="26" t="s">
        <v>940</v>
      </c>
      <c r="D10530" s="26" t="s">
        <v>3663</v>
      </c>
      <c r="E10530" s="28">
        <v>46123.0</v>
      </c>
      <c r="F10530" s="28">
        <v>46171.0</v>
      </c>
      <c r="G10530" s="29"/>
    </row>
    <row r="10531" ht="15.75" customHeight="1">
      <c r="A10531" s="33" t="s">
        <v>14208</v>
      </c>
      <c r="B10531" s="42" t="s">
        <v>458</v>
      </c>
      <c r="C10531" s="30" t="s">
        <v>940</v>
      </c>
      <c r="D10531" s="30" t="s">
        <v>3663</v>
      </c>
      <c r="E10531" s="32">
        <v>46123.0</v>
      </c>
      <c r="F10531" s="32">
        <v>46171.0</v>
      </c>
      <c r="G10531" s="33"/>
    </row>
    <row r="10532" ht="15.75" customHeight="1">
      <c r="A10532" s="29" t="s">
        <v>14209</v>
      </c>
      <c r="B10532" s="43" t="s">
        <v>464</v>
      </c>
      <c r="C10532" s="26" t="s">
        <v>940</v>
      </c>
      <c r="D10532" s="26" t="s">
        <v>3663</v>
      </c>
      <c r="E10532" s="28">
        <v>46123.0</v>
      </c>
      <c r="F10532" s="28">
        <v>46171.0</v>
      </c>
      <c r="G10532" s="29"/>
    </row>
    <row r="10533" ht="15.75" customHeight="1">
      <c r="A10533" s="33" t="s">
        <v>14210</v>
      </c>
      <c r="B10533" s="42" t="s">
        <v>466</v>
      </c>
      <c r="C10533" s="30" t="s">
        <v>940</v>
      </c>
      <c r="D10533" s="30" t="s">
        <v>3663</v>
      </c>
      <c r="E10533" s="32">
        <v>46123.0</v>
      </c>
      <c r="F10533" s="32">
        <v>46171.0</v>
      </c>
      <c r="G10533" s="33"/>
    </row>
    <row r="10534" ht="15.75" customHeight="1">
      <c r="A10534" s="29" t="s">
        <v>14211</v>
      </c>
      <c r="B10534" s="43" t="s">
        <v>485</v>
      </c>
      <c r="C10534" s="26" t="s">
        <v>940</v>
      </c>
      <c r="D10534" s="26" t="s">
        <v>3663</v>
      </c>
      <c r="E10534" s="28">
        <v>46123.0</v>
      </c>
      <c r="F10534" s="28">
        <v>46171.0</v>
      </c>
      <c r="G10534" s="29"/>
    </row>
    <row r="10535" ht="15.75" customHeight="1">
      <c r="A10535" s="33" t="s">
        <v>14212</v>
      </c>
      <c r="B10535" s="42" t="s">
        <v>506</v>
      </c>
      <c r="C10535" s="30" t="s">
        <v>940</v>
      </c>
      <c r="D10535" s="30" t="s">
        <v>3663</v>
      </c>
      <c r="E10535" s="32">
        <v>46123.0</v>
      </c>
      <c r="F10535" s="32">
        <v>46171.0</v>
      </c>
      <c r="G10535" s="33"/>
    </row>
    <row r="10536" ht="15.75" customHeight="1">
      <c r="A10536" s="29" t="s">
        <v>14213</v>
      </c>
      <c r="B10536" s="43" t="s">
        <v>511</v>
      </c>
      <c r="C10536" s="26" t="s">
        <v>940</v>
      </c>
      <c r="D10536" s="26" t="s">
        <v>3663</v>
      </c>
      <c r="E10536" s="28">
        <v>46123.0</v>
      </c>
      <c r="F10536" s="28">
        <v>46171.0</v>
      </c>
      <c r="G10536" s="29"/>
    </row>
    <row r="10537" ht="15.75" customHeight="1">
      <c r="A10537" s="33" t="s">
        <v>14214</v>
      </c>
      <c r="B10537" s="42" t="s">
        <v>536</v>
      </c>
      <c r="C10537" s="30" t="s">
        <v>940</v>
      </c>
      <c r="D10537" s="30" t="s">
        <v>3663</v>
      </c>
      <c r="E10537" s="32">
        <v>46123.0</v>
      </c>
      <c r="F10537" s="32">
        <v>46171.0</v>
      </c>
      <c r="G10537" s="33"/>
    </row>
    <row r="10538" ht="15.75" customHeight="1">
      <c r="A10538" s="29" t="s">
        <v>14215</v>
      </c>
      <c r="B10538" s="43" t="s">
        <v>544</v>
      </c>
      <c r="C10538" s="26" t="s">
        <v>940</v>
      </c>
      <c r="D10538" s="26" t="s">
        <v>3663</v>
      </c>
      <c r="E10538" s="28">
        <v>46123.0</v>
      </c>
      <c r="F10538" s="28">
        <v>46171.0</v>
      </c>
      <c r="G10538" s="29"/>
    </row>
    <row r="10539" ht="15.75" customHeight="1">
      <c r="A10539" s="33" t="s">
        <v>14216</v>
      </c>
      <c r="B10539" s="42" t="s">
        <v>583</v>
      </c>
      <c r="C10539" s="30" t="s">
        <v>940</v>
      </c>
      <c r="D10539" s="30" t="s">
        <v>3663</v>
      </c>
      <c r="E10539" s="32">
        <v>46123.0</v>
      </c>
      <c r="F10539" s="32">
        <v>46171.0</v>
      </c>
      <c r="G10539" s="33"/>
    </row>
    <row r="10540" ht="15.75" customHeight="1">
      <c r="A10540" s="29" t="s">
        <v>14217</v>
      </c>
      <c r="B10540" s="43" t="s">
        <v>585</v>
      </c>
      <c r="C10540" s="26" t="s">
        <v>940</v>
      </c>
      <c r="D10540" s="26" t="s">
        <v>3663</v>
      </c>
      <c r="E10540" s="28">
        <v>46123.0</v>
      </c>
      <c r="F10540" s="28">
        <v>46171.0</v>
      </c>
      <c r="G10540" s="29"/>
    </row>
    <row r="10541" ht="15.75" customHeight="1">
      <c r="A10541" s="33" t="s">
        <v>14218</v>
      </c>
      <c r="B10541" s="42" t="s">
        <v>598</v>
      </c>
      <c r="C10541" s="30" t="s">
        <v>940</v>
      </c>
      <c r="D10541" s="30" t="s">
        <v>3663</v>
      </c>
      <c r="E10541" s="32">
        <v>46123.0</v>
      </c>
      <c r="F10541" s="32">
        <v>46171.0</v>
      </c>
      <c r="G10541" s="33"/>
    </row>
    <row r="10542" ht="15.75" customHeight="1">
      <c r="A10542" s="29" t="s">
        <v>14219</v>
      </c>
      <c r="B10542" s="43" t="s">
        <v>1264</v>
      </c>
      <c r="C10542" s="26" t="s">
        <v>940</v>
      </c>
      <c r="D10542" s="26" t="s">
        <v>3663</v>
      </c>
      <c r="E10542" s="28">
        <v>46123.0</v>
      </c>
      <c r="F10542" s="28">
        <v>46171.0</v>
      </c>
      <c r="G10542" s="29"/>
    </row>
    <row r="10543" ht="15.75" customHeight="1">
      <c r="A10543" s="33" t="s">
        <v>14220</v>
      </c>
      <c r="B10543" s="42" t="s">
        <v>627</v>
      </c>
      <c r="C10543" s="30" t="s">
        <v>940</v>
      </c>
      <c r="D10543" s="30" t="s">
        <v>3663</v>
      </c>
      <c r="E10543" s="32">
        <v>46123.0</v>
      </c>
      <c r="F10543" s="32">
        <v>46171.0</v>
      </c>
      <c r="G10543" s="33"/>
    </row>
    <row r="10544" ht="15.75" customHeight="1">
      <c r="A10544" s="29" t="s">
        <v>14221</v>
      </c>
      <c r="B10544" s="43" t="s">
        <v>641</v>
      </c>
      <c r="C10544" s="26" t="s">
        <v>940</v>
      </c>
      <c r="D10544" s="26" t="s">
        <v>3663</v>
      </c>
      <c r="E10544" s="28">
        <v>46123.0</v>
      </c>
      <c r="F10544" s="28">
        <v>46171.0</v>
      </c>
      <c r="G10544" s="29"/>
    </row>
    <row r="10545" ht="15.75" customHeight="1">
      <c r="A10545" s="33" t="s">
        <v>14222</v>
      </c>
      <c r="B10545" s="42" t="s">
        <v>645</v>
      </c>
      <c r="C10545" s="30" t="s">
        <v>940</v>
      </c>
      <c r="D10545" s="30" t="s">
        <v>3663</v>
      </c>
      <c r="E10545" s="32">
        <v>46123.0</v>
      </c>
      <c r="F10545" s="32">
        <v>46171.0</v>
      </c>
      <c r="G10545" s="33"/>
    </row>
    <row r="10546" ht="15.75" customHeight="1">
      <c r="A10546" s="29" t="s">
        <v>14223</v>
      </c>
      <c r="B10546" s="43" t="s">
        <v>658</v>
      </c>
      <c r="C10546" s="26" t="s">
        <v>940</v>
      </c>
      <c r="D10546" s="26" t="s">
        <v>3663</v>
      </c>
      <c r="E10546" s="28">
        <v>46123.0</v>
      </c>
      <c r="F10546" s="28">
        <v>46171.0</v>
      </c>
      <c r="G10546" s="29"/>
    </row>
    <row r="10547" ht="15.75" customHeight="1">
      <c r="A10547" s="33" t="s">
        <v>14224</v>
      </c>
      <c r="B10547" s="42" t="s">
        <v>662</v>
      </c>
      <c r="C10547" s="30" t="s">
        <v>940</v>
      </c>
      <c r="D10547" s="30" t="s">
        <v>3663</v>
      </c>
      <c r="E10547" s="32">
        <v>46123.0</v>
      </c>
      <c r="F10547" s="32">
        <v>46171.0</v>
      </c>
      <c r="G10547" s="33"/>
    </row>
    <row r="10548" ht="15.75" customHeight="1">
      <c r="A10548" s="29" t="s">
        <v>14225</v>
      </c>
      <c r="B10548" s="43" t="s">
        <v>677</v>
      </c>
      <c r="C10548" s="26" t="s">
        <v>940</v>
      </c>
      <c r="D10548" s="26" t="s">
        <v>3663</v>
      </c>
      <c r="E10548" s="28">
        <v>46123.0</v>
      </c>
      <c r="F10548" s="28">
        <v>46171.0</v>
      </c>
      <c r="G10548" s="29"/>
    </row>
    <row r="10549" ht="15.75" customHeight="1">
      <c r="A10549" s="33" t="s">
        <v>14226</v>
      </c>
      <c r="B10549" s="42" t="s">
        <v>687</v>
      </c>
      <c r="C10549" s="30" t="s">
        <v>940</v>
      </c>
      <c r="D10549" s="30" t="s">
        <v>3663</v>
      </c>
      <c r="E10549" s="32">
        <v>46123.0</v>
      </c>
      <c r="F10549" s="32">
        <v>46171.0</v>
      </c>
      <c r="G10549" s="33"/>
    </row>
    <row r="10550" ht="15.75" customHeight="1">
      <c r="A10550" s="29" t="s">
        <v>14227</v>
      </c>
      <c r="B10550" s="43" t="s">
        <v>716</v>
      </c>
      <c r="C10550" s="26" t="s">
        <v>940</v>
      </c>
      <c r="D10550" s="26" t="s">
        <v>3663</v>
      </c>
      <c r="E10550" s="28">
        <v>46123.0</v>
      </c>
      <c r="F10550" s="28">
        <v>46171.0</v>
      </c>
      <c r="G10550" s="29"/>
    </row>
    <row r="10551" ht="15.75" customHeight="1">
      <c r="A10551" s="33" t="s">
        <v>14228</v>
      </c>
      <c r="B10551" s="42" t="s">
        <v>724</v>
      </c>
      <c r="C10551" s="30" t="s">
        <v>940</v>
      </c>
      <c r="D10551" s="30" t="s">
        <v>3663</v>
      </c>
      <c r="E10551" s="32">
        <v>46123.0</v>
      </c>
      <c r="F10551" s="32">
        <v>46171.0</v>
      </c>
      <c r="G10551" s="33"/>
    </row>
    <row r="10552" ht="15.75" customHeight="1">
      <c r="A10552" s="29" t="s">
        <v>14229</v>
      </c>
      <c r="B10552" s="43" t="s">
        <v>726</v>
      </c>
      <c r="C10552" s="26" t="s">
        <v>940</v>
      </c>
      <c r="D10552" s="26" t="s">
        <v>3663</v>
      </c>
      <c r="E10552" s="28">
        <v>46123.0</v>
      </c>
      <c r="F10552" s="28">
        <v>46171.0</v>
      </c>
      <c r="G10552" s="29"/>
    </row>
    <row r="10553" ht="15.75" customHeight="1">
      <c r="A10553" s="33" t="s">
        <v>14230</v>
      </c>
      <c r="B10553" s="42" t="s">
        <v>745</v>
      </c>
      <c r="C10553" s="30" t="s">
        <v>940</v>
      </c>
      <c r="D10553" s="30" t="s">
        <v>3663</v>
      </c>
      <c r="E10553" s="32">
        <v>46123.0</v>
      </c>
      <c r="F10553" s="32">
        <v>46171.0</v>
      </c>
      <c r="G10553" s="33"/>
    </row>
    <row r="10554" ht="15.75" customHeight="1">
      <c r="A10554" s="29" t="s">
        <v>14231</v>
      </c>
      <c r="B10554" s="43" t="s">
        <v>754</v>
      </c>
      <c r="C10554" s="26" t="s">
        <v>940</v>
      </c>
      <c r="D10554" s="26" t="s">
        <v>3663</v>
      </c>
      <c r="E10554" s="28">
        <v>46123.0</v>
      </c>
      <c r="F10554" s="28">
        <v>46171.0</v>
      </c>
      <c r="G10554" s="29"/>
    </row>
    <row r="10555" ht="15.75" customHeight="1">
      <c r="A10555" s="33" t="s">
        <v>14232</v>
      </c>
      <c r="B10555" s="42" t="s">
        <v>775</v>
      </c>
      <c r="C10555" s="30" t="s">
        <v>940</v>
      </c>
      <c r="D10555" s="30" t="s">
        <v>3663</v>
      </c>
      <c r="E10555" s="32">
        <v>46123.0</v>
      </c>
      <c r="F10555" s="32">
        <v>46171.0</v>
      </c>
      <c r="G10555" s="33"/>
    </row>
    <row r="10556" ht="15.75" customHeight="1">
      <c r="A10556" s="29" t="s">
        <v>14233</v>
      </c>
      <c r="B10556" s="43" t="s">
        <v>781</v>
      </c>
      <c r="C10556" s="26" t="s">
        <v>940</v>
      </c>
      <c r="D10556" s="26" t="s">
        <v>3663</v>
      </c>
      <c r="E10556" s="28">
        <v>46123.0</v>
      </c>
      <c r="F10556" s="28">
        <v>46171.0</v>
      </c>
      <c r="G10556" s="29"/>
    </row>
    <row r="10557" ht="15.75" customHeight="1">
      <c r="A10557" s="33" t="s">
        <v>14234</v>
      </c>
      <c r="B10557" s="42" t="s">
        <v>1329</v>
      </c>
      <c r="C10557" s="30" t="s">
        <v>940</v>
      </c>
      <c r="D10557" s="30" t="s">
        <v>3663</v>
      </c>
      <c r="E10557" s="32">
        <v>46123.0</v>
      </c>
      <c r="F10557" s="32">
        <v>46171.0</v>
      </c>
      <c r="G10557" s="33"/>
    </row>
    <row r="10558" ht="15.75" customHeight="1">
      <c r="A10558" s="29" t="s">
        <v>14235</v>
      </c>
      <c r="B10558" s="43" t="s">
        <v>816</v>
      </c>
      <c r="C10558" s="26" t="s">
        <v>940</v>
      </c>
      <c r="D10558" s="26" t="s">
        <v>3663</v>
      </c>
      <c r="E10558" s="28">
        <v>46123.0</v>
      </c>
      <c r="F10558" s="28">
        <v>46171.0</v>
      </c>
      <c r="G10558" s="29"/>
    </row>
    <row r="10559" ht="15.75" customHeight="1">
      <c r="A10559" s="33" t="s">
        <v>14236</v>
      </c>
      <c r="B10559" s="42" t="s">
        <v>233</v>
      </c>
      <c r="C10559" s="30" t="s">
        <v>940</v>
      </c>
      <c r="D10559" s="30" t="s">
        <v>3663</v>
      </c>
      <c r="E10559" s="32">
        <v>46123.0</v>
      </c>
      <c r="F10559" s="32">
        <v>46171.0</v>
      </c>
      <c r="G10559" s="33"/>
    </row>
    <row r="10560" ht="15.75" customHeight="1">
      <c r="A10560" s="29" t="s">
        <v>14237</v>
      </c>
      <c r="B10560" s="43" t="s">
        <v>2347</v>
      </c>
      <c r="C10560" s="26" t="s">
        <v>940</v>
      </c>
      <c r="D10560" s="26" t="s">
        <v>3663</v>
      </c>
      <c r="E10560" s="28">
        <v>46123.0</v>
      </c>
      <c r="F10560" s="28">
        <v>46171.0</v>
      </c>
      <c r="G10560" s="29"/>
    </row>
    <row r="10561" ht="15.75" customHeight="1">
      <c r="A10561" s="33" t="s">
        <v>14238</v>
      </c>
      <c r="B10561" s="42" t="s">
        <v>277</v>
      </c>
      <c r="C10561" s="30" t="s">
        <v>940</v>
      </c>
      <c r="D10561" s="30" t="s">
        <v>3663</v>
      </c>
      <c r="E10561" s="32">
        <v>46123.0</v>
      </c>
      <c r="F10561" s="32">
        <v>46171.0</v>
      </c>
      <c r="G10561" s="33"/>
    </row>
    <row r="10562" ht="15.75" customHeight="1">
      <c r="A10562" s="29" t="s">
        <v>14239</v>
      </c>
      <c r="B10562" s="43" t="s">
        <v>284</v>
      </c>
      <c r="C10562" s="26" t="s">
        <v>940</v>
      </c>
      <c r="D10562" s="26" t="s">
        <v>3663</v>
      </c>
      <c r="E10562" s="28">
        <v>46123.0</v>
      </c>
      <c r="F10562" s="28">
        <v>46171.0</v>
      </c>
      <c r="G10562" s="29"/>
    </row>
    <row r="10563" ht="15.75" customHeight="1">
      <c r="A10563" s="33" t="s">
        <v>14240</v>
      </c>
      <c r="B10563" s="42" t="s">
        <v>317</v>
      </c>
      <c r="C10563" s="30" t="s">
        <v>940</v>
      </c>
      <c r="D10563" s="30" t="s">
        <v>3663</v>
      </c>
      <c r="E10563" s="32">
        <v>46123.0</v>
      </c>
      <c r="F10563" s="32">
        <v>46171.0</v>
      </c>
      <c r="G10563" s="33"/>
    </row>
    <row r="10564" ht="15.75" customHeight="1">
      <c r="A10564" s="29" t="s">
        <v>14241</v>
      </c>
      <c r="B10564" s="43" t="s">
        <v>319</v>
      </c>
      <c r="C10564" s="26" t="s">
        <v>940</v>
      </c>
      <c r="D10564" s="26" t="s">
        <v>3663</v>
      </c>
      <c r="E10564" s="28">
        <v>46123.0</v>
      </c>
      <c r="F10564" s="28">
        <v>46171.0</v>
      </c>
      <c r="G10564" s="29"/>
    </row>
    <row r="10565" ht="15.75" customHeight="1">
      <c r="A10565" s="33" t="s">
        <v>14242</v>
      </c>
      <c r="B10565" s="42" t="s">
        <v>358</v>
      </c>
      <c r="C10565" s="30" t="s">
        <v>940</v>
      </c>
      <c r="D10565" s="30" t="s">
        <v>3663</v>
      </c>
      <c r="E10565" s="32">
        <v>46123.0</v>
      </c>
      <c r="F10565" s="32">
        <v>46171.0</v>
      </c>
      <c r="G10565" s="33"/>
    </row>
    <row r="10566" ht="15.75" customHeight="1">
      <c r="A10566" s="29" t="s">
        <v>14243</v>
      </c>
      <c r="B10566" s="43" t="s">
        <v>380</v>
      </c>
      <c r="C10566" s="26" t="s">
        <v>940</v>
      </c>
      <c r="D10566" s="26" t="s">
        <v>3663</v>
      </c>
      <c r="E10566" s="28">
        <v>46123.0</v>
      </c>
      <c r="F10566" s="28">
        <v>46171.0</v>
      </c>
      <c r="G10566" s="29"/>
    </row>
    <row r="10567" ht="15.75" customHeight="1">
      <c r="A10567" s="33" t="s">
        <v>14244</v>
      </c>
      <c r="B10567" s="42" t="s">
        <v>382</v>
      </c>
      <c r="C10567" s="30" t="s">
        <v>940</v>
      </c>
      <c r="D10567" s="30" t="s">
        <v>3663</v>
      </c>
      <c r="E10567" s="32">
        <v>46123.0</v>
      </c>
      <c r="F10567" s="32">
        <v>46171.0</v>
      </c>
      <c r="G10567" s="33"/>
    </row>
    <row r="10568" ht="15.75" customHeight="1">
      <c r="A10568" s="29" t="s">
        <v>14245</v>
      </c>
      <c r="B10568" s="43" t="s">
        <v>415</v>
      </c>
      <c r="C10568" s="26" t="s">
        <v>940</v>
      </c>
      <c r="D10568" s="26" t="s">
        <v>3663</v>
      </c>
      <c r="E10568" s="28">
        <v>46123.0</v>
      </c>
      <c r="F10568" s="28">
        <v>46171.0</v>
      </c>
      <c r="G10568" s="29"/>
    </row>
    <row r="10569" ht="15.75" customHeight="1">
      <c r="A10569" s="33" t="s">
        <v>14246</v>
      </c>
      <c r="B10569" s="42" t="s">
        <v>2505</v>
      </c>
      <c r="C10569" s="30" t="s">
        <v>940</v>
      </c>
      <c r="D10569" s="30" t="s">
        <v>3663</v>
      </c>
      <c r="E10569" s="32">
        <v>46123.0</v>
      </c>
      <c r="F10569" s="32">
        <v>46171.0</v>
      </c>
      <c r="G10569" s="33"/>
    </row>
    <row r="10570" ht="15.75" customHeight="1">
      <c r="A10570" s="29" t="s">
        <v>14247</v>
      </c>
      <c r="B10570" s="43" t="s">
        <v>417</v>
      </c>
      <c r="C10570" s="26" t="s">
        <v>940</v>
      </c>
      <c r="D10570" s="26" t="s">
        <v>3663</v>
      </c>
      <c r="E10570" s="28">
        <v>46123.0</v>
      </c>
      <c r="F10570" s="28">
        <v>46171.0</v>
      </c>
      <c r="G10570" s="29"/>
    </row>
    <row r="10571" ht="15.75" customHeight="1">
      <c r="A10571" s="33" t="s">
        <v>14248</v>
      </c>
      <c r="B10571" s="42" t="s">
        <v>439</v>
      </c>
      <c r="C10571" s="30" t="s">
        <v>940</v>
      </c>
      <c r="D10571" s="30" t="s">
        <v>3663</v>
      </c>
      <c r="E10571" s="32">
        <v>46123.0</v>
      </c>
      <c r="F10571" s="32">
        <v>46171.0</v>
      </c>
      <c r="G10571" s="33"/>
    </row>
    <row r="10572" ht="15.75" customHeight="1">
      <c r="A10572" s="29" t="s">
        <v>14249</v>
      </c>
      <c r="B10572" s="43" t="s">
        <v>13592</v>
      </c>
      <c r="C10572" s="26" t="s">
        <v>940</v>
      </c>
      <c r="D10572" s="26" t="s">
        <v>3663</v>
      </c>
      <c r="E10572" s="28">
        <v>46123.0</v>
      </c>
      <c r="F10572" s="28">
        <v>46171.0</v>
      </c>
      <c r="G10572" s="29"/>
    </row>
    <row r="10573" ht="15.75" customHeight="1">
      <c r="A10573" s="33" t="s">
        <v>14250</v>
      </c>
      <c r="B10573" s="42" t="s">
        <v>499</v>
      </c>
      <c r="C10573" s="30" t="s">
        <v>940</v>
      </c>
      <c r="D10573" s="30" t="s">
        <v>3663</v>
      </c>
      <c r="E10573" s="32">
        <v>46123.0</v>
      </c>
      <c r="F10573" s="32">
        <v>46171.0</v>
      </c>
      <c r="G10573" s="33"/>
    </row>
    <row r="10574" ht="15.75" customHeight="1">
      <c r="A10574" s="29" t="s">
        <v>14251</v>
      </c>
      <c r="B10574" s="43" t="s">
        <v>527</v>
      </c>
      <c r="C10574" s="26" t="s">
        <v>940</v>
      </c>
      <c r="D10574" s="26" t="s">
        <v>3663</v>
      </c>
      <c r="E10574" s="28">
        <v>46123.0</v>
      </c>
      <c r="F10574" s="28">
        <v>46171.0</v>
      </c>
      <c r="G10574" s="29"/>
    </row>
    <row r="10575" ht="15.75" customHeight="1">
      <c r="A10575" s="33" t="s">
        <v>14252</v>
      </c>
      <c r="B10575" s="42" t="s">
        <v>542</v>
      </c>
      <c r="C10575" s="30" t="s">
        <v>940</v>
      </c>
      <c r="D10575" s="30" t="s">
        <v>3663</v>
      </c>
      <c r="E10575" s="32">
        <v>46123.0</v>
      </c>
      <c r="F10575" s="32">
        <v>46171.0</v>
      </c>
      <c r="G10575" s="33"/>
    </row>
    <row r="10576" ht="15.75" customHeight="1">
      <c r="A10576" s="29" t="s">
        <v>14253</v>
      </c>
      <c r="B10576" s="43" t="s">
        <v>574</v>
      </c>
      <c r="C10576" s="26" t="s">
        <v>940</v>
      </c>
      <c r="D10576" s="26" t="s">
        <v>3663</v>
      </c>
      <c r="E10576" s="28">
        <v>46123.0</v>
      </c>
      <c r="F10576" s="28">
        <v>46171.0</v>
      </c>
      <c r="G10576" s="29"/>
    </row>
    <row r="10577" ht="15.75" customHeight="1">
      <c r="A10577" s="33" t="s">
        <v>14254</v>
      </c>
      <c r="B10577" s="42" t="s">
        <v>575</v>
      </c>
      <c r="C10577" s="30" t="s">
        <v>940</v>
      </c>
      <c r="D10577" s="30" t="s">
        <v>3663</v>
      </c>
      <c r="E10577" s="32">
        <v>46123.0</v>
      </c>
      <c r="F10577" s="32">
        <v>46171.0</v>
      </c>
      <c r="G10577" s="33"/>
    </row>
    <row r="10578" ht="15.75" customHeight="1">
      <c r="A10578" s="29" t="s">
        <v>14255</v>
      </c>
      <c r="B10578" s="43" t="s">
        <v>584</v>
      </c>
      <c r="C10578" s="26" t="s">
        <v>940</v>
      </c>
      <c r="D10578" s="26" t="s">
        <v>3663</v>
      </c>
      <c r="E10578" s="28">
        <v>46123.0</v>
      </c>
      <c r="F10578" s="28">
        <v>46171.0</v>
      </c>
      <c r="G10578" s="29"/>
    </row>
    <row r="10579" ht="15.75" customHeight="1">
      <c r="A10579" s="33" t="s">
        <v>14256</v>
      </c>
      <c r="B10579" s="42" t="s">
        <v>586</v>
      </c>
      <c r="C10579" s="30" t="s">
        <v>940</v>
      </c>
      <c r="D10579" s="30" t="s">
        <v>3663</v>
      </c>
      <c r="E10579" s="32">
        <v>46123.0</v>
      </c>
      <c r="F10579" s="32">
        <v>46171.0</v>
      </c>
      <c r="G10579" s="33"/>
    </row>
    <row r="10580" ht="15.75" customHeight="1">
      <c r="A10580" s="29" t="s">
        <v>14257</v>
      </c>
      <c r="B10580" s="43" t="s">
        <v>592</v>
      </c>
      <c r="C10580" s="26" t="s">
        <v>940</v>
      </c>
      <c r="D10580" s="26" t="s">
        <v>3663</v>
      </c>
      <c r="E10580" s="28">
        <v>46123.0</v>
      </c>
      <c r="F10580" s="28">
        <v>46171.0</v>
      </c>
      <c r="G10580" s="29"/>
    </row>
    <row r="10581" ht="15.75" customHeight="1">
      <c r="A10581" s="33" t="s">
        <v>14258</v>
      </c>
      <c r="B10581" s="42" t="s">
        <v>631</v>
      </c>
      <c r="C10581" s="30" t="s">
        <v>940</v>
      </c>
      <c r="D10581" s="30" t="s">
        <v>3663</v>
      </c>
      <c r="E10581" s="32">
        <v>46123.0</v>
      </c>
      <c r="F10581" s="32">
        <v>46171.0</v>
      </c>
      <c r="G10581" s="33"/>
    </row>
    <row r="10582" ht="15.75" customHeight="1">
      <c r="A10582" s="29" t="s">
        <v>14259</v>
      </c>
      <c r="B10582" s="43" t="s">
        <v>678</v>
      </c>
      <c r="C10582" s="26" t="s">
        <v>940</v>
      </c>
      <c r="D10582" s="26" t="s">
        <v>3663</v>
      </c>
      <c r="E10582" s="28">
        <v>46123.0</v>
      </c>
      <c r="F10582" s="28">
        <v>46171.0</v>
      </c>
      <c r="G10582" s="29"/>
    </row>
    <row r="10583" ht="15.75" customHeight="1">
      <c r="A10583" s="33" t="s">
        <v>14260</v>
      </c>
      <c r="B10583" s="42" t="s">
        <v>690</v>
      </c>
      <c r="C10583" s="30" t="s">
        <v>940</v>
      </c>
      <c r="D10583" s="30" t="s">
        <v>3663</v>
      </c>
      <c r="E10583" s="32">
        <v>46123.0</v>
      </c>
      <c r="F10583" s="32">
        <v>46171.0</v>
      </c>
      <c r="G10583" s="33"/>
    </row>
    <row r="10584" ht="15.75" customHeight="1">
      <c r="A10584" s="29" t="s">
        <v>14261</v>
      </c>
      <c r="B10584" s="43" t="s">
        <v>711</v>
      </c>
      <c r="C10584" s="26" t="s">
        <v>940</v>
      </c>
      <c r="D10584" s="26" t="s">
        <v>3663</v>
      </c>
      <c r="E10584" s="28">
        <v>46123.0</v>
      </c>
      <c r="F10584" s="28">
        <v>46171.0</v>
      </c>
      <c r="G10584" s="29"/>
    </row>
    <row r="10585" ht="15.75" customHeight="1">
      <c r="A10585" s="33" t="s">
        <v>14262</v>
      </c>
      <c r="B10585" s="42" t="s">
        <v>755</v>
      </c>
      <c r="C10585" s="30" t="s">
        <v>940</v>
      </c>
      <c r="D10585" s="30" t="s">
        <v>3663</v>
      </c>
      <c r="E10585" s="32">
        <v>46123.0</v>
      </c>
      <c r="F10585" s="32">
        <v>46171.0</v>
      </c>
      <c r="G10585" s="33"/>
    </row>
    <row r="10586" ht="15.75" customHeight="1">
      <c r="A10586" s="29" t="s">
        <v>14263</v>
      </c>
      <c r="B10586" s="43" t="s">
        <v>757</v>
      </c>
      <c r="C10586" s="26" t="s">
        <v>940</v>
      </c>
      <c r="D10586" s="26" t="s">
        <v>3663</v>
      </c>
      <c r="E10586" s="28">
        <v>46123.0</v>
      </c>
      <c r="F10586" s="28">
        <v>46171.0</v>
      </c>
      <c r="G10586" s="29"/>
    </row>
    <row r="10587" ht="15.75" customHeight="1">
      <c r="A10587" s="33" t="s">
        <v>14264</v>
      </c>
      <c r="B10587" s="42" t="s">
        <v>787</v>
      </c>
      <c r="C10587" s="30" t="s">
        <v>940</v>
      </c>
      <c r="D10587" s="30" t="s">
        <v>3663</v>
      </c>
      <c r="E10587" s="32">
        <v>46123.0</v>
      </c>
      <c r="F10587" s="32">
        <v>46171.0</v>
      </c>
      <c r="G10587" s="33"/>
    </row>
    <row r="10588" ht="15.75" customHeight="1">
      <c r="A10588" s="29" t="s">
        <v>14265</v>
      </c>
      <c r="B10588" s="43" t="s">
        <v>140</v>
      </c>
      <c r="C10588" s="26" t="s">
        <v>940</v>
      </c>
      <c r="D10588" s="26" t="s">
        <v>3663</v>
      </c>
      <c r="E10588" s="28">
        <v>46123.0</v>
      </c>
      <c r="F10588" s="28">
        <v>46171.0</v>
      </c>
      <c r="G10588" s="29"/>
    </row>
    <row r="10589" ht="15.75" customHeight="1">
      <c r="A10589" s="33" t="s">
        <v>14266</v>
      </c>
      <c r="B10589" s="42" t="s">
        <v>167</v>
      </c>
      <c r="C10589" s="30" t="s">
        <v>940</v>
      </c>
      <c r="D10589" s="30" t="s">
        <v>3663</v>
      </c>
      <c r="E10589" s="32">
        <v>46123.0</v>
      </c>
      <c r="F10589" s="32">
        <v>46171.0</v>
      </c>
      <c r="G10589" s="33"/>
    </row>
    <row r="10590" ht="15.75" customHeight="1">
      <c r="A10590" s="29" t="s">
        <v>14267</v>
      </c>
      <c r="B10590" s="43" t="s">
        <v>218</v>
      </c>
      <c r="C10590" s="26" t="s">
        <v>940</v>
      </c>
      <c r="D10590" s="26" t="s">
        <v>3663</v>
      </c>
      <c r="E10590" s="28">
        <v>46123.0</v>
      </c>
      <c r="F10590" s="28">
        <v>46171.0</v>
      </c>
      <c r="G10590" s="29"/>
    </row>
    <row r="10591" ht="15.75" customHeight="1">
      <c r="A10591" s="33" t="s">
        <v>14268</v>
      </c>
      <c r="B10591" s="42" t="s">
        <v>251</v>
      </c>
      <c r="C10591" s="30" t="s">
        <v>940</v>
      </c>
      <c r="D10591" s="30" t="s">
        <v>3663</v>
      </c>
      <c r="E10591" s="32">
        <v>46123.0</v>
      </c>
      <c r="F10591" s="32">
        <v>46171.0</v>
      </c>
      <c r="G10591" s="33"/>
    </row>
    <row r="10592" ht="15.75" customHeight="1">
      <c r="A10592" s="29" t="s">
        <v>14269</v>
      </c>
      <c r="B10592" s="43" t="s">
        <v>311</v>
      </c>
      <c r="C10592" s="26" t="s">
        <v>940</v>
      </c>
      <c r="D10592" s="26" t="s">
        <v>3663</v>
      </c>
      <c r="E10592" s="28">
        <v>46123.0</v>
      </c>
      <c r="F10592" s="28">
        <v>46171.0</v>
      </c>
      <c r="G10592" s="29"/>
    </row>
    <row r="10593" ht="15.75" customHeight="1">
      <c r="A10593" s="33" t="s">
        <v>14270</v>
      </c>
      <c r="B10593" s="42" t="s">
        <v>320</v>
      </c>
      <c r="C10593" s="30" t="s">
        <v>940</v>
      </c>
      <c r="D10593" s="30" t="s">
        <v>3663</v>
      </c>
      <c r="E10593" s="32">
        <v>46123.0</v>
      </c>
      <c r="F10593" s="32">
        <v>46171.0</v>
      </c>
      <c r="G10593" s="33"/>
    </row>
    <row r="10594" ht="15.75" customHeight="1">
      <c r="A10594" s="29" t="s">
        <v>14271</v>
      </c>
      <c r="B10594" s="43" t="s">
        <v>334</v>
      </c>
      <c r="C10594" s="26" t="s">
        <v>940</v>
      </c>
      <c r="D10594" s="26" t="s">
        <v>3663</v>
      </c>
      <c r="E10594" s="28">
        <v>46123.0</v>
      </c>
      <c r="F10594" s="28">
        <v>46171.0</v>
      </c>
      <c r="G10594" s="29"/>
    </row>
    <row r="10595" ht="15.75" customHeight="1">
      <c r="A10595" s="33" t="s">
        <v>14272</v>
      </c>
      <c r="B10595" s="42" t="s">
        <v>340</v>
      </c>
      <c r="C10595" s="30" t="s">
        <v>940</v>
      </c>
      <c r="D10595" s="30" t="s">
        <v>3663</v>
      </c>
      <c r="E10595" s="32">
        <v>46123.0</v>
      </c>
      <c r="F10595" s="32">
        <v>46171.0</v>
      </c>
      <c r="G10595" s="33"/>
    </row>
    <row r="10596" ht="15.75" customHeight="1">
      <c r="A10596" s="29" t="s">
        <v>14273</v>
      </c>
      <c r="B10596" s="43" t="s">
        <v>356</v>
      </c>
      <c r="C10596" s="26" t="s">
        <v>940</v>
      </c>
      <c r="D10596" s="26" t="s">
        <v>3663</v>
      </c>
      <c r="E10596" s="28">
        <v>46123.0</v>
      </c>
      <c r="F10596" s="28">
        <v>46171.0</v>
      </c>
      <c r="G10596" s="29"/>
    </row>
    <row r="10597" ht="15.75" customHeight="1">
      <c r="A10597" s="33" t="s">
        <v>14274</v>
      </c>
      <c r="B10597" s="42" t="s">
        <v>362</v>
      </c>
      <c r="C10597" s="30" t="s">
        <v>940</v>
      </c>
      <c r="D10597" s="30" t="s">
        <v>3663</v>
      </c>
      <c r="E10597" s="32">
        <v>46123.0</v>
      </c>
      <c r="F10597" s="32">
        <v>46171.0</v>
      </c>
      <c r="G10597" s="33"/>
    </row>
    <row r="10598" ht="15.75" customHeight="1">
      <c r="A10598" s="29" t="s">
        <v>14275</v>
      </c>
      <c r="B10598" s="43" t="s">
        <v>387</v>
      </c>
      <c r="C10598" s="26" t="s">
        <v>940</v>
      </c>
      <c r="D10598" s="26" t="s">
        <v>3663</v>
      </c>
      <c r="E10598" s="28">
        <v>46123.0</v>
      </c>
      <c r="F10598" s="28">
        <v>46171.0</v>
      </c>
      <c r="G10598" s="29"/>
    </row>
    <row r="10599" ht="15.75" customHeight="1">
      <c r="A10599" s="33" t="s">
        <v>14276</v>
      </c>
      <c r="B10599" s="42" t="s">
        <v>400</v>
      </c>
      <c r="C10599" s="30" t="s">
        <v>940</v>
      </c>
      <c r="D10599" s="30" t="s">
        <v>3663</v>
      </c>
      <c r="E10599" s="32">
        <v>46123.0</v>
      </c>
      <c r="F10599" s="32">
        <v>46171.0</v>
      </c>
      <c r="G10599" s="33"/>
    </row>
    <row r="10600" ht="15.75" customHeight="1">
      <c r="A10600" s="29" t="s">
        <v>14277</v>
      </c>
      <c r="B10600" s="43" t="s">
        <v>404</v>
      </c>
      <c r="C10600" s="26" t="s">
        <v>940</v>
      </c>
      <c r="D10600" s="26" t="s">
        <v>3663</v>
      </c>
      <c r="E10600" s="28">
        <v>46123.0</v>
      </c>
      <c r="F10600" s="28">
        <v>46171.0</v>
      </c>
      <c r="G10600" s="29"/>
    </row>
    <row r="10601" ht="15.75" customHeight="1">
      <c r="A10601" s="33" t="s">
        <v>14278</v>
      </c>
      <c r="B10601" s="42" t="s">
        <v>408</v>
      </c>
      <c r="C10601" s="30" t="s">
        <v>940</v>
      </c>
      <c r="D10601" s="30" t="s">
        <v>3663</v>
      </c>
      <c r="E10601" s="32">
        <v>46123.0</v>
      </c>
      <c r="F10601" s="32">
        <v>46171.0</v>
      </c>
      <c r="G10601" s="33"/>
    </row>
    <row r="10602" ht="15.75" customHeight="1">
      <c r="A10602" s="29" t="s">
        <v>14279</v>
      </c>
      <c r="B10602" s="43" t="s">
        <v>441</v>
      </c>
      <c r="C10602" s="26" t="s">
        <v>940</v>
      </c>
      <c r="D10602" s="26" t="s">
        <v>3663</v>
      </c>
      <c r="E10602" s="28">
        <v>46123.0</v>
      </c>
      <c r="F10602" s="28">
        <v>46171.0</v>
      </c>
      <c r="G10602" s="29"/>
    </row>
    <row r="10603" ht="15.75" customHeight="1">
      <c r="A10603" s="33" t="s">
        <v>14280</v>
      </c>
      <c r="B10603" s="42" t="s">
        <v>457</v>
      </c>
      <c r="C10603" s="30" t="s">
        <v>940</v>
      </c>
      <c r="D10603" s="30" t="s">
        <v>3663</v>
      </c>
      <c r="E10603" s="32">
        <v>46123.0</v>
      </c>
      <c r="F10603" s="32">
        <v>46171.0</v>
      </c>
      <c r="G10603" s="33"/>
    </row>
    <row r="10604" ht="15.75" customHeight="1">
      <c r="A10604" s="29" t="s">
        <v>14281</v>
      </c>
      <c r="B10604" s="43" t="s">
        <v>481</v>
      </c>
      <c r="C10604" s="26" t="s">
        <v>940</v>
      </c>
      <c r="D10604" s="26" t="s">
        <v>3663</v>
      </c>
      <c r="E10604" s="28">
        <v>46123.0</v>
      </c>
      <c r="F10604" s="28">
        <v>46171.0</v>
      </c>
      <c r="G10604" s="29"/>
    </row>
    <row r="10605" ht="15.75" customHeight="1">
      <c r="A10605" s="33" t="s">
        <v>14282</v>
      </c>
      <c r="B10605" s="42" t="s">
        <v>492</v>
      </c>
      <c r="C10605" s="30" t="s">
        <v>940</v>
      </c>
      <c r="D10605" s="30" t="s">
        <v>3663</v>
      </c>
      <c r="E10605" s="32">
        <v>46123.0</v>
      </c>
      <c r="F10605" s="32">
        <v>46171.0</v>
      </c>
      <c r="G10605" s="33"/>
    </row>
    <row r="10606" ht="15.75" customHeight="1">
      <c r="A10606" s="29" t="s">
        <v>14283</v>
      </c>
      <c r="B10606" s="43" t="s">
        <v>497</v>
      </c>
      <c r="C10606" s="26" t="s">
        <v>940</v>
      </c>
      <c r="D10606" s="26" t="s">
        <v>3663</v>
      </c>
      <c r="E10606" s="28">
        <v>46123.0</v>
      </c>
      <c r="F10606" s="28">
        <v>46171.0</v>
      </c>
      <c r="G10606" s="29"/>
    </row>
    <row r="10607" ht="15.75" customHeight="1">
      <c r="A10607" s="33" t="s">
        <v>14284</v>
      </c>
      <c r="B10607" s="42" t="s">
        <v>564</v>
      </c>
      <c r="C10607" s="30" t="s">
        <v>940</v>
      </c>
      <c r="D10607" s="30" t="s">
        <v>3663</v>
      </c>
      <c r="E10607" s="32">
        <v>46123.0</v>
      </c>
      <c r="F10607" s="32">
        <v>46171.0</v>
      </c>
      <c r="G10607" s="33"/>
    </row>
    <row r="10608" ht="15.75" customHeight="1">
      <c r="A10608" s="29" t="s">
        <v>14285</v>
      </c>
      <c r="B10608" s="43" t="s">
        <v>580</v>
      </c>
      <c r="C10608" s="26" t="s">
        <v>940</v>
      </c>
      <c r="D10608" s="26" t="s">
        <v>3663</v>
      </c>
      <c r="E10608" s="28">
        <v>46123.0</v>
      </c>
      <c r="F10608" s="28">
        <v>46171.0</v>
      </c>
      <c r="G10608" s="29"/>
    </row>
    <row r="10609" ht="15.75" customHeight="1">
      <c r="A10609" s="33" t="s">
        <v>14286</v>
      </c>
      <c r="B10609" s="42" t="s">
        <v>589</v>
      </c>
      <c r="C10609" s="30" t="s">
        <v>940</v>
      </c>
      <c r="D10609" s="30" t="s">
        <v>3663</v>
      </c>
      <c r="E10609" s="32">
        <v>46123.0</v>
      </c>
      <c r="F10609" s="32">
        <v>46171.0</v>
      </c>
      <c r="G10609" s="33"/>
    </row>
    <row r="10610" ht="15.75" customHeight="1">
      <c r="A10610" s="29" t="s">
        <v>14287</v>
      </c>
      <c r="B10610" s="43" t="s">
        <v>600</v>
      </c>
      <c r="C10610" s="26" t="s">
        <v>940</v>
      </c>
      <c r="D10610" s="26" t="s">
        <v>3663</v>
      </c>
      <c r="E10610" s="28">
        <v>46123.0</v>
      </c>
      <c r="F10610" s="28">
        <v>46171.0</v>
      </c>
      <c r="G10610" s="29"/>
    </row>
    <row r="10611" ht="15.75" customHeight="1">
      <c r="A10611" s="33" t="s">
        <v>14288</v>
      </c>
      <c r="B10611" s="42" t="s">
        <v>611</v>
      </c>
      <c r="C10611" s="30" t="s">
        <v>940</v>
      </c>
      <c r="D10611" s="30" t="s">
        <v>3663</v>
      </c>
      <c r="E10611" s="32">
        <v>46123.0</v>
      </c>
      <c r="F10611" s="32">
        <v>46171.0</v>
      </c>
      <c r="G10611" s="33"/>
    </row>
    <row r="10612" ht="15.75" customHeight="1">
      <c r="A10612" s="29" t="s">
        <v>14289</v>
      </c>
      <c r="B10612" s="43" t="s">
        <v>642</v>
      </c>
      <c r="C10612" s="26" t="s">
        <v>940</v>
      </c>
      <c r="D10612" s="26" t="s">
        <v>3663</v>
      </c>
      <c r="E10612" s="28">
        <v>46123.0</v>
      </c>
      <c r="F10612" s="28">
        <v>46171.0</v>
      </c>
      <c r="G10612" s="29"/>
    </row>
    <row r="10613" ht="15.75" customHeight="1">
      <c r="A10613" s="33" t="s">
        <v>14290</v>
      </c>
      <c r="B10613" s="42" t="s">
        <v>691</v>
      </c>
      <c r="C10613" s="30" t="s">
        <v>940</v>
      </c>
      <c r="D10613" s="30" t="s">
        <v>3663</v>
      </c>
      <c r="E10613" s="32">
        <v>46123.0</v>
      </c>
      <c r="F10613" s="32">
        <v>46171.0</v>
      </c>
      <c r="G10613" s="33"/>
    </row>
    <row r="10614" ht="15.75" customHeight="1">
      <c r="A10614" s="29" t="s">
        <v>14291</v>
      </c>
      <c r="B10614" s="43" t="s">
        <v>719</v>
      </c>
      <c r="C10614" s="26" t="s">
        <v>940</v>
      </c>
      <c r="D10614" s="26" t="s">
        <v>3663</v>
      </c>
      <c r="E10614" s="28">
        <v>46123.0</v>
      </c>
      <c r="F10614" s="28">
        <v>46171.0</v>
      </c>
      <c r="G10614" s="29"/>
    </row>
    <row r="10615" ht="15.75" customHeight="1">
      <c r="A10615" s="33" t="s">
        <v>14292</v>
      </c>
      <c r="B10615" s="42" t="s">
        <v>735</v>
      </c>
      <c r="C10615" s="30" t="s">
        <v>940</v>
      </c>
      <c r="D10615" s="30" t="s">
        <v>3663</v>
      </c>
      <c r="E10615" s="32">
        <v>46123.0</v>
      </c>
      <c r="F10615" s="32">
        <v>46171.0</v>
      </c>
      <c r="G10615" s="33"/>
    </row>
    <row r="10616" ht="15.75" customHeight="1">
      <c r="A10616" s="29" t="s">
        <v>14293</v>
      </c>
      <c r="B10616" s="43" t="s">
        <v>780</v>
      </c>
      <c r="C10616" s="26" t="s">
        <v>940</v>
      </c>
      <c r="D10616" s="26" t="s">
        <v>3663</v>
      </c>
      <c r="E10616" s="28">
        <v>46123.0</v>
      </c>
      <c r="F10616" s="28">
        <v>46171.0</v>
      </c>
      <c r="G10616" s="29"/>
    </row>
    <row r="10617" ht="15.75" customHeight="1">
      <c r="A10617" s="33" t="s">
        <v>14294</v>
      </c>
      <c r="B10617" s="42" t="s">
        <v>783</v>
      </c>
      <c r="C10617" s="30" t="s">
        <v>940</v>
      </c>
      <c r="D10617" s="30" t="s">
        <v>3663</v>
      </c>
      <c r="E10617" s="32">
        <v>46123.0</v>
      </c>
      <c r="F10617" s="32">
        <v>46171.0</v>
      </c>
      <c r="G10617" s="33"/>
    </row>
    <row r="10618" ht="15.75" customHeight="1">
      <c r="A10618" s="29" t="s">
        <v>14295</v>
      </c>
      <c r="B10618" s="27" t="s">
        <v>13639</v>
      </c>
      <c r="C10618" s="26" t="s">
        <v>940</v>
      </c>
      <c r="D10618" s="26" t="s">
        <v>3663</v>
      </c>
      <c r="E10618" s="28">
        <v>46123.0</v>
      </c>
      <c r="F10618" s="28">
        <v>46171.0</v>
      </c>
      <c r="G10618" s="29"/>
    </row>
    <row r="10619" ht="15.75" customHeight="1">
      <c r="A10619" s="33" t="s">
        <v>828</v>
      </c>
      <c r="B10619" s="31"/>
      <c r="C10619" s="31"/>
      <c r="D10619" s="30"/>
      <c r="E10619" s="32"/>
      <c r="F10619" s="32"/>
      <c r="G10619" s="33"/>
    </row>
    <row r="10620" ht="15.75" customHeight="1">
      <c r="A10620" s="29" t="s">
        <v>828</v>
      </c>
      <c r="B10620" s="27"/>
      <c r="C10620" s="27"/>
      <c r="D10620" s="26"/>
      <c r="E10620" s="28"/>
      <c r="F10620" s="28"/>
      <c r="G10620" s="29"/>
    </row>
    <row r="10621" ht="15.75" customHeight="1">
      <c r="A10621" s="33" t="s">
        <v>828</v>
      </c>
      <c r="B10621" s="31"/>
      <c r="C10621" s="31"/>
      <c r="D10621" s="30"/>
      <c r="E10621" s="32"/>
      <c r="F10621" s="32"/>
      <c r="G10621" s="33"/>
    </row>
    <row r="10622" ht="15.75" customHeight="1">
      <c r="A10622" s="29" t="s">
        <v>828</v>
      </c>
      <c r="B10622" s="27"/>
      <c r="C10622" s="27"/>
      <c r="D10622" s="26"/>
      <c r="E10622" s="28"/>
      <c r="F10622" s="28"/>
      <c r="G10622" s="29"/>
    </row>
    <row r="10623" ht="15.75" customHeight="1">
      <c r="A10623" s="33" t="s">
        <v>828</v>
      </c>
      <c r="B10623" s="31"/>
      <c r="C10623" s="31"/>
      <c r="D10623" s="30"/>
      <c r="E10623" s="32"/>
      <c r="F10623" s="32"/>
      <c r="G10623" s="33"/>
    </row>
    <row r="10624" ht="15.75" customHeight="1">
      <c r="A10624" s="29" t="s">
        <v>828</v>
      </c>
      <c r="B10624" s="27"/>
      <c r="C10624" s="27"/>
      <c r="D10624" s="26"/>
      <c r="E10624" s="28"/>
      <c r="F10624" s="28"/>
      <c r="G10624" s="29"/>
    </row>
    <row r="10625" ht="15.75" customHeight="1">
      <c r="A10625" s="33" t="s">
        <v>828</v>
      </c>
      <c r="B10625" s="31"/>
      <c r="C10625" s="31"/>
      <c r="D10625" s="30"/>
      <c r="E10625" s="32"/>
      <c r="F10625" s="32"/>
      <c r="G10625" s="33"/>
    </row>
    <row r="10626" ht="15.75" customHeight="1">
      <c r="A10626" s="29" t="s">
        <v>828</v>
      </c>
      <c r="B10626" s="27"/>
      <c r="C10626" s="27"/>
      <c r="D10626" s="26"/>
      <c r="E10626" s="28"/>
      <c r="F10626" s="28"/>
      <c r="G10626" s="29"/>
    </row>
    <row r="10627" ht="15.75" customHeight="1">
      <c r="A10627" s="33" t="s">
        <v>828</v>
      </c>
      <c r="B10627" s="31"/>
      <c r="C10627" s="31"/>
      <c r="D10627" s="30"/>
      <c r="E10627" s="32"/>
      <c r="F10627" s="32"/>
      <c r="G10627" s="33"/>
    </row>
    <row r="10628" ht="15.75" customHeight="1">
      <c r="A10628" s="29" t="s">
        <v>828</v>
      </c>
      <c r="B10628" s="27"/>
      <c r="C10628" s="27"/>
      <c r="D10628" s="26"/>
      <c r="E10628" s="28"/>
      <c r="F10628" s="28"/>
      <c r="G10628" s="29"/>
    </row>
    <row r="10629" ht="15.75" customHeight="1">
      <c r="A10629" s="33" t="s">
        <v>828</v>
      </c>
      <c r="B10629" s="31"/>
      <c r="C10629" s="31"/>
      <c r="D10629" s="30"/>
      <c r="E10629" s="32"/>
      <c r="F10629" s="32"/>
      <c r="G10629" s="33"/>
    </row>
    <row r="10630" ht="15.75" customHeight="1">
      <c r="A10630" s="29" t="s">
        <v>828</v>
      </c>
      <c r="B10630" s="27"/>
      <c r="C10630" s="27"/>
      <c r="D10630" s="26"/>
      <c r="E10630" s="28"/>
      <c r="F10630" s="28"/>
      <c r="G10630" s="29"/>
    </row>
    <row r="10631" ht="15.75" customHeight="1">
      <c r="A10631" s="33" t="s">
        <v>828</v>
      </c>
      <c r="B10631" s="31"/>
      <c r="C10631" s="31"/>
      <c r="D10631" s="30"/>
      <c r="E10631" s="32"/>
      <c r="F10631" s="32"/>
      <c r="G10631" s="33"/>
    </row>
    <row r="10632" ht="15.75" customHeight="1">
      <c r="A10632" s="29" t="s">
        <v>828</v>
      </c>
      <c r="B10632" s="27"/>
      <c r="C10632" s="27"/>
      <c r="D10632" s="26"/>
      <c r="E10632" s="28"/>
      <c r="F10632" s="28"/>
      <c r="G10632" s="29"/>
    </row>
    <row r="10633" ht="15.75" customHeight="1">
      <c r="A10633" s="33" t="s">
        <v>828</v>
      </c>
      <c r="B10633" s="31"/>
      <c r="C10633" s="31"/>
      <c r="D10633" s="30"/>
      <c r="E10633" s="32"/>
      <c r="F10633" s="32"/>
      <c r="G10633" s="33"/>
    </row>
    <row r="10634" ht="15.75" customHeight="1">
      <c r="A10634" s="29" t="s">
        <v>828</v>
      </c>
      <c r="B10634" s="27"/>
      <c r="C10634" s="27"/>
      <c r="D10634" s="26"/>
      <c r="E10634" s="28"/>
      <c r="F10634" s="28"/>
      <c r="G10634" s="29"/>
    </row>
    <row r="10635" ht="15.75" customHeight="1">
      <c r="A10635" s="33" t="s">
        <v>828</v>
      </c>
      <c r="B10635" s="31"/>
      <c r="C10635" s="31"/>
      <c r="D10635" s="30"/>
      <c r="E10635" s="32"/>
      <c r="F10635" s="32"/>
      <c r="G10635" s="33"/>
    </row>
    <row r="10636" ht="15.75" customHeight="1">
      <c r="A10636" s="29" t="s">
        <v>828</v>
      </c>
      <c r="B10636" s="27"/>
      <c r="C10636" s="27"/>
      <c r="D10636" s="26"/>
      <c r="E10636" s="28"/>
      <c r="F10636" s="28"/>
      <c r="G10636" s="29"/>
    </row>
    <row r="10637" ht="15.75" customHeight="1">
      <c r="A10637" s="33" t="s">
        <v>828</v>
      </c>
      <c r="B10637" s="31"/>
      <c r="C10637" s="31"/>
      <c r="D10637" s="30"/>
      <c r="E10637" s="32"/>
      <c r="F10637" s="32"/>
      <c r="G10637" s="33"/>
    </row>
    <row r="10638" ht="15.75" customHeight="1">
      <c r="A10638" s="29" t="s">
        <v>828</v>
      </c>
      <c r="B10638" s="27"/>
      <c r="C10638" s="27"/>
      <c r="D10638" s="26"/>
      <c r="E10638" s="28"/>
      <c r="F10638" s="28"/>
      <c r="G10638" s="29"/>
    </row>
    <row r="10639" ht="15.75" customHeight="1">
      <c r="A10639" s="33" t="s">
        <v>828</v>
      </c>
      <c r="B10639" s="31"/>
      <c r="C10639" s="31"/>
      <c r="D10639" s="30"/>
      <c r="E10639" s="32"/>
      <c r="F10639" s="32"/>
      <c r="G10639" s="33"/>
    </row>
    <row r="10640" ht="15.75" customHeight="1">
      <c r="A10640" s="29" t="s">
        <v>828</v>
      </c>
      <c r="B10640" s="27"/>
      <c r="C10640" s="27"/>
      <c r="D10640" s="26"/>
      <c r="E10640" s="28"/>
      <c r="F10640" s="28"/>
      <c r="G10640" s="29"/>
    </row>
    <row r="10641" ht="15.75" customHeight="1">
      <c r="A10641" s="33" t="s">
        <v>828</v>
      </c>
      <c r="B10641" s="31"/>
      <c r="C10641" s="31"/>
      <c r="D10641" s="30"/>
      <c r="E10641" s="32"/>
      <c r="F10641" s="32"/>
      <c r="G10641" s="33"/>
    </row>
    <row r="10642" ht="15.75" customHeight="1">
      <c r="A10642" s="29" t="s">
        <v>828</v>
      </c>
      <c r="B10642" s="27"/>
      <c r="C10642" s="27"/>
      <c r="D10642" s="26"/>
      <c r="E10642" s="28"/>
      <c r="F10642" s="28"/>
      <c r="G10642" s="29"/>
    </row>
    <row r="10643" ht="15.75" customHeight="1">
      <c r="A10643" s="33" t="s">
        <v>828</v>
      </c>
      <c r="B10643" s="31"/>
      <c r="C10643" s="31"/>
      <c r="D10643" s="30"/>
      <c r="E10643" s="32"/>
      <c r="F10643" s="32"/>
      <c r="G10643" s="33"/>
    </row>
    <row r="10644" ht="15.75" customHeight="1">
      <c r="A10644" s="29" t="s">
        <v>828</v>
      </c>
      <c r="B10644" s="27"/>
      <c r="C10644" s="27"/>
      <c r="D10644" s="26"/>
      <c r="E10644" s="28"/>
      <c r="F10644" s="28"/>
      <c r="G10644" s="29"/>
    </row>
    <row r="10645" ht="15.75" customHeight="1">
      <c r="A10645" s="33" t="s">
        <v>828</v>
      </c>
      <c r="B10645" s="31"/>
      <c r="C10645" s="31"/>
      <c r="D10645" s="30"/>
      <c r="E10645" s="32"/>
      <c r="F10645" s="32"/>
      <c r="G10645" s="33"/>
    </row>
    <row r="10646" ht="15.75" customHeight="1">
      <c r="A10646" s="29" t="s">
        <v>828</v>
      </c>
      <c r="B10646" s="27"/>
      <c r="C10646" s="27"/>
      <c r="D10646" s="26"/>
      <c r="E10646" s="28"/>
      <c r="F10646" s="28"/>
      <c r="G10646" s="29"/>
    </row>
    <row r="10647" ht="15.75" customHeight="1">
      <c r="A10647" s="33" t="s">
        <v>828</v>
      </c>
      <c r="B10647" s="31"/>
      <c r="C10647" s="31"/>
      <c r="D10647" s="30"/>
      <c r="E10647" s="32"/>
      <c r="F10647" s="32"/>
      <c r="G10647" s="33"/>
    </row>
    <row r="10648" ht="15.75" customHeight="1">
      <c r="A10648" s="29" t="s">
        <v>828</v>
      </c>
      <c r="B10648" s="27"/>
      <c r="C10648" s="27"/>
      <c r="D10648" s="26"/>
      <c r="E10648" s="28"/>
      <c r="F10648" s="28"/>
      <c r="G10648" s="29"/>
    </row>
    <row r="10649" ht="15.75" customHeight="1">
      <c r="A10649" s="33" t="s">
        <v>828</v>
      </c>
      <c r="B10649" s="31"/>
      <c r="C10649" s="31"/>
      <c r="D10649" s="30"/>
      <c r="E10649" s="32"/>
      <c r="F10649" s="32"/>
      <c r="G10649" s="33"/>
    </row>
    <row r="10650" ht="15.75" customHeight="1">
      <c r="A10650" s="29" t="s">
        <v>828</v>
      </c>
      <c r="B10650" s="27"/>
      <c r="C10650" s="27"/>
      <c r="D10650" s="26"/>
      <c r="E10650" s="28"/>
      <c r="F10650" s="28"/>
      <c r="G10650" s="29"/>
    </row>
    <row r="10651" ht="15.75" customHeight="1">
      <c r="A10651" s="33" t="s">
        <v>828</v>
      </c>
      <c r="B10651" s="31"/>
      <c r="C10651" s="31"/>
      <c r="D10651" s="30"/>
      <c r="E10651" s="32"/>
      <c r="F10651" s="32"/>
      <c r="G10651" s="33"/>
    </row>
    <row r="10652" ht="15.75" customHeight="1">
      <c r="A10652" s="29" t="s">
        <v>828</v>
      </c>
      <c r="B10652" s="27"/>
      <c r="C10652" s="27"/>
      <c r="D10652" s="26"/>
      <c r="E10652" s="28"/>
      <c r="F10652" s="28"/>
      <c r="G10652" s="29"/>
    </row>
    <row r="10653" ht="15.75" customHeight="1">
      <c r="A10653" s="33" t="s">
        <v>828</v>
      </c>
      <c r="B10653" s="31"/>
      <c r="C10653" s="31"/>
      <c r="D10653" s="30"/>
      <c r="E10653" s="32"/>
      <c r="F10653" s="32"/>
      <c r="G10653" s="33"/>
    </row>
    <row r="10654" ht="15.75" customHeight="1">
      <c r="A10654" s="29" t="s">
        <v>828</v>
      </c>
      <c r="B10654" s="27"/>
      <c r="C10654" s="27"/>
      <c r="D10654" s="26"/>
      <c r="E10654" s="28"/>
      <c r="F10654" s="28"/>
      <c r="G10654" s="29"/>
    </row>
    <row r="10655" ht="15.75" customHeight="1">
      <c r="A10655" s="33" t="s">
        <v>828</v>
      </c>
      <c r="B10655" s="31"/>
      <c r="C10655" s="31"/>
      <c r="D10655" s="30"/>
      <c r="E10655" s="32"/>
      <c r="F10655" s="32"/>
      <c r="G10655" s="33"/>
    </row>
    <row r="10656" ht="15.75" customHeight="1">
      <c r="A10656" s="29" t="s">
        <v>828</v>
      </c>
      <c r="B10656" s="27"/>
      <c r="C10656" s="27"/>
      <c r="D10656" s="26"/>
      <c r="E10656" s="28"/>
      <c r="F10656" s="28"/>
      <c r="G10656" s="29"/>
    </row>
    <row r="10657" ht="15.75" customHeight="1">
      <c r="A10657" s="33" t="s">
        <v>828</v>
      </c>
      <c r="B10657" s="31"/>
      <c r="C10657" s="31"/>
      <c r="D10657" s="30"/>
      <c r="E10657" s="32"/>
      <c r="F10657" s="32"/>
      <c r="G10657" s="33"/>
    </row>
    <row r="10658" ht="15.75" customHeight="1">
      <c r="A10658" s="29" t="s">
        <v>828</v>
      </c>
      <c r="B10658" s="27"/>
      <c r="C10658" s="27"/>
      <c r="D10658" s="26"/>
      <c r="E10658" s="28"/>
      <c r="F10658" s="28"/>
      <c r="G10658" s="29"/>
    </row>
    <row r="10659" ht="15.75" customHeight="1">
      <c r="A10659" s="33" t="s">
        <v>828</v>
      </c>
      <c r="B10659" s="31"/>
      <c r="C10659" s="31"/>
      <c r="D10659" s="30"/>
      <c r="E10659" s="32"/>
      <c r="F10659" s="32"/>
      <c r="G10659" s="33"/>
    </row>
    <row r="10660" ht="15.75" customHeight="1">
      <c r="A10660" s="29" t="s">
        <v>828</v>
      </c>
      <c r="B10660" s="27"/>
      <c r="C10660" s="27"/>
      <c r="D10660" s="26"/>
      <c r="E10660" s="28"/>
      <c r="F10660" s="28"/>
      <c r="G10660" s="29"/>
    </row>
    <row r="10661" ht="15.75" customHeight="1">
      <c r="A10661" s="33" t="s">
        <v>828</v>
      </c>
      <c r="B10661" s="31"/>
      <c r="C10661" s="31"/>
      <c r="D10661" s="30"/>
      <c r="E10661" s="32"/>
      <c r="F10661" s="32"/>
      <c r="G10661" s="33"/>
    </row>
    <row r="10662" ht="15.75" customHeight="1">
      <c r="A10662" s="29" t="s">
        <v>828</v>
      </c>
      <c r="B10662" s="27"/>
      <c r="C10662" s="27"/>
      <c r="D10662" s="26"/>
      <c r="E10662" s="28"/>
      <c r="F10662" s="28"/>
      <c r="G10662" s="29"/>
    </row>
    <row r="10663" ht="15.75" customHeight="1">
      <c r="A10663" s="33" t="s">
        <v>828</v>
      </c>
      <c r="B10663" s="31"/>
      <c r="C10663" s="31"/>
      <c r="D10663" s="30"/>
      <c r="E10663" s="32"/>
      <c r="F10663" s="32"/>
      <c r="G10663" s="33"/>
    </row>
    <row r="10664" ht="15.75" customHeight="1">
      <c r="A10664" s="29" t="s">
        <v>828</v>
      </c>
      <c r="B10664" s="27"/>
      <c r="C10664" s="27"/>
      <c r="D10664" s="26"/>
      <c r="E10664" s="28"/>
      <c r="F10664" s="28"/>
      <c r="G10664" s="29"/>
    </row>
    <row r="10665" ht="15.75" customHeight="1">
      <c r="A10665" s="33" t="s">
        <v>828</v>
      </c>
      <c r="B10665" s="31"/>
      <c r="C10665" s="31"/>
      <c r="D10665" s="30"/>
      <c r="E10665" s="32"/>
      <c r="F10665" s="32"/>
      <c r="G10665" s="33"/>
    </row>
    <row r="10666" ht="15.75" customHeight="1">
      <c r="A10666" s="29" t="s">
        <v>828</v>
      </c>
      <c r="B10666" s="27"/>
      <c r="C10666" s="27"/>
      <c r="D10666" s="26"/>
      <c r="E10666" s="28"/>
      <c r="F10666" s="28"/>
      <c r="G10666" s="29"/>
    </row>
    <row r="10667" ht="15.75" customHeight="1">
      <c r="A10667" s="33" t="s">
        <v>828</v>
      </c>
      <c r="B10667" s="31"/>
      <c r="C10667" s="31"/>
      <c r="D10667" s="30"/>
      <c r="E10667" s="32"/>
      <c r="F10667" s="32"/>
      <c r="G10667" s="33"/>
    </row>
    <row r="10668" ht="15.75" customHeight="1">
      <c r="A10668" s="29" t="s">
        <v>828</v>
      </c>
      <c r="B10668" s="27"/>
      <c r="C10668" s="27"/>
      <c r="D10668" s="26"/>
      <c r="E10668" s="28"/>
      <c r="F10668" s="28"/>
      <c r="G10668" s="29"/>
    </row>
    <row r="10669" ht="15.75" customHeight="1">
      <c r="A10669" s="33" t="s">
        <v>828</v>
      </c>
      <c r="B10669" s="31"/>
      <c r="C10669" s="31"/>
      <c r="D10669" s="30"/>
      <c r="E10669" s="32"/>
      <c r="F10669" s="32"/>
      <c r="G10669" s="33"/>
    </row>
    <row r="10670" ht="15.75" customHeight="1">
      <c r="A10670" s="29" t="s">
        <v>828</v>
      </c>
      <c r="B10670" s="27"/>
      <c r="C10670" s="27"/>
      <c r="D10670" s="26"/>
      <c r="E10670" s="28"/>
      <c r="F10670" s="28"/>
      <c r="G10670" s="29"/>
    </row>
    <row r="10671" ht="15.75" customHeight="1">
      <c r="A10671" s="33" t="s">
        <v>828</v>
      </c>
      <c r="B10671" s="31"/>
      <c r="C10671" s="31"/>
      <c r="D10671" s="30"/>
      <c r="E10671" s="32"/>
      <c r="F10671" s="32"/>
      <c r="G10671" s="33"/>
    </row>
    <row r="10672" ht="15.75" customHeight="1">
      <c r="A10672" s="29" t="s">
        <v>828</v>
      </c>
      <c r="B10672" s="27"/>
      <c r="C10672" s="27"/>
      <c r="D10672" s="26"/>
      <c r="E10672" s="28"/>
      <c r="F10672" s="28"/>
      <c r="G10672" s="29"/>
    </row>
    <row r="10673" ht="15.75" customHeight="1">
      <c r="A10673" s="33" t="s">
        <v>828</v>
      </c>
      <c r="B10673" s="31"/>
      <c r="C10673" s="31"/>
      <c r="D10673" s="30"/>
      <c r="E10673" s="32"/>
      <c r="F10673" s="32"/>
      <c r="G10673" s="33"/>
    </row>
    <row r="10674" ht="15.75" customHeight="1">
      <c r="A10674" s="29" t="s">
        <v>828</v>
      </c>
      <c r="B10674" s="27"/>
      <c r="C10674" s="27"/>
      <c r="D10674" s="26"/>
      <c r="E10674" s="28"/>
      <c r="F10674" s="28"/>
      <c r="G10674" s="29"/>
    </row>
    <row r="10675" ht="15.75" customHeight="1">
      <c r="A10675" s="33" t="s">
        <v>828</v>
      </c>
      <c r="B10675" s="31"/>
      <c r="C10675" s="31"/>
      <c r="D10675" s="30"/>
      <c r="E10675" s="32"/>
      <c r="F10675" s="32"/>
      <c r="G10675" s="33"/>
    </row>
    <row r="10676" ht="15.75" customHeight="1">
      <c r="A10676" s="29" t="s">
        <v>828</v>
      </c>
      <c r="B10676" s="27"/>
      <c r="C10676" s="27"/>
      <c r="D10676" s="26"/>
      <c r="E10676" s="28"/>
      <c r="F10676" s="28"/>
      <c r="G10676" s="29"/>
    </row>
    <row r="10677" ht="15.75" customHeight="1">
      <c r="A10677" s="33" t="s">
        <v>828</v>
      </c>
      <c r="B10677" s="31"/>
      <c r="C10677" s="31"/>
      <c r="D10677" s="30"/>
      <c r="E10677" s="32"/>
      <c r="F10677" s="32"/>
      <c r="G10677" s="33"/>
    </row>
    <row r="10678" ht="15.75" customHeight="1">
      <c r="A10678" s="29" t="s">
        <v>828</v>
      </c>
      <c r="B10678" s="27"/>
      <c r="C10678" s="27"/>
      <c r="D10678" s="26"/>
      <c r="E10678" s="28"/>
      <c r="F10678" s="28"/>
      <c r="G10678" s="29"/>
    </row>
    <row r="10679" ht="15.75" customHeight="1">
      <c r="A10679" s="33" t="s">
        <v>828</v>
      </c>
      <c r="B10679" s="31"/>
      <c r="C10679" s="31"/>
      <c r="D10679" s="30"/>
      <c r="E10679" s="32"/>
      <c r="F10679" s="32"/>
      <c r="G10679" s="33"/>
    </row>
    <row r="10680" ht="15.75" customHeight="1">
      <c r="A10680" s="29" t="s">
        <v>828</v>
      </c>
      <c r="B10680" s="27"/>
      <c r="C10680" s="27"/>
      <c r="D10680" s="26"/>
      <c r="E10680" s="28"/>
      <c r="F10680" s="28"/>
      <c r="G10680" s="29"/>
    </row>
    <row r="10681" ht="15.75" customHeight="1">
      <c r="A10681" s="33" t="s">
        <v>828</v>
      </c>
      <c r="B10681" s="31"/>
      <c r="C10681" s="31"/>
      <c r="D10681" s="30"/>
      <c r="E10681" s="32"/>
      <c r="F10681" s="32"/>
      <c r="G10681" s="33"/>
    </row>
    <row r="10682" ht="15.75" customHeight="1">
      <c r="A10682" s="29" t="s">
        <v>828</v>
      </c>
      <c r="B10682" s="27"/>
      <c r="C10682" s="27"/>
      <c r="D10682" s="26"/>
      <c r="E10682" s="28"/>
      <c r="F10682" s="28"/>
      <c r="G10682" s="29"/>
    </row>
    <row r="10683" ht="15.75" customHeight="1">
      <c r="A10683" s="33" t="s">
        <v>828</v>
      </c>
      <c r="B10683" s="31"/>
      <c r="C10683" s="31"/>
      <c r="D10683" s="30"/>
      <c r="E10683" s="32"/>
      <c r="F10683" s="32"/>
      <c r="G10683" s="33"/>
    </row>
    <row r="10684" ht="15.75" customHeight="1">
      <c r="A10684" s="29" t="s">
        <v>828</v>
      </c>
      <c r="B10684" s="27"/>
      <c r="C10684" s="27"/>
      <c r="D10684" s="26"/>
      <c r="E10684" s="28"/>
      <c r="F10684" s="28"/>
      <c r="G10684" s="29"/>
    </row>
    <row r="10685" ht="15.75" customHeight="1">
      <c r="A10685" s="33" t="s">
        <v>828</v>
      </c>
      <c r="B10685" s="31"/>
      <c r="C10685" s="31"/>
      <c r="D10685" s="30"/>
      <c r="E10685" s="32"/>
      <c r="F10685" s="32"/>
      <c r="G10685" s="33"/>
    </row>
    <row r="10686" ht="15.75" customHeight="1">
      <c r="A10686" s="29" t="s">
        <v>828</v>
      </c>
      <c r="B10686" s="27"/>
      <c r="C10686" s="27"/>
      <c r="D10686" s="26"/>
      <c r="E10686" s="28"/>
      <c r="F10686" s="28"/>
      <c r="G10686" s="29"/>
    </row>
    <row r="10687" ht="15.75" customHeight="1">
      <c r="A10687" s="33" t="s">
        <v>828</v>
      </c>
      <c r="B10687" s="31"/>
      <c r="C10687" s="31"/>
      <c r="D10687" s="30"/>
      <c r="E10687" s="32"/>
      <c r="F10687" s="32"/>
      <c r="G10687" s="33"/>
    </row>
    <row r="10688" ht="15.75" customHeight="1">
      <c r="A10688" s="29" t="s">
        <v>828</v>
      </c>
      <c r="B10688" s="27"/>
      <c r="C10688" s="27"/>
      <c r="D10688" s="26"/>
      <c r="E10688" s="28"/>
      <c r="F10688" s="28"/>
      <c r="G10688" s="29"/>
    </row>
    <row r="10689" ht="15.75" customHeight="1">
      <c r="A10689" s="33" t="s">
        <v>828</v>
      </c>
      <c r="B10689" s="31"/>
      <c r="C10689" s="31"/>
      <c r="D10689" s="30"/>
      <c r="E10689" s="32"/>
      <c r="F10689" s="32"/>
      <c r="G10689" s="33"/>
    </row>
    <row r="10690" ht="15.75" customHeight="1">
      <c r="A10690" s="29" t="s">
        <v>828</v>
      </c>
      <c r="B10690" s="27"/>
      <c r="C10690" s="27"/>
      <c r="D10690" s="26"/>
      <c r="E10690" s="28"/>
      <c r="F10690" s="28"/>
      <c r="G10690" s="29"/>
    </row>
    <row r="10691" ht="15.75" customHeight="1">
      <c r="A10691" s="33" t="s">
        <v>828</v>
      </c>
      <c r="B10691" s="31"/>
      <c r="C10691" s="31"/>
      <c r="D10691" s="30"/>
      <c r="E10691" s="32"/>
      <c r="F10691" s="32"/>
      <c r="G10691" s="33"/>
    </row>
    <row r="10692" ht="15.75" customHeight="1">
      <c r="A10692" s="29" t="s">
        <v>828</v>
      </c>
      <c r="B10692" s="27"/>
      <c r="C10692" s="27"/>
      <c r="D10692" s="26"/>
      <c r="E10692" s="28"/>
      <c r="F10692" s="28"/>
      <c r="G10692" s="29"/>
    </row>
    <row r="10693" ht="15.75" customHeight="1">
      <c r="A10693" s="33" t="s">
        <v>828</v>
      </c>
      <c r="B10693" s="31"/>
      <c r="C10693" s="31"/>
      <c r="D10693" s="30"/>
      <c r="E10693" s="32"/>
      <c r="F10693" s="32"/>
      <c r="G10693" s="33"/>
    </row>
    <row r="10694" ht="15.75" customHeight="1">
      <c r="A10694" s="29" t="s">
        <v>828</v>
      </c>
      <c r="B10694" s="27"/>
      <c r="C10694" s="27"/>
      <c r="D10694" s="26"/>
      <c r="E10694" s="28"/>
      <c r="F10694" s="28"/>
      <c r="G10694" s="29"/>
    </row>
    <row r="10695" ht="15.75" customHeight="1">
      <c r="A10695" s="33" t="s">
        <v>828</v>
      </c>
      <c r="B10695" s="31"/>
      <c r="C10695" s="31"/>
      <c r="D10695" s="30"/>
      <c r="E10695" s="32"/>
      <c r="F10695" s="32"/>
      <c r="G10695" s="33"/>
    </row>
    <row r="10696" ht="15.75" customHeight="1">
      <c r="A10696" s="29" t="s">
        <v>828</v>
      </c>
      <c r="B10696" s="27"/>
      <c r="C10696" s="27"/>
      <c r="D10696" s="26"/>
      <c r="E10696" s="28"/>
      <c r="F10696" s="28"/>
      <c r="G10696" s="29"/>
    </row>
    <row r="10697" ht="15.75" customHeight="1">
      <c r="A10697" s="33" t="s">
        <v>828</v>
      </c>
      <c r="B10697" s="31"/>
      <c r="C10697" s="31"/>
      <c r="D10697" s="30"/>
      <c r="E10697" s="32"/>
      <c r="F10697" s="32"/>
      <c r="G10697" s="33"/>
    </row>
    <row r="10698" ht="15.75" customHeight="1">
      <c r="A10698" s="29" t="s">
        <v>828</v>
      </c>
      <c r="B10698" s="27"/>
      <c r="C10698" s="27"/>
      <c r="D10698" s="26"/>
      <c r="E10698" s="28"/>
      <c r="F10698" s="28"/>
      <c r="G10698" s="29"/>
    </row>
    <row r="10699" ht="15.75" customHeight="1">
      <c r="A10699" s="33" t="s">
        <v>828</v>
      </c>
      <c r="B10699" s="31"/>
      <c r="C10699" s="31"/>
      <c r="D10699" s="30"/>
      <c r="E10699" s="32"/>
      <c r="F10699" s="32"/>
      <c r="G10699" s="33"/>
    </row>
    <row r="10700" ht="15.75" customHeight="1">
      <c r="A10700" s="29" t="s">
        <v>828</v>
      </c>
      <c r="B10700" s="27"/>
      <c r="C10700" s="27"/>
      <c r="D10700" s="26"/>
      <c r="E10700" s="28"/>
      <c r="F10700" s="28"/>
      <c r="G10700" s="29"/>
    </row>
    <row r="10701" ht="15.75" customHeight="1">
      <c r="A10701" s="33" t="s">
        <v>828</v>
      </c>
      <c r="B10701" s="31"/>
      <c r="C10701" s="31"/>
      <c r="D10701" s="30"/>
      <c r="E10701" s="32"/>
      <c r="F10701" s="32"/>
      <c r="G10701" s="33"/>
    </row>
    <row r="10702" ht="15.75" customHeight="1">
      <c r="A10702" s="29" t="s">
        <v>828</v>
      </c>
      <c r="B10702" s="27"/>
      <c r="C10702" s="27"/>
      <c r="D10702" s="26"/>
      <c r="E10702" s="28"/>
      <c r="F10702" s="28"/>
      <c r="G10702" s="29"/>
    </row>
    <row r="10703" ht="15.75" customHeight="1">
      <c r="A10703" s="33" t="s">
        <v>828</v>
      </c>
      <c r="B10703" s="31"/>
      <c r="C10703" s="31"/>
      <c r="D10703" s="30"/>
      <c r="E10703" s="32"/>
      <c r="F10703" s="32"/>
      <c r="G10703" s="33"/>
    </row>
    <row r="10704" ht="15.75" customHeight="1">
      <c r="A10704" s="29" t="s">
        <v>828</v>
      </c>
      <c r="B10704" s="27"/>
      <c r="C10704" s="27"/>
      <c r="D10704" s="26"/>
      <c r="E10704" s="28"/>
      <c r="F10704" s="28"/>
      <c r="G10704" s="29"/>
    </row>
    <row r="10705" ht="15.75" customHeight="1">
      <c r="A10705" s="33" t="s">
        <v>828</v>
      </c>
      <c r="B10705" s="31"/>
      <c r="C10705" s="31"/>
      <c r="D10705" s="30"/>
      <c r="E10705" s="32"/>
      <c r="F10705" s="32"/>
      <c r="G10705" s="33"/>
    </row>
    <row r="10706" ht="15.75" customHeight="1">
      <c r="A10706" s="29" t="s">
        <v>828</v>
      </c>
      <c r="B10706" s="27"/>
      <c r="C10706" s="27"/>
      <c r="D10706" s="26"/>
      <c r="E10706" s="28"/>
      <c r="F10706" s="28"/>
      <c r="G10706" s="29"/>
    </row>
    <row r="10707" ht="15.75" customHeight="1">
      <c r="A10707" s="33" t="s">
        <v>828</v>
      </c>
      <c r="B10707" s="31"/>
      <c r="C10707" s="31"/>
      <c r="D10707" s="30"/>
      <c r="E10707" s="32"/>
      <c r="F10707" s="32"/>
      <c r="G10707" s="33"/>
    </row>
    <row r="10708" ht="15.75" customHeight="1">
      <c r="A10708" s="29" t="s">
        <v>828</v>
      </c>
      <c r="B10708" s="27"/>
      <c r="C10708" s="27"/>
      <c r="D10708" s="26"/>
      <c r="E10708" s="28"/>
      <c r="F10708" s="28"/>
      <c r="G10708" s="29"/>
    </row>
    <row r="10709" ht="15.75" customHeight="1">
      <c r="A10709" s="33" t="s">
        <v>828</v>
      </c>
      <c r="B10709" s="31"/>
      <c r="C10709" s="31"/>
      <c r="D10709" s="30"/>
      <c r="E10709" s="32"/>
      <c r="F10709" s="32"/>
      <c r="G10709" s="33"/>
    </row>
    <row r="10710" ht="15.75" customHeight="1">
      <c r="A10710" s="29" t="s">
        <v>828</v>
      </c>
      <c r="B10710" s="27"/>
      <c r="C10710" s="27"/>
      <c r="D10710" s="26"/>
      <c r="E10710" s="28"/>
      <c r="F10710" s="28"/>
      <c r="G10710" s="29"/>
    </row>
    <row r="10711" ht="15.75" customHeight="1">
      <c r="A10711" s="33" t="s">
        <v>828</v>
      </c>
      <c r="B10711" s="31"/>
      <c r="C10711" s="31"/>
      <c r="D10711" s="30"/>
      <c r="E10711" s="32"/>
      <c r="F10711" s="32"/>
      <c r="G10711" s="33"/>
    </row>
    <row r="10712" ht="15.75" customHeight="1">
      <c r="A10712" s="29" t="s">
        <v>828</v>
      </c>
      <c r="B10712" s="27"/>
      <c r="C10712" s="27"/>
      <c r="D10712" s="26"/>
      <c r="E10712" s="28"/>
      <c r="F10712" s="28"/>
      <c r="G10712" s="29"/>
    </row>
    <row r="10713" ht="15.75" customHeight="1">
      <c r="A10713" s="33" t="s">
        <v>828</v>
      </c>
      <c r="B10713" s="31"/>
      <c r="C10713" s="31"/>
      <c r="D10713" s="30"/>
      <c r="E10713" s="32"/>
      <c r="F10713" s="32"/>
      <c r="G10713" s="33"/>
    </row>
    <row r="10714" ht="15.75" customHeight="1">
      <c r="A10714" s="29" t="s">
        <v>828</v>
      </c>
      <c r="B10714" s="27"/>
      <c r="C10714" s="27"/>
      <c r="D10714" s="26"/>
      <c r="E10714" s="28"/>
      <c r="F10714" s="28"/>
      <c r="G10714" s="29"/>
    </row>
    <row r="10715" ht="15.75" customHeight="1">
      <c r="A10715" s="33" t="s">
        <v>828</v>
      </c>
      <c r="B10715" s="31"/>
      <c r="C10715" s="31"/>
      <c r="D10715" s="30"/>
      <c r="E10715" s="32"/>
      <c r="F10715" s="32"/>
      <c r="G10715" s="33"/>
    </row>
    <row r="10716" ht="15.75" customHeight="1">
      <c r="A10716" s="29" t="s">
        <v>828</v>
      </c>
      <c r="B10716" s="27"/>
      <c r="C10716" s="27"/>
      <c r="D10716" s="26"/>
      <c r="E10716" s="28"/>
      <c r="F10716" s="28"/>
      <c r="G10716" s="29"/>
    </row>
    <row r="10717" ht="15.75" customHeight="1">
      <c r="A10717" s="33" t="s">
        <v>828</v>
      </c>
      <c r="B10717" s="31"/>
      <c r="C10717" s="31"/>
      <c r="D10717" s="30"/>
      <c r="E10717" s="32"/>
      <c r="F10717" s="32"/>
      <c r="G10717" s="33"/>
    </row>
    <row r="10718" ht="15.75" customHeight="1">
      <c r="A10718" s="29" t="s">
        <v>828</v>
      </c>
      <c r="B10718" s="27"/>
      <c r="C10718" s="27"/>
      <c r="D10718" s="26"/>
      <c r="E10718" s="28"/>
      <c r="F10718" s="28"/>
      <c r="G10718" s="29"/>
    </row>
    <row r="10719" ht="15.75" customHeight="1">
      <c r="A10719" s="33" t="s">
        <v>828</v>
      </c>
      <c r="B10719" s="31"/>
      <c r="C10719" s="31"/>
      <c r="D10719" s="30"/>
      <c r="E10719" s="32"/>
      <c r="F10719" s="32"/>
      <c r="G10719" s="33"/>
    </row>
    <row r="10720" ht="15.75" customHeight="1">
      <c r="A10720" s="29" t="s">
        <v>828</v>
      </c>
      <c r="B10720" s="27"/>
      <c r="C10720" s="27"/>
      <c r="D10720" s="26"/>
      <c r="E10720" s="28"/>
      <c r="F10720" s="28"/>
      <c r="G10720" s="29"/>
    </row>
    <row r="10721" ht="15.75" customHeight="1">
      <c r="A10721" s="33" t="s">
        <v>828</v>
      </c>
      <c r="B10721" s="31"/>
      <c r="C10721" s="31"/>
      <c r="D10721" s="30"/>
      <c r="E10721" s="32"/>
      <c r="F10721" s="32"/>
      <c r="G10721" s="33"/>
    </row>
    <row r="10722" ht="15.75" customHeight="1">
      <c r="A10722" s="29" t="s">
        <v>828</v>
      </c>
      <c r="B10722" s="27"/>
      <c r="C10722" s="27"/>
      <c r="D10722" s="26"/>
      <c r="E10722" s="28"/>
      <c r="F10722" s="28"/>
      <c r="G10722" s="29"/>
    </row>
    <row r="10723" ht="15.75" customHeight="1">
      <c r="A10723" s="33" t="s">
        <v>828</v>
      </c>
      <c r="B10723" s="31"/>
      <c r="C10723" s="31"/>
      <c r="D10723" s="30"/>
      <c r="E10723" s="32"/>
      <c r="F10723" s="32"/>
      <c r="G10723" s="33"/>
    </row>
    <row r="10724" ht="15.75" customHeight="1">
      <c r="A10724" s="29" t="s">
        <v>828</v>
      </c>
      <c r="B10724" s="27"/>
      <c r="C10724" s="27"/>
      <c r="D10724" s="26"/>
      <c r="E10724" s="28"/>
      <c r="F10724" s="28"/>
      <c r="G10724" s="29"/>
    </row>
    <row r="10725" ht="15.75" customHeight="1">
      <c r="A10725" s="33" t="s">
        <v>828</v>
      </c>
      <c r="B10725" s="31"/>
      <c r="C10725" s="31"/>
      <c r="D10725" s="30"/>
      <c r="E10725" s="32"/>
      <c r="F10725" s="32"/>
      <c r="G10725" s="33"/>
    </row>
    <row r="10726" ht="15.75" customHeight="1">
      <c r="A10726" s="29" t="s">
        <v>828</v>
      </c>
      <c r="B10726" s="27"/>
      <c r="C10726" s="27"/>
      <c r="D10726" s="26"/>
      <c r="E10726" s="28"/>
      <c r="F10726" s="28"/>
      <c r="G10726" s="29"/>
    </row>
    <row r="10727" ht="15.75" customHeight="1">
      <c r="A10727" s="33" t="s">
        <v>828</v>
      </c>
      <c r="B10727" s="31"/>
      <c r="C10727" s="31"/>
      <c r="D10727" s="30"/>
      <c r="E10727" s="32"/>
      <c r="F10727" s="32"/>
      <c r="G10727" s="33"/>
    </row>
    <row r="10728" ht="15.75" customHeight="1">
      <c r="A10728" s="29" t="s">
        <v>828</v>
      </c>
      <c r="B10728" s="27"/>
      <c r="C10728" s="27"/>
      <c r="D10728" s="26"/>
      <c r="E10728" s="28"/>
      <c r="F10728" s="28"/>
      <c r="G10728" s="29"/>
    </row>
    <row r="10729" ht="15.75" customHeight="1">
      <c r="A10729" s="33" t="s">
        <v>828</v>
      </c>
      <c r="B10729" s="31"/>
      <c r="C10729" s="31"/>
      <c r="D10729" s="30"/>
      <c r="E10729" s="32"/>
      <c r="F10729" s="32"/>
      <c r="G10729" s="33"/>
    </row>
    <row r="10730" ht="15.75" customHeight="1">
      <c r="A10730" s="29" t="s">
        <v>828</v>
      </c>
      <c r="B10730" s="27"/>
      <c r="C10730" s="27"/>
      <c r="D10730" s="26"/>
      <c r="E10730" s="28"/>
      <c r="F10730" s="28"/>
      <c r="G10730" s="29"/>
    </row>
    <row r="10731" ht="15.75" customHeight="1">
      <c r="A10731" s="33" t="s">
        <v>828</v>
      </c>
      <c r="B10731" s="31"/>
      <c r="C10731" s="31"/>
      <c r="D10731" s="30"/>
      <c r="E10731" s="32"/>
      <c r="F10731" s="32"/>
      <c r="G10731" s="33"/>
    </row>
    <row r="10732" ht="15.75" customHeight="1">
      <c r="A10732" s="29" t="s">
        <v>828</v>
      </c>
      <c r="B10732" s="27"/>
      <c r="C10732" s="27"/>
      <c r="D10732" s="26"/>
      <c r="E10732" s="28"/>
      <c r="F10732" s="28"/>
      <c r="G10732" s="29"/>
    </row>
    <row r="10733" ht="15.75" customHeight="1">
      <c r="A10733" s="33" t="s">
        <v>828</v>
      </c>
      <c r="B10733" s="31"/>
      <c r="C10733" s="31"/>
      <c r="D10733" s="30"/>
      <c r="E10733" s="32"/>
      <c r="F10733" s="32"/>
      <c r="G10733" s="33"/>
    </row>
    <row r="10734" ht="15.75" customHeight="1">
      <c r="A10734" s="29" t="s">
        <v>828</v>
      </c>
      <c r="B10734" s="27"/>
      <c r="C10734" s="27"/>
      <c r="D10734" s="26"/>
      <c r="E10734" s="28"/>
      <c r="F10734" s="28"/>
      <c r="G10734" s="29"/>
    </row>
    <row r="10735" ht="15.75" customHeight="1">
      <c r="A10735" s="33" t="s">
        <v>828</v>
      </c>
      <c r="B10735" s="31"/>
      <c r="C10735" s="31"/>
      <c r="D10735" s="30"/>
      <c r="E10735" s="32"/>
      <c r="F10735" s="32"/>
      <c r="G10735" s="33"/>
    </row>
    <row r="10736" ht="15.75" customHeight="1">
      <c r="A10736" s="29" t="s">
        <v>828</v>
      </c>
      <c r="B10736" s="27"/>
      <c r="C10736" s="27"/>
      <c r="D10736" s="26"/>
      <c r="E10736" s="28"/>
      <c r="F10736" s="28"/>
      <c r="G10736" s="29"/>
    </row>
    <row r="10737" ht="15.75" customHeight="1">
      <c r="A10737" s="33" t="s">
        <v>828</v>
      </c>
      <c r="B10737" s="31"/>
      <c r="C10737" s="31"/>
      <c r="D10737" s="30"/>
      <c r="E10737" s="32"/>
      <c r="F10737" s="32"/>
      <c r="G10737" s="33"/>
    </row>
    <row r="10738" ht="15.75" customHeight="1">
      <c r="A10738" s="29" t="s">
        <v>828</v>
      </c>
      <c r="B10738" s="27"/>
      <c r="C10738" s="27"/>
      <c r="D10738" s="26"/>
      <c r="E10738" s="28"/>
      <c r="F10738" s="28"/>
      <c r="G10738" s="29"/>
    </row>
    <row r="10739" ht="15.75" customHeight="1">
      <c r="A10739" s="33" t="s">
        <v>828</v>
      </c>
      <c r="B10739" s="31"/>
      <c r="C10739" s="31"/>
      <c r="D10739" s="30"/>
      <c r="E10739" s="32"/>
      <c r="F10739" s="32"/>
      <c r="G10739" s="33"/>
    </row>
    <row r="10740" ht="15.75" customHeight="1">
      <c r="A10740" s="29" t="s">
        <v>828</v>
      </c>
      <c r="B10740" s="27"/>
      <c r="C10740" s="27"/>
      <c r="D10740" s="26"/>
      <c r="E10740" s="28"/>
      <c r="F10740" s="28"/>
      <c r="G10740" s="29"/>
    </row>
    <row r="10741" ht="15.75" customHeight="1">
      <c r="A10741" s="33" t="s">
        <v>828</v>
      </c>
      <c r="B10741" s="31"/>
      <c r="C10741" s="31"/>
      <c r="D10741" s="30"/>
      <c r="E10741" s="32"/>
      <c r="F10741" s="32"/>
      <c r="G10741" s="33"/>
    </row>
    <row r="10742" ht="15.75" customHeight="1">
      <c r="A10742" s="29" t="s">
        <v>828</v>
      </c>
      <c r="B10742" s="27"/>
      <c r="C10742" s="27"/>
      <c r="D10742" s="26"/>
      <c r="E10742" s="28"/>
      <c r="F10742" s="28"/>
      <c r="G10742" s="29"/>
    </row>
    <row r="10743" ht="15.75" customHeight="1">
      <c r="A10743" s="33" t="s">
        <v>828</v>
      </c>
      <c r="B10743" s="31"/>
      <c r="C10743" s="31"/>
      <c r="D10743" s="30"/>
      <c r="E10743" s="32"/>
      <c r="F10743" s="32"/>
      <c r="G10743" s="33"/>
    </row>
    <row r="10744" ht="15.75" customHeight="1">
      <c r="A10744" s="29" t="s">
        <v>828</v>
      </c>
      <c r="B10744" s="27"/>
      <c r="C10744" s="27"/>
      <c r="D10744" s="26"/>
      <c r="E10744" s="28"/>
      <c r="F10744" s="28"/>
      <c r="G10744" s="29"/>
    </row>
    <row r="10745" ht="15.75" customHeight="1">
      <c r="A10745" s="33" t="s">
        <v>828</v>
      </c>
      <c r="B10745" s="31"/>
      <c r="C10745" s="31"/>
      <c r="D10745" s="30"/>
      <c r="E10745" s="32"/>
      <c r="F10745" s="32"/>
      <c r="G10745" s="33"/>
    </row>
    <row r="10746" ht="15.75" customHeight="1">
      <c r="A10746" s="29" t="s">
        <v>828</v>
      </c>
      <c r="B10746" s="27"/>
      <c r="C10746" s="27"/>
      <c r="D10746" s="26"/>
      <c r="E10746" s="28"/>
      <c r="F10746" s="28"/>
      <c r="G10746" s="29"/>
    </row>
    <row r="10747" ht="15.75" customHeight="1">
      <c r="A10747" s="33" t="s">
        <v>828</v>
      </c>
      <c r="B10747" s="31"/>
      <c r="C10747" s="31"/>
      <c r="D10747" s="30"/>
      <c r="E10747" s="32"/>
      <c r="F10747" s="32"/>
      <c r="G10747" s="33"/>
    </row>
    <row r="10748" ht="15.75" customHeight="1">
      <c r="A10748" s="29" t="s">
        <v>828</v>
      </c>
      <c r="B10748" s="27"/>
      <c r="C10748" s="27"/>
      <c r="D10748" s="26"/>
      <c r="E10748" s="28"/>
      <c r="F10748" s="28"/>
      <c r="G10748" s="29"/>
    </row>
    <row r="10749" ht="15.75" customHeight="1">
      <c r="A10749" s="33" t="s">
        <v>828</v>
      </c>
      <c r="B10749" s="31"/>
      <c r="C10749" s="31"/>
      <c r="D10749" s="30"/>
      <c r="E10749" s="32"/>
      <c r="F10749" s="32"/>
      <c r="G10749" s="33"/>
    </row>
    <row r="10750" ht="15.75" customHeight="1">
      <c r="A10750" s="29" t="s">
        <v>828</v>
      </c>
      <c r="B10750" s="27"/>
      <c r="C10750" s="27"/>
      <c r="D10750" s="26"/>
      <c r="E10750" s="28"/>
      <c r="F10750" s="28"/>
      <c r="G10750" s="29"/>
    </row>
    <row r="10751" ht="15.75" customHeight="1">
      <c r="A10751" s="33" t="s">
        <v>828</v>
      </c>
      <c r="B10751" s="31"/>
      <c r="C10751" s="31"/>
      <c r="D10751" s="30"/>
      <c r="E10751" s="32"/>
      <c r="F10751" s="32"/>
      <c r="G10751" s="33"/>
    </row>
    <row r="10752" ht="15.75" customHeight="1">
      <c r="A10752" s="29" t="s">
        <v>828</v>
      </c>
      <c r="B10752" s="27"/>
      <c r="C10752" s="27"/>
      <c r="D10752" s="26"/>
      <c r="E10752" s="28"/>
      <c r="F10752" s="28"/>
      <c r="G10752" s="29"/>
    </row>
    <row r="10753" ht="15.75" customHeight="1">
      <c r="A10753" s="33" t="s">
        <v>828</v>
      </c>
      <c r="B10753" s="31"/>
      <c r="C10753" s="31"/>
      <c r="D10753" s="30"/>
      <c r="E10753" s="32"/>
      <c r="F10753" s="32"/>
      <c r="G10753" s="33"/>
    </row>
    <row r="10754" ht="15.75" customHeight="1">
      <c r="A10754" s="29" t="s">
        <v>828</v>
      </c>
      <c r="B10754" s="27"/>
      <c r="C10754" s="27"/>
      <c r="D10754" s="26"/>
      <c r="E10754" s="28"/>
      <c r="F10754" s="28"/>
      <c r="G10754" s="29"/>
    </row>
    <row r="10755" ht="15.75" customHeight="1">
      <c r="A10755" s="33" t="s">
        <v>828</v>
      </c>
      <c r="B10755" s="31"/>
      <c r="C10755" s="31"/>
      <c r="D10755" s="30"/>
      <c r="E10755" s="32"/>
      <c r="F10755" s="32"/>
      <c r="G10755" s="33"/>
    </row>
    <row r="10756" ht="15.75" customHeight="1">
      <c r="A10756" s="29" t="s">
        <v>828</v>
      </c>
      <c r="B10756" s="27"/>
      <c r="C10756" s="27"/>
      <c r="D10756" s="26"/>
      <c r="E10756" s="28"/>
      <c r="F10756" s="28"/>
      <c r="G10756" s="29"/>
    </row>
    <row r="10757" ht="15.75" customHeight="1">
      <c r="A10757" s="33" t="s">
        <v>828</v>
      </c>
      <c r="B10757" s="31"/>
      <c r="C10757" s="31"/>
      <c r="D10757" s="30"/>
      <c r="E10757" s="32"/>
      <c r="F10757" s="32"/>
      <c r="G10757" s="33"/>
    </row>
    <row r="10758" ht="15.75" customHeight="1">
      <c r="A10758" s="29" t="s">
        <v>828</v>
      </c>
      <c r="B10758" s="27"/>
      <c r="C10758" s="27"/>
      <c r="D10758" s="26"/>
      <c r="E10758" s="28"/>
      <c r="F10758" s="28"/>
      <c r="G10758" s="29"/>
    </row>
    <row r="10759" ht="15.75" customHeight="1">
      <c r="A10759" s="33" t="s">
        <v>828</v>
      </c>
      <c r="B10759" s="31"/>
      <c r="C10759" s="31"/>
      <c r="D10759" s="30"/>
      <c r="E10759" s="32"/>
      <c r="F10759" s="32"/>
      <c r="G10759" s="33"/>
    </row>
    <row r="10760" ht="15.75" customHeight="1">
      <c r="A10760" s="29" t="s">
        <v>828</v>
      </c>
      <c r="B10760" s="27"/>
      <c r="C10760" s="27"/>
      <c r="D10760" s="26"/>
      <c r="E10760" s="28"/>
      <c r="F10760" s="28"/>
      <c r="G10760" s="29"/>
    </row>
    <row r="10761" ht="15.75" customHeight="1">
      <c r="A10761" s="33" t="s">
        <v>828</v>
      </c>
      <c r="B10761" s="31"/>
      <c r="C10761" s="31"/>
      <c r="D10761" s="30"/>
      <c r="E10761" s="32"/>
      <c r="F10761" s="32"/>
      <c r="G10761" s="33"/>
    </row>
    <row r="10762" ht="15.75" customHeight="1">
      <c r="A10762" s="29" t="s">
        <v>828</v>
      </c>
      <c r="B10762" s="27"/>
      <c r="C10762" s="27"/>
      <c r="D10762" s="26"/>
      <c r="E10762" s="28"/>
      <c r="F10762" s="28"/>
      <c r="G10762" s="29"/>
    </row>
    <row r="10763" ht="15.75" customHeight="1">
      <c r="A10763" s="33" t="s">
        <v>828</v>
      </c>
      <c r="B10763" s="31"/>
      <c r="C10763" s="31"/>
      <c r="D10763" s="30"/>
      <c r="E10763" s="32"/>
      <c r="F10763" s="32"/>
      <c r="G10763" s="33"/>
    </row>
    <row r="10764" ht="15.75" customHeight="1">
      <c r="A10764" s="29" t="s">
        <v>828</v>
      </c>
      <c r="B10764" s="27"/>
      <c r="C10764" s="27"/>
      <c r="D10764" s="26"/>
      <c r="E10764" s="28"/>
      <c r="F10764" s="28"/>
      <c r="G10764" s="29"/>
    </row>
    <row r="10765" ht="15.75" customHeight="1">
      <c r="A10765" s="33" t="s">
        <v>828</v>
      </c>
      <c r="B10765" s="31"/>
      <c r="C10765" s="31"/>
      <c r="D10765" s="30"/>
      <c r="E10765" s="32"/>
      <c r="F10765" s="32"/>
      <c r="G10765" s="33"/>
    </row>
    <row r="10766" ht="15.75" customHeight="1">
      <c r="A10766" s="29" t="s">
        <v>828</v>
      </c>
      <c r="B10766" s="27"/>
      <c r="C10766" s="27"/>
      <c r="D10766" s="26"/>
      <c r="E10766" s="28"/>
      <c r="F10766" s="28"/>
      <c r="G10766" s="29"/>
    </row>
    <row r="10767" ht="15.75" customHeight="1">
      <c r="A10767" s="33" t="s">
        <v>828</v>
      </c>
      <c r="B10767" s="31"/>
      <c r="C10767" s="31"/>
      <c r="D10767" s="30"/>
      <c r="E10767" s="32"/>
      <c r="F10767" s="32"/>
      <c r="G10767" s="33"/>
    </row>
    <row r="10768" ht="15.75" customHeight="1">
      <c r="A10768" s="29" t="s">
        <v>828</v>
      </c>
      <c r="B10768" s="27"/>
      <c r="C10768" s="27"/>
      <c r="D10768" s="26"/>
      <c r="E10768" s="28"/>
      <c r="F10768" s="28"/>
      <c r="G10768" s="29"/>
    </row>
    <row r="10769" ht="15.75" customHeight="1">
      <c r="A10769" s="33" t="s">
        <v>828</v>
      </c>
      <c r="B10769" s="31"/>
      <c r="C10769" s="31"/>
      <c r="D10769" s="30"/>
      <c r="E10769" s="32"/>
      <c r="F10769" s="32"/>
      <c r="G10769" s="33"/>
    </row>
    <row r="10770" ht="15.75" customHeight="1">
      <c r="A10770" s="29" t="s">
        <v>828</v>
      </c>
      <c r="B10770" s="27"/>
      <c r="C10770" s="27"/>
      <c r="D10770" s="26"/>
      <c r="E10770" s="28"/>
      <c r="F10770" s="28"/>
      <c r="G10770" s="29"/>
    </row>
    <row r="10771" ht="15.75" customHeight="1">
      <c r="A10771" s="33" t="s">
        <v>828</v>
      </c>
      <c r="B10771" s="31"/>
      <c r="C10771" s="31"/>
      <c r="D10771" s="30"/>
      <c r="E10771" s="32"/>
      <c r="F10771" s="32"/>
      <c r="G10771" s="33"/>
    </row>
    <row r="10772" ht="15.75" customHeight="1">
      <c r="A10772" s="29" t="s">
        <v>828</v>
      </c>
      <c r="B10772" s="27"/>
      <c r="C10772" s="27"/>
      <c r="D10772" s="26"/>
      <c r="E10772" s="28"/>
      <c r="F10772" s="28"/>
      <c r="G10772" s="29"/>
    </row>
    <row r="10773" ht="15.75" customHeight="1">
      <c r="A10773" s="33" t="s">
        <v>828</v>
      </c>
      <c r="B10773" s="31"/>
      <c r="C10773" s="31"/>
      <c r="D10773" s="30"/>
      <c r="E10773" s="32"/>
      <c r="F10773" s="32"/>
      <c r="G10773" s="33"/>
    </row>
    <row r="10774" ht="15.75" customHeight="1">
      <c r="A10774" s="29" t="s">
        <v>828</v>
      </c>
      <c r="B10774" s="27"/>
      <c r="C10774" s="27"/>
      <c r="D10774" s="26"/>
      <c r="E10774" s="28"/>
      <c r="F10774" s="28"/>
      <c r="G10774" s="29"/>
    </row>
    <row r="10775" ht="15.75" customHeight="1">
      <c r="A10775" s="33" t="s">
        <v>828</v>
      </c>
      <c r="B10775" s="31"/>
      <c r="C10775" s="31"/>
      <c r="D10775" s="30"/>
      <c r="E10775" s="32"/>
      <c r="F10775" s="32"/>
      <c r="G10775" s="33"/>
    </row>
    <row r="10776" ht="15.75" customHeight="1">
      <c r="A10776" s="29" t="s">
        <v>828</v>
      </c>
      <c r="B10776" s="27"/>
      <c r="C10776" s="27"/>
      <c r="D10776" s="26"/>
      <c r="E10776" s="28"/>
      <c r="F10776" s="28"/>
      <c r="G10776" s="29"/>
    </row>
    <row r="10777" ht="15.75" customHeight="1">
      <c r="A10777" s="33" t="s">
        <v>828</v>
      </c>
      <c r="B10777" s="31"/>
      <c r="C10777" s="31"/>
      <c r="D10777" s="30"/>
      <c r="E10777" s="32"/>
      <c r="F10777" s="32"/>
      <c r="G10777" s="33"/>
    </row>
    <row r="10778" ht="15.75" customHeight="1">
      <c r="A10778" s="29" t="s">
        <v>828</v>
      </c>
      <c r="B10778" s="27"/>
      <c r="C10778" s="27"/>
      <c r="D10778" s="26"/>
      <c r="E10778" s="28"/>
      <c r="F10778" s="28"/>
      <c r="G10778" s="29"/>
    </row>
    <row r="10779" ht="15.75" customHeight="1">
      <c r="A10779" s="33" t="s">
        <v>828</v>
      </c>
      <c r="B10779" s="31"/>
      <c r="C10779" s="31"/>
      <c r="D10779" s="30"/>
      <c r="E10779" s="32"/>
      <c r="F10779" s="32"/>
      <c r="G10779" s="33"/>
    </row>
    <row r="10780" ht="15.75" customHeight="1">
      <c r="A10780" s="29" t="s">
        <v>828</v>
      </c>
      <c r="B10780" s="27"/>
      <c r="C10780" s="27"/>
      <c r="D10780" s="26"/>
      <c r="E10780" s="28"/>
      <c r="F10780" s="28"/>
      <c r="G10780" s="29"/>
    </row>
    <row r="10781" ht="15.75" customHeight="1">
      <c r="A10781" s="33" t="s">
        <v>828</v>
      </c>
      <c r="B10781" s="31"/>
      <c r="C10781" s="31"/>
      <c r="D10781" s="30"/>
      <c r="E10781" s="32"/>
      <c r="F10781" s="32"/>
      <c r="G10781" s="33"/>
    </row>
    <row r="10782" ht="15.75" customHeight="1">
      <c r="A10782" s="29" t="s">
        <v>828</v>
      </c>
      <c r="B10782" s="27"/>
      <c r="C10782" s="27"/>
      <c r="D10782" s="26"/>
      <c r="E10782" s="28"/>
      <c r="F10782" s="28"/>
      <c r="G10782" s="29"/>
    </row>
    <row r="10783" ht="15.75" customHeight="1">
      <c r="A10783" s="33" t="s">
        <v>828</v>
      </c>
      <c r="B10783" s="31"/>
      <c r="C10783" s="31"/>
      <c r="D10783" s="30"/>
      <c r="E10783" s="32"/>
      <c r="F10783" s="32"/>
      <c r="G10783" s="33"/>
    </row>
    <row r="10784" ht="15.75" customHeight="1">
      <c r="A10784" s="29" t="s">
        <v>828</v>
      </c>
      <c r="B10784" s="27"/>
      <c r="C10784" s="27"/>
      <c r="D10784" s="26"/>
      <c r="E10784" s="28"/>
      <c r="F10784" s="28"/>
      <c r="G10784" s="29"/>
    </row>
    <row r="10785" ht="15.75" customHeight="1">
      <c r="A10785" s="33" t="s">
        <v>828</v>
      </c>
      <c r="B10785" s="31"/>
      <c r="C10785" s="31"/>
      <c r="D10785" s="30"/>
      <c r="E10785" s="32"/>
      <c r="F10785" s="32"/>
      <c r="G10785" s="33"/>
    </row>
    <row r="10786" ht="15.75" customHeight="1">
      <c r="A10786" s="29" t="s">
        <v>828</v>
      </c>
      <c r="B10786" s="27"/>
      <c r="C10786" s="27"/>
      <c r="D10786" s="26"/>
      <c r="E10786" s="28"/>
      <c r="F10786" s="28"/>
      <c r="G10786" s="29"/>
    </row>
    <row r="10787" ht="15.75" customHeight="1">
      <c r="A10787" s="33" t="s">
        <v>828</v>
      </c>
      <c r="B10787" s="31"/>
      <c r="C10787" s="31"/>
      <c r="D10787" s="30"/>
      <c r="E10787" s="32"/>
      <c r="F10787" s="32"/>
      <c r="G10787" s="33"/>
    </row>
    <row r="10788" ht="15.75" customHeight="1">
      <c r="A10788" s="29" t="s">
        <v>828</v>
      </c>
      <c r="B10788" s="27"/>
      <c r="C10788" s="27"/>
      <c r="D10788" s="26"/>
      <c r="E10788" s="28"/>
      <c r="F10788" s="28"/>
      <c r="G10788" s="29"/>
    </row>
    <row r="10789" ht="15.75" customHeight="1">
      <c r="A10789" s="33" t="s">
        <v>828</v>
      </c>
      <c r="B10789" s="31"/>
      <c r="C10789" s="31"/>
      <c r="D10789" s="30"/>
      <c r="E10789" s="32"/>
      <c r="F10789" s="32"/>
      <c r="G10789" s="33"/>
    </row>
    <row r="10790" ht="15.75" customHeight="1">
      <c r="A10790" s="29" t="s">
        <v>828</v>
      </c>
      <c r="B10790" s="27"/>
      <c r="C10790" s="27"/>
      <c r="D10790" s="26"/>
      <c r="E10790" s="28"/>
      <c r="F10790" s="28"/>
      <c r="G10790" s="29"/>
    </row>
    <row r="10791" ht="15.75" customHeight="1">
      <c r="A10791" s="33" t="s">
        <v>828</v>
      </c>
      <c r="B10791" s="31"/>
      <c r="C10791" s="31"/>
      <c r="D10791" s="30"/>
      <c r="E10791" s="32"/>
      <c r="F10791" s="32"/>
      <c r="G10791" s="33"/>
    </row>
    <row r="10792" ht="15.75" customHeight="1">
      <c r="A10792" s="29" t="s">
        <v>828</v>
      </c>
      <c r="B10792" s="27"/>
      <c r="C10792" s="27"/>
      <c r="D10792" s="26"/>
      <c r="E10792" s="28"/>
      <c r="F10792" s="28"/>
      <c r="G10792" s="29"/>
    </row>
    <row r="10793" ht="15.75" customHeight="1">
      <c r="A10793" s="33" t="s">
        <v>828</v>
      </c>
      <c r="B10793" s="31"/>
      <c r="C10793" s="31"/>
      <c r="D10793" s="30"/>
      <c r="E10793" s="32"/>
      <c r="F10793" s="32"/>
      <c r="G10793" s="33"/>
    </row>
    <row r="10794" ht="15.75" customHeight="1">
      <c r="A10794" s="29" t="s">
        <v>828</v>
      </c>
      <c r="B10794" s="27"/>
      <c r="C10794" s="27"/>
      <c r="D10794" s="26"/>
      <c r="E10794" s="28"/>
      <c r="F10794" s="28"/>
      <c r="G10794" s="29"/>
    </row>
    <row r="10795" ht="15.75" customHeight="1">
      <c r="A10795" s="33" t="s">
        <v>828</v>
      </c>
      <c r="B10795" s="31"/>
      <c r="C10795" s="31"/>
      <c r="D10795" s="30"/>
      <c r="E10795" s="32"/>
      <c r="F10795" s="32"/>
      <c r="G10795" s="33"/>
    </row>
    <row r="10796" ht="15.75" customHeight="1">
      <c r="A10796" s="29" t="s">
        <v>828</v>
      </c>
      <c r="B10796" s="27"/>
      <c r="C10796" s="27"/>
      <c r="D10796" s="26"/>
      <c r="E10796" s="28"/>
      <c r="F10796" s="28"/>
      <c r="G10796" s="29"/>
    </row>
    <row r="10797" ht="15.75" customHeight="1">
      <c r="A10797" s="33" t="s">
        <v>828</v>
      </c>
      <c r="B10797" s="31"/>
      <c r="C10797" s="31"/>
      <c r="D10797" s="30"/>
      <c r="E10797" s="32"/>
      <c r="F10797" s="32"/>
      <c r="G10797" s="33"/>
    </row>
    <row r="10798" ht="15.75" customHeight="1">
      <c r="A10798" s="29" t="s">
        <v>828</v>
      </c>
      <c r="B10798" s="27"/>
      <c r="C10798" s="27"/>
      <c r="D10798" s="26"/>
      <c r="E10798" s="28"/>
      <c r="F10798" s="28"/>
      <c r="G10798" s="29"/>
    </row>
    <row r="10799" ht="15.75" customHeight="1">
      <c r="A10799" s="33" t="s">
        <v>828</v>
      </c>
      <c r="B10799" s="31"/>
      <c r="C10799" s="31"/>
      <c r="D10799" s="30"/>
      <c r="E10799" s="32"/>
      <c r="F10799" s="32"/>
      <c r="G10799" s="33"/>
    </row>
    <row r="10800" ht="15.75" customHeight="1">
      <c r="A10800" s="29" t="s">
        <v>828</v>
      </c>
      <c r="B10800" s="27"/>
      <c r="C10800" s="27"/>
      <c r="D10800" s="26"/>
      <c r="E10800" s="28"/>
      <c r="F10800" s="28"/>
      <c r="G10800" s="29"/>
    </row>
    <row r="10801" ht="15.75" customHeight="1">
      <c r="A10801" s="33" t="s">
        <v>828</v>
      </c>
      <c r="B10801" s="31"/>
      <c r="C10801" s="31"/>
      <c r="D10801" s="30"/>
      <c r="E10801" s="32"/>
      <c r="F10801" s="32"/>
      <c r="G10801" s="33"/>
    </row>
    <row r="10802" ht="15.75" customHeight="1">
      <c r="A10802" s="29" t="s">
        <v>828</v>
      </c>
      <c r="B10802" s="27"/>
      <c r="C10802" s="27"/>
      <c r="D10802" s="26"/>
      <c r="E10802" s="28"/>
      <c r="F10802" s="28"/>
      <c r="G10802" s="29"/>
    </row>
    <row r="10803" ht="15.75" customHeight="1">
      <c r="A10803" s="33" t="s">
        <v>828</v>
      </c>
      <c r="B10803" s="31"/>
      <c r="C10803" s="31"/>
      <c r="D10803" s="30"/>
      <c r="E10803" s="32"/>
      <c r="F10803" s="32"/>
      <c r="G10803" s="33"/>
    </row>
    <row r="10804" ht="15.75" customHeight="1">
      <c r="A10804" s="29" t="s">
        <v>828</v>
      </c>
      <c r="B10804" s="27"/>
      <c r="C10804" s="27"/>
      <c r="D10804" s="26"/>
      <c r="E10804" s="28"/>
      <c r="F10804" s="28"/>
      <c r="G10804" s="29"/>
    </row>
    <row r="10805" ht="15.75" customHeight="1">
      <c r="A10805" s="33" t="s">
        <v>828</v>
      </c>
      <c r="B10805" s="31"/>
      <c r="C10805" s="31"/>
      <c r="D10805" s="30"/>
      <c r="E10805" s="32"/>
      <c r="F10805" s="32"/>
      <c r="G10805" s="33"/>
    </row>
    <row r="10806" ht="15.75" customHeight="1">
      <c r="A10806" s="29" t="s">
        <v>828</v>
      </c>
      <c r="B10806" s="27"/>
      <c r="C10806" s="27"/>
      <c r="D10806" s="26"/>
      <c r="E10806" s="28"/>
      <c r="F10806" s="28"/>
      <c r="G10806" s="29"/>
    </row>
    <row r="10807" ht="15.75" customHeight="1">
      <c r="A10807" s="33" t="s">
        <v>828</v>
      </c>
      <c r="B10807" s="31"/>
      <c r="C10807" s="31"/>
      <c r="D10807" s="30"/>
      <c r="E10807" s="32"/>
      <c r="F10807" s="32"/>
      <c r="G10807" s="33"/>
    </row>
    <row r="10808" ht="15.75" customHeight="1">
      <c r="A10808" s="29" t="s">
        <v>828</v>
      </c>
      <c r="B10808" s="27"/>
      <c r="C10808" s="27"/>
      <c r="D10808" s="26"/>
      <c r="E10808" s="28"/>
      <c r="F10808" s="28"/>
      <c r="G10808" s="29"/>
    </row>
    <row r="10809" ht="15.75" customHeight="1">
      <c r="A10809" s="33" t="s">
        <v>828</v>
      </c>
      <c r="B10809" s="31"/>
      <c r="C10809" s="31"/>
      <c r="D10809" s="30"/>
      <c r="E10809" s="32"/>
      <c r="F10809" s="32"/>
      <c r="G10809" s="33"/>
    </row>
    <row r="10810" ht="15.75" customHeight="1">
      <c r="A10810" s="29" t="s">
        <v>828</v>
      </c>
      <c r="B10810" s="27"/>
      <c r="C10810" s="27"/>
      <c r="D10810" s="26"/>
      <c r="E10810" s="28"/>
      <c r="F10810" s="28"/>
      <c r="G10810" s="29"/>
    </row>
    <row r="10811" ht="15.75" customHeight="1">
      <c r="A10811" s="33" t="s">
        <v>828</v>
      </c>
      <c r="B10811" s="31"/>
      <c r="C10811" s="31"/>
      <c r="D10811" s="30"/>
      <c r="E10811" s="32"/>
      <c r="F10811" s="32"/>
      <c r="G10811" s="33"/>
    </row>
    <row r="10812" ht="15.75" customHeight="1">
      <c r="A10812" s="29" t="s">
        <v>828</v>
      </c>
      <c r="B10812" s="27"/>
      <c r="C10812" s="27"/>
      <c r="D10812" s="26"/>
      <c r="E10812" s="28"/>
      <c r="F10812" s="28"/>
      <c r="G10812" s="29"/>
    </row>
    <row r="10813" ht="15.75" customHeight="1">
      <c r="A10813" s="33" t="s">
        <v>828</v>
      </c>
      <c r="B10813" s="31"/>
      <c r="C10813" s="31"/>
      <c r="D10813" s="30"/>
      <c r="E10813" s="32"/>
      <c r="F10813" s="32"/>
      <c r="G10813" s="33"/>
    </row>
    <row r="10814" ht="15.75" customHeight="1">
      <c r="A10814" s="29" t="s">
        <v>828</v>
      </c>
      <c r="B10814" s="27"/>
      <c r="C10814" s="27"/>
      <c r="D10814" s="26"/>
      <c r="E10814" s="28"/>
      <c r="F10814" s="28"/>
      <c r="G10814" s="29"/>
    </row>
    <row r="10815" ht="15.75" customHeight="1">
      <c r="A10815" s="33" t="s">
        <v>828</v>
      </c>
      <c r="B10815" s="31"/>
      <c r="C10815" s="31"/>
      <c r="D10815" s="30"/>
      <c r="E10815" s="32"/>
      <c r="F10815" s="32"/>
      <c r="G10815" s="33"/>
    </row>
    <row r="10816" ht="15.75" customHeight="1">
      <c r="A10816" s="29" t="s">
        <v>828</v>
      </c>
      <c r="B10816" s="27"/>
      <c r="C10816" s="27"/>
      <c r="D10816" s="26"/>
      <c r="E10816" s="28"/>
      <c r="F10816" s="28"/>
      <c r="G10816" s="29"/>
    </row>
    <row r="10817" ht="15.75" customHeight="1">
      <c r="A10817" s="33" t="s">
        <v>828</v>
      </c>
      <c r="B10817" s="31"/>
      <c r="C10817" s="31"/>
      <c r="D10817" s="30"/>
      <c r="E10817" s="32"/>
      <c r="F10817" s="32"/>
      <c r="G10817" s="33"/>
    </row>
    <row r="10818" ht="15.75" customHeight="1">
      <c r="A10818" s="29" t="s">
        <v>828</v>
      </c>
      <c r="B10818" s="27"/>
      <c r="C10818" s="27"/>
      <c r="D10818" s="26"/>
      <c r="E10818" s="28"/>
      <c r="F10818" s="28"/>
      <c r="G10818" s="29"/>
    </row>
    <row r="10819" ht="15.75" customHeight="1">
      <c r="A10819" s="33" t="s">
        <v>828</v>
      </c>
      <c r="B10819" s="31"/>
      <c r="C10819" s="31"/>
      <c r="D10819" s="30"/>
      <c r="E10819" s="32"/>
      <c r="F10819" s="32"/>
      <c r="G10819" s="33"/>
    </row>
    <row r="10820" ht="15.75" customHeight="1">
      <c r="A10820" s="29" t="s">
        <v>828</v>
      </c>
      <c r="B10820" s="27"/>
      <c r="C10820" s="27"/>
      <c r="D10820" s="26"/>
      <c r="E10820" s="28"/>
      <c r="F10820" s="28"/>
      <c r="G10820" s="29"/>
    </row>
    <row r="10821" ht="15.75" customHeight="1">
      <c r="A10821" s="33" t="s">
        <v>828</v>
      </c>
      <c r="B10821" s="31"/>
      <c r="C10821" s="31"/>
      <c r="D10821" s="30"/>
      <c r="E10821" s="32"/>
      <c r="F10821" s="32"/>
      <c r="G10821" s="33"/>
    </row>
    <row r="10822" ht="15.75" customHeight="1">
      <c r="A10822" s="29" t="s">
        <v>828</v>
      </c>
      <c r="B10822" s="27"/>
      <c r="C10822" s="27"/>
      <c r="D10822" s="26"/>
      <c r="E10822" s="28"/>
      <c r="F10822" s="28"/>
      <c r="G10822" s="29"/>
    </row>
    <row r="10823" ht="15.75" customHeight="1">
      <c r="A10823" s="33" t="s">
        <v>828</v>
      </c>
      <c r="B10823" s="31"/>
      <c r="C10823" s="31"/>
      <c r="D10823" s="30"/>
      <c r="E10823" s="32"/>
      <c r="F10823" s="32"/>
      <c r="G10823" s="33"/>
    </row>
    <row r="10824" ht="15.75" customHeight="1">
      <c r="A10824" s="29" t="s">
        <v>828</v>
      </c>
      <c r="B10824" s="27"/>
      <c r="C10824" s="27"/>
      <c r="D10824" s="26"/>
      <c r="E10824" s="28"/>
      <c r="F10824" s="28"/>
      <c r="G10824" s="29"/>
    </row>
    <row r="10825" ht="15.75" customHeight="1">
      <c r="A10825" s="33" t="s">
        <v>828</v>
      </c>
      <c r="B10825" s="31"/>
      <c r="C10825" s="31"/>
      <c r="D10825" s="30"/>
      <c r="E10825" s="32"/>
      <c r="F10825" s="32"/>
      <c r="G10825" s="33"/>
    </row>
    <row r="10826" ht="15.75" customHeight="1">
      <c r="A10826" s="29" t="s">
        <v>828</v>
      </c>
      <c r="B10826" s="27"/>
      <c r="C10826" s="27"/>
      <c r="D10826" s="26"/>
      <c r="E10826" s="28"/>
      <c r="F10826" s="28"/>
      <c r="G10826" s="29"/>
    </row>
    <row r="10827" ht="15.75" customHeight="1">
      <c r="A10827" s="33" t="s">
        <v>828</v>
      </c>
      <c r="B10827" s="31"/>
      <c r="C10827" s="31"/>
      <c r="D10827" s="30"/>
      <c r="E10827" s="32"/>
      <c r="F10827" s="32"/>
      <c r="G10827" s="33"/>
    </row>
    <row r="10828" ht="15.75" customHeight="1">
      <c r="A10828" s="29" t="s">
        <v>828</v>
      </c>
      <c r="B10828" s="27"/>
      <c r="C10828" s="27"/>
      <c r="D10828" s="26"/>
      <c r="E10828" s="28"/>
      <c r="F10828" s="28"/>
      <c r="G10828" s="29"/>
    </row>
    <row r="10829" ht="15.75" customHeight="1">
      <c r="A10829" s="33" t="s">
        <v>828</v>
      </c>
      <c r="B10829" s="31"/>
      <c r="C10829" s="31"/>
      <c r="D10829" s="30"/>
      <c r="E10829" s="32"/>
      <c r="F10829" s="32"/>
      <c r="G10829" s="33"/>
    </row>
    <row r="10830" ht="15.75" customHeight="1">
      <c r="A10830" s="29" t="s">
        <v>828</v>
      </c>
      <c r="B10830" s="27"/>
      <c r="C10830" s="27"/>
      <c r="D10830" s="26"/>
      <c r="E10830" s="28"/>
      <c r="F10830" s="28"/>
      <c r="G10830" s="29"/>
    </row>
    <row r="10831" ht="15.75" customHeight="1">
      <c r="A10831" s="33" t="s">
        <v>828</v>
      </c>
      <c r="B10831" s="31"/>
      <c r="C10831" s="31"/>
      <c r="D10831" s="30"/>
      <c r="E10831" s="32"/>
      <c r="F10831" s="32"/>
      <c r="G10831" s="33"/>
    </row>
    <row r="10832" ht="15.75" customHeight="1">
      <c r="A10832" s="29" t="s">
        <v>828</v>
      </c>
      <c r="B10832" s="27"/>
      <c r="C10832" s="27"/>
      <c r="D10832" s="26"/>
      <c r="E10832" s="28"/>
      <c r="F10832" s="28"/>
      <c r="G10832" s="29"/>
    </row>
    <row r="10833" ht="15.75" customHeight="1">
      <c r="A10833" s="33" t="s">
        <v>828</v>
      </c>
      <c r="B10833" s="31"/>
      <c r="C10833" s="31"/>
      <c r="D10833" s="30"/>
      <c r="E10833" s="32"/>
      <c r="F10833" s="32"/>
      <c r="G10833" s="33"/>
    </row>
    <row r="10834" ht="15.75" customHeight="1">
      <c r="A10834" s="29" t="s">
        <v>828</v>
      </c>
      <c r="B10834" s="27"/>
      <c r="C10834" s="27"/>
      <c r="D10834" s="26"/>
      <c r="E10834" s="28"/>
      <c r="F10834" s="28"/>
      <c r="G10834" s="29"/>
    </row>
    <row r="10835" ht="15.75" customHeight="1">
      <c r="A10835" s="33" t="s">
        <v>828</v>
      </c>
      <c r="B10835" s="31"/>
      <c r="C10835" s="31"/>
      <c r="D10835" s="30"/>
      <c r="E10835" s="32"/>
      <c r="F10835" s="32"/>
      <c r="G10835" s="33"/>
    </row>
    <row r="10836" ht="15.75" customHeight="1">
      <c r="A10836" s="29" t="s">
        <v>828</v>
      </c>
      <c r="B10836" s="27"/>
      <c r="C10836" s="27"/>
      <c r="D10836" s="26"/>
      <c r="E10836" s="28"/>
      <c r="F10836" s="28"/>
      <c r="G10836" s="29"/>
    </row>
    <row r="10837" ht="15.75" customHeight="1">
      <c r="A10837" s="33" t="s">
        <v>828</v>
      </c>
      <c r="B10837" s="31"/>
      <c r="C10837" s="31"/>
      <c r="D10837" s="30"/>
      <c r="E10837" s="32"/>
      <c r="F10837" s="32"/>
      <c r="G10837" s="33"/>
    </row>
    <row r="10838" ht="15.75" customHeight="1">
      <c r="A10838" s="29" t="s">
        <v>828</v>
      </c>
      <c r="B10838" s="27"/>
      <c r="C10838" s="27"/>
      <c r="D10838" s="26"/>
      <c r="E10838" s="28"/>
      <c r="F10838" s="28"/>
      <c r="G10838" s="29"/>
    </row>
    <row r="10839" ht="15.75" customHeight="1">
      <c r="A10839" s="33" t="s">
        <v>828</v>
      </c>
      <c r="B10839" s="31"/>
      <c r="C10839" s="31"/>
      <c r="D10839" s="30"/>
      <c r="E10839" s="32"/>
      <c r="F10839" s="32"/>
      <c r="G10839" s="33"/>
    </row>
    <row r="10840" ht="15.75" customHeight="1">
      <c r="A10840" s="29" t="s">
        <v>828</v>
      </c>
      <c r="B10840" s="27"/>
      <c r="C10840" s="27"/>
      <c r="D10840" s="26"/>
      <c r="E10840" s="28"/>
      <c r="F10840" s="28"/>
      <c r="G10840" s="29"/>
    </row>
    <row r="10841" ht="15.75" customHeight="1">
      <c r="A10841" s="33" t="s">
        <v>828</v>
      </c>
      <c r="B10841" s="31"/>
      <c r="C10841" s="31"/>
      <c r="D10841" s="30"/>
      <c r="E10841" s="32"/>
      <c r="F10841" s="32"/>
      <c r="G10841" s="33"/>
    </row>
    <row r="10842" ht="15.75" customHeight="1">
      <c r="A10842" s="29" t="s">
        <v>828</v>
      </c>
      <c r="B10842" s="27"/>
      <c r="C10842" s="27"/>
      <c r="D10842" s="26"/>
      <c r="E10842" s="28"/>
      <c r="F10842" s="28"/>
      <c r="G10842" s="29"/>
    </row>
    <row r="10843" ht="15.75" customHeight="1">
      <c r="A10843" s="33" t="s">
        <v>828</v>
      </c>
      <c r="B10843" s="31"/>
      <c r="C10843" s="31"/>
      <c r="D10843" s="30"/>
      <c r="E10843" s="32"/>
      <c r="F10843" s="32"/>
      <c r="G10843" s="33"/>
    </row>
    <row r="10844" ht="15.75" customHeight="1">
      <c r="A10844" s="29" t="s">
        <v>828</v>
      </c>
      <c r="B10844" s="27"/>
      <c r="C10844" s="27"/>
      <c r="D10844" s="26"/>
      <c r="E10844" s="28"/>
      <c r="F10844" s="28"/>
      <c r="G10844" s="29"/>
    </row>
    <row r="10845" ht="15.75" customHeight="1">
      <c r="A10845" s="33" t="s">
        <v>828</v>
      </c>
      <c r="B10845" s="31"/>
      <c r="C10845" s="31"/>
      <c r="D10845" s="30"/>
      <c r="E10845" s="32"/>
      <c r="F10845" s="32"/>
      <c r="G10845" s="33"/>
    </row>
    <row r="10846" ht="15.75" customHeight="1">
      <c r="A10846" s="29" t="s">
        <v>828</v>
      </c>
      <c r="B10846" s="27"/>
      <c r="C10846" s="27"/>
      <c r="D10846" s="26"/>
      <c r="E10846" s="28"/>
      <c r="F10846" s="28"/>
      <c r="G10846" s="29"/>
    </row>
    <row r="10847" ht="15.75" customHeight="1">
      <c r="A10847" s="33" t="s">
        <v>828</v>
      </c>
      <c r="B10847" s="31"/>
      <c r="C10847" s="31"/>
      <c r="D10847" s="30"/>
      <c r="E10847" s="32"/>
      <c r="F10847" s="32"/>
      <c r="G10847" s="33"/>
    </row>
    <row r="10848" ht="15.75" customHeight="1">
      <c r="A10848" s="29" t="s">
        <v>828</v>
      </c>
      <c r="B10848" s="27"/>
      <c r="C10848" s="27"/>
      <c r="D10848" s="26"/>
      <c r="E10848" s="28"/>
      <c r="F10848" s="28"/>
      <c r="G10848" s="29"/>
    </row>
    <row r="10849" ht="15.75" customHeight="1">
      <c r="A10849" s="33" t="s">
        <v>828</v>
      </c>
      <c r="B10849" s="31"/>
      <c r="C10849" s="31"/>
      <c r="D10849" s="30"/>
      <c r="E10849" s="32"/>
      <c r="F10849" s="32"/>
      <c r="G10849" s="33"/>
    </row>
    <row r="10850" ht="15.75" customHeight="1">
      <c r="A10850" s="29" t="s">
        <v>828</v>
      </c>
      <c r="B10850" s="27"/>
      <c r="C10850" s="27"/>
      <c r="D10850" s="26"/>
      <c r="E10850" s="28"/>
      <c r="F10850" s="28"/>
      <c r="G10850" s="29"/>
    </row>
    <row r="10851" ht="15.75" customHeight="1">
      <c r="A10851" s="33" t="s">
        <v>828</v>
      </c>
      <c r="B10851" s="31"/>
      <c r="C10851" s="31"/>
      <c r="D10851" s="30"/>
      <c r="E10851" s="32"/>
      <c r="F10851" s="32"/>
      <c r="G10851" s="33"/>
    </row>
    <row r="10852" ht="15.75" customHeight="1">
      <c r="A10852" s="29" t="s">
        <v>828</v>
      </c>
      <c r="B10852" s="27"/>
      <c r="C10852" s="27"/>
      <c r="D10852" s="26"/>
      <c r="E10852" s="28"/>
      <c r="F10852" s="28"/>
      <c r="G10852" s="29"/>
    </row>
    <row r="10853" ht="15.75" customHeight="1">
      <c r="A10853" s="33" t="s">
        <v>828</v>
      </c>
      <c r="B10853" s="31"/>
      <c r="C10853" s="31"/>
      <c r="D10853" s="30"/>
      <c r="E10853" s="32"/>
      <c r="F10853" s="32"/>
      <c r="G10853" s="33"/>
    </row>
    <row r="10854" ht="15.75" customHeight="1">
      <c r="A10854" s="29" t="s">
        <v>828</v>
      </c>
      <c r="B10854" s="27"/>
      <c r="C10854" s="27"/>
      <c r="D10854" s="26"/>
      <c r="E10854" s="28"/>
      <c r="F10854" s="28"/>
      <c r="G10854" s="29"/>
    </row>
    <row r="10855" ht="15.75" customHeight="1">
      <c r="A10855" s="33" t="s">
        <v>828</v>
      </c>
      <c r="B10855" s="31"/>
      <c r="C10855" s="31"/>
      <c r="D10855" s="30"/>
      <c r="E10855" s="32"/>
      <c r="F10855" s="32"/>
      <c r="G10855" s="33"/>
    </row>
    <row r="10856" ht="15.75" customHeight="1">
      <c r="A10856" s="29" t="s">
        <v>828</v>
      </c>
      <c r="B10856" s="27"/>
      <c r="C10856" s="27"/>
      <c r="D10856" s="26"/>
      <c r="E10856" s="28"/>
      <c r="F10856" s="28"/>
      <c r="G10856" s="29"/>
    </row>
    <row r="10857" ht="15.75" customHeight="1">
      <c r="A10857" s="33" t="s">
        <v>828</v>
      </c>
      <c r="B10857" s="31"/>
      <c r="C10857" s="31"/>
      <c r="D10857" s="30"/>
      <c r="E10857" s="32"/>
      <c r="F10857" s="32"/>
      <c r="G10857" s="33"/>
    </row>
    <row r="10858" ht="15.75" customHeight="1">
      <c r="A10858" s="29" t="s">
        <v>828</v>
      </c>
      <c r="B10858" s="27"/>
      <c r="C10858" s="27"/>
      <c r="D10858" s="26"/>
      <c r="E10858" s="28"/>
      <c r="F10858" s="28"/>
      <c r="G10858" s="29"/>
    </row>
    <row r="10859" ht="15.75" customHeight="1">
      <c r="A10859" s="33" t="s">
        <v>828</v>
      </c>
      <c r="B10859" s="31"/>
      <c r="C10859" s="31"/>
      <c r="D10859" s="30"/>
      <c r="E10859" s="32"/>
      <c r="F10859" s="32"/>
      <c r="G10859" s="33"/>
    </row>
    <row r="10860" ht="15.75" customHeight="1">
      <c r="A10860" s="29" t="s">
        <v>828</v>
      </c>
      <c r="B10860" s="27"/>
      <c r="C10860" s="27"/>
      <c r="D10860" s="26"/>
      <c r="E10860" s="28"/>
      <c r="F10860" s="28"/>
      <c r="G10860" s="29"/>
    </row>
    <row r="10861" ht="15.75" customHeight="1">
      <c r="A10861" s="33" t="s">
        <v>828</v>
      </c>
      <c r="B10861" s="31"/>
      <c r="C10861" s="31"/>
      <c r="D10861" s="30"/>
      <c r="E10861" s="32"/>
      <c r="F10861" s="32"/>
      <c r="G10861" s="33"/>
    </row>
    <row r="10862" ht="15.75" customHeight="1">
      <c r="A10862" s="29" t="s">
        <v>828</v>
      </c>
      <c r="B10862" s="27"/>
      <c r="C10862" s="27"/>
      <c r="D10862" s="26"/>
      <c r="E10862" s="28"/>
      <c r="F10862" s="28"/>
      <c r="G10862" s="29"/>
    </row>
    <row r="10863" ht="15.75" customHeight="1">
      <c r="A10863" s="33" t="s">
        <v>828</v>
      </c>
      <c r="B10863" s="31"/>
      <c r="C10863" s="31"/>
      <c r="D10863" s="30"/>
      <c r="E10863" s="32"/>
      <c r="F10863" s="32"/>
      <c r="G10863" s="33"/>
    </row>
    <row r="10864" ht="15.75" customHeight="1">
      <c r="A10864" s="29" t="s">
        <v>828</v>
      </c>
      <c r="B10864" s="27"/>
      <c r="C10864" s="27"/>
      <c r="D10864" s="26"/>
      <c r="E10864" s="28"/>
      <c r="F10864" s="28"/>
      <c r="G10864" s="29"/>
    </row>
    <row r="10865" ht="15.75" customHeight="1">
      <c r="A10865" s="33" t="s">
        <v>828</v>
      </c>
      <c r="B10865" s="31"/>
      <c r="C10865" s="31"/>
      <c r="D10865" s="30"/>
      <c r="E10865" s="32"/>
      <c r="F10865" s="32"/>
      <c r="G10865" s="33"/>
    </row>
    <row r="10866" ht="15.75" customHeight="1">
      <c r="A10866" s="29" t="s">
        <v>828</v>
      </c>
      <c r="B10866" s="27"/>
      <c r="C10866" s="27"/>
      <c r="D10866" s="26"/>
      <c r="E10866" s="28"/>
      <c r="F10866" s="28"/>
      <c r="G10866" s="29"/>
    </row>
    <row r="10867" ht="15.75" customHeight="1">
      <c r="A10867" s="33" t="s">
        <v>828</v>
      </c>
      <c r="B10867" s="31"/>
      <c r="C10867" s="31"/>
      <c r="D10867" s="30"/>
      <c r="E10867" s="32"/>
      <c r="F10867" s="32"/>
      <c r="G10867" s="33"/>
    </row>
    <row r="10868" ht="15.75" customHeight="1">
      <c r="A10868" s="29" t="s">
        <v>828</v>
      </c>
      <c r="B10868" s="27"/>
      <c r="C10868" s="27"/>
      <c r="D10868" s="26"/>
      <c r="E10868" s="28"/>
      <c r="F10868" s="28"/>
      <c r="G10868" s="29"/>
    </row>
    <row r="10869" ht="15.75" customHeight="1">
      <c r="A10869" s="33" t="s">
        <v>828</v>
      </c>
      <c r="B10869" s="31"/>
      <c r="C10869" s="31"/>
      <c r="D10869" s="30"/>
      <c r="E10869" s="32"/>
      <c r="F10869" s="32"/>
      <c r="G10869" s="33"/>
    </row>
    <row r="10870" ht="15.75" customHeight="1">
      <c r="A10870" s="29" t="s">
        <v>828</v>
      </c>
      <c r="B10870" s="27"/>
      <c r="C10870" s="27"/>
      <c r="D10870" s="26"/>
      <c r="E10870" s="28"/>
      <c r="F10870" s="28"/>
      <c r="G10870" s="29"/>
    </row>
    <row r="10871" ht="15.75" customHeight="1">
      <c r="A10871" s="33" t="s">
        <v>828</v>
      </c>
      <c r="B10871" s="31"/>
      <c r="C10871" s="31"/>
      <c r="D10871" s="30"/>
      <c r="E10871" s="32"/>
      <c r="F10871" s="32"/>
      <c r="G10871" s="33"/>
    </row>
    <row r="10872" ht="15.75" customHeight="1">
      <c r="A10872" s="29" t="s">
        <v>828</v>
      </c>
      <c r="B10872" s="27"/>
      <c r="C10872" s="27"/>
      <c r="D10872" s="26"/>
      <c r="E10872" s="28"/>
      <c r="F10872" s="28"/>
      <c r="G10872" s="29"/>
    </row>
    <row r="10873" ht="15.75" customHeight="1">
      <c r="A10873" s="33" t="s">
        <v>828</v>
      </c>
      <c r="B10873" s="31"/>
      <c r="C10873" s="31"/>
      <c r="D10873" s="30"/>
      <c r="E10873" s="32"/>
      <c r="F10873" s="32"/>
      <c r="G10873" s="33"/>
    </row>
    <row r="10874" ht="15.75" customHeight="1">
      <c r="A10874" s="29" t="s">
        <v>828</v>
      </c>
      <c r="B10874" s="27"/>
      <c r="C10874" s="27"/>
      <c r="D10874" s="26"/>
      <c r="E10874" s="28"/>
      <c r="F10874" s="28"/>
      <c r="G10874" s="29"/>
    </row>
    <row r="10875" ht="15.75" customHeight="1">
      <c r="A10875" s="33" t="s">
        <v>828</v>
      </c>
      <c r="B10875" s="31"/>
      <c r="C10875" s="31"/>
      <c r="D10875" s="30"/>
      <c r="E10875" s="32"/>
      <c r="F10875" s="32"/>
      <c r="G10875" s="33"/>
    </row>
    <row r="10876" ht="15.75" customHeight="1">
      <c r="A10876" s="29" t="s">
        <v>828</v>
      </c>
      <c r="B10876" s="27"/>
      <c r="C10876" s="27"/>
      <c r="D10876" s="26"/>
      <c r="E10876" s="28"/>
      <c r="F10876" s="28"/>
      <c r="G10876" s="29"/>
    </row>
    <row r="10877" ht="15.75" customHeight="1">
      <c r="A10877" s="33" t="s">
        <v>828</v>
      </c>
      <c r="B10877" s="31"/>
      <c r="C10877" s="31"/>
      <c r="D10877" s="30"/>
      <c r="E10877" s="32"/>
      <c r="F10877" s="32"/>
      <c r="G10877" s="33"/>
    </row>
    <row r="10878" ht="15.75" customHeight="1">
      <c r="A10878" s="29" t="s">
        <v>828</v>
      </c>
      <c r="B10878" s="27"/>
      <c r="C10878" s="27"/>
      <c r="D10878" s="26"/>
      <c r="E10878" s="28"/>
      <c r="F10878" s="28"/>
      <c r="G10878" s="29"/>
    </row>
    <row r="10879" ht="15.75" customHeight="1">
      <c r="A10879" s="33" t="s">
        <v>828</v>
      </c>
      <c r="B10879" s="31"/>
      <c r="C10879" s="31"/>
      <c r="D10879" s="30"/>
      <c r="E10879" s="32"/>
      <c r="F10879" s="32"/>
      <c r="G10879" s="33"/>
    </row>
    <row r="10880" ht="15.75" customHeight="1">
      <c r="A10880" s="29" t="s">
        <v>828</v>
      </c>
      <c r="B10880" s="27"/>
      <c r="C10880" s="27"/>
      <c r="D10880" s="26"/>
      <c r="E10880" s="28"/>
      <c r="F10880" s="28"/>
      <c r="G10880" s="29"/>
    </row>
    <row r="10881" ht="15.75" customHeight="1">
      <c r="A10881" s="33" t="s">
        <v>828</v>
      </c>
      <c r="B10881" s="31"/>
      <c r="C10881" s="31"/>
      <c r="D10881" s="30"/>
      <c r="E10881" s="32"/>
      <c r="F10881" s="32"/>
      <c r="G10881" s="33"/>
    </row>
    <row r="10882" ht="15.75" customHeight="1">
      <c r="A10882" s="29" t="s">
        <v>828</v>
      </c>
      <c r="B10882" s="27"/>
      <c r="C10882" s="27"/>
      <c r="D10882" s="26"/>
      <c r="E10882" s="28"/>
      <c r="F10882" s="28"/>
      <c r="G10882" s="29"/>
    </row>
    <row r="10883" ht="15.75" customHeight="1">
      <c r="A10883" s="33" t="s">
        <v>828</v>
      </c>
      <c r="B10883" s="31"/>
      <c r="C10883" s="31"/>
      <c r="D10883" s="30"/>
      <c r="E10883" s="32"/>
      <c r="F10883" s="32"/>
      <c r="G10883" s="33"/>
    </row>
    <row r="10884" ht="15.75" customHeight="1">
      <c r="A10884" s="29" t="s">
        <v>828</v>
      </c>
      <c r="B10884" s="27"/>
      <c r="C10884" s="27"/>
      <c r="D10884" s="26"/>
      <c r="E10884" s="28"/>
      <c r="F10884" s="28"/>
      <c r="G10884" s="29"/>
    </row>
    <row r="10885" ht="15.75" customHeight="1">
      <c r="A10885" s="33" t="s">
        <v>828</v>
      </c>
      <c r="B10885" s="31"/>
      <c r="C10885" s="31"/>
      <c r="D10885" s="30"/>
      <c r="E10885" s="32"/>
      <c r="F10885" s="32"/>
      <c r="G10885" s="33"/>
    </row>
    <row r="10886" ht="15.75" customHeight="1">
      <c r="A10886" s="29" t="s">
        <v>828</v>
      </c>
      <c r="B10886" s="27"/>
      <c r="C10886" s="27"/>
      <c r="D10886" s="26"/>
      <c r="E10886" s="28"/>
      <c r="F10886" s="28"/>
      <c r="G10886" s="29"/>
    </row>
    <row r="10887" ht="15.75" customHeight="1">
      <c r="A10887" s="33" t="s">
        <v>828</v>
      </c>
      <c r="B10887" s="31"/>
      <c r="C10887" s="31"/>
      <c r="D10887" s="30"/>
      <c r="E10887" s="32"/>
      <c r="F10887" s="32"/>
      <c r="G10887" s="33"/>
    </row>
    <row r="10888" ht="15.75" customHeight="1">
      <c r="A10888" s="29" t="s">
        <v>828</v>
      </c>
      <c r="B10888" s="27"/>
      <c r="C10888" s="27"/>
      <c r="D10888" s="26"/>
      <c r="E10888" s="28"/>
      <c r="F10888" s="28"/>
      <c r="G10888" s="29"/>
    </row>
    <row r="10889" ht="15.75" customHeight="1">
      <c r="A10889" s="33" t="s">
        <v>828</v>
      </c>
      <c r="B10889" s="31"/>
      <c r="C10889" s="31"/>
      <c r="D10889" s="30"/>
      <c r="E10889" s="32"/>
      <c r="F10889" s="32"/>
      <c r="G10889" s="33"/>
    </row>
    <row r="10890" ht="15.75" customHeight="1">
      <c r="A10890" s="29" t="s">
        <v>828</v>
      </c>
      <c r="B10890" s="27"/>
      <c r="C10890" s="27"/>
      <c r="D10890" s="26"/>
      <c r="E10890" s="28"/>
      <c r="F10890" s="28"/>
      <c r="G10890" s="29"/>
    </row>
    <row r="10891" ht="15.75" customHeight="1">
      <c r="A10891" s="33" t="s">
        <v>828</v>
      </c>
      <c r="B10891" s="31"/>
      <c r="C10891" s="31"/>
      <c r="D10891" s="30"/>
      <c r="E10891" s="32"/>
      <c r="F10891" s="32"/>
      <c r="G10891" s="33"/>
    </row>
    <row r="10892" ht="15.75" customHeight="1">
      <c r="A10892" s="29" t="s">
        <v>828</v>
      </c>
      <c r="B10892" s="27"/>
      <c r="C10892" s="27"/>
      <c r="D10892" s="26"/>
      <c r="E10892" s="28"/>
      <c r="F10892" s="28"/>
      <c r="G10892" s="29"/>
    </row>
    <row r="10893" ht="15.75" customHeight="1">
      <c r="A10893" s="33" t="s">
        <v>828</v>
      </c>
      <c r="B10893" s="31"/>
      <c r="C10893" s="31"/>
      <c r="D10893" s="30"/>
      <c r="E10893" s="32"/>
      <c r="F10893" s="32"/>
      <c r="G10893" s="33"/>
    </row>
    <row r="10894" ht="15.75" customHeight="1">
      <c r="A10894" s="29" t="s">
        <v>828</v>
      </c>
      <c r="B10894" s="27"/>
      <c r="C10894" s="27"/>
      <c r="D10894" s="26"/>
      <c r="E10894" s="28"/>
      <c r="F10894" s="28"/>
      <c r="G10894" s="29"/>
    </row>
    <row r="10895" ht="15.75" customHeight="1">
      <c r="A10895" s="33" t="s">
        <v>828</v>
      </c>
      <c r="B10895" s="31"/>
      <c r="C10895" s="31"/>
      <c r="D10895" s="30"/>
      <c r="E10895" s="32"/>
      <c r="F10895" s="32"/>
      <c r="G10895" s="33"/>
    </row>
    <row r="10896" ht="15.75" customHeight="1">
      <c r="A10896" s="29" t="s">
        <v>828</v>
      </c>
      <c r="B10896" s="27"/>
      <c r="C10896" s="27"/>
      <c r="D10896" s="26"/>
      <c r="E10896" s="28"/>
      <c r="F10896" s="28"/>
      <c r="G10896" s="29"/>
    </row>
    <row r="10897" ht="15.75" customHeight="1">
      <c r="A10897" s="33" t="s">
        <v>828</v>
      </c>
      <c r="B10897" s="31"/>
      <c r="C10897" s="31"/>
      <c r="D10897" s="30"/>
      <c r="E10897" s="32"/>
      <c r="F10897" s="32"/>
      <c r="G10897" s="33"/>
    </row>
    <row r="10898" ht="15.75" customHeight="1">
      <c r="A10898" s="29" t="s">
        <v>828</v>
      </c>
      <c r="B10898" s="27"/>
      <c r="C10898" s="27"/>
      <c r="D10898" s="26"/>
      <c r="E10898" s="28"/>
      <c r="F10898" s="28"/>
      <c r="G10898" s="29"/>
    </row>
    <row r="10899" ht="15.75" customHeight="1">
      <c r="A10899" s="33" t="s">
        <v>828</v>
      </c>
      <c r="B10899" s="31"/>
      <c r="C10899" s="31"/>
      <c r="D10899" s="30"/>
      <c r="E10899" s="32"/>
      <c r="F10899" s="32"/>
      <c r="G10899" s="33"/>
    </row>
    <row r="10900" ht="15.75" customHeight="1">
      <c r="A10900" s="29" t="s">
        <v>828</v>
      </c>
      <c r="B10900" s="27"/>
      <c r="C10900" s="27"/>
      <c r="D10900" s="26"/>
      <c r="E10900" s="28"/>
      <c r="F10900" s="28"/>
      <c r="G10900" s="29"/>
    </row>
    <row r="10901" ht="15.75" customHeight="1">
      <c r="A10901" s="33" t="s">
        <v>828</v>
      </c>
      <c r="B10901" s="31"/>
      <c r="C10901" s="31"/>
      <c r="D10901" s="30"/>
      <c r="E10901" s="32"/>
      <c r="F10901" s="32"/>
      <c r="G10901" s="33"/>
    </row>
    <row r="10902" ht="15.75" customHeight="1">
      <c r="A10902" s="29" t="s">
        <v>828</v>
      </c>
      <c r="B10902" s="27"/>
      <c r="C10902" s="27"/>
      <c r="D10902" s="26"/>
      <c r="E10902" s="28"/>
      <c r="F10902" s="28"/>
      <c r="G10902" s="29"/>
    </row>
    <row r="10903" ht="15.75" customHeight="1">
      <c r="A10903" s="33" t="s">
        <v>828</v>
      </c>
      <c r="B10903" s="31"/>
      <c r="C10903" s="31"/>
      <c r="D10903" s="30"/>
      <c r="E10903" s="32"/>
      <c r="F10903" s="32"/>
      <c r="G10903" s="33"/>
    </row>
    <row r="10904" ht="15.75" customHeight="1">
      <c r="A10904" s="29" t="s">
        <v>828</v>
      </c>
      <c r="B10904" s="27"/>
      <c r="C10904" s="27"/>
      <c r="D10904" s="26"/>
      <c r="E10904" s="28"/>
      <c r="F10904" s="28"/>
      <c r="G10904" s="29"/>
    </row>
    <row r="10905" ht="15.75" customHeight="1">
      <c r="A10905" s="33" t="s">
        <v>828</v>
      </c>
      <c r="B10905" s="31"/>
      <c r="C10905" s="31"/>
      <c r="D10905" s="30"/>
      <c r="E10905" s="32"/>
      <c r="F10905" s="32"/>
      <c r="G10905" s="33"/>
    </row>
    <row r="10906" ht="15.75" customHeight="1">
      <c r="A10906" s="29" t="s">
        <v>828</v>
      </c>
      <c r="B10906" s="27"/>
      <c r="C10906" s="27"/>
      <c r="D10906" s="26"/>
      <c r="E10906" s="28"/>
      <c r="F10906" s="28"/>
      <c r="G10906" s="29"/>
    </row>
    <row r="10907" ht="15.75" customHeight="1">
      <c r="A10907" s="33" t="s">
        <v>828</v>
      </c>
      <c r="B10907" s="31"/>
      <c r="C10907" s="31"/>
      <c r="D10907" s="30"/>
      <c r="E10907" s="32"/>
      <c r="F10907" s="32"/>
      <c r="G10907" s="33"/>
    </row>
    <row r="10908" ht="15.75" customHeight="1">
      <c r="A10908" s="29" t="s">
        <v>828</v>
      </c>
      <c r="B10908" s="27"/>
      <c r="C10908" s="27"/>
      <c r="D10908" s="26"/>
      <c r="E10908" s="28"/>
      <c r="F10908" s="28"/>
      <c r="G10908" s="29"/>
    </row>
    <row r="10909" ht="15.75" customHeight="1">
      <c r="A10909" s="33" t="s">
        <v>828</v>
      </c>
      <c r="B10909" s="31"/>
      <c r="C10909" s="31"/>
      <c r="D10909" s="30"/>
      <c r="E10909" s="32"/>
      <c r="F10909" s="32"/>
      <c r="G10909" s="33"/>
    </row>
    <row r="10910" ht="15.75" customHeight="1">
      <c r="A10910" s="29" t="s">
        <v>828</v>
      </c>
      <c r="B10910" s="27"/>
      <c r="C10910" s="27"/>
      <c r="D10910" s="26"/>
      <c r="E10910" s="28"/>
      <c r="F10910" s="28"/>
      <c r="G10910" s="29"/>
    </row>
    <row r="10911" ht="15.75" customHeight="1">
      <c r="A10911" s="33" t="s">
        <v>828</v>
      </c>
      <c r="B10911" s="31"/>
      <c r="C10911" s="31"/>
      <c r="D10911" s="30"/>
      <c r="E10911" s="32"/>
      <c r="F10911" s="32"/>
      <c r="G10911" s="33"/>
    </row>
    <row r="10912" ht="15.75" customHeight="1">
      <c r="A10912" s="29" t="s">
        <v>828</v>
      </c>
      <c r="B10912" s="27"/>
      <c r="C10912" s="27"/>
      <c r="D10912" s="26"/>
      <c r="E10912" s="28"/>
      <c r="F10912" s="28"/>
      <c r="G10912" s="29"/>
    </row>
    <row r="10913" ht="15.75" customHeight="1">
      <c r="A10913" s="33" t="s">
        <v>828</v>
      </c>
      <c r="B10913" s="31"/>
      <c r="C10913" s="31"/>
      <c r="D10913" s="30"/>
      <c r="E10913" s="32"/>
      <c r="F10913" s="32"/>
      <c r="G10913" s="33"/>
    </row>
    <row r="10914" ht="15.75" customHeight="1">
      <c r="A10914" s="29" t="s">
        <v>828</v>
      </c>
      <c r="B10914" s="27"/>
      <c r="C10914" s="27"/>
      <c r="D10914" s="26"/>
      <c r="E10914" s="28"/>
      <c r="F10914" s="28"/>
      <c r="G10914" s="29"/>
    </row>
    <row r="10915" ht="15.75" customHeight="1">
      <c r="A10915" s="33" t="s">
        <v>828</v>
      </c>
      <c r="B10915" s="31"/>
      <c r="C10915" s="31"/>
      <c r="D10915" s="30"/>
      <c r="E10915" s="32"/>
      <c r="F10915" s="32"/>
      <c r="G10915" s="33"/>
    </row>
    <row r="10916" ht="15.75" customHeight="1">
      <c r="A10916" s="29" t="s">
        <v>828</v>
      </c>
      <c r="B10916" s="27"/>
      <c r="C10916" s="27"/>
      <c r="D10916" s="26"/>
      <c r="E10916" s="28"/>
      <c r="F10916" s="28"/>
      <c r="G10916" s="29"/>
    </row>
    <row r="10917" ht="15.75" customHeight="1">
      <c r="A10917" s="33" t="s">
        <v>828</v>
      </c>
      <c r="B10917" s="31"/>
      <c r="C10917" s="31"/>
      <c r="D10917" s="30"/>
      <c r="E10917" s="32"/>
      <c r="F10917" s="32"/>
      <c r="G10917" s="33"/>
    </row>
    <row r="10918" ht="15.75" customHeight="1">
      <c r="A10918" s="29" t="s">
        <v>828</v>
      </c>
      <c r="B10918" s="27"/>
      <c r="C10918" s="27"/>
      <c r="D10918" s="26"/>
      <c r="E10918" s="28"/>
      <c r="F10918" s="28"/>
      <c r="G10918" s="29"/>
    </row>
    <row r="10919" ht="15.75" customHeight="1">
      <c r="A10919" s="33" t="s">
        <v>828</v>
      </c>
      <c r="B10919" s="31"/>
      <c r="C10919" s="31"/>
      <c r="D10919" s="30"/>
      <c r="E10919" s="32"/>
      <c r="F10919" s="32"/>
      <c r="G10919" s="33"/>
    </row>
    <row r="10920" ht="15.75" customHeight="1">
      <c r="A10920" s="29" t="s">
        <v>828</v>
      </c>
      <c r="B10920" s="27"/>
      <c r="C10920" s="27"/>
      <c r="D10920" s="26"/>
      <c r="E10920" s="28"/>
      <c r="F10920" s="28"/>
      <c r="G10920" s="29"/>
    </row>
    <row r="10921" ht="15.75" customHeight="1">
      <c r="A10921" s="33" t="s">
        <v>828</v>
      </c>
      <c r="B10921" s="31"/>
      <c r="C10921" s="31"/>
      <c r="D10921" s="30"/>
      <c r="E10921" s="32"/>
      <c r="F10921" s="32"/>
      <c r="G10921" s="33"/>
    </row>
    <row r="10922" ht="15.75" customHeight="1">
      <c r="A10922" s="29" t="s">
        <v>828</v>
      </c>
      <c r="B10922" s="27"/>
      <c r="C10922" s="27"/>
      <c r="D10922" s="26"/>
      <c r="E10922" s="28"/>
      <c r="F10922" s="28"/>
      <c r="G10922" s="29"/>
    </row>
    <row r="10923" ht="15.75" customHeight="1">
      <c r="A10923" s="33" t="s">
        <v>828</v>
      </c>
      <c r="B10923" s="31"/>
      <c r="C10923" s="31"/>
      <c r="D10923" s="30"/>
      <c r="E10923" s="32"/>
      <c r="F10923" s="32"/>
      <c r="G10923" s="33"/>
    </row>
    <row r="10924" ht="15.75" customHeight="1">
      <c r="A10924" s="29" t="s">
        <v>828</v>
      </c>
      <c r="B10924" s="27"/>
      <c r="C10924" s="27"/>
      <c r="D10924" s="26"/>
      <c r="E10924" s="28"/>
      <c r="F10924" s="28"/>
      <c r="G10924" s="29"/>
    </row>
    <row r="10925" ht="15.75" customHeight="1">
      <c r="A10925" s="33" t="s">
        <v>828</v>
      </c>
      <c r="B10925" s="31"/>
      <c r="C10925" s="31"/>
      <c r="D10925" s="30"/>
      <c r="E10925" s="32"/>
      <c r="F10925" s="32"/>
      <c r="G10925" s="33"/>
    </row>
    <row r="10926" ht="15.75" customHeight="1">
      <c r="A10926" s="29" t="s">
        <v>828</v>
      </c>
      <c r="B10926" s="27"/>
      <c r="C10926" s="27"/>
      <c r="D10926" s="26"/>
      <c r="E10926" s="28"/>
      <c r="F10926" s="28"/>
      <c r="G10926" s="29"/>
    </row>
    <row r="10927" ht="15.75" customHeight="1">
      <c r="A10927" s="33" t="s">
        <v>828</v>
      </c>
      <c r="B10927" s="31"/>
      <c r="C10927" s="31"/>
      <c r="D10927" s="30"/>
      <c r="E10927" s="32"/>
      <c r="F10927" s="32"/>
      <c r="G10927" s="33"/>
    </row>
    <row r="10928" ht="15.75" customHeight="1">
      <c r="A10928" s="29" t="s">
        <v>828</v>
      </c>
      <c r="B10928" s="27"/>
      <c r="C10928" s="27"/>
      <c r="D10928" s="26"/>
      <c r="E10928" s="28"/>
      <c r="F10928" s="28"/>
      <c r="G10928" s="29"/>
    </row>
    <row r="10929" ht="15.75" customHeight="1">
      <c r="A10929" s="33" t="s">
        <v>828</v>
      </c>
      <c r="B10929" s="31"/>
      <c r="C10929" s="31"/>
      <c r="D10929" s="30"/>
      <c r="E10929" s="32"/>
      <c r="F10929" s="32"/>
      <c r="G10929" s="33"/>
    </row>
    <row r="10930" ht="15.75" customHeight="1">
      <c r="A10930" s="29" t="s">
        <v>828</v>
      </c>
      <c r="B10930" s="27"/>
      <c r="C10930" s="27"/>
      <c r="D10930" s="26"/>
      <c r="E10930" s="28"/>
      <c r="F10930" s="28"/>
      <c r="G10930" s="29"/>
    </row>
    <row r="10931" ht="15.75" customHeight="1">
      <c r="A10931" s="33" t="s">
        <v>828</v>
      </c>
      <c r="B10931" s="31"/>
      <c r="C10931" s="31"/>
      <c r="D10931" s="30"/>
      <c r="E10931" s="32"/>
      <c r="F10931" s="32"/>
      <c r="G10931" s="33"/>
    </row>
    <row r="10932" ht="15.75" customHeight="1">
      <c r="A10932" s="29" t="s">
        <v>828</v>
      </c>
      <c r="B10932" s="27"/>
      <c r="C10932" s="27"/>
      <c r="D10932" s="26"/>
      <c r="E10932" s="28"/>
      <c r="F10932" s="28"/>
      <c r="G10932" s="29"/>
    </row>
    <row r="10933" ht="15.75" customHeight="1">
      <c r="A10933" s="33" t="s">
        <v>828</v>
      </c>
      <c r="B10933" s="31"/>
      <c r="C10933" s="31"/>
      <c r="D10933" s="30"/>
      <c r="E10933" s="32"/>
      <c r="F10933" s="32"/>
      <c r="G10933" s="33"/>
    </row>
    <row r="10934" ht="15.75" customHeight="1">
      <c r="A10934" s="29" t="s">
        <v>828</v>
      </c>
      <c r="B10934" s="27"/>
      <c r="C10934" s="27"/>
      <c r="D10934" s="26"/>
      <c r="E10934" s="28"/>
      <c r="F10934" s="28"/>
      <c r="G10934" s="29"/>
    </row>
    <row r="10935" ht="15.75" customHeight="1">
      <c r="A10935" s="33" t="s">
        <v>828</v>
      </c>
      <c r="B10935" s="31"/>
      <c r="C10935" s="31"/>
      <c r="D10935" s="30"/>
      <c r="E10935" s="32"/>
      <c r="F10935" s="32"/>
      <c r="G10935" s="33"/>
    </row>
    <row r="10936" ht="15.75" customHeight="1">
      <c r="A10936" s="29" t="s">
        <v>828</v>
      </c>
      <c r="B10936" s="27"/>
      <c r="C10936" s="27"/>
      <c r="D10936" s="26"/>
      <c r="E10936" s="28"/>
      <c r="F10936" s="28"/>
      <c r="G10936" s="29"/>
    </row>
    <row r="10937" ht="15.75" customHeight="1">
      <c r="A10937" s="33" t="s">
        <v>828</v>
      </c>
      <c r="B10937" s="31"/>
      <c r="C10937" s="31"/>
      <c r="D10937" s="30"/>
      <c r="E10937" s="32"/>
      <c r="F10937" s="32"/>
      <c r="G10937" s="33"/>
    </row>
    <row r="10938" ht="15.75" customHeight="1">
      <c r="A10938" s="29" t="s">
        <v>828</v>
      </c>
      <c r="B10938" s="27"/>
      <c r="C10938" s="27"/>
      <c r="D10938" s="26"/>
      <c r="E10938" s="28"/>
      <c r="F10938" s="28"/>
      <c r="G10938" s="29"/>
    </row>
    <row r="10939" ht="15.75" customHeight="1">
      <c r="A10939" s="33" t="s">
        <v>828</v>
      </c>
      <c r="B10939" s="31"/>
      <c r="C10939" s="31"/>
      <c r="D10939" s="30"/>
      <c r="E10939" s="32"/>
      <c r="F10939" s="32"/>
      <c r="G10939" s="33"/>
    </row>
    <row r="10940" ht="15.75" customHeight="1">
      <c r="A10940" s="29" t="s">
        <v>828</v>
      </c>
      <c r="B10940" s="27"/>
      <c r="C10940" s="27"/>
      <c r="D10940" s="26"/>
      <c r="E10940" s="28"/>
      <c r="F10940" s="28"/>
      <c r="G10940" s="29"/>
    </row>
    <row r="10941" ht="15.75" customHeight="1">
      <c r="A10941" s="33" t="s">
        <v>828</v>
      </c>
      <c r="B10941" s="31"/>
      <c r="C10941" s="31"/>
      <c r="D10941" s="30"/>
      <c r="E10941" s="32"/>
      <c r="F10941" s="32"/>
      <c r="G10941" s="33"/>
    </row>
    <row r="10942" ht="15.75" customHeight="1">
      <c r="A10942" s="29" t="s">
        <v>828</v>
      </c>
      <c r="B10942" s="27"/>
      <c r="C10942" s="27"/>
      <c r="D10942" s="26"/>
      <c r="E10942" s="28"/>
      <c r="F10942" s="28"/>
      <c r="G10942" s="29"/>
    </row>
    <row r="10943" ht="15.75" customHeight="1">
      <c r="A10943" s="33" t="s">
        <v>828</v>
      </c>
      <c r="B10943" s="31"/>
      <c r="C10943" s="31"/>
      <c r="D10943" s="30"/>
      <c r="E10943" s="32"/>
      <c r="F10943" s="32"/>
      <c r="G10943" s="33"/>
    </row>
    <row r="10944" ht="15.75" customHeight="1">
      <c r="A10944" s="29" t="s">
        <v>828</v>
      </c>
      <c r="B10944" s="27"/>
      <c r="C10944" s="27"/>
      <c r="D10944" s="26"/>
      <c r="E10944" s="28"/>
      <c r="F10944" s="28"/>
      <c r="G10944" s="29"/>
    </row>
    <row r="10945" ht="15.75" customHeight="1">
      <c r="A10945" s="33" t="s">
        <v>828</v>
      </c>
      <c r="B10945" s="31"/>
      <c r="C10945" s="31"/>
      <c r="D10945" s="30"/>
      <c r="E10945" s="32"/>
      <c r="F10945" s="32"/>
      <c r="G10945" s="33"/>
    </row>
    <row r="10946" ht="15.75" customHeight="1">
      <c r="A10946" s="29" t="s">
        <v>828</v>
      </c>
      <c r="B10946" s="27"/>
      <c r="C10946" s="27"/>
      <c r="D10946" s="26"/>
      <c r="E10946" s="28"/>
      <c r="F10946" s="28"/>
      <c r="G10946" s="29"/>
    </row>
    <row r="10947" ht="15.75" customHeight="1">
      <c r="A10947" s="33" t="s">
        <v>828</v>
      </c>
      <c r="B10947" s="31"/>
      <c r="C10947" s="31"/>
      <c r="D10947" s="30"/>
      <c r="E10947" s="32"/>
      <c r="F10947" s="32"/>
      <c r="G10947" s="33"/>
    </row>
    <row r="10948" ht="15.75" customHeight="1">
      <c r="A10948" s="29" t="s">
        <v>828</v>
      </c>
      <c r="B10948" s="27"/>
      <c r="C10948" s="27"/>
      <c r="D10948" s="26"/>
      <c r="E10948" s="28"/>
      <c r="F10948" s="28"/>
      <c r="G10948" s="29"/>
    </row>
    <row r="10949" ht="15.75" customHeight="1">
      <c r="A10949" s="33" t="s">
        <v>828</v>
      </c>
      <c r="B10949" s="31"/>
      <c r="C10949" s="31"/>
      <c r="D10949" s="30"/>
      <c r="E10949" s="32"/>
      <c r="F10949" s="32"/>
      <c r="G10949" s="33"/>
    </row>
    <row r="10950" ht="15.75" customHeight="1">
      <c r="A10950" s="29" t="s">
        <v>828</v>
      </c>
      <c r="B10950" s="27"/>
      <c r="C10950" s="27"/>
      <c r="D10950" s="26"/>
      <c r="E10950" s="28"/>
      <c r="F10950" s="28"/>
      <c r="G10950" s="29"/>
    </row>
    <row r="10951" ht="15.75" customHeight="1">
      <c r="A10951" s="33" t="s">
        <v>828</v>
      </c>
      <c r="B10951" s="31"/>
      <c r="C10951" s="31"/>
      <c r="D10951" s="30"/>
      <c r="E10951" s="32"/>
      <c r="F10951" s="32"/>
      <c r="G10951" s="33"/>
    </row>
    <row r="10952" ht="15.75" customHeight="1">
      <c r="A10952" s="29" t="s">
        <v>828</v>
      </c>
      <c r="B10952" s="27"/>
      <c r="C10952" s="27"/>
      <c r="D10952" s="26"/>
      <c r="E10952" s="28"/>
      <c r="F10952" s="28"/>
      <c r="G10952" s="29"/>
    </row>
    <row r="10953" ht="15.75" customHeight="1">
      <c r="A10953" s="33" t="s">
        <v>828</v>
      </c>
      <c r="B10953" s="31"/>
      <c r="C10953" s="31"/>
      <c r="D10953" s="30"/>
      <c r="E10953" s="32"/>
      <c r="F10953" s="32"/>
      <c r="G10953" s="33"/>
    </row>
    <row r="10954" ht="15.75" customHeight="1">
      <c r="A10954" s="29" t="s">
        <v>828</v>
      </c>
      <c r="B10954" s="27"/>
      <c r="C10954" s="27"/>
      <c r="D10954" s="26"/>
      <c r="E10954" s="28"/>
      <c r="F10954" s="28"/>
      <c r="G10954" s="29"/>
    </row>
    <row r="10955" ht="15.75" customHeight="1">
      <c r="A10955" s="33" t="s">
        <v>828</v>
      </c>
      <c r="B10955" s="31"/>
      <c r="C10955" s="31"/>
      <c r="D10955" s="30"/>
      <c r="E10955" s="32"/>
      <c r="F10955" s="32"/>
      <c r="G10955" s="33"/>
    </row>
    <row r="10956" ht="15.75" customHeight="1">
      <c r="A10956" s="29" t="s">
        <v>828</v>
      </c>
      <c r="B10956" s="27"/>
      <c r="C10956" s="27"/>
      <c r="D10956" s="26"/>
      <c r="E10956" s="28"/>
      <c r="F10956" s="28"/>
      <c r="G10956" s="29"/>
    </row>
    <row r="10957" ht="15.75" customHeight="1">
      <c r="A10957" s="33" t="s">
        <v>828</v>
      </c>
      <c r="B10957" s="31"/>
      <c r="C10957" s="31"/>
      <c r="D10957" s="30"/>
      <c r="E10957" s="32"/>
      <c r="F10957" s="32"/>
      <c r="G10957" s="33"/>
    </row>
    <row r="10958" ht="15.75" customHeight="1">
      <c r="A10958" s="29" t="s">
        <v>828</v>
      </c>
      <c r="B10958" s="27"/>
      <c r="C10958" s="27"/>
      <c r="D10958" s="26"/>
      <c r="E10958" s="28"/>
      <c r="F10958" s="28"/>
      <c r="G10958" s="29"/>
    </row>
    <row r="10959" ht="15.75" customHeight="1">
      <c r="A10959" s="33" t="s">
        <v>828</v>
      </c>
      <c r="B10959" s="31"/>
      <c r="C10959" s="31"/>
      <c r="D10959" s="30"/>
      <c r="E10959" s="32"/>
      <c r="F10959" s="32"/>
      <c r="G10959" s="33"/>
    </row>
    <row r="10960" ht="15.75" customHeight="1">
      <c r="A10960" s="29" t="s">
        <v>828</v>
      </c>
      <c r="B10960" s="27"/>
      <c r="C10960" s="27"/>
      <c r="D10960" s="26"/>
      <c r="E10960" s="28"/>
      <c r="F10960" s="28"/>
      <c r="G10960" s="29"/>
    </row>
    <row r="10961" ht="15.75" customHeight="1">
      <c r="A10961" s="33" t="s">
        <v>828</v>
      </c>
      <c r="B10961" s="31"/>
      <c r="C10961" s="31"/>
      <c r="D10961" s="30"/>
      <c r="E10961" s="32"/>
      <c r="F10961" s="32"/>
      <c r="G10961" s="33"/>
    </row>
    <row r="10962" ht="15.75" customHeight="1">
      <c r="A10962" s="29" t="s">
        <v>828</v>
      </c>
      <c r="B10962" s="27"/>
      <c r="C10962" s="27"/>
      <c r="D10962" s="26"/>
      <c r="E10962" s="28"/>
      <c r="F10962" s="28"/>
      <c r="G10962" s="29"/>
    </row>
    <row r="10963" ht="15.75" customHeight="1">
      <c r="A10963" s="33" t="s">
        <v>828</v>
      </c>
      <c r="B10963" s="31"/>
      <c r="C10963" s="31"/>
      <c r="D10963" s="30"/>
      <c r="E10963" s="32"/>
      <c r="F10963" s="32"/>
      <c r="G10963" s="33"/>
    </row>
    <row r="10964" ht="15.75" customHeight="1">
      <c r="A10964" s="29" t="s">
        <v>828</v>
      </c>
      <c r="B10964" s="27"/>
      <c r="C10964" s="27"/>
      <c r="D10964" s="26"/>
      <c r="E10964" s="28"/>
      <c r="F10964" s="28"/>
      <c r="G10964" s="29"/>
    </row>
    <row r="10965" ht="15.75" customHeight="1">
      <c r="A10965" s="33" t="s">
        <v>828</v>
      </c>
      <c r="B10965" s="31"/>
      <c r="C10965" s="31"/>
      <c r="D10965" s="30"/>
      <c r="E10965" s="32"/>
      <c r="F10965" s="32"/>
      <c r="G10965" s="33"/>
    </row>
    <row r="10966" ht="15.75" customHeight="1">
      <c r="A10966" s="29" t="s">
        <v>828</v>
      </c>
      <c r="B10966" s="27"/>
      <c r="C10966" s="27"/>
      <c r="D10966" s="26"/>
      <c r="E10966" s="28"/>
      <c r="F10966" s="28"/>
      <c r="G10966" s="29"/>
    </row>
    <row r="10967" ht="15.75" customHeight="1">
      <c r="A10967" s="33" t="s">
        <v>828</v>
      </c>
      <c r="B10967" s="31"/>
      <c r="C10967" s="31"/>
      <c r="D10967" s="30"/>
      <c r="E10967" s="32"/>
      <c r="F10967" s="32"/>
      <c r="G10967" s="33"/>
    </row>
    <row r="10968" ht="15.75" customHeight="1">
      <c r="A10968" s="29" t="s">
        <v>828</v>
      </c>
      <c r="B10968" s="27"/>
      <c r="C10968" s="27"/>
      <c r="D10968" s="26"/>
      <c r="E10968" s="28"/>
      <c r="F10968" s="28"/>
      <c r="G10968" s="29"/>
    </row>
    <row r="10969" ht="15.75" customHeight="1">
      <c r="A10969" s="33" t="s">
        <v>828</v>
      </c>
      <c r="B10969" s="31"/>
      <c r="C10969" s="31"/>
      <c r="D10969" s="30"/>
      <c r="E10969" s="32"/>
      <c r="F10969" s="32"/>
      <c r="G10969" s="33"/>
    </row>
    <row r="10970" ht="15.75" customHeight="1">
      <c r="A10970" s="29" t="s">
        <v>828</v>
      </c>
      <c r="B10970" s="27"/>
      <c r="C10970" s="27"/>
      <c r="D10970" s="26"/>
      <c r="E10970" s="28"/>
      <c r="F10970" s="28"/>
      <c r="G10970" s="29"/>
    </row>
    <row r="10971" ht="15.75" customHeight="1">
      <c r="A10971" s="33" t="s">
        <v>828</v>
      </c>
      <c r="B10971" s="31"/>
      <c r="C10971" s="31"/>
      <c r="D10971" s="30"/>
      <c r="E10971" s="32"/>
      <c r="F10971" s="32"/>
      <c r="G10971" s="33"/>
    </row>
    <row r="10972" ht="15.75" customHeight="1">
      <c r="A10972" s="29" t="s">
        <v>828</v>
      </c>
      <c r="B10972" s="27"/>
      <c r="C10972" s="27"/>
      <c r="D10972" s="26"/>
      <c r="E10972" s="28"/>
      <c r="F10972" s="28"/>
      <c r="G10972" s="29"/>
    </row>
    <row r="10973" ht="15.75" customHeight="1">
      <c r="A10973" s="33" t="s">
        <v>828</v>
      </c>
      <c r="B10973" s="31"/>
      <c r="C10973" s="31"/>
      <c r="D10973" s="30"/>
      <c r="E10973" s="32"/>
      <c r="F10973" s="32"/>
      <c r="G10973" s="33"/>
    </row>
    <row r="10974" ht="15.75" customHeight="1">
      <c r="A10974" s="29" t="s">
        <v>828</v>
      </c>
      <c r="B10974" s="27"/>
      <c r="C10974" s="27"/>
      <c r="D10974" s="26"/>
      <c r="E10974" s="28"/>
      <c r="F10974" s="28"/>
      <c r="G10974" s="29"/>
    </row>
    <row r="10975" ht="15.75" customHeight="1">
      <c r="A10975" s="33" t="s">
        <v>828</v>
      </c>
      <c r="B10975" s="31"/>
      <c r="C10975" s="31"/>
      <c r="D10975" s="30"/>
      <c r="E10975" s="32"/>
      <c r="F10975" s="32"/>
      <c r="G10975" s="33"/>
    </row>
    <row r="10976" ht="15.75" customHeight="1">
      <c r="A10976" s="29" t="s">
        <v>828</v>
      </c>
      <c r="B10976" s="27"/>
      <c r="C10976" s="27"/>
      <c r="D10976" s="26"/>
      <c r="E10976" s="28"/>
      <c r="F10976" s="28"/>
      <c r="G10976" s="29"/>
    </row>
    <row r="10977" ht="15.75" customHeight="1">
      <c r="A10977" s="33" t="s">
        <v>828</v>
      </c>
      <c r="B10977" s="31"/>
      <c r="C10977" s="31"/>
      <c r="D10977" s="30"/>
      <c r="E10977" s="32"/>
      <c r="F10977" s="32"/>
      <c r="G10977" s="33"/>
    </row>
    <row r="10978" ht="15.75" customHeight="1">
      <c r="A10978" s="29" t="s">
        <v>828</v>
      </c>
      <c r="B10978" s="27"/>
      <c r="C10978" s="27"/>
      <c r="D10978" s="26"/>
      <c r="E10978" s="28"/>
      <c r="F10978" s="28"/>
      <c r="G10978" s="29"/>
    </row>
    <row r="10979" ht="15.75" customHeight="1">
      <c r="A10979" s="33" t="s">
        <v>828</v>
      </c>
      <c r="B10979" s="31"/>
      <c r="C10979" s="31"/>
      <c r="D10979" s="30"/>
      <c r="E10979" s="32"/>
      <c r="F10979" s="32"/>
      <c r="G10979" s="33"/>
    </row>
    <row r="10980" ht="15.75" customHeight="1">
      <c r="A10980" s="29" t="s">
        <v>828</v>
      </c>
      <c r="B10980" s="27"/>
      <c r="C10980" s="27"/>
      <c r="D10980" s="26"/>
      <c r="E10980" s="28"/>
      <c r="F10980" s="28"/>
      <c r="G10980" s="29"/>
    </row>
    <row r="10981" ht="15.75" customHeight="1">
      <c r="A10981" s="33" t="s">
        <v>828</v>
      </c>
      <c r="B10981" s="31"/>
      <c r="C10981" s="31"/>
      <c r="D10981" s="30"/>
      <c r="E10981" s="32"/>
      <c r="F10981" s="32"/>
      <c r="G10981" s="33"/>
    </row>
    <row r="10982" ht="15.75" customHeight="1">
      <c r="A10982" s="29" t="s">
        <v>828</v>
      </c>
      <c r="B10982" s="27"/>
      <c r="C10982" s="27"/>
      <c r="D10982" s="26"/>
      <c r="E10982" s="28"/>
      <c r="F10982" s="28"/>
      <c r="G10982" s="29"/>
    </row>
    <row r="10983" ht="15.75" customHeight="1">
      <c r="A10983" s="33" t="s">
        <v>828</v>
      </c>
      <c r="B10983" s="31"/>
      <c r="C10983" s="31"/>
      <c r="D10983" s="30"/>
      <c r="E10983" s="32"/>
      <c r="F10983" s="32"/>
      <c r="G10983" s="33"/>
    </row>
    <row r="10984" ht="15.75" customHeight="1">
      <c r="A10984" s="29" t="s">
        <v>828</v>
      </c>
      <c r="B10984" s="27"/>
      <c r="C10984" s="27"/>
      <c r="D10984" s="26"/>
      <c r="E10984" s="28"/>
      <c r="F10984" s="28"/>
      <c r="G10984" s="29"/>
    </row>
    <row r="10985" ht="15.75" customHeight="1">
      <c r="A10985" s="33" t="s">
        <v>828</v>
      </c>
      <c r="B10985" s="31"/>
      <c r="C10985" s="31"/>
      <c r="D10985" s="30"/>
      <c r="E10985" s="32"/>
      <c r="F10985" s="32"/>
      <c r="G10985" s="33"/>
    </row>
    <row r="10986" ht="15.75" customHeight="1">
      <c r="A10986" s="29" t="s">
        <v>828</v>
      </c>
      <c r="B10986" s="27"/>
      <c r="C10986" s="27"/>
      <c r="D10986" s="26"/>
      <c r="E10986" s="28"/>
      <c r="F10986" s="28"/>
      <c r="G10986" s="29"/>
    </row>
    <row r="10987" ht="15.75" customHeight="1">
      <c r="A10987" s="33" t="s">
        <v>828</v>
      </c>
      <c r="B10987" s="31"/>
      <c r="C10987" s="31"/>
      <c r="D10987" s="30"/>
      <c r="E10987" s="32"/>
      <c r="F10987" s="32"/>
      <c r="G10987" s="33"/>
    </row>
    <row r="10988" ht="15.75" customHeight="1">
      <c r="A10988" s="29" t="s">
        <v>828</v>
      </c>
      <c r="B10988" s="27"/>
      <c r="C10988" s="27"/>
      <c r="D10988" s="26"/>
      <c r="E10988" s="28"/>
      <c r="F10988" s="28"/>
      <c r="G10988" s="29"/>
    </row>
    <row r="10989" ht="15.75" customHeight="1">
      <c r="A10989" s="33" t="s">
        <v>828</v>
      </c>
      <c r="B10989" s="31"/>
      <c r="C10989" s="31"/>
      <c r="D10989" s="30"/>
      <c r="E10989" s="32"/>
      <c r="F10989" s="32"/>
      <c r="G10989" s="33"/>
    </row>
    <row r="10990" ht="15.75" customHeight="1">
      <c r="A10990" s="29" t="s">
        <v>828</v>
      </c>
      <c r="B10990" s="27"/>
      <c r="C10990" s="27"/>
      <c r="D10990" s="26"/>
      <c r="E10990" s="28"/>
      <c r="F10990" s="28"/>
      <c r="G10990" s="29"/>
    </row>
    <row r="10991" ht="15.75" customHeight="1">
      <c r="A10991" s="33" t="s">
        <v>828</v>
      </c>
      <c r="B10991" s="31"/>
      <c r="C10991" s="31"/>
      <c r="D10991" s="30"/>
      <c r="E10991" s="32"/>
      <c r="F10991" s="32"/>
      <c r="G10991" s="33"/>
    </row>
    <row r="10992" ht="15.75" customHeight="1">
      <c r="A10992" s="29" t="s">
        <v>828</v>
      </c>
      <c r="B10992" s="27"/>
      <c r="C10992" s="27"/>
      <c r="D10992" s="26"/>
      <c r="E10992" s="28"/>
      <c r="F10992" s="28"/>
      <c r="G10992" s="29"/>
    </row>
    <row r="10993" ht="15.75" customHeight="1">
      <c r="A10993" s="33" t="s">
        <v>828</v>
      </c>
      <c r="B10993" s="31"/>
      <c r="C10993" s="31"/>
      <c r="D10993" s="30"/>
      <c r="E10993" s="32"/>
      <c r="F10993" s="32"/>
      <c r="G10993" s="33"/>
    </row>
    <row r="10994" ht="15.75" customHeight="1">
      <c r="A10994" s="29" t="s">
        <v>828</v>
      </c>
      <c r="B10994" s="27"/>
      <c r="C10994" s="27"/>
      <c r="D10994" s="26"/>
      <c r="E10994" s="28"/>
      <c r="F10994" s="28"/>
      <c r="G10994" s="29"/>
    </row>
    <row r="10995" ht="15.75" customHeight="1">
      <c r="A10995" s="33" t="s">
        <v>828</v>
      </c>
      <c r="B10995" s="31"/>
      <c r="C10995" s="31"/>
      <c r="D10995" s="30"/>
      <c r="E10995" s="32"/>
      <c r="F10995" s="32"/>
      <c r="G10995" s="33"/>
    </row>
    <row r="10996" ht="15.75" customHeight="1">
      <c r="A10996" s="29" t="s">
        <v>828</v>
      </c>
      <c r="B10996" s="27"/>
      <c r="C10996" s="27"/>
      <c r="D10996" s="26"/>
      <c r="E10996" s="28"/>
      <c r="F10996" s="28"/>
      <c r="G10996" s="29"/>
    </row>
    <row r="10997" ht="15.75" customHeight="1">
      <c r="A10997" s="33" t="s">
        <v>828</v>
      </c>
      <c r="B10997" s="31"/>
      <c r="C10997" s="31"/>
      <c r="D10997" s="30"/>
      <c r="E10997" s="32"/>
      <c r="F10997" s="32"/>
      <c r="G10997" s="33"/>
    </row>
    <row r="10998" ht="15.75" customHeight="1">
      <c r="A10998" s="29" t="s">
        <v>828</v>
      </c>
      <c r="B10998" s="27"/>
      <c r="C10998" s="27"/>
      <c r="D10998" s="26"/>
      <c r="E10998" s="28"/>
      <c r="F10998" s="28"/>
      <c r="G10998" s="29"/>
    </row>
    <row r="10999" ht="15.75" customHeight="1">
      <c r="A10999" s="33" t="s">
        <v>828</v>
      </c>
      <c r="B10999" s="31"/>
      <c r="C10999" s="31"/>
      <c r="D10999" s="30"/>
      <c r="E10999" s="32"/>
      <c r="F10999" s="32"/>
      <c r="G10999" s="33"/>
    </row>
    <row r="11000" ht="15.75" customHeight="1">
      <c r="A11000" s="29" t="s">
        <v>828</v>
      </c>
      <c r="B11000" s="27"/>
      <c r="C11000" s="27"/>
      <c r="D11000" s="26"/>
      <c r="E11000" s="28"/>
      <c r="F11000" s="28"/>
      <c r="G11000" s="29"/>
    </row>
    <row r="11001" ht="15.75" customHeight="1">
      <c r="A11001" s="33" t="s">
        <v>828</v>
      </c>
      <c r="B11001" s="31"/>
      <c r="C11001" s="31"/>
      <c r="D11001" s="30"/>
      <c r="E11001" s="32"/>
      <c r="F11001" s="32"/>
      <c r="G11001" s="33"/>
    </row>
    <row r="11002" ht="15.75" customHeight="1">
      <c r="A11002" s="29" t="s">
        <v>828</v>
      </c>
      <c r="B11002" s="27"/>
      <c r="C11002" s="27"/>
      <c r="D11002" s="26"/>
      <c r="E11002" s="28"/>
      <c r="F11002" s="28"/>
      <c r="G11002" s="29"/>
    </row>
    <row r="11003" ht="15.75" customHeight="1">
      <c r="A11003" s="33" t="s">
        <v>828</v>
      </c>
      <c r="B11003" s="31"/>
      <c r="C11003" s="31"/>
      <c r="D11003" s="30"/>
      <c r="E11003" s="32"/>
      <c r="F11003" s="32"/>
      <c r="G11003" s="33"/>
    </row>
    <row r="11004" ht="15.75" customHeight="1">
      <c r="A11004" s="29" t="s">
        <v>828</v>
      </c>
      <c r="B11004" s="27"/>
      <c r="C11004" s="27"/>
      <c r="D11004" s="26"/>
      <c r="E11004" s="28"/>
      <c r="F11004" s="28"/>
      <c r="G11004" s="29"/>
    </row>
    <row r="11005" ht="15.75" customHeight="1">
      <c r="A11005" s="33" t="s">
        <v>828</v>
      </c>
      <c r="B11005" s="31"/>
      <c r="C11005" s="31"/>
      <c r="D11005" s="30"/>
      <c r="E11005" s="32"/>
      <c r="F11005" s="32"/>
      <c r="G11005" s="33"/>
    </row>
    <row r="11006" ht="15.75" customHeight="1">
      <c r="A11006" s="29" t="s">
        <v>828</v>
      </c>
      <c r="B11006" s="27"/>
      <c r="C11006" s="27"/>
      <c r="D11006" s="26"/>
      <c r="E11006" s="28"/>
      <c r="F11006" s="28"/>
      <c r="G11006" s="29"/>
    </row>
    <row r="11007" ht="15.75" customHeight="1">
      <c r="A11007" s="33" t="s">
        <v>828</v>
      </c>
      <c r="B11007" s="31"/>
      <c r="C11007" s="31"/>
      <c r="D11007" s="30"/>
      <c r="E11007" s="32"/>
      <c r="F11007" s="32"/>
      <c r="G11007" s="33"/>
    </row>
    <row r="11008" ht="15.75" customHeight="1">
      <c r="A11008" s="29" t="s">
        <v>828</v>
      </c>
      <c r="B11008" s="27"/>
      <c r="C11008" s="27"/>
      <c r="D11008" s="26"/>
      <c r="E11008" s="28"/>
      <c r="F11008" s="28"/>
      <c r="G11008" s="29"/>
    </row>
    <row r="11009" ht="15.75" customHeight="1">
      <c r="A11009" s="33" t="s">
        <v>828</v>
      </c>
      <c r="B11009" s="31"/>
      <c r="C11009" s="31"/>
      <c r="D11009" s="30"/>
      <c r="E11009" s="32"/>
      <c r="F11009" s="32"/>
      <c r="G11009" s="33"/>
    </row>
    <row r="11010" ht="15.75" customHeight="1">
      <c r="A11010" s="29" t="s">
        <v>828</v>
      </c>
      <c r="B11010" s="27"/>
      <c r="C11010" s="27"/>
      <c r="D11010" s="26"/>
      <c r="E11010" s="28"/>
      <c r="F11010" s="28"/>
      <c r="G11010" s="29"/>
    </row>
    <row r="11011" ht="15.75" customHeight="1">
      <c r="A11011" s="33" t="s">
        <v>828</v>
      </c>
      <c r="B11011" s="31"/>
      <c r="C11011" s="31"/>
      <c r="D11011" s="30"/>
      <c r="E11011" s="32"/>
      <c r="F11011" s="32"/>
      <c r="G11011" s="33"/>
    </row>
    <row r="11012" ht="15.75" customHeight="1">
      <c r="A11012" s="29" t="s">
        <v>828</v>
      </c>
      <c r="B11012" s="27"/>
      <c r="C11012" s="27"/>
      <c r="D11012" s="26"/>
      <c r="E11012" s="28"/>
      <c r="F11012" s="28"/>
      <c r="G11012" s="29"/>
    </row>
    <row r="11013" ht="15.75" customHeight="1">
      <c r="A11013" s="33" t="s">
        <v>828</v>
      </c>
      <c r="B11013" s="31"/>
      <c r="C11013" s="31"/>
      <c r="D11013" s="30"/>
      <c r="E11013" s="32"/>
      <c r="F11013" s="32"/>
      <c r="G11013" s="33"/>
    </row>
    <row r="11014" ht="15.75" customHeight="1">
      <c r="A11014" s="29" t="s">
        <v>828</v>
      </c>
      <c r="B11014" s="27"/>
      <c r="C11014" s="27"/>
      <c r="D11014" s="26"/>
      <c r="E11014" s="28"/>
      <c r="F11014" s="28"/>
      <c r="G11014" s="29"/>
    </row>
    <row r="11015" ht="15.75" customHeight="1">
      <c r="A11015" s="33" t="s">
        <v>828</v>
      </c>
      <c r="B11015" s="31"/>
      <c r="C11015" s="31"/>
      <c r="D11015" s="30"/>
      <c r="E11015" s="32"/>
      <c r="F11015" s="32"/>
      <c r="G11015" s="33"/>
    </row>
    <row r="11016" ht="15.75" customHeight="1">
      <c r="A11016" s="29" t="s">
        <v>828</v>
      </c>
      <c r="B11016" s="27"/>
      <c r="C11016" s="27"/>
      <c r="D11016" s="26"/>
      <c r="E11016" s="28"/>
      <c r="F11016" s="28"/>
      <c r="G11016" s="29"/>
    </row>
    <row r="11017" ht="15.75" customHeight="1">
      <c r="A11017" s="33" t="s">
        <v>828</v>
      </c>
      <c r="B11017" s="31"/>
      <c r="C11017" s="31"/>
      <c r="D11017" s="30"/>
      <c r="E11017" s="32"/>
      <c r="F11017" s="32"/>
      <c r="G11017" s="33"/>
    </row>
    <row r="11018" ht="15.75" customHeight="1">
      <c r="A11018" s="29" t="s">
        <v>828</v>
      </c>
      <c r="B11018" s="27"/>
      <c r="C11018" s="27"/>
      <c r="D11018" s="26"/>
      <c r="E11018" s="28"/>
      <c r="F11018" s="28"/>
      <c r="G11018" s="29"/>
    </row>
    <row r="11019" ht="15.75" customHeight="1">
      <c r="A11019" s="33" t="s">
        <v>828</v>
      </c>
      <c r="B11019" s="31"/>
      <c r="C11019" s="31"/>
      <c r="D11019" s="30"/>
      <c r="E11019" s="32"/>
      <c r="F11019" s="32"/>
      <c r="G11019" s="33"/>
    </row>
    <row r="11020" ht="15.75" customHeight="1">
      <c r="A11020" s="29" t="s">
        <v>828</v>
      </c>
      <c r="B11020" s="27"/>
      <c r="C11020" s="27"/>
      <c r="D11020" s="26"/>
      <c r="E11020" s="28"/>
      <c r="F11020" s="28"/>
      <c r="G11020" s="29"/>
    </row>
    <row r="11021" ht="15.75" customHeight="1">
      <c r="A11021" s="33" t="s">
        <v>828</v>
      </c>
      <c r="B11021" s="31"/>
      <c r="C11021" s="31"/>
      <c r="D11021" s="30"/>
      <c r="E11021" s="32"/>
      <c r="F11021" s="32"/>
      <c r="G11021" s="33"/>
    </row>
    <row r="11022" ht="15.75" customHeight="1">
      <c r="A11022" s="29" t="s">
        <v>828</v>
      </c>
      <c r="B11022" s="27"/>
      <c r="C11022" s="27"/>
      <c r="D11022" s="26"/>
      <c r="E11022" s="28"/>
      <c r="F11022" s="28"/>
      <c r="G11022" s="29"/>
    </row>
    <row r="11023" ht="15.75" customHeight="1">
      <c r="A11023" s="33" t="s">
        <v>828</v>
      </c>
      <c r="B11023" s="31"/>
      <c r="C11023" s="31"/>
      <c r="D11023" s="30"/>
      <c r="E11023" s="32"/>
      <c r="F11023" s="32"/>
      <c r="G11023" s="33"/>
    </row>
    <row r="11024" ht="15.75" customHeight="1">
      <c r="A11024" s="29" t="s">
        <v>828</v>
      </c>
      <c r="B11024" s="27"/>
      <c r="C11024" s="27"/>
      <c r="D11024" s="26"/>
      <c r="E11024" s="28"/>
      <c r="F11024" s="28"/>
      <c r="G11024" s="29"/>
    </row>
    <row r="11025" ht="15.75" customHeight="1">
      <c r="A11025" s="33" t="s">
        <v>828</v>
      </c>
      <c r="B11025" s="31"/>
      <c r="C11025" s="31"/>
      <c r="D11025" s="30"/>
      <c r="E11025" s="32"/>
      <c r="F11025" s="32"/>
      <c r="G11025" s="33"/>
    </row>
    <row r="11026" ht="15.75" customHeight="1">
      <c r="A11026" s="29" t="s">
        <v>828</v>
      </c>
      <c r="B11026" s="27"/>
      <c r="C11026" s="27"/>
      <c r="D11026" s="26"/>
      <c r="E11026" s="28"/>
      <c r="F11026" s="28"/>
      <c r="G11026" s="29"/>
    </row>
    <row r="11027" ht="15.75" customHeight="1">
      <c r="A11027" s="33" t="s">
        <v>828</v>
      </c>
      <c r="B11027" s="31"/>
      <c r="C11027" s="31"/>
      <c r="D11027" s="30"/>
      <c r="E11027" s="32"/>
      <c r="F11027" s="32"/>
      <c r="G11027" s="33"/>
    </row>
    <row r="11028" ht="15.75" customHeight="1">
      <c r="A11028" s="29" t="s">
        <v>828</v>
      </c>
      <c r="B11028" s="27"/>
      <c r="C11028" s="27"/>
      <c r="D11028" s="26"/>
      <c r="E11028" s="28"/>
      <c r="F11028" s="28"/>
      <c r="G11028" s="29"/>
    </row>
    <row r="11029" ht="15.75" customHeight="1">
      <c r="A11029" s="33" t="s">
        <v>828</v>
      </c>
      <c r="B11029" s="31"/>
      <c r="C11029" s="31"/>
      <c r="D11029" s="30"/>
      <c r="E11029" s="32"/>
      <c r="F11029" s="32"/>
      <c r="G11029" s="33"/>
    </row>
    <row r="11030" ht="15.75" customHeight="1">
      <c r="A11030" s="29" t="s">
        <v>828</v>
      </c>
      <c r="B11030" s="27"/>
      <c r="C11030" s="27"/>
      <c r="D11030" s="26"/>
      <c r="E11030" s="28"/>
      <c r="F11030" s="28"/>
      <c r="G11030" s="29"/>
    </row>
    <row r="11031" ht="15.75" customHeight="1">
      <c r="A11031" s="33" t="s">
        <v>828</v>
      </c>
      <c r="B11031" s="31"/>
      <c r="C11031" s="31"/>
      <c r="D11031" s="30"/>
      <c r="E11031" s="32"/>
      <c r="F11031" s="32"/>
      <c r="G11031" s="33"/>
    </row>
    <row r="11032" ht="15.75" customHeight="1">
      <c r="A11032" s="29" t="s">
        <v>828</v>
      </c>
      <c r="B11032" s="27"/>
      <c r="C11032" s="27"/>
      <c r="D11032" s="26"/>
      <c r="E11032" s="28"/>
      <c r="F11032" s="28"/>
      <c r="G11032" s="29"/>
    </row>
    <row r="11033" ht="15.75" customHeight="1">
      <c r="A11033" s="33" t="s">
        <v>828</v>
      </c>
      <c r="B11033" s="31"/>
      <c r="C11033" s="31"/>
      <c r="D11033" s="30"/>
      <c r="E11033" s="32"/>
      <c r="F11033" s="32"/>
      <c r="G11033" s="33"/>
    </row>
    <row r="11034" ht="15.75" customHeight="1">
      <c r="A11034" s="29" t="s">
        <v>828</v>
      </c>
      <c r="B11034" s="27"/>
      <c r="C11034" s="27"/>
      <c r="D11034" s="26"/>
      <c r="E11034" s="28"/>
      <c r="F11034" s="28"/>
      <c r="G11034" s="29"/>
    </row>
    <row r="11035" ht="15.75" customHeight="1">
      <c r="A11035" s="33" t="s">
        <v>828</v>
      </c>
      <c r="B11035" s="31"/>
      <c r="C11035" s="31"/>
      <c r="D11035" s="30"/>
      <c r="E11035" s="32"/>
      <c r="F11035" s="32"/>
      <c r="G11035" s="33"/>
    </row>
    <row r="11036" ht="15.75" customHeight="1">
      <c r="A11036" s="29" t="s">
        <v>828</v>
      </c>
      <c r="B11036" s="27"/>
      <c r="C11036" s="27"/>
      <c r="D11036" s="26"/>
      <c r="E11036" s="28"/>
      <c r="F11036" s="28"/>
      <c r="G11036" s="29"/>
    </row>
    <row r="11037" ht="15.75" customHeight="1">
      <c r="A11037" s="33" t="s">
        <v>828</v>
      </c>
      <c r="B11037" s="31"/>
      <c r="C11037" s="31"/>
      <c r="D11037" s="30"/>
      <c r="E11037" s="32"/>
      <c r="F11037" s="32"/>
      <c r="G11037" s="33"/>
    </row>
    <row r="11038" ht="15.75" customHeight="1">
      <c r="A11038" s="29" t="s">
        <v>828</v>
      </c>
      <c r="B11038" s="27"/>
      <c r="C11038" s="27"/>
      <c r="D11038" s="26"/>
      <c r="E11038" s="28"/>
      <c r="F11038" s="28"/>
      <c r="G11038" s="29"/>
    </row>
    <row r="11039" ht="15.75" customHeight="1">
      <c r="A11039" s="33" t="s">
        <v>828</v>
      </c>
      <c r="B11039" s="31"/>
      <c r="C11039" s="31"/>
      <c r="D11039" s="30"/>
      <c r="E11039" s="32"/>
      <c r="F11039" s="32"/>
      <c r="G11039" s="33"/>
    </row>
    <row r="11040" ht="15.75" customHeight="1">
      <c r="A11040" s="29" t="s">
        <v>828</v>
      </c>
      <c r="B11040" s="27"/>
      <c r="C11040" s="27"/>
      <c r="D11040" s="26"/>
      <c r="E11040" s="28"/>
      <c r="F11040" s="28"/>
      <c r="G11040" s="29"/>
    </row>
    <row r="11041" ht="15.75" customHeight="1">
      <c r="A11041" s="33" t="s">
        <v>828</v>
      </c>
      <c r="B11041" s="31"/>
      <c r="C11041" s="31"/>
      <c r="D11041" s="30"/>
      <c r="E11041" s="32"/>
      <c r="F11041" s="32"/>
      <c r="G11041" s="33"/>
    </row>
    <row r="11042" ht="15.75" customHeight="1">
      <c r="A11042" s="29" t="s">
        <v>828</v>
      </c>
      <c r="B11042" s="27"/>
      <c r="C11042" s="27"/>
      <c r="D11042" s="26"/>
      <c r="E11042" s="28"/>
      <c r="F11042" s="28"/>
      <c r="G11042" s="29"/>
    </row>
    <row r="11043" ht="15.75" customHeight="1">
      <c r="A11043" s="33" t="s">
        <v>828</v>
      </c>
      <c r="B11043" s="31"/>
      <c r="C11043" s="31"/>
      <c r="D11043" s="30"/>
      <c r="E11043" s="32"/>
      <c r="F11043" s="32"/>
      <c r="G11043" s="33"/>
    </row>
    <row r="11044" ht="15.75" customHeight="1">
      <c r="A11044" s="29" t="s">
        <v>828</v>
      </c>
      <c r="B11044" s="27"/>
      <c r="C11044" s="27"/>
      <c r="D11044" s="26"/>
      <c r="E11044" s="28"/>
      <c r="F11044" s="28"/>
      <c r="G11044" s="29"/>
    </row>
    <row r="11045" ht="15.75" customHeight="1">
      <c r="A11045" s="33" t="s">
        <v>828</v>
      </c>
      <c r="B11045" s="31"/>
      <c r="C11045" s="31"/>
      <c r="D11045" s="30"/>
      <c r="E11045" s="32"/>
      <c r="F11045" s="32"/>
      <c r="G11045" s="33"/>
    </row>
    <row r="11046" ht="15.75" customHeight="1">
      <c r="A11046" s="29" t="s">
        <v>828</v>
      </c>
      <c r="B11046" s="27"/>
      <c r="C11046" s="27"/>
      <c r="D11046" s="26"/>
      <c r="E11046" s="28"/>
      <c r="F11046" s="28"/>
      <c r="G11046" s="29"/>
    </row>
    <row r="11047" ht="15.75" customHeight="1">
      <c r="A11047" s="33" t="s">
        <v>828</v>
      </c>
      <c r="B11047" s="31"/>
      <c r="C11047" s="31"/>
      <c r="D11047" s="30"/>
      <c r="E11047" s="32"/>
      <c r="F11047" s="32"/>
      <c r="G11047" s="33"/>
    </row>
    <row r="11048" ht="15.75" customHeight="1">
      <c r="A11048" s="29" t="s">
        <v>828</v>
      </c>
      <c r="B11048" s="27"/>
      <c r="C11048" s="27"/>
      <c r="D11048" s="26"/>
      <c r="E11048" s="28"/>
      <c r="F11048" s="28"/>
      <c r="G11048" s="29"/>
    </row>
    <row r="11049" ht="15.75" customHeight="1">
      <c r="A11049" s="33" t="s">
        <v>828</v>
      </c>
      <c r="B11049" s="31"/>
      <c r="C11049" s="31"/>
      <c r="D11049" s="30"/>
      <c r="E11049" s="32"/>
      <c r="F11049" s="32"/>
      <c r="G11049" s="33"/>
    </row>
    <row r="11050" ht="15.75" customHeight="1">
      <c r="A11050" s="29" t="s">
        <v>828</v>
      </c>
      <c r="B11050" s="27"/>
      <c r="C11050" s="27"/>
      <c r="D11050" s="26"/>
      <c r="E11050" s="28"/>
      <c r="F11050" s="28"/>
      <c r="G11050" s="29"/>
    </row>
    <row r="11051" ht="15.75" customHeight="1">
      <c r="A11051" s="33" t="s">
        <v>828</v>
      </c>
      <c r="B11051" s="31"/>
      <c r="C11051" s="31"/>
      <c r="D11051" s="30"/>
      <c r="E11051" s="32"/>
      <c r="F11051" s="32"/>
      <c r="G11051" s="33"/>
    </row>
    <row r="11052" ht="15.75" customHeight="1">
      <c r="A11052" s="29" t="s">
        <v>828</v>
      </c>
      <c r="B11052" s="27"/>
      <c r="C11052" s="27"/>
      <c r="D11052" s="26"/>
      <c r="E11052" s="28"/>
      <c r="F11052" s="28"/>
      <c r="G11052" s="29"/>
    </row>
    <row r="11053" ht="15.75" customHeight="1">
      <c r="A11053" s="33" t="s">
        <v>828</v>
      </c>
      <c r="B11053" s="31"/>
      <c r="C11053" s="31"/>
      <c r="D11053" s="30"/>
      <c r="E11053" s="32"/>
      <c r="F11053" s="32"/>
      <c r="G11053" s="33"/>
    </row>
    <row r="11054" ht="15.75" customHeight="1">
      <c r="A11054" s="29" t="s">
        <v>828</v>
      </c>
      <c r="B11054" s="27"/>
      <c r="C11054" s="27"/>
      <c r="D11054" s="26"/>
      <c r="E11054" s="28"/>
      <c r="F11054" s="28"/>
      <c r="G11054" s="29"/>
    </row>
    <row r="11055" ht="15.75" customHeight="1">
      <c r="A11055" s="33" t="s">
        <v>828</v>
      </c>
      <c r="B11055" s="31"/>
      <c r="C11055" s="31"/>
      <c r="D11055" s="30"/>
      <c r="E11055" s="32"/>
      <c r="F11055" s="32"/>
      <c r="G11055" s="33"/>
    </row>
    <row r="11056" ht="15.75" customHeight="1">
      <c r="A11056" s="29" t="s">
        <v>828</v>
      </c>
      <c r="B11056" s="27"/>
      <c r="C11056" s="27"/>
      <c r="D11056" s="26"/>
      <c r="E11056" s="28"/>
      <c r="F11056" s="28"/>
      <c r="G11056" s="29"/>
    </row>
    <row r="11057" ht="15.75" customHeight="1">
      <c r="A11057" s="33" t="s">
        <v>828</v>
      </c>
      <c r="B11057" s="31"/>
      <c r="C11057" s="31"/>
      <c r="D11057" s="30"/>
      <c r="E11057" s="32"/>
      <c r="F11057" s="32"/>
      <c r="G11057" s="33"/>
    </row>
    <row r="11058" ht="15.75" customHeight="1">
      <c r="A11058" s="29" t="s">
        <v>828</v>
      </c>
      <c r="B11058" s="27"/>
      <c r="C11058" s="27"/>
      <c r="D11058" s="26"/>
      <c r="E11058" s="28"/>
      <c r="F11058" s="28"/>
      <c r="G11058" s="29"/>
    </row>
    <row r="11059" ht="15.75" customHeight="1">
      <c r="A11059" s="33" t="s">
        <v>828</v>
      </c>
      <c r="B11059" s="31"/>
      <c r="C11059" s="31"/>
      <c r="D11059" s="30"/>
      <c r="E11059" s="32"/>
      <c r="F11059" s="32"/>
      <c r="G11059" s="33"/>
    </row>
    <row r="11060" ht="15.75" customHeight="1">
      <c r="A11060" s="29" t="s">
        <v>828</v>
      </c>
      <c r="B11060" s="27"/>
      <c r="C11060" s="27"/>
      <c r="D11060" s="26"/>
      <c r="E11060" s="28"/>
      <c r="F11060" s="28"/>
      <c r="G11060" s="29"/>
    </row>
    <row r="11061" ht="15.75" customHeight="1">
      <c r="A11061" s="33" t="s">
        <v>828</v>
      </c>
      <c r="B11061" s="31"/>
      <c r="C11061" s="31"/>
      <c r="D11061" s="30"/>
      <c r="E11061" s="32"/>
      <c r="F11061" s="32"/>
      <c r="G11061" s="33"/>
    </row>
    <row r="11062" ht="15.75" customHeight="1">
      <c r="A11062" s="29" t="s">
        <v>828</v>
      </c>
      <c r="B11062" s="27"/>
      <c r="C11062" s="27"/>
      <c r="D11062" s="26"/>
      <c r="E11062" s="28"/>
      <c r="F11062" s="28"/>
      <c r="G11062" s="29"/>
    </row>
    <row r="11063" ht="15.75" customHeight="1">
      <c r="A11063" s="33" t="s">
        <v>828</v>
      </c>
      <c r="B11063" s="31"/>
      <c r="C11063" s="31"/>
      <c r="D11063" s="30"/>
      <c r="E11063" s="32"/>
      <c r="F11063" s="32"/>
      <c r="G11063" s="33"/>
    </row>
    <row r="11064" ht="15.75" customHeight="1">
      <c r="A11064" s="29" t="s">
        <v>828</v>
      </c>
      <c r="B11064" s="27"/>
      <c r="C11064" s="27"/>
      <c r="D11064" s="26"/>
      <c r="E11064" s="28"/>
      <c r="F11064" s="28"/>
      <c r="G11064" s="29"/>
    </row>
    <row r="11065" ht="15.75" customHeight="1">
      <c r="A11065" s="33" t="s">
        <v>828</v>
      </c>
      <c r="B11065" s="31"/>
      <c r="C11065" s="31"/>
      <c r="D11065" s="30"/>
      <c r="E11065" s="32"/>
      <c r="F11065" s="32"/>
      <c r="G11065" s="33"/>
    </row>
    <row r="11066" ht="15.75" customHeight="1">
      <c r="A11066" s="29" t="s">
        <v>828</v>
      </c>
      <c r="B11066" s="27"/>
      <c r="C11066" s="27"/>
      <c r="D11066" s="26"/>
      <c r="E11066" s="28"/>
      <c r="F11066" s="28"/>
      <c r="G11066" s="29"/>
    </row>
    <row r="11067" ht="15.75" customHeight="1">
      <c r="A11067" s="33" t="s">
        <v>828</v>
      </c>
      <c r="B11067" s="31"/>
      <c r="C11067" s="31"/>
      <c r="D11067" s="30"/>
      <c r="E11067" s="32"/>
      <c r="F11067" s="32"/>
      <c r="G11067" s="33"/>
    </row>
    <row r="11068" ht="15.75" customHeight="1">
      <c r="A11068" s="29" t="s">
        <v>828</v>
      </c>
      <c r="B11068" s="27"/>
      <c r="C11068" s="27"/>
      <c r="D11068" s="26"/>
      <c r="E11068" s="28"/>
      <c r="F11068" s="28"/>
      <c r="G11068" s="29"/>
    </row>
    <row r="11069" ht="15.75" customHeight="1">
      <c r="A11069" s="33" t="s">
        <v>828</v>
      </c>
      <c r="B11069" s="31"/>
      <c r="C11069" s="31"/>
      <c r="D11069" s="30"/>
      <c r="E11069" s="32"/>
      <c r="F11069" s="32"/>
      <c r="G11069" s="33"/>
    </row>
    <row r="11070" ht="15.75" customHeight="1">
      <c r="A11070" s="29" t="s">
        <v>828</v>
      </c>
      <c r="B11070" s="27"/>
      <c r="C11070" s="27"/>
      <c r="D11070" s="26"/>
      <c r="E11070" s="28"/>
      <c r="F11070" s="28"/>
      <c r="G11070" s="29"/>
    </row>
    <row r="11071" ht="15.75" customHeight="1">
      <c r="A11071" s="33" t="s">
        <v>828</v>
      </c>
      <c r="B11071" s="31"/>
      <c r="C11071" s="31"/>
      <c r="D11071" s="30"/>
      <c r="E11071" s="32"/>
      <c r="F11071" s="32"/>
      <c r="G11071" s="33"/>
    </row>
    <row r="11072" ht="15.75" customHeight="1">
      <c r="A11072" s="29" t="s">
        <v>828</v>
      </c>
      <c r="B11072" s="27"/>
      <c r="C11072" s="27"/>
      <c r="D11072" s="26"/>
      <c r="E11072" s="28"/>
      <c r="F11072" s="28"/>
      <c r="G11072" s="29"/>
    </row>
    <row r="11073" ht="15.75" customHeight="1">
      <c r="A11073" s="33" t="s">
        <v>828</v>
      </c>
      <c r="B11073" s="31"/>
      <c r="C11073" s="31"/>
      <c r="D11073" s="30"/>
      <c r="E11073" s="32"/>
      <c r="F11073" s="32"/>
      <c r="G11073" s="33"/>
    </row>
    <row r="11074" ht="15.75" customHeight="1">
      <c r="A11074" s="29" t="s">
        <v>828</v>
      </c>
      <c r="B11074" s="27"/>
      <c r="C11074" s="27"/>
      <c r="D11074" s="26"/>
      <c r="E11074" s="28"/>
      <c r="F11074" s="28"/>
      <c r="G11074" s="29"/>
    </row>
    <row r="11075" ht="15.75" customHeight="1">
      <c r="A11075" s="33" t="s">
        <v>828</v>
      </c>
      <c r="B11075" s="31"/>
      <c r="C11075" s="31"/>
      <c r="D11075" s="30"/>
      <c r="E11075" s="32"/>
      <c r="F11075" s="32"/>
      <c r="G11075" s="33"/>
    </row>
    <row r="11076" ht="15.75" customHeight="1">
      <c r="A11076" s="29" t="s">
        <v>828</v>
      </c>
      <c r="B11076" s="27"/>
      <c r="C11076" s="27"/>
      <c r="D11076" s="26"/>
      <c r="E11076" s="28"/>
      <c r="F11076" s="28"/>
      <c r="G11076" s="29"/>
    </row>
    <row r="11077" ht="15.75" customHeight="1">
      <c r="A11077" s="33" t="s">
        <v>828</v>
      </c>
      <c r="B11077" s="31"/>
      <c r="C11077" s="31"/>
      <c r="D11077" s="30"/>
      <c r="E11077" s="32"/>
      <c r="F11077" s="32"/>
      <c r="G11077" s="33"/>
    </row>
    <row r="11078" ht="15.75" customHeight="1">
      <c r="A11078" s="29" t="s">
        <v>828</v>
      </c>
      <c r="B11078" s="27"/>
      <c r="C11078" s="27"/>
      <c r="D11078" s="26"/>
      <c r="E11078" s="28"/>
      <c r="F11078" s="28"/>
      <c r="G11078" s="29"/>
    </row>
    <row r="11079" ht="15.75" customHeight="1">
      <c r="A11079" s="33" t="s">
        <v>828</v>
      </c>
      <c r="B11079" s="31"/>
      <c r="C11079" s="31"/>
      <c r="D11079" s="30"/>
      <c r="E11079" s="32"/>
      <c r="F11079" s="32"/>
      <c r="G11079" s="33"/>
    </row>
    <row r="11080" ht="15.75" customHeight="1">
      <c r="A11080" s="29" t="s">
        <v>828</v>
      </c>
      <c r="B11080" s="27"/>
      <c r="C11080" s="27"/>
      <c r="D11080" s="26"/>
      <c r="E11080" s="28"/>
      <c r="F11080" s="28"/>
      <c r="G11080" s="29"/>
    </row>
    <row r="11081" ht="15.75" customHeight="1">
      <c r="A11081" s="33" t="s">
        <v>828</v>
      </c>
      <c r="B11081" s="31"/>
      <c r="C11081" s="31"/>
      <c r="D11081" s="30"/>
      <c r="E11081" s="32"/>
      <c r="F11081" s="32"/>
      <c r="G11081" s="33"/>
    </row>
    <row r="11082" ht="15.75" customHeight="1">
      <c r="A11082" s="29" t="s">
        <v>828</v>
      </c>
      <c r="B11082" s="27"/>
      <c r="C11082" s="27"/>
      <c r="D11082" s="26"/>
      <c r="E11082" s="28"/>
      <c r="F11082" s="28"/>
      <c r="G11082" s="29"/>
    </row>
    <row r="11083" ht="15.75" customHeight="1">
      <c r="A11083" s="33" t="s">
        <v>828</v>
      </c>
      <c r="B11083" s="31"/>
      <c r="C11083" s="31"/>
      <c r="D11083" s="30"/>
      <c r="E11083" s="32"/>
      <c r="F11083" s="32"/>
      <c r="G11083" s="33"/>
    </row>
    <row r="11084" ht="15.75" customHeight="1">
      <c r="A11084" s="29" t="s">
        <v>828</v>
      </c>
      <c r="B11084" s="27"/>
      <c r="C11084" s="27"/>
      <c r="D11084" s="26"/>
      <c r="E11084" s="28"/>
      <c r="F11084" s="28"/>
      <c r="G11084" s="29"/>
    </row>
    <row r="11085" ht="15.75" customHeight="1">
      <c r="A11085" s="33" t="s">
        <v>828</v>
      </c>
      <c r="B11085" s="31"/>
      <c r="C11085" s="31"/>
      <c r="D11085" s="30"/>
      <c r="E11085" s="32"/>
      <c r="F11085" s="32"/>
      <c r="G11085" s="33"/>
    </row>
    <row r="11086" ht="15.75" customHeight="1">
      <c r="A11086" s="29" t="s">
        <v>828</v>
      </c>
      <c r="B11086" s="27"/>
      <c r="C11086" s="27"/>
      <c r="D11086" s="26"/>
      <c r="E11086" s="28"/>
      <c r="F11086" s="28"/>
      <c r="G11086" s="29"/>
    </row>
    <row r="11087" ht="15.75" customHeight="1">
      <c r="A11087" s="33" t="s">
        <v>828</v>
      </c>
      <c r="B11087" s="31"/>
      <c r="C11087" s="31"/>
      <c r="D11087" s="30"/>
      <c r="E11087" s="32"/>
      <c r="F11087" s="32"/>
      <c r="G11087" s="33"/>
    </row>
    <row r="11088" ht="15.75" customHeight="1">
      <c r="A11088" s="29" t="s">
        <v>828</v>
      </c>
      <c r="B11088" s="27"/>
      <c r="C11088" s="27"/>
      <c r="D11088" s="26"/>
      <c r="E11088" s="28"/>
      <c r="F11088" s="28"/>
      <c r="G11088" s="29"/>
    </row>
    <row r="11089" ht="15.75" customHeight="1">
      <c r="A11089" s="33" t="s">
        <v>828</v>
      </c>
      <c r="B11089" s="31"/>
      <c r="C11089" s="31"/>
      <c r="D11089" s="30"/>
      <c r="E11089" s="32"/>
      <c r="F11089" s="32"/>
      <c r="G11089" s="33"/>
    </row>
    <row r="11090" ht="15.75" customHeight="1">
      <c r="A11090" s="29" t="s">
        <v>828</v>
      </c>
      <c r="B11090" s="27"/>
      <c r="C11090" s="27"/>
      <c r="D11090" s="26"/>
      <c r="E11090" s="28"/>
      <c r="F11090" s="28"/>
      <c r="G11090" s="29"/>
    </row>
    <row r="11091" ht="15.75" customHeight="1">
      <c r="A11091" s="33" t="s">
        <v>828</v>
      </c>
      <c r="B11091" s="31"/>
      <c r="C11091" s="31"/>
      <c r="D11091" s="30"/>
      <c r="E11091" s="32"/>
      <c r="F11091" s="32"/>
      <c r="G11091" s="33"/>
    </row>
    <row r="11092" ht="15.75" customHeight="1">
      <c r="A11092" s="29" t="s">
        <v>828</v>
      </c>
      <c r="B11092" s="27"/>
      <c r="C11092" s="27"/>
      <c r="D11092" s="26"/>
      <c r="E11092" s="28"/>
      <c r="F11092" s="28"/>
      <c r="G11092" s="29"/>
    </row>
    <row r="11093" ht="15.75" customHeight="1">
      <c r="A11093" s="33" t="s">
        <v>828</v>
      </c>
      <c r="B11093" s="31"/>
      <c r="C11093" s="31"/>
      <c r="D11093" s="30"/>
      <c r="E11093" s="32"/>
      <c r="F11093" s="32"/>
      <c r="G11093" s="33"/>
    </row>
    <row r="11094" ht="15.75" customHeight="1">
      <c r="A11094" s="29" t="s">
        <v>828</v>
      </c>
      <c r="B11094" s="27"/>
      <c r="C11094" s="27"/>
      <c r="D11094" s="26"/>
      <c r="E11094" s="28"/>
      <c r="F11094" s="28"/>
      <c r="G11094" s="29"/>
    </row>
    <row r="11095" ht="15.75" customHeight="1">
      <c r="A11095" s="33" t="s">
        <v>828</v>
      </c>
      <c r="B11095" s="31"/>
      <c r="C11095" s="31"/>
      <c r="D11095" s="30"/>
      <c r="E11095" s="32"/>
      <c r="F11095" s="32"/>
      <c r="G11095" s="33"/>
    </row>
    <row r="11096" ht="15.75" customHeight="1">
      <c r="A11096" s="29" t="s">
        <v>828</v>
      </c>
      <c r="B11096" s="27"/>
      <c r="C11096" s="27"/>
      <c r="D11096" s="26"/>
      <c r="E11096" s="28"/>
      <c r="F11096" s="28"/>
      <c r="G11096" s="29"/>
    </row>
    <row r="11097" ht="15.75" customHeight="1">
      <c r="A11097" s="33" t="s">
        <v>828</v>
      </c>
      <c r="B11097" s="31"/>
      <c r="C11097" s="31"/>
      <c r="D11097" s="30"/>
      <c r="E11097" s="32"/>
      <c r="F11097" s="32"/>
      <c r="G11097" s="33"/>
    </row>
    <row r="11098" ht="15.75" customHeight="1">
      <c r="A11098" s="29" t="s">
        <v>828</v>
      </c>
      <c r="B11098" s="27"/>
      <c r="C11098" s="27"/>
      <c r="D11098" s="26"/>
      <c r="E11098" s="28"/>
      <c r="F11098" s="28"/>
      <c r="G11098" s="29"/>
    </row>
    <row r="11099" ht="15.75" customHeight="1">
      <c r="A11099" s="33" t="s">
        <v>828</v>
      </c>
      <c r="B11099" s="31"/>
      <c r="C11099" s="31"/>
      <c r="D11099" s="30"/>
      <c r="E11099" s="32"/>
      <c r="F11099" s="32"/>
      <c r="G11099" s="33"/>
    </row>
    <row r="11100" ht="15.75" customHeight="1">
      <c r="A11100" s="29" t="s">
        <v>828</v>
      </c>
      <c r="B11100" s="27"/>
      <c r="C11100" s="27"/>
      <c r="D11100" s="26"/>
      <c r="E11100" s="28"/>
      <c r="F11100" s="28"/>
      <c r="G11100" s="29"/>
    </row>
    <row r="11101" ht="15.75" customHeight="1">
      <c r="A11101" s="33" t="s">
        <v>828</v>
      </c>
      <c r="B11101" s="31"/>
      <c r="C11101" s="31"/>
      <c r="D11101" s="30"/>
      <c r="E11101" s="32"/>
      <c r="F11101" s="32"/>
      <c r="G11101" s="33"/>
    </row>
    <row r="11102" ht="15.75" customHeight="1">
      <c r="A11102" s="29" t="s">
        <v>828</v>
      </c>
      <c r="B11102" s="27"/>
      <c r="C11102" s="27"/>
      <c r="D11102" s="26"/>
      <c r="E11102" s="28"/>
      <c r="F11102" s="28"/>
      <c r="G11102" s="29"/>
    </row>
    <row r="11103" ht="15.75" customHeight="1">
      <c r="A11103" s="33" t="s">
        <v>828</v>
      </c>
      <c r="B11103" s="31"/>
      <c r="C11103" s="31"/>
      <c r="D11103" s="30"/>
      <c r="E11103" s="32"/>
      <c r="F11103" s="32"/>
      <c r="G11103" s="33"/>
    </row>
    <row r="11104" ht="15.75" customHeight="1">
      <c r="A11104" s="29" t="s">
        <v>828</v>
      </c>
      <c r="B11104" s="27"/>
      <c r="C11104" s="27"/>
      <c r="D11104" s="26"/>
      <c r="E11104" s="28"/>
      <c r="F11104" s="28"/>
      <c r="G11104" s="29"/>
    </row>
    <row r="11105" ht="15.75" customHeight="1">
      <c r="A11105" s="33" t="s">
        <v>828</v>
      </c>
      <c r="B11105" s="31"/>
      <c r="C11105" s="31"/>
      <c r="D11105" s="30"/>
      <c r="E11105" s="32"/>
      <c r="F11105" s="32"/>
      <c r="G11105" s="33"/>
    </row>
    <row r="11106" ht="15.75" customHeight="1">
      <c r="A11106" s="29" t="s">
        <v>828</v>
      </c>
      <c r="B11106" s="27"/>
      <c r="C11106" s="27"/>
      <c r="D11106" s="26"/>
      <c r="E11106" s="28"/>
      <c r="F11106" s="28"/>
      <c r="G11106" s="29"/>
    </row>
    <row r="11107" ht="15.75" customHeight="1">
      <c r="A11107" s="33" t="s">
        <v>828</v>
      </c>
      <c r="B11107" s="31"/>
      <c r="C11107" s="31"/>
      <c r="D11107" s="30"/>
      <c r="E11107" s="32"/>
      <c r="F11107" s="32"/>
      <c r="G11107" s="33"/>
    </row>
    <row r="11108" ht="15.75" customHeight="1">
      <c r="A11108" s="29" t="s">
        <v>828</v>
      </c>
      <c r="B11108" s="27"/>
      <c r="C11108" s="27"/>
      <c r="D11108" s="26"/>
      <c r="E11108" s="28"/>
      <c r="F11108" s="28"/>
      <c r="G11108" s="29"/>
    </row>
    <row r="11109" ht="15.75" customHeight="1">
      <c r="A11109" s="33" t="s">
        <v>828</v>
      </c>
      <c r="B11109" s="31"/>
      <c r="C11109" s="31"/>
      <c r="D11109" s="30"/>
      <c r="E11109" s="32"/>
      <c r="F11109" s="32"/>
      <c r="G11109" s="33"/>
    </row>
    <row r="11110" ht="15.75" customHeight="1">
      <c r="A11110" s="29" t="s">
        <v>828</v>
      </c>
      <c r="B11110" s="27"/>
      <c r="C11110" s="27"/>
      <c r="D11110" s="26"/>
      <c r="E11110" s="28"/>
      <c r="F11110" s="28"/>
      <c r="G11110" s="29"/>
    </row>
    <row r="11111" ht="15.75" customHeight="1">
      <c r="A11111" s="33" t="s">
        <v>828</v>
      </c>
      <c r="B11111" s="31"/>
      <c r="C11111" s="31"/>
      <c r="D11111" s="30"/>
      <c r="E11111" s="32"/>
      <c r="F11111" s="32"/>
      <c r="G11111" s="33"/>
    </row>
    <row r="11112" ht="15.75" customHeight="1">
      <c r="A11112" s="29" t="s">
        <v>828</v>
      </c>
      <c r="B11112" s="27"/>
      <c r="C11112" s="27"/>
      <c r="D11112" s="26"/>
      <c r="E11112" s="28"/>
      <c r="F11112" s="28"/>
      <c r="G11112" s="29"/>
    </row>
    <row r="11113" ht="15.75" customHeight="1">
      <c r="A11113" s="33" t="s">
        <v>828</v>
      </c>
      <c r="B11113" s="31"/>
      <c r="C11113" s="31"/>
      <c r="D11113" s="30"/>
      <c r="E11113" s="32"/>
      <c r="F11113" s="32"/>
      <c r="G11113" s="33"/>
    </row>
    <row r="11114" ht="15.75" customHeight="1">
      <c r="A11114" s="29" t="s">
        <v>828</v>
      </c>
      <c r="B11114" s="27"/>
      <c r="C11114" s="27"/>
      <c r="D11114" s="26"/>
      <c r="E11114" s="28"/>
      <c r="F11114" s="28"/>
      <c r="G11114" s="29"/>
    </row>
    <row r="11115" ht="15.75" customHeight="1">
      <c r="A11115" s="33" t="s">
        <v>828</v>
      </c>
      <c r="B11115" s="31"/>
      <c r="C11115" s="31"/>
      <c r="D11115" s="30"/>
      <c r="E11115" s="32"/>
      <c r="F11115" s="32"/>
      <c r="G11115" s="33"/>
    </row>
    <row r="11116" ht="15.75" customHeight="1">
      <c r="A11116" s="29" t="s">
        <v>828</v>
      </c>
      <c r="B11116" s="27"/>
      <c r="C11116" s="27"/>
      <c r="D11116" s="26"/>
      <c r="E11116" s="28"/>
      <c r="F11116" s="28"/>
      <c r="G11116" s="29"/>
    </row>
    <row r="11117" ht="15.75" customHeight="1">
      <c r="A11117" s="33" t="s">
        <v>828</v>
      </c>
      <c r="B11117" s="31"/>
      <c r="C11117" s="31"/>
      <c r="D11117" s="30"/>
      <c r="E11117" s="32"/>
      <c r="F11117" s="32"/>
      <c r="G11117" s="33"/>
    </row>
    <row r="11118" ht="15.75" customHeight="1">
      <c r="A11118" s="29" t="s">
        <v>828</v>
      </c>
      <c r="B11118" s="27"/>
      <c r="C11118" s="27"/>
      <c r="D11118" s="26"/>
      <c r="E11118" s="28"/>
      <c r="F11118" s="28"/>
      <c r="G11118" s="29"/>
    </row>
    <row r="11119" ht="15.75" customHeight="1">
      <c r="A11119" s="33" t="s">
        <v>828</v>
      </c>
      <c r="B11119" s="31"/>
      <c r="C11119" s="31"/>
      <c r="D11119" s="30"/>
      <c r="E11119" s="32"/>
      <c r="F11119" s="32"/>
      <c r="G11119" s="33"/>
    </row>
    <row r="11120" ht="15.75" customHeight="1">
      <c r="A11120" s="29" t="s">
        <v>828</v>
      </c>
      <c r="B11120" s="27"/>
      <c r="C11120" s="27"/>
      <c r="D11120" s="26"/>
      <c r="E11120" s="28"/>
      <c r="F11120" s="28"/>
      <c r="G11120" s="29"/>
    </row>
    <row r="11121" ht="15.75" customHeight="1">
      <c r="A11121" s="33" t="s">
        <v>828</v>
      </c>
      <c r="B11121" s="31"/>
      <c r="C11121" s="31"/>
      <c r="D11121" s="30"/>
      <c r="E11121" s="32"/>
      <c r="F11121" s="32"/>
      <c r="G11121" s="33"/>
    </row>
    <row r="11122" ht="15.75" customHeight="1">
      <c r="A11122" s="29" t="s">
        <v>828</v>
      </c>
      <c r="B11122" s="27"/>
      <c r="C11122" s="27"/>
      <c r="D11122" s="26"/>
      <c r="E11122" s="28"/>
      <c r="F11122" s="28"/>
      <c r="G11122" s="29"/>
    </row>
    <row r="11123" ht="15.75" customHeight="1">
      <c r="A11123" s="33" t="s">
        <v>828</v>
      </c>
      <c r="B11123" s="31"/>
      <c r="C11123" s="31"/>
      <c r="D11123" s="30"/>
      <c r="E11123" s="32"/>
      <c r="F11123" s="32"/>
      <c r="G11123" s="33"/>
    </row>
    <row r="11124" ht="15.75" customHeight="1">
      <c r="A11124" s="29" t="s">
        <v>828</v>
      </c>
      <c r="B11124" s="27"/>
      <c r="C11124" s="27"/>
      <c r="D11124" s="26"/>
      <c r="E11124" s="28"/>
      <c r="F11124" s="28"/>
      <c r="G11124" s="29"/>
    </row>
    <row r="11125" ht="15.75" customHeight="1">
      <c r="A11125" s="33" t="s">
        <v>828</v>
      </c>
      <c r="B11125" s="31"/>
      <c r="C11125" s="31"/>
      <c r="D11125" s="30"/>
      <c r="E11125" s="32"/>
      <c r="F11125" s="32"/>
      <c r="G11125" s="33"/>
    </row>
    <row r="11126" ht="15.75" customHeight="1">
      <c r="A11126" s="29" t="s">
        <v>828</v>
      </c>
      <c r="B11126" s="27"/>
      <c r="C11126" s="27"/>
      <c r="D11126" s="26"/>
      <c r="E11126" s="28"/>
      <c r="F11126" s="28"/>
      <c r="G11126" s="29"/>
    </row>
    <row r="11127" ht="15.75" customHeight="1">
      <c r="A11127" s="33" t="s">
        <v>828</v>
      </c>
      <c r="B11127" s="31"/>
      <c r="C11127" s="31"/>
      <c r="D11127" s="30"/>
      <c r="E11127" s="32"/>
      <c r="F11127" s="32"/>
      <c r="G11127" s="33"/>
    </row>
    <row r="11128" ht="15.75" customHeight="1">
      <c r="A11128" s="29" t="s">
        <v>828</v>
      </c>
      <c r="B11128" s="27"/>
      <c r="C11128" s="27"/>
      <c r="D11128" s="26"/>
      <c r="E11128" s="28"/>
      <c r="F11128" s="28"/>
      <c r="G11128" s="29"/>
    </row>
    <row r="11129" ht="15.75" customHeight="1">
      <c r="A11129" s="33" t="s">
        <v>828</v>
      </c>
      <c r="B11129" s="31"/>
      <c r="C11129" s="31"/>
      <c r="D11129" s="30"/>
      <c r="E11129" s="32"/>
      <c r="F11129" s="32"/>
      <c r="G11129" s="33"/>
    </row>
    <row r="11130" ht="15.75" customHeight="1">
      <c r="A11130" s="29" t="s">
        <v>828</v>
      </c>
      <c r="B11130" s="27"/>
      <c r="C11130" s="27"/>
      <c r="D11130" s="26"/>
      <c r="E11130" s="28"/>
      <c r="F11130" s="28"/>
      <c r="G11130" s="29"/>
    </row>
    <row r="11131" ht="15.75" customHeight="1">
      <c r="A11131" s="33" t="s">
        <v>828</v>
      </c>
      <c r="B11131" s="31"/>
      <c r="C11131" s="31"/>
      <c r="D11131" s="30"/>
      <c r="E11131" s="32"/>
      <c r="F11131" s="32"/>
      <c r="G11131" s="33"/>
    </row>
    <row r="11132" ht="15.75" customHeight="1">
      <c r="A11132" s="29" t="s">
        <v>828</v>
      </c>
      <c r="B11132" s="27"/>
      <c r="C11132" s="27"/>
      <c r="D11132" s="26"/>
      <c r="E11132" s="28"/>
      <c r="F11132" s="28"/>
      <c r="G11132" s="29"/>
    </row>
    <row r="11133" ht="15.75" customHeight="1">
      <c r="A11133" s="33" t="s">
        <v>828</v>
      </c>
      <c r="B11133" s="31"/>
      <c r="C11133" s="31"/>
      <c r="D11133" s="30"/>
      <c r="E11133" s="32"/>
      <c r="F11133" s="32"/>
      <c r="G11133" s="33"/>
    </row>
    <row r="11134" ht="15.75" customHeight="1">
      <c r="A11134" s="29" t="s">
        <v>828</v>
      </c>
      <c r="B11134" s="27"/>
      <c r="C11134" s="27"/>
      <c r="D11134" s="26"/>
      <c r="E11134" s="28"/>
      <c r="F11134" s="28"/>
      <c r="G11134" s="29"/>
    </row>
    <row r="11135" ht="15.75" customHeight="1">
      <c r="A11135" s="33" t="s">
        <v>828</v>
      </c>
      <c r="B11135" s="31"/>
      <c r="C11135" s="31"/>
      <c r="D11135" s="30"/>
      <c r="E11135" s="32"/>
      <c r="F11135" s="32"/>
      <c r="G11135" s="33"/>
    </row>
    <row r="11136" ht="15.75" customHeight="1">
      <c r="A11136" s="29" t="s">
        <v>828</v>
      </c>
      <c r="B11136" s="27"/>
      <c r="C11136" s="27"/>
      <c r="D11136" s="26"/>
      <c r="E11136" s="28"/>
      <c r="F11136" s="28"/>
      <c r="G11136" s="29"/>
    </row>
    <row r="11137" ht="15.75" customHeight="1">
      <c r="A11137" s="33" t="s">
        <v>828</v>
      </c>
      <c r="B11137" s="31"/>
      <c r="C11137" s="31"/>
      <c r="D11137" s="30"/>
      <c r="E11137" s="32"/>
      <c r="F11137" s="32"/>
      <c r="G11137" s="33"/>
    </row>
    <row r="11138" ht="15.75" customHeight="1">
      <c r="A11138" s="29" t="s">
        <v>828</v>
      </c>
      <c r="B11138" s="27"/>
      <c r="C11138" s="27"/>
      <c r="D11138" s="26"/>
      <c r="E11138" s="28"/>
      <c r="F11138" s="28"/>
      <c r="G11138" s="29"/>
    </row>
    <row r="11139" ht="15.75" customHeight="1">
      <c r="A11139" s="33" t="s">
        <v>828</v>
      </c>
      <c r="B11139" s="31"/>
      <c r="C11139" s="31"/>
      <c r="D11139" s="30"/>
      <c r="E11139" s="32"/>
      <c r="F11139" s="32"/>
      <c r="G11139" s="33"/>
    </row>
    <row r="11140" ht="15.75" customHeight="1">
      <c r="A11140" s="29" t="s">
        <v>828</v>
      </c>
      <c r="B11140" s="27"/>
      <c r="C11140" s="27"/>
      <c r="D11140" s="26"/>
      <c r="E11140" s="28"/>
      <c r="F11140" s="28"/>
      <c r="G11140" s="29"/>
    </row>
    <row r="11141" ht="15.75" customHeight="1">
      <c r="A11141" s="33" t="s">
        <v>828</v>
      </c>
      <c r="B11141" s="31"/>
      <c r="C11141" s="31"/>
      <c r="D11141" s="30"/>
      <c r="E11141" s="32"/>
      <c r="F11141" s="32"/>
      <c r="G11141" s="33"/>
    </row>
    <row r="11142" ht="15.75" customHeight="1">
      <c r="A11142" s="29" t="s">
        <v>828</v>
      </c>
      <c r="B11142" s="27"/>
      <c r="C11142" s="27"/>
      <c r="D11142" s="26"/>
      <c r="E11142" s="28"/>
      <c r="F11142" s="28"/>
      <c r="G11142" s="29"/>
    </row>
    <row r="11143" ht="15.75" customHeight="1">
      <c r="A11143" s="33" t="s">
        <v>828</v>
      </c>
      <c r="B11143" s="31"/>
      <c r="C11143" s="31"/>
      <c r="D11143" s="30"/>
      <c r="E11143" s="32"/>
      <c r="F11143" s="32"/>
      <c r="G11143" s="33"/>
    </row>
    <row r="11144" ht="15.75" customHeight="1">
      <c r="A11144" s="29" t="s">
        <v>828</v>
      </c>
      <c r="B11144" s="27"/>
      <c r="C11144" s="27"/>
      <c r="D11144" s="26"/>
      <c r="E11144" s="28"/>
      <c r="F11144" s="28"/>
      <c r="G11144" s="29"/>
    </row>
    <row r="11145" ht="15.75" customHeight="1">
      <c r="A11145" s="33" t="s">
        <v>828</v>
      </c>
      <c r="B11145" s="31"/>
      <c r="C11145" s="31"/>
      <c r="D11145" s="30"/>
      <c r="E11145" s="32"/>
      <c r="F11145" s="32"/>
      <c r="G11145" s="33"/>
    </row>
    <row r="11146" ht="15.75" customHeight="1">
      <c r="A11146" s="29" t="s">
        <v>828</v>
      </c>
      <c r="B11146" s="27"/>
      <c r="C11146" s="27"/>
      <c r="D11146" s="26"/>
      <c r="E11146" s="28"/>
      <c r="F11146" s="28"/>
      <c r="G11146" s="29"/>
    </row>
    <row r="11147" ht="15.75" customHeight="1">
      <c r="A11147" s="33" t="s">
        <v>828</v>
      </c>
      <c r="B11147" s="31"/>
      <c r="C11147" s="31"/>
      <c r="D11147" s="30"/>
      <c r="E11147" s="32"/>
      <c r="F11147" s="32"/>
      <c r="G11147" s="33"/>
    </row>
    <row r="11148" ht="15.75" customHeight="1">
      <c r="A11148" s="29" t="s">
        <v>828</v>
      </c>
      <c r="B11148" s="27"/>
      <c r="C11148" s="27"/>
      <c r="D11148" s="26"/>
      <c r="E11148" s="28"/>
      <c r="F11148" s="28"/>
      <c r="G11148" s="29"/>
    </row>
    <row r="11149" ht="15.75" customHeight="1">
      <c r="A11149" s="33" t="s">
        <v>828</v>
      </c>
      <c r="B11149" s="31"/>
      <c r="C11149" s="31"/>
      <c r="D11149" s="30"/>
      <c r="E11149" s="32"/>
      <c r="F11149" s="32"/>
      <c r="G11149" s="33"/>
    </row>
    <row r="11150" ht="15.75" customHeight="1">
      <c r="A11150" s="29" t="s">
        <v>828</v>
      </c>
      <c r="B11150" s="27"/>
      <c r="C11150" s="27"/>
      <c r="D11150" s="26"/>
      <c r="E11150" s="28"/>
      <c r="F11150" s="28"/>
      <c r="G11150" s="29"/>
    </row>
    <row r="11151" ht="15.75" customHeight="1">
      <c r="A11151" s="33" t="s">
        <v>828</v>
      </c>
      <c r="B11151" s="31"/>
      <c r="C11151" s="31"/>
      <c r="D11151" s="30"/>
      <c r="E11151" s="32"/>
      <c r="F11151" s="32"/>
      <c r="G11151" s="33"/>
    </row>
    <row r="11152" ht="15.75" customHeight="1">
      <c r="A11152" s="29" t="s">
        <v>828</v>
      </c>
      <c r="B11152" s="27"/>
      <c r="C11152" s="27"/>
      <c r="D11152" s="26"/>
      <c r="E11152" s="28"/>
      <c r="F11152" s="28"/>
      <c r="G11152" s="29"/>
    </row>
    <row r="11153" ht="15.75" customHeight="1">
      <c r="A11153" s="33" t="s">
        <v>828</v>
      </c>
      <c r="B11153" s="31"/>
      <c r="C11153" s="31"/>
      <c r="D11153" s="30"/>
      <c r="E11153" s="32"/>
      <c r="F11153" s="32"/>
      <c r="G11153" s="33"/>
    </row>
    <row r="11154" ht="15.75" customHeight="1">
      <c r="A11154" s="29" t="s">
        <v>828</v>
      </c>
      <c r="B11154" s="27"/>
      <c r="C11154" s="27"/>
      <c r="D11154" s="26"/>
      <c r="E11154" s="28"/>
      <c r="F11154" s="28"/>
      <c r="G11154" s="29"/>
    </row>
    <row r="11155" ht="15.75" customHeight="1">
      <c r="A11155" s="33" t="s">
        <v>828</v>
      </c>
      <c r="B11155" s="31"/>
      <c r="C11155" s="31"/>
      <c r="D11155" s="30"/>
      <c r="E11155" s="32"/>
      <c r="F11155" s="32"/>
      <c r="G11155" s="33"/>
    </row>
    <row r="11156" ht="15.75" customHeight="1">
      <c r="A11156" s="29" t="s">
        <v>828</v>
      </c>
      <c r="B11156" s="27"/>
      <c r="C11156" s="27"/>
      <c r="D11156" s="26"/>
      <c r="E11156" s="28"/>
      <c r="F11156" s="28"/>
      <c r="G11156" s="29"/>
    </row>
    <row r="11157" ht="15.75" customHeight="1">
      <c r="A11157" s="33" t="s">
        <v>828</v>
      </c>
      <c r="B11157" s="31"/>
      <c r="C11157" s="31"/>
      <c r="D11157" s="30"/>
      <c r="E11157" s="32"/>
      <c r="F11157" s="32"/>
      <c r="G11157" s="33"/>
    </row>
    <row r="11158" ht="15.75" customHeight="1">
      <c r="A11158" s="29" t="s">
        <v>828</v>
      </c>
      <c r="B11158" s="27"/>
      <c r="C11158" s="27"/>
      <c r="D11158" s="26"/>
      <c r="E11158" s="28"/>
      <c r="F11158" s="28"/>
      <c r="G11158" s="29"/>
    </row>
    <row r="11159" ht="15.75" customHeight="1">
      <c r="A11159" s="33" t="s">
        <v>828</v>
      </c>
      <c r="B11159" s="31"/>
      <c r="C11159" s="31"/>
      <c r="D11159" s="30"/>
      <c r="E11159" s="32"/>
      <c r="F11159" s="32"/>
      <c r="G11159" s="33"/>
    </row>
    <row r="11160" ht="15.75" customHeight="1">
      <c r="A11160" s="29" t="s">
        <v>828</v>
      </c>
      <c r="B11160" s="27"/>
      <c r="C11160" s="27"/>
      <c r="D11160" s="26"/>
      <c r="E11160" s="28"/>
      <c r="F11160" s="28"/>
      <c r="G11160" s="29"/>
    </row>
    <row r="11161" ht="15.75" customHeight="1">
      <c r="A11161" s="33" t="s">
        <v>828</v>
      </c>
      <c r="B11161" s="31"/>
      <c r="C11161" s="31"/>
      <c r="D11161" s="30"/>
      <c r="E11161" s="32"/>
      <c r="F11161" s="32"/>
      <c r="G11161" s="33"/>
    </row>
    <row r="11162" ht="15.75" customHeight="1">
      <c r="A11162" s="29" t="s">
        <v>828</v>
      </c>
      <c r="B11162" s="27"/>
      <c r="C11162" s="27"/>
      <c r="D11162" s="26"/>
      <c r="E11162" s="28"/>
      <c r="F11162" s="28"/>
      <c r="G11162" s="29"/>
    </row>
    <row r="11163" ht="15.75" customHeight="1">
      <c r="A11163" s="33" t="s">
        <v>828</v>
      </c>
      <c r="B11163" s="31"/>
      <c r="C11163" s="31"/>
      <c r="D11163" s="30"/>
      <c r="E11163" s="32"/>
      <c r="F11163" s="32"/>
      <c r="G11163" s="33"/>
    </row>
    <row r="11164" ht="15.75" customHeight="1">
      <c r="A11164" s="29" t="s">
        <v>828</v>
      </c>
      <c r="B11164" s="27"/>
      <c r="C11164" s="27"/>
      <c r="D11164" s="26"/>
      <c r="E11164" s="28"/>
      <c r="F11164" s="28"/>
      <c r="G11164" s="29"/>
    </row>
    <row r="11165" ht="15.75" customHeight="1">
      <c r="A11165" s="33" t="s">
        <v>828</v>
      </c>
      <c r="B11165" s="31"/>
      <c r="C11165" s="31"/>
      <c r="D11165" s="30"/>
      <c r="E11165" s="32"/>
      <c r="F11165" s="32"/>
      <c r="G11165" s="33"/>
    </row>
    <row r="11166" ht="15.75" customHeight="1">
      <c r="A11166" s="29" t="s">
        <v>828</v>
      </c>
      <c r="B11166" s="27"/>
      <c r="C11166" s="27"/>
      <c r="D11166" s="26"/>
      <c r="E11166" s="28"/>
      <c r="F11166" s="28"/>
      <c r="G11166" s="29"/>
    </row>
    <row r="11167" ht="15.75" customHeight="1">
      <c r="A11167" s="33" t="s">
        <v>828</v>
      </c>
      <c r="B11167" s="31"/>
      <c r="C11167" s="31"/>
      <c r="D11167" s="30"/>
      <c r="E11167" s="32"/>
      <c r="F11167" s="32"/>
      <c r="G11167" s="33"/>
    </row>
    <row r="11168" ht="15.75" customHeight="1">
      <c r="A11168" s="29" t="s">
        <v>828</v>
      </c>
      <c r="B11168" s="27"/>
      <c r="C11168" s="27"/>
      <c r="D11168" s="26"/>
      <c r="E11168" s="28"/>
      <c r="F11168" s="28"/>
      <c r="G11168" s="29"/>
    </row>
    <row r="11169" ht="15.75" customHeight="1">
      <c r="A11169" s="33" t="s">
        <v>828</v>
      </c>
      <c r="B11169" s="31"/>
      <c r="C11169" s="31"/>
      <c r="D11169" s="30"/>
      <c r="E11169" s="32"/>
      <c r="F11169" s="32"/>
      <c r="G11169" s="33"/>
    </row>
    <row r="11170" ht="15.75" customHeight="1">
      <c r="A11170" s="29" t="s">
        <v>828</v>
      </c>
      <c r="B11170" s="27"/>
      <c r="C11170" s="27"/>
      <c r="D11170" s="26"/>
      <c r="E11170" s="28"/>
      <c r="F11170" s="28"/>
      <c r="G11170" s="29"/>
    </row>
    <row r="11171" ht="15.75" customHeight="1">
      <c r="A11171" s="33" t="s">
        <v>828</v>
      </c>
      <c r="B11171" s="31"/>
      <c r="C11171" s="31"/>
      <c r="D11171" s="30"/>
      <c r="E11171" s="32"/>
      <c r="F11171" s="32"/>
      <c r="G11171" s="33"/>
    </row>
    <row r="11172" ht="15.75" customHeight="1">
      <c r="A11172" s="29" t="s">
        <v>828</v>
      </c>
      <c r="B11172" s="27"/>
      <c r="C11172" s="27"/>
      <c r="D11172" s="26"/>
      <c r="E11172" s="28"/>
      <c r="F11172" s="28"/>
      <c r="G11172" s="29"/>
    </row>
    <row r="11173" ht="15.75" customHeight="1">
      <c r="A11173" s="33" t="s">
        <v>828</v>
      </c>
      <c r="B11173" s="31"/>
      <c r="C11173" s="31"/>
      <c r="D11173" s="30"/>
      <c r="E11173" s="32"/>
      <c r="F11173" s="32"/>
      <c r="G11173" s="33"/>
    </row>
    <row r="11174" ht="15.75" customHeight="1">
      <c r="A11174" s="29" t="s">
        <v>828</v>
      </c>
      <c r="B11174" s="27"/>
      <c r="C11174" s="27"/>
      <c r="D11174" s="26"/>
      <c r="E11174" s="28"/>
      <c r="F11174" s="28"/>
      <c r="G11174" s="29"/>
    </row>
    <row r="11175" ht="15.75" customHeight="1">
      <c r="A11175" s="33" t="s">
        <v>828</v>
      </c>
      <c r="B11175" s="31"/>
      <c r="C11175" s="31"/>
      <c r="D11175" s="30"/>
      <c r="E11175" s="32"/>
      <c r="F11175" s="32"/>
      <c r="G11175" s="33"/>
    </row>
    <row r="11176" ht="15.75" customHeight="1">
      <c r="A11176" s="29" t="s">
        <v>828</v>
      </c>
      <c r="B11176" s="27"/>
      <c r="C11176" s="27"/>
      <c r="D11176" s="26"/>
      <c r="E11176" s="28"/>
      <c r="F11176" s="28"/>
      <c r="G11176" s="29"/>
    </row>
    <row r="11177" ht="15.75" customHeight="1">
      <c r="A11177" s="33" t="s">
        <v>828</v>
      </c>
      <c r="B11177" s="31"/>
      <c r="C11177" s="31"/>
      <c r="D11177" s="30"/>
      <c r="E11177" s="32"/>
      <c r="F11177" s="32"/>
      <c r="G11177" s="33"/>
    </row>
    <row r="11178" ht="15.75" customHeight="1">
      <c r="A11178" s="29" t="s">
        <v>828</v>
      </c>
      <c r="B11178" s="27"/>
      <c r="C11178" s="27"/>
      <c r="D11178" s="26"/>
      <c r="E11178" s="28"/>
      <c r="F11178" s="28"/>
      <c r="G11178" s="29"/>
    </row>
    <row r="11179" ht="15.75" customHeight="1">
      <c r="A11179" s="33" t="s">
        <v>828</v>
      </c>
      <c r="B11179" s="31"/>
      <c r="C11179" s="31"/>
      <c r="D11179" s="30"/>
      <c r="E11179" s="32"/>
      <c r="F11179" s="32"/>
      <c r="G11179" s="33"/>
    </row>
    <row r="11180" ht="15.75" customHeight="1">
      <c r="A11180" s="29" t="s">
        <v>828</v>
      </c>
      <c r="B11180" s="27"/>
      <c r="C11180" s="27"/>
      <c r="D11180" s="26"/>
      <c r="E11180" s="28"/>
      <c r="F11180" s="28"/>
      <c r="G11180" s="29"/>
    </row>
    <row r="11181" ht="15.75" customHeight="1">
      <c r="A11181" s="33" t="s">
        <v>828</v>
      </c>
      <c r="B11181" s="31"/>
      <c r="C11181" s="31"/>
      <c r="D11181" s="30"/>
      <c r="E11181" s="32"/>
      <c r="F11181" s="32"/>
      <c r="G11181" s="33"/>
    </row>
    <row r="11182" ht="15.75" customHeight="1">
      <c r="A11182" s="29" t="s">
        <v>828</v>
      </c>
      <c r="B11182" s="27"/>
      <c r="C11182" s="27"/>
      <c r="D11182" s="26"/>
      <c r="E11182" s="28"/>
      <c r="F11182" s="28"/>
      <c r="G11182" s="29"/>
    </row>
    <row r="11183" ht="15.75" customHeight="1">
      <c r="A11183" s="33" t="s">
        <v>828</v>
      </c>
      <c r="B11183" s="31"/>
      <c r="C11183" s="31"/>
      <c r="D11183" s="30"/>
      <c r="E11183" s="32"/>
      <c r="F11183" s="32"/>
      <c r="G11183" s="33"/>
    </row>
    <row r="11184" ht="15.75" customHeight="1">
      <c r="A11184" s="29" t="s">
        <v>828</v>
      </c>
      <c r="B11184" s="27"/>
      <c r="C11184" s="27"/>
      <c r="D11184" s="26"/>
      <c r="E11184" s="28"/>
      <c r="F11184" s="28"/>
      <c r="G11184" s="29"/>
    </row>
    <row r="11185" ht="15.75" customHeight="1">
      <c r="A11185" s="33" t="s">
        <v>828</v>
      </c>
      <c r="B11185" s="31"/>
      <c r="C11185" s="31"/>
      <c r="D11185" s="30"/>
      <c r="E11185" s="32"/>
      <c r="F11185" s="32"/>
      <c r="G11185" s="33"/>
    </row>
    <row r="11186" ht="15.75" customHeight="1">
      <c r="A11186" s="29" t="s">
        <v>828</v>
      </c>
      <c r="B11186" s="27"/>
      <c r="C11186" s="27"/>
      <c r="D11186" s="26"/>
      <c r="E11186" s="28"/>
      <c r="F11186" s="28"/>
      <c r="G11186" s="29"/>
    </row>
    <row r="11187" ht="15.75" customHeight="1">
      <c r="A11187" s="33" t="s">
        <v>828</v>
      </c>
      <c r="B11187" s="31"/>
      <c r="C11187" s="31"/>
      <c r="D11187" s="30"/>
      <c r="E11187" s="32"/>
      <c r="F11187" s="32"/>
      <c r="G11187" s="33"/>
    </row>
    <row r="11188" ht="15.75" customHeight="1">
      <c r="A11188" s="29" t="s">
        <v>828</v>
      </c>
      <c r="B11188" s="27"/>
      <c r="C11188" s="27"/>
      <c r="D11188" s="26"/>
      <c r="E11188" s="28"/>
      <c r="F11188" s="28"/>
      <c r="G11188" s="29"/>
    </row>
    <row r="11189" ht="15.75" customHeight="1">
      <c r="A11189" s="33" t="s">
        <v>828</v>
      </c>
      <c r="B11189" s="31"/>
      <c r="C11189" s="31"/>
      <c r="D11189" s="30"/>
      <c r="E11189" s="32"/>
      <c r="F11189" s="32"/>
      <c r="G11189" s="33"/>
    </row>
    <row r="11190" ht="15.75" customHeight="1">
      <c r="A11190" s="29" t="s">
        <v>828</v>
      </c>
      <c r="B11190" s="27"/>
      <c r="C11190" s="27"/>
      <c r="D11190" s="26"/>
      <c r="E11190" s="28"/>
      <c r="F11190" s="28"/>
      <c r="G11190" s="29"/>
    </row>
    <row r="11191" ht="15.75" customHeight="1">
      <c r="A11191" s="33" t="s">
        <v>828</v>
      </c>
      <c r="B11191" s="31"/>
      <c r="C11191" s="31"/>
      <c r="D11191" s="30"/>
      <c r="E11191" s="32"/>
      <c r="F11191" s="32"/>
      <c r="G11191" s="33"/>
    </row>
    <row r="11192" ht="15.75" customHeight="1">
      <c r="A11192" s="29" t="s">
        <v>828</v>
      </c>
      <c r="B11192" s="27"/>
      <c r="C11192" s="27"/>
      <c r="D11192" s="26"/>
      <c r="E11192" s="28"/>
      <c r="F11192" s="28"/>
      <c r="G11192" s="29"/>
    </row>
    <row r="11193" ht="15.75" customHeight="1">
      <c r="A11193" s="33" t="s">
        <v>828</v>
      </c>
      <c r="B11193" s="31"/>
      <c r="C11193" s="31"/>
      <c r="D11193" s="30"/>
      <c r="E11193" s="32"/>
      <c r="F11193" s="32"/>
      <c r="G11193" s="33"/>
    </row>
    <row r="11194" ht="15.75" customHeight="1">
      <c r="A11194" s="29" t="s">
        <v>828</v>
      </c>
      <c r="B11194" s="27"/>
      <c r="C11194" s="27"/>
      <c r="D11194" s="26"/>
      <c r="E11194" s="28"/>
      <c r="F11194" s="28"/>
      <c r="G11194" s="29"/>
    </row>
    <row r="11195" ht="15.75" customHeight="1">
      <c r="A11195" s="33" t="s">
        <v>828</v>
      </c>
      <c r="B11195" s="31"/>
      <c r="C11195" s="31"/>
      <c r="D11195" s="30"/>
      <c r="E11195" s="32"/>
      <c r="F11195" s="32"/>
      <c r="G11195" s="33"/>
    </row>
    <row r="11196" ht="15.75" customHeight="1">
      <c r="A11196" s="29" t="s">
        <v>828</v>
      </c>
      <c r="B11196" s="27"/>
      <c r="C11196" s="27"/>
      <c r="D11196" s="26"/>
      <c r="E11196" s="28"/>
      <c r="F11196" s="28"/>
      <c r="G11196" s="29"/>
    </row>
    <row r="11197" ht="15.75" customHeight="1">
      <c r="A11197" s="33" t="s">
        <v>828</v>
      </c>
      <c r="B11197" s="31"/>
      <c r="C11197" s="31"/>
      <c r="D11197" s="30"/>
      <c r="E11197" s="32"/>
      <c r="F11197" s="32"/>
      <c r="G11197" s="33"/>
    </row>
    <row r="11198" ht="15.75" customHeight="1">
      <c r="A11198" s="29" t="s">
        <v>828</v>
      </c>
      <c r="B11198" s="27"/>
      <c r="C11198" s="27"/>
      <c r="D11198" s="26"/>
      <c r="E11198" s="28"/>
      <c r="F11198" s="28"/>
      <c r="G11198" s="29"/>
    </row>
    <row r="11199" ht="15.75" customHeight="1">
      <c r="A11199" s="33" t="s">
        <v>828</v>
      </c>
      <c r="B11199" s="31"/>
      <c r="C11199" s="31"/>
      <c r="D11199" s="30"/>
      <c r="E11199" s="32"/>
      <c r="F11199" s="32"/>
      <c r="G11199" s="33"/>
    </row>
    <row r="11200" ht="15.75" customHeight="1">
      <c r="A11200" s="29" t="s">
        <v>828</v>
      </c>
      <c r="B11200" s="27"/>
      <c r="C11200" s="27"/>
      <c r="D11200" s="26"/>
      <c r="E11200" s="28"/>
      <c r="F11200" s="28"/>
      <c r="G11200" s="29"/>
    </row>
    <row r="11201" ht="15.75" customHeight="1">
      <c r="A11201" s="33" t="s">
        <v>828</v>
      </c>
      <c r="B11201" s="31"/>
      <c r="C11201" s="31"/>
      <c r="D11201" s="30"/>
      <c r="E11201" s="32"/>
      <c r="F11201" s="32"/>
      <c r="G11201" s="33"/>
    </row>
    <row r="11202" ht="15.75" customHeight="1">
      <c r="A11202" s="29" t="s">
        <v>828</v>
      </c>
      <c r="B11202" s="27"/>
      <c r="C11202" s="27"/>
      <c r="D11202" s="26"/>
      <c r="E11202" s="28"/>
      <c r="F11202" s="28"/>
      <c r="G11202" s="29"/>
    </row>
    <row r="11203" ht="15.75" customHeight="1">
      <c r="A11203" s="33" t="s">
        <v>828</v>
      </c>
      <c r="B11203" s="31"/>
      <c r="C11203" s="31"/>
      <c r="D11203" s="30"/>
      <c r="E11203" s="32"/>
      <c r="F11203" s="32"/>
      <c r="G11203" s="33"/>
    </row>
    <row r="11204" ht="15.75" customHeight="1">
      <c r="A11204" s="29" t="s">
        <v>828</v>
      </c>
      <c r="B11204" s="27"/>
      <c r="C11204" s="27"/>
      <c r="D11204" s="26"/>
      <c r="E11204" s="28"/>
      <c r="F11204" s="28"/>
      <c r="G11204" s="29"/>
    </row>
    <row r="11205" ht="15.75" customHeight="1">
      <c r="A11205" s="33" t="s">
        <v>828</v>
      </c>
      <c r="B11205" s="31"/>
      <c r="C11205" s="31"/>
      <c r="D11205" s="30"/>
      <c r="E11205" s="32"/>
      <c r="F11205" s="32"/>
      <c r="G11205" s="33"/>
    </row>
    <row r="11206" ht="15.75" customHeight="1">
      <c r="A11206" s="29" t="s">
        <v>828</v>
      </c>
      <c r="B11206" s="27"/>
      <c r="C11206" s="27"/>
      <c r="D11206" s="26"/>
      <c r="E11206" s="28"/>
      <c r="F11206" s="28"/>
      <c r="G11206" s="29"/>
    </row>
    <row r="11207" ht="15.75" customHeight="1">
      <c r="A11207" s="33" t="s">
        <v>828</v>
      </c>
      <c r="B11207" s="31"/>
      <c r="C11207" s="31"/>
      <c r="D11207" s="30"/>
      <c r="E11207" s="32"/>
      <c r="F11207" s="32"/>
      <c r="G11207" s="33"/>
    </row>
    <row r="11208" ht="15.75" customHeight="1">
      <c r="A11208" s="29" t="s">
        <v>828</v>
      </c>
      <c r="B11208" s="27"/>
      <c r="C11208" s="27"/>
      <c r="D11208" s="26"/>
      <c r="E11208" s="28"/>
      <c r="F11208" s="28"/>
      <c r="G11208" s="29"/>
    </row>
    <row r="11209" ht="15.75" customHeight="1">
      <c r="A11209" s="33" t="s">
        <v>828</v>
      </c>
      <c r="B11209" s="31"/>
      <c r="C11209" s="31"/>
      <c r="D11209" s="30"/>
      <c r="E11209" s="32"/>
      <c r="F11209" s="32"/>
      <c r="G11209" s="33"/>
    </row>
    <row r="11210" ht="15.75" customHeight="1">
      <c r="A11210" s="29" t="s">
        <v>828</v>
      </c>
      <c r="B11210" s="27"/>
      <c r="C11210" s="27"/>
      <c r="D11210" s="26"/>
      <c r="E11210" s="28"/>
      <c r="F11210" s="28"/>
      <c r="G11210" s="29"/>
    </row>
    <row r="11211" ht="15.75" customHeight="1">
      <c r="A11211" s="33" t="s">
        <v>828</v>
      </c>
      <c r="B11211" s="31"/>
      <c r="C11211" s="31"/>
      <c r="D11211" s="30"/>
      <c r="E11211" s="32"/>
      <c r="F11211" s="32"/>
      <c r="G11211" s="33"/>
    </row>
    <row r="11212" ht="15.75" customHeight="1">
      <c r="A11212" s="29" t="s">
        <v>828</v>
      </c>
      <c r="B11212" s="27"/>
      <c r="C11212" s="27"/>
      <c r="D11212" s="26"/>
      <c r="E11212" s="28"/>
      <c r="F11212" s="28"/>
      <c r="G11212" s="29"/>
    </row>
    <row r="11213" ht="15.75" customHeight="1">
      <c r="A11213" s="33" t="s">
        <v>828</v>
      </c>
      <c r="B11213" s="31"/>
      <c r="C11213" s="31"/>
      <c r="D11213" s="30"/>
      <c r="E11213" s="32"/>
      <c r="F11213" s="32"/>
      <c r="G11213" s="33"/>
    </row>
    <row r="11214" ht="15.75" customHeight="1">
      <c r="A11214" s="29" t="s">
        <v>828</v>
      </c>
      <c r="B11214" s="27"/>
      <c r="C11214" s="27"/>
      <c r="D11214" s="26"/>
      <c r="E11214" s="28"/>
      <c r="F11214" s="28"/>
      <c r="G11214" s="29"/>
    </row>
    <row r="11215" ht="15.75" customHeight="1">
      <c r="A11215" s="33" t="s">
        <v>828</v>
      </c>
      <c r="B11215" s="31"/>
      <c r="C11215" s="31"/>
      <c r="D11215" s="30"/>
      <c r="E11215" s="32"/>
      <c r="F11215" s="32"/>
      <c r="G11215" s="33"/>
    </row>
    <row r="11216" ht="15.75" customHeight="1">
      <c r="A11216" s="29" t="s">
        <v>828</v>
      </c>
      <c r="B11216" s="27"/>
      <c r="C11216" s="27"/>
      <c r="D11216" s="26"/>
      <c r="E11216" s="28"/>
      <c r="F11216" s="28"/>
      <c r="G11216" s="29"/>
    </row>
    <row r="11217" ht="15.75" customHeight="1">
      <c r="A11217" s="33" t="s">
        <v>828</v>
      </c>
      <c r="B11217" s="31"/>
      <c r="C11217" s="31"/>
      <c r="D11217" s="30"/>
      <c r="E11217" s="32"/>
      <c r="F11217" s="32"/>
      <c r="G11217" s="33"/>
    </row>
    <row r="11218" ht="15.75" customHeight="1">
      <c r="A11218" s="29" t="s">
        <v>828</v>
      </c>
      <c r="B11218" s="27"/>
      <c r="C11218" s="27"/>
      <c r="D11218" s="26"/>
      <c r="E11218" s="28"/>
      <c r="F11218" s="28"/>
      <c r="G11218" s="29"/>
    </row>
    <row r="11219" ht="15.75" customHeight="1">
      <c r="A11219" s="33" t="s">
        <v>828</v>
      </c>
      <c r="B11219" s="31"/>
      <c r="C11219" s="31"/>
      <c r="D11219" s="30"/>
      <c r="E11219" s="32"/>
      <c r="F11219" s="32"/>
      <c r="G11219" s="33"/>
    </row>
    <row r="11220" ht="15.75" customHeight="1">
      <c r="A11220" s="29" t="s">
        <v>828</v>
      </c>
      <c r="B11220" s="27"/>
      <c r="C11220" s="27"/>
      <c r="D11220" s="26"/>
      <c r="E11220" s="28"/>
      <c r="F11220" s="28"/>
      <c r="G11220" s="29"/>
    </row>
    <row r="11221" ht="15.75" customHeight="1">
      <c r="A11221" s="33" t="s">
        <v>828</v>
      </c>
      <c r="B11221" s="31"/>
      <c r="C11221" s="31"/>
      <c r="D11221" s="30"/>
      <c r="E11221" s="32"/>
      <c r="F11221" s="32"/>
      <c r="G11221" s="33"/>
    </row>
    <row r="11222" ht="15.75" customHeight="1">
      <c r="A11222" s="29" t="s">
        <v>828</v>
      </c>
      <c r="B11222" s="27"/>
      <c r="C11222" s="27"/>
      <c r="D11222" s="26"/>
      <c r="E11222" s="28"/>
      <c r="F11222" s="28"/>
      <c r="G11222" s="29"/>
    </row>
    <row r="11223" ht="15.75" customHeight="1">
      <c r="A11223" s="33" t="s">
        <v>828</v>
      </c>
      <c r="B11223" s="31"/>
      <c r="C11223" s="31"/>
      <c r="D11223" s="30"/>
      <c r="E11223" s="32"/>
      <c r="F11223" s="32"/>
      <c r="G11223" s="33"/>
    </row>
    <row r="11224" ht="15.75" customHeight="1">
      <c r="A11224" s="29" t="s">
        <v>828</v>
      </c>
      <c r="B11224" s="27"/>
      <c r="C11224" s="27"/>
      <c r="D11224" s="26"/>
      <c r="E11224" s="28"/>
      <c r="F11224" s="28"/>
      <c r="G11224" s="29"/>
    </row>
    <row r="11225" ht="15.75" customHeight="1">
      <c r="A11225" s="33" t="s">
        <v>828</v>
      </c>
      <c r="B11225" s="31"/>
      <c r="C11225" s="31"/>
      <c r="D11225" s="30"/>
      <c r="E11225" s="32"/>
      <c r="F11225" s="32"/>
      <c r="G11225" s="33"/>
    </row>
    <row r="11226" ht="15.75" customHeight="1">
      <c r="A11226" s="29" t="s">
        <v>828</v>
      </c>
      <c r="B11226" s="27"/>
      <c r="C11226" s="27"/>
      <c r="D11226" s="26"/>
      <c r="E11226" s="28"/>
      <c r="F11226" s="28"/>
      <c r="G11226" s="29"/>
    </row>
    <row r="11227" ht="15.75" customHeight="1">
      <c r="A11227" s="33" t="s">
        <v>828</v>
      </c>
      <c r="B11227" s="31"/>
      <c r="C11227" s="31"/>
      <c r="D11227" s="30"/>
      <c r="E11227" s="32"/>
      <c r="F11227" s="32"/>
      <c r="G11227" s="33"/>
    </row>
    <row r="11228" ht="15.75" customHeight="1">
      <c r="A11228" s="29" t="s">
        <v>828</v>
      </c>
      <c r="B11228" s="27"/>
      <c r="C11228" s="27"/>
      <c r="D11228" s="26"/>
      <c r="E11228" s="28"/>
      <c r="F11228" s="28"/>
      <c r="G11228" s="29"/>
    </row>
    <row r="11229" ht="15.75" customHeight="1">
      <c r="A11229" s="33" t="s">
        <v>828</v>
      </c>
      <c r="B11229" s="31"/>
      <c r="C11229" s="31"/>
      <c r="D11229" s="30"/>
      <c r="E11229" s="32"/>
      <c r="F11229" s="32"/>
      <c r="G11229" s="33"/>
    </row>
    <row r="11230" ht="15.75" customHeight="1">
      <c r="A11230" s="29" t="s">
        <v>828</v>
      </c>
      <c r="B11230" s="27"/>
      <c r="C11230" s="27"/>
      <c r="D11230" s="26"/>
      <c r="E11230" s="28"/>
      <c r="F11230" s="28"/>
      <c r="G11230" s="29"/>
    </row>
    <row r="11231" ht="15.75" customHeight="1">
      <c r="A11231" s="33" t="s">
        <v>828</v>
      </c>
      <c r="B11231" s="31"/>
      <c r="C11231" s="31"/>
      <c r="D11231" s="30"/>
      <c r="E11231" s="32"/>
      <c r="F11231" s="32"/>
      <c r="G11231" s="33"/>
    </row>
    <row r="11232" ht="15.75" customHeight="1">
      <c r="A11232" s="29" t="s">
        <v>828</v>
      </c>
      <c r="B11232" s="27"/>
      <c r="C11232" s="27"/>
      <c r="D11232" s="26"/>
      <c r="E11232" s="28"/>
      <c r="F11232" s="28"/>
      <c r="G11232" s="29"/>
    </row>
    <row r="11233" ht="15.75" customHeight="1">
      <c r="A11233" s="33" t="s">
        <v>828</v>
      </c>
      <c r="B11233" s="31"/>
      <c r="C11233" s="31"/>
      <c r="D11233" s="30"/>
      <c r="E11233" s="32"/>
      <c r="F11233" s="32"/>
      <c r="G11233" s="33"/>
    </row>
    <row r="11234" ht="15.75" customHeight="1">
      <c r="A11234" s="29" t="s">
        <v>828</v>
      </c>
      <c r="B11234" s="27"/>
      <c r="C11234" s="27"/>
      <c r="D11234" s="26"/>
      <c r="E11234" s="28"/>
      <c r="F11234" s="28"/>
      <c r="G11234" s="29"/>
    </row>
    <row r="11235" ht="15.75" customHeight="1">
      <c r="A11235" s="33" t="s">
        <v>828</v>
      </c>
      <c r="B11235" s="31"/>
      <c r="C11235" s="31"/>
      <c r="D11235" s="30"/>
      <c r="E11235" s="32"/>
      <c r="F11235" s="32"/>
      <c r="G11235" s="33"/>
    </row>
    <row r="11236" ht="15.75" customHeight="1">
      <c r="A11236" s="29" t="s">
        <v>828</v>
      </c>
      <c r="B11236" s="27"/>
      <c r="C11236" s="27"/>
      <c r="D11236" s="26"/>
      <c r="E11236" s="28"/>
      <c r="F11236" s="28"/>
      <c r="G11236" s="29"/>
    </row>
    <row r="11237" ht="15.75" customHeight="1">
      <c r="A11237" s="33" t="s">
        <v>828</v>
      </c>
      <c r="B11237" s="31"/>
      <c r="C11237" s="31"/>
      <c r="D11237" s="30"/>
      <c r="E11237" s="32"/>
      <c r="F11237" s="32"/>
      <c r="G11237" s="33"/>
    </row>
    <row r="11238" ht="15.75" customHeight="1">
      <c r="A11238" s="29" t="s">
        <v>828</v>
      </c>
      <c r="B11238" s="27"/>
      <c r="C11238" s="27"/>
      <c r="D11238" s="26"/>
      <c r="E11238" s="28"/>
      <c r="F11238" s="28"/>
      <c r="G11238" s="29"/>
    </row>
    <row r="11239" ht="15.75" customHeight="1">
      <c r="A11239" s="33" t="s">
        <v>828</v>
      </c>
      <c r="B11239" s="31"/>
      <c r="C11239" s="31"/>
      <c r="D11239" s="30"/>
      <c r="E11239" s="32"/>
      <c r="F11239" s="32"/>
      <c r="G11239" s="33"/>
    </row>
    <row r="11240" ht="15.75" customHeight="1">
      <c r="A11240" s="29" t="s">
        <v>828</v>
      </c>
      <c r="B11240" s="27"/>
      <c r="C11240" s="27"/>
      <c r="D11240" s="26"/>
      <c r="E11240" s="28"/>
      <c r="F11240" s="28"/>
      <c r="G11240" s="29"/>
    </row>
    <row r="11241" ht="15.75" customHeight="1">
      <c r="A11241" s="33" t="s">
        <v>828</v>
      </c>
      <c r="B11241" s="31"/>
      <c r="C11241" s="31"/>
      <c r="D11241" s="30"/>
      <c r="E11241" s="32"/>
      <c r="F11241" s="32"/>
      <c r="G11241" s="33"/>
    </row>
    <row r="11242" ht="15.75" customHeight="1">
      <c r="A11242" s="29" t="s">
        <v>828</v>
      </c>
      <c r="B11242" s="27"/>
      <c r="C11242" s="27"/>
      <c r="D11242" s="26"/>
      <c r="E11242" s="28"/>
      <c r="F11242" s="28"/>
      <c r="G11242" s="29"/>
    </row>
    <row r="11243" ht="15.75" customHeight="1">
      <c r="A11243" s="33" t="s">
        <v>828</v>
      </c>
      <c r="B11243" s="31"/>
      <c r="C11243" s="31"/>
      <c r="D11243" s="30"/>
      <c r="E11243" s="32"/>
      <c r="F11243" s="32"/>
      <c r="G11243" s="33"/>
    </row>
    <row r="11244" ht="15.75" customHeight="1">
      <c r="A11244" s="29" t="s">
        <v>828</v>
      </c>
      <c r="B11244" s="27"/>
      <c r="C11244" s="27"/>
      <c r="D11244" s="26"/>
      <c r="E11244" s="28"/>
      <c r="F11244" s="28"/>
      <c r="G11244" s="29"/>
    </row>
    <row r="11245" ht="15.75" customHeight="1">
      <c r="A11245" s="33" t="s">
        <v>828</v>
      </c>
      <c r="B11245" s="31"/>
      <c r="C11245" s="31"/>
      <c r="D11245" s="30"/>
      <c r="E11245" s="32"/>
      <c r="F11245" s="32"/>
      <c r="G11245" s="33"/>
    </row>
    <row r="11246" ht="15.75" customHeight="1">
      <c r="A11246" s="29" t="s">
        <v>828</v>
      </c>
      <c r="B11246" s="27"/>
      <c r="C11246" s="27"/>
      <c r="D11246" s="26"/>
      <c r="E11246" s="28"/>
      <c r="F11246" s="28"/>
      <c r="G11246" s="29"/>
    </row>
    <row r="11247" ht="15.75" customHeight="1">
      <c r="A11247" s="33" t="s">
        <v>828</v>
      </c>
      <c r="B11247" s="31"/>
      <c r="C11247" s="31"/>
      <c r="D11247" s="30"/>
      <c r="E11247" s="32"/>
      <c r="F11247" s="32"/>
      <c r="G11247" s="33"/>
    </row>
    <row r="11248" ht="15.75" customHeight="1">
      <c r="A11248" s="29" t="s">
        <v>828</v>
      </c>
      <c r="B11248" s="27"/>
      <c r="C11248" s="27"/>
      <c r="D11248" s="26"/>
      <c r="E11248" s="28"/>
      <c r="F11248" s="28"/>
      <c r="G11248" s="29"/>
    </row>
    <row r="11249" ht="15.75" customHeight="1">
      <c r="A11249" s="33" t="s">
        <v>828</v>
      </c>
      <c r="B11249" s="31"/>
      <c r="C11249" s="31"/>
      <c r="D11249" s="30"/>
      <c r="E11249" s="32"/>
      <c r="F11249" s="32"/>
      <c r="G11249" s="33"/>
    </row>
    <row r="11250" ht="15.75" customHeight="1">
      <c r="A11250" s="29" t="s">
        <v>828</v>
      </c>
      <c r="B11250" s="27"/>
      <c r="C11250" s="27"/>
      <c r="D11250" s="26"/>
      <c r="E11250" s="28"/>
      <c r="F11250" s="28"/>
      <c r="G11250" s="29"/>
    </row>
    <row r="11251" ht="15.75" customHeight="1">
      <c r="A11251" s="33" t="s">
        <v>828</v>
      </c>
      <c r="B11251" s="31"/>
      <c r="C11251" s="31"/>
      <c r="D11251" s="30"/>
      <c r="E11251" s="32"/>
      <c r="F11251" s="32"/>
      <c r="G11251" s="33"/>
    </row>
    <row r="11252" ht="15.75" customHeight="1">
      <c r="A11252" s="29" t="s">
        <v>828</v>
      </c>
      <c r="B11252" s="27"/>
      <c r="C11252" s="27"/>
      <c r="D11252" s="26"/>
      <c r="E11252" s="28"/>
      <c r="F11252" s="28"/>
      <c r="G11252" s="29"/>
    </row>
    <row r="11253" ht="15.75" customHeight="1">
      <c r="A11253" s="33" t="s">
        <v>828</v>
      </c>
      <c r="B11253" s="31"/>
      <c r="C11253" s="31"/>
      <c r="D11253" s="30"/>
      <c r="E11253" s="32"/>
      <c r="F11253" s="32"/>
      <c r="G11253" s="33"/>
    </row>
    <row r="11254" ht="15.75" customHeight="1">
      <c r="A11254" s="29" t="s">
        <v>828</v>
      </c>
      <c r="B11254" s="27"/>
      <c r="C11254" s="27"/>
      <c r="D11254" s="26"/>
      <c r="E11254" s="28"/>
      <c r="F11254" s="28"/>
      <c r="G11254" s="29"/>
    </row>
    <row r="11255" ht="15.75" customHeight="1">
      <c r="A11255" s="33" t="s">
        <v>828</v>
      </c>
      <c r="B11255" s="31"/>
      <c r="C11255" s="31"/>
      <c r="D11255" s="30"/>
      <c r="E11255" s="32"/>
      <c r="F11255" s="32"/>
      <c r="G11255" s="33"/>
    </row>
    <row r="11256" ht="15.75" customHeight="1">
      <c r="A11256" s="29" t="s">
        <v>828</v>
      </c>
      <c r="B11256" s="27"/>
      <c r="C11256" s="27"/>
      <c r="D11256" s="26"/>
      <c r="E11256" s="28"/>
      <c r="F11256" s="28"/>
      <c r="G11256" s="29"/>
    </row>
    <row r="11257" ht="15.75" customHeight="1">
      <c r="A11257" s="33" t="s">
        <v>828</v>
      </c>
      <c r="B11257" s="31"/>
      <c r="C11257" s="31"/>
      <c r="D11257" s="30"/>
      <c r="E11257" s="32"/>
      <c r="F11257" s="32"/>
      <c r="G11257" s="33"/>
    </row>
    <row r="11258" ht="15.75" customHeight="1">
      <c r="A11258" s="29" t="s">
        <v>828</v>
      </c>
      <c r="B11258" s="27"/>
      <c r="C11258" s="27"/>
      <c r="D11258" s="26"/>
      <c r="E11258" s="28"/>
      <c r="F11258" s="28"/>
      <c r="G11258" s="29"/>
    </row>
    <row r="11259" ht="15.75" customHeight="1">
      <c r="A11259" s="33" t="s">
        <v>828</v>
      </c>
      <c r="B11259" s="31"/>
      <c r="C11259" s="31"/>
      <c r="D11259" s="30"/>
      <c r="E11259" s="32"/>
      <c r="F11259" s="32"/>
      <c r="G11259" s="33"/>
    </row>
    <row r="11260" ht="15.75" customHeight="1">
      <c r="A11260" s="29" t="s">
        <v>828</v>
      </c>
      <c r="B11260" s="27"/>
      <c r="C11260" s="27"/>
      <c r="D11260" s="26"/>
      <c r="E11260" s="28"/>
      <c r="F11260" s="28"/>
      <c r="G11260" s="29"/>
    </row>
    <row r="11261" ht="15.75" customHeight="1">
      <c r="A11261" s="33" t="s">
        <v>828</v>
      </c>
      <c r="B11261" s="31"/>
      <c r="C11261" s="31"/>
      <c r="D11261" s="30"/>
      <c r="E11261" s="32"/>
      <c r="F11261" s="32"/>
      <c r="G11261" s="33"/>
    </row>
    <row r="11262" ht="15.75" customHeight="1">
      <c r="A11262" s="29" t="s">
        <v>828</v>
      </c>
      <c r="B11262" s="27"/>
      <c r="C11262" s="27"/>
      <c r="D11262" s="26"/>
      <c r="E11262" s="28"/>
      <c r="F11262" s="28"/>
      <c r="G11262" s="29"/>
    </row>
    <row r="11263" ht="15.75" customHeight="1">
      <c r="A11263" s="33" t="s">
        <v>828</v>
      </c>
      <c r="B11263" s="31"/>
      <c r="C11263" s="31"/>
      <c r="D11263" s="30"/>
      <c r="E11263" s="32"/>
      <c r="F11263" s="32"/>
      <c r="G11263" s="33"/>
    </row>
    <row r="11264" ht="15.75" customHeight="1">
      <c r="A11264" s="29" t="s">
        <v>828</v>
      </c>
      <c r="B11264" s="27"/>
      <c r="C11264" s="27"/>
      <c r="D11264" s="26"/>
      <c r="E11264" s="28"/>
      <c r="F11264" s="28"/>
      <c r="G11264" s="29"/>
    </row>
    <row r="11265" ht="15.75" customHeight="1">
      <c r="A11265" s="33" t="s">
        <v>828</v>
      </c>
      <c r="B11265" s="31"/>
      <c r="C11265" s="31"/>
      <c r="D11265" s="30"/>
      <c r="E11265" s="32"/>
      <c r="F11265" s="32"/>
      <c r="G11265" s="33"/>
    </row>
    <row r="11266" ht="15.75" customHeight="1">
      <c r="A11266" s="29" t="s">
        <v>828</v>
      </c>
      <c r="B11266" s="27"/>
      <c r="C11266" s="27"/>
      <c r="D11266" s="26"/>
      <c r="E11266" s="28"/>
      <c r="F11266" s="28"/>
      <c r="G11266" s="29"/>
    </row>
    <row r="11267" ht="15.75" customHeight="1">
      <c r="A11267" s="33" t="s">
        <v>828</v>
      </c>
      <c r="B11267" s="31"/>
      <c r="C11267" s="31"/>
      <c r="D11267" s="30"/>
      <c r="E11267" s="32"/>
      <c r="F11267" s="32"/>
      <c r="G11267" s="33"/>
    </row>
    <row r="11268" ht="15.75" customHeight="1">
      <c r="A11268" s="29" t="s">
        <v>828</v>
      </c>
      <c r="B11268" s="27"/>
      <c r="C11268" s="27"/>
      <c r="D11268" s="26"/>
      <c r="E11268" s="28"/>
      <c r="F11268" s="28"/>
      <c r="G11268" s="29"/>
    </row>
    <row r="11269" ht="15.75" customHeight="1">
      <c r="A11269" s="33" t="s">
        <v>828</v>
      </c>
      <c r="B11269" s="31"/>
      <c r="C11269" s="31"/>
      <c r="D11269" s="30"/>
      <c r="E11269" s="32"/>
      <c r="F11269" s="32"/>
      <c r="G11269" s="33"/>
    </row>
    <row r="11270" ht="15.75" customHeight="1">
      <c r="A11270" s="29" t="s">
        <v>828</v>
      </c>
      <c r="B11270" s="27"/>
      <c r="C11270" s="27"/>
      <c r="D11270" s="26"/>
      <c r="E11270" s="28"/>
      <c r="F11270" s="28"/>
      <c r="G11270" s="29"/>
    </row>
    <row r="11271" ht="15.75" customHeight="1">
      <c r="A11271" s="33" t="s">
        <v>828</v>
      </c>
      <c r="B11271" s="31"/>
      <c r="C11271" s="31"/>
      <c r="D11271" s="30"/>
      <c r="E11271" s="32"/>
      <c r="F11271" s="32"/>
      <c r="G11271" s="33"/>
    </row>
    <row r="11272" ht="15.75" customHeight="1">
      <c r="A11272" s="29" t="s">
        <v>828</v>
      </c>
      <c r="B11272" s="27"/>
      <c r="C11272" s="27"/>
      <c r="D11272" s="26"/>
      <c r="E11272" s="28"/>
      <c r="F11272" s="28"/>
      <c r="G11272" s="29"/>
    </row>
    <row r="11273" ht="15.75" customHeight="1">
      <c r="A11273" s="33" t="s">
        <v>828</v>
      </c>
      <c r="B11273" s="31"/>
      <c r="C11273" s="31"/>
      <c r="D11273" s="30"/>
      <c r="E11273" s="32"/>
      <c r="F11273" s="32"/>
      <c r="G11273" s="33"/>
    </row>
    <row r="11274" ht="15.75" customHeight="1">
      <c r="A11274" s="29" t="s">
        <v>828</v>
      </c>
      <c r="B11274" s="27"/>
      <c r="C11274" s="27"/>
      <c r="D11274" s="26"/>
      <c r="E11274" s="28"/>
      <c r="F11274" s="28"/>
      <c r="G11274" s="29"/>
    </row>
    <row r="11275" ht="15.75" customHeight="1">
      <c r="A11275" s="33" t="s">
        <v>828</v>
      </c>
      <c r="B11275" s="31"/>
      <c r="C11275" s="31"/>
      <c r="D11275" s="30"/>
      <c r="E11275" s="32"/>
      <c r="F11275" s="32"/>
      <c r="G11275" s="33"/>
    </row>
    <row r="11276" ht="15.75" customHeight="1">
      <c r="A11276" s="29" t="s">
        <v>828</v>
      </c>
      <c r="B11276" s="27"/>
      <c r="C11276" s="27"/>
      <c r="D11276" s="26"/>
      <c r="E11276" s="28"/>
      <c r="F11276" s="28"/>
      <c r="G11276" s="29"/>
    </row>
    <row r="11277" ht="15.75" customHeight="1">
      <c r="A11277" s="33" t="s">
        <v>828</v>
      </c>
      <c r="B11277" s="31"/>
      <c r="C11277" s="31"/>
      <c r="D11277" s="30"/>
      <c r="E11277" s="32"/>
      <c r="F11277" s="32"/>
      <c r="G11277" s="33"/>
    </row>
    <row r="11278" ht="15.75" customHeight="1">
      <c r="A11278" s="29" t="s">
        <v>828</v>
      </c>
      <c r="B11278" s="27"/>
      <c r="C11278" s="27"/>
      <c r="D11278" s="26"/>
      <c r="E11278" s="28"/>
      <c r="F11278" s="28"/>
      <c r="G11278" s="29"/>
    </row>
    <row r="11279" ht="15.75" customHeight="1">
      <c r="A11279" s="33" t="s">
        <v>828</v>
      </c>
      <c r="B11279" s="31"/>
      <c r="C11279" s="31"/>
      <c r="D11279" s="30"/>
      <c r="E11279" s="32"/>
      <c r="F11279" s="32"/>
      <c r="G11279" s="33"/>
    </row>
    <row r="11280" ht="15.75" customHeight="1">
      <c r="A11280" s="29" t="s">
        <v>828</v>
      </c>
      <c r="B11280" s="27"/>
      <c r="C11280" s="27"/>
      <c r="D11280" s="26"/>
      <c r="E11280" s="28"/>
      <c r="F11280" s="28"/>
      <c r="G11280" s="29"/>
    </row>
    <row r="11281" ht="15.75" customHeight="1">
      <c r="A11281" s="33" t="s">
        <v>828</v>
      </c>
      <c r="B11281" s="31"/>
      <c r="C11281" s="31"/>
      <c r="D11281" s="30"/>
      <c r="E11281" s="32"/>
      <c r="F11281" s="32"/>
      <c r="G11281" s="33"/>
    </row>
    <row r="11282" ht="15.75" customHeight="1">
      <c r="A11282" s="29" t="s">
        <v>828</v>
      </c>
      <c r="B11282" s="27"/>
      <c r="C11282" s="27"/>
      <c r="D11282" s="26"/>
      <c r="E11282" s="28"/>
      <c r="F11282" s="28"/>
      <c r="G11282" s="29"/>
    </row>
    <row r="11283" ht="15.75" customHeight="1">
      <c r="A11283" s="33" t="s">
        <v>828</v>
      </c>
      <c r="B11283" s="31"/>
      <c r="C11283" s="31"/>
      <c r="D11283" s="30"/>
      <c r="E11283" s="32"/>
      <c r="F11283" s="32"/>
      <c r="G11283" s="33"/>
    </row>
    <row r="11284" ht="15.75" customHeight="1">
      <c r="A11284" s="29" t="s">
        <v>828</v>
      </c>
      <c r="B11284" s="27"/>
      <c r="C11284" s="27"/>
      <c r="D11284" s="26"/>
      <c r="E11284" s="28"/>
      <c r="F11284" s="28"/>
      <c r="G11284" s="29"/>
    </row>
    <row r="11285" ht="15.75" customHeight="1">
      <c r="A11285" s="33" t="s">
        <v>828</v>
      </c>
      <c r="B11285" s="31"/>
      <c r="C11285" s="31"/>
      <c r="D11285" s="30"/>
      <c r="E11285" s="32"/>
      <c r="F11285" s="32"/>
      <c r="G11285" s="33"/>
    </row>
    <row r="11286" ht="15.75" customHeight="1">
      <c r="A11286" s="29" t="s">
        <v>828</v>
      </c>
      <c r="B11286" s="27"/>
      <c r="C11286" s="27"/>
      <c r="D11286" s="26"/>
      <c r="E11286" s="28"/>
      <c r="F11286" s="28"/>
      <c r="G11286" s="29"/>
    </row>
    <row r="11287" ht="15.75" customHeight="1">
      <c r="A11287" s="33" t="s">
        <v>828</v>
      </c>
      <c r="B11287" s="31"/>
      <c r="C11287" s="31"/>
      <c r="D11287" s="30"/>
      <c r="E11287" s="32"/>
      <c r="F11287" s="32"/>
      <c r="G11287" s="33"/>
    </row>
    <row r="11288" ht="15.75" customHeight="1">
      <c r="A11288" s="29" t="s">
        <v>828</v>
      </c>
      <c r="B11288" s="27"/>
      <c r="C11288" s="27"/>
      <c r="D11288" s="26"/>
      <c r="E11288" s="28"/>
      <c r="F11288" s="28"/>
      <c r="G11288" s="29"/>
    </row>
    <row r="11289" ht="15.75" customHeight="1">
      <c r="A11289" s="33" t="s">
        <v>828</v>
      </c>
      <c r="B11289" s="31"/>
      <c r="C11289" s="31"/>
      <c r="D11289" s="30"/>
      <c r="E11289" s="32"/>
      <c r="F11289" s="32"/>
      <c r="G11289" s="33"/>
    </row>
    <row r="11290" ht="15.75" customHeight="1">
      <c r="A11290" s="29" t="s">
        <v>828</v>
      </c>
      <c r="B11290" s="27"/>
      <c r="C11290" s="27"/>
      <c r="D11290" s="26"/>
      <c r="E11290" s="28"/>
      <c r="F11290" s="28"/>
      <c r="G11290" s="29"/>
    </row>
    <row r="11291" ht="15.75" customHeight="1">
      <c r="A11291" s="33" t="s">
        <v>828</v>
      </c>
      <c r="B11291" s="31"/>
      <c r="C11291" s="31"/>
      <c r="D11291" s="30"/>
      <c r="E11291" s="32"/>
      <c r="F11291" s="32"/>
      <c r="G11291" s="33"/>
    </row>
    <row r="11292" ht="15.75" customHeight="1">
      <c r="A11292" s="29" t="s">
        <v>828</v>
      </c>
      <c r="B11292" s="27"/>
      <c r="C11292" s="27"/>
      <c r="D11292" s="26"/>
      <c r="E11292" s="28"/>
      <c r="F11292" s="28"/>
      <c r="G11292" s="29"/>
    </row>
    <row r="11293" ht="15.75" customHeight="1">
      <c r="A11293" s="33" t="s">
        <v>828</v>
      </c>
      <c r="B11293" s="31"/>
      <c r="C11293" s="31"/>
      <c r="D11293" s="30"/>
      <c r="E11293" s="32"/>
      <c r="F11293" s="32"/>
      <c r="G11293" s="33"/>
    </row>
    <row r="11294" ht="15.75" customHeight="1">
      <c r="A11294" s="29" t="s">
        <v>828</v>
      </c>
      <c r="B11294" s="27"/>
      <c r="C11294" s="27"/>
      <c r="D11294" s="26"/>
      <c r="E11294" s="28"/>
      <c r="F11294" s="28"/>
      <c r="G11294" s="29"/>
    </row>
    <row r="11295" ht="15.75" customHeight="1">
      <c r="A11295" s="33" t="s">
        <v>828</v>
      </c>
      <c r="B11295" s="31"/>
      <c r="C11295" s="31"/>
      <c r="D11295" s="30"/>
      <c r="E11295" s="32"/>
      <c r="F11295" s="32"/>
      <c r="G11295" s="33"/>
    </row>
    <row r="11296" ht="15.75" customHeight="1">
      <c r="A11296" s="29" t="s">
        <v>828</v>
      </c>
      <c r="B11296" s="27"/>
      <c r="C11296" s="27"/>
      <c r="D11296" s="26"/>
      <c r="E11296" s="28"/>
      <c r="F11296" s="28"/>
      <c r="G11296" s="29"/>
    </row>
    <row r="11297" ht="15.75" customHeight="1">
      <c r="A11297" s="33" t="s">
        <v>828</v>
      </c>
      <c r="B11297" s="31"/>
      <c r="C11297" s="31"/>
      <c r="D11297" s="30"/>
      <c r="E11297" s="32"/>
      <c r="F11297" s="32"/>
      <c r="G11297" s="33"/>
    </row>
    <row r="11298" ht="15.75" customHeight="1">
      <c r="A11298" s="29" t="s">
        <v>828</v>
      </c>
      <c r="B11298" s="27"/>
      <c r="C11298" s="27"/>
      <c r="D11298" s="26"/>
      <c r="E11298" s="28"/>
      <c r="F11298" s="28"/>
      <c r="G11298" s="29"/>
    </row>
    <row r="11299" ht="15.75" customHeight="1">
      <c r="A11299" s="33" t="s">
        <v>828</v>
      </c>
      <c r="B11299" s="31"/>
      <c r="C11299" s="31"/>
      <c r="D11299" s="30"/>
      <c r="E11299" s="32"/>
      <c r="F11299" s="32"/>
      <c r="G11299" s="33"/>
    </row>
    <row r="11300" ht="15.75" customHeight="1">
      <c r="A11300" s="29" t="s">
        <v>828</v>
      </c>
      <c r="B11300" s="27"/>
      <c r="C11300" s="27"/>
      <c r="D11300" s="26"/>
      <c r="E11300" s="28"/>
      <c r="F11300" s="28"/>
      <c r="G11300" s="29"/>
    </row>
    <row r="11301" ht="15.75" customHeight="1">
      <c r="A11301" s="33" t="s">
        <v>828</v>
      </c>
      <c r="B11301" s="31"/>
      <c r="C11301" s="31"/>
      <c r="D11301" s="30"/>
      <c r="E11301" s="32"/>
      <c r="F11301" s="32"/>
      <c r="G11301" s="33"/>
    </row>
    <row r="11302" ht="15.75" customHeight="1">
      <c r="A11302" s="29" t="s">
        <v>828</v>
      </c>
      <c r="B11302" s="27"/>
      <c r="C11302" s="27"/>
      <c r="D11302" s="26"/>
      <c r="E11302" s="28"/>
      <c r="F11302" s="28"/>
      <c r="G11302" s="29"/>
    </row>
    <row r="11303" ht="15.75" customHeight="1">
      <c r="A11303" s="33" t="s">
        <v>828</v>
      </c>
      <c r="B11303" s="31"/>
      <c r="C11303" s="31"/>
      <c r="D11303" s="30"/>
      <c r="E11303" s="32"/>
      <c r="F11303" s="32"/>
      <c r="G11303" s="33"/>
    </row>
    <row r="11304" ht="15.75" customHeight="1">
      <c r="A11304" s="29" t="s">
        <v>828</v>
      </c>
      <c r="B11304" s="27"/>
      <c r="C11304" s="27"/>
      <c r="D11304" s="26"/>
      <c r="E11304" s="28"/>
      <c r="F11304" s="28"/>
      <c r="G11304" s="29"/>
    </row>
    <row r="11305" ht="15.75" customHeight="1">
      <c r="A11305" s="33" t="s">
        <v>828</v>
      </c>
      <c r="B11305" s="31"/>
      <c r="C11305" s="31"/>
      <c r="D11305" s="30"/>
      <c r="E11305" s="32"/>
      <c r="F11305" s="32"/>
      <c r="G11305" s="33"/>
    </row>
    <row r="11306" ht="15.75" customHeight="1">
      <c r="A11306" s="29" t="s">
        <v>828</v>
      </c>
      <c r="B11306" s="27"/>
      <c r="C11306" s="27"/>
      <c r="D11306" s="26"/>
      <c r="E11306" s="28"/>
      <c r="F11306" s="28"/>
      <c r="G11306" s="29"/>
    </row>
    <row r="11307" ht="15.75" customHeight="1">
      <c r="A11307" s="33" t="s">
        <v>828</v>
      </c>
      <c r="B11307" s="31"/>
      <c r="C11307" s="31"/>
      <c r="D11307" s="30"/>
      <c r="E11307" s="32"/>
      <c r="F11307" s="32"/>
      <c r="G11307" s="33"/>
    </row>
    <row r="11308" ht="15.75" customHeight="1">
      <c r="A11308" s="29" t="s">
        <v>828</v>
      </c>
      <c r="B11308" s="27"/>
      <c r="C11308" s="27"/>
      <c r="D11308" s="26"/>
      <c r="E11308" s="28"/>
      <c r="F11308" s="28"/>
      <c r="G11308" s="29"/>
    </row>
    <row r="11309" ht="15.75" customHeight="1">
      <c r="A11309" s="33" t="s">
        <v>828</v>
      </c>
      <c r="B11309" s="31"/>
      <c r="C11309" s="31"/>
      <c r="D11309" s="30"/>
      <c r="E11309" s="32"/>
      <c r="F11309" s="32"/>
      <c r="G11309" s="33"/>
    </row>
    <row r="11310" ht="15.75" customHeight="1">
      <c r="A11310" s="29" t="s">
        <v>828</v>
      </c>
      <c r="B11310" s="27"/>
      <c r="C11310" s="27"/>
      <c r="D11310" s="26"/>
      <c r="E11310" s="28"/>
      <c r="F11310" s="28"/>
      <c r="G11310" s="29"/>
    </row>
    <row r="11311" ht="15.75" customHeight="1">
      <c r="A11311" s="33" t="s">
        <v>828</v>
      </c>
      <c r="B11311" s="31"/>
      <c r="C11311" s="31"/>
      <c r="D11311" s="30"/>
      <c r="E11311" s="32"/>
      <c r="F11311" s="32"/>
      <c r="G11311" s="33"/>
    </row>
    <row r="11312" ht="15.75" customHeight="1">
      <c r="A11312" s="29" t="s">
        <v>828</v>
      </c>
      <c r="B11312" s="27"/>
      <c r="C11312" s="27"/>
      <c r="D11312" s="26"/>
      <c r="E11312" s="28"/>
      <c r="F11312" s="28"/>
      <c r="G11312" s="29"/>
    </row>
    <row r="11313" ht="15.75" customHeight="1">
      <c r="A11313" s="33" t="s">
        <v>828</v>
      </c>
      <c r="B11313" s="31"/>
      <c r="C11313" s="31"/>
      <c r="D11313" s="30"/>
      <c r="E11313" s="32"/>
      <c r="F11313" s="32"/>
      <c r="G11313" s="33"/>
    </row>
    <row r="11314" ht="15.75" customHeight="1">
      <c r="A11314" s="29" t="s">
        <v>828</v>
      </c>
      <c r="B11314" s="27"/>
      <c r="C11314" s="27"/>
      <c r="D11314" s="26"/>
      <c r="E11314" s="28"/>
      <c r="F11314" s="28"/>
      <c r="G11314" s="29"/>
    </row>
    <row r="11315" ht="15.75" customHeight="1">
      <c r="A11315" s="33" t="s">
        <v>828</v>
      </c>
      <c r="B11315" s="31"/>
      <c r="C11315" s="31"/>
      <c r="D11315" s="30"/>
      <c r="E11315" s="32"/>
      <c r="F11315" s="32"/>
      <c r="G11315" s="33"/>
    </row>
    <row r="11316" ht="15.75" customHeight="1">
      <c r="A11316" s="29" t="s">
        <v>828</v>
      </c>
      <c r="B11316" s="27"/>
      <c r="C11316" s="27"/>
      <c r="D11316" s="26"/>
      <c r="E11316" s="28"/>
      <c r="F11316" s="28"/>
      <c r="G11316" s="29"/>
    </row>
    <row r="11317" ht="15.75" customHeight="1">
      <c r="A11317" s="33" t="s">
        <v>828</v>
      </c>
      <c r="B11317" s="31"/>
      <c r="C11317" s="31"/>
      <c r="D11317" s="30"/>
      <c r="E11317" s="32"/>
      <c r="F11317" s="32"/>
      <c r="G11317" s="33"/>
    </row>
    <row r="11318" ht="15.75" customHeight="1">
      <c r="A11318" s="29" t="s">
        <v>828</v>
      </c>
      <c r="B11318" s="27"/>
      <c r="C11318" s="27"/>
      <c r="D11318" s="26"/>
      <c r="E11318" s="28"/>
      <c r="F11318" s="28"/>
      <c r="G11318" s="29"/>
    </row>
    <row r="11319" ht="15.75" customHeight="1">
      <c r="A11319" s="33" t="s">
        <v>828</v>
      </c>
      <c r="B11319" s="31"/>
      <c r="C11319" s="31"/>
      <c r="D11319" s="30"/>
      <c r="E11319" s="32"/>
      <c r="F11319" s="32"/>
      <c r="G11319" s="33"/>
    </row>
    <row r="11320" ht="15.75" customHeight="1">
      <c r="A11320" s="29" t="s">
        <v>828</v>
      </c>
      <c r="B11320" s="27"/>
      <c r="C11320" s="27"/>
      <c r="D11320" s="26"/>
      <c r="E11320" s="28"/>
      <c r="F11320" s="28"/>
      <c r="G11320" s="29"/>
    </row>
    <row r="11321" ht="15.75" customHeight="1">
      <c r="A11321" s="33" t="s">
        <v>828</v>
      </c>
      <c r="B11321" s="31"/>
      <c r="C11321" s="31"/>
      <c r="D11321" s="30"/>
      <c r="E11321" s="32"/>
      <c r="F11321" s="32"/>
      <c r="G11321" s="33"/>
    </row>
    <row r="11322" ht="15.75" customHeight="1">
      <c r="A11322" s="29" t="s">
        <v>828</v>
      </c>
      <c r="B11322" s="27"/>
      <c r="C11322" s="27"/>
      <c r="D11322" s="26"/>
      <c r="E11322" s="28"/>
      <c r="F11322" s="28"/>
      <c r="G11322" s="29"/>
    </row>
    <row r="11323" ht="15.75" customHeight="1">
      <c r="A11323" s="33" t="s">
        <v>828</v>
      </c>
      <c r="B11323" s="31"/>
      <c r="C11323" s="31"/>
      <c r="D11323" s="30"/>
      <c r="E11323" s="32"/>
      <c r="F11323" s="32"/>
      <c r="G11323" s="33"/>
    </row>
    <row r="11324" ht="15.75" customHeight="1">
      <c r="A11324" s="29" t="s">
        <v>828</v>
      </c>
      <c r="B11324" s="27"/>
      <c r="C11324" s="27"/>
      <c r="D11324" s="26"/>
      <c r="E11324" s="28"/>
      <c r="F11324" s="28"/>
      <c r="G11324" s="29"/>
    </row>
    <row r="11325" ht="15.75" customHeight="1">
      <c r="A11325" s="33" t="s">
        <v>828</v>
      </c>
      <c r="B11325" s="31"/>
      <c r="C11325" s="31"/>
      <c r="D11325" s="30"/>
      <c r="E11325" s="32"/>
      <c r="F11325" s="32"/>
      <c r="G11325" s="33"/>
    </row>
    <row r="11326" ht="15.75" customHeight="1">
      <c r="A11326" s="29" t="s">
        <v>828</v>
      </c>
      <c r="B11326" s="27"/>
      <c r="C11326" s="27"/>
      <c r="D11326" s="26"/>
      <c r="E11326" s="28"/>
      <c r="F11326" s="28"/>
      <c r="G11326" s="29"/>
    </row>
    <row r="11327" ht="15.75" customHeight="1">
      <c r="A11327" s="33" t="s">
        <v>828</v>
      </c>
      <c r="B11327" s="31"/>
      <c r="C11327" s="31"/>
      <c r="D11327" s="30"/>
      <c r="E11327" s="32"/>
      <c r="F11327" s="32"/>
      <c r="G11327" s="33"/>
    </row>
    <row r="11328" ht="15.75" customHeight="1">
      <c r="A11328" s="29" t="s">
        <v>828</v>
      </c>
      <c r="B11328" s="27"/>
      <c r="C11328" s="27"/>
      <c r="D11328" s="26"/>
      <c r="E11328" s="28"/>
      <c r="F11328" s="28"/>
      <c r="G11328" s="29"/>
    </row>
    <row r="11329" ht="15.75" customHeight="1">
      <c r="A11329" s="33" t="s">
        <v>828</v>
      </c>
      <c r="B11329" s="31"/>
      <c r="C11329" s="31"/>
      <c r="D11329" s="30"/>
      <c r="E11329" s="32"/>
      <c r="F11329" s="32"/>
      <c r="G11329" s="33"/>
    </row>
    <row r="11330" ht="15.75" customHeight="1">
      <c r="A11330" s="29" t="s">
        <v>828</v>
      </c>
      <c r="B11330" s="27"/>
      <c r="C11330" s="27"/>
      <c r="D11330" s="26"/>
      <c r="E11330" s="28"/>
      <c r="F11330" s="28"/>
      <c r="G11330" s="29"/>
    </row>
    <row r="11331" ht="15.75" customHeight="1">
      <c r="A11331" s="33" t="s">
        <v>828</v>
      </c>
      <c r="B11331" s="31"/>
      <c r="C11331" s="31"/>
      <c r="D11331" s="30"/>
      <c r="E11331" s="32"/>
      <c r="F11331" s="32"/>
      <c r="G11331" s="33"/>
    </row>
    <row r="11332" ht="15.75" customHeight="1">
      <c r="A11332" s="29" t="s">
        <v>828</v>
      </c>
      <c r="B11332" s="27"/>
      <c r="C11332" s="27"/>
      <c r="D11332" s="26"/>
      <c r="E11332" s="28"/>
      <c r="F11332" s="28"/>
      <c r="G11332" s="29"/>
    </row>
    <row r="11333" ht="15.75" customHeight="1">
      <c r="A11333" s="33" t="s">
        <v>828</v>
      </c>
      <c r="B11333" s="31"/>
      <c r="C11333" s="31"/>
      <c r="D11333" s="30"/>
      <c r="E11333" s="32"/>
      <c r="F11333" s="32"/>
      <c r="G11333" s="33"/>
    </row>
    <row r="11334" ht="15.75" customHeight="1">
      <c r="A11334" s="29" t="s">
        <v>828</v>
      </c>
      <c r="B11334" s="27"/>
      <c r="C11334" s="27"/>
      <c r="D11334" s="26"/>
      <c r="E11334" s="28"/>
      <c r="F11334" s="28"/>
      <c r="G11334" s="29"/>
    </row>
    <row r="11335" ht="15.75" customHeight="1">
      <c r="A11335" s="33" t="s">
        <v>828</v>
      </c>
      <c r="B11335" s="31"/>
      <c r="C11335" s="31"/>
      <c r="D11335" s="30"/>
      <c r="E11335" s="32"/>
      <c r="F11335" s="32"/>
      <c r="G11335" s="33"/>
    </row>
    <row r="11336" ht="15.75" customHeight="1">
      <c r="A11336" s="29" t="s">
        <v>828</v>
      </c>
      <c r="B11336" s="27"/>
      <c r="C11336" s="27"/>
      <c r="D11336" s="26"/>
      <c r="E11336" s="28"/>
      <c r="F11336" s="28"/>
      <c r="G11336" s="29"/>
    </row>
    <row r="11337" ht="15.75" customHeight="1">
      <c r="A11337" s="33" t="s">
        <v>828</v>
      </c>
      <c r="B11337" s="31"/>
      <c r="C11337" s="31"/>
      <c r="D11337" s="30"/>
      <c r="E11337" s="32"/>
      <c r="F11337" s="32"/>
      <c r="G11337" s="33"/>
    </row>
    <row r="11338" ht="15.75" customHeight="1">
      <c r="A11338" s="29" t="s">
        <v>828</v>
      </c>
      <c r="B11338" s="27"/>
      <c r="C11338" s="27"/>
      <c r="D11338" s="26"/>
      <c r="E11338" s="28"/>
      <c r="F11338" s="28"/>
      <c r="G11338" s="29"/>
    </row>
    <row r="11339" ht="15.75" customHeight="1">
      <c r="A11339" s="33" t="s">
        <v>828</v>
      </c>
      <c r="B11339" s="31"/>
      <c r="C11339" s="31"/>
      <c r="D11339" s="30"/>
      <c r="E11339" s="32"/>
      <c r="F11339" s="32"/>
      <c r="G11339" s="33"/>
    </row>
    <row r="11340" ht="15.75" customHeight="1">
      <c r="A11340" s="29" t="s">
        <v>828</v>
      </c>
      <c r="B11340" s="27"/>
      <c r="C11340" s="27"/>
      <c r="D11340" s="26"/>
      <c r="E11340" s="28"/>
      <c r="F11340" s="28"/>
      <c r="G11340" s="29"/>
    </row>
    <row r="11341" ht="15.75" customHeight="1">
      <c r="A11341" s="33" t="s">
        <v>828</v>
      </c>
      <c r="B11341" s="31"/>
      <c r="C11341" s="31"/>
      <c r="D11341" s="30"/>
      <c r="E11341" s="32"/>
      <c r="F11341" s="32"/>
      <c r="G11341" s="33"/>
    </row>
    <row r="11342" ht="15.75" customHeight="1">
      <c r="A11342" s="29" t="s">
        <v>828</v>
      </c>
      <c r="B11342" s="27"/>
      <c r="C11342" s="27"/>
      <c r="D11342" s="26"/>
      <c r="E11342" s="28"/>
      <c r="F11342" s="28"/>
      <c r="G11342" s="29"/>
    </row>
    <row r="11343" ht="15.75" customHeight="1">
      <c r="A11343" s="33" t="s">
        <v>828</v>
      </c>
      <c r="B11343" s="31"/>
      <c r="C11343" s="31"/>
      <c r="D11343" s="30"/>
      <c r="E11343" s="32"/>
      <c r="F11343" s="32"/>
      <c r="G11343" s="33"/>
    </row>
    <row r="11344" ht="15.75" customHeight="1">
      <c r="A11344" s="29" t="s">
        <v>828</v>
      </c>
      <c r="B11344" s="27"/>
      <c r="C11344" s="27"/>
      <c r="D11344" s="26"/>
      <c r="E11344" s="28"/>
      <c r="F11344" s="28"/>
      <c r="G11344" s="29"/>
    </row>
    <row r="11345" ht="15.75" customHeight="1">
      <c r="A11345" s="33" t="s">
        <v>828</v>
      </c>
      <c r="B11345" s="31"/>
      <c r="C11345" s="31"/>
      <c r="D11345" s="30"/>
      <c r="E11345" s="32"/>
      <c r="F11345" s="32"/>
      <c r="G11345" s="33"/>
    </row>
    <row r="11346" ht="15.75" customHeight="1">
      <c r="A11346" s="29" t="s">
        <v>828</v>
      </c>
      <c r="B11346" s="27"/>
      <c r="C11346" s="27"/>
      <c r="D11346" s="26"/>
      <c r="E11346" s="28"/>
      <c r="F11346" s="28"/>
      <c r="G11346" s="29"/>
    </row>
    <row r="11347" ht="15.75" customHeight="1">
      <c r="A11347" s="33" t="s">
        <v>828</v>
      </c>
      <c r="B11347" s="31"/>
      <c r="C11347" s="31"/>
      <c r="D11347" s="30"/>
      <c r="E11347" s="32"/>
      <c r="F11347" s="32"/>
      <c r="G11347" s="33"/>
    </row>
    <row r="11348" ht="15.75" customHeight="1">
      <c r="A11348" s="29" t="s">
        <v>828</v>
      </c>
      <c r="B11348" s="27"/>
      <c r="C11348" s="27"/>
      <c r="D11348" s="26"/>
      <c r="E11348" s="28"/>
      <c r="F11348" s="28"/>
      <c r="G11348" s="29"/>
    </row>
    <row r="11349" ht="15.75" customHeight="1">
      <c r="A11349" s="33" t="s">
        <v>828</v>
      </c>
      <c r="B11349" s="31"/>
      <c r="C11349" s="31"/>
      <c r="D11349" s="30"/>
      <c r="E11349" s="32"/>
      <c r="F11349" s="32"/>
      <c r="G11349" s="33"/>
    </row>
    <row r="11350" ht="15.75" customHeight="1">
      <c r="A11350" s="29" t="s">
        <v>828</v>
      </c>
      <c r="B11350" s="27"/>
      <c r="C11350" s="27"/>
      <c r="D11350" s="26"/>
      <c r="E11350" s="28"/>
      <c r="F11350" s="28"/>
      <c r="G11350" s="29"/>
    </row>
    <row r="11351" ht="15.75" customHeight="1">
      <c r="A11351" s="33" t="s">
        <v>828</v>
      </c>
      <c r="B11351" s="31"/>
      <c r="C11351" s="31"/>
      <c r="D11351" s="30"/>
      <c r="E11351" s="32"/>
      <c r="F11351" s="32"/>
      <c r="G11351" s="33"/>
    </row>
    <row r="11352" ht="15.75" customHeight="1">
      <c r="A11352" s="29" t="s">
        <v>828</v>
      </c>
      <c r="B11352" s="27"/>
      <c r="C11352" s="27"/>
      <c r="D11352" s="26"/>
      <c r="E11352" s="28"/>
      <c r="F11352" s="28"/>
      <c r="G11352" s="29"/>
    </row>
    <row r="11353" ht="15.75" customHeight="1">
      <c r="A11353" s="33" t="s">
        <v>828</v>
      </c>
      <c r="B11353" s="31"/>
      <c r="C11353" s="31"/>
      <c r="D11353" s="30"/>
      <c r="E11353" s="32"/>
      <c r="F11353" s="32"/>
      <c r="G11353" s="33"/>
    </row>
    <row r="11354" ht="15.75" customHeight="1">
      <c r="A11354" s="29" t="s">
        <v>828</v>
      </c>
      <c r="B11354" s="27"/>
      <c r="C11354" s="27"/>
      <c r="D11354" s="26"/>
      <c r="E11354" s="28"/>
      <c r="F11354" s="28"/>
      <c r="G11354" s="29"/>
    </row>
    <row r="11355" ht="15.75" customHeight="1">
      <c r="A11355" s="33" t="s">
        <v>828</v>
      </c>
      <c r="B11355" s="31"/>
      <c r="C11355" s="31"/>
      <c r="D11355" s="30"/>
      <c r="E11355" s="32"/>
      <c r="F11355" s="32"/>
      <c r="G11355" s="33"/>
    </row>
    <row r="11356" ht="15.75" customHeight="1">
      <c r="A11356" s="29" t="s">
        <v>828</v>
      </c>
      <c r="B11356" s="27"/>
      <c r="C11356" s="27"/>
      <c r="D11356" s="26"/>
      <c r="E11356" s="28"/>
      <c r="F11356" s="28"/>
      <c r="G11356" s="29"/>
    </row>
    <row r="11357" ht="15.75" customHeight="1">
      <c r="A11357" s="33" t="s">
        <v>828</v>
      </c>
      <c r="B11357" s="31"/>
      <c r="C11357" s="31"/>
      <c r="D11357" s="30"/>
      <c r="E11357" s="32"/>
      <c r="F11357" s="32"/>
      <c r="G11357" s="33"/>
    </row>
    <row r="11358" ht="15.75" customHeight="1">
      <c r="A11358" s="29" t="s">
        <v>828</v>
      </c>
      <c r="B11358" s="27"/>
      <c r="C11358" s="27"/>
      <c r="D11358" s="26"/>
      <c r="E11358" s="28"/>
      <c r="F11358" s="28"/>
      <c r="G11358" s="29"/>
    </row>
    <row r="11359" ht="15.75" customHeight="1">
      <c r="A11359" s="33" t="s">
        <v>828</v>
      </c>
      <c r="B11359" s="31"/>
      <c r="C11359" s="31"/>
      <c r="D11359" s="30"/>
      <c r="E11359" s="32"/>
      <c r="F11359" s="32"/>
      <c r="G11359" s="33"/>
    </row>
    <row r="11360" ht="15.75" customHeight="1">
      <c r="A11360" s="29" t="s">
        <v>828</v>
      </c>
      <c r="B11360" s="27"/>
      <c r="C11360" s="27"/>
      <c r="D11360" s="26"/>
      <c r="E11360" s="28"/>
      <c r="F11360" s="28"/>
      <c r="G11360" s="29"/>
    </row>
    <row r="11361" ht="15.75" customHeight="1">
      <c r="A11361" s="33" t="s">
        <v>828</v>
      </c>
      <c r="B11361" s="31"/>
      <c r="C11361" s="31"/>
      <c r="D11361" s="30"/>
      <c r="E11361" s="32"/>
      <c r="F11361" s="32"/>
      <c r="G11361" s="33"/>
    </row>
    <row r="11362" ht="15.75" customHeight="1">
      <c r="A11362" s="29" t="s">
        <v>828</v>
      </c>
      <c r="B11362" s="27"/>
      <c r="C11362" s="27"/>
      <c r="D11362" s="26"/>
      <c r="E11362" s="28"/>
      <c r="F11362" s="28"/>
      <c r="G11362" s="29"/>
    </row>
    <row r="11363" ht="15.75" customHeight="1">
      <c r="A11363" s="33" t="s">
        <v>828</v>
      </c>
      <c r="B11363" s="31"/>
      <c r="C11363" s="31"/>
      <c r="D11363" s="30"/>
      <c r="E11363" s="32"/>
      <c r="F11363" s="32"/>
      <c r="G11363" s="33"/>
    </row>
    <row r="11364" ht="15.75" customHeight="1">
      <c r="A11364" s="29" t="s">
        <v>828</v>
      </c>
      <c r="B11364" s="27"/>
      <c r="C11364" s="27"/>
      <c r="D11364" s="26"/>
      <c r="E11364" s="28"/>
      <c r="F11364" s="28"/>
      <c r="G11364" s="29"/>
    </row>
    <row r="11365" ht="15.75" customHeight="1">
      <c r="A11365" s="33" t="s">
        <v>828</v>
      </c>
      <c r="B11365" s="31"/>
      <c r="C11365" s="31"/>
      <c r="D11365" s="30"/>
      <c r="E11365" s="32"/>
      <c r="F11365" s="32"/>
      <c r="G11365" s="33"/>
    </row>
    <row r="11366" ht="15.75" customHeight="1">
      <c r="A11366" s="29" t="s">
        <v>828</v>
      </c>
      <c r="B11366" s="27"/>
      <c r="C11366" s="27"/>
      <c r="D11366" s="26"/>
      <c r="E11366" s="28"/>
      <c r="F11366" s="28"/>
      <c r="G11366" s="29"/>
    </row>
    <row r="11367" ht="15.75" customHeight="1">
      <c r="A11367" s="33" t="s">
        <v>828</v>
      </c>
      <c r="B11367" s="31"/>
      <c r="C11367" s="31"/>
      <c r="D11367" s="30"/>
      <c r="E11367" s="32"/>
      <c r="F11367" s="32"/>
      <c r="G11367" s="33"/>
    </row>
    <row r="11368" ht="15.75" customHeight="1">
      <c r="A11368" s="29" t="s">
        <v>828</v>
      </c>
      <c r="B11368" s="27"/>
      <c r="C11368" s="27"/>
      <c r="D11368" s="26"/>
      <c r="E11368" s="28"/>
      <c r="F11368" s="28"/>
      <c r="G11368" s="29"/>
    </row>
    <row r="11369" ht="15.75" customHeight="1">
      <c r="A11369" s="33" t="s">
        <v>828</v>
      </c>
      <c r="B11369" s="31"/>
      <c r="C11369" s="31"/>
      <c r="D11369" s="30"/>
      <c r="E11369" s="32"/>
      <c r="F11369" s="32"/>
      <c r="G11369" s="33"/>
    </row>
    <row r="11370" ht="15.75" customHeight="1">
      <c r="A11370" s="29" t="s">
        <v>828</v>
      </c>
      <c r="B11370" s="27"/>
      <c r="C11370" s="27"/>
      <c r="D11370" s="26"/>
      <c r="E11370" s="28"/>
      <c r="F11370" s="28"/>
      <c r="G11370" s="29"/>
    </row>
    <row r="11371" ht="15.75" customHeight="1">
      <c r="A11371" s="33" t="s">
        <v>828</v>
      </c>
      <c r="B11371" s="31"/>
      <c r="C11371" s="31"/>
      <c r="D11371" s="30"/>
      <c r="E11371" s="32"/>
      <c r="F11371" s="32"/>
      <c r="G11371" s="33"/>
    </row>
    <row r="11372" ht="15.75" customHeight="1">
      <c r="A11372" s="29" t="s">
        <v>828</v>
      </c>
      <c r="B11372" s="27"/>
      <c r="C11372" s="27"/>
      <c r="D11372" s="26"/>
      <c r="E11372" s="28"/>
      <c r="F11372" s="28"/>
      <c r="G11372" s="29"/>
    </row>
    <row r="11373" ht="15.75" customHeight="1">
      <c r="A11373" s="33" t="s">
        <v>828</v>
      </c>
      <c r="B11373" s="31"/>
      <c r="C11373" s="31"/>
      <c r="D11373" s="30"/>
      <c r="E11373" s="32"/>
      <c r="F11373" s="32"/>
      <c r="G11373" s="33"/>
    </row>
    <row r="11374" ht="15.75" customHeight="1">
      <c r="A11374" s="29" t="s">
        <v>828</v>
      </c>
      <c r="B11374" s="27"/>
      <c r="C11374" s="27"/>
      <c r="D11374" s="26"/>
      <c r="E11374" s="28"/>
      <c r="F11374" s="28"/>
      <c r="G11374" s="29"/>
    </row>
    <row r="11375" ht="15.75" customHeight="1">
      <c r="A11375" s="33" t="s">
        <v>828</v>
      </c>
      <c r="B11375" s="31"/>
      <c r="C11375" s="31"/>
      <c r="D11375" s="30"/>
      <c r="E11375" s="32"/>
      <c r="F11375" s="32"/>
      <c r="G11375" s="33"/>
    </row>
    <row r="11376" ht="15.75" customHeight="1">
      <c r="A11376" s="29" t="s">
        <v>828</v>
      </c>
      <c r="B11376" s="27"/>
      <c r="C11376" s="27"/>
      <c r="D11376" s="26"/>
      <c r="E11376" s="28"/>
      <c r="F11376" s="28"/>
      <c r="G11376" s="29"/>
    </row>
    <row r="11377" ht="15.75" customHeight="1">
      <c r="A11377" s="33" t="s">
        <v>828</v>
      </c>
      <c r="B11377" s="31"/>
      <c r="C11377" s="31"/>
      <c r="D11377" s="30"/>
      <c r="E11377" s="32"/>
      <c r="F11377" s="32"/>
      <c r="G11377" s="33"/>
    </row>
    <row r="11378" ht="15.75" customHeight="1">
      <c r="A11378" s="29" t="s">
        <v>828</v>
      </c>
      <c r="B11378" s="27"/>
      <c r="C11378" s="27"/>
      <c r="D11378" s="26"/>
      <c r="E11378" s="28"/>
      <c r="F11378" s="28"/>
      <c r="G11378" s="29"/>
    </row>
    <row r="11379" ht="15.75" customHeight="1">
      <c r="A11379" s="33" t="s">
        <v>828</v>
      </c>
      <c r="B11379" s="31"/>
      <c r="C11379" s="31"/>
      <c r="D11379" s="30"/>
      <c r="E11379" s="32"/>
      <c r="F11379" s="32"/>
      <c r="G11379" s="33"/>
    </row>
    <row r="11380" ht="15.75" customHeight="1">
      <c r="A11380" s="29" t="s">
        <v>828</v>
      </c>
      <c r="B11380" s="27"/>
      <c r="C11380" s="27"/>
      <c r="D11380" s="26"/>
      <c r="E11380" s="28"/>
      <c r="F11380" s="28"/>
      <c r="G11380" s="29"/>
    </row>
    <row r="11381" ht="15.75" customHeight="1">
      <c r="A11381" s="33" t="s">
        <v>828</v>
      </c>
      <c r="B11381" s="31"/>
      <c r="C11381" s="31"/>
      <c r="D11381" s="30"/>
      <c r="E11381" s="32"/>
      <c r="F11381" s="32"/>
      <c r="G11381" s="33"/>
    </row>
    <row r="11382" ht="15.75" customHeight="1">
      <c r="A11382" s="29" t="s">
        <v>828</v>
      </c>
      <c r="B11382" s="27"/>
      <c r="C11382" s="27"/>
      <c r="D11382" s="26"/>
      <c r="E11382" s="28"/>
      <c r="F11382" s="28"/>
      <c r="G11382" s="29"/>
    </row>
    <row r="11383" ht="15.75" customHeight="1">
      <c r="A11383" s="33" t="s">
        <v>828</v>
      </c>
      <c r="B11383" s="31"/>
      <c r="C11383" s="31"/>
      <c r="D11383" s="30"/>
      <c r="E11383" s="32"/>
      <c r="F11383" s="32"/>
      <c r="G11383" s="33"/>
    </row>
    <row r="11384" ht="15.75" customHeight="1">
      <c r="A11384" s="29" t="s">
        <v>828</v>
      </c>
      <c r="B11384" s="27"/>
      <c r="C11384" s="27"/>
      <c r="D11384" s="26"/>
      <c r="E11384" s="28"/>
      <c r="F11384" s="28"/>
      <c r="G11384" s="29"/>
    </row>
    <row r="11385" ht="15.75" customHeight="1">
      <c r="A11385" s="33" t="s">
        <v>828</v>
      </c>
      <c r="B11385" s="31"/>
      <c r="C11385" s="31"/>
      <c r="D11385" s="30"/>
      <c r="E11385" s="32"/>
      <c r="F11385" s="32"/>
      <c r="G11385" s="33"/>
    </row>
    <row r="11386" ht="15.75" customHeight="1">
      <c r="A11386" s="29" t="s">
        <v>828</v>
      </c>
      <c r="B11386" s="27"/>
      <c r="C11386" s="27"/>
      <c r="D11386" s="26"/>
      <c r="E11386" s="28"/>
      <c r="F11386" s="28"/>
      <c r="G11386" s="29"/>
    </row>
    <row r="11387" ht="15.75" customHeight="1">
      <c r="A11387" s="33" t="s">
        <v>828</v>
      </c>
      <c r="B11387" s="31"/>
      <c r="C11387" s="31"/>
      <c r="D11387" s="30"/>
      <c r="E11387" s="32"/>
      <c r="F11387" s="32"/>
      <c r="G11387" s="33"/>
    </row>
    <row r="11388" ht="15.75" customHeight="1">
      <c r="A11388" s="29" t="s">
        <v>828</v>
      </c>
      <c r="B11388" s="27"/>
      <c r="C11388" s="27"/>
      <c r="D11388" s="26"/>
      <c r="E11388" s="28"/>
      <c r="F11388" s="28"/>
      <c r="G11388" s="29"/>
    </row>
    <row r="11389" ht="15.75" customHeight="1">
      <c r="A11389" s="33" t="s">
        <v>828</v>
      </c>
      <c r="B11389" s="31"/>
      <c r="C11389" s="31"/>
      <c r="D11389" s="30"/>
      <c r="E11389" s="32"/>
      <c r="F11389" s="32"/>
      <c r="G11389" s="33"/>
    </row>
    <row r="11390" ht="15.75" customHeight="1">
      <c r="A11390" s="29" t="s">
        <v>828</v>
      </c>
      <c r="B11390" s="27"/>
      <c r="C11390" s="27"/>
      <c r="D11390" s="26"/>
      <c r="E11390" s="28"/>
      <c r="F11390" s="28"/>
      <c r="G11390" s="29"/>
    </row>
    <row r="11391" ht="15.75" customHeight="1">
      <c r="A11391" s="33" t="s">
        <v>828</v>
      </c>
      <c r="B11391" s="31"/>
      <c r="C11391" s="31"/>
      <c r="D11391" s="30"/>
      <c r="E11391" s="32"/>
      <c r="F11391" s="32"/>
      <c r="G11391" s="33"/>
    </row>
    <row r="11392" ht="15.75" customHeight="1">
      <c r="A11392" s="29" t="s">
        <v>828</v>
      </c>
      <c r="B11392" s="27"/>
      <c r="C11392" s="27"/>
      <c r="D11392" s="26"/>
      <c r="E11392" s="28"/>
      <c r="F11392" s="28"/>
      <c r="G11392" s="29"/>
    </row>
    <row r="11393" ht="15.75" customHeight="1">
      <c r="A11393" s="33" t="s">
        <v>828</v>
      </c>
      <c r="B11393" s="31"/>
      <c r="C11393" s="31"/>
      <c r="D11393" s="30"/>
      <c r="E11393" s="32"/>
      <c r="F11393" s="32"/>
      <c r="G11393" s="33"/>
    </row>
    <row r="11394" ht="15.75" customHeight="1">
      <c r="A11394" s="29" t="s">
        <v>828</v>
      </c>
      <c r="B11394" s="27"/>
      <c r="C11394" s="27"/>
      <c r="D11394" s="26"/>
      <c r="E11394" s="28"/>
      <c r="F11394" s="28"/>
      <c r="G11394" s="29"/>
    </row>
    <row r="11395" ht="15.75" customHeight="1">
      <c r="A11395" s="33" t="s">
        <v>828</v>
      </c>
      <c r="B11395" s="31"/>
      <c r="C11395" s="31"/>
      <c r="D11395" s="30"/>
      <c r="E11395" s="32"/>
      <c r="F11395" s="32"/>
      <c r="G11395" s="33"/>
    </row>
    <row r="11396" ht="15.75" customHeight="1">
      <c r="A11396" s="29" t="s">
        <v>828</v>
      </c>
      <c r="B11396" s="27"/>
      <c r="C11396" s="27"/>
      <c r="D11396" s="26"/>
      <c r="E11396" s="28"/>
      <c r="F11396" s="28"/>
      <c r="G11396" s="29"/>
    </row>
    <row r="11397" ht="15.75" customHeight="1">
      <c r="A11397" s="33" t="s">
        <v>828</v>
      </c>
      <c r="B11397" s="31"/>
      <c r="C11397" s="31"/>
      <c r="D11397" s="30"/>
      <c r="E11397" s="32"/>
      <c r="F11397" s="32"/>
      <c r="G11397" s="33"/>
    </row>
    <row r="11398" ht="15.75" customHeight="1">
      <c r="A11398" s="29" t="s">
        <v>828</v>
      </c>
      <c r="B11398" s="27"/>
      <c r="C11398" s="27"/>
      <c r="D11398" s="26"/>
      <c r="E11398" s="28"/>
      <c r="F11398" s="28"/>
      <c r="G11398" s="29"/>
    </row>
    <row r="11399" ht="15.75" customHeight="1">
      <c r="A11399" s="33" t="s">
        <v>828</v>
      </c>
      <c r="B11399" s="31"/>
      <c r="C11399" s="31"/>
      <c r="D11399" s="30"/>
      <c r="E11399" s="32"/>
      <c r="F11399" s="32"/>
      <c r="G11399" s="33"/>
    </row>
    <row r="11400" ht="15.75" customHeight="1">
      <c r="A11400" s="29" t="s">
        <v>828</v>
      </c>
      <c r="B11400" s="27"/>
      <c r="C11400" s="27"/>
      <c r="D11400" s="26"/>
      <c r="E11400" s="28"/>
      <c r="F11400" s="28"/>
      <c r="G11400" s="29"/>
    </row>
    <row r="11401" ht="15.75" customHeight="1">
      <c r="A11401" s="33" t="s">
        <v>828</v>
      </c>
      <c r="B11401" s="31"/>
      <c r="C11401" s="31"/>
      <c r="D11401" s="30"/>
      <c r="E11401" s="32"/>
      <c r="F11401" s="32"/>
      <c r="G11401" s="33"/>
    </row>
    <row r="11402" ht="15.75" customHeight="1">
      <c r="A11402" s="29" t="s">
        <v>828</v>
      </c>
      <c r="B11402" s="27"/>
      <c r="C11402" s="27"/>
      <c r="D11402" s="26"/>
      <c r="E11402" s="28"/>
      <c r="F11402" s="28"/>
      <c r="G11402" s="29"/>
    </row>
    <row r="11403" ht="15.75" customHeight="1">
      <c r="A11403" s="33" t="s">
        <v>828</v>
      </c>
      <c r="B11403" s="31"/>
      <c r="C11403" s="31"/>
      <c r="D11403" s="30"/>
      <c r="E11403" s="32"/>
      <c r="F11403" s="32"/>
      <c r="G11403" s="33"/>
    </row>
    <row r="11404" ht="15.75" customHeight="1">
      <c r="A11404" s="29" t="s">
        <v>828</v>
      </c>
      <c r="B11404" s="27"/>
      <c r="C11404" s="27"/>
      <c r="D11404" s="26"/>
      <c r="E11404" s="28"/>
      <c r="F11404" s="28"/>
      <c r="G11404" s="29"/>
    </row>
    <row r="11405" ht="15.75" customHeight="1">
      <c r="A11405" s="33" t="s">
        <v>828</v>
      </c>
      <c r="B11405" s="31"/>
      <c r="C11405" s="31"/>
      <c r="D11405" s="30"/>
      <c r="E11405" s="32"/>
      <c r="F11405" s="32"/>
      <c r="G11405" s="33"/>
    </row>
    <row r="11406" ht="15.75" customHeight="1">
      <c r="A11406" s="29" t="s">
        <v>828</v>
      </c>
      <c r="B11406" s="27"/>
      <c r="C11406" s="27"/>
      <c r="D11406" s="26"/>
      <c r="E11406" s="28"/>
      <c r="F11406" s="28"/>
      <c r="G11406" s="29"/>
    </row>
    <row r="11407" ht="15.75" customHeight="1">
      <c r="A11407" s="33" t="s">
        <v>828</v>
      </c>
      <c r="B11407" s="31"/>
      <c r="C11407" s="31"/>
      <c r="D11407" s="30"/>
      <c r="E11407" s="32"/>
      <c r="F11407" s="32"/>
      <c r="G11407" s="33"/>
    </row>
    <row r="11408" ht="15.75" customHeight="1">
      <c r="A11408" s="29" t="s">
        <v>828</v>
      </c>
      <c r="B11408" s="27"/>
      <c r="C11408" s="27"/>
      <c r="D11408" s="26"/>
      <c r="E11408" s="28"/>
      <c r="F11408" s="28"/>
      <c r="G11408" s="29"/>
    </row>
    <row r="11409" ht="15.75" customHeight="1">
      <c r="A11409" s="33" t="s">
        <v>828</v>
      </c>
      <c r="B11409" s="31"/>
      <c r="C11409" s="31"/>
      <c r="D11409" s="30"/>
      <c r="E11409" s="32"/>
      <c r="F11409" s="32"/>
      <c r="G11409" s="33"/>
    </row>
    <row r="11410" ht="15.75" customHeight="1">
      <c r="A11410" s="29" t="s">
        <v>828</v>
      </c>
      <c r="B11410" s="27"/>
      <c r="C11410" s="27"/>
      <c r="D11410" s="26"/>
      <c r="E11410" s="28"/>
      <c r="F11410" s="28"/>
      <c r="G11410" s="29"/>
    </row>
    <row r="11411" ht="15.75" customHeight="1">
      <c r="A11411" s="33" t="s">
        <v>828</v>
      </c>
      <c r="B11411" s="31"/>
      <c r="C11411" s="31"/>
      <c r="D11411" s="30"/>
      <c r="E11411" s="32"/>
      <c r="F11411" s="32"/>
      <c r="G11411" s="33"/>
    </row>
    <row r="11412" ht="15.75" customHeight="1">
      <c r="A11412" s="29" t="s">
        <v>828</v>
      </c>
      <c r="B11412" s="27"/>
      <c r="C11412" s="27"/>
      <c r="D11412" s="26"/>
      <c r="E11412" s="28"/>
      <c r="F11412" s="28"/>
      <c r="G11412" s="29"/>
    </row>
    <row r="11413" ht="15.75" customHeight="1">
      <c r="A11413" s="33" t="s">
        <v>828</v>
      </c>
      <c r="B11413" s="31"/>
      <c r="C11413" s="31"/>
      <c r="D11413" s="30"/>
      <c r="E11413" s="32"/>
      <c r="F11413" s="32"/>
      <c r="G11413" s="33"/>
    </row>
    <row r="11414" ht="15.75" customHeight="1">
      <c r="A11414" s="29" t="s">
        <v>828</v>
      </c>
      <c r="B11414" s="27"/>
      <c r="C11414" s="27"/>
      <c r="D11414" s="26"/>
      <c r="E11414" s="28"/>
      <c r="F11414" s="28"/>
      <c r="G11414" s="29"/>
    </row>
    <row r="11415" ht="15.75" customHeight="1">
      <c r="A11415" s="33" t="s">
        <v>828</v>
      </c>
      <c r="B11415" s="31"/>
      <c r="C11415" s="31"/>
      <c r="D11415" s="30"/>
      <c r="E11415" s="32"/>
      <c r="F11415" s="32"/>
      <c r="G11415" s="33"/>
    </row>
    <row r="11416" ht="15.75" customHeight="1">
      <c r="A11416" s="29" t="s">
        <v>828</v>
      </c>
      <c r="B11416" s="27"/>
      <c r="C11416" s="27"/>
      <c r="D11416" s="26"/>
      <c r="E11416" s="28"/>
      <c r="F11416" s="28"/>
      <c r="G11416" s="29"/>
    </row>
    <row r="11417" ht="15.75" customHeight="1">
      <c r="A11417" s="33" t="s">
        <v>828</v>
      </c>
      <c r="B11417" s="31"/>
      <c r="C11417" s="31"/>
      <c r="D11417" s="30"/>
      <c r="E11417" s="32"/>
      <c r="F11417" s="32"/>
      <c r="G11417" s="33"/>
    </row>
    <row r="11418" ht="15.75" customHeight="1">
      <c r="A11418" s="29" t="s">
        <v>828</v>
      </c>
      <c r="B11418" s="27"/>
      <c r="C11418" s="27"/>
      <c r="D11418" s="26"/>
      <c r="E11418" s="28"/>
      <c r="F11418" s="28"/>
      <c r="G11418" s="29"/>
    </row>
    <row r="11419" ht="15.75" customHeight="1">
      <c r="A11419" s="33" t="s">
        <v>828</v>
      </c>
      <c r="B11419" s="31"/>
      <c r="C11419" s="31"/>
      <c r="D11419" s="30"/>
      <c r="E11419" s="32"/>
      <c r="F11419" s="32"/>
      <c r="G11419" s="33"/>
    </row>
    <row r="11420" ht="15.75" customHeight="1">
      <c r="A11420" s="29" t="s">
        <v>828</v>
      </c>
      <c r="B11420" s="27"/>
      <c r="C11420" s="27"/>
      <c r="D11420" s="26"/>
      <c r="E11420" s="28"/>
      <c r="F11420" s="28"/>
      <c r="G11420" s="29"/>
    </row>
    <row r="11421" ht="15.75" customHeight="1">
      <c r="A11421" s="33" t="s">
        <v>828</v>
      </c>
      <c r="B11421" s="31"/>
      <c r="C11421" s="31"/>
      <c r="D11421" s="30"/>
      <c r="E11421" s="32"/>
      <c r="F11421" s="32"/>
      <c r="G11421" s="33"/>
    </row>
    <row r="11422" ht="15.75" customHeight="1">
      <c r="A11422" s="29" t="s">
        <v>828</v>
      </c>
      <c r="B11422" s="27"/>
      <c r="C11422" s="27"/>
      <c r="D11422" s="26"/>
      <c r="E11422" s="28"/>
      <c r="F11422" s="28"/>
      <c r="G11422" s="29"/>
    </row>
    <row r="11423" ht="15.75" customHeight="1">
      <c r="A11423" s="33" t="s">
        <v>828</v>
      </c>
      <c r="B11423" s="31"/>
      <c r="C11423" s="31"/>
      <c r="D11423" s="30"/>
      <c r="E11423" s="32"/>
      <c r="F11423" s="32"/>
      <c r="G11423" s="33"/>
    </row>
    <row r="11424" ht="15.75" customHeight="1">
      <c r="A11424" s="29" t="s">
        <v>828</v>
      </c>
      <c r="B11424" s="27"/>
      <c r="C11424" s="27"/>
      <c r="D11424" s="26"/>
      <c r="E11424" s="28"/>
      <c r="F11424" s="28"/>
      <c r="G11424" s="29"/>
    </row>
    <row r="11425" ht="15.75" customHeight="1">
      <c r="A11425" s="33" t="s">
        <v>828</v>
      </c>
      <c r="B11425" s="31"/>
      <c r="C11425" s="31"/>
      <c r="D11425" s="30"/>
      <c r="E11425" s="32"/>
      <c r="F11425" s="32"/>
      <c r="G11425" s="33"/>
    </row>
    <row r="11426" ht="15.75" customHeight="1">
      <c r="A11426" s="29" t="s">
        <v>828</v>
      </c>
      <c r="B11426" s="27"/>
      <c r="C11426" s="27"/>
      <c r="D11426" s="26"/>
      <c r="E11426" s="28"/>
      <c r="F11426" s="28"/>
      <c r="G11426" s="29"/>
    </row>
    <row r="11427" ht="15.75" customHeight="1">
      <c r="A11427" s="33" t="s">
        <v>828</v>
      </c>
      <c r="B11427" s="31"/>
      <c r="C11427" s="31"/>
      <c r="D11427" s="30"/>
      <c r="E11427" s="32"/>
      <c r="F11427" s="32"/>
      <c r="G11427" s="33"/>
    </row>
    <row r="11428" ht="15.75" customHeight="1">
      <c r="A11428" s="29" t="s">
        <v>828</v>
      </c>
      <c r="B11428" s="27"/>
      <c r="C11428" s="27"/>
      <c r="D11428" s="26"/>
      <c r="E11428" s="28"/>
      <c r="F11428" s="28"/>
      <c r="G11428" s="29"/>
    </row>
    <row r="11429" ht="15.75" customHeight="1">
      <c r="A11429" s="33" t="s">
        <v>828</v>
      </c>
      <c r="B11429" s="31"/>
      <c r="C11429" s="31"/>
      <c r="D11429" s="30"/>
      <c r="E11429" s="32"/>
      <c r="F11429" s="32"/>
      <c r="G11429" s="33"/>
    </row>
    <row r="11430" ht="15.75" customHeight="1">
      <c r="A11430" s="29" t="s">
        <v>828</v>
      </c>
      <c r="B11430" s="27"/>
      <c r="C11430" s="27"/>
      <c r="D11430" s="26"/>
      <c r="E11430" s="28"/>
      <c r="F11430" s="28"/>
      <c r="G11430" s="29"/>
    </row>
    <row r="11431" ht="15.75" customHeight="1">
      <c r="A11431" s="33" t="s">
        <v>828</v>
      </c>
      <c r="B11431" s="31"/>
      <c r="C11431" s="31"/>
      <c r="D11431" s="30"/>
      <c r="E11431" s="32"/>
      <c r="F11431" s="32"/>
      <c r="G11431" s="33"/>
    </row>
    <row r="11432" ht="15.75" customHeight="1">
      <c r="A11432" s="29" t="s">
        <v>828</v>
      </c>
      <c r="B11432" s="27"/>
      <c r="C11432" s="27"/>
      <c r="D11432" s="26"/>
      <c r="E11432" s="28"/>
      <c r="F11432" s="28"/>
      <c r="G11432" s="29"/>
    </row>
    <row r="11433" ht="15.75" customHeight="1">
      <c r="A11433" s="33" t="s">
        <v>828</v>
      </c>
      <c r="B11433" s="31"/>
      <c r="C11433" s="31"/>
      <c r="D11433" s="30"/>
      <c r="E11433" s="32"/>
      <c r="F11433" s="32"/>
      <c r="G11433" s="33"/>
    </row>
    <row r="11434" ht="15.75" customHeight="1">
      <c r="A11434" s="29" t="s">
        <v>828</v>
      </c>
      <c r="B11434" s="27"/>
      <c r="C11434" s="27"/>
      <c r="D11434" s="26"/>
      <c r="E11434" s="28"/>
      <c r="F11434" s="28"/>
      <c r="G11434" s="29"/>
    </row>
    <row r="11435" ht="15.75" customHeight="1">
      <c r="A11435" s="33" t="s">
        <v>828</v>
      </c>
      <c r="B11435" s="31"/>
      <c r="C11435" s="31"/>
      <c r="D11435" s="30"/>
      <c r="E11435" s="32"/>
      <c r="F11435" s="32"/>
      <c r="G11435" s="33"/>
    </row>
    <row r="11436" ht="15.75" customHeight="1">
      <c r="A11436" s="29" t="s">
        <v>828</v>
      </c>
      <c r="B11436" s="27"/>
      <c r="C11436" s="27"/>
      <c r="D11436" s="26"/>
      <c r="E11436" s="28"/>
      <c r="F11436" s="28"/>
      <c r="G11436" s="29"/>
    </row>
    <row r="11437" ht="15.75" customHeight="1">
      <c r="A11437" s="33" t="s">
        <v>828</v>
      </c>
      <c r="B11437" s="31"/>
      <c r="C11437" s="31"/>
      <c r="D11437" s="30"/>
      <c r="E11437" s="32"/>
      <c r="F11437" s="32"/>
      <c r="G11437" s="33"/>
    </row>
    <row r="11438" ht="15.75" customHeight="1">
      <c r="A11438" s="29" t="s">
        <v>828</v>
      </c>
      <c r="B11438" s="27"/>
      <c r="C11438" s="27"/>
      <c r="D11438" s="26"/>
      <c r="E11438" s="28"/>
      <c r="F11438" s="28"/>
      <c r="G11438" s="29"/>
    </row>
    <row r="11439" ht="15.75" customHeight="1">
      <c r="A11439" s="33" t="s">
        <v>828</v>
      </c>
      <c r="B11439" s="31"/>
      <c r="C11439" s="31"/>
      <c r="D11439" s="30"/>
      <c r="E11439" s="32"/>
      <c r="F11439" s="32"/>
      <c r="G11439" s="33"/>
    </row>
    <row r="11440" ht="15.75" customHeight="1">
      <c r="A11440" s="29" t="s">
        <v>828</v>
      </c>
      <c r="B11440" s="27"/>
      <c r="C11440" s="27"/>
      <c r="D11440" s="26"/>
      <c r="E11440" s="28"/>
      <c r="F11440" s="28"/>
      <c r="G11440" s="29"/>
    </row>
    <row r="11441" ht="15.75" customHeight="1">
      <c r="A11441" s="33" t="s">
        <v>828</v>
      </c>
      <c r="B11441" s="31"/>
      <c r="C11441" s="31"/>
      <c r="D11441" s="30"/>
      <c r="E11441" s="32"/>
      <c r="F11441" s="32"/>
      <c r="G11441" s="33"/>
    </row>
    <row r="11442" ht="15.75" customHeight="1">
      <c r="A11442" s="29" t="s">
        <v>828</v>
      </c>
      <c r="B11442" s="27"/>
      <c r="C11442" s="27"/>
      <c r="D11442" s="26"/>
      <c r="E11442" s="28"/>
      <c r="F11442" s="28"/>
      <c r="G11442" s="29"/>
    </row>
    <row r="11443" ht="15.75" customHeight="1">
      <c r="A11443" s="33" t="s">
        <v>828</v>
      </c>
      <c r="B11443" s="31"/>
      <c r="C11443" s="31"/>
      <c r="D11443" s="30"/>
      <c r="E11443" s="32"/>
      <c r="F11443" s="32"/>
      <c r="G11443" s="33"/>
    </row>
    <row r="11444" ht="15.75" customHeight="1">
      <c r="A11444" s="29" t="s">
        <v>828</v>
      </c>
      <c r="B11444" s="27"/>
      <c r="C11444" s="27"/>
      <c r="D11444" s="26"/>
      <c r="E11444" s="28"/>
      <c r="F11444" s="28"/>
      <c r="G11444" s="29"/>
    </row>
    <row r="11445" ht="15.75" customHeight="1">
      <c r="A11445" s="33" t="s">
        <v>828</v>
      </c>
      <c r="B11445" s="31"/>
      <c r="C11445" s="31"/>
      <c r="D11445" s="30"/>
      <c r="E11445" s="32"/>
      <c r="F11445" s="32"/>
      <c r="G11445" s="33"/>
    </row>
    <row r="11446" ht="15.75" customHeight="1">
      <c r="A11446" s="29" t="s">
        <v>828</v>
      </c>
      <c r="B11446" s="27"/>
      <c r="C11446" s="27"/>
      <c r="D11446" s="26"/>
      <c r="E11446" s="28"/>
      <c r="F11446" s="28"/>
      <c r="G11446" s="29"/>
    </row>
    <row r="11447" ht="15.75" customHeight="1">
      <c r="A11447" s="33" t="s">
        <v>828</v>
      </c>
      <c r="B11447" s="31"/>
      <c r="C11447" s="31"/>
      <c r="D11447" s="30"/>
      <c r="E11447" s="32"/>
      <c r="F11447" s="32"/>
      <c r="G11447" s="33"/>
    </row>
    <row r="11448" ht="15.75" customHeight="1">
      <c r="A11448" s="29" t="s">
        <v>828</v>
      </c>
      <c r="B11448" s="27"/>
      <c r="C11448" s="27"/>
      <c r="D11448" s="26"/>
      <c r="E11448" s="28"/>
      <c r="F11448" s="28"/>
      <c r="G11448" s="29"/>
    </row>
    <row r="11449" ht="15.75" customHeight="1">
      <c r="A11449" s="33" t="s">
        <v>828</v>
      </c>
      <c r="B11449" s="31"/>
      <c r="C11449" s="31"/>
      <c r="D11449" s="30"/>
      <c r="E11449" s="32"/>
      <c r="F11449" s="32"/>
      <c r="G11449" s="33"/>
    </row>
    <row r="11450" ht="15.75" customHeight="1">
      <c r="A11450" s="29" t="s">
        <v>828</v>
      </c>
      <c r="B11450" s="27"/>
      <c r="C11450" s="27"/>
      <c r="D11450" s="26"/>
      <c r="E11450" s="28"/>
      <c r="F11450" s="28"/>
      <c r="G11450" s="29"/>
    </row>
    <row r="11451" ht="15.75" customHeight="1">
      <c r="A11451" s="33" t="s">
        <v>828</v>
      </c>
      <c r="B11451" s="31"/>
      <c r="C11451" s="31"/>
      <c r="D11451" s="30"/>
      <c r="E11451" s="32"/>
      <c r="F11451" s="32"/>
      <c r="G11451" s="33"/>
    </row>
    <row r="11452" ht="15.75" customHeight="1">
      <c r="A11452" s="29" t="s">
        <v>828</v>
      </c>
      <c r="B11452" s="27"/>
      <c r="C11452" s="27"/>
      <c r="D11452" s="26"/>
      <c r="E11452" s="28"/>
      <c r="F11452" s="28"/>
      <c r="G11452" s="29"/>
    </row>
    <row r="11453" ht="15.75" customHeight="1">
      <c r="A11453" s="33" t="s">
        <v>828</v>
      </c>
      <c r="B11453" s="31"/>
      <c r="C11453" s="31"/>
      <c r="D11453" s="30"/>
      <c r="E11453" s="32"/>
      <c r="F11453" s="32"/>
      <c r="G11453" s="33"/>
    </row>
    <row r="11454" ht="15.75" customHeight="1">
      <c r="A11454" s="29" t="s">
        <v>828</v>
      </c>
      <c r="B11454" s="27"/>
      <c r="C11454" s="27"/>
      <c r="D11454" s="26"/>
      <c r="E11454" s="28"/>
      <c r="F11454" s="28"/>
      <c r="G11454" s="29"/>
    </row>
    <row r="11455" ht="15.75" customHeight="1">
      <c r="A11455" s="33" t="s">
        <v>828</v>
      </c>
      <c r="B11455" s="31"/>
      <c r="C11455" s="31"/>
      <c r="D11455" s="30"/>
      <c r="E11455" s="32"/>
      <c r="F11455" s="32"/>
      <c r="G11455" s="33"/>
    </row>
    <row r="11456" ht="15.75" customHeight="1">
      <c r="A11456" s="29" t="s">
        <v>828</v>
      </c>
      <c r="B11456" s="27"/>
      <c r="C11456" s="27"/>
      <c r="D11456" s="26"/>
      <c r="E11456" s="28"/>
      <c r="F11456" s="28"/>
      <c r="G11456" s="29"/>
    </row>
    <row r="11457" ht="15.75" customHeight="1">
      <c r="A11457" s="33" t="s">
        <v>828</v>
      </c>
      <c r="B11457" s="31"/>
      <c r="C11457" s="31"/>
      <c r="D11457" s="30"/>
      <c r="E11457" s="32"/>
      <c r="F11457" s="32"/>
      <c r="G11457" s="33"/>
    </row>
    <row r="11458" ht="15.75" customHeight="1">
      <c r="A11458" s="29" t="s">
        <v>828</v>
      </c>
      <c r="B11458" s="27"/>
      <c r="C11458" s="27"/>
      <c r="D11458" s="26"/>
      <c r="E11458" s="28"/>
      <c r="F11458" s="28"/>
      <c r="G11458" s="29"/>
    </row>
    <row r="11459" ht="15.75" customHeight="1">
      <c r="A11459" s="33" t="s">
        <v>828</v>
      </c>
      <c r="B11459" s="31"/>
      <c r="C11459" s="31"/>
      <c r="D11459" s="30"/>
      <c r="E11459" s="32"/>
      <c r="F11459" s="32"/>
      <c r="G11459" s="33"/>
    </row>
    <row r="11460" ht="15.75" customHeight="1">
      <c r="A11460" s="29" t="s">
        <v>828</v>
      </c>
      <c r="B11460" s="27"/>
      <c r="C11460" s="27"/>
      <c r="D11460" s="26"/>
      <c r="E11460" s="28"/>
      <c r="F11460" s="28"/>
      <c r="G11460" s="29"/>
    </row>
    <row r="11461" ht="15.75" customHeight="1">
      <c r="A11461" s="33" t="s">
        <v>828</v>
      </c>
      <c r="B11461" s="31"/>
      <c r="C11461" s="31"/>
      <c r="D11461" s="30"/>
      <c r="E11461" s="32"/>
      <c r="F11461" s="32"/>
      <c r="G11461" s="33"/>
    </row>
    <row r="11462" ht="15.75" customHeight="1">
      <c r="A11462" s="29" t="s">
        <v>828</v>
      </c>
      <c r="B11462" s="27"/>
      <c r="C11462" s="27"/>
      <c r="D11462" s="26"/>
      <c r="E11462" s="28"/>
      <c r="F11462" s="28"/>
      <c r="G11462" s="29"/>
    </row>
    <row r="11463" ht="15.75" customHeight="1">
      <c r="A11463" s="33" t="s">
        <v>828</v>
      </c>
      <c r="B11463" s="31"/>
      <c r="C11463" s="31"/>
      <c r="D11463" s="30"/>
      <c r="E11463" s="32"/>
      <c r="F11463" s="32"/>
      <c r="G11463" s="33"/>
    </row>
    <row r="11464" ht="15.75" customHeight="1">
      <c r="A11464" s="29" t="s">
        <v>828</v>
      </c>
      <c r="B11464" s="27"/>
      <c r="C11464" s="27"/>
      <c r="D11464" s="26"/>
      <c r="E11464" s="28"/>
      <c r="F11464" s="28"/>
      <c r="G11464" s="29"/>
    </row>
    <row r="11465" ht="15.75" customHeight="1">
      <c r="A11465" s="33" t="s">
        <v>828</v>
      </c>
      <c r="B11465" s="31"/>
      <c r="C11465" s="31"/>
      <c r="D11465" s="30"/>
      <c r="E11465" s="32"/>
      <c r="F11465" s="32"/>
      <c r="G11465" s="33"/>
    </row>
    <row r="11466" ht="15.75" customHeight="1">
      <c r="A11466" s="29" t="s">
        <v>828</v>
      </c>
      <c r="B11466" s="27"/>
      <c r="C11466" s="27"/>
      <c r="D11466" s="26"/>
      <c r="E11466" s="28"/>
      <c r="F11466" s="28"/>
      <c r="G11466" s="29"/>
    </row>
    <row r="11467" ht="15.75" customHeight="1">
      <c r="A11467" s="33" t="s">
        <v>828</v>
      </c>
      <c r="B11467" s="31"/>
      <c r="C11467" s="31"/>
      <c r="D11467" s="30"/>
      <c r="E11467" s="32"/>
      <c r="F11467" s="32"/>
      <c r="G11467" s="33"/>
    </row>
    <row r="11468" ht="15.75" customHeight="1">
      <c r="A11468" s="29" t="s">
        <v>828</v>
      </c>
      <c r="B11468" s="27"/>
      <c r="C11468" s="27"/>
      <c r="D11468" s="26"/>
      <c r="E11468" s="28"/>
      <c r="F11468" s="28"/>
      <c r="G11468" s="29"/>
    </row>
    <row r="11469" ht="15.75" customHeight="1">
      <c r="A11469" s="33" t="s">
        <v>828</v>
      </c>
      <c r="B11469" s="31"/>
      <c r="C11469" s="31"/>
      <c r="D11469" s="30"/>
      <c r="E11469" s="32"/>
      <c r="F11469" s="32"/>
      <c r="G11469" s="33"/>
    </row>
    <row r="11470" ht="15.75" customHeight="1">
      <c r="A11470" s="29" t="s">
        <v>828</v>
      </c>
      <c r="B11470" s="27"/>
      <c r="C11470" s="27"/>
      <c r="D11470" s="26"/>
      <c r="E11470" s="28"/>
      <c r="F11470" s="28"/>
      <c r="G11470" s="29"/>
    </row>
    <row r="11471" ht="15.75" customHeight="1">
      <c r="A11471" s="33" t="s">
        <v>828</v>
      </c>
      <c r="B11471" s="31"/>
      <c r="C11471" s="31"/>
      <c r="D11471" s="30"/>
      <c r="E11471" s="32"/>
      <c r="F11471" s="32"/>
      <c r="G11471" s="33"/>
    </row>
    <row r="11472" ht="15.75" customHeight="1">
      <c r="A11472" s="29" t="s">
        <v>828</v>
      </c>
      <c r="B11472" s="27"/>
      <c r="C11472" s="27"/>
      <c r="D11472" s="26"/>
      <c r="E11472" s="28"/>
      <c r="F11472" s="28"/>
      <c r="G11472" s="29"/>
    </row>
    <row r="11473" ht="15.75" customHeight="1">
      <c r="A11473" s="33" t="s">
        <v>828</v>
      </c>
      <c r="B11473" s="31"/>
      <c r="C11473" s="31"/>
      <c r="D11473" s="30"/>
      <c r="E11473" s="32"/>
      <c r="F11473" s="32"/>
      <c r="G11473" s="33"/>
    </row>
    <row r="11474" ht="15.75" customHeight="1">
      <c r="A11474" s="29" t="s">
        <v>828</v>
      </c>
      <c r="B11474" s="27"/>
      <c r="C11474" s="27"/>
      <c r="D11474" s="26"/>
      <c r="E11474" s="28"/>
      <c r="F11474" s="28"/>
      <c r="G11474" s="29"/>
    </row>
    <row r="11475" ht="15.75" customHeight="1">
      <c r="A11475" s="33" t="s">
        <v>828</v>
      </c>
      <c r="B11475" s="31"/>
      <c r="C11475" s="31"/>
      <c r="D11475" s="30"/>
      <c r="E11475" s="32"/>
      <c r="F11475" s="32"/>
      <c r="G11475" s="33"/>
    </row>
    <row r="11476" ht="15.75" customHeight="1">
      <c r="A11476" s="29" t="s">
        <v>828</v>
      </c>
      <c r="B11476" s="27"/>
      <c r="C11476" s="27"/>
      <c r="D11476" s="26"/>
      <c r="E11476" s="28"/>
      <c r="F11476" s="28"/>
      <c r="G11476" s="29"/>
    </row>
    <row r="11477" ht="15.75" customHeight="1">
      <c r="A11477" s="33" t="s">
        <v>828</v>
      </c>
      <c r="B11477" s="31"/>
      <c r="C11477" s="31"/>
      <c r="D11477" s="30"/>
      <c r="E11477" s="32"/>
      <c r="F11477" s="32"/>
      <c r="G11477" s="33"/>
    </row>
    <row r="11478" ht="15.75" customHeight="1">
      <c r="A11478" s="29" t="s">
        <v>828</v>
      </c>
      <c r="B11478" s="27"/>
      <c r="C11478" s="27"/>
      <c r="D11478" s="26"/>
      <c r="E11478" s="28"/>
      <c r="F11478" s="28"/>
      <c r="G11478" s="29"/>
    </row>
    <row r="11479" ht="15.75" customHeight="1">
      <c r="A11479" s="33" t="s">
        <v>828</v>
      </c>
      <c r="B11479" s="31"/>
      <c r="C11479" s="31"/>
      <c r="D11479" s="30"/>
      <c r="E11479" s="32"/>
      <c r="F11479" s="32"/>
      <c r="G11479" s="33"/>
    </row>
    <row r="11480" ht="15.75" customHeight="1">
      <c r="A11480" s="29" t="s">
        <v>828</v>
      </c>
      <c r="B11480" s="27"/>
      <c r="C11480" s="27"/>
      <c r="D11480" s="26"/>
      <c r="E11480" s="28"/>
      <c r="F11480" s="28"/>
      <c r="G11480" s="29"/>
    </row>
    <row r="11481" ht="15.75" customHeight="1">
      <c r="A11481" s="33" t="s">
        <v>828</v>
      </c>
      <c r="B11481" s="31"/>
      <c r="C11481" s="31"/>
      <c r="D11481" s="30"/>
      <c r="E11481" s="32"/>
      <c r="F11481" s="32"/>
      <c r="G11481" s="33"/>
    </row>
    <row r="11482" ht="15.75" customHeight="1">
      <c r="A11482" s="29" t="s">
        <v>828</v>
      </c>
      <c r="B11482" s="27"/>
      <c r="C11482" s="27"/>
      <c r="D11482" s="26"/>
      <c r="E11482" s="28"/>
      <c r="F11482" s="28"/>
      <c r="G11482" s="29"/>
    </row>
    <row r="11483" ht="15.75" customHeight="1">
      <c r="A11483" s="33" t="s">
        <v>828</v>
      </c>
      <c r="B11483" s="31"/>
      <c r="C11483" s="31"/>
      <c r="D11483" s="30"/>
      <c r="E11483" s="32"/>
      <c r="F11483" s="32"/>
      <c r="G11483" s="33"/>
    </row>
    <row r="11484" ht="15.75" customHeight="1">
      <c r="A11484" s="29" t="s">
        <v>828</v>
      </c>
      <c r="B11484" s="27"/>
      <c r="C11484" s="27"/>
      <c r="D11484" s="26"/>
      <c r="E11484" s="28"/>
      <c r="F11484" s="28"/>
      <c r="G11484" s="29"/>
    </row>
    <row r="11485" ht="15.75" customHeight="1">
      <c r="A11485" s="33" t="s">
        <v>828</v>
      </c>
      <c r="B11485" s="31"/>
      <c r="C11485" s="31"/>
      <c r="D11485" s="30"/>
      <c r="E11485" s="32"/>
      <c r="F11485" s="32"/>
      <c r="G11485" s="33"/>
    </row>
    <row r="11486" ht="15.75" customHeight="1">
      <c r="A11486" s="29" t="s">
        <v>828</v>
      </c>
      <c r="B11486" s="27"/>
      <c r="C11486" s="27"/>
      <c r="D11486" s="26"/>
      <c r="E11486" s="28"/>
      <c r="F11486" s="28"/>
      <c r="G11486" s="29"/>
    </row>
    <row r="11487" ht="15.75" customHeight="1">
      <c r="A11487" s="33" t="s">
        <v>828</v>
      </c>
      <c r="B11487" s="31"/>
      <c r="C11487" s="31"/>
      <c r="D11487" s="30"/>
      <c r="E11487" s="32"/>
      <c r="F11487" s="32"/>
      <c r="G11487" s="33"/>
    </row>
    <row r="11488" ht="15.75" customHeight="1">
      <c r="A11488" s="29" t="s">
        <v>828</v>
      </c>
      <c r="B11488" s="27"/>
      <c r="C11488" s="27"/>
      <c r="D11488" s="26"/>
      <c r="E11488" s="28"/>
      <c r="F11488" s="28"/>
      <c r="G11488" s="29"/>
    </row>
    <row r="11489" ht="15.75" customHeight="1">
      <c r="A11489" s="33" t="s">
        <v>828</v>
      </c>
      <c r="B11489" s="31"/>
      <c r="C11489" s="31"/>
      <c r="D11489" s="30"/>
      <c r="E11489" s="32"/>
      <c r="F11489" s="32"/>
      <c r="G11489" s="33"/>
    </row>
    <row r="11490" ht="15.75" customHeight="1">
      <c r="A11490" s="29" t="s">
        <v>828</v>
      </c>
      <c r="B11490" s="27"/>
      <c r="C11490" s="27"/>
      <c r="D11490" s="26"/>
      <c r="E11490" s="28"/>
      <c r="F11490" s="28"/>
      <c r="G11490" s="29"/>
    </row>
    <row r="11491" ht="15.75" customHeight="1">
      <c r="A11491" s="33" t="s">
        <v>828</v>
      </c>
      <c r="B11491" s="31"/>
      <c r="C11491" s="31"/>
      <c r="D11491" s="30"/>
      <c r="E11491" s="32"/>
      <c r="F11491" s="32"/>
      <c r="G11491" s="33"/>
    </row>
    <row r="11492" ht="15.75" customHeight="1">
      <c r="A11492" s="29" t="s">
        <v>828</v>
      </c>
      <c r="B11492" s="27"/>
      <c r="C11492" s="27"/>
      <c r="D11492" s="26"/>
      <c r="E11492" s="28"/>
      <c r="F11492" s="28"/>
      <c r="G11492" s="29"/>
    </row>
    <row r="11493" ht="15.75" customHeight="1">
      <c r="A11493" s="33" t="s">
        <v>828</v>
      </c>
      <c r="B11493" s="31"/>
      <c r="C11493" s="31"/>
      <c r="D11493" s="30"/>
      <c r="E11493" s="32"/>
      <c r="F11493" s="32"/>
      <c r="G11493" s="33"/>
    </row>
    <row r="11494" ht="15.75" customHeight="1">
      <c r="A11494" s="29" t="s">
        <v>828</v>
      </c>
      <c r="B11494" s="27"/>
      <c r="C11494" s="27"/>
      <c r="D11494" s="26"/>
      <c r="E11494" s="28"/>
      <c r="F11494" s="28"/>
      <c r="G11494" s="29"/>
    </row>
    <row r="11495" ht="15.75" customHeight="1">
      <c r="A11495" s="33" t="s">
        <v>828</v>
      </c>
      <c r="B11495" s="31"/>
      <c r="C11495" s="31"/>
      <c r="D11495" s="30"/>
      <c r="E11495" s="32"/>
      <c r="F11495" s="32"/>
      <c r="G11495" s="33"/>
    </row>
    <row r="11496" ht="15.75" customHeight="1">
      <c r="A11496" s="29" t="s">
        <v>828</v>
      </c>
      <c r="B11496" s="27"/>
      <c r="C11496" s="27"/>
      <c r="D11496" s="26"/>
      <c r="E11496" s="28"/>
      <c r="F11496" s="28"/>
      <c r="G11496" s="29"/>
    </row>
    <row r="11497" ht="15.75" customHeight="1">
      <c r="A11497" s="33" t="s">
        <v>828</v>
      </c>
      <c r="B11497" s="31"/>
      <c r="C11497" s="31"/>
      <c r="D11497" s="30"/>
      <c r="E11497" s="32"/>
      <c r="F11497" s="32"/>
      <c r="G11497" s="33"/>
    </row>
    <row r="11498" ht="15.75" customHeight="1">
      <c r="A11498" s="29" t="s">
        <v>828</v>
      </c>
      <c r="B11498" s="27"/>
      <c r="C11498" s="27"/>
      <c r="D11498" s="26"/>
      <c r="E11498" s="28"/>
      <c r="F11498" s="28"/>
      <c r="G11498" s="29"/>
    </row>
    <row r="11499" ht="15.75" customHeight="1">
      <c r="A11499" s="33" t="s">
        <v>828</v>
      </c>
      <c r="B11499" s="31"/>
      <c r="C11499" s="31"/>
      <c r="D11499" s="30"/>
      <c r="E11499" s="32"/>
      <c r="F11499" s="32"/>
      <c r="G11499" s="33"/>
    </row>
    <row r="11500" ht="15.75" customHeight="1">
      <c r="A11500" s="29" t="s">
        <v>828</v>
      </c>
      <c r="B11500" s="27"/>
      <c r="C11500" s="27"/>
      <c r="D11500" s="26"/>
      <c r="E11500" s="28"/>
      <c r="F11500" s="28"/>
      <c r="G11500" s="29"/>
    </row>
    <row r="11501" ht="15.75" customHeight="1">
      <c r="A11501" s="33" t="s">
        <v>828</v>
      </c>
      <c r="B11501" s="31"/>
      <c r="C11501" s="31"/>
      <c r="D11501" s="30"/>
      <c r="E11501" s="32"/>
      <c r="F11501" s="32"/>
      <c r="G11501" s="33"/>
    </row>
    <row r="11502" ht="15.75" customHeight="1">
      <c r="A11502" s="29" t="s">
        <v>828</v>
      </c>
      <c r="B11502" s="27"/>
      <c r="C11502" s="27"/>
      <c r="D11502" s="26"/>
      <c r="E11502" s="28"/>
      <c r="F11502" s="28"/>
      <c r="G11502" s="29"/>
    </row>
    <row r="11503" ht="15.75" customHeight="1">
      <c r="A11503" s="33" t="s">
        <v>828</v>
      </c>
      <c r="B11503" s="31"/>
      <c r="C11503" s="31"/>
      <c r="D11503" s="30"/>
      <c r="E11503" s="32"/>
      <c r="F11503" s="32"/>
      <c r="G11503" s="33"/>
    </row>
    <row r="11504" ht="15.75" customHeight="1">
      <c r="A11504" s="29" t="s">
        <v>828</v>
      </c>
      <c r="B11504" s="27"/>
      <c r="C11504" s="27"/>
      <c r="D11504" s="26"/>
      <c r="E11504" s="28"/>
      <c r="F11504" s="28"/>
      <c r="G11504" s="29"/>
    </row>
    <row r="11505" ht="15.75" customHeight="1">
      <c r="A11505" s="33" t="s">
        <v>828</v>
      </c>
      <c r="B11505" s="31"/>
      <c r="C11505" s="31"/>
      <c r="D11505" s="30"/>
      <c r="E11505" s="32"/>
      <c r="F11505" s="32"/>
      <c r="G11505" s="33"/>
    </row>
    <row r="11506" ht="15.75" customHeight="1">
      <c r="A11506" s="29" t="s">
        <v>828</v>
      </c>
      <c r="B11506" s="27"/>
      <c r="C11506" s="27"/>
      <c r="D11506" s="26"/>
      <c r="E11506" s="28"/>
      <c r="F11506" s="28"/>
      <c r="G11506" s="29"/>
    </row>
    <row r="11507" ht="15.75" customHeight="1">
      <c r="A11507" s="33" t="s">
        <v>828</v>
      </c>
      <c r="B11507" s="31"/>
      <c r="C11507" s="31"/>
      <c r="D11507" s="30"/>
      <c r="E11507" s="32"/>
      <c r="F11507" s="32"/>
      <c r="G11507" s="33"/>
    </row>
    <row r="11508" ht="15.75" customHeight="1">
      <c r="A11508" s="29" t="s">
        <v>828</v>
      </c>
      <c r="B11508" s="27"/>
      <c r="C11508" s="27"/>
      <c r="D11508" s="26"/>
      <c r="E11508" s="28"/>
      <c r="F11508" s="28"/>
      <c r="G11508" s="29"/>
    </row>
    <row r="11509" ht="15.75" customHeight="1">
      <c r="A11509" s="33" t="s">
        <v>828</v>
      </c>
      <c r="B11509" s="31"/>
      <c r="C11509" s="31"/>
      <c r="D11509" s="30"/>
      <c r="E11509" s="32"/>
      <c r="F11509" s="32"/>
      <c r="G11509" s="33"/>
    </row>
    <row r="11510" ht="15.75" customHeight="1">
      <c r="A11510" s="29" t="s">
        <v>828</v>
      </c>
      <c r="B11510" s="27"/>
      <c r="C11510" s="27"/>
      <c r="D11510" s="26"/>
      <c r="E11510" s="28"/>
      <c r="F11510" s="28"/>
      <c r="G11510" s="29"/>
    </row>
    <row r="11511" ht="15.75" customHeight="1">
      <c r="A11511" s="33" t="s">
        <v>828</v>
      </c>
      <c r="B11511" s="31"/>
      <c r="C11511" s="31"/>
      <c r="D11511" s="30"/>
      <c r="E11511" s="32"/>
      <c r="F11511" s="32"/>
      <c r="G11511" s="33"/>
    </row>
    <row r="11512" ht="15.75" customHeight="1">
      <c r="A11512" s="29" t="s">
        <v>828</v>
      </c>
      <c r="B11512" s="27"/>
      <c r="C11512" s="27"/>
      <c r="D11512" s="26"/>
      <c r="E11512" s="28"/>
      <c r="F11512" s="28"/>
      <c r="G11512" s="29"/>
    </row>
    <row r="11513" ht="15.75" customHeight="1">
      <c r="A11513" s="33" t="s">
        <v>828</v>
      </c>
      <c r="B11513" s="31"/>
      <c r="C11513" s="31"/>
      <c r="D11513" s="30"/>
      <c r="E11513" s="32"/>
      <c r="F11513" s="32"/>
      <c r="G11513" s="33"/>
    </row>
    <row r="11514" ht="15.75" customHeight="1">
      <c r="A11514" s="29" t="s">
        <v>828</v>
      </c>
      <c r="B11514" s="27"/>
      <c r="C11514" s="27"/>
      <c r="D11514" s="26"/>
      <c r="E11514" s="28"/>
      <c r="F11514" s="28"/>
      <c r="G11514" s="29"/>
    </row>
    <row r="11515" ht="15.75" customHeight="1">
      <c r="A11515" s="33" t="s">
        <v>828</v>
      </c>
      <c r="B11515" s="31"/>
      <c r="C11515" s="31"/>
      <c r="D11515" s="30"/>
      <c r="E11515" s="32"/>
      <c r="F11515" s="32"/>
      <c r="G11515" s="33"/>
    </row>
    <row r="11516" ht="15.75" customHeight="1">
      <c r="A11516" s="29" t="s">
        <v>828</v>
      </c>
      <c r="B11516" s="27"/>
      <c r="C11516" s="27"/>
      <c r="D11516" s="26"/>
      <c r="E11516" s="28"/>
      <c r="F11516" s="28"/>
      <c r="G11516" s="29"/>
    </row>
    <row r="11517" ht="15.75" customHeight="1">
      <c r="A11517" s="33" t="s">
        <v>828</v>
      </c>
      <c r="B11517" s="31"/>
      <c r="C11517" s="31"/>
      <c r="D11517" s="30"/>
      <c r="E11517" s="32"/>
      <c r="F11517" s="32"/>
      <c r="G11517" s="33"/>
    </row>
    <row r="11518" ht="15.75" customHeight="1">
      <c r="A11518" s="29" t="s">
        <v>828</v>
      </c>
      <c r="B11518" s="27"/>
      <c r="C11518" s="27"/>
      <c r="D11518" s="26"/>
      <c r="E11518" s="28"/>
      <c r="F11518" s="28"/>
      <c r="G11518" s="29"/>
    </row>
    <row r="11519" ht="15.75" customHeight="1">
      <c r="A11519" s="33" t="s">
        <v>828</v>
      </c>
      <c r="B11519" s="31"/>
      <c r="C11519" s="31"/>
      <c r="D11519" s="30"/>
      <c r="E11519" s="32"/>
      <c r="F11519" s="32"/>
      <c r="G11519" s="33"/>
    </row>
    <row r="11520" ht="15.75" customHeight="1">
      <c r="A11520" s="29" t="s">
        <v>828</v>
      </c>
      <c r="B11520" s="27"/>
      <c r="C11520" s="27"/>
      <c r="D11520" s="26"/>
      <c r="E11520" s="28"/>
      <c r="F11520" s="28"/>
      <c r="G11520" s="29"/>
    </row>
    <row r="11521" ht="15.75" customHeight="1">
      <c r="A11521" s="33" t="s">
        <v>828</v>
      </c>
      <c r="B11521" s="31"/>
      <c r="C11521" s="31"/>
      <c r="D11521" s="30"/>
      <c r="E11521" s="32"/>
      <c r="F11521" s="32"/>
      <c r="G11521" s="33"/>
    </row>
    <row r="11522" ht="15.75" customHeight="1">
      <c r="A11522" s="29" t="s">
        <v>828</v>
      </c>
      <c r="B11522" s="27"/>
      <c r="C11522" s="27"/>
      <c r="D11522" s="26"/>
      <c r="E11522" s="28"/>
      <c r="F11522" s="28"/>
      <c r="G11522" s="29"/>
    </row>
    <row r="11523" ht="15.75" customHeight="1">
      <c r="A11523" s="33" t="s">
        <v>828</v>
      </c>
      <c r="B11523" s="31"/>
      <c r="C11523" s="31"/>
      <c r="D11523" s="30"/>
      <c r="E11523" s="32"/>
      <c r="F11523" s="32"/>
      <c r="G11523" s="33"/>
    </row>
    <row r="11524" ht="15.75" customHeight="1">
      <c r="A11524" s="29" t="s">
        <v>828</v>
      </c>
      <c r="B11524" s="27"/>
      <c r="C11524" s="27"/>
      <c r="D11524" s="26"/>
      <c r="E11524" s="28"/>
      <c r="F11524" s="28"/>
      <c r="G11524" s="29"/>
    </row>
    <row r="11525" ht="15.75" customHeight="1">
      <c r="A11525" s="33" t="s">
        <v>828</v>
      </c>
      <c r="B11525" s="31"/>
      <c r="C11525" s="31"/>
      <c r="D11525" s="30"/>
      <c r="E11525" s="32"/>
      <c r="F11525" s="32"/>
      <c r="G11525" s="33"/>
    </row>
    <row r="11526" ht="15.75" customHeight="1">
      <c r="A11526" s="29" t="s">
        <v>828</v>
      </c>
      <c r="B11526" s="27"/>
      <c r="C11526" s="27"/>
      <c r="D11526" s="26"/>
      <c r="E11526" s="28"/>
      <c r="F11526" s="28"/>
      <c r="G11526" s="29"/>
    </row>
    <row r="11527" ht="15.75" customHeight="1">
      <c r="A11527" s="33" t="s">
        <v>828</v>
      </c>
      <c r="B11527" s="31"/>
      <c r="C11527" s="31"/>
      <c r="D11527" s="30"/>
      <c r="E11527" s="32"/>
      <c r="F11527" s="32"/>
      <c r="G11527" s="33"/>
    </row>
    <row r="11528" ht="15.75" customHeight="1">
      <c r="A11528" s="29" t="s">
        <v>828</v>
      </c>
      <c r="B11528" s="27"/>
      <c r="C11528" s="27"/>
      <c r="D11528" s="26"/>
      <c r="E11528" s="28"/>
      <c r="F11528" s="28"/>
      <c r="G11528" s="29"/>
    </row>
    <row r="11529" ht="15.75" customHeight="1">
      <c r="A11529" s="33" t="s">
        <v>828</v>
      </c>
      <c r="B11529" s="31"/>
      <c r="C11529" s="31"/>
      <c r="D11529" s="30"/>
      <c r="E11529" s="32"/>
      <c r="F11529" s="32"/>
      <c r="G11529" s="33"/>
    </row>
    <row r="11530" ht="15.75" customHeight="1">
      <c r="A11530" s="29" t="s">
        <v>828</v>
      </c>
      <c r="B11530" s="27"/>
      <c r="C11530" s="27"/>
      <c r="D11530" s="26"/>
      <c r="E11530" s="28"/>
      <c r="F11530" s="28"/>
      <c r="G11530" s="29"/>
    </row>
    <row r="11531" ht="15.75" customHeight="1">
      <c r="A11531" s="33" t="s">
        <v>828</v>
      </c>
      <c r="B11531" s="31"/>
      <c r="C11531" s="31"/>
      <c r="D11531" s="30"/>
      <c r="E11531" s="32"/>
      <c r="F11531" s="32"/>
      <c r="G11531" s="33"/>
    </row>
    <row r="11532" ht="15.75" customHeight="1">
      <c r="A11532" s="29" t="s">
        <v>828</v>
      </c>
      <c r="B11532" s="27"/>
      <c r="C11532" s="27"/>
      <c r="D11532" s="26"/>
      <c r="E11532" s="28"/>
      <c r="F11532" s="28"/>
      <c r="G11532" s="29"/>
    </row>
    <row r="11533" ht="15.75" customHeight="1">
      <c r="A11533" s="33" t="s">
        <v>828</v>
      </c>
      <c r="B11533" s="31"/>
      <c r="C11533" s="31"/>
      <c r="D11533" s="30"/>
      <c r="E11533" s="32"/>
      <c r="F11533" s="32"/>
      <c r="G11533" s="33"/>
    </row>
    <row r="11534" ht="15.75" customHeight="1">
      <c r="A11534" s="29" t="s">
        <v>828</v>
      </c>
      <c r="B11534" s="27"/>
      <c r="C11534" s="27"/>
      <c r="D11534" s="26"/>
      <c r="E11534" s="28"/>
      <c r="F11534" s="28"/>
      <c r="G11534" s="29"/>
    </row>
    <row r="11535" ht="15.75" customHeight="1">
      <c r="A11535" s="33" t="s">
        <v>828</v>
      </c>
      <c r="B11535" s="31"/>
      <c r="C11535" s="31"/>
      <c r="D11535" s="30"/>
      <c r="E11535" s="32"/>
      <c r="F11535" s="32"/>
      <c r="G11535" s="33"/>
    </row>
    <row r="11536" ht="15.75" customHeight="1">
      <c r="A11536" s="29" t="s">
        <v>828</v>
      </c>
      <c r="B11536" s="27"/>
      <c r="C11536" s="27"/>
      <c r="D11536" s="26"/>
      <c r="E11536" s="28"/>
      <c r="F11536" s="28"/>
      <c r="G11536" s="29"/>
    </row>
    <row r="11537" ht="15.75" customHeight="1">
      <c r="A11537" s="33" t="s">
        <v>828</v>
      </c>
      <c r="B11537" s="31"/>
      <c r="C11537" s="31"/>
      <c r="D11537" s="30"/>
      <c r="E11537" s="32"/>
      <c r="F11537" s="32"/>
      <c r="G11537" s="33"/>
    </row>
    <row r="11538" ht="15.75" customHeight="1">
      <c r="A11538" s="29" t="s">
        <v>828</v>
      </c>
      <c r="B11538" s="27"/>
      <c r="C11538" s="27"/>
      <c r="D11538" s="26"/>
      <c r="E11538" s="28"/>
      <c r="F11538" s="28"/>
      <c r="G11538" s="29"/>
    </row>
    <row r="11539" ht="15.75" customHeight="1">
      <c r="A11539" s="33" t="s">
        <v>828</v>
      </c>
      <c r="B11539" s="31"/>
      <c r="C11539" s="31"/>
      <c r="D11539" s="30"/>
      <c r="E11539" s="32"/>
      <c r="F11539" s="32"/>
      <c r="G11539" s="33"/>
    </row>
    <row r="11540" ht="15.75" customHeight="1">
      <c r="A11540" s="29" t="s">
        <v>828</v>
      </c>
      <c r="B11540" s="27"/>
      <c r="C11540" s="27"/>
      <c r="D11540" s="26"/>
      <c r="E11540" s="28"/>
      <c r="F11540" s="28"/>
      <c r="G11540" s="29"/>
    </row>
    <row r="11541" ht="15.75" customHeight="1">
      <c r="A11541" s="33" t="s">
        <v>828</v>
      </c>
      <c r="B11541" s="31"/>
      <c r="C11541" s="31"/>
      <c r="D11541" s="30"/>
      <c r="E11541" s="32"/>
      <c r="F11541" s="32"/>
      <c r="G11541" s="33"/>
    </row>
    <row r="11542" ht="15.75" customHeight="1">
      <c r="A11542" s="29" t="s">
        <v>828</v>
      </c>
      <c r="B11542" s="27"/>
      <c r="C11542" s="27"/>
      <c r="D11542" s="26"/>
      <c r="E11542" s="28"/>
      <c r="F11542" s="28"/>
      <c r="G11542" s="29"/>
    </row>
    <row r="11543" ht="15.75" customHeight="1">
      <c r="A11543" s="33" t="s">
        <v>828</v>
      </c>
      <c r="B11543" s="31"/>
      <c r="C11543" s="31"/>
      <c r="D11543" s="30"/>
      <c r="E11543" s="32"/>
      <c r="F11543" s="32"/>
      <c r="G11543" s="33"/>
    </row>
    <row r="11544" ht="15.75" customHeight="1">
      <c r="A11544" s="29" t="s">
        <v>828</v>
      </c>
      <c r="B11544" s="27"/>
      <c r="C11544" s="27"/>
      <c r="D11544" s="26"/>
      <c r="E11544" s="28"/>
      <c r="F11544" s="28"/>
      <c r="G11544" s="29"/>
    </row>
    <row r="11545" ht="15.75" customHeight="1">
      <c r="A11545" s="33" t="s">
        <v>828</v>
      </c>
      <c r="B11545" s="31"/>
      <c r="C11545" s="31"/>
      <c r="D11545" s="30"/>
      <c r="E11545" s="32"/>
      <c r="F11545" s="32"/>
      <c r="G11545" s="33"/>
    </row>
    <row r="11546" ht="15.75" customHeight="1">
      <c r="A11546" s="29" t="s">
        <v>828</v>
      </c>
      <c r="B11546" s="27"/>
      <c r="C11546" s="27"/>
      <c r="D11546" s="26"/>
      <c r="E11546" s="28"/>
      <c r="F11546" s="28"/>
      <c r="G11546" s="29"/>
    </row>
    <row r="11547" ht="15.75" customHeight="1">
      <c r="A11547" s="33" t="s">
        <v>828</v>
      </c>
      <c r="B11547" s="31"/>
      <c r="C11547" s="31"/>
      <c r="D11547" s="30"/>
      <c r="E11547" s="32"/>
      <c r="F11547" s="32"/>
      <c r="G11547" s="33"/>
    </row>
    <row r="11548" ht="15.75" customHeight="1">
      <c r="A11548" s="29" t="s">
        <v>828</v>
      </c>
      <c r="B11548" s="27"/>
      <c r="C11548" s="27"/>
      <c r="D11548" s="26"/>
      <c r="E11548" s="28"/>
      <c r="F11548" s="28"/>
      <c r="G11548" s="29"/>
    </row>
    <row r="11549" ht="15.75" customHeight="1">
      <c r="A11549" s="33" t="s">
        <v>828</v>
      </c>
      <c r="B11549" s="31"/>
      <c r="C11549" s="31"/>
      <c r="D11549" s="30"/>
      <c r="E11549" s="32"/>
      <c r="F11549" s="32"/>
      <c r="G11549" s="33"/>
    </row>
    <row r="11550" ht="15.75" customHeight="1">
      <c r="A11550" s="29" t="s">
        <v>828</v>
      </c>
      <c r="B11550" s="27"/>
      <c r="C11550" s="27"/>
      <c r="D11550" s="26"/>
      <c r="E11550" s="28"/>
      <c r="F11550" s="28"/>
      <c r="G11550" s="29"/>
    </row>
    <row r="11551" ht="15.75" customHeight="1">
      <c r="A11551" s="33" t="s">
        <v>828</v>
      </c>
      <c r="B11551" s="31"/>
      <c r="C11551" s="31"/>
      <c r="D11551" s="30"/>
      <c r="E11551" s="32"/>
      <c r="F11551" s="32"/>
      <c r="G11551" s="33"/>
    </row>
    <row r="11552" ht="15.75" customHeight="1">
      <c r="A11552" s="29" t="s">
        <v>828</v>
      </c>
      <c r="B11552" s="27"/>
      <c r="C11552" s="27"/>
      <c r="D11552" s="26"/>
      <c r="E11552" s="28"/>
      <c r="F11552" s="28"/>
      <c r="G11552" s="29"/>
    </row>
    <row r="11553" ht="15.75" customHeight="1">
      <c r="A11553" s="33" t="s">
        <v>828</v>
      </c>
      <c r="B11553" s="31"/>
      <c r="C11553" s="31"/>
      <c r="D11553" s="30"/>
      <c r="E11553" s="32"/>
      <c r="F11553" s="32"/>
      <c r="G11553" s="33"/>
    </row>
    <row r="11554" ht="15.75" customHeight="1">
      <c r="A11554" s="29" t="s">
        <v>828</v>
      </c>
      <c r="B11554" s="27"/>
      <c r="C11554" s="27"/>
      <c r="D11554" s="26"/>
      <c r="E11554" s="28"/>
      <c r="F11554" s="28"/>
      <c r="G11554" s="29"/>
    </row>
    <row r="11555" ht="15.75" customHeight="1">
      <c r="A11555" s="33" t="s">
        <v>828</v>
      </c>
      <c r="B11555" s="31"/>
      <c r="C11555" s="31"/>
      <c r="D11555" s="30"/>
      <c r="E11555" s="32"/>
      <c r="F11555" s="32"/>
      <c r="G11555" s="33"/>
    </row>
    <row r="11556" ht="15.75" customHeight="1">
      <c r="A11556" s="29" t="s">
        <v>828</v>
      </c>
      <c r="B11556" s="27"/>
      <c r="C11556" s="27"/>
      <c r="D11556" s="26"/>
      <c r="E11556" s="28"/>
      <c r="F11556" s="28"/>
      <c r="G11556" s="29"/>
    </row>
    <row r="11557" ht="15.75" customHeight="1">
      <c r="A11557" s="33" t="s">
        <v>828</v>
      </c>
      <c r="B11557" s="31"/>
      <c r="C11557" s="31"/>
      <c r="D11557" s="30"/>
      <c r="E11557" s="32"/>
      <c r="F11557" s="32"/>
      <c r="G11557" s="33"/>
    </row>
    <row r="11558" ht="15.75" customHeight="1">
      <c r="A11558" s="29" t="s">
        <v>828</v>
      </c>
      <c r="B11558" s="27"/>
      <c r="C11558" s="27"/>
      <c r="D11558" s="26"/>
      <c r="E11558" s="28"/>
      <c r="F11558" s="28"/>
      <c r="G11558" s="29"/>
    </row>
    <row r="11559" ht="15.75" customHeight="1">
      <c r="A11559" s="33" t="s">
        <v>828</v>
      </c>
      <c r="B11559" s="31"/>
      <c r="C11559" s="31"/>
      <c r="D11559" s="30"/>
      <c r="E11559" s="32"/>
      <c r="F11559" s="32"/>
      <c r="G11559" s="33"/>
    </row>
    <row r="11560" ht="15.75" customHeight="1">
      <c r="A11560" s="29" t="s">
        <v>828</v>
      </c>
      <c r="B11560" s="27"/>
      <c r="C11560" s="27"/>
      <c r="D11560" s="26"/>
      <c r="E11560" s="28"/>
      <c r="F11560" s="28"/>
      <c r="G11560" s="29"/>
    </row>
    <row r="11561" ht="15.75" customHeight="1">
      <c r="A11561" s="33" t="s">
        <v>828</v>
      </c>
      <c r="B11561" s="31"/>
      <c r="C11561" s="31"/>
      <c r="D11561" s="30"/>
      <c r="E11561" s="32"/>
      <c r="F11561" s="32"/>
      <c r="G11561" s="33"/>
    </row>
    <row r="11562" ht="15.75" customHeight="1">
      <c r="A11562" s="29" t="s">
        <v>828</v>
      </c>
      <c r="B11562" s="27"/>
      <c r="C11562" s="27"/>
      <c r="D11562" s="26"/>
      <c r="E11562" s="28"/>
      <c r="F11562" s="28"/>
      <c r="G11562" s="29"/>
    </row>
    <row r="11563" ht="15.75" customHeight="1">
      <c r="A11563" s="33" t="s">
        <v>828</v>
      </c>
      <c r="B11563" s="31"/>
      <c r="C11563" s="31"/>
      <c r="D11563" s="30"/>
      <c r="E11563" s="32"/>
      <c r="F11563" s="32"/>
      <c r="G11563" s="33"/>
    </row>
    <row r="11564" ht="15.75" customHeight="1">
      <c r="A11564" s="29" t="s">
        <v>828</v>
      </c>
      <c r="B11564" s="27"/>
      <c r="C11564" s="27"/>
      <c r="D11564" s="26"/>
      <c r="E11564" s="28"/>
      <c r="F11564" s="28"/>
      <c r="G11564" s="29"/>
    </row>
    <row r="11565" ht="15.75" customHeight="1">
      <c r="A11565" s="33" t="s">
        <v>828</v>
      </c>
      <c r="B11565" s="31"/>
      <c r="C11565" s="31"/>
      <c r="D11565" s="30"/>
      <c r="E11565" s="32"/>
      <c r="F11565" s="32"/>
      <c r="G11565" s="33"/>
    </row>
    <row r="11566" ht="15.75" customHeight="1">
      <c r="A11566" s="29" t="s">
        <v>828</v>
      </c>
      <c r="B11566" s="27"/>
      <c r="C11566" s="27"/>
      <c r="D11566" s="26"/>
      <c r="E11566" s="28"/>
      <c r="F11566" s="28"/>
      <c r="G11566" s="29"/>
    </row>
    <row r="11567" ht="15.75" customHeight="1">
      <c r="A11567" s="33" t="s">
        <v>828</v>
      </c>
      <c r="B11567" s="31"/>
      <c r="C11567" s="31"/>
      <c r="D11567" s="30"/>
      <c r="E11567" s="32"/>
      <c r="F11567" s="32"/>
      <c r="G11567" s="33"/>
    </row>
    <row r="11568" ht="15.75" customHeight="1">
      <c r="A11568" s="29" t="s">
        <v>828</v>
      </c>
      <c r="B11568" s="27"/>
      <c r="C11568" s="27"/>
      <c r="D11568" s="26"/>
      <c r="E11568" s="28"/>
      <c r="F11568" s="28"/>
      <c r="G11568" s="29"/>
    </row>
    <row r="11569" ht="15.75" customHeight="1">
      <c r="A11569" s="33" t="s">
        <v>828</v>
      </c>
      <c r="B11569" s="31"/>
      <c r="C11569" s="31"/>
      <c r="D11569" s="30"/>
      <c r="E11569" s="32"/>
      <c r="F11569" s="32"/>
      <c r="G11569" s="33"/>
    </row>
    <row r="11570" ht="15.75" customHeight="1">
      <c r="A11570" s="29" t="s">
        <v>828</v>
      </c>
      <c r="B11570" s="27"/>
      <c r="C11570" s="27"/>
      <c r="D11570" s="26"/>
      <c r="E11570" s="28"/>
      <c r="F11570" s="28"/>
      <c r="G11570" s="29"/>
    </row>
    <row r="11571" ht="15.75" customHeight="1">
      <c r="A11571" s="33" t="s">
        <v>828</v>
      </c>
      <c r="B11571" s="31"/>
      <c r="C11571" s="31"/>
      <c r="D11571" s="30"/>
      <c r="E11571" s="32"/>
      <c r="F11571" s="32"/>
      <c r="G11571" s="33"/>
    </row>
    <row r="11572" ht="15.75" customHeight="1">
      <c r="A11572" s="29" t="s">
        <v>828</v>
      </c>
      <c r="B11572" s="27"/>
      <c r="C11572" s="27"/>
      <c r="D11572" s="26"/>
      <c r="E11572" s="28"/>
      <c r="F11572" s="28"/>
      <c r="G11572" s="29"/>
    </row>
    <row r="11573" ht="15.75" customHeight="1">
      <c r="A11573" s="33" t="s">
        <v>828</v>
      </c>
      <c r="B11573" s="31"/>
      <c r="C11573" s="31"/>
      <c r="D11573" s="30"/>
      <c r="E11573" s="32"/>
      <c r="F11573" s="32"/>
      <c r="G11573" s="33"/>
    </row>
    <row r="11574" ht="15.75" customHeight="1">
      <c r="A11574" s="29" t="s">
        <v>828</v>
      </c>
      <c r="B11574" s="27"/>
      <c r="C11574" s="27"/>
      <c r="D11574" s="26"/>
      <c r="E11574" s="28"/>
      <c r="F11574" s="28"/>
      <c r="G11574" s="29"/>
    </row>
    <row r="11575" ht="15.75" customHeight="1">
      <c r="A11575" s="33" t="s">
        <v>828</v>
      </c>
      <c r="B11575" s="31"/>
      <c r="C11575" s="31"/>
      <c r="D11575" s="30"/>
      <c r="E11575" s="32"/>
      <c r="F11575" s="32"/>
      <c r="G11575" s="33"/>
    </row>
    <row r="11576" ht="15.75" customHeight="1">
      <c r="A11576" s="29" t="s">
        <v>828</v>
      </c>
      <c r="B11576" s="27"/>
      <c r="C11576" s="27"/>
      <c r="D11576" s="26"/>
      <c r="E11576" s="28"/>
      <c r="F11576" s="28"/>
      <c r="G11576" s="29"/>
    </row>
    <row r="11577" ht="15.75" customHeight="1">
      <c r="A11577" s="33" t="s">
        <v>828</v>
      </c>
      <c r="B11577" s="31"/>
      <c r="C11577" s="31"/>
      <c r="D11577" s="30"/>
      <c r="E11577" s="32"/>
      <c r="F11577" s="32"/>
      <c r="G11577" s="33"/>
    </row>
    <row r="11578" ht="15.75" customHeight="1">
      <c r="A11578" s="29" t="s">
        <v>828</v>
      </c>
      <c r="B11578" s="27"/>
      <c r="C11578" s="27"/>
      <c r="D11578" s="26"/>
      <c r="E11578" s="28"/>
      <c r="F11578" s="28"/>
      <c r="G11578" s="29"/>
    </row>
    <row r="11579" ht="15.75" customHeight="1">
      <c r="A11579" s="33" t="s">
        <v>828</v>
      </c>
      <c r="B11579" s="31"/>
      <c r="C11579" s="31"/>
      <c r="D11579" s="30"/>
      <c r="E11579" s="32"/>
      <c r="F11579" s="32"/>
      <c r="G11579" s="33"/>
    </row>
    <row r="11580" ht="15.75" customHeight="1">
      <c r="A11580" s="29" t="s">
        <v>828</v>
      </c>
      <c r="B11580" s="27"/>
      <c r="C11580" s="27"/>
      <c r="D11580" s="26"/>
      <c r="E11580" s="28"/>
      <c r="F11580" s="28"/>
      <c r="G11580" s="29"/>
    </row>
    <row r="11581" ht="15.75" customHeight="1">
      <c r="A11581" s="33" t="s">
        <v>828</v>
      </c>
      <c r="B11581" s="31"/>
      <c r="C11581" s="31"/>
      <c r="D11581" s="30"/>
      <c r="E11581" s="32"/>
      <c r="F11581" s="32"/>
      <c r="G11581" s="33"/>
    </row>
    <row r="11582" ht="15.75" customHeight="1">
      <c r="A11582" s="29" t="s">
        <v>828</v>
      </c>
      <c r="B11582" s="27"/>
      <c r="C11582" s="27"/>
      <c r="D11582" s="26"/>
      <c r="E11582" s="28"/>
      <c r="F11582" s="28"/>
      <c r="G11582" s="29"/>
    </row>
    <row r="11583" ht="15.75" customHeight="1">
      <c r="A11583" s="33" t="s">
        <v>828</v>
      </c>
      <c r="B11583" s="31"/>
      <c r="C11583" s="31"/>
      <c r="D11583" s="30"/>
      <c r="E11583" s="32"/>
      <c r="F11583" s="32"/>
      <c r="G11583" s="33"/>
    </row>
    <row r="11584" ht="15.75" customHeight="1">
      <c r="A11584" s="29" t="s">
        <v>828</v>
      </c>
      <c r="B11584" s="27"/>
      <c r="C11584" s="27"/>
      <c r="D11584" s="26"/>
      <c r="E11584" s="28"/>
      <c r="F11584" s="28"/>
      <c r="G11584" s="29"/>
    </row>
    <row r="11585" ht="15.75" customHeight="1">
      <c r="A11585" s="33" t="s">
        <v>828</v>
      </c>
      <c r="B11585" s="31"/>
      <c r="C11585" s="31"/>
      <c r="D11585" s="30"/>
      <c r="E11585" s="32"/>
      <c r="F11585" s="32"/>
      <c r="G11585" s="33"/>
    </row>
    <row r="11586" ht="15.75" customHeight="1">
      <c r="A11586" s="29" t="s">
        <v>828</v>
      </c>
      <c r="B11586" s="27"/>
      <c r="C11586" s="27"/>
      <c r="D11586" s="26"/>
      <c r="E11586" s="28"/>
      <c r="F11586" s="28"/>
      <c r="G11586" s="29"/>
    </row>
    <row r="11587" ht="15.75" customHeight="1">
      <c r="A11587" s="33" t="s">
        <v>828</v>
      </c>
      <c r="B11587" s="31"/>
      <c r="C11587" s="31"/>
      <c r="D11587" s="30"/>
      <c r="E11587" s="32"/>
      <c r="F11587" s="32"/>
      <c r="G11587" s="33"/>
    </row>
    <row r="11588" ht="15.75" customHeight="1">
      <c r="A11588" s="29" t="s">
        <v>828</v>
      </c>
      <c r="B11588" s="27"/>
      <c r="C11588" s="27"/>
      <c r="D11588" s="26"/>
      <c r="E11588" s="28"/>
      <c r="F11588" s="28"/>
      <c r="G11588" s="29"/>
    </row>
    <row r="11589" ht="15.75" customHeight="1">
      <c r="A11589" s="33" t="s">
        <v>828</v>
      </c>
      <c r="B11589" s="31"/>
      <c r="C11589" s="31"/>
      <c r="D11589" s="30"/>
      <c r="E11589" s="32"/>
      <c r="F11589" s="32"/>
      <c r="G11589" s="33"/>
    </row>
    <row r="11590" ht="15.75" customHeight="1">
      <c r="A11590" s="29" t="s">
        <v>828</v>
      </c>
      <c r="B11590" s="27"/>
      <c r="C11590" s="27"/>
      <c r="D11590" s="26"/>
      <c r="E11590" s="28"/>
      <c r="F11590" s="28"/>
      <c r="G11590" s="29"/>
    </row>
    <row r="11591" ht="15.75" customHeight="1">
      <c r="A11591" s="33" t="s">
        <v>828</v>
      </c>
      <c r="B11591" s="31"/>
      <c r="C11591" s="31"/>
      <c r="D11591" s="30"/>
      <c r="E11591" s="32"/>
      <c r="F11591" s="32"/>
      <c r="G11591" s="33"/>
    </row>
    <row r="11592" ht="15.75" customHeight="1">
      <c r="A11592" s="29" t="s">
        <v>828</v>
      </c>
      <c r="B11592" s="27"/>
      <c r="C11592" s="27"/>
      <c r="D11592" s="26"/>
      <c r="E11592" s="28"/>
      <c r="F11592" s="28"/>
      <c r="G11592" s="29"/>
    </row>
    <row r="11593" ht="15.75" customHeight="1">
      <c r="A11593" s="33" t="s">
        <v>828</v>
      </c>
      <c r="B11593" s="31"/>
      <c r="C11593" s="31"/>
      <c r="D11593" s="30"/>
      <c r="E11593" s="32"/>
      <c r="F11593" s="32"/>
      <c r="G11593" s="33"/>
    </row>
    <row r="11594" ht="15.75" customHeight="1">
      <c r="A11594" s="29" t="s">
        <v>828</v>
      </c>
      <c r="B11594" s="27"/>
      <c r="C11594" s="27"/>
      <c r="D11594" s="26"/>
      <c r="E11594" s="28"/>
      <c r="F11594" s="28"/>
      <c r="G11594" s="29"/>
    </row>
    <row r="11595" ht="15.75" customHeight="1">
      <c r="A11595" s="33" t="s">
        <v>828</v>
      </c>
      <c r="B11595" s="31"/>
      <c r="C11595" s="31"/>
      <c r="D11595" s="30"/>
      <c r="E11595" s="32"/>
      <c r="F11595" s="32"/>
      <c r="G11595" s="33"/>
    </row>
    <row r="11596" ht="15.75" customHeight="1">
      <c r="A11596" s="29" t="s">
        <v>828</v>
      </c>
      <c r="B11596" s="27"/>
      <c r="C11596" s="27"/>
      <c r="D11596" s="26"/>
      <c r="E11596" s="28"/>
      <c r="F11596" s="28"/>
      <c r="G11596" s="29"/>
    </row>
    <row r="11597" ht="15.75" customHeight="1">
      <c r="A11597" s="33" t="s">
        <v>828</v>
      </c>
      <c r="B11597" s="31"/>
      <c r="C11597" s="31"/>
      <c r="D11597" s="30"/>
      <c r="E11597" s="32"/>
      <c r="F11597" s="32"/>
      <c r="G11597" s="33"/>
    </row>
    <row r="11598" ht="15.75" customHeight="1">
      <c r="A11598" s="29" t="s">
        <v>828</v>
      </c>
      <c r="B11598" s="27"/>
      <c r="C11598" s="27"/>
      <c r="D11598" s="26"/>
      <c r="E11598" s="28"/>
      <c r="F11598" s="28"/>
      <c r="G11598" s="29"/>
    </row>
    <row r="11599" ht="15.75" customHeight="1">
      <c r="A11599" s="33" t="s">
        <v>828</v>
      </c>
      <c r="B11599" s="31"/>
      <c r="C11599" s="31"/>
      <c r="D11599" s="30"/>
      <c r="E11599" s="32"/>
      <c r="F11599" s="32"/>
      <c r="G11599" s="33"/>
    </row>
    <row r="11600" ht="15.75" customHeight="1">
      <c r="A11600" s="29" t="s">
        <v>828</v>
      </c>
      <c r="B11600" s="27"/>
      <c r="C11600" s="27"/>
      <c r="D11600" s="26"/>
      <c r="E11600" s="28"/>
      <c r="F11600" s="28"/>
      <c r="G11600" s="29"/>
    </row>
    <row r="11601" ht="15.75" customHeight="1">
      <c r="A11601" s="33" t="s">
        <v>828</v>
      </c>
      <c r="B11601" s="31"/>
      <c r="C11601" s="31"/>
      <c r="D11601" s="30"/>
      <c r="E11601" s="32"/>
      <c r="F11601" s="32"/>
      <c r="G11601" s="33"/>
    </row>
    <row r="11602" ht="15.75" customHeight="1">
      <c r="A11602" s="29" t="s">
        <v>828</v>
      </c>
      <c r="B11602" s="27"/>
      <c r="C11602" s="27"/>
      <c r="D11602" s="26"/>
      <c r="E11602" s="28"/>
      <c r="F11602" s="28"/>
      <c r="G11602" s="29"/>
    </row>
    <row r="11603" ht="15.75" customHeight="1">
      <c r="A11603" s="33" t="s">
        <v>828</v>
      </c>
      <c r="B11603" s="31"/>
      <c r="C11603" s="31"/>
      <c r="D11603" s="30"/>
      <c r="E11603" s="32"/>
      <c r="F11603" s="32"/>
      <c r="G11603" s="33"/>
    </row>
    <row r="11604" ht="15.75" customHeight="1">
      <c r="A11604" s="29" t="s">
        <v>828</v>
      </c>
      <c r="B11604" s="27"/>
      <c r="C11604" s="27"/>
      <c r="D11604" s="26"/>
      <c r="E11604" s="28"/>
      <c r="F11604" s="28"/>
      <c r="G11604" s="29"/>
    </row>
    <row r="11605" ht="15.75" customHeight="1">
      <c r="A11605" s="33" t="s">
        <v>828</v>
      </c>
      <c r="B11605" s="31"/>
      <c r="C11605" s="31"/>
      <c r="D11605" s="30"/>
      <c r="E11605" s="32"/>
      <c r="F11605" s="32"/>
      <c r="G11605" s="33"/>
    </row>
    <row r="11606" ht="15.75" customHeight="1">
      <c r="A11606" s="29" t="s">
        <v>828</v>
      </c>
      <c r="B11606" s="27"/>
      <c r="C11606" s="27"/>
      <c r="D11606" s="26"/>
      <c r="E11606" s="28"/>
      <c r="F11606" s="28"/>
      <c r="G11606" s="29"/>
    </row>
    <row r="11607" ht="15.75" customHeight="1">
      <c r="A11607" s="33" t="s">
        <v>828</v>
      </c>
      <c r="B11607" s="31"/>
      <c r="C11607" s="31"/>
      <c r="D11607" s="30"/>
      <c r="E11607" s="32"/>
      <c r="F11607" s="32"/>
      <c r="G11607" s="33"/>
    </row>
    <row r="11608" ht="15.75" customHeight="1">
      <c r="A11608" s="29" t="s">
        <v>828</v>
      </c>
      <c r="B11608" s="27"/>
      <c r="C11608" s="27"/>
      <c r="D11608" s="26"/>
      <c r="E11608" s="28"/>
      <c r="F11608" s="28"/>
      <c r="G11608" s="29"/>
    </row>
    <row r="11609" ht="15.75" customHeight="1">
      <c r="A11609" s="33" t="s">
        <v>828</v>
      </c>
      <c r="B11609" s="31"/>
      <c r="C11609" s="31"/>
      <c r="D11609" s="30"/>
      <c r="E11609" s="32"/>
      <c r="F11609" s="32"/>
      <c r="G11609" s="33"/>
    </row>
    <row r="11610" ht="15.75" customHeight="1">
      <c r="A11610" s="29" t="s">
        <v>828</v>
      </c>
      <c r="B11610" s="27"/>
      <c r="C11610" s="27"/>
      <c r="D11610" s="26"/>
      <c r="E11610" s="28"/>
      <c r="F11610" s="28"/>
      <c r="G11610" s="29"/>
    </row>
    <row r="11611" ht="15.75" customHeight="1">
      <c r="A11611" s="33" t="s">
        <v>828</v>
      </c>
      <c r="B11611" s="31"/>
      <c r="C11611" s="31"/>
      <c r="D11611" s="30"/>
      <c r="E11611" s="32"/>
      <c r="F11611" s="32"/>
      <c r="G11611" s="33"/>
    </row>
    <row r="11612" ht="15.75" customHeight="1">
      <c r="A11612" s="29" t="s">
        <v>828</v>
      </c>
      <c r="B11612" s="27"/>
      <c r="C11612" s="27"/>
      <c r="D11612" s="26"/>
      <c r="E11612" s="28"/>
      <c r="F11612" s="28"/>
      <c r="G11612" s="29"/>
    </row>
    <row r="11613" ht="15.75" customHeight="1">
      <c r="A11613" s="33" t="s">
        <v>828</v>
      </c>
      <c r="B11613" s="31"/>
      <c r="C11613" s="31"/>
      <c r="D11613" s="30"/>
      <c r="E11613" s="32"/>
      <c r="F11613" s="32"/>
      <c r="G11613" s="33"/>
    </row>
    <row r="11614" ht="15.75" customHeight="1">
      <c r="A11614" s="29" t="s">
        <v>828</v>
      </c>
      <c r="B11614" s="27"/>
      <c r="C11614" s="27"/>
      <c r="D11614" s="26"/>
      <c r="E11614" s="28"/>
      <c r="F11614" s="28"/>
      <c r="G11614" s="29"/>
    </row>
    <row r="11615" ht="15.75" customHeight="1">
      <c r="A11615" s="33" t="s">
        <v>828</v>
      </c>
      <c r="B11615" s="31"/>
      <c r="C11615" s="31"/>
      <c r="D11615" s="30"/>
      <c r="E11615" s="32"/>
      <c r="F11615" s="32"/>
      <c r="G11615" s="33"/>
    </row>
    <row r="11616" ht="15.75" customHeight="1">
      <c r="A11616" s="29" t="s">
        <v>828</v>
      </c>
      <c r="B11616" s="27"/>
      <c r="C11616" s="27"/>
      <c r="D11616" s="26"/>
      <c r="E11616" s="28"/>
      <c r="F11616" s="28"/>
      <c r="G11616" s="29"/>
    </row>
    <row r="11617" ht="15.75" customHeight="1">
      <c r="A11617" s="33" t="s">
        <v>828</v>
      </c>
      <c r="B11617" s="31"/>
      <c r="C11617" s="31"/>
      <c r="D11617" s="30"/>
      <c r="E11617" s="32"/>
      <c r="F11617" s="32"/>
      <c r="G11617" s="33"/>
    </row>
    <row r="11618" ht="15.75" customHeight="1">
      <c r="A11618" s="29" t="s">
        <v>828</v>
      </c>
      <c r="B11618" s="27"/>
      <c r="C11618" s="27"/>
      <c r="D11618" s="26"/>
      <c r="E11618" s="28"/>
      <c r="F11618" s="28"/>
      <c r="G11618" s="29"/>
    </row>
  </sheetData>
  <autoFilter ref="$A$1:$G$10618">
    <sortState ref="A1:G10618">
      <sortCondition ref="B1:B10618"/>
      <sortCondition ref="A1:A10618"/>
      <sortCondition ref="C1:C10618"/>
      <sortCondition ref="D1:D10618"/>
    </sortState>
  </autoFilter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8.0"/>
    <col customWidth="1" min="3" max="3" width="45.0"/>
    <col customWidth="1" min="4" max="4" width="10.0"/>
    <col customWidth="1" min="5" max="5" width="8.0"/>
    <col customWidth="1" min="6" max="6" width="28.0"/>
    <col customWidth="1" min="7" max="25" width="8.71"/>
  </cols>
  <sheetData>
    <row r="1">
      <c r="A1" s="44" t="s">
        <v>14296</v>
      </c>
      <c r="L1" s="4" t="str">
        <f>IFERROR(__xludf.DUMMYFUNCTION("SORT(UNIQUE(FILTER('배부로그'!C2:C1667,'배부로그'!C2:C1667&lt;&gt;"""",'배부로그'!L2:L1667=""배부"")))"),"(5)강연웅2804")</f>
        <v>(5)강연웅2804</v>
      </c>
    </row>
    <row r="2">
      <c r="A2" s="45"/>
      <c r="J2" s="4"/>
      <c r="L2" s="4" t="str">
        <f>IFERROR(__xludf.DUMMYFUNCTION("""COMPUTED_VALUE"""),"(5)강유찬8685")</f>
        <v>(5)강유찬8685</v>
      </c>
    </row>
    <row r="3">
      <c r="A3" s="45" t="s">
        <v>60</v>
      </c>
      <c r="B3" s="3" t="s">
        <v>1121</v>
      </c>
      <c r="C3" s="4" t="s">
        <v>14297</v>
      </c>
      <c r="J3" s="4"/>
      <c r="L3" s="4" t="str">
        <f>IFERROR(__xludf.DUMMYFUNCTION("""COMPUTED_VALUE"""),"(5)고강민8799")</f>
        <v>(5)고강민8799</v>
      </c>
    </row>
    <row r="4">
      <c r="A4" s="45" t="s">
        <v>14298</v>
      </c>
      <c r="B4" s="12">
        <v>46125.0</v>
      </c>
      <c r="C4" s="4" t="s">
        <v>14299</v>
      </c>
      <c r="J4" s="4"/>
      <c r="L4" s="4" t="str">
        <f>IFERROR(__xludf.DUMMYFUNCTION("""COMPUTED_VALUE"""),"(5)김준수3824")</f>
        <v>(5)김준수3824</v>
      </c>
    </row>
    <row r="5">
      <c r="A5" s="45"/>
      <c r="J5" s="4"/>
      <c r="L5" s="4" t="str">
        <f>IFERROR(__xludf.DUMMYFUNCTION("""COMPUTED_VALUE"""),"(5)김진혁7053")</f>
        <v>(5)김진혁7053</v>
      </c>
    </row>
    <row r="6">
      <c r="A6" s="46" t="s">
        <v>830</v>
      </c>
      <c r="B6" s="2" t="s">
        <v>59</v>
      </c>
      <c r="C6" s="47" t="s">
        <v>831</v>
      </c>
      <c r="D6" s="2" t="s">
        <v>2099</v>
      </c>
      <c r="E6" s="2" t="s">
        <v>978</v>
      </c>
      <c r="F6" s="2" t="s">
        <v>14300</v>
      </c>
      <c r="J6" s="4"/>
      <c r="L6" s="4" t="str">
        <f>IFERROR(__xludf.DUMMYFUNCTION("""COMPUTED_VALUE"""),"(5)문혁기2222")</f>
        <v>(5)문혁기2222</v>
      </c>
    </row>
    <row r="7">
      <c r="A7" s="3" t="str">
        <f>IFERROR(__xludf.DUMMYFUNCTION("IF(
  OR($B$3="""",$B$4=""""),
  ""해당 내역 없음"",
  IFERROR(
    FILTER(
      {
        TEXT('배부로그'!B2:B1667,""yyyy-mm-dd""),
        '배부로그'!D2:D1667,
        '배부로그'!F2:F1667,
        '배부로그'!E2:E1667,
        '배부로그'!G2:G1667,
        IF(
          ('배부로그'!H"&amp;"2:H1667=""Y"")+('배부로그'!H2:H1667=TRUE),
          IF(
            '배부로그'!I2:I1667&lt;&gt;"""",
            '배부로그'!I2:I1667 &amp; IF('배부로그'!J2:J1667&lt;&gt;"""","" / ""&amp;'배부로그'!J2:J1667,""""),
            '배부로그'!J2:J1667
          ),
          """"
        )
      },
      "&amp;"TRIM('배부로그'!C2:C1667)=TRIM($B$3),
      INT('배부로그'!B2:B1667)&lt;=INT($B$4)
    ),
    ""해당 내역 없음""
  )
)"),"2026-04-02")</f>
        <v>2026-04-02</v>
      </c>
      <c r="B7" s="4" t="str">
        <f>IFERROR(__xludf.DUMMYFUNCTION("""COMPUTED_VALUE"""),"수매깨 김지유 테스트")</f>
        <v>수매깨 김지유 테스트</v>
      </c>
      <c r="C7" s="4" t="str">
        <f>IFERROR(__xludf.DUMMYFUNCTION("""COMPUTED_VALUE"""),"창고")</f>
        <v>창고</v>
      </c>
      <c r="D7" s="4" t="str">
        <f>IFERROR(__xludf.DUMMYFUNCTION("""COMPUTED_VALUE"""),"일괄")</f>
        <v>일괄</v>
      </c>
      <c r="E7" s="4">
        <f>IFERROR(__xludf.DUMMYFUNCTION("""COMPUTED_VALUE"""),1.0)</f>
        <v>1</v>
      </c>
      <c r="F7" s="4" t="str">
        <f>IFERROR(__xludf.DUMMYFUNCTION("""COMPUTED_VALUE"""),"")</f>
        <v/>
      </c>
      <c r="J7" s="4"/>
      <c r="L7" s="4" t="str">
        <f>IFERROR(__xludf.DUMMYFUNCTION("""COMPUTED_VALUE"""),"(5)박건영5869")</f>
        <v>(5)박건영5869</v>
      </c>
    </row>
    <row r="8">
      <c r="A8" s="45" t="str">
        <f>IFERROR(__xludf.DUMMYFUNCTION("""COMPUTED_VALUE"""),"2026-04-07")</f>
        <v>2026-04-07</v>
      </c>
      <c r="B8" s="4" t="str">
        <f>IFERROR(__xludf.DUMMYFUNCTION("""COMPUTED_VALUE"""),"TEST 교재1")</f>
        <v>TEST 교재1</v>
      </c>
      <c r="C8" s="4" t="str">
        <f>IFERROR(__xludf.DUMMYFUNCTION("""COMPUTED_VALUE"""),"창고")</f>
        <v>창고</v>
      </c>
      <c r="D8" s="4" t="str">
        <f>IFERROR(__xludf.DUMMYFUNCTION("""COMPUTED_VALUE"""),"일괄")</f>
        <v>일괄</v>
      </c>
      <c r="E8" s="4">
        <f>IFERROR(__xludf.DUMMYFUNCTION("""COMPUTED_VALUE"""),1.0)</f>
        <v>1</v>
      </c>
      <c r="F8" s="4" t="str">
        <f>IFERROR(__xludf.DUMMYFUNCTION("""COMPUTED_VALUE"""),"")</f>
        <v/>
      </c>
      <c r="J8" s="4"/>
      <c r="L8" s="4" t="str">
        <f>IFERROR(__xludf.DUMMYFUNCTION("""COMPUTED_VALUE"""),"(5)박경동8420")</f>
        <v>(5)박경동8420</v>
      </c>
    </row>
    <row r="9">
      <c r="A9" s="45" t="str">
        <f>IFERROR(__xludf.DUMMYFUNCTION("""COMPUTED_VALUE"""),"2026-04-09")</f>
        <v>2026-04-09</v>
      </c>
      <c r="B9" s="4" t="str">
        <f>IFERROR(__xludf.DUMMYFUNCTION("""COMPUTED_VALUE"""),"TEST 교재1")</f>
        <v>TEST 교재1</v>
      </c>
      <c r="C9" s="4" t="str">
        <f>IFERROR(__xludf.DUMMYFUNCTION("""COMPUTED_VALUE"""),"창고")</f>
        <v>창고</v>
      </c>
      <c r="D9" s="4" t="str">
        <f>IFERROR(__xludf.DUMMYFUNCTION("""COMPUTED_VALUE"""),"개별")</f>
        <v>개별</v>
      </c>
      <c r="E9" s="4">
        <f>IFERROR(__xludf.DUMMYFUNCTION("""COMPUTED_VALUE"""),1.0)</f>
        <v>1</v>
      </c>
      <c r="F9" s="4" t="str">
        <f>IFERROR(__xludf.DUMMYFUNCTION("""COMPUTED_VALUE"""),"신규")</f>
        <v>신규</v>
      </c>
      <c r="J9" s="4"/>
      <c r="L9" s="4" t="str">
        <f>IFERROR(__xludf.DUMMYFUNCTION("""COMPUTED_VALUE"""),"(5)방준혁8763")</f>
        <v>(5)방준혁8763</v>
      </c>
    </row>
    <row r="10">
      <c r="A10" s="45" t="str">
        <f>IFERROR(__xludf.DUMMYFUNCTION("""COMPUTED_VALUE"""),"2026-04-09")</f>
        <v>2026-04-09</v>
      </c>
      <c r="B10" s="4" t="str">
        <f>IFERROR(__xludf.DUMMYFUNCTION("""COMPUTED_VALUE"""),"TEST 교재1")</f>
        <v>TEST 교재1</v>
      </c>
      <c r="C10" s="4" t="str">
        <f>IFERROR(__xludf.DUMMYFUNCTION("""COMPUTED_VALUE"""),"창고")</f>
        <v>창고</v>
      </c>
      <c r="D10" s="4" t="str">
        <f>IFERROR(__xludf.DUMMYFUNCTION("""COMPUTED_VALUE"""),"일괄")</f>
        <v>일괄</v>
      </c>
      <c r="E10" s="4">
        <f>IFERROR(__xludf.DUMMYFUNCTION("""COMPUTED_VALUE"""),1.0)</f>
        <v>1</v>
      </c>
      <c r="F10" s="4" t="str">
        <f>IFERROR(__xludf.DUMMYFUNCTION("""COMPUTED_VALUE"""),"")</f>
        <v/>
      </c>
      <c r="J10" s="4"/>
      <c r="L10" s="4" t="str">
        <f>IFERROR(__xludf.DUMMYFUNCTION("""COMPUTED_VALUE"""),"(5)손찬우7814")</f>
        <v>(5)손찬우7814</v>
      </c>
    </row>
    <row r="11">
      <c r="A11" s="45" t="str">
        <f>IFERROR(__xludf.DUMMYFUNCTION("""COMPUTED_VALUE"""),"2026-04-13")</f>
        <v>2026-04-13</v>
      </c>
      <c r="B11" s="4" t="str">
        <f>IFERROR(__xludf.DUMMYFUNCTION("""COMPUTED_VALUE"""),"TEST 교재1")</f>
        <v>TEST 교재1</v>
      </c>
      <c r="C11" s="4" t="str">
        <f>IFERROR(__xludf.DUMMYFUNCTION("""COMPUTED_VALUE"""),"창고")</f>
        <v>창고</v>
      </c>
      <c r="D11" s="4" t="str">
        <f>IFERROR(__xludf.DUMMYFUNCTION("""COMPUTED_VALUE"""),"개별")</f>
        <v>개별</v>
      </c>
      <c r="E11" s="4">
        <f>IFERROR(__xludf.DUMMYFUNCTION("""COMPUTED_VALUE"""),1.0)</f>
        <v>1</v>
      </c>
      <c r="F11" s="4" t="str">
        <f>IFERROR(__xludf.DUMMYFUNCTION("""COMPUTED_VALUE"""),"분실")</f>
        <v>분실</v>
      </c>
      <c r="J11" s="4"/>
      <c r="L11" s="4" t="str">
        <f>IFERROR(__xludf.DUMMYFUNCTION("""COMPUTED_VALUE"""),"(5)오승민8884")</f>
        <v>(5)오승민8884</v>
      </c>
    </row>
    <row r="12">
      <c r="A12" s="45"/>
      <c r="J12" s="4"/>
      <c r="L12" s="4" t="str">
        <f>IFERROR(__xludf.DUMMYFUNCTION("""COMPUTED_VALUE"""),"(5)유민재7079")</f>
        <v>(5)유민재7079</v>
      </c>
    </row>
    <row r="13">
      <c r="A13" s="45"/>
      <c r="J13" s="4"/>
      <c r="L13" s="4" t="str">
        <f>IFERROR(__xludf.DUMMYFUNCTION("""COMPUTED_VALUE"""),"(5)윤태웅1592")</f>
        <v>(5)윤태웅1592</v>
      </c>
    </row>
    <row r="14">
      <c r="A14" s="45"/>
      <c r="J14" s="4"/>
      <c r="L14" s="4" t="str">
        <f>IFERROR(__xludf.DUMMYFUNCTION("""COMPUTED_VALUE"""),"(5)이민욱7522")</f>
        <v>(5)이민욱7522</v>
      </c>
    </row>
    <row r="15">
      <c r="A15" s="45"/>
      <c r="J15" s="4"/>
      <c r="L15" s="4" t="str">
        <f>IFERROR(__xludf.DUMMYFUNCTION("""COMPUTED_VALUE"""),"(5)이영욱6966")</f>
        <v>(5)이영욱6966</v>
      </c>
    </row>
    <row r="16">
      <c r="A16" s="45"/>
      <c r="J16" s="4"/>
      <c r="L16" s="4" t="str">
        <f>IFERROR(__xludf.DUMMYFUNCTION("""COMPUTED_VALUE"""),"(5)이재국9609")</f>
        <v>(5)이재국9609</v>
      </c>
    </row>
    <row r="17">
      <c r="A17" s="45"/>
      <c r="J17" s="4"/>
      <c r="L17" s="4" t="str">
        <f>IFERROR(__xludf.DUMMYFUNCTION("""COMPUTED_VALUE"""),"(5)조준범0784")</f>
        <v>(5)조준범0784</v>
      </c>
    </row>
    <row r="18">
      <c r="A18" s="45"/>
      <c r="J18" s="4"/>
      <c r="L18" s="4" t="str">
        <f>IFERROR(__xludf.DUMMYFUNCTION("""COMPUTED_VALUE"""),"(5)지무경1270")</f>
        <v>(5)지무경1270</v>
      </c>
    </row>
    <row r="19">
      <c r="A19" s="45"/>
      <c r="J19" s="4"/>
      <c r="L19" s="4" t="str">
        <f>IFERROR(__xludf.DUMMYFUNCTION("""COMPUTED_VALUE"""),"(5)최민준4523")</f>
        <v>(5)최민준4523</v>
      </c>
    </row>
    <row r="20">
      <c r="A20" s="45"/>
      <c r="J20" s="4"/>
      <c r="L20" s="4" t="str">
        <f>IFERROR(__xludf.DUMMYFUNCTION("""COMPUTED_VALUE"""),"(5)하시원2339")</f>
        <v>(5)하시원2339</v>
      </c>
    </row>
    <row r="21" ht="15.75" customHeight="1">
      <c r="A21" s="45"/>
      <c r="J21" s="4"/>
      <c r="L21" s="4" t="str">
        <f>IFERROR(__xludf.DUMMYFUNCTION("""COMPUTED_VALUE"""),"(강)기영윤7318")</f>
        <v>(강)기영윤7318</v>
      </c>
    </row>
    <row r="22" ht="15.75" customHeight="1">
      <c r="A22" s="45"/>
      <c r="J22" s="4"/>
      <c r="L22" s="4" t="str">
        <f>IFERROR(__xludf.DUMMYFUNCTION("""COMPUTED_VALUE"""),"(강)김도형7747")</f>
        <v>(강)김도형7747</v>
      </c>
    </row>
    <row r="23" ht="15.75" customHeight="1">
      <c r="A23" s="45"/>
      <c r="J23" s="4"/>
      <c r="L23" s="4" t="str">
        <f>IFERROR(__xludf.DUMMYFUNCTION("""COMPUTED_VALUE"""),"(강)김민건8182")</f>
        <v>(강)김민건8182</v>
      </c>
    </row>
    <row r="24" ht="15.75" customHeight="1">
      <c r="A24" s="45"/>
      <c r="J24" s="4"/>
      <c r="L24" s="4" t="str">
        <f>IFERROR(__xludf.DUMMYFUNCTION("""COMPUTED_VALUE"""),"(강)김수홍7778")</f>
        <v>(강)김수홍7778</v>
      </c>
    </row>
    <row r="25" ht="15.75" customHeight="1">
      <c r="A25" s="45"/>
      <c r="J25" s="4"/>
      <c r="L25" s="4" t="str">
        <f>IFERROR(__xludf.DUMMYFUNCTION("""COMPUTED_VALUE"""),"(강)민준혁9223")</f>
        <v>(강)민준혁9223</v>
      </c>
    </row>
    <row r="26" ht="15.75" customHeight="1">
      <c r="A26" s="45"/>
      <c r="J26" s="4"/>
      <c r="L26" s="4" t="str">
        <f>IFERROR(__xludf.DUMMYFUNCTION("""COMPUTED_VALUE"""),"(강)박성효3234")</f>
        <v>(강)박성효3234</v>
      </c>
    </row>
    <row r="27" ht="15.75" customHeight="1">
      <c r="A27" s="45"/>
      <c r="J27" s="4"/>
      <c r="L27" s="4" t="str">
        <f>IFERROR(__xludf.DUMMYFUNCTION("""COMPUTED_VALUE"""),"(강)박주석8032")</f>
        <v>(강)박주석8032</v>
      </c>
    </row>
    <row r="28" ht="15.75" customHeight="1">
      <c r="A28" s="45"/>
      <c r="J28" s="4"/>
      <c r="L28" s="4" t="str">
        <f>IFERROR(__xludf.DUMMYFUNCTION("""COMPUTED_VALUE"""),"(강)왕효준2880")</f>
        <v>(강)왕효준2880</v>
      </c>
    </row>
    <row r="29" ht="15.75" customHeight="1">
      <c r="A29" s="45"/>
      <c r="J29" s="4"/>
      <c r="L29" s="4" t="str">
        <f>IFERROR(__xludf.DUMMYFUNCTION("""COMPUTED_VALUE"""),"(강)이도현1102")</f>
        <v>(강)이도현1102</v>
      </c>
    </row>
    <row r="30" ht="15.75" customHeight="1">
      <c r="A30" s="45"/>
      <c r="J30" s="4"/>
      <c r="L30" s="4" t="str">
        <f>IFERROR(__xludf.DUMMYFUNCTION("""COMPUTED_VALUE"""),"(강)이동건5693")</f>
        <v>(강)이동건5693</v>
      </c>
    </row>
    <row r="31" ht="15.75" customHeight="1">
      <c r="A31" s="45"/>
      <c r="J31" s="4"/>
      <c r="L31" s="4" t="str">
        <f>IFERROR(__xludf.DUMMYFUNCTION("""COMPUTED_VALUE"""),"(강)장윤건7351")</f>
        <v>(강)장윤건7351</v>
      </c>
    </row>
    <row r="32" ht="15.75" customHeight="1">
      <c r="A32" s="45"/>
      <c r="J32" s="4"/>
      <c r="L32" s="4" t="str">
        <f>IFERROR(__xludf.DUMMYFUNCTION("""COMPUTED_VALUE"""),"(개_5)김민준5243")</f>
        <v>(개_5)김민준5243</v>
      </c>
    </row>
    <row r="33" ht="15.75" customHeight="1">
      <c r="A33" s="45"/>
      <c r="J33" s="4"/>
      <c r="L33" s="4" t="str">
        <f>IFERROR(__xludf.DUMMYFUNCTION("""COMPUTED_VALUE"""),"(개_5)민정원9707")</f>
        <v>(개_5)민정원9707</v>
      </c>
    </row>
    <row r="34" ht="15.75" customHeight="1">
      <c r="A34" s="45"/>
      <c r="J34" s="4"/>
      <c r="L34" s="4" t="str">
        <f>IFERROR(__xludf.DUMMYFUNCTION("""COMPUTED_VALUE"""),"(개_5)박상현0208")</f>
        <v>(개_5)박상현0208</v>
      </c>
    </row>
    <row r="35" ht="15.75" customHeight="1">
      <c r="A35" s="45"/>
      <c r="J35" s="4"/>
      <c r="L35" s="4" t="str">
        <f>IFERROR(__xludf.DUMMYFUNCTION("""COMPUTED_VALUE"""),"(개_5)박시우7232")</f>
        <v>(개_5)박시우7232</v>
      </c>
    </row>
    <row r="36" ht="15.75" customHeight="1">
      <c r="A36" s="45"/>
      <c r="J36" s="4"/>
      <c r="L36" s="4" t="str">
        <f>IFERROR(__xludf.DUMMYFUNCTION("""COMPUTED_VALUE"""),"(개_5)방승수0714")</f>
        <v>(개_5)방승수0714</v>
      </c>
    </row>
    <row r="37" ht="15.75" customHeight="1">
      <c r="A37" s="45"/>
      <c r="J37" s="4"/>
      <c r="L37" s="4" t="str">
        <f>IFERROR(__xludf.DUMMYFUNCTION("""COMPUTED_VALUE"""),"(개_5)서은후1353")</f>
        <v>(개_5)서은후1353</v>
      </c>
    </row>
    <row r="38" ht="15.75" customHeight="1">
      <c r="A38" s="45"/>
      <c r="J38" s="4"/>
      <c r="L38" s="4" t="str">
        <f>IFERROR(__xludf.DUMMYFUNCTION("""COMPUTED_VALUE"""),"(개_5)양인국1316")</f>
        <v>(개_5)양인국1316</v>
      </c>
    </row>
    <row r="39" ht="15.75" customHeight="1">
      <c r="A39" s="45"/>
      <c r="J39" s="4"/>
      <c r="L39" s="4" t="str">
        <f>IFERROR(__xludf.DUMMYFUNCTION("""COMPUTED_VALUE"""),"(개_5)이한결0479")</f>
        <v>(개_5)이한결0479</v>
      </c>
    </row>
    <row r="40" ht="15.75" customHeight="1">
      <c r="A40" s="45"/>
      <c r="J40" s="4"/>
      <c r="L40" s="4" t="str">
        <f>IFERROR(__xludf.DUMMYFUNCTION("""COMPUTED_VALUE"""),"(개_5)임건우5242")</f>
        <v>(개_5)임건우5242</v>
      </c>
    </row>
    <row r="41" ht="15.75" customHeight="1">
      <c r="A41" s="45"/>
      <c r="J41" s="4"/>
      <c r="L41" s="4" t="str">
        <f>IFERROR(__xludf.DUMMYFUNCTION("""COMPUTED_VALUE"""),"(개_5)임예준3266")</f>
        <v>(개_5)임예준3266</v>
      </c>
    </row>
    <row r="42" ht="15.75" customHeight="1">
      <c r="A42" s="45"/>
      <c r="J42" s="4"/>
      <c r="L42" s="4" t="str">
        <f>IFERROR(__xludf.DUMMYFUNCTION("""COMPUTED_VALUE"""),"(개_5)임재준4588")</f>
        <v>(개_5)임재준4588</v>
      </c>
    </row>
    <row r="43" ht="15.75" customHeight="1">
      <c r="A43" s="45"/>
      <c r="J43" s="4"/>
      <c r="L43" s="4" t="str">
        <f>IFERROR(__xludf.DUMMYFUNCTION("""COMPUTED_VALUE"""),"(개_5)전예준2851")</f>
        <v>(개_5)전예준2851</v>
      </c>
    </row>
    <row r="44" ht="15.75" customHeight="1">
      <c r="A44" s="45"/>
      <c r="J44" s="4"/>
      <c r="L44" s="4" t="str">
        <f>IFERROR(__xludf.DUMMYFUNCTION("""COMPUTED_VALUE"""),"(개_5)지우현4872")</f>
        <v>(개_5)지우현4872</v>
      </c>
    </row>
    <row r="45" ht="15.75" customHeight="1">
      <c r="A45" s="45"/>
      <c r="J45" s="4"/>
      <c r="L45" s="4" t="str">
        <f>IFERROR(__xludf.DUMMYFUNCTION("""COMPUTED_VALUE"""),"(개_일)고은채4346")</f>
        <v>(개_일)고은채4346</v>
      </c>
    </row>
    <row r="46" ht="15.75" customHeight="1">
      <c r="A46" s="45"/>
      <c r="J46" s="4"/>
      <c r="L46" s="4" t="str">
        <f>IFERROR(__xludf.DUMMYFUNCTION("""COMPUTED_VALUE"""),"(개_일)김시예0805")</f>
        <v>(개_일)김시예0805</v>
      </c>
    </row>
    <row r="47" ht="15.75" customHeight="1">
      <c r="A47" s="45"/>
      <c r="J47" s="4"/>
      <c r="L47" s="4" t="str">
        <f>IFERROR(__xludf.DUMMYFUNCTION("""COMPUTED_VALUE"""),"(개_일)김예담9555")</f>
        <v>(개_일)김예담9555</v>
      </c>
    </row>
    <row r="48" ht="15.75" customHeight="1">
      <c r="A48" s="45"/>
      <c r="J48" s="4"/>
      <c r="L48" s="4" t="str">
        <f>IFERROR(__xludf.DUMMYFUNCTION("""COMPUTED_VALUE"""),"(개_일)김온유5076")</f>
        <v>(개_일)김온유5076</v>
      </c>
    </row>
    <row r="49" ht="15.75" customHeight="1">
      <c r="A49" s="45"/>
      <c r="J49" s="4"/>
      <c r="L49" s="4" t="str">
        <f>IFERROR(__xludf.DUMMYFUNCTION("""COMPUTED_VALUE"""),"(개_일)김유진2847")</f>
        <v>(개_일)김유진2847</v>
      </c>
    </row>
    <row r="50" ht="15.75" customHeight="1">
      <c r="A50" s="45"/>
      <c r="J50" s="4"/>
      <c r="L50" s="4" t="str">
        <f>IFERROR(__xludf.DUMMYFUNCTION("""COMPUTED_VALUE"""),"(개_일)김태은3330")</f>
        <v>(개_일)김태은3330</v>
      </c>
    </row>
    <row r="51" ht="15.75" customHeight="1">
      <c r="A51" s="45"/>
      <c r="J51" s="4"/>
      <c r="L51" s="4" t="str">
        <f>IFERROR(__xludf.DUMMYFUNCTION("""COMPUTED_VALUE"""),"(개_일)박예영8386")</f>
        <v>(개_일)박예영8386</v>
      </c>
    </row>
    <row r="52" ht="15.75" customHeight="1">
      <c r="A52" s="45"/>
      <c r="J52" s="4"/>
      <c r="L52" s="4" t="str">
        <f>IFERROR(__xludf.DUMMYFUNCTION("""COMPUTED_VALUE"""),"(개_일)손여진3390")</f>
        <v>(개_일)손여진3390</v>
      </c>
    </row>
    <row r="53" ht="15.75" customHeight="1">
      <c r="A53" s="45"/>
      <c r="J53" s="4"/>
      <c r="L53" s="4" t="str">
        <f>IFERROR(__xludf.DUMMYFUNCTION("""COMPUTED_VALUE"""),"(개_일)양이든8316")</f>
        <v>(개_일)양이든8316</v>
      </c>
    </row>
    <row r="54" ht="15.75" customHeight="1">
      <c r="A54" s="45"/>
      <c r="J54" s="4"/>
      <c r="L54" s="4" t="str">
        <f>IFERROR(__xludf.DUMMYFUNCTION("""COMPUTED_VALUE"""),"(개_일)이서의7569")</f>
        <v>(개_일)이서의7569</v>
      </c>
    </row>
    <row r="55" ht="15.75" customHeight="1">
      <c r="A55" s="45"/>
      <c r="J55" s="4"/>
      <c r="L55" s="4" t="str">
        <f>IFERROR(__xludf.DUMMYFUNCTION("""COMPUTED_VALUE"""),"(개_일)이서현2233")</f>
        <v>(개_일)이서현2233</v>
      </c>
    </row>
    <row r="56" ht="15.75" customHeight="1">
      <c r="A56" s="45"/>
      <c r="J56" s="4"/>
      <c r="L56" s="4" t="str">
        <f>IFERROR(__xludf.DUMMYFUNCTION("""COMPUTED_VALUE"""),"(개_일)이채민4087")</f>
        <v>(개_일)이채민4087</v>
      </c>
    </row>
    <row r="57" ht="15.75" customHeight="1">
      <c r="A57" s="45"/>
      <c r="J57" s="4"/>
      <c r="L57" s="4" t="str">
        <f>IFERROR(__xludf.DUMMYFUNCTION("""COMPUTED_VALUE"""),"(개_일)임도경5128")</f>
        <v>(개_일)임도경5128</v>
      </c>
    </row>
    <row r="58" ht="15.75" customHeight="1">
      <c r="A58" s="45"/>
      <c r="J58" s="4"/>
      <c r="L58" s="4" t="str">
        <f>IFERROR(__xludf.DUMMYFUNCTION("""COMPUTED_VALUE"""),"(개_일)장시연4755")</f>
        <v>(개_일)장시연4755</v>
      </c>
    </row>
    <row r="59" ht="15.75" customHeight="1">
      <c r="A59" s="45"/>
      <c r="J59" s="4"/>
      <c r="L59" s="4" t="str">
        <f>IFERROR(__xludf.DUMMYFUNCTION("""COMPUTED_VALUE"""),"(개_일)최서윤0998")</f>
        <v>(개_일)최서윤0998</v>
      </c>
    </row>
    <row r="60" ht="15.75" customHeight="1">
      <c r="A60" s="45"/>
      <c r="J60" s="4"/>
      <c r="L60" s="4" t="str">
        <f>IFERROR(__xludf.DUMMYFUNCTION("""COMPUTED_VALUE"""),"(개_일)최정원3665")</f>
        <v>(개_일)최정원3665</v>
      </c>
    </row>
    <row r="61" ht="15.75" customHeight="1">
      <c r="A61" s="45"/>
      <c r="J61" s="4"/>
      <c r="L61" s="4" t="str">
        <f>IFERROR(__xludf.DUMMYFUNCTION("""COMPUTED_VALUE"""),"(개_일)한지수9044")</f>
        <v>(개_일)한지수9044</v>
      </c>
    </row>
    <row r="62" ht="15.75" customHeight="1">
      <c r="A62" s="45"/>
      <c r="J62" s="4"/>
      <c r="L62" s="4" t="str">
        <f>IFERROR(__xludf.DUMMYFUNCTION("""COMPUTED_VALUE"""),"(교)김가은7178")</f>
        <v>(교)김가은7178</v>
      </c>
    </row>
    <row r="63" ht="15.75" customHeight="1">
      <c r="A63" s="45"/>
      <c r="J63" s="4"/>
      <c r="L63" s="4" t="str">
        <f>IFERROR(__xludf.DUMMYFUNCTION("""COMPUTED_VALUE"""),"(교)김보민5769")</f>
        <v>(교)김보민5769</v>
      </c>
    </row>
    <row r="64" ht="15.75" customHeight="1">
      <c r="A64" s="45"/>
      <c r="J64" s="4"/>
      <c r="L64" s="4" t="str">
        <f>IFERROR(__xludf.DUMMYFUNCTION("""COMPUTED_VALUE"""),"(교)송수빈5337")</f>
        <v>(교)송수빈5337</v>
      </c>
    </row>
    <row r="65" ht="15.75" customHeight="1">
      <c r="A65" s="45"/>
      <c r="J65" s="4"/>
      <c r="L65" s="4" t="str">
        <f>IFERROR(__xludf.DUMMYFUNCTION("""COMPUTED_VALUE"""),"(교)신유정7566")</f>
        <v>(교)신유정7566</v>
      </c>
    </row>
    <row r="66" ht="15.75" customHeight="1">
      <c r="A66" s="45"/>
      <c r="J66" s="4"/>
      <c r="L66" s="4" t="str">
        <f>IFERROR(__xludf.DUMMYFUNCTION("""COMPUTED_VALUE"""),"(교)양진서5080")</f>
        <v>(교)양진서5080</v>
      </c>
    </row>
    <row r="67" ht="15.75" customHeight="1">
      <c r="A67" s="45"/>
      <c r="J67" s="4"/>
      <c r="L67" s="4" t="str">
        <f>IFERROR(__xludf.DUMMYFUNCTION("""COMPUTED_VALUE"""),"(교)윤다연9207")</f>
        <v>(교)윤다연9207</v>
      </c>
    </row>
    <row r="68" ht="15.75" customHeight="1">
      <c r="A68" s="45"/>
      <c r="J68" s="4"/>
      <c r="L68" s="4" t="str">
        <f>IFERROR(__xludf.DUMMYFUNCTION("""COMPUTED_VALUE"""),"(교)이지우0221")</f>
        <v>(교)이지우0221</v>
      </c>
    </row>
    <row r="69" ht="15.75" customHeight="1">
      <c r="A69" s="45"/>
      <c r="J69" s="4"/>
      <c r="L69" s="4" t="str">
        <f>IFERROR(__xludf.DUMMYFUNCTION("""COMPUTED_VALUE"""),"(교)조희수6471")</f>
        <v>(교)조희수6471</v>
      </c>
    </row>
    <row r="70" ht="15.75" customHeight="1">
      <c r="A70" s="45"/>
      <c r="J70" s="4"/>
      <c r="L70" s="4" t="str">
        <f>IFERROR(__xludf.DUMMYFUNCTION("""COMPUTED_VALUE"""),"(교)차소정4052")</f>
        <v>(교)차소정4052</v>
      </c>
    </row>
    <row r="71" ht="15.75" customHeight="1">
      <c r="A71" s="45"/>
      <c r="J71" s="4"/>
      <c r="L71" s="4" t="str">
        <f>IFERROR(__xludf.DUMMYFUNCTION("""COMPUTED_VALUE"""),"(교)최수민4879")</f>
        <v>(교)최수민4879</v>
      </c>
    </row>
    <row r="72" ht="15.75" customHeight="1">
      <c r="A72" s="45"/>
      <c r="J72" s="4"/>
      <c r="L72" s="4" t="str">
        <f>IFERROR(__xludf.DUMMYFUNCTION("""COMPUTED_VALUE"""),"(교)최지우7723")</f>
        <v>(교)최지우7723</v>
      </c>
    </row>
    <row r="73" ht="15.75" customHeight="1">
      <c r="A73" s="45"/>
      <c r="J73" s="4"/>
      <c r="L73" s="4" t="str">
        <f>IFERROR(__xludf.DUMMYFUNCTION("""COMPUTED_VALUE"""),"(교)한유진8417")</f>
        <v>(교)한유진8417</v>
      </c>
    </row>
    <row r="74" ht="15.75" customHeight="1">
      <c r="A74" s="45"/>
      <c r="J74" s="4"/>
      <c r="L74" s="4" t="str">
        <f>IFERROR(__xludf.DUMMYFUNCTION("""COMPUTED_VALUE"""),"(교)홍석채2964")</f>
        <v>(교)홍석채2964</v>
      </c>
    </row>
    <row r="75" ht="15.75" customHeight="1">
      <c r="A75" s="45"/>
      <c r="J75" s="4"/>
      <c r="L75" s="4" t="str">
        <f>IFERROR(__xludf.DUMMYFUNCTION("""COMPUTED_VALUE"""),"(명)고유진4984")</f>
        <v>(명)고유진4984</v>
      </c>
    </row>
    <row r="76" ht="15.75" customHeight="1">
      <c r="A76" s="45"/>
      <c r="J76" s="4"/>
      <c r="L76" s="4" t="str">
        <f>IFERROR(__xludf.DUMMYFUNCTION("""COMPUTED_VALUE"""),"(명)김건5586")</f>
        <v>(명)김건5586</v>
      </c>
    </row>
    <row r="77" ht="15.75" customHeight="1">
      <c r="A77" s="45"/>
      <c r="J77" s="4"/>
      <c r="L77" s="4" t="str">
        <f>IFERROR(__xludf.DUMMYFUNCTION("""COMPUTED_VALUE"""),"(명)이영석8582")</f>
        <v>(명)이영석8582</v>
      </c>
    </row>
    <row r="78" ht="15.75" customHeight="1">
      <c r="A78" s="45"/>
      <c r="J78" s="4"/>
      <c r="L78" s="4" t="str">
        <f>IFERROR(__xludf.DUMMYFUNCTION("""COMPUTED_VALUE"""),"(명)이준형9016")</f>
        <v>(명)이준형9016</v>
      </c>
    </row>
    <row r="79" ht="15.75" customHeight="1">
      <c r="A79" s="45"/>
      <c r="J79" s="4"/>
      <c r="L79" s="4" t="str">
        <f>IFERROR(__xludf.DUMMYFUNCTION("""COMPUTED_VALUE"""),"(베)곽나영8302")</f>
        <v>(베)곽나영8302</v>
      </c>
    </row>
    <row r="80" ht="15.75" customHeight="1">
      <c r="A80" s="45"/>
      <c r="J80" s="4"/>
      <c r="L80" s="4" t="str">
        <f>IFERROR(__xludf.DUMMYFUNCTION("""COMPUTED_VALUE"""),"(베)권소연2604")</f>
        <v>(베)권소연2604</v>
      </c>
    </row>
    <row r="81" ht="15.75" customHeight="1">
      <c r="A81" s="45"/>
      <c r="J81" s="4"/>
      <c r="L81" s="4" t="str">
        <f>IFERROR(__xludf.DUMMYFUNCTION("""COMPUTED_VALUE"""),"(베)김민정8809")</f>
        <v>(베)김민정8809</v>
      </c>
    </row>
    <row r="82" ht="15.75" customHeight="1">
      <c r="A82" s="45"/>
      <c r="J82" s="4"/>
      <c r="L82" s="4" t="str">
        <f>IFERROR(__xludf.DUMMYFUNCTION("""COMPUTED_VALUE"""),"(베)김서영4149")</f>
        <v>(베)김서영4149</v>
      </c>
    </row>
    <row r="83" ht="15.75" customHeight="1">
      <c r="A83" s="45"/>
      <c r="J83" s="4"/>
      <c r="L83" s="4" t="str">
        <f>IFERROR(__xludf.DUMMYFUNCTION("""COMPUTED_VALUE"""),"(베)김아현2812")</f>
        <v>(베)김아현2812</v>
      </c>
    </row>
    <row r="84" ht="15.75" customHeight="1">
      <c r="A84" s="45"/>
      <c r="J84" s="4"/>
      <c r="L84" s="4" t="str">
        <f>IFERROR(__xludf.DUMMYFUNCTION("""COMPUTED_VALUE"""),"(베)서은서7111")</f>
        <v>(베)서은서7111</v>
      </c>
    </row>
    <row r="85" ht="15.75" customHeight="1">
      <c r="A85" s="45"/>
      <c r="J85" s="4"/>
      <c r="L85" s="4" t="str">
        <f>IFERROR(__xludf.DUMMYFUNCTION("""COMPUTED_VALUE"""),"(베)심서현0910")</f>
        <v>(베)심서현0910</v>
      </c>
    </row>
    <row r="86" ht="15.75" customHeight="1">
      <c r="A86" s="45"/>
      <c r="J86" s="4"/>
      <c r="L86" s="4" t="str">
        <f>IFERROR(__xludf.DUMMYFUNCTION("""COMPUTED_VALUE"""),"(베)양세희5603")</f>
        <v>(베)양세희5603</v>
      </c>
    </row>
    <row r="87" ht="15.75" customHeight="1">
      <c r="A87" s="45"/>
      <c r="J87" s="4"/>
      <c r="L87" s="4" t="str">
        <f>IFERROR(__xludf.DUMMYFUNCTION("""COMPUTED_VALUE"""),"(베)오윤서6143")</f>
        <v>(베)오윤서6143</v>
      </c>
    </row>
    <row r="88" ht="15.75" customHeight="1">
      <c r="A88" s="45"/>
      <c r="J88" s="4"/>
      <c r="L88" s="4" t="str">
        <f>IFERROR(__xludf.DUMMYFUNCTION("""COMPUTED_VALUE"""),"(베)유지현2373")</f>
        <v>(베)유지현2373</v>
      </c>
    </row>
    <row r="89" ht="15.75" customHeight="1">
      <c r="A89" s="45"/>
      <c r="J89" s="4"/>
      <c r="L89" s="4" t="str">
        <f>IFERROR(__xludf.DUMMYFUNCTION("""COMPUTED_VALUE"""),"(베)윤지윤8166")</f>
        <v>(베)윤지윤8166</v>
      </c>
    </row>
    <row r="90" ht="15.75" customHeight="1">
      <c r="A90" s="45"/>
      <c r="J90" s="4"/>
      <c r="L90" s="4" t="str">
        <f>IFERROR(__xludf.DUMMYFUNCTION("""COMPUTED_VALUE"""),"(베)윤채은5226")</f>
        <v>(베)윤채은5226</v>
      </c>
    </row>
    <row r="91" ht="15.75" customHeight="1">
      <c r="A91" s="45"/>
      <c r="J91" s="4"/>
      <c r="L91" s="4" t="str">
        <f>IFERROR(__xludf.DUMMYFUNCTION("""COMPUTED_VALUE"""),"(베)이서은7948")</f>
        <v>(베)이서은7948</v>
      </c>
    </row>
    <row r="92" ht="15.75" customHeight="1">
      <c r="A92" s="45"/>
      <c r="J92" s="4"/>
      <c r="L92" s="4" t="str">
        <f>IFERROR(__xludf.DUMMYFUNCTION("""COMPUTED_VALUE"""),"(베)이수빈1704")</f>
        <v>(베)이수빈1704</v>
      </c>
    </row>
    <row r="93" ht="15.75" customHeight="1">
      <c r="A93" s="45"/>
      <c r="J93" s="4"/>
      <c r="L93" s="4" t="str">
        <f>IFERROR(__xludf.DUMMYFUNCTION("""COMPUTED_VALUE"""),"(베)이승아1688")</f>
        <v>(베)이승아1688</v>
      </c>
    </row>
    <row r="94" ht="15.75" customHeight="1">
      <c r="A94" s="45"/>
      <c r="J94" s="4"/>
      <c r="L94" s="4" t="str">
        <f>IFERROR(__xludf.DUMMYFUNCTION("""COMPUTED_VALUE"""),"(베)이윤이4965")</f>
        <v>(베)이윤이4965</v>
      </c>
    </row>
    <row r="95" ht="15.75" customHeight="1">
      <c r="A95" s="45"/>
      <c r="J95" s="4"/>
      <c r="L95" s="4" t="str">
        <f>IFERROR(__xludf.DUMMYFUNCTION("""COMPUTED_VALUE"""),"(베)이채린9683")</f>
        <v>(베)이채린9683</v>
      </c>
    </row>
    <row r="96" ht="15.75" customHeight="1">
      <c r="A96" s="45"/>
      <c r="J96" s="4"/>
      <c r="L96" s="4" t="str">
        <f>IFERROR(__xludf.DUMMYFUNCTION("""COMPUTED_VALUE"""),"(베)임유민6477")</f>
        <v>(베)임유민6477</v>
      </c>
    </row>
    <row r="97" ht="15.75" customHeight="1">
      <c r="A97" s="45"/>
      <c r="J97" s="4"/>
      <c r="L97" s="4" t="str">
        <f>IFERROR(__xludf.DUMMYFUNCTION("""COMPUTED_VALUE"""),"(베)장미소0730")</f>
        <v>(베)장미소0730</v>
      </c>
    </row>
    <row r="98" ht="15.75" customHeight="1">
      <c r="A98" s="45"/>
      <c r="J98" s="4"/>
      <c r="L98" s="4" t="str">
        <f>IFERROR(__xludf.DUMMYFUNCTION("""COMPUTED_VALUE"""),"(베)정다은4727")</f>
        <v>(베)정다은4727</v>
      </c>
    </row>
    <row r="99" ht="15.75" customHeight="1">
      <c r="A99" s="45"/>
      <c r="J99" s="4"/>
      <c r="L99" s="4" t="str">
        <f>IFERROR(__xludf.DUMMYFUNCTION("""COMPUTED_VALUE"""),"(베)정서진9562")</f>
        <v>(베)정서진9562</v>
      </c>
    </row>
    <row r="100" ht="15.75" customHeight="1">
      <c r="A100" s="45"/>
      <c r="J100" s="4"/>
      <c r="L100" s="4" t="str">
        <f>IFERROR(__xludf.DUMMYFUNCTION("""COMPUTED_VALUE"""),"(베)정예음8008")</f>
        <v>(베)정예음8008</v>
      </c>
    </row>
    <row r="101" ht="15.75" customHeight="1">
      <c r="A101" s="45"/>
      <c r="J101" s="4"/>
      <c r="L101" s="4" t="str">
        <f>IFERROR(__xludf.DUMMYFUNCTION("""COMPUTED_VALUE"""),"(베)정지우1212")</f>
        <v>(베)정지우1212</v>
      </c>
    </row>
    <row r="102" ht="15.75" customHeight="1">
      <c r="A102" s="45"/>
      <c r="J102" s="4"/>
      <c r="L102" s="4" t="str">
        <f>IFERROR(__xludf.DUMMYFUNCTION("""COMPUTED_VALUE"""),"(베)조은솔6474")</f>
        <v>(베)조은솔6474</v>
      </c>
    </row>
    <row r="103" ht="15.75" customHeight="1">
      <c r="A103" s="45"/>
      <c r="J103" s="4"/>
      <c r="L103" s="4" t="str">
        <f>IFERROR(__xludf.DUMMYFUNCTION("""COMPUTED_VALUE"""),"(베)차유진6682")</f>
        <v>(베)차유진6682</v>
      </c>
    </row>
    <row r="104" ht="15.75" customHeight="1">
      <c r="A104" s="45"/>
      <c r="J104" s="4"/>
      <c r="L104" s="4" t="str">
        <f>IFERROR(__xludf.DUMMYFUNCTION("""COMPUTED_VALUE"""),"(베)최다영2530")</f>
        <v>(베)최다영2530</v>
      </c>
    </row>
    <row r="105" ht="15.75" customHeight="1">
      <c r="A105" s="45"/>
      <c r="J105" s="4"/>
      <c r="L105" s="4" t="str">
        <f>IFERROR(__xludf.DUMMYFUNCTION("""COMPUTED_VALUE"""),"(베)홍예림3695")</f>
        <v>(베)홍예림3695</v>
      </c>
    </row>
    <row r="106" ht="15.75" customHeight="1">
      <c r="A106" s="45"/>
      <c r="J106" s="4"/>
      <c r="L106" s="4" t="str">
        <f>IFERROR(__xludf.DUMMYFUNCTION("""COMPUTED_VALUE"""),"(선)이준혁1947")</f>
        <v>(선)이준혁1947</v>
      </c>
    </row>
    <row r="107" ht="15.75" customHeight="1">
      <c r="A107" s="45"/>
      <c r="J107" s="4"/>
      <c r="L107" s="4" t="str">
        <f>IFERROR(__xludf.DUMMYFUNCTION("""COMPUTED_VALUE"""),"(선5)김동건5321")</f>
        <v>(선5)김동건5321</v>
      </c>
    </row>
    <row r="108" ht="15.75" customHeight="1">
      <c r="A108" s="45"/>
      <c r="J108" s="4"/>
      <c r="L108" s="4" t="str">
        <f>IFERROR(__xludf.DUMMYFUNCTION("""COMPUTED_VALUE"""),"(선5)김민준2056")</f>
        <v>(선5)김민준2056</v>
      </c>
    </row>
    <row r="109" ht="15.75" customHeight="1">
      <c r="A109" s="45"/>
      <c r="J109" s="4"/>
      <c r="L109" s="4" t="str">
        <f>IFERROR(__xludf.DUMMYFUNCTION("""COMPUTED_VALUE"""),"(선5)김민준4685")</f>
        <v>(선5)김민준4685</v>
      </c>
    </row>
    <row r="110" ht="15.75" customHeight="1">
      <c r="A110" s="45"/>
      <c r="J110" s="4"/>
      <c r="L110" s="4" t="str">
        <f>IFERROR(__xludf.DUMMYFUNCTION("""COMPUTED_VALUE"""),"(선5)김솔4251")</f>
        <v>(선5)김솔4251</v>
      </c>
    </row>
    <row r="111" ht="15.75" customHeight="1">
      <c r="A111" s="45"/>
      <c r="J111" s="4"/>
      <c r="L111" s="4" t="str">
        <f>IFERROR(__xludf.DUMMYFUNCTION("""COMPUTED_VALUE"""),"(선5)김연우3300")</f>
        <v>(선5)김연우3300</v>
      </c>
    </row>
    <row r="112" ht="15.75" customHeight="1">
      <c r="A112" s="45"/>
      <c r="J112" s="4"/>
      <c r="L112" s="4" t="str">
        <f>IFERROR(__xludf.DUMMYFUNCTION("""COMPUTED_VALUE"""),"(선5)박상현0851")</f>
        <v>(선5)박상현0851</v>
      </c>
    </row>
    <row r="113" ht="15.75" customHeight="1">
      <c r="A113" s="45"/>
      <c r="J113" s="4"/>
      <c r="L113" s="4" t="str">
        <f>IFERROR(__xludf.DUMMYFUNCTION("""COMPUTED_VALUE"""),"(선5)방수혁4614")</f>
        <v>(선5)방수혁4614</v>
      </c>
    </row>
    <row r="114" ht="15.75" customHeight="1">
      <c r="A114" s="45"/>
      <c r="J114" s="4"/>
      <c r="L114" s="4" t="str">
        <f>IFERROR(__xludf.DUMMYFUNCTION("""COMPUTED_VALUE"""),"(선5)유건우5209")</f>
        <v>(선5)유건우5209</v>
      </c>
    </row>
    <row r="115" ht="15.75" customHeight="1">
      <c r="A115" s="45"/>
      <c r="J115" s="4"/>
      <c r="L115" s="4" t="str">
        <f>IFERROR(__xludf.DUMMYFUNCTION("""COMPUTED_VALUE"""),"(선5)이기찬5172")</f>
        <v>(선5)이기찬5172</v>
      </c>
    </row>
    <row r="116" ht="15.75" customHeight="1">
      <c r="A116" s="45"/>
      <c r="J116" s="4"/>
      <c r="L116" s="4" t="str">
        <f>IFERROR(__xludf.DUMMYFUNCTION("""COMPUTED_VALUE"""),"(선5)이동현0896")</f>
        <v>(선5)이동현0896</v>
      </c>
    </row>
    <row r="117" ht="15.75" customHeight="1">
      <c r="A117" s="45"/>
      <c r="J117" s="4"/>
      <c r="L117" s="4" t="str">
        <f>IFERROR(__xludf.DUMMYFUNCTION("""COMPUTED_VALUE"""),"(선5)이세명2015")</f>
        <v>(선5)이세명2015</v>
      </c>
    </row>
    <row r="118" ht="15.75" customHeight="1">
      <c r="A118" s="45"/>
      <c r="J118" s="4"/>
      <c r="L118" s="4" t="str">
        <f>IFERROR(__xludf.DUMMYFUNCTION("""COMPUTED_VALUE"""),"(선5)이예준5251")</f>
        <v>(선5)이예준5251</v>
      </c>
    </row>
    <row r="119" ht="15.75" customHeight="1">
      <c r="A119" s="45"/>
      <c r="J119" s="4"/>
      <c r="L119" s="4" t="str">
        <f>IFERROR(__xludf.DUMMYFUNCTION("""COMPUTED_VALUE"""),"(선5)이정진0769")</f>
        <v>(선5)이정진0769</v>
      </c>
    </row>
    <row r="120" ht="15.75" customHeight="1">
      <c r="A120" s="45"/>
      <c r="J120" s="4"/>
      <c r="L120" s="4" t="str">
        <f>IFERROR(__xludf.DUMMYFUNCTION("""COMPUTED_VALUE"""),"(선5)이진웅4253")</f>
        <v>(선5)이진웅4253</v>
      </c>
    </row>
    <row r="121" ht="15.75" customHeight="1">
      <c r="A121" s="45"/>
      <c r="J121" s="4"/>
      <c r="L121" s="4" t="str">
        <f>IFERROR(__xludf.DUMMYFUNCTION("""COMPUTED_VALUE"""),"(선5)이혁원3309")</f>
        <v>(선5)이혁원3309</v>
      </c>
    </row>
    <row r="122" ht="15.75" customHeight="1">
      <c r="A122" s="45"/>
      <c r="J122" s="4"/>
      <c r="L122" s="4" t="str">
        <f>IFERROR(__xludf.DUMMYFUNCTION("""COMPUTED_VALUE"""),"(선5)임지원8343")</f>
        <v>(선5)임지원8343</v>
      </c>
    </row>
    <row r="123" ht="15.75" customHeight="1">
      <c r="A123" s="45"/>
      <c r="J123" s="4"/>
      <c r="L123" s="4" t="str">
        <f>IFERROR(__xludf.DUMMYFUNCTION("""COMPUTED_VALUE"""),"(선5)장은수1716")</f>
        <v>(선5)장은수1716</v>
      </c>
    </row>
    <row r="124" ht="15.75" customHeight="1">
      <c r="A124" s="45"/>
      <c r="J124" s="4"/>
      <c r="L124" s="4" t="str">
        <f>IFERROR(__xludf.DUMMYFUNCTION("""COMPUTED_VALUE"""),"(선5)정현도3979")</f>
        <v>(선5)정현도3979</v>
      </c>
    </row>
    <row r="125" ht="15.75" customHeight="1">
      <c r="A125" s="45"/>
      <c r="J125" s="4"/>
      <c r="L125" s="4" t="str">
        <f>IFERROR(__xludf.DUMMYFUNCTION("""COMPUTED_VALUE"""),"(선5)홍성현7890")</f>
        <v>(선5)홍성현7890</v>
      </c>
    </row>
    <row r="126" ht="15.75" customHeight="1">
      <c r="A126" s="45"/>
      <c r="J126" s="4"/>
      <c r="L126" s="4" t="str">
        <f>IFERROR(__xludf.DUMMYFUNCTION("""COMPUTED_VALUE"""),"(선명)강민성1732")</f>
        <v>(선명)강민성1732</v>
      </c>
    </row>
    <row r="127" ht="15.75" customHeight="1">
      <c r="A127" s="45"/>
      <c r="J127" s="4"/>
      <c r="L127" s="4" t="str">
        <f>IFERROR(__xludf.DUMMYFUNCTION("""COMPUTED_VALUE"""),"(선명)강민준1892")</f>
        <v>(선명)강민준1892</v>
      </c>
    </row>
    <row r="128" ht="15.75" customHeight="1">
      <c r="A128" s="45"/>
      <c r="J128" s="4"/>
      <c r="L128" s="4" t="str">
        <f>IFERROR(__xludf.DUMMYFUNCTION("""COMPUTED_VALUE"""),"(선명)김용현3093")</f>
        <v>(선명)김용현3093</v>
      </c>
    </row>
    <row r="129" ht="15.75" customHeight="1">
      <c r="A129" s="45"/>
      <c r="J129" s="4"/>
      <c r="L129" s="4" t="str">
        <f>IFERROR(__xludf.DUMMYFUNCTION("""COMPUTED_VALUE"""),"(선명)김정윤0506")</f>
        <v>(선명)김정윤0506</v>
      </c>
    </row>
    <row r="130" ht="15.75" customHeight="1">
      <c r="A130" s="45"/>
      <c r="J130" s="4"/>
      <c r="L130" s="4" t="str">
        <f>IFERROR(__xludf.DUMMYFUNCTION("""COMPUTED_VALUE"""),"(선명)문성현4019")</f>
        <v>(선명)문성현4019</v>
      </c>
    </row>
    <row r="131" ht="15.75" customHeight="1">
      <c r="A131" s="45"/>
      <c r="J131" s="4"/>
      <c r="L131" s="4" t="str">
        <f>IFERROR(__xludf.DUMMYFUNCTION("""COMPUTED_VALUE"""),"(선명)박주혁1772")</f>
        <v>(선명)박주혁1772</v>
      </c>
    </row>
    <row r="132" ht="15.75" customHeight="1">
      <c r="A132" s="45"/>
      <c r="J132" s="4"/>
      <c r="L132" s="4" t="str">
        <f>IFERROR(__xludf.DUMMYFUNCTION("""COMPUTED_VALUE"""),"(선명)박지우5033")</f>
        <v>(선명)박지우5033</v>
      </c>
    </row>
    <row r="133" ht="15.75" customHeight="1">
      <c r="A133" s="45"/>
      <c r="J133" s="4"/>
      <c r="L133" s="4" t="str">
        <f>IFERROR(__xludf.DUMMYFUNCTION("""COMPUTED_VALUE"""),"(선명)서지완6116")</f>
        <v>(선명)서지완6116</v>
      </c>
    </row>
    <row r="134" ht="15.75" customHeight="1">
      <c r="A134" s="45"/>
      <c r="J134" s="4"/>
      <c r="L134" s="4" t="str">
        <f>IFERROR(__xludf.DUMMYFUNCTION("""COMPUTED_VALUE"""),"(선명)안지민0361")</f>
        <v>(선명)안지민0361</v>
      </c>
    </row>
    <row r="135" ht="15.75" customHeight="1">
      <c r="A135" s="45"/>
      <c r="J135" s="4"/>
      <c r="L135" s="4" t="str">
        <f>IFERROR(__xludf.DUMMYFUNCTION("""COMPUTED_VALUE"""),"(선명)오우섭5320")</f>
        <v>(선명)오우섭5320</v>
      </c>
    </row>
    <row r="136" ht="15.75" customHeight="1">
      <c r="A136" s="45"/>
      <c r="J136" s="4"/>
      <c r="L136" s="4" t="str">
        <f>IFERROR(__xludf.DUMMYFUNCTION("""COMPUTED_VALUE"""),"(선명)원해성8438")</f>
        <v>(선명)원해성8438</v>
      </c>
    </row>
    <row r="137" ht="15.75" customHeight="1">
      <c r="A137" s="45"/>
      <c r="J137" s="4"/>
      <c r="L137" s="4" t="str">
        <f>IFERROR(__xludf.DUMMYFUNCTION("""COMPUTED_VALUE"""),"(선명)유주성1319")</f>
        <v>(선명)유주성1319</v>
      </c>
    </row>
    <row r="138" ht="15.75" customHeight="1">
      <c r="A138" s="45"/>
      <c r="J138" s="4"/>
      <c r="L138" s="4" t="str">
        <f>IFERROR(__xludf.DUMMYFUNCTION("""COMPUTED_VALUE"""),"(선명)유현동8756")</f>
        <v>(선명)유현동8756</v>
      </c>
    </row>
    <row r="139" ht="15.75" customHeight="1">
      <c r="A139" s="45"/>
      <c r="J139" s="4"/>
      <c r="L139" s="4" t="str">
        <f>IFERROR(__xludf.DUMMYFUNCTION("""COMPUTED_VALUE"""),"(선명)이교원4323")</f>
        <v>(선명)이교원4323</v>
      </c>
    </row>
    <row r="140" ht="15.75" customHeight="1">
      <c r="A140" s="45"/>
      <c r="J140" s="4"/>
      <c r="L140" s="4" t="str">
        <f>IFERROR(__xludf.DUMMYFUNCTION("""COMPUTED_VALUE"""),"(선명)이규민7242")</f>
        <v>(선명)이규민7242</v>
      </c>
    </row>
    <row r="141" ht="15.75" customHeight="1">
      <c r="A141" s="45"/>
      <c r="J141" s="4"/>
      <c r="L141" s="4" t="str">
        <f>IFERROR(__xludf.DUMMYFUNCTION("""COMPUTED_VALUE"""),"(선명)이연수1610")</f>
        <v>(선명)이연수1610</v>
      </c>
    </row>
    <row r="142" ht="15.75" customHeight="1">
      <c r="A142" s="45"/>
      <c r="J142" s="4"/>
      <c r="L142" s="4" t="str">
        <f>IFERROR(__xludf.DUMMYFUNCTION("""COMPUTED_VALUE"""),"(선명)이의진0916")</f>
        <v>(선명)이의진0916</v>
      </c>
    </row>
    <row r="143" ht="15.75" customHeight="1">
      <c r="A143" s="45"/>
      <c r="J143" s="4"/>
      <c r="L143" s="4" t="str">
        <f>IFERROR(__xludf.DUMMYFUNCTION("""COMPUTED_VALUE"""),"(선명)이재환0898")</f>
        <v>(선명)이재환0898</v>
      </c>
    </row>
    <row r="144" ht="15.75" customHeight="1">
      <c r="A144" s="45"/>
      <c r="J144" s="4"/>
      <c r="L144" s="4" t="str">
        <f>IFERROR(__xludf.DUMMYFUNCTION("""COMPUTED_VALUE"""),"(선명)이현민6622")</f>
        <v>(선명)이현민6622</v>
      </c>
    </row>
    <row r="145" ht="15.75" customHeight="1">
      <c r="A145" s="45"/>
      <c r="J145" s="4"/>
      <c r="L145" s="4" t="str">
        <f>IFERROR(__xludf.DUMMYFUNCTION("""COMPUTED_VALUE"""),"(선명)이호중8046")</f>
        <v>(선명)이호중8046</v>
      </c>
    </row>
    <row r="146" ht="15.75" customHeight="1">
      <c r="A146" s="45"/>
      <c r="J146" s="4"/>
      <c r="L146" s="4" t="str">
        <f>IFERROR(__xludf.DUMMYFUNCTION("""COMPUTED_VALUE"""),"(선명)전명욱9481")</f>
        <v>(선명)전명욱9481</v>
      </c>
    </row>
    <row r="147" ht="15.75" customHeight="1">
      <c r="A147" s="45"/>
      <c r="J147" s="4"/>
      <c r="L147" s="4" t="str">
        <f>IFERROR(__xludf.DUMMYFUNCTION("""COMPUTED_VALUE"""),"(선명)최익준3268")</f>
        <v>(선명)최익준3268</v>
      </c>
    </row>
    <row r="148" ht="15.75" customHeight="1">
      <c r="A148" s="45"/>
      <c r="J148" s="4"/>
      <c r="L148" s="4" t="str">
        <f>IFERROR(__xludf.DUMMYFUNCTION("""COMPUTED_VALUE"""),"(선아)고수민0471")</f>
        <v>(선아)고수민0471</v>
      </c>
    </row>
    <row r="149" ht="15.75" customHeight="1">
      <c r="A149" s="45"/>
      <c r="J149" s="4"/>
      <c r="L149" s="4" t="str">
        <f>IFERROR(__xludf.DUMMYFUNCTION("""COMPUTED_VALUE"""),"(선아)권나형1429")</f>
        <v>(선아)권나형1429</v>
      </c>
    </row>
    <row r="150" ht="15.75" customHeight="1">
      <c r="A150" s="45"/>
      <c r="J150" s="4"/>
      <c r="L150" s="4" t="str">
        <f>IFERROR(__xludf.DUMMYFUNCTION("""COMPUTED_VALUE"""),"(선아)김경민3077")</f>
        <v>(선아)김경민3077</v>
      </c>
    </row>
    <row r="151" ht="15.75" customHeight="1">
      <c r="A151" s="45"/>
      <c r="J151" s="4"/>
      <c r="L151" s="4" t="str">
        <f>IFERROR(__xludf.DUMMYFUNCTION("""COMPUTED_VALUE"""),"(선아)김도영3265")</f>
        <v>(선아)김도영3265</v>
      </c>
    </row>
    <row r="152" ht="15.75" customHeight="1">
      <c r="A152" s="45"/>
      <c r="J152" s="4"/>
      <c r="L152" s="4" t="str">
        <f>IFERROR(__xludf.DUMMYFUNCTION("""COMPUTED_VALUE"""),"(선아)김서아0345")</f>
        <v>(선아)김서아0345</v>
      </c>
    </row>
    <row r="153" ht="15.75" customHeight="1">
      <c r="A153" s="45"/>
      <c r="J153" s="4"/>
      <c r="L153" s="4" t="str">
        <f>IFERROR(__xludf.DUMMYFUNCTION("""COMPUTED_VALUE"""),"(선아)민채원0669")</f>
        <v>(선아)민채원0669</v>
      </c>
    </row>
    <row r="154" ht="15.75" customHeight="1">
      <c r="A154" s="45"/>
      <c r="J154" s="4"/>
      <c r="L154" s="4" t="str">
        <f>IFERROR(__xludf.DUMMYFUNCTION("""COMPUTED_VALUE"""),"(선아)석지원7441")</f>
        <v>(선아)석지원7441</v>
      </c>
    </row>
    <row r="155" ht="15.75" customHeight="1">
      <c r="A155" s="45"/>
      <c r="J155" s="4"/>
      <c r="L155" s="4" t="str">
        <f>IFERROR(__xludf.DUMMYFUNCTION("""COMPUTED_VALUE"""),"(선아)송채원4297")</f>
        <v>(선아)송채원4297</v>
      </c>
    </row>
    <row r="156" ht="15.75" customHeight="1">
      <c r="A156" s="45"/>
      <c r="J156" s="4"/>
      <c r="L156" s="4" t="str">
        <f>IFERROR(__xludf.DUMMYFUNCTION("""COMPUTED_VALUE"""),"(선아)신예지7157")</f>
        <v>(선아)신예지7157</v>
      </c>
    </row>
    <row r="157" ht="15.75" customHeight="1">
      <c r="A157" s="45"/>
      <c r="J157" s="4"/>
      <c r="L157" s="4" t="str">
        <f>IFERROR(__xludf.DUMMYFUNCTION("""COMPUTED_VALUE"""),"(선아)오채윤0494")</f>
        <v>(선아)오채윤0494</v>
      </c>
    </row>
    <row r="158" ht="15.75" customHeight="1">
      <c r="A158" s="45"/>
      <c r="J158" s="4"/>
      <c r="L158" s="4" t="str">
        <f>IFERROR(__xludf.DUMMYFUNCTION("""COMPUTED_VALUE"""),"(선아)이주희5845")</f>
        <v>(선아)이주희5845</v>
      </c>
    </row>
    <row r="159" ht="15.75" customHeight="1">
      <c r="A159" s="45"/>
      <c r="J159" s="4"/>
      <c r="L159" s="4" t="str">
        <f>IFERROR(__xludf.DUMMYFUNCTION("""COMPUTED_VALUE"""),"(선아)이하은9248")</f>
        <v>(선아)이하은9248</v>
      </c>
    </row>
    <row r="160" ht="15.75" customHeight="1">
      <c r="A160" s="45"/>
      <c r="J160" s="4"/>
      <c r="L160" s="4" t="str">
        <f>IFERROR(__xludf.DUMMYFUNCTION("""COMPUTED_VALUE"""),"(선아)임연우7885")</f>
        <v>(선아)임연우7885</v>
      </c>
    </row>
    <row r="161" ht="15.75" customHeight="1">
      <c r="A161" s="45"/>
      <c r="J161" s="4"/>
      <c r="L161" s="4" t="str">
        <f>IFERROR(__xludf.DUMMYFUNCTION("""COMPUTED_VALUE"""),"(선아)조윤서3588")</f>
        <v>(선아)조윤서3588</v>
      </c>
    </row>
    <row r="162" ht="15.75" customHeight="1">
      <c r="A162" s="45"/>
      <c r="J162" s="4"/>
      <c r="L162" s="4" t="str">
        <f>IFERROR(__xludf.DUMMYFUNCTION("""COMPUTED_VALUE"""),"(선아)최윤하9881")</f>
        <v>(선아)최윤하9881</v>
      </c>
    </row>
    <row r="163" ht="15.75" customHeight="1">
      <c r="A163" s="45"/>
      <c r="J163" s="4"/>
      <c r="L163" s="4" t="str">
        <f>IFERROR(__xludf.DUMMYFUNCTION("""COMPUTED_VALUE"""),"(선아)한가인8280")</f>
        <v>(선아)한가인8280</v>
      </c>
    </row>
    <row r="164" ht="15.75" customHeight="1">
      <c r="A164" s="45"/>
      <c r="J164" s="4"/>
      <c r="L164" s="4" t="str">
        <f>IFERROR(__xludf.DUMMYFUNCTION("""COMPUTED_VALUE"""),"(선에)고은우7243")</f>
        <v>(선에)고은우7243</v>
      </c>
    </row>
    <row r="165" ht="15.75" customHeight="1">
      <c r="A165" s="45"/>
      <c r="J165" s="4"/>
      <c r="L165" s="4" t="str">
        <f>IFERROR(__xludf.DUMMYFUNCTION("""COMPUTED_VALUE"""),"(선에)김민웅1030")</f>
        <v>(선에)김민웅1030</v>
      </c>
    </row>
    <row r="166" ht="15.75" customHeight="1">
      <c r="A166" s="45"/>
      <c r="J166" s="4"/>
      <c r="L166" s="4" t="str">
        <f>IFERROR(__xludf.DUMMYFUNCTION("""COMPUTED_VALUE"""),"(선에)김세현5789")</f>
        <v>(선에)김세현5789</v>
      </c>
    </row>
    <row r="167" ht="15.75" customHeight="1">
      <c r="A167" s="45"/>
      <c r="J167" s="4"/>
      <c r="L167" s="4" t="str">
        <f>IFERROR(__xludf.DUMMYFUNCTION("""COMPUTED_VALUE"""),"(선에)김종환2776")</f>
        <v>(선에)김종환2776</v>
      </c>
    </row>
    <row r="168" ht="15.75" customHeight="1">
      <c r="A168" s="45"/>
      <c r="J168" s="4"/>
      <c r="L168" s="4" t="str">
        <f>IFERROR(__xludf.DUMMYFUNCTION("""COMPUTED_VALUE"""),"(선에)문찬우9587")</f>
        <v>(선에)문찬우9587</v>
      </c>
    </row>
    <row r="169" ht="15.75" customHeight="1">
      <c r="A169" s="45"/>
      <c r="J169" s="4"/>
      <c r="L169" s="4" t="str">
        <f>IFERROR(__xludf.DUMMYFUNCTION("""COMPUTED_VALUE"""),"(선에)문채민7199")</f>
        <v>(선에)문채민7199</v>
      </c>
    </row>
    <row r="170" ht="15.75" customHeight="1">
      <c r="A170" s="45"/>
      <c r="J170" s="4"/>
      <c r="L170" s="4" t="str">
        <f>IFERROR(__xludf.DUMMYFUNCTION("""COMPUTED_VALUE"""),"(선에)백찬우0899")</f>
        <v>(선에)백찬우0899</v>
      </c>
    </row>
    <row r="171" ht="15.75" customHeight="1">
      <c r="A171" s="45"/>
      <c r="J171" s="4"/>
      <c r="L171" s="4" t="str">
        <f>IFERROR(__xludf.DUMMYFUNCTION("""COMPUTED_VALUE"""),"(선에)송현륭7409")</f>
        <v>(선에)송현륭7409</v>
      </c>
    </row>
    <row r="172" ht="15.75" customHeight="1">
      <c r="A172" s="45"/>
      <c r="J172" s="4"/>
      <c r="L172" s="4" t="str">
        <f>IFERROR(__xludf.DUMMYFUNCTION("""COMPUTED_VALUE"""),"(선에)신동현9599")</f>
        <v>(선에)신동현9599</v>
      </c>
    </row>
    <row r="173" ht="15.75" customHeight="1">
      <c r="A173" s="45"/>
      <c r="J173" s="4"/>
      <c r="L173" s="4" t="str">
        <f>IFERROR(__xludf.DUMMYFUNCTION("""COMPUTED_VALUE"""),"(선에)윤종호6519")</f>
        <v>(선에)윤종호6519</v>
      </c>
    </row>
    <row r="174" ht="15.75" customHeight="1">
      <c r="A174" s="45"/>
      <c r="J174" s="4"/>
      <c r="L174" s="4" t="str">
        <f>IFERROR(__xludf.DUMMYFUNCTION("""COMPUTED_VALUE"""),"(선에)이서준5506")</f>
        <v>(선에)이서준5506</v>
      </c>
    </row>
    <row r="175" ht="15.75" customHeight="1">
      <c r="A175" s="45"/>
      <c r="J175" s="4"/>
      <c r="L175" s="4" t="str">
        <f>IFERROR(__xludf.DUMMYFUNCTION("""COMPUTED_VALUE"""),"(선에)이선채1863")</f>
        <v>(선에)이선채1863</v>
      </c>
    </row>
    <row r="176" ht="15.75" customHeight="1">
      <c r="A176" s="45"/>
      <c r="J176" s="4"/>
      <c r="L176" s="4" t="str">
        <f>IFERROR(__xludf.DUMMYFUNCTION("""COMPUTED_VALUE"""),"(선에)이정우5546")</f>
        <v>(선에)이정우5546</v>
      </c>
    </row>
    <row r="177" ht="15.75" customHeight="1">
      <c r="A177" s="45"/>
      <c r="J177" s="4"/>
      <c r="L177" s="4" t="str">
        <f>IFERROR(__xludf.DUMMYFUNCTION("""COMPUTED_VALUE"""),"(선에)이주하9096")</f>
        <v>(선에)이주하9096</v>
      </c>
    </row>
    <row r="178" ht="15.75" customHeight="1">
      <c r="A178" s="45"/>
      <c r="J178" s="4"/>
      <c r="L178" s="4" t="str">
        <f>IFERROR(__xludf.DUMMYFUNCTION("""COMPUTED_VALUE"""),"(선에)임건우7179")</f>
        <v>(선에)임건우7179</v>
      </c>
    </row>
    <row r="179" ht="15.75" customHeight="1">
      <c r="A179" s="45"/>
      <c r="J179" s="4"/>
      <c r="L179" s="4" t="str">
        <f>IFERROR(__xludf.DUMMYFUNCTION("""COMPUTED_VALUE"""),"(선에)임경현7816")</f>
        <v>(선에)임경현7816</v>
      </c>
    </row>
    <row r="180" ht="15.75" customHeight="1">
      <c r="A180" s="45"/>
      <c r="J180" s="4"/>
      <c r="L180" s="4" t="str">
        <f>IFERROR(__xludf.DUMMYFUNCTION("""COMPUTED_VALUE"""),"(선에)장세현7623")</f>
        <v>(선에)장세현7623</v>
      </c>
    </row>
    <row r="181" ht="15.75" customHeight="1">
      <c r="A181" s="45"/>
      <c r="J181" s="4"/>
      <c r="L181" s="4" t="str">
        <f>IFERROR(__xludf.DUMMYFUNCTION("""COMPUTED_VALUE"""),"(선에)조현서8043")</f>
        <v>(선에)조현서8043</v>
      </c>
    </row>
    <row r="182" ht="15.75" customHeight="1">
      <c r="A182" s="45"/>
      <c r="J182" s="4"/>
      <c r="L182" s="4" t="str">
        <f>IFERROR(__xludf.DUMMYFUNCTION("""COMPUTED_VALUE"""),"(선에)주해진5722")</f>
        <v>(선에)주해진5722</v>
      </c>
    </row>
    <row r="183" ht="15.75" customHeight="1">
      <c r="A183" s="45"/>
      <c r="J183" s="4"/>
      <c r="L183" s="4" t="str">
        <f>IFERROR(__xludf.DUMMYFUNCTION("""COMPUTED_VALUE"""),"(선에)최윤호7264")</f>
        <v>(선에)최윤호7264</v>
      </c>
    </row>
    <row r="184" ht="15.75" customHeight="1">
      <c r="A184" s="45"/>
      <c r="J184" s="4"/>
      <c r="L184" s="4" t="str">
        <f>IFERROR(__xludf.DUMMYFUNCTION("""COMPUTED_VALUE"""),"(선에)최인혁1665")</f>
        <v>(선에)최인혁1665</v>
      </c>
    </row>
    <row r="185" ht="15.75" customHeight="1">
      <c r="A185" s="45"/>
      <c r="J185" s="4"/>
      <c r="L185" s="4" t="str">
        <f>IFERROR(__xludf.DUMMYFUNCTION("""COMPUTED_VALUE"""),"(선일)서윤영3302")</f>
        <v>(선일)서윤영3302</v>
      </c>
    </row>
    <row r="186" ht="15.75" customHeight="1">
      <c r="A186" s="45"/>
      <c r="J186" s="4"/>
      <c r="L186" s="4" t="str">
        <f>IFERROR(__xludf.DUMMYFUNCTION("""COMPUTED_VALUE"""),"(선일)이도희4100")</f>
        <v>(선일)이도희4100</v>
      </c>
    </row>
    <row r="187" ht="15.75" customHeight="1">
      <c r="A187" s="45"/>
      <c r="J187" s="4"/>
      <c r="L187" s="4" t="str">
        <f>IFERROR(__xludf.DUMMYFUNCTION("""COMPUTED_VALUE"""),"(선케)황서은3724")</f>
        <v>(선케)황서은3724</v>
      </c>
    </row>
    <row r="188" ht="15.75" customHeight="1">
      <c r="A188" s="45"/>
      <c r="J188" s="4"/>
      <c r="L188" s="4" t="str">
        <f>IFERROR(__xludf.DUMMYFUNCTION("""COMPUTED_VALUE"""),"(선태)곽현서0403")</f>
        <v>(선태)곽현서0403</v>
      </c>
    </row>
    <row r="189" ht="15.75" customHeight="1">
      <c r="A189" s="45"/>
      <c r="J189" s="4"/>
      <c r="L189" s="4" t="str">
        <f>IFERROR(__xludf.DUMMYFUNCTION("""COMPUTED_VALUE"""),"(선태)구연지4191")</f>
        <v>(선태)구연지4191</v>
      </c>
    </row>
    <row r="190" ht="15.75" customHeight="1">
      <c r="A190" s="45"/>
      <c r="J190" s="4"/>
      <c r="L190" s="4" t="str">
        <f>IFERROR(__xludf.DUMMYFUNCTION("""COMPUTED_VALUE"""),"(선태)김나윤9848")</f>
        <v>(선태)김나윤9848</v>
      </c>
    </row>
    <row r="191" ht="15.75" customHeight="1">
      <c r="A191" s="45"/>
      <c r="J191" s="4"/>
      <c r="L191" s="4" t="str">
        <f>IFERROR(__xludf.DUMMYFUNCTION("""COMPUTED_VALUE"""),"(선태)김민정9098")</f>
        <v>(선태)김민정9098</v>
      </c>
    </row>
    <row r="192" ht="15.75" customHeight="1">
      <c r="A192" s="45"/>
      <c r="J192" s="4"/>
      <c r="L192" s="4" t="str">
        <f>IFERROR(__xludf.DUMMYFUNCTION("""COMPUTED_VALUE"""),"(선태)김민주7503")</f>
        <v>(선태)김민주7503</v>
      </c>
    </row>
    <row r="193" ht="15.75" customHeight="1">
      <c r="A193" s="45"/>
      <c r="J193" s="4"/>
      <c r="L193" s="4" t="str">
        <f>IFERROR(__xludf.DUMMYFUNCTION("""COMPUTED_VALUE"""),"(선태)김민주9700")</f>
        <v>(선태)김민주9700</v>
      </c>
    </row>
    <row r="194" ht="15.75" customHeight="1">
      <c r="A194" s="45"/>
      <c r="J194" s="4"/>
      <c r="L194" s="4" t="str">
        <f>IFERROR(__xludf.DUMMYFUNCTION("""COMPUTED_VALUE"""),"(선태)김의정8603")</f>
        <v>(선태)김의정8603</v>
      </c>
    </row>
    <row r="195" ht="15.75" customHeight="1">
      <c r="A195" s="45"/>
      <c r="J195" s="4"/>
      <c r="L195" s="4" t="str">
        <f>IFERROR(__xludf.DUMMYFUNCTION("""COMPUTED_VALUE"""),"(선태)김재연9252")</f>
        <v>(선태)김재연9252</v>
      </c>
    </row>
    <row r="196" ht="15.75" customHeight="1">
      <c r="A196" s="45"/>
      <c r="J196" s="4"/>
      <c r="L196" s="4" t="str">
        <f>IFERROR(__xludf.DUMMYFUNCTION("""COMPUTED_VALUE"""),"(선태)김지수9640")</f>
        <v>(선태)김지수9640</v>
      </c>
    </row>
    <row r="197" ht="15.75" customHeight="1">
      <c r="A197" s="45"/>
      <c r="J197" s="4"/>
      <c r="L197" s="4" t="str">
        <f>IFERROR(__xludf.DUMMYFUNCTION("""COMPUTED_VALUE"""),"(선태)김지원9192")</f>
        <v>(선태)김지원9192</v>
      </c>
    </row>
    <row r="198" ht="15.75" customHeight="1">
      <c r="A198" s="45"/>
      <c r="J198" s="4"/>
      <c r="L198" s="4" t="str">
        <f>IFERROR(__xludf.DUMMYFUNCTION("""COMPUTED_VALUE"""),"(선태)박서현5467")</f>
        <v>(선태)박서현5467</v>
      </c>
    </row>
    <row r="199" ht="15.75" customHeight="1">
      <c r="A199" s="45"/>
      <c r="J199" s="4"/>
      <c r="L199" s="4" t="str">
        <f>IFERROR(__xludf.DUMMYFUNCTION("""COMPUTED_VALUE"""),"(선태)박시아5325")</f>
        <v>(선태)박시아5325</v>
      </c>
    </row>
    <row r="200" ht="15.75" customHeight="1">
      <c r="A200" s="45"/>
      <c r="J200" s="4"/>
      <c r="L200" s="4" t="str">
        <f>IFERROR(__xludf.DUMMYFUNCTION("""COMPUTED_VALUE"""),"(선태)박시현1278")</f>
        <v>(선태)박시현1278</v>
      </c>
    </row>
    <row r="201" ht="15.75" customHeight="1">
      <c r="A201" s="45"/>
      <c r="J201" s="4"/>
      <c r="L201" s="4" t="str">
        <f>IFERROR(__xludf.DUMMYFUNCTION("""COMPUTED_VALUE"""),"(선태)서은빈0707")</f>
        <v>(선태)서은빈0707</v>
      </c>
    </row>
    <row r="202" ht="15.75" customHeight="1">
      <c r="A202" s="45"/>
      <c r="J202" s="4"/>
      <c r="L202" s="4" t="str">
        <f>IFERROR(__xludf.DUMMYFUNCTION("""COMPUTED_VALUE"""),"(선태)성민주2407")</f>
        <v>(선태)성민주2407</v>
      </c>
    </row>
    <row r="203" ht="15.75" customHeight="1">
      <c r="A203" s="45"/>
      <c r="J203" s="4"/>
      <c r="L203" s="4" t="str">
        <f>IFERROR(__xludf.DUMMYFUNCTION("""COMPUTED_VALUE"""),"(선태)우윤선8701")</f>
        <v>(선태)우윤선8701</v>
      </c>
    </row>
    <row r="204" ht="15.75" customHeight="1">
      <c r="A204" s="45"/>
      <c r="J204" s="4"/>
      <c r="L204" s="4" t="str">
        <f>IFERROR(__xludf.DUMMYFUNCTION("""COMPUTED_VALUE"""),"(선태)이수빈7580")</f>
        <v>(선태)이수빈7580</v>
      </c>
    </row>
    <row r="205" ht="15.75" customHeight="1">
      <c r="A205" s="45"/>
      <c r="J205" s="4"/>
      <c r="L205" s="4" t="str">
        <f>IFERROR(__xludf.DUMMYFUNCTION("""COMPUTED_VALUE"""),"(선태)장지인5302")</f>
        <v>(선태)장지인5302</v>
      </c>
    </row>
    <row r="206" ht="15.75" customHeight="1">
      <c r="A206" s="45"/>
      <c r="J206" s="4"/>
      <c r="L206" s="4" t="str">
        <f>IFERROR(__xludf.DUMMYFUNCTION("""COMPUTED_VALUE"""),"(선태)정수빈2671")</f>
        <v>(선태)정수빈2671</v>
      </c>
    </row>
    <row r="207" ht="15.75" customHeight="1">
      <c r="A207" s="45"/>
      <c r="J207" s="4"/>
      <c r="L207" s="4" t="str">
        <f>IFERROR(__xludf.DUMMYFUNCTION("""COMPUTED_VALUE"""),"(선태)정혜진4689")</f>
        <v>(선태)정혜진4689</v>
      </c>
    </row>
    <row r="208" ht="15.75" customHeight="1">
      <c r="A208" s="45"/>
      <c r="J208" s="4"/>
      <c r="L208" s="4" t="str">
        <f>IFERROR(__xludf.DUMMYFUNCTION("""COMPUTED_VALUE"""),"(선태)최서연1318")</f>
        <v>(선태)최서연1318</v>
      </c>
    </row>
    <row r="209" ht="15.75" customHeight="1">
      <c r="A209" s="45"/>
      <c r="J209" s="4"/>
      <c r="L209" s="4" t="str">
        <f>IFERROR(__xludf.DUMMYFUNCTION("""COMPUTED_VALUE"""),"(선태)최서윤5306")</f>
        <v>(선태)최서윤5306</v>
      </c>
    </row>
    <row r="210" ht="15.75" customHeight="1">
      <c r="A210" s="45"/>
      <c r="J210" s="4"/>
      <c r="L210" s="4" t="str">
        <f>IFERROR(__xludf.DUMMYFUNCTION("""COMPUTED_VALUE"""),"(선태)최서윤6658")</f>
        <v>(선태)최서윤6658</v>
      </c>
    </row>
    <row r="211" ht="15.75" customHeight="1">
      <c r="A211" s="45"/>
      <c r="J211" s="4"/>
      <c r="L211" s="4" t="str">
        <f>IFERROR(__xludf.DUMMYFUNCTION("""COMPUTED_VALUE"""),"(선태)최지원2183")</f>
        <v>(선태)최지원2183</v>
      </c>
    </row>
    <row r="212" ht="15.75" customHeight="1">
      <c r="A212" s="45"/>
      <c r="J212" s="4"/>
      <c r="L212" s="4" t="str">
        <f>IFERROR(__xludf.DUMMYFUNCTION("""COMPUTED_VALUE"""),"(선태)허유진4173")</f>
        <v>(선태)허유진4173</v>
      </c>
    </row>
    <row r="213" ht="15.75" customHeight="1">
      <c r="A213" s="45"/>
      <c r="J213" s="4"/>
      <c r="L213" s="4" t="str">
        <f>IFERROR(__xludf.DUMMYFUNCTION("""COMPUTED_VALUE"""),"(선태)홍민지7100")</f>
        <v>(선태)홍민지7100</v>
      </c>
    </row>
    <row r="214" ht="15.75" customHeight="1">
      <c r="A214" s="45"/>
      <c r="J214" s="4"/>
      <c r="L214" s="4" t="str">
        <f>IFERROR(__xludf.DUMMYFUNCTION("""COMPUTED_VALUE"""),"(선태)홍연수6977")</f>
        <v>(선태)홍연수6977</v>
      </c>
    </row>
    <row r="215" ht="15.75" customHeight="1">
      <c r="A215" s="45"/>
      <c r="J215" s="4"/>
      <c r="L215" s="4" t="str">
        <f>IFERROR(__xludf.DUMMYFUNCTION("""COMPUTED_VALUE"""),"(아)이송현2436")</f>
        <v>(아)이송현2436</v>
      </c>
    </row>
    <row r="216" ht="15.75" customHeight="1">
      <c r="A216" s="45"/>
      <c r="J216" s="4"/>
      <c r="L216" s="4" t="str">
        <f>IFERROR(__xludf.DUMMYFUNCTION("""COMPUTED_VALUE"""),"(아)조은수0899")</f>
        <v>(아)조은수0899</v>
      </c>
    </row>
    <row r="217" ht="15.75" customHeight="1">
      <c r="A217" s="45"/>
      <c r="J217" s="4"/>
      <c r="L217" s="4" t="str">
        <f>IFERROR(__xludf.DUMMYFUNCTION("""COMPUTED_VALUE"""),"(아)황예나0608")</f>
        <v>(아)황예나0608</v>
      </c>
    </row>
    <row r="218" ht="15.75" customHeight="1">
      <c r="A218" s="45"/>
      <c r="J218" s="4"/>
      <c r="L218" s="4" t="str">
        <f>IFERROR(__xludf.DUMMYFUNCTION("""COMPUTED_VALUE"""),"(에)마준영8046")</f>
        <v>(에)마준영8046</v>
      </c>
    </row>
    <row r="219" ht="15.75" customHeight="1">
      <c r="A219" s="45"/>
      <c r="J219" s="4"/>
      <c r="L219" s="4" t="str">
        <f>IFERROR(__xludf.DUMMYFUNCTION("""COMPUTED_VALUE"""),"(에)손원석7910")</f>
        <v>(에)손원석7910</v>
      </c>
    </row>
    <row r="220" ht="15.75" customHeight="1">
      <c r="A220" s="45"/>
      <c r="J220" s="4"/>
      <c r="L220" s="4" t="str">
        <f>IFERROR(__xludf.DUMMYFUNCTION("""COMPUTED_VALUE"""),"(에)이승훈0933")</f>
        <v>(에)이승훈0933</v>
      </c>
    </row>
    <row r="221" ht="15.75" customHeight="1">
      <c r="A221" s="45"/>
      <c r="J221" s="4"/>
      <c r="L221" s="4" t="str">
        <f>IFERROR(__xludf.DUMMYFUNCTION("""COMPUTED_VALUE"""),"(에)정현우7348")</f>
        <v>(에)정현우7348</v>
      </c>
    </row>
    <row r="222" ht="15.75" customHeight="1">
      <c r="A222" s="45"/>
      <c r="J222" s="4"/>
      <c r="L222" s="4" t="str">
        <f>IFERROR(__xludf.DUMMYFUNCTION("""COMPUTED_VALUE"""),"(에)최현태6875")</f>
        <v>(에)최현태6875</v>
      </c>
    </row>
    <row r="223" ht="15.75" customHeight="1">
      <c r="A223" s="45"/>
      <c r="J223" s="4"/>
      <c r="L223" s="4" t="str">
        <f>IFERROR(__xludf.DUMMYFUNCTION("""COMPUTED_VALUE"""),"(일)권민지5147")</f>
        <v>(일)권민지5147</v>
      </c>
    </row>
    <row r="224" ht="15.75" customHeight="1">
      <c r="A224" s="45"/>
      <c r="J224" s="4"/>
      <c r="L224" s="4" t="str">
        <f>IFERROR(__xludf.DUMMYFUNCTION("""COMPUTED_VALUE"""),"(일)김현민4570")</f>
        <v>(일)김현민4570</v>
      </c>
    </row>
    <row r="225" ht="15.75" customHeight="1">
      <c r="A225" s="45"/>
      <c r="J225" s="4"/>
      <c r="L225" s="4" t="str">
        <f>IFERROR(__xludf.DUMMYFUNCTION("""COMPUTED_VALUE"""),"(정)김동연2457")</f>
        <v>(정)김동연2457</v>
      </c>
    </row>
    <row r="226" ht="15.75" customHeight="1">
      <c r="A226" s="45"/>
      <c r="J226" s="4"/>
      <c r="L226" s="4" t="str">
        <f>IFERROR(__xludf.DUMMYFUNCTION("""COMPUTED_VALUE"""),"(정)김민성1175")</f>
        <v>(정)김민성1175</v>
      </c>
    </row>
    <row r="227" ht="15.75" customHeight="1">
      <c r="A227" s="45"/>
      <c r="J227" s="4"/>
      <c r="L227" s="4" t="str">
        <f>IFERROR(__xludf.DUMMYFUNCTION("""COMPUTED_VALUE"""),"(정)김하준5123")</f>
        <v>(정)김하준5123</v>
      </c>
    </row>
    <row r="228" ht="15.75" customHeight="1">
      <c r="A228" s="45"/>
      <c r="J228" s="4"/>
      <c r="L228" s="4" t="str">
        <f>IFERROR(__xludf.DUMMYFUNCTION("""COMPUTED_VALUE"""),"(정)박정우4010")</f>
        <v>(정)박정우4010</v>
      </c>
    </row>
    <row r="229" ht="15.75" customHeight="1">
      <c r="A229" s="45"/>
      <c r="J229" s="4"/>
      <c r="L229" s="4" t="str">
        <f>IFERROR(__xludf.DUMMYFUNCTION("""COMPUTED_VALUE"""),"(정)박종익8931")</f>
        <v>(정)박종익8931</v>
      </c>
    </row>
    <row r="230" ht="15.75" customHeight="1">
      <c r="A230" s="45"/>
      <c r="J230" s="4"/>
      <c r="L230" s="4" t="str">
        <f>IFERROR(__xludf.DUMMYFUNCTION("""COMPUTED_VALUE"""),"(정)서준호7615")</f>
        <v>(정)서준호7615</v>
      </c>
    </row>
    <row r="231" ht="15.75" customHeight="1">
      <c r="A231" s="45"/>
      <c r="J231" s="4"/>
      <c r="L231" s="4" t="str">
        <f>IFERROR(__xludf.DUMMYFUNCTION("""COMPUTED_VALUE"""),"(정)손재호7632")</f>
        <v>(정)손재호7632</v>
      </c>
    </row>
    <row r="232" ht="15.75" customHeight="1">
      <c r="A232" s="45"/>
      <c r="J232" s="4"/>
      <c r="L232" s="4" t="str">
        <f>IFERROR(__xludf.DUMMYFUNCTION("""COMPUTED_VALUE"""),"(정)양성식4022")</f>
        <v>(정)양성식4022</v>
      </c>
    </row>
    <row r="233" ht="15.75" customHeight="1">
      <c r="A233" s="45"/>
      <c r="J233" s="4"/>
      <c r="L233" s="4" t="str">
        <f>IFERROR(__xludf.DUMMYFUNCTION("""COMPUTED_VALUE"""),"(정)양한슬2808")</f>
        <v>(정)양한슬2808</v>
      </c>
    </row>
    <row r="234" ht="15.75" customHeight="1">
      <c r="A234" s="45"/>
      <c r="J234" s="4"/>
      <c r="L234" s="4" t="str">
        <f>IFERROR(__xludf.DUMMYFUNCTION("""COMPUTED_VALUE"""),"(정)유수민6056")</f>
        <v>(정)유수민6056</v>
      </c>
    </row>
    <row r="235" ht="15.75" customHeight="1">
      <c r="A235" s="45"/>
      <c r="J235" s="4"/>
      <c r="L235" s="4" t="str">
        <f>IFERROR(__xludf.DUMMYFUNCTION("""COMPUTED_VALUE"""),"(정)이승민2175")</f>
        <v>(정)이승민2175</v>
      </c>
    </row>
    <row r="236" ht="15.75" customHeight="1">
      <c r="A236" s="45"/>
      <c r="J236" s="4"/>
      <c r="L236" s="4" t="str">
        <f>IFERROR(__xludf.DUMMYFUNCTION("""COMPUTED_VALUE"""),"(정)이정현7377")</f>
        <v>(정)이정현7377</v>
      </c>
    </row>
    <row r="237" ht="15.75" customHeight="1">
      <c r="A237" s="45"/>
      <c r="J237" s="4"/>
      <c r="L237" s="4" t="str">
        <f>IFERROR(__xludf.DUMMYFUNCTION("""COMPUTED_VALUE"""),"(정)이지훈4736")</f>
        <v>(정)이지훈4736</v>
      </c>
    </row>
    <row r="238" ht="15.75" customHeight="1">
      <c r="A238" s="45"/>
      <c r="J238" s="4"/>
      <c r="L238" s="4" t="str">
        <f>IFERROR(__xludf.DUMMYFUNCTION("""COMPUTED_VALUE"""),"(정)장혁준9355")</f>
        <v>(정)장혁준9355</v>
      </c>
    </row>
    <row r="239" ht="15.75" customHeight="1">
      <c r="A239" s="45"/>
      <c r="J239" s="4"/>
      <c r="L239" s="4" t="str">
        <f>IFERROR(__xludf.DUMMYFUNCTION("""COMPUTED_VALUE"""),"(정)정민욱9377")</f>
        <v>(정)정민욱9377</v>
      </c>
    </row>
    <row r="240" ht="15.75" customHeight="1">
      <c r="A240" s="45"/>
      <c r="J240" s="4"/>
      <c r="L240" s="4" t="str">
        <f>IFERROR(__xludf.DUMMYFUNCTION("""COMPUTED_VALUE"""),"(정)정지훈3166")</f>
        <v>(정)정지훈3166</v>
      </c>
    </row>
    <row r="241" ht="15.75" customHeight="1">
      <c r="A241" s="45"/>
      <c r="J241" s="4"/>
      <c r="L241" s="4" t="str">
        <f>IFERROR(__xludf.DUMMYFUNCTION("""COMPUTED_VALUE"""),"(정)채현우7675")</f>
        <v>(정)채현우7675</v>
      </c>
    </row>
    <row r="242" ht="15.75" customHeight="1">
      <c r="A242" s="45"/>
      <c r="J242" s="4"/>
      <c r="L242" s="4" t="str">
        <f>IFERROR(__xludf.DUMMYFUNCTION("""COMPUTED_VALUE"""),"(정)한지산7711")</f>
        <v>(정)한지산7711</v>
      </c>
    </row>
    <row r="243" ht="15.75" customHeight="1">
      <c r="A243" s="45"/>
      <c r="J243" s="4"/>
      <c r="L243" s="4" t="str">
        <f>IFERROR(__xludf.DUMMYFUNCTION("""COMPUTED_VALUE"""),"(정)함동근0706")</f>
        <v>(정)함동근0706</v>
      </c>
    </row>
    <row r="244" ht="15.75" customHeight="1">
      <c r="A244" s="45"/>
      <c r="J244" s="4"/>
      <c r="L244" s="4" t="str">
        <f>IFERROR(__xludf.DUMMYFUNCTION("""COMPUTED_VALUE"""),"(정)황승우8942")</f>
        <v>(정)황승우8942</v>
      </c>
    </row>
    <row r="245" ht="15.75" customHeight="1">
      <c r="A245" s="45"/>
      <c r="J245" s="4"/>
      <c r="L245" s="4" t="str">
        <f>IFERROR(__xludf.DUMMYFUNCTION("""COMPUTED_VALUE"""),"(케)강서윤2790")</f>
        <v>(케)강서윤2790</v>
      </c>
    </row>
    <row r="246" ht="15.75" customHeight="1">
      <c r="A246" s="45"/>
      <c r="J246" s="4"/>
      <c r="L246" s="4" t="str">
        <f>IFERROR(__xludf.DUMMYFUNCTION("""COMPUTED_VALUE"""),"(케)고소은3136")</f>
        <v>(케)고소은3136</v>
      </c>
    </row>
    <row r="247" ht="15.75" customHeight="1">
      <c r="A247" s="45"/>
      <c r="J247" s="4"/>
      <c r="L247" s="4" t="str">
        <f>IFERROR(__xludf.DUMMYFUNCTION("""COMPUTED_VALUE"""),"(케)고유리1925")</f>
        <v>(케)고유리1925</v>
      </c>
    </row>
    <row r="248" ht="15.75" customHeight="1">
      <c r="A248" s="45"/>
      <c r="J248" s="4"/>
      <c r="L248" s="4" t="str">
        <f>IFERROR(__xludf.DUMMYFUNCTION("""COMPUTED_VALUE"""),"(케)김나현3679")</f>
        <v>(케)김나현3679</v>
      </c>
    </row>
    <row r="249" ht="15.75" customHeight="1">
      <c r="A249" s="45"/>
      <c r="J249" s="4"/>
      <c r="L249" s="4" t="str">
        <f>IFERROR(__xludf.DUMMYFUNCTION("""COMPUTED_VALUE"""),"(케)김수겸3336")</f>
        <v>(케)김수겸3336</v>
      </c>
    </row>
    <row r="250" ht="15.75" customHeight="1">
      <c r="A250" s="45"/>
      <c r="J250" s="4"/>
      <c r="L250" s="4" t="str">
        <f>IFERROR(__xludf.DUMMYFUNCTION("""COMPUTED_VALUE"""),"(케)김연우5469")</f>
        <v>(케)김연우5469</v>
      </c>
    </row>
    <row r="251" ht="15.75" customHeight="1">
      <c r="A251" s="45"/>
      <c r="J251" s="4"/>
      <c r="L251" s="4" t="str">
        <f>IFERROR(__xludf.DUMMYFUNCTION("""COMPUTED_VALUE"""),"(케)김예지5681")</f>
        <v>(케)김예지5681</v>
      </c>
    </row>
    <row r="252" ht="15.75" customHeight="1">
      <c r="A252" s="45"/>
      <c r="J252" s="4"/>
      <c r="L252" s="4" t="str">
        <f>IFERROR(__xludf.DUMMYFUNCTION("""COMPUTED_VALUE"""),"(케)김윤서0662")</f>
        <v>(케)김윤서0662</v>
      </c>
    </row>
    <row r="253" ht="15.75" customHeight="1">
      <c r="A253" s="45"/>
      <c r="J253" s="4"/>
      <c r="L253" s="4" t="str">
        <f>IFERROR(__xludf.DUMMYFUNCTION("""COMPUTED_VALUE"""),"(케)김지아4708")</f>
        <v>(케)김지아4708</v>
      </c>
    </row>
    <row r="254" ht="15.75" customHeight="1">
      <c r="A254" s="45"/>
      <c r="J254" s="4"/>
      <c r="L254" s="4" t="str">
        <f>IFERROR(__xludf.DUMMYFUNCTION("""COMPUTED_VALUE"""),"(케)김지우4639")</f>
        <v>(케)김지우4639</v>
      </c>
    </row>
    <row r="255" ht="15.75" customHeight="1">
      <c r="A255" s="45"/>
      <c r="J255" s="4"/>
      <c r="L255" s="4" t="str">
        <f>IFERROR(__xludf.DUMMYFUNCTION("""COMPUTED_VALUE"""),"(케)김해솔1244")</f>
        <v>(케)김해솔1244</v>
      </c>
    </row>
    <row r="256" ht="15.75" customHeight="1">
      <c r="A256" s="45"/>
      <c r="J256" s="4"/>
      <c r="L256" s="4" t="str">
        <f>IFERROR(__xludf.DUMMYFUNCTION("""COMPUTED_VALUE"""),"(케)박민주9228")</f>
        <v>(케)박민주9228</v>
      </c>
    </row>
    <row r="257" ht="15.75" customHeight="1">
      <c r="A257" s="45"/>
      <c r="J257" s="4"/>
      <c r="L257" s="4" t="str">
        <f>IFERROR(__xludf.DUMMYFUNCTION("""COMPUTED_VALUE"""),"(케)박지현0096")</f>
        <v>(케)박지현0096</v>
      </c>
    </row>
    <row r="258" ht="15.75" customHeight="1">
      <c r="A258" s="45"/>
      <c r="J258" s="4"/>
      <c r="L258" s="4" t="str">
        <f>IFERROR(__xludf.DUMMYFUNCTION("""COMPUTED_VALUE"""),"(케)박채연6575")</f>
        <v>(케)박채연6575</v>
      </c>
    </row>
    <row r="259" ht="15.75" customHeight="1">
      <c r="A259" s="45"/>
      <c r="J259" s="4"/>
      <c r="L259" s="4" t="str">
        <f>IFERROR(__xludf.DUMMYFUNCTION("""COMPUTED_VALUE"""),"(케)서하윤3457")</f>
        <v>(케)서하윤3457</v>
      </c>
    </row>
    <row r="260" ht="15.75" customHeight="1">
      <c r="A260" s="45"/>
      <c r="J260" s="4"/>
      <c r="L260" s="4" t="str">
        <f>IFERROR(__xludf.DUMMYFUNCTION("""COMPUTED_VALUE"""),"(케)신윤지9575")</f>
        <v>(케)신윤지9575</v>
      </c>
    </row>
    <row r="261" ht="15.75" customHeight="1">
      <c r="A261" s="45"/>
      <c r="J261" s="4"/>
      <c r="L261" s="4" t="str">
        <f>IFERROR(__xludf.DUMMYFUNCTION("""COMPUTED_VALUE"""),"(케)안시현8180")</f>
        <v>(케)안시현8180</v>
      </c>
    </row>
    <row r="262" ht="15.75" customHeight="1">
      <c r="A262" s="45"/>
      <c r="J262" s="4"/>
      <c r="L262" s="4" t="str">
        <f>IFERROR(__xludf.DUMMYFUNCTION("""COMPUTED_VALUE"""),"(케)안예진2911")</f>
        <v>(케)안예진2911</v>
      </c>
    </row>
    <row r="263" ht="15.75" customHeight="1">
      <c r="A263" s="45"/>
      <c r="J263" s="4"/>
      <c r="L263" s="4" t="str">
        <f>IFERROR(__xludf.DUMMYFUNCTION("""COMPUTED_VALUE"""),"(케)이윤진2108")</f>
        <v>(케)이윤진2108</v>
      </c>
    </row>
    <row r="264" ht="15.75" customHeight="1">
      <c r="A264" s="45"/>
      <c r="J264" s="4"/>
      <c r="L264" s="4" t="str">
        <f>IFERROR(__xludf.DUMMYFUNCTION("""COMPUTED_VALUE"""),"(케)주지민5159")</f>
        <v>(케)주지민5159</v>
      </c>
    </row>
    <row r="265" ht="15.75" customHeight="1">
      <c r="A265" s="45"/>
      <c r="J265" s="4"/>
      <c r="L265" s="4" t="str">
        <f>IFERROR(__xludf.DUMMYFUNCTION("""COMPUTED_VALUE"""),"(케)최정민5304")</f>
        <v>(케)최정민5304</v>
      </c>
    </row>
    <row r="266" ht="15.75" customHeight="1">
      <c r="A266" s="45"/>
      <c r="J266" s="4"/>
      <c r="L266" s="4" t="str">
        <f>IFERROR(__xludf.DUMMYFUNCTION("""COMPUTED_VALUE"""),"(케)현세영7821")</f>
        <v>(케)현세영7821</v>
      </c>
    </row>
    <row r="267" ht="15.75" customHeight="1">
      <c r="A267" s="45"/>
      <c r="J267" s="4"/>
      <c r="L267" s="4" t="str">
        <f>IFERROR(__xludf.DUMMYFUNCTION("""COMPUTED_VALUE"""),"(케)홍지우1873")</f>
        <v>(케)홍지우1873</v>
      </c>
    </row>
    <row r="268" ht="15.75" customHeight="1">
      <c r="A268" s="45"/>
      <c r="J268" s="4"/>
      <c r="L268" s="4" t="str">
        <f>IFERROR(__xludf.DUMMYFUNCTION("""COMPUTED_VALUE"""),"(태)김서원8421")</f>
        <v>(태)김서원8421</v>
      </c>
    </row>
    <row r="269" ht="15.75" customHeight="1">
      <c r="A269" s="45"/>
      <c r="J269" s="4"/>
      <c r="L269" s="4" t="str">
        <f>IFERROR(__xludf.DUMMYFUNCTION("""COMPUTED_VALUE"""),"(훼)김기범3977")</f>
        <v>(훼)김기범3977</v>
      </c>
    </row>
    <row r="270" ht="15.75" customHeight="1">
      <c r="A270" s="45"/>
      <c r="J270" s="4"/>
      <c r="L270" s="4" t="str">
        <f>IFERROR(__xludf.DUMMYFUNCTION("""COMPUTED_VALUE"""),"(훼)김민재1454")</f>
        <v>(훼)김민재1454</v>
      </c>
    </row>
    <row r="271" ht="15.75" customHeight="1">
      <c r="A271" s="45"/>
      <c r="J271" s="4"/>
      <c r="L271" s="4" t="str">
        <f>IFERROR(__xludf.DUMMYFUNCTION("""COMPUTED_VALUE"""),"(훼)김정주0500")</f>
        <v>(훼)김정주0500</v>
      </c>
    </row>
    <row r="272" ht="15.75" customHeight="1">
      <c r="A272" s="45"/>
      <c r="J272" s="4"/>
      <c r="L272" s="4" t="str">
        <f>IFERROR(__xludf.DUMMYFUNCTION("""COMPUTED_VALUE"""),"(훼)김지환1228")</f>
        <v>(훼)김지환1228</v>
      </c>
    </row>
    <row r="273" ht="15.75" customHeight="1">
      <c r="A273" s="45"/>
      <c r="J273" s="4"/>
      <c r="L273" s="4" t="str">
        <f>IFERROR(__xludf.DUMMYFUNCTION("""COMPUTED_VALUE"""),"(훼)문성빈6175")</f>
        <v>(훼)문성빈6175</v>
      </c>
    </row>
    <row r="274" ht="15.75" customHeight="1">
      <c r="A274" s="45"/>
      <c r="J274" s="4"/>
      <c r="L274" s="4" t="str">
        <f>IFERROR(__xludf.DUMMYFUNCTION("""COMPUTED_VALUE"""),"(훼)방석준4505")</f>
        <v>(훼)방석준4505</v>
      </c>
    </row>
    <row r="275" ht="15.75" customHeight="1">
      <c r="A275" s="45"/>
      <c r="J275" s="4"/>
      <c r="L275" s="4" t="str">
        <f>IFERROR(__xludf.DUMMYFUNCTION("""COMPUTED_VALUE"""),"(훼)서태민1520")</f>
        <v>(훼)서태민1520</v>
      </c>
    </row>
    <row r="276" ht="15.75" customHeight="1">
      <c r="A276" s="45"/>
      <c r="J276" s="4"/>
      <c r="L276" s="4" t="str">
        <f>IFERROR(__xludf.DUMMYFUNCTION("""COMPUTED_VALUE"""),"(훼)신진수8426")</f>
        <v>(훼)신진수8426</v>
      </c>
    </row>
    <row r="277" ht="15.75" customHeight="1">
      <c r="A277" s="45"/>
      <c r="J277" s="4"/>
      <c r="L277" s="4" t="str">
        <f>IFERROR(__xludf.DUMMYFUNCTION("""COMPUTED_VALUE"""),"(훼)이강토7493")</f>
        <v>(훼)이강토7493</v>
      </c>
    </row>
    <row r="278" ht="15.75" customHeight="1">
      <c r="A278" s="45"/>
      <c r="J278" s="4"/>
      <c r="L278" s="4" t="str">
        <f>IFERROR(__xludf.DUMMYFUNCTION("""COMPUTED_VALUE"""),"(훼)이건욱3659")</f>
        <v>(훼)이건욱3659</v>
      </c>
    </row>
    <row r="279" ht="15.75" customHeight="1">
      <c r="A279" s="45"/>
      <c r="J279" s="4"/>
      <c r="L279" s="4" t="str">
        <f>IFERROR(__xludf.DUMMYFUNCTION("""COMPUTED_VALUE"""),"(훼)이민재2779")</f>
        <v>(훼)이민재2779</v>
      </c>
    </row>
    <row r="280" ht="15.75" customHeight="1">
      <c r="A280" s="45"/>
      <c r="J280" s="4"/>
      <c r="L280" s="4" t="str">
        <f>IFERROR(__xludf.DUMMYFUNCTION("""COMPUTED_VALUE"""),"(훼)이서준6562")</f>
        <v>(훼)이서준6562</v>
      </c>
    </row>
    <row r="281" ht="15.75" customHeight="1">
      <c r="A281" s="45"/>
      <c r="J281" s="4"/>
      <c r="L281" s="4" t="str">
        <f>IFERROR(__xludf.DUMMYFUNCTION("""COMPUTED_VALUE"""),"(훼)이홍석4338")</f>
        <v>(훼)이홍석4338</v>
      </c>
    </row>
    <row r="282" ht="15.75" customHeight="1">
      <c r="A282" s="45"/>
      <c r="J282" s="4"/>
      <c r="L282" s="4" t="str">
        <f>IFERROR(__xludf.DUMMYFUNCTION("""COMPUTED_VALUE"""),"(훼)임여준7908")</f>
        <v>(훼)임여준7908</v>
      </c>
    </row>
    <row r="283" ht="15.75" customHeight="1">
      <c r="A283" s="45"/>
      <c r="J283" s="4"/>
      <c r="L283" s="4" t="str">
        <f>IFERROR(__xludf.DUMMYFUNCTION("""COMPUTED_VALUE"""),"(훼)조재한3741")</f>
        <v>(훼)조재한3741</v>
      </c>
    </row>
    <row r="284" ht="15.75" customHeight="1">
      <c r="A284" s="45"/>
      <c r="J284" s="4"/>
      <c r="L284" s="4" t="str">
        <f>IFERROR(__xludf.DUMMYFUNCTION("""COMPUTED_VALUE"""),"(훼)최정웅0288")</f>
        <v>(훼)최정웅0288</v>
      </c>
    </row>
    <row r="285" ht="15.75" customHeight="1">
      <c r="A285" s="45"/>
      <c r="J285" s="4"/>
      <c r="L285" s="4" t="str">
        <f>IFERROR(__xludf.DUMMYFUNCTION("""COMPUTED_VALUE"""),"(훼)최현성5004")</f>
        <v>(훼)최현성5004</v>
      </c>
    </row>
    <row r="286" ht="15.75" customHeight="1">
      <c r="A286" s="45"/>
      <c r="J286" s="4"/>
      <c r="L286" s="4" t="str">
        <f>IFERROR(__xludf.DUMMYFUNCTION("""COMPUTED_VALUE"""),"(훼)홍은찬6741")</f>
        <v>(훼)홍은찬6741</v>
      </c>
    </row>
    <row r="287" ht="15.75" customHeight="1">
      <c r="A287" s="45"/>
      <c r="J287" s="4"/>
      <c r="L287" s="4" t="str">
        <f>IFERROR(__xludf.DUMMYFUNCTION("""COMPUTED_VALUE"""),"가상진1900")</f>
        <v>가상진1900</v>
      </c>
    </row>
    <row r="288" ht="15.75" customHeight="1">
      <c r="A288" s="45"/>
      <c r="J288" s="4"/>
      <c r="L288" s="4" t="str">
        <f>IFERROR(__xludf.DUMMYFUNCTION("""COMPUTED_VALUE"""),"강문수1110")</f>
        <v>강문수1110</v>
      </c>
    </row>
    <row r="289" ht="15.75" customHeight="1">
      <c r="A289" s="45"/>
      <c r="J289" s="4"/>
      <c r="L289" s="4" t="str">
        <f>IFERROR(__xludf.DUMMYFUNCTION("""COMPUTED_VALUE"""),"강선우8939")</f>
        <v>강선우8939</v>
      </c>
    </row>
    <row r="290" ht="15.75" customHeight="1">
      <c r="A290" s="45"/>
      <c r="J290" s="4"/>
      <c r="L290" s="4" t="str">
        <f>IFERROR(__xludf.DUMMYFUNCTION("""COMPUTED_VALUE"""),"강유나1771")</f>
        <v>강유나1771</v>
      </c>
    </row>
    <row r="291" ht="15.75" customHeight="1">
      <c r="A291" s="45"/>
      <c r="J291" s="4"/>
      <c r="L291" s="4" t="str">
        <f>IFERROR(__xludf.DUMMYFUNCTION("""COMPUTED_VALUE"""),"강윤하9251")</f>
        <v>강윤하9251</v>
      </c>
    </row>
    <row r="292" ht="15.75" customHeight="1">
      <c r="A292" s="45"/>
      <c r="J292" s="4"/>
      <c r="L292" s="4" t="str">
        <f>IFERROR(__xludf.DUMMYFUNCTION("""COMPUTED_VALUE"""),"강태우7482")</f>
        <v>강태우7482</v>
      </c>
    </row>
    <row r="293" ht="15.75" customHeight="1">
      <c r="A293" s="45"/>
      <c r="J293" s="4"/>
      <c r="L293" s="4" t="str">
        <f>IFERROR(__xludf.DUMMYFUNCTION("""COMPUTED_VALUE"""),"강태윤6674")</f>
        <v>강태윤6674</v>
      </c>
    </row>
    <row r="294" ht="15.75" customHeight="1">
      <c r="A294" s="45"/>
      <c r="J294" s="4"/>
      <c r="L294" s="4" t="str">
        <f>IFERROR(__xludf.DUMMYFUNCTION("""COMPUTED_VALUE"""),"강혜나4122")</f>
        <v>강혜나4122</v>
      </c>
    </row>
    <row r="295" ht="15.75" customHeight="1">
      <c r="A295" s="45"/>
      <c r="J295" s="4"/>
      <c r="L295" s="4" t="str">
        <f>IFERROR(__xludf.DUMMYFUNCTION("""COMPUTED_VALUE"""),"경민채2824")</f>
        <v>경민채2824</v>
      </c>
    </row>
    <row r="296" ht="15.75" customHeight="1">
      <c r="A296" s="45"/>
      <c r="J296" s="4"/>
      <c r="L296" s="4" t="str">
        <f>IFERROR(__xludf.DUMMYFUNCTION("""COMPUTED_VALUE"""),"고도형8660")</f>
        <v>고도형8660</v>
      </c>
    </row>
    <row r="297" ht="15.75" customHeight="1">
      <c r="A297" s="45"/>
      <c r="J297" s="4"/>
      <c r="L297" s="4" t="str">
        <f>IFERROR(__xludf.DUMMYFUNCTION("""COMPUTED_VALUE"""),"고은세3274")</f>
        <v>고은세3274</v>
      </c>
    </row>
    <row r="298" ht="15.75" customHeight="1">
      <c r="A298" s="45"/>
      <c r="J298" s="4"/>
      <c r="L298" s="4" t="str">
        <f>IFERROR(__xludf.DUMMYFUNCTION("""COMPUTED_VALUE"""),"고준형2978")</f>
        <v>고준형2978</v>
      </c>
    </row>
    <row r="299" ht="15.75" customHeight="1">
      <c r="A299" s="45"/>
      <c r="J299" s="4"/>
      <c r="L299" s="4" t="str">
        <f>IFERROR(__xludf.DUMMYFUNCTION("""COMPUTED_VALUE"""),"곽경훈7725")</f>
        <v>곽경훈7725</v>
      </c>
    </row>
    <row r="300" ht="15.75" customHeight="1">
      <c r="A300" s="45"/>
      <c r="J300" s="4"/>
      <c r="L300" s="4" t="str">
        <f>IFERROR(__xludf.DUMMYFUNCTION("""COMPUTED_VALUE"""),"곽은서0979")</f>
        <v>곽은서0979</v>
      </c>
    </row>
    <row r="301" ht="15.75" customHeight="1">
      <c r="A301" s="45"/>
      <c r="J301" s="4"/>
      <c r="L301" s="4" t="str">
        <f>IFERROR(__xludf.DUMMYFUNCTION("""COMPUTED_VALUE"""),"구현준6401")</f>
        <v>구현준6401</v>
      </c>
    </row>
    <row r="302" ht="15.75" customHeight="1">
      <c r="A302" s="45"/>
      <c r="J302" s="4"/>
      <c r="L302" s="4" t="str">
        <f>IFERROR(__xludf.DUMMYFUNCTION("""COMPUTED_VALUE"""),"권나영4759")</f>
        <v>권나영4759</v>
      </c>
    </row>
    <row r="303" ht="15.75" customHeight="1">
      <c r="A303" s="45"/>
      <c r="J303" s="4"/>
      <c r="L303" s="4" t="str">
        <f>IFERROR(__xludf.DUMMYFUNCTION("""COMPUTED_VALUE"""),"권민서2837")</f>
        <v>권민서2837</v>
      </c>
    </row>
    <row r="304" ht="15.75" customHeight="1">
      <c r="A304" s="45"/>
      <c r="J304" s="4"/>
      <c r="L304" s="4" t="str">
        <f>IFERROR(__xludf.DUMMYFUNCTION("""COMPUTED_VALUE"""),"권순혁5285")</f>
        <v>권순혁5285</v>
      </c>
    </row>
    <row r="305" ht="15.75" customHeight="1">
      <c r="A305" s="45"/>
      <c r="J305" s="4"/>
      <c r="L305" s="4" t="str">
        <f>IFERROR(__xludf.DUMMYFUNCTION("""COMPUTED_VALUE"""),"권준서2897")</f>
        <v>권준서2897</v>
      </c>
    </row>
    <row r="306" ht="15.75" customHeight="1">
      <c r="A306" s="45"/>
      <c r="J306" s="4"/>
      <c r="L306" s="4" t="str">
        <f>IFERROR(__xludf.DUMMYFUNCTION("""COMPUTED_VALUE"""),"권혁안8539")</f>
        <v>권혁안8539</v>
      </c>
    </row>
    <row r="307" ht="15.75" customHeight="1">
      <c r="A307" s="45"/>
      <c r="J307" s="4"/>
      <c r="L307" s="4" t="str">
        <f>IFERROR(__xludf.DUMMYFUNCTION("""COMPUTED_VALUE"""),"길도균0611")</f>
        <v>길도균0611</v>
      </c>
    </row>
    <row r="308" ht="15.75" customHeight="1">
      <c r="A308" s="45"/>
      <c r="J308" s="4"/>
      <c r="L308" s="4" t="str">
        <f>IFERROR(__xludf.DUMMYFUNCTION("""COMPUTED_VALUE"""),"김가현4206")</f>
        <v>김가현4206</v>
      </c>
    </row>
    <row r="309" ht="15.75" customHeight="1">
      <c r="A309" s="45"/>
      <c r="J309" s="4"/>
      <c r="L309" s="4" t="str">
        <f>IFERROR(__xludf.DUMMYFUNCTION("""COMPUTED_VALUE"""),"김건우1354")</f>
        <v>김건우1354</v>
      </c>
    </row>
    <row r="310" ht="15.75" customHeight="1">
      <c r="A310" s="45"/>
      <c r="J310" s="4"/>
      <c r="L310" s="4" t="str">
        <f>IFERROR(__xludf.DUMMYFUNCTION("""COMPUTED_VALUE"""),"김기완9575")</f>
        <v>김기완9575</v>
      </c>
    </row>
    <row r="311" ht="15.75" customHeight="1">
      <c r="A311" s="45"/>
      <c r="J311" s="4"/>
      <c r="L311" s="4" t="str">
        <f>IFERROR(__xludf.DUMMYFUNCTION("""COMPUTED_VALUE"""),"김나예2196")</f>
        <v>김나예2196</v>
      </c>
    </row>
    <row r="312" ht="15.75" customHeight="1">
      <c r="A312" s="45"/>
      <c r="J312" s="4"/>
      <c r="L312" s="4" t="str">
        <f>IFERROR(__xludf.DUMMYFUNCTION("""COMPUTED_VALUE"""),"김나은0227")</f>
        <v>김나은0227</v>
      </c>
    </row>
    <row r="313" ht="15.75" customHeight="1">
      <c r="A313" s="45"/>
      <c r="J313" s="4"/>
      <c r="L313" s="4" t="str">
        <f>IFERROR(__xludf.DUMMYFUNCTION("""COMPUTED_VALUE"""),"김나현7522")</f>
        <v>김나현7522</v>
      </c>
    </row>
    <row r="314" ht="15.75" customHeight="1">
      <c r="A314" s="45"/>
      <c r="J314" s="4"/>
      <c r="L314" s="4" t="str">
        <f>IFERROR(__xludf.DUMMYFUNCTION("""COMPUTED_VALUE"""),"김대열")</f>
        <v>김대열</v>
      </c>
    </row>
    <row r="315" ht="15.75" customHeight="1">
      <c r="A315" s="45"/>
      <c r="J315" s="4"/>
      <c r="L315" s="4" t="str">
        <f>IFERROR(__xludf.DUMMYFUNCTION("""COMPUTED_VALUE"""),"김도연2260")</f>
        <v>김도연2260</v>
      </c>
    </row>
    <row r="316" ht="15.75" customHeight="1">
      <c r="A316" s="45"/>
      <c r="J316" s="4"/>
      <c r="L316" s="4" t="str">
        <f>IFERROR(__xludf.DUMMYFUNCTION("""COMPUTED_VALUE"""),"김도윤6461")</f>
        <v>김도윤6461</v>
      </c>
    </row>
    <row r="317" ht="15.75" customHeight="1">
      <c r="A317" s="45"/>
      <c r="J317" s="4"/>
      <c r="L317" s="4" t="str">
        <f>IFERROR(__xludf.DUMMYFUNCTION("""COMPUTED_VALUE"""),"김동원5180")</f>
        <v>김동원5180</v>
      </c>
    </row>
    <row r="318" ht="15.75" customHeight="1">
      <c r="A318" s="45"/>
      <c r="J318" s="4"/>
      <c r="L318" s="4" t="str">
        <f>IFERROR(__xludf.DUMMYFUNCTION("""COMPUTED_VALUE"""),"김민서3076")</f>
        <v>김민서3076</v>
      </c>
    </row>
    <row r="319" ht="15.75" customHeight="1">
      <c r="A319" s="45"/>
      <c r="J319" s="4"/>
      <c r="L319" s="4" t="str">
        <f>IFERROR(__xludf.DUMMYFUNCTION("""COMPUTED_VALUE"""),"김민서9396")</f>
        <v>김민서9396</v>
      </c>
    </row>
    <row r="320" ht="15.75" customHeight="1">
      <c r="A320" s="45"/>
      <c r="J320" s="4"/>
      <c r="L320" s="4" t="str">
        <f>IFERROR(__xludf.DUMMYFUNCTION("""COMPUTED_VALUE"""),"김민성6589")</f>
        <v>김민성6589</v>
      </c>
    </row>
    <row r="321" ht="15.75" customHeight="1">
      <c r="A321" s="45"/>
      <c r="J321" s="4"/>
      <c r="L321" s="4" t="str">
        <f>IFERROR(__xludf.DUMMYFUNCTION("""COMPUTED_VALUE"""),"김민재2285")</f>
        <v>김민재2285</v>
      </c>
    </row>
    <row r="322" ht="15.75" customHeight="1">
      <c r="A322" s="45"/>
      <c r="J322" s="4"/>
      <c r="L322" s="4" t="str">
        <f>IFERROR(__xludf.DUMMYFUNCTION("""COMPUTED_VALUE"""),"김민재3830")</f>
        <v>김민재3830</v>
      </c>
    </row>
    <row r="323" ht="15.75" customHeight="1">
      <c r="A323" s="45"/>
      <c r="J323" s="4"/>
      <c r="L323" s="4" t="str">
        <f>IFERROR(__xludf.DUMMYFUNCTION("""COMPUTED_VALUE"""),"김민주0500")</f>
        <v>김민주0500</v>
      </c>
    </row>
    <row r="324" ht="15.75" customHeight="1">
      <c r="A324" s="45"/>
      <c r="J324" s="4"/>
      <c r="L324" s="4" t="str">
        <f>IFERROR(__xludf.DUMMYFUNCTION("""COMPUTED_VALUE"""),"김민지8293")</f>
        <v>김민지8293</v>
      </c>
    </row>
    <row r="325" ht="15.75" customHeight="1">
      <c r="A325" s="45"/>
      <c r="J325" s="4"/>
      <c r="L325" s="4" t="str">
        <f>IFERROR(__xludf.DUMMYFUNCTION("""COMPUTED_VALUE"""),"김민채3110")</f>
        <v>김민채3110</v>
      </c>
    </row>
    <row r="326" ht="15.75" customHeight="1">
      <c r="A326" s="45"/>
      <c r="J326" s="4"/>
      <c r="L326" s="4" t="str">
        <f>IFERROR(__xludf.DUMMYFUNCTION("""COMPUTED_VALUE"""),"김보민0654")</f>
        <v>김보민0654</v>
      </c>
    </row>
    <row r="327" ht="15.75" customHeight="1">
      <c r="A327" s="45"/>
      <c r="J327" s="4"/>
      <c r="L327" s="4" t="str">
        <f>IFERROR(__xludf.DUMMYFUNCTION("""COMPUTED_VALUE"""),"김서우9330")</f>
        <v>김서우9330</v>
      </c>
    </row>
    <row r="328" ht="15.75" customHeight="1">
      <c r="A328" s="45"/>
      <c r="J328" s="4"/>
      <c r="L328" s="4" t="str">
        <f>IFERROR(__xludf.DUMMYFUNCTION("""COMPUTED_VALUE"""),"김서진0829")</f>
        <v>김서진0829</v>
      </c>
    </row>
    <row r="329" ht="15.75" customHeight="1">
      <c r="A329" s="45"/>
      <c r="J329" s="4"/>
      <c r="L329" s="4" t="str">
        <f>IFERROR(__xludf.DUMMYFUNCTION("""COMPUTED_VALUE"""),"김석현2234")</f>
        <v>김석현2234</v>
      </c>
    </row>
    <row r="330" ht="15.75" customHeight="1">
      <c r="A330" s="45"/>
      <c r="J330" s="4"/>
      <c r="L330" s="4" t="str">
        <f>IFERROR(__xludf.DUMMYFUNCTION("""COMPUTED_VALUE"""),"김선민4296")</f>
        <v>김선민4296</v>
      </c>
    </row>
    <row r="331" ht="15.75" customHeight="1">
      <c r="A331" s="45"/>
      <c r="J331" s="4"/>
      <c r="L331" s="4" t="str">
        <f>IFERROR(__xludf.DUMMYFUNCTION("""COMPUTED_VALUE"""),"김성재4251")</f>
        <v>김성재4251</v>
      </c>
    </row>
    <row r="332" ht="15.75" customHeight="1">
      <c r="A332" s="45"/>
      <c r="J332" s="4"/>
      <c r="L332" s="4" t="str">
        <f>IFERROR(__xludf.DUMMYFUNCTION("""COMPUTED_VALUE"""),"김세은0191")</f>
        <v>김세은0191</v>
      </c>
    </row>
    <row r="333" ht="15.75" customHeight="1">
      <c r="A333" s="45"/>
      <c r="J333" s="4"/>
      <c r="L333" s="4" t="str">
        <f>IFERROR(__xludf.DUMMYFUNCTION("""COMPUTED_VALUE"""),"김소민1420")</f>
        <v>김소민1420</v>
      </c>
    </row>
    <row r="334" ht="15.75" customHeight="1">
      <c r="A334" s="45"/>
      <c r="J334" s="4"/>
      <c r="L334" s="4" t="str">
        <f>IFERROR(__xludf.DUMMYFUNCTION("""COMPUTED_VALUE"""),"김수린2998")</f>
        <v>김수린2998</v>
      </c>
    </row>
    <row r="335" ht="15.75" customHeight="1">
      <c r="A335" s="45"/>
      <c r="J335" s="4"/>
      <c r="L335" s="4" t="str">
        <f>IFERROR(__xludf.DUMMYFUNCTION("""COMPUTED_VALUE"""),"김수민6691")</f>
        <v>김수민6691</v>
      </c>
    </row>
    <row r="336" ht="15.75" customHeight="1">
      <c r="A336" s="45"/>
      <c r="J336" s="4"/>
      <c r="L336" s="4" t="str">
        <f>IFERROR(__xludf.DUMMYFUNCTION("""COMPUTED_VALUE"""),"김수은3364")</f>
        <v>김수은3364</v>
      </c>
    </row>
    <row r="337" ht="15.75" customHeight="1">
      <c r="A337" s="45"/>
      <c r="J337" s="4"/>
      <c r="L337" s="4" t="str">
        <f>IFERROR(__xludf.DUMMYFUNCTION("""COMPUTED_VALUE"""),"김수진5779")</f>
        <v>김수진5779</v>
      </c>
    </row>
    <row r="338" ht="15.75" customHeight="1">
      <c r="A338" s="45"/>
      <c r="J338" s="4"/>
      <c r="L338" s="4" t="str">
        <f>IFERROR(__xludf.DUMMYFUNCTION("""COMPUTED_VALUE"""),"김승우9086")</f>
        <v>김승우9086</v>
      </c>
    </row>
    <row r="339" ht="15.75" customHeight="1">
      <c r="A339" s="45"/>
      <c r="J339" s="4"/>
      <c r="L339" s="4" t="str">
        <f>IFERROR(__xludf.DUMMYFUNCTION("""COMPUTED_VALUE"""),"김시현3545")</f>
        <v>김시현3545</v>
      </c>
    </row>
    <row r="340" ht="15.75" customHeight="1">
      <c r="A340" s="45"/>
      <c r="J340" s="4"/>
      <c r="L340" s="4" t="str">
        <f>IFERROR(__xludf.DUMMYFUNCTION("""COMPUTED_VALUE"""),"김시현7518")</f>
        <v>김시현7518</v>
      </c>
    </row>
    <row r="341" ht="15.75" customHeight="1">
      <c r="A341" s="45"/>
      <c r="J341" s="4"/>
      <c r="L341" s="4" t="str">
        <f>IFERROR(__xludf.DUMMYFUNCTION("""COMPUTED_VALUE"""),"김영준6659")</f>
        <v>김영준6659</v>
      </c>
    </row>
    <row r="342" ht="15.75" customHeight="1">
      <c r="A342" s="45"/>
      <c r="J342" s="4"/>
      <c r="L342" s="4" t="str">
        <f>IFERROR(__xludf.DUMMYFUNCTION("""COMPUTED_VALUE"""),"김영훈1190")</f>
        <v>김영훈1190</v>
      </c>
    </row>
    <row r="343" ht="15.75" customHeight="1">
      <c r="A343" s="45"/>
      <c r="J343" s="4"/>
      <c r="L343" s="4" t="str">
        <f>IFERROR(__xludf.DUMMYFUNCTION("""COMPUTED_VALUE"""),"김예론4700")</f>
        <v>김예론4700</v>
      </c>
    </row>
    <row r="344" ht="15.75" customHeight="1">
      <c r="A344" s="45"/>
      <c r="J344" s="4"/>
      <c r="L344" s="4" t="str">
        <f>IFERROR(__xludf.DUMMYFUNCTION("""COMPUTED_VALUE"""),"김예인7578")</f>
        <v>김예인7578</v>
      </c>
    </row>
    <row r="345" ht="15.75" customHeight="1">
      <c r="A345" s="45"/>
      <c r="J345" s="4"/>
      <c r="L345" s="4" t="str">
        <f>IFERROR(__xludf.DUMMYFUNCTION("""COMPUTED_VALUE"""),"김용진3511")</f>
        <v>김용진3511</v>
      </c>
    </row>
    <row r="346" ht="15.75" customHeight="1">
      <c r="A346" s="45"/>
      <c r="J346" s="4"/>
      <c r="L346" s="4" t="str">
        <f>IFERROR(__xludf.DUMMYFUNCTION("""COMPUTED_VALUE"""),"김우민6105")</f>
        <v>김우민6105</v>
      </c>
    </row>
    <row r="347" ht="15.75" customHeight="1">
      <c r="A347" s="45"/>
      <c r="J347" s="4"/>
      <c r="L347" s="4" t="str">
        <f>IFERROR(__xludf.DUMMYFUNCTION("""COMPUTED_VALUE"""),"김원우4548")</f>
        <v>김원우4548</v>
      </c>
    </row>
    <row r="348" ht="15.75" customHeight="1">
      <c r="A348" s="45"/>
      <c r="J348" s="4"/>
      <c r="L348" s="4" t="str">
        <f>IFERROR(__xludf.DUMMYFUNCTION("""COMPUTED_VALUE"""),"김윤도6830")</f>
        <v>김윤도6830</v>
      </c>
    </row>
    <row r="349" ht="15.75" customHeight="1">
      <c r="A349" s="45"/>
      <c r="J349" s="4"/>
      <c r="L349" s="4" t="str">
        <f>IFERROR(__xludf.DUMMYFUNCTION("""COMPUTED_VALUE"""),"김은우9416")</f>
        <v>김은우9416</v>
      </c>
    </row>
    <row r="350" ht="15.75" customHeight="1">
      <c r="A350" s="45"/>
      <c r="J350" s="4"/>
      <c r="L350" s="4" t="str">
        <f>IFERROR(__xludf.DUMMYFUNCTION("""COMPUTED_VALUE"""),"김은재4621")</f>
        <v>김은재4621</v>
      </c>
    </row>
    <row r="351" ht="15.75" customHeight="1">
      <c r="A351" s="45"/>
      <c r="J351" s="4"/>
      <c r="L351" s="4" t="str">
        <f>IFERROR(__xludf.DUMMYFUNCTION("""COMPUTED_VALUE"""),"김의동9605")</f>
        <v>김의동9605</v>
      </c>
    </row>
    <row r="352" ht="15.75" customHeight="1">
      <c r="A352" s="45"/>
      <c r="J352" s="4"/>
      <c r="L352" s="4" t="str">
        <f>IFERROR(__xludf.DUMMYFUNCTION("""COMPUTED_VALUE"""),"김재현5675")</f>
        <v>김재현5675</v>
      </c>
    </row>
    <row r="353" ht="15.75" customHeight="1">
      <c r="A353" s="45"/>
      <c r="J353" s="4"/>
      <c r="L353" s="4" t="str">
        <f>IFERROR(__xludf.DUMMYFUNCTION("""COMPUTED_VALUE"""),"김재호3975")</f>
        <v>김재호3975</v>
      </c>
    </row>
    <row r="354" ht="15.75" customHeight="1">
      <c r="A354" s="45"/>
      <c r="J354" s="4"/>
      <c r="L354" s="4" t="str">
        <f>IFERROR(__xludf.DUMMYFUNCTION("""COMPUTED_VALUE"""),"김정욱0621")</f>
        <v>김정욱0621</v>
      </c>
    </row>
    <row r="355" ht="15.75" customHeight="1">
      <c r="A355" s="45"/>
      <c r="J355" s="4"/>
      <c r="L355" s="4" t="str">
        <f>IFERROR(__xludf.DUMMYFUNCTION("""COMPUTED_VALUE"""),"김정윤1749")</f>
        <v>김정윤1749</v>
      </c>
    </row>
    <row r="356" ht="15.75" customHeight="1">
      <c r="A356" s="45"/>
      <c r="J356" s="4"/>
      <c r="L356" s="4" t="str">
        <f>IFERROR(__xludf.DUMMYFUNCTION("""COMPUTED_VALUE"""),"김정윤3180")</f>
        <v>김정윤3180</v>
      </c>
    </row>
    <row r="357" ht="15.75" customHeight="1">
      <c r="A357" s="45"/>
      <c r="J357" s="4"/>
      <c r="L357" s="4" t="str">
        <f>IFERROR(__xludf.DUMMYFUNCTION("""COMPUTED_VALUE"""),"김정혁0804")</f>
        <v>김정혁0804</v>
      </c>
    </row>
    <row r="358" ht="15.75" customHeight="1">
      <c r="A358" s="45"/>
      <c r="J358" s="4"/>
      <c r="L358" s="4" t="str">
        <f>IFERROR(__xludf.DUMMYFUNCTION("""COMPUTED_VALUE"""),"김정환5212")</f>
        <v>김정환5212</v>
      </c>
    </row>
    <row r="359" ht="15.75" customHeight="1">
      <c r="A359" s="45"/>
      <c r="J359" s="4"/>
      <c r="L359" s="4" t="str">
        <f>IFERROR(__xludf.DUMMYFUNCTION("""COMPUTED_VALUE"""),"김주아7472")</f>
        <v>김주아7472</v>
      </c>
    </row>
    <row r="360" ht="15.75" customHeight="1">
      <c r="A360" s="45"/>
      <c r="J360" s="4"/>
      <c r="L360" s="4" t="str">
        <f>IFERROR(__xludf.DUMMYFUNCTION("""COMPUTED_VALUE"""),"김주혜7444")</f>
        <v>김주혜7444</v>
      </c>
    </row>
    <row r="361" ht="15.75" customHeight="1">
      <c r="A361" s="45"/>
      <c r="J361" s="4"/>
      <c r="L361" s="4" t="str">
        <f>IFERROR(__xludf.DUMMYFUNCTION("""COMPUTED_VALUE"""),"김준서9789")</f>
        <v>김준서9789</v>
      </c>
    </row>
    <row r="362" ht="15.75" customHeight="1">
      <c r="A362" s="45"/>
      <c r="J362" s="4"/>
      <c r="L362" s="4" t="str">
        <f>IFERROR(__xludf.DUMMYFUNCTION("""COMPUTED_VALUE"""),"김지민3823")</f>
        <v>김지민3823</v>
      </c>
    </row>
    <row r="363" ht="15.75" customHeight="1">
      <c r="A363" s="45"/>
      <c r="J363" s="4"/>
      <c r="L363" s="4" t="str">
        <f>IFERROR(__xludf.DUMMYFUNCTION("""COMPUTED_VALUE"""),"김지민9115")</f>
        <v>김지민9115</v>
      </c>
    </row>
    <row r="364" ht="15.75" customHeight="1">
      <c r="A364" s="45"/>
      <c r="J364" s="4"/>
      <c r="L364" s="4" t="str">
        <f>IFERROR(__xludf.DUMMYFUNCTION("""COMPUTED_VALUE"""),"김지성7439")</f>
        <v>김지성7439</v>
      </c>
    </row>
    <row r="365" ht="15.75" customHeight="1">
      <c r="A365" s="45"/>
      <c r="J365" s="4"/>
      <c r="L365" s="4" t="str">
        <f>IFERROR(__xludf.DUMMYFUNCTION("""COMPUTED_VALUE"""),"김지안1829")</f>
        <v>김지안1829</v>
      </c>
    </row>
    <row r="366" ht="15.75" customHeight="1">
      <c r="A366" s="45"/>
      <c r="J366" s="4"/>
      <c r="L366" s="4" t="str">
        <f>IFERROR(__xludf.DUMMYFUNCTION("""COMPUTED_VALUE"""),"김지원4341")</f>
        <v>김지원4341</v>
      </c>
    </row>
    <row r="367" ht="15.75" customHeight="1">
      <c r="A367" s="45"/>
      <c r="J367" s="4"/>
      <c r="L367" s="4" t="str">
        <f>IFERROR(__xludf.DUMMYFUNCTION("""COMPUTED_VALUE"""),"김지유")</f>
        <v>김지유</v>
      </c>
    </row>
    <row r="368" ht="15.75" customHeight="1">
      <c r="A368" s="45"/>
      <c r="J368" s="4"/>
      <c r="L368" s="4" t="str">
        <f>IFERROR(__xludf.DUMMYFUNCTION("""COMPUTED_VALUE"""),"김지윤8103")</f>
        <v>김지윤8103</v>
      </c>
    </row>
    <row r="369" ht="15.75" customHeight="1">
      <c r="A369" s="45"/>
      <c r="J369" s="4"/>
      <c r="L369" s="4" t="str">
        <f>IFERROR(__xludf.DUMMYFUNCTION("""COMPUTED_VALUE"""),"김진아5404")</f>
        <v>김진아5404</v>
      </c>
    </row>
    <row r="370" ht="15.75" customHeight="1">
      <c r="A370" s="45"/>
      <c r="J370" s="4"/>
      <c r="L370" s="4" t="str">
        <f>IFERROR(__xludf.DUMMYFUNCTION("""COMPUTED_VALUE"""),"김진영2280")</f>
        <v>김진영2280</v>
      </c>
    </row>
    <row r="371" ht="15.75" customHeight="1">
      <c r="A371" s="45"/>
      <c r="J371" s="4"/>
      <c r="L371" s="4" t="str">
        <f>IFERROR(__xludf.DUMMYFUNCTION("""COMPUTED_VALUE"""),"김찬민7093")</f>
        <v>김찬민7093</v>
      </c>
    </row>
    <row r="372" ht="15.75" customHeight="1">
      <c r="A372" s="45"/>
      <c r="J372" s="4"/>
      <c r="L372" s="4" t="str">
        <f>IFERROR(__xludf.DUMMYFUNCTION("""COMPUTED_VALUE"""),"김찬수3534")</f>
        <v>김찬수3534</v>
      </c>
    </row>
    <row r="373" ht="15.75" customHeight="1">
      <c r="A373" s="45"/>
      <c r="J373" s="4"/>
      <c r="L373" s="4" t="str">
        <f>IFERROR(__xludf.DUMMYFUNCTION("""COMPUTED_VALUE"""),"김찬우8847")</f>
        <v>김찬우8847</v>
      </c>
    </row>
    <row r="374" ht="15.75" customHeight="1">
      <c r="A374" s="45"/>
      <c r="J374" s="4"/>
      <c r="L374" s="4" t="str">
        <f>IFERROR(__xludf.DUMMYFUNCTION("""COMPUTED_VALUE"""),"김태유7024")</f>
        <v>김태유7024</v>
      </c>
    </row>
    <row r="375" ht="15.75" customHeight="1">
      <c r="A375" s="45"/>
      <c r="J375" s="4"/>
      <c r="L375" s="4" t="str">
        <f>IFERROR(__xludf.DUMMYFUNCTION("""COMPUTED_VALUE"""),"김태현1355")</f>
        <v>김태현1355</v>
      </c>
    </row>
    <row r="376" ht="15.75" customHeight="1">
      <c r="A376" s="45"/>
      <c r="J376" s="4"/>
      <c r="L376" s="4" t="str">
        <f>IFERROR(__xludf.DUMMYFUNCTION("""COMPUTED_VALUE"""),"김한솔")</f>
        <v>김한솔</v>
      </c>
    </row>
    <row r="377" ht="15.75" customHeight="1">
      <c r="A377" s="45"/>
      <c r="J377" s="4"/>
      <c r="L377" s="4" t="str">
        <f>IFERROR(__xludf.DUMMYFUNCTION("""COMPUTED_VALUE"""),"김현준0347")</f>
        <v>김현준0347</v>
      </c>
    </row>
    <row r="378" ht="15.75" customHeight="1">
      <c r="A378" s="45"/>
      <c r="J378" s="4"/>
      <c r="L378" s="4" t="str">
        <f>IFERROR(__xludf.DUMMYFUNCTION("""COMPUTED_VALUE"""),"김혜나0191")</f>
        <v>김혜나0191</v>
      </c>
    </row>
    <row r="379" ht="15.75" customHeight="1">
      <c r="A379" s="45"/>
      <c r="J379" s="4"/>
      <c r="L379" s="4" t="str">
        <f>IFERROR(__xludf.DUMMYFUNCTION("""COMPUTED_VALUE"""),"김혜림1886")</f>
        <v>김혜림1886</v>
      </c>
    </row>
    <row r="380" ht="15.75" customHeight="1">
      <c r="A380" s="45"/>
      <c r="J380" s="4"/>
      <c r="L380" s="4" t="str">
        <f>IFERROR(__xludf.DUMMYFUNCTION("""COMPUTED_VALUE"""),"김호수0050")</f>
        <v>김호수0050</v>
      </c>
    </row>
    <row r="381" ht="15.75" customHeight="1">
      <c r="A381" s="45"/>
      <c r="J381" s="4"/>
      <c r="L381" s="4" t="str">
        <f>IFERROR(__xludf.DUMMYFUNCTION("""COMPUTED_VALUE"""),"김효준7113")</f>
        <v>김효준7113</v>
      </c>
    </row>
    <row r="382" ht="15.75" customHeight="1">
      <c r="A382" s="45"/>
      <c r="J382" s="4"/>
      <c r="L382" s="4" t="str">
        <f>IFERROR(__xludf.DUMMYFUNCTION("""COMPUTED_VALUE"""),"남궁승연9135")</f>
        <v>남궁승연9135</v>
      </c>
    </row>
    <row r="383" ht="15.75" customHeight="1">
      <c r="A383" s="45"/>
      <c r="J383" s="4"/>
      <c r="L383" s="4" t="str">
        <f>IFERROR(__xludf.DUMMYFUNCTION("""COMPUTED_VALUE"""),"남수현1184")</f>
        <v>남수현1184</v>
      </c>
    </row>
    <row r="384" ht="15.75" customHeight="1">
      <c r="A384" s="45"/>
      <c r="J384" s="4"/>
      <c r="L384" s="4" t="str">
        <f>IFERROR(__xludf.DUMMYFUNCTION("""COMPUTED_VALUE"""),"남유주5622")</f>
        <v>남유주5622</v>
      </c>
    </row>
    <row r="385" ht="15.75" customHeight="1">
      <c r="A385" s="45"/>
      <c r="J385" s="4"/>
      <c r="L385" s="4" t="str">
        <f>IFERROR(__xludf.DUMMYFUNCTION("""COMPUTED_VALUE"""),"남유진6939")</f>
        <v>남유진6939</v>
      </c>
    </row>
    <row r="386" ht="15.75" customHeight="1">
      <c r="A386" s="45"/>
      <c r="J386" s="4"/>
      <c r="L386" s="4" t="str">
        <f>IFERROR(__xludf.DUMMYFUNCTION("""COMPUTED_VALUE"""),"남은우1024")</f>
        <v>남은우1024</v>
      </c>
    </row>
    <row r="387" ht="15.75" customHeight="1">
      <c r="A387" s="45"/>
      <c r="J387" s="4"/>
      <c r="L387" s="4" t="str">
        <f>IFERROR(__xludf.DUMMYFUNCTION("""COMPUTED_VALUE"""),"노하연6811")</f>
        <v>노하연6811</v>
      </c>
    </row>
    <row r="388" ht="15.75" customHeight="1">
      <c r="A388" s="45"/>
      <c r="J388" s="4"/>
      <c r="L388" s="4" t="str">
        <f>IFERROR(__xludf.DUMMYFUNCTION("""COMPUTED_VALUE"""),"류도경0855")</f>
        <v>류도경0855</v>
      </c>
    </row>
    <row r="389" ht="15.75" customHeight="1">
      <c r="A389" s="45"/>
      <c r="J389" s="4"/>
      <c r="L389" s="4" t="str">
        <f>IFERROR(__xludf.DUMMYFUNCTION("""COMPUTED_VALUE"""),"류수민3394")</f>
        <v>류수민3394</v>
      </c>
    </row>
    <row r="390" ht="15.75" customHeight="1">
      <c r="A390" s="45"/>
      <c r="J390" s="4"/>
      <c r="L390" s="4" t="str">
        <f>IFERROR(__xludf.DUMMYFUNCTION("""COMPUTED_VALUE"""),"류승한1797")</f>
        <v>류승한1797</v>
      </c>
    </row>
    <row r="391" ht="15.75" customHeight="1">
      <c r="A391" s="45"/>
      <c r="J391" s="4"/>
      <c r="L391" s="4" t="str">
        <f>IFERROR(__xludf.DUMMYFUNCTION("""COMPUTED_VALUE"""),"류지원2902")</f>
        <v>류지원2902</v>
      </c>
    </row>
    <row r="392" ht="15.75" customHeight="1">
      <c r="A392" s="45"/>
      <c r="J392" s="4"/>
      <c r="L392" s="4" t="str">
        <f>IFERROR(__xludf.DUMMYFUNCTION("""COMPUTED_VALUE"""),"류지훈2150")</f>
        <v>류지훈2150</v>
      </c>
    </row>
    <row r="393" ht="15.75" customHeight="1">
      <c r="A393" s="45"/>
      <c r="J393" s="4"/>
      <c r="L393" s="4" t="str">
        <f>IFERROR(__xludf.DUMMYFUNCTION("""COMPUTED_VALUE"""),"명규민5737")</f>
        <v>명규민5737</v>
      </c>
    </row>
    <row r="394" ht="15.75" customHeight="1">
      <c r="A394" s="45"/>
      <c r="J394" s="4"/>
      <c r="L394" s="4" t="str">
        <f>IFERROR(__xludf.DUMMYFUNCTION("""COMPUTED_VALUE"""),"문가윤0131")</f>
        <v>문가윤0131</v>
      </c>
    </row>
    <row r="395" ht="15.75" customHeight="1">
      <c r="A395" s="45"/>
      <c r="J395" s="4"/>
      <c r="L395" s="4" t="str">
        <f>IFERROR(__xludf.DUMMYFUNCTION("""COMPUTED_VALUE"""),"문서진2953")</f>
        <v>문서진2953</v>
      </c>
    </row>
    <row r="396" ht="15.75" customHeight="1">
      <c r="A396" s="45"/>
      <c r="J396" s="4"/>
      <c r="L396" s="4" t="str">
        <f>IFERROR(__xludf.DUMMYFUNCTION("""COMPUTED_VALUE"""),"문승아1647")</f>
        <v>문승아1647</v>
      </c>
    </row>
    <row r="397" ht="15.75" customHeight="1">
      <c r="A397" s="45"/>
      <c r="J397" s="4"/>
      <c r="L397" s="4" t="str">
        <f>IFERROR(__xludf.DUMMYFUNCTION("""COMPUTED_VALUE"""),"문아라4000")</f>
        <v>문아라4000</v>
      </c>
    </row>
    <row r="398" ht="15.75" customHeight="1">
      <c r="A398" s="45"/>
      <c r="J398" s="4"/>
      <c r="L398" s="4" t="str">
        <f>IFERROR(__xludf.DUMMYFUNCTION("""COMPUTED_VALUE"""),"문재윤4905")</f>
        <v>문재윤4905</v>
      </c>
    </row>
    <row r="399" ht="15.75" customHeight="1">
      <c r="A399" s="45"/>
      <c r="J399" s="4"/>
      <c r="L399" s="4" t="str">
        <f>IFERROR(__xludf.DUMMYFUNCTION("""COMPUTED_VALUE"""),"문채영0263")</f>
        <v>문채영0263</v>
      </c>
    </row>
    <row r="400" ht="15.75" customHeight="1">
      <c r="A400" s="45"/>
      <c r="J400" s="4"/>
      <c r="L400" s="4" t="str">
        <f>IFERROR(__xludf.DUMMYFUNCTION("""COMPUTED_VALUE"""),"문희상8311")</f>
        <v>문희상8311</v>
      </c>
    </row>
    <row r="401" ht="15.75" customHeight="1">
      <c r="A401" s="45"/>
      <c r="J401" s="4"/>
      <c r="L401" s="4" t="str">
        <f>IFERROR(__xludf.DUMMYFUNCTION("""COMPUTED_VALUE"""),"민우진4857")</f>
        <v>민우진4857</v>
      </c>
    </row>
    <row r="402" ht="15.75" customHeight="1">
      <c r="A402" s="45"/>
      <c r="J402" s="4"/>
      <c r="L402" s="4" t="str">
        <f>IFERROR(__xludf.DUMMYFUNCTION("""COMPUTED_VALUE"""),"박가영4752")</f>
        <v>박가영4752</v>
      </c>
    </row>
    <row r="403" ht="15.75" customHeight="1">
      <c r="A403" s="45"/>
      <c r="J403" s="4"/>
      <c r="L403" s="4" t="str">
        <f>IFERROR(__xludf.DUMMYFUNCTION("""COMPUTED_VALUE"""),"박건희0951")</f>
        <v>박건희0951</v>
      </c>
    </row>
    <row r="404" ht="15.75" customHeight="1">
      <c r="A404" s="45"/>
      <c r="J404" s="4"/>
      <c r="L404" s="4" t="str">
        <f>IFERROR(__xludf.DUMMYFUNCTION("""COMPUTED_VALUE"""),"박경은5909")</f>
        <v>박경은5909</v>
      </c>
    </row>
    <row r="405" ht="15.75" customHeight="1">
      <c r="A405" s="45"/>
      <c r="J405" s="4"/>
      <c r="L405" s="4" t="str">
        <f>IFERROR(__xludf.DUMMYFUNCTION("""COMPUTED_VALUE"""),"박근형2804")</f>
        <v>박근형2804</v>
      </c>
    </row>
    <row r="406" ht="15.75" customHeight="1">
      <c r="A406" s="45"/>
      <c r="J406" s="4"/>
      <c r="L406" s="4" t="str">
        <f>IFERROR(__xludf.DUMMYFUNCTION("""COMPUTED_VALUE"""),"박동휘6515")</f>
        <v>박동휘6515</v>
      </c>
    </row>
    <row r="407" ht="15.75" customHeight="1">
      <c r="A407" s="45"/>
      <c r="J407" s="4"/>
      <c r="L407" s="4" t="str">
        <f>IFERROR(__xludf.DUMMYFUNCTION("""COMPUTED_VALUE"""),"박민서0030")</f>
        <v>박민서0030</v>
      </c>
    </row>
    <row r="408" ht="15.75" customHeight="1">
      <c r="A408" s="45"/>
      <c r="J408" s="4"/>
      <c r="L408" s="4" t="str">
        <f>IFERROR(__xludf.DUMMYFUNCTION("""COMPUTED_VALUE"""),"박민준7071")</f>
        <v>박민준7071</v>
      </c>
    </row>
    <row r="409" ht="15.75" customHeight="1">
      <c r="A409" s="45"/>
      <c r="J409" s="4"/>
      <c r="L409" s="4" t="str">
        <f>IFERROR(__xludf.DUMMYFUNCTION("""COMPUTED_VALUE"""),"박범준0221")</f>
        <v>박범준0221</v>
      </c>
    </row>
    <row r="410" ht="15.75" customHeight="1">
      <c r="A410" s="45"/>
      <c r="J410" s="4"/>
      <c r="L410" s="4" t="str">
        <f>IFERROR(__xludf.DUMMYFUNCTION("""COMPUTED_VALUE"""),"박보경2618")</f>
        <v>박보경2618</v>
      </c>
    </row>
    <row r="411" ht="15.75" customHeight="1">
      <c r="A411" s="45"/>
      <c r="J411" s="4"/>
      <c r="L411" s="4" t="str">
        <f>IFERROR(__xludf.DUMMYFUNCTION("""COMPUTED_VALUE"""),"박상언")</f>
        <v>박상언</v>
      </c>
    </row>
    <row r="412" ht="15.75" customHeight="1">
      <c r="A412" s="45"/>
      <c r="J412" s="4"/>
      <c r="L412" s="4" t="str">
        <f>IFERROR(__xludf.DUMMYFUNCTION("""COMPUTED_VALUE"""),"박상우4980")</f>
        <v>박상우4980</v>
      </c>
    </row>
    <row r="413" ht="15.75" customHeight="1">
      <c r="A413" s="45"/>
      <c r="J413" s="4"/>
      <c r="L413" s="4" t="str">
        <f>IFERROR(__xludf.DUMMYFUNCTION("""COMPUTED_VALUE"""),"박서연8436")</f>
        <v>박서연8436</v>
      </c>
    </row>
    <row r="414" ht="15.75" customHeight="1">
      <c r="A414" s="45"/>
      <c r="J414" s="4"/>
      <c r="L414" s="4" t="str">
        <f>IFERROR(__xludf.DUMMYFUNCTION("""COMPUTED_VALUE"""),"박서연8747")</f>
        <v>박서연8747</v>
      </c>
    </row>
    <row r="415" ht="15.75" customHeight="1">
      <c r="A415" s="45"/>
      <c r="J415" s="4"/>
      <c r="L415" s="4" t="str">
        <f>IFERROR(__xludf.DUMMYFUNCTION("""COMPUTED_VALUE"""),"박서인3882")</f>
        <v>박서인3882</v>
      </c>
    </row>
    <row r="416" ht="15.75" customHeight="1">
      <c r="A416" s="45"/>
      <c r="J416" s="4"/>
      <c r="L416" s="4" t="str">
        <f>IFERROR(__xludf.DUMMYFUNCTION("""COMPUTED_VALUE"""),"박서진9434")</f>
        <v>박서진9434</v>
      </c>
    </row>
    <row r="417" ht="15.75" customHeight="1">
      <c r="A417" s="45"/>
      <c r="J417" s="4"/>
      <c r="L417" s="4" t="str">
        <f>IFERROR(__xludf.DUMMYFUNCTION("""COMPUTED_VALUE"""),"박성연4815")</f>
        <v>박성연4815</v>
      </c>
    </row>
    <row r="418" ht="15.75" customHeight="1">
      <c r="A418" s="45"/>
      <c r="J418" s="4"/>
      <c r="L418" s="4" t="str">
        <f>IFERROR(__xludf.DUMMYFUNCTION("""COMPUTED_VALUE"""),"박세현0011")</f>
        <v>박세현0011</v>
      </c>
    </row>
    <row r="419" ht="15.75" customHeight="1">
      <c r="A419" s="45"/>
      <c r="J419" s="4"/>
      <c r="L419" s="4" t="str">
        <f>IFERROR(__xludf.DUMMYFUNCTION("""COMPUTED_VALUE"""),"박세현4034")</f>
        <v>박세현4034</v>
      </c>
    </row>
    <row r="420" ht="15.75" customHeight="1">
      <c r="A420" s="45"/>
      <c r="J420" s="4"/>
      <c r="L420" s="4" t="str">
        <f>IFERROR(__xludf.DUMMYFUNCTION("""COMPUTED_VALUE"""),"박소연4811")</f>
        <v>박소연4811</v>
      </c>
    </row>
    <row r="421" ht="15.75" customHeight="1">
      <c r="A421" s="45"/>
      <c r="J421" s="4"/>
      <c r="L421" s="4" t="str">
        <f>IFERROR(__xludf.DUMMYFUNCTION("""COMPUTED_VALUE"""),"박소희7674")</f>
        <v>박소희7674</v>
      </c>
    </row>
    <row r="422" ht="15.75" customHeight="1">
      <c r="A422" s="45"/>
      <c r="J422" s="4"/>
      <c r="L422" s="4" t="str">
        <f>IFERROR(__xludf.DUMMYFUNCTION("""COMPUTED_VALUE"""),"박솔우5579")</f>
        <v>박솔우5579</v>
      </c>
    </row>
    <row r="423" ht="15.75" customHeight="1">
      <c r="A423" s="45"/>
      <c r="J423" s="4"/>
      <c r="L423" s="4" t="str">
        <f>IFERROR(__xludf.DUMMYFUNCTION("""COMPUTED_VALUE"""),"박수현0806")</f>
        <v>박수현0806</v>
      </c>
    </row>
    <row r="424" ht="15.75" customHeight="1">
      <c r="A424" s="45"/>
      <c r="J424" s="4"/>
      <c r="L424" s="4" t="str">
        <f>IFERROR(__xludf.DUMMYFUNCTION("""COMPUTED_VALUE"""),"박슬찬3558")</f>
        <v>박슬찬3558</v>
      </c>
    </row>
    <row r="425" ht="15.75" customHeight="1">
      <c r="A425" s="45"/>
      <c r="J425" s="4"/>
      <c r="L425" s="4" t="str">
        <f>IFERROR(__xludf.DUMMYFUNCTION("""COMPUTED_VALUE"""),"박시연1489")</f>
        <v>박시연1489</v>
      </c>
    </row>
    <row r="426" ht="15.75" customHeight="1">
      <c r="A426" s="45"/>
      <c r="J426" s="4"/>
      <c r="L426" s="4" t="str">
        <f>IFERROR(__xludf.DUMMYFUNCTION("""COMPUTED_VALUE"""),"박시은7840")</f>
        <v>박시은7840</v>
      </c>
    </row>
    <row r="427" ht="15.75" customHeight="1">
      <c r="A427" s="45"/>
      <c r="J427" s="4"/>
      <c r="L427" s="4" t="str">
        <f>IFERROR(__xludf.DUMMYFUNCTION("""COMPUTED_VALUE"""),"박여빈8569")</f>
        <v>박여빈8569</v>
      </c>
    </row>
    <row r="428" ht="15.75" customHeight="1">
      <c r="A428" s="45"/>
      <c r="J428" s="4"/>
      <c r="L428" s="4" t="str">
        <f>IFERROR(__xludf.DUMMYFUNCTION("""COMPUTED_VALUE"""),"박예은1507")</f>
        <v>박예은1507</v>
      </c>
    </row>
    <row r="429" ht="15.75" customHeight="1">
      <c r="A429" s="45"/>
      <c r="J429" s="4"/>
      <c r="L429" s="4" t="str">
        <f>IFERROR(__xludf.DUMMYFUNCTION("""COMPUTED_VALUE"""),"박우현4628")</f>
        <v>박우현4628</v>
      </c>
    </row>
    <row r="430" ht="15.75" customHeight="1">
      <c r="A430" s="45"/>
      <c r="J430" s="4"/>
      <c r="L430" s="4" t="str">
        <f>IFERROR(__xludf.DUMMYFUNCTION("""COMPUTED_VALUE"""),"박은성9434")</f>
        <v>박은성9434</v>
      </c>
    </row>
    <row r="431" ht="15.75" customHeight="1">
      <c r="A431" s="45"/>
      <c r="J431" s="4"/>
      <c r="L431" s="4" t="str">
        <f>IFERROR(__xludf.DUMMYFUNCTION("""COMPUTED_VALUE"""),"박이흔3840")</f>
        <v>박이흔3840</v>
      </c>
    </row>
    <row r="432" ht="15.75" customHeight="1">
      <c r="A432" s="45"/>
      <c r="J432" s="4"/>
      <c r="L432" s="4" t="str">
        <f>IFERROR(__xludf.DUMMYFUNCTION("""COMPUTED_VALUE"""),"박재현0319")</f>
        <v>박재현0319</v>
      </c>
    </row>
    <row r="433" ht="15.75" customHeight="1">
      <c r="A433" s="45"/>
      <c r="J433" s="4"/>
      <c r="L433" s="4" t="str">
        <f>IFERROR(__xludf.DUMMYFUNCTION("""COMPUTED_VALUE"""),"박정운0210")</f>
        <v>박정운0210</v>
      </c>
    </row>
    <row r="434" ht="15.75" customHeight="1">
      <c r="A434" s="45"/>
      <c r="J434" s="4"/>
      <c r="L434" s="4" t="str">
        <f>IFERROR(__xludf.DUMMYFUNCTION("""COMPUTED_VALUE"""),"박정진0513")</f>
        <v>박정진0513</v>
      </c>
    </row>
    <row r="435" ht="15.75" customHeight="1">
      <c r="A435" s="45"/>
      <c r="J435" s="4"/>
      <c r="L435" s="4" t="str">
        <f>IFERROR(__xludf.DUMMYFUNCTION("""COMPUTED_VALUE"""),"박제율4968")</f>
        <v>박제율4968</v>
      </c>
    </row>
    <row r="436" ht="15.75" customHeight="1">
      <c r="A436" s="45"/>
      <c r="J436" s="4"/>
      <c r="L436" s="4" t="str">
        <f>IFERROR(__xludf.DUMMYFUNCTION("""COMPUTED_VALUE"""),"박종민7205")</f>
        <v>박종민7205</v>
      </c>
    </row>
    <row r="437" ht="15.75" customHeight="1">
      <c r="A437" s="45"/>
      <c r="J437" s="4"/>
      <c r="L437" s="4" t="str">
        <f>IFERROR(__xludf.DUMMYFUNCTION("""COMPUTED_VALUE"""),"박지승1758")</f>
        <v>박지승1758</v>
      </c>
    </row>
    <row r="438" ht="15.75" customHeight="1">
      <c r="A438" s="45"/>
      <c r="J438" s="4"/>
      <c r="L438" s="4" t="str">
        <f>IFERROR(__xludf.DUMMYFUNCTION("""COMPUTED_VALUE"""),"박지윤6706")</f>
        <v>박지윤6706</v>
      </c>
    </row>
    <row r="439" ht="15.75" customHeight="1">
      <c r="A439" s="45"/>
      <c r="J439" s="4"/>
      <c r="L439" s="4" t="str">
        <f>IFERROR(__xludf.DUMMYFUNCTION("""COMPUTED_VALUE"""),"박지효0508")</f>
        <v>박지효0508</v>
      </c>
    </row>
    <row r="440" ht="15.75" customHeight="1">
      <c r="A440" s="45"/>
      <c r="J440" s="4"/>
      <c r="L440" s="4" t="str">
        <f>IFERROR(__xludf.DUMMYFUNCTION("""COMPUTED_VALUE"""),"박찬윤5935")</f>
        <v>박찬윤5935</v>
      </c>
    </row>
    <row r="441" ht="15.75" customHeight="1">
      <c r="A441" s="45"/>
      <c r="J441" s="4"/>
      <c r="L441" s="4" t="str">
        <f>IFERROR(__xludf.DUMMYFUNCTION("""COMPUTED_VALUE"""),"박태용4040")</f>
        <v>박태용4040</v>
      </c>
    </row>
    <row r="442" ht="15.75" customHeight="1">
      <c r="A442" s="45"/>
      <c r="J442" s="4"/>
      <c r="L442" s="4" t="str">
        <f>IFERROR(__xludf.DUMMYFUNCTION("""COMPUTED_VALUE"""),"박혜인8932")</f>
        <v>박혜인8932</v>
      </c>
    </row>
    <row r="443" ht="15.75" customHeight="1">
      <c r="A443" s="45"/>
      <c r="J443" s="4"/>
      <c r="L443" s="4" t="str">
        <f>IFERROR(__xludf.DUMMYFUNCTION("""COMPUTED_VALUE"""),"반정원4865")</f>
        <v>반정원4865</v>
      </c>
    </row>
    <row r="444" ht="15.75" customHeight="1">
      <c r="A444" s="45"/>
      <c r="J444" s="4"/>
      <c r="L444" s="4" t="str">
        <f>IFERROR(__xludf.DUMMYFUNCTION("""COMPUTED_VALUE"""),"배서진3491")</f>
        <v>배서진3491</v>
      </c>
    </row>
    <row r="445" ht="15.75" customHeight="1">
      <c r="A445" s="45"/>
      <c r="J445" s="4"/>
      <c r="L445" s="4" t="str">
        <f>IFERROR(__xludf.DUMMYFUNCTION("""COMPUTED_VALUE"""),"배윤서5829")</f>
        <v>배윤서5829</v>
      </c>
    </row>
    <row r="446" ht="15.75" customHeight="1">
      <c r="A446" s="45"/>
      <c r="J446" s="4"/>
      <c r="L446" s="4" t="str">
        <f>IFERROR(__xludf.DUMMYFUNCTION("""COMPUTED_VALUE"""),"백지원0813")</f>
        <v>백지원0813</v>
      </c>
    </row>
    <row r="447" ht="15.75" customHeight="1">
      <c r="A447" s="45"/>
      <c r="J447" s="4"/>
      <c r="L447" s="4" t="str">
        <f>IFERROR(__xludf.DUMMYFUNCTION("""COMPUTED_VALUE"""),"변정윤2694")</f>
        <v>변정윤2694</v>
      </c>
    </row>
    <row r="448" ht="15.75" customHeight="1">
      <c r="A448" s="45"/>
      <c r="J448" s="4"/>
      <c r="L448" s="4" t="str">
        <f>IFERROR(__xludf.DUMMYFUNCTION("""COMPUTED_VALUE"""),"변지윤7550")</f>
        <v>변지윤7550</v>
      </c>
    </row>
    <row r="449" ht="15.75" customHeight="1">
      <c r="A449" s="45"/>
      <c r="J449" s="4"/>
      <c r="L449" s="4" t="str">
        <f>IFERROR(__xludf.DUMMYFUNCTION("""COMPUTED_VALUE"""),"변지후3922")</f>
        <v>변지후3922</v>
      </c>
    </row>
    <row r="450" ht="15.75" customHeight="1">
      <c r="A450" s="45"/>
      <c r="J450" s="4"/>
      <c r="L450" s="4" t="str">
        <f>IFERROR(__xludf.DUMMYFUNCTION("""COMPUTED_VALUE"""),"서민재7832")</f>
        <v>서민재7832</v>
      </c>
    </row>
    <row r="451" ht="15.75" customHeight="1">
      <c r="A451" s="45"/>
      <c r="J451" s="4"/>
      <c r="L451" s="4" t="str">
        <f>IFERROR(__xludf.DUMMYFUNCTION("""COMPUTED_VALUE"""),"서승현2391")</f>
        <v>서승현2391</v>
      </c>
    </row>
    <row r="452" ht="15.75" customHeight="1">
      <c r="A452" s="45"/>
      <c r="J452" s="4"/>
      <c r="L452" s="4" t="str">
        <f>IFERROR(__xludf.DUMMYFUNCTION("""COMPUTED_VALUE"""),"서재우2045")</f>
        <v>서재우2045</v>
      </c>
    </row>
    <row r="453" ht="15.75" customHeight="1">
      <c r="A453" s="45"/>
      <c r="J453" s="4"/>
      <c r="L453" s="4" t="str">
        <f>IFERROR(__xludf.DUMMYFUNCTION("""COMPUTED_VALUE"""),"서하정6347")</f>
        <v>서하정6347</v>
      </c>
    </row>
    <row r="454" ht="15.75" customHeight="1">
      <c r="A454" s="45"/>
      <c r="J454" s="4"/>
      <c r="L454" s="4" t="str">
        <f>IFERROR(__xludf.DUMMYFUNCTION("""COMPUTED_VALUE"""),"서혜승7279")</f>
        <v>서혜승7279</v>
      </c>
    </row>
    <row r="455" ht="15.75" customHeight="1">
      <c r="A455" s="45"/>
      <c r="J455" s="4"/>
      <c r="L455" s="4" t="str">
        <f>IFERROR(__xludf.DUMMYFUNCTION("""COMPUTED_VALUE"""),"성욱현4049")</f>
        <v>성욱현4049</v>
      </c>
    </row>
    <row r="456" ht="15.75" customHeight="1">
      <c r="A456" s="45"/>
      <c r="J456" s="4"/>
      <c r="L456" s="4" t="str">
        <f>IFERROR(__xludf.DUMMYFUNCTION("""COMPUTED_VALUE"""),"성주연7429")</f>
        <v>성주연7429</v>
      </c>
    </row>
    <row r="457" ht="15.75" customHeight="1">
      <c r="A457" s="45"/>
      <c r="J457" s="4"/>
      <c r="L457" s="4" t="str">
        <f>IFERROR(__xludf.DUMMYFUNCTION("""COMPUTED_VALUE"""),"손승연3804")</f>
        <v>손승연3804</v>
      </c>
    </row>
    <row r="458" ht="15.75" customHeight="1">
      <c r="A458" s="45"/>
      <c r="J458" s="4"/>
      <c r="L458" s="4" t="str">
        <f>IFERROR(__xludf.DUMMYFUNCTION("""COMPUTED_VALUE"""),"손준혁2436")</f>
        <v>손준혁2436</v>
      </c>
    </row>
    <row r="459" ht="15.75" customHeight="1">
      <c r="A459" s="45"/>
      <c r="J459" s="4"/>
      <c r="L459" s="4" t="str">
        <f>IFERROR(__xludf.DUMMYFUNCTION("""COMPUTED_VALUE"""),"손채원9138")</f>
        <v>손채원9138</v>
      </c>
    </row>
    <row r="460" ht="15.75" customHeight="1">
      <c r="A460" s="45"/>
      <c r="J460" s="4"/>
      <c r="L460" s="4" t="str">
        <f>IFERROR(__xludf.DUMMYFUNCTION("""COMPUTED_VALUE"""),"손채원9796")</f>
        <v>손채원9796</v>
      </c>
    </row>
    <row r="461" ht="15.75" customHeight="1">
      <c r="A461" s="45"/>
      <c r="J461" s="4"/>
      <c r="L461" s="4" t="str">
        <f>IFERROR(__xludf.DUMMYFUNCTION("""COMPUTED_VALUE"""),"손현서7535")</f>
        <v>손현서7535</v>
      </c>
    </row>
    <row r="462" ht="15.75" customHeight="1">
      <c r="A462" s="45"/>
      <c r="J462" s="4"/>
      <c r="L462" s="4" t="str">
        <f>IFERROR(__xludf.DUMMYFUNCTION("""COMPUTED_VALUE"""),"송가은0305")</f>
        <v>송가은0305</v>
      </c>
    </row>
    <row r="463" ht="15.75" customHeight="1">
      <c r="A463" s="45"/>
      <c r="J463" s="4"/>
      <c r="L463" s="4" t="str">
        <f>IFERROR(__xludf.DUMMYFUNCTION("""COMPUTED_VALUE"""),"송민근2918")</f>
        <v>송민근2918</v>
      </c>
    </row>
    <row r="464" ht="15.75" customHeight="1">
      <c r="A464" s="45"/>
      <c r="J464" s="4"/>
      <c r="L464" s="4" t="str">
        <f>IFERROR(__xludf.DUMMYFUNCTION("""COMPUTED_VALUE"""),"송우진0379")</f>
        <v>송우진0379</v>
      </c>
    </row>
    <row r="465" ht="15.75" customHeight="1">
      <c r="A465" s="45"/>
      <c r="J465" s="4"/>
      <c r="L465" s="4" t="str">
        <f>IFERROR(__xludf.DUMMYFUNCTION("""COMPUTED_VALUE"""),"신가영8786")</f>
        <v>신가영8786</v>
      </c>
    </row>
    <row r="466" ht="15.75" customHeight="1">
      <c r="A466" s="45"/>
      <c r="J466" s="4"/>
      <c r="L466" s="4" t="str">
        <f>IFERROR(__xludf.DUMMYFUNCTION("""COMPUTED_VALUE"""),"신시아2475")</f>
        <v>신시아2475</v>
      </c>
    </row>
    <row r="467" ht="15.75" customHeight="1">
      <c r="A467" s="45"/>
      <c r="J467" s="4"/>
      <c r="L467" s="4" t="str">
        <f>IFERROR(__xludf.DUMMYFUNCTION("""COMPUTED_VALUE"""),"신정민2313")</f>
        <v>신정민2313</v>
      </c>
    </row>
    <row r="468" ht="15.75" customHeight="1">
      <c r="A468" s="45"/>
      <c r="J468" s="4"/>
      <c r="L468" s="4" t="str">
        <f>IFERROR(__xludf.DUMMYFUNCTION("""COMPUTED_VALUE"""),"신정욱4570")</f>
        <v>신정욱4570</v>
      </c>
    </row>
    <row r="469" ht="15.75" customHeight="1">
      <c r="A469" s="45"/>
      <c r="J469" s="4"/>
      <c r="L469" s="4" t="str">
        <f>IFERROR(__xludf.DUMMYFUNCTION("""COMPUTED_VALUE"""),"신주아7698")</f>
        <v>신주아7698</v>
      </c>
    </row>
    <row r="470" ht="15.75" customHeight="1">
      <c r="A470" s="45"/>
      <c r="J470" s="4"/>
      <c r="L470" s="4" t="str">
        <f>IFERROR(__xludf.DUMMYFUNCTION("""COMPUTED_VALUE"""),"신진희6056")</f>
        <v>신진희6056</v>
      </c>
    </row>
    <row r="471" ht="15.75" customHeight="1">
      <c r="A471" s="45"/>
      <c r="J471" s="4"/>
      <c r="L471" s="4" t="str">
        <f>IFERROR(__xludf.DUMMYFUNCTION("""COMPUTED_VALUE"""),"심현기7530")</f>
        <v>심현기7530</v>
      </c>
    </row>
    <row r="472" ht="15.75" customHeight="1">
      <c r="A472" s="45"/>
      <c r="J472" s="4"/>
      <c r="L472" s="4" t="str">
        <f>IFERROR(__xludf.DUMMYFUNCTION("""COMPUTED_VALUE"""),"안소현6035")</f>
        <v>안소현6035</v>
      </c>
    </row>
    <row r="473" ht="15.75" customHeight="1">
      <c r="A473" s="45"/>
      <c r="J473" s="4"/>
      <c r="L473" s="4" t="str">
        <f>IFERROR(__xludf.DUMMYFUNCTION("""COMPUTED_VALUE"""),"안유정2642")</f>
        <v>안유정2642</v>
      </c>
    </row>
    <row r="474" ht="15.75" customHeight="1">
      <c r="A474" s="45"/>
      <c r="J474" s="4"/>
      <c r="L474" s="4" t="str">
        <f>IFERROR(__xludf.DUMMYFUNCTION("""COMPUTED_VALUE"""),"안태현9939")</f>
        <v>안태현9939</v>
      </c>
    </row>
    <row r="475" ht="15.75" customHeight="1">
      <c r="A475" s="45"/>
      <c r="J475" s="4"/>
      <c r="L475" s="4" t="str">
        <f>IFERROR(__xludf.DUMMYFUNCTION("""COMPUTED_VALUE"""),"안형주2701")</f>
        <v>안형주2701</v>
      </c>
    </row>
    <row r="476" ht="15.75" customHeight="1">
      <c r="A476" s="45"/>
      <c r="J476" s="4"/>
      <c r="L476" s="4" t="str">
        <f>IFERROR(__xludf.DUMMYFUNCTION("""COMPUTED_VALUE"""),"양승민0782")</f>
        <v>양승민0782</v>
      </c>
    </row>
    <row r="477" ht="15.75" customHeight="1">
      <c r="A477" s="45"/>
      <c r="J477" s="4"/>
      <c r="L477" s="4" t="str">
        <f>IFERROR(__xludf.DUMMYFUNCTION("""COMPUTED_VALUE"""),"양승빈3142")</f>
        <v>양승빈3142</v>
      </c>
    </row>
    <row r="478" ht="15.75" customHeight="1">
      <c r="A478" s="45"/>
      <c r="J478" s="4"/>
      <c r="L478" s="4" t="str">
        <f>IFERROR(__xludf.DUMMYFUNCTION("""COMPUTED_VALUE"""),"양인서3679")</f>
        <v>양인서3679</v>
      </c>
    </row>
    <row r="479" ht="15.75" customHeight="1">
      <c r="A479" s="45"/>
      <c r="J479" s="4"/>
      <c r="L479" s="4" t="str">
        <f>IFERROR(__xludf.DUMMYFUNCTION("""COMPUTED_VALUE"""),"양창연2753")</f>
        <v>양창연2753</v>
      </c>
    </row>
    <row r="480" ht="15.75" customHeight="1">
      <c r="A480" s="45"/>
      <c r="J480" s="4"/>
      <c r="L480" s="4" t="str">
        <f>IFERROR(__xludf.DUMMYFUNCTION("""COMPUTED_VALUE"""),"양현6248")</f>
        <v>양현6248</v>
      </c>
    </row>
    <row r="481" ht="15.75" customHeight="1">
      <c r="A481" s="45"/>
      <c r="J481" s="4"/>
      <c r="L481" s="4" t="str">
        <f>IFERROR(__xludf.DUMMYFUNCTION("""COMPUTED_VALUE"""),"엄선훈")</f>
        <v>엄선훈</v>
      </c>
    </row>
    <row r="482" ht="15.75" customHeight="1">
      <c r="A482" s="45"/>
      <c r="J482" s="4"/>
      <c r="L482" s="4" t="str">
        <f>IFERROR(__xludf.DUMMYFUNCTION("""COMPUTED_VALUE"""),"연준원4486")</f>
        <v>연준원4486</v>
      </c>
    </row>
    <row r="483" ht="15.75" customHeight="1">
      <c r="A483" s="45"/>
      <c r="J483" s="4"/>
      <c r="L483" s="4" t="str">
        <f>IFERROR(__xludf.DUMMYFUNCTION("""COMPUTED_VALUE"""),"오서준4493")</f>
        <v>오서준4493</v>
      </c>
    </row>
    <row r="484" ht="15.75" customHeight="1">
      <c r="A484" s="45"/>
      <c r="J484" s="4"/>
      <c r="L484" s="4" t="str">
        <f>IFERROR(__xludf.DUMMYFUNCTION("""COMPUTED_VALUE"""),"오승준8596")</f>
        <v>오승준8596</v>
      </c>
    </row>
    <row r="485" ht="15.75" customHeight="1">
      <c r="A485" s="45"/>
      <c r="J485" s="4"/>
      <c r="L485" s="4" t="str">
        <f>IFERROR(__xludf.DUMMYFUNCTION("""COMPUTED_VALUE"""),"오유빈4218")</f>
        <v>오유빈4218</v>
      </c>
    </row>
    <row r="486" ht="15.75" customHeight="1">
      <c r="A486" s="45"/>
      <c r="J486" s="4"/>
      <c r="L486" s="4" t="str">
        <f>IFERROR(__xludf.DUMMYFUNCTION("""COMPUTED_VALUE"""),"오정민6040")</f>
        <v>오정민6040</v>
      </c>
    </row>
    <row r="487" ht="15.75" customHeight="1">
      <c r="A487" s="45"/>
      <c r="J487" s="4"/>
      <c r="L487" s="4" t="str">
        <f>IFERROR(__xludf.DUMMYFUNCTION("""COMPUTED_VALUE"""),"오정후9223")</f>
        <v>오정후9223</v>
      </c>
    </row>
    <row r="488" ht="15.75" customHeight="1">
      <c r="A488" s="45"/>
      <c r="J488" s="4"/>
      <c r="L488" s="4" t="str">
        <f>IFERROR(__xludf.DUMMYFUNCTION("""COMPUTED_VALUE"""),"오지우9439")</f>
        <v>오지우9439</v>
      </c>
    </row>
    <row r="489" ht="15.75" customHeight="1">
      <c r="A489" s="45"/>
      <c r="J489" s="4"/>
      <c r="L489" s="4" t="str">
        <f>IFERROR(__xludf.DUMMYFUNCTION("""COMPUTED_VALUE"""),"오지호4522")</f>
        <v>오지호4522</v>
      </c>
    </row>
    <row r="490" ht="15.75" customHeight="1">
      <c r="A490" s="45"/>
      <c r="J490" s="4"/>
      <c r="L490" s="4" t="str">
        <f>IFERROR(__xludf.DUMMYFUNCTION("""COMPUTED_VALUE"""),"옥정민5247")</f>
        <v>옥정민5247</v>
      </c>
    </row>
    <row r="491" ht="15.75" customHeight="1">
      <c r="A491" s="45"/>
      <c r="J491" s="4"/>
      <c r="L491" s="4" t="str">
        <f>IFERROR(__xludf.DUMMYFUNCTION("""COMPUTED_VALUE"""),"옥지우4093")</f>
        <v>옥지우4093</v>
      </c>
    </row>
    <row r="492" ht="15.75" customHeight="1">
      <c r="A492" s="45"/>
      <c r="J492" s="4"/>
      <c r="L492" s="4" t="str">
        <f>IFERROR(__xludf.DUMMYFUNCTION("""COMPUTED_VALUE"""),"용청하0829")</f>
        <v>용청하0829</v>
      </c>
    </row>
    <row r="493" ht="15.75" customHeight="1">
      <c r="A493" s="45"/>
      <c r="J493" s="4"/>
      <c r="L493" s="4" t="str">
        <f>IFERROR(__xludf.DUMMYFUNCTION("""COMPUTED_VALUE"""),"우지연5909")</f>
        <v>우지연5909</v>
      </c>
    </row>
    <row r="494" ht="15.75" customHeight="1">
      <c r="A494" s="45"/>
      <c r="J494" s="4"/>
      <c r="L494" s="4" t="str">
        <f>IFERROR(__xludf.DUMMYFUNCTION("""COMPUTED_VALUE"""),"원도현7815")</f>
        <v>원도현7815</v>
      </c>
    </row>
    <row r="495" ht="15.75" customHeight="1">
      <c r="A495" s="45"/>
      <c r="J495" s="4"/>
      <c r="L495" s="4" t="str">
        <f>IFERROR(__xludf.DUMMYFUNCTION("""COMPUTED_VALUE"""),"원해빈5815")</f>
        <v>원해빈5815</v>
      </c>
    </row>
    <row r="496" ht="15.75" customHeight="1">
      <c r="A496" s="45"/>
      <c r="J496" s="4"/>
      <c r="L496" s="4" t="str">
        <f>IFERROR(__xludf.DUMMYFUNCTION("""COMPUTED_VALUE"""),"유소현6634")</f>
        <v>유소현6634</v>
      </c>
    </row>
    <row r="497" ht="15.75" customHeight="1">
      <c r="A497" s="45"/>
      <c r="J497" s="4"/>
      <c r="L497" s="4" t="str">
        <f>IFERROR(__xludf.DUMMYFUNCTION("""COMPUTED_VALUE"""),"유혜림9016")</f>
        <v>유혜림9016</v>
      </c>
    </row>
    <row r="498" ht="15.75" customHeight="1">
      <c r="A498" s="45"/>
      <c r="J498" s="4"/>
      <c r="L498" s="4" t="str">
        <f>IFERROR(__xludf.DUMMYFUNCTION("""COMPUTED_VALUE"""),"윤성우1532")</f>
        <v>윤성우1532</v>
      </c>
    </row>
    <row r="499" ht="15.75" customHeight="1">
      <c r="A499" s="45"/>
      <c r="J499" s="4"/>
      <c r="L499" s="4" t="str">
        <f>IFERROR(__xludf.DUMMYFUNCTION("""COMPUTED_VALUE"""),"윤슬기5500")</f>
        <v>윤슬기5500</v>
      </c>
    </row>
    <row r="500" ht="15.75" customHeight="1">
      <c r="A500" s="45"/>
      <c r="J500" s="4"/>
      <c r="L500" s="4" t="str">
        <f>IFERROR(__xludf.DUMMYFUNCTION("""COMPUTED_VALUE"""),"윤채희9577")</f>
        <v>윤채희9577</v>
      </c>
    </row>
    <row r="501" ht="15.75" customHeight="1">
      <c r="A501" s="45"/>
      <c r="J501" s="4"/>
      <c r="L501" s="4" t="str">
        <f>IFERROR(__xludf.DUMMYFUNCTION("""COMPUTED_VALUE"""),"이가원2812")</f>
        <v>이가원2812</v>
      </c>
    </row>
    <row r="502" ht="15.75" customHeight="1">
      <c r="A502" s="45"/>
      <c r="J502" s="4"/>
      <c r="L502" s="4" t="str">
        <f>IFERROR(__xludf.DUMMYFUNCTION("""COMPUTED_VALUE"""),"이가은6783")</f>
        <v>이가은6783</v>
      </c>
    </row>
    <row r="503" ht="15.75" customHeight="1">
      <c r="A503" s="45"/>
      <c r="J503" s="4"/>
      <c r="L503" s="4" t="str">
        <f>IFERROR(__xludf.DUMMYFUNCTION("""COMPUTED_VALUE"""),"이경원9485")</f>
        <v>이경원9485</v>
      </c>
    </row>
    <row r="504" ht="15.75" customHeight="1">
      <c r="A504" s="45"/>
      <c r="J504" s="4"/>
      <c r="L504" s="4" t="str">
        <f>IFERROR(__xludf.DUMMYFUNCTION("""COMPUTED_VALUE"""),"이규서2304")</f>
        <v>이규서2304</v>
      </c>
    </row>
    <row r="505" ht="15.75" customHeight="1">
      <c r="A505" s="45"/>
      <c r="J505" s="4"/>
      <c r="L505" s="4" t="str">
        <f>IFERROR(__xludf.DUMMYFUNCTION("""COMPUTED_VALUE"""),"이규진4336")</f>
        <v>이규진4336</v>
      </c>
    </row>
    <row r="506" ht="15.75" customHeight="1">
      <c r="A506" s="45"/>
      <c r="J506" s="4"/>
      <c r="L506" s="4" t="str">
        <f>IFERROR(__xludf.DUMMYFUNCTION("""COMPUTED_VALUE"""),"이기백7599")</f>
        <v>이기백7599</v>
      </c>
    </row>
    <row r="507" ht="15.75" customHeight="1">
      <c r="A507" s="45"/>
      <c r="J507" s="4"/>
      <c r="L507" s="4" t="str">
        <f>IFERROR(__xludf.DUMMYFUNCTION("""COMPUTED_VALUE"""),"이다영8300")</f>
        <v>이다영8300</v>
      </c>
    </row>
    <row r="508" ht="15.75" customHeight="1">
      <c r="A508" s="45"/>
      <c r="J508" s="4"/>
      <c r="L508" s="4" t="str">
        <f>IFERROR(__xludf.DUMMYFUNCTION("""COMPUTED_VALUE"""),"이다은3254")</f>
        <v>이다은3254</v>
      </c>
    </row>
    <row r="509" ht="15.75" customHeight="1">
      <c r="A509" s="45"/>
      <c r="J509" s="4"/>
      <c r="L509" s="4" t="str">
        <f>IFERROR(__xludf.DUMMYFUNCTION("""COMPUTED_VALUE"""),"이도원1428")</f>
        <v>이도원1428</v>
      </c>
    </row>
    <row r="510" ht="15.75" customHeight="1">
      <c r="A510" s="45"/>
      <c r="J510" s="4"/>
      <c r="L510" s="4" t="str">
        <f>IFERROR(__xludf.DUMMYFUNCTION("""COMPUTED_VALUE"""),"이도윤9473")</f>
        <v>이도윤9473</v>
      </c>
    </row>
    <row r="511" ht="15.75" customHeight="1">
      <c r="A511" s="45"/>
      <c r="J511" s="4"/>
      <c r="L511" s="4" t="str">
        <f>IFERROR(__xludf.DUMMYFUNCTION("""COMPUTED_VALUE"""),"이동규2371")</f>
        <v>이동규2371</v>
      </c>
    </row>
    <row r="512" ht="15.75" customHeight="1">
      <c r="A512" s="45"/>
      <c r="J512" s="4"/>
      <c r="L512" s="4" t="str">
        <f>IFERROR(__xludf.DUMMYFUNCTION("""COMPUTED_VALUE"""),"이민규2041")</f>
        <v>이민규2041</v>
      </c>
    </row>
    <row r="513" ht="15.75" customHeight="1">
      <c r="A513" s="45"/>
      <c r="J513" s="4"/>
      <c r="L513" s="4" t="str">
        <f>IFERROR(__xludf.DUMMYFUNCTION("""COMPUTED_VALUE"""),"이민성0795")</f>
        <v>이민성0795</v>
      </c>
    </row>
    <row r="514" ht="15.75" customHeight="1">
      <c r="A514" s="45"/>
      <c r="J514" s="4"/>
      <c r="L514" s="4" t="str">
        <f>IFERROR(__xludf.DUMMYFUNCTION("""COMPUTED_VALUE"""),"이민준2939")</f>
        <v>이민준2939</v>
      </c>
    </row>
    <row r="515" ht="15.75" customHeight="1">
      <c r="A515" s="45"/>
      <c r="J515" s="4"/>
      <c r="L515" s="4" t="str">
        <f>IFERROR(__xludf.DUMMYFUNCTION("""COMPUTED_VALUE"""),"이민채5110")</f>
        <v>이민채5110</v>
      </c>
    </row>
    <row r="516" ht="15.75" customHeight="1">
      <c r="A516" s="45"/>
      <c r="J516" s="4"/>
      <c r="L516" s="4" t="str">
        <f>IFERROR(__xludf.DUMMYFUNCTION("""COMPUTED_VALUE"""),"이민하6837")</f>
        <v>이민하6837</v>
      </c>
    </row>
    <row r="517" ht="15.75" customHeight="1">
      <c r="A517" s="45"/>
      <c r="J517" s="4"/>
      <c r="L517" s="4" t="str">
        <f>IFERROR(__xludf.DUMMYFUNCTION("""COMPUTED_VALUE"""),"이서연6288")</f>
        <v>이서연6288</v>
      </c>
    </row>
    <row r="518" ht="15.75" customHeight="1">
      <c r="A518" s="45"/>
      <c r="J518" s="4"/>
      <c r="L518" s="4" t="str">
        <f>IFERROR(__xludf.DUMMYFUNCTION("""COMPUTED_VALUE"""),"이서영3039")</f>
        <v>이서영3039</v>
      </c>
    </row>
    <row r="519" ht="15.75" customHeight="1">
      <c r="A519" s="45"/>
      <c r="J519" s="4"/>
      <c r="L519" s="4" t="str">
        <f>IFERROR(__xludf.DUMMYFUNCTION("""COMPUTED_VALUE"""),"이서준3293")</f>
        <v>이서준3293</v>
      </c>
    </row>
    <row r="520" ht="15.75" customHeight="1">
      <c r="A520" s="45"/>
      <c r="J520" s="4"/>
      <c r="L520" s="4" t="str">
        <f>IFERROR(__xludf.DUMMYFUNCTION("""COMPUTED_VALUE"""),"이서현1195")</f>
        <v>이서현1195</v>
      </c>
    </row>
    <row r="521" ht="15.75" customHeight="1">
      <c r="A521" s="45"/>
      <c r="J521" s="4"/>
      <c r="L521" s="4" t="str">
        <f>IFERROR(__xludf.DUMMYFUNCTION("""COMPUTED_VALUE"""),"이선제2664")</f>
        <v>이선제2664</v>
      </c>
    </row>
    <row r="522" ht="15.75" customHeight="1">
      <c r="A522" s="45"/>
      <c r="J522" s="4"/>
      <c r="L522" s="4" t="str">
        <f>IFERROR(__xludf.DUMMYFUNCTION("""COMPUTED_VALUE"""),"이성현8116")</f>
        <v>이성현8116</v>
      </c>
    </row>
    <row r="523" ht="15.75" customHeight="1">
      <c r="A523" s="45"/>
      <c r="J523" s="4"/>
      <c r="L523" s="4" t="str">
        <f>IFERROR(__xludf.DUMMYFUNCTION("""COMPUTED_VALUE"""),"이소영6983")</f>
        <v>이소영6983</v>
      </c>
    </row>
    <row r="524" ht="15.75" customHeight="1">
      <c r="A524" s="45"/>
      <c r="J524" s="4"/>
      <c r="L524" s="4" t="str">
        <f>IFERROR(__xludf.DUMMYFUNCTION("""COMPUTED_VALUE"""),"이소의5141")</f>
        <v>이소의5141</v>
      </c>
    </row>
    <row r="525" ht="15.75" customHeight="1">
      <c r="A525" s="45"/>
      <c r="J525" s="4"/>
      <c r="L525" s="4" t="str">
        <f>IFERROR(__xludf.DUMMYFUNCTION("""COMPUTED_VALUE"""),"이수빈3905")</f>
        <v>이수빈3905</v>
      </c>
    </row>
    <row r="526" ht="15.75" customHeight="1">
      <c r="A526" s="45"/>
      <c r="J526" s="4"/>
      <c r="L526" s="4" t="str">
        <f>IFERROR(__xludf.DUMMYFUNCTION("""COMPUTED_VALUE"""),"이수연2263")</f>
        <v>이수연2263</v>
      </c>
    </row>
    <row r="527" ht="15.75" customHeight="1">
      <c r="A527" s="45"/>
      <c r="J527" s="4"/>
      <c r="L527" s="4" t="str">
        <f>IFERROR(__xludf.DUMMYFUNCTION("""COMPUTED_VALUE"""),"이수하0516")</f>
        <v>이수하0516</v>
      </c>
    </row>
    <row r="528" ht="15.75" customHeight="1">
      <c r="A528" s="45"/>
      <c r="J528" s="4"/>
      <c r="L528" s="4" t="str">
        <f>IFERROR(__xludf.DUMMYFUNCTION("""COMPUTED_VALUE"""),"이승렬2389")</f>
        <v>이승렬2389</v>
      </c>
    </row>
    <row r="529" ht="15.75" customHeight="1">
      <c r="A529" s="45"/>
      <c r="J529" s="4"/>
      <c r="L529" s="4" t="str">
        <f>IFERROR(__xludf.DUMMYFUNCTION("""COMPUTED_VALUE"""),"이승아9344")</f>
        <v>이승아9344</v>
      </c>
    </row>
    <row r="530" ht="15.75" customHeight="1">
      <c r="A530" s="45"/>
      <c r="J530" s="4"/>
      <c r="L530" s="4" t="str">
        <f>IFERROR(__xludf.DUMMYFUNCTION("""COMPUTED_VALUE"""),"이승유6753")</f>
        <v>이승유6753</v>
      </c>
    </row>
    <row r="531" ht="15.75" customHeight="1">
      <c r="A531" s="45"/>
      <c r="J531" s="4"/>
      <c r="L531" s="4" t="str">
        <f>IFERROR(__xludf.DUMMYFUNCTION("""COMPUTED_VALUE"""),"이연진0661")</f>
        <v>이연진0661</v>
      </c>
    </row>
    <row r="532" ht="15.75" customHeight="1">
      <c r="A532" s="45"/>
      <c r="J532" s="4"/>
      <c r="L532" s="4" t="str">
        <f>IFERROR(__xludf.DUMMYFUNCTION("""COMPUTED_VALUE"""),"이우림6790")</f>
        <v>이우림6790</v>
      </c>
    </row>
    <row r="533" ht="15.75" customHeight="1">
      <c r="A533" s="45"/>
      <c r="J533" s="4"/>
      <c r="L533" s="4" t="str">
        <f>IFERROR(__xludf.DUMMYFUNCTION("""COMPUTED_VALUE"""),"이재호5558")</f>
        <v>이재호5558</v>
      </c>
    </row>
    <row r="534" ht="15.75" customHeight="1">
      <c r="A534" s="45"/>
      <c r="J534" s="4"/>
      <c r="L534" s="4" t="str">
        <f>IFERROR(__xludf.DUMMYFUNCTION("""COMPUTED_VALUE"""),"이정민3868")</f>
        <v>이정민3868</v>
      </c>
    </row>
    <row r="535" ht="15.75" customHeight="1">
      <c r="A535" s="45"/>
      <c r="J535" s="4"/>
      <c r="L535" s="4" t="str">
        <f>IFERROR(__xludf.DUMMYFUNCTION("""COMPUTED_VALUE"""),"이정민6369")</f>
        <v>이정민6369</v>
      </c>
    </row>
    <row r="536" ht="15.75" customHeight="1">
      <c r="A536" s="45"/>
      <c r="J536" s="4"/>
      <c r="L536" s="4" t="str">
        <f>IFERROR(__xludf.DUMMYFUNCTION("""COMPUTED_VALUE"""),"이정우1451")</f>
        <v>이정우1451</v>
      </c>
    </row>
    <row r="537" ht="15.75" customHeight="1">
      <c r="A537" s="45"/>
      <c r="J537" s="4"/>
      <c r="L537" s="4" t="str">
        <f>IFERROR(__xludf.DUMMYFUNCTION("""COMPUTED_VALUE"""),"이정윤3714")</f>
        <v>이정윤3714</v>
      </c>
    </row>
    <row r="538" ht="15.75" customHeight="1">
      <c r="A538" s="45"/>
      <c r="J538" s="4"/>
      <c r="L538" s="4" t="str">
        <f>IFERROR(__xludf.DUMMYFUNCTION("""COMPUTED_VALUE"""),"이주연1463")</f>
        <v>이주연1463</v>
      </c>
    </row>
    <row r="539" ht="15.75" customHeight="1">
      <c r="A539" s="45"/>
      <c r="J539" s="4"/>
      <c r="L539" s="4" t="str">
        <f>IFERROR(__xludf.DUMMYFUNCTION("""COMPUTED_VALUE"""),"이주영3417")</f>
        <v>이주영3417</v>
      </c>
    </row>
    <row r="540" ht="15.75" customHeight="1">
      <c r="A540" s="45"/>
      <c r="J540" s="4"/>
      <c r="L540" s="4" t="str">
        <f>IFERROR(__xludf.DUMMYFUNCTION("""COMPUTED_VALUE"""),"이주원2678")</f>
        <v>이주원2678</v>
      </c>
    </row>
    <row r="541" ht="15.75" customHeight="1">
      <c r="A541" s="45"/>
      <c r="J541" s="4"/>
      <c r="L541" s="4" t="str">
        <f>IFERROR(__xludf.DUMMYFUNCTION("""COMPUTED_VALUE"""),"이준영2954")</f>
        <v>이준영2954</v>
      </c>
    </row>
    <row r="542" ht="15.75" customHeight="1">
      <c r="A542" s="45"/>
      <c r="J542" s="4"/>
      <c r="L542" s="4" t="str">
        <f>IFERROR(__xludf.DUMMYFUNCTION("""COMPUTED_VALUE"""),"이준혁9510")</f>
        <v>이준혁9510</v>
      </c>
    </row>
    <row r="543" ht="15.75" customHeight="1">
      <c r="A543" s="45"/>
      <c r="J543" s="4"/>
      <c r="L543" s="4" t="str">
        <f>IFERROR(__xludf.DUMMYFUNCTION("""COMPUTED_VALUE"""),"이지민1858")</f>
        <v>이지민1858</v>
      </c>
    </row>
    <row r="544" ht="15.75" customHeight="1">
      <c r="A544" s="45"/>
      <c r="J544" s="4"/>
      <c r="L544" s="4" t="str">
        <f>IFERROR(__xludf.DUMMYFUNCTION("""COMPUTED_VALUE"""),"이지민9645")</f>
        <v>이지민9645</v>
      </c>
    </row>
    <row r="545" ht="15.75" customHeight="1">
      <c r="A545" s="45"/>
      <c r="J545" s="4"/>
      <c r="L545" s="4" t="str">
        <f>IFERROR(__xludf.DUMMYFUNCTION("""COMPUTED_VALUE"""),"이지석3484")</f>
        <v>이지석3484</v>
      </c>
    </row>
    <row r="546" ht="15.75" customHeight="1">
      <c r="A546" s="45"/>
      <c r="J546" s="4"/>
      <c r="L546" s="4" t="str">
        <f>IFERROR(__xludf.DUMMYFUNCTION("""COMPUTED_VALUE"""),"이지안0249")</f>
        <v>이지안0249</v>
      </c>
    </row>
    <row r="547" ht="15.75" customHeight="1">
      <c r="A547" s="45"/>
      <c r="J547" s="4"/>
      <c r="L547" s="4" t="str">
        <f>IFERROR(__xludf.DUMMYFUNCTION("""COMPUTED_VALUE"""),"이지안7144")</f>
        <v>이지안7144</v>
      </c>
    </row>
    <row r="548" ht="15.75" customHeight="1">
      <c r="A548" s="45"/>
      <c r="J548" s="4"/>
      <c r="L548" s="4" t="str">
        <f>IFERROR(__xludf.DUMMYFUNCTION("""COMPUTED_VALUE"""),"이지연7304")</f>
        <v>이지연7304</v>
      </c>
    </row>
    <row r="549" ht="15.75" customHeight="1">
      <c r="A549" s="45"/>
      <c r="J549" s="4"/>
      <c r="L549" s="4" t="str">
        <f>IFERROR(__xludf.DUMMYFUNCTION("""COMPUTED_VALUE"""),"이지인9037")</f>
        <v>이지인9037</v>
      </c>
    </row>
    <row r="550" ht="15.75" customHeight="1">
      <c r="A550" s="45"/>
      <c r="J550" s="4"/>
      <c r="L550" s="4" t="str">
        <f>IFERROR(__xludf.DUMMYFUNCTION("""COMPUTED_VALUE"""),"이지훈2312")</f>
        <v>이지훈2312</v>
      </c>
    </row>
    <row r="551" ht="15.75" customHeight="1">
      <c r="A551" s="45"/>
      <c r="J551" s="4"/>
      <c r="L551" s="4" t="str">
        <f>IFERROR(__xludf.DUMMYFUNCTION("""COMPUTED_VALUE"""),"이지훈8700")</f>
        <v>이지훈8700</v>
      </c>
    </row>
    <row r="552" ht="15.75" customHeight="1">
      <c r="A552" s="45"/>
      <c r="J552" s="4"/>
      <c r="L552" s="4" t="str">
        <f>IFERROR(__xludf.DUMMYFUNCTION("""COMPUTED_VALUE"""),"이진희3899")</f>
        <v>이진희3899</v>
      </c>
    </row>
    <row r="553" ht="15.75" customHeight="1">
      <c r="A553" s="45"/>
      <c r="J553" s="4"/>
      <c r="L553" s="4" t="str">
        <f>IFERROR(__xludf.DUMMYFUNCTION("""COMPUTED_VALUE"""),"이찬영7608")</f>
        <v>이찬영7608</v>
      </c>
    </row>
    <row r="554" ht="15.75" customHeight="1">
      <c r="A554" s="45"/>
      <c r="J554" s="4"/>
      <c r="L554" s="4" t="str">
        <f>IFERROR(__xludf.DUMMYFUNCTION("""COMPUTED_VALUE"""),"이채연3823")</f>
        <v>이채연3823</v>
      </c>
    </row>
    <row r="555" ht="15.75" customHeight="1">
      <c r="A555" s="45"/>
      <c r="J555" s="4"/>
      <c r="L555" s="4" t="str">
        <f>IFERROR(__xludf.DUMMYFUNCTION("""COMPUTED_VALUE"""),"이태우0151")</f>
        <v>이태우0151</v>
      </c>
    </row>
    <row r="556" ht="15.75" customHeight="1">
      <c r="A556" s="45"/>
      <c r="J556" s="4"/>
      <c r="L556" s="4" t="str">
        <f>IFERROR(__xludf.DUMMYFUNCTION("""COMPUTED_VALUE"""),"이하은6903")</f>
        <v>이하은6903</v>
      </c>
    </row>
    <row r="557" ht="15.75" customHeight="1">
      <c r="A557" s="45"/>
      <c r="J557" s="4"/>
      <c r="L557" s="4" t="str">
        <f>IFERROR(__xludf.DUMMYFUNCTION("""COMPUTED_VALUE"""),"이하준5726")</f>
        <v>이하준5726</v>
      </c>
    </row>
    <row r="558" ht="15.75" customHeight="1">
      <c r="A558" s="45"/>
      <c r="J558" s="4"/>
      <c r="L558" s="4" t="str">
        <f>IFERROR(__xludf.DUMMYFUNCTION("""COMPUTED_VALUE"""),"이학준3921")</f>
        <v>이학준3921</v>
      </c>
    </row>
    <row r="559" ht="15.75" customHeight="1">
      <c r="A559" s="45"/>
      <c r="J559" s="4"/>
      <c r="L559" s="4" t="str">
        <f>IFERROR(__xludf.DUMMYFUNCTION("""COMPUTED_VALUE"""),"이현민0623")</f>
        <v>이현민0623</v>
      </c>
    </row>
    <row r="560" ht="15.75" customHeight="1">
      <c r="A560" s="45"/>
      <c r="J560" s="4"/>
      <c r="L560" s="4" t="str">
        <f>IFERROR(__xludf.DUMMYFUNCTION("""COMPUTED_VALUE"""),"이현민7480")</f>
        <v>이현민7480</v>
      </c>
    </row>
    <row r="561" ht="15.75" customHeight="1">
      <c r="A561" s="45"/>
      <c r="J561" s="4"/>
      <c r="L561" s="4" t="str">
        <f>IFERROR(__xludf.DUMMYFUNCTION("""COMPUTED_VALUE"""),"이현주7715")</f>
        <v>이현주7715</v>
      </c>
    </row>
    <row r="562" ht="15.75" customHeight="1">
      <c r="A562" s="45"/>
      <c r="J562" s="4"/>
      <c r="L562" s="4" t="str">
        <f>IFERROR(__xludf.DUMMYFUNCTION("""COMPUTED_VALUE"""),"이혜승8213")</f>
        <v>이혜승8213</v>
      </c>
    </row>
    <row r="563" ht="15.75" customHeight="1">
      <c r="A563" s="45"/>
      <c r="J563" s="4"/>
      <c r="L563" s="4" t="str">
        <f>IFERROR(__xludf.DUMMYFUNCTION("""COMPUTED_VALUE"""),"이혜승9195")</f>
        <v>이혜승9195</v>
      </c>
    </row>
    <row r="564" ht="15.75" customHeight="1">
      <c r="A564" s="45"/>
      <c r="J564" s="4"/>
      <c r="L564" s="4" t="str">
        <f>IFERROR(__xludf.DUMMYFUNCTION("""COMPUTED_VALUE"""),"이혜진")</f>
        <v>이혜진</v>
      </c>
    </row>
    <row r="565" ht="15.75" customHeight="1">
      <c r="A565" s="45"/>
      <c r="J565" s="4"/>
      <c r="L565" s="4" t="str">
        <f>IFERROR(__xludf.DUMMYFUNCTION("""COMPUTED_VALUE"""),"이호은3004")</f>
        <v>이호은3004</v>
      </c>
    </row>
    <row r="566" ht="15.75" customHeight="1">
      <c r="A566" s="45"/>
      <c r="J566" s="4"/>
      <c r="L566" s="4" t="str">
        <f>IFERROR(__xludf.DUMMYFUNCTION("""COMPUTED_VALUE"""),"이효주9412")</f>
        <v>이효주9412</v>
      </c>
    </row>
    <row r="567" ht="15.75" customHeight="1">
      <c r="A567" s="45"/>
      <c r="J567" s="4"/>
      <c r="L567" s="4" t="str">
        <f>IFERROR(__xludf.DUMMYFUNCTION("""COMPUTED_VALUE"""),"이후영1558")</f>
        <v>이후영1558</v>
      </c>
    </row>
    <row r="568" ht="15.75" customHeight="1">
      <c r="A568" s="45"/>
      <c r="J568" s="4"/>
      <c r="L568" s="4" t="str">
        <f>IFERROR(__xludf.DUMMYFUNCTION("""COMPUTED_VALUE"""),"임보민6528")</f>
        <v>임보민6528</v>
      </c>
    </row>
    <row r="569" ht="15.75" customHeight="1">
      <c r="A569" s="45"/>
      <c r="J569" s="4"/>
      <c r="L569" s="4" t="str">
        <f>IFERROR(__xludf.DUMMYFUNCTION("""COMPUTED_VALUE"""),"임서현7063")</f>
        <v>임서현7063</v>
      </c>
    </row>
    <row r="570" ht="15.75" customHeight="1">
      <c r="A570" s="45"/>
      <c r="J570" s="4"/>
      <c r="L570" s="4" t="str">
        <f>IFERROR(__xludf.DUMMYFUNCTION("""COMPUTED_VALUE"""),"임유석0328")</f>
        <v>임유석0328</v>
      </c>
    </row>
    <row r="571" ht="15.75" customHeight="1">
      <c r="A571" s="45"/>
      <c r="J571" s="4"/>
      <c r="L571" s="4" t="str">
        <f>IFERROR(__xludf.DUMMYFUNCTION("""COMPUTED_VALUE"""),"임유진2465")</f>
        <v>임유진2465</v>
      </c>
    </row>
    <row r="572" ht="15.75" customHeight="1">
      <c r="A572" s="45"/>
      <c r="J572" s="4"/>
      <c r="L572" s="4" t="str">
        <f>IFERROR(__xludf.DUMMYFUNCTION("""COMPUTED_VALUE"""),"임지우1770")</f>
        <v>임지우1770</v>
      </c>
    </row>
    <row r="573" ht="15.75" customHeight="1">
      <c r="A573" s="45"/>
      <c r="J573" s="4"/>
      <c r="L573" s="4" t="str">
        <f>IFERROR(__xludf.DUMMYFUNCTION("""COMPUTED_VALUE"""),"임지후6829")</f>
        <v>임지후6829</v>
      </c>
    </row>
    <row r="574" ht="15.75" customHeight="1">
      <c r="A574" s="45"/>
      <c r="J574" s="4"/>
      <c r="L574" s="4" t="str">
        <f>IFERROR(__xludf.DUMMYFUNCTION("""COMPUTED_VALUE"""),"임하린3311")</f>
        <v>임하린3311</v>
      </c>
    </row>
    <row r="575" ht="15.75" customHeight="1">
      <c r="A575" s="45"/>
      <c r="J575" s="4"/>
      <c r="L575" s="4" t="str">
        <f>IFERROR(__xludf.DUMMYFUNCTION("""COMPUTED_VALUE"""),"임형규8711")</f>
        <v>임형규8711</v>
      </c>
    </row>
    <row r="576" ht="15.75" customHeight="1">
      <c r="A576" s="45"/>
      <c r="J576" s="4"/>
      <c r="L576" s="4" t="str">
        <f>IFERROR(__xludf.DUMMYFUNCTION("""COMPUTED_VALUE"""),"장규리1946")</f>
        <v>장규리1946</v>
      </c>
    </row>
    <row r="577" ht="15.75" customHeight="1">
      <c r="A577" s="45"/>
      <c r="J577" s="4"/>
      <c r="L577" s="4" t="str">
        <f>IFERROR(__xludf.DUMMYFUNCTION("""COMPUTED_VALUE"""),"장서인9593")</f>
        <v>장서인9593</v>
      </c>
    </row>
    <row r="578" ht="15.75" customHeight="1">
      <c r="A578" s="45"/>
      <c r="J578" s="4"/>
      <c r="L578" s="4" t="str">
        <f>IFERROR(__xludf.DUMMYFUNCTION("""COMPUTED_VALUE"""),"장연우3976")</f>
        <v>장연우3976</v>
      </c>
    </row>
    <row r="579" ht="15.75" customHeight="1">
      <c r="A579" s="45"/>
      <c r="J579" s="4"/>
      <c r="L579" s="4" t="str">
        <f>IFERROR(__xludf.DUMMYFUNCTION("""COMPUTED_VALUE"""),"장유현7693")</f>
        <v>장유현7693</v>
      </c>
    </row>
    <row r="580" ht="15.75" customHeight="1">
      <c r="A580" s="45"/>
      <c r="J580" s="4"/>
      <c r="L580" s="4" t="str">
        <f>IFERROR(__xludf.DUMMYFUNCTION("""COMPUTED_VALUE"""),"장윤서2744")</f>
        <v>장윤서2744</v>
      </c>
    </row>
    <row r="581" ht="15.75" customHeight="1">
      <c r="A581" s="45"/>
      <c r="J581" s="4"/>
      <c r="L581" s="4" t="str">
        <f>IFERROR(__xludf.DUMMYFUNCTION("""COMPUTED_VALUE"""),"장태웅2011")</f>
        <v>장태웅2011</v>
      </c>
    </row>
    <row r="582" ht="15.75" customHeight="1">
      <c r="A582" s="45"/>
      <c r="J582" s="4"/>
      <c r="L582" s="4" t="str">
        <f>IFERROR(__xludf.DUMMYFUNCTION("""COMPUTED_VALUE"""),"전건우1448")</f>
        <v>전건우1448</v>
      </c>
    </row>
    <row r="583" ht="15.75" customHeight="1">
      <c r="A583" s="45"/>
      <c r="J583" s="4"/>
      <c r="L583" s="4" t="str">
        <f>IFERROR(__xludf.DUMMYFUNCTION("""COMPUTED_VALUE"""),"전영서6156")</f>
        <v>전영서6156</v>
      </c>
    </row>
    <row r="584" ht="15.75" customHeight="1">
      <c r="A584" s="45"/>
      <c r="J584" s="4"/>
      <c r="L584" s="4" t="str">
        <f>IFERROR(__xludf.DUMMYFUNCTION("""COMPUTED_VALUE"""),"전지윤2397")</f>
        <v>전지윤2397</v>
      </c>
    </row>
    <row r="585" ht="15.75" customHeight="1">
      <c r="A585" s="45"/>
      <c r="J585" s="4"/>
      <c r="L585" s="4" t="str">
        <f>IFERROR(__xludf.DUMMYFUNCTION("""COMPUTED_VALUE"""),"전필경1591")</f>
        <v>전필경1591</v>
      </c>
    </row>
    <row r="586" ht="15.75" customHeight="1">
      <c r="A586" s="45"/>
      <c r="J586" s="4"/>
      <c r="L586" s="4" t="str">
        <f>IFERROR(__xludf.DUMMYFUNCTION("""COMPUTED_VALUE"""),"전한3740")</f>
        <v>전한3740</v>
      </c>
    </row>
    <row r="587" ht="15.75" customHeight="1">
      <c r="A587" s="45"/>
      <c r="J587" s="4"/>
      <c r="L587" s="4" t="str">
        <f>IFERROR(__xludf.DUMMYFUNCTION("""COMPUTED_VALUE"""),"전현서5455")</f>
        <v>전현서5455</v>
      </c>
    </row>
    <row r="588" ht="15.75" customHeight="1">
      <c r="A588" s="45"/>
      <c r="J588" s="4"/>
      <c r="L588" s="4" t="str">
        <f>IFERROR(__xludf.DUMMYFUNCTION("""COMPUTED_VALUE"""),"전현우8037")</f>
        <v>전현우8037</v>
      </c>
    </row>
    <row r="589" ht="15.75" customHeight="1">
      <c r="A589" s="45"/>
      <c r="J589" s="4"/>
      <c r="L589" s="4" t="str">
        <f>IFERROR(__xludf.DUMMYFUNCTION("""COMPUTED_VALUE"""),"정구헌5177")</f>
        <v>정구헌5177</v>
      </c>
    </row>
    <row r="590" ht="15.75" customHeight="1">
      <c r="A590" s="45"/>
      <c r="J590" s="4"/>
      <c r="L590" s="4" t="str">
        <f>IFERROR(__xludf.DUMMYFUNCTION("""COMPUTED_VALUE"""),"정다은0102")</f>
        <v>정다은0102</v>
      </c>
    </row>
    <row r="591" ht="15.75" customHeight="1">
      <c r="A591" s="45"/>
      <c r="J591" s="4"/>
      <c r="L591" s="4" t="str">
        <f>IFERROR(__xludf.DUMMYFUNCTION("""COMPUTED_VALUE"""),"정다인5031")</f>
        <v>정다인5031</v>
      </c>
    </row>
    <row r="592" ht="15.75" customHeight="1">
      <c r="A592" s="45"/>
      <c r="J592" s="4"/>
      <c r="L592" s="4" t="str">
        <f>IFERROR(__xludf.DUMMYFUNCTION("""COMPUTED_VALUE"""),"정선우8814")</f>
        <v>정선우8814</v>
      </c>
    </row>
    <row r="593" ht="15.75" customHeight="1">
      <c r="A593" s="45"/>
      <c r="J593" s="4"/>
      <c r="L593" s="4" t="str">
        <f>IFERROR(__xludf.DUMMYFUNCTION("""COMPUTED_VALUE"""),"정승민3451")</f>
        <v>정승민3451</v>
      </c>
    </row>
    <row r="594" ht="15.75" customHeight="1">
      <c r="A594" s="45"/>
      <c r="J594" s="4"/>
      <c r="L594" s="4" t="str">
        <f>IFERROR(__xludf.DUMMYFUNCTION("""COMPUTED_VALUE"""),"정요셉2166")</f>
        <v>정요셉2166</v>
      </c>
    </row>
    <row r="595" ht="15.75" customHeight="1">
      <c r="A595" s="45"/>
      <c r="J595" s="4"/>
      <c r="L595" s="4" t="str">
        <f>IFERROR(__xludf.DUMMYFUNCTION("""COMPUTED_VALUE"""),"정원영3775")</f>
        <v>정원영3775</v>
      </c>
    </row>
    <row r="596" ht="15.75" customHeight="1">
      <c r="A596" s="45"/>
      <c r="J596" s="4"/>
      <c r="L596" s="4" t="str">
        <f>IFERROR(__xludf.DUMMYFUNCTION("""COMPUTED_VALUE"""),"정은채0710")</f>
        <v>정은채0710</v>
      </c>
    </row>
    <row r="597" ht="15.75" customHeight="1">
      <c r="A597" s="45"/>
      <c r="J597" s="4"/>
      <c r="L597" s="4" t="str">
        <f>IFERROR(__xludf.DUMMYFUNCTION("""COMPUTED_VALUE"""),"정인호2362")</f>
        <v>정인호2362</v>
      </c>
    </row>
    <row r="598" ht="15.75" customHeight="1">
      <c r="A598" s="45"/>
      <c r="J598" s="4"/>
      <c r="L598" s="4" t="str">
        <f>IFERROR(__xludf.DUMMYFUNCTION("""COMPUTED_VALUE"""),"정재아1991")</f>
        <v>정재아1991</v>
      </c>
    </row>
    <row r="599" ht="15.75" customHeight="1">
      <c r="A599" s="45"/>
      <c r="J599" s="4"/>
      <c r="L599" s="4" t="str">
        <f>IFERROR(__xludf.DUMMYFUNCTION("""COMPUTED_VALUE"""),"정재윤6842")</f>
        <v>정재윤6842</v>
      </c>
    </row>
    <row r="600" ht="15.75" customHeight="1">
      <c r="A600" s="45"/>
      <c r="J600" s="4"/>
      <c r="L600" s="4" t="str">
        <f>IFERROR(__xludf.DUMMYFUNCTION("""COMPUTED_VALUE"""),"정진아1771")</f>
        <v>정진아1771</v>
      </c>
    </row>
    <row r="601" ht="15.75" customHeight="1">
      <c r="A601" s="45"/>
      <c r="J601" s="4"/>
      <c r="L601" s="4" t="str">
        <f>IFERROR(__xludf.DUMMYFUNCTION("""COMPUTED_VALUE"""),"정태환9622")</f>
        <v>정태환9622</v>
      </c>
    </row>
    <row r="602" ht="15.75" customHeight="1">
      <c r="A602" s="45"/>
      <c r="J602" s="4"/>
      <c r="L602" s="4" t="str">
        <f>IFERROR(__xludf.DUMMYFUNCTION("""COMPUTED_VALUE"""),"정현우5340")</f>
        <v>정현우5340</v>
      </c>
    </row>
    <row r="603" ht="15.75" customHeight="1">
      <c r="A603" s="45"/>
      <c r="J603" s="4"/>
      <c r="L603" s="4" t="str">
        <f>IFERROR(__xludf.DUMMYFUNCTION("""COMPUTED_VALUE"""),"정호현2609")</f>
        <v>정호현2609</v>
      </c>
    </row>
    <row r="604" ht="15.75" customHeight="1">
      <c r="A604" s="45"/>
      <c r="J604" s="4"/>
      <c r="L604" s="4" t="str">
        <f>IFERROR(__xludf.DUMMYFUNCTION("""COMPUTED_VALUE"""),"조상원4487")</f>
        <v>조상원4487</v>
      </c>
    </row>
    <row r="605" ht="15.75" customHeight="1">
      <c r="A605" s="45"/>
      <c r="J605" s="4"/>
      <c r="L605" s="4" t="str">
        <f>IFERROR(__xludf.DUMMYFUNCTION("""COMPUTED_VALUE"""),"조상혁0315")</f>
        <v>조상혁0315</v>
      </c>
    </row>
    <row r="606" ht="15.75" customHeight="1">
      <c r="A606" s="45"/>
      <c r="J606" s="4"/>
      <c r="L606" s="4" t="str">
        <f>IFERROR(__xludf.DUMMYFUNCTION("""COMPUTED_VALUE"""),"조성원7897")</f>
        <v>조성원7897</v>
      </c>
    </row>
    <row r="607" ht="15.75" customHeight="1">
      <c r="A607" s="45"/>
      <c r="J607" s="4"/>
      <c r="L607" s="4" t="str">
        <f>IFERROR(__xludf.DUMMYFUNCTION("""COMPUTED_VALUE"""),"조수빈5948")</f>
        <v>조수빈5948</v>
      </c>
    </row>
    <row r="608" ht="15.75" customHeight="1">
      <c r="A608" s="45"/>
      <c r="J608" s="4"/>
      <c r="L608" s="4" t="str">
        <f>IFERROR(__xludf.DUMMYFUNCTION("""COMPUTED_VALUE"""),"조아현0939")</f>
        <v>조아현0939</v>
      </c>
    </row>
    <row r="609" ht="15.75" customHeight="1">
      <c r="A609" s="45"/>
      <c r="J609" s="4"/>
      <c r="L609" s="4" t="str">
        <f>IFERROR(__xludf.DUMMYFUNCTION("""COMPUTED_VALUE"""),"조영백9524")</f>
        <v>조영백9524</v>
      </c>
    </row>
    <row r="610" ht="15.75" customHeight="1">
      <c r="A610" s="45"/>
      <c r="J610" s="4"/>
      <c r="L610" s="4" t="str">
        <f>IFERROR(__xludf.DUMMYFUNCTION("""COMPUTED_VALUE"""),"조윤9517")</f>
        <v>조윤9517</v>
      </c>
    </row>
    <row r="611" ht="15.75" customHeight="1">
      <c r="A611" s="45"/>
      <c r="J611" s="4"/>
      <c r="L611" s="4" t="str">
        <f>IFERROR(__xludf.DUMMYFUNCTION("""COMPUTED_VALUE"""),"조윤서2297")</f>
        <v>조윤서2297</v>
      </c>
    </row>
    <row r="612" ht="15.75" customHeight="1">
      <c r="A612" s="45"/>
      <c r="J612" s="4"/>
      <c r="L612" s="4" t="str">
        <f>IFERROR(__xludf.DUMMYFUNCTION("""COMPUTED_VALUE"""),"조윤재3461")</f>
        <v>조윤재3461</v>
      </c>
    </row>
    <row r="613" ht="15.75" customHeight="1">
      <c r="A613" s="45"/>
      <c r="J613" s="4"/>
      <c r="L613" s="4" t="str">
        <f>IFERROR(__xludf.DUMMYFUNCTION("""COMPUTED_VALUE"""),"조은희9858")</f>
        <v>조은희9858</v>
      </c>
    </row>
    <row r="614" ht="15.75" customHeight="1">
      <c r="A614" s="45"/>
      <c r="J614" s="4"/>
      <c r="L614" s="4" t="str">
        <f>IFERROR(__xludf.DUMMYFUNCTION("""COMPUTED_VALUE"""),"조준희9561")</f>
        <v>조준희9561</v>
      </c>
    </row>
    <row r="615" ht="15.75" customHeight="1">
      <c r="A615" s="45"/>
      <c r="J615" s="4"/>
      <c r="L615" s="4" t="str">
        <f>IFERROR(__xludf.DUMMYFUNCTION("""COMPUTED_VALUE"""),"조항진1928")</f>
        <v>조항진1928</v>
      </c>
    </row>
    <row r="616" ht="15.75" customHeight="1">
      <c r="A616" s="45"/>
      <c r="J616" s="4"/>
      <c r="L616" s="4" t="str">
        <f>IFERROR(__xludf.DUMMYFUNCTION("""COMPUTED_VALUE"""),"조현승1876")</f>
        <v>조현승1876</v>
      </c>
    </row>
    <row r="617" ht="15.75" customHeight="1">
      <c r="A617" s="45"/>
      <c r="J617" s="4"/>
      <c r="L617" s="4" t="str">
        <f>IFERROR(__xludf.DUMMYFUNCTION("""COMPUTED_VALUE"""),"조현아8363")</f>
        <v>조현아8363</v>
      </c>
    </row>
    <row r="618" ht="15.75" customHeight="1">
      <c r="A618" s="45"/>
      <c r="J618" s="4"/>
      <c r="L618" s="4" t="str">
        <f>IFERROR(__xludf.DUMMYFUNCTION("""COMPUTED_VALUE"""),"조현우6865")</f>
        <v>조현우6865</v>
      </c>
    </row>
    <row r="619" ht="15.75" customHeight="1">
      <c r="A619" s="45"/>
      <c r="J619" s="4"/>
      <c r="L619" s="4" t="str">
        <f>IFERROR(__xludf.DUMMYFUNCTION("""COMPUTED_VALUE"""),"주연우1744")</f>
        <v>주연우1744</v>
      </c>
    </row>
    <row r="620" ht="15.75" customHeight="1">
      <c r="A620" s="45"/>
      <c r="J620" s="4"/>
      <c r="L620" s="4" t="str">
        <f>IFERROR(__xludf.DUMMYFUNCTION("""COMPUTED_VALUE"""),"지승준5789")</f>
        <v>지승준5789</v>
      </c>
    </row>
    <row r="621" ht="15.75" customHeight="1">
      <c r="A621" s="45"/>
      <c r="J621" s="4"/>
      <c r="L621" s="4" t="str">
        <f>IFERROR(__xludf.DUMMYFUNCTION("""COMPUTED_VALUE"""),"진수아1085")</f>
        <v>진수아1085</v>
      </c>
    </row>
    <row r="622" ht="15.75" customHeight="1">
      <c r="A622" s="45"/>
      <c r="J622" s="4"/>
      <c r="L622" s="4" t="str">
        <f>IFERROR(__xludf.DUMMYFUNCTION("""COMPUTED_VALUE"""),"차민정8797")</f>
        <v>차민정8797</v>
      </c>
    </row>
    <row r="623" ht="15.75" customHeight="1">
      <c r="A623" s="45"/>
      <c r="J623" s="4"/>
      <c r="L623" s="4" t="str">
        <f>IFERROR(__xludf.DUMMYFUNCTION("""COMPUTED_VALUE"""),"채수빈1097")</f>
        <v>채수빈1097</v>
      </c>
    </row>
    <row r="624" ht="15.75" customHeight="1">
      <c r="A624" s="45"/>
      <c r="J624" s="4"/>
      <c r="L624" s="4" t="str">
        <f>IFERROR(__xludf.DUMMYFUNCTION("""COMPUTED_VALUE"""),"채연재6841")</f>
        <v>채연재6841</v>
      </c>
    </row>
    <row r="625" ht="15.75" customHeight="1">
      <c r="A625" s="45"/>
      <c r="J625" s="4"/>
      <c r="L625" s="4" t="str">
        <f>IFERROR(__xludf.DUMMYFUNCTION("""COMPUTED_VALUE"""),"최경원1895")</f>
        <v>최경원1895</v>
      </c>
    </row>
    <row r="626" ht="15.75" customHeight="1">
      <c r="A626" s="45"/>
      <c r="J626" s="4"/>
      <c r="L626" s="4" t="str">
        <f>IFERROR(__xludf.DUMMYFUNCTION("""COMPUTED_VALUE"""),"최명헌1725")</f>
        <v>최명헌1725</v>
      </c>
    </row>
    <row r="627" ht="15.75" customHeight="1">
      <c r="A627" s="45"/>
      <c r="J627" s="4"/>
      <c r="L627" s="4" t="str">
        <f>IFERROR(__xludf.DUMMYFUNCTION("""COMPUTED_VALUE"""),"최모세2041")</f>
        <v>최모세2041</v>
      </c>
    </row>
    <row r="628" ht="15.75" customHeight="1">
      <c r="A628" s="45"/>
      <c r="J628" s="4"/>
      <c r="L628" s="4" t="str">
        <f>IFERROR(__xludf.DUMMYFUNCTION("""COMPUTED_VALUE"""),"최성연3824")</f>
        <v>최성연3824</v>
      </c>
    </row>
    <row r="629" ht="15.75" customHeight="1">
      <c r="A629" s="45"/>
      <c r="J629" s="4"/>
      <c r="L629" s="4" t="str">
        <f>IFERROR(__xludf.DUMMYFUNCTION("""COMPUTED_VALUE"""),"최성은0250")</f>
        <v>최성은0250</v>
      </c>
    </row>
    <row r="630" ht="15.75" customHeight="1">
      <c r="A630" s="45"/>
      <c r="J630" s="4"/>
      <c r="L630" s="4" t="str">
        <f>IFERROR(__xludf.DUMMYFUNCTION("""COMPUTED_VALUE"""),"최승빈8945")</f>
        <v>최승빈8945</v>
      </c>
    </row>
    <row r="631" ht="15.75" customHeight="1">
      <c r="A631" s="45"/>
      <c r="J631" s="4"/>
      <c r="L631" s="4" t="str">
        <f>IFERROR(__xludf.DUMMYFUNCTION("""COMPUTED_VALUE"""),"최연우3363")</f>
        <v>최연우3363</v>
      </c>
    </row>
    <row r="632" ht="15.75" customHeight="1">
      <c r="A632" s="45"/>
      <c r="J632" s="4"/>
      <c r="L632" s="4" t="str">
        <f>IFERROR(__xludf.DUMMYFUNCTION("""COMPUTED_VALUE"""),"최연원9450")</f>
        <v>최연원9450</v>
      </c>
    </row>
    <row r="633" ht="15.75" customHeight="1">
      <c r="A633" s="45"/>
      <c r="J633" s="4"/>
      <c r="L633" s="4" t="str">
        <f>IFERROR(__xludf.DUMMYFUNCTION("""COMPUTED_VALUE"""),"최예서4554")</f>
        <v>최예서4554</v>
      </c>
    </row>
    <row r="634" ht="15.75" customHeight="1">
      <c r="A634" s="45"/>
      <c r="J634" s="4"/>
      <c r="L634" s="4" t="str">
        <f>IFERROR(__xludf.DUMMYFUNCTION("""COMPUTED_VALUE"""),"최예진5486")</f>
        <v>최예진5486</v>
      </c>
    </row>
    <row r="635" ht="15.75" customHeight="1">
      <c r="A635" s="45"/>
      <c r="J635" s="4"/>
      <c r="L635" s="4" t="str">
        <f>IFERROR(__xludf.DUMMYFUNCTION("""COMPUTED_VALUE"""),"최우주2739")</f>
        <v>최우주2739</v>
      </c>
    </row>
    <row r="636" ht="15.75" customHeight="1">
      <c r="A636" s="45"/>
      <c r="J636" s="4"/>
      <c r="L636" s="4" t="str">
        <f>IFERROR(__xludf.DUMMYFUNCTION("""COMPUTED_VALUE"""),"최우현9385")</f>
        <v>최우현9385</v>
      </c>
    </row>
    <row r="637" ht="15.75" customHeight="1">
      <c r="A637" s="45"/>
      <c r="J637" s="4"/>
      <c r="L637" s="4" t="str">
        <f>IFERROR(__xludf.DUMMYFUNCTION("""COMPUTED_VALUE"""),"최정은9852")</f>
        <v>최정은9852</v>
      </c>
    </row>
    <row r="638" ht="15.75" customHeight="1">
      <c r="A638" s="45"/>
      <c r="J638" s="4"/>
      <c r="L638" s="4" t="str">
        <f>IFERROR(__xludf.DUMMYFUNCTION("""COMPUTED_VALUE"""),"최지성9764")</f>
        <v>최지성9764</v>
      </c>
    </row>
    <row r="639" ht="15.75" customHeight="1">
      <c r="A639" s="45"/>
      <c r="J639" s="4"/>
      <c r="L639" s="4" t="str">
        <f>IFERROR(__xludf.DUMMYFUNCTION("""COMPUTED_VALUE"""),"최지수6201")</f>
        <v>최지수6201</v>
      </c>
    </row>
    <row r="640" ht="15.75" customHeight="1">
      <c r="A640" s="45"/>
      <c r="J640" s="4"/>
      <c r="L640" s="4" t="str">
        <f>IFERROR(__xludf.DUMMYFUNCTION("""COMPUTED_VALUE"""),"최태경7637")</f>
        <v>최태경7637</v>
      </c>
    </row>
    <row r="641" ht="15.75" customHeight="1">
      <c r="A641" s="45"/>
      <c r="J641" s="4"/>
      <c r="L641" s="4" t="str">
        <f>IFERROR(__xludf.DUMMYFUNCTION("""COMPUTED_VALUE"""),"최현준5933")</f>
        <v>최현준5933</v>
      </c>
    </row>
    <row r="642" ht="15.75" customHeight="1">
      <c r="A642" s="45"/>
      <c r="J642" s="4"/>
      <c r="L642" s="4" t="str">
        <f>IFERROR(__xludf.DUMMYFUNCTION("""COMPUTED_VALUE"""),"최현진0275")</f>
        <v>최현진0275</v>
      </c>
    </row>
    <row r="643" ht="15.75" customHeight="1">
      <c r="A643" s="45"/>
      <c r="J643" s="4"/>
      <c r="L643" s="4" t="str">
        <f>IFERROR(__xludf.DUMMYFUNCTION("""COMPUTED_VALUE"""),"최호연1078")</f>
        <v>최호연1078</v>
      </c>
    </row>
    <row r="644" ht="15.75" customHeight="1">
      <c r="A644" s="45"/>
      <c r="J644" s="4"/>
      <c r="L644" s="4" t="str">
        <f>IFERROR(__xludf.DUMMYFUNCTION("""COMPUTED_VALUE"""),"한소윤6030")</f>
        <v>한소윤6030</v>
      </c>
    </row>
    <row r="645" ht="15.75" customHeight="1">
      <c r="A645" s="45"/>
      <c r="J645" s="4"/>
      <c r="L645" s="4" t="str">
        <f>IFERROR(__xludf.DUMMYFUNCTION("""COMPUTED_VALUE"""),"한수빈4103")</f>
        <v>한수빈4103</v>
      </c>
    </row>
    <row r="646" ht="15.75" customHeight="1">
      <c r="A646" s="45"/>
      <c r="J646" s="4"/>
      <c r="L646" s="4" t="str">
        <f>IFERROR(__xludf.DUMMYFUNCTION("""COMPUTED_VALUE"""),"한이빈9694")</f>
        <v>한이빈9694</v>
      </c>
    </row>
    <row r="647" ht="15.75" customHeight="1">
      <c r="A647" s="45"/>
      <c r="J647" s="4"/>
      <c r="L647" s="4" t="str">
        <f>IFERROR(__xludf.DUMMYFUNCTION("""COMPUTED_VALUE"""),"한재윤4722")</f>
        <v>한재윤4722</v>
      </c>
    </row>
    <row r="648" ht="15.75" customHeight="1">
      <c r="A648" s="45"/>
      <c r="J648" s="4"/>
      <c r="L648" s="4" t="str">
        <f>IFERROR(__xludf.DUMMYFUNCTION("""COMPUTED_VALUE"""),"한주희3938")</f>
        <v>한주희3938</v>
      </c>
    </row>
    <row r="649" ht="15.75" customHeight="1">
      <c r="A649" s="45"/>
      <c r="J649" s="4"/>
      <c r="L649" s="4" t="str">
        <f>IFERROR(__xludf.DUMMYFUNCTION("""COMPUTED_VALUE"""),"한지요6979")</f>
        <v>한지요6979</v>
      </c>
    </row>
    <row r="650" ht="15.75" customHeight="1">
      <c r="A650" s="45"/>
      <c r="J650" s="4"/>
      <c r="L650" s="4" t="str">
        <f>IFERROR(__xludf.DUMMYFUNCTION("""COMPUTED_VALUE"""),"함건희1005")</f>
        <v>함건희1005</v>
      </c>
    </row>
    <row r="651" ht="15.75" customHeight="1">
      <c r="A651" s="45"/>
      <c r="J651" s="4"/>
      <c r="L651" s="4" t="str">
        <f>IFERROR(__xludf.DUMMYFUNCTION("""COMPUTED_VALUE"""),"함주혁2458")</f>
        <v>함주혁2458</v>
      </c>
    </row>
    <row r="652" ht="15.75" customHeight="1">
      <c r="A652" s="45"/>
      <c r="J652" s="4"/>
      <c r="L652" s="4" t="str">
        <f>IFERROR(__xludf.DUMMYFUNCTION("""COMPUTED_VALUE"""),"허동국0551")</f>
        <v>허동국0551</v>
      </c>
    </row>
    <row r="653" ht="15.75" customHeight="1">
      <c r="A653" s="45"/>
      <c r="J653" s="4"/>
      <c r="L653" s="4" t="str">
        <f>IFERROR(__xludf.DUMMYFUNCTION("""COMPUTED_VALUE"""),"허민2214")</f>
        <v>허민2214</v>
      </c>
    </row>
    <row r="654" ht="15.75" customHeight="1">
      <c r="A654" s="45"/>
      <c r="J654" s="4"/>
      <c r="L654" s="4" t="str">
        <f>IFERROR(__xludf.DUMMYFUNCTION("""COMPUTED_VALUE"""),"허우진0236")</f>
        <v>허우진0236</v>
      </c>
    </row>
    <row r="655" ht="15.75" customHeight="1">
      <c r="A655" s="45"/>
      <c r="J655" s="4"/>
      <c r="L655" s="4" t="str">
        <f>IFERROR(__xludf.DUMMYFUNCTION("""COMPUTED_VALUE"""),"허지혜1096")</f>
        <v>허지혜1096</v>
      </c>
    </row>
    <row r="656" ht="15.75" customHeight="1">
      <c r="A656" s="45"/>
      <c r="J656" s="4"/>
      <c r="L656" s="4" t="str">
        <f>IFERROR(__xludf.DUMMYFUNCTION("""COMPUTED_VALUE"""),"허태경5298")</f>
        <v>허태경5298</v>
      </c>
    </row>
    <row r="657" ht="15.75" customHeight="1">
      <c r="A657" s="45"/>
      <c r="J657" s="4"/>
      <c r="L657" s="4" t="str">
        <f>IFERROR(__xludf.DUMMYFUNCTION("""COMPUTED_VALUE"""),"형민서2615")</f>
        <v>형민서2615</v>
      </c>
    </row>
    <row r="658" ht="15.75" customHeight="1">
      <c r="A658" s="45"/>
      <c r="J658" s="4"/>
      <c r="L658" s="4" t="str">
        <f>IFERROR(__xludf.DUMMYFUNCTION("""COMPUTED_VALUE"""),"홍규성8791")</f>
        <v>홍규성8791</v>
      </c>
    </row>
    <row r="659" ht="15.75" customHeight="1">
      <c r="A659" s="45"/>
      <c r="J659" s="4"/>
      <c r="L659" s="4" t="str">
        <f>IFERROR(__xludf.DUMMYFUNCTION("""COMPUTED_VALUE"""),"홍정연7833")</f>
        <v>홍정연7833</v>
      </c>
    </row>
    <row r="660" ht="15.75" customHeight="1">
      <c r="A660" s="45"/>
      <c r="J660" s="4"/>
      <c r="L660" s="4" t="str">
        <f>IFERROR(__xludf.DUMMYFUNCTION("""COMPUTED_VALUE"""),"홍해솔5683")</f>
        <v>홍해솔5683</v>
      </c>
    </row>
    <row r="661" ht="15.75" customHeight="1">
      <c r="A661" s="45"/>
      <c r="J661" s="4"/>
      <c r="L661" s="4" t="str">
        <f>IFERROR(__xludf.DUMMYFUNCTION("""COMPUTED_VALUE"""),"황규진9766")</f>
        <v>황규진9766</v>
      </c>
    </row>
    <row r="662" ht="15.75" customHeight="1">
      <c r="A662" s="45"/>
      <c r="J662" s="4"/>
      <c r="L662" s="4" t="str">
        <f>IFERROR(__xludf.DUMMYFUNCTION("""COMPUTED_VALUE"""),"황선웅0627")</f>
        <v>황선웅0627</v>
      </c>
    </row>
    <row r="663" ht="15.75" customHeight="1">
      <c r="A663" s="45"/>
      <c r="J663" s="4"/>
      <c r="L663" s="4" t="str">
        <f>IFERROR(__xludf.DUMMYFUNCTION("""COMPUTED_VALUE"""),"황선호5885")</f>
        <v>황선호5885</v>
      </c>
    </row>
    <row r="664" ht="15.75" customHeight="1">
      <c r="A664" s="45"/>
      <c r="J664" s="4"/>
      <c r="L664" s="4" t="str">
        <f>IFERROR(__xludf.DUMMYFUNCTION("""COMPUTED_VALUE"""),"황성준4580")</f>
        <v>황성준4580</v>
      </c>
    </row>
    <row r="665" ht="15.75" customHeight="1">
      <c r="A665" s="45"/>
      <c r="J665" s="4"/>
      <c r="L665" s="4" t="str">
        <f>IFERROR(__xludf.DUMMYFUNCTION("""COMPUTED_VALUE"""),"황수현6530")</f>
        <v>황수현6530</v>
      </c>
    </row>
    <row r="666" ht="15.75" customHeight="1">
      <c r="A666" s="45"/>
      <c r="J666" s="4"/>
      <c r="L666" s="4" t="str">
        <f>IFERROR(__xludf.DUMMYFUNCTION("""COMPUTED_VALUE"""),"황시은2437")</f>
        <v>황시은2437</v>
      </c>
    </row>
    <row r="667" ht="15.75" customHeight="1">
      <c r="A667" s="45"/>
      <c r="J667" s="4"/>
      <c r="L667" s="4" t="str">
        <f>IFERROR(__xludf.DUMMYFUNCTION("""COMPUTED_VALUE"""),"황준서0113")</f>
        <v>황준서0113</v>
      </c>
    </row>
    <row r="668" ht="15.75" customHeight="1">
      <c r="A668" s="45"/>
      <c r="J668" s="4"/>
    </row>
    <row r="669" ht="15.75" customHeight="1">
      <c r="A669" s="45"/>
      <c r="J669" s="4"/>
    </row>
    <row r="670" ht="15.75" customHeight="1">
      <c r="A670" s="45"/>
      <c r="J670" s="4"/>
    </row>
    <row r="671" ht="15.75" customHeight="1">
      <c r="A671" s="45"/>
      <c r="J671" s="4"/>
    </row>
    <row r="672" ht="15.75" customHeight="1">
      <c r="A672" s="45"/>
      <c r="J672" s="4"/>
    </row>
    <row r="673" ht="15.75" customHeight="1">
      <c r="A673" s="45"/>
      <c r="J673" s="4"/>
    </row>
    <row r="674" ht="15.75" customHeight="1">
      <c r="A674" s="45"/>
      <c r="J674" s="4"/>
    </row>
    <row r="675" ht="15.75" customHeight="1">
      <c r="A675" s="45"/>
      <c r="J675" s="4"/>
    </row>
    <row r="676" ht="15.75" customHeight="1">
      <c r="A676" s="45"/>
      <c r="J676" s="4"/>
    </row>
    <row r="677" ht="15.75" customHeight="1">
      <c r="A677" s="45"/>
      <c r="J677" s="4"/>
    </row>
    <row r="678" ht="15.75" customHeight="1">
      <c r="A678" s="45"/>
      <c r="J678" s="4"/>
    </row>
    <row r="679" ht="15.75" customHeight="1">
      <c r="A679" s="45"/>
      <c r="J679" s="4"/>
    </row>
    <row r="680" ht="15.75" customHeight="1">
      <c r="A680" s="45"/>
      <c r="J680" s="4"/>
    </row>
    <row r="681" ht="15.75" customHeight="1">
      <c r="A681" s="45"/>
      <c r="J681" s="4"/>
    </row>
    <row r="682" ht="15.75" customHeight="1">
      <c r="A682" s="45"/>
      <c r="J682" s="4"/>
    </row>
    <row r="683" ht="15.75" customHeight="1">
      <c r="A683" s="45"/>
      <c r="J683" s="4"/>
    </row>
    <row r="684" ht="15.75" customHeight="1">
      <c r="A684" s="45"/>
      <c r="J684" s="4"/>
    </row>
    <row r="685" ht="15.75" customHeight="1">
      <c r="A685" s="45"/>
      <c r="J685" s="4"/>
    </row>
    <row r="686" ht="15.75" customHeight="1">
      <c r="A686" s="45"/>
      <c r="J686" s="4"/>
    </row>
    <row r="687" ht="15.75" customHeight="1">
      <c r="A687" s="45"/>
      <c r="J687" s="4"/>
    </row>
    <row r="688" ht="15.75" customHeight="1">
      <c r="A688" s="45"/>
      <c r="J688" s="4"/>
    </row>
    <row r="689" ht="15.75" customHeight="1">
      <c r="A689" s="45"/>
      <c r="J689" s="4"/>
    </row>
    <row r="690" ht="15.75" customHeight="1">
      <c r="A690" s="45"/>
      <c r="J690" s="4"/>
    </row>
    <row r="691" ht="15.75" customHeight="1">
      <c r="A691" s="45"/>
      <c r="J691" s="4"/>
    </row>
    <row r="692" ht="15.75" customHeight="1">
      <c r="A692" s="45"/>
      <c r="J692" s="4"/>
    </row>
    <row r="693" ht="15.75" customHeight="1">
      <c r="A693" s="45"/>
      <c r="J693" s="4"/>
    </row>
    <row r="694" ht="15.75" customHeight="1">
      <c r="A694" s="45"/>
      <c r="J694" s="4"/>
    </row>
    <row r="695" ht="15.75" customHeight="1">
      <c r="A695" s="45"/>
      <c r="J695" s="4"/>
    </row>
    <row r="696" ht="15.75" customHeight="1">
      <c r="A696" s="45"/>
      <c r="J696" s="4"/>
    </row>
    <row r="697" ht="15.75" customHeight="1">
      <c r="A697" s="45"/>
      <c r="J697" s="4"/>
    </row>
    <row r="698" ht="15.75" customHeight="1">
      <c r="A698" s="45"/>
      <c r="J698" s="4"/>
    </row>
    <row r="699" ht="15.75" customHeight="1">
      <c r="A699" s="45"/>
      <c r="J699" s="4"/>
    </row>
    <row r="700" ht="15.75" customHeight="1">
      <c r="A700" s="45"/>
      <c r="J700" s="4"/>
    </row>
    <row r="701" ht="15.75" customHeight="1">
      <c r="A701" s="45"/>
      <c r="J701" s="4"/>
    </row>
    <row r="702" ht="15.75" customHeight="1">
      <c r="A702" s="45"/>
      <c r="J702" s="4"/>
    </row>
    <row r="703" ht="15.75" customHeight="1">
      <c r="A703" s="45"/>
      <c r="J703" s="4"/>
    </row>
    <row r="704" ht="15.75" customHeight="1">
      <c r="A704" s="45"/>
      <c r="J704" s="4"/>
    </row>
    <row r="705" ht="15.75" customHeight="1">
      <c r="A705" s="45"/>
      <c r="J705" s="4"/>
    </row>
    <row r="706" ht="15.75" customHeight="1">
      <c r="A706" s="45"/>
      <c r="J706" s="4"/>
    </row>
    <row r="707" ht="15.75" customHeight="1">
      <c r="A707" s="45"/>
      <c r="J707" s="4"/>
    </row>
    <row r="708" ht="15.75" customHeight="1">
      <c r="A708" s="45"/>
      <c r="J708" s="4"/>
    </row>
    <row r="709" ht="15.75" customHeight="1">
      <c r="A709" s="45"/>
      <c r="J709" s="4"/>
    </row>
    <row r="710" ht="15.75" customHeight="1">
      <c r="A710" s="45"/>
      <c r="J710" s="4"/>
    </row>
    <row r="711" ht="15.75" customHeight="1">
      <c r="A711" s="45"/>
      <c r="J711" s="4"/>
    </row>
    <row r="712" ht="15.75" customHeight="1">
      <c r="A712" s="45"/>
      <c r="J712" s="4"/>
    </row>
    <row r="713" ht="15.75" customHeight="1">
      <c r="A713" s="45"/>
      <c r="J713" s="4"/>
    </row>
    <row r="714" ht="15.75" customHeight="1">
      <c r="A714" s="45"/>
      <c r="J714" s="4"/>
    </row>
    <row r="715" ht="15.75" customHeight="1">
      <c r="A715" s="45"/>
      <c r="J715" s="4"/>
    </row>
    <row r="716" ht="15.75" customHeight="1">
      <c r="A716" s="45"/>
      <c r="J716" s="4"/>
    </row>
    <row r="717" ht="15.75" customHeight="1">
      <c r="A717" s="45"/>
      <c r="J717" s="4"/>
    </row>
    <row r="718" ht="15.75" customHeight="1">
      <c r="A718" s="45"/>
      <c r="J718" s="4"/>
    </row>
    <row r="719" ht="15.75" customHeight="1">
      <c r="A719" s="45"/>
      <c r="J719" s="4"/>
    </row>
    <row r="720" ht="15.75" customHeight="1">
      <c r="A720" s="45"/>
      <c r="J720" s="4"/>
    </row>
    <row r="721" ht="15.75" customHeight="1">
      <c r="A721" s="45"/>
      <c r="J721" s="4"/>
    </row>
    <row r="722" ht="15.75" customHeight="1">
      <c r="A722" s="45"/>
      <c r="J722" s="4"/>
    </row>
    <row r="723" ht="15.75" customHeight="1">
      <c r="A723" s="45"/>
      <c r="J723" s="4"/>
    </row>
    <row r="724" ht="15.75" customHeight="1">
      <c r="A724" s="45"/>
      <c r="J724" s="4"/>
    </row>
    <row r="725" ht="15.75" customHeight="1">
      <c r="A725" s="45"/>
      <c r="J725" s="4"/>
    </row>
    <row r="726" ht="15.75" customHeight="1">
      <c r="A726" s="45"/>
      <c r="J726" s="4"/>
    </row>
    <row r="727" ht="15.75" customHeight="1">
      <c r="A727" s="45"/>
      <c r="J727" s="4"/>
    </row>
    <row r="728" ht="15.75" customHeight="1">
      <c r="A728" s="45"/>
      <c r="J728" s="4"/>
    </row>
    <row r="729" ht="15.75" customHeight="1">
      <c r="A729" s="45"/>
      <c r="J729" s="4"/>
    </row>
    <row r="730" ht="15.75" customHeight="1">
      <c r="A730" s="45"/>
      <c r="J730" s="4"/>
    </row>
    <row r="731" ht="15.75" customHeight="1">
      <c r="A731" s="45"/>
      <c r="J731" s="4"/>
    </row>
    <row r="732" ht="15.75" customHeight="1">
      <c r="A732" s="45"/>
      <c r="J732" s="4"/>
    </row>
    <row r="733" ht="15.75" customHeight="1">
      <c r="A733" s="45"/>
      <c r="J733" s="4"/>
    </row>
    <row r="734" ht="15.75" customHeight="1">
      <c r="A734" s="45"/>
      <c r="J734" s="4"/>
    </row>
    <row r="735" ht="15.75" customHeight="1">
      <c r="A735" s="45"/>
      <c r="J735" s="4"/>
    </row>
    <row r="736" ht="15.75" customHeight="1">
      <c r="A736" s="45"/>
      <c r="J736" s="4"/>
    </row>
    <row r="737" ht="15.75" customHeight="1">
      <c r="A737" s="45"/>
      <c r="J737" s="4"/>
    </row>
    <row r="738" ht="15.75" customHeight="1">
      <c r="A738" s="45"/>
      <c r="J738" s="4"/>
    </row>
    <row r="739" ht="15.75" customHeight="1">
      <c r="A739" s="45"/>
      <c r="J739" s="4"/>
    </row>
    <row r="740" ht="15.75" customHeight="1">
      <c r="A740" s="45"/>
      <c r="J740" s="4"/>
    </row>
    <row r="741" ht="15.75" customHeight="1">
      <c r="A741" s="45"/>
      <c r="J741" s="4"/>
    </row>
    <row r="742" ht="15.75" customHeight="1">
      <c r="A742" s="45"/>
      <c r="J742" s="4"/>
    </row>
    <row r="743" ht="15.75" customHeight="1">
      <c r="A743" s="45"/>
      <c r="J743" s="4"/>
    </row>
    <row r="744" ht="15.75" customHeight="1">
      <c r="A744" s="45"/>
      <c r="J744" s="4"/>
    </row>
    <row r="745" ht="15.75" customHeight="1">
      <c r="A745" s="45"/>
      <c r="J745" s="4"/>
    </row>
    <row r="746" ht="15.75" customHeight="1">
      <c r="A746" s="45"/>
      <c r="J746" s="4"/>
    </row>
    <row r="747" ht="15.75" customHeight="1">
      <c r="A747" s="45"/>
      <c r="J747" s="4"/>
    </row>
    <row r="748" ht="15.75" customHeight="1">
      <c r="A748" s="45"/>
      <c r="J748" s="4"/>
    </row>
    <row r="749" ht="15.75" customHeight="1">
      <c r="A749" s="45"/>
      <c r="J749" s="4"/>
    </row>
    <row r="750" ht="15.75" customHeight="1">
      <c r="A750" s="45"/>
      <c r="J750" s="4"/>
    </row>
    <row r="751" ht="15.75" customHeight="1">
      <c r="A751" s="45"/>
      <c r="J751" s="4"/>
    </row>
    <row r="752" ht="15.75" customHeight="1">
      <c r="A752" s="45"/>
      <c r="J752" s="4"/>
    </row>
    <row r="753" ht="15.75" customHeight="1">
      <c r="A753" s="45"/>
      <c r="J753" s="4"/>
    </row>
    <row r="754" ht="15.75" customHeight="1">
      <c r="A754" s="45"/>
      <c r="J754" s="4"/>
    </row>
    <row r="755" ht="15.75" customHeight="1">
      <c r="A755" s="45"/>
      <c r="J755" s="4"/>
    </row>
    <row r="756" ht="15.75" customHeight="1">
      <c r="A756" s="45"/>
      <c r="J756" s="4"/>
    </row>
    <row r="757" ht="15.75" customHeight="1">
      <c r="A757" s="45"/>
      <c r="J757" s="4"/>
    </row>
    <row r="758" ht="15.75" customHeight="1">
      <c r="A758" s="45"/>
      <c r="J758" s="4"/>
    </row>
    <row r="759" ht="15.75" customHeight="1">
      <c r="A759" s="45"/>
      <c r="J759" s="4"/>
    </row>
    <row r="760" ht="15.75" customHeight="1">
      <c r="A760" s="45"/>
      <c r="J760" s="4"/>
    </row>
    <row r="761" ht="15.75" customHeight="1">
      <c r="A761" s="45"/>
      <c r="J761" s="4"/>
    </row>
    <row r="762" ht="15.75" customHeight="1">
      <c r="A762" s="45"/>
      <c r="J762" s="4"/>
    </row>
    <row r="763" ht="15.75" customHeight="1">
      <c r="A763" s="45"/>
      <c r="J763" s="4"/>
    </row>
    <row r="764" ht="15.75" customHeight="1">
      <c r="A764" s="45"/>
      <c r="J764" s="4"/>
    </row>
    <row r="765" ht="15.75" customHeight="1">
      <c r="A765" s="45"/>
      <c r="J765" s="4"/>
    </row>
    <row r="766" ht="15.75" customHeight="1">
      <c r="A766" s="45"/>
      <c r="J766" s="4"/>
    </row>
    <row r="767" ht="15.75" customHeight="1">
      <c r="A767" s="45"/>
      <c r="J767" s="4"/>
    </row>
    <row r="768" ht="15.75" customHeight="1">
      <c r="A768" s="45"/>
      <c r="J768" s="4"/>
    </row>
    <row r="769" ht="15.75" customHeight="1">
      <c r="A769" s="45"/>
      <c r="J769" s="4"/>
    </row>
    <row r="770" ht="15.75" customHeight="1">
      <c r="A770" s="45"/>
      <c r="J770" s="4"/>
    </row>
    <row r="771" ht="15.75" customHeight="1">
      <c r="A771" s="45"/>
      <c r="J771" s="4"/>
    </row>
    <row r="772" ht="15.75" customHeight="1">
      <c r="A772" s="45"/>
      <c r="J772" s="4"/>
    </row>
    <row r="773" ht="15.75" customHeight="1">
      <c r="A773" s="45"/>
      <c r="J773" s="4"/>
    </row>
    <row r="774" ht="15.75" customHeight="1">
      <c r="A774" s="45"/>
      <c r="J774" s="4"/>
    </row>
    <row r="775" ht="15.75" customHeight="1">
      <c r="A775" s="45"/>
      <c r="J775" s="4"/>
    </row>
    <row r="776" ht="15.75" customHeight="1">
      <c r="A776" s="45"/>
      <c r="J776" s="4"/>
    </row>
    <row r="777" ht="15.75" customHeight="1">
      <c r="A777" s="45"/>
      <c r="J777" s="4"/>
    </row>
    <row r="778" ht="15.75" customHeight="1">
      <c r="A778" s="45"/>
      <c r="J778" s="4"/>
    </row>
    <row r="779" ht="15.75" customHeight="1">
      <c r="A779" s="45"/>
      <c r="J779" s="4"/>
    </row>
    <row r="780" ht="15.75" customHeight="1">
      <c r="A780" s="45"/>
      <c r="J780" s="4"/>
    </row>
    <row r="781" ht="15.75" customHeight="1">
      <c r="A781" s="45"/>
      <c r="J781" s="4"/>
    </row>
    <row r="782" ht="15.75" customHeight="1">
      <c r="A782" s="45"/>
      <c r="J782" s="4"/>
    </row>
    <row r="783" ht="15.75" customHeight="1">
      <c r="A783" s="45"/>
      <c r="J783" s="4"/>
    </row>
    <row r="784" ht="15.75" customHeight="1">
      <c r="A784" s="45"/>
      <c r="J784" s="4"/>
    </row>
    <row r="785" ht="15.75" customHeight="1">
      <c r="A785" s="45"/>
      <c r="J785" s="4"/>
    </row>
    <row r="786" ht="15.75" customHeight="1">
      <c r="A786" s="45"/>
      <c r="J786" s="4"/>
    </row>
    <row r="787" ht="15.75" customHeight="1">
      <c r="A787" s="45"/>
      <c r="J787" s="4"/>
    </row>
    <row r="788" ht="15.75" customHeight="1">
      <c r="A788" s="45"/>
      <c r="J788" s="4"/>
    </row>
    <row r="789" ht="15.75" customHeight="1">
      <c r="A789" s="45"/>
      <c r="J789" s="4"/>
    </row>
    <row r="790" ht="15.75" customHeight="1">
      <c r="A790" s="45"/>
      <c r="J790" s="4"/>
    </row>
    <row r="791" ht="15.75" customHeight="1">
      <c r="A791" s="45"/>
      <c r="J791" s="4"/>
    </row>
    <row r="792" ht="15.75" customHeight="1">
      <c r="A792" s="45"/>
      <c r="J792" s="4"/>
    </row>
    <row r="793" ht="15.75" customHeight="1">
      <c r="A793" s="45"/>
      <c r="J793" s="4"/>
    </row>
    <row r="794" ht="15.75" customHeight="1">
      <c r="A794" s="45"/>
      <c r="J794" s="4"/>
    </row>
    <row r="795" ht="15.75" customHeight="1">
      <c r="A795" s="45"/>
      <c r="J795" s="4"/>
    </row>
    <row r="796" ht="15.75" customHeight="1">
      <c r="A796" s="45"/>
      <c r="J796" s="4"/>
    </row>
    <row r="797" ht="15.75" customHeight="1">
      <c r="A797" s="45"/>
      <c r="J797" s="4"/>
    </row>
    <row r="798" ht="15.75" customHeight="1">
      <c r="A798" s="45"/>
      <c r="J798" s="4"/>
    </row>
    <row r="799" ht="15.75" customHeight="1">
      <c r="A799" s="45"/>
      <c r="J799" s="4"/>
    </row>
    <row r="800" ht="15.75" customHeight="1">
      <c r="A800" s="45"/>
      <c r="J800" s="4"/>
    </row>
    <row r="801" ht="15.75" customHeight="1">
      <c r="A801" s="45"/>
      <c r="J801" s="4"/>
    </row>
    <row r="802" ht="15.75" customHeight="1">
      <c r="A802" s="45"/>
      <c r="J802" s="4"/>
    </row>
    <row r="803" ht="15.75" customHeight="1">
      <c r="A803" s="45"/>
      <c r="J803" s="4"/>
    </row>
    <row r="804" ht="15.75" customHeight="1">
      <c r="A804" s="45"/>
      <c r="J804" s="4"/>
    </row>
    <row r="805" ht="15.75" customHeight="1">
      <c r="A805" s="45"/>
      <c r="J805" s="4"/>
    </row>
    <row r="806" ht="15.75" customHeight="1">
      <c r="A806" s="45"/>
      <c r="J806" s="4"/>
    </row>
    <row r="807" ht="15.75" customHeight="1">
      <c r="A807" s="45"/>
      <c r="J807" s="4"/>
    </row>
    <row r="808" ht="15.75" customHeight="1">
      <c r="A808" s="45"/>
      <c r="J808" s="4"/>
    </row>
    <row r="809" ht="15.75" customHeight="1">
      <c r="A809" s="45"/>
      <c r="J809" s="4"/>
    </row>
    <row r="810" ht="15.75" customHeight="1">
      <c r="A810" s="45"/>
      <c r="J810" s="4"/>
    </row>
    <row r="811" ht="15.75" customHeight="1">
      <c r="A811" s="45"/>
      <c r="J811" s="4"/>
    </row>
    <row r="812" ht="15.75" customHeight="1">
      <c r="A812" s="45"/>
      <c r="J812" s="4"/>
    </row>
    <row r="813" ht="15.75" customHeight="1">
      <c r="A813" s="45"/>
      <c r="J813" s="4"/>
    </row>
    <row r="814" ht="15.75" customHeight="1">
      <c r="A814" s="45"/>
      <c r="J814" s="4"/>
    </row>
    <row r="815" ht="15.75" customHeight="1">
      <c r="A815" s="45"/>
      <c r="J815" s="4"/>
    </row>
    <row r="816" ht="15.75" customHeight="1">
      <c r="A816" s="45"/>
      <c r="J816" s="4"/>
    </row>
    <row r="817" ht="15.75" customHeight="1">
      <c r="A817" s="45"/>
      <c r="J817" s="4"/>
    </row>
    <row r="818" ht="15.75" customHeight="1">
      <c r="A818" s="45"/>
      <c r="J818" s="4"/>
    </row>
    <row r="819" ht="15.75" customHeight="1">
      <c r="A819" s="45"/>
      <c r="J819" s="4"/>
    </row>
    <row r="820" ht="15.75" customHeight="1">
      <c r="A820" s="45"/>
      <c r="J820" s="4"/>
    </row>
    <row r="821" ht="15.75" customHeight="1">
      <c r="A821" s="45"/>
      <c r="J821" s="4"/>
    </row>
    <row r="822" ht="15.75" customHeight="1">
      <c r="A822" s="45"/>
      <c r="J822" s="4"/>
    </row>
    <row r="823" ht="15.75" customHeight="1">
      <c r="A823" s="45"/>
      <c r="J823" s="4"/>
    </row>
    <row r="824" ht="15.75" customHeight="1">
      <c r="A824" s="45"/>
      <c r="J824" s="4"/>
    </row>
    <row r="825" ht="15.75" customHeight="1">
      <c r="A825" s="45"/>
      <c r="J825" s="4"/>
    </row>
    <row r="826" ht="15.75" customHeight="1">
      <c r="A826" s="45"/>
      <c r="J826" s="4"/>
    </row>
    <row r="827" ht="15.75" customHeight="1">
      <c r="A827" s="45"/>
      <c r="J827" s="4"/>
    </row>
    <row r="828" ht="15.75" customHeight="1">
      <c r="A828" s="45"/>
      <c r="J828" s="4"/>
    </row>
    <row r="829" ht="15.75" customHeight="1">
      <c r="A829" s="45"/>
      <c r="J829" s="4"/>
    </row>
    <row r="830" ht="15.75" customHeight="1">
      <c r="A830" s="45"/>
      <c r="J830" s="4"/>
    </row>
    <row r="831" ht="15.75" customHeight="1">
      <c r="A831" s="45"/>
      <c r="J831" s="4"/>
    </row>
    <row r="832" ht="15.75" customHeight="1">
      <c r="A832" s="45"/>
      <c r="J832" s="4"/>
    </row>
    <row r="833" ht="15.75" customHeight="1">
      <c r="A833" s="45"/>
      <c r="J833" s="4"/>
    </row>
    <row r="834" ht="15.75" customHeight="1">
      <c r="A834" s="45"/>
      <c r="J834" s="4"/>
    </row>
    <row r="835" ht="15.75" customHeight="1">
      <c r="A835" s="45"/>
      <c r="J835" s="4"/>
    </row>
    <row r="836" ht="15.75" customHeight="1">
      <c r="A836" s="45"/>
      <c r="J836" s="4"/>
    </row>
    <row r="837" ht="15.75" customHeight="1">
      <c r="A837" s="45"/>
      <c r="J837" s="4"/>
    </row>
    <row r="838" ht="15.75" customHeight="1">
      <c r="A838" s="45"/>
      <c r="J838" s="4"/>
    </row>
    <row r="839" ht="15.75" customHeight="1">
      <c r="A839" s="45"/>
      <c r="J839" s="4"/>
    </row>
    <row r="840" ht="15.75" customHeight="1">
      <c r="A840" s="45"/>
      <c r="J840" s="4"/>
    </row>
    <row r="841" ht="15.75" customHeight="1">
      <c r="A841" s="45"/>
      <c r="J841" s="4"/>
    </row>
    <row r="842" ht="15.75" customHeight="1">
      <c r="A842" s="45"/>
      <c r="J842" s="4"/>
    </row>
    <row r="843" ht="15.75" customHeight="1">
      <c r="A843" s="45"/>
      <c r="J843" s="4"/>
    </row>
    <row r="844" ht="15.75" customHeight="1">
      <c r="A844" s="45"/>
      <c r="J844" s="4"/>
    </row>
    <row r="845" ht="15.75" customHeight="1">
      <c r="A845" s="45"/>
      <c r="J845" s="4"/>
    </row>
    <row r="846" ht="15.75" customHeight="1">
      <c r="A846" s="45"/>
      <c r="J846" s="4"/>
    </row>
    <row r="847" ht="15.75" customHeight="1">
      <c r="A847" s="45"/>
      <c r="J847" s="4"/>
    </row>
    <row r="848" ht="15.75" customHeight="1">
      <c r="A848" s="45"/>
      <c r="J848" s="4"/>
    </row>
    <row r="849" ht="15.75" customHeight="1">
      <c r="A849" s="45"/>
      <c r="J849" s="4"/>
    </row>
    <row r="850" ht="15.75" customHeight="1">
      <c r="A850" s="45"/>
      <c r="J850" s="4"/>
    </row>
    <row r="851" ht="15.75" customHeight="1">
      <c r="A851" s="45"/>
      <c r="J851" s="4"/>
    </row>
    <row r="852" ht="15.75" customHeight="1">
      <c r="A852" s="45"/>
      <c r="J852" s="4"/>
    </row>
    <row r="853" ht="15.75" customHeight="1">
      <c r="A853" s="45"/>
      <c r="J853" s="4"/>
    </row>
    <row r="854" ht="15.75" customHeight="1">
      <c r="A854" s="45"/>
      <c r="J854" s="4"/>
    </row>
    <row r="855" ht="15.75" customHeight="1">
      <c r="A855" s="45"/>
      <c r="J855" s="4"/>
    </row>
    <row r="856" ht="15.75" customHeight="1">
      <c r="A856" s="45"/>
      <c r="J856" s="4"/>
    </row>
    <row r="857" ht="15.75" customHeight="1">
      <c r="A857" s="45"/>
      <c r="J857" s="4"/>
    </row>
    <row r="858" ht="15.75" customHeight="1">
      <c r="A858" s="45"/>
      <c r="J858" s="4"/>
    </row>
    <row r="859" ht="15.75" customHeight="1">
      <c r="A859" s="45"/>
      <c r="J859" s="4"/>
    </row>
    <row r="860" ht="15.75" customHeight="1">
      <c r="A860" s="45"/>
      <c r="J860" s="4"/>
    </row>
    <row r="861" ht="15.75" customHeight="1">
      <c r="A861" s="45"/>
      <c r="J861" s="4"/>
    </row>
    <row r="862" ht="15.75" customHeight="1">
      <c r="A862" s="45"/>
      <c r="J862" s="4"/>
    </row>
    <row r="863" ht="15.75" customHeight="1">
      <c r="A863" s="45"/>
      <c r="J863" s="4"/>
    </row>
    <row r="864" ht="15.75" customHeight="1">
      <c r="A864" s="45"/>
      <c r="J864" s="4"/>
    </row>
    <row r="865" ht="15.75" customHeight="1">
      <c r="A865" s="45"/>
      <c r="J865" s="4"/>
    </row>
    <row r="866" ht="15.75" customHeight="1">
      <c r="A866" s="45"/>
      <c r="J866" s="4"/>
    </row>
    <row r="867" ht="15.75" customHeight="1">
      <c r="A867" s="45"/>
      <c r="J867" s="4"/>
    </row>
    <row r="868" ht="15.75" customHeight="1">
      <c r="A868" s="45"/>
      <c r="J868" s="4"/>
    </row>
    <row r="869" ht="15.75" customHeight="1">
      <c r="A869" s="45"/>
      <c r="J869" s="4"/>
    </row>
    <row r="870" ht="15.75" customHeight="1">
      <c r="A870" s="45"/>
      <c r="J870" s="4"/>
    </row>
    <row r="871" ht="15.75" customHeight="1">
      <c r="A871" s="45"/>
      <c r="J871" s="4"/>
    </row>
    <row r="872" ht="15.75" customHeight="1">
      <c r="A872" s="45"/>
      <c r="J872" s="4"/>
    </row>
    <row r="873" ht="15.75" customHeight="1">
      <c r="A873" s="45"/>
      <c r="J873" s="4"/>
    </row>
    <row r="874" ht="15.75" customHeight="1">
      <c r="A874" s="45"/>
      <c r="J874" s="4"/>
    </row>
    <row r="875" ht="15.75" customHeight="1">
      <c r="A875" s="45"/>
      <c r="J875" s="4"/>
    </row>
    <row r="876" ht="15.75" customHeight="1">
      <c r="A876" s="45"/>
      <c r="J876" s="4"/>
    </row>
    <row r="877" ht="15.75" customHeight="1">
      <c r="A877" s="45"/>
      <c r="J877" s="4"/>
    </row>
    <row r="878" ht="15.75" customHeight="1">
      <c r="A878" s="45"/>
      <c r="J878" s="4"/>
    </row>
    <row r="879" ht="15.75" customHeight="1">
      <c r="A879" s="45"/>
      <c r="J879" s="4"/>
    </row>
    <row r="880" ht="15.75" customHeight="1">
      <c r="A880" s="45"/>
      <c r="J880" s="4"/>
    </row>
    <row r="881" ht="15.75" customHeight="1">
      <c r="A881" s="45"/>
      <c r="J881" s="4"/>
    </row>
    <row r="882" ht="15.75" customHeight="1">
      <c r="A882" s="45"/>
      <c r="J882" s="4"/>
    </row>
    <row r="883" ht="15.75" customHeight="1">
      <c r="A883" s="45"/>
      <c r="J883" s="4"/>
    </row>
    <row r="884" ht="15.75" customHeight="1">
      <c r="A884" s="45"/>
      <c r="J884" s="4"/>
    </row>
    <row r="885" ht="15.75" customHeight="1">
      <c r="A885" s="45"/>
      <c r="J885" s="4"/>
    </row>
    <row r="886" ht="15.75" customHeight="1">
      <c r="A886" s="45"/>
      <c r="J886" s="4"/>
    </row>
    <row r="887" ht="15.75" customHeight="1">
      <c r="A887" s="45"/>
      <c r="J887" s="4"/>
    </row>
    <row r="888" ht="15.75" customHeight="1">
      <c r="A888" s="45"/>
      <c r="J888" s="4"/>
    </row>
    <row r="889" ht="15.75" customHeight="1">
      <c r="A889" s="45"/>
      <c r="J889" s="4"/>
    </row>
    <row r="890" ht="15.75" customHeight="1">
      <c r="A890" s="45"/>
      <c r="J890" s="4"/>
    </row>
    <row r="891" ht="15.75" customHeight="1">
      <c r="A891" s="45"/>
      <c r="J891" s="4"/>
    </row>
    <row r="892" ht="15.75" customHeight="1">
      <c r="A892" s="45"/>
      <c r="J892" s="4"/>
    </row>
    <row r="893" ht="15.75" customHeight="1">
      <c r="A893" s="45"/>
      <c r="J893" s="4"/>
    </row>
    <row r="894" ht="15.75" customHeight="1">
      <c r="A894" s="45"/>
      <c r="J894" s="4"/>
    </row>
    <row r="895" ht="15.75" customHeight="1">
      <c r="A895" s="45"/>
      <c r="J895" s="4"/>
    </row>
    <row r="896" ht="15.75" customHeight="1">
      <c r="A896" s="45"/>
      <c r="J896" s="4"/>
    </row>
    <row r="897" ht="15.75" customHeight="1">
      <c r="A897" s="45"/>
      <c r="J897" s="4"/>
    </row>
    <row r="898" ht="15.75" customHeight="1">
      <c r="A898" s="45"/>
      <c r="J898" s="4"/>
    </row>
    <row r="899" ht="15.75" customHeight="1">
      <c r="A899" s="45"/>
      <c r="J899" s="4"/>
    </row>
    <row r="900" ht="15.75" customHeight="1">
      <c r="A900" s="45"/>
      <c r="J900" s="4"/>
    </row>
    <row r="901" ht="15.75" customHeight="1">
      <c r="A901" s="45"/>
      <c r="J901" s="4"/>
    </row>
    <row r="902" ht="15.75" customHeight="1">
      <c r="A902" s="45"/>
      <c r="J902" s="4"/>
    </row>
    <row r="903" ht="15.75" customHeight="1">
      <c r="A903" s="45"/>
      <c r="J903" s="4"/>
    </row>
    <row r="904" ht="15.75" customHeight="1">
      <c r="A904" s="45"/>
      <c r="J904" s="4"/>
    </row>
    <row r="905" ht="15.75" customHeight="1">
      <c r="A905" s="45"/>
      <c r="J905" s="4"/>
    </row>
    <row r="906" ht="15.75" customHeight="1">
      <c r="A906" s="45"/>
      <c r="J906" s="4"/>
    </row>
    <row r="907" ht="15.75" customHeight="1">
      <c r="A907" s="45"/>
      <c r="J907" s="4"/>
    </row>
    <row r="908" ht="15.75" customHeight="1">
      <c r="A908" s="45"/>
      <c r="J908" s="4"/>
    </row>
    <row r="909" ht="15.75" customHeight="1">
      <c r="A909" s="45"/>
      <c r="J909" s="4"/>
    </row>
    <row r="910" ht="15.75" customHeight="1">
      <c r="A910" s="45"/>
      <c r="J910" s="4"/>
    </row>
    <row r="911" ht="15.75" customHeight="1">
      <c r="A911" s="45"/>
      <c r="J911" s="4"/>
    </row>
    <row r="912" ht="15.75" customHeight="1">
      <c r="A912" s="45"/>
      <c r="J912" s="4"/>
    </row>
    <row r="913" ht="15.75" customHeight="1">
      <c r="A913" s="45"/>
      <c r="J913" s="4"/>
    </row>
    <row r="914" ht="15.75" customHeight="1">
      <c r="A914" s="45"/>
      <c r="J914" s="4"/>
    </row>
    <row r="915" ht="15.75" customHeight="1">
      <c r="A915" s="45"/>
      <c r="J915" s="4"/>
    </row>
    <row r="916" ht="15.75" customHeight="1">
      <c r="A916" s="45"/>
      <c r="J916" s="4"/>
    </row>
    <row r="917" ht="15.75" customHeight="1">
      <c r="A917" s="45"/>
      <c r="J917" s="4"/>
    </row>
    <row r="918" ht="15.75" customHeight="1">
      <c r="A918" s="45"/>
      <c r="J918" s="4"/>
    </row>
    <row r="919" ht="15.75" customHeight="1">
      <c r="A919" s="45"/>
      <c r="J919" s="4"/>
    </row>
    <row r="920" ht="15.75" customHeight="1">
      <c r="A920" s="45"/>
      <c r="J920" s="4"/>
    </row>
    <row r="921" ht="15.75" customHeight="1">
      <c r="A921" s="45"/>
      <c r="J921" s="4"/>
    </row>
    <row r="922" ht="15.75" customHeight="1">
      <c r="A922" s="45"/>
      <c r="J922" s="4"/>
    </row>
    <row r="923" ht="15.75" customHeight="1">
      <c r="A923" s="45"/>
      <c r="J923" s="4"/>
    </row>
    <row r="924" ht="15.75" customHeight="1">
      <c r="A924" s="45"/>
      <c r="J924" s="4"/>
    </row>
    <row r="925" ht="15.75" customHeight="1">
      <c r="A925" s="45"/>
      <c r="J925" s="4"/>
    </row>
    <row r="926" ht="15.75" customHeight="1">
      <c r="A926" s="45"/>
      <c r="J926" s="4"/>
    </row>
    <row r="927" ht="15.75" customHeight="1">
      <c r="A927" s="45"/>
      <c r="J927" s="4"/>
    </row>
    <row r="928" ht="15.75" customHeight="1">
      <c r="A928" s="45"/>
      <c r="J928" s="4"/>
    </row>
    <row r="929" ht="15.75" customHeight="1">
      <c r="A929" s="45"/>
      <c r="J929" s="4"/>
    </row>
    <row r="930" ht="15.75" customHeight="1">
      <c r="A930" s="45"/>
      <c r="J930" s="4"/>
    </row>
    <row r="931" ht="15.75" customHeight="1">
      <c r="A931" s="45"/>
      <c r="J931" s="4"/>
    </row>
    <row r="932" ht="15.75" customHeight="1">
      <c r="A932" s="45"/>
      <c r="J932" s="4"/>
    </row>
    <row r="933" ht="15.75" customHeight="1">
      <c r="A933" s="45"/>
      <c r="J933" s="4"/>
    </row>
    <row r="934" ht="15.75" customHeight="1">
      <c r="A934" s="45"/>
      <c r="J934" s="4"/>
    </row>
    <row r="935" ht="15.75" customHeight="1">
      <c r="A935" s="45"/>
      <c r="J935" s="4"/>
    </row>
    <row r="936" ht="15.75" customHeight="1">
      <c r="A936" s="45"/>
      <c r="J936" s="4"/>
    </row>
    <row r="937" ht="15.75" customHeight="1">
      <c r="A937" s="45"/>
      <c r="J937" s="4"/>
    </row>
    <row r="938" ht="15.75" customHeight="1">
      <c r="A938" s="45"/>
      <c r="J938" s="4"/>
    </row>
    <row r="939" ht="15.75" customHeight="1">
      <c r="A939" s="45"/>
      <c r="J939" s="4"/>
    </row>
    <row r="940" ht="15.75" customHeight="1">
      <c r="A940" s="45"/>
      <c r="J940" s="4"/>
    </row>
    <row r="941" ht="15.75" customHeight="1">
      <c r="A941" s="45"/>
      <c r="J941" s="4"/>
    </row>
    <row r="942" ht="15.75" customHeight="1">
      <c r="A942" s="45"/>
      <c r="J942" s="4"/>
    </row>
    <row r="943" ht="15.75" customHeight="1">
      <c r="A943" s="45"/>
      <c r="J943" s="4"/>
    </row>
    <row r="944" ht="15.75" customHeight="1">
      <c r="A944" s="45"/>
      <c r="J944" s="4"/>
    </row>
    <row r="945" ht="15.75" customHeight="1">
      <c r="A945" s="45"/>
      <c r="J945" s="4"/>
    </row>
    <row r="946" ht="15.75" customHeight="1">
      <c r="A946" s="45"/>
      <c r="J946" s="4"/>
    </row>
    <row r="947" ht="15.75" customHeight="1">
      <c r="A947" s="45"/>
      <c r="J947" s="4"/>
    </row>
    <row r="948" ht="15.75" customHeight="1">
      <c r="A948" s="45"/>
      <c r="J948" s="4"/>
    </row>
    <row r="949" ht="15.75" customHeight="1">
      <c r="A949" s="45"/>
      <c r="J949" s="4"/>
    </row>
    <row r="950" ht="15.75" customHeight="1">
      <c r="A950" s="45"/>
      <c r="J950" s="4"/>
    </row>
    <row r="951" ht="15.75" customHeight="1">
      <c r="A951" s="45"/>
      <c r="J951" s="4"/>
    </row>
    <row r="952" ht="15.75" customHeight="1">
      <c r="A952" s="45"/>
      <c r="J952" s="4"/>
    </row>
    <row r="953" ht="15.75" customHeight="1">
      <c r="A953" s="45"/>
      <c r="J953" s="4"/>
    </row>
    <row r="954" ht="15.75" customHeight="1">
      <c r="A954" s="45"/>
      <c r="J954" s="4"/>
    </row>
    <row r="955" ht="15.75" customHeight="1">
      <c r="A955" s="45"/>
      <c r="J955" s="4"/>
    </row>
    <row r="956" ht="15.75" customHeight="1">
      <c r="A956" s="45"/>
      <c r="J956" s="4"/>
    </row>
    <row r="957" ht="15.75" customHeight="1">
      <c r="A957" s="45"/>
      <c r="J957" s="4"/>
    </row>
    <row r="958" ht="15.75" customHeight="1">
      <c r="A958" s="45"/>
      <c r="J958" s="4"/>
    </row>
    <row r="959" ht="15.75" customHeight="1">
      <c r="A959" s="45"/>
      <c r="J959" s="4"/>
    </row>
    <row r="960" ht="15.75" customHeight="1">
      <c r="A960" s="45"/>
      <c r="J960" s="4"/>
    </row>
    <row r="961" ht="15.75" customHeight="1">
      <c r="A961" s="45"/>
      <c r="J961" s="4"/>
    </row>
    <row r="962" ht="15.75" customHeight="1">
      <c r="A962" s="45"/>
      <c r="J962" s="4"/>
    </row>
    <row r="963" ht="15.75" customHeight="1">
      <c r="A963" s="45"/>
      <c r="J963" s="4"/>
    </row>
    <row r="964" ht="15.75" customHeight="1">
      <c r="A964" s="45"/>
      <c r="J964" s="4"/>
    </row>
    <row r="965" ht="15.75" customHeight="1">
      <c r="A965" s="45"/>
      <c r="J965" s="4"/>
    </row>
    <row r="966" ht="15.75" customHeight="1">
      <c r="A966" s="45"/>
      <c r="J966" s="4"/>
    </row>
    <row r="967" ht="15.75" customHeight="1">
      <c r="A967" s="45"/>
      <c r="J967" s="4"/>
    </row>
    <row r="968" ht="15.75" customHeight="1">
      <c r="A968" s="45"/>
      <c r="J968" s="4"/>
    </row>
    <row r="969" ht="15.75" customHeight="1">
      <c r="A969" s="45"/>
      <c r="J969" s="4"/>
    </row>
    <row r="970" ht="15.75" customHeight="1">
      <c r="A970" s="45"/>
      <c r="J970" s="4"/>
    </row>
    <row r="971" ht="15.75" customHeight="1">
      <c r="A971" s="45"/>
      <c r="J971" s="4"/>
    </row>
    <row r="972" ht="15.75" customHeight="1">
      <c r="A972" s="45"/>
      <c r="J972" s="4"/>
    </row>
    <row r="973" ht="15.75" customHeight="1">
      <c r="A973" s="45"/>
      <c r="J973" s="4"/>
    </row>
    <row r="974" ht="15.75" customHeight="1">
      <c r="A974" s="45"/>
      <c r="J974" s="4"/>
    </row>
    <row r="975" ht="15.75" customHeight="1">
      <c r="A975" s="45"/>
      <c r="J975" s="4"/>
    </row>
    <row r="976" ht="15.75" customHeight="1">
      <c r="A976" s="45"/>
      <c r="J976" s="4"/>
    </row>
    <row r="977" ht="15.75" customHeight="1">
      <c r="A977" s="45"/>
      <c r="J977" s="4"/>
    </row>
    <row r="978" ht="15.75" customHeight="1">
      <c r="A978" s="45"/>
      <c r="J978" s="4"/>
    </row>
    <row r="979" ht="15.75" customHeight="1">
      <c r="A979" s="45"/>
      <c r="J979" s="4"/>
    </row>
    <row r="980" ht="15.75" customHeight="1">
      <c r="A980" s="45"/>
      <c r="J980" s="4"/>
    </row>
    <row r="981" ht="15.75" customHeight="1">
      <c r="A981" s="45"/>
      <c r="J981" s="4"/>
    </row>
    <row r="982" ht="15.75" customHeight="1">
      <c r="A982" s="45"/>
      <c r="J982" s="4"/>
    </row>
    <row r="983" ht="15.75" customHeight="1">
      <c r="A983" s="45"/>
      <c r="J983" s="4"/>
    </row>
    <row r="984" ht="15.75" customHeight="1">
      <c r="A984" s="45"/>
      <c r="J984" s="4"/>
    </row>
    <row r="985" ht="15.75" customHeight="1">
      <c r="A985" s="45"/>
      <c r="J985" s="4"/>
    </row>
    <row r="986" ht="15.75" customHeight="1">
      <c r="A986" s="45"/>
      <c r="J986" s="4"/>
    </row>
    <row r="987" ht="15.75" customHeight="1">
      <c r="A987" s="45"/>
      <c r="J987" s="4"/>
    </row>
    <row r="988" ht="15.75" customHeight="1">
      <c r="A988" s="45"/>
      <c r="J988" s="4"/>
    </row>
    <row r="989" ht="15.75" customHeight="1">
      <c r="A989" s="45"/>
      <c r="J989" s="4"/>
    </row>
    <row r="990" ht="15.75" customHeight="1">
      <c r="A990" s="45"/>
      <c r="J990" s="4"/>
    </row>
    <row r="991" ht="15.75" customHeight="1">
      <c r="A991" s="45"/>
      <c r="J991" s="4"/>
    </row>
    <row r="992" ht="15.75" customHeight="1">
      <c r="A992" s="45"/>
      <c r="J992" s="4"/>
    </row>
    <row r="993" ht="15.75" customHeight="1">
      <c r="A993" s="45"/>
      <c r="J993" s="4"/>
    </row>
    <row r="994" ht="15.75" customHeight="1">
      <c r="A994" s="45"/>
      <c r="J994" s="4"/>
    </row>
    <row r="995" ht="15.75" customHeight="1">
      <c r="A995" s="45"/>
      <c r="J995" s="4"/>
    </row>
    <row r="996" ht="15.75" customHeight="1">
      <c r="A996" s="45"/>
      <c r="J996" s="4"/>
    </row>
    <row r="997" ht="15.75" customHeight="1">
      <c r="A997" s="45"/>
      <c r="J997" s="4"/>
    </row>
    <row r="998" ht="15.75" customHeight="1">
      <c r="A998" s="45"/>
      <c r="J998" s="4"/>
    </row>
    <row r="999" ht="15.75" customHeight="1">
      <c r="A999" s="45"/>
      <c r="J999" s="4"/>
    </row>
    <row r="1000" ht="15.75" customHeight="1">
      <c r="A1000" s="45"/>
      <c r="J1000" s="4"/>
    </row>
    <row r="1001" ht="15.75" customHeight="1">
      <c r="A1001" s="45"/>
      <c r="B1001" s="48"/>
      <c r="J1001" s="4"/>
    </row>
    <row r="1002" ht="15.75" customHeight="1">
      <c r="A1002" s="45"/>
      <c r="B1002" s="48"/>
      <c r="J1002" s="4"/>
    </row>
    <row r="1003" ht="15.75" customHeight="1">
      <c r="A1003" s="45"/>
      <c r="B1003" s="48"/>
      <c r="J1003" s="4"/>
    </row>
    <row r="1004" ht="15.75" customHeight="1">
      <c r="A1004" s="45"/>
      <c r="B1004" s="48"/>
      <c r="J1004" s="4"/>
    </row>
    <row r="1005" ht="15.75" customHeight="1">
      <c r="A1005" s="45"/>
      <c r="B1005" s="48"/>
      <c r="J1005" s="4"/>
    </row>
    <row r="1006" ht="15.75" customHeight="1">
      <c r="A1006" s="45"/>
      <c r="B1006" s="48"/>
      <c r="J1006" s="4"/>
    </row>
    <row r="1007" ht="15.75" customHeight="1">
      <c r="A1007" s="45"/>
      <c r="B1007" s="48"/>
      <c r="J1007" s="4"/>
    </row>
    <row r="1008" ht="15.75" customHeight="1">
      <c r="A1008" s="45"/>
      <c r="B1008" s="48"/>
      <c r="J1008" s="4"/>
    </row>
    <row r="1009" ht="15.75" customHeight="1">
      <c r="A1009" s="45"/>
      <c r="B1009" s="48"/>
      <c r="J1009" s="4"/>
    </row>
    <row r="1010" ht="15.75" customHeight="1">
      <c r="A1010" s="45"/>
      <c r="B1010" s="48"/>
      <c r="J1010" s="4"/>
    </row>
    <row r="1011" ht="15.75" customHeight="1">
      <c r="A1011" s="45"/>
      <c r="B1011" s="48"/>
      <c r="J1011" s="4"/>
    </row>
    <row r="1012" ht="15.75" customHeight="1">
      <c r="A1012" s="45"/>
      <c r="B1012" s="48"/>
      <c r="J1012" s="4"/>
    </row>
    <row r="1013" ht="15.75" customHeight="1">
      <c r="A1013" s="45"/>
      <c r="B1013" s="48"/>
      <c r="J1013" s="4"/>
    </row>
    <row r="1014" ht="15.75" customHeight="1">
      <c r="A1014" s="45"/>
      <c r="B1014" s="48"/>
      <c r="J1014" s="4"/>
    </row>
    <row r="1015" ht="15.75" customHeight="1">
      <c r="A1015" s="45"/>
      <c r="B1015" s="48"/>
      <c r="J1015" s="4"/>
    </row>
    <row r="1016" ht="15.75" customHeight="1">
      <c r="A1016" s="45"/>
      <c r="B1016" s="48"/>
      <c r="J1016" s="4"/>
    </row>
    <row r="1017" ht="15.75" customHeight="1">
      <c r="A1017" s="45"/>
      <c r="B1017" s="48"/>
      <c r="J1017" s="4"/>
    </row>
    <row r="1018" ht="15.75" customHeight="1">
      <c r="A1018" s="45"/>
      <c r="B1018" s="48"/>
      <c r="J1018" s="4"/>
    </row>
    <row r="1019" ht="15.75" customHeight="1">
      <c r="A1019" s="45"/>
      <c r="B1019" s="48"/>
      <c r="J1019" s="4"/>
    </row>
    <row r="1020" ht="15.75" customHeight="1">
      <c r="A1020" s="45"/>
      <c r="B1020" s="48"/>
      <c r="J1020" s="4"/>
    </row>
    <row r="1021" ht="15.75" customHeight="1">
      <c r="A1021" s="45"/>
      <c r="B1021" s="48"/>
      <c r="J1021" s="4"/>
    </row>
    <row r="1022" ht="15.75" customHeight="1">
      <c r="A1022" s="45"/>
      <c r="B1022" s="48"/>
      <c r="J1022" s="4"/>
    </row>
    <row r="1023" ht="15.75" customHeight="1">
      <c r="A1023" s="45"/>
      <c r="B1023" s="48"/>
      <c r="J1023" s="4"/>
    </row>
    <row r="1024" ht="15.75" customHeight="1">
      <c r="A1024" s="45"/>
      <c r="B1024" s="48"/>
      <c r="J1024" s="4"/>
    </row>
    <row r="1025" ht="15.75" customHeight="1">
      <c r="A1025" s="45"/>
      <c r="B1025" s="48"/>
      <c r="J1025" s="4"/>
    </row>
    <row r="1026" ht="15.75" customHeight="1">
      <c r="A1026" s="45"/>
      <c r="B1026" s="48"/>
      <c r="J1026" s="4"/>
    </row>
    <row r="1027" ht="15.75" customHeight="1">
      <c r="A1027" s="45"/>
      <c r="B1027" s="48"/>
      <c r="J1027" s="4"/>
    </row>
    <row r="1028" ht="15.75" customHeight="1">
      <c r="A1028" s="45"/>
      <c r="B1028" s="48"/>
      <c r="J1028" s="4"/>
    </row>
    <row r="1029" ht="15.75" customHeight="1">
      <c r="A1029" s="45"/>
      <c r="B1029" s="48"/>
      <c r="J1029" s="4"/>
    </row>
    <row r="1030" ht="15.75" customHeight="1">
      <c r="A1030" s="45"/>
      <c r="B1030" s="48"/>
      <c r="J1030" s="4"/>
    </row>
    <row r="1031" ht="15.75" customHeight="1">
      <c r="A1031" s="45"/>
      <c r="B1031" s="48"/>
      <c r="J1031" s="4"/>
    </row>
    <row r="1032" ht="15.75" customHeight="1">
      <c r="A1032" s="45"/>
      <c r="B1032" s="48"/>
      <c r="J1032" s="4"/>
    </row>
    <row r="1033" ht="15.75" customHeight="1">
      <c r="A1033" s="45"/>
      <c r="B1033" s="48"/>
      <c r="J1033" s="4"/>
    </row>
    <row r="1034" ht="15.75" customHeight="1">
      <c r="A1034" s="45"/>
      <c r="B1034" s="48"/>
      <c r="J1034" s="4"/>
    </row>
    <row r="1035" ht="15.75" customHeight="1">
      <c r="A1035" s="45"/>
      <c r="B1035" s="48"/>
      <c r="J1035" s="4"/>
    </row>
    <row r="1036" ht="15.75" customHeight="1">
      <c r="A1036" s="45"/>
      <c r="B1036" s="48"/>
      <c r="J1036" s="4"/>
    </row>
    <row r="1037" ht="15.75" customHeight="1">
      <c r="A1037" s="45"/>
      <c r="B1037" s="48"/>
      <c r="J1037" s="4"/>
    </row>
    <row r="1038" ht="15.75" customHeight="1">
      <c r="A1038" s="45"/>
      <c r="B1038" s="48"/>
      <c r="J1038" s="4"/>
    </row>
    <row r="1039" ht="15.75" customHeight="1">
      <c r="A1039" s="45"/>
      <c r="B1039" s="48"/>
      <c r="J1039" s="4"/>
    </row>
    <row r="1040" ht="15.75" customHeight="1">
      <c r="A1040" s="45"/>
      <c r="B1040" s="48"/>
      <c r="J1040" s="4"/>
    </row>
    <row r="1041" ht="15.75" customHeight="1">
      <c r="A1041" s="45"/>
      <c r="B1041" s="48"/>
      <c r="J1041" s="4"/>
    </row>
    <row r="1042" ht="15.75" customHeight="1">
      <c r="A1042" s="45"/>
      <c r="B1042" s="48"/>
      <c r="J1042" s="4"/>
    </row>
    <row r="1043" ht="15.75" customHeight="1">
      <c r="A1043" s="45"/>
      <c r="B1043" s="48"/>
      <c r="J1043" s="4"/>
    </row>
    <row r="1044" ht="15.75" customHeight="1">
      <c r="A1044" s="45"/>
      <c r="B1044" s="48"/>
      <c r="J1044" s="4"/>
    </row>
    <row r="1045" ht="15.75" customHeight="1">
      <c r="A1045" s="45"/>
      <c r="B1045" s="48"/>
      <c r="J1045" s="4"/>
    </row>
    <row r="1046" ht="15.75" customHeight="1">
      <c r="A1046" s="45"/>
      <c r="B1046" s="48"/>
      <c r="J1046" s="4"/>
    </row>
    <row r="1047" ht="15.75" customHeight="1">
      <c r="A1047" s="45"/>
      <c r="B1047" s="48"/>
      <c r="J1047" s="4"/>
    </row>
    <row r="1048" ht="15.75" customHeight="1">
      <c r="A1048" s="45"/>
      <c r="B1048" s="48"/>
      <c r="J1048" s="4"/>
    </row>
    <row r="1049" ht="15.75" customHeight="1">
      <c r="A1049" s="45"/>
      <c r="B1049" s="48"/>
      <c r="J1049" s="4"/>
    </row>
    <row r="1050" ht="15.75" customHeight="1">
      <c r="A1050" s="45"/>
      <c r="B1050" s="48"/>
      <c r="J1050" s="4"/>
    </row>
    <row r="1051" ht="15.75" customHeight="1">
      <c r="A1051" s="45"/>
      <c r="B1051" s="48"/>
      <c r="J1051" s="4"/>
    </row>
    <row r="1052" ht="15.75" customHeight="1">
      <c r="A1052" s="45"/>
      <c r="B1052" s="48"/>
      <c r="J1052" s="4"/>
    </row>
    <row r="1053" ht="15.75" customHeight="1">
      <c r="A1053" s="45"/>
      <c r="B1053" s="48"/>
      <c r="J1053" s="4"/>
    </row>
    <row r="1054" ht="15.75" customHeight="1">
      <c r="A1054" s="45"/>
      <c r="B1054" s="48"/>
      <c r="J1054" s="4"/>
    </row>
    <row r="1055" ht="15.75" customHeight="1">
      <c r="A1055" s="45"/>
      <c r="B1055" s="48"/>
      <c r="J1055" s="4"/>
    </row>
    <row r="1056" ht="15.75" customHeight="1">
      <c r="A1056" s="45"/>
      <c r="B1056" s="48"/>
      <c r="J1056" s="4"/>
    </row>
    <row r="1057" ht="15.75" customHeight="1">
      <c r="A1057" s="45"/>
      <c r="B1057" s="48"/>
      <c r="J1057" s="4"/>
    </row>
    <row r="1058" ht="15.75" customHeight="1">
      <c r="A1058" s="45"/>
      <c r="B1058" s="48"/>
      <c r="J1058" s="4"/>
    </row>
    <row r="1059" ht="15.75" customHeight="1">
      <c r="A1059" s="45"/>
      <c r="B1059" s="48"/>
      <c r="J1059" s="4"/>
    </row>
    <row r="1060" ht="15.75" customHeight="1">
      <c r="A1060" s="45"/>
      <c r="B1060" s="48"/>
      <c r="J1060" s="4"/>
    </row>
    <row r="1061" ht="15.75" customHeight="1">
      <c r="A1061" s="45"/>
      <c r="B1061" s="48"/>
      <c r="J1061" s="4"/>
    </row>
    <row r="1062" ht="15.75" customHeight="1">
      <c r="A1062" s="45"/>
      <c r="B1062" s="48"/>
      <c r="J1062" s="4"/>
    </row>
    <row r="1063" ht="15.75" customHeight="1">
      <c r="A1063" s="45"/>
      <c r="B1063" s="48"/>
      <c r="J1063" s="4"/>
    </row>
    <row r="1064" ht="15.75" customHeight="1">
      <c r="A1064" s="45"/>
      <c r="B1064" s="48"/>
      <c r="J1064" s="4"/>
    </row>
    <row r="1065" ht="15.75" customHeight="1">
      <c r="A1065" s="45"/>
      <c r="B1065" s="48"/>
      <c r="J1065" s="4"/>
    </row>
    <row r="1066" ht="15.75" customHeight="1">
      <c r="A1066" s="45"/>
      <c r="B1066" s="48"/>
      <c r="J1066" s="4"/>
    </row>
    <row r="1067" ht="15.75" customHeight="1">
      <c r="A1067" s="45"/>
      <c r="B1067" s="48"/>
      <c r="J1067" s="4"/>
    </row>
    <row r="1068" ht="15.75" customHeight="1">
      <c r="A1068" s="45"/>
      <c r="B1068" s="48"/>
      <c r="J1068" s="4"/>
    </row>
    <row r="1069" ht="15.75" customHeight="1">
      <c r="A1069" s="45"/>
      <c r="B1069" s="48"/>
      <c r="J1069" s="4"/>
    </row>
    <row r="1070" ht="15.75" customHeight="1">
      <c r="A1070" s="45"/>
      <c r="B1070" s="48"/>
      <c r="J1070" s="4"/>
    </row>
    <row r="1071" ht="15.75" customHeight="1">
      <c r="A1071" s="45"/>
      <c r="B1071" s="48"/>
      <c r="J1071" s="4"/>
    </row>
    <row r="1072" ht="15.75" customHeight="1">
      <c r="A1072" s="45"/>
      <c r="B1072" s="48"/>
      <c r="J1072" s="4"/>
    </row>
    <row r="1073" ht="15.75" customHeight="1">
      <c r="A1073" s="45"/>
      <c r="B1073" s="48"/>
      <c r="J1073" s="4"/>
    </row>
    <row r="1074" ht="15.75" customHeight="1">
      <c r="A1074" s="45"/>
      <c r="B1074" s="48"/>
      <c r="J1074" s="4"/>
    </row>
    <row r="1075" ht="15.75" customHeight="1">
      <c r="A1075" s="45"/>
      <c r="B1075" s="48"/>
      <c r="J1075" s="4"/>
    </row>
    <row r="1076" ht="15.75" customHeight="1">
      <c r="A1076" s="45"/>
      <c r="B1076" s="48"/>
      <c r="J1076" s="4"/>
    </row>
    <row r="1077" ht="15.75" customHeight="1">
      <c r="A1077" s="45"/>
      <c r="B1077" s="48"/>
      <c r="J1077" s="4"/>
    </row>
    <row r="1078" ht="15.75" customHeight="1">
      <c r="A1078" s="45"/>
      <c r="B1078" s="48"/>
      <c r="J1078" s="4"/>
    </row>
    <row r="1079" ht="15.75" customHeight="1">
      <c r="A1079" s="45"/>
      <c r="B1079" s="48"/>
      <c r="J1079" s="4"/>
    </row>
    <row r="1080" ht="15.75" customHeight="1">
      <c r="A1080" s="45"/>
      <c r="B1080" s="48"/>
      <c r="J1080" s="4"/>
    </row>
    <row r="1081" ht="15.75" customHeight="1">
      <c r="A1081" s="45"/>
      <c r="B1081" s="48"/>
      <c r="J1081" s="4"/>
    </row>
    <row r="1082" ht="15.75" customHeight="1">
      <c r="A1082" s="45"/>
      <c r="B1082" s="48"/>
      <c r="J1082" s="4"/>
    </row>
    <row r="1083" ht="15.75" customHeight="1">
      <c r="A1083" s="45"/>
      <c r="B1083" s="48"/>
      <c r="J1083" s="4"/>
    </row>
    <row r="1084" ht="15.75" customHeight="1">
      <c r="A1084" s="45"/>
      <c r="B1084" s="48"/>
      <c r="J1084" s="4"/>
    </row>
    <row r="1085" ht="15.75" customHeight="1">
      <c r="A1085" s="45"/>
      <c r="B1085" s="48"/>
      <c r="J1085" s="4"/>
    </row>
    <row r="1086" ht="15.75" customHeight="1">
      <c r="A1086" s="45"/>
      <c r="B1086" s="48"/>
      <c r="J1086" s="4"/>
    </row>
    <row r="1087" ht="15.75" customHeight="1">
      <c r="A1087" s="45"/>
      <c r="B1087" s="48"/>
      <c r="J1087" s="4"/>
    </row>
    <row r="1088" ht="15.75" customHeight="1">
      <c r="A1088" s="45"/>
      <c r="B1088" s="48"/>
      <c r="J1088" s="4"/>
    </row>
    <row r="1089" ht="15.75" customHeight="1">
      <c r="A1089" s="45"/>
      <c r="B1089" s="48"/>
      <c r="J1089" s="4"/>
    </row>
    <row r="1090" ht="15.75" customHeight="1">
      <c r="A1090" s="45"/>
      <c r="B1090" s="48"/>
      <c r="J1090" s="4"/>
    </row>
    <row r="1091" ht="15.75" customHeight="1">
      <c r="A1091" s="45"/>
      <c r="B1091" s="48"/>
      <c r="J1091" s="4"/>
    </row>
    <row r="1092" ht="15.75" customHeight="1">
      <c r="A1092" s="45"/>
      <c r="B1092" s="48"/>
      <c r="J1092" s="4"/>
    </row>
    <row r="1093" ht="15.75" customHeight="1">
      <c r="A1093" s="45"/>
      <c r="B1093" s="48"/>
      <c r="J1093" s="4"/>
    </row>
    <row r="1094" ht="15.75" customHeight="1">
      <c r="A1094" s="45"/>
      <c r="B1094" s="48"/>
      <c r="J1094" s="4"/>
    </row>
    <row r="1095" ht="15.75" customHeight="1">
      <c r="A1095" s="45"/>
      <c r="B1095" s="48"/>
      <c r="J1095" s="4"/>
    </row>
    <row r="1096" ht="15.75" customHeight="1">
      <c r="A1096" s="45"/>
      <c r="B1096" s="48"/>
      <c r="J1096" s="4"/>
    </row>
    <row r="1097" ht="15.75" customHeight="1">
      <c r="A1097" s="45"/>
      <c r="B1097" s="48"/>
      <c r="J1097" s="4"/>
    </row>
    <row r="1098" ht="15.75" customHeight="1">
      <c r="A1098" s="45"/>
      <c r="B1098" s="48"/>
      <c r="J1098" s="4"/>
    </row>
    <row r="1099" ht="15.75" customHeight="1">
      <c r="A1099" s="45"/>
      <c r="B1099" s="48"/>
      <c r="J1099" s="4"/>
    </row>
    <row r="1100" ht="15.75" customHeight="1">
      <c r="A1100" s="45"/>
      <c r="B1100" s="48"/>
      <c r="J1100" s="4"/>
    </row>
    <row r="1101" ht="15.75" customHeight="1">
      <c r="A1101" s="45"/>
      <c r="B1101" s="48"/>
      <c r="J1101" s="4"/>
    </row>
    <row r="1102" ht="15.75" customHeight="1">
      <c r="A1102" s="45"/>
      <c r="B1102" s="48"/>
      <c r="J1102" s="4"/>
    </row>
    <row r="1103" ht="15.75" customHeight="1">
      <c r="A1103" s="45"/>
      <c r="B1103" s="48"/>
      <c r="J1103" s="4"/>
    </row>
    <row r="1104" ht="15.75" customHeight="1">
      <c r="A1104" s="45"/>
      <c r="B1104" s="48"/>
      <c r="J1104" s="4"/>
    </row>
    <row r="1105" ht="15.75" customHeight="1">
      <c r="A1105" s="45"/>
      <c r="B1105" s="48"/>
      <c r="J1105" s="4"/>
    </row>
    <row r="1106" ht="15.75" customHeight="1">
      <c r="A1106" s="45"/>
      <c r="B1106" s="48"/>
      <c r="J1106" s="4"/>
    </row>
    <row r="1107" ht="15.75" customHeight="1">
      <c r="A1107" s="45"/>
      <c r="B1107" s="48"/>
      <c r="J1107" s="4"/>
    </row>
    <row r="1108" ht="15.75" customHeight="1">
      <c r="A1108" s="45"/>
      <c r="B1108" s="48"/>
      <c r="J1108" s="4"/>
    </row>
    <row r="1109" ht="15.75" customHeight="1">
      <c r="A1109" s="45"/>
      <c r="B1109" s="48"/>
      <c r="J1109" s="4"/>
    </row>
    <row r="1110" ht="15.75" customHeight="1">
      <c r="A1110" s="45"/>
      <c r="B1110" s="48"/>
      <c r="J1110" s="4"/>
    </row>
    <row r="1111" ht="15.75" customHeight="1">
      <c r="A1111" s="45"/>
      <c r="B1111" s="48"/>
      <c r="J1111" s="4"/>
    </row>
    <row r="1112" ht="15.75" customHeight="1">
      <c r="A1112" s="45"/>
      <c r="B1112" s="48"/>
      <c r="J1112" s="4"/>
    </row>
    <row r="1113" ht="15.75" customHeight="1">
      <c r="A1113" s="45"/>
      <c r="B1113" s="48"/>
      <c r="J1113" s="4"/>
    </row>
    <row r="1114" ht="15.75" customHeight="1">
      <c r="A1114" s="45"/>
      <c r="B1114" s="48"/>
      <c r="J1114" s="4"/>
    </row>
    <row r="1115" ht="15.75" customHeight="1">
      <c r="A1115" s="45"/>
      <c r="B1115" s="48"/>
      <c r="J1115" s="4"/>
    </row>
    <row r="1116" ht="15.75" customHeight="1">
      <c r="A1116" s="45"/>
      <c r="B1116" s="48"/>
      <c r="J1116" s="4"/>
    </row>
    <row r="1117" ht="15.75" customHeight="1">
      <c r="A1117" s="45"/>
      <c r="B1117" s="48"/>
      <c r="J1117" s="4"/>
    </row>
    <row r="1118" ht="15.75" customHeight="1">
      <c r="A1118" s="45"/>
      <c r="B1118" s="48"/>
      <c r="J1118" s="4"/>
    </row>
    <row r="1119" ht="15.75" customHeight="1">
      <c r="A1119" s="45"/>
      <c r="B1119" s="48"/>
      <c r="J1119" s="4"/>
    </row>
    <row r="1120" ht="15.75" customHeight="1">
      <c r="A1120" s="45"/>
      <c r="B1120" s="48"/>
      <c r="J1120" s="4"/>
    </row>
    <row r="1121" ht="15.75" customHeight="1">
      <c r="A1121" s="45"/>
      <c r="B1121" s="48"/>
      <c r="J1121" s="4"/>
    </row>
    <row r="1122" ht="15.75" customHeight="1">
      <c r="A1122" s="45"/>
      <c r="B1122" s="48"/>
      <c r="J1122" s="4"/>
    </row>
    <row r="1123" ht="15.75" customHeight="1">
      <c r="A1123" s="45"/>
      <c r="B1123" s="48"/>
      <c r="J1123" s="4"/>
    </row>
    <row r="1124" ht="15.75" customHeight="1">
      <c r="A1124" s="45"/>
      <c r="B1124" s="48"/>
      <c r="J1124" s="4"/>
    </row>
    <row r="1125" ht="15.75" customHeight="1">
      <c r="A1125" s="45"/>
      <c r="B1125" s="48"/>
      <c r="J1125" s="4"/>
    </row>
    <row r="1126" ht="15.75" customHeight="1">
      <c r="A1126" s="45"/>
      <c r="B1126" s="48"/>
      <c r="J1126" s="4"/>
    </row>
    <row r="1127" ht="15.75" customHeight="1">
      <c r="A1127" s="45"/>
      <c r="B1127" s="48"/>
      <c r="J1127" s="4"/>
    </row>
    <row r="1128" ht="15.75" customHeight="1">
      <c r="A1128" s="45"/>
      <c r="B1128" s="48"/>
      <c r="J1128" s="4"/>
    </row>
    <row r="1129" ht="15.75" customHeight="1">
      <c r="A1129" s="45"/>
      <c r="B1129" s="48"/>
      <c r="J1129" s="4"/>
    </row>
    <row r="1130" ht="15.75" customHeight="1">
      <c r="A1130" s="45"/>
      <c r="B1130" s="48"/>
      <c r="J1130" s="4"/>
    </row>
    <row r="1131" ht="15.75" customHeight="1">
      <c r="A1131" s="45"/>
      <c r="B1131" s="48"/>
      <c r="J1131" s="4"/>
    </row>
    <row r="1132" ht="15.75" customHeight="1">
      <c r="A1132" s="45"/>
      <c r="B1132" s="48"/>
      <c r="J1132" s="4"/>
    </row>
    <row r="1133" ht="15.75" customHeight="1">
      <c r="A1133" s="45"/>
      <c r="B1133" s="48"/>
      <c r="J1133" s="4"/>
    </row>
    <row r="1134" ht="15.75" customHeight="1">
      <c r="A1134" s="45"/>
      <c r="B1134" s="48"/>
      <c r="J1134" s="4"/>
    </row>
    <row r="1135" ht="15.75" customHeight="1">
      <c r="A1135" s="45"/>
      <c r="B1135" s="48"/>
      <c r="J1135" s="4"/>
    </row>
    <row r="1136" ht="15.75" customHeight="1">
      <c r="A1136" s="45"/>
      <c r="B1136" s="48"/>
      <c r="J1136" s="4"/>
    </row>
    <row r="1137" ht="15.75" customHeight="1">
      <c r="A1137" s="45"/>
      <c r="B1137" s="48"/>
      <c r="J1137" s="4"/>
    </row>
    <row r="1138" ht="15.75" customHeight="1">
      <c r="A1138" s="45"/>
      <c r="B1138" s="48"/>
      <c r="J1138" s="4"/>
    </row>
    <row r="1139" ht="15.75" customHeight="1">
      <c r="A1139" s="45"/>
      <c r="B1139" s="48"/>
      <c r="J1139" s="4"/>
    </row>
    <row r="1140" ht="15.75" customHeight="1">
      <c r="A1140" s="45"/>
      <c r="B1140" s="48"/>
      <c r="J1140" s="4"/>
    </row>
    <row r="1141" ht="15.75" customHeight="1">
      <c r="A1141" s="45"/>
      <c r="B1141" s="48"/>
      <c r="J1141" s="4"/>
    </row>
    <row r="1142" ht="15.75" customHeight="1">
      <c r="A1142" s="45"/>
      <c r="B1142" s="48"/>
      <c r="J1142" s="4"/>
    </row>
    <row r="1143" ht="15.75" customHeight="1">
      <c r="A1143" s="45"/>
      <c r="B1143" s="48"/>
      <c r="J1143" s="4"/>
    </row>
    <row r="1144" ht="15.75" customHeight="1">
      <c r="A1144" s="45"/>
      <c r="B1144" s="48"/>
      <c r="J1144" s="4"/>
    </row>
    <row r="1145" ht="15.75" customHeight="1">
      <c r="A1145" s="45"/>
      <c r="B1145" s="48"/>
      <c r="J1145" s="4"/>
    </row>
    <row r="1146" ht="15.75" customHeight="1">
      <c r="A1146" s="45"/>
      <c r="B1146" s="48"/>
      <c r="J1146" s="4"/>
    </row>
    <row r="1147" ht="15.75" customHeight="1">
      <c r="A1147" s="45"/>
      <c r="B1147" s="48"/>
      <c r="J1147" s="4"/>
    </row>
    <row r="1148" ht="15.75" customHeight="1">
      <c r="A1148" s="45"/>
      <c r="B1148" s="48"/>
      <c r="J1148" s="4"/>
    </row>
    <row r="1149" ht="15.75" customHeight="1">
      <c r="A1149" s="45"/>
      <c r="B1149" s="48"/>
      <c r="J1149" s="4"/>
    </row>
    <row r="1150" ht="15.75" customHeight="1">
      <c r="A1150" s="45"/>
      <c r="B1150" s="48"/>
      <c r="J1150" s="4"/>
    </row>
    <row r="1151" ht="15.75" customHeight="1">
      <c r="A1151" s="45"/>
      <c r="B1151" s="48"/>
      <c r="J1151" s="4"/>
    </row>
    <row r="1152" ht="15.75" customHeight="1">
      <c r="A1152" s="45"/>
      <c r="B1152" s="48"/>
      <c r="J1152" s="4"/>
    </row>
    <row r="1153" ht="15.75" customHeight="1">
      <c r="A1153" s="45"/>
      <c r="B1153" s="48"/>
      <c r="J1153" s="4"/>
    </row>
    <row r="1154" ht="15.75" customHeight="1">
      <c r="A1154" s="45"/>
      <c r="B1154" s="48"/>
      <c r="J1154" s="4"/>
    </row>
    <row r="1155" ht="15.75" customHeight="1">
      <c r="A1155" s="45"/>
      <c r="B1155" s="48"/>
      <c r="J1155" s="4"/>
    </row>
    <row r="1156" ht="15.75" customHeight="1">
      <c r="A1156" s="45"/>
      <c r="B1156" s="48"/>
      <c r="J1156" s="4"/>
    </row>
    <row r="1157" ht="15.75" customHeight="1">
      <c r="A1157" s="45"/>
      <c r="B1157" s="48"/>
      <c r="J1157" s="4"/>
    </row>
    <row r="1158" ht="15.75" customHeight="1">
      <c r="A1158" s="45"/>
      <c r="B1158" s="48"/>
      <c r="J1158" s="4"/>
    </row>
    <row r="1159" ht="15.75" customHeight="1">
      <c r="A1159" s="45"/>
      <c r="B1159" s="48"/>
      <c r="J1159" s="4"/>
    </row>
    <row r="1160" ht="15.75" customHeight="1">
      <c r="A1160" s="45"/>
      <c r="B1160" s="48"/>
      <c r="J1160" s="4"/>
    </row>
    <row r="1161" ht="15.75" customHeight="1">
      <c r="A1161" s="45"/>
      <c r="B1161" s="48"/>
      <c r="J1161" s="4"/>
    </row>
    <row r="1162" ht="15.75" customHeight="1">
      <c r="A1162" s="45"/>
      <c r="B1162" s="48"/>
      <c r="J1162" s="4"/>
    </row>
    <row r="1163" ht="15.75" customHeight="1">
      <c r="A1163" s="45"/>
      <c r="B1163" s="48"/>
      <c r="J1163" s="4"/>
    </row>
    <row r="1164" ht="15.75" customHeight="1">
      <c r="A1164" s="45"/>
      <c r="B1164" s="48"/>
      <c r="J1164" s="4"/>
    </row>
    <row r="1165" ht="15.75" customHeight="1">
      <c r="A1165" s="45"/>
      <c r="B1165" s="48"/>
      <c r="J1165" s="4"/>
    </row>
    <row r="1166" ht="15.75" customHeight="1">
      <c r="A1166" s="45"/>
      <c r="B1166" s="48"/>
      <c r="J1166" s="4"/>
    </row>
    <row r="1167" ht="15.75" customHeight="1">
      <c r="A1167" s="45"/>
      <c r="B1167" s="48"/>
      <c r="J1167" s="4"/>
    </row>
    <row r="1168" ht="15.75" customHeight="1">
      <c r="A1168" s="45"/>
      <c r="B1168" s="48"/>
      <c r="J1168" s="4"/>
    </row>
    <row r="1169" ht="15.75" customHeight="1">
      <c r="A1169" s="45"/>
      <c r="B1169" s="48"/>
      <c r="J1169" s="4"/>
    </row>
    <row r="1170" ht="15.75" customHeight="1">
      <c r="A1170" s="45"/>
      <c r="B1170" s="48"/>
      <c r="J1170" s="4"/>
    </row>
    <row r="1171" ht="15.75" customHeight="1">
      <c r="A1171" s="45"/>
      <c r="B1171" s="48"/>
      <c r="J1171" s="4"/>
    </row>
    <row r="1172" ht="15.75" customHeight="1">
      <c r="A1172" s="45"/>
      <c r="B1172" s="48"/>
      <c r="J1172" s="4"/>
    </row>
    <row r="1173" ht="15.75" customHeight="1">
      <c r="A1173" s="45"/>
      <c r="B1173" s="48"/>
      <c r="J1173" s="4"/>
    </row>
    <row r="1174" ht="15.75" customHeight="1">
      <c r="A1174" s="45"/>
      <c r="B1174" s="48"/>
      <c r="J1174" s="4"/>
    </row>
    <row r="1175" ht="15.75" customHeight="1">
      <c r="A1175" s="45"/>
      <c r="B1175" s="48"/>
      <c r="J1175" s="4"/>
    </row>
    <row r="1176" ht="15.75" customHeight="1">
      <c r="A1176" s="45"/>
      <c r="B1176" s="48"/>
      <c r="J1176" s="4"/>
    </row>
    <row r="1177" ht="15.75" customHeight="1">
      <c r="A1177" s="45"/>
      <c r="B1177" s="48"/>
      <c r="J1177" s="4"/>
    </row>
    <row r="1178" ht="15.75" customHeight="1">
      <c r="A1178" s="45"/>
      <c r="B1178" s="48"/>
      <c r="J1178" s="4"/>
    </row>
    <row r="1179" ht="15.75" customHeight="1">
      <c r="A1179" s="45"/>
      <c r="B1179" s="48"/>
      <c r="J1179" s="4"/>
    </row>
    <row r="1180" ht="15.75" customHeight="1">
      <c r="A1180" s="45"/>
      <c r="B1180" s="48"/>
      <c r="J1180" s="4"/>
    </row>
    <row r="1181" ht="15.75" customHeight="1">
      <c r="A1181" s="45"/>
      <c r="B1181" s="48"/>
      <c r="J1181" s="4"/>
    </row>
    <row r="1182" ht="15.75" customHeight="1">
      <c r="A1182" s="45"/>
      <c r="B1182" s="48"/>
      <c r="J1182" s="4"/>
    </row>
    <row r="1183" ht="15.75" customHeight="1">
      <c r="A1183" s="45"/>
      <c r="B1183" s="48"/>
      <c r="J1183" s="4"/>
    </row>
    <row r="1184" ht="15.75" customHeight="1">
      <c r="A1184" s="45"/>
      <c r="B1184" s="48"/>
      <c r="J1184" s="4"/>
    </row>
    <row r="1185" ht="15.75" customHeight="1">
      <c r="A1185" s="45"/>
      <c r="B1185" s="48"/>
      <c r="J1185" s="4"/>
    </row>
    <row r="1186" ht="15.75" customHeight="1">
      <c r="A1186" s="45"/>
      <c r="B1186" s="48"/>
      <c r="J1186" s="4"/>
    </row>
    <row r="1187" ht="15.75" customHeight="1">
      <c r="A1187" s="45"/>
      <c r="B1187" s="48"/>
      <c r="J1187" s="4"/>
    </row>
    <row r="1188" ht="15.75" customHeight="1">
      <c r="A1188" s="45"/>
      <c r="B1188" s="48"/>
      <c r="J1188" s="4"/>
    </row>
    <row r="1189" ht="15.75" customHeight="1">
      <c r="A1189" s="45"/>
      <c r="B1189" s="48"/>
      <c r="J1189" s="4"/>
    </row>
    <row r="1190" ht="15.75" customHeight="1">
      <c r="A1190" s="45"/>
      <c r="B1190" s="48"/>
      <c r="J1190" s="4"/>
    </row>
    <row r="1191" ht="15.75" customHeight="1">
      <c r="A1191" s="45"/>
      <c r="B1191" s="48"/>
      <c r="J1191" s="4"/>
    </row>
    <row r="1192" ht="15.75" customHeight="1">
      <c r="A1192" s="45"/>
      <c r="B1192" s="48"/>
      <c r="J1192" s="4"/>
    </row>
    <row r="1193" ht="15.75" customHeight="1">
      <c r="A1193" s="45"/>
      <c r="B1193" s="48"/>
      <c r="J1193" s="4"/>
    </row>
    <row r="1194" ht="15.75" customHeight="1">
      <c r="A1194" s="45"/>
      <c r="B1194" s="48"/>
      <c r="J1194" s="4"/>
    </row>
    <row r="1195" ht="15.75" customHeight="1">
      <c r="A1195" s="45"/>
      <c r="B1195" s="48"/>
      <c r="J1195" s="4"/>
    </row>
    <row r="1196" ht="15.75" customHeight="1">
      <c r="A1196" s="45"/>
      <c r="B1196" s="48"/>
      <c r="J1196" s="4"/>
    </row>
    <row r="1197" ht="15.75" customHeight="1">
      <c r="A1197" s="45"/>
      <c r="B1197" s="48"/>
      <c r="J1197" s="4"/>
    </row>
    <row r="1198" ht="15.75" customHeight="1">
      <c r="A1198" s="45"/>
      <c r="B1198" s="48"/>
      <c r="J1198" s="4"/>
    </row>
    <row r="1199" ht="15.75" customHeight="1">
      <c r="A1199" s="45"/>
      <c r="B1199" s="48"/>
      <c r="J1199" s="4"/>
    </row>
    <row r="1200" ht="15.75" customHeight="1">
      <c r="A1200" s="45"/>
      <c r="B1200" s="48"/>
      <c r="J1200" s="4"/>
    </row>
    <row r="1201" ht="15.75" customHeight="1">
      <c r="A1201" s="45"/>
      <c r="B1201" s="48"/>
      <c r="J1201" s="4"/>
    </row>
    <row r="1202" ht="15.75" customHeight="1">
      <c r="A1202" s="45"/>
      <c r="B1202" s="48"/>
      <c r="J1202" s="4"/>
    </row>
    <row r="1203" ht="15.75" customHeight="1">
      <c r="A1203" s="45"/>
      <c r="B1203" s="48"/>
      <c r="J1203" s="4"/>
    </row>
    <row r="1204" ht="15.75" customHeight="1">
      <c r="A1204" s="45"/>
      <c r="B1204" s="48"/>
      <c r="J1204" s="4"/>
    </row>
    <row r="1205" ht="15.75" customHeight="1">
      <c r="A1205" s="45"/>
      <c r="B1205" s="48"/>
      <c r="J1205" s="4"/>
    </row>
    <row r="1206" ht="15.75" customHeight="1">
      <c r="A1206" s="45"/>
      <c r="B1206" s="48"/>
      <c r="J1206" s="4"/>
    </row>
    <row r="1207" ht="15.75" customHeight="1">
      <c r="A1207" s="45"/>
      <c r="B1207" s="48"/>
      <c r="J1207" s="4"/>
    </row>
    <row r="1208" ht="15.75" customHeight="1">
      <c r="A1208" s="45"/>
      <c r="B1208" s="48"/>
      <c r="J1208" s="4"/>
    </row>
    <row r="1209" ht="15.75" customHeight="1">
      <c r="A1209" s="45"/>
      <c r="B1209" s="48"/>
      <c r="J1209" s="4"/>
    </row>
    <row r="1210" ht="15.75" customHeight="1">
      <c r="A1210" s="45"/>
      <c r="B1210" s="48"/>
      <c r="J1210" s="4"/>
    </row>
    <row r="1211" ht="15.75" customHeight="1">
      <c r="A1211" s="45"/>
      <c r="B1211" s="48"/>
      <c r="J1211" s="4"/>
    </row>
    <row r="1212" ht="15.75" customHeight="1">
      <c r="A1212" s="45"/>
      <c r="B1212" s="48"/>
      <c r="J1212" s="4"/>
    </row>
    <row r="1213" ht="15.75" customHeight="1">
      <c r="A1213" s="45"/>
      <c r="B1213" s="48"/>
      <c r="J1213" s="4"/>
    </row>
    <row r="1214" ht="15.75" customHeight="1">
      <c r="A1214" s="45"/>
      <c r="B1214" s="48"/>
      <c r="J1214" s="4"/>
    </row>
    <row r="1215" ht="15.75" customHeight="1">
      <c r="A1215" s="45"/>
      <c r="B1215" s="48"/>
      <c r="J1215" s="4"/>
    </row>
    <row r="1216" ht="15.75" customHeight="1">
      <c r="A1216" s="45"/>
      <c r="B1216" s="48"/>
      <c r="J1216" s="4"/>
    </row>
    <row r="1217" ht="15.75" customHeight="1">
      <c r="A1217" s="45"/>
      <c r="B1217" s="48"/>
      <c r="J1217" s="4"/>
    </row>
    <row r="1218" ht="15.75" customHeight="1">
      <c r="A1218" s="45"/>
      <c r="B1218" s="48"/>
      <c r="J1218" s="4"/>
    </row>
    <row r="1219" ht="15.75" customHeight="1">
      <c r="A1219" s="45"/>
      <c r="B1219" s="48"/>
      <c r="J1219" s="4"/>
    </row>
    <row r="1220" ht="15.75" customHeight="1">
      <c r="A1220" s="45"/>
      <c r="B1220" s="48"/>
      <c r="J1220" s="4"/>
    </row>
    <row r="1221" ht="15.75" customHeight="1">
      <c r="A1221" s="45"/>
      <c r="B1221" s="48"/>
      <c r="J1221" s="4"/>
    </row>
    <row r="1222" ht="15.75" customHeight="1">
      <c r="A1222" s="45"/>
      <c r="B1222" s="48"/>
      <c r="J1222" s="4"/>
    </row>
    <row r="1223" ht="15.75" customHeight="1">
      <c r="A1223" s="45"/>
      <c r="B1223" s="48"/>
      <c r="J1223" s="4"/>
    </row>
    <row r="1224" ht="15.75" customHeight="1">
      <c r="A1224" s="45"/>
      <c r="B1224" s="48"/>
      <c r="J1224" s="4"/>
    </row>
    <row r="1225" ht="15.75" customHeight="1">
      <c r="A1225" s="45"/>
      <c r="B1225" s="48"/>
      <c r="J1225" s="4"/>
    </row>
    <row r="1226" ht="15.75" customHeight="1">
      <c r="A1226" s="45"/>
      <c r="B1226" s="48"/>
      <c r="J1226" s="4"/>
    </row>
    <row r="1227" ht="15.75" customHeight="1">
      <c r="A1227" s="45"/>
      <c r="B1227" s="48"/>
      <c r="J1227" s="4"/>
    </row>
    <row r="1228" ht="15.75" customHeight="1">
      <c r="A1228" s="45"/>
      <c r="B1228" s="48"/>
      <c r="J1228" s="4"/>
    </row>
    <row r="1229" ht="15.75" customHeight="1">
      <c r="A1229" s="45"/>
      <c r="B1229" s="48"/>
      <c r="J1229" s="4"/>
    </row>
    <row r="1230" ht="15.75" customHeight="1">
      <c r="A1230" s="45"/>
      <c r="B1230" s="48"/>
      <c r="J1230" s="4"/>
    </row>
    <row r="1231" ht="15.75" customHeight="1">
      <c r="A1231" s="45"/>
      <c r="B1231" s="48"/>
      <c r="J1231" s="4"/>
    </row>
    <row r="1232" ht="15.75" customHeight="1">
      <c r="A1232" s="45"/>
      <c r="B1232" s="48"/>
      <c r="J1232" s="4"/>
    </row>
    <row r="1233" ht="15.75" customHeight="1">
      <c r="A1233" s="45"/>
      <c r="B1233" s="48"/>
      <c r="J1233" s="4"/>
    </row>
    <row r="1234" ht="15.75" customHeight="1">
      <c r="A1234" s="45"/>
      <c r="B1234" s="48"/>
      <c r="J1234" s="4"/>
    </row>
    <row r="1235" ht="15.75" customHeight="1">
      <c r="A1235" s="45"/>
      <c r="B1235" s="48"/>
      <c r="J1235" s="4"/>
    </row>
    <row r="1236" ht="15.75" customHeight="1">
      <c r="A1236" s="45"/>
      <c r="B1236" s="48"/>
      <c r="J1236" s="4"/>
    </row>
    <row r="1237" ht="15.75" customHeight="1">
      <c r="A1237" s="45"/>
      <c r="B1237" s="48"/>
      <c r="J1237" s="4"/>
    </row>
    <row r="1238" ht="15.75" customHeight="1">
      <c r="A1238" s="45"/>
      <c r="B1238" s="48"/>
      <c r="J1238" s="4"/>
    </row>
    <row r="1239" ht="15.75" customHeight="1">
      <c r="A1239" s="45"/>
      <c r="B1239" s="48"/>
      <c r="J1239" s="4"/>
    </row>
    <row r="1240" ht="15.75" customHeight="1">
      <c r="A1240" s="45"/>
      <c r="B1240" s="48"/>
      <c r="J1240" s="4"/>
    </row>
    <row r="1241" ht="15.75" customHeight="1">
      <c r="A1241" s="45"/>
      <c r="B1241" s="48"/>
      <c r="J1241" s="4"/>
    </row>
    <row r="1242" ht="15.75" customHeight="1">
      <c r="A1242" s="45"/>
      <c r="B1242" s="48"/>
      <c r="J1242" s="4"/>
    </row>
    <row r="1243" ht="15.75" customHeight="1">
      <c r="A1243" s="45"/>
      <c r="B1243" s="48"/>
      <c r="J1243" s="4"/>
    </row>
    <row r="1244" ht="15.75" customHeight="1">
      <c r="A1244" s="45"/>
      <c r="B1244" s="48"/>
      <c r="J1244" s="4"/>
    </row>
    <row r="1245" ht="15.75" customHeight="1">
      <c r="A1245" s="45"/>
      <c r="B1245" s="48"/>
      <c r="J1245" s="4"/>
    </row>
    <row r="1246" ht="15.75" customHeight="1">
      <c r="A1246" s="45"/>
      <c r="B1246" s="48"/>
      <c r="J1246" s="4"/>
    </row>
    <row r="1247" ht="15.75" customHeight="1">
      <c r="A1247" s="45"/>
      <c r="B1247" s="48"/>
      <c r="J1247" s="4"/>
    </row>
    <row r="1248" ht="15.75" customHeight="1">
      <c r="A1248" s="45"/>
      <c r="B1248" s="48"/>
      <c r="J1248" s="4"/>
    </row>
    <row r="1249" ht="15.75" customHeight="1">
      <c r="A1249" s="45"/>
      <c r="B1249" s="48"/>
      <c r="J1249" s="4"/>
    </row>
    <row r="1250" ht="15.75" customHeight="1">
      <c r="A1250" s="45"/>
      <c r="B1250" s="48"/>
      <c r="J1250" s="4"/>
    </row>
    <row r="1251" ht="15.75" customHeight="1">
      <c r="A1251" s="45"/>
      <c r="B1251" s="48"/>
      <c r="J1251" s="4"/>
    </row>
    <row r="1252" ht="15.75" customHeight="1">
      <c r="A1252" s="45"/>
      <c r="B1252" s="48"/>
      <c r="J1252" s="4"/>
    </row>
    <row r="1253" ht="15.75" customHeight="1">
      <c r="A1253" s="45"/>
      <c r="B1253" s="48"/>
      <c r="J1253" s="4"/>
    </row>
    <row r="1254" ht="15.75" customHeight="1">
      <c r="A1254" s="45"/>
      <c r="B1254" s="48"/>
      <c r="J1254" s="4"/>
    </row>
    <row r="1255" ht="15.75" customHeight="1">
      <c r="A1255" s="45"/>
      <c r="B1255" s="48"/>
      <c r="J1255" s="4"/>
    </row>
    <row r="1256" ht="15.75" customHeight="1">
      <c r="A1256" s="45"/>
      <c r="B1256" s="48"/>
      <c r="J1256" s="4"/>
    </row>
    <row r="1257" ht="15.75" customHeight="1">
      <c r="A1257" s="45"/>
      <c r="B1257" s="48"/>
      <c r="J1257" s="4"/>
    </row>
    <row r="1258" ht="15.75" customHeight="1">
      <c r="A1258" s="45"/>
      <c r="B1258" s="48"/>
      <c r="J1258" s="4"/>
    </row>
    <row r="1259" ht="15.75" customHeight="1">
      <c r="A1259" s="45"/>
      <c r="B1259" s="48"/>
      <c r="J1259" s="4"/>
    </row>
    <row r="1260" ht="15.75" customHeight="1">
      <c r="A1260" s="45"/>
      <c r="B1260" s="48"/>
      <c r="J1260" s="4"/>
    </row>
    <row r="1261" ht="15.75" customHeight="1">
      <c r="A1261" s="45"/>
      <c r="B1261" s="48"/>
      <c r="J1261" s="4"/>
    </row>
    <row r="1262" ht="15.75" customHeight="1">
      <c r="A1262" s="45"/>
      <c r="B1262" s="48"/>
      <c r="J1262" s="4"/>
    </row>
    <row r="1263" ht="15.75" customHeight="1">
      <c r="A1263" s="45"/>
      <c r="B1263" s="48"/>
      <c r="J1263" s="4"/>
    </row>
    <row r="1264" ht="15.75" customHeight="1">
      <c r="A1264" s="45"/>
      <c r="B1264" s="48"/>
      <c r="J1264" s="4"/>
    </row>
    <row r="1265" ht="15.75" customHeight="1">
      <c r="A1265" s="45"/>
      <c r="B1265" s="48"/>
      <c r="J1265" s="4"/>
    </row>
    <row r="1266" ht="15.75" customHeight="1">
      <c r="A1266" s="45"/>
      <c r="B1266" s="48"/>
      <c r="J1266" s="4"/>
    </row>
    <row r="1267" ht="15.75" customHeight="1">
      <c r="A1267" s="45"/>
      <c r="B1267" s="48"/>
      <c r="J1267" s="4"/>
    </row>
    <row r="1268" ht="15.75" customHeight="1">
      <c r="A1268" s="45"/>
      <c r="B1268" s="48"/>
      <c r="J1268" s="4"/>
    </row>
    <row r="1269" ht="15.75" customHeight="1">
      <c r="A1269" s="45"/>
      <c r="B1269" s="48"/>
      <c r="J1269" s="4"/>
    </row>
    <row r="1270" ht="15.75" customHeight="1">
      <c r="A1270" s="45"/>
      <c r="B1270" s="48"/>
      <c r="J1270" s="4"/>
    </row>
    <row r="1271" ht="15.75" customHeight="1">
      <c r="A1271" s="45"/>
      <c r="B1271" s="48"/>
      <c r="J1271" s="4"/>
    </row>
    <row r="1272" ht="15.75" customHeight="1">
      <c r="A1272" s="45"/>
      <c r="B1272" s="48"/>
      <c r="J1272" s="4"/>
    </row>
    <row r="1273" ht="15.75" customHeight="1">
      <c r="A1273" s="45"/>
      <c r="B1273" s="48"/>
      <c r="J1273" s="4"/>
    </row>
    <row r="1274" ht="15.75" customHeight="1">
      <c r="A1274" s="45"/>
      <c r="B1274" s="48"/>
      <c r="J1274" s="4"/>
    </row>
    <row r="1275" ht="15.75" customHeight="1">
      <c r="A1275" s="45"/>
      <c r="B1275" s="48"/>
      <c r="J1275" s="4"/>
    </row>
    <row r="1276" ht="15.75" customHeight="1">
      <c r="A1276" s="45"/>
      <c r="B1276" s="48"/>
      <c r="J1276" s="4"/>
    </row>
    <row r="1277" ht="15.75" customHeight="1">
      <c r="A1277" s="45"/>
      <c r="B1277" s="48"/>
      <c r="J1277" s="4"/>
    </row>
    <row r="1278" ht="15.75" customHeight="1">
      <c r="A1278" s="45"/>
      <c r="B1278" s="48"/>
      <c r="J1278" s="4"/>
    </row>
    <row r="1279" ht="15.75" customHeight="1">
      <c r="A1279" s="45"/>
      <c r="B1279" s="48"/>
      <c r="J1279" s="4"/>
    </row>
    <row r="1280" ht="15.75" customHeight="1">
      <c r="A1280" s="45"/>
      <c r="B1280" s="48"/>
      <c r="J1280" s="4"/>
    </row>
    <row r="1281" ht="15.75" customHeight="1">
      <c r="A1281" s="45"/>
      <c r="B1281" s="48"/>
      <c r="J1281" s="4"/>
    </row>
    <row r="1282" ht="15.75" customHeight="1">
      <c r="A1282" s="45"/>
      <c r="B1282" s="48"/>
      <c r="J1282" s="4"/>
    </row>
    <row r="1283" ht="15.75" customHeight="1">
      <c r="A1283" s="45"/>
      <c r="B1283" s="48"/>
      <c r="J1283" s="4"/>
    </row>
    <row r="1284" ht="15.75" customHeight="1">
      <c r="A1284" s="45"/>
      <c r="B1284" s="48"/>
      <c r="J1284" s="4"/>
    </row>
    <row r="1285" ht="15.75" customHeight="1">
      <c r="A1285" s="45"/>
      <c r="B1285" s="48"/>
      <c r="J1285" s="4"/>
    </row>
    <row r="1286" ht="15.75" customHeight="1">
      <c r="A1286" s="45"/>
      <c r="B1286" s="48"/>
      <c r="J1286" s="4"/>
    </row>
    <row r="1287" ht="15.75" customHeight="1">
      <c r="A1287" s="45"/>
      <c r="B1287" s="48"/>
      <c r="J1287" s="4"/>
    </row>
    <row r="1288" ht="15.75" customHeight="1">
      <c r="A1288" s="45"/>
      <c r="B1288" s="48"/>
      <c r="J1288" s="4"/>
    </row>
    <row r="1289" ht="15.75" customHeight="1">
      <c r="A1289" s="45"/>
      <c r="B1289" s="48"/>
      <c r="J1289" s="4"/>
    </row>
    <row r="1290" ht="15.75" customHeight="1">
      <c r="A1290" s="45"/>
      <c r="B1290" s="48"/>
      <c r="J1290" s="4"/>
    </row>
    <row r="1291" ht="15.75" customHeight="1">
      <c r="A1291" s="45"/>
      <c r="B1291" s="48"/>
      <c r="J1291" s="4"/>
    </row>
    <row r="1292" ht="15.75" customHeight="1">
      <c r="A1292" s="45"/>
      <c r="B1292" s="48"/>
      <c r="J1292" s="4"/>
    </row>
    <row r="1293" ht="15.75" customHeight="1">
      <c r="A1293" s="45"/>
      <c r="B1293" s="48"/>
      <c r="J1293" s="4"/>
    </row>
    <row r="1294" ht="15.75" customHeight="1">
      <c r="A1294" s="45"/>
      <c r="B1294" s="48"/>
      <c r="J1294" s="4"/>
    </row>
    <row r="1295" ht="15.75" customHeight="1">
      <c r="A1295" s="45"/>
      <c r="B1295" s="48"/>
      <c r="J1295" s="4"/>
    </row>
    <row r="1296" ht="15.75" customHeight="1">
      <c r="A1296" s="45"/>
      <c r="B1296" s="48"/>
      <c r="J1296" s="4"/>
    </row>
    <row r="1297" ht="15.75" customHeight="1">
      <c r="A1297" s="45"/>
      <c r="B1297" s="48"/>
      <c r="J1297" s="4"/>
    </row>
    <row r="1298" ht="15.75" customHeight="1">
      <c r="A1298" s="45"/>
      <c r="B1298" s="48"/>
      <c r="J1298" s="4"/>
    </row>
    <row r="1299" ht="15.75" customHeight="1">
      <c r="A1299" s="45"/>
      <c r="B1299" s="48"/>
      <c r="J1299" s="4"/>
    </row>
    <row r="1300" ht="15.75" customHeight="1">
      <c r="A1300" s="45"/>
      <c r="B1300" s="48"/>
      <c r="J1300" s="4"/>
    </row>
    <row r="1301" ht="15.75" customHeight="1">
      <c r="A1301" s="45"/>
      <c r="B1301" s="48"/>
      <c r="J1301" s="4"/>
    </row>
    <row r="1302" ht="15.75" customHeight="1">
      <c r="A1302" s="45"/>
      <c r="B1302" s="48"/>
      <c r="J1302" s="4"/>
    </row>
    <row r="1303" ht="15.75" customHeight="1">
      <c r="A1303" s="45"/>
      <c r="B1303" s="48"/>
      <c r="J1303" s="4"/>
    </row>
    <row r="1304" ht="15.75" customHeight="1">
      <c r="A1304" s="45"/>
      <c r="B1304" s="48"/>
      <c r="J1304" s="4"/>
    </row>
    <row r="1305" ht="15.75" customHeight="1">
      <c r="A1305" s="45"/>
      <c r="B1305" s="48"/>
      <c r="J1305" s="4"/>
    </row>
    <row r="1306" ht="15.75" customHeight="1">
      <c r="A1306" s="45"/>
      <c r="B1306" s="48"/>
      <c r="J1306" s="4"/>
    </row>
    <row r="1307" ht="15.75" customHeight="1">
      <c r="A1307" s="45"/>
      <c r="B1307" s="48"/>
      <c r="J1307" s="4"/>
    </row>
    <row r="1308" ht="15.75" customHeight="1">
      <c r="A1308" s="45"/>
      <c r="B1308" s="48"/>
      <c r="J1308" s="4"/>
    </row>
    <row r="1309" ht="15.75" customHeight="1">
      <c r="A1309" s="45"/>
      <c r="B1309" s="48"/>
      <c r="J1309" s="4"/>
    </row>
    <row r="1310" ht="15.75" customHeight="1">
      <c r="A1310" s="45"/>
      <c r="B1310" s="48"/>
      <c r="J1310" s="4"/>
    </row>
    <row r="1311" ht="15.75" customHeight="1">
      <c r="A1311" s="45"/>
      <c r="B1311" s="48"/>
      <c r="J1311" s="4"/>
    </row>
    <row r="1312" ht="15.75" customHeight="1">
      <c r="A1312" s="45"/>
      <c r="B1312" s="48"/>
      <c r="J1312" s="4"/>
    </row>
    <row r="1313" ht="15.75" customHeight="1">
      <c r="A1313" s="45"/>
      <c r="B1313" s="48"/>
      <c r="J1313" s="4"/>
    </row>
    <row r="1314" ht="15.75" customHeight="1">
      <c r="A1314" s="45"/>
      <c r="B1314" s="48"/>
      <c r="J1314" s="4"/>
    </row>
    <row r="1315" ht="15.75" customHeight="1">
      <c r="A1315" s="45"/>
      <c r="B1315" s="48"/>
      <c r="J1315" s="4"/>
    </row>
    <row r="1316" ht="15.75" customHeight="1">
      <c r="A1316" s="45"/>
      <c r="B1316" s="48"/>
      <c r="J1316" s="4"/>
    </row>
    <row r="1317" ht="15.75" customHeight="1">
      <c r="A1317" s="45"/>
      <c r="B1317" s="48"/>
      <c r="J1317" s="4"/>
    </row>
    <row r="1318" ht="15.75" customHeight="1">
      <c r="A1318" s="45"/>
      <c r="B1318" s="48"/>
      <c r="J1318" s="4"/>
    </row>
    <row r="1319" ht="15.75" customHeight="1">
      <c r="A1319" s="45"/>
      <c r="B1319" s="48"/>
      <c r="J1319" s="4"/>
    </row>
    <row r="1320" ht="15.75" customHeight="1">
      <c r="A1320" s="45"/>
      <c r="B1320" s="48"/>
      <c r="J1320" s="4"/>
    </row>
    <row r="1321" ht="15.75" customHeight="1">
      <c r="A1321" s="45"/>
      <c r="B1321" s="48"/>
      <c r="J1321" s="4"/>
    </row>
    <row r="1322" ht="15.75" customHeight="1">
      <c r="A1322" s="45"/>
      <c r="B1322" s="48"/>
      <c r="J1322" s="4"/>
    </row>
    <row r="1323" ht="15.75" customHeight="1">
      <c r="A1323" s="45"/>
      <c r="B1323" s="48"/>
      <c r="J1323" s="4"/>
    </row>
    <row r="1324" ht="15.75" customHeight="1">
      <c r="A1324" s="45"/>
      <c r="B1324" s="48"/>
      <c r="J1324" s="4"/>
    </row>
    <row r="1325" ht="15.75" customHeight="1">
      <c r="A1325" s="45"/>
      <c r="B1325" s="48"/>
      <c r="J1325" s="4"/>
    </row>
    <row r="1326" ht="15.75" customHeight="1">
      <c r="A1326" s="45"/>
      <c r="B1326" s="48"/>
      <c r="J1326" s="4"/>
    </row>
    <row r="1327" ht="15.75" customHeight="1">
      <c r="A1327" s="45"/>
      <c r="B1327" s="48"/>
      <c r="J1327" s="4"/>
    </row>
    <row r="1328" ht="15.75" customHeight="1">
      <c r="A1328" s="45"/>
      <c r="B1328" s="48"/>
      <c r="J1328" s="4"/>
    </row>
    <row r="1329" ht="15.75" customHeight="1">
      <c r="A1329" s="45"/>
      <c r="B1329" s="48"/>
      <c r="J1329" s="4"/>
    </row>
    <row r="1330" ht="15.75" customHeight="1">
      <c r="A1330" s="45"/>
      <c r="B1330" s="48"/>
      <c r="J1330" s="4"/>
    </row>
    <row r="1331" ht="15.75" customHeight="1">
      <c r="A1331" s="45"/>
      <c r="B1331" s="48"/>
      <c r="J1331" s="4"/>
    </row>
    <row r="1332" ht="15.75" customHeight="1">
      <c r="A1332" s="45"/>
      <c r="B1332" s="48"/>
      <c r="J1332" s="4"/>
    </row>
    <row r="1333" ht="15.75" customHeight="1">
      <c r="A1333" s="45"/>
      <c r="B1333" s="48"/>
      <c r="J1333" s="4"/>
    </row>
    <row r="1334" ht="15.75" customHeight="1">
      <c r="A1334" s="45"/>
      <c r="B1334" s="48"/>
      <c r="J1334" s="4"/>
    </row>
    <row r="1335" ht="15.75" customHeight="1">
      <c r="A1335" s="45"/>
      <c r="B1335" s="48"/>
      <c r="J1335" s="4"/>
    </row>
    <row r="1336" ht="15.75" customHeight="1">
      <c r="A1336" s="45"/>
      <c r="B1336" s="48"/>
      <c r="J1336" s="4"/>
    </row>
    <row r="1337" ht="15.75" customHeight="1">
      <c r="A1337" s="45"/>
      <c r="B1337" s="48"/>
      <c r="J1337" s="4"/>
    </row>
    <row r="1338" ht="15.75" customHeight="1">
      <c r="A1338" s="45"/>
      <c r="B1338" s="48"/>
      <c r="J1338" s="4"/>
    </row>
    <row r="1339" ht="15.75" customHeight="1">
      <c r="A1339" s="45"/>
      <c r="B1339" s="48"/>
      <c r="J1339" s="4"/>
    </row>
    <row r="1340" ht="15.75" customHeight="1">
      <c r="A1340" s="45"/>
      <c r="B1340" s="48"/>
      <c r="J1340" s="4"/>
    </row>
    <row r="1341" ht="15.75" customHeight="1">
      <c r="A1341" s="45"/>
      <c r="B1341" s="48"/>
      <c r="J1341" s="4"/>
    </row>
    <row r="1342" ht="15.75" customHeight="1">
      <c r="A1342" s="45"/>
      <c r="B1342" s="48"/>
      <c r="J1342" s="4"/>
    </row>
    <row r="1343" ht="15.75" customHeight="1">
      <c r="A1343" s="45"/>
      <c r="B1343" s="48"/>
      <c r="J1343" s="4"/>
    </row>
    <row r="1344" ht="15.75" customHeight="1">
      <c r="A1344" s="45"/>
      <c r="B1344" s="48"/>
      <c r="J1344" s="4"/>
    </row>
    <row r="1345" ht="15.75" customHeight="1">
      <c r="A1345" s="45"/>
      <c r="B1345" s="48"/>
      <c r="J1345" s="4"/>
    </row>
    <row r="1346" ht="15.75" customHeight="1">
      <c r="A1346" s="45"/>
      <c r="B1346" s="48"/>
      <c r="J1346" s="4"/>
    </row>
    <row r="1347" ht="15.75" customHeight="1">
      <c r="A1347" s="45"/>
      <c r="B1347" s="48"/>
      <c r="J1347" s="4"/>
    </row>
    <row r="1348" ht="15.75" customHeight="1">
      <c r="A1348" s="45"/>
      <c r="B1348" s="48"/>
      <c r="J1348" s="4"/>
    </row>
    <row r="1349" ht="15.75" customHeight="1">
      <c r="A1349" s="45"/>
      <c r="B1349" s="48"/>
      <c r="J1349" s="4"/>
    </row>
    <row r="1350" ht="15.75" customHeight="1">
      <c r="A1350" s="45"/>
      <c r="B1350" s="48"/>
      <c r="J1350" s="4"/>
    </row>
    <row r="1351" ht="15.75" customHeight="1">
      <c r="A1351" s="45"/>
      <c r="B1351" s="48"/>
      <c r="J1351" s="4"/>
    </row>
    <row r="1352" ht="15.75" customHeight="1">
      <c r="A1352" s="45"/>
      <c r="B1352" s="48"/>
      <c r="J1352" s="4"/>
    </row>
    <row r="1353" ht="15.75" customHeight="1">
      <c r="A1353" s="45"/>
      <c r="B1353" s="48"/>
      <c r="J1353" s="4"/>
    </row>
    <row r="1354" ht="15.75" customHeight="1">
      <c r="A1354" s="45"/>
      <c r="B1354" s="48"/>
      <c r="J1354" s="4"/>
    </row>
    <row r="1355" ht="15.75" customHeight="1">
      <c r="A1355" s="45"/>
      <c r="B1355" s="48"/>
      <c r="J1355" s="4"/>
    </row>
    <row r="1356" ht="15.75" customHeight="1">
      <c r="A1356" s="45"/>
      <c r="B1356" s="48"/>
      <c r="J1356" s="4"/>
    </row>
    <row r="1357" ht="15.75" customHeight="1">
      <c r="A1357" s="45"/>
      <c r="B1357" s="48"/>
      <c r="J1357" s="4"/>
    </row>
    <row r="1358" ht="15.75" customHeight="1">
      <c r="A1358" s="45"/>
      <c r="B1358" s="48"/>
      <c r="J1358" s="4"/>
    </row>
    <row r="1359" ht="15.75" customHeight="1">
      <c r="A1359" s="45"/>
      <c r="B1359" s="48"/>
      <c r="J1359" s="4"/>
    </row>
    <row r="1360" ht="15.75" customHeight="1">
      <c r="A1360" s="45"/>
      <c r="B1360" s="48"/>
      <c r="J1360" s="4"/>
    </row>
    <row r="1361" ht="15.75" customHeight="1">
      <c r="A1361" s="45"/>
      <c r="B1361" s="48"/>
      <c r="J1361" s="4"/>
    </row>
    <row r="1362" ht="15.75" customHeight="1">
      <c r="A1362" s="45"/>
      <c r="B1362" s="48"/>
      <c r="J1362" s="4"/>
    </row>
    <row r="1363" ht="15.75" customHeight="1">
      <c r="A1363" s="45"/>
      <c r="B1363" s="48"/>
      <c r="J1363" s="4"/>
    </row>
    <row r="1364" ht="15.75" customHeight="1">
      <c r="A1364" s="45"/>
      <c r="B1364" s="48"/>
      <c r="J1364" s="4"/>
    </row>
    <row r="1365" ht="15.75" customHeight="1">
      <c r="A1365" s="45"/>
      <c r="B1365" s="48"/>
      <c r="J1365" s="4"/>
    </row>
    <row r="1366" ht="15.75" customHeight="1">
      <c r="A1366" s="45"/>
      <c r="B1366" s="48"/>
      <c r="J1366" s="4"/>
    </row>
    <row r="1367" ht="15.75" customHeight="1">
      <c r="A1367" s="45"/>
      <c r="B1367" s="48"/>
      <c r="J1367" s="4"/>
    </row>
    <row r="1368" ht="15.75" customHeight="1">
      <c r="A1368" s="45"/>
      <c r="B1368" s="48"/>
      <c r="J1368" s="4"/>
    </row>
    <row r="1369" ht="15.75" customHeight="1">
      <c r="A1369" s="45"/>
      <c r="B1369" s="48"/>
      <c r="J1369" s="4"/>
    </row>
    <row r="1370" ht="15.75" customHeight="1">
      <c r="A1370" s="45"/>
      <c r="B1370" s="48"/>
      <c r="J1370" s="4"/>
    </row>
    <row r="1371" ht="15.75" customHeight="1">
      <c r="A1371" s="45"/>
      <c r="B1371" s="48"/>
      <c r="J1371" s="4"/>
    </row>
    <row r="1372" ht="15.75" customHeight="1">
      <c r="A1372" s="45"/>
      <c r="B1372" s="48"/>
      <c r="J1372" s="4"/>
    </row>
    <row r="1373" ht="15.75" customHeight="1">
      <c r="A1373" s="45"/>
      <c r="B1373" s="48"/>
      <c r="J1373" s="4"/>
    </row>
    <row r="1374" ht="15.75" customHeight="1">
      <c r="A1374" s="45"/>
      <c r="B1374" s="48"/>
      <c r="J1374" s="4"/>
    </row>
    <row r="1375" ht="15.75" customHeight="1">
      <c r="A1375" s="45"/>
      <c r="B1375" s="48"/>
      <c r="J1375" s="4"/>
    </row>
    <row r="1376" ht="15.75" customHeight="1">
      <c r="A1376" s="45"/>
      <c r="B1376" s="48"/>
      <c r="J1376" s="4"/>
    </row>
    <row r="1377" ht="15.75" customHeight="1">
      <c r="A1377" s="45"/>
      <c r="B1377" s="48"/>
      <c r="J1377" s="4"/>
    </row>
    <row r="1378" ht="15.75" customHeight="1">
      <c r="A1378" s="45"/>
      <c r="B1378" s="48"/>
      <c r="J1378" s="4"/>
    </row>
    <row r="1379" ht="15.75" customHeight="1">
      <c r="A1379" s="45"/>
      <c r="B1379" s="48"/>
      <c r="J1379" s="4"/>
    </row>
    <row r="1380" ht="15.75" customHeight="1">
      <c r="A1380" s="45"/>
      <c r="B1380" s="48"/>
      <c r="J1380" s="4"/>
    </row>
    <row r="1381" ht="15.75" customHeight="1">
      <c r="A1381" s="45"/>
      <c r="B1381" s="48"/>
      <c r="J1381" s="4"/>
    </row>
    <row r="1382" ht="15.75" customHeight="1">
      <c r="A1382" s="45"/>
      <c r="B1382" s="48"/>
      <c r="J1382" s="4"/>
    </row>
    <row r="1383" ht="15.75" customHeight="1">
      <c r="A1383" s="45"/>
      <c r="B1383" s="48"/>
      <c r="J1383" s="4"/>
    </row>
    <row r="1384" ht="15.75" customHeight="1">
      <c r="A1384" s="45"/>
      <c r="B1384" s="48"/>
      <c r="J1384" s="4"/>
    </row>
    <row r="1385" ht="15.75" customHeight="1">
      <c r="A1385" s="45"/>
      <c r="B1385" s="48"/>
      <c r="J1385" s="4"/>
    </row>
    <row r="1386" ht="15.75" customHeight="1">
      <c r="A1386" s="45"/>
      <c r="B1386" s="48"/>
      <c r="J1386" s="4"/>
    </row>
    <row r="1387" ht="15.75" customHeight="1">
      <c r="A1387" s="45"/>
      <c r="B1387" s="48"/>
      <c r="J1387" s="4"/>
    </row>
    <row r="1388" ht="15.75" customHeight="1">
      <c r="A1388" s="45"/>
      <c r="B1388" s="48"/>
      <c r="J1388" s="4"/>
    </row>
    <row r="1389" ht="15.75" customHeight="1">
      <c r="A1389" s="45"/>
      <c r="B1389" s="48"/>
      <c r="J1389" s="4"/>
    </row>
    <row r="1390" ht="15.75" customHeight="1">
      <c r="A1390" s="45"/>
      <c r="B1390" s="48"/>
      <c r="J1390" s="4"/>
    </row>
    <row r="1391" ht="15.75" customHeight="1">
      <c r="A1391" s="45"/>
      <c r="B1391" s="48"/>
      <c r="J1391" s="4"/>
    </row>
    <row r="1392" ht="15.75" customHeight="1">
      <c r="A1392" s="45"/>
      <c r="B1392" s="48"/>
      <c r="J1392" s="4"/>
    </row>
    <row r="1393" ht="15.75" customHeight="1">
      <c r="A1393" s="45"/>
      <c r="B1393" s="48"/>
      <c r="J1393" s="4"/>
    </row>
    <row r="1394" ht="15.75" customHeight="1">
      <c r="A1394" s="45"/>
      <c r="B1394" s="48"/>
      <c r="J1394" s="4"/>
    </row>
    <row r="1395" ht="15.75" customHeight="1">
      <c r="A1395" s="45"/>
      <c r="B1395" s="48"/>
      <c r="J1395" s="4"/>
    </row>
    <row r="1396" ht="15.75" customHeight="1">
      <c r="A1396" s="45"/>
      <c r="B1396" s="48"/>
      <c r="J1396" s="4"/>
    </row>
    <row r="1397" ht="15.75" customHeight="1">
      <c r="A1397" s="45"/>
      <c r="B1397" s="48"/>
      <c r="J1397" s="4"/>
    </row>
    <row r="1398" ht="15.75" customHeight="1">
      <c r="A1398" s="45"/>
      <c r="B1398" s="48"/>
      <c r="J1398" s="4"/>
    </row>
    <row r="1399" ht="15.75" customHeight="1">
      <c r="A1399" s="45"/>
      <c r="B1399" s="48"/>
      <c r="J1399" s="4"/>
    </row>
    <row r="1400" ht="15.75" customHeight="1">
      <c r="A1400" s="45"/>
      <c r="B1400" s="48"/>
      <c r="J1400" s="4"/>
    </row>
    <row r="1401" ht="15.75" customHeight="1">
      <c r="A1401" s="45"/>
      <c r="B1401" s="48"/>
      <c r="J1401" s="4"/>
    </row>
    <row r="1402" ht="15.75" customHeight="1">
      <c r="A1402" s="45"/>
      <c r="B1402" s="48"/>
      <c r="J1402" s="4"/>
    </row>
    <row r="1403" ht="15.75" customHeight="1">
      <c r="A1403" s="45"/>
      <c r="B1403" s="48"/>
      <c r="J1403" s="4"/>
    </row>
    <row r="1404" ht="15.75" customHeight="1">
      <c r="A1404" s="45"/>
      <c r="B1404" s="48"/>
      <c r="J1404" s="4"/>
    </row>
    <row r="1405" ht="15.75" customHeight="1">
      <c r="A1405" s="45"/>
      <c r="B1405" s="48"/>
      <c r="J1405" s="4"/>
    </row>
    <row r="1406" ht="15.75" customHeight="1">
      <c r="A1406" s="45"/>
      <c r="B1406" s="48"/>
      <c r="J1406" s="4"/>
    </row>
    <row r="1407" ht="15.75" customHeight="1">
      <c r="A1407" s="45"/>
      <c r="B1407" s="48"/>
      <c r="J1407" s="4"/>
    </row>
    <row r="1408" ht="15.75" customHeight="1">
      <c r="A1408" s="45"/>
      <c r="B1408" s="48"/>
      <c r="J1408" s="4"/>
    </row>
    <row r="1409" ht="15.75" customHeight="1">
      <c r="A1409" s="45"/>
      <c r="B1409" s="48"/>
      <c r="J1409" s="4"/>
    </row>
    <row r="1410" ht="15.75" customHeight="1">
      <c r="A1410" s="45"/>
      <c r="B1410" s="48"/>
      <c r="J1410" s="4"/>
    </row>
    <row r="1411" ht="15.75" customHeight="1">
      <c r="A1411" s="45"/>
      <c r="B1411" s="48"/>
      <c r="J1411" s="4"/>
    </row>
    <row r="1412" ht="15.75" customHeight="1">
      <c r="A1412" s="45"/>
      <c r="B1412" s="48"/>
      <c r="J1412" s="4"/>
    </row>
    <row r="1413" ht="15.75" customHeight="1">
      <c r="A1413" s="45"/>
      <c r="B1413" s="48"/>
      <c r="J1413" s="4"/>
    </row>
    <row r="1414" ht="15.75" customHeight="1">
      <c r="A1414" s="45"/>
      <c r="B1414" s="48"/>
      <c r="J1414" s="4"/>
    </row>
    <row r="1415" ht="15.75" customHeight="1">
      <c r="A1415" s="45"/>
      <c r="B1415" s="48"/>
      <c r="J1415" s="4"/>
    </row>
    <row r="1416" ht="15.75" customHeight="1">
      <c r="A1416" s="45"/>
      <c r="B1416" s="48"/>
      <c r="J1416" s="4"/>
    </row>
    <row r="1417" ht="15.75" customHeight="1">
      <c r="A1417" s="45"/>
      <c r="B1417" s="48"/>
      <c r="J1417" s="4"/>
    </row>
    <row r="1418" ht="15.75" customHeight="1">
      <c r="A1418" s="45"/>
      <c r="B1418" s="48"/>
      <c r="J1418" s="4"/>
    </row>
    <row r="1419" ht="15.75" customHeight="1">
      <c r="A1419" s="45"/>
      <c r="B1419" s="48"/>
      <c r="J1419" s="4"/>
    </row>
    <row r="1420" ht="15.75" customHeight="1">
      <c r="A1420" s="45"/>
      <c r="B1420" s="48"/>
      <c r="J1420" s="4"/>
    </row>
    <row r="1421" ht="15.75" customHeight="1">
      <c r="A1421" s="45"/>
      <c r="B1421" s="48"/>
      <c r="J1421" s="4"/>
    </row>
    <row r="1422" ht="15.75" customHeight="1">
      <c r="A1422" s="45"/>
      <c r="B1422" s="48"/>
      <c r="J1422" s="4"/>
    </row>
    <row r="1423" ht="15.75" customHeight="1">
      <c r="A1423" s="45"/>
      <c r="B1423" s="48"/>
      <c r="J1423" s="4"/>
    </row>
    <row r="1424" ht="15.75" customHeight="1">
      <c r="A1424" s="45"/>
      <c r="B1424" s="48"/>
      <c r="J1424" s="4"/>
    </row>
    <row r="1425" ht="15.75" customHeight="1">
      <c r="A1425" s="45"/>
      <c r="B1425" s="48"/>
      <c r="J1425" s="4"/>
    </row>
    <row r="1426" ht="15.75" customHeight="1">
      <c r="A1426" s="45"/>
      <c r="B1426" s="48"/>
      <c r="J1426" s="4"/>
    </row>
    <row r="1427" ht="15.75" customHeight="1">
      <c r="A1427" s="45"/>
      <c r="B1427" s="48"/>
      <c r="J1427" s="4"/>
    </row>
    <row r="1428" ht="15.75" customHeight="1">
      <c r="A1428" s="45"/>
      <c r="B1428" s="48"/>
      <c r="J1428" s="4"/>
    </row>
    <row r="1429" ht="15.75" customHeight="1">
      <c r="A1429" s="45"/>
      <c r="B1429" s="48"/>
      <c r="J1429" s="4"/>
    </row>
    <row r="1430" ht="15.75" customHeight="1">
      <c r="A1430" s="45"/>
      <c r="B1430" s="48"/>
      <c r="J1430" s="4"/>
    </row>
    <row r="1431" ht="15.75" customHeight="1">
      <c r="A1431" s="45"/>
      <c r="B1431" s="48"/>
      <c r="J1431" s="4"/>
    </row>
    <row r="1432" ht="15.75" customHeight="1">
      <c r="A1432" s="45"/>
      <c r="B1432" s="48"/>
      <c r="J1432" s="4"/>
    </row>
    <row r="1433" ht="15.75" customHeight="1">
      <c r="A1433" s="45"/>
      <c r="B1433" s="48"/>
      <c r="J1433" s="4"/>
    </row>
    <row r="1434" ht="15.75" customHeight="1">
      <c r="A1434" s="45"/>
      <c r="B1434" s="48"/>
      <c r="J1434" s="4"/>
    </row>
    <row r="1435" ht="15.75" customHeight="1">
      <c r="A1435" s="45"/>
      <c r="B1435" s="48"/>
      <c r="J1435" s="4"/>
    </row>
    <row r="1436" ht="15.75" customHeight="1">
      <c r="A1436" s="45"/>
      <c r="B1436" s="48"/>
      <c r="J1436" s="4"/>
    </row>
    <row r="1437" ht="15.75" customHeight="1">
      <c r="A1437" s="45"/>
      <c r="B1437" s="48"/>
      <c r="J1437" s="4"/>
    </row>
    <row r="1438" ht="15.75" customHeight="1">
      <c r="A1438" s="45"/>
      <c r="B1438" s="48"/>
      <c r="J1438" s="4"/>
    </row>
    <row r="1439" ht="15.75" customHeight="1">
      <c r="A1439" s="45"/>
      <c r="B1439" s="48"/>
      <c r="J1439" s="4"/>
    </row>
    <row r="1440" ht="15.75" customHeight="1">
      <c r="A1440" s="45"/>
      <c r="B1440" s="48"/>
      <c r="J1440" s="4"/>
    </row>
    <row r="1441" ht="15.75" customHeight="1">
      <c r="A1441" s="45"/>
      <c r="B1441" s="48"/>
      <c r="J1441" s="4"/>
    </row>
    <row r="1442" ht="15.75" customHeight="1">
      <c r="A1442" s="45"/>
      <c r="B1442" s="48"/>
      <c r="J1442" s="4"/>
    </row>
    <row r="1443" ht="15.75" customHeight="1">
      <c r="A1443" s="45"/>
      <c r="B1443" s="48"/>
      <c r="J1443" s="4"/>
    </row>
    <row r="1444" ht="15.75" customHeight="1">
      <c r="A1444" s="45"/>
      <c r="B1444" s="48"/>
      <c r="J1444" s="4"/>
    </row>
    <row r="1445" ht="15.75" customHeight="1">
      <c r="A1445" s="45"/>
      <c r="B1445" s="48"/>
      <c r="J1445" s="4"/>
    </row>
    <row r="1446" ht="15.75" customHeight="1">
      <c r="A1446" s="45"/>
      <c r="B1446" s="48"/>
      <c r="J1446" s="4"/>
    </row>
    <row r="1447" ht="15.75" customHeight="1">
      <c r="A1447" s="45"/>
      <c r="B1447" s="48"/>
      <c r="J1447" s="4"/>
    </row>
    <row r="1448" ht="15.75" customHeight="1">
      <c r="A1448" s="45"/>
      <c r="B1448" s="48"/>
      <c r="J1448" s="4"/>
    </row>
    <row r="1449" ht="15.75" customHeight="1">
      <c r="A1449" s="45"/>
      <c r="B1449" s="48"/>
      <c r="J1449" s="4"/>
    </row>
    <row r="1450" ht="15.75" customHeight="1">
      <c r="A1450" s="45"/>
      <c r="B1450" s="48"/>
      <c r="J1450" s="4"/>
    </row>
    <row r="1451" ht="15.75" customHeight="1">
      <c r="A1451" s="45"/>
      <c r="B1451" s="48"/>
      <c r="J1451" s="4"/>
    </row>
    <row r="1452" ht="15.75" customHeight="1">
      <c r="A1452" s="45"/>
      <c r="B1452" s="48"/>
      <c r="J1452" s="4"/>
    </row>
    <row r="1453" ht="15.75" customHeight="1">
      <c r="A1453" s="45"/>
      <c r="B1453" s="48"/>
      <c r="J1453" s="4"/>
    </row>
    <row r="1454" ht="15.75" customHeight="1">
      <c r="A1454" s="45"/>
      <c r="B1454" s="48"/>
      <c r="J1454" s="4"/>
    </row>
    <row r="1455" ht="15.75" customHeight="1">
      <c r="A1455" s="45"/>
      <c r="B1455" s="48"/>
      <c r="J1455" s="4"/>
    </row>
    <row r="1456" ht="15.75" customHeight="1">
      <c r="A1456" s="45"/>
      <c r="B1456" s="48"/>
      <c r="J1456" s="4"/>
    </row>
    <row r="1457" ht="15.75" customHeight="1">
      <c r="A1457" s="45"/>
      <c r="B1457" s="48"/>
      <c r="J1457" s="4"/>
    </row>
    <row r="1458" ht="15.75" customHeight="1">
      <c r="A1458" s="45"/>
      <c r="B1458" s="48"/>
      <c r="J1458" s="4"/>
    </row>
    <row r="1459" ht="15.75" customHeight="1">
      <c r="A1459" s="45"/>
      <c r="B1459" s="48"/>
      <c r="J1459" s="4"/>
    </row>
    <row r="1460" ht="15.75" customHeight="1">
      <c r="A1460" s="45"/>
      <c r="B1460" s="48"/>
      <c r="J1460" s="4"/>
    </row>
    <row r="1461" ht="15.75" customHeight="1">
      <c r="A1461" s="45"/>
      <c r="B1461" s="48"/>
      <c r="J1461" s="4"/>
    </row>
    <row r="1462" ht="15.75" customHeight="1">
      <c r="A1462" s="45"/>
      <c r="B1462" s="48"/>
      <c r="J1462" s="4"/>
    </row>
    <row r="1463" ht="15.75" customHeight="1">
      <c r="A1463" s="45"/>
      <c r="B1463" s="48"/>
      <c r="J1463" s="4"/>
    </row>
    <row r="1464" ht="15.75" customHeight="1">
      <c r="A1464" s="45"/>
      <c r="B1464" s="48"/>
      <c r="J1464" s="4"/>
    </row>
    <row r="1465" ht="15.75" customHeight="1">
      <c r="A1465" s="45"/>
      <c r="B1465" s="48"/>
      <c r="J1465" s="4"/>
    </row>
    <row r="1466" ht="15.75" customHeight="1">
      <c r="A1466" s="45"/>
      <c r="B1466" s="48"/>
      <c r="J1466" s="4"/>
    </row>
    <row r="1467" ht="15.75" customHeight="1">
      <c r="A1467" s="45"/>
      <c r="B1467" s="48"/>
      <c r="J1467" s="4"/>
    </row>
    <row r="1468" ht="15.75" customHeight="1">
      <c r="A1468" s="45"/>
      <c r="B1468" s="48"/>
      <c r="J1468" s="4"/>
    </row>
    <row r="1469" ht="15.75" customHeight="1">
      <c r="A1469" s="45"/>
      <c r="B1469" s="48"/>
      <c r="J1469" s="4"/>
    </row>
    <row r="1470" ht="15.75" customHeight="1">
      <c r="A1470" s="45"/>
      <c r="B1470" s="48"/>
      <c r="J1470" s="4"/>
    </row>
    <row r="1471" ht="15.75" customHeight="1">
      <c r="A1471" s="45"/>
      <c r="B1471" s="48"/>
      <c r="J1471" s="4"/>
    </row>
    <row r="1472" ht="15.75" customHeight="1">
      <c r="A1472" s="45"/>
      <c r="B1472" s="48"/>
      <c r="J1472" s="4"/>
    </row>
    <row r="1473" ht="15.75" customHeight="1">
      <c r="A1473" s="45"/>
      <c r="B1473" s="48"/>
      <c r="J1473" s="4"/>
    </row>
    <row r="1474" ht="15.75" customHeight="1">
      <c r="A1474" s="45"/>
      <c r="B1474" s="48"/>
      <c r="J1474" s="4"/>
    </row>
    <row r="1475" ht="15.75" customHeight="1">
      <c r="A1475" s="45"/>
      <c r="B1475" s="48"/>
      <c r="J1475" s="4"/>
    </row>
    <row r="1476" ht="15.75" customHeight="1">
      <c r="A1476" s="45"/>
      <c r="B1476" s="48"/>
      <c r="J1476" s="4"/>
    </row>
    <row r="1477" ht="15.75" customHeight="1">
      <c r="A1477" s="45"/>
      <c r="B1477" s="48"/>
      <c r="J1477" s="4"/>
    </row>
    <row r="1478" ht="15.75" customHeight="1">
      <c r="A1478" s="45"/>
      <c r="B1478" s="48"/>
      <c r="J1478" s="4"/>
    </row>
    <row r="1479" ht="15.75" customHeight="1">
      <c r="A1479" s="45"/>
      <c r="B1479" s="48"/>
      <c r="J1479" s="4"/>
    </row>
    <row r="1480" ht="15.75" customHeight="1">
      <c r="A1480" s="45"/>
      <c r="B1480" s="48"/>
      <c r="J1480" s="4"/>
    </row>
    <row r="1481" ht="15.75" customHeight="1">
      <c r="A1481" s="45"/>
      <c r="B1481" s="48"/>
      <c r="J1481" s="4"/>
    </row>
    <row r="1482" ht="15.75" customHeight="1">
      <c r="A1482" s="45"/>
      <c r="B1482" s="48"/>
      <c r="J1482" s="4"/>
    </row>
    <row r="1483" ht="15.75" customHeight="1">
      <c r="A1483" s="45"/>
      <c r="B1483" s="48"/>
      <c r="J1483" s="4"/>
    </row>
    <row r="1484" ht="15.75" customHeight="1">
      <c r="A1484" s="45"/>
      <c r="B1484" s="48"/>
      <c r="J1484" s="4"/>
    </row>
    <row r="1485" ht="15.75" customHeight="1">
      <c r="A1485" s="45"/>
      <c r="B1485" s="48"/>
      <c r="J1485" s="4"/>
    </row>
    <row r="1486" ht="15.75" customHeight="1">
      <c r="A1486" s="45"/>
      <c r="B1486" s="48"/>
      <c r="J1486" s="4"/>
    </row>
    <row r="1487" ht="15.75" customHeight="1">
      <c r="A1487" s="45"/>
      <c r="B1487" s="48"/>
      <c r="J1487" s="4"/>
    </row>
    <row r="1488" ht="15.75" customHeight="1">
      <c r="A1488" s="45"/>
      <c r="B1488" s="48"/>
      <c r="J1488" s="4"/>
    </row>
    <row r="1489" ht="15.75" customHeight="1">
      <c r="A1489" s="45"/>
      <c r="B1489" s="48"/>
      <c r="J1489" s="4"/>
    </row>
    <row r="1490" ht="15.75" customHeight="1">
      <c r="A1490" s="45"/>
      <c r="B1490" s="48"/>
      <c r="J1490" s="4"/>
    </row>
    <row r="1491" ht="15.75" customHeight="1">
      <c r="A1491" s="45"/>
      <c r="B1491" s="48"/>
      <c r="J1491" s="4"/>
    </row>
    <row r="1492" ht="15.75" customHeight="1">
      <c r="A1492" s="45"/>
      <c r="B1492" s="48"/>
      <c r="J1492" s="4"/>
    </row>
    <row r="1493" ht="15.75" customHeight="1">
      <c r="A1493" s="45"/>
      <c r="B1493" s="48"/>
      <c r="J1493" s="4"/>
    </row>
    <row r="1494" ht="15.75" customHeight="1">
      <c r="A1494" s="45"/>
      <c r="B1494" s="48"/>
      <c r="J1494" s="4"/>
    </row>
    <row r="1495" ht="15.75" customHeight="1">
      <c r="A1495" s="45"/>
      <c r="B1495" s="48"/>
      <c r="J1495" s="4"/>
    </row>
    <row r="1496" ht="15.75" customHeight="1">
      <c r="A1496" s="45"/>
      <c r="B1496" s="48"/>
      <c r="J1496" s="4"/>
    </row>
    <row r="1497" ht="15.75" customHeight="1">
      <c r="A1497" s="45"/>
      <c r="B1497" s="48"/>
      <c r="J1497" s="4"/>
    </row>
    <row r="1498" ht="15.75" customHeight="1">
      <c r="A1498" s="45"/>
      <c r="B1498" s="48"/>
      <c r="J1498" s="4"/>
    </row>
    <row r="1499" ht="15.75" customHeight="1">
      <c r="A1499" s="45"/>
      <c r="B1499" s="48"/>
      <c r="J1499" s="4"/>
    </row>
    <row r="1500" ht="15.75" customHeight="1">
      <c r="A1500" s="45"/>
      <c r="B1500" s="48"/>
      <c r="J1500" s="4"/>
    </row>
    <row r="1501" ht="15.75" customHeight="1">
      <c r="A1501" s="45"/>
      <c r="B1501" s="48"/>
      <c r="J1501" s="4"/>
    </row>
    <row r="1502" ht="15.75" customHeight="1">
      <c r="A1502" s="45"/>
      <c r="B1502" s="48"/>
      <c r="J1502" s="4"/>
    </row>
    <row r="1503" ht="15.75" customHeight="1">
      <c r="A1503" s="45"/>
      <c r="B1503" s="48"/>
      <c r="J1503" s="4"/>
    </row>
    <row r="1504" ht="15.75" customHeight="1">
      <c r="A1504" s="45"/>
      <c r="B1504" s="48"/>
      <c r="J1504" s="4"/>
    </row>
    <row r="1505" ht="15.75" customHeight="1">
      <c r="A1505" s="45"/>
      <c r="B1505" s="48"/>
      <c r="J1505" s="4"/>
    </row>
    <row r="1506" ht="15.75" customHeight="1">
      <c r="A1506" s="45"/>
      <c r="B1506" s="48"/>
      <c r="J1506" s="4"/>
    </row>
    <row r="1507" ht="15.75" customHeight="1">
      <c r="A1507" s="45"/>
      <c r="B1507" s="48"/>
      <c r="J1507" s="4"/>
    </row>
    <row r="1508" ht="15.75" customHeight="1">
      <c r="A1508" s="45"/>
      <c r="B1508" s="48"/>
      <c r="J1508" s="4"/>
    </row>
    <row r="1509" ht="15.75" customHeight="1">
      <c r="A1509" s="45"/>
      <c r="B1509" s="48"/>
      <c r="J1509" s="4"/>
    </row>
    <row r="1510" ht="15.75" customHeight="1">
      <c r="A1510" s="45"/>
      <c r="B1510" s="48"/>
      <c r="J1510" s="4"/>
    </row>
    <row r="1511" ht="15.75" customHeight="1">
      <c r="A1511" s="45"/>
      <c r="B1511" s="48"/>
      <c r="J1511" s="4"/>
    </row>
    <row r="1512" ht="15.75" customHeight="1">
      <c r="A1512" s="45"/>
      <c r="B1512" s="48"/>
      <c r="J1512" s="4"/>
    </row>
    <row r="1513" ht="15.75" customHeight="1">
      <c r="A1513" s="45"/>
      <c r="B1513" s="48"/>
      <c r="J1513" s="4"/>
    </row>
    <row r="1514" ht="15.75" customHeight="1">
      <c r="A1514" s="45"/>
      <c r="B1514" s="48"/>
      <c r="J1514" s="4"/>
    </row>
    <row r="1515" ht="15.75" customHeight="1">
      <c r="A1515" s="45"/>
      <c r="B1515" s="48"/>
      <c r="J1515" s="4"/>
    </row>
    <row r="1516" ht="15.75" customHeight="1">
      <c r="A1516" s="45"/>
      <c r="B1516" s="48"/>
      <c r="J1516" s="4"/>
    </row>
    <row r="1517" ht="15.75" customHeight="1">
      <c r="A1517" s="45"/>
      <c r="B1517" s="48"/>
      <c r="J1517" s="4"/>
    </row>
    <row r="1518" ht="15.75" customHeight="1">
      <c r="A1518" s="45"/>
      <c r="B1518" s="48"/>
      <c r="J1518" s="4"/>
    </row>
    <row r="1519" ht="15.75" customHeight="1">
      <c r="A1519" s="45"/>
      <c r="B1519" s="48"/>
      <c r="J1519" s="4"/>
    </row>
    <row r="1520" ht="15.75" customHeight="1">
      <c r="A1520" s="45"/>
      <c r="B1520" s="48"/>
      <c r="J1520" s="4"/>
    </row>
    <row r="1521" ht="15.75" customHeight="1">
      <c r="A1521" s="45"/>
      <c r="B1521" s="48"/>
      <c r="J1521" s="4"/>
    </row>
    <row r="1522" ht="15.75" customHeight="1">
      <c r="A1522" s="45"/>
      <c r="B1522" s="48"/>
      <c r="J1522" s="4"/>
    </row>
    <row r="1523" ht="15.75" customHeight="1">
      <c r="A1523" s="45"/>
      <c r="B1523" s="48"/>
      <c r="J1523" s="4"/>
    </row>
    <row r="1524" ht="15.75" customHeight="1">
      <c r="A1524" s="45"/>
      <c r="B1524" s="48"/>
      <c r="J1524" s="4"/>
    </row>
    <row r="1525" ht="15.75" customHeight="1">
      <c r="A1525" s="45"/>
      <c r="B1525" s="48"/>
      <c r="J1525" s="4"/>
    </row>
    <row r="1526" ht="15.75" customHeight="1">
      <c r="A1526" s="45"/>
      <c r="B1526" s="48"/>
      <c r="J1526" s="4"/>
    </row>
    <row r="1527" ht="15.75" customHeight="1">
      <c r="A1527" s="45"/>
      <c r="B1527" s="48"/>
      <c r="J1527" s="4"/>
    </row>
    <row r="1528" ht="15.75" customHeight="1">
      <c r="A1528" s="45"/>
      <c r="B1528" s="48"/>
      <c r="J1528" s="4"/>
    </row>
    <row r="1529" ht="15.75" customHeight="1">
      <c r="A1529" s="45"/>
      <c r="B1529" s="48"/>
      <c r="J1529" s="4"/>
    </row>
    <row r="1530" ht="15.75" customHeight="1">
      <c r="A1530" s="45"/>
      <c r="B1530" s="48"/>
      <c r="J1530" s="4"/>
    </row>
    <row r="1531" ht="15.75" customHeight="1">
      <c r="A1531" s="45"/>
      <c r="B1531" s="48"/>
      <c r="J1531" s="4"/>
    </row>
    <row r="1532" ht="15.75" customHeight="1">
      <c r="A1532" s="45"/>
      <c r="B1532" s="48"/>
      <c r="J1532" s="4"/>
    </row>
    <row r="1533" ht="15.75" customHeight="1">
      <c r="A1533" s="45"/>
      <c r="B1533" s="48"/>
      <c r="J1533" s="4"/>
    </row>
    <row r="1534" ht="15.75" customHeight="1">
      <c r="A1534" s="45"/>
      <c r="B1534" s="48"/>
      <c r="J1534" s="4"/>
    </row>
    <row r="1535" ht="15.75" customHeight="1">
      <c r="A1535" s="45"/>
      <c r="B1535" s="48"/>
      <c r="J1535" s="4"/>
    </row>
    <row r="1536" ht="15.75" customHeight="1">
      <c r="A1536" s="45"/>
      <c r="B1536" s="48"/>
      <c r="J1536" s="4"/>
    </row>
    <row r="1537" ht="15.75" customHeight="1">
      <c r="A1537" s="45"/>
      <c r="B1537" s="48"/>
      <c r="J1537" s="4"/>
    </row>
    <row r="1538" ht="15.75" customHeight="1">
      <c r="A1538" s="45"/>
      <c r="B1538" s="48"/>
      <c r="J1538" s="4"/>
    </row>
    <row r="1539" ht="15.75" customHeight="1">
      <c r="A1539" s="45"/>
      <c r="B1539" s="48"/>
      <c r="J1539" s="4"/>
    </row>
    <row r="1540" ht="15.75" customHeight="1">
      <c r="A1540" s="45"/>
      <c r="B1540" s="48"/>
      <c r="J1540" s="4"/>
    </row>
    <row r="1541" ht="15.75" customHeight="1">
      <c r="A1541" s="45"/>
      <c r="B1541" s="48"/>
      <c r="J1541" s="4"/>
    </row>
    <row r="1542" ht="15.75" customHeight="1">
      <c r="A1542" s="45"/>
      <c r="B1542" s="48"/>
      <c r="J1542" s="4"/>
    </row>
    <row r="1543" ht="15.75" customHeight="1">
      <c r="A1543" s="45"/>
      <c r="B1543" s="48"/>
      <c r="J1543" s="4"/>
    </row>
    <row r="1544" ht="15.75" customHeight="1">
      <c r="A1544" s="45"/>
      <c r="B1544" s="48"/>
      <c r="J1544" s="4"/>
    </row>
    <row r="1545" ht="15.75" customHeight="1">
      <c r="A1545" s="45"/>
      <c r="B1545" s="48"/>
      <c r="J1545" s="4"/>
    </row>
    <row r="1546" ht="15.75" customHeight="1">
      <c r="A1546" s="45"/>
      <c r="B1546" s="48"/>
      <c r="J1546" s="4"/>
    </row>
    <row r="1547" ht="15.75" customHeight="1">
      <c r="A1547" s="45"/>
      <c r="B1547" s="48"/>
      <c r="J1547" s="4"/>
    </row>
    <row r="1548" ht="15.75" customHeight="1">
      <c r="A1548" s="45"/>
      <c r="B1548" s="48"/>
      <c r="J1548" s="4"/>
    </row>
    <row r="1549" ht="15.75" customHeight="1">
      <c r="A1549" s="45"/>
      <c r="B1549" s="48"/>
      <c r="J1549" s="4"/>
    </row>
    <row r="1550" ht="15.75" customHeight="1">
      <c r="A1550" s="45"/>
      <c r="B1550" s="48"/>
      <c r="J1550" s="4"/>
    </row>
    <row r="1551" ht="15.75" customHeight="1">
      <c r="A1551" s="45"/>
      <c r="B1551" s="48"/>
      <c r="J1551" s="4"/>
    </row>
    <row r="1552" ht="15.75" customHeight="1">
      <c r="A1552" s="45"/>
      <c r="B1552" s="48"/>
      <c r="J1552" s="4"/>
    </row>
    <row r="1553" ht="15.75" customHeight="1">
      <c r="A1553" s="45"/>
      <c r="B1553" s="48"/>
      <c r="J1553" s="4"/>
    </row>
    <row r="1554" ht="15.75" customHeight="1">
      <c r="A1554" s="45"/>
      <c r="B1554" s="48"/>
      <c r="J1554" s="4"/>
    </row>
    <row r="1555" ht="15.75" customHeight="1">
      <c r="A1555" s="45"/>
      <c r="B1555" s="48"/>
      <c r="J1555" s="4"/>
    </row>
    <row r="1556" ht="15.75" customHeight="1">
      <c r="A1556" s="45"/>
      <c r="B1556" s="48"/>
      <c r="J1556" s="4"/>
    </row>
    <row r="1557" ht="15.75" customHeight="1">
      <c r="A1557" s="45"/>
      <c r="B1557" s="48"/>
      <c r="J1557" s="4"/>
    </row>
    <row r="1558" ht="15.75" customHeight="1">
      <c r="A1558" s="45"/>
      <c r="B1558" s="48"/>
      <c r="J1558" s="4"/>
    </row>
    <row r="1559" ht="15.75" customHeight="1">
      <c r="A1559" s="45"/>
      <c r="B1559" s="48"/>
      <c r="J1559" s="4"/>
    </row>
    <row r="1560" ht="15.75" customHeight="1">
      <c r="A1560" s="45"/>
      <c r="B1560" s="48"/>
      <c r="J1560" s="4"/>
    </row>
    <row r="1561" ht="15.75" customHeight="1">
      <c r="A1561" s="45"/>
      <c r="B1561" s="48"/>
      <c r="J1561" s="4"/>
    </row>
    <row r="1562" ht="15.75" customHeight="1">
      <c r="A1562" s="45"/>
      <c r="B1562" s="48"/>
      <c r="J1562" s="4"/>
    </row>
    <row r="1563" ht="15.75" customHeight="1">
      <c r="A1563" s="45"/>
      <c r="B1563" s="48"/>
      <c r="J1563" s="4"/>
    </row>
    <row r="1564" ht="15.75" customHeight="1">
      <c r="A1564" s="45"/>
      <c r="B1564" s="48"/>
      <c r="J1564" s="4"/>
    </row>
    <row r="1565" ht="15.75" customHeight="1">
      <c r="A1565" s="45"/>
      <c r="B1565" s="48"/>
      <c r="J1565" s="4"/>
    </row>
    <row r="1566" ht="15.75" customHeight="1">
      <c r="A1566" s="45"/>
      <c r="B1566" s="48"/>
      <c r="J1566" s="4"/>
    </row>
    <row r="1567" ht="15.75" customHeight="1">
      <c r="A1567" s="45"/>
      <c r="B1567" s="48"/>
      <c r="J1567" s="4"/>
    </row>
    <row r="1568" ht="15.75" customHeight="1">
      <c r="A1568" s="45"/>
      <c r="B1568" s="48"/>
      <c r="J1568" s="4"/>
    </row>
    <row r="1569" ht="15.75" customHeight="1">
      <c r="A1569" s="45"/>
      <c r="B1569" s="48"/>
      <c r="J1569" s="4"/>
    </row>
    <row r="1570" ht="15.75" customHeight="1">
      <c r="A1570" s="45"/>
      <c r="B1570" s="48"/>
      <c r="J1570" s="4"/>
    </row>
    <row r="1571" ht="15.75" customHeight="1">
      <c r="A1571" s="45"/>
      <c r="B1571" s="48"/>
      <c r="J1571" s="4"/>
    </row>
    <row r="1572" ht="15.75" customHeight="1">
      <c r="A1572" s="45"/>
      <c r="B1572" s="48"/>
      <c r="J1572" s="4"/>
    </row>
    <row r="1573" ht="15.75" customHeight="1">
      <c r="A1573" s="45"/>
      <c r="B1573" s="48"/>
      <c r="J1573" s="4"/>
    </row>
    <row r="1574" ht="15.75" customHeight="1">
      <c r="A1574" s="45"/>
      <c r="B1574" s="48"/>
      <c r="J1574" s="4"/>
    </row>
    <row r="1575" ht="15.75" customHeight="1">
      <c r="A1575" s="45"/>
      <c r="B1575" s="48"/>
      <c r="J1575" s="4"/>
    </row>
    <row r="1576" ht="15.75" customHeight="1">
      <c r="A1576" s="45"/>
      <c r="B1576" s="48"/>
      <c r="J1576" s="4"/>
    </row>
    <row r="1577" ht="15.75" customHeight="1">
      <c r="A1577" s="45"/>
      <c r="B1577" s="48"/>
      <c r="J1577" s="4"/>
    </row>
    <row r="1578" ht="15.75" customHeight="1">
      <c r="A1578" s="45"/>
      <c r="B1578" s="48"/>
      <c r="J1578" s="4"/>
    </row>
    <row r="1579" ht="15.75" customHeight="1">
      <c r="A1579" s="45"/>
      <c r="B1579" s="48"/>
      <c r="J1579" s="4"/>
    </row>
    <row r="1580" ht="15.75" customHeight="1">
      <c r="A1580" s="45"/>
      <c r="B1580" s="48"/>
      <c r="J1580" s="4"/>
    </row>
    <row r="1581" ht="15.75" customHeight="1">
      <c r="A1581" s="45"/>
      <c r="B1581" s="48"/>
      <c r="J1581" s="4"/>
    </row>
    <row r="1582" ht="15.75" customHeight="1">
      <c r="A1582" s="45"/>
      <c r="B1582" s="48"/>
      <c r="J1582" s="4"/>
    </row>
    <row r="1583" ht="15.75" customHeight="1">
      <c r="A1583" s="45"/>
      <c r="B1583" s="48"/>
      <c r="J1583" s="4"/>
    </row>
    <row r="1584" ht="15.75" customHeight="1">
      <c r="A1584" s="45"/>
      <c r="B1584" s="48"/>
      <c r="J1584" s="4"/>
    </row>
    <row r="1585" ht="15.75" customHeight="1">
      <c r="A1585" s="45"/>
      <c r="B1585" s="48"/>
      <c r="J1585" s="4"/>
    </row>
    <row r="1586" ht="15.75" customHeight="1">
      <c r="A1586" s="45"/>
      <c r="B1586" s="48"/>
      <c r="J1586" s="4"/>
    </row>
    <row r="1587" ht="15.75" customHeight="1">
      <c r="A1587" s="45"/>
      <c r="B1587" s="48"/>
      <c r="J1587" s="4"/>
    </row>
    <row r="1588" ht="15.75" customHeight="1">
      <c r="A1588" s="45"/>
      <c r="B1588" s="48"/>
      <c r="J1588" s="4"/>
    </row>
    <row r="1589" ht="15.75" customHeight="1">
      <c r="A1589" s="45"/>
      <c r="B1589" s="48"/>
      <c r="J1589" s="4"/>
    </row>
    <row r="1590" ht="15.75" customHeight="1">
      <c r="A1590" s="45"/>
      <c r="B1590" s="48"/>
      <c r="J1590" s="4"/>
    </row>
    <row r="1591" ht="15.75" customHeight="1">
      <c r="A1591" s="45"/>
      <c r="B1591" s="48"/>
      <c r="J1591" s="4"/>
    </row>
    <row r="1592" ht="15.75" customHeight="1">
      <c r="A1592" s="45"/>
      <c r="B1592" s="48"/>
      <c r="J1592" s="4"/>
    </row>
    <row r="1593" ht="15.75" customHeight="1">
      <c r="A1593" s="45"/>
      <c r="B1593" s="48"/>
      <c r="J1593" s="4"/>
    </row>
    <row r="1594" ht="15.75" customHeight="1">
      <c r="A1594" s="45"/>
      <c r="B1594" s="48"/>
      <c r="J1594" s="4"/>
    </row>
    <row r="1595" ht="15.75" customHeight="1">
      <c r="A1595" s="45"/>
      <c r="B1595" s="48"/>
      <c r="J1595" s="4"/>
    </row>
    <row r="1596" ht="15.75" customHeight="1">
      <c r="A1596" s="45"/>
      <c r="B1596" s="48"/>
      <c r="J1596" s="4"/>
    </row>
    <row r="1597" ht="15.75" customHeight="1">
      <c r="A1597" s="45"/>
      <c r="B1597" s="48"/>
      <c r="J1597" s="4"/>
    </row>
    <row r="1598" ht="15.75" customHeight="1">
      <c r="A1598" s="45"/>
      <c r="B1598" s="48"/>
      <c r="J1598" s="4"/>
    </row>
    <row r="1599" ht="15.75" customHeight="1">
      <c r="A1599" s="45"/>
      <c r="B1599" s="48"/>
      <c r="J1599" s="4"/>
    </row>
    <row r="1600" ht="15.75" customHeight="1">
      <c r="A1600" s="45"/>
      <c r="B1600" s="48"/>
      <c r="J1600" s="4"/>
    </row>
    <row r="1601" ht="15.75" customHeight="1">
      <c r="A1601" s="45"/>
      <c r="B1601" s="48"/>
      <c r="J1601" s="4"/>
    </row>
    <row r="1602" ht="15.75" customHeight="1">
      <c r="A1602" s="45"/>
      <c r="B1602" s="48"/>
      <c r="J1602" s="4"/>
    </row>
    <row r="1603" ht="15.75" customHeight="1">
      <c r="A1603" s="45"/>
      <c r="B1603" s="48"/>
      <c r="J1603" s="4"/>
    </row>
    <row r="1604" ht="15.75" customHeight="1">
      <c r="A1604" s="45"/>
      <c r="B1604" s="48"/>
      <c r="J1604" s="4"/>
    </row>
    <row r="1605" ht="15.75" customHeight="1">
      <c r="A1605" s="45"/>
      <c r="B1605" s="48"/>
      <c r="J1605" s="4"/>
    </row>
    <row r="1606" ht="15.75" customHeight="1">
      <c r="A1606" s="45"/>
      <c r="B1606" s="48"/>
      <c r="J1606" s="4"/>
    </row>
    <row r="1607" ht="15.75" customHeight="1">
      <c r="A1607" s="45"/>
      <c r="B1607" s="48"/>
      <c r="J1607" s="4"/>
    </row>
    <row r="1608" ht="15.75" customHeight="1">
      <c r="A1608" s="45"/>
      <c r="B1608" s="48"/>
      <c r="J1608" s="4"/>
    </row>
    <row r="1609" ht="15.75" customHeight="1">
      <c r="A1609" s="45"/>
      <c r="B1609" s="48"/>
      <c r="J1609" s="4"/>
    </row>
    <row r="1610" ht="15.75" customHeight="1">
      <c r="A1610" s="45"/>
      <c r="B1610" s="48"/>
      <c r="J1610" s="4"/>
    </row>
    <row r="1611" ht="15.75" customHeight="1">
      <c r="A1611" s="45"/>
      <c r="B1611" s="48"/>
      <c r="J1611" s="4"/>
    </row>
    <row r="1612" ht="15.75" customHeight="1">
      <c r="A1612" s="45"/>
      <c r="B1612" s="48"/>
      <c r="J1612" s="4"/>
    </row>
    <row r="1613" ht="15.75" customHeight="1">
      <c r="A1613" s="45"/>
      <c r="B1613" s="48"/>
      <c r="J1613" s="4"/>
    </row>
    <row r="1614" ht="15.75" customHeight="1">
      <c r="A1614" s="45"/>
      <c r="B1614" s="48"/>
      <c r="J1614" s="4"/>
    </row>
    <row r="1615" ht="15.75" customHeight="1">
      <c r="A1615" s="45"/>
      <c r="B1615" s="48"/>
      <c r="J1615" s="4"/>
    </row>
    <row r="1616" ht="15.75" customHeight="1">
      <c r="A1616" s="45"/>
      <c r="B1616" s="48"/>
      <c r="J1616" s="4"/>
    </row>
    <row r="1617" ht="15.75" customHeight="1">
      <c r="A1617" s="45"/>
      <c r="B1617" s="48"/>
      <c r="J1617" s="4"/>
    </row>
    <row r="1618" ht="15.75" customHeight="1">
      <c r="A1618" s="45"/>
      <c r="B1618" s="48"/>
      <c r="J1618" s="4"/>
    </row>
    <row r="1619" ht="15.75" customHeight="1">
      <c r="A1619" s="45"/>
      <c r="B1619" s="48"/>
      <c r="J1619" s="4"/>
    </row>
    <row r="1620" ht="15.75" customHeight="1">
      <c r="A1620" s="45"/>
      <c r="B1620" s="48"/>
      <c r="J1620" s="4"/>
    </row>
    <row r="1621" ht="15.75" customHeight="1">
      <c r="A1621" s="45"/>
      <c r="B1621" s="48"/>
      <c r="J1621" s="4"/>
    </row>
    <row r="1622" ht="15.75" customHeight="1">
      <c r="A1622" s="45"/>
      <c r="B1622" s="48"/>
      <c r="J1622" s="4"/>
    </row>
    <row r="1623" ht="15.75" customHeight="1">
      <c r="A1623" s="45"/>
      <c r="B1623" s="48"/>
      <c r="J1623" s="4"/>
    </row>
    <row r="1624" ht="15.75" customHeight="1">
      <c r="A1624" s="45"/>
      <c r="B1624" s="48"/>
      <c r="J1624" s="4"/>
    </row>
    <row r="1625" ht="15.75" customHeight="1">
      <c r="A1625" s="45"/>
      <c r="B1625" s="48"/>
      <c r="J1625" s="4"/>
    </row>
    <row r="1626" ht="15.75" customHeight="1">
      <c r="A1626" s="45"/>
      <c r="B1626" s="48"/>
      <c r="J1626" s="4"/>
    </row>
    <row r="1627" ht="15.75" customHeight="1">
      <c r="A1627" s="45"/>
      <c r="B1627" s="48"/>
      <c r="J1627" s="4"/>
    </row>
    <row r="1628" ht="15.75" customHeight="1">
      <c r="A1628" s="45"/>
      <c r="B1628" s="48"/>
      <c r="J1628" s="4"/>
    </row>
    <row r="1629" ht="15.75" customHeight="1">
      <c r="A1629" s="45"/>
      <c r="B1629" s="48"/>
      <c r="J1629" s="4"/>
    </row>
    <row r="1630" ht="15.75" customHeight="1">
      <c r="A1630" s="45"/>
      <c r="B1630" s="48"/>
      <c r="J1630" s="4"/>
    </row>
    <row r="1631" ht="15.75" customHeight="1">
      <c r="A1631" s="45"/>
      <c r="B1631" s="48"/>
      <c r="J1631" s="4"/>
    </row>
    <row r="1632" ht="15.75" customHeight="1">
      <c r="A1632" s="45"/>
      <c r="B1632" s="48"/>
      <c r="J1632" s="4"/>
    </row>
    <row r="1633" ht="15.75" customHeight="1">
      <c r="A1633" s="45"/>
      <c r="B1633" s="48"/>
      <c r="J1633" s="4"/>
    </row>
    <row r="1634" ht="15.75" customHeight="1">
      <c r="A1634" s="45"/>
      <c r="B1634" s="48"/>
      <c r="J1634" s="4"/>
    </row>
    <row r="1635" ht="15.75" customHeight="1">
      <c r="A1635" s="45"/>
      <c r="B1635" s="48"/>
      <c r="J1635" s="4"/>
    </row>
    <row r="1636" ht="15.75" customHeight="1">
      <c r="A1636" s="45"/>
      <c r="B1636" s="48"/>
      <c r="J1636" s="4"/>
    </row>
    <row r="1637" ht="15.75" customHeight="1">
      <c r="A1637" s="45"/>
      <c r="B1637" s="48"/>
      <c r="J1637" s="4"/>
    </row>
    <row r="1638" ht="15.75" customHeight="1">
      <c r="A1638" s="45"/>
      <c r="B1638" s="48"/>
      <c r="J1638" s="4"/>
    </row>
    <row r="1639" ht="15.75" customHeight="1">
      <c r="A1639" s="45"/>
      <c r="B1639" s="48"/>
      <c r="J1639" s="4"/>
    </row>
    <row r="1640" ht="15.75" customHeight="1">
      <c r="A1640" s="45"/>
      <c r="B1640" s="48"/>
      <c r="J1640" s="4"/>
    </row>
    <row r="1641" ht="15.75" customHeight="1">
      <c r="A1641" s="45"/>
      <c r="B1641" s="48"/>
      <c r="J1641" s="4"/>
    </row>
    <row r="1642" ht="15.75" customHeight="1">
      <c r="A1642" s="45"/>
      <c r="B1642" s="48"/>
      <c r="J1642" s="4"/>
    </row>
    <row r="1643" ht="15.75" customHeight="1">
      <c r="A1643" s="45"/>
      <c r="B1643" s="48"/>
      <c r="J1643" s="4"/>
    </row>
    <row r="1644" ht="15.75" customHeight="1">
      <c r="A1644" s="45"/>
      <c r="B1644" s="48"/>
      <c r="J1644" s="4"/>
    </row>
    <row r="1645" ht="15.75" customHeight="1">
      <c r="A1645" s="45"/>
      <c r="B1645" s="48"/>
      <c r="J1645" s="4"/>
    </row>
    <row r="1646" ht="15.75" customHeight="1">
      <c r="A1646" s="45"/>
      <c r="B1646" s="48"/>
      <c r="J1646" s="4"/>
    </row>
    <row r="1647" ht="15.75" customHeight="1">
      <c r="A1647" s="45"/>
      <c r="B1647" s="48"/>
      <c r="J1647" s="4"/>
    </row>
    <row r="1648" ht="15.75" customHeight="1">
      <c r="A1648" s="45"/>
      <c r="B1648" s="48"/>
      <c r="J1648" s="4"/>
    </row>
    <row r="1649" ht="15.75" customHeight="1">
      <c r="A1649" s="45"/>
      <c r="B1649" s="48"/>
      <c r="J1649" s="4"/>
    </row>
    <row r="1650" ht="15.75" customHeight="1">
      <c r="A1650" s="45"/>
      <c r="B1650" s="48"/>
      <c r="J1650" s="4"/>
    </row>
    <row r="1651" ht="15.75" customHeight="1">
      <c r="A1651" s="45"/>
      <c r="B1651" s="48"/>
      <c r="J1651" s="4"/>
    </row>
    <row r="1652" ht="15.75" customHeight="1">
      <c r="A1652" s="45"/>
      <c r="B1652" s="48"/>
      <c r="J1652" s="4"/>
    </row>
    <row r="1653" ht="15.75" customHeight="1">
      <c r="A1653" s="45"/>
      <c r="B1653" s="48"/>
      <c r="J1653" s="4"/>
    </row>
    <row r="1654" ht="15.75" customHeight="1">
      <c r="A1654" s="45"/>
      <c r="B1654" s="48"/>
      <c r="J1654" s="4"/>
    </row>
    <row r="1655" ht="15.75" customHeight="1">
      <c r="A1655" s="45"/>
      <c r="B1655" s="48"/>
      <c r="J1655" s="4"/>
    </row>
    <row r="1656" ht="15.75" customHeight="1">
      <c r="A1656" s="45"/>
      <c r="B1656" s="48"/>
      <c r="J1656" s="4"/>
    </row>
    <row r="1657" ht="15.75" customHeight="1">
      <c r="A1657" s="45"/>
      <c r="B1657" s="48"/>
      <c r="J1657" s="4"/>
    </row>
    <row r="1658" ht="15.75" customHeight="1">
      <c r="A1658" s="45"/>
      <c r="B1658" s="48"/>
      <c r="J1658" s="4"/>
    </row>
    <row r="1659" ht="15.75" customHeight="1">
      <c r="A1659" s="45"/>
      <c r="B1659" s="48"/>
      <c r="J1659" s="4"/>
    </row>
    <row r="1660" ht="15.75" customHeight="1">
      <c r="A1660" s="45"/>
      <c r="B1660" s="48"/>
      <c r="J1660" s="4"/>
    </row>
    <row r="1661" ht="15.75" customHeight="1">
      <c r="A1661" s="45"/>
      <c r="B1661" s="48"/>
      <c r="J1661" s="4"/>
    </row>
    <row r="1662" ht="15.75" customHeight="1">
      <c r="A1662" s="45"/>
      <c r="B1662" s="48"/>
      <c r="J1662" s="4"/>
    </row>
    <row r="1663" ht="15.75" customHeight="1">
      <c r="A1663" s="45"/>
      <c r="B1663" s="48"/>
      <c r="J1663" s="4"/>
    </row>
    <row r="1664" ht="15.75" customHeight="1">
      <c r="A1664" s="45"/>
      <c r="B1664" s="48"/>
      <c r="J1664" s="4"/>
    </row>
    <row r="1665" ht="15.75" customHeight="1">
      <c r="A1665" s="45"/>
      <c r="B1665" s="48"/>
      <c r="J1665" s="4"/>
    </row>
    <row r="1666" ht="15.75" customHeight="1">
      <c r="A1666" s="45"/>
      <c r="B1666" s="48"/>
      <c r="J1666" s="4"/>
    </row>
    <row r="1667" ht="15.75" customHeight="1">
      <c r="A1667" s="45"/>
      <c r="B1667" s="48"/>
      <c r="J1667" s="4"/>
    </row>
  </sheetData>
  <dataValidations>
    <dataValidation type="list" allowBlank="1" showErrorMessage="1" sqref="B3 J2:J1667">
      <formula1>'학생목록'!$A$2:$A1667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3.71"/>
    <col customWidth="1" min="4" max="5" width="18.71"/>
    <col customWidth="1" min="6" max="6" width="20.0"/>
    <col customWidth="1" hidden="1" min="7" max="8" width="17.86"/>
    <col customWidth="1" min="9" max="9" width="12.86"/>
    <col customWidth="1" hidden="1" min="10" max="11" width="17.86"/>
    <col customWidth="1" min="12" max="12" width="12.86"/>
    <col customWidth="1" hidden="1" min="13" max="14" width="17.86"/>
    <col customWidth="1" min="15" max="15" width="12.86"/>
    <col customWidth="1" hidden="1" min="16" max="17" width="17.86"/>
    <col customWidth="1" min="18" max="18" width="12.86"/>
    <col customWidth="1" hidden="1" min="19" max="19" width="18.29"/>
    <col customWidth="1" hidden="1" min="20" max="20" width="17.86"/>
    <col customWidth="1" min="21" max="21" width="17.86"/>
  </cols>
  <sheetData>
    <row r="1">
      <c r="A1" s="8">
        <v>5.0</v>
      </c>
      <c r="B1" s="5" t="s">
        <v>59</v>
      </c>
      <c r="C1" s="8" t="s">
        <v>14301</v>
      </c>
      <c r="D1" s="8" t="s">
        <v>14302</v>
      </c>
      <c r="E1" s="8" t="s">
        <v>14303</v>
      </c>
      <c r="F1" s="8" t="s">
        <v>14304</v>
      </c>
      <c r="G1" s="17" t="s">
        <v>14305</v>
      </c>
      <c r="H1" s="17" t="s">
        <v>14306</v>
      </c>
      <c r="I1" s="8" t="s">
        <v>14307</v>
      </c>
      <c r="J1" s="17" t="s">
        <v>14308</v>
      </c>
      <c r="K1" s="17" t="s">
        <v>14309</v>
      </c>
      <c r="L1" s="8" t="s">
        <v>14310</v>
      </c>
      <c r="M1" s="17" t="s">
        <v>14311</v>
      </c>
      <c r="N1" s="17" t="s">
        <v>14312</v>
      </c>
      <c r="O1" s="49" t="s">
        <v>14313</v>
      </c>
      <c r="P1" s="50" t="s">
        <v>14314</v>
      </c>
      <c r="Q1" s="50" t="s">
        <v>14315</v>
      </c>
      <c r="R1" s="49" t="s">
        <v>14316</v>
      </c>
      <c r="S1" s="50" t="s">
        <v>14317</v>
      </c>
      <c r="T1" s="50" t="s">
        <v>14318</v>
      </c>
      <c r="U1" s="50" t="s">
        <v>3662</v>
      </c>
    </row>
    <row r="2">
      <c r="A2" s="51" t="s">
        <v>14319</v>
      </c>
      <c r="B2" s="52" t="s">
        <v>955</v>
      </c>
      <c r="C2" s="53">
        <v>11.0</v>
      </c>
      <c r="D2" s="54"/>
      <c r="E2" s="54"/>
      <c r="F2" s="53"/>
      <c r="G2" s="51"/>
      <c r="H2" s="51"/>
      <c r="I2" s="51"/>
      <c r="J2" s="51"/>
      <c r="K2" s="51"/>
      <c r="L2" s="51"/>
      <c r="M2" s="51"/>
      <c r="N2" s="51"/>
      <c r="O2" s="55"/>
      <c r="P2" s="55"/>
      <c r="Q2" s="55"/>
      <c r="R2" s="55"/>
      <c r="S2" s="55"/>
      <c r="T2" s="55"/>
      <c r="U2" s="55"/>
    </row>
    <row r="3">
      <c r="A3" s="51" t="s">
        <v>14320</v>
      </c>
      <c r="B3" s="52" t="s">
        <v>958</v>
      </c>
      <c r="C3" s="53">
        <v>2.0</v>
      </c>
      <c r="D3" s="54"/>
      <c r="E3" s="54"/>
      <c r="F3" s="53"/>
      <c r="G3" s="51"/>
      <c r="H3" s="51"/>
      <c r="I3" s="51"/>
      <c r="J3" s="51"/>
      <c r="K3" s="51"/>
      <c r="L3" s="51"/>
      <c r="M3" s="51"/>
      <c r="N3" s="51"/>
      <c r="O3" s="56"/>
      <c r="P3" s="56"/>
      <c r="Q3" s="56"/>
      <c r="R3" s="56"/>
      <c r="S3" s="56"/>
      <c r="T3" s="56"/>
      <c r="U3" s="56"/>
    </row>
    <row r="4">
      <c r="A4" s="51" t="s">
        <v>14321</v>
      </c>
      <c r="B4" s="52" t="s">
        <v>961</v>
      </c>
      <c r="C4" s="53">
        <v>25.0</v>
      </c>
      <c r="D4" s="54"/>
      <c r="E4" s="54"/>
      <c r="F4" s="51"/>
      <c r="G4" s="51"/>
      <c r="H4" s="51"/>
      <c r="I4" s="51"/>
      <c r="J4" s="51"/>
      <c r="K4" s="51"/>
      <c r="L4" s="51"/>
      <c r="M4" s="51"/>
      <c r="N4" s="51"/>
      <c r="O4" s="55"/>
      <c r="P4" s="55"/>
      <c r="Q4" s="55"/>
      <c r="R4" s="55"/>
      <c r="S4" s="55"/>
      <c r="T4" s="55"/>
      <c r="U4" s="55"/>
    </row>
    <row r="5">
      <c r="A5" s="51" t="s">
        <v>14322</v>
      </c>
      <c r="B5" s="52" t="s">
        <v>963</v>
      </c>
      <c r="C5" s="53">
        <v>16.0</v>
      </c>
      <c r="D5" s="54"/>
      <c r="E5" s="54"/>
      <c r="F5" s="51"/>
      <c r="G5" s="51"/>
      <c r="H5" s="51"/>
      <c r="I5" s="51"/>
      <c r="J5" s="51"/>
      <c r="K5" s="51"/>
      <c r="L5" s="51"/>
      <c r="M5" s="51"/>
      <c r="N5" s="51"/>
      <c r="O5" s="56"/>
      <c r="P5" s="56"/>
      <c r="Q5" s="56"/>
      <c r="R5" s="56"/>
      <c r="S5" s="56"/>
      <c r="T5" s="56"/>
      <c r="U5" s="56"/>
    </row>
    <row r="6">
      <c r="A6" s="51" t="s">
        <v>14323</v>
      </c>
      <c r="B6" s="52" t="s">
        <v>965</v>
      </c>
      <c r="C6" s="53">
        <v>8.0</v>
      </c>
      <c r="D6" s="54"/>
      <c r="E6" s="54"/>
      <c r="F6" s="53">
        <v>10.0</v>
      </c>
      <c r="G6" s="51"/>
      <c r="H6" s="51"/>
      <c r="I6" s="51"/>
      <c r="J6" s="51"/>
      <c r="K6" s="51"/>
      <c r="L6" s="51"/>
      <c r="M6" s="51"/>
      <c r="N6" s="51"/>
      <c r="O6" s="55"/>
      <c r="P6" s="55"/>
      <c r="Q6" s="55"/>
      <c r="R6" s="55"/>
      <c r="S6" s="55"/>
      <c r="T6" s="55"/>
      <c r="U6" s="55"/>
    </row>
    <row r="7">
      <c r="A7" s="51" t="s">
        <v>14324</v>
      </c>
      <c r="B7" s="52" t="s">
        <v>968</v>
      </c>
      <c r="C7" s="53">
        <v>15.0</v>
      </c>
      <c r="D7" s="54"/>
      <c r="E7" s="54"/>
      <c r="F7" s="53">
        <v>29.0</v>
      </c>
      <c r="G7" s="51"/>
      <c r="H7" s="51"/>
      <c r="I7" s="51"/>
      <c r="J7" s="51"/>
      <c r="K7" s="51"/>
      <c r="L7" s="51"/>
      <c r="M7" s="51"/>
      <c r="N7" s="51"/>
      <c r="O7" s="56"/>
      <c r="P7" s="56"/>
      <c r="Q7" s="56"/>
      <c r="R7" s="56"/>
      <c r="S7" s="56"/>
      <c r="T7" s="56"/>
      <c r="U7" s="56"/>
    </row>
    <row r="8">
      <c r="A8" s="51" t="s">
        <v>14325</v>
      </c>
      <c r="B8" s="52" t="s">
        <v>3652</v>
      </c>
      <c r="C8" s="53">
        <v>140.0</v>
      </c>
      <c r="D8" s="54"/>
      <c r="E8" s="54"/>
      <c r="F8" s="51"/>
      <c r="G8" s="51"/>
      <c r="H8" s="51"/>
      <c r="I8" s="51"/>
      <c r="J8" s="51"/>
      <c r="K8" s="51"/>
      <c r="L8" s="51"/>
      <c r="M8" s="51"/>
      <c r="N8" s="51"/>
      <c r="O8" s="55"/>
      <c r="P8" s="55"/>
      <c r="Q8" s="55"/>
      <c r="R8" s="55"/>
      <c r="S8" s="55"/>
      <c r="T8" s="55"/>
      <c r="U8" s="55"/>
    </row>
    <row r="9">
      <c r="A9" s="53" t="s">
        <v>14326</v>
      </c>
      <c r="B9" s="52" t="s">
        <v>3653</v>
      </c>
      <c r="C9" s="53">
        <v>140.0</v>
      </c>
      <c r="D9" s="54"/>
      <c r="E9" s="54"/>
      <c r="F9" s="51"/>
      <c r="G9" s="51"/>
      <c r="H9" s="51"/>
      <c r="I9" s="51"/>
      <c r="J9" s="51"/>
      <c r="K9" s="51"/>
      <c r="L9" s="51"/>
      <c r="M9" s="51"/>
      <c r="N9" s="51"/>
      <c r="O9" s="56"/>
      <c r="P9" s="56"/>
      <c r="Q9" s="56"/>
      <c r="R9" s="56"/>
      <c r="S9" s="56"/>
      <c r="T9" s="56"/>
      <c r="U9" s="56"/>
    </row>
    <row r="10">
      <c r="A10" s="53" t="s">
        <v>14327</v>
      </c>
      <c r="B10" s="19" t="s">
        <v>1349</v>
      </c>
      <c r="C10" s="53">
        <v>526.0</v>
      </c>
      <c r="D10" s="54"/>
      <c r="E10" s="54"/>
      <c r="F10" s="51"/>
      <c r="G10" s="51"/>
      <c r="H10" s="51"/>
      <c r="I10" s="51"/>
      <c r="J10" s="51"/>
      <c r="K10" s="51"/>
      <c r="L10" s="51"/>
      <c r="M10" s="51"/>
      <c r="N10" s="51"/>
      <c r="O10" s="55"/>
      <c r="P10" s="55"/>
      <c r="Q10" s="55"/>
      <c r="R10" s="55"/>
      <c r="S10" s="55"/>
      <c r="T10" s="55"/>
      <c r="U10" s="55"/>
    </row>
    <row r="11">
      <c r="A11" s="53" t="s">
        <v>14328</v>
      </c>
      <c r="B11" s="19" t="s">
        <v>1351</v>
      </c>
      <c r="C11" s="53">
        <v>526.0</v>
      </c>
      <c r="D11" s="54"/>
      <c r="E11" s="54"/>
      <c r="F11" s="51"/>
      <c r="G11" s="51"/>
      <c r="H11" s="51"/>
      <c r="I11" s="51"/>
      <c r="J11" s="51"/>
      <c r="K11" s="51"/>
      <c r="L11" s="51"/>
      <c r="M11" s="51"/>
      <c r="N11" s="51"/>
      <c r="O11" s="56"/>
      <c r="P11" s="56"/>
      <c r="Q11" s="56"/>
      <c r="R11" s="56"/>
      <c r="S11" s="56"/>
      <c r="T11" s="56"/>
      <c r="U11" s="56"/>
    </row>
    <row r="12">
      <c r="A12" s="53" t="s">
        <v>14329</v>
      </c>
      <c r="B12" s="19" t="s">
        <v>1149</v>
      </c>
      <c r="C12" s="53">
        <v>7.0</v>
      </c>
      <c r="D12" s="54"/>
      <c r="E12" s="54"/>
      <c r="F12" s="51"/>
      <c r="G12" s="51"/>
      <c r="H12" s="51"/>
      <c r="I12" s="51"/>
      <c r="J12" s="51"/>
      <c r="K12" s="51"/>
      <c r="L12" s="51"/>
      <c r="M12" s="51"/>
      <c r="N12" s="51"/>
      <c r="O12" s="55"/>
      <c r="P12" s="55"/>
      <c r="Q12" s="55"/>
      <c r="R12" s="55"/>
      <c r="S12" s="55"/>
      <c r="T12" s="55"/>
      <c r="U12" s="55"/>
    </row>
    <row r="13">
      <c r="A13" s="53" t="s">
        <v>14330</v>
      </c>
      <c r="B13" s="19" t="s">
        <v>1153</v>
      </c>
      <c r="C13" s="53">
        <v>8.0</v>
      </c>
      <c r="D13" s="54"/>
      <c r="E13" s="54"/>
      <c r="F13" s="51"/>
      <c r="G13" s="51"/>
      <c r="H13" s="51"/>
      <c r="I13" s="51"/>
      <c r="J13" s="51"/>
      <c r="K13" s="51"/>
      <c r="L13" s="51"/>
      <c r="M13" s="51"/>
      <c r="N13" s="51"/>
      <c r="O13" s="56"/>
      <c r="P13" s="56"/>
      <c r="Q13" s="56"/>
      <c r="R13" s="56"/>
      <c r="S13" s="56"/>
      <c r="T13" s="56"/>
      <c r="U13" s="56"/>
    </row>
    <row r="14">
      <c r="A14" s="53" t="s">
        <v>14331</v>
      </c>
      <c r="B14" s="19" t="s">
        <v>1155</v>
      </c>
      <c r="C14" s="53">
        <v>9.0</v>
      </c>
      <c r="D14" s="54"/>
      <c r="E14" s="54"/>
      <c r="F14" s="51"/>
      <c r="G14" s="51"/>
      <c r="H14" s="51"/>
      <c r="I14" s="51"/>
      <c r="J14" s="51"/>
      <c r="K14" s="51"/>
      <c r="L14" s="51"/>
      <c r="M14" s="51"/>
      <c r="N14" s="51"/>
      <c r="O14" s="55"/>
      <c r="P14" s="55"/>
      <c r="Q14" s="55"/>
      <c r="R14" s="55"/>
      <c r="S14" s="55"/>
      <c r="T14" s="55"/>
      <c r="U14" s="55"/>
    </row>
    <row r="15">
      <c r="A15" s="53" t="s">
        <v>14332</v>
      </c>
      <c r="B15" s="19" t="s">
        <v>1157</v>
      </c>
      <c r="C15" s="53">
        <v>9.0</v>
      </c>
      <c r="D15" s="54"/>
      <c r="E15" s="54"/>
      <c r="F15" s="51"/>
      <c r="G15" s="51"/>
      <c r="H15" s="51"/>
      <c r="I15" s="51"/>
      <c r="J15" s="51"/>
      <c r="K15" s="51"/>
      <c r="L15" s="51"/>
      <c r="M15" s="51"/>
      <c r="N15" s="51"/>
      <c r="O15" s="56"/>
      <c r="P15" s="56"/>
      <c r="Q15" s="56"/>
      <c r="R15" s="56"/>
      <c r="S15" s="56"/>
      <c r="T15" s="56"/>
      <c r="U15" s="56"/>
    </row>
    <row r="16">
      <c r="A16" s="53" t="s">
        <v>14333</v>
      </c>
      <c r="B16" s="19" t="s">
        <v>1240</v>
      </c>
      <c r="C16" s="53">
        <v>11.0</v>
      </c>
      <c r="D16" s="54"/>
      <c r="E16" s="54"/>
      <c r="F16" s="53">
        <v>8.0</v>
      </c>
      <c r="G16" s="51"/>
      <c r="H16" s="51"/>
      <c r="I16" s="51"/>
      <c r="J16" s="51"/>
      <c r="K16" s="51"/>
      <c r="L16" s="51"/>
      <c r="M16" s="51"/>
      <c r="N16" s="51"/>
      <c r="O16" s="55"/>
      <c r="P16" s="55"/>
      <c r="Q16" s="55"/>
      <c r="R16" s="55"/>
      <c r="S16" s="55"/>
      <c r="T16" s="55"/>
      <c r="U16" s="55"/>
    </row>
    <row r="17">
      <c r="A17" s="53" t="s">
        <v>14334</v>
      </c>
      <c r="B17" s="19" t="s">
        <v>1242</v>
      </c>
      <c r="C17" s="53">
        <v>9.0</v>
      </c>
      <c r="D17" s="54"/>
      <c r="E17" s="54"/>
      <c r="F17" s="53">
        <v>10.0</v>
      </c>
      <c r="G17" s="51"/>
      <c r="H17" s="51"/>
      <c r="I17" s="51"/>
      <c r="J17" s="51"/>
      <c r="K17" s="51"/>
      <c r="L17" s="51"/>
      <c r="M17" s="51"/>
      <c r="N17" s="51"/>
      <c r="O17" s="56"/>
      <c r="P17" s="56"/>
      <c r="Q17" s="56"/>
      <c r="R17" s="56"/>
      <c r="S17" s="56"/>
      <c r="T17" s="56"/>
      <c r="U17" s="56"/>
    </row>
    <row r="18">
      <c r="A18" s="53" t="s">
        <v>14335</v>
      </c>
      <c r="B18" s="19" t="s">
        <v>1244</v>
      </c>
      <c r="C18" s="53">
        <v>10.0</v>
      </c>
      <c r="D18" s="54"/>
      <c r="E18" s="54"/>
      <c r="F18" s="53">
        <v>8.0</v>
      </c>
      <c r="G18" s="51"/>
      <c r="H18" s="51"/>
      <c r="I18" s="51"/>
      <c r="J18" s="51"/>
      <c r="K18" s="51"/>
      <c r="L18" s="51"/>
      <c r="M18" s="51"/>
      <c r="N18" s="51"/>
      <c r="O18" s="55"/>
      <c r="P18" s="55"/>
      <c r="Q18" s="55"/>
      <c r="R18" s="55"/>
      <c r="S18" s="55"/>
      <c r="T18" s="55"/>
      <c r="U18" s="55"/>
    </row>
    <row r="19" ht="15.75" customHeight="1">
      <c r="A19" s="53" t="s">
        <v>14336</v>
      </c>
      <c r="B19" s="19" t="s">
        <v>1246</v>
      </c>
      <c r="C19" s="53">
        <v>9.0</v>
      </c>
      <c r="D19" s="54"/>
      <c r="E19" s="54"/>
      <c r="F19" s="53">
        <v>10.0</v>
      </c>
      <c r="G19" s="51"/>
      <c r="H19" s="51"/>
      <c r="I19" s="51"/>
      <c r="J19" s="51"/>
      <c r="K19" s="51"/>
      <c r="L19" s="51"/>
      <c r="M19" s="51"/>
      <c r="N19" s="51"/>
      <c r="O19" s="56"/>
      <c r="P19" s="56"/>
      <c r="Q19" s="56"/>
      <c r="R19" s="56"/>
      <c r="S19" s="56"/>
      <c r="T19" s="56"/>
      <c r="U19" s="56"/>
    </row>
    <row r="20" ht="15.75" customHeight="1">
      <c r="A20" s="53" t="s">
        <v>14337</v>
      </c>
      <c r="B20" s="52" t="s">
        <v>3654</v>
      </c>
      <c r="C20" s="53">
        <v>242.0</v>
      </c>
      <c r="D20" s="54"/>
      <c r="E20" s="54"/>
      <c r="F20" s="51"/>
      <c r="G20" s="51"/>
      <c r="H20" s="51"/>
      <c r="I20" s="51"/>
      <c r="J20" s="51"/>
      <c r="K20" s="51"/>
      <c r="L20" s="51"/>
      <c r="M20" s="51"/>
      <c r="N20" s="51"/>
      <c r="O20" s="55"/>
      <c r="P20" s="55"/>
      <c r="Q20" s="55"/>
      <c r="R20" s="55"/>
      <c r="S20" s="55"/>
      <c r="T20" s="55"/>
      <c r="U20" s="55"/>
    </row>
    <row r="21" ht="15.75" customHeight="1">
      <c r="A21" s="53" t="s">
        <v>14338</v>
      </c>
      <c r="B21" s="52" t="s">
        <v>3655</v>
      </c>
      <c r="C21" s="53">
        <v>242.0</v>
      </c>
      <c r="D21" s="54"/>
      <c r="E21" s="54"/>
      <c r="F21" s="51"/>
      <c r="G21" s="51"/>
      <c r="H21" s="51"/>
      <c r="I21" s="51"/>
      <c r="J21" s="51"/>
      <c r="K21" s="51"/>
      <c r="L21" s="51"/>
      <c r="M21" s="51"/>
      <c r="N21" s="51"/>
      <c r="O21" s="56"/>
      <c r="P21" s="56"/>
      <c r="Q21" s="56"/>
      <c r="R21" s="56"/>
      <c r="S21" s="56"/>
      <c r="T21" s="56"/>
      <c r="U21" s="56"/>
    </row>
    <row r="22" ht="15.75" customHeight="1">
      <c r="A22" s="53" t="s">
        <v>14339</v>
      </c>
      <c r="B22" s="52" t="s">
        <v>3638</v>
      </c>
      <c r="C22" s="53">
        <v>11.0</v>
      </c>
      <c r="D22" s="54"/>
      <c r="E22" s="54"/>
      <c r="F22" s="51"/>
      <c r="G22" s="51"/>
      <c r="H22" s="51"/>
      <c r="I22" s="51"/>
      <c r="J22" s="51"/>
      <c r="K22" s="51"/>
      <c r="L22" s="51"/>
      <c r="M22" s="51"/>
      <c r="N22" s="51"/>
      <c r="O22" s="55"/>
      <c r="P22" s="55"/>
      <c r="Q22" s="55"/>
      <c r="R22" s="55"/>
      <c r="S22" s="55"/>
      <c r="T22" s="55"/>
      <c r="U22" s="55"/>
    </row>
    <row r="23" ht="15.75" customHeight="1">
      <c r="A23" s="53" t="s">
        <v>14340</v>
      </c>
      <c r="B23" s="52" t="s">
        <v>926</v>
      </c>
      <c r="C23" s="53">
        <v>60.0</v>
      </c>
      <c r="D23" s="54"/>
      <c r="E23" s="54"/>
      <c r="F23" s="51"/>
      <c r="G23" s="51"/>
      <c r="H23" s="51"/>
      <c r="I23" s="51"/>
      <c r="J23" s="51"/>
      <c r="K23" s="51"/>
      <c r="L23" s="51"/>
      <c r="M23" s="51"/>
      <c r="N23" s="51"/>
      <c r="O23" s="56"/>
      <c r="P23" s="56"/>
      <c r="Q23" s="56"/>
      <c r="R23" s="56"/>
      <c r="S23" s="56"/>
      <c r="T23" s="56"/>
      <c r="U23" s="56"/>
    </row>
    <row r="24" ht="15.75" customHeight="1">
      <c r="A24" s="53" t="s">
        <v>14341</v>
      </c>
      <c r="B24" s="52" t="s">
        <v>928</v>
      </c>
      <c r="C24" s="53">
        <v>122.0</v>
      </c>
      <c r="D24" s="54"/>
      <c r="E24" s="54"/>
      <c r="F24" s="51"/>
      <c r="G24" s="51"/>
      <c r="H24" s="51"/>
      <c r="I24" s="51"/>
      <c r="J24" s="51"/>
      <c r="K24" s="51"/>
      <c r="L24" s="51"/>
      <c r="M24" s="51"/>
      <c r="N24" s="51"/>
      <c r="O24" s="55"/>
      <c r="P24" s="55"/>
      <c r="Q24" s="55"/>
      <c r="R24" s="55"/>
      <c r="S24" s="55"/>
      <c r="T24" s="55"/>
      <c r="U24" s="55"/>
    </row>
    <row r="25" ht="15.75" customHeight="1">
      <c r="A25" s="53" t="s">
        <v>14342</v>
      </c>
      <c r="B25" s="52" t="s">
        <v>930</v>
      </c>
      <c r="C25" s="53">
        <v>184.0</v>
      </c>
      <c r="D25" s="54"/>
      <c r="E25" s="54"/>
      <c r="F25" s="51"/>
      <c r="G25" s="51"/>
      <c r="H25" s="51"/>
      <c r="I25" s="51"/>
      <c r="J25" s="51"/>
      <c r="K25" s="51"/>
      <c r="L25" s="51"/>
      <c r="M25" s="51"/>
      <c r="N25" s="51"/>
      <c r="O25" s="56"/>
      <c r="P25" s="56"/>
      <c r="Q25" s="56"/>
      <c r="R25" s="56"/>
      <c r="S25" s="56"/>
      <c r="T25" s="56"/>
      <c r="U25" s="56"/>
    </row>
    <row r="26" ht="15.75" customHeight="1">
      <c r="A26" s="53" t="s">
        <v>14343</v>
      </c>
      <c r="B26" s="52" t="s">
        <v>932</v>
      </c>
      <c r="C26" s="53">
        <v>132.0</v>
      </c>
      <c r="D26" s="54"/>
      <c r="E26" s="54"/>
      <c r="F26" s="51"/>
      <c r="G26" s="51"/>
      <c r="H26" s="51"/>
      <c r="I26" s="51"/>
      <c r="J26" s="51"/>
      <c r="K26" s="51"/>
      <c r="L26" s="51"/>
      <c r="M26" s="51"/>
      <c r="N26" s="51"/>
      <c r="O26" s="55"/>
      <c r="P26" s="55"/>
      <c r="Q26" s="55"/>
      <c r="R26" s="55"/>
      <c r="S26" s="55"/>
      <c r="T26" s="55"/>
      <c r="U26" s="55"/>
    </row>
    <row r="27" ht="15.75" customHeight="1">
      <c r="A27" s="53" t="s">
        <v>14344</v>
      </c>
      <c r="B27" s="52" t="s">
        <v>934</v>
      </c>
      <c r="C27" s="53">
        <v>174.0</v>
      </c>
      <c r="D27" s="54"/>
      <c r="E27" s="54"/>
      <c r="F27" s="51"/>
      <c r="G27" s="51"/>
      <c r="H27" s="51"/>
      <c r="I27" s="51"/>
      <c r="J27" s="51"/>
      <c r="K27" s="51"/>
      <c r="L27" s="51"/>
      <c r="M27" s="51"/>
      <c r="N27" s="51"/>
      <c r="O27" s="56"/>
      <c r="P27" s="56"/>
      <c r="Q27" s="56"/>
      <c r="R27" s="56"/>
      <c r="S27" s="56"/>
      <c r="T27" s="56"/>
      <c r="U27" s="56"/>
    </row>
    <row r="28" ht="15.75" customHeight="1">
      <c r="A28" s="53" t="s">
        <v>14345</v>
      </c>
      <c r="B28" s="52" t="s">
        <v>3640</v>
      </c>
      <c r="C28" s="53">
        <v>6.0</v>
      </c>
      <c r="D28" s="54"/>
      <c r="E28" s="54"/>
      <c r="F28" s="51"/>
      <c r="G28" s="51"/>
      <c r="H28" s="51"/>
      <c r="I28" s="51"/>
      <c r="J28" s="51"/>
      <c r="K28" s="51"/>
      <c r="L28" s="51"/>
      <c r="M28" s="51"/>
      <c r="N28" s="51"/>
      <c r="O28" s="55"/>
      <c r="P28" s="55"/>
      <c r="Q28" s="55"/>
      <c r="R28" s="55"/>
      <c r="S28" s="55"/>
      <c r="T28" s="55"/>
      <c r="U28" s="55"/>
    </row>
    <row r="29" ht="15.75" customHeight="1">
      <c r="A29" s="53" t="s">
        <v>14346</v>
      </c>
      <c r="B29" s="52" t="s">
        <v>1323</v>
      </c>
      <c r="C29" s="53">
        <v>5.0</v>
      </c>
      <c r="D29" s="54"/>
      <c r="E29" s="54"/>
      <c r="F29" s="51"/>
      <c r="G29" s="51"/>
      <c r="H29" s="51"/>
      <c r="I29" s="51"/>
      <c r="J29" s="51"/>
      <c r="K29" s="51"/>
      <c r="L29" s="51"/>
      <c r="M29" s="51"/>
      <c r="N29" s="51"/>
      <c r="O29" s="56"/>
      <c r="P29" s="56"/>
      <c r="Q29" s="56"/>
      <c r="R29" s="56"/>
      <c r="S29" s="56"/>
      <c r="T29" s="56"/>
      <c r="U29" s="56"/>
    </row>
    <row r="30" ht="15.75" customHeight="1">
      <c r="A30" s="53" t="s">
        <v>14347</v>
      </c>
      <c r="B30" s="19" t="s">
        <v>1164</v>
      </c>
      <c r="C30" s="53">
        <v>9.0</v>
      </c>
      <c r="D30" s="54"/>
      <c r="E30" s="54"/>
      <c r="F30" s="53">
        <v>6.0</v>
      </c>
      <c r="G30" s="51"/>
      <c r="H30" s="51"/>
      <c r="I30" s="51"/>
      <c r="J30" s="51"/>
      <c r="K30" s="51"/>
      <c r="L30" s="51"/>
      <c r="M30" s="51"/>
      <c r="N30" s="51"/>
      <c r="O30" s="55"/>
      <c r="P30" s="55"/>
      <c r="Q30" s="55"/>
      <c r="R30" s="55"/>
      <c r="S30" s="55"/>
      <c r="T30" s="55"/>
      <c r="U30" s="55"/>
    </row>
    <row r="31" ht="15.75" customHeight="1">
      <c r="A31" s="53" t="s">
        <v>14348</v>
      </c>
      <c r="B31" s="19" t="s">
        <v>1166</v>
      </c>
      <c r="C31" s="53">
        <v>9.0</v>
      </c>
      <c r="D31" s="54"/>
      <c r="E31" s="54"/>
      <c r="F31" s="53">
        <v>6.0</v>
      </c>
      <c r="G31" s="51"/>
      <c r="H31" s="51"/>
      <c r="I31" s="51"/>
      <c r="J31" s="51"/>
      <c r="K31" s="51"/>
      <c r="L31" s="51"/>
      <c r="M31" s="51"/>
      <c r="N31" s="51"/>
      <c r="O31" s="56"/>
      <c r="P31" s="56"/>
      <c r="Q31" s="56"/>
      <c r="R31" s="56"/>
      <c r="S31" s="56"/>
      <c r="T31" s="56"/>
      <c r="U31" s="56"/>
    </row>
    <row r="32" ht="15.75" customHeight="1">
      <c r="A32" s="53" t="s">
        <v>14349</v>
      </c>
      <c r="B32" s="19" t="s">
        <v>1168</v>
      </c>
      <c r="C32" s="53">
        <v>19.0</v>
      </c>
      <c r="D32" s="54"/>
      <c r="E32" s="54"/>
      <c r="F32" s="53">
        <v>6.0</v>
      </c>
      <c r="G32" s="51"/>
      <c r="H32" s="51"/>
      <c r="I32" s="51"/>
      <c r="J32" s="51"/>
      <c r="K32" s="51"/>
      <c r="L32" s="51"/>
      <c r="M32" s="51"/>
      <c r="N32" s="51"/>
      <c r="O32" s="55"/>
      <c r="P32" s="55"/>
      <c r="Q32" s="55"/>
      <c r="R32" s="55"/>
      <c r="S32" s="55"/>
      <c r="T32" s="55"/>
      <c r="U32" s="55"/>
    </row>
    <row r="33" ht="15.75" customHeight="1">
      <c r="A33" s="53" t="s">
        <v>14350</v>
      </c>
      <c r="B33" s="19" t="s">
        <v>1170</v>
      </c>
      <c r="C33" s="53">
        <v>20.0</v>
      </c>
      <c r="D33" s="54"/>
      <c r="E33" s="54"/>
      <c r="F33" s="53">
        <v>6.0</v>
      </c>
      <c r="G33" s="51"/>
      <c r="H33" s="51"/>
      <c r="I33" s="51"/>
      <c r="J33" s="51"/>
      <c r="K33" s="51"/>
      <c r="L33" s="51"/>
      <c r="M33" s="51"/>
      <c r="N33" s="51"/>
      <c r="O33" s="56"/>
      <c r="P33" s="56"/>
      <c r="Q33" s="56"/>
      <c r="R33" s="56"/>
      <c r="S33" s="56"/>
      <c r="T33" s="56"/>
      <c r="U33" s="56"/>
    </row>
    <row r="34" ht="15.75" customHeight="1">
      <c r="A34" s="53" t="s">
        <v>14351</v>
      </c>
      <c r="B34" s="19" t="s">
        <v>1288</v>
      </c>
      <c r="C34" s="53">
        <v>9.0</v>
      </c>
      <c r="D34" s="54"/>
      <c r="E34" s="54"/>
      <c r="F34" s="51"/>
      <c r="G34" s="51"/>
      <c r="H34" s="51"/>
      <c r="I34" s="51"/>
      <c r="J34" s="51"/>
      <c r="K34" s="51"/>
      <c r="L34" s="51"/>
      <c r="M34" s="51"/>
      <c r="N34" s="51"/>
      <c r="O34" s="55"/>
      <c r="P34" s="55"/>
      <c r="Q34" s="55"/>
      <c r="R34" s="55"/>
      <c r="S34" s="55"/>
      <c r="T34" s="55"/>
      <c r="U34" s="55"/>
    </row>
    <row r="35" ht="15.75" customHeight="1">
      <c r="A35" s="53" t="s">
        <v>14352</v>
      </c>
      <c r="B35" s="19" t="s">
        <v>1291</v>
      </c>
      <c r="C35" s="53">
        <v>9.0</v>
      </c>
      <c r="D35" s="54"/>
      <c r="E35" s="54"/>
      <c r="F35" s="51"/>
      <c r="G35" s="51"/>
      <c r="H35" s="51"/>
      <c r="I35" s="51"/>
      <c r="J35" s="51"/>
      <c r="K35" s="51"/>
      <c r="L35" s="51"/>
      <c r="M35" s="51"/>
      <c r="N35" s="51"/>
      <c r="O35" s="56"/>
      <c r="P35" s="56"/>
      <c r="Q35" s="56"/>
      <c r="R35" s="56"/>
      <c r="S35" s="56"/>
      <c r="T35" s="56"/>
      <c r="U35" s="56"/>
    </row>
    <row r="36" ht="15.75" customHeight="1">
      <c r="A36" s="53" t="s">
        <v>14353</v>
      </c>
      <c r="B36" s="19" t="s">
        <v>3641</v>
      </c>
      <c r="C36" s="53">
        <v>6.0</v>
      </c>
      <c r="D36" s="54"/>
      <c r="E36" s="54"/>
      <c r="F36" s="51"/>
      <c r="G36" s="51"/>
      <c r="H36" s="51"/>
      <c r="I36" s="51"/>
      <c r="J36" s="51"/>
      <c r="K36" s="51"/>
      <c r="L36" s="51"/>
      <c r="M36" s="51"/>
      <c r="N36" s="51"/>
      <c r="O36" s="55"/>
      <c r="P36" s="55"/>
      <c r="Q36" s="55"/>
      <c r="R36" s="55"/>
      <c r="S36" s="55"/>
      <c r="T36" s="55"/>
      <c r="U36" s="55"/>
    </row>
    <row r="37" ht="15.75" customHeight="1">
      <c r="A37" s="53" t="s">
        <v>14354</v>
      </c>
      <c r="B37" s="19" t="s">
        <v>1304</v>
      </c>
      <c r="C37" s="53">
        <v>14.0</v>
      </c>
      <c r="D37" s="54"/>
      <c r="E37" s="54"/>
      <c r="F37" s="51"/>
      <c r="G37" s="51"/>
      <c r="H37" s="51"/>
      <c r="I37" s="51"/>
      <c r="J37" s="51"/>
      <c r="K37" s="51"/>
      <c r="L37" s="51"/>
      <c r="M37" s="51"/>
      <c r="N37" s="51"/>
      <c r="O37" s="56"/>
      <c r="P37" s="56"/>
      <c r="Q37" s="56"/>
      <c r="R37" s="56"/>
      <c r="S37" s="56"/>
      <c r="T37" s="56"/>
      <c r="U37" s="56"/>
    </row>
    <row r="38" ht="15.75" customHeight="1">
      <c r="A38" s="53" t="s">
        <v>14355</v>
      </c>
      <c r="B38" s="19" t="s">
        <v>1306</v>
      </c>
      <c r="C38" s="53">
        <v>6.0</v>
      </c>
      <c r="D38" s="54"/>
      <c r="E38" s="54"/>
      <c r="F38" s="51"/>
      <c r="G38" s="51"/>
      <c r="H38" s="51"/>
      <c r="I38" s="51"/>
      <c r="J38" s="51"/>
      <c r="K38" s="51"/>
      <c r="L38" s="51"/>
      <c r="M38" s="51"/>
      <c r="N38" s="51"/>
      <c r="O38" s="55"/>
      <c r="P38" s="55"/>
      <c r="Q38" s="55"/>
      <c r="R38" s="55"/>
      <c r="S38" s="55"/>
      <c r="T38" s="55"/>
      <c r="U38" s="55"/>
    </row>
    <row r="39" ht="15.75" customHeight="1">
      <c r="A39" s="53" t="s">
        <v>14356</v>
      </c>
      <c r="B39" s="19" t="s">
        <v>3642</v>
      </c>
      <c r="C39" s="53">
        <v>6.0</v>
      </c>
      <c r="D39" s="54"/>
      <c r="E39" s="54"/>
      <c r="F39" s="51"/>
      <c r="G39" s="51"/>
      <c r="H39" s="51"/>
      <c r="I39" s="51"/>
      <c r="J39" s="51"/>
      <c r="K39" s="51"/>
      <c r="L39" s="51"/>
      <c r="M39" s="51"/>
      <c r="N39" s="51"/>
      <c r="O39" s="56"/>
      <c r="P39" s="56"/>
      <c r="Q39" s="56"/>
      <c r="R39" s="56"/>
      <c r="S39" s="56"/>
      <c r="T39" s="56"/>
      <c r="U39" s="56"/>
    </row>
    <row r="40" ht="15.75" customHeight="1">
      <c r="A40" s="53" t="s">
        <v>14357</v>
      </c>
      <c r="B40" s="19" t="s">
        <v>1308</v>
      </c>
      <c r="C40" s="53">
        <v>14.0</v>
      </c>
      <c r="D40" s="54"/>
      <c r="E40" s="54"/>
      <c r="F40" s="51"/>
      <c r="G40" s="51"/>
      <c r="H40" s="51"/>
      <c r="I40" s="51"/>
      <c r="J40" s="51"/>
      <c r="K40" s="51"/>
      <c r="L40" s="51"/>
      <c r="M40" s="51"/>
      <c r="N40" s="51"/>
      <c r="O40" s="55"/>
      <c r="P40" s="55"/>
      <c r="Q40" s="55"/>
      <c r="R40" s="55"/>
      <c r="S40" s="55"/>
      <c r="T40" s="55"/>
      <c r="U40" s="55"/>
    </row>
    <row r="41" ht="15.75" customHeight="1">
      <c r="A41" s="53" t="s">
        <v>14358</v>
      </c>
      <c r="B41" s="19" t="s">
        <v>1310</v>
      </c>
      <c r="C41" s="53">
        <v>6.0</v>
      </c>
      <c r="D41" s="54"/>
      <c r="E41" s="54"/>
      <c r="F41" s="51"/>
      <c r="G41" s="51"/>
      <c r="H41" s="51"/>
      <c r="I41" s="51"/>
      <c r="J41" s="51"/>
      <c r="K41" s="51"/>
      <c r="L41" s="51"/>
      <c r="M41" s="51"/>
      <c r="N41" s="51"/>
      <c r="O41" s="56"/>
      <c r="P41" s="56"/>
      <c r="Q41" s="56"/>
      <c r="R41" s="56"/>
      <c r="S41" s="56"/>
      <c r="T41" s="56"/>
      <c r="U41" s="56"/>
    </row>
    <row r="42" ht="15.75" customHeight="1">
      <c r="A42" s="53" t="s">
        <v>14359</v>
      </c>
      <c r="B42" s="19" t="s">
        <v>1222</v>
      </c>
      <c r="C42" s="53">
        <v>3.0</v>
      </c>
      <c r="D42" s="54"/>
      <c r="E42" s="54"/>
      <c r="F42" s="51"/>
      <c r="G42" s="51"/>
      <c r="H42" s="51"/>
      <c r="I42" s="51"/>
      <c r="J42" s="51"/>
      <c r="K42" s="51"/>
      <c r="L42" s="51"/>
      <c r="M42" s="51"/>
      <c r="N42" s="51"/>
      <c r="O42" s="55"/>
      <c r="P42" s="55"/>
      <c r="Q42" s="55"/>
      <c r="R42" s="55"/>
      <c r="S42" s="55"/>
      <c r="T42" s="55"/>
      <c r="U42" s="55"/>
    </row>
    <row r="43" ht="15.75" customHeight="1">
      <c r="A43" s="53" t="s">
        <v>14360</v>
      </c>
      <c r="B43" s="19" t="s">
        <v>1224</v>
      </c>
      <c r="C43" s="53">
        <v>2.0</v>
      </c>
      <c r="D43" s="54"/>
      <c r="E43" s="54"/>
      <c r="F43" s="51"/>
      <c r="G43" s="51"/>
      <c r="H43" s="51"/>
      <c r="I43" s="51"/>
      <c r="J43" s="51"/>
      <c r="K43" s="51"/>
      <c r="L43" s="51"/>
      <c r="M43" s="51"/>
      <c r="N43" s="51"/>
      <c r="O43" s="56"/>
      <c r="P43" s="56"/>
      <c r="Q43" s="56"/>
      <c r="R43" s="56"/>
      <c r="S43" s="56"/>
      <c r="T43" s="56"/>
      <c r="U43" s="56"/>
    </row>
    <row r="44" ht="15.75" customHeight="1">
      <c r="A44" s="53" t="s">
        <v>14361</v>
      </c>
      <c r="B44" s="19" t="s">
        <v>1226</v>
      </c>
      <c r="C44" s="53">
        <v>1.0</v>
      </c>
      <c r="D44" s="54"/>
      <c r="E44" s="54"/>
      <c r="F44" s="51"/>
      <c r="G44" s="51"/>
      <c r="H44" s="51"/>
      <c r="I44" s="51"/>
      <c r="J44" s="51"/>
      <c r="K44" s="51"/>
      <c r="L44" s="51"/>
      <c r="M44" s="51"/>
      <c r="N44" s="51"/>
      <c r="O44" s="55"/>
      <c r="P44" s="55"/>
      <c r="Q44" s="55"/>
      <c r="R44" s="55"/>
      <c r="S44" s="55"/>
      <c r="T44" s="55"/>
      <c r="U44" s="55"/>
    </row>
    <row r="45" ht="15.75" customHeight="1">
      <c r="A45" s="53" t="s">
        <v>14362</v>
      </c>
      <c r="B45" s="19" t="s">
        <v>1228</v>
      </c>
      <c r="C45" s="53">
        <v>3.0</v>
      </c>
      <c r="D45" s="54"/>
      <c r="E45" s="54"/>
      <c r="F45" s="51"/>
      <c r="G45" s="51"/>
      <c r="H45" s="51"/>
      <c r="I45" s="51"/>
      <c r="J45" s="51"/>
      <c r="K45" s="51"/>
      <c r="L45" s="51"/>
      <c r="M45" s="51"/>
      <c r="N45" s="51"/>
      <c r="O45" s="56"/>
      <c r="P45" s="56"/>
      <c r="Q45" s="56"/>
      <c r="R45" s="56"/>
      <c r="S45" s="56"/>
      <c r="T45" s="56"/>
      <c r="U45" s="56"/>
    </row>
    <row r="46" ht="15.75" customHeight="1">
      <c r="A46" s="53" t="s">
        <v>14363</v>
      </c>
      <c r="B46" s="52" t="s">
        <v>3605</v>
      </c>
      <c r="C46" s="53">
        <v>11.0</v>
      </c>
      <c r="D46" s="54"/>
      <c r="E46" s="54"/>
      <c r="F46" s="51"/>
      <c r="G46" s="51"/>
      <c r="H46" s="51"/>
      <c r="I46" s="51"/>
      <c r="J46" s="51"/>
      <c r="K46" s="51"/>
      <c r="L46" s="51"/>
      <c r="M46" s="51"/>
      <c r="N46" s="51"/>
      <c r="O46" s="55"/>
      <c r="P46" s="55"/>
      <c r="Q46" s="55"/>
      <c r="R46" s="55"/>
      <c r="S46" s="55"/>
      <c r="T46" s="55"/>
      <c r="U46" s="55"/>
    </row>
    <row r="47" ht="15.75" customHeight="1">
      <c r="A47" s="53" t="s">
        <v>14364</v>
      </c>
      <c r="B47" s="52" t="s">
        <v>1172</v>
      </c>
      <c r="C47" s="53">
        <v>10.0</v>
      </c>
      <c r="D47" s="54"/>
      <c r="E47" s="54"/>
      <c r="F47" s="51"/>
      <c r="G47" s="51"/>
      <c r="H47" s="51"/>
      <c r="I47" s="51"/>
      <c r="J47" s="51"/>
      <c r="K47" s="51"/>
      <c r="L47" s="51"/>
      <c r="M47" s="51"/>
      <c r="N47" s="51"/>
      <c r="O47" s="56"/>
      <c r="P47" s="56"/>
      <c r="Q47" s="56"/>
      <c r="R47" s="56"/>
      <c r="S47" s="56"/>
      <c r="T47" s="56"/>
      <c r="U47" s="56"/>
    </row>
    <row r="48" ht="15.75" customHeight="1">
      <c r="A48" s="53" t="s">
        <v>14365</v>
      </c>
      <c r="B48" s="52" t="s">
        <v>1312</v>
      </c>
      <c r="C48" s="53">
        <v>10.0</v>
      </c>
      <c r="D48" s="54"/>
      <c r="E48" s="54"/>
      <c r="F48" s="51"/>
      <c r="G48" s="51"/>
      <c r="H48" s="51"/>
      <c r="I48" s="51"/>
      <c r="J48" s="51"/>
      <c r="K48" s="51"/>
      <c r="L48" s="51"/>
      <c r="M48" s="51"/>
      <c r="N48" s="51"/>
      <c r="O48" s="55"/>
      <c r="P48" s="55"/>
      <c r="Q48" s="55"/>
      <c r="R48" s="55"/>
      <c r="S48" s="55"/>
      <c r="T48" s="55"/>
      <c r="U48" s="55"/>
    </row>
    <row r="49" ht="15.75" customHeight="1">
      <c r="A49" s="53" t="s">
        <v>14366</v>
      </c>
      <c r="B49" s="19" t="s">
        <v>3681</v>
      </c>
      <c r="C49" s="53">
        <v>140.0</v>
      </c>
      <c r="D49" s="54"/>
      <c r="E49" s="54"/>
      <c r="F49" s="51"/>
      <c r="G49" s="51"/>
      <c r="H49" s="51"/>
      <c r="I49" s="51"/>
      <c r="J49" s="51"/>
      <c r="K49" s="51"/>
      <c r="L49" s="51"/>
      <c r="M49" s="51"/>
      <c r="N49" s="51"/>
      <c r="O49" s="56"/>
      <c r="P49" s="56"/>
      <c r="Q49" s="56"/>
      <c r="R49" s="56"/>
      <c r="S49" s="56"/>
      <c r="T49" s="56"/>
      <c r="U49" s="56"/>
    </row>
    <row r="50" ht="15.75" customHeight="1">
      <c r="A50" s="53" t="s">
        <v>14367</v>
      </c>
      <c r="B50" s="19" t="s">
        <v>3683</v>
      </c>
      <c r="C50" s="53">
        <v>140.0</v>
      </c>
      <c r="D50" s="54"/>
      <c r="E50" s="54"/>
      <c r="F50" s="51"/>
      <c r="G50" s="51"/>
      <c r="H50" s="51"/>
      <c r="I50" s="51"/>
      <c r="J50" s="51"/>
      <c r="K50" s="51"/>
      <c r="L50" s="51"/>
      <c r="M50" s="51"/>
      <c r="N50" s="51"/>
      <c r="O50" s="55"/>
      <c r="P50" s="55"/>
      <c r="Q50" s="55"/>
      <c r="R50" s="55"/>
      <c r="S50" s="55"/>
      <c r="T50" s="55"/>
      <c r="U50" s="55"/>
    </row>
    <row r="51" ht="15.75" customHeight="1">
      <c r="A51" s="53" t="s">
        <v>14368</v>
      </c>
      <c r="B51" s="52" t="s">
        <v>1190</v>
      </c>
      <c r="C51" s="53">
        <v>34.0</v>
      </c>
      <c r="D51" s="54"/>
      <c r="E51" s="54"/>
      <c r="F51" s="51"/>
      <c r="G51" s="51"/>
      <c r="H51" s="51"/>
      <c r="I51" s="51"/>
      <c r="J51" s="51"/>
      <c r="K51" s="51"/>
      <c r="L51" s="51"/>
      <c r="M51" s="51"/>
      <c r="N51" s="51"/>
      <c r="O51" s="56"/>
      <c r="P51" s="56"/>
      <c r="Q51" s="56"/>
      <c r="R51" s="56"/>
      <c r="S51" s="56"/>
      <c r="T51" s="56"/>
      <c r="U51" s="56"/>
    </row>
    <row r="52" ht="15.75" customHeight="1">
      <c r="A52" s="53" t="s">
        <v>14369</v>
      </c>
      <c r="B52" s="52" t="s">
        <v>1208</v>
      </c>
      <c r="C52" s="53">
        <v>32.0</v>
      </c>
      <c r="D52" s="54"/>
      <c r="E52" s="54"/>
      <c r="F52" s="51"/>
      <c r="G52" s="51"/>
      <c r="H52" s="51"/>
      <c r="I52" s="51"/>
      <c r="J52" s="51"/>
      <c r="K52" s="51"/>
      <c r="L52" s="51"/>
      <c r="M52" s="51"/>
      <c r="N52" s="51"/>
      <c r="O52" s="55"/>
      <c r="P52" s="55"/>
      <c r="Q52" s="55"/>
      <c r="R52" s="55"/>
      <c r="S52" s="55"/>
      <c r="T52" s="55"/>
      <c r="U52" s="55"/>
    </row>
    <row r="53" ht="15.75" customHeight="1">
      <c r="A53" s="53" t="s">
        <v>14370</v>
      </c>
      <c r="B53" s="52" t="s">
        <v>1159</v>
      </c>
      <c r="C53" s="53">
        <v>20.0</v>
      </c>
      <c r="D53" s="54"/>
      <c r="E53" s="54"/>
      <c r="F53" s="51"/>
      <c r="G53" s="51"/>
      <c r="H53" s="51"/>
      <c r="I53" s="51"/>
      <c r="J53" s="51"/>
      <c r="K53" s="51"/>
      <c r="L53" s="51"/>
      <c r="M53" s="51"/>
      <c r="N53" s="51"/>
      <c r="O53" s="56"/>
      <c r="P53" s="56"/>
      <c r="Q53" s="56"/>
      <c r="R53" s="56"/>
      <c r="S53" s="56"/>
      <c r="T53" s="56"/>
      <c r="U53" s="56"/>
    </row>
    <row r="54" ht="15.75" customHeight="1">
      <c r="A54" s="53" t="s">
        <v>14371</v>
      </c>
      <c r="B54" s="19" t="s">
        <v>3656</v>
      </c>
      <c r="C54" s="53">
        <v>234.0</v>
      </c>
      <c r="D54" s="54"/>
      <c r="E54" s="54"/>
      <c r="F54" s="51"/>
      <c r="G54" s="51"/>
      <c r="H54" s="51"/>
      <c r="I54" s="51"/>
      <c r="J54" s="51"/>
      <c r="K54" s="51"/>
      <c r="L54" s="51"/>
      <c r="M54" s="51"/>
      <c r="N54" s="51"/>
      <c r="O54" s="55"/>
      <c r="P54" s="55"/>
      <c r="Q54" s="55"/>
      <c r="R54" s="55"/>
      <c r="S54" s="55"/>
      <c r="T54" s="55"/>
      <c r="U54" s="55"/>
    </row>
    <row r="55" ht="15.75" customHeight="1">
      <c r="A55" s="53" t="s">
        <v>14372</v>
      </c>
      <c r="B55" s="19" t="s">
        <v>3657</v>
      </c>
      <c r="C55" s="53">
        <v>234.0</v>
      </c>
      <c r="D55" s="54"/>
      <c r="E55" s="54"/>
      <c r="F55" s="51"/>
      <c r="G55" s="51"/>
      <c r="H55" s="51"/>
      <c r="I55" s="51"/>
      <c r="J55" s="51"/>
      <c r="K55" s="51"/>
      <c r="L55" s="51"/>
      <c r="M55" s="51"/>
      <c r="N55" s="51"/>
      <c r="O55" s="56"/>
      <c r="P55" s="56"/>
      <c r="Q55" s="56"/>
      <c r="R55" s="56"/>
      <c r="S55" s="56"/>
      <c r="T55" s="56"/>
      <c r="U55" s="56"/>
    </row>
    <row r="56" ht="15.75" customHeight="1">
      <c r="A56" s="53" t="s">
        <v>14373</v>
      </c>
      <c r="B56" s="52" t="s">
        <v>952</v>
      </c>
      <c r="C56" s="53">
        <v>194.0</v>
      </c>
      <c r="D56" s="54"/>
      <c r="E56" s="54"/>
      <c r="F56" s="51"/>
      <c r="G56" s="51"/>
      <c r="H56" s="51"/>
      <c r="I56" s="51"/>
      <c r="J56" s="51"/>
      <c r="K56" s="51"/>
      <c r="L56" s="51"/>
      <c r="M56" s="51"/>
      <c r="N56" s="51"/>
      <c r="O56" s="55"/>
      <c r="P56" s="55"/>
      <c r="Q56" s="55"/>
      <c r="R56" s="55"/>
      <c r="S56" s="55"/>
      <c r="T56" s="55"/>
      <c r="U56" s="55"/>
    </row>
    <row r="57" ht="15.75" customHeight="1">
      <c r="A57" s="53" t="s">
        <v>14374</v>
      </c>
      <c r="B57" s="52" t="s">
        <v>3647</v>
      </c>
      <c r="C57" s="53">
        <v>194.0</v>
      </c>
      <c r="D57" s="54"/>
      <c r="E57" s="54"/>
      <c r="F57" s="51"/>
      <c r="G57" s="51"/>
      <c r="H57" s="51"/>
      <c r="I57" s="51"/>
      <c r="J57" s="51"/>
      <c r="K57" s="51"/>
      <c r="L57" s="51"/>
      <c r="M57" s="51"/>
      <c r="N57" s="51"/>
      <c r="O57" s="56"/>
      <c r="P57" s="56"/>
      <c r="Q57" s="56"/>
      <c r="R57" s="56"/>
      <c r="S57" s="56"/>
      <c r="T57" s="56"/>
      <c r="U57" s="56"/>
    </row>
    <row r="58" ht="15.75" customHeight="1">
      <c r="A58" s="53" t="s">
        <v>14375</v>
      </c>
      <c r="B58" s="19" t="s">
        <v>3648</v>
      </c>
      <c r="C58" s="53">
        <v>3.0</v>
      </c>
      <c r="D58" s="54"/>
      <c r="E58" s="54"/>
      <c r="F58" s="51"/>
      <c r="G58" s="51"/>
      <c r="H58" s="51"/>
      <c r="I58" s="51"/>
      <c r="J58" s="51"/>
      <c r="K58" s="51"/>
      <c r="L58" s="51"/>
      <c r="M58" s="51"/>
      <c r="N58" s="51"/>
      <c r="O58" s="55"/>
      <c r="P58" s="55"/>
      <c r="Q58" s="55"/>
      <c r="R58" s="55"/>
      <c r="S58" s="55"/>
      <c r="T58" s="55"/>
      <c r="U58" s="55"/>
    </row>
    <row r="59" ht="15.75" customHeight="1">
      <c r="A59" s="53" t="s">
        <v>14376</v>
      </c>
      <c r="B59" s="19" t="s">
        <v>3649</v>
      </c>
      <c r="C59" s="53">
        <v>3.0</v>
      </c>
      <c r="D59" s="54"/>
      <c r="E59" s="54"/>
      <c r="F59" s="51"/>
      <c r="G59" s="51"/>
      <c r="H59" s="51"/>
      <c r="I59" s="51"/>
      <c r="J59" s="51"/>
      <c r="K59" s="51"/>
      <c r="L59" s="51"/>
      <c r="M59" s="51"/>
      <c r="N59" s="51"/>
      <c r="O59" s="56"/>
      <c r="P59" s="56"/>
      <c r="Q59" s="56"/>
      <c r="R59" s="56"/>
      <c r="S59" s="56"/>
      <c r="T59" s="56"/>
      <c r="U59" s="56"/>
    </row>
    <row r="60" ht="15.75" customHeight="1">
      <c r="A60" s="53" t="s">
        <v>14377</v>
      </c>
      <c r="B60" s="19" t="s">
        <v>1277</v>
      </c>
      <c r="C60" s="53">
        <v>3.0</v>
      </c>
      <c r="D60" s="54"/>
      <c r="E60" s="54"/>
      <c r="F60" s="53">
        <v>4.0</v>
      </c>
      <c r="G60" s="51"/>
      <c r="H60" s="51"/>
      <c r="I60" s="51"/>
      <c r="J60" s="51"/>
      <c r="K60" s="51"/>
      <c r="L60" s="51"/>
      <c r="M60" s="51"/>
      <c r="N60" s="51"/>
      <c r="O60" s="55"/>
      <c r="P60" s="55"/>
      <c r="Q60" s="55"/>
      <c r="R60" s="55"/>
      <c r="S60" s="55"/>
      <c r="T60" s="55"/>
      <c r="U60" s="55"/>
    </row>
    <row r="61" ht="15.75" customHeight="1">
      <c r="A61" s="53" t="s">
        <v>14378</v>
      </c>
      <c r="B61" s="19" t="s">
        <v>1279</v>
      </c>
      <c r="C61" s="53">
        <v>3.0</v>
      </c>
      <c r="D61" s="54"/>
      <c r="E61" s="54"/>
      <c r="F61" s="53">
        <v>4.0</v>
      </c>
      <c r="G61" s="51"/>
      <c r="H61" s="51"/>
      <c r="I61" s="51"/>
      <c r="J61" s="51"/>
      <c r="K61" s="51"/>
      <c r="L61" s="51"/>
      <c r="M61" s="51"/>
      <c r="N61" s="51"/>
      <c r="O61" s="56"/>
      <c r="P61" s="56"/>
      <c r="Q61" s="56"/>
      <c r="R61" s="56"/>
      <c r="S61" s="56"/>
      <c r="T61" s="56"/>
      <c r="U61" s="56"/>
    </row>
    <row r="62" ht="15.75" customHeight="1">
      <c r="A62" s="53" t="s">
        <v>14379</v>
      </c>
      <c r="B62" s="19" t="s">
        <v>3650</v>
      </c>
      <c r="C62" s="53">
        <v>3.0</v>
      </c>
      <c r="D62" s="54"/>
      <c r="E62" s="54"/>
      <c r="F62" s="51"/>
      <c r="G62" s="51"/>
      <c r="H62" s="51"/>
      <c r="I62" s="51"/>
      <c r="J62" s="51"/>
      <c r="K62" s="51"/>
      <c r="L62" s="51"/>
      <c r="M62" s="51"/>
      <c r="N62" s="51"/>
      <c r="O62" s="55"/>
      <c r="P62" s="55"/>
      <c r="Q62" s="55"/>
      <c r="R62" s="55"/>
      <c r="S62" s="55"/>
      <c r="T62" s="55"/>
      <c r="U62" s="55"/>
    </row>
    <row r="63" ht="15.75" customHeight="1">
      <c r="A63" s="53" t="s">
        <v>14380</v>
      </c>
      <c r="B63" s="19" t="s">
        <v>1283</v>
      </c>
      <c r="C63" s="53">
        <v>7.0</v>
      </c>
      <c r="D63" s="54"/>
      <c r="E63" s="54"/>
      <c r="F63" s="53">
        <v>4.0</v>
      </c>
      <c r="G63" s="51"/>
      <c r="H63" s="51"/>
      <c r="I63" s="51"/>
      <c r="J63" s="51"/>
      <c r="K63" s="51"/>
      <c r="L63" s="51"/>
      <c r="M63" s="51"/>
      <c r="N63" s="51"/>
      <c r="O63" s="56"/>
      <c r="P63" s="56"/>
      <c r="Q63" s="56"/>
      <c r="R63" s="56"/>
      <c r="S63" s="56"/>
      <c r="T63" s="56"/>
      <c r="U63" s="56"/>
    </row>
    <row r="64" ht="15.75" customHeight="1">
      <c r="A64" s="53" t="s">
        <v>14381</v>
      </c>
      <c r="B64" s="19" t="s">
        <v>1281</v>
      </c>
      <c r="C64" s="53">
        <v>3.0</v>
      </c>
      <c r="D64" s="54"/>
      <c r="E64" s="54"/>
      <c r="F64" s="53">
        <v>4.0</v>
      </c>
      <c r="G64" s="51"/>
      <c r="H64" s="51"/>
      <c r="I64" s="51"/>
      <c r="J64" s="51"/>
      <c r="K64" s="51"/>
      <c r="L64" s="51"/>
      <c r="M64" s="51"/>
      <c r="N64" s="51"/>
      <c r="O64" s="55"/>
      <c r="P64" s="55"/>
      <c r="Q64" s="55"/>
      <c r="R64" s="55"/>
      <c r="S64" s="55"/>
      <c r="T64" s="55"/>
      <c r="U64" s="55"/>
    </row>
    <row r="65" ht="15.75" customHeight="1">
      <c r="A65" s="53" t="s">
        <v>14382</v>
      </c>
      <c r="B65" s="52" t="s">
        <v>1216</v>
      </c>
      <c r="C65" s="53">
        <v>1.0</v>
      </c>
      <c r="D65" s="54"/>
      <c r="E65" s="54"/>
      <c r="F65" s="53">
        <v>15.0</v>
      </c>
      <c r="G65" s="51"/>
      <c r="H65" s="51"/>
      <c r="I65" s="51"/>
      <c r="J65" s="51"/>
      <c r="K65" s="51"/>
      <c r="L65" s="51"/>
      <c r="M65" s="51"/>
      <c r="N65" s="51"/>
      <c r="O65" s="56"/>
      <c r="P65" s="56"/>
      <c r="Q65" s="56"/>
      <c r="R65" s="56"/>
      <c r="S65" s="56"/>
      <c r="T65" s="56"/>
      <c r="U65" s="56"/>
    </row>
    <row r="66" ht="15.75" customHeight="1">
      <c r="A66" s="53" t="s">
        <v>14383</v>
      </c>
      <c r="B66" s="52" t="s">
        <v>1218</v>
      </c>
      <c r="C66" s="53">
        <v>1.0</v>
      </c>
      <c r="D66" s="54"/>
      <c r="E66" s="54"/>
      <c r="F66" s="53">
        <v>10.0</v>
      </c>
      <c r="G66" s="51"/>
      <c r="H66" s="51"/>
      <c r="I66" s="51"/>
      <c r="J66" s="51"/>
      <c r="K66" s="51"/>
      <c r="L66" s="51"/>
      <c r="M66" s="51"/>
      <c r="N66" s="51"/>
      <c r="O66" s="55"/>
      <c r="P66" s="55"/>
      <c r="Q66" s="55"/>
      <c r="R66" s="55"/>
      <c r="S66" s="55"/>
      <c r="T66" s="55"/>
      <c r="U66" s="55"/>
    </row>
    <row r="67" ht="15.75" customHeight="1">
      <c r="A67" s="53" t="s">
        <v>14384</v>
      </c>
      <c r="B67" s="52" t="s">
        <v>1271</v>
      </c>
      <c r="C67" s="53">
        <v>5.0</v>
      </c>
      <c r="D67" s="54"/>
      <c r="E67" s="54"/>
      <c r="F67" s="51"/>
      <c r="G67" s="51"/>
      <c r="H67" s="51"/>
      <c r="I67" s="51"/>
      <c r="J67" s="51"/>
      <c r="K67" s="51"/>
      <c r="L67" s="51"/>
      <c r="M67" s="51"/>
      <c r="N67" s="51"/>
      <c r="O67" s="56"/>
      <c r="P67" s="56"/>
      <c r="Q67" s="56"/>
      <c r="R67" s="56"/>
      <c r="S67" s="56"/>
      <c r="T67" s="56"/>
      <c r="U67" s="56"/>
    </row>
    <row r="68" ht="15.75" customHeight="1">
      <c r="A68" s="53" t="s">
        <v>14385</v>
      </c>
      <c r="B68" s="53" t="s">
        <v>923</v>
      </c>
      <c r="C68" s="53">
        <v>663.0</v>
      </c>
      <c r="D68" s="54"/>
      <c r="E68" s="54"/>
      <c r="F68" s="51"/>
      <c r="G68" s="51"/>
      <c r="H68" s="51"/>
      <c r="I68" s="51"/>
      <c r="J68" s="51"/>
      <c r="K68" s="51"/>
      <c r="L68" s="51"/>
      <c r="M68" s="51"/>
      <c r="N68" s="51"/>
      <c r="O68" s="55"/>
      <c r="P68" s="55"/>
      <c r="Q68" s="55"/>
      <c r="R68" s="55"/>
      <c r="S68" s="55"/>
      <c r="T68" s="55"/>
      <c r="U68" s="55"/>
    </row>
    <row r="69" ht="15.75" customHeight="1">
      <c r="A69" s="53" t="s">
        <v>14386</v>
      </c>
      <c r="B69" s="53" t="s">
        <v>1354</v>
      </c>
      <c r="C69" s="53">
        <v>11.0</v>
      </c>
      <c r="D69" s="54"/>
      <c r="E69" s="54"/>
      <c r="F69" s="53">
        <v>20.0</v>
      </c>
      <c r="G69" s="51"/>
      <c r="H69" s="51"/>
      <c r="I69" s="51"/>
      <c r="J69" s="51"/>
      <c r="K69" s="51"/>
      <c r="L69" s="51"/>
      <c r="M69" s="51"/>
      <c r="N69" s="51"/>
      <c r="O69" s="56"/>
      <c r="P69" s="56"/>
      <c r="Q69" s="56"/>
      <c r="R69" s="56"/>
      <c r="S69" s="56"/>
      <c r="T69" s="56"/>
      <c r="U69" s="56"/>
    </row>
    <row r="70" ht="15.75" customHeight="1">
      <c r="A70" s="53" t="s">
        <v>14387</v>
      </c>
      <c r="B70" s="6" t="s">
        <v>936</v>
      </c>
      <c r="C70" s="54">
        <v>10.0</v>
      </c>
      <c r="D70" s="54"/>
      <c r="E70" s="54"/>
      <c r="F70" s="53">
        <v>5.0</v>
      </c>
      <c r="G70" s="51"/>
      <c r="H70" s="51"/>
      <c r="I70" s="51"/>
      <c r="J70" s="51"/>
      <c r="K70" s="51"/>
      <c r="L70" s="51"/>
      <c r="M70" s="51"/>
      <c r="N70" s="51"/>
      <c r="O70" s="55"/>
      <c r="P70" s="55"/>
      <c r="Q70" s="55"/>
      <c r="R70" s="55"/>
      <c r="S70" s="55"/>
      <c r="T70" s="55"/>
      <c r="U70" s="55"/>
    </row>
    <row r="71" ht="15.75" customHeight="1">
      <c r="A71" s="53" t="s">
        <v>14388</v>
      </c>
      <c r="B71" s="19" t="s">
        <v>942</v>
      </c>
      <c r="C71" s="57">
        <v>60.0</v>
      </c>
      <c r="D71" s="54"/>
      <c r="E71" s="54"/>
      <c r="F71" s="51"/>
      <c r="G71" s="51"/>
      <c r="H71" s="51"/>
      <c r="I71" s="51"/>
      <c r="J71" s="51"/>
      <c r="K71" s="51"/>
      <c r="L71" s="51"/>
      <c r="M71" s="51"/>
      <c r="N71" s="51"/>
      <c r="O71" s="56"/>
      <c r="P71" s="56"/>
      <c r="Q71" s="56"/>
      <c r="R71" s="56"/>
      <c r="S71" s="56"/>
      <c r="T71" s="56"/>
      <c r="U71" s="56"/>
    </row>
    <row r="72" ht="15.75" customHeight="1">
      <c r="A72" s="53" t="s">
        <v>14389</v>
      </c>
      <c r="B72" s="19" t="s">
        <v>944</v>
      </c>
      <c r="C72" s="57">
        <v>122.0</v>
      </c>
      <c r="D72" s="54"/>
      <c r="E72" s="54"/>
      <c r="F72" s="51"/>
      <c r="G72" s="51"/>
      <c r="H72" s="51"/>
      <c r="I72" s="51"/>
      <c r="J72" s="51"/>
      <c r="K72" s="51"/>
      <c r="L72" s="51"/>
      <c r="M72" s="51"/>
      <c r="N72" s="51"/>
      <c r="O72" s="55"/>
      <c r="P72" s="55"/>
      <c r="Q72" s="55"/>
      <c r="R72" s="55"/>
      <c r="S72" s="55"/>
      <c r="T72" s="55"/>
      <c r="U72" s="55"/>
    </row>
    <row r="73" ht="15.75" customHeight="1">
      <c r="A73" s="53" t="s">
        <v>14390</v>
      </c>
      <c r="B73" s="19" t="s">
        <v>946</v>
      </c>
      <c r="C73" s="57">
        <v>184.0</v>
      </c>
      <c r="D73" s="54"/>
      <c r="E73" s="54"/>
      <c r="F73" s="51"/>
      <c r="G73" s="51"/>
      <c r="H73" s="51"/>
      <c r="I73" s="51"/>
      <c r="J73" s="51"/>
      <c r="K73" s="51"/>
      <c r="L73" s="51"/>
      <c r="M73" s="51"/>
      <c r="N73" s="51"/>
      <c r="O73" s="56"/>
      <c r="P73" s="56"/>
      <c r="Q73" s="56"/>
      <c r="R73" s="56"/>
      <c r="S73" s="56"/>
      <c r="T73" s="56"/>
      <c r="U73" s="56"/>
    </row>
    <row r="74" ht="15.75" customHeight="1">
      <c r="A74" s="53" t="s">
        <v>14391</v>
      </c>
      <c r="B74" s="19" t="s">
        <v>948</v>
      </c>
      <c r="C74" s="57">
        <v>132.0</v>
      </c>
      <c r="D74" s="54"/>
      <c r="E74" s="54"/>
      <c r="F74" s="51"/>
      <c r="G74" s="51"/>
      <c r="H74" s="51"/>
      <c r="I74" s="51"/>
      <c r="J74" s="51"/>
      <c r="K74" s="51"/>
      <c r="L74" s="51"/>
      <c r="M74" s="51"/>
      <c r="N74" s="51"/>
      <c r="O74" s="55"/>
      <c r="P74" s="55"/>
      <c r="Q74" s="55"/>
      <c r="R74" s="55"/>
      <c r="S74" s="55"/>
      <c r="T74" s="55"/>
      <c r="U74" s="55"/>
    </row>
    <row r="75" ht="15.75" customHeight="1">
      <c r="A75" s="53" t="s">
        <v>14392</v>
      </c>
      <c r="B75" s="19" t="s">
        <v>950</v>
      </c>
      <c r="C75" s="57">
        <v>174.0</v>
      </c>
      <c r="D75" s="54"/>
      <c r="E75" s="54"/>
      <c r="F75" s="51"/>
      <c r="G75" s="51"/>
      <c r="H75" s="51"/>
      <c r="I75" s="51"/>
      <c r="J75" s="51"/>
      <c r="K75" s="51"/>
      <c r="L75" s="51"/>
      <c r="M75" s="51"/>
      <c r="N75" s="51"/>
      <c r="O75" s="56"/>
      <c r="P75" s="56"/>
      <c r="Q75" s="56"/>
      <c r="R75" s="56"/>
      <c r="S75" s="56"/>
      <c r="T75" s="56"/>
      <c r="U75" s="56"/>
    </row>
    <row r="76" ht="15.75" customHeight="1">
      <c r="A76" s="53" t="s">
        <v>14393</v>
      </c>
      <c r="B76" s="6" t="s">
        <v>940</v>
      </c>
      <c r="C76" s="54">
        <v>667.0</v>
      </c>
      <c r="D76" s="54"/>
      <c r="E76" s="54"/>
      <c r="F76" s="51"/>
      <c r="G76" s="51"/>
      <c r="H76" s="51"/>
      <c r="I76" s="51"/>
      <c r="J76" s="51"/>
      <c r="K76" s="51"/>
      <c r="L76" s="51"/>
      <c r="M76" s="51"/>
      <c r="N76" s="51"/>
      <c r="O76" s="55"/>
      <c r="P76" s="55"/>
      <c r="Q76" s="55"/>
      <c r="R76" s="55"/>
      <c r="S76" s="55"/>
      <c r="T76" s="55"/>
      <c r="U76" s="55"/>
    </row>
    <row r="77" ht="15.75" customHeight="1">
      <c r="A77" s="53" t="s">
        <v>14394</v>
      </c>
      <c r="B77" s="53"/>
      <c r="C77" s="54"/>
      <c r="D77" s="54"/>
      <c r="E77" s="54"/>
      <c r="F77" s="51"/>
      <c r="G77" s="51"/>
      <c r="H77" s="51"/>
      <c r="I77" s="51"/>
      <c r="J77" s="51"/>
      <c r="K77" s="51"/>
      <c r="L77" s="51"/>
      <c r="M77" s="51"/>
      <c r="N77" s="51"/>
      <c r="O77" s="56"/>
      <c r="P77" s="56"/>
      <c r="Q77" s="56"/>
      <c r="R77" s="56"/>
      <c r="S77" s="56"/>
      <c r="T77" s="56"/>
      <c r="U77" s="56"/>
    </row>
    <row r="78" ht="15.75" customHeight="1">
      <c r="A78" s="53" t="s">
        <v>14395</v>
      </c>
      <c r="B78" s="53"/>
      <c r="C78" s="54"/>
      <c r="D78" s="54"/>
      <c r="E78" s="54"/>
      <c r="F78" s="51"/>
      <c r="G78" s="51"/>
      <c r="H78" s="51"/>
      <c r="I78" s="51"/>
      <c r="J78" s="51"/>
      <c r="K78" s="51"/>
      <c r="L78" s="51"/>
      <c r="M78" s="51"/>
      <c r="N78" s="51"/>
      <c r="O78" s="55"/>
      <c r="P78" s="55"/>
      <c r="Q78" s="55"/>
      <c r="R78" s="55"/>
      <c r="S78" s="55"/>
      <c r="T78" s="55"/>
      <c r="U78" s="55"/>
    </row>
    <row r="79" ht="15.75" customHeight="1">
      <c r="A79" s="53" t="s">
        <v>14396</v>
      </c>
      <c r="B79" s="53"/>
      <c r="C79" s="54"/>
      <c r="D79" s="54"/>
      <c r="E79" s="54"/>
      <c r="F79" s="51"/>
      <c r="G79" s="51"/>
      <c r="H79" s="51"/>
      <c r="I79" s="51"/>
      <c r="J79" s="51"/>
      <c r="K79" s="51"/>
      <c r="L79" s="51"/>
      <c r="M79" s="51"/>
      <c r="N79" s="51"/>
      <c r="O79" s="56"/>
      <c r="P79" s="56"/>
      <c r="Q79" s="56"/>
      <c r="R79" s="56"/>
      <c r="S79" s="56"/>
      <c r="T79" s="56"/>
      <c r="U79" s="56"/>
    </row>
    <row r="80" ht="15.75" customHeight="1">
      <c r="A80" s="53" t="s">
        <v>14397</v>
      </c>
      <c r="B80" s="53"/>
      <c r="C80" s="54"/>
      <c r="D80" s="54"/>
      <c r="E80" s="54"/>
      <c r="F80" s="51"/>
      <c r="G80" s="51"/>
      <c r="H80" s="51"/>
      <c r="I80" s="51"/>
      <c r="J80" s="51"/>
      <c r="K80" s="51"/>
      <c r="L80" s="51"/>
      <c r="M80" s="51"/>
      <c r="N80" s="51"/>
      <c r="O80" s="55"/>
      <c r="P80" s="55"/>
      <c r="Q80" s="55"/>
      <c r="R80" s="55"/>
      <c r="S80" s="55"/>
      <c r="T80" s="55"/>
      <c r="U80" s="55"/>
    </row>
    <row r="81" ht="15.75" customHeight="1">
      <c r="A81" s="53" t="s">
        <v>14398</v>
      </c>
      <c r="B81" s="53"/>
      <c r="C81" s="54"/>
      <c r="D81" s="54"/>
      <c r="E81" s="54"/>
      <c r="F81" s="51"/>
      <c r="G81" s="51"/>
      <c r="H81" s="51"/>
      <c r="I81" s="51"/>
      <c r="J81" s="51"/>
      <c r="K81" s="51"/>
      <c r="L81" s="51"/>
      <c r="M81" s="51"/>
      <c r="N81" s="51"/>
      <c r="O81" s="56"/>
      <c r="P81" s="56"/>
      <c r="Q81" s="56"/>
      <c r="R81" s="56"/>
      <c r="S81" s="56"/>
      <c r="T81" s="56"/>
      <c r="U81" s="56"/>
    </row>
    <row r="82" ht="15.75" customHeight="1">
      <c r="A82" s="53" t="s">
        <v>14399</v>
      </c>
      <c r="B82" s="53"/>
      <c r="C82" s="54"/>
      <c r="D82" s="54"/>
      <c r="E82" s="54"/>
      <c r="F82" s="51"/>
      <c r="G82" s="51"/>
      <c r="H82" s="51"/>
      <c r="I82" s="51"/>
      <c r="J82" s="51"/>
      <c r="K82" s="51"/>
      <c r="L82" s="51"/>
      <c r="M82" s="51"/>
      <c r="N82" s="51"/>
      <c r="O82" s="55"/>
      <c r="P82" s="55"/>
      <c r="Q82" s="55"/>
      <c r="R82" s="55"/>
      <c r="S82" s="55"/>
      <c r="T82" s="55"/>
      <c r="U82" s="55"/>
    </row>
    <row r="83" ht="15.75" customHeight="1">
      <c r="A83" s="53" t="s">
        <v>14400</v>
      </c>
      <c r="B83" s="53"/>
      <c r="C83" s="54"/>
      <c r="D83" s="54"/>
      <c r="E83" s="54"/>
      <c r="F83" s="51"/>
      <c r="G83" s="51"/>
      <c r="H83" s="51"/>
      <c r="I83" s="51"/>
      <c r="J83" s="51"/>
      <c r="K83" s="51"/>
      <c r="L83" s="51"/>
      <c r="M83" s="51"/>
      <c r="N83" s="51"/>
      <c r="O83" s="56"/>
      <c r="P83" s="56"/>
      <c r="Q83" s="56"/>
      <c r="R83" s="56"/>
      <c r="S83" s="56"/>
      <c r="T83" s="56"/>
      <c r="U83" s="56"/>
    </row>
    <row r="84" ht="15.75" customHeight="1">
      <c r="A84" s="53" t="s">
        <v>14401</v>
      </c>
      <c r="B84" s="53"/>
      <c r="C84" s="54"/>
      <c r="D84" s="54"/>
      <c r="E84" s="54"/>
      <c r="F84" s="51"/>
      <c r="G84" s="51"/>
      <c r="H84" s="51"/>
      <c r="I84" s="51"/>
      <c r="J84" s="51"/>
      <c r="K84" s="51"/>
      <c r="L84" s="51"/>
      <c r="M84" s="51"/>
      <c r="N84" s="51"/>
      <c r="O84" s="55"/>
      <c r="P84" s="55"/>
      <c r="Q84" s="55"/>
      <c r="R84" s="55"/>
      <c r="S84" s="55"/>
      <c r="T84" s="55"/>
      <c r="U84" s="55"/>
    </row>
    <row r="85" ht="15.75" customHeight="1">
      <c r="A85" s="53" t="s">
        <v>14402</v>
      </c>
      <c r="B85" s="53"/>
      <c r="C85" s="54"/>
      <c r="D85" s="54"/>
      <c r="E85" s="54"/>
      <c r="F85" s="51"/>
      <c r="G85" s="51"/>
      <c r="H85" s="51"/>
      <c r="I85" s="51"/>
      <c r="J85" s="51"/>
      <c r="K85" s="51"/>
      <c r="L85" s="51"/>
      <c r="M85" s="51"/>
      <c r="N85" s="51"/>
      <c r="O85" s="56"/>
      <c r="P85" s="56"/>
      <c r="Q85" s="56"/>
      <c r="R85" s="56"/>
      <c r="S85" s="56"/>
      <c r="T85" s="56"/>
      <c r="U85" s="56"/>
    </row>
    <row r="86" ht="15.75" customHeight="1">
      <c r="A86" s="53" t="s">
        <v>14403</v>
      </c>
      <c r="B86" s="53"/>
      <c r="C86" s="54"/>
      <c r="D86" s="54"/>
      <c r="E86" s="54"/>
      <c r="F86" s="51"/>
      <c r="G86" s="51"/>
      <c r="H86" s="51"/>
      <c r="I86" s="51"/>
      <c r="J86" s="51"/>
      <c r="K86" s="51"/>
      <c r="L86" s="51"/>
      <c r="M86" s="51"/>
      <c r="N86" s="51"/>
      <c r="O86" s="55"/>
      <c r="P86" s="55"/>
      <c r="Q86" s="55"/>
      <c r="R86" s="55"/>
      <c r="S86" s="55"/>
      <c r="T86" s="55"/>
      <c r="U86" s="55"/>
    </row>
    <row r="87" ht="15.75" customHeight="1">
      <c r="A87" s="53" t="s">
        <v>14404</v>
      </c>
      <c r="B87" s="53"/>
      <c r="C87" s="54"/>
      <c r="D87" s="54"/>
      <c r="E87" s="54"/>
      <c r="F87" s="51"/>
      <c r="G87" s="51"/>
      <c r="H87" s="51"/>
      <c r="I87" s="51"/>
      <c r="J87" s="51"/>
      <c r="K87" s="51"/>
      <c r="L87" s="51"/>
      <c r="M87" s="51"/>
      <c r="N87" s="51"/>
      <c r="O87" s="56"/>
      <c r="P87" s="56"/>
      <c r="Q87" s="56"/>
      <c r="R87" s="56"/>
      <c r="S87" s="56"/>
      <c r="T87" s="56"/>
      <c r="U87" s="56"/>
    </row>
    <row r="88" ht="15.75" customHeight="1">
      <c r="A88" s="53" t="s">
        <v>14405</v>
      </c>
      <c r="B88" s="53"/>
      <c r="C88" s="54"/>
      <c r="D88" s="54"/>
      <c r="E88" s="54"/>
      <c r="F88" s="51"/>
      <c r="G88" s="51"/>
      <c r="H88" s="51"/>
      <c r="I88" s="51"/>
      <c r="J88" s="51"/>
      <c r="K88" s="51"/>
      <c r="L88" s="51"/>
      <c r="M88" s="51"/>
      <c r="N88" s="51"/>
      <c r="O88" s="55"/>
      <c r="P88" s="55"/>
      <c r="Q88" s="55"/>
      <c r="R88" s="55"/>
      <c r="S88" s="55"/>
      <c r="T88" s="55"/>
      <c r="U88" s="55"/>
    </row>
    <row r="89" ht="15.75" customHeight="1">
      <c r="A89" s="53" t="s">
        <v>14406</v>
      </c>
      <c r="B89" s="53"/>
      <c r="C89" s="54"/>
      <c r="D89" s="54"/>
      <c r="E89" s="54"/>
      <c r="F89" s="51"/>
      <c r="G89" s="51"/>
      <c r="H89" s="51"/>
      <c r="I89" s="51"/>
      <c r="J89" s="51"/>
      <c r="K89" s="51"/>
      <c r="L89" s="51"/>
      <c r="M89" s="51"/>
      <c r="N89" s="51"/>
      <c r="O89" s="56"/>
      <c r="P89" s="56"/>
      <c r="Q89" s="56"/>
      <c r="R89" s="56"/>
      <c r="S89" s="56"/>
      <c r="T89" s="56"/>
      <c r="U89" s="56"/>
    </row>
    <row r="90" ht="15.75" customHeight="1">
      <c r="A90" s="53" t="s">
        <v>14407</v>
      </c>
      <c r="B90" s="53"/>
      <c r="C90" s="54"/>
      <c r="D90" s="54"/>
      <c r="E90" s="54"/>
      <c r="F90" s="51"/>
      <c r="G90" s="51"/>
      <c r="H90" s="51"/>
      <c r="I90" s="51"/>
      <c r="J90" s="51"/>
      <c r="K90" s="51"/>
      <c r="L90" s="51"/>
      <c r="M90" s="51"/>
      <c r="N90" s="51"/>
      <c r="O90" s="55"/>
      <c r="P90" s="55"/>
      <c r="Q90" s="55"/>
      <c r="R90" s="55"/>
      <c r="S90" s="55"/>
      <c r="T90" s="55"/>
      <c r="U90" s="55"/>
    </row>
    <row r="91" ht="15.75" customHeight="1">
      <c r="A91" s="53" t="s">
        <v>14408</v>
      </c>
      <c r="B91" s="53"/>
      <c r="C91" s="54"/>
      <c r="D91" s="54"/>
      <c r="E91" s="54"/>
      <c r="F91" s="51"/>
      <c r="G91" s="51"/>
      <c r="H91" s="51"/>
      <c r="I91" s="51"/>
      <c r="J91" s="51"/>
      <c r="K91" s="51"/>
      <c r="L91" s="51"/>
      <c r="M91" s="51"/>
      <c r="N91" s="51"/>
      <c r="O91" s="56"/>
      <c r="P91" s="56"/>
      <c r="Q91" s="56"/>
      <c r="R91" s="56"/>
      <c r="S91" s="56"/>
      <c r="T91" s="56"/>
      <c r="U91" s="56"/>
    </row>
    <row r="92" ht="15.75" customHeight="1">
      <c r="A92" s="53" t="s">
        <v>14409</v>
      </c>
      <c r="B92" s="53"/>
      <c r="C92" s="54"/>
      <c r="D92" s="54"/>
      <c r="E92" s="54"/>
      <c r="F92" s="51"/>
      <c r="G92" s="51"/>
      <c r="H92" s="51"/>
      <c r="I92" s="51"/>
      <c r="J92" s="51"/>
      <c r="K92" s="51"/>
      <c r="L92" s="51"/>
      <c r="M92" s="51"/>
      <c r="N92" s="51"/>
      <c r="O92" s="55"/>
      <c r="P92" s="55"/>
      <c r="Q92" s="55"/>
      <c r="R92" s="55"/>
      <c r="S92" s="55"/>
      <c r="T92" s="55"/>
      <c r="U92" s="55"/>
    </row>
    <row r="93" ht="15.75" customHeight="1">
      <c r="A93" s="53" t="s">
        <v>14410</v>
      </c>
      <c r="B93" s="53"/>
      <c r="C93" s="54"/>
      <c r="D93" s="54"/>
      <c r="E93" s="54"/>
      <c r="F93" s="51"/>
      <c r="G93" s="51"/>
      <c r="H93" s="51"/>
      <c r="I93" s="51"/>
      <c r="J93" s="51"/>
      <c r="K93" s="51"/>
      <c r="L93" s="51"/>
      <c r="M93" s="51"/>
      <c r="N93" s="51"/>
      <c r="O93" s="56"/>
      <c r="P93" s="56"/>
      <c r="Q93" s="56"/>
      <c r="R93" s="56"/>
      <c r="S93" s="56"/>
      <c r="T93" s="56"/>
      <c r="U93" s="56"/>
    </row>
    <row r="94" ht="15.75" customHeight="1">
      <c r="A94" s="53" t="s">
        <v>14411</v>
      </c>
      <c r="B94" s="53"/>
      <c r="C94" s="54"/>
      <c r="D94" s="54"/>
      <c r="E94" s="54"/>
      <c r="F94" s="51"/>
      <c r="G94" s="51"/>
      <c r="H94" s="51"/>
      <c r="I94" s="51"/>
      <c r="J94" s="51"/>
      <c r="K94" s="51"/>
      <c r="L94" s="51"/>
      <c r="M94" s="51"/>
      <c r="N94" s="51"/>
      <c r="O94" s="55"/>
      <c r="P94" s="55"/>
      <c r="Q94" s="55"/>
      <c r="R94" s="55"/>
      <c r="S94" s="55"/>
      <c r="T94" s="55"/>
      <c r="U94" s="55"/>
    </row>
    <row r="95" ht="15.75" customHeight="1">
      <c r="A95" s="53" t="s">
        <v>14412</v>
      </c>
      <c r="B95" s="53"/>
      <c r="C95" s="54"/>
      <c r="D95" s="54"/>
      <c r="E95" s="54"/>
      <c r="F95" s="51"/>
      <c r="G95" s="51"/>
      <c r="H95" s="51"/>
      <c r="I95" s="51"/>
      <c r="J95" s="51"/>
      <c r="K95" s="51"/>
      <c r="L95" s="51"/>
      <c r="M95" s="51"/>
      <c r="N95" s="51"/>
      <c r="O95" s="56"/>
      <c r="P95" s="56"/>
      <c r="Q95" s="56"/>
      <c r="R95" s="56"/>
      <c r="S95" s="56"/>
      <c r="T95" s="56"/>
      <c r="U95" s="56"/>
    </row>
    <row r="96" ht="15.75" customHeight="1">
      <c r="A96" s="53" t="s">
        <v>14413</v>
      </c>
      <c r="B96" s="53"/>
      <c r="C96" s="54"/>
      <c r="D96" s="54"/>
      <c r="E96" s="54"/>
      <c r="F96" s="51"/>
      <c r="G96" s="51"/>
      <c r="H96" s="51"/>
      <c r="I96" s="51"/>
      <c r="J96" s="51"/>
      <c r="K96" s="51"/>
      <c r="L96" s="51"/>
      <c r="M96" s="51"/>
      <c r="N96" s="51"/>
      <c r="O96" s="55"/>
      <c r="P96" s="55"/>
      <c r="Q96" s="55"/>
      <c r="R96" s="55"/>
      <c r="S96" s="55"/>
      <c r="T96" s="55"/>
      <c r="U96" s="55"/>
    </row>
    <row r="97" ht="15.75" customHeight="1">
      <c r="A97" s="53" t="s">
        <v>14414</v>
      </c>
      <c r="B97" s="53"/>
      <c r="C97" s="54"/>
      <c r="D97" s="54"/>
      <c r="E97" s="54"/>
      <c r="F97" s="51"/>
      <c r="G97" s="51"/>
      <c r="H97" s="51"/>
      <c r="I97" s="51"/>
      <c r="J97" s="51"/>
      <c r="K97" s="51"/>
      <c r="L97" s="51"/>
      <c r="M97" s="51"/>
      <c r="N97" s="51"/>
      <c r="O97" s="56"/>
      <c r="P97" s="56"/>
      <c r="Q97" s="56"/>
      <c r="R97" s="56"/>
      <c r="S97" s="56"/>
      <c r="T97" s="56"/>
      <c r="U97" s="56"/>
    </row>
    <row r="98" ht="15.75" customHeight="1">
      <c r="A98" s="53" t="s">
        <v>14415</v>
      </c>
      <c r="B98" s="53"/>
      <c r="C98" s="54"/>
      <c r="D98" s="54"/>
      <c r="E98" s="54"/>
      <c r="F98" s="51"/>
      <c r="G98" s="51"/>
      <c r="H98" s="51"/>
      <c r="I98" s="51"/>
      <c r="J98" s="51"/>
      <c r="K98" s="51"/>
      <c r="L98" s="51"/>
      <c r="M98" s="51"/>
      <c r="N98" s="51"/>
      <c r="O98" s="55"/>
      <c r="P98" s="55"/>
      <c r="Q98" s="55"/>
      <c r="R98" s="55"/>
      <c r="S98" s="55"/>
      <c r="T98" s="55"/>
      <c r="U98" s="55"/>
    </row>
    <row r="99" ht="15.75" customHeight="1">
      <c r="A99" s="53" t="s">
        <v>14416</v>
      </c>
      <c r="B99" s="53"/>
      <c r="C99" s="54"/>
      <c r="D99" s="54"/>
      <c r="E99" s="54"/>
      <c r="F99" s="51"/>
      <c r="G99" s="51"/>
      <c r="H99" s="51"/>
      <c r="I99" s="51"/>
      <c r="J99" s="51"/>
      <c r="K99" s="51"/>
      <c r="L99" s="51"/>
      <c r="M99" s="51"/>
      <c r="N99" s="51"/>
      <c r="O99" s="56"/>
      <c r="P99" s="56"/>
      <c r="Q99" s="56"/>
      <c r="R99" s="56"/>
      <c r="S99" s="56"/>
      <c r="T99" s="56"/>
      <c r="U99" s="56"/>
    </row>
    <row r="100" ht="15.75" customHeight="1">
      <c r="A100" s="53" t="s">
        <v>14417</v>
      </c>
      <c r="B100" s="53"/>
      <c r="C100" s="54"/>
      <c r="D100" s="54"/>
      <c r="E100" s="54"/>
      <c r="F100" s="51"/>
      <c r="G100" s="51"/>
      <c r="H100" s="51"/>
      <c r="I100" s="51"/>
      <c r="J100" s="51"/>
      <c r="K100" s="51"/>
      <c r="L100" s="51"/>
      <c r="M100" s="51"/>
      <c r="N100" s="51"/>
      <c r="O100" s="55"/>
      <c r="P100" s="55"/>
      <c r="Q100" s="55"/>
      <c r="R100" s="55"/>
      <c r="S100" s="55"/>
      <c r="T100" s="55"/>
      <c r="U100" s="55"/>
    </row>
    <row r="101" ht="15.75" customHeight="1">
      <c r="A101" s="53" t="s">
        <v>14418</v>
      </c>
      <c r="B101" s="53"/>
      <c r="C101" s="54"/>
      <c r="D101" s="54"/>
      <c r="E101" s="54"/>
      <c r="F101" s="51"/>
      <c r="G101" s="51"/>
      <c r="H101" s="51"/>
      <c r="I101" s="51"/>
      <c r="J101" s="51"/>
      <c r="K101" s="51"/>
      <c r="L101" s="51"/>
      <c r="M101" s="51"/>
      <c r="N101" s="51"/>
      <c r="O101" s="56"/>
      <c r="P101" s="56"/>
      <c r="Q101" s="56"/>
      <c r="R101" s="56"/>
      <c r="S101" s="56"/>
      <c r="T101" s="56"/>
      <c r="U101" s="56"/>
    </row>
    <row r="102" ht="15.75" customHeight="1">
      <c r="A102" s="53" t="s">
        <v>14419</v>
      </c>
      <c r="B102" s="53"/>
      <c r="C102" s="54"/>
      <c r="D102" s="54"/>
      <c r="E102" s="54"/>
      <c r="F102" s="51"/>
      <c r="G102" s="51"/>
      <c r="H102" s="51"/>
      <c r="I102" s="51"/>
      <c r="J102" s="51"/>
      <c r="K102" s="51"/>
      <c r="L102" s="51"/>
      <c r="M102" s="51"/>
      <c r="N102" s="51"/>
      <c r="O102" s="55"/>
      <c r="P102" s="55"/>
      <c r="Q102" s="55"/>
      <c r="R102" s="55"/>
      <c r="S102" s="55"/>
      <c r="T102" s="55"/>
      <c r="U102" s="55"/>
    </row>
    <row r="103" ht="15.75" customHeight="1">
      <c r="A103" s="53" t="s">
        <v>14420</v>
      </c>
      <c r="B103" s="53"/>
      <c r="C103" s="54"/>
      <c r="D103" s="54"/>
      <c r="E103" s="54"/>
      <c r="F103" s="51"/>
      <c r="G103" s="51"/>
      <c r="H103" s="51"/>
      <c r="I103" s="51"/>
      <c r="J103" s="51"/>
      <c r="K103" s="51"/>
      <c r="L103" s="51"/>
      <c r="M103" s="51"/>
      <c r="N103" s="51"/>
      <c r="O103" s="56"/>
      <c r="P103" s="56"/>
      <c r="Q103" s="56"/>
      <c r="R103" s="56"/>
      <c r="S103" s="56"/>
      <c r="T103" s="56"/>
      <c r="U103" s="56"/>
    </row>
    <row r="104" ht="15.75" customHeight="1">
      <c r="A104" s="53" t="s">
        <v>14421</v>
      </c>
      <c r="B104" s="53"/>
      <c r="C104" s="54"/>
      <c r="D104" s="54"/>
      <c r="E104" s="54"/>
      <c r="F104" s="51"/>
      <c r="G104" s="51"/>
      <c r="H104" s="51"/>
      <c r="I104" s="51"/>
      <c r="J104" s="51"/>
      <c r="K104" s="51"/>
      <c r="L104" s="51"/>
      <c r="M104" s="51"/>
      <c r="N104" s="51"/>
      <c r="O104" s="55"/>
      <c r="P104" s="55"/>
      <c r="Q104" s="55"/>
      <c r="R104" s="55"/>
      <c r="S104" s="55"/>
      <c r="T104" s="55"/>
      <c r="U104" s="55"/>
    </row>
    <row r="105" ht="15.75" customHeight="1">
      <c r="A105" s="53" t="s">
        <v>14422</v>
      </c>
      <c r="B105" s="53"/>
      <c r="C105" s="54"/>
      <c r="D105" s="54"/>
      <c r="E105" s="54"/>
      <c r="F105" s="51"/>
      <c r="G105" s="51"/>
      <c r="H105" s="51"/>
      <c r="I105" s="51"/>
      <c r="J105" s="51"/>
      <c r="K105" s="51"/>
      <c r="L105" s="51"/>
      <c r="M105" s="51"/>
      <c r="N105" s="51"/>
      <c r="O105" s="56"/>
      <c r="P105" s="56"/>
      <c r="Q105" s="56"/>
      <c r="R105" s="56"/>
      <c r="S105" s="56"/>
      <c r="T105" s="56"/>
      <c r="U105" s="56"/>
    </row>
    <row r="106" ht="15.75" customHeight="1">
      <c r="A106" s="53" t="s">
        <v>14423</v>
      </c>
      <c r="B106" s="53"/>
      <c r="C106" s="54"/>
      <c r="D106" s="54"/>
      <c r="E106" s="54"/>
      <c r="F106" s="51"/>
      <c r="G106" s="51"/>
      <c r="H106" s="51"/>
      <c r="I106" s="51"/>
      <c r="J106" s="51"/>
      <c r="K106" s="51"/>
      <c r="L106" s="51"/>
      <c r="M106" s="51"/>
      <c r="N106" s="51"/>
      <c r="O106" s="55"/>
      <c r="P106" s="55"/>
      <c r="Q106" s="55"/>
      <c r="R106" s="55"/>
      <c r="S106" s="55"/>
      <c r="T106" s="55"/>
      <c r="U106" s="55"/>
    </row>
    <row r="107" ht="15.75" customHeight="1">
      <c r="A107" s="53" t="s">
        <v>14424</v>
      </c>
      <c r="B107" s="53"/>
      <c r="C107" s="54"/>
      <c r="D107" s="54"/>
      <c r="E107" s="54"/>
      <c r="F107" s="51"/>
      <c r="G107" s="51"/>
      <c r="H107" s="51"/>
      <c r="I107" s="51"/>
      <c r="J107" s="51"/>
      <c r="K107" s="51"/>
      <c r="L107" s="51"/>
      <c r="M107" s="51"/>
      <c r="N107" s="51"/>
      <c r="O107" s="56"/>
      <c r="P107" s="56"/>
      <c r="Q107" s="56"/>
      <c r="R107" s="56"/>
      <c r="S107" s="56"/>
      <c r="T107" s="56"/>
      <c r="U107" s="56"/>
    </row>
    <row r="108" ht="15.75" customHeight="1">
      <c r="A108" s="53" t="s">
        <v>14425</v>
      </c>
      <c r="B108" s="53"/>
      <c r="C108" s="54"/>
      <c r="D108" s="54"/>
      <c r="E108" s="54"/>
      <c r="F108" s="51"/>
      <c r="G108" s="51"/>
      <c r="H108" s="51"/>
      <c r="I108" s="51"/>
      <c r="J108" s="51"/>
      <c r="K108" s="51"/>
      <c r="L108" s="51"/>
      <c r="M108" s="51"/>
      <c r="N108" s="51"/>
      <c r="O108" s="55"/>
      <c r="P108" s="55"/>
      <c r="Q108" s="55"/>
      <c r="R108" s="55"/>
      <c r="S108" s="55"/>
      <c r="T108" s="55"/>
      <c r="U108" s="55"/>
    </row>
    <row r="109" ht="15.75" customHeight="1">
      <c r="A109" s="53" t="s">
        <v>14426</v>
      </c>
      <c r="B109" s="53"/>
      <c r="C109" s="54"/>
      <c r="D109" s="54"/>
      <c r="E109" s="54"/>
      <c r="F109" s="51"/>
      <c r="G109" s="51"/>
      <c r="H109" s="51"/>
      <c r="I109" s="51"/>
      <c r="J109" s="51"/>
      <c r="K109" s="51"/>
      <c r="L109" s="51"/>
      <c r="M109" s="51"/>
      <c r="N109" s="51"/>
      <c r="O109" s="56"/>
      <c r="P109" s="56"/>
      <c r="Q109" s="56"/>
      <c r="R109" s="56"/>
      <c r="S109" s="56"/>
      <c r="T109" s="56"/>
      <c r="U109" s="56"/>
    </row>
    <row r="110" ht="15.75" customHeight="1">
      <c r="A110" s="53" t="s">
        <v>14427</v>
      </c>
      <c r="B110" s="53"/>
      <c r="C110" s="54"/>
      <c r="D110" s="54"/>
      <c r="E110" s="54"/>
      <c r="F110" s="51"/>
      <c r="G110" s="51"/>
      <c r="H110" s="51"/>
      <c r="I110" s="51"/>
      <c r="J110" s="51"/>
      <c r="K110" s="51"/>
      <c r="L110" s="51"/>
      <c r="M110" s="51"/>
      <c r="N110" s="51"/>
      <c r="O110" s="55"/>
      <c r="P110" s="55"/>
      <c r="Q110" s="55"/>
      <c r="R110" s="55"/>
      <c r="S110" s="55"/>
      <c r="T110" s="55"/>
      <c r="U110" s="55"/>
    </row>
    <row r="111" ht="15.75" customHeight="1">
      <c r="A111" s="53" t="s">
        <v>14428</v>
      </c>
      <c r="B111" s="53"/>
      <c r="C111" s="54"/>
      <c r="D111" s="54"/>
      <c r="E111" s="54"/>
      <c r="F111" s="51"/>
      <c r="G111" s="51"/>
      <c r="H111" s="51"/>
      <c r="I111" s="51"/>
      <c r="J111" s="51"/>
      <c r="K111" s="51"/>
      <c r="L111" s="51"/>
      <c r="M111" s="51"/>
      <c r="N111" s="51"/>
      <c r="O111" s="56"/>
      <c r="P111" s="56"/>
      <c r="Q111" s="56"/>
      <c r="R111" s="56"/>
      <c r="S111" s="56"/>
      <c r="T111" s="56"/>
      <c r="U111" s="56"/>
    </row>
    <row r="112" ht="15.75" customHeight="1">
      <c r="A112" s="53" t="s">
        <v>14429</v>
      </c>
      <c r="B112" s="53"/>
      <c r="C112" s="54"/>
      <c r="D112" s="54"/>
      <c r="E112" s="54"/>
      <c r="F112" s="51"/>
      <c r="G112" s="51"/>
      <c r="H112" s="51"/>
      <c r="I112" s="51"/>
      <c r="J112" s="51"/>
      <c r="K112" s="51"/>
      <c r="L112" s="51"/>
      <c r="M112" s="51"/>
      <c r="N112" s="51"/>
      <c r="O112" s="55"/>
      <c r="P112" s="55"/>
      <c r="Q112" s="55"/>
      <c r="R112" s="55"/>
      <c r="S112" s="55"/>
      <c r="T112" s="55"/>
      <c r="U112" s="55"/>
    </row>
    <row r="113" ht="15.75" customHeight="1">
      <c r="A113" s="53" t="s">
        <v>14430</v>
      </c>
      <c r="B113" s="53"/>
      <c r="C113" s="54"/>
      <c r="D113" s="54"/>
      <c r="E113" s="54"/>
      <c r="F113" s="51"/>
      <c r="G113" s="51"/>
      <c r="H113" s="51"/>
      <c r="I113" s="51"/>
      <c r="J113" s="51"/>
      <c r="K113" s="51"/>
      <c r="L113" s="51"/>
      <c r="M113" s="51"/>
      <c r="N113" s="51"/>
      <c r="O113" s="56"/>
      <c r="P113" s="56"/>
      <c r="Q113" s="56"/>
      <c r="R113" s="56"/>
      <c r="S113" s="56"/>
      <c r="T113" s="56"/>
      <c r="U113" s="56"/>
    </row>
    <row r="114" ht="15.75" customHeight="1">
      <c r="A114" s="53" t="s">
        <v>14431</v>
      </c>
      <c r="B114" s="53"/>
      <c r="C114" s="54"/>
      <c r="D114" s="54"/>
      <c r="E114" s="54"/>
      <c r="F114" s="51"/>
      <c r="G114" s="51"/>
      <c r="H114" s="51"/>
      <c r="I114" s="51"/>
      <c r="J114" s="51"/>
      <c r="K114" s="51"/>
      <c r="L114" s="51"/>
      <c r="M114" s="51"/>
      <c r="N114" s="51"/>
      <c r="O114" s="55"/>
      <c r="P114" s="55"/>
      <c r="Q114" s="55"/>
      <c r="R114" s="55"/>
      <c r="S114" s="55"/>
      <c r="T114" s="55"/>
      <c r="U114" s="55"/>
    </row>
    <row r="115" ht="15.75" customHeight="1">
      <c r="A115" s="53" t="s">
        <v>14432</v>
      </c>
      <c r="B115" s="53"/>
      <c r="C115" s="54"/>
      <c r="D115" s="54"/>
      <c r="E115" s="54"/>
      <c r="F115" s="51"/>
      <c r="G115" s="51"/>
      <c r="H115" s="51"/>
      <c r="I115" s="51"/>
      <c r="J115" s="51"/>
      <c r="K115" s="51"/>
      <c r="L115" s="51"/>
      <c r="M115" s="51"/>
      <c r="N115" s="51"/>
      <c r="O115" s="56"/>
      <c r="P115" s="56"/>
      <c r="Q115" s="56"/>
      <c r="R115" s="56"/>
      <c r="S115" s="56"/>
      <c r="T115" s="56"/>
      <c r="U115" s="56"/>
    </row>
    <row r="116" ht="15.75" customHeight="1">
      <c r="A116" s="53" t="s">
        <v>14433</v>
      </c>
      <c r="B116" s="53"/>
      <c r="C116" s="54"/>
      <c r="D116" s="54"/>
      <c r="E116" s="54"/>
      <c r="F116" s="51"/>
      <c r="G116" s="51"/>
      <c r="H116" s="51"/>
      <c r="I116" s="51"/>
      <c r="J116" s="51"/>
      <c r="K116" s="51"/>
      <c r="L116" s="51"/>
      <c r="M116" s="51"/>
      <c r="N116" s="51"/>
      <c r="O116" s="55"/>
      <c r="P116" s="55"/>
      <c r="Q116" s="55"/>
      <c r="R116" s="55"/>
      <c r="S116" s="55"/>
      <c r="T116" s="55"/>
      <c r="U116" s="55"/>
    </row>
    <row r="117" ht="15.75" customHeight="1">
      <c r="A117" s="53" t="s">
        <v>14434</v>
      </c>
      <c r="B117" s="53"/>
      <c r="C117" s="54"/>
      <c r="D117" s="54"/>
      <c r="E117" s="54"/>
      <c r="F117" s="51"/>
      <c r="G117" s="51"/>
      <c r="H117" s="51"/>
      <c r="I117" s="51"/>
      <c r="J117" s="51"/>
      <c r="K117" s="51"/>
      <c r="L117" s="51"/>
      <c r="M117" s="51"/>
      <c r="N117" s="51"/>
      <c r="O117" s="56"/>
      <c r="P117" s="56"/>
      <c r="Q117" s="56"/>
      <c r="R117" s="56"/>
      <c r="S117" s="56"/>
      <c r="T117" s="56"/>
      <c r="U117" s="56"/>
    </row>
    <row r="118" ht="15.75" customHeight="1">
      <c r="A118" s="53" t="s">
        <v>14435</v>
      </c>
      <c r="B118" s="53"/>
      <c r="C118" s="54"/>
      <c r="D118" s="54"/>
      <c r="E118" s="54"/>
      <c r="F118" s="51"/>
      <c r="G118" s="51"/>
      <c r="H118" s="51"/>
      <c r="I118" s="51"/>
      <c r="J118" s="51"/>
      <c r="K118" s="51"/>
      <c r="L118" s="51"/>
      <c r="M118" s="51"/>
      <c r="N118" s="51"/>
      <c r="O118" s="55"/>
      <c r="P118" s="55"/>
      <c r="Q118" s="55"/>
      <c r="R118" s="55"/>
      <c r="S118" s="55"/>
      <c r="T118" s="55"/>
      <c r="U118" s="55"/>
    </row>
    <row r="119" ht="15.75" customHeight="1">
      <c r="A119" s="53" t="s">
        <v>14436</v>
      </c>
      <c r="B119" s="53"/>
      <c r="C119" s="54"/>
      <c r="D119" s="54"/>
      <c r="E119" s="54"/>
      <c r="F119" s="51"/>
      <c r="G119" s="51"/>
      <c r="H119" s="51"/>
      <c r="I119" s="51"/>
      <c r="J119" s="51"/>
      <c r="K119" s="51"/>
      <c r="L119" s="51"/>
      <c r="M119" s="51"/>
      <c r="N119" s="51"/>
      <c r="O119" s="56"/>
      <c r="P119" s="56"/>
      <c r="Q119" s="56"/>
      <c r="R119" s="56"/>
      <c r="S119" s="56"/>
      <c r="T119" s="56"/>
      <c r="U119" s="56"/>
    </row>
    <row r="120" ht="15.75" customHeight="1">
      <c r="A120" s="53" t="s">
        <v>14437</v>
      </c>
      <c r="B120" s="53"/>
      <c r="C120" s="54"/>
      <c r="D120" s="54"/>
      <c r="E120" s="54"/>
      <c r="F120" s="51"/>
      <c r="G120" s="51"/>
      <c r="H120" s="51"/>
      <c r="I120" s="51"/>
      <c r="J120" s="51"/>
      <c r="K120" s="51"/>
      <c r="L120" s="51"/>
      <c r="M120" s="51"/>
      <c r="N120" s="51"/>
      <c r="O120" s="55"/>
      <c r="P120" s="55"/>
      <c r="Q120" s="55"/>
      <c r="R120" s="55"/>
      <c r="S120" s="55"/>
      <c r="T120" s="55"/>
      <c r="U120" s="55"/>
    </row>
    <row r="121" ht="15.75" customHeight="1">
      <c r="A121" s="53" t="s">
        <v>14438</v>
      </c>
      <c r="B121" s="53"/>
      <c r="C121" s="54"/>
      <c r="D121" s="54"/>
      <c r="E121" s="54"/>
      <c r="F121" s="51"/>
      <c r="G121" s="51"/>
      <c r="H121" s="51"/>
      <c r="I121" s="51"/>
      <c r="J121" s="51"/>
      <c r="K121" s="51"/>
      <c r="L121" s="51"/>
      <c r="M121" s="51"/>
      <c r="N121" s="51"/>
      <c r="O121" s="56"/>
      <c r="P121" s="56"/>
      <c r="Q121" s="56"/>
      <c r="R121" s="56"/>
      <c r="S121" s="56"/>
      <c r="T121" s="56"/>
      <c r="U121" s="56"/>
    </row>
    <row r="122" ht="15.75" customHeight="1">
      <c r="A122" s="53" t="s">
        <v>14439</v>
      </c>
      <c r="B122" s="53"/>
      <c r="C122" s="54"/>
      <c r="D122" s="54"/>
      <c r="E122" s="54"/>
      <c r="F122" s="51"/>
      <c r="G122" s="51"/>
      <c r="H122" s="51"/>
      <c r="I122" s="51"/>
      <c r="J122" s="51"/>
      <c r="K122" s="51"/>
      <c r="L122" s="51"/>
      <c r="M122" s="51"/>
      <c r="N122" s="51"/>
      <c r="O122" s="55"/>
      <c r="P122" s="55"/>
      <c r="Q122" s="55"/>
      <c r="R122" s="55"/>
      <c r="S122" s="55"/>
      <c r="T122" s="55"/>
      <c r="U122" s="55"/>
    </row>
    <row r="123" ht="15.75" customHeight="1">
      <c r="A123" s="53" t="s">
        <v>14440</v>
      </c>
      <c r="B123" s="53"/>
      <c r="C123" s="54"/>
      <c r="D123" s="54"/>
      <c r="E123" s="54"/>
      <c r="F123" s="51"/>
      <c r="G123" s="51"/>
      <c r="H123" s="51"/>
      <c r="I123" s="51"/>
      <c r="J123" s="51"/>
      <c r="K123" s="51"/>
      <c r="L123" s="51"/>
      <c r="M123" s="51"/>
      <c r="N123" s="51"/>
      <c r="O123" s="56"/>
      <c r="P123" s="56"/>
      <c r="Q123" s="56"/>
      <c r="R123" s="56"/>
      <c r="S123" s="56"/>
      <c r="T123" s="56"/>
      <c r="U123" s="56"/>
    </row>
    <row r="124" ht="15.75" customHeight="1">
      <c r="A124" s="53" t="s">
        <v>14441</v>
      </c>
      <c r="B124" s="53"/>
      <c r="C124" s="54"/>
      <c r="D124" s="54"/>
      <c r="E124" s="54"/>
      <c r="F124" s="51"/>
      <c r="G124" s="51"/>
      <c r="H124" s="51"/>
      <c r="I124" s="51"/>
      <c r="J124" s="51"/>
      <c r="K124" s="51"/>
      <c r="L124" s="51"/>
      <c r="M124" s="51"/>
      <c r="N124" s="51"/>
      <c r="O124" s="55"/>
      <c r="P124" s="55"/>
      <c r="Q124" s="55"/>
      <c r="R124" s="55"/>
      <c r="S124" s="55"/>
      <c r="T124" s="55"/>
      <c r="U124" s="55"/>
    </row>
    <row r="125" ht="15.75" customHeight="1">
      <c r="A125" s="53" t="s">
        <v>14442</v>
      </c>
      <c r="B125" s="53"/>
      <c r="C125" s="54"/>
      <c r="D125" s="54"/>
      <c r="E125" s="54"/>
      <c r="F125" s="51"/>
      <c r="G125" s="51"/>
      <c r="H125" s="51"/>
      <c r="I125" s="51"/>
      <c r="J125" s="51"/>
      <c r="K125" s="51"/>
      <c r="L125" s="51"/>
      <c r="M125" s="51"/>
      <c r="N125" s="51"/>
      <c r="O125" s="56"/>
      <c r="P125" s="56"/>
      <c r="Q125" s="56"/>
      <c r="R125" s="56"/>
      <c r="S125" s="56"/>
      <c r="T125" s="56"/>
      <c r="U125" s="56"/>
    </row>
    <row r="126" ht="15.75" customHeight="1">
      <c r="A126" s="53" t="s">
        <v>14443</v>
      </c>
      <c r="B126" s="53"/>
      <c r="C126" s="54"/>
      <c r="D126" s="54"/>
      <c r="E126" s="54"/>
      <c r="F126" s="51"/>
      <c r="G126" s="51"/>
      <c r="H126" s="51"/>
      <c r="I126" s="51"/>
      <c r="J126" s="51"/>
      <c r="K126" s="51"/>
      <c r="L126" s="51"/>
      <c r="M126" s="51"/>
      <c r="N126" s="51"/>
      <c r="O126" s="55"/>
      <c r="P126" s="55"/>
      <c r="Q126" s="55"/>
      <c r="R126" s="55"/>
      <c r="S126" s="55"/>
      <c r="T126" s="55"/>
      <c r="U126" s="55"/>
    </row>
    <row r="127" ht="15.75" customHeight="1">
      <c r="A127" s="53" t="s">
        <v>14444</v>
      </c>
      <c r="B127" s="53"/>
      <c r="C127" s="54"/>
      <c r="D127" s="54"/>
      <c r="E127" s="54"/>
      <c r="F127" s="51"/>
      <c r="G127" s="51"/>
      <c r="H127" s="51"/>
      <c r="I127" s="51"/>
      <c r="J127" s="51"/>
      <c r="K127" s="51"/>
      <c r="L127" s="51"/>
      <c r="M127" s="51"/>
      <c r="N127" s="51"/>
      <c r="O127" s="56"/>
      <c r="P127" s="56"/>
      <c r="Q127" s="56"/>
      <c r="R127" s="56"/>
      <c r="S127" s="56"/>
      <c r="T127" s="56"/>
      <c r="U127" s="56"/>
    </row>
    <row r="128" ht="15.75" customHeight="1">
      <c r="A128" s="53" t="s">
        <v>14445</v>
      </c>
      <c r="B128" s="53"/>
      <c r="C128" s="54"/>
      <c r="D128" s="54"/>
      <c r="E128" s="54"/>
      <c r="F128" s="51"/>
      <c r="G128" s="51"/>
      <c r="H128" s="51"/>
      <c r="I128" s="51"/>
      <c r="J128" s="51"/>
      <c r="K128" s="51"/>
      <c r="L128" s="51"/>
      <c r="M128" s="51"/>
      <c r="N128" s="51"/>
      <c r="O128" s="55"/>
      <c r="P128" s="55"/>
      <c r="Q128" s="55"/>
      <c r="R128" s="55"/>
      <c r="S128" s="55"/>
      <c r="T128" s="55"/>
      <c r="U128" s="55"/>
    </row>
    <row r="129" ht="15.75" customHeight="1">
      <c r="A129" s="53" t="s">
        <v>14446</v>
      </c>
      <c r="B129" s="53"/>
      <c r="C129" s="54"/>
      <c r="D129" s="54"/>
      <c r="E129" s="54"/>
      <c r="F129" s="51"/>
      <c r="G129" s="51"/>
      <c r="H129" s="51"/>
      <c r="I129" s="51"/>
      <c r="J129" s="51"/>
      <c r="K129" s="51"/>
      <c r="L129" s="51"/>
      <c r="M129" s="51"/>
      <c r="N129" s="51"/>
      <c r="O129" s="56"/>
      <c r="P129" s="56"/>
      <c r="Q129" s="56"/>
      <c r="R129" s="56"/>
      <c r="S129" s="56"/>
      <c r="T129" s="56"/>
      <c r="U129" s="56"/>
    </row>
    <row r="130" ht="15.75" customHeight="1">
      <c r="A130" s="53" t="s">
        <v>14447</v>
      </c>
      <c r="B130" s="53"/>
      <c r="C130" s="54"/>
      <c r="D130" s="54"/>
      <c r="E130" s="54"/>
      <c r="F130" s="51"/>
      <c r="G130" s="51"/>
      <c r="H130" s="51"/>
      <c r="I130" s="51"/>
      <c r="J130" s="51"/>
      <c r="K130" s="51"/>
      <c r="L130" s="51"/>
      <c r="M130" s="51"/>
      <c r="N130" s="51"/>
      <c r="O130" s="55"/>
      <c r="P130" s="55"/>
      <c r="Q130" s="55"/>
      <c r="R130" s="55"/>
      <c r="S130" s="55"/>
      <c r="T130" s="55"/>
      <c r="U130" s="55"/>
    </row>
    <row r="131" ht="15.75" customHeight="1">
      <c r="A131" s="53" t="s">
        <v>14448</v>
      </c>
      <c r="B131" s="53"/>
      <c r="C131" s="54"/>
      <c r="D131" s="54"/>
      <c r="E131" s="54"/>
      <c r="F131" s="51"/>
      <c r="G131" s="51"/>
      <c r="H131" s="51"/>
      <c r="I131" s="51"/>
      <c r="J131" s="51"/>
      <c r="K131" s="51"/>
      <c r="L131" s="51"/>
      <c r="M131" s="51"/>
      <c r="N131" s="51"/>
      <c r="O131" s="56"/>
      <c r="P131" s="56"/>
      <c r="Q131" s="56"/>
      <c r="R131" s="56"/>
      <c r="S131" s="56"/>
      <c r="T131" s="56"/>
      <c r="U131" s="56"/>
    </row>
    <row r="132" ht="15.75" customHeight="1">
      <c r="A132" s="53" t="s">
        <v>14449</v>
      </c>
      <c r="B132" s="53"/>
      <c r="C132" s="54"/>
      <c r="D132" s="54"/>
      <c r="E132" s="54"/>
      <c r="F132" s="51"/>
      <c r="G132" s="51"/>
      <c r="H132" s="51"/>
      <c r="I132" s="51"/>
      <c r="J132" s="51"/>
      <c r="K132" s="51"/>
      <c r="L132" s="51"/>
      <c r="M132" s="51"/>
      <c r="N132" s="51"/>
      <c r="O132" s="55"/>
      <c r="P132" s="55"/>
      <c r="Q132" s="55"/>
      <c r="R132" s="55"/>
      <c r="S132" s="55"/>
      <c r="T132" s="55"/>
      <c r="U132" s="55"/>
    </row>
    <row r="133" ht="15.75" customHeight="1">
      <c r="A133" s="53" t="s">
        <v>14450</v>
      </c>
      <c r="B133" s="53"/>
      <c r="C133" s="54"/>
      <c r="D133" s="54"/>
      <c r="E133" s="54"/>
      <c r="F133" s="51"/>
      <c r="G133" s="51"/>
      <c r="H133" s="51"/>
      <c r="I133" s="51"/>
      <c r="J133" s="51"/>
      <c r="K133" s="51"/>
      <c r="L133" s="51"/>
      <c r="M133" s="51"/>
      <c r="N133" s="51"/>
      <c r="O133" s="56"/>
      <c r="P133" s="56"/>
      <c r="Q133" s="56"/>
      <c r="R133" s="56"/>
      <c r="S133" s="56"/>
      <c r="T133" s="56"/>
      <c r="U133" s="56"/>
    </row>
    <row r="134" ht="15.75" customHeight="1">
      <c r="A134" s="53" t="s">
        <v>14451</v>
      </c>
      <c r="B134" s="53"/>
      <c r="C134" s="54"/>
      <c r="D134" s="54"/>
      <c r="E134" s="54"/>
      <c r="F134" s="51"/>
      <c r="G134" s="51"/>
      <c r="H134" s="51"/>
      <c r="I134" s="51"/>
      <c r="J134" s="51"/>
      <c r="K134" s="51"/>
      <c r="L134" s="51"/>
      <c r="M134" s="51"/>
      <c r="N134" s="51"/>
      <c r="O134" s="55"/>
      <c r="P134" s="55"/>
      <c r="Q134" s="55"/>
      <c r="R134" s="55"/>
      <c r="S134" s="55"/>
      <c r="T134" s="55"/>
      <c r="U134" s="55"/>
    </row>
    <row r="135" ht="15.75" customHeight="1">
      <c r="A135" s="53" t="s">
        <v>14452</v>
      </c>
      <c r="B135" s="53"/>
      <c r="C135" s="54"/>
      <c r="D135" s="54"/>
      <c r="E135" s="54"/>
      <c r="F135" s="51"/>
      <c r="G135" s="51"/>
      <c r="H135" s="51"/>
      <c r="I135" s="51"/>
      <c r="J135" s="51"/>
      <c r="K135" s="51"/>
      <c r="L135" s="51"/>
      <c r="M135" s="51"/>
      <c r="N135" s="51"/>
      <c r="O135" s="56"/>
      <c r="P135" s="56"/>
      <c r="Q135" s="56"/>
      <c r="R135" s="56"/>
      <c r="S135" s="56"/>
      <c r="T135" s="56"/>
      <c r="U135" s="56"/>
    </row>
    <row r="136" ht="15.75" customHeight="1">
      <c r="A136" s="53" t="s">
        <v>14453</v>
      </c>
      <c r="B136" s="53"/>
      <c r="C136" s="54"/>
      <c r="D136" s="54"/>
      <c r="E136" s="54"/>
      <c r="F136" s="51"/>
      <c r="G136" s="51"/>
      <c r="H136" s="51"/>
      <c r="I136" s="51"/>
      <c r="J136" s="51"/>
      <c r="K136" s="51"/>
      <c r="L136" s="51"/>
      <c r="M136" s="51"/>
      <c r="N136" s="51"/>
      <c r="O136" s="55"/>
      <c r="P136" s="55"/>
      <c r="Q136" s="55"/>
      <c r="R136" s="55"/>
      <c r="S136" s="55"/>
      <c r="T136" s="55"/>
      <c r="U136" s="55"/>
    </row>
    <row r="137" ht="15.75" customHeight="1">
      <c r="A137" s="53" t="s">
        <v>14454</v>
      </c>
      <c r="B137" s="53"/>
      <c r="C137" s="54"/>
      <c r="D137" s="54"/>
      <c r="E137" s="54"/>
      <c r="F137" s="51"/>
      <c r="G137" s="51"/>
      <c r="H137" s="51"/>
      <c r="I137" s="51"/>
      <c r="J137" s="51"/>
      <c r="K137" s="51"/>
      <c r="L137" s="51"/>
      <c r="M137" s="51"/>
      <c r="N137" s="51"/>
      <c r="O137" s="56"/>
      <c r="P137" s="56"/>
      <c r="Q137" s="56"/>
      <c r="R137" s="56"/>
      <c r="S137" s="56"/>
      <c r="T137" s="56"/>
      <c r="U137" s="56"/>
    </row>
    <row r="138" ht="15.75" customHeight="1">
      <c r="A138" s="53" t="s">
        <v>14455</v>
      </c>
      <c r="B138" s="53"/>
      <c r="C138" s="54"/>
      <c r="D138" s="54"/>
      <c r="E138" s="54"/>
      <c r="F138" s="51"/>
      <c r="G138" s="51"/>
      <c r="H138" s="51"/>
      <c r="I138" s="51"/>
      <c r="J138" s="51"/>
      <c r="K138" s="51"/>
      <c r="L138" s="51"/>
      <c r="M138" s="51"/>
      <c r="N138" s="51"/>
      <c r="O138" s="55"/>
      <c r="P138" s="55"/>
      <c r="Q138" s="55"/>
      <c r="R138" s="55"/>
      <c r="S138" s="55"/>
      <c r="T138" s="55"/>
      <c r="U138" s="55"/>
    </row>
    <row r="139" ht="15.75" customHeight="1">
      <c r="A139" s="53" t="s">
        <v>14456</v>
      </c>
      <c r="B139" s="53"/>
      <c r="C139" s="54"/>
      <c r="D139" s="54"/>
      <c r="E139" s="54"/>
      <c r="F139" s="51"/>
      <c r="G139" s="51"/>
      <c r="H139" s="51"/>
      <c r="I139" s="51"/>
      <c r="J139" s="51"/>
      <c r="K139" s="51"/>
      <c r="L139" s="51"/>
      <c r="M139" s="51"/>
      <c r="N139" s="51"/>
      <c r="O139" s="56"/>
      <c r="P139" s="56"/>
      <c r="Q139" s="56"/>
      <c r="R139" s="56"/>
      <c r="S139" s="56"/>
      <c r="T139" s="56"/>
      <c r="U139" s="56"/>
    </row>
    <row r="140" ht="15.75" customHeight="1">
      <c r="A140" s="53" t="s">
        <v>14457</v>
      </c>
      <c r="B140" s="53"/>
      <c r="C140" s="54"/>
      <c r="D140" s="54"/>
      <c r="E140" s="54"/>
      <c r="F140" s="51"/>
      <c r="G140" s="51"/>
      <c r="H140" s="51"/>
      <c r="I140" s="51"/>
      <c r="J140" s="51"/>
      <c r="K140" s="51"/>
      <c r="L140" s="51"/>
      <c r="M140" s="51"/>
      <c r="N140" s="51"/>
      <c r="O140" s="55"/>
      <c r="P140" s="55"/>
      <c r="Q140" s="55"/>
      <c r="R140" s="55"/>
      <c r="S140" s="55"/>
      <c r="T140" s="55"/>
      <c r="U140" s="55"/>
    </row>
    <row r="141" ht="15.75" customHeight="1">
      <c r="A141" s="53" t="s">
        <v>14458</v>
      </c>
      <c r="B141" s="53"/>
      <c r="C141" s="54"/>
      <c r="D141" s="54"/>
      <c r="E141" s="54"/>
      <c r="F141" s="51"/>
      <c r="G141" s="51"/>
      <c r="H141" s="51"/>
      <c r="I141" s="51"/>
      <c r="J141" s="51"/>
      <c r="K141" s="51"/>
      <c r="L141" s="51"/>
      <c r="M141" s="51"/>
      <c r="N141" s="51"/>
      <c r="O141" s="56"/>
      <c r="P141" s="56"/>
      <c r="Q141" s="56"/>
      <c r="R141" s="56"/>
      <c r="S141" s="56"/>
      <c r="T141" s="56"/>
      <c r="U141" s="56"/>
    </row>
    <row r="142" ht="15.75" customHeight="1">
      <c r="A142" s="53" t="s">
        <v>14459</v>
      </c>
      <c r="B142" s="53"/>
      <c r="C142" s="54"/>
      <c r="D142" s="54"/>
      <c r="E142" s="54"/>
      <c r="F142" s="51"/>
      <c r="G142" s="51"/>
      <c r="H142" s="51"/>
      <c r="I142" s="51"/>
      <c r="J142" s="51"/>
      <c r="K142" s="51"/>
      <c r="L142" s="51"/>
      <c r="M142" s="51"/>
      <c r="N142" s="51"/>
      <c r="O142" s="55"/>
      <c r="P142" s="55"/>
      <c r="Q142" s="55"/>
      <c r="R142" s="55"/>
      <c r="S142" s="55"/>
      <c r="T142" s="55"/>
      <c r="U142" s="55"/>
    </row>
    <row r="143" ht="15.75" customHeight="1">
      <c r="A143" s="53" t="s">
        <v>14460</v>
      </c>
      <c r="B143" s="53"/>
      <c r="C143" s="54"/>
      <c r="D143" s="54"/>
      <c r="E143" s="54"/>
      <c r="F143" s="51"/>
      <c r="G143" s="51"/>
      <c r="H143" s="51"/>
      <c r="I143" s="51"/>
      <c r="J143" s="51"/>
      <c r="K143" s="51"/>
      <c r="L143" s="51"/>
      <c r="M143" s="51"/>
      <c r="N143" s="51"/>
      <c r="O143" s="56"/>
      <c r="P143" s="56"/>
      <c r="Q143" s="56"/>
      <c r="R143" s="56"/>
      <c r="S143" s="56"/>
      <c r="T143" s="56"/>
      <c r="U143" s="56"/>
    </row>
    <row r="144" ht="15.75" customHeight="1">
      <c r="A144" s="53" t="s">
        <v>14461</v>
      </c>
      <c r="B144" s="53"/>
      <c r="C144" s="54"/>
      <c r="D144" s="54"/>
      <c r="E144" s="54"/>
      <c r="F144" s="51"/>
      <c r="G144" s="51"/>
      <c r="H144" s="51"/>
      <c r="I144" s="51"/>
      <c r="J144" s="51"/>
      <c r="K144" s="51"/>
      <c r="L144" s="51"/>
      <c r="M144" s="51"/>
      <c r="N144" s="51"/>
      <c r="O144" s="55"/>
      <c r="P144" s="55"/>
      <c r="Q144" s="55"/>
      <c r="R144" s="55"/>
      <c r="S144" s="55"/>
      <c r="T144" s="55"/>
      <c r="U144" s="55"/>
    </row>
    <row r="145" ht="15.75" customHeight="1">
      <c r="A145" s="53" t="s">
        <v>14462</v>
      </c>
      <c r="B145" s="53"/>
      <c r="C145" s="54"/>
      <c r="D145" s="54"/>
      <c r="E145" s="54"/>
      <c r="F145" s="51"/>
      <c r="G145" s="51"/>
      <c r="H145" s="51"/>
      <c r="I145" s="51"/>
      <c r="J145" s="51"/>
      <c r="K145" s="51"/>
      <c r="L145" s="51"/>
      <c r="M145" s="51"/>
      <c r="N145" s="51"/>
      <c r="O145" s="56"/>
      <c r="P145" s="56"/>
      <c r="Q145" s="56"/>
      <c r="R145" s="56"/>
      <c r="S145" s="56"/>
      <c r="T145" s="56"/>
      <c r="U145" s="56"/>
    </row>
    <row r="146" ht="15.75" customHeight="1">
      <c r="A146" s="53" t="s">
        <v>14463</v>
      </c>
      <c r="B146" s="53"/>
      <c r="C146" s="54"/>
      <c r="D146" s="54"/>
      <c r="E146" s="54"/>
      <c r="F146" s="51"/>
      <c r="G146" s="51"/>
      <c r="H146" s="51"/>
      <c r="I146" s="51"/>
      <c r="J146" s="51"/>
      <c r="K146" s="51"/>
      <c r="L146" s="51"/>
      <c r="M146" s="51"/>
      <c r="N146" s="51"/>
      <c r="O146" s="55"/>
      <c r="P146" s="55"/>
      <c r="Q146" s="55"/>
      <c r="R146" s="55"/>
      <c r="S146" s="55"/>
      <c r="T146" s="55"/>
      <c r="U146" s="55"/>
    </row>
    <row r="147" ht="15.75" customHeight="1">
      <c r="A147" s="53" t="s">
        <v>14464</v>
      </c>
      <c r="B147" s="53"/>
      <c r="C147" s="54"/>
      <c r="D147" s="54"/>
      <c r="E147" s="54"/>
      <c r="F147" s="51"/>
      <c r="G147" s="51"/>
      <c r="H147" s="51"/>
      <c r="I147" s="51"/>
      <c r="J147" s="51"/>
      <c r="K147" s="51"/>
      <c r="L147" s="51"/>
      <c r="M147" s="51"/>
      <c r="N147" s="51"/>
      <c r="O147" s="56"/>
      <c r="P147" s="56"/>
      <c r="Q147" s="56"/>
      <c r="R147" s="56"/>
      <c r="S147" s="56"/>
      <c r="T147" s="56"/>
      <c r="U147" s="56"/>
    </row>
    <row r="148" ht="15.75" customHeight="1">
      <c r="A148" s="53" t="s">
        <v>14465</v>
      </c>
      <c r="B148" s="53"/>
      <c r="C148" s="54"/>
      <c r="D148" s="54"/>
      <c r="E148" s="54"/>
      <c r="F148" s="51"/>
      <c r="G148" s="51"/>
      <c r="H148" s="51"/>
      <c r="I148" s="51"/>
      <c r="J148" s="51"/>
      <c r="K148" s="51"/>
      <c r="L148" s="51"/>
      <c r="M148" s="51"/>
      <c r="N148" s="51"/>
      <c r="O148" s="55"/>
      <c r="P148" s="55"/>
      <c r="Q148" s="55"/>
      <c r="R148" s="55"/>
      <c r="S148" s="55"/>
      <c r="T148" s="55"/>
      <c r="U148" s="55"/>
    </row>
    <row r="149" ht="15.75" customHeight="1">
      <c r="A149" s="53" t="s">
        <v>14466</v>
      </c>
      <c r="B149" s="53"/>
      <c r="C149" s="54"/>
      <c r="D149" s="54"/>
      <c r="E149" s="54"/>
      <c r="F149" s="51"/>
      <c r="G149" s="51"/>
      <c r="H149" s="51"/>
      <c r="I149" s="51"/>
      <c r="J149" s="51"/>
      <c r="K149" s="51"/>
      <c r="L149" s="51"/>
      <c r="M149" s="51"/>
      <c r="N149" s="51"/>
      <c r="O149" s="56"/>
      <c r="P149" s="56"/>
      <c r="Q149" s="56"/>
      <c r="R149" s="56"/>
      <c r="S149" s="56"/>
      <c r="T149" s="56"/>
      <c r="U149" s="56"/>
    </row>
    <row r="150" ht="15.75" customHeight="1">
      <c r="A150" s="53" t="s">
        <v>14467</v>
      </c>
      <c r="B150" s="53"/>
      <c r="C150" s="54"/>
      <c r="D150" s="54"/>
      <c r="E150" s="54"/>
      <c r="F150" s="51"/>
      <c r="G150" s="51"/>
      <c r="H150" s="51"/>
      <c r="I150" s="51"/>
      <c r="J150" s="51"/>
      <c r="K150" s="51"/>
      <c r="L150" s="51"/>
      <c r="M150" s="51"/>
      <c r="N150" s="51"/>
      <c r="O150" s="55"/>
      <c r="P150" s="55"/>
      <c r="Q150" s="55"/>
      <c r="R150" s="55"/>
      <c r="S150" s="55"/>
      <c r="T150" s="55"/>
      <c r="U150" s="55"/>
    </row>
    <row r="151" ht="15.75" customHeight="1">
      <c r="A151" s="53" t="s">
        <v>14468</v>
      </c>
      <c r="B151" s="53"/>
      <c r="C151" s="54"/>
      <c r="D151" s="54"/>
      <c r="E151" s="54"/>
      <c r="F151" s="51"/>
      <c r="G151" s="51"/>
      <c r="H151" s="51"/>
      <c r="I151" s="51"/>
      <c r="J151" s="51"/>
      <c r="K151" s="51"/>
      <c r="L151" s="51"/>
      <c r="M151" s="51"/>
      <c r="N151" s="51"/>
      <c r="O151" s="56"/>
      <c r="P151" s="56"/>
      <c r="Q151" s="56"/>
      <c r="R151" s="56"/>
      <c r="S151" s="56"/>
      <c r="T151" s="56"/>
      <c r="U151" s="56"/>
    </row>
    <row r="152" ht="15.75" customHeight="1">
      <c r="A152" s="53" t="s">
        <v>14469</v>
      </c>
      <c r="B152" s="53"/>
      <c r="C152" s="54"/>
      <c r="D152" s="54"/>
      <c r="E152" s="54"/>
      <c r="F152" s="51"/>
      <c r="G152" s="51"/>
      <c r="H152" s="51"/>
      <c r="I152" s="51"/>
      <c r="J152" s="51"/>
      <c r="K152" s="51"/>
      <c r="L152" s="51"/>
      <c r="M152" s="51"/>
      <c r="N152" s="51"/>
      <c r="O152" s="55"/>
      <c r="P152" s="55"/>
      <c r="Q152" s="55"/>
      <c r="R152" s="55"/>
      <c r="S152" s="55"/>
      <c r="T152" s="55"/>
      <c r="U152" s="55"/>
    </row>
    <row r="153" ht="15.75" customHeight="1">
      <c r="A153" s="53" t="s">
        <v>14470</v>
      </c>
      <c r="B153" s="53"/>
      <c r="C153" s="54"/>
      <c r="D153" s="54"/>
      <c r="E153" s="54"/>
      <c r="F153" s="51"/>
      <c r="G153" s="51"/>
      <c r="H153" s="51"/>
      <c r="I153" s="51"/>
      <c r="J153" s="51"/>
      <c r="K153" s="51"/>
      <c r="L153" s="51"/>
      <c r="M153" s="51"/>
      <c r="N153" s="51"/>
      <c r="O153" s="56"/>
      <c r="P153" s="56"/>
      <c r="Q153" s="56"/>
      <c r="R153" s="56"/>
      <c r="S153" s="56"/>
      <c r="T153" s="56"/>
      <c r="U153" s="56"/>
    </row>
    <row r="154" ht="15.75" customHeight="1">
      <c r="A154" s="53" t="s">
        <v>14471</v>
      </c>
      <c r="B154" s="53"/>
      <c r="C154" s="54"/>
      <c r="D154" s="54"/>
      <c r="E154" s="54"/>
      <c r="F154" s="51"/>
      <c r="G154" s="51"/>
      <c r="H154" s="51"/>
      <c r="I154" s="51"/>
      <c r="J154" s="51"/>
      <c r="K154" s="51"/>
      <c r="L154" s="51"/>
      <c r="M154" s="51"/>
      <c r="N154" s="51"/>
      <c r="O154" s="55"/>
      <c r="P154" s="55"/>
      <c r="Q154" s="55"/>
      <c r="R154" s="55"/>
      <c r="S154" s="55"/>
      <c r="T154" s="55"/>
      <c r="U154" s="55"/>
    </row>
    <row r="155" ht="15.75" customHeight="1">
      <c r="A155" s="53" t="s">
        <v>14472</v>
      </c>
      <c r="B155" s="53"/>
      <c r="C155" s="54"/>
      <c r="D155" s="54"/>
      <c r="E155" s="54"/>
      <c r="F155" s="51"/>
      <c r="G155" s="51"/>
      <c r="H155" s="51"/>
      <c r="I155" s="51"/>
      <c r="J155" s="51"/>
      <c r="K155" s="51"/>
      <c r="L155" s="51"/>
      <c r="M155" s="51"/>
      <c r="N155" s="51"/>
      <c r="O155" s="56"/>
      <c r="P155" s="56"/>
      <c r="Q155" s="56"/>
      <c r="R155" s="56"/>
      <c r="S155" s="56"/>
      <c r="T155" s="56"/>
      <c r="U155" s="56"/>
    </row>
    <row r="156" ht="15.75" customHeight="1">
      <c r="A156" s="53" t="s">
        <v>14473</v>
      </c>
      <c r="B156" s="53"/>
      <c r="C156" s="54"/>
      <c r="D156" s="54"/>
      <c r="E156" s="54"/>
      <c r="F156" s="51"/>
      <c r="G156" s="51"/>
      <c r="H156" s="51"/>
      <c r="I156" s="51"/>
      <c r="J156" s="51"/>
      <c r="K156" s="51"/>
      <c r="L156" s="51"/>
      <c r="M156" s="51"/>
      <c r="N156" s="51"/>
      <c r="O156" s="55"/>
      <c r="P156" s="55"/>
      <c r="Q156" s="55"/>
      <c r="R156" s="55"/>
      <c r="S156" s="55"/>
      <c r="T156" s="55"/>
      <c r="U156" s="55"/>
    </row>
    <row r="157" ht="15.75" customHeight="1">
      <c r="A157" s="53" t="s">
        <v>14474</v>
      </c>
      <c r="B157" s="53"/>
      <c r="C157" s="54"/>
      <c r="D157" s="54"/>
      <c r="E157" s="54"/>
      <c r="F157" s="51"/>
      <c r="G157" s="51"/>
      <c r="H157" s="51"/>
      <c r="I157" s="51"/>
      <c r="J157" s="51"/>
      <c r="K157" s="51"/>
      <c r="L157" s="51"/>
      <c r="M157" s="51"/>
      <c r="N157" s="51"/>
      <c r="O157" s="56"/>
      <c r="P157" s="56"/>
      <c r="Q157" s="56"/>
      <c r="R157" s="56"/>
      <c r="S157" s="56"/>
      <c r="T157" s="56"/>
      <c r="U157" s="56"/>
    </row>
    <row r="158" ht="15.75" customHeight="1">
      <c r="A158" s="53" t="s">
        <v>14475</v>
      </c>
      <c r="B158" s="53"/>
      <c r="C158" s="54"/>
      <c r="D158" s="54"/>
      <c r="E158" s="54"/>
      <c r="F158" s="51"/>
      <c r="G158" s="51"/>
      <c r="H158" s="51"/>
      <c r="I158" s="51"/>
      <c r="J158" s="51"/>
      <c r="K158" s="51"/>
      <c r="L158" s="51"/>
      <c r="M158" s="51"/>
      <c r="N158" s="51"/>
      <c r="O158" s="55"/>
      <c r="P158" s="55"/>
      <c r="Q158" s="55"/>
      <c r="R158" s="55"/>
      <c r="S158" s="55"/>
      <c r="T158" s="55"/>
      <c r="U158" s="55"/>
    </row>
    <row r="159" ht="15.75" customHeight="1">
      <c r="A159" s="53" t="s">
        <v>14476</v>
      </c>
      <c r="B159" s="53"/>
      <c r="C159" s="54"/>
      <c r="D159" s="54"/>
      <c r="E159" s="54"/>
      <c r="F159" s="51"/>
      <c r="G159" s="51"/>
      <c r="H159" s="51"/>
      <c r="I159" s="51"/>
      <c r="J159" s="51"/>
      <c r="K159" s="51"/>
      <c r="L159" s="51"/>
      <c r="M159" s="51"/>
      <c r="N159" s="51"/>
      <c r="O159" s="56"/>
      <c r="P159" s="56"/>
      <c r="Q159" s="56"/>
      <c r="R159" s="56"/>
      <c r="S159" s="56"/>
      <c r="T159" s="56"/>
      <c r="U159" s="56"/>
    </row>
    <row r="160" ht="15.75" customHeight="1">
      <c r="A160" s="53" t="s">
        <v>14477</v>
      </c>
      <c r="B160" s="53"/>
      <c r="C160" s="54"/>
      <c r="D160" s="54"/>
      <c r="E160" s="54"/>
      <c r="F160" s="51"/>
      <c r="G160" s="51"/>
      <c r="H160" s="51"/>
      <c r="I160" s="51"/>
      <c r="J160" s="51"/>
      <c r="K160" s="51"/>
      <c r="L160" s="51"/>
      <c r="M160" s="51"/>
      <c r="N160" s="51"/>
      <c r="O160" s="55"/>
      <c r="P160" s="55"/>
      <c r="Q160" s="55"/>
      <c r="R160" s="55"/>
      <c r="S160" s="55"/>
      <c r="T160" s="55"/>
      <c r="U160" s="55"/>
    </row>
    <row r="161" ht="15.75" customHeight="1">
      <c r="A161" s="53" t="s">
        <v>14478</v>
      </c>
      <c r="B161" s="53"/>
      <c r="C161" s="54"/>
      <c r="D161" s="54"/>
      <c r="E161" s="54"/>
      <c r="F161" s="51"/>
      <c r="G161" s="51"/>
      <c r="H161" s="51"/>
      <c r="I161" s="51"/>
      <c r="J161" s="51"/>
      <c r="K161" s="51"/>
      <c r="L161" s="51"/>
      <c r="M161" s="51"/>
      <c r="N161" s="51"/>
      <c r="O161" s="56"/>
      <c r="P161" s="56"/>
      <c r="Q161" s="56"/>
      <c r="R161" s="56"/>
      <c r="S161" s="56"/>
      <c r="T161" s="56"/>
      <c r="U161" s="56"/>
    </row>
    <row r="162" ht="15.75" customHeight="1">
      <c r="A162" s="53" t="s">
        <v>14479</v>
      </c>
      <c r="B162" s="53"/>
      <c r="C162" s="54"/>
      <c r="D162" s="54"/>
      <c r="E162" s="54"/>
      <c r="F162" s="51"/>
      <c r="G162" s="51"/>
      <c r="H162" s="51"/>
      <c r="I162" s="51"/>
      <c r="J162" s="51"/>
      <c r="K162" s="51"/>
      <c r="L162" s="51"/>
      <c r="M162" s="51"/>
      <c r="N162" s="51"/>
      <c r="O162" s="55"/>
      <c r="P162" s="55"/>
      <c r="Q162" s="55"/>
      <c r="R162" s="55"/>
      <c r="S162" s="55"/>
      <c r="T162" s="55"/>
      <c r="U162" s="55"/>
    </row>
    <row r="163" ht="15.75" customHeight="1">
      <c r="A163" s="53" t="s">
        <v>14480</v>
      </c>
      <c r="B163" s="53"/>
      <c r="C163" s="54"/>
      <c r="D163" s="54"/>
      <c r="E163" s="54"/>
      <c r="F163" s="51"/>
      <c r="G163" s="51"/>
      <c r="H163" s="51"/>
      <c r="I163" s="51"/>
      <c r="J163" s="51"/>
      <c r="K163" s="51"/>
      <c r="L163" s="51"/>
      <c r="M163" s="51"/>
      <c r="N163" s="51"/>
      <c r="O163" s="56"/>
      <c r="P163" s="56"/>
      <c r="Q163" s="56"/>
      <c r="R163" s="56"/>
      <c r="S163" s="56"/>
      <c r="T163" s="56"/>
      <c r="U163" s="56"/>
    </row>
    <row r="164" ht="15.75" customHeight="1">
      <c r="A164" s="53" t="s">
        <v>14481</v>
      </c>
      <c r="B164" s="53"/>
      <c r="C164" s="54"/>
      <c r="D164" s="54"/>
      <c r="E164" s="54"/>
      <c r="F164" s="51"/>
      <c r="G164" s="51"/>
      <c r="H164" s="51"/>
      <c r="I164" s="51"/>
      <c r="J164" s="51"/>
      <c r="K164" s="51"/>
      <c r="L164" s="51"/>
      <c r="M164" s="51"/>
      <c r="N164" s="51"/>
      <c r="O164" s="55"/>
      <c r="P164" s="55"/>
      <c r="Q164" s="55"/>
      <c r="R164" s="55"/>
      <c r="S164" s="55"/>
      <c r="T164" s="55"/>
      <c r="U164" s="55"/>
    </row>
    <row r="165" ht="15.75" customHeight="1">
      <c r="A165" s="53" t="s">
        <v>14482</v>
      </c>
      <c r="B165" s="53"/>
      <c r="C165" s="54"/>
      <c r="D165" s="54"/>
      <c r="E165" s="54"/>
      <c r="F165" s="51"/>
      <c r="G165" s="51"/>
      <c r="H165" s="51"/>
      <c r="I165" s="51"/>
      <c r="J165" s="51"/>
      <c r="K165" s="51"/>
      <c r="L165" s="51"/>
      <c r="M165" s="51"/>
      <c r="N165" s="51"/>
      <c r="O165" s="56"/>
      <c r="P165" s="56"/>
      <c r="Q165" s="56"/>
      <c r="R165" s="56"/>
      <c r="S165" s="56"/>
      <c r="T165" s="56"/>
      <c r="U165" s="56"/>
    </row>
    <row r="166" ht="15.75" customHeight="1">
      <c r="A166" s="53" t="s">
        <v>14483</v>
      </c>
      <c r="B166" s="53"/>
      <c r="C166" s="54"/>
      <c r="D166" s="54"/>
      <c r="E166" s="54"/>
      <c r="F166" s="51"/>
      <c r="G166" s="51"/>
      <c r="H166" s="51"/>
      <c r="I166" s="51"/>
      <c r="J166" s="51"/>
      <c r="K166" s="51"/>
      <c r="L166" s="51"/>
      <c r="M166" s="51"/>
      <c r="N166" s="51"/>
      <c r="O166" s="55"/>
      <c r="P166" s="55"/>
      <c r="Q166" s="55"/>
      <c r="R166" s="55"/>
      <c r="S166" s="55"/>
      <c r="T166" s="55"/>
      <c r="U166" s="55"/>
    </row>
    <row r="167" ht="15.75" customHeight="1">
      <c r="A167" s="53" t="s">
        <v>14484</v>
      </c>
      <c r="B167" s="53"/>
      <c r="C167" s="54"/>
      <c r="D167" s="54"/>
      <c r="E167" s="54"/>
      <c r="F167" s="51"/>
      <c r="G167" s="51"/>
      <c r="H167" s="51"/>
      <c r="I167" s="51"/>
      <c r="J167" s="51"/>
      <c r="K167" s="51"/>
      <c r="L167" s="51"/>
      <c r="M167" s="51"/>
      <c r="N167" s="51"/>
      <c r="O167" s="56"/>
      <c r="P167" s="56"/>
      <c r="Q167" s="56"/>
      <c r="R167" s="56"/>
      <c r="S167" s="56"/>
      <c r="T167" s="56"/>
      <c r="U167" s="56"/>
    </row>
    <row r="168" ht="15.75" customHeight="1">
      <c r="A168" s="53" t="s">
        <v>14485</v>
      </c>
      <c r="B168" s="53"/>
      <c r="C168" s="54"/>
      <c r="D168" s="54"/>
      <c r="E168" s="54"/>
      <c r="F168" s="51"/>
      <c r="G168" s="51"/>
      <c r="H168" s="51"/>
      <c r="I168" s="51"/>
      <c r="J168" s="51"/>
      <c r="K168" s="51"/>
      <c r="L168" s="51"/>
      <c r="M168" s="51"/>
      <c r="N168" s="51"/>
      <c r="O168" s="55"/>
      <c r="P168" s="55"/>
      <c r="Q168" s="55"/>
      <c r="R168" s="55"/>
      <c r="S168" s="55"/>
      <c r="T168" s="55"/>
      <c r="U168" s="55"/>
    </row>
    <row r="169" ht="15.75" customHeight="1">
      <c r="A169" s="53" t="s">
        <v>14486</v>
      </c>
      <c r="B169" s="53"/>
      <c r="C169" s="54"/>
      <c r="D169" s="54"/>
      <c r="E169" s="54"/>
      <c r="F169" s="51"/>
      <c r="G169" s="51"/>
      <c r="H169" s="51"/>
      <c r="I169" s="51"/>
      <c r="J169" s="51"/>
      <c r="K169" s="51"/>
      <c r="L169" s="51"/>
      <c r="M169" s="51"/>
      <c r="N169" s="51"/>
      <c r="O169" s="56"/>
      <c r="P169" s="56"/>
      <c r="Q169" s="56"/>
      <c r="R169" s="56"/>
      <c r="S169" s="56"/>
      <c r="T169" s="56"/>
      <c r="U169" s="56"/>
    </row>
    <row r="170" ht="15.75" customHeight="1">
      <c r="A170" s="53" t="s">
        <v>14487</v>
      </c>
      <c r="B170" s="53"/>
      <c r="C170" s="54"/>
      <c r="D170" s="54"/>
      <c r="E170" s="54"/>
      <c r="F170" s="51"/>
      <c r="G170" s="51"/>
      <c r="H170" s="51"/>
      <c r="I170" s="51"/>
      <c r="J170" s="51"/>
      <c r="K170" s="51"/>
      <c r="L170" s="51"/>
      <c r="M170" s="51"/>
      <c r="N170" s="51"/>
      <c r="O170" s="55"/>
      <c r="P170" s="55"/>
      <c r="Q170" s="55"/>
      <c r="R170" s="55"/>
      <c r="S170" s="55"/>
      <c r="T170" s="55"/>
      <c r="U170" s="55"/>
    </row>
    <row r="171" ht="15.75" customHeight="1">
      <c r="A171" s="53" t="s">
        <v>14488</v>
      </c>
      <c r="B171" s="53"/>
      <c r="C171" s="54"/>
      <c r="D171" s="54"/>
      <c r="E171" s="54"/>
      <c r="F171" s="51"/>
      <c r="G171" s="51"/>
      <c r="H171" s="51"/>
      <c r="I171" s="51"/>
      <c r="J171" s="51"/>
      <c r="K171" s="51"/>
      <c r="L171" s="51"/>
      <c r="M171" s="51"/>
      <c r="N171" s="51"/>
      <c r="O171" s="56"/>
      <c r="P171" s="56"/>
      <c r="Q171" s="56"/>
      <c r="R171" s="56"/>
      <c r="S171" s="56"/>
      <c r="T171" s="56"/>
      <c r="U171" s="56"/>
    </row>
    <row r="172" ht="15.75" customHeight="1">
      <c r="A172" s="53" t="s">
        <v>14489</v>
      </c>
      <c r="B172" s="53"/>
      <c r="C172" s="54"/>
      <c r="D172" s="54"/>
      <c r="E172" s="54"/>
      <c r="F172" s="51"/>
      <c r="G172" s="51"/>
      <c r="H172" s="51"/>
      <c r="I172" s="51"/>
      <c r="J172" s="51"/>
      <c r="K172" s="51"/>
      <c r="L172" s="51"/>
      <c r="M172" s="51"/>
      <c r="N172" s="51"/>
      <c r="O172" s="55"/>
      <c r="P172" s="55"/>
      <c r="Q172" s="55"/>
      <c r="R172" s="55"/>
      <c r="S172" s="55"/>
      <c r="T172" s="55"/>
      <c r="U172" s="55"/>
    </row>
    <row r="173" ht="15.75" customHeight="1">
      <c r="A173" s="53" t="s">
        <v>14490</v>
      </c>
      <c r="B173" s="53"/>
      <c r="C173" s="54"/>
      <c r="D173" s="54"/>
      <c r="E173" s="54"/>
      <c r="F173" s="51"/>
      <c r="G173" s="51"/>
      <c r="H173" s="51"/>
      <c r="I173" s="51"/>
      <c r="J173" s="51"/>
      <c r="K173" s="51"/>
      <c r="L173" s="51"/>
      <c r="M173" s="51"/>
      <c r="N173" s="51"/>
      <c r="O173" s="56"/>
      <c r="P173" s="56"/>
      <c r="Q173" s="56"/>
      <c r="R173" s="56"/>
      <c r="S173" s="56"/>
      <c r="T173" s="56"/>
      <c r="U173" s="56"/>
    </row>
    <row r="174" ht="15.75" customHeight="1">
      <c r="A174" s="53" t="s">
        <v>14491</v>
      </c>
      <c r="B174" s="53"/>
      <c r="C174" s="54"/>
      <c r="D174" s="54"/>
      <c r="E174" s="54"/>
      <c r="F174" s="51"/>
      <c r="G174" s="51"/>
      <c r="H174" s="51"/>
      <c r="I174" s="51"/>
      <c r="J174" s="51"/>
      <c r="K174" s="51"/>
      <c r="L174" s="51"/>
      <c r="M174" s="51"/>
      <c r="N174" s="51"/>
      <c r="O174" s="55"/>
      <c r="P174" s="55"/>
      <c r="Q174" s="55"/>
      <c r="R174" s="55"/>
      <c r="S174" s="55"/>
      <c r="T174" s="55"/>
      <c r="U174" s="55"/>
    </row>
    <row r="175" ht="15.75" customHeight="1">
      <c r="A175" s="53" t="s">
        <v>14492</v>
      </c>
      <c r="B175" s="53"/>
      <c r="C175" s="54"/>
      <c r="D175" s="54"/>
      <c r="E175" s="54"/>
      <c r="F175" s="51"/>
      <c r="G175" s="51"/>
      <c r="H175" s="51"/>
      <c r="I175" s="51"/>
      <c r="J175" s="51"/>
      <c r="K175" s="51"/>
      <c r="L175" s="51"/>
      <c r="M175" s="51"/>
      <c r="N175" s="51"/>
      <c r="O175" s="56"/>
      <c r="P175" s="56"/>
      <c r="Q175" s="56"/>
      <c r="R175" s="56"/>
      <c r="S175" s="56"/>
      <c r="T175" s="56"/>
      <c r="U175" s="56"/>
    </row>
    <row r="176" ht="15.75" customHeight="1">
      <c r="A176" s="53" t="s">
        <v>14493</v>
      </c>
      <c r="B176" s="53"/>
      <c r="C176" s="54"/>
      <c r="D176" s="54"/>
      <c r="E176" s="54"/>
      <c r="F176" s="51"/>
      <c r="G176" s="51"/>
      <c r="H176" s="51"/>
      <c r="I176" s="51"/>
      <c r="J176" s="51"/>
      <c r="K176" s="51"/>
      <c r="L176" s="51"/>
      <c r="M176" s="51"/>
      <c r="N176" s="51"/>
      <c r="O176" s="55"/>
      <c r="P176" s="55"/>
      <c r="Q176" s="55"/>
      <c r="R176" s="55"/>
      <c r="S176" s="55"/>
      <c r="T176" s="55"/>
      <c r="U176" s="55"/>
    </row>
    <row r="177" ht="15.75" customHeight="1">
      <c r="A177" s="53" t="s">
        <v>14494</v>
      </c>
      <c r="B177" s="53"/>
      <c r="C177" s="54"/>
      <c r="D177" s="54"/>
      <c r="E177" s="54"/>
      <c r="F177" s="51"/>
      <c r="G177" s="51"/>
      <c r="H177" s="51"/>
      <c r="I177" s="51"/>
      <c r="J177" s="51"/>
      <c r="K177" s="51"/>
      <c r="L177" s="51"/>
      <c r="M177" s="51"/>
      <c r="N177" s="51"/>
      <c r="O177" s="56"/>
      <c r="P177" s="56"/>
      <c r="Q177" s="56"/>
      <c r="R177" s="56"/>
      <c r="S177" s="56"/>
      <c r="T177" s="56"/>
      <c r="U177" s="56"/>
    </row>
    <row r="178" ht="15.75" customHeight="1">
      <c r="A178" s="53" t="s">
        <v>14495</v>
      </c>
      <c r="B178" s="53"/>
      <c r="C178" s="54"/>
      <c r="D178" s="54"/>
      <c r="E178" s="54"/>
      <c r="F178" s="51"/>
      <c r="G178" s="51"/>
      <c r="H178" s="51"/>
      <c r="I178" s="51"/>
      <c r="J178" s="51"/>
      <c r="K178" s="51"/>
      <c r="L178" s="51"/>
      <c r="M178" s="51"/>
      <c r="N178" s="51"/>
      <c r="O178" s="55"/>
      <c r="P178" s="55"/>
      <c r="Q178" s="55"/>
      <c r="R178" s="55"/>
      <c r="S178" s="55"/>
      <c r="T178" s="55"/>
      <c r="U178" s="55"/>
    </row>
    <row r="179" ht="15.75" customHeight="1">
      <c r="A179" s="53" t="s">
        <v>14496</v>
      </c>
      <c r="B179" s="53"/>
      <c r="C179" s="54"/>
      <c r="D179" s="54"/>
      <c r="E179" s="54"/>
      <c r="F179" s="51"/>
      <c r="G179" s="51"/>
      <c r="H179" s="51"/>
      <c r="I179" s="51"/>
      <c r="J179" s="51"/>
      <c r="K179" s="51"/>
      <c r="L179" s="51"/>
      <c r="M179" s="51"/>
      <c r="N179" s="51"/>
      <c r="O179" s="56"/>
      <c r="P179" s="56"/>
      <c r="Q179" s="56"/>
      <c r="R179" s="56"/>
      <c r="S179" s="56"/>
      <c r="T179" s="56"/>
      <c r="U179" s="56"/>
    </row>
    <row r="180" ht="15.75" customHeight="1">
      <c r="A180" s="53" t="s">
        <v>14497</v>
      </c>
      <c r="B180" s="53"/>
      <c r="C180" s="54"/>
      <c r="D180" s="54"/>
      <c r="E180" s="54"/>
      <c r="F180" s="51"/>
      <c r="G180" s="51"/>
      <c r="H180" s="51"/>
      <c r="I180" s="51"/>
      <c r="J180" s="51"/>
      <c r="K180" s="51"/>
      <c r="L180" s="51"/>
      <c r="M180" s="51"/>
      <c r="N180" s="51"/>
      <c r="O180" s="55"/>
      <c r="P180" s="55"/>
      <c r="Q180" s="55"/>
      <c r="R180" s="55"/>
      <c r="S180" s="55"/>
      <c r="T180" s="55"/>
      <c r="U180" s="55"/>
    </row>
    <row r="181" ht="15.75" customHeight="1">
      <c r="A181" s="53" t="s">
        <v>14498</v>
      </c>
      <c r="B181" s="53"/>
      <c r="C181" s="54"/>
      <c r="D181" s="54"/>
      <c r="E181" s="54"/>
      <c r="F181" s="51"/>
      <c r="G181" s="51"/>
      <c r="H181" s="51"/>
      <c r="I181" s="51"/>
      <c r="J181" s="51"/>
      <c r="K181" s="51"/>
      <c r="L181" s="51"/>
      <c r="M181" s="51"/>
      <c r="N181" s="51"/>
      <c r="O181" s="56"/>
      <c r="P181" s="56"/>
      <c r="Q181" s="56"/>
      <c r="R181" s="56"/>
      <c r="S181" s="56"/>
      <c r="T181" s="56"/>
      <c r="U181" s="56"/>
    </row>
    <row r="182" ht="15.75" customHeight="1">
      <c r="A182" s="53" t="s">
        <v>14499</v>
      </c>
      <c r="B182" s="53"/>
      <c r="C182" s="54"/>
      <c r="D182" s="54"/>
      <c r="E182" s="54"/>
      <c r="F182" s="51"/>
      <c r="G182" s="51"/>
      <c r="H182" s="51"/>
      <c r="I182" s="51"/>
      <c r="J182" s="51"/>
      <c r="K182" s="51"/>
      <c r="L182" s="51"/>
      <c r="M182" s="51"/>
      <c r="N182" s="51"/>
      <c r="O182" s="55"/>
      <c r="P182" s="55"/>
      <c r="Q182" s="55"/>
      <c r="R182" s="55"/>
      <c r="S182" s="55"/>
      <c r="T182" s="55"/>
      <c r="U182" s="55"/>
    </row>
    <row r="183" ht="15.75" customHeight="1">
      <c r="A183" s="53" t="s">
        <v>14500</v>
      </c>
      <c r="B183" s="53"/>
      <c r="C183" s="54"/>
      <c r="D183" s="54"/>
      <c r="E183" s="54"/>
      <c r="F183" s="51"/>
      <c r="G183" s="51"/>
      <c r="H183" s="51"/>
      <c r="I183" s="51"/>
      <c r="J183" s="51"/>
      <c r="K183" s="51"/>
      <c r="L183" s="51"/>
      <c r="M183" s="51"/>
      <c r="N183" s="51"/>
      <c r="O183" s="56"/>
      <c r="P183" s="56"/>
      <c r="Q183" s="56"/>
      <c r="R183" s="56"/>
      <c r="S183" s="56"/>
      <c r="T183" s="56"/>
      <c r="U183" s="56"/>
    </row>
    <row r="184" ht="15.75" customHeight="1">
      <c r="A184" s="53" t="s">
        <v>14501</v>
      </c>
      <c r="B184" s="53"/>
      <c r="C184" s="54"/>
      <c r="D184" s="54"/>
      <c r="E184" s="54"/>
      <c r="F184" s="51"/>
      <c r="G184" s="51"/>
      <c r="H184" s="51"/>
      <c r="I184" s="51"/>
      <c r="J184" s="51"/>
      <c r="K184" s="51"/>
      <c r="L184" s="51"/>
      <c r="M184" s="51"/>
      <c r="N184" s="51"/>
      <c r="O184" s="55"/>
      <c r="P184" s="55"/>
      <c r="Q184" s="55"/>
      <c r="R184" s="55"/>
      <c r="S184" s="55"/>
      <c r="T184" s="55"/>
      <c r="U184" s="55"/>
    </row>
    <row r="185" ht="15.75" customHeight="1">
      <c r="A185" s="53" t="s">
        <v>14502</v>
      </c>
      <c r="B185" s="53"/>
      <c r="C185" s="54"/>
      <c r="D185" s="54"/>
      <c r="E185" s="54"/>
      <c r="F185" s="51"/>
      <c r="G185" s="51"/>
      <c r="H185" s="51"/>
      <c r="I185" s="51"/>
      <c r="J185" s="51"/>
      <c r="K185" s="51"/>
      <c r="L185" s="51"/>
      <c r="M185" s="51"/>
      <c r="N185" s="51"/>
      <c r="O185" s="56"/>
      <c r="P185" s="56"/>
      <c r="Q185" s="56"/>
      <c r="R185" s="56"/>
      <c r="S185" s="56"/>
      <c r="T185" s="56"/>
      <c r="U185" s="56"/>
    </row>
    <row r="186" ht="15.75" customHeight="1">
      <c r="A186" s="53" t="s">
        <v>14503</v>
      </c>
      <c r="B186" s="53"/>
      <c r="C186" s="54"/>
      <c r="D186" s="54"/>
      <c r="E186" s="54"/>
      <c r="F186" s="51"/>
      <c r="G186" s="51"/>
      <c r="H186" s="51"/>
      <c r="I186" s="51"/>
      <c r="J186" s="51"/>
      <c r="K186" s="51"/>
      <c r="L186" s="51"/>
      <c r="M186" s="51"/>
      <c r="N186" s="51"/>
      <c r="O186" s="55"/>
      <c r="P186" s="55"/>
      <c r="Q186" s="55"/>
      <c r="R186" s="55"/>
      <c r="S186" s="55"/>
      <c r="T186" s="55"/>
      <c r="U186" s="55"/>
    </row>
    <row r="187" ht="15.75" customHeight="1">
      <c r="A187" s="53" t="s">
        <v>14504</v>
      </c>
      <c r="B187" s="53"/>
      <c r="C187" s="54"/>
      <c r="D187" s="54"/>
      <c r="E187" s="54"/>
      <c r="F187" s="51"/>
      <c r="G187" s="51"/>
      <c r="H187" s="51"/>
      <c r="I187" s="51"/>
      <c r="J187" s="51"/>
      <c r="K187" s="51"/>
      <c r="L187" s="51"/>
      <c r="M187" s="51"/>
      <c r="N187" s="51"/>
      <c r="O187" s="56"/>
      <c r="P187" s="56"/>
      <c r="Q187" s="56"/>
      <c r="R187" s="56"/>
      <c r="S187" s="56"/>
      <c r="T187" s="56"/>
      <c r="U187" s="56"/>
    </row>
    <row r="188" ht="15.75" customHeight="1">
      <c r="A188" s="53" t="s">
        <v>14505</v>
      </c>
      <c r="B188" s="53"/>
      <c r="C188" s="54"/>
      <c r="D188" s="54"/>
      <c r="E188" s="54"/>
      <c r="F188" s="51"/>
      <c r="G188" s="51"/>
      <c r="H188" s="51"/>
      <c r="I188" s="51"/>
      <c r="J188" s="51"/>
      <c r="K188" s="51"/>
      <c r="L188" s="51"/>
      <c r="M188" s="51"/>
      <c r="N188" s="51"/>
      <c r="O188" s="55"/>
      <c r="P188" s="55"/>
      <c r="Q188" s="55"/>
      <c r="R188" s="55"/>
      <c r="S188" s="55"/>
      <c r="T188" s="55"/>
      <c r="U188" s="55"/>
    </row>
    <row r="189" ht="15.75" customHeight="1">
      <c r="A189" s="53" t="s">
        <v>14506</v>
      </c>
      <c r="B189" s="53"/>
      <c r="C189" s="54"/>
      <c r="D189" s="54"/>
      <c r="E189" s="54"/>
      <c r="F189" s="51"/>
      <c r="G189" s="51"/>
      <c r="H189" s="51"/>
      <c r="I189" s="51"/>
      <c r="J189" s="51"/>
      <c r="K189" s="51"/>
      <c r="L189" s="51"/>
      <c r="M189" s="51"/>
      <c r="N189" s="51"/>
      <c r="O189" s="56"/>
      <c r="P189" s="56"/>
      <c r="Q189" s="56"/>
      <c r="R189" s="56"/>
      <c r="S189" s="56"/>
      <c r="T189" s="56"/>
      <c r="U189" s="56"/>
    </row>
    <row r="190" ht="15.75" customHeight="1">
      <c r="A190" s="53" t="s">
        <v>14507</v>
      </c>
      <c r="B190" s="53"/>
      <c r="C190" s="54"/>
      <c r="D190" s="54"/>
      <c r="E190" s="54"/>
      <c r="F190" s="51"/>
      <c r="G190" s="51"/>
      <c r="H190" s="51"/>
      <c r="I190" s="51"/>
      <c r="J190" s="51"/>
      <c r="K190" s="51"/>
      <c r="L190" s="51"/>
      <c r="M190" s="51"/>
      <c r="N190" s="51"/>
      <c r="O190" s="55"/>
      <c r="P190" s="55"/>
      <c r="Q190" s="55"/>
      <c r="R190" s="55"/>
      <c r="S190" s="55"/>
      <c r="T190" s="55"/>
      <c r="U190" s="55"/>
    </row>
    <row r="191" ht="15.75" customHeight="1">
      <c r="A191" s="53" t="s">
        <v>14508</v>
      </c>
      <c r="B191" s="53"/>
      <c r="C191" s="54"/>
      <c r="D191" s="54"/>
      <c r="E191" s="54"/>
      <c r="F191" s="51"/>
      <c r="G191" s="51"/>
      <c r="H191" s="51"/>
      <c r="I191" s="51"/>
      <c r="J191" s="51"/>
      <c r="K191" s="51"/>
      <c r="L191" s="51"/>
      <c r="M191" s="51"/>
      <c r="N191" s="51"/>
      <c r="O191" s="56"/>
      <c r="P191" s="56"/>
      <c r="Q191" s="56"/>
      <c r="R191" s="56"/>
      <c r="S191" s="56"/>
      <c r="T191" s="56"/>
      <c r="U191" s="56"/>
    </row>
    <row r="192" ht="15.75" customHeight="1">
      <c r="A192" s="53" t="s">
        <v>14509</v>
      </c>
      <c r="B192" s="53"/>
      <c r="C192" s="54"/>
      <c r="D192" s="54"/>
      <c r="E192" s="54"/>
      <c r="F192" s="51"/>
      <c r="G192" s="51"/>
      <c r="H192" s="51"/>
      <c r="I192" s="51"/>
      <c r="J192" s="51"/>
      <c r="K192" s="51"/>
      <c r="L192" s="51"/>
      <c r="M192" s="51"/>
      <c r="N192" s="51"/>
      <c r="O192" s="55"/>
      <c r="P192" s="55"/>
      <c r="Q192" s="55"/>
      <c r="R192" s="55"/>
      <c r="S192" s="55"/>
      <c r="T192" s="55"/>
      <c r="U192" s="55"/>
    </row>
    <row r="193" ht="15.75" customHeight="1">
      <c r="A193" s="53" t="s">
        <v>14510</v>
      </c>
      <c r="B193" s="53"/>
      <c r="C193" s="54"/>
      <c r="D193" s="54"/>
      <c r="E193" s="54"/>
      <c r="F193" s="51"/>
      <c r="G193" s="51"/>
      <c r="H193" s="51"/>
      <c r="I193" s="51"/>
      <c r="J193" s="51"/>
      <c r="K193" s="51"/>
      <c r="L193" s="51"/>
      <c r="M193" s="51"/>
      <c r="N193" s="51"/>
      <c r="O193" s="56"/>
      <c r="P193" s="56"/>
      <c r="Q193" s="56"/>
      <c r="R193" s="56"/>
      <c r="S193" s="56"/>
      <c r="T193" s="56"/>
      <c r="U193" s="56"/>
    </row>
    <row r="194" ht="15.75" customHeight="1">
      <c r="A194" s="53" t="s">
        <v>14511</v>
      </c>
      <c r="B194" s="53"/>
      <c r="C194" s="54"/>
      <c r="D194" s="54"/>
      <c r="E194" s="54"/>
      <c r="F194" s="51"/>
      <c r="G194" s="51"/>
      <c r="H194" s="51"/>
      <c r="I194" s="51"/>
      <c r="J194" s="51"/>
      <c r="K194" s="51"/>
      <c r="L194" s="51"/>
      <c r="M194" s="51"/>
      <c r="N194" s="51"/>
      <c r="O194" s="55"/>
      <c r="P194" s="55"/>
      <c r="Q194" s="55"/>
      <c r="R194" s="55"/>
      <c r="S194" s="55"/>
      <c r="T194" s="55"/>
      <c r="U194" s="55"/>
    </row>
    <row r="195" ht="15.75" customHeight="1">
      <c r="A195" s="53" t="s">
        <v>14512</v>
      </c>
      <c r="B195" s="53"/>
      <c r="C195" s="54"/>
      <c r="D195" s="54"/>
      <c r="E195" s="54"/>
      <c r="F195" s="51"/>
      <c r="G195" s="51"/>
      <c r="H195" s="51"/>
      <c r="I195" s="51"/>
      <c r="J195" s="51"/>
      <c r="K195" s="51"/>
      <c r="L195" s="51"/>
      <c r="M195" s="51"/>
      <c r="N195" s="51"/>
      <c r="O195" s="56"/>
      <c r="P195" s="56"/>
      <c r="Q195" s="56"/>
      <c r="R195" s="56"/>
      <c r="S195" s="56"/>
      <c r="T195" s="56"/>
      <c r="U195" s="56"/>
    </row>
    <row r="196" ht="15.75" customHeight="1">
      <c r="A196" s="53" t="s">
        <v>14513</v>
      </c>
      <c r="B196" s="53"/>
      <c r="C196" s="54"/>
      <c r="D196" s="54"/>
      <c r="E196" s="54"/>
      <c r="F196" s="51"/>
      <c r="G196" s="51"/>
      <c r="H196" s="51"/>
      <c r="I196" s="51"/>
      <c r="J196" s="51"/>
      <c r="K196" s="51"/>
      <c r="L196" s="51"/>
      <c r="M196" s="51"/>
      <c r="N196" s="51"/>
      <c r="O196" s="55"/>
      <c r="P196" s="55"/>
      <c r="Q196" s="55"/>
      <c r="R196" s="55"/>
      <c r="S196" s="55"/>
      <c r="T196" s="55"/>
      <c r="U196" s="55"/>
    </row>
    <row r="197" ht="15.75" customHeight="1">
      <c r="A197" s="53" t="s">
        <v>14514</v>
      </c>
      <c r="B197" s="53"/>
      <c r="C197" s="54"/>
      <c r="D197" s="54"/>
      <c r="E197" s="54"/>
      <c r="F197" s="51"/>
      <c r="G197" s="51"/>
      <c r="H197" s="51"/>
      <c r="I197" s="51"/>
      <c r="J197" s="51"/>
      <c r="K197" s="51"/>
      <c r="L197" s="51"/>
      <c r="M197" s="51"/>
      <c r="N197" s="51"/>
      <c r="O197" s="56"/>
      <c r="P197" s="56"/>
      <c r="Q197" s="56"/>
      <c r="R197" s="56"/>
      <c r="S197" s="56"/>
      <c r="T197" s="56"/>
      <c r="U197" s="56"/>
    </row>
    <row r="198" ht="15.75" customHeight="1">
      <c r="A198" s="53" t="s">
        <v>14515</v>
      </c>
      <c r="B198" s="53"/>
      <c r="C198" s="54"/>
      <c r="D198" s="54"/>
      <c r="E198" s="54"/>
      <c r="F198" s="51"/>
      <c r="G198" s="51"/>
      <c r="H198" s="51"/>
      <c r="I198" s="51"/>
      <c r="J198" s="51"/>
      <c r="K198" s="51"/>
      <c r="L198" s="51"/>
      <c r="M198" s="51"/>
      <c r="N198" s="51"/>
      <c r="O198" s="55"/>
      <c r="P198" s="55"/>
      <c r="Q198" s="55"/>
      <c r="R198" s="55"/>
      <c r="S198" s="55"/>
      <c r="T198" s="55"/>
      <c r="U198" s="55"/>
    </row>
    <row r="199" ht="15.75" customHeight="1">
      <c r="A199" s="53" t="s">
        <v>14516</v>
      </c>
      <c r="B199" s="53"/>
      <c r="C199" s="54"/>
      <c r="D199" s="54"/>
      <c r="E199" s="54"/>
      <c r="F199" s="51"/>
      <c r="G199" s="51"/>
      <c r="H199" s="51"/>
      <c r="I199" s="51"/>
      <c r="J199" s="51"/>
      <c r="K199" s="51"/>
      <c r="L199" s="51"/>
      <c r="M199" s="51"/>
      <c r="N199" s="51"/>
      <c r="O199" s="56"/>
      <c r="P199" s="56"/>
      <c r="Q199" s="56"/>
      <c r="R199" s="56"/>
      <c r="S199" s="56"/>
      <c r="T199" s="56"/>
      <c r="U199" s="56"/>
    </row>
    <row r="200" ht="15.75" customHeight="1">
      <c r="A200" s="53" t="s">
        <v>14517</v>
      </c>
      <c r="B200" s="53"/>
      <c r="C200" s="54"/>
      <c r="D200" s="54"/>
      <c r="E200" s="54"/>
      <c r="F200" s="51"/>
      <c r="G200" s="51"/>
      <c r="H200" s="51"/>
      <c r="I200" s="51"/>
      <c r="J200" s="51"/>
      <c r="K200" s="51"/>
      <c r="L200" s="51"/>
      <c r="M200" s="51"/>
      <c r="N200" s="51"/>
      <c r="O200" s="55"/>
      <c r="P200" s="55"/>
      <c r="Q200" s="55"/>
      <c r="R200" s="55"/>
      <c r="S200" s="55"/>
      <c r="T200" s="55"/>
      <c r="U200" s="55"/>
    </row>
    <row r="201" ht="15.75" customHeight="1">
      <c r="A201" s="53" t="s">
        <v>14518</v>
      </c>
      <c r="B201" s="53"/>
      <c r="C201" s="54"/>
      <c r="D201" s="54"/>
      <c r="E201" s="54"/>
      <c r="F201" s="51"/>
      <c r="G201" s="51"/>
      <c r="H201" s="51"/>
      <c r="I201" s="51"/>
      <c r="J201" s="51"/>
      <c r="K201" s="51"/>
      <c r="L201" s="51"/>
      <c r="M201" s="51"/>
      <c r="N201" s="51"/>
      <c r="O201" s="56"/>
      <c r="P201" s="56"/>
      <c r="Q201" s="56"/>
      <c r="R201" s="56"/>
      <c r="S201" s="56"/>
      <c r="T201" s="56"/>
      <c r="U201" s="56"/>
    </row>
    <row r="202" ht="15.75" customHeight="1">
      <c r="A202" s="53" t="s">
        <v>14519</v>
      </c>
      <c r="B202" s="53"/>
      <c r="C202" s="54"/>
      <c r="D202" s="54"/>
      <c r="E202" s="54"/>
      <c r="F202" s="51"/>
      <c r="G202" s="51"/>
      <c r="H202" s="51"/>
      <c r="I202" s="51"/>
      <c r="J202" s="51"/>
      <c r="K202" s="51"/>
      <c r="L202" s="51"/>
      <c r="M202" s="51"/>
      <c r="N202" s="51"/>
      <c r="O202" s="55"/>
      <c r="P202" s="55"/>
      <c r="Q202" s="55"/>
      <c r="R202" s="55"/>
      <c r="S202" s="55"/>
      <c r="T202" s="55"/>
      <c r="U202" s="55"/>
    </row>
    <row r="203" ht="15.75" customHeight="1">
      <c r="A203" s="53" t="s">
        <v>14520</v>
      </c>
      <c r="B203" s="53"/>
      <c r="C203" s="54"/>
      <c r="D203" s="54"/>
      <c r="E203" s="54"/>
      <c r="F203" s="51"/>
      <c r="G203" s="51"/>
      <c r="H203" s="51"/>
      <c r="I203" s="51"/>
      <c r="J203" s="51"/>
      <c r="K203" s="51"/>
      <c r="L203" s="51"/>
      <c r="M203" s="51"/>
      <c r="N203" s="51"/>
      <c r="O203" s="56"/>
      <c r="P203" s="56"/>
      <c r="Q203" s="56"/>
      <c r="R203" s="56"/>
      <c r="S203" s="56"/>
      <c r="T203" s="56"/>
      <c r="U203" s="56"/>
    </row>
    <row r="204" ht="15.75" customHeight="1">
      <c r="A204" s="53" t="s">
        <v>14521</v>
      </c>
      <c r="B204" s="53"/>
      <c r="C204" s="54"/>
      <c r="D204" s="54"/>
      <c r="E204" s="54"/>
      <c r="F204" s="51"/>
      <c r="G204" s="51"/>
      <c r="H204" s="51"/>
      <c r="I204" s="51"/>
      <c r="J204" s="51"/>
      <c r="K204" s="51"/>
      <c r="L204" s="51"/>
      <c r="M204" s="51"/>
      <c r="N204" s="51"/>
      <c r="O204" s="55"/>
      <c r="P204" s="55"/>
      <c r="Q204" s="55"/>
      <c r="R204" s="55"/>
      <c r="S204" s="55"/>
      <c r="T204" s="55"/>
      <c r="U204" s="55"/>
    </row>
    <row r="205" ht="15.75" customHeight="1">
      <c r="A205" s="53" t="s">
        <v>14522</v>
      </c>
      <c r="B205" s="53"/>
      <c r="C205" s="54"/>
      <c r="D205" s="54"/>
      <c r="E205" s="54"/>
      <c r="F205" s="51"/>
      <c r="G205" s="51"/>
      <c r="H205" s="51"/>
      <c r="I205" s="51"/>
      <c r="J205" s="51"/>
      <c r="K205" s="51"/>
      <c r="L205" s="51"/>
      <c r="M205" s="51"/>
      <c r="N205" s="51"/>
      <c r="O205" s="56"/>
      <c r="P205" s="56"/>
      <c r="Q205" s="56"/>
      <c r="R205" s="56"/>
      <c r="S205" s="56"/>
      <c r="T205" s="56"/>
      <c r="U205" s="56"/>
    </row>
    <row r="206" ht="15.75" customHeight="1">
      <c r="A206" s="53" t="s">
        <v>14523</v>
      </c>
      <c r="B206" s="53"/>
      <c r="C206" s="54"/>
      <c r="D206" s="54"/>
      <c r="E206" s="54"/>
      <c r="F206" s="51"/>
      <c r="G206" s="51"/>
      <c r="H206" s="51"/>
      <c r="I206" s="51"/>
      <c r="J206" s="51"/>
      <c r="K206" s="51"/>
      <c r="L206" s="51"/>
      <c r="M206" s="51"/>
      <c r="N206" s="51"/>
      <c r="O206" s="55"/>
      <c r="P206" s="55"/>
      <c r="Q206" s="55"/>
      <c r="R206" s="55"/>
      <c r="S206" s="55"/>
      <c r="T206" s="55"/>
      <c r="U206" s="55"/>
    </row>
    <row r="207" ht="15.75" customHeight="1">
      <c r="A207" s="53" t="s">
        <v>14524</v>
      </c>
      <c r="B207" s="53"/>
      <c r="C207" s="54"/>
      <c r="D207" s="54"/>
      <c r="E207" s="54"/>
      <c r="F207" s="51"/>
      <c r="G207" s="51"/>
      <c r="H207" s="51"/>
      <c r="I207" s="51"/>
      <c r="J207" s="51"/>
      <c r="K207" s="51"/>
      <c r="L207" s="51"/>
      <c r="M207" s="51"/>
      <c r="N207" s="51"/>
      <c r="O207" s="56"/>
      <c r="P207" s="56"/>
      <c r="Q207" s="56"/>
      <c r="R207" s="56"/>
      <c r="S207" s="56"/>
      <c r="T207" s="56"/>
      <c r="U207" s="56"/>
    </row>
    <row r="208" ht="15.75" customHeight="1">
      <c r="A208" s="53" t="s">
        <v>14525</v>
      </c>
      <c r="B208" s="53"/>
      <c r="C208" s="54"/>
      <c r="D208" s="54"/>
      <c r="E208" s="54"/>
      <c r="F208" s="51"/>
      <c r="G208" s="51"/>
      <c r="H208" s="51"/>
      <c r="I208" s="51"/>
      <c r="J208" s="51"/>
      <c r="K208" s="51"/>
      <c r="L208" s="51"/>
      <c r="M208" s="51"/>
      <c r="N208" s="51"/>
      <c r="O208" s="55"/>
      <c r="P208" s="55"/>
      <c r="Q208" s="55"/>
      <c r="R208" s="55"/>
      <c r="S208" s="55"/>
      <c r="T208" s="55"/>
      <c r="U208" s="55"/>
    </row>
    <row r="209" ht="15.75" customHeight="1">
      <c r="A209" s="53" t="s">
        <v>14526</v>
      </c>
      <c r="B209" s="53"/>
      <c r="C209" s="54"/>
      <c r="D209" s="54"/>
      <c r="E209" s="54"/>
      <c r="F209" s="51"/>
      <c r="G209" s="51"/>
      <c r="H209" s="51"/>
      <c r="I209" s="51"/>
      <c r="J209" s="51"/>
      <c r="K209" s="51"/>
      <c r="L209" s="51"/>
      <c r="M209" s="51"/>
      <c r="N209" s="51"/>
      <c r="O209" s="56"/>
      <c r="P209" s="56"/>
      <c r="Q209" s="56"/>
      <c r="R209" s="56"/>
      <c r="S209" s="56"/>
      <c r="T209" s="56"/>
      <c r="U209" s="56"/>
    </row>
    <row r="210" ht="15.75" customHeight="1">
      <c r="A210" s="53" t="s">
        <v>14527</v>
      </c>
      <c r="B210" s="53"/>
      <c r="C210" s="54"/>
      <c r="D210" s="54"/>
      <c r="E210" s="54"/>
      <c r="F210" s="51"/>
      <c r="G210" s="51"/>
      <c r="H210" s="51"/>
      <c r="I210" s="51"/>
      <c r="J210" s="51"/>
      <c r="K210" s="51"/>
      <c r="L210" s="51"/>
      <c r="M210" s="51"/>
      <c r="N210" s="51"/>
      <c r="O210" s="55"/>
      <c r="P210" s="55"/>
      <c r="Q210" s="55"/>
      <c r="R210" s="55"/>
      <c r="S210" s="55"/>
      <c r="T210" s="55"/>
      <c r="U210" s="55"/>
    </row>
    <row r="211" ht="15.75" customHeight="1">
      <c r="A211" s="53" t="s">
        <v>14528</v>
      </c>
      <c r="B211" s="53"/>
      <c r="C211" s="54"/>
      <c r="D211" s="54"/>
      <c r="E211" s="54"/>
      <c r="F211" s="51"/>
      <c r="G211" s="51"/>
      <c r="H211" s="51"/>
      <c r="I211" s="51"/>
      <c r="J211" s="51"/>
      <c r="K211" s="51"/>
      <c r="L211" s="51"/>
      <c r="M211" s="51"/>
      <c r="N211" s="51"/>
      <c r="O211" s="56"/>
      <c r="P211" s="56"/>
      <c r="Q211" s="56"/>
      <c r="R211" s="56"/>
      <c r="S211" s="56"/>
      <c r="T211" s="56"/>
      <c r="U211" s="56"/>
    </row>
    <row r="212" ht="15.75" customHeight="1">
      <c r="A212" s="53" t="s">
        <v>14529</v>
      </c>
      <c r="B212" s="53"/>
      <c r="C212" s="54"/>
      <c r="D212" s="54"/>
      <c r="E212" s="54"/>
      <c r="F212" s="51"/>
      <c r="G212" s="51"/>
      <c r="H212" s="51"/>
      <c r="I212" s="51"/>
      <c r="J212" s="51"/>
      <c r="K212" s="51"/>
      <c r="L212" s="51"/>
      <c r="M212" s="51"/>
      <c r="N212" s="51"/>
      <c r="O212" s="55"/>
      <c r="P212" s="55"/>
      <c r="Q212" s="55"/>
      <c r="R212" s="55"/>
      <c r="S212" s="55"/>
      <c r="T212" s="55"/>
      <c r="U212" s="55"/>
    </row>
    <row r="213" ht="15.75" customHeight="1">
      <c r="A213" s="53" t="s">
        <v>14530</v>
      </c>
      <c r="B213" s="53"/>
      <c r="C213" s="54"/>
      <c r="D213" s="54"/>
      <c r="E213" s="54"/>
      <c r="F213" s="51"/>
      <c r="G213" s="51"/>
      <c r="H213" s="51"/>
      <c r="I213" s="51"/>
      <c r="J213" s="51"/>
      <c r="K213" s="51"/>
      <c r="L213" s="51"/>
      <c r="M213" s="51"/>
      <c r="N213" s="51"/>
      <c r="O213" s="56"/>
      <c r="P213" s="56"/>
      <c r="Q213" s="56"/>
      <c r="R213" s="56"/>
      <c r="S213" s="56"/>
      <c r="T213" s="56"/>
      <c r="U213" s="56"/>
    </row>
    <row r="214" ht="15.75" customHeight="1">
      <c r="A214" s="53" t="s">
        <v>14531</v>
      </c>
      <c r="B214" s="53"/>
      <c r="C214" s="54"/>
      <c r="D214" s="54"/>
      <c r="E214" s="54"/>
      <c r="F214" s="51"/>
      <c r="G214" s="51"/>
      <c r="H214" s="51"/>
      <c r="I214" s="51"/>
      <c r="J214" s="51"/>
      <c r="K214" s="51"/>
      <c r="L214" s="51"/>
      <c r="M214" s="51"/>
      <c r="N214" s="51"/>
      <c r="O214" s="55"/>
      <c r="P214" s="55"/>
      <c r="Q214" s="55"/>
      <c r="R214" s="55"/>
      <c r="S214" s="55"/>
      <c r="T214" s="55"/>
      <c r="U214" s="55"/>
    </row>
    <row r="215" ht="15.75" customHeight="1">
      <c r="A215" s="53" t="s">
        <v>14532</v>
      </c>
      <c r="B215" s="53"/>
      <c r="C215" s="54"/>
      <c r="D215" s="54"/>
      <c r="E215" s="54"/>
      <c r="F215" s="51"/>
      <c r="G215" s="51"/>
      <c r="H215" s="51"/>
      <c r="I215" s="51"/>
      <c r="J215" s="51"/>
      <c r="K215" s="51"/>
      <c r="L215" s="51"/>
      <c r="M215" s="51"/>
      <c r="N215" s="51"/>
      <c r="O215" s="56"/>
      <c r="P215" s="56"/>
      <c r="Q215" s="56"/>
      <c r="R215" s="56"/>
      <c r="S215" s="56"/>
      <c r="T215" s="56"/>
      <c r="U215" s="56"/>
    </row>
    <row r="216" ht="15.75" customHeight="1">
      <c r="A216" s="53" t="s">
        <v>14533</v>
      </c>
      <c r="B216" s="53"/>
      <c r="C216" s="54"/>
      <c r="D216" s="54"/>
      <c r="E216" s="54"/>
      <c r="F216" s="51"/>
      <c r="G216" s="51"/>
      <c r="H216" s="51"/>
      <c r="I216" s="51"/>
      <c r="J216" s="51"/>
      <c r="K216" s="51"/>
      <c r="L216" s="51"/>
      <c r="M216" s="51"/>
      <c r="N216" s="51"/>
      <c r="O216" s="55"/>
      <c r="P216" s="55"/>
      <c r="Q216" s="55"/>
      <c r="R216" s="55"/>
      <c r="S216" s="55"/>
      <c r="T216" s="55"/>
      <c r="U216" s="55"/>
    </row>
    <row r="217" ht="15.75" customHeight="1">
      <c r="A217" s="53" t="s">
        <v>14534</v>
      </c>
      <c r="B217" s="53"/>
      <c r="C217" s="54"/>
      <c r="D217" s="54"/>
      <c r="E217" s="54"/>
      <c r="F217" s="51"/>
      <c r="G217" s="51"/>
      <c r="H217" s="51"/>
      <c r="I217" s="51"/>
      <c r="J217" s="51"/>
      <c r="K217" s="51"/>
      <c r="L217" s="51"/>
      <c r="M217" s="51"/>
      <c r="N217" s="51"/>
      <c r="O217" s="56"/>
      <c r="P217" s="56"/>
      <c r="Q217" s="56"/>
      <c r="R217" s="56"/>
      <c r="S217" s="56"/>
      <c r="T217" s="56"/>
      <c r="U217" s="56"/>
    </row>
    <row r="218" ht="15.75" customHeight="1">
      <c r="A218" s="53" t="s">
        <v>14535</v>
      </c>
      <c r="B218" s="53"/>
      <c r="C218" s="54"/>
      <c r="D218" s="54"/>
      <c r="E218" s="54"/>
      <c r="F218" s="51"/>
      <c r="G218" s="51"/>
      <c r="H218" s="51"/>
      <c r="I218" s="51"/>
      <c r="J218" s="51"/>
      <c r="K218" s="51"/>
      <c r="L218" s="51"/>
      <c r="M218" s="51"/>
      <c r="N218" s="51"/>
      <c r="O218" s="55"/>
      <c r="P218" s="55"/>
      <c r="Q218" s="55"/>
      <c r="R218" s="55"/>
      <c r="S218" s="55"/>
      <c r="T218" s="55"/>
      <c r="U218" s="55"/>
    </row>
    <row r="219" ht="15.75" customHeight="1">
      <c r="A219" s="53" t="s">
        <v>14536</v>
      </c>
      <c r="B219" s="53"/>
      <c r="C219" s="58"/>
      <c r="D219" s="58"/>
      <c r="E219" s="58"/>
      <c r="F219" s="51"/>
      <c r="G219" s="51"/>
      <c r="H219" s="51"/>
      <c r="I219" s="51"/>
      <c r="J219" s="51"/>
      <c r="K219" s="51"/>
      <c r="L219" s="51"/>
      <c r="M219" s="51"/>
      <c r="N219" s="51"/>
      <c r="O219" s="56"/>
      <c r="P219" s="56"/>
      <c r="Q219" s="56"/>
      <c r="R219" s="56"/>
      <c r="S219" s="56"/>
      <c r="T219" s="56"/>
      <c r="U219" s="56"/>
    </row>
    <row r="220" ht="15.75" customHeight="1">
      <c r="A220" s="53" t="s">
        <v>14537</v>
      </c>
      <c r="B220" s="53"/>
      <c r="C220" s="58"/>
      <c r="D220" s="58"/>
      <c r="E220" s="58"/>
      <c r="F220" s="51"/>
      <c r="G220" s="51"/>
      <c r="H220" s="51"/>
      <c r="I220" s="51"/>
      <c r="J220" s="51"/>
      <c r="K220" s="51"/>
      <c r="L220" s="51"/>
      <c r="M220" s="51"/>
      <c r="N220" s="51"/>
      <c r="O220" s="55"/>
      <c r="P220" s="55"/>
      <c r="Q220" s="55"/>
      <c r="R220" s="55"/>
      <c r="S220" s="55"/>
      <c r="T220" s="55"/>
      <c r="U220" s="55"/>
    </row>
    <row r="221" ht="15.75" customHeight="1">
      <c r="A221" s="53" t="s">
        <v>14538</v>
      </c>
      <c r="B221" s="53"/>
      <c r="C221" s="58"/>
      <c r="D221" s="58"/>
      <c r="E221" s="58"/>
      <c r="F221" s="51"/>
      <c r="G221" s="51"/>
      <c r="H221" s="51"/>
      <c r="I221" s="51"/>
      <c r="J221" s="51"/>
      <c r="K221" s="51"/>
      <c r="L221" s="51"/>
      <c r="M221" s="51"/>
      <c r="N221" s="51"/>
      <c r="O221" s="56"/>
      <c r="P221" s="56"/>
      <c r="Q221" s="56"/>
      <c r="R221" s="56"/>
      <c r="S221" s="56"/>
      <c r="T221" s="56"/>
      <c r="U221" s="56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60"/>
      <c r="P222" s="60"/>
      <c r="Q222" s="60"/>
      <c r="R222" s="60"/>
      <c r="S222" s="60"/>
      <c r="T222" s="60"/>
      <c r="U222" s="60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60"/>
      <c r="P223" s="60"/>
      <c r="Q223" s="60"/>
      <c r="R223" s="60"/>
      <c r="S223" s="60"/>
      <c r="T223" s="60"/>
      <c r="U223" s="60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60"/>
      <c r="P224" s="60"/>
      <c r="Q224" s="60"/>
      <c r="R224" s="60"/>
      <c r="S224" s="60"/>
      <c r="T224" s="60"/>
      <c r="U224" s="60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60"/>
      <c r="P225" s="60"/>
      <c r="Q225" s="60"/>
      <c r="R225" s="60"/>
      <c r="S225" s="60"/>
      <c r="T225" s="60"/>
      <c r="U225" s="60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60"/>
      <c r="P226" s="60"/>
      <c r="Q226" s="60"/>
      <c r="R226" s="60"/>
      <c r="S226" s="60"/>
      <c r="T226" s="60"/>
      <c r="U226" s="60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60"/>
      <c r="P227" s="60"/>
      <c r="Q227" s="60"/>
      <c r="R227" s="60"/>
      <c r="S227" s="60"/>
      <c r="T227" s="60"/>
      <c r="U227" s="60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60"/>
      <c r="P228" s="60"/>
      <c r="Q228" s="60"/>
      <c r="R228" s="60"/>
      <c r="S228" s="60"/>
      <c r="T228" s="60"/>
      <c r="U228" s="60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60"/>
      <c r="P229" s="60"/>
      <c r="Q229" s="60"/>
      <c r="R229" s="60"/>
      <c r="S229" s="60"/>
      <c r="T229" s="60"/>
      <c r="U229" s="60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60"/>
      <c r="P230" s="60"/>
      <c r="Q230" s="60"/>
      <c r="R230" s="60"/>
      <c r="S230" s="60"/>
      <c r="T230" s="60"/>
      <c r="U230" s="60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60"/>
      <c r="P231" s="60"/>
      <c r="Q231" s="60"/>
      <c r="R231" s="60"/>
      <c r="S231" s="60"/>
      <c r="T231" s="60"/>
      <c r="U231" s="60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60"/>
      <c r="P232" s="60"/>
      <c r="Q232" s="60"/>
      <c r="R232" s="60"/>
      <c r="S232" s="60"/>
      <c r="T232" s="60"/>
      <c r="U232" s="60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60"/>
      <c r="P233" s="60"/>
      <c r="Q233" s="60"/>
      <c r="R233" s="60"/>
      <c r="S233" s="60"/>
      <c r="T233" s="60"/>
      <c r="U233" s="60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  <c r="P234" s="60"/>
      <c r="Q234" s="60"/>
      <c r="R234" s="60"/>
      <c r="S234" s="60"/>
      <c r="T234" s="60"/>
      <c r="U234" s="60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60"/>
      <c r="P235" s="60"/>
      <c r="Q235" s="60"/>
      <c r="R235" s="60"/>
      <c r="S235" s="60"/>
      <c r="T235" s="60"/>
      <c r="U235" s="60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60"/>
      <c r="P236" s="60"/>
      <c r="Q236" s="60"/>
      <c r="R236" s="60"/>
      <c r="S236" s="60"/>
      <c r="T236" s="60"/>
      <c r="U236" s="60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60"/>
      <c r="P237" s="60"/>
      <c r="Q237" s="60"/>
      <c r="R237" s="60"/>
      <c r="S237" s="60"/>
      <c r="T237" s="60"/>
      <c r="U237" s="60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60"/>
      <c r="P238" s="60"/>
      <c r="Q238" s="60"/>
      <c r="R238" s="60"/>
      <c r="S238" s="60"/>
      <c r="T238" s="60"/>
      <c r="U238" s="60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60"/>
      <c r="P239" s="60"/>
      <c r="Q239" s="60"/>
      <c r="R239" s="60"/>
      <c r="S239" s="60"/>
      <c r="T239" s="60"/>
      <c r="U239" s="60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60"/>
      <c r="P240" s="60"/>
      <c r="Q240" s="60"/>
      <c r="R240" s="60"/>
      <c r="S240" s="60"/>
      <c r="T240" s="60"/>
      <c r="U240" s="60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60"/>
      <c r="P241" s="60"/>
      <c r="Q241" s="60"/>
      <c r="R241" s="60"/>
      <c r="S241" s="60"/>
      <c r="T241" s="60"/>
      <c r="U241" s="60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60"/>
      <c r="P242" s="60"/>
      <c r="Q242" s="60"/>
      <c r="R242" s="60"/>
      <c r="S242" s="60"/>
      <c r="T242" s="60"/>
      <c r="U242" s="60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60"/>
      <c r="P243" s="60"/>
      <c r="Q243" s="60"/>
      <c r="R243" s="60"/>
      <c r="S243" s="60"/>
      <c r="T243" s="60"/>
      <c r="U243" s="60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60"/>
      <c r="P244" s="60"/>
      <c r="Q244" s="60"/>
      <c r="R244" s="60"/>
      <c r="S244" s="60"/>
      <c r="T244" s="60"/>
      <c r="U244" s="60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60"/>
      <c r="P245" s="60"/>
      <c r="Q245" s="60"/>
      <c r="R245" s="60"/>
      <c r="S245" s="60"/>
      <c r="T245" s="60"/>
      <c r="U245" s="60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60"/>
      <c r="P246" s="60"/>
      <c r="Q246" s="60"/>
      <c r="R246" s="60"/>
      <c r="S246" s="60"/>
      <c r="T246" s="60"/>
      <c r="U246" s="60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60"/>
      <c r="P247" s="60"/>
      <c r="Q247" s="60"/>
      <c r="R247" s="60"/>
      <c r="S247" s="60"/>
      <c r="T247" s="60"/>
      <c r="U247" s="60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60"/>
      <c r="P248" s="60"/>
      <c r="Q248" s="60"/>
      <c r="R248" s="60"/>
      <c r="S248" s="60"/>
      <c r="T248" s="60"/>
      <c r="U248" s="60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60"/>
      <c r="P249" s="60"/>
      <c r="Q249" s="60"/>
      <c r="R249" s="60"/>
      <c r="S249" s="60"/>
      <c r="T249" s="60"/>
      <c r="U249" s="60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60"/>
      <c r="P250" s="60"/>
      <c r="Q250" s="60"/>
      <c r="R250" s="60"/>
      <c r="S250" s="60"/>
      <c r="T250" s="60"/>
      <c r="U250" s="60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60"/>
      <c r="P251" s="60"/>
      <c r="Q251" s="60"/>
      <c r="R251" s="60"/>
      <c r="S251" s="60"/>
      <c r="T251" s="60"/>
      <c r="U251" s="60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60"/>
      <c r="P252" s="60"/>
      <c r="Q252" s="60"/>
      <c r="R252" s="60"/>
      <c r="S252" s="60"/>
      <c r="T252" s="60"/>
      <c r="U252" s="60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60"/>
      <c r="P253" s="60"/>
      <c r="Q253" s="60"/>
      <c r="R253" s="60"/>
      <c r="S253" s="60"/>
      <c r="T253" s="60"/>
      <c r="U253" s="60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60"/>
      <c r="P254" s="60"/>
      <c r="Q254" s="60"/>
      <c r="R254" s="60"/>
      <c r="S254" s="60"/>
      <c r="T254" s="60"/>
      <c r="U254" s="60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60"/>
      <c r="P255" s="60"/>
      <c r="Q255" s="60"/>
      <c r="R255" s="60"/>
      <c r="S255" s="60"/>
      <c r="T255" s="60"/>
      <c r="U255" s="60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60"/>
      <c r="P256" s="60"/>
      <c r="Q256" s="60"/>
      <c r="R256" s="60"/>
      <c r="S256" s="60"/>
      <c r="T256" s="60"/>
      <c r="U256" s="60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60"/>
      <c r="P257" s="60"/>
      <c r="Q257" s="60"/>
      <c r="R257" s="60"/>
      <c r="S257" s="60"/>
      <c r="T257" s="60"/>
      <c r="U257" s="60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60"/>
      <c r="P258" s="60"/>
      <c r="Q258" s="60"/>
      <c r="R258" s="60"/>
      <c r="S258" s="60"/>
      <c r="T258" s="60"/>
      <c r="U258" s="60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60"/>
      <c r="P259" s="60"/>
      <c r="Q259" s="60"/>
      <c r="R259" s="60"/>
      <c r="S259" s="60"/>
      <c r="T259" s="60"/>
      <c r="U259" s="60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60"/>
      <c r="P260" s="60"/>
      <c r="Q260" s="60"/>
      <c r="R260" s="60"/>
      <c r="S260" s="60"/>
      <c r="T260" s="60"/>
      <c r="U260" s="60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60"/>
      <c r="P261" s="60"/>
      <c r="Q261" s="60"/>
      <c r="R261" s="60"/>
      <c r="S261" s="60"/>
      <c r="T261" s="60"/>
      <c r="U261" s="60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60"/>
      <c r="P262" s="60"/>
      <c r="Q262" s="60"/>
      <c r="R262" s="60"/>
      <c r="S262" s="60"/>
      <c r="T262" s="60"/>
      <c r="U262" s="60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60"/>
      <c r="P263" s="60"/>
      <c r="Q263" s="60"/>
      <c r="R263" s="60"/>
      <c r="S263" s="60"/>
      <c r="T263" s="60"/>
      <c r="U263" s="60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60"/>
      <c r="P264" s="60"/>
      <c r="Q264" s="60"/>
      <c r="R264" s="60"/>
      <c r="S264" s="60"/>
      <c r="T264" s="60"/>
      <c r="U264" s="60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60"/>
      <c r="P265" s="60"/>
      <c r="Q265" s="60"/>
      <c r="R265" s="60"/>
      <c r="S265" s="60"/>
      <c r="T265" s="60"/>
      <c r="U265" s="60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60"/>
      <c r="P266" s="60"/>
      <c r="Q266" s="60"/>
      <c r="R266" s="60"/>
      <c r="S266" s="60"/>
      <c r="T266" s="60"/>
      <c r="U266" s="60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60"/>
      <c r="P267" s="60"/>
      <c r="Q267" s="60"/>
      <c r="R267" s="60"/>
      <c r="S267" s="60"/>
      <c r="T267" s="60"/>
      <c r="U267" s="60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60"/>
      <c r="P268" s="60"/>
      <c r="Q268" s="60"/>
      <c r="R268" s="60"/>
      <c r="S268" s="60"/>
      <c r="T268" s="60"/>
      <c r="U268" s="60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60"/>
      <c r="P269" s="60"/>
      <c r="Q269" s="60"/>
      <c r="R269" s="60"/>
      <c r="S269" s="60"/>
      <c r="T269" s="60"/>
      <c r="U269" s="60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60"/>
      <c r="P270" s="60"/>
      <c r="Q270" s="60"/>
      <c r="R270" s="60"/>
      <c r="S270" s="60"/>
      <c r="T270" s="60"/>
      <c r="U270" s="60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60"/>
      <c r="P271" s="60"/>
      <c r="Q271" s="60"/>
      <c r="R271" s="60"/>
      <c r="S271" s="60"/>
      <c r="T271" s="60"/>
      <c r="U271" s="60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60"/>
      <c r="P272" s="60"/>
      <c r="Q272" s="60"/>
      <c r="R272" s="60"/>
      <c r="S272" s="60"/>
      <c r="T272" s="60"/>
      <c r="U272" s="60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60"/>
      <c r="P273" s="60"/>
      <c r="Q273" s="60"/>
      <c r="R273" s="60"/>
      <c r="S273" s="60"/>
      <c r="T273" s="60"/>
      <c r="U273" s="60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60"/>
      <c r="P274" s="60"/>
      <c r="Q274" s="60"/>
      <c r="R274" s="60"/>
      <c r="S274" s="60"/>
      <c r="T274" s="60"/>
      <c r="U274" s="60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60"/>
      <c r="P275" s="60"/>
      <c r="Q275" s="60"/>
      <c r="R275" s="60"/>
      <c r="S275" s="60"/>
      <c r="T275" s="60"/>
      <c r="U275" s="60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60"/>
      <c r="P276" s="60"/>
      <c r="Q276" s="60"/>
      <c r="R276" s="60"/>
      <c r="S276" s="60"/>
      <c r="T276" s="60"/>
      <c r="U276" s="60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60"/>
      <c r="P277" s="60"/>
      <c r="Q277" s="60"/>
      <c r="R277" s="60"/>
      <c r="S277" s="60"/>
      <c r="T277" s="60"/>
      <c r="U277" s="60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60"/>
      <c r="P278" s="60"/>
      <c r="Q278" s="60"/>
      <c r="R278" s="60"/>
      <c r="S278" s="60"/>
      <c r="T278" s="60"/>
      <c r="U278" s="60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60"/>
      <c r="P279" s="60"/>
      <c r="Q279" s="60"/>
      <c r="R279" s="60"/>
      <c r="S279" s="60"/>
      <c r="T279" s="60"/>
      <c r="U279" s="60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60"/>
      <c r="P280" s="60"/>
      <c r="Q280" s="60"/>
      <c r="R280" s="60"/>
      <c r="S280" s="60"/>
      <c r="T280" s="60"/>
      <c r="U280" s="60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60"/>
      <c r="P281" s="60"/>
      <c r="Q281" s="60"/>
      <c r="R281" s="60"/>
      <c r="S281" s="60"/>
      <c r="T281" s="60"/>
      <c r="U281" s="60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60"/>
      <c r="P282" s="60"/>
      <c r="Q282" s="60"/>
      <c r="R282" s="60"/>
      <c r="S282" s="60"/>
      <c r="T282" s="60"/>
      <c r="U282" s="60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60"/>
      <c r="P283" s="60"/>
      <c r="Q283" s="60"/>
      <c r="R283" s="60"/>
      <c r="S283" s="60"/>
      <c r="T283" s="60"/>
      <c r="U283" s="60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60"/>
      <c r="P284" s="60"/>
      <c r="Q284" s="60"/>
      <c r="R284" s="60"/>
      <c r="S284" s="60"/>
      <c r="T284" s="60"/>
      <c r="U284" s="60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60"/>
      <c r="P285" s="60"/>
      <c r="Q285" s="60"/>
      <c r="R285" s="60"/>
      <c r="S285" s="60"/>
      <c r="T285" s="60"/>
      <c r="U285" s="60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60"/>
      <c r="P286" s="60"/>
      <c r="Q286" s="60"/>
      <c r="R286" s="60"/>
      <c r="S286" s="60"/>
      <c r="T286" s="60"/>
      <c r="U286" s="60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60"/>
      <c r="P287" s="60"/>
      <c r="Q287" s="60"/>
      <c r="R287" s="60"/>
      <c r="S287" s="60"/>
      <c r="T287" s="60"/>
      <c r="U287" s="60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60"/>
      <c r="P288" s="60"/>
      <c r="Q288" s="60"/>
      <c r="R288" s="60"/>
      <c r="S288" s="60"/>
      <c r="T288" s="60"/>
      <c r="U288" s="60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60"/>
      <c r="P289" s="60"/>
      <c r="Q289" s="60"/>
      <c r="R289" s="60"/>
      <c r="S289" s="60"/>
      <c r="T289" s="60"/>
      <c r="U289" s="60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60"/>
      <c r="P290" s="60"/>
      <c r="Q290" s="60"/>
      <c r="R290" s="60"/>
      <c r="S290" s="60"/>
      <c r="T290" s="60"/>
      <c r="U290" s="60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60"/>
      <c r="P291" s="60"/>
      <c r="Q291" s="60"/>
      <c r="R291" s="60"/>
      <c r="S291" s="60"/>
      <c r="T291" s="60"/>
      <c r="U291" s="60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60"/>
      <c r="P292" s="60"/>
      <c r="Q292" s="60"/>
      <c r="R292" s="60"/>
      <c r="S292" s="60"/>
      <c r="T292" s="60"/>
      <c r="U292" s="60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60"/>
      <c r="P293" s="60"/>
      <c r="Q293" s="60"/>
      <c r="R293" s="60"/>
      <c r="S293" s="60"/>
      <c r="T293" s="60"/>
      <c r="U293" s="60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60"/>
      <c r="P294" s="60"/>
      <c r="Q294" s="60"/>
      <c r="R294" s="60"/>
      <c r="S294" s="60"/>
      <c r="T294" s="60"/>
      <c r="U294" s="60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60"/>
      <c r="P295" s="60"/>
      <c r="Q295" s="60"/>
      <c r="R295" s="60"/>
      <c r="S295" s="60"/>
      <c r="T295" s="60"/>
      <c r="U295" s="60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60"/>
      <c r="P296" s="60"/>
      <c r="Q296" s="60"/>
      <c r="R296" s="60"/>
      <c r="S296" s="60"/>
      <c r="T296" s="60"/>
      <c r="U296" s="60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60"/>
      <c r="P297" s="60"/>
      <c r="Q297" s="60"/>
      <c r="R297" s="60"/>
      <c r="S297" s="60"/>
      <c r="T297" s="60"/>
      <c r="U297" s="60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60"/>
      <c r="P298" s="60"/>
      <c r="Q298" s="60"/>
      <c r="R298" s="60"/>
      <c r="S298" s="60"/>
      <c r="T298" s="60"/>
      <c r="U298" s="60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60"/>
      <c r="P299" s="60"/>
      <c r="Q299" s="60"/>
      <c r="R299" s="60"/>
      <c r="S299" s="60"/>
      <c r="T299" s="60"/>
      <c r="U299" s="60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60"/>
      <c r="P300" s="60"/>
      <c r="Q300" s="60"/>
      <c r="R300" s="60"/>
      <c r="S300" s="60"/>
      <c r="T300" s="60"/>
      <c r="U300" s="60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60"/>
      <c r="P301" s="60"/>
      <c r="Q301" s="60"/>
      <c r="R301" s="60"/>
      <c r="S301" s="60"/>
      <c r="T301" s="60"/>
      <c r="U301" s="60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60"/>
      <c r="P302" s="60"/>
      <c r="Q302" s="60"/>
      <c r="R302" s="60"/>
      <c r="S302" s="60"/>
      <c r="T302" s="60"/>
      <c r="U302" s="60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60"/>
      <c r="P303" s="60"/>
      <c r="Q303" s="60"/>
      <c r="R303" s="60"/>
      <c r="S303" s="60"/>
      <c r="T303" s="60"/>
      <c r="U303" s="60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60"/>
      <c r="P304" s="60"/>
      <c r="Q304" s="60"/>
      <c r="R304" s="60"/>
      <c r="S304" s="60"/>
      <c r="T304" s="60"/>
      <c r="U304" s="60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60"/>
      <c r="P305" s="60"/>
      <c r="Q305" s="60"/>
      <c r="R305" s="60"/>
      <c r="S305" s="60"/>
      <c r="T305" s="60"/>
      <c r="U305" s="60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60"/>
      <c r="P306" s="60"/>
      <c r="Q306" s="60"/>
      <c r="R306" s="60"/>
      <c r="S306" s="60"/>
      <c r="T306" s="60"/>
      <c r="U306" s="60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60"/>
      <c r="P307" s="60"/>
      <c r="Q307" s="60"/>
      <c r="R307" s="60"/>
      <c r="S307" s="60"/>
      <c r="T307" s="60"/>
      <c r="U307" s="60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P308" s="60"/>
      <c r="Q308" s="60"/>
      <c r="R308" s="60"/>
      <c r="S308" s="60"/>
      <c r="T308" s="60"/>
      <c r="U308" s="60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60"/>
      <c r="P309" s="60"/>
      <c r="Q309" s="60"/>
      <c r="R309" s="60"/>
      <c r="S309" s="60"/>
      <c r="T309" s="60"/>
      <c r="U309" s="60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60"/>
      <c r="P310" s="60"/>
      <c r="Q310" s="60"/>
      <c r="R310" s="60"/>
      <c r="S310" s="60"/>
      <c r="T310" s="60"/>
      <c r="U310" s="60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60"/>
      <c r="P311" s="60"/>
      <c r="Q311" s="60"/>
      <c r="R311" s="60"/>
      <c r="S311" s="60"/>
      <c r="T311" s="60"/>
      <c r="U311" s="60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60"/>
      <c r="P312" s="60"/>
      <c r="Q312" s="60"/>
      <c r="R312" s="60"/>
      <c r="S312" s="60"/>
      <c r="T312" s="60"/>
      <c r="U312" s="60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60"/>
      <c r="P313" s="60"/>
      <c r="Q313" s="60"/>
      <c r="R313" s="60"/>
      <c r="S313" s="60"/>
      <c r="T313" s="60"/>
      <c r="U313" s="60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60"/>
      <c r="P314" s="60"/>
      <c r="Q314" s="60"/>
      <c r="R314" s="60"/>
      <c r="S314" s="60"/>
      <c r="T314" s="60"/>
      <c r="U314" s="60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60"/>
      <c r="P315" s="60"/>
      <c r="Q315" s="60"/>
      <c r="R315" s="60"/>
      <c r="S315" s="60"/>
      <c r="T315" s="60"/>
      <c r="U315" s="60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0"/>
      <c r="P316" s="60"/>
      <c r="Q316" s="60"/>
      <c r="R316" s="60"/>
      <c r="S316" s="60"/>
      <c r="T316" s="60"/>
      <c r="U316" s="60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0"/>
      <c r="P317" s="60"/>
      <c r="Q317" s="60"/>
      <c r="R317" s="60"/>
      <c r="S317" s="60"/>
      <c r="T317" s="60"/>
      <c r="U317" s="60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0"/>
      <c r="P318" s="60"/>
      <c r="Q318" s="60"/>
      <c r="R318" s="60"/>
      <c r="S318" s="60"/>
      <c r="T318" s="60"/>
      <c r="U318" s="60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0"/>
      <c r="P319" s="60"/>
      <c r="Q319" s="60"/>
      <c r="R319" s="60"/>
      <c r="S319" s="60"/>
      <c r="T319" s="60"/>
      <c r="U319" s="60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0"/>
      <c r="P320" s="60"/>
      <c r="Q320" s="60"/>
      <c r="R320" s="60"/>
      <c r="S320" s="60"/>
      <c r="T320" s="60"/>
      <c r="U320" s="60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0"/>
      <c r="P321" s="60"/>
      <c r="Q321" s="60"/>
      <c r="R321" s="60"/>
      <c r="S321" s="60"/>
      <c r="T321" s="60"/>
      <c r="U321" s="60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0"/>
      <c r="P322" s="60"/>
      <c r="Q322" s="60"/>
      <c r="R322" s="60"/>
      <c r="S322" s="60"/>
      <c r="T322" s="60"/>
      <c r="U322" s="60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60"/>
      <c r="P323" s="60"/>
      <c r="Q323" s="60"/>
      <c r="R323" s="60"/>
      <c r="S323" s="60"/>
      <c r="T323" s="60"/>
      <c r="U323" s="60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60"/>
      <c r="P324" s="60"/>
      <c r="Q324" s="60"/>
      <c r="R324" s="60"/>
      <c r="S324" s="60"/>
      <c r="T324" s="60"/>
      <c r="U324" s="60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60"/>
      <c r="P325" s="60"/>
      <c r="Q325" s="60"/>
      <c r="R325" s="60"/>
      <c r="S325" s="60"/>
      <c r="T325" s="60"/>
      <c r="U325" s="60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60"/>
      <c r="P326" s="60"/>
      <c r="Q326" s="60"/>
      <c r="R326" s="60"/>
      <c r="S326" s="60"/>
      <c r="T326" s="60"/>
      <c r="U326" s="60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60"/>
      <c r="P327" s="60"/>
      <c r="Q327" s="60"/>
      <c r="R327" s="60"/>
      <c r="S327" s="60"/>
      <c r="T327" s="60"/>
      <c r="U327" s="60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60"/>
      <c r="P328" s="60"/>
      <c r="Q328" s="60"/>
      <c r="R328" s="60"/>
      <c r="S328" s="60"/>
      <c r="T328" s="60"/>
      <c r="U328" s="60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60"/>
      <c r="P329" s="60"/>
      <c r="Q329" s="60"/>
      <c r="R329" s="60"/>
      <c r="S329" s="60"/>
      <c r="T329" s="60"/>
      <c r="U329" s="60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60"/>
      <c r="P330" s="60"/>
      <c r="Q330" s="60"/>
      <c r="R330" s="60"/>
      <c r="S330" s="60"/>
      <c r="T330" s="60"/>
      <c r="U330" s="60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60"/>
      <c r="P331" s="60"/>
      <c r="Q331" s="60"/>
      <c r="R331" s="60"/>
      <c r="S331" s="60"/>
      <c r="T331" s="60"/>
      <c r="U331" s="60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60"/>
      <c r="P332" s="60"/>
      <c r="Q332" s="60"/>
      <c r="R332" s="60"/>
      <c r="S332" s="60"/>
      <c r="T332" s="60"/>
      <c r="U332" s="60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60"/>
      <c r="P333" s="60"/>
      <c r="Q333" s="60"/>
      <c r="R333" s="60"/>
      <c r="S333" s="60"/>
      <c r="T333" s="60"/>
      <c r="U333" s="60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60"/>
      <c r="P334" s="60"/>
      <c r="Q334" s="60"/>
      <c r="R334" s="60"/>
      <c r="S334" s="60"/>
      <c r="T334" s="60"/>
      <c r="U334" s="60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60"/>
      <c r="P335" s="60"/>
      <c r="Q335" s="60"/>
      <c r="R335" s="60"/>
      <c r="S335" s="60"/>
      <c r="T335" s="60"/>
      <c r="U335" s="60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60"/>
      <c r="P336" s="60"/>
      <c r="Q336" s="60"/>
      <c r="R336" s="60"/>
      <c r="S336" s="60"/>
      <c r="T336" s="60"/>
      <c r="U336" s="60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60"/>
      <c r="P337" s="60"/>
      <c r="Q337" s="60"/>
      <c r="R337" s="60"/>
      <c r="S337" s="60"/>
      <c r="T337" s="60"/>
      <c r="U337" s="60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60"/>
      <c r="P338" s="60"/>
      <c r="Q338" s="60"/>
      <c r="R338" s="60"/>
      <c r="S338" s="60"/>
      <c r="T338" s="60"/>
      <c r="U338" s="60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60"/>
      <c r="P339" s="60"/>
      <c r="Q339" s="60"/>
      <c r="R339" s="60"/>
      <c r="S339" s="60"/>
      <c r="T339" s="60"/>
      <c r="U339" s="60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60"/>
      <c r="P340" s="60"/>
      <c r="Q340" s="60"/>
      <c r="R340" s="60"/>
      <c r="S340" s="60"/>
      <c r="T340" s="60"/>
      <c r="U340" s="60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60"/>
      <c r="P341" s="60"/>
      <c r="Q341" s="60"/>
      <c r="R341" s="60"/>
      <c r="S341" s="60"/>
      <c r="T341" s="60"/>
      <c r="U341" s="60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60"/>
      <c r="P342" s="60"/>
      <c r="Q342" s="60"/>
      <c r="R342" s="60"/>
      <c r="S342" s="60"/>
      <c r="T342" s="60"/>
      <c r="U342" s="60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60"/>
      <c r="P343" s="60"/>
      <c r="Q343" s="60"/>
      <c r="R343" s="60"/>
      <c r="S343" s="60"/>
      <c r="T343" s="60"/>
      <c r="U343" s="60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60"/>
      <c r="P344" s="60"/>
      <c r="Q344" s="60"/>
      <c r="R344" s="60"/>
      <c r="S344" s="60"/>
      <c r="T344" s="60"/>
      <c r="U344" s="60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60"/>
      <c r="P345" s="60"/>
      <c r="Q345" s="60"/>
      <c r="R345" s="60"/>
      <c r="S345" s="60"/>
      <c r="T345" s="60"/>
      <c r="U345" s="60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60"/>
      <c r="P346" s="60"/>
      <c r="Q346" s="60"/>
      <c r="R346" s="60"/>
      <c r="S346" s="60"/>
      <c r="T346" s="60"/>
      <c r="U346" s="60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60"/>
      <c r="P347" s="60"/>
      <c r="Q347" s="60"/>
      <c r="R347" s="60"/>
      <c r="S347" s="60"/>
      <c r="T347" s="60"/>
      <c r="U347" s="60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0"/>
      <c r="P348" s="60"/>
      <c r="Q348" s="60"/>
      <c r="R348" s="60"/>
      <c r="S348" s="60"/>
      <c r="T348" s="60"/>
      <c r="U348" s="60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0"/>
      <c r="P349" s="60"/>
      <c r="Q349" s="60"/>
      <c r="R349" s="60"/>
      <c r="S349" s="60"/>
      <c r="T349" s="60"/>
      <c r="U349" s="60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0"/>
      <c r="P350" s="60"/>
      <c r="Q350" s="60"/>
      <c r="R350" s="60"/>
      <c r="S350" s="60"/>
      <c r="T350" s="60"/>
      <c r="U350" s="60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0"/>
      <c r="P351" s="60"/>
      <c r="Q351" s="60"/>
      <c r="R351" s="60"/>
      <c r="S351" s="60"/>
      <c r="T351" s="60"/>
      <c r="U351" s="60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0"/>
      <c r="P352" s="60"/>
      <c r="Q352" s="60"/>
      <c r="R352" s="60"/>
      <c r="S352" s="60"/>
      <c r="T352" s="60"/>
      <c r="U352" s="60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60"/>
      <c r="P353" s="60"/>
      <c r="Q353" s="60"/>
      <c r="R353" s="60"/>
      <c r="S353" s="60"/>
      <c r="T353" s="60"/>
      <c r="U353" s="60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60"/>
      <c r="P354" s="60"/>
      <c r="Q354" s="60"/>
      <c r="R354" s="60"/>
      <c r="S354" s="60"/>
      <c r="T354" s="60"/>
      <c r="U354" s="60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60"/>
      <c r="P355" s="60"/>
      <c r="Q355" s="60"/>
      <c r="R355" s="60"/>
      <c r="S355" s="60"/>
      <c r="T355" s="60"/>
      <c r="U355" s="60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60"/>
      <c r="P356" s="60"/>
      <c r="Q356" s="60"/>
      <c r="R356" s="60"/>
      <c r="S356" s="60"/>
      <c r="T356" s="60"/>
      <c r="U356" s="60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60"/>
      <c r="P357" s="60"/>
      <c r="Q357" s="60"/>
      <c r="R357" s="60"/>
      <c r="S357" s="60"/>
      <c r="T357" s="60"/>
      <c r="U357" s="60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60"/>
      <c r="P358" s="60"/>
      <c r="Q358" s="60"/>
      <c r="R358" s="60"/>
      <c r="S358" s="60"/>
      <c r="T358" s="60"/>
      <c r="U358" s="60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60"/>
      <c r="P359" s="60"/>
      <c r="Q359" s="60"/>
      <c r="R359" s="60"/>
      <c r="S359" s="60"/>
      <c r="T359" s="60"/>
      <c r="U359" s="60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60"/>
      <c r="P360" s="60"/>
      <c r="Q360" s="60"/>
      <c r="R360" s="60"/>
      <c r="S360" s="60"/>
      <c r="T360" s="60"/>
      <c r="U360" s="60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60"/>
      <c r="P361" s="60"/>
      <c r="Q361" s="60"/>
      <c r="R361" s="60"/>
      <c r="S361" s="60"/>
      <c r="T361" s="60"/>
      <c r="U361" s="60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60"/>
      <c r="P362" s="60"/>
      <c r="Q362" s="60"/>
      <c r="R362" s="60"/>
      <c r="S362" s="60"/>
      <c r="T362" s="60"/>
      <c r="U362" s="60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60"/>
      <c r="P363" s="60"/>
      <c r="Q363" s="60"/>
      <c r="R363" s="60"/>
      <c r="S363" s="60"/>
      <c r="T363" s="60"/>
      <c r="U363" s="60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60"/>
      <c r="P364" s="60"/>
      <c r="Q364" s="60"/>
      <c r="R364" s="60"/>
      <c r="S364" s="60"/>
      <c r="T364" s="60"/>
      <c r="U364" s="60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60"/>
      <c r="P365" s="60"/>
      <c r="Q365" s="60"/>
      <c r="R365" s="60"/>
      <c r="S365" s="60"/>
      <c r="T365" s="60"/>
      <c r="U365" s="60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60"/>
      <c r="P366" s="60"/>
      <c r="Q366" s="60"/>
      <c r="R366" s="60"/>
      <c r="S366" s="60"/>
      <c r="T366" s="60"/>
      <c r="U366" s="60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60"/>
      <c r="P367" s="60"/>
      <c r="Q367" s="60"/>
      <c r="R367" s="60"/>
      <c r="S367" s="60"/>
      <c r="T367" s="60"/>
      <c r="U367" s="60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60"/>
      <c r="P368" s="60"/>
      <c r="Q368" s="60"/>
      <c r="R368" s="60"/>
      <c r="S368" s="60"/>
      <c r="T368" s="60"/>
      <c r="U368" s="60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60"/>
      <c r="P369" s="60"/>
      <c r="Q369" s="60"/>
      <c r="R369" s="60"/>
      <c r="S369" s="60"/>
      <c r="T369" s="60"/>
      <c r="U369" s="60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60"/>
      <c r="P370" s="60"/>
      <c r="Q370" s="60"/>
      <c r="R370" s="60"/>
      <c r="S370" s="60"/>
      <c r="T370" s="60"/>
      <c r="U370" s="60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60"/>
      <c r="P371" s="60"/>
      <c r="Q371" s="60"/>
      <c r="R371" s="60"/>
      <c r="S371" s="60"/>
      <c r="T371" s="60"/>
      <c r="U371" s="60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60"/>
      <c r="P372" s="60"/>
      <c r="Q372" s="60"/>
      <c r="R372" s="60"/>
      <c r="S372" s="60"/>
      <c r="T372" s="60"/>
      <c r="U372" s="60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60"/>
      <c r="P373" s="60"/>
      <c r="Q373" s="60"/>
      <c r="R373" s="60"/>
      <c r="S373" s="60"/>
      <c r="T373" s="60"/>
      <c r="U373" s="60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60"/>
      <c r="P374" s="60"/>
      <c r="Q374" s="60"/>
      <c r="R374" s="60"/>
      <c r="S374" s="60"/>
      <c r="T374" s="60"/>
      <c r="U374" s="60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60"/>
      <c r="P375" s="60"/>
      <c r="Q375" s="60"/>
      <c r="R375" s="60"/>
      <c r="S375" s="60"/>
      <c r="T375" s="60"/>
      <c r="U375" s="60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60"/>
      <c r="P376" s="60"/>
      <c r="Q376" s="60"/>
      <c r="R376" s="60"/>
      <c r="S376" s="60"/>
      <c r="T376" s="60"/>
      <c r="U376" s="60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  <c r="P377" s="60"/>
      <c r="Q377" s="60"/>
      <c r="R377" s="60"/>
      <c r="S377" s="60"/>
      <c r="T377" s="60"/>
      <c r="U377" s="60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60"/>
      <c r="P378" s="60"/>
      <c r="Q378" s="60"/>
      <c r="R378" s="60"/>
      <c r="S378" s="60"/>
      <c r="T378" s="60"/>
      <c r="U378" s="60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60"/>
      <c r="P379" s="60"/>
      <c r="Q379" s="60"/>
      <c r="R379" s="60"/>
      <c r="S379" s="60"/>
      <c r="T379" s="60"/>
      <c r="U379" s="60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60"/>
      <c r="P380" s="60"/>
      <c r="Q380" s="60"/>
      <c r="R380" s="60"/>
      <c r="S380" s="60"/>
      <c r="T380" s="60"/>
      <c r="U380" s="60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60"/>
      <c r="P381" s="60"/>
      <c r="Q381" s="60"/>
      <c r="R381" s="60"/>
      <c r="S381" s="60"/>
      <c r="T381" s="60"/>
      <c r="U381" s="60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60"/>
      <c r="P382" s="60"/>
      <c r="Q382" s="60"/>
      <c r="R382" s="60"/>
      <c r="S382" s="60"/>
      <c r="T382" s="60"/>
      <c r="U382" s="60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60"/>
      <c r="P383" s="60"/>
      <c r="Q383" s="60"/>
      <c r="R383" s="60"/>
      <c r="S383" s="60"/>
      <c r="T383" s="60"/>
      <c r="U383" s="60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60"/>
      <c r="P384" s="60"/>
      <c r="Q384" s="60"/>
      <c r="R384" s="60"/>
      <c r="S384" s="60"/>
      <c r="T384" s="60"/>
      <c r="U384" s="60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60"/>
      <c r="P385" s="60"/>
      <c r="Q385" s="60"/>
      <c r="R385" s="60"/>
      <c r="S385" s="60"/>
      <c r="T385" s="60"/>
      <c r="U385" s="60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60"/>
      <c r="P386" s="60"/>
      <c r="Q386" s="60"/>
      <c r="R386" s="60"/>
      <c r="S386" s="60"/>
      <c r="T386" s="60"/>
      <c r="U386" s="60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60"/>
      <c r="P387" s="60"/>
      <c r="Q387" s="60"/>
      <c r="R387" s="60"/>
      <c r="S387" s="60"/>
      <c r="T387" s="60"/>
      <c r="U387" s="60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60"/>
      <c r="P388" s="60"/>
      <c r="Q388" s="60"/>
      <c r="R388" s="60"/>
      <c r="S388" s="60"/>
      <c r="T388" s="60"/>
      <c r="U388" s="60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60"/>
      <c r="P389" s="60"/>
      <c r="Q389" s="60"/>
      <c r="R389" s="60"/>
      <c r="S389" s="60"/>
      <c r="T389" s="60"/>
      <c r="U389" s="60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60"/>
      <c r="P390" s="60"/>
      <c r="Q390" s="60"/>
      <c r="R390" s="60"/>
      <c r="S390" s="60"/>
      <c r="T390" s="60"/>
      <c r="U390" s="60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60"/>
      <c r="P391" s="60"/>
      <c r="Q391" s="60"/>
      <c r="R391" s="60"/>
      <c r="S391" s="60"/>
      <c r="T391" s="60"/>
      <c r="U391" s="60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60"/>
      <c r="P392" s="60"/>
      <c r="Q392" s="60"/>
      <c r="R392" s="60"/>
      <c r="S392" s="60"/>
      <c r="T392" s="60"/>
      <c r="U392" s="60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60"/>
      <c r="P393" s="60"/>
      <c r="Q393" s="60"/>
      <c r="R393" s="60"/>
      <c r="S393" s="60"/>
      <c r="T393" s="60"/>
      <c r="U393" s="60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60"/>
      <c r="P394" s="60"/>
      <c r="Q394" s="60"/>
      <c r="R394" s="60"/>
      <c r="S394" s="60"/>
      <c r="T394" s="60"/>
      <c r="U394" s="60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60"/>
      <c r="P395" s="60"/>
      <c r="Q395" s="60"/>
      <c r="R395" s="60"/>
      <c r="S395" s="60"/>
      <c r="T395" s="60"/>
      <c r="U395" s="60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60"/>
      <c r="P396" s="60"/>
      <c r="Q396" s="60"/>
      <c r="R396" s="60"/>
      <c r="S396" s="60"/>
      <c r="T396" s="60"/>
      <c r="U396" s="60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60"/>
      <c r="P397" s="60"/>
      <c r="Q397" s="60"/>
      <c r="R397" s="60"/>
      <c r="S397" s="60"/>
      <c r="T397" s="60"/>
      <c r="U397" s="60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60"/>
      <c r="P398" s="60"/>
      <c r="Q398" s="60"/>
      <c r="R398" s="60"/>
      <c r="S398" s="60"/>
      <c r="T398" s="60"/>
      <c r="U398" s="60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60"/>
      <c r="P399" s="60"/>
      <c r="Q399" s="60"/>
      <c r="R399" s="60"/>
      <c r="S399" s="60"/>
      <c r="T399" s="60"/>
      <c r="U399" s="60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60"/>
      <c r="P400" s="60"/>
      <c r="Q400" s="60"/>
      <c r="R400" s="60"/>
      <c r="S400" s="60"/>
      <c r="T400" s="60"/>
      <c r="U400" s="60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60"/>
      <c r="P401" s="60"/>
      <c r="Q401" s="60"/>
      <c r="R401" s="60"/>
      <c r="S401" s="60"/>
      <c r="T401" s="60"/>
      <c r="U401" s="60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60"/>
      <c r="P402" s="60"/>
      <c r="Q402" s="60"/>
      <c r="R402" s="60"/>
      <c r="S402" s="60"/>
      <c r="T402" s="60"/>
      <c r="U402" s="60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60"/>
      <c r="P403" s="60"/>
      <c r="Q403" s="60"/>
      <c r="R403" s="60"/>
      <c r="S403" s="60"/>
      <c r="T403" s="60"/>
      <c r="U403" s="60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60"/>
      <c r="P404" s="60"/>
      <c r="Q404" s="60"/>
      <c r="R404" s="60"/>
      <c r="S404" s="60"/>
      <c r="T404" s="60"/>
      <c r="U404" s="60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60"/>
      <c r="P405" s="60"/>
      <c r="Q405" s="60"/>
      <c r="R405" s="60"/>
      <c r="S405" s="60"/>
      <c r="T405" s="60"/>
      <c r="U405" s="60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60"/>
      <c r="P406" s="60"/>
      <c r="Q406" s="60"/>
      <c r="R406" s="60"/>
      <c r="S406" s="60"/>
      <c r="T406" s="60"/>
      <c r="U406" s="60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60"/>
      <c r="P407" s="60"/>
      <c r="Q407" s="60"/>
      <c r="R407" s="60"/>
      <c r="S407" s="60"/>
      <c r="T407" s="60"/>
      <c r="U407" s="60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60"/>
      <c r="P408" s="60"/>
      <c r="Q408" s="60"/>
      <c r="R408" s="60"/>
      <c r="S408" s="60"/>
      <c r="T408" s="60"/>
      <c r="U408" s="60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60"/>
      <c r="P409" s="60"/>
      <c r="Q409" s="60"/>
      <c r="R409" s="60"/>
      <c r="S409" s="60"/>
      <c r="T409" s="60"/>
      <c r="U409" s="60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60"/>
      <c r="P410" s="60"/>
      <c r="Q410" s="60"/>
      <c r="R410" s="60"/>
      <c r="S410" s="60"/>
      <c r="T410" s="60"/>
      <c r="U410" s="60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60"/>
      <c r="P411" s="60"/>
      <c r="Q411" s="60"/>
      <c r="R411" s="60"/>
      <c r="S411" s="60"/>
      <c r="T411" s="60"/>
      <c r="U411" s="60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60"/>
      <c r="P412" s="60"/>
      <c r="Q412" s="60"/>
      <c r="R412" s="60"/>
      <c r="S412" s="60"/>
      <c r="T412" s="60"/>
      <c r="U412" s="60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60"/>
      <c r="P413" s="60"/>
      <c r="Q413" s="60"/>
      <c r="R413" s="60"/>
      <c r="S413" s="60"/>
      <c r="T413" s="60"/>
      <c r="U413" s="60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60"/>
      <c r="P414" s="60"/>
      <c r="Q414" s="60"/>
      <c r="R414" s="60"/>
      <c r="S414" s="60"/>
      <c r="T414" s="60"/>
      <c r="U414" s="60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60"/>
      <c r="P415" s="60"/>
      <c r="Q415" s="60"/>
      <c r="R415" s="60"/>
      <c r="S415" s="60"/>
      <c r="T415" s="60"/>
      <c r="U415" s="60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60"/>
      <c r="P416" s="60"/>
      <c r="Q416" s="60"/>
      <c r="R416" s="60"/>
      <c r="S416" s="60"/>
      <c r="T416" s="60"/>
      <c r="U416" s="60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60"/>
      <c r="P417" s="60"/>
      <c r="Q417" s="60"/>
      <c r="R417" s="60"/>
      <c r="S417" s="60"/>
      <c r="T417" s="60"/>
      <c r="U417" s="60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60"/>
      <c r="P418" s="60"/>
      <c r="Q418" s="60"/>
      <c r="R418" s="60"/>
      <c r="S418" s="60"/>
      <c r="T418" s="60"/>
      <c r="U418" s="60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60"/>
      <c r="P419" s="60"/>
      <c r="Q419" s="60"/>
      <c r="R419" s="60"/>
      <c r="S419" s="60"/>
      <c r="T419" s="60"/>
      <c r="U419" s="60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60"/>
      <c r="P420" s="60"/>
      <c r="Q420" s="60"/>
      <c r="R420" s="60"/>
      <c r="S420" s="60"/>
      <c r="T420" s="60"/>
      <c r="U420" s="60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60"/>
      <c r="P421" s="60"/>
      <c r="Q421" s="60"/>
      <c r="R421" s="60"/>
      <c r="S421" s="60"/>
      <c r="T421" s="60"/>
      <c r="U421" s="60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60"/>
      <c r="P422" s="60"/>
      <c r="Q422" s="60"/>
      <c r="R422" s="60"/>
      <c r="S422" s="60"/>
      <c r="T422" s="60"/>
      <c r="U422" s="60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60"/>
      <c r="P423" s="60"/>
      <c r="Q423" s="60"/>
      <c r="R423" s="60"/>
      <c r="S423" s="60"/>
      <c r="T423" s="60"/>
      <c r="U423" s="60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60"/>
      <c r="P424" s="60"/>
      <c r="Q424" s="60"/>
      <c r="R424" s="60"/>
      <c r="S424" s="60"/>
      <c r="T424" s="60"/>
      <c r="U424" s="60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60"/>
      <c r="P425" s="60"/>
      <c r="Q425" s="60"/>
      <c r="R425" s="60"/>
      <c r="S425" s="60"/>
      <c r="T425" s="60"/>
      <c r="U425" s="60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60"/>
      <c r="P426" s="60"/>
      <c r="Q426" s="60"/>
      <c r="R426" s="60"/>
      <c r="S426" s="60"/>
      <c r="T426" s="60"/>
      <c r="U426" s="60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0"/>
      <c r="Q427" s="60"/>
      <c r="R427" s="60"/>
      <c r="S427" s="60"/>
      <c r="T427" s="60"/>
      <c r="U427" s="60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60"/>
      <c r="P428" s="60"/>
      <c r="Q428" s="60"/>
      <c r="R428" s="60"/>
      <c r="S428" s="60"/>
      <c r="T428" s="60"/>
      <c r="U428" s="60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60"/>
      <c r="P429" s="60"/>
      <c r="Q429" s="60"/>
      <c r="R429" s="60"/>
      <c r="S429" s="60"/>
      <c r="T429" s="60"/>
      <c r="U429" s="60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60"/>
      <c r="P430" s="60"/>
      <c r="Q430" s="60"/>
      <c r="R430" s="60"/>
      <c r="S430" s="60"/>
      <c r="T430" s="60"/>
      <c r="U430" s="60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60"/>
      <c r="P431" s="60"/>
      <c r="Q431" s="60"/>
      <c r="R431" s="60"/>
      <c r="S431" s="60"/>
      <c r="T431" s="60"/>
      <c r="U431" s="60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60"/>
      <c r="P432" s="60"/>
      <c r="Q432" s="60"/>
      <c r="R432" s="60"/>
      <c r="S432" s="60"/>
      <c r="T432" s="60"/>
      <c r="U432" s="60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60"/>
      <c r="P433" s="60"/>
      <c r="Q433" s="60"/>
      <c r="R433" s="60"/>
      <c r="S433" s="60"/>
      <c r="T433" s="60"/>
      <c r="U433" s="60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60"/>
      <c r="P434" s="60"/>
      <c r="Q434" s="60"/>
      <c r="R434" s="60"/>
      <c r="S434" s="60"/>
      <c r="T434" s="60"/>
      <c r="U434" s="60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60"/>
      <c r="P435" s="60"/>
      <c r="Q435" s="60"/>
      <c r="R435" s="60"/>
      <c r="S435" s="60"/>
      <c r="T435" s="60"/>
      <c r="U435" s="60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60"/>
      <c r="P436" s="60"/>
      <c r="Q436" s="60"/>
      <c r="R436" s="60"/>
      <c r="S436" s="60"/>
      <c r="T436" s="60"/>
      <c r="U436" s="60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60"/>
      <c r="P437" s="60"/>
      <c r="Q437" s="60"/>
      <c r="R437" s="60"/>
      <c r="S437" s="60"/>
      <c r="T437" s="60"/>
      <c r="U437" s="60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60"/>
      <c r="P438" s="60"/>
      <c r="Q438" s="60"/>
      <c r="R438" s="60"/>
      <c r="S438" s="60"/>
      <c r="T438" s="60"/>
      <c r="U438" s="60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60"/>
      <c r="P439" s="60"/>
      <c r="Q439" s="60"/>
      <c r="R439" s="60"/>
      <c r="S439" s="60"/>
      <c r="T439" s="60"/>
      <c r="U439" s="60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60"/>
      <c r="P440" s="60"/>
      <c r="Q440" s="60"/>
      <c r="R440" s="60"/>
      <c r="S440" s="60"/>
      <c r="T440" s="60"/>
      <c r="U440" s="60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60"/>
      <c r="P441" s="60"/>
      <c r="Q441" s="60"/>
      <c r="R441" s="60"/>
      <c r="S441" s="60"/>
      <c r="T441" s="60"/>
      <c r="U441" s="60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60"/>
      <c r="P442" s="60"/>
      <c r="Q442" s="60"/>
      <c r="R442" s="60"/>
      <c r="S442" s="60"/>
      <c r="T442" s="60"/>
      <c r="U442" s="60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60"/>
      <c r="P443" s="60"/>
      <c r="Q443" s="60"/>
      <c r="R443" s="60"/>
      <c r="S443" s="60"/>
      <c r="T443" s="60"/>
      <c r="U443" s="60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60"/>
      <c r="P444" s="60"/>
      <c r="Q444" s="60"/>
      <c r="R444" s="60"/>
      <c r="S444" s="60"/>
      <c r="T444" s="60"/>
      <c r="U444" s="60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60"/>
      <c r="P445" s="60"/>
      <c r="Q445" s="60"/>
      <c r="R445" s="60"/>
      <c r="S445" s="60"/>
      <c r="T445" s="60"/>
      <c r="U445" s="60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60"/>
      <c r="P446" s="60"/>
      <c r="Q446" s="60"/>
      <c r="R446" s="60"/>
      <c r="S446" s="60"/>
      <c r="T446" s="60"/>
      <c r="U446" s="60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60"/>
      <c r="P447" s="60"/>
      <c r="Q447" s="60"/>
      <c r="R447" s="60"/>
      <c r="S447" s="60"/>
      <c r="T447" s="60"/>
      <c r="U447" s="60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60"/>
      <c r="P448" s="60"/>
      <c r="Q448" s="60"/>
      <c r="R448" s="60"/>
      <c r="S448" s="60"/>
      <c r="T448" s="60"/>
      <c r="U448" s="60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60"/>
      <c r="P449" s="60"/>
      <c r="Q449" s="60"/>
      <c r="R449" s="60"/>
      <c r="S449" s="60"/>
      <c r="T449" s="60"/>
      <c r="U449" s="60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60"/>
      <c r="P450" s="60"/>
      <c r="Q450" s="60"/>
      <c r="R450" s="60"/>
      <c r="S450" s="60"/>
      <c r="T450" s="60"/>
      <c r="U450" s="60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60"/>
      <c r="P451" s="60"/>
      <c r="Q451" s="60"/>
      <c r="R451" s="60"/>
      <c r="S451" s="60"/>
      <c r="T451" s="60"/>
      <c r="U451" s="60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60"/>
      <c r="P452" s="60"/>
      <c r="Q452" s="60"/>
      <c r="R452" s="60"/>
      <c r="S452" s="60"/>
      <c r="T452" s="60"/>
      <c r="U452" s="60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60"/>
      <c r="P453" s="60"/>
      <c r="Q453" s="60"/>
      <c r="R453" s="60"/>
      <c r="S453" s="60"/>
      <c r="T453" s="60"/>
      <c r="U453" s="60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60"/>
      <c r="P454" s="60"/>
      <c r="Q454" s="60"/>
      <c r="R454" s="60"/>
      <c r="S454" s="60"/>
      <c r="T454" s="60"/>
      <c r="U454" s="60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60"/>
      <c r="P455" s="60"/>
      <c r="Q455" s="60"/>
      <c r="R455" s="60"/>
      <c r="S455" s="60"/>
      <c r="T455" s="60"/>
      <c r="U455" s="60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60"/>
      <c r="P456" s="60"/>
      <c r="Q456" s="60"/>
      <c r="R456" s="60"/>
      <c r="S456" s="60"/>
      <c r="T456" s="60"/>
      <c r="U456" s="60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60"/>
      <c r="P457" s="60"/>
      <c r="Q457" s="60"/>
      <c r="R457" s="60"/>
      <c r="S457" s="60"/>
      <c r="T457" s="60"/>
      <c r="U457" s="60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60"/>
      <c r="P458" s="60"/>
      <c r="Q458" s="60"/>
      <c r="R458" s="60"/>
      <c r="S458" s="60"/>
      <c r="T458" s="60"/>
      <c r="U458" s="60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60"/>
      <c r="P459" s="60"/>
      <c r="Q459" s="60"/>
      <c r="R459" s="60"/>
      <c r="S459" s="60"/>
      <c r="T459" s="60"/>
      <c r="U459" s="60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60"/>
      <c r="P460" s="60"/>
      <c r="Q460" s="60"/>
      <c r="R460" s="60"/>
      <c r="S460" s="60"/>
      <c r="T460" s="60"/>
      <c r="U460" s="60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60"/>
      <c r="P461" s="60"/>
      <c r="Q461" s="60"/>
      <c r="R461" s="60"/>
      <c r="S461" s="60"/>
      <c r="T461" s="60"/>
      <c r="U461" s="60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60"/>
      <c r="P462" s="60"/>
      <c r="Q462" s="60"/>
      <c r="R462" s="60"/>
      <c r="S462" s="60"/>
      <c r="T462" s="60"/>
      <c r="U462" s="60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60"/>
      <c r="P463" s="60"/>
      <c r="Q463" s="60"/>
      <c r="R463" s="60"/>
      <c r="S463" s="60"/>
      <c r="T463" s="60"/>
      <c r="U463" s="60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60"/>
      <c r="P464" s="60"/>
      <c r="Q464" s="60"/>
      <c r="R464" s="60"/>
      <c r="S464" s="60"/>
      <c r="T464" s="60"/>
      <c r="U464" s="60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60"/>
      <c r="P465" s="60"/>
      <c r="Q465" s="60"/>
      <c r="R465" s="60"/>
      <c r="S465" s="60"/>
      <c r="T465" s="60"/>
      <c r="U465" s="60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60"/>
      <c r="P466" s="60"/>
      <c r="Q466" s="60"/>
      <c r="R466" s="60"/>
      <c r="S466" s="60"/>
      <c r="T466" s="60"/>
      <c r="U466" s="60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60"/>
      <c r="P467" s="60"/>
      <c r="Q467" s="60"/>
      <c r="R467" s="60"/>
      <c r="S467" s="60"/>
      <c r="T467" s="60"/>
      <c r="U467" s="60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60"/>
      <c r="P468" s="60"/>
      <c r="Q468" s="60"/>
      <c r="R468" s="60"/>
      <c r="S468" s="60"/>
      <c r="T468" s="60"/>
      <c r="U468" s="60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60"/>
      <c r="P469" s="60"/>
      <c r="Q469" s="60"/>
      <c r="R469" s="60"/>
      <c r="S469" s="60"/>
      <c r="T469" s="60"/>
      <c r="U469" s="60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60"/>
      <c r="P470" s="60"/>
      <c r="Q470" s="60"/>
      <c r="R470" s="60"/>
      <c r="S470" s="60"/>
      <c r="T470" s="60"/>
      <c r="U470" s="60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60"/>
      <c r="P471" s="60"/>
      <c r="Q471" s="60"/>
      <c r="R471" s="60"/>
      <c r="S471" s="60"/>
      <c r="T471" s="60"/>
      <c r="U471" s="60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60"/>
      <c r="P472" s="60"/>
      <c r="Q472" s="60"/>
      <c r="R472" s="60"/>
      <c r="S472" s="60"/>
      <c r="T472" s="60"/>
      <c r="U472" s="60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60"/>
      <c r="P473" s="60"/>
      <c r="Q473" s="60"/>
      <c r="R473" s="60"/>
      <c r="S473" s="60"/>
      <c r="T473" s="60"/>
      <c r="U473" s="60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60"/>
      <c r="P474" s="60"/>
      <c r="Q474" s="60"/>
      <c r="R474" s="60"/>
      <c r="S474" s="60"/>
      <c r="T474" s="60"/>
      <c r="U474" s="60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60"/>
      <c r="P475" s="60"/>
      <c r="Q475" s="60"/>
      <c r="R475" s="60"/>
      <c r="S475" s="60"/>
      <c r="T475" s="60"/>
      <c r="U475" s="60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60"/>
      <c r="P476" s="60"/>
      <c r="Q476" s="60"/>
      <c r="R476" s="60"/>
      <c r="S476" s="60"/>
      <c r="T476" s="60"/>
      <c r="U476" s="60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60"/>
      <c r="P477" s="60"/>
      <c r="Q477" s="60"/>
      <c r="R477" s="60"/>
      <c r="S477" s="60"/>
      <c r="T477" s="60"/>
      <c r="U477" s="60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60"/>
      <c r="P478" s="60"/>
      <c r="Q478" s="60"/>
      <c r="R478" s="60"/>
      <c r="S478" s="60"/>
      <c r="T478" s="60"/>
      <c r="U478" s="60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60"/>
      <c r="P479" s="60"/>
      <c r="Q479" s="60"/>
      <c r="R479" s="60"/>
      <c r="S479" s="60"/>
      <c r="T479" s="60"/>
      <c r="U479" s="60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60"/>
      <c r="P480" s="60"/>
      <c r="Q480" s="60"/>
      <c r="R480" s="60"/>
      <c r="S480" s="60"/>
      <c r="T480" s="60"/>
      <c r="U480" s="60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60"/>
      <c r="P481" s="60"/>
      <c r="Q481" s="60"/>
      <c r="R481" s="60"/>
      <c r="S481" s="60"/>
      <c r="T481" s="60"/>
      <c r="U481" s="60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60"/>
      <c r="P482" s="60"/>
      <c r="Q482" s="60"/>
      <c r="R482" s="60"/>
      <c r="S482" s="60"/>
      <c r="T482" s="60"/>
      <c r="U482" s="60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60"/>
      <c r="P483" s="60"/>
      <c r="Q483" s="60"/>
      <c r="R483" s="60"/>
      <c r="S483" s="60"/>
      <c r="T483" s="60"/>
      <c r="U483" s="60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60"/>
      <c r="P484" s="60"/>
      <c r="Q484" s="60"/>
      <c r="R484" s="60"/>
      <c r="S484" s="60"/>
      <c r="T484" s="60"/>
      <c r="U484" s="60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60"/>
      <c r="P485" s="60"/>
      <c r="Q485" s="60"/>
      <c r="R485" s="60"/>
      <c r="S485" s="60"/>
      <c r="T485" s="60"/>
      <c r="U485" s="60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60"/>
      <c r="P486" s="60"/>
      <c r="Q486" s="60"/>
      <c r="R486" s="60"/>
      <c r="S486" s="60"/>
      <c r="T486" s="60"/>
      <c r="U486" s="60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60"/>
      <c r="P487" s="60"/>
      <c r="Q487" s="60"/>
      <c r="R487" s="60"/>
      <c r="S487" s="60"/>
      <c r="T487" s="60"/>
      <c r="U487" s="60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60"/>
      <c r="P488" s="60"/>
      <c r="Q488" s="60"/>
      <c r="R488" s="60"/>
      <c r="S488" s="60"/>
      <c r="T488" s="60"/>
      <c r="U488" s="60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60"/>
      <c r="P489" s="60"/>
      <c r="Q489" s="60"/>
      <c r="R489" s="60"/>
      <c r="S489" s="60"/>
      <c r="T489" s="60"/>
      <c r="U489" s="60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60"/>
      <c r="P490" s="60"/>
      <c r="Q490" s="60"/>
      <c r="R490" s="60"/>
      <c r="S490" s="60"/>
      <c r="T490" s="60"/>
      <c r="U490" s="60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60"/>
      <c r="P491" s="60"/>
      <c r="Q491" s="60"/>
      <c r="R491" s="60"/>
      <c r="S491" s="60"/>
      <c r="T491" s="60"/>
      <c r="U491" s="60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60"/>
      <c r="P492" s="60"/>
      <c r="Q492" s="60"/>
      <c r="R492" s="60"/>
      <c r="S492" s="60"/>
      <c r="T492" s="60"/>
      <c r="U492" s="60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60"/>
      <c r="P493" s="60"/>
      <c r="Q493" s="60"/>
      <c r="R493" s="60"/>
      <c r="S493" s="60"/>
      <c r="T493" s="60"/>
      <c r="U493" s="60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60"/>
      <c r="P494" s="60"/>
      <c r="Q494" s="60"/>
      <c r="R494" s="60"/>
      <c r="S494" s="60"/>
      <c r="T494" s="60"/>
      <c r="U494" s="60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60"/>
      <c r="P495" s="60"/>
      <c r="Q495" s="60"/>
      <c r="R495" s="60"/>
      <c r="S495" s="60"/>
      <c r="T495" s="60"/>
      <c r="U495" s="60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60"/>
      <c r="P496" s="60"/>
      <c r="Q496" s="60"/>
      <c r="R496" s="60"/>
      <c r="S496" s="60"/>
      <c r="T496" s="60"/>
      <c r="U496" s="60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60"/>
      <c r="P497" s="60"/>
      <c r="Q497" s="60"/>
      <c r="R497" s="60"/>
      <c r="S497" s="60"/>
      <c r="T497" s="60"/>
      <c r="U497" s="60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60"/>
      <c r="P498" s="60"/>
      <c r="Q498" s="60"/>
      <c r="R498" s="60"/>
      <c r="S498" s="60"/>
      <c r="T498" s="60"/>
      <c r="U498" s="60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60"/>
      <c r="P499" s="60"/>
      <c r="Q499" s="60"/>
      <c r="R499" s="60"/>
      <c r="S499" s="60"/>
      <c r="T499" s="60"/>
      <c r="U499" s="60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60"/>
      <c r="P500" s="60"/>
      <c r="Q500" s="60"/>
      <c r="R500" s="60"/>
      <c r="S500" s="60"/>
      <c r="T500" s="60"/>
      <c r="U500" s="60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60"/>
      <c r="P501" s="60"/>
      <c r="Q501" s="60"/>
      <c r="R501" s="60"/>
      <c r="S501" s="60"/>
      <c r="T501" s="60"/>
      <c r="U501" s="60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60"/>
      <c r="P502" s="60"/>
      <c r="Q502" s="60"/>
      <c r="R502" s="60"/>
      <c r="S502" s="60"/>
      <c r="T502" s="60"/>
      <c r="U502" s="60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60"/>
      <c r="P503" s="60"/>
      <c r="Q503" s="60"/>
      <c r="R503" s="60"/>
      <c r="S503" s="60"/>
      <c r="T503" s="60"/>
      <c r="U503" s="60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60"/>
      <c r="P504" s="60"/>
      <c r="Q504" s="60"/>
      <c r="R504" s="60"/>
      <c r="S504" s="60"/>
      <c r="T504" s="60"/>
      <c r="U504" s="60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60"/>
      <c r="P505" s="60"/>
      <c r="Q505" s="60"/>
      <c r="R505" s="60"/>
      <c r="S505" s="60"/>
      <c r="T505" s="60"/>
      <c r="U505" s="60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60"/>
      <c r="P506" s="60"/>
      <c r="Q506" s="60"/>
      <c r="R506" s="60"/>
      <c r="S506" s="60"/>
      <c r="T506" s="60"/>
      <c r="U506" s="60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60"/>
      <c r="P507" s="60"/>
      <c r="Q507" s="60"/>
      <c r="R507" s="60"/>
      <c r="S507" s="60"/>
      <c r="T507" s="60"/>
      <c r="U507" s="60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60"/>
      <c r="P508" s="60"/>
      <c r="Q508" s="60"/>
      <c r="R508" s="60"/>
      <c r="S508" s="60"/>
      <c r="T508" s="60"/>
      <c r="U508" s="60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60"/>
      <c r="P509" s="60"/>
      <c r="Q509" s="60"/>
      <c r="R509" s="60"/>
      <c r="S509" s="60"/>
      <c r="T509" s="60"/>
      <c r="U509" s="60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60"/>
      <c r="P510" s="60"/>
      <c r="Q510" s="60"/>
      <c r="R510" s="60"/>
      <c r="S510" s="60"/>
      <c r="T510" s="60"/>
      <c r="U510" s="60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60"/>
      <c r="P511" s="60"/>
      <c r="Q511" s="60"/>
      <c r="R511" s="60"/>
      <c r="S511" s="60"/>
      <c r="T511" s="60"/>
      <c r="U511" s="60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60"/>
      <c r="P512" s="60"/>
      <c r="Q512" s="60"/>
      <c r="R512" s="60"/>
      <c r="S512" s="60"/>
      <c r="T512" s="60"/>
      <c r="U512" s="60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60"/>
      <c r="P513" s="60"/>
      <c r="Q513" s="60"/>
      <c r="R513" s="60"/>
      <c r="S513" s="60"/>
      <c r="T513" s="60"/>
      <c r="U513" s="60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60"/>
      <c r="P514" s="60"/>
      <c r="Q514" s="60"/>
      <c r="R514" s="60"/>
      <c r="S514" s="60"/>
      <c r="T514" s="60"/>
      <c r="U514" s="60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60"/>
      <c r="P515" s="60"/>
      <c r="Q515" s="60"/>
      <c r="R515" s="60"/>
      <c r="S515" s="60"/>
      <c r="T515" s="60"/>
      <c r="U515" s="60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60"/>
      <c r="P516" s="60"/>
      <c r="Q516" s="60"/>
      <c r="R516" s="60"/>
      <c r="S516" s="60"/>
      <c r="T516" s="60"/>
      <c r="U516" s="60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60"/>
      <c r="P517" s="60"/>
      <c r="Q517" s="60"/>
      <c r="R517" s="60"/>
      <c r="S517" s="60"/>
      <c r="T517" s="60"/>
      <c r="U517" s="60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60"/>
      <c r="P518" s="60"/>
      <c r="Q518" s="60"/>
      <c r="R518" s="60"/>
      <c r="S518" s="60"/>
      <c r="T518" s="60"/>
      <c r="U518" s="60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60"/>
      <c r="P519" s="60"/>
      <c r="Q519" s="60"/>
      <c r="R519" s="60"/>
      <c r="S519" s="60"/>
      <c r="T519" s="60"/>
      <c r="U519" s="60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60"/>
      <c r="P520" s="60"/>
      <c r="Q520" s="60"/>
      <c r="R520" s="60"/>
      <c r="S520" s="60"/>
      <c r="T520" s="60"/>
      <c r="U520" s="60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60"/>
      <c r="P521" s="60"/>
      <c r="Q521" s="60"/>
      <c r="R521" s="60"/>
      <c r="S521" s="60"/>
      <c r="T521" s="60"/>
      <c r="U521" s="60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60"/>
      <c r="P522" s="60"/>
      <c r="Q522" s="60"/>
      <c r="R522" s="60"/>
      <c r="S522" s="60"/>
      <c r="T522" s="60"/>
      <c r="U522" s="60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60"/>
      <c r="P523" s="60"/>
      <c r="Q523" s="60"/>
      <c r="R523" s="60"/>
      <c r="S523" s="60"/>
      <c r="T523" s="60"/>
      <c r="U523" s="60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60"/>
      <c r="P524" s="60"/>
      <c r="Q524" s="60"/>
      <c r="R524" s="60"/>
      <c r="S524" s="60"/>
      <c r="T524" s="60"/>
      <c r="U524" s="60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60"/>
      <c r="P525" s="60"/>
      <c r="Q525" s="60"/>
      <c r="R525" s="60"/>
      <c r="S525" s="60"/>
      <c r="T525" s="60"/>
      <c r="U525" s="60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60"/>
      <c r="P526" s="60"/>
      <c r="Q526" s="60"/>
      <c r="R526" s="60"/>
      <c r="S526" s="60"/>
      <c r="T526" s="60"/>
      <c r="U526" s="60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60"/>
      <c r="P527" s="60"/>
      <c r="Q527" s="60"/>
      <c r="R527" s="60"/>
      <c r="S527" s="60"/>
      <c r="T527" s="60"/>
      <c r="U527" s="60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60"/>
      <c r="P528" s="60"/>
      <c r="Q528" s="60"/>
      <c r="R528" s="60"/>
      <c r="S528" s="60"/>
      <c r="T528" s="60"/>
      <c r="U528" s="60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60"/>
      <c r="P529" s="60"/>
      <c r="Q529" s="60"/>
      <c r="R529" s="60"/>
      <c r="S529" s="60"/>
      <c r="T529" s="60"/>
      <c r="U529" s="60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60"/>
      <c r="P530" s="60"/>
      <c r="Q530" s="60"/>
      <c r="R530" s="60"/>
      <c r="S530" s="60"/>
      <c r="T530" s="60"/>
      <c r="U530" s="60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60"/>
      <c r="P531" s="60"/>
      <c r="Q531" s="60"/>
      <c r="R531" s="60"/>
      <c r="S531" s="60"/>
      <c r="T531" s="60"/>
      <c r="U531" s="60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60"/>
      <c r="P532" s="60"/>
      <c r="Q532" s="60"/>
      <c r="R532" s="60"/>
      <c r="S532" s="60"/>
      <c r="T532" s="60"/>
      <c r="U532" s="60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60"/>
      <c r="P533" s="60"/>
      <c r="Q533" s="60"/>
      <c r="R533" s="60"/>
      <c r="S533" s="60"/>
      <c r="T533" s="60"/>
      <c r="U533" s="60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60"/>
      <c r="P534" s="60"/>
      <c r="Q534" s="60"/>
      <c r="R534" s="60"/>
      <c r="S534" s="60"/>
      <c r="T534" s="60"/>
      <c r="U534" s="60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60"/>
      <c r="P535" s="60"/>
      <c r="Q535" s="60"/>
      <c r="R535" s="60"/>
      <c r="S535" s="60"/>
      <c r="T535" s="60"/>
      <c r="U535" s="60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60"/>
      <c r="P536" s="60"/>
      <c r="Q536" s="60"/>
      <c r="R536" s="60"/>
      <c r="S536" s="60"/>
      <c r="T536" s="60"/>
      <c r="U536" s="60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60"/>
      <c r="P537" s="60"/>
      <c r="Q537" s="60"/>
      <c r="R537" s="60"/>
      <c r="S537" s="60"/>
      <c r="T537" s="60"/>
      <c r="U537" s="60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60"/>
      <c r="P538" s="60"/>
      <c r="Q538" s="60"/>
      <c r="R538" s="60"/>
      <c r="S538" s="60"/>
      <c r="T538" s="60"/>
      <c r="U538" s="60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60"/>
      <c r="P539" s="60"/>
      <c r="Q539" s="60"/>
      <c r="R539" s="60"/>
      <c r="S539" s="60"/>
      <c r="T539" s="60"/>
      <c r="U539" s="60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60"/>
      <c r="P540" s="60"/>
      <c r="Q540" s="60"/>
      <c r="R540" s="60"/>
      <c r="S540" s="60"/>
      <c r="T540" s="60"/>
      <c r="U540" s="60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60"/>
      <c r="P541" s="60"/>
      <c r="Q541" s="60"/>
      <c r="R541" s="60"/>
      <c r="S541" s="60"/>
      <c r="T541" s="60"/>
      <c r="U541" s="60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60"/>
      <c r="P542" s="60"/>
      <c r="Q542" s="60"/>
      <c r="R542" s="60"/>
      <c r="S542" s="60"/>
      <c r="T542" s="60"/>
      <c r="U542" s="60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60"/>
      <c r="P543" s="60"/>
      <c r="Q543" s="60"/>
      <c r="R543" s="60"/>
      <c r="S543" s="60"/>
      <c r="T543" s="60"/>
      <c r="U543" s="60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60"/>
      <c r="P544" s="60"/>
      <c r="Q544" s="60"/>
      <c r="R544" s="60"/>
      <c r="S544" s="60"/>
      <c r="T544" s="60"/>
      <c r="U544" s="60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60"/>
      <c r="P545" s="60"/>
      <c r="Q545" s="60"/>
      <c r="R545" s="60"/>
      <c r="S545" s="60"/>
      <c r="T545" s="60"/>
      <c r="U545" s="60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60"/>
      <c r="P546" s="60"/>
      <c r="Q546" s="60"/>
      <c r="R546" s="60"/>
      <c r="S546" s="60"/>
      <c r="T546" s="60"/>
      <c r="U546" s="60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60"/>
      <c r="P547" s="60"/>
      <c r="Q547" s="60"/>
      <c r="R547" s="60"/>
      <c r="S547" s="60"/>
      <c r="T547" s="60"/>
      <c r="U547" s="60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60"/>
      <c r="P548" s="60"/>
      <c r="Q548" s="60"/>
      <c r="R548" s="60"/>
      <c r="S548" s="60"/>
      <c r="T548" s="60"/>
      <c r="U548" s="60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60"/>
      <c r="P549" s="60"/>
      <c r="Q549" s="60"/>
      <c r="R549" s="60"/>
      <c r="S549" s="60"/>
      <c r="T549" s="60"/>
      <c r="U549" s="60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60"/>
      <c r="P550" s="60"/>
      <c r="Q550" s="60"/>
      <c r="R550" s="60"/>
      <c r="S550" s="60"/>
      <c r="T550" s="60"/>
      <c r="U550" s="60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60"/>
      <c r="P551" s="60"/>
      <c r="Q551" s="60"/>
      <c r="R551" s="60"/>
      <c r="S551" s="60"/>
      <c r="T551" s="60"/>
      <c r="U551" s="60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60"/>
      <c r="P552" s="60"/>
      <c r="Q552" s="60"/>
      <c r="R552" s="60"/>
      <c r="S552" s="60"/>
      <c r="T552" s="60"/>
      <c r="U552" s="60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60"/>
      <c r="P553" s="60"/>
      <c r="Q553" s="60"/>
      <c r="R553" s="60"/>
      <c r="S553" s="60"/>
      <c r="T553" s="60"/>
      <c r="U553" s="60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60"/>
      <c r="P554" s="60"/>
      <c r="Q554" s="60"/>
      <c r="R554" s="60"/>
      <c r="S554" s="60"/>
      <c r="T554" s="60"/>
      <c r="U554" s="60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60"/>
      <c r="P555" s="60"/>
      <c r="Q555" s="60"/>
      <c r="R555" s="60"/>
      <c r="S555" s="60"/>
      <c r="T555" s="60"/>
      <c r="U555" s="60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60"/>
      <c r="P556" s="60"/>
      <c r="Q556" s="60"/>
      <c r="R556" s="60"/>
      <c r="S556" s="60"/>
      <c r="T556" s="60"/>
      <c r="U556" s="60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60"/>
      <c r="P557" s="60"/>
      <c r="Q557" s="60"/>
      <c r="R557" s="60"/>
      <c r="S557" s="60"/>
      <c r="T557" s="60"/>
      <c r="U557" s="60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60"/>
      <c r="P558" s="60"/>
      <c r="Q558" s="60"/>
      <c r="R558" s="60"/>
      <c r="S558" s="60"/>
      <c r="T558" s="60"/>
      <c r="U558" s="60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60"/>
      <c r="P559" s="60"/>
      <c r="Q559" s="60"/>
      <c r="R559" s="60"/>
      <c r="S559" s="60"/>
      <c r="T559" s="60"/>
      <c r="U559" s="60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60"/>
      <c r="P560" s="60"/>
      <c r="Q560" s="60"/>
      <c r="R560" s="60"/>
      <c r="S560" s="60"/>
      <c r="T560" s="60"/>
      <c r="U560" s="60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60"/>
      <c r="P561" s="60"/>
      <c r="Q561" s="60"/>
      <c r="R561" s="60"/>
      <c r="S561" s="60"/>
      <c r="T561" s="60"/>
      <c r="U561" s="60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60"/>
      <c r="P562" s="60"/>
      <c r="Q562" s="60"/>
      <c r="R562" s="60"/>
      <c r="S562" s="60"/>
      <c r="T562" s="60"/>
      <c r="U562" s="60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60"/>
      <c r="P563" s="60"/>
      <c r="Q563" s="60"/>
      <c r="R563" s="60"/>
      <c r="S563" s="60"/>
      <c r="T563" s="60"/>
      <c r="U563" s="60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60"/>
      <c r="P564" s="60"/>
      <c r="Q564" s="60"/>
      <c r="R564" s="60"/>
      <c r="S564" s="60"/>
      <c r="T564" s="60"/>
      <c r="U564" s="60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60"/>
      <c r="P565" s="60"/>
      <c r="Q565" s="60"/>
      <c r="R565" s="60"/>
      <c r="S565" s="60"/>
      <c r="T565" s="60"/>
      <c r="U565" s="60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60"/>
      <c r="P566" s="60"/>
      <c r="Q566" s="60"/>
      <c r="R566" s="60"/>
      <c r="S566" s="60"/>
      <c r="T566" s="60"/>
      <c r="U566" s="60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60"/>
      <c r="P567" s="60"/>
      <c r="Q567" s="60"/>
      <c r="R567" s="60"/>
      <c r="S567" s="60"/>
      <c r="T567" s="60"/>
      <c r="U567" s="60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60"/>
      <c r="P568" s="60"/>
      <c r="Q568" s="60"/>
      <c r="R568" s="60"/>
      <c r="S568" s="60"/>
      <c r="T568" s="60"/>
      <c r="U568" s="60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60"/>
      <c r="P569" s="60"/>
      <c r="Q569" s="60"/>
      <c r="R569" s="60"/>
      <c r="S569" s="60"/>
      <c r="T569" s="60"/>
      <c r="U569" s="60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60"/>
      <c r="P570" s="60"/>
      <c r="Q570" s="60"/>
      <c r="R570" s="60"/>
      <c r="S570" s="60"/>
      <c r="T570" s="60"/>
      <c r="U570" s="60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60"/>
      <c r="P571" s="60"/>
      <c r="Q571" s="60"/>
      <c r="R571" s="60"/>
      <c r="S571" s="60"/>
      <c r="T571" s="60"/>
      <c r="U571" s="60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60"/>
      <c r="P572" s="60"/>
      <c r="Q572" s="60"/>
      <c r="R572" s="60"/>
      <c r="S572" s="60"/>
      <c r="T572" s="60"/>
      <c r="U572" s="60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60"/>
      <c r="P573" s="60"/>
      <c r="Q573" s="60"/>
      <c r="R573" s="60"/>
      <c r="S573" s="60"/>
      <c r="T573" s="60"/>
      <c r="U573" s="60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60"/>
      <c r="P574" s="60"/>
      <c r="Q574" s="60"/>
      <c r="R574" s="60"/>
      <c r="S574" s="60"/>
      <c r="T574" s="60"/>
      <c r="U574" s="60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60"/>
      <c r="P575" s="60"/>
      <c r="Q575" s="60"/>
      <c r="R575" s="60"/>
      <c r="S575" s="60"/>
      <c r="T575" s="60"/>
      <c r="U575" s="60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60"/>
      <c r="P576" s="60"/>
      <c r="Q576" s="60"/>
      <c r="R576" s="60"/>
      <c r="S576" s="60"/>
      <c r="T576" s="60"/>
      <c r="U576" s="60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60"/>
      <c r="P577" s="60"/>
      <c r="Q577" s="60"/>
      <c r="R577" s="60"/>
      <c r="S577" s="60"/>
      <c r="T577" s="60"/>
      <c r="U577" s="60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60"/>
      <c r="P578" s="60"/>
      <c r="Q578" s="60"/>
      <c r="R578" s="60"/>
      <c r="S578" s="60"/>
      <c r="T578" s="60"/>
      <c r="U578" s="60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60"/>
      <c r="P579" s="60"/>
      <c r="Q579" s="60"/>
      <c r="R579" s="60"/>
      <c r="S579" s="60"/>
      <c r="T579" s="60"/>
      <c r="U579" s="60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60"/>
      <c r="P580" s="60"/>
      <c r="Q580" s="60"/>
      <c r="R580" s="60"/>
      <c r="S580" s="60"/>
      <c r="T580" s="60"/>
      <c r="U580" s="60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60"/>
      <c r="P581" s="60"/>
      <c r="Q581" s="60"/>
      <c r="R581" s="60"/>
      <c r="S581" s="60"/>
      <c r="T581" s="60"/>
      <c r="U581" s="60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60"/>
      <c r="P582" s="60"/>
      <c r="Q582" s="60"/>
      <c r="R582" s="60"/>
      <c r="S582" s="60"/>
      <c r="T582" s="60"/>
      <c r="U582" s="60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60"/>
      <c r="P583" s="60"/>
      <c r="Q583" s="60"/>
      <c r="R583" s="60"/>
      <c r="S583" s="60"/>
      <c r="T583" s="60"/>
      <c r="U583" s="60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60"/>
      <c r="P584" s="60"/>
      <c r="Q584" s="60"/>
      <c r="R584" s="60"/>
      <c r="S584" s="60"/>
      <c r="T584" s="60"/>
      <c r="U584" s="60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60"/>
      <c r="P585" s="60"/>
      <c r="Q585" s="60"/>
      <c r="R585" s="60"/>
      <c r="S585" s="60"/>
      <c r="T585" s="60"/>
      <c r="U585" s="60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60"/>
      <c r="P586" s="60"/>
      <c r="Q586" s="60"/>
      <c r="R586" s="60"/>
      <c r="S586" s="60"/>
      <c r="T586" s="60"/>
      <c r="U586" s="60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60"/>
      <c r="P587" s="60"/>
      <c r="Q587" s="60"/>
      <c r="R587" s="60"/>
      <c r="S587" s="60"/>
      <c r="T587" s="60"/>
      <c r="U587" s="60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60"/>
      <c r="P588" s="60"/>
      <c r="Q588" s="60"/>
      <c r="R588" s="60"/>
      <c r="S588" s="60"/>
      <c r="T588" s="60"/>
      <c r="U588" s="60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60"/>
      <c r="P589" s="60"/>
      <c r="Q589" s="60"/>
      <c r="R589" s="60"/>
      <c r="S589" s="60"/>
      <c r="T589" s="60"/>
      <c r="U589" s="60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60"/>
      <c r="P590" s="60"/>
      <c r="Q590" s="60"/>
      <c r="R590" s="60"/>
      <c r="S590" s="60"/>
      <c r="T590" s="60"/>
      <c r="U590" s="60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60"/>
      <c r="P591" s="60"/>
      <c r="Q591" s="60"/>
      <c r="R591" s="60"/>
      <c r="S591" s="60"/>
      <c r="T591" s="60"/>
      <c r="U591" s="60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60"/>
      <c r="P592" s="60"/>
      <c r="Q592" s="60"/>
      <c r="R592" s="60"/>
      <c r="S592" s="60"/>
      <c r="T592" s="60"/>
      <c r="U592" s="60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60"/>
      <c r="P593" s="60"/>
      <c r="Q593" s="60"/>
      <c r="R593" s="60"/>
      <c r="S593" s="60"/>
      <c r="T593" s="60"/>
      <c r="U593" s="60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60"/>
      <c r="P594" s="60"/>
      <c r="Q594" s="60"/>
      <c r="R594" s="60"/>
      <c r="S594" s="60"/>
      <c r="T594" s="60"/>
      <c r="U594" s="60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60"/>
      <c r="P595" s="60"/>
      <c r="Q595" s="60"/>
      <c r="R595" s="60"/>
      <c r="S595" s="60"/>
      <c r="T595" s="60"/>
      <c r="U595" s="60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60"/>
      <c r="P596" s="60"/>
      <c r="Q596" s="60"/>
      <c r="R596" s="60"/>
      <c r="S596" s="60"/>
      <c r="T596" s="60"/>
      <c r="U596" s="60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60"/>
      <c r="P597" s="60"/>
      <c r="Q597" s="60"/>
      <c r="R597" s="60"/>
      <c r="S597" s="60"/>
      <c r="T597" s="60"/>
      <c r="U597" s="60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60"/>
      <c r="P598" s="60"/>
      <c r="Q598" s="60"/>
      <c r="R598" s="60"/>
      <c r="S598" s="60"/>
      <c r="T598" s="60"/>
      <c r="U598" s="60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60"/>
      <c r="P599" s="60"/>
      <c r="Q599" s="60"/>
      <c r="R599" s="60"/>
      <c r="S599" s="60"/>
      <c r="T599" s="60"/>
      <c r="U599" s="60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60"/>
      <c r="P600" s="60"/>
      <c r="Q600" s="60"/>
      <c r="R600" s="60"/>
      <c r="S600" s="60"/>
      <c r="T600" s="60"/>
      <c r="U600" s="60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60"/>
      <c r="P601" s="60"/>
      <c r="Q601" s="60"/>
      <c r="R601" s="60"/>
      <c r="S601" s="60"/>
      <c r="T601" s="60"/>
      <c r="U601" s="60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60"/>
      <c r="P602" s="60"/>
      <c r="Q602" s="60"/>
      <c r="R602" s="60"/>
      <c r="S602" s="60"/>
      <c r="T602" s="60"/>
      <c r="U602" s="60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60"/>
      <c r="P603" s="60"/>
      <c r="Q603" s="60"/>
      <c r="R603" s="60"/>
      <c r="S603" s="60"/>
      <c r="T603" s="60"/>
      <c r="U603" s="60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60"/>
      <c r="P604" s="60"/>
      <c r="Q604" s="60"/>
      <c r="R604" s="60"/>
      <c r="S604" s="60"/>
      <c r="T604" s="60"/>
      <c r="U604" s="60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60"/>
      <c r="P605" s="60"/>
      <c r="Q605" s="60"/>
      <c r="R605" s="60"/>
      <c r="S605" s="60"/>
      <c r="T605" s="60"/>
      <c r="U605" s="60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60"/>
      <c r="P606" s="60"/>
      <c r="Q606" s="60"/>
      <c r="R606" s="60"/>
      <c r="S606" s="60"/>
      <c r="T606" s="60"/>
      <c r="U606" s="60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60"/>
      <c r="P607" s="60"/>
      <c r="Q607" s="60"/>
      <c r="R607" s="60"/>
      <c r="S607" s="60"/>
      <c r="T607" s="60"/>
      <c r="U607" s="60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60"/>
      <c r="P608" s="60"/>
      <c r="Q608" s="60"/>
      <c r="R608" s="60"/>
      <c r="S608" s="60"/>
      <c r="T608" s="60"/>
      <c r="U608" s="60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60"/>
      <c r="P609" s="60"/>
      <c r="Q609" s="60"/>
      <c r="R609" s="60"/>
      <c r="S609" s="60"/>
      <c r="T609" s="60"/>
      <c r="U609" s="60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60"/>
      <c r="P610" s="60"/>
      <c r="Q610" s="60"/>
      <c r="R610" s="60"/>
      <c r="S610" s="60"/>
      <c r="T610" s="60"/>
      <c r="U610" s="60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60"/>
      <c r="P611" s="60"/>
      <c r="Q611" s="60"/>
      <c r="R611" s="60"/>
      <c r="S611" s="60"/>
      <c r="T611" s="60"/>
      <c r="U611" s="60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60"/>
      <c r="P612" s="60"/>
      <c r="Q612" s="60"/>
      <c r="R612" s="60"/>
      <c r="S612" s="60"/>
      <c r="T612" s="60"/>
      <c r="U612" s="60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60"/>
      <c r="P613" s="60"/>
      <c r="Q613" s="60"/>
      <c r="R613" s="60"/>
      <c r="S613" s="60"/>
      <c r="T613" s="60"/>
      <c r="U613" s="60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60"/>
      <c r="P614" s="60"/>
      <c r="Q614" s="60"/>
      <c r="R614" s="60"/>
      <c r="S614" s="60"/>
      <c r="T614" s="60"/>
      <c r="U614" s="60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60"/>
      <c r="P615" s="60"/>
      <c r="Q615" s="60"/>
      <c r="R615" s="60"/>
      <c r="S615" s="60"/>
      <c r="T615" s="60"/>
      <c r="U615" s="60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60"/>
      <c r="P616" s="60"/>
      <c r="Q616" s="60"/>
      <c r="R616" s="60"/>
      <c r="S616" s="60"/>
      <c r="T616" s="60"/>
      <c r="U616" s="60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60"/>
      <c r="P617" s="60"/>
      <c r="Q617" s="60"/>
      <c r="R617" s="60"/>
      <c r="S617" s="60"/>
      <c r="T617" s="60"/>
      <c r="U617" s="60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60"/>
      <c r="P618" s="60"/>
      <c r="Q618" s="60"/>
      <c r="R618" s="60"/>
      <c r="S618" s="60"/>
      <c r="T618" s="60"/>
      <c r="U618" s="60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60"/>
      <c r="P619" s="60"/>
      <c r="Q619" s="60"/>
      <c r="R619" s="60"/>
      <c r="S619" s="60"/>
      <c r="T619" s="60"/>
      <c r="U619" s="60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60"/>
      <c r="P620" s="60"/>
      <c r="Q620" s="60"/>
      <c r="R620" s="60"/>
      <c r="S620" s="60"/>
      <c r="T620" s="60"/>
      <c r="U620" s="60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60"/>
      <c r="P621" s="60"/>
      <c r="Q621" s="60"/>
      <c r="R621" s="60"/>
      <c r="S621" s="60"/>
      <c r="T621" s="60"/>
      <c r="U621" s="60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60"/>
      <c r="P622" s="60"/>
      <c r="Q622" s="60"/>
      <c r="R622" s="60"/>
      <c r="S622" s="60"/>
      <c r="T622" s="60"/>
      <c r="U622" s="60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60"/>
      <c r="P623" s="60"/>
      <c r="Q623" s="60"/>
      <c r="R623" s="60"/>
      <c r="S623" s="60"/>
      <c r="T623" s="60"/>
      <c r="U623" s="60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60"/>
      <c r="P624" s="60"/>
      <c r="Q624" s="60"/>
      <c r="R624" s="60"/>
      <c r="S624" s="60"/>
      <c r="T624" s="60"/>
      <c r="U624" s="60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60"/>
      <c r="P625" s="60"/>
      <c r="Q625" s="60"/>
      <c r="R625" s="60"/>
      <c r="S625" s="60"/>
      <c r="T625" s="60"/>
      <c r="U625" s="60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60"/>
      <c r="P626" s="60"/>
      <c r="Q626" s="60"/>
      <c r="R626" s="60"/>
      <c r="S626" s="60"/>
      <c r="T626" s="60"/>
      <c r="U626" s="60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60"/>
      <c r="P627" s="60"/>
      <c r="Q627" s="60"/>
      <c r="R627" s="60"/>
      <c r="S627" s="60"/>
      <c r="T627" s="60"/>
      <c r="U627" s="60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60"/>
      <c r="P628" s="60"/>
      <c r="Q628" s="60"/>
      <c r="R628" s="60"/>
      <c r="S628" s="60"/>
      <c r="T628" s="60"/>
      <c r="U628" s="60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60"/>
      <c r="P629" s="60"/>
      <c r="Q629" s="60"/>
      <c r="R629" s="60"/>
      <c r="S629" s="60"/>
      <c r="T629" s="60"/>
      <c r="U629" s="60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60"/>
      <c r="P630" s="60"/>
      <c r="Q630" s="60"/>
      <c r="R630" s="60"/>
      <c r="S630" s="60"/>
      <c r="T630" s="60"/>
      <c r="U630" s="60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60"/>
      <c r="P631" s="60"/>
      <c r="Q631" s="60"/>
      <c r="R631" s="60"/>
      <c r="S631" s="60"/>
      <c r="T631" s="60"/>
      <c r="U631" s="60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60"/>
      <c r="P632" s="60"/>
      <c r="Q632" s="60"/>
      <c r="R632" s="60"/>
      <c r="S632" s="60"/>
      <c r="T632" s="60"/>
      <c r="U632" s="60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60"/>
      <c r="P633" s="60"/>
      <c r="Q633" s="60"/>
      <c r="R633" s="60"/>
      <c r="S633" s="60"/>
      <c r="T633" s="60"/>
      <c r="U633" s="60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60"/>
      <c r="P634" s="60"/>
      <c r="Q634" s="60"/>
      <c r="R634" s="60"/>
      <c r="S634" s="60"/>
      <c r="T634" s="60"/>
      <c r="U634" s="60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60"/>
      <c r="P635" s="60"/>
      <c r="Q635" s="60"/>
      <c r="R635" s="60"/>
      <c r="S635" s="60"/>
      <c r="T635" s="60"/>
      <c r="U635" s="60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60"/>
      <c r="P636" s="60"/>
      <c r="Q636" s="60"/>
      <c r="R636" s="60"/>
      <c r="S636" s="60"/>
      <c r="T636" s="60"/>
      <c r="U636" s="60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60"/>
      <c r="P637" s="60"/>
      <c r="Q637" s="60"/>
      <c r="R637" s="60"/>
      <c r="S637" s="60"/>
      <c r="T637" s="60"/>
      <c r="U637" s="60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60"/>
      <c r="P638" s="60"/>
      <c r="Q638" s="60"/>
      <c r="R638" s="60"/>
      <c r="S638" s="60"/>
      <c r="T638" s="60"/>
      <c r="U638" s="60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60"/>
      <c r="P639" s="60"/>
      <c r="Q639" s="60"/>
      <c r="R639" s="60"/>
      <c r="S639" s="60"/>
      <c r="T639" s="60"/>
      <c r="U639" s="60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60"/>
      <c r="P640" s="60"/>
      <c r="Q640" s="60"/>
      <c r="R640" s="60"/>
      <c r="S640" s="60"/>
      <c r="T640" s="60"/>
      <c r="U640" s="60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60"/>
      <c r="P641" s="60"/>
      <c r="Q641" s="60"/>
      <c r="R641" s="60"/>
      <c r="S641" s="60"/>
      <c r="T641" s="60"/>
      <c r="U641" s="60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60"/>
      <c r="P642" s="60"/>
      <c r="Q642" s="60"/>
      <c r="R642" s="60"/>
      <c r="S642" s="60"/>
      <c r="T642" s="60"/>
      <c r="U642" s="60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60"/>
      <c r="P643" s="60"/>
      <c r="Q643" s="60"/>
      <c r="R643" s="60"/>
      <c r="S643" s="60"/>
      <c r="T643" s="60"/>
      <c r="U643" s="60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60"/>
      <c r="P644" s="60"/>
      <c r="Q644" s="60"/>
      <c r="R644" s="60"/>
      <c r="S644" s="60"/>
      <c r="T644" s="60"/>
      <c r="U644" s="60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60"/>
      <c r="P645" s="60"/>
      <c r="Q645" s="60"/>
      <c r="R645" s="60"/>
      <c r="S645" s="60"/>
      <c r="T645" s="60"/>
      <c r="U645" s="60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60"/>
      <c r="P646" s="60"/>
      <c r="Q646" s="60"/>
      <c r="R646" s="60"/>
      <c r="S646" s="60"/>
      <c r="T646" s="60"/>
      <c r="U646" s="60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60"/>
      <c r="P647" s="60"/>
      <c r="Q647" s="60"/>
      <c r="R647" s="60"/>
      <c r="S647" s="60"/>
      <c r="T647" s="60"/>
      <c r="U647" s="60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60"/>
      <c r="P648" s="60"/>
      <c r="Q648" s="60"/>
      <c r="R648" s="60"/>
      <c r="S648" s="60"/>
      <c r="T648" s="60"/>
      <c r="U648" s="60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60"/>
      <c r="P649" s="60"/>
      <c r="Q649" s="60"/>
      <c r="R649" s="60"/>
      <c r="S649" s="60"/>
      <c r="T649" s="60"/>
      <c r="U649" s="60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60"/>
      <c r="P650" s="60"/>
      <c r="Q650" s="60"/>
      <c r="R650" s="60"/>
      <c r="S650" s="60"/>
      <c r="T650" s="60"/>
      <c r="U650" s="60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60"/>
      <c r="P651" s="60"/>
      <c r="Q651" s="60"/>
      <c r="R651" s="60"/>
      <c r="S651" s="60"/>
      <c r="T651" s="60"/>
      <c r="U651" s="60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60"/>
      <c r="P652" s="60"/>
      <c r="Q652" s="60"/>
      <c r="R652" s="60"/>
      <c r="S652" s="60"/>
      <c r="T652" s="60"/>
      <c r="U652" s="60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60"/>
      <c r="P653" s="60"/>
      <c r="Q653" s="60"/>
      <c r="R653" s="60"/>
      <c r="S653" s="60"/>
      <c r="T653" s="60"/>
      <c r="U653" s="60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60"/>
      <c r="P654" s="60"/>
      <c r="Q654" s="60"/>
      <c r="R654" s="60"/>
      <c r="S654" s="60"/>
      <c r="T654" s="60"/>
      <c r="U654" s="60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60"/>
      <c r="P655" s="60"/>
      <c r="Q655" s="60"/>
      <c r="R655" s="60"/>
      <c r="S655" s="60"/>
      <c r="T655" s="60"/>
      <c r="U655" s="60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60"/>
      <c r="P656" s="60"/>
      <c r="Q656" s="60"/>
      <c r="R656" s="60"/>
      <c r="S656" s="60"/>
      <c r="T656" s="60"/>
      <c r="U656" s="60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60"/>
      <c r="P657" s="60"/>
      <c r="Q657" s="60"/>
      <c r="R657" s="60"/>
      <c r="S657" s="60"/>
      <c r="T657" s="60"/>
      <c r="U657" s="60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60"/>
      <c r="P658" s="60"/>
      <c r="Q658" s="60"/>
      <c r="R658" s="60"/>
      <c r="S658" s="60"/>
      <c r="T658" s="60"/>
      <c r="U658" s="60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60"/>
      <c r="P659" s="60"/>
      <c r="Q659" s="60"/>
      <c r="R659" s="60"/>
      <c r="S659" s="60"/>
      <c r="T659" s="60"/>
      <c r="U659" s="60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60"/>
      <c r="P660" s="60"/>
      <c r="Q660" s="60"/>
      <c r="R660" s="60"/>
      <c r="S660" s="60"/>
      <c r="T660" s="60"/>
      <c r="U660" s="60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60"/>
      <c r="P661" s="60"/>
      <c r="Q661" s="60"/>
      <c r="R661" s="60"/>
      <c r="S661" s="60"/>
      <c r="T661" s="60"/>
      <c r="U661" s="60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60"/>
      <c r="P662" s="60"/>
      <c r="Q662" s="60"/>
      <c r="R662" s="60"/>
      <c r="S662" s="60"/>
      <c r="T662" s="60"/>
      <c r="U662" s="60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60"/>
      <c r="P663" s="60"/>
      <c r="Q663" s="60"/>
      <c r="R663" s="60"/>
      <c r="S663" s="60"/>
      <c r="T663" s="60"/>
      <c r="U663" s="60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60"/>
      <c r="P664" s="60"/>
      <c r="Q664" s="60"/>
      <c r="R664" s="60"/>
      <c r="S664" s="60"/>
      <c r="T664" s="60"/>
      <c r="U664" s="60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60"/>
      <c r="P665" s="60"/>
      <c r="Q665" s="60"/>
      <c r="R665" s="60"/>
      <c r="S665" s="60"/>
      <c r="T665" s="60"/>
      <c r="U665" s="60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60"/>
      <c r="P666" s="60"/>
      <c r="Q666" s="60"/>
      <c r="R666" s="60"/>
      <c r="S666" s="60"/>
      <c r="T666" s="60"/>
      <c r="U666" s="60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60"/>
      <c r="P667" s="60"/>
      <c r="Q667" s="60"/>
      <c r="R667" s="60"/>
      <c r="S667" s="60"/>
      <c r="T667" s="60"/>
      <c r="U667" s="60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60"/>
      <c r="P668" s="60"/>
      <c r="Q668" s="60"/>
      <c r="R668" s="60"/>
      <c r="S668" s="60"/>
      <c r="T668" s="60"/>
      <c r="U668" s="60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60"/>
      <c r="P669" s="60"/>
      <c r="Q669" s="60"/>
      <c r="R669" s="60"/>
      <c r="S669" s="60"/>
      <c r="T669" s="60"/>
      <c r="U669" s="60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60"/>
      <c r="P670" s="60"/>
      <c r="Q670" s="60"/>
      <c r="R670" s="60"/>
      <c r="S670" s="60"/>
      <c r="T670" s="60"/>
      <c r="U670" s="60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60"/>
      <c r="P671" s="60"/>
      <c r="Q671" s="60"/>
      <c r="R671" s="60"/>
      <c r="S671" s="60"/>
      <c r="T671" s="60"/>
      <c r="U671" s="60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60"/>
      <c r="P672" s="60"/>
      <c r="Q672" s="60"/>
      <c r="R672" s="60"/>
      <c r="S672" s="60"/>
      <c r="T672" s="60"/>
      <c r="U672" s="60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60"/>
      <c r="P673" s="60"/>
      <c r="Q673" s="60"/>
      <c r="R673" s="60"/>
      <c r="S673" s="60"/>
      <c r="T673" s="60"/>
      <c r="U673" s="60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60"/>
      <c r="P674" s="60"/>
      <c r="Q674" s="60"/>
      <c r="R674" s="60"/>
      <c r="S674" s="60"/>
      <c r="T674" s="60"/>
      <c r="U674" s="60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60"/>
      <c r="P675" s="60"/>
      <c r="Q675" s="60"/>
      <c r="R675" s="60"/>
      <c r="S675" s="60"/>
      <c r="T675" s="60"/>
      <c r="U675" s="60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60"/>
      <c r="P676" s="60"/>
      <c r="Q676" s="60"/>
      <c r="R676" s="60"/>
      <c r="S676" s="60"/>
      <c r="T676" s="60"/>
      <c r="U676" s="60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60"/>
      <c r="P677" s="60"/>
      <c r="Q677" s="60"/>
      <c r="R677" s="60"/>
      <c r="S677" s="60"/>
      <c r="T677" s="60"/>
      <c r="U677" s="60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60"/>
      <c r="P678" s="60"/>
      <c r="Q678" s="60"/>
      <c r="R678" s="60"/>
      <c r="S678" s="60"/>
      <c r="T678" s="60"/>
      <c r="U678" s="60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60"/>
      <c r="P679" s="60"/>
      <c r="Q679" s="60"/>
      <c r="R679" s="60"/>
      <c r="S679" s="60"/>
      <c r="T679" s="60"/>
      <c r="U679" s="60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60"/>
      <c r="P680" s="60"/>
      <c r="Q680" s="60"/>
      <c r="R680" s="60"/>
      <c r="S680" s="60"/>
      <c r="T680" s="60"/>
      <c r="U680" s="60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60"/>
      <c r="P681" s="60"/>
      <c r="Q681" s="60"/>
      <c r="R681" s="60"/>
      <c r="S681" s="60"/>
      <c r="T681" s="60"/>
      <c r="U681" s="60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60"/>
      <c r="P682" s="60"/>
      <c r="Q682" s="60"/>
      <c r="R682" s="60"/>
      <c r="S682" s="60"/>
      <c r="T682" s="60"/>
      <c r="U682" s="60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60"/>
      <c r="P683" s="60"/>
      <c r="Q683" s="60"/>
      <c r="R683" s="60"/>
      <c r="S683" s="60"/>
      <c r="T683" s="60"/>
      <c r="U683" s="60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60"/>
      <c r="P684" s="60"/>
      <c r="Q684" s="60"/>
      <c r="R684" s="60"/>
      <c r="S684" s="60"/>
      <c r="T684" s="60"/>
      <c r="U684" s="60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60"/>
      <c r="P685" s="60"/>
      <c r="Q685" s="60"/>
      <c r="R685" s="60"/>
      <c r="S685" s="60"/>
      <c r="T685" s="60"/>
      <c r="U685" s="60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60"/>
      <c r="P686" s="60"/>
      <c r="Q686" s="60"/>
      <c r="R686" s="60"/>
      <c r="S686" s="60"/>
      <c r="T686" s="60"/>
      <c r="U686" s="60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60"/>
      <c r="P687" s="60"/>
      <c r="Q687" s="60"/>
      <c r="R687" s="60"/>
      <c r="S687" s="60"/>
      <c r="T687" s="60"/>
      <c r="U687" s="60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60"/>
      <c r="P688" s="60"/>
      <c r="Q688" s="60"/>
      <c r="R688" s="60"/>
      <c r="S688" s="60"/>
      <c r="T688" s="60"/>
      <c r="U688" s="60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60"/>
      <c r="P689" s="60"/>
      <c r="Q689" s="60"/>
      <c r="R689" s="60"/>
      <c r="S689" s="60"/>
      <c r="T689" s="60"/>
      <c r="U689" s="60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60"/>
      <c r="P690" s="60"/>
      <c r="Q690" s="60"/>
      <c r="R690" s="60"/>
      <c r="S690" s="60"/>
      <c r="T690" s="60"/>
      <c r="U690" s="60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60"/>
      <c r="P691" s="60"/>
      <c r="Q691" s="60"/>
      <c r="R691" s="60"/>
      <c r="S691" s="60"/>
      <c r="T691" s="60"/>
      <c r="U691" s="60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60"/>
      <c r="P692" s="60"/>
      <c r="Q692" s="60"/>
      <c r="R692" s="60"/>
      <c r="S692" s="60"/>
      <c r="T692" s="60"/>
      <c r="U692" s="60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60"/>
      <c r="P693" s="60"/>
      <c r="Q693" s="60"/>
      <c r="R693" s="60"/>
      <c r="S693" s="60"/>
      <c r="T693" s="60"/>
      <c r="U693" s="60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60"/>
      <c r="P694" s="60"/>
      <c r="Q694" s="60"/>
      <c r="R694" s="60"/>
      <c r="S694" s="60"/>
      <c r="T694" s="60"/>
      <c r="U694" s="60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60"/>
      <c r="P695" s="60"/>
      <c r="Q695" s="60"/>
      <c r="R695" s="60"/>
      <c r="S695" s="60"/>
      <c r="T695" s="60"/>
      <c r="U695" s="60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60"/>
      <c r="P696" s="60"/>
      <c r="Q696" s="60"/>
      <c r="R696" s="60"/>
      <c r="S696" s="60"/>
      <c r="T696" s="60"/>
      <c r="U696" s="60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60"/>
      <c r="P697" s="60"/>
      <c r="Q697" s="60"/>
      <c r="R697" s="60"/>
      <c r="S697" s="60"/>
      <c r="T697" s="60"/>
      <c r="U697" s="60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60"/>
      <c r="P698" s="60"/>
      <c r="Q698" s="60"/>
      <c r="R698" s="60"/>
      <c r="S698" s="60"/>
      <c r="T698" s="60"/>
      <c r="U698" s="60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60"/>
      <c r="P699" s="60"/>
      <c r="Q699" s="60"/>
      <c r="R699" s="60"/>
      <c r="S699" s="60"/>
      <c r="T699" s="60"/>
      <c r="U699" s="60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60"/>
      <c r="P700" s="60"/>
      <c r="Q700" s="60"/>
      <c r="R700" s="60"/>
      <c r="S700" s="60"/>
      <c r="T700" s="60"/>
      <c r="U700" s="60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60"/>
      <c r="P701" s="60"/>
      <c r="Q701" s="60"/>
      <c r="R701" s="60"/>
      <c r="S701" s="60"/>
      <c r="T701" s="60"/>
      <c r="U701" s="60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60"/>
      <c r="P702" s="60"/>
      <c r="Q702" s="60"/>
      <c r="R702" s="60"/>
      <c r="S702" s="60"/>
      <c r="T702" s="60"/>
      <c r="U702" s="60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60"/>
      <c r="P703" s="60"/>
      <c r="Q703" s="60"/>
      <c r="R703" s="60"/>
      <c r="S703" s="60"/>
      <c r="T703" s="60"/>
      <c r="U703" s="60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60"/>
      <c r="P704" s="60"/>
      <c r="Q704" s="60"/>
      <c r="R704" s="60"/>
      <c r="S704" s="60"/>
      <c r="T704" s="60"/>
      <c r="U704" s="60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60"/>
      <c r="P705" s="60"/>
      <c r="Q705" s="60"/>
      <c r="R705" s="60"/>
      <c r="S705" s="60"/>
      <c r="T705" s="60"/>
      <c r="U705" s="60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60"/>
      <c r="P706" s="60"/>
      <c r="Q706" s="60"/>
      <c r="R706" s="60"/>
      <c r="S706" s="60"/>
      <c r="T706" s="60"/>
      <c r="U706" s="60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60"/>
      <c r="P707" s="60"/>
      <c r="Q707" s="60"/>
      <c r="R707" s="60"/>
      <c r="S707" s="60"/>
      <c r="T707" s="60"/>
      <c r="U707" s="60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60"/>
      <c r="P708" s="60"/>
      <c r="Q708" s="60"/>
      <c r="R708" s="60"/>
      <c r="S708" s="60"/>
      <c r="T708" s="60"/>
      <c r="U708" s="60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60"/>
      <c r="P709" s="60"/>
      <c r="Q709" s="60"/>
      <c r="R709" s="60"/>
      <c r="S709" s="60"/>
      <c r="T709" s="60"/>
      <c r="U709" s="60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60"/>
      <c r="P710" s="60"/>
      <c r="Q710" s="60"/>
      <c r="R710" s="60"/>
      <c r="S710" s="60"/>
      <c r="T710" s="60"/>
      <c r="U710" s="60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60"/>
      <c r="P711" s="60"/>
      <c r="Q711" s="60"/>
      <c r="R711" s="60"/>
      <c r="S711" s="60"/>
      <c r="T711" s="60"/>
      <c r="U711" s="60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60"/>
      <c r="P712" s="60"/>
      <c r="Q712" s="60"/>
      <c r="R712" s="60"/>
      <c r="S712" s="60"/>
      <c r="T712" s="60"/>
      <c r="U712" s="60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60"/>
      <c r="P713" s="60"/>
      <c r="Q713" s="60"/>
      <c r="R713" s="60"/>
      <c r="S713" s="60"/>
      <c r="T713" s="60"/>
      <c r="U713" s="60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60"/>
      <c r="P714" s="60"/>
      <c r="Q714" s="60"/>
      <c r="R714" s="60"/>
      <c r="S714" s="60"/>
      <c r="T714" s="60"/>
      <c r="U714" s="60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60"/>
      <c r="P715" s="60"/>
      <c r="Q715" s="60"/>
      <c r="R715" s="60"/>
      <c r="S715" s="60"/>
      <c r="T715" s="60"/>
      <c r="U715" s="60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60"/>
      <c r="P716" s="60"/>
      <c r="Q716" s="60"/>
      <c r="R716" s="60"/>
      <c r="S716" s="60"/>
      <c r="T716" s="60"/>
      <c r="U716" s="60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60"/>
      <c r="P717" s="60"/>
      <c r="Q717" s="60"/>
      <c r="R717" s="60"/>
      <c r="S717" s="60"/>
      <c r="T717" s="60"/>
      <c r="U717" s="60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60"/>
      <c r="P718" s="60"/>
      <c r="Q718" s="60"/>
      <c r="R718" s="60"/>
      <c r="S718" s="60"/>
      <c r="T718" s="60"/>
      <c r="U718" s="60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60"/>
      <c r="P719" s="60"/>
      <c r="Q719" s="60"/>
      <c r="R719" s="60"/>
      <c r="S719" s="60"/>
      <c r="T719" s="60"/>
      <c r="U719" s="60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60"/>
      <c r="P720" s="60"/>
      <c r="Q720" s="60"/>
      <c r="R720" s="60"/>
      <c r="S720" s="60"/>
      <c r="T720" s="60"/>
      <c r="U720" s="60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60"/>
      <c r="P721" s="60"/>
      <c r="Q721" s="60"/>
      <c r="R721" s="60"/>
      <c r="S721" s="60"/>
      <c r="T721" s="60"/>
      <c r="U721" s="60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60"/>
      <c r="P722" s="60"/>
      <c r="Q722" s="60"/>
      <c r="R722" s="60"/>
      <c r="S722" s="60"/>
      <c r="T722" s="60"/>
      <c r="U722" s="60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60"/>
      <c r="P723" s="60"/>
      <c r="Q723" s="60"/>
      <c r="R723" s="60"/>
      <c r="S723" s="60"/>
      <c r="T723" s="60"/>
      <c r="U723" s="60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60"/>
      <c r="P724" s="60"/>
      <c r="Q724" s="60"/>
      <c r="R724" s="60"/>
      <c r="S724" s="60"/>
      <c r="T724" s="60"/>
      <c r="U724" s="60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60"/>
      <c r="P725" s="60"/>
      <c r="Q725" s="60"/>
      <c r="R725" s="60"/>
      <c r="S725" s="60"/>
      <c r="T725" s="60"/>
      <c r="U725" s="60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60"/>
      <c r="P726" s="60"/>
      <c r="Q726" s="60"/>
      <c r="R726" s="60"/>
      <c r="S726" s="60"/>
      <c r="T726" s="60"/>
      <c r="U726" s="60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60"/>
      <c r="P727" s="60"/>
      <c r="Q727" s="60"/>
      <c r="R727" s="60"/>
      <c r="S727" s="60"/>
      <c r="T727" s="60"/>
      <c r="U727" s="60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60"/>
      <c r="P728" s="60"/>
      <c r="Q728" s="60"/>
      <c r="R728" s="60"/>
      <c r="S728" s="60"/>
      <c r="T728" s="60"/>
      <c r="U728" s="60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60"/>
      <c r="P729" s="60"/>
      <c r="Q729" s="60"/>
      <c r="R729" s="60"/>
      <c r="S729" s="60"/>
      <c r="T729" s="60"/>
      <c r="U729" s="60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60"/>
      <c r="P730" s="60"/>
      <c r="Q730" s="60"/>
      <c r="R730" s="60"/>
      <c r="S730" s="60"/>
      <c r="T730" s="60"/>
      <c r="U730" s="60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60"/>
      <c r="P731" s="60"/>
      <c r="Q731" s="60"/>
      <c r="R731" s="60"/>
      <c r="S731" s="60"/>
      <c r="T731" s="60"/>
      <c r="U731" s="60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60"/>
      <c r="P732" s="60"/>
      <c r="Q732" s="60"/>
      <c r="R732" s="60"/>
      <c r="S732" s="60"/>
      <c r="T732" s="60"/>
      <c r="U732" s="60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60"/>
      <c r="P733" s="60"/>
      <c r="Q733" s="60"/>
      <c r="R733" s="60"/>
      <c r="S733" s="60"/>
      <c r="T733" s="60"/>
      <c r="U733" s="60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60"/>
      <c r="P734" s="60"/>
      <c r="Q734" s="60"/>
      <c r="R734" s="60"/>
      <c r="S734" s="60"/>
      <c r="T734" s="60"/>
      <c r="U734" s="60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60"/>
      <c r="P735" s="60"/>
      <c r="Q735" s="60"/>
      <c r="R735" s="60"/>
      <c r="S735" s="60"/>
      <c r="T735" s="60"/>
      <c r="U735" s="60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60"/>
      <c r="P736" s="60"/>
      <c r="Q736" s="60"/>
      <c r="R736" s="60"/>
      <c r="S736" s="60"/>
      <c r="T736" s="60"/>
      <c r="U736" s="60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60"/>
      <c r="P737" s="60"/>
      <c r="Q737" s="60"/>
      <c r="R737" s="60"/>
      <c r="S737" s="60"/>
      <c r="T737" s="60"/>
      <c r="U737" s="60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60"/>
      <c r="P738" s="60"/>
      <c r="Q738" s="60"/>
      <c r="R738" s="60"/>
      <c r="S738" s="60"/>
      <c r="T738" s="60"/>
      <c r="U738" s="60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60"/>
      <c r="P739" s="60"/>
      <c r="Q739" s="60"/>
      <c r="R739" s="60"/>
      <c r="S739" s="60"/>
      <c r="T739" s="60"/>
      <c r="U739" s="60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60"/>
      <c r="P740" s="60"/>
      <c r="Q740" s="60"/>
      <c r="R740" s="60"/>
      <c r="S740" s="60"/>
      <c r="T740" s="60"/>
      <c r="U740" s="60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60"/>
      <c r="P741" s="60"/>
      <c r="Q741" s="60"/>
      <c r="R741" s="60"/>
      <c r="S741" s="60"/>
      <c r="T741" s="60"/>
      <c r="U741" s="60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60"/>
      <c r="P742" s="60"/>
      <c r="Q742" s="60"/>
      <c r="R742" s="60"/>
      <c r="S742" s="60"/>
      <c r="T742" s="60"/>
      <c r="U742" s="60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60"/>
      <c r="P743" s="60"/>
      <c r="Q743" s="60"/>
      <c r="R743" s="60"/>
      <c r="S743" s="60"/>
      <c r="T743" s="60"/>
      <c r="U743" s="60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60"/>
      <c r="P744" s="60"/>
      <c r="Q744" s="60"/>
      <c r="R744" s="60"/>
      <c r="S744" s="60"/>
      <c r="T744" s="60"/>
      <c r="U744" s="60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60"/>
      <c r="P745" s="60"/>
      <c r="Q745" s="60"/>
      <c r="R745" s="60"/>
      <c r="S745" s="60"/>
      <c r="T745" s="60"/>
      <c r="U745" s="60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60"/>
      <c r="P746" s="60"/>
      <c r="Q746" s="60"/>
      <c r="R746" s="60"/>
      <c r="S746" s="60"/>
      <c r="T746" s="60"/>
      <c r="U746" s="60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60"/>
      <c r="P747" s="60"/>
      <c r="Q747" s="60"/>
      <c r="R747" s="60"/>
      <c r="S747" s="60"/>
      <c r="T747" s="60"/>
      <c r="U747" s="60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60"/>
      <c r="P748" s="60"/>
      <c r="Q748" s="60"/>
      <c r="R748" s="60"/>
      <c r="S748" s="60"/>
      <c r="T748" s="60"/>
      <c r="U748" s="60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60"/>
      <c r="P749" s="60"/>
      <c r="Q749" s="60"/>
      <c r="R749" s="60"/>
      <c r="S749" s="60"/>
      <c r="T749" s="60"/>
      <c r="U749" s="60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60"/>
      <c r="P750" s="60"/>
      <c r="Q750" s="60"/>
      <c r="R750" s="60"/>
      <c r="S750" s="60"/>
      <c r="T750" s="60"/>
      <c r="U750" s="60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60"/>
      <c r="P751" s="60"/>
      <c r="Q751" s="60"/>
      <c r="R751" s="60"/>
      <c r="S751" s="60"/>
      <c r="T751" s="60"/>
      <c r="U751" s="60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60"/>
      <c r="P752" s="60"/>
      <c r="Q752" s="60"/>
      <c r="R752" s="60"/>
      <c r="S752" s="60"/>
      <c r="T752" s="60"/>
      <c r="U752" s="60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60"/>
      <c r="P753" s="60"/>
      <c r="Q753" s="60"/>
      <c r="R753" s="60"/>
      <c r="S753" s="60"/>
      <c r="T753" s="60"/>
      <c r="U753" s="60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60"/>
      <c r="P754" s="60"/>
      <c r="Q754" s="60"/>
      <c r="R754" s="60"/>
      <c r="S754" s="60"/>
      <c r="T754" s="60"/>
      <c r="U754" s="60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60"/>
      <c r="P755" s="60"/>
      <c r="Q755" s="60"/>
      <c r="R755" s="60"/>
      <c r="S755" s="60"/>
      <c r="T755" s="60"/>
      <c r="U755" s="60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60"/>
      <c r="P756" s="60"/>
      <c r="Q756" s="60"/>
      <c r="R756" s="60"/>
      <c r="S756" s="60"/>
      <c r="T756" s="60"/>
      <c r="U756" s="60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60"/>
      <c r="P757" s="60"/>
      <c r="Q757" s="60"/>
      <c r="R757" s="60"/>
      <c r="S757" s="60"/>
      <c r="T757" s="60"/>
      <c r="U757" s="60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60"/>
      <c r="P758" s="60"/>
      <c r="Q758" s="60"/>
      <c r="R758" s="60"/>
      <c r="S758" s="60"/>
      <c r="T758" s="60"/>
      <c r="U758" s="60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60"/>
      <c r="P759" s="60"/>
      <c r="Q759" s="60"/>
      <c r="R759" s="60"/>
      <c r="S759" s="60"/>
      <c r="T759" s="60"/>
      <c r="U759" s="60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60"/>
      <c r="P760" s="60"/>
      <c r="Q760" s="60"/>
      <c r="R760" s="60"/>
      <c r="S760" s="60"/>
      <c r="T760" s="60"/>
      <c r="U760" s="60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60"/>
      <c r="P761" s="60"/>
      <c r="Q761" s="60"/>
      <c r="R761" s="60"/>
      <c r="S761" s="60"/>
      <c r="T761" s="60"/>
      <c r="U761" s="60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60"/>
      <c r="P762" s="60"/>
      <c r="Q762" s="60"/>
      <c r="R762" s="60"/>
      <c r="S762" s="60"/>
      <c r="T762" s="60"/>
      <c r="U762" s="60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60"/>
      <c r="P763" s="60"/>
      <c r="Q763" s="60"/>
      <c r="R763" s="60"/>
      <c r="S763" s="60"/>
      <c r="T763" s="60"/>
      <c r="U763" s="60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60"/>
      <c r="P764" s="60"/>
      <c r="Q764" s="60"/>
      <c r="R764" s="60"/>
      <c r="S764" s="60"/>
      <c r="T764" s="60"/>
      <c r="U764" s="60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60"/>
      <c r="P765" s="60"/>
      <c r="Q765" s="60"/>
      <c r="R765" s="60"/>
      <c r="S765" s="60"/>
      <c r="T765" s="60"/>
      <c r="U765" s="60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60"/>
      <c r="P766" s="60"/>
      <c r="Q766" s="60"/>
      <c r="R766" s="60"/>
      <c r="S766" s="60"/>
      <c r="T766" s="60"/>
      <c r="U766" s="60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60"/>
      <c r="P767" s="60"/>
      <c r="Q767" s="60"/>
      <c r="R767" s="60"/>
      <c r="S767" s="60"/>
      <c r="T767" s="60"/>
      <c r="U767" s="60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60"/>
      <c r="P768" s="60"/>
      <c r="Q768" s="60"/>
      <c r="R768" s="60"/>
      <c r="S768" s="60"/>
      <c r="T768" s="60"/>
      <c r="U768" s="60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60"/>
      <c r="P769" s="60"/>
      <c r="Q769" s="60"/>
      <c r="R769" s="60"/>
      <c r="S769" s="60"/>
      <c r="T769" s="60"/>
      <c r="U769" s="60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60"/>
      <c r="P770" s="60"/>
      <c r="Q770" s="60"/>
      <c r="R770" s="60"/>
      <c r="S770" s="60"/>
      <c r="T770" s="60"/>
      <c r="U770" s="60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60"/>
      <c r="P771" s="60"/>
      <c r="Q771" s="60"/>
      <c r="R771" s="60"/>
      <c r="S771" s="60"/>
      <c r="T771" s="60"/>
      <c r="U771" s="60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60"/>
      <c r="P772" s="60"/>
      <c r="Q772" s="60"/>
      <c r="R772" s="60"/>
      <c r="S772" s="60"/>
      <c r="T772" s="60"/>
      <c r="U772" s="60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60"/>
      <c r="P773" s="60"/>
      <c r="Q773" s="60"/>
      <c r="R773" s="60"/>
      <c r="S773" s="60"/>
      <c r="T773" s="60"/>
      <c r="U773" s="60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60"/>
      <c r="P774" s="60"/>
      <c r="Q774" s="60"/>
      <c r="R774" s="60"/>
      <c r="S774" s="60"/>
      <c r="T774" s="60"/>
      <c r="U774" s="60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60"/>
      <c r="P775" s="60"/>
      <c r="Q775" s="60"/>
      <c r="R775" s="60"/>
      <c r="S775" s="60"/>
      <c r="T775" s="60"/>
      <c r="U775" s="60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60"/>
      <c r="P776" s="60"/>
      <c r="Q776" s="60"/>
      <c r="R776" s="60"/>
      <c r="S776" s="60"/>
      <c r="T776" s="60"/>
      <c r="U776" s="60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60"/>
      <c r="P777" s="60"/>
      <c r="Q777" s="60"/>
      <c r="R777" s="60"/>
      <c r="S777" s="60"/>
      <c r="T777" s="60"/>
      <c r="U777" s="60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60"/>
      <c r="P778" s="60"/>
      <c r="Q778" s="60"/>
      <c r="R778" s="60"/>
      <c r="S778" s="60"/>
      <c r="T778" s="60"/>
      <c r="U778" s="60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60"/>
      <c r="P779" s="60"/>
      <c r="Q779" s="60"/>
      <c r="R779" s="60"/>
      <c r="S779" s="60"/>
      <c r="T779" s="60"/>
      <c r="U779" s="60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60"/>
      <c r="P780" s="60"/>
      <c r="Q780" s="60"/>
      <c r="R780" s="60"/>
      <c r="S780" s="60"/>
      <c r="T780" s="60"/>
      <c r="U780" s="60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60"/>
      <c r="P781" s="60"/>
      <c r="Q781" s="60"/>
      <c r="R781" s="60"/>
      <c r="S781" s="60"/>
      <c r="T781" s="60"/>
      <c r="U781" s="60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60"/>
      <c r="P782" s="60"/>
      <c r="Q782" s="60"/>
      <c r="R782" s="60"/>
      <c r="S782" s="60"/>
      <c r="T782" s="60"/>
      <c r="U782" s="60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60"/>
      <c r="P783" s="60"/>
      <c r="Q783" s="60"/>
      <c r="R783" s="60"/>
      <c r="S783" s="60"/>
      <c r="T783" s="60"/>
      <c r="U783" s="60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60"/>
      <c r="P784" s="60"/>
      <c r="Q784" s="60"/>
      <c r="R784" s="60"/>
      <c r="S784" s="60"/>
      <c r="T784" s="60"/>
      <c r="U784" s="60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60"/>
      <c r="P785" s="60"/>
      <c r="Q785" s="60"/>
      <c r="R785" s="60"/>
      <c r="S785" s="60"/>
      <c r="T785" s="60"/>
      <c r="U785" s="60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60"/>
      <c r="P786" s="60"/>
      <c r="Q786" s="60"/>
      <c r="R786" s="60"/>
      <c r="S786" s="60"/>
      <c r="T786" s="60"/>
      <c r="U786" s="60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60"/>
      <c r="P787" s="60"/>
      <c r="Q787" s="60"/>
      <c r="R787" s="60"/>
      <c r="S787" s="60"/>
      <c r="T787" s="60"/>
      <c r="U787" s="60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60"/>
      <c r="P788" s="60"/>
      <c r="Q788" s="60"/>
      <c r="R788" s="60"/>
      <c r="S788" s="60"/>
      <c r="T788" s="60"/>
      <c r="U788" s="60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60"/>
      <c r="P789" s="60"/>
      <c r="Q789" s="60"/>
      <c r="R789" s="60"/>
      <c r="S789" s="60"/>
      <c r="T789" s="60"/>
      <c r="U789" s="60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60"/>
      <c r="P790" s="60"/>
      <c r="Q790" s="60"/>
      <c r="R790" s="60"/>
      <c r="S790" s="60"/>
      <c r="T790" s="60"/>
      <c r="U790" s="60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60"/>
      <c r="P791" s="60"/>
      <c r="Q791" s="60"/>
      <c r="R791" s="60"/>
      <c r="S791" s="60"/>
      <c r="T791" s="60"/>
      <c r="U791" s="60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60"/>
      <c r="P792" s="60"/>
      <c r="Q792" s="60"/>
      <c r="R792" s="60"/>
      <c r="S792" s="60"/>
      <c r="T792" s="60"/>
      <c r="U792" s="60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60"/>
      <c r="P793" s="60"/>
      <c r="Q793" s="60"/>
      <c r="R793" s="60"/>
      <c r="S793" s="60"/>
      <c r="T793" s="60"/>
      <c r="U793" s="60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60"/>
      <c r="P794" s="60"/>
      <c r="Q794" s="60"/>
      <c r="R794" s="60"/>
      <c r="S794" s="60"/>
      <c r="T794" s="60"/>
      <c r="U794" s="60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60"/>
      <c r="P795" s="60"/>
      <c r="Q795" s="60"/>
      <c r="R795" s="60"/>
      <c r="S795" s="60"/>
      <c r="T795" s="60"/>
      <c r="U795" s="60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60"/>
      <c r="P796" s="60"/>
      <c r="Q796" s="60"/>
      <c r="R796" s="60"/>
      <c r="S796" s="60"/>
      <c r="T796" s="60"/>
      <c r="U796" s="60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60"/>
      <c r="P797" s="60"/>
      <c r="Q797" s="60"/>
      <c r="R797" s="60"/>
      <c r="S797" s="60"/>
      <c r="T797" s="60"/>
      <c r="U797" s="60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60"/>
      <c r="P798" s="60"/>
      <c r="Q798" s="60"/>
      <c r="R798" s="60"/>
      <c r="S798" s="60"/>
      <c r="T798" s="60"/>
      <c r="U798" s="60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60"/>
      <c r="P799" s="60"/>
      <c r="Q799" s="60"/>
      <c r="R799" s="60"/>
      <c r="S799" s="60"/>
      <c r="T799" s="60"/>
      <c r="U799" s="60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60"/>
      <c r="P800" s="60"/>
      <c r="Q800" s="60"/>
      <c r="R800" s="60"/>
      <c r="S800" s="60"/>
      <c r="T800" s="60"/>
      <c r="U800" s="60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60"/>
      <c r="P801" s="60"/>
      <c r="Q801" s="60"/>
      <c r="R801" s="60"/>
      <c r="S801" s="60"/>
      <c r="T801" s="60"/>
      <c r="U801" s="60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60"/>
      <c r="P802" s="60"/>
      <c r="Q802" s="60"/>
      <c r="R802" s="60"/>
      <c r="S802" s="60"/>
      <c r="T802" s="60"/>
      <c r="U802" s="60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60"/>
      <c r="P803" s="60"/>
      <c r="Q803" s="60"/>
      <c r="R803" s="60"/>
      <c r="S803" s="60"/>
      <c r="T803" s="60"/>
      <c r="U803" s="60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60"/>
      <c r="P804" s="60"/>
      <c r="Q804" s="60"/>
      <c r="R804" s="60"/>
      <c r="S804" s="60"/>
      <c r="T804" s="60"/>
      <c r="U804" s="60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60"/>
      <c r="P805" s="60"/>
      <c r="Q805" s="60"/>
      <c r="R805" s="60"/>
      <c r="S805" s="60"/>
      <c r="T805" s="60"/>
      <c r="U805" s="60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60"/>
      <c r="P806" s="60"/>
      <c r="Q806" s="60"/>
      <c r="R806" s="60"/>
      <c r="S806" s="60"/>
      <c r="T806" s="60"/>
      <c r="U806" s="60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60"/>
      <c r="P807" s="60"/>
      <c r="Q807" s="60"/>
      <c r="R807" s="60"/>
      <c r="S807" s="60"/>
      <c r="T807" s="60"/>
      <c r="U807" s="60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60"/>
      <c r="P808" s="60"/>
      <c r="Q808" s="60"/>
      <c r="R808" s="60"/>
      <c r="S808" s="60"/>
      <c r="T808" s="60"/>
      <c r="U808" s="60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60"/>
      <c r="P809" s="60"/>
      <c r="Q809" s="60"/>
      <c r="R809" s="60"/>
      <c r="S809" s="60"/>
      <c r="T809" s="60"/>
      <c r="U809" s="60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60"/>
      <c r="P810" s="60"/>
      <c r="Q810" s="60"/>
      <c r="R810" s="60"/>
      <c r="S810" s="60"/>
      <c r="T810" s="60"/>
      <c r="U810" s="60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60"/>
      <c r="P811" s="60"/>
      <c r="Q811" s="60"/>
      <c r="R811" s="60"/>
      <c r="S811" s="60"/>
      <c r="T811" s="60"/>
      <c r="U811" s="60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60"/>
      <c r="P812" s="60"/>
      <c r="Q812" s="60"/>
      <c r="R812" s="60"/>
      <c r="S812" s="60"/>
      <c r="T812" s="60"/>
      <c r="U812" s="60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60"/>
      <c r="P813" s="60"/>
      <c r="Q813" s="60"/>
      <c r="R813" s="60"/>
      <c r="S813" s="60"/>
      <c r="T813" s="60"/>
      <c r="U813" s="60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60"/>
      <c r="P814" s="60"/>
      <c r="Q814" s="60"/>
      <c r="R814" s="60"/>
      <c r="S814" s="60"/>
      <c r="T814" s="60"/>
      <c r="U814" s="60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60"/>
      <c r="P815" s="60"/>
      <c r="Q815" s="60"/>
      <c r="R815" s="60"/>
      <c r="S815" s="60"/>
      <c r="T815" s="60"/>
      <c r="U815" s="60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60"/>
      <c r="P816" s="60"/>
      <c r="Q816" s="60"/>
      <c r="R816" s="60"/>
      <c r="S816" s="60"/>
      <c r="T816" s="60"/>
      <c r="U816" s="60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60"/>
      <c r="P817" s="60"/>
      <c r="Q817" s="60"/>
      <c r="R817" s="60"/>
      <c r="S817" s="60"/>
      <c r="T817" s="60"/>
      <c r="U817" s="60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60"/>
      <c r="P818" s="60"/>
      <c r="Q818" s="60"/>
      <c r="R818" s="60"/>
      <c r="S818" s="60"/>
      <c r="T818" s="60"/>
      <c r="U818" s="60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60"/>
      <c r="P819" s="60"/>
      <c r="Q819" s="60"/>
      <c r="R819" s="60"/>
      <c r="S819" s="60"/>
      <c r="T819" s="60"/>
      <c r="U819" s="60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60"/>
      <c r="P820" s="60"/>
      <c r="Q820" s="60"/>
      <c r="R820" s="60"/>
      <c r="S820" s="60"/>
      <c r="T820" s="60"/>
      <c r="U820" s="60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60"/>
      <c r="P821" s="60"/>
      <c r="Q821" s="60"/>
      <c r="R821" s="60"/>
      <c r="S821" s="60"/>
      <c r="T821" s="60"/>
      <c r="U821" s="60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60"/>
      <c r="P822" s="60"/>
      <c r="Q822" s="60"/>
      <c r="R822" s="60"/>
      <c r="S822" s="60"/>
      <c r="T822" s="60"/>
      <c r="U822" s="60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60"/>
      <c r="P823" s="60"/>
      <c r="Q823" s="60"/>
      <c r="R823" s="60"/>
      <c r="S823" s="60"/>
      <c r="T823" s="60"/>
      <c r="U823" s="60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60"/>
      <c r="P824" s="60"/>
      <c r="Q824" s="60"/>
      <c r="R824" s="60"/>
      <c r="S824" s="60"/>
      <c r="T824" s="60"/>
      <c r="U824" s="60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60"/>
      <c r="P825" s="60"/>
      <c r="Q825" s="60"/>
      <c r="R825" s="60"/>
      <c r="S825" s="60"/>
      <c r="T825" s="60"/>
      <c r="U825" s="60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60"/>
      <c r="P826" s="60"/>
      <c r="Q826" s="60"/>
      <c r="R826" s="60"/>
      <c r="S826" s="60"/>
      <c r="T826" s="60"/>
      <c r="U826" s="60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60"/>
      <c r="P827" s="60"/>
      <c r="Q827" s="60"/>
      <c r="R827" s="60"/>
      <c r="S827" s="60"/>
      <c r="T827" s="60"/>
      <c r="U827" s="60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60"/>
      <c r="P828" s="60"/>
      <c r="Q828" s="60"/>
      <c r="R828" s="60"/>
      <c r="S828" s="60"/>
      <c r="T828" s="60"/>
      <c r="U828" s="60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60"/>
      <c r="P829" s="60"/>
      <c r="Q829" s="60"/>
      <c r="R829" s="60"/>
      <c r="S829" s="60"/>
      <c r="T829" s="60"/>
      <c r="U829" s="60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60"/>
      <c r="P830" s="60"/>
      <c r="Q830" s="60"/>
      <c r="R830" s="60"/>
      <c r="S830" s="60"/>
      <c r="T830" s="60"/>
      <c r="U830" s="60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60"/>
      <c r="P831" s="60"/>
      <c r="Q831" s="60"/>
      <c r="R831" s="60"/>
      <c r="S831" s="60"/>
      <c r="T831" s="60"/>
      <c r="U831" s="60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60"/>
      <c r="P832" s="60"/>
      <c r="Q832" s="60"/>
      <c r="R832" s="60"/>
      <c r="S832" s="60"/>
      <c r="T832" s="60"/>
      <c r="U832" s="60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60"/>
      <c r="P833" s="60"/>
      <c r="Q833" s="60"/>
      <c r="R833" s="60"/>
      <c r="S833" s="60"/>
      <c r="T833" s="60"/>
      <c r="U833" s="60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60"/>
      <c r="P834" s="60"/>
      <c r="Q834" s="60"/>
      <c r="R834" s="60"/>
      <c r="S834" s="60"/>
      <c r="T834" s="60"/>
      <c r="U834" s="60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60"/>
      <c r="P835" s="60"/>
      <c r="Q835" s="60"/>
      <c r="R835" s="60"/>
      <c r="S835" s="60"/>
      <c r="T835" s="60"/>
      <c r="U835" s="60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60"/>
      <c r="P836" s="60"/>
      <c r="Q836" s="60"/>
      <c r="R836" s="60"/>
      <c r="S836" s="60"/>
      <c r="T836" s="60"/>
      <c r="U836" s="60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60"/>
      <c r="P837" s="60"/>
      <c r="Q837" s="60"/>
      <c r="R837" s="60"/>
      <c r="S837" s="60"/>
      <c r="T837" s="60"/>
      <c r="U837" s="60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60"/>
      <c r="P838" s="60"/>
      <c r="Q838" s="60"/>
      <c r="R838" s="60"/>
      <c r="S838" s="60"/>
      <c r="T838" s="60"/>
      <c r="U838" s="60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60"/>
      <c r="P839" s="60"/>
      <c r="Q839" s="60"/>
      <c r="R839" s="60"/>
      <c r="S839" s="60"/>
      <c r="T839" s="60"/>
      <c r="U839" s="60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60"/>
      <c r="P840" s="60"/>
      <c r="Q840" s="60"/>
      <c r="R840" s="60"/>
      <c r="S840" s="60"/>
      <c r="T840" s="60"/>
      <c r="U840" s="60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60"/>
      <c r="P841" s="60"/>
      <c r="Q841" s="60"/>
      <c r="R841" s="60"/>
      <c r="S841" s="60"/>
      <c r="T841" s="60"/>
      <c r="U841" s="60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60"/>
      <c r="P842" s="60"/>
      <c r="Q842" s="60"/>
      <c r="R842" s="60"/>
      <c r="S842" s="60"/>
      <c r="T842" s="60"/>
      <c r="U842" s="60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60"/>
      <c r="P843" s="60"/>
      <c r="Q843" s="60"/>
      <c r="R843" s="60"/>
      <c r="S843" s="60"/>
      <c r="T843" s="60"/>
      <c r="U843" s="60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60"/>
      <c r="P844" s="60"/>
      <c r="Q844" s="60"/>
      <c r="R844" s="60"/>
      <c r="S844" s="60"/>
      <c r="T844" s="60"/>
      <c r="U844" s="60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60"/>
      <c r="P845" s="60"/>
      <c r="Q845" s="60"/>
      <c r="R845" s="60"/>
      <c r="S845" s="60"/>
      <c r="T845" s="60"/>
      <c r="U845" s="60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60"/>
      <c r="P846" s="60"/>
      <c r="Q846" s="60"/>
      <c r="R846" s="60"/>
      <c r="S846" s="60"/>
      <c r="T846" s="60"/>
      <c r="U846" s="60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60"/>
      <c r="P847" s="60"/>
      <c r="Q847" s="60"/>
      <c r="R847" s="60"/>
      <c r="S847" s="60"/>
      <c r="T847" s="60"/>
      <c r="U847" s="60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60"/>
      <c r="P848" s="60"/>
      <c r="Q848" s="60"/>
      <c r="R848" s="60"/>
      <c r="S848" s="60"/>
      <c r="T848" s="60"/>
      <c r="U848" s="60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60"/>
      <c r="P849" s="60"/>
      <c r="Q849" s="60"/>
      <c r="R849" s="60"/>
      <c r="S849" s="60"/>
      <c r="T849" s="60"/>
      <c r="U849" s="60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60"/>
      <c r="P850" s="60"/>
      <c r="Q850" s="60"/>
      <c r="R850" s="60"/>
      <c r="S850" s="60"/>
      <c r="T850" s="60"/>
      <c r="U850" s="60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60"/>
      <c r="P851" s="60"/>
      <c r="Q851" s="60"/>
      <c r="R851" s="60"/>
      <c r="S851" s="60"/>
      <c r="T851" s="60"/>
      <c r="U851" s="60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60"/>
      <c r="P852" s="60"/>
      <c r="Q852" s="60"/>
      <c r="R852" s="60"/>
      <c r="S852" s="60"/>
      <c r="T852" s="60"/>
      <c r="U852" s="60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60"/>
      <c r="P853" s="60"/>
      <c r="Q853" s="60"/>
      <c r="R853" s="60"/>
      <c r="S853" s="60"/>
      <c r="T853" s="60"/>
      <c r="U853" s="60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60"/>
      <c r="P854" s="60"/>
      <c r="Q854" s="60"/>
      <c r="R854" s="60"/>
      <c r="S854" s="60"/>
      <c r="T854" s="60"/>
      <c r="U854" s="60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60"/>
      <c r="P855" s="60"/>
      <c r="Q855" s="60"/>
      <c r="R855" s="60"/>
      <c r="S855" s="60"/>
      <c r="T855" s="60"/>
      <c r="U855" s="60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60"/>
      <c r="P856" s="60"/>
      <c r="Q856" s="60"/>
      <c r="R856" s="60"/>
      <c r="S856" s="60"/>
      <c r="T856" s="60"/>
      <c r="U856" s="60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60"/>
      <c r="P857" s="60"/>
      <c r="Q857" s="60"/>
      <c r="R857" s="60"/>
      <c r="S857" s="60"/>
      <c r="T857" s="60"/>
      <c r="U857" s="60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60"/>
      <c r="P858" s="60"/>
      <c r="Q858" s="60"/>
      <c r="R858" s="60"/>
      <c r="S858" s="60"/>
      <c r="T858" s="60"/>
      <c r="U858" s="60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60"/>
      <c r="P859" s="60"/>
      <c r="Q859" s="60"/>
      <c r="R859" s="60"/>
      <c r="S859" s="60"/>
      <c r="T859" s="60"/>
      <c r="U859" s="60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60"/>
      <c r="P860" s="60"/>
      <c r="Q860" s="60"/>
      <c r="R860" s="60"/>
      <c r="S860" s="60"/>
      <c r="T860" s="60"/>
      <c r="U860" s="60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60"/>
      <c r="P861" s="60"/>
      <c r="Q861" s="60"/>
      <c r="R861" s="60"/>
      <c r="S861" s="60"/>
      <c r="T861" s="60"/>
      <c r="U861" s="60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60"/>
      <c r="P862" s="60"/>
      <c r="Q862" s="60"/>
      <c r="R862" s="60"/>
      <c r="S862" s="60"/>
      <c r="T862" s="60"/>
      <c r="U862" s="60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60"/>
      <c r="P863" s="60"/>
      <c r="Q863" s="60"/>
      <c r="R863" s="60"/>
      <c r="S863" s="60"/>
      <c r="T863" s="60"/>
      <c r="U863" s="60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60"/>
      <c r="P864" s="60"/>
      <c r="Q864" s="60"/>
      <c r="R864" s="60"/>
      <c r="S864" s="60"/>
      <c r="T864" s="60"/>
      <c r="U864" s="60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60"/>
      <c r="P865" s="60"/>
      <c r="Q865" s="60"/>
      <c r="R865" s="60"/>
      <c r="S865" s="60"/>
      <c r="T865" s="60"/>
      <c r="U865" s="60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60"/>
      <c r="P866" s="60"/>
      <c r="Q866" s="60"/>
      <c r="R866" s="60"/>
      <c r="S866" s="60"/>
      <c r="T866" s="60"/>
      <c r="U866" s="60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60"/>
      <c r="P867" s="60"/>
      <c r="Q867" s="60"/>
      <c r="R867" s="60"/>
      <c r="S867" s="60"/>
      <c r="T867" s="60"/>
      <c r="U867" s="60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60"/>
      <c r="P868" s="60"/>
      <c r="Q868" s="60"/>
      <c r="R868" s="60"/>
      <c r="S868" s="60"/>
      <c r="T868" s="60"/>
      <c r="U868" s="60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60"/>
      <c r="P869" s="60"/>
      <c r="Q869" s="60"/>
      <c r="R869" s="60"/>
      <c r="S869" s="60"/>
      <c r="T869" s="60"/>
      <c r="U869" s="60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60"/>
      <c r="P870" s="60"/>
      <c r="Q870" s="60"/>
      <c r="R870" s="60"/>
      <c r="S870" s="60"/>
      <c r="T870" s="60"/>
      <c r="U870" s="60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60"/>
      <c r="P871" s="60"/>
      <c r="Q871" s="60"/>
      <c r="R871" s="60"/>
      <c r="S871" s="60"/>
      <c r="T871" s="60"/>
      <c r="U871" s="60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60"/>
      <c r="P872" s="60"/>
      <c r="Q872" s="60"/>
      <c r="R872" s="60"/>
      <c r="S872" s="60"/>
      <c r="T872" s="60"/>
      <c r="U872" s="60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60"/>
      <c r="P873" s="60"/>
      <c r="Q873" s="60"/>
      <c r="R873" s="60"/>
      <c r="S873" s="60"/>
      <c r="T873" s="60"/>
      <c r="U873" s="60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60"/>
      <c r="P874" s="60"/>
      <c r="Q874" s="60"/>
      <c r="R874" s="60"/>
      <c r="S874" s="60"/>
      <c r="T874" s="60"/>
      <c r="U874" s="60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60"/>
      <c r="P875" s="60"/>
      <c r="Q875" s="60"/>
      <c r="R875" s="60"/>
      <c r="S875" s="60"/>
      <c r="T875" s="60"/>
      <c r="U875" s="60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60"/>
      <c r="P876" s="60"/>
      <c r="Q876" s="60"/>
      <c r="R876" s="60"/>
      <c r="S876" s="60"/>
      <c r="T876" s="60"/>
      <c r="U876" s="60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60"/>
      <c r="P877" s="60"/>
      <c r="Q877" s="60"/>
      <c r="R877" s="60"/>
      <c r="S877" s="60"/>
      <c r="T877" s="60"/>
      <c r="U877" s="60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60"/>
      <c r="P878" s="60"/>
      <c r="Q878" s="60"/>
      <c r="R878" s="60"/>
      <c r="S878" s="60"/>
      <c r="T878" s="60"/>
      <c r="U878" s="60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60"/>
      <c r="P879" s="60"/>
      <c r="Q879" s="60"/>
      <c r="R879" s="60"/>
      <c r="S879" s="60"/>
      <c r="T879" s="60"/>
      <c r="U879" s="60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60"/>
      <c r="P880" s="60"/>
      <c r="Q880" s="60"/>
      <c r="R880" s="60"/>
      <c r="S880" s="60"/>
      <c r="T880" s="60"/>
      <c r="U880" s="60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60"/>
      <c r="P881" s="60"/>
      <c r="Q881" s="60"/>
      <c r="R881" s="60"/>
      <c r="S881" s="60"/>
      <c r="T881" s="60"/>
      <c r="U881" s="60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60"/>
      <c r="P882" s="60"/>
      <c r="Q882" s="60"/>
      <c r="R882" s="60"/>
      <c r="S882" s="60"/>
      <c r="T882" s="60"/>
      <c r="U882" s="60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60"/>
      <c r="P883" s="60"/>
      <c r="Q883" s="60"/>
      <c r="R883" s="60"/>
      <c r="S883" s="60"/>
      <c r="T883" s="60"/>
      <c r="U883" s="60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60"/>
      <c r="P884" s="60"/>
      <c r="Q884" s="60"/>
      <c r="R884" s="60"/>
      <c r="S884" s="60"/>
      <c r="T884" s="60"/>
      <c r="U884" s="60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60"/>
      <c r="P885" s="60"/>
      <c r="Q885" s="60"/>
      <c r="R885" s="60"/>
      <c r="S885" s="60"/>
      <c r="T885" s="60"/>
      <c r="U885" s="60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60"/>
      <c r="P886" s="60"/>
      <c r="Q886" s="60"/>
      <c r="R886" s="60"/>
      <c r="S886" s="60"/>
      <c r="T886" s="60"/>
      <c r="U886" s="60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60"/>
      <c r="P887" s="60"/>
      <c r="Q887" s="60"/>
      <c r="R887" s="60"/>
      <c r="S887" s="60"/>
      <c r="T887" s="60"/>
      <c r="U887" s="60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60"/>
      <c r="P888" s="60"/>
      <c r="Q888" s="60"/>
      <c r="R888" s="60"/>
      <c r="S888" s="60"/>
      <c r="T888" s="60"/>
      <c r="U888" s="60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60"/>
      <c r="P889" s="60"/>
      <c r="Q889" s="60"/>
      <c r="R889" s="60"/>
      <c r="S889" s="60"/>
      <c r="T889" s="60"/>
      <c r="U889" s="60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60"/>
      <c r="P890" s="60"/>
      <c r="Q890" s="60"/>
      <c r="R890" s="60"/>
      <c r="S890" s="60"/>
      <c r="T890" s="60"/>
      <c r="U890" s="60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60"/>
      <c r="P891" s="60"/>
      <c r="Q891" s="60"/>
      <c r="R891" s="60"/>
      <c r="S891" s="60"/>
      <c r="T891" s="60"/>
      <c r="U891" s="60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60"/>
      <c r="P892" s="60"/>
      <c r="Q892" s="60"/>
      <c r="R892" s="60"/>
      <c r="S892" s="60"/>
      <c r="T892" s="60"/>
      <c r="U892" s="60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60"/>
      <c r="P893" s="60"/>
      <c r="Q893" s="60"/>
      <c r="R893" s="60"/>
      <c r="S893" s="60"/>
      <c r="T893" s="60"/>
      <c r="U893" s="60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60"/>
      <c r="P894" s="60"/>
      <c r="Q894" s="60"/>
      <c r="R894" s="60"/>
      <c r="S894" s="60"/>
      <c r="T894" s="60"/>
      <c r="U894" s="60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60"/>
      <c r="P895" s="60"/>
      <c r="Q895" s="60"/>
      <c r="R895" s="60"/>
      <c r="S895" s="60"/>
      <c r="T895" s="60"/>
      <c r="U895" s="60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60"/>
      <c r="P896" s="60"/>
      <c r="Q896" s="60"/>
      <c r="R896" s="60"/>
      <c r="S896" s="60"/>
      <c r="T896" s="60"/>
      <c r="U896" s="60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60"/>
      <c r="P897" s="60"/>
      <c r="Q897" s="60"/>
      <c r="R897" s="60"/>
      <c r="S897" s="60"/>
      <c r="T897" s="60"/>
      <c r="U897" s="60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60"/>
      <c r="P898" s="60"/>
      <c r="Q898" s="60"/>
      <c r="R898" s="60"/>
      <c r="S898" s="60"/>
      <c r="T898" s="60"/>
      <c r="U898" s="60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60"/>
      <c r="P899" s="60"/>
      <c r="Q899" s="60"/>
      <c r="R899" s="60"/>
      <c r="S899" s="60"/>
      <c r="T899" s="60"/>
      <c r="U899" s="60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60"/>
      <c r="P900" s="60"/>
      <c r="Q900" s="60"/>
      <c r="R900" s="60"/>
      <c r="S900" s="60"/>
      <c r="T900" s="60"/>
      <c r="U900" s="60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60"/>
      <c r="P901" s="60"/>
      <c r="Q901" s="60"/>
      <c r="R901" s="60"/>
      <c r="S901" s="60"/>
      <c r="T901" s="60"/>
      <c r="U901" s="60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60"/>
      <c r="P902" s="60"/>
      <c r="Q902" s="60"/>
      <c r="R902" s="60"/>
      <c r="S902" s="60"/>
      <c r="T902" s="60"/>
      <c r="U902" s="60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60"/>
      <c r="P903" s="60"/>
      <c r="Q903" s="60"/>
      <c r="R903" s="60"/>
      <c r="S903" s="60"/>
      <c r="T903" s="60"/>
      <c r="U903" s="60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60"/>
      <c r="P904" s="60"/>
      <c r="Q904" s="60"/>
      <c r="R904" s="60"/>
      <c r="S904" s="60"/>
      <c r="T904" s="60"/>
      <c r="U904" s="60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60"/>
      <c r="P905" s="60"/>
      <c r="Q905" s="60"/>
      <c r="R905" s="60"/>
      <c r="S905" s="60"/>
      <c r="T905" s="60"/>
      <c r="U905" s="60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60"/>
      <c r="P906" s="60"/>
      <c r="Q906" s="60"/>
      <c r="R906" s="60"/>
      <c r="S906" s="60"/>
      <c r="T906" s="60"/>
      <c r="U906" s="60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60"/>
      <c r="P907" s="60"/>
      <c r="Q907" s="60"/>
      <c r="R907" s="60"/>
      <c r="S907" s="60"/>
      <c r="T907" s="60"/>
      <c r="U907" s="60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60"/>
      <c r="P908" s="60"/>
      <c r="Q908" s="60"/>
      <c r="R908" s="60"/>
      <c r="S908" s="60"/>
      <c r="T908" s="60"/>
      <c r="U908" s="60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60"/>
      <c r="P909" s="60"/>
      <c r="Q909" s="60"/>
      <c r="R909" s="60"/>
      <c r="S909" s="60"/>
      <c r="T909" s="60"/>
      <c r="U909" s="60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60"/>
      <c r="P910" s="60"/>
      <c r="Q910" s="60"/>
      <c r="R910" s="60"/>
      <c r="S910" s="60"/>
      <c r="T910" s="60"/>
      <c r="U910" s="60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60"/>
      <c r="P911" s="60"/>
      <c r="Q911" s="60"/>
      <c r="R911" s="60"/>
      <c r="S911" s="60"/>
      <c r="T911" s="60"/>
      <c r="U911" s="60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60"/>
      <c r="P912" s="60"/>
      <c r="Q912" s="60"/>
      <c r="R912" s="60"/>
      <c r="S912" s="60"/>
      <c r="T912" s="60"/>
      <c r="U912" s="60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60"/>
      <c r="P913" s="60"/>
      <c r="Q913" s="60"/>
      <c r="R913" s="60"/>
      <c r="S913" s="60"/>
      <c r="T913" s="60"/>
      <c r="U913" s="60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60"/>
      <c r="P914" s="60"/>
      <c r="Q914" s="60"/>
      <c r="R914" s="60"/>
      <c r="S914" s="60"/>
      <c r="T914" s="60"/>
      <c r="U914" s="60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60"/>
      <c r="P915" s="60"/>
      <c r="Q915" s="60"/>
      <c r="R915" s="60"/>
      <c r="S915" s="60"/>
      <c r="T915" s="60"/>
      <c r="U915" s="60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60"/>
      <c r="P916" s="60"/>
      <c r="Q916" s="60"/>
      <c r="R916" s="60"/>
      <c r="S916" s="60"/>
      <c r="T916" s="60"/>
      <c r="U916" s="60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60"/>
      <c r="P917" s="60"/>
      <c r="Q917" s="60"/>
      <c r="R917" s="60"/>
      <c r="S917" s="60"/>
      <c r="T917" s="60"/>
      <c r="U917" s="60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60"/>
      <c r="P918" s="60"/>
      <c r="Q918" s="60"/>
      <c r="R918" s="60"/>
      <c r="S918" s="60"/>
      <c r="T918" s="60"/>
      <c r="U918" s="60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60"/>
      <c r="P919" s="60"/>
      <c r="Q919" s="60"/>
      <c r="R919" s="60"/>
      <c r="S919" s="60"/>
      <c r="T919" s="60"/>
      <c r="U919" s="60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60"/>
      <c r="P920" s="60"/>
      <c r="Q920" s="60"/>
      <c r="R920" s="60"/>
      <c r="S920" s="60"/>
      <c r="T920" s="60"/>
      <c r="U920" s="60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60"/>
      <c r="P921" s="60"/>
      <c r="Q921" s="60"/>
      <c r="R921" s="60"/>
      <c r="S921" s="60"/>
      <c r="T921" s="60"/>
      <c r="U921" s="60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60"/>
      <c r="P922" s="60"/>
      <c r="Q922" s="60"/>
      <c r="R922" s="60"/>
      <c r="S922" s="60"/>
      <c r="T922" s="60"/>
      <c r="U922" s="60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60"/>
      <c r="P923" s="60"/>
      <c r="Q923" s="60"/>
      <c r="R923" s="60"/>
      <c r="S923" s="60"/>
      <c r="T923" s="60"/>
      <c r="U923" s="60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60"/>
      <c r="P924" s="60"/>
      <c r="Q924" s="60"/>
      <c r="R924" s="60"/>
      <c r="S924" s="60"/>
      <c r="T924" s="60"/>
      <c r="U924" s="60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60"/>
      <c r="P925" s="60"/>
      <c r="Q925" s="60"/>
      <c r="R925" s="60"/>
      <c r="S925" s="60"/>
      <c r="T925" s="60"/>
      <c r="U925" s="60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60"/>
      <c r="P926" s="60"/>
      <c r="Q926" s="60"/>
      <c r="R926" s="60"/>
      <c r="S926" s="60"/>
      <c r="T926" s="60"/>
      <c r="U926" s="60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60"/>
      <c r="P927" s="60"/>
      <c r="Q927" s="60"/>
      <c r="R927" s="60"/>
      <c r="S927" s="60"/>
      <c r="T927" s="60"/>
      <c r="U927" s="60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60"/>
      <c r="P928" s="60"/>
      <c r="Q928" s="60"/>
      <c r="R928" s="60"/>
      <c r="S928" s="60"/>
      <c r="T928" s="60"/>
      <c r="U928" s="60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60"/>
      <c r="P929" s="60"/>
      <c r="Q929" s="60"/>
      <c r="R929" s="60"/>
      <c r="S929" s="60"/>
      <c r="T929" s="60"/>
      <c r="U929" s="60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60"/>
      <c r="P930" s="60"/>
      <c r="Q930" s="60"/>
      <c r="R930" s="60"/>
      <c r="S930" s="60"/>
      <c r="T930" s="60"/>
      <c r="U930" s="60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60"/>
      <c r="P931" s="60"/>
      <c r="Q931" s="60"/>
      <c r="R931" s="60"/>
      <c r="S931" s="60"/>
      <c r="T931" s="60"/>
      <c r="U931" s="60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60"/>
      <c r="P932" s="60"/>
      <c r="Q932" s="60"/>
      <c r="R932" s="60"/>
      <c r="S932" s="60"/>
      <c r="T932" s="60"/>
      <c r="U932" s="60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60"/>
      <c r="P933" s="60"/>
      <c r="Q933" s="60"/>
      <c r="R933" s="60"/>
      <c r="S933" s="60"/>
      <c r="T933" s="60"/>
      <c r="U933" s="60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60"/>
      <c r="P934" s="60"/>
      <c r="Q934" s="60"/>
      <c r="R934" s="60"/>
      <c r="S934" s="60"/>
      <c r="T934" s="60"/>
      <c r="U934" s="60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60"/>
      <c r="P935" s="60"/>
      <c r="Q935" s="60"/>
      <c r="R935" s="60"/>
      <c r="S935" s="60"/>
      <c r="T935" s="60"/>
      <c r="U935" s="60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60"/>
      <c r="P936" s="60"/>
      <c r="Q936" s="60"/>
      <c r="R936" s="60"/>
      <c r="S936" s="60"/>
      <c r="T936" s="60"/>
      <c r="U936" s="60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60"/>
      <c r="P937" s="60"/>
      <c r="Q937" s="60"/>
      <c r="R937" s="60"/>
      <c r="S937" s="60"/>
      <c r="T937" s="60"/>
      <c r="U937" s="60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60"/>
      <c r="P938" s="60"/>
      <c r="Q938" s="60"/>
      <c r="R938" s="60"/>
      <c r="S938" s="60"/>
      <c r="T938" s="60"/>
      <c r="U938" s="60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60"/>
      <c r="P939" s="60"/>
      <c r="Q939" s="60"/>
      <c r="R939" s="60"/>
      <c r="S939" s="60"/>
      <c r="T939" s="60"/>
      <c r="U939" s="60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60"/>
      <c r="P940" s="60"/>
      <c r="Q940" s="60"/>
      <c r="R940" s="60"/>
      <c r="S940" s="60"/>
      <c r="T940" s="60"/>
      <c r="U940" s="60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60"/>
      <c r="P941" s="60"/>
      <c r="Q941" s="60"/>
      <c r="R941" s="60"/>
      <c r="S941" s="60"/>
      <c r="T941" s="60"/>
      <c r="U941" s="60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60"/>
      <c r="P942" s="60"/>
      <c r="Q942" s="60"/>
      <c r="R942" s="60"/>
      <c r="S942" s="60"/>
      <c r="T942" s="60"/>
      <c r="U942" s="60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60"/>
      <c r="P943" s="60"/>
      <c r="Q943" s="60"/>
      <c r="R943" s="60"/>
      <c r="S943" s="60"/>
      <c r="T943" s="60"/>
      <c r="U943" s="60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60"/>
      <c r="P944" s="60"/>
      <c r="Q944" s="60"/>
      <c r="R944" s="60"/>
      <c r="S944" s="60"/>
      <c r="T944" s="60"/>
      <c r="U944" s="60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60"/>
      <c r="P945" s="60"/>
      <c r="Q945" s="60"/>
      <c r="R945" s="60"/>
      <c r="S945" s="60"/>
      <c r="T945" s="60"/>
      <c r="U945" s="60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60"/>
      <c r="P946" s="60"/>
      <c r="Q946" s="60"/>
      <c r="R946" s="60"/>
      <c r="S946" s="60"/>
      <c r="T946" s="60"/>
      <c r="U946" s="60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60"/>
      <c r="P947" s="60"/>
      <c r="Q947" s="60"/>
      <c r="R947" s="60"/>
      <c r="S947" s="60"/>
      <c r="T947" s="60"/>
      <c r="U947" s="60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60"/>
      <c r="P948" s="60"/>
      <c r="Q948" s="60"/>
      <c r="R948" s="60"/>
      <c r="S948" s="60"/>
      <c r="T948" s="60"/>
      <c r="U948" s="60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60"/>
      <c r="P949" s="60"/>
      <c r="Q949" s="60"/>
      <c r="R949" s="60"/>
      <c r="S949" s="60"/>
      <c r="T949" s="60"/>
      <c r="U949" s="60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60"/>
      <c r="P950" s="60"/>
      <c r="Q950" s="60"/>
      <c r="R950" s="60"/>
      <c r="S950" s="60"/>
      <c r="T950" s="60"/>
      <c r="U950" s="60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60"/>
      <c r="P951" s="60"/>
      <c r="Q951" s="60"/>
      <c r="R951" s="60"/>
      <c r="S951" s="60"/>
      <c r="T951" s="60"/>
      <c r="U951" s="60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60"/>
      <c r="P952" s="60"/>
      <c r="Q952" s="60"/>
      <c r="R952" s="60"/>
      <c r="S952" s="60"/>
      <c r="T952" s="60"/>
      <c r="U952" s="60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60"/>
      <c r="P953" s="60"/>
      <c r="Q953" s="60"/>
      <c r="R953" s="60"/>
      <c r="S953" s="60"/>
      <c r="T953" s="60"/>
      <c r="U953" s="60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60"/>
      <c r="P954" s="60"/>
      <c r="Q954" s="60"/>
      <c r="R954" s="60"/>
      <c r="S954" s="60"/>
      <c r="T954" s="60"/>
      <c r="U954" s="60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60"/>
      <c r="P955" s="60"/>
      <c r="Q955" s="60"/>
      <c r="R955" s="60"/>
      <c r="S955" s="60"/>
      <c r="T955" s="60"/>
      <c r="U955" s="60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60"/>
      <c r="P956" s="60"/>
      <c r="Q956" s="60"/>
      <c r="R956" s="60"/>
      <c r="S956" s="60"/>
      <c r="T956" s="60"/>
      <c r="U956" s="60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60"/>
      <c r="P957" s="60"/>
      <c r="Q957" s="60"/>
      <c r="R957" s="60"/>
      <c r="S957" s="60"/>
      <c r="T957" s="60"/>
      <c r="U957" s="60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60"/>
      <c r="P958" s="60"/>
      <c r="Q958" s="60"/>
      <c r="R958" s="60"/>
      <c r="S958" s="60"/>
      <c r="T958" s="60"/>
      <c r="U958" s="60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60"/>
      <c r="P959" s="60"/>
      <c r="Q959" s="60"/>
      <c r="R959" s="60"/>
      <c r="S959" s="60"/>
      <c r="T959" s="60"/>
      <c r="U959" s="60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60"/>
      <c r="P960" s="60"/>
      <c r="Q960" s="60"/>
      <c r="R960" s="60"/>
      <c r="S960" s="60"/>
      <c r="T960" s="60"/>
      <c r="U960" s="60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60"/>
      <c r="P961" s="60"/>
      <c r="Q961" s="60"/>
      <c r="R961" s="60"/>
      <c r="S961" s="60"/>
      <c r="T961" s="60"/>
      <c r="U961" s="60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60"/>
      <c r="P962" s="60"/>
      <c r="Q962" s="60"/>
      <c r="R962" s="60"/>
      <c r="S962" s="60"/>
      <c r="T962" s="60"/>
      <c r="U962" s="60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60"/>
      <c r="P963" s="60"/>
      <c r="Q963" s="60"/>
      <c r="R963" s="60"/>
      <c r="S963" s="60"/>
      <c r="T963" s="60"/>
      <c r="U963" s="60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60"/>
      <c r="P964" s="60"/>
      <c r="Q964" s="60"/>
      <c r="R964" s="60"/>
      <c r="S964" s="60"/>
      <c r="T964" s="60"/>
      <c r="U964" s="60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60"/>
      <c r="P965" s="60"/>
      <c r="Q965" s="60"/>
      <c r="R965" s="60"/>
      <c r="S965" s="60"/>
      <c r="T965" s="60"/>
      <c r="U965" s="60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60"/>
      <c r="P966" s="60"/>
      <c r="Q966" s="60"/>
      <c r="R966" s="60"/>
      <c r="S966" s="60"/>
      <c r="T966" s="60"/>
      <c r="U966" s="60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60"/>
      <c r="P967" s="60"/>
      <c r="Q967" s="60"/>
      <c r="R967" s="60"/>
      <c r="S967" s="60"/>
      <c r="T967" s="60"/>
      <c r="U967" s="60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60"/>
      <c r="P968" s="60"/>
      <c r="Q968" s="60"/>
      <c r="R968" s="60"/>
      <c r="S968" s="60"/>
      <c r="T968" s="60"/>
      <c r="U968" s="60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60"/>
      <c r="P969" s="60"/>
      <c r="Q969" s="60"/>
      <c r="R969" s="60"/>
      <c r="S969" s="60"/>
      <c r="T969" s="60"/>
      <c r="U969" s="60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60"/>
      <c r="P970" s="60"/>
      <c r="Q970" s="60"/>
      <c r="R970" s="60"/>
      <c r="S970" s="60"/>
      <c r="T970" s="60"/>
      <c r="U970" s="60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60"/>
      <c r="P971" s="60"/>
      <c r="Q971" s="60"/>
      <c r="R971" s="60"/>
      <c r="S971" s="60"/>
      <c r="T971" s="60"/>
      <c r="U971" s="60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60"/>
      <c r="P972" s="60"/>
      <c r="Q972" s="60"/>
      <c r="R972" s="60"/>
      <c r="S972" s="60"/>
      <c r="T972" s="60"/>
      <c r="U972" s="60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60"/>
      <c r="P973" s="60"/>
      <c r="Q973" s="60"/>
      <c r="R973" s="60"/>
      <c r="S973" s="60"/>
      <c r="T973" s="60"/>
      <c r="U973" s="60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60"/>
      <c r="P974" s="60"/>
      <c r="Q974" s="60"/>
      <c r="R974" s="60"/>
      <c r="S974" s="60"/>
      <c r="T974" s="60"/>
      <c r="U974" s="60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60"/>
      <c r="P975" s="60"/>
      <c r="Q975" s="60"/>
      <c r="R975" s="60"/>
      <c r="S975" s="60"/>
      <c r="T975" s="60"/>
      <c r="U975" s="60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60"/>
      <c r="P976" s="60"/>
      <c r="Q976" s="60"/>
      <c r="R976" s="60"/>
      <c r="S976" s="60"/>
      <c r="T976" s="60"/>
      <c r="U976" s="60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60"/>
      <c r="P977" s="60"/>
      <c r="Q977" s="60"/>
      <c r="R977" s="60"/>
      <c r="S977" s="60"/>
      <c r="T977" s="60"/>
      <c r="U977" s="60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60"/>
      <c r="P978" s="60"/>
      <c r="Q978" s="60"/>
      <c r="R978" s="60"/>
      <c r="S978" s="60"/>
      <c r="T978" s="60"/>
      <c r="U978" s="60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60"/>
      <c r="P979" s="60"/>
      <c r="Q979" s="60"/>
      <c r="R979" s="60"/>
      <c r="S979" s="60"/>
      <c r="T979" s="60"/>
      <c r="U979" s="60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60"/>
      <c r="P980" s="60"/>
      <c r="Q980" s="60"/>
      <c r="R980" s="60"/>
      <c r="S980" s="60"/>
      <c r="T980" s="60"/>
      <c r="U980" s="60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60"/>
      <c r="P981" s="60"/>
      <c r="Q981" s="60"/>
      <c r="R981" s="60"/>
      <c r="S981" s="60"/>
      <c r="T981" s="60"/>
      <c r="U981" s="60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60"/>
      <c r="P982" s="60"/>
      <c r="Q982" s="60"/>
      <c r="R982" s="60"/>
      <c r="S982" s="60"/>
      <c r="T982" s="60"/>
      <c r="U982" s="60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60"/>
      <c r="P983" s="60"/>
      <c r="Q983" s="60"/>
      <c r="R983" s="60"/>
      <c r="S983" s="60"/>
      <c r="T983" s="60"/>
      <c r="U983" s="60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60"/>
      <c r="P984" s="60"/>
      <c r="Q984" s="60"/>
      <c r="R984" s="60"/>
      <c r="S984" s="60"/>
      <c r="T984" s="60"/>
      <c r="U984" s="60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60"/>
      <c r="P985" s="60"/>
      <c r="Q985" s="60"/>
      <c r="R985" s="60"/>
      <c r="S985" s="60"/>
      <c r="T985" s="60"/>
      <c r="U985" s="60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60"/>
      <c r="P986" s="60"/>
      <c r="Q986" s="60"/>
      <c r="R986" s="60"/>
      <c r="S986" s="60"/>
      <c r="T986" s="60"/>
      <c r="U986" s="60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60"/>
      <c r="P987" s="60"/>
      <c r="Q987" s="60"/>
      <c r="R987" s="60"/>
      <c r="S987" s="60"/>
      <c r="T987" s="60"/>
      <c r="U987" s="60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60"/>
      <c r="P988" s="60"/>
      <c r="Q988" s="60"/>
      <c r="R988" s="60"/>
      <c r="S988" s="60"/>
      <c r="T988" s="60"/>
      <c r="U988" s="60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60"/>
      <c r="P989" s="60"/>
      <c r="Q989" s="60"/>
      <c r="R989" s="60"/>
      <c r="S989" s="60"/>
      <c r="T989" s="60"/>
      <c r="U989" s="60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60"/>
      <c r="P990" s="60"/>
      <c r="Q990" s="60"/>
      <c r="R990" s="60"/>
      <c r="S990" s="60"/>
      <c r="T990" s="60"/>
      <c r="U990" s="60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60"/>
      <c r="P991" s="60"/>
      <c r="Q991" s="60"/>
      <c r="R991" s="60"/>
      <c r="S991" s="60"/>
      <c r="T991" s="60"/>
      <c r="U991" s="60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60"/>
      <c r="P992" s="60"/>
      <c r="Q992" s="60"/>
      <c r="R992" s="60"/>
      <c r="S992" s="60"/>
      <c r="T992" s="60"/>
      <c r="U992" s="60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60"/>
      <c r="P993" s="60"/>
      <c r="Q993" s="60"/>
      <c r="R993" s="60"/>
      <c r="S993" s="60"/>
      <c r="T993" s="60"/>
      <c r="U993" s="60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60"/>
      <c r="P994" s="60"/>
      <c r="Q994" s="60"/>
      <c r="R994" s="60"/>
      <c r="S994" s="60"/>
      <c r="T994" s="60"/>
      <c r="U994" s="60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60"/>
      <c r="P995" s="60"/>
      <c r="Q995" s="60"/>
      <c r="R995" s="60"/>
      <c r="S995" s="60"/>
      <c r="T995" s="60"/>
      <c r="U995" s="60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60"/>
      <c r="P996" s="60"/>
      <c r="Q996" s="60"/>
      <c r="R996" s="60"/>
      <c r="S996" s="60"/>
      <c r="T996" s="60"/>
      <c r="U996" s="60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60"/>
      <c r="P997" s="60"/>
      <c r="Q997" s="60"/>
      <c r="R997" s="60"/>
      <c r="S997" s="60"/>
      <c r="T997" s="60"/>
      <c r="U997" s="6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3" max="3" width="33.43"/>
  </cols>
  <sheetData>
    <row r="1">
      <c r="A1" s="3" t="s">
        <v>14539</v>
      </c>
      <c r="B1" s="3" t="s">
        <v>14540</v>
      </c>
      <c r="C1" s="3" t="s">
        <v>59</v>
      </c>
      <c r="D1" s="3" t="s">
        <v>14541</v>
      </c>
      <c r="E1" s="3" t="s">
        <v>14542</v>
      </c>
      <c r="F1" s="3" t="s">
        <v>978</v>
      </c>
      <c r="G1" s="3" t="s">
        <v>836</v>
      </c>
      <c r="H1" s="3" t="s">
        <v>3662</v>
      </c>
    </row>
    <row r="2">
      <c r="B2" s="12"/>
    </row>
    <row r="3">
      <c r="B3" s="12"/>
    </row>
    <row r="4">
      <c r="B4" s="12"/>
    </row>
    <row r="5">
      <c r="B5" s="12"/>
    </row>
    <row r="6">
      <c r="B6" s="12"/>
    </row>
    <row r="7">
      <c r="B7" s="12"/>
    </row>
    <row r="8">
      <c r="B8" s="12"/>
    </row>
    <row r="9">
      <c r="B9" s="1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0"/>
    <col customWidth="1" min="3" max="3" width="38.0"/>
    <col customWidth="1" min="4" max="4" width="45.0"/>
    <col customWidth="1" min="5" max="5" width="8.0"/>
    <col customWidth="1" min="6" max="6" width="16.0"/>
    <col customWidth="1" min="7" max="7" width="30.0"/>
    <col customWidth="1" min="8" max="8" width="12.0"/>
    <col customWidth="1" min="9" max="25" width="8.71"/>
  </cols>
  <sheetData>
    <row r="1">
      <c r="A1" s="61" t="s">
        <v>14543</v>
      </c>
    </row>
    <row r="3">
      <c r="A3" s="2" t="s">
        <v>830</v>
      </c>
      <c r="B3" s="2" t="s">
        <v>60</v>
      </c>
      <c r="C3" s="2" t="s">
        <v>59</v>
      </c>
      <c r="D3" s="47" t="s">
        <v>831</v>
      </c>
      <c r="E3" s="2" t="s">
        <v>978</v>
      </c>
      <c r="F3" s="2" t="s">
        <v>980</v>
      </c>
      <c r="G3" s="2" t="s">
        <v>981</v>
      </c>
      <c r="H3" s="2" t="s">
        <v>836</v>
      </c>
    </row>
    <row r="4">
      <c r="A4" s="4" t="str">
        <f>IFERROR(__xludf.DUMMYFUNCTION("IFERROR(
  FILTER(
    {
      TEXT('배부로그'!B2:B1000,""yyyy-mm-dd""),
      '배부로그'!C2:C1000,
      '배부로그'!D2:D1000,
      '배부로그'!F2:F1000,
      '배부로그'!G2:G1000,
      '배부로그'!I2:I1000,
      '배부로그'!J2:J1000,
      '배부로그'!K2:K1000
    },
    (
      ('배부로그'"&amp;"!H2:H1000=""Y"")+
      ('배부로그'!H2:H1000=TRUE)+
      ('배부로그'!I2:I1000&lt;&gt;"""")+
      ('배부로그'!J2:J1000&lt;&gt;"""")
    )&gt;0,
    '배부로그'!L2:L1000=""배부""
  ),
  ""해당 내역 없음""
)"),"2026-04-03")</f>
        <v>2026-04-03</v>
      </c>
      <c r="B4" s="4" t="str">
        <f>IFERROR(__xludf.DUMMYFUNCTION("""COMPUTED_VALUE"""),"황수현6530")</f>
        <v>황수현6530</v>
      </c>
      <c r="C4" s="4" t="str">
        <f>IFERROR(__xludf.DUMMYFUNCTION("""COMPUTED_VALUE"""),"301 전종현 수2")</f>
        <v>301 전종현 수2</v>
      </c>
      <c r="D4" s="4" t="str">
        <f>IFERROR(__xludf.DUMMYFUNCTION("""COMPUTED_VALUE"""),"창고")</f>
        <v>창고</v>
      </c>
      <c r="E4" s="4">
        <f>IFERROR(__xludf.DUMMYFUNCTION("""COMPUTED_VALUE"""),1.0)</f>
        <v>1</v>
      </c>
      <c r="F4" s="4" t="str">
        <f>IFERROR(__xludf.DUMMYFUNCTION("""COMPUTED_VALUE"""),"기타")</f>
        <v>기타</v>
      </c>
      <c r="G4" s="4" t="str">
        <f>IFERROR(__xludf.DUMMYFUNCTION("""COMPUTED_VALUE"""),"신규")</f>
        <v>신규</v>
      </c>
      <c r="H4" s="4"/>
    </row>
    <row r="5">
      <c r="A5" s="4" t="str">
        <f>IFERROR(__xludf.DUMMYFUNCTION("""COMPUTED_VALUE"""),"2026-04-03")</f>
        <v>2026-04-03</v>
      </c>
      <c r="B5" s="4" t="str">
        <f>IFERROR(__xludf.DUMMYFUNCTION("""COMPUTED_VALUE"""),"황수현6530")</f>
        <v>황수현6530</v>
      </c>
      <c r="C5" s="4" t="str">
        <f>IFERROR(__xludf.DUMMYFUNCTION("""COMPUTED_VALUE"""),"세타 수2")</f>
        <v>세타 수2</v>
      </c>
      <c r="D5" s="4" t="str">
        <f>IFERROR(__xludf.DUMMYFUNCTION("""COMPUTED_VALUE"""),"창고")</f>
        <v>창고</v>
      </c>
      <c r="E5" s="4">
        <f>IFERROR(__xludf.DUMMYFUNCTION("""COMPUTED_VALUE"""),1.0)</f>
        <v>1</v>
      </c>
      <c r="F5" s="4" t="str">
        <f>IFERROR(__xludf.DUMMYFUNCTION("""COMPUTED_VALUE"""),"기타")</f>
        <v>기타</v>
      </c>
      <c r="G5" s="4" t="str">
        <f>IFERROR(__xludf.DUMMYFUNCTION("""COMPUTED_VALUE"""),"신규")</f>
        <v>신규</v>
      </c>
      <c r="H5" s="4"/>
    </row>
    <row r="6">
      <c r="A6" s="4" t="str">
        <f>IFERROR(__xludf.DUMMYFUNCTION("""COMPUTED_VALUE"""),"2026-04-03")</f>
        <v>2026-04-03</v>
      </c>
      <c r="B6" s="4" t="str">
        <f>IFERROR(__xludf.DUMMYFUNCTION("""COMPUTED_VALUE"""),"김지유")</f>
        <v>김지유</v>
      </c>
      <c r="C6" s="4" t="str">
        <f>IFERROR(__xludf.DUMMYFUNCTION("""COMPUTED_VALUE"""),"수매깨 김지유 테스트")</f>
        <v>수매깨 김지유 테스트</v>
      </c>
      <c r="D6" s="4"/>
      <c r="E6" s="4">
        <f>IFERROR(__xludf.DUMMYFUNCTION("""COMPUTED_VALUE"""),1.0)</f>
        <v>1</v>
      </c>
      <c r="F6" s="4" t="str">
        <f>IFERROR(__xludf.DUMMYFUNCTION("""COMPUTED_VALUE"""),"기타")</f>
        <v>기타</v>
      </c>
      <c r="G6" s="4" t="str">
        <f>IFERROR(__xludf.DUMMYFUNCTION("""COMPUTED_VALUE"""),"테스트")</f>
        <v>테스트</v>
      </c>
      <c r="H6" s="4"/>
    </row>
    <row r="7">
      <c r="A7" s="4" t="str">
        <f>IFERROR(__xludf.DUMMYFUNCTION("""COMPUTED_VALUE"""),"2026-04-03")</f>
        <v>2026-04-03</v>
      </c>
      <c r="B7" s="4" t="str">
        <f>IFERROR(__xludf.DUMMYFUNCTION("""COMPUTED_VALUE"""),"김지유")</f>
        <v>김지유</v>
      </c>
      <c r="C7" s="4" t="str">
        <f>IFERROR(__xludf.DUMMYFUNCTION("""COMPUTED_VALUE"""),"국매깨 김지유 테스트")</f>
        <v>국매깨 김지유 테스트</v>
      </c>
      <c r="D7" s="4" t="str">
        <f>IFERROR(__xludf.DUMMYFUNCTION("""COMPUTED_VALUE"""),"창고")</f>
        <v>창고</v>
      </c>
      <c r="E7" s="4">
        <f>IFERROR(__xludf.DUMMYFUNCTION("""COMPUTED_VALUE"""),1.0)</f>
        <v>1</v>
      </c>
      <c r="F7" s="4" t="str">
        <f>IFERROR(__xludf.DUMMYFUNCTION("""COMPUTED_VALUE"""),"기타")</f>
        <v>기타</v>
      </c>
      <c r="G7" s="4" t="str">
        <f>IFERROR(__xludf.DUMMYFUNCTION("""COMPUTED_VALUE"""),"테스트")</f>
        <v>테스트</v>
      </c>
      <c r="H7" s="4"/>
    </row>
    <row r="8">
      <c r="A8" s="4" t="str">
        <f>IFERROR(__xludf.DUMMYFUNCTION("""COMPUTED_VALUE"""),"2026-04-03")</f>
        <v>2026-04-03</v>
      </c>
      <c r="B8" s="4" t="str">
        <f>IFERROR(__xludf.DUMMYFUNCTION("""COMPUTED_VALUE"""),"박상언")</f>
        <v>박상언</v>
      </c>
      <c r="C8" s="4" t="str">
        <f>IFERROR(__xludf.DUMMYFUNCTION("""COMPUTED_VALUE"""),"국매깨2-4 박상언 테스트")</f>
        <v>국매깨2-4 박상언 테스트</v>
      </c>
      <c r="D8" s="4" t="str">
        <f>IFERROR(__xludf.DUMMYFUNCTION("""COMPUTED_VALUE"""),"8층지원실")</f>
        <v>8층지원실</v>
      </c>
      <c r="E8" s="4">
        <f>IFERROR(__xludf.DUMMYFUNCTION("""COMPUTED_VALUE"""),1.0)</f>
        <v>1</v>
      </c>
      <c r="F8" s="4" t="str">
        <f>IFERROR(__xludf.DUMMYFUNCTION("""COMPUTED_VALUE"""),"기타")</f>
        <v>기타</v>
      </c>
      <c r="G8" s="4" t="str">
        <f>IFERROR(__xludf.DUMMYFUNCTION("""COMPUTED_VALUE"""),"입학")</f>
        <v>입학</v>
      </c>
      <c r="H8" s="4"/>
    </row>
    <row r="9">
      <c r="A9" s="4" t="str">
        <f>IFERROR(__xludf.DUMMYFUNCTION("""COMPUTED_VALUE"""),"2026-04-03")</f>
        <v>2026-04-03</v>
      </c>
      <c r="B9" s="4" t="str">
        <f>IFERROR(__xludf.DUMMYFUNCTION("""COMPUTED_VALUE"""),"박상언")</f>
        <v>박상언</v>
      </c>
      <c r="C9" s="4" t="str">
        <f>IFERROR(__xludf.DUMMYFUNCTION("""COMPUTED_VALUE"""),"국어1 박상언 테스트")</f>
        <v>국어1 박상언 테스트</v>
      </c>
      <c r="D9" s="4" t="str">
        <f>IFERROR(__xludf.DUMMYFUNCTION("""COMPUTED_VALUE"""),"창고")</f>
        <v>창고</v>
      </c>
      <c r="E9" s="4">
        <f>IFERROR(__xludf.DUMMYFUNCTION("""COMPUTED_VALUE"""),2.0)</f>
        <v>2</v>
      </c>
      <c r="F9" s="4" t="str">
        <f>IFERROR(__xludf.DUMMYFUNCTION("""COMPUTED_VALUE"""),"기타")</f>
        <v>기타</v>
      </c>
      <c r="G9" s="4" t="str">
        <f>IFERROR(__xludf.DUMMYFUNCTION("""COMPUTED_VALUE"""),"테스트")</f>
        <v>테스트</v>
      </c>
      <c r="H9" s="4"/>
    </row>
    <row r="10">
      <c r="A10" s="4" t="str">
        <f>IFERROR(__xludf.DUMMYFUNCTION("""COMPUTED_VALUE"""),"2026-04-03")</f>
        <v>2026-04-03</v>
      </c>
      <c r="B10" s="4" t="str">
        <f>IFERROR(__xludf.DUMMYFUNCTION("""COMPUTED_VALUE"""),"박상언")</f>
        <v>박상언</v>
      </c>
      <c r="C10" s="4" t="str">
        <f>IFERROR(__xludf.DUMMYFUNCTION("""COMPUTED_VALUE"""),"사회문화1 박상언 테스트")</f>
        <v>사회문화1 박상언 테스트</v>
      </c>
      <c r="D10" s="4" t="str">
        <f>IFERROR(__xludf.DUMMYFUNCTION("""COMPUTED_VALUE"""),"창고")</f>
        <v>창고</v>
      </c>
      <c r="E10" s="4">
        <f>IFERROR(__xludf.DUMMYFUNCTION("""COMPUTED_VALUE"""),1.0)</f>
        <v>1</v>
      </c>
      <c r="F10" s="4" t="str">
        <f>IFERROR(__xludf.DUMMYFUNCTION("""COMPUTED_VALUE"""),"기타")</f>
        <v>기타</v>
      </c>
      <c r="G10" s="4" t="str">
        <f>IFERROR(__xludf.DUMMYFUNCTION("""COMPUTED_VALUE"""),"테스트")</f>
        <v>테스트</v>
      </c>
      <c r="H10" s="4"/>
    </row>
    <row r="11">
      <c r="A11" s="4" t="str">
        <f>IFERROR(__xludf.DUMMYFUNCTION("""COMPUTED_VALUE"""),"2026-04-03")</f>
        <v>2026-04-03</v>
      </c>
      <c r="B11" s="4" t="str">
        <f>IFERROR(__xludf.DUMMYFUNCTION("""COMPUTED_VALUE"""),"박상언")</f>
        <v>박상언</v>
      </c>
      <c r="C11" s="4" t="str">
        <f>IFERROR(__xludf.DUMMYFUNCTION("""COMPUTED_VALUE"""),"수학1 박상언 테스트")</f>
        <v>수학1 박상언 테스트</v>
      </c>
      <c r="D11" s="4" t="str">
        <f>IFERROR(__xludf.DUMMYFUNCTION("""COMPUTED_VALUE"""),"창고")</f>
        <v>창고</v>
      </c>
      <c r="E11" s="4">
        <f>IFERROR(__xludf.DUMMYFUNCTION("""COMPUTED_VALUE"""),1.0)</f>
        <v>1</v>
      </c>
      <c r="F11" s="4" t="str">
        <f>IFERROR(__xludf.DUMMYFUNCTION("""COMPUTED_VALUE"""),"기타")</f>
        <v>기타</v>
      </c>
      <c r="G11" s="4" t="str">
        <f>IFERROR(__xludf.DUMMYFUNCTION("""COMPUTED_VALUE"""),"테스트")</f>
        <v>테스트</v>
      </c>
      <c r="H11" s="4"/>
    </row>
    <row r="12">
      <c r="A12" s="4" t="str">
        <f>IFERROR(__xludf.DUMMYFUNCTION("""COMPUTED_VALUE"""),"2026-04-03")</f>
        <v>2026-04-03</v>
      </c>
      <c r="B12" s="4" t="str">
        <f>IFERROR(__xludf.DUMMYFUNCTION("""COMPUTED_VALUE"""),"(5)강유찬8685")</f>
        <v>(5)강유찬8685</v>
      </c>
      <c r="C12" s="4" t="str">
        <f>IFERROR(__xludf.DUMMYFUNCTION("""COMPUTED_VALUE"""),"정규(수)701A 영어 김희준")</f>
        <v>정규(수)701A 영어 김희준</v>
      </c>
      <c r="D12" s="4" t="str">
        <f>IFERROR(__xludf.DUMMYFUNCTION("""COMPUTED_VALUE"""),"창고")</f>
        <v>창고</v>
      </c>
      <c r="E12" s="4">
        <f>IFERROR(__xludf.DUMMYFUNCTION("""COMPUTED_VALUE"""),1.0)</f>
        <v>1</v>
      </c>
      <c r="F12" s="4" t="str">
        <f>IFERROR(__xludf.DUMMYFUNCTION("""COMPUTED_VALUE"""),"기타")</f>
        <v>기타</v>
      </c>
      <c r="G12" s="4" t="str">
        <f>IFERROR(__xludf.DUMMYFUNCTION("""COMPUTED_VALUE"""),"신규")</f>
        <v>신규</v>
      </c>
      <c r="H12" s="4"/>
    </row>
    <row r="13">
      <c r="A13" s="4" t="str">
        <f>IFERROR(__xludf.DUMMYFUNCTION("""COMPUTED_VALUE"""),"2026-04-04")</f>
        <v>2026-04-04</v>
      </c>
      <c r="B13" s="4" t="str">
        <f>IFERROR(__xludf.DUMMYFUNCTION("""COMPUTED_VALUE"""),"조상혁0315")</f>
        <v>조상혁0315</v>
      </c>
      <c r="C13" s="4" t="str">
        <f>IFERROR(__xludf.DUMMYFUNCTION("""COMPUTED_VALUE"""),"(국어선택) 화법과작문")</f>
        <v>(국어선택) 화법과작문</v>
      </c>
      <c r="D13" s="4" t="str">
        <f>IFERROR(__xludf.DUMMYFUNCTION("""COMPUTED_VALUE"""),"창고")</f>
        <v>창고</v>
      </c>
      <c r="E13" s="4">
        <f>IFERROR(__xludf.DUMMYFUNCTION("""COMPUTED_VALUE"""),1.0)</f>
        <v>1</v>
      </c>
      <c r="F13" s="4" t="str">
        <f>IFERROR(__xludf.DUMMYFUNCTION("""COMPUTED_VALUE"""),"기타")</f>
        <v>기타</v>
      </c>
      <c r="G13" s="4" t="str">
        <f>IFERROR(__xludf.DUMMYFUNCTION("""COMPUTED_VALUE"""),"신규")</f>
        <v>신규</v>
      </c>
      <c r="H13" s="4"/>
    </row>
    <row r="14">
      <c r="A14" s="4" t="str">
        <f>IFERROR(__xludf.DUMMYFUNCTION("""COMPUTED_VALUE"""),"2026-04-04")</f>
        <v>2026-04-04</v>
      </c>
      <c r="B14" s="4" t="str">
        <f>IFERROR(__xludf.DUMMYFUNCTION("""COMPUTED_VALUE"""),"조상혁0315")</f>
        <v>조상혁0315</v>
      </c>
      <c r="C14" s="4" t="str">
        <f>IFERROR(__xludf.DUMMYFUNCTION("""COMPUTED_VALUE"""),"(김학림전종현) 쎄타_미적E수업")</f>
        <v>(김학림전종현) 쎄타_미적E수업</v>
      </c>
      <c r="D14" s="4" t="str">
        <f>IFERROR(__xludf.DUMMYFUNCTION("""COMPUTED_VALUE"""),"창고")</f>
        <v>창고</v>
      </c>
      <c r="E14" s="4">
        <f>IFERROR(__xludf.DUMMYFUNCTION("""COMPUTED_VALUE"""),1.0)</f>
        <v>1</v>
      </c>
      <c r="F14" s="4" t="str">
        <f>IFERROR(__xludf.DUMMYFUNCTION("""COMPUTED_VALUE"""),"기타")</f>
        <v>기타</v>
      </c>
      <c r="G14" s="4" t="str">
        <f>IFERROR(__xludf.DUMMYFUNCTION("""COMPUTED_VALUE"""),"신규")</f>
        <v>신규</v>
      </c>
      <c r="H14" s="4"/>
    </row>
    <row r="15">
      <c r="A15" s="4" t="str">
        <f>IFERROR(__xludf.DUMMYFUNCTION("""COMPUTED_VALUE"""),"2026-04-04")</f>
        <v>2026-04-04</v>
      </c>
      <c r="B15" s="4" t="str">
        <f>IFERROR(__xludf.DUMMYFUNCTION("""COMPUTED_VALUE"""),"조상혁0315")</f>
        <v>조상혁0315</v>
      </c>
      <c r="C15" s="4" t="str">
        <f>IFERROR(__xludf.DUMMYFUNCTION("""COMPUTED_VALUE"""),"(국어선택) 화법과작문")</f>
        <v>(국어선택) 화법과작문</v>
      </c>
      <c r="D15" s="4" t="str">
        <f>IFERROR(__xludf.DUMMYFUNCTION("""COMPUTED_VALUE"""),"창고")</f>
        <v>창고</v>
      </c>
      <c r="E15" s="4">
        <f>IFERROR(__xludf.DUMMYFUNCTION("""COMPUTED_VALUE"""),1.0)</f>
        <v>1</v>
      </c>
      <c r="F15" s="4" t="str">
        <f>IFERROR(__xludf.DUMMYFUNCTION("""COMPUTED_VALUE"""),"기타")</f>
        <v>기타</v>
      </c>
      <c r="G15" s="4" t="str">
        <f>IFERROR(__xludf.DUMMYFUNCTION("""COMPUTED_VALUE"""),"신규")</f>
        <v>신규</v>
      </c>
      <c r="H15" s="4"/>
    </row>
    <row r="16">
      <c r="A16" s="4" t="str">
        <f>IFERROR(__xludf.DUMMYFUNCTION("""COMPUTED_VALUE"""),"2026-04-04")</f>
        <v>2026-04-04</v>
      </c>
      <c r="B16" s="4" t="str">
        <f>IFERROR(__xludf.DUMMYFUNCTION("""COMPUTED_VALUE"""),"조상혁0315")</f>
        <v>조상혁0315</v>
      </c>
      <c r="C16" s="4" t="str">
        <f>IFERROR(__xludf.DUMMYFUNCTION("""COMPUTED_VALUE"""),"(김학림전종현) 쎄타_미적E수업")</f>
        <v>(김학림전종현) 쎄타_미적E수업</v>
      </c>
      <c r="D16" s="4" t="str">
        <f>IFERROR(__xludf.DUMMYFUNCTION("""COMPUTED_VALUE"""),"창고")</f>
        <v>창고</v>
      </c>
      <c r="E16" s="4">
        <f>IFERROR(__xludf.DUMMYFUNCTION("""COMPUTED_VALUE"""),1.0)</f>
        <v>1</v>
      </c>
      <c r="F16" s="4" t="str">
        <f>IFERROR(__xludf.DUMMYFUNCTION("""COMPUTED_VALUE"""),"기타")</f>
        <v>기타</v>
      </c>
      <c r="G16" s="4" t="str">
        <f>IFERROR(__xludf.DUMMYFUNCTION("""COMPUTED_VALUE"""),"신규")</f>
        <v>신규</v>
      </c>
      <c r="H16" s="4"/>
    </row>
    <row r="17">
      <c r="A17" s="4" t="str">
        <f>IFERROR(__xludf.DUMMYFUNCTION("""COMPUTED_VALUE"""),"2026-04-04")</f>
        <v>2026-04-04</v>
      </c>
      <c r="B17" s="4" t="str">
        <f>IFERROR(__xludf.DUMMYFUNCTION("""COMPUTED_VALUE"""),"조상혁0315")</f>
        <v>조상혁0315</v>
      </c>
      <c r="C17" s="4" t="str">
        <f>IFERROR(__xludf.DUMMYFUNCTION("""COMPUTED_VALUE"""),"(김학림전종현) 쎄타_미적E피드백")</f>
        <v>(김학림전종현) 쎄타_미적E피드백</v>
      </c>
      <c r="D17" s="4" t="str">
        <f>IFERROR(__xludf.DUMMYFUNCTION("""COMPUTED_VALUE"""),"창고")</f>
        <v>창고</v>
      </c>
      <c r="E17" s="4">
        <f>IFERROR(__xludf.DUMMYFUNCTION("""COMPUTED_VALUE"""),1.0)</f>
        <v>1</v>
      </c>
      <c r="F17" s="4" t="str">
        <f>IFERROR(__xludf.DUMMYFUNCTION("""COMPUTED_VALUE"""),"기타")</f>
        <v>기타</v>
      </c>
      <c r="G17" s="4" t="str">
        <f>IFERROR(__xludf.DUMMYFUNCTION("""COMPUTED_VALUE"""),"신규")</f>
        <v>신규</v>
      </c>
      <c r="H17" s="4"/>
    </row>
    <row r="18">
      <c r="A18" s="4" t="str">
        <f>IFERROR(__xludf.DUMMYFUNCTION("""COMPUTED_VALUE"""),"2026-04-04")</f>
        <v>2026-04-04</v>
      </c>
      <c r="B18" s="4" t="str">
        <f>IFERROR(__xludf.DUMMYFUNCTION("""COMPUTED_VALUE"""),"조상혁0315")</f>
        <v>조상혁0315</v>
      </c>
      <c r="C18" s="4" t="str">
        <f>IFERROR(__xludf.DUMMYFUNCTION("""COMPUTED_VALUE"""),"(김학림전종현) 쎄타_수2E수업")</f>
        <v>(김학림전종현) 쎄타_수2E수업</v>
      </c>
      <c r="D18" s="4" t="str">
        <f>IFERROR(__xludf.DUMMYFUNCTION("""COMPUTED_VALUE"""),"창고")</f>
        <v>창고</v>
      </c>
      <c r="E18" s="4">
        <f>IFERROR(__xludf.DUMMYFUNCTION("""COMPUTED_VALUE"""),1.0)</f>
        <v>1</v>
      </c>
      <c r="F18" s="4" t="str">
        <f>IFERROR(__xludf.DUMMYFUNCTION("""COMPUTED_VALUE"""),"기타")</f>
        <v>기타</v>
      </c>
      <c r="G18" s="4" t="str">
        <f>IFERROR(__xludf.DUMMYFUNCTION("""COMPUTED_VALUE"""),"신규")</f>
        <v>신규</v>
      </c>
      <c r="H18" s="4"/>
    </row>
    <row r="19">
      <c r="A19" s="4" t="str">
        <f>IFERROR(__xludf.DUMMYFUNCTION("""COMPUTED_VALUE"""),"2026-04-04")</f>
        <v>2026-04-04</v>
      </c>
      <c r="B19" s="4" t="str">
        <f>IFERROR(__xludf.DUMMYFUNCTION("""COMPUTED_VALUE"""),"조상혁0315")</f>
        <v>조상혁0315</v>
      </c>
      <c r="C19" s="4" t="str">
        <f>IFERROR(__xludf.DUMMYFUNCTION("""COMPUTED_VALUE"""),"(김학림전종현) 쎄타_수2E피드백")</f>
        <v>(김학림전종현) 쎄타_수2E피드백</v>
      </c>
      <c r="D19" s="4" t="str">
        <f>IFERROR(__xludf.DUMMYFUNCTION("""COMPUTED_VALUE"""),"창고")</f>
        <v>창고</v>
      </c>
      <c r="E19" s="4">
        <f>IFERROR(__xludf.DUMMYFUNCTION("""COMPUTED_VALUE"""),1.0)</f>
        <v>1</v>
      </c>
      <c r="F19" s="4" t="str">
        <f>IFERROR(__xludf.DUMMYFUNCTION("""COMPUTED_VALUE"""),"기타")</f>
        <v>기타</v>
      </c>
      <c r="G19" s="4" t="str">
        <f>IFERROR(__xludf.DUMMYFUNCTION("""COMPUTED_VALUE"""),"신규")</f>
        <v>신규</v>
      </c>
      <c r="H19" s="4"/>
    </row>
    <row r="20">
      <c r="A20" s="4" t="str">
        <f>IFERROR(__xludf.DUMMYFUNCTION("""COMPUTED_VALUE"""),"2026-04-04")</f>
        <v>2026-04-04</v>
      </c>
      <c r="B20" s="4" t="str">
        <f>IFERROR(__xludf.DUMMYFUNCTION("""COMPUTED_VALUE"""),"조상혁0315")</f>
        <v>조상혁0315</v>
      </c>
      <c r="C20" s="4" t="str">
        <f>IFERROR(__xludf.DUMMYFUNCTION("""COMPUTED_VALUE"""),"(장진민) 생활과 윤리")</f>
        <v>(장진민) 생활과 윤리</v>
      </c>
      <c r="D20" s="4" t="str">
        <f>IFERROR(__xludf.DUMMYFUNCTION("""COMPUTED_VALUE"""),"창고")</f>
        <v>창고</v>
      </c>
      <c r="E20" s="4">
        <f>IFERROR(__xludf.DUMMYFUNCTION("""COMPUTED_VALUE"""),1.0)</f>
        <v>1</v>
      </c>
      <c r="F20" s="4" t="str">
        <f>IFERROR(__xludf.DUMMYFUNCTION("""COMPUTED_VALUE"""),"기타")</f>
        <v>기타</v>
      </c>
      <c r="G20" s="4" t="str">
        <f>IFERROR(__xludf.DUMMYFUNCTION("""COMPUTED_VALUE"""),"신규")</f>
        <v>신규</v>
      </c>
      <c r="H20" s="4"/>
    </row>
    <row r="21" ht="15.75" customHeight="1">
      <c r="A21" s="4" t="str">
        <f>IFERROR(__xludf.DUMMYFUNCTION("""COMPUTED_VALUE"""),"2026-04-04")</f>
        <v>2026-04-04</v>
      </c>
      <c r="B21" s="4" t="str">
        <f>IFERROR(__xludf.DUMMYFUNCTION("""COMPUTED_VALUE"""),"김진영2280")</f>
        <v>김진영2280</v>
      </c>
      <c r="C21" s="4" t="str">
        <f>IFERROR(__xludf.DUMMYFUNCTION("""COMPUTED_VALUE"""),"(강성욱) 사회문화")</f>
        <v>(강성욱) 사회문화</v>
      </c>
      <c r="D21" s="4" t="str">
        <f>IFERROR(__xludf.DUMMYFUNCTION("""COMPUTED_VALUE"""),"창고")</f>
        <v>창고</v>
      </c>
      <c r="E21" s="4">
        <f>IFERROR(__xludf.DUMMYFUNCTION("""COMPUTED_VALUE"""),1.0)</f>
        <v>1</v>
      </c>
      <c r="F21" s="4" t="str">
        <f>IFERROR(__xludf.DUMMYFUNCTION("""COMPUTED_VALUE"""),"기타")</f>
        <v>기타</v>
      </c>
      <c r="G21" s="4" t="str">
        <f>IFERROR(__xludf.DUMMYFUNCTION("""COMPUTED_VALUE"""),"신규")</f>
        <v>신규</v>
      </c>
      <c r="H21" s="4"/>
    </row>
    <row r="22" ht="15.75" customHeight="1">
      <c r="A22" s="4" t="str">
        <f>IFERROR(__xludf.DUMMYFUNCTION("""COMPUTED_VALUE"""),"2026-04-04")</f>
        <v>2026-04-04</v>
      </c>
      <c r="B22" s="4" t="str">
        <f>IFERROR(__xludf.DUMMYFUNCTION("""COMPUTED_VALUE"""),"김진영2280")</f>
        <v>김진영2280</v>
      </c>
      <c r="C22" s="4" t="str">
        <f>IFERROR(__xludf.DUMMYFUNCTION("""COMPUTED_VALUE"""),"(국어선택) 언어와매체")</f>
        <v>(국어선택) 언어와매체</v>
      </c>
      <c r="D22" s="4" t="str">
        <f>IFERROR(__xludf.DUMMYFUNCTION("""COMPUTED_VALUE"""),"창고")</f>
        <v>창고</v>
      </c>
      <c r="E22" s="4">
        <f>IFERROR(__xludf.DUMMYFUNCTION("""COMPUTED_VALUE"""),1.0)</f>
        <v>1</v>
      </c>
      <c r="F22" s="4" t="str">
        <f>IFERROR(__xludf.DUMMYFUNCTION("""COMPUTED_VALUE"""),"기타")</f>
        <v>기타</v>
      </c>
      <c r="G22" s="4" t="str">
        <f>IFERROR(__xludf.DUMMYFUNCTION("""COMPUTED_VALUE"""),"신규")</f>
        <v>신규</v>
      </c>
      <c r="H22" s="4"/>
    </row>
    <row r="23" ht="15.75" customHeight="1">
      <c r="A23" s="4" t="str">
        <f>IFERROR(__xludf.DUMMYFUNCTION("""COMPUTED_VALUE"""),"2026-04-04")</f>
        <v>2026-04-04</v>
      </c>
      <c r="B23" s="4" t="str">
        <f>IFERROR(__xludf.DUMMYFUNCTION("""COMPUTED_VALUE"""),"김진영2280")</f>
        <v>김진영2280</v>
      </c>
      <c r="C23" s="4" t="str">
        <f>IFERROR(__xludf.DUMMYFUNCTION("""COMPUTED_VALUE"""),"(신현철) 메멘토_미적(수업)")</f>
        <v>(신현철) 메멘토_미적(수업)</v>
      </c>
      <c r="D23" s="4" t="str">
        <f>IFERROR(__xludf.DUMMYFUNCTION("""COMPUTED_VALUE"""),"창고")</f>
        <v>창고</v>
      </c>
      <c r="E23" s="4">
        <f>IFERROR(__xludf.DUMMYFUNCTION("""COMPUTED_VALUE"""),1.0)</f>
        <v>1</v>
      </c>
      <c r="F23" s="4" t="str">
        <f>IFERROR(__xludf.DUMMYFUNCTION("""COMPUTED_VALUE"""),"기타")</f>
        <v>기타</v>
      </c>
      <c r="G23" s="4" t="str">
        <f>IFERROR(__xludf.DUMMYFUNCTION("""COMPUTED_VALUE"""),"신규")</f>
        <v>신규</v>
      </c>
      <c r="H23" s="4"/>
    </row>
    <row r="24" ht="15.75" customHeight="1">
      <c r="A24" s="4" t="str">
        <f>IFERROR(__xludf.DUMMYFUNCTION("""COMPUTED_VALUE"""),"2026-04-04")</f>
        <v>2026-04-04</v>
      </c>
      <c r="B24" s="4" t="str">
        <f>IFERROR(__xludf.DUMMYFUNCTION("""COMPUTED_VALUE"""),"김진영2280")</f>
        <v>김진영2280</v>
      </c>
      <c r="C24" s="4" t="str">
        <f>IFERROR(__xludf.DUMMYFUNCTION("""COMPUTED_VALUE"""),"(신현철) 메멘토_미적(피드백)")</f>
        <v>(신현철) 메멘토_미적(피드백)</v>
      </c>
      <c r="D24" s="4" t="str">
        <f>IFERROR(__xludf.DUMMYFUNCTION("""COMPUTED_VALUE"""),"창고")</f>
        <v>창고</v>
      </c>
      <c r="E24" s="4">
        <f>IFERROR(__xludf.DUMMYFUNCTION("""COMPUTED_VALUE"""),1.0)</f>
        <v>1</v>
      </c>
      <c r="F24" s="4" t="str">
        <f>IFERROR(__xludf.DUMMYFUNCTION("""COMPUTED_VALUE"""),"기타")</f>
        <v>기타</v>
      </c>
      <c r="G24" s="4" t="str">
        <f>IFERROR(__xludf.DUMMYFUNCTION("""COMPUTED_VALUE"""),"신규")</f>
        <v>신규</v>
      </c>
      <c r="H24" s="4"/>
    </row>
    <row r="25" ht="15.75" customHeight="1">
      <c r="A25" s="4" t="str">
        <f>IFERROR(__xludf.DUMMYFUNCTION("""COMPUTED_VALUE"""),"2026-04-04")</f>
        <v>2026-04-04</v>
      </c>
      <c r="B25" s="4" t="str">
        <f>IFERROR(__xludf.DUMMYFUNCTION("""COMPUTED_VALUE"""),"김진영2280")</f>
        <v>김진영2280</v>
      </c>
      <c r="C25" s="4" t="str">
        <f>IFERROR(__xludf.DUMMYFUNCTION("""COMPUTED_VALUE"""),"(신현철) 메멘토_수2(수업)")</f>
        <v>(신현철) 메멘토_수2(수업)</v>
      </c>
      <c r="D25" s="4" t="str">
        <f>IFERROR(__xludf.DUMMYFUNCTION("""COMPUTED_VALUE"""),"창고")</f>
        <v>창고</v>
      </c>
      <c r="E25" s="4">
        <f>IFERROR(__xludf.DUMMYFUNCTION("""COMPUTED_VALUE"""),1.0)</f>
        <v>1</v>
      </c>
      <c r="F25" s="4" t="str">
        <f>IFERROR(__xludf.DUMMYFUNCTION("""COMPUTED_VALUE"""),"기타")</f>
        <v>기타</v>
      </c>
      <c r="G25" s="4" t="str">
        <f>IFERROR(__xludf.DUMMYFUNCTION("""COMPUTED_VALUE"""),"신규")</f>
        <v>신규</v>
      </c>
      <c r="H25" s="4"/>
    </row>
    <row r="26" ht="15.75" customHeight="1">
      <c r="A26" s="4" t="str">
        <f>IFERROR(__xludf.DUMMYFUNCTION("""COMPUTED_VALUE"""),"2026-04-04")</f>
        <v>2026-04-04</v>
      </c>
      <c r="B26" s="4" t="str">
        <f>IFERROR(__xludf.DUMMYFUNCTION("""COMPUTED_VALUE"""),"김진영2280")</f>
        <v>김진영2280</v>
      </c>
      <c r="C26" s="4" t="str">
        <f>IFERROR(__xludf.DUMMYFUNCTION("""COMPUTED_VALUE"""),"(신현철) 메멘토_수2(피드백)")</f>
        <v>(신현철) 메멘토_수2(피드백)</v>
      </c>
      <c r="D26" s="4" t="str">
        <f>IFERROR(__xludf.DUMMYFUNCTION("""COMPUTED_VALUE"""),"창고")</f>
        <v>창고</v>
      </c>
      <c r="E26" s="4">
        <f>IFERROR(__xludf.DUMMYFUNCTION("""COMPUTED_VALUE"""),1.0)</f>
        <v>1</v>
      </c>
      <c r="F26" s="4" t="str">
        <f>IFERROR(__xludf.DUMMYFUNCTION("""COMPUTED_VALUE"""),"기타")</f>
        <v>기타</v>
      </c>
      <c r="G26" s="4" t="str">
        <f>IFERROR(__xludf.DUMMYFUNCTION("""COMPUTED_VALUE"""),"신규")</f>
        <v>신규</v>
      </c>
      <c r="H26" s="4"/>
    </row>
    <row r="27" ht="15.75" customHeight="1">
      <c r="A27" s="4" t="str">
        <f>IFERROR(__xludf.DUMMYFUNCTION("""COMPUTED_VALUE"""),"2026-04-04")</f>
        <v>2026-04-04</v>
      </c>
      <c r="B27" s="4" t="str">
        <f>IFERROR(__xludf.DUMMYFUNCTION("""COMPUTED_VALUE"""),"김진영2280")</f>
        <v>김진영2280</v>
      </c>
      <c r="C27" s="4" t="str">
        <f>IFERROR(__xludf.DUMMYFUNCTION("""COMPUTED_VALUE"""),"(이승국) 세계지리")</f>
        <v>(이승국) 세계지리</v>
      </c>
      <c r="D27" s="4" t="str">
        <f>IFERROR(__xludf.DUMMYFUNCTION("""COMPUTED_VALUE"""),"창고")</f>
        <v>창고</v>
      </c>
      <c r="E27" s="4">
        <f>IFERROR(__xludf.DUMMYFUNCTION("""COMPUTED_VALUE"""),1.0)</f>
        <v>1</v>
      </c>
      <c r="F27" s="4" t="str">
        <f>IFERROR(__xludf.DUMMYFUNCTION("""COMPUTED_VALUE"""),"기타")</f>
        <v>기타</v>
      </c>
      <c r="G27" s="4" t="str">
        <f>IFERROR(__xludf.DUMMYFUNCTION("""COMPUTED_VALUE"""),"신규")</f>
        <v>신규</v>
      </c>
      <c r="H27" s="4"/>
    </row>
    <row r="28" ht="15.75" customHeight="1">
      <c r="A28" s="4" t="str">
        <f>IFERROR(__xludf.DUMMYFUNCTION("""COMPUTED_VALUE"""),"2026-04-04")</f>
        <v>2026-04-04</v>
      </c>
      <c r="B28" s="4" t="str">
        <f>IFERROR(__xludf.DUMMYFUNCTION("""COMPUTED_VALUE"""),"김서우9330")</f>
        <v>김서우9330</v>
      </c>
      <c r="C28" s="4" t="str">
        <f>IFERROR(__xludf.DUMMYFUNCTION("""COMPUTED_VALUE"""),"(강원휘) 생명과학")</f>
        <v>(강원휘) 생명과학</v>
      </c>
      <c r="D28" s="4" t="str">
        <f>IFERROR(__xludf.DUMMYFUNCTION("""COMPUTED_VALUE"""),"창고")</f>
        <v>창고</v>
      </c>
      <c r="E28" s="4">
        <f>IFERROR(__xludf.DUMMYFUNCTION("""COMPUTED_VALUE"""),1.0)</f>
        <v>1</v>
      </c>
      <c r="F28" s="4" t="str">
        <f>IFERROR(__xludf.DUMMYFUNCTION("""COMPUTED_VALUE"""),"기타")</f>
        <v>기타</v>
      </c>
      <c r="G28" s="4" t="str">
        <f>IFERROR(__xludf.DUMMYFUNCTION("""COMPUTED_VALUE"""),"신규")</f>
        <v>신규</v>
      </c>
      <c r="H28" s="4"/>
    </row>
    <row r="29" ht="15.75" customHeight="1">
      <c r="A29" s="4" t="str">
        <f>IFERROR(__xludf.DUMMYFUNCTION("""COMPUTED_VALUE"""),"2026-04-04")</f>
        <v>2026-04-04</v>
      </c>
      <c r="B29" s="4" t="str">
        <f>IFERROR(__xludf.DUMMYFUNCTION("""COMPUTED_VALUE"""),"김서우9330")</f>
        <v>김서우9330</v>
      </c>
      <c r="C29" s="4" t="str">
        <f>IFERROR(__xludf.DUMMYFUNCTION("""COMPUTED_VALUE"""),"(국어선택) 화법과작문")</f>
        <v>(국어선택) 화법과작문</v>
      </c>
      <c r="D29" s="4" t="str">
        <f>IFERROR(__xludf.DUMMYFUNCTION("""COMPUTED_VALUE"""),"창고")</f>
        <v>창고</v>
      </c>
      <c r="E29" s="4">
        <f>IFERROR(__xludf.DUMMYFUNCTION("""COMPUTED_VALUE"""),1.0)</f>
        <v>1</v>
      </c>
      <c r="F29" s="4" t="str">
        <f>IFERROR(__xludf.DUMMYFUNCTION("""COMPUTED_VALUE"""),"기타")</f>
        <v>기타</v>
      </c>
      <c r="G29" s="4" t="str">
        <f>IFERROR(__xludf.DUMMYFUNCTION("""COMPUTED_VALUE"""),"신규")</f>
        <v>신규</v>
      </c>
      <c r="H29" s="4"/>
    </row>
    <row r="30" ht="15.75" customHeight="1">
      <c r="A30" s="4" t="str">
        <f>IFERROR(__xludf.DUMMYFUNCTION("""COMPUTED_VALUE"""),"2026-04-04")</f>
        <v>2026-04-04</v>
      </c>
      <c r="B30" s="4" t="str">
        <f>IFERROR(__xludf.DUMMYFUNCTION("""COMPUTED_VALUE"""),"김서우9330")</f>
        <v>김서우9330</v>
      </c>
      <c r="C30" s="4" t="str">
        <f>IFERROR(__xludf.DUMMYFUNCTION("""COMPUTED_VALUE"""),"(신현철) 메멘토_미적(수업)")</f>
        <v>(신현철) 메멘토_미적(수업)</v>
      </c>
      <c r="D30" s="4" t="str">
        <f>IFERROR(__xludf.DUMMYFUNCTION("""COMPUTED_VALUE"""),"창고")</f>
        <v>창고</v>
      </c>
      <c r="E30" s="4">
        <f>IFERROR(__xludf.DUMMYFUNCTION("""COMPUTED_VALUE"""),1.0)</f>
        <v>1</v>
      </c>
      <c r="F30" s="4" t="str">
        <f>IFERROR(__xludf.DUMMYFUNCTION("""COMPUTED_VALUE"""),"기타")</f>
        <v>기타</v>
      </c>
      <c r="G30" s="4" t="str">
        <f>IFERROR(__xludf.DUMMYFUNCTION("""COMPUTED_VALUE"""),"신규")</f>
        <v>신규</v>
      </c>
      <c r="H30" s="4"/>
    </row>
    <row r="31" ht="15.75" customHeight="1">
      <c r="A31" s="4" t="str">
        <f>IFERROR(__xludf.DUMMYFUNCTION("""COMPUTED_VALUE"""),"2026-04-04")</f>
        <v>2026-04-04</v>
      </c>
      <c r="B31" s="4" t="str">
        <f>IFERROR(__xludf.DUMMYFUNCTION("""COMPUTED_VALUE"""),"김서우9330")</f>
        <v>김서우9330</v>
      </c>
      <c r="C31" s="4" t="str">
        <f>IFERROR(__xludf.DUMMYFUNCTION("""COMPUTED_VALUE"""),"(신현철) 메멘토_미적(피드백)")</f>
        <v>(신현철) 메멘토_미적(피드백)</v>
      </c>
      <c r="D31" s="4" t="str">
        <f>IFERROR(__xludf.DUMMYFUNCTION("""COMPUTED_VALUE"""),"창고")</f>
        <v>창고</v>
      </c>
      <c r="E31" s="4">
        <f>IFERROR(__xludf.DUMMYFUNCTION("""COMPUTED_VALUE"""),1.0)</f>
        <v>1</v>
      </c>
      <c r="F31" s="4" t="str">
        <f>IFERROR(__xludf.DUMMYFUNCTION("""COMPUTED_VALUE"""),"기타")</f>
        <v>기타</v>
      </c>
      <c r="G31" s="4" t="str">
        <f>IFERROR(__xludf.DUMMYFUNCTION("""COMPUTED_VALUE"""),"신규")</f>
        <v>신규</v>
      </c>
      <c r="H31" s="4"/>
    </row>
    <row r="32" ht="15.75" customHeight="1">
      <c r="A32" s="4" t="str">
        <f>IFERROR(__xludf.DUMMYFUNCTION("""COMPUTED_VALUE"""),"2026-04-04")</f>
        <v>2026-04-04</v>
      </c>
      <c r="B32" s="4" t="str">
        <f>IFERROR(__xludf.DUMMYFUNCTION("""COMPUTED_VALUE"""),"김서우9330")</f>
        <v>김서우9330</v>
      </c>
      <c r="C32" s="4" t="str">
        <f>IFERROR(__xludf.DUMMYFUNCTION("""COMPUTED_VALUE"""),"(신현철) 메멘토_수2(수업)")</f>
        <v>(신현철) 메멘토_수2(수업)</v>
      </c>
      <c r="D32" s="4" t="str">
        <f>IFERROR(__xludf.DUMMYFUNCTION("""COMPUTED_VALUE"""),"창고")</f>
        <v>창고</v>
      </c>
      <c r="E32" s="4">
        <f>IFERROR(__xludf.DUMMYFUNCTION("""COMPUTED_VALUE"""),1.0)</f>
        <v>1</v>
      </c>
      <c r="F32" s="4" t="str">
        <f>IFERROR(__xludf.DUMMYFUNCTION("""COMPUTED_VALUE"""),"기타")</f>
        <v>기타</v>
      </c>
      <c r="G32" s="4" t="str">
        <f>IFERROR(__xludf.DUMMYFUNCTION("""COMPUTED_VALUE"""),"신규")</f>
        <v>신규</v>
      </c>
      <c r="H32" s="4"/>
    </row>
    <row r="33" ht="15.75" customHeight="1">
      <c r="A33" s="4" t="str">
        <f>IFERROR(__xludf.DUMMYFUNCTION("""COMPUTED_VALUE"""),"2026-04-04")</f>
        <v>2026-04-04</v>
      </c>
      <c r="B33" s="4" t="str">
        <f>IFERROR(__xludf.DUMMYFUNCTION("""COMPUTED_VALUE"""),"김서우9330")</f>
        <v>김서우9330</v>
      </c>
      <c r="C33" s="4" t="str">
        <f>IFERROR(__xludf.DUMMYFUNCTION("""COMPUTED_VALUE"""),"(신현철) 메멘토_수2(피드백)")</f>
        <v>(신현철) 메멘토_수2(피드백)</v>
      </c>
      <c r="D33" s="4" t="str">
        <f>IFERROR(__xludf.DUMMYFUNCTION("""COMPUTED_VALUE"""),"창고")</f>
        <v>창고</v>
      </c>
      <c r="E33" s="4">
        <f>IFERROR(__xludf.DUMMYFUNCTION("""COMPUTED_VALUE"""),1.0)</f>
        <v>1</v>
      </c>
      <c r="F33" s="4" t="str">
        <f>IFERROR(__xludf.DUMMYFUNCTION("""COMPUTED_VALUE"""),"기타")</f>
        <v>기타</v>
      </c>
      <c r="G33" s="4" t="str">
        <f>IFERROR(__xludf.DUMMYFUNCTION("""COMPUTED_VALUE"""),"신규")</f>
        <v>신규</v>
      </c>
      <c r="H33" s="4"/>
    </row>
    <row r="34" ht="15.75" customHeight="1">
      <c r="A34" s="4" t="str">
        <f>IFERROR(__xludf.DUMMYFUNCTION("""COMPUTED_VALUE"""),"2026-04-04")</f>
        <v>2026-04-04</v>
      </c>
      <c r="B34" s="4" t="str">
        <f>IFERROR(__xludf.DUMMYFUNCTION("""COMPUTED_VALUE"""),"김서우9330")</f>
        <v>김서우9330</v>
      </c>
      <c r="C34" s="4" t="str">
        <f>IFERROR(__xludf.DUMMYFUNCTION("""COMPUTED_VALUE"""),"(장진민) 생활과 윤리")</f>
        <v>(장진민) 생활과 윤리</v>
      </c>
      <c r="D34" s="4" t="str">
        <f>IFERROR(__xludf.DUMMYFUNCTION("""COMPUTED_VALUE"""),"창고")</f>
        <v>창고</v>
      </c>
      <c r="E34" s="4">
        <f>IFERROR(__xludf.DUMMYFUNCTION("""COMPUTED_VALUE"""),1.0)</f>
        <v>1</v>
      </c>
      <c r="F34" s="4" t="str">
        <f>IFERROR(__xludf.DUMMYFUNCTION("""COMPUTED_VALUE"""),"기타")</f>
        <v>기타</v>
      </c>
      <c r="G34" s="4" t="str">
        <f>IFERROR(__xludf.DUMMYFUNCTION("""COMPUTED_VALUE"""),"신규")</f>
        <v>신규</v>
      </c>
      <c r="H34" s="4"/>
    </row>
    <row r="35" ht="15.75" customHeight="1">
      <c r="A35" s="4" t="str">
        <f>IFERROR(__xludf.DUMMYFUNCTION("""COMPUTED_VALUE"""),"2026-04-04")</f>
        <v>2026-04-04</v>
      </c>
      <c r="B35" s="4" t="str">
        <f>IFERROR(__xludf.DUMMYFUNCTION("""COMPUTED_VALUE"""),"최정은9852")</f>
        <v>최정은9852</v>
      </c>
      <c r="C35" s="4" t="str">
        <f>IFERROR(__xludf.DUMMYFUNCTION("""COMPUTED_VALUE"""),"(강성욱) 사회문화")</f>
        <v>(강성욱) 사회문화</v>
      </c>
      <c r="D35" s="4" t="str">
        <f>IFERROR(__xludf.DUMMYFUNCTION("""COMPUTED_VALUE"""),"창고")</f>
        <v>창고</v>
      </c>
      <c r="E35" s="4">
        <f>IFERROR(__xludf.DUMMYFUNCTION("""COMPUTED_VALUE"""),1.0)</f>
        <v>1</v>
      </c>
      <c r="F35" s="4" t="str">
        <f>IFERROR(__xludf.DUMMYFUNCTION("""COMPUTED_VALUE"""),"기타")</f>
        <v>기타</v>
      </c>
      <c r="G35" s="4" t="str">
        <f>IFERROR(__xludf.DUMMYFUNCTION("""COMPUTED_VALUE"""),"신규")</f>
        <v>신규</v>
      </c>
      <c r="H35" s="4"/>
    </row>
    <row r="36" ht="15.75" customHeight="1">
      <c r="A36" s="4" t="str">
        <f>IFERROR(__xludf.DUMMYFUNCTION("""COMPUTED_VALUE"""),"2026-04-04")</f>
        <v>2026-04-04</v>
      </c>
      <c r="B36" s="4" t="str">
        <f>IFERROR(__xludf.DUMMYFUNCTION("""COMPUTED_VALUE"""),"최정은9852")</f>
        <v>최정은9852</v>
      </c>
      <c r="C36" s="4" t="str">
        <f>IFERROR(__xludf.DUMMYFUNCTION("""COMPUTED_VALUE"""),"(국어선택) 화법과작문")</f>
        <v>(국어선택) 화법과작문</v>
      </c>
      <c r="D36" s="4" t="str">
        <f>IFERROR(__xludf.DUMMYFUNCTION("""COMPUTED_VALUE"""),"창고")</f>
        <v>창고</v>
      </c>
      <c r="E36" s="4">
        <f>IFERROR(__xludf.DUMMYFUNCTION("""COMPUTED_VALUE"""),1.0)</f>
        <v>1</v>
      </c>
      <c r="F36" s="4" t="str">
        <f>IFERROR(__xludf.DUMMYFUNCTION("""COMPUTED_VALUE"""),"기타")</f>
        <v>기타</v>
      </c>
      <c r="G36" s="4" t="str">
        <f>IFERROR(__xludf.DUMMYFUNCTION("""COMPUTED_VALUE"""),"신규")</f>
        <v>신규</v>
      </c>
      <c r="H36" s="4"/>
    </row>
    <row r="37" ht="15.75" customHeight="1">
      <c r="A37" s="4" t="str">
        <f>IFERROR(__xludf.DUMMYFUNCTION("""COMPUTED_VALUE"""),"2026-04-04")</f>
        <v>2026-04-04</v>
      </c>
      <c r="B37" s="4" t="str">
        <f>IFERROR(__xludf.DUMMYFUNCTION("""COMPUTED_VALUE"""),"최정은9852")</f>
        <v>최정은9852</v>
      </c>
      <c r="C37" s="4" t="str">
        <f>IFERROR(__xludf.DUMMYFUNCTION("""COMPUTED_VALUE"""),"(신현철) 메멘토_미적(수업)")</f>
        <v>(신현철) 메멘토_미적(수업)</v>
      </c>
      <c r="D37" s="4" t="str">
        <f>IFERROR(__xludf.DUMMYFUNCTION("""COMPUTED_VALUE"""),"창고")</f>
        <v>창고</v>
      </c>
      <c r="E37" s="4">
        <f>IFERROR(__xludf.DUMMYFUNCTION("""COMPUTED_VALUE"""),1.0)</f>
        <v>1</v>
      </c>
      <c r="F37" s="4" t="str">
        <f>IFERROR(__xludf.DUMMYFUNCTION("""COMPUTED_VALUE"""),"기타")</f>
        <v>기타</v>
      </c>
      <c r="G37" s="4" t="str">
        <f>IFERROR(__xludf.DUMMYFUNCTION("""COMPUTED_VALUE"""),"신규")</f>
        <v>신규</v>
      </c>
      <c r="H37" s="4"/>
    </row>
    <row r="38" ht="15.75" customHeight="1">
      <c r="A38" s="4" t="str">
        <f>IFERROR(__xludf.DUMMYFUNCTION("""COMPUTED_VALUE"""),"2026-04-04")</f>
        <v>2026-04-04</v>
      </c>
      <c r="B38" s="4" t="str">
        <f>IFERROR(__xludf.DUMMYFUNCTION("""COMPUTED_VALUE"""),"최정은9852")</f>
        <v>최정은9852</v>
      </c>
      <c r="C38" s="4" t="str">
        <f>IFERROR(__xludf.DUMMYFUNCTION("""COMPUTED_VALUE"""),"(신현철) 메멘토_미적(피드백)")</f>
        <v>(신현철) 메멘토_미적(피드백)</v>
      </c>
      <c r="D38" s="4" t="str">
        <f>IFERROR(__xludf.DUMMYFUNCTION("""COMPUTED_VALUE"""),"창고")</f>
        <v>창고</v>
      </c>
      <c r="E38" s="4">
        <f>IFERROR(__xludf.DUMMYFUNCTION("""COMPUTED_VALUE"""),1.0)</f>
        <v>1</v>
      </c>
      <c r="F38" s="4" t="str">
        <f>IFERROR(__xludf.DUMMYFUNCTION("""COMPUTED_VALUE"""),"기타")</f>
        <v>기타</v>
      </c>
      <c r="G38" s="4" t="str">
        <f>IFERROR(__xludf.DUMMYFUNCTION("""COMPUTED_VALUE"""),"신규")</f>
        <v>신규</v>
      </c>
      <c r="H38" s="4"/>
    </row>
    <row r="39" ht="15.75" customHeight="1">
      <c r="A39" s="4" t="str">
        <f>IFERROR(__xludf.DUMMYFUNCTION("""COMPUTED_VALUE"""),"2026-04-04")</f>
        <v>2026-04-04</v>
      </c>
      <c r="B39" s="4" t="str">
        <f>IFERROR(__xludf.DUMMYFUNCTION("""COMPUTED_VALUE"""),"최정은9852")</f>
        <v>최정은9852</v>
      </c>
      <c r="C39" s="4" t="str">
        <f>IFERROR(__xludf.DUMMYFUNCTION("""COMPUTED_VALUE"""),"(신현철) 메멘토_수2(수업)")</f>
        <v>(신현철) 메멘토_수2(수업)</v>
      </c>
      <c r="D39" s="4" t="str">
        <f>IFERROR(__xludf.DUMMYFUNCTION("""COMPUTED_VALUE"""),"창고")</f>
        <v>창고</v>
      </c>
      <c r="E39" s="4">
        <f>IFERROR(__xludf.DUMMYFUNCTION("""COMPUTED_VALUE"""),1.0)</f>
        <v>1</v>
      </c>
      <c r="F39" s="4" t="str">
        <f>IFERROR(__xludf.DUMMYFUNCTION("""COMPUTED_VALUE"""),"기타")</f>
        <v>기타</v>
      </c>
      <c r="G39" s="4" t="str">
        <f>IFERROR(__xludf.DUMMYFUNCTION("""COMPUTED_VALUE"""),"신규")</f>
        <v>신규</v>
      </c>
      <c r="H39" s="4"/>
    </row>
    <row r="40" ht="15.75" customHeight="1">
      <c r="A40" s="4" t="str">
        <f>IFERROR(__xludf.DUMMYFUNCTION("""COMPUTED_VALUE"""),"2026-04-04")</f>
        <v>2026-04-04</v>
      </c>
      <c r="B40" s="4" t="str">
        <f>IFERROR(__xludf.DUMMYFUNCTION("""COMPUTED_VALUE"""),"최정은9852")</f>
        <v>최정은9852</v>
      </c>
      <c r="C40" s="4" t="str">
        <f>IFERROR(__xludf.DUMMYFUNCTION("""COMPUTED_VALUE"""),"(신현철) 메멘토_수2(피드백)")</f>
        <v>(신현철) 메멘토_수2(피드백)</v>
      </c>
      <c r="D40" s="4" t="str">
        <f>IFERROR(__xludf.DUMMYFUNCTION("""COMPUTED_VALUE"""),"창고")</f>
        <v>창고</v>
      </c>
      <c r="E40" s="4">
        <f>IFERROR(__xludf.DUMMYFUNCTION("""COMPUTED_VALUE"""),1.0)</f>
        <v>1</v>
      </c>
      <c r="F40" s="4" t="str">
        <f>IFERROR(__xludf.DUMMYFUNCTION("""COMPUTED_VALUE"""),"기타")</f>
        <v>기타</v>
      </c>
      <c r="G40" s="4" t="str">
        <f>IFERROR(__xludf.DUMMYFUNCTION("""COMPUTED_VALUE"""),"신규")</f>
        <v>신규</v>
      </c>
      <c r="H40" s="4"/>
    </row>
    <row r="41" ht="15.75" customHeight="1">
      <c r="A41" s="4" t="str">
        <f>IFERROR(__xludf.DUMMYFUNCTION("""COMPUTED_VALUE"""),"2026-04-04")</f>
        <v>2026-04-04</v>
      </c>
      <c r="B41" s="4" t="str">
        <f>IFERROR(__xludf.DUMMYFUNCTION("""COMPUTED_VALUE"""),"최정은9852")</f>
        <v>최정은9852</v>
      </c>
      <c r="C41" s="4" t="str">
        <f>IFERROR(__xludf.DUMMYFUNCTION("""COMPUTED_VALUE"""),"(장병선) 지구과학")</f>
        <v>(장병선) 지구과학</v>
      </c>
      <c r="D41" s="4" t="str">
        <f>IFERROR(__xludf.DUMMYFUNCTION("""COMPUTED_VALUE"""),"창고")</f>
        <v>창고</v>
      </c>
      <c r="E41" s="4">
        <f>IFERROR(__xludf.DUMMYFUNCTION("""COMPUTED_VALUE"""),1.0)</f>
        <v>1</v>
      </c>
      <c r="F41" s="4" t="str">
        <f>IFERROR(__xludf.DUMMYFUNCTION("""COMPUTED_VALUE"""),"기타")</f>
        <v>기타</v>
      </c>
      <c r="G41" s="4" t="str">
        <f>IFERROR(__xludf.DUMMYFUNCTION("""COMPUTED_VALUE"""),"신규")</f>
        <v>신규</v>
      </c>
      <c r="H41" s="4"/>
    </row>
    <row r="42" ht="15.75" customHeight="1">
      <c r="A42" s="4" t="str">
        <f>IFERROR(__xludf.DUMMYFUNCTION("""COMPUTED_VALUE"""),"2026-04-04")</f>
        <v>2026-04-04</v>
      </c>
      <c r="B42" s="4" t="str">
        <f>IFERROR(__xludf.DUMMYFUNCTION("""COMPUTED_VALUE"""),"김지민9115")</f>
        <v>김지민9115</v>
      </c>
      <c r="C42" s="4" t="str">
        <f>IFERROR(__xludf.DUMMYFUNCTION("""COMPUTED_VALUE"""),"(국어선택) 화법과작문")</f>
        <v>(국어선택) 화법과작문</v>
      </c>
      <c r="D42" s="4" t="str">
        <f>IFERROR(__xludf.DUMMYFUNCTION("""COMPUTED_VALUE"""),"창고")</f>
        <v>창고</v>
      </c>
      <c r="E42" s="4">
        <f>IFERROR(__xludf.DUMMYFUNCTION("""COMPUTED_VALUE"""),1.0)</f>
        <v>1</v>
      </c>
      <c r="F42" s="4" t="str">
        <f>IFERROR(__xludf.DUMMYFUNCTION("""COMPUTED_VALUE"""),"기타")</f>
        <v>기타</v>
      </c>
      <c r="G42" s="4" t="str">
        <f>IFERROR(__xludf.DUMMYFUNCTION("""COMPUTED_VALUE"""),"신규")</f>
        <v>신규</v>
      </c>
      <c r="H42" s="4"/>
    </row>
    <row r="43" ht="15.75" customHeight="1">
      <c r="A43" s="4" t="str">
        <f>IFERROR(__xludf.DUMMYFUNCTION("""COMPUTED_VALUE"""),"2026-04-04")</f>
        <v>2026-04-04</v>
      </c>
      <c r="B43" s="4" t="str">
        <f>IFERROR(__xludf.DUMMYFUNCTION("""COMPUTED_VALUE"""),"김지민9115")</f>
        <v>김지민9115</v>
      </c>
      <c r="C43" s="4" t="str">
        <f>IFERROR(__xludf.DUMMYFUNCTION("""COMPUTED_VALUE"""),"(신현철) 메멘토_미적(수업)")</f>
        <v>(신현철) 메멘토_미적(수업)</v>
      </c>
      <c r="D43" s="4" t="str">
        <f>IFERROR(__xludf.DUMMYFUNCTION("""COMPUTED_VALUE"""),"창고")</f>
        <v>창고</v>
      </c>
      <c r="E43" s="4">
        <f>IFERROR(__xludf.DUMMYFUNCTION("""COMPUTED_VALUE"""),1.0)</f>
        <v>1</v>
      </c>
      <c r="F43" s="4" t="str">
        <f>IFERROR(__xludf.DUMMYFUNCTION("""COMPUTED_VALUE"""),"기타")</f>
        <v>기타</v>
      </c>
      <c r="G43" s="4" t="str">
        <f>IFERROR(__xludf.DUMMYFUNCTION("""COMPUTED_VALUE"""),"신규")</f>
        <v>신규</v>
      </c>
      <c r="H43" s="4"/>
    </row>
    <row r="44" ht="15.75" customHeight="1">
      <c r="A44" s="4" t="str">
        <f>IFERROR(__xludf.DUMMYFUNCTION("""COMPUTED_VALUE"""),"2026-04-04")</f>
        <v>2026-04-04</v>
      </c>
      <c r="B44" s="4" t="str">
        <f>IFERROR(__xludf.DUMMYFUNCTION("""COMPUTED_VALUE"""),"김지민9115")</f>
        <v>김지민9115</v>
      </c>
      <c r="C44" s="4" t="str">
        <f>IFERROR(__xludf.DUMMYFUNCTION("""COMPUTED_VALUE"""),"(신현철) 메멘토_미적(피드백)")</f>
        <v>(신현철) 메멘토_미적(피드백)</v>
      </c>
      <c r="D44" s="4" t="str">
        <f>IFERROR(__xludf.DUMMYFUNCTION("""COMPUTED_VALUE"""),"창고")</f>
        <v>창고</v>
      </c>
      <c r="E44" s="4">
        <f>IFERROR(__xludf.DUMMYFUNCTION("""COMPUTED_VALUE"""),1.0)</f>
        <v>1</v>
      </c>
      <c r="F44" s="4" t="str">
        <f>IFERROR(__xludf.DUMMYFUNCTION("""COMPUTED_VALUE"""),"기타")</f>
        <v>기타</v>
      </c>
      <c r="G44" s="4" t="str">
        <f>IFERROR(__xludf.DUMMYFUNCTION("""COMPUTED_VALUE"""),"신규")</f>
        <v>신규</v>
      </c>
      <c r="H44" s="4"/>
    </row>
    <row r="45" ht="15.75" customHeight="1">
      <c r="A45" s="4" t="str">
        <f>IFERROR(__xludf.DUMMYFUNCTION("""COMPUTED_VALUE"""),"2026-04-04")</f>
        <v>2026-04-04</v>
      </c>
      <c r="B45" s="4" t="str">
        <f>IFERROR(__xludf.DUMMYFUNCTION("""COMPUTED_VALUE"""),"김지민9115")</f>
        <v>김지민9115</v>
      </c>
      <c r="C45" s="4" t="str">
        <f>IFERROR(__xludf.DUMMYFUNCTION("""COMPUTED_VALUE"""),"(신현철) 메멘토_수2(수업)")</f>
        <v>(신현철) 메멘토_수2(수업)</v>
      </c>
      <c r="D45" s="4" t="str">
        <f>IFERROR(__xludf.DUMMYFUNCTION("""COMPUTED_VALUE"""),"창고")</f>
        <v>창고</v>
      </c>
      <c r="E45" s="4">
        <f>IFERROR(__xludf.DUMMYFUNCTION("""COMPUTED_VALUE"""),1.0)</f>
        <v>1</v>
      </c>
      <c r="F45" s="4" t="str">
        <f>IFERROR(__xludf.DUMMYFUNCTION("""COMPUTED_VALUE"""),"기타")</f>
        <v>기타</v>
      </c>
      <c r="G45" s="4" t="str">
        <f>IFERROR(__xludf.DUMMYFUNCTION("""COMPUTED_VALUE"""),"신규")</f>
        <v>신규</v>
      </c>
      <c r="H45" s="4"/>
    </row>
    <row r="46" ht="15.75" customHeight="1">
      <c r="A46" s="4" t="str">
        <f>IFERROR(__xludf.DUMMYFUNCTION("""COMPUTED_VALUE"""),"2026-04-04")</f>
        <v>2026-04-04</v>
      </c>
      <c r="B46" s="4" t="str">
        <f>IFERROR(__xludf.DUMMYFUNCTION("""COMPUTED_VALUE"""),"김지민9115")</f>
        <v>김지민9115</v>
      </c>
      <c r="C46" s="4" t="str">
        <f>IFERROR(__xludf.DUMMYFUNCTION("""COMPUTED_VALUE"""),"(신현철) 메멘토_수2(피드백)")</f>
        <v>(신현철) 메멘토_수2(피드백)</v>
      </c>
      <c r="D46" s="4" t="str">
        <f>IFERROR(__xludf.DUMMYFUNCTION("""COMPUTED_VALUE"""),"창고")</f>
        <v>창고</v>
      </c>
      <c r="E46" s="4">
        <f>IFERROR(__xludf.DUMMYFUNCTION("""COMPUTED_VALUE"""),1.0)</f>
        <v>1</v>
      </c>
      <c r="F46" s="4" t="str">
        <f>IFERROR(__xludf.DUMMYFUNCTION("""COMPUTED_VALUE"""),"기타")</f>
        <v>기타</v>
      </c>
      <c r="G46" s="4" t="str">
        <f>IFERROR(__xludf.DUMMYFUNCTION("""COMPUTED_VALUE"""),"신규")</f>
        <v>신규</v>
      </c>
      <c r="H46" s="4"/>
    </row>
    <row r="47" ht="15.75" customHeight="1">
      <c r="A47" s="4" t="str">
        <f>IFERROR(__xludf.DUMMYFUNCTION("""COMPUTED_VALUE"""),"2026-04-04")</f>
        <v>2026-04-04</v>
      </c>
      <c r="B47" s="4" t="str">
        <f>IFERROR(__xludf.DUMMYFUNCTION("""COMPUTED_VALUE"""),"김지민9115")</f>
        <v>김지민9115</v>
      </c>
      <c r="C47" s="4" t="str">
        <f>IFERROR(__xludf.DUMMYFUNCTION("""COMPUTED_VALUE"""),"(장진민) 생활과 윤리")</f>
        <v>(장진민) 생활과 윤리</v>
      </c>
      <c r="D47" s="4" t="str">
        <f>IFERROR(__xludf.DUMMYFUNCTION("""COMPUTED_VALUE"""),"창고")</f>
        <v>창고</v>
      </c>
      <c r="E47" s="4">
        <f>IFERROR(__xludf.DUMMYFUNCTION("""COMPUTED_VALUE"""),1.0)</f>
        <v>1</v>
      </c>
      <c r="F47" s="4" t="str">
        <f>IFERROR(__xludf.DUMMYFUNCTION("""COMPUTED_VALUE"""),"기타")</f>
        <v>기타</v>
      </c>
      <c r="G47" s="4" t="str">
        <f>IFERROR(__xludf.DUMMYFUNCTION("""COMPUTED_VALUE"""),"신규")</f>
        <v>신규</v>
      </c>
      <c r="H47" s="4"/>
    </row>
    <row r="48" ht="15.75" customHeight="1">
      <c r="A48" s="4" t="str">
        <f>IFERROR(__xludf.DUMMYFUNCTION("""COMPUTED_VALUE"""),"2026-04-04")</f>
        <v>2026-04-04</v>
      </c>
      <c r="B48" s="4" t="str">
        <f>IFERROR(__xludf.DUMMYFUNCTION("""COMPUTED_VALUE"""),"이지훈8700")</f>
        <v>이지훈8700</v>
      </c>
      <c r="C48" s="4" t="str">
        <f>IFERROR(__xludf.DUMMYFUNCTION("""COMPUTED_VALUE"""),"(고낙기) 화학")</f>
        <v>(고낙기) 화학</v>
      </c>
      <c r="D48" s="4" t="str">
        <f>IFERROR(__xludf.DUMMYFUNCTION("""COMPUTED_VALUE"""),"창고")</f>
        <v>창고</v>
      </c>
      <c r="E48" s="4">
        <f>IFERROR(__xludf.DUMMYFUNCTION("""COMPUTED_VALUE"""),1.0)</f>
        <v>1</v>
      </c>
      <c r="F48" s="4" t="str">
        <f>IFERROR(__xludf.DUMMYFUNCTION("""COMPUTED_VALUE"""),"기타")</f>
        <v>기타</v>
      </c>
      <c r="G48" s="4" t="str">
        <f>IFERROR(__xludf.DUMMYFUNCTION("""COMPUTED_VALUE"""),"신규")</f>
        <v>신규</v>
      </c>
      <c r="H48" s="4"/>
    </row>
    <row r="49" ht="15.75" customHeight="1">
      <c r="A49" s="4" t="str">
        <f>IFERROR(__xludf.DUMMYFUNCTION("""COMPUTED_VALUE"""),"2026-04-04")</f>
        <v>2026-04-04</v>
      </c>
      <c r="B49" s="4" t="str">
        <f>IFERROR(__xludf.DUMMYFUNCTION("""COMPUTED_VALUE"""),"이지훈8700")</f>
        <v>이지훈8700</v>
      </c>
      <c r="C49" s="4" t="str">
        <f>IFERROR(__xludf.DUMMYFUNCTION("""COMPUTED_VALUE"""),"(국어선택) 화법과작문")</f>
        <v>(국어선택) 화법과작문</v>
      </c>
      <c r="D49" s="4" t="str">
        <f>IFERROR(__xludf.DUMMYFUNCTION("""COMPUTED_VALUE"""),"창고")</f>
        <v>창고</v>
      </c>
      <c r="E49" s="4">
        <f>IFERROR(__xludf.DUMMYFUNCTION("""COMPUTED_VALUE"""),1.0)</f>
        <v>1</v>
      </c>
      <c r="F49" s="4" t="str">
        <f>IFERROR(__xludf.DUMMYFUNCTION("""COMPUTED_VALUE"""),"기타")</f>
        <v>기타</v>
      </c>
      <c r="G49" s="4" t="str">
        <f>IFERROR(__xludf.DUMMYFUNCTION("""COMPUTED_VALUE"""),"신규")</f>
        <v>신규</v>
      </c>
      <c r="H49" s="4"/>
    </row>
    <row r="50" ht="15.75" customHeight="1">
      <c r="A50" s="4" t="str">
        <f>IFERROR(__xludf.DUMMYFUNCTION("""COMPUTED_VALUE"""),"2026-04-04")</f>
        <v>2026-04-04</v>
      </c>
      <c r="B50" s="4" t="str">
        <f>IFERROR(__xludf.DUMMYFUNCTION("""COMPUTED_VALUE"""),"이지훈8700")</f>
        <v>이지훈8700</v>
      </c>
      <c r="C50" s="4" t="str">
        <f>IFERROR(__xludf.DUMMYFUNCTION("""COMPUTED_VALUE"""),"(김학림전종현) 쎄타_미적E수업")</f>
        <v>(김학림전종현) 쎄타_미적E수업</v>
      </c>
      <c r="D50" s="4" t="str">
        <f>IFERROR(__xludf.DUMMYFUNCTION("""COMPUTED_VALUE"""),"창고")</f>
        <v>창고</v>
      </c>
      <c r="E50" s="4">
        <f>IFERROR(__xludf.DUMMYFUNCTION("""COMPUTED_VALUE"""),1.0)</f>
        <v>1</v>
      </c>
      <c r="F50" s="4" t="str">
        <f>IFERROR(__xludf.DUMMYFUNCTION("""COMPUTED_VALUE"""),"기타")</f>
        <v>기타</v>
      </c>
      <c r="G50" s="4" t="str">
        <f>IFERROR(__xludf.DUMMYFUNCTION("""COMPUTED_VALUE"""),"신규")</f>
        <v>신규</v>
      </c>
      <c r="H50" s="4"/>
    </row>
    <row r="51" ht="15.75" customHeight="1">
      <c r="A51" s="4" t="str">
        <f>IFERROR(__xludf.DUMMYFUNCTION("""COMPUTED_VALUE"""),"2026-04-04")</f>
        <v>2026-04-04</v>
      </c>
      <c r="B51" s="4" t="str">
        <f>IFERROR(__xludf.DUMMYFUNCTION("""COMPUTED_VALUE"""),"이지훈8700")</f>
        <v>이지훈8700</v>
      </c>
      <c r="C51" s="4" t="str">
        <f>IFERROR(__xludf.DUMMYFUNCTION("""COMPUTED_VALUE"""),"(김학림전종현) 쎄타_미적E피드백")</f>
        <v>(김학림전종현) 쎄타_미적E피드백</v>
      </c>
      <c r="D51" s="4" t="str">
        <f>IFERROR(__xludf.DUMMYFUNCTION("""COMPUTED_VALUE"""),"창고")</f>
        <v>창고</v>
      </c>
      <c r="E51" s="4">
        <f>IFERROR(__xludf.DUMMYFUNCTION("""COMPUTED_VALUE"""),1.0)</f>
        <v>1</v>
      </c>
      <c r="F51" s="4" t="str">
        <f>IFERROR(__xludf.DUMMYFUNCTION("""COMPUTED_VALUE"""),"기타")</f>
        <v>기타</v>
      </c>
      <c r="G51" s="4" t="str">
        <f>IFERROR(__xludf.DUMMYFUNCTION("""COMPUTED_VALUE"""),"신규")</f>
        <v>신규</v>
      </c>
      <c r="H51" s="4"/>
    </row>
    <row r="52" ht="15.75" customHeight="1">
      <c r="A52" s="4" t="str">
        <f>IFERROR(__xludf.DUMMYFUNCTION("""COMPUTED_VALUE"""),"2026-04-04")</f>
        <v>2026-04-04</v>
      </c>
      <c r="B52" s="4" t="str">
        <f>IFERROR(__xludf.DUMMYFUNCTION("""COMPUTED_VALUE"""),"이지훈8700")</f>
        <v>이지훈8700</v>
      </c>
      <c r="C52" s="4" t="str">
        <f>IFERROR(__xludf.DUMMYFUNCTION("""COMPUTED_VALUE"""),"(김학림전종현) 쎄타_수2E수업")</f>
        <v>(김학림전종현) 쎄타_수2E수업</v>
      </c>
      <c r="D52" s="4" t="str">
        <f>IFERROR(__xludf.DUMMYFUNCTION("""COMPUTED_VALUE"""),"창고")</f>
        <v>창고</v>
      </c>
      <c r="E52" s="4">
        <f>IFERROR(__xludf.DUMMYFUNCTION("""COMPUTED_VALUE"""),1.0)</f>
        <v>1</v>
      </c>
      <c r="F52" s="4" t="str">
        <f>IFERROR(__xludf.DUMMYFUNCTION("""COMPUTED_VALUE"""),"기타")</f>
        <v>기타</v>
      </c>
      <c r="G52" s="4" t="str">
        <f>IFERROR(__xludf.DUMMYFUNCTION("""COMPUTED_VALUE"""),"신규")</f>
        <v>신규</v>
      </c>
      <c r="H52" s="4"/>
    </row>
    <row r="53" ht="15.75" customHeight="1">
      <c r="A53" s="4" t="str">
        <f>IFERROR(__xludf.DUMMYFUNCTION("""COMPUTED_VALUE"""),"2026-04-04")</f>
        <v>2026-04-04</v>
      </c>
      <c r="B53" s="4" t="str">
        <f>IFERROR(__xludf.DUMMYFUNCTION("""COMPUTED_VALUE"""),"이지훈8700")</f>
        <v>이지훈8700</v>
      </c>
      <c r="C53" s="4" t="str">
        <f>IFERROR(__xludf.DUMMYFUNCTION("""COMPUTED_VALUE"""),"(김학림전종현) 쎄타_수2E피드백")</f>
        <v>(김학림전종현) 쎄타_수2E피드백</v>
      </c>
      <c r="D53" s="4" t="str">
        <f>IFERROR(__xludf.DUMMYFUNCTION("""COMPUTED_VALUE"""),"창고")</f>
        <v>창고</v>
      </c>
      <c r="E53" s="4">
        <f>IFERROR(__xludf.DUMMYFUNCTION("""COMPUTED_VALUE"""),1.0)</f>
        <v>1</v>
      </c>
      <c r="F53" s="4" t="str">
        <f>IFERROR(__xludf.DUMMYFUNCTION("""COMPUTED_VALUE"""),"기타")</f>
        <v>기타</v>
      </c>
      <c r="G53" s="4" t="str">
        <f>IFERROR(__xludf.DUMMYFUNCTION("""COMPUTED_VALUE"""),"신규")</f>
        <v>신규</v>
      </c>
      <c r="H53" s="4"/>
    </row>
    <row r="54" ht="15.75" customHeight="1">
      <c r="A54" s="4" t="str">
        <f>IFERROR(__xludf.DUMMYFUNCTION("""COMPUTED_VALUE"""),"2026-04-04")</f>
        <v>2026-04-04</v>
      </c>
      <c r="B54" s="4" t="str">
        <f>IFERROR(__xludf.DUMMYFUNCTION("""COMPUTED_VALUE"""),"이지훈8700")</f>
        <v>이지훈8700</v>
      </c>
      <c r="C54" s="4" t="str">
        <f>IFERROR(__xludf.DUMMYFUNCTION("""COMPUTED_VALUE"""),"(장진민) 사회문화")</f>
        <v>(장진민) 사회문화</v>
      </c>
      <c r="D54" s="4" t="str">
        <f>IFERROR(__xludf.DUMMYFUNCTION("""COMPUTED_VALUE"""),"창고")</f>
        <v>창고</v>
      </c>
      <c r="E54" s="4">
        <f>IFERROR(__xludf.DUMMYFUNCTION("""COMPUTED_VALUE"""),1.0)</f>
        <v>1</v>
      </c>
      <c r="F54" s="4" t="str">
        <f>IFERROR(__xludf.DUMMYFUNCTION("""COMPUTED_VALUE"""),"기타")</f>
        <v>기타</v>
      </c>
      <c r="G54" s="4" t="str">
        <f>IFERROR(__xludf.DUMMYFUNCTION("""COMPUTED_VALUE"""),"신규")</f>
        <v>신규</v>
      </c>
      <c r="H54" s="4"/>
    </row>
    <row r="55" ht="15.75" customHeight="1">
      <c r="A55" s="4" t="str">
        <f>IFERROR(__xludf.DUMMYFUNCTION("""COMPUTED_VALUE"""),"2026-04-04")</f>
        <v>2026-04-04</v>
      </c>
      <c r="B55" s="4" t="str">
        <f>IFERROR(__xludf.DUMMYFUNCTION("""COMPUTED_VALUE"""),"성주연7429")</f>
        <v>성주연7429</v>
      </c>
      <c r="C55" s="4" t="str">
        <f>IFERROR(__xludf.DUMMYFUNCTION("""COMPUTED_VALUE"""),"(국어선택) 화법과작문")</f>
        <v>(국어선택) 화법과작문</v>
      </c>
      <c r="D55" s="4" t="str">
        <f>IFERROR(__xludf.DUMMYFUNCTION("""COMPUTED_VALUE"""),"창고")</f>
        <v>창고</v>
      </c>
      <c r="E55" s="4">
        <f>IFERROR(__xludf.DUMMYFUNCTION("""COMPUTED_VALUE"""),1.0)</f>
        <v>1</v>
      </c>
      <c r="F55" s="4" t="str">
        <f>IFERROR(__xludf.DUMMYFUNCTION("""COMPUTED_VALUE"""),"기타")</f>
        <v>기타</v>
      </c>
      <c r="G55" s="4" t="str">
        <f>IFERROR(__xludf.DUMMYFUNCTION("""COMPUTED_VALUE"""),"신규")</f>
        <v>신규</v>
      </c>
      <c r="H55" s="4"/>
    </row>
    <row r="56" ht="15.75" customHeight="1">
      <c r="A56" s="4" t="str">
        <f>IFERROR(__xludf.DUMMYFUNCTION("""COMPUTED_VALUE"""),"2026-04-04")</f>
        <v>2026-04-04</v>
      </c>
      <c r="B56" s="4" t="str">
        <f>IFERROR(__xludf.DUMMYFUNCTION("""COMPUTED_VALUE"""),"성주연7429")</f>
        <v>성주연7429</v>
      </c>
      <c r="C56" s="4" t="str">
        <f>IFERROR(__xludf.DUMMYFUNCTION("""COMPUTED_VALUE"""),"(신현철) 메멘토_미적(수업)")</f>
        <v>(신현철) 메멘토_미적(수업)</v>
      </c>
      <c r="D56" s="4" t="str">
        <f>IFERROR(__xludf.DUMMYFUNCTION("""COMPUTED_VALUE"""),"창고")</f>
        <v>창고</v>
      </c>
      <c r="E56" s="4">
        <f>IFERROR(__xludf.DUMMYFUNCTION("""COMPUTED_VALUE"""),1.0)</f>
        <v>1</v>
      </c>
      <c r="F56" s="4" t="str">
        <f>IFERROR(__xludf.DUMMYFUNCTION("""COMPUTED_VALUE"""),"기타")</f>
        <v>기타</v>
      </c>
      <c r="G56" s="4" t="str">
        <f>IFERROR(__xludf.DUMMYFUNCTION("""COMPUTED_VALUE"""),"신규")</f>
        <v>신규</v>
      </c>
      <c r="H56" s="4"/>
    </row>
    <row r="57" ht="15.75" customHeight="1">
      <c r="A57" s="4" t="str">
        <f>IFERROR(__xludf.DUMMYFUNCTION("""COMPUTED_VALUE"""),"2026-04-04")</f>
        <v>2026-04-04</v>
      </c>
      <c r="B57" s="4" t="str">
        <f>IFERROR(__xludf.DUMMYFUNCTION("""COMPUTED_VALUE"""),"성주연7429")</f>
        <v>성주연7429</v>
      </c>
      <c r="C57" s="4" t="str">
        <f>IFERROR(__xludf.DUMMYFUNCTION("""COMPUTED_VALUE"""),"(신현철) 메멘토_미적(피드백)")</f>
        <v>(신현철) 메멘토_미적(피드백)</v>
      </c>
      <c r="D57" s="4" t="str">
        <f>IFERROR(__xludf.DUMMYFUNCTION("""COMPUTED_VALUE"""),"창고")</f>
        <v>창고</v>
      </c>
      <c r="E57" s="4">
        <f>IFERROR(__xludf.DUMMYFUNCTION("""COMPUTED_VALUE"""),1.0)</f>
        <v>1</v>
      </c>
      <c r="F57" s="4" t="str">
        <f>IFERROR(__xludf.DUMMYFUNCTION("""COMPUTED_VALUE"""),"기타")</f>
        <v>기타</v>
      </c>
      <c r="G57" s="4" t="str">
        <f>IFERROR(__xludf.DUMMYFUNCTION("""COMPUTED_VALUE"""),"신규")</f>
        <v>신규</v>
      </c>
      <c r="H57" s="4"/>
    </row>
    <row r="58" ht="15.75" customHeight="1">
      <c r="A58" s="4" t="str">
        <f>IFERROR(__xludf.DUMMYFUNCTION("""COMPUTED_VALUE"""),"2026-04-04")</f>
        <v>2026-04-04</v>
      </c>
      <c r="B58" s="4" t="str">
        <f>IFERROR(__xludf.DUMMYFUNCTION("""COMPUTED_VALUE"""),"성주연7429")</f>
        <v>성주연7429</v>
      </c>
      <c r="C58" s="4" t="str">
        <f>IFERROR(__xludf.DUMMYFUNCTION("""COMPUTED_VALUE"""),"(신현철) 메멘토_수2(수업)")</f>
        <v>(신현철) 메멘토_수2(수업)</v>
      </c>
      <c r="D58" s="4" t="str">
        <f>IFERROR(__xludf.DUMMYFUNCTION("""COMPUTED_VALUE"""),"창고")</f>
        <v>창고</v>
      </c>
      <c r="E58" s="4">
        <f>IFERROR(__xludf.DUMMYFUNCTION("""COMPUTED_VALUE"""),1.0)</f>
        <v>1</v>
      </c>
      <c r="F58" s="4" t="str">
        <f>IFERROR(__xludf.DUMMYFUNCTION("""COMPUTED_VALUE"""),"기타")</f>
        <v>기타</v>
      </c>
      <c r="G58" s="4" t="str">
        <f>IFERROR(__xludf.DUMMYFUNCTION("""COMPUTED_VALUE"""),"신규")</f>
        <v>신규</v>
      </c>
      <c r="H58" s="4"/>
    </row>
    <row r="59" ht="15.75" customHeight="1">
      <c r="A59" s="4" t="str">
        <f>IFERROR(__xludf.DUMMYFUNCTION("""COMPUTED_VALUE"""),"2026-04-04")</f>
        <v>2026-04-04</v>
      </c>
      <c r="B59" s="4" t="str">
        <f>IFERROR(__xludf.DUMMYFUNCTION("""COMPUTED_VALUE"""),"성주연7429")</f>
        <v>성주연7429</v>
      </c>
      <c r="C59" s="4" t="str">
        <f>IFERROR(__xludf.DUMMYFUNCTION("""COMPUTED_VALUE"""),"(신현철) 메멘토_수2(피드백)")</f>
        <v>(신현철) 메멘토_수2(피드백)</v>
      </c>
      <c r="D59" s="4" t="str">
        <f>IFERROR(__xludf.DUMMYFUNCTION("""COMPUTED_VALUE"""),"창고")</f>
        <v>창고</v>
      </c>
      <c r="E59" s="4">
        <f>IFERROR(__xludf.DUMMYFUNCTION("""COMPUTED_VALUE"""),1.0)</f>
        <v>1</v>
      </c>
      <c r="F59" s="4" t="str">
        <f>IFERROR(__xludf.DUMMYFUNCTION("""COMPUTED_VALUE"""),"기타")</f>
        <v>기타</v>
      </c>
      <c r="G59" s="4" t="str">
        <f>IFERROR(__xludf.DUMMYFUNCTION("""COMPUTED_VALUE"""),"신규")</f>
        <v>신규</v>
      </c>
      <c r="H59" s="4"/>
    </row>
    <row r="60" ht="15.75" customHeight="1">
      <c r="A60" s="4" t="str">
        <f>IFERROR(__xludf.DUMMYFUNCTION("""COMPUTED_VALUE"""),"2026-04-04")</f>
        <v>2026-04-04</v>
      </c>
      <c r="B60" s="4" t="str">
        <f>IFERROR(__xludf.DUMMYFUNCTION("""COMPUTED_VALUE"""),"성주연7429")</f>
        <v>성주연7429</v>
      </c>
      <c r="C60" s="4" t="str">
        <f>IFERROR(__xludf.DUMMYFUNCTION("""COMPUTED_VALUE"""),"(최성주) 사회문화")</f>
        <v>(최성주) 사회문화</v>
      </c>
      <c r="D60" s="4" t="str">
        <f>IFERROR(__xludf.DUMMYFUNCTION("""COMPUTED_VALUE"""),"창고")</f>
        <v>창고</v>
      </c>
      <c r="E60" s="4">
        <f>IFERROR(__xludf.DUMMYFUNCTION("""COMPUTED_VALUE"""),1.0)</f>
        <v>1</v>
      </c>
      <c r="F60" s="4" t="str">
        <f>IFERROR(__xludf.DUMMYFUNCTION("""COMPUTED_VALUE"""),"기타")</f>
        <v>기타</v>
      </c>
      <c r="G60" s="4" t="str">
        <f>IFERROR(__xludf.DUMMYFUNCTION("""COMPUTED_VALUE"""),"신규")</f>
        <v>신규</v>
      </c>
      <c r="H60" s="4"/>
    </row>
    <row r="61" ht="15.75" customHeight="1">
      <c r="A61" s="4" t="str">
        <f>IFERROR(__xludf.DUMMYFUNCTION("""COMPUTED_VALUE"""),"2026-04-04")</f>
        <v>2026-04-04</v>
      </c>
      <c r="B61" s="4" t="str">
        <f>IFERROR(__xludf.DUMMYFUNCTION("""COMPUTED_VALUE"""),"성주연7429")</f>
        <v>성주연7429</v>
      </c>
      <c r="C61" s="4" t="str">
        <f>IFERROR(__xludf.DUMMYFUNCTION("""COMPUTED_VALUE"""),"(한진구) 생활과 윤리")</f>
        <v>(한진구) 생활과 윤리</v>
      </c>
      <c r="D61" s="4" t="str">
        <f>IFERROR(__xludf.DUMMYFUNCTION("""COMPUTED_VALUE"""),"창고")</f>
        <v>창고</v>
      </c>
      <c r="E61" s="4">
        <f>IFERROR(__xludf.DUMMYFUNCTION("""COMPUTED_VALUE"""),1.0)</f>
        <v>1</v>
      </c>
      <c r="F61" s="4" t="str">
        <f>IFERROR(__xludf.DUMMYFUNCTION("""COMPUTED_VALUE"""),"기타")</f>
        <v>기타</v>
      </c>
      <c r="G61" s="4" t="str">
        <f>IFERROR(__xludf.DUMMYFUNCTION("""COMPUTED_VALUE"""),"신규")</f>
        <v>신규</v>
      </c>
      <c r="H61" s="4"/>
    </row>
    <row r="62" ht="15.75" customHeight="1">
      <c r="A62" s="4" t="str">
        <f>IFERROR(__xludf.DUMMYFUNCTION("""COMPUTED_VALUE"""),"2026-04-04")</f>
        <v>2026-04-04</v>
      </c>
      <c r="B62" s="4" t="str">
        <f>IFERROR(__xludf.DUMMYFUNCTION("""COMPUTED_VALUE"""),"윤채희9577")</f>
        <v>윤채희9577</v>
      </c>
      <c r="C62" s="4" t="str">
        <f>IFERROR(__xludf.DUMMYFUNCTION("""COMPUTED_VALUE"""),"(국어선택) 화법과작문")</f>
        <v>(국어선택) 화법과작문</v>
      </c>
      <c r="D62" s="4" t="str">
        <f>IFERROR(__xludf.DUMMYFUNCTION("""COMPUTED_VALUE"""),"창고")</f>
        <v>창고</v>
      </c>
      <c r="E62" s="4">
        <f>IFERROR(__xludf.DUMMYFUNCTION("""COMPUTED_VALUE"""),1.0)</f>
        <v>1</v>
      </c>
      <c r="F62" s="4" t="str">
        <f>IFERROR(__xludf.DUMMYFUNCTION("""COMPUTED_VALUE"""),"기타")</f>
        <v>기타</v>
      </c>
      <c r="G62" s="4" t="str">
        <f>IFERROR(__xludf.DUMMYFUNCTION("""COMPUTED_VALUE"""),"신규")</f>
        <v>신규</v>
      </c>
      <c r="H62" s="4"/>
    </row>
    <row r="63" ht="15.75" customHeight="1">
      <c r="A63" s="4" t="str">
        <f>IFERROR(__xludf.DUMMYFUNCTION("""COMPUTED_VALUE"""),"2026-04-04")</f>
        <v>2026-04-04</v>
      </c>
      <c r="B63" s="4" t="str">
        <f>IFERROR(__xludf.DUMMYFUNCTION("""COMPUTED_VALUE"""),"윤채희9577")</f>
        <v>윤채희9577</v>
      </c>
      <c r="C63" s="4" t="str">
        <f>IFERROR(__xludf.DUMMYFUNCTION("""COMPUTED_VALUE"""),"(이민호B) 단기록_수2(피드백)")</f>
        <v>(이민호B) 단기록_수2(피드백)</v>
      </c>
      <c r="D63" s="4" t="str">
        <f>IFERROR(__xludf.DUMMYFUNCTION("""COMPUTED_VALUE"""),"창고")</f>
        <v>창고</v>
      </c>
      <c r="E63" s="4">
        <f>IFERROR(__xludf.DUMMYFUNCTION("""COMPUTED_VALUE"""),1.0)</f>
        <v>1</v>
      </c>
      <c r="F63" s="4" t="str">
        <f>IFERROR(__xludf.DUMMYFUNCTION("""COMPUTED_VALUE"""),"기타")</f>
        <v>기타</v>
      </c>
      <c r="G63" s="4" t="str">
        <f>IFERROR(__xludf.DUMMYFUNCTION("""COMPUTED_VALUE"""),"신규")</f>
        <v>신규</v>
      </c>
      <c r="H63" s="4"/>
    </row>
    <row r="64" ht="15.75" customHeight="1">
      <c r="A64" s="4" t="str">
        <f>IFERROR(__xludf.DUMMYFUNCTION("""COMPUTED_VALUE"""),"2026-04-04")</f>
        <v>2026-04-04</v>
      </c>
      <c r="B64" s="4" t="str">
        <f>IFERROR(__xludf.DUMMYFUNCTION("""COMPUTED_VALUE"""),"윤채희9577")</f>
        <v>윤채희9577</v>
      </c>
      <c r="C64" s="4" t="str">
        <f>IFERROR(__xludf.DUMMYFUNCTION("""COMPUTED_VALUE"""),"(이민호B) 단기록_확통(피드백)")</f>
        <v>(이민호B) 단기록_확통(피드백)</v>
      </c>
      <c r="D64" s="4" t="str">
        <f>IFERROR(__xludf.DUMMYFUNCTION("""COMPUTED_VALUE"""),"창고")</f>
        <v>창고</v>
      </c>
      <c r="E64" s="4">
        <f>IFERROR(__xludf.DUMMYFUNCTION("""COMPUTED_VALUE"""),1.0)</f>
        <v>1</v>
      </c>
      <c r="F64" s="4" t="str">
        <f>IFERROR(__xludf.DUMMYFUNCTION("""COMPUTED_VALUE"""),"기타")</f>
        <v>기타</v>
      </c>
      <c r="G64" s="4" t="str">
        <f>IFERROR(__xludf.DUMMYFUNCTION("""COMPUTED_VALUE"""),"신규")</f>
        <v>신규</v>
      </c>
      <c r="H64" s="4"/>
    </row>
    <row r="65" ht="15.75" customHeight="1">
      <c r="A65" s="4" t="str">
        <f>IFERROR(__xludf.DUMMYFUNCTION("""COMPUTED_VALUE"""),"2026-04-04")</f>
        <v>2026-04-04</v>
      </c>
      <c r="B65" s="4" t="str">
        <f>IFERROR(__xludf.DUMMYFUNCTION("""COMPUTED_VALUE"""),"윤채희9577")</f>
        <v>윤채희9577</v>
      </c>
      <c r="C65" s="4" t="str">
        <f>IFERROR(__xludf.DUMMYFUNCTION("""COMPUTED_VALUE"""),"(이민호B) 수해록_수2(수업)")</f>
        <v>(이민호B) 수해록_수2(수업)</v>
      </c>
      <c r="D65" s="4" t="str">
        <f>IFERROR(__xludf.DUMMYFUNCTION("""COMPUTED_VALUE"""),"창고")</f>
        <v>창고</v>
      </c>
      <c r="E65" s="4">
        <f>IFERROR(__xludf.DUMMYFUNCTION("""COMPUTED_VALUE"""),1.0)</f>
        <v>1</v>
      </c>
      <c r="F65" s="4" t="str">
        <f>IFERROR(__xludf.DUMMYFUNCTION("""COMPUTED_VALUE"""),"기타")</f>
        <v>기타</v>
      </c>
      <c r="G65" s="4" t="str">
        <f>IFERROR(__xludf.DUMMYFUNCTION("""COMPUTED_VALUE"""),"신규")</f>
        <v>신규</v>
      </c>
      <c r="H65" s="4"/>
    </row>
    <row r="66" ht="15.75" customHeight="1">
      <c r="A66" s="4" t="str">
        <f>IFERROR(__xludf.DUMMYFUNCTION("""COMPUTED_VALUE"""),"2026-04-04")</f>
        <v>2026-04-04</v>
      </c>
      <c r="B66" s="4" t="str">
        <f>IFERROR(__xludf.DUMMYFUNCTION("""COMPUTED_VALUE"""),"윤채희9577")</f>
        <v>윤채희9577</v>
      </c>
      <c r="C66" s="4" t="str">
        <f>IFERROR(__xludf.DUMMYFUNCTION("""COMPUTED_VALUE"""),"(이민호B) 수해록_확통(수업)")</f>
        <v>(이민호B) 수해록_확통(수업)</v>
      </c>
      <c r="D66" s="4" t="str">
        <f>IFERROR(__xludf.DUMMYFUNCTION("""COMPUTED_VALUE"""),"창고")</f>
        <v>창고</v>
      </c>
      <c r="E66" s="4">
        <f>IFERROR(__xludf.DUMMYFUNCTION("""COMPUTED_VALUE"""),1.0)</f>
        <v>1</v>
      </c>
      <c r="F66" s="4" t="str">
        <f>IFERROR(__xludf.DUMMYFUNCTION("""COMPUTED_VALUE"""),"기타")</f>
        <v>기타</v>
      </c>
      <c r="G66" s="4" t="str">
        <f>IFERROR(__xludf.DUMMYFUNCTION("""COMPUTED_VALUE"""),"신규")</f>
        <v>신규</v>
      </c>
      <c r="H66" s="4"/>
    </row>
    <row r="67" ht="15.75" customHeight="1">
      <c r="A67" s="4" t="str">
        <f>IFERROR(__xludf.DUMMYFUNCTION("""COMPUTED_VALUE"""),"2026-04-04")</f>
        <v>2026-04-04</v>
      </c>
      <c r="B67" s="4" t="str">
        <f>IFERROR(__xludf.DUMMYFUNCTION("""COMPUTED_VALUE"""),"윤채희9577")</f>
        <v>윤채희9577</v>
      </c>
      <c r="C67" s="4" t="str">
        <f>IFERROR(__xludf.DUMMYFUNCTION("""COMPUTED_VALUE"""),"(한진구) 생활과 윤리")</f>
        <v>(한진구) 생활과 윤리</v>
      </c>
      <c r="D67" s="4" t="str">
        <f>IFERROR(__xludf.DUMMYFUNCTION("""COMPUTED_VALUE"""),"창고")</f>
        <v>창고</v>
      </c>
      <c r="E67" s="4">
        <f>IFERROR(__xludf.DUMMYFUNCTION("""COMPUTED_VALUE"""),1.0)</f>
        <v>1</v>
      </c>
      <c r="F67" s="4" t="str">
        <f>IFERROR(__xludf.DUMMYFUNCTION("""COMPUTED_VALUE"""),"기타")</f>
        <v>기타</v>
      </c>
      <c r="G67" s="4" t="str">
        <f>IFERROR(__xludf.DUMMYFUNCTION("""COMPUTED_VALUE"""),"신규")</f>
        <v>신규</v>
      </c>
      <c r="H67" s="4"/>
    </row>
    <row r="68" ht="15.75" customHeight="1">
      <c r="A68" s="4" t="str">
        <f>IFERROR(__xludf.DUMMYFUNCTION("""COMPUTED_VALUE"""),"2026-04-04")</f>
        <v>2026-04-04</v>
      </c>
      <c r="B68" s="4" t="str">
        <f>IFERROR(__xludf.DUMMYFUNCTION("""COMPUTED_VALUE"""),"김나현7522")</f>
        <v>김나현7522</v>
      </c>
      <c r="C68" s="4" t="str">
        <f>IFERROR(__xludf.DUMMYFUNCTION("""COMPUTED_VALUE"""),"(국어선택) 화법과작문")</f>
        <v>(국어선택) 화법과작문</v>
      </c>
      <c r="D68" s="4" t="str">
        <f>IFERROR(__xludf.DUMMYFUNCTION("""COMPUTED_VALUE"""),"창고")</f>
        <v>창고</v>
      </c>
      <c r="E68" s="4">
        <f>IFERROR(__xludf.DUMMYFUNCTION("""COMPUTED_VALUE"""),1.0)</f>
        <v>1</v>
      </c>
      <c r="F68" s="4" t="str">
        <f>IFERROR(__xludf.DUMMYFUNCTION("""COMPUTED_VALUE"""),"기타")</f>
        <v>기타</v>
      </c>
      <c r="G68" s="4" t="str">
        <f>IFERROR(__xludf.DUMMYFUNCTION("""COMPUTED_VALUE"""),"신규")</f>
        <v>신규</v>
      </c>
      <c r="H68" s="4"/>
    </row>
    <row r="69" ht="15.75" customHeight="1">
      <c r="A69" s="4" t="str">
        <f>IFERROR(__xludf.DUMMYFUNCTION("""COMPUTED_VALUE"""),"2026-04-04")</f>
        <v>2026-04-04</v>
      </c>
      <c r="B69" s="4" t="str">
        <f>IFERROR(__xludf.DUMMYFUNCTION("""COMPUTED_VALUE"""),"김나현7522")</f>
        <v>김나현7522</v>
      </c>
      <c r="C69" s="4" t="str">
        <f>IFERROR(__xludf.DUMMYFUNCTION("""COMPUTED_VALUE"""),"(이민호B) 단기록_수2(피드백)")</f>
        <v>(이민호B) 단기록_수2(피드백)</v>
      </c>
      <c r="D69" s="4" t="str">
        <f>IFERROR(__xludf.DUMMYFUNCTION("""COMPUTED_VALUE"""),"창고")</f>
        <v>창고</v>
      </c>
      <c r="E69" s="4">
        <f>IFERROR(__xludf.DUMMYFUNCTION("""COMPUTED_VALUE"""),1.0)</f>
        <v>1</v>
      </c>
      <c r="F69" s="4" t="str">
        <f>IFERROR(__xludf.DUMMYFUNCTION("""COMPUTED_VALUE"""),"기타")</f>
        <v>기타</v>
      </c>
      <c r="G69" s="4" t="str">
        <f>IFERROR(__xludf.DUMMYFUNCTION("""COMPUTED_VALUE"""),"신규")</f>
        <v>신규</v>
      </c>
      <c r="H69" s="4"/>
    </row>
    <row r="70" ht="15.75" customHeight="1">
      <c r="A70" s="4" t="str">
        <f>IFERROR(__xludf.DUMMYFUNCTION("""COMPUTED_VALUE"""),"2026-04-04")</f>
        <v>2026-04-04</v>
      </c>
      <c r="B70" s="4" t="str">
        <f>IFERROR(__xludf.DUMMYFUNCTION("""COMPUTED_VALUE"""),"김나현7522")</f>
        <v>김나현7522</v>
      </c>
      <c r="C70" s="4" t="str">
        <f>IFERROR(__xludf.DUMMYFUNCTION("""COMPUTED_VALUE"""),"(이민호B) 단기록_확통(피드백)")</f>
        <v>(이민호B) 단기록_확통(피드백)</v>
      </c>
      <c r="D70" s="4" t="str">
        <f>IFERROR(__xludf.DUMMYFUNCTION("""COMPUTED_VALUE"""),"창고")</f>
        <v>창고</v>
      </c>
      <c r="E70" s="4">
        <f>IFERROR(__xludf.DUMMYFUNCTION("""COMPUTED_VALUE"""),1.0)</f>
        <v>1</v>
      </c>
      <c r="F70" s="4" t="str">
        <f>IFERROR(__xludf.DUMMYFUNCTION("""COMPUTED_VALUE"""),"기타")</f>
        <v>기타</v>
      </c>
      <c r="G70" s="4" t="str">
        <f>IFERROR(__xludf.DUMMYFUNCTION("""COMPUTED_VALUE"""),"신규")</f>
        <v>신규</v>
      </c>
      <c r="H70" s="4"/>
    </row>
    <row r="71" ht="15.75" customHeight="1">
      <c r="A71" s="4" t="str">
        <f>IFERROR(__xludf.DUMMYFUNCTION("""COMPUTED_VALUE"""),"2026-04-04")</f>
        <v>2026-04-04</v>
      </c>
      <c r="B71" s="4" t="str">
        <f>IFERROR(__xludf.DUMMYFUNCTION("""COMPUTED_VALUE"""),"김나현7522")</f>
        <v>김나현7522</v>
      </c>
      <c r="C71" s="4" t="str">
        <f>IFERROR(__xludf.DUMMYFUNCTION("""COMPUTED_VALUE"""),"(이민호B) 수해록_수2(수업)")</f>
        <v>(이민호B) 수해록_수2(수업)</v>
      </c>
      <c r="D71" s="4" t="str">
        <f>IFERROR(__xludf.DUMMYFUNCTION("""COMPUTED_VALUE"""),"창고")</f>
        <v>창고</v>
      </c>
      <c r="E71" s="4">
        <f>IFERROR(__xludf.DUMMYFUNCTION("""COMPUTED_VALUE"""),1.0)</f>
        <v>1</v>
      </c>
      <c r="F71" s="4" t="str">
        <f>IFERROR(__xludf.DUMMYFUNCTION("""COMPUTED_VALUE"""),"기타")</f>
        <v>기타</v>
      </c>
      <c r="G71" s="4" t="str">
        <f>IFERROR(__xludf.DUMMYFUNCTION("""COMPUTED_VALUE"""),"신규")</f>
        <v>신규</v>
      </c>
      <c r="H71" s="4"/>
    </row>
    <row r="72" ht="15.75" customHeight="1">
      <c r="A72" s="4" t="str">
        <f>IFERROR(__xludf.DUMMYFUNCTION("""COMPUTED_VALUE"""),"2026-04-04")</f>
        <v>2026-04-04</v>
      </c>
      <c r="B72" s="4" t="str">
        <f>IFERROR(__xludf.DUMMYFUNCTION("""COMPUTED_VALUE"""),"김나현7522")</f>
        <v>김나현7522</v>
      </c>
      <c r="C72" s="4" t="str">
        <f>IFERROR(__xludf.DUMMYFUNCTION("""COMPUTED_VALUE"""),"(이민호B) 수해록_확통(수업)")</f>
        <v>(이민호B) 수해록_확통(수업)</v>
      </c>
      <c r="D72" s="4" t="str">
        <f>IFERROR(__xludf.DUMMYFUNCTION("""COMPUTED_VALUE"""),"창고")</f>
        <v>창고</v>
      </c>
      <c r="E72" s="4">
        <f>IFERROR(__xludf.DUMMYFUNCTION("""COMPUTED_VALUE"""),1.0)</f>
        <v>1</v>
      </c>
      <c r="F72" s="4" t="str">
        <f>IFERROR(__xludf.DUMMYFUNCTION("""COMPUTED_VALUE"""),"기타")</f>
        <v>기타</v>
      </c>
      <c r="G72" s="4" t="str">
        <f>IFERROR(__xludf.DUMMYFUNCTION("""COMPUTED_VALUE"""),"신규")</f>
        <v>신규</v>
      </c>
      <c r="H72" s="4"/>
    </row>
    <row r="73" ht="15.75" customHeight="1">
      <c r="A73" s="4" t="str">
        <f>IFERROR(__xludf.DUMMYFUNCTION("""COMPUTED_VALUE"""),"2026-04-04")</f>
        <v>2026-04-04</v>
      </c>
      <c r="B73" s="4" t="str">
        <f>IFERROR(__xludf.DUMMYFUNCTION("""COMPUTED_VALUE"""),"김나현7522")</f>
        <v>김나현7522</v>
      </c>
      <c r="C73" s="4" t="str">
        <f>IFERROR(__xludf.DUMMYFUNCTION("""COMPUTED_VALUE"""),"(장진민) 생활과 윤리")</f>
        <v>(장진민) 생활과 윤리</v>
      </c>
      <c r="D73" s="4" t="str">
        <f>IFERROR(__xludf.DUMMYFUNCTION("""COMPUTED_VALUE"""),"창고")</f>
        <v>창고</v>
      </c>
      <c r="E73" s="4">
        <f>IFERROR(__xludf.DUMMYFUNCTION("""COMPUTED_VALUE"""),1.0)</f>
        <v>1</v>
      </c>
      <c r="F73" s="4" t="str">
        <f>IFERROR(__xludf.DUMMYFUNCTION("""COMPUTED_VALUE"""),"기타")</f>
        <v>기타</v>
      </c>
      <c r="G73" s="4" t="str">
        <f>IFERROR(__xludf.DUMMYFUNCTION("""COMPUTED_VALUE"""),"신규")</f>
        <v>신규</v>
      </c>
      <c r="H73" s="4"/>
    </row>
    <row r="74" ht="15.75" customHeight="1">
      <c r="A74" s="4" t="str">
        <f>IFERROR(__xludf.DUMMYFUNCTION("""COMPUTED_VALUE"""),"2026-04-04")</f>
        <v>2026-04-04</v>
      </c>
      <c r="B74" s="4" t="str">
        <f>IFERROR(__xludf.DUMMYFUNCTION("""COMPUTED_VALUE"""),"임하린3311")</f>
        <v>임하린3311</v>
      </c>
      <c r="C74" s="4" t="str">
        <f>IFERROR(__xludf.DUMMYFUNCTION("""COMPUTED_VALUE"""),"(국어선택) 화법과작문")</f>
        <v>(국어선택) 화법과작문</v>
      </c>
      <c r="D74" s="4" t="str">
        <f>IFERROR(__xludf.DUMMYFUNCTION("""COMPUTED_VALUE"""),"창고")</f>
        <v>창고</v>
      </c>
      <c r="E74" s="4">
        <f>IFERROR(__xludf.DUMMYFUNCTION("""COMPUTED_VALUE"""),1.0)</f>
        <v>1</v>
      </c>
      <c r="F74" s="4" t="str">
        <f>IFERROR(__xludf.DUMMYFUNCTION("""COMPUTED_VALUE"""),"기타")</f>
        <v>기타</v>
      </c>
      <c r="G74" s="4" t="str">
        <f>IFERROR(__xludf.DUMMYFUNCTION("""COMPUTED_VALUE"""),"신규")</f>
        <v>신규</v>
      </c>
      <c r="H74" s="4"/>
    </row>
    <row r="75" ht="15.75" customHeight="1">
      <c r="A75" s="4" t="str">
        <f>IFERROR(__xludf.DUMMYFUNCTION("""COMPUTED_VALUE"""),"2026-04-04")</f>
        <v>2026-04-04</v>
      </c>
      <c r="B75" s="4" t="str">
        <f>IFERROR(__xludf.DUMMYFUNCTION("""COMPUTED_VALUE"""),"임하린3311")</f>
        <v>임하린3311</v>
      </c>
      <c r="C75" s="4" t="str">
        <f>IFERROR(__xludf.DUMMYFUNCTION("""COMPUTED_VALUE"""),"(김학림전종현) 쎄타_수2M수업")</f>
        <v>(김학림전종현) 쎄타_수2M수업</v>
      </c>
      <c r="D75" s="4" t="str">
        <f>IFERROR(__xludf.DUMMYFUNCTION("""COMPUTED_VALUE"""),"창고")</f>
        <v>창고</v>
      </c>
      <c r="E75" s="4">
        <f>IFERROR(__xludf.DUMMYFUNCTION("""COMPUTED_VALUE"""),1.0)</f>
        <v>1</v>
      </c>
      <c r="F75" s="4" t="str">
        <f>IFERROR(__xludf.DUMMYFUNCTION("""COMPUTED_VALUE"""),"기타")</f>
        <v>기타</v>
      </c>
      <c r="G75" s="4" t="str">
        <f>IFERROR(__xludf.DUMMYFUNCTION("""COMPUTED_VALUE"""),"신규")</f>
        <v>신규</v>
      </c>
      <c r="H75" s="4"/>
    </row>
    <row r="76" ht="15.75" customHeight="1">
      <c r="A76" s="4" t="str">
        <f>IFERROR(__xludf.DUMMYFUNCTION("""COMPUTED_VALUE"""),"2026-04-04")</f>
        <v>2026-04-04</v>
      </c>
      <c r="B76" s="4" t="str">
        <f>IFERROR(__xludf.DUMMYFUNCTION("""COMPUTED_VALUE"""),"임하린3311")</f>
        <v>임하린3311</v>
      </c>
      <c r="C76" s="4" t="str">
        <f>IFERROR(__xludf.DUMMYFUNCTION("""COMPUTED_VALUE"""),"(김학림전종현) 쎄타_수2M피드백")</f>
        <v>(김학림전종현) 쎄타_수2M피드백</v>
      </c>
      <c r="D76" s="4" t="str">
        <f>IFERROR(__xludf.DUMMYFUNCTION("""COMPUTED_VALUE"""),"창고")</f>
        <v>창고</v>
      </c>
      <c r="E76" s="4">
        <f>IFERROR(__xludf.DUMMYFUNCTION("""COMPUTED_VALUE"""),1.0)</f>
        <v>1</v>
      </c>
      <c r="F76" s="4" t="str">
        <f>IFERROR(__xludf.DUMMYFUNCTION("""COMPUTED_VALUE"""),"기타")</f>
        <v>기타</v>
      </c>
      <c r="G76" s="4" t="str">
        <f>IFERROR(__xludf.DUMMYFUNCTION("""COMPUTED_VALUE"""),"신규")</f>
        <v>신규</v>
      </c>
      <c r="H76" s="4"/>
    </row>
    <row r="77" ht="15.75" customHeight="1">
      <c r="A77" s="4" t="str">
        <f>IFERROR(__xludf.DUMMYFUNCTION("""COMPUTED_VALUE"""),"2026-04-04")</f>
        <v>2026-04-04</v>
      </c>
      <c r="B77" s="4" t="str">
        <f>IFERROR(__xludf.DUMMYFUNCTION("""COMPUTED_VALUE"""),"임하린3311")</f>
        <v>임하린3311</v>
      </c>
      <c r="C77" s="4" t="str">
        <f>IFERROR(__xludf.DUMMYFUNCTION("""COMPUTED_VALUE"""),"(김학림전종현) 쎄타_확통M수업")</f>
        <v>(김학림전종현) 쎄타_확통M수업</v>
      </c>
      <c r="D77" s="4" t="str">
        <f>IFERROR(__xludf.DUMMYFUNCTION("""COMPUTED_VALUE"""),"창고")</f>
        <v>창고</v>
      </c>
      <c r="E77" s="4">
        <f>IFERROR(__xludf.DUMMYFUNCTION("""COMPUTED_VALUE"""),1.0)</f>
        <v>1</v>
      </c>
      <c r="F77" s="4" t="str">
        <f>IFERROR(__xludf.DUMMYFUNCTION("""COMPUTED_VALUE"""),"기타")</f>
        <v>기타</v>
      </c>
      <c r="G77" s="4" t="str">
        <f>IFERROR(__xludf.DUMMYFUNCTION("""COMPUTED_VALUE"""),"신규")</f>
        <v>신규</v>
      </c>
      <c r="H77" s="4"/>
    </row>
    <row r="78" ht="15.75" customHeight="1">
      <c r="A78" s="4" t="str">
        <f>IFERROR(__xludf.DUMMYFUNCTION("""COMPUTED_VALUE"""),"2026-04-04")</f>
        <v>2026-04-04</v>
      </c>
      <c r="B78" s="4" t="str">
        <f>IFERROR(__xludf.DUMMYFUNCTION("""COMPUTED_VALUE"""),"임하린3311")</f>
        <v>임하린3311</v>
      </c>
      <c r="C78" s="4" t="str">
        <f>IFERROR(__xludf.DUMMYFUNCTION("""COMPUTED_VALUE"""),"(김학림전종현) 쎄타_확통M피드백")</f>
        <v>(김학림전종현) 쎄타_확통M피드백</v>
      </c>
      <c r="D78" s="4" t="str">
        <f>IFERROR(__xludf.DUMMYFUNCTION("""COMPUTED_VALUE"""),"창고")</f>
        <v>창고</v>
      </c>
      <c r="E78" s="4">
        <f>IFERROR(__xludf.DUMMYFUNCTION("""COMPUTED_VALUE"""),1.0)</f>
        <v>1</v>
      </c>
      <c r="F78" s="4" t="str">
        <f>IFERROR(__xludf.DUMMYFUNCTION("""COMPUTED_VALUE"""),"기타")</f>
        <v>기타</v>
      </c>
      <c r="G78" s="4" t="str">
        <f>IFERROR(__xludf.DUMMYFUNCTION("""COMPUTED_VALUE"""),"신규")</f>
        <v>신규</v>
      </c>
      <c r="H78" s="4"/>
    </row>
    <row r="79" ht="15.75" customHeight="1">
      <c r="A79" s="4" t="str">
        <f>IFERROR(__xludf.DUMMYFUNCTION("""COMPUTED_VALUE"""),"2026-04-04")</f>
        <v>2026-04-04</v>
      </c>
      <c r="B79" s="4" t="str">
        <f>IFERROR(__xludf.DUMMYFUNCTION("""COMPUTED_VALUE"""),"조현우6865")</f>
        <v>조현우6865</v>
      </c>
      <c r="C79" s="4" t="str">
        <f>IFERROR(__xludf.DUMMYFUNCTION("""COMPUTED_VALUE"""),"(강성욱) 사회문화")</f>
        <v>(강성욱) 사회문화</v>
      </c>
      <c r="D79" s="4" t="str">
        <f>IFERROR(__xludf.DUMMYFUNCTION("""COMPUTED_VALUE"""),"창고")</f>
        <v>창고</v>
      </c>
      <c r="E79" s="4">
        <f>IFERROR(__xludf.DUMMYFUNCTION("""COMPUTED_VALUE"""),1.0)</f>
        <v>1</v>
      </c>
      <c r="F79" s="4" t="str">
        <f>IFERROR(__xludf.DUMMYFUNCTION("""COMPUTED_VALUE"""),"기타")</f>
        <v>기타</v>
      </c>
      <c r="G79" s="4" t="str">
        <f>IFERROR(__xludf.DUMMYFUNCTION("""COMPUTED_VALUE"""),"신규")</f>
        <v>신규</v>
      </c>
      <c r="H79" s="4"/>
    </row>
    <row r="80" ht="15.75" customHeight="1">
      <c r="A80" s="4" t="str">
        <f>IFERROR(__xludf.DUMMYFUNCTION("""COMPUTED_VALUE"""),"2026-04-04")</f>
        <v>2026-04-04</v>
      </c>
      <c r="B80" s="4" t="str">
        <f>IFERROR(__xludf.DUMMYFUNCTION("""COMPUTED_VALUE"""),"조현우6865")</f>
        <v>조현우6865</v>
      </c>
      <c r="C80" s="4" t="str">
        <f>IFERROR(__xludf.DUMMYFUNCTION("""COMPUTED_VALUE"""),"(국어선택) 언어와매체")</f>
        <v>(국어선택) 언어와매체</v>
      </c>
      <c r="D80" s="4" t="str">
        <f>IFERROR(__xludf.DUMMYFUNCTION("""COMPUTED_VALUE"""),"창고")</f>
        <v>창고</v>
      </c>
      <c r="E80" s="4">
        <f>IFERROR(__xludf.DUMMYFUNCTION("""COMPUTED_VALUE"""),1.0)</f>
        <v>1</v>
      </c>
      <c r="F80" s="4" t="str">
        <f>IFERROR(__xludf.DUMMYFUNCTION("""COMPUTED_VALUE"""),"기타")</f>
        <v>기타</v>
      </c>
      <c r="G80" s="4" t="str">
        <f>IFERROR(__xludf.DUMMYFUNCTION("""COMPUTED_VALUE"""),"신규")</f>
        <v>신규</v>
      </c>
      <c r="H80" s="4"/>
    </row>
    <row r="81" ht="15.75" customHeight="1">
      <c r="A81" s="4" t="str">
        <f>IFERROR(__xludf.DUMMYFUNCTION("""COMPUTED_VALUE"""),"2026-04-04")</f>
        <v>2026-04-04</v>
      </c>
      <c r="B81" s="4" t="str">
        <f>IFERROR(__xludf.DUMMYFUNCTION("""COMPUTED_VALUE"""),"조현우6865")</f>
        <v>조현우6865</v>
      </c>
      <c r="C81" s="4" t="str">
        <f>IFERROR(__xludf.DUMMYFUNCTION("""COMPUTED_VALUE"""),"(김학림전종현) 쎄타_수2M수업")</f>
        <v>(김학림전종현) 쎄타_수2M수업</v>
      </c>
      <c r="D81" s="4" t="str">
        <f>IFERROR(__xludf.DUMMYFUNCTION("""COMPUTED_VALUE"""),"창고")</f>
        <v>창고</v>
      </c>
      <c r="E81" s="4">
        <f>IFERROR(__xludf.DUMMYFUNCTION("""COMPUTED_VALUE"""),1.0)</f>
        <v>1</v>
      </c>
      <c r="F81" s="4" t="str">
        <f>IFERROR(__xludf.DUMMYFUNCTION("""COMPUTED_VALUE"""),"기타")</f>
        <v>기타</v>
      </c>
      <c r="G81" s="4" t="str">
        <f>IFERROR(__xludf.DUMMYFUNCTION("""COMPUTED_VALUE"""),"신규")</f>
        <v>신규</v>
      </c>
      <c r="H81" s="4"/>
    </row>
    <row r="82" ht="15.75" customHeight="1">
      <c r="A82" s="4" t="str">
        <f>IFERROR(__xludf.DUMMYFUNCTION("""COMPUTED_VALUE"""),"2026-04-04")</f>
        <v>2026-04-04</v>
      </c>
      <c r="B82" s="4" t="str">
        <f>IFERROR(__xludf.DUMMYFUNCTION("""COMPUTED_VALUE"""),"조현우6865")</f>
        <v>조현우6865</v>
      </c>
      <c r="C82" s="4" t="str">
        <f>IFERROR(__xludf.DUMMYFUNCTION("""COMPUTED_VALUE"""),"(김학림전종현) 쎄타_수2M피드백")</f>
        <v>(김학림전종현) 쎄타_수2M피드백</v>
      </c>
      <c r="D82" s="4" t="str">
        <f>IFERROR(__xludf.DUMMYFUNCTION("""COMPUTED_VALUE"""),"창고")</f>
        <v>창고</v>
      </c>
      <c r="E82" s="4">
        <f>IFERROR(__xludf.DUMMYFUNCTION("""COMPUTED_VALUE"""),1.0)</f>
        <v>1</v>
      </c>
      <c r="F82" s="4" t="str">
        <f>IFERROR(__xludf.DUMMYFUNCTION("""COMPUTED_VALUE"""),"기타")</f>
        <v>기타</v>
      </c>
      <c r="G82" s="4" t="str">
        <f>IFERROR(__xludf.DUMMYFUNCTION("""COMPUTED_VALUE"""),"신규")</f>
        <v>신규</v>
      </c>
      <c r="H82" s="4"/>
    </row>
    <row r="83" ht="15.75" customHeight="1">
      <c r="A83" s="4" t="str">
        <f>IFERROR(__xludf.DUMMYFUNCTION("""COMPUTED_VALUE"""),"2026-04-04")</f>
        <v>2026-04-04</v>
      </c>
      <c r="B83" s="4" t="str">
        <f>IFERROR(__xludf.DUMMYFUNCTION("""COMPUTED_VALUE"""),"조현우6865")</f>
        <v>조현우6865</v>
      </c>
      <c r="C83" s="4" t="str">
        <f>IFERROR(__xludf.DUMMYFUNCTION("""COMPUTED_VALUE"""),"(김학림전종현) 쎄타_확통M수업")</f>
        <v>(김학림전종현) 쎄타_확통M수업</v>
      </c>
      <c r="D83" s="4" t="str">
        <f>IFERROR(__xludf.DUMMYFUNCTION("""COMPUTED_VALUE"""),"창고")</f>
        <v>창고</v>
      </c>
      <c r="E83" s="4">
        <f>IFERROR(__xludf.DUMMYFUNCTION("""COMPUTED_VALUE"""),1.0)</f>
        <v>1</v>
      </c>
      <c r="F83" s="4" t="str">
        <f>IFERROR(__xludf.DUMMYFUNCTION("""COMPUTED_VALUE"""),"기타")</f>
        <v>기타</v>
      </c>
      <c r="G83" s="4" t="str">
        <f>IFERROR(__xludf.DUMMYFUNCTION("""COMPUTED_VALUE"""),"신규")</f>
        <v>신규</v>
      </c>
      <c r="H83" s="4"/>
    </row>
    <row r="84" ht="15.75" customHeight="1">
      <c r="A84" s="4" t="str">
        <f>IFERROR(__xludf.DUMMYFUNCTION("""COMPUTED_VALUE"""),"2026-04-04")</f>
        <v>2026-04-04</v>
      </c>
      <c r="B84" s="4" t="str">
        <f>IFERROR(__xludf.DUMMYFUNCTION("""COMPUTED_VALUE"""),"조현우6865")</f>
        <v>조현우6865</v>
      </c>
      <c r="C84" s="4" t="str">
        <f>IFERROR(__xludf.DUMMYFUNCTION("""COMPUTED_VALUE"""),"(김학림전종현) 쎄타_확통M피드백")</f>
        <v>(김학림전종현) 쎄타_확통M피드백</v>
      </c>
      <c r="D84" s="4" t="str">
        <f>IFERROR(__xludf.DUMMYFUNCTION("""COMPUTED_VALUE"""),"창고")</f>
        <v>창고</v>
      </c>
      <c r="E84" s="4">
        <f>IFERROR(__xludf.DUMMYFUNCTION("""COMPUTED_VALUE"""),1.0)</f>
        <v>1</v>
      </c>
      <c r="F84" s="4" t="str">
        <f>IFERROR(__xludf.DUMMYFUNCTION("""COMPUTED_VALUE"""),"기타")</f>
        <v>기타</v>
      </c>
      <c r="G84" s="4" t="str">
        <f>IFERROR(__xludf.DUMMYFUNCTION("""COMPUTED_VALUE"""),"신규")</f>
        <v>신규</v>
      </c>
      <c r="H84" s="4"/>
    </row>
    <row r="85" ht="15.75" customHeight="1">
      <c r="A85" s="4" t="str">
        <f>IFERROR(__xludf.DUMMYFUNCTION("""COMPUTED_VALUE"""),"2026-04-04")</f>
        <v>2026-04-04</v>
      </c>
      <c r="B85" s="4" t="str">
        <f>IFERROR(__xludf.DUMMYFUNCTION("""COMPUTED_VALUE"""),"조현우6865")</f>
        <v>조현우6865</v>
      </c>
      <c r="C85" s="4" t="str">
        <f>IFERROR(__xludf.DUMMYFUNCTION("""COMPUTED_VALUE"""),"(장진민) 생활과 윤리")</f>
        <v>(장진민) 생활과 윤리</v>
      </c>
      <c r="D85" s="4" t="str">
        <f>IFERROR(__xludf.DUMMYFUNCTION("""COMPUTED_VALUE"""),"창고")</f>
        <v>창고</v>
      </c>
      <c r="E85" s="4">
        <f>IFERROR(__xludf.DUMMYFUNCTION("""COMPUTED_VALUE"""),1.0)</f>
        <v>1</v>
      </c>
      <c r="F85" s="4" t="str">
        <f>IFERROR(__xludf.DUMMYFUNCTION("""COMPUTED_VALUE"""),"기타")</f>
        <v>기타</v>
      </c>
      <c r="G85" s="4" t="str">
        <f>IFERROR(__xludf.DUMMYFUNCTION("""COMPUTED_VALUE"""),"신규")</f>
        <v>신규</v>
      </c>
      <c r="H85" s="4"/>
    </row>
    <row r="86" ht="15.75" customHeight="1">
      <c r="A86" s="4" t="str">
        <f>IFERROR(__xludf.DUMMYFUNCTION("""COMPUTED_VALUE"""),"2026-04-04")</f>
        <v>2026-04-04</v>
      </c>
      <c r="B86" s="4" t="str">
        <f>IFERROR(__xludf.DUMMYFUNCTION("""COMPUTED_VALUE"""),"이소의5141")</f>
        <v>이소의5141</v>
      </c>
      <c r="C86" s="4" t="str">
        <f>IFERROR(__xludf.DUMMYFUNCTION("""COMPUTED_VALUE"""),"(강성욱) 정치와 법")</f>
        <v>(강성욱) 정치와 법</v>
      </c>
      <c r="D86" s="4" t="str">
        <f>IFERROR(__xludf.DUMMYFUNCTION("""COMPUTED_VALUE"""),"창고")</f>
        <v>창고</v>
      </c>
      <c r="E86" s="4">
        <f>IFERROR(__xludf.DUMMYFUNCTION("""COMPUTED_VALUE"""),1.0)</f>
        <v>1</v>
      </c>
      <c r="F86" s="4" t="str">
        <f>IFERROR(__xludf.DUMMYFUNCTION("""COMPUTED_VALUE"""),"기타")</f>
        <v>기타</v>
      </c>
      <c r="G86" s="4" t="str">
        <f>IFERROR(__xludf.DUMMYFUNCTION("""COMPUTED_VALUE"""),"신규")</f>
        <v>신규</v>
      </c>
      <c r="H86" s="4"/>
    </row>
    <row r="87" ht="15.75" customHeight="1">
      <c r="A87" s="4" t="str">
        <f>IFERROR(__xludf.DUMMYFUNCTION("""COMPUTED_VALUE"""),"2026-04-04")</f>
        <v>2026-04-04</v>
      </c>
      <c r="B87" s="4" t="str">
        <f>IFERROR(__xludf.DUMMYFUNCTION("""COMPUTED_VALUE"""),"이소의5141")</f>
        <v>이소의5141</v>
      </c>
      <c r="C87" s="4" t="str">
        <f>IFERROR(__xludf.DUMMYFUNCTION("""COMPUTED_VALUE"""),"(국어선택) 화법과작문")</f>
        <v>(국어선택) 화법과작문</v>
      </c>
      <c r="D87" s="4" t="str">
        <f>IFERROR(__xludf.DUMMYFUNCTION("""COMPUTED_VALUE"""),"창고")</f>
        <v>창고</v>
      </c>
      <c r="E87" s="4">
        <f>IFERROR(__xludf.DUMMYFUNCTION("""COMPUTED_VALUE"""),1.0)</f>
        <v>1</v>
      </c>
      <c r="F87" s="4" t="str">
        <f>IFERROR(__xludf.DUMMYFUNCTION("""COMPUTED_VALUE"""),"기타")</f>
        <v>기타</v>
      </c>
      <c r="G87" s="4" t="str">
        <f>IFERROR(__xludf.DUMMYFUNCTION("""COMPUTED_VALUE"""),"신규")</f>
        <v>신규</v>
      </c>
      <c r="H87" s="4"/>
    </row>
    <row r="88" ht="15.75" customHeight="1">
      <c r="A88" s="4" t="str">
        <f>IFERROR(__xludf.DUMMYFUNCTION("""COMPUTED_VALUE"""),"2026-04-04")</f>
        <v>2026-04-04</v>
      </c>
      <c r="B88" s="4" t="str">
        <f>IFERROR(__xludf.DUMMYFUNCTION("""COMPUTED_VALUE"""),"이소의5141")</f>
        <v>이소의5141</v>
      </c>
      <c r="C88" s="4" t="str">
        <f>IFERROR(__xludf.DUMMYFUNCTION("""COMPUTED_VALUE"""),"(김학림전종현) 쎄타_수2M수업")</f>
        <v>(김학림전종현) 쎄타_수2M수업</v>
      </c>
      <c r="D88" s="4" t="str">
        <f>IFERROR(__xludf.DUMMYFUNCTION("""COMPUTED_VALUE"""),"창고")</f>
        <v>창고</v>
      </c>
      <c r="E88" s="4">
        <f>IFERROR(__xludf.DUMMYFUNCTION("""COMPUTED_VALUE"""),1.0)</f>
        <v>1</v>
      </c>
      <c r="F88" s="4" t="str">
        <f>IFERROR(__xludf.DUMMYFUNCTION("""COMPUTED_VALUE"""),"기타")</f>
        <v>기타</v>
      </c>
      <c r="G88" s="4" t="str">
        <f>IFERROR(__xludf.DUMMYFUNCTION("""COMPUTED_VALUE"""),"신규")</f>
        <v>신규</v>
      </c>
      <c r="H88" s="4"/>
    </row>
    <row r="89" ht="15.75" customHeight="1">
      <c r="A89" s="4" t="str">
        <f>IFERROR(__xludf.DUMMYFUNCTION("""COMPUTED_VALUE"""),"2026-04-04")</f>
        <v>2026-04-04</v>
      </c>
      <c r="B89" s="4" t="str">
        <f>IFERROR(__xludf.DUMMYFUNCTION("""COMPUTED_VALUE"""),"이소의5141")</f>
        <v>이소의5141</v>
      </c>
      <c r="C89" s="4" t="str">
        <f>IFERROR(__xludf.DUMMYFUNCTION("""COMPUTED_VALUE"""),"(김학림전종현) 쎄타_수2M피드백")</f>
        <v>(김학림전종현) 쎄타_수2M피드백</v>
      </c>
      <c r="D89" s="4" t="str">
        <f>IFERROR(__xludf.DUMMYFUNCTION("""COMPUTED_VALUE"""),"창고")</f>
        <v>창고</v>
      </c>
      <c r="E89" s="4">
        <f>IFERROR(__xludf.DUMMYFUNCTION("""COMPUTED_VALUE"""),1.0)</f>
        <v>1</v>
      </c>
      <c r="F89" s="4" t="str">
        <f>IFERROR(__xludf.DUMMYFUNCTION("""COMPUTED_VALUE"""),"기타")</f>
        <v>기타</v>
      </c>
      <c r="G89" s="4" t="str">
        <f>IFERROR(__xludf.DUMMYFUNCTION("""COMPUTED_VALUE"""),"신규")</f>
        <v>신규</v>
      </c>
      <c r="H89" s="4"/>
    </row>
    <row r="90" ht="15.75" customHeight="1">
      <c r="A90" s="4" t="str">
        <f>IFERROR(__xludf.DUMMYFUNCTION("""COMPUTED_VALUE"""),"2026-04-04")</f>
        <v>2026-04-04</v>
      </c>
      <c r="B90" s="4" t="str">
        <f>IFERROR(__xludf.DUMMYFUNCTION("""COMPUTED_VALUE"""),"이소의5141")</f>
        <v>이소의5141</v>
      </c>
      <c r="C90" s="4" t="str">
        <f>IFERROR(__xludf.DUMMYFUNCTION("""COMPUTED_VALUE"""),"(김학림전종현) 쎄타_확통M수업")</f>
        <v>(김학림전종현) 쎄타_확통M수업</v>
      </c>
      <c r="D90" s="4" t="str">
        <f>IFERROR(__xludf.DUMMYFUNCTION("""COMPUTED_VALUE"""),"창고")</f>
        <v>창고</v>
      </c>
      <c r="E90" s="4">
        <f>IFERROR(__xludf.DUMMYFUNCTION("""COMPUTED_VALUE"""),1.0)</f>
        <v>1</v>
      </c>
      <c r="F90" s="4" t="str">
        <f>IFERROR(__xludf.DUMMYFUNCTION("""COMPUTED_VALUE"""),"기타")</f>
        <v>기타</v>
      </c>
      <c r="G90" s="4" t="str">
        <f>IFERROR(__xludf.DUMMYFUNCTION("""COMPUTED_VALUE"""),"신규")</f>
        <v>신규</v>
      </c>
      <c r="H90" s="4"/>
    </row>
    <row r="91" ht="15.75" customHeight="1">
      <c r="A91" s="4" t="str">
        <f>IFERROR(__xludf.DUMMYFUNCTION("""COMPUTED_VALUE"""),"2026-04-04")</f>
        <v>2026-04-04</v>
      </c>
      <c r="B91" s="4" t="str">
        <f>IFERROR(__xludf.DUMMYFUNCTION("""COMPUTED_VALUE"""),"이소의5141")</f>
        <v>이소의5141</v>
      </c>
      <c r="C91" s="4" t="str">
        <f>IFERROR(__xludf.DUMMYFUNCTION("""COMPUTED_VALUE"""),"(김학림전종현) 쎄타_확통M피드백")</f>
        <v>(김학림전종현) 쎄타_확통M피드백</v>
      </c>
      <c r="D91" s="4" t="str">
        <f>IFERROR(__xludf.DUMMYFUNCTION("""COMPUTED_VALUE"""),"창고")</f>
        <v>창고</v>
      </c>
      <c r="E91" s="4">
        <f>IFERROR(__xludf.DUMMYFUNCTION("""COMPUTED_VALUE"""),1.0)</f>
        <v>1</v>
      </c>
      <c r="F91" s="4" t="str">
        <f>IFERROR(__xludf.DUMMYFUNCTION("""COMPUTED_VALUE"""),"기타")</f>
        <v>기타</v>
      </c>
      <c r="G91" s="4" t="str">
        <f>IFERROR(__xludf.DUMMYFUNCTION("""COMPUTED_VALUE"""),"신규")</f>
        <v>신규</v>
      </c>
      <c r="H91" s="4"/>
    </row>
    <row r="92" ht="15.75" customHeight="1">
      <c r="A92" s="4" t="str">
        <f>IFERROR(__xludf.DUMMYFUNCTION("""COMPUTED_VALUE"""),"2026-04-04")</f>
        <v>2026-04-04</v>
      </c>
      <c r="B92" s="4" t="str">
        <f>IFERROR(__xludf.DUMMYFUNCTION("""COMPUTED_VALUE"""),"박혜인8932")</f>
        <v>박혜인8932</v>
      </c>
      <c r="C92" s="4" t="str">
        <f>IFERROR(__xludf.DUMMYFUNCTION("""COMPUTED_VALUE"""),"(국어선택) 언어와매체")</f>
        <v>(국어선택) 언어와매체</v>
      </c>
      <c r="D92" s="4" t="str">
        <f>IFERROR(__xludf.DUMMYFUNCTION("""COMPUTED_VALUE"""),"창고")</f>
        <v>창고</v>
      </c>
      <c r="E92" s="4">
        <f>IFERROR(__xludf.DUMMYFUNCTION("""COMPUTED_VALUE"""),1.0)</f>
        <v>1</v>
      </c>
      <c r="F92" s="4" t="str">
        <f>IFERROR(__xludf.DUMMYFUNCTION("""COMPUTED_VALUE"""),"기타")</f>
        <v>기타</v>
      </c>
      <c r="G92" s="4" t="str">
        <f>IFERROR(__xludf.DUMMYFUNCTION("""COMPUTED_VALUE"""),"신규")</f>
        <v>신규</v>
      </c>
      <c r="H92" s="4"/>
    </row>
    <row r="93" ht="15.75" customHeight="1">
      <c r="A93" s="4" t="str">
        <f>IFERROR(__xludf.DUMMYFUNCTION("""COMPUTED_VALUE"""),"2026-04-04")</f>
        <v>2026-04-04</v>
      </c>
      <c r="B93" s="4" t="str">
        <f>IFERROR(__xludf.DUMMYFUNCTION("""COMPUTED_VALUE"""),"박혜인8932")</f>
        <v>박혜인8932</v>
      </c>
      <c r="C93" s="4" t="str">
        <f>IFERROR(__xludf.DUMMYFUNCTION("""COMPUTED_VALUE"""),"(김학림전종현) 쎄타_수2M수업")</f>
        <v>(김학림전종현) 쎄타_수2M수업</v>
      </c>
      <c r="D93" s="4" t="str">
        <f>IFERROR(__xludf.DUMMYFUNCTION("""COMPUTED_VALUE"""),"창고")</f>
        <v>창고</v>
      </c>
      <c r="E93" s="4">
        <f>IFERROR(__xludf.DUMMYFUNCTION("""COMPUTED_VALUE"""),1.0)</f>
        <v>1</v>
      </c>
      <c r="F93" s="4" t="str">
        <f>IFERROR(__xludf.DUMMYFUNCTION("""COMPUTED_VALUE"""),"기타")</f>
        <v>기타</v>
      </c>
      <c r="G93" s="4" t="str">
        <f>IFERROR(__xludf.DUMMYFUNCTION("""COMPUTED_VALUE"""),"신규")</f>
        <v>신규</v>
      </c>
      <c r="H93" s="4"/>
    </row>
    <row r="94" ht="15.75" customHeight="1">
      <c r="A94" s="4" t="str">
        <f>IFERROR(__xludf.DUMMYFUNCTION("""COMPUTED_VALUE"""),"2026-04-04")</f>
        <v>2026-04-04</v>
      </c>
      <c r="B94" s="4" t="str">
        <f>IFERROR(__xludf.DUMMYFUNCTION("""COMPUTED_VALUE"""),"박혜인8932")</f>
        <v>박혜인8932</v>
      </c>
      <c r="C94" s="4" t="str">
        <f>IFERROR(__xludf.DUMMYFUNCTION("""COMPUTED_VALUE"""),"(김학림전종현) 쎄타_수2M피드백")</f>
        <v>(김학림전종현) 쎄타_수2M피드백</v>
      </c>
      <c r="D94" s="4" t="str">
        <f>IFERROR(__xludf.DUMMYFUNCTION("""COMPUTED_VALUE"""),"창고")</f>
        <v>창고</v>
      </c>
      <c r="E94" s="4">
        <f>IFERROR(__xludf.DUMMYFUNCTION("""COMPUTED_VALUE"""),1.0)</f>
        <v>1</v>
      </c>
      <c r="F94" s="4" t="str">
        <f>IFERROR(__xludf.DUMMYFUNCTION("""COMPUTED_VALUE"""),"기타")</f>
        <v>기타</v>
      </c>
      <c r="G94" s="4" t="str">
        <f>IFERROR(__xludf.DUMMYFUNCTION("""COMPUTED_VALUE"""),"신규")</f>
        <v>신규</v>
      </c>
      <c r="H94" s="4"/>
    </row>
    <row r="95" ht="15.75" customHeight="1">
      <c r="A95" s="4" t="str">
        <f>IFERROR(__xludf.DUMMYFUNCTION("""COMPUTED_VALUE"""),"2026-04-04")</f>
        <v>2026-04-04</v>
      </c>
      <c r="B95" s="4" t="str">
        <f>IFERROR(__xludf.DUMMYFUNCTION("""COMPUTED_VALUE"""),"박혜인8932")</f>
        <v>박혜인8932</v>
      </c>
      <c r="C95" s="4" t="str">
        <f>IFERROR(__xludf.DUMMYFUNCTION("""COMPUTED_VALUE"""),"(김학림전종현) 쎄타_확통M수업")</f>
        <v>(김학림전종현) 쎄타_확통M수업</v>
      </c>
      <c r="D95" s="4" t="str">
        <f>IFERROR(__xludf.DUMMYFUNCTION("""COMPUTED_VALUE"""),"창고")</f>
        <v>창고</v>
      </c>
      <c r="E95" s="4">
        <f>IFERROR(__xludf.DUMMYFUNCTION("""COMPUTED_VALUE"""),1.0)</f>
        <v>1</v>
      </c>
      <c r="F95" s="4" t="str">
        <f>IFERROR(__xludf.DUMMYFUNCTION("""COMPUTED_VALUE"""),"기타")</f>
        <v>기타</v>
      </c>
      <c r="G95" s="4" t="str">
        <f>IFERROR(__xludf.DUMMYFUNCTION("""COMPUTED_VALUE"""),"신규")</f>
        <v>신규</v>
      </c>
      <c r="H95" s="4"/>
    </row>
    <row r="96" ht="15.75" customHeight="1">
      <c r="A96" s="4" t="str">
        <f>IFERROR(__xludf.DUMMYFUNCTION("""COMPUTED_VALUE"""),"2026-04-04")</f>
        <v>2026-04-04</v>
      </c>
      <c r="B96" s="4" t="str">
        <f>IFERROR(__xludf.DUMMYFUNCTION("""COMPUTED_VALUE"""),"박혜인8932")</f>
        <v>박혜인8932</v>
      </c>
      <c r="C96" s="4" t="str">
        <f>IFERROR(__xludf.DUMMYFUNCTION("""COMPUTED_VALUE"""),"(김학림전종현) 쎄타_확통M피드백")</f>
        <v>(김학림전종현) 쎄타_확통M피드백</v>
      </c>
      <c r="D96" s="4" t="str">
        <f>IFERROR(__xludf.DUMMYFUNCTION("""COMPUTED_VALUE"""),"창고")</f>
        <v>창고</v>
      </c>
      <c r="E96" s="4">
        <f>IFERROR(__xludf.DUMMYFUNCTION("""COMPUTED_VALUE"""),1.0)</f>
        <v>1</v>
      </c>
      <c r="F96" s="4" t="str">
        <f>IFERROR(__xludf.DUMMYFUNCTION("""COMPUTED_VALUE"""),"기타")</f>
        <v>기타</v>
      </c>
      <c r="G96" s="4" t="str">
        <f>IFERROR(__xludf.DUMMYFUNCTION("""COMPUTED_VALUE"""),"신규")</f>
        <v>신규</v>
      </c>
      <c r="H96" s="4"/>
    </row>
    <row r="97" ht="15.75" customHeight="1">
      <c r="A97" s="4" t="str">
        <f>IFERROR(__xludf.DUMMYFUNCTION("""COMPUTED_VALUE"""),"2026-04-04")</f>
        <v>2026-04-04</v>
      </c>
      <c r="B97" s="4" t="str">
        <f>IFERROR(__xludf.DUMMYFUNCTION("""COMPUTED_VALUE"""),"박혜인8932")</f>
        <v>박혜인8932</v>
      </c>
      <c r="C97" s="4" t="str">
        <f>IFERROR(__xludf.DUMMYFUNCTION("""COMPUTED_VALUE"""),"(한진구) 윤리와 사상")</f>
        <v>(한진구) 윤리와 사상</v>
      </c>
      <c r="D97" s="4" t="str">
        <f>IFERROR(__xludf.DUMMYFUNCTION("""COMPUTED_VALUE"""),"창고")</f>
        <v>창고</v>
      </c>
      <c r="E97" s="4">
        <f>IFERROR(__xludf.DUMMYFUNCTION("""COMPUTED_VALUE"""),1.0)</f>
        <v>1</v>
      </c>
      <c r="F97" s="4" t="str">
        <f>IFERROR(__xludf.DUMMYFUNCTION("""COMPUTED_VALUE"""),"기타")</f>
        <v>기타</v>
      </c>
      <c r="G97" s="4" t="str">
        <f>IFERROR(__xludf.DUMMYFUNCTION("""COMPUTED_VALUE"""),"신규")</f>
        <v>신규</v>
      </c>
      <c r="H97" s="4"/>
    </row>
    <row r="98" ht="15.75" customHeight="1">
      <c r="A98" s="4" t="str">
        <f>IFERROR(__xludf.DUMMYFUNCTION("""COMPUTED_VALUE"""),"2026-04-04")</f>
        <v>2026-04-04</v>
      </c>
      <c r="B98" s="4" t="str">
        <f>IFERROR(__xludf.DUMMYFUNCTION("""COMPUTED_VALUE"""),"정태환9622")</f>
        <v>정태환9622</v>
      </c>
      <c r="C98" s="4" t="str">
        <f>IFERROR(__xludf.DUMMYFUNCTION("""COMPUTED_VALUE"""),"(강성욱) 사회문화")</f>
        <v>(강성욱) 사회문화</v>
      </c>
      <c r="D98" s="4" t="str">
        <f>IFERROR(__xludf.DUMMYFUNCTION("""COMPUTED_VALUE"""),"창고")</f>
        <v>창고</v>
      </c>
      <c r="E98" s="4">
        <f>IFERROR(__xludf.DUMMYFUNCTION("""COMPUTED_VALUE"""),1.0)</f>
        <v>1</v>
      </c>
      <c r="F98" s="4" t="str">
        <f>IFERROR(__xludf.DUMMYFUNCTION("""COMPUTED_VALUE"""),"기타")</f>
        <v>기타</v>
      </c>
      <c r="G98" s="4" t="str">
        <f>IFERROR(__xludf.DUMMYFUNCTION("""COMPUTED_VALUE"""),"신규")</f>
        <v>신규</v>
      </c>
      <c r="H98" s="4"/>
    </row>
    <row r="99" ht="15.75" customHeight="1">
      <c r="A99" s="4" t="str">
        <f>IFERROR(__xludf.DUMMYFUNCTION("""COMPUTED_VALUE"""),"2026-04-04")</f>
        <v>2026-04-04</v>
      </c>
      <c r="B99" s="4" t="str">
        <f>IFERROR(__xludf.DUMMYFUNCTION("""COMPUTED_VALUE"""),"정태환9622")</f>
        <v>정태환9622</v>
      </c>
      <c r="C99" s="4" t="str">
        <f>IFERROR(__xludf.DUMMYFUNCTION("""COMPUTED_VALUE"""),"(국어선택) 화법과작문")</f>
        <v>(국어선택) 화법과작문</v>
      </c>
      <c r="D99" s="4" t="str">
        <f>IFERROR(__xludf.DUMMYFUNCTION("""COMPUTED_VALUE"""),"창고")</f>
        <v>창고</v>
      </c>
      <c r="E99" s="4">
        <f>IFERROR(__xludf.DUMMYFUNCTION("""COMPUTED_VALUE"""),1.0)</f>
        <v>1</v>
      </c>
      <c r="F99" s="4" t="str">
        <f>IFERROR(__xludf.DUMMYFUNCTION("""COMPUTED_VALUE"""),"기타")</f>
        <v>기타</v>
      </c>
      <c r="G99" s="4" t="str">
        <f>IFERROR(__xludf.DUMMYFUNCTION("""COMPUTED_VALUE"""),"신규")</f>
        <v>신규</v>
      </c>
      <c r="H99" s="4"/>
    </row>
    <row r="100" ht="15.75" customHeight="1">
      <c r="A100" s="4" t="str">
        <f>IFERROR(__xludf.DUMMYFUNCTION("""COMPUTED_VALUE"""),"2026-04-04")</f>
        <v>2026-04-04</v>
      </c>
      <c r="B100" s="4" t="str">
        <f>IFERROR(__xludf.DUMMYFUNCTION("""COMPUTED_VALUE"""),"정태환9622")</f>
        <v>정태환9622</v>
      </c>
      <c r="C100" s="4" t="str">
        <f>IFERROR(__xludf.DUMMYFUNCTION("""COMPUTED_VALUE"""),"(이승국) 세계지리")</f>
        <v>(이승국) 세계지리</v>
      </c>
      <c r="D100" s="4" t="str">
        <f>IFERROR(__xludf.DUMMYFUNCTION("""COMPUTED_VALUE"""),"창고")</f>
        <v>창고</v>
      </c>
      <c r="E100" s="4">
        <f>IFERROR(__xludf.DUMMYFUNCTION("""COMPUTED_VALUE"""),1.0)</f>
        <v>1</v>
      </c>
      <c r="F100" s="4" t="str">
        <f>IFERROR(__xludf.DUMMYFUNCTION("""COMPUTED_VALUE"""),"기타")</f>
        <v>기타</v>
      </c>
      <c r="G100" s="4" t="str">
        <f>IFERROR(__xludf.DUMMYFUNCTION("""COMPUTED_VALUE"""),"신규")</f>
        <v>신규</v>
      </c>
      <c r="H100" s="4"/>
    </row>
    <row r="101" ht="15.75" customHeight="1">
      <c r="A101" s="4" t="str">
        <f>IFERROR(__xludf.DUMMYFUNCTION("""COMPUTED_VALUE"""),"2026-04-04")</f>
        <v>2026-04-04</v>
      </c>
      <c r="B101" s="4" t="str">
        <f>IFERROR(__xludf.DUMMYFUNCTION("""COMPUTED_VALUE"""),"정태환9622")</f>
        <v>정태환9622</v>
      </c>
      <c r="C101" s="4" t="str">
        <f>IFERROR(__xludf.DUMMYFUNCTION("""COMPUTED_VALUE"""),"(진명화) 에센셜+_수2(수업)")</f>
        <v>(진명화) 에센셜+_수2(수업)</v>
      </c>
      <c r="D101" s="4" t="str">
        <f>IFERROR(__xludf.DUMMYFUNCTION("""COMPUTED_VALUE"""),"창고")</f>
        <v>창고</v>
      </c>
      <c r="E101" s="4">
        <f>IFERROR(__xludf.DUMMYFUNCTION("""COMPUTED_VALUE"""),1.0)</f>
        <v>1</v>
      </c>
      <c r="F101" s="4" t="str">
        <f>IFERROR(__xludf.DUMMYFUNCTION("""COMPUTED_VALUE"""),"기타")</f>
        <v>기타</v>
      </c>
      <c r="G101" s="4" t="str">
        <f>IFERROR(__xludf.DUMMYFUNCTION("""COMPUTED_VALUE"""),"신규")</f>
        <v>신규</v>
      </c>
      <c r="H101" s="4"/>
    </row>
    <row r="102" ht="15.75" customHeight="1">
      <c r="A102" s="4" t="str">
        <f>IFERROR(__xludf.DUMMYFUNCTION("""COMPUTED_VALUE"""),"2026-04-04")</f>
        <v>2026-04-04</v>
      </c>
      <c r="B102" s="4" t="str">
        <f>IFERROR(__xludf.DUMMYFUNCTION("""COMPUTED_VALUE"""),"정태환9622")</f>
        <v>정태환9622</v>
      </c>
      <c r="C102" s="4" t="str">
        <f>IFERROR(__xludf.DUMMYFUNCTION("""COMPUTED_VALUE"""),"(진명화) 에센셜+_확통(수업)")</f>
        <v>(진명화) 에센셜+_확통(수업)</v>
      </c>
      <c r="D102" s="4" t="str">
        <f>IFERROR(__xludf.DUMMYFUNCTION("""COMPUTED_VALUE"""),"창고")</f>
        <v>창고</v>
      </c>
      <c r="E102" s="4">
        <f>IFERROR(__xludf.DUMMYFUNCTION("""COMPUTED_VALUE"""),1.0)</f>
        <v>1</v>
      </c>
      <c r="F102" s="4" t="str">
        <f>IFERROR(__xludf.DUMMYFUNCTION("""COMPUTED_VALUE"""),"기타")</f>
        <v>기타</v>
      </c>
      <c r="G102" s="4" t="str">
        <f>IFERROR(__xludf.DUMMYFUNCTION("""COMPUTED_VALUE"""),"신규")</f>
        <v>신규</v>
      </c>
      <c r="H102" s="4"/>
    </row>
    <row r="103" ht="15.75" customHeight="1">
      <c r="A103" s="4" t="str">
        <f>IFERROR(__xludf.DUMMYFUNCTION("""COMPUTED_VALUE"""),"2026-04-04")</f>
        <v>2026-04-04</v>
      </c>
      <c r="B103" s="4" t="str">
        <f>IFERROR(__xludf.DUMMYFUNCTION("""COMPUTED_VALUE"""),"정태환9622")</f>
        <v>정태환9622</v>
      </c>
      <c r="C103" s="4" t="str">
        <f>IFERROR(__xludf.DUMMYFUNCTION("""COMPUTED_VALUE"""),"(진명화) 에센스+_수2(피드백)")</f>
        <v>(진명화) 에센스+_수2(피드백)</v>
      </c>
      <c r="D103" s="4" t="str">
        <f>IFERROR(__xludf.DUMMYFUNCTION("""COMPUTED_VALUE"""),"창고")</f>
        <v>창고</v>
      </c>
      <c r="E103" s="4">
        <f>IFERROR(__xludf.DUMMYFUNCTION("""COMPUTED_VALUE"""),1.0)</f>
        <v>1</v>
      </c>
      <c r="F103" s="4" t="str">
        <f>IFERROR(__xludf.DUMMYFUNCTION("""COMPUTED_VALUE"""),"기타")</f>
        <v>기타</v>
      </c>
      <c r="G103" s="4" t="str">
        <f>IFERROR(__xludf.DUMMYFUNCTION("""COMPUTED_VALUE"""),"신규")</f>
        <v>신규</v>
      </c>
      <c r="H103" s="4"/>
    </row>
    <row r="104" ht="15.75" customHeight="1">
      <c r="A104" s="4" t="str">
        <f>IFERROR(__xludf.DUMMYFUNCTION("""COMPUTED_VALUE"""),"2026-04-04")</f>
        <v>2026-04-04</v>
      </c>
      <c r="B104" s="4" t="str">
        <f>IFERROR(__xludf.DUMMYFUNCTION("""COMPUTED_VALUE"""),"정태환9622")</f>
        <v>정태환9622</v>
      </c>
      <c r="C104" s="4" t="str">
        <f>IFERROR(__xludf.DUMMYFUNCTION("""COMPUTED_VALUE"""),"(진명화) 에센스_확통(피드백)")</f>
        <v>(진명화) 에센스_확통(피드백)</v>
      </c>
      <c r="D104" s="4" t="str">
        <f>IFERROR(__xludf.DUMMYFUNCTION("""COMPUTED_VALUE"""),"창고")</f>
        <v>창고</v>
      </c>
      <c r="E104" s="4">
        <f>IFERROR(__xludf.DUMMYFUNCTION("""COMPUTED_VALUE"""),1.0)</f>
        <v>1</v>
      </c>
      <c r="F104" s="4" t="str">
        <f>IFERROR(__xludf.DUMMYFUNCTION("""COMPUTED_VALUE"""),"기타")</f>
        <v>기타</v>
      </c>
      <c r="G104" s="4" t="str">
        <f>IFERROR(__xludf.DUMMYFUNCTION("""COMPUTED_VALUE"""),"신규")</f>
        <v>신규</v>
      </c>
      <c r="H104" s="4"/>
    </row>
    <row r="105" ht="15.75" customHeight="1">
      <c r="A105" s="4" t="str">
        <f>IFERROR(__xludf.DUMMYFUNCTION("""COMPUTED_VALUE"""),"2026-04-04")</f>
        <v>2026-04-04</v>
      </c>
      <c r="B105" s="4" t="str">
        <f>IFERROR(__xludf.DUMMYFUNCTION("""COMPUTED_VALUE"""),"박시은7840")</f>
        <v>박시은7840</v>
      </c>
      <c r="C105" s="4" t="str">
        <f>IFERROR(__xludf.DUMMYFUNCTION("""COMPUTED_VALUE"""),"(국어선택) 화법과작문")</f>
        <v>(국어선택) 화법과작문</v>
      </c>
      <c r="D105" s="4" t="str">
        <f>IFERROR(__xludf.DUMMYFUNCTION("""COMPUTED_VALUE"""),"창고")</f>
        <v>창고</v>
      </c>
      <c r="E105" s="4">
        <f>IFERROR(__xludf.DUMMYFUNCTION("""COMPUTED_VALUE"""),1.0)</f>
        <v>1</v>
      </c>
      <c r="F105" s="4" t="str">
        <f>IFERROR(__xludf.DUMMYFUNCTION("""COMPUTED_VALUE"""),"기타")</f>
        <v>기타</v>
      </c>
      <c r="G105" s="4" t="str">
        <f>IFERROR(__xludf.DUMMYFUNCTION("""COMPUTED_VALUE"""),"신규")</f>
        <v>신규</v>
      </c>
      <c r="H105" s="4"/>
    </row>
    <row r="106" ht="15.75" customHeight="1">
      <c r="A106" s="4" t="str">
        <f>IFERROR(__xludf.DUMMYFUNCTION("""COMPUTED_VALUE"""),"2026-04-04")</f>
        <v>2026-04-04</v>
      </c>
      <c r="B106" s="4" t="str">
        <f>IFERROR(__xludf.DUMMYFUNCTION("""COMPUTED_VALUE"""),"박시은7840")</f>
        <v>박시은7840</v>
      </c>
      <c r="C106" s="4" t="str">
        <f>IFERROR(__xludf.DUMMYFUNCTION("""COMPUTED_VALUE"""),"(신현철) 메멘토_수2(수업)")</f>
        <v>(신현철) 메멘토_수2(수업)</v>
      </c>
      <c r="D106" s="4" t="str">
        <f>IFERROR(__xludf.DUMMYFUNCTION("""COMPUTED_VALUE"""),"창고")</f>
        <v>창고</v>
      </c>
      <c r="E106" s="4">
        <f>IFERROR(__xludf.DUMMYFUNCTION("""COMPUTED_VALUE"""),1.0)</f>
        <v>1</v>
      </c>
      <c r="F106" s="4" t="str">
        <f>IFERROR(__xludf.DUMMYFUNCTION("""COMPUTED_VALUE"""),"기타")</f>
        <v>기타</v>
      </c>
      <c r="G106" s="4" t="str">
        <f>IFERROR(__xludf.DUMMYFUNCTION("""COMPUTED_VALUE"""),"신규")</f>
        <v>신규</v>
      </c>
      <c r="H106" s="4"/>
    </row>
    <row r="107" ht="15.75" customHeight="1">
      <c r="A107" s="4" t="str">
        <f>IFERROR(__xludf.DUMMYFUNCTION("""COMPUTED_VALUE"""),"2026-04-04")</f>
        <v>2026-04-04</v>
      </c>
      <c r="B107" s="4" t="str">
        <f>IFERROR(__xludf.DUMMYFUNCTION("""COMPUTED_VALUE"""),"박시은7840")</f>
        <v>박시은7840</v>
      </c>
      <c r="C107" s="4" t="str">
        <f>IFERROR(__xludf.DUMMYFUNCTION("""COMPUTED_VALUE"""),"(신현철) 메멘토_확통(수업)")</f>
        <v>(신현철) 메멘토_확통(수업)</v>
      </c>
      <c r="D107" s="4" t="str">
        <f>IFERROR(__xludf.DUMMYFUNCTION("""COMPUTED_VALUE"""),"창고")</f>
        <v>창고</v>
      </c>
      <c r="E107" s="4">
        <f>IFERROR(__xludf.DUMMYFUNCTION("""COMPUTED_VALUE"""),1.0)</f>
        <v>1</v>
      </c>
      <c r="F107" s="4" t="str">
        <f>IFERROR(__xludf.DUMMYFUNCTION("""COMPUTED_VALUE"""),"기타")</f>
        <v>기타</v>
      </c>
      <c r="G107" s="4" t="str">
        <f>IFERROR(__xludf.DUMMYFUNCTION("""COMPUTED_VALUE"""),"신규")</f>
        <v>신규</v>
      </c>
      <c r="H107" s="4"/>
    </row>
    <row r="108" ht="15.75" customHeight="1">
      <c r="A108" s="4" t="str">
        <f>IFERROR(__xludf.DUMMYFUNCTION("""COMPUTED_VALUE"""),"2026-04-04")</f>
        <v>2026-04-04</v>
      </c>
      <c r="B108" s="4" t="str">
        <f>IFERROR(__xludf.DUMMYFUNCTION("""COMPUTED_VALUE"""),"박시은7840")</f>
        <v>박시은7840</v>
      </c>
      <c r="C108" s="4" t="str">
        <f>IFERROR(__xludf.DUMMYFUNCTION("""COMPUTED_VALUE"""),"(신현철) 메멘토_확통(피드백)")</f>
        <v>(신현철) 메멘토_확통(피드백)</v>
      </c>
      <c r="D108" s="4" t="str">
        <f>IFERROR(__xludf.DUMMYFUNCTION("""COMPUTED_VALUE"""),"창고")</f>
        <v>창고</v>
      </c>
      <c r="E108" s="4">
        <f>IFERROR(__xludf.DUMMYFUNCTION("""COMPUTED_VALUE"""),1.0)</f>
        <v>1</v>
      </c>
      <c r="F108" s="4" t="str">
        <f>IFERROR(__xludf.DUMMYFUNCTION("""COMPUTED_VALUE"""),"기타")</f>
        <v>기타</v>
      </c>
      <c r="G108" s="4" t="str">
        <f>IFERROR(__xludf.DUMMYFUNCTION("""COMPUTED_VALUE"""),"신규")</f>
        <v>신규</v>
      </c>
      <c r="H108" s="4"/>
    </row>
    <row r="109" ht="15.75" customHeight="1">
      <c r="A109" s="4" t="str">
        <f>IFERROR(__xludf.DUMMYFUNCTION("""COMPUTED_VALUE"""),"2026-04-04")</f>
        <v>2026-04-04</v>
      </c>
      <c r="B109" s="4" t="str">
        <f>IFERROR(__xludf.DUMMYFUNCTION("""COMPUTED_VALUE"""),"박시은7840")</f>
        <v>박시은7840</v>
      </c>
      <c r="C109" s="4" t="str">
        <f>IFERROR(__xludf.DUMMYFUNCTION("""COMPUTED_VALUE"""),"(신현철) 메멘토_수2(피드백)")</f>
        <v>(신현철) 메멘토_수2(피드백)</v>
      </c>
      <c r="D109" s="4" t="str">
        <f>IFERROR(__xludf.DUMMYFUNCTION("""COMPUTED_VALUE"""),"창고")</f>
        <v>창고</v>
      </c>
      <c r="E109" s="4">
        <f>IFERROR(__xludf.DUMMYFUNCTION("""COMPUTED_VALUE"""),1.0)</f>
        <v>1</v>
      </c>
      <c r="F109" s="4" t="str">
        <f>IFERROR(__xludf.DUMMYFUNCTION("""COMPUTED_VALUE"""),"기타")</f>
        <v>기타</v>
      </c>
      <c r="G109" s="4" t="str">
        <f>IFERROR(__xludf.DUMMYFUNCTION("""COMPUTED_VALUE"""),"신규")</f>
        <v>신규</v>
      </c>
      <c r="H109" s="4"/>
    </row>
    <row r="110" ht="15.75" customHeight="1">
      <c r="A110" s="4" t="str">
        <f>IFERROR(__xludf.DUMMYFUNCTION("""COMPUTED_VALUE"""),"2026-04-04")</f>
        <v>2026-04-04</v>
      </c>
      <c r="B110" s="4" t="str">
        <f>IFERROR(__xludf.DUMMYFUNCTION("""COMPUTED_VALUE"""),"박시은7840")</f>
        <v>박시은7840</v>
      </c>
      <c r="C110" s="4" t="str">
        <f>IFERROR(__xludf.DUMMYFUNCTION("""COMPUTED_VALUE"""),"(장진민) 생활과 윤리")</f>
        <v>(장진민) 생활과 윤리</v>
      </c>
      <c r="D110" s="4" t="str">
        <f>IFERROR(__xludf.DUMMYFUNCTION("""COMPUTED_VALUE"""),"창고")</f>
        <v>창고</v>
      </c>
      <c r="E110" s="4">
        <f>IFERROR(__xludf.DUMMYFUNCTION("""COMPUTED_VALUE"""),1.0)</f>
        <v>1</v>
      </c>
      <c r="F110" s="4" t="str">
        <f>IFERROR(__xludf.DUMMYFUNCTION("""COMPUTED_VALUE"""),"기타")</f>
        <v>기타</v>
      </c>
      <c r="G110" s="4" t="str">
        <f>IFERROR(__xludf.DUMMYFUNCTION("""COMPUTED_VALUE"""),"신규")</f>
        <v>신규</v>
      </c>
      <c r="H110" s="4"/>
    </row>
    <row r="111" ht="15.75" customHeight="1">
      <c r="A111" s="4" t="str">
        <f>IFERROR(__xludf.DUMMYFUNCTION("""COMPUTED_VALUE"""),"2026-04-04")</f>
        <v>2026-04-04</v>
      </c>
      <c r="B111" s="4" t="str">
        <f>IFERROR(__xludf.DUMMYFUNCTION("""COMPUTED_VALUE"""),"(베)임유민6477")</f>
        <v>(베)임유민6477</v>
      </c>
      <c r="C111" s="4" t="str">
        <f>IFERROR(__xludf.DUMMYFUNCTION("""COMPUTED_VALUE"""),"(국어선택) 화법과작문")</f>
        <v>(국어선택) 화법과작문</v>
      </c>
      <c r="D111" s="4" t="str">
        <f>IFERROR(__xludf.DUMMYFUNCTION("""COMPUTED_VALUE"""),"창고")</f>
        <v>창고</v>
      </c>
      <c r="E111" s="4">
        <f>IFERROR(__xludf.DUMMYFUNCTION("""COMPUTED_VALUE"""),1.0)</f>
        <v>1</v>
      </c>
      <c r="F111" s="4" t="str">
        <f>IFERROR(__xludf.DUMMYFUNCTION("""COMPUTED_VALUE"""),"기타")</f>
        <v>기타</v>
      </c>
      <c r="G111" s="4" t="str">
        <f>IFERROR(__xludf.DUMMYFUNCTION("""COMPUTED_VALUE"""),"신규")</f>
        <v>신규</v>
      </c>
      <c r="H111" s="4"/>
    </row>
    <row r="112" ht="15.75" customHeight="1">
      <c r="A112" s="4" t="str">
        <f>IFERROR(__xludf.DUMMYFUNCTION("""COMPUTED_VALUE"""),"2026-04-04")</f>
        <v>2026-04-04</v>
      </c>
      <c r="B112" s="4" t="str">
        <f>IFERROR(__xludf.DUMMYFUNCTION("""COMPUTED_VALUE"""),"(베)임유민6477")</f>
        <v>(베)임유민6477</v>
      </c>
      <c r="C112" s="4" t="str">
        <f>IFERROR(__xludf.DUMMYFUNCTION("""COMPUTED_VALUE"""),"(김학림전종현) 쎄타_수2M수업")</f>
        <v>(김학림전종현) 쎄타_수2M수업</v>
      </c>
      <c r="D112" s="4" t="str">
        <f>IFERROR(__xludf.DUMMYFUNCTION("""COMPUTED_VALUE"""),"창고")</f>
        <v>창고</v>
      </c>
      <c r="E112" s="4">
        <f>IFERROR(__xludf.DUMMYFUNCTION("""COMPUTED_VALUE"""),1.0)</f>
        <v>1</v>
      </c>
      <c r="F112" s="4" t="str">
        <f>IFERROR(__xludf.DUMMYFUNCTION("""COMPUTED_VALUE"""),"기타")</f>
        <v>기타</v>
      </c>
      <c r="G112" s="4" t="str">
        <f>IFERROR(__xludf.DUMMYFUNCTION("""COMPUTED_VALUE"""),"신규")</f>
        <v>신규</v>
      </c>
      <c r="H112" s="4"/>
    </row>
    <row r="113" ht="15.75" customHeight="1">
      <c r="A113" s="4" t="str">
        <f>IFERROR(__xludf.DUMMYFUNCTION("""COMPUTED_VALUE"""),"2026-04-04")</f>
        <v>2026-04-04</v>
      </c>
      <c r="B113" s="4" t="str">
        <f>IFERROR(__xludf.DUMMYFUNCTION("""COMPUTED_VALUE"""),"(베)임유민6477")</f>
        <v>(베)임유민6477</v>
      </c>
      <c r="C113" s="4" t="str">
        <f>IFERROR(__xludf.DUMMYFUNCTION("""COMPUTED_VALUE"""),"(김학림전종현) 쎄타_수2M피드백")</f>
        <v>(김학림전종현) 쎄타_수2M피드백</v>
      </c>
      <c r="D113" s="4" t="str">
        <f>IFERROR(__xludf.DUMMYFUNCTION("""COMPUTED_VALUE"""),"창고")</f>
        <v>창고</v>
      </c>
      <c r="E113" s="4">
        <f>IFERROR(__xludf.DUMMYFUNCTION("""COMPUTED_VALUE"""),1.0)</f>
        <v>1</v>
      </c>
      <c r="F113" s="4" t="str">
        <f>IFERROR(__xludf.DUMMYFUNCTION("""COMPUTED_VALUE"""),"기타")</f>
        <v>기타</v>
      </c>
      <c r="G113" s="4" t="str">
        <f>IFERROR(__xludf.DUMMYFUNCTION("""COMPUTED_VALUE"""),"신규")</f>
        <v>신규</v>
      </c>
      <c r="H113" s="4"/>
    </row>
    <row r="114" ht="15.75" customHeight="1">
      <c r="A114" s="4" t="str">
        <f>IFERROR(__xludf.DUMMYFUNCTION("""COMPUTED_VALUE"""),"2026-04-04")</f>
        <v>2026-04-04</v>
      </c>
      <c r="B114" s="4" t="str">
        <f>IFERROR(__xludf.DUMMYFUNCTION("""COMPUTED_VALUE"""),"(베)임유민6477")</f>
        <v>(베)임유민6477</v>
      </c>
      <c r="C114" s="4" t="str">
        <f>IFERROR(__xludf.DUMMYFUNCTION("""COMPUTED_VALUE"""),"(김학림전종현) 쎄타_확통M수업")</f>
        <v>(김학림전종현) 쎄타_확통M수업</v>
      </c>
      <c r="D114" s="4" t="str">
        <f>IFERROR(__xludf.DUMMYFUNCTION("""COMPUTED_VALUE"""),"창고")</f>
        <v>창고</v>
      </c>
      <c r="E114" s="4">
        <f>IFERROR(__xludf.DUMMYFUNCTION("""COMPUTED_VALUE"""),1.0)</f>
        <v>1</v>
      </c>
      <c r="F114" s="4" t="str">
        <f>IFERROR(__xludf.DUMMYFUNCTION("""COMPUTED_VALUE"""),"기타")</f>
        <v>기타</v>
      </c>
      <c r="G114" s="4" t="str">
        <f>IFERROR(__xludf.DUMMYFUNCTION("""COMPUTED_VALUE"""),"신규")</f>
        <v>신규</v>
      </c>
      <c r="H114" s="4"/>
    </row>
    <row r="115" ht="15.75" customHeight="1">
      <c r="A115" s="4" t="str">
        <f>IFERROR(__xludf.DUMMYFUNCTION("""COMPUTED_VALUE"""),"2026-04-04")</f>
        <v>2026-04-04</v>
      </c>
      <c r="B115" s="4" t="str">
        <f>IFERROR(__xludf.DUMMYFUNCTION("""COMPUTED_VALUE"""),"(베)임유민6477")</f>
        <v>(베)임유민6477</v>
      </c>
      <c r="C115" s="4" t="str">
        <f>IFERROR(__xludf.DUMMYFUNCTION("""COMPUTED_VALUE"""),"(김학림전종현) 쎄타_확통M피드백")</f>
        <v>(김학림전종현) 쎄타_확통M피드백</v>
      </c>
      <c r="D115" s="4" t="str">
        <f>IFERROR(__xludf.DUMMYFUNCTION("""COMPUTED_VALUE"""),"창고")</f>
        <v>창고</v>
      </c>
      <c r="E115" s="4">
        <f>IFERROR(__xludf.DUMMYFUNCTION("""COMPUTED_VALUE"""),1.0)</f>
        <v>1</v>
      </c>
      <c r="F115" s="4" t="str">
        <f>IFERROR(__xludf.DUMMYFUNCTION("""COMPUTED_VALUE"""),"기타")</f>
        <v>기타</v>
      </c>
      <c r="G115" s="4" t="str">
        <f>IFERROR(__xludf.DUMMYFUNCTION("""COMPUTED_VALUE"""),"신규")</f>
        <v>신규</v>
      </c>
      <c r="H115" s="4"/>
    </row>
    <row r="116" ht="15.75" customHeight="1">
      <c r="A116" s="4" t="str">
        <f>IFERROR(__xludf.DUMMYFUNCTION("""COMPUTED_VALUE"""),"2026-04-04")</f>
        <v>2026-04-04</v>
      </c>
      <c r="B116" s="4" t="str">
        <f>IFERROR(__xludf.DUMMYFUNCTION("""COMPUTED_VALUE"""),"(베)임유민6477")</f>
        <v>(베)임유민6477</v>
      </c>
      <c r="C116" s="4" t="str">
        <f>IFERROR(__xludf.DUMMYFUNCTION("""COMPUTED_VALUE"""),"(장진민) 생활과 윤리")</f>
        <v>(장진민) 생활과 윤리</v>
      </c>
      <c r="D116" s="4" t="str">
        <f>IFERROR(__xludf.DUMMYFUNCTION("""COMPUTED_VALUE"""),"창고")</f>
        <v>창고</v>
      </c>
      <c r="E116" s="4">
        <f>IFERROR(__xludf.DUMMYFUNCTION("""COMPUTED_VALUE"""),1.0)</f>
        <v>1</v>
      </c>
      <c r="F116" s="4" t="str">
        <f>IFERROR(__xludf.DUMMYFUNCTION("""COMPUTED_VALUE"""),"기타")</f>
        <v>기타</v>
      </c>
      <c r="G116" s="4" t="str">
        <f>IFERROR(__xludf.DUMMYFUNCTION("""COMPUTED_VALUE"""),"신규")</f>
        <v>신규</v>
      </c>
      <c r="H116" s="4"/>
    </row>
    <row r="117" ht="15.75" customHeight="1">
      <c r="A117" s="4" t="str">
        <f>IFERROR(__xludf.DUMMYFUNCTION("""COMPUTED_VALUE"""),"2026-04-04")</f>
        <v>2026-04-04</v>
      </c>
      <c r="B117" s="4" t="str">
        <f>IFERROR(__xludf.DUMMYFUNCTION("""COMPUTED_VALUE"""),"원도현7815")</f>
        <v>원도현7815</v>
      </c>
      <c r="C117" s="4" t="str">
        <f>IFERROR(__xludf.DUMMYFUNCTION("""COMPUTED_VALUE"""),"(국어선택) 언어와매체")</f>
        <v>(국어선택) 언어와매체</v>
      </c>
      <c r="D117" s="4" t="str">
        <f>IFERROR(__xludf.DUMMYFUNCTION("""COMPUTED_VALUE"""),"창고")</f>
        <v>창고</v>
      </c>
      <c r="E117" s="4">
        <f>IFERROR(__xludf.DUMMYFUNCTION("""COMPUTED_VALUE"""),1.0)</f>
        <v>1</v>
      </c>
      <c r="F117" s="4" t="str">
        <f>IFERROR(__xludf.DUMMYFUNCTION("""COMPUTED_VALUE"""),"기타")</f>
        <v>기타</v>
      </c>
      <c r="G117" s="4" t="str">
        <f>IFERROR(__xludf.DUMMYFUNCTION("""COMPUTED_VALUE"""),"신규")</f>
        <v>신규</v>
      </c>
      <c r="H117" s="4"/>
    </row>
    <row r="118" ht="15.75" customHeight="1">
      <c r="A118" s="4" t="str">
        <f>IFERROR(__xludf.DUMMYFUNCTION("""COMPUTED_VALUE"""),"2026-04-04")</f>
        <v>2026-04-04</v>
      </c>
      <c r="B118" s="4" t="str">
        <f>IFERROR(__xludf.DUMMYFUNCTION("""COMPUTED_VALUE"""),"원도현7815")</f>
        <v>원도현7815</v>
      </c>
      <c r="C118" s="4" t="str">
        <f>IFERROR(__xludf.DUMMYFUNCTION("""COMPUTED_VALUE"""),"(이민호A) 노플_수2(피드백)")</f>
        <v>(이민호A) 노플_수2(피드백)</v>
      </c>
      <c r="D118" s="4" t="str">
        <f>IFERROR(__xludf.DUMMYFUNCTION("""COMPUTED_VALUE"""),"창고")</f>
        <v>창고</v>
      </c>
      <c r="E118" s="4">
        <f>IFERROR(__xludf.DUMMYFUNCTION("""COMPUTED_VALUE"""),1.0)</f>
        <v>1</v>
      </c>
      <c r="F118" s="4" t="str">
        <f>IFERROR(__xludf.DUMMYFUNCTION("""COMPUTED_VALUE"""),"기타")</f>
        <v>기타</v>
      </c>
      <c r="G118" s="4" t="str">
        <f>IFERROR(__xludf.DUMMYFUNCTION("""COMPUTED_VALUE"""),"신규")</f>
        <v>신규</v>
      </c>
      <c r="H118" s="4"/>
    </row>
    <row r="119" ht="15.75" customHeight="1">
      <c r="A119" s="4" t="str">
        <f>IFERROR(__xludf.DUMMYFUNCTION("""COMPUTED_VALUE"""),"2026-04-04")</f>
        <v>2026-04-04</v>
      </c>
      <c r="B119" s="4" t="str">
        <f>IFERROR(__xludf.DUMMYFUNCTION("""COMPUTED_VALUE"""),"원도현7815")</f>
        <v>원도현7815</v>
      </c>
      <c r="C119" s="4" t="str">
        <f>IFERROR(__xludf.DUMMYFUNCTION("""COMPUTED_VALUE"""),"(이민호A) 노플_확통(피드백)")</f>
        <v>(이민호A) 노플_확통(피드백)</v>
      </c>
      <c r="D119" s="4" t="str">
        <f>IFERROR(__xludf.DUMMYFUNCTION("""COMPUTED_VALUE"""),"창고")</f>
        <v>창고</v>
      </c>
      <c r="E119" s="4">
        <f>IFERROR(__xludf.DUMMYFUNCTION("""COMPUTED_VALUE"""),1.0)</f>
        <v>1</v>
      </c>
      <c r="F119" s="4" t="str">
        <f>IFERROR(__xludf.DUMMYFUNCTION("""COMPUTED_VALUE"""),"기타")</f>
        <v>기타</v>
      </c>
      <c r="G119" s="4" t="str">
        <f>IFERROR(__xludf.DUMMYFUNCTION("""COMPUTED_VALUE"""),"신규")</f>
        <v>신규</v>
      </c>
      <c r="H119" s="4"/>
    </row>
    <row r="120" ht="15.75" customHeight="1">
      <c r="A120" s="4" t="str">
        <f>IFERROR(__xludf.DUMMYFUNCTION("""COMPUTED_VALUE"""),"2026-04-04")</f>
        <v>2026-04-04</v>
      </c>
      <c r="B120" s="4" t="str">
        <f>IFERROR(__xludf.DUMMYFUNCTION("""COMPUTED_VALUE"""),"원도현7815")</f>
        <v>원도현7815</v>
      </c>
      <c r="C120" s="4" t="str">
        <f>IFERROR(__xludf.DUMMYFUNCTION("""COMPUTED_VALUE"""),"(이민호A) 인사이트_수2(수업)")</f>
        <v>(이민호A) 인사이트_수2(수업)</v>
      </c>
      <c r="D120" s="4" t="str">
        <f>IFERROR(__xludf.DUMMYFUNCTION("""COMPUTED_VALUE"""),"창고")</f>
        <v>창고</v>
      </c>
      <c r="E120" s="4">
        <f>IFERROR(__xludf.DUMMYFUNCTION("""COMPUTED_VALUE"""),1.0)</f>
        <v>1</v>
      </c>
      <c r="F120" s="4" t="str">
        <f>IFERROR(__xludf.DUMMYFUNCTION("""COMPUTED_VALUE"""),"기타")</f>
        <v>기타</v>
      </c>
      <c r="G120" s="4" t="str">
        <f>IFERROR(__xludf.DUMMYFUNCTION("""COMPUTED_VALUE"""),"신규")</f>
        <v>신규</v>
      </c>
      <c r="H120" s="4"/>
    </row>
    <row r="121" ht="15.75" customHeight="1">
      <c r="A121" s="4" t="str">
        <f>IFERROR(__xludf.DUMMYFUNCTION("""COMPUTED_VALUE"""),"2026-04-04")</f>
        <v>2026-04-04</v>
      </c>
      <c r="B121" s="4" t="str">
        <f>IFERROR(__xludf.DUMMYFUNCTION("""COMPUTED_VALUE"""),"원도현7815")</f>
        <v>원도현7815</v>
      </c>
      <c r="C121" s="4" t="str">
        <f>IFERROR(__xludf.DUMMYFUNCTION("""COMPUTED_VALUE"""),"(이민호A) 인사이트_확통(수업)")</f>
        <v>(이민호A) 인사이트_확통(수업)</v>
      </c>
      <c r="D121" s="4" t="str">
        <f>IFERROR(__xludf.DUMMYFUNCTION("""COMPUTED_VALUE"""),"창고")</f>
        <v>창고</v>
      </c>
      <c r="E121" s="4">
        <f>IFERROR(__xludf.DUMMYFUNCTION("""COMPUTED_VALUE"""),1.0)</f>
        <v>1</v>
      </c>
      <c r="F121" s="4" t="str">
        <f>IFERROR(__xludf.DUMMYFUNCTION("""COMPUTED_VALUE"""),"기타")</f>
        <v>기타</v>
      </c>
      <c r="G121" s="4" t="str">
        <f>IFERROR(__xludf.DUMMYFUNCTION("""COMPUTED_VALUE"""),"신규")</f>
        <v>신규</v>
      </c>
      <c r="H121" s="4"/>
    </row>
    <row r="122" ht="15.75" customHeight="1">
      <c r="A122" s="4" t="str">
        <f>IFERROR(__xludf.DUMMYFUNCTION("""COMPUTED_VALUE"""),"2026-04-04")</f>
        <v>2026-04-04</v>
      </c>
      <c r="B122" s="4" t="str">
        <f>IFERROR(__xludf.DUMMYFUNCTION("""COMPUTED_VALUE"""),"원도현7815")</f>
        <v>원도현7815</v>
      </c>
      <c r="C122" s="4" t="str">
        <f>IFERROR(__xludf.DUMMYFUNCTION("""COMPUTED_VALUE"""),"(이승국) 한국지리")</f>
        <v>(이승국) 한국지리</v>
      </c>
      <c r="D122" s="4" t="str">
        <f>IFERROR(__xludf.DUMMYFUNCTION("""COMPUTED_VALUE"""),"창고")</f>
        <v>창고</v>
      </c>
      <c r="E122" s="4">
        <f>IFERROR(__xludf.DUMMYFUNCTION("""COMPUTED_VALUE"""),1.0)</f>
        <v>1</v>
      </c>
      <c r="F122" s="4" t="str">
        <f>IFERROR(__xludf.DUMMYFUNCTION("""COMPUTED_VALUE"""),"기타")</f>
        <v>기타</v>
      </c>
      <c r="G122" s="4" t="str">
        <f>IFERROR(__xludf.DUMMYFUNCTION("""COMPUTED_VALUE"""),"신규")</f>
        <v>신규</v>
      </c>
      <c r="H122" s="4"/>
    </row>
    <row r="123" ht="15.75" customHeight="1">
      <c r="A123" s="4" t="str">
        <f>IFERROR(__xludf.DUMMYFUNCTION("""COMPUTED_VALUE"""),"2026-04-04")</f>
        <v>2026-04-04</v>
      </c>
      <c r="B123" s="4" t="str">
        <f>IFERROR(__xludf.DUMMYFUNCTION("""COMPUTED_VALUE"""),"(아)이송현2436")</f>
        <v>(아)이송현2436</v>
      </c>
      <c r="C123" s="4" t="str">
        <f>IFERROR(__xludf.DUMMYFUNCTION("""COMPUTED_VALUE"""),"(국어선택) 언어와매체")</f>
        <v>(국어선택) 언어와매체</v>
      </c>
      <c r="D123" s="4" t="str">
        <f>IFERROR(__xludf.DUMMYFUNCTION("""COMPUTED_VALUE"""),"창고")</f>
        <v>창고</v>
      </c>
      <c r="E123" s="4">
        <f>IFERROR(__xludf.DUMMYFUNCTION("""COMPUTED_VALUE"""),1.0)</f>
        <v>1</v>
      </c>
      <c r="F123" s="4" t="str">
        <f>IFERROR(__xludf.DUMMYFUNCTION("""COMPUTED_VALUE"""),"기타")</f>
        <v>기타</v>
      </c>
      <c r="G123" s="4" t="str">
        <f>IFERROR(__xludf.DUMMYFUNCTION("""COMPUTED_VALUE"""),"신규")</f>
        <v>신규</v>
      </c>
      <c r="H123" s="4"/>
    </row>
    <row r="124" ht="15.75" customHeight="1">
      <c r="A124" s="4" t="str">
        <f>IFERROR(__xludf.DUMMYFUNCTION("""COMPUTED_VALUE"""),"2026-04-04")</f>
        <v>2026-04-04</v>
      </c>
      <c r="B124" s="4" t="str">
        <f>IFERROR(__xludf.DUMMYFUNCTION("""COMPUTED_VALUE"""),"(아)이송현2436")</f>
        <v>(아)이송현2436</v>
      </c>
      <c r="C124" s="4" t="str">
        <f>IFERROR(__xludf.DUMMYFUNCTION("""COMPUTED_VALUE"""),"(김학림전종현) 쎄타_수2M수업")</f>
        <v>(김학림전종현) 쎄타_수2M수업</v>
      </c>
      <c r="D124" s="4" t="str">
        <f>IFERROR(__xludf.DUMMYFUNCTION("""COMPUTED_VALUE"""),"창고")</f>
        <v>창고</v>
      </c>
      <c r="E124" s="4">
        <f>IFERROR(__xludf.DUMMYFUNCTION("""COMPUTED_VALUE"""),1.0)</f>
        <v>1</v>
      </c>
      <c r="F124" s="4" t="str">
        <f>IFERROR(__xludf.DUMMYFUNCTION("""COMPUTED_VALUE"""),"기타")</f>
        <v>기타</v>
      </c>
      <c r="G124" s="4" t="str">
        <f>IFERROR(__xludf.DUMMYFUNCTION("""COMPUTED_VALUE"""),"신규")</f>
        <v>신규</v>
      </c>
      <c r="H124" s="4"/>
    </row>
    <row r="125" ht="15.75" customHeight="1">
      <c r="A125" s="4" t="str">
        <f>IFERROR(__xludf.DUMMYFUNCTION("""COMPUTED_VALUE"""),"2026-04-04")</f>
        <v>2026-04-04</v>
      </c>
      <c r="B125" s="4" t="str">
        <f>IFERROR(__xludf.DUMMYFUNCTION("""COMPUTED_VALUE"""),"(아)이송현2436")</f>
        <v>(아)이송현2436</v>
      </c>
      <c r="C125" s="4" t="str">
        <f>IFERROR(__xludf.DUMMYFUNCTION("""COMPUTED_VALUE"""),"(김학림전종현) 쎄타_수2M피드백")</f>
        <v>(김학림전종현) 쎄타_수2M피드백</v>
      </c>
      <c r="D125" s="4" t="str">
        <f>IFERROR(__xludf.DUMMYFUNCTION("""COMPUTED_VALUE"""),"창고")</f>
        <v>창고</v>
      </c>
      <c r="E125" s="4">
        <f>IFERROR(__xludf.DUMMYFUNCTION("""COMPUTED_VALUE"""),1.0)</f>
        <v>1</v>
      </c>
      <c r="F125" s="4" t="str">
        <f>IFERROR(__xludf.DUMMYFUNCTION("""COMPUTED_VALUE"""),"기타")</f>
        <v>기타</v>
      </c>
      <c r="G125" s="4" t="str">
        <f>IFERROR(__xludf.DUMMYFUNCTION("""COMPUTED_VALUE"""),"신규")</f>
        <v>신규</v>
      </c>
      <c r="H125" s="4"/>
    </row>
    <row r="126" ht="15.75" customHeight="1">
      <c r="A126" s="4" t="str">
        <f>IFERROR(__xludf.DUMMYFUNCTION("""COMPUTED_VALUE"""),"2026-04-04")</f>
        <v>2026-04-04</v>
      </c>
      <c r="B126" s="4" t="str">
        <f>IFERROR(__xludf.DUMMYFUNCTION("""COMPUTED_VALUE"""),"(아)이송현2436")</f>
        <v>(아)이송현2436</v>
      </c>
      <c r="C126" s="4" t="str">
        <f>IFERROR(__xludf.DUMMYFUNCTION("""COMPUTED_VALUE"""),"(김학림전종현) 쎄타_확통M수업")</f>
        <v>(김학림전종현) 쎄타_확통M수업</v>
      </c>
      <c r="D126" s="4" t="str">
        <f>IFERROR(__xludf.DUMMYFUNCTION("""COMPUTED_VALUE"""),"창고")</f>
        <v>창고</v>
      </c>
      <c r="E126" s="4">
        <f>IFERROR(__xludf.DUMMYFUNCTION("""COMPUTED_VALUE"""),1.0)</f>
        <v>1</v>
      </c>
      <c r="F126" s="4" t="str">
        <f>IFERROR(__xludf.DUMMYFUNCTION("""COMPUTED_VALUE"""),"기타")</f>
        <v>기타</v>
      </c>
      <c r="G126" s="4" t="str">
        <f>IFERROR(__xludf.DUMMYFUNCTION("""COMPUTED_VALUE"""),"신규")</f>
        <v>신규</v>
      </c>
      <c r="H126" s="4"/>
    </row>
    <row r="127" ht="15.75" customHeight="1">
      <c r="A127" s="4" t="str">
        <f>IFERROR(__xludf.DUMMYFUNCTION("""COMPUTED_VALUE"""),"2026-04-04")</f>
        <v>2026-04-04</v>
      </c>
      <c r="B127" s="4" t="str">
        <f>IFERROR(__xludf.DUMMYFUNCTION("""COMPUTED_VALUE"""),"(아)이송현2436")</f>
        <v>(아)이송현2436</v>
      </c>
      <c r="C127" s="4" t="str">
        <f>IFERROR(__xludf.DUMMYFUNCTION("""COMPUTED_VALUE"""),"(김학림전종현) 쎄타_확통M피드백")</f>
        <v>(김학림전종현) 쎄타_확통M피드백</v>
      </c>
      <c r="D127" s="4" t="str">
        <f>IFERROR(__xludf.DUMMYFUNCTION("""COMPUTED_VALUE"""),"창고")</f>
        <v>창고</v>
      </c>
      <c r="E127" s="4">
        <f>IFERROR(__xludf.DUMMYFUNCTION("""COMPUTED_VALUE"""),1.0)</f>
        <v>1</v>
      </c>
      <c r="F127" s="4" t="str">
        <f>IFERROR(__xludf.DUMMYFUNCTION("""COMPUTED_VALUE"""),"기타")</f>
        <v>기타</v>
      </c>
      <c r="G127" s="4" t="str">
        <f>IFERROR(__xludf.DUMMYFUNCTION("""COMPUTED_VALUE"""),"신규")</f>
        <v>신규</v>
      </c>
      <c r="H127" s="4"/>
    </row>
    <row r="128" ht="15.75" customHeight="1">
      <c r="A128" s="4" t="str">
        <f>IFERROR(__xludf.DUMMYFUNCTION("""COMPUTED_VALUE"""),"2026-04-04")</f>
        <v>2026-04-04</v>
      </c>
      <c r="B128" s="4" t="str">
        <f>IFERROR(__xludf.DUMMYFUNCTION("""COMPUTED_VALUE"""),"(아)이송현2436")</f>
        <v>(아)이송현2436</v>
      </c>
      <c r="C128" s="4" t="str">
        <f>IFERROR(__xludf.DUMMYFUNCTION("""COMPUTED_VALUE"""),"(이승국) 한국지리")</f>
        <v>(이승국) 한국지리</v>
      </c>
      <c r="D128" s="4" t="str">
        <f>IFERROR(__xludf.DUMMYFUNCTION("""COMPUTED_VALUE"""),"창고")</f>
        <v>창고</v>
      </c>
      <c r="E128" s="4">
        <f>IFERROR(__xludf.DUMMYFUNCTION("""COMPUTED_VALUE"""),1.0)</f>
        <v>1</v>
      </c>
      <c r="F128" s="4" t="str">
        <f>IFERROR(__xludf.DUMMYFUNCTION("""COMPUTED_VALUE"""),"기타")</f>
        <v>기타</v>
      </c>
      <c r="G128" s="4" t="str">
        <f>IFERROR(__xludf.DUMMYFUNCTION("""COMPUTED_VALUE"""),"신규")</f>
        <v>신규</v>
      </c>
      <c r="H128" s="4"/>
    </row>
    <row r="129" ht="15.75" customHeight="1">
      <c r="A129" s="4" t="str">
        <f>IFERROR(__xludf.DUMMYFUNCTION("""COMPUTED_VALUE"""),"2026-04-04")</f>
        <v>2026-04-04</v>
      </c>
      <c r="B129" s="4" t="str">
        <f>IFERROR(__xludf.DUMMYFUNCTION("""COMPUTED_VALUE"""),"전건우1448")</f>
        <v>전건우1448</v>
      </c>
      <c r="C129" s="4" t="str">
        <f>IFERROR(__xludf.DUMMYFUNCTION("""COMPUTED_VALUE"""),"(국어선택) 언어와매체")</f>
        <v>(국어선택) 언어와매체</v>
      </c>
      <c r="D129" s="4" t="str">
        <f>IFERROR(__xludf.DUMMYFUNCTION("""COMPUTED_VALUE"""),"창고")</f>
        <v>창고</v>
      </c>
      <c r="E129" s="4">
        <f>IFERROR(__xludf.DUMMYFUNCTION("""COMPUTED_VALUE"""),1.0)</f>
        <v>1</v>
      </c>
      <c r="F129" s="4" t="str">
        <f>IFERROR(__xludf.DUMMYFUNCTION("""COMPUTED_VALUE"""),"기타")</f>
        <v>기타</v>
      </c>
      <c r="G129" s="4" t="str">
        <f>IFERROR(__xludf.DUMMYFUNCTION("""COMPUTED_VALUE"""),"신규")</f>
        <v>신규</v>
      </c>
      <c r="H129" s="4"/>
    </row>
    <row r="130" ht="15.75" customHeight="1">
      <c r="A130" s="4" t="str">
        <f>IFERROR(__xludf.DUMMYFUNCTION("""COMPUTED_VALUE"""),"2026-04-04")</f>
        <v>2026-04-04</v>
      </c>
      <c r="B130" s="4" t="str">
        <f>IFERROR(__xludf.DUMMYFUNCTION("""COMPUTED_VALUE"""),"전건우1448")</f>
        <v>전건우1448</v>
      </c>
      <c r="C130" s="4" t="str">
        <f>IFERROR(__xludf.DUMMYFUNCTION("""COMPUTED_VALUE"""),"(신인섭) 세계사")</f>
        <v>(신인섭) 세계사</v>
      </c>
      <c r="D130" s="4" t="str">
        <f>IFERROR(__xludf.DUMMYFUNCTION("""COMPUTED_VALUE"""),"창고")</f>
        <v>창고</v>
      </c>
      <c r="E130" s="4">
        <f>IFERROR(__xludf.DUMMYFUNCTION("""COMPUTED_VALUE"""),1.0)</f>
        <v>1</v>
      </c>
      <c r="F130" s="4" t="str">
        <f>IFERROR(__xludf.DUMMYFUNCTION("""COMPUTED_VALUE"""),"기타")</f>
        <v>기타</v>
      </c>
      <c r="G130" s="4" t="str">
        <f>IFERROR(__xludf.DUMMYFUNCTION("""COMPUTED_VALUE"""),"신규")</f>
        <v>신규</v>
      </c>
      <c r="H130" s="4"/>
    </row>
    <row r="131" ht="15.75" customHeight="1">
      <c r="A131" s="4" t="str">
        <f>IFERROR(__xludf.DUMMYFUNCTION("""COMPUTED_VALUE"""),"2026-04-04")</f>
        <v>2026-04-04</v>
      </c>
      <c r="B131" s="4" t="str">
        <f>IFERROR(__xludf.DUMMYFUNCTION("""COMPUTED_VALUE"""),"전건우1448")</f>
        <v>전건우1448</v>
      </c>
      <c r="C131" s="4" t="str">
        <f>IFERROR(__xludf.DUMMYFUNCTION("""COMPUTED_VALUE"""),"(신현철) 메멘토_수2(수업)")</f>
        <v>(신현철) 메멘토_수2(수업)</v>
      </c>
      <c r="D131" s="4" t="str">
        <f>IFERROR(__xludf.DUMMYFUNCTION("""COMPUTED_VALUE"""),"창고")</f>
        <v>창고</v>
      </c>
      <c r="E131" s="4">
        <f>IFERROR(__xludf.DUMMYFUNCTION("""COMPUTED_VALUE"""),1.0)</f>
        <v>1</v>
      </c>
      <c r="F131" s="4" t="str">
        <f>IFERROR(__xludf.DUMMYFUNCTION("""COMPUTED_VALUE"""),"기타")</f>
        <v>기타</v>
      </c>
      <c r="G131" s="4" t="str">
        <f>IFERROR(__xludf.DUMMYFUNCTION("""COMPUTED_VALUE"""),"신규")</f>
        <v>신규</v>
      </c>
      <c r="H131" s="4"/>
    </row>
    <row r="132" ht="15.75" customHeight="1">
      <c r="A132" s="4" t="str">
        <f>IFERROR(__xludf.DUMMYFUNCTION("""COMPUTED_VALUE"""),"2026-04-04")</f>
        <v>2026-04-04</v>
      </c>
      <c r="B132" s="4" t="str">
        <f>IFERROR(__xludf.DUMMYFUNCTION("""COMPUTED_VALUE"""),"전건우1448")</f>
        <v>전건우1448</v>
      </c>
      <c r="C132" s="4" t="str">
        <f>IFERROR(__xludf.DUMMYFUNCTION("""COMPUTED_VALUE"""),"(신현철) 메멘토_수2(피드백)")</f>
        <v>(신현철) 메멘토_수2(피드백)</v>
      </c>
      <c r="D132" s="4" t="str">
        <f>IFERROR(__xludf.DUMMYFUNCTION("""COMPUTED_VALUE"""),"창고")</f>
        <v>창고</v>
      </c>
      <c r="E132" s="4">
        <f>IFERROR(__xludf.DUMMYFUNCTION("""COMPUTED_VALUE"""),1.0)</f>
        <v>1</v>
      </c>
      <c r="F132" s="4" t="str">
        <f>IFERROR(__xludf.DUMMYFUNCTION("""COMPUTED_VALUE"""),"기타")</f>
        <v>기타</v>
      </c>
      <c r="G132" s="4" t="str">
        <f>IFERROR(__xludf.DUMMYFUNCTION("""COMPUTED_VALUE"""),"신규")</f>
        <v>신규</v>
      </c>
      <c r="H132" s="4"/>
    </row>
    <row r="133" ht="15.75" customHeight="1">
      <c r="A133" s="4" t="str">
        <f>IFERROR(__xludf.DUMMYFUNCTION("""COMPUTED_VALUE"""),"2026-04-04")</f>
        <v>2026-04-04</v>
      </c>
      <c r="B133" s="4" t="str">
        <f>IFERROR(__xludf.DUMMYFUNCTION("""COMPUTED_VALUE"""),"전건우1448")</f>
        <v>전건우1448</v>
      </c>
      <c r="C133" s="4" t="str">
        <f>IFERROR(__xludf.DUMMYFUNCTION("""COMPUTED_VALUE"""),"(신현철) 메멘토_확통(수업)")</f>
        <v>(신현철) 메멘토_확통(수업)</v>
      </c>
      <c r="D133" s="4" t="str">
        <f>IFERROR(__xludf.DUMMYFUNCTION("""COMPUTED_VALUE"""),"창고")</f>
        <v>창고</v>
      </c>
      <c r="E133" s="4">
        <f>IFERROR(__xludf.DUMMYFUNCTION("""COMPUTED_VALUE"""),1.0)</f>
        <v>1</v>
      </c>
      <c r="F133" s="4" t="str">
        <f>IFERROR(__xludf.DUMMYFUNCTION("""COMPUTED_VALUE"""),"기타")</f>
        <v>기타</v>
      </c>
      <c r="G133" s="4" t="str">
        <f>IFERROR(__xludf.DUMMYFUNCTION("""COMPUTED_VALUE"""),"신규")</f>
        <v>신규</v>
      </c>
      <c r="H133" s="4"/>
    </row>
    <row r="134" ht="15.75" customHeight="1">
      <c r="A134" s="4" t="str">
        <f>IFERROR(__xludf.DUMMYFUNCTION("""COMPUTED_VALUE"""),"2026-04-04")</f>
        <v>2026-04-04</v>
      </c>
      <c r="B134" s="4" t="str">
        <f>IFERROR(__xludf.DUMMYFUNCTION("""COMPUTED_VALUE"""),"전건우1448")</f>
        <v>전건우1448</v>
      </c>
      <c r="C134" s="4" t="str">
        <f>IFERROR(__xludf.DUMMYFUNCTION("""COMPUTED_VALUE"""),"(신현철) 메멘토_확통(수업)")</f>
        <v>(신현철) 메멘토_확통(수업)</v>
      </c>
      <c r="D134" s="4" t="str">
        <f>IFERROR(__xludf.DUMMYFUNCTION("""COMPUTED_VALUE"""),"창고")</f>
        <v>창고</v>
      </c>
      <c r="E134" s="4">
        <f>IFERROR(__xludf.DUMMYFUNCTION("""COMPUTED_VALUE"""),1.0)</f>
        <v>1</v>
      </c>
      <c r="F134" s="4" t="str">
        <f>IFERROR(__xludf.DUMMYFUNCTION("""COMPUTED_VALUE"""),"기타")</f>
        <v>기타</v>
      </c>
      <c r="G134" s="4" t="str">
        <f>IFERROR(__xludf.DUMMYFUNCTION("""COMPUTED_VALUE"""),"신규")</f>
        <v>신규</v>
      </c>
      <c r="H134" s="4"/>
    </row>
    <row r="135" ht="15.75" customHeight="1">
      <c r="A135" s="4" t="str">
        <f>IFERROR(__xludf.DUMMYFUNCTION("""COMPUTED_VALUE"""),"2026-04-04")</f>
        <v>2026-04-04</v>
      </c>
      <c r="B135" s="4" t="str">
        <f>IFERROR(__xludf.DUMMYFUNCTION("""COMPUTED_VALUE"""),"최우현9385")</f>
        <v>최우현9385</v>
      </c>
      <c r="C135" s="4" t="str">
        <f>IFERROR(__xludf.DUMMYFUNCTION("""COMPUTED_VALUE"""),"(국어선택) 화법과작문")</f>
        <v>(국어선택) 화법과작문</v>
      </c>
      <c r="D135" s="4" t="str">
        <f>IFERROR(__xludf.DUMMYFUNCTION("""COMPUTED_VALUE"""),"창고")</f>
        <v>창고</v>
      </c>
      <c r="E135" s="4">
        <f>IFERROR(__xludf.DUMMYFUNCTION("""COMPUTED_VALUE"""),1.0)</f>
        <v>1</v>
      </c>
      <c r="F135" s="4" t="str">
        <f>IFERROR(__xludf.DUMMYFUNCTION("""COMPUTED_VALUE"""),"기타")</f>
        <v>기타</v>
      </c>
      <c r="G135" s="4" t="str">
        <f>IFERROR(__xludf.DUMMYFUNCTION("""COMPUTED_VALUE"""),"신규")</f>
        <v>신규</v>
      </c>
      <c r="H135" s="4"/>
    </row>
    <row r="136" ht="15.75" customHeight="1">
      <c r="A136" s="4" t="str">
        <f>IFERROR(__xludf.DUMMYFUNCTION("""COMPUTED_VALUE"""),"2026-04-04")</f>
        <v>2026-04-04</v>
      </c>
      <c r="B136" s="4" t="str">
        <f>IFERROR(__xludf.DUMMYFUNCTION("""COMPUTED_VALUE"""),"최우현9385")</f>
        <v>최우현9385</v>
      </c>
      <c r="C136" s="4" t="str">
        <f>IFERROR(__xludf.DUMMYFUNCTION("""COMPUTED_VALUE"""),"(김학림전종현) 쎄타_수2M수업")</f>
        <v>(김학림전종현) 쎄타_수2M수업</v>
      </c>
      <c r="D136" s="4" t="str">
        <f>IFERROR(__xludf.DUMMYFUNCTION("""COMPUTED_VALUE"""),"창고")</f>
        <v>창고</v>
      </c>
      <c r="E136" s="4">
        <f>IFERROR(__xludf.DUMMYFUNCTION("""COMPUTED_VALUE"""),1.0)</f>
        <v>1</v>
      </c>
      <c r="F136" s="4" t="str">
        <f>IFERROR(__xludf.DUMMYFUNCTION("""COMPUTED_VALUE"""),"기타")</f>
        <v>기타</v>
      </c>
      <c r="G136" s="4" t="str">
        <f>IFERROR(__xludf.DUMMYFUNCTION("""COMPUTED_VALUE"""),"신규")</f>
        <v>신규</v>
      </c>
      <c r="H136" s="4"/>
    </row>
    <row r="137" ht="15.75" customHeight="1">
      <c r="A137" s="4" t="str">
        <f>IFERROR(__xludf.DUMMYFUNCTION("""COMPUTED_VALUE"""),"2026-04-04")</f>
        <v>2026-04-04</v>
      </c>
      <c r="B137" s="4" t="str">
        <f>IFERROR(__xludf.DUMMYFUNCTION("""COMPUTED_VALUE"""),"최우현9385")</f>
        <v>최우현9385</v>
      </c>
      <c r="C137" s="4" t="str">
        <f>IFERROR(__xludf.DUMMYFUNCTION("""COMPUTED_VALUE"""),"(김학림전종현) 쎄타_수2M피드백")</f>
        <v>(김학림전종현) 쎄타_수2M피드백</v>
      </c>
      <c r="D137" s="4" t="str">
        <f>IFERROR(__xludf.DUMMYFUNCTION("""COMPUTED_VALUE"""),"창고")</f>
        <v>창고</v>
      </c>
      <c r="E137" s="4">
        <f>IFERROR(__xludf.DUMMYFUNCTION("""COMPUTED_VALUE"""),1.0)</f>
        <v>1</v>
      </c>
      <c r="F137" s="4" t="str">
        <f>IFERROR(__xludf.DUMMYFUNCTION("""COMPUTED_VALUE"""),"기타")</f>
        <v>기타</v>
      </c>
      <c r="G137" s="4" t="str">
        <f>IFERROR(__xludf.DUMMYFUNCTION("""COMPUTED_VALUE"""),"신규")</f>
        <v>신규</v>
      </c>
      <c r="H137" s="4"/>
    </row>
    <row r="138" ht="15.75" customHeight="1">
      <c r="A138" s="4" t="str">
        <f>IFERROR(__xludf.DUMMYFUNCTION("""COMPUTED_VALUE"""),"2026-04-04")</f>
        <v>2026-04-04</v>
      </c>
      <c r="B138" s="4" t="str">
        <f>IFERROR(__xludf.DUMMYFUNCTION("""COMPUTED_VALUE"""),"최우현9385")</f>
        <v>최우현9385</v>
      </c>
      <c r="C138" s="4" t="str">
        <f>IFERROR(__xludf.DUMMYFUNCTION("""COMPUTED_VALUE"""),"(김학림전종현) 쎄타_확통M수업")</f>
        <v>(김학림전종현) 쎄타_확통M수업</v>
      </c>
      <c r="D138" s="4" t="str">
        <f>IFERROR(__xludf.DUMMYFUNCTION("""COMPUTED_VALUE"""),"창고")</f>
        <v>창고</v>
      </c>
      <c r="E138" s="4">
        <f>IFERROR(__xludf.DUMMYFUNCTION("""COMPUTED_VALUE"""),1.0)</f>
        <v>1</v>
      </c>
      <c r="F138" s="4" t="str">
        <f>IFERROR(__xludf.DUMMYFUNCTION("""COMPUTED_VALUE"""),"기타")</f>
        <v>기타</v>
      </c>
      <c r="G138" s="4" t="str">
        <f>IFERROR(__xludf.DUMMYFUNCTION("""COMPUTED_VALUE"""),"신규")</f>
        <v>신규</v>
      </c>
      <c r="H138" s="4"/>
    </row>
    <row r="139" ht="15.75" customHeight="1">
      <c r="A139" s="4" t="str">
        <f>IFERROR(__xludf.DUMMYFUNCTION("""COMPUTED_VALUE"""),"2026-04-04")</f>
        <v>2026-04-04</v>
      </c>
      <c r="B139" s="4" t="str">
        <f>IFERROR(__xludf.DUMMYFUNCTION("""COMPUTED_VALUE"""),"최우현9385")</f>
        <v>최우현9385</v>
      </c>
      <c r="C139" s="4" t="str">
        <f>IFERROR(__xludf.DUMMYFUNCTION("""COMPUTED_VALUE"""),"(김학림전종현) 쎄타_확통M피드백")</f>
        <v>(김학림전종현) 쎄타_확통M피드백</v>
      </c>
      <c r="D139" s="4" t="str">
        <f>IFERROR(__xludf.DUMMYFUNCTION("""COMPUTED_VALUE"""),"창고")</f>
        <v>창고</v>
      </c>
      <c r="E139" s="4">
        <f>IFERROR(__xludf.DUMMYFUNCTION("""COMPUTED_VALUE"""),1.0)</f>
        <v>1</v>
      </c>
      <c r="F139" s="4" t="str">
        <f>IFERROR(__xludf.DUMMYFUNCTION("""COMPUTED_VALUE"""),"기타")</f>
        <v>기타</v>
      </c>
      <c r="G139" s="4" t="str">
        <f>IFERROR(__xludf.DUMMYFUNCTION("""COMPUTED_VALUE"""),"신규")</f>
        <v>신규</v>
      </c>
      <c r="H139" s="4"/>
    </row>
    <row r="140" ht="15.75" customHeight="1">
      <c r="A140" s="4" t="str">
        <f>IFERROR(__xludf.DUMMYFUNCTION("""COMPUTED_VALUE"""),"2026-04-06")</f>
        <v>2026-04-06</v>
      </c>
      <c r="B140" s="4" t="str">
        <f>IFERROR(__xludf.DUMMYFUNCTION("""COMPUTED_VALUE"""),"(5)박건영5869")</f>
        <v>(5)박건영5869</v>
      </c>
      <c r="C140" s="4" t="str">
        <f>IFERROR(__xludf.DUMMYFUNCTION("""COMPUTED_VALUE"""),"(국어선택) 화법과작문")</f>
        <v>(국어선택) 화법과작문</v>
      </c>
      <c r="D140" s="4" t="str">
        <f>IFERROR(__xludf.DUMMYFUNCTION("""COMPUTED_VALUE"""),"창고")</f>
        <v>창고</v>
      </c>
      <c r="E140" s="4">
        <f>IFERROR(__xludf.DUMMYFUNCTION("""COMPUTED_VALUE"""),1.0)</f>
        <v>1</v>
      </c>
      <c r="F140" s="4" t="str">
        <f>IFERROR(__xludf.DUMMYFUNCTION("""COMPUTED_VALUE"""),"기타")</f>
        <v>기타</v>
      </c>
      <c r="G140" s="4" t="str">
        <f>IFERROR(__xludf.DUMMYFUNCTION("""COMPUTED_VALUE"""),"신규")</f>
        <v>신규</v>
      </c>
      <c r="H140" s="4"/>
    </row>
    <row r="141" ht="15.75" customHeight="1">
      <c r="A141" s="4" t="str">
        <f>IFERROR(__xludf.DUMMYFUNCTION("""COMPUTED_VALUE"""),"2026-04-06")</f>
        <v>2026-04-06</v>
      </c>
      <c r="B141" s="4" t="str">
        <f>IFERROR(__xludf.DUMMYFUNCTION("""COMPUTED_VALUE"""),"(5)박건영5869")</f>
        <v>(5)박건영5869</v>
      </c>
      <c r="C141" s="4" t="str">
        <f>IFERROR(__xludf.DUMMYFUNCTION("""COMPUTED_VALUE"""),"(진명화) 에센셜+_수2(수업)")</f>
        <v>(진명화) 에센셜+_수2(수업)</v>
      </c>
      <c r="D141" s="4" t="str">
        <f>IFERROR(__xludf.DUMMYFUNCTION("""COMPUTED_VALUE"""),"창고")</f>
        <v>창고</v>
      </c>
      <c r="E141" s="4">
        <f>IFERROR(__xludf.DUMMYFUNCTION("""COMPUTED_VALUE"""),1.0)</f>
        <v>1</v>
      </c>
      <c r="F141" s="4" t="str">
        <f>IFERROR(__xludf.DUMMYFUNCTION("""COMPUTED_VALUE"""),"기타")</f>
        <v>기타</v>
      </c>
      <c r="G141" s="4" t="str">
        <f>IFERROR(__xludf.DUMMYFUNCTION("""COMPUTED_VALUE"""),"신규")</f>
        <v>신규</v>
      </c>
      <c r="H141" s="4"/>
    </row>
    <row r="142" ht="15.75" customHeight="1">
      <c r="A142" s="4" t="str">
        <f>IFERROR(__xludf.DUMMYFUNCTION("""COMPUTED_VALUE"""),"2026-04-06")</f>
        <v>2026-04-06</v>
      </c>
      <c r="B142" s="4" t="str">
        <f>IFERROR(__xludf.DUMMYFUNCTION("""COMPUTED_VALUE"""),"(5)박건영5869")</f>
        <v>(5)박건영5869</v>
      </c>
      <c r="C142" s="4" t="str">
        <f>IFERROR(__xludf.DUMMYFUNCTION("""COMPUTED_VALUE"""),"(진명화) 에센셜+_확통(수업)")</f>
        <v>(진명화) 에센셜+_확통(수업)</v>
      </c>
      <c r="D142" s="4" t="str">
        <f>IFERROR(__xludf.DUMMYFUNCTION("""COMPUTED_VALUE"""),"창고")</f>
        <v>창고</v>
      </c>
      <c r="E142" s="4">
        <f>IFERROR(__xludf.DUMMYFUNCTION("""COMPUTED_VALUE"""),1.0)</f>
        <v>1</v>
      </c>
      <c r="F142" s="4" t="str">
        <f>IFERROR(__xludf.DUMMYFUNCTION("""COMPUTED_VALUE"""),"기타")</f>
        <v>기타</v>
      </c>
      <c r="G142" s="4" t="str">
        <f>IFERROR(__xludf.DUMMYFUNCTION("""COMPUTED_VALUE"""),"신규")</f>
        <v>신규</v>
      </c>
      <c r="H142" s="4"/>
    </row>
    <row r="143" ht="15.75" customHeight="1">
      <c r="A143" s="4" t="str">
        <f>IFERROR(__xludf.DUMMYFUNCTION("""COMPUTED_VALUE"""),"2026-04-06")</f>
        <v>2026-04-06</v>
      </c>
      <c r="B143" s="4" t="str">
        <f>IFERROR(__xludf.DUMMYFUNCTION("""COMPUTED_VALUE"""),"(5)박건영5869")</f>
        <v>(5)박건영5869</v>
      </c>
      <c r="C143" s="4" t="str">
        <f>IFERROR(__xludf.DUMMYFUNCTION("""COMPUTED_VALUE"""),"(진명화) 에센스+_수2(피드백)")</f>
        <v>(진명화) 에센스+_수2(피드백)</v>
      </c>
      <c r="D143" s="4" t="str">
        <f>IFERROR(__xludf.DUMMYFUNCTION("""COMPUTED_VALUE"""),"창고")</f>
        <v>창고</v>
      </c>
      <c r="E143" s="4">
        <f>IFERROR(__xludf.DUMMYFUNCTION("""COMPUTED_VALUE"""),1.0)</f>
        <v>1</v>
      </c>
      <c r="F143" s="4" t="str">
        <f>IFERROR(__xludf.DUMMYFUNCTION("""COMPUTED_VALUE"""),"기타")</f>
        <v>기타</v>
      </c>
      <c r="G143" s="4" t="str">
        <f>IFERROR(__xludf.DUMMYFUNCTION("""COMPUTED_VALUE"""),"신규")</f>
        <v>신규</v>
      </c>
      <c r="H143" s="4"/>
    </row>
    <row r="144" ht="15.75" customHeight="1">
      <c r="A144" s="4" t="str">
        <f>IFERROR(__xludf.DUMMYFUNCTION("""COMPUTED_VALUE"""),"2026-04-06")</f>
        <v>2026-04-06</v>
      </c>
      <c r="B144" s="4" t="str">
        <f>IFERROR(__xludf.DUMMYFUNCTION("""COMPUTED_VALUE"""),"(5)박건영5869")</f>
        <v>(5)박건영5869</v>
      </c>
      <c r="C144" s="4" t="str">
        <f>IFERROR(__xludf.DUMMYFUNCTION("""COMPUTED_VALUE"""),"(진명화) 에센스_확통(피드백)")</f>
        <v>(진명화) 에센스_확통(피드백)</v>
      </c>
      <c r="D144" s="4" t="str">
        <f>IFERROR(__xludf.DUMMYFUNCTION("""COMPUTED_VALUE"""),"창고")</f>
        <v>창고</v>
      </c>
      <c r="E144" s="4">
        <f>IFERROR(__xludf.DUMMYFUNCTION("""COMPUTED_VALUE"""),1.0)</f>
        <v>1</v>
      </c>
      <c r="F144" s="4" t="str">
        <f>IFERROR(__xludf.DUMMYFUNCTION("""COMPUTED_VALUE"""),"기타")</f>
        <v>기타</v>
      </c>
      <c r="G144" s="4" t="str">
        <f>IFERROR(__xludf.DUMMYFUNCTION("""COMPUTED_VALUE"""),"신규")</f>
        <v>신규</v>
      </c>
      <c r="H144" s="4"/>
    </row>
    <row r="145" ht="15.75" customHeight="1">
      <c r="A145" s="4" t="str">
        <f>IFERROR(__xludf.DUMMYFUNCTION("""COMPUTED_VALUE"""),"2026-04-06")</f>
        <v>2026-04-06</v>
      </c>
      <c r="B145" s="4" t="str">
        <f>IFERROR(__xludf.DUMMYFUNCTION("""COMPUTED_VALUE"""),"(5)박건영5869")</f>
        <v>(5)박건영5869</v>
      </c>
      <c r="C145" s="4" t="str">
        <f>IFERROR(__xludf.DUMMYFUNCTION("""COMPUTED_VALUE"""),"(이승국) 한국지리")</f>
        <v>(이승국) 한국지리</v>
      </c>
      <c r="D145" s="4" t="str">
        <f>IFERROR(__xludf.DUMMYFUNCTION("""COMPUTED_VALUE"""),"창고")</f>
        <v>창고</v>
      </c>
      <c r="E145" s="4">
        <f>IFERROR(__xludf.DUMMYFUNCTION("""COMPUTED_VALUE"""),1.0)</f>
        <v>1</v>
      </c>
      <c r="F145" s="4" t="str">
        <f>IFERROR(__xludf.DUMMYFUNCTION("""COMPUTED_VALUE"""),"기타")</f>
        <v>기타</v>
      </c>
      <c r="G145" s="4" t="str">
        <f>IFERROR(__xludf.DUMMYFUNCTION("""COMPUTED_VALUE"""),"신규")</f>
        <v>신규</v>
      </c>
      <c r="H145" s="4"/>
    </row>
    <row r="146" ht="15.75" customHeight="1">
      <c r="A146" s="4" t="str">
        <f>IFERROR(__xludf.DUMMYFUNCTION("""COMPUTED_VALUE"""),"2026-04-06")</f>
        <v>2026-04-06</v>
      </c>
      <c r="B146" s="4" t="str">
        <f>IFERROR(__xludf.DUMMYFUNCTION("""COMPUTED_VALUE"""),"(아)황예나0608")</f>
        <v>(아)황예나0608</v>
      </c>
      <c r="C146" s="4" t="str">
        <f>IFERROR(__xludf.DUMMYFUNCTION("""COMPUTED_VALUE"""),"(강성욱) 사회문화")</f>
        <v>(강성욱) 사회문화</v>
      </c>
      <c r="D146" s="4" t="str">
        <f>IFERROR(__xludf.DUMMYFUNCTION("""COMPUTED_VALUE"""),"창고")</f>
        <v>창고</v>
      </c>
      <c r="E146" s="4">
        <f>IFERROR(__xludf.DUMMYFUNCTION("""COMPUTED_VALUE"""),1.0)</f>
        <v>1</v>
      </c>
      <c r="F146" s="4" t="str">
        <f>IFERROR(__xludf.DUMMYFUNCTION("""COMPUTED_VALUE"""),"기타")</f>
        <v>기타</v>
      </c>
      <c r="G146" s="4" t="str">
        <f>IFERROR(__xludf.DUMMYFUNCTION("""COMPUTED_VALUE"""),"신규ㅜ")</f>
        <v>신규ㅜ</v>
      </c>
      <c r="H146" s="4"/>
    </row>
    <row r="147" ht="15.75" customHeight="1">
      <c r="A147" s="4" t="str">
        <f>IFERROR(__xludf.DUMMYFUNCTION("""COMPUTED_VALUE"""),"2026-04-06")</f>
        <v>2026-04-06</v>
      </c>
      <c r="B147" s="4" t="str">
        <f>IFERROR(__xludf.DUMMYFUNCTION("""COMPUTED_VALUE"""),"(아)황예나0608")</f>
        <v>(아)황예나0608</v>
      </c>
      <c r="C147" s="4" t="str">
        <f>IFERROR(__xludf.DUMMYFUNCTION("""COMPUTED_VALUE"""),"(강원휘) 생명과학")</f>
        <v>(강원휘) 생명과학</v>
      </c>
      <c r="D147" s="4" t="str">
        <f>IFERROR(__xludf.DUMMYFUNCTION("""COMPUTED_VALUE"""),"창고")</f>
        <v>창고</v>
      </c>
      <c r="E147" s="4">
        <f>IFERROR(__xludf.DUMMYFUNCTION("""COMPUTED_VALUE"""),1.0)</f>
        <v>1</v>
      </c>
      <c r="F147" s="4" t="str">
        <f>IFERROR(__xludf.DUMMYFUNCTION("""COMPUTED_VALUE"""),"기타")</f>
        <v>기타</v>
      </c>
      <c r="G147" s="4" t="str">
        <f>IFERROR(__xludf.DUMMYFUNCTION("""COMPUTED_VALUE"""),"신규")</f>
        <v>신규</v>
      </c>
      <c r="H147" s="4"/>
    </row>
    <row r="148" ht="15.75" customHeight="1">
      <c r="A148" s="4" t="str">
        <f>IFERROR(__xludf.DUMMYFUNCTION("""COMPUTED_VALUE"""),"2026-04-06")</f>
        <v>2026-04-06</v>
      </c>
      <c r="B148" s="4" t="str">
        <f>IFERROR(__xludf.DUMMYFUNCTION("""COMPUTED_VALUE"""),"(아)황예나0608")</f>
        <v>(아)황예나0608</v>
      </c>
      <c r="C148" s="4" t="str">
        <f>IFERROR(__xludf.DUMMYFUNCTION("""COMPUTED_VALUE"""),"(진명화) 에센셜+_수2(수업)")</f>
        <v>(진명화) 에센셜+_수2(수업)</v>
      </c>
      <c r="D148" s="4" t="str">
        <f>IFERROR(__xludf.DUMMYFUNCTION("""COMPUTED_VALUE"""),"창고")</f>
        <v>창고</v>
      </c>
      <c r="E148" s="4">
        <f>IFERROR(__xludf.DUMMYFUNCTION("""COMPUTED_VALUE"""),1.0)</f>
        <v>1</v>
      </c>
      <c r="F148" s="4" t="str">
        <f>IFERROR(__xludf.DUMMYFUNCTION("""COMPUTED_VALUE"""),"기타")</f>
        <v>기타</v>
      </c>
      <c r="G148" s="4" t="str">
        <f>IFERROR(__xludf.DUMMYFUNCTION("""COMPUTED_VALUE"""),"신규")</f>
        <v>신규</v>
      </c>
      <c r="H148" s="4"/>
    </row>
    <row r="149" ht="15.75" customHeight="1">
      <c r="A149" s="4" t="str">
        <f>IFERROR(__xludf.DUMMYFUNCTION("""COMPUTED_VALUE"""),"2026-04-06")</f>
        <v>2026-04-06</v>
      </c>
      <c r="B149" s="4" t="str">
        <f>IFERROR(__xludf.DUMMYFUNCTION("""COMPUTED_VALUE"""),"(아)황예나0608")</f>
        <v>(아)황예나0608</v>
      </c>
      <c r="C149" s="4" t="str">
        <f>IFERROR(__xludf.DUMMYFUNCTION("""COMPUTED_VALUE"""),"(진명화) 에센셜+_확통(수업)")</f>
        <v>(진명화) 에센셜+_확통(수업)</v>
      </c>
      <c r="D149" s="4" t="str">
        <f>IFERROR(__xludf.DUMMYFUNCTION("""COMPUTED_VALUE"""),"창고")</f>
        <v>창고</v>
      </c>
      <c r="E149" s="4">
        <f>IFERROR(__xludf.DUMMYFUNCTION("""COMPUTED_VALUE"""),1.0)</f>
        <v>1</v>
      </c>
      <c r="F149" s="4" t="str">
        <f>IFERROR(__xludf.DUMMYFUNCTION("""COMPUTED_VALUE"""),"기타")</f>
        <v>기타</v>
      </c>
      <c r="G149" s="4" t="str">
        <f>IFERROR(__xludf.DUMMYFUNCTION("""COMPUTED_VALUE"""),"신규")</f>
        <v>신규</v>
      </c>
      <c r="H149" s="4"/>
    </row>
    <row r="150" ht="15.75" customHeight="1">
      <c r="A150" s="4" t="str">
        <f>IFERROR(__xludf.DUMMYFUNCTION("""COMPUTED_VALUE"""),"2026-04-06")</f>
        <v>2026-04-06</v>
      </c>
      <c r="B150" s="4" t="str">
        <f>IFERROR(__xludf.DUMMYFUNCTION("""COMPUTED_VALUE"""),"(아)황예나0608")</f>
        <v>(아)황예나0608</v>
      </c>
      <c r="C150" s="4" t="str">
        <f>IFERROR(__xludf.DUMMYFUNCTION("""COMPUTED_VALUE"""),"(진명화) 에센스+_수2(피드백)")</f>
        <v>(진명화) 에센스+_수2(피드백)</v>
      </c>
      <c r="D150" s="4" t="str">
        <f>IFERROR(__xludf.DUMMYFUNCTION("""COMPUTED_VALUE"""),"창고")</f>
        <v>창고</v>
      </c>
      <c r="E150" s="4">
        <f>IFERROR(__xludf.DUMMYFUNCTION("""COMPUTED_VALUE"""),1.0)</f>
        <v>1</v>
      </c>
      <c r="F150" s="4" t="str">
        <f>IFERROR(__xludf.DUMMYFUNCTION("""COMPUTED_VALUE"""),"기타")</f>
        <v>기타</v>
      </c>
      <c r="G150" s="4" t="str">
        <f>IFERROR(__xludf.DUMMYFUNCTION("""COMPUTED_VALUE"""),"신규")</f>
        <v>신규</v>
      </c>
      <c r="H150" s="4"/>
    </row>
    <row r="151" ht="15.75" customHeight="1">
      <c r="A151" s="4" t="str">
        <f>IFERROR(__xludf.DUMMYFUNCTION("""COMPUTED_VALUE"""),"2026-04-06")</f>
        <v>2026-04-06</v>
      </c>
      <c r="B151" s="4" t="str">
        <f>IFERROR(__xludf.DUMMYFUNCTION("""COMPUTED_VALUE"""),"(아)황예나0608")</f>
        <v>(아)황예나0608</v>
      </c>
      <c r="C151" s="4" t="str">
        <f>IFERROR(__xludf.DUMMYFUNCTION("""COMPUTED_VALUE"""),"(진명화) 에센스_확통(피드백)")</f>
        <v>(진명화) 에센스_확통(피드백)</v>
      </c>
      <c r="D151" s="4" t="str">
        <f>IFERROR(__xludf.DUMMYFUNCTION("""COMPUTED_VALUE"""),"창고")</f>
        <v>창고</v>
      </c>
      <c r="E151" s="4">
        <f>IFERROR(__xludf.DUMMYFUNCTION("""COMPUTED_VALUE"""),1.0)</f>
        <v>1</v>
      </c>
      <c r="F151" s="4" t="str">
        <f>IFERROR(__xludf.DUMMYFUNCTION("""COMPUTED_VALUE"""),"기타")</f>
        <v>기타</v>
      </c>
      <c r="G151" s="4" t="str">
        <f>IFERROR(__xludf.DUMMYFUNCTION("""COMPUTED_VALUE"""),"신규")</f>
        <v>신규</v>
      </c>
      <c r="H151" s="4"/>
    </row>
    <row r="152" ht="15.75" customHeight="1">
      <c r="A152" s="4" t="str">
        <f>IFERROR(__xludf.DUMMYFUNCTION("""COMPUTED_VALUE"""),"2026-04-06")</f>
        <v>2026-04-06</v>
      </c>
      <c r="B152" s="4" t="str">
        <f>IFERROR(__xludf.DUMMYFUNCTION("""COMPUTED_VALUE"""),"남유주5622")</f>
        <v>남유주5622</v>
      </c>
      <c r="C152" s="4" t="str">
        <f>IFERROR(__xludf.DUMMYFUNCTION("""COMPUTED_VALUE"""),"(영매깨) 1학기")</f>
        <v>(영매깨) 1학기</v>
      </c>
      <c r="D152" s="4" t="str">
        <f>IFERROR(__xludf.DUMMYFUNCTION("""COMPUTED_VALUE"""),"창고")</f>
        <v>창고</v>
      </c>
      <c r="E152" s="4">
        <f>IFERROR(__xludf.DUMMYFUNCTION("""COMPUTED_VALUE"""),1.0)</f>
        <v>1</v>
      </c>
      <c r="F152" s="4" t="str">
        <f>IFERROR(__xludf.DUMMYFUNCTION("""COMPUTED_VALUE"""),"기타")</f>
        <v>기타</v>
      </c>
      <c r="G152" s="4" t="str">
        <f>IFERROR(__xludf.DUMMYFUNCTION("""COMPUTED_VALUE"""),"신규")</f>
        <v>신규</v>
      </c>
      <c r="H152" s="4"/>
    </row>
    <row r="153" ht="15.75" customHeight="1">
      <c r="A153" s="4" t="str">
        <f>IFERROR(__xludf.DUMMYFUNCTION("""COMPUTED_VALUE"""),"2026-04-06")</f>
        <v>2026-04-06</v>
      </c>
      <c r="B153" s="4" t="str">
        <f>IFERROR(__xludf.DUMMYFUNCTION("""COMPUTED_VALUE"""),"(아)황예나0608")</f>
        <v>(아)황예나0608</v>
      </c>
      <c r="C153" s="4" t="str">
        <f>IFERROR(__xludf.DUMMYFUNCTION("""COMPUTED_VALUE"""),"(영매깨) 1학기")</f>
        <v>(영매깨) 1학기</v>
      </c>
      <c r="D153" s="4" t="str">
        <f>IFERROR(__xludf.DUMMYFUNCTION("""COMPUTED_VALUE"""),"창고")</f>
        <v>창고</v>
      </c>
      <c r="E153" s="4">
        <f>IFERROR(__xludf.DUMMYFUNCTION("""COMPUTED_VALUE"""),1.0)</f>
        <v>1</v>
      </c>
      <c r="F153" s="4" t="str">
        <f>IFERROR(__xludf.DUMMYFUNCTION("""COMPUTED_VALUE"""),"기타")</f>
        <v>기타</v>
      </c>
      <c r="G153" s="4" t="str">
        <f>IFERROR(__xludf.DUMMYFUNCTION("""COMPUTED_VALUE"""),"신규")</f>
        <v>신규</v>
      </c>
      <c r="H153" s="4"/>
    </row>
    <row r="154" ht="15.75" customHeight="1">
      <c r="A154" s="4" t="str">
        <f>IFERROR(__xludf.DUMMYFUNCTION("""COMPUTED_VALUE"""),"2026-04-06")</f>
        <v>2026-04-06</v>
      </c>
      <c r="B154" s="4" t="str">
        <f>IFERROR(__xludf.DUMMYFUNCTION("""COMPUTED_VALUE"""),"이지석3484")</f>
        <v>이지석3484</v>
      </c>
      <c r="C154" s="4" t="str">
        <f>IFERROR(__xludf.DUMMYFUNCTION("""COMPUTED_VALUE"""),"(영매깨) 1학기")</f>
        <v>(영매깨) 1학기</v>
      </c>
      <c r="D154" s="4" t="str">
        <f>IFERROR(__xludf.DUMMYFUNCTION("""COMPUTED_VALUE"""),"창고")</f>
        <v>창고</v>
      </c>
      <c r="E154" s="4">
        <f>IFERROR(__xludf.DUMMYFUNCTION("""COMPUTED_VALUE"""),1.0)</f>
        <v>1</v>
      </c>
      <c r="F154" s="4" t="str">
        <f>IFERROR(__xludf.DUMMYFUNCTION("""COMPUTED_VALUE"""),"추가지급")</f>
        <v>추가지급</v>
      </c>
      <c r="G154" s="4"/>
      <c r="H154" s="4"/>
    </row>
    <row r="155" ht="15.75" customHeight="1">
      <c r="A155" s="4" t="str">
        <f>IFERROR(__xludf.DUMMYFUNCTION("""COMPUTED_VALUE"""),"2026-04-06")</f>
        <v>2026-04-06</v>
      </c>
      <c r="B155" s="4" t="str">
        <f>IFERROR(__xludf.DUMMYFUNCTION("""COMPUTED_VALUE"""),"남유주5622")</f>
        <v>남유주5622</v>
      </c>
      <c r="C155" s="4" t="str">
        <f>IFERROR(__xludf.DUMMYFUNCTION("""COMPUTED_VALUE"""),"(국매깨) 9주차")</f>
        <v>(국매깨) 9주차</v>
      </c>
      <c r="D155" s="4" t="str">
        <f>IFERROR(__xludf.DUMMYFUNCTION("""COMPUTED_VALUE"""),"창고")</f>
        <v>창고</v>
      </c>
      <c r="E155" s="4">
        <f>IFERROR(__xludf.DUMMYFUNCTION("""COMPUTED_VALUE"""),1.0)</f>
        <v>1</v>
      </c>
      <c r="F155" s="4" t="str">
        <f>IFERROR(__xludf.DUMMYFUNCTION("""COMPUTED_VALUE"""),"기타")</f>
        <v>기타</v>
      </c>
      <c r="G155" s="4" t="str">
        <f>IFERROR(__xludf.DUMMYFUNCTION("""COMPUTED_VALUE"""),"신규")</f>
        <v>신규</v>
      </c>
      <c r="H155" s="4"/>
    </row>
    <row r="156" ht="15.75" customHeight="1">
      <c r="A156" s="4" t="str">
        <f>IFERROR(__xludf.DUMMYFUNCTION("""COMPUTED_VALUE"""),"2026-04-06")</f>
        <v>2026-04-06</v>
      </c>
      <c r="B156" s="4" t="str">
        <f>IFERROR(__xludf.DUMMYFUNCTION("""COMPUTED_VALUE"""),"남유주5622")</f>
        <v>남유주5622</v>
      </c>
      <c r="C156" s="4" t="str">
        <f>IFERROR(__xludf.DUMMYFUNCTION("""COMPUTED_VALUE"""),"(김학림전종현) 쎄타_수2M수업")</f>
        <v>(김학림전종현) 쎄타_수2M수업</v>
      </c>
      <c r="D156" s="4" t="str">
        <f>IFERROR(__xludf.DUMMYFUNCTION("""COMPUTED_VALUE"""),"창고")</f>
        <v>창고</v>
      </c>
      <c r="E156" s="4">
        <f>IFERROR(__xludf.DUMMYFUNCTION("""COMPUTED_VALUE"""),1.0)</f>
        <v>1</v>
      </c>
      <c r="F156" s="4" t="str">
        <f>IFERROR(__xludf.DUMMYFUNCTION("""COMPUTED_VALUE"""),"기타")</f>
        <v>기타</v>
      </c>
      <c r="G156" s="4" t="str">
        <f>IFERROR(__xludf.DUMMYFUNCTION("""COMPUTED_VALUE"""),"신규")</f>
        <v>신규</v>
      </c>
      <c r="H156" s="4"/>
    </row>
    <row r="157" ht="15.75" customHeight="1">
      <c r="A157" s="4" t="str">
        <f>IFERROR(__xludf.DUMMYFUNCTION("""COMPUTED_VALUE"""),"2026-04-06")</f>
        <v>2026-04-06</v>
      </c>
      <c r="B157" s="4" t="str">
        <f>IFERROR(__xludf.DUMMYFUNCTION("""COMPUTED_VALUE"""),"남유주5622")</f>
        <v>남유주5622</v>
      </c>
      <c r="C157" s="4" t="str">
        <f>IFERROR(__xludf.DUMMYFUNCTION("""COMPUTED_VALUE"""),"(김학림전종현) 쎄타_수2M피드백")</f>
        <v>(김학림전종현) 쎄타_수2M피드백</v>
      </c>
      <c r="D157" s="4" t="str">
        <f>IFERROR(__xludf.DUMMYFUNCTION("""COMPUTED_VALUE"""),"창고")</f>
        <v>창고</v>
      </c>
      <c r="E157" s="4">
        <f>IFERROR(__xludf.DUMMYFUNCTION("""COMPUTED_VALUE"""),1.0)</f>
        <v>1</v>
      </c>
      <c r="F157" s="4" t="str">
        <f>IFERROR(__xludf.DUMMYFUNCTION("""COMPUTED_VALUE"""),"기타")</f>
        <v>기타</v>
      </c>
      <c r="G157" s="4" t="str">
        <f>IFERROR(__xludf.DUMMYFUNCTION("""COMPUTED_VALUE"""),"신규")</f>
        <v>신규</v>
      </c>
      <c r="H157" s="4"/>
    </row>
    <row r="158" ht="15.75" customHeight="1">
      <c r="A158" s="4" t="str">
        <f>IFERROR(__xludf.DUMMYFUNCTION("""COMPUTED_VALUE"""),"2026-04-06")</f>
        <v>2026-04-06</v>
      </c>
      <c r="B158" s="4" t="str">
        <f>IFERROR(__xludf.DUMMYFUNCTION("""COMPUTED_VALUE"""),"남유주5622")</f>
        <v>남유주5622</v>
      </c>
      <c r="C158" s="4" t="str">
        <f>IFERROR(__xludf.DUMMYFUNCTION("""COMPUTED_VALUE"""),"(김학림전종현) 쎄타_확통M수업")</f>
        <v>(김학림전종현) 쎄타_확통M수업</v>
      </c>
      <c r="D158" s="4" t="str">
        <f>IFERROR(__xludf.DUMMYFUNCTION("""COMPUTED_VALUE"""),"창고")</f>
        <v>창고</v>
      </c>
      <c r="E158" s="4">
        <f>IFERROR(__xludf.DUMMYFUNCTION("""COMPUTED_VALUE"""),1.0)</f>
        <v>1</v>
      </c>
      <c r="F158" s="4" t="str">
        <f>IFERROR(__xludf.DUMMYFUNCTION("""COMPUTED_VALUE"""),"기타")</f>
        <v>기타</v>
      </c>
      <c r="G158" s="4" t="str">
        <f>IFERROR(__xludf.DUMMYFUNCTION("""COMPUTED_VALUE"""),"신규")</f>
        <v>신규</v>
      </c>
      <c r="H158" s="4"/>
    </row>
    <row r="159" ht="15.75" customHeight="1">
      <c r="A159" s="4" t="str">
        <f>IFERROR(__xludf.DUMMYFUNCTION("""COMPUTED_VALUE"""),"2026-04-06")</f>
        <v>2026-04-06</v>
      </c>
      <c r="B159" s="4" t="str">
        <f>IFERROR(__xludf.DUMMYFUNCTION("""COMPUTED_VALUE"""),"남유주5622")</f>
        <v>남유주5622</v>
      </c>
      <c r="C159" s="4" t="str">
        <f>IFERROR(__xludf.DUMMYFUNCTION("""COMPUTED_VALUE"""),"(김학림전종현) 쎄타_확통M피드백")</f>
        <v>(김학림전종현) 쎄타_확통M피드백</v>
      </c>
      <c r="D159" s="4" t="str">
        <f>IFERROR(__xludf.DUMMYFUNCTION("""COMPUTED_VALUE"""),"창고")</f>
        <v>창고</v>
      </c>
      <c r="E159" s="4">
        <f>IFERROR(__xludf.DUMMYFUNCTION("""COMPUTED_VALUE"""),1.0)</f>
        <v>1</v>
      </c>
      <c r="F159" s="4" t="str">
        <f>IFERROR(__xludf.DUMMYFUNCTION("""COMPUTED_VALUE"""),"기타")</f>
        <v>기타</v>
      </c>
      <c r="G159" s="4" t="str">
        <f>IFERROR(__xludf.DUMMYFUNCTION("""COMPUTED_VALUE"""),"신규")</f>
        <v>신규</v>
      </c>
      <c r="H159" s="4"/>
    </row>
    <row r="160" ht="15.75" customHeight="1">
      <c r="A160" s="4" t="str">
        <f>IFERROR(__xludf.DUMMYFUNCTION("""COMPUTED_VALUE"""),"2026-04-06")</f>
        <v>2026-04-06</v>
      </c>
      <c r="B160" s="4" t="str">
        <f>IFERROR(__xludf.DUMMYFUNCTION("""COMPUTED_VALUE"""),"남유주5622")</f>
        <v>남유주5622</v>
      </c>
      <c r="C160" s="4" t="str">
        <f>IFERROR(__xludf.DUMMYFUNCTION("""COMPUTED_VALUE"""),"(수매깨7주차) M")</f>
        <v>(수매깨7주차) M</v>
      </c>
      <c r="D160" s="4" t="str">
        <f>IFERROR(__xludf.DUMMYFUNCTION("""COMPUTED_VALUE"""),"창고")</f>
        <v>창고</v>
      </c>
      <c r="E160" s="4">
        <f>IFERROR(__xludf.DUMMYFUNCTION("""COMPUTED_VALUE"""),1.0)</f>
        <v>1</v>
      </c>
      <c r="F160" s="4" t="str">
        <f>IFERROR(__xludf.DUMMYFUNCTION("""COMPUTED_VALUE"""),"기타")</f>
        <v>기타</v>
      </c>
      <c r="G160" s="4" t="str">
        <f>IFERROR(__xludf.DUMMYFUNCTION("""COMPUTED_VALUE"""),"신규")</f>
        <v>신규</v>
      </c>
      <c r="H160" s="4"/>
    </row>
    <row r="161" ht="15.75" customHeight="1">
      <c r="A161" s="4" t="str">
        <f>IFERROR(__xludf.DUMMYFUNCTION("""COMPUTED_VALUE"""),"2026-04-06")</f>
        <v>2026-04-06</v>
      </c>
      <c r="B161" s="4" t="str">
        <f>IFERROR(__xludf.DUMMYFUNCTION("""COMPUTED_VALUE"""),"남유주5622")</f>
        <v>남유주5622</v>
      </c>
      <c r="C161" s="4" t="str">
        <f>IFERROR(__xludf.DUMMYFUNCTION("""COMPUTED_VALUE"""),"(장진민) 생활과 윤리")</f>
        <v>(장진민) 생활과 윤리</v>
      </c>
      <c r="D161" s="4" t="str">
        <f>IFERROR(__xludf.DUMMYFUNCTION("""COMPUTED_VALUE"""),"창고")</f>
        <v>창고</v>
      </c>
      <c r="E161" s="4">
        <f>IFERROR(__xludf.DUMMYFUNCTION("""COMPUTED_VALUE"""),1.0)</f>
        <v>1</v>
      </c>
      <c r="F161" s="4" t="str">
        <f>IFERROR(__xludf.DUMMYFUNCTION("""COMPUTED_VALUE"""),"기타")</f>
        <v>기타</v>
      </c>
      <c r="G161" s="4" t="str">
        <f>IFERROR(__xludf.DUMMYFUNCTION("""COMPUTED_VALUE"""),"신규")</f>
        <v>신규</v>
      </c>
      <c r="H161" s="4"/>
    </row>
    <row r="162" ht="15.75" customHeight="1">
      <c r="A162" s="4" t="str">
        <f>IFERROR(__xludf.DUMMYFUNCTION("""COMPUTED_VALUE"""),"2026-04-07")</f>
        <v>2026-04-07</v>
      </c>
      <c r="B162" s="4" t="str">
        <f>IFERROR(__xludf.DUMMYFUNCTION("""COMPUTED_VALUE"""),"(5)고강민8799")</f>
        <v>(5)고강민8799</v>
      </c>
      <c r="C162" s="4" t="str">
        <f>IFERROR(__xludf.DUMMYFUNCTION("""COMPUTED_VALUE"""),"(강성욱) 사회문화 , (국매깨) 9주차")</f>
        <v>(강성욱) 사회문화 , (국매깨) 9주차</v>
      </c>
      <c r="D162" s="4" t="str">
        <f>IFERROR(__xludf.DUMMYFUNCTION("""COMPUTED_VALUE"""),"창고")</f>
        <v>창고</v>
      </c>
      <c r="E162" s="4">
        <f>IFERROR(__xludf.DUMMYFUNCTION("""COMPUTED_VALUE"""),1.0)</f>
        <v>1</v>
      </c>
      <c r="F162" s="4" t="str">
        <f>IFERROR(__xludf.DUMMYFUNCTION("""COMPUTED_VALUE"""),"재배부")</f>
        <v>재배부</v>
      </c>
      <c r="G162" s="4"/>
      <c r="H162" s="4"/>
    </row>
    <row r="163" ht="15.75" customHeight="1">
      <c r="A163" s="4" t="str">
        <f>IFERROR(__xludf.DUMMYFUNCTION("""COMPUTED_VALUE"""),"2026-04-07")</f>
        <v>2026-04-07</v>
      </c>
      <c r="B163" s="4" t="str">
        <f>IFERROR(__xludf.DUMMYFUNCTION("""COMPUTED_VALUE"""),"(5)강연웅2804")</f>
        <v>(5)강연웅2804</v>
      </c>
      <c r="C163" s="4" t="str">
        <f>IFERROR(__xludf.DUMMYFUNCTION("""COMPUTED_VALUE"""),"(강원휘) 생명과학")</f>
        <v>(강원휘) 생명과학</v>
      </c>
      <c r="D163" s="4" t="str">
        <f>IFERROR(__xludf.DUMMYFUNCTION("""COMPUTED_VALUE"""),"창고")</f>
        <v>창고</v>
      </c>
      <c r="E163" s="4">
        <f>IFERROR(__xludf.DUMMYFUNCTION("""COMPUTED_VALUE"""),1.0)</f>
        <v>1</v>
      </c>
      <c r="F163" s="4" t="str">
        <f>IFERROR(__xludf.DUMMYFUNCTION("""COMPUTED_VALUE"""),"신규")</f>
        <v>신규</v>
      </c>
      <c r="G163" s="4"/>
      <c r="H163" s="4" t="str">
        <f>IFERROR(__xludf.DUMMYFUNCTION("""COMPUTED_VALUE"""),"김지유")</f>
        <v>김지유</v>
      </c>
    </row>
    <row r="164" ht="15.75" customHeight="1">
      <c r="A164" s="4" t="str">
        <f>IFERROR(__xludf.DUMMYFUNCTION("""COMPUTED_VALUE"""),"2026-04-07")</f>
        <v>2026-04-07</v>
      </c>
      <c r="B164" s="4" t="str">
        <f>IFERROR(__xludf.DUMMYFUNCTION("""COMPUTED_VALUE"""),"(5)강연웅2804")</f>
        <v>(5)강연웅2804</v>
      </c>
      <c r="C164" s="4" t="str">
        <f>IFERROR(__xludf.DUMMYFUNCTION("""COMPUTED_VALUE"""),"(국매깨) 9주차")</f>
        <v>(국매깨) 9주차</v>
      </c>
      <c r="D164" s="4" t="str">
        <f>IFERROR(__xludf.DUMMYFUNCTION("""COMPUTED_VALUE"""),"창고")</f>
        <v>창고</v>
      </c>
      <c r="E164" s="4">
        <f>IFERROR(__xludf.DUMMYFUNCTION("""COMPUTED_VALUE"""),1.0)</f>
        <v>1</v>
      </c>
      <c r="F164" s="4" t="str">
        <f>IFERROR(__xludf.DUMMYFUNCTION("""COMPUTED_VALUE"""),"신규")</f>
        <v>신규</v>
      </c>
      <c r="G164" s="4"/>
      <c r="H164" s="4" t="str">
        <f>IFERROR(__xludf.DUMMYFUNCTION("""COMPUTED_VALUE"""),"김지유")</f>
        <v>김지유</v>
      </c>
    </row>
    <row r="165" ht="15.75" customHeight="1">
      <c r="A165" s="4" t="str">
        <f>IFERROR(__xludf.DUMMYFUNCTION("""COMPUTED_VALUE"""),"2026-04-07")</f>
        <v>2026-04-07</v>
      </c>
      <c r="B165" s="4" t="str">
        <f>IFERROR(__xludf.DUMMYFUNCTION("""COMPUTED_VALUE"""),"(5)강연웅2804")</f>
        <v>(5)강연웅2804</v>
      </c>
      <c r="C165" s="4" t="str">
        <f>IFERROR(__xludf.DUMMYFUNCTION("""COMPUTED_VALUE"""),"(국어선택) 언어와매체")</f>
        <v>(국어선택) 언어와매체</v>
      </c>
      <c r="D165" s="4" t="str">
        <f>IFERROR(__xludf.DUMMYFUNCTION("""COMPUTED_VALUE"""),"창고")</f>
        <v>창고</v>
      </c>
      <c r="E165" s="4">
        <f>IFERROR(__xludf.DUMMYFUNCTION("""COMPUTED_VALUE"""),1.0)</f>
        <v>1</v>
      </c>
      <c r="F165" s="4" t="str">
        <f>IFERROR(__xludf.DUMMYFUNCTION("""COMPUTED_VALUE"""),"신규")</f>
        <v>신규</v>
      </c>
      <c r="G165" s="4"/>
      <c r="H165" s="4" t="str">
        <f>IFERROR(__xludf.DUMMYFUNCTION("""COMPUTED_VALUE"""),"김지유")</f>
        <v>김지유</v>
      </c>
    </row>
    <row r="166" ht="15.75" customHeight="1">
      <c r="A166" s="4" t="str">
        <f>IFERROR(__xludf.DUMMYFUNCTION("""COMPUTED_VALUE"""),"2026-04-07")</f>
        <v>2026-04-07</v>
      </c>
      <c r="B166" s="4" t="str">
        <f>IFERROR(__xludf.DUMMYFUNCTION("""COMPUTED_VALUE"""),"(5)강연웅2804")</f>
        <v>(5)강연웅2804</v>
      </c>
      <c r="C166" s="4" t="str">
        <f>IFERROR(__xludf.DUMMYFUNCTION("""COMPUTED_VALUE"""),"(김학림전종현) 쎄타_미적E수업")</f>
        <v>(김학림전종현) 쎄타_미적E수업</v>
      </c>
      <c r="D166" s="4" t="str">
        <f>IFERROR(__xludf.DUMMYFUNCTION("""COMPUTED_VALUE"""),"창고")</f>
        <v>창고</v>
      </c>
      <c r="E166" s="4">
        <f>IFERROR(__xludf.DUMMYFUNCTION("""COMPUTED_VALUE"""),1.0)</f>
        <v>1</v>
      </c>
      <c r="F166" s="4" t="str">
        <f>IFERROR(__xludf.DUMMYFUNCTION("""COMPUTED_VALUE"""),"신규")</f>
        <v>신규</v>
      </c>
      <c r="G166" s="4"/>
      <c r="H166" s="4" t="str">
        <f>IFERROR(__xludf.DUMMYFUNCTION("""COMPUTED_VALUE"""),"김지유")</f>
        <v>김지유</v>
      </c>
    </row>
    <row r="167" ht="15.75" customHeight="1">
      <c r="A167" s="4" t="str">
        <f>IFERROR(__xludf.DUMMYFUNCTION("""COMPUTED_VALUE"""),"2026-04-07")</f>
        <v>2026-04-07</v>
      </c>
      <c r="B167" s="4" t="str">
        <f>IFERROR(__xludf.DUMMYFUNCTION("""COMPUTED_VALUE"""),"(5)강연웅2804")</f>
        <v>(5)강연웅2804</v>
      </c>
      <c r="C167" s="4" t="str">
        <f>IFERROR(__xludf.DUMMYFUNCTION("""COMPUTED_VALUE"""),"(김학림전종현) 쎄타_미적E피드백")</f>
        <v>(김학림전종현) 쎄타_미적E피드백</v>
      </c>
      <c r="D167" s="4" t="str">
        <f>IFERROR(__xludf.DUMMYFUNCTION("""COMPUTED_VALUE"""),"창고")</f>
        <v>창고</v>
      </c>
      <c r="E167" s="4">
        <f>IFERROR(__xludf.DUMMYFUNCTION("""COMPUTED_VALUE"""),1.0)</f>
        <v>1</v>
      </c>
      <c r="F167" s="4" t="str">
        <f>IFERROR(__xludf.DUMMYFUNCTION("""COMPUTED_VALUE"""),"신규")</f>
        <v>신규</v>
      </c>
      <c r="G167" s="4"/>
      <c r="H167" s="4" t="str">
        <f>IFERROR(__xludf.DUMMYFUNCTION("""COMPUTED_VALUE"""),"김지유")</f>
        <v>김지유</v>
      </c>
    </row>
    <row r="168" ht="15.75" customHeight="1">
      <c r="A168" s="4" t="str">
        <f>IFERROR(__xludf.DUMMYFUNCTION("""COMPUTED_VALUE"""),"2026-04-07")</f>
        <v>2026-04-07</v>
      </c>
      <c r="B168" s="4" t="str">
        <f>IFERROR(__xludf.DUMMYFUNCTION("""COMPUTED_VALUE"""),"(5)강연웅2804")</f>
        <v>(5)강연웅2804</v>
      </c>
      <c r="C168" s="4" t="str">
        <f>IFERROR(__xludf.DUMMYFUNCTION("""COMPUTED_VALUE"""),"(김학림전종현) 쎄타_수2E수업")</f>
        <v>(김학림전종현) 쎄타_수2E수업</v>
      </c>
      <c r="D168" s="4" t="str">
        <f>IFERROR(__xludf.DUMMYFUNCTION("""COMPUTED_VALUE"""),"창고")</f>
        <v>창고</v>
      </c>
      <c r="E168" s="4">
        <f>IFERROR(__xludf.DUMMYFUNCTION("""COMPUTED_VALUE"""),1.0)</f>
        <v>1</v>
      </c>
      <c r="F168" s="4" t="str">
        <f>IFERROR(__xludf.DUMMYFUNCTION("""COMPUTED_VALUE"""),"신규")</f>
        <v>신규</v>
      </c>
      <c r="G168" s="4"/>
      <c r="H168" s="4" t="str">
        <f>IFERROR(__xludf.DUMMYFUNCTION("""COMPUTED_VALUE"""),"김지유")</f>
        <v>김지유</v>
      </c>
    </row>
    <row r="169" ht="15.75" customHeight="1">
      <c r="A169" s="4" t="str">
        <f>IFERROR(__xludf.DUMMYFUNCTION("""COMPUTED_VALUE"""),"2026-04-07")</f>
        <v>2026-04-07</v>
      </c>
      <c r="B169" s="4" t="str">
        <f>IFERROR(__xludf.DUMMYFUNCTION("""COMPUTED_VALUE"""),"(5)강연웅2804")</f>
        <v>(5)강연웅2804</v>
      </c>
      <c r="C169" s="4" t="str">
        <f>IFERROR(__xludf.DUMMYFUNCTION("""COMPUTED_VALUE"""),"(김학림전종현) 쎄타_수2E피드백")</f>
        <v>(김학림전종현) 쎄타_수2E피드백</v>
      </c>
      <c r="D169" s="4" t="str">
        <f>IFERROR(__xludf.DUMMYFUNCTION("""COMPUTED_VALUE"""),"창고")</f>
        <v>창고</v>
      </c>
      <c r="E169" s="4">
        <f>IFERROR(__xludf.DUMMYFUNCTION("""COMPUTED_VALUE"""),1.0)</f>
        <v>1</v>
      </c>
      <c r="F169" s="4" t="str">
        <f>IFERROR(__xludf.DUMMYFUNCTION("""COMPUTED_VALUE"""),"신규")</f>
        <v>신규</v>
      </c>
      <c r="G169" s="4"/>
      <c r="H169" s="4" t="str">
        <f>IFERROR(__xludf.DUMMYFUNCTION("""COMPUTED_VALUE"""),"김지유")</f>
        <v>김지유</v>
      </c>
    </row>
    <row r="170" ht="15.75" customHeight="1">
      <c r="A170" s="4" t="str">
        <f>IFERROR(__xludf.DUMMYFUNCTION("""COMPUTED_VALUE"""),"2026-04-07")</f>
        <v>2026-04-07</v>
      </c>
      <c r="B170" s="4" t="str">
        <f>IFERROR(__xludf.DUMMYFUNCTION("""COMPUTED_VALUE"""),"(5)강연웅2804")</f>
        <v>(5)강연웅2804</v>
      </c>
      <c r="C170" s="4" t="str">
        <f>IFERROR(__xludf.DUMMYFUNCTION("""COMPUTED_VALUE"""),"(수매깨7주차) Q")</f>
        <v>(수매깨7주차) Q</v>
      </c>
      <c r="D170" s="4" t="str">
        <f>IFERROR(__xludf.DUMMYFUNCTION("""COMPUTED_VALUE"""),"창고")</f>
        <v>창고</v>
      </c>
      <c r="E170" s="4">
        <f>IFERROR(__xludf.DUMMYFUNCTION("""COMPUTED_VALUE"""),1.0)</f>
        <v>1</v>
      </c>
      <c r="F170" s="4" t="str">
        <f>IFERROR(__xludf.DUMMYFUNCTION("""COMPUTED_VALUE"""),"신규")</f>
        <v>신규</v>
      </c>
      <c r="G170" s="4"/>
      <c r="H170" s="4" t="str">
        <f>IFERROR(__xludf.DUMMYFUNCTION("""COMPUTED_VALUE"""),"김지유")</f>
        <v>김지유</v>
      </c>
    </row>
    <row r="171" ht="15.75" customHeight="1">
      <c r="A171" s="4" t="str">
        <f>IFERROR(__xludf.DUMMYFUNCTION("""COMPUTED_VALUE"""),"2026-04-07")</f>
        <v>2026-04-07</v>
      </c>
      <c r="B171" s="4" t="str">
        <f>IFERROR(__xludf.DUMMYFUNCTION("""COMPUTED_VALUE"""),"(5)강연웅2804")</f>
        <v>(5)강연웅2804</v>
      </c>
      <c r="C171" s="4" t="str">
        <f>IFERROR(__xludf.DUMMYFUNCTION("""COMPUTED_VALUE"""),"(영매깨) 1학기")</f>
        <v>(영매깨) 1학기</v>
      </c>
      <c r="D171" s="4" t="str">
        <f>IFERROR(__xludf.DUMMYFUNCTION("""COMPUTED_VALUE"""),"창고")</f>
        <v>창고</v>
      </c>
      <c r="E171" s="4">
        <f>IFERROR(__xludf.DUMMYFUNCTION("""COMPUTED_VALUE"""),1.0)</f>
        <v>1</v>
      </c>
      <c r="F171" s="4" t="str">
        <f>IFERROR(__xludf.DUMMYFUNCTION("""COMPUTED_VALUE"""),"신규")</f>
        <v>신규</v>
      </c>
      <c r="G171" s="4"/>
      <c r="H171" s="4" t="str">
        <f>IFERROR(__xludf.DUMMYFUNCTION("""COMPUTED_VALUE"""),"김지유")</f>
        <v>김지유</v>
      </c>
    </row>
    <row r="172" ht="15.75" customHeight="1">
      <c r="A172" s="4" t="str">
        <f>IFERROR(__xludf.DUMMYFUNCTION("""COMPUTED_VALUE"""),"2026-04-07")</f>
        <v>2026-04-07</v>
      </c>
      <c r="B172" s="4" t="str">
        <f>IFERROR(__xludf.DUMMYFUNCTION("""COMPUTED_VALUE"""),"(5)강연웅2804")</f>
        <v>(5)강연웅2804</v>
      </c>
      <c r="C172" s="4" t="str">
        <f>IFERROR(__xludf.DUMMYFUNCTION("""COMPUTED_VALUE"""),"(이병훈) 지구과학")</f>
        <v>(이병훈) 지구과학</v>
      </c>
      <c r="D172" s="4" t="str">
        <f>IFERROR(__xludf.DUMMYFUNCTION("""COMPUTED_VALUE"""),"창고")</f>
        <v>창고</v>
      </c>
      <c r="E172" s="4">
        <f>IFERROR(__xludf.DUMMYFUNCTION("""COMPUTED_VALUE"""),1.0)</f>
        <v>1</v>
      </c>
      <c r="F172" s="4" t="str">
        <f>IFERROR(__xludf.DUMMYFUNCTION("""COMPUTED_VALUE"""),"신규")</f>
        <v>신규</v>
      </c>
      <c r="G172" s="4"/>
      <c r="H172" s="4" t="str">
        <f>IFERROR(__xludf.DUMMYFUNCTION("""COMPUTED_VALUE"""),"김지유")</f>
        <v>김지유</v>
      </c>
    </row>
    <row r="173" ht="15.75" customHeight="1">
      <c r="A173" s="4" t="str">
        <f>IFERROR(__xludf.DUMMYFUNCTION("""COMPUTED_VALUE"""),"2026-04-07")</f>
        <v>2026-04-07</v>
      </c>
      <c r="B173" s="4" t="str">
        <f>IFERROR(__xludf.DUMMYFUNCTION("""COMPUTED_VALUE"""),"(5)강유찬8685")</f>
        <v>(5)강유찬8685</v>
      </c>
      <c r="C173" s="4" t="str">
        <f>IFERROR(__xludf.DUMMYFUNCTION("""COMPUTED_VALUE"""),"(강성욱) 사회문화")</f>
        <v>(강성욱) 사회문화</v>
      </c>
      <c r="D173" s="4" t="str">
        <f>IFERROR(__xludf.DUMMYFUNCTION("""COMPUTED_VALUE"""),"창고")</f>
        <v>창고</v>
      </c>
      <c r="E173" s="4">
        <f>IFERROR(__xludf.DUMMYFUNCTION("""COMPUTED_VALUE"""),1.0)</f>
        <v>1</v>
      </c>
      <c r="F173" s="4" t="str">
        <f>IFERROR(__xludf.DUMMYFUNCTION("""COMPUTED_VALUE"""),"기타")</f>
        <v>기타</v>
      </c>
      <c r="G173" s="4"/>
      <c r="H173" s="4" t="str">
        <f>IFERROR(__xludf.DUMMYFUNCTION("""COMPUTED_VALUE"""),"김대열")</f>
        <v>김대열</v>
      </c>
    </row>
    <row r="174" ht="15.75" customHeight="1">
      <c r="A174" s="4" t="str">
        <f>IFERROR(__xludf.DUMMYFUNCTION("""COMPUTED_VALUE"""),"2026-04-07")</f>
        <v>2026-04-07</v>
      </c>
      <c r="B174" s="4" t="str">
        <f>IFERROR(__xludf.DUMMYFUNCTION("""COMPUTED_VALUE"""),"(5)강유찬8685")</f>
        <v>(5)강유찬8685</v>
      </c>
      <c r="C174" s="4" t="str">
        <f>IFERROR(__xludf.DUMMYFUNCTION("""COMPUTED_VALUE"""),"(국매깨) 9주차")</f>
        <v>(국매깨) 9주차</v>
      </c>
      <c r="D174" s="4" t="str">
        <f>IFERROR(__xludf.DUMMYFUNCTION("""COMPUTED_VALUE"""),"창고")</f>
        <v>창고</v>
      </c>
      <c r="E174" s="4">
        <f>IFERROR(__xludf.DUMMYFUNCTION("""COMPUTED_VALUE"""),1.0)</f>
        <v>1</v>
      </c>
      <c r="F174" s="4" t="str">
        <f>IFERROR(__xludf.DUMMYFUNCTION("""COMPUTED_VALUE"""),"기타")</f>
        <v>기타</v>
      </c>
      <c r="G174" s="4"/>
      <c r="H174" s="4" t="str">
        <f>IFERROR(__xludf.DUMMYFUNCTION("""COMPUTED_VALUE"""),"김대열")</f>
        <v>김대열</v>
      </c>
    </row>
    <row r="175" ht="15.75" customHeight="1">
      <c r="A175" s="4" t="str">
        <f>IFERROR(__xludf.DUMMYFUNCTION("""COMPUTED_VALUE"""),"2026-04-07")</f>
        <v>2026-04-07</v>
      </c>
      <c r="B175" s="4" t="str">
        <f>IFERROR(__xludf.DUMMYFUNCTION("""COMPUTED_VALUE"""),"(5)강유찬8685")</f>
        <v>(5)강유찬8685</v>
      </c>
      <c r="C175" s="4" t="str">
        <f>IFERROR(__xludf.DUMMYFUNCTION("""COMPUTED_VALUE"""),"(국어선택) 화법과작문")</f>
        <v>(국어선택) 화법과작문</v>
      </c>
      <c r="D175" s="4" t="str">
        <f>IFERROR(__xludf.DUMMYFUNCTION("""COMPUTED_VALUE"""),"창고")</f>
        <v>창고</v>
      </c>
      <c r="E175" s="4">
        <f>IFERROR(__xludf.DUMMYFUNCTION("""COMPUTED_VALUE"""),1.0)</f>
        <v>1</v>
      </c>
      <c r="F175" s="4" t="str">
        <f>IFERROR(__xludf.DUMMYFUNCTION("""COMPUTED_VALUE"""),"기타")</f>
        <v>기타</v>
      </c>
      <c r="G175" s="4"/>
      <c r="H175" s="4" t="str">
        <f>IFERROR(__xludf.DUMMYFUNCTION("""COMPUTED_VALUE"""),"김대열")</f>
        <v>김대열</v>
      </c>
    </row>
    <row r="176" ht="15.75" customHeight="1">
      <c r="A176" s="4" t="str">
        <f>IFERROR(__xludf.DUMMYFUNCTION("""COMPUTED_VALUE"""),"2026-04-09")</f>
        <v>2026-04-09</v>
      </c>
      <c r="B176" s="4" t="str">
        <f>IFERROR(__xludf.DUMMYFUNCTION("""COMPUTED_VALUE"""),"(5)강연웅2804")</f>
        <v>(5)강연웅2804</v>
      </c>
      <c r="C176" s="4" t="str">
        <f>IFERROR(__xludf.DUMMYFUNCTION("""COMPUTED_VALUE"""),"(강원휘) 생명과학")</f>
        <v>(강원휘) 생명과학</v>
      </c>
      <c r="D176" s="4" t="str">
        <f>IFERROR(__xludf.DUMMYFUNCTION("""COMPUTED_VALUE"""),"창고")</f>
        <v>창고</v>
      </c>
      <c r="E176" s="4">
        <f>IFERROR(__xludf.DUMMYFUNCTION("""COMPUTED_VALUE"""),1.0)</f>
        <v>1</v>
      </c>
      <c r="F176" s="4" t="str">
        <f>IFERROR(__xludf.DUMMYFUNCTION("""COMPUTED_VALUE"""),"분실")</f>
        <v>분실</v>
      </c>
      <c r="G176" s="4"/>
      <c r="H176" s="4" t="str">
        <f>IFERROR(__xludf.DUMMYFUNCTION("""COMPUTED_VALUE"""),"김지유")</f>
        <v>김지유</v>
      </c>
    </row>
    <row r="177" ht="15.75" customHeight="1">
      <c r="A177" s="4" t="str">
        <f>IFERROR(__xludf.DUMMYFUNCTION("""COMPUTED_VALUE"""),"2026-04-13")</f>
        <v>2026-04-13</v>
      </c>
      <c r="B177" s="4" t="str">
        <f>IFERROR(__xludf.DUMMYFUNCTION("""COMPUTED_VALUE"""),"엄선훈")</f>
        <v>엄선훈</v>
      </c>
      <c r="C177" s="4" t="str">
        <f>IFERROR(__xludf.DUMMYFUNCTION("""COMPUTED_VALUE"""),"TEST 교재1")</f>
        <v>TEST 교재1</v>
      </c>
      <c r="D177" s="4" t="str">
        <f>IFERROR(__xludf.DUMMYFUNCTION("""COMPUTED_VALUE"""),"창고")</f>
        <v>창고</v>
      </c>
      <c r="E177" s="4">
        <f>IFERROR(__xludf.DUMMYFUNCTION("""COMPUTED_VALUE"""),1.0)</f>
        <v>1</v>
      </c>
      <c r="F177" s="4" t="str">
        <f>IFERROR(__xludf.DUMMYFUNCTION("""COMPUTED_VALUE"""),"분실")</f>
        <v>분실</v>
      </c>
      <c r="G177" s="4"/>
      <c r="H177" s="4" t="str">
        <f>IFERROR(__xludf.DUMMYFUNCTION("""COMPUTED_VALUE"""),"엄선훈")</f>
        <v>엄선훈</v>
      </c>
    </row>
    <row r="178" ht="15.75" customHeight="1">
      <c r="A178" s="4" t="str">
        <f>IFERROR(__xludf.DUMMYFUNCTION("""COMPUTED_VALUE"""),"2026-04-14")</f>
        <v>2026-04-14</v>
      </c>
      <c r="B178" s="4" t="str">
        <f>IFERROR(__xludf.DUMMYFUNCTION("""COMPUTED_VALUE"""),"(5)강연웅2804")</f>
        <v>(5)강연웅2804</v>
      </c>
      <c r="C178" s="4" t="str">
        <f>IFERROR(__xludf.DUMMYFUNCTION("""COMPUTED_VALUE"""),"(강원휘) 생명과학")</f>
        <v>(강원휘) 생명과학</v>
      </c>
      <c r="D178" s="4" t="str">
        <f>IFERROR(__xludf.DUMMYFUNCTION("""COMPUTED_VALUE"""),"창고")</f>
        <v>창고</v>
      </c>
      <c r="E178" s="4">
        <f>IFERROR(__xludf.DUMMYFUNCTION("""COMPUTED_VALUE"""),1.0)</f>
        <v>1</v>
      </c>
      <c r="F178" s="4" t="str">
        <f>IFERROR(__xludf.DUMMYFUNCTION("""COMPUTED_VALUE"""),"분실")</f>
        <v>분실</v>
      </c>
      <c r="G178" s="4"/>
      <c r="H178" s="4" t="str">
        <f>IFERROR(__xludf.DUMMYFUNCTION("""COMPUTED_VALUE"""),"김지유")</f>
        <v>김지유</v>
      </c>
    </row>
    <row r="179" ht="15.75" customHeight="1">
      <c r="A179" s="4" t="str">
        <f>IFERROR(__xludf.DUMMYFUNCTION("""COMPUTED_VALUE"""),"2026-04-14")</f>
        <v>2026-04-14</v>
      </c>
      <c r="B179" s="4" t="str">
        <f>IFERROR(__xludf.DUMMYFUNCTION("""COMPUTED_VALUE"""),"(5)고강민8799")</f>
        <v>(5)고강민8799</v>
      </c>
      <c r="C179" s="4" t="str">
        <f>IFERROR(__xludf.DUMMYFUNCTION("""COMPUTED_VALUE"""),"(강성욱) 사회문화")</f>
        <v>(강성욱) 사회문화</v>
      </c>
      <c r="D179" s="4" t="str">
        <f>IFERROR(__xludf.DUMMYFUNCTION("""COMPUTED_VALUE"""),"창고")</f>
        <v>창고</v>
      </c>
      <c r="E179" s="4">
        <f>IFERROR(__xludf.DUMMYFUNCTION("""COMPUTED_VALUE"""),1.0)</f>
        <v>1</v>
      </c>
      <c r="F179" s="4" t="str">
        <f>IFERROR(__xludf.DUMMYFUNCTION("""COMPUTED_VALUE"""),"분실")</f>
        <v>분실</v>
      </c>
      <c r="G179" s="4"/>
      <c r="H179" s="4" t="str">
        <f>IFERROR(__xludf.DUMMYFUNCTION("""COMPUTED_VALUE"""),"김지유")</f>
        <v>김지유</v>
      </c>
    </row>
    <row r="180" ht="15.75" customHeight="1">
      <c r="A180" s="4" t="str">
        <f>IFERROR(__xludf.DUMMYFUNCTION("""COMPUTED_VALUE"""),"2026-04-14")</f>
        <v>2026-04-14</v>
      </c>
      <c r="B180" s="4" t="str">
        <f>IFERROR(__xludf.DUMMYFUNCTION("""COMPUTED_VALUE"""),"(5)고강민8799")</f>
        <v>(5)고강민8799</v>
      </c>
      <c r="C180" s="4" t="str">
        <f>IFERROR(__xludf.DUMMYFUNCTION("""COMPUTED_VALUE"""),"(강성욱) 사회문화")</f>
        <v>(강성욱) 사회문화</v>
      </c>
      <c r="D180" s="4" t="str">
        <f>IFERROR(__xludf.DUMMYFUNCTION("""COMPUTED_VALUE"""),"창고")</f>
        <v>창고</v>
      </c>
      <c r="E180" s="4">
        <f>IFERROR(__xludf.DUMMYFUNCTION("""COMPUTED_VALUE"""),1.0)</f>
        <v>1</v>
      </c>
      <c r="F180" s="4" t="str">
        <f>IFERROR(__xludf.DUMMYFUNCTION("""COMPUTED_VALUE"""),"분실")</f>
        <v>분실</v>
      </c>
      <c r="G180" s="4"/>
      <c r="H180" s="4" t="str">
        <f>IFERROR(__xludf.DUMMYFUNCTION("""COMPUTED_VALUE"""),"김지유")</f>
        <v>김지유</v>
      </c>
    </row>
    <row r="181" ht="15.75" customHeight="1">
      <c r="A181" s="4" t="str">
        <f>IFERROR(__xludf.DUMMYFUNCTION("""COMPUTED_VALUE"""),"2026-04-14")</f>
        <v>2026-04-14</v>
      </c>
      <c r="B181" s="4" t="str">
        <f>IFERROR(__xludf.DUMMYFUNCTION("""COMPUTED_VALUE"""),"(5)고강민8799")</f>
        <v>(5)고강민8799</v>
      </c>
      <c r="C181" s="4" t="str">
        <f>IFERROR(__xludf.DUMMYFUNCTION("""COMPUTED_VALUE"""),"(국매깨) 9주차")</f>
        <v>(국매깨) 9주차</v>
      </c>
      <c r="D181" s="4" t="str">
        <f>IFERROR(__xludf.DUMMYFUNCTION("""COMPUTED_VALUE"""),"창고")</f>
        <v>창고</v>
      </c>
      <c r="E181" s="4">
        <f>IFERROR(__xludf.DUMMYFUNCTION("""COMPUTED_VALUE"""),1.0)</f>
        <v>1</v>
      </c>
      <c r="F181" s="4" t="str">
        <f>IFERROR(__xludf.DUMMYFUNCTION("""COMPUTED_VALUE"""),"분실")</f>
        <v>분실</v>
      </c>
      <c r="G181" s="4"/>
      <c r="H181" s="4" t="str">
        <f>IFERROR(__xludf.DUMMYFUNCTION("""COMPUTED_VALUE"""),"김지유")</f>
        <v>김지유</v>
      </c>
    </row>
    <row r="182" ht="15.75" customHeight="1">
      <c r="A182" s="4" t="str">
        <f>IFERROR(__xludf.DUMMYFUNCTION("""COMPUTED_VALUE"""),"2026-04-14")</f>
        <v>2026-04-14</v>
      </c>
      <c r="B182" s="4" t="str">
        <f>IFERROR(__xludf.DUMMYFUNCTION("""COMPUTED_VALUE"""),"(5)박경동8420")</f>
        <v>(5)박경동8420</v>
      </c>
      <c r="C182" s="4" t="str">
        <f>IFERROR(__xludf.DUMMYFUNCTION("""COMPUTED_VALUE"""),"(국매깨) 9주차")</f>
        <v>(국매깨) 9주차</v>
      </c>
      <c r="D182" s="4" t="str">
        <f>IFERROR(__xludf.DUMMYFUNCTION("""COMPUTED_VALUE"""),"창고")</f>
        <v>창고</v>
      </c>
      <c r="E182" s="4">
        <f>IFERROR(__xludf.DUMMYFUNCTION("""COMPUTED_VALUE"""),1.0)</f>
        <v>1</v>
      </c>
      <c r="F182" s="4" t="str">
        <f>IFERROR(__xludf.DUMMYFUNCTION("""COMPUTED_VALUE"""),"추가지급")</f>
        <v>추가지급</v>
      </c>
      <c r="G182" s="4"/>
      <c r="H182" s="4" t="str">
        <f>IFERROR(__xludf.DUMMYFUNCTION("""COMPUTED_VALUE"""),"김지유")</f>
        <v>김지유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14.43"/>
    <col customWidth="1" min="3" max="4" width="18.71"/>
    <col customWidth="1" min="5" max="5" width="13.71"/>
    <col customWidth="1" hidden="1" min="6" max="7" width="12.0"/>
    <col customWidth="1" min="8" max="8" width="12.0"/>
    <col customWidth="1" min="9" max="9" width="17.57"/>
    <col customWidth="1" hidden="1" min="10" max="10" width="15.43"/>
    <col customWidth="1" hidden="1" min="11" max="11" width="14.86"/>
    <col customWidth="1" min="12" max="12" width="10.71"/>
    <col customWidth="1" min="13" max="16" width="13.71"/>
    <col customWidth="1" hidden="1" min="17" max="17" width="13.71"/>
    <col customWidth="1" hidden="1" min="18" max="19" width="18.71"/>
    <col customWidth="1" hidden="1" min="20" max="20" width="8.71"/>
    <col customWidth="1" hidden="1" min="21" max="21" width="19.57"/>
    <col customWidth="1" hidden="1" min="22" max="22" width="8.71"/>
    <col customWidth="1" min="23" max="23" width="16.0"/>
    <col customWidth="1" min="24" max="24" width="9.29"/>
    <col customWidth="1" min="25" max="25" width="8.14"/>
    <col customWidth="1" min="26" max="26" width="10.71"/>
    <col customWidth="1" min="27" max="32" width="8.71"/>
  </cols>
  <sheetData>
    <row r="1">
      <c r="A1" s="62" t="s">
        <v>14544</v>
      </c>
      <c r="B1" s="59"/>
      <c r="C1" s="59"/>
      <c r="D1" s="59"/>
      <c r="E1" s="63"/>
      <c r="F1" s="64"/>
      <c r="G1" s="64"/>
      <c r="H1" s="64"/>
      <c r="I1" s="65" t="s">
        <v>2102</v>
      </c>
      <c r="M1" s="66" t="s">
        <v>14545</v>
      </c>
      <c r="Q1" s="67" t="s">
        <v>14546</v>
      </c>
      <c r="T1" s="68" t="s">
        <v>14547</v>
      </c>
      <c r="W1" s="69" t="s">
        <v>14548</v>
      </c>
      <c r="Z1" s="70"/>
      <c r="AA1" s="59"/>
      <c r="AB1" s="59"/>
      <c r="AC1" s="59"/>
      <c r="AD1" s="59"/>
      <c r="AE1" s="59"/>
      <c r="AF1" s="59"/>
    </row>
    <row r="2">
      <c r="A2" s="2" t="s">
        <v>59</v>
      </c>
      <c r="B2" s="47" t="s">
        <v>14301</v>
      </c>
      <c r="C2" s="47" t="s">
        <v>14302</v>
      </c>
      <c r="D2" s="47" t="s">
        <v>14303</v>
      </c>
      <c r="E2" s="71" t="s">
        <v>14549</v>
      </c>
      <c r="F2" s="72" t="s">
        <v>14550</v>
      </c>
      <c r="G2" s="72" t="s">
        <v>14551</v>
      </c>
      <c r="H2" s="72" t="s">
        <v>14552</v>
      </c>
      <c r="I2" s="73" t="s">
        <v>14553</v>
      </c>
      <c r="J2" s="74" t="s">
        <v>14554</v>
      </c>
      <c r="K2" s="75" t="s">
        <v>14555</v>
      </c>
      <c r="L2" s="75" t="s">
        <v>14556</v>
      </c>
      <c r="M2" s="66" t="s">
        <v>14557</v>
      </c>
      <c r="N2" s="66" t="s">
        <v>14558</v>
      </c>
      <c r="O2" s="66" t="s">
        <v>14559</v>
      </c>
      <c r="P2" s="66" t="s">
        <v>14560</v>
      </c>
      <c r="Q2" s="67" t="s">
        <v>14561</v>
      </c>
      <c r="R2" s="67" t="s">
        <v>14562</v>
      </c>
      <c r="S2" s="67" t="s">
        <v>14563</v>
      </c>
      <c r="T2" s="68" t="s">
        <v>14564</v>
      </c>
      <c r="U2" s="68" t="s">
        <v>14565</v>
      </c>
      <c r="V2" s="68" t="s">
        <v>14566</v>
      </c>
      <c r="W2" s="69" t="s">
        <v>14567</v>
      </c>
      <c r="X2" s="69" t="s">
        <v>14568</v>
      </c>
      <c r="Y2" s="69" t="s">
        <v>14569</v>
      </c>
      <c r="Z2" s="65" t="s">
        <v>14570</v>
      </c>
      <c r="AA2" s="76" t="s">
        <v>14571</v>
      </c>
      <c r="AB2" s="59"/>
      <c r="AC2" s="59"/>
      <c r="AD2" s="59"/>
      <c r="AE2" s="59"/>
      <c r="AF2" s="59"/>
    </row>
    <row r="3">
      <c r="A3" s="59" t="str">
        <f>IFERROR(__xludf.DUMMYFUNCTION("SORT(UNIQUE(FILTER('교재재고'!B2:B999,'교재재고'!B2:B999&lt;&gt;"""")))"),"(강성욱) 사회문화")</f>
        <v>(강성욱) 사회문화</v>
      </c>
      <c r="B3" s="77">
        <f>IFERROR(SUMIFS('교재재고'!C:C,'교재재고'!B:B,$A3),0)</f>
        <v>11</v>
      </c>
      <c r="C3" s="77">
        <f>IFERROR(SUMIFS('교재재고'!D:D,'교재재고'!B:B,$A3),0)</f>
        <v>0</v>
      </c>
      <c r="D3" s="77">
        <f>IFERROR(SUMIFS('교재재고'!D:D,'교재재고'!B:B,$A3),0)</f>
        <v>0</v>
      </c>
      <c r="E3" s="78">
        <f>IFERROR(SUMIFS('교재재고'!F:F,'교재재고'!B:B,$A3),0)
+IFERROR(SUMIFS('교재재고'!I:I,'교재재고'!B:B,$A3),0)
+IFERROR(SUMIFS('교재재고'!L:L,'교재재고'!B:B,$A3),0)
+IFERROR(SUMIFS('교재재고'!O:O,'교재재고'!B:B,$A3),0)
+IFERROR(SUMIFS('교재재고'!R:R,'교재재고'!B:B,$A3),0)</f>
        <v>0</v>
      </c>
      <c r="F3" s="79">
        <f>IFERROR(SUMIFS('교재재고'!G:G,'교재재고'!B:B,$A3),0)
+IFERROR(SUMIFS('교재재고'!J:J,'교재재고'!B:B,$A3),0)
+IFERROR(SUMIFS('교재재고'!M:M,'교재재고'!B:B,$A3),0)
+IFERROR(SUMIFS('교재재고'!P:P,'교재재고'!B:B,$A3),0)
+IFERROR(SUMIFS('교재재고'!S:S,'교재재고'!B:B,$A3),0)</f>
        <v>0</v>
      </c>
      <c r="G3" s="79">
        <f>IFERROR(SUMIFS('교재재고'!H:H,'교재재고'!B:B,$A3),0)
+IFERROR(SUMIFS('교재재고'!K:K,'교재재고'!B:B,$A3),0)
+IFERROR(SUMIFS('교재재고'!N:N,'교재재고'!B:B,$A3),0)
+IFERROR(SUMIFS('교재재고'!Q:Q,'교재재고'!B:B,$A3),0)
+IFERROR(SUMIFS('교재재고'!T:T,'교재재고'!B:B,$A3),0)</f>
        <v>0</v>
      </c>
      <c r="H3" s="79">
        <f t="shared" ref="H3:H226" si="2">SUM(B3:G3)</f>
        <v>11</v>
      </c>
      <c r="I3" s="80">
        <f>IFERROR(SUMIFS('배부로그'!G:G,'배부로그'!D:D,$A3,'배부로그'!F:F,"창고"),0)</f>
        <v>8</v>
      </c>
      <c r="J3" s="59">
        <f>IFERROR(SUMIFS('배부로그'!G:G,'배부로그'!D:D,$A3,'배부로그'!F:F,"4층지원실"),0)</f>
        <v>0</v>
      </c>
      <c r="K3" s="59">
        <f>IFERROR(SUMIFS('배부로그'!G:G,'배부로그'!D:D,$A3,'배부로그'!F:F,"8층지원실"),0)</f>
        <v>0</v>
      </c>
      <c r="L3" s="81">
        <f t="shared" ref="L3:L226" si="3">SUM(I3:K3)</f>
        <v>8</v>
      </c>
      <c r="M3" s="59">
        <f>IFERROR(SUMIFS('회수로그'!H:H,'회수로그'!E:E,$A3,'회수로그'!G:G,"창고"),0)</f>
        <v>0</v>
      </c>
      <c r="N3" s="59">
        <f>IFERROR(SUMIFS('회수로그'!H:H,'회수로그'!E:E,$A3,'회수로그'!G:G,"4층지원실"),0)</f>
        <v>0</v>
      </c>
      <c r="O3" s="59">
        <f>IFERROR(SUMIFS('회수로그'!H:H,'회수로그'!E:E,$A3,'회수로그'!G:G,"8층지원실"),0)</f>
        <v>0</v>
      </c>
      <c r="P3" s="59">
        <f t="shared" ref="P3:P226" si="4">SUM(M3:O3)</f>
        <v>0</v>
      </c>
      <c r="Q3" s="59">
        <f>IFERROR(SUMIFS('재고이동로그'!F:F,'재고이동로그'!C:C,$A3,'재고이동로그'!D:D,"창고"),0)</f>
        <v>0</v>
      </c>
      <c r="R3" s="59">
        <f>IFERROR(SUMIFS('재고이동로그'!F:F,'재고이동로그'!C:C,$A3,'재고이동로그'!E:E,"4층지원실"),0)</f>
        <v>0</v>
      </c>
      <c r="S3" s="82">
        <f>IFERROR(SUMIFS('재고이동로그'!F:F,'재고이동로그'!C:C,$A3,'재고이동로그'!E:E,"8층지원실"),0)</f>
        <v>0</v>
      </c>
      <c r="T3" s="59">
        <f>IFERROR(SUMIFS('재고이동로그'!F:F,'재고이동로그'!C:C,$A3,'재고이동로그'!E:E,"창고"),0)</f>
        <v>0</v>
      </c>
      <c r="U3" s="59">
        <f>IFERROR(SUMIFS('재고이동로그'!F:F,'재고이동로그'!C:C,$A3,'재고이동로그'!E:E,"4층지원실"),0)</f>
        <v>0</v>
      </c>
      <c r="V3" s="59">
        <f>IFERROR(SUMIFS('재고이동로그'!F:F,'재고이동로그'!C:C,$A3,'재고이동로그'!E:E,"8층지원실"),0)</f>
        <v>0</v>
      </c>
      <c r="W3" s="83">
        <f t="shared" ref="W3:Y3" si="1">B3+E3-I3+M3-Q3+T3</f>
        <v>3</v>
      </c>
      <c r="X3" s="83">
        <f t="shared" si="1"/>
        <v>0</v>
      </c>
      <c r="Y3" s="83">
        <f t="shared" si="1"/>
        <v>0</v>
      </c>
      <c r="Z3" s="84">
        <f t="shared" ref="Z3:Z226" si="6">SUM(W3:Y3)</f>
        <v>3</v>
      </c>
      <c r="AA3" s="59" t="str">
        <f t="shared" ref="AA3:AA226" si="7">IF(Z3&lt;30,"부족","정상")</f>
        <v>부족</v>
      </c>
      <c r="AB3" s="59"/>
      <c r="AC3" s="59"/>
      <c r="AD3" s="59"/>
      <c r="AE3" s="59"/>
      <c r="AF3" s="59"/>
    </row>
    <row r="4">
      <c r="A4" s="59" t="str">
        <f>IFERROR(__xludf.DUMMYFUNCTION("""COMPUTED_VALUE"""),"(강성욱) 정치와 법")</f>
        <v>(강성욱) 정치와 법</v>
      </c>
      <c r="B4" s="77">
        <f>IFERROR(SUMIFS('교재재고'!C:C,'교재재고'!B:B,$A4),0)</f>
        <v>2</v>
      </c>
      <c r="C4" s="77">
        <f>IFERROR(SUMIFS('교재재고'!D:D,'교재재고'!B:B,$A4),0)</f>
        <v>0</v>
      </c>
      <c r="D4" s="77">
        <f>IFERROR(SUMIFS('교재재고'!E:E,'교재재고'!B:B,$A4),0)</f>
        <v>0</v>
      </c>
      <c r="E4" s="78">
        <f>IFERROR(SUMIFS('교재재고'!F:F,'교재재고'!B:B,$A4),0)
+IFERROR(SUMIFS('교재재고'!I:I,'교재재고'!B:B,$A4),0)
+IFERROR(SUMIFS('교재재고'!L:L,'교재재고'!B:B,$A4),0)
+IFERROR(SUMIFS('교재재고'!O:O,'교재재고'!B:B,$A4),0)
+IFERROR(SUMIFS('교재재고'!R:R,'교재재고'!B:B,$A4),0)</f>
        <v>0</v>
      </c>
      <c r="F4" s="79">
        <f>IFERROR(SUMIFS('교재재고'!G:G,'교재재고'!B:B,$A4),0)
+IFERROR(SUMIFS('교재재고'!J:J,'교재재고'!B:B,$A4),0)
+IFERROR(SUMIFS('교재재고'!M:M,'교재재고'!B:B,$A4),0)
+IFERROR(SUMIFS('교재재고'!P:P,'교재재고'!B:B,$A4),0)
+IFERROR(SUMIFS('교재재고'!S:S,'교재재고'!B:B,$A4),0)</f>
        <v>0</v>
      </c>
      <c r="G4" s="79">
        <f>IFERROR(SUMIFS('교재재고'!H:H,'교재재고'!B:B,$A4),0)
+IFERROR(SUMIFS('교재재고'!K:K,'교재재고'!B:B,$A4),0)
+IFERROR(SUMIFS('교재재고'!N:N,'교재재고'!B:B,$A4),0)
+IFERROR(SUMIFS('교재재고'!Q:Q,'교재재고'!B:B,$A4),0)
+IFERROR(SUMIFS('교재재고'!T:T,'교재재고'!B:B,$A4),0)</f>
        <v>0</v>
      </c>
      <c r="H4" s="79">
        <f t="shared" si="2"/>
        <v>2</v>
      </c>
      <c r="I4" s="80">
        <f>IFERROR(SUMIFS('배부로그'!G:G,'배부로그'!D:D,$A4,'배부로그'!F:F,"창고"),0)</f>
        <v>1</v>
      </c>
      <c r="J4" s="59">
        <f>IFERROR(SUMIFS('배부로그'!G:G,'배부로그'!D:D,$A4,'배부로그'!F:F,"4층지원실"),0)</f>
        <v>0</v>
      </c>
      <c r="K4" s="59">
        <f>IFERROR(SUMIFS('배부로그'!G:G,'배부로그'!D:D,$A4,'배부로그'!F:F,"8층지원실"),0)</f>
        <v>0</v>
      </c>
      <c r="L4" s="81">
        <f t="shared" si="3"/>
        <v>1</v>
      </c>
      <c r="M4" s="59">
        <f>IFERROR(SUMIFS('회수로그'!H:H,'회수로그'!E:E,$A4,'회수로그'!G:G,"창고"),0)</f>
        <v>0</v>
      </c>
      <c r="N4" s="59">
        <f>IFERROR(SUMIFS('회수로그'!H:H,'회수로그'!E:E,$A4,'회수로그'!G:G,"4층지원실"),0)</f>
        <v>0</v>
      </c>
      <c r="O4" s="59">
        <f>IFERROR(SUMIFS('회수로그'!H:H,'회수로그'!E:E,$A4,'회수로그'!G:G,"8층지원실"),0)</f>
        <v>0</v>
      </c>
      <c r="P4" s="59">
        <f t="shared" si="4"/>
        <v>0</v>
      </c>
      <c r="Q4" s="59">
        <f>IFERROR(SUMIFS('재고이동로그'!F:F,'재고이동로그'!C:C,$A4,'재고이동로그'!D:D,"창고"),0)</f>
        <v>0</v>
      </c>
      <c r="R4" s="59">
        <f>IFERROR(SUMIFS('재고이동로그'!F:F,'재고이동로그'!C:C,$A4,'재고이동로그'!E:E,"4층지원실"),0)</f>
        <v>0</v>
      </c>
      <c r="S4" s="82">
        <f>IFERROR(SUMIFS('재고이동로그'!F:F,'재고이동로그'!C:C,$A4,'재고이동로그'!E:E,"8층지원실"),0)</f>
        <v>0</v>
      </c>
      <c r="T4" s="59">
        <f>IFERROR(SUMIFS('재고이동로그'!F:F,'재고이동로그'!C:C,$A4,'재고이동로그'!E:E,"창고"),0)</f>
        <v>0</v>
      </c>
      <c r="U4" s="59">
        <f>IFERROR(SUMIFS('재고이동로그'!F:F,'재고이동로그'!C:C,$A4,'재고이동로그'!E:E,"4층지원실"),0)</f>
        <v>0</v>
      </c>
      <c r="V4" s="59">
        <f>IFERROR(SUMIFS('재고이동로그'!F:F,'재고이동로그'!C:C,$A4,'재고이동로그'!E:E,"8층지원실"),0)</f>
        <v>0</v>
      </c>
      <c r="W4" s="83">
        <f t="shared" ref="W4:Y4" si="5">B4+E4-I4+M4-Q4+T4</f>
        <v>1</v>
      </c>
      <c r="X4" s="83">
        <f t="shared" si="5"/>
        <v>0</v>
      </c>
      <c r="Y4" s="83">
        <f t="shared" si="5"/>
        <v>0</v>
      </c>
      <c r="Z4" s="84">
        <f t="shared" si="6"/>
        <v>1</v>
      </c>
      <c r="AA4" s="59" t="str">
        <f t="shared" si="7"/>
        <v>부족</v>
      </c>
      <c r="AB4" s="59"/>
      <c r="AC4" s="59"/>
      <c r="AD4" s="59"/>
      <c r="AE4" s="59"/>
      <c r="AF4" s="59"/>
    </row>
    <row r="5">
      <c r="A5" s="59" t="str">
        <f>IFERROR(__xludf.DUMMYFUNCTION("""COMPUTED_VALUE"""),"(강원휘) 생명과학")</f>
        <v>(강원휘) 생명과학</v>
      </c>
      <c r="B5" s="77">
        <f>IFERROR(SUMIFS('교재재고'!C:C,'교재재고'!B:B,$A5),0)</f>
        <v>25</v>
      </c>
      <c r="C5" s="77">
        <f>IFERROR(SUMIFS('교재재고'!D:D,'교재재고'!B:B,$A5),0)</f>
        <v>0</v>
      </c>
      <c r="D5" s="77">
        <f>IFERROR(SUMIFS('교재재고'!E:E,'교재재고'!B:B,$A5),0)</f>
        <v>0</v>
      </c>
      <c r="E5" s="78">
        <f>IFERROR(SUMIFS('교재재고'!F:F,'교재재고'!B:B,$A5),0)
+IFERROR(SUMIFS('교재재고'!I:I,'교재재고'!B:B,$A5),0)
+IFERROR(SUMIFS('교재재고'!L:L,'교재재고'!B:B,$A5),0)
+IFERROR(SUMIFS('교재재고'!O:O,'교재재고'!B:B,$A5),0)
+IFERROR(SUMIFS('교재재고'!R:R,'교재재고'!B:B,$A5),0)</f>
        <v>0</v>
      </c>
      <c r="F5" s="79">
        <f>IFERROR(SUMIFS('교재재고'!G:G,'교재재고'!B:B,$A5),0)
+IFERROR(SUMIFS('교재재고'!J:J,'교재재고'!B:B,$A5),0)
+IFERROR(SUMIFS('교재재고'!M:M,'교재재고'!B:B,$A5),0)
+IFERROR(SUMIFS('교재재고'!P:P,'교재재고'!B:B,$A5),0)
+IFERROR(SUMIFS('교재재고'!S:S,'교재재고'!B:B,$A5),0)</f>
        <v>0</v>
      </c>
      <c r="G5" s="79">
        <f>IFERROR(SUMIFS('교재재고'!H:H,'교재재고'!B:B,$A5),0)
+IFERROR(SUMIFS('교재재고'!K:K,'교재재고'!B:B,$A5),0)
+IFERROR(SUMIFS('교재재고'!N:N,'교재재고'!B:B,$A5),0)
+IFERROR(SUMIFS('교재재고'!Q:Q,'교재재고'!B:B,$A5),0)
+IFERROR(SUMIFS('교재재고'!T:T,'교재재고'!B:B,$A5),0)</f>
        <v>0</v>
      </c>
      <c r="H5" s="79">
        <f t="shared" si="2"/>
        <v>25</v>
      </c>
      <c r="I5" s="80">
        <f>IFERROR(SUMIFS('배부로그'!G:G,'배부로그'!D:D,$A5,'배부로그'!F:F,"창고"),0)</f>
        <v>7</v>
      </c>
      <c r="J5" s="59">
        <f>IFERROR(SUMIFS('배부로그'!G:G,'배부로그'!D:D,$A5,'배부로그'!F:F,"4층지원실"),0)</f>
        <v>0</v>
      </c>
      <c r="K5" s="59">
        <f>IFERROR(SUMIFS('배부로그'!G:G,'배부로그'!D:D,$A5,'배부로그'!F:F,"8층지원실"),0)</f>
        <v>0</v>
      </c>
      <c r="L5" s="81">
        <f t="shared" si="3"/>
        <v>7</v>
      </c>
      <c r="M5" s="59">
        <f>IFERROR(SUMIFS('회수로그'!H:H,'회수로그'!E:E,$A5,'회수로그'!G:G,"창고"),0)</f>
        <v>1</v>
      </c>
      <c r="N5" s="59">
        <f>IFERROR(SUMIFS('회수로그'!H:H,'회수로그'!E:E,$A5,'회수로그'!G:G,"4층지원실"),0)</f>
        <v>0</v>
      </c>
      <c r="O5" s="59">
        <f>IFERROR(SUMIFS('회수로그'!H:H,'회수로그'!E:E,$A5,'회수로그'!G:G,"8층지원실"),0)</f>
        <v>0</v>
      </c>
      <c r="P5" s="59">
        <f t="shared" si="4"/>
        <v>1</v>
      </c>
      <c r="Q5" s="59">
        <f>IFERROR(SUMIFS('재고이동로그'!F:F,'재고이동로그'!C:C,$A5,'재고이동로그'!D:D,"창고"),0)</f>
        <v>0</v>
      </c>
      <c r="R5" s="59">
        <f>IFERROR(SUMIFS('재고이동로그'!F:F,'재고이동로그'!C:C,$A5,'재고이동로그'!E:E,"4층지원실"),0)</f>
        <v>0</v>
      </c>
      <c r="S5" s="82">
        <f>IFERROR(SUMIFS('재고이동로그'!F:F,'재고이동로그'!C:C,$A5,'재고이동로그'!E:E,"8층지원실"),0)</f>
        <v>0</v>
      </c>
      <c r="T5" s="59">
        <f>IFERROR(SUMIFS('재고이동로그'!F:F,'재고이동로그'!C:C,$A5,'재고이동로그'!E:E,"창고"),0)</f>
        <v>0</v>
      </c>
      <c r="U5" s="59">
        <f>IFERROR(SUMIFS('재고이동로그'!F:F,'재고이동로그'!C:C,$A5,'재고이동로그'!E:E,"4층지원실"),0)</f>
        <v>0</v>
      </c>
      <c r="V5" s="59">
        <f>IFERROR(SUMIFS('재고이동로그'!F:F,'재고이동로그'!C:C,$A5,'재고이동로그'!E:E,"8층지원실"),0)</f>
        <v>0</v>
      </c>
      <c r="W5" s="83">
        <f t="shared" ref="W5:Y5" si="8">B5+E5-I5+M5-Q5+T5</f>
        <v>19</v>
      </c>
      <c r="X5" s="83">
        <f t="shared" si="8"/>
        <v>0</v>
      </c>
      <c r="Y5" s="83">
        <f t="shared" si="8"/>
        <v>0</v>
      </c>
      <c r="Z5" s="84">
        <f t="shared" si="6"/>
        <v>19</v>
      </c>
      <c r="AA5" s="59" t="str">
        <f t="shared" si="7"/>
        <v>부족</v>
      </c>
      <c r="AB5" s="59"/>
      <c r="AC5" s="59"/>
      <c r="AD5" s="59"/>
      <c r="AE5" s="59"/>
      <c r="AF5" s="59"/>
    </row>
    <row r="6">
      <c r="A6" s="59" t="str">
        <f>IFERROR(__xludf.DUMMYFUNCTION("""COMPUTED_VALUE"""),"(고낙기) 화학")</f>
        <v>(고낙기) 화학</v>
      </c>
      <c r="B6" s="77">
        <f>IFERROR(SUMIFS('교재재고'!C:C,'교재재고'!B:B,$A6),0)</f>
        <v>16</v>
      </c>
      <c r="C6" s="77">
        <f>IFERROR(SUMIFS('교재재고'!D:D,'교재재고'!B:B,$A6),0)</f>
        <v>0</v>
      </c>
      <c r="D6" s="77">
        <f>IFERROR(SUMIFS('교재재고'!E:E,'교재재고'!B:B,$A6),0)</f>
        <v>0</v>
      </c>
      <c r="E6" s="78">
        <f>IFERROR(SUMIFS('교재재고'!F:F,'교재재고'!B:B,$A6),0)
+IFERROR(SUMIFS('교재재고'!I:I,'교재재고'!B:B,$A6),0)
+IFERROR(SUMIFS('교재재고'!L:L,'교재재고'!B:B,$A6),0)
+IFERROR(SUMIFS('교재재고'!O:O,'교재재고'!B:B,$A6),0)
+IFERROR(SUMIFS('교재재고'!R:R,'교재재고'!B:B,$A6),0)</f>
        <v>0</v>
      </c>
      <c r="F6" s="79">
        <f>IFERROR(SUMIFS('교재재고'!G:G,'교재재고'!B:B,$A6),0)
+IFERROR(SUMIFS('교재재고'!J:J,'교재재고'!B:B,$A6),0)
+IFERROR(SUMIFS('교재재고'!M:M,'교재재고'!B:B,$A6),0)
+IFERROR(SUMIFS('교재재고'!P:P,'교재재고'!B:B,$A6),0)
+IFERROR(SUMIFS('교재재고'!S:S,'교재재고'!B:B,$A6),0)</f>
        <v>0</v>
      </c>
      <c r="G6" s="79">
        <f>IFERROR(SUMIFS('교재재고'!H:H,'교재재고'!B:B,$A6),0)
+IFERROR(SUMIFS('교재재고'!K:K,'교재재고'!B:B,$A6),0)
+IFERROR(SUMIFS('교재재고'!N:N,'교재재고'!B:B,$A6),0)
+IFERROR(SUMIFS('교재재고'!Q:Q,'교재재고'!B:B,$A6),0)
+IFERROR(SUMIFS('교재재고'!T:T,'교재재고'!B:B,$A6),0)</f>
        <v>0</v>
      </c>
      <c r="H6" s="79">
        <f t="shared" si="2"/>
        <v>16</v>
      </c>
      <c r="I6" s="80">
        <f>IFERROR(SUMIFS('배부로그'!G:G,'배부로그'!D:D,$A6,'배부로그'!F:F,"창고"),0)</f>
        <v>1</v>
      </c>
      <c r="J6" s="59">
        <f>IFERROR(SUMIFS('배부로그'!G:G,'배부로그'!D:D,$A6,'배부로그'!F:F,"4층지원실"),0)</f>
        <v>0</v>
      </c>
      <c r="K6" s="59">
        <f>IFERROR(SUMIFS('배부로그'!G:G,'배부로그'!D:D,$A6,'배부로그'!F:F,"8층지원실"),0)</f>
        <v>0</v>
      </c>
      <c r="L6" s="81">
        <f t="shared" si="3"/>
        <v>1</v>
      </c>
      <c r="M6" s="59">
        <f>IFERROR(SUMIFS('회수로그'!H:H,'회수로그'!E:E,$A6,'회수로그'!G:G,"창고"),0)</f>
        <v>0</v>
      </c>
      <c r="N6" s="59">
        <f>IFERROR(SUMIFS('회수로그'!H:H,'회수로그'!E:E,$A6,'회수로그'!G:G,"4층지원실"),0)</f>
        <v>0</v>
      </c>
      <c r="O6" s="59">
        <f>IFERROR(SUMIFS('회수로그'!H:H,'회수로그'!E:E,$A6,'회수로그'!G:G,"8층지원실"),0)</f>
        <v>0</v>
      </c>
      <c r="P6" s="59">
        <f t="shared" si="4"/>
        <v>0</v>
      </c>
      <c r="Q6" s="59">
        <f>IFERROR(SUMIFS('재고이동로그'!F:F,'재고이동로그'!C:C,$A6,'재고이동로그'!D:D,"창고"),0)</f>
        <v>0</v>
      </c>
      <c r="R6" s="59">
        <f>IFERROR(SUMIFS('재고이동로그'!F:F,'재고이동로그'!C:C,$A6,'재고이동로그'!E:E,"4층지원실"),0)</f>
        <v>0</v>
      </c>
      <c r="S6" s="82">
        <f>IFERROR(SUMIFS('재고이동로그'!F:F,'재고이동로그'!C:C,$A6,'재고이동로그'!E:E,"8층지원실"),0)</f>
        <v>0</v>
      </c>
      <c r="T6" s="59">
        <f>IFERROR(SUMIFS('재고이동로그'!F:F,'재고이동로그'!C:C,$A6,'재고이동로그'!E:E,"창고"),0)</f>
        <v>0</v>
      </c>
      <c r="U6" s="59">
        <f>IFERROR(SUMIFS('재고이동로그'!F:F,'재고이동로그'!C:C,$A6,'재고이동로그'!E:E,"4층지원실"),0)</f>
        <v>0</v>
      </c>
      <c r="V6" s="59">
        <f>IFERROR(SUMIFS('재고이동로그'!F:F,'재고이동로그'!C:C,$A6,'재고이동로그'!E:E,"8층지원실"),0)</f>
        <v>0</v>
      </c>
      <c r="W6" s="83">
        <f t="shared" ref="W6:Y6" si="9">B6+E6-I6+M6-Q6+T6</f>
        <v>15</v>
      </c>
      <c r="X6" s="83">
        <f t="shared" si="9"/>
        <v>0</v>
      </c>
      <c r="Y6" s="83">
        <f t="shared" si="9"/>
        <v>0</v>
      </c>
      <c r="Z6" s="84">
        <f t="shared" si="6"/>
        <v>15</v>
      </c>
      <c r="AA6" s="59" t="str">
        <f t="shared" si="7"/>
        <v>부족</v>
      </c>
      <c r="AB6" s="59"/>
      <c r="AC6" s="59"/>
      <c r="AD6" s="59"/>
      <c r="AE6" s="59"/>
      <c r="AF6" s="59"/>
    </row>
    <row r="7">
      <c r="A7" s="59" t="str">
        <f>IFERROR(__xludf.DUMMYFUNCTION("""COMPUTED_VALUE"""),"(국매깨) 10주차")</f>
        <v>(국매깨) 10주차</v>
      </c>
      <c r="B7" s="77">
        <f>IFERROR(SUMIFS('교재재고'!C:C,'교재재고'!B:B,$A7),0)</f>
        <v>667</v>
      </c>
      <c r="C7" s="77">
        <f>IFERROR(SUMIFS('교재재고'!D:D,'교재재고'!B:B,$A7),0)</f>
        <v>0</v>
      </c>
      <c r="D7" s="77">
        <f>IFERROR(SUMIFS('교재재고'!E:E,'교재재고'!B:B,$A7),0)</f>
        <v>0</v>
      </c>
      <c r="E7" s="78">
        <f>IFERROR(SUMIFS('교재재고'!F:F,'교재재고'!B:B,$A7),0)
+IFERROR(SUMIFS('교재재고'!I:I,'교재재고'!B:B,$A7),0)
+IFERROR(SUMIFS('교재재고'!L:L,'교재재고'!B:B,$A7),0)
+IFERROR(SUMIFS('교재재고'!O:O,'교재재고'!B:B,$A7),0)
+IFERROR(SUMIFS('교재재고'!R:R,'교재재고'!B:B,$A7),0)</f>
        <v>0</v>
      </c>
      <c r="F7" s="79">
        <f>IFERROR(SUMIFS('교재재고'!G:G,'교재재고'!B:B,$A7),0)
+IFERROR(SUMIFS('교재재고'!J:J,'교재재고'!B:B,$A7),0)
+IFERROR(SUMIFS('교재재고'!M:M,'교재재고'!B:B,$A7),0)
+IFERROR(SUMIFS('교재재고'!P:P,'교재재고'!B:B,$A7),0)
+IFERROR(SUMIFS('교재재고'!S:S,'교재재고'!B:B,$A7),0)</f>
        <v>0</v>
      </c>
      <c r="G7" s="79">
        <f>IFERROR(SUMIFS('교재재고'!H:H,'교재재고'!B:B,$A7),0)
+IFERROR(SUMIFS('교재재고'!K:K,'교재재고'!B:B,$A7),0)
+IFERROR(SUMIFS('교재재고'!N:N,'교재재고'!B:B,$A7),0)
+IFERROR(SUMIFS('교재재고'!Q:Q,'교재재고'!B:B,$A7),0)
+IFERROR(SUMIFS('교재재고'!T:T,'교재재고'!B:B,$A7),0)</f>
        <v>0</v>
      </c>
      <c r="H7" s="79">
        <f t="shared" si="2"/>
        <v>667</v>
      </c>
      <c r="I7" s="80">
        <f>IFERROR(SUMIFS('배부로그'!G:G,'배부로그'!D:D,$A7,'배부로그'!F:F,"창고"),0)</f>
        <v>0</v>
      </c>
      <c r="J7" s="59">
        <f>IFERROR(SUMIFS('배부로그'!G:G,'배부로그'!D:D,$A7,'배부로그'!F:F,"4층지원실"),0)</f>
        <v>0</v>
      </c>
      <c r="K7" s="59">
        <f>IFERROR(SUMIFS('배부로그'!G:G,'배부로그'!D:D,$A7,'배부로그'!F:F,"8층지원실"),0)</f>
        <v>0</v>
      </c>
      <c r="L7" s="81">
        <f t="shared" si="3"/>
        <v>0</v>
      </c>
      <c r="M7" s="59">
        <f>IFERROR(SUMIFS('회수로그'!H:H,'회수로그'!E:E,$A7,'회수로그'!G:G,"창고"),0)</f>
        <v>0</v>
      </c>
      <c r="N7" s="59">
        <f>IFERROR(SUMIFS('회수로그'!H:H,'회수로그'!E:E,$A7,'회수로그'!G:G,"4층지원실"),0)</f>
        <v>0</v>
      </c>
      <c r="O7" s="59">
        <f>IFERROR(SUMIFS('회수로그'!H:H,'회수로그'!E:E,$A7,'회수로그'!G:G,"8층지원실"),0)</f>
        <v>0</v>
      </c>
      <c r="P7" s="59">
        <f t="shared" si="4"/>
        <v>0</v>
      </c>
      <c r="Q7" s="59">
        <f>IFERROR(SUMIFS('재고이동로그'!F:F,'재고이동로그'!C:C,$A7,'재고이동로그'!D:D,"창고"),0)</f>
        <v>0</v>
      </c>
      <c r="R7" s="59">
        <f>IFERROR(SUMIFS('재고이동로그'!F:F,'재고이동로그'!C:C,$A7,'재고이동로그'!E:E,"4층지원실"),0)</f>
        <v>0</v>
      </c>
      <c r="S7" s="82">
        <f>IFERROR(SUMIFS('재고이동로그'!F:F,'재고이동로그'!C:C,$A7,'재고이동로그'!E:E,"8층지원실"),0)</f>
        <v>0</v>
      </c>
      <c r="T7" s="59">
        <f>IFERROR(SUMIFS('재고이동로그'!F:F,'재고이동로그'!C:C,$A7,'재고이동로그'!E:E,"창고"),0)</f>
        <v>0</v>
      </c>
      <c r="U7" s="59">
        <f>IFERROR(SUMIFS('재고이동로그'!F:F,'재고이동로그'!C:C,$A7,'재고이동로그'!E:E,"4층지원실"),0)</f>
        <v>0</v>
      </c>
      <c r="V7" s="59">
        <f>IFERROR(SUMIFS('재고이동로그'!F:F,'재고이동로그'!C:C,$A7,'재고이동로그'!E:E,"8층지원실"),0)</f>
        <v>0</v>
      </c>
      <c r="W7" s="83">
        <f t="shared" ref="W7:Y7" si="10">B7+E7-I7+M7-Q7+T7</f>
        <v>667</v>
      </c>
      <c r="X7" s="83">
        <f t="shared" si="10"/>
        <v>0</v>
      </c>
      <c r="Y7" s="83">
        <f t="shared" si="10"/>
        <v>0</v>
      </c>
      <c r="Z7" s="84">
        <f t="shared" si="6"/>
        <v>667</v>
      </c>
      <c r="AA7" s="59" t="str">
        <f t="shared" si="7"/>
        <v>정상</v>
      </c>
      <c r="AB7" s="59"/>
      <c r="AC7" s="59"/>
      <c r="AD7" s="59"/>
      <c r="AE7" s="59"/>
      <c r="AF7" s="59"/>
    </row>
    <row r="8">
      <c r="A8" s="59" t="str">
        <f>IFERROR(__xludf.DUMMYFUNCTION("""COMPUTED_VALUE"""),"(국매깨) 9주차")</f>
        <v>(국매깨) 9주차</v>
      </c>
      <c r="B8" s="77">
        <f>IFERROR(SUMIFS('교재재고'!C:C,'교재재고'!B:B,$A8),0)</f>
        <v>663</v>
      </c>
      <c r="C8" s="77">
        <f>IFERROR(SUMIFS('교재재고'!D:D,'교재재고'!B:B,$A8),0)</f>
        <v>0</v>
      </c>
      <c r="D8" s="77">
        <f>IFERROR(SUMIFS('교재재고'!E:E,'교재재고'!B:B,$A8),0)</f>
        <v>0</v>
      </c>
      <c r="E8" s="78">
        <f>IFERROR(SUMIFS('교재재고'!F:F,'교재재고'!B:B,$A8),0)
+IFERROR(SUMIFS('교재재고'!I:I,'교재재고'!B:B,$A8),0)
+IFERROR(SUMIFS('교재재고'!L:L,'교재재고'!B:B,$A8),0)
+IFERROR(SUMIFS('교재재고'!O:O,'교재재고'!B:B,$A8),0)
+IFERROR(SUMIFS('교재재고'!R:R,'교재재고'!B:B,$A8),0)</f>
        <v>0</v>
      </c>
      <c r="F8" s="79">
        <f>IFERROR(SUMIFS('교재재고'!G:G,'교재재고'!B:B,$A8),0)
+IFERROR(SUMIFS('교재재고'!J:J,'교재재고'!B:B,$A8),0)
+IFERROR(SUMIFS('교재재고'!M:M,'교재재고'!B:B,$A8),0)
+IFERROR(SUMIFS('교재재고'!P:P,'교재재고'!B:B,$A8),0)
+IFERROR(SUMIFS('교재재고'!S:S,'교재재고'!B:B,$A8),0)</f>
        <v>0</v>
      </c>
      <c r="G8" s="79">
        <f>IFERROR(SUMIFS('교재재고'!H:H,'교재재고'!B:B,$A8),0)
+IFERROR(SUMIFS('교재재고'!K:K,'교재재고'!B:B,$A8),0)
+IFERROR(SUMIFS('교재재고'!N:N,'교재재고'!B:B,$A8),0)
+IFERROR(SUMIFS('교재재고'!Q:Q,'교재재고'!B:B,$A8),0)
+IFERROR(SUMIFS('교재재고'!T:T,'교재재고'!B:B,$A8),0)</f>
        <v>0</v>
      </c>
      <c r="H8" s="79">
        <f t="shared" si="2"/>
        <v>663</v>
      </c>
      <c r="I8" s="80">
        <f>IFERROR(SUMIFS('배부로그'!G:G,'배부로그'!D:D,$A8,'배부로그'!F:F,"창고"),0)</f>
        <v>663</v>
      </c>
      <c r="J8" s="59">
        <f>IFERROR(SUMIFS('배부로그'!G:G,'배부로그'!D:D,$A8,'배부로그'!F:F,"4층지원실"),0)</f>
        <v>0</v>
      </c>
      <c r="K8" s="59">
        <f>IFERROR(SUMIFS('배부로그'!G:G,'배부로그'!D:D,$A8,'배부로그'!F:F,"8층지원실"),0)</f>
        <v>0</v>
      </c>
      <c r="L8" s="81">
        <f t="shared" si="3"/>
        <v>663</v>
      </c>
      <c r="M8" s="59">
        <f>IFERROR(SUMIFS('회수로그'!H:H,'회수로그'!E:E,$A8,'회수로그'!G:G,"창고"),0)</f>
        <v>0</v>
      </c>
      <c r="N8" s="59">
        <f>IFERROR(SUMIFS('회수로그'!H:H,'회수로그'!E:E,$A8,'회수로그'!G:G,"4층지원실"),0)</f>
        <v>0</v>
      </c>
      <c r="O8" s="59">
        <f>IFERROR(SUMIFS('회수로그'!H:H,'회수로그'!E:E,$A8,'회수로그'!G:G,"8층지원실"),0)</f>
        <v>0</v>
      </c>
      <c r="P8" s="59">
        <f t="shared" si="4"/>
        <v>0</v>
      </c>
      <c r="Q8" s="59">
        <f>IFERROR(SUMIFS('재고이동로그'!F:F,'재고이동로그'!C:C,$A8,'재고이동로그'!D:D,"창고"),0)</f>
        <v>0</v>
      </c>
      <c r="R8" s="59">
        <f>IFERROR(SUMIFS('재고이동로그'!F:F,'재고이동로그'!C:C,$A8,'재고이동로그'!E:E,"4층지원실"),0)</f>
        <v>0</v>
      </c>
      <c r="S8" s="82">
        <f>IFERROR(SUMIFS('재고이동로그'!F:F,'재고이동로그'!C:C,$A8,'재고이동로그'!E:E,"8층지원실"),0)</f>
        <v>0</v>
      </c>
      <c r="T8" s="59">
        <f>IFERROR(SUMIFS('재고이동로그'!F:F,'재고이동로그'!C:C,$A8,'재고이동로그'!E:E,"창고"),0)</f>
        <v>0</v>
      </c>
      <c r="U8" s="59">
        <f>IFERROR(SUMIFS('재고이동로그'!F:F,'재고이동로그'!C:C,$A8,'재고이동로그'!E:E,"4층지원실"),0)</f>
        <v>0</v>
      </c>
      <c r="V8" s="59">
        <f>IFERROR(SUMIFS('재고이동로그'!F:F,'재고이동로그'!C:C,$A8,'재고이동로그'!E:E,"8층지원실"),0)</f>
        <v>0</v>
      </c>
      <c r="W8" s="83">
        <f t="shared" ref="W8:Y8" si="11">B8+E8-I8+M8-Q8+T8</f>
        <v>0</v>
      </c>
      <c r="X8" s="83">
        <f t="shared" si="11"/>
        <v>0</v>
      </c>
      <c r="Y8" s="83">
        <f t="shared" si="11"/>
        <v>0</v>
      </c>
      <c r="Z8" s="84">
        <f t="shared" si="6"/>
        <v>0</v>
      </c>
      <c r="AA8" s="59" t="str">
        <f t="shared" si="7"/>
        <v>부족</v>
      </c>
      <c r="AB8" s="59"/>
      <c r="AC8" s="59"/>
      <c r="AD8" s="59"/>
      <c r="AE8" s="59"/>
      <c r="AF8" s="59"/>
    </row>
    <row r="9">
      <c r="A9" s="59" t="str">
        <f>IFERROR(__xludf.DUMMYFUNCTION("""COMPUTED_VALUE"""),"(국어선택) 언어와매체")</f>
        <v>(국어선택) 언어와매체</v>
      </c>
      <c r="B9" s="77">
        <f>IFERROR(SUMIFS('교재재고'!C:C,'교재재고'!B:B,$A9),0)</f>
        <v>8</v>
      </c>
      <c r="C9" s="77">
        <f>IFERROR(SUMIFS('교재재고'!D:D,'교재재고'!B:B,$A9),0)</f>
        <v>0</v>
      </c>
      <c r="D9" s="77">
        <f>IFERROR(SUMIFS('교재재고'!E:E,'교재재고'!B:B,$A9),0)</f>
        <v>0</v>
      </c>
      <c r="E9" s="78">
        <f>IFERROR(SUMIFS('교재재고'!F:F,'교재재고'!B:B,$A9),0)
+IFERROR(SUMIFS('교재재고'!I:I,'교재재고'!B:B,$A9),0)
+IFERROR(SUMIFS('교재재고'!L:L,'교재재고'!B:B,$A9),0)
+IFERROR(SUMIFS('교재재고'!O:O,'교재재고'!B:B,$A9),0)
+IFERROR(SUMIFS('교재재고'!R:R,'교재재고'!B:B,$A9),0)</f>
        <v>10</v>
      </c>
      <c r="F9" s="79">
        <f>IFERROR(SUMIFS('교재재고'!G:G,'교재재고'!B:B,$A9),0)
+IFERROR(SUMIFS('교재재고'!J:J,'교재재고'!B:B,$A9),0)
+IFERROR(SUMIFS('교재재고'!M:M,'교재재고'!B:B,$A9),0)
+IFERROR(SUMIFS('교재재고'!P:P,'교재재고'!B:B,$A9),0)
+IFERROR(SUMIFS('교재재고'!S:S,'교재재고'!B:B,$A9),0)</f>
        <v>0</v>
      </c>
      <c r="G9" s="79">
        <f>IFERROR(SUMIFS('교재재고'!H:H,'교재재고'!B:B,$A9),0)
+IFERROR(SUMIFS('교재재고'!K:K,'교재재고'!B:B,$A9),0)
+IFERROR(SUMIFS('교재재고'!N:N,'교재재고'!B:B,$A9),0)
+IFERROR(SUMIFS('교재재고'!Q:Q,'교재재고'!B:B,$A9),0)
+IFERROR(SUMIFS('교재재고'!T:T,'교재재고'!B:B,$A9),0)</f>
        <v>0</v>
      </c>
      <c r="H9" s="79">
        <f t="shared" si="2"/>
        <v>18</v>
      </c>
      <c r="I9" s="80">
        <f>IFERROR(SUMIFS('배부로그'!G:G,'배부로그'!D:D,$A9,'배부로그'!F:F,"창고"),0)</f>
        <v>8</v>
      </c>
      <c r="J9" s="59">
        <f>IFERROR(SUMIFS('배부로그'!G:G,'배부로그'!D:D,$A9,'배부로그'!F:F,"4층지원실"),0)</f>
        <v>0</v>
      </c>
      <c r="K9" s="59">
        <f>IFERROR(SUMIFS('배부로그'!G:G,'배부로그'!D:D,$A9,'배부로그'!F:F,"8층지원실"),0)</f>
        <v>0</v>
      </c>
      <c r="L9" s="81">
        <f t="shared" si="3"/>
        <v>8</v>
      </c>
      <c r="M9" s="59">
        <f>IFERROR(SUMIFS('회수로그'!H:H,'회수로그'!E:E,$A9,'회수로그'!G:G,"창고"),0)</f>
        <v>0</v>
      </c>
      <c r="N9" s="59">
        <f>IFERROR(SUMIFS('회수로그'!H:H,'회수로그'!E:E,$A9,'회수로그'!G:G,"4층지원실"),0)</f>
        <v>0</v>
      </c>
      <c r="O9" s="59">
        <f>IFERROR(SUMIFS('회수로그'!H:H,'회수로그'!E:E,$A9,'회수로그'!G:G,"8층지원실"),0)</f>
        <v>0</v>
      </c>
      <c r="P9" s="59">
        <f t="shared" si="4"/>
        <v>0</v>
      </c>
      <c r="Q9" s="59">
        <f>IFERROR(SUMIFS('재고이동로그'!F:F,'재고이동로그'!C:C,$A9,'재고이동로그'!D:D,"창고"),0)</f>
        <v>0</v>
      </c>
      <c r="R9" s="59">
        <f>IFERROR(SUMIFS('재고이동로그'!F:F,'재고이동로그'!C:C,$A9,'재고이동로그'!E:E,"4층지원실"),0)</f>
        <v>0</v>
      </c>
      <c r="S9" s="82">
        <f>IFERROR(SUMIFS('재고이동로그'!F:F,'재고이동로그'!C:C,$A9,'재고이동로그'!E:E,"8층지원실"),0)</f>
        <v>0</v>
      </c>
      <c r="T9" s="59">
        <f>IFERROR(SUMIFS('재고이동로그'!F:F,'재고이동로그'!C:C,$A9,'재고이동로그'!E:E,"창고"),0)</f>
        <v>0</v>
      </c>
      <c r="U9" s="59">
        <f>IFERROR(SUMIFS('재고이동로그'!F:F,'재고이동로그'!C:C,$A9,'재고이동로그'!E:E,"4층지원실"),0)</f>
        <v>0</v>
      </c>
      <c r="V9" s="59">
        <f>IFERROR(SUMIFS('재고이동로그'!F:F,'재고이동로그'!C:C,$A9,'재고이동로그'!E:E,"8층지원실"),0)</f>
        <v>0</v>
      </c>
      <c r="W9" s="83">
        <f t="shared" ref="W9:Y9" si="12">B9+E9-I9+M9-Q9+T9</f>
        <v>10</v>
      </c>
      <c r="X9" s="83">
        <f t="shared" si="12"/>
        <v>0</v>
      </c>
      <c r="Y9" s="83">
        <f t="shared" si="12"/>
        <v>0</v>
      </c>
      <c r="Z9" s="84">
        <f t="shared" si="6"/>
        <v>10</v>
      </c>
      <c r="AA9" s="59" t="str">
        <f t="shared" si="7"/>
        <v>부족</v>
      </c>
      <c r="AB9" s="59"/>
      <c r="AC9" s="59"/>
      <c r="AD9" s="59"/>
      <c r="AE9" s="59"/>
      <c r="AF9" s="59"/>
    </row>
    <row r="10">
      <c r="A10" s="59" t="str">
        <f>IFERROR(__xludf.DUMMYFUNCTION("""COMPUTED_VALUE"""),"(국어선택) 화법과작문")</f>
        <v>(국어선택) 화법과작문</v>
      </c>
      <c r="B10" s="77">
        <f>IFERROR(SUMIFS('교재재고'!C:C,'교재재고'!B:B,$A10),0)</f>
        <v>15</v>
      </c>
      <c r="C10" s="77">
        <f>IFERROR(SUMIFS('교재재고'!D:D,'교재재고'!B:B,$A10),0)</f>
        <v>0</v>
      </c>
      <c r="D10" s="77">
        <f>IFERROR(SUMIFS('교재재고'!E:E,'교재재고'!B:B,$A10),0)</f>
        <v>0</v>
      </c>
      <c r="E10" s="78">
        <f>IFERROR(SUMIFS('교재재고'!F:F,'교재재고'!B:B,$A10),0)
+IFERROR(SUMIFS('교재재고'!I:I,'교재재고'!B:B,$A10),0)
+IFERROR(SUMIFS('교재재고'!L:L,'교재재고'!B:B,$A10),0)
+IFERROR(SUMIFS('교재재고'!O:O,'교재재고'!B:B,$A10),0)
+IFERROR(SUMIFS('교재재고'!R:R,'교재재고'!B:B,$A10),0)</f>
        <v>29</v>
      </c>
      <c r="F10" s="79">
        <f>IFERROR(SUMIFS('교재재고'!G:G,'교재재고'!B:B,$A10),0)
+IFERROR(SUMIFS('교재재고'!J:J,'교재재고'!B:B,$A10),0)
+IFERROR(SUMIFS('교재재고'!M:M,'교재재고'!B:B,$A10),0)
+IFERROR(SUMIFS('교재재고'!P:P,'교재재고'!B:B,$A10),0)
+IFERROR(SUMIFS('교재재고'!S:S,'교재재고'!B:B,$A10),0)</f>
        <v>0</v>
      </c>
      <c r="G10" s="79">
        <f>IFERROR(SUMIFS('교재재고'!H:H,'교재재고'!B:B,$A10),0)
+IFERROR(SUMIFS('교재재고'!K:K,'교재재고'!B:B,$A10),0)
+IFERROR(SUMIFS('교재재고'!N:N,'교재재고'!B:B,$A10),0)
+IFERROR(SUMIFS('교재재고'!Q:Q,'교재재고'!B:B,$A10),0)
+IFERROR(SUMIFS('교재재고'!T:T,'교재재고'!B:B,$A10),0)</f>
        <v>0</v>
      </c>
      <c r="H10" s="79">
        <f t="shared" si="2"/>
        <v>44</v>
      </c>
      <c r="I10" s="80">
        <f>IFERROR(SUMIFS('배부로그'!G:G,'배부로그'!D:D,$A10,'배부로그'!F:F,"창고"),0)</f>
        <v>17</v>
      </c>
      <c r="J10" s="59">
        <f>IFERROR(SUMIFS('배부로그'!G:G,'배부로그'!D:D,$A10,'배부로그'!F:F,"4층지원실"),0)</f>
        <v>0</v>
      </c>
      <c r="K10" s="59">
        <f>IFERROR(SUMIFS('배부로그'!G:G,'배부로그'!D:D,$A10,'배부로그'!F:F,"8층지원실"),0)</f>
        <v>0</v>
      </c>
      <c r="L10" s="81">
        <f t="shared" si="3"/>
        <v>17</v>
      </c>
      <c r="M10" s="59">
        <f>IFERROR(SUMIFS('회수로그'!H:H,'회수로그'!E:E,$A10,'회수로그'!G:G,"창고"),0)</f>
        <v>0</v>
      </c>
      <c r="N10" s="59">
        <f>IFERROR(SUMIFS('회수로그'!H:H,'회수로그'!E:E,$A10,'회수로그'!G:G,"4층지원실"),0)</f>
        <v>0</v>
      </c>
      <c r="O10" s="59">
        <f>IFERROR(SUMIFS('회수로그'!H:H,'회수로그'!E:E,$A10,'회수로그'!G:G,"8층지원실"),0)</f>
        <v>0</v>
      </c>
      <c r="P10" s="59">
        <f t="shared" si="4"/>
        <v>0</v>
      </c>
      <c r="Q10" s="59">
        <f>IFERROR(SUMIFS('재고이동로그'!F:F,'재고이동로그'!C:C,$A10,'재고이동로그'!D:D,"창고"),0)</f>
        <v>0</v>
      </c>
      <c r="R10" s="59">
        <f>IFERROR(SUMIFS('재고이동로그'!F:F,'재고이동로그'!C:C,$A10,'재고이동로그'!E:E,"4층지원실"),0)</f>
        <v>0</v>
      </c>
      <c r="S10" s="82">
        <f>IFERROR(SUMIFS('재고이동로그'!F:F,'재고이동로그'!C:C,$A10,'재고이동로그'!E:E,"8층지원실"),0)</f>
        <v>0</v>
      </c>
      <c r="T10" s="59">
        <f>IFERROR(SUMIFS('재고이동로그'!F:F,'재고이동로그'!C:C,$A10,'재고이동로그'!E:E,"창고"),0)</f>
        <v>0</v>
      </c>
      <c r="U10" s="59">
        <f>IFERROR(SUMIFS('재고이동로그'!F:F,'재고이동로그'!C:C,$A10,'재고이동로그'!E:E,"4층지원실"),0)</f>
        <v>0</v>
      </c>
      <c r="V10" s="59">
        <f>IFERROR(SUMIFS('재고이동로그'!F:F,'재고이동로그'!C:C,$A10,'재고이동로그'!E:E,"8층지원실"),0)</f>
        <v>0</v>
      </c>
      <c r="W10" s="83">
        <f t="shared" ref="W10:Y10" si="13">B10+E10-I10+M10-Q10+T10</f>
        <v>27</v>
      </c>
      <c r="X10" s="83">
        <f t="shared" si="13"/>
        <v>0</v>
      </c>
      <c r="Y10" s="83">
        <f t="shared" si="13"/>
        <v>0</v>
      </c>
      <c r="Z10" s="84">
        <f t="shared" si="6"/>
        <v>27</v>
      </c>
      <c r="AA10" s="59" t="str">
        <f t="shared" si="7"/>
        <v>부족</v>
      </c>
      <c r="AB10" s="59"/>
      <c r="AC10" s="59"/>
      <c r="AD10" s="59"/>
      <c r="AE10" s="59"/>
      <c r="AF10" s="59"/>
    </row>
    <row r="11">
      <c r="A11" s="59" t="str">
        <f>IFERROR(__xludf.DUMMYFUNCTION("""COMPUTED_VALUE"""),"(김종훈) 국어다지기_독서2")</f>
        <v>(김종훈) 국어다지기_독서2</v>
      </c>
      <c r="B11" s="77">
        <f>IFERROR(SUMIFS('교재재고'!C:C,'교재재고'!B:B,$A11),0)</f>
        <v>140</v>
      </c>
      <c r="C11" s="77">
        <f>IFERROR(SUMIFS('교재재고'!D:D,'교재재고'!B:B,$A11),0)</f>
        <v>0</v>
      </c>
      <c r="D11" s="77">
        <f>IFERROR(SUMIFS('교재재고'!E:E,'교재재고'!B:B,$A11),0)</f>
        <v>0</v>
      </c>
      <c r="E11" s="78">
        <f>IFERROR(SUMIFS('교재재고'!F:F,'교재재고'!B:B,$A11),0)
+IFERROR(SUMIFS('교재재고'!I:I,'교재재고'!B:B,$A11),0)
+IFERROR(SUMIFS('교재재고'!L:L,'교재재고'!B:B,$A11),0)
+IFERROR(SUMIFS('교재재고'!O:O,'교재재고'!B:B,$A11),0)
+IFERROR(SUMIFS('교재재고'!R:R,'교재재고'!B:B,$A11),0)</f>
        <v>0</v>
      </c>
      <c r="F11" s="79">
        <f>IFERROR(SUMIFS('교재재고'!G:G,'교재재고'!B:B,$A11),0)
+IFERROR(SUMIFS('교재재고'!J:J,'교재재고'!B:B,$A11),0)
+IFERROR(SUMIFS('교재재고'!M:M,'교재재고'!B:B,$A11),0)
+IFERROR(SUMIFS('교재재고'!P:P,'교재재고'!B:B,$A11),0)
+IFERROR(SUMIFS('교재재고'!S:S,'교재재고'!B:B,$A11),0)</f>
        <v>0</v>
      </c>
      <c r="G11" s="79">
        <f>IFERROR(SUMIFS('교재재고'!H:H,'교재재고'!B:B,$A11),0)
+IFERROR(SUMIFS('교재재고'!K:K,'교재재고'!B:B,$A11),0)
+IFERROR(SUMIFS('교재재고'!N:N,'교재재고'!B:B,$A11),0)
+IFERROR(SUMIFS('교재재고'!Q:Q,'교재재고'!B:B,$A11),0)
+IFERROR(SUMIFS('교재재고'!T:T,'교재재고'!B:B,$A11),0)</f>
        <v>0</v>
      </c>
      <c r="H11" s="79">
        <f t="shared" si="2"/>
        <v>140</v>
      </c>
      <c r="I11" s="80">
        <f>IFERROR(SUMIFS('배부로그'!G:G,'배부로그'!D:D,$A11,'배부로그'!F:F,"창고"),0)</f>
        <v>0</v>
      </c>
      <c r="J11" s="59">
        <f>IFERROR(SUMIFS('배부로그'!G:G,'배부로그'!D:D,$A11,'배부로그'!F:F,"4층지원실"),0)</f>
        <v>0</v>
      </c>
      <c r="K11" s="59">
        <f>IFERROR(SUMIFS('배부로그'!G:G,'배부로그'!D:D,$A11,'배부로그'!F:F,"8층지원실"),0)</f>
        <v>0</v>
      </c>
      <c r="L11" s="81">
        <f t="shared" si="3"/>
        <v>0</v>
      </c>
      <c r="M11" s="59">
        <f>IFERROR(SUMIFS('회수로그'!H:H,'회수로그'!E:E,$A11,'회수로그'!G:G,"창고"),0)</f>
        <v>0</v>
      </c>
      <c r="N11" s="59">
        <f>IFERROR(SUMIFS('회수로그'!H:H,'회수로그'!E:E,$A11,'회수로그'!G:G,"4층지원실"),0)</f>
        <v>0</v>
      </c>
      <c r="O11" s="59">
        <f>IFERROR(SUMIFS('회수로그'!H:H,'회수로그'!E:E,$A11,'회수로그'!G:G,"8층지원실"),0)</f>
        <v>0</v>
      </c>
      <c r="P11" s="59">
        <f t="shared" si="4"/>
        <v>0</v>
      </c>
      <c r="Q11" s="59">
        <f>IFERROR(SUMIFS('재고이동로그'!F:F,'재고이동로그'!C:C,$A11,'재고이동로그'!D:D,"창고"),0)</f>
        <v>0</v>
      </c>
      <c r="R11" s="59">
        <f>IFERROR(SUMIFS('재고이동로그'!F:F,'재고이동로그'!C:C,$A11,'재고이동로그'!E:E,"4층지원실"),0)</f>
        <v>0</v>
      </c>
      <c r="S11" s="82">
        <f>IFERROR(SUMIFS('재고이동로그'!F:F,'재고이동로그'!C:C,$A11,'재고이동로그'!E:E,"8층지원실"),0)</f>
        <v>0</v>
      </c>
      <c r="T11" s="59">
        <f>IFERROR(SUMIFS('재고이동로그'!F:F,'재고이동로그'!C:C,$A11,'재고이동로그'!E:E,"창고"),0)</f>
        <v>0</v>
      </c>
      <c r="U11" s="59">
        <f>IFERROR(SUMIFS('재고이동로그'!F:F,'재고이동로그'!C:C,$A11,'재고이동로그'!E:E,"4층지원실"),0)</f>
        <v>0</v>
      </c>
      <c r="V11" s="59">
        <f>IFERROR(SUMIFS('재고이동로그'!F:F,'재고이동로그'!C:C,$A11,'재고이동로그'!E:E,"8층지원실"),0)</f>
        <v>0</v>
      </c>
      <c r="W11" s="83">
        <f t="shared" ref="W11:Y11" si="14">B11+E11-I11+M11-Q11+T11</f>
        <v>140</v>
      </c>
      <c r="X11" s="83">
        <f t="shared" si="14"/>
        <v>0</v>
      </c>
      <c r="Y11" s="83">
        <f t="shared" si="14"/>
        <v>0</v>
      </c>
      <c r="Z11" s="84">
        <f t="shared" si="6"/>
        <v>140</v>
      </c>
      <c r="AA11" s="59" t="str">
        <f t="shared" si="7"/>
        <v>정상</v>
      </c>
      <c r="AB11" s="59"/>
      <c r="AC11" s="59"/>
      <c r="AD11" s="59"/>
      <c r="AE11" s="59"/>
      <c r="AF11" s="59"/>
    </row>
    <row r="12">
      <c r="A12" s="59" t="str">
        <f>IFERROR(__xludf.DUMMYFUNCTION("""COMPUTED_VALUE"""),"(김종훈) 국어다지기_문학2")</f>
        <v>(김종훈) 국어다지기_문학2</v>
      </c>
      <c r="B12" s="77">
        <f>IFERROR(SUMIFS('교재재고'!C:C,'교재재고'!B:B,$A12),0)</f>
        <v>140</v>
      </c>
      <c r="C12" s="77">
        <f>IFERROR(SUMIFS('교재재고'!D:D,'교재재고'!B:B,$A12),0)</f>
        <v>0</v>
      </c>
      <c r="D12" s="77">
        <f>IFERROR(SUMIFS('교재재고'!E:E,'교재재고'!B:B,$A12),0)</f>
        <v>0</v>
      </c>
      <c r="E12" s="78">
        <f>IFERROR(SUMIFS('교재재고'!F:F,'교재재고'!B:B,$A12),0)
+IFERROR(SUMIFS('교재재고'!I:I,'교재재고'!B:B,$A12),0)
+IFERROR(SUMIFS('교재재고'!L:L,'교재재고'!B:B,$A12),0)
+IFERROR(SUMIFS('교재재고'!O:O,'교재재고'!B:B,$A12),0)
+IFERROR(SUMIFS('교재재고'!R:R,'교재재고'!B:B,$A12),0)</f>
        <v>0</v>
      </c>
      <c r="F12" s="79">
        <f>IFERROR(SUMIFS('교재재고'!G:G,'교재재고'!B:B,$A12),0)
+IFERROR(SUMIFS('교재재고'!J:J,'교재재고'!B:B,$A12),0)
+IFERROR(SUMIFS('교재재고'!M:M,'교재재고'!B:B,$A12),0)
+IFERROR(SUMIFS('교재재고'!P:P,'교재재고'!B:B,$A12),0)
+IFERROR(SUMIFS('교재재고'!S:S,'교재재고'!B:B,$A12),0)</f>
        <v>0</v>
      </c>
      <c r="G12" s="79">
        <f>IFERROR(SUMIFS('교재재고'!H:H,'교재재고'!B:B,$A12),0)
+IFERROR(SUMIFS('교재재고'!K:K,'교재재고'!B:B,$A12),0)
+IFERROR(SUMIFS('교재재고'!N:N,'교재재고'!B:B,$A12),0)
+IFERROR(SUMIFS('교재재고'!Q:Q,'교재재고'!B:B,$A12),0)
+IFERROR(SUMIFS('교재재고'!T:T,'교재재고'!B:B,$A12),0)</f>
        <v>0</v>
      </c>
      <c r="H12" s="79">
        <f t="shared" si="2"/>
        <v>140</v>
      </c>
      <c r="I12" s="80">
        <f>IFERROR(SUMIFS('배부로그'!G:G,'배부로그'!D:D,$A12,'배부로그'!F:F,"창고"),0)</f>
        <v>0</v>
      </c>
      <c r="J12" s="59">
        <f>IFERROR(SUMIFS('배부로그'!G:G,'배부로그'!D:D,$A12,'배부로그'!F:F,"4층지원실"),0)</f>
        <v>0</v>
      </c>
      <c r="K12" s="59">
        <f>IFERROR(SUMIFS('배부로그'!G:G,'배부로그'!D:D,$A12,'배부로그'!F:F,"8층지원실"),0)</f>
        <v>0</v>
      </c>
      <c r="L12" s="81">
        <f t="shared" si="3"/>
        <v>0</v>
      </c>
      <c r="M12" s="59">
        <f>IFERROR(SUMIFS('회수로그'!H:H,'회수로그'!E:E,$A12,'회수로그'!G:G,"창고"),0)</f>
        <v>0</v>
      </c>
      <c r="N12" s="59">
        <f>IFERROR(SUMIFS('회수로그'!H:H,'회수로그'!E:E,$A12,'회수로그'!G:G,"4층지원실"),0)</f>
        <v>0</v>
      </c>
      <c r="O12" s="59">
        <f>IFERROR(SUMIFS('회수로그'!H:H,'회수로그'!E:E,$A12,'회수로그'!G:G,"8층지원실"),0)</f>
        <v>0</v>
      </c>
      <c r="P12" s="59">
        <f t="shared" si="4"/>
        <v>0</v>
      </c>
      <c r="Q12" s="59">
        <f>IFERROR(SUMIFS('재고이동로그'!F:F,'재고이동로그'!C:C,$A12,'재고이동로그'!D:D,"창고"),0)</f>
        <v>0</v>
      </c>
      <c r="R12" s="59">
        <f>IFERROR(SUMIFS('재고이동로그'!F:F,'재고이동로그'!C:C,$A12,'재고이동로그'!E:E,"4층지원실"),0)</f>
        <v>0</v>
      </c>
      <c r="S12" s="82">
        <f>IFERROR(SUMIFS('재고이동로그'!F:F,'재고이동로그'!C:C,$A12,'재고이동로그'!E:E,"8층지원실"),0)</f>
        <v>0</v>
      </c>
      <c r="T12" s="59">
        <f>IFERROR(SUMIFS('재고이동로그'!F:F,'재고이동로그'!C:C,$A12,'재고이동로그'!E:E,"창고"),0)</f>
        <v>0</v>
      </c>
      <c r="U12" s="59">
        <f>IFERROR(SUMIFS('재고이동로그'!F:F,'재고이동로그'!C:C,$A12,'재고이동로그'!E:E,"4층지원실"),0)</f>
        <v>0</v>
      </c>
      <c r="V12" s="59">
        <f>IFERROR(SUMIFS('재고이동로그'!F:F,'재고이동로그'!C:C,$A12,'재고이동로그'!E:E,"8층지원실"),0)</f>
        <v>0</v>
      </c>
      <c r="W12" s="83">
        <f t="shared" ref="W12:Y12" si="15">B12+E12-I12+M12-Q12+T12</f>
        <v>140</v>
      </c>
      <c r="X12" s="83">
        <f t="shared" si="15"/>
        <v>0</v>
      </c>
      <c r="Y12" s="83">
        <f t="shared" si="15"/>
        <v>0</v>
      </c>
      <c r="Z12" s="84">
        <f t="shared" si="6"/>
        <v>140</v>
      </c>
      <c r="AA12" s="59" t="str">
        <f t="shared" si="7"/>
        <v>정상</v>
      </c>
      <c r="AB12" s="82"/>
      <c r="AC12" s="59"/>
      <c r="AD12" s="59"/>
      <c r="AE12" s="59"/>
      <c r="AF12" s="59"/>
    </row>
    <row r="13">
      <c r="A13" s="59" t="str">
        <f>IFERROR(__xludf.DUMMYFUNCTION("""COMPUTED_VALUE"""),"(김춘근김희준) pop 2")</f>
        <v>(김춘근김희준) pop 2</v>
      </c>
      <c r="B13" s="77">
        <f>IFERROR(SUMIFS('교재재고'!C:C,'교재재고'!B:B,$A13),0)</f>
        <v>526</v>
      </c>
      <c r="C13" s="77">
        <f>IFERROR(SUMIFS('교재재고'!D:D,'교재재고'!B:B,$A13),0)</f>
        <v>0</v>
      </c>
      <c r="D13" s="77">
        <f>IFERROR(SUMIFS('교재재고'!E:E,'교재재고'!B:B,$A13),0)</f>
        <v>0</v>
      </c>
      <c r="E13" s="78">
        <f>IFERROR(SUMIFS('교재재고'!F:F,'교재재고'!B:B,$A13),0)
+IFERROR(SUMIFS('교재재고'!I:I,'교재재고'!B:B,$A13),0)
+IFERROR(SUMIFS('교재재고'!L:L,'교재재고'!B:B,$A13),0)
+IFERROR(SUMIFS('교재재고'!O:O,'교재재고'!B:B,$A13),0)
+IFERROR(SUMIFS('교재재고'!R:R,'교재재고'!B:B,$A13),0)</f>
        <v>0</v>
      </c>
      <c r="F13" s="79">
        <f>IFERROR(SUMIFS('교재재고'!G:G,'교재재고'!B:B,$A13),0)
+IFERROR(SUMIFS('교재재고'!J:J,'교재재고'!B:B,$A13),0)
+IFERROR(SUMIFS('교재재고'!M:M,'교재재고'!B:B,$A13),0)
+IFERROR(SUMIFS('교재재고'!P:P,'교재재고'!B:B,$A13),0)
+IFERROR(SUMIFS('교재재고'!S:S,'교재재고'!B:B,$A13),0)</f>
        <v>0</v>
      </c>
      <c r="G13" s="79">
        <f>IFERROR(SUMIFS('교재재고'!H:H,'교재재고'!B:B,$A13),0)
+IFERROR(SUMIFS('교재재고'!K:K,'교재재고'!B:B,$A13),0)
+IFERROR(SUMIFS('교재재고'!N:N,'교재재고'!B:B,$A13),0)
+IFERROR(SUMIFS('교재재고'!Q:Q,'교재재고'!B:B,$A13),0)
+IFERROR(SUMIFS('교재재고'!T:T,'교재재고'!B:B,$A13),0)</f>
        <v>0</v>
      </c>
      <c r="H13" s="79">
        <f t="shared" si="2"/>
        <v>526</v>
      </c>
      <c r="I13" s="80">
        <f>IFERROR(SUMIFS('배부로그'!G:G,'배부로그'!D:D,$A13,'배부로그'!F:F,"창고"),0)</f>
        <v>0</v>
      </c>
      <c r="J13" s="59">
        <f>IFERROR(SUMIFS('배부로그'!G:G,'배부로그'!D:D,$A13,'배부로그'!F:F,"4층지원실"),0)</f>
        <v>0</v>
      </c>
      <c r="K13" s="59">
        <f>IFERROR(SUMIFS('배부로그'!G:G,'배부로그'!D:D,$A13,'배부로그'!F:F,"8층지원실"),0)</f>
        <v>0</v>
      </c>
      <c r="L13" s="81">
        <f t="shared" si="3"/>
        <v>0</v>
      </c>
      <c r="M13" s="59">
        <f>IFERROR(SUMIFS('회수로그'!H:H,'회수로그'!E:E,$A13,'회수로그'!G:G,"창고"),0)</f>
        <v>0</v>
      </c>
      <c r="N13" s="59">
        <f>IFERROR(SUMIFS('회수로그'!H:H,'회수로그'!E:E,$A13,'회수로그'!G:G,"4층지원실"),0)</f>
        <v>0</v>
      </c>
      <c r="O13" s="59">
        <f>IFERROR(SUMIFS('회수로그'!H:H,'회수로그'!E:E,$A13,'회수로그'!G:G,"8층지원실"),0)</f>
        <v>0</v>
      </c>
      <c r="P13" s="59">
        <f t="shared" si="4"/>
        <v>0</v>
      </c>
      <c r="Q13" s="59">
        <f>IFERROR(SUMIFS('재고이동로그'!F:F,'재고이동로그'!C:C,$A13,'재고이동로그'!D:D,"창고"),0)</f>
        <v>0</v>
      </c>
      <c r="R13" s="59">
        <f>IFERROR(SUMIFS('재고이동로그'!F:F,'재고이동로그'!C:C,$A13,'재고이동로그'!E:E,"4층지원실"),0)</f>
        <v>0</v>
      </c>
      <c r="S13" s="82">
        <f>IFERROR(SUMIFS('재고이동로그'!F:F,'재고이동로그'!C:C,$A13,'재고이동로그'!E:E,"8층지원실"),0)</f>
        <v>0</v>
      </c>
      <c r="T13" s="59">
        <f>IFERROR(SUMIFS('재고이동로그'!F:F,'재고이동로그'!C:C,$A13,'재고이동로그'!E:E,"창고"),0)</f>
        <v>0</v>
      </c>
      <c r="U13" s="59">
        <f>IFERROR(SUMIFS('재고이동로그'!F:F,'재고이동로그'!C:C,$A13,'재고이동로그'!E:E,"4층지원실"),0)</f>
        <v>0</v>
      </c>
      <c r="V13" s="59">
        <f>IFERROR(SUMIFS('재고이동로그'!F:F,'재고이동로그'!C:C,$A13,'재고이동로그'!E:E,"8층지원실"),0)</f>
        <v>0</v>
      </c>
      <c r="W13" s="83">
        <f t="shared" ref="W13:Y13" si="16">B13+E13-I13+M13-Q13+T13</f>
        <v>526</v>
      </c>
      <c r="X13" s="83">
        <f t="shared" si="16"/>
        <v>0</v>
      </c>
      <c r="Y13" s="83">
        <f t="shared" si="16"/>
        <v>0</v>
      </c>
      <c r="Z13" s="84">
        <f t="shared" si="6"/>
        <v>526</v>
      </c>
      <c r="AA13" s="59" t="str">
        <f t="shared" si="7"/>
        <v>정상</v>
      </c>
      <c r="AB13" s="59"/>
      <c r="AC13" s="59"/>
      <c r="AD13" s="59"/>
      <c r="AE13" s="59"/>
      <c r="AF13" s="59"/>
    </row>
    <row r="14">
      <c r="A14" s="59" t="str">
        <f>IFERROR(__xludf.DUMMYFUNCTION("""COMPUTED_VALUE"""),"(김춘근김희준) syntax 2")</f>
        <v>(김춘근김희준) syntax 2</v>
      </c>
      <c r="B14" s="77">
        <f>IFERROR(SUMIFS('교재재고'!C:C,'교재재고'!B:B,$A14),0)</f>
        <v>526</v>
      </c>
      <c r="C14" s="77">
        <f>IFERROR(SUMIFS('교재재고'!D:D,'교재재고'!B:B,$A14),0)</f>
        <v>0</v>
      </c>
      <c r="D14" s="77">
        <f>IFERROR(SUMIFS('교재재고'!E:E,'교재재고'!B:B,$A14),0)</f>
        <v>0</v>
      </c>
      <c r="E14" s="78">
        <f>IFERROR(SUMIFS('교재재고'!F:F,'교재재고'!B:B,$A14),0)
+IFERROR(SUMIFS('교재재고'!I:I,'교재재고'!B:B,$A14),0)
+IFERROR(SUMIFS('교재재고'!L:L,'교재재고'!B:B,$A14),0)
+IFERROR(SUMIFS('교재재고'!O:O,'교재재고'!B:B,$A14),0)
+IFERROR(SUMIFS('교재재고'!R:R,'교재재고'!B:B,$A14),0)</f>
        <v>0</v>
      </c>
      <c r="F14" s="79">
        <f>IFERROR(SUMIFS('교재재고'!G:G,'교재재고'!B:B,$A14),0)
+IFERROR(SUMIFS('교재재고'!J:J,'교재재고'!B:B,$A14),0)
+IFERROR(SUMIFS('교재재고'!M:M,'교재재고'!B:B,$A14),0)
+IFERROR(SUMIFS('교재재고'!P:P,'교재재고'!B:B,$A14),0)
+IFERROR(SUMIFS('교재재고'!S:S,'교재재고'!B:B,$A14),0)</f>
        <v>0</v>
      </c>
      <c r="G14" s="79">
        <f>IFERROR(SUMIFS('교재재고'!H:H,'교재재고'!B:B,$A14),0)
+IFERROR(SUMIFS('교재재고'!K:K,'교재재고'!B:B,$A14),0)
+IFERROR(SUMIFS('교재재고'!N:N,'교재재고'!B:B,$A14),0)
+IFERROR(SUMIFS('교재재고'!Q:Q,'교재재고'!B:B,$A14),0)
+IFERROR(SUMIFS('교재재고'!T:T,'교재재고'!B:B,$A14),0)</f>
        <v>0</v>
      </c>
      <c r="H14" s="79">
        <f t="shared" si="2"/>
        <v>526</v>
      </c>
      <c r="I14" s="80">
        <f>IFERROR(SUMIFS('배부로그'!G:G,'배부로그'!D:D,$A14,'배부로그'!F:F,"창고"),0)</f>
        <v>0</v>
      </c>
      <c r="J14" s="59">
        <f>IFERROR(SUMIFS('배부로그'!G:G,'배부로그'!D:D,$A14,'배부로그'!F:F,"4층지원실"),0)</f>
        <v>0</v>
      </c>
      <c r="K14" s="59">
        <f>IFERROR(SUMIFS('배부로그'!G:G,'배부로그'!D:D,$A14,'배부로그'!F:F,"8층지원실"),0)</f>
        <v>0</v>
      </c>
      <c r="L14" s="81">
        <f t="shared" si="3"/>
        <v>0</v>
      </c>
      <c r="M14" s="59">
        <f>IFERROR(SUMIFS('회수로그'!H:H,'회수로그'!E:E,$A14,'회수로그'!G:G,"창고"),0)</f>
        <v>0</v>
      </c>
      <c r="N14" s="59">
        <f>IFERROR(SUMIFS('회수로그'!H:H,'회수로그'!E:E,$A14,'회수로그'!G:G,"4층지원실"),0)</f>
        <v>0</v>
      </c>
      <c r="O14" s="59">
        <f>IFERROR(SUMIFS('회수로그'!H:H,'회수로그'!E:E,$A14,'회수로그'!G:G,"8층지원실"),0)</f>
        <v>0</v>
      </c>
      <c r="P14" s="59">
        <f t="shared" si="4"/>
        <v>0</v>
      </c>
      <c r="Q14" s="59">
        <f>IFERROR(SUMIFS('재고이동로그'!F:F,'재고이동로그'!C:C,$A14,'재고이동로그'!D:D,"창고"),0)</f>
        <v>0</v>
      </c>
      <c r="R14" s="59">
        <f>IFERROR(SUMIFS('재고이동로그'!F:F,'재고이동로그'!C:C,$A14,'재고이동로그'!E:E,"4층지원실"),0)</f>
        <v>0</v>
      </c>
      <c r="S14" s="82">
        <f>IFERROR(SUMIFS('재고이동로그'!F:F,'재고이동로그'!C:C,$A14,'재고이동로그'!E:E,"8층지원실"),0)</f>
        <v>0</v>
      </c>
      <c r="T14" s="59">
        <f>IFERROR(SUMIFS('재고이동로그'!F:F,'재고이동로그'!C:C,$A14,'재고이동로그'!E:E,"창고"),0)</f>
        <v>0</v>
      </c>
      <c r="U14" s="59">
        <f>IFERROR(SUMIFS('재고이동로그'!F:F,'재고이동로그'!C:C,$A14,'재고이동로그'!E:E,"4층지원실"),0)</f>
        <v>0</v>
      </c>
      <c r="V14" s="59">
        <f>IFERROR(SUMIFS('재고이동로그'!F:F,'재고이동로그'!C:C,$A14,'재고이동로그'!E:E,"8층지원실"),0)</f>
        <v>0</v>
      </c>
      <c r="W14" s="83">
        <f t="shared" ref="W14:Y14" si="17">B14+E14-I14+M14-Q14+T14</f>
        <v>526</v>
      </c>
      <c r="X14" s="83">
        <f t="shared" si="17"/>
        <v>0</v>
      </c>
      <c r="Y14" s="83">
        <f t="shared" si="17"/>
        <v>0</v>
      </c>
      <c r="Z14" s="84">
        <f t="shared" si="6"/>
        <v>526</v>
      </c>
      <c r="AA14" s="59" t="str">
        <f t="shared" si="7"/>
        <v>정상</v>
      </c>
      <c r="AB14" s="59"/>
      <c r="AC14" s="59"/>
      <c r="AD14" s="59"/>
      <c r="AE14" s="59"/>
      <c r="AF14" s="59"/>
    </row>
    <row r="15">
      <c r="A15" s="59" t="str">
        <f>IFERROR(__xludf.DUMMYFUNCTION("""COMPUTED_VALUE"""),"(김학림전종현) 쎄타_미적E수업")</f>
        <v>(김학림전종현) 쎄타_미적E수업</v>
      </c>
      <c r="B15" s="77">
        <f>IFERROR(SUMIFS('교재재고'!C:C,'교재재고'!B:B,$A15),0)</f>
        <v>7</v>
      </c>
      <c r="C15" s="77">
        <f>IFERROR(SUMIFS('교재재고'!D:D,'교재재고'!B:B,$A15),0)</f>
        <v>0</v>
      </c>
      <c r="D15" s="77">
        <f>IFERROR(SUMIFS('교재재고'!E:E,'교재재고'!B:B,$A15),0)</f>
        <v>0</v>
      </c>
      <c r="E15" s="78">
        <f>IFERROR(SUMIFS('교재재고'!F:F,'교재재고'!B:B,$A15),0)
+IFERROR(SUMIFS('교재재고'!I:I,'교재재고'!B:B,$A15),0)
+IFERROR(SUMIFS('교재재고'!L:L,'교재재고'!B:B,$A15),0)
+IFERROR(SUMIFS('교재재고'!O:O,'교재재고'!B:B,$A15),0)
+IFERROR(SUMIFS('교재재고'!R:R,'교재재고'!B:B,$A15),0)</f>
        <v>0</v>
      </c>
      <c r="F15" s="79">
        <f>IFERROR(SUMIFS('교재재고'!G:G,'교재재고'!B:B,$A15),0)
+IFERROR(SUMIFS('교재재고'!J:J,'교재재고'!B:B,$A15),0)
+IFERROR(SUMIFS('교재재고'!M:M,'교재재고'!B:B,$A15),0)
+IFERROR(SUMIFS('교재재고'!P:P,'교재재고'!B:B,$A15),0)
+IFERROR(SUMIFS('교재재고'!S:S,'교재재고'!B:B,$A15),0)</f>
        <v>0</v>
      </c>
      <c r="G15" s="79">
        <f>IFERROR(SUMIFS('교재재고'!H:H,'교재재고'!B:B,$A15),0)
+IFERROR(SUMIFS('교재재고'!K:K,'교재재고'!B:B,$A15),0)
+IFERROR(SUMIFS('교재재고'!N:N,'교재재고'!B:B,$A15),0)
+IFERROR(SUMIFS('교재재고'!Q:Q,'교재재고'!B:B,$A15),0)
+IFERROR(SUMIFS('교재재고'!T:T,'교재재고'!B:B,$A15),0)</f>
        <v>0</v>
      </c>
      <c r="H15" s="79">
        <f t="shared" si="2"/>
        <v>7</v>
      </c>
      <c r="I15" s="80">
        <f>IFERROR(SUMIFS('배부로그'!G:G,'배부로그'!D:D,$A15,'배부로그'!F:F,"창고"),0)</f>
        <v>5</v>
      </c>
      <c r="J15" s="59">
        <f>IFERROR(SUMIFS('배부로그'!G:G,'배부로그'!D:D,$A15,'배부로그'!F:F,"4층지원실"),0)</f>
        <v>0</v>
      </c>
      <c r="K15" s="59">
        <f>IFERROR(SUMIFS('배부로그'!G:G,'배부로그'!D:D,$A15,'배부로그'!F:F,"8층지원실"),0)</f>
        <v>0</v>
      </c>
      <c r="L15" s="81">
        <f t="shared" si="3"/>
        <v>5</v>
      </c>
      <c r="M15" s="59">
        <f>IFERROR(SUMIFS('회수로그'!H:H,'회수로그'!E:E,$A15,'회수로그'!G:G,"창고"),0)</f>
        <v>0</v>
      </c>
      <c r="N15" s="59">
        <f>IFERROR(SUMIFS('회수로그'!H:H,'회수로그'!E:E,$A15,'회수로그'!G:G,"4층지원실"),0)</f>
        <v>0</v>
      </c>
      <c r="O15" s="59">
        <f>IFERROR(SUMIFS('회수로그'!H:H,'회수로그'!E:E,$A15,'회수로그'!G:G,"8층지원실"),0)</f>
        <v>0</v>
      </c>
      <c r="P15" s="59">
        <f t="shared" si="4"/>
        <v>0</v>
      </c>
      <c r="Q15" s="59">
        <f>IFERROR(SUMIFS('재고이동로그'!F:F,'재고이동로그'!C:C,$A15,'재고이동로그'!D:D,"창고"),0)</f>
        <v>0</v>
      </c>
      <c r="R15" s="59">
        <f>IFERROR(SUMIFS('재고이동로그'!F:F,'재고이동로그'!C:C,$A15,'재고이동로그'!E:E,"4층지원실"),0)</f>
        <v>0</v>
      </c>
      <c r="S15" s="82">
        <f>IFERROR(SUMIFS('재고이동로그'!F:F,'재고이동로그'!C:C,$A15,'재고이동로그'!E:E,"8층지원실"),0)</f>
        <v>0</v>
      </c>
      <c r="T15" s="59">
        <f>IFERROR(SUMIFS('재고이동로그'!F:F,'재고이동로그'!C:C,$A15,'재고이동로그'!E:E,"창고"),0)</f>
        <v>0</v>
      </c>
      <c r="U15" s="59">
        <f>IFERROR(SUMIFS('재고이동로그'!F:F,'재고이동로그'!C:C,$A15,'재고이동로그'!E:E,"4층지원실"),0)</f>
        <v>0</v>
      </c>
      <c r="V15" s="59">
        <f>IFERROR(SUMIFS('재고이동로그'!F:F,'재고이동로그'!C:C,$A15,'재고이동로그'!E:E,"8층지원실"),0)</f>
        <v>0</v>
      </c>
      <c r="W15" s="83">
        <f t="shared" ref="W15:Y15" si="18">B15+E15-I15+M15-Q15+T15</f>
        <v>2</v>
      </c>
      <c r="X15" s="83">
        <f t="shared" si="18"/>
        <v>0</v>
      </c>
      <c r="Y15" s="83">
        <f t="shared" si="18"/>
        <v>0</v>
      </c>
      <c r="Z15" s="84">
        <f t="shared" si="6"/>
        <v>2</v>
      </c>
      <c r="AA15" s="59" t="str">
        <f t="shared" si="7"/>
        <v>부족</v>
      </c>
      <c r="AB15" s="59"/>
      <c r="AC15" s="59"/>
      <c r="AD15" s="59"/>
      <c r="AE15" s="59"/>
      <c r="AF15" s="59"/>
    </row>
    <row r="16">
      <c r="A16" s="59" t="str">
        <f>IFERROR(__xludf.DUMMYFUNCTION("""COMPUTED_VALUE"""),"(김학림전종현) 쎄타_미적E피드백")</f>
        <v>(김학림전종현) 쎄타_미적E피드백</v>
      </c>
      <c r="B16" s="77">
        <f>IFERROR(SUMIFS('교재재고'!C:C,'교재재고'!B:B,$A16),0)</f>
        <v>8</v>
      </c>
      <c r="C16" s="77">
        <f>IFERROR(SUMIFS('교재재고'!D:D,'교재재고'!B:B,$A16),0)</f>
        <v>0</v>
      </c>
      <c r="D16" s="77">
        <f>IFERROR(SUMIFS('교재재고'!E:E,'교재재고'!B:B,$A16),0)</f>
        <v>0</v>
      </c>
      <c r="E16" s="78">
        <f>IFERROR(SUMIFS('교재재고'!F:F,'교재재고'!B:B,$A16),0)
+IFERROR(SUMIFS('교재재고'!I:I,'교재재고'!B:B,$A16),0)
+IFERROR(SUMIFS('교재재고'!L:L,'교재재고'!B:B,$A16),0)
+IFERROR(SUMIFS('교재재고'!O:O,'교재재고'!B:B,$A16),0)
+IFERROR(SUMIFS('교재재고'!R:R,'교재재고'!B:B,$A16),0)</f>
        <v>0</v>
      </c>
      <c r="F16" s="79">
        <f>IFERROR(SUMIFS('교재재고'!G:G,'교재재고'!B:B,$A16),0)
+IFERROR(SUMIFS('교재재고'!J:J,'교재재고'!B:B,$A16),0)
+IFERROR(SUMIFS('교재재고'!M:M,'교재재고'!B:B,$A16),0)
+IFERROR(SUMIFS('교재재고'!P:P,'교재재고'!B:B,$A16),0)
+IFERROR(SUMIFS('교재재고'!S:S,'교재재고'!B:B,$A16),0)</f>
        <v>0</v>
      </c>
      <c r="G16" s="79">
        <f>IFERROR(SUMIFS('교재재고'!H:H,'교재재고'!B:B,$A16),0)
+IFERROR(SUMIFS('교재재고'!K:K,'교재재고'!B:B,$A16),0)
+IFERROR(SUMIFS('교재재고'!N:N,'교재재고'!B:B,$A16),0)
+IFERROR(SUMIFS('교재재고'!Q:Q,'교재재고'!B:B,$A16),0)
+IFERROR(SUMIFS('교재재고'!T:T,'교재재고'!B:B,$A16),0)</f>
        <v>0</v>
      </c>
      <c r="H16" s="79">
        <f t="shared" si="2"/>
        <v>8</v>
      </c>
      <c r="I16" s="80">
        <f>IFERROR(SUMIFS('배부로그'!G:G,'배부로그'!D:D,$A16,'배부로그'!F:F,"창고"),0)</f>
        <v>4</v>
      </c>
      <c r="J16" s="59">
        <f>IFERROR(SUMIFS('배부로그'!G:G,'배부로그'!D:D,$A16,'배부로그'!F:F,"4층지원실"),0)</f>
        <v>0</v>
      </c>
      <c r="K16" s="59">
        <f>IFERROR(SUMIFS('배부로그'!G:G,'배부로그'!D:D,$A16,'배부로그'!F:F,"8층지원실"),0)</f>
        <v>0</v>
      </c>
      <c r="L16" s="81">
        <f t="shared" si="3"/>
        <v>4</v>
      </c>
      <c r="M16" s="59">
        <f>IFERROR(SUMIFS('회수로그'!H:H,'회수로그'!E:E,$A16,'회수로그'!G:G,"창고"),0)</f>
        <v>0</v>
      </c>
      <c r="N16" s="59">
        <f>IFERROR(SUMIFS('회수로그'!H:H,'회수로그'!E:E,$A16,'회수로그'!G:G,"4층지원실"),0)</f>
        <v>0</v>
      </c>
      <c r="O16" s="59">
        <f>IFERROR(SUMIFS('회수로그'!H:H,'회수로그'!E:E,$A16,'회수로그'!G:G,"8층지원실"),0)</f>
        <v>0</v>
      </c>
      <c r="P16" s="59">
        <f t="shared" si="4"/>
        <v>0</v>
      </c>
      <c r="Q16" s="59">
        <f>IFERROR(SUMIFS('재고이동로그'!F:F,'재고이동로그'!C:C,$A16,'재고이동로그'!D:D,"창고"),0)</f>
        <v>0</v>
      </c>
      <c r="R16" s="59">
        <f>IFERROR(SUMIFS('재고이동로그'!F:F,'재고이동로그'!C:C,$A16,'재고이동로그'!E:E,"4층지원실"),0)</f>
        <v>0</v>
      </c>
      <c r="S16" s="82">
        <f>IFERROR(SUMIFS('재고이동로그'!F:F,'재고이동로그'!C:C,$A16,'재고이동로그'!E:E,"8층지원실"),0)</f>
        <v>0</v>
      </c>
      <c r="T16" s="59">
        <f>IFERROR(SUMIFS('재고이동로그'!F:F,'재고이동로그'!C:C,$A16,'재고이동로그'!E:E,"창고"),0)</f>
        <v>0</v>
      </c>
      <c r="U16" s="59">
        <f>IFERROR(SUMIFS('재고이동로그'!F:F,'재고이동로그'!C:C,$A16,'재고이동로그'!E:E,"4층지원실"),0)</f>
        <v>0</v>
      </c>
      <c r="V16" s="59">
        <f>IFERROR(SUMIFS('재고이동로그'!F:F,'재고이동로그'!C:C,$A16,'재고이동로그'!E:E,"8층지원실"),0)</f>
        <v>0</v>
      </c>
      <c r="W16" s="83">
        <f t="shared" ref="W16:Y16" si="19">B16+E16-I16+M16-Q16+T16</f>
        <v>4</v>
      </c>
      <c r="X16" s="83">
        <f t="shared" si="19"/>
        <v>0</v>
      </c>
      <c r="Y16" s="83">
        <f t="shared" si="19"/>
        <v>0</v>
      </c>
      <c r="Z16" s="84">
        <f t="shared" si="6"/>
        <v>4</v>
      </c>
      <c r="AA16" s="59" t="str">
        <f t="shared" si="7"/>
        <v>부족</v>
      </c>
      <c r="AB16" s="59"/>
      <c r="AC16" s="59"/>
      <c r="AD16" s="59"/>
      <c r="AE16" s="59"/>
      <c r="AF16" s="59"/>
    </row>
    <row r="17">
      <c r="A17" s="59" t="str">
        <f>IFERROR(__xludf.DUMMYFUNCTION("""COMPUTED_VALUE"""),"(김학림전종현) 쎄타_수2E수업")</f>
        <v>(김학림전종현) 쎄타_수2E수업</v>
      </c>
      <c r="B17" s="77">
        <f>IFERROR(SUMIFS('교재재고'!C:C,'교재재고'!B:B,$A17),0)</f>
        <v>9</v>
      </c>
      <c r="C17" s="77">
        <f>IFERROR(SUMIFS('교재재고'!D:D,'교재재고'!B:B,$A17),0)</f>
        <v>0</v>
      </c>
      <c r="D17" s="77">
        <f>IFERROR(SUMIFS('교재재고'!E:E,'교재재고'!B:B,$A17),0)</f>
        <v>0</v>
      </c>
      <c r="E17" s="78">
        <f>IFERROR(SUMIFS('교재재고'!F:F,'교재재고'!B:B,$A17),0)
+IFERROR(SUMIFS('교재재고'!I:I,'교재재고'!B:B,$A17),0)
+IFERROR(SUMIFS('교재재고'!L:L,'교재재고'!B:B,$A17),0)
+IFERROR(SUMIFS('교재재고'!O:O,'교재재고'!B:B,$A17),0)
+IFERROR(SUMIFS('교재재고'!R:R,'교재재고'!B:B,$A17),0)</f>
        <v>0</v>
      </c>
      <c r="F17" s="79">
        <f>IFERROR(SUMIFS('교재재고'!G:G,'교재재고'!B:B,$A17),0)
+IFERROR(SUMIFS('교재재고'!J:J,'교재재고'!B:B,$A17),0)
+IFERROR(SUMIFS('교재재고'!M:M,'교재재고'!B:B,$A17),0)
+IFERROR(SUMIFS('교재재고'!P:P,'교재재고'!B:B,$A17),0)
+IFERROR(SUMIFS('교재재고'!S:S,'교재재고'!B:B,$A17),0)</f>
        <v>0</v>
      </c>
      <c r="G17" s="79">
        <f>IFERROR(SUMIFS('교재재고'!H:H,'교재재고'!B:B,$A17),0)
+IFERROR(SUMIFS('교재재고'!K:K,'교재재고'!B:B,$A17),0)
+IFERROR(SUMIFS('교재재고'!N:N,'교재재고'!B:B,$A17),0)
+IFERROR(SUMIFS('교재재고'!Q:Q,'교재재고'!B:B,$A17),0)
+IFERROR(SUMIFS('교재재고'!T:T,'교재재고'!B:B,$A17),0)</f>
        <v>0</v>
      </c>
      <c r="H17" s="79">
        <f t="shared" si="2"/>
        <v>9</v>
      </c>
      <c r="I17" s="80">
        <f>IFERROR(SUMIFS('배부로그'!G:G,'배부로그'!D:D,$A17,'배부로그'!F:F,"창고"),0)</f>
        <v>4</v>
      </c>
      <c r="J17" s="59">
        <f>IFERROR(SUMIFS('배부로그'!G:G,'배부로그'!D:D,$A17,'배부로그'!F:F,"4층지원실"),0)</f>
        <v>0</v>
      </c>
      <c r="K17" s="59">
        <f>IFERROR(SUMIFS('배부로그'!G:G,'배부로그'!D:D,$A17,'배부로그'!F:F,"8층지원실"),0)</f>
        <v>0</v>
      </c>
      <c r="L17" s="81">
        <f t="shared" si="3"/>
        <v>4</v>
      </c>
      <c r="M17" s="59">
        <f>IFERROR(SUMIFS('회수로그'!H:H,'회수로그'!E:E,$A17,'회수로그'!G:G,"창고"),0)</f>
        <v>0</v>
      </c>
      <c r="N17" s="59">
        <f>IFERROR(SUMIFS('회수로그'!H:H,'회수로그'!E:E,$A17,'회수로그'!G:G,"4층지원실"),0)</f>
        <v>0</v>
      </c>
      <c r="O17" s="59">
        <f>IFERROR(SUMIFS('회수로그'!H:H,'회수로그'!E:E,$A17,'회수로그'!G:G,"8층지원실"),0)</f>
        <v>0</v>
      </c>
      <c r="P17" s="59">
        <f t="shared" si="4"/>
        <v>0</v>
      </c>
      <c r="Q17" s="59">
        <f>IFERROR(SUMIFS('재고이동로그'!F:F,'재고이동로그'!C:C,$A17,'재고이동로그'!D:D,"창고"),0)</f>
        <v>0</v>
      </c>
      <c r="R17" s="59">
        <f>IFERROR(SUMIFS('재고이동로그'!F:F,'재고이동로그'!C:C,$A17,'재고이동로그'!E:E,"4층지원실"),0)</f>
        <v>0</v>
      </c>
      <c r="S17" s="82">
        <f>IFERROR(SUMIFS('재고이동로그'!F:F,'재고이동로그'!C:C,$A17,'재고이동로그'!E:E,"8층지원실"),0)</f>
        <v>0</v>
      </c>
      <c r="T17" s="59">
        <f>IFERROR(SUMIFS('재고이동로그'!F:F,'재고이동로그'!C:C,$A17,'재고이동로그'!E:E,"창고"),0)</f>
        <v>0</v>
      </c>
      <c r="U17" s="59">
        <f>IFERROR(SUMIFS('재고이동로그'!F:F,'재고이동로그'!C:C,$A17,'재고이동로그'!E:E,"4층지원실"),0)</f>
        <v>0</v>
      </c>
      <c r="V17" s="59">
        <f>IFERROR(SUMIFS('재고이동로그'!F:F,'재고이동로그'!C:C,$A17,'재고이동로그'!E:E,"8층지원실"),0)</f>
        <v>0</v>
      </c>
      <c r="W17" s="83">
        <f t="shared" ref="W17:Y17" si="20">B17+E17-I17+M17-Q17+T17</f>
        <v>5</v>
      </c>
      <c r="X17" s="83">
        <f t="shared" si="20"/>
        <v>0</v>
      </c>
      <c r="Y17" s="83">
        <f t="shared" si="20"/>
        <v>0</v>
      </c>
      <c r="Z17" s="84">
        <f t="shared" si="6"/>
        <v>5</v>
      </c>
      <c r="AA17" s="59" t="str">
        <f t="shared" si="7"/>
        <v>부족</v>
      </c>
      <c r="AB17" s="59"/>
      <c r="AC17" s="59"/>
      <c r="AD17" s="59"/>
      <c r="AE17" s="59"/>
      <c r="AF17" s="59"/>
    </row>
    <row r="18">
      <c r="A18" s="59" t="str">
        <f>IFERROR(__xludf.DUMMYFUNCTION("""COMPUTED_VALUE"""),"(김학림전종현) 쎄타_수2E피드백")</f>
        <v>(김학림전종현) 쎄타_수2E피드백</v>
      </c>
      <c r="B18" s="77">
        <f>IFERROR(SUMIFS('교재재고'!C:C,'교재재고'!B:B,$A18),0)</f>
        <v>9</v>
      </c>
      <c r="C18" s="77">
        <f>IFERROR(SUMIFS('교재재고'!D:D,'교재재고'!B:B,$A18),0)</f>
        <v>0</v>
      </c>
      <c r="D18" s="77">
        <f>IFERROR(SUMIFS('교재재고'!E:E,'교재재고'!B:B,$A18),0)</f>
        <v>0</v>
      </c>
      <c r="E18" s="78">
        <f>IFERROR(SUMIFS('교재재고'!F:F,'교재재고'!B:B,$A18),0)
+IFERROR(SUMIFS('교재재고'!I:I,'교재재고'!B:B,$A18),0)
+IFERROR(SUMIFS('교재재고'!L:L,'교재재고'!B:B,$A18),0)
+IFERROR(SUMIFS('교재재고'!O:O,'교재재고'!B:B,$A18),0)
+IFERROR(SUMIFS('교재재고'!R:R,'교재재고'!B:B,$A18),0)</f>
        <v>0</v>
      </c>
      <c r="F18" s="79">
        <f>IFERROR(SUMIFS('교재재고'!G:G,'교재재고'!B:B,$A18),0)
+IFERROR(SUMIFS('교재재고'!J:J,'교재재고'!B:B,$A18),0)
+IFERROR(SUMIFS('교재재고'!M:M,'교재재고'!B:B,$A18),0)
+IFERROR(SUMIFS('교재재고'!P:P,'교재재고'!B:B,$A18),0)
+IFERROR(SUMIFS('교재재고'!S:S,'교재재고'!B:B,$A18),0)</f>
        <v>0</v>
      </c>
      <c r="G18" s="79">
        <f>IFERROR(SUMIFS('교재재고'!H:H,'교재재고'!B:B,$A18),0)
+IFERROR(SUMIFS('교재재고'!K:K,'교재재고'!B:B,$A18),0)
+IFERROR(SUMIFS('교재재고'!N:N,'교재재고'!B:B,$A18),0)
+IFERROR(SUMIFS('교재재고'!Q:Q,'교재재고'!B:B,$A18),0)
+IFERROR(SUMIFS('교재재고'!T:T,'교재재고'!B:B,$A18),0)</f>
        <v>0</v>
      </c>
      <c r="H18" s="79">
        <f t="shared" si="2"/>
        <v>9</v>
      </c>
      <c r="I18" s="80">
        <f>IFERROR(SUMIFS('배부로그'!G:G,'배부로그'!D:D,$A18,'배부로그'!F:F,"창고"),0)</f>
        <v>4</v>
      </c>
      <c r="J18" s="59">
        <f>IFERROR(SUMIFS('배부로그'!G:G,'배부로그'!D:D,$A18,'배부로그'!F:F,"4층지원실"),0)</f>
        <v>0</v>
      </c>
      <c r="K18" s="59">
        <f>IFERROR(SUMIFS('배부로그'!G:G,'배부로그'!D:D,$A18,'배부로그'!F:F,"8층지원실"),0)</f>
        <v>0</v>
      </c>
      <c r="L18" s="81">
        <f t="shared" si="3"/>
        <v>4</v>
      </c>
      <c r="M18" s="59">
        <f>IFERROR(SUMIFS('회수로그'!H:H,'회수로그'!E:E,$A18,'회수로그'!G:G,"창고"),0)</f>
        <v>0</v>
      </c>
      <c r="N18" s="59">
        <f>IFERROR(SUMIFS('회수로그'!H:H,'회수로그'!E:E,$A18,'회수로그'!G:G,"4층지원실"),0)</f>
        <v>0</v>
      </c>
      <c r="O18" s="59">
        <f>IFERROR(SUMIFS('회수로그'!H:H,'회수로그'!E:E,$A18,'회수로그'!G:G,"8층지원실"),0)</f>
        <v>0</v>
      </c>
      <c r="P18" s="59">
        <f t="shared" si="4"/>
        <v>0</v>
      </c>
      <c r="Q18" s="59">
        <f>IFERROR(SUMIFS('재고이동로그'!F:F,'재고이동로그'!C:C,$A18,'재고이동로그'!D:D,"창고"),0)</f>
        <v>0</v>
      </c>
      <c r="R18" s="59">
        <f>IFERROR(SUMIFS('재고이동로그'!F:F,'재고이동로그'!C:C,$A18,'재고이동로그'!E:E,"4층지원실"),0)</f>
        <v>0</v>
      </c>
      <c r="S18" s="82">
        <f>IFERROR(SUMIFS('재고이동로그'!F:F,'재고이동로그'!C:C,$A18,'재고이동로그'!E:E,"8층지원실"),0)</f>
        <v>0</v>
      </c>
      <c r="T18" s="59">
        <f>IFERROR(SUMIFS('재고이동로그'!F:F,'재고이동로그'!C:C,$A18,'재고이동로그'!E:E,"창고"),0)</f>
        <v>0</v>
      </c>
      <c r="U18" s="59">
        <f>IFERROR(SUMIFS('재고이동로그'!F:F,'재고이동로그'!C:C,$A18,'재고이동로그'!E:E,"4층지원실"),0)</f>
        <v>0</v>
      </c>
      <c r="V18" s="59">
        <f>IFERROR(SUMIFS('재고이동로그'!F:F,'재고이동로그'!C:C,$A18,'재고이동로그'!E:E,"8층지원실"),0)</f>
        <v>0</v>
      </c>
      <c r="W18" s="83">
        <f t="shared" ref="W18:Y18" si="21">B18+E18-I18+M18-Q18+T18</f>
        <v>5</v>
      </c>
      <c r="X18" s="83">
        <f t="shared" si="21"/>
        <v>0</v>
      </c>
      <c r="Y18" s="83">
        <f t="shared" si="21"/>
        <v>0</v>
      </c>
      <c r="Z18" s="84">
        <f t="shared" si="6"/>
        <v>5</v>
      </c>
      <c r="AA18" s="59" t="str">
        <f t="shared" si="7"/>
        <v>부족</v>
      </c>
      <c r="AB18" s="59"/>
      <c r="AC18" s="59"/>
      <c r="AD18" s="59"/>
      <c r="AE18" s="59"/>
      <c r="AF18" s="59"/>
    </row>
    <row r="19">
      <c r="A19" s="59" t="str">
        <f>IFERROR(__xludf.DUMMYFUNCTION("""COMPUTED_VALUE"""),"(김학림전종현) 쎄타_수2M수업")</f>
        <v>(김학림전종현) 쎄타_수2M수업</v>
      </c>
      <c r="B19" s="77">
        <f>IFERROR(SUMIFS('교재재고'!C:C,'교재재고'!B:B,$A19),0)</f>
        <v>11</v>
      </c>
      <c r="C19" s="77">
        <f>IFERROR(SUMIFS('교재재고'!D:D,'교재재고'!B:B,$A19),0)</f>
        <v>0</v>
      </c>
      <c r="D19" s="77">
        <f>IFERROR(SUMIFS('교재재고'!E:E,'교재재고'!B:B,$A19),0)</f>
        <v>0</v>
      </c>
      <c r="E19" s="78">
        <f>IFERROR(SUMIFS('교재재고'!F:F,'교재재고'!B:B,$A19),0)
+IFERROR(SUMIFS('교재재고'!I:I,'교재재고'!B:B,$A19),0)
+IFERROR(SUMIFS('교재재고'!L:L,'교재재고'!B:B,$A19),0)
+IFERROR(SUMIFS('교재재고'!O:O,'교재재고'!B:B,$A19),0)
+IFERROR(SUMIFS('교재재고'!R:R,'교재재고'!B:B,$A19),0)</f>
        <v>8</v>
      </c>
      <c r="F19" s="79">
        <f>IFERROR(SUMIFS('교재재고'!G:G,'교재재고'!B:B,$A19),0)
+IFERROR(SUMIFS('교재재고'!J:J,'교재재고'!B:B,$A19),0)
+IFERROR(SUMIFS('교재재고'!M:M,'교재재고'!B:B,$A19),0)
+IFERROR(SUMIFS('교재재고'!P:P,'교재재고'!B:B,$A19),0)
+IFERROR(SUMIFS('교재재고'!S:S,'교재재고'!B:B,$A19),0)</f>
        <v>0</v>
      </c>
      <c r="G19" s="79">
        <f>IFERROR(SUMIFS('교재재고'!H:H,'교재재고'!B:B,$A19),0)
+IFERROR(SUMIFS('교재재고'!K:K,'교재재고'!B:B,$A19),0)
+IFERROR(SUMIFS('교재재고'!N:N,'교재재고'!B:B,$A19),0)
+IFERROR(SUMIFS('교재재고'!Q:Q,'교재재고'!B:B,$A19),0)
+IFERROR(SUMIFS('교재재고'!T:T,'교재재고'!B:B,$A19),0)</f>
        <v>0</v>
      </c>
      <c r="H19" s="79">
        <f t="shared" si="2"/>
        <v>19</v>
      </c>
      <c r="I19" s="80">
        <f>IFERROR(SUMIFS('배부로그'!G:G,'배부로그'!D:D,$A19,'배부로그'!F:F,"창고"),0)</f>
        <v>8</v>
      </c>
      <c r="J19" s="59">
        <f>IFERROR(SUMIFS('배부로그'!G:G,'배부로그'!D:D,$A19,'배부로그'!F:F,"4층지원실"),0)</f>
        <v>0</v>
      </c>
      <c r="K19" s="59">
        <f>IFERROR(SUMIFS('배부로그'!G:G,'배부로그'!D:D,$A19,'배부로그'!F:F,"8층지원실"),0)</f>
        <v>0</v>
      </c>
      <c r="L19" s="81">
        <f t="shared" si="3"/>
        <v>8</v>
      </c>
      <c r="M19" s="59">
        <f>IFERROR(SUMIFS('회수로그'!H:H,'회수로그'!E:E,$A19,'회수로그'!G:G,"창고"),0)</f>
        <v>0</v>
      </c>
      <c r="N19" s="59">
        <f>IFERROR(SUMIFS('회수로그'!H:H,'회수로그'!E:E,$A19,'회수로그'!G:G,"4층지원실"),0)</f>
        <v>0</v>
      </c>
      <c r="O19" s="59">
        <f>IFERROR(SUMIFS('회수로그'!H:H,'회수로그'!E:E,$A19,'회수로그'!G:G,"8층지원실"),0)</f>
        <v>0</v>
      </c>
      <c r="P19" s="59">
        <f t="shared" si="4"/>
        <v>0</v>
      </c>
      <c r="Q19" s="59">
        <f>IFERROR(SUMIFS('재고이동로그'!F:F,'재고이동로그'!C:C,$A19,'재고이동로그'!D:D,"창고"),0)</f>
        <v>0</v>
      </c>
      <c r="R19" s="59">
        <f>IFERROR(SUMIFS('재고이동로그'!F:F,'재고이동로그'!C:C,$A19,'재고이동로그'!E:E,"4층지원실"),0)</f>
        <v>0</v>
      </c>
      <c r="S19" s="82">
        <f>IFERROR(SUMIFS('재고이동로그'!F:F,'재고이동로그'!C:C,$A19,'재고이동로그'!E:E,"8층지원실"),0)</f>
        <v>0</v>
      </c>
      <c r="T19" s="59">
        <f>IFERROR(SUMIFS('재고이동로그'!F:F,'재고이동로그'!C:C,$A19,'재고이동로그'!E:E,"창고"),0)</f>
        <v>0</v>
      </c>
      <c r="U19" s="59">
        <f>IFERROR(SUMIFS('재고이동로그'!F:F,'재고이동로그'!C:C,$A19,'재고이동로그'!E:E,"4층지원실"),0)</f>
        <v>0</v>
      </c>
      <c r="V19" s="59">
        <f>IFERROR(SUMIFS('재고이동로그'!F:F,'재고이동로그'!C:C,$A19,'재고이동로그'!E:E,"8층지원실"),0)</f>
        <v>0</v>
      </c>
      <c r="W19" s="83">
        <f t="shared" ref="W19:Y19" si="22">B19+E19-I19+M19-Q19+T19</f>
        <v>11</v>
      </c>
      <c r="X19" s="83">
        <f t="shared" si="22"/>
        <v>0</v>
      </c>
      <c r="Y19" s="83">
        <f t="shared" si="22"/>
        <v>0</v>
      </c>
      <c r="Z19" s="84">
        <f t="shared" si="6"/>
        <v>11</v>
      </c>
      <c r="AA19" s="59" t="str">
        <f t="shared" si="7"/>
        <v>부족</v>
      </c>
      <c r="AB19" s="59"/>
      <c r="AC19" s="59"/>
      <c r="AD19" s="59"/>
      <c r="AE19" s="59"/>
      <c r="AF19" s="59"/>
    </row>
    <row r="20" ht="15.75" customHeight="1">
      <c r="A20" s="59" t="str">
        <f>IFERROR(__xludf.DUMMYFUNCTION("""COMPUTED_VALUE"""),"(김학림전종현) 쎄타_수2M피드백")</f>
        <v>(김학림전종현) 쎄타_수2M피드백</v>
      </c>
      <c r="B20" s="77">
        <f>IFERROR(SUMIFS('교재재고'!C:C,'교재재고'!B:B,$A20),0)</f>
        <v>9</v>
      </c>
      <c r="C20" s="77">
        <f>IFERROR(SUMIFS('교재재고'!D:D,'교재재고'!B:B,$A20),0)</f>
        <v>0</v>
      </c>
      <c r="D20" s="77">
        <f>IFERROR(SUMIFS('교재재고'!E:E,'교재재고'!B:B,$A20),0)</f>
        <v>0</v>
      </c>
      <c r="E20" s="78">
        <f>IFERROR(SUMIFS('교재재고'!F:F,'교재재고'!B:B,$A20),0)
+IFERROR(SUMIFS('교재재고'!I:I,'교재재고'!B:B,$A20),0)
+IFERROR(SUMIFS('교재재고'!L:L,'교재재고'!B:B,$A20),0)
+IFERROR(SUMIFS('교재재고'!O:O,'교재재고'!B:B,$A20),0)
+IFERROR(SUMIFS('교재재고'!R:R,'교재재고'!B:B,$A20),0)</f>
        <v>10</v>
      </c>
      <c r="F20" s="79">
        <f>IFERROR(SUMIFS('교재재고'!G:G,'교재재고'!B:B,$A20),0)
+IFERROR(SUMIFS('교재재고'!J:J,'교재재고'!B:B,$A20),0)
+IFERROR(SUMIFS('교재재고'!M:M,'교재재고'!B:B,$A20),0)
+IFERROR(SUMIFS('교재재고'!P:P,'교재재고'!B:B,$A20),0)
+IFERROR(SUMIFS('교재재고'!S:S,'교재재고'!B:B,$A20),0)</f>
        <v>0</v>
      </c>
      <c r="G20" s="79">
        <f>IFERROR(SUMIFS('교재재고'!H:H,'교재재고'!B:B,$A20),0)
+IFERROR(SUMIFS('교재재고'!K:K,'교재재고'!B:B,$A20),0)
+IFERROR(SUMIFS('교재재고'!N:N,'교재재고'!B:B,$A20),0)
+IFERROR(SUMIFS('교재재고'!Q:Q,'교재재고'!B:B,$A20),0)
+IFERROR(SUMIFS('교재재고'!T:T,'교재재고'!B:B,$A20),0)</f>
        <v>0</v>
      </c>
      <c r="H20" s="79">
        <f t="shared" si="2"/>
        <v>19</v>
      </c>
      <c r="I20" s="80">
        <f>IFERROR(SUMIFS('배부로그'!G:G,'배부로그'!D:D,$A20,'배부로그'!F:F,"창고"),0)</f>
        <v>8</v>
      </c>
      <c r="J20" s="59">
        <f>IFERROR(SUMIFS('배부로그'!G:G,'배부로그'!D:D,$A20,'배부로그'!F:F,"4층지원실"),0)</f>
        <v>0</v>
      </c>
      <c r="K20" s="59">
        <f>IFERROR(SUMIFS('배부로그'!G:G,'배부로그'!D:D,$A20,'배부로그'!F:F,"8층지원실"),0)</f>
        <v>0</v>
      </c>
      <c r="L20" s="81">
        <f t="shared" si="3"/>
        <v>8</v>
      </c>
      <c r="M20" s="59">
        <f>IFERROR(SUMIFS('회수로그'!H:H,'회수로그'!E:E,$A20,'회수로그'!G:G,"창고"),0)</f>
        <v>0</v>
      </c>
      <c r="N20" s="59">
        <f>IFERROR(SUMIFS('회수로그'!H:H,'회수로그'!E:E,$A20,'회수로그'!G:G,"4층지원실"),0)</f>
        <v>0</v>
      </c>
      <c r="O20" s="59">
        <f>IFERROR(SUMIFS('회수로그'!H:H,'회수로그'!E:E,$A20,'회수로그'!G:G,"8층지원실"),0)</f>
        <v>0</v>
      </c>
      <c r="P20" s="59">
        <f t="shared" si="4"/>
        <v>0</v>
      </c>
      <c r="Q20" s="59">
        <f>IFERROR(SUMIFS('재고이동로그'!F:F,'재고이동로그'!C:C,$A20,'재고이동로그'!D:D,"창고"),0)</f>
        <v>0</v>
      </c>
      <c r="R20" s="59">
        <f>IFERROR(SUMIFS('재고이동로그'!F:F,'재고이동로그'!C:C,$A20,'재고이동로그'!E:E,"4층지원실"),0)</f>
        <v>0</v>
      </c>
      <c r="S20" s="82">
        <f>IFERROR(SUMIFS('재고이동로그'!F:F,'재고이동로그'!C:C,$A20,'재고이동로그'!E:E,"8층지원실"),0)</f>
        <v>0</v>
      </c>
      <c r="T20" s="59">
        <f>IFERROR(SUMIFS('재고이동로그'!F:F,'재고이동로그'!C:C,$A20,'재고이동로그'!E:E,"창고"),0)</f>
        <v>0</v>
      </c>
      <c r="U20" s="59">
        <f>IFERROR(SUMIFS('재고이동로그'!F:F,'재고이동로그'!C:C,$A20,'재고이동로그'!E:E,"4층지원실"),0)</f>
        <v>0</v>
      </c>
      <c r="V20" s="59">
        <f>IFERROR(SUMIFS('재고이동로그'!F:F,'재고이동로그'!C:C,$A20,'재고이동로그'!E:E,"8층지원실"),0)</f>
        <v>0</v>
      </c>
      <c r="W20" s="83">
        <f t="shared" ref="W20:Y20" si="23">B20+E20-I20+M20-Q20+T20</f>
        <v>11</v>
      </c>
      <c r="X20" s="83">
        <f t="shared" si="23"/>
        <v>0</v>
      </c>
      <c r="Y20" s="83">
        <f t="shared" si="23"/>
        <v>0</v>
      </c>
      <c r="Z20" s="84">
        <f t="shared" si="6"/>
        <v>11</v>
      </c>
      <c r="AA20" s="59" t="str">
        <f t="shared" si="7"/>
        <v>부족</v>
      </c>
      <c r="AB20" s="59"/>
      <c r="AC20" s="59"/>
      <c r="AD20" s="59"/>
      <c r="AE20" s="59"/>
      <c r="AF20" s="59"/>
    </row>
    <row r="21" ht="15.75" customHeight="1">
      <c r="A21" s="59" t="str">
        <f>IFERROR(__xludf.DUMMYFUNCTION("""COMPUTED_VALUE"""),"(김학림전종현) 쎄타_확통M수업")</f>
        <v>(김학림전종현) 쎄타_확통M수업</v>
      </c>
      <c r="B21" s="77">
        <f>IFERROR(SUMIFS('교재재고'!C:C,'교재재고'!B:B,$A21),0)</f>
        <v>10</v>
      </c>
      <c r="C21" s="77">
        <f>IFERROR(SUMIFS('교재재고'!D:D,'교재재고'!B:B,$A21),0)</f>
        <v>0</v>
      </c>
      <c r="D21" s="77">
        <f>IFERROR(SUMIFS('교재재고'!E:E,'교재재고'!B:B,$A21),0)</f>
        <v>0</v>
      </c>
      <c r="E21" s="78">
        <f>IFERROR(SUMIFS('교재재고'!F:F,'교재재고'!B:B,$A21),0)
+IFERROR(SUMIFS('교재재고'!I:I,'교재재고'!B:B,$A21),0)
+IFERROR(SUMIFS('교재재고'!L:L,'교재재고'!B:B,$A21),0)
+IFERROR(SUMIFS('교재재고'!O:O,'교재재고'!B:B,$A21),0)
+IFERROR(SUMIFS('교재재고'!R:R,'교재재고'!B:B,$A21),0)</f>
        <v>8</v>
      </c>
      <c r="F21" s="79">
        <f>IFERROR(SUMIFS('교재재고'!G:G,'교재재고'!B:B,$A21),0)
+IFERROR(SUMIFS('교재재고'!J:J,'교재재고'!B:B,$A21),0)
+IFERROR(SUMIFS('교재재고'!M:M,'교재재고'!B:B,$A21),0)
+IFERROR(SUMIFS('교재재고'!P:P,'교재재고'!B:B,$A21),0)
+IFERROR(SUMIFS('교재재고'!S:S,'교재재고'!B:B,$A21),0)</f>
        <v>0</v>
      </c>
      <c r="G21" s="79">
        <f>IFERROR(SUMIFS('교재재고'!H:H,'교재재고'!B:B,$A21),0)
+IFERROR(SUMIFS('교재재고'!K:K,'교재재고'!B:B,$A21),0)
+IFERROR(SUMIFS('교재재고'!N:N,'교재재고'!B:B,$A21),0)
+IFERROR(SUMIFS('교재재고'!Q:Q,'교재재고'!B:B,$A21),0)
+IFERROR(SUMIFS('교재재고'!T:T,'교재재고'!B:B,$A21),0)</f>
        <v>0</v>
      </c>
      <c r="H21" s="79">
        <f t="shared" si="2"/>
        <v>18</v>
      </c>
      <c r="I21" s="80">
        <f>IFERROR(SUMIFS('배부로그'!G:G,'배부로그'!D:D,$A21,'배부로그'!F:F,"창고"),0)</f>
        <v>8</v>
      </c>
      <c r="J21" s="59">
        <f>IFERROR(SUMIFS('배부로그'!G:G,'배부로그'!D:D,$A21,'배부로그'!F:F,"4층지원실"),0)</f>
        <v>0</v>
      </c>
      <c r="K21" s="59">
        <f>IFERROR(SUMIFS('배부로그'!G:G,'배부로그'!D:D,$A21,'배부로그'!F:F,"8층지원실"),0)</f>
        <v>0</v>
      </c>
      <c r="L21" s="81">
        <f t="shared" si="3"/>
        <v>8</v>
      </c>
      <c r="M21" s="59">
        <f>IFERROR(SUMIFS('회수로그'!H:H,'회수로그'!E:E,$A21,'회수로그'!G:G,"창고"),0)</f>
        <v>0</v>
      </c>
      <c r="N21" s="59">
        <f>IFERROR(SUMIFS('회수로그'!H:H,'회수로그'!E:E,$A21,'회수로그'!G:G,"4층지원실"),0)</f>
        <v>0</v>
      </c>
      <c r="O21" s="59">
        <f>IFERROR(SUMIFS('회수로그'!H:H,'회수로그'!E:E,$A21,'회수로그'!G:G,"8층지원실"),0)</f>
        <v>0</v>
      </c>
      <c r="P21" s="59">
        <f t="shared" si="4"/>
        <v>0</v>
      </c>
      <c r="Q21" s="59">
        <f>IFERROR(SUMIFS('재고이동로그'!F:F,'재고이동로그'!C:C,$A21,'재고이동로그'!D:D,"창고"),0)</f>
        <v>0</v>
      </c>
      <c r="R21" s="59">
        <f>IFERROR(SUMIFS('재고이동로그'!F:F,'재고이동로그'!C:C,$A21,'재고이동로그'!E:E,"4층지원실"),0)</f>
        <v>0</v>
      </c>
      <c r="S21" s="82">
        <f>IFERROR(SUMIFS('재고이동로그'!F:F,'재고이동로그'!C:C,$A21,'재고이동로그'!E:E,"8층지원실"),0)</f>
        <v>0</v>
      </c>
      <c r="T21" s="59">
        <f>IFERROR(SUMIFS('재고이동로그'!F:F,'재고이동로그'!C:C,$A21,'재고이동로그'!E:E,"창고"),0)</f>
        <v>0</v>
      </c>
      <c r="U21" s="59">
        <f>IFERROR(SUMIFS('재고이동로그'!F:F,'재고이동로그'!C:C,$A21,'재고이동로그'!E:E,"4층지원실"),0)</f>
        <v>0</v>
      </c>
      <c r="V21" s="59">
        <f>IFERROR(SUMIFS('재고이동로그'!F:F,'재고이동로그'!C:C,$A21,'재고이동로그'!E:E,"8층지원실"),0)</f>
        <v>0</v>
      </c>
      <c r="W21" s="83">
        <f t="shared" ref="W21:Y21" si="24">B21+E21-I21+M21-Q21+T21</f>
        <v>10</v>
      </c>
      <c r="X21" s="83">
        <f t="shared" si="24"/>
        <v>0</v>
      </c>
      <c r="Y21" s="83">
        <f t="shared" si="24"/>
        <v>0</v>
      </c>
      <c r="Z21" s="84">
        <f t="shared" si="6"/>
        <v>10</v>
      </c>
      <c r="AA21" s="59" t="str">
        <f t="shared" si="7"/>
        <v>부족</v>
      </c>
      <c r="AB21" s="59"/>
      <c r="AC21" s="59"/>
      <c r="AD21" s="59"/>
      <c r="AE21" s="59"/>
      <c r="AF21" s="59"/>
    </row>
    <row r="22" ht="15.75" customHeight="1">
      <c r="A22" s="59" t="str">
        <f>IFERROR(__xludf.DUMMYFUNCTION("""COMPUTED_VALUE"""),"(김학림전종현) 쎄타_확통M피드백")</f>
        <v>(김학림전종현) 쎄타_확통M피드백</v>
      </c>
      <c r="B22" s="77">
        <f>IFERROR(SUMIFS('교재재고'!C:C,'교재재고'!B:B,$A22),0)</f>
        <v>9</v>
      </c>
      <c r="C22" s="77">
        <f>IFERROR(SUMIFS('교재재고'!D:D,'교재재고'!B:B,$A22),0)</f>
        <v>0</v>
      </c>
      <c r="D22" s="77">
        <f>IFERROR(SUMIFS('교재재고'!E:E,'교재재고'!B:B,$A22),0)</f>
        <v>0</v>
      </c>
      <c r="E22" s="78">
        <f>IFERROR(SUMIFS('교재재고'!F:F,'교재재고'!B:B,$A22),0)
+IFERROR(SUMIFS('교재재고'!I:I,'교재재고'!B:B,$A22),0)
+IFERROR(SUMIFS('교재재고'!L:L,'교재재고'!B:B,$A22),0)
+IFERROR(SUMIFS('교재재고'!O:O,'교재재고'!B:B,$A22),0)
+IFERROR(SUMIFS('교재재고'!R:R,'교재재고'!B:B,$A22),0)</f>
        <v>10</v>
      </c>
      <c r="F22" s="79">
        <f>IFERROR(SUMIFS('교재재고'!G:G,'교재재고'!B:B,$A22),0)
+IFERROR(SUMIFS('교재재고'!J:J,'교재재고'!B:B,$A22),0)
+IFERROR(SUMIFS('교재재고'!M:M,'교재재고'!B:B,$A22),0)
+IFERROR(SUMIFS('교재재고'!P:P,'교재재고'!B:B,$A22),0)
+IFERROR(SUMIFS('교재재고'!S:S,'교재재고'!B:B,$A22),0)</f>
        <v>0</v>
      </c>
      <c r="G22" s="79">
        <f>IFERROR(SUMIFS('교재재고'!H:H,'교재재고'!B:B,$A22),0)
+IFERROR(SUMIFS('교재재고'!K:K,'교재재고'!B:B,$A22),0)
+IFERROR(SUMIFS('교재재고'!N:N,'교재재고'!B:B,$A22),0)
+IFERROR(SUMIFS('교재재고'!Q:Q,'교재재고'!B:B,$A22),0)
+IFERROR(SUMIFS('교재재고'!T:T,'교재재고'!B:B,$A22),0)</f>
        <v>0</v>
      </c>
      <c r="H22" s="79">
        <f t="shared" si="2"/>
        <v>19</v>
      </c>
      <c r="I22" s="80">
        <f>IFERROR(SUMIFS('배부로그'!G:G,'배부로그'!D:D,$A22,'배부로그'!F:F,"창고"),0)</f>
        <v>8</v>
      </c>
      <c r="J22" s="59">
        <f>IFERROR(SUMIFS('배부로그'!G:G,'배부로그'!D:D,$A22,'배부로그'!F:F,"4층지원실"),0)</f>
        <v>0</v>
      </c>
      <c r="K22" s="59">
        <f>IFERROR(SUMIFS('배부로그'!G:G,'배부로그'!D:D,$A22,'배부로그'!F:F,"8층지원실"),0)</f>
        <v>0</v>
      </c>
      <c r="L22" s="81">
        <f t="shared" si="3"/>
        <v>8</v>
      </c>
      <c r="M22" s="59">
        <f>IFERROR(SUMIFS('회수로그'!H:H,'회수로그'!E:E,$A22,'회수로그'!G:G,"창고"),0)</f>
        <v>0</v>
      </c>
      <c r="N22" s="59">
        <f>IFERROR(SUMIFS('회수로그'!H:H,'회수로그'!E:E,$A22,'회수로그'!G:G,"4층지원실"),0)</f>
        <v>0</v>
      </c>
      <c r="O22" s="59">
        <f>IFERROR(SUMIFS('회수로그'!H:H,'회수로그'!E:E,$A22,'회수로그'!G:G,"8층지원실"),0)</f>
        <v>0</v>
      </c>
      <c r="P22" s="59">
        <f t="shared" si="4"/>
        <v>0</v>
      </c>
      <c r="Q22" s="59">
        <f>IFERROR(SUMIFS('재고이동로그'!F:F,'재고이동로그'!C:C,$A22,'재고이동로그'!D:D,"창고"),0)</f>
        <v>0</v>
      </c>
      <c r="R22" s="59">
        <f>IFERROR(SUMIFS('재고이동로그'!F:F,'재고이동로그'!C:C,$A22,'재고이동로그'!E:E,"4층지원실"),0)</f>
        <v>0</v>
      </c>
      <c r="S22" s="82">
        <f>IFERROR(SUMIFS('재고이동로그'!F:F,'재고이동로그'!C:C,$A22,'재고이동로그'!E:E,"8층지원실"),0)</f>
        <v>0</v>
      </c>
      <c r="T22" s="59">
        <f>IFERROR(SUMIFS('재고이동로그'!F:F,'재고이동로그'!C:C,$A22,'재고이동로그'!E:E,"창고"),0)</f>
        <v>0</v>
      </c>
      <c r="U22" s="59">
        <f>IFERROR(SUMIFS('재고이동로그'!F:F,'재고이동로그'!C:C,$A22,'재고이동로그'!E:E,"4층지원실"),0)</f>
        <v>0</v>
      </c>
      <c r="V22" s="59">
        <f>IFERROR(SUMIFS('재고이동로그'!F:F,'재고이동로그'!C:C,$A22,'재고이동로그'!E:E,"8층지원실"),0)</f>
        <v>0</v>
      </c>
      <c r="W22" s="83">
        <f t="shared" ref="W22:Y22" si="25">B22+E22-I22+M22-Q22+T22</f>
        <v>11</v>
      </c>
      <c r="X22" s="83">
        <f t="shared" si="25"/>
        <v>0</v>
      </c>
      <c r="Y22" s="83">
        <f t="shared" si="25"/>
        <v>0</v>
      </c>
      <c r="Z22" s="84">
        <f t="shared" si="6"/>
        <v>11</v>
      </c>
      <c r="AA22" s="59" t="str">
        <f t="shared" si="7"/>
        <v>부족</v>
      </c>
      <c r="AB22" s="59"/>
      <c r="AC22" s="59"/>
      <c r="AD22" s="59"/>
      <c r="AE22" s="59"/>
      <c r="AF22" s="59"/>
    </row>
    <row r="23" ht="15.75" customHeight="1">
      <c r="A23" s="59" t="str">
        <f>IFERROR(__xludf.DUMMYFUNCTION("""COMPUTED_VALUE"""),"(백종수) 친절한백선생_독해풀이시즌2")</f>
        <v>(백종수) 친절한백선생_독해풀이시즌2</v>
      </c>
      <c r="B23" s="77">
        <f>IFERROR(SUMIFS('교재재고'!C:C,'교재재고'!B:B,$A23),0)</f>
        <v>242</v>
      </c>
      <c r="C23" s="77">
        <f>IFERROR(SUMIFS('교재재고'!D:D,'교재재고'!B:B,$A23),0)</f>
        <v>0</v>
      </c>
      <c r="D23" s="77">
        <f>IFERROR(SUMIFS('교재재고'!E:E,'교재재고'!B:B,$A23),0)</f>
        <v>0</v>
      </c>
      <c r="E23" s="78">
        <f>IFERROR(SUMIFS('교재재고'!F:F,'교재재고'!B:B,$A23),0)
+IFERROR(SUMIFS('교재재고'!I:I,'교재재고'!B:B,$A23),0)
+IFERROR(SUMIFS('교재재고'!L:L,'교재재고'!B:B,$A23),0)
+IFERROR(SUMIFS('교재재고'!O:O,'교재재고'!B:B,$A23),0)
+IFERROR(SUMIFS('교재재고'!R:R,'교재재고'!B:B,$A23),0)</f>
        <v>0</v>
      </c>
      <c r="F23" s="79">
        <f>IFERROR(SUMIFS('교재재고'!G:G,'교재재고'!B:B,$A23),0)
+IFERROR(SUMIFS('교재재고'!J:J,'교재재고'!B:B,$A23),0)
+IFERROR(SUMIFS('교재재고'!M:M,'교재재고'!B:B,$A23),0)
+IFERROR(SUMIFS('교재재고'!P:P,'교재재고'!B:B,$A23),0)
+IFERROR(SUMIFS('교재재고'!S:S,'교재재고'!B:B,$A23),0)</f>
        <v>0</v>
      </c>
      <c r="G23" s="79">
        <f>IFERROR(SUMIFS('교재재고'!H:H,'교재재고'!B:B,$A23),0)
+IFERROR(SUMIFS('교재재고'!K:K,'교재재고'!B:B,$A23),0)
+IFERROR(SUMIFS('교재재고'!N:N,'교재재고'!B:B,$A23),0)
+IFERROR(SUMIFS('교재재고'!Q:Q,'교재재고'!B:B,$A23),0)
+IFERROR(SUMIFS('교재재고'!T:T,'교재재고'!B:B,$A23),0)</f>
        <v>0</v>
      </c>
      <c r="H23" s="79">
        <f t="shared" si="2"/>
        <v>242</v>
      </c>
      <c r="I23" s="80">
        <f>IFERROR(SUMIFS('배부로그'!G:G,'배부로그'!D:D,$A23,'배부로그'!F:F,"창고"),0)</f>
        <v>0</v>
      </c>
      <c r="J23" s="59">
        <f>IFERROR(SUMIFS('배부로그'!G:G,'배부로그'!D:D,$A23,'배부로그'!F:F,"4층지원실"),0)</f>
        <v>0</v>
      </c>
      <c r="K23" s="59">
        <f>IFERROR(SUMIFS('배부로그'!G:G,'배부로그'!D:D,$A23,'배부로그'!F:F,"8층지원실"),0)</f>
        <v>0</v>
      </c>
      <c r="L23" s="81">
        <f t="shared" si="3"/>
        <v>0</v>
      </c>
      <c r="M23" s="59">
        <f>IFERROR(SUMIFS('회수로그'!H:H,'회수로그'!E:E,$A23,'회수로그'!G:G,"창고"),0)</f>
        <v>0</v>
      </c>
      <c r="N23" s="59">
        <f>IFERROR(SUMIFS('회수로그'!H:H,'회수로그'!E:E,$A23,'회수로그'!G:G,"4층지원실"),0)</f>
        <v>0</v>
      </c>
      <c r="O23" s="59">
        <f>IFERROR(SUMIFS('회수로그'!H:H,'회수로그'!E:E,$A23,'회수로그'!G:G,"8층지원실"),0)</f>
        <v>0</v>
      </c>
      <c r="P23" s="59">
        <f t="shared" si="4"/>
        <v>0</v>
      </c>
      <c r="Q23" s="59">
        <f>IFERROR(SUMIFS('재고이동로그'!F:F,'재고이동로그'!C:C,$A23,'재고이동로그'!D:D,"창고"),0)</f>
        <v>0</v>
      </c>
      <c r="R23" s="59">
        <f>IFERROR(SUMIFS('재고이동로그'!F:F,'재고이동로그'!C:C,$A23,'재고이동로그'!E:E,"4층지원실"),0)</f>
        <v>0</v>
      </c>
      <c r="S23" s="82">
        <f>IFERROR(SUMIFS('재고이동로그'!F:F,'재고이동로그'!C:C,$A23,'재고이동로그'!E:E,"8층지원실"),0)</f>
        <v>0</v>
      </c>
      <c r="T23" s="59">
        <f>IFERROR(SUMIFS('재고이동로그'!F:F,'재고이동로그'!C:C,$A23,'재고이동로그'!E:E,"창고"),0)</f>
        <v>0</v>
      </c>
      <c r="U23" s="59">
        <f>IFERROR(SUMIFS('재고이동로그'!F:F,'재고이동로그'!C:C,$A23,'재고이동로그'!E:E,"4층지원실"),0)</f>
        <v>0</v>
      </c>
      <c r="V23" s="59">
        <f>IFERROR(SUMIFS('재고이동로그'!F:F,'재고이동로그'!C:C,$A23,'재고이동로그'!E:E,"8층지원실"),0)</f>
        <v>0</v>
      </c>
      <c r="W23" s="83">
        <f t="shared" ref="W23:Y23" si="26">B23+E23-I23+M23-Q23+T23</f>
        <v>242</v>
      </c>
      <c r="X23" s="83">
        <f t="shared" si="26"/>
        <v>0</v>
      </c>
      <c r="Y23" s="83">
        <f t="shared" si="26"/>
        <v>0</v>
      </c>
      <c r="Z23" s="84">
        <f t="shared" si="6"/>
        <v>242</v>
      </c>
      <c r="AA23" s="59" t="str">
        <f t="shared" si="7"/>
        <v>정상</v>
      </c>
      <c r="AB23" s="59"/>
      <c r="AC23" s="59"/>
      <c r="AD23" s="59"/>
      <c r="AE23" s="59"/>
      <c r="AF23" s="59"/>
    </row>
    <row r="24" ht="15.75" customHeight="1">
      <c r="A24" s="59" t="str">
        <f>IFERROR(__xludf.DUMMYFUNCTION("""COMPUTED_VALUE"""),"(백종수) 친정한백선생_문학연계시즌2")</f>
        <v>(백종수) 친정한백선생_문학연계시즌2</v>
      </c>
      <c r="B24" s="77">
        <f>IFERROR(SUMIFS('교재재고'!C:C,'교재재고'!B:B,$A24),0)</f>
        <v>242</v>
      </c>
      <c r="C24" s="77">
        <f>IFERROR(SUMIFS('교재재고'!D:D,'교재재고'!B:B,$A24),0)</f>
        <v>0</v>
      </c>
      <c r="D24" s="77">
        <f>IFERROR(SUMIFS('교재재고'!E:E,'교재재고'!B:B,$A24),0)</f>
        <v>0</v>
      </c>
      <c r="E24" s="78">
        <f>IFERROR(SUMIFS('교재재고'!F:F,'교재재고'!B:B,$A24),0)
+IFERROR(SUMIFS('교재재고'!I:I,'교재재고'!B:B,$A24),0)
+IFERROR(SUMIFS('교재재고'!L:L,'교재재고'!B:B,$A24),0)
+IFERROR(SUMIFS('교재재고'!O:O,'교재재고'!B:B,$A24),0)
+IFERROR(SUMIFS('교재재고'!R:R,'교재재고'!B:B,$A24),0)</f>
        <v>0</v>
      </c>
      <c r="F24" s="79">
        <f>IFERROR(SUMIFS('교재재고'!G:G,'교재재고'!B:B,$A24),0)
+IFERROR(SUMIFS('교재재고'!J:J,'교재재고'!B:B,$A24),0)
+IFERROR(SUMIFS('교재재고'!M:M,'교재재고'!B:B,$A24),0)
+IFERROR(SUMIFS('교재재고'!P:P,'교재재고'!B:B,$A24),0)
+IFERROR(SUMIFS('교재재고'!S:S,'교재재고'!B:B,$A24),0)</f>
        <v>0</v>
      </c>
      <c r="G24" s="79">
        <f>IFERROR(SUMIFS('교재재고'!H:H,'교재재고'!B:B,$A24),0)
+IFERROR(SUMIFS('교재재고'!K:K,'교재재고'!B:B,$A24),0)
+IFERROR(SUMIFS('교재재고'!N:N,'교재재고'!B:B,$A24),0)
+IFERROR(SUMIFS('교재재고'!Q:Q,'교재재고'!B:B,$A24),0)
+IFERROR(SUMIFS('교재재고'!T:T,'교재재고'!B:B,$A24),0)</f>
        <v>0</v>
      </c>
      <c r="H24" s="79">
        <f t="shared" si="2"/>
        <v>242</v>
      </c>
      <c r="I24" s="80">
        <f>IFERROR(SUMIFS('배부로그'!G:G,'배부로그'!D:D,$A24,'배부로그'!F:F,"창고"),0)</f>
        <v>0</v>
      </c>
      <c r="J24" s="59">
        <f>IFERROR(SUMIFS('배부로그'!G:G,'배부로그'!D:D,$A24,'배부로그'!F:F,"4층지원실"),0)</f>
        <v>0</v>
      </c>
      <c r="K24" s="59">
        <f>IFERROR(SUMIFS('배부로그'!G:G,'배부로그'!D:D,$A24,'배부로그'!F:F,"8층지원실"),0)</f>
        <v>0</v>
      </c>
      <c r="L24" s="81">
        <f t="shared" si="3"/>
        <v>0</v>
      </c>
      <c r="M24" s="59">
        <f>IFERROR(SUMIFS('회수로그'!H:H,'회수로그'!E:E,$A24,'회수로그'!G:G,"창고"),0)</f>
        <v>0</v>
      </c>
      <c r="N24" s="59">
        <f>IFERROR(SUMIFS('회수로그'!H:H,'회수로그'!E:E,$A24,'회수로그'!G:G,"4층지원실"),0)</f>
        <v>0</v>
      </c>
      <c r="O24" s="59">
        <f>IFERROR(SUMIFS('회수로그'!H:H,'회수로그'!E:E,$A24,'회수로그'!G:G,"8층지원실"),0)</f>
        <v>0</v>
      </c>
      <c r="P24" s="59">
        <f t="shared" si="4"/>
        <v>0</v>
      </c>
      <c r="Q24" s="59">
        <f>IFERROR(SUMIFS('재고이동로그'!F:F,'재고이동로그'!C:C,$A24,'재고이동로그'!D:D,"창고"),0)</f>
        <v>0</v>
      </c>
      <c r="R24" s="59">
        <f>IFERROR(SUMIFS('재고이동로그'!F:F,'재고이동로그'!C:C,$A24,'재고이동로그'!E:E,"4층지원실"),0)</f>
        <v>0</v>
      </c>
      <c r="S24" s="82">
        <f>IFERROR(SUMIFS('재고이동로그'!F:F,'재고이동로그'!C:C,$A24,'재고이동로그'!E:E,"8층지원실"),0)</f>
        <v>0</v>
      </c>
      <c r="T24" s="59">
        <f>IFERROR(SUMIFS('재고이동로그'!F:F,'재고이동로그'!C:C,$A24,'재고이동로그'!E:E,"창고"),0)</f>
        <v>0</v>
      </c>
      <c r="U24" s="59">
        <f>IFERROR(SUMIFS('재고이동로그'!F:F,'재고이동로그'!C:C,$A24,'재고이동로그'!E:E,"4층지원실"),0)</f>
        <v>0</v>
      </c>
      <c r="V24" s="59">
        <f>IFERROR(SUMIFS('재고이동로그'!F:F,'재고이동로그'!C:C,$A24,'재고이동로그'!E:E,"8층지원실"),0)</f>
        <v>0</v>
      </c>
      <c r="W24" s="83">
        <f t="shared" ref="W24:Y24" si="27">B24+E24-I24+M24-Q24+T24</f>
        <v>242</v>
      </c>
      <c r="X24" s="83">
        <f t="shared" si="27"/>
        <v>0</v>
      </c>
      <c r="Y24" s="83">
        <f t="shared" si="27"/>
        <v>0</v>
      </c>
      <c r="Z24" s="84">
        <f t="shared" si="6"/>
        <v>242</v>
      </c>
      <c r="AA24" s="59" t="str">
        <f t="shared" si="7"/>
        <v>정상</v>
      </c>
      <c r="AB24" s="59"/>
      <c r="AC24" s="59"/>
      <c r="AD24" s="59"/>
      <c r="AE24" s="59"/>
      <c r="AF24" s="59"/>
    </row>
    <row r="25" ht="15.75" customHeight="1">
      <c r="A25" s="59" t="str">
        <f>IFERROR(__xludf.DUMMYFUNCTION("""COMPUTED_VALUE"""),"(성열상) 물리")</f>
        <v>(성열상) 물리</v>
      </c>
      <c r="B25" s="77">
        <f>IFERROR(SUMIFS('교재재고'!C:C,'교재재고'!B:B,$A25),0)</f>
        <v>11</v>
      </c>
      <c r="C25" s="77">
        <f>IFERROR(SUMIFS('교재재고'!D:D,'교재재고'!B:B,$A25),0)</f>
        <v>0</v>
      </c>
      <c r="D25" s="77">
        <f>IFERROR(SUMIFS('교재재고'!E:E,'교재재고'!B:B,$A25),0)</f>
        <v>0</v>
      </c>
      <c r="E25" s="78">
        <f>IFERROR(SUMIFS('교재재고'!F:F,'교재재고'!B:B,$A25),0)
+IFERROR(SUMIFS('교재재고'!I:I,'교재재고'!B:B,$A25),0)
+IFERROR(SUMIFS('교재재고'!L:L,'교재재고'!B:B,$A25),0)
+IFERROR(SUMIFS('교재재고'!O:O,'교재재고'!B:B,$A25),0)
+IFERROR(SUMIFS('교재재고'!R:R,'교재재고'!B:B,$A25),0)</f>
        <v>0</v>
      </c>
      <c r="F25" s="79">
        <f>IFERROR(SUMIFS('교재재고'!G:G,'교재재고'!B:B,$A25),0)
+IFERROR(SUMIFS('교재재고'!J:J,'교재재고'!B:B,$A25),0)
+IFERROR(SUMIFS('교재재고'!M:M,'교재재고'!B:B,$A25),0)
+IFERROR(SUMIFS('교재재고'!P:P,'교재재고'!B:B,$A25),0)
+IFERROR(SUMIFS('교재재고'!S:S,'교재재고'!B:B,$A25),0)</f>
        <v>0</v>
      </c>
      <c r="G25" s="79">
        <f>IFERROR(SUMIFS('교재재고'!H:H,'교재재고'!B:B,$A25),0)
+IFERROR(SUMIFS('교재재고'!K:K,'교재재고'!B:B,$A25),0)
+IFERROR(SUMIFS('교재재고'!N:N,'교재재고'!B:B,$A25),0)
+IFERROR(SUMIFS('교재재고'!Q:Q,'교재재고'!B:B,$A25),0)
+IFERROR(SUMIFS('교재재고'!T:T,'교재재고'!B:B,$A25),0)</f>
        <v>0</v>
      </c>
      <c r="H25" s="79">
        <f t="shared" si="2"/>
        <v>11</v>
      </c>
      <c r="I25" s="80">
        <f>IFERROR(SUMIFS('배부로그'!G:G,'배부로그'!D:D,$A25,'배부로그'!F:F,"창고"),0)</f>
        <v>0</v>
      </c>
      <c r="J25" s="59">
        <f>IFERROR(SUMIFS('배부로그'!G:G,'배부로그'!D:D,$A25,'배부로그'!F:F,"4층지원실"),0)</f>
        <v>0</v>
      </c>
      <c r="K25" s="59">
        <f>IFERROR(SUMIFS('배부로그'!G:G,'배부로그'!D:D,$A25,'배부로그'!F:F,"8층지원실"),0)</f>
        <v>0</v>
      </c>
      <c r="L25" s="81">
        <f t="shared" si="3"/>
        <v>0</v>
      </c>
      <c r="M25" s="59">
        <f>IFERROR(SUMIFS('회수로그'!H:H,'회수로그'!E:E,$A25,'회수로그'!G:G,"창고"),0)</f>
        <v>0</v>
      </c>
      <c r="N25" s="59">
        <f>IFERROR(SUMIFS('회수로그'!H:H,'회수로그'!E:E,$A25,'회수로그'!G:G,"4층지원실"),0)</f>
        <v>0</v>
      </c>
      <c r="O25" s="59">
        <f>IFERROR(SUMIFS('회수로그'!H:H,'회수로그'!E:E,$A25,'회수로그'!G:G,"8층지원실"),0)</f>
        <v>0</v>
      </c>
      <c r="P25" s="59">
        <f t="shared" si="4"/>
        <v>0</v>
      </c>
      <c r="Q25" s="59">
        <f>IFERROR(SUMIFS('재고이동로그'!F:F,'재고이동로그'!C:C,$A25,'재고이동로그'!D:D,"창고"),0)</f>
        <v>0</v>
      </c>
      <c r="R25" s="59">
        <f>IFERROR(SUMIFS('재고이동로그'!F:F,'재고이동로그'!C:C,$A25,'재고이동로그'!E:E,"4층지원실"),0)</f>
        <v>0</v>
      </c>
      <c r="S25" s="82">
        <f>IFERROR(SUMIFS('재고이동로그'!F:F,'재고이동로그'!C:C,$A25,'재고이동로그'!E:E,"8층지원실"),0)</f>
        <v>0</v>
      </c>
      <c r="T25" s="59">
        <f>IFERROR(SUMIFS('재고이동로그'!F:F,'재고이동로그'!C:C,$A25,'재고이동로그'!E:E,"창고"),0)</f>
        <v>0</v>
      </c>
      <c r="U25" s="59">
        <f>IFERROR(SUMIFS('재고이동로그'!F:F,'재고이동로그'!C:C,$A25,'재고이동로그'!E:E,"4층지원실"),0)</f>
        <v>0</v>
      </c>
      <c r="V25" s="59">
        <f>IFERROR(SUMIFS('재고이동로그'!F:F,'재고이동로그'!C:C,$A25,'재고이동로그'!E:E,"8층지원실"),0)</f>
        <v>0</v>
      </c>
      <c r="W25" s="83">
        <f t="shared" ref="W25:Y25" si="28">B25+E25-I25+M25-Q25+T25</f>
        <v>11</v>
      </c>
      <c r="X25" s="83">
        <f t="shared" si="28"/>
        <v>0</v>
      </c>
      <c r="Y25" s="83">
        <f t="shared" si="28"/>
        <v>0</v>
      </c>
      <c r="Z25" s="84">
        <f t="shared" si="6"/>
        <v>11</v>
      </c>
      <c r="AA25" s="59" t="str">
        <f t="shared" si="7"/>
        <v>부족</v>
      </c>
      <c r="AB25" s="59"/>
      <c r="AC25" s="59"/>
      <c r="AD25" s="59"/>
      <c r="AE25" s="59"/>
      <c r="AF25" s="59"/>
    </row>
    <row r="26" ht="15.75" customHeight="1">
      <c r="A26" s="59" t="str">
        <f>IFERROR(__xludf.DUMMYFUNCTION("""COMPUTED_VALUE"""),"(수매깨7주차) J")</f>
        <v>(수매깨7주차) J</v>
      </c>
      <c r="B26" s="77">
        <f>IFERROR(SUMIFS('교재재고'!C:C,'교재재고'!B:B,$A26),0)</f>
        <v>60</v>
      </c>
      <c r="C26" s="77">
        <f>IFERROR(SUMIFS('교재재고'!D:D,'교재재고'!B:B,$A26),0)</f>
        <v>0</v>
      </c>
      <c r="D26" s="77">
        <f>IFERROR(SUMIFS('교재재고'!E:E,'교재재고'!B:B,$A26),0)</f>
        <v>0</v>
      </c>
      <c r="E26" s="78">
        <f>IFERROR(SUMIFS('교재재고'!F:F,'교재재고'!B:B,$A26),0)
+IFERROR(SUMIFS('교재재고'!I:I,'교재재고'!B:B,$A26),0)
+IFERROR(SUMIFS('교재재고'!L:L,'교재재고'!B:B,$A26),0)
+IFERROR(SUMIFS('교재재고'!O:O,'교재재고'!B:B,$A26),0)
+IFERROR(SUMIFS('교재재고'!R:R,'교재재고'!B:B,$A26),0)</f>
        <v>0</v>
      </c>
      <c r="F26" s="79">
        <f>IFERROR(SUMIFS('교재재고'!G:G,'교재재고'!B:B,$A26),0)
+IFERROR(SUMIFS('교재재고'!J:J,'교재재고'!B:B,$A26),0)
+IFERROR(SUMIFS('교재재고'!M:M,'교재재고'!B:B,$A26),0)
+IFERROR(SUMIFS('교재재고'!P:P,'교재재고'!B:B,$A26),0)
+IFERROR(SUMIFS('교재재고'!S:S,'교재재고'!B:B,$A26),0)</f>
        <v>0</v>
      </c>
      <c r="G26" s="79">
        <f>IFERROR(SUMIFS('교재재고'!H:H,'교재재고'!B:B,$A26),0)
+IFERROR(SUMIFS('교재재고'!K:K,'교재재고'!B:B,$A26),0)
+IFERROR(SUMIFS('교재재고'!N:N,'교재재고'!B:B,$A26),0)
+IFERROR(SUMIFS('교재재고'!Q:Q,'교재재고'!B:B,$A26),0)
+IFERROR(SUMIFS('교재재고'!T:T,'교재재고'!B:B,$A26),0)</f>
        <v>0</v>
      </c>
      <c r="H26" s="79">
        <f t="shared" si="2"/>
        <v>60</v>
      </c>
      <c r="I26" s="80">
        <f>IFERROR(SUMIFS('배부로그'!G:G,'배부로그'!D:D,$A26,'배부로그'!F:F,"창고"),0)</f>
        <v>58</v>
      </c>
      <c r="J26" s="59">
        <f>IFERROR(SUMIFS('배부로그'!G:G,'배부로그'!D:D,$A26,'배부로그'!F:F,"4층지원실"),0)</f>
        <v>0</v>
      </c>
      <c r="K26" s="59">
        <f>IFERROR(SUMIFS('배부로그'!G:G,'배부로그'!D:D,$A26,'배부로그'!F:F,"8층지원실"),0)</f>
        <v>0</v>
      </c>
      <c r="L26" s="81">
        <f t="shared" si="3"/>
        <v>58</v>
      </c>
      <c r="M26" s="59">
        <f>IFERROR(SUMIFS('회수로그'!H:H,'회수로그'!E:E,$A26,'회수로그'!G:G,"창고"),0)</f>
        <v>0</v>
      </c>
      <c r="N26" s="59">
        <f>IFERROR(SUMIFS('회수로그'!H:H,'회수로그'!E:E,$A26,'회수로그'!G:G,"4층지원실"),0)</f>
        <v>0</v>
      </c>
      <c r="O26" s="59">
        <f>IFERROR(SUMIFS('회수로그'!H:H,'회수로그'!E:E,$A26,'회수로그'!G:G,"8층지원실"),0)</f>
        <v>0</v>
      </c>
      <c r="P26" s="59">
        <f t="shared" si="4"/>
        <v>0</v>
      </c>
      <c r="Q26" s="59">
        <f>IFERROR(SUMIFS('재고이동로그'!F:F,'재고이동로그'!C:C,$A26,'재고이동로그'!D:D,"창고"),0)</f>
        <v>0</v>
      </c>
      <c r="R26" s="59">
        <f>IFERROR(SUMIFS('재고이동로그'!F:F,'재고이동로그'!C:C,$A26,'재고이동로그'!E:E,"4층지원실"),0)</f>
        <v>0</v>
      </c>
      <c r="S26" s="82">
        <f>IFERROR(SUMIFS('재고이동로그'!F:F,'재고이동로그'!C:C,$A26,'재고이동로그'!E:E,"8층지원실"),0)</f>
        <v>0</v>
      </c>
      <c r="T26" s="59">
        <f>IFERROR(SUMIFS('재고이동로그'!F:F,'재고이동로그'!C:C,$A26,'재고이동로그'!E:E,"창고"),0)</f>
        <v>0</v>
      </c>
      <c r="U26" s="59">
        <f>IFERROR(SUMIFS('재고이동로그'!F:F,'재고이동로그'!C:C,$A26,'재고이동로그'!E:E,"4층지원실"),0)</f>
        <v>0</v>
      </c>
      <c r="V26" s="59">
        <f>IFERROR(SUMIFS('재고이동로그'!F:F,'재고이동로그'!C:C,$A26,'재고이동로그'!E:E,"8층지원실"),0)</f>
        <v>0</v>
      </c>
      <c r="W26" s="83">
        <f t="shared" ref="W26:Y26" si="29">B26+E26-I26+M26-Q26+T26</f>
        <v>2</v>
      </c>
      <c r="X26" s="83">
        <f t="shared" si="29"/>
        <v>0</v>
      </c>
      <c r="Y26" s="83">
        <f t="shared" si="29"/>
        <v>0</v>
      </c>
      <c r="Z26" s="84">
        <f t="shared" si="6"/>
        <v>2</v>
      </c>
      <c r="AA26" s="59" t="str">
        <f t="shared" si="7"/>
        <v>부족</v>
      </c>
      <c r="AB26" s="59"/>
      <c r="AC26" s="59"/>
      <c r="AD26" s="59"/>
      <c r="AE26" s="59"/>
      <c r="AF26" s="59"/>
    </row>
    <row r="27" ht="15.75" customHeight="1">
      <c r="A27" s="59" t="str">
        <f>IFERROR(__xludf.DUMMYFUNCTION("""COMPUTED_VALUE"""),"(수매깨7주차) M")</f>
        <v>(수매깨7주차) M</v>
      </c>
      <c r="B27" s="77">
        <f>IFERROR(SUMIFS('교재재고'!C:C,'교재재고'!B:B,$A27),0)</f>
        <v>122</v>
      </c>
      <c r="C27" s="77">
        <f>IFERROR(SUMIFS('교재재고'!D:D,'교재재고'!B:B,$A27),0)</f>
        <v>0</v>
      </c>
      <c r="D27" s="77">
        <f>IFERROR(SUMIFS('교재재고'!E:E,'교재재고'!B:B,$A27),0)</f>
        <v>0</v>
      </c>
      <c r="E27" s="78">
        <f>IFERROR(SUMIFS('교재재고'!F:F,'교재재고'!B:B,$A27),0)
+IFERROR(SUMIFS('교재재고'!I:I,'교재재고'!B:B,$A27),0)
+IFERROR(SUMIFS('교재재고'!L:L,'교재재고'!B:B,$A27),0)
+IFERROR(SUMIFS('교재재고'!O:O,'교재재고'!B:B,$A27),0)
+IFERROR(SUMIFS('교재재고'!R:R,'교재재고'!B:B,$A27),0)</f>
        <v>0</v>
      </c>
      <c r="F27" s="79">
        <f>IFERROR(SUMIFS('교재재고'!G:G,'교재재고'!B:B,$A27),0)
+IFERROR(SUMIFS('교재재고'!J:J,'교재재고'!B:B,$A27),0)
+IFERROR(SUMIFS('교재재고'!M:M,'교재재고'!B:B,$A27),0)
+IFERROR(SUMIFS('교재재고'!P:P,'교재재고'!B:B,$A27),0)
+IFERROR(SUMIFS('교재재고'!S:S,'교재재고'!B:B,$A27),0)</f>
        <v>0</v>
      </c>
      <c r="G27" s="79">
        <f>IFERROR(SUMIFS('교재재고'!H:H,'교재재고'!B:B,$A27),0)
+IFERROR(SUMIFS('교재재고'!K:K,'교재재고'!B:B,$A27),0)
+IFERROR(SUMIFS('교재재고'!N:N,'교재재고'!B:B,$A27),0)
+IFERROR(SUMIFS('교재재고'!Q:Q,'교재재고'!B:B,$A27),0)
+IFERROR(SUMIFS('교재재고'!T:T,'교재재고'!B:B,$A27),0)</f>
        <v>0</v>
      </c>
      <c r="H27" s="79">
        <f t="shared" si="2"/>
        <v>122</v>
      </c>
      <c r="I27" s="80">
        <f>IFERROR(SUMIFS('배부로그'!G:G,'배부로그'!D:D,$A27,'배부로그'!F:F,"창고"),0)</f>
        <v>119</v>
      </c>
      <c r="J27" s="59">
        <f>IFERROR(SUMIFS('배부로그'!G:G,'배부로그'!D:D,$A27,'배부로그'!F:F,"4층지원실"),0)</f>
        <v>0</v>
      </c>
      <c r="K27" s="59">
        <f>IFERROR(SUMIFS('배부로그'!G:G,'배부로그'!D:D,$A27,'배부로그'!F:F,"8층지원실"),0)</f>
        <v>0</v>
      </c>
      <c r="L27" s="81">
        <f t="shared" si="3"/>
        <v>119</v>
      </c>
      <c r="M27" s="59">
        <f>IFERROR(SUMIFS('회수로그'!H:H,'회수로그'!E:E,$A27,'회수로그'!G:G,"창고"),0)</f>
        <v>0</v>
      </c>
      <c r="N27" s="59">
        <f>IFERROR(SUMIFS('회수로그'!H:H,'회수로그'!E:E,$A27,'회수로그'!G:G,"4층지원실"),0)</f>
        <v>0</v>
      </c>
      <c r="O27" s="59">
        <f>IFERROR(SUMIFS('회수로그'!H:H,'회수로그'!E:E,$A27,'회수로그'!G:G,"8층지원실"),0)</f>
        <v>0</v>
      </c>
      <c r="P27" s="59">
        <f t="shared" si="4"/>
        <v>0</v>
      </c>
      <c r="Q27" s="59">
        <f>IFERROR(SUMIFS('재고이동로그'!F:F,'재고이동로그'!C:C,$A27,'재고이동로그'!D:D,"창고"),0)</f>
        <v>0</v>
      </c>
      <c r="R27" s="59">
        <f>IFERROR(SUMIFS('재고이동로그'!F:F,'재고이동로그'!C:C,$A27,'재고이동로그'!E:E,"4층지원실"),0)</f>
        <v>0</v>
      </c>
      <c r="S27" s="82">
        <f>IFERROR(SUMIFS('재고이동로그'!F:F,'재고이동로그'!C:C,$A27,'재고이동로그'!E:E,"8층지원실"),0)</f>
        <v>0</v>
      </c>
      <c r="T27" s="59">
        <f>IFERROR(SUMIFS('재고이동로그'!F:F,'재고이동로그'!C:C,$A27,'재고이동로그'!E:E,"창고"),0)</f>
        <v>0</v>
      </c>
      <c r="U27" s="59">
        <f>IFERROR(SUMIFS('재고이동로그'!F:F,'재고이동로그'!C:C,$A27,'재고이동로그'!E:E,"4층지원실"),0)</f>
        <v>0</v>
      </c>
      <c r="V27" s="59">
        <f>IFERROR(SUMIFS('재고이동로그'!F:F,'재고이동로그'!C:C,$A27,'재고이동로그'!E:E,"8층지원실"),0)</f>
        <v>0</v>
      </c>
      <c r="W27" s="83">
        <f t="shared" ref="W27:Y27" si="30">B27+E27-I27+M27-Q27+T27</f>
        <v>3</v>
      </c>
      <c r="X27" s="83">
        <f t="shared" si="30"/>
        <v>0</v>
      </c>
      <c r="Y27" s="83">
        <f t="shared" si="30"/>
        <v>0</v>
      </c>
      <c r="Z27" s="84">
        <f t="shared" si="6"/>
        <v>3</v>
      </c>
      <c r="AA27" s="59" t="str">
        <f t="shared" si="7"/>
        <v>부족</v>
      </c>
      <c r="AB27" s="59"/>
      <c r="AC27" s="59"/>
      <c r="AD27" s="59"/>
      <c r="AE27" s="59"/>
      <c r="AF27" s="59"/>
    </row>
    <row r="28" ht="15.75" customHeight="1">
      <c r="A28" s="59" t="str">
        <f>IFERROR(__xludf.DUMMYFUNCTION("""COMPUTED_VALUE"""),"(수매깨7주차) Q")</f>
        <v>(수매깨7주차) Q</v>
      </c>
      <c r="B28" s="77">
        <f>IFERROR(SUMIFS('교재재고'!C:C,'교재재고'!B:B,$A28),0)</f>
        <v>184</v>
      </c>
      <c r="C28" s="77">
        <f>IFERROR(SUMIFS('교재재고'!D:D,'교재재고'!B:B,$A28),0)</f>
        <v>0</v>
      </c>
      <c r="D28" s="77">
        <f>IFERROR(SUMIFS('교재재고'!E:E,'교재재고'!B:B,$A28),0)</f>
        <v>0</v>
      </c>
      <c r="E28" s="78">
        <f>IFERROR(SUMIFS('교재재고'!F:F,'교재재고'!B:B,$A28),0)
+IFERROR(SUMIFS('교재재고'!I:I,'교재재고'!B:B,$A28),0)
+IFERROR(SUMIFS('교재재고'!L:L,'교재재고'!B:B,$A28),0)
+IFERROR(SUMIFS('교재재고'!O:O,'교재재고'!B:B,$A28),0)
+IFERROR(SUMIFS('교재재고'!R:R,'교재재고'!B:B,$A28),0)</f>
        <v>0</v>
      </c>
      <c r="F28" s="79">
        <f>IFERROR(SUMIFS('교재재고'!G:G,'교재재고'!B:B,$A28),0)
+IFERROR(SUMIFS('교재재고'!J:J,'교재재고'!B:B,$A28),0)
+IFERROR(SUMIFS('교재재고'!M:M,'교재재고'!B:B,$A28),0)
+IFERROR(SUMIFS('교재재고'!P:P,'교재재고'!B:B,$A28),0)
+IFERROR(SUMIFS('교재재고'!S:S,'교재재고'!B:B,$A28),0)</f>
        <v>0</v>
      </c>
      <c r="G28" s="79">
        <f>IFERROR(SUMIFS('교재재고'!H:H,'교재재고'!B:B,$A28),0)
+IFERROR(SUMIFS('교재재고'!K:K,'교재재고'!B:B,$A28),0)
+IFERROR(SUMIFS('교재재고'!N:N,'교재재고'!B:B,$A28),0)
+IFERROR(SUMIFS('교재재고'!Q:Q,'교재재고'!B:B,$A28),0)
+IFERROR(SUMIFS('교재재고'!T:T,'교재재고'!B:B,$A28),0)</f>
        <v>0</v>
      </c>
      <c r="H28" s="79">
        <f t="shared" si="2"/>
        <v>184</v>
      </c>
      <c r="I28" s="80">
        <f>IFERROR(SUMIFS('배부로그'!G:G,'배부로그'!D:D,$A28,'배부로그'!F:F,"창고"),0)</f>
        <v>184</v>
      </c>
      <c r="J28" s="59">
        <f>IFERROR(SUMIFS('배부로그'!G:G,'배부로그'!D:D,$A28,'배부로그'!F:F,"4층지원실"),0)</f>
        <v>0</v>
      </c>
      <c r="K28" s="59">
        <f>IFERROR(SUMIFS('배부로그'!G:G,'배부로그'!D:D,$A28,'배부로그'!F:F,"8층지원실"),0)</f>
        <v>0</v>
      </c>
      <c r="L28" s="81">
        <f t="shared" si="3"/>
        <v>184</v>
      </c>
      <c r="M28" s="59">
        <f>IFERROR(SUMIFS('회수로그'!H:H,'회수로그'!E:E,$A28,'회수로그'!G:G,"창고"),0)</f>
        <v>0</v>
      </c>
      <c r="N28" s="59">
        <f>IFERROR(SUMIFS('회수로그'!H:H,'회수로그'!E:E,$A28,'회수로그'!G:G,"4층지원실"),0)</f>
        <v>0</v>
      </c>
      <c r="O28" s="59">
        <f>IFERROR(SUMIFS('회수로그'!H:H,'회수로그'!E:E,$A28,'회수로그'!G:G,"8층지원실"),0)</f>
        <v>0</v>
      </c>
      <c r="P28" s="59">
        <f t="shared" si="4"/>
        <v>0</v>
      </c>
      <c r="Q28" s="59">
        <f>IFERROR(SUMIFS('재고이동로그'!F:F,'재고이동로그'!C:C,$A28,'재고이동로그'!D:D,"창고"),0)</f>
        <v>0</v>
      </c>
      <c r="R28" s="59">
        <f>IFERROR(SUMIFS('재고이동로그'!F:F,'재고이동로그'!C:C,$A28,'재고이동로그'!E:E,"4층지원실"),0)</f>
        <v>0</v>
      </c>
      <c r="S28" s="82">
        <f>IFERROR(SUMIFS('재고이동로그'!F:F,'재고이동로그'!C:C,$A28,'재고이동로그'!E:E,"8층지원실"),0)</f>
        <v>0</v>
      </c>
      <c r="T28" s="59">
        <f>IFERROR(SUMIFS('재고이동로그'!F:F,'재고이동로그'!C:C,$A28,'재고이동로그'!E:E,"창고"),0)</f>
        <v>0</v>
      </c>
      <c r="U28" s="59">
        <f>IFERROR(SUMIFS('재고이동로그'!F:F,'재고이동로그'!C:C,$A28,'재고이동로그'!E:E,"4층지원실"),0)</f>
        <v>0</v>
      </c>
      <c r="V28" s="59">
        <f>IFERROR(SUMIFS('재고이동로그'!F:F,'재고이동로그'!C:C,$A28,'재고이동로그'!E:E,"8층지원실"),0)</f>
        <v>0</v>
      </c>
      <c r="W28" s="83">
        <f t="shared" ref="W28:Y28" si="31">B28+E28-I28+M28-Q28+T28</f>
        <v>0</v>
      </c>
      <c r="X28" s="83">
        <f t="shared" si="31"/>
        <v>0</v>
      </c>
      <c r="Y28" s="83">
        <f t="shared" si="31"/>
        <v>0</v>
      </c>
      <c r="Z28" s="84">
        <f t="shared" si="6"/>
        <v>0</v>
      </c>
      <c r="AA28" s="59" t="str">
        <f t="shared" si="7"/>
        <v>부족</v>
      </c>
      <c r="AB28" s="59"/>
      <c r="AC28" s="59"/>
      <c r="AD28" s="59"/>
      <c r="AE28" s="59"/>
      <c r="AF28" s="59"/>
    </row>
    <row r="29" ht="15.75" customHeight="1">
      <c r="A29" s="59" t="str">
        <f>IFERROR(__xludf.DUMMYFUNCTION("""COMPUTED_VALUE"""),"(수매깨7주차) S")</f>
        <v>(수매깨7주차) S</v>
      </c>
      <c r="B29" s="77">
        <f>IFERROR(SUMIFS('교재재고'!C:C,'교재재고'!B:B,$A29),0)</f>
        <v>132</v>
      </c>
      <c r="C29" s="77">
        <f>IFERROR(SUMIFS('교재재고'!D:D,'교재재고'!B:B,$A29),0)</f>
        <v>0</v>
      </c>
      <c r="D29" s="77">
        <f>IFERROR(SUMIFS('교재재고'!E:E,'교재재고'!B:B,$A29),0)</f>
        <v>0</v>
      </c>
      <c r="E29" s="78">
        <f>IFERROR(SUMIFS('교재재고'!F:F,'교재재고'!B:B,$A29),0)
+IFERROR(SUMIFS('교재재고'!I:I,'교재재고'!B:B,$A29),0)
+IFERROR(SUMIFS('교재재고'!L:L,'교재재고'!B:B,$A29),0)
+IFERROR(SUMIFS('교재재고'!O:O,'교재재고'!B:B,$A29),0)
+IFERROR(SUMIFS('교재재고'!R:R,'교재재고'!B:B,$A29),0)</f>
        <v>0</v>
      </c>
      <c r="F29" s="79">
        <f>IFERROR(SUMIFS('교재재고'!G:G,'교재재고'!B:B,$A29),0)
+IFERROR(SUMIFS('교재재고'!J:J,'교재재고'!B:B,$A29),0)
+IFERROR(SUMIFS('교재재고'!M:M,'교재재고'!B:B,$A29),0)
+IFERROR(SUMIFS('교재재고'!P:P,'교재재고'!B:B,$A29),0)
+IFERROR(SUMIFS('교재재고'!S:S,'교재재고'!B:B,$A29),0)</f>
        <v>0</v>
      </c>
      <c r="G29" s="79">
        <f>IFERROR(SUMIFS('교재재고'!H:H,'교재재고'!B:B,$A29),0)
+IFERROR(SUMIFS('교재재고'!K:K,'교재재고'!B:B,$A29),0)
+IFERROR(SUMIFS('교재재고'!N:N,'교재재고'!B:B,$A29),0)
+IFERROR(SUMIFS('교재재고'!Q:Q,'교재재고'!B:B,$A29),0)
+IFERROR(SUMIFS('교재재고'!T:T,'교재재고'!B:B,$A29),0)</f>
        <v>0</v>
      </c>
      <c r="H29" s="79">
        <f t="shared" si="2"/>
        <v>132</v>
      </c>
      <c r="I29" s="80">
        <f>IFERROR(SUMIFS('배부로그'!G:G,'배부로그'!D:D,$A29,'배부로그'!F:F,"창고"),0)</f>
        <v>129</v>
      </c>
      <c r="J29" s="59">
        <f>IFERROR(SUMIFS('배부로그'!G:G,'배부로그'!D:D,$A29,'배부로그'!F:F,"4층지원실"),0)</f>
        <v>0</v>
      </c>
      <c r="K29" s="59">
        <f>IFERROR(SUMIFS('배부로그'!G:G,'배부로그'!D:D,$A29,'배부로그'!F:F,"8층지원실"),0)</f>
        <v>0</v>
      </c>
      <c r="L29" s="81">
        <f t="shared" si="3"/>
        <v>129</v>
      </c>
      <c r="M29" s="59">
        <f>IFERROR(SUMIFS('회수로그'!H:H,'회수로그'!E:E,$A29,'회수로그'!G:G,"창고"),0)</f>
        <v>0</v>
      </c>
      <c r="N29" s="59">
        <f>IFERROR(SUMIFS('회수로그'!H:H,'회수로그'!E:E,$A29,'회수로그'!G:G,"4층지원실"),0)</f>
        <v>0</v>
      </c>
      <c r="O29" s="59">
        <f>IFERROR(SUMIFS('회수로그'!H:H,'회수로그'!E:E,$A29,'회수로그'!G:G,"8층지원실"),0)</f>
        <v>0</v>
      </c>
      <c r="P29" s="59">
        <f t="shared" si="4"/>
        <v>0</v>
      </c>
      <c r="Q29" s="59">
        <f>IFERROR(SUMIFS('재고이동로그'!F:F,'재고이동로그'!C:C,$A29,'재고이동로그'!D:D,"창고"),0)</f>
        <v>0</v>
      </c>
      <c r="R29" s="59">
        <f>IFERROR(SUMIFS('재고이동로그'!F:F,'재고이동로그'!C:C,$A29,'재고이동로그'!E:E,"4층지원실"),0)</f>
        <v>0</v>
      </c>
      <c r="S29" s="82">
        <f>IFERROR(SUMIFS('재고이동로그'!F:F,'재고이동로그'!C:C,$A29,'재고이동로그'!E:E,"8층지원실"),0)</f>
        <v>0</v>
      </c>
      <c r="T29" s="59">
        <f>IFERROR(SUMIFS('재고이동로그'!F:F,'재고이동로그'!C:C,$A29,'재고이동로그'!E:E,"창고"),0)</f>
        <v>0</v>
      </c>
      <c r="U29" s="59">
        <f>IFERROR(SUMIFS('재고이동로그'!F:F,'재고이동로그'!C:C,$A29,'재고이동로그'!E:E,"4층지원실"),0)</f>
        <v>0</v>
      </c>
      <c r="V29" s="59">
        <f>IFERROR(SUMIFS('재고이동로그'!F:F,'재고이동로그'!C:C,$A29,'재고이동로그'!E:E,"8층지원실"),0)</f>
        <v>0</v>
      </c>
      <c r="W29" s="83">
        <f t="shared" ref="W29:Y29" si="32">B29+E29-I29+M29-Q29+T29</f>
        <v>3</v>
      </c>
      <c r="X29" s="83">
        <f t="shared" si="32"/>
        <v>0</v>
      </c>
      <c r="Y29" s="83">
        <f t="shared" si="32"/>
        <v>0</v>
      </c>
      <c r="Z29" s="84">
        <f t="shared" si="6"/>
        <v>3</v>
      </c>
      <c r="AA29" s="59" t="str">
        <f t="shared" si="7"/>
        <v>부족</v>
      </c>
      <c r="AB29" s="59"/>
      <c r="AC29" s="59"/>
      <c r="AD29" s="59"/>
      <c r="AE29" s="59"/>
      <c r="AF29" s="59"/>
    </row>
    <row r="30" ht="15.75" customHeight="1">
      <c r="A30" s="59" t="str">
        <f>IFERROR(__xludf.DUMMYFUNCTION("""COMPUTED_VALUE"""),"(수매깨7주차) T")</f>
        <v>(수매깨7주차) T</v>
      </c>
      <c r="B30" s="77">
        <f>IFERROR(SUMIFS('교재재고'!C:C,'교재재고'!B:B,$A30),0)</f>
        <v>174</v>
      </c>
      <c r="C30" s="77">
        <f>IFERROR(SUMIFS('교재재고'!D:D,'교재재고'!B:B,$A30),0)</f>
        <v>0</v>
      </c>
      <c r="D30" s="77">
        <f>IFERROR(SUMIFS('교재재고'!E:E,'교재재고'!B:B,$A30),0)</f>
        <v>0</v>
      </c>
      <c r="E30" s="78">
        <f>IFERROR(SUMIFS('교재재고'!F:F,'교재재고'!B:B,$A30),0)
+IFERROR(SUMIFS('교재재고'!I:I,'교재재고'!B:B,$A30),0)
+IFERROR(SUMIFS('교재재고'!L:L,'교재재고'!B:B,$A30),0)
+IFERROR(SUMIFS('교재재고'!O:O,'교재재고'!B:B,$A30),0)
+IFERROR(SUMIFS('교재재고'!R:R,'교재재고'!B:B,$A30),0)</f>
        <v>0</v>
      </c>
      <c r="F30" s="79">
        <f>IFERROR(SUMIFS('교재재고'!G:G,'교재재고'!B:B,$A30),0)
+IFERROR(SUMIFS('교재재고'!J:J,'교재재고'!B:B,$A30),0)
+IFERROR(SUMIFS('교재재고'!M:M,'교재재고'!B:B,$A30),0)
+IFERROR(SUMIFS('교재재고'!P:P,'교재재고'!B:B,$A30),0)
+IFERROR(SUMIFS('교재재고'!S:S,'교재재고'!B:B,$A30),0)</f>
        <v>0</v>
      </c>
      <c r="G30" s="79">
        <f>IFERROR(SUMIFS('교재재고'!H:H,'교재재고'!B:B,$A30),0)
+IFERROR(SUMIFS('교재재고'!K:K,'교재재고'!B:B,$A30),0)
+IFERROR(SUMIFS('교재재고'!N:N,'교재재고'!B:B,$A30),0)
+IFERROR(SUMIFS('교재재고'!Q:Q,'교재재고'!B:B,$A30),0)
+IFERROR(SUMIFS('교재재고'!T:T,'교재재고'!B:B,$A30),0)</f>
        <v>0</v>
      </c>
      <c r="H30" s="79">
        <f t="shared" si="2"/>
        <v>174</v>
      </c>
      <c r="I30" s="80">
        <f>IFERROR(SUMIFS('배부로그'!G:G,'배부로그'!D:D,$A30,'배부로그'!F:F,"창고"),0)</f>
        <v>170</v>
      </c>
      <c r="J30" s="59">
        <f>IFERROR(SUMIFS('배부로그'!G:G,'배부로그'!D:D,$A30,'배부로그'!F:F,"4층지원실"),0)</f>
        <v>0</v>
      </c>
      <c r="K30" s="59">
        <f>IFERROR(SUMIFS('배부로그'!G:G,'배부로그'!D:D,$A30,'배부로그'!F:F,"8층지원실"),0)</f>
        <v>0</v>
      </c>
      <c r="L30" s="81">
        <f t="shared" si="3"/>
        <v>170</v>
      </c>
      <c r="M30" s="59">
        <f>IFERROR(SUMIFS('회수로그'!H:H,'회수로그'!E:E,$A30,'회수로그'!G:G,"창고"),0)</f>
        <v>0</v>
      </c>
      <c r="N30" s="59">
        <f>IFERROR(SUMIFS('회수로그'!H:H,'회수로그'!E:E,$A30,'회수로그'!G:G,"4층지원실"),0)</f>
        <v>0</v>
      </c>
      <c r="O30" s="59">
        <f>IFERROR(SUMIFS('회수로그'!H:H,'회수로그'!E:E,$A30,'회수로그'!G:G,"8층지원실"),0)</f>
        <v>0</v>
      </c>
      <c r="P30" s="59">
        <f t="shared" si="4"/>
        <v>0</v>
      </c>
      <c r="Q30" s="59">
        <f>IFERROR(SUMIFS('재고이동로그'!F:F,'재고이동로그'!C:C,$A30,'재고이동로그'!D:D,"창고"),0)</f>
        <v>0</v>
      </c>
      <c r="R30" s="59">
        <f>IFERROR(SUMIFS('재고이동로그'!F:F,'재고이동로그'!C:C,$A30,'재고이동로그'!E:E,"4층지원실"),0)</f>
        <v>0</v>
      </c>
      <c r="S30" s="82">
        <f>IFERROR(SUMIFS('재고이동로그'!F:F,'재고이동로그'!C:C,$A30,'재고이동로그'!E:E,"8층지원실"),0)</f>
        <v>0</v>
      </c>
      <c r="T30" s="59">
        <f>IFERROR(SUMIFS('재고이동로그'!F:F,'재고이동로그'!C:C,$A30,'재고이동로그'!E:E,"창고"),0)</f>
        <v>0</v>
      </c>
      <c r="U30" s="59">
        <f>IFERROR(SUMIFS('재고이동로그'!F:F,'재고이동로그'!C:C,$A30,'재고이동로그'!E:E,"4층지원실"),0)</f>
        <v>0</v>
      </c>
      <c r="V30" s="59">
        <f>IFERROR(SUMIFS('재고이동로그'!F:F,'재고이동로그'!C:C,$A30,'재고이동로그'!E:E,"8층지원실"),0)</f>
        <v>0</v>
      </c>
      <c r="W30" s="83">
        <f t="shared" ref="W30:Y30" si="33">B30+E30-I30+M30-Q30+T30</f>
        <v>4</v>
      </c>
      <c r="X30" s="83">
        <f t="shared" si="33"/>
        <v>0</v>
      </c>
      <c r="Y30" s="83">
        <f t="shared" si="33"/>
        <v>0</v>
      </c>
      <c r="Z30" s="84">
        <f t="shared" si="6"/>
        <v>4</v>
      </c>
      <c r="AA30" s="59" t="str">
        <f t="shared" si="7"/>
        <v>부족</v>
      </c>
      <c r="AB30" s="59"/>
      <c r="AC30" s="59"/>
      <c r="AD30" s="59"/>
      <c r="AE30" s="59"/>
      <c r="AF30" s="59"/>
    </row>
    <row r="31" ht="15.75" customHeight="1">
      <c r="A31" s="59" t="str">
        <f>IFERROR(__xludf.DUMMYFUNCTION("""COMPUTED_VALUE"""),"(수매깨8주차) J")</f>
        <v>(수매깨8주차) J</v>
      </c>
      <c r="B31" s="77">
        <f>IFERROR(SUMIFS('교재재고'!C:C,'교재재고'!B:B,$A31),0)</f>
        <v>60</v>
      </c>
      <c r="C31" s="77">
        <f>IFERROR(SUMIFS('교재재고'!D:D,'교재재고'!B:B,$A31),0)</f>
        <v>0</v>
      </c>
      <c r="D31" s="77">
        <f>IFERROR(SUMIFS('교재재고'!E:E,'교재재고'!B:B,$A31),0)</f>
        <v>0</v>
      </c>
      <c r="E31" s="78">
        <f>IFERROR(SUMIFS('교재재고'!F:F,'교재재고'!B:B,$A31),0)
+IFERROR(SUMIFS('교재재고'!I:I,'교재재고'!B:B,$A31),0)
+IFERROR(SUMIFS('교재재고'!L:L,'교재재고'!B:B,$A31),0)
+IFERROR(SUMIFS('교재재고'!O:O,'교재재고'!B:B,$A31),0)
+IFERROR(SUMIFS('교재재고'!R:R,'교재재고'!B:B,$A31),0)</f>
        <v>0</v>
      </c>
      <c r="F31" s="79">
        <f>IFERROR(SUMIFS('교재재고'!G:G,'교재재고'!B:B,$A31),0)
+IFERROR(SUMIFS('교재재고'!J:J,'교재재고'!B:B,$A31),0)
+IFERROR(SUMIFS('교재재고'!M:M,'교재재고'!B:B,$A31),0)
+IFERROR(SUMIFS('교재재고'!P:P,'교재재고'!B:B,$A31),0)
+IFERROR(SUMIFS('교재재고'!S:S,'교재재고'!B:B,$A31),0)</f>
        <v>0</v>
      </c>
      <c r="G31" s="79">
        <f>IFERROR(SUMIFS('교재재고'!H:H,'교재재고'!B:B,$A31),0)
+IFERROR(SUMIFS('교재재고'!K:K,'교재재고'!B:B,$A31),0)
+IFERROR(SUMIFS('교재재고'!N:N,'교재재고'!B:B,$A31),0)
+IFERROR(SUMIFS('교재재고'!Q:Q,'교재재고'!B:B,$A31),0)
+IFERROR(SUMIFS('교재재고'!T:T,'교재재고'!B:B,$A31),0)</f>
        <v>0</v>
      </c>
      <c r="H31" s="79">
        <f t="shared" si="2"/>
        <v>60</v>
      </c>
      <c r="I31" s="80">
        <f>IFERROR(SUMIFS('배부로그'!G:G,'배부로그'!D:D,$A31,'배부로그'!F:F,"창고"),0)</f>
        <v>0</v>
      </c>
      <c r="J31" s="59">
        <f>IFERROR(SUMIFS('배부로그'!G:G,'배부로그'!D:D,$A31,'배부로그'!F:F,"4층지원실"),0)</f>
        <v>0</v>
      </c>
      <c r="K31" s="59">
        <f>IFERROR(SUMIFS('배부로그'!G:G,'배부로그'!D:D,$A31,'배부로그'!F:F,"8층지원실"),0)</f>
        <v>0</v>
      </c>
      <c r="L31" s="81">
        <f t="shared" si="3"/>
        <v>0</v>
      </c>
      <c r="M31" s="59">
        <f>IFERROR(SUMIFS('회수로그'!H:H,'회수로그'!E:E,$A31,'회수로그'!G:G,"창고"),0)</f>
        <v>0</v>
      </c>
      <c r="N31" s="59">
        <f>IFERROR(SUMIFS('회수로그'!H:H,'회수로그'!E:E,$A31,'회수로그'!G:G,"4층지원실"),0)</f>
        <v>0</v>
      </c>
      <c r="O31" s="59">
        <f>IFERROR(SUMIFS('회수로그'!H:H,'회수로그'!E:E,$A31,'회수로그'!G:G,"8층지원실"),0)</f>
        <v>0</v>
      </c>
      <c r="P31" s="59">
        <f t="shared" si="4"/>
        <v>0</v>
      </c>
      <c r="Q31" s="59">
        <f>IFERROR(SUMIFS('재고이동로그'!F:F,'재고이동로그'!C:C,$A31,'재고이동로그'!D:D,"창고"),0)</f>
        <v>0</v>
      </c>
      <c r="R31" s="59">
        <f>IFERROR(SUMIFS('재고이동로그'!F:F,'재고이동로그'!C:C,$A31,'재고이동로그'!E:E,"4층지원실"),0)</f>
        <v>0</v>
      </c>
      <c r="S31" s="82">
        <f>IFERROR(SUMIFS('재고이동로그'!F:F,'재고이동로그'!C:C,$A31,'재고이동로그'!E:E,"8층지원실"),0)</f>
        <v>0</v>
      </c>
      <c r="T31" s="59">
        <f>IFERROR(SUMIFS('재고이동로그'!F:F,'재고이동로그'!C:C,$A31,'재고이동로그'!E:E,"창고"),0)</f>
        <v>0</v>
      </c>
      <c r="U31" s="59">
        <f>IFERROR(SUMIFS('재고이동로그'!F:F,'재고이동로그'!C:C,$A31,'재고이동로그'!E:E,"4층지원실"),0)</f>
        <v>0</v>
      </c>
      <c r="V31" s="59">
        <f>IFERROR(SUMIFS('재고이동로그'!F:F,'재고이동로그'!C:C,$A31,'재고이동로그'!E:E,"8층지원실"),0)</f>
        <v>0</v>
      </c>
      <c r="W31" s="83">
        <f t="shared" ref="W31:Y31" si="34">B31+E31-I31+M31-Q31+T31</f>
        <v>60</v>
      </c>
      <c r="X31" s="83">
        <f t="shared" si="34"/>
        <v>0</v>
      </c>
      <c r="Y31" s="83">
        <f t="shared" si="34"/>
        <v>0</v>
      </c>
      <c r="Z31" s="84">
        <f t="shared" si="6"/>
        <v>60</v>
      </c>
      <c r="AA31" s="59" t="str">
        <f t="shared" si="7"/>
        <v>정상</v>
      </c>
      <c r="AB31" s="59"/>
      <c r="AC31" s="59"/>
      <c r="AD31" s="59"/>
      <c r="AE31" s="59"/>
      <c r="AF31" s="59"/>
    </row>
    <row r="32" ht="15.75" customHeight="1">
      <c r="A32" s="59" t="str">
        <f>IFERROR(__xludf.DUMMYFUNCTION("""COMPUTED_VALUE"""),"(수매깨8주차) M")</f>
        <v>(수매깨8주차) M</v>
      </c>
      <c r="B32" s="77">
        <f>IFERROR(SUMIFS('교재재고'!C:C,'교재재고'!B:B,$A32),0)</f>
        <v>122</v>
      </c>
      <c r="C32" s="77">
        <f>IFERROR(SUMIFS('교재재고'!D:D,'교재재고'!B:B,$A32),0)</f>
        <v>0</v>
      </c>
      <c r="D32" s="77">
        <f>IFERROR(SUMIFS('교재재고'!E:E,'교재재고'!B:B,$A32),0)</f>
        <v>0</v>
      </c>
      <c r="E32" s="78">
        <f>IFERROR(SUMIFS('교재재고'!F:F,'교재재고'!B:B,$A32),0)
+IFERROR(SUMIFS('교재재고'!I:I,'교재재고'!B:B,$A32),0)
+IFERROR(SUMIFS('교재재고'!L:L,'교재재고'!B:B,$A32),0)
+IFERROR(SUMIFS('교재재고'!O:O,'교재재고'!B:B,$A32),0)
+IFERROR(SUMIFS('교재재고'!R:R,'교재재고'!B:B,$A32),0)</f>
        <v>0</v>
      </c>
      <c r="F32" s="79">
        <f>IFERROR(SUMIFS('교재재고'!G:G,'교재재고'!B:B,$A32),0)
+IFERROR(SUMIFS('교재재고'!J:J,'교재재고'!B:B,$A32),0)
+IFERROR(SUMIFS('교재재고'!M:M,'교재재고'!B:B,$A32),0)
+IFERROR(SUMIFS('교재재고'!P:P,'교재재고'!B:B,$A32),0)
+IFERROR(SUMIFS('교재재고'!S:S,'교재재고'!B:B,$A32),0)</f>
        <v>0</v>
      </c>
      <c r="G32" s="79">
        <f>IFERROR(SUMIFS('교재재고'!H:H,'교재재고'!B:B,$A32),0)
+IFERROR(SUMIFS('교재재고'!K:K,'교재재고'!B:B,$A32),0)
+IFERROR(SUMIFS('교재재고'!N:N,'교재재고'!B:B,$A32),0)
+IFERROR(SUMIFS('교재재고'!Q:Q,'교재재고'!B:B,$A32),0)
+IFERROR(SUMIFS('교재재고'!T:T,'교재재고'!B:B,$A32),0)</f>
        <v>0</v>
      </c>
      <c r="H32" s="79">
        <f t="shared" si="2"/>
        <v>122</v>
      </c>
      <c r="I32" s="80">
        <f>IFERROR(SUMIFS('배부로그'!G:G,'배부로그'!D:D,$A32,'배부로그'!F:F,"창고"),0)</f>
        <v>0</v>
      </c>
      <c r="J32" s="59">
        <f>IFERROR(SUMIFS('배부로그'!G:G,'배부로그'!D:D,$A32,'배부로그'!F:F,"4층지원실"),0)</f>
        <v>0</v>
      </c>
      <c r="K32" s="59">
        <f>IFERROR(SUMIFS('배부로그'!G:G,'배부로그'!D:D,$A32,'배부로그'!F:F,"8층지원실"),0)</f>
        <v>0</v>
      </c>
      <c r="L32" s="81">
        <f t="shared" si="3"/>
        <v>0</v>
      </c>
      <c r="M32" s="59">
        <f>IFERROR(SUMIFS('회수로그'!H:H,'회수로그'!E:E,$A32,'회수로그'!G:G,"창고"),0)</f>
        <v>0</v>
      </c>
      <c r="N32" s="59">
        <f>IFERROR(SUMIFS('회수로그'!H:H,'회수로그'!E:E,$A32,'회수로그'!G:G,"4층지원실"),0)</f>
        <v>0</v>
      </c>
      <c r="O32" s="59">
        <f>IFERROR(SUMIFS('회수로그'!H:H,'회수로그'!E:E,$A32,'회수로그'!G:G,"8층지원실"),0)</f>
        <v>0</v>
      </c>
      <c r="P32" s="59">
        <f t="shared" si="4"/>
        <v>0</v>
      </c>
      <c r="Q32" s="59">
        <f>IFERROR(SUMIFS('재고이동로그'!F:F,'재고이동로그'!C:C,$A32,'재고이동로그'!D:D,"창고"),0)</f>
        <v>0</v>
      </c>
      <c r="R32" s="59">
        <f>IFERROR(SUMIFS('재고이동로그'!F:F,'재고이동로그'!C:C,$A32,'재고이동로그'!E:E,"4층지원실"),0)</f>
        <v>0</v>
      </c>
      <c r="S32" s="82">
        <f>IFERROR(SUMIFS('재고이동로그'!F:F,'재고이동로그'!C:C,$A32,'재고이동로그'!E:E,"8층지원실"),0)</f>
        <v>0</v>
      </c>
      <c r="T32" s="59">
        <f>IFERROR(SUMIFS('재고이동로그'!F:F,'재고이동로그'!C:C,$A32,'재고이동로그'!E:E,"창고"),0)</f>
        <v>0</v>
      </c>
      <c r="U32" s="59">
        <f>IFERROR(SUMIFS('재고이동로그'!F:F,'재고이동로그'!C:C,$A32,'재고이동로그'!E:E,"4층지원실"),0)</f>
        <v>0</v>
      </c>
      <c r="V32" s="59">
        <f>IFERROR(SUMIFS('재고이동로그'!F:F,'재고이동로그'!C:C,$A32,'재고이동로그'!E:E,"8층지원실"),0)</f>
        <v>0</v>
      </c>
      <c r="W32" s="83">
        <f t="shared" ref="W32:Y32" si="35">B32+E32-I32+M32-Q32+T32</f>
        <v>122</v>
      </c>
      <c r="X32" s="83">
        <f t="shared" si="35"/>
        <v>0</v>
      </c>
      <c r="Y32" s="83">
        <f t="shared" si="35"/>
        <v>0</v>
      </c>
      <c r="Z32" s="84">
        <f t="shared" si="6"/>
        <v>122</v>
      </c>
      <c r="AA32" s="59" t="str">
        <f t="shared" si="7"/>
        <v>정상</v>
      </c>
      <c r="AB32" s="59"/>
      <c r="AC32" s="59"/>
      <c r="AD32" s="59"/>
      <c r="AE32" s="59"/>
      <c r="AF32" s="59"/>
    </row>
    <row r="33" ht="15.75" customHeight="1">
      <c r="A33" s="59" t="str">
        <f>IFERROR(__xludf.DUMMYFUNCTION("""COMPUTED_VALUE"""),"(수매깨8주차) Q")</f>
        <v>(수매깨8주차) Q</v>
      </c>
      <c r="B33" s="77">
        <f>IFERROR(SUMIFS('교재재고'!C:C,'교재재고'!B:B,$A33),0)</f>
        <v>184</v>
      </c>
      <c r="C33" s="77">
        <f>IFERROR(SUMIFS('교재재고'!D:D,'교재재고'!B:B,$A33),0)</f>
        <v>0</v>
      </c>
      <c r="D33" s="77">
        <f>IFERROR(SUMIFS('교재재고'!E:E,'교재재고'!B:B,$A33),0)</f>
        <v>0</v>
      </c>
      <c r="E33" s="78">
        <f>IFERROR(SUMIFS('교재재고'!F:F,'교재재고'!B:B,$A33),0)
+IFERROR(SUMIFS('교재재고'!I:I,'교재재고'!B:B,$A33),0)
+IFERROR(SUMIFS('교재재고'!L:L,'교재재고'!B:B,$A33),0)
+IFERROR(SUMIFS('교재재고'!O:O,'교재재고'!B:B,$A33),0)
+IFERROR(SUMIFS('교재재고'!R:R,'교재재고'!B:B,$A33),0)</f>
        <v>0</v>
      </c>
      <c r="F33" s="79">
        <f>IFERROR(SUMIFS('교재재고'!G:G,'교재재고'!B:B,$A33),0)
+IFERROR(SUMIFS('교재재고'!J:J,'교재재고'!B:B,$A33),0)
+IFERROR(SUMIFS('교재재고'!M:M,'교재재고'!B:B,$A33),0)
+IFERROR(SUMIFS('교재재고'!P:P,'교재재고'!B:B,$A33),0)
+IFERROR(SUMIFS('교재재고'!S:S,'교재재고'!B:B,$A33),0)</f>
        <v>0</v>
      </c>
      <c r="G33" s="79">
        <f>IFERROR(SUMIFS('교재재고'!H:H,'교재재고'!B:B,$A33),0)
+IFERROR(SUMIFS('교재재고'!K:K,'교재재고'!B:B,$A33),0)
+IFERROR(SUMIFS('교재재고'!N:N,'교재재고'!B:B,$A33),0)
+IFERROR(SUMIFS('교재재고'!Q:Q,'교재재고'!B:B,$A33),0)
+IFERROR(SUMIFS('교재재고'!T:T,'교재재고'!B:B,$A33),0)</f>
        <v>0</v>
      </c>
      <c r="H33" s="79">
        <f t="shared" si="2"/>
        <v>184</v>
      </c>
      <c r="I33" s="80">
        <f>IFERROR(SUMIFS('배부로그'!G:G,'배부로그'!D:D,$A33,'배부로그'!F:F,"창고"),0)</f>
        <v>0</v>
      </c>
      <c r="J33" s="59">
        <f>IFERROR(SUMIFS('배부로그'!G:G,'배부로그'!D:D,$A33,'배부로그'!F:F,"4층지원실"),0)</f>
        <v>0</v>
      </c>
      <c r="K33" s="59">
        <f>IFERROR(SUMIFS('배부로그'!G:G,'배부로그'!D:D,$A33,'배부로그'!F:F,"8층지원실"),0)</f>
        <v>0</v>
      </c>
      <c r="L33" s="81">
        <f t="shared" si="3"/>
        <v>0</v>
      </c>
      <c r="M33" s="59">
        <f>IFERROR(SUMIFS('회수로그'!H:H,'회수로그'!E:E,$A33,'회수로그'!G:G,"창고"),0)</f>
        <v>0</v>
      </c>
      <c r="N33" s="59">
        <f>IFERROR(SUMIFS('회수로그'!H:H,'회수로그'!E:E,$A33,'회수로그'!G:G,"4층지원실"),0)</f>
        <v>0</v>
      </c>
      <c r="O33" s="59">
        <f>IFERROR(SUMIFS('회수로그'!H:H,'회수로그'!E:E,$A33,'회수로그'!G:G,"8층지원실"),0)</f>
        <v>0</v>
      </c>
      <c r="P33" s="59">
        <f t="shared" si="4"/>
        <v>0</v>
      </c>
      <c r="Q33" s="59">
        <f>IFERROR(SUMIFS('재고이동로그'!F:F,'재고이동로그'!C:C,$A33,'재고이동로그'!D:D,"창고"),0)</f>
        <v>0</v>
      </c>
      <c r="R33" s="59">
        <f>IFERROR(SUMIFS('재고이동로그'!F:F,'재고이동로그'!C:C,$A33,'재고이동로그'!E:E,"4층지원실"),0)</f>
        <v>0</v>
      </c>
      <c r="S33" s="82">
        <f>IFERROR(SUMIFS('재고이동로그'!F:F,'재고이동로그'!C:C,$A33,'재고이동로그'!E:E,"8층지원실"),0)</f>
        <v>0</v>
      </c>
      <c r="T33" s="59">
        <f>IFERROR(SUMIFS('재고이동로그'!F:F,'재고이동로그'!C:C,$A33,'재고이동로그'!E:E,"창고"),0)</f>
        <v>0</v>
      </c>
      <c r="U33" s="59">
        <f>IFERROR(SUMIFS('재고이동로그'!F:F,'재고이동로그'!C:C,$A33,'재고이동로그'!E:E,"4층지원실"),0)</f>
        <v>0</v>
      </c>
      <c r="V33" s="59">
        <f>IFERROR(SUMIFS('재고이동로그'!F:F,'재고이동로그'!C:C,$A33,'재고이동로그'!E:E,"8층지원실"),0)</f>
        <v>0</v>
      </c>
      <c r="W33" s="83">
        <f t="shared" ref="W33:Y33" si="36">B33+E33-I33+M33-Q33+T33</f>
        <v>184</v>
      </c>
      <c r="X33" s="83">
        <f t="shared" si="36"/>
        <v>0</v>
      </c>
      <c r="Y33" s="83">
        <f t="shared" si="36"/>
        <v>0</v>
      </c>
      <c r="Z33" s="84">
        <f t="shared" si="6"/>
        <v>184</v>
      </c>
      <c r="AA33" s="59" t="str">
        <f t="shared" si="7"/>
        <v>정상</v>
      </c>
      <c r="AB33" s="59"/>
      <c r="AC33" s="59"/>
      <c r="AD33" s="59"/>
      <c r="AE33" s="59"/>
      <c r="AF33" s="59"/>
    </row>
    <row r="34" ht="15.75" customHeight="1">
      <c r="A34" s="59" t="str">
        <f>IFERROR(__xludf.DUMMYFUNCTION("""COMPUTED_VALUE"""),"(수매깨8주차) S")</f>
        <v>(수매깨8주차) S</v>
      </c>
      <c r="B34" s="77">
        <f>IFERROR(SUMIFS('교재재고'!C:C,'교재재고'!B:B,$A34),0)</f>
        <v>132</v>
      </c>
      <c r="C34" s="77">
        <f>IFERROR(SUMIFS('교재재고'!D:D,'교재재고'!B:B,$A34),0)</f>
        <v>0</v>
      </c>
      <c r="D34" s="77">
        <f>IFERROR(SUMIFS('교재재고'!E:E,'교재재고'!B:B,$A34),0)</f>
        <v>0</v>
      </c>
      <c r="E34" s="78">
        <f>IFERROR(SUMIFS('교재재고'!F:F,'교재재고'!B:B,$A34),0)
+IFERROR(SUMIFS('교재재고'!I:I,'교재재고'!B:B,$A34),0)
+IFERROR(SUMIFS('교재재고'!L:L,'교재재고'!B:B,$A34),0)
+IFERROR(SUMIFS('교재재고'!O:O,'교재재고'!B:B,$A34),0)
+IFERROR(SUMIFS('교재재고'!R:R,'교재재고'!B:B,$A34),0)</f>
        <v>0</v>
      </c>
      <c r="F34" s="79">
        <f>IFERROR(SUMIFS('교재재고'!G:G,'교재재고'!B:B,$A34),0)
+IFERROR(SUMIFS('교재재고'!J:J,'교재재고'!B:B,$A34),0)
+IFERROR(SUMIFS('교재재고'!M:M,'교재재고'!B:B,$A34),0)
+IFERROR(SUMIFS('교재재고'!P:P,'교재재고'!B:B,$A34),0)
+IFERROR(SUMIFS('교재재고'!S:S,'교재재고'!B:B,$A34),0)</f>
        <v>0</v>
      </c>
      <c r="G34" s="79">
        <f>IFERROR(SUMIFS('교재재고'!H:H,'교재재고'!B:B,$A34),0)
+IFERROR(SUMIFS('교재재고'!K:K,'교재재고'!B:B,$A34),0)
+IFERROR(SUMIFS('교재재고'!N:N,'교재재고'!B:B,$A34),0)
+IFERROR(SUMIFS('교재재고'!Q:Q,'교재재고'!B:B,$A34),0)
+IFERROR(SUMIFS('교재재고'!T:T,'교재재고'!B:B,$A34),0)</f>
        <v>0</v>
      </c>
      <c r="H34" s="79">
        <f t="shared" si="2"/>
        <v>132</v>
      </c>
      <c r="I34" s="80">
        <f>IFERROR(SUMIFS('배부로그'!G:G,'배부로그'!D:D,$A34,'배부로그'!F:F,"창고"),0)</f>
        <v>0</v>
      </c>
      <c r="J34" s="59">
        <f>IFERROR(SUMIFS('배부로그'!G:G,'배부로그'!D:D,$A34,'배부로그'!F:F,"4층지원실"),0)</f>
        <v>0</v>
      </c>
      <c r="K34" s="59">
        <f>IFERROR(SUMIFS('배부로그'!G:G,'배부로그'!D:D,$A34,'배부로그'!F:F,"8층지원실"),0)</f>
        <v>0</v>
      </c>
      <c r="L34" s="81">
        <f t="shared" si="3"/>
        <v>0</v>
      </c>
      <c r="M34" s="59">
        <f>IFERROR(SUMIFS('회수로그'!H:H,'회수로그'!E:E,$A34,'회수로그'!G:G,"창고"),0)</f>
        <v>0</v>
      </c>
      <c r="N34" s="59">
        <f>IFERROR(SUMIFS('회수로그'!H:H,'회수로그'!E:E,$A34,'회수로그'!G:G,"4층지원실"),0)</f>
        <v>0</v>
      </c>
      <c r="O34" s="59">
        <f>IFERROR(SUMIFS('회수로그'!H:H,'회수로그'!E:E,$A34,'회수로그'!G:G,"8층지원실"),0)</f>
        <v>0</v>
      </c>
      <c r="P34" s="59">
        <f t="shared" si="4"/>
        <v>0</v>
      </c>
      <c r="Q34" s="59">
        <f>IFERROR(SUMIFS('재고이동로그'!F:F,'재고이동로그'!C:C,$A34,'재고이동로그'!D:D,"창고"),0)</f>
        <v>0</v>
      </c>
      <c r="R34" s="59">
        <f>IFERROR(SUMIFS('재고이동로그'!F:F,'재고이동로그'!C:C,$A34,'재고이동로그'!E:E,"4층지원실"),0)</f>
        <v>0</v>
      </c>
      <c r="S34" s="82">
        <f>IFERROR(SUMIFS('재고이동로그'!F:F,'재고이동로그'!C:C,$A34,'재고이동로그'!E:E,"8층지원실"),0)</f>
        <v>0</v>
      </c>
      <c r="T34" s="59">
        <f>IFERROR(SUMIFS('재고이동로그'!F:F,'재고이동로그'!C:C,$A34,'재고이동로그'!E:E,"창고"),0)</f>
        <v>0</v>
      </c>
      <c r="U34" s="59">
        <f>IFERROR(SUMIFS('재고이동로그'!F:F,'재고이동로그'!C:C,$A34,'재고이동로그'!E:E,"4층지원실"),0)</f>
        <v>0</v>
      </c>
      <c r="V34" s="59">
        <f>IFERROR(SUMIFS('재고이동로그'!F:F,'재고이동로그'!C:C,$A34,'재고이동로그'!E:E,"8층지원실"),0)</f>
        <v>0</v>
      </c>
      <c r="W34" s="83">
        <f t="shared" ref="W34:Y34" si="37">B34+E34-I34+M34-Q34+T34</f>
        <v>132</v>
      </c>
      <c r="X34" s="83">
        <f t="shared" si="37"/>
        <v>0</v>
      </c>
      <c r="Y34" s="83">
        <f t="shared" si="37"/>
        <v>0</v>
      </c>
      <c r="Z34" s="84">
        <f t="shared" si="6"/>
        <v>132</v>
      </c>
      <c r="AA34" s="59" t="str">
        <f t="shared" si="7"/>
        <v>정상</v>
      </c>
      <c r="AB34" s="59"/>
      <c r="AC34" s="59"/>
      <c r="AD34" s="59"/>
      <c r="AE34" s="59"/>
      <c r="AF34" s="59"/>
    </row>
    <row r="35" ht="15.75" customHeight="1">
      <c r="A35" s="59" t="str">
        <f>IFERROR(__xludf.DUMMYFUNCTION("""COMPUTED_VALUE"""),"(수매깨8주차) T")</f>
        <v>(수매깨8주차) T</v>
      </c>
      <c r="B35" s="77">
        <f>IFERROR(SUMIFS('교재재고'!C:C,'교재재고'!B:B,$A35),0)</f>
        <v>174</v>
      </c>
      <c r="C35" s="77">
        <f>IFERROR(SUMIFS('교재재고'!D:D,'교재재고'!B:B,$A35),0)</f>
        <v>0</v>
      </c>
      <c r="D35" s="77">
        <f>IFERROR(SUMIFS('교재재고'!E:E,'교재재고'!B:B,$A35),0)</f>
        <v>0</v>
      </c>
      <c r="E35" s="78">
        <f>IFERROR(SUMIFS('교재재고'!F:F,'교재재고'!B:B,$A35),0)
+IFERROR(SUMIFS('교재재고'!I:I,'교재재고'!B:B,$A35),0)
+IFERROR(SUMIFS('교재재고'!L:L,'교재재고'!B:B,$A35),0)
+IFERROR(SUMIFS('교재재고'!O:O,'교재재고'!B:B,$A35),0)
+IFERROR(SUMIFS('교재재고'!R:R,'교재재고'!B:B,$A35),0)</f>
        <v>0</v>
      </c>
      <c r="F35" s="79">
        <f>IFERROR(SUMIFS('교재재고'!G:G,'교재재고'!B:B,$A35),0)
+IFERROR(SUMIFS('교재재고'!J:J,'교재재고'!B:B,$A35),0)
+IFERROR(SUMIFS('교재재고'!M:M,'교재재고'!B:B,$A35),0)
+IFERROR(SUMIFS('교재재고'!P:P,'교재재고'!B:B,$A35),0)
+IFERROR(SUMIFS('교재재고'!S:S,'교재재고'!B:B,$A35),0)</f>
        <v>0</v>
      </c>
      <c r="G35" s="79">
        <f>IFERROR(SUMIFS('교재재고'!H:H,'교재재고'!B:B,$A35),0)
+IFERROR(SUMIFS('교재재고'!K:K,'교재재고'!B:B,$A35),0)
+IFERROR(SUMIFS('교재재고'!N:N,'교재재고'!B:B,$A35),0)
+IFERROR(SUMIFS('교재재고'!Q:Q,'교재재고'!B:B,$A35),0)
+IFERROR(SUMIFS('교재재고'!T:T,'교재재고'!B:B,$A35),0)</f>
        <v>0</v>
      </c>
      <c r="H35" s="79">
        <f t="shared" si="2"/>
        <v>174</v>
      </c>
      <c r="I35" s="80">
        <f>IFERROR(SUMIFS('배부로그'!G:G,'배부로그'!D:D,$A35,'배부로그'!F:F,"창고"),0)</f>
        <v>0</v>
      </c>
      <c r="J35" s="59">
        <f>IFERROR(SUMIFS('배부로그'!G:G,'배부로그'!D:D,$A35,'배부로그'!F:F,"4층지원실"),0)</f>
        <v>0</v>
      </c>
      <c r="K35" s="59">
        <f>IFERROR(SUMIFS('배부로그'!G:G,'배부로그'!D:D,$A35,'배부로그'!F:F,"8층지원실"),0)</f>
        <v>0</v>
      </c>
      <c r="L35" s="81">
        <f t="shared" si="3"/>
        <v>0</v>
      </c>
      <c r="M35" s="59">
        <f>IFERROR(SUMIFS('회수로그'!H:H,'회수로그'!E:E,$A35,'회수로그'!G:G,"창고"),0)</f>
        <v>0</v>
      </c>
      <c r="N35" s="59">
        <f>IFERROR(SUMIFS('회수로그'!H:H,'회수로그'!E:E,$A35,'회수로그'!G:G,"4층지원실"),0)</f>
        <v>0</v>
      </c>
      <c r="O35" s="59">
        <f>IFERROR(SUMIFS('회수로그'!H:H,'회수로그'!E:E,$A35,'회수로그'!G:G,"8층지원실"),0)</f>
        <v>0</v>
      </c>
      <c r="P35" s="59">
        <f t="shared" si="4"/>
        <v>0</v>
      </c>
      <c r="Q35" s="59">
        <f>IFERROR(SUMIFS('재고이동로그'!F:F,'재고이동로그'!C:C,$A35,'재고이동로그'!D:D,"창고"),0)</f>
        <v>0</v>
      </c>
      <c r="R35" s="59">
        <f>IFERROR(SUMIFS('재고이동로그'!F:F,'재고이동로그'!C:C,$A35,'재고이동로그'!E:E,"4층지원실"),0)</f>
        <v>0</v>
      </c>
      <c r="S35" s="82">
        <f>IFERROR(SUMIFS('재고이동로그'!F:F,'재고이동로그'!C:C,$A35,'재고이동로그'!E:E,"8층지원실"),0)</f>
        <v>0</v>
      </c>
      <c r="T35" s="59">
        <f>IFERROR(SUMIFS('재고이동로그'!F:F,'재고이동로그'!C:C,$A35,'재고이동로그'!E:E,"창고"),0)</f>
        <v>0</v>
      </c>
      <c r="U35" s="59">
        <f>IFERROR(SUMIFS('재고이동로그'!F:F,'재고이동로그'!C:C,$A35,'재고이동로그'!E:E,"4층지원실"),0)</f>
        <v>0</v>
      </c>
      <c r="V35" s="59">
        <f>IFERROR(SUMIFS('재고이동로그'!F:F,'재고이동로그'!C:C,$A35,'재고이동로그'!E:E,"8층지원실"),0)</f>
        <v>0</v>
      </c>
      <c r="W35" s="83">
        <f t="shared" ref="W35:Y35" si="38">B35+E35-I35+M35-Q35+T35</f>
        <v>174</v>
      </c>
      <c r="X35" s="83">
        <f t="shared" si="38"/>
        <v>0</v>
      </c>
      <c r="Y35" s="83">
        <f t="shared" si="38"/>
        <v>0</v>
      </c>
      <c r="Z35" s="84">
        <f t="shared" si="6"/>
        <v>174</v>
      </c>
      <c r="AA35" s="59" t="str">
        <f t="shared" si="7"/>
        <v>정상</v>
      </c>
      <c r="AB35" s="59"/>
      <c r="AC35" s="59"/>
      <c r="AD35" s="59"/>
      <c r="AE35" s="59"/>
      <c r="AF35" s="59"/>
    </row>
    <row r="36" ht="15.75" customHeight="1">
      <c r="A36" s="59" t="str">
        <f>IFERROR(__xludf.DUMMYFUNCTION("""COMPUTED_VALUE"""),"(신인섭) 동아시아사")</f>
        <v>(신인섭) 동아시아사</v>
      </c>
      <c r="B36" s="77">
        <f>IFERROR(SUMIFS('교재재고'!C:C,'교재재고'!B:B,$A36),0)</f>
        <v>6</v>
      </c>
      <c r="C36" s="77">
        <f>IFERROR(SUMIFS('교재재고'!D:D,'교재재고'!B:B,$A36),0)</f>
        <v>0</v>
      </c>
      <c r="D36" s="77">
        <f>IFERROR(SUMIFS('교재재고'!E:E,'교재재고'!B:B,$A36),0)</f>
        <v>0</v>
      </c>
      <c r="E36" s="78">
        <f>IFERROR(SUMIFS('교재재고'!F:F,'교재재고'!B:B,$A36),0)
+IFERROR(SUMIFS('교재재고'!I:I,'교재재고'!B:B,$A36),0)
+IFERROR(SUMIFS('교재재고'!L:L,'교재재고'!B:B,$A36),0)
+IFERROR(SUMIFS('교재재고'!O:O,'교재재고'!B:B,$A36),0)
+IFERROR(SUMIFS('교재재고'!R:R,'교재재고'!B:B,$A36),0)</f>
        <v>0</v>
      </c>
      <c r="F36" s="79">
        <f>IFERROR(SUMIFS('교재재고'!G:G,'교재재고'!B:B,$A36),0)
+IFERROR(SUMIFS('교재재고'!J:J,'교재재고'!B:B,$A36),0)
+IFERROR(SUMIFS('교재재고'!M:M,'교재재고'!B:B,$A36),0)
+IFERROR(SUMIFS('교재재고'!P:P,'교재재고'!B:B,$A36),0)
+IFERROR(SUMIFS('교재재고'!S:S,'교재재고'!B:B,$A36),0)</f>
        <v>0</v>
      </c>
      <c r="G36" s="79">
        <f>IFERROR(SUMIFS('교재재고'!H:H,'교재재고'!B:B,$A36),0)
+IFERROR(SUMIFS('교재재고'!K:K,'교재재고'!B:B,$A36),0)
+IFERROR(SUMIFS('교재재고'!N:N,'교재재고'!B:B,$A36),0)
+IFERROR(SUMIFS('교재재고'!Q:Q,'교재재고'!B:B,$A36),0)
+IFERROR(SUMIFS('교재재고'!T:T,'교재재고'!B:B,$A36),0)</f>
        <v>0</v>
      </c>
      <c r="H36" s="79">
        <f t="shared" si="2"/>
        <v>6</v>
      </c>
      <c r="I36" s="80">
        <f>IFERROR(SUMIFS('배부로그'!G:G,'배부로그'!D:D,$A36,'배부로그'!F:F,"창고"),0)</f>
        <v>0</v>
      </c>
      <c r="J36" s="59">
        <f>IFERROR(SUMIFS('배부로그'!G:G,'배부로그'!D:D,$A36,'배부로그'!F:F,"4층지원실"),0)</f>
        <v>0</v>
      </c>
      <c r="K36" s="59">
        <f>IFERROR(SUMIFS('배부로그'!G:G,'배부로그'!D:D,$A36,'배부로그'!F:F,"8층지원실"),0)</f>
        <v>0</v>
      </c>
      <c r="L36" s="81">
        <f t="shared" si="3"/>
        <v>0</v>
      </c>
      <c r="M36" s="59">
        <f>IFERROR(SUMIFS('회수로그'!H:H,'회수로그'!E:E,$A36,'회수로그'!G:G,"창고"),0)</f>
        <v>0</v>
      </c>
      <c r="N36" s="59">
        <f>IFERROR(SUMIFS('회수로그'!H:H,'회수로그'!E:E,$A36,'회수로그'!G:G,"4층지원실"),0)</f>
        <v>0</v>
      </c>
      <c r="O36" s="59">
        <f>IFERROR(SUMIFS('회수로그'!H:H,'회수로그'!E:E,$A36,'회수로그'!G:G,"8층지원실"),0)</f>
        <v>0</v>
      </c>
      <c r="P36" s="59">
        <f t="shared" si="4"/>
        <v>0</v>
      </c>
      <c r="Q36" s="59">
        <f>IFERROR(SUMIFS('재고이동로그'!F:F,'재고이동로그'!C:C,$A36,'재고이동로그'!D:D,"창고"),0)</f>
        <v>0</v>
      </c>
      <c r="R36" s="59">
        <f>IFERROR(SUMIFS('재고이동로그'!F:F,'재고이동로그'!C:C,$A36,'재고이동로그'!E:E,"4층지원실"),0)</f>
        <v>0</v>
      </c>
      <c r="S36" s="82">
        <f>IFERROR(SUMIFS('재고이동로그'!F:F,'재고이동로그'!C:C,$A36,'재고이동로그'!E:E,"8층지원실"),0)</f>
        <v>0</v>
      </c>
      <c r="T36" s="59">
        <f>IFERROR(SUMIFS('재고이동로그'!F:F,'재고이동로그'!C:C,$A36,'재고이동로그'!E:E,"창고"),0)</f>
        <v>0</v>
      </c>
      <c r="U36" s="59">
        <f>IFERROR(SUMIFS('재고이동로그'!F:F,'재고이동로그'!C:C,$A36,'재고이동로그'!E:E,"4층지원실"),0)</f>
        <v>0</v>
      </c>
      <c r="V36" s="59">
        <f>IFERROR(SUMIFS('재고이동로그'!F:F,'재고이동로그'!C:C,$A36,'재고이동로그'!E:E,"8층지원실"),0)</f>
        <v>0</v>
      </c>
      <c r="W36" s="83">
        <f t="shared" ref="W36:Y36" si="39">B36+E36-I36+M36-Q36+T36</f>
        <v>6</v>
      </c>
      <c r="X36" s="83">
        <f t="shared" si="39"/>
        <v>0</v>
      </c>
      <c r="Y36" s="83">
        <f t="shared" si="39"/>
        <v>0</v>
      </c>
      <c r="Z36" s="84">
        <f t="shared" si="6"/>
        <v>6</v>
      </c>
      <c r="AA36" s="59" t="str">
        <f t="shared" si="7"/>
        <v>부족</v>
      </c>
      <c r="AB36" s="59"/>
      <c r="AC36" s="59"/>
      <c r="AD36" s="59"/>
      <c r="AE36" s="59"/>
      <c r="AF36" s="59"/>
    </row>
    <row r="37" ht="15.75" customHeight="1">
      <c r="A37" s="59" t="str">
        <f>IFERROR(__xludf.DUMMYFUNCTION("""COMPUTED_VALUE"""),"(신인섭) 세계사")</f>
        <v>(신인섭) 세계사</v>
      </c>
      <c r="B37" s="77">
        <f>IFERROR(SUMIFS('교재재고'!C:C,'교재재고'!B:B,$A37),0)</f>
        <v>5</v>
      </c>
      <c r="C37" s="77">
        <f>IFERROR(SUMIFS('교재재고'!D:D,'교재재고'!B:B,$A37),0)</f>
        <v>0</v>
      </c>
      <c r="D37" s="77">
        <f>IFERROR(SUMIFS('교재재고'!E:E,'교재재고'!B:B,$A37),0)</f>
        <v>0</v>
      </c>
      <c r="E37" s="78">
        <f>IFERROR(SUMIFS('교재재고'!F:F,'교재재고'!B:B,$A37),0)
+IFERROR(SUMIFS('교재재고'!I:I,'교재재고'!B:B,$A37),0)
+IFERROR(SUMIFS('교재재고'!L:L,'교재재고'!B:B,$A37),0)
+IFERROR(SUMIFS('교재재고'!O:O,'교재재고'!B:B,$A37),0)
+IFERROR(SUMIFS('교재재고'!R:R,'교재재고'!B:B,$A37),0)</f>
        <v>0</v>
      </c>
      <c r="F37" s="79">
        <f>IFERROR(SUMIFS('교재재고'!G:G,'교재재고'!B:B,$A37),0)
+IFERROR(SUMIFS('교재재고'!J:J,'교재재고'!B:B,$A37),0)
+IFERROR(SUMIFS('교재재고'!M:M,'교재재고'!B:B,$A37),0)
+IFERROR(SUMIFS('교재재고'!P:P,'교재재고'!B:B,$A37),0)
+IFERROR(SUMIFS('교재재고'!S:S,'교재재고'!B:B,$A37),0)</f>
        <v>0</v>
      </c>
      <c r="G37" s="79">
        <f>IFERROR(SUMIFS('교재재고'!H:H,'교재재고'!B:B,$A37),0)
+IFERROR(SUMIFS('교재재고'!K:K,'교재재고'!B:B,$A37),0)
+IFERROR(SUMIFS('교재재고'!N:N,'교재재고'!B:B,$A37),0)
+IFERROR(SUMIFS('교재재고'!Q:Q,'교재재고'!B:B,$A37),0)
+IFERROR(SUMIFS('교재재고'!T:T,'교재재고'!B:B,$A37),0)</f>
        <v>0</v>
      </c>
      <c r="H37" s="79">
        <f t="shared" si="2"/>
        <v>5</v>
      </c>
      <c r="I37" s="80">
        <f>IFERROR(SUMIFS('배부로그'!G:G,'배부로그'!D:D,$A37,'배부로그'!F:F,"창고"),0)</f>
        <v>1</v>
      </c>
      <c r="J37" s="59">
        <f>IFERROR(SUMIFS('배부로그'!G:G,'배부로그'!D:D,$A37,'배부로그'!F:F,"4층지원실"),0)</f>
        <v>0</v>
      </c>
      <c r="K37" s="59">
        <f>IFERROR(SUMIFS('배부로그'!G:G,'배부로그'!D:D,$A37,'배부로그'!F:F,"8층지원실"),0)</f>
        <v>0</v>
      </c>
      <c r="L37" s="81">
        <f t="shared" si="3"/>
        <v>1</v>
      </c>
      <c r="M37" s="59">
        <f>IFERROR(SUMIFS('회수로그'!H:H,'회수로그'!E:E,$A37,'회수로그'!G:G,"창고"),0)</f>
        <v>0</v>
      </c>
      <c r="N37" s="59">
        <f>IFERROR(SUMIFS('회수로그'!H:H,'회수로그'!E:E,$A37,'회수로그'!G:G,"4층지원실"),0)</f>
        <v>0</v>
      </c>
      <c r="O37" s="59">
        <f>IFERROR(SUMIFS('회수로그'!H:H,'회수로그'!E:E,$A37,'회수로그'!G:G,"8층지원실"),0)</f>
        <v>0</v>
      </c>
      <c r="P37" s="59">
        <f t="shared" si="4"/>
        <v>0</v>
      </c>
      <c r="Q37" s="59">
        <f>IFERROR(SUMIFS('재고이동로그'!F:F,'재고이동로그'!C:C,$A37,'재고이동로그'!D:D,"창고"),0)</f>
        <v>0</v>
      </c>
      <c r="R37" s="59">
        <f>IFERROR(SUMIFS('재고이동로그'!F:F,'재고이동로그'!C:C,$A37,'재고이동로그'!E:E,"4층지원실"),0)</f>
        <v>0</v>
      </c>
      <c r="S37" s="82">
        <f>IFERROR(SUMIFS('재고이동로그'!F:F,'재고이동로그'!C:C,$A37,'재고이동로그'!E:E,"8층지원실"),0)</f>
        <v>0</v>
      </c>
      <c r="T37" s="59">
        <f>IFERROR(SUMIFS('재고이동로그'!F:F,'재고이동로그'!C:C,$A37,'재고이동로그'!E:E,"창고"),0)</f>
        <v>0</v>
      </c>
      <c r="U37" s="59">
        <f>IFERROR(SUMIFS('재고이동로그'!F:F,'재고이동로그'!C:C,$A37,'재고이동로그'!E:E,"4층지원실"),0)</f>
        <v>0</v>
      </c>
      <c r="V37" s="59">
        <f>IFERROR(SUMIFS('재고이동로그'!F:F,'재고이동로그'!C:C,$A37,'재고이동로그'!E:E,"8층지원실"),0)</f>
        <v>0</v>
      </c>
      <c r="W37" s="83">
        <f t="shared" ref="W37:Y37" si="40">B37+E37-I37+M37-Q37+T37</f>
        <v>4</v>
      </c>
      <c r="X37" s="83">
        <f t="shared" si="40"/>
        <v>0</v>
      </c>
      <c r="Y37" s="83">
        <f t="shared" si="40"/>
        <v>0</v>
      </c>
      <c r="Z37" s="84">
        <f t="shared" si="6"/>
        <v>4</v>
      </c>
      <c r="AA37" s="59" t="str">
        <f t="shared" si="7"/>
        <v>부족</v>
      </c>
      <c r="AB37" s="59"/>
      <c r="AC37" s="59"/>
      <c r="AD37" s="59"/>
      <c r="AE37" s="59"/>
      <c r="AF37" s="59"/>
    </row>
    <row r="38" ht="15.75" customHeight="1">
      <c r="A38" s="59" t="str">
        <f>IFERROR(__xludf.DUMMYFUNCTION("""COMPUTED_VALUE"""),"(신현철) 메멘토_미적(수업)")</f>
        <v>(신현철) 메멘토_미적(수업)</v>
      </c>
      <c r="B38" s="77">
        <f>IFERROR(SUMIFS('교재재고'!C:C,'교재재고'!B:B,$A38),0)</f>
        <v>9</v>
      </c>
      <c r="C38" s="77">
        <f>IFERROR(SUMIFS('교재재고'!D:D,'교재재고'!B:B,$A38),0)</f>
        <v>0</v>
      </c>
      <c r="D38" s="77">
        <f>IFERROR(SUMIFS('교재재고'!E:E,'교재재고'!B:B,$A38),0)</f>
        <v>0</v>
      </c>
      <c r="E38" s="78">
        <f>IFERROR(SUMIFS('교재재고'!F:F,'교재재고'!B:B,$A38),0)
+IFERROR(SUMIFS('교재재고'!I:I,'교재재고'!B:B,$A38),0)
+IFERROR(SUMIFS('교재재고'!L:L,'교재재고'!B:B,$A38),0)
+IFERROR(SUMIFS('교재재고'!O:O,'교재재고'!B:B,$A38),0)
+IFERROR(SUMIFS('교재재고'!R:R,'교재재고'!B:B,$A38),0)</f>
        <v>6</v>
      </c>
      <c r="F38" s="79">
        <f>IFERROR(SUMIFS('교재재고'!G:G,'교재재고'!B:B,$A38),0)
+IFERROR(SUMIFS('교재재고'!J:J,'교재재고'!B:B,$A38),0)
+IFERROR(SUMIFS('교재재고'!M:M,'교재재고'!B:B,$A38),0)
+IFERROR(SUMIFS('교재재고'!P:P,'교재재고'!B:B,$A38),0)
+IFERROR(SUMIFS('교재재고'!S:S,'교재재고'!B:B,$A38),0)</f>
        <v>0</v>
      </c>
      <c r="G38" s="79">
        <f>IFERROR(SUMIFS('교재재고'!H:H,'교재재고'!B:B,$A38),0)
+IFERROR(SUMIFS('교재재고'!K:K,'교재재고'!B:B,$A38),0)
+IFERROR(SUMIFS('교재재고'!N:N,'교재재고'!B:B,$A38),0)
+IFERROR(SUMIFS('교재재고'!Q:Q,'교재재고'!B:B,$A38),0)
+IFERROR(SUMIFS('교재재고'!T:T,'교재재고'!B:B,$A38),0)</f>
        <v>0</v>
      </c>
      <c r="H38" s="79">
        <f t="shared" si="2"/>
        <v>15</v>
      </c>
      <c r="I38" s="80">
        <f>IFERROR(SUMIFS('배부로그'!G:G,'배부로그'!D:D,$A38,'배부로그'!F:F,"창고"),0)</f>
        <v>5</v>
      </c>
      <c r="J38" s="59">
        <f>IFERROR(SUMIFS('배부로그'!G:G,'배부로그'!D:D,$A38,'배부로그'!F:F,"4층지원실"),0)</f>
        <v>0</v>
      </c>
      <c r="K38" s="59">
        <f>IFERROR(SUMIFS('배부로그'!G:G,'배부로그'!D:D,$A38,'배부로그'!F:F,"8층지원실"),0)</f>
        <v>0</v>
      </c>
      <c r="L38" s="81">
        <f t="shared" si="3"/>
        <v>5</v>
      </c>
      <c r="M38" s="59">
        <f>IFERROR(SUMIFS('회수로그'!H:H,'회수로그'!E:E,$A38,'회수로그'!G:G,"창고"),0)</f>
        <v>0</v>
      </c>
      <c r="N38" s="59">
        <f>IFERROR(SUMIFS('회수로그'!H:H,'회수로그'!E:E,$A38,'회수로그'!G:G,"4층지원실"),0)</f>
        <v>0</v>
      </c>
      <c r="O38" s="59">
        <f>IFERROR(SUMIFS('회수로그'!H:H,'회수로그'!E:E,$A38,'회수로그'!G:G,"8층지원실"),0)</f>
        <v>0</v>
      </c>
      <c r="P38" s="59">
        <f t="shared" si="4"/>
        <v>0</v>
      </c>
      <c r="Q38" s="59">
        <f>IFERROR(SUMIFS('재고이동로그'!F:F,'재고이동로그'!C:C,$A38,'재고이동로그'!D:D,"창고"),0)</f>
        <v>0</v>
      </c>
      <c r="R38" s="59">
        <f>IFERROR(SUMIFS('재고이동로그'!F:F,'재고이동로그'!C:C,$A38,'재고이동로그'!E:E,"4층지원실"),0)</f>
        <v>0</v>
      </c>
      <c r="S38" s="82">
        <f>IFERROR(SUMIFS('재고이동로그'!F:F,'재고이동로그'!C:C,$A38,'재고이동로그'!E:E,"8층지원실"),0)</f>
        <v>0</v>
      </c>
      <c r="T38" s="59">
        <f>IFERROR(SUMIFS('재고이동로그'!F:F,'재고이동로그'!C:C,$A38,'재고이동로그'!E:E,"창고"),0)</f>
        <v>0</v>
      </c>
      <c r="U38" s="59">
        <f>IFERROR(SUMIFS('재고이동로그'!F:F,'재고이동로그'!C:C,$A38,'재고이동로그'!E:E,"4층지원실"),0)</f>
        <v>0</v>
      </c>
      <c r="V38" s="59">
        <f>IFERROR(SUMIFS('재고이동로그'!F:F,'재고이동로그'!C:C,$A38,'재고이동로그'!E:E,"8층지원실"),0)</f>
        <v>0</v>
      </c>
      <c r="W38" s="83">
        <f t="shared" ref="W38:Y38" si="41">B38+E38-I38+M38-Q38+T38</f>
        <v>10</v>
      </c>
      <c r="X38" s="83">
        <f t="shared" si="41"/>
        <v>0</v>
      </c>
      <c r="Y38" s="83">
        <f t="shared" si="41"/>
        <v>0</v>
      </c>
      <c r="Z38" s="84">
        <f t="shared" si="6"/>
        <v>10</v>
      </c>
      <c r="AA38" s="59" t="str">
        <f t="shared" si="7"/>
        <v>부족</v>
      </c>
      <c r="AB38" s="59"/>
      <c r="AC38" s="59"/>
      <c r="AD38" s="59"/>
      <c r="AE38" s="59"/>
      <c r="AF38" s="59"/>
    </row>
    <row r="39" ht="15.75" customHeight="1">
      <c r="A39" s="59" t="str">
        <f>IFERROR(__xludf.DUMMYFUNCTION("""COMPUTED_VALUE"""),"(신현철) 메멘토_미적(피드백)")</f>
        <v>(신현철) 메멘토_미적(피드백)</v>
      </c>
      <c r="B39" s="77">
        <f>IFERROR(SUMIFS('교재재고'!C:C,'교재재고'!B:B,$A39),0)</f>
        <v>9</v>
      </c>
      <c r="C39" s="77">
        <f>IFERROR(SUMIFS('교재재고'!D:D,'교재재고'!B:B,$A39),0)</f>
        <v>0</v>
      </c>
      <c r="D39" s="77">
        <f>IFERROR(SUMIFS('교재재고'!E:E,'교재재고'!B:B,$A39),0)</f>
        <v>0</v>
      </c>
      <c r="E39" s="78">
        <f>IFERROR(SUMIFS('교재재고'!F:F,'교재재고'!B:B,$A39),0)
+IFERROR(SUMIFS('교재재고'!I:I,'교재재고'!B:B,$A39),0)
+IFERROR(SUMIFS('교재재고'!L:L,'교재재고'!B:B,$A39),0)
+IFERROR(SUMIFS('교재재고'!O:O,'교재재고'!B:B,$A39),0)
+IFERROR(SUMIFS('교재재고'!R:R,'교재재고'!B:B,$A39),0)</f>
        <v>6</v>
      </c>
      <c r="F39" s="79">
        <f>IFERROR(SUMIFS('교재재고'!G:G,'교재재고'!B:B,$A39),0)
+IFERROR(SUMIFS('교재재고'!J:J,'교재재고'!B:B,$A39),0)
+IFERROR(SUMIFS('교재재고'!M:M,'교재재고'!B:B,$A39),0)
+IFERROR(SUMIFS('교재재고'!P:P,'교재재고'!B:B,$A39),0)
+IFERROR(SUMIFS('교재재고'!S:S,'교재재고'!B:B,$A39),0)</f>
        <v>0</v>
      </c>
      <c r="G39" s="79">
        <f>IFERROR(SUMIFS('교재재고'!H:H,'교재재고'!B:B,$A39),0)
+IFERROR(SUMIFS('교재재고'!K:K,'교재재고'!B:B,$A39),0)
+IFERROR(SUMIFS('교재재고'!N:N,'교재재고'!B:B,$A39),0)
+IFERROR(SUMIFS('교재재고'!Q:Q,'교재재고'!B:B,$A39),0)
+IFERROR(SUMIFS('교재재고'!T:T,'교재재고'!B:B,$A39),0)</f>
        <v>0</v>
      </c>
      <c r="H39" s="79">
        <f t="shared" si="2"/>
        <v>15</v>
      </c>
      <c r="I39" s="80">
        <f>IFERROR(SUMIFS('배부로그'!G:G,'배부로그'!D:D,$A39,'배부로그'!F:F,"창고"),0)</f>
        <v>5</v>
      </c>
      <c r="J39" s="59">
        <f>IFERROR(SUMIFS('배부로그'!G:G,'배부로그'!D:D,$A39,'배부로그'!F:F,"4층지원실"),0)</f>
        <v>0</v>
      </c>
      <c r="K39" s="59">
        <f>IFERROR(SUMIFS('배부로그'!G:G,'배부로그'!D:D,$A39,'배부로그'!F:F,"8층지원실"),0)</f>
        <v>0</v>
      </c>
      <c r="L39" s="81">
        <f t="shared" si="3"/>
        <v>5</v>
      </c>
      <c r="M39" s="59">
        <f>IFERROR(SUMIFS('회수로그'!H:H,'회수로그'!E:E,$A39,'회수로그'!G:G,"창고"),0)</f>
        <v>0</v>
      </c>
      <c r="N39" s="59">
        <f>IFERROR(SUMIFS('회수로그'!H:H,'회수로그'!E:E,$A39,'회수로그'!G:G,"4층지원실"),0)</f>
        <v>0</v>
      </c>
      <c r="O39" s="59">
        <f>IFERROR(SUMIFS('회수로그'!H:H,'회수로그'!E:E,$A39,'회수로그'!G:G,"8층지원실"),0)</f>
        <v>0</v>
      </c>
      <c r="P39" s="59">
        <f t="shared" si="4"/>
        <v>0</v>
      </c>
      <c r="Q39" s="59">
        <f>IFERROR(SUMIFS('재고이동로그'!F:F,'재고이동로그'!C:C,$A39,'재고이동로그'!D:D,"창고"),0)</f>
        <v>0</v>
      </c>
      <c r="R39" s="59">
        <f>IFERROR(SUMIFS('재고이동로그'!F:F,'재고이동로그'!C:C,$A39,'재고이동로그'!E:E,"4층지원실"),0)</f>
        <v>0</v>
      </c>
      <c r="S39" s="82">
        <f>IFERROR(SUMIFS('재고이동로그'!F:F,'재고이동로그'!C:C,$A39,'재고이동로그'!E:E,"8층지원실"),0)</f>
        <v>0</v>
      </c>
      <c r="T39" s="59">
        <f>IFERROR(SUMIFS('재고이동로그'!F:F,'재고이동로그'!C:C,$A39,'재고이동로그'!E:E,"창고"),0)</f>
        <v>0</v>
      </c>
      <c r="U39" s="59">
        <f>IFERROR(SUMIFS('재고이동로그'!F:F,'재고이동로그'!C:C,$A39,'재고이동로그'!E:E,"4층지원실"),0)</f>
        <v>0</v>
      </c>
      <c r="V39" s="59">
        <f>IFERROR(SUMIFS('재고이동로그'!F:F,'재고이동로그'!C:C,$A39,'재고이동로그'!E:E,"8층지원실"),0)</f>
        <v>0</v>
      </c>
      <c r="W39" s="83">
        <f t="shared" ref="W39:Y39" si="42">B39+E39-I39+M39-Q39+T39</f>
        <v>10</v>
      </c>
      <c r="X39" s="83">
        <f t="shared" si="42"/>
        <v>0</v>
      </c>
      <c r="Y39" s="83">
        <f t="shared" si="42"/>
        <v>0</v>
      </c>
      <c r="Z39" s="84">
        <f t="shared" si="6"/>
        <v>10</v>
      </c>
      <c r="AA39" s="59" t="str">
        <f t="shared" si="7"/>
        <v>부족</v>
      </c>
      <c r="AB39" s="59"/>
      <c r="AC39" s="59"/>
      <c r="AD39" s="59"/>
      <c r="AE39" s="59"/>
      <c r="AF39" s="59"/>
    </row>
    <row r="40" ht="15.75" customHeight="1">
      <c r="A40" s="59" t="str">
        <f>IFERROR(__xludf.DUMMYFUNCTION("""COMPUTED_VALUE"""),"(신현철) 메멘토_수2(수업)")</f>
        <v>(신현철) 메멘토_수2(수업)</v>
      </c>
      <c r="B40" s="77">
        <f>IFERROR(SUMIFS('교재재고'!C:C,'교재재고'!B:B,$A40),0)</f>
        <v>19</v>
      </c>
      <c r="C40" s="77">
        <f>IFERROR(SUMIFS('교재재고'!D:D,'교재재고'!B:B,$A40),0)</f>
        <v>0</v>
      </c>
      <c r="D40" s="77">
        <f>IFERROR(SUMIFS('교재재고'!E:E,'교재재고'!B:B,$A40),0)</f>
        <v>0</v>
      </c>
      <c r="E40" s="78">
        <f>IFERROR(SUMIFS('교재재고'!F:F,'교재재고'!B:B,$A40),0)
+IFERROR(SUMIFS('교재재고'!I:I,'교재재고'!B:B,$A40),0)
+IFERROR(SUMIFS('교재재고'!L:L,'교재재고'!B:B,$A40),0)
+IFERROR(SUMIFS('교재재고'!O:O,'교재재고'!B:B,$A40),0)
+IFERROR(SUMIFS('교재재고'!R:R,'교재재고'!B:B,$A40),0)</f>
        <v>6</v>
      </c>
      <c r="F40" s="79">
        <f>IFERROR(SUMIFS('교재재고'!G:G,'교재재고'!B:B,$A40),0)
+IFERROR(SUMIFS('교재재고'!J:J,'교재재고'!B:B,$A40),0)
+IFERROR(SUMIFS('교재재고'!M:M,'교재재고'!B:B,$A40),0)
+IFERROR(SUMIFS('교재재고'!P:P,'교재재고'!B:B,$A40),0)
+IFERROR(SUMIFS('교재재고'!S:S,'교재재고'!B:B,$A40),0)</f>
        <v>0</v>
      </c>
      <c r="G40" s="79">
        <f>IFERROR(SUMIFS('교재재고'!H:H,'교재재고'!B:B,$A40),0)
+IFERROR(SUMIFS('교재재고'!K:K,'교재재고'!B:B,$A40),0)
+IFERROR(SUMIFS('교재재고'!N:N,'교재재고'!B:B,$A40),0)
+IFERROR(SUMIFS('교재재고'!Q:Q,'교재재고'!B:B,$A40),0)
+IFERROR(SUMIFS('교재재고'!T:T,'교재재고'!B:B,$A40),0)</f>
        <v>0</v>
      </c>
      <c r="H40" s="79">
        <f t="shared" si="2"/>
        <v>25</v>
      </c>
      <c r="I40" s="80">
        <f>IFERROR(SUMIFS('배부로그'!G:G,'배부로그'!D:D,$A40,'배부로그'!F:F,"창고"),0)</f>
        <v>7</v>
      </c>
      <c r="J40" s="59">
        <f>IFERROR(SUMIFS('배부로그'!G:G,'배부로그'!D:D,$A40,'배부로그'!F:F,"4층지원실"),0)</f>
        <v>0</v>
      </c>
      <c r="K40" s="59">
        <f>IFERROR(SUMIFS('배부로그'!G:G,'배부로그'!D:D,$A40,'배부로그'!F:F,"8층지원실"),0)</f>
        <v>0</v>
      </c>
      <c r="L40" s="81">
        <f t="shared" si="3"/>
        <v>7</v>
      </c>
      <c r="M40" s="59">
        <f>IFERROR(SUMIFS('회수로그'!H:H,'회수로그'!E:E,$A40,'회수로그'!G:G,"창고"),0)</f>
        <v>0</v>
      </c>
      <c r="N40" s="59">
        <f>IFERROR(SUMIFS('회수로그'!H:H,'회수로그'!E:E,$A40,'회수로그'!G:G,"4층지원실"),0)</f>
        <v>0</v>
      </c>
      <c r="O40" s="59">
        <f>IFERROR(SUMIFS('회수로그'!H:H,'회수로그'!E:E,$A40,'회수로그'!G:G,"8층지원실"),0)</f>
        <v>0</v>
      </c>
      <c r="P40" s="59">
        <f t="shared" si="4"/>
        <v>0</v>
      </c>
      <c r="Q40" s="59">
        <f>IFERROR(SUMIFS('재고이동로그'!F:F,'재고이동로그'!C:C,$A40,'재고이동로그'!D:D,"창고"),0)</f>
        <v>0</v>
      </c>
      <c r="R40" s="59">
        <f>IFERROR(SUMIFS('재고이동로그'!F:F,'재고이동로그'!C:C,$A40,'재고이동로그'!E:E,"4층지원실"),0)</f>
        <v>0</v>
      </c>
      <c r="S40" s="82">
        <f>IFERROR(SUMIFS('재고이동로그'!F:F,'재고이동로그'!C:C,$A40,'재고이동로그'!E:E,"8층지원실"),0)</f>
        <v>0</v>
      </c>
      <c r="T40" s="59">
        <f>IFERROR(SUMIFS('재고이동로그'!F:F,'재고이동로그'!C:C,$A40,'재고이동로그'!E:E,"창고"),0)</f>
        <v>0</v>
      </c>
      <c r="U40" s="59">
        <f>IFERROR(SUMIFS('재고이동로그'!F:F,'재고이동로그'!C:C,$A40,'재고이동로그'!E:E,"4층지원실"),0)</f>
        <v>0</v>
      </c>
      <c r="V40" s="59">
        <f>IFERROR(SUMIFS('재고이동로그'!F:F,'재고이동로그'!C:C,$A40,'재고이동로그'!E:E,"8층지원실"),0)</f>
        <v>0</v>
      </c>
      <c r="W40" s="83">
        <f t="shared" ref="W40:Y40" si="43">B40+E40-I40+M40-Q40+T40</f>
        <v>18</v>
      </c>
      <c r="X40" s="83">
        <f t="shared" si="43"/>
        <v>0</v>
      </c>
      <c r="Y40" s="83">
        <f t="shared" si="43"/>
        <v>0</v>
      </c>
      <c r="Z40" s="84">
        <f t="shared" si="6"/>
        <v>18</v>
      </c>
      <c r="AA40" s="59" t="str">
        <f t="shared" si="7"/>
        <v>부족</v>
      </c>
      <c r="AB40" s="59"/>
      <c r="AC40" s="59"/>
      <c r="AD40" s="59"/>
      <c r="AE40" s="59"/>
      <c r="AF40" s="59"/>
    </row>
    <row r="41" ht="15.75" customHeight="1">
      <c r="A41" s="59" t="str">
        <f>IFERROR(__xludf.DUMMYFUNCTION("""COMPUTED_VALUE"""),"(신현철) 메멘토_수2(피드백)")</f>
        <v>(신현철) 메멘토_수2(피드백)</v>
      </c>
      <c r="B41" s="77">
        <f>IFERROR(SUMIFS('교재재고'!C:C,'교재재고'!B:B,$A41),0)</f>
        <v>20</v>
      </c>
      <c r="C41" s="77">
        <f>IFERROR(SUMIFS('교재재고'!D:D,'교재재고'!B:B,$A41),0)</f>
        <v>0</v>
      </c>
      <c r="D41" s="77">
        <f>IFERROR(SUMIFS('교재재고'!E:E,'교재재고'!B:B,$A41),0)</f>
        <v>0</v>
      </c>
      <c r="E41" s="78">
        <f>IFERROR(SUMIFS('교재재고'!F:F,'교재재고'!B:B,$A41),0)
+IFERROR(SUMIFS('교재재고'!I:I,'교재재고'!B:B,$A41),0)
+IFERROR(SUMIFS('교재재고'!L:L,'교재재고'!B:B,$A41),0)
+IFERROR(SUMIFS('교재재고'!O:O,'교재재고'!B:B,$A41),0)
+IFERROR(SUMIFS('교재재고'!R:R,'교재재고'!B:B,$A41),0)</f>
        <v>6</v>
      </c>
      <c r="F41" s="79">
        <f>IFERROR(SUMIFS('교재재고'!G:G,'교재재고'!B:B,$A41),0)
+IFERROR(SUMIFS('교재재고'!J:J,'교재재고'!B:B,$A41),0)
+IFERROR(SUMIFS('교재재고'!M:M,'교재재고'!B:B,$A41),0)
+IFERROR(SUMIFS('교재재고'!P:P,'교재재고'!B:B,$A41),0)
+IFERROR(SUMIFS('교재재고'!S:S,'교재재고'!B:B,$A41),0)</f>
        <v>0</v>
      </c>
      <c r="G41" s="79">
        <f>IFERROR(SUMIFS('교재재고'!H:H,'교재재고'!B:B,$A41),0)
+IFERROR(SUMIFS('교재재고'!K:K,'교재재고'!B:B,$A41),0)
+IFERROR(SUMIFS('교재재고'!N:N,'교재재고'!B:B,$A41),0)
+IFERROR(SUMIFS('교재재고'!Q:Q,'교재재고'!B:B,$A41),0)
+IFERROR(SUMIFS('교재재고'!T:T,'교재재고'!B:B,$A41),0)</f>
        <v>0</v>
      </c>
      <c r="H41" s="79">
        <f t="shared" si="2"/>
        <v>26</v>
      </c>
      <c r="I41" s="80">
        <f>IFERROR(SUMIFS('배부로그'!G:G,'배부로그'!D:D,$A41,'배부로그'!F:F,"창고"),0)</f>
        <v>7</v>
      </c>
      <c r="J41" s="59">
        <f>IFERROR(SUMIFS('배부로그'!G:G,'배부로그'!D:D,$A41,'배부로그'!F:F,"4층지원실"),0)</f>
        <v>0</v>
      </c>
      <c r="K41" s="59">
        <f>IFERROR(SUMIFS('배부로그'!G:G,'배부로그'!D:D,$A41,'배부로그'!F:F,"8층지원실"),0)</f>
        <v>0</v>
      </c>
      <c r="L41" s="81">
        <f t="shared" si="3"/>
        <v>7</v>
      </c>
      <c r="M41" s="59">
        <f>IFERROR(SUMIFS('회수로그'!H:H,'회수로그'!E:E,$A41,'회수로그'!G:G,"창고"),0)</f>
        <v>0</v>
      </c>
      <c r="N41" s="59">
        <f>IFERROR(SUMIFS('회수로그'!H:H,'회수로그'!E:E,$A41,'회수로그'!G:G,"4층지원실"),0)</f>
        <v>0</v>
      </c>
      <c r="O41" s="59">
        <f>IFERROR(SUMIFS('회수로그'!H:H,'회수로그'!E:E,$A41,'회수로그'!G:G,"8층지원실"),0)</f>
        <v>0</v>
      </c>
      <c r="P41" s="59">
        <f t="shared" si="4"/>
        <v>0</v>
      </c>
      <c r="Q41" s="59">
        <f>IFERROR(SUMIFS('재고이동로그'!F:F,'재고이동로그'!C:C,$A41,'재고이동로그'!D:D,"창고"),0)</f>
        <v>0</v>
      </c>
      <c r="R41" s="59">
        <f>IFERROR(SUMIFS('재고이동로그'!F:F,'재고이동로그'!C:C,$A41,'재고이동로그'!E:E,"4층지원실"),0)</f>
        <v>0</v>
      </c>
      <c r="S41" s="82">
        <f>IFERROR(SUMIFS('재고이동로그'!F:F,'재고이동로그'!C:C,$A41,'재고이동로그'!E:E,"8층지원실"),0)</f>
        <v>0</v>
      </c>
      <c r="T41" s="59">
        <f>IFERROR(SUMIFS('재고이동로그'!F:F,'재고이동로그'!C:C,$A41,'재고이동로그'!E:E,"창고"),0)</f>
        <v>0</v>
      </c>
      <c r="U41" s="59">
        <f>IFERROR(SUMIFS('재고이동로그'!F:F,'재고이동로그'!C:C,$A41,'재고이동로그'!E:E,"4층지원실"),0)</f>
        <v>0</v>
      </c>
      <c r="V41" s="59">
        <f>IFERROR(SUMIFS('재고이동로그'!F:F,'재고이동로그'!C:C,$A41,'재고이동로그'!E:E,"8층지원실"),0)</f>
        <v>0</v>
      </c>
      <c r="W41" s="83">
        <f t="shared" ref="W41:Y41" si="44">B41+E41-I41+M41-Q41+T41</f>
        <v>19</v>
      </c>
      <c r="X41" s="83">
        <f t="shared" si="44"/>
        <v>0</v>
      </c>
      <c r="Y41" s="83">
        <f t="shared" si="44"/>
        <v>0</v>
      </c>
      <c r="Z41" s="84">
        <f t="shared" si="6"/>
        <v>19</v>
      </c>
      <c r="AA41" s="59" t="str">
        <f t="shared" si="7"/>
        <v>부족</v>
      </c>
      <c r="AB41" s="59"/>
      <c r="AC41" s="59"/>
      <c r="AD41" s="59"/>
      <c r="AE41" s="59"/>
      <c r="AF41" s="59"/>
    </row>
    <row r="42" ht="15.75" customHeight="1">
      <c r="A42" s="59" t="str">
        <f>IFERROR(__xludf.DUMMYFUNCTION("""COMPUTED_VALUE"""),"(신현철) 메멘토_확통(수업)")</f>
        <v>(신현철) 메멘토_확통(수업)</v>
      </c>
      <c r="B42" s="77">
        <f>IFERROR(SUMIFS('교재재고'!C:C,'교재재고'!B:B,$A42),0)</f>
        <v>9</v>
      </c>
      <c r="C42" s="77">
        <f>IFERROR(SUMIFS('교재재고'!D:D,'교재재고'!B:B,$A42),0)</f>
        <v>0</v>
      </c>
      <c r="D42" s="77">
        <f>IFERROR(SUMIFS('교재재고'!E:E,'교재재고'!B:B,$A42),0)</f>
        <v>0</v>
      </c>
      <c r="E42" s="78">
        <f>IFERROR(SUMIFS('교재재고'!F:F,'교재재고'!B:B,$A42),0)
+IFERROR(SUMIFS('교재재고'!I:I,'교재재고'!B:B,$A42),0)
+IFERROR(SUMIFS('교재재고'!L:L,'교재재고'!B:B,$A42),0)
+IFERROR(SUMIFS('교재재고'!O:O,'교재재고'!B:B,$A42),0)
+IFERROR(SUMIFS('교재재고'!R:R,'교재재고'!B:B,$A42),0)</f>
        <v>0</v>
      </c>
      <c r="F42" s="79">
        <f>IFERROR(SUMIFS('교재재고'!G:G,'교재재고'!B:B,$A42),0)
+IFERROR(SUMIFS('교재재고'!J:J,'교재재고'!B:B,$A42),0)
+IFERROR(SUMIFS('교재재고'!M:M,'교재재고'!B:B,$A42),0)
+IFERROR(SUMIFS('교재재고'!P:P,'교재재고'!B:B,$A42),0)
+IFERROR(SUMIFS('교재재고'!S:S,'교재재고'!B:B,$A42),0)</f>
        <v>0</v>
      </c>
      <c r="G42" s="79">
        <f>IFERROR(SUMIFS('교재재고'!H:H,'교재재고'!B:B,$A42),0)
+IFERROR(SUMIFS('교재재고'!K:K,'교재재고'!B:B,$A42),0)
+IFERROR(SUMIFS('교재재고'!N:N,'교재재고'!B:B,$A42),0)
+IFERROR(SUMIFS('교재재고'!Q:Q,'교재재고'!B:B,$A42),0)
+IFERROR(SUMIFS('교재재고'!T:T,'교재재고'!B:B,$A42),0)</f>
        <v>0</v>
      </c>
      <c r="H42" s="79">
        <f t="shared" si="2"/>
        <v>9</v>
      </c>
      <c r="I42" s="80">
        <f>IFERROR(SUMIFS('배부로그'!G:G,'배부로그'!D:D,$A42,'배부로그'!F:F,"창고"),0)</f>
        <v>3</v>
      </c>
      <c r="J42" s="59">
        <f>IFERROR(SUMIFS('배부로그'!G:G,'배부로그'!D:D,$A42,'배부로그'!F:F,"4층지원실"),0)</f>
        <v>0</v>
      </c>
      <c r="K42" s="59">
        <f>IFERROR(SUMIFS('배부로그'!G:G,'배부로그'!D:D,$A42,'배부로그'!F:F,"8층지원실"),0)</f>
        <v>0</v>
      </c>
      <c r="L42" s="81">
        <f t="shared" si="3"/>
        <v>3</v>
      </c>
      <c r="M42" s="59">
        <f>IFERROR(SUMIFS('회수로그'!H:H,'회수로그'!E:E,$A42,'회수로그'!G:G,"창고"),0)</f>
        <v>0</v>
      </c>
      <c r="N42" s="59">
        <f>IFERROR(SUMIFS('회수로그'!H:H,'회수로그'!E:E,$A42,'회수로그'!G:G,"4층지원실"),0)</f>
        <v>0</v>
      </c>
      <c r="O42" s="59">
        <f>IFERROR(SUMIFS('회수로그'!H:H,'회수로그'!E:E,$A42,'회수로그'!G:G,"8층지원실"),0)</f>
        <v>0</v>
      </c>
      <c r="P42" s="59">
        <f t="shared" si="4"/>
        <v>0</v>
      </c>
      <c r="Q42" s="59">
        <f>IFERROR(SUMIFS('재고이동로그'!F:F,'재고이동로그'!C:C,$A42,'재고이동로그'!D:D,"창고"),0)</f>
        <v>0</v>
      </c>
      <c r="R42" s="59">
        <f>IFERROR(SUMIFS('재고이동로그'!F:F,'재고이동로그'!C:C,$A42,'재고이동로그'!E:E,"4층지원실"),0)</f>
        <v>0</v>
      </c>
      <c r="S42" s="82">
        <f>IFERROR(SUMIFS('재고이동로그'!F:F,'재고이동로그'!C:C,$A42,'재고이동로그'!E:E,"8층지원실"),0)</f>
        <v>0</v>
      </c>
      <c r="T42" s="59">
        <f>IFERROR(SUMIFS('재고이동로그'!F:F,'재고이동로그'!C:C,$A42,'재고이동로그'!E:E,"창고"),0)</f>
        <v>0</v>
      </c>
      <c r="U42" s="59">
        <f>IFERROR(SUMIFS('재고이동로그'!F:F,'재고이동로그'!C:C,$A42,'재고이동로그'!E:E,"4층지원실"),0)</f>
        <v>0</v>
      </c>
      <c r="V42" s="59">
        <f>IFERROR(SUMIFS('재고이동로그'!F:F,'재고이동로그'!C:C,$A42,'재고이동로그'!E:E,"8층지원실"),0)</f>
        <v>0</v>
      </c>
      <c r="W42" s="83">
        <f t="shared" ref="W42:Y42" si="45">B42+E42-I42+M42-Q42+T42</f>
        <v>6</v>
      </c>
      <c r="X42" s="83">
        <f t="shared" si="45"/>
        <v>0</v>
      </c>
      <c r="Y42" s="83">
        <f t="shared" si="45"/>
        <v>0</v>
      </c>
      <c r="Z42" s="84">
        <f t="shared" si="6"/>
        <v>6</v>
      </c>
      <c r="AA42" s="59" t="str">
        <f t="shared" si="7"/>
        <v>부족</v>
      </c>
      <c r="AB42" s="59"/>
      <c r="AC42" s="59"/>
      <c r="AD42" s="59"/>
      <c r="AE42" s="59"/>
      <c r="AF42" s="59"/>
    </row>
    <row r="43" ht="15.75" customHeight="1">
      <c r="A43" s="59" t="str">
        <f>IFERROR(__xludf.DUMMYFUNCTION("""COMPUTED_VALUE"""),"(신현철) 메멘토_확통(피드백)")</f>
        <v>(신현철) 메멘토_확통(피드백)</v>
      </c>
      <c r="B43" s="77">
        <f>IFERROR(SUMIFS('교재재고'!C:C,'교재재고'!B:B,$A43),0)</f>
        <v>9</v>
      </c>
      <c r="C43" s="77">
        <f>IFERROR(SUMIFS('교재재고'!D:D,'교재재고'!B:B,$A43),0)</f>
        <v>0</v>
      </c>
      <c r="D43" s="77">
        <f>IFERROR(SUMIFS('교재재고'!E:E,'교재재고'!B:B,$A43),0)</f>
        <v>0</v>
      </c>
      <c r="E43" s="78">
        <f>IFERROR(SUMIFS('교재재고'!F:F,'교재재고'!B:B,$A43),0)
+IFERROR(SUMIFS('교재재고'!I:I,'교재재고'!B:B,$A43),0)
+IFERROR(SUMIFS('교재재고'!L:L,'교재재고'!B:B,$A43),0)
+IFERROR(SUMIFS('교재재고'!O:O,'교재재고'!B:B,$A43),0)
+IFERROR(SUMIFS('교재재고'!R:R,'교재재고'!B:B,$A43),0)</f>
        <v>0</v>
      </c>
      <c r="F43" s="79">
        <f>IFERROR(SUMIFS('교재재고'!G:G,'교재재고'!B:B,$A43),0)
+IFERROR(SUMIFS('교재재고'!J:J,'교재재고'!B:B,$A43),0)
+IFERROR(SUMIFS('교재재고'!M:M,'교재재고'!B:B,$A43),0)
+IFERROR(SUMIFS('교재재고'!P:P,'교재재고'!B:B,$A43),0)
+IFERROR(SUMIFS('교재재고'!S:S,'교재재고'!B:B,$A43),0)</f>
        <v>0</v>
      </c>
      <c r="G43" s="79">
        <f>IFERROR(SUMIFS('교재재고'!H:H,'교재재고'!B:B,$A43),0)
+IFERROR(SUMIFS('교재재고'!K:K,'교재재고'!B:B,$A43),0)
+IFERROR(SUMIFS('교재재고'!N:N,'교재재고'!B:B,$A43),0)
+IFERROR(SUMIFS('교재재고'!Q:Q,'교재재고'!B:B,$A43),0)
+IFERROR(SUMIFS('교재재고'!T:T,'교재재고'!B:B,$A43),0)</f>
        <v>0</v>
      </c>
      <c r="H43" s="79">
        <f t="shared" si="2"/>
        <v>9</v>
      </c>
      <c r="I43" s="80">
        <f>IFERROR(SUMIFS('배부로그'!G:G,'배부로그'!D:D,$A43,'배부로그'!F:F,"창고"),0)</f>
        <v>1</v>
      </c>
      <c r="J43" s="59">
        <f>IFERROR(SUMIFS('배부로그'!G:G,'배부로그'!D:D,$A43,'배부로그'!F:F,"4층지원실"),0)</f>
        <v>0</v>
      </c>
      <c r="K43" s="59">
        <f>IFERROR(SUMIFS('배부로그'!G:G,'배부로그'!D:D,$A43,'배부로그'!F:F,"8층지원실"),0)</f>
        <v>0</v>
      </c>
      <c r="L43" s="81">
        <f t="shared" si="3"/>
        <v>1</v>
      </c>
      <c r="M43" s="59">
        <f>IFERROR(SUMIFS('회수로그'!H:H,'회수로그'!E:E,$A43,'회수로그'!G:G,"창고"),0)</f>
        <v>0</v>
      </c>
      <c r="N43" s="59">
        <f>IFERROR(SUMIFS('회수로그'!H:H,'회수로그'!E:E,$A43,'회수로그'!G:G,"4층지원실"),0)</f>
        <v>0</v>
      </c>
      <c r="O43" s="59">
        <f>IFERROR(SUMIFS('회수로그'!H:H,'회수로그'!E:E,$A43,'회수로그'!G:G,"8층지원실"),0)</f>
        <v>0</v>
      </c>
      <c r="P43" s="59">
        <f t="shared" si="4"/>
        <v>0</v>
      </c>
      <c r="Q43" s="59">
        <f>IFERROR(SUMIFS('재고이동로그'!F:F,'재고이동로그'!C:C,$A43,'재고이동로그'!D:D,"창고"),0)</f>
        <v>0</v>
      </c>
      <c r="R43" s="59">
        <f>IFERROR(SUMIFS('재고이동로그'!F:F,'재고이동로그'!C:C,$A43,'재고이동로그'!E:E,"4층지원실"),0)</f>
        <v>0</v>
      </c>
      <c r="S43" s="82">
        <f>IFERROR(SUMIFS('재고이동로그'!F:F,'재고이동로그'!C:C,$A43,'재고이동로그'!E:E,"8층지원실"),0)</f>
        <v>0</v>
      </c>
      <c r="T43" s="59">
        <f>IFERROR(SUMIFS('재고이동로그'!F:F,'재고이동로그'!C:C,$A43,'재고이동로그'!E:E,"창고"),0)</f>
        <v>0</v>
      </c>
      <c r="U43" s="59">
        <f>IFERROR(SUMIFS('재고이동로그'!F:F,'재고이동로그'!C:C,$A43,'재고이동로그'!E:E,"4층지원실"),0)</f>
        <v>0</v>
      </c>
      <c r="V43" s="59">
        <f>IFERROR(SUMIFS('재고이동로그'!F:F,'재고이동로그'!C:C,$A43,'재고이동로그'!E:E,"8층지원실"),0)</f>
        <v>0</v>
      </c>
      <c r="W43" s="83">
        <f t="shared" ref="W43:Y43" si="46">B43+E43-I43+M43-Q43+T43</f>
        <v>8</v>
      </c>
      <c r="X43" s="83">
        <f t="shared" si="46"/>
        <v>0</v>
      </c>
      <c r="Y43" s="83">
        <f t="shared" si="46"/>
        <v>0</v>
      </c>
      <c r="Z43" s="84">
        <f t="shared" si="6"/>
        <v>8</v>
      </c>
      <c r="AA43" s="59" t="str">
        <f t="shared" si="7"/>
        <v>부족</v>
      </c>
      <c r="AB43" s="59"/>
      <c r="AC43" s="59"/>
      <c r="AD43" s="59"/>
      <c r="AE43" s="59"/>
      <c r="AF43" s="59"/>
    </row>
    <row r="44" ht="15.75" customHeight="1">
      <c r="A44" s="59" t="str">
        <f>IFERROR(__xludf.DUMMYFUNCTION("""COMPUTED_VALUE"""),"(영매깨) 1학기")</f>
        <v>(영매깨) 1학기</v>
      </c>
      <c r="B44" s="77">
        <f>IFERROR(SUMIFS('교재재고'!C:C,'교재재고'!B:B,$A44),0)</f>
        <v>11</v>
      </c>
      <c r="C44" s="77">
        <f>IFERROR(SUMIFS('교재재고'!D:D,'교재재고'!B:B,$A44),0)</f>
        <v>0</v>
      </c>
      <c r="D44" s="77">
        <f>IFERROR(SUMIFS('교재재고'!E:E,'교재재고'!B:B,$A44),0)</f>
        <v>0</v>
      </c>
      <c r="E44" s="78">
        <f>IFERROR(SUMIFS('교재재고'!F:F,'교재재고'!B:B,$A44),0)
+IFERROR(SUMIFS('교재재고'!I:I,'교재재고'!B:B,$A44),0)
+IFERROR(SUMIFS('교재재고'!L:L,'교재재고'!B:B,$A44),0)
+IFERROR(SUMIFS('교재재고'!O:O,'교재재고'!B:B,$A44),0)
+IFERROR(SUMIFS('교재재고'!R:R,'교재재고'!B:B,$A44),0)</f>
        <v>20</v>
      </c>
      <c r="F44" s="79">
        <f>IFERROR(SUMIFS('교재재고'!G:G,'교재재고'!B:B,$A44),0)
+IFERROR(SUMIFS('교재재고'!J:J,'교재재고'!B:B,$A44),0)
+IFERROR(SUMIFS('교재재고'!M:M,'교재재고'!B:B,$A44),0)
+IFERROR(SUMIFS('교재재고'!P:P,'교재재고'!B:B,$A44),0)
+IFERROR(SUMIFS('교재재고'!S:S,'교재재고'!B:B,$A44),0)</f>
        <v>0</v>
      </c>
      <c r="G44" s="79">
        <f>IFERROR(SUMIFS('교재재고'!H:H,'교재재고'!B:B,$A44),0)
+IFERROR(SUMIFS('교재재고'!K:K,'교재재고'!B:B,$A44),0)
+IFERROR(SUMIFS('교재재고'!N:N,'교재재고'!B:B,$A44),0)
+IFERROR(SUMIFS('교재재고'!Q:Q,'교재재고'!B:B,$A44),0)
+IFERROR(SUMIFS('교재재고'!T:T,'교재재고'!B:B,$A44),0)</f>
        <v>0</v>
      </c>
      <c r="H44" s="79">
        <f t="shared" si="2"/>
        <v>31</v>
      </c>
      <c r="I44" s="80">
        <f>IFERROR(SUMIFS('배부로그'!G:G,'배부로그'!D:D,$A44,'배부로그'!F:F,"창고"),0)</f>
        <v>5</v>
      </c>
      <c r="J44" s="59">
        <f>IFERROR(SUMIFS('배부로그'!G:G,'배부로그'!D:D,$A44,'배부로그'!F:F,"4층지원실"),0)</f>
        <v>0</v>
      </c>
      <c r="K44" s="59">
        <f>IFERROR(SUMIFS('배부로그'!G:G,'배부로그'!D:D,$A44,'배부로그'!F:F,"8층지원실"),0)</f>
        <v>0</v>
      </c>
      <c r="L44" s="81">
        <f t="shared" si="3"/>
        <v>5</v>
      </c>
      <c r="M44" s="59">
        <f>IFERROR(SUMIFS('회수로그'!H:H,'회수로그'!E:E,$A44,'회수로그'!G:G,"창고"),0)</f>
        <v>0</v>
      </c>
      <c r="N44" s="59">
        <f>IFERROR(SUMIFS('회수로그'!H:H,'회수로그'!E:E,$A44,'회수로그'!G:G,"4층지원실"),0)</f>
        <v>0</v>
      </c>
      <c r="O44" s="59">
        <f>IFERROR(SUMIFS('회수로그'!H:H,'회수로그'!E:E,$A44,'회수로그'!G:G,"8층지원실"),0)</f>
        <v>0</v>
      </c>
      <c r="P44" s="59">
        <f t="shared" si="4"/>
        <v>0</v>
      </c>
      <c r="Q44" s="59">
        <f>IFERROR(SUMIFS('재고이동로그'!F:F,'재고이동로그'!C:C,$A44,'재고이동로그'!D:D,"창고"),0)</f>
        <v>0</v>
      </c>
      <c r="R44" s="59">
        <f>IFERROR(SUMIFS('재고이동로그'!F:F,'재고이동로그'!C:C,$A44,'재고이동로그'!E:E,"4층지원실"),0)</f>
        <v>0</v>
      </c>
      <c r="S44" s="82">
        <f>IFERROR(SUMIFS('재고이동로그'!F:F,'재고이동로그'!C:C,$A44,'재고이동로그'!E:E,"8층지원실"),0)</f>
        <v>0</v>
      </c>
      <c r="T44" s="59">
        <f>IFERROR(SUMIFS('재고이동로그'!F:F,'재고이동로그'!C:C,$A44,'재고이동로그'!E:E,"창고"),0)</f>
        <v>0</v>
      </c>
      <c r="U44" s="59">
        <f>IFERROR(SUMIFS('재고이동로그'!F:F,'재고이동로그'!C:C,$A44,'재고이동로그'!E:E,"4층지원실"),0)</f>
        <v>0</v>
      </c>
      <c r="V44" s="59">
        <f>IFERROR(SUMIFS('재고이동로그'!F:F,'재고이동로그'!C:C,$A44,'재고이동로그'!E:E,"8층지원실"),0)</f>
        <v>0</v>
      </c>
      <c r="W44" s="83">
        <f t="shared" ref="W44:Y44" si="47">B44+E44-I44+M44-Q44+T44</f>
        <v>26</v>
      </c>
      <c r="X44" s="83">
        <f t="shared" si="47"/>
        <v>0</v>
      </c>
      <c r="Y44" s="83">
        <f t="shared" si="47"/>
        <v>0</v>
      </c>
      <c r="Z44" s="84">
        <f t="shared" si="6"/>
        <v>26</v>
      </c>
      <c r="AA44" s="59" t="str">
        <f t="shared" si="7"/>
        <v>부족</v>
      </c>
      <c r="AB44" s="59"/>
      <c r="AC44" s="59"/>
      <c r="AD44" s="59"/>
      <c r="AE44" s="59"/>
      <c r="AF44" s="59"/>
    </row>
    <row r="45" ht="15.75" customHeight="1">
      <c r="A45" s="59" t="str">
        <f>IFERROR(__xludf.DUMMYFUNCTION("""COMPUTED_VALUE"""),"(이민호A) 노플_미적(피드백)")</f>
        <v>(이민호A) 노플_미적(피드백)</v>
      </c>
      <c r="B45" s="77">
        <f>IFERROR(SUMIFS('교재재고'!C:C,'교재재고'!B:B,$A45),0)</f>
        <v>6</v>
      </c>
      <c r="C45" s="77">
        <f>IFERROR(SUMIFS('교재재고'!D:D,'교재재고'!B:B,$A45),0)</f>
        <v>0</v>
      </c>
      <c r="D45" s="77">
        <f>IFERROR(SUMIFS('교재재고'!E:E,'교재재고'!B:B,$A45),0)</f>
        <v>0</v>
      </c>
      <c r="E45" s="78">
        <f>IFERROR(SUMIFS('교재재고'!F:F,'교재재고'!B:B,$A45),0)
+IFERROR(SUMIFS('교재재고'!I:I,'교재재고'!B:B,$A45),0)
+IFERROR(SUMIFS('교재재고'!L:L,'교재재고'!B:B,$A45),0)
+IFERROR(SUMIFS('교재재고'!O:O,'교재재고'!B:B,$A45),0)
+IFERROR(SUMIFS('교재재고'!R:R,'교재재고'!B:B,$A45),0)</f>
        <v>0</v>
      </c>
      <c r="F45" s="79">
        <f>IFERROR(SUMIFS('교재재고'!G:G,'교재재고'!B:B,$A45),0)
+IFERROR(SUMIFS('교재재고'!J:J,'교재재고'!B:B,$A45),0)
+IFERROR(SUMIFS('교재재고'!M:M,'교재재고'!B:B,$A45),0)
+IFERROR(SUMIFS('교재재고'!P:P,'교재재고'!B:B,$A45),0)
+IFERROR(SUMIFS('교재재고'!S:S,'교재재고'!B:B,$A45),0)</f>
        <v>0</v>
      </c>
      <c r="G45" s="79">
        <f>IFERROR(SUMIFS('교재재고'!H:H,'교재재고'!B:B,$A45),0)
+IFERROR(SUMIFS('교재재고'!K:K,'교재재고'!B:B,$A45),0)
+IFERROR(SUMIFS('교재재고'!N:N,'교재재고'!B:B,$A45),0)
+IFERROR(SUMIFS('교재재고'!Q:Q,'교재재고'!B:B,$A45),0)
+IFERROR(SUMIFS('교재재고'!T:T,'교재재고'!B:B,$A45),0)</f>
        <v>0</v>
      </c>
      <c r="H45" s="79">
        <f t="shared" si="2"/>
        <v>6</v>
      </c>
      <c r="I45" s="80">
        <f>IFERROR(SUMIFS('배부로그'!G:G,'배부로그'!D:D,$A45,'배부로그'!F:F,"창고"),0)</f>
        <v>0</v>
      </c>
      <c r="J45" s="59">
        <f>IFERROR(SUMIFS('배부로그'!G:G,'배부로그'!D:D,$A45,'배부로그'!F:F,"4층지원실"),0)</f>
        <v>0</v>
      </c>
      <c r="K45" s="59">
        <f>IFERROR(SUMIFS('배부로그'!G:G,'배부로그'!D:D,$A45,'배부로그'!F:F,"8층지원실"),0)</f>
        <v>0</v>
      </c>
      <c r="L45" s="81">
        <f t="shared" si="3"/>
        <v>0</v>
      </c>
      <c r="M45" s="59">
        <f>IFERROR(SUMIFS('회수로그'!H:H,'회수로그'!E:E,$A45,'회수로그'!G:G,"창고"),0)</f>
        <v>0</v>
      </c>
      <c r="N45" s="59">
        <f>IFERROR(SUMIFS('회수로그'!H:H,'회수로그'!E:E,$A45,'회수로그'!G:G,"4층지원실"),0)</f>
        <v>0</v>
      </c>
      <c r="O45" s="59">
        <f>IFERROR(SUMIFS('회수로그'!H:H,'회수로그'!E:E,$A45,'회수로그'!G:G,"8층지원실"),0)</f>
        <v>0</v>
      </c>
      <c r="P45" s="59">
        <f t="shared" si="4"/>
        <v>0</v>
      </c>
      <c r="Q45" s="59">
        <f>IFERROR(SUMIFS('재고이동로그'!F:F,'재고이동로그'!C:C,$A45,'재고이동로그'!D:D,"창고"),0)</f>
        <v>0</v>
      </c>
      <c r="R45" s="59">
        <f>IFERROR(SUMIFS('재고이동로그'!F:F,'재고이동로그'!C:C,$A45,'재고이동로그'!E:E,"4층지원실"),0)</f>
        <v>0</v>
      </c>
      <c r="S45" s="82">
        <f>IFERROR(SUMIFS('재고이동로그'!F:F,'재고이동로그'!C:C,$A45,'재고이동로그'!E:E,"8층지원실"),0)</f>
        <v>0</v>
      </c>
      <c r="T45" s="59">
        <f>IFERROR(SUMIFS('재고이동로그'!F:F,'재고이동로그'!C:C,$A45,'재고이동로그'!E:E,"창고"),0)</f>
        <v>0</v>
      </c>
      <c r="U45" s="59">
        <f>IFERROR(SUMIFS('재고이동로그'!F:F,'재고이동로그'!C:C,$A45,'재고이동로그'!E:E,"4층지원실"),0)</f>
        <v>0</v>
      </c>
      <c r="V45" s="59">
        <f>IFERROR(SUMIFS('재고이동로그'!F:F,'재고이동로그'!C:C,$A45,'재고이동로그'!E:E,"8층지원실"),0)</f>
        <v>0</v>
      </c>
      <c r="W45" s="83">
        <f t="shared" ref="W45:Y45" si="48">B45+E45-I45+M45-Q45+T45</f>
        <v>6</v>
      </c>
      <c r="X45" s="83">
        <f t="shared" si="48"/>
        <v>0</v>
      </c>
      <c r="Y45" s="83">
        <f t="shared" si="48"/>
        <v>0</v>
      </c>
      <c r="Z45" s="84">
        <f t="shared" si="6"/>
        <v>6</v>
      </c>
      <c r="AA45" s="59" t="str">
        <f t="shared" si="7"/>
        <v>부족</v>
      </c>
      <c r="AB45" s="59"/>
      <c r="AC45" s="59"/>
      <c r="AD45" s="59"/>
      <c r="AE45" s="59"/>
      <c r="AF45" s="59"/>
    </row>
    <row r="46" ht="15.75" customHeight="1">
      <c r="A46" s="59" t="str">
        <f>IFERROR(__xludf.DUMMYFUNCTION("""COMPUTED_VALUE"""),"(이민호A) 노플_수2(피드백)")</f>
        <v>(이민호A) 노플_수2(피드백)</v>
      </c>
      <c r="B46" s="77">
        <f>IFERROR(SUMIFS('교재재고'!C:C,'교재재고'!B:B,$A46),0)</f>
        <v>14</v>
      </c>
      <c r="C46" s="77">
        <f>IFERROR(SUMIFS('교재재고'!D:D,'교재재고'!B:B,$A46),0)</f>
        <v>0</v>
      </c>
      <c r="D46" s="77">
        <f>IFERROR(SUMIFS('교재재고'!E:E,'교재재고'!B:B,$A46),0)</f>
        <v>0</v>
      </c>
      <c r="E46" s="78">
        <f>IFERROR(SUMIFS('교재재고'!F:F,'교재재고'!B:B,$A46),0)
+IFERROR(SUMIFS('교재재고'!I:I,'교재재고'!B:B,$A46),0)
+IFERROR(SUMIFS('교재재고'!L:L,'교재재고'!B:B,$A46),0)
+IFERROR(SUMIFS('교재재고'!O:O,'교재재고'!B:B,$A46),0)
+IFERROR(SUMIFS('교재재고'!R:R,'교재재고'!B:B,$A46),0)</f>
        <v>0</v>
      </c>
      <c r="F46" s="79">
        <f>IFERROR(SUMIFS('교재재고'!G:G,'교재재고'!B:B,$A46),0)
+IFERROR(SUMIFS('교재재고'!J:J,'교재재고'!B:B,$A46),0)
+IFERROR(SUMIFS('교재재고'!M:M,'교재재고'!B:B,$A46),0)
+IFERROR(SUMIFS('교재재고'!P:P,'교재재고'!B:B,$A46),0)
+IFERROR(SUMIFS('교재재고'!S:S,'교재재고'!B:B,$A46),0)</f>
        <v>0</v>
      </c>
      <c r="G46" s="79">
        <f>IFERROR(SUMIFS('교재재고'!H:H,'교재재고'!B:B,$A46),0)
+IFERROR(SUMIFS('교재재고'!K:K,'교재재고'!B:B,$A46),0)
+IFERROR(SUMIFS('교재재고'!N:N,'교재재고'!B:B,$A46),0)
+IFERROR(SUMIFS('교재재고'!Q:Q,'교재재고'!B:B,$A46),0)
+IFERROR(SUMIFS('교재재고'!T:T,'교재재고'!B:B,$A46),0)</f>
        <v>0</v>
      </c>
      <c r="H46" s="79">
        <f t="shared" si="2"/>
        <v>14</v>
      </c>
      <c r="I46" s="80">
        <f>IFERROR(SUMIFS('배부로그'!G:G,'배부로그'!D:D,$A46,'배부로그'!F:F,"창고"),0)</f>
        <v>1</v>
      </c>
      <c r="J46" s="59">
        <f>IFERROR(SUMIFS('배부로그'!G:G,'배부로그'!D:D,$A46,'배부로그'!F:F,"4층지원실"),0)</f>
        <v>0</v>
      </c>
      <c r="K46" s="59">
        <f>IFERROR(SUMIFS('배부로그'!G:G,'배부로그'!D:D,$A46,'배부로그'!F:F,"8층지원실"),0)</f>
        <v>0</v>
      </c>
      <c r="L46" s="81">
        <f t="shared" si="3"/>
        <v>1</v>
      </c>
      <c r="M46" s="59">
        <f>IFERROR(SUMIFS('회수로그'!H:H,'회수로그'!E:E,$A46,'회수로그'!G:G,"창고"),0)</f>
        <v>0</v>
      </c>
      <c r="N46" s="59">
        <f>IFERROR(SUMIFS('회수로그'!H:H,'회수로그'!E:E,$A46,'회수로그'!G:G,"4층지원실"),0)</f>
        <v>0</v>
      </c>
      <c r="O46" s="59">
        <f>IFERROR(SUMIFS('회수로그'!H:H,'회수로그'!E:E,$A46,'회수로그'!G:G,"8층지원실"),0)</f>
        <v>0</v>
      </c>
      <c r="P46" s="59">
        <f t="shared" si="4"/>
        <v>0</v>
      </c>
      <c r="Q46" s="59">
        <f>IFERROR(SUMIFS('재고이동로그'!F:F,'재고이동로그'!C:C,$A46,'재고이동로그'!D:D,"창고"),0)</f>
        <v>0</v>
      </c>
      <c r="R46" s="59">
        <f>IFERROR(SUMIFS('재고이동로그'!F:F,'재고이동로그'!C:C,$A46,'재고이동로그'!E:E,"4층지원실"),0)</f>
        <v>0</v>
      </c>
      <c r="S46" s="82">
        <f>IFERROR(SUMIFS('재고이동로그'!F:F,'재고이동로그'!C:C,$A46,'재고이동로그'!E:E,"8층지원실"),0)</f>
        <v>0</v>
      </c>
      <c r="T46" s="59">
        <f>IFERROR(SUMIFS('재고이동로그'!F:F,'재고이동로그'!C:C,$A46,'재고이동로그'!E:E,"창고"),0)</f>
        <v>0</v>
      </c>
      <c r="U46" s="59">
        <f>IFERROR(SUMIFS('재고이동로그'!F:F,'재고이동로그'!C:C,$A46,'재고이동로그'!E:E,"4층지원실"),0)</f>
        <v>0</v>
      </c>
      <c r="V46" s="59">
        <f>IFERROR(SUMIFS('재고이동로그'!F:F,'재고이동로그'!C:C,$A46,'재고이동로그'!E:E,"8층지원실"),0)</f>
        <v>0</v>
      </c>
      <c r="W46" s="83">
        <f t="shared" ref="W46:Y46" si="49">B46+E46-I46+M46-Q46+T46</f>
        <v>13</v>
      </c>
      <c r="X46" s="83">
        <f t="shared" si="49"/>
        <v>0</v>
      </c>
      <c r="Y46" s="83">
        <f t="shared" si="49"/>
        <v>0</v>
      </c>
      <c r="Z46" s="84">
        <f t="shared" si="6"/>
        <v>13</v>
      </c>
      <c r="AA46" s="59" t="str">
        <f t="shared" si="7"/>
        <v>부족</v>
      </c>
      <c r="AB46" s="59"/>
      <c r="AC46" s="59"/>
      <c r="AD46" s="59"/>
      <c r="AE46" s="59"/>
      <c r="AF46" s="59"/>
    </row>
    <row r="47" ht="15.75" customHeight="1">
      <c r="A47" s="59" t="str">
        <f>IFERROR(__xludf.DUMMYFUNCTION("""COMPUTED_VALUE"""),"(이민호A) 노플_확통(피드백)")</f>
        <v>(이민호A) 노플_확통(피드백)</v>
      </c>
      <c r="B47" s="77">
        <f>IFERROR(SUMIFS('교재재고'!C:C,'교재재고'!B:B,$A47),0)</f>
        <v>6</v>
      </c>
      <c r="C47" s="77">
        <f>IFERROR(SUMIFS('교재재고'!D:D,'교재재고'!B:B,$A47),0)</f>
        <v>0</v>
      </c>
      <c r="D47" s="77">
        <f>IFERROR(SUMIFS('교재재고'!E:E,'교재재고'!B:B,$A47),0)</f>
        <v>0</v>
      </c>
      <c r="E47" s="78">
        <f>IFERROR(SUMIFS('교재재고'!F:F,'교재재고'!B:B,$A47),0)
+IFERROR(SUMIFS('교재재고'!I:I,'교재재고'!B:B,$A47),0)
+IFERROR(SUMIFS('교재재고'!L:L,'교재재고'!B:B,$A47),0)
+IFERROR(SUMIFS('교재재고'!O:O,'교재재고'!B:B,$A47),0)
+IFERROR(SUMIFS('교재재고'!R:R,'교재재고'!B:B,$A47),0)</f>
        <v>0</v>
      </c>
      <c r="F47" s="79">
        <f>IFERROR(SUMIFS('교재재고'!G:G,'교재재고'!B:B,$A47),0)
+IFERROR(SUMIFS('교재재고'!J:J,'교재재고'!B:B,$A47),0)
+IFERROR(SUMIFS('교재재고'!M:M,'교재재고'!B:B,$A47),0)
+IFERROR(SUMIFS('교재재고'!P:P,'교재재고'!B:B,$A47),0)
+IFERROR(SUMIFS('교재재고'!S:S,'교재재고'!B:B,$A47),0)</f>
        <v>0</v>
      </c>
      <c r="G47" s="79">
        <f>IFERROR(SUMIFS('교재재고'!H:H,'교재재고'!B:B,$A47),0)
+IFERROR(SUMIFS('교재재고'!K:K,'교재재고'!B:B,$A47),0)
+IFERROR(SUMIFS('교재재고'!N:N,'교재재고'!B:B,$A47),0)
+IFERROR(SUMIFS('교재재고'!Q:Q,'교재재고'!B:B,$A47),0)
+IFERROR(SUMIFS('교재재고'!T:T,'교재재고'!B:B,$A47),0)</f>
        <v>0</v>
      </c>
      <c r="H47" s="79">
        <f t="shared" si="2"/>
        <v>6</v>
      </c>
      <c r="I47" s="80">
        <f>IFERROR(SUMIFS('배부로그'!G:G,'배부로그'!D:D,$A47,'배부로그'!F:F,"창고"),0)</f>
        <v>1</v>
      </c>
      <c r="J47" s="59">
        <f>IFERROR(SUMIFS('배부로그'!G:G,'배부로그'!D:D,$A47,'배부로그'!F:F,"4층지원실"),0)</f>
        <v>0</v>
      </c>
      <c r="K47" s="59">
        <f>IFERROR(SUMIFS('배부로그'!G:G,'배부로그'!D:D,$A47,'배부로그'!F:F,"8층지원실"),0)</f>
        <v>0</v>
      </c>
      <c r="L47" s="81">
        <f t="shared" si="3"/>
        <v>1</v>
      </c>
      <c r="M47" s="59">
        <f>IFERROR(SUMIFS('회수로그'!H:H,'회수로그'!E:E,$A47,'회수로그'!G:G,"창고"),0)</f>
        <v>0</v>
      </c>
      <c r="N47" s="59">
        <f>IFERROR(SUMIFS('회수로그'!H:H,'회수로그'!E:E,$A47,'회수로그'!G:G,"4층지원실"),0)</f>
        <v>0</v>
      </c>
      <c r="O47" s="59">
        <f>IFERROR(SUMIFS('회수로그'!H:H,'회수로그'!E:E,$A47,'회수로그'!G:G,"8층지원실"),0)</f>
        <v>0</v>
      </c>
      <c r="P47" s="59">
        <f t="shared" si="4"/>
        <v>0</v>
      </c>
      <c r="Q47" s="59">
        <f>IFERROR(SUMIFS('재고이동로그'!F:F,'재고이동로그'!C:C,$A47,'재고이동로그'!D:D,"창고"),0)</f>
        <v>0</v>
      </c>
      <c r="R47" s="59">
        <f>IFERROR(SUMIFS('재고이동로그'!F:F,'재고이동로그'!C:C,$A47,'재고이동로그'!E:E,"4층지원실"),0)</f>
        <v>0</v>
      </c>
      <c r="S47" s="82">
        <f>IFERROR(SUMIFS('재고이동로그'!F:F,'재고이동로그'!C:C,$A47,'재고이동로그'!E:E,"8층지원실"),0)</f>
        <v>0</v>
      </c>
      <c r="T47" s="59">
        <f>IFERROR(SUMIFS('재고이동로그'!F:F,'재고이동로그'!C:C,$A47,'재고이동로그'!E:E,"창고"),0)</f>
        <v>0</v>
      </c>
      <c r="U47" s="59">
        <f>IFERROR(SUMIFS('재고이동로그'!F:F,'재고이동로그'!C:C,$A47,'재고이동로그'!E:E,"4층지원실"),0)</f>
        <v>0</v>
      </c>
      <c r="V47" s="59">
        <f>IFERROR(SUMIFS('재고이동로그'!F:F,'재고이동로그'!C:C,$A47,'재고이동로그'!E:E,"8층지원실"),0)</f>
        <v>0</v>
      </c>
      <c r="W47" s="83">
        <f t="shared" ref="W47:Y47" si="50">B47+E47-I47+M47-Q47+T47</f>
        <v>5</v>
      </c>
      <c r="X47" s="83">
        <f t="shared" si="50"/>
        <v>0</v>
      </c>
      <c r="Y47" s="83">
        <f t="shared" si="50"/>
        <v>0</v>
      </c>
      <c r="Z47" s="84">
        <f t="shared" si="6"/>
        <v>5</v>
      </c>
      <c r="AA47" s="59" t="str">
        <f t="shared" si="7"/>
        <v>부족</v>
      </c>
      <c r="AB47" s="59"/>
      <c r="AC47" s="59"/>
      <c r="AD47" s="59"/>
      <c r="AE47" s="59"/>
      <c r="AF47" s="59"/>
    </row>
    <row r="48" ht="15.75" customHeight="1">
      <c r="A48" s="59" t="str">
        <f>IFERROR(__xludf.DUMMYFUNCTION("""COMPUTED_VALUE"""),"(이민호A) 인사이트_미적(수업)")</f>
        <v>(이민호A) 인사이트_미적(수업)</v>
      </c>
      <c r="B48" s="77">
        <f>IFERROR(SUMIFS('교재재고'!C:C,'교재재고'!B:B,$A48),0)</f>
        <v>6</v>
      </c>
      <c r="C48" s="77">
        <f>IFERROR(SUMIFS('교재재고'!D:D,'교재재고'!B:B,$A48),0)</f>
        <v>0</v>
      </c>
      <c r="D48" s="77">
        <f>IFERROR(SUMIFS('교재재고'!E:E,'교재재고'!B:B,$A48),0)</f>
        <v>0</v>
      </c>
      <c r="E48" s="78">
        <f>IFERROR(SUMIFS('교재재고'!F:F,'교재재고'!B:B,$A48),0)
+IFERROR(SUMIFS('교재재고'!I:I,'교재재고'!B:B,$A48),0)
+IFERROR(SUMIFS('교재재고'!L:L,'교재재고'!B:B,$A48),0)
+IFERROR(SUMIFS('교재재고'!O:O,'교재재고'!B:B,$A48),0)
+IFERROR(SUMIFS('교재재고'!R:R,'교재재고'!B:B,$A48),0)</f>
        <v>0</v>
      </c>
      <c r="F48" s="79">
        <f>IFERROR(SUMIFS('교재재고'!G:G,'교재재고'!B:B,$A48),0)
+IFERROR(SUMIFS('교재재고'!J:J,'교재재고'!B:B,$A48),0)
+IFERROR(SUMIFS('교재재고'!M:M,'교재재고'!B:B,$A48),0)
+IFERROR(SUMIFS('교재재고'!P:P,'교재재고'!B:B,$A48),0)
+IFERROR(SUMIFS('교재재고'!S:S,'교재재고'!B:B,$A48),0)</f>
        <v>0</v>
      </c>
      <c r="G48" s="79">
        <f>IFERROR(SUMIFS('교재재고'!H:H,'교재재고'!B:B,$A48),0)
+IFERROR(SUMIFS('교재재고'!K:K,'교재재고'!B:B,$A48),0)
+IFERROR(SUMIFS('교재재고'!N:N,'교재재고'!B:B,$A48),0)
+IFERROR(SUMIFS('교재재고'!Q:Q,'교재재고'!B:B,$A48),0)
+IFERROR(SUMIFS('교재재고'!T:T,'교재재고'!B:B,$A48),0)</f>
        <v>0</v>
      </c>
      <c r="H48" s="79">
        <f t="shared" si="2"/>
        <v>6</v>
      </c>
      <c r="I48" s="80">
        <f>IFERROR(SUMIFS('배부로그'!G:G,'배부로그'!D:D,$A48,'배부로그'!F:F,"창고"),0)</f>
        <v>0</v>
      </c>
      <c r="J48" s="59">
        <f>IFERROR(SUMIFS('배부로그'!G:G,'배부로그'!D:D,$A48,'배부로그'!F:F,"4층지원실"),0)</f>
        <v>0</v>
      </c>
      <c r="K48" s="59">
        <f>IFERROR(SUMIFS('배부로그'!G:G,'배부로그'!D:D,$A48,'배부로그'!F:F,"8층지원실"),0)</f>
        <v>0</v>
      </c>
      <c r="L48" s="81">
        <f t="shared" si="3"/>
        <v>0</v>
      </c>
      <c r="M48" s="59">
        <f>IFERROR(SUMIFS('회수로그'!H:H,'회수로그'!E:E,$A48,'회수로그'!G:G,"창고"),0)</f>
        <v>0</v>
      </c>
      <c r="N48" s="59">
        <f>IFERROR(SUMIFS('회수로그'!H:H,'회수로그'!E:E,$A48,'회수로그'!G:G,"4층지원실"),0)</f>
        <v>0</v>
      </c>
      <c r="O48" s="59">
        <f>IFERROR(SUMIFS('회수로그'!H:H,'회수로그'!E:E,$A48,'회수로그'!G:G,"8층지원실"),0)</f>
        <v>0</v>
      </c>
      <c r="P48" s="59">
        <f t="shared" si="4"/>
        <v>0</v>
      </c>
      <c r="Q48" s="59">
        <f>IFERROR(SUMIFS('재고이동로그'!F:F,'재고이동로그'!C:C,$A48,'재고이동로그'!D:D,"창고"),0)</f>
        <v>0</v>
      </c>
      <c r="R48" s="59">
        <f>IFERROR(SUMIFS('재고이동로그'!F:F,'재고이동로그'!C:C,$A48,'재고이동로그'!E:E,"4층지원실"),0)</f>
        <v>0</v>
      </c>
      <c r="S48" s="82">
        <f>IFERROR(SUMIFS('재고이동로그'!F:F,'재고이동로그'!C:C,$A48,'재고이동로그'!E:E,"8층지원실"),0)</f>
        <v>0</v>
      </c>
      <c r="T48" s="59">
        <f>IFERROR(SUMIFS('재고이동로그'!F:F,'재고이동로그'!C:C,$A48,'재고이동로그'!E:E,"창고"),0)</f>
        <v>0</v>
      </c>
      <c r="U48" s="59">
        <f>IFERROR(SUMIFS('재고이동로그'!F:F,'재고이동로그'!C:C,$A48,'재고이동로그'!E:E,"4층지원실"),0)</f>
        <v>0</v>
      </c>
      <c r="V48" s="59">
        <f>IFERROR(SUMIFS('재고이동로그'!F:F,'재고이동로그'!C:C,$A48,'재고이동로그'!E:E,"8층지원실"),0)</f>
        <v>0</v>
      </c>
      <c r="W48" s="83">
        <f t="shared" ref="W48:Y48" si="51">B48+E48-I48+M48-Q48+T48</f>
        <v>6</v>
      </c>
      <c r="X48" s="83">
        <f t="shared" si="51"/>
        <v>0</v>
      </c>
      <c r="Y48" s="83">
        <f t="shared" si="51"/>
        <v>0</v>
      </c>
      <c r="Z48" s="84">
        <f t="shared" si="6"/>
        <v>6</v>
      </c>
      <c r="AA48" s="59" t="str">
        <f t="shared" si="7"/>
        <v>부족</v>
      </c>
      <c r="AB48" s="59"/>
      <c r="AC48" s="59"/>
      <c r="AD48" s="59"/>
      <c r="AE48" s="59"/>
      <c r="AF48" s="59"/>
    </row>
    <row r="49" ht="15.75" customHeight="1">
      <c r="A49" s="59" t="str">
        <f>IFERROR(__xludf.DUMMYFUNCTION("""COMPUTED_VALUE"""),"(이민호A) 인사이트_수2(수업)")</f>
        <v>(이민호A) 인사이트_수2(수업)</v>
      </c>
      <c r="B49" s="77">
        <f>IFERROR(SUMIFS('교재재고'!C:C,'교재재고'!B:B,$A49),0)</f>
        <v>14</v>
      </c>
      <c r="C49" s="77">
        <f>IFERROR(SUMIFS('교재재고'!D:D,'교재재고'!B:B,$A49),0)</f>
        <v>0</v>
      </c>
      <c r="D49" s="77">
        <f>IFERROR(SUMIFS('교재재고'!E:E,'교재재고'!B:B,$A49),0)</f>
        <v>0</v>
      </c>
      <c r="E49" s="78">
        <f>IFERROR(SUMIFS('교재재고'!F:F,'교재재고'!B:B,$A49),0)
+IFERROR(SUMIFS('교재재고'!I:I,'교재재고'!B:B,$A49),0)
+IFERROR(SUMIFS('교재재고'!L:L,'교재재고'!B:B,$A49),0)
+IFERROR(SUMIFS('교재재고'!O:O,'교재재고'!B:B,$A49),0)
+IFERROR(SUMIFS('교재재고'!R:R,'교재재고'!B:B,$A49),0)</f>
        <v>0</v>
      </c>
      <c r="F49" s="79">
        <f>IFERROR(SUMIFS('교재재고'!G:G,'교재재고'!B:B,$A49),0)
+IFERROR(SUMIFS('교재재고'!J:J,'교재재고'!B:B,$A49),0)
+IFERROR(SUMIFS('교재재고'!M:M,'교재재고'!B:B,$A49),0)
+IFERROR(SUMIFS('교재재고'!P:P,'교재재고'!B:B,$A49),0)
+IFERROR(SUMIFS('교재재고'!S:S,'교재재고'!B:B,$A49),0)</f>
        <v>0</v>
      </c>
      <c r="G49" s="79">
        <f>IFERROR(SUMIFS('교재재고'!H:H,'교재재고'!B:B,$A49),0)
+IFERROR(SUMIFS('교재재고'!K:K,'교재재고'!B:B,$A49),0)
+IFERROR(SUMIFS('교재재고'!N:N,'교재재고'!B:B,$A49),0)
+IFERROR(SUMIFS('교재재고'!Q:Q,'교재재고'!B:B,$A49),0)
+IFERROR(SUMIFS('교재재고'!T:T,'교재재고'!B:B,$A49),0)</f>
        <v>0</v>
      </c>
      <c r="H49" s="79">
        <f t="shared" si="2"/>
        <v>14</v>
      </c>
      <c r="I49" s="80">
        <f>IFERROR(SUMIFS('배부로그'!G:G,'배부로그'!D:D,$A49,'배부로그'!F:F,"창고"),0)</f>
        <v>1</v>
      </c>
      <c r="J49" s="59">
        <f>IFERROR(SUMIFS('배부로그'!G:G,'배부로그'!D:D,$A49,'배부로그'!F:F,"4층지원실"),0)</f>
        <v>0</v>
      </c>
      <c r="K49" s="59">
        <f>IFERROR(SUMIFS('배부로그'!G:G,'배부로그'!D:D,$A49,'배부로그'!F:F,"8층지원실"),0)</f>
        <v>0</v>
      </c>
      <c r="L49" s="81">
        <f t="shared" si="3"/>
        <v>1</v>
      </c>
      <c r="M49" s="59">
        <f>IFERROR(SUMIFS('회수로그'!H:H,'회수로그'!E:E,$A49,'회수로그'!G:G,"창고"),0)</f>
        <v>0</v>
      </c>
      <c r="N49" s="59">
        <f>IFERROR(SUMIFS('회수로그'!H:H,'회수로그'!E:E,$A49,'회수로그'!G:G,"4층지원실"),0)</f>
        <v>0</v>
      </c>
      <c r="O49" s="59">
        <f>IFERROR(SUMIFS('회수로그'!H:H,'회수로그'!E:E,$A49,'회수로그'!G:G,"8층지원실"),0)</f>
        <v>0</v>
      </c>
      <c r="P49" s="59">
        <f t="shared" si="4"/>
        <v>0</v>
      </c>
      <c r="Q49" s="59">
        <f>IFERROR(SUMIFS('재고이동로그'!F:F,'재고이동로그'!C:C,$A49,'재고이동로그'!D:D,"창고"),0)</f>
        <v>0</v>
      </c>
      <c r="R49" s="59">
        <f>IFERROR(SUMIFS('재고이동로그'!F:F,'재고이동로그'!C:C,$A49,'재고이동로그'!E:E,"4층지원실"),0)</f>
        <v>0</v>
      </c>
      <c r="S49" s="82">
        <f>IFERROR(SUMIFS('재고이동로그'!F:F,'재고이동로그'!C:C,$A49,'재고이동로그'!E:E,"8층지원실"),0)</f>
        <v>0</v>
      </c>
      <c r="T49" s="59">
        <f>IFERROR(SUMIFS('재고이동로그'!F:F,'재고이동로그'!C:C,$A49,'재고이동로그'!E:E,"창고"),0)</f>
        <v>0</v>
      </c>
      <c r="U49" s="59">
        <f>IFERROR(SUMIFS('재고이동로그'!F:F,'재고이동로그'!C:C,$A49,'재고이동로그'!E:E,"4층지원실"),0)</f>
        <v>0</v>
      </c>
      <c r="V49" s="59">
        <f>IFERROR(SUMIFS('재고이동로그'!F:F,'재고이동로그'!C:C,$A49,'재고이동로그'!E:E,"8층지원실"),0)</f>
        <v>0</v>
      </c>
      <c r="W49" s="83">
        <f t="shared" ref="W49:Y49" si="52">B49+E49-I49+M49-Q49+T49</f>
        <v>13</v>
      </c>
      <c r="X49" s="83">
        <f t="shared" si="52"/>
        <v>0</v>
      </c>
      <c r="Y49" s="83">
        <f t="shared" si="52"/>
        <v>0</v>
      </c>
      <c r="Z49" s="84">
        <f t="shared" si="6"/>
        <v>13</v>
      </c>
      <c r="AA49" s="59" t="str">
        <f t="shared" si="7"/>
        <v>부족</v>
      </c>
      <c r="AB49" s="59"/>
      <c r="AC49" s="59"/>
      <c r="AD49" s="59"/>
      <c r="AE49" s="59"/>
      <c r="AF49" s="59"/>
    </row>
    <row r="50" ht="15.75" customHeight="1">
      <c r="A50" s="59" t="str">
        <f>IFERROR(__xludf.DUMMYFUNCTION("""COMPUTED_VALUE"""),"(이민호A) 인사이트_확통(수업)")</f>
        <v>(이민호A) 인사이트_확통(수업)</v>
      </c>
      <c r="B50" s="77">
        <f>IFERROR(SUMIFS('교재재고'!C:C,'교재재고'!B:B,$A50),0)</f>
        <v>6</v>
      </c>
      <c r="C50" s="77">
        <f>IFERROR(SUMIFS('교재재고'!D:D,'교재재고'!B:B,$A50),0)</f>
        <v>0</v>
      </c>
      <c r="D50" s="77">
        <f>IFERROR(SUMIFS('교재재고'!E:E,'교재재고'!B:B,$A50),0)</f>
        <v>0</v>
      </c>
      <c r="E50" s="78">
        <f>IFERROR(SUMIFS('교재재고'!F:F,'교재재고'!B:B,$A50),0)
+IFERROR(SUMIFS('교재재고'!I:I,'교재재고'!B:B,$A50),0)
+IFERROR(SUMIFS('교재재고'!L:L,'교재재고'!B:B,$A50),0)
+IFERROR(SUMIFS('교재재고'!O:O,'교재재고'!B:B,$A50),0)
+IFERROR(SUMIFS('교재재고'!R:R,'교재재고'!B:B,$A50),0)</f>
        <v>0</v>
      </c>
      <c r="F50" s="79">
        <f>IFERROR(SUMIFS('교재재고'!G:G,'교재재고'!B:B,$A50),0)
+IFERROR(SUMIFS('교재재고'!J:J,'교재재고'!B:B,$A50),0)
+IFERROR(SUMIFS('교재재고'!M:M,'교재재고'!B:B,$A50),0)
+IFERROR(SUMIFS('교재재고'!P:P,'교재재고'!B:B,$A50),0)
+IFERROR(SUMIFS('교재재고'!S:S,'교재재고'!B:B,$A50),0)</f>
        <v>0</v>
      </c>
      <c r="G50" s="79">
        <f>IFERROR(SUMIFS('교재재고'!H:H,'교재재고'!B:B,$A50),0)
+IFERROR(SUMIFS('교재재고'!K:K,'교재재고'!B:B,$A50),0)
+IFERROR(SUMIFS('교재재고'!N:N,'교재재고'!B:B,$A50),0)
+IFERROR(SUMIFS('교재재고'!Q:Q,'교재재고'!B:B,$A50),0)
+IFERROR(SUMIFS('교재재고'!T:T,'교재재고'!B:B,$A50),0)</f>
        <v>0</v>
      </c>
      <c r="H50" s="79">
        <f t="shared" si="2"/>
        <v>6</v>
      </c>
      <c r="I50" s="80">
        <f>IFERROR(SUMIFS('배부로그'!G:G,'배부로그'!D:D,$A50,'배부로그'!F:F,"창고"),0)</f>
        <v>1</v>
      </c>
      <c r="J50" s="59">
        <f>IFERROR(SUMIFS('배부로그'!G:G,'배부로그'!D:D,$A50,'배부로그'!F:F,"4층지원실"),0)</f>
        <v>0</v>
      </c>
      <c r="K50" s="59">
        <f>IFERROR(SUMIFS('배부로그'!G:G,'배부로그'!D:D,$A50,'배부로그'!F:F,"8층지원실"),0)</f>
        <v>0</v>
      </c>
      <c r="L50" s="81">
        <f t="shared" si="3"/>
        <v>1</v>
      </c>
      <c r="M50" s="59">
        <f>IFERROR(SUMIFS('회수로그'!H:H,'회수로그'!E:E,$A50,'회수로그'!G:G,"창고"),0)</f>
        <v>0</v>
      </c>
      <c r="N50" s="59">
        <f>IFERROR(SUMIFS('회수로그'!H:H,'회수로그'!E:E,$A50,'회수로그'!G:G,"4층지원실"),0)</f>
        <v>0</v>
      </c>
      <c r="O50" s="59">
        <f>IFERROR(SUMIFS('회수로그'!H:H,'회수로그'!E:E,$A50,'회수로그'!G:G,"8층지원실"),0)</f>
        <v>0</v>
      </c>
      <c r="P50" s="59">
        <f t="shared" si="4"/>
        <v>0</v>
      </c>
      <c r="Q50" s="59">
        <f>IFERROR(SUMIFS('재고이동로그'!F:F,'재고이동로그'!C:C,$A50,'재고이동로그'!D:D,"창고"),0)</f>
        <v>0</v>
      </c>
      <c r="R50" s="59">
        <f>IFERROR(SUMIFS('재고이동로그'!F:F,'재고이동로그'!C:C,$A50,'재고이동로그'!E:E,"4층지원실"),0)</f>
        <v>0</v>
      </c>
      <c r="S50" s="82">
        <f>IFERROR(SUMIFS('재고이동로그'!F:F,'재고이동로그'!C:C,$A50,'재고이동로그'!E:E,"8층지원실"),0)</f>
        <v>0</v>
      </c>
      <c r="T50" s="59">
        <f>IFERROR(SUMIFS('재고이동로그'!F:F,'재고이동로그'!C:C,$A50,'재고이동로그'!E:E,"창고"),0)</f>
        <v>0</v>
      </c>
      <c r="U50" s="59">
        <f>IFERROR(SUMIFS('재고이동로그'!F:F,'재고이동로그'!C:C,$A50,'재고이동로그'!E:E,"4층지원실"),0)</f>
        <v>0</v>
      </c>
      <c r="V50" s="59">
        <f>IFERROR(SUMIFS('재고이동로그'!F:F,'재고이동로그'!C:C,$A50,'재고이동로그'!E:E,"8층지원실"),0)</f>
        <v>0</v>
      </c>
      <c r="W50" s="83">
        <f t="shared" ref="W50:Y50" si="53">B50+E50-I50+M50-Q50+T50</f>
        <v>5</v>
      </c>
      <c r="X50" s="83">
        <f t="shared" si="53"/>
        <v>0</v>
      </c>
      <c r="Y50" s="83">
        <f t="shared" si="53"/>
        <v>0</v>
      </c>
      <c r="Z50" s="84">
        <f t="shared" si="6"/>
        <v>5</v>
      </c>
      <c r="AA50" s="59" t="str">
        <f t="shared" si="7"/>
        <v>부족</v>
      </c>
      <c r="AB50" s="59"/>
      <c r="AC50" s="59"/>
      <c r="AD50" s="59"/>
      <c r="AE50" s="59"/>
      <c r="AF50" s="59"/>
    </row>
    <row r="51" ht="15.75" customHeight="1">
      <c r="A51" s="59" t="str">
        <f>IFERROR(__xludf.DUMMYFUNCTION("""COMPUTED_VALUE"""),"(이민호B) 단기록_수2(피드백)")</f>
        <v>(이민호B) 단기록_수2(피드백)</v>
      </c>
      <c r="B51" s="77">
        <f>IFERROR(SUMIFS('교재재고'!C:C,'교재재고'!B:B,$A51),0)</f>
        <v>3</v>
      </c>
      <c r="C51" s="77">
        <f>IFERROR(SUMIFS('교재재고'!D:D,'교재재고'!B:B,$A51),0)</f>
        <v>0</v>
      </c>
      <c r="D51" s="77">
        <f>IFERROR(SUMIFS('교재재고'!E:E,'교재재고'!B:B,$A51),0)</f>
        <v>0</v>
      </c>
      <c r="E51" s="78">
        <f>IFERROR(SUMIFS('교재재고'!F:F,'교재재고'!B:B,$A51),0)
+IFERROR(SUMIFS('교재재고'!I:I,'교재재고'!B:B,$A51),0)
+IFERROR(SUMIFS('교재재고'!L:L,'교재재고'!B:B,$A51),0)
+IFERROR(SUMIFS('교재재고'!O:O,'교재재고'!B:B,$A51),0)
+IFERROR(SUMIFS('교재재고'!R:R,'교재재고'!B:B,$A51),0)</f>
        <v>0</v>
      </c>
      <c r="F51" s="79">
        <f>IFERROR(SUMIFS('교재재고'!G:G,'교재재고'!B:B,$A51),0)
+IFERROR(SUMIFS('교재재고'!J:J,'교재재고'!B:B,$A51),0)
+IFERROR(SUMIFS('교재재고'!M:M,'교재재고'!B:B,$A51),0)
+IFERROR(SUMIFS('교재재고'!P:P,'교재재고'!B:B,$A51),0)
+IFERROR(SUMIFS('교재재고'!S:S,'교재재고'!B:B,$A51),0)</f>
        <v>0</v>
      </c>
      <c r="G51" s="79">
        <f>IFERROR(SUMIFS('교재재고'!H:H,'교재재고'!B:B,$A51),0)
+IFERROR(SUMIFS('교재재고'!K:K,'교재재고'!B:B,$A51),0)
+IFERROR(SUMIFS('교재재고'!N:N,'교재재고'!B:B,$A51),0)
+IFERROR(SUMIFS('교재재고'!Q:Q,'교재재고'!B:B,$A51),0)
+IFERROR(SUMIFS('교재재고'!T:T,'교재재고'!B:B,$A51),0)</f>
        <v>0</v>
      </c>
      <c r="H51" s="79">
        <f t="shared" si="2"/>
        <v>3</v>
      </c>
      <c r="I51" s="80">
        <f>IFERROR(SUMIFS('배부로그'!G:G,'배부로그'!D:D,$A51,'배부로그'!F:F,"창고"),0)</f>
        <v>2</v>
      </c>
      <c r="J51" s="59">
        <f>IFERROR(SUMIFS('배부로그'!G:G,'배부로그'!D:D,$A51,'배부로그'!F:F,"4층지원실"),0)</f>
        <v>0</v>
      </c>
      <c r="K51" s="59">
        <f>IFERROR(SUMIFS('배부로그'!G:G,'배부로그'!D:D,$A51,'배부로그'!F:F,"8층지원실"),0)</f>
        <v>0</v>
      </c>
      <c r="L51" s="81">
        <f t="shared" si="3"/>
        <v>2</v>
      </c>
      <c r="M51" s="59">
        <f>IFERROR(SUMIFS('회수로그'!H:H,'회수로그'!E:E,$A51,'회수로그'!G:G,"창고"),0)</f>
        <v>0</v>
      </c>
      <c r="N51" s="59">
        <f>IFERROR(SUMIFS('회수로그'!H:H,'회수로그'!E:E,$A51,'회수로그'!G:G,"4층지원실"),0)</f>
        <v>0</v>
      </c>
      <c r="O51" s="59">
        <f>IFERROR(SUMIFS('회수로그'!H:H,'회수로그'!E:E,$A51,'회수로그'!G:G,"8층지원실"),0)</f>
        <v>0</v>
      </c>
      <c r="P51" s="59">
        <f t="shared" si="4"/>
        <v>0</v>
      </c>
      <c r="Q51" s="59">
        <f>IFERROR(SUMIFS('재고이동로그'!F:F,'재고이동로그'!C:C,$A51,'재고이동로그'!D:D,"창고"),0)</f>
        <v>0</v>
      </c>
      <c r="R51" s="59">
        <f>IFERROR(SUMIFS('재고이동로그'!F:F,'재고이동로그'!C:C,$A51,'재고이동로그'!E:E,"4층지원실"),0)</f>
        <v>0</v>
      </c>
      <c r="S51" s="82">
        <f>IFERROR(SUMIFS('재고이동로그'!F:F,'재고이동로그'!C:C,$A51,'재고이동로그'!E:E,"8층지원실"),0)</f>
        <v>0</v>
      </c>
      <c r="T51" s="59">
        <f>IFERROR(SUMIFS('재고이동로그'!F:F,'재고이동로그'!C:C,$A51,'재고이동로그'!E:E,"창고"),0)</f>
        <v>0</v>
      </c>
      <c r="U51" s="59">
        <f>IFERROR(SUMIFS('재고이동로그'!F:F,'재고이동로그'!C:C,$A51,'재고이동로그'!E:E,"4층지원실"),0)</f>
        <v>0</v>
      </c>
      <c r="V51" s="59">
        <f>IFERROR(SUMIFS('재고이동로그'!F:F,'재고이동로그'!C:C,$A51,'재고이동로그'!E:E,"8층지원실"),0)</f>
        <v>0</v>
      </c>
      <c r="W51" s="83">
        <f t="shared" ref="W51:Y51" si="54">B51+E51-I51+M51-Q51+T51</f>
        <v>1</v>
      </c>
      <c r="X51" s="83">
        <f t="shared" si="54"/>
        <v>0</v>
      </c>
      <c r="Y51" s="83">
        <f t="shared" si="54"/>
        <v>0</v>
      </c>
      <c r="Z51" s="84">
        <f t="shared" si="6"/>
        <v>1</v>
      </c>
      <c r="AA51" s="59" t="str">
        <f t="shared" si="7"/>
        <v>부족</v>
      </c>
      <c r="AB51" s="59"/>
      <c r="AC51" s="59"/>
      <c r="AD51" s="59"/>
      <c r="AE51" s="59"/>
      <c r="AF51" s="59"/>
    </row>
    <row r="52" ht="15.75" customHeight="1">
      <c r="A52" s="59" t="str">
        <f>IFERROR(__xludf.DUMMYFUNCTION("""COMPUTED_VALUE"""),"(이민호B) 단기록_확통(피드백)")</f>
        <v>(이민호B) 단기록_확통(피드백)</v>
      </c>
      <c r="B52" s="77">
        <f>IFERROR(SUMIFS('교재재고'!C:C,'교재재고'!B:B,$A52),0)</f>
        <v>2</v>
      </c>
      <c r="C52" s="77">
        <f>IFERROR(SUMIFS('교재재고'!D:D,'교재재고'!B:B,$A52),0)</f>
        <v>0</v>
      </c>
      <c r="D52" s="77">
        <f>IFERROR(SUMIFS('교재재고'!E:E,'교재재고'!B:B,$A52),0)</f>
        <v>0</v>
      </c>
      <c r="E52" s="78">
        <f>IFERROR(SUMIFS('교재재고'!F:F,'교재재고'!B:B,$A52),0)
+IFERROR(SUMIFS('교재재고'!I:I,'교재재고'!B:B,$A52),0)
+IFERROR(SUMIFS('교재재고'!L:L,'교재재고'!B:B,$A52),0)
+IFERROR(SUMIFS('교재재고'!O:O,'교재재고'!B:B,$A52),0)
+IFERROR(SUMIFS('교재재고'!R:R,'교재재고'!B:B,$A52),0)</f>
        <v>0</v>
      </c>
      <c r="F52" s="79">
        <f>IFERROR(SUMIFS('교재재고'!G:G,'교재재고'!B:B,$A52),0)
+IFERROR(SUMIFS('교재재고'!J:J,'교재재고'!B:B,$A52),0)
+IFERROR(SUMIFS('교재재고'!M:M,'교재재고'!B:B,$A52),0)
+IFERROR(SUMIFS('교재재고'!P:P,'교재재고'!B:B,$A52),0)
+IFERROR(SUMIFS('교재재고'!S:S,'교재재고'!B:B,$A52),0)</f>
        <v>0</v>
      </c>
      <c r="G52" s="79">
        <f>IFERROR(SUMIFS('교재재고'!H:H,'교재재고'!B:B,$A52),0)
+IFERROR(SUMIFS('교재재고'!K:K,'교재재고'!B:B,$A52),0)
+IFERROR(SUMIFS('교재재고'!N:N,'교재재고'!B:B,$A52),0)
+IFERROR(SUMIFS('교재재고'!Q:Q,'교재재고'!B:B,$A52),0)
+IFERROR(SUMIFS('교재재고'!T:T,'교재재고'!B:B,$A52),0)</f>
        <v>0</v>
      </c>
      <c r="H52" s="79">
        <f t="shared" si="2"/>
        <v>2</v>
      </c>
      <c r="I52" s="80">
        <f>IFERROR(SUMIFS('배부로그'!G:G,'배부로그'!D:D,$A52,'배부로그'!F:F,"창고"),0)</f>
        <v>2</v>
      </c>
      <c r="J52" s="59">
        <f>IFERROR(SUMIFS('배부로그'!G:G,'배부로그'!D:D,$A52,'배부로그'!F:F,"4층지원실"),0)</f>
        <v>0</v>
      </c>
      <c r="K52" s="59">
        <f>IFERROR(SUMIFS('배부로그'!G:G,'배부로그'!D:D,$A52,'배부로그'!F:F,"8층지원실"),0)</f>
        <v>0</v>
      </c>
      <c r="L52" s="81">
        <f t="shared" si="3"/>
        <v>2</v>
      </c>
      <c r="M52" s="59">
        <f>IFERROR(SUMIFS('회수로그'!H:H,'회수로그'!E:E,$A52,'회수로그'!G:G,"창고"),0)</f>
        <v>0</v>
      </c>
      <c r="N52" s="59">
        <f>IFERROR(SUMIFS('회수로그'!H:H,'회수로그'!E:E,$A52,'회수로그'!G:G,"4층지원실"),0)</f>
        <v>0</v>
      </c>
      <c r="O52" s="59">
        <f>IFERROR(SUMIFS('회수로그'!H:H,'회수로그'!E:E,$A52,'회수로그'!G:G,"8층지원실"),0)</f>
        <v>0</v>
      </c>
      <c r="P52" s="59">
        <f t="shared" si="4"/>
        <v>0</v>
      </c>
      <c r="Q52" s="59">
        <f>IFERROR(SUMIFS('재고이동로그'!F:F,'재고이동로그'!C:C,$A52,'재고이동로그'!D:D,"창고"),0)</f>
        <v>0</v>
      </c>
      <c r="R52" s="59">
        <f>IFERROR(SUMIFS('재고이동로그'!F:F,'재고이동로그'!C:C,$A52,'재고이동로그'!E:E,"4층지원실"),0)</f>
        <v>0</v>
      </c>
      <c r="S52" s="82">
        <f>IFERROR(SUMIFS('재고이동로그'!F:F,'재고이동로그'!C:C,$A52,'재고이동로그'!E:E,"8층지원실"),0)</f>
        <v>0</v>
      </c>
      <c r="T52" s="59">
        <f>IFERROR(SUMIFS('재고이동로그'!F:F,'재고이동로그'!C:C,$A52,'재고이동로그'!E:E,"창고"),0)</f>
        <v>0</v>
      </c>
      <c r="U52" s="59">
        <f>IFERROR(SUMIFS('재고이동로그'!F:F,'재고이동로그'!C:C,$A52,'재고이동로그'!E:E,"4층지원실"),0)</f>
        <v>0</v>
      </c>
      <c r="V52" s="59">
        <f>IFERROR(SUMIFS('재고이동로그'!F:F,'재고이동로그'!C:C,$A52,'재고이동로그'!E:E,"8층지원실"),0)</f>
        <v>0</v>
      </c>
      <c r="W52" s="83">
        <f t="shared" ref="W52:Y52" si="55">B52+E52-I52+M52-Q52+T52</f>
        <v>0</v>
      </c>
      <c r="X52" s="83">
        <f t="shared" si="55"/>
        <v>0</v>
      </c>
      <c r="Y52" s="83">
        <f t="shared" si="55"/>
        <v>0</v>
      </c>
      <c r="Z52" s="84">
        <f t="shared" si="6"/>
        <v>0</v>
      </c>
      <c r="AA52" s="59" t="str">
        <f t="shared" si="7"/>
        <v>부족</v>
      </c>
      <c r="AB52" s="59"/>
      <c r="AC52" s="59"/>
      <c r="AD52" s="59"/>
      <c r="AE52" s="59"/>
      <c r="AF52" s="59"/>
    </row>
    <row r="53" ht="15.0" customHeight="1">
      <c r="A53" s="59" t="str">
        <f>IFERROR(__xludf.DUMMYFUNCTION("""COMPUTED_VALUE"""),"(이민호B) 수해록_수2(수업)")</f>
        <v>(이민호B) 수해록_수2(수업)</v>
      </c>
      <c r="B53" s="77">
        <f>IFERROR(SUMIFS('교재재고'!C:C,'교재재고'!B:B,$A53),0)</f>
        <v>1</v>
      </c>
      <c r="C53" s="77">
        <f>IFERROR(SUMIFS('교재재고'!D:D,'교재재고'!B:B,$A53),0)</f>
        <v>0</v>
      </c>
      <c r="D53" s="77">
        <f>IFERROR(SUMIFS('교재재고'!E:E,'교재재고'!B:B,$A53),0)</f>
        <v>0</v>
      </c>
      <c r="E53" s="78">
        <f>IFERROR(SUMIFS('교재재고'!F:F,'교재재고'!B:B,$A53),0)
+IFERROR(SUMIFS('교재재고'!I:I,'교재재고'!B:B,$A53),0)
+IFERROR(SUMIFS('교재재고'!L:L,'교재재고'!B:B,$A53),0)
+IFERROR(SUMIFS('교재재고'!O:O,'교재재고'!B:B,$A53),0)
+IFERROR(SUMIFS('교재재고'!R:R,'교재재고'!B:B,$A53),0)</f>
        <v>0</v>
      </c>
      <c r="F53" s="79">
        <f>IFERROR(SUMIFS('교재재고'!G:G,'교재재고'!B:B,$A53),0)
+IFERROR(SUMIFS('교재재고'!J:J,'교재재고'!B:B,$A53),0)
+IFERROR(SUMIFS('교재재고'!M:M,'교재재고'!B:B,$A53),0)
+IFERROR(SUMIFS('교재재고'!P:P,'교재재고'!B:B,$A53),0)
+IFERROR(SUMIFS('교재재고'!S:S,'교재재고'!B:B,$A53),0)</f>
        <v>0</v>
      </c>
      <c r="G53" s="79">
        <f>IFERROR(SUMIFS('교재재고'!H:H,'교재재고'!B:B,$A53),0)
+IFERROR(SUMIFS('교재재고'!K:K,'교재재고'!B:B,$A53),0)
+IFERROR(SUMIFS('교재재고'!N:N,'교재재고'!B:B,$A53),0)
+IFERROR(SUMIFS('교재재고'!Q:Q,'교재재고'!B:B,$A53),0)
+IFERROR(SUMIFS('교재재고'!T:T,'교재재고'!B:B,$A53),0)</f>
        <v>0</v>
      </c>
      <c r="H53" s="79">
        <f t="shared" si="2"/>
        <v>1</v>
      </c>
      <c r="I53" s="80">
        <f>IFERROR(SUMIFS('배부로그'!G:G,'배부로그'!D:D,$A53,'배부로그'!F:F,"창고"),0)</f>
        <v>2</v>
      </c>
      <c r="J53" s="59">
        <f>IFERROR(SUMIFS('배부로그'!G:G,'배부로그'!D:D,$A53,'배부로그'!F:F,"4층지원실"),0)</f>
        <v>0</v>
      </c>
      <c r="K53" s="59">
        <f>IFERROR(SUMIFS('배부로그'!G:G,'배부로그'!D:D,$A53,'배부로그'!F:F,"8층지원실"),0)</f>
        <v>0</v>
      </c>
      <c r="L53" s="81">
        <f t="shared" si="3"/>
        <v>2</v>
      </c>
      <c r="M53" s="59">
        <f>IFERROR(SUMIFS('회수로그'!H:H,'회수로그'!E:E,$A53,'회수로그'!G:G,"창고"),0)</f>
        <v>0</v>
      </c>
      <c r="N53" s="59">
        <f>IFERROR(SUMIFS('회수로그'!H:H,'회수로그'!E:E,$A53,'회수로그'!G:G,"4층지원실"),0)</f>
        <v>0</v>
      </c>
      <c r="O53" s="59">
        <f>IFERROR(SUMIFS('회수로그'!H:H,'회수로그'!E:E,$A53,'회수로그'!G:G,"8층지원실"),0)</f>
        <v>0</v>
      </c>
      <c r="P53" s="59">
        <f t="shared" si="4"/>
        <v>0</v>
      </c>
      <c r="Q53" s="59">
        <f>IFERROR(SUMIFS('재고이동로그'!F:F,'재고이동로그'!C:C,$A53,'재고이동로그'!D:D,"창고"),0)</f>
        <v>0</v>
      </c>
      <c r="R53" s="59">
        <f>IFERROR(SUMIFS('재고이동로그'!F:F,'재고이동로그'!C:C,$A53,'재고이동로그'!E:E,"4층지원실"),0)</f>
        <v>0</v>
      </c>
      <c r="S53" s="82">
        <f>IFERROR(SUMIFS('재고이동로그'!F:F,'재고이동로그'!C:C,$A53,'재고이동로그'!E:E,"8층지원실"),0)</f>
        <v>0</v>
      </c>
      <c r="T53" s="59">
        <f>IFERROR(SUMIFS('재고이동로그'!F:F,'재고이동로그'!C:C,$A53,'재고이동로그'!E:E,"창고"),0)</f>
        <v>0</v>
      </c>
      <c r="U53" s="59">
        <f>IFERROR(SUMIFS('재고이동로그'!F:F,'재고이동로그'!C:C,$A53,'재고이동로그'!E:E,"4층지원실"),0)</f>
        <v>0</v>
      </c>
      <c r="V53" s="59">
        <f>IFERROR(SUMIFS('재고이동로그'!F:F,'재고이동로그'!C:C,$A53,'재고이동로그'!E:E,"8층지원실"),0)</f>
        <v>0</v>
      </c>
      <c r="W53" s="83">
        <f t="shared" ref="W53:Y53" si="56">B53+E53-I53+M53-Q53+T53</f>
        <v>-1</v>
      </c>
      <c r="X53" s="83">
        <f t="shared" si="56"/>
        <v>0</v>
      </c>
      <c r="Y53" s="83">
        <f t="shared" si="56"/>
        <v>0</v>
      </c>
      <c r="Z53" s="84">
        <f t="shared" si="6"/>
        <v>-1</v>
      </c>
      <c r="AA53" s="59" t="str">
        <f t="shared" si="7"/>
        <v>부족</v>
      </c>
      <c r="AB53" s="59"/>
      <c r="AC53" s="59"/>
      <c r="AD53" s="59"/>
      <c r="AE53" s="59"/>
      <c r="AF53" s="59"/>
    </row>
    <row r="54" ht="15.75" customHeight="1">
      <c r="A54" s="59" t="str">
        <f>IFERROR(__xludf.DUMMYFUNCTION("""COMPUTED_VALUE"""),"(이민호B) 수해록_확통(수업)")</f>
        <v>(이민호B) 수해록_확통(수업)</v>
      </c>
      <c r="B54" s="77">
        <f>IFERROR(SUMIFS('교재재고'!C:C,'교재재고'!B:B,$A54),0)</f>
        <v>3</v>
      </c>
      <c r="C54" s="77">
        <f>IFERROR(SUMIFS('교재재고'!D:D,'교재재고'!B:B,$A54),0)</f>
        <v>0</v>
      </c>
      <c r="D54" s="77">
        <f>IFERROR(SUMIFS('교재재고'!E:E,'교재재고'!B:B,$A54),0)</f>
        <v>0</v>
      </c>
      <c r="E54" s="78">
        <f>IFERROR(SUMIFS('교재재고'!F:F,'교재재고'!B:B,$A54),0)
+IFERROR(SUMIFS('교재재고'!I:I,'교재재고'!B:B,$A54),0)
+IFERROR(SUMIFS('교재재고'!L:L,'교재재고'!B:B,$A54),0)
+IFERROR(SUMIFS('교재재고'!O:O,'교재재고'!B:B,$A54),0)
+IFERROR(SUMIFS('교재재고'!R:R,'교재재고'!B:B,$A54),0)</f>
        <v>0</v>
      </c>
      <c r="F54" s="79">
        <f>IFERROR(SUMIFS('교재재고'!G:G,'교재재고'!B:B,$A54),0)
+IFERROR(SUMIFS('교재재고'!J:J,'교재재고'!B:B,$A54),0)
+IFERROR(SUMIFS('교재재고'!M:M,'교재재고'!B:B,$A54),0)
+IFERROR(SUMIFS('교재재고'!P:P,'교재재고'!B:B,$A54),0)
+IFERROR(SUMIFS('교재재고'!S:S,'교재재고'!B:B,$A54),0)</f>
        <v>0</v>
      </c>
      <c r="G54" s="79">
        <f>IFERROR(SUMIFS('교재재고'!H:H,'교재재고'!B:B,$A54),0)
+IFERROR(SUMIFS('교재재고'!K:K,'교재재고'!B:B,$A54),0)
+IFERROR(SUMIFS('교재재고'!N:N,'교재재고'!B:B,$A54),0)
+IFERROR(SUMIFS('교재재고'!Q:Q,'교재재고'!B:B,$A54),0)
+IFERROR(SUMIFS('교재재고'!T:T,'교재재고'!B:B,$A54),0)</f>
        <v>0</v>
      </c>
      <c r="H54" s="79">
        <f t="shared" si="2"/>
        <v>3</v>
      </c>
      <c r="I54" s="80">
        <f>IFERROR(SUMIFS('배부로그'!G:G,'배부로그'!D:D,$A54,'배부로그'!F:F,"창고"),0)</f>
        <v>2</v>
      </c>
      <c r="J54" s="59">
        <f>IFERROR(SUMIFS('배부로그'!G:G,'배부로그'!D:D,$A54,'배부로그'!F:F,"4층지원실"),0)</f>
        <v>0</v>
      </c>
      <c r="K54" s="59">
        <f>IFERROR(SUMIFS('배부로그'!G:G,'배부로그'!D:D,$A54,'배부로그'!F:F,"8층지원실"),0)</f>
        <v>0</v>
      </c>
      <c r="L54" s="81">
        <f t="shared" si="3"/>
        <v>2</v>
      </c>
      <c r="M54" s="59">
        <f>IFERROR(SUMIFS('회수로그'!H:H,'회수로그'!E:E,$A54,'회수로그'!G:G,"창고"),0)</f>
        <v>0</v>
      </c>
      <c r="N54" s="59">
        <f>IFERROR(SUMIFS('회수로그'!H:H,'회수로그'!E:E,$A54,'회수로그'!G:G,"4층지원실"),0)</f>
        <v>0</v>
      </c>
      <c r="O54" s="59">
        <f>IFERROR(SUMIFS('회수로그'!H:H,'회수로그'!E:E,$A54,'회수로그'!G:G,"8층지원실"),0)</f>
        <v>0</v>
      </c>
      <c r="P54" s="59">
        <f t="shared" si="4"/>
        <v>0</v>
      </c>
      <c r="Q54" s="59">
        <f>IFERROR(SUMIFS('재고이동로그'!F:F,'재고이동로그'!C:C,$A54,'재고이동로그'!D:D,"창고"),0)</f>
        <v>0</v>
      </c>
      <c r="R54" s="59">
        <f>IFERROR(SUMIFS('재고이동로그'!F:F,'재고이동로그'!C:C,$A54,'재고이동로그'!E:E,"4층지원실"),0)</f>
        <v>0</v>
      </c>
      <c r="S54" s="82">
        <f>IFERROR(SUMIFS('재고이동로그'!F:F,'재고이동로그'!C:C,$A54,'재고이동로그'!E:E,"8층지원실"),0)</f>
        <v>0</v>
      </c>
      <c r="T54" s="59">
        <f>IFERROR(SUMIFS('재고이동로그'!F:F,'재고이동로그'!C:C,$A54,'재고이동로그'!E:E,"창고"),0)</f>
        <v>0</v>
      </c>
      <c r="U54" s="59">
        <f>IFERROR(SUMIFS('재고이동로그'!F:F,'재고이동로그'!C:C,$A54,'재고이동로그'!E:E,"4층지원실"),0)</f>
        <v>0</v>
      </c>
      <c r="V54" s="59">
        <f>IFERROR(SUMIFS('재고이동로그'!F:F,'재고이동로그'!C:C,$A54,'재고이동로그'!E:E,"8층지원실"),0)</f>
        <v>0</v>
      </c>
      <c r="W54" s="83">
        <f t="shared" ref="W54:Y54" si="57">B54+E54-I54+M54-Q54+T54</f>
        <v>1</v>
      </c>
      <c r="X54" s="83">
        <f t="shared" si="57"/>
        <v>0</v>
      </c>
      <c r="Y54" s="83">
        <f t="shared" si="57"/>
        <v>0</v>
      </c>
      <c r="Z54" s="84">
        <f t="shared" si="6"/>
        <v>1</v>
      </c>
      <c r="AA54" s="59" t="str">
        <f t="shared" si="7"/>
        <v>부족</v>
      </c>
      <c r="AB54" s="59"/>
      <c r="AC54" s="59"/>
      <c r="AD54" s="59"/>
      <c r="AE54" s="59"/>
      <c r="AF54" s="59"/>
    </row>
    <row r="55" ht="15.75" customHeight="1">
      <c r="A55" s="59" t="str">
        <f>IFERROR(__xludf.DUMMYFUNCTION("""COMPUTED_VALUE"""),"(이병훈) 지구과학")</f>
        <v>(이병훈) 지구과학</v>
      </c>
      <c r="B55" s="77">
        <f>IFERROR(SUMIFS('교재재고'!C:C,'교재재고'!B:B,$A55),0)</f>
        <v>11</v>
      </c>
      <c r="C55" s="77">
        <f>IFERROR(SUMIFS('교재재고'!D:D,'교재재고'!B:B,$A55),0)</f>
        <v>0</v>
      </c>
      <c r="D55" s="77">
        <f>IFERROR(SUMIFS('교재재고'!E:E,'교재재고'!B:B,$A55),0)</f>
        <v>0</v>
      </c>
      <c r="E55" s="78">
        <f>IFERROR(SUMIFS('교재재고'!F:F,'교재재고'!B:B,$A55),0)
+IFERROR(SUMIFS('교재재고'!I:I,'교재재고'!B:B,$A55),0)
+IFERROR(SUMIFS('교재재고'!L:L,'교재재고'!B:B,$A55),0)
+IFERROR(SUMIFS('교재재고'!O:O,'교재재고'!B:B,$A55),0)
+IFERROR(SUMIFS('교재재고'!R:R,'교재재고'!B:B,$A55),0)</f>
        <v>0</v>
      </c>
      <c r="F55" s="79">
        <f>IFERROR(SUMIFS('교재재고'!G:G,'교재재고'!B:B,$A55),0)
+IFERROR(SUMIFS('교재재고'!J:J,'교재재고'!B:B,$A55),0)
+IFERROR(SUMIFS('교재재고'!M:M,'교재재고'!B:B,$A55),0)
+IFERROR(SUMIFS('교재재고'!P:P,'교재재고'!B:B,$A55),0)
+IFERROR(SUMIFS('교재재고'!S:S,'교재재고'!B:B,$A55),0)</f>
        <v>0</v>
      </c>
      <c r="G55" s="79">
        <f>IFERROR(SUMIFS('교재재고'!H:H,'교재재고'!B:B,$A55),0)
+IFERROR(SUMIFS('교재재고'!K:K,'교재재고'!B:B,$A55),0)
+IFERROR(SUMIFS('교재재고'!N:N,'교재재고'!B:B,$A55),0)
+IFERROR(SUMIFS('교재재고'!Q:Q,'교재재고'!B:B,$A55),0)
+IFERROR(SUMIFS('교재재고'!T:T,'교재재고'!B:B,$A55),0)</f>
        <v>0</v>
      </c>
      <c r="H55" s="79">
        <f t="shared" si="2"/>
        <v>11</v>
      </c>
      <c r="I55" s="80">
        <f>IFERROR(SUMIFS('배부로그'!G:G,'배부로그'!D:D,$A55,'배부로그'!F:F,"창고"),0)</f>
        <v>2</v>
      </c>
      <c r="J55" s="59">
        <f>IFERROR(SUMIFS('배부로그'!G:G,'배부로그'!D:D,$A55,'배부로그'!F:F,"4층지원실"),0)</f>
        <v>0</v>
      </c>
      <c r="K55" s="59">
        <f>IFERROR(SUMIFS('배부로그'!G:G,'배부로그'!D:D,$A55,'배부로그'!F:F,"8층지원실"),0)</f>
        <v>0</v>
      </c>
      <c r="L55" s="81">
        <f t="shared" si="3"/>
        <v>2</v>
      </c>
      <c r="M55" s="59">
        <f>IFERROR(SUMIFS('회수로그'!H:H,'회수로그'!E:E,$A55,'회수로그'!G:G,"창고"),0)</f>
        <v>0</v>
      </c>
      <c r="N55" s="59">
        <f>IFERROR(SUMIFS('회수로그'!H:H,'회수로그'!E:E,$A55,'회수로그'!G:G,"4층지원실"),0)</f>
        <v>0</v>
      </c>
      <c r="O55" s="59">
        <f>IFERROR(SUMIFS('회수로그'!H:H,'회수로그'!E:E,$A55,'회수로그'!G:G,"8층지원실"),0)</f>
        <v>0</v>
      </c>
      <c r="P55" s="59">
        <f t="shared" si="4"/>
        <v>0</v>
      </c>
      <c r="Q55" s="59">
        <f>IFERROR(SUMIFS('재고이동로그'!F:F,'재고이동로그'!C:C,$A55,'재고이동로그'!D:D,"창고"),0)</f>
        <v>0</v>
      </c>
      <c r="R55" s="59">
        <f>IFERROR(SUMIFS('재고이동로그'!F:F,'재고이동로그'!C:C,$A55,'재고이동로그'!E:E,"4층지원실"),0)</f>
        <v>0</v>
      </c>
      <c r="S55" s="82">
        <f>IFERROR(SUMIFS('재고이동로그'!F:F,'재고이동로그'!C:C,$A55,'재고이동로그'!E:E,"8층지원실"),0)</f>
        <v>0</v>
      </c>
      <c r="T55" s="59">
        <f>IFERROR(SUMIFS('재고이동로그'!F:F,'재고이동로그'!C:C,$A55,'재고이동로그'!E:E,"창고"),0)</f>
        <v>0</v>
      </c>
      <c r="U55" s="59">
        <f>IFERROR(SUMIFS('재고이동로그'!F:F,'재고이동로그'!C:C,$A55,'재고이동로그'!E:E,"4층지원실"),0)</f>
        <v>0</v>
      </c>
      <c r="V55" s="59">
        <f>IFERROR(SUMIFS('재고이동로그'!F:F,'재고이동로그'!C:C,$A55,'재고이동로그'!E:E,"8층지원실"),0)</f>
        <v>0</v>
      </c>
      <c r="W55" s="83">
        <f t="shared" ref="W55:Y55" si="58">B55+E55-I55+M55-Q55+T55</f>
        <v>9</v>
      </c>
      <c r="X55" s="83">
        <f t="shared" si="58"/>
        <v>0</v>
      </c>
      <c r="Y55" s="83">
        <f t="shared" si="58"/>
        <v>0</v>
      </c>
      <c r="Z55" s="84">
        <f t="shared" si="6"/>
        <v>9</v>
      </c>
      <c r="AA55" s="59" t="str">
        <f t="shared" si="7"/>
        <v>부족</v>
      </c>
      <c r="AB55" s="59"/>
      <c r="AC55" s="59"/>
      <c r="AD55" s="59"/>
      <c r="AE55" s="59"/>
      <c r="AF55" s="59"/>
    </row>
    <row r="56" ht="15.75" customHeight="1">
      <c r="A56" s="59" t="str">
        <f>IFERROR(__xludf.DUMMYFUNCTION("""COMPUTED_VALUE"""),"(이승국) 세계지리")</f>
        <v>(이승국) 세계지리</v>
      </c>
      <c r="B56" s="77">
        <f>IFERROR(SUMIFS('교재재고'!C:C,'교재재고'!B:B,$A56),0)</f>
        <v>10</v>
      </c>
      <c r="C56" s="77">
        <f>IFERROR(SUMIFS('교재재고'!D:D,'교재재고'!B:B,$A56),0)</f>
        <v>0</v>
      </c>
      <c r="D56" s="77">
        <f>IFERROR(SUMIFS('교재재고'!E:E,'교재재고'!B:B,$A56),0)</f>
        <v>0</v>
      </c>
      <c r="E56" s="78">
        <f>IFERROR(SUMIFS('교재재고'!F:F,'교재재고'!B:B,$A56),0)
+IFERROR(SUMIFS('교재재고'!I:I,'교재재고'!B:B,$A56),0)
+IFERROR(SUMIFS('교재재고'!L:L,'교재재고'!B:B,$A56),0)
+IFERROR(SUMIFS('교재재고'!O:O,'교재재고'!B:B,$A56),0)
+IFERROR(SUMIFS('교재재고'!R:R,'교재재고'!B:B,$A56),0)</f>
        <v>0</v>
      </c>
      <c r="F56" s="79">
        <f>IFERROR(SUMIFS('교재재고'!G:G,'교재재고'!B:B,$A56),0)
+IFERROR(SUMIFS('교재재고'!J:J,'교재재고'!B:B,$A56),0)
+IFERROR(SUMIFS('교재재고'!M:M,'교재재고'!B:B,$A56),0)
+IFERROR(SUMIFS('교재재고'!P:P,'교재재고'!B:B,$A56),0)
+IFERROR(SUMIFS('교재재고'!S:S,'교재재고'!B:B,$A56),0)</f>
        <v>0</v>
      </c>
      <c r="G56" s="79">
        <f>IFERROR(SUMIFS('교재재고'!H:H,'교재재고'!B:B,$A56),0)
+IFERROR(SUMIFS('교재재고'!K:K,'교재재고'!B:B,$A56),0)
+IFERROR(SUMIFS('교재재고'!N:N,'교재재고'!B:B,$A56),0)
+IFERROR(SUMIFS('교재재고'!Q:Q,'교재재고'!B:B,$A56),0)
+IFERROR(SUMIFS('교재재고'!T:T,'교재재고'!B:B,$A56),0)</f>
        <v>0</v>
      </c>
      <c r="H56" s="79">
        <f t="shared" si="2"/>
        <v>10</v>
      </c>
      <c r="I56" s="80">
        <f>IFERROR(SUMIFS('배부로그'!G:G,'배부로그'!D:D,$A56,'배부로그'!F:F,"창고"),0)</f>
        <v>2</v>
      </c>
      <c r="J56" s="59">
        <f>IFERROR(SUMIFS('배부로그'!G:G,'배부로그'!D:D,$A56,'배부로그'!F:F,"4층지원실"),0)</f>
        <v>0</v>
      </c>
      <c r="K56" s="59">
        <f>IFERROR(SUMIFS('배부로그'!G:G,'배부로그'!D:D,$A56,'배부로그'!F:F,"8층지원실"),0)</f>
        <v>0</v>
      </c>
      <c r="L56" s="81">
        <f t="shared" si="3"/>
        <v>2</v>
      </c>
      <c r="M56" s="59">
        <f>IFERROR(SUMIFS('회수로그'!H:H,'회수로그'!E:E,$A56,'회수로그'!G:G,"창고"),0)</f>
        <v>0</v>
      </c>
      <c r="N56" s="59">
        <f>IFERROR(SUMIFS('회수로그'!H:H,'회수로그'!E:E,$A56,'회수로그'!G:G,"4층지원실"),0)</f>
        <v>0</v>
      </c>
      <c r="O56" s="59">
        <f>IFERROR(SUMIFS('회수로그'!H:H,'회수로그'!E:E,$A56,'회수로그'!G:G,"8층지원실"),0)</f>
        <v>0</v>
      </c>
      <c r="P56" s="59">
        <f t="shared" si="4"/>
        <v>0</v>
      </c>
      <c r="Q56" s="59">
        <f>IFERROR(SUMIFS('재고이동로그'!F:F,'재고이동로그'!C:C,$A56,'재고이동로그'!D:D,"창고"),0)</f>
        <v>0</v>
      </c>
      <c r="R56" s="59">
        <f>IFERROR(SUMIFS('재고이동로그'!F:F,'재고이동로그'!C:C,$A56,'재고이동로그'!E:E,"4층지원실"),0)</f>
        <v>0</v>
      </c>
      <c r="S56" s="82">
        <f>IFERROR(SUMIFS('재고이동로그'!F:F,'재고이동로그'!C:C,$A56,'재고이동로그'!E:E,"8층지원실"),0)</f>
        <v>0</v>
      </c>
      <c r="T56" s="59">
        <f>IFERROR(SUMIFS('재고이동로그'!F:F,'재고이동로그'!C:C,$A56,'재고이동로그'!E:E,"창고"),0)</f>
        <v>0</v>
      </c>
      <c r="U56" s="59">
        <f>IFERROR(SUMIFS('재고이동로그'!F:F,'재고이동로그'!C:C,$A56,'재고이동로그'!E:E,"4층지원실"),0)</f>
        <v>0</v>
      </c>
      <c r="V56" s="59">
        <f>IFERROR(SUMIFS('재고이동로그'!F:F,'재고이동로그'!C:C,$A56,'재고이동로그'!E:E,"8층지원실"),0)</f>
        <v>0</v>
      </c>
      <c r="W56" s="83">
        <f t="shared" ref="W56:Y56" si="59">B56+E56-I56+M56-Q56+T56</f>
        <v>8</v>
      </c>
      <c r="X56" s="83">
        <f t="shared" si="59"/>
        <v>0</v>
      </c>
      <c r="Y56" s="83">
        <f t="shared" si="59"/>
        <v>0</v>
      </c>
      <c r="Z56" s="84">
        <f t="shared" si="6"/>
        <v>8</v>
      </c>
      <c r="AA56" s="59" t="str">
        <f t="shared" si="7"/>
        <v>부족</v>
      </c>
      <c r="AB56" s="59"/>
      <c r="AC56" s="59"/>
      <c r="AD56" s="59"/>
      <c r="AE56" s="59"/>
      <c r="AF56" s="59"/>
    </row>
    <row r="57" ht="15.75" customHeight="1">
      <c r="A57" s="59" t="str">
        <f>IFERROR(__xludf.DUMMYFUNCTION("""COMPUTED_VALUE"""),"(이승국) 한국지리")</f>
        <v>(이승국) 한국지리</v>
      </c>
      <c r="B57" s="77">
        <f>IFERROR(SUMIFS('교재재고'!C:C,'교재재고'!B:B,$A57),0)</f>
        <v>10</v>
      </c>
      <c r="C57" s="77">
        <f>IFERROR(SUMIFS('교재재고'!D:D,'교재재고'!B:B,$A57),0)</f>
        <v>0</v>
      </c>
      <c r="D57" s="77">
        <f>IFERROR(SUMIFS('교재재고'!E:E,'교재재고'!B:B,$A57),0)</f>
        <v>0</v>
      </c>
      <c r="E57" s="78">
        <f>IFERROR(SUMIFS('교재재고'!F:F,'교재재고'!B:B,$A57),0)
+IFERROR(SUMIFS('교재재고'!I:I,'교재재고'!B:B,$A57),0)
+IFERROR(SUMIFS('교재재고'!L:L,'교재재고'!B:B,$A57),0)
+IFERROR(SUMIFS('교재재고'!O:O,'교재재고'!B:B,$A57),0)
+IFERROR(SUMIFS('교재재고'!R:R,'교재재고'!B:B,$A57),0)</f>
        <v>0</v>
      </c>
      <c r="F57" s="79">
        <f>IFERROR(SUMIFS('교재재고'!G:G,'교재재고'!B:B,$A57),0)
+IFERROR(SUMIFS('교재재고'!J:J,'교재재고'!B:B,$A57),0)
+IFERROR(SUMIFS('교재재고'!M:M,'교재재고'!B:B,$A57),0)
+IFERROR(SUMIFS('교재재고'!P:P,'교재재고'!B:B,$A57),0)
+IFERROR(SUMIFS('교재재고'!S:S,'교재재고'!B:B,$A57),0)</f>
        <v>0</v>
      </c>
      <c r="G57" s="79">
        <f>IFERROR(SUMIFS('교재재고'!H:H,'교재재고'!B:B,$A57),0)
+IFERROR(SUMIFS('교재재고'!K:K,'교재재고'!B:B,$A57),0)
+IFERROR(SUMIFS('교재재고'!N:N,'교재재고'!B:B,$A57),0)
+IFERROR(SUMIFS('교재재고'!Q:Q,'교재재고'!B:B,$A57),0)
+IFERROR(SUMIFS('교재재고'!T:T,'교재재고'!B:B,$A57),0)</f>
        <v>0</v>
      </c>
      <c r="H57" s="79">
        <f t="shared" si="2"/>
        <v>10</v>
      </c>
      <c r="I57" s="80">
        <f>IFERROR(SUMIFS('배부로그'!G:G,'배부로그'!D:D,$A57,'배부로그'!F:F,"창고"),0)</f>
        <v>3</v>
      </c>
      <c r="J57" s="59">
        <f>IFERROR(SUMIFS('배부로그'!G:G,'배부로그'!D:D,$A57,'배부로그'!F:F,"4층지원실"),0)</f>
        <v>0</v>
      </c>
      <c r="K57" s="59">
        <f>IFERROR(SUMIFS('배부로그'!G:G,'배부로그'!D:D,$A57,'배부로그'!F:F,"8층지원실"),0)</f>
        <v>0</v>
      </c>
      <c r="L57" s="81">
        <f t="shared" si="3"/>
        <v>3</v>
      </c>
      <c r="M57" s="59">
        <f>IFERROR(SUMIFS('회수로그'!H:H,'회수로그'!E:E,$A57,'회수로그'!G:G,"창고"),0)</f>
        <v>0</v>
      </c>
      <c r="N57" s="59">
        <f>IFERROR(SUMIFS('회수로그'!H:H,'회수로그'!E:E,$A57,'회수로그'!G:G,"4층지원실"),0)</f>
        <v>0</v>
      </c>
      <c r="O57" s="59">
        <f>IFERROR(SUMIFS('회수로그'!H:H,'회수로그'!E:E,$A57,'회수로그'!G:G,"8층지원실"),0)</f>
        <v>0</v>
      </c>
      <c r="P57" s="59">
        <f t="shared" si="4"/>
        <v>0</v>
      </c>
      <c r="Q57" s="59">
        <f>IFERROR(SUMIFS('재고이동로그'!F:F,'재고이동로그'!C:C,$A57,'재고이동로그'!D:D,"창고"),0)</f>
        <v>0</v>
      </c>
      <c r="R57" s="59">
        <f>IFERROR(SUMIFS('재고이동로그'!F:F,'재고이동로그'!C:C,$A57,'재고이동로그'!E:E,"4층지원실"),0)</f>
        <v>0</v>
      </c>
      <c r="S57" s="82">
        <f>IFERROR(SUMIFS('재고이동로그'!F:F,'재고이동로그'!C:C,$A57,'재고이동로그'!E:E,"8층지원실"),0)</f>
        <v>0</v>
      </c>
      <c r="T57" s="59">
        <f>IFERROR(SUMIFS('재고이동로그'!F:F,'재고이동로그'!C:C,$A57,'재고이동로그'!E:E,"창고"),0)</f>
        <v>0</v>
      </c>
      <c r="U57" s="59">
        <f>IFERROR(SUMIFS('재고이동로그'!F:F,'재고이동로그'!C:C,$A57,'재고이동로그'!E:E,"4층지원실"),0)</f>
        <v>0</v>
      </c>
      <c r="V57" s="59">
        <f>IFERROR(SUMIFS('재고이동로그'!F:F,'재고이동로그'!C:C,$A57,'재고이동로그'!E:E,"8층지원실"),0)</f>
        <v>0</v>
      </c>
      <c r="W57" s="83">
        <f t="shared" ref="W57:Y57" si="60">B57+E57-I57+M57-Q57+T57</f>
        <v>7</v>
      </c>
      <c r="X57" s="83">
        <f t="shared" si="60"/>
        <v>0</v>
      </c>
      <c r="Y57" s="83">
        <f t="shared" si="60"/>
        <v>0</v>
      </c>
      <c r="Z57" s="84">
        <f t="shared" si="6"/>
        <v>7</v>
      </c>
      <c r="AA57" s="59" t="str">
        <f t="shared" si="7"/>
        <v>부족</v>
      </c>
      <c r="AB57" s="59"/>
      <c r="AC57" s="59"/>
      <c r="AD57" s="59"/>
      <c r="AE57" s="59"/>
      <c r="AF57" s="59"/>
    </row>
    <row r="58" ht="15.75" customHeight="1">
      <c r="A58" s="59" t="str">
        <f>IFERROR(__xludf.DUMMYFUNCTION("""COMPUTED_VALUE"""),"(임현호) 호연지기_독서2")</f>
        <v>(임현호) 호연지기_독서2</v>
      </c>
      <c r="B58" s="77">
        <f>IFERROR(SUMIFS('교재재고'!C:C,'교재재고'!B:B,$A58),0)</f>
        <v>140</v>
      </c>
      <c r="C58" s="77">
        <f>IFERROR(SUMIFS('교재재고'!D:D,'교재재고'!B:B,$A58),0)</f>
        <v>0</v>
      </c>
      <c r="D58" s="77">
        <f>IFERROR(SUMIFS('교재재고'!E:E,'교재재고'!B:B,$A58),0)</f>
        <v>0</v>
      </c>
      <c r="E58" s="78">
        <f>IFERROR(SUMIFS('교재재고'!F:F,'교재재고'!B:B,$A58),0)
+IFERROR(SUMIFS('교재재고'!I:I,'교재재고'!B:B,$A58),0)
+IFERROR(SUMIFS('교재재고'!L:L,'교재재고'!B:B,$A58),0)
+IFERROR(SUMIFS('교재재고'!O:O,'교재재고'!B:B,$A58),0)
+IFERROR(SUMIFS('교재재고'!R:R,'교재재고'!B:B,$A58),0)</f>
        <v>0</v>
      </c>
      <c r="F58" s="79">
        <f>IFERROR(SUMIFS('교재재고'!G:G,'교재재고'!B:B,$A58),0)
+IFERROR(SUMIFS('교재재고'!J:J,'교재재고'!B:B,$A58),0)
+IFERROR(SUMIFS('교재재고'!M:M,'교재재고'!B:B,$A58),0)
+IFERROR(SUMIFS('교재재고'!P:P,'교재재고'!B:B,$A58),0)
+IFERROR(SUMIFS('교재재고'!S:S,'교재재고'!B:B,$A58),0)</f>
        <v>0</v>
      </c>
      <c r="G58" s="79">
        <f>IFERROR(SUMIFS('교재재고'!H:H,'교재재고'!B:B,$A58),0)
+IFERROR(SUMIFS('교재재고'!K:K,'교재재고'!B:B,$A58),0)
+IFERROR(SUMIFS('교재재고'!N:N,'교재재고'!B:B,$A58),0)
+IFERROR(SUMIFS('교재재고'!Q:Q,'교재재고'!B:B,$A58),0)
+IFERROR(SUMIFS('교재재고'!T:T,'교재재고'!B:B,$A58),0)</f>
        <v>0</v>
      </c>
      <c r="H58" s="79">
        <f t="shared" si="2"/>
        <v>140</v>
      </c>
      <c r="I58" s="80">
        <f>IFERROR(SUMIFS('배부로그'!G:G,'배부로그'!D:D,$A58,'배부로그'!F:F,"창고"),0)</f>
        <v>0</v>
      </c>
      <c r="J58" s="59">
        <f>IFERROR(SUMIFS('배부로그'!G:G,'배부로그'!D:D,$A58,'배부로그'!F:F,"4층지원실"),0)</f>
        <v>0</v>
      </c>
      <c r="K58" s="59">
        <f>IFERROR(SUMIFS('배부로그'!G:G,'배부로그'!D:D,$A58,'배부로그'!F:F,"8층지원실"),0)</f>
        <v>0</v>
      </c>
      <c r="L58" s="81">
        <f t="shared" si="3"/>
        <v>0</v>
      </c>
      <c r="M58" s="59">
        <f>IFERROR(SUMIFS('회수로그'!H:H,'회수로그'!E:E,$A58,'회수로그'!G:G,"창고"),0)</f>
        <v>0</v>
      </c>
      <c r="N58" s="59">
        <f>IFERROR(SUMIFS('회수로그'!H:H,'회수로그'!E:E,$A58,'회수로그'!G:G,"4층지원실"),0)</f>
        <v>0</v>
      </c>
      <c r="O58" s="59">
        <f>IFERROR(SUMIFS('회수로그'!H:H,'회수로그'!E:E,$A58,'회수로그'!G:G,"8층지원실"),0)</f>
        <v>0</v>
      </c>
      <c r="P58" s="59">
        <f t="shared" si="4"/>
        <v>0</v>
      </c>
      <c r="Q58" s="59">
        <f>IFERROR(SUMIFS('재고이동로그'!F:F,'재고이동로그'!C:C,$A58,'재고이동로그'!D:D,"창고"),0)</f>
        <v>0</v>
      </c>
      <c r="R58" s="59">
        <f>IFERROR(SUMIFS('재고이동로그'!F:F,'재고이동로그'!C:C,$A58,'재고이동로그'!E:E,"4층지원실"),0)</f>
        <v>0</v>
      </c>
      <c r="S58" s="82">
        <f>IFERROR(SUMIFS('재고이동로그'!F:F,'재고이동로그'!C:C,$A58,'재고이동로그'!E:E,"8층지원실"),0)</f>
        <v>0</v>
      </c>
      <c r="T58" s="59">
        <f>IFERROR(SUMIFS('재고이동로그'!F:F,'재고이동로그'!C:C,$A58,'재고이동로그'!E:E,"창고"),0)</f>
        <v>0</v>
      </c>
      <c r="U58" s="59">
        <f>IFERROR(SUMIFS('재고이동로그'!F:F,'재고이동로그'!C:C,$A58,'재고이동로그'!E:E,"4층지원실"),0)</f>
        <v>0</v>
      </c>
      <c r="V58" s="59">
        <f>IFERROR(SUMIFS('재고이동로그'!F:F,'재고이동로그'!C:C,$A58,'재고이동로그'!E:E,"8층지원실"),0)</f>
        <v>0</v>
      </c>
      <c r="W58" s="83">
        <f t="shared" ref="W58:Y58" si="61">B58+E58-I58+M58-Q58+T58</f>
        <v>140</v>
      </c>
      <c r="X58" s="83">
        <f t="shared" si="61"/>
        <v>0</v>
      </c>
      <c r="Y58" s="83">
        <f t="shared" si="61"/>
        <v>0</v>
      </c>
      <c r="Z58" s="84">
        <f t="shared" si="6"/>
        <v>140</v>
      </c>
      <c r="AA58" s="59" t="str">
        <f t="shared" si="7"/>
        <v>정상</v>
      </c>
      <c r="AB58" s="59"/>
      <c r="AC58" s="59"/>
      <c r="AD58" s="59"/>
      <c r="AE58" s="59"/>
      <c r="AF58" s="59"/>
    </row>
    <row r="59" ht="15.75" customHeight="1">
      <c r="A59" s="59" t="str">
        <f>IFERROR(__xludf.DUMMYFUNCTION("""COMPUTED_VALUE"""),"(임현호) 호연지기_문학2")</f>
        <v>(임현호) 호연지기_문학2</v>
      </c>
      <c r="B59" s="77">
        <f>IFERROR(SUMIFS('교재재고'!C:C,'교재재고'!B:B,$A59),0)</f>
        <v>140</v>
      </c>
      <c r="C59" s="77">
        <f>IFERROR(SUMIFS('교재재고'!D:D,'교재재고'!B:B,$A59),0)</f>
        <v>0</v>
      </c>
      <c r="D59" s="77">
        <f>IFERROR(SUMIFS('교재재고'!E:E,'교재재고'!B:B,$A59),0)</f>
        <v>0</v>
      </c>
      <c r="E59" s="78">
        <f>IFERROR(SUMIFS('교재재고'!F:F,'교재재고'!B:B,$A59),0)
+IFERROR(SUMIFS('교재재고'!I:I,'교재재고'!B:B,$A59),0)
+IFERROR(SUMIFS('교재재고'!L:L,'교재재고'!B:B,$A59),0)
+IFERROR(SUMIFS('교재재고'!O:O,'교재재고'!B:B,$A59),0)
+IFERROR(SUMIFS('교재재고'!R:R,'교재재고'!B:B,$A59),0)</f>
        <v>0</v>
      </c>
      <c r="F59" s="79">
        <f>IFERROR(SUMIFS('교재재고'!G:G,'교재재고'!B:B,$A59),0)
+IFERROR(SUMIFS('교재재고'!J:J,'교재재고'!B:B,$A59),0)
+IFERROR(SUMIFS('교재재고'!M:M,'교재재고'!B:B,$A59),0)
+IFERROR(SUMIFS('교재재고'!P:P,'교재재고'!B:B,$A59),0)
+IFERROR(SUMIFS('교재재고'!S:S,'교재재고'!B:B,$A59),0)</f>
        <v>0</v>
      </c>
      <c r="G59" s="79">
        <f>IFERROR(SUMIFS('교재재고'!H:H,'교재재고'!B:B,$A59),0)
+IFERROR(SUMIFS('교재재고'!K:K,'교재재고'!B:B,$A59),0)
+IFERROR(SUMIFS('교재재고'!N:N,'교재재고'!B:B,$A59),0)
+IFERROR(SUMIFS('교재재고'!Q:Q,'교재재고'!B:B,$A59),0)
+IFERROR(SUMIFS('교재재고'!T:T,'교재재고'!B:B,$A59),0)</f>
        <v>0</v>
      </c>
      <c r="H59" s="79">
        <f t="shared" si="2"/>
        <v>140</v>
      </c>
      <c r="I59" s="80">
        <f>IFERROR(SUMIFS('배부로그'!G:G,'배부로그'!D:D,$A59,'배부로그'!F:F,"창고"),0)</f>
        <v>0</v>
      </c>
      <c r="J59" s="59">
        <f>IFERROR(SUMIFS('배부로그'!G:G,'배부로그'!D:D,$A59,'배부로그'!F:F,"4층지원실"),0)</f>
        <v>0</v>
      </c>
      <c r="K59" s="59">
        <f>IFERROR(SUMIFS('배부로그'!G:G,'배부로그'!D:D,$A59,'배부로그'!F:F,"8층지원실"),0)</f>
        <v>0</v>
      </c>
      <c r="L59" s="81">
        <f t="shared" si="3"/>
        <v>0</v>
      </c>
      <c r="M59" s="59">
        <f>IFERROR(SUMIFS('회수로그'!H:H,'회수로그'!E:E,$A59,'회수로그'!G:G,"창고"),0)</f>
        <v>0</v>
      </c>
      <c r="N59" s="59">
        <f>IFERROR(SUMIFS('회수로그'!H:H,'회수로그'!E:E,$A59,'회수로그'!G:G,"4층지원실"),0)</f>
        <v>0</v>
      </c>
      <c r="O59" s="59">
        <f>IFERROR(SUMIFS('회수로그'!H:H,'회수로그'!E:E,$A59,'회수로그'!G:G,"8층지원실"),0)</f>
        <v>0</v>
      </c>
      <c r="P59" s="59">
        <f t="shared" si="4"/>
        <v>0</v>
      </c>
      <c r="Q59" s="59">
        <f>IFERROR(SUMIFS('재고이동로그'!F:F,'재고이동로그'!C:C,$A59,'재고이동로그'!D:D,"창고"),0)</f>
        <v>0</v>
      </c>
      <c r="R59" s="59">
        <f>IFERROR(SUMIFS('재고이동로그'!F:F,'재고이동로그'!C:C,$A59,'재고이동로그'!E:E,"4층지원실"),0)</f>
        <v>0</v>
      </c>
      <c r="S59" s="82">
        <f>IFERROR(SUMIFS('재고이동로그'!F:F,'재고이동로그'!C:C,$A59,'재고이동로그'!E:E,"8층지원실"),0)</f>
        <v>0</v>
      </c>
      <c r="T59" s="59">
        <f>IFERROR(SUMIFS('재고이동로그'!F:F,'재고이동로그'!C:C,$A59,'재고이동로그'!E:E,"창고"),0)</f>
        <v>0</v>
      </c>
      <c r="U59" s="59">
        <f>IFERROR(SUMIFS('재고이동로그'!F:F,'재고이동로그'!C:C,$A59,'재고이동로그'!E:E,"4층지원실"),0)</f>
        <v>0</v>
      </c>
      <c r="V59" s="59">
        <f>IFERROR(SUMIFS('재고이동로그'!F:F,'재고이동로그'!C:C,$A59,'재고이동로그'!E:E,"8층지원실"),0)</f>
        <v>0</v>
      </c>
      <c r="W59" s="83">
        <f t="shared" ref="W59:Y59" si="62">B59+E59-I59+M59-Q59+T59</f>
        <v>140</v>
      </c>
      <c r="X59" s="83">
        <f t="shared" si="62"/>
        <v>0</v>
      </c>
      <c r="Y59" s="83">
        <f t="shared" si="62"/>
        <v>0</v>
      </c>
      <c r="Z59" s="84">
        <f t="shared" si="6"/>
        <v>140</v>
      </c>
      <c r="AA59" s="59" t="str">
        <f t="shared" si="7"/>
        <v>정상</v>
      </c>
      <c r="AB59" s="59"/>
      <c r="AC59" s="59"/>
      <c r="AD59" s="59"/>
      <c r="AE59" s="59"/>
      <c r="AF59" s="59"/>
    </row>
    <row r="60" ht="15.75" customHeight="1">
      <c r="A60" s="59" t="str">
        <f>IFERROR(__xludf.DUMMYFUNCTION("""COMPUTED_VALUE"""),"(장병선) 지구과학")</f>
        <v>(장병선) 지구과학</v>
      </c>
      <c r="B60" s="77">
        <f>IFERROR(SUMIFS('교재재고'!C:C,'교재재고'!B:B,$A60),0)</f>
        <v>34</v>
      </c>
      <c r="C60" s="77">
        <f>IFERROR(SUMIFS('교재재고'!D:D,'교재재고'!B:B,$A60),0)</f>
        <v>0</v>
      </c>
      <c r="D60" s="77">
        <f>IFERROR(SUMIFS('교재재고'!E:E,'교재재고'!B:B,$A60),0)</f>
        <v>0</v>
      </c>
      <c r="E60" s="78">
        <f>IFERROR(SUMIFS('교재재고'!F:F,'교재재고'!B:B,$A60),0)
+IFERROR(SUMIFS('교재재고'!I:I,'교재재고'!B:B,$A60),0)
+IFERROR(SUMIFS('교재재고'!L:L,'교재재고'!B:B,$A60),0)
+IFERROR(SUMIFS('교재재고'!O:O,'교재재고'!B:B,$A60),0)
+IFERROR(SUMIFS('교재재고'!R:R,'교재재고'!B:B,$A60),0)</f>
        <v>0</v>
      </c>
      <c r="F60" s="79">
        <f>IFERROR(SUMIFS('교재재고'!G:G,'교재재고'!B:B,$A60),0)
+IFERROR(SUMIFS('교재재고'!J:J,'교재재고'!B:B,$A60),0)
+IFERROR(SUMIFS('교재재고'!M:M,'교재재고'!B:B,$A60),0)
+IFERROR(SUMIFS('교재재고'!P:P,'교재재고'!B:B,$A60),0)
+IFERROR(SUMIFS('교재재고'!S:S,'교재재고'!B:B,$A60),0)</f>
        <v>0</v>
      </c>
      <c r="G60" s="79">
        <f>IFERROR(SUMIFS('교재재고'!H:H,'교재재고'!B:B,$A60),0)
+IFERROR(SUMIFS('교재재고'!K:K,'교재재고'!B:B,$A60),0)
+IFERROR(SUMIFS('교재재고'!N:N,'교재재고'!B:B,$A60),0)
+IFERROR(SUMIFS('교재재고'!Q:Q,'교재재고'!B:B,$A60),0)
+IFERROR(SUMIFS('교재재고'!T:T,'교재재고'!B:B,$A60),0)</f>
        <v>0</v>
      </c>
      <c r="H60" s="79">
        <f t="shared" si="2"/>
        <v>34</v>
      </c>
      <c r="I60" s="80">
        <f>IFERROR(SUMIFS('배부로그'!G:G,'배부로그'!D:D,$A60,'배부로그'!F:F,"창고"),0)</f>
        <v>1</v>
      </c>
      <c r="J60" s="59">
        <f>IFERROR(SUMIFS('배부로그'!G:G,'배부로그'!D:D,$A60,'배부로그'!F:F,"4층지원실"),0)</f>
        <v>0</v>
      </c>
      <c r="K60" s="59">
        <f>IFERROR(SUMIFS('배부로그'!G:G,'배부로그'!D:D,$A60,'배부로그'!F:F,"8층지원실"),0)</f>
        <v>0</v>
      </c>
      <c r="L60" s="81">
        <f t="shared" si="3"/>
        <v>1</v>
      </c>
      <c r="M60" s="59">
        <f>IFERROR(SUMIFS('회수로그'!H:H,'회수로그'!E:E,$A60,'회수로그'!G:G,"창고"),0)</f>
        <v>0</v>
      </c>
      <c r="N60" s="59">
        <f>IFERROR(SUMIFS('회수로그'!H:H,'회수로그'!E:E,$A60,'회수로그'!G:G,"4층지원실"),0)</f>
        <v>0</v>
      </c>
      <c r="O60" s="59">
        <f>IFERROR(SUMIFS('회수로그'!H:H,'회수로그'!E:E,$A60,'회수로그'!G:G,"8층지원실"),0)</f>
        <v>0</v>
      </c>
      <c r="P60" s="59">
        <f t="shared" si="4"/>
        <v>0</v>
      </c>
      <c r="Q60" s="59">
        <f>IFERROR(SUMIFS('재고이동로그'!F:F,'재고이동로그'!C:C,$A60,'재고이동로그'!D:D,"창고"),0)</f>
        <v>0</v>
      </c>
      <c r="R60" s="59">
        <f>IFERROR(SUMIFS('재고이동로그'!F:F,'재고이동로그'!C:C,$A60,'재고이동로그'!E:E,"4층지원실"),0)</f>
        <v>0</v>
      </c>
      <c r="S60" s="82">
        <f>IFERROR(SUMIFS('재고이동로그'!F:F,'재고이동로그'!C:C,$A60,'재고이동로그'!E:E,"8층지원실"),0)</f>
        <v>0</v>
      </c>
      <c r="T60" s="59">
        <f>IFERROR(SUMIFS('재고이동로그'!F:F,'재고이동로그'!C:C,$A60,'재고이동로그'!E:E,"창고"),0)</f>
        <v>0</v>
      </c>
      <c r="U60" s="59">
        <f>IFERROR(SUMIFS('재고이동로그'!F:F,'재고이동로그'!C:C,$A60,'재고이동로그'!E:E,"4층지원실"),0)</f>
        <v>0</v>
      </c>
      <c r="V60" s="59">
        <f>IFERROR(SUMIFS('재고이동로그'!F:F,'재고이동로그'!C:C,$A60,'재고이동로그'!E:E,"8층지원실"),0)</f>
        <v>0</v>
      </c>
      <c r="W60" s="83">
        <f t="shared" ref="W60:Y60" si="63">B60+E60-I60+M60-Q60+T60</f>
        <v>33</v>
      </c>
      <c r="X60" s="83">
        <f t="shared" si="63"/>
        <v>0</v>
      </c>
      <c r="Y60" s="83">
        <f t="shared" si="63"/>
        <v>0</v>
      </c>
      <c r="Z60" s="84">
        <f t="shared" si="6"/>
        <v>33</v>
      </c>
      <c r="AA60" s="59" t="str">
        <f t="shared" si="7"/>
        <v>정상</v>
      </c>
      <c r="AB60" s="59"/>
      <c r="AC60" s="59"/>
      <c r="AD60" s="59"/>
      <c r="AE60" s="59"/>
      <c r="AF60" s="59"/>
    </row>
    <row r="61" ht="15.75" customHeight="1">
      <c r="A61" s="59" t="str">
        <f>IFERROR(__xludf.DUMMYFUNCTION("""COMPUTED_VALUE"""),"(장진민) 사회문화")</f>
        <v>(장진민) 사회문화</v>
      </c>
      <c r="B61" s="77">
        <f>IFERROR(SUMIFS('교재재고'!C:C,'교재재고'!B:B,$A61),0)</f>
        <v>32</v>
      </c>
      <c r="C61" s="77">
        <f>IFERROR(SUMIFS('교재재고'!D:D,'교재재고'!B:B,$A61),0)</f>
        <v>0</v>
      </c>
      <c r="D61" s="77">
        <f>IFERROR(SUMIFS('교재재고'!E:E,'교재재고'!B:B,$A61),0)</f>
        <v>0</v>
      </c>
      <c r="E61" s="78">
        <f>IFERROR(SUMIFS('교재재고'!F:F,'교재재고'!B:B,$A61),0)
+IFERROR(SUMIFS('교재재고'!I:I,'교재재고'!B:B,$A61),0)
+IFERROR(SUMIFS('교재재고'!L:L,'교재재고'!B:B,$A61),0)
+IFERROR(SUMIFS('교재재고'!O:O,'교재재고'!B:B,$A61),0)
+IFERROR(SUMIFS('교재재고'!R:R,'교재재고'!B:B,$A61),0)</f>
        <v>0</v>
      </c>
      <c r="F61" s="79">
        <f>IFERROR(SUMIFS('교재재고'!G:G,'교재재고'!B:B,$A61),0)
+IFERROR(SUMIFS('교재재고'!J:J,'교재재고'!B:B,$A61),0)
+IFERROR(SUMIFS('교재재고'!M:M,'교재재고'!B:B,$A61),0)
+IFERROR(SUMIFS('교재재고'!P:P,'교재재고'!B:B,$A61),0)
+IFERROR(SUMIFS('교재재고'!S:S,'교재재고'!B:B,$A61),0)</f>
        <v>0</v>
      </c>
      <c r="G61" s="79">
        <f>IFERROR(SUMIFS('교재재고'!H:H,'교재재고'!B:B,$A61),0)
+IFERROR(SUMIFS('교재재고'!K:K,'교재재고'!B:B,$A61),0)
+IFERROR(SUMIFS('교재재고'!N:N,'교재재고'!B:B,$A61),0)
+IFERROR(SUMIFS('교재재고'!Q:Q,'교재재고'!B:B,$A61),0)
+IFERROR(SUMIFS('교재재고'!T:T,'교재재고'!B:B,$A61),0)</f>
        <v>0</v>
      </c>
      <c r="H61" s="79">
        <f t="shared" si="2"/>
        <v>32</v>
      </c>
      <c r="I61" s="80">
        <f>IFERROR(SUMIFS('배부로그'!G:G,'배부로그'!D:D,$A61,'배부로그'!F:F,"창고"),0)</f>
        <v>1</v>
      </c>
      <c r="J61" s="59">
        <f>IFERROR(SUMIFS('배부로그'!G:G,'배부로그'!D:D,$A61,'배부로그'!F:F,"4층지원실"),0)</f>
        <v>0</v>
      </c>
      <c r="K61" s="59">
        <f>IFERROR(SUMIFS('배부로그'!G:G,'배부로그'!D:D,$A61,'배부로그'!F:F,"8층지원실"),0)</f>
        <v>0</v>
      </c>
      <c r="L61" s="81">
        <f t="shared" si="3"/>
        <v>1</v>
      </c>
      <c r="M61" s="59">
        <f>IFERROR(SUMIFS('회수로그'!H:H,'회수로그'!E:E,$A61,'회수로그'!G:G,"창고"),0)</f>
        <v>0</v>
      </c>
      <c r="N61" s="59">
        <f>IFERROR(SUMIFS('회수로그'!H:H,'회수로그'!E:E,$A61,'회수로그'!G:G,"4층지원실"),0)</f>
        <v>0</v>
      </c>
      <c r="O61" s="59">
        <f>IFERROR(SUMIFS('회수로그'!H:H,'회수로그'!E:E,$A61,'회수로그'!G:G,"8층지원실"),0)</f>
        <v>0</v>
      </c>
      <c r="P61" s="59">
        <f t="shared" si="4"/>
        <v>0</v>
      </c>
      <c r="Q61" s="59">
        <f>IFERROR(SUMIFS('재고이동로그'!F:F,'재고이동로그'!C:C,$A61,'재고이동로그'!D:D,"창고"),0)</f>
        <v>0</v>
      </c>
      <c r="R61" s="59">
        <f>IFERROR(SUMIFS('재고이동로그'!F:F,'재고이동로그'!C:C,$A61,'재고이동로그'!E:E,"4층지원실"),0)</f>
        <v>0</v>
      </c>
      <c r="S61" s="82">
        <f>IFERROR(SUMIFS('재고이동로그'!F:F,'재고이동로그'!C:C,$A61,'재고이동로그'!E:E,"8층지원실"),0)</f>
        <v>0</v>
      </c>
      <c r="T61" s="59">
        <f>IFERROR(SUMIFS('재고이동로그'!F:F,'재고이동로그'!C:C,$A61,'재고이동로그'!E:E,"창고"),0)</f>
        <v>0</v>
      </c>
      <c r="U61" s="59">
        <f>IFERROR(SUMIFS('재고이동로그'!F:F,'재고이동로그'!C:C,$A61,'재고이동로그'!E:E,"4층지원실"),0)</f>
        <v>0</v>
      </c>
      <c r="V61" s="59">
        <f>IFERROR(SUMIFS('재고이동로그'!F:F,'재고이동로그'!C:C,$A61,'재고이동로그'!E:E,"8층지원실"),0)</f>
        <v>0</v>
      </c>
      <c r="W61" s="83">
        <f t="shared" ref="W61:Y61" si="64">B61+E61-I61+M61-Q61+T61</f>
        <v>31</v>
      </c>
      <c r="X61" s="83">
        <f t="shared" si="64"/>
        <v>0</v>
      </c>
      <c r="Y61" s="83">
        <f t="shared" si="64"/>
        <v>0</v>
      </c>
      <c r="Z61" s="84">
        <f t="shared" si="6"/>
        <v>31</v>
      </c>
      <c r="AA61" s="59" t="str">
        <f t="shared" si="7"/>
        <v>정상</v>
      </c>
      <c r="AB61" s="59"/>
      <c r="AC61" s="59"/>
      <c r="AD61" s="59"/>
      <c r="AE61" s="59"/>
      <c r="AF61" s="59"/>
    </row>
    <row r="62" ht="15.75" customHeight="1">
      <c r="A62" s="59" t="str">
        <f>IFERROR(__xludf.DUMMYFUNCTION("""COMPUTED_VALUE"""),"(장진민) 생활과 윤리")</f>
        <v>(장진민) 생활과 윤리</v>
      </c>
      <c r="B62" s="77">
        <f>IFERROR(SUMIFS('교재재고'!C:C,'교재재고'!B:B,$A62),0)</f>
        <v>20</v>
      </c>
      <c r="C62" s="77">
        <f>IFERROR(SUMIFS('교재재고'!D:D,'교재재고'!B:B,$A62),0)</f>
        <v>0</v>
      </c>
      <c r="D62" s="77">
        <f>IFERROR(SUMIFS('교재재고'!E:E,'교재재고'!B:B,$A62),0)</f>
        <v>0</v>
      </c>
      <c r="E62" s="78">
        <f>IFERROR(SUMIFS('교재재고'!F:F,'교재재고'!B:B,$A62),0)
+IFERROR(SUMIFS('교재재고'!I:I,'교재재고'!B:B,$A62),0)
+IFERROR(SUMIFS('교재재고'!L:L,'교재재고'!B:B,$A62),0)
+IFERROR(SUMIFS('교재재고'!O:O,'교재재고'!B:B,$A62),0)
+IFERROR(SUMIFS('교재재고'!R:R,'교재재고'!B:B,$A62),0)</f>
        <v>0</v>
      </c>
      <c r="F62" s="79">
        <f>IFERROR(SUMIFS('교재재고'!G:G,'교재재고'!B:B,$A62),0)
+IFERROR(SUMIFS('교재재고'!J:J,'교재재고'!B:B,$A62),0)
+IFERROR(SUMIFS('교재재고'!M:M,'교재재고'!B:B,$A62),0)
+IFERROR(SUMIFS('교재재고'!P:P,'교재재고'!B:B,$A62),0)
+IFERROR(SUMIFS('교재재고'!S:S,'교재재고'!B:B,$A62),0)</f>
        <v>0</v>
      </c>
      <c r="G62" s="79">
        <f>IFERROR(SUMIFS('교재재고'!H:H,'교재재고'!B:B,$A62),0)
+IFERROR(SUMIFS('교재재고'!K:K,'교재재고'!B:B,$A62),0)
+IFERROR(SUMIFS('교재재고'!N:N,'교재재고'!B:B,$A62),0)
+IFERROR(SUMIFS('교재재고'!Q:Q,'교재재고'!B:B,$A62),0)
+IFERROR(SUMIFS('교재재고'!T:T,'교재재고'!B:B,$A62),0)</f>
        <v>0</v>
      </c>
      <c r="H62" s="79">
        <f t="shared" si="2"/>
        <v>20</v>
      </c>
      <c r="I62" s="80">
        <f>IFERROR(SUMIFS('배부로그'!G:G,'배부로그'!D:D,$A62,'배부로그'!F:F,"창고"),0)</f>
        <v>8</v>
      </c>
      <c r="J62" s="59">
        <f>IFERROR(SUMIFS('배부로그'!G:G,'배부로그'!D:D,$A62,'배부로그'!F:F,"4층지원실"),0)</f>
        <v>0</v>
      </c>
      <c r="K62" s="59">
        <f>IFERROR(SUMIFS('배부로그'!G:G,'배부로그'!D:D,$A62,'배부로그'!F:F,"8층지원실"),0)</f>
        <v>0</v>
      </c>
      <c r="L62" s="81">
        <f t="shared" si="3"/>
        <v>8</v>
      </c>
      <c r="M62" s="59">
        <f>IFERROR(SUMIFS('회수로그'!H:H,'회수로그'!E:E,$A62,'회수로그'!G:G,"창고"),0)</f>
        <v>0</v>
      </c>
      <c r="N62" s="59">
        <f>IFERROR(SUMIFS('회수로그'!H:H,'회수로그'!E:E,$A62,'회수로그'!G:G,"4층지원실"),0)</f>
        <v>0</v>
      </c>
      <c r="O62" s="59">
        <f>IFERROR(SUMIFS('회수로그'!H:H,'회수로그'!E:E,$A62,'회수로그'!G:G,"8층지원실"),0)</f>
        <v>0</v>
      </c>
      <c r="P62" s="59">
        <f t="shared" si="4"/>
        <v>0</v>
      </c>
      <c r="Q62" s="59">
        <f>IFERROR(SUMIFS('재고이동로그'!F:F,'재고이동로그'!C:C,$A62,'재고이동로그'!D:D,"창고"),0)</f>
        <v>0</v>
      </c>
      <c r="R62" s="59">
        <f>IFERROR(SUMIFS('재고이동로그'!F:F,'재고이동로그'!C:C,$A62,'재고이동로그'!E:E,"4층지원실"),0)</f>
        <v>0</v>
      </c>
      <c r="S62" s="82">
        <f>IFERROR(SUMIFS('재고이동로그'!F:F,'재고이동로그'!C:C,$A62,'재고이동로그'!E:E,"8층지원실"),0)</f>
        <v>0</v>
      </c>
      <c r="T62" s="59">
        <f>IFERROR(SUMIFS('재고이동로그'!F:F,'재고이동로그'!C:C,$A62,'재고이동로그'!E:E,"창고"),0)</f>
        <v>0</v>
      </c>
      <c r="U62" s="59">
        <f>IFERROR(SUMIFS('재고이동로그'!F:F,'재고이동로그'!C:C,$A62,'재고이동로그'!E:E,"4층지원실"),0)</f>
        <v>0</v>
      </c>
      <c r="V62" s="59">
        <f>IFERROR(SUMIFS('재고이동로그'!F:F,'재고이동로그'!C:C,$A62,'재고이동로그'!E:E,"8층지원실"),0)</f>
        <v>0</v>
      </c>
      <c r="W62" s="83">
        <f t="shared" ref="W62:Y62" si="65">B62+E62-I62+M62-Q62+T62</f>
        <v>12</v>
      </c>
      <c r="X62" s="83">
        <f t="shared" si="65"/>
        <v>0</v>
      </c>
      <c r="Y62" s="83">
        <f t="shared" si="65"/>
        <v>0</v>
      </c>
      <c r="Z62" s="84">
        <f t="shared" si="6"/>
        <v>12</v>
      </c>
      <c r="AA62" s="59" t="str">
        <f t="shared" si="7"/>
        <v>부족</v>
      </c>
      <c r="AB62" s="59"/>
      <c r="AC62" s="59"/>
      <c r="AD62" s="59"/>
      <c r="AE62" s="59"/>
      <c r="AF62" s="59"/>
    </row>
    <row r="63" ht="15.75" customHeight="1">
      <c r="A63" s="59" t="str">
        <f>IFERROR(__xludf.DUMMYFUNCTION("""COMPUTED_VALUE"""),"(조영신) 독서의 신_Part2")</f>
        <v>(조영신) 독서의 신_Part2</v>
      </c>
      <c r="B63" s="77">
        <f>IFERROR(SUMIFS('교재재고'!C:C,'교재재고'!B:B,$A63),0)</f>
        <v>234</v>
      </c>
      <c r="C63" s="77">
        <f>IFERROR(SUMIFS('교재재고'!D:D,'교재재고'!B:B,$A63),0)</f>
        <v>0</v>
      </c>
      <c r="D63" s="77">
        <f>IFERROR(SUMIFS('교재재고'!E:E,'교재재고'!B:B,$A63),0)</f>
        <v>0</v>
      </c>
      <c r="E63" s="78">
        <f>IFERROR(SUMIFS('교재재고'!F:F,'교재재고'!B:B,$A63),0)
+IFERROR(SUMIFS('교재재고'!I:I,'교재재고'!B:B,$A63),0)
+IFERROR(SUMIFS('교재재고'!L:L,'교재재고'!B:B,$A63),0)
+IFERROR(SUMIFS('교재재고'!O:O,'교재재고'!B:B,$A63),0)
+IFERROR(SUMIFS('교재재고'!R:R,'교재재고'!B:B,$A63),0)</f>
        <v>0</v>
      </c>
      <c r="F63" s="79">
        <f>IFERROR(SUMIFS('교재재고'!G:G,'교재재고'!B:B,$A63),0)
+IFERROR(SUMIFS('교재재고'!J:J,'교재재고'!B:B,$A63),0)
+IFERROR(SUMIFS('교재재고'!M:M,'교재재고'!B:B,$A63),0)
+IFERROR(SUMIFS('교재재고'!P:P,'교재재고'!B:B,$A63),0)
+IFERROR(SUMIFS('교재재고'!S:S,'교재재고'!B:B,$A63),0)</f>
        <v>0</v>
      </c>
      <c r="G63" s="79">
        <f>IFERROR(SUMIFS('교재재고'!H:H,'교재재고'!B:B,$A63),0)
+IFERROR(SUMIFS('교재재고'!K:K,'교재재고'!B:B,$A63),0)
+IFERROR(SUMIFS('교재재고'!N:N,'교재재고'!B:B,$A63),0)
+IFERROR(SUMIFS('교재재고'!Q:Q,'교재재고'!B:B,$A63),0)
+IFERROR(SUMIFS('교재재고'!T:T,'교재재고'!B:B,$A63),0)</f>
        <v>0</v>
      </c>
      <c r="H63" s="79">
        <f t="shared" si="2"/>
        <v>234</v>
      </c>
      <c r="I63" s="80">
        <f>IFERROR(SUMIFS('배부로그'!G:G,'배부로그'!D:D,$A63,'배부로그'!F:F,"창고"),0)</f>
        <v>0</v>
      </c>
      <c r="J63" s="59">
        <f>IFERROR(SUMIFS('배부로그'!G:G,'배부로그'!D:D,$A63,'배부로그'!F:F,"4층지원실"),0)</f>
        <v>0</v>
      </c>
      <c r="K63" s="59">
        <f>IFERROR(SUMIFS('배부로그'!G:G,'배부로그'!D:D,$A63,'배부로그'!F:F,"8층지원실"),0)</f>
        <v>0</v>
      </c>
      <c r="L63" s="81">
        <f t="shared" si="3"/>
        <v>0</v>
      </c>
      <c r="M63" s="59">
        <f>IFERROR(SUMIFS('회수로그'!H:H,'회수로그'!E:E,$A63,'회수로그'!G:G,"창고"),0)</f>
        <v>0</v>
      </c>
      <c r="N63" s="59">
        <f>IFERROR(SUMIFS('회수로그'!H:H,'회수로그'!E:E,$A63,'회수로그'!G:G,"4층지원실"),0)</f>
        <v>0</v>
      </c>
      <c r="O63" s="59">
        <f>IFERROR(SUMIFS('회수로그'!H:H,'회수로그'!E:E,$A63,'회수로그'!G:G,"8층지원실"),0)</f>
        <v>0</v>
      </c>
      <c r="P63" s="59">
        <f t="shared" si="4"/>
        <v>0</v>
      </c>
      <c r="Q63" s="59">
        <f>IFERROR(SUMIFS('재고이동로그'!F:F,'재고이동로그'!C:C,$A63,'재고이동로그'!D:D,"창고"),0)</f>
        <v>0</v>
      </c>
      <c r="R63" s="59">
        <f>IFERROR(SUMIFS('재고이동로그'!F:F,'재고이동로그'!C:C,$A63,'재고이동로그'!E:E,"4층지원실"),0)</f>
        <v>0</v>
      </c>
      <c r="S63" s="82">
        <f>IFERROR(SUMIFS('재고이동로그'!F:F,'재고이동로그'!C:C,$A63,'재고이동로그'!E:E,"8층지원실"),0)</f>
        <v>0</v>
      </c>
      <c r="T63" s="59">
        <f>IFERROR(SUMIFS('재고이동로그'!F:F,'재고이동로그'!C:C,$A63,'재고이동로그'!E:E,"창고"),0)</f>
        <v>0</v>
      </c>
      <c r="U63" s="59">
        <f>IFERROR(SUMIFS('재고이동로그'!F:F,'재고이동로그'!C:C,$A63,'재고이동로그'!E:E,"4층지원실"),0)</f>
        <v>0</v>
      </c>
      <c r="V63" s="59">
        <f>IFERROR(SUMIFS('재고이동로그'!F:F,'재고이동로그'!C:C,$A63,'재고이동로그'!E:E,"8층지원실"),0)</f>
        <v>0</v>
      </c>
      <c r="W63" s="83">
        <f t="shared" ref="W63:Y63" si="66">B63+E63-I63+M63-Q63+T63</f>
        <v>234</v>
      </c>
      <c r="X63" s="83">
        <f t="shared" si="66"/>
        <v>0</v>
      </c>
      <c r="Y63" s="83">
        <f t="shared" si="66"/>
        <v>0</v>
      </c>
      <c r="Z63" s="84">
        <f t="shared" si="6"/>
        <v>234</v>
      </c>
      <c r="AA63" s="59" t="str">
        <f t="shared" si="7"/>
        <v>정상</v>
      </c>
      <c r="AB63" s="59"/>
      <c r="AC63" s="59"/>
      <c r="AD63" s="59"/>
      <c r="AE63" s="59"/>
      <c r="AF63" s="59"/>
    </row>
    <row r="64" ht="15.75" customHeight="1">
      <c r="A64" s="59" t="str">
        <f>IFERROR(__xludf.DUMMYFUNCTION("""COMPUTED_VALUE"""),"(조영신) 문학의 신_Part2")</f>
        <v>(조영신) 문학의 신_Part2</v>
      </c>
      <c r="B64" s="77">
        <f>IFERROR(SUMIFS('교재재고'!C:C,'교재재고'!B:B,$A64),0)</f>
        <v>234</v>
      </c>
      <c r="C64" s="77">
        <f>IFERROR(SUMIFS('교재재고'!D:D,'교재재고'!B:B,$A64),0)</f>
        <v>0</v>
      </c>
      <c r="D64" s="77">
        <f>IFERROR(SUMIFS('교재재고'!E:E,'교재재고'!B:B,$A64),0)</f>
        <v>0</v>
      </c>
      <c r="E64" s="78">
        <f>IFERROR(SUMIFS('교재재고'!F:F,'교재재고'!B:B,$A64),0)
+IFERROR(SUMIFS('교재재고'!I:I,'교재재고'!B:B,$A64),0)
+IFERROR(SUMIFS('교재재고'!L:L,'교재재고'!B:B,$A64),0)
+IFERROR(SUMIFS('교재재고'!O:O,'교재재고'!B:B,$A64),0)
+IFERROR(SUMIFS('교재재고'!R:R,'교재재고'!B:B,$A64),0)</f>
        <v>0</v>
      </c>
      <c r="F64" s="79">
        <f>IFERROR(SUMIFS('교재재고'!G:G,'교재재고'!B:B,$A64),0)
+IFERROR(SUMIFS('교재재고'!J:J,'교재재고'!B:B,$A64),0)
+IFERROR(SUMIFS('교재재고'!M:M,'교재재고'!B:B,$A64),0)
+IFERROR(SUMIFS('교재재고'!P:P,'교재재고'!B:B,$A64),0)
+IFERROR(SUMIFS('교재재고'!S:S,'교재재고'!B:B,$A64),0)</f>
        <v>0</v>
      </c>
      <c r="G64" s="79">
        <f>IFERROR(SUMIFS('교재재고'!H:H,'교재재고'!B:B,$A64),0)
+IFERROR(SUMIFS('교재재고'!K:K,'교재재고'!B:B,$A64),0)
+IFERROR(SUMIFS('교재재고'!N:N,'교재재고'!B:B,$A64),0)
+IFERROR(SUMIFS('교재재고'!Q:Q,'교재재고'!B:B,$A64),0)
+IFERROR(SUMIFS('교재재고'!T:T,'교재재고'!B:B,$A64),0)</f>
        <v>0</v>
      </c>
      <c r="H64" s="79">
        <f t="shared" si="2"/>
        <v>234</v>
      </c>
      <c r="I64" s="80">
        <f>IFERROR(SUMIFS('배부로그'!G:G,'배부로그'!D:D,$A64,'배부로그'!F:F,"창고"),0)</f>
        <v>0</v>
      </c>
      <c r="J64" s="59">
        <f>IFERROR(SUMIFS('배부로그'!G:G,'배부로그'!D:D,$A64,'배부로그'!F:F,"4층지원실"),0)</f>
        <v>0</v>
      </c>
      <c r="K64" s="59">
        <f>IFERROR(SUMIFS('배부로그'!G:G,'배부로그'!D:D,$A64,'배부로그'!F:F,"8층지원실"),0)</f>
        <v>0</v>
      </c>
      <c r="L64" s="81">
        <f t="shared" si="3"/>
        <v>0</v>
      </c>
      <c r="M64" s="59">
        <f>IFERROR(SUMIFS('회수로그'!H:H,'회수로그'!E:E,$A64,'회수로그'!G:G,"창고"),0)</f>
        <v>0</v>
      </c>
      <c r="N64" s="59">
        <f>IFERROR(SUMIFS('회수로그'!H:H,'회수로그'!E:E,$A64,'회수로그'!G:G,"4층지원실"),0)</f>
        <v>0</v>
      </c>
      <c r="O64" s="59">
        <f>IFERROR(SUMIFS('회수로그'!H:H,'회수로그'!E:E,$A64,'회수로그'!G:G,"8층지원실"),0)</f>
        <v>0</v>
      </c>
      <c r="P64" s="59">
        <f t="shared" si="4"/>
        <v>0</v>
      </c>
      <c r="Q64" s="59">
        <f>IFERROR(SUMIFS('재고이동로그'!F:F,'재고이동로그'!C:C,$A64,'재고이동로그'!D:D,"창고"),0)</f>
        <v>0</v>
      </c>
      <c r="R64" s="59">
        <f>IFERROR(SUMIFS('재고이동로그'!F:F,'재고이동로그'!C:C,$A64,'재고이동로그'!E:E,"4층지원실"),0)</f>
        <v>0</v>
      </c>
      <c r="S64" s="82">
        <f>IFERROR(SUMIFS('재고이동로그'!F:F,'재고이동로그'!C:C,$A64,'재고이동로그'!E:E,"8층지원실"),0)</f>
        <v>0</v>
      </c>
      <c r="T64" s="59">
        <f>IFERROR(SUMIFS('재고이동로그'!F:F,'재고이동로그'!C:C,$A64,'재고이동로그'!E:E,"창고"),0)</f>
        <v>0</v>
      </c>
      <c r="U64" s="59">
        <f>IFERROR(SUMIFS('재고이동로그'!F:F,'재고이동로그'!C:C,$A64,'재고이동로그'!E:E,"4층지원실"),0)</f>
        <v>0</v>
      </c>
      <c r="V64" s="59">
        <f>IFERROR(SUMIFS('재고이동로그'!F:F,'재고이동로그'!C:C,$A64,'재고이동로그'!E:E,"8층지원실"),0)</f>
        <v>0</v>
      </c>
      <c r="W64" s="83">
        <f t="shared" ref="W64:Y64" si="67">B64+E64-I64+M64-Q64+T64</f>
        <v>234</v>
      </c>
      <c r="X64" s="83">
        <f t="shared" si="67"/>
        <v>0</v>
      </c>
      <c r="Y64" s="83">
        <f t="shared" si="67"/>
        <v>0</v>
      </c>
      <c r="Z64" s="84">
        <f t="shared" si="6"/>
        <v>234</v>
      </c>
      <c r="AA64" s="59" t="str">
        <f t="shared" si="7"/>
        <v>정상</v>
      </c>
      <c r="AB64" s="59"/>
      <c r="AC64" s="59"/>
      <c r="AD64" s="59"/>
      <c r="AE64" s="59"/>
      <c r="AF64" s="59"/>
    </row>
    <row r="65" ht="15.75" customHeight="1">
      <c r="A65" s="59" t="str">
        <f>IFERROR(__xludf.DUMMYFUNCTION("""COMPUTED_VALUE"""),"(지종규) LIP_문법구문")</f>
        <v>(지종규) LIP_문법구문</v>
      </c>
      <c r="B65" s="77">
        <f>IFERROR(SUMIFS('교재재고'!C:C,'교재재고'!B:B,$A65),0)</f>
        <v>194</v>
      </c>
      <c r="C65" s="77">
        <f>IFERROR(SUMIFS('교재재고'!D:D,'교재재고'!B:B,$A65),0)</f>
        <v>0</v>
      </c>
      <c r="D65" s="77">
        <f>IFERROR(SUMIFS('교재재고'!E:E,'교재재고'!B:B,$A65),0)</f>
        <v>0</v>
      </c>
      <c r="E65" s="78">
        <f>IFERROR(SUMIFS('교재재고'!F:F,'교재재고'!B:B,$A65),0)
+IFERROR(SUMIFS('교재재고'!I:I,'교재재고'!B:B,$A65),0)
+IFERROR(SUMIFS('교재재고'!L:L,'교재재고'!B:B,$A65),0)
+IFERROR(SUMIFS('교재재고'!O:O,'교재재고'!B:B,$A65),0)
+IFERROR(SUMIFS('교재재고'!R:R,'교재재고'!B:B,$A65),0)</f>
        <v>0</v>
      </c>
      <c r="F65" s="79">
        <f>IFERROR(SUMIFS('교재재고'!G:G,'교재재고'!B:B,$A65),0)
+IFERROR(SUMIFS('교재재고'!J:J,'교재재고'!B:B,$A65),0)
+IFERROR(SUMIFS('교재재고'!M:M,'교재재고'!B:B,$A65),0)
+IFERROR(SUMIFS('교재재고'!P:P,'교재재고'!B:B,$A65),0)
+IFERROR(SUMIFS('교재재고'!S:S,'교재재고'!B:B,$A65),0)</f>
        <v>0</v>
      </c>
      <c r="G65" s="79">
        <f>IFERROR(SUMIFS('교재재고'!H:H,'교재재고'!B:B,$A65),0)
+IFERROR(SUMIFS('교재재고'!K:K,'교재재고'!B:B,$A65),0)
+IFERROR(SUMIFS('교재재고'!N:N,'교재재고'!B:B,$A65),0)
+IFERROR(SUMIFS('교재재고'!Q:Q,'교재재고'!B:B,$A65),0)
+IFERROR(SUMIFS('교재재고'!T:T,'교재재고'!B:B,$A65),0)</f>
        <v>0</v>
      </c>
      <c r="H65" s="79">
        <f t="shared" si="2"/>
        <v>194</v>
      </c>
      <c r="I65" s="80">
        <f>IFERROR(SUMIFS('배부로그'!G:G,'배부로그'!D:D,$A65,'배부로그'!F:F,"창고"),0)</f>
        <v>0</v>
      </c>
      <c r="J65" s="59">
        <f>IFERROR(SUMIFS('배부로그'!G:G,'배부로그'!D:D,$A65,'배부로그'!F:F,"4층지원실"),0)</f>
        <v>0</v>
      </c>
      <c r="K65" s="59">
        <f>IFERROR(SUMIFS('배부로그'!G:G,'배부로그'!D:D,$A65,'배부로그'!F:F,"8층지원실"),0)</f>
        <v>0</v>
      </c>
      <c r="L65" s="81">
        <f t="shared" si="3"/>
        <v>0</v>
      </c>
      <c r="M65" s="59">
        <f>IFERROR(SUMIFS('회수로그'!H:H,'회수로그'!E:E,$A65,'회수로그'!G:G,"창고"),0)</f>
        <v>0</v>
      </c>
      <c r="N65" s="59">
        <f>IFERROR(SUMIFS('회수로그'!H:H,'회수로그'!E:E,$A65,'회수로그'!G:G,"4층지원실"),0)</f>
        <v>0</v>
      </c>
      <c r="O65" s="59">
        <f>IFERROR(SUMIFS('회수로그'!H:H,'회수로그'!E:E,$A65,'회수로그'!G:G,"8층지원실"),0)</f>
        <v>0</v>
      </c>
      <c r="P65" s="59">
        <f t="shared" si="4"/>
        <v>0</v>
      </c>
      <c r="Q65" s="59">
        <f>IFERROR(SUMIFS('재고이동로그'!F:F,'재고이동로그'!C:C,$A65,'재고이동로그'!D:D,"창고"),0)</f>
        <v>0</v>
      </c>
      <c r="R65" s="59">
        <f>IFERROR(SUMIFS('재고이동로그'!F:F,'재고이동로그'!C:C,$A65,'재고이동로그'!E:E,"4층지원실"),0)</f>
        <v>0</v>
      </c>
      <c r="S65" s="82">
        <f>IFERROR(SUMIFS('재고이동로그'!F:F,'재고이동로그'!C:C,$A65,'재고이동로그'!E:E,"8층지원실"),0)</f>
        <v>0</v>
      </c>
      <c r="T65" s="59">
        <f>IFERROR(SUMIFS('재고이동로그'!F:F,'재고이동로그'!C:C,$A65,'재고이동로그'!E:E,"창고"),0)</f>
        <v>0</v>
      </c>
      <c r="U65" s="59">
        <f>IFERROR(SUMIFS('재고이동로그'!F:F,'재고이동로그'!C:C,$A65,'재고이동로그'!E:E,"4층지원실"),0)</f>
        <v>0</v>
      </c>
      <c r="V65" s="59">
        <f>IFERROR(SUMIFS('재고이동로그'!F:F,'재고이동로그'!C:C,$A65,'재고이동로그'!E:E,"8층지원실"),0)</f>
        <v>0</v>
      </c>
      <c r="W65" s="83">
        <f t="shared" ref="W65:Y65" si="68">B65+E65-I65+M65-Q65+T65</f>
        <v>194</v>
      </c>
      <c r="X65" s="83">
        <f t="shared" si="68"/>
        <v>0</v>
      </c>
      <c r="Y65" s="83">
        <f t="shared" si="68"/>
        <v>0</v>
      </c>
      <c r="Z65" s="84">
        <f t="shared" si="6"/>
        <v>194</v>
      </c>
      <c r="AA65" s="59" t="str">
        <f t="shared" si="7"/>
        <v>정상</v>
      </c>
      <c r="AB65" s="59"/>
      <c r="AC65" s="59"/>
      <c r="AD65" s="59"/>
      <c r="AE65" s="59"/>
      <c r="AF65" s="59"/>
    </row>
    <row r="66" ht="15.75" customHeight="1">
      <c r="A66" s="59" t="str">
        <f>IFERROR(__xludf.DUMMYFUNCTION("""COMPUTED_VALUE"""),"(지종규) LIP_Reading")</f>
        <v>(지종규) LIP_Reading</v>
      </c>
      <c r="B66" s="77">
        <f>IFERROR(SUMIFS('교재재고'!C:C,'교재재고'!B:B,$A66),0)</f>
        <v>194</v>
      </c>
      <c r="C66" s="77">
        <f>IFERROR(SUMIFS('교재재고'!D:D,'교재재고'!B:B,$A66),0)</f>
        <v>0</v>
      </c>
      <c r="D66" s="77">
        <f>IFERROR(SUMIFS('교재재고'!E:E,'교재재고'!B:B,$A66),0)</f>
        <v>0</v>
      </c>
      <c r="E66" s="78">
        <f>IFERROR(SUMIFS('교재재고'!F:F,'교재재고'!B:B,$A66),0)
+IFERROR(SUMIFS('교재재고'!I:I,'교재재고'!B:B,$A66),0)
+IFERROR(SUMIFS('교재재고'!L:L,'교재재고'!B:B,$A66),0)
+IFERROR(SUMIFS('교재재고'!O:O,'교재재고'!B:B,$A66),0)
+IFERROR(SUMIFS('교재재고'!R:R,'교재재고'!B:B,$A66),0)</f>
        <v>0</v>
      </c>
      <c r="F66" s="79">
        <f>IFERROR(SUMIFS('교재재고'!G:G,'교재재고'!B:B,$A66),0)
+IFERROR(SUMIFS('교재재고'!J:J,'교재재고'!B:B,$A66),0)
+IFERROR(SUMIFS('교재재고'!M:M,'교재재고'!B:B,$A66),0)
+IFERROR(SUMIFS('교재재고'!P:P,'교재재고'!B:B,$A66),0)
+IFERROR(SUMIFS('교재재고'!S:S,'교재재고'!B:B,$A66),0)</f>
        <v>0</v>
      </c>
      <c r="G66" s="79">
        <f>IFERROR(SUMIFS('교재재고'!H:H,'교재재고'!B:B,$A66),0)
+IFERROR(SUMIFS('교재재고'!K:K,'교재재고'!B:B,$A66),0)
+IFERROR(SUMIFS('교재재고'!N:N,'교재재고'!B:B,$A66),0)
+IFERROR(SUMIFS('교재재고'!Q:Q,'교재재고'!B:B,$A66),0)
+IFERROR(SUMIFS('교재재고'!T:T,'교재재고'!B:B,$A66),0)</f>
        <v>0</v>
      </c>
      <c r="H66" s="79">
        <f t="shared" si="2"/>
        <v>194</v>
      </c>
      <c r="I66" s="80">
        <f>IFERROR(SUMIFS('배부로그'!G:G,'배부로그'!D:D,$A66,'배부로그'!F:F,"창고"),0)</f>
        <v>0</v>
      </c>
      <c r="J66" s="59">
        <f>IFERROR(SUMIFS('배부로그'!G:G,'배부로그'!D:D,$A66,'배부로그'!F:F,"4층지원실"),0)</f>
        <v>0</v>
      </c>
      <c r="K66" s="59">
        <f>IFERROR(SUMIFS('배부로그'!G:G,'배부로그'!D:D,$A66,'배부로그'!F:F,"8층지원실"),0)</f>
        <v>0</v>
      </c>
      <c r="L66" s="81">
        <f t="shared" si="3"/>
        <v>0</v>
      </c>
      <c r="M66" s="59">
        <f>IFERROR(SUMIFS('회수로그'!H:H,'회수로그'!E:E,$A66,'회수로그'!G:G,"창고"),0)</f>
        <v>0</v>
      </c>
      <c r="N66" s="59">
        <f>IFERROR(SUMIFS('회수로그'!H:H,'회수로그'!E:E,$A66,'회수로그'!G:G,"4층지원실"),0)</f>
        <v>0</v>
      </c>
      <c r="O66" s="59">
        <f>IFERROR(SUMIFS('회수로그'!H:H,'회수로그'!E:E,$A66,'회수로그'!G:G,"8층지원실"),0)</f>
        <v>0</v>
      </c>
      <c r="P66" s="59">
        <f t="shared" si="4"/>
        <v>0</v>
      </c>
      <c r="Q66" s="59">
        <f>IFERROR(SUMIFS('재고이동로그'!F:F,'재고이동로그'!C:C,$A66,'재고이동로그'!D:D,"창고"),0)</f>
        <v>0</v>
      </c>
      <c r="R66" s="59">
        <f>IFERROR(SUMIFS('재고이동로그'!F:F,'재고이동로그'!C:C,$A66,'재고이동로그'!E:E,"4층지원실"),0)</f>
        <v>0</v>
      </c>
      <c r="S66" s="82">
        <f>IFERROR(SUMIFS('재고이동로그'!F:F,'재고이동로그'!C:C,$A66,'재고이동로그'!E:E,"8층지원실"),0)</f>
        <v>0</v>
      </c>
      <c r="T66" s="59">
        <f>IFERROR(SUMIFS('재고이동로그'!F:F,'재고이동로그'!C:C,$A66,'재고이동로그'!E:E,"창고"),0)</f>
        <v>0</v>
      </c>
      <c r="U66" s="59">
        <f>IFERROR(SUMIFS('재고이동로그'!F:F,'재고이동로그'!C:C,$A66,'재고이동로그'!E:E,"4층지원실"),0)</f>
        <v>0</v>
      </c>
      <c r="V66" s="59">
        <f>IFERROR(SUMIFS('재고이동로그'!F:F,'재고이동로그'!C:C,$A66,'재고이동로그'!E:E,"8층지원실"),0)</f>
        <v>0</v>
      </c>
      <c r="W66" s="83">
        <f t="shared" ref="W66:Y66" si="69">B66+E66-I66+M66-Q66+T66</f>
        <v>194</v>
      </c>
      <c r="X66" s="83">
        <f t="shared" si="69"/>
        <v>0</v>
      </c>
      <c r="Y66" s="83">
        <f t="shared" si="69"/>
        <v>0</v>
      </c>
      <c r="Z66" s="84">
        <f t="shared" si="6"/>
        <v>194</v>
      </c>
      <c r="AA66" s="59" t="str">
        <f t="shared" si="7"/>
        <v>정상</v>
      </c>
      <c r="AB66" s="59"/>
      <c r="AC66" s="59"/>
      <c r="AD66" s="59"/>
      <c r="AE66" s="59"/>
      <c r="AF66" s="59"/>
    </row>
    <row r="67" ht="15.75" customHeight="1">
      <c r="A67" s="59" t="str">
        <f>IFERROR(__xludf.DUMMYFUNCTION("""COMPUTED_VALUE"""),"(진명화) 에센셜_수2(수업)")</f>
        <v>(진명화) 에센셜_수2(수업)</v>
      </c>
      <c r="B67" s="77">
        <f>IFERROR(SUMIFS('교재재고'!C:C,'교재재고'!B:B,$A67),0)</f>
        <v>3</v>
      </c>
      <c r="C67" s="77">
        <f>IFERROR(SUMIFS('교재재고'!D:D,'교재재고'!B:B,$A67),0)</f>
        <v>0</v>
      </c>
      <c r="D67" s="77">
        <f>IFERROR(SUMIFS('교재재고'!E:E,'교재재고'!B:B,$A67),0)</f>
        <v>0</v>
      </c>
      <c r="E67" s="78">
        <f>IFERROR(SUMIFS('교재재고'!F:F,'교재재고'!B:B,$A67),0)
+IFERROR(SUMIFS('교재재고'!I:I,'교재재고'!B:B,$A67),0)
+IFERROR(SUMIFS('교재재고'!L:L,'교재재고'!B:B,$A67),0)
+IFERROR(SUMIFS('교재재고'!O:O,'교재재고'!B:B,$A67),0)
+IFERROR(SUMIFS('교재재고'!R:R,'교재재고'!B:B,$A67),0)</f>
        <v>0</v>
      </c>
      <c r="F67" s="79">
        <f>IFERROR(SUMIFS('교재재고'!G:G,'교재재고'!B:B,$A67),0)
+IFERROR(SUMIFS('교재재고'!J:J,'교재재고'!B:B,$A67),0)
+IFERROR(SUMIFS('교재재고'!M:M,'교재재고'!B:B,$A67),0)
+IFERROR(SUMIFS('교재재고'!P:P,'교재재고'!B:B,$A67),0)
+IFERROR(SUMIFS('교재재고'!S:S,'교재재고'!B:B,$A67),0)</f>
        <v>0</v>
      </c>
      <c r="G67" s="79">
        <f>IFERROR(SUMIFS('교재재고'!H:H,'교재재고'!B:B,$A67),0)
+IFERROR(SUMIFS('교재재고'!K:K,'교재재고'!B:B,$A67),0)
+IFERROR(SUMIFS('교재재고'!N:N,'교재재고'!B:B,$A67),0)
+IFERROR(SUMIFS('교재재고'!Q:Q,'교재재고'!B:B,$A67),0)
+IFERROR(SUMIFS('교재재고'!T:T,'교재재고'!B:B,$A67),0)</f>
        <v>0</v>
      </c>
      <c r="H67" s="79">
        <f t="shared" si="2"/>
        <v>3</v>
      </c>
      <c r="I67" s="80">
        <f>IFERROR(SUMIFS('배부로그'!G:G,'배부로그'!D:D,$A67,'배부로그'!F:F,"창고"),0)</f>
        <v>0</v>
      </c>
      <c r="J67" s="59">
        <f>IFERROR(SUMIFS('배부로그'!G:G,'배부로그'!D:D,$A67,'배부로그'!F:F,"4층지원실"),0)</f>
        <v>0</v>
      </c>
      <c r="K67" s="59">
        <f>IFERROR(SUMIFS('배부로그'!G:G,'배부로그'!D:D,$A67,'배부로그'!F:F,"8층지원실"),0)</f>
        <v>0</v>
      </c>
      <c r="L67" s="81">
        <f t="shared" si="3"/>
        <v>0</v>
      </c>
      <c r="M67" s="59">
        <f>IFERROR(SUMIFS('회수로그'!H:H,'회수로그'!E:E,$A67,'회수로그'!G:G,"창고"),0)</f>
        <v>0</v>
      </c>
      <c r="N67" s="59">
        <f>IFERROR(SUMIFS('회수로그'!H:H,'회수로그'!E:E,$A67,'회수로그'!G:G,"4층지원실"),0)</f>
        <v>0</v>
      </c>
      <c r="O67" s="59">
        <f>IFERROR(SUMIFS('회수로그'!H:H,'회수로그'!E:E,$A67,'회수로그'!G:G,"8층지원실"),0)</f>
        <v>0</v>
      </c>
      <c r="P67" s="59">
        <f t="shared" si="4"/>
        <v>0</v>
      </c>
      <c r="Q67" s="59">
        <f>IFERROR(SUMIFS('재고이동로그'!F:F,'재고이동로그'!C:C,$A67,'재고이동로그'!D:D,"창고"),0)</f>
        <v>0</v>
      </c>
      <c r="R67" s="59">
        <f>IFERROR(SUMIFS('재고이동로그'!F:F,'재고이동로그'!C:C,$A67,'재고이동로그'!E:E,"4층지원실"),0)</f>
        <v>0</v>
      </c>
      <c r="S67" s="82">
        <f>IFERROR(SUMIFS('재고이동로그'!F:F,'재고이동로그'!C:C,$A67,'재고이동로그'!E:E,"8층지원실"),0)</f>
        <v>0</v>
      </c>
      <c r="T67" s="59">
        <f>IFERROR(SUMIFS('재고이동로그'!F:F,'재고이동로그'!C:C,$A67,'재고이동로그'!E:E,"창고"),0)</f>
        <v>0</v>
      </c>
      <c r="U67" s="59">
        <f>IFERROR(SUMIFS('재고이동로그'!F:F,'재고이동로그'!C:C,$A67,'재고이동로그'!E:E,"4층지원실"),0)</f>
        <v>0</v>
      </c>
      <c r="V67" s="59">
        <f>IFERROR(SUMIFS('재고이동로그'!F:F,'재고이동로그'!C:C,$A67,'재고이동로그'!E:E,"8층지원실"),0)</f>
        <v>0</v>
      </c>
      <c r="W67" s="83">
        <f t="shared" ref="W67:Y67" si="70">B67+E67-I67+M67-Q67+T67</f>
        <v>3</v>
      </c>
      <c r="X67" s="83">
        <f t="shared" si="70"/>
        <v>0</v>
      </c>
      <c r="Y67" s="83">
        <f t="shared" si="70"/>
        <v>0</v>
      </c>
      <c r="Z67" s="84">
        <f t="shared" si="6"/>
        <v>3</v>
      </c>
      <c r="AA67" s="59" t="str">
        <f t="shared" si="7"/>
        <v>부족</v>
      </c>
      <c r="AB67" s="59"/>
      <c r="AC67" s="59"/>
      <c r="AD67" s="59"/>
      <c r="AE67" s="59"/>
      <c r="AF67" s="59"/>
    </row>
    <row r="68" ht="15.75" customHeight="1">
      <c r="A68" s="59" t="str">
        <f>IFERROR(__xludf.DUMMYFUNCTION("""COMPUTED_VALUE"""),"(진명화) 에센셜_확통(수업)")</f>
        <v>(진명화) 에센셜_확통(수업)</v>
      </c>
      <c r="B68" s="77">
        <f>IFERROR(SUMIFS('교재재고'!C:C,'교재재고'!B:B,$A68),0)</f>
        <v>3</v>
      </c>
      <c r="C68" s="77">
        <f>IFERROR(SUMIFS('교재재고'!D:D,'교재재고'!B:B,$A68),0)</f>
        <v>0</v>
      </c>
      <c r="D68" s="77">
        <f>IFERROR(SUMIFS('교재재고'!E:E,'교재재고'!B:B,$A68),0)</f>
        <v>0</v>
      </c>
      <c r="E68" s="78">
        <f>IFERROR(SUMIFS('교재재고'!F:F,'교재재고'!B:B,$A68),0)
+IFERROR(SUMIFS('교재재고'!I:I,'교재재고'!B:B,$A68),0)
+IFERROR(SUMIFS('교재재고'!L:L,'교재재고'!B:B,$A68),0)
+IFERROR(SUMIFS('교재재고'!O:O,'교재재고'!B:B,$A68),0)
+IFERROR(SUMIFS('교재재고'!R:R,'교재재고'!B:B,$A68),0)</f>
        <v>0</v>
      </c>
      <c r="F68" s="79">
        <f>IFERROR(SUMIFS('교재재고'!G:G,'교재재고'!B:B,$A68),0)
+IFERROR(SUMIFS('교재재고'!J:J,'교재재고'!B:B,$A68),0)
+IFERROR(SUMIFS('교재재고'!M:M,'교재재고'!B:B,$A68),0)
+IFERROR(SUMIFS('교재재고'!P:P,'교재재고'!B:B,$A68),0)
+IFERROR(SUMIFS('교재재고'!S:S,'교재재고'!B:B,$A68),0)</f>
        <v>0</v>
      </c>
      <c r="G68" s="79">
        <f>IFERROR(SUMIFS('교재재고'!H:H,'교재재고'!B:B,$A68),0)
+IFERROR(SUMIFS('교재재고'!K:K,'교재재고'!B:B,$A68),0)
+IFERROR(SUMIFS('교재재고'!N:N,'교재재고'!B:B,$A68),0)
+IFERROR(SUMIFS('교재재고'!Q:Q,'교재재고'!B:B,$A68),0)
+IFERROR(SUMIFS('교재재고'!T:T,'교재재고'!B:B,$A68),0)</f>
        <v>0</v>
      </c>
      <c r="H68" s="79">
        <f t="shared" si="2"/>
        <v>3</v>
      </c>
      <c r="I68" s="80">
        <f>IFERROR(SUMIFS('배부로그'!G:G,'배부로그'!D:D,$A68,'배부로그'!F:F,"창고"),0)</f>
        <v>0</v>
      </c>
      <c r="J68" s="59">
        <f>IFERROR(SUMIFS('배부로그'!G:G,'배부로그'!D:D,$A68,'배부로그'!F:F,"4층지원실"),0)</f>
        <v>0</v>
      </c>
      <c r="K68" s="59">
        <f>IFERROR(SUMIFS('배부로그'!G:G,'배부로그'!D:D,$A68,'배부로그'!F:F,"8층지원실"),0)</f>
        <v>0</v>
      </c>
      <c r="L68" s="81">
        <f t="shared" si="3"/>
        <v>0</v>
      </c>
      <c r="M68" s="59">
        <f>IFERROR(SUMIFS('회수로그'!H:H,'회수로그'!E:E,$A68,'회수로그'!G:G,"창고"),0)</f>
        <v>0</v>
      </c>
      <c r="N68" s="59">
        <f>IFERROR(SUMIFS('회수로그'!H:H,'회수로그'!E:E,$A68,'회수로그'!G:G,"4층지원실"),0)</f>
        <v>0</v>
      </c>
      <c r="O68" s="59">
        <f>IFERROR(SUMIFS('회수로그'!H:H,'회수로그'!E:E,$A68,'회수로그'!G:G,"8층지원실"),0)</f>
        <v>0</v>
      </c>
      <c r="P68" s="59">
        <f t="shared" si="4"/>
        <v>0</v>
      </c>
      <c r="Q68" s="59">
        <f>IFERROR(SUMIFS('재고이동로그'!F:F,'재고이동로그'!C:C,$A68,'재고이동로그'!D:D,"창고"),0)</f>
        <v>0</v>
      </c>
      <c r="R68" s="59">
        <f>IFERROR(SUMIFS('재고이동로그'!F:F,'재고이동로그'!C:C,$A68,'재고이동로그'!E:E,"4층지원실"),0)</f>
        <v>0</v>
      </c>
      <c r="S68" s="82">
        <f>IFERROR(SUMIFS('재고이동로그'!F:F,'재고이동로그'!C:C,$A68,'재고이동로그'!E:E,"8층지원실"),0)</f>
        <v>0</v>
      </c>
      <c r="T68" s="59">
        <f>IFERROR(SUMIFS('재고이동로그'!F:F,'재고이동로그'!C:C,$A68,'재고이동로그'!E:E,"창고"),0)</f>
        <v>0</v>
      </c>
      <c r="U68" s="59">
        <f>IFERROR(SUMIFS('재고이동로그'!F:F,'재고이동로그'!C:C,$A68,'재고이동로그'!E:E,"4층지원실"),0)</f>
        <v>0</v>
      </c>
      <c r="V68" s="59">
        <f>IFERROR(SUMIFS('재고이동로그'!F:F,'재고이동로그'!C:C,$A68,'재고이동로그'!E:E,"8층지원실"),0)</f>
        <v>0</v>
      </c>
      <c r="W68" s="83">
        <f t="shared" ref="W68:Y68" si="71">B68+E68-I68+M68-Q68+T68</f>
        <v>3</v>
      </c>
      <c r="X68" s="83">
        <f t="shared" si="71"/>
        <v>0</v>
      </c>
      <c r="Y68" s="83">
        <f t="shared" si="71"/>
        <v>0</v>
      </c>
      <c r="Z68" s="84">
        <f t="shared" si="6"/>
        <v>3</v>
      </c>
      <c r="AA68" s="59" t="str">
        <f t="shared" si="7"/>
        <v>부족</v>
      </c>
      <c r="AB68" s="59"/>
      <c r="AC68" s="59"/>
      <c r="AD68" s="59"/>
      <c r="AE68" s="59"/>
      <c r="AF68" s="59"/>
    </row>
    <row r="69" ht="15.75" customHeight="1">
      <c r="A69" s="70" t="str">
        <f>IFERROR(__xludf.DUMMYFUNCTION("""COMPUTED_VALUE"""),"(진명화) 에센셜+_수2(수업)")</f>
        <v>(진명화) 에센셜+_수2(수업)</v>
      </c>
      <c r="B69" s="77">
        <f>IFERROR(SUMIFS('교재재고'!C:C,'교재재고'!B:B,$A69),0)</f>
        <v>3</v>
      </c>
      <c r="C69" s="77">
        <f>IFERROR(SUMIFS('교재재고'!D:D,'교재재고'!B:B,$A69),0)</f>
        <v>0</v>
      </c>
      <c r="D69" s="77">
        <f>IFERROR(SUMIFS('교재재고'!E:E,'교재재고'!B:B,$A69),0)</f>
        <v>0</v>
      </c>
      <c r="E69" s="78">
        <f>IFERROR(SUMIFS('교재재고'!F:F,'교재재고'!B:B,$A69),0)
+IFERROR(SUMIFS('교재재고'!I:I,'교재재고'!B:B,$A69),0)
+IFERROR(SUMIFS('교재재고'!L:L,'교재재고'!B:B,$A69),0)
+IFERROR(SUMIFS('교재재고'!O:O,'교재재고'!B:B,$A69),0)
+IFERROR(SUMIFS('교재재고'!R:R,'교재재고'!B:B,$A69),0)</f>
        <v>4</v>
      </c>
      <c r="F69" s="79">
        <f>IFERROR(SUMIFS('교재재고'!G:G,'교재재고'!B:B,$A69),0)
+IFERROR(SUMIFS('교재재고'!J:J,'교재재고'!B:B,$A69),0)
+IFERROR(SUMIFS('교재재고'!M:M,'교재재고'!B:B,$A69),0)
+IFERROR(SUMIFS('교재재고'!P:P,'교재재고'!B:B,$A69),0)
+IFERROR(SUMIFS('교재재고'!S:S,'교재재고'!B:B,$A69),0)</f>
        <v>0</v>
      </c>
      <c r="G69" s="79">
        <f>IFERROR(SUMIFS('교재재고'!H:H,'교재재고'!B:B,$A69),0)
+IFERROR(SUMIFS('교재재고'!K:K,'교재재고'!B:B,$A69),0)
+IFERROR(SUMIFS('교재재고'!N:N,'교재재고'!B:B,$A69),0)
+IFERROR(SUMIFS('교재재고'!Q:Q,'교재재고'!B:B,$A69),0)
+IFERROR(SUMIFS('교재재고'!T:T,'교재재고'!B:B,$A69),0)</f>
        <v>0</v>
      </c>
      <c r="H69" s="79">
        <f t="shared" si="2"/>
        <v>7</v>
      </c>
      <c r="I69" s="80">
        <f>IFERROR(SUMIFS('배부로그'!G:G,'배부로그'!D:D,$A69,'배부로그'!F:F,"창고"),0)</f>
        <v>3</v>
      </c>
      <c r="J69" s="59">
        <f>IFERROR(SUMIFS('배부로그'!G:G,'배부로그'!D:D,$A69,'배부로그'!F:F,"4층지원실"),0)</f>
        <v>0</v>
      </c>
      <c r="K69" s="59">
        <f>IFERROR(SUMIFS('배부로그'!G:G,'배부로그'!D:D,$A69,'배부로그'!F:F,"8층지원실"),0)</f>
        <v>0</v>
      </c>
      <c r="L69" s="81">
        <f t="shared" si="3"/>
        <v>3</v>
      </c>
      <c r="M69" s="59">
        <f>IFERROR(SUMIFS('회수로그'!H:H,'회수로그'!E:E,$A69,'회수로그'!G:G,"창고"),0)</f>
        <v>0</v>
      </c>
      <c r="N69" s="59">
        <f>IFERROR(SUMIFS('회수로그'!H:H,'회수로그'!E:E,$A69,'회수로그'!G:G,"4층지원실"),0)</f>
        <v>0</v>
      </c>
      <c r="O69" s="59">
        <f>IFERROR(SUMIFS('회수로그'!H:H,'회수로그'!E:E,$A69,'회수로그'!G:G,"8층지원실"),0)</f>
        <v>0</v>
      </c>
      <c r="P69" s="59">
        <f t="shared" si="4"/>
        <v>0</v>
      </c>
      <c r="Q69" s="59">
        <f>IFERROR(SUMIFS('재고이동로그'!F:F,'재고이동로그'!C:C,$A69,'재고이동로그'!D:D,"창고"),0)</f>
        <v>0</v>
      </c>
      <c r="R69" s="59">
        <f>IFERROR(SUMIFS('재고이동로그'!F:F,'재고이동로그'!C:C,$A69,'재고이동로그'!E:E,"4층지원실"),0)</f>
        <v>0</v>
      </c>
      <c r="S69" s="82">
        <f>IFERROR(SUMIFS('재고이동로그'!F:F,'재고이동로그'!C:C,$A69,'재고이동로그'!E:E,"8층지원실"),0)</f>
        <v>0</v>
      </c>
      <c r="T69" s="59">
        <f>IFERROR(SUMIFS('재고이동로그'!F:F,'재고이동로그'!C:C,$A69,'재고이동로그'!E:E,"창고"),0)</f>
        <v>0</v>
      </c>
      <c r="U69" s="59">
        <f>IFERROR(SUMIFS('재고이동로그'!F:F,'재고이동로그'!C:C,$A69,'재고이동로그'!E:E,"4층지원실"),0)</f>
        <v>0</v>
      </c>
      <c r="V69" s="59">
        <f>IFERROR(SUMIFS('재고이동로그'!F:F,'재고이동로그'!C:C,$A69,'재고이동로그'!E:E,"8층지원실"),0)</f>
        <v>0</v>
      </c>
      <c r="W69" s="83">
        <f t="shared" ref="W69:Y69" si="72">B69+E69-I69+M69-Q69+T69</f>
        <v>4</v>
      </c>
      <c r="X69" s="83">
        <f t="shared" si="72"/>
        <v>0</v>
      </c>
      <c r="Y69" s="83">
        <f t="shared" si="72"/>
        <v>0</v>
      </c>
      <c r="Z69" s="84">
        <f t="shared" si="6"/>
        <v>4</v>
      </c>
      <c r="AA69" s="59" t="str">
        <f t="shared" si="7"/>
        <v>부족</v>
      </c>
      <c r="AB69" s="70"/>
      <c r="AC69" s="70"/>
      <c r="AD69" s="70"/>
      <c r="AE69" s="70"/>
      <c r="AF69" s="70"/>
    </row>
    <row r="70" ht="15.75" customHeight="1">
      <c r="A70" s="59" t="str">
        <f>IFERROR(__xludf.DUMMYFUNCTION("""COMPUTED_VALUE"""),"(진명화) 에센셜+_확통(수업)")</f>
        <v>(진명화) 에센셜+_확통(수업)</v>
      </c>
      <c r="B70" s="77">
        <f>IFERROR(SUMIFS('교재재고'!C:C,'교재재고'!B:B,$A70),0)</f>
        <v>3</v>
      </c>
      <c r="C70" s="77">
        <f>IFERROR(SUMIFS('교재재고'!D:D,'교재재고'!B:B,$A70),0)</f>
        <v>0</v>
      </c>
      <c r="D70" s="77">
        <f>IFERROR(SUMIFS('교재재고'!E:E,'교재재고'!B:B,$A70),0)</f>
        <v>0</v>
      </c>
      <c r="E70" s="78">
        <f>IFERROR(SUMIFS('교재재고'!F:F,'교재재고'!B:B,$A70),0)
+IFERROR(SUMIFS('교재재고'!I:I,'교재재고'!B:B,$A70),0)
+IFERROR(SUMIFS('교재재고'!L:L,'교재재고'!B:B,$A70),0)
+IFERROR(SUMIFS('교재재고'!O:O,'교재재고'!B:B,$A70),0)
+IFERROR(SUMIFS('교재재고'!R:R,'교재재고'!B:B,$A70),0)</f>
        <v>4</v>
      </c>
      <c r="F70" s="79">
        <f>IFERROR(SUMIFS('교재재고'!G:G,'교재재고'!B:B,$A70),0)
+IFERROR(SUMIFS('교재재고'!J:J,'교재재고'!B:B,$A70),0)
+IFERROR(SUMIFS('교재재고'!M:M,'교재재고'!B:B,$A70),0)
+IFERROR(SUMIFS('교재재고'!P:P,'교재재고'!B:B,$A70),0)
+IFERROR(SUMIFS('교재재고'!S:S,'교재재고'!B:B,$A70),0)</f>
        <v>0</v>
      </c>
      <c r="G70" s="79">
        <f>IFERROR(SUMIFS('교재재고'!H:H,'교재재고'!B:B,$A70),0)
+IFERROR(SUMIFS('교재재고'!K:K,'교재재고'!B:B,$A70),0)
+IFERROR(SUMIFS('교재재고'!N:N,'교재재고'!B:B,$A70),0)
+IFERROR(SUMIFS('교재재고'!Q:Q,'교재재고'!B:B,$A70),0)
+IFERROR(SUMIFS('교재재고'!T:T,'교재재고'!B:B,$A70),0)</f>
        <v>0</v>
      </c>
      <c r="H70" s="79">
        <f t="shared" si="2"/>
        <v>7</v>
      </c>
      <c r="I70" s="80">
        <f>IFERROR(SUMIFS('배부로그'!G:G,'배부로그'!D:D,$A70,'배부로그'!F:F,"창고"),0)</f>
        <v>3</v>
      </c>
      <c r="J70" s="59">
        <f>IFERROR(SUMIFS('배부로그'!G:G,'배부로그'!D:D,$A70,'배부로그'!F:F,"4층지원실"),0)</f>
        <v>0</v>
      </c>
      <c r="K70" s="59">
        <f>IFERROR(SUMIFS('배부로그'!G:G,'배부로그'!D:D,$A70,'배부로그'!F:F,"8층지원실"),0)</f>
        <v>0</v>
      </c>
      <c r="L70" s="81">
        <f t="shared" si="3"/>
        <v>3</v>
      </c>
      <c r="M70" s="59">
        <f>IFERROR(SUMIFS('회수로그'!H:H,'회수로그'!E:E,$A70,'회수로그'!G:G,"창고"),0)</f>
        <v>0</v>
      </c>
      <c r="N70" s="59">
        <f>IFERROR(SUMIFS('회수로그'!H:H,'회수로그'!E:E,$A70,'회수로그'!G:G,"4층지원실"),0)</f>
        <v>0</v>
      </c>
      <c r="O70" s="59">
        <f>IFERROR(SUMIFS('회수로그'!H:H,'회수로그'!E:E,$A70,'회수로그'!G:G,"8층지원실"),0)</f>
        <v>0</v>
      </c>
      <c r="P70" s="59">
        <f t="shared" si="4"/>
        <v>0</v>
      </c>
      <c r="Q70" s="59">
        <f>IFERROR(SUMIFS('재고이동로그'!F:F,'재고이동로그'!C:C,$A70,'재고이동로그'!D:D,"창고"),0)</f>
        <v>0</v>
      </c>
      <c r="R70" s="59">
        <f>IFERROR(SUMIFS('재고이동로그'!F:F,'재고이동로그'!C:C,$A70,'재고이동로그'!E:E,"4층지원실"),0)</f>
        <v>0</v>
      </c>
      <c r="S70" s="82">
        <f>IFERROR(SUMIFS('재고이동로그'!F:F,'재고이동로그'!C:C,$A70,'재고이동로그'!E:E,"8층지원실"),0)</f>
        <v>0</v>
      </c>
      <c r="T70" s="59">
        <f>IFERROR(SUMIFS('재고이동로그'!F:F,'재고이동로그'!C:C,$A70,'재고이동로그'!E:E,"창고"),0)</f>
        <v>0</v>
      </c>
      <c r="U70" s="59">
        <f>IFERROR(SUMIFS('재고이동로그'!F:F,'재고이동로그'!C:C,$A70,'재고이동로그'!E:E,"4층지원실"),0)</f>
        <v>0</v>
      </c>
      <c r="V70" s="59">
        <f>IFERROR(SUMIFS('재고이동로그'!F:F,'재고이동로그'!C:C,$A70,'재고이동로그'!E:E,"8층지원실"),0)</f>
        <v>0</v>
      </c>
      <c r="W70" s="83">
        <f t="shared" ref="W70:Y70" si="73">B70+E70-I70+M70-Q70+T70</f>
        <v>4</v>
      </c>
      <c r="X70" s="83">
        <f t="shared" si="73"/>
        <v>0</v>
      </c>
      <c r="Y70" s="83">
        <f t="shared" si="73"/>
        <v>0</v>
      </c>
      <c r="Z70" s="84">
        <f t="shared" si="6"/>
        <v>4</v>
      </c>
      <c r="AA70" s="59" t="str">
        <f t="shared" si="7"/>
        <v>부족</v>
      </c>
      <c r="AB70" s="59"/>
      <c r="AC70" s="59"/>
      <c r="AD70" s="59"/>
      <c r="AE70" s="59"/>
      <c r="AF70" s="59"/>
    </row>
    <row r="71" ht="15.75" customHeight="1">
      <c r="A71" s="59" t="str">
        <f>IFERROR(__xludf.DUMMYFUNCTION("""COMPUTED_VALUE"""),"(진명화) 에센스_수2(피드백)")</f>
        <v>(진명화) 에센스_수2(피드백)</v>
      </c>
      <c r="B71" s="77">
        <f>IFERROR(SUMIFS('교재재고'!C:C,'교재재고'!B:B,$A71),0)</f>
        <v>3</v>
      </c>
      <c r="C71" s="77">
        <f>IFERROR(SUMIFS('교재재고'!D:D,'교재재고'!B:B,$A71),0)</f>
        <v>0</v>
      </c>
      <c r="D71" s="77">
        <f>IFERROR(SUMIFS('교재재고'!E:E,'교재재고'!B:B,$A71),0)</f>
        <v>0</v>
      </c>
      <c r="E71" s="78">
        <f>IFERROR(SUMIFS('교재재고'!F:F,'교재재고'!B:B,$A71),0)
+IFERROR(SUMIFS('교재재고'!I:I,'교재재고'!B:B,$A71),0)
+IFERROR(SUMIFS('교재재고'!L:L,'교재재고'!B:B,$A71),0)
+IFERROR(SUMIFS('교재재고'!O:O,'교재재고'!B:B,$A71),0)
+IFERROR(SUMIFS('교재재고'!R:R,'교재재고'!B:B,$A71),0)</f>
        <v>0</v>
      </c>
      <c r="F71" s="79">
        <f>IFERROR(SUMIFS('교재재고'!G:G,'교재재고'!B:B,$A71),0)
+IFERROR(SUMIFS('교재재고'!J:J,'교재재고'!B:B,$A71),0)
+IFERROR(SUMIFS('교재재고'!M:M,'교재재고'!B:B,$A71),0)
+IFERROR(SUMIFS('교재재고'!P:P,'교재재고'!B:B,$A71),0)
+IFERROR(SUMIFS('교재재고'!S:S,'교재재고'!B:B,$A71),0)</f>
        <v>0</v>
      </c>
      <c r="G71" s="79">
        <f>IFERROR(SUMIFS('교재재고'!H:H,'교재재고'!B:B,$A71),0)
+IFERROR(SUMIFS('교재재고'!K:K,'교재재고'!B:B,$A71),0)
+IFERROR(SUMIFS('교재재고'!N:N,'교재재고'!B:B,$A71),0)
+IFERROR(SUMIFS('교재재고'!Q:Q,'교재재고'!B:B,$A71),0)
+IFERROR(SUMIFS('교재재고'!T:T,'교재재고'!B:B,$A71),0)</f>
        <v>0</v>
      </c>
      <c r="H71" s="79">
        <f t="shared" si="2"/>
        <v>3</v>
      </c>
      <c r="I71" s="80">
        <f>IFERROR(SUMIFS('배부로그'!G:G,'배부로그'!D:D,$A71,'배부로그'!F:F,"창고"),0)</f>
        <v>0</v>
      </c>
      <c r="J71" s="59">
        <f>IFERROR(SUMIFS('배부로그'!G:G,'배부로그'!D:D,$A71,'배부로그'!F:F,"4층지원실"),0)</f>
        <v>0</v>
      </c>
      <c r="K71" s="59">
        <f>IFERROR(SUMIFS('배부로그'!G:G,'배부로그'!D:D,$A71,'배부로그'!F:F,"8층지원실"),0)</f>
        <v>0</v>
      </c>
      <c r="L71" s="81">
        <f t="shared" si="3"/>
        <v>0</v>
      </c>
      <c r="M71" s="59">
        <f>IFERROR(SUMIFS('회수로그'!H:H,'회수로그'!E:E,$A71,'회수로그'!G:G,"창고"),0)</f>
        <v>0</v>
      </c>
      <c r="N71" s="59">
        <f>IFERROR(SUMIFS('회수로그'!H:H,'회수로그'!E:E,$A71,'회수로그'!G:G,"4층지원실"),0)</f>
        <v>0</v>
      </c>
      <c r="O71" s="59">
        <f>IFERROR(SUMIFS('회수로그'!H:H,'회수로그'!E:E,$A71,'회수로그'!G:G,"8층지원실"),0)</f>
        <v>0</v>
      </c>
      <c r="P71" s="59">
        <f t="shared" si="4"/>
        <v>0</v>
      </c>
      <c r="Q71" s="59">
        <f>IFERROR(SUMIFS('재고이동로그'!F:F,'재고이동로그'!C:C,$A71,'재고이동로그'!D:D,"창고"),0)</f>
        <v>0</v>
      </c>
      <c r="R71" s="59">
        <f>IFERROR(SUMIFS('재고이동로그'!F:F,'재고이동로그'!C:C,$A71,'재고이동로그'!E:E,"4층지원실"),0)</f>
        <v>0</v>
      </c>
      <c r="S71" s="82">
        <f>IFERROR(SUMIFS('재고이동로그'!F:F,'재고이동로그'!C:C,$A71,'재고이동로그'!E:E,"8층지원실"),0)</f>
        <v>0</v>
      </c>
      <c r="T71" s="59">
        <f>IFERROR(SUMIFS('재고이동로그'!F:F,'재고이동로그'!C:C,$A71,'재고이동로그'!E:E,"창고"),0)</f>
        <v>0</v>
      </c>
      <c r="U71" s="59">
        <f>IFERROR(SUMIFS('재고이동로그'!F:F,'재고이동로그'!C:C,$A71,'재고이동로그'!E:E,"4층지원실"),0)</f>
        <v>0</v>
      </c>
      <c r="V71" s="59">
        <f>IFERROR(SUMIFS('재고이동로그'!F:F,'재고이동로그'!C:C,$A71,'재고이동로그'!E:E,"8층지원실"),0)</f>
        <v>0</v>
      </c>
      <c r="W71" s="83">
        <f t="shared" ref="W71:Y71" si="74">B71+E71-I71+M71-Q71+T71</f>
        <v>3</v>
      </c>
      <c r="X71" s="83">
        <f t="shared" si="74"/>
        <v>0</v>
      </c>
      <c r="Y71" s="83">
        <f t="shared" si="74"/>
        <v>0</v>
      </c>
      <c r="Z71" s="84">
        <f t="shared" si="6"/>
        <v>3</v>
      </c>
      <c r="AA71" s="59" t="str">
        <f t="shared" si="7"/>
        <v>부족</v>
      </c>
      <c r="AB71" s="59"/>
      <c r="AC71" s="59"/>
      <c r="AD71" s="59"/>
      <c r="AE71" s="59"/>
      <c r="AF71" s="59"/>
    </row>
    <row r="72" ht="15.75" customHeight="1">
      <c r="A72" s="59" t="str">
        <f>IFERROR(__xludf.DUMMYFUNCTION("""COMPUTED_VALUE"""),"(진명화) 에센스_확통(피드백)")</f>
        <v>(진명화) 에센스_확통(피드백)</v>
      </c>
      <c r="B72" s="77">
        <f>IFERROR(SUMIFS('교재재고'!C:C,'교재재고'!B:B,$A72),0)</f>
        <v>7</v>
      </c>
      <c r="C72" s="77">
        <f>IFERROR(SUMIFS('교재재고'!D:D,'교재재고'!B:B,$A72),0)</f>
        <v>0</v>
      </c>
      <c r="D72" s="77">
        <f>IFERROR(SUMIFS('교재재고'!E:E,'교재재고'!B:B,$A72),0)</f>
        <v>0</v>
      </c>
      <c r="E72" s="78">
        <f>IFERROR(SUMIFS('교재재고'!F:F,'교재재고'!B:B,$A72),0)
+IFERROR(SUMIFS('교재재고'!I:I,'교재재고'!B:B,$A72),0)
+IFERROR(SUMIFS('교재재고'!L:L,'교재재고'!B:B,$A72),0)
+IFERROR(SUMIFS('교재재고'!O:O,'교재재고'!B:B,$A72),0)
+IFERROR(SUMIFS('교재재고'!R:R,'교재재고'!B:B,$A72),0)</f>
        <v>4</v>
      </c>
      <c r="F72" s="79">
        <f>IFERROR(SUMIFS('교재재고'!G:G,'교재재고'!B:B,$A72),0)
+IFERROR(SUMIFS('교재재고'!J:J,'교재재고'!B:B,$A72),0)
+IFERROR(SUMIFS('교재재고'!M:M,'교재재고'!B:B,$A72),0)
+IFERROR(SUMIFS('교재재고'!P:P,'교재재고'!B:B,$A72),0)
+IFERROR(SUMIFS('교재재고'!S:S,'교재재고'!B:B,$A72),0)</f>
        <v>0</v>
      </c>
      <c r="G72" s="79">
        <f>IFERROR(SUMIFS('교재재고'!H:H,'교재재고'!B:B,$A72),0)
+IFERROR(SUMIFS('교재재고'!K:K,'교재재고'!B:B,$A72),0)
+IFERROR(SUMIFS('교재재고'!N:N,'교재재고'!B:B,$A72),0)
+IFERROR(SUMIFS('교재재고'!Q:Q,'교재재고'!B:B,$A72),0)
+IFERROR(SUMIFS('교재재고'!T:T,'교재재고'!B:B,$A72),0)</f>
        <v>0</v>
      </c>
      <c r="H72" s="79">
        <f t="shared" si="2"/>
        <v>11</v>
      </c>
      <c r="I72" s="80">
        <f>IFERROR(SUMIFS('배부로그'!G:G,'배부로그'!D:D,$A72,'배부로그'!F:F,"창고"),0)</f>
        <v>3</v>
      </c>
      <c r="J72" s="59">
        <f>IFERROR(SUMIFS('배부로그'!G:G,'배부로그'!D:D,$A72,'배부로그'!F:F,"4층지원실"),0)</f>
        <v>0</v>
      </c>
      <c r="K72" s="59">
        <f>IFERROR(SUMIFS('배부로그'!G:G,'배부로그'!D:D,$A72,'배부로그'!F:F,"8층지원실"),0)</f>
        <v>0</v>
      </c>
      <c r="L72" s="81">
        <f t="shared" si="3"/>
        <v>3</v>
      </c>
      <c r="M72" s="59">
        <f>IFERROR(SUMIFS('회수로그'!H:H,'회수로그'!E:E,$A72,'회수로그'!G:G,"창고"),0)</f>
        <v>0</v>
      </c>
      <c r="N72" s="59">
        <f>IFERROR(SUMIFS('회수로그'!H:H,'회수로그'!E:E,$A72,'회수로그'!G:G,"4층지원실"),0)</f>
        <v>0</v>
      </c>
      <c r="O72" s="59">
        <f>IFERROR(SUMIFS('회수로그'!H:H,'회수로그'!E:E,$A72,'회수로그'!G:G,"8층지원실"),0)</f>
        <v>0</v>
      </c>
      <c r="P72" s="59">
        <f t="shared" si="4"/>
        <v>0</v>
      </c>
      <c r="Q72" s="59">
        <f>IFERROR(SUMIFS('재고이동로그'!F:F,'재고이동로그'!C:C,$A72,'재고이동로그'!D:D,"창고"),0)</f>
        <v>0</v>
      </c>
      <c r="R72" s="59">
        <f>IFERROR(SUMIFS('재고이동로그'!F:F,'재고이동로그'!C:C,$A72,'재고이동로그'!E:E,"4층지원실"),0)</f>
        <v>0</v>
      </c>
      <c r="S72" s="82">
        <f>IFERROR(SUMIFS('재고이동로그'!F:F,'재고이동로그'!C:C,$A72,'재고이동로그'!E:E,"8층지원실"),0)</f>
        <v>0</v>
      </c>
      <c r="T72" s="59">
        <f>IFERROR(SUMIFS('재고이동로그'!F:F,'재고이동로그'!C:C,$A72,'재고이동로그'!E:E,"창고"),0)</f>
        <v>0</v>
      </c>
      <c r="U72" s="59">
        <f>IFERROR(SUMIFS('재고이동로그'!F:F,'재고이동로그'!C:C,$A72,'재고이동로그'!E:E,"4층지원실"),0)</f>
        <v>0</v>
      </c>
      <c r="V72" s="59">
        <f>IFERROR(SUMIFS('재고이동로그'!F:F,'재고이동로그'!C:C,$A72,'재고이동로그'!E:E,"8층지원실"),0)</f>
        <v>0</v>
      </c>
      <c r="W72" s="83">
        <f t="shared" ref="W72:Y72" si="75">B72+E72-I72+M72-Q72+T72</f>
        <v>8</v>
      </c>
      <c r="X72" s="83">
        <f t="shared" si="75"/>
        <v>0</v>
      </c>
      <c r="Y72" s="83">
        <f t="shared" si="75"/>
        <v>0</v>
      </c>
      <c r="Z72" s="84">
        <f t="shared" si="6"/>
        <v>8</v>
      </c>
      <c r="AA72" s="59" t="str">
        <f t="shared" si="7"/>
        <v>부족</v>
      </c>
      <c r="AB72" s="59"/>
      <c r="AC72" s="59"/>
      <c r="AD72" s="59"/>
      <c r="AE72" s="59"/>
      <c r="AF72" s="59"/>
    </row>
    <row r="73" ht="15.75" customHeight="1">
      <c r="A73" s="59" t="str">
        <f>IFERROR(__xludf.DUMMYFUNCTION("""COMPUTED_VALUE"""),"(진명화) 에센스+_수2(피드백)")</f>
        <v>(진명화) 에센스+_수2(피드백)</v>
      </c>
      <c r="B73" s="77">
        <f>IFERROR(SUMIFS('교재재고'!C:C,'교재재고'!B:B,$A73),0)</f>
        <v>3</v>
      </c>
      <c r="C73" s="77">
        <f>IFERROR(SUMIFS('교재재고'!D:D,'교재재고'!B:B,$A73),0)</f>
        <v>0</v>
      </c>
      <c r="D73" s="77">
        <f>IFERROR(SUMIFS('교재재고'!E:E,'교재재고'!B:B,$A73),0)</f>
        <v>0</v>
      </c>
      <c r="E73" s="78">
        <f>IFERROR(SUMIFS('교재재고'!F:F,'교재재고'!B:B,$A73),0)
+IFERROR(SUMIFS('교재재고'!I:I,'교재재고'!B:B,$A73),0)
+IFERROR(SUMIFS('교재재고'!L:L,'교재재고'!B:B,$A73),0)
+IFERROR(SUMIFS('교재재고'!O:O,'교재재고'!B:B,$A73),0)
+IFERROR(SUMIFS('교재재고'!R:R,'교재재고'!B:B,$A73),0)</f>
        <v>4</v>
      </c>
      <c r="F73" s="79">
        <f>IFERROR(SUMIFS('교재재고'!G:G,'교재재고'!B:B,$A73),0)
+IFERROR(SUMIFS('교재재고'!J:J,'교재재고'!B:B,$A73),0)
+IFERROR(SUMIFS('교재재고'!M:M,'교재재고'!B:B,$A73),0)
+IFERROR(SUMIFS('교재재고'!P:P,'교재재고'!B:B,$A73),0)
+IFERROR(SUMIFS('교재재고'!S:S,'교재재고'!B:B,$A73),0)</f>
        <v>0</v>
      </c>
      <c r="G73" s="79">
        <f>IFERROR(SUMIFS('교재재고'!H:H,'교재재고'!B:B,$A73),0)
+IFERROR(SUMIFS('교재재고'!K:K,'교재재고'!B:B,$A73),0)
+IFERROR(SUMIFS('교재재고'!N:N,'교재재고'!B:B,$A73),0)
+IFERROR(SUMIFS('교재재고'!Q:Q,'교재재고'!B:B,$A73),0)
+IFERROR(SUMIFS('교재재고'!T:T,'교재재고'!B:B,$A73),0)</f>
        <v>0</v>
      </c>
      <c r="H73" s="79">
        <f t="shared" si="2"/>
        <v>7</v>
      </c>
      <c r="I73" s="80">
        <f>IFERROR(SUMIFS('배부로그'!G:G,'배부로그'!D:D,$A73,'배부로그'!F:F,"창고"),0)</f>
        <v>3</v>
      </c>
      <c r="J73" s="59">
        <f>IFERROR(SUMIFS('배부로그'!G:G,'배부로그'!D:D,$A73,'배부로그'!F:F,"4층지원실"),0)</f>
        <v>0</v>
      </c>
      <c r="K73" s="59">
        <f>IFERROR(SUMIFS('배부로그'!G:G,'배부로그'!D:D,$A73,'배부로그'!F:F,"8층지원실"),0)</f>
        <v>0</v>
      </c>
      <c r="L73" s="81">
        <f t="shared" si="3"/>
        <v>3</v>
      </c>
      <c r="M73" s="59">
        <f>IFERROR(SUMIFS('회수로그'!H:H,'회수로그'!E:E,$A73,'회수로그'!G:G,"창고"),0)</f>
        <v>0</v>
      </c>
      <c r="N73" s="59">
        <f>IFERROR(SUMIFS('회수로그'!H:H,'회수로그'!E:E,$A73,'회수로그'!G:G,"4층지원실"),0)</f>
        <v>0</v>
      </c>
      <c r="O73" s="59">
        <f>IFERROR(SUMIFS('회수로그'!H:H,'회수로그'!E:E,$A73,'회수로그'!G:G,"8층지원실"),0)</f>
        <v>0</v>
      </c>
      <c r="P73" s="59">
        <f t="shared" si="4"/>
        <v>0</v>
      </c>
      <c r="Q73" s="59">
        <f>IFERROR(SUMIFS('재고이동로그'!F:F,'재고이동로그'!C:C,$A73,'재고이동로그'!D:D,"창고"),0)</f>
        <v>0</v>
      </c>
      <c r="R73" s="59">
        <f>IFERROR(SUMIFS('재고이동로그'!F:F,'재고이동로그'!C:C,$A73,'재고이동로그'!E:E,"4층지원실"),0)</f>
        <v>0</v>
      </c>
      <c r="S73" s="82">
        <f>IFERROR(SUMIFS('재고이동로그'!F:F,'재고이동로그'!C:C,$A73,'재고이동로그'!E:E,"8층지원실"),0)</f>
        <v>0</v>
      </c>
      <c r="T73" s="59">
        <f>IFERROR(SUMIFS('재고이동로그'!F:F,'재고이동로그'!C:C,$A73,'재고이동로그'!E:E,"창고"),0)</f>
        <v>0</v>
      </c>
      <c r="U73" s="59">
        <f>IFERROR(SUMIFS('재고이동로그'!F:F,'재고이동로그'!C:C,$A73,'재고이동로그'!E:E,"4층지원실"),0)</f>
        <v>0</v>
      </c>
      <c r="V73" s="59">
        <f>IFERROR(SUMIFS('재고이동로그'!F:F,'재고이동로그'!C:C,$A73,'재고이동로그'!E:E,"8층지원실"),0)</f>
        <v>0</v>
      </c>
      <c r="W73" s="83">
        <f t="shared" ref="W73:Y73" si="76">B73+E73-I73+M73-Q73+T73</f>
        <v>4</v>
      </c>
      <c r="X73" s="83">
        <f t="shared" si="76"/>
        <v>0</v>
      </c>
      <c r="Y73" s="83">
        <f t="shared" si="76"/>
        <v>0</v>
      </c>
      <c r="Z73" s="84">
        <f t="shared" si="6"/>
        <v>4</v>
      </c>
      <c r="AA73" s="59" t="str">
        <f t="shared" si="7"/>
        <v>부족</v>
      </c>
      <c r="AB73" s="59"/>
      <c r="AC73" s="59"/>
      <c r="AD73" s="59"/>
      <c r="AE73" s="59"/>
      <c r="AF73" s="59"/>
    </row>
    <row r="74" ht="15.75" customHeight="1">
      <c r="A74" s="59" t="str">
        <f>IFERROR(__xludf.DUMMYFUNCTION("""COMPUTED_VALUE"""),"(최성주) 사회문화")</f>
        <v>(최성주) 사회문화</v>
      </c>
      <c r="B74" s="77">
        <f>IFERROR(SUMIFS('교재재고'!C:C,'교재재고'!B:B,$A74),0)</f>
        <v>1</v>
      </c>
      <c r="C74" s="77">
        <f>IFERROR(SUMIFS('교재재고'!D:D,'교재재고'!B:B,$A74),0)</f>
        <v>0</v>
      </c>
      <c r="D74" s="77">
        <f>IFERROR(SUMIFS('교재재고'!E:E,'교재재고'!B:B,$A74),0)</f>
        <v>0</v>
      </c>
      <c r="E74" s="78">
        <f>IFERROR(SUMIFS('교재재고'!F:F,'교재재고'!B:B,$A74),0)
+IFERROR(SUMIFS('교재재고'!I:I,'교재재고'!B:B,$A74),0)
+IFERROR(SUMIFS('교재재고'!L:L,'교재재고'!B:B,$A74),0)
+IFERROR(SUMIFS('교재재고'!O:O,'교재재고'!B:B,$A74),0)
+IFERROR(SUMIFS('교재재고'!R:R,'교재재고'!B:B,$A74),0)</f>
        <v>15</v>
      </c>
      <c r="F74" s="79">
        <f>IFERROR(SUMIFS('교재재고'!G:G,'교재재고'!B:B,$A74),0)
+IFERROR(SUMIFS('교재재고'!J:J,'교재재고'!B:B,$A74),0)
+IFERROR(SUMIFS('교재재고'!M:M,'교재재고'!B:B,$A74),0)
+IFERROR(SUMIFS('교재재고'!P:P,'교재재고'!B:B,$A74),0)
+IFERROR(SUMIFS('교재재고'!S:S,'교재재고'!B:B,$A74),0)</f>
        <v>0</v>
      </c>
      <c r="G74" s="79">
        <f>IFERROR(SUMIFS('교재재고'!H:H,'교재재고'!B:B,$A74),0)
+IFERROR(SUMIFS('교재재고'!K:K,'교재재고'!B:B,$A74),0)
+IFERROR(SUMIFS('교재재고'!N:N,'교재재고'!B:B,$A74),0)
+IFERROR(SUMIFS('교재재고'!Q:Q,'교재재고'!B:B,$A74),0)
+IFERROR(SUMIFS('교재재고'!T:T,'교재재고'!B:B,$A74),0)</f>
        <v>0</v>
      </c>
      <c r="H74" s="79">
        <f t="shared" si="2"/>
        <v>16</v>
      </c>
      <c r="I74" s="80">
        <f>IFERROR(SUMIFS('배부로그'!G:G,'배부로그'!D:D,$A74,'배부로그'!F:F,"창고"),0)</f>
        <v>1</v>
      </c>
      <c r="J74" s="59">
        <f>IFERROR(SUMIFS('배부로그'!G:G,'배부로그'!D:D,$A74,'배부로그'!F:F,"4층지원실"),0)</f>
        <v>0</v>
      </c>
      <c r="K74" s="59">
        <f>IFERROR(SUMIFS('배부로그'!G:G,'배부로그'!D:D,$A74,'배부로그'!F:F,"8층지원실"),0)</f>
        <v>0</v>
      </c>
      <c r="L74" s="81">
        <f t="shared" si="3"/>
        <v>1</v>
      </c>
      <c r="M74" s="59">
        <f>IFERROR(SUMIFS('회수로그'!H:H,'회수로그'!E:E,$A74,'회수로그'!G:G,"창고"),0)</f>
        <v>0</v>
      </c>
      <c r="N74" s="59">
        <f>IFERROR(SUMIFS('회수로그'!H:H,'회수로그'!E:E,$A74,'회수로그'!G:G,"4층지원실"),0)</f>
        <v>0</v>
      </c>
      <c r="O74" s="59">
        <f>IFERROR(SUMIFS('회수로그'!H:H,'회수로그'!E:E,$A74,'회수로그'!G:G,"8층지원실"),0)</f>
        <v>0</v>
      </c>
      <c r="P74" s="59">
        <f t="shared" si="4"/>
        <v>0</v>
      </c>
      <c r="Q74" s="59">
        <f>IFERROR(SUMIFS('재고이동로그'!F:F,'재고이동로그'!C:C,$A74,'재고이동로그'!D:D,"창고"),0)</f>
        <v>0</v>
      </c>
      <c r="R74" s="59">
        <f>IFERROR(SUMIFS('재고이동로그'!F:F,'재고이동로그'!C:C,$A74,'재고이동로그'!E:E,"4층지원실"),0)</f>
        <v>0</v>
      </c>
      <c r="S74" s="82">
        <f>IFERROR(SUMIFS('재고이동로그'!F:F,'재고이동로그'!C:C,$A74,'재고이동로그'!E:E,"8층지원실"),0)</f>
        <v>0</v>
      </c>
      <c r="T74" s="59">
        <f>IFERROR(SUMIFS('재고이동로그'!F:F,'재고이동로그'!C:C,$A74,'재고이동로그'!E:E,"창고"),0)</f>
        <v>0</v>
      </c>
      <c r="U74" s="59">
        <f>IFERROR(SUMIFS('재고이동로그'!F:F,'재고이동로그'!C:C,$A74,'재고이동로그'!E:E,"4층지원실"),0)</f>
        <v>0</v>
      </c>
      <c r="V74" s="59">
        <f>IFERROR(SUMIFS('재고이동로그'!F:F,'재고이동로그'!C:C,$A74,'재고이동로그'!E:E,"8층지원실"),0)</f>
        <v>0</v>
      </c>
      <c r="W74" s="83">
        <f t="shared" ref="W74:Y74" si="77">B74+E74-I74+M74-Q74+T74</f>
        <v>15</v>
      </c>
      <c r="X74" s="83">
        <f t="shared" si="77"/>
        <v>0</v>
      </c>
      <c r="Y74" s="83">
        <f t="shared" si="77"/>
        <v>0</v>
      </c>
      <c r="Z74" s="84">
        <f t="shared" si="6"/>
        <v>15</v>
      </c>
      <c r="AA74" s="59" t="str">
        <f t="shared" si="7"/>
        <v>부족</v>
      </c>
      <c r="AB74" s="59"/>
      <c r="AC74" s="59"/>
      <c r="AD74" s="59"/>
      <c r="AE74" s="59"/>
      <c r="AF74" s="59"/>
    </row>
    <row r="75" ht="15.75" customHeight="1">
      <c r="A75" s="59" t="str">
        <f>IFERROR(__xludf.DUMMYFUNCTION("""COMPUTED_VALUE"""),"(한진구) 생활과 윤리")</f>
        <v>(한진구) 생활과 윤리</v>
      </c>
      <c r="B75" s="77">
        <f>IFERROR(SUMIFS('교재재고'!C:C,'교재재고'!B:B,$A75),0)</f>
        <v>1</v>
      </c>
      <c r="C75" s="77">
        <f>IFERROR(SUMIFS('교재재고'!D:D,'교재재고'!B:B,$A75),0)</f>
        <v>0</v>
      </c>
      <c r="D75" s="77">
        <f>IFERROR(SUMIFS('교재재고'!E:E,'교재재고'!B:B,$A75),0)</f>
        <v>0</v>
      </c>
      <c r="E75" s="78">
        <f>IFERROR(SUMIFS('교재재고'!F:F,'교재재고'!B:B,$A75),0)
+IFERROR(SUMIFS('교재재고'!I:I,'교재재고'!B:B,$A75),0)
+IFERROR(SUMIFS('교재재고'!L:L,'교재재고'!B:B,$A75),0)
+IFERROR(SUMIFS('교재재고'!O:O,'교재재고'!B:B,$A75),0)
+IFERROR(SUMIFS('교재재고'!R:R,'교재재고'!B:B,$A75),0)</f>
        <v>10</v>
      </c>
      <c r="F75" s="79">
        <f>IFERROR(SUMIFS('교재재고'!G:G,'교재재고'!B:B,$A75),0)
+IFERROR(SUMIFS('교재재고'!J:J,'교재재고'!B:B,$A75),0)
+IFERROR(SUMIFS('교재재고'!M:M,'교재재고'!B:B,$A75),0)
+IFERROR(SUMIFS('교재재고'!P:P,'교재재고'!B:B,$A75),0)
+IFERROR(SUMIFS('교재재고'!S:S,'교재재고'!B:B,$A75),0)</f>
        <v>0</v>
      </c>
      <c r="G75" s="79">
        <f>IFERROR(SUMIFS('교재재고'!H:H,'교재재고'!B:B,$A75),0)
+IFERROR(SUMIFS('교재재고'!K:K,'교재재고'!B:B,$A75),0)
+IFERROR(SUMIFS('교재재고'!N:N,'교재재고'!B:B,$A75),0)
+IFERROR(SUMIFS('교재재고'!Q:Q,'교재재고'!B:B,$A75),0)
+IFERROR(SUMIFS('교재재고'!T:T,'교재재고'!B:B,$A75),0)</f>
        <v>0</v>
      </c>
      <c r="H75" s="79">
        <f t="shared" si="2"/>
        <v>11</v>
      </c>
      <c r="I75" s="80">
        <f>IFERROR(SUMIFS('배부로그'!G:G,'배부로그'!D:D,$A75,'배부로그'!F:F,"창고"),0)</f>
        <v>2</v>
      </c>
      <c r="J75" s="59">
        <f>IFERROR(SUMIFS('배부로그'!G:G,'배부로그'!D:D,$A75,'배부로그'!F:F,"4층지원실"),0)</f>
        <v>0</v>
      </c>
      <c r="K75" s="59">
        <f>IFERROR(SUMIFS('배부로그'!G:G,'배부로그'!D:D,$A75,'배부로그'!F:F,"8층지원실"),0)</f>
        <v>0</v>
      </c>
      <c r="L75" s="81">
        <f t="shared" si="3"/>
        <v>2</v>
      </c>
      <c r="M75" s="59">
        <f>IFERROR(SUMIFS('회수로그'!H:H,'회수로그'!E:E,$A75,'회수로그'!G:G,"창고"),0)</f>
        <v>0</v>
      </c>
      <c r="N75" s="59">
        <f>IFERROR(SUMIFS('회수로그'!H:H,'회수로그'!E:E,$A75,'회수로그'!G:G,"4층지원실"),0)</f>
        <v>0</v>
      </c>
      <c r="O75" s="59">
        <f>IFERROR(SUMIFS('회수로그'!H:H,'회수로그'!E:E,$A75,'회수로그'!G:G,"8층지원실"),0)</f>
        <v>0</v>
      </c>
      <c r="P75" s="59">
        <f t="shared" si="4"/>
        <v>0</v>
      </c>
      <c r="Q75" s="59">
        <f>IFERROR(SUMIFS('재고이동로그'!F:F,'재고이동로그'!C:C,$A75,'재고이동로그'!D:D,"창고"),0)</f>
        <v>0</v>
      </c>
      <c r="R75" s="59">
        <f>IFERROR(SUMIFS('재고이동로그'!F:F,'재고이동로그'!C:C,$A75,'재고이동로그'!E:E,"4층지원실"),0)</f>
        <v>0</v>
      </c>
      <c r="S75" s="82">
        <f>IFERROR(SUMIFS('재고이동로그'!F:F,'재고이동로그'!C:C,$A75,'재고이동로그'!E:E,"8층지원실"),0)</f>
        <v>0</v>
      </c>
      <c r="T75" s="59">
        <f>IFERROR(SUMIFS('재고이동로그'!F:F,'재고이동로그'!C:C,$A75,'재고이동로그'!E:E,"창고"),0)</f>
        <v>0</v>
      </c>
      <c r="U75" s="59">
        <f>IFERROR(SUMIFS('재고이동로그'!F:F,'재고이동로그'!C:C,$A75,'재고이동로그'!E:E,"4층지원실"),0)</f>
        <v>0</v>
      </c>
      <c r="V75" s="59">
        <f>IFERROR(SUMIFS('재고이동로그'!F:F,'재고이동로그'!C:C,$A75,'재고이동로그'!E:E,"8층지원실"),0)</f>
        <v>0</v>
      </c>
      <c r="W75" s="83">
        <f t="shared" ref="W75:Y75" si="78">B75+E75-I75+M75-Q75+T75</f>
        <v>9</v>
      </c>
      <c r="X75" s="83">
        <f t="shared" si="78"/>
        <v>0</v>
      </c>
      <c r="Y75" s="83">
        <f t="shared" si="78"/>
        <v>0</v>
      </c>
      <c r="Z75" s="84">
        <f t="shared" si="6"/>
        <v>9</v>
      </c>
      <c r="AA75" s="59" t="str">
        <f t="shared" si="7"/>
        <v>부족</v>
      </c>
      <c r="AB75" s="59"/>
      <c r="AC75" s="59"/>
      <c r="AD75" s="59"/>
      <c r="AE75" s="59"/>
      <c r="AF75" s="59"/>
    </row>
    <row r="76" ht="15.75" customHeight="1">
      <c r="A76" s="59" t="str">
        <f>IFERROR(__xludf.DUMMYFUNCTION("""COMPUTED_VALUE"""),"(한진구) 윤리와 사상")</f>
        <v>(한진구) 윤리와 사상</v>
      </c>
      <c r="B76" s="77">
        <f>IFERROR(SUMIFS('교재재고'!C:C,'교재재고'!B:B,$A76),0)</f>
        <v>5</v>
      </c>
      <c r="C76" s="77">
        <f>IFERROR(SUMIFS('교재재고'!D:D,'교재재고'!B:B,$A76),0)</f>
        <v>0</v>
      </c>
      <c r="D76" s="77">
        <f>IFERROR(SUMIFS('교재재고'!E:E,'교재재고'!B:B,$A76),0)</f>
        <v>0</v>
      </c>
      <c r="E76" s="78">
        <f>IFERROR(SUMIFS('교재재고'!F:F,'교재재고'!B:B,$A76),0)
+IFERROR(SUMIFS('교재재고'!I:I,'교재재고'!B:B,$A76),0)
+IFERROR(SUMIFS('교재재고'!L:L,'교재재고'!B:B,$A76),0)
+IFERROR(SUMIFS('교재재고'!O:O,'교재재고'!B:B,$A76),0)
+IFERROR(SUMIFS('교재재고'!R:R,'교재재고'!B:B,$A76),0)</f>
        <v>0</v>
      </c>
      <c r="F76" s="79">
        <f>IFERROR(SUMIFS('교재재고'!G:G,'교재재고'!B:B,$A76),0)
+IFERROR(SUMIFS('교재재고'!J:J,'교재재고'!B:B,$A76),0)
+IFERROR(SUMIFS('교재재고'!M:M,'교재재고'!B:B,$A76),0)
+IFERROR(SUMIFS('교재재고'!P:P,'교재재고'!B:B,$A76),0)
+IFERROR(SUMIFS('교재재고'!S:S,'교재재고'!B:B,$A76),0)</f>
        <v>0</v>
      </c>
      <c r="G76" s="79">
        <f>IFERROR(SUMIFS('교재재고'!H:H,'교재재고'!B:B,$A76),0)
+IFERROR(SUMIFS('교재재고'!K:K,'교재재고'!B:B,$A76),0)
+IFERROR(SUMIFS('교재재고'!N:N,'교재재고'!B:B,$A76),0)
+IFERROR(SUMIFS('교재재고'!Q:Q,'교재재고'!B:B,$A76),0)
+IFERROR(SUMIFS('교재재고'!T:T,'교재재고'!B:B,$A76),0)</f>
        <v>0</v>
      </c>
      <c r="H76" s="79">
        <f t="shared" si="2"/>
        <v>5</v>
      </c>
      <c r="I76" s="80">
        <f>IFERROR(SUMIFS('배부로그'!G:G,'배부로그'!D:D,$A76,'배부로그'!F:F,"창고"),0)</f>
        <v>1</v>
      </c>
      <c r="J76" s="59">
        <f>IFERROR(SUMIFS('배부로그'!G:G,'배부로그'!D:D,$A76,'배부로그'!F:F,"4층지원실"),0)</f>
        <v>0</v>
      </c>
      <c r="K76" s="59">
        <f>IFERROR(SUMIFS('배부로그'!G:G,'배부로그'!D:D,$A76,'배부로그'!F:F,"8층지원실"),0)</f>
        <v>0</v>
      </c>
      <c r="L76" s="81">
        <f t="shared" si="3"/>
        <v>1</v>
      </c>
      <c r="M76" s="59">
        <f>IFERROR(SUMIFS('회수로그'!H:H,'회수로그'!E:E,$A76,'회수로그'!G:G,"창고"),0)</f>
        <v>0</v>
      </c>
      <c r="N76" s="59">
        <f>IFERROR(SUMIFS('회수로그'!H:H,'회수로그'!E:E,$A76,'회수로그'!G:G,"4층지원실"),0)</f>
        <v>0</v>
      </c>
      <c r="O76" s="59">
        <f>IFERROR(SUMIFS('회수로그'!H:H,'회수로그'!E:E,$A76,'회수로그'!G:G,"8층지원실"),0)</f>
        <v>0</v>
      </c>
      <c r="P76" s="59">
        <f t="shared" si="4"/>
        <v>0</v>
      </c>
      <c r="Q76" s="59">
        <f>IFERROR(SUMIFS('재고이동로그'!F:F,'재고이동로그'!C:C,$A76,'재고이동로그'!D:D,"창고"),0)</f>
        <v>0</v>
      </c>
      <c r="R76" s="59">
        <f>IFERROR(SUMIFS('재고이동로그'!F:F,'재고이동로그'!C:C,$A76,'재고이동로그'!E:E,"4층지원실"),0)</f>
        <v>0</v>
      </c>
      <c r="S76" s="82">
        <f>IFERROR(SUMIFS('재고이동로그'!F:F,'재고이동로그'!C:C,$A76,'재고이동로그'!E:E,"8층지원실"),0)</f>
        <v>0</v>
      </c>
      <c r="T76" s="59">
        <f>IFERROR(SUMIFS('재고이동로그'!F:F,'재고이동로그'!C:C,$A76,'재고이동로그'!E:E,"창고"),0)</f>
        <v>0</v>
      </c>
      <c r="U76" s="59">
        <f>IFERROR(SUMIFS('재고이동로그'!F:F,'재고이동로그'!C:C,$A76,'재고이동로그'!E:E,"4층지원실"),0)</f>
        <v>0</v>
      </c>
      <c r="V76" s="59">
        <f>IFERROR(SUMIFS('재고이동로그'!F:F,'재고이동로그'!C:C,$A76,'재고이동로그'!E:E,"8층지원실"),0)</f>
        <v>0</v>
      </c>
      <c r="W76" s="83">
        <f t="shared" ref="W76:Y76" si="79">B76+E76-I76+M76-Q76+T76</f>
        <v>4</v>
      </c>
      <c r="X76" s="83">
        <f t="shared" si="79"/>
        <v>0</v>
      </c>
      <c r="Y76" s="83">
        <f t="shared" si="79"/>
        <v>0</v>
      </c>
      <c r="Z76" s="84">
        <f t="shared" si="6"/>
        <v>4</v>
      </c>
      <c r="AA76" s="59" t="str">
        <f t="shared" si="7"/>
        <v>부족</v>
      </c>
      <c r="AB76" s="59"/>
      <c r="AC76" s="59"/>
      <c r="AD76" s="59"/>
      <c r="AE76" s="59"/>
      <c r="AF76" s="59"/>
    </row>
    <row r="77" ht="15.75" customHeight="1">
      <c r="A77" s="59" t="str">
        <f>IFERROR(__xludf.DUMMYFUNCTION("""COMPUTED_VALUE"""),"TEST 교재1")</f>
        <v>TEST 교재1</v>
      </c>
      <c r="B77" s="77">
        <f>IFERROR(SUMIFS('교재재고'!C:C,'교재재고'!B:B,$A77),0)</f>
        <v>10</v>
      </c>
      <c r="C77" s="77">
        <f>IFERROR(SUMIFS('교재재고'!D:D,'교재재고'!B:B,$A77),0)</f>
        <v>0</v>
      </c>
      <c r="D77" s="77">
        <f>IFERROR(SUMIFS('교재재고'!E:E,'교재재고'!B:B,$A77),0)</f>
        <v>0</v>
      </c>
      <c r="E77" s="78">
        <f>IFERROR(SUMIFS('교재재고'!F:F,'교재재고'!B:B,$A77),0)
+IFERROR(SUMIFS('교재재고'!I:I,'교재재고'!B:B,$A77),0)
+IFERROR(SUMIFS('교재재고'!L:L,'교재재고'!B:B,$A77),0)
+IFERROR(SUMIFS('교재재고'!O:O,'교재재고'!B:B,$A77),0)
+IFERROR(SUMIFS('교재재고'!R:R,'교재재고'!B:B,$A77),0)</f>
        <v>5</v>
      </c>
      <c r="F77" s="79">
        <f>IFERROR(SUMIFS('교재재고'!G:G,'교재재고'!B:B,$A77),0)
+IFERROR(SUMIFS('교재재고'!J:J,'교재재고'!B:B,$A77),0)
+IFERROR(SUMIFS('교재재고'!M:M,'교재재고'!B:B,$A77),0)
+IFERROR(SUMIFS('교재재고'!P:P,'교재재고'!B:B,$A77),0)
+IFERROR(SUMIFS('교재재고'!S:S,'교재재고'!B:B,$A77),0)</f>
        <v>0</v>
      </c>
      <c r="G77" s="79">
        <f>IFERROR(SUMIFS('교재재고'!H:H,'교재재고'!B:B,$A77),0)
+IFERROR(SUMIFS('교재재고'!K:K,'교재재고'!B:B,$A77),0)
+IFERROR(SUMIFS('교재재고'!N:N,'교재재고'!B:B,$A77),0)
+IFERROR(SUMIFS('교재재고'!Q:Q,'교재재고'!B:B,$A77),0)
+IFERROR(SUMIFS('교재재고'!T:T,'교재재고'!B:B,$A77),0)</f>
        <v>0</v>
      </c>
      <c r="H77" s="79">
        <f t="shared" si="2"/>
        <v>15</v>
      </c>
      <c r="I77" s="80">
        <f>IFERROR(SUMIFS('배부로그'!G:G,'배부로그'!D:D,$A77,'배부로그'!F:F,"창고"),0)</f>
        <v>10</v>
      </c>
      <c r="J77" s="59">
        <f>IFERROR(SUMIFS('배부로그'!G:G,'배부로그'!D:D,$A77,'배부로그'!F:F,"4층지원실"),0)</f>
        <v>0</v>
      </c>
      <c r="K77" s="59">
        <f>IFERROR(SUMIFS('배부로그'!G:G,'배부로그'!D:D,$A77,'배부로그'!F:F,"8층지원실"),0)</f>
        <v>0</v>
      </c>
      <c r="L77" s="81">
        <f t="shared" si="3"/>
        <v>10</v>
      </c>
      <c r="M77" s="59">
        <f>IFERROR(SUMIFS('회수로그'!H:H,'회수로그'!E:E,$A77,'회수로그'!G:G,"창고"),0)</f>
        <v>4</v>
      </c>
      <c r="N77" s="59">
        <f>IFERROR(SUMIFS('회수로그'!H:H,'회수로그'!E:E,$A77,'회수로그'!G:G,"4층지원실"),0)</f>
        <v>0</v>
      </c>
      <c r="O77" s="59">
        <f>IFERROR(SUMIFS('회수로그'!H:H,'회수로그'!E:E,$A77,'회수로그'!G:G,"8층지원실"),0)</f>
        <v>0</v>
      </c>
      <c r="P77" s="59">
        <f t="shared" si="4"/>
        <v>4</v>
      </c>
      <c r="Q77" s="59">
        <f>IFERROR(SUMIFS('재고이동로그'!F:F,'재고이동로그'!C:C,$A77,'재고이동로그'!D:D,"창고"),0)</f>
        <v>0</v>
      </c>
      <c r="R77" s="59">
        <f>IFERROR(SUMIFS('재고이동로그'!F:F,'재고이동로그'!C:C,$A77,'재고이동로그'!E:E,"4층지원실"),0)</f>
        <v>0</v>
      </c>
      <c r="S77" s="82">
        <f>IFERROR(SUMIFS('재고이동로그'!F:F,'재고이동로그'!C:C,$A77,'재고이동로그'!E:E,"8층지원실"),0)</f>
        <v>0</v>
      </c>
      <c r="T77" s="59">
        <f>IFERROR(SUMIFS('재고이동로그'!F:F,'재고이동로그'!C:C,$A77,'재고이동로그'!E:E,"창고"),0)</f>
        <v>0</v>
      </c>
      <c r="U77" s="59">
        <f>IFERROR(SUMIFS('재고이동로그'!F:F,'재고이동로그'!C:C,$A77,'재고이동로그'!E:E,"4층지원실"),0)</f>
        <v>0</v>
      </c>
      <c r="V77" s="59">
        <f>IFERROR(SUMIFS('재고이동로그'!F:F,'재고이동로그'!C:C,$A77,'재고이동로그'!E:E,"8층지원실"),0)</f>
        <v>0</v>
      </c>
      <c r="W77" s="83">
        <f t="shared" ref="W77:Y77" si="80">B77+E77-I77+M77-Q77+T77</f>
        <v>9</v>
      </c>
      <c r="X77" s="83">
        <f t="shared" si="80"/>
        <v>0</v>
      </c>
      <c r="Y77" s="83">
        <f t="shared" si="80"/>
        <v>0</v>
      </c>
      <c r="Z77" s="84">
        <f t="shared" si="6"/>
        <v>9</v>
      </c>
      <c r="AA77" s="59" t="str">
        <f t="shared" si="7"/>
        <v>부족</v>
      </c>
      <c r="AB77" s="59"/>
      <c r="AC77" s="59"/>
      <c r="AD77" s="59"/>
      <c r="AE77" s="59"/>
      <c r="AF77" s="59"/>
    </row>
    <row r="78" ht="15.75" customHeight="1">
      <c r="A78" s="59"/>
      <c r="B78" s="77">
        <f>IFERROR(SUMIFS('교재재고'!C:C,'교재재고'!B:B,$A78),0)</f>
        <v>0</v>
      </c>
      <c r="C78" s="77">
        <f>IFERROR(SUMIFS('교재재고'!D:D,'교재재고'!B:B,$A78),0)</f>
        <v>0</v>
      </c>
      <c r="D78" s="77">
        <f>IFERROR(SUMIFS('교재재고'!E:E,'교재재고'!B:B,$A78),0)</f>
        <v>0</v>
      </c>
      <c r="E78" s="78">
        <f>IFERROR(SUMIFS('교재재고'!F:F,'교재재고'!B:B,$A78),0)
+IFERROR(SUMIFS('교재재고'!I:I,'교재재고'!B:B,$A78),0)
+IFERROR(SUMIFS('교재재고'!L:L,'교재재고'!B:B,$A78),0)
+IFERROR(SUMIFS('교재재고'!O:O,'교재재고'!B:B,$A78),0)
+IFERROR(SUMIFS('교재재고'!R:R,'교재재고'!B:B,$A78),0)</f>
        <v>0</v>
      </c>
      <c r="F78" s="79">
        <f>IFERROR(SUMIFS('교재재고'!G:G,'교재재고'!B:B,$A78),0)
+IFERROR(SUMIFS('교재재고'!J:J,'교재재고'!B:B,$A78),0)
+IFERROR(SUMIFS('교재재고'!M:M,'교재재고'!B:B,$A78),0)
+IFERROR(SUMIFS('교재재고'!P:P,'교재재고'!B:B,$A78),0)
+IFERROR(SUMIFS('교재재고'!S:S,'교재재고'!B:B,$A78),0)</f>
        <v>0</v>
      </c>
      <c r="G78" s="79">
        <f>IFERROR(SUMIFS('교재재고'!H:H,'교재재고'!B:B,$A78),0)
+IFERROR(SUMIFS('교재재고'!K:K,'교재재고'!B:B,$A78),0)
+IFERROR(SUMIFS('교재재고'!N:N,'교재재고'!B:B,$A78),0)
+IFERROR(SUMIFS('교재재고'!Q:Q,'교재재고'!B:B,$A78),0)
+IFERROR(SUMIFS('교재재고'!T:T,'교재재고'!B:B,$A78),0)</f>
        <v>0</v>
      </c>
      <c r="H78" s="79">
        <f t="shared" si="2"/>
        <v>0</v>
      </c>
      <c r="I78" s="80">
        <f>IFERROR(SUMIFS('배부로그'!G:G,'배부로그'!D:D,$A78,'배부로그'!F:F,"창고"),0)</f>
        <v>0</v>
      </c>
      <c r="J78" s="59">
        <f>IFERROR(SUMIFS('배부로그'!G:G,'배부로그'!D:D,$A78,'배부로그'!F:F,"4층지원실"),0)</f>
        <v>0</v>
      </c>
      <c r="K78" s="59">
        <f>IFERROR(SUMIFS('배부로그'!G:G,'배부로그'!D:D,$A78,'배부로그'!F:F,"8층지원실"),0)</f>
        <v>0</v>
      </c>
      <c r="L78" s="81">
        <f t="shared" si="3"/>
        <v>0</v>
      </c>
      <c r="M78" s="59">
        <f>IFERROR(SUMIFS('회수로그'!H:H,'회수로그'!E:E,$A78,'회수로그'!G:G,"창고"),0)</f>
        <v>0</v>
      </c>
      <c r="N78" s="59">
        <f>IFERROR(SUMIFS('회수로그'!H:H,'회수로그'!E:E,$A78,'회수로그'!G:G,"4층지원실"),0)</f>
        <v>0</v>
      </c>
      <c r="O78" s="59">
        <f>IFERROR(SUMIFS('회수로그'!H:H,'회수로그'!E:E,$A78,'회수로그'!G:G,"8층지원실"),0)</f>
        <v>0</v>
      </c>
      <c r="P78" s="59">
        <f t="shared" si="4"/>
        <v>0</v>
      </c>
      <c r="Q78" s="59">
        <f>IFERROR(SUMIFS('재고이동로그'!F:F,'재고이동로그'!C:C,$A78,'재고이동로그'!D:D,"창고"),0)</f>
        <v>0</v>
      </c>
      <c r="R78" s="59">
        <f>IFERROR(SUMIFS('재고이동로그'!F:F,'재고이동로그'!C:C,$A78,'재고이동로그'!E:E,"4층지원실"),0)</f>
        <v>0</v>
      </c>
      <c r="S78" s="82">
        <f>IFERROR(SUMIFS('재고이동로그'!F:F,'재고이동로그'!C:C,$A78,'재고이동로그'!E:E,"8층지원실"),0)</f>
        <v>0</v>
      </c>
      <c r="T78" s="59">
        <f>IFERROR(SUMIFS('재고이동로그'!F:F,'재고이동로그'!C:C,$A78,'재고이동로그'!E:E,"창고"),0)</f>
        <v>0</v>
      </c>
      <c r="U78" s="59">
        <f>IFERROR(SUMIFS('재고이동로그'!F:F,'재고이동로그'!C:C,$A78,'재고이동로그'!E:E,"4층지원실"),0)</f>
        <v>0</v>
      </c>
      <c r="V78" s="59">
        <f>IFERROR(SUMIFS('재고이동로그'!F:F,'재고이동로그'!C:C,$A78,'재고이동로그'!E:E,"8층지원실"),0)</f>
        <v>0</v>
      </c>
      <c r="W78" s="83">
        <f t="shared" ref="W78:Y78" si="81">B78+E78-I78+M78-Q78+T78</f>
        <v>0</v>
      </c>
      <c r="X78" s="83">
        <f t="shared" si="81"/>
        <v>0</v>
      </c>
      <c r="Y78" s="83">
        <f t="shared" si="81"/>
        <v>0</v>
      </c>
      <c r="Z78" s="84">
        <f t="shared" si="6"/>
        <v>0</v>
      </c>
      <c r="AA78" s="59" t="str">
        <f t="shared" si="7"/>
        <v>부족</v>
      </c>
      <c r="AB78" s="59"/>
      <c r="AC78" s="59"/>
      <c r="AD78" s="59"/>
      <c r="AE78" s="59"/>
      <c r="AF78" s="59"/>
    </row>
    <row r="79" ht="15.75" customHeight="1">
      <c r="A79" s="59"/>
      <c r="B79" s="77">
        <f>IFERROR(SUMIFS('교재재고'!C:C,'교재재고'!B:B,$A79),0)</f>
        <v>0</v>
      </c>
      <c r="C79" s="77">
        <f>IFERROR(SUMIFS('교재재고'!D:D,'교재재고'!B:B,$A79),0)</f>
        <v>0</v>
      </c>
      <c r="D79" s="77">
        <f>IFERROR(SUMIFS('교재재고'!E:E,'교재재고'!B:B,$A79),0)</f>
        <v>0</v>
      </c>
      <c r="E79" s="78">
        <f>IFERROR(SUMIFS('교재재고'!F:F,'교재재고'!B:B,$A79),0)
+IFERROR(SUMIFS('교재재고'!I:I,'교재재고'!B:B,$A79),0)
+IFERROR(SUMIFS('교재재고'!L:L,'교재재고'!B:B,$A79),0)
+IFERROR(SUMIFS('교재재고'!O:O,'교재재고'!B:B,$A79),0)
+IFERROR(SUMIFS('교재재고'!R:R,'교재재고'!B:B,$A79),0)</f>
        <v>0</v>
      </c>
      <c r="F79" s="79">
        <f>IFERROR(SUMIFS('교재재고'!G:G,'교재재고'!B:B,$A79),0)
+IFERROR(SUMIFS('교재재고'!J:J,'교재재고'!B:B,$A79),0)
+IFERROR(SUMIFS('교재재고'!M:M,'교재재고'!B:B,$A79),0)
+IFERROR(SUMIFS('교재재고'!P:P,'교재재고'!B:B,$A79),0)
+IFERROR(SUMIFS('교재재고'!S:S,'교재재고'!B:B,$A79),0)</f>
        <v>0</v>
      </c>
      <c r="G79" s="79">
        <f>IFERROR(SUMIFS('교재재고'!H:H,'교재재고'!B:B,$A79),0)
+IFERROR(SUMIFS('교재재고'!K:K,'교재재고'!B:B,$A79),0)
+IFERROR(SUMIFS('교재재고'!N:N,'교재재고'!B:B,$A79),0)
+IFERROR(SUMIFS('교재재고'!Q:Q,'교재재고'!B:B,$A79),0)
+IFERROR(SUMIFS('교재재고'!T:T,'교재재고'!B:B,$A79),0)</f>
        <v>0</v>
      </c>
      <c r="H79" s="79">
        <f t="shared" si="2"/>
        <v>0</v>
      </c>
      <c r="I79" s="80">
        <f>IFERROR(SUMIFS('배부로그'!G:G,'배부로그'!D:D,$A79,'배부로그'!F:F,"창고"),0)</f>
        <v>0</v>
      </c>
      <c r="J79" s="59">
        <f>IFERROR(SUMIFS('배부로그'!G:G,'배부로그'!D:D,$A79,'배부로그'!F:F,"4층지원실"),0)</f>
        <v>0</v>
      </c>
      <c r="K79" s="59">
        <f>IFERROR(SUMIFS('배부로그'!G:G,'배부로그'!D:D,$A79,'배부로그'!F:F,"8층지원실"),0)</f>
        <v>0</v>
      </c>
      <c r="L79" s="81">
        <f t="shared" si="3"/>
        <v>0</v>
      </c>
      <c r="M79" s="59">
        <f>IFERROR(SUMIFS('회수로그'!H:H,'회수로그'!E:E,$A79,'회수로그'!G:G,"창고"),0)</f>
        <v>0</v>
      </c>
      <c r="N79" s="59">
        <f>IFERROR(SUMIFS('회수로그'!H:H,'회수로그'!E:E,$A79,'회수로그'!G:G,"4층지원실"),0)</f>
        <v>0</v>
      </c>
      <c r="O79" s="59">
        <f>IFERROR(SUMIFS('회수로그'!H:H,'회수로그'!E:E,$A79,'회수로그'!G:G,"8층지원실"),0)</f>
        <v>0</v>
      </c>
      <c r="P79" s="59">
        <f t="shared" si="4"/>
        <v>0</v>
      </c>
      <c r="Q79" s="59">
        <f>IFERROR(SUMIFS('재고이동로그'!F:F,'재고이동로그'!C:C,$A79,'재고이동로그'!D:D,"창고"),0)</f>
        <v>0</v>
      </c>
      <c r="R79" s="59">
        <f>IFERROR(SUMIFS('재고이동로그'!F:F,'재고이동로그'!C:C,$A79,'재고이동로그'!E:E,"4층지원실"),0)</f>
        <v>0</v>
      </c>
      <c r="S79" s="82">
        <f>IFERROR(SUMIFS('재고이동로그'!F:F,'재고이동로그'!C:C,$A79,'재고이동로그'!E:E,"8층지원실"),0)</f>
        <v>0</v>
      </c>
      <c r="T79" s="59">
        <f>IFERROR(SUMIFS('재고이동로그'!F:F,'재고이동로그'!C:C,$A79,'재고이동로그'!E:E,"창고"),0)</f>
        <v>0</v>
      </c>
      <c r="U79" s="59">
        <f>IFERROR(SUMIFS('재고이동로그'!F:F,'재고이동로그'!C:C,$A79,'재고이동로그'!E:E,"4층지원실"),0)</f>
        <v>0</v>
      </c>
      <c r="V79" s="59">
        <f>IFERROR(SUMIFS('재고이동로그'!F:F,'재고이동로그'!C:C,$A79,'재고이동로그'!E:E,"8층지원실"),0)</f>
        <v>0</v>
      </c>
      <c r="W79" s="83">
        <f t="shared" ref="W79:Y79" si="82">B79+E79-I79+M79-Q79+T79</f>
        <v>0</v>
      </c>
      <c r="X79" s="83">
        <f t="shared" si="82"/>
        <v>0</v>
      </c>
      <c r="Y79" s="83">
        <f t="shared" si="82"/>
        <v>0</v>
      </c>
      <c r="Z79" s="84">
        <f t="shared" si="6"/>
        <v>0</v>
      </c>
      <c r="AA79" s="59" t="str">
        <f t="shared" si="7"/>
        <v>부족</v>
      </c>
      <c r="AB79" s="59"/>
      <c r="AC79" s="59"/>
      <c r="AD79" s="59"/>
      <c r="AE79" s="59"/>
      <c r="AF79" s="59"/>
    </row>
    <row r="80" ht="15.75" customHeight="1">
      <c r="A80" s="59"/>
      <c r="B80" s="77">
        <f>IFERROR(SUMIFS('교재재고'!C:C,'교재재고'!B:B,$A80),0)</f>
        <v>0</v>
      </c>
      <c r="C80" s="77">
        <f>IFERROR(SUMIFS('교재재고'!D:D,'교재재고'!B:B,$A80),0)</f>
        <v>0</v>
      </c>
      <c r="D80" s="77">
        <f>IFERROR(SUMIFS('교재재고'!E:E,'교재재고'!B:B,$A80),0)</f>
        <v>0</v>
      </c>
      <c r="E80" s="78">
        <f>IFERROR(SUMIFS('교재재고'!F:F,'교재재고'!B:B,$A80),0)
+IFERROR(SUMIFS('교재재고'!I:I,'교재재고'!B:B,$A80),0)
+IFERROR(SUMIFS('교재재고'!L:L,'교재재고'!B:B,$A80),0)
+IFERROR(SUMIFS('교재재고'!O:O,'교재재고'!B:B,$A80),0)
+IFERROR(SUMIFS('교재재고'!R:R,'교재재고'!B:B,$A80),0)</f>
        <v>0</v>
      </c>
      <c r="F80" s="79">
        <f>IFERROR(SUMIFS('교재재고'!G:G,'교재재고'!B:B,$A80),0)
+IFERROR(SUMIFS('교재재고'!J:J,'교재재고'!B:B,$A80),0)
+IFERROR(SUMIFS('교재재고'!M:M,'교재재고'!B:B,$A80),0)
+IFERROR(SUMIFS('교재재고'!P:P,'교재재고'!B:B,$A80),0)
+IFERROR(SUMIFS('교재재고'!S:S,'교재재고'!B:B,$A80),0)</f>
        <v>0</v>
      </c>
      <c r="G80" s="79">
        <f>IFERROR(SUMIFS('교재재고'!H:H,'교재재고'!B:B,$A80),0)
+IFERROR(SUMIFS('교재재고'!K:K,'교재재고'!B:B,$A80),0)
+IFERROR(SUMIFS('교재재고'!N:N,'교재재고'!B:B,$A80),0)
+IFERROR(SUMIFS('교재재고'!Q:Q,'교재재고'!B:B,$A80),0)
+IFERROR(SUMIFS('교재재고'!T:T,'교재재고'!B:B,$A80),0)</f>
        <v>0</v>
      </c>
      <c r="H80" s="79">
        <f t="shared" si="2"/>
        <v>0</v>
      </c>
      <c r="I80" s="80">
        <f>IFERROR(SUMIFS('배부로그'!G:G,'배부로그'!D:D,$A80,'배부로그'!F:F,"창고"),0)</f>
        <v>0</v>
      </c>
      <c r="J80" s="59">
        <f>IFERROR(SUMIFS('배부로그'!G:G,'배부로그'!D:D,$A80,'배부로그'!F:F,"4층지원실"),0)</f>
        <v>0</v>
      </c>
      <c r="K80" s="59">
        <f>IFERROR(SUMIFS('배부로그'!G:G,'배부로그'!D:D,$A80,'배부로그'!F:F,"8층지원실"),0)</f>
        <v>0</v>
      </c>
      <c r="L80" s="81">
        <f t="shared" si="3"/>
        <v>0</v>
      </c>
      <c r="M80" s="59">
        <f>IFERROR(SUMIFS('회수로그'!H:H,'회수로그'!E:E,$A80,'회수로그'!G:G,"창고"),0)</f>
        <v>0</v>
      </c>
      <c r="N80" s="59">
        <f>IFERROR(SUMIFS('회수로그'!H:H,'회수로그'!E:E,$A80,'회수로그'!G:G,"4층지원실"),0)</f>
        <v>0</v>
      </c>
      <c r="O80" s="59">
        <f>IFERROR(SUMIFS('회수로그'!H:H,'회수로그'!E:E,$A80,'회수로그'!G:G,"8층지원실"),0)</f>
        <v>0</v>
      </c>
      <c r="P80" s="59">
        <f t="shared" si="4"/>
        <v>0</v>
      </c>
      <c r="Q80" s="59">
        <f>IFERROR(SUMIFS('재고이동로그'!F:F,'재고이동로그'!C:C,$A80,'재고이동로그'!D:D,"창고"),0)</f>
        <v>0</v>
      </c>
      <c r="R80" s="59">
        <f>IFERROR(SUMIFS('재고이동로그'!F:F,'재고이동로그'!C:C,$A80,'재고이동로그'!E:E,"4층지원실"),0)</f>
        <v>0</v>
      </c>
      <c r="S80" s="82">
        <f>IFERROR(SUMIFS('재고이동로그'!F:F,'재고이동로그'!C:C,$A80,'재고이동로그'!E:E,"8층지원실"),0)</f>
        <v>0</v>
      </c>
      <c r="T80" s="59">
        <f>IFERROR(SUMIFS('재고이동로그'!F:F,'재고이동로그'!C:C,$A80,'재고이동로그'!E:E,"창고"),0)</f>
        <v>0</v>
      </c>
      <c r="U80" s="59">
        <f>IFERROR(SUMIFS('재고이동로그'!F:F,'재고이동로그'!C:C,$A80,'재고이동로그'!E:E,"4층지원실"),0)</f>
        <v>0</v>
      </c>
      <c r="V80" s="59">
        <f>IFERROR(SUMIFS('재고이동로그'!F:F,'재고이동로그'!C:C,$A80,'재고이동로그'!E:E,"8층지원실"),0)</f>
        <v>0</v>
      </c>
      <c r="W80" s="83">
        <f t="shared" ref="W80:Y80" si="83">B80+E80-I80+M80-Q80+T80</f>
        <v>0</v>
      </c>
      <c r="X80" s="83">
        <f t="shared" si="83"/>
        <v>0</v>
      </c>
      <c r="Y80" s="83">
        <f t="shared" si="83"/>
        <v>0</v>
      </c>
      <c r="Z80" s="84">
        <f t="shared" si="6"/>
        <v>0</v>
      </c>
      <c r="AA80" s="59" t="str">
        <f t="shared" si="7"/>
        <v>부족</v>
      </c>
      <c r="AB80" s="59"/>
      <c r="AC80" s="59"/>
      <c r="AD80" s="59"/>
      <c r="AE80" s="59"/>
      <c r="AF80" s="59"/>
    </row>
    <row r="81" ht="15.75" customHeight="1">
      <c r="A81" s="59"/>
      <c r="B81" s="77">
        <f>IFERROR(SUMIFS('교재재고'!C:C,'교재재고'!B:B,$A81),0)</f>
        <v>0</v>
      </c>
      <c r="C81" s="77">
        <f>IFERROR(SUMIFS('교재재고'!D:D,'교재재고'!B:B,$A81),0)</f>
        <v>0</v>
      </c>
      <c r="D81" s="77">
        <f>IFERROR(SUMIFS('교재재고'!E:E,'교재재고'!B:B,$A81),0)</f>
        <v>0</v>
      </c>
      <c r="E81" s="78">
        <f>IFERROR(SUMIFS('교재재고'!F:F,'교재재고'!B:B,$A81),0)
+IFERROR(SUMIFS('교재재고'!I:I,'교재재고'!B:B,$A81),0)
+IFERROR(SUMIFS('교재재고'!L:L,'교재재고'!B:B,$A81),0)
+IFERROR(SUMIFS('교재재고'!O:O,'교재재고'!B:B,$A81),0)
+IFERROR(SUMIFS('교재재고'!R:R,'교재재고'!B:B,$A81),0)</f>
        <v>0</v>
      </c>
      <c r="F81" s="79">
        <f>IFERROR(SUMIFS('교재재고'!G:G,'교재재고'!B:B,$A81),0)
+IFERROR(SUMIFS('교재재고'!J:J,'교재재고'!B:B,$A81),0)
+IFERROR(SUMIFS('교재재고'!M:M,'교재재고'!B:B,$A81),0)
+IFERROR(SUMIFS('교재재고'!P:P,'교재재고'!B:B,$A81),0)
+IFERROR(SUMIFS('교재재고'!S:S,'교재재고'!B:B,$A81),0)</f>
        <v>0</v>
      </c>
      <c r="G81" s="79">
        <f>IFERROR(SUMIFS('교재재고'!H:H,'교재재고'!B:B,$A81),0)
+IFERROR(SUMIFS('교재재고'!K:K,'교재재고'!B:B,$A81),0)
+IFERROR(SUMIFS('교재재고'!N:N,'교재재고'!B:B,$A81),0)
+IFERROR(SUMIFS('교재재고'!Q:Q,'교재재고'!B:B,$A81),0)
+IFERROR(SUMIFS('교재재고'!T:T,'교재재고'!B:B,$A81),0)</f>
        <v>0</v>
      </c>
      <c r="H81" s="79">
        <f t="shared" si="2"/>
        <v>0</v>
      </c>
      <c r="I81" s="80">
        <f>IFERROR(SUMIFS('배부로그'!G:G,'배부로그'!D:D,$A81,'배부로그'!F:F,"창고"),0)</f>
        <v>0</v>
      </c>
      <c r="J81" s="59">
        <f>IFERROR(SUMIFS('배부로그'!G:G,'배부로그'!D:D,$A81,'배부로그'!F:F,"4층지원실"),0)</f>
        <v>0</v>
      </c>
      <c r="K81" s="59">
        <f>IFERROR(SUMIFS('배부로그'!G:G,'배부로그'!D:D,$A81,'배부로그'!F:F,"8층지원실"),0)</f>
        <v>0</v>
      </c>
      <c r="L81" s="81">
        <f t="shared" si="3"/>
        <v>0</v>
      </c>
      <c r="M81" s="59">
        <f>IFERROR(SUMIFS('회수로그'!H:H,'회수로그'!E:E,$A81,'회수로그'!G:G,"창고"),0)</f>
        <v>0</v>
      </c>
      <c r="N81" s="59">
        <f>IFERROR(SUMIFS('회수로그'!H:H,'회수로그'!E:E,$A81,'회수로그'!G:G,"4층지원실"),0)</f>
        <v>0</v>
      </c>
      <c r="O81" s="59">
        <f>IFERROR(SUMIFS('회수로그'!H:H,'회수로그'!E:E,$A81,'회수로그'!G:G,"8층지원실"),0)</f>
        <v>0</v>
      </c>
      <c r="P81" s="59">
        <f t="shared" si="4"/>
        <v>0</v>
      </c>
      <c r="Q81" s="59">
        <f>IFERROR(SUMIFS('재고이동로그'!F:F,'재고이동로그'!C:C,$A81,'재고이동로그'!D:D,"창고"),0)</f>
        <v>0</v>
      </c>
      <c r="R81" s="59">
        <f>IFERROR(SUMIFS('재고이동로그'!F:F,'재고이동로그'!C:C,$A81,'재고이동로그'!E:E,"4층지원실"),0)</f>
        <v>0</v>
      </c>
      <c r="S81" s="82">
        <f>IFERROR(SUMIFS('재고이동로그'!F:F,'재고이동로그'!C:C,$A81,'재고이동로그'!E:E,"8층지원실"),0)</f>
        <v>0</v>
      </c>
      <c r="T81" s="59">
        <f>IFERROR(SUMIFS('재고이동로그'!F:F,'재고이동로그'!C:C,$A81,'재고이동로그'!E:E,"창고"),0)</f>
        <v>0</v>
      </c>
      <c r="U81" s="59">
        <f>IFERROR(SUMIFS('재고이동로그'!F:F,'재고이동로그'!C:C,$A81,'재고이동로그'!E:E,"4층지원실"),0)</f>
        <v>0</v>
      </c>
      <c r="V81" s="59">
        <f>IFERROR(SUMIFS('재고이동로그'!F:F,'재고이동로그'!C:C,$A81,'재고이동로그'!E:E,"8층지원실"),0)</f>
        <v>0</v>
      </c>
      <c r="W81" s="83">
        <f t="shared" ref="W81:Y81" si="84">B81+E81-I81+M81-Q81+T81</f>
        <v>0</v>
      </c>
      <c r="X81" s="83">
        <f t="shared" si="84"/>
        <v>0</v>
      </c>
      <c r="Y81" s="83">
        <f t="shared" si="84"/>
        <v>0</v>
      </c>
      <c r="Z81" s="84">
        <f t="shared" si="6"/>
        <v>0</v>
      </c>
      <c r="AA81" s="59" t="str">
        <f t="shared" si="7"/>
        <v>부족</v>
      </c>
      <c r="AB81" s="59"/>
      <c r="AC81" s="59"/>
      <c r="AD81" s="59"/>
      <c r="AE81" s="59"/>
      <c r="AF81" s="59"/>
    </row>
    <row r="82" ht="15.75" customHeight="1">
      <c r="A82" s="59"/>
      <c r="B82" s="77">
        <f>IFERROR(SUMIFS('교재재고'!C:C,'교재재고'!B:B,$A82),0)</f>
        <v>0</v>
      </c>
      <c r="C82" s="77">
        <f>IFERROR(SUMIFS('교재재고'!D:D,'교재재고'!B:B,$A82),0)</f>
        <v>0</v>
      </c>
      <c r="D82" s="77">
        <f>IFERROR(SUMIFS('교재재고'!E:E,'교재재고'!B:B,$A82),0)</f>
        <v>0</v>
      </c>
      <c r="E82" s="78">
        <f>IFERROR(SUMIFS('교재재고'!F:F,'교재재고'!B:B,$A82),0)
+IFERROR(SUMIFS('교재재고'!I:I,'교재재고'!B:B,$A82),0)
+IFERROR(SUMIFS('교재재고'!L:L,'교재재고'!B:B,$A82),0)
+IFERROR(SUMIFS('교재재고'!O:O,'교재재고'!B:B,$A82),0)
+IFERROR(SUMIFS('교재재고'!R:R,'교재재고'!B:B,$A82),0)</f>
        <v>0</v>
      </c>
      <c r="F82" s="79">
        <f>IFERROR(SUMIFS('교재재고'!G:G,'교재재고'!B:B,$A82),0)
+IFERROR(SUMIFS('교재재고'!J:J,'교재재고'!B:B,$A82),0)
+IFERROR(SUMIFS('교재재고'!M:M,'교재재고'!B:B,$A82),0)
+IFERROR(SUMIFS('교재재고'!P:P,'교재재고'!B:B,$A82),0)
+IFERROR(SUMIFS('교재재고'!S:S,'교재재고'!B:B,$A82),0)</f>
        <v>0</v>
      </c>
      <c r="G82" s="79">
        <f>IFERROR(SUMIFS('교재재고'!H:H,'교재재고'!B:B,$A82),0)
+IFERROR(SUMIFS('교재재고'!K:K,'교재재고'!B:B,$A82),0)
+IFERROR(SUMIFS('교재재고'!N:N,'교재재고'!B:B,$A82),0)
+IFERROR(SUMIFS('교재재고'!Q:Q,'교재재고'!B:B,$A82),0)
+IFERROR(SUMIFS('교재재고'!T:T,'교재재고'!B:B,$A82),0)</f>
        <v>0</v>
      </c>
      <c r="H82" s="79">
        <f t="shared" si="2"/>
        <v>0</v>
      </c>
      <c r="I82" s="80">
        <f>IFERROR(SUMIFS('배부로그'!G:G,'배부로그'!D:D,$A82,'배부로그'!F:F,"창고"),0)</f>
        <v>0</v>
      </c>
      <c r="J82" s="59">
        <f>IFERROR(SUMIFS('배부로그'!G:G,'배부로그'!D:D,$A82,'배부로그'!F:F,"4층지원실"),0)</f>
        <v>0</v>
      </c>
      <c r="K82" s="59">
        <f>IFERROR(SUMIFS('배부로그'!G:G,'배부로그'!D:D,$A82,'배부로그'!F:F,"8층지원실"),0)</f>
        <v>0</v>
      </c>
      <c r="L82" s="81">
        <f t="shared" si="3"/>
        <v>0</v>
      </c>
      <c r="M82" s="59">
        <f>IFERROR(SUMIFS('회수로그'!H:H,'회수로그'!E:E,$A82,'회수로그'!G:G,"창고"),0)</f>
        <v>0</v>
      </c>
      <c r="N82" s="59">
        <f>IFERROR(SUMIFS('회수로그'!H:H,'회수로그'!E:E,$A82,'회수로그'!G:G,"4층지원실"),0)</f>
        <v>0</v>
      </c>
      <c r="O82" s="59">
        <f>IFERROR(SUMIFS('회수로그'!H:H,'회수로그'!E:E,$A82,'회수로그'!G:G,"8층지원실"),0)</f>
        <v>0</v>
      </c>
      <c r="P82" s="59">
        <f t="shared" si="4"/>
        <v>0</v>
      </c>
      <c r="Q82" s="59">
        <f>IFERROR(SUMIFS('재고이동로그'!F:F,'재고이동로그'!C:C,$A82,'재고이동로그'!D:D,"창고"),0)</f>
        <v>0</v>
      </c>
      <c r="R82" s="59">
        <f>IFERROR(SUMIFS('재고이동로그'!F:F,'재고이동로그'!C:C,$A82,'재고이동로그'!E:E,"4층지원실"),0)</f>
        <v>0</v>
      </c>
      <c r="S82" s="82">
        <f>IFERROR(SUMIFS('재고이동로그'!F:F,'재고이동로그'!C:C,$A82,'재고이동로그'!E:E,"8층지원실"),0)</f>
        <v>0</v>
      </c>
      <c r="T82" s="59">
        <f>IFERROR(SUMIFS('재고이동로그'!F:F,'재고이동로그'!C:C,$A82,'재고이동로그'!E:E,"창고"),0)</f>
        <v>0</v>
      </c>
      <c r="U82" s="59">
        <f>IFERROR(SUMIFS('재고이동로그'!F:F,'재고이동로그'!C:C,$A82,'재고이동로그'!E:E,"4층지원실"),0)</f>
        <v>0</v>
      </c>
      <c r="V82" s="59">
        <f>IFERROR(SUMIFS('재고이동로그'!F:F,'재고이동로그'!C:C,$A82,'재고이동로그'!E:E,"8층지원실"),0)</f>
        <v>0</v>
      </c>
      <c r="W82" s="83">
        <f t="shared" ref="W82:Y82" si="85">B82+E82-I82+M82-Q82+T82</f>
        <v>0</v>
      </c>
      <c r="X82" s="83">
        <f t="shared" si="85"/>
        <v>0</v>
      </c>
      <c r="Y82" s="83">
        <f t="shared" si="85"/>
        <v>0</v>
      </c>
      <c r="Z82" s="84">
        <f t="shared" si="6"/>
        <v>0</v>
      </c>
      <c r="AA82" s="59" t="str">
        <f t="shared" si="7"/>
        <v>부족</v>
      </c>
      <c r="AB82" s="59"/>
      <c r="AC82" s="59"/>
      <c r="AD82" s="59"/>
      <c r="AE82" s="59"/>
      <c r="AF82" s="59"/>
    </row>
    <row r="83" ht="15.75" customHeight="1">
      <c r="A83" s="59"/>
      <c r="B83" s="77">
        <f>IFERROR(SUMIFS('교재재고'!C:C,'교재재고'!B:B,$A83),0)</f>
        <v>0</v>
      </c>
      <c r="C83" s="77">
        <f>IFERROR(SUMIFS('교재재고'!D:D,'교재재고'!B:B,$A83),0)</f>
        <v>0</v>
      </c>
      <c r="D83" s="77">
        <f>IFERROR(SUMIFS('교재재고'!E:E,'교재재고'!B:B,$A83),0)</f>
        <v>0</v>
      </c>
      <c r="E83" s="78">
        <f>IFERROR(SUMIFS('교재재고'!F:F,'교재재고'!B:B,$A83),0)
+IFERROR(SUMIFS('교재재고'!I:I,'교재재고'!B:B,$A83),0)
+IFERROR(SUMIFS('교재재고'!L:L,'교재재고'!B:B,$A83),0)
+IFERROR(SUMIFS('교재재고'!O:O,'교재재고'!B:B,$A83),0)
+IFERROR(SUMIFS('교재재고'!R:R,'교재재고'!B:B,$A83),0)</f>
        <v>0</v>
      </c>
      <c r="F83" s="79">
        <f>IFERROR(SUMIFS('교재재고'!G:G,'교재재고'!B:B,$A83),0)
+IFERROR(SUMIFS('교재재고'!J:J,'교재재고'!B:B,$A83),0)
+IFERROR(SUMIFS('교재재고'!M:M,'교재재고'!B:B,$A83),0)
+IFERROR(SUMIFS('교재재고'!P:P,'교재재고'!B:B,$A83),0)
+IFERROR(SUMIFS('교재재고'!S:S,'교재재고'!B:B,$A83),0)</f>
        <v>0</v>
      </c>
      <c r="G83" s="79">
        <f>IFERROR(SUMIFS('교재재고'!H:H,'교재재고'!B:B,$A83),0)
+IFERROR(SUMIFS('교재재고'!K:K,'교재재고'!B:B,$A83),0)
+IFERROR(SUMIFS('교재재고'!N:N,'교재재고'!B:B,$A83),0)
+IFERROR(SUMIFS('교재재고'!Q:Q,'교재재고'!B:B,$A83),0)
+IFERROR(SUMIFS('교재재고'!T:T,'교재재고'!B:B,$A83),0)</f>
        <v>0</v>
      </c>
      <c r="H83" s="79">
        <f t="shared" si="2"/>
        <v>0</v>
      </c>
      <c r="I83" s="80">
        <f>IFERROR(SUMIFS('배부로그'!G:G,'배부로그'!D:D,$A83,'배부로그'!F:F,"창고"),0)</f>
        <v>0</v>
      </c>
      <c r="J83" s="59">
        <f>IFERROR(SUMIFS('배부로그'!G:G,'배부로그'!D:D,$A83,'배부로그'!F:F,"4층지원실"),0)</f>
        <v>0</v>
      </c>
      <c r="K83" s="59">
        <f>IFERROR(SUMIFS('배부로그'!G:G,'배부로그'!D:D,$A83,'배부로그'!F:F,"8층지원실"),0)</f>
        <v>0</v>
      </c>
      <c r="L83" s="81">
        <f t="shared" si="3"/>
        <v>0</v>
      </c>
      <c r="M83" s="59">
        <f>IFERROR(SUMIFS('회수로그'!H:H,'회수로그'!E:E,$A83,'회수로그'!G:G,"창고"),0)</f>
        <v>0</v>
      </c>
      <c r="N83" s="59">
        <f>IFERROR(SUMIFS('회수로그'!H:H,'회수로그'!E:E,$A83,'회수로그'!G:G,"4층지원실"),0)</f>
        <v>0</v>
      </c>
      <c r="O83" s="59">
        <f>IFERROR(SUMIFS('회수로그'!H:H,'회수로그'!E:E,$A83,'회수로그'!G:G,"8층지원실"),0)</f>
        <v>0</v>
      </c>
      <c r="P83" s="59">
        <f t="shared" si="4"/>
        <v>0</v>
      </c>
      <c r="Q83" s="59">
        <f>IFERROR(SUMIFS('재고이동로그'!F:F,'재고이동로그'!C:C,$A83,'재고이동로그'!D:D,"창고"),0)</f>
        <v>0</v>
      </c>
      <c r="R83" s="59">
        <f>IFERROR(SUMIFS('재고이동로그'!F:F,'재고이동로그'!C:C,$A83,'재고이동로그'!E:E,"4층지원실"),0)</f>
        <v>0</v>
      </c>
      <c r="S83" s="82">
        <f>IFERROR(SUMIFS('재고이동로그'!F:F,'재고이동로그'!C:C,$A83,'재고이동로그'!E:E,"8층지원실"),0)</f>
        <v>0</v>
      </c>
      <c r="T83" s="59">
        <f>IFERROR(SUMIFS('재고이동로그'!F:F,'재고이동로그'!C:C,$A83,'재고이동로그'!E:E,"창고"),0)</f>
        <v>0</v>
      </c>
      <c r="U83" s="59">
        <f>IFERROR(SUMIFS('재고이동로그'!F:F,'재고이동로그'!C:C,$A83,'재고이동로그'!E:E,"4층지원실"),0)</f>
        <v>0</v>
      </c>
      <c r="V83" s="59">
        <f>IFERROR(SUMIFS('재고이동로그'!F:F,'재고이동로그'!C:C,$A83,'재고이동로그'!E:E,"8층지원실"),0)</f>
        <v>0</v>
      </c>
      <c r="W83" s="83">
        <f t="shared" ref="W83:Y83" si="86">B83+E83-I83+M83-Q83+T83</f>
        <v>0</v>
      </c>
      <c r="X83" s="83">
        <f t="shared" si="86"/>
        <v>0</v>
      </c>
      <c r="Y83" s="83">
        <f t="shared" si="86"/>
        <v>0</v>
      </c>
      <c r="Z83" s="84">
        <f t="shared" si="6"/>
        <v>0</v>
      </c>
      <c r="AA83" s="59" t="str">
        <f t="shared" si="7"/>
        <v>부족</v>
      </c>
      <c r="AB83" s="59"/>
      <c r="AC83" s="59"/>
      <c r="AD83" s="59"/>
      <c r="AE83" s="59"/>
      <c r="AF83" s="59"/>
    </row>
    <row r="84" ht="15.75" customHeight="1">
      <c r="A84" s="59"/>
      <c r="B84" s="77">
        <f>IFERROR(SUMIFS('교재재고'!C:C,'교재재고'!B:B,$A84),0)</f>
        <v>0</v>
      </c>
      <c r="C84" s="77">
        <f>IFERROR(SUMIFS('교재재고'!D:D,'교재재고'!B:B,$A84),0)</f>
        <v>0</v>
      </c>
      <c r="D84" s="77">
        <f>IFERROR(SUMIFS('교재재고'!E:E,'교재재고'!B:B,$A84),0)</f>
        <v>0</v>
      </c>
      <c r="E84" s="78">
        <f>IFERROR(SUMIFS('교재재고'!F:F,'교재재고'!B:B,$A84),0)
+IFERROR(SUMIFS('교재재고'!I:I,'교재재고'!B:B,$A84),0)
+IFERROR(SUMIFS('교재재고'!L:L,'교재재고'!B:B,$A84),0)
+IFERROR(SUMIFS('교재재고'!O:O,'교재재고'!B:B,$A84),0)
+IFERROR(SUMIFS('교재재고'!R:R,'교재재고'!B:B,$A84),0)</f>
        <v>0</v>
      </c>
      <c r="F84" s="79">
        <f>IFERROR(SUMIFS('교재재고'!G:G,'교재재고'!B:B,$A84),0)
+IFERROR(SUMIFS('교재재고'!J:J,'교재재고'!B:B,$A84),0)
+IFERROR(SUMIFS('교재재고'!M:M,'교재재고'!B:B,$A84),0)
+IFERROR(SUMIFS('교재재고'!P:P,'교재재고'!B:B,$A84),0)
+IFERROR(SUMIFS('교재재고'!S:S,'교재재고'!B:B,$A84),0)</f>
        <v>0</v>
      </c>
      <c r="G84" s="79">
        <f>IFERROR(SUMIFS('교재재고'!H:H,'교재재고'!B:B,$A84),0)
+IFERROR(SUMIFS('교재재고'!K:K,'교재재고'!B:B,$A84),0)
+IFERROR(SUMIFS('교재재고'!N:N,'교재재고'!B:B,$A84),0)
+IFERROR(SUMIFS('교재재고'!Q:Q,'교재재고'!B:B,$A84),0)
+IFERROR(SUMIFS('교재재고'!T:T,'교재재고'!B:B,$A84),0)</f>
        <v>0</v>
      </c>
      <c r="H84" s="79">
        <f t="shared" si="2"/>
        <v>0</v>
      </c>
      <c r="I84" s="80">
        <f>IFERROR(SUMIFS('배부로그'!G:G,'배부로그'!D:D,$A84,'배부로그'!F:F,"창고"),0)</f>
        <v>0</v>
      </c>
      <c r="J84" s="59">
        <f>IFERROR(SUMIFS('배부로그'!G:G,'배부로그'!D:D,$A84,'배부로그'!F:F,"4층지원실"),0)</f>
        <v>0</v>
      </c>
      <c r="K84" s="59">
        <f>IFERROR(SUMIFS('배부로그'!G:G,'배부로그'!D:D,$A84,'배부로그'!F:F,"8층지원실"),0)</f>
        <v>0</v>
      </c>
      <c r="L84" s="81">
        <f t="shared" si="3"/>
        <v>0</v>
      </c>
      <c r="M84" s="59">
        <f>IFERROR(SUMIFS('회수로그'!H:H,'회수로그'!E:E,$A84,'회수로그'!G:G,"창고"),0)</f>
        <v>0</v>
      </c>
      <c r="N84" s="59">
        <f>IFERROR(SUMIFS('회수로그'!H:H,'회수로그'!E:E,$A84,'회수로그'!G:G,"4층지원실"),0)</f>
        <v>0</v>
      </c>
      <c r="O84" s="59">
        <f>IFERROR(SUMIFS('회수로그'!H:H,'회수로그'!E:E,$A84,'회수로그'!G:G,"8층지원실"),0)</f>
        <v>0</v>
      </c>
      <c r="P84" s="59">
        <f t="shared" si="4"/>
        <v>0</v>
      </c>
      <c r="Q84" s="59">
        <f>IFERROR(SUMIFS('재고이동로그'!F:F,'재고이동로그'!C:C,$A84,'재고이동로그'!D:D,"창고"),0)</f>
        <v>0</v>
      </c>
      <c r="R84" s="59">
        <f>IFERROR(SUMIFS('재고이동로그'!F:F,'재고이동로그'!C:C,$A84,'재고이동로그'!E:E,"4층지원실"),0)</f>
        <v>0</v>
      </c>
      <c r="S84" s="82">
        <f>IFERROR(SUMIFS('재고이동로그'!F:F,'재고이동로그'!C:C,$A84,'재고이동로그'!E:E,"8층지원실"),0)</f>
        <v>0</v>
      </c>
      <c r="T84" s="59">
        <f>IFERROR(SUMIFS('재고이동로그'!F:F,'재고이동로그'!C:C,$A84,'재고이동로그'!E:E,"창고"),0)</f>
        <v>0</v>
      </c>
      <c r="U84" s="59">
        <f>IFERROR(SUMIFS('재고이동로그'!F:F,'재고이동로그'!C:C,$A84,'재고이동로그'!E:E,"4층지원실"),0)</f>
        <v>0</v>
      </c>
      <c r="V84" s="59">
        <f>IFERROR(SUMIFS('재고이동로그'!F:F,'재고이동로그'!C:C,$A84,'재고이동로그'!E:E,"8층지원실"),0)</f>
        <v>0</v>
      </c>
      <c r="W84" s="83">
        <f t="shared" ref="W84:Y84" si="87">B84+E84-I84+M84-Q84+T84</f>
        <v>0</v>
      </c>
      <c r="X84" s="83">
        <f t="shared" si="87"/>
        <v>0</v>
      </c>
      <c r="Y84" s="83">
        <f t="shared" si="87"/>
        <v>0</v>
      </c>
      <c r="Z84" s="84">
        <f t="shared" si="6"/>
        <v>0</v>
      </c>
      <c r="AA84" s="59" t="str">
        <f t="shared" si="7"/>
        <v>부족</v>
      </c>
      <c r="AB84" s="59"/>
      <c r="AC84" s="59"/>
      <c r="AD84" s="59"/>
      <c r="AE84" s="59"/>
      <c r="AF84" s="59"/>
    </row>
    <row r="85" ht="15.75" customHeight="1">
      <c r="A85" s="59"/>
      <c r="B85" s="77">
        <f>IFERROR(SUMIFS('교재재고'!C:C,'교재재고'!B:B,$A85),0)</f>
        <v>0</v>
      </c>
      <c r="C85" s="77">
        <f>IFERROR(SUMIFS('교재재고'!D:D,'교재재고'!B:B,$A85),0)</f>
        <v>0</v>
      </c>
      <c r="D85" s="77">
        <f>IFERROR(SUMIFS('교재재고'!E:E,'교재재고'!B:B,$A85),0)</f>
        <v>0</v>
      </c>
      <c r="E85" s="78">
        <f>IFERROR(SUMIFS('교재재고'!F:F,'교재재고'!B:B,$A85),0)
+IFERROR(SUMIFS('교재재고'!I:I,'교재재고'!B:B,$A85),0)
+IFERROR(SUMIFS('교재재고'!L:L,'교재재고'!B:B,$A85),0)
+IFERROR(SUMIFS('교재재고'!O:O,'교재재고'!B:B,$A85),0)
+IFERROR(SUMIFS('교재재고'!R:R,'교재재고'!B:B,$A85),0)</f>
        <v>0</v>
      </c>
      <c r="F85" s="79">
        <f>IFERROR(SUMIFS('교재재고'!G:G,'교재재고'!B:B,$A85),0)
+IFERROR(SUMIFS('교재재고'!J:J,'교재재고'!B:B,$A85),0)
+IFERROR(SUMIFS('교재재고'!M:M,'교재재고'!B:B,$A85),0)
+IFERROR(SUMIFS('교재재고'!P:P,'교재재고'!B:B,$A85),0)
+IFERROR(SUMIFS('교재재고'!S:S,'교재재고'!B:B,$A85),0)</f>
        <v>0</v>
      </c>
      <c r="G85" s="79">
        <f>IFERROR(SUMIFS('교재재고'!H:H,'교재재고'!B:B,$A85),0)
+IFERROR(SUMIFS('교재재고'!K:K,'교재재고'!B:B,$A85),0)
+IFERROR(SUMIFS('교재재고'!N:N,'교재재고'!B:B,$A85),0)
+IFERROR(SUMIFS('교재재고'!Q:Q,'교재재고'!B:B,$A85),0)
+IFERROR(SUMIFS('교재재고'!T:T,'교재재고'!B:B,$A85),0)</f>
        <v>0</v>
      </c>
      <c r="H85" s="79">
        <f t="shared" si="2"/>
        <v>0</v>
      </c>
      <c r="I85" s="80">
        <f>IFERROR(SUMIFS('배부로그'!G:G,'배부로그'!D:D,$A85,'배부로그'!F:F,"창고"),0)</f>
        <v>0</v>
      </c>
      <c r="J85" s="59">
        <f>IFERROR(SUMIFS('배부로그'!G:G,'배부로그'!D:D,$A85,'배부로그'!F:F,"4층지원실"),0)</f>
        <v>0</v>
      </c>
      <c r="K85" s="59">
        <f>IFERROR(SUMIFS('배부로그'!G:G,'배부로그'!D:D,$A85,'배부로그'!F:F,"8층지원실"),0)</f>
        <v>0</v>
      </c>
      <c r="L85" s="81">
        <f t="shared" si="3"/>
        <v>0</v>
      </c>
      <c r="M85" s="59">
        <f>IFERROR(SUMIFS('회수로그'!H:H,'회수로그'!E:E,$A85,'회수로그'!G:G,"창고"),0)</f>
        <v>0</v>
      </c>
      <c r="N85" s="59">
        <f>IFERROR(SUMIFS('회수로그'!H:H,'회수로그'!E:E,$A85,'회수로그'!G:G,"4층지원실"),0)</f>
        <v>0</v>
      </c>
      <c r="O85" s="59">
        <f>IFERROR(SUMIFS('회수로그'!H:H,'회수로그'!E:E,$A85,'회수로그'!G:G,"8층지원실"),0)</f>
        <v>0</v>
      </c>
      <c r="P85" s="59">
        <f t="shared" si="4"/>
        <v>0</v>
      </c>
      <c r="Q85" s="59">
        <f>IFERROR(SUMIFS('재고이동로그'!F:F,'재고이동로그'!C:C,$A85,'재고이동로그'!D:D,"창고"),0)</f>
        <v>0</v>
      </c>
      <c r="R85" s="59">
        <f>IFERROR(SUMIFS('재고이동로그'!F:F,'재고이동로그'!C:C,$A85,'재고이동로그'!E:E,"4층지원실"),0)</f>
        <v>0</v>
      </c>
      <c r="S85" s="82">
        <f>IFERROR(SUMIFS('재고이동로그'!F:F,'재고이동로그'!C:C,$A85,'재고이동로그'!E:E,"8층지원실"),0)</f>
        <v>0</v>
      </c>
      <c r="T85" s="59">
        <f>IFERROR(SUMIFS('재고이동로그'!F:F,'재고이동로그'!C:C,$A85,'재고이동로그'!E:E,"창고"),0)</f>
        <v>0</v>
      </c>
      <c r="U85" s="59">
        <f>IFERROR(SUMIFS('재고이동로그'!F:F,'재고이동로그'!C:C,$A85,'재고이동로그'!E:E,"4층지원실"),0)</f>
        <v>0</v>
      </c>
      <c r="V85" s="59">
        <f>IFERROR(SUMIFS('재고이동로그'!F:F,'재고이동로그'!C:C,$A85,'재고이동로그'!E:E,"8층지원실"),0)</f>
        <v>0</v>
      </c>
      <c r="W85" s="83">
        <f t="shared" ref="W85:Y85" si="88">B85+E85-I85+M85-Q85+T85</f>
        <v>0</v>
      </c>
      <c r="X85" s="83">
        <f t="shared" si="88"/>
        <v>0</v>
      </c>
      <c r="Y85" s="83">
        <f t="shared" si="88"/>
        <v>0</v>
      </c>
      <c r="Z85" s="84">
        <f t="shared" si="6"/>
        <v>0</v>
      </c>
      <c r="AA85" s="59" t="str">
        <f t="shared" si="7"/>
        <v>부족</v>
      </c>
      <c r="AB85" s="59"/>
      <c r="AC85" s="59"/>
      <c r="AD85" s="59"/>
      <c r="AE85" s="59"/>
      <c r="AF85" s="59"/>
    </row>
    <row r="86" ht="15.75" customHeight="1">
      <c r="A86" s="59"/>
      <c r="B86" s="77">
        <f>IFERROR(SUMIFS('교재재고'!C:C,'교재재고'!B:B,$A86),0)</f>
        <v>0</v>
      </c>
      <c r="C86" s="77">
        <f>IFERROR(SUMIFS('교재재고'!D:D,'교재재고'!B:B,$A86),0)</f>
        <v>0</v>
      </c>
      <c r="D86" s="77">
        <f>IFERROR(SUMIFS('교재재고'!E:E,'교재재고'!B:B,$A86),0)</f>
        <v>0</v>
      </c>
      <c r="E86" s="78">
        <f>IFERROR(SUMIFS('교재재고'!F:F,'교재재고'!B:B,$A86),0)
+IFERROR(SUMIFS('교재재고'!I:I,'교재재고'!B:B,$A86),0)
+IFERROR(SUMIFS('교재재고'!L:L,'교재재고'!B:B,$A86),0)
+IFERROR(SUMIFS('교재재고'!O:O,'교재재고'!B:B,$A86),0)
+IFERROR(SUMIFS('교재재고'!R:R,'교재재고'!B:B,$A86),0)</f>
        <v>0</v>
      </c>
      <c r="F86" s="79">
        <f>IFERROR(SUMIFS('교재재고'!G:G,'교재재고'!B:B,$A86),0)
+IFERROR(SUMIFS('교재재고'!J:J,'교재재고'!B:B,$A86),0)
+IFERROR(SUMIFS('교재재고'!M:M,'교재재고'!B:B,$A86),0)
+IFERROR(SUMIFS('교재재고'!P:P,'교재재고'!B:B,$A86),0)
+IFERROR(SUMIFS('교재재고'!S:S,'교재재고'!B:B,$A86),0)</f>
        <v>0</v>
      </c>
      <c r="G86" s="79">
        <f>IFERROR(SUMIFS('교재재고'!H:H,'교재재고'!B:B,$A86),0)
+IFERROR(SUMIFS('교재재고'!K:K,'교재재고'!B:B,$A86),0)
+IFERROR(SUMIFS('교재재고'!N:N,'교재재고'!B:B,$A86),0)
+IFERROR(SUMIFS('교재재고'!Q:Q,'교재재고'!B:B,$A86),0)
+IFERROR(SUMIFS('교재재고'!T:T,'교재재고'!B:B,$A86),0)</f>
        <v>0</v>
      </c>
      <c r="H86" s="79">
        <f t="shared" si="2"/>
        <v>0</v>
      </c>
      <c r="I86" s="80">
        <f>IFERROR(SUMIFS('배부로그'!G:G,'배부로그'!D:D,$A86,'배부로그'!F:F,"창고"),0)</f>
        <v>0</v>
      </c>
      <c r="J86" s="59">
        <f>IFERROR(SUMIFS('배부로그'!G:G,'배부로그'!D:D,$A86,'배부로그'!F:F,"4층지원실"),0)</f>
        <v>0</v>
      </c>
      <c r="K86" s="59">
        <f>IFERROR(SUMIFS('배부로그'!G:G,'배부로그'!D:D,$A86,'배부로그'!F:F,"8층지원실"),0)</f>
        <v>0</v>
      </c>
      <c r="L86" s="81">
        <f t="shared" si="3"/>
        <v>0</v>
      </c>
      <c r="M86" s="59">
        <f>IFERROR(SUMIFS('회수로그'!H:H,'회수로그'!E:E,$A86,'회수로그'!G:G,"창고"),0)</f>
        <v>0</v>
      </c>
      <c r="N86" s="59">
        <f>IFERROR(SUMIFS('회수로그'!H:H,'회수로그'!E:E,$A86,'회수로그'!G:G,"4층지원실"),0)</f>
        <v>0</v>
      </c>
      <c r="O86" s="59">
        <f>IFERROR(SUMIFS('회수로그'!H:H,'회수로그'!E:E,$A86,'회수로그'!G:G,"8층지원실"),0)</f>
        <v>0</v>
      </c>
      <c r="P86" s="59">
        <f t="shared" si="4"/>
        <v>0</v>
      </c>
      <c r="Q86" s="59">
        <f>IFERROR(SUMIFS('재고이동로그'!F:F,'재고이동로그'!C:C,$A86,'재고이동로그'!D:D,"창고"),0)</f>
        <v>0</v>
      </c>
      <c r="R86" s="59">
        <f>IFERROR(SUMIFS('재고이동로그'!F:F,'재고이동로그'!C:C,$A86,'재고이동로그'!E:E,"4층지원실"),0)</f>
        <v>0</v>
      </c>
      <c r="S86" s="82">
        <f>IFERROR(SUMIFS('재고이동로그'!F:F,'재고이동로그'!C:C,$A86,'재고이동로그'!E:E,"8층지원실"),0)</f>
        <v>0</v>
      </c>
      <c r="T86" s="59">
        <f>IFERROR(SUMIFS('재고이동로그'!F:F,'재고이동로그'!C:C,$A86,'재고이동로그'!E:E,"창고"),0)</f>
        <v>0</v>
      </c>
      <c r="U86" s="59">
        <f>IFERROR(SUMIFS('재고이동로그'!F:F,'재고이동로그'!C:C,$A86,'재고이동로그'!E:E,"4층지원실"),0)</f>
        <v>0</v>
      </c>
      <c r="V86" s="59">
        <f>IFERROR(SUMIFS('재고이동로그'!F:F,'재고이동로그'!C:C,$A86,'재고이동로그'!E:E,"8층지원실"),0)</f>
        <v>0</v>
      </c>
      <c r="W86" s="83">
        <f t="shared" ref="W86:Y86" si="89">B86+E86-I86+M86-Q86+T86</f>
        <v>0</v>
      </c>
      <c r="X86" s="83">
        <f t="shared" si="89"/>
        <v>0</v>
      </c>
      <c r="Y86" s="83">
        <f t="shared" si="89"/>
        <v>0</v>
      </c>
      <c r="Z86" s="84">
        <f t="shared" si="6"/>
        <v>0</v>
      </c>
      <c r="AA86" s="59" t="str">
        <f t="shared" si="7"/>
        <v>부족</v>
      </c>
      <c r="AB86" s="59"/>
      <c r="AC86" s="59"/>
      <c r="AD86" s="59"/>
      <c r="AE86" s="59"/>
      <c r="AF86" s="59"/>
    </row>
    <row r="87" ht="15.75" customHeight="1">
      <c r="A87" s="59"/>
      <c r="B87" s="77">
        <f>IFERROR(SUMIFS('교재재고'!C:C,'교재재고'!B:B,$A87),0)</f>
        <v>0</v>
      </c>
      <c r="C87" s="77">
        <f>IFERROR(SUMIFS('교재재고'!D:D,'교재재고'!B:B,$A87),0)</f>
        <v>0</v>
      </c>
      <c r="D87" s="77">
        <f>IFERROR(SUMIFS('교재재고'!E:E,'교재재고'!B:B,$A87),0)</f>
        <v>0</v>
      </c>
      <c r="E87" s="78">
        <f>IFERROR(SUMIFS('교재재고'!F:F,'교재재고'!B:B,$A87),0)
+IFERROR(SUMIFS('교재재고'!I:I,'교재재고'!B:B,$A87),0)
+IFERROR(SUMIFS('교재재고'!L:L,'교재재고'!B:B,$A87),0)
+IFERROR(SUMIFS('교재재고'!O:O,'교재재고'!B:B,$A87),0)
+IFERROR(SUMIFS('교재재고'!R:R,'교재재고'!B:B,$A87),0)</f>
        <v>0</v>
      </c>
      <c r="F87" s="79">
        <f>IFERROR(SUMIFS('교재재고'!G:G,'교재재고'!B:B,$A87),0)
+IFERROR(SUMIFS('교재재고'!J:J,'교재재고'!B:B,$A87),0)
+IFERROR(SUMIFS('교재재고'!M:M,'교재재고'!B:B,$A87),0)
+IFERROR(SUMIFS('교재재고'!P:P,'교재재고'!B:B,$A87),0)
+IFERROR(SUMIFS('교재재고'!S:S,'교재재고'!B:B,$A87),0)</f>
        <v>0</v>
      </c>
      <c r="G87" s="79">
        <f>IFERROR(SUMIFS('교재재고'!H:H,'교재재고'!B:B,$A87),0)
+IFERROR(SUMIFS('교재재고'!K:K,'교재재고'!B:B,$A87),0)
+IFERROR(SUMIFS('교재재고'!N:N,'교재재고'!B:B,$A87),0)
+IFERROR(SUMIFS('교재재고'!Q:Q,'교재재고'!B:B,$A87),0)
+IFERROR(SUMIFS('교재재고'!T:T,'교재재고'!B:B,$A87),0)</f>
        <v>0</v>
      </c>
      <c r="H87" s="79">
        <f t="shared" si="2"/>
        <v>0</v>
      </c>
      <c r="I87" s="80">
        <f>IFERROR(SUMIFS('배부로그'!G:G,'배부로그'!D:D,$A87,'배부로그'!F:F,"창고"),0)</f>
        <v>0</v>
      </c>
      <c r="J87" s="59">
        <f>IFERROR(SUMIFS('배부로그'!G:G,'배부로그'!D:D,$A87,'배부로그'!F:F,"4층지원실"),0)</f>
        <v>0</v>
      </c>
      <c r="K87" s="59">
        <f>IFERROR(SUMIFS('배부로그'!G:G,'배부로그'!D:D,$A87,'배부로그'!F:F,"8층지원실"),0)</f>
        <v>0</v>
      </c>
      <c r="L87" s="81">
        <f t="shared" si="3"/>
        <v>0</v>
      </c>
      <c r="M87" s="59">
        <f>IFERROR(SUMIFS('회수로그'!H:H,'회수로그'!E:E,$A87,'회수로그'!G:G,"창고"),0)</f>
        <v>0</v>
      </c>
      <c r="N87" s="59">
        <f>IFERROR(SUMIFS('회수로그'!H:H,'회수로그'!E:E,$A87,'회수로그'!G:G,"4층지원실"),0)</f>
        <v>0</v>
      </c>
      <c r="O87" s="59">
        <f>IFERROR(SUMIFS('회수로그'!H:H,'회수로그'!E:E,$A87,'회수로그'!G:G,"8층지원실"),0)</f>
        <v>0</v>
      </c>
      <c r="P87" s="59">
        <f t="shared" si="4"/>
        <v>0</v>
      </c>
      <c r="Q87" s="59">
        <f>IFERROR(SUMIFS('재고이동로그'!F:F,'재고이동로그'!C:C,$A87,'재고이동로그'!D:D,"창고"),0)</f>
        <v>0</v>
      </c>
      <c r="R87" s="59">
        <f>IFERROR(SUMIFS('재고이동로그'!F:F,'재고이동로그'!C:C,$A87,'재고이동로그'!E:E,"4층지원실"),0)</f>
        <v>0</v>
      </c>
      <c r="S87" s="82">
        <f>IFERROR(SUMIFS('재고이동로그'!F:F,'재고이동로그'!C:C,$A87,'재고이동로그'!E:E,"8층지원실"),0)</f>
        <v>0</v>
      </c>
      <c r="T87" s="59">
        <f>IFERROR(SUMIFS('재고이동로그'!F:F,'재고이동로그'!C:C,$A87,'재고이동로그'!E:E,"창고"),0)</f>
        <v>0</v>
      </c>
      <c r="U87" s="59">
        <f>IFERROR(SUMIFS('재고이동로그'!F:F,'재고이동로그'!C:C,$A87,'재고이동로그'!E:E,"4층지원실"),0)</f>
        <v>0</v>
      </c>
      <c r="V87" s="59">
        <f>IFERROR(SUMIFS('재고이동로그'!F:F,'재고이동로그'!C:C,$A87,'재고이동로그'!E:E,"8층지원실"),0)</f>
        <v>0</v>
      </c>
      <c r="W87" s="83">
        <f t="shared" ref="W87:Y87" si="90">B87+E87-I87+M87-Q87+T87</f>
        <v>0</v>
      </c>
      <c r="X87" s="83">
        <f t="shared" si="90"/>
        <v>0</v>
      </c>
      <c r="Y87" s="83">
        <f t="shared" si="90"/>
        <v>0</v>
      </c>
      <c r="Z87" s="84">
        <f t="shared" si="6"/>
        <v>0</v>
      </c>
      <c r="AA87" s="59" t="str">
        <f t="shared" si="7"/>
        <v>부족</v>
      </c>
      <c r="AB87" s="59"/>
      <c r="AC87" s="59"/>
      <c r="AD87" s="59"/>
      <c r="AE87" s="59"/>
      <c r="AF87" s="59"/>
    </row>
    <row r="88" ht="15.75" customHeight="1">
      <c r="A88" s="59"/>
      <c r="B88" s="77">
        <f>IFERROR(SUMIFS('교재재고'!C:C,'교재재고'!B:B,$A88),0)</f>
        <v>0</v>
      </c>
      <c r="C88" s="77">
        <f>IFERROR(SUMIFS('교재재고'!D:D,'교재재고'!B:B,$A88),0)</f>
        <v>0</v>
      </c>
      <c r="D88" s="77">
        <f>IFERROR(SUMIFS('교재재고'!E:E,'교재재고'!B:B,$A88),0)</f>
        <v>0</v>
      </c>
      <c r="E88" s="78">
        <f>IFERROR(SUMIFS('교재재고'!F:F,'교재재고'!B:B,$A88),0)
+IFERROR(SUMIFS('교재재고'!I:I,'교재재고'!B:B,$A88),0)
+IFERROR(SUMIFS('교재재고'!L:L,'교재재고'!B:B,$A88),0)
+IFERROR(SUMIFS('교재재고'!O:O,'교재재고'!B:B,$A88),0)
+IFERROR(SUMIFS('교재재고'!R:R,'교재재고'!B:B,$A88),0)</f>
        <v>0</v>
      </c>
      <c r="F88" s="79">
        <f>IFERROR(SUMIFS('교재재고'!G:G,'교재재고'!B:B,$A88),0)
+IFERROR(SUMIFS('교재재고'!J:J,'교재재고'!B:B,$A88),0)
+IFERROR(SUMIFS('교재재고'!M:M,'교재재고'!B:B,$A88),0)
+IFERROR(SUMIFS('교재재고'!P:P,'교재재고'!B:B,$A88),0)
+IFERROR(SUMIFS('교재재고'!S:S,'교재재고'!B:B,$A88),0)</f>
        <v>0</v>
      </c>
      <c r="G88" s="79">
        <f>IFERROR(SUMIFS('교재재고'!H:H,'교재재고'!B:B,$A88),0)
+IFERROR(SUMIFS('교재재고'!K:K,'교재재고'!B:B,$A88),0)
+IFERROR(SUMIFS('교재재고'!N:N,'교재재고'!B:B,$A88),0)
+IFERROR(SUMIFS('교재재고'!Q:Q,'교재재고'!B:B,$A88),0)
+IFERROR(SUMIFS('교재재고'!T:T,'교재재고'!B:B,$A88),0)</f>
        <v>0</v>
      </c>
      <c r="H88" s="79">
        <f t="shared" si="2"/>
        <v>0</v>
      </c>
      <c r="I88" s="80">
        <f>IFERROR(SUMIFS('배부로그'!G:G,'배부로그'!D:D,$A88,'배부로그'!F:F,"창고"),0)</f>
        <v>0</v>
      </c>
      <c r="J88" s="59">
        <f>IFERROR(SUMIFS('배부로그'!G:G,'배부로그'!D:D,$A88,'배부로그'!F:F,"4층지원실"),0)</f>
        <v>0</v>
      </c>
      <c r="K88" s="59">
        <f>IFERROR(SUMIFS('배부로그'!G:G,'배부로그'!D:D,$A88,'배부로그'!F:F,"8층지원실"),0)</f>
        <v>0</v>
      </c>
      <c r="L88" s="81">
        <f t="shared" si="3"/>
        <v>0</v>
      </c>
      <c r="M88" s="59">
        <f>IFERROR(SUMIFS('회수로그'!H:H,'회수로그'!E:E,$A88,'회수로그'!G:G,"창고"),0)</f>
        <v>0</v>
      </c>
      <c r="N88" s="59">
        <f>IFERROR(SUMIFS('회수로그'!H:H,'회수로그'!E:E,$A88,'회수로그'!G:G,"4층지원실"),0)</f>
        <v>0</v>
      </c>
      <c r="O88" s="59">
        <f>IFERROR(SUMIFS('회수로그'!H:H,'회수로그'!E:E,$A88,'회수로그'!G:G,"8층지원실"),0)</f>
        <v>0</v>
      </c>
      <c r="P88" s="59">
        <f t="shared" si="4"/>
        <v>0</v>
      </c>
      <c r="Q88" s="59">
        <f>IFERROR(SUMIFS('재고이동로그'!F:F,'재고이동로그'!C:C,$A88,'재고이동로그'!D:D,"창고"),0)</f>
        <v>0</v>
      </c>
      <c r="R88" s="59">
        <f>IFERROR(SUMIFS('재고이동로그'!F:F,'재고이동로그'!C:C,$A88,'재고이동로그'!E:E,"4층지원실"),0)</f>
        <v>0</v>
      </c>
      <c r="S88" s="82">
        <f>IFERROR(SUMIFS('재고이동로그'!F:F,'재고이동로그'!C:C,$A88,'재고이동로그'!E:E,"8층지원실"),0)</f>
        <v>0</v>
      </c>
      <c r="T88" s="59">
        <f>IFERROR(SUMIFS('재고이동로그'!F:F,'재고이동로그'!C:C,$A88,'재고이동로그'!E:E,"창고"),0)</f>
        <v>0</v>
      </c>
      <c r="U88" s="59">
        <f>IFERROR(SUMIFS('재고이동로그'!F:F,'재고이동로그'!C:C,$A88,'재고이동로그'!E:E,"4층지원실"),0)</f>
        <v>0</v>
      </c>
      <c r="V88" s="59">
        <f>IFERROR(SUMIFS('재고이동로그'!F:F,'재고이동로그'!C:C,$A88,'재고이동로그'!E:E,"8층지원실"),0)</f>
        <v>0</v>
      </c>
      <c r="W88" s="83">
        <f t="shared" ref="W88:Y88" si="91">B88+E88-I88+M88-Q88+T88</f>
        <v>0</v>
      </c>
      <c r="X88" s="83">
        <f t="shared" si="91"/>
        <v>0</v>
      </c>
      <c r="Y88" s="83">
        <f t="shared" si="91"/>
        <v>0</v>
      </c>
      <c r="Z88" s="84">
        <f t="shared" si="6"/>
        <v>0</v>
      </c>
      <c r="AA88" s="59" t="str">
        <f t="shared" si="7"/>
        <v>부족</v>
      </c>
      <c r="AB88" s="59"/>
      <c r="AC88" s="59"/>
      <c r="AD88" s="59"/>
      <c r="AE88" s="59"/>
      <c r="AF88" s="59"/>
    </row>
    <row r="89" ht="15.75" customHeight="1">
      <c r="A89" s="59"/>
      <c r="B89" s="77">
        <f>IFERROR(SUMIFS('교재재고'!C:C,'교재재고'!B:B,$A89),0)</f>
        <v>0</v>
      </c>
      <c r="C89" s="77">
        <f>IFERROR(SUMIFS('교재재고'!D:D,'교재재고'!B:B,$A89),0)</f>
        <v>0</v>
      </c>
      <c r="D89" s="77">
        <f>IFERROR(SUMIFS('교재재고'!E:E,'교재재고'!B:B,$A89),0)</f>
        <v>0</v>
      </c>
      <c r="E89" s="78">
        <f>IFERROR(SUMIFS('교재재고'!F:F,'교재재고'!B:B,$A89),0)
+IFERROR(SUMIFS('교재재고'!I:I,'교재재고'!B:B,$A89),0)
+IFERROR(SUMIFS('교재재고'!L:L,'교재재고'!B:B,$A89),0)
+IFERROR(SUMIFS('교재재고'!O:O,'교재재고'!B:B,$A89),0)
+IFERROR(SUMIFS('교재재고'!R:R,'교재재고'!B:B,$A89),0)</f>
        <v>0</v>
      </c>
      <c r="F89" s="79">
        <f>IFERROR(SUMIFS('교재재고'!G:G,'교재재고'!B:B,$A89),0)
+IFERROR(SUMIFS('교재재고'!J:J,'교재재고'!B:B,$A89),0)
+IFERROR(SUMIFS('교재재고'!M:M,'교재재고'!B:B,$A89),0)
+IFERROR(SUMIFS('교재재고'!P:P,'교재재고'!B:B,$A89),0)
+IFERROR(SUMIFS('교재재고'!S:S,'교재재고'!B:B,$A89),0)</f>
        <v>0</v>
      </c>
      <c r="G89" s="79">
        <f>IFERROR(SUMIFS('교재재고'!H:H,'교재재고'!B:B,$A89),0)
+IFERROR(SUMIFS('교재재고'!K:K,'교재재고'!B:B,$A89),0)
+IFERROR(SUMIFS('교재재고'!N:N,'교재재고'!B:B,$A89),0)
+IFERROR(SUMIFS('교재재고'!Q:Q,'교재재고'!B:B,$A89),0)
+IFERROR(SUMIFS('교재재고'!T:T,'교재재고'!B:B,$A89),0)</f>
        <v>0</v>
      </c>
      <c r="H89" s="79">
        <f t="shared" si="2"/>
        <v>0</v>
      </c>
      <c r="I89" s="80">
        <f>IFERROR(SUMIFS('배부로그'!G:G,'배부로그'!D:D,$A89,'배부로그'!F:F,"창고"),0)</f>
        <v>0</v>
      </c>
      <c r="J89" s="59">
        <f>IFERROR(SUMIFS('배부로그'!G:G,'배부로그'!D:D,$A89,'배부로그'!F:F,"4층지원실"),0)</f>
        <v>0</v>
      </c>
      <c r="K89" s="59">
        <f>IFERROR(SUMIFS('배부로그'!G:G,'배부로그'!D:D,$A89,'배부로그'!F:F,"8층지원실"),0)</f>
        <v>0</v>
      </c>
      <c r="L89" s="81">
        <f t="shared" si="3"/>
        <v>0</v>
      </c>
      <c r="M89" s="59">
        <f>IFERROR(SUMIFS('회수로그'!H:H,'회수로그'!E:E,$A89,'회수로그'!G:G,"창고"),0)</f>
        <v>0</v>
      </c>
      <c r="N89" s="59">
        <f>IFERROR(SUMIFS('회수로그'!H:H,'회수로그'!E:E,$A89,'회수로그'!G:G,"4층지원실"),0)</f>
        <v>0</v>
      </c>
      <c r="O89" s="59">
        <f>IFERROR(SUMIFS('회수로그'!H:H,'회수로그'!E:E,$A89,'회수로그'!G:G,"8층지원실"),0)</f>
        <v>0</v>
      </c>
      <c r="P89" s="59">
        <f t="shared" si="4"/>
        <v>0</v>
      </c>
      <c r="Q89" s="59">
        <f>IFERROR(SUMIFS('재고이동로그'!F:F,'재고이동로그'!C:C,$A89,'재고이동로그'!D:D,"창고"),0)</f>
        <v>0</v>
      </c>
      <c r="R89" s="59">
        <f>IFERROR(SUMIFS('재고이동로그'!F:F,'재고이동로그'!C:C,$A89,'재고이동로그'!E:E,"4층지원실"),0)</f>
        <v>0</v>
      </c>
      <c r="S89" s="82">
        <f>IFERROR(SUMIFS('재고이동로그'!F:F,'재고이동로그'!C:C,$A89,'재고이동로그'!E:E,"8층지원실"),0)</f>
        <v>0</v>
      </c>
      <c r="T89" s="59">
        <f>IFERROR(SUMIFS('재고이동로그'!F:F,'재고이동로그'!C:C,$A89,'재고이동로그'!E:E,"창고"),0)</f>
        <v>0</v>
      </c>
      <c r="U89" s="59">
        <f>IFERROR(SUMIFS('재고이동로그'!F:F,'재고이동로그'!C:C,$A89,'재고이동로그'!E:E,"4층지원실"),0)</f>
        <v>0</v>
      </c>
      <c r="V89" s="59">
        <f>IFERROR(SUMIFS('재고이동로그'!F:F,'재고이동로그'!C:C,$A89,'재고이동로그'!E:E,"8층지원실"),0)</f>
        <v>0</v>
      </c>
      <c r="W89" s="83">
        <f t="shared" ref="W89:Y89" si="92">B89+E89-I89+M89-Q89+T89</f>
        <v>0</v>
      </c>
      <c r="X89" s="83">
        <f t="shared" si="92"/>
        <v>0</v>
      </c>
      <c r="Y89" s="83">
        <f t="shared" si="92"/>
        <v>0</v>
      </c>
      <c r="Z89" s="84">
        <f t="shared" si="6"/>
        <v>0</v>
      </c>
      <c r="AA89" s="59" t="str">
        <f t="shared" si="7"/>
        <v>부족</v>
      </c>
      <c r="AB89" s="59"/>
      <c r="AC89" s="59"/>
      <c r="AD89" s="59"/>
      <c r="AE89" s="59"/>
      <c r="AF89" s="59"/>
    </row>
    <row r="90" ht="15.75" customHeight="1">
      <c r="A90" s="59"/>
      <c r="B90" s="77">
        <f>IFERROR(SUMIFS('교재재고'!C:C,'교재재고'!B:B,$A90),0)</f>
        <v>0</v>
      </c>
      <c r="C90" s="77">
        <f>IFERROR(SUMIFS('교재재고'!D:D,'교재재고'!B:B,$A90),0)</f>
        <v>0</v>
      </c>
      <c r="D90" s="77">
        <f>IFERROR(SUMIFS('교재재고'!E:E,'교재재고'!B:B,$A90),0)</f>
        <v>0</v>
      </c>
      <c r="E90" s="78">
        <f>IFERROR(SUMIFS('교재재고'!F:F,'교재재고'!B:B,$A90),0)
+IFERROR(SUMIFS('교재재고'!I:I,'교재재고'!B:B,$A90),0)
+IFERROR(SUMIFS('교재재고'!L:L,'교재재고'!B:B,$A90),0)
+IFERROR(SUMIFS('교재재고'!O:O,'교재재고'!B:B,$A90),0)
+IFERROR(SUMIFS('교재재고'!R:R,'교재재고'!B:B,$A90),0)</f>
        <v>0</v>
      </c>
      <c r="F90" s="79">
        <f>IFERROR(SUMIFS('교재재고'!G:G,'교재재고'!B:B,$A90),0)
+IFERROR(SUMIFS('교재재고'!J:J,'교재재고'!B:B,$A90),0)
+IFERROR(SUMIFS('교재재고'!M:M,'교재재고'!B:B,$A90),0)
+IFERROR(SUMIFS('교재재고'!P:P,'교재재고'!B:B,$A90),0)
+IFERROR(SUMIFS('교재재고'!S:S,'교재재고'!B:B,$A90),0)</f>
        <v>0</v>
      </c>
      <c r="G90" s="79">
        <f>IFERROR(SUMIFS('교재재고'!H:H,'교재재고'!B:B,$A90),0)
+IFERROR(SUMIFS('교재재고'!K:K,'교재재고'!B:B,$A90),0)
+IFERROR(SUMIFS('교재재고'!N:N,'교재재고'!B:B,$A90),0)
+IFERROR(SUMIFS('교재재고'!Q:Q,'교재재고'!B:B,$A90),0)
+IFERROR(SUMIFS('교재재고'!T:T,'교재재고'!B:B,$A90),0)</f>
        <v>0</v>
      </c>
      <c r="H90" s="79">
        <f t="shared" si="2"/>
        <v>0</v>
      </c>
      <c r="I90" s="80">
        <f>IFERROR(SUMIFS('배부로그'!G:G,'배부로그'!D:D,$A90,'배부로그'!F:F,"창고"),0)</f>
        <v>0</v>
      </c>
      <c r="J90" s="59">
        <f>IFERROR(SUMIFS('배부로그'!G:G,'배부로그'!D:D,$A90,'배부로그'!F:F,"4층지원실"),0)</f>
        <v>0</v>
      </c>
      <c r="K90" s="59">
        <f>IFERROR(SUMIFS('배부로그'!G:G,'배부로그'!D:D,$A90,'배부로그'!F:F,"8층지원실"),0)</f>
        <v>0</v>
      </c>
      <c r="L90" s="81">
        <f t="shared" si="3"/>
        <v>0</v>
      </c>
      <c r="M90" s="59">
        <f>IFERROR(SUMIFS('회수로그'!H:H,'회수로그'!E:E,$A90,'회수로그'!G:G,"창고"),0)</f>
        <v>0</v>
      </c>
      <c r="N90" s="59">
        <f>IFERROR(SUMIFS('회수로그'!H:H,'회수로그'!E:E,$A90,'회수로그'!G:G,"4층지원실"),0)</f>
        <v>0</v>
      </c>
      <c r="O90" s="59">
        <f>IFERROR(SUMIFS('회수로그'!H:H,'회수로그'!E:E,$A90,'회수로그'!G:G,"8층지원실"),0)</f>
        <v>0</v>
      </c>
      <c r="P90" s="59">
        <f t="shared" si="4"/>
        <v>0</v>
      </c>
      <c r="Q90" s="59">
        <f>IFERROR(SUMIFS('재고이동로그'!F:F,'재고이동로그'!C:C,$A90,'재고이동로그'!D:D,"창고"),0)</f>
        <v>0</v>
      </c>
      <c r="R90" s="59">
        <f>IFERROR(SUMIFS('재고이동로그'!F:F,'재고이동로그'!C:C,$A90,'재고이동로그'!E:E,"4층지원실"),0)</f>
        <v>0</v>
      </c>
      <c r="S90" s="82">
        <f>IFERROR(SUMIFS('재고이동로그'!F:F,'재고이동로그'!C:C,$A90,'재고이동로그'!E:E,"8층지원실"),0)</f>
        <v>0</v>
      </c>
      <c r="T90" s="59">
        <f>IFERROR(SUMIFS('재고이동로그'!F:F,'재고이동로그'!C:C,$A90,'재고이동로그'!E:E,"창고"),0)</f>
        <v>0</v>
      </c>
      <c r="U90" s="59">
        <f>IFERROR(SUMIFS('재고이동로그'!F:F,'재고이동로그'!C:C,$A90,'재고이동로그'!E:E,"4층지원실"),0)</f>
        <v>0</v>
      </c>
      <c r="V90" s="59">
        <f>IFERROR(SUMIFS('재고이동로그'!F:F,'재고이동로그'!C:C,$A90,'재고이동로그'!E:E,"8층지원실"),0)</f>
        <v>0</v>
      </c>
      <c r="W90" s="83">
        <f t="shared" ref="W90:Y90" si="93">B90+E90-I90+M90-Q90+T90</f>
        <v>0</v>
      </c>
      <c r="X90" s="83">
        <f t="shared" si="93"/>
        <v>0</v>
      </c>
      <c r="Y90" s="83">
        <f t="shared" si="93"/>
        <v>0</v>
      </c>
      <c r="Z90" s="84">
        <f t="shared" si="6"/>
        <v>0</v>
      </c>
      <c r="AA90" s="59" t="str">
        <f t="shared" si="7"/>
        <v>부족</v>
      </c>
      <c r="AB90" s="59"/>
      <c r="AC90" s="59"/>
      <c r="AD90" s="59"/>
      <c r="AE90" s="59"/>
      <c r="AF90" s="59"/>
    </row>
    <row r="91" ht="15.75" customHeight="1">
      <c r="A91" s="59"/>
      <c r="B91" s="77">
        <f>IFERROR(SUMIFS('교재재고'!C:C,'교재재고'!B:B,$A91),0)</f>
        <v>0</v>
      </c>
      <c r="C91" s="77">
        <f>IFERROR(SUMIFS('교재재고'!D:D,'교재재고'!B:B,$A91),0)</f>
        <v>0</v>
      </c>
      <c r="D91" s="77">
        <f>IFERROR(SUMIFS('교재재고'!E:E,'교재재고'!B:B,$A91),0)</f>
        <v>0</v>
      </c>
      <c r="E91" s="78">
        <f>IFERROR(SUMIFS('교재재고'!F:F,'교재재고'!B:B,$A91),0)
+IFERROR(SUMIFS('교재재고'!I:I,'교재재고'!B:B,$A91),0)
+IFERROR(SUMIFS('교재재고'!L:L,'교재재고'!B:B,$A91),0)
+IFERROR(SUMIFS('교재재고'!O:O,'교재재고'!B:B,$A91),0)
+IFERROR(SUMIFS('교재재고'!R:R,'교재재고'!B:B,$A91),0)</f>
        <v>0</v>
      </c>
      <c r="F91" s="79">
        <f>IFERROR(SUMIFS('교재재고'!G:G,'교재재고'!B:B,$A91),0)
+IFERROR(SUMIFS('교재재고'!J:J,'교재재고'!B:B,$A91),0)
+IFERROR(SUMIFS('교재재고'!M:M,'교재재고'!B:B,$A91),0)
+IFERROR(SUMIFS('교재재고'!P:P,'교재재고'!B:B,$A91),0)
+IFERROR(SUMIFS('교재재고'!S:S,'교재재고'!B:B,$A91),0)</f>
        <v>0</v>
      </c>
      <c r="G91" s="79">
        <f>IFERROR(SUMIFS('교재재고'!H:H,'교재재고'!B:B,$A91),0)
+IFERROR(SUMIFS('교재재고'!K:K,'교재재고'!B:B,$A91),0)
+IFERROR(SUMIFS('교재재고'!N:N,'교재재고'!B:B,$A91),0)
+IFERROR(SUMIFS('교재재고'!Q:Q,'교재재고'!B:B,$A91),0)
+IFERROR(SUMIFS('교재재고'!T:T,'교재재고'!B:B,$A91),0)</f>
        <v>0</v>
      </c>
      <c r="H91" s="79">
        <f t="shared" si="2"/>
        <v>0</v>
      </c>
      <c r="I91" s="80">
        <f>IFERROR(SUMIFS('배부로그'!G:G,'배부로그'!D:D,$A91,'배부로그'!F:F,"창고"),0)</f>
        <v>0</v>
      </c>
      <c r="J91" s="59">
        <f>IFERROR(SUMIFS('배부로그'!G:G,'배부로그'!D:D,$A91,'배부로그'!F:F,"4층지원실"),0)</f>
        <v>0</v>
      </c>
      <c r="K91" s="59">
        <f>IFERROR(SUMIFS('배부로그'!G:G,'배부로그'!D:D,$A91,'배부로그'!F:F,"8층지원실"),0)</f>
        <v>0</v>
      </c>
      <c r="L91" s="81">
        <f t="shared" si="3"/>
        <v>0</v>
      </c>
      <c r="M91" s="59">
        <f>IFERROR(SUMIFS('회수로그'!H:H,'회수로그'!E:E,$A91,'회수로그'!G:G,"창고"),0)</f>
        <v>0</v>
      </c>
      <c r="N91" s="59">
        <f>IFERROR(SUMIFS('회수로그'!H:H,'회수로그'!E:E,$A91,'회수로그'!G:G,"4층지원실"),0)</f>
        <v>0</v>
      </c>
      <c r="O91" s="59">
        <f>IFERROR(SUMIFS('회수로그'!H:H,'회수로그'!E:E,$A91,'회수로그'!G:G,"8층지원실"),0)</f>
        <v>0</v>
      </c>
      <c r="P91" s="59">
        <f t="shared" si="4"/>
        <v>0</v>
      </c>
      <c r="Q91" s="59">
        <f>IFERROR(SUMIFS('재고이동로그'!F:F,'재고이동로그'!C:C,$A91,'재고이동로그'!D:D,"창고"),0)</f>
        <v>0</v>
      </c>
      <c r="R91" s="59">
        <f>IFERROR(SUMIFS('재고이동로그'!F:F,'재고이동로그'!C:C,$A91,'재고이동로그'!E:E,"4층지원실"),0)</f>
        <v>0</v>
      </c>
      <c r="S91" s="82">
        <f>IFERROR(SUMIFS('재고이동로그'!F:F,'재고이동로그'!C:C,$A91,'재고이동로그'!E:E,"8층지원실"),0)</f>
        <v>0</v>
      </c>
      <c r="T91" s="59">
        <f>IFERROR(SUMIFS('재고이동로그'!F:F,'재고이동로그'!C:C,$A91,'재고이동로그'!E:E,"창고"),0)</f>
        <v>0</v>
      </c>
      <c r="U91" s="59">
        <f>IFERROR(SUMIFS('재고이동로그'!F:F,'재고이동로그'!C:C,$A91,'재고이동로그'!E:E,"4층지원실"),0)</f>
        <v>0</v>
      </c>
      <c r="V91" s="59">
        <f>IFERROR(SUMIFS('재고이동로그'!F:F,'재고이동로그'!C:C,$A91,'재고이동로그'!E:E,"8층지원실"),0)</f>
        <v>0</v>
      </c>
      <c r="W91" s="83">
        <f t="shared" ref="W91:Y91" si="94">B91+E91-I91+M91-Q91+T91</f>
        <v>0</v>
      </c>
      <c r="X91" s="83">
        <f t="shared" si="94"/>
        <v>0</v>
      </c>
      <c r="Y91" s="83">
        <f t="shared" si="94"/>
        <v>0</v>
      </c>
      <c r="Z91" s="84">
        <f t="shared" si="6"/>
        <v>0</v>
      </c>
      <c r="AA91" s="59" t="str">
        <f t="shared" si="7"/>
        <v>부족</v>
      </c>
      <c r="AB91" s="59"/>
      <c r="AC91" s="59"/>
      <c r="AD91" s="59"/>
      <c r="AE91" s="59"/>
      <c r="AF91" s="59"/>
    </row>
    <row r="92" ht="15.75" customHeight="1">
      <c r="A92" s="59"/>
      <c r="B92" s="77">
        <f>IFERROR(SUMIFS('교재재고'!C:C,'교재재고'!B:B,$A92),0)</f>
        <v>0</v>
      </c>
      <c r="C92" s="77">
        <f>IFERROR(SUMIFS('교재재고'!D:D,'교재재고'!B:B,$A92),0)</f>
        <v>0</v>
      </c>
      <c r="D92" s="77">
        <f>IFERROR(SUMIFS('교재재고'!E:E,'교재재고'!B:B,$A92),0)</f>
        <v>0</v>
      </c>
      <c r="E92" s="78">
        <f>IFERROR(SUMIFS('교재재고'!F:F,'교재재고'!B:B,$A92),0)
+IFERROR(SUMIFS('교재재고'!I:I,'교재재고'!B:B,$A92),0)
+IFERROR(SUMIFS('교재재고'!L:L,'교재재고'!B:B,$A92),0)
+IFERROR(SUMIFS('교재재고'!O:O,'교재재고'!B:B,$A92),0)
+IFERROR(SUMIFS('교재재고'!R:R,'교재재고'!B:B,$A92),0)</f>
        <v>0</v>
      </c>
      <c r="F92" s="79">
        <f>IFERROR(SUMIFS('교재재고'!G:G,'교재재고'!B:B,$A92),0)
+IFERROR(SUMIFS('교재재고'!J:J,'교재재고'!B:B,$A92),0)
+IFERROR(SUMIFS('교재재고'!M:M,'교재재고'!B:B,$A92),0)
+IFERROR(SUMIFS('교재재고'!P:P,'교재재고'!B:B,$A92),0)
+IFERROR(SUMIFS('교재재고'!S:S,'교재재고'!B:B,$A92),0)</f>
        <v>0</v>
      </c>
      <c r="G92" s="79">
        <f>IFERROR(SUMIFS('교재재고'!H:H,'교재재고'!B:B,$A92),0)
+IFERROR(SUMIFS('교재재고'!K:K,'교재재고'!B:B,$A92),0)
+IFERROR(SUMIFS('교재재고'!N:N,'교재재고'!B:B,$A92),0)
+IFERROR(SUMIFS('교재재고'!Q:Q,'교재재고'!B:B,$A92),0)
+IFERROR(SUMIFS('교재재고'!T:T,'교재재고'!B:B,$A92),0)</f>
        <v>0</v>
      </c>
      <c r="H92" s="79">
        <f t="shared" si="2"/>
        <v>0</v>
      </c>
      <c r="I92" s="80">
        <f>IFERROR(SUMIFS('배부로그'!G:G,'배부로그'!D:D,$A92,'배부로그'!F:F,"창고"),0)</f>
        <v>0</v>
      </c>
      <c r="J92" s="59">
        <f>IFERROR(SUMIFS('배부로그'!G:G,'배부로그'!D:D,$A92,'배부로그'!F:F,"4층지원실"),0)</f>
        <v>0</v>
      </c>
      <c r="K92" s="59">
        <f>IFERROR(SUMIFS('배부로그'!G:G,'배부로그'!D:D,$A92,'배부로그'!F:F,"8층지원실"),0)</f>
        <v>0</v>
      </c>
      <c r="L92" s="81">
        <f t="shared" si="3"/>
        <v>0</v>
      </c>
      <c r="M92" s="59">
        <f>IFERROR(SUMIFS('회수로그'!H:H,'회수로그'!E:E,$A92,'회수로그'!G:G,"창고"),0)</f>
        <v>0</v>
      </c>
      <c r="N92" s="59">
        <f>IFERROR(SUMIFS('회수로그'!H:H,'회수로그'!E:E,$A92,'회수로그'!G:G,"4층지원실"),0)</f>
        <v>0</v>
      </c>
      <c r="O92" s="59">
        <f>IFERROR(SUMIFS('회수로그'!H:H,'회수로그'!E:E,$A92,'회수로그'!G:G,"8층지원실"),0)</f>
        <v>0</v>
      </c>
      <c r="P92" s="59">
        <f t="shared" si="4"/>
        <v>0</v>
      </c>
      <c r="Q92" s="59">
        <f>IFERROR(SUMIFS('재고이동로그'!F:F,'재고이동로그'!C:C,$A92,'재고이동로그'!D:D,"창고"),0)</f>
        <v>0</v>
      </c>
      <c r="R92" s="59">
        <f>IFERROR(SUMIFS('재고이동로그'!F:F,'재고이동로그'!C:C,$A92,'재고이동로그'!E:E,"4층지원실"),0)</f>
        <v>0</v>
      </c>
      <c r="S92" s="82">
        <f>IFERROR(SUMIFS('재고이동로그'!F:F,'재고이동로그'!C:C,$A92,'재고이동로그'!E:E,"8층지원실"),0)</f>
        <v>0</v>
      </c>
      <c r="T92" s="59">
        <f>IFERROR(SUMIFS('재고이동로그'!F:F,'재고이동로그'!C:C,$A92,'재고이동로그'!E:E,"창고"),0)</f>
        <v>0</v>
      </c>
      <c r="U92" s="59">
        <f>IFERROR(SUMIFS('재고이동로그'!F:F,'재고이동로그'!C:C,$A92,'재고이동로그'!E:E,"4층지원실"),0)</f>
        <v>0</v>
      </c>
      <c r="V92" s="59">
        <f>IFERROR(SUMIFS('재고이동로그'!F:F,'재고이동로그'!C:C,$A92,'재고이동로그'!E:E,"8층지원실"),0)</f>
        <v>0</v>
      </c>
      <c r="W92" s="83">
        <f t="shared" ref="W92:Y92" si="95">B92+E92-I92+M92-Q92+T92</f>
        <v>0</v>
      </c>
      <c r="X92" s="83">
        <f t="shared" si="95"/>
        <v>0</v>
      </c>
      <c r="Y92" s="83">
        <f t="shared" si="95"/>
        <v>0</v>
      </c>
      <c r="Z92" s="84">
        <f t="shared" si="6"/>
        <v>0</v>
      </c>
      <c r="AA92" s="59" t="str">
        <f t="shared" si="7"/>
        <v>부족</v>
      </c>
      <c r="AB92" s="59"/>
      <c r="AC92" s="59"/>
      <c r="AD92" s="59"/>
      <c r="AE92" s="59"/>
      <c r="AF92" s="59"/>
    </row>
    <row r="93" ht="15.75" customHeight="1">
      <c r="A93" s="59"/>
      <c r="B93" s="77">
        <f>IFERROR(SUMIFS('교재재고'!C:C,'교재재고'!B:B,$A93),0)</f>
        <v>0</v>
      </c>
      <c r="C93" s="77">
        <f>IFERROR(SUMIFS('교재재고'!D:D,'교재재고'!B:B,$A93),0)</f>
        <v>0</v>
      </c>
      <c r="D93" s="77">
        <f>IFERROR(SUMIFS('교재재고'!E:E,'교재재고'!B:B,$A93),0)</f>
        <v>0</v>
      </c>
      <c r="E93" s="78">
        <f>IFERROR(SUMIFS('교재재고'!F:F,'교재재고'!B:B,$A93),0)
+IFERROR(SUMIFS('교재재고'!I:I,'교재재고'!B:B,$A93),0)
+IFERROR(SUMIFS('교재재고'!L:L,'교재재고'!B:B,$A93),0)
+IFERROR(SUMIFS('교재재고'!O:O,'교재재고'!B:B,$A93),0)
+IFERROR(SUMIFS('교재재고'!R:R,'교재재고'!B:B,$A93),0)</f>
        <v>0</v>
      </c>
      <c r="F93" s="79">
        <f>IFERROR(SUMIFS('교재재고'!G:G,'교재재고'!B:B,$A93),0)
+IFERROR(SUMIFS('교재재고'!J:J,'교재재고'!B:B,$A93),0)
+IFERROR(SUMIFS('교재재고'!M:M,'교재재고'!B:B,$A93),0)
+IFERROR(SUMIFS('교재재고'!P:P,'교재재고'!B:B,$A93),0)
+IFERROR(SUMIFS('교재재고'!S:S,'교재재고'!B:B,$A93),0)</f>
        <v>0</v>
      </c>
      <c r="G93" s="79">
        <f>IFERROR(SUMIFS('교재재고'!H:H,'교재재고'!B:B,$A93),0)
+IFERROR(SUMIFS('교재재고'!K:K,'교재재고'!B:B,$A93),0)
+IFERROR(SUMIFS('교재재고'!N:N,'교재재고'!B:B,$A93),0)
+IFERROR(SUMIFS('교재재고'!Q:Q,'교재재고'!B:B,$A93),0)
+IFERROR(SUMIFS('교재재고'!T:T,'교재재고'!B:B,$A93),0)</f>
        <v>0</v>
      </c>
      <c r="H93" s="79">
        <f t="shared" si="2"/>
        <v>0</v>
      </c>
      <c r="I93" s="80">
        <f>IFERROR(SUMIFS('배부로그'!G:G,'배부로그'!D:D,$A93,'배부로그'!F:F,"창고"),0)</f>
        <v>0</v>
      </c>
      <c r="J93" s="59">
        <f>IFERROR(SUMIFS('배부로그'!G:G,'배부로그'!D:D,$A93,'배부로그'!F:F,"4층지원실"),0)</f>
        <v>0</v>
      </c>
      <c r="K93" s="59">
        <f>IFERROR(SUMIFS('배부로그'!G:G,'배부로그'!D:D,$A93,'배부로그'!F:F,"8층지원실"),0)</f>
        <v>0</v>
      </c>
      <c r="L93" s="81">
        <f t="shared" si="3"/>
        <v>0</v>
      </c>
      <c r="M93" s="59">
        <f>IFERROR(SUMIFS('회수로그'!H:H,'회수로그'!E:E,$A93,'회수로그'!G:G,"창고"),0)</f>
        <v>0</v>
      </c>
      <c r="N93" s="59">
        <f>IFERROR(SUMIFS('회수로그'!H:H,'회수로그'!E:E,$A93,'회수로그'!G:G,"4층지원실"),0)</f>
        <v>0</v>
      </c>
      <c r="O93" s="59">
        <f>IFERROR(SUMIFS('회수로그'!H:H,'회수로그'!E:E,$A93,'회수로그'!G:G,"8층지원실"),0)</f>
        <v>0</v>
      </c>
      <c r="P93" s="59">
        <f t="shared" si="4"/>
        <v>0</v>
      </c>
      <c r="Q93" s="59">
        <f>IFERROR(SUMIFS('재고이동로그'!F:F,'재고이동로그'!C:C,$A93,'재고이동로그'!D:D,"창고"),0)</f>
        <v>0</v>
      </c>
      <c r="R93" s="59">
        <f>IFERROR(SUMIFS('재고이동로그'!F:F,'재고이동로그'!C:C,$A93,'재고이동로그'!E:E,"4층지원실"),0)</f>
        <v>0</v>
      </c>
      <c r="S93" s="82">
        <f>IFERROR(SUMIFS('재고이동로그'!F:F,'재고이동로그'!C:C,$A93,'재고이동로그'!E:E,"8층지원실"),0)</f>
        <v>0</v>
      </c>
      <c r="T93" s="59">
        <f>IFERROR(SUMIFS('재고이동로그'!F:F,'재고이동로그'!C:C,$A93,'재고이동로그'!E:E,"창고"),0)</f>
        <v>0</v>
      </c>
      <c r="U93" s="59">
        <f>IFERROR(SUMIFS('재고이동로그'!F:F,'재고이동로그'!C:C,$A93,'재고이동로그'!E:E,"4층지원실"),0)</f>
        <v>0</v>
      </c>
      <c r="V93" s="59">
        <f>IFERROR(SUMIFS('재고이동로그'!F:F,'재고이동로그'!C:C,$A93,'재고이동로그'!E:E,"8층지원실"),0)</f>
        <v>0</v>
      </c>
      <c r="W93" s="83">
        <f t="shared" ref="W93:Y93" si="96">B93+E93-I93+M93-Q93+T93</f>
        <v>0</v>
      </c>
      <c r="X93" s="83">
        <f t="shared" si="96"/>
        <v>0</v>
      </c>
      <c r="Y93" s="83">
        <f t="shared" si="96"/>
        <v>0</v>
      </c>
      <c r="Z93" s="84">
        <f t="shared" si="6"/>
        <v>0</v>
      </c>
      <c r="AA93" s="59" t="str">
        <f t="shared" si="7"/>
        <v>부족</v>
      </c>
      <c r="AB93" s="59"/>
      <c r="AC93" s="59"/>
      <c r="AD93" s="59"/>
      <c r="AE93" s="59"/>
      <c r="AF93" s="59"/>
    </row>
    <row r="94" ht="15.75" customHeight="1">
      <c r="A94" s="59"/>
      <c r="B94" s="77">
        <f>IFERROR(SUMIFS('교재재고'!C:C,'교재재고'!B:B,$A94),0)</f>
        <v>0</v>
      </c>
      <c r="C94" s="77">
        <f>IFERROR(SUMIFS('교재재고'!D:D,'교재재고'!B:B,$A94),0)</f>
        <v>0</v>
      </c>
      <c r="D94" s="77">
        <f>IFERROR(SUMIFS('교재재고'!E:E,'교재재고'!B:B,$A94),0)</f>
        <v>0</v>
      </c>
      <c r="E94" s="78">
        <f>IFERROR(SUMIFS('교재재고'!F:F,'교재재고'!B:B,$A94),0)
+IFERROR(SUMIFS('교재재고'!I:I,'교재재고'!B:B,$A94),0)
+IFERROR(SUMIFS('교재재고'!L:L,'교재재고'!B:B,$A94),0)
+IFERROR(SUMIFS('교재재고'!O:O,'교재재고'!B:B,$A94),0)
+IFERROR(SUMIFS('교재재고'!R:R,'교재재고'!B:B,$A94),0)</f>
        <v>0</v>
      </c>
      <c r="F94" s="79">
        <f>IFERROR(SUMIFS('교재재고'!G:G,'교재재고'!B:B,$A94),0)
+IFERROR(SUMIFS('교재재고'!J:J,'교재재고'!B:B,$A94),0)
+IFERROR(SUMIFS('교재재고'!M:M,'교재재고'!B:B,$A94),0)
+IFERROR(SUMIFS('교재재고'!P:P,'교재재고'!B:B,$A94),0)
+IFERROR(SUMIFS('교재재고'!S:S,'교재재고'!B:B,$A94),0)</f>
        <v>0</v>
      </c>
      <c r="G94" s="79">
        <f>IFERROR(SUMIFS('교재재고'!H:H,'교재재고'!B:B,$A94),0)
+IFERROR(SUMIFS('교재재고'!K:K,'교재재고'!B:B,$A94),0)
+IFERROR(SUMIFS('교재재고'!N:N,'교재재고'!B:B,$A94),0)
+IFERROR(SUMIFS('교재재고'!Q:Q,'교재재고'!B:B,$A94),0)
+IFERROR(SUMIFS('교재재고'!T:T,'교재재고'!B:B,$A94),0)</f>
        <v>0</v>
      </c>
      <c r="H94" s="79">
        <f t="shared" si="2"/>
        <v>0</v>
      </c>
      <c r="I94" s="80">
        <f>IFERROR(SUMIFS('배부로그'!G:G,'배부로그'!D:D,$A94,'배부로그'!F:F,"창고"),0)</f>
        <v>0</v>
      </c>
      <c r="J94" s="59">
        <f>IFERROR(SUMIFS('배부로그'!G:G,'배부로그'!D:D,$A94,'배부로그'!F:F,"4층지원실"),0)</f>
        <v>0</v>
      </c>
      <c r="K94" s="59">
        <f>IFERROR(SUMIFS('배부로그'!G:G,'배부로그'!D:D,$A94,'배부로그'!F:F,"8층지원실"),0)</f>
        <v>0</v>
      </c>
      <c r="L94" s="81">
        <f t="shared" si="3"/>
        <v>0</v>
      </c>
      <c r="M94" s="59">
        <f>IFERROR(SUMIFS('회수로그'!H:H,'회수로그'!E:E,$A94,'회수로그'!G:G,"창고"),0)</f>
        <v>0</v>
      </c>
      <c r="N94" s="59">
        <f>IFERROR(SUMIFS('회수로그'!H:H,'회수로그'!E:E,$A94,'회수로그'!G:G,"4층지원실"),0)</f>
        <v>0</v>
      </c>
      <c r="O94" s="59">
        <f>IFERROR(SUMIFS('회수로그'!H:H,'회수로그'!E:E,$A94,'회수로그'!G:G,"8층지원실"),0)</f>
        <v>0</v>
      </c>
      <c r="P94" s="59">
        <f t="shared" si="4"/>
        <v>0</v>
      </c>
      <c r="Q94" s="59">
        <f>IFERROR(SUMIFS('재고이동로그'!F:F,'재고이동로그'!C:C,$A94,'재고이동로그'!D:D,"창고"),0)</f>
        <v>0</v>
      </c>
      <c r="R94" s="59">
        <f>IFERROR(SUMIFS('재고이동로그'!F:F,'재고이동로그'!C:C,$A94,'재고이동로그'!E:E,"4층지원실"),0)</f>
        <v>0</v>
      </c>
      <c r="S94" s="82">
        <f>IFERROR(SUMIFS('재고이동로그'!F:F,'재고이동로그'!C:C,$A94,'재고이동로그'!E:E,"8층지원실"),0)</f>
        <v>0</v>
      </c>
      <c r="T94" s="59">
        <f>IFERROR(SUMIFS('재고이동로그'!F:F,'재고이동로그'!C:C,$A94,'재고이동로그'!E:E,"창고"),0)</f>
        <v>0</v>
      </c>
      <c r="U94" s="59">
        <f>IFERROR(SUMIFS('재고이동로그'!F:F,'재고이동로그'!C:C,$A94,'재고이동로그'!E:E,"4층지원실"),0)</f>
        <v>0</v>
      </c>
      <c r="V94" s="59">
        <f>IFERROR(SUMIFS('재고이동로그'!F:F,'재고이동로그'!C:C,$A94,'재고이동로그'!E:E,"8층지원실"),0)</f>
        <v>0</v>
      </c>
      <c r="W94" s="83">
        <f t="shared" ref="W94:Y94" si="97">B94+E94-I94+M94-Q94+T94</f>
        <v>0</v>
      </c>
      <c r="X94" s="83">
        <f t="shared" si="97"/>
        <v>0</v>
      </c>
      <c r="Y94" s="83">
        <f t="shared" si="97"/>
        <v>0</v>
      </c>
      <c r="Z94" s="84">
        <f t="shared" si="6"/>
        <v>0</v>
      </c>
      <c r="AA94" s="59" t="str">
        <f t="shared" si="7"/>
        <v>부족</v>
      </c>
      <c r="AB94" s="59"/>
      <c r="AC94" s="59"/>
      <c r="AD94" s="59"/>
      <c r="AE94" s="59"/>
      <c r="AF94" s="59"/>
    </row>
    <row r="95" ht="15.75" customHeight="1">
      <c r="A95" s="59"/>
      <c r="B95" s="77">
        <f>IFERROR(SUMIFS('교재재고'!C:C,'교재재고'!B:B,$A95),0)</f>
        <v>0</v>
      </c>
      <c r="C95" s="77">
        <f>IFERROR(SUMIFS('교재재고'!D:D,'교재재고'!B:B,$A95),0)</f>
        <v>0</v>
      </c>
      <c r="D95" s="77">
        <f>IFERROR(SUMIFS('교재재고'!E:E,'교재재고'!B:B,$A95),0)</f>
        <v>0</v>
      </c>
      <c r="E95" s="78">
        <f>IFERROR(SUMIFS('교재재고'!F:F,'교재재고'!B:B,$A95),0)
+IFERROR(SUMIFS('교재재고'!I:I,'교재재고'!B:B,$A95),0)
+IFERROR(SUMIFS('교재재고'!L:L,'교재재고'!B:B,$A95),0)
+IFERROR(SUMIFS('교재재고'!O:O,'교재재고'!B:B,$A95),0)
+IFERROR(SUMIFS('교재재고'!R:R,'교재재고'!B:B,$A95),0)</f>
        <v>0</v>
      </c>
      <c r="F95" s="79">
        <f>IFERROR(SUMIFS('교재재고'!G:G,'교재재고'!B:B,$A95),0)
+IFERROR(SUMIFS('교재재고'!J:J,'교재재고'!B:B,$A95),0)
+IFERROR(SUMIFS('교재재고'!M:M,'교재재고'!B:B,$A95),0)
+IFERROR(SUMIFS('교재재고'!P:P,'교재재고'!B:B,$A95),0)
+IFERROR(SUMIFS('교재재고'!S:S,'교재재고'!B:B,$A95),0)</f>
        <v>0</v>
      </c>
      <c r="G95" s="79">
        <f>IFERROR(SUMIFS('교재재고'!H:H,'교재재고'!B:B,$A95),0)
+IFERROR(SUMIFS('교재재고'!K:K,'교재재고'!B:B,$A95),0)
+IFERROR(SUMIFS('교재재고'!N:N,'교재재고'!B:B,$A95),0)
+IFERROR(SUMIFS('교재재고'!Q:Q,'교재재고'!B:B,$A95),0)
+IFERROR(SUMIFS('교재재고'!T:T,'교재재고'!B:B,$A95),0)</f>
        <v>0</v>
      </c>
      <c r="H95" s="79">
        <f t="shared" si="2"/>
        <v>0</v>
      </c>
      <c r="I95" s="80">
        <f>IFERROR(SUMIFS('배부로그'!G:G,'배부로그'!D:D,$A95,'배부로그'!F:F,"창고"),0)</f>
        <v>0</v>
      </c>
      <c r="J95" s="59">
        <f>IFERROR(SUMIFS('배부로그'!G:G,'배부로그'!D:D,$A95,'배부로그'!F:F,"4층지원실"),0)</f>
        <v>0</v>
      </c>
      <c r="K95" s="59">
        <f>IFERROR(SUMIFS('배부로그'!G:G,'배부로그'!D:D,$A95,'배부로그'!F:F,"8층지원실"),0)</f>
        <v>0</v>
      </c>
      <c r="L95" s="81">
        <f t="shared" si="3"/>
        <v>0</v>
      </c>
      <c r="M95" s="59">
        <f>IFERROR(SUMIFS('회수로그'!H:H,'회수로그'!E:E,$A95,'회수로그'!G:G,"창고"),0)</f>
        <v>0</v>
      </c>
      <c r="N95" s="59">
        <f>IFERROR(SUMIFS('회수로그'!H:H,'회수로그'!E:E,$A95,'회수로그'!G:G,"4층지원실"),0)</f>
        <v>0</v>
      </c>
      <c r="O95" s="59">
        <f>IFERROR(SUMIFS('회수로그'!H:H,'회수로그'!E:E,$A95,'회수로그'!G:G,"8층지원실"),0)</f>
        <v>0</v>
      </c>
      <c r="P95" s="59">
        <f t="shared" si="4"/>
        <v>0</v>
      </c>
      <c r="Q95" s="59">
        <f>IFERROR(SUMIFS('재고이동로그'!F:F,'재고이동로그'!C:C,$A95,'재고이동로그'!D:D,"창고"),0)</f>
        <v>0</v>
      </c>
      <c r="R95" s="59">
        <f>IFERROR(SUMIFS('재고이동로그'!F:F,'재고이동로그'!C:C,$A95,'재고이동로그'!E:E,"4층지원실"),0)</f>
        <v>0</v>
      </c>
      <c r="S95" s="82">
        <f>IFERROR(SUMIFS('재고이동로그'!F:F,'재고이동로그'!C:C,$A95,'재고이동로그'!E:E,"8층지원실"),0)</f>
        <v>0</v>
      </c>
      <c r="T95" s="59">
        <f>IFERROR(SUMIFS('재고이동로그'!F:F,'재고이동로그'!C:C,$A95,'재고이동로그'!E:E,"창고"),0)</f>
        <v>0</v>
      </c>
      <c r="U95" s="59">
        <f>IFERROR(SUMIFS('재고이동로그'!F:F,'재고이동로그'!C:C,$A95,'재고이동로그'!E:E,"4층지원실"),0)</f>
        <v>0</v>
      </c>
      <c r="V95" s="59">
        <f>IFERROR(SUMIFS('재고이동로그'!F:F,'재고이동로그'!C:C,$A95,'재고이동로그'!E:E,"8층지원실"),0)</f>
        <v>0</v>
      </c>
      <c r="W95" s="83">
        <f t="shared" ref="W95:Y95" si="98">B95+E95-I95+M95-Q95+T95</f>
        <v>0</v>
      </c>
      <c r="X95" s="83">
        <f t="shared" si="98"/>
        <v>0</v>
      </c>
      <c r="Y95" s="83">
        <f t="shared" si="98"/>
        <v>0</v>
      </c>
      <c r="Z95" s="84">
        <f t="shared" si="6"/>
        <v>0</v>
      </c>
      <c r="AA95" s="59" t="str">
        <f t="shared" si="7"/>
        <v>부족</v>
      </c>
      <c r="AB95" s="59"/>
      <c r="AC95" s="59"/>
      <c r="AD95" s="59"/>
      <c r="AE95" s="59"/>
      <c r="AF95" s="59"/>
    </row>
    <row r="96" ht="15.75" customHeight="1">
      <c r="A96" s="59"/>
      <c r="B96" s="77">
        <f>IFERROR(SUMIFS('교재재고'!C:C,'교재재고'!B:B,$A96),0)</f>
        <v>0</v>
      </c>
      <c r="C96" s="77">
        <f>IFERROR(SUMIFS('교재재고'!D:D,'교재재고'!B:B,$A96),0)</f>
        <v>0</v>
      </c>
      <c r="D96" s="77">
        <f>IFERROR(SUMIFS('교재재고'!E:E,'교재재고'!B:B,$A96),0)</f>
        <v>0</v>
      </c>
      <c r="E96" s="78">
        <f>IFERROR(SUMIFS('교재재고'!F:F,'교재재고'!B:B,$A96),0)
+IFERROR(SUMIFS('교재재고'!I:I,'교재재고'!B:B,$A96),0)
+IFERROR(SUMIFS('교재재고'!L:L,'교재재고'!B:B,$A96),0)
+IFERROR(SUMIFS('교재재고'!O:O,'교재재고'!B:B,$A96),0)
+IFERROR(SUMIFS('교재재고'!R:R,'교재재고'!B:B,$A96),0)</f>
        <v>0</v>
      </c>
      <c r="F96" s="79">
        <f>IFERROR(SUMIFS('교재재고'!G:G,'교재재고'!B:B,$A96),0)
+IFERROR(SUMIFS('교재재고'!J:J,'교재재고'!B:B,$A96),0)
+IFERROR(SUMIFS('교재재고'!M:M,'교재재고'!B:B,$A96),0)
+IFERROR(SUMIFS('교재재고'!P:P,'교재재고'!B:B,$A96),0)
+IFERROR(SUMIFS('교재재고'!S:S,'교재재고'!B:B,$A96),0)</f>
        <v>0</v>
      </c>
      <c r="G96" s="79">
        <f>IFERROR(SUMIFS('교재재고'!H:H,'교재재고'!B:B,$A96),0)
+IFERROR(SUMIFS('교재재고'!K:K,'교재재고'!B:B,$A96),0)
+IFERROR(SUMIFS('교재재고'!N:N,'교재재고'!B:B,$A96),0)
+IFERROR(SUMIFS('교재재고'!Q:Q,'교재재고'!B:B,$A96),0)
+IFERROR(SUMIFS('교재재고'!T:T,'교재재고'!B:B,$A96),0)</f>
        <v>0</v>
      </c>
      <c r="H96" s="79">
        <f t="shared" si="2"/>
        <v>0</v>
      </c>
      <c r="I96" s="80">
        <f>IFERROR(SUMIFS('배부로그'!G:G,'배부로그'!D:D,$A96,'배부로그'!F:F,"창고"),0)</f>
        <v>0</v>
      </c>
      <c r="J96" s="59">
        <f>IFERROR(SUMIFS('배부로그'!G:G,'배부로그'!D:D,$A96,'배부로그'!F:F,"4층지원실"),0)</f>
        <v>0</v>
      </c>
      <c r="K96" s="59">
        <f>IFERROR(SUMIFS('배부로그'!G:G,'배부로그'!D:D,$A96,'배부로그'!F:F,"8층지원실"),0)</f>
        <v>0</v>
      </c>
      <c r="L96" s="81">
        <f t="shared" si="3"/>
        <v>0</v>
      </c>
      <c r="M96" s="59">
        <f>IFERROR(SUMIFS('회수로그'!H:H,'회수로그'!E:E,$A96,'회수로그'!G:G,"창고"),0)</f>
        <v>0</v>
      </c>
      <c r="N96" s="59">
        <f>IFERROR(SUMIFS('회수로그'!H:H,'회수로그'!E:E,$A96,'회수로그'!G:G,"4층지원실"),0)</f>
        <v>0</v>
      </c>
      <c r="O96" s="59">
        <f>IFERROR(SUMIFS('회수로그'!H:H,'회수로그'!E:E,$A96,'회수로그'!G:G,"8층지원실"),0)</f>
        <v>0</v>
      </c>
      <c r="P96" s="59">
        <f t="shared" si="4"/>
        <v>0</v>
      </c>
      <c r="Q96" s="59">
        <f>IFERROR(SUMIFS('재고이동로그'!F:F,'재고이동로그'!C:C,$A96,'재고이동로그'!D:D,"창고"),0)</f>
        <v>0</v>
      </c>
      <c r="R96" s="59">
        <f>IFERROR(SUMIFS('재고이동로그'!F:F,'재고이동로그'!C:C,$A96,'재고이동로그'!E:E,"4층지원실"),0)</f>
        <v>0</v>
      </c>
      <c r="S96" s="82">
        <f>IFERROR(SUMIFS('재고이동로그'!F:F,'재고이동로그'!C:C,$A96,'재고이동로그'!E:E,"8층지원실"),0)</f>
        <v>0</v>
      </c>
      <c r="T96" s="59">
        <f>IFERROR(SUMIFS('재고이동로그'!F:F,'재고이동로그'!C:C,$A96,'재고이동로그'!E:E,"창고"),0)</f>
        <v>0</v>
      </c>
      <c r="U96" s="59">
        <f>IFERROR(SUMIFS('재고이동로그'!F:F,'재고이동로그'!C:C,$A96,'재고이동로그'!E:E,"4층지원실"),0)</f>
        <v>0</v>
      </c>
      <c r="V96" s="59">
        <f>IFERROR(SUMIFS('재고이동로그'!F:F,'재고이동로그'!C:C,$A96,'재고이동로그'!E:E,"8층지원실"),0)</f>
        <v>0</v>
      </c>
      <c r="W96" s="83">
        <f t="shared" ref="W96:Y96" si="99">B96+E96-I96+M96-Q96+T96</f>
        <v>0</v>
      </c>
      <c r="X96" s="83">
        <f t="shared" si="99"/>
        <v>0</v>
      </c>
      <c r="Y96" s="83">
        <f t="shared" si="99"/>
        <v>0</v>
      </c>
      <c r="Z96" s="84">
        <f t="shared" si="6"/>
        <v>0</v>
      </c>
      <c r="AA96" s="59" t="str">
        <f t="shared" si="7"/>
        <v>부족</v>
      </c>
      <c r="AB96" s="59"/>
      <c r="AC96" s="59"/>
      <c r="AD96" s="59"/>
      <c r="AE96" s="59"/>
      <c r="AF96" s="59"/>
    </row>
    <row r="97" ht="15.75" customHeight="1">
      <c r="A97" s="59"/>
      <c r="B97" s="77">
        <f>IFERROR(SUMIFS('교재재고'!C:C,'교재재고'!B:B,$A97),0)</f>
        <v>0</v>
      </c>
      <c r="C97" s="77">
        <f>IFERROR(SUMIFS('교재재고'!D:D,'교재재고'!B:B,$A97),0)</f>
        <v>0</v>
      </c>
      <c r="D97" s="77">
        <f>IFERROR(SUMIFS('교재재고'!E:E,'교재재고'!B:B,$A97),0)</f>
        <v>0</v>
      </c>
      <c r="E97" s="78">
        <f>IFERROR(SUMIFS('교재재고'!F:F,'교재재고'!B:B,$A97),0)
+IFERROR(SUMIFS('교재재고'!I:I,'교재재고'!B:B,$A97),0)
+IFERROR(SUMIFS('교재재고'!L:L,'교재재고'!B:B,$A97),0)
+IFERROR(SUMIFS('교재재고'!O:O,'교재재고'!B:B,$A97),0)
+IFERROR(SUMIFS('교재재고'!R:R,'교재재고'!B:B,$A97),0)</f>
        <v>0</v>
      </c>
      <c r="F97" s="79">
        <f>IFERROR(SUMIFS('교재재고'!G:G,'교재재고'!B:B,$A97),0)
+IFERROR(SUMIFS('교재재고'!J:J,'교재재고'!B:B,$A97),0)
+IFERROR(SUMIFS('교재재고'!M:M,'교재재고'!B:B,$A97),0)
+IFERROR(SUMIFS('교재재고'!P:P,'교재재고'!B:B,$A97),0)
+IFERROR(SUMIFS('교재재고'!S:S,'교재재고'!B:B,$A97),0)</f>
        <v>0</v>
      </c>
      <c r="G97" s="79">
        <f>IFERROR(SUMIFS('교재재고'!H:H,'교재재고'!B:B,$A97),0)
+IFERROR(SUMIFS('교재재고'!K:K,'교재재고'!B:B,$A97),0)
+IFERROR(SUMIFS('교재재고'!N:N,'교재재고'!B:B,$A97),0)
+IFERROR(SUMIFS('교재재고'!Q:Q,'교재재고'!B:B,$A97),0)
+IFERROR(SUMIFS('교재재고'!T:T,'교재재고'!B:B,$A97),0)</f>
        <v>0</v>
      </c>
      <c r="H97" s="79">
        <f t="shared" si="2"/>
        <v>0</v>
      </c>
      <c r="I97" s="80">
        <f>IFERROR(SUMIFS('배부로그'!G:G,'배부로그'!D:D,$A97,'배부로그'!F:F,"창고"),0)</f>
        <v>0</v>
      </c>
      <c r="J97" s="59">
        <f>IFERROR(SUMIFS('배부로그'!G:G,'배부로그'!D:D,$A97,'배부로그'!F:F,"4층지원실"),0)</f>
        <v>0</v>
      </c>
      <c r="K97" s="59">
        <f>IFERROR(SUMIFS('배부로그'!G:G,'배부로그'!D:D,$A97,'배부로그'!F:F,"8층지원실"),0)</f>
        <v>0</v>
      </c>
      <c r="L97" s="81">
        <f t="shared" si="3"/>
        <v>0</v>
      </c>
      <c r="M97" s="59">
        <f>IFERROR(SUMIFS('회수로그'!H:H,'회수로그'!E:E,$A97,'회수로그'!G:G,"창고"),0)</f>
        <v>0</v>
      </c>
      <c r="N97" s="59">
        <f>IFERROR(SUMIFS('회수로그'!H:H,'회수로그'!E:E,$A97,'회수로그'!G:G,"4층지원실"),0)</f>
        <v>0</v>
      </c>
      <c r="O97" s="59">
        <f>IFERROR(SUMIFS('회수로그'!H:H,'회수로그'!E:E,$A97,'회수로그'!G:G,"8층지원실"),0)</f>
        <v>0</v>
      </c>
      <c r="P97" s="59">
        <f t="shared" si="4"/>
        <v>0</v>
      </c>
      <c r="Q97" s="59">
        <f>IFERROR(SUMIFS('재고이동로그'!F:F,'재고이동로그'!C:C,$A97,'재고이동로그'!D:D,"창고"),0)</f>
        <v>0</v>
      </c>
      <c r="R97" s="59">
        <f>IFERROR(SUMIFS('재고이동로그'!F:F,'재고이동로그'!C:C,$A97,'재고이동로그'!E:E,"4층지원실"),0)</f>
        <v>0</v>
      </c>
      <c r="S97" s="82">
        <f>IFERROR(SUMIFS('재고이동로그'!F:F,'재고이동로그'!C:C,$A97,'재고이동로그'!E:E,"8층지원실"),0)</f>
        <v>0</v>
      </c>
      <c r="T97" s="59">
        <f>IFERROR(SUMIFS('재고이동로그'!F:F,'재고이동로그'!C:C,$A97,'재고이동로그'!E:E,"창고"),0)</f>
        <v>0</v>
      </c>
      <c r="U97" s="59">
        <f>IFERROR(SUMIFS('재고이동로그'!F:F,'재고이동로그'!C:C,$A97,'재고이동로그'!E:E,"4층지원실"),0)</f>
        <v>0</v>
      </c>
      <c r="V97" s="59">
        <f>IFERROR(SUMIFS('재고이동로그'!F:F,'재고이동로그'!C:C,$A97,'재고이동로그'!E:E,"8층지원실"),0)</f>
        <v>0</v>
      </c>
      <c r="W97" s="83">
        <f t="shared" ref="W97:Y97" si="100">B97+E97-I97+M97-Q97+T97</f>
        <v>0</v>
      </c>
      <c r="X97" s="83">
        <f t="shared" si="100"/>
        <v>0</v>
      </c>
      <c r="Y97" s="83">
        <f t="shared" si="100"/>
        <v>0</v>
      </c>
      <c r="Z97" s="84">
        <f t="shared" si="6"/>
        <v>0</v>
      </c>
      <c r="AA97" s="59" t="str">
        <f t="shared" si="7"/>
        <v>부족</v>
      </c>
      <c r="AB97" s="59"/>
      <c r="AC97" s="59"/>
      <c r="AD97" s="59"/>
      <c r="AE97" s="59"/>
      <c r="AF97" s="59"/>
    </row>
    <row r="98" ht="15.75" customHeight="1">
      <c r="A98" s="59"/>
      <c r="B98" s="77">
        <f>IFERROR(SUMIFS('교재재고'!C:C,'교재재고'!B:B,$A98),0)</f>
        <v>0</v>
      </c>
      <c r="C98" s="77">
        <f>IFERROR(SUMIFS('교재재고'!D:D,'교재재고'!B:B,$A98),0)</f>
        <v>0</v>
      </c>
      <c r="D98" s="77">
        <f>IFERROR(SUMIFS('교재재고'!E:E,'교재재고'!B:B,$A98),0)</f>
        <v>0</v>
      </c>
      <c r="E98" s="78">
        <f>IFERROR(SUMIFS('교재재고'!F:F,'교재재고'!B:B,$A98),0)
+IFERROR(SUMIFS('교재재고'!I:I,'교재재고'!B:B,$A98),0)
+IFERROR(SUMIFS('교재재고'!L:L,'교재재고'!B:B,$A98),0)
+IFERROR(SUMIFS('교재재고'!O:O,'교재재고'!B:B,$A98),0)
+IFERROR(SUMIFS('교재재고'!R:R,'교재재고'!B:B,$A98),0)</f>
        <v>0</v>
      </c>
      <c r="F98" s="79">
        <f>IFERROR(SUMIFS('교재재고'!G:G,'교재재고'!B:B,$A98),0)
+IFERROR(SUMIFS('교재재고'!J:J,'교재재고'!B:B,$A98),0)
+IFERROR(SUMIFS('교재재고'!M:M,'교재재고'!B:B,$A98),0)
+IFERROR(SUMIFS('교재재고'!P:P,'교재재고'!B:B,$A98),0)
+IFERROR(SUMIFS('교재재고'!S:S,'교재재고'!B:B,$A98),0)</f>
        <v>0</v>
      </c>
      <c r="G98" s="79">
        <f>IFERROR(SUMIFS('교재재고'!H:H,'교재재고'!B:B,$A98),0)
+IFERROR(SUMIFS('교재재고'!K:K,'교재재고'!B:B,$A98),0)
+IFERROR(SUMIFS('교재재고'!N:N,'교재재고'!B:B,$A98),0)
+IFERROR(SUMIFS('교재재고'!Q:Q,'교재재고'!B:B,$A98),0)
+IFERROR(SUMIFS('교재재고'!T:T,'교재재고'!B:B,$A98),0)</f>
        <v>0</v>
      </c>
      <c r="H98" s="79">
        <f t="shared" si="2"/>
        <v>0</v>
      </c>
      <c r="I98" s="80">
        <f>IFERROR(SUMIFS('배부로그'!G:G,'배부로그'!D:D,$A98,'배부로그'!F:F,"창고"),0)</f>
        <v>0</v>
      </c>
      <c r="J98" s="59">
        <f>IFERROR(SUMIFS('배부로그'!G:G,'배부로그'!D:D,$A98,'배부로그'!F:F,"4층지원실"),0)</f>
        <v>0</v>
      </c>
      <c r="K98" s="59">
        <f>IFERROR(SUMIFS('배부로그'!G:G,'배부로그'!D:D,$A98,'배부로그'!F:F,"8층지원실"),0)</f>
        <v>0</v>
      </c>
      <c r="L98" s="81">
        <f t="shared" si="3"/>
        <v>0</v>
      </c>
      <c r="M98" s="59">
        <f>IFERROR(SUMIFS('회수로그'!H:H,'회수로그'!E:E,$A98,'회수로그'!G:G,"창고"),0)</f>
        <v>0</v>
      </c>
      <c r="N98" s="59">
        <f>IFERROR(SUMIFS('회수로그'!H:H,'회수로그'!E:E,$A98,'회수로그'!G:G,"4층지원실"),0)</f>
        <v>0</v>
      </c>
      <c r="O98" s="59">
        <f>IFERROR(SUMIFS('회수로그'!H:H,'회수로그'!E:E,$A98,'회수로그'!G:G,"8층지원실"),0)</f>
        <v>0</v>
      </c>
      <c r="P98" s="59">
        <f t="shared" si="4"/>
        <v>0</v>
      </c>
      <c r="Q98" s="59">
        <f>IFERROR(SUMIFS('재고이동로그'!F:F,'재고이동로그'!C:C,$A98,'재고이동로그'!D:D,"창고"),0)</f>
        <v>0</v>
      </c>
      <c r="R98" s="59">
        <f>IFERROR(SUMIFS('재고이동로그'!F:F,'재고이동로그'!C:C,$A98,'재고이동로그'!E:E,"4층지원실"),0)</f>
        <v>0</v>
      </c>
      <c r="S98" s="82">
        <f>IFERROR(SUMIFS('재고이동로그'!F:F,'재고이동로그'!C:C,$A98,'재고이동로그'!E:E,"8층지원실"),0)</f>
        <v>0</v>
      </c>
      <c r="T98" s="59">
        <f>IFERROR(SUMIFS('재고이동로그'!F:F,'재고이동로그'!C:C,$A98,'재고이동로그'!E:E,"창고"),0)</f>
        <v>0</v>
      </c>
      <c r="U98" s="59">
        <f>IFERROR(SUMIFS('재고이동로그'!F:F,'재고이동로그'!C:C,$A98,'재고이동로그'!E:E,"4층지원실"),0)</f>
        <v>0</v>
      </c>
      <c r="V98" s="59">
        <f>IFERROR(SUMIFS('재고이동로그'!F:F,'재고이동로그'!C:C,$A98,'재고이동로그'!E:E,"8층지원실"),0)</f>
        <v>0</v>
      </c>
      <c r="W98" s="83">
        <f t="shared" ref="W98:Y98" si="101">B98+E98-I98+M98-Q98+T98</f>
        <v>0</v>
      </c>
      <c r="X98" s="83">
        <f t="shared" si="101"/>
        <v>0</v>
      </c>
      <c r="Y98" s="83">
        <f t="shared" si="101"/>
        <v>0</v>
      </c>
      <c r="Z98" s="84">
        <f t="shared" si="6"/>
        <v>0</v>
      </c>
      <c r="AA98" s="59" t="str">
        <f t="shared" si="7"/>
        <v>부족</v>
      </c>
      <c r="AB98" s="59"/>
      <c r="AC98" s="59"/>
      <c r="AD98" s="59"/>
      <c r="AE98" s="59"/>
      <c r="AF98" s="59"/>
    </row>
    <row r="99" ht="15.75" customHeight="1">
      <c r="A99" s="59"/>
      <c r="B99" s="77">
        <f>IFERROR(SUMIFS('교재재고'!C:C,'교재재고'!B:B,$A99),0)</f>
        <v>0</v>
      </c>
      <c r="C99" s="77">
        <f>IFERROR(SUMIFS('교재재고'!D:D,'교재재고'!B:B,$A99),0)</f>
        <v>0</v>
      </c>
      <c r="D99" s="77">
        <f>IFERROR(SUMIFS('교재재고'!E:E,'교재재고'!B:B,$A99),0)</f>
        <v>0</v>
      </c>
      <c r="E99" s="78">
        <f>IFERROR(SUMIFS('교재재고'!F:F,'교재재고'!B:B,$A99),0)
+IFERROR(SUMIFS('교재재고'!I:I,'교재재고'!B:B,$A99),0)
+IFERROR(SUMIFS('교재재고'!L:L,'교재재고'!B:B,$A99),0)
+IFERROR(SUMIFS('교재재고'!O:O,'교재재고'!B:B,$A99),0)
+IFERROR(SUMIFS('교재재고'!R:R,'교재재고'!B:B,$A99),0)</f>
        <v>0</v>
      </c>
      <c r="F99" s="79">
        <f>IFERROR(SUMIFS('교재재고'!G:G,'교재재고'!B:B,$A99),0)
+IFERROR(SUMIFS('교재재고'!J:J,'교재재고'!B:B,$A99),0)
+IFERROR(SUMIFS('교재재고'!M:M,'교재재고'!B:B,$A99),0)
+IFERROR(SUMIFS('교재재고'!P:P,'교재재고'!B:B,$A99),0)
+IFERROR(SUMIFS('교재재고'!S:S,'교재재고'!B:B,$A99),0)</f>
        <v>0</v>
      </c>
      <c r="G99" s="79">
        <f>IFERROR(SUMIFS('교재재고'!H:H,'교재재고'!B:B,$A99),0)
+IFERROR(SUMIFS('교재재고'!K:K,'교재재고'!B:B,$A99),0)
+IFERROR(SUMIFS('교재재고'!N:N,'교재재고'!B:B,$A99),0)
+IFERROR(SUMIFS('교재재고'!Q:Q,'교재재고'!B:B,$A99),0)
+IFERROR(SUMIFS('교재재고'!T:T,'교재재고'!B:B,$A99),0)</f>
        <v>0</v>
      </c>
      <c r="H99" s="79">
        <f t="shared" si="2"/>
        <v>0</v>
      </c>
      <c r="I99" s="80">
        <f>IFERROR(SUMIFS('배부로그'!G:G,'배부로그'!D:D,$A99,'배부로그'!F:F,"창고"),0)</f>
        <v>0</v>
      </c>
      <c r="J99" s="59">
        <f>IFERROR(SUMIFS('배부로그'!G:G,'배부로그'!D:D,$A99,'배부로그'!F:F,"4층지원실"),0)</f>
        <v>0</v>
      </c>
      <c r="K99" s="59">
        <f>IFERROR(SUMIFS('배부로그'!G:G,'배부로그'!D:D,$A99,'배부로그'!F:F,"8층지원실"),0)</f>
        <v>0</v>
      </c>
      <c r="L99" s="81">
        <f t="shared" si="3"/>
        <v>0</v>
      </c>
      <c r="M99" s="59">
        <f>IFERROR(SUMIFS('회수로그'!H:H,'회수로그'!E:E,$A99,'회수로그'!G:G,"창고"),0)</f>
        <v>0</v>
      </c>
      <c r="N99" s="59">
        <f>IFERROR(SUMIFS('회수로그'!H:H,'회수로그'!E:E,$A99,'회수로그'!G:G,"4층지원실"),0)</f>
        <v>0</v>
      </c>
      <c r="O99" s="59">
        <f>IFERROR(SUMIFS('회수로그'!H:H,'회수로그'!E:E,$A99,'회수로그'!G:G,"8층지원실"),0)</f>
        <v>0</v>
      </c>
      <c r="P99" s="59">
        <f t="shared" si="4"/>
        <v>0</v>
      </c>
      <c r="Q99" s="59">
        <f>IFERROR(SUMIFS('재고이동로그'!F:F,'재고이동로그'!C:C,$A99,'재고이동로그'!D:D,"창고"),0)</f>
        <v>0</v>
      </c>
      <c r="R99" s="59">
        <f>IFERROR(SUMIFS('재고이동로그'!F:F,'재고이동로그'!C:C,$A99,'재고이동로그'!E:E,"4층지원실"),0)</f>
        <v>0</v>
      </c>
      <c r="S99" s="82">
        <f>IFERROR(SUMIFS('재고이동로그'!F:F,'재고이동로그'!C:C,$A99,'재고이동로그'!E:E,"8층지원실"),0)</f>
        <v>0</v>
      </c>
      <c r="T99" s="59">
        <f>IFERROR(SUMIFS('재고이동로그'!F:F,'재고이동로그'!C:C,$A99,'재고이동로그'!E:E,"창고"),0)</f>
        <v>0</v>
      </c>
      <c r="U99" s="59">
        <f>IFERROR(SUMIFS('재고이동로그'!F:F,'재고이동로그'!C:C,$A99,'재고이동로그'!E:E,"4층지원실"),0)</f>
        <v>0</v>
      </c>
      <c r="V99" s="59">
        <f>IFERROR(SUMIFS('재고이동로그'!F:F,'재고이동로그'!C:C,$A99,'재고이동로그'!E:E,"8층지원실"),0)</f>
        <v>0</v>
      </c>
      <c r="W99" s="83">
        <f t="shared" ref="W99:Y99" si="102">B99+E99-I99+M99-Q99+T99</f>
        <v>0</v>
      </c>
      <c r="X99" s="83">
        <f t="shared" si="102"/>
        <v>0</v>
      </c>
      <c r="Y99" s="83">
        <f t="shared" si="102"/>
        <v>0</v>
      </c>
      <c r="Z99" s="84">
        <f t="shared" si="6"/>
        <v>0</v>
      </c>
      <c r="AA99" s="59" t="str">
        <f t="shared" si="7"/>
        <v>부족</v>
      </c>
      <c r="AB99" s="59"/>
      <c r="AC99" s="59"/>
      <c r="AD99" s="59"/>
      <c r="AE99" s="59"/>
      <c r="AF99" s="59"/>
    </row>
    <row r="100" ht="15.75" customHeight="1">
      <c r="A100" s="59"/>
      <c r="B100" s="77">
        <f>IFERROR(SUMIFS('교재재고'!C:C,'교재재고'!B:B,$A100),0)</f>
        <v>0</v>
      </c>
      <c r="C100" s="77">
        <f>IFERROR(SUMIFS('교재재고'!D:D,'교재재고'!B:B,$A100),0)</f>
        <v>0</v>
      </c>
      <c r="D100" s="77">
        <f>IFERROR(SUMIFS('교재재고'!E:E,'교재재고'!B:B,$A100),0)</f>
        <v>0</v>
      </c>
      <c r="E100" s="78">
        <f>IFERROR(SUMIFS('교재재고'!F:F,'교재재고'!B:B,$A100),0)
+IFERROR(SUMIFS('교재재고'!I:I,'교재재고'!B:B,$A100),0)
+IFERROR(SUMIFS('교재재고'!L:L,'교재재고'!B:B,$A100),0)
+IFERROR(SUMIFS('교재재고'!O:O,'교재재고'!B:B,$A100),0)
+IFERROR(SUMIFS('교재재고'!R:R,'교재재고'!B:B,$A100),0)</f>
        <v>0</v>
      </c>
      <c r="F100" s="79">
        <f>IFERROR(SUMIFS('교재재고'!G:G,'교재재고'!B:B,$A100),0)
+IFERROR(SUMIFS('교재재고'!J:J,'교재재고'!B:B,$A100),0)
+IFERROR(SUMIFS('교재재고'!M:M,'교재재고'!B:B,$A100),0)
+IFERROR(SUMIFS('교재재고'!P:P,'교재재고'!B:B,$A100),0)
+IFERROR(SUMIFS('교재재고'!S:S,'교재재고'!B:B,$A100),0)</f>
        <v>0</v>
      </c>
      <c r="G100" s="79">
        <f>IFERROR(SUMIFS('교재재고'!H:H,'교재재고'!B:B,$A100),0)
+IFERROR(SUMIFS('교재재고'!K:K,'교재재고'!B:B,$A100),0)
+IFERROR(SUMIFS('교재재고'!N:N,'교재재고'!B:B,$A100),0)
+IFERROR(SUMIFS('교재재고'!Q:Q,'교재재고'!B:B,$A100),0)
+IFERROR(SUMIFS('교재재고'!T:T,'교재재고'!B:B,$A100),0)</f>
        <v>0</v>
      </c>
      <c r="H100" s="79">
        <f t="shared" si="2"/>
        <v>0</v>
      </c>
      <c r="I100" s="80">
        <f>IFERROR(SUMIFS('배부로그'!G:G,'배부로그'!D:D,$A100,'배부로그'!F:F,"창고"),0)</f>
        <v>0</v>
      </c>
      <c r="J100" s="59">
        <f>IFERROR(SUMIFS('배부로그'!G:G,'배부로그'!D:D,$A100,'배부로그'!F:F,"4층지원실"),0)</f>
        <v>0</v>
      </c>
      <c r="K100" s="59">
        <f>IFERROR(SUMIFS('배부로그'!G:G,'배부로그'!D:D,$A100,'배부로그'!F:F,"8층지원실"),0)</f>
        <v>0</v>
      </c>
      <c r="L100" s="81">
        <f t="shared" si="3"/>
        <v>0</v>
      </c>
      <c r="M100" s="59">
        <f>IFERROR(SUMIFS('회수로그'!H:H,'회수로그'!E:E,$A100,'회수로그'!G:G,"창고"),0)</f>
        <v>0</v>
      </c>
      <c r="N100" s="59">
        <f>IFERROR(SUMIFS('회수로그'!H:H,'회수로그'!E:E,$A100,'회수로그'!G:G,"4층지원실"),0)</f>
        <v>0</v>
      </c>
      <c r="O100" s="59">
        <f>IFERROR(SUMIFS('회수로그'!H:H,'회수로그'!E:E,$A100,'회수로그'!G:G,"8층지원실"),0)</f>
        <v>0</v>
      </c>
      <c r="P100" s="59">
        <f t="shared" si="4"/>
        <v>0</v>
      </c>
      <c r="Q100" s="59">
        <f>IFERROR(SUMIFS('재고이동로그'!F:F,'재고이동로그'!C:C,$A100,'재고이동로그'!D:D,"창고"),0)</f>
        <v>0</v>
      </c>
      <c r="R100" s="59">
        <f>IFERROR(SUMIFS('재고이동로그'!F:F,'재고이동로그'!C:C,$A100,'재고이동로그'!E:E,"4층지원실"),0)</f>
        <v>0</v>
      </c>
      <c r="S100" s="82">
        <f>IFERROR(SUMIFS('재고이동로그'!F:F,'재고이동로그'!C:C,$A100,'재고이동로그'!E:E,"8층지원실"),0)</f>
        <v>0</v>
      </c>
      <c r="T100" s="59">
        <f>IFERROR(SUMIFS('재고이동로그'!F:F,'재고이동로그'!C:C,$A100,'재고이동로그'!E:E,"창고"),0)</f>
        <v>0</v>
      </c>
      <c r="U100" s="59">
        <f>IFERROR(SUMIFS('재고이동로그'!F:F,'재고이동로그'!C:C,$A100,'재고이동로그'!E:E,"4층지원실"),0)</f>
        <v>0</v>
      </c>
      <c r="V100" s="59">
        <f>IFERROR(SUMIFS('재고이동로그'!F:F,'재고이동로그'!C:C,$A100,'재고이동로그'!E:E,"8층지원실"),0)</f>
        <v>0</v>
      </c>
      <c r="W100" s="83">
        <f t="shared" ref="W100:Y100" si="103">B100+E100-I100+M100-Q100+T100</f>
        <v>0</v>
      </c>
      <c r="X100" s="83">
        <f t="shared" si="103"/>
        <v>0</v>
      </c>
      <c r="Y100" s="83">
        <f t="shared" si="103"/>
        <v>0</v>
      </c>
      <c r="Z100" s="84">
        <f t="shared" si="6"/>
        <v>0</v>
      </c>
      <c r="AA100" s="59" t="str">
        <f t="shared" si="7"/>
        <v>부족</v>
      </c>
      <c r="AB100" s="59"/>
      <c r="AC100" s="59"/>
      <c r="AD100" s="59"/>
      <c r="AE100" s="59"/>
      <c r="AF100" s="59"/>
    </row>
    <row r="101" ht="15.75" customHeight="1">
      <c r="A101" s="59"/>
      <c r="B101" s="77">
        <f>IFERROR(SUMIFS('교재재고'!C:C,'교재재고'!B:B,$A101),0)</f>
        <v>0</v>
      </c>
      <c r="C101" s="77">
        <f>IFERROR(SUMIFS('교재재고'!D:D,'교재재고'!B:B,$A101),0)</f>
        <v>0</v>
      </c>
      <c r="D101" s="77">
        <f>IFERROR(SUMIFS('교재재고'!E:E,'교재재고'!B:B,$A101),0)</f>
        <v>0</v>
      </c>
      <c r="E101" s="78">
        <f>IFERROR(SUMIFS('교재재고'!F:F,'교재재고'!B:B,$A101),0)
+IFERROR(SUMIFS('교재재고'!I:I,'교재재고'!B:B,$A101),0)
+IFERROR(SUMIFS('교재재고'!L:L,'교재재고'!B:B,$A101),0)
+IFERROR(SUMIFS('교재재고'!O:O,'교재재고'!B:B,$A101),0)
+IFERROR(SUMIFS('교재재고'!R:R,'교재재고'!B:B,$A101),0)</f>
        <v>0</v>
      </c>
      <c r="F101" s="79">
        <f>IFERROR(SUMIFS('교재재고'!G:G,'교재재고'!B:B,$A101),0)
+IFERROR(SUMIFS('교재재고'!J:J,'교재재고'!B:B,$A101),0)
+IFERROR(SUMIFS('교재재고'!M:M,'교재재고'!B:B,$A101),0)
+IFERROR(SUMIFS('교재재고'!P:P,'교재재고'!B:B,$A101),0)
+IFERROR(SUMIFS('교재재고'!S:S,'교재재고'!B:B,$A101),0)</f>
        <v>0</v>
      </c>
      <c r="G101" s="79">
        <f>IFERROR(SUMIFS('교재재고'!H:H,'교재재고'!B:B,$A101),0)
+IFERROR(SUMIFS('교재재고'!K:K,'교재재고'!B:B,$A101),0)
+IFERROR(SUMIFS('교재재고'!N:N,'교재재고'!B:B,$A101),0)
+IFERROR(SUMIFS('교재재고'!Q:Q,'교재재고'!B:B,$A101),0)
+IFERROR(SUMIFS('교재재고'!T:T,'교재재고'!B:B,$A101),0)</f>
        <v>0</v>
      </c>
      <c r="H101" s="79">
        <f t="shared" si="2"/>
        <v>0</v>
      </c>
      <c r="I101" s="80">
        <f>IFERROR(SUMIFS('배부로그'!G:G,'배부로그'!D:D,$A101,'배부로그'!F:F,"창고"),0)</f>
        <v>0</v>
      </c>
      <c r="J101" s="59">
        <f>IFERROR(SUMIFS('배부로그'!G:G,'배부로그'!D:D,$A101,'배부로그'!F:F,"4층지원실"),0)</f>
        <v>0</v>
      </c>
      <c r="K101" s="59">
        <f>IFERROR(SUMIFS('배부로그'!G:G,'배부로그'!D:D,$A101,'배부로그'!F:F,"8층지원실"),0)</f>
        <v>0</v>
      </c>
      <c r="L101" s="81">
        <f t="shared" si="3"/>
        <v>0</v>
      </c>
      <c r="M101" s="59">
        <f>IFERROR(SUMIFS('회수로그'!H:H,'회수로그'!E:E,$A101,'회수로그'!G:G,"창고"),0)</f>
        <v>0</v>
      </c>
      <c r="N101" s="59">
        <f>IFERROR(SUMIFS('회수로그'!H:H,'회수로그'!E:E,$A101,'회수로그'!G:G,"4층지원실"),0)</f>
        <v>0</v>
      </c>
      <c r="O101" s="59">
        <f>IFERROR(SUMIFS('회수로그'!H:H,'회수로그'!E:E,$A101,'회수로그'!G:G,"8층지원실"),0)</f>
        <v>0</v>
      </c>
      <c r="P101" s="59">
        <f t="shared" si="4"/>
        <v>0</v>
      </c>
      <c r="Q101" s="59">
        <f>IFERROR(SUMIFS('재고이동로그'!F:F,'재고이동로그'!C:C,$A101,'재고이동로그'!D:D,"창고"),0)</f>
        <v>0</v>
      </c>
      <c r="R101" s="59">
        <f>IFERROR(SUMIFS('재고이동로그'!F:F,'재고이동로그'!C:C,$A101,'재고이동로그'!E:E,"4층지원실"),0)</f>
        <v>0</v>
      </c>
      <c r="S101" s="82">
        <f>IFERROR(SUMIFS('재고이동로그'!F:F,'재고이동로그'!C:C,$A101,'재고이동로그'!E:E,"8층지원실"),0)</f>
        <v>0</v>
      </c>
      <c r="T101" s="59">
        <f>IFERROR(SUMIFS('재고이동로그'!F:F,'재고이동로그'!C:C,$A101,'재고이동로그'!E:E,"창고"),0)</f>
        <v>0</v>
      </c>
      <c r="U101" s="59">
        <f>IFERROR(SUMIFS('재고이동로그'!F:F,'재고이동로그'!C:C,$A101,'재고이동로그'!E:E,"4층지원실"),0)</f>
        <v>0</v>
      </c>
      <c r="V101" s="59">
        <f>IFERROR(SUMIFS('재고이동로그'!F:F,'재고이동로그'!C:C,$A101,'재고이동로그'!E:E,"8층지원실"),0)</f>
        <v>0</v>
      </c>
      <c r="W101" s="83">
        <f t="shared" ref="W101:Y101" si="104">B101+E101-I101+M101-Q101+T101</f>
        <v>0</v>
      </c>
      <c r="X101" s="83">
        <f t="shared" si="104"/>
        <v>0</v>
      </c>
      <c r="Y101" s="83">
        <f t="shared" si="104"/>
        <v>0</v>
      </c>
      <c r="Z101" s="84">
        <f t="shared" si="6"/>
        <v>0</v>
      </c>
      <c r="AA101" s="59" t="str">
        <f t="shared" si="7"/>
        <v>부족</v>
      </c>
      <c r="AB101" s="59"/>
      <c r="AC101" s="59"/>
      <c r="AD101" s="59"/>
      <c r="AE101" s="59"/>
      <c r="AF101" s="59"/>
    </row>
    <row r="102" ht="15.75" customHeight="1">
      <c r="A102" s="59"/>
      <c r="B102" s="77">
        <f>IFERROR(SUMIFS('교재재고'!C:C,'교재재고'!B:B,$A102),0)</f>
        <v>0</v>
      </c>
      <c r="C102" s="77">
        <f>IFERROR(SUMIFS('교재재고'!D:D,'교재재고'!B:B,$A102),0)</f>
        <v>0</v>
      </c>
      <c r="D102" s="77">
        <f>IFERROR(SUMIFS('교재재고'!E:E,'교재재고'!B:B,$A102),0)</f>
        <v>0</v>
      </c>
      <c r="E102" s="78">
        <f>IFERROR(SUMIFS('교재재고'!F:F,'교재재고'!B:B,$A102),0)
+IFERROR(SUMIFS('교재재고'!I:I,'교재재고'!B:B,$A102),0)
+IFERROR(SUMIFS('교재재고'!L:L,'교재재고'!B:B,$A102),0)
+IFERROR(SUMIFS('교재재고'!O:O,'교재재고'!B:B,$A102),0)
+IFERROR(SUMIFS('교재재고'!R:R,'교재재고'!B:B,$A102),0)</f>
        <v>0</v>
      </c>
      <c r="F102" s="79">
        <f>IFERROR(SUMIFS('교재재고'!G:G,'교재재고'!B:B,$A102),0)
+IFERROR(SUMIFS('교재재고'!J:J,'교재재고'!B:B,$A102),0)
+IFERROR(SUMIFS('교재재고'!M:M,'교재재고'!B:B,$A102),0)
+IFERROR(SUMIFS('교재재고'!P:P,'교재재고'!B:B,$A102),0)
+IFERROR(SUMIFS('교재재고'!S:S,'교재재고'!B:B,$A102),0)</f>
        <v>0</v>
      </c>
      <c r="G102" s="79">
        <f>IFERROR(SUMIFS('교재재고'!H:H,'교재재고'!B:B,$A102),0)
+IFERROR(SUMIFS('교재재고'!K:K,'교재재고'!B:B,$A102),0)
+IFERROR(SUMIFS('교재재고'!N:N,'교재재고'!B:B,$A102),0)
+IFERROR(SUMIFS('교재재고'!Q:Q,'교재재고'!B:B,$A102),0)
+IFERROR(SUMIFS('교재재고'!T:T,'교재재고'!B:B,$A102),0)</f>
        <v>0</v>
      </c>
      <c r="H102" s="79">
        <f t="shared" si="2"/>
        <v>0</v>
      </c>
      <c r="I102" s="80">
        <f>IFERROR(SUMIFS('배부로그'!G:G,'배부로그'!D:D,$A102,'배부로그'!F:F,"창고"),0)</f>
        <v>0</v>
      </c>
      <c r="J102" s="59">
        <f>IFERROR(SUMIFS('배부로그'!G:G,'배부로그'!D:D,$A102,'배부로그'!F:F,"4층지원실"),0)</f>
        <v>0</v>
      </c>
      <c r="K102" s="59">
        <f>IFERROR(SUMIFS('배부로그'!G:G,'배부로그'!D:D,$A102,'배부로그'!F:F,"8층지원실"),0)</f>
        <v>0</v>
      </c>
      <c r="L102" s="81">
        <f t="shared" si="3"/>
        <v>0</v>
      </c>
      <c r="M102" s="59">
        <f>IFERROR(SUMIFS('회수로그'!H:H,'회수로그'!E:E,$A102,'회수로그'!G:G,"창고"),0)</f>
        <v>0</v>
      </c>
      <c r="N102" s="59">
        <f>IFERROR(SUMIFS('회수로그'!H:H,'회수로그'!E:E,$A102,'회수로그'!G:G,"4층지원실"),0)</f>
        <v>0</v>
      </c>
      <c r="O102" s="59">
        <f>IFERROR(SUMIFS('회수로그'!H:H,'회수로그'!E:E,$A102,'회수로그'!G:G,"8층지원실"),0)</f>
        <v>0</v>
      </c>
      <c r="P102" s="59">
        <f t="shared" si="4"/>
        <v>0</v>
      </c>
      <c r="Q102" s="59">
        <f>IFERROR(SUMIFS('재고이동로그'!F:F,'재고이동로그'!C:C,$A102,'재고이동로그'!D:D,"창고"),0)</f>
        <v>0</v>
      </c>
      <c r="R102" s="59">
        <f>IFERROR(SUMIFS('재고이동로그'!F:F,'재고이동로그'!C:C,$A102,'재고이동로그'!E:E,"4층지원실"),0)</f>
        <v>0</v>
      </c>
      <c r="S102" s="82">
        <f>IFERROR(SUMIFS('재고이동로그'!F:F,'재고이동로그'!C:C,$A102,'재고이동로그'!E:E,"8층지원실"),0)</f>
        <v>0</v>
      </c>
      <c r="T102" s="59">
        <f>IFERROR(SUMIFS('재고이동로그'!F:F,'재고이동로그'!C:C,$A102,'재고이동로그'!E:E,"창고"),0)</f>
        <v>0</v>
      </c>
      <c r="U102" s="59">
        <f>IFERROR(SUMIFS('재고이동로그'!F:F,'재고이동로그'!C:C,$A102,'재고이동로그'!E:E,"4층지원실"),0)</f>
        <v>0</v>
      </c>
      <c r="V102" s="59">
        <f>IFERROR(SUMIFS('재고이동로그'!F:F,'재고이동로그'!C:C,$A102,'재고이동로그'!E:E,"8층지원실"),0)</f>
        <v>0</v>
      </c>
      <c r="W102" s="83">
        <f t="shared" ref="W102:Y102" si="105">B102+E102-I102+M102-Q102+T102</f>
        <v>0</v>
      </c>
      <c r="X102" s="83">
        <f t="shared" si="105"/>
        <v>0</v>
      </c>
      <c r="Y102" s="83">
        <f t="shared" si="105"/>
        <v>0</v>
      </c>
      <c r="Z102" s="84">
        <f t="shared" si="6"/>
        <v>0</v>
      </c>
      <c r="AA102" s="59" t="str">
        <f t="shared" si="7"/>
        <v>부족</v>
      </c>
      <c r="AB102" s="59"/>
      <c r="AC102" s="59"/>
      <c r="AD102" s="59"/>
      <c r="AE102" s="59"/>
      <c r="AF102" s="59"/>
    </row>
    <row r="103" ht="15.75" customHeight="1">
      <c r="A103" s="59"/>
      <c r="B103" s="77">
        <f>IFERROR(SUMIFS('교재재고'!C:C,'교재재고'!B:B,$A103),0)</f>
        <v>0</v>
      </c>
      <c r="C103" s="77">
        <f>IFERROR(SUMIFS('교재재고'!D:D,'교재재고'!B:B,$A103),0)</f>
        <v>0</v>
      </c>
      <c r="D103" s="77">
        <f>IFERROR(SUMIFS('교재재고'!E:E,'교재재고'!B:B,$A103),0)</f>
        <v>0</v>
      </c>
      <c r="E103" s="78">
        <f>IFERROR(SUMIFS('교재재고'!F:F,'교재재고'!B:B,$A103),0)
+IFERROR(SUMIFS('교재재고'!I:I,'교재재고'!B:B,$A103),0)
+IFERROR(SUMIFS('교재재고'!L:L,'교재재고'!B:B,$A103),0)
+IFERROR(SUMIFS('교재재고'!O:O,'교재재고'!B:B,$A103),0)
+IFERROR(SUMIFS('교재재고'!R:R,'교재재고'!B:B,$A103),0)</f>
        <v>0</v>
      </c>
      <c r="F103" s="79">
        <f>IFERROR(SUMIFS('교재재고'!G:G,'교재재고'!B:B,$A103),0)
+IFERROR(SUMIFS('교재재고'!J:J,'교재재고'!B:B,$A103),0)
+IFERROR(SUMIFS('교재재고'!M:M,'교재재고'!B:B,$A103),0)
+IFERROR(SUMIFS('교재재고'!P:P,'교재재고'!B:B,$A103),0)
+IFERROR(SUMIFS('교재재고'!S:S,'교재재고'!B:B,$A103),0)</f>
        <v>0</v>
      </c>
      <c r="G103" s="79">
        <f>IFERROR(SUMIFS('교재재고'!H:H,'교재재고'!B:B,$A103),0)
+IFERROR(SUMIFS('교재재고'!K:K,'교재재고'!B:B,$A103),0)
+IFERROR(SUMIFS('교재재고'!N:N,'교재재고'!B:B,$A103),0)
+IFERROR(SUMIFS('교재재고'!Q:Q,'교재재고'!B:B,$A103),0)
+IFERROR(SUMIFS('교재재고'!T:T,'교재재고'!B:B,$A103),0)</f>
        <v>0</v>
      </c>
      <c r="H103" s="79">
        <f t="shared" si="2"/>
        <v>0</v>
      </c>
      <c r="I103" s="80">
        <f>IFERROR(SUMIFS('배부로그'!G:G,'배부로그'!D:D,$A103,'배부로그'!F:F,"창고"),0)</f>
        <v>0</v>
      </c>
      <c r="J103" s="59">
        <f>IFERROR(SUMIFS('배부로그'!G:G,'배부로그'!D:D,$A103,'배부로그'!F:F,"4층지원실"),0)</f>
        <v>0</v>
      </c>
      <c r="K103" s="59">
        <f>IFERROR(SUMIFS('배부로그'!G:G,'배부로그'!D:D,$A103,'배부로그'!F:F,"8층지원실"),0)</f>
        <v>0</v>
      </c>
      <c r="L103" s="81">
        <f t="shared" si="3"/>
        <v>0</v>
      </c>
      <c r="M103" s="59">
        <f>IFERROR(SUMIFS('회수로그'!H:H,'회수로그'!E:E,$A103,'회수로그'!G:G,"창고"),0)</f>
        <v>0</v>
      </c>
      <c r="N103" s="59">
        <f>IFERROR(SUMIFS('회수로그'!H:H,'회수로그'!E:E,$A103,'회수로그'!G:G,"4층지원실"),0)</f>
        <v>0</v>
      </c>
      <c r="O103" s="59">
        <f>IFERROR(SUMIFS('회수로그'!H:H,'회수로그'!E:E,$A103,'회수로그'!G:G,"8층지원실"),0)</f>
        <v>0</v>
      </c>
      <c r="P103" s="59">
        <f t="shared" si="4"/>
        <v>0</v>
      </c>
      <c r="Q103" s="59">
        <f>IFERROR(SUMIFS('재고이동로그'!F:F,'재고이동로그'!C:C,$A103,'재고이동로그'!D:D,"창고"),0)</f>
        <v>0</v>
      </c>
      <c r="R103" s="59">
        <f>IFERROR(SUMIFS('재고이동로그'!F:F,'재고이동로그'!C:C,$A103,'재고이동로그'!E:E,"4층지원실"),0)</f>
        <v>0</v>
      </c>
      <c r="S103" s="82">
        <f>IFERROR(SUMIFS('재고이동로그'!F:F,'재고이동로그'!C:C,$A103,'재고이동로그'!E:E,"8층지원실"),0)</f>
        <v>0</v>
      </c>
      <c r="T103" s="59">
        <f>IFERROR(SUMIFS('재고이동로그'!F:F,'재고이동로그'!C:C,$A103,'재고이동로그'!E:E,"창고"),0)</f>
        <v>0</v>
      </c>
      <c r="U103" s="59">
        <f>IFERROR(SUMIFS('재고이동로그'!F:F,'재고이동로그'!C:C,$A103,'재고이동로그'!E:E,"4층지원실"),0)</f>
        <v>0</v>
      </c>
      <c r="V103" s="59">
        <f>IFERROR(SUMIFS('재고이동로그'!F:F,'재고이동로그'!C:C,$A103,'재고이동로그'!E:E,"8층지원실"),0)</f>
        <v>0</v>
      </c>
      <c r="W103" s="83">
        <f t="shared" ref="W103:Y103" si="106">B103+E103-I103+M103-Q103+T103</f>
        <v>0</v>
      </c>
      <c r="X103" s="83">
        <f t="shared" si="106"/>
        <v>0</v>
      </c>
      <c r="Y103" s="83">
        <f t="shared" si="106"/>
        <v>0</v>
      </c>
      <c r="Z103" s="84">
        <f t="shared" si="6"/>
        <v>0</v>
      </c>
      <c r="AA103" s="59" t="str">
        <f t="shared" si="7"/>
        <v>부족</v>
      </c>
      <c r="AB103" s="59"/>
      <c r="AC103" s="59"/>
      <c r="AD103" s="59"/>
      <c r="AE103" s="59"/>
      <c r="AF103" s="59"/>
    </row>
    <row r="104" ht="15.75" customHeight="1">
      <c r="A104" s="59"/>
      <c r="B104" s="77">
        <f>IFERROR(SUMIFS('교재재고'!C:C,'교재재고'!B:B,$A104),0)</f>
        <v>0</v>
      </c>
      <c r="C104" s="77">
        <f>IFERROR(SUMIFS('교재재고'!D:D,'교재재고'!B:B,$A104),0)</f>
        <v>0</v>
      </c>
      <c r="D104" s="77">
        <f>IFERROR(SUMIFS('교재재고'!E:E,'교재재고'!B:B,$A104),0)</f>
        <v>0</v>
      </c>
      <c r="E104" s="78">
        <f>IFERROR(SUMIFS('교재재고'!F:F,'교재재고'!B:B,$A104),0)
+IFERROR(SUMIFS('교재재고'!I:I,'교재재고'!B:B,$A104),0)
+IFERROR(SUMIFS('교재재고'!L:L,'교재재고'!B:B,$A104),0)
+IFERROR(SUMIFS('교재재고'!O:O,'교재재고'!B:B,$A104),0)
+IFERROR(SUMIFS('교재재고'!R:R,'교재재고'!B:B,$A104),0)</f>
        <v>0</v>
      </c>
      <c r="F104" s="79">
        <f>IFERROR(SUMIFS('교재재고'!G:G,'교재재고'!B:B,$A104),0)
+IFERROR(SUMIFS('교재재고'!J:J,'교재재고'!B:B,$A104),0)
+IFERROR(SUMIFS('교재재고'!M:M,'교재재고'!B:B,$A104),0)
+IFERROR(SUMIFS('교재재고'!P:P,'교재재고'!B:B,$A104),0)
+IFERROR(SUMIFS('교재재고'!S:S,'교재재고'!B:B,$A104),0)</f>
        <v>0</v>
      </c>
      <c r="G104" s="79">
        <f>IFERROR(SUMIFS('교재재고'!H:H,'교재재고'!B:B,$A104),0)
+IFERROR(SUMIFS('교재재고'!K:K,'교재재고'!B:B,$A104),0)
+IFERROR(SUMIFS('교재재고'!N:N,'교재재고'!B:B,$A104),0)
+IFERROR(SUMIFS('교재재고'!Q:Q,'교재재고'!B:B,$A104),0)
+IFERROR(SUMIFS('교재재고'!T:T,'교재재고'!B:B,$A104),0)</f>
        <v>0</v>
      </c>
      <c r="H104" s="79">
        <f t="shared" si="2"/>
        <v>0</v>
      </c>
      <c r="I104" s="80">
        <f>IFERROR(SUMIFS('배부로그'!G:G,'배부로그'!D:D,$A104,'배부로그'!F:F,"창고"),0)</f>
        <v>0</v>
      </c>
      <c r="J104" s="59">
        <f>IFERROR(SUMIFS('배부로그'!G:G,'배부로그'!D:D,$A104,'배부로그'!F:F,"4층지원실"),0)</f>
        <v>0</v>
      </c>
      <c r="K104" s="59">
        <f>IFERROR(SUMIFS('배부로그'!G:G,'배부로그'!D:D,$A104,'배부로그'!F:F,"8층지원실"),0)</f>
        <v>0</v>
      </c>
      <c r="L104" s="81">
        <f t="shared" si="3"/>
        <v>0</v>
      </c>
      <c r="M104" s="59">
        <f>IFERROR(SUMIFS('회수로그'!H:H,'회수로그'!E:E,$A104,'회수로그'!G:G,"창고"),0)</f>
        <v>0</v>
      </c>
      <c r="N104" s="59">
        <f>IFERROR(SUMIFS('회수로그'!H:H,'회수로그'!E:E,$A104,'회수로그'!G:G,"4층지원실"),0)</f>
        <v>0</v>
      </c>
      <c r="O104" s="59">
        <f>IFERROR(SUMIFS('회수로그'!H:H,'회수로그'!E:E,$A104,'회수로그'!G:G,"8층지원실"),0)</f>
        <v>0</v>
      </c>
      <c r="P104" s="59">
        <f t="shared" si="4"/>
        <v>0</v>
      </c>
      <c r="Q104" s="59">
        <f>IFERROR(SUMIFS('재고이동로그'!F:F,'재고이동로그'!C:C,$A104,'재고이동로그'!D:D,"창고"),0)</f>
        <v>0</v>
      </c>
      <c r="R104" s="59">
        <f>IFERROR(SUMIFS('재고이동로그'!F:F,'재고이동로그'!C:C,$A104,'재고이동로그'!E:E,"4층지원실"),0)</f>
        <v>0</v>
      </c>
      <c r="S104" s="82">
        <f>IFERROR(SUMIFS('재고이동로그'!F:F,'재고이동로그'!C:C,$A104,'재고이동로그'!E:E,"8층지원실"),0)</f>
        <v>0</v>
      </c>
      <c r="T104" s="59">
        <f>IFERROR(SUMIFS('재고이동로그'!F:F,'재고이동로그'!C:C,$A104,'재고이동로그'!E:E,"창고"),0)</f>
        <v>0</v>
      </c>
      <c r="U104" s="59">
        <f>IFERROR(SUMIFS('재고이동로그'!F:F,'재고이동로그'!C:C,$A104,'재고이동로그'!E:E,"4층지원실"),0)</f>
        <v>0</v>
      </c>
      <c r="V104" s="59">
        <f>IFERROR(SUMIFS('재고이동로그'!F:F,'재고이동로그'!C:C,$A104,'재고이동로그'!E:E,"8층지원실"),0)</f>
        <v>0</v>
      </c>
      <c r="W104" s="83">
        <f t="shared" ref="W104:Y104" si="107">B104+E104-I104+M104-Q104+T104</f>
        <v>0</v>
      </c>
      <c r="X104" s="83">
        <f t="shared" si="107"/>
        <v>0</v>
      </c>
      <c r="Y104" s="83">
        <f t="shared" si="107"/>
        <v>0</v>
      </c>
      <c r="Z104" s="84">
        <f t="shared" si="6"/>
        <v>0</v>
      </c>
      <c r="AA104" s="59" t="str">
        <f t="shared" si="7"/>
        <v>부족</v>
      </c>
      <c r="AB104" s="59"/>
      <c r="AC104" s="59"/>
      <c r="AD104" s="59"/>
      <c r="AE104" s="59"/>
      <c r="AF104" s="59"/>
    </row>
    <row r="105" ht="15.75" customHeight="1">
      <c r="A105" s="59"/>
      <c r="B105" s="77">
        <f>IFERROR(SUMIFS('교재재고'!C:C,'교재재고'!B:B,$A105),0)</f>
        <v>0</v>
      </c>
      <c r="C105" s="77">
        <f>IFERROR(SUMIFS('교재재고'!D:D,'교재재고'!B:B,$A105),0)</f>
        <v>0</v>
      </c>
      <c r="D105" s="77">
        <f>IFERROR(SUMIFS('교재재고'!E:E,'교재재고'!B:B,$A105),0)</f>
        <v>0</v>
      </c>
      <c r="E105" s="78">
        <f>IFERROR(SUMIFS('교재재고'!F:F,'교재재고'!B:B,$A105),0)
+IFERROR(SUMIFS('교재재고'!I:I,'교재재고'!B:B,$A105),0)
+IFERROR(SUMIFS('교재재고'!L:L,'교재재고'!B:B,$A105),0)
+IFERROR(SUMIFS('교재재고'!O:O,'교재재고'!B:B,$A105),0)
+IFERROR(SUMIFS('교재재고'!R:R,'교재재고'!B:B,$A105),0)</f>
        <v>0</v>
      </c>
      <c r="F105" s="79">
        <f>IFERROR(SUMIFS('교재재고'!G:G,'교재재고'!B:B,$A105),0)
+IFERROR(SUMIFS('교재재고'!J:J,'교재재고'!B:B,$A105),0)
+IFERROR(SUMIFS('교재재고'!M:M,'교재재고'!B:B,$A105),0)
+IFERROR(SUMIFS('교재재고'!P:P,'교재재고'!B:B,$A105),0)
+IFERROR(SUMIFS('교재재고'!S:S,'교재재고'!B:B,$A105),0)</f>
        <v>0</v>
      </c>
      <c r="G105" s="79">
        <f>IFERROR(SUMIFS('교재재고'!H:H,'교재재고'!B:B,$A105),0)
+IFERROR(SUMIFS('교재재고'!K:K,'교재재고'!B:B,$A105),0)
+IFERROR(SUMIFS('교재재고'!N:N,'교재재고'!B:B,$A105),0)
+IFERROR(SUMIFS('교재재고'!Q:Q,'교재재고'!B:B,$A105),0)
+IFERROR(SUMIFS('교재재고'!T:T,'교재재고'!B:B,$A105),0)</f>
        <v>0</v>
      </c>
      <c r="H105" s="79">
        <f t="shared" si="2"/>
        <v>0</v>
      </c>
      <c r="I105" s="80">
        <f>IFERROR(SUMIFS('배부로그'!G:G,'배부로그'!D:D,$A105,'배부로그'!F:F,"창고"),0)</f>
        <v>0</v>
      </c>
      <c r="J105" s="59">
        <f>IFERROR(SUMIFS('배부로그'!G:G,'배부로그'!D:D,$A105,'배부로그'!F:F,"4층지원실"),0)</f>
        <v>0</v>
      </c>
      <c r="K105" s="59">
        <f>IFERROR(SUMIFS('배부로그'!G:G,'배부로그'!D:D,$A105,'배부로그'!F:F,"8층지원실"),0)</f>
        <v>0</v>
      </c>
      <c r="L105" s="81">
        <f t="shared" si="3"/>
        <v>0</v>
      </c>
      <c r="M105" s="59">
        <f>IFERROR(SUMIFS('회수로그'!H:H,'회수로그'!E:E,$A105,'회수로그'!G:G,"창고"),0)</f>
        <v>0</v>
      </c>
      <c r="N105" s="59">
        <f>IFERROR(SUMIFS('회수로그'!H:H,'회수로그'!E:E,$A105,'회수로그'!G:G,"4층지원실"),0)</f>
        <v>0</v>
      </c>
      <c r="O105" s="59">
        <f>IFERROR(SUMIFS('회수로그'!H:H,'회수로그'!E:E,$A105,'회수로그'!G:G,"8층지원실"),0)</f>
        <v>0</v>
      </c>
      <c r="P105" s="59">
        <f t="shared" si="4"/>
        <v>0</v>
      </c>
      <c r="Q105" s="59">
        <f>IFERROR(SUMIFS('재고이동로그'!F:F,'재고이동로그'!C:C,$A105,'재고이동로그'!D:D,"창고"),0)</f>
        <v>0</v>
      </c>
      <c r="R105" s="59">
        <f>IFERROR(SUMIFS('재고이동로그'!F:F,'재고이동로그'!C:C,$A105,'재고이동로그'!E:E,"4층지원실"),0)</f>
        <v>0</v>
      </c>
      <c r="S105" s="82">
        <f>IFERROR(SUMIFS('재고이동로그'!F:F,'재고이동로그'!C:C,$A105,'재고이동로그'!E:E,"8층지원실"),0)</f>
        <v>0</v>
      </c>
      <c r="T105" s="59">
        <f>IFERROR(SUMIFS('재고이동로그'!F:F,'재고이동로그'!C:C,$A105,'재고이동로그'!E:E,"창고"),0)</f>
        <v>0</v>
      </c>
      <c r="U105" s="59">
        <f>IFERROR(SUMIFS('재고이동로그'!F:F,'재고이동로그'!C:C,$A105,'재고이동로그'!E:E,"4층지원실"),0)</f>
        <v>0</v>
      </c>
      <c r="V105" s="59">
        <f>IFERROR(SUMIFS('재고이동로그'!F:F,'재고이동로그'!C:C,$A105,'재고이동로그'!E:E,"8층지원실"),0)</f>
        <v>0</v>
      </c>
      <c r="W105" s="83">
        <f t="shared" ref="W105:Y105" si="108">B105+E105-I105+M105-Q105+T105</f>
        <v>0</v>
      </c>
      <c r="X105" s="83">
        <f t="shared" si="108"/>
        <v>0</v>
      </c>
      <c r="Y105" s="83">
        <f t="shared" si="108"/>
        <v>0</v>
      </c>
      <c r="Z105" s="84">
        <f t="shared" si="6"/>
        <v>0</v>
      </c>
      <c r="AA105" s="59" t="str">
        <f t="shared" si="7"/>
        <v>부족</v>
      </c>
      <c r="AB105" s="59"/>
      <c r="AC105" s="59"/>
      <c r="AD105" s="59"/>
      <c r="AE105" s="59"/>
      <c r="AF105" s="59"/>
    </row>
    <row r="106" ht="15.75" customHeight="1">
      <c r="A106" s="59"/>
      <c r="B106" s="77">
        <f>IFERROR(SUMIFS('교재재고'!C:C,'교재재고'!B:B,$A106),0)</f>
        <v>0</v>
      </c>
      <c r="C106" s="77">
        <f>IFERROR(SUMIFS('교재재고'!D:D,'교재재고'!B:B,$A106),0)</f>
        <v>0</v>
      </c>
      <c r="D106" s="77">
        <f>IFERROR(SUMIFS('교재재고'!E:E,'교재재고'!B:B,$A106),0)</f>
        <v>0</v>
      </c>
      <c r="E106" s="78">
        <f>IFERROR(SUMIFS('교재재고'!F:F,'교재재고'!B:B,$A106),0)
+IFERROR(SUMIFS('교재재고'!I:I,'교재재고'!B:B,$A106),0)
+IFERROR(SUMIFS('교재재고'!L:L,'교재재고'!B:B,$A106),0)
+IFERROR(SUMIFS('교재재고'!O:O,'교재재고'!B:B,$A106),0)
+IFERROR(SUMIFS('교재재고'!R:R,'교재재고'!B:B,$A106),0)</f>
        <v>0</v>
      </c>
      <c r="F106" s="79">
        <f>IFERROR(SUMIFS('교재재고'!G:G,'교재재고'!B:B,$A106),0)
+IFERROR(SUMIFS('교재재고'!J:J,'교재재고'!B:B,$A106),0)
+IFERROR(SUMIFS('교재재고'!M:M,'교재재고'!B:B,$A106),0)
+IFERROR(SUMIFS('교재재고'!P:P,'교재재고'!B:B,$A106),0)
+IFERROR(SUMIFS('교재재고'!S:S,'교재재고'!B:B,$A106),0)</f>
        <v>0</v>
      </c>
      <c r="G106" s="79">
        <f>IFERROR(SUMIFS('교재재고'!H:H,'교재재고'!B:B,$A106),0)
+IFERROR(SUMIFS('교재재고'!K:K,'교재재고'!B:B,$A106),0)
+IFERROR(SUMIFS('교재재고'!N:N,'교재재고'!B:B,$A106),0)
+IFERROR(SUMIFS('교재재고'!Q:Q,'교재재고'!B:B,$A106),0)
+IFERROR(SUMIFS('교재재고'!T:T,'교재재고'!B:B,$A106),0)</f>
        <v>0</v>
      </c>
      <c r="H106" s="79">
        <f t="shared" si="2"/>
        <v>0</v>
      </c>
      <c r="I106" s="80">
        <f>IFERROR(SUMIFS('배부로그'!G:G,'배부로그'!D:D,$A106,'배부로그'!F:F,"창고"),0)</f>
        <v>0</v>
      </c>
      <c r="J106" s="59">
        <f>IFERROR(SUMIFS('배부로그'!G:G,'배부로그'!D:D,$A106,'배부로그'!F:F,"4층지원실"),0)</f>
        <v>0</v>
      </c>
      <c r="K106" s="59">
        <f>IFERROR(SUMIFS('배부로그'!G:G,'배부로그'!D:D,$A106,'배부로그'!F:F,"8층지원실"),0)</f>
        <v>0</v>
      </c>
      <c r="L106" s="81">
        <f t="shared" si="3"/>
        <v>0</v>
      </c>
      <c r="M106" s="59">
        <f>IFERROR(SUMIFS('회수로그'!H:H,'회수로그'!E:E,$A106,'회수로그'!G:G,"창고"),0)</f>
        <v>0</v>
      </c>
      <c r="N106" s="59">
        <f>IFERROR(SUMIFS('회수로그'!H:H,'회수로그'!E:E,$A106,'회수로그'!G:G,"4층지원실"),0)</f>
        <v>0</v>
      </c>
      <c r="O106" s="59">
        <f>IFERROR(SUMIFS('회수로그'!H:H,'회수로그'!E:E,$A106,'회수로그'!G:G,"8층지원실"),0)</f>
        <v>0</v>
      </c>
      <c r="P106" s="59">
        <f t="shared" si="4"/>
        <v>0</v>
      </c>
      <c r="Q106" s="59">
        <f>IFERROR(SUMIFS('재고이동로그'!F:F,'재고이동로그'!C:C,$A106,'재고이동로그'!D:D,"창고"),0)</f>
        <v>0</v>
      </c>
      <c r="R106" s="59">
        <f>IFERROR(SUMIFS('재고이동로그'!F:F,'재고이동로그'!C:C,$A106,'재고이동로그'!E:E,"4층지원실"),0)</f>
        <v>0</v>
      </c>
      <c r="S106" s="82">
        <f>IFERROR(SUMIFS('재고이동로그'!F:F,'재고이동로그'!C:C,$A106,'재고이동로그'!E:E,"8층지원실"),0)</f>
        <v>0</v>
      </c>
      <c r="T106" s="59">
        <f>IFERROR(SUMIFS('재고이동로그'!F:F,'재고이동로그'!C:C,$A106,'재고이동로그'!E:E,"창고"),0)</f>
        <v>0</v>
      </c>
      <c r="U106" s="59">
        <f>IFERROR(SUMIFS('재고이동로그'!F:F,'재고이동로그'!C:C,$A106,'재고이동로그'!E:E,"4층지원실"),0)</f>
        <v>0</v>
      </c>
      <c r="V106" s="59">
        <f>IFERROR(SUMIFS('재고이동로그'!F:F,'재고이동로그'!C:C,$A106,'재고이동로그'!E:E,"8층지원실"),0)</f>
        <v>0</v>
      </c>
      <c r="W106" s="83">
        <f t="shared" ref="W106:Y106" si="109">B106+E106-I106+M106-Q106+T106</f>
        <v>0</v>
      </c>
      <c r="X106" s="83">
        <f t="shared" si="109"/>
        <v>0</v>
      </c>
      <c r="Y106" s="83">
        <f t="shared" si="109"/>
        <v>0</v>
      </c>
      <c r="Z106" s="84">
        <f t="shared" si="6"/>
        <v>0</v>
      </c>
      <c r="AA106" s="59" t="str">
        <f t="shared" si="7"/>
        <v>부족</v>
      </c>
      <c r="AB106" s="59"/>
      <c r="AC106" s="59"/>
      <c r="AD106" s="59"/>
      <c r="AE106" s="59"/>
      <c r="AF106" s="59"/>
    </row>
    <row r="107" ht="15.75" customHeight="1">
      <c r="A107" s="59"/>
      <c r="B107" s="77">
        <f>IFERROR(SUMIFS('교재재고'!C:C,'교재재고'!B:B,$A107),0)</f>
        <v>0</v>
      </c>
      <c r="C107" s="77">
        <f>IFERROR(SUMIFS('교재재고'!D:D,'교재재고'!B:B,$A107),0)</f>
        <v>0</v>
      </c>
      <c r="D107" s="77">
        <f>IFERROR(SUMIFS('교재재고'!E:E,'교재재고'!B:B,$A107),0)</f>
        <v>0</v>
      </c>
      <c r="E107" s="78">
        <f>IFERROR(SUMIFS('교재재고'!F:F,'교재재고'!B:B,$A107),0)
+IFERROR(SUMIFS('교재재고'!I:I,'교재재고'!B:B,$A107),0)
+IFERROR(SUMIFS('교재재고'!L:L,'교재재고'!B:B,$A107),0)
+IFERROR(SUMIFS('교재재고'!O:O,'교재재고'!B:B,$A107),0)
+IFERROR(SUMIFS('교재재고'!R:R,'교재재고'!B:B,$A107),0)</f>
        <v>0</v>
      </c>
      <c r="F107" s="79">
        <f>IFERROR(SUMIFS('교재재고'!G:G,'교재재고'!B:B,$A107),0)
+IFERROR(SUMIFS('교재재고'!J:J,'교재재고'!B:B,$A107),0)
+IFERROR(SUMIFS('교재재고'!M:M,'교재재고'!B:B,$A107),0)
+IFERROR(SUMIFS('교재재고'!P:P,'교재재고'!B:B,$A107),0)
+IFERROR(SUMIFS('교재재고'!S:S,'교재재고'!B:B,$A107),0)</f>
        <v>0</v>
      </c>
      <c r="G107" s="79">
        <f>IFERROR(SUMIFS('교재재고'!H:H,'교재재고'!B:B,$A107),0)
+IFERROR(SUMIFS('교재재고'!K:K,'교재재고'!B:B,$A107),0)
+IFERROR(SUMIFS('교재재고'!N:N,'교재재고'!B:B,$A107),0)
+IFERROR(SUMIFS('교재재고'!Q:Q,'교재재고'!B:B,$A107),0)
+IFERROR(SUMIFS('교재재고'!T:T,'교재재고'!B:B,$A107),0)</f>
        <v>0</v>
      </c>
      <c r="H107" s="79">
        <f t="shared" si="2"/>
        <v>0</v>
      </c>
      <c r="I107" s="80">
        <f>IFERROR(SUMIFS('배부로그'!G:G,'배부로그'!D:D,$A107,'배부로그'!F:F,"창고"),0)</f>
        <v>0</v>
      </c>
      <c r="J107" s="59">
        <f>IFERROR(SUMIFS('배부로그'!G:G,'배부로그'!D:D,$A107,'배부로그'!F:F,"4층지원실"),0)</f>
        <v>0</v>
      </c>
      <c r="K107" s="59">
        <f>IFERROR(SUMIFS('배부로그'!G:G,'배부로그'!D:D,$A107,'배부로그'!F:F,"8층지원실"),0)</f>
        <v>0</v>
      </c>
      <c r="L107" s="81">
        <f t="shared" si="3"/>
        <v>0</v>
      </c>
      <c r="M107" s="59">
        <f>IFERROR(SUMIFS('회수로그'!H:H,'회수로그'!E:E,$A107,'회수로그'!G:G,"창고"),0)</f>
        <v>0</v>
      </c>
      <c r="N107" s="59">
        <f>IFERROR(SUMIFS('회수로그'!H:H,'회수로그'!E:E,$A107,'회수로그'!G:G,"4층지원실"),0)</f>
        <v>0</v>
      </c>
      <c r="O107" s="59">
        <f>IFERROR(SUMIFS('회수로그'!H:H,'회수로그'!E:E,$A107,'회수로그'!G:G,"8층지원실"),0)</f>
        <v>0</v>
      </c>
      <c r="P107" s="59">
        <f t="shared" si="4"/>
        <v>0</v>
      </c>
      <c r="Q107" s="59">
        <f>IFERROR(SUMIFS('재고이동로그'!F:F,'재고이동로그'!C:C,$A107,'재고이동로그'!D:D,"창고"),0)</f>
        <v>0</v>
      </c>
      <c r="R107" s="59">
        <f>IFERROR(SUMIFS('재고이동로그'!F:F,'재고이동로그'!C:C,$A107,'재고이동로그'!E:E,"4층지원실"),0)</f>
        <v>0</v>
      </c>
      <c r="S107" s="82">
        <f>IFERROR(SUMIFS('재고이동로그'!F:F,'재고이동로그'!C:C,$A107,'재고이동로그'!E:E,"8층지원실"),0)</f>
        <v>0</v>
      </c>
      <c r="T107" s="59">
        <f>IFERROR(SUMIFS('재고이동로그'!F:F,'재고이동로그'!C:C,$A107,'재고이동로그'!E:E,"창고"),0)</f>
        <v>0</v>
      </c>
      <c r="U107" s="59">
        <f>IFERROR(SUMIFS('재고이동로그'!F:F,'재고이동로그'!C:C,$A107,'재고이동로그'!E:E,"4층지원실"),0)</f>
        <v>0</v>
      </c>
      <c r="V107" s="59">
        <f>IFERROR(SUMIFS('재고이동로그'!F:F,'재고이동로그'!C:C,$A107,'재고이동로그'!E:E,"8층지원실"),0)</f>
        <v>0</v>
      </c>
      <c r="W107" s="83">
        <f t="shared" ref="W107:Y107" si="110">B107+E107-I107+M107-Q107+T107</f>
        <v>0</v>
      </c>
      <c r="X107" s="83">
        <f t="shared" si="110"/>
        <v>0</v>
      </c>
      <c r="Y107" s="83">
        <f t="shared" si="110"/>
        <v>0</v>
      </c>
      <c r="Z107" s="84">
        <f t="shared" si="6"/>
        <v>0</v>
      </c>
      <c r="AA107" s="59" t="str">
        <f t="shared" si="7"/>
        <v>부족</v>
      </c>
      <c r="AB107" s="59"/>
      <c r="AC107" s="59"/>
      <c r="AD107" s="59"/>
      <c r="AE107" s="59"/>
      <c r="AF107" s="59"/>
    </row>
    <row r="108" ht="15.75" customHeight="1">
      <c r="A108" s="59"/>
      <c r="B108" s="77">
        <f>IFERROR(SUMIFS('교재재고'!C:C,'교재재고'!B:B,$A108),0)</f>
        <v>0</v>
      </c>
      <c r="C108" s="77">
        <f>IFERROR(SUMIFS('교재재고'!D:D,'교재재고'!B:B,$A108),0)</f>
        <v>0</v>
      </c>
      <c r="D108" s="77">
        <f>IFERROR(SUMIFS('교재재고'!E:E,'교재재고'!B:B,$A108),0)</f>
        <v>0</v>
      </c>
      <c r="E108" s="78">
        <f>IFERROR(SUMIFS('교재재고'!F:F,'교재재고'!B:B,$A108),0)
+IFERROR(SUMIFS('교재재고'!I:I,'교재재고'!B:B,$A108),0)
+IFERROR(SUMIFS('교재재고'!L:L,'교재재고'!B:B,$A108),0)
+IFERROR(SUMIFS('교재재고'!O:O,'교재재고'!B:B,$A108),0)
+IFERROR(SUMIFS('교재재고'!R:R,'교재재고'!B:B,$A108),0)</f>
        <v>0</v>
      </c>
      <c r="F108" s="79">
        <f>IFERROR(SUMIFS('교재재고'!G:G,'교재재고'!B:B,$A108),0)
+IFERROR(SUMIFS('교재재고'!J:J,'교재재고'!B:B,$A108),0)
+IFERROR(SUMIFS('교재재고'!M:M,'교재재고'!B:B,$A108),0)
+IFERROR(SUMIFS('교재재고'!P:P,'교재재고'!B:B,$A108),0)
+IFERROR(SUMIFS('교재재고'!S:S,'교재재고'!B:B,$A108),0)</f>
        <v>0</v>
      </c>
      <c r="G108" s="79">
        <f>IFERROR(SUMIFS('교재재고'!H:H,'교재재고'!B:B,$A108),0)
+IFERROR(SUMIFS('교재재고'!K:K,'교재재고'!B:B,$A108),0)
+IFERROR(SUMIFS('교재재고'!N:N,'교재재고'!B:B,$A108),0)
+IFERROR(SUMIFS('교재재고'!Q:Q,'교재재고'!B:B,$A108),0)
+IFERROR(SUMIFS('교재재고'!T:T,'교재재고'!B:B,$A108),0)</f>
        <v>0</v>
      </c>
      <c r="H108" s="79">
        <f t="shared" si="2"/>
        <v>0</v>
      </c>
      <c r="I108" s="80">
        <f>IFERROR(SUMIFS('배부로그'!G:G,'배부로그'!D:D,$A108,'배부로그'!F:F,"창고"),0)</f>
        <v>0</v>
      </c>
      <c r="J108" s="59">
        <f>IFERROR(SUMIFS('배부로그'!G:G,'배부로그'!D:D,$A108,'배부로그'!F:F,"4층지원실"),0)</f>
        <v>0</v>
      </c>
      <c r="K108" s="59">
        <f>IFERROR(SUMIFS('배부로그'!G:G,'배부로그'!D:D,$A108,'배부로그'!F:F,"8층지원실"),0)</f>
        <v>0</v>
      </c>
      <c r="L108" s="81">
        <f t="shared" si="3"/>
        <v>0</v>
      </c>
      <c r="M108" s="59">
        <f>IFERROR(SUMIFS('회수로그'!H:H,'회수로그'!E:E,$A108,'회수로그'!G:G,"창고"),0)</f>
        <v>0</v>
      </c>
      <c r="N108" s="59">
        <f>IFERROR(SUMIFS('회수로그'!H:H,'회수로그'!E:E,$A108,'회수로그'!G:G,"4층지원실"),0)</f>
        <v>0</v>
      </c>
      <c r="O108" s="59">
        <f>IFERROR(SUMIFS('회수로그'!H:H,'회수로그'!E:E,$A108,'회수로그'!G:G,"8층지원실"),0)</f>
        <v>0</v>
      </c>
      <c r="P108" s="59">
        <f t="shared" si="4"/>
        <v>0</v>
      </c>
      <c r="Q108" s="59">
        <f>IFERROR(SUMIFS('재고이동로그'!F:F,'재고이동로그'!C:C,$A108,'재고이동로그'!D:D,"창고"),0)</f>
        <v>0</v>
      </c>
      <c r="R108" s="59">
        <f>IFERROR(SUMIFS('재고이동로그'!F:F,'재고이동로그'!C:C,$A108,'재고이동로그'!E:E,"4층지원실"),0)</f>
        <v>0</v>
      </c>
      <c r="S108" s="82">
        <f>IFERROR(SUMIFS('재고이동로그'!F:F,'재고이동로그'!C:C,$A108,'재고이동로그'!E:E,"8층지원실"),0)</f>
        <v>0</v>
      </c>
      <c r="T108" s="59">
        <f>IFERROR(SUMIFS('재고이동로그'!F:F,'재고이동로그'!C:C,$A108,'재고이동로그'!E:E,"창고"),0)</f>
        <v>0</v>
      </c>
      <c r="U108" s="59">
        <f>IFERROR(SUMIFS('재고이동로그'!F:F,'재고이동로그'!C:C,$A108,'재고이동로그'!E:E,"4층지원실"),0)</f>
        <v>0</v>
      </c>
      <c r="V108" s="59">
        <f>IFERROR(SUMIFS('재고이동로그'!F:F,'재고이동로그'!C:C,$A108,'재고이동로그'!E:E,"8층지원실"),0)</f>
        <v>0</v>
      </c>
      <c r="W108" s="83">
        <f t="shared" ref="W108:Y108" si="111">B108+E108-I108+M108-Q108+T108</f>
        <v>0</v>
      </c>
      <c r="X108" s="83">
        <f t="shared" si="111"/>
        <v>0</v>
      </c>
      <c r="Y108" s="83">
        <f t="shared" si="111"/>
        <v>0</v>
      </c>
      <c r="Z108" s="84">
        <f t="shared" si="6"/>
        <v>0</v>
      </c>
      <c r="AA108" s="59" t="str">
        <f t="shared" si="7"/>
        <v>부족</v>
      </c>
      <c r="AB108" s="59"/>
      <c r="AC108" s="59"/>
      <c r="AD108" s="59"/>
      <c r="AE108" s="59"/>
      <c r="AF108" s="59"/>
    </row>
    <row r="109" ht="15.75" customHeight="1">
      <c r="A109" s="59"/>
      <c r="B109" s="77">
        <f>IFERROR(SUMIFS('교재재고'!C:C,'교재재고'!B:B,$A109),0)</f>
        <v>0</v>
      </c>
      <c r="C109" s="77">
        <f>IFERROR(SUMIFS('교재재고'!D:D,'교재재고'!B:B,$A109),0)</f>
        <v>0</v>
      </c>
      <c r="D109" s="77">
        <f>IFERROR(SUMIFS('교재재고'!E:E,'교재재고'!B:B,$A109),0)</f>
        <v>0</v>
      </c>
      <c r="E109" s="78">
        <f>IFERROR(SUMIFS('교재재고'!F:F,'교재재고'!B:B,$A109),0)
+IFERROR(SUMIFS('교재재고'!I:I,'교재재고'!B:B,$A109),0)
+IFERROR(SUMIFS('교재재고'!L:L,'교재재고'!B:B,$A109),0)
+IFERROR(SUMIFS('교재재고'!O:O,'교재재고'!B:B,$A109),0)
+IFERROR(SUMIFS('교재재고'!R:R,'교재재고'!B:B,$A109),0)</f>
        <v>0</v>
      </c>
      <c r="F109" s="79">
        <f>IFERROR(SUMIFS('교재재고'!G:G,'교재재고'!B:B,$A109),0)
+IFERROR(SUMIFS('교재재고'!J:J,'교재재고'!B:B,$A109),0)
+IFERROR(SUMIFS('교재재고'!M:M,'교재재고'!B:B,$A109),0)
+IFERROR(SUMIFS('교재재고'!P:P,'교재재고'!B:B,$A109),0)
+IFERROR(SUMIFS('교재재고'!S:S,'교재재고'!B:B,$A109),0)</f>
        <v>0</v>
      </c>
      <c r="G109" s="79">
        <f>IFERROR(SUMIFS('교재재고'!H:H,'교재재고'!B:B,$A109),0)
+IFERROR(SUMIFS('교재재고'!K:K,'교재재고'!B:B,$A109),0)
+IFERROR(SUMIFS('교재재고'!N:N,'교재재고'!B:B,$A109),0)
+IFERROR(SUMIFS('교재재고'!Q:Q,'교재재고'!B:B,$A109),0)
+IFERROR(SUMIFS('교재재고'!T:T,'교재재고'!B:B,$A109),0)</f>
        <v>0</v>
      </c>
      <c r="H109" s="79">
        <f t="shared" si="2"/>
        <v>0</v>
      </c>
      <c r="I109" s="80">
        <f>IFERROR(SUMIFS('배부로그'!G:G,'배부로그'!D:D,$A109,'배부로그'!F:F,"창고"),0)</f>
        <v>0</v>
      </c>
      <c r="J109" s="59">
        <f>IFERROR(SUMIFS('배부로그'!G:G,'배부로그'!D:D,$A109,'배부로그'!F:F,"4층지원실"),0)</f>
        <v>0</v>
      </c>
      <c r="K109" s="59">
        <f>IFERROR(SUMIFS('배부로그'!G:G,'배부로그'!D:D,$A109,'배부로그'!F:F,"8층지원실"),0)</f>
        <v>0</v>
      </c>
      <c r="L109" s="81">
        <f t="shared" si="3"/>
        <v>0</v>
      </c>
      <c r="M109" s="59">
        <f>IFERROR(SUMIFS('회수로그'!H:H,'회수로그'!E:E,$A109,'회수로그'!G:G,"창고"),0)</f>
        <v>0</v>
      </c>
      <c r="N109" s="59">
        <f>IFERROR(SUMIFS('회수로그'!H:H,'회수로그'!E:E,$A109,'회수로그'!G:G,"4층지원실"),0)</f>
        <v>0</v>
      </c>
      <c r="O109" s="59">
        <f>IFERROR(SUMIFS('회수로그'!H:H,'회수로그'!E:E,$A109,'회수로그'!G:G,"8층지원실"),0)</f>
        <v>0</v>
      </c>
      <c r="P109" s="59">
        <f t="shared" si="4"/>
        <v>0</v>
      </c>
      <c r="Q109" s="59">
        <f>IFERROR(SUMIFS('재고이동로그'!F:F,'재고이동로그'!C:C,$A109,'재고이동로그'!D:D,"창고"),0)</f>
        <v>0</v>
      </c>
      <c r="R109" s="59">
        <f>IFERROR(SUMIFS('재고이동로그'!F:F,'재고이동로그'!C:C,$A109,'재고이동로그'!E:E,"4층지원실"),0)</f>
        <v>0</v>
      </c>
      <c r="S109" s="82">
        <f>IFERROR(SUMIFS('재고이동로그'!F:F,'재고이동로그'!C:C,$A109,'재고이동로그'!E:E,"8층지원실"),0)</f>
        <v>0</v>
      </c>
      <c r="T109" s="59">
        <f>IFERROR(SUMIFS('재고이동로그'!F:F,'재고이동로그'!C:C,$A109,'재고이동로그'!E:E,"창고"),0)</f>
        <v>0</v>
      </c>
      <c r="U109" s="59">
        <f>IFERROR(SUMIFS('재고이동로그'!F:F,'재고이동로그'!C:C,$A109,'재고이동로그'!E:E,"4층지원실"),0)</f>
        <v>0</v>
      </c>
      <c r="V109" s="59">
        <f>IFERROR(SUMIFS('재고이동로그'!F:F,'재고이동로그'!C:C,$A109,'재고이동로그'!E:E,"8층지원실"),0)</f>
        <v>0</v>
      </c>
      <c r="W109" s="83">
        <f t="shared" ref="W109:Y109" si="112">B109+E109-I109+M109-Q109+T109</f>
        <v>0</v>
      </c>
      <c r="X109" s="83">
        <f t="shared" si="112"/>
        <v>0</v>
      </c>
      <c r="Y109" s="83">
        <f t="shared" si="112"/>
        <v>0</v>
      </c>
      <c r="Z109" s="84">
        <f t="shared" si="6"/>
        <v>0</v>
      </c>
      <c r="AA109" s="59" t="str">
        <f t="shared" si="7"/>
        <v>부족</v>
      </c>
      <c r="AB109" s="59"/>
      <c r="AC109" s="59"/>
      <c r="AD109" s="59"/>
      <c r="AE109" s="59"/>
      <c r="AF109" s="59"/>
    </row>
    <row r="110" ht="15.75" customHeight="1">
      <c r="A110" s="59"/>
      <c r="B110" s="77">
        <f>IFERROR(SUMIFS('교재재고'!C:C,'교재재고'!B:B,$A110),0)</f>
        <v>0</v>
      </c>
      <c r="C110" s="77">
        <f>IFERROR(SUMIFS('교재재고'!D:D,'교재재고'!B:B,$A110),0)</f>
        <v>0</v>
      </c>
      <c r="D110" s="77">
        <f>IFERROR(SUMIFS('교재재고'!E:E,'교재재고'!B:B,$A110),0)</f>
        <v>0</v>
      </c>
      <c r="E110" s="78">
        <f>IFERROR(SUMIFS('교재재고'!F:F,'교재재고'!B:B,$A110),0)
+IFERROR(SUMIFS('교재재고'!I:I,'교재재고'!B:B,$A110),0)
+IFERROR(SUMIFS('교재재고'!L:L,'교재재고'!B:B,$A110),0)
+IFERROR(SUMIFS('교재재고'!O:O,'교재재고'!B:B,$A110),0)
+IFERROR(SUMIFS('교재재고'!R:R,'교재재고'!B:B,$A110),0)</f>
        <v>0</v>
      </c>
      <c r="F110" s="79">
        <f>IFERROR(SUMIFS('교재재고'!G:G,'교재재고'!B:B,$A110),0)
+IFERROR(SUMIFS('교재재고'!J:J,'교재재고'!B:B,$A110),0)
+IFERROR(SUMIFS('교재재고'!M:M,'교재재고'!B:B,$A110),0)
+IFERROR(SUMIFS('교재재고'!P:P,'교재재고'!B:B,$A110),0)
+IFERROR(SUMIFS('교재재고'!S:S,'교재재고'!B:B,$A110),0)</f>
        <v>0</v>
      </c>
      <c r="G110" s="79">
        <f>IFERROR(SUMIFS('교재재고'!H:H,'교재재고'!B:B,$A110),0)
+IFERROR(SUMIFS('교재재고'!K:K,'교재재고'!B:B,$A110),0)
+IFERROR(SUMIFS('교재재고'!N:N,'교재재고'!B:B,$A110),0)
+IFERROR(SUMIFS('교재재고'!Q:Q,'교재재고'!B:B,$A110),0)
+IFERROR(SUMIFS('교재재고'!T:T,'교재재고'!B:B,$A110),0)</f>
        <v>0</v>
      </c>
      <c r="H110" s="79">
        <f t="shared" si="2"/>
        <v>0</v>
      </c>
      <c r="I110" s="80">
        <f>IFERROR(SUMIFS('배부로그'!G:G,'배부로그'!D:D,$A110,'배부로그'!F:F,"창고"),0)</f>
        <v>0</v>
      </c>
      <c r="J110" s="59">
        <f>IFERROR(SUMIFS('배부로그'!G:G,'배부로그'!D:D,$A110,'배부로그'!F:F,"4층지원실"),0)</f>
        <v>0</v>
      </c>
      <c r="K110" s="59">
        <f>IFERROR(SUMIFS('배부로그'!G:G,'배부로그'!D:D,$A110,'배부로그'!F:F,"8층지원실"),0)</f>
        <v>0</v>
      </c>
      <c r="L110" s="81">
        <f t="shared" si="3"/>
        <v>0</v>
      </c>
      <c r="M110" s="59">
        <f>IFERROR(SUMIFS('회수로그'!H:H,'회수로그'!E:E,$A110,'회수로그'!G:G,"창고"),0)</f>
        <v>0</v>
      </c>
      <c r="N110" s="59">
        <f>IFERROR(SUMIFS('회수로그'!H:H,'회수로그'!E:E,$A110,'회수로그'!G:G,"4층지원실"),0)</f>
        <v>0</v>
      </c>
      <c r="O110" s="59">
        <f>IFERROR(SUMIFS('회수로그'!H:H,'회수로그'!E:E,$A110,'회수로그'!G:G,"8층지원실"),0)</f>
        <v>0</v>
      </c>
      <c r="P110" s="59">
        <f t="shared" si="4"/>
        <v>0</v>
      </c>
      <c r="Q110" s="59">
        <f>IFERROR(SUMIFS('재고이동로그'!F:F,'재고이동로그'!C:C,$A110,'재고이동로그'!D:D,"창고"),0)</f>
        <v>0</v>
      </c>
      <c r="R110" s="59">
        <f>IFERROR(SUMIFS('재고이동로그'!F:F,'재고이동로그'!C:C,$A110,'재고이동로그'!E:E,"4층지원실"),0)</f>
        <v>0</v>
      </c>
      <c r="S110" s="82">
        <f>IFERROR(SUMIFS('재고이동로그'!F:F,'재고이동로그'!C:C,$A110,'재고이동로그'!E:E,"8층지원실"),0)</f>
        <v>0</v>
      </c>
      <c r="T110" s="59">
        <f>IFERROR(SUMIFS('재고이동로그'!F:F,'재고이동로그'!C:C,$A110,'재고이동로그'!E:E,"창고"),0)</f>
        <v>0</v>
      </c>
      <c r="U110" s="59">
        <f>IFERROR(SUMIFS('재고이동로그'!F:F,'재고이동로그'!C:C,$A110,'재고이동로그'!E:E,"4층지원실"),0)</f>
        <v>0</v>
      </c>
      <c r="V110" s="59">
        <f>IFERROR(SUMIFS('재고이동로그'!F:F,'재고이동로그'!C:C,$A110,'재고이동로그'!E:E,"8층지원실"),0)</f>
        <v>0</v>
      </c>
      <c r="W110" s="83">
        <f t="shared" ref="W110:Y110" si="113">B110+E110-I110+M110-Q110+T110</f>
        <v>0</v>
      </c>
      <c r="X110" s="83">
        <f t="shared" si="113"/>
        <v>0</v>
      </c>
      <c r="Y110" s="83">
        <f t="shared" si="113"/>
        <v>0</v>
      </c>
      <c r="Z110" s="84">
        <f t="shared" si="6"/>
        <v>0</v>
      </c>
      <c r="AA110" s="59" t="str">
        <f t="shared" si="7"/>
        <v>부족</v>
      </c>
      <c r="AB110" s="59"/>
      <c r="AC110" s="59"/>
      <c r="AD110" s="59"/>
      <c r="AE110" s="59"/>
      <c r="AF110" s="59"/>
    </row>
    <row r="111" ht="15.75" customHeight="1">
      <c r="A111" s="59"/>
      <c r="B111" s="77">
        <f>IFERROR(SUMIFS('교재재고'!C:C,'교재재고'!B:B,$A111),0)</f>
        <v>0</v>
      </c>
      <c r="C111" s="77">
        <f>IFERROR(SUMIFS('교재재고'!D:D,'교재재고'!B:B,$A111),0)</f>
        <v>0</v>
      </c>
      <c r="D111" s="77">
        <f>IFERROR(SUMIFS('교재재고'!E:E,'교재재고'!B:B,$A111),0)</f>
        <v>0</v>
      </c>
      <c r="E111" s="78">
        <f>IFERROR(SUMIFS('교재재고'!F:F,'교재재고'!B:B,$A111),0)
+IFERROR(SUMIFS('교재재고'!I:I,'교재재고'!B:B,$A111),0)
+IFERROR(SUMIFS('교재재고'!L:L,'교재재고'!B:B,$A111),0)
+IFERROR(SUMIFS('교재재고'!O:O,'교재재고'!B:B,$A111),0)
+IFERROR(SUMIFS('교재재고'!R:R,'교재재고'!B:B,$A111),0)</f>
        <v>0</v>
      </c>
      <c r="F111" s="79">
        <f>IFERROR(SUMIFS('교재재고'!G:G,'교재재고'!B:B,$A111),0)
+IFERROR(SUMIFS('교재재고'!J:J,'교재재고'!B:B,$A111),0)
+IFERROR(SUMIFS('교재재고'!M:M,'교재재고'!B:B,$A111),0)
+IFERROR(SUMIFS('교재재고'!P:P,'교재재고'!B:B,$A111),0)
+IFERROR(SUMIFS('교재재고'!S:S,'교재재고'!B:B,$A111),0)</f>
        <v>0</v>
      </c>
      <c r="G111" s="79">
        <f>IFERROR(SUMIFS('교재재고'!H:H,'교재재고'!B:B,$A111),0)
+IFERROR(SUMIFS('교재재고'!K:K,'교재재고'!B:B,$A111),0)
+IFERROR(SUMIFS('교재재고'!N:N,'교재재고'!B:B,$A111),0)
+IFERROR(SUMIFS('교재재고'!Q:Q,'교재재고'!B:B,$A111),0)
+IFERROR(SUMIFS('교재재고'!T:T,'교재재고'!B:B,$A111),0)</f>
        <v>0</v>
      </c>
      <c r="H111" s="79">
        <f t="shared" si="2"/>
        <v>0</v>
      </c>
      <c r="I111" s="80">
        <f>IFERROR(SUMIFS('배부로그'!G:G,'배부로그'!D:D,$A111,'배부로그'!F:F,"창고"),0)</f>
        <v>0</v>
      </c>
      <c r="J111" s="59">
        <f>IFERROR(SUMIFS('배부로그'!G:G,'배부로그'!D:D,$A111,'배부로그'!F:F,"4층지원실"),0)</f>
        <v>0</v>
      </c>
      <c r="K111" s="59">
        <f>IFERROR(SUMIFS('배부로그'!G:G,'배부로그'!D:D,$A111,'배부로그'!F:F,"8층지원실"),0)</f>
        <v>0</v>
      </c>
      <c r="L111" s="81">
        <f t="shared" si="3"/>
        <v>0</v>
      </c>
      <c r="M111" s="59">
        <f>IFERROR(SUMIFS('회수로그'!H:H,'회수로그'!E:E,$A111,'회수로그'!G:G,"창고"),0)</f>
        <v>0</v>
      </c>
      <c r="N111" s="59">
        <f>IFERROR(SUMIFS('회수로그'!H:H,'회수로그'!E:E,$A111,'회수로그'!G:G,"4층지원실"),0)</f>
        <v>0</v>
      </c>
      <c r="O111" s="59">
        <f>IFERROR(SUMIFS('회수로그'!H:H,'회수로그'!E:E,$A111,'회수로그'!G:G,"8층지원실"),0)</f>
        <v>0</v>
      </c>
      <c r="P111" s="59">
        <f t="shared" si="4"/>
        <v>0</v>
      </c>
      <c r="Q111" s="59">
        <f>IFERROR(SUMIFS('재고이동로그'!F:F,'재고이동로그'!C:C,$A111,'재고이동로그'!D:D,"창고"),0)</f>
        <v>0</v>
      </c>
      <c r="R111" s="59">
        <f>IFERROR(SUMIFS('재고이동로그'!F:F,'재고이동로그'!C:C,$A111,'재고이동로그'!E:E,"4층지원실"),0)</f>
        <v>0</v>
      </c>
      <c r="S111" s="82">
        <f>IFERROR(SUMIFS('재고이동로그'!F:F,'재고이동로그'!C:C,$A111,'재고이동로그'!E:E,"8층지원실"),0)</f>
        <v>0</v>
      </c>
      <c r="T111" s="59">
        <f>IFERROR(SUMIFS('재고이동로그'!F:F,'재고이동로그'!C:C,$A111,'재고이동로그'!E:E,"창고"),0)</f>
        <v>0</v>
      </c>
      <c r="U111" s="59">
        <f>IFERROR(SUMIFS('재고이동로그'!F:F,'재고이동로그'!C:C,$A111,'재고이동로그'!E:E,"4층지원실"),0)</f>
        <v>0</v>
      </c>
      <c r="V111" s="59">
        <f>IFERROR(SUMIFS('재고이동로그'!F:F,'재고이동로그'!C:C,$A111,'재고이동로그'!E:E,"8층지원실"),0)</f>
        <v>0</v>
      </c>
      <c r="W111" s="83">
        <f t="shared" ref="W111:Y111" si="114">B111+E111-I111+M111-Q111+T111</f>
        <v>0</v>
      </c>
      <c r="X111" s="83">
        <f t="shared" si="114"/>
        <v>0</v>
      </c>
      <c r="Y111" s="83">
        <f t="shared" si="114"/>
        <v>0</v>
      </c>
      <c r="Z111" s="84">
        <f t="shared" si="6"/>
        <v>0</v>
      </c>
      <c r="AA111" s="59" t="str">
        <f t="shared" si="7"/>
        <v>부족</v>
      </c>
      <c r="AB111" s="59"/>
      <c r="AC111" s="59"/>
      <c r="AD111" s="59"/>
      <c r="AE111" s="59"/>
      <c r="AF111" s="59"/>
    </row>
    <row r="112" ht="15.75" customHeight="1">
      <c r="A112" s="59"/>
      <c r="B112" s="77">
        <f>IFERROR(SUMIFS('교재재고'!C:C,'교재재고'!B:B,$A112),0)</f>
        <v>0</v>
      </c>
      <c r="C112" s="77">
        <f>IFERROR(SUMIFS('교재재고'!D:D,'교재재고'!B:B,$A112),0)</f>
        <v>0</v>
      </c>
      <c r="D112" s="77">
        <f>IFERROR(SUMIFS('교재재고'!E:E,'교재재고'!B:B,$A112),0)</f>
        <v>0</v>
      </c>
      <c r="E112" s="78">
        <f>IFERROR(SUMIFS('교재재고'!F:F,'교재재고'!B:B,$A112),0)
+IFERROR(SUMIFS('교재재고'!I:I,'교재재고'!B:B,$A112),0)
+IFERROR(SUMIFS('교재재고'!L:L,'교재재고'!B:B,$A112),0)
+IFERROR(SUMIFS('교재재고'!O:O,'교재재고'!B:B,$A112),0)
+IFERROR(SUMIFS('교재재고'!R:R,'교재재고'!B:B,$A112),0)</f>
        <v>0</v>
      </c>
      <c r="F112" s="79">
        <f>IFERROR(SUMIFS('교재재고'!G:G,'교재재고'!B:B,$A112),0)
+IFERROR(SUMIFS('교재재고'!J:J,'교재재고'!B:B,$A112),0)
+IFERROR(SUMIFS('교재재고'!M:M,'교재재고'!B:B,$A112),0)
+IFERROR(SUMIFS('교재재고'!P:P,'교재재고'!B:B,$A112),0)
+IFERROR(SUMIFS('교재재고'!S:S,'교재재고'!B:B,$A112),0)</f>
        <v>0</v>
      </c>
      <c r="G112" s="79">
        <f>IFERROR(SUMIFS('교재재고'!H:H,'교재재고'!B:B,$A112),0)
+IFERROR(SUMIFS('교재재고'!K:K,'교재재고'!B:B,$A112),0)
+IFERROR(SUMIFS('교재재고'!N:N,'교재재고'!B:B,$A112),0)
+IFERROR(SUMIFS('교재재고'!Q:Q,'교재재고'!B:B,$A112),0)
+IFERROR(SUMIFS('교재재고'!T:T,'교재재고'!B:B,$A112),0)</f>
        <v>0</v>
      </c>
      <c r="H112" s="79">
        <f t="shared" si="2"/>
        <v>0</v>
      </c>
      <c r="I112" s="80">
        <f>IFERROR(SUMIFS('배부로그'!G:G,'배부로그'!D:D,$A112,'배부로그'!F:F,"창고"),0)</f>
        <v>0</v>
      </c>
      <c r="J112" s="59">
        <f>IFERROR(SUMIFS('배부로그'!G:G,'배부로그'!D:D,$A112,'배부로그'!F:F,"4층지원실"),0)</f>
        <v>0</v>
      </c>
      <c r="K112" s="59">
        <f>IFERROR(SUMIFS('배부로그'!G:G,'배부로그'!D:D,$A112,'배부로그'!F:F,"8층지원실"),0)</f>
        <v>0</v>
      </c>
      <c r="L112" s="81">
        <f t="shared" si="3"/>
        <v>0</v>
      </c>
      <c r="M112" s="59">
        <f>IFERROR(SUMIFS('회수로그'!H:H,'회수로그'!E:E,$A112,'회수로그'!G:G,"창고"),0)</f>
        <v>0</v>
      </c>
      <c r="N112" s="59">
        <f>IFERROR(SUMIFS('회수로그'!H:H,'회수로그'!E:E,$A112,'회수로그'!G:G,"4층지원실"),0)</f>
        <v>0</v>
      </c>
      <c r="O112" s="59">
        <f>IFERROR(SUMIFS('회수로그'!H:H,'회수로그'!E:E,$A112,'회수로그'!G:G,"8층지원실"),0)</f>
        <v>0</v>
      </c>
      <c r="P112" s="59">
        <f t="shared" si="4"/>
        <v>0</v>
      </c>
      <c r="Q112" s="59">
        <f>IFERROR(SUMIFS('재고이동로그'!F:F,'재고이동로그'!C:C,$A112,'재고이동로그'!D:D,"창고"),0)</f>
        <v>0</v>
      </c>
      <c r="R112" s="59">
        <f>IFERROR(SUMIFS('재고이동로그'!F:F,'재고이동로그'!C:C,$A112,'재고이동로그'!E:E,"4층지원실"),0)</f>
        <v>0</v>
      </c>
      <c r="S112" s="82">
        <f>IFERROR(SUMIFS('재고이동로그'!F:F,'재고이동로그'!C:C,$A112,'재고이동로그'!E:E,"8층지원실"),0)</f>
        <v>0</v>
      </c>
      <c r="T112" s="59">
        <f>IFERROR(SUMIFS('재고이동로그'!F:F,'재고이동로그'!C:C,$A112,'재고이동로그'!E:E,"창고"),0)</f>
        <v>0</v>
      </c>
      <c r="U112" s="59">
        <f>IFERROR(SUMIFS('재고이동로그'!F:F,'재고이동로그'!C:C,$A112,'재고이동로그'!E:E,"4층지원실"),0)</f>
        <v>0</v>
      </c>
      <c r="V112" s="59">
        <f>IFERROR(SUMIFS('재고이동로그'!F:F,'재고이동로그'!C:C,$A112,'재고이동로그'!E:E,"8층지원실"),0)</f>
        <v>0</v>
      </c>
      <c r="W112" s="83">
        <f t="shared" ref="W112:Y112" si="115">B112+E112-I112+M112-Q112+T112</f>
        <v>0</v>
      </c>
      <c r="X112" s="83">
        <f t="shared" si="115"/>
        <v>0</v>
      </c>
      <c r="Y112" s="83">
        <f t="shared" si="115"/>
        <v>0</v>
      </c>
      <c r="Z112" s="84">
        <f t="shared" si="6"/>
        <v>0</v>
      </c>
      <c r="AA112" s="59" t="str">
        <f t="shared" si="7"/>
        <v>부족</v>
      </c>
      <c r="AB112" s="59"/>
      <c r="AC112" s="59"/>
      <c r="AD112" s="59"/>
      <c r="AE112" s="59"/>
      <c r="AF112" s="59"/>
    </row>
    <row r="113" ht="15.75" customHeight="1">
      <c r="A113" s="59"/>
      <c r="B113" s="77">
        <f>IFERROR(SUMIFS('교재재고'!C:C,'교재재고'!B:B,$A113),0)</f>
        <v>0</v>
      </c>
      <c r="C113" s="77">
        <f>IFERROR(SUMIFS('교재재고'!D:D,'교재재고'!B:B,$A113),0)</f>
        <v>0</v>
      </c>
      <c r="D113" s="77">
        <f>IFERROR(SUMIFS('교재재고'!E:E,'교재재고'!B:B,$A113),0)</f>
        <v>0</v>
      </c>
      <c r="E113" s="78">
        <f>IFERROR(SUMIFS('교재재고'!F:F,'교재재고'!B:B,$A113),0)
+IFERROR(SUMIFS('교재재고'!I:I,'교재재고'!B:B,$A113),0)
+IFERROR(SUMIFS('교재재고'!L:L,'교재재고'!B:B,$A113),0)
+IFERROR(SUMIFS('교재재고'!O:O,'교재재고'!B:B,$A113),0)
+IFERROR(SUMIFS('교재재고'!R:R,'교재재고'!B:B,$A113),0)</f>
        <v>0</v>
      </c>
      <c r="F113" s="79">
        <f>IFERROR(SUMIFS('교재재고'!G:G,'교재재고'!B:B,$A113),0)
+IFERROR(SUMIFS('교재재고'!J:J,'교재재고'!B:B,$A113),0)
+IFERROR(SUMIFS('교재재고'!M:M,'교재재고'!B:B,$A113),0)
+IFERROR(SUMIFS('교재재고'!P:P,'교재재고'!B:B,$A113),0)
+IFERROR(SUMIFS('교재재고'!S:S,'교재재고'!B:B,$A113),0)</f>
        <v>0</v>
      </c>
      <c r="G113" s="79">
        <f>IFERROR(SUMIFS('교재재고'!H:H,'교재재고'!B:B,$A113),0)
+IFERROR(SUMIFS('교재재고'!K:K,'교재재고'!B:B,$A113),0)
+IFERROR(SUMIFS('교재재고'!N:N,'교재재고'!B:B,$A113),0)
+IFERROR(SUMIFS('교재재고'!Q:Q,'교재재고'!B:B,$A113),0)
+IFERROR(SUMIFS('교재재고'!T:T,'교재재고'!B:B,$A113),0)</f>
        <v>0</v>
      </c>
      <c r="H113" s="79">
        <f t="shared" si="2"/>
        <v>0</v>
      </c>
      <c r="I113" s="80">
        <f>IFERROR(SUMIFS('배부로그'!G:G,'배부로그'!D:D,$A113,'배부로그'!F:F,"창고"),0)</f>
        <v>0</v>
      </c>
      <c r="J113" s="59">
        <f>IFERROR(SUMIFS('배부로그'!G:G,'배부로그'!D:D,$A113,'배부로그'!F:F,"4층지원실"),0)</f>
        <v>0</v>
      </c>
      <c r="K113" s="59">
        <f>IFERROR(SUMIFS('배부로그'!G:G,'배부로그'!D:D,$A113,'배부로그'!F:F,"8층지원실"),0)</f>
        <v>0</v>
      </c>
      <c r="L113" s="81">
        <f t="shared" si="3"/>
        <v>0</v>
      </c>
      <c r="M113" s="59">
        <f>IFERROR(SUMIFS('회수로그'!H:H,'회수로그'!E:E,$A113,'회수로그'!G:G,"창고"),0)</f>
        <v>0</v>
      </c>
      <c r="N113" s="59">
        <f>IFERROR(SUMIFS('회수로그'!H:H,'회수로그'!E:E,$A113,'회수로그'!G:G,"4층지원실"),0)</f>
        <v>0</v>
      </c>
      <c r="O113" s="59">
        <f>IFERROR(SUMIFS('회수로그'!H:H,'회수로그'!E:E,$A113,'회수로그'!G:G,"8층지원실"),0)</f>
        <v>0</v>
      </c>
      <c r="P113" s="59">
        <f t="shared" si="4"/>
        <v>0</v>
      </c>
      <c r="Q113" s="59">
        <f>IFERROR(SUMIFS('재고이동로그'!F:F,'재고이동로그'!C:C,$A113,'재고이동로그'!D:D,"창고"),0)</f>
        <v>0</v>
      </c>
      <c r="R113" s="59">
        <f>IFERROR(SUMIFS('재고이동로그'!F:F,'재고이동로그'!C:C,$A113,'재고이동로그'!E:E,"4층지원실"),0)</f>
        <v>0</v>
      </c>
      <c r="S113" s="82">
        <f>IFERROR(SUMIFS('재고이동로그'!F:F,'재고이동로그'!C:C,$A113,'재고이동로그'!E:E,"8층지원실"),0)</f>
        <v>0</v>
      </c>
      <c r="T113" s="59">
        <f>IFERROR(SUMIFS('재고이동로그'!F:F,'재고이동로그'!C:C,$A113,'재고이동로그'!E:E,"창고"),0)</f>
        <v>0</v>
      </c>
      <c r="U113" s="59">
        <f>IFERROR(SUMIFS('재고이동로그'!F:F,'재고이동로그'!C:C,$A113,'재고이동로그'!E:E,"4층지원실"),0)</f>
        <v>0</v>
      </c>
      <c r="V113" s="59">
        <f>IFERROR(SUMIFS('재고이동로그'!F:F,'재고이동로그'!C:C,$A113,'재고이동로그'!E:E,"8층지원실"),0)</f>
        <v>0</v>
      </c>
      <c r="W113" s="83">
        <f t="shared" ref="W113:Y113" si="116">B113+E113-I113+M113-Q113+T113</f>
        <v>0</v>
      </c>
      <c r="X113" s="83">
        <f t="shared" si="116"/>
        <v>0</v>
      </c>
      <c r="Y113" s="83">
        <f t="shared" si="116"/>
        <v>0</v>
      </c>
      <c r="Z113" s="84">
        <f t="shared" si="6"/>
        <v>0</v>
      </c>
      <c r="AA113" s="59" t="str">
        <f t="shared" si="7"/>
        <v>부족</v>
      </c>
      <c r="AB113" s="59"/>
      <c r="AC113" s="59"/>
      <c r="AD113" s="59"/>
      <c r="AE113" s="59"/>
      <c r="AF113" s="59"/>
    </row>
    <row r="114" ht="15.75" customHeight="1">
      <c r="A114" s="59"/>
      <c r="B114" s="77">
        <f>IFERROR(SUMIFS('교재재고'!C:C,'교재재고'!B:B,$A114),0)</f>
        <v>0</v>
      </c>
      <c r="C114" s="77">
        <f>IFERROR(SUMIFS('교재재고'!D:D,'교재재고'!B:B,$A114),0)</f>
        <v>0</v>
      </c>
      <c r="D114" s="77">
        <f>IFERROR(SUMIFS('교재재고'!E:E,'교재재고'!B:B,$A114),0)</f>
        <v>0</v>
      </c>
      <c r="E114" s="78">
        <f>IFERROR(SUMIFS('교재재고'!F:F,'교재재고'!B:B,$A114),0)
+IFERROR(SUMIFS('교재재고'!I:I,'교재재고'!B:B,$A114),0)
+IFERROR(SUMIFS('교재재고'!L:L,'교재재고'!B:B,$A114),0)
+IFERROR(SUMIFS('교재재고'!O:O,'교재재고'!B:B,$A114),0)
+IFERROR(SUMIFS('교재재고'!R:R,'교재재고'!B:B,$A114),0)</f>
        <v>0</v>
      </c>
      <c r="F114" s="79">
        <f>IFERROR(SUMIFS('교재재고'!G:G,'교재재고'!B:B,$A114),0)
+IFERROR(SUMIFS('교재재고'!J:J,'교재재고'!B:B,$A114),0)
+IFERROR(SUMIFS('교재재고'!M:M,'교재재고'!B:B,$A114),0)
+IFERROR(SUMIFS('교재재고'!P:P,'교재재고'!B:B,$A114),0)
+IFERROR(SUMIFS('교재재고'!S:S,'교재재고'!B:B,$A114),0)</f>
        <v>0</v>
      </c>
      <c r="G114" s="79">
        <f>IFERROR(SUMIFS('교재재고'!H:H,'교재재고'!B:B,$A114),0)
+IFERROR(SUMIFS('교재재고'!K:K,'교재재고'!B:B,$A114),0)
+IFERROR(SUMIFS('교재재고'!N:N,'교재재고'!B:B,$A114),0)
+IFERROR(SUMIFS('교재재고'!Q:Q,'교재재고'!B:B,$A114),0)
+IFERROR(SUMIFS('교재재고'!T:T,'교재재고'!B:B,$A114),0)</f>
        <v>0</v>
      </c>
      <c r="H114" s="79">
        <f t="shared" si="2"/>
        <v>0</v>
      </c>
      <c r="I114" s="80">
        <f>IFERROR(SUMIFS('배부로그'!G:G,'배부로그'!D:D,$A114,'배부로그'!F:F,"창고"),0)</f>
        <v>0</v>
      </c>
      <c r="J114" s="59">
        <f>IFERROR(SUMIFS('배부로그'!G:G,'배부로그'!D:D,$A114,'배부로그'!F:F,"4층지원실"),0)</f>
        <v>0</v>
      </c>
      <c r="K114" s="59">
        <f>IFERROR(SUMIFS('배부로그'!G:G,'배부로그'!D:D,$A114,'배부로그'!F:F,"8층지원실"),0)</f>
        <v>0</v>
      </c>
      <c r="L114" s="81">
        <f t="shared" si="3"/>
        <v>0</v>
      </c>
      <c r="M114" s="59">
        <f>IFERROR(SUMIFS('회수로그'!H:H,'회수로그'!E:E,$A114,'회수로그'!G:G,"창고"),0)</f>
        <v>0</v>
      </c>
      <c r="N114" s="59">
        <f>IFERROR(SUMIFS('회수로그'!H:H,'회수로그'!E:E,$A114,'회수로그'!G:G,"4층지원실"),0)</f>
        <v>0</v>
      </c>
      <c r="O114" s="59">
        <f>IFERROR(SUMIFS('회수로그'!H:H,'회수로그'!E:E,$A114,'회수로그'!G:G,"8층지원실"),0)</f>
        <v>0</v>
      </c>
      <c r="P114" s="59">
        <f t="shared" si="4"/>
        <v>0</v>
      </c>
      <c r="Q114" s="59">
        <f>IFERROR(SUMIFS('재고이동로그'!F:F,'재고이동로그'!C:C,$A114,'재고이동로그'!D:D,"창고"),0)</f>
        <v>0</v>
      </c>
      <c r="R114" s="59">
        <f>IFERROR(SUMIFS('재고이동로그'!F:F,'재고이동로그'!C:C,$A114,'재고이동로그'!E:E,"4층지원실"),0)</f>
        <v>0</v>
      </c>
      <c r="S114" s="82">
        <f>IFERROR(SUMIFS('재고이동로그'!F:F,'재고이동로그'!C:C,$A114,'재고이동로그'!E:E,"8층지원실"),0)</f>
        <v>0</v>
      </c>
      <c r="T114" s="59">
        <f>IFERROR(SUMIFS('재고이동로그'!F:F,'재고이동로그'!C:C,$A114,'재고이동로그'!E:E,"창고"),0)</f>
        <v>0</v>
      </c>
      <c r="U114" s="59">
        <f>IFERROR(SUMIFS('재고이동로그'!F:F,'재고이동로그'!C:C,$A114,'재고이동로그'!E:E,"4층지원실"),0)</f>
        <v>0</v>
      </c>
      <c r="V114" s="59">
        <f>IFERROR(SUMIFS('재고이동로그'!F:F,'재고이동로그'!C:C,$A114,'재고이동로그'!E:E,"8층지원실"),0)</f>
        <v>0</v>
      </c>
      <c r="W114" s="83">
        <f t="shared" ref="W114:Y114" si="117">B114+E114-I114+M114-Q114+T114</f>
        <v>0</v>
      </c>
      <c r="X114" s="83">
        <f t="shared" si="117"/>
        <v>0</v>
      </c>
      <c r="Y114" s="83">
        <f t="shared" si="117"/>
        <v>0</v>
      </c>
      <c r="Z114" s="84">
        <f t="shared" si="6"/>
        <v>0</v>
      </c>
      <c r="AA114" s="59" t="str">
        <f t="shared" si="7"/>
        <v>부족</v>
      </c>
      <c r="AB114" s="59"/>
      <c r="AC114" s="59"/>
      <c r="AD114" s="59"/>
      <c r="AE114" s="59"/>
      <c r="AF114" s="59"/>
    </row>
    <row r="115" ht="15.75" customHeight="1">
      <c r="A115" s="59"/>
      <c r="B115" s="77">
        <f>IFERROR(SUMIFS('교재재고'!C:C,'교재재고'!B:B,$A115),0)</f>
        <v>0</v>
      </c>
      <c r="C115" s="77">
        <f>IFERROR(SUMIFS('교재재고'!D:D,'교재재고'!B:B,$A115),0)</f>
        <v>0</v>
      </c>
      <c r="D115" s="77">
        <f>IFERROR(SUMIFS('교재재고'!E:E,'교재재고'!B:B,$A115),0)</f>
        <v>0</v>
      </c>
      <c r="E115" s="78">
        <f>IFERROR(SUMIFS('교재재고'!F:F,'교재재고'!B:B,$A115),0)
+IFERROR(SUMIFS('교재재고'!I:I,'교재재고'!B:B,$A115),0)
+IFERROR(SUMIFS('교재재고'!L:L,'교재재고'!B:B,$A115),0)
+IFERROR(SUMIFS('교재재고'!O:O,'교재재고'!B:B,$A115),0)
+IFERROR(SUMIFS('교재재고'!R:R,'교재재고'!B:B,$A115),0)</f>
        <v>0</v>
      </c>
      <c r="F115" s="79">
        <f>IFERROR(SUMIFS('교재재고'!G:G,'교재재고'!B:B,$A115),0)
+IFERROR(SUMIFS('교재재고'!J:J,'교재재고'!B:B,$A115),0)
+IFERROR(SUMIFS('교재재고'!M:M,'교재재고'!B:B,$A115),0)
+IFERROR(SUMIFS('교재재고'!P:P,'교재재고'!B:B,$A115),0)
+IFERROR(SUMIFS('교재재고'!S:S,'교재재고'!B:B,$A115),0)</f>
        <v>0</v>
      </c>
      <c r="G115" s="79">
        <f>IFERROR(SUMIFS('교재재고'!H:H,'교재재고'!B:B,$A115),0)
+IFERROR(SUMIFS('교재재고'!K:K,'교재재고'!B:B,$A115),0)
+IFERROR(SUMIFS('교재재고'!N:N,'교재재고'!B:B,$A115),0)
+IFERROR(SUMIFS('교재재고'!Q:Q,'교재재고'!B:B,$A115),0)
+IFERROR(SUMIFS('교재재고'!T:T,'교재재고'!B:B,$A115),0)</f>
        <v>0</v>
      </c>
      <c r="H115" s="79">
        <f t="shared" si="2"/>
        <v>0</v>
      </c>
      <c r="I115" s="80">
        <f>IFERROR(SUMIFS('배부로그'!G:G,'배부로그'!D:D,$A115,'배부로그'!F:F,"창고"),0)</f>
        <v>0</v>
      </c>
      <c r="J115" s="59">
        <f>IFERROR(SUMIFS('배부로그'!G:G,'배부로그'!D:D,$A115,'배부로그'!F:F,"4층지원실"),0)</f>
        <v>0</v>
      </c>
      <c r="K115" s="59">
        <f>IFERROR(SUMIFS('배부로그'!G:G,'배부로그'!D:D,$A115,'배부로그'!F:F,"8층지원실"),0)</f>
        <v>0</v>
      </c>
      <c r="L115" s="81">
        <f t="shared" si="3"/>
        <v>0</v>
      </c>
      <c r="M115" s="59">
        <f>IFERROR(SUMIFS('회수로그'!H:H,'회수로그'!E:E,$A115,'회수로그'!G:G,"창고"),0)</f>
        <v>0</v>
      </c>
      <c r="N115" s="59">
        <f>IFERROR(SUMIFS('회수로그'!H:H,'회수로그'!E:E,$A115,'회수로그'!G:G,"4층지원실"),0)</f>
        <v>0</v>
      </c>
      <c r="O115" s="59">
        <f>IFERROR(SUMIFS('회수로그'!H:H,'회수로그'!E:E,$A115,'회수로그'!G:G,"8층지원실"),0)</f>
        <v>0</v>
      </c>
      <c r="P115" s="59">
        <f t="shared" si="4"/>
        <v>0</v>
      </c>
      <c r="Q115" s="59">
        <f>IFERROR(SUMIFS('재고이동로그'!F:F,'재고이동로그'!C:C,$A115,'재고이동로그'!D:D,"창고"),0)</f>
        <v>0</v>
      </c>
      <c r="R115" s="59">
        <f>IFERROR(SUMIFS('재고이동로그'!F:F,'재고이동로그'!C:C,$A115,'재고이동로그'!E:E,"4층지원실"),0)</f>
        <v>0</v>
      </c>
      <c r="S115" s="82">
        <f>IFERROR(SUMIFS('재고이동로그'!F:F,'재고이동로그'!C:C,$A115,'재고이동로그'!E:E,"8층지원실"),0)</f>
        <v>0</v>
      </c>
      <c r="T115" s="59">
        <f>IFERROR(SUMIFS('재고이동로그'!F:F,'재고이동로그'!C:C,$A115,'재고이동로그'!E:E,"창고"),0)</f>
        <v>0</v>
      </c>
      <c r="U115" s="59">
        <f>IFERROR(SUMIFS('재고이동로그'!F:F,'재고이동로그'!C:C,$A115,'재고이동로그'!E:E,"4층지원실"),0)</f>
        <v>0</v>
      </c>
      <c r="V115" s="59">
        <f>IFERROR(SUMIFS('재고이동로그'!F:F,'재고이동로그'!C:C,$A115,'재고이동로그'!E:E,"8층지원실"),0)</f>
        <v>0</v>
      </c>
      <c r="W115" s="83">
        <f t="shared" ref="W115:Y115" si="118">B115+E115-I115+M115-Q115+T115</f>
        <v>0</v>
      </c>
      <c r="X115" s="83">
        <f t="shared" si="118"/>
        <v>0</v>
      </c>
      <c r="Y115" s="83">
        <f t="shared" si="118"/>
        <v>0</v>
      </c>
      <c r="Z115" s="84">
        <f t="shared" si="6"/>
        <v>0</v>
      </c>
      <c r="AA115" s="59" t="str">
        <f t="shared" si="7"/>
        <v>부족</v>
      </c>
      <c r="AB115" s="59"/>
      <c r="AC115" s="59"/>
      <c r="AD115" s="59"/>
      <c r="AE115" s="59"/>
      <c r="AF115" s="59"/>
    </row>
    <row r="116" ht="15.75" customHeight="1">
      <c r="A116" s="59"/>
      <c r="B116" s="77">
        <f>IFERROR(SUMIFS('교재재고'!C:C,'교재재고'!B:B,$A116),0)</f>
        <v>0</v>
      </c>
      <c r="C116" s="77">
        <f>IFERROR(SUMIFS('교재재고'!D:D,'교재재고'!B:B,$A116),0)</f>
        <v>0</v>
      </c>
      <c r="D116" s="77">
        <f>IFERROR(SUMIFS('교재재고'!E:E,'교재재고'!B:B,$A116),0)</f>
        <v>0</v>
      </c>
      <c r="E116" s="78">
        <f>IFERROR(SUMIFS('교재재고'!F:F,'교재재고'!B:B,$A116),0)
+IFERROR(SUMIFS('교재재고'!I:I,'교재재고'!B:B,$A116),0)
+IFERROR(SUMIFS('교재재고'!L:L,'교재재고'!B:B,$A116),0)
+IFERROR(SUMIFS('교재재고'!O:O,'교재재고'!B:B,$A116),0)
+IFERROR(SUMIFS('교재재고'!R:R,'교재재고'!B:B,$A116),0)</f>
        <v>0</v>
      </c>
      <c r="F116" s="79">
        <f>IFERROR(SUMIFS('교재재고'!G:G,'교재재고'!B:B,$A116),0)
+IFERROR(SUMIFS('교재재고'!J:J,'교재재고'!B:B,$A116),0)
+IFERROR(SUMIFS('교재재고'!M:M,'교재재고'!B:B,$A116),0)
+IFERROR(SUMIFS('교재재고'!P:P,'교재재고'!B:B,$A116),0)
+IFERROR(SUMIFS('교재재고'!S:S,'교재재고'!B:B,$A116),0)</f>
        <v>0</v>
      </c>
      <c r="G116" s="79">
        <f>IFERROR(SUMIFS('교재재고'!H:H,'교재재고'!B:B,$A116),0)
+IFERROR(SUMIFS('교재재고'!K:K,'교재재고'!B:B,$A116),0)
+IFERROR(SUMIFS('교재재고'!N:N,'교재재고'!B:B,$A116),0)
+IFERROR(SUMIFS('교재재고'!Q:Q,'교재재고'!B:B,$A116),0)
+IFERROR(SUMIFS('교재재고'!T:T,'교재재고'!B:B,$A116),0)</f>
        <v>0</v>
      </c>
      <c r="H116" s="79">
        <f t="shared" si="2"/>
        <v>0</v>
      </c>
      <c r="I116" s="80">
        <f>IFERROR(SUMIFS('배부로그'!G:G,'배부로그'!D:D,$A116,'배부로그'!F:F,"창고"),0)</f>
        <v>0</v>
      </c>
      <c r="J116" s="59">
        <f>IFERROR(SUMIFS('배부로그'!G:G,'배부로그'!D:D,$A116,'배부로그'!F:F,"4층지원실"),0)</f>
        <v>0</v>
      </c>
      <c r="K116" s="59">
        <f>IFERROR(SUMIFS('배부로그'!G:G,'배부로그'!D:D,$A116,'배부로그'!F:F,"8층지원실"),0)</f>
        <v>0</v>
      </c>
      <c r="L116" s="81">
        <f t="shared" si="3"/>
        <v>0</v>
      </c>
      <c r="M116" s="59">
        <f>IFERROR(SUMIFS('회수로그'!H:H,'회수로그'!E:E,$A116,'회수로그'!G:G,"창고"),0)</f>
        <v>0</v>
      </c>
      <c r="N116" s="59">
        <f>IFERROR(SUMIFS('회수로그'!H:H,'회수로그'!E:E,$A116,'회수로그'!G:G,"4층지원실"),0)</f>
        <v>0</v>
      </c>
      <c r="O116" s="59">
        <f>IFERROR(SUMIFS('회수로그'!H:H,'회수로그'!E:E,$A116,'회수로그'!G:G,"8층지원실"),0)</f>
        <v>0</v>
      </c>
      <c r="P116" s="59">
        <f t="shared" si="4"/>
        <v>0</v>
      </c>
      <c r="Q116" s="59">
        <f>IFERROR(SUMIFS('재고이동로그'!F:F,'재고이동로그'!C:C,$A116,'재고이동로그'!D:D,"창고"),0)</f>
        <v>0</v>
      </c>
      <c r="R116" s="59">
        <f>IFERROR(SUMIFS('재고이동로그'!F:F,'재고이동로그'!C:C,$A116,'재고이동로그'!E:E,"4층지원실"),0)</f>
        <v>0</v>
      </c>
      <c r="S116" s="82">
        <f>IFERROR(SUMIFS('재고이동로그'!F:F,'재고이동로그'!C:C,$A116,'재고이동로그'!E:E,"8층지원실"),0)</f>
        <v>0</v>
      </c>
      <c r="T116" s="59">
        <f>IFERROR(SUMIFS('재고이동로그'!F:F,'재고이동로그'!C:C,$A116,'재고이동로그'!E:E,"창고"),0)</f>
        <v>0</v>
      </c>
      <c r="U116" s="59">
        <f>IFERROR(SUMIFS('재고이동로그'!F:F,'재고이동로그'!C:C,$A116,'재고이동로그'!E:E,"4층지원실"),0)</f>
        <v>0</v>
      </c>
      <c r="V116" s="59">
        <f>IFERROR(SUMIFS('재고이동로그'!F:F,'재고이동로그'!C:C,$A116,'재고이동로그'!E:E,"8층지원실"),0)</f>
        <v>0</v>
      </c>
      <c r="W116" s="83">
        <f t="shared" ref="W116:Y116" si="119">B116+E116-I116+M116-Q116+T116</f>
        <v>0</v>
      </c>
      <c r="X116" s="83">
        <f t="shared" si="119"/>
        <v>0</v>
      </c>
      <c r="Y116" s="83">
        <f t="shared" si="119"/>
        <v>0</v>
      </c>
      <c r="Z116" s="84">
        <f t="shared" si="6"/>
        <v>0</v>
      </c>
      <c r="AA116" s="59" t="str">
        <f t="shared" si="7"/>
        <v>부족</v>
      </c>
      <c r="AB116" s="59"/>
      <c r="AC116" s="59"/>
      <c r="AD116" s="59"/>
      <c r="AE116" s="59"/>
      <c r="AF116" s="59"/>
    </row>
    <row r="117" ht="15.75" customHeight="1">
      <c r="A117" s="59"/>
      <c r="B117" s="77">
        <f>IFERROR(SUMIFS('교재재고'!C:C,'교재재고'!B:B,$A117),0)</f>
        <v>0</v>
      </c>
      <c r="C117" s="77">
        <f>IFERROR(SUMIFS('교재재고'!D:D,'교재재고'!B:B,$A117),0)</f>
        <v>0</v>
      </c>
      <c r="D117" s="77">
        <f>IFERROR(SUMIFS('교재재고'!E:E,'교재재고'!B:B,$A117),0)</f>
        <v>0</v>
      </c>
      <c r="E117" s="78">
        <f>IFERROR(SUMIFS('교재재고'!F:F,'교재재고'!B:B,$A117),0)
+IFERROR(SUMIFS('교재재고'!I:I,'교재재고'!B:B,$A117),0)
+IFERROR(SUMIFS('교재재고'!L:L,'교재재고'!B:B,$A117),0)
+IFERROR(SUMIFS('교재재고'!O:O,'교재재고'!B:B,$A117),0)
+IFERROR(SUMIFS('교재재고'!R:R,'교재재고'!B:B,$A117),0)</f>
        <v>0</v>
      </c>
      <c r="F117" s="79">
        <f>IFERROR(SUMIFS('교재재고'!G:G,'교재재고'!B:B,$A117),0)
+IFERROR(SUMIFS('교재재고'!J:J,'교재재고'!B:B,$A117),0)
+IFERROR(SUMIFS('교재재고'!M:M,'교재재고'!B:B,$A117),0)
+IFERROR(SUMIFS('교재재고'!P:P,'교재재고'!B:B,$A117),0)
+IFERROR(SUMIFS('교재재고'!S:S,'교재재고'!B:B,$A117),0)</f>
        <v>0</v>
      </c>
      <c r="G117" s="79">
        <f>IFERROR(SUMIFS('교재재고'!H:H,'교재재고'!B:B,$A117),0)
+IFERROR(SUMIFS('교재재고'!K:K,'교재재고'!B:B,$A117),0)
+IFERROR(SUMIFS('교재재고'!N:N,'교재재고'!B:B,$A117),0)
+IFERROR(SUMIFS('교재재고'!Q:Q,'교재재고'!B:B,$A117),0)
+IFERROR(SUMIFS('교재재고'!T:T,'교재재고'!B:B,$A117),0)</f>
        <v>0</v>
      </c>
      <c r="H117" s="79">
        <f t="shared" si="2"/>
        <v>0</v>
      </c>
      <c r="I117" s="80">
        <f>IFERROR(SUMIFS('배부로그'!G:G,'배부로그'!D:D,$A117,'배부로그'!F:F,"창고"),0)</f>
        <v>0</v>
      </c>
      <c r="J117" s="59">
        <f>IFERROR(SUMIFS('배부로그'!G:G,'배부로그'!D:D,$A117,'배부로그'!F:F,"4층지원실"),0)</f>
        <v>0</v>
      </c>
      <c r="K117" s="59">
        <f>IFERROR(SUMIFS('배부로그'!G:G,'배부로그'!D:D,$A117,'배부로그'!F:F,"8층지원실"),0)</f>
        <v>0</v>
      </c>
      <c r="L117" s="81">
        <f t="shared" si="3"/>
        <v>0</v>
      </c>
      <c r="M117" s="59">
        <f>IFERROR(SUMIFS('회수로그'!H:H,'회수로그'!E:E,$A117,'회수로그'!G:G,"창고"),0)</f>
        <v>0</v>
      </c>
      <c r="N117" s="59">
        <f>IFERROR(SUMIFS('회수로그'!H:H,'회수로그'!E:E,$A117,'회수로그'!G:G,"4층지원실"),0)</f>
        <v>0</v>
      </c>
      <c r="O117" s="59">
        <f>IFERROR(SUMIFS('회수로그'!H:H,'회수로그'!E:E,$A117,'회수로그'!G:G,"8층지원실"),0)</f>
        <v>0</v>
      </c>
      <c r="P117" s="59">
        <f t="shared" si="4"/>
        <v>0</v>
      </c>
      <c r="Q117" s="59">
        <f>IFERROR(SUMIFS('재고이동로그'!F:F,'재고이동로그'!C:C,$A117,'재고이동로그'!D:D,"창고"),0)</f>
        <v>0</v>
      </c>
      <c r="R117" s="59">
        <f>IFERROR(SUMIFS('재고이동로그'!F:F,'재고이동로그'!C:C,$A117,'재고이동로그'!E:E,"4층지원실"),0)</f>
        <v>0</v>
      </c>
      <c r="S117" s="82">
        <f>IFERROR(SUMIFS('재고이동로그'!F:F,'재고이동로그'!C:C,$A117,'재고이동로그'!E:E,"8층지원실"),0)</f>
        <v>0</v>
      </c>
      <c r="T117" s="59">
        <f>IFERROR(SUMIFS('재고이동로그'!F:F,'재고이동로그'!C:C,$A117,'재고이동로그'!E:E,"창고"),0)</f>
        <v>0</v>
      </c>
      <c r="U117" s="59">
        <f>IFERROR(SUMIFS('재고이동로그'!F:F,'재고이동로그'!C:C,$A117,'재고이동로그'!E:E,"4층지원실"),0)</f>
        <v>0</v>
      </c>
      <c r="V117" s="59">
        <f>IFERROR(SUMIFS('재고이동로그'!F:F,'재고이동로그'!C:C,$A117,'재고이동로그'!E:E,"8층지원실"),0)</f>
        <v>0</v>
      </c>
      <c r="W117" s="83">
        <f t="shared" ref="W117:Y117" si="120">B117+E117-I117+M117-Q117+T117</f>
        <v>0</v>
      </c>
      <c r="X117" s="83">
        <f t="shared" si="120"/>
        <v>0</v>
      </c>
      <c r="Y117" s="83">
        <f t="shared" si="120"/>
        <v>0</v>
      </c>
      <c r="Z117" s="84">
        <f t="shared" si="6"/>
        <v>0</v>
      </c>
      <c r="AA117" s="59" t="str">
        <f t="shared" si="7"/>
        <v>부족</v>
      </c>
      <c r="AB117" s="59"/>
      <c r="AC117" s="59"/>
      <c r="AD117" s="59"/>
      <c r="AE117" s="59"/>
      <c r="AF117" s="59"/>
    </row>
    <row r="118" ht="15.75" customHeight="1">
      <c r="A118" s="59"/>
      <c r="B118" s="77">
        <f>IFERROR(SUMIFS('교재재고'!C:C,'교재재고'!B:B,$A118),0)</f>
        <v>0</v>
      </c>
      <c r="C118" s="77">
        <f>IFERROR(SUMIFS('교재재고'!D:D,'교재재고'!B:B,$A118),0)</f>
        <v>0</v>
      </c>
      <c r="D118" s="77">
        <f>IFERROR(SUMIFS('교재재고'!E:E,'교재재고'!B:B,$A118),0)</f>
        <v>0</v>
      </c>
      <c r="E118" s="78">
        <f>IFERROR(SUMIFS('교재재고'!F:F,'교재재고'!B:B,$A118),0)
+IFERROR(SUMIFS('교재재고'!I:I,'교재재고'!B:B,$A118),0)
+IFERROR(SUMIFS('교재재고'!L:L,'교재재고'!B:B,$A118),0)
+IFERROR(SUMIFS('교재재고'!O:O,'교재재고'!B:B,$A118),0)
+IFERROR(SUMIFS('교재재고'!R:R,'교재재고'!B:B,$A118),0)</f>
        <v>0</v>
      </c>
      <c r="F118" s="79">
        <f>IFERROR(SUMIFS('교재재고'!G:G,'교재재고'!B:B,$A118),0)
+IFERROR(SUMIFS('교재재고'!J:J,'교재재고'!B:B,$A118),0)
+IFERROR(SUMIFS('교재재고'!M:M,'교재재고'!B:B,$A118),0)
+IFERROR(SUMIFS('교재재고'!P:P,'교재재고'!B:B,$A118),0)
+IFERROR(SUMIFS('교재재고'!S:S,'교재재고'!B:B,$A118),0)</f>
        <v>0</v>
      </c>
      <c r="G118" s="79">
        <f>IFERROR(SUMIFS('교재재고'!H:H,'교재재고'!B:B,$A118),0)
+IFERROR(SUMIFS('교재재고'!K:K,'교재재고'!B:B,$A118),0)
+IFERROR(SUMIFS('교재재고'!N:N,'교재재고'!B:B,$A118),0)
+IFERROR(SUMIFS('교재재고'!Q:Q,'교재재고'!B:B,$A118),0)
+IFERROR(SUMIFS('교재재고'!T:T,'교재재고'!B:B,$A118),0)</f>
        <v>0</v>
      </c>
      <c r="H118" s="79">
        <f t="shared" si="2"/>
        <v>0</v>
      </c>
      <c r="I118" s="80">
        <f>IFERROR(SUMIFS('배부로그'!G:G,'배부로그'!D:D,$A118,'배부로그'!F:F,"창고"),0)</f>
        <v>0</v>
      </c>
      <c r="J118" s="59">
        <f>IFERROR(SUMIFS('배부로그'!G:G,'배부로그'!D:D,$A118,'배부로그'!F:F,"4층지원실"),0)</f>
        <v>0</v>
      </c>
      <c r="K118" s="59">
        <f>IFERROR(SUMIFS('배부로그'!G:G,'배부로그'!D:D,$A118,'배부로그'!F:F,"8층지원실"),0)</f>
        <v>0</v>
      </c>
      <c r="L118" s="81">
        <f t="shared" si="3"/>
        <v>0</v>
      </c>
      <c r="M118" s="59">
        <f>IFERROR(SUMIFS('회수로그'!H:H,'회수로그'!E:E,$A118,'회수로그'!G:G,"창고"),0)</f>
        <v>0</v>
      </c>
      <c r="N118" s="59">
        <f>IFERROR(SUMIFS('회수로그'!H:H,'회수로그'!E:E,$A118,'회수로그'!G:G,"4층지원실"),0)</f>
        <v>0</v>
      </c>
      <c r="O118" s="59">
        <f>IFERROR(SUMIFS('회수로그'!H:H,'회수로그'!E:E,$A118,'회수로그'!G:G,"8층지원실"),0)</f>
        <v>0</v>
      </c>
      <c r="P118" s="59">
        <f t="shared" si="4"/>
        <v>0</v>
      </c>
      <c r="Q118" s="59">
        <f>IFERROR(SUMIFS('재고이동로그'!F:F,'재고이동로그'!C:C,$A118,'재고이동로그'!D:D,"창고"),0)</f>
        <v>0</v>
      </c>
      <c r="R118" s="59">
        <f>IFERROR(SUMIFS('재고이동로그'!F:F,'재고이동로그'!C:C,$A118,'재고이동로그'!E:E,"4층지원실"),0)</f>
        <v>0</v>
      </c>
      <c r="S118" s="82">
        <f>IFERROR(SUMIFS('재고이동로그'!F:F,'재고이동로그'!C:C,$A118,'재고이동로그'!E:E,"8층지원실"),0)</f>
        <v>0</v>
      </c>
      <c r="T118" s="59">
        <f>IFERROR(SUMIFS('재고이동로그'!F:F,'재고이동로그'!C:C,$A118,'재고이동로그'!E:E,"창고"),0)</f>
        <v>0</v>
      </c>
      <c r="U118" s="59">
        <f>IFERROR(SUMIFS('재고이동로그'!F:F,'재고이동로그'!C:C,$A118,'재고이동로그'!E:E,"4층지원실"),0)</f>
        <v>0</v>
      </c>
      <c r="V118" s="59">
        <f>IFERROR(SUMIFS('재고이동로그'!F:F,'재고이동로그'!C:C,$A118,'재고이동로그'!E:E,"8층지원실"),0)</f>
        <v>0</v>
      </c>
      <c r="W118" s="83">
        <f t="shared" ref="W118:Y118" si="121">B118+E118-I118+M118-Q118+T118</f>
        <v>0</v>
      </c>
      <c r="X118" s="83">
        <f t="shared" si="121"/>
        <v>0</v>
      </c>
      <c r="Y118" s="83">
        <f t="shared" si="121"/>
        <v>0</v>
      </c>
      <c r="Z118" s="84">
        <f t="shared" si="6"/>
        <v>0</v>
      </c>
      <c r="AA118" s="59" t="str">
        <f t="shared" si="7"/>
        <v>부족</v>
      </c>
      <c r="AB118" s="59"/>
      <c r="AC118" s="59"/>
      <c r="AD118" s="59"/>
      <c r="AE118" s="59"/>
      <c r="AF118" s="59"/>
    </row>
    <row r="119" ht="15.75" customHeight="1">
      <c r="A119" s="59"/>
      <c r="B119" s="77">
        <f>IFERROR(SUMIFS('교재재고'!C:C,'교재재고'!B:B,$A119),0)</f>
        <v>0</v>
      </c>
      <c r="C119" s="77">
        <f>IFERROR(SUMIFS('교재재고'!D:D,'교재재고'!B:B,$A119),0)</f>
        <v>0</v>
      </c>
      <c r="D119" s="77">
        <f>IFERROR(SUMIFS('교재재고'!E:E,'교재재고'!B:B,$A119),0)</f>
        <v>0</v>
      </c>
      <c r="E119" s="78">
        <f>IFERROR(SUMIFS('교재재고'!F:F,'교재재고'!B:B,$A119),0)
+IFERROR(SUMIFS('교재재고'!I:I,'교재재고'!B:B,$A119),0)
+IFERROR(SUMIFS('교재재고'!L:L,'교재재고'!B:B,$A119),0)
+IFERROR(SUMIFS('교재재고'!O:O,'교재재고'!B:B,$A119),0)
+IFERROR(SUMIFS('교재재고'!R:R,'교재재고'!B:B,$A119),0)</f>
        <v>0</v>
      </c>
      <c r="F119" s="79">
        <f>IFERROR(SUMIFS('교재재고'!G:G,'교재재고'!B:B,$A119),0)
+IFERROR(SUMIFS('교재재고'!J:J,'교재재고'!B:B,$A119),0)
+IFERROR(SUMIFS('교재재고'!M:M,'교재재고'!B:B,$A119),0)
+IFERROR(SUMIFS('교재재고'!P:P,'교재재고'!B:B,$A119),0)
+IFERROR(SUMIFS('교재재고'!S:S,'교재재고'!B:B,$A119),0)</f>
        <v>0</v>
      </c>
      <c r="G119" s="79">
        <f>IFERROR(SUMIFS('교재재고'!H:H,'교재재고'!B:B,$A119),0)
+IFERROR(SUMIFS('교재재고'!K:K,'교재재고'!B:B,$A119),0)
+IFERROR(SUMIFS('교재재고'!N:N,'교재재고'!B:B,$A119),0)
+IFERROR(SUMIFS('교재재고'!Q:Q,'교재재고'!B:B,$A119),0)
+IFERROR(SUMIFS('교재재고'!T:T,'교재재고'!B:B,$A119),0)</f>
        <v>0</v>
      </c>
      <c r="H119" s="79">
        <f t="shared" si="2"/>
        <v>0</v>
      </c>
      <c r="I119" s="80">
        <f>IFERROR(SUMIFS('배부로그'!G:G,'배부로그'!D:D,$A119,'배부로그'!F:F,"창고"),0)</f>
        <v>0</v>
      </c>
      <c r="J119" s="59">
        <f>IFERROR(SUMIFS('배부로그'!G:G,'배부로그'!D:D,$A119,'배부로그'!F:F,"4층지원실"),0)</f>
        <v>0</v>
      </c>
      <c r="K119" s="59">
        <f>IFERROR(SUMIFS('배부로그'!G:G,'배부로그'!D:D,$A119,'배부로그'!F:F,"8층지원실"),0)</f>
        <v>0</v>
      </c>
      <c r="L119" s="81">
        <f t="shared" si="3"/>
        <v>0</v>
      </c>
      <c r="M119" s="59">
        <f>IFERROR(SUMIFS('회수로그'!H:H,'회수로그'!E:E,$A119,'회수로그'!G:G,"창고"),0)</f>
        <v>0</v>
      </c>
      <c r="N119" s="59">
        <f>IFERROR(SUMIFS('회수로그'!H:H,'회수로그'!E:E,$A119,'회수로그'!G:G,"4층지원실"),0)</f>
        <v>0</v>
      </c>
      <c r="O119" s="59">
        <f>IFERROR(SUMIFS('회수로그'!H:H,'회수로그'!E:E,$A119,'회수로그'!G:G,"8층지원실"),0)</f>
        <v>0</v>
      </c>
      <c r="P119" s="59">
        <f t="shared" si="4"/>
        <v>0</v>
      </c>
      <c r="Q119" s="59">
        <f>IFERROR(SUMIFS('재고이동로그'!F:F,'재고이동로그'!C:C,$A119,'재고이동로그'!D:D,"창고"),0)</f>
        <v>0</v>
      </c>
      <c r="R119" s="59">
        <f>IFERROR(SUMIFS('재고이동로그'!F:F,'재고이동로그'!C:C,$A119,'재고이동로그'!E:E,"4층지원실"),0)</f>
        <v>0</v>
      </c>
      <c r="S119" s="82">
        <f>IFERROR(SUMIFS('재고이동로그'!F:F,'재고이동로그'!C:C,$A119,'재고이동로그'!E:E,"8층지원실"),0)</f>
        <v>0</v>
      </c>
      <c r="T119" s="59">
        <f>IFERROR(SUMIFS('재고이동로그'!F:F,'재고이동로그'!C:C,$A119,'재고이동로그'!E:E,"창고"),0)</f>
        <v>0</v>
      </c>
      <c r="U119" s="59">
        <f>IFERROR(SUMIFS('재고이동로그'!F:F,'재고이동로그'!C:C,$A119,'재고이동로그'!E:E,"4층지원실"),0)</f>
        <v>0</v>
      </c>
      <c r="V119" s="59">
        <f>IFERROR(SUMIFS('재고이동로그'!F:F,'재고이동로그'!C:C,$A119,'재고이동로그'!E:E,"8층지원실"),0)</f>
        <v>0</v>
      </c>
      <c r="W119" s="83">
        <f t="shared" ref="W119:Y119" si="122">B119+E119-I119+M119-Q119+T119</f>
        <v>0</v>
      </c>
      <c r="X119" s="83">
        <f t="shared" si="122"/>
        <v>0</v>
      </c>
      <c r="Y119" s="83">
        <f t="shared" si="122"/>
        <v>0</v>
      </c>
      <c r="Z119" s="84">
        <f t="shared" si="6"/>
        <v>0</v>
      </c>
      <c r="AA119" s="59" t="str">
        <f t="shared" si="7"/>
        <v>부족</v>
      </c>
      <c r="AB119" s="59"/>
      <c r="AC119" s="59"/>
      <c r="AD119" s="59"/>
      <c r="AE119" s="59"/>
      <c r="AF119" s="59"/>
    </row>
    <row r="120" ht="15.75" customHeight="1">
      <c r="A120" s="59"/>
      <c r="B120" s="77">
        <f>IFERROR(SUMIFS('교재재고'!C:C,'교재재고'!B:B,$A120),0)</f>
        <v>0</v>
      </c>
      <c r="C120" s="77">
        <f>IFERROR(SUMIFS('교재재고'!D:D,'교재재고'!B:B,$A120),0)</f>
        <v>0</v>
      </c>
      <c r="D120" s="77">
        <f>IFERROR(SUMIFS('교재재고'!E:E,'교재재고'!B:B,$A120),0)</f>
        <v>0</v>
      </c>
      <c r="E120" s="78">
        <f>IFERROR(SUMIFS('교재재고'!F:F,'교재재고'!B:B,$A120),0)
+IFERROR(SUMIFS('교재재고'!I:I,'교재재고'!B:B,$A120),0)
+IFERROR(SUMIFS('교재재고'!L:L,'교재재고'!B:B,$A120),0)
+IFERROR(SUMIFS('교재재고'!O:O,'교재재고'!B:B,$A120),0)
+IFERROR(SUMIFS('교재재고'!R:R,'교재재고'!B:B,$A120),0)</f>
        <v>0</v>
      </c>
      <c r="F120" s="79">
        <f>IFERROR(SUMIFS('교재재고'!G:G,'교재재고'!B:B,$A120),0)
+IFERROR(SUMIFS('교재재고'!J:J,'교재재고'!B:B,$A120),0)
+IFERROR(SUMIFS('교재재고'!M:M,'교재재고'!B:B,$A120),0)
+IFERROR(SUMIFS('교재재고'!P:P,'교재재고'!B:B,$A120),0)
+IFERROR(SUMIFS('교재재고'!S:S,'교재재고'!B:B,$A120),0)</f>
        <v>0</v>
      </c>
      <c r="G120" s="79">
        <f>IFERROR(SUMIFS('교재재고'!H:H,'교재재고'!B:B,$A120),0)
+IFERROR(SUMIFS('교재재고'!K:K,'교재재고'!B:B,$A120),0)
+IFERROR(SUMIFS('교재재고'!N:N,'교재재고'!B:B,$A120),0)
+IFERROR(SUMIFS('교재재고'!Q:Q,'교재재고'!B:B,$A120),0)
+IFERROR(SUMIFS('교재재고'!T:T,'교재재고'!B:B,$A120),0)</f>
        <v>0</v>
      </c>
      <c r="H120" s="79">
        <f t="shared" si="2"/>
        <v>0</v>
      </c>
      <c r="I120" s="80">
        <f>IFERROR(SUMIFS('배부로그'!G:G,'배부로그'!D:D,$A120,'배부로그'!F:F,"창고"),0)</f>
        <v>0</v>
      </c>
      <c r="J120" s="59">
        <f>IFERROR(SUMIFS('배부로그'!G:G,'배부로그'!D:D,$A120,'배부로그'!F:F,"4층지원실"),0)</f>
        <v>0</v>
      </c>
      <c r="K120" s="59">
        <f>IFERROR(SUMIFS('배부로그'!G:G,'배부로그'!D:D,$A120,'배부로그'!F:F,"8층지원실"),0)</f>
        <v>0</v>
      </c>
      <c r="L120" s="81">
        <f t="shared" si="3"/>
        <v>0</v>
      </c>
      <c r="M120" s="59">
        <f>IFERROR(SUMIFS('회수로그'!H:H,'회수로그'!E:E,$A120,'회수로그'!G:G,"창고"),0)</f>
        <v>0</v>
      </c>
      <c r="N120" s="59">
        <f>IFERROR(SUMIFS('회수로그'!H:H,'회수로그'!E:E,$A120,'회수로그'!G:G,"4층지원실"),0)</f>
        <v>0</v>
      </c>
      <c r="O120" s="59">
        <f>IFERROR(SUMIFS('회수로그'!H:H,'회수로그'!E:E,$A120,'회수로그'!G:G,"8층지원실"),0)</f>
        <v>0</v>
      </c>
      <c r="P120" s="59">
        <f t="shared" si="4"/>
        <v>0</v>
      </c>
      <c r="Q120" s="59">
        <f>IFERROR(SUMIFS('재고이동로그'!F:F,'재고이동로그'!C:C,$A120,'재고이동로그'!D:D,"창고"),0)</f>
        <v>0</v>
      </c>
      <c r="R120" s="59">
        <f>IFERROR(SUMIFS('재고이동로그'!F:F,'재고이동로그'!C:C,$A120,'재고이동로그'!E:E,"4층지원실"),0)</f>
        <v>0</v>
      </c>
      <c r="S120" s="82">
        <f>IFERROR(SUMIFS('재고이동로그'!F:F,'재고이동로그'!C:C,$A120,'재고이동로그'!E:E,"8층지원실"),0)</f>
        <v>0</v>
      </c>
      <c r="T120" s="59">
        <f>IFERROR(SUMIFS('재고이동로그'!F:F,'재고이동로그'!C:C,$A120,'재고이동로그'!E:E,"창고"),0)</f>
        <v>0</v>
      </c>
      <c r="U120" s="59">
        <f>IFERROR(SUMIFS('재고이동로그'!F:F,'재고이동로그'!C:C,$A120,'재고이동로그'!E:E,"4층지원실"),0)</f>
        <v>0</v>
      </c>
      <c r="V120" s="59">
        <f>IFERROR(SUMIFS('재고이동로그'!F:F,'재고이동로그'!C:C,$A120,'재고이동로그'!E:E,"8층지원실"),0)</f>
        <v>0</v>
      </c>
      <c r="W120" s="83">
        <f t="shared" ref="W120:Y120" si="123">B120+E120-I120+M120-Q120+T120</f>
        <v>0</v>
      </c>
      <c r="X120" s="83">
        <f t="shared" si="123"/>
        <v>0</v>
      </c>
      <c r="Y120" s="83">
        <f t="shared" si="123"/>
        <v>0</v>
      </c>
      <c r="Z120" s="84">
        <f t="shared" si="6"/>
        <v>0</v>
      </c>
      <c r="AA120" s="59" t="str">
        <f t="shared" si="7"/>
        <v>부족</v>
      </c>
      <c r="AB120" s="59"/>
      <c r="AC120" s="59"/>
      <c r="AD120" s="59"/>
      <c r="AE120" s="59"/>
      <c r="AF120" s="59"/>
    </row>
    <row r="121" ht="15.75" customHeight="1">
      <c r="A121" s="59"/>
      <c r="B121" s="77">
        <f>IFERROR(SUMIFS('교재재고'!C:C,'교재재고'!B:B,$A121),0)</f>
        <v>0</v>
      </c>
      <c r="C121" s="77">
        <f>IFERROR(SUMIFS('교재재고'!D:D,'교재재고'!B:B,$A121),0)</f>
        <v>0</v>
      </c>
      <c r="D121" s="77">
        <f>IFERROR(SUMIFS('교재재고'!E:E,'교재재고'!B:B,$A121),0)</f>
        <v>0</v>
      </c>
      <c r="E121" s="78">
        <f>IFERROR(SUMIFS('교재재고'!F:F,'교재재고'!B:B,$A121),0)
+IFERROR(SUMIFS('교재재고'!I:I,'교재재고'!B:B,$A121),0)
+IFERROR(SUMIFS('교재재고'!L:L,'교재재고'!B:B,$A121),0)
+IFERROR(SUMIFS('교재재고'!O:O,'교재재고'!B:B,$A121),0)
+IFERROR(SUMIFS('교재재고'!R:R,'교재재고'!B:B,$A121),0)</f>
        <v>0</v>
      </c>
      <c r="F121" s="79">
        <f>IFERROR(SUMIFS('교재재고'!G:G,'교재재고'!B:B,$A121),0)
+IFERROR(SUMIFS('교재재고'!J:J,'교재재고'!B:B,$A121),0)
+IFERROR(SUMIFS('교재재고'!M:M,'교재재고'!B:B,$A121),0)
+IFERROR(SUMIFS('교재재고'!P:P,'교재재고'!B:B,$A121),0)
+IFERROR(SUMIFS('교재재고'!S:S,'교재재고'!B:B,$A121),0)</f>
        <v>0</v>
      </c>
      <c r="G121" s="79">
        <f>IFERROR(SUMIFS('교재재고'!H:H,'교재재고'!B:B,$A121),0)
+IFERROR(SUMIFS('교재재고'!K:K,'교재재고'!B:B,$A121),0)
+IFERROR(SUMIFS('교재재고'!N:N,'교재재고'!B:B,$A121),0)
+IFERROR(SUMIFS('교재재고'!Q:Q,'교재재고'!B:B,$A121),0)
+IFERROR(SUMIFS('교재재고'!T:T,'교재재고'!B:B,$A121),0)</f>
        <v>0</v>
      </c>
      <c r="H121" s="79">
        <f t="shared" si="2"/>
        <v>0</v>
      </c>
      <c r="I121" s="80">
        <f>IFERROR(SUMIFS('배부로그'!G:G,'배부로그'!D:D,$A121,'배부로그'!F:F,"창고"),0)</f>
        <v>0</v>
      </c>
      <c r="J121" s="59">
        <f>IFERROR(SUMIFS('배부로그'!G:G,'배부로그'!D:D,$A121,'배부로그'!F:F,"4층지원실"),0)</f>
        <v>0</v>
      </c>
      <c r="K121" s="59">
        <f>IFERROR(SUMIFS('배부로그'!G:G,'배부로그'!D:D,$A121,'배부로그'!F:F,"8층지원실"),0)</f>
        <v>0</v>
      </c>
      <c r="L121" s="81">
        <f t="shared" si="3"/>
        <v>0</v>
      </c>
      <c r="M121" s="59">
        <f>IFERROR(SUMIFS('회수로그'!H:H,'회수로그'!E:E,$A121,'회수로그'!G:G,"창고"),0)</f>
        <v>0</v>
      </c>
      <c r="N121" s="59">
        <f>IFERROR(SUMIFS('회수로그'!H:H,'회수로그'!E:E,$A121,'회수로그'!G:G,"4층지원실"),0)</f>
        <v>0</v>
      </c>
      <c r="O121" s="59">
        <f>IFERROR(SUMIFS('회수로그'!H:H,'회수로그'!E:E,$A121,'회수로그'!G:G,"8층지원실"),0)</f>
        <v>0</v>
      </c>
      <c r="P121" s="59">
        <f t="shared" si="4"/>
        <v>0</v>
      </c>
      <c r="Q121" s="59">
        <f>IFERROR(SUMIFS('재고이동로그'!F:F,'재고이동로그'!C:C,$A121,'재고이동로그'!D:D,"창고"),0)</f>
        <v>0</v>
      </c>
      <c r="R121" s="59">
        <f>IFERROR(SUMIFS('재고이동로그'!F:F,'재고이동로그'!C:C,$A121,'재고이동로그'!E:E,"4층지원실"),0)</f>
        <v>0</v>
      </c>
      <c r="S121" s="82">
        <f>IFERROR(SUMIFS('재고이동로그'!F:F,'재고이동로그'!C:C,$A121,'재고이동로그'!E:E,"8층지원실"),0)</f>
        <v>0</v>
      </c>
      <c r="T121" s="59">
        <f>IFERROR(SUMIFS('재고이동로그'!F:F,'재고이동로그'!C:C,$A121,'재고이동로그'!E:E,"창고"),0)</f>
        <v>0</v>
      </c>
      <c r="U121" s="59">
        <f>IFERROR(SUMIFS('재고이동로그'!F:F,'재고이동로그'!C:C,$A121,'재고이동로그'!E:E,"4층지원실"),0)</f>
        <v>0</v>
      </c>
      <c r="V121" s="59">
        <f>IFERROR(SUMIFS('재고이동로그'!F:F,'재고이동로그'!C:C,$A121,'재고이동로그'!E:E,"8층지원실"),0)</f>
        <v>0</v>
      </c>
      <c r="W121" s="83">
        <f t="shared" ref="W121:Y121" si="124">B121+E121-I121+M121-Q121+T121</f>
        <v>0</v>
      </c>
      <c r="X121" s="83">
        <f t="shared" si="124"/>
        <v>0</v>
      </c>
      <c r="Y121" s="83">
        <f t="shared" si="124"/>
        <v>0</v>
      </c>
      <c r="Z121" s="84">
        <f t="shared" si="6"/>
        <v>0</v>
      </c>
      <c r="AA121" s="59" t="str">
        <f t="shared" si="7"/>
        <v>부족</v>
      </c>
      <c r="AB121" s="59"/>
      <c r="AC121" s="59"/>
      <c r="AD121" s="59"/>
      <c r="AE121" s="59"/>
      <c r="AF121" s="59"/>
    </row>
    <row r="122" ht="15.75" customHeight="1">
      <c r="A122" s="59"/>
      <c r="B122" s="77">
        <f>IFERROR(SUMIFS('교재재고'!C:C,'교재재고'!B:B,$A122),0)</f>
        <v>0</v>
      </c>
      <c r="C122" s="77">
        <f>IFERROR(SUMIFS('교재재고'!D:D,'교재재고'!B:B,$A122),0)</f>
        <v>0</v>
      </c>
      <c r="D122" s="77">
        <f>IFERROR(SUMIFS('교재재고'!E:E,'교재재고'!B:B,$A122),0)</f>
        <v>0</v>
      </c>
      <c r="E122" s="78">
        <f>IFERROR(SUMIFS('교재재고'!F:F,'교재재고'!B:B,$A122),0)
+IFERROR(SUMIFS('교재재고'!I:I,'교재재고'!B:B,$A122),0)
+IFERROR(SUMIFS('교재재고'!L:L,'교재재고'!B:B,$A122),0)
+IFERROR(SUMIFS('교재재고'!O:O,'교재재고'!B:B,$A122),0)
+IFERROR(SUMIFS('교재재고'!R:R,'교재재고'!B:B,$A122),0)</f>
        <v>0</v>
      </c>
      <c r="F122" s="79">
        <f>IFERROR(SUMIFS('교재재고'!G:G,'교재재고'!B:B,$A122),0)
+IFERROR(SUMIFS('교재재고'!J:J,'교재재고'!B:B,$A122),0)
+IFERROR(SUMIFS('교재재고'!M:M,'교재재고'!B:B,$A122),0)
+IFERROR(SUMIFS('교재재고'!P:P,'교재재고'!B:B,$A122),0)
+IFERROR(SUMIFS('교재재고'!S:S,'교재재고'!B:B,$A122),0)</f>
        <v>0</v>
      </c>
      <c r="G122" s="79">
        <f>IFERROR(SUMIFS('교재재고'!H:H,'교재재고'!B:B,$A122),0)
+IFERROR(SUMIFS('교재재고'!K:K,'교재재고'!B:B,$A122),0)
+IFERROR(SUMIFS('교재재고'!N:N,'교재재고'!B:B,$A122),0)
+IFERROR(SUMIFS('교재재고'!Q:Q,'교재재고'!B:B,$A122),0)
+IFERROR(SUMIFS('교재재고'!T:T,'교재재고'!B:B,$A122),0)</f>
        <v>0</v>
      </c>
      <c r="H122" s="79">
        <f t="shared" si="2"/>
        <v>0</v>
      </c>
      <c r="I122" s="80">
        <f>IFERROR(SUMIFS('배부로그'!G:G,'배부로그'!D:D,$A122,'배부로그'!F:F,"창고"),0)</f>
        <v>0</v>
      </c>
      <c r="J122" s="59">
        <f>IFERROR(SUMIFS('배부로그'!G:G,'배부로그'!D:D,$A122,'배부로그'!F:F,"4층지원실"),0)</f>
        <v>0</v>
      </c>
      <c r="K122" s="59">
        <f>IFERROR(SUMIFS('배부로그'!G:G,'배부로그'!D:D,$A122,'배부로그'!F:F,"8층지원실"),0)</f>
        <v>0</v>
      </c>
      <c r="L122" s="81">
        <f t="shared" si="3"/>
        <v>0</v>
      </c>
      <c r="M122" s="59">
        <f>IFERROR(SUMIFS('회수로그'!H:H,'회수로그'!E:E,$A122,'회수로그'!G:G,"창고"),0)</f>
        <v>0</v>
      </c>
      <c r="N122" s="59">
        <f>IFERROR(SUMIFS('회수로그'!H:H,'회수로그'!E:E,$A122,'회수로그'!G:G,"4층지원실"),0)</f>
        <v>0</v>
      </c>
      <c r="O122" s="59">
        <f>IFERROR(SUMIFS('회수로그'!H:H,'회수로그'!E:E,$A122,'회수로그'!G:G,"8층지원실"),0)</f>
        <v>0</v>
      </c>
      <c r="P122" s="59">
        <f t="shared" si="4"/>
        <v>0</v>
      </c>
      <c r="Q122" s="59">
        <f>IFERROR(SUMIFS('재고이동로그'!F:F,'재고이동로그'!C:C,$A122,'재고이동로그'!D:D,"창고"),0)</f>
        <v>0</v>
      </c>
      <c r="R122" s="59">
        <f>IFERROR(SUMIFS('재고이동로그'!F:F,'재고이동로그'!C:C,$A122,'재고이동로그'!E:E,"4층지원실"),0)</f>
        <v>0</v>
      </c>
      <c r="S122" s="82">
        <f>IFERROR(SUMIFS('재고이동로그'!F:F,'재고이동로그'!C:C,$A122,'재고이동로그'!E:E,"8층지원실"),0)</f>
        <v>0</v>
      </c>
      <c r="T122" s="59">
        <f>IFERROR(SUMIFS('재고이동로그'!F:F,'재고이동로그'!C:C,$A122,'재고이동로그'!E:E,"창고"),0)</f>
        <v>0</v>
      </c>
      <c r="U122" s="59">
        <f>IFERROR(SUMIFS('재고이동로그'!F:F,'재고이동로그'!C:C,$A122,'재고이동로그'!E:E,"4층지원실"),0)</f>
        <v>0</v>
      </c>
      <c r="V122" s="59">
        <f>IFERROR(SUMIFS('재고이동로그'!F:F,'재고이동로그'!C:C,$A122,'재고이동로그'!E:E,"8층지원실"),0)</f>
        <v>0</v>
      </c>
      <c r="W122" s="83">
        <f t="shared" ref="W122:Y122" si="125">B122+E122-I122+M122-Q122+T122</f>
        <v>0</v>
      </c>
      <c r="X122" s="83">
        <f t="shared" si="125"/>
        <v>0</v>
      </c>
      <c r="Y122" s="83">
        <f t="shared" si="125"/>
        <v>0</v>
      </c>
      <c r="Z122" s="84">
        <f t="shared" si="6"/>
        <v>0</v>
      </c>
      <c r="AA122" s="59" t="str">
        <f t="shared" si="7"/>
        <v>부족</v>
      </c>
      <c r="AB122" s="59"/>
      <c r="AC122" s="59"/>
      <c r="AD122" s="59"/>
      <c r="AE122" s="59"/>
      <c r="AF122" s="59"/>
    </row>
    <row r="123" ht="15.75" customHeight="1">
      <c r="A123" s="59"/>
      <c r="B123" s="77">
        <f>IFERROR(SUMIFS('교재재고'!C:C,'교재재고'!B:B,$A123),0)</f>
        <v>0</v>
      </c>
      <c r="C123" s="77">
        <f>IFERROR(SUMIFS('교재재고'!D:D,'교재재고'!B:B,$A123),0)</f>
        <v>0</v>
      </c>
      <c r="D123" s="77">
        <f>IFERROR(SUMIFS('교재재고'!E:E,'교재재고'!B:B,$A123),0)</f>
        <v>0</v>
      </c>
      <c r="E123" s="78">
        <f>IFERROR(SUMIFS('교재재고'!F:F,'교재재고'!B:B,$A123),0)
+IFERROR(SUMIFS('교재재고'!I:I,'교재재고'!B:B,$A123),0)
+IFERROR(SUMIFS('교재재고'!L:L,'교재재고'!B:B,$A123),0)
+IFERROR(SUMIFS('교재재고'!O:O,'교재재고'!B:B,$A123),0)
+IFERROR(SUMIFS('교재재고'!R:R,'교재재고'!B:B,$A123),0)</f>
        <v>0</v>
      </c>
      <c r="F123" s="79">
        <f>IFERROR(SUMIFS('교재재고'!G:G,'교재재고'!B:B,$A123),0)
+IFERROR(SUMIFS('교재재고'!J:J,'교재재고'!B:B,$A123),0)
+IFERROR(SUMIFS('교재재고'!M:M,'교재재고'!B:B,$A123),0)
+IFERROR(SUMIFS('교재재고'!P:P,'교재재고'!B:B,$A123),0)
+IFERROR(SUMIFS('교재재고'!S:S,'교재재고'!B:B,$A123),0)</f>
        <v>0</v>
      </c>
      <c r="G123" s="79">
        <f>IFERROR(SUMIFS('교재재고'!H:H,'교재재고'!B:B,$A123),0)
+IFERROR(SUMIFS('교재재고'!K:K,'교재재고'!B:B,$A123),0)
+IFERROR(SUMIFS('교재재고'!N:N,'교재재고'!B:B,$A123),0)
+IFERROR(SUMIFS('교재재고'!Q:Q,'교재재고'!B:B,$A123),0)
+IFERROR(SUMIFS('교재재고'!T:T,'교재재고'!B:B,$A123),0)</f>
        <v>0</v>
      </c>
      <c r="H123" s="79">
        <f t="shared" si="2"/>
        <v>0</v>
      </c>
      <c r="I123" s="80">
        <f>IFERROR(SUMIFS('배부로그'!G:G,'배부로그'!D:D,$A123,'배부로그'!F:F,"창고"),0)</f>
        <v>0</v>
      </c>
      <c r="J123" s="59">
        <f>IFERROR(SUMIFS('배부로그'!G:G,'배부로그'!D:D,$A123,'배부로그'!F:F,"4층지원실"),0)</f>
        <v>0</v>
      </c>
      <c r="K123" s="59">
        <f>IFERROR(SUMIFS('배부로그'!G:G,'배부로그'!D:D,$A123,'배부로그'!F:F,"8층지원실"),0)</f>
        <v>0</v>
      </c>
      <c r="L123" s="81">
        <f t="shared" si="3"/>
        <v>0</v>
      </c>
      <c r="M123" s="59">
        <f>IFERROR(SUMIFS('회수로그'!H:H,'회수로그'!E:E,$A123,'회수로그'!G:G,"창고"),0)</f>
        <v>0</v>
      </c>
      <c r="N123" s="59">
        <f>IFERROR(SUMIFS('회수로그'!H:H,'회수로그'!E:E,$A123,'회수로그'!G:G,"4층지원실"),0)</f>
        <v>0</v>
      </c>
      <c r="O123" s="59">
        <f>IFERROR(SUMIFS('회수로그'!H:H,'회수로그'!E:E,$A123,'회수로그'!G:G,"8층지원실"),0)</f>
        <v>0</v>
      </c>
      <c r="P123" s="59">
        <f t="shared" si="4"/>
        <v>0</v>
      </c>
      <c r="Q123" s="59">
        <f>IFERROR(SUMIFS('재고이동로그'!F:F,'재고이동로그'!C:C,$A123,'재고이동로그'!D:D,"창고"),0)</f>
        <v>0</v>
      </c>
      <c r="R123" s="59">
        <f>IFERROR(SUMIFS('재고이동로그'!F:F,'재고이동로그'!C:C,$A123,'재고이동로그'!E:E,"4층지원실"),0)</f>
        <v>0</v>
      </c>
      <c r="S123" s="82">
        <f>IFERROR(SUMIFS('재고이동로그'!F:F,'재고이동로그'!C:C,$A123,'재고이동로그'!E:E,"8층지원실"),0)</f>
        <v>0</v>
      </c>
      <c r="T123" s="59">
        <f>IFERROR(SUMIFS('재고이동로그'!F:F,'재고이동로그'!C:C,$A123,'재고이동로그'!E:E,"창고"),0)</f>
        <v>0</v>
      </c>
      <c r="U123" s="59">
        <f>IFERROR(SUMIFS('재고이동로그'!F:F,'재고이동로그'!C:C,$A123,'재고이동로그'!E:E,"4층지원실"),0)</f>
        <v>0</v>
      </c>
      <c r="V123" s="59">
        <f>IFERROR(SUMIFS('재고이동로그'!F:F,'재고이동로그'!C:C,$A123,'재고이동로그'!E:E,"8층지원실"),0)</f>
        <v>0</v>
      </c>
      <c r="W123" s="83">
        <f t="shared" ref="W123:Y123" si="126">B123+E123-I123+M123-Q123+T123</f>
        <v>0</v>
      </c>
      <c r="X123" s="83">
        <f t="shared" si="126"/>
        <v>0</v>
      </c>
      <c r="Y123" s="83">
        <f t="shared" si="126"/>
        <v>0</v>
      </c>
      <c r="Z123" s="84">
        <f t="shared" si="6"/>
        <v>0</v>
      </c>
      <c r="AA123" s="59" t="str">
        <f t="shared" si="7"/>
        <v>부족</v>
      </c>
      <c r="AB123" s="59"/>
      <c r="AC123" s="59"/>
      <c r="AD123" s="59"/>
      <c r="AE123" s="59"/>
      <c r="AF123" s="59"/>
    </row>
    <row r="124" ht="15.75" customHeight="1">
      <c r="A124" s="59"/>
      <c r="B124" s="77">
        <f>IFERROR(SUMIFS('교재재고'!C:C,'교재재고'!B:B,$A124),0)</f>
        <v>0</v>
      </c>
      <c r="C124" s="77">
        <f>IFERROR(SUMIFS('교재재고'!D:D,'교재재고'!B:B,$A124),0)</f>
        <v>0</v>
      </c>
      <c r="D124" s="77">
        <f>IFERROR(SUMIFS('교재재고'!E:E,'교재재고'!B:B,$A124),0)</f>
        <v>0</v>
      </c>
      <c r="E124" s="78">
        <f>IFERROR(SUMIFS('교재재고'!F:F,'교재재고'!B:B,$A124),0)
+IFERROR(SUMIFS('교재재고'!I:I,'교재재고'!B:B,$A124),0)
+IFERROR(SUMIFS('교재재고'!L:L,'교재재고'!B:B,$A124),0)
+IFERROR(SUMIFS('교재재고'!O:O,'교재재고'!B:B,$A124),0)
+IFERROR(SUMIFS('교재재고'!R:R,'교재재고'!B:B,$A124),0)</f>
        <v>0</v>
      </c>
      <c r="F124" s="79">
        <f>IFERROR(SUMIFS('교재재고'!G:G,'교재재고'!B:B,$A124),0)
+IFERROR(SUMIFS('교재재고'!J:J,'교재재고'!B:B,$A124),0)
+IFERROR(SUMIFS('교재재고'!M:M,'교재재고'!B:B,$A124),0)
+IFERROR(SUMIFS('교재재고'!P:P,'교재재고'!B:B,$A124),0)
+IFERROR(SUMIFS('교재재고'!S:S,'교재재고'!B:B,$A124),0)</f>
        <v>0</v>
      </c>
      <c r="G124" s="79">
        <f>IFERROR(SUMIFS('교재재고'!H:H,'교재재고'!B:B,$A124),0)
+IFERROR(SUMIFS('교재재고'!K:K,'교재재고'!B:B,$A124),0)
+IFERROR(SUMIFS('교재재고'!N:N,'교재재고'!B:B,$A124),0)
+IFERROR(SUMIFS('교재재고'!Q:Q,'교재재고'!B:B,$A124),0)
+IFERROR(SUMIFS('교재재고'!T:T,'교재재고'!B:B,$A124),0)</f>
        <v>0</v>
      </c>
      <c r="H124" s="79">
        <f t="shared" si="2"/>
        <v>0</v>
      </c>
      <c r="I124" s="80">
        <f>IFERROR(SUMIFS('배부로그'!G:G,'배부로그'!D:D,$A124,'배부로그'!F:F,"창고"),0)</f>
        <v>0</v>
      </c>
      <c r="J124" s="59">
        <f>IFERROR(SUMIFS('배부로그'!G:G,'배부로그'!D:D,$A124,'배부로그'!F:F,"4층지원실"),0)</f>
        <v>0</v>
      </c>
      <c r="K124" s="59">
        <f>IFERROR(SUMIFS('배부로그'!G:G,'배부로그'!D:D,$A124,'배부로그'!F:F,"8층지원실"),0)</f>
        <v>0</v>
      </c>
      <c r="L124" s="81">
        <f t="shared" si="3"/>
        <v>0</v>
      </c>
      <c r="M124" s="59">
        <f>IFERROR(SUMIFS('회수로그'!H:H,'회수로그'!E:E,$A124,'회수로그'!G:G,"창고"),0)</f>
        <v>0</v>
      </c>
      <c r="N124" s="59">
        <f>IFERROR(SUMIFS('회수로그'!H:H,'회수로그'!E:E,$A124,'회수로그'!G:G,"4층지원실"),0)</f>
        <v>0</v>
      </c>
      <c r="O124" s="59">
        <f>IFERROR(SUMIFS('회수로그'!H:H,'회수로그'!E:E,$A124,'회수로그'!G:G,"8층지원실"),0)</f>
        <v>0</v>
      </c>
      <c r="P124" s="59">
        <f t="shared" si="4"/>
        <v>0</v>
      </c>
      <c r="Q124" s="59">
        <f>IFERROR(SUMIFS('재고이동로그'!F:F,'재고이동로그'!C:C,$A124,'재고이동로그'!D:D,"창고"),0)</f>
        <v>0</v>
      </c>
      <c r="R124" s="59">
        <f>IFERROR(SUMIFS('재고이동로그'!F:F,'재고이동로그'!C:C,$A124,'재고이동로그'!E:E,"4층지원실"),0)</f>
        <v>0</v>
      </c>
      <c r="S124" s="82">
        <f>IFERROR(SUMIFS('재고이동로그'!F:F,'재고이동로그'!C:C,$A124,'재고이동로그'!E:E,"8층지원실"),0)</f>
        <v>0</v>
      </c>
      <c r="T124" s="59">
        <f>IFERROR(SUMIFS('재고이동로그'!F:F,'재고이동로그'!C:C,$A124,'재고이동로그'!E:E,"창고"),0)</f>
        <v>0</v>
      </c>
      <c r="U124" s="59">
        <f>IFERROR(SUMIFS('재고이동로그'!F:F,'재고이동로그'!C:C,$A124,'재고이동로그'!E:E,"4층지원실"),0)</f>
        <v>0</v>
      </c>
      <c r="V124" s="59">
        <f>IFERROR(SUMIFS('재고이동로그'!F:F,'재고이동로그'!C:C,$A124,'재고이동로그'!E:E,"8층지원실"),0)</f>
        <v>0</v>
      </c>
      <c r="W124" s="83">
        <f t="shared" ref="W124:Y124" si="127">B124+E124-I124+M124-Q124+T124</f>
        <v>0</v>
      </c>
      <c r="X124" s="83">
        <f t="shared" si="127"/>
        <v>0</v>
      </c>
      <c r="Y124" s="83">
        <f t="shared" si="127"/>
        <v>0</v>
      </c>
      <c r="Z124" s="84">
        <f t="shared" si="6"/>
        <v>0</v>
      </c>
      <c r="AA124" s="59" t="str">
        <f t="shared" si="7"/>
        <v>부족</v>
      </c>
      <c r="AB124" s="59"/>
      <c r="AC124" s="59"/>
      <c r="AD124" s="59"/>
      <c r="AE124" s="59"/>
      <c r="AF124" s="59"/>
    </row>
    <row r="125" ht="15.75" customHeight="1">
      <c r="A125" s="59"/>
      <c r="B125" s="77">
        <f>IFERROR(SUMIFS('교재재고'!C:C,'교재재고'!B:B,$A125),0)</f>
        <v>0</v>
      </c>
      <c r="C125" s="77">
        <f>IFERROR(SUMIFS('교재재고'!D:D,'교재재고'!B:B,$A125),0)</f>
        <v>0</v>
      </c>
      <c r="D125" s="77">
        <f>IFERROR(SUMIFS('교재재고'!E:E,'교재재고'!B:B,$A125),0)</f>
        <v>0</v>
      </c>
      <c r="E125" s="78">
        <f>IFERROR(SUMIFS('교재재고'!F:F,'교재재고'!B:B,$A125),0)
+IFERROR(SUMIFS('교재재고'!I:I,'교재재고'!B:B,$A125),0)
+IFERROR(SUMIFS('교재재고'!L:L,'교재재고'!B:B,$A125),0)
+IFERROR(SUMIFS('교재재고'!O:O,'교재재고'!B:B,$A125),0)
+IFERROR(SUMIFS('교재재고'!R:R,'교재재고'!B:B,$A125),0)</f>
        <v>0</v>
      </c>
      <c r="F125" s="79">
        <f>IFERROR(SUMIFS('교재재고'!G:G,'교재재고'!B:B,$A125),0)
+IFERROR(SUMIFS('교재재고'!J:J,'교재재고'!B:B,$A125),0)
+IFERROR(SUMIFS('교재재고'!M:M,'교재재고'!B:B,$A125),0)
+IFERROR(SUMIFS('교재재고'!P:P,'교재재고'!B:B,$A125),0)
+IFERROR(SUMIFS('교재재고'!S:S,'교재재고'!B:B,$A125),0)</f>
        <v>0</v>
      </c>
      <c r="G125" s="79">
        <f>IFERROR(SUMIFS('교재재고'!H:H,'교재재고'!B:B,$A125),0)
+IFERROR(SUMIFS('교재재고'!K:K,'교재재고'!B:B,$A125),0)
+IFERROR(SUMIFS('교재재고'!N:N,'교재재고'!B:B,$A125),0)
+IFERROR(SUMIFS('교재재고'!Q:Q,'교재재고'!B:B,$A125),0)
+IFERROR(SUMIFS('교재재고'!T:T,'교재재고'!B:B,$A125),0)</f>
        <v>0</v>
      </c>
      <c r="H125" s="79">
        <f t="shared" si="2"/>
        <v>0</v>
      </c>
      <c r="I125" s="80">
        <f>IFERROR(SUMIFS('배부로그'!G:G,'배부로그'!D:D,$A125,'배부로그'!F:F,"창고"),0)</f>
        <v>0</v>
      </c>
      <c r="J125" s="59">
        <f>IFERROR(SUMIFS('배부로그'!G:G,'배부로그'!D:D,$A125,'배부로그'!F:F,"4층지원실"),0)</f>
        <v>0</v>
      </c>
      <c r="K125" s="59">
        <f>IFERROR(SUMIFS('배부로그'!G:G,'배부로그'!D:D,$A125,'배부로그'!F:F,"8층지원실"),0)</f>
        <v>0</v>
      </c>
      <c r="L125" s="81">
        <f t="shared" si="3"/>
        <v>0</v>
      </c>
      <c r="M125" s="59">
        <f>IFERROR(SUMIFS('회수로그'!H:H,'회수로그'!E:E,$A125,'회수로그'!G:G,"창고"),0)</f>
        <v>0</v>
      </c>
      <c r="N125" s="59">
        <f>IFERROR(SUMIFS('회수로그'!H:H,'회수로그'!E:E,$A125,'회수로그'!G:G,"4층지원실"),0)</f>
        <v>0</v>
      </c>
      <c r="O125" s="59">
        <f>IFERROR(SUMIFS('회수로그'!H:H,'회수로그'!E:E,$A125,'회수로그'!G:G,"8층지원실"),0)</f>
        <v>0</v>
      </c>
      <c r="P125" s="59">
        <f t="shared" si="4"/>
        <v>0</v>
      </c>
      <c r="Q125" s="59">
        <f>IFERROR(SUMIFS('재고이동로그'!F:F,'재고이동로그'!C:C,$A125,'재고이동로그'!D:D,"창고"),0)</f>
        <v>0</v>
      </c>
      <c r="R125" s="59">
        <f>IFERROR(SUMIFS('재고이동로그'!F:F,'재고이동로그'!C:C,$A125,'재고이동로그'!E:E,"4층지원실"),0)</f>
        <v>0</v>
      </c>
      <c r="S125" s="82">
        <f>IFERROR(SUMIFS('재고이동로그'!F:F,'재고이동로그'!C:C,$A125,'재고이동로그'!E:E,"8층지원실"),0)</f>
        <v>0</v>
      </c>
      <c r="T125" s="59">
        <f>IFERROR(SUMIFS('재고이동로그'!F:F,'재고이동로그'!C:C,$A125,'재고이동로그'!E:E,"창고"),0)</f>
        <v>0</v>
      </c>
      <c r="U125" s="59">
        <f>IFERROR(SUMIFS('재고이동로그'!F:F,'재고이동로그'!C:C,$A125,'재고이동로그'!E:E,"4층지원실"),0)</f>
        <v>0</v>
      </c>
      <c r="V125" s="59">
        <f>IFERROR(SUMIFS('재고이동로그'!F:F,'재고이동로그'!C:C,$A125,'재고이동로그'!E:E,"8층지원실"),0)</f>
        <v>0</v>
      </c>
      <c r="W125" s="83">
        <f t="shared" ref="W125:Y125" si="128">B125+E125-I125+M125-Q125+T125</f>
        <v>0</v>
      </c>
      <c r="X125" s="83">
        <f t="shared" si="128"/>
        <v>0</v>
      </c>
      <c r="Y125" s="83">
        <f t="shared" si="128"/>
        <v>0</v>
      </c>
      <c r="Z125" s="84">
        <f t="shared" si="6"/>
        <v>0</v>
      </c>
      <c r="AA125" s="59" t="str">
        <f t="shared" si="7"/>
        <v>부족</v>
      </c>
      <c r="AB125" s="59"/>
      <c r="AC125" s="59"/>
      <c r="AD125" s="59"/>
      <c r="AE125" s="59"/>
      <c r="AF125" s="59"/>
    </row>
    <row r="126" ht="15.75" customHeight="1">
      <c r="A126" s="59"/>
      <c r="B126" s="77">
        <f>IFERROR(SUMIFS('교재재고'!C:C,'교재재고'!B:B,$A126),0)</f>
        <v>0</v>
      </c>
      <c r="C126" s="77">
        <f>IFERROR(SUMIFS('교재재고'!D:D,'교재재고'!B:B,$A126),0)</f>
        <v>0</v>
      </c>
      <c r="D126" s="77">
        <f>IFERROR(SUMIFS('교재재고'!E:E,'교재재고'!B:B,$A126),0)</f>
        <v>0</v>
      </c>
      <c r="E126" s="78">
        <f>IFERROR(SUMIFS('교재재고'!F:F,'교재재고'!B:B,$A126),0)
+IFERROR(SUMIFS('교재재고'!I:I,'교재재고'!B:B,$A126),0)
+IFERROR(SUMIFS('교재재고'!L:L,'교재재고'!B:B,$A126),0)
+IFERROR(SUMIFS('교재재고'!O:O,'교재재고'!B:B,$A126),0)
+IFERROR(SUMIFS('교재재고'!R:R,'교재재고'!B:B,$A126),0)</f>
        <v>0</v>
      </c>
      <c r="F126" s="79">
        <f>IFERROR(SUMIFS('교재재고'!G:G,'교재재고'!B:B,$A126),0)
+IFERROR(SUMIFS('교재재고'!J:J,'교재재고'!B:B,$A126),0)
+IFERROR(SUMIFS('교재재고'!M:M,'교재재고'!B:B,$A126),0)
+IFERROR(SUMIFS('교재재고'!P:P,'교재재고'!B:B,$A126),0)
+IFERROR(SUMIFS('교재재고'!S:S,'교재재고'!B:B,$A126),0)</f>
        <v>0</v>
      </c>
      <c r="G126" s="79">
        <f>IFERROR(SUMIFS('교재재고'!H:H,'교재재고'!B:B,$A126),0)
+IFERROR(SUMIFS('교재재고'!K:K,'교재재고'!B:B,$A126),0)
+IFERROR(SUMIFS('교재재고'!N:N,'교재재고'!B:B,$A126),0)
+IFERROR(SUMIFS('교재재고'!Q:Q,'교재재고'!B:B,$A126),0)
+IFERROR(SUMIFS('교재재고'!T:T,'교재재고'!B:B,$A126),0)</f>
        <v>0</v>
      </c>
      <c r="H126" s="79">
        <f t="shared" si="2"/>
        <v>0</v>
      </c>
      <c r="I126" s="80">
        <f>IFERROR(SUMIFS('배부로그'!G:G,'배부로그'!D:D,$A126,'배부로그'!F:F,"창고"),0)</f>
        <v>0</v>
      </c>
      <c r="J126" s="59">
        <f>IFERROR(SUMIFS('배부로그'!G:G,'배부로그'!D:D,$A126,'배부로그'!F:F,"4층지원실"),0)</f>
        <v>0</v>
      </c>
      <c r="K126" s="59">
        <f>IFERROR(SUMIFS('배부로그'!G:G,'배부로그'!D:D,$A126,'배부로그'!F:F,"8층지원실"),0)</f>
        <v>0</v>
      </c>
      <c r="L126" s="81">
        <f t="shared" si="3"/>
        <v>0</v>
      </c>
      <c r="M126" s="59">
        <f>IFERROR(SUMIFS('회수로그'!H:H,'회수로그'!E:E,$A126,'회수로그'!G:G,"창고"),0)</f>
        <v>0</v>
      </c>
      <c r="N126" s="59">
        <f>IFERROR(SUMIFS('회수로그'!H:H,'회수로그'!E:E,$A126,'회수로그'!G:G,"4층지원실"),0)</f>
        <v>0</v>
      </c>
      <c r="O126" s="59">
        <f>IFERROR(SUMIFS('회수로그'!H:H,'회수로그'!E:E,$A126,'회수로그'!G:G,"8층지원실"),0)</f>
        <v>0</v>
      </c>
      <c r="P126" s="59">
        <f t="shared" si="4"/>
        <v>0</v>
      </c>
      <c r="Q126" s="59">
        <f>IFERROR(SUMIFS('재고이동로그'!F:F,'재고이동로그'!C:C,$A126,'재고이동로그'!D:D,"창고"),0)</f>
        <v>0</v>
      </c>
      <c r="R126" s="59">
        <f>IFERROR(SUMIFS('재고이동로그'!F:F,'재고이동로그'!C:C,$A126,'재고이동로그'!E:E,"4층지원실"),0)</f>
        <v>0</v>
      </c>
      <c r="S126" s="82">
        <f>IFERROR(SUMIFS('재고이동로그'!F:F,'재고이동로그'!C:C,$A126,'재고이동로그'!E:E,"8층지원실"),0)</f>
        <v>0</v>
      </c>
      <c r="T126" s="59">
        <f>IFERROR(SUMIFS('재고이동로그'!F:F,'재고이동로그'!C:C,$A126,'재고이동로그'!E:E,"창고"),0)</f>
        <v>0</v>
      </c>
      <c r="U126" s="59">
        <f>IFERROR(SUMIFS('재고이동로그'!F:F,'재고이동로그'!C:C,$A126,'재고이동로그'!E:E,"4층지원실"),0)</f>
        <v>0</v>
      </c>
      <c r="V126" s="59">
        <f>IFERROR(SUMIFS('재고이동로그'!F:F,'재고이동로그'!C:C,$A126,'재고이동로그'!E:E,"8층지원실"),0)</f>
        <v>0</v>
      </c>
      <c r="W126" s="83">
        <f t="shared" ref="W126:Y126" si="129">B126+E126-I126+M126-Q126+T126</f>
        <v>0</v>
      </c>
      <c r="X126" s="83">
        <f t="shared" si="129"/>
        <v>0</v>
      </c>
      <c r="Y126" s="83">
        <f t="shared" si="129"/>
        <v>0</v>
      </c>
      <c r="Z126" s="84">
        <f t="shared" si="6"/>
        <v>0</v>
      </c>
      <c r="AA126" s="59" t="str">
        <f t="shared" si="7"/>
        <v>부족</v>
      </c>
      <c r="AB126" s="59"/>
      <c r="AC126" s="59"/>
      <c r="AD126" s="59"/>
      <c r="AE126" s="59"/>
      <c r="AF126" s="59"/>
    </row>
    <row r="127" ht="15.75" customHeight="1">
      <c r="A127" s="59"/>
      <c r="B127" s="77">
        <f>IFERROR(SUMIFS('교재재고'!C:C,'교재재고'!B:B,$A127),0)</f>
        <v>0</v>
      </c>
      <c r="C127" s="77">
        <f>IFERROR(SUMIFS('교재재고'!D:D,'교재재고'!B:B,$A127),0)</f>
        <v>0</v>
      </c>
      <c r="D127" s="77">
        <f>IFERROR(SUMIFS('교재재고'!E:E,'교재재고'!B:B,$A127),0)</f>
        <v>0</v>
      </c>
      <c r="E127" s="78">
        <f>IFERROR(SUMIFS('교재재고'!F:F,'교재재고'!B:B,$A127),0)
+IFERROR(SUMIFS('교재재고'!I:I,'교재재고'!B:B,$A127),0)
+IFERROR(SUMIFS('교재재고'!L:L,'교재재고'!B:B,$A127),0)
+IFERROR(SUMIFS('교재재고'!O:O,'교재재고'!B:B,$A127),0)
+IFERROR(SUMIFS('교재재고'!R:R,'교재재고'!B:B,$A127),0)</f>
        <v>0</v>
      </c>
      <c r="F127" s="79">
        <f>IFERROR(SUMIFS('교재재고'!G:G,'교재재고'!B:B,$A127),0)
+IFERROR(SUMIFS('교재재고'!J:J,'교재재고'!B:B,$A127),0)
+IFERROR(SUMIFS('교재재고'!M:M,'교재재고'!B:B,$A127),0)
+IFERROR(SUMIFS('교재재고'!P:P,'교재재고'!B:B,$A127),0)
+IFERROR(SUMIFS('교재재고'!S:S,'교재재고'!B:B,$A127),0)</f>
        <v>0</v>
      </c>
      <c r="G127" s="79">
        <f>IFERROR(SUMIFS('교재재고'!H:H,'교재재고'!B:B,$A127),0)
+IFERROR(SUMIFS('교재재고'!K:K,'교재재고'!B:B,$A127),0)
+IFERROR(SUMIFS('교재재고'!N:N,'교재재고'!B:B,$A127),0)
+IFERROR(SUMIFS('교재재고'!Q:Q,'교재재고'!B:B,$A127),0)
+IFERROR(SUMIFS('교재재고'!T:T,'교재재고'!B:B,$A127),0)</f>
        <v>0</v>
      </c>
      <c r="H127" s="79">
        <f t="shared" si="2"/>
        <v>0</v>
      </c>
      <c r="I127" s="80">
        <f>IFERROR(SUMIFS('배부로그'!G:G,'배부로그'!D:D,$A127,'배부로그'!F:F,"창고"),0)</f>
        <v>0</v>
      </c>
      <c r="J127" s="59">
        <f>IFERROR(SUMIFS('배부로그'!G:G,'배부로그'!D:D,$A127,'배부로그'!F:F,"4층지원실"),0)</f>
        <v>0</v>
      </c>
      <c r="K127" s="59">
        <f>IFERROR(SUMIFS('배부로그'!G:G,'배부로그'!D:D,$A127,'배부로그'!F:F,"8층지원실"),0)</f>
        <v>0</v>
      </c>
      <c r="L127" s="81">
        <f t="shared" si="3"/>
        <v>0</v>
      </c>
      <c r="M127" s="59">
        <f>IFERROR(SUMIFS('회수로그'!H:H,'회수로그'!E:E,$A127,'회수로그'!G:G,"창고"),0)</f>
        <v>0</v>
      </c>
      <c r="N127" s="59">
        <f>IFERROR(SUMIFS('회수로그'!H:H,'회수로그'!E:E,$A127,'회수로그'!G:G,"4층지원실"),0)</f>
        <v>0</v>
      </c>
      <c r="O127" s="59">
        <f>IFERROR(SUMIFS('회수로그'!H:H,'회수로그'!E:E,$A127,'회수로그'!G:G,"8층지원실"),0)</f>
        <v>0</v>
      </c>
      <c r="P127" s="59">
        <f t="shared" si="4"/>
        <v>0</v>
      </c>
      <c r="Q127" s="59">
        <f>IFERROR(SUMIFS('재고이동로그'!F:F,'재고이동로그'!C:C,$A127,'재고이동로그'!D:D,"창고"),0)</f>
        <v>0</v>
      </c>
      <c r="R127" s="59">
        <f>IFERROR(SUMIFS('재고이동로그'!F:F,'재고이동로그'!C:C,$A127,'재고이동로그'!E:E,"4층지원실"),0)</f>
        <v>0</v>
      </c>
      <c r="S127" s="82">
        <f>IFERROR(SUMIFS('재고이동로그'!F:F,'재고이동로그'!C:C,$A127,'재고이동로그'!E:E,"8층지원실"),0)</f>
        <v>0</v>
      </c>
      <c r="T127" s="59">
        <f>IFERROR(SUMIFS('재고이동로그'!F:F,'재고이동로그'!C:C,$A127,'재고이동로그'!E:E,"창고"),0)</f>
        <v>0</v>
      </c>
      <c r="U127" s="59">
        <f>IFERROR(SUMIFS('재고이동로그'!F:F,'재고이동로그'!C:C,$A127,'재고이동로그'!E:E,"4층지원실"),0)</f>
        <v>0</v>
      </c>
      <c r="V127" s="59">
        <f>IFERROR(SUMIFS('재고이동로그'!F:F,'재고이동로그'!C:C,$A127,'재고이동로그'!E:E,"8층지원실"),0)</f>
        <v>0</v>
      </c>
      <c r="W127" s="83">
        <f t="shared" ref="W127:Y127" si="130">B127+E127-I127+M127-Q127+T127</f>
        <v>0</v>
      </c>
      <c r="X127" s="83">
        <f t="shared" si="130"/>
        <v>0</v>
      </c>
      <c r="Y127" s="83">
        <f t="shared" si="130"/>
        <v>0</v>
      </c>
      <c r="Z127" s="84">
        <f t="shared" si="6"/>
        <v>0</v>
      </c>
      <c r="AA127" s="59" t="str">
        <f t="shared" si="7"/>
        <v>부족</v>
      </c>
      <c r="AB127" s="59"/>
      <c r="AC127" s="59"/>
      <c r="AD127" s="59"/>
      <c r="AE127" s="59"/>
      <c r="AF127" s="59"/>
    </row>
    <row r="128" ht="15.75" customHeight="1">
      <c r="A128" s="59"/>
      <c r="B128" s="77">
        <f>IFERROR(SUMIFS('교재재고'!C:C,'교재재고'!B:B,$A128),0)</f>
        <v>0</v>
      </c>
      <c r="C128" s="77">
        <f>IFERROR(SUMIFS('교재재고'!D:D,'교재재고'!B:B,$A128),0)</f>
        <v>0</v>
      </c>
      <c r="D128" s="77">
        <f>IFERROR(SUMIFS('교재재고'!E:E,'교재재고'!B:B,$A128),0)</f>
        <v>0</v>
      </c>
      <c r="E128" s="78">
        <f>IFERROR(SUMIFS('교재재고'!F:F,'교재재고'!B:B,$A128),0)
+IFERROR(SUMIFS('교재재고'!I:I,'교재재고'!B:B,$A128),0)
+IFERROR(SUMIFS('교재재고'!L:L,'교재재고'!B:B,$A128),0)
+IFERROR(SUMIFS('교재재고'!O:O,'교재재고'!B:B,$A128),0)
+IFERROR(SUMIFS('교재재고'!R:R,'교재재고'!B:B,$A128),0)</f>
        <v>0</v>
      </c>
      <c r="F128" s="79">
        <f>IFERROR(SUMIFS('교재재고'!G:G,'교재재고'!B:B,$A128),0)
+IFERROR(SUMIFS('교재재고'!J:J,'교재재고'!B:B,$A128),0)
+IFERROR(SUMIFS('교재재고'!M:M,'교재재고'!B:B,$A128),0)
+IFERROR(SUMIFS('교재재고'!P:P,'교재재고'!B:B,$A128),0)
+IFERROR(SUMIFS('교재재고'!S:S,'교재재고'!B:B,$A128),0)</f>
        <v>0</v>
      </c>
      <c r="G128" s="79">
        <f>IFERROR(SUMIFS('교재재고'!H:H,'교재재고'!B:B,$A128),0)
+IFERROR(SUMIFS('교재재고'!K:K,'교재재고'!B:B,$A128),0)
+IFERROR(SUMIFS('교재재고'!N:N,'교재재고'!B:B,$A128),0)
+IFERROR(SUMIFS('교재재고'!Q:Q,'교재재고'!B:B,$A128),0)
+IFERROR(SUMIFS('교재재고'!T:T,'교재재고'!B:B,$A128),0)</f>
        <v>0</v>
      </c>
      <c r="H128" s="79">
        <f t="shared" si="2"/>
        <v>0</v>
      </c>
      <c r="I128" s="80">
        <f>IFERROR(SUMIFS('배부로그'!G:G,'배부로그'!D:D,$A128,'배부로그'!F:F,"창고"),0)</f>
        <v>0</v>
      </c>
      <c r="J128" s="59">
        <f>IFERROR(SUMIFS('배부로그'!G:G,'배부로그'!D:D,$A128,'배부로그'!F:F,"4층지원실"),0)</f>
        <v>0</v>
      </c>
      <c r="K128" s="59">
        <f>IFERROR(SUMIFS('배부로그'!G:G,'배부로그'!D:D,$A128,'배부로그'!F:F,"8층지원실"),0)</f>
        <v>0</v>
      </c>
      <c r="L128" s="81">
        <f t="shared" si="3"/>
        <v>0</v>
      </c>
      <c r="M128" s="59">
        <f>IFERROR(SUMIFS('회수로그'!H:H,'회수로그'!E:E,$A128,'회수로그'!G:G,"창고"),0)</f>
        <v>0</v>
      </c>
      <c r="N128" s="59">
        <f>IFERROR(SUMIFS('회수로그'!H:H,'회수로그'!E:E,$A128,'회수로그'!G:G,"4층지원실"),0)</f>
        <v>0</v>
      </c>
      <c r="O128" s="59">
        <f>IFERROR(SUMIFS('회수로그'!H:H,'회수로그'!E:E,$A128,'회수로그'!G:G,"8층지원실"),0)</f>
        <v>0</v>
      </c>
      <c r="P128" s="59">
        <f t="shared" si="4"/>
        <v>0</v>
      </c>
      <c r="Q128" s="59">
        <f>IFERROR(SUMIFS('재고이동로그'!F:F,'재고이동로그'!C:C,$A128,'재고이동로그'!D:D,"창고"),0)</f>
        <v>0</v>
      </c>
      <c r="R128" s="59">
        <f>IFERROR(SUMIFS('재고이동로그'!F:F,'재고이동로그'!C:C,$A128,'재고이동로그'!E:E,"4층지원실"),0)</f>
        <v>0</v>
      </c>
      <c r="S128" s="82">
        <f>IFERROR(SUMIFS('재고이동로그'!F:F,'재고이동로그'!C:C,$A128,'재고이동로그'!E:E,"8층지원실"),0)</f>
        <v>0</v>
      </c>
      <c r="T128" s="59">
        <f>IFERROR(SUMIFS('재고이동로그'!F:F,'재고이동로그'!C:C,$A128,'재고이동로그'!E:E,"창고"),0)</f>
        <v>0</v>
      </c>
      <c r="U128" s="59">
        <f>IFERROR(SUMIFS('재고이동로그'!F:F,'재고이동로그'!C:C,$A128,'재고이동로그'!E:E,"4층지원실"),0)</f>
        <v>0</v>
      </c>
      <c r="V128" s="59">
        <f>IFERROR(SUMIFS('재고이동로그'!F:F,'재고이동로그'!C:C,$A128,'재고이동로그'!E:E,"8층지원실"),0)</f>
        <v>0</v>
      </c>
      <c r="W128" s="83">
        <f t="shared" ref="W128:Y128" si="131">B128+E128-I128+M128-Q128+T128</f>
        <v>0</v>
      </c>
      <c r="X128" s="83">
        <f t="shared" si="131"/>
        <v>0</v>
      </c>
      <c r="Y128" s="83">
        <f t="shared" si="131"/>
        <v>0</v>
      </c>
      <c r="Z128" s="84">
        <f t="shared" si="6"/>
        <v>0</v>
      </c>
      <c r="AA128" s="59" t="str">
        <f t="shared" si="7"/>
        <v>부족</v>
      </c>
      <c r="AB128" s="59"/>
      <c r="AC128" s="59"/>
      <c r="AD128" s="59"/>
      <c r="AE128" s="59"/>
      <c r="AF128" s="59"/>
    </row>
    <row r="129" ht="15.75" customHeight="1">
      <c r="A129" s="59"/>
      <c r="B129" s="77">
        <f>IFERROR(SUMIFS('교재재고'!C:C,'교재재고'!B:B,$A129),0)</f>
        <v>0</v>
      </c>
      <c r="C129" s="77">
        <f>IFERROR(SUMIFS('교재재고'!D:D,'교재재고'!B:B,$A129),0)</f>
        <v>0</v>
      </c>
      <c r="D129" s="77">
        <f>IFERROR(SUMIFS('교재재고'!E:E,'교재재고'!B:B,$A129),0)</f>
        <v>0</v>
      </c>
      <c r="E129" s="78">
        <f>IFERROR(SUMIFS('교재재고'!F:F,'교재재고'!B:B,$A129),0)
+IFERROR(SUMIFS('교재재고'!I:I,'교재재고'!B:B,$A129),0)
+IFERROR(SUMIFS('교재재고'!L:L,'교재재고'!B:B,$A129),0)
+IFERROR(SUMIFS('교재재고'!O:O,'교재재고'!B:B,$A129),0)
+IFERROR(SUMIFS('교재재고'!R:R,'교재재고'!B:B,$A129),0)</f>
        <v>0</v>
      </c>
      <c r="F129" s="79">
        <f>IFERROR(SUMIFS('교재재고'!G:G,'교재재고'!B:B,$A129),0)
+IFERROR(SUMIFS('교재재고'!J:J,'교재재고'!B:B,$A129),0)
+IFERROR(SUMIFS('교재재고'!M:M,'교재재고'!B:B,$A129),0)
+IFERROR(SUMIFS('교재재고'!P:P,'교재재고'!B:B,$A129),0)
+IFERROR(SUMIFS('교재재고'!S:S,'교재재고'!B:B,$A129),0)</f>
        <v>0</v>
      </c>
      <c r="G129" s="79">
        <f>IFERROR(SUMIFS('교재재고'!H:H,'교재재고'!B:B,$A129),0)
+IFERROR(SUMIFS('교재재고'!K:K,'교재재고'!B:B,$A129),0)
+IFERROR(SUMIFS('교재재고'!N:N,'교재재고'!B:B,$A129),0)
+IFERROR(SUMIFS('교재재고'!Q:Q,'교재재고'!B:B,$A129),0)
+IFERROR(SUMIFS('교재재고'!T:T,'교재재고'!B:B,$A129),0)</f>
        <v>0</v>
      </c>
      <c r="H129" s="79">
        <f t="shared" si="2"/>
        <v>0</v>
      </c>
      <c r="I129" s="80">
        <f>IFERROR(SUMIFS('배부로그'!G:G,'배부로그'!D:D,$A129,'배부로그'!F:F,"창고"),0)</f>
        <v>0</v>
      </c>
      <c r="J129" s="59">
        <f>IFERROR(SUMIFS('배부로그'!G:G,'배부로그'!D:D,$A129,'배부로그'!F:F,"4층지원실"),0)</f>
        <v>0</v>
      </c>
      <c r="K129" s="59">
        <f>IFERROR(SUMIFS('배부로그'!G:G,'배부로그'!D:D,$A129,'배부로그'!F:F,"8층지원실"),0)</f>
        <v>0</v>
      </c>
      <c r="L129" s="81">
        <f t="shared" si="3"/>
        <v>0</v>
      </c>
      <c r="M129" s="59">
        <f>IFERROR(SUMIFS('회수로그'!H:H,'회수로그'!E:E,$A129,'회수로그'!G:G,"창고"),0)</f>
        <v>0</v>
      </c>
      <c r="N129" s="59">
        <f>IFERROR(SUMIFS('회수로그'!H:H,'회수로그'!E:E,$A129,'회수로그'!G:G,"4층지원실"),0)</f>
        <v>0</v>
      </c>
      <c r="O129" s="59">
        <f>IFERROR(SUMIFS('회수로그'!H:H,'회수로그'!E:E,$A129,'회수로그'!G:G,"8층지원실"),0)</f>
        <v>0</v>
      </c>
      <c r="P129" s="59">
        <f t="shared" si="4"/>
        <v>0</v>
      </c>
      <c r="Q129" s="59">
        <f>IFERROR(SUMIFS('재고이동로그'!F:F,'재고이동로그'!C:C,$A129,'재고이동로그'!D:D,"창고"),0)</f>
        <v>0</v>
      </c>
      <c r="R129" s="59">
        <f>IFERROR(SUMIFS('재고이동로그'!F:F,'재고이동로그'!C:C,$A129,'재고이동로그'!E:E,"4층지원실"),0)</f>
        <v>0</v>
      </c>
      <c r="S129" s="82">
        <f>IFERROR(SUMIFS('재고이동로그'!F:F,'재고이동로그'!C:C,$A129,'재고이동로그'!E:E,"8층지원실"),0)</f>
        <v>0</v>
      </c>
      <c r="T129" s="59">
        <f>IFERROR(SUMIFS('재고이동로그'!F:F,'재고이동로그'!C:C,$A129,'재고이동로그'!E:E,"창고"),0)</f>
        <v>0</v>
      </c>
      <c r="U129" s="59">
        <f>IFERROR(SUMIFS('재고이동로그'!F:F,'재고이동로그'!C:C,$A129,'재고이동로그'!E:E,"4층지원실"),0)</f>
        <v>0</v>
      </c>
      <c r="V129" s="59">
        <f>IFERROR(SUMIFS('재고이동로그'!F:F,'재고이동로그'!C:C,$A129,'재고이동로그'!E:E,"8층지원실"),0)</f>
        <v>0</v>
      </c>
      <c r="W129" s="83">
        <f t="shared" ref="W129:Y129" si="132">B129+E129-I129+M129-Q129+T129</f>
        <v>0</v>
      </c>
      <c r="X129" s="83">
        <f t="shared" si="132"/>
        <v>0</v>
      </c>
      <c r="Y129" s="83">
        <f t="shared" si="132"/>
        <v>0</v>
      </c>
      <c r="Z129" s="84">
        <f t="shared" si="6"/>
        <v>0</v>
      </c>
      <c r="AA129" s="59" t="str">
        <f t="shared" si="7"/>
        <v>부족</v>
      </c>
      <c r="AB129" s="59"/>
      <c r="AC129" s="59"/>
      <c r="AD129" s="59"/>
      <c r="AE129" s="59"/>
      <c r="AF129" s="59"/>
    </row>
    <row r="130" ht="15.75" customHeight="1">
      <c r="A130" s="59"/>
      <c r="B130" s="77">
        <f>IFERROR(SUMIFS('교재재고'!C:C,'교재재고'!B:B,$A130),0)</f>
        <v>0</v>
      </c>
      <c r="C130" s="77">
        <f>IFERROR(SUMIFS('교재재고'!D:D,'교재재고'!B:B,$A130),0)</f>
        <v>0</v>
      </c>
      <c r="D130" s="77">
        <f>IFERROR(SUMIFS('교재재고'!E:E,'교재재고'!B:B,$A130),0)</f>
        <v>0</v>
      </c>
      <c r="E130" s="78">
        <f>IFERROR(SUMIFS('교재재고'!F:F,'교재재고'!B:B,$A130),0)
+IFERROR(SUMIFS('교재재고'!I:I,'교재재고'!B:B,$A130),0)
+IFERROR(SUMIFS('교재재고'!L:L,'교재재고'!B:B,$A130),0)
+IFERROR(SUMIFS('교재재고'!O:O,'교재재고'!B:B,$A130),0)
+IFERROR(SUMIFS('교재재고'!R:R,'교재재고'!B:B,$A130),0)</f>
        <v>0</v>
      </c>
      <c r="F130" s="79">
        <f>IFERROR(SUMIFS('교재재고'!G:G,'교재재고'!B:B,$A130),0)
+IFERROR(SUMIFS('교재재고'!J:J,'교재재고'!B:B,$A130),0)
+IFERROR(SUMIFS('교재재고'!M:M,'교재재고'!B:B,$A130),0)
+IFERROR(SUMIFS('교재재고'!P:P,'교재재고'!B:B,$A130),0)
+IFERROR(SUMIFS('교재재고'!S:S,'교재재고'!B:B,$A130),0)</f>
        <v>0</v>
      </c>
      <c r="G130" s="79">
        <f>IFERROR(SUMIFS('교재재고'!H:H,'교재재고'!B:B,$A130),0)
+IFERROR(SUMIFS('교재재고'!K:K,'교재재고'!B:B,$A130),0)
+IFERROR(SUMIFS('교재재고'!N:N,'교재재고'!B:B,$A130),0)
+IFERROR(SUMIFS('교재재고'!Q:Q,'교재재고'!B:B,$A130),0)
+IFERROR(SUMIFS('교재재고'!T:T,'교재재고'!B:B,$A130),0)</f>
        <v>0</v>
      </c>
      <c r="H130" s="79">
        <f t="shared" si="2"/>
        <v>0</v>
      </c>
      <c r="I130" s="80">
        <f>IFERROR(SUMIFS('배부로그'!G:G,'배부로그'!D:D,$A130,'배부로그'!F:F,"창고"),0)</f>
        <v>0</v>
      </c>
      <c r="J130" s="59">
        <f>IFERROR(SUMIFS('배부로그'!G:G,'배부로그'!D:D,$A130,'배부로그'!F:F,"4층지원실"),0)</f>
        <v>0</v>
      </c>
      <c r="K130" s="59">
        <f>IFERROR(SUMIFS('배부로그'!G:G,'배부로그'!D:D,$A130,'배부로그'!F:F,"8층지원실"),0)</f>
        <v>0</v>
      </c>
      <c r="L130" s="81">
        <f t="shared" si="3"/>
        <v>0</v>
      </c>
      <c r="M130" s="59">
        <f>IFERROR(SUMIFS('회수로그'!H:H,'회수로그'!E:E,$A130,'회수로그'!G:G,"창고"),0)</f>
        <v>0</v>
      </c>
      <c r="N130" s="59">
        <f>IFERROR(SUMIFS('회수로그'!H:H,'회수로그'!E:E,$A130,'회수로그'!G:G,"4층지원실"),0)</f>
        <v>0</v>
      </c>
      <c r="O130" s="59">
        <f>IFERROR(SUMIFS('회수로그'!H:H,'회수로그'!E:E,$A130,'회수로그'!G:G,"8층지원실"),0)</f>
        <v>0</v>
      </c>
      <c r="P130" s="59">
        <f t="shared" si="4"/>
        <v>0</v>
      </c>
      <c r="Q130" s="59">
        <f>IFERROR(SUMIFS('재고이동로그'!F:F,'재고이동로그'!C:C,$A130,'재고이동로그'!D:D,"창고"),0)</f>
        <v>0</v>
      </c>
      <c r="R130" s="59">
        <f>IFERROR(SUMIFS('재고이동로그'!F:F,'재고이동로그'!C:C,$A130,'재고이동로그'!E:E,"4층지원실"),0)</f>
        <v>0</v>
      </c>
      <c r="S130" s="82">
        <f>IFERROR(SUMIFS('재고이동로그'!F:F,'재고이동로그'!C:C,$A130,'재고이동로그'!E:E,"8층지원실"),0)</f>
        <v>0</v>
      </c>
      <c r="T130" s="59">
        <f>IFERROR(SUMIFS('재고이동로그'!F:F,'재고이동로그'!C:C,$A130,'재고이동로그'!E:E,"창고"),0)</f>
        <v>0</v>
      </c>
      <c r="U130" s="59">
        <f>IFERROR(SUMIFS('재고이동로그'!F:F,'재고이동로그'!C:C,$A130,'재고이동로그'!E:E,"4층지원실"),0)</f>
        <v>0</v>
      </c>
      <c r="V130" s="59">
        <f>IFERROR(SUMIFS('재고이동로그'!F:F,'재고이동로그'!C:C,$A130,'재고이동로그'!E:E,"8층지원실"),0)</f>
        <v>0</v>
      </c>
      <c r="W130" s="83">
        <f t="shared" ref="W130:Y130" si="133">B130+E130-I130+M130-Q130+T130</f>
        <v>0</v>
      </c>
      <c r="X130" s="83">
        <f t="shared" si="133"/>
        <v>0</v>
      </c>
      <c r="Y130" s="83">
        <f t="shared" si="133"/>
        <v>0</v>
      </c>
      <c r="Z130" s="84">
        <f t="shared" si="6"/>
        <v>0</v>
      </c>
      <c r="AA130" s="59" t="str">
        <f t="shared" si="7"/>
        <v>부족</v>
      </c>
      <c r="AB130" s="59"/>
      <c r="AC130" s="59"/>
      <c r="AD130" s="59"/>
      <c r="AE130" s="59"/>
      <c r="AF130" s="59"/>
    </row>
    <row r="131" ht="15.75" customHeight="1">
      <c r="A131" s="59"/>
      <c r="B131" s="77">
        <f>IFERROR(SUMIFS('교재재고'!C:C,'교재재고'!B:B,$A131),0)</f>
        <v>0</v>
      </c>
      <c r="C131" s="77">
        <f>IFERROR(SUMIFS('교재재고'!D:D,'교재재고'!B:B,$A131),0)</f>
        <v>0</v>
      </c>
      <c r="D131" s="77">
        <f>IFERROR(SUMIFS('교재재고'!E:E,'교재재고'!B:B,$A131),0)</f>
        <v>0</v>
      </c>
      <c r="E131" s="78">
        <f>IFERROR(SUMIFS('교재재고'!F:F,'교재재고'!B:B,$A131),0)
+IFERROR(SUMIFS('교재재고'!I:I,'교재재고'!B:B,$A131),0)
+IFERROR(SUMIFS('교재재고'!L:L,'교재재고'!B:B,$A131),0)
+IFERROR(SUMIFS('교재재고'!O:O,'교재재고'!B:B,$A131),0)
+IFERROR(SUMIFS('교재재고'!R:R,'교재재고'!B:B,$A131),0)</f>
        <v>0</v>
      </c>
      <c r="F131" s="79">
        <f>IFERROR(SUMIFS('교재재고'!G:G,'교재재고'!B:B,$A131),0)
+IFERROR(SUMIFS('교재재고'!J:J,'교재재고'!B:B,$A131),0)
+IFERROR(SUMIFS('교재재고'!M:M,'교재재고'!B:B,$A131),0)
+IFERROR(SUMIFS('교재재고'!P:P,'교재재고'!B:B,$A131),0)
+IFERROR(SUMIFS('교재재고'!S:S,'교재재고'!B:B,$A131),0)</f>
        <v>0</v>
      </c>
      <c r="G131" s="79">
        <f>IFERROR(SUMIFS('교재재고'!H:H,'교재재고'!B:B,$A131),0)
+IFERROR(SUMIFS('교재재고'!K:K,'교재재고'!B:B,$A131),0)
+IFERROR(SUMIFS('교재재고'!N:N,'교재재고'!B:B,$A131),0)
+IFERROR(SUMIFS('교재재고'!Q:Q,'교재재고'!B:B,$A131),0)
+IFERROR(SUMIFS('교재재고'!T:T,'교재재고'!B:B,$A131),0)</f>
        <v>0</v>
      </c>
      <c r="H131" s="79">
        <f t="shared" si="2"/>
        <v>0</v>
      </c>
      <c r="I131" s="80">
        <f>IFERROR(SUMIFS('배부로그'!G:G,'배부로그'!D:D,$A131,'배부로그'!F:F,"창고"),0)</f>
        <v>0</v>
      </c>
      <c r="J131" s="59">
        <f>IFERROR(SUMIFS('배부로그'!G:G,'배부로그'!D:D,$A131,'배부로그'!F:F,"4층지원실"),0)</f>
        <v>0</v>
      </c>
      <c r="K131" s="59">
        <f>IFERROR(SUMIFS('배부로그'!G:G,'배부로그'!D:D,$A131,'배부로그'!F:F,"8층지원실"),0)</f>
        <v>0</v>
      </c>
      <c r="L131" s="81">
        <f t="shared" si="3"/>
        <v>0</v>
      </c>
      <c r="M131" s="59">
        <f>IFERROR(SUMIFS('회수로그'!H:H,'회수로그'!E:E,$A131,'회수로그'!G:G,"창고"),0)</f>
        <v>0</v>
      </c>
      <c r="N131" s="59">
        <f>IFERROR(SUMIFS('회수로그'!H:H,'회수로그'!E:E,$A131,'회수로그'!G:G,"4층지원실"),0)</f>
        <v>0</v>
      </c>
      <c r="O131" s="59">
        <f>IFERROR(SUMIFS('회수로그'!H:H,'회수로그'!E:E,$A131,'회수로그'!G:G,"8층지원실"),0)</f>
        <v>0</v>
      </c>
      <c r="P131" s="59">
        <f t="shared" si="4"/>
        <v>0</v>
      </c>
      <c r="Q131" s="59">
        <f>IFERROR(SUMIFS('재고이동로그'!F:F,'재고이동로그'!C:C,$A131,'재고이동로그'!D:D,"창고"),0)</f>
        <v>0</v>
      </c>
      <c r="R131" s="59">
        <f>IFERROR(SUMIFS('재고이동로그'!F:F,'재고이동로그'!C:C,$A131,'재고이동로그'!E:E,"4층지원실"),0)</f>
        <v>0</v>
      </c>
      <c r="S131" s="82">
        <f>IFERROR(SUMIFS('재고이동로그'!F:F,'재고이동로그'!C:C,$A131,'재고이동로그'!E:E,"8층지원실"),0)</f>
        <v>0</v>
      </c>
      <c r="T131" s="59">
        <f>IFERROR(SUMIFS('재고이동로그'!F:F,'재고이동로그'!C:C,$A131,'재고이동로그'!E:E,"창고"),0)</f>
        <v>0</v>
      </c>
      <c r="U131" s="59">
        <f>IFERROR(SUMIFS('재고이동로그'!F:F,'재고이동로그'!C:C,$A131,'재고이동로그'!E:E,"4층지원실"),0)</f>
        <v>0</v>
      </c>
      <c r="V131" s="59">
        <f>IFERROR(SUMIFS('재고이동로그'!F:F,'재고이동로그'!C:C,$A131,'재고이동로그'!E:E,"8층지원실"),0)</f>
        <v>0</v>
      </c>
      <c r="W131" s="83">
        <f t="shared" ref="W131:Y131" si="134">B131+E131-I131+M131-Q131+T131</f>
        <v>0</v>
      </c>
      <c r="X131" s="83">
        <f t="shared" si="134"/>
        <v>0</v>
      </c>
      <c r="Y131" s="83">
        <f t="shared" si="134"/>
        <v>0</v>
      </c>
      <c r="Z131" s="84">
        <f t="shared" si="6"/>
        <v>0</v>
      </c>
      <c r="AA131" s="59" t="str">
        <f t="shared" si="7"/>
        <v>부족</v>
      </c>
      <c r="AB131" s="59"/>
      <c r="AC131" s="59"/>
      <c r="AD131" s="59"/>
      <c r="AE131" s="59"/>
      <c r="AF131" s="59"/>
    </row>
    <row r="132" ht="15.75" customHeight="1">
      <c r="A132" s="59"/>
      <c r="B132" s="77">
        <f>IFERROR(SUMIFS('교재재고'!C:C,'교재재고'!B:B,$A132),0)</f>
        <v>0</v>
      </c>
      <c r="C132" s="77">
        <f>IFERROR(SUMIFS('교재재고'!D:D,'교재재고'!B:B,$A132),0)</f>
        <v>0</v>
      </c>
      <c r="D132" s="77">
        <f>IFERROR(SUMIFS('교재재고'!E:E,'교재재고'!B:B,$A132),0)</f>
        <v>0</v>
      </c>
      <c r="E132" s="78">
        <f>IFERROR(SUMIFS('교재재고'!F:F,'교재재고'!B:B,$A132),0)
+IFERROR(SUMIFS('교재재고'!I:I,'교재재고'!B:B,$A132),0)
+IFERROR(SUMIFS('교재재고'!L:L,'교재재고'!B:B,$A132),0)
+IFERROR(SUMIFS('교재재고'!O:O,'교재재고'!B:B,$A132),0)
+IFERROR(SUMIFS('교재재고'!R:R,'교재재고'!B:B,$A132),0)</f>
        <v>0</v>
      </c>
      <c r="F132" s="79">
        <f>IFERROR(SUMIFS('교재재고'!G:G,'교재재고'!B:B,$A132),0)
+IFERROR(SUMIFS('교재재고'!J:J,'교재재고'!B:B,$A132),0)
+IFERROR(SUMIFS('교재재고'!M:M,'교재재고'!B:B,$A132),0)
+IFERROR(SUMIFS('교재재고'!P:P,'교재재고'!B:B,$A132),0)
+IFERROR(SUMIFS('교재재고'!S:S,'교재재고'!B:B,$A132),0)</f>
        <v>0</v>
      </c>
      <c r="G132" s="79">
        <f>IFERROR(SUMIFS('교재재고'!H:H,'교재재고'!B:B,$A132),0)
+IFERROR(SUMIFS('교재재고'!K:K,'교재재고'!B:B,$A132),0)
+IFERROR(SUMIFS('교재재고'!N:N,'교재재고'!B:B,$A132),0)
+IFERROR(SUMIFS('교재재고'!Q:Q,'교재재고'!B:B,$A132),0)
+IFERROR(SUMIFS('교재재고'!T:T,'교재재고'!B:B,$A132),0)</f>
        <v>0</v>
      </c>
      <c r="H132" s="79">
        <f t="shared" si="2"/>
        <v>0</v>
      </c>
      <c r="I132" s="80">
        <f>IFERROR(SUMIFS('배부로그'!G:G,'배부로그'!D:D,$A132,'배부로그'!F:F,"창고"),0)</f>
        <v>0</v>
      </c>
      <c r="J132" s="59">
        <f>IFERROR(SUMIFS('배부로그'!G:G,'배부로그'!D:D,$A132,'배부로그'!F:F,"4층지원실"),0)</f>
        <v>0</v>
      </c>
      <c r="K132" s="59">
        <f>IFERROR(SUMIFS('배부로그'!G:G,'배부로그'!D:D,$A132,'배부로그'!F:F,"8층지원실"),0)</f>
        <v>0</v>
      </c>
      <c r="L132" s="81">
        <f t="shared" si="3"/>
        <v>0</v>
      </c>
      <c r="M132" s="59">
        <f>IFERROR(SUMIFS('회수로그'!H:H,'회수로그'!E:E,$A132,'회수로그'!G:G,"창고"),0)</f>
        <v>0</v>
      </c>
      <c r="N132" s="59">
        <f>IFERROR(SUMIFS('회수로그'!H:H,'회수로그'!E:E,$A132,'회수로그'!G:G,"4층지원실"),0)</f>
        <v>0</v>
      </c>
      <c r="O132" s="59">
        <f>IFERROR(SUMIFS('회수로그'!H:H,'회수로그'!E:E,$A132,'회수로그'!G:G,"8층지원실"),0)</f>
        <v>0</v>
      </c>
      <c r="P132" s="59">
        <f t="shared" si="4"/>
        <v>0</v>
      </c>
      <c r="Q132" s="59">
        <f>IFERROR(SUMIFS('재고이동로그'!F:F,'재고이동로그'!C:C,$A132,'재고이동로그'!D:D,"창고"),0)</f>
        <v>0</v>
      </c>
      <c r="R132" s="59">
        <f>IFERROR(SUMIFS('재고이동로그'!F:F,'재고이동로그'!C:C,$A132,'재고이동로그'!E:E,"4층지원실"),0)</f>
        <v>0</v>
      </c>
      <c r="S132" s="82">
        <f>IFERROR(SUMIFS('재고이동로그'!F:F,'재고이동로그'!C:C,$A132,'재고이동로그'!E:E,"8층지원실"),0)</f>
        <v>0</v>
      </c>
      <c r="T132" s="59">
        <f>IFERROR(SUMIFS('재고이동로그'!F:F,'재고이동로그'!C:C,$A132,'재고이동로그'!E:E,"창고"),0)</f>
        <v>0</v>
      </c>
      <c r="U132" s="59">
        <f>IFERROR(SUMIFS('재고이동로그'!F:F,'재고이동로그'!C:C,$A132,'재고이동로그'!E:E,"4층지원실"),0)</f>
        <v>0</v>
      </c>
      <c r="V132" s="59">
        <f>IFERROR(SUMIFS('재고이동로그'!F:F,'재고이동로그'!C:C,$A132,'재고이동로그'!E:E,"8층지원실"),0)</f>
        <v>0</v>
      </c>
      <c r="W132" s="83">
        <f t="shared" ref="W132:Y132" si="135">B132+E132-I132+M132-Q132+T132</f>
        <v>0</v>
      </c>
      <c r="X132" s="83">
        <f t="shared" si="135"/>
        <v>0</v>
      </c>
      <c r="Y132" s="83">
        <f t="shared" si="135"/>
        <v>0</v>
      </c>
      <c r="Z132" s="84">
        <f t="shared" si="6"/>
        <v>0</v>
      </c>
      <c r="AA132" s="59" t="str">
        <f t="shared" si="7"/>
        <v>부족</v>
      </c>
      <c r="AB132" s="59"/>
      <c r="AC132" s="59"/>
      <c r="AD132" s="59"/>
      <c r="AE132" s="59"/>
      <c r="AF132" s="59"/>
    </row>
    <row r="133" ht="15.75" customHeight="1">
      <c r="A133" s="59"/>
      <c r="B133" s="77">
        <f>IFERROR(SUMIFS('교재재고'!C:C,'교재재고'!B:B,$A133),0)</f>
        <v>0</v>
      </c>
      <c r="C133" s="77">
        <f>IFERROR(SUMIFS('교재재고'!D:D,'교재재고'!B:B,$A133),0)</f>
        <v>0</v>
      </c>
      <c r="D133" s="77">
        <f>IFERROR(SUMIFS('교재재고'!E:E,'교재재고'!B:B,$A133),0)</f>
        <v>0</v>
      </c>
      <c r="E133" s="78">
        <f>IFERROR(SUMIFS('교재재고'!F:F,'교재재고'!B:B,$A133),0)
+IFERROR(SUMIFS('교재재고'!I:I,'교재재고'!B:B,$A133),0)
+IFERROR(SUMIFS('교재재고'!L:L,'교재재고'!B:B,$A133),0)
+IFERROR(SUMIFS('교재재고'!O:O,'교재재고'!B:B,$A133),0)
+IFERROR(SUMIFS('교재재고'!R:R,'교재재고'!B:B,$A133),0)</f>
        <v>0</v>
      </c>
      <c r="F133" s="79">
        <f>IFERROR(SUMIFS('교재재고'!G:G,'교재재고'!B:B,$A133),0)
+IFERROR(SUMIFS('교재재고'!J:J,'교재재고'!B:B,$A133),0)
+IFERROR(SUMIFS('교재재고'!M:M,'교재재고'!B:B,$A133),0)
+IFERROR(SUMIFS('교재재고'!P:P,'교재재고'!B:B,$A133),0)
+IFERROR(SUMIFS('교재재고'!S:S,'교재재고'!B:B,$A133),0)</f>
        <v>0</v>
      </c>
      <c r="G133" s="79">
        <f>IFERROR(SUMIFS('교재재고'!H:H,'교재재고'!B:B,$A133),0)
+IFERROR(SUMIFS('교재재고'!K:K,'교재재고'!B:B,$A133),0)
+IFERROR(SUMIFS('교재재고'!N:N,'교재재고'!B:B,$A133),0)
+IFERROR(SUMIFS('교재재고'!Q:Q,'교재재고'!B:B,$A133),0)
+IFERROR(SUMIFS('교재재고'!T:T,'교재재고'!B:B,$A133),0)</f>
        <v>0</v>
      </c>
      <c r="H133" s="79">
        <f t="shared" si="2"/>
        <v>0</v>
      </c>
      <c r="I133" s="80">
        <f>IFERROR(SUMIFS('배부로그'!G:G,'배부로그'!D:D,$A133,'배부로그'!F:F,"창고"),0)</f>
        <v>0</v>
      </c>
      <c r="J133" s="59">
        <f>IFERROR(SUMIFS('배부로그'!G:G,'배부로그'!D:D,$A133,'배부로그'!F:F,"4층지원실"),0)</f>
        <v>0</v>
      </c>
      <c r="K133" s="59">
        <f>IFERROR(SUMIFS('배부로그'!G:G,'배부로그'!D:D,$A133,'배부로그'!F:F,"8층지원실"),0)</f>
        <v>0</v>
      </c>
      <c r="L133" s="81">
        <f t="shared" si="3"/>
        <v>0</v>
      </c>
      <c r="M133" s="59">
        <f>IFERROR(SUMIFS('회수로그'!H:H,'회수로그'!E:E,$A133,'회수로그'!G:G,"창고"),0)</f>
        <v>0</v>
      </c>
      <c r="N133" s="59">
        <f>IFERROR(SUMIFS('회수로그'!H:H,'회수로그'!E:E,$A133,'회수로그'!G:G,"4층지원실"),0)</f>
        <v>0</v>
      </c>
      <c r="O133" s="59">
        <f>IFERROR(SUMIFS('회수로그'!H:H,'회수로그'!E:E,$A133,'회수로그'!G:G,"8층지원실"),0)</f>
        <v>0</v>
      </c>
      <c r="P133" s="59">
        <f t="shared" si="4"/>
        <v>0</v>
      </c>
      <c r="Q133" s="59">
        <f>IFERROR(SUMIFS('재고이동로그'!F:F,'재고이동로그'!C:C,$A133,'재고이동로그'!D:D,"창고"),0)</f>
        <v>0</v>
      </c>
      <c r="R133" s="59">
        <f>IFERROR(SUMIFS('재고이동로그'!F:F,'재고이동로그'!C:C,$A133,'재고이동로그'!E:E,"4층지원실"),0)</f>
        <v>0</v>
      </c>
      <c r="S133" s="82">
        <f>IFERROR(SUMIFS('재고이동로그'!F:F,'재고이동로그'!C:C,$A133,'재고이동로그'!E:E,"8층지원실"),0)</f>
        <v>0</v>
      </c>
      <c r="T133" s="59">
        <f>IFERROR(SUMIFS('재고이동로그'!F:F,'재고이동로그'!C:C,$A133,'재고이동로그'!E:E,"창고"),0)</f>
        <v>0</v>
      </c>
      <c r="U133" s="59">
        <f>IFERROR(SUMIFS('재고이동로그'!F:F,'재고이동로그'!C:C,$A133,'재고이동로그'!E:E,"4층지원실"),0)</f>
        <v>0</v>
      </c>
      <c r="V133" s="59">
        <f>IFERROR(SUMIFS('재고이동로그'!F:F,'재고이동로그'!C:C,$A133,'재고이동로그'!E:E,"8층지원실"),0)</f>
        <v>0</v>
      </c>
      <c r="W133" s="83">
        <f t="shared" ref="W133:Y133" si="136">B133+E133-I133+M133-Q133+T133</f>
        <v>0</v>
      </c>
      <c r="X133" s="83">
        <f t="shared" si="136"/>
        <v>0</v>
      </c>
      <c r="Y133" s="83">
        <f t="shared" si="136"/>
        <v>0</v>
      </c>
      <c r="Z133" s="84">
        <f t="shared" si="6"/>
        <v>0</v>
      </c>
      <c r="AA133" s="59" t="str">
        <f t="shared" si="7"/>
        <v>부족</v>
      </c>
      <c r="AB133" s="59"/>
      <c r="AC133" s="59"/>
      <c r="AD133" s="59"/>
      <c r="AE133" s="59"/>
      <c r="AF133" s="59"/>
    </row>
    <row r="134" ht="15.75" customHeight="1">
      <c r="A134" s="59"/>
      <c r="B134" s="77">
        <f>IFERROR(SUMIFS('교재재고'!C:C,'교재재고'!B:B,$A134),0)</f>
        <v>0</v>
      </c>
      <c r="C134" s="77">
        <f>IFERROR(SUMIFS('교재재고'!D:D,'교재재고'!B:B,$A134),0)</f>
        <v>0</v>
      </c>
      <c r="D134" s="77">
        <f>IFERROR(SUMIFS('교재재고'!E:E,'교재재고'!B:B,$A134),0)</f>
        <v>0</v>
      </c>
      <c r="E134" s="78">
        <f>IFERROR(SUMIFS('교재재고'!F:F,'교재재고'!B:B,$A134),0)
+IFERROR(SUMIFS('교재재고'!I:I,'교재재고'!B:B,$A134),0)
+IFERROR(SUMIFS('교재재고'!L:L,'교재재고'!B:B,$A134),0)
+IFERROR(SUMIFS('교재재고'!O:O,'교재재고'!B:B,$A134),0)
+IFERROR(SUMIFS('교재재고'!R:R,'교재재고'!B:B,$A134),0)</f>
        <v>0</v>
      </c>
      <c r="F134" s="79">
        <f>IFERROR(SUMIFS('교재재고'!G:G,'교재재고'!B:B,$A134),0)
+IFERROR(SUMIFS('교재재고'!J:J,'교재재고'!B:B,$A134),0)
+IFERROR(SUMIFS('교재재고'!M:M,'교재재고'!B:B,$A134),0)
+IFERROR(SUMIFS('교재재고'!P:P,'교재재고'!B:B,$A134),0)
+IFERROR(SUMIFS('교재재고'!S:S,'교재재고'!B:B,$A134),0)</f>
        <v>0</v>
      </c>
      <c r="G134" s="79">
        <f>IFERROR(SUMIFS('교재재고'!H:H,'교재재고'!B:B,$A134),0)
+IFERROR(SUMIFS('교재재고'!K:K,'교재재고'!B:B,$A134),0)
+IFERROR(SUMIFS('교재재고'!N:N,'교재재고'!B:B,$A134),0)
+IFERROR(SUMIFS('교재재고'!Q:Q,'교재재고'!B:B,$A134),0)
+IFERROR(SUMIFS('교재재고'!T:T,'교재재고'!B:B,$A134),0)</f>
        <v>0</v>
      </c>
      <c r="H134" s="79">
        <f t="shared" si="2"/>
        <v>0</v>
      </c>
      <c r="I134" s="80">
        <f>IFERROR(SUMIFS('배부로그'!G:G,'배부로그'!D:D,$A134,'배부로그'!F:F,"창고"),0)</f>
        <v>0</v>
      </c>
      <c r="J134" s="59">
        <f>IFERROR(SUMIFS('배부로그'!G:G,'배부로그'!D:D,$A134,'배부로그'!F:F,"4층지원실"),0)</f>
        <v>0</v>
      </c>
      <c r="K134" s="59">
        <f>IFERROR(SUMIFS('배부로그'!G:G,'배부로그'!D:D,$A134,'배부로그'!F:F,"8층지원실"),0)</f>
        <v>0</v>
      </c>
      <c r="L134" s="81">
        <f t="shared" si="3"/>
        <v>0</v>
      </c>
      <c r="M134" s="59">
        <f>IFERROR(SUMIFS('회수로그'!H:H,'회수로그'!E:E,$A134,'회수로그'!G:G,"창고"),0)</f>
        <v>0</v>
      </c>
      <c r="N134" s="59">
        <f>IFERROR(SUMIFS('회수로그'!H:H,'회수로그'!E:E,$A134,'회수로그'!G:G,"4층지원실"),0)</f>
        <v>0</v>
      </c>
      <c r="O134" s="59">
        <f>IFERROR(SUMIFS('회수로그'!H:H,'회수로그'!E:E,$A134,'회수로그'!G:G,"8층지원실"),0)</f>
        <v>0</v>
      </c>
      <c r="P134" s="59">
        <f t="shared" si="4"/>
        <v>0</v>
      </c>
      <c r="Q134" s="59">
        <f>IFERROR(SUMIFS('재고이동로그'!F:F,'재고이동로그'!C:C,$A134,'재고이동로그'!D:D,"창고"),0)</f>
        <v>0</v>
      </c>
      <c r="R134" s="59">
        <f>IFERROR(SUMIFS('재고이동로그'!F:F,'재고이동로그'!C:C,$A134,'재고이동로그'!E:E,"4층지원실"),0)</f>
        <v>0</v>
      </c>
      <c r="S134" s="82">
        <f>IFERROR(SUMIFS('재고이동로그'!F:F,'재고이동로그'!C:C,$A134,'재고이동로그'!E:E,"8층지원실"),0)</f>
        <v>0</v>
      </c>
      <c r="T134" s="59">
        <f>IFERROR(SUMIFS('재고이동로그'!F:F,'재고이동로그'!C:C,$A134,'재고이동로그'!E:E,"창고"),0)</f>
        <v>0</v>
      </c>
      <c r="U134" s="59">
        <f>IFERROR(SUMIFS('재고이동로그'!F:F,'재고이동로그'!C:C,$A134,'재고이동로그'!E:E,"4층지원실"),0)</f>
        <v>0</v>
      </c>
      <c r="V134" s="59">
        <f>IFERROR(SUMIFS('재고이동로그'!F:F,'재고이동로그'!C:C,$A134,'재고이동로그'!E:E,"8층지원실"),0)</f>
        <v>0</v>
      </c>
      <c r="W134" s="83">
        <f t="shared" ref="W134:Y134" si="137">B134+E134-I134+M134-Q134+T134</f>
        <v>0</v>
      </c>
      <c r="X134" s="83">
        <f t="shared" si="137"/>
        <v>0</v>
      </c>
      <c r="Y134" s="83">
        <f t="shared" si="137"/>
        <v>0</v>
      </c>
      <c r="Z134" s="84">
        <f t="shared" si="6"/>
        <v>0</v>
      </c>
      <c r="AA134" s="59" t="str">
        <f t="shared" si="7"/>
        <v>부족</v>
      </c>
      <c r="AB134" s="59"/>
      <c r="AC134" s="59"/>
      <c r="AD134" s="59"/>
      <c r="AE134" s="59"/>
      <c r="AF134" s="59"/>
    </row>
    <row r="135" ht="15.75" customHeight="1">
      <c r="A135" s="59"/>
      <c r="B135" s="77">
        <f>IFERROR(SUMIFS('교재재고'!C:C,'교재재고'!B:B,$A135),0)</f>
        <v>0</v>
      </c>
      <c r="C135" s="77">
        <f>IFERROR(SUMIFS('교재재고'!D:D,'교재재고'!B:B,$A135),0)</f>
        <v>0</v>
      </c>
      <c r="D135" s="77">
        <f>IFERROR(SUMIFS('교재재고'!E:E,'교재재고'!B:B,$A135),0)</f>
        <v>0</v>
      </c>
      <c r="E135" s="78">
        <f>IFERROR(SUMIFS('교재재고'!F:F,'교재재고'!B:B,$A135),0)
+IFERROR(SUMIFS('교재재고'!I:I,'교재재고'!B:B,$A135),0)
+IFERROR(SUMIFS('교재재고'!L:L,'교재재고'!B:B,$A135),0)
+IFERROR(SUMIFS('교재재고'!O:O,'교재재고'!B:B,$A135),0)
+IFERROR(SUMIFS('교재재고'!R:R,'교재재고'!B:B,$A135),0)</f>
        <v>0</v>
      </c>
      <c r="F135" s="79">
        <f>IFERROR(SUMIFS('교재재고'!G:G,'교재재고'!B:B,$A135),0)
+IFERROR(SUMIFS('교재재고'!J:J,'교재재고'!B:B,$A135),0)
+IFERROR(SUMIFS('교재재고'!M:M,'교재재고'!B:B,$A135),0)
+IFERROR(SUMIFS('교재재고'!P:P,'교재재고'!B:B,$A135),0)
+IFERROR(SUMIFS('교재재고'!S:S,'교재재고'!B:B,$A135),0)</f>
        <v>0</v>
      </c>
      <c r="G135" s="79">
        <f>IFERROR(SUMIFS('교재재고'!H:H,'교재재고'!B:B,$A135),0)
+IFERROR(SUMIFS('교재재고'!K:K,'교재재고'!B:B,$A135),0)
+IFERROR(SUMIFS('교재재고'!N:N,'교재재고'!B:B,$A135),0)
+IFERROR(SUMIFS('교재재고'!Q:Q,'교재재고'!B:B,$A135),0)
+IFERROR(SUMIFS('교재재고'!T:T,'교재재고'!B:B,$A135),0)</f>
        <v>0</v>
      </c>
      <c r="H135" s="79">
        <f t="shared" si="2"/>
        <v>0</v>
      </c>
      <c r="I135" s="80">
        <f>IFERROR(SUMIFS('배부로그'!G:G,'배부로그'!D:D,$A135,'배부로그'!F:F,"창고"),0)</f>
        <v>0</v>
      </c>
      <c r="J135" s="59">
        <f>IFERROR(SUMIFS('배부로그'!G:G,'배부로그'!D:D,$A135,'배부로그'!F:F,"4층지원실"),0)</f>
        <v>0</v>
      </c>
      <c r="K135" s="59">
        <f>IFERROR(SUMIFS('배부로그'!G:G,'배부로그'!D:D,$A135,'배부로그'!F:F,"8층지원실"),0)</f>
        <v>0</v>
      </c>
      <c r="L135" s="81">
        <f t="shared" si="3"/>
        <v>0</v>
      </c>
      <c r="M135" s="59">
        <f>IFERROR(SUMIFS('회수로그'!H:H,'회수로그'!E:E,$A135,'회수로그'!G:G,"창고"),0)</f>
        <v>0</v>
      </c>
      <c r="N135" s="59">
        <f>IFERROR(SUMIFS('회수로그'!H:H,'회수로그'!E:E,$A135,'회수로그'!G:G,"4층지원실"),0)</f>
        <v>0</v>
      </c>
      <c r="O135" s="59">
        <f>IFERROR(SUMIFS('회수로그'!H:H,'회수로그'!E:E,$A135,'회수로그'!G:G,"8층지원실"),0)</f>
        <v>0</v>
      </c>
      <c r="P135" s="59">
        <f t="shared" si="4"/>
        <v>0</v>
      </c>
      <c r="Q135" s="59">
        <f>IFERROR(SUMIFS('재고이동로그'!F:F,'재고이동로그'!C:C,$A135,'재고이동로그'!D:D,"창고"),0)</f>
        <v>0</v>
      </c>
      <c r="R135" s="59">
        <f>IFERROR(SUMIFS('재고이동로그'!F:F,'재고이동로그'!C:C,$A135,'재고이동로그'!E:E,"4층지원실"),0)</f>
        <v>0</v>
      </c>
      <c r="S135" s="82">
        <f>IFERROR(SUMIFS('재고이동로그'!F:F,'재고이동로그'!C:C,$A135,'재고이동로그'!E:E,"8층지원실"),0)</f>
        <v>0</v>
      </c>
      <c r="T135" s="59">
        <f>IFERROR(SUMIFS('재고이동로그'!F:F,'재고이동로그'!C:C,$A135,'재고이동로그'!E:E,"창고"),0)</f>
        <v>0</v>
      </c>
      <c r="U135" s="59">
        <f>IFERROR(SUMIFS('재고이동로그'!F:F,'재고이동로그'!C:C,$A135,'재고이동로그'!E:E,"4층지원실"),0)</f>
        <v>0</v>
      </c>
      <c r="V135" s="59">
        <f>IFERROR(SUMIFS('재고이동로그'!F:F,'재고이동로그'!C:C,$A135,'재고이동로그'!E:E,"8층지원실"),0)</f>
        <v>0</v>
      </c>
      <c r="W135" s="83">
        <f t="shared" ref="W135:Y135" si="138">B135+E135-I135+M135-Q135+T135</f>
        <v>0</v>
      </c>
      <c r="X135" s="83">
        <f t="shared" si="138"/>
        <v>0</v>
      </c>
      <c r="Y135" s="83">
        <f t="shared" si="138"/>
        <v>0</v>
      </c>
      <c r="Z135" s="84">
        <f t="shared" si="6"/>
        <v>0</v>
      </c>
      <c r="AA135" s="59" t="str">
        <f t="shared" si="7"/>
        <v>부족</v>
      </c>
      <c r="AB135" s="59"/>
      <c r="AC135" s="59"/>
      <c r="AD135" s="59"/>
      <c r="AE135" s="59"/>
      <c r="AF135" s="59"/>
    </row>
    <row r="136" ht="15.75" customHeight="1">
      <c r="A136" s="59"/>
      <c r="B136" s="77">
        <f>IFERROR(SUMIFS('교재재고'!C:C,'교재재고'!B:B,$A136),0)</f>
        <v>0</v>
      </c>
      <c r="C136" s="77">
        <f>IFERROR(SUMIFS('교재재고'!D:D,'교재재고'!B:B,$A136),0)</f>
        <v>0</v>
      </c>
      <c r="D136" s="77">
        <f>IFERROR(SUMIFS('교재재고'!E:E,'교재재고'!B:B,$A136),0)</f>
        <v>0</v>
      </c>
      <c r="E136" s="78">
        <f>IFERROR(SUMIFS('교재재고'!F:F,'교재재고'!B:B,$A136),0)
+IFERROR(SUMIFS('교재재고'!I:I,'교재재고'!B:B,$A136),0)
+IFERROR(SUMIFS('교재재고'!L:L,'교재재고'!B:B,$A136),0)
+IFERROR(SUMIFS('교재재고'!O:O,'교재재고'!B:B,$A136),0)
+IFERROR(SUMIFS('교재재고'!R:R,'교재재고'!B:B,$A136),0)</f>
        <v>0</v>
      </c>
      <c r="F136" s="79">
        <f>IFERROR(SUMIFS('교재재고'!G:G,'교재재고'!B:B,$A136),0)
+IFERROR(SUMIFS('교재재고'!J:J,'교재재고'!B:B,$A136),0)
+IFERROR(SUMIFS('교재재고'!M:M,'교재재고'!B:B,$A136),0)
+IFERROR(SUMIFS('교재재고'!P:P,'교재재고'!B:B,$A136),0)
+IFERROR(SUMIFS('교재재고'!S:S,'교재재고'!B:B,$A136),0)</f>
        <v>0</v>
      </c>
      <c r="G136" s="79">
        <f>IFERROR(SUMIFS('교재재고'!H:H,'교재재고'!B:B,$A136),0)
+IFERROR(SUMIFS('교재재고'!K:K,'교재재고'!B:B,$A136),0)
+IFERROR(SUMIFS('교재재고'!N:N,'교재재고'!B:B,$A136),0)
+IFERROR(SUMIFS('교재재고'!Q:Q,'교재재고'!B:B,$A136),0)
+IFERROR(SUMIFS('교재재고'!T:T,'교재재고'!B:B,$A136),0)</f>
        <v>0</v>
      </c>
      <c r="H136" s="79">
        <f t="shared" si="2"/>
        <v>0</v>
      </c>
      <c r="I136" s="80">
        <f>IFERROR(SUMIFS('배부로그'!G:G,'배부로그'!D:D,$A136,'배부로그'!F:F,"창고"),0)</f>
        <v>0</v>
      </c>
      <c r="J136" s="59">
        <f>IFERROR(SUMIFS('배부로그'!G:G,'배부로그'!D:D,$A136,'배부로그'!F:F,"4층지원실"),0)</f>
        <v>0</v>
      </c>
      <c r="K136" s="59">
        <f>IFERROR(SUMIFS('배부로그'!G:G,'배부로그'!D:D,$A136,'배부로그'!F:F,"8층지원실"),0)</f>
        <v>0</v>
      </c>
      <c r="L136" s="81">
        <f t="shared" si="3"/>
        <v>0</v>
      </c>
      <c r="M136" s="59">
        <f>IFERROR(SUMIFS('회수로그'!H:H,'회수로그'!E:E,$A136,'회수로그'!G:G,"창고"),0)</f>
        <v>0</v>
      </c>
      <c r="N136" s="59">
        <f>IFERROR(SUMIFS('회수로그'!H:H,'회수로그'!E:E,$A136,'회수로그'!G:G,"4층지원실"),0)</f>
        <v>0</v>
      </c>
      <c r="O136" s="59">
        <f>IFERROR(SUMIFS('회수로그'!H:H,'회수로그'!E:E,$A136,'회수로그'!G:G,"8층지원실"),0)</f>
        <v>0</v>
      </c>
      <c r="P136" s="59">
        <f t="shared" si="4"/>
        <v>0</v>
      </c>
      <c r="Q136" s="59">
        <f>IFERROR(SUMIFS('재고이동로그'!F:F,'재고이동로그'!C:C,$A136,'재고이동로그'!D:D,"창고"),0)</f>
        <v>0</v>
      </c>
      <c r="R136" s="59">
        <f>IFERROR(SUMIFS('재고이동로그'!F:F,'재고이동로그'!C:C,$A136,'재고이동로그'!E:E,"4층지원실"),0)</f>
        <v>0</v>
      </c>
      <c r="S136" s="82">
        <f>IFERROR(SUMIFS('재고이동로그'!F:F,'재고이동로그'!C:C,$A136,'재고이동로그'!E:E,"8층지원실"),0)</f>
        <v>0</v>
      </c>
      <c r="T136" s="59">
        <f>IFERROR(SUMIFS('재고이동로그'!F:F,'재고이동로그'!C:C,$A136,'재고이동로그'!E:E,"창고"),0)</f>
        <v>0</v>
      </c>
      <c r="U136" s="59">
        <f>IFERROR(SUMIFS('재고이동로그'!F:F,'재고이동로그'!C:C,$A136,'재고이동로그'!E:E,"4층지원실"),0)</f>
        <v>0</v>
      </c>
      <c r="V136" s="59">
        <f>IFERROR(SUMIFS('재고이동로그'!F:F,'재고이동로그'!C:C,$A136,'재고이동로그'!E:E,"8층지원실"),0)</f>
        <v>0</v>
      </c>
      <c r="W136" s="83">
        <f t="shared" ref="W136:Y136" si="139">B136+E136-I136+M136-Q136+T136</f>
        <v>0</v>
      </c>
      <c r="X136" s="83">
        <f t="shared" si="139"/>
        <v>0</v>
      </c>
      <c r="Y136" s="83">
        <f t="shared" si="139"/>
        <v>0</v>
      </c>
      <c r="Z136" s="84">
        <f t="shared" si="6"/>
        <v>0</v>
      </c>
      <c r="AA136" s="59" t="str">
        <f t="shared" si="7"/>
        <v>부족</v>
      </c>
      <c r="AB136" s="59"/>
      <c r="AC136" s="59"/>
      <c r="AD136" s="59"/>
      <c r="AE136" s="59"/>
      <c r="AF136" s="59"/>
    </row>
    <row r="137" ht="15.75" customHeight="1">
      <c r="A137" s="59"/>
      <c r="B137" s="77">
        <f>IFERROR(SUMIFS('교재재고'!C:C,'교재재고'!B:B,$A137),0)</f>
        <v>0</v>
      </c>
      <c r="C137" s="77">
        <f>IFERROR(SUMIFS('교재재고'!D:D,'교재재고'!B:B,$A137),0)</f>
        <v>0</v>
      </c>
      <c r="D137" s="77">
        <f>IFERROR(SUMIFS('교재재고'!E:E,'교재재고'!B:B,$A137),0)</f>
        <v>0</v>
      </c>
      <c r="E137" s="78">
        <f>IFERROR(SUMIFS('교재재고'!F:F,'교재재고'!B:B,$A137),0)
+IFERROR(SUMIFS('교재재고'!I:I,'교재재고'!B:B,$A137),0)
+IFERROR(SUMIFS('교재재고'!L:L,'교재재고'!B:B,$A137),0)
+IFERROR(SUMIFS('교재재고'!O:O,'교재재고'!B:B,$A137),0)
+IFERROR(SUMIFS('교재재고'!R:R,'교재재고'!B:B,$A137),0)</f>
        <v>0</v>
      </c>
      <c r="F137" s="79">
        <f>IFERROR(SUMIFS('교재재고'!G:G,'교재재고'!B:B,$A137),0)
+IFERROR(SUMIFS('교재재고'!J:J,'교재재고'!B:B,$A137),0)
+IFERROR(SUMIFS('교재재고'!M:M,'교재재고'!B:B,$A137),0)
+IFERROR(SUMIFS('교재재고'!P:P,'교재재고'!B:B,$A137),0)
+IFERROR(SUMIFS('교재재고'!S:S,'교재재고'!B:B,$A137),0)</f>
        <v>0</v>
      </c>
      <c r="G137" s="79">
        <f>IFERROR(SUMIFS('교재재고'!H:H,'교재재고'!B:B,$A137),0)
+IFERROR(SUMIFS('교재재고'!K:K,'교재재고'!B:B,$A137),0)
+IFERROR(SUMIFS('교재재고'!N:N,'교재재고'!B:B,$A137),0)
+IFERROR(SUMIFS('교재재고'!Q:Q,'교재재고'!B:B,$A137),0)
+IFERROR(SUMIFS('교재재고'!T:T,'교재재고'!B:B,$A137),0)</f>
        <v>0</v>
      </c>
      <c r="H137" s="79">
        <f t="shared" si="2"/>
        <v>0</v>
      </c>
      <c r="I137" s="80">
        <f>IFERROR(SUMIFS('배부로그'!G:G,'배부로그'!D:D,$A137,'배부로그'!F:F,"창고"),0)</f>
        <v>0</v>
      </c>
      <c r="J137" s="59">
        <f>IFERROR(SUMIFS('배부로그'!G:G,'배부로그'!D:D,$A137,'배부로그'!F:F,"4층지원실"),0)</f>
        <v>0</v>
      </c>
      <c r="K137" s="59">
        <f>IFERROR(SUMIFS('배부로그'!G:G,'배부로그'!D:D,$A137,'배부로그'!F:F,"8층지원실"),0)</f>
        <v>0</v>
      </c>
      <c r="L137" s="81">
        <f t="shared" si="3"/>
        <v>0</v>
      </c>
      <c r="M137" s="59">
        <f>IFERROR(SUMIFS('회수로그'!H:H,'회수로그'!E:E,$A137,'회수로그'!G:G,"창고"),0)</f>
        <v>0</v>
      </c>
      <c r="N137" s="59">
        <f>IFERROR(SUMIFS('회수로그'!H:H,'회수로그'!E:E,$A137,'회수로그'!G:G,"4층지원실"),0)</f>
        <v>0</v>
      </c>
      <c r="O137" s="59">
        <f>IFERROR(SUMIFS('회수로그'!H:H,'회수로그'!E:E,$A137,'회수로그'!G:G,"8층지원실"),0)</f>
        <v>0</v>
      </c>
      <c r="P137" s="59">
        <f t="shared" si="4"/>
        <v>0</v>
      </c>
      <c r="Q137" s="59">
        <f>IFERROR(SUMIFS('재고이동로그'!F:F,'재고이동로그'!C:C,$A137,'재고이동로그'!D:D,"창고"),0)</f>
        <v>0</v>
      </c>
      <c r="R137" s="59">
        <f>IFERROR(SUMIFS('재고이동로그'!F:F,'재고이동로그'!C:C,$A137,'재고이동로그'!E:E,"4층지원실"),0)</f>
        <v>0</v>
      </c>
      <c r="S137" s="82">
        <f>IFERROR(SUMIFS('재고이동로그'!F:F,'재고이동로그'!C:C,$A137,'재고이동로그'!E:E,"8층지원실"),0)</f>
        <v>0</v>
      </c>
      <c r="T137" s="59">
        <f>IFERROR(SUMIFS('재고이동로그'!F:F,'재고이동로그'!C:C,$A137,'재고이동로그'!E:E,"창고"),0)</f>
        <v>0</v>
      </c>
      <c r="U137" s="59">
        <f>IFERROR(SUMIFS('재고이동로그'!F:F,'재고이동로그'!C:C,$A137,'재고이동로그'!E:E,"4층지원실"),0)</f>
        <v>0</v>
      </c>
      <c r="V137" s="59">
        <f>IFERROR(SUMIFS('재고이동로그'!F:F,'재고이동로그'!C:C,$A137,'재고이동로그'!E:E,"8층지원실"),0)</f>
        <v>0</v>
      </c>
      <c r="W137" s="83">
        <f t="shared" ref="W137:Y137" si="140">B137+E137-I137+M137-Q137+T137</f>
        <v>0</v>
      </c>
      <c r="X137" s="83">
        <f t="shared" si="140"/>
        <v>0</v>
      </c>
      <c r="Y137" s="83">
        <f t="shared" si="140"/>
        <v>0</v>
      </c>
      <c r="Z137" s="84">
        <f t="shared" si="6"/>
        <v>0</v>
      </c>
      <c r="AA137" s="59" t="str">
        <f t="shared" si="7"/>
        <v>부족</v>
      </c>
      <c r="AB137" s="59"/>
      <c r="AC137" s="59"/>
      <c r="AD137" s="59"/>
      <c r="AE137" s="59"/>
      <c r="AF137" s="59"/>
    </row>
    <row r="138" ht="15.75" customHeight="1">
      <c r="A138" s="59"/>
      <c r="B138" s="77">
        <f>IFERROR(SUMIFS('교재재고'!C:C,'교재재고'!B:B,$A138),0)</f>
        <v>0</v>
      </c>
      <c r="C138" s="77">
        <f>IFERROR(SUMIFS('교재재고'!D:D,'교재재고'!B:B,$A138),0)</f>
        <v>0</v>
      </c>
      <c r="D138" s="77">
        <f>IFERROR(SUMIFS('교재재고'!E:E,'교재재고'!B:B,$A138),0)</f>
        <v>0</v>
      </c>
      <c r="E138" s="78">
        <f>IFERROR(SUMIFS('교재재고'!F:F,'교재재고'!B:B,$A138),0)
+IFERROR(SUMIFS('교재재고'!I:I,'교재재고'!B:B,$A138),0)
+IFERROR(SUMIFS('교재재고'!L:L,'교재재고'!B:B,$A138),0)
+IFERROR(SUMIFS('교재재고'!O:O,'교재재고'!B:B,$A138),0)
+IFERROR(SUMIFS('교재재고'!R:R,'교재재고'!B:B,$A138),0)</f>
        <v>0</v>
      </c>
      <c r="F138" s="79">
        <f>IFERROR(SUMIFS('교재재고'!G:G,'교재재고'!B:B,$A138),0)
+IFERROR(SUMIFS('교재재고'!J:J,'교재재고'!B:B,$A138),0)
+IFERROR(SUMIFS('교재재고'!M:M,'교재재고'!B:B,$A138),0)
+IFERROR(SUMIFS('교재재고'!P:P,'교재재고'!B:B,$A138),0)
+IFERROR(SUMIFS('교재재고'!S:S,'교재재고'!B:B,$A138),0)</f>
        <v>0</v>
      </c>
      <c r="G138" s="79">
        <f>IFERROR(SUMIFS('교재재고'!H:H,'교재재고'!B:B,$A138),0)
+IFERROR(SUMIFS('교재재고'!K:K,'교재재고'!B:B,$A138),0)
+IFERROR(SUMIFS('교재재고'!N:N,'교재재고'!B:B,$A138),0)
+IFERROR(SUMIFS('교재재고'!Q:Q,'교재재고'!B:B,$A138),0)
+IFERROR(SUMIFS('교재재고'!T:T,'교재재고'!B:B,$A138),0)</f>
        <v>0</v>
      </c>
      <c r="H138" s="79">
        <f t="shared" si="2"/>
        <v>0</v>
      </c>
      <c r="I138" s="80">
        <f>IFERROR(SUMIFS('배부로그'!G:G,'배부로그'!D:D,$A138,'배부로그'!F:F,"창고"),0)</f>
        <v>0</v>
      </c>
      <c r="J138" s="59">
        <f>IFERROR(SUMIFS('배부로그'!G:G,'배부로그'!D:D,$A138,'배부로그'!F:F,"4층지원실"),0)</f>
        <v>0</v>
      </c>
      <c r="K138" s="59">
        <f>IFERROR(SUMIFS('배부로그'!G:G,'배부로그'!D:D,$A138,'배부로그'!F:F,"8층지원실"),0)</f>
        <v>0</v>
      </c>
      <c r="L138" s="81">
        <f t="shared" si="3"/>
        <v>0</v>
      </c>
      <c r="M138" s="59">
        <f>IFERROR(SUMIFS('회수로그'!H:H,'회수로그'!E:E,$A138,'회수로그'!G:G,"창고"),0)</f>
        <v>0</v>
      </c>
      <c r="N138" s="59">
        <f>IFERROR(SUMIFS('회수로그'!H:H,'회수로그'!E:E,$A138,'회수로그'!G:G,"4층지원실"),0)</f>
        <v>0</v>
      </c>
      <c r="O138" s="59">
        <f>IFERROR(SUMIFS('회수로그'!H:H,'회수로그'!E:E,$A138,'회수로그'!G:G,"8층지원실"),0)</f>
        <v>0</v>
      </c>
      <c r="P138" s="59">
        <f t="shared" si="4"/>
        <v>0</v>
      </c>
      <c r="Q138" s="59">
        <f>IFERROR(SUMIFS('재고이동로그'!F:F,'재고이동로그'!C:C,$A138,'재고이동로그'!D:D,"창고"),0)</f>
        <v>0</v>
      </c>
      <c r="R138" s="59">
        <f>IFERROR(SUMIFS('재고이동로그'!F:F,'재고이동로그'!C:C,$A138,'재고이동로그'!E:E,"4층지원실"),0)</f>
        <v>0</v>
      </c>
      <c r="S138" s="82">
        <f>IFERROR(SUMIFS('재고이동로그'!F:F,'재고이동로그'!C:C,$A138,'재고이동로그'!E:E,"8층지원실"),0)</f>
        <v>0</v>
      </c>
      <c r="T138" s="59">
        <f>IFERROR(SUMIFS('재고이동로그'!F:F,'재고이동로그'!C:C,$A138,'재고이동로그'!E:E,"창고"),0)</f>
        <v>0</v>
      </c>
      <c r="U138" s="59">
        <f>IFERROR(SUMIFS('재고이동로그'!F:F,'재고이동로그'!C:C,$A138,'재고이동로그'!E:E,"4층지원실"),0)</f>
        <v>0</v>
      </c>
      <c r="V138" s="59">
        <f>IFERROR(SUMIFS('재고이동로그'!F:F,'재고이동로그'!C:C,$A138,'재고이동로그'!E:E,"8층지원실"),0)</f>
        <v>0</v>
      </c>
      <c r="W138" s="83">
        <f t="shared" ref="W138:Y138" si="141">B138+E138-I138+M138-Q138+T138</f>
        <v>0</v>
      </c>
      <c r="X138" s="83">
        <f t="shared" si="141"/>
        <v>0</v>
      </c>
      <c r="Y138" s="83">
        <f t="shared" si="141"/>
        <v>0</v>
      </c>
      <c r="Z138" s="84">
        <f t="shared" si="6"/>
        <v>0</v>
      </c>
      <c r="AA138" s="59" t="str">
        <f t="shared" si="7"/>
        <v>부족</v>
      </c>
      <c r="AB138" s="59"/>
      <c r="AC138" s="59"/>
      <c r="AD138" s="59"/>
      <c r="AE138" s="59"/>
      <c r="AF138" s="59"/>
    </row>
    <row r="139" ht="15.75" customHeight="1">
      <c r="A139" s="59"/>
      <c r="B139" s="77">
        <f>IFERROR(SUMIFS('교재재고'!C:C,'교재재고'!B:B,$A139),0)</f>
        <v>0</v>
      </c>
      <c r="C139" s="77">
        <f>IFERROR(SUMIFS('교재재고'!D:D,'교재재고'!B:B,$A139),0)</f>
        <v>0</v>
      </c>
      <c r="D139" s="77">
        <f>IFERROR(SUMIFS('교재재고'!E:E,'교재재고'!B:B,$A139),0)</f>
        <v>0</v>
      </c>
      <c r="E139" s="78">
        <f>IFERROR(SUMIFS('교재재고'!F:F,'교재재고'!B:B,$A139),0)
+IFERROR(SUMIFS('교재재고'!I:I,'교재재고'!B:B,$A139),0)
+IFERROR(SUMIFS('교재재고'!L:L,'교재재고'!B:B,$A139),0)
+IFERROR(SUMIFS('교재재고'!O:O,'교재재고'!B:B,$A139),0)
+IFERROR(SUMIFS('교재재고'!R:R,'교재재고'!B:B,$A139),0)</f>
        <v>0</v>
      </c>
      <c r="F139" s="79">
        <f>IFERROR(SUMIFS('교재재고'!G:G,'교재재고'!B:B,$A139),0)
+IFERROR(SUMIFS('교재재고'!J:J,'교재재고'!B:B,$A139),0)
+IFERROR(SUMIFS('교재재고'!M:M,'교재재고'!B:B,$A139),0)
+IFERROR(SUMIFS('교재재고'!P:P,'교재재고'!B:B,$A139),0)
+IFERROR(SUMIFS('교재재고'!S:S,'교재재고'!B:B,$A139),0)</f>
        <v>0</v>
      </c>
      <c r="G139" s="79">
        <f>IFERROR(SUMIFS('교재재고'!H:H,'교재재고'!B:B,$A139),0)
+IFERROR(SUMIFS('교재재고'!K:K,'교재재고'!B:B,$A139),0)
+IFERROR(SUMIFS('교재재고'!N:N,'교재재고'!B:B,$A139),0)
+IFERROR(SUMIFS('교재재고'!Q:Q,'교재재고'!B:B,$A139),0)
+IFERROR(SUMIFS('교재재고'!T:T,'교재재고'!B:B,$A139),0)</f>
        <v>0</v>
      </c>
      <c r="H139" s="79">
        <f t="shared" si="2"/>
        <v>0</v>
      </c>
      <c r="I139" s="80">
        <f>IFERROR(SUMIFS('배부로그'!G:G,'배부로그'!D:D,$A139,'배부로그'!F:F,"창고"),0)</f>
        <v>0</v>
      </c>
      <c r="J139" s="59">
        <f>IFERROR(SUMIFS('배부로그'!G:G,'배부로그'!D:D,$A139,'배부로그'!F:F,"4층지원실"),0)</f>
        <v>0</v>
      </c>
      <c r="K139" s="59">
        <f>IFERROR(SUMIFS('배부로그'!G:G,'배부로그'!D:D,$A139,'배부로그'!F:F,"8층지원실"),0)</f>
        <v>0</v>
      </c>
      <c r="L139" s="81">
        <f t="shared" si="3"/>
        <v>0</v>
      </c>
      <c r="M139" s="59">
        <f>IFERROR(SUMIFS('회수로그'!H:H,'회수로그'!E:E,$A139,'회수로그'!G:G,"창고"),0)</f>
        <v>0</v>
      </c>
      <c r="N139" s="59">
        <f>IFERROR(SUMIFS('회수로그'!H:H,'회수로그'!E:E,$A139,'회수로그'!G:G,"4층지원실"),0)</f>
        <v>0</v>
      </c>
      <c r="O139" s="59">
        <f>IFERROR(SUMIFS('회수로그'!H:H,'회수로그'!E:E,$A139,'회수로그'!G:G,"8층지원실"),0)</f>
        <v>0</v>
      </c>
      <c r="P139" s="59">
        <f t="shared" si="4"/>
        <v>0</v>
      </c>
      <c r="Q139" s="59">
        <f>IFERROR(SUMIFS('재고이동로그'!F:F,'재고이동로그'!C:C,$A139,'재고이동로그'!D:D,"창고"),0)</f>
        <v>0</v>
      </c>
      <c r="R139" s="59">
        <f>IFERROR(SUMIFS('재고이동로그'!F:F,'재고이동로그'!C:C,$A139,'재고이동로그'!E:E,"4층지원실"),0)</f>
        <v>0</v>
      </c>
      <c r="S139" s="82">
        <f>IFERROR(SUMIFS('재고이동로그'!F:F,'재고이동로그'!C:C,$A139,'재고이동로그'!E:E,"8층지원실"),0)</f>
        <v>0</v>
      </c>
      <c r="T139" s="59">
        <f>IFERROR(SUMIFS('재고이동로그'!F:F,'재고이동로그'!C:C,$A139,'재고이동로그'!E:E,"창고"),0)</f>
        <v>0</v>
      </c>
      <c r="U139" s="59">
        <f>IFERROR(SUMIFS('재고이동로그'!F:F,'재고이동로그'!C:C,$A139,'재고이동로그'!E:E,"4층지원실"),0)</f>
        <v>0</v>
      </c>
      <c r="V139" s="59">
        <f>IFERROR(SUMIFS('재고이동로그'!F:F,'재고이동로그'!C:C,$A139,'재고이동로그'!E:E,"8층지원실"),0)</f>
        <v>0</v>
      </c>
      <c r="W139" s="83">
        <f t="shared" ref="W139:Y139" si="142">B139+E139-I139+M139-Q139+T139</f>
        <v>0</v>
      </c>
      <c r="X139" s="83">
        <f t="shared" si="142"/>
        <v>0</v>
      </c>
      <c r="Y139" s="83">
        <f t="shared" si="142"/>
        <v>0</v>
      </c>
      <c r="Z139" s="84">
        <f t="shared" si="6"/>
        <v>0</v>
      </c>
      <c r="AA139" s="59" t="str">
        <f t="shared" si="7"/>
        <v>부족</v>
      </c>
      <c r="AB139" s="59"/>
      <c r="AC139" s="59"/>
      <c r="AD139" s="59"/>
      <c r="AE139" s="59"/>
      <c r="AF139" s="59"/>
    </row>
    <row r="140" ht="15.75" customHeight="1">
      <c r="A140" s="59"/>
      <c r="B140" s="77">
        <f>IFERROR(SUMIFS('교재재고'!C:C,'교재재고'!B:B,$A140),0)</f>
        <v>0</v>
      </c>
      <c r="C140" s="77">
        <f>IFERROR(SUMIFS('교재재고'!D:D,'교재재고'!B:B,$A140),0)</f>
        <v>0</v>
      </c>
      <c r="D140" s="77">
        <f>IFERROR(SUMIFS('교재재고'!E:E,'교재재고'!B:B,$A140),0)</f>
        <v>0</v>
      </c>
      <c r="E140" s="78">
        <f>IFERROR(SUMIFS('교재재고'!F:F,'교재재고'!B:B,$A140),0)
+IFERROR(SUMIFS('교재재고'!I:I,'교재재고'!B:B,$A140),0)
+IFERROR(SUMIFS('교재재고'!L:L,'교재재고'!B:B,$A140),0)
+IFERROR(SUMIFS('교재재고'!O:O,'교재재고'!B:B,$A140),0)
+IFERROR(SUMIFS('교재재고'!R:R,'교재재고'!B:B,$A140),0)</f>
        <v>0</v>
      </c>
      <c r="F140" s="79">
        <f>IFERROR(SUMIFS('교재재고'!G:G,'교재재고'!B:B,$A140),0)
+IFERROR(SUMIFS('교재재고'!J:J,'교재재고'!B:B,$A140),0)
+IFERROR(SUMIFS('교재재고'!M:M,'교재재고'!B:B,$A140),0)
+IFERROR(SUMIFS('교재재고'!P:P,'교재재고'!B:B,$A140),0)
+IFERROR(SUMIFS('교재재고'!S:S,'교재재고'!B:B,$A140),0)</f>
        <v>0</v>
      </c>
      <c r="G140" s="79">
        <f>IFERROR(SUMIFS('교재재고'!H:H,'교재재고'!B:B,$A140),0)
+IFERROR(SUMIFS('교재재고'!K:K,'교재재고'!B:B,$A140),0)
+IFERROR(SUMIFS('교재재고'!N:N,'교재재고'!B:B,$A140),0)
+IFERROR(SUMIFS('교재재고'!Q:Q,'교재재고'!B:B,$A140),0)
+IFERROR(SUMIFS('교재재고'!T:T,'교재재고'!B:B,$A140),0)</f>
        <v>0</v>
      </c>
      <c r="H140" s="79">
        <f t="shared" si="2"/>
        <v>0</v>
      </c>
      <c r="I140" s="80">
        <f>IFERROR(SUMIFS('배부로그'!G:G,'배부로그'!D:D,$A140,'배부로그'!F:F,"창고"),0)</f>
        <v>0</v>
      </c>
      <c r="J140" s="59">
        <f>IFERROR(SUMIFS('배부로그'!G:G,'배부로그'!D:D,$A140,'배부로그'!F:F,"4층지원실"),0)</f>
        <v>0</v>
      </c>
      <c r="K140" s="59">
        <f>IFERROR(SUMIFS('배부로그'!G:G,'배부로그'!D:D,$A140,'배부로그'!F:F,"8층지원실"),0)</f>
        <v>0</v>
      </c>
      <c r="L140" s="81">
        <f t="shared" si="3"/>
        <v>0</v>
      </c>
      <c r="M140" s="59">
        <f>IFERROR(SUMIFS('회수로그'!H:H,'회수로그'!E:E,$A140,'회수로그'!G:G,"창고"),0)</f>
        <v>0</v>
      </c>
      <c r="N140" s="59">
        <f>IFERROR(SUMIFS('회수로그'!H:H,'회수로그'!E:E,$A140,'회수로그'!G:G,"4층지원실"),0)</f>
        <v>0</v>
      </c>
      <c r="O140" s="59">
        <f>IFERROR(SUMIFS('회수로그'!H:H,'회수로그'!E:E,$A140,'회수로그'!G:G,"8층지원실"),0)</f>
        <v>0</v>
      </c>
      <c r="P140" s="59">
        <f t="shared" si="4"/>
        <v>0</v>
      </c>
      <c r="Q140" s="59">
        <f>IFERROR(SUMIFS('재고이동로그'!F:F,'재고이동로그'!C:C,$A140,'재고이동로그'!D:D,"창고"),0)</f>
        <v>0</v>
      </c>
      <c r="R140" s="59">
        <f>IFERROR(SUMIFS('재고이동로그'!F:F,'재고이동로그'!C:C,$A140,'재고이동로그'!E:E,"4층지원실"),0)</f>
        <v>0</v>
      </c>
      <c r="S140" s="82">
        <f>IFERROR(SUMIFS('재고이동로그'!F:F,'재고이동로그'!C:C,$A140,'재고이동로그'!E:E,"8층지원실"),0)</f>
        <v>0</v>
      </c>
      <c r="T140" s="59">
        <f>IFERROR(SUMIFS('재고이동로그'!F:F,'재고이동로그'!C:C,$A140,'재고이동로그'!E:E,"창고"),0)</f>
        <v>0</v>
      </c>
      <c r="U140" s="59">
        <f>IFERROR(SUMIFS('재고이동로그'!F:F,'재고이동로그'!C:C,$A140,'재고이동로그'!E:E,"4층지원실"),0)</f>
        <v>0</v>
      </c>
      <c r="V140" s="59">
        <f>IFERROR(SUMIFS('재고이동로그'!F:F,'재고이동로그'!C:C,$A140,'재고이동로그'!E:E,"8층지원실"),0)</f>
        <v>0</v>
      </c>
      <c r="W140" s="83">
        <f t="shared" ref="W140:Y140" si="143">B140+E140-I140+M140-Q140+T140</f>
        <v>0</v>
      </c>
      <c r="X140" s="83">
        <f t="shared" si="143"/>
        <v>0</v>
      </c>
      <c r="Y140" s="83">
        <f t="shared" si="143"/>
        <v>0</v>
      </c>
      <c r="Z140" s="84">
        <f t="shared" si="6"/>
        <v>0</v>
      </c>
      <c r="AA140" s="59" t="str">
        <f t="shared" si="7"/>
        <v>부족</v>
      </c>
      <c r="AB140" s="59"/>
      <c r="AC140" s="59"/>
      <c r="AD140" s="59"/>
      <c r="AE140" s="59"/>
      <c r="AF140" s="59"/>
    </row>
    <row r="141" ht="15.75" customHeight="1">
      <c r="A141" s="59"/>
      <c r="B141" s="77">
        <f>IFERROR(SUMIFS('교재재고'!C:C,'교재재고'!B:B,$A141),0)</f>
        <v>0</v>
      </c>
      <c r="C141" s="77">
        <f>IFERROR(SUMIFS('교재재고'!D:D,'교재재고'!B:B,$A141),0)</f>
        <v>0</v>
      </c>
      <c r="D141" s="77">
        <f>IFERROR(SUMIFS('교재재고'!E:E,'교재재고'!B:B,$A141),0)</f>
        <v>0</v>
      </c>
      <c r="E141" s="78">
        <f>IFERROR(SUMIFS('교재재고'!F:F,'교재재고'!B:B,$A141),0)
+IFERROR(SUMIFS('교재재고'!I:I,'교재재고'!B:B,$A141),0)
+IFERROR(SUMIFS('교재재고'!L:L,'교재재고'!B:B,$A141),0)
+IFERROR(SUMIFS('교재재고'!O:O,'교재재고'!B:B,$A141),0)
+IFERROR(SUMIFS('교재재고'!R:R,'교재재고'!B:B,$A141),0)</f>
        <v>0</v>
      </c>
      <c r="F141" s="79">
        <f>IFERROR(SUMIFS('교재재고'!G:G,'교재재고'!B:B,$A141),0)
+IFERROR(SUMIFS('교재재고'!J:J,'교재재고'!B:B,$A141),0)
+IFERROR(SUMIFS('교재재고'!M:M,'교재재고'!B:B,$A141),0)
+IFERROR(SUMIFS('교재재고'!P:P,'교재재고'!B:B,$A141),0)
+IFERROR(SUMIFS('교재재고'!S:S,'교재재고'!B:B,$A141),0)</f>
        <v>0</v>
      </c>
      <c r="G141" s="79">
        <f>IFERROR(SUMIFS('교재재고'!H:H,'교재재고'!B:B,$A141),0)
+IFERROR(SUMIFS('교재재고'!K:K,'교재재고'!B:B,$A141),0)
+IFERROR(SUMIFS('교재재고'!N:N,'교재재고'!B:B,$A141),0)
+IFERROR(SUMIFS('교재재고'!Q:Q,'교재재고'!B:B,$A141),0)
+IFERROR(SUMIFS('교재재고'!T:T,'교재재고'!B:B,$A141),0)</f>
        <v>0</v>
      </c>
      <c r="H141" s="79">
        <f t="shared" si="2"/>
        <v>0</v>
      </c>
      <c r="I141" s="80">
        <f>IFERROR(SUMIFS('배부로그'!G:G,'배부로그'!D:D,$A141,'배부로그'!F:F,"창고"),0)</f>
        <v>0</v>
      </c>
      <c r="J141" s="59">
        <f>IFERROR(SUMIFS('배부로그'!G:G,'배부로그'!D:D,$A141,'배부로그'!F:F,"4층지원실"),0)</f>
        <v>0</v>
      </c>
      <c r="K141" s="59">
        <f>IFERROR(SUMIFS('배부로그'!G:G,'배부로그'!D:D,$A141,'배부로그'!F:F,"8층지원실"),0)</f>
        <v>0</v>
      </c>
      <c r="L141" s="81">
        <f t="shared" si="3"/>
        <v>0</v>
      </c>
      <c r="M141" s="59">
        <f>IFERROR(SUMIFS('회수로그'!H:H,'회수로그'!E:E,$A141,'회수로그'!G:G,"창고"),0)</f>
        <v>0</v>
      </c>
      <c r="N141" s="59">
        <f>IFERROR(SUMIFS('회수로그'!H:H,'회수로그'!E:E,$A141,'회수로그'!G:G,"4층지원실"),0)</f>
        <v>0</v>
      </c>
      <c r="O141" s="59">
        <f>IFERROR(SUMIFS('회수로그'!H:H,'회수로그'!E:E,$A141,'회수로그'!G:G,"8층지원실"),0)</f>
        <v>0</v>
      </c>
      <c r="P141" s="59">
        <f t="shared" si="4"/>
        <v>0</v>
      </c>
      <c r="Q141" s="59">
        <f>IFERROR(SUMIFS('재고이동로그'!F:F,'재고이동로그'!C:C,$A141,'재고이동로그'!D:D,"창고"),0)</f>
        <v>0</v>
      </c>
      <c r="R141" s="59">
        <f>IFERROR(SUMIFS('재고이동로그'!F:F,'재고이동로그'!C:C,$A141,'재고이동로그'!E:E,"4층지원실"),0)</f>
        <v>0</v>
      </c>
      <c r="S141" s="82">
        <f>IFERROR(SUMIFS('재고이동로그'!F:F,'재고이동로그'!C:C,$A141,'재고이동로그'!E:E,"8층지원실"),0)</f>
        <v>0</v>
      </c>
      <c r="T141" s="59">
        <f>IFERROR(SUMIFS('재고이동로그'!F:F,'재고이동로그'!C:C,$A141,'재고이동로그'!E:E,"창고"),0)</f>
        <v>0</v>
      </c>
      <c r="U141" s="59">
        <f>IFERROR(SUMIFS('재고이동로그'!F:F,'재고이동로그'!C:C,$A141,'재고이동로그'!E:E,"4층지원실"),0)</f>
        <v>0</v>
      </c>
      <c r="V141" s="59">
        <f>IFERROR(SUMIFS('재고이동로그'!F:F,'재고이동로그'!C:C,$A141,'재고이동로그'!E:E,"8층지원실"),0)</f>
        <v>0</v>
      </c>
      <c r="W141" s="83">
        <f t="shared" ref="W141:Y141" si="144">B141+E141-I141+M141-Q141+T141</f>
        <v>0</v>
      </c>
      <c r="X141" s="83">
        <f t="shared" si="144"/>
        <v>0</v>
      </c>
      <c r="Y141" s="83">
        <f t="shared" si="144"/>
        <v>0</v>
      </c>
      <c r="Z141" s="84">
        <f t="shared" si="6"/>
        <v>0</v>
      </c>
      <c r="AA141" s="59" t="str">
        <f t="shared" si="7"/>
        <v>부족</v>
      </c>
      <c r="AB141" s="59"/>
      <c r="AC141" s="59"/>
      <c r="AD141" s="59"/>
      <c r="AE141" s="59"/>
      <c r="AF141" s="59"/>
    </row>
    <row r="142" ht="15.75" customHeight="1">
      <c r="A142" s="59"/>
      <c r="B142" s="77">
        <f>IFERROR(SUMIFS('교재재고'!C:C,'교재재고'!B:B,$A142),0)</f>
        <v>0</v>
      </c>
      <c r="C142" s="77">
        <f>IFERROR(SUMIFS('교재재고'!D:D,'교재재고'!B:B,$A142),0)</f>
        <v>0</v>
      </c>
      <c r="D142" s="77">
        <f>IFERROR(SUMIFS('교재재고'!E:E,'교재재고'!B:B,$A142),0)</f>
        <v>0</v>
      </c>
      <c r="E142" s="78">
        <f>IFERROR(SUMIFS('교재재고'!F:F,'교재재고'!B:B,$A142),0)
+IFERROR(SUMIFS('교재재고'!I:I,'교재재고'!B:B,$A142),0)
+IFERROR(SUMIFS('교재재고'!L:L,'교재재고'!B:B,$A142),0)
+IFERROR(SUMIFS('교재재고'!O:O,'교재재고'!B:B,$A142),0)
+IFERROR(SUMIFS('교재재고'!R:R,'교재재고'!B:B,$A142),0)</f>
        <v>0</v>
      </c>
      <c r="F142" s="79">
        <f>IFERROR(SUMIFS('교재재고'!G:G,'교재재고'!B:B,$A142),0)
+IFERROR(SUMIFS('교재재고'!J:J,'교재재고'!B:B,$A142),0)
+IFERROR(SUMIFS('교재재고'!M:M,'교재재고'!B:B,$A142),0)
+IFERROR(SUMIFS('교재재고'!P:P,'교재재고'!B:B,$A142),0)
+IFERROR(SUMIFS('교재재고'!S:S,'교재재고'!B:B,$A142),0)</f>
        <v>0</v>
      </c>
      <c r="G142" s="79">
        <f>IFERROR(SUMIFS('교재재고'!H:H,'교재재고'!B:B,$A142),0)
+IFERROR(SUMIFS('교재재고'!K:K,'교재재고'!B:B,$A142),0)
+IFERROR(SUMIFS('교재재고'!N:N,'교재재고'!B:B,$A142),0)
+IFERROR(SUMIFS('교재재고'!Q:Q,'교재재고'!B:B,$A142),0)
+IFERROR(SUMIFS('교재재고'!T:T,'교재재고'!B:B,$A142),0)</f>
        <v>0</v>
      </c>
      <c r="H142" s="79">
        <f t="shared" si="2"/>
        <v>0</v>
      </c>
      <c r="I142" s="80">
        <f>IFERROR(SUMIFS('배부로그'!G:G,'배부로그'!D:D,$A142,'배부로그'!F:F,"창고"),0)</f>
        <v>0</v>
      </c>
      <c r="J142" s="59">
        <f>IFERROR(SUMIFS('배부로그'!G:G,'배부로그'!D:D,$A142,'배부로그'!F:F,"4층지원실"),0)</f>
        <v>0</v>
      </c>
      <c r="K142" s="59">
        <f>IFERROR(SUMIFS('배부로그'!G:G,'배부로그'!D:D,$A142,'배부로그'!F:F,"8층지원실"),0)</f>
        <v>0</v>
      </c>
      <c r="L142" s="81">
        <f t="shared" si="3"/>
        <v>0</v>
      </c>
      <c r="M142" s="59">
        <f>IFERROR(SUMIFS('회수로그'!H:H,'회수로그'!E:E,$A142,'회수로그'!G:G,"창고"),0)</f>
        <v>0</v>
      </c>
      <c r="N142" s="59">
        <f>IFERROR(SUMIFS('회수로그'!H:H,'회수로그'!E:E,$A142,'회수로그'!G:G,"4층지원실"),0)</f>
        <v>0</v>
      </c>
      <c r="O142" s="59">
        <f>IFERROR(SUMIFS('회수로그'!H:H,'회수로그'!E:E,$A142,'회수로그'!G:G,"8층지원실"),0)</f>
        <v>0</v>
      </c>
      <c r="P142" s="59">
        <f t="shared" si="4"/>
        <v>0</v>
      </c>
      <c r="Q142" s="59">
        <f>IFERROR(SUMIFS('재고이동로그'!F:F,'재고이동로그'!C:C,$A142,'재고이동로그'!D:D,"창고"),0)</f>
        <v>0</v>
      </c>
      <c r="R142" s="59">
        <f>IFERROR(SUMIFS('재고이동로그'!F:F,'재고이동로그'!C:C,$A142,'재고이동로그'!E:E,"4층지원실"),0)</f>
        <v>0</v>
      </c>
      <c r="S142" s="82">
        <f>IFERROR(SUMIFS('재고이동로그'!F:F,'재고이동로그'!C:C,$A142,'재고이동로그'!E:E,"8층지원실"),0)</f>
        <v>0</v>
      </c>
      <c r="T142" s="59">
        <f>IFERROR(SUMIFS('재고이동로그'!F:F,'재고이동로그'!C:C,$A142,'재고이동로그'!E:E,"창고"),0)</f>
        <v>0</v>
      </c>
      <c r="U142" s="59">
        <f>IFERROR(SUMIFS('재고이동로그'!F:F,'재고이동로그'!C:C,$A142,'재고이동로그'!E:E,"4층지원실"),0)</f>
        <v>0</v>
      </c>
      <c r="V142" s="59">
        <f>IFERROR(SUMIFS('재고이동로그'!F:F,'재고이동로그'!C:C,$A142,'재고이동로그'!E:E,"8층지원실"),0)</f>
        <v>0</v>
      </c>
      <c r="W142" s="83">
        <f t="shared" ref="W142:Y142" si="145">B142+E142-I142+M142-Q142+T142</f>
        <v>0</v>
      </c>
      <c r="X142" s="83">
        <f t="shared" si="145"/>
        <v>0</v>
      </c>
      <c r="Y142" s="83">
        <f t="shared" si="145"/>
        <v>0</v>
      </c>
      <c r="Z142" s="84">
        <f t="shared" si="6"/>
        <v>0</v>
      </c>
      <c r="AA142" s="59" t="str">
        <f t="shared" si="7"/>
        <v>부족</v>
      </c>
      <c r="AB142" s="59"/>
      <c r="AC142" s="59"/>
      <c r="AD142" s="59"/>
      <c r="AE142" s="59"/>
      <c r="AF142" s="59"/>
    </row>
    <row r="143" ht="15.75" customHeight="1">
      <c r="A143" s="59"/>
      <c r="B143" s="77">
        <f>IFERROR(SUMIFS('교재재고'!C:C,'교재재고'!B:B,$A143),0)</f>
        <v>0</v>
      </c>
      <c r="C143" s="77">
        <f>IFERROR(SUMIFS('교재재고'!D:D,'교재재고'!B:B,$A143),0)</f>
        <v>0</v>
      </c>
      <c r="D143" s="77">
        <f>IFERROR(SUMIFS('교재재고'!E:E,'교재재고'!B:B,$A143),0)</f>
        <v>0</v>
      </c>
      <c r="E143" s="78">
        <f>IFERROR(SUMIFS('교재재고'!F:F,'교재재고'!B:B,$A143),0)
+IFERROR(SUMIFS('교재재고'!I:I,'교재재고'!B:B,$A143),0)
+IFERROR(SUMIFS('교재재고'!L:L,'교재재고'!B:B,$A143),0)
+IFERROR(SUMIFS('교재재고'!O:O,'교재재고'!B:B,$A143),0)
+IFERROR(SUMIFS('교재재고'!R:R,'교재재고'!B:B,$A143),0)</f>
        <v>0</v>
      </c>
      <c r="F143" s="79">
        <f>IFERROR(SUMIFS('교재재고'!G:G,'교재재고'!B:B,$A143),0)
+IFERROR(SUMIFS('교재재고'!J:J,'교재재고'!B:B,$A143),0)
+IFERROR(SUMIFS('교재재고'!M:M,'교재재고'!B:B,$A143),0)
+IFERROR(SUMIFS('교재재고'!P:P,'교재재고'!B:B,$A143),0)
+IFERROR(SUMIFS('교재재고'!S:S,'교재재고'!B:B,$A143),0)</f>
        <v>0</v>
      </c>
      <c r="G143" s="79">
        <f>IFERROR(SUMIFS('교재재고'!H:H,'교재재고'!B:B,$A143),0)
+IFERROR(SUMIFS('교재재고'!K:K,'교재재고'!B:B,$A143),0)
+IFERROR(SUMIFS('교재재고'!N:N,'교재재고'!B:B,$A143),0)
+IFERROR(SUMIFS('교재재고'!Q:Q,'교재재고'!B:B,$A143),0)
+IFERROR(SUMIFS('교재재고'!T:T,'교재재고'!B:B,$A143),0)</f>
        <v>0</v>
      </c>
      <c r="H143" s="79">
        <f t="shared" si="2"/>
        <v>0</v>
      </c>
      <c r="I143" s="80">
        <f>IFERROR(SUMIFS('배부로그'!G:G,'배부로그'!D:D,$A143,'배부로그'!F:F,"창고"),0)</f>
        <v>0</v>
      </c>
      <c r="J143" s="59">
        <f>IFERROR(SUMIFS('배부로그'!G:G,'배부로그'!D:D,$A143,'배부로그'!F:F,"4층지원실"),0)</f>
        <v>0</v>
      </c>
      <c r="K143" s="59">
        <f>IFERROR(SUMIFS('배부로그'!G:G,'배부로그'!D:D,$A143,'배부로그'!F:F,"8층지원실"),0)</f>
        <v>0</v>
      </c>
      <c r="L143" s="81">
        <f t="shared" si="3"/>
        <v>0</v>
      </c>
      <c r="M143" s="59">
        <f>IFERROR(SUMIFS('회수로그'!H:H,'회수로그'!E:E,$A143,'회수로그'!G:G,"창고"),0)</f>
        <v>0</v>
      </c>
      <c r="N143" s="59">
        <f>IFERROR(SUMIFS('회수로그'!H:H,'회수로그'!E:E,$A143,'회수로그'!G:G,"4층지원실"),0)</f>
        <v>0</v>
      </c>
      <c r="O143" s="59">
        <f>IFERROR(SUMIFS('회수로그'!H:H,'회수로그'!E:E,$A143,'회수로그'!G:G,"8층지원실"),0)</f>
        <v>0</v>
      </c>
      <c r="P143" s="59">
        <f t="shared" si="4"/>
        <v>0</v>
      </c>
      <c r="Q143" s="59">
        <f>IFERROR(SUMIFS('재고이동로그'!F:F,'재고이동로그'!C:C,$A143,'재고이동로그'!D:D,"창고"),0)</f>
        <v>0</v>
      </c>
      <c r="R143" s="59">
        <f>IFERROR(SUMIFS('재고이동로그'!F:F,'재고이동로그'!C:C,$A143,'재고이동로그'!E:E,"4층지원실"),0)</f>
        <v>0</v>
      </c>
      <c r="S143" s="82">
        <f>IFERROR(SUMIFS('재고이동로그'!F:F,'재고이동로그'!C:C,$A143,'재고이동로그'!E:E,"8층지원실"),0)</f>
        <v>0</v>
      </c>
      <c r="T143" s="59">
        <f>IFERROR(SUMIFS('재고이동로그'!F:F,'재고이동로그'!C:C,$A143,'재고이동로그'!E:E,"창고"),0)</f>
        <v>0</v>
      </c>
      <c r="U143" s="59">
        <f>IFERROR(SUMIFS('재고이동로그'!F:F,'재고이동로그'!C:C,$A143,'재고이동로그'!E:E,"4층지원실"),0)</f>
        <v>0</v>
      </c>
      <c r="V143" s="59">
        <f>IFERROR(SUMIFS('재고이동로그'!F:F,'재고이동로그'!C:C,$A143,'재고이동로그'!E:E,"8층지원실"),0)</f>
        <v>0</v>
      </c>
      <c r="W143" s="83">
        <f t="shared" ref="W143:Y143" si="146">B143+E143-I143+M143-Q143+T143</f>
        <v>0</v>
      </c>
      <c r="X143" s="83">
        <f t="shared" si="146"/>
        <v>0</v>
      </c>
      <c r="Y143" s="83">
        <f t="shared" si="146"/>
        <v>0</v>
      </c>
      <c r="Z143" s="84">
        <f t="shared" si="6"/>
        <v>0</v>
      </c>
      <c r="AA143" s="59" t="str">
        <f t="shared" si="7"/>
        <v>부족</v>
      </c>
      <c r="AB143" s="59"/>
      <c r="AC143" s="59"/>
      <c r="AD143" s="59"/>
      <c r="AE143" s="59"/>
      <c r="AF143" s="59"/>
    </row>
    <row r="144" ht="15.75" customHeight="1">
      <c r="A144" s="59"/>
      <c r="B144" s="77">
        <f>IFERROR(SUMIFS('교재재고'!C:C,'교재재고'!B:B,$A144),0)</f>
        <v>0</v>
      </c>
      <c r="C144" s="77">
        <f>IFERROR(SUMIFS('교재재고'!D:D,'교재재고'!B:B,$A144),0)</f>
        <v>0</v>
      </c>
      <c r="D144" s="77">
        <f>IFERROR(SUMIFS('교재재고'!E:E,'교재재고'!B:B,$A144),0)</f>
        <v>0</v>
      </c>
      <c r="E144" s="78">
        <f>IFERROR(SUMIFS('교재재고'!F:F,'교재재고'!B:B,$A144),0)
+IFERROR(SUMIFS('교재재고'!I:I,'교재재고'!B:B,$A144),0)
+IFERROR(SUMIFS('교재재고'!L:L,'교재재고'!B:B,$A144),0)
+IFERROR(SUMIFS('교재재고'!O:O,'교재재고'!B:B,$A144),0)
+IFERROR(SUMIFS('교재재고'!R:R,'교재재고'!B:B,$A144),0)</f>
        <v>0</v>
      </c>
      <c r="F144" s="79">
        <f>IFERROR(SUMIFS('교재재고'!G:G,'교재재고'!B:B,$A144),0)
+IFERROR(SUMIFS('교재재고'!J:J,'교재재고'!B:B,$A144),0)
+IFERROR(SUMIFS('교재재고'!M:M,'교재재고'!B:B,$A144),0)
+IFERROR(SUMIFS('교재재고'!P:P,'교재재고'!B:B,$A144),0)
+IFERROR(SUMIFS('교재재고'!S:S,'교재재고'!B:B,$A144),0)</f>
        <v>0</v>
      </c>
      <c r="G144" s="79">
        <f>IFERROR(SUMIFS('교재재고'!H:H,'교재재고'!B:B,$A144),0)
+IFERROR(SUMIFS('교재재고'!K:K,'교재재고'!B:B,$A144),0)
+IFERROR(SUMIFS('교재재고'!N:N,'교재재고'!B:B,$A144),0)
+IFERROR(SUMIFS('교재재고'!Q:Q,'교재재고'!B:B,$A144),0)
+IFERROR(SUMIFS('교재재고'!T:T,'교재재고'!B:B,$A144),0)</f>
        <v>0</v>
      </c>
      <c r="H144" s="79">
        <f t="shared" si="2"/>
        <v>0</v>
      </c>
      <c r="I144" s="80">
        <f>IFERROR(SUMIFS('배부로그'!G:G,'배부로그'!D:D,$A144,'배부로그'!F:F,"창고"),0)</f>
        <v>0</v>
      </c>
      <c r="J144" s="59">
        <f>IFERROR(SUMIFS('배부로그'!G:G,'배부로그'!D:D,$A144,'배부로그'!F:F,"4층지원실"),0)</f>
        <v>0</v>
      </c>
      <c r="K144" s="59">
        <f>IFERROR(SUMIFS('배부로그'!G:G,'배부로그'!D:D,$A144,'배부로그'!F:F,"8층지원실"),0)</f>
        <v>0</v>
      </c>
      <c r="L144" s="81">
        <f t="shared" si="3"/>
        <v>0</v>
      </c>
      <c r="M144" s="59">
        <f>IFERROR(SUMIFS('회수로그'!H:H,'회수로그'!E:E,$A144,'회수로그'!G:G,"창고"),0)</f>
        <v>0</v>
      </c>
      <c r="N144" s="59">
        <f>IFERROR(SUMIFS('회수로그'!H:H,'회수로그'!E:E,$A144,'회수로그'!G:G,"4층지원실"),0)</f>
        <v>0</v>
      </c>
      <c r="O144" s="59">
        <f>IFERROR(SUMIFS('회수로그'!H:H,'회수로그'!E:E,$A144,'회수로그'!G:G,"8층지원실"),0)</f>
        <v>0</v>
      </c>
      <c r="P144" s="59">
        <f t="shared" si="4"/>
        <v>0</v>
      </c>
      <c r="Q144" s="59">
        <f>IFERROR(SUMIFS('재고이동로그'!F:F,'재고이동로그'!C:C,$A144,'재고이동로그'!D:D,"창고"),0)</f>
        <v>0</v>
      </c>
      <c r="R144" s="59">
        <f>IFERROR(SUMIFS('재고이동로그'!F:F,'재고이동로그'!C:C,$A144,'재고이동로그'!E:E,"4층지원실"),0)</f>
        <v>0</v>
      </c>
      <c r="S144" s="82">
        <f>IFERROR(SUMIFS('재고이동로그'!F:F,'재고이동로그'!C:C,$A144,'재고이동로그'!E:E,"8층지원실"),0)</f>
        <v>0</v>
      </c>
      <c r="T144" s="59">
        <f>IFERROR(SUMIFS('재고이동로그'!F:F,'재고이동로그'!C:C,$A144,'재고이동로그'!E:E,"창고"),0)</f>
        <v>0</v>
      </c>
      <c r="U144" s="59">
        <f>IFERROR(SUMIFS('재고이동로그'!F:F,'재고이동로그'!C:C,$A144,'재고이동로그'!E:E,"4층지원실"),0)</f>
        <v>0</v>
      </c>
      <c r="V144" s="59">
        <f>IFERROR(SUMIFS('재고이동로그'!F:F,'재고이동로그'!C:C,$A144,'재고이동로그'!E:E,"8층지원실"),0)</f>
        <v>0</v>
      </c>
      <c r="W144" s="83">
        <f t="shared" ref="W144:Y144" si="147">B144+E144-I144+M144-Q144+T144</f>
        <v>0</v>
      </c>
      <c r="X144" s="83">
        <f t="shared" si="147"/>
        <v>0</v>
      </c>
      <c r="Y144" s="83">
        <f t="shared" si="147"/>
        <v>0</v>
      </c>
      <c r="Z144" s="84">
        <f t="shared" si="6"/>
        <v>0</v>
      </c>
      <c r="AA144" s="59" t="str">
        <f t="shared" si="7"/>
        <v>부족</v>
      </c>
      <c r="AB144" s="59"/>
      <c r="AC144" s="59"/>
      <c r="AD144" s="59"/>
      <c r="AE144" s="59"/>
      <c r="AF144" s="59"/>
    </row>
    <row r="145" ht="15.75" customHeight="1">
      <c r="A145" s="59"/>
      <c r="B145" s="77">
        <f>IFERROR(SUMIFS('교재재고'!C:C,'교재재고'!B:B,$A145),0)</f>
        <v>0</v>
      </c>
      <c r="C145" s="77">
        <f>IFERROR(SUMIFS('교재재고'!D:D,'교재재고'!B:B,$A145),0)</f>
        <v>0</v>
      </c>
      <c r="D145" s="77">
        <f>IFERROR(SUMIFS('교재재고'!E:E,'교재재고'!B:B,$A145),0)</f>
        <v>0</v>
      </c>
      <c r="E145" s="78">
        <f>IFERROR(SUMIFS('교재재고'!F:F,'교재재고'!B:B,$A145),0)
+IFERROR(SUMIFS('교재재고'!I:I,'교재재고'!B:B,$A145),0)
+IFERROR(SUMIFS('교재재고'!L:L,'교재재고'!B:B,$A145),0)
+IFERROR(SUMIFS('교재재고'!O:O,'교재재고'!B:B,$A145),0)
+IFERROR(SUMIFS('교재재고'!R:R,'교재재고'!B:B,$A145),0)</f>
        <v>0</v>
      </c>
      <c r="F145" s="79">
        <f>IFERROR(SUMIFS('교재재고'!G:G,'교재재고'!B:B,$A145),0)
+IFERROR(SUMIFS('교재재고'!J:J,'교재재고'!B:B,$A145),0)
+IFERROR(SUMIFS('교재재고'!M:M,'교재재고'!B:B,$A145),0)
+IFERROR(SUMIFS('교재재고'!P:P,'교재재고'!B:B,$A145),0)
+IFERROR(SUMIFS('교재재고'!S:S,'교재재고'!B:B,$A145),0)</f>
        <v>0</v>
      </c>
      <c r="G145" s="79">
        <f>IFERROR(SUMIFS('교재재고'!H:H,'교재재고'!B:B,$A145),0)
+IFERROR(SUMIFS('교재재고'!K:K,'교재재고'!B:B,$A145),0)
+IFERROR(SUMIFS('교재재고'!N:N,'교재재고'!B:B,$A145),0)
+IFERROR(SUMIFS('교재재고'!Q:Q,'교재재고'!B:B,$A145),0)
+IFERROR(SUMIFS('교재재고'!T:T,'교재재고'!B:B,$A145),0)</f>
        <v>0</v>
      </c>
      <c r="H145" s="79">
        <f t="shared" si="2"/>
        <v>0</v>
      </c>
      <c r="I145" s="80">
        <f>IFERROR(SUMIFS('배부로그'!G:G,'배부로그'!D:D,$A145,'배부로그'!F:F,"창고"),0)</f>
        <v>0</v>
      </c>
      <c r="J145" s="59">
        <f>IFERROR(SUMIFS('배부로그'!G:G,'배부로그'!D:D,$A145,'배부로그'!F:F,"4층지원실"),0)</f>
        <v>0</v>
      </c>
      <c r="K145" s="59">
        <f>IFERROR(SUMIFS('배부로그'!G:G,'배부로그'!D:D,$A145,'배부로그'!F:F,"8층지원실"),0)</f>
        <v>0</v>
      </c>
      <c r="L145" s="81">
        <f t="shared" si="3"/>
        <v>0</v>
      </c>
      <c r="M145" s="59">
        <f>IFERROR(SUMIFS('회수로그'!H:H,'회수로그'!E:E,$A145,'회수로그'!G:G,"창고"),0)</f>
        <v>0</v>
      </c>
      <c r="N145" s="59">
        <f>IFERROR(SUMIFS('회수로그'!H:H,'회수로그'!E:E,$A145,'회수로그'!G:G,"4층지원실"),0)</f>
        <v>0</v>
      </c>
      <c r="O145" s="59">
        <f>IFERROR(SUMIFS('회수로그'!H:H,'회수로그'!E:E,$A145,'회수로그'!G:G,"8층지원실"),0)</f>
        <v>0</v>
      </c>
      <c r="P145" s="59">
        <f t="shared" si="4"/>
        <v>0</v>
      </c>
      <c r="Q145" s="59">
        <f>IFERROR(SUMIFS('재고이동로그'!F:F,'재고이동로그'!C:C,$A145,'재고이동로그'!D:D,"창고"),0)</f>
        <v>0</v>
      </c>
      <c r="R145" s="59">
        <f>IFERROR(SUMIFS('재고이동로그'!F:F,'재고이동로그'!C:C,$A145,'재고이동로그'!E:E,"4층지원실"),0)</f>
        <v>0</v>
      </c>
      <c r="S145" s="82">
        <f>IFERROR(SUMIFS('재고이동로그'!F:F,'재고이동로그'!C:C,$A145,'재고이동로그'!E:E,"8층지원실"),0)</f>
        <v>0</v>
      </c>
      <c r="T145" s="59">
        <f>IFERROR(SUMIFS('재고이동로그'!F:F,'재고이동로그'!C:C,$A145,'재고이동로그'!E:E,"창고"),0)</f>
        <v>0</v>
      </c>
      <c r="U145" s="59">
        <f>IFERROR(SUMIFS('재고이동로그'!F:F,'재고이동로그'!C:C,$A145,'재고이동로그'!E:E,"4층지원실"),0)</f>
        <v>0</v>
      </c>
      <c r="V145" s="59">
        <f>IFERROR(SUMIFS('재고이동로그'!F:F,'재고이동로그'!C:C,$A145,'재고이동로그'!E:E,"8층지원실"),0)</f>
        <v>0</v>
      </c>
      <c r="W145" s="83">
        <f t="shared" ref="W145:Y145" si="148">B145+E145-I145+M145-Q145+T145</f>
        <v>0</v>
      </c>
      <c r="X145" s="83">
        <f t="shared" si="148"/>
        <v>0</v>
      </c>
      <c r="Y145" s="83">
        <f t="shared" si="148"/>
        <v>0</v>
      </c>
      <c r="Z145" s="84">
        <f t="shared" si="6"/>
        <v>0</v>
      </c>
      <c r="AA145" s="59" t="str">
        <f t="shared" si="7"/>
        <v>부족</v>
      </c>
      <c r="AB145" s="59"/>
      <c r="AC145" s="59"/>
      <c r="AD145" s="59"/>
      <c r="AE145" s="59"/>
      <c r="AF145" s="59"/>
    </row>
    <row r="146" ht="15.75" customHeight="1">
      <c r="A146" s="59"/>
      <c r="B146" s="77">
        <f>IFERROR(SUMIFS('교재재고'!C:C,'교재재고'!B:B,$A146),0)</f>
        <v>0</v>
      </c>
      <c r="C146" s="77">
        <f>IFERROR(SUMIFS('교재재고'!D:D,'교재재고'!B:B,$A146),0)</f>
        <v>0</v>
      </c>
      <c r="D146" s="77">
        <f>IFERROR(SUMIFS('교재재고'!E:E,'교재재고'!B:B,$A146),0)</f>
        <v>0</v>
      </c>
      <c r="E146" s="78">
        <f>IFERROR(SUMIFS('교재재고'!F:F,'교재재고'!B:B,$A146),0)
+IFERROR(SUMIFS('교재재고'!I:I,'교재재고'!B:B,$A146),0)
+IFERROR(SUMIFS('교재재고'!L:L,'교재재고'!B:B,$A146),0)
+IFERROR(SUMIFS('교재재고'!O:O,'교재재고'!B:B,$A146),0)
+IFERROR(SUMIFS('교재재고'!R:R,'교재재고'!B:B,$A146),0)</f>
        <v>0</v>
      </c>
      <c r="F146" s="79">
        <f>IFERROR(SUMIFS('교재재고'!G:G,'교재재고'!B:B,$A146),0)
+IFERROR(SUMIFS('교재재고'!J:J,'교재재고'!B:B,$A146),0)
+IFERROR(SUMIFS('교재재고'!M:M,'교재재고'!B:B,$A146),0)
+IFERROR(SUMIFS('교재재고'!P:P,'교재재고'!B:B,$A146),0)
+IFERROR(SUMIFS('교재재고'!S:S,'교재재고'!B:B,$A146),0)</f>
        <v>0</v>
      </c>
      <c r="G146" s="79">
        <f>IFERROR(SUMIFS('교재재고'!H:H,'교재재고'!B:B,$A146),0)
+IFERROR(SUMIFS('교재재고'!K:K,'교재재고'!B:B,$A146),0)
+IFERROR(SUMIFS('교재재고'!N:N,'교재재고'!B:B,$A146),0)
+IFERROR(SUMIFS('교재재고'!Q:Q,'교재재고'!B:B,$A146),0)
+IFERROR(SUMIFS('교재재고'!T:T,'교재재고'!B:B,$A146),0)</f>
        <v>0</v>
      </c>
      <c r="H146" s="79">
        <f t="shared" si="2"/>
        <v>0</v>
      </c>
      <c r="I146" s="80">
        <f>IFERROR(SUMIFS('배부로그'!G:G,'배부로그'!D:D,$A146,'배부로그'!F:F,"창고"),0)</f>
        <v>0</v>
      </c>
      <c r="J146" s="59">
        <f>IFERROR(SUMIFS('배부로그'!G:G,'배부로그'!D:D,$A146,'배부로그'!F:F,"4층지원실"),0)</f>
        <v>0</v>
      </c>
      <c r="K146" s="59">
        <f>IFERROR(SUMIFS('배부로그'!G:G,'배부로그'!D:D,$A146,'배부로그'!F:F,"8층지원실"),0)</f>
        <v>0</v>
      </c>
      <c r="L146" s="81">
        <f t="shared" si="3"/>
        <v>0</v>
      </c>
      <c r="M146" s="59">
        <f>IFERROR(SUMIFS('회수로그'!H:H,'회수로그'!E:E,$A146,'회수로그'!G:G,"창고"),0)</f>
        <v>0</v>
      </c>
      <c r="N146" s="59">
        <f>IFERROR(SUMIFS('회수로그'!H:H,'회수로그'!E:E,$A146,'회수로그'!G:G,"4층지원실"),0)</f>
        <v>0</v>
      </c>
      <c r="O146" s="59">
        <f>IFERROR(SUMIFS('회수로그'!H:H,'회수로그'!E:E,$A146,'회수로그'!G:G,"8층지원실"),0)</f>
        <v>0</v>
      </c>
      <c r="P146" s="59">
        <f t="shared" si="4"/>
        <v>0</v>
      </c>
      <c r="Q146" s="59">
        <f>IFERROR(SUMIFS('재고이동로그'!F:F,'재고이동로그'!C:C,$A146,'재고이동로그'!D:D,"창고"),0)</f>
        <v>0</v>
      </c>
      <c r="R146" s="59">
        <f>IFERROR(SUMIFS('재고이동로그'!F:F,'재고이동로그'!C:C,$A146,'재고이동로그'!E:E,"4층지원실"),0)</f>
        <v>0</v>
      </c>
      <c r="S146" s="82">
        <f>IFERROR(SUMIFS('재고이동로그'!F:F,'재고이동로그'!C:C,$A146,'재고이동로그'!E:E,"8층지원실"),0)</f>
        <v>0</v>
      </c>
      <c r="T146" s="59">
        <f>IFERROR(SUMIFS('재고이동로그'!F:F,'재고이동로그'!C:C,$A146,'재고이동로그'!E:E,"창고"),0)</f>
        <v>0</v>
      </c>
      <c r="U146" s="59">
        <f>IFERROR(SUMIFS('재고이동로그'!F:F,'재고이동로그'!C:C,$A146,'재고이동로그'!E:E,"4층지원실"),0)</f>
        <v>0</v>
      </c>
      <c r="V146" s="59">
        <f>IFERROR(SUMIFS('재고이동로그'!F:F,'재고이동로그'!C:C,$A146,'재고이동로그'!E:E,"8층지원실"),0)</f>
        <v>0</v>
      </c>
      <c r="W146" s="83">
        <f t="shared" ref="W146:Y146" si="149">B146+E146-I146+M146-Q146+T146</f>
        <v>0</v>
      </c>
      <c r="X146" s="83">
        <f t="shared" si="149"/>
        <v>0</v>
      </c>
      <c r="Y146" s="83">
        <f t="shared" si="149"/>
        <v>0</v>
      </c>
      <c r="Z146" s="84">
        <f t="shared" si="6"/>
        <v>0</v>
      </c>
      <c r="AA146" s="59" t="str">
        <f t="shared" si="7"/>
        <v>부족</v>
      </c>
      <c r="AB146" s="59"/>
      <c r="AC146" s="59"/>
      <c r="AD146" s="59"/>
      <c r="AE146" s="59"/>
      <c r="AF146" s="59"/>
    </row>
    <row r="147" ht="15.75" customHeight="1">
      <c r="A147" s="59"/>
      <c r="B147" s="77">
        <f>IFERROR(SUMIFS('교재재고'!C:C,'교재재고'!B:B,$A147),0)</f>
        <v>0</v>
      </c>
      <c r="C147" s="77">
        <f>IFERROR(SUMIFS('교재재고'!D:D,'교재재고'!B:B,$A147),0)</f>
        <v>0</v>
      </c>
      <c r="D147" s="77">
        <f>IFERROR(SUMIFS('교재재고'!E:E,'교재재고'!B:B,$A147),0)</f>
        <v>0</v>
      </c>
      <c r="E147" s="78">
        <f>IFERROR(SUMIFS('교재재고'!F:F,'교재재고'!B:B,$A147),0)
+IFERROR(SUMIFS('교재재고'!I:I,'교재재고'!B:B,$A147),0)
+IFERROR(SUMIFS('교재재고'!L:L,'교재재고'!B:B,$A147),0)
+IFERROR(SUMIFS('교재재고'!O:O,'교재재고'!B:B,$A147),0)
+IFERROR(SUMIFS('교재재고'!R:R,'교재재고'!B:B,$A147),0)</f>
        <v>0</v>
      </c>
      <c r="F147" s="79">
        <f>IFERROR(SUMIFS('교재재고'!G:G,'교재재고'!B:B,$A147),0)
+IFERROR(SUMIFS('교재재고'!J:J,'교재재고'!B:B,$A147),0)
+IFERROR(SUMIFS('교재재고'!M:M,'교재재고'!B:B,$A147),0)
+IFERROR(SUMIFS('교재재고'!P:P,'교재재고'!B:B,$A147),0)
+IFERROR(SUMIFS('교재재고'!S:S,'교재재고'!B:B,$A147),0)</f>
        <v>0</v>
      </c>
      <c r="G147" s="79">
        <f>IFERROR(SUMIFS('교재재고'!H:H,'교재재고'!B:B,$A147),0)
+IFERROR(SUMIFS('교재재고'!K:K,'교재재고'!B:B,$A147),0)
+IFERROR(SUMIFS('교재재고'!N:N,'교재재고'!B:B,$A147),0)
+IFERROR(SUMIFS('교재재고'!Q:Q,'교재재고'!B:B,$A147),0)
+IFERROR(SUMIFS('교재재고'!T:T,'교재재고'!B:B,$A147),0)</f>
        <v>0</v>
      </c>
      <c r="H147" s="79">
        <f t="shared" si="2"/>
        <v>0</v>
      </c>
      <c r="I147" s="80">
        <f>IFERROR(SUMIFS('배부로그'!G:G,'배부로그'!D:D,$A147,'배부로그'!F:F,"창고"),0)</f>
        <v>0</v>
      </c>
      <c r="J147" s="59">
        <f>IFERROR(SUMIFS('배부로그'!G:G,'배부로그'!D:D,$A147,'배부로그'!F:F,"4층지원실"),0)</f>
        <v>0</v>
      </c>
      <c r="K147" s="59">
        <f>IFERROR(SUMIFS('배부로그'!G:G,'배부로그'!D:D,$A147,'배부로그'!F:F,"8층지원실"),0)</f>
        <v>0</v>
      </c>
      <c r="L147" s="81">
        <f t="shared" si="3"/>
        <v>0</v>
      </c>
      <c r="M147" s="59">
        <f>IFERROR(SUMIFS('회수로그'!H:H,'회수로그'!E:E,$A147,'회수로그'!G:G,"창고"),0)</f>
        <v>0</v>
      </c>
      <c r="N147" s="59">
        <f>IFERROR(SUMIFS('회수로그'!H:H,'회수로그'!E:E,$A147,'회수로그'!G:G,"4층지원실"),0)</f>
        <v>0</v>
      </c>
      <c r="O147" s="59">
        <f>IFERROR(SUMIFS('회수로그'!H:H,'회수로그'!E:E,$A147,'회수로그'!G:G,"8층지원실"),0)</f>
        <v>0</v>
      </c>
      <c r="P147" s="59">
        <f t="shared" si="4"/>
        <v>0</v>
      </c>
      <c r="Q147" s="59">
        <f>IFERROR(SUMIFS('재고이동로그'!F:F,'재고이동로그'!C:C,$A147,'재고이동로그'!D:D,"창고"),0)</f>
        <v>0</v>
      </c>
      <c r="R147" s="59">
        <f>IFERROR(SUMIFS('재고이동로그'!F:F,'재고이동로그'!C:C,$A147,'재고이동로그'!E:E,"4층지원실"),0)</f>
        <v>0</v>
      </c>
      <c r="S147" s="82">
        <f>IFERROR(SUMIFS('재고이동로그'!F:F,'재고이동로그'!C:C,$A147,'재고이동로그'!E:E,"8층지원실"),0)</f>
        <v>0</v>
      </c>
      <c r="T147" s="59">
        <f>IFERROR(SUMIFS('재고이동로그'!F:F,'재고이동로그'!C:C,$A147,'재고이동로그'!E:E,"창고"),0)</f>
        <v>0</v>
      </c>
      <c r="U147" s="59">
        <f>IFERROR(SUMIFS('재고이동로그'!F:F,'재고이동로그'!C:C,$A147,'재고이동로그'!E:E,"4층지원실"),0)</f>
        <v>0</v>
      </c>
      <c r="V147" s="59">
        <f>IFERROR(SUMIFS('재고이동로그'!F:F,'재고이동로그'!C:C,$A147,'재고이동로그'!E:E,"8층지원실"),0)</f>
        <v>0</v>
      </c>
      <c r="W147" s="83">
        <f t="shared" ref="W147:Y147" si="150">B147+E147-I147+M147-Q147+T147</f>
        <v>0</v>
      </c>
      <c r="X147" s="83">
        <f t="shared" si="150"/>
        <v>0</v>
      </c>
      <c r="Y147" s="83">
        <f t="shared" si="150"/>
        <v>0</v>
      </c>
      <c r="Z147" s="84">
        <f t="shared" si="6"/>
        <v>0</v>
      </c>
      <c r="AA147" s="59" t="str">
        <f t="shared" si="7"/>
        <v>부족</v>
      </c>
      <c r="AB147" s="59"/>
      <c r="AC147" s="59"/>
      <c r="AD147" s="59"/>
      <c r="AE147" s="59"/>
      <c r="AF147" s="59"/>
    </row>
    <row r="148" ht="15.75" customHeight="1">
      <c r="A148" s="59"/>
      <c r="B148" s="77">
        <f>IFERROR(SUMIFS('교재재고'!C:C,'교재재고'!B:B,$A148),0)</f>
        <v>0</v>
      </c>
      <c r="C148" s="77">
        <f>IFERROR(SUMIFS('교재재고'!D:D,'교재재고'!B:B,$A148),0)</f>
        <v>0</v>
      </c>
      <c r="D148" s="77">
        <f>IFERROR(SUMIFS('교재재고'!E:E,'교재재고'!B:B,$A148),0)</f>
        <v>0</v>
      </c>
      <c r="E148" s="78">
        <f>IFERROR(SUMIFS('교재재고'!F:F,'교재재고'!B:B,$A148),0)
+IFERROR(SUMIFS('교재재고'!I:I,'교재재고'!B:B,$A148),0)
+IFERROR(SUMIFS('교재재고'!L:L,'교재재고'!B:B,$A148),0)
+IFERROR(SUMIFS('교재재고'!O:O,'교재재고'!B:B,$A148),0)
+IFERROR(SUMIFS('교재재고'!R:R,'교재재고'!B:B,$A148),0)</f>
        <v>0</v>
      </c>
      <c r="F148" s="79">
        <f>IFERROR(SUMIFS('교재재고'!G:G,'교재재고'!B:B,$A148),0)
+IFERROR(SUMIFS('교재재고'!J:J,'교재재고'!B:B,$A148),0)
+IFERROR(SUMIFS('교재재고'!M:M,'교재재고'!B:B,$A148),0)
+IFERROR(SUMIFS('교재재고'!P:P,'교재재고'!B:B,$A148),0)
+IFERROR(SUMIFS('교재재고'!S:S,'교재재고'!B:B,$A148),0)</f>
        <v>0</v>
      </c>
      <c r="G148" s="79">
        <f>IFERROR(SUMIFS('교재재고'!H:H,'교재재고'!B:B,$A148),0)
+IFERROR(SUMIFS('교재재고'!K:K,'교재재고'!B:B,$A148),0)
+IFERROR(SUMIFS('교재재고'!N:N,'교재재고'!B:B,$A148),0)
+IFERROR(SUMIFS('교재재고'!Q:Q,'교재재고'!B:B,$A148),0)
+IFERROR(SUMIFS('교재재고'!T:T,'교재재고'!B:B,$A148),0)</f>
        <v>0</v>
      </c>
      <c r="H148" s="79">
        <f t="shared" si="2"/>
        <v>0</v>
      </c>
      <c r="I148" s="80">
        <f>IFERROR(SUMIFS('배부로그'!G:G,'배부로그'!D:D,$A148,'배부로그'!F:F,"창고"),0)</f>
        <v>0</v>
      </c>
      <c r="J148" s="59">
        <f>IFERROR(SUMIFS('배부로그'!G:G,'배부로그'!D:D,$A148,'배부로그'!F:F,"4층지원실"),0)</f>
        <v>0</v>
      </c>
      <c r="K148" s="59">
        <f>IFERROR(SUMIFS('배부로그'!G:G,'배부로그'!D:D,$A148,'배부로그'!F:F,"8층지원실"),0)</f>
        <v>0</v>
      </c>
      <c r="L148" s="81">
        <f t="shared" si="3"/>
        <v>0</v>
      </c>
      <c r="M148" s="59">
        <f>IFERROR(SUMIFS('회수로그'!H:H,'회수로그'!E:E,$A148,'회수로그'!G:G,"창고"),0)</f>
        <v>0</v>
      </c>
      <c r="N148" s="59">
        <f>IFERROR(SUMIFS('회수로그'!H:H,'회수로그'!E:E,$A148,'회수로그'!G:G,"4층지원실"),0)</f>
        <v>0</v>
      </c>
      <c r="O148" s="59">
        <f>IFERROR(SUMIFS('회수로그'!H:H,'회수로그'!E:E,$A148,'회수로그'!G:G,"8층지원실"),0)</f>
        <v>0</v>
      </c>
      <c r="P148" s="59">
        <f t="shared" si="4"/>
        <v>0</v>
      </c>
      <c r="Q148" s="59">
        <f>IFERROR(SUMIFS('재고이동로그'!F:F,'재고이동로그'!C:C,$A148,'재고이동로그'!D:D,"창고"),0)</f>
        <v>0</v>
      </c>
      <c r="R148" s="59">
        <f>IFERROR(SUMIFS('재고이동로그'!F:F,'재고이동로그'!C:C,$A148,'재고이동로그'!E:E,"4층지원실"),0)</f>
        <v>0</v>
      </c>
      <c r="S148" s="82">
        <f>IFERROR(SUMIFS('재고이동로그'!F:F,'재고이동로그'!C:C,$A148,'재고이동로그'!E:E,"8층지원실"),0)</f>
        <v>0</v>
      </c>
      <c r="T148" s="59">
        <f>IFERROR(SUMIFS('재고이동로그'!F:F,'재고이동로그'!C:C,$A148,'재고이동로그'!E:E,"창고"),0)</f>
        <v>0</v>
      </c>
      <c r="U148" s="59">
        <f>IFERROR(SUMIFS('재고이동로그'!F:F,'재고이동로그'!C:C,$A148,'재고이동로그'!E:E,"4층지원실"),0)</f>
        <v>0</v>
      </c>
      <c r="V148" s="59">
        <f>IFERROR(SUMIFS('재고이동로그'!F:F,'재고이동로그'!C:C,$A148,'재고이동로그'!E:E,"8층지원실"),0)</f>
        <v>0</v>
      </c>
      <c r="W148" s="83">
        <f t="shared" ref="W148:Y148" si="151">B148+E148-I148+M148-Q148+T148</f>
        <v>0</v>
      </c>
      <c r="X148" s="83">
        <f t="shared" si="151"/>
        <v>0</v>
      </c>
      <c r="Y148" s="83">
        <f t="shared" si="151"/>
        <v>0</v>
      </c>
      <c r="Z148" s="84">
        <f t="shared" si="6"/>
        <v>0</v>
      </c>
      <c r="AA148" s="59" t="str">
        <f t="shared" si="7"/>
        <v>부족</v>
      </c>
      <c r="AB148" s="59"/>
      <c r="AC148" s="59"/>
      <c r="AD148" s="59"/>
      <c r="AE148" s="59"/>
      <c r="AF148" s="59"/>
    </row>
    <row r="149" ht="15.75" customHeight="1">
      <c r="A149" s="59"/>
      <c r="B149" s="77">
        <f>IFERROR(SUMIFS('교재재고'!C:C,'교재재고'!B:B,$A149),0)</f>
        <v>0</v>
      </c>
      <c r="C149" s="77">
        <f>IFERROR(SUMIFS('교재재고'!D:D,'교재재고'!B:B,$A149),0)</f>
        <v>0</v>
      </c>
      <c r="D149" s="77">
        <f>IFERROR(SUMIFS('교재재고'!E:E,'교재재고'!B:B,$A149),0)</f>
        <v>0</v>
      </c>
      <c r="E149" s="78">
        <f>IFERROR(SUMIFS('교재재고'!F:F,'교재재고'!B:B,$A149),0)
+IFERROR(SUMIFS('교재재고'!I:I,'교재재고'!B:B,$A149),0)
+IFERROR(SUMIFS('교재재고'!L:L,'교재재고'!B:B,$A149),0)
+IFERROR(SUMIFS('교재재고'!O:O,'교재재고'!B:B,$A149),0)
+IFERROR(SUMIFS('교재재고'!R:R,'교재재고'!B:B,$A149),0)</f>
        <v>0</v>
      </c>
      <c r="F149" s="79">
        <f>IFERROR(SUMIFS('교재재고'!G:G,'교재재고'!B:B,$A149),0)
+IFERROR(SUMIFS('교재재고'!J:J,'교재재고'!B:B,$A149),0)
+IFERROR(SUMIFS('교재재고'!M:M,'교재재고'!B:B,$A149),0)
+IFERROR(SUMIFS('교재재고'!P:P,'교재재고'!B:B,$A149),0)
+IFERROR(SUMIFS('교재재고'!S:S,'교재재고'!B:B,$A149),0)</f>
        <v>0</v>
      </c>
      <c r="G149" s="79">
        <f>IFERROR(SUMIFS('교재재고'!H:H,'교재재고'!B:B,$A149),0)
+IFERROR(SUMIFS('교재재고'!K:K,'교재재고'!B:B,$A149),0)
+IFERROR(SUMIFS('교재재고'!N:N,'교재재고'!B:B,$A149),0)
+IFERROR(SUMIFS('교재재고'!Q:Q,'교재재고'!B:B,$A149),0)
+IFERROR(SUMIFS('교재재고'!T:T,'교재재고'!B:B,$A149),0)</f>
        <v>0</v>
      </c>
      <c r="H149" s="79">
        <f t="shared" si="2"/>
        <v>0</v>
      </c>
      <c r="I149" s="80">
        <f>IFERROR(SUMIFS('배부로그'!G:G,'배부로그'!D:D,$A149,'배부로그'!F:F,"창고"),0)</f>
        <v>0</v>
      </c>
      <c r="J149" s="59">
        <f>IFERROR(SUMIFS('배부로그'!G:G,'배부로그'!D:D,$A149,'배부로그'!F:F,"4층지원실"),0)</f>
        <v>0</v>
      </c>
      <c r="K149" s="59">
        <f>IFERROR(SUMIFS('배부로그'!G:G,'배부로그'!D:D,$A149,'배부로그'!F:F,"8층지원실"),0)</f>
        <v>0</v>
      </c>
      <c r="L149" s="81">
        <f t="shared" si="3"/>
        <v>0</v>
      </c>
      <c r="M149" s="59">
        <f>IFERROR(SUMIFS('회수로그'!H:H,'회수로그'!E:E,$A149,'회수로그'!G:G,"창고"),0)</f>
        <v>0</v>
      </c>
      <c r="N149" s="59">
        <f>IFERROR(SUMIFS('회수로그'!H:H,'회수로그'!E:E,$A149,'회수로그'!G:G,"4층지원실"),0)</f>
        <v>0</v>
      </c>
      <c r="O149" s="59">
        <f>IFERROR(SUMIFS('회수로그'!H:H,'회수로그'!E:E,$A149,'회수로그'!G:G,"8층지원실"),0)</f>
        <v>0</v>
      </c>
      <c r="P149" s="59">
        <f t="shared" si="4"/>
        <v>0</v>
      </c>
      <c r="Q149" s="59">
        <f>IFERROR(SUMIFS('재고이동로그'!F:F,'재고이동로그'!C:C,$A149,'재고이동로그'!D:D,"창고"),0)</f>
        <v>0</v>
      </c>
      <c r="R149" s="59">
        <f>IFERROR(SUMIFS('재고이동로그'!F:F,'재고이동로그'!C:C,$A149,'재고이동로그'!E:E,"4층지원실"),0)</f>
        <v>0</v>
      </c>
      <c r="S149" s="82">
        <f>IFERROR(SUMIFS('재고이동로그'!F:F,'재고이동로그'!C:C,$A149,'재고이동로그'!E:E,"8층지원실"),0)</f>
        <v>0</v>
      </c>
      <c r="T149" s="59">
        <f>IFERROR(SUMIFS('재고이동로그'!F:F,'재고이동로그'!C:C,$A149,'재고이동로그'!E:E,"창고"),0)</f>
        <v>0</v>
      </c>
      <c r="U149" s="59">
        <f>IFERROR(SUMIFS('재고이동로그'!F:F,'재고이동로그'!C:C,$A149,'재고이동로그'!E:E,"4층지원실"),0)</f>
        <v>0</v>
      </c>
      <c r="V149" s="59">
        <f>IFERROR(SUMIFS('재고이동로그'!F:F,'재고이동로그'!C:C,$A149,'재고이동로그'!E:E,"8층지원실"),0)</f>
        <v>0</v>
      </c>
      <c r="W149" s="83">
        <f t="shared" ref="W149:Y149" si="152">B149+E149-I149+M149-Q149+T149</f>
        <v>0</v>
      </c>
      <c r="X149" s="83">
        <f t="shared" si="152"/>
        <v>0</v>
      </c>
      <c r="Y149" s="83">
        <f t="shared" si="152"/>
        <v>0</v>
      </c>
      <c r="Z149" s="84">
        <f t="shared" si="6"/>
        <v>0</v>
      </c>
      <c r="AA149" s="59" t="str">
        <f t="shared" si="7"/>
        <v>부족</v>
      </c>
      <c r="AB149" s="59"/>
      <c r="AC149" s="59"/>
      <c r="AD149" s="59"/>
      <c r="AE149" s="59"/>
      <c r="AF149" s="59"/>
    </row>
    <row r="150" ht="15.75" customHeight="1">
      <c r="A150" s="59"/>
      <c r="B150" s="77">
        <f>IFERROR(SUMIFS('교재재고'!C:C,'교재재고'!B:B,$A150),0)</f>
        <v>0</v>
      </c>
      <c r="C150" s="77">
        <f>IFERROR(SUMIFS('교재재고'!D:D,'교재재고'!B:B,$A150),0)</f>
        <v>0</v>
      </c>
      <c r="D150" s="77">
        <f>IFERROR(SUMIFS('교재재고'!E:E,'교재재고'!B:B,$A150),0)</f>
        <v>0</v>
      </c>
      <c r="E150" s="78">
        <f>IFERROR(SUMIFS('교재재고'!F:F,'교재재고'!B:B,$A150),0)
+IFERROR(SUMIFS('교재재고'!I:I,'교재재고'!B:B,$A150),0)
+IFERROR(SUMIFS('교재재고'!L:L,'교재재고'!B:B,$A150),0)
+IFERROR(SUMIFS('교재재고'!O:O,'교재재고'!B:B,$A150),0)
+IFERROR(SUMIFS('교재재고'!R:R,'교재재고'!B:B,$A150),0)</f>
        <v>0</v>
      </c>
      <c r="F150" s="79">
        <f>IFERROR(SUMIFS('교재재고'!G:G,'교재재고'!B:B,$A150),0)
+IFERROR(SUMIFS('교재재고'!J:J,'교재재고'!B:B,$A150),0)
+IFERROR(SUMIFS('교재재고'!M:M,'교재재고'!B:B,$A150),0)
+IFERROR(SUMIFS('교재재고'!P:P,'교재재고'!B:B,$A150),0)
+IFERROR(SUMIFS('교재재고'!S:S,'교재재고'!B:B,$A150),0)</f>
        <v>0</v>
      </c>
      <c r="G150" s="79">
        <f>IFERROR(SUMIFS('교재재고'!H:H,'교재재고'!B:B,$A150),0)
+IFERROR(SUMIFS('교재재고'!K:K,'교재재고'!B:B,$A150),0)
+IFERROR(SUMIFS('교재재고'!N:N,'교재재고'!B:B,$A150),0)
+IFERROR(SUMIFS('교재재고'!Q:Q,'교재재고'!B:B,$A150),0)
+IFERROR(SUMIFS('교재재고'!T:T,'교재재고'!B:B,$A150),0)</f>
        <v>0</v>
      </c>
      <c r="H150" s="79">
        <f t="shared" si="2"/>
        <v>0</v>
      </c>
      <c r="I150" s="80">
        <f>IFERROR(SUMIFS('배부로그'!G:G,'배부로그'!D:D,$A150,'배부로그'!F:F,"창고"),0)</f>
        <v>0</v>
      </c>
      <c r="J150" s="59">
        <f>IFERROR(SUMIFS('배부로그'!G:G,'배부로그'!D:D,$A150,'배부로그'!F:F,"4층지원실"),0)</f>
        <v>0</v>
      </c>
      <c r="K150" s="59">
        <f>IFERROR(SUMIFS('배부로그'!G:G,'배부로그'!D:D,$A150,'배부로그'!F:F,"8층지원실"),0)</f>
        <v>0</v>
      </c>
      <c r="L150" s="81">
        <f t="shared" si="3"/>
        <v>0</v>
      </c>
      <c r="M150" s="59">
        <f>IFERROR(SUMIFS('회수로그'!H:H,'회수로그'!E:E,$A150,'회수로그'!G:G,"창고"),0)</f>
        <v>0</v>
      </c>
      <c r="N150" s="59">
        <f>IFERROR(SUMIFS('회수로그'!H:H,'회수로그'!E:E,$A150,'회수로그'!G:G,"4층지원실"),0)</f>
        <v>0</v>
      </c>
      <c r="O150" s="59">
        <f>IFERROR(SUMIFS('회수로그'!H:H,'회수로그'!E:E,$A150,'회수로그'!G:G,"8층지원실"),0)</f>
        <v>0</v>
      </c>
      <c r="P150" s="59">
        <f t="shared" si="4"/>
        <v>0</v>
      </c>
      <c r="Q150" s="59">
        <f>IFERROR(SUMIFS('재고이동로그'!F:F,'재고이동로그'!C:C,$A150,'재고이동로그'!D:D,"창고"),0)</f>
        <v>0</v>
      </c>
      <c r="R150" s="59">
        <f>IFERROR(SUMIFS('재고이동로그'!F:F,'재고이동로그'!C:C,$A150,'재고이동로그'!E:E,"4층지원실"),0)</f>
        <v>0</v>
      </c>
      <c r="S150" s="82">
        <f>IFERROR(SUMIFS('재고이동로그'!F:F,'재고이동로그'!C:C,$A150,'재고이동로그'!E:E,"8층지원실"),0)</f>
        <v>0</v>
      </c>
      <c r="T150" s="59">
        <f>IFERROR(SUMIFS('재고이동로그'!F:F,'재고이동로그'!C:C,$A150,'재고이동로그'!E:E,"창고"),0)</f>
        <v>0</v>
      </c>
      <c r="U150" s="59">
        <f>IFERROR(SUMIFS('재고이동로그'!F:F,'재고이동로그'!C:C,$A150,'재고이동로그'!E:E,"4층지원실"),0)</f>
        <v>0</v>
      </c>
      <c r="V150" s="59">
        <f>IFERROR(SUMIFS('재고이동로그'!F:F,'재고이동로그'!C:C,$A150,'재고이동로그'!E:E,"8층지원실"),0)</f>
        <v>0</v>
      </c>
      <c r="W150" s="83">
        <f t="shared" ref="W150:Y150" si="153">B150+E150-I150+M150-Q150+T150</f>
        <v>0</v>
      </c>
      <c r="X150" s="83">
        <f t="shared" si="153"/>
        <v>0</v>
      </c>
      <c r="Y150" s="83">
        <f t="shared" si="153"/>
        <v>0</v>
      </c>
      <c r="Z150" s="84">
        <f t="shared" si="6"/>
        <v>0</v>
      </c>
      <c r="AA150" s="59" t="str">
        <f t="shared" si="7"/>
        <v>부족</v>
      </c>
      <c r="AB150" s="59"/>
      <c r="AC150" s="59"/>
      <c r="AD150" s="59"/>
      <c r="AE150" s="59"/>
      <c r="AF150" s="59"/>
    </row>
    <row r="151" ht="15.75" customHeight="1">
      <c r="A151" s="59"/>
      <c r="B151" s="77">
        <f>IFERROR(SUMIFS('교재재고'!C:C,'교재재고'!B:B,$A151),0)</f>
        <v>0</v>
      </c>
      <c r="C151" s="77">
        <f>IFERROR(SUMIFS('교재재고'!D:D,'교재재고'!B:B,$A151),0)</f>
        <v>0</v>
      </c>
      <c r="D151" s="77">
        <f>IFERROR(SUMIFS('교재재고'!E:E,'교재재고'!B:B,$A151),0)</f>
        <v>0</v>
      </c>
      <c r="E151" s="78">
        <f>IFERROR(SUMIFS('교재재고'!F:F,'교재재고'!B:B,$A151),0)
+IFERROR(SUMIFS('교재재고'!I:I,'교재재고'!B:B,$A151),0)
+IFERROR(SUMIFS('교재재고'!L:L,'교재재고'!B:B,$A151),0)
+IFERROR(SUMIFS('교재재고'!O:O,'교재재고'!B:B,$A151),0)
+IFERROR(SUMIFS('교재재고'!R:R,'교재재고'!B:B,$A151),0)</f>
        <v>0</v>
      </c>
      <c r="F151" s="79">
        <f>IFERROR(SUMIFS('교재재고'!G:G,'교재재고'!B:B,$A151),0)
+IFERROR(SUMIFS('교재재고'!J:J,'교재재고'!B:B,$A151),0)
+IFERROR(SUMIFS('교재재고'!M:M,'교재재고'!B:B,$A151),0)
+IFERROR(SUMIFS('교재재고'!P:P,'교재재고'!B:B,$A151),0)
+IFERROR(SUMIFS('교재재고'!S:S,'교재재고'!B:B,$A151),0)</f>
        <v>0</v>
      </c>
      <c r="G151" s="79">
        <f>IFERROR(SUMIFS('교재재고'!H:H,'교재재고'!B:B,$A151),0)
+IFERROR(SUMIFS('교재재고'!K:K,'교재재고'!B:B,$A151),0)
+IFERROR(SUMIFS('교재재고'!N:N,'교재재고'!B:B,$A151),0)
+IFERROR(SUMIFS('교재재고'!Q:Q,'교재재고'!B:B,$A151),0)
+IFERROR(SUMIFS('교재재고'!T:T,'교재재고'!B:B,$A151),0)</f>
        <v>0</v>
      </c>
      <c r="H151" s="79">
        <f t="shared" si="2"/>
        <v>0</v>
      </c>
      <c r="I151" s="80">
        <f>IFERROR(SUMIFS('배부로그'!G:G,'배부로그'!D:D,$A151,'배부로그'!F:F,"창고"),0)</f>
        <v>0</v>
      </c>
      <c r="J151" s="59">
        <f>IFERROR(SUMIFS('배부로그'!G:G,'배부로그'!D:D,$A151,'배부로그'!F:F,"4층지원실"),0)</f>
        <v>0</v>
      </c>
      <c r="K151" s="59">
        <f>IFERROR(SUMIFS('배부로그'!G:G,'배부로그'!D:D,$A151,'배부로그'!F:F,"8층지원실"),0)</f>
        <v>0</v>
      </c>
      <c r="L151" s="81">
        <f t="shared" si="3"/>
        <v>0</v>
      </c>
      <c r="M151" s="59">
        <f>IFERROR(SUMIFS('회수로그'!H:H,'회수로그'!E:E,$A151,'회수로그'!G:G,"창고"),0)</f>
        <v>0</v>
      </c>
      <c r="N151" s="59">
        <f>IFERROR(SUMIFS('회수로그'!H:H,'회수로그'!E:E,$A151,'회수로그'!G:G,"4층지원실"),0)</f>
        <v>0</v>
      </c>
      <c r="O151" s="59">
        <f>IFERROR(SUMIFS('회수로그'!H:H,'회수로그'!E:E,$A151,'회수로그'!G:G,"8층지원실"),0)</f>
        <v>0</v>
      </c>
      <c r="P151" s="59">
        <f t="shared" si="4"/>
        <v>0</v>
      </c>
      <c r="Q151" s="59">
        <f>IFERROR(SUMIFS('재고이동로그'!F:F,'재고이동로그'!C:C,$A151,'재고이동로그'!D:D,"창고"),0)</f>
        <v>0</v>
      </c>
      <c r="R151" s="59">
        <f>IFERROR(SUMIFS('재고이동로그'!F:F,'재고이동로그'!C:C,$A151,'재고이동로그'!E:E,"4층지원실"),0)</f>
        <v>0</v>
      </c>
      <c r="S151" s="82">
        <f>IFERROR(SUMIFS('재고이동로그'!F:F,'재고이동로그'!C:C,$A151,'재고이동로그'!E:E,"8층지원실"),0)</f>
        <v>0</v>
      </c>
      <c r="T151" s="59">
        <f>IFERROR(SUMIFS('재고이동로그'!F:F,'재고이동로그'!C:C,$A151,'재고이동로그'!E:E,"창고"),0)</f>
        <v>0</v>
      </c>
      <c r="U151" s="59">
        <f>IFERROR(SUMIFS('재고이동로그'!F:F,'재고이동로그'!C:C,$A151,'재고이동로그'!E:E,"4층지원실"),0)</f>
        <v>0</v>
      </c>
      <c r="V151" s="59">
        <f>IFERROR(SUMIFS('재고이동로그'!F:F,'재고이동로그'!C:C,$A151,'재고이동로그'!E:E,"8층지원실"),0)</f>
        <v>0</v>
      </c>
      <c r="W151" s="83">
        <f t="shared" ref="W151:Y151" si="154">B151+E151-I151+M151-Q151+T151</f>
        <v>0</v>
      </c>
      <c r="X151" s="83">
        <f t="shared" si="154"/>
        <v>0</v>
      </c>
      <c r="Y151" s="83">
        <f t="shared" si="154"/>
        <v>0</v>
      </c>
      <c r="Z151" s="84">
        <f t="shared" si="6"/>
        <v>0</v>
      </c>
      <c r="AA151" s="59" t="str">
        <f t="shared" si="7"/>
        <v>부족</v>
      </c>
      <c r="AB151" s="59"/>
      <c r="AC151" s="59"/>
      <c r="AD151" s="59"/>
      <c r="AE151" s="59"/>
      <c r="AF151" s="59"/>
    </row>
    <row r="152" ht="15.75" customHeight="1">
      <c r="A152" s="59"/>
      <c r="B152" s="77">
        <f>IFERROR(SUMIFS('교재재고'!C:C,'교재재고'!B:B,$A152),0)</f>
        <v>0</v>
      </c>
      <c r="C152" s="77">
        <f>IFERROR(SUMIFS('교재재고'!D:D,'교재재고'!B:B,$A152),0)</f>
        <v>0</v>
      </c>
      <c r="D152" s="77">
        <f>IFERROR(SUMIFS('교재재고'!E:E,'교재재고'!B:B,$A152),0)</f>
        <v>0</v>
      </c>
      <c r="E152" s="78">
        <f>IFERROR(SUMIFS('교재재고'!F:F,'교재재고'!B:B,$A152),0)
+IFERROR(SUMIFS('교재재고'!I:I,'교재재고'!B:B,$A152),0)
+IFERROR(SUMIFS('교재재고'!L:L,'교재재고'!B:B,$A152),0)
+IFERROR(SUMIFS('교재재고'!O:O,'교재재고'!B:B,$A152),0)
+IFERROR(SUMIFS('교재재고'!R:R,'교재재고'!B:B,$A152),0)</f>
        <v>0</v>
      </c>
      <c r="F152" s="79">
        <f>IFERROR(SUMIFS('교재재고'!G:G,'교재재고'!B:B,$A152),0)
+IFERROR(SUMIFS('교재재고'!J:J,'교재재고'!B:B,$A152),0)
+IFERROR(SUMIFS('교재재고'!M:M,'교재재고'!B:B,$A152),0)
+IFERROR(SUMIFS('교재재고'!P:P,'교재재고'!B:B,$A152),0)
+IFERROR(SUMIFS('교재재고'!S:S,'교재재고'!B:B,$A152),0)</f>
        <v>0</v>
      </c>
      <c r="G152" s="79">
        <f>IFERROR(SUMIFS('교재재고'!H:H,'교재재고'!B:B,$A152),0)
+IFERROR(SUMIFS('교재재고'!K:K,'교재재고'!B:B,$A152),0)
+IFERROR(SUMIFS('교재재고'!N:N,'교재재고'!B:B,$A152),0)
+IFERROR(SUMIFS('교재재고'!Q:Q,'교재재고'!B:B,$A152),0)
+IFERROR(SUMIFS('교재재고'!T:T,'교재재고'!B:B,$A152),0)</f>
        <v>0</v>
      </c>
      <c r="H152" s="79">
        <f t="shared" si="2"/>
        <v>0</v>
      </c>
      <c r="I152" s="80">
        <f>IFERROR(SUMIFS('배부로그'!G:G,'배부로그'!D:D,$A152,'배부로그'!F:F,"창고"),0)</f>
        <v>0</v>
      </c>
      <c r="J152" s="59">
        <f>IFERROR(SUMIFS('배부로그'!G:G,'배부로그'!D:D,$A152,'배부로그'!F:F,"4층지원실"),0)</f>
        <v>0</v>
      </c>
      <c r="K152" s="59">
        <f>IFERROR(SUMIFS('배부로그'!G:G,'배부로그'!D:D,$A152,'배부로그'!F:F,"8층지원실"),0)</f>
        <v>0</v>
      </c>
      <c r="L152" s="81">
        <f t="shared" si="3"/>
        <v>0</v>
      </c>
      <c r="M152" s="59">
        <f>IFERROR(SUMIFS('회수로그'!H:H,'회수로그'!E:E,$A152,'회수로그'!G:G,"창고"),0)</f>
        <v>0</v>
      </c>
      <c r="N152" s="59">
        <f>IFERROR(SUMIFS('회수로그'!H:H,'회수로그'!E:E,$A152,'회수로그'!G:G,"4층지원실"),0)</f>
        <v>0</v>
      </c>
      <c r="O152" s="59">
        <f>IFERROR(SUMIFS('회수로그'!H:H,'회수로그'!E:E,$A152,'회수로그'!G:G,"8층지원실"),0)</f>
        <v>0</v>
      </c>
      <c r="P152" s="59">
        <f t="shared" si="4"/>
        <v>0</v>
      </c>
      <c r="Q152" s="59">
        <f>IFERROR(SUMIFS('재고이동로그'!F:F,'재고이동로그'!C:C,$A152,'재고이동로그'!D:D,"창고"),0)</f>
        <v>0</v>
      </c>
      <c r="R152" s="59">
        <f>IFERROR(SUMIFS('재고이동로그'!F:F,'재고이동로그'!C:C,$A152,'재고이동로그'!E:E,"4층지원실"),0)</f>
        <v>0</v>
      </c>
      <c r="S152" s="82">
        <f>IFERROR(SUMIFS('재고이동로그'!F:F,'재고이동로그'!C:C,$A152,'재고이동로그'!E:E,"8층지원실"),0)</f>
        <v>0</v>
      </c>
      <c r="T152" s="59">
        <f>IFERROR(SUMIFS('재고이동로그'!F:F,'재고이동로그'!C:C,$A152,'재고이동로그'!E:E,"창고"),0)</f>
        <v>0</v>
      </c>
      <c r="U152" s="59">
        <f>IFERROR(SUMIFS('재고이동로그'!F:F,'재고이동로그'!C:C,$A152,'재고이동로그'!E:E,"4층지원실"),0)</f>
        <v>0</v>
      </c>
      <c r="V152" s="59">
        <f>IFERROR(SUMIFS('재고이동로그'!F:F,'재고이동로그'!C:C,$A152,'재고이동로그'!E:E,"8층지원실"),0)</f>
        <v>0</v>
      </c>
      <c r="W152" s="83">
        <f t="shared" ref="W152:Y152" si="155">B152+E152-I152+M152-Q152+T152</f>
        <v>0</v>
      </c>
      <c r="X152" s="83">
        <f t="shared" si="155"/>
        <v>0</v>
      </c>
      <c r="Y152" s="83">
        <f t="shared" si="155"/>
        <v>0</v>
      </c>
      <c r="Z152" s="84">
        <f t="shared" si="6"/>
        <v>0</v>
      </c>
      <c r="AA152" s="59" t="str">
        <f t="shared" si="7"/>
        <v>부족</v>
      </c>
      <c r="AB152" s="59"/>
      <c r="AC152" s="59"/>
      <c r="AD152" s="59"/>
      <c r="AE152" s="59"/>
      <c r="AF152" s="59"/>
    </row>
    <row r="153" ht="15.75" customHeight="1">
      <c r="A153" s="59"/>
      <c r="B153" s="77">
        <f>IFERROR(SUMIFS('교재재고'!C:C,'교재재고'!B:B,$A153),0)</f>
        <v>0</v>
      </c>
      <c r="C153" s="77">
        <f>IFERROR(SUMIFS('교재재고'!D:D,'교재재고'!B:B,$A153),0)</f>
        <v>0</v>
      </c>
      <c r="D153" s="77">
        <f>IFERROR(SUMIFS('교재재고'!E:E,'교재재고'!B:B,$A153),0)</f>
        <v>0</v>
      </c>
      <c r="E153" s="78">
        <f>IFERROR(SUMIFS('교재재고'!F:F,'교재재고'!B:B,$A153),0)
+IFERROR(SUMIFS('교재재고'!I:I,'교재재고'!B:B,$A153),0)
+IFERROR(SUMIFS('교재재고'!L:L,'교재재고'!B:B,$A153),0)
+IFERROR(SUMIFS('교재재고'!O:O,'교재재고'!B:B,$A153),0)
+IFERROR(SUMIFS('교재재고'!R:R,'교재재고'!B:B,$A153),0)</f>
        <v>0</v>
      </c>
      <c r="F153" s="79">
        <f>IFERROR(SUMIFS('교재재고'!G:G,'교재재고'!B:B,$A153),0)
+IFERROR(SUMIFS('교재재고'!J:J,'교재재고'!B:B,$A153),0)
+IFERROR(SUMIFS('교재재고'!M:M,'교재재고'!B:B,$A153),0)
+IFERROR(SUMIFS('교재재고'!P:P,'교재재고'!B:B,$A153),0)
+IFERROR(SUMIFS('교재재고'!S:S,'교재재고'!B:B,$A153),0)</f>
        <v>0</v>
      </c>
      <c r="G153" s="79">
        <f>IFERROR(SUMIFS('교재재고'!H:H,'교재재고'!B:B,$A153),0)
+IFERROR(SUMIFS('교재재고'!K:K,'교재재고'!B:B,$A153),0)
+IFERROR(SUMIFS('교재재고'!N:N,'교재재고'!B:B,$A153),0)
+IFERROR(SUMIFS('교재재고'!Q:Q,'교재재고'!B:B,$A153),0)
+IFERROR(SUMIFS('교재재고'!T:T,'교재재고'!B:B,$A153),0)</f>
        <v>0</v>
      </c>
      <c r="H153" s="79">
        <f t="shared" si="2"/>
        <v>0</v>
      </c>
      <c r="I153" s="80">
        <f>IFERROR(SUMIFS('배부로그'!G:G,'배부로그'!D:D,$A153,'배부로그'!F:F,"창고"),0)</f>
        <v>0</v>
      </c>
      <c r="J153" s="59">
        <f>IFERROR(SUMIFS('배부로그'!G:G,'배부로그'!D:D,$A153,'배부로그'!F:F,"4층지원실"),0)</f>
        <v>0</v>
      </c>
      <c r="K153" s="59">
        <f>IFERROR(SUMIFS('배부로그'!G:G,'배부로그'!D:D,$A153,'배부로그'!F:F,"8층지원실"),0)</f>
        <v>0</v>
      </c>
      <c r="L153" s="81">
        <f t="shared" si="3"/>
        <v>0</v>
      </c>
      <c r="M153" s="59">
        <f>IFERROR(SUMIFS('회수로그'!H:H,'회수로그'!E:E,$A153,'회수로그'!G:G,"창고"),0)</f>
        <v>0</v>
      </c>
      <c r="N153" s="59">
        <f>IFERROR(SUMIFS('회수로그'!H:H,'회수로그'!E:E,$A153,'회수로그'!G:G,"4층지원실"),0)</f>
        <v>0</v>
      </c>
      <c r="O153" s="59">
        <f>IFERROR(SUMIFS('회수로그'!H:H,'회수로그'!E:E,$A153,'회수로그'!G:G,"8층지원실"),0)</f>
        <v>0</v>
      </c>
      <c r="P153" s="59">
        <f t="shared" si="4"/>
        <v>0</v>
      </c>
      <c r="Q153" s="59">
        <f>IFERROR(SUMIFS('재고이동로그'!F:F,'재고이동로그'!C:C,$A153,'재고이동로그'!D:D,"창고"),0)</f>
        <v>0</v>
      </c>
      <c r="R153" s="59">
        <f>IFERROR(SUMIFS('재고이동로그'!F:F,'재고이동로그'!C:C,$A153,'재고이동로그'!E:E,"4층지원실"),0)</f>
        <v>0</v>
      </c>
      <c r="S153" s="82">
        <f>IFERROR(SUMIFS('재고이동로그'!F:F,'재고이동로그'!C:C,$A153,'재고이동로그'!E:E,"8층지원실"),0)</f>
        <v>0</v>
      </c>
      <c r="T153" s="59">
        <f>IFERROR(SUMIFS('재고이동로그'!F:F,'재고이동로그'!C:C,$A153,'재고이동로그'!E:E,"창고"),0)</f>
        <v>0</v>
      </c>
      <c r="U153" s="59">
        <f>IFERROR(SUMIFS('재고이동로그'!F:F,'재고이동로그'!C:C,$A153,'재고이동로그'!E:E,"4층지원실"),0)</f>
        <v>0</v>
      </c>
      <c r="V153" s="59">
        <f>IFERROR(SUMIFS('재고이동로그'!F:F,'재고이동로그'!C:C,$A153,'재고이동로그'!E:E,"8층지원실"),0)</f>
        <v>0</v>
      </c>
      <c r="W153" s="83">
        <f t="shared" ref="W153:Y153" si="156">B153+E153-I153+M153-Q153+T153</f>
        <v>0</v>
      </c>
      <c r="X153" s="83">
        <f t="shared" si="156"/>
        <v>0</v>
      </c>
      <c r="Y153" s="83">
        <f t="shared" si="156"/>
        <v>0</v>
      </c>
      <c r="Z153" s="84">
        <f t="shared" si="6"/>
        <v>0</v>
      </c>
      <c r="AA153" s="59" t="str">
        <f t="shared" si="7"/>
        <v>부족</v>
      </c>
      <c r="AB153" s="59"/>
      <c r="AC153" s="59"/>
      <c r="AD153" s="59"/>
      <c r="AE153" s="59"/>
      <c r="AF153" s="59"/>
    </row>
    <row r="154" ht="15.75" customHeight="1">
      <c r="A154" s="59"/>
      <c r="B154" s="77">
        <f>IFERROR(SUMIFS('교재재고'!C:C,'교재재고'!B:B,$A154),0)</f>
        <v>0</v>
      </c>
      <c r="C154" s="77">
        <f>IFERROR(SUMIFS('교재재고'!D:D,'교재재고'!B:B,$A154),0)</f>
        <v>0</v>
      </c>
      <c r="D154" s="77">
        <f>IFERROR(SUMIFS('교재재고'!E:E,'교재재고'!B:B,$A154),0)</f>
        <v>0</v>
      </c>
      <c r="E154" s="78">
        <f>IFERROR(SUMIFS('교재재고'!F:F,'교재재고'!B:B,$A154),0)
+IFERROR(SUMIFS('교재재고'!I:I,'교재재고'!B:B,$A154),0)
+IFERROR(SUMIFS('교재재고'!L:L,'교재재고'!B:B,$A154),0)
+IFERROR(SUMIFS('교재재고'!O:O,'교재재고'!B:B,$A154),0)
+IFERROR(SUMIFS('교재재고'!R:R,'교재재고'!B:B,$A154),0)</f>
        <v>0</v>
      </c>
      <c r="F154" s="79">
        <f>IFERROR(SUMIFS('교재재고'!G:G,'교재재고'!B:B,$A154),0)
+IFERROR(SUMIFS('교재재고'!J:J,'교재재고'!B:B,$A154),0)
+IFERROR(SUMIFS('교재재고'!M:M,'교재재고'!B:B,$A154),0)
+IFERROR(SUMIFS('교재재고'!P:P,'교재재고'!B:B,$A154),0)
+IFERROR(SUMIFS('교재재고'!S:S,'교재재고'!B:B,$A154),0)</f>
        <v>0</v>
      </c>
      <c r="G154" s="79">
        <f>IFERROR(SUMIFS('교재재고'!H:H,'교재재고'!B:B,$A154),0)
+IFERROR(SUMIFS('교재재고'!K:K,'교재재고'!B:B,$A154),0)
+IFERROR(SUMIFS('교재재고'!N:N,'교재재고'!B:B,$A154),0)
+IFERROR(SUMIFS('교재재고'!Q:Q,'교재재고'!B:B,$A154),0)
+IFERROR(SUMIFS('교재재고'!T:T,'교재재고'!B:B,$A154),0)</f>
        <v>0</v>
      </c>
      <c r="H154" s="79">
        <f t="shared" si="2"/>
        <v>0</v>
      </c>
      <c r="I154" s="80">
        <f>IFERROR(SUMIFS('배부로그'!G:G,'배부로그'!D:D,$A154,'배부로그'!F:F,"창고"),0)</f>
        <v>0</v>
      </c>
      <c r="J154" s="59">
        <f>IFERROR(SUMIFS('배부로그'!G:G,'배부로그'!D:D,$A154,'배부로그'!F:F,"4층지원실"),0)</f>
        <v>0</v>
      </c>
      <c r="K154" s="59">
        <f>IFERROR(SUMIFS('배부로그'!G:G,'배부로그'!D:D,$A154,'배부로그'!F:F,"8층지원실"),0)</f>
        <v>0</v>
      </c>
      <c r="L154" s="81">
        <f t="shared" si="3"/>
        <v>0</v>
      </c>
      <c r="M154" s="59">
        <f>IFERROR(SUMIFS('회수로그'!H:H,'회수로그'!E:E,$A154,'회수로그'!G:G,"창고"),0)</f>
        <v>0</v>
      </c>
      <c r="N154" s="59">
        <f>IFERROR(SUMIFS('회수로그'!H:H,'회수로그'!E:E,$A154,'회수로그'!G:G,"4층지원실"),0)</f>
        <v>0</v>
      </c>
      <c r="O154" s="59">
        <f>IFERROR(SUMIFS('회수로그'!H:H,'회수로그'!E:E,$A154,'회수로그'!G:G,"8층지원실"),0)</f>
        <v>0</v>
      </c>
      <c r="P154" s="59">
        <f t="shared" si="4"/>
        <v>0</v>
      </c>
      <c r="Q154" s="59">
        <f>IFERROR(SUMIFS('재고이동로그'!F:F,'재고이동로그'!C:C,$A154,'재고이동로그'!D:D,"창고"),0)</f>
        <v>0</v>
      </c>
      <c r="R154" s="59">
        <f>IFERROR(SUMIFS('재고이동로그'!F:F,'재고이동로그'!C:C,$A154,'재고이동로그'!E:E,"4층지원실"),0)</f>
        <v>0</v>
      </c>
      <c r="S154" s="82">
        <f>IFERROR(SUMIFS('재고이동로그'!F:F,'재고이동로그'!C:C,$A154,'재고이동로그'!E:E,"8층지원실"),0)</f>
        <v>0</v>
      </c>
      <c r="T154" s="59">
        <f>IFERROR(SUMIFS('재고이동로그'!F:F,'재고이동로그'!C:C,$A154,'재고이동로그'!E:E,"창고"),0)</f>
        <v>0</v>
      </c>
      <c r="U154" s="59">
        <f>IFERROR(SUMIFS('재고이동로그'!F:F,'재고이동로그'!C:C,$A154,'재고이동로그'!E:E,"4층지원실"),0)</f>
        <v>0</v>
      </c>
      <c r="V154" s="59">
        <f>IFERROR(SUMIFS('재고이동로그'!F:F,'재고이동로그'!C:C,$A154,'재고이동로그'!E:E,"8층지원실"),0)</f>
        <v>0</v>
      </c>
      <c r="W154" s="83">
        <f t="shared" ref="W154:Y154" si="157">B154+E154-I154+M154-Q154+T154</f>
        <v>0</v>
      </c>
      <c r="X154" s="83">
        <f t="shared" si="157"/>
        <v>0</v>
      </c>
      <c r="Y154" s="83">
        <f t="shared" si="157"/>
        <v>0</v>
      </c>
      <c r="Z154" s="84">
        <f t="shared" si="6"/>
        <v>0</v>
      </c>
      <c r="AA154" s="59" t="str">
        <f t="shared" si="7"/>
        <v>부족</v>
      </c>
      <c r="AB154" s="59"/>
      <c r="AC154" s="59"/>
      <c r="AD154" s="59"/>
      <c r="AE154" s="59"/>
      <c r="AF154" s="59"/>
    </row>
    <row r="155" ht="15.75" customHeight="1">
      <c r="A155" s="59"/>
      <c r="B155" s="77">
        <f>IFERROR(SUMIFS('교재재고'!C:C,'교재재고'!B:B,$A155),0)</f>
        <v>0</v>
      </c>
      <c r="C155" s="77">
        <f>IFERROR(SUMIFS('교재재고'!D:D,'교재재고'!B:B,$A155),0)</f>
        <v>0</v>
      </c>
      <c r="D155" s="77">
        <f>IFERROR(SUMIFS('교재재고'!E:E,'교재재고'!B:B,$A155),0)</f>
        <v>0</v>
      </c>
      <c r="E155" s="78">
        <f>IFERROR(SUMIFS('교재재고'!F:F,'교재재고'!B:B,$A155),0)
+IFERROR(SUMIFS('교재재고'!I:I,'교재재고'!B:B,$A155),0)
+IFERROR(SUMIFS('교재재고'!L:L,'교재재고'!B:B,$A155),0)
+IFERROR(SUMIFS('교재재고'!O:O,'교재재고'!B:B,$A155),0)
+IFERROR(SUMIFS('교재재고'!R:R,'교재재고'!B:B,$A155),0)</f>
        <v>0</v>
      </c>
      <c r="F155" s="79">
        <f>IFERROR(SUMIFS('교재재고'!G:G,'교재재고'!B:B,$A155),0)
+IFERROR(SUMIFS('교재재고'!J:J,'교재재고'!B:B,$A155),0)
+IFERROR(SUMIFS('교재재고'!M:M,'교재재고'!B:B,$A155),0)
+IFERROR(SUMIFS('교재재고'!P:P,'교재재고'!B:B,$A155),0)
+IFERROR(SUMIFS('교재재고'!S:S,'교재재고'!B:B,$A155),0)</f>
        <v>0</v>
      </c>
      <c r="G155" s="79">
        <f>IFERROR(SUMIFS('교재재고'!H:H,'교재재고'!B:B,$A155),0)
+IFERROR(SUMIFS('교재재고'!K:K,'교재재고'!B:B,$A155),0)
+IFERROR(SUMIFS('교재재고'!N:N,'교재재고'!B:B,$A155),0)
+IFERROR(SUMIFS('교재재고'!Q:Q,'교재재고'!B:B,$A155),0)
+IFERROR(SUMIFS('교재재고'!T:T,'교재재고'!B:B,$A155),0)</f>
        <v>0</v>
      </c>
      <c r="H155" s="79">
        <f t="shared" si="2"/>
        <v>0</v>
      </c>
      <c r="I155" s="80">
        <f>IFERROR(SUMIFS('배부로그'!G:G,'배부로그'!D:D,$A155,'배부로그'!F:F,"창고"),0)</f>
        <v>0</v>
      </c>
      <c r="J155" s="59">
        <f>IFERROR(SUMIFS('배부로그'!G:G,'배부로그'!D:D,$A155,'배부로그'!F:F,"4층지원실"),0)</f>
        <v>0</v>
      </c>
      <c r="K155" s="59">
        <f>IFERROR(SUMIFS('배부로그'!G:G,'배부로그'!D:D,$A155,'배부로그'!F:F,"8층지원실"),0)</f>
        <v>0</v>
      </c>
      <c r="L155" s="81">
        <f t="shared" si="3"/>
        <v>0</v>
      </c>
      <c r="M155" s="59">
        <f>IFERROR(SUMIFS('회수로그'!H:H,'회수로그'!E:E,$A155,'회수로그'!G:G,"창고"),0)</f>
        <v>0</v>
      </c>
      <c r="N155" s="59">
        <f>IFERROR(SUMIFS('회수로그'!H:H,'회수로그'!E:E,$A155,'회수로그'!G:G,"4층지원실"),0)</f>
        <v>0</v>
      </c>
      <c r="O155" s="59">
        <f>IFERROR(SUMIFS('회수로그'!H:H,'회수로그'!E:E,$A155,'회수로그'!G:G,"8층지원실"),0)</f>
        <v>0</v>
      </c>
      <c r="P155" s="59">
        <f t="shared" si="4"/>
        <v>0</v>
      </c>
      <c r="Q155" s="59">
        <f>IFERROR(SUMIFS('재고이동로그'!F:F,'재고이동로그'!C:C,$A155,'재고이동로그'!D:D,"창고"),0)</f>
        <v>0</v>
      </c>
      <c r="R155" s="59">
        <f>IFERROR(SUMIFS('재고이동로그'!F:F,'재고이동로그'!C:C,$A155,'재고이동로그'!E:E,"4층지원실"),0)</f>
        <v>0</v>
      </c>
      <c r="S155" s="82">
        <f>IFERROR(SUMIFS('재고이동로그'!F:F,'재고이동로그'!C:C,$A155,'재고이동로그'!E:E,"8층지원실"),0)</f>
        <v>0</v>
      </c>
      <c r="T155" s="59">
        <f>IFERROR(SUMIFS('재고이동로그'!F:F,'재고이동로그'!C:C,$A155,'재고이동로그'!E:E,"창고"),0)</f>
        <v>0</v>
      </c>
      <c r="U155" s="59">
        <f>IFERROR(SUMIFS('재고이동로그'!F:F,'재고이동로그'!C:C,$A155,'재고이동로그'!E:E,"4층지원실"),0)</f>
        <v>0</v>
      </c>
      <c r="V155" s="59">
        <f>IFERROR(SUMIFS('재고이동로그'!F:F,'재고이동로그'!C:C,$A155,'재고이동로그'!E:E,"8층지원실"),0)</f>
        <v>0</v>
      </c>
      <c r="W155" s="83">
        <f t="shared" ref="W155:Y155" si="158">B155+E155-I155+M155-Q155+T155</f>
        <v>0</v>
      </c>
      <c r="X155" s="83">
        <f t="shared" si="158"/>
        <v>0</v>
      </c>
      <c r="Y155" s="83">
        <f t="shared" si="158"/>
        <v>0</v>
      </c>
      <c r="Z155" s="84">
        <f t="shared" si="6"/>
        <v>0</v>
      </c>
      <c r="AA155" s="59" t="str">
        <f t="shared" si="7"/>
        <v>부족</v>
      </c>
      <c r="AB155" s="59"/>
      <c r="AC155" s="59"/>
      <c r="AD155" s="59"/>
      <c r="AE155" s="59"/>
      <c r="AF155" s="59"/>
    </row>
    <row r="156" ht="15.75" customHeight="1">
      <c r="A156" s="59"/>
      <c r="B156" s="77">
        <f>IFERROR(SUMIFS('교재재고'!C:C,'교재재고'!B:B,$A156),0)</f>
        <v>0</v>
      </c>
      <c r="C156" s="77">
        <f>IFERROR(SUMIFS('교재재고'!D:D,'교재재고'!B:B,$A156),0)</f>
        <v>0</v>
      </c>
      <c r="D156" s="77">
        <f>IFERROR(SUMIFS('교재재고'!E:E,'교재재고'!B:B,$A156),0)</f>
        <v>0</v>
      </c>
      <c r="E156" s="78">
        <f>IFERROR(SUMIFS('교재재고'!F:F,'교재재고'!B:B,$A156),0)
+IFERROR(SUMIFS('교재재고'!I:I,'교재재고'!B:B,$A156),0)
+IFERROR(SUMIFS('교재재고'!L:L,'교재재고'!B:B,$A156),0)
+IFERROR(SUMIFS('교재재고'!O:O,'교재재고'!B:B,$A156),0)
+IFERROR(SUMIFS('교재재고'!R:R,'교재재고'!B:B,$A156),0)</f>
        <v>0</v>
      </c>
      <c r="F156" s="79">
        <f>IFERROR(SUMIFS('교재재고'!G:G,'교재재고'!B:B,$A156),0)
+IFERROR(SUMIFS('교재재고'!J:J,'교재재고'!B:B,$A156),0)
+IFERROR(SUMIFS('교재재고'!M:M,'교재재고'!B:B,$A156),0)
+IFERROR(SUMIFS('교재재고'!P:P,'교재재고'!B:B,$A156),0)
+IFERROR(SUMIFS('교재재고'!S:S,'교재재고'!B:B,$A156),0)</f>
        <v>0</v>
      </c>
      <c r="G156" s="79">
        <f>IFERROR(SUMIFS('교재재고'!H:H,'교재재고'!B:B,$A156),0)
+IFERROR(SUMIFS('교재재고'!K:K,'교재재고'!B:B,$A156),0)
+IFERROR(SUMIFS('교재재고'!N:N,'교재재고'!B:B,$A156),0)
+IFERROR(SUMIFS('교재재고'!Q:Q,'교재재고'!B:B,$A156),0)
+IFERROR(SUMIFS('교재재고'!T:T,'교재재고'!B:B,$A156),0)</f>
        <v>0</v>
      </c>
      <c r="H156" s="79">
        <f t="shared" si="2"/>
        <v>0</v>
      </c>
      <c r="I156" s="80">
        <f>IFERROR(SUMIFS('배부로그'!G:G,'배부로그'!D:D,$A156,'배부로그'!F:F,"창고"),0)</f>
        <v>0</v>
      </c>
      <c r="J156" s="59">
        <f>IFERROR(SUMIFS('배부로그'!G:G,'배부로그'!D:D,$A156,'배부로그'!F:F,"4층지원실"),0)</f>
        <v>0</v>
      </c>
      <c r="K156" s="59">
        <f>IFERROR(SUMIFS('배부로그'!G:G,'배부로그'!D:D,$A156,'배부로그'!F:F,"8층지원실"),0)</f>
        <v>0</v>
      </c>
      <c r="L156" s="81">
        <f t="shared" si="3"/>
        <v>0</v>
      </c>
      <c r="M156" s="59">
        <f>IFERROR(SUMIFS('회수로그'!H:H,'회수로그'!E:E,$A156,'회수로그'!G:G,"창고"),0)</f>
        <v>0</v>
      </c>
      <c r="N156" s="59">
        <f>IFERROR(SUMIFS('회수로그'!H:H,'회수로그'!E:E,$A156,'회수로그'!G:G,"4층지원실"),0)</f>
        <v>0</v>
      </c>
      <c r="O156" s="59">
        <f>IFERROR(SUMIFS('회수로그'!H:H,'회수로그'!E:E,$A156,'회수로그'!G:G,"8층지원실"),0)</f>
        <v>0</v>
      </c>
      <c r="P156" s="59">
        <f t="shared" si="4"/>
        <v>0</v>
      </c>
      <c r="Q156" s="59">
        <f>IFERROR(SUMIFS('재고이동로그'!F:F,'재고이동로그'!C:C,$A156,'재고이동로그'!D:D,"창고"),0)</f>
        <v>0</v>
      </c>
      <c r="R156" s="59">
        <f>IFERROR(SUMIFS('재고이동로그'!F:F,'재고이동로그'!C:C,$A156,'재고이동로그'!E:E,"4층지원실"),0)</f>
        <v>0</v>
      </c>
      <c r="S156" s="82">
        <f>IFERROR(SUMIFS('재고이동로그'!F:F,'재고이동로그'!C:C,$A156,'재고이동로그'!E:E,"8층지원실"),0)</f>
        <v>0</v>
      </c>
      <c r="T156" s="59">
        <f>IFERROR(SUMIFS('재고이동로그'!F:F,'재고이동로그'!C:C,$A156,'재고이동로그'!E:E,"창고"),0)</f>
        <v>0</v>
      </c>
      <c r="U156" s="59">
        <f>IFERROR(SUMIFS('재고이동로그'!F:F,'재고이동로그'!C:C,$A156,'재고이동로그'!E:E,"4층지원실"),0)</f>
        <v>0</v>
      </c>
      <c r="V156" s="59">
        <f>IFERROR(SUMIFS('재고이동로그'!F:F,'재고이동로그'!C:C,$A156,'재고이동로그'!E:E,"8층지원실"),0)</f>
        <v>0</v>
      </c>
      <c r="W156" s="83">
        <f t="shared" ref="W156:Y156" si="159">B156+E156-I156+M156-Q156+T156</f>
        <v>0</v>
      </c>
      <c r="X156" s="83">
        <f t="shared" si="159"/>
        <v>0</v>
      </c>
      <c r="Y156" s="83">
        <f t="shared" si="159"/>
        <v>0</v>
      </c>
      <c r="Z156" s="84">
        <f t="shared" si="6"/>
        <v>0</v>
      </c>
      <c r="AA156" s="59" t="str">
        <f t="shared" si="7"/>
        <v>부족</v>
      </c>
      <c r="AB156" s="59"/>
      <c r="AC156" s="59"/>
      <c r="AD156" s="59"/>
      <c r="AE156" s="59"/>
      <c r="AF156" s="59"/>
    </row>
    <row r="157" ht="15.75" customHeight="1">
      <c r="A157" s="59"/>
      <c r="B157" s="77">
        <f>IFERROR(SUMIFS('교재재고'!C:C,'교재재고'!B:B,$A157),0)</f>
        <v>0</v>
      </c>
      <c r="C157" s="77">
        <f>IFERROR(SUMIFS('교재재고'!D:D,'교재재고'!B:B,$A157),0)</f>
        <v>0</v>
      </c>
      <c r="D157" s="77">
        <f>IFERROR(SUMIFS('교재재고'!E:E,'교재재고'!B:B,$A157),0)</f>
        <v>0</v>
      </c>
      <c r="E157" s="78">
        <f>IFERROR(SUMIFS('교재재고'!F:F,'교재재고'!B:B,$A157),0)
+IFERROR(SUMIFS('교재재고'!I:I,'교재재고'!B:B,$A157),0)
+IFERROR(SUMIFS('교재재고'!L:L,'교재재고'!B:B,$A157),0)
+IFERROR(SUMIFS('교재재고'!O:O,'교재재고'!B:B,$A157),0)
+IFERROR(SUMIFS('교재재고'!R:R,'교재재고'!B:B,$A157),0)</f>
        <v>0</v>
      </c>
      <c r="F157" s="79">
        <f>IFERROR(SUMIFS('교재재고'!G:G,'교재재고'!B:B,$A157),0)
+IFERROR(SUMIFS('교재재고'!J:J,'교재재고'!B:B,$A157),0)
+IFERROR(SUMIFS('교재재고'!M:M,'교재재고'!B:B,$A157),0)
+IFERROR(SUMIFS('교재재고'!P:P,'교재재고'!B:B,$A157),0)
+IFERROR(SUMIFS('교재재고'!S:S,'교재재고'!B:B,$A157),0)</f>
        <v>0</v>
      </c>
      <c r="G157" s="79">
        <f>IFERROR(SUMIFS('교재재고'!H:H,'교재재고'!B:B,$A157),0)
+IFERROR(SUMIFS('교재재고'!K:K,'교재재고'!B:B,$A157),0)
+IFERROR(SUMIFS('교재재고'!N:N,'교재재고'!B:B,$A157),0)
+IFERROR(SUMIFS('교재재고'!Q:Q,'교재재고'!B:B,$A157),0)
+IFERROR(SUMIFS('교재재고'!T:T,'교재재고'!B:B,$A157),0)</f>
        <v>0</v>
      </c>
      <c r="H157" s="79">
        <f t="shared" si="2"/>
        <v>0</v>
      </c>
      <c r="I157" s="80">
        <f>IFERROR(SUMIFS('배부로그'!G:G,'배부로그'!D:D,$A157,'배부로그'!F:F,"창고"),0)</f>
        <v>0</v>
      </c>
      <c r="J157" s="59">
        <f>IFERROR(SUMIFS('배부로그'!G:G,'배부로그'!D:D,$A157,'배부로그'!F:F,"4층지원실"),0)</f>
        <v>0</v>
      </c>
      <c r="K157" s="59">
        <f>IFERROR(SUMIFS('배부로그'!G:G,'배부로그'!D:D,$A157,'배부로그'!F:F,"8층지원실"),0)</f>
        <v>0</v>
      </c>
      <c r="L157" s="81">
        <f t="shared" si="3"/>
        <v>0</v>
      </c>
      <c r="M157" s="59">
        <f>IFERROR(SUMIFS('회수로그'!H:H,'회수로그'!E:E,$A157,'회수로그'!G:G,"창고"),0)</f>
        <v>0</v>
      </c>
      <c r="N157" s="59">
        <f>IFERROR(SUMIFS('회수로그'!H:H,'회수로그'!E:E,$A157,'회수로그'!G:G,"4층지원실"),0)</f>
        <v>0</v>
      </c>
      <c r="O157" s="59">
        <f>IFERROR(SUMIFS('회수로그'!H:H,'회수로그'!E:E,$A157,'회수로그'!G:G,"8층지원실"),0)</f>
        <v>0</v>
      </c>
      <c r="P157" s="59">
        <f t="shared" si="4"/>
        <v>0</v>
      </c>
      <c r="Q157" s="59">
        <f>IFERROR(SUMIFS('재고이동로그'!F:F,'재고이동로그'!C:C,$A157,'재고이동로그'!D:D,"창고"),0)</f>
        <v>0</v>
      </c>
      <c r="R157" s="59">
        <f>IFERROR(SUMIFS('재고이동로그'!F:F,'재고이동로그'!C:C,$A157,'재고이동로그'!E:E,"4층지원실"),0)</f>
        <v>0</v>
      </c>
      <c r="S157" s="82">
        <f>IFERROR(SUMIFS('재고이동로그'!F:F,'재고이동로그'!C:C,$A157,'재고이동로그'!E:E,"8층지원실"),0)</f>
        <v>0</v>
      </c>
      <c r="T157" s="59">
        <f>IFERROR(SUMIFS('재고이동로그'!F:F,'재고이동로그'!C:C,$A157,'재고이동로그'!E:E,"창고"),0)</f>
        <v>0</v>
      </c>
      <c r="U157" s="59">
        <f>IFERROR(SUMIFS('재고이동로그'!F:F,'재고이동로그'!C:C,$A157,'재고이동로그'!E:E,"4층지원실"),0)</f>
        <v>0</v>
      </c>
      <c r="V157" s="59">
        <f>IFERROR(SUMIFS('재고이동로그'!F:F,'재고이동로그'!C:C,$A157,'재고이동로그'!E:E,"8층지원실"),0)</f>
        <v>0</v>
      </c>
      <c r="W157" s="83">
        <f t="shared" ref="W157:Y157" si="160">B157+E157-I157+M157-Q157+T157</f>
        <v>0</v>
      </c>
      <c r="X157" s="83">
        <f t="shared" si="160"/>
        <v>0</v>
      </c>
      <c r="Y157" s="83">
        <f t="shared" si="160"/>
        <v>0</v>
      </c>
      <c r="Z157" s="84">
        <f t="shared" si="6"/>
        <v>0</v>
      </c>
      <c r="AA157" s="59" t="str">
        <f t="shared" si="7"/>
        <v>부족</v>
      </c>
      <c r="AB157" s="59"/>
      <c r="AC157" s="59"/>
      <c r="AD157" s="59"/>
      <c r="AE157" s="59"/>
      <c r="AF157" s="59"/>
    </row>
    <row r="158" ht="15.75" customHeight="1">
      <c r="A158" s="59"/>
      <c r="B158" s="77">
        <f>IFERROR(SUMIFS('교재재고'!C:C,'교재재고'!B:B,$A158),0)</f>
        <v>0</v>
      </c>
      <c r="C158" s="77">
        <f>IFERROR(SUMIFS('교재재고'!D:D,'교재재고'!B:B,$A158),0)</f>
        <v>0</v>
      </c>
      <c r="D158" s="77">
        <f>IFERROR(SUMIFS('교재재고'!E:E,'교재재고'!B:B,$A158),0)</f>
        <v>0</v>
      </c>
      <c r="E158" s="78">
        <f>IFERROR(SUMIFS('교재재고'!F:F,'교재재고'!B:B,$A158),0)
+IFERROR(SUMIFS('교재재고'!I:I,'교재재고'!B:B,$A158),0)
+IFERROR(SUMIFS('교재재고'!L:L,'교재재고'!B:B,$A158),0)
+IFERROR(SUMIFS('교재재고'!O:O,'교재재고'!B:B,$A158),0)
+IFERROR(SUMIFS('교재재고'!R:R,'교재재고'!B:B,$A158),0)</f>
        <v>0</v>
      </c>
      <c r="F158" s="79">
        <f>IFERROR(SUMIFS('교재재고'!G:G,'교재재고'!B:B,$A158),0)
+IFERROR(SUMIFS('교재재고'!J:J,'교재재고'!B:B,$A158),0)
+IFERROR(SUMIFS('교재재고'!M:M,'교재재고'!B:B,$A158),0)
+IFERROR(SUMIFS('교재재고'!P:P,'교재재고'!B:B,$A158),0)
+IFERROR(SUMIFS('교재재고'!S:S,'교재재고'!B:B,$A158),0)</f>
        <v>0</v>
      </c>
      <c r="G158" s="79">
        <f>IFERROR(SUMIFS('교재재고'!H:H,'교재재고'!B:B,$A158),0)
+IFERROR(SUMIFS('교재재고'!K:K,'교재재고'!B:B,$A158),0)
+IFERROR(SUMIFS('교재재고'!N:N,'교재재고'!B:B,$A158),0)
+IFERROR(SUMIFS('교재재고'!Q:Q,'교재재고'!B:B,$A158),0)
+IFERROR(SUMIFS('교재재고'!T:T,'교재재고'!B:B,$A158),0)</f>
        <v>0</v>
      </c>
      <c r="H158" s="79">
        <f t="shared" si="2"/>
        <v>0</v>
      </c>
      <c r="I158" s="80">
        <f>IFERROR(SUMIFS('배부로그'!G:G,'배부로그'!D:D,$A158,'배부로그'!F:F,"창고"),0)</f>
        <v>0</v>
      </c>
      <c r="J158" s="59">
        <f>IFERROR(SUMIFS('배부로그'!G:G,'배부로그'!D:D,$A158,'배부로그'!F:F,"4층지원실"),0)</f>
        <v>0</v>
      </c>
      <c r="K158" s="59">
        <f>IFERROR(SUMIFS('배부로그'!G:G,'배부로그'!D:D,$A158,'배부로그'!F:F,"8층지원실"),0)</f>
        <v>0</v>
      </c>
      <c r="L158" s="81">
        <f t="shared" si="3"/>
        <v>0</v>
      </c>
      <c r="M158" s="59">
        <f>IFERROR(SUMIFS('회수로그'!H:H,'회수로그'!E:E,$A158,'회수로그'!G:G,"창고"),0)</f>
        <v>0</v>
      </c>
      <c r="N158" s="59">
        <f>IFERROR(SUMIFS('회수로그'!H:H,'회수로그'!E:E,$A158,'회수로그'!G:G,"4층지원실"),0)</f>
        <v>0</v>
      </c>
      <c r="O158" s="59">
        <f>IFERROR(SUMIFS('회수로그'!H:H,'회수로그'!E:E,$A158,'회수로그'!G:G,"8층지원실"),0)</f>
        <v>0</v>
      </c>
      <c r="P158" s="59">
        <f t="shared" si="4"/>
        <v>0</v>
      </c>
      <c r="Q158" s="59">
        <f>IFERROR(SUMIFS('재고이동로그'!F:F,'재고이동로그'!C:C,$A158,'재고이동로그'!D:D,"창고"),0)</f>
        <v>0</v>
      </c>
      <c r="R158" s="59">
        <f>IFERROR(SUMIFS('재고이동로그'!F:F,'재고이동로그'!C:C,$A158,'재고이동로그'!E:E,"4층지원실"),0)</f>
        <v>0</v>
      </c>
      <c r="S158" s="82">
        <f>IFERROR(SUMIFS('재고이동로그'!F:F,'재고이동로그'!C:C,$A158,'재고이동로그'!E:E,"8층지원실"),0)</f>
        <v>0</v>
      </c>
      <c r="T158" s="59">
        <f>IFERROR(SUMIFS('재고이동로그'!F:F,'재고이동로그'!C:C,$A158,'재고이동로그'!E:E,"창고"),0)</f>
        <v>0</v>
      </c>
      <c r="U158" s="59">
        <f>IFERROR(SUMIFS('재고이동로그'!F:F,'재고이동로그'!C:C,$A158,'재고이동로그'!E:E,"4층지원실"),0)</f>
        <v>0</v>
      </c>
      <c r="V158" s="59">
        <f>IFERROR(SUMIFS('재고이동로그'!F:F,'재고이동로그'!C:C,$A158,'재고이동로그'!E:E,"8층지원실"),0)</f>
        <v>0</v>
      </c>
      <c r="W158" s="83">
        <f t="shared" ref="W158:Y158" si="161">B158+E158-I158+M158-Q158+T158</f>
        <v>0</v>
      </c>
      <c r="X158" s="83">
        <f t="shared" si="161"/>
        <v>0</v>
      </c>
      <c r="Y158" s="83">
        <f t="shared" si="161"/>
        <v>0</v>
      </c>
      <c r="Z158" s="84">
        <f t="shared" si="6"/>
        <v>0</v>
      </c>
      <c r="AA158" s="59" t="str">
        <f t="shared" si="7"/>
        <v>부족</v>
      </c>
      <c r="AB158" s="59"/>
      <c r="AC158" s="59"/>
      <c r="AD158" s="59"/>
      <c r="AE158" s="59"/>
      <c r="AF158" s="59"/>
    </row>
    <row r="159" ht="15.75" customHeight="1">
      <c r="A159" s="59"/>
      <c r="B159" s="77">
        <f>IFERROR(SUMIFS('교재재고'!C:C,'교재재고'!B:B,$A159),0)</f>
        <v>0</v>
      </c>
      <c r="C159" s="77">
        <f>IFERROR(SUMIFS('교재재고'!D:D,'교재재고'!B:B,$A159),0)</f>
        <v>0</v>
      </c>
      <c r="D159" s="77">
        <f>IFERROR(SUMIFS('교재재고'!E:E,'교재재고'!B:B,$A159),0)</f>
        <v>0</v>
      </c>
      <c r="E159" s="78">
        <f>IFERROR(SUMIFS('교재재고'!F:F,'교재재고'!B:B,$A159),0)
+IFERROR(SUMIFS('교재재고'!I:I,'교재재고'!B:B,$A159),0)
+IFERROR(SUMIFS('교재재고'!L:L,'교재재고'!B:B,$A159),0)
+IFERROR(SUMIFS('교재재고'!O:O,'교재재고'!B:B,$A159),0)
+IFERROR(SUMIFS('교재재고'!R:R,'교재재고'!B:B,$A159),0)</f>
        <v>0</v>
      </c>
      <c r="F159" s="79">
        <f>IFERROR(SUMIFS('교재재고'!G:G,'교재재고'!B:B,$A159),0)
+IFERROR(SUMIFS('교재재고'!J:J,'교재재고'!B:B,$A159),0)
+IFERROR(SUMIFS('교재재고'!M:M,'교재재고'!B:B,$A159),0)
+IFERROR(SUMIFS('교재재고'!P:P,'교재재고'!B:B,$A159),0)
+IFERROR(SUMIFS('교재재고'!S:S,'교재재고'!B:B,$A159),0)</f>
        <v>0</v>
      </c>
      <c r="G159" s="79">
        <f>IFERROR(SUMIFS('교재재고'!H:H,'교재재고'!B:B,$A159),0)
+IFERROR(SUMIFS('교재재고'!K:K,'교재재고'!B:B,$A159),0)
+IFERROR(SUMIFS('교재재고'!N:N,'교재재고'!B:B,$A159),0)
+IFERROR(SUMIFS('교재재고'!Q:Q,'교재재고'!B:B,$A159),0)
+IFERROR(SUMIFS('교재재고'!T:T,'교재재고'!B:B,$A159),0)</f>
        <v>0</v>
      </c>
      <c r="H159" s="79">
        <f t="shared" si="2"/>
        <v>0</v>
      </c>
      <c r="I159" s="80">
        <f>IFERROR(SUMIFS('배부로그'!G:G,'배부로그'!D:D,$A159,'배부로그'!F:F,"창고"),0)</f>
        <v>0</v>
      </c>
      <c r="J159" s="59">
        <f>IFERROR(SUMIFS('배부로그'!G:G,'배부로그'!D:D,$A159,'배부로그'!F:F,"4층지원실"),0)</f>
        <v>0</v>
      </c>
      <c r="K159" s="59">
        <f>IFERROR(SUMIFS('배부로그'!G:G,'배부로그'!D:D,$A159,'배부로그'!F:F,"8층지원실"),0)</f>
        <v>0</v>
      </c>
      <c r="L159" s="81">
        <f t="shared" si="3"/>
        <v>0</v>
      </c>
      <c r="M159" s="59">
        <f>IFERROR(SUMIFS('회수로그'!H:H,'회수로그'!E:E,$A159,'회수로그'!G:G,"창고"),0)</f>
        <v>0</v>
      </c>
      <c r="N159" s="59">
        <f>IFERROR(SUMIFS('회수로그'!H:H,'회수로그'!E:E,$A159,'회수로그'!G:G,"4층지원실"),0)</f>
        <v>0</v>
      </c>
      <c r="O159" s="59">
        <f>IFERROR(SUMIFS('회수로그'!H:H,'회수로그'!E:E,$A159,'회수로그'!G:G,"8층지원실"),0)</f>
        <v>0</v>
      </c>
      <c r="P159" s="59">
        <f t="shared" si="4"/>
        <v>0</v>
      </c>
      <c r="Q159" s="59">
        <f>IFERROR(SUMIFS('재고이동로그'!F:F,'재고이동로그'!C:C,$A159,'재고이동로그'!D:D,"창고"),0)</f>
        <v>0</v>
      </c>
      <c r="R159" s="59">
        <f>IFERROR(SUMIFS('재고이동로그'!F:F,'재고이동로그'!C:C,$A159,'재고이동로그'!E:E,"4층지원실"),0)</f>
        <v>0</v>
      </c>
      <c r="S159" s="82">
        <f>IFERROR(SUMIFS('재고이동로그'!F:F,'재고이동로그'!C:C,$A159,'재고이동로그'!E:E,"8층지원실"),0)</f>
        <v>0</v>
      </c>
      <c r="T159" s="59">
        <f>IFERROR(SUMIFS('재고이동로그'!F:F,'재고이동로그'!C:C,$A159,'재고이동로그'!E:E,"창고"),0)</f>
        <v>0</v>
      </c>
      <c r="U159" s="59">
        <f>IFERROR(SUMIFS('재고이동로그'!F:F,'재고이동로그'!C:C,$A159,'재고이동로그'!E:E,"4층지원실"),0)</f>
        <v>0</v>
      </c>
      <c r="V159" s="59">
        <f>IFERROR(SUMIFS('재고이동로그'!F:F,'재고이동로그'!C:C,$A159,'재고이동로그'!E:E,"8층지원실"),0)</f>
        <v>0</v>
      </c>
      <c r="W159" s="83">
        <f t="shared" ref="W159:Y159" si="162">B159+E159-I159+M159-Q159+T159</f>
        <v>0</v>
      </c>
      <c r="X159" s="83">
        <f t="shared" si="162"/>
        <v>0</v>
      </c>
      <c r="Y159" s="83">
        <f t="shared" si="162"/>
        <v>0</v>
      </c>
      <c r="Z159" s="84">
        <f t="shared" si="6"/>
        <v>0</v>
      </c>
      <c r="AA159" s="59" t="str">
        <f t="shared" si="7"/>
        <v>부족</v>
      </c>
      <c r="AB159" s="59"/>
      <c r="AC159" s="59"/>
      <c r="AD159" s="59"/>
      <c r="AE159" s="59"/>
      <c r="AF159" s="59"/>
    </row>
    <row r="160" ht="15.75" customHeight="1">
      <c r="A160" s="59"/>
      <c r="B160" s="77">
        <f>IFERROR(SUMIFS('교재재고'!C:C,'교재재고'!B:B,$A160),0)</f>
        <v>0</v>
      </c>
      <c r="C160" s="77">
        <f>IFERROR(SUMIFS('교재재고'!D:D,'교재재고'!B:B,$A160),0)</f>
        <v>0</v>
      </c>
      <c r="D160" s="77">
        <f>IFERROR(SUMIFS('교재재고'!E:E,'교재재고'!B:B,$A160),0)</f>
        <v>0</v>
      </c>
      <c r="E160" s="78">
        <f>IFERROR(SUMIFS('교재재고'!F:F,'교재재고'!B:B,$A160),0)
+IFERROR(SUMIFS('교재재고'!I:I,'교재재고'!B:B,$A160),0)
+IFERROR(SUMIFS('교재재고'!L:L,'교재재고'!B:B,$A160),0)
+IFERROR(SUMIFS('교재재고'!O:O,'교재재고'!B:B,$A160),0)
+IFERROR(SUMIFS('교재재고'!R:R,'교재재고'!B:B,$A160),0)</f>
        <v>0</v>
      </c>
      <c r="F160" s="79">
        <f>IFERROR(SUMIFS('교재재고'!G:G,'교재재고'!B:B,$A160),0)
+IFERROR(SUMIFS('교재재고'!J:J,'교재재고'!B:B,$A160),0)
+IFERROR(SUMIFS('교재재고'!M:M,'교재재고'!B:B,$A160),0)
+IFERROR(SUMIFS('교재재고'!P:P,'교재재고'!B:B,$A160),0)
+IFERROR(SUMIFS('교재재고'!S:S,'교재재고'!B:B,$A160),0)</f>
        <v>0</v>
      </c>
      <c r="G160" s="79">
        <f>IFERROR(SUMIFS('교재재고'!H:H,'교재재고'!B:B,$A160),0)
+IFERROR(SUMIFS('교재재고'!K:K,'교재재고'!B:B,$A160),0)
+IFERROR(SUMIFS('교재재고'!N:N,'교재재고'!B:B,$A160),0)
+IFERROR(SUMIFS('교재재고'!Q:Q,'교재재고'!B:B,$A160),0)
+IFERROR(SUMIFS('교재재고'!T:T,'교재재고'!B:B,$A160),0)</f>
        <v>0</v>
      </c>
      <c r="H160" s="79">
        <f t="shared" si="2"/>
        <v>0</v>
      </c>
      <c r="I160" s="80">
        <f>IFERROR(SUMIFS('배부로그'!G:G,'배부로그'!D:D,$A160,'배부로그'!F:F,"창고"),0)</f>
        <v>0</v>
      </c>
      <c r="J160" s="59">
        <f>IFERROR(SUMIFS('배부로그'!G:G,'배부로그'!D:D,$A160,'배부로그'!F:F,"4층지원실"),0)</f>
        <v>0</v>
      </c>
      <c r="K160" s="59">
        <f>IFERROR(SUMIFS('배부로그'!G:G,'배부로그'!D:D,$A160,'배부로그'!F:F,"8층지원실"),0)</f>
        <v>0</v>
      </c>
      <c r="L160" s="81">
        <f t="shared" si="3"/>
        <v>0</v>
      </c>
      <c r="M160" s="59">
        <f>IFERROR(SUMIFS('회수로그'!H:H,'회수로그'!E:E,$A160,'회수로그'!G:G,"창고"),0)</f>
        <v>0</v>
      </c>
      <c r="N160" s="59">
        <f>IFERROR(SUMIFS('회수로그'!H:H,'회수로그'!E:E,$A160,'회수로그'!G:G,"4층지원실"),0)</f>
        <v>0</v>
      </c>
      <c r="O160" s="59">
        <f>IFERROR(SUMIFS('회수로그'!H:H,'회수로그'!E:E,$A160,'회수로그'!G:G,"8층지원실"),0)</f>
        <v>0</v>
      </c>
      <c r="P160" s="59">
        <f t="shared" si="4"/>
        <v>0</v>
      </c>
      <c r="Q160" s="59">
        <f>IFERROR(SUMIFS('재고이동로그'!F:F,'재고이동로그'!C:C,$A160,'재고이동로그'!D:D,"창고"),0)</f>
        <v>0</v>
      </c>
      <c r="R160" s="59">
        <f>IFERROR(SUMIFS('재고이동로그'!F:F,'재고이동로그'!C:C,$A160,'재고이동로그'!E:E,"4층지원실"),0)</f>
        <v>0</v>
      </c>
      <c r="S160" s="82">
        <f>IFERROR(SUMIFS('재고이동로그'!F:F,'재고이동로그'!C:C,$A160,'재고이동로그'!E:E,"8층지원실"),0)</f>
        <v>0</v>
      </c>
      <c r="T160" s="59">
        <f>IFERROR(SUMIFS('재고이동로그'!F:F,'재고이동로그'!C:C,$A160,'재고이동로그'!E:E,"창고"),0)</f>
        <v>0</v>
      </c>
      <c r="U160" s="59">
        <f>IFERROR(SUMIFS('재고이동로그'!F:F,'재고이동로그'!C:C,$A160,'재고이동로그'!E:E,"4층지원실"),0)</f>
        <v>0</v>
      </c>
      <c r="V160" s="59">
        <f>IFERROR(SUMIFS('재고이동로그'!F:F,'재고이동로그'!C:C,$A160,'재고이동로그'!E:E,"8층지원실"),0)</f>
        <v>0</v>
      </c>
      <c r="W160" s="83">
        <f t="shared" ref="W160:Y160" si="163">B160+E160-I160+M160-Q160+T160</f>
        <v>0</v>
      </c>
      <c r="X160" s="83">
        <f t="shared" si="163"/>
        <v>0</v>
      </c>
      <c r="Y160" s="83">
        <f t="shared" si="163"/>
        <v>0</v>
      </c>
      <c r="Z160" s="84">
        <f t="shared" si="6"/>
        <v>0</v>
      </c>
      <c r="AA160" s="59" t="str">
        <f t="shared" si="7"/>
        <v>부족</v>
      </c>
      <c r="AB160" s="59"/>
      <c r="AC160" s="59"/>
      <c r="AD160" s="59"/>
      <c r="AE160" s="59"/>
      <c r="AF160" s="59"/>
    </row>
    <row r="161" ht="15.75" customHeight="1">
      <c r="A161" s="59"/>
      <c r="B161" s="77">
        <f>IFERROR(SUMIFS('교재재고'!C:C,'교재재고'!B:B,$A161),0)</f>
        <v>0</v>
      </c>
      <c r="C161" s="77">
        <f>IFERROR(SUMIFS('교재재고'!D:D,'교재재고'!B:B,$A161),0)</f>
        <v>0</v>
      </c>
      <c r="D161" s="77">
        <f>IFERROR(SUMIFS('교재재고'!E:E,'교재재고'!B:B,$A161),0)</f>
        <v>0</v>
      </c>
      <c r="E161" s="78">
        <f>IFERROR(SUMIFS('교재재고'!F:F,'교재재고'!B:B,$A161),0)
+IFERROR(SUMIFS('교재재고'!I:I,'교재재고'!B:B,$A161),0)
+IFERROR(SUMIFS('교재재고'!L:L,'교재재고'!B:B,$A161),0)
+IFERROR(SUMIFS('교재재고'!O:O,'교재재고'!B:B,$A161),0)
+IFERROR(SUMIFS('교재재고'!R:R,'교재재고'!B:B,$A161),0)</f>
        <v>0</v>
      </c>
      <c r="F161" s="79">
        <f>IFERROR(SUMIFS('교재재고'!G:G,'교재재고'!B:B,$A161),0)
+IFERROR(SUMIFS('교재재고'!J:J,'교재재고'!B:B,$A161),0)
+IFERROR(SUMIFS('교재재고'!M:M,'교재재고'!B:B,$A161),0)
+IFERROR(SUMIFS('교재재고'!P:P,'교재재고'!B:B,$A161),0)
+IFERROR(SUMIFS('교재재고'!S:S,'교재재고'!B:B,$A161),0)</f>
        <v>0</v>
      </c>
      <c r="G161" s="79">
        <f>IFERROR(SUMIFS('교재재고'!H:H,'교재재고'!B:B,$A161),0)
+IFERROR(SUMIFS('교재재고'!K:K,'교재재고'!B:B,$A161),0)
+IFERROR(SUMIFS('교재재고'!N:N,'교재재고'!B:B,$A161),0)
+IFERROR(SUMIFS('교재재고'!Q:Q,'교재재고'!B:B,$A161),0)
+IFERROR(SUMIFS('교재재고'!T:T,'교재재고'!B:B,$A161),0)</f>
        <v>0</v>
      </c>
      <c r="H161" s="79">
        <f t="shared" si="2"/>
        <v>0</v>
      </c>
      <c r="I161" s="80">
        <f>IFERROR(SUMIFS('배부로그'!G:G,'배부로그'!D:D,$A161,'배부로그'!F:F,"창고"),0)</f>
        <v>0</v>
      </c>
      <c r="J161" s="59">
        <f>IFERROR(SUMIFS('배부로그'!G:G,'배부로그'!D:D,$A161,'배부로그'!F:F,"4층지원실"),0)</f>
        <v>0</v>
      </c>
      <c r="K161" s="59">
        <f>IFERROR(SUMIFS('배부로그'!G:G,'배부로그'!D:D,$A161,'배부로그'!F:F,"8층지원실"),0)</f>
        <v>0</v>
      </c>
      <c r="L161" s="81">
        <f t="shared" si="3"/>
        <v>0</v>
      </c>
      <c r="M161" s="59">
        <f>IFERROR(SUMIFS('회수로그'!H:H,'회수로그'!E:E,$A161,'회수로그'!G:G,"창고"),0)</f>
        <v>0</v>
      </c>
      <c r="N161" s="59">
        <f>IFERROR(SUMIFS('회수로그'!H:H,'회수로그'!E:E,$A161,'회수로그'!G:G,"4층지원실"),0)</f>
        <v>0</v>
      </c>
      <c r="O161" s="59">
        <f>IFERROR(SUMIFS('회수로그'!H:H,'회수로그'!E:E,$A161,'회수로그'!G:G,"8층지원실"),0)</f>
        <v>0</v>
      </c>
      <c r="P161" s="59">
        <f t="shared" si="4"/>
        <v>0</v>
      </c>
      <c r="Q161" s="59">
        <f>IFERROR(SUMIFS('재고이동로그'!F:F,'재고이동로그'!C:C,$A161,'재고이동로그'!D:D,"창고"),0)</f>
        <v>0</v>
      </c>
      <c r="R161" s="59">
        <f>IFERROR(SUMIFS('재고이동로그'!F:F,'재고이동로그'!C:C,$A161,'재고이동로그'!E:E,"4층지원실"),0)</f>
        <v>0</v>
      </c>
      <c r="S161" s="82">
        <f>IFERROR(SUMIFS('재고이동로그'!F:F,'재고이동로그'!C:C,$A161,'재고이동로그'!E:E,"8층지원실"),0)</f>
        <v>0</v>
      </c>
      <c r="T161" s="59">
        <f>IFERROR(SUMIFS('재고이동로그'!F:F,'재고이동로그'!C:C,$A161,'재고이동로그'!E:E,"창고"),0)</f>
        <v>0</v>
      </c>
      <c r="U161" s="59">
        <f>IFERROR(SUMIFS('재고이동로그'!F:F,'재고이동로그'!C:C,$A161,'재고이동로그'!E:E,"4층지원실"),0)</f>
        <v>0</v>
      </c>
      <c r="V161" s="59">
        <f>IFERROR(SUMIFS('재고이동로그'!F:F,'재고이동로그'!C:C,$A161,'재고이동로그'!E:E,"8층지원실"),0)</f>
        <v>0</v>
      </c>
      <c r="W161" s="83">
        <f t="shared" ref="W161:Y161" si="164">B161+E161-I161+M161-Q161+T161</f>
        <v>0</v>
      </c>
      <c r="X161" s="83">
        <f t="shared" si="164"/>
        <v>0</v>
      </c>
      <c r="Y161" s="83">
        <f t="shared" si="164"/>
        <v>0</v>
      </c>
      <c r="Z161" s="84">
        <f t="shared" si="6"/>
        <v>0</v>
      </c>
      <c r="AA161" s="59" t="str">
        <f t="shared" si="7"/>
        <v>부족</v>
      </c>
      <c r="AB161" s="59"/>
      <c r="AC161" s="59"/>
      <c r="AD161" s="59"/>
      <c r="AE161" s="59"/>
      <c r="AF161" s="59"/>
    </row>
    <row r="162" ht="15.75" customHeight="1">
      <c r="A162" s="59"/>
      <c r="B162" s="77">
        <f>IFERROR(SUMIFS('교재재고'!C:C,'교재재고'!B:B,$A162),0)</f>
        <v>0</v>
      </c>
      <c r="C162" s="77">
        <f>IFERROR(SUMIFS('교재재고'!D:D,'교재재고'!B:B,$A162),0)</f>
        <v>0</v>
      </c>
      <c r="D162" s="77">
        <f>IFERROR(SUMIFS('교재재고'!E:E,'교재재고'!B:B,$A162),0)</f>
        <v>0</v>
      </c>
      <c r="E162" s="78">
        <f>IFERROR(SUMIFS('교재재고'!F:F,'교재재고'!B:B,$A162),0)
+IFERROR(SUMIFS('교재재고'!I:I,'교재재고'!B:B,$A162),0)
+IFERROR(SUMIFS('교재재고'!L:L,'교재재고'!B:B,$A162),0)
+IFERROR(SUMIFS('교재재고'!O:O,'교재재고'!B:B,$A162),0)
+IFERROR(SUMIFS('교재재고'!R:R,'교재재고'!B:B,$A162),0)</f>
        <v>0</v>
      </c>
      <c r="F162" s="79">
        <f>IFERROR(SUMIFS('교재재고'!G:G,'교재재고'!B:B,$A162),0)
+IFERROR(SUMIFS('교재재고'!J:J,'교재재고'!B:B,$A162),0)
+IFERROR(SUMIFS('교재재고'!M:M,'교재재고'!B:B,$A162),0)
+IFERROR(SUMIFS('교재재고'!P:P,'교재재고'!B:B,$A162),0)
+IFERROR(SUMIFS('교재재고'!S:S,'교재재고'!B:B,$A162),0)</f>
        <v>0</v>
      </c>
      <c r="G162" s="79">
        <f>IFERROR(SUMIFS('교재재고'!H:H,'교재재고'!B:B,$A162),0)
+IFERROR(SUMIFS('교재재고'!K:K,'교재재고'!B:B,$A162),0)
+IFERROR(SUMIFS('교재재고'!N:N,'교재재고'!B:B,$A162),0)
+IFERROR(SUMIFS('교재재고'!Q:Q,'교재재고'!B:B,$A162),0)
+IFERROR(SUMIFS('교재재고'!T:T,'교재재고'!B:B,$A162),0)</f>
        <v>0</v>
      </c>
      <c r="H162" s="79">
        <f t="shared" si="2"/>
        <v>0</v>
      </c>
      <c r="I162" s="80">
        <f>IFERROR(SUMIFS('배부로그'!G:G,'배부로그'!D:D,$A162,'배부로그'!F:F,"창고"),0)</f>
        <v>0</v>
      </c>
      <c r="J162" s="59">
        <f>IFERROR(SUMIFS('배부로그'!G:G,'배부로그'!D:D,$A162,'배부로그'!F:F,"4층지원실"),0)</f>
        <v>0</v>
      </c>
      <c r="K162" s="59">
        <f>IFERROR(SUMIFS('배부로그'!G:G,'배부로그'!D:D,$A162,'배부로그'!F:F,"8층지원실"),0)</f>
        <v>0</v>
      </c>
      <c r="L162" s="81">
        <f t="shared" si="3"/>
        <v>0</v>
      </c>
      <c r="M162" s="59">
        <f>IFERROR(SUMIFS('회수로그'!H:H,'회수로그'!E:E,$A162,'회수로그'!G:G,"창고"),0)</f>
        <v>0</v>
      </c>
      <c r="N162" s="59">
        <f>IFERROR(SUMIFS('회수로그'!H:H,'회수로그'!E:E,$A162,'회수로그'!G:G,"4층지원실"),0)</f>
        <v>0</v>
      </c>
      <c r="O162" s="59">
        <f>IFERROR(SUMIFS('회수로그'!H:H,'회수로그'!E:E,$A162,'회수로그'!G:G,"8층지원실"),0)</f>
        <v>0</v>
      </c>
      <c r="P162" s="59">
        <f t="shared" si="4"/>
        <v>0</v>
      </c>
      <c r="Q162" s="59">
        <f>IFERROR(SUMIFS('재고이동로그'!F:F,'재고이동로그'!C:C,$A162,'재고이동로그'!D:D,"창고"),0)</f>
        <v>0</v>
      </c>
      <c r="R162" s="59">
        <f>IFERROR(SUMIFS('재고이동로그'!F:F,'재고이동로그'!C:C,$A162,'재고이동로그'!E:E,"4층지원실"),0)</f>
        <v>0</v>
      </c>
      <c r="S162" s="82">
        <f>IFERROR(SUMIFS('재고이동로그'!F:F,'재고이동로그'!C:C,$A162,'재고이동로그'!E:E,"8층지원실"),0)</f>
        <v>0</v>
      </c>
      <c r="T162" s="59">
        <f>IFERROR(SUMIFS('재고이동로그'!F:F,'재고이동로그'!C:C,$A162,'재고이동로그'!E:E,"창고"),0)</f>
        <v>0</v>
      </c>
      <c r="U162" s="59">
        <f>IFERROR(SUMIFS('재고이동로그'!F:F,'재고이동로그'!C:C,$A162,'재고이동로그'!E:E,"4층지원실"),0)</f>
        <v>0</v>
      </c>
      <c r="V162" s="59">
        <f>IFERROR(SUMIFS('재고이동로그'!F:F,'재고이동로그'!C:C,$A162,'재고이동로그'!E:E,"8층지원실"),0)</f>
        <v>0</v>
      </c>
      <c r="W162" s="83">
        <f t="shared" ref="W162:Y162" si="165">B162+E162-I162+M162-Q162+T162</f>
        <v>0</v>
      </c>
      <c r="X162" s="83">
        <f t="shared" si="165"/>
        <v>0</v>
      </c>
      <c r="Y162" s="83">
        <f t="shared" si="165"/>
        <v>0</v>
      </c>
      <c r="Z162" s="84">
        <f t="shared" si="6"/>
        <v>0</v>
      </c>
      <c r="AA162" s="59" t="str">
        <f t="shared" si="7"/>
        <v>부족</v>
      </c>
      <c r="AB162" s="59"/>
      <c r="AC162" s="59"/>
      <c r="AD162" s="59"/>
      <c r="AE162" s="59"/>
      <c r="AF162" s="59"/>
    </row>
    <row r="163" ht="15.75" customHeight="1">
      <c r="A163" s="59"/>
      <c r="B163" s="77">
        <f>IFERROR(SUMIFS('교재재고'!C:C,'교재재고'!B:B,$A163),0)</f>
        <v>0</v>
      </c>
      <c r="C163" s="77">
        <f>IFERROR(SUMIFS('교재재고'!D:D,'교재재고'!B:B,$A163),0)</f>
        <v>0</v>
      </c>
      <c r="D163" s="77">
        <f>IFERROR(SUMIFS('교재재고'!E:E,'교재재고'!B:B,$A163),0)</f>
        <v>0</v>
      </c>
      <c r="E163" s="78">
        <f>IFERROR(SUMIFS('교재재고'!F:F,'교재재고'!B:B,$A163),0)
+IFERROR(SUMIFS('교재재고'!I:I,'교재재고'!B:B,$A163),0)
+IFERROR(SUMIFS('교재재고'!L:L,'교재재고'!B:B,$A163),0)
+IFERROR(SUMIFS('교재재고'!O:O,'교재재고'!B:B,$A163),0)
+IFERROR(SUMIFS('교재재고'!R:R,'교재재고'!B:B,$A163),0)</f>
        <v>0</v>
      </c>
      <c r="F163" s="79">
        <f>IFERROR(SUMIFS('교재재고'!G:G,'교재재고'!B:B,$A163),0)
+IFERROR(SUMIFS('교재재고'!J:J,'교재재고'!B:B,$A163),0)
+IFERROR(SUMIFS('교재재고'!M:M,'교재재고'!B:B,$A163),0)
+IFERROR(SUMIFS('교재재고'!P:P,'교재재고'!B:B,$A163),0)
+IFERROR(SUMIFS('교재재고'!S:S,'교재재고'!B:B,$A163),0)</f>
        <v>0</v>
      </c>
      <c r="G163" s="79">
        <f>IFERROR(SUMIFS('교재재고'!H:H,'교재재고'!B:B,$A163),0)
+IFERROR(SUMIFS('교재재고'!K:K,'교재재고'!B:B,$A163),0)
+IFERROR(SUMIFS('교재재고'!N:N,'교재재고'!B:B,$A163),0)
+IFERROR(SUMIFS('교재재고'!Q:Q,'교재재고'!B:B,$A163),0)
+IFERROR(SUMIFS('교재재고'!T:T,'교재재고'!B:B,$A163),0)</f>
        <v>0</v>
      </c>
      <c r="H163" s="79">
        <f t="shared" si="2"/>
        <v>0</v>
      </c>
      <c r="I163" s="80">
        <f>IFERROR(SUMIFS('배부로그'!G:G,'배부로그'!D:D,$A163,'배부로그'!F:F,"창고"),0)</f>
        <v>0</v>
      </c>
      <c r="J163" s="59">
        <f>IFERROR(SUMIFS('배부로그'!G:G,'배부로그'!D:D,$A163,'배부로그'!F:F,"4층지원실"),0)</f>
        <v>0</v>
      </c>
      <c r="K163" s="59">
        <f>IFERROR(SUMIFS('배부로그'!G:G,'배부로그'!D:D,$A163,'배부로그'!F:F,"8층지원실"),0)</f>
        <v>0</v>
      </c>
      <c r="L163" s="81">
        <f t="shared" si="3"/>
        <v>0</v>
      </c>
      <c r="M163" s="59">
        <f>IFERROR(SUMIFS('회수로그'!H:H,'회수로그'!E:E,$A163,'회수로그'!G:G,"창고"),0)</f>
        <v>0</v>
      </c>
      <c r="N163" s="59">
        <f>IFERROR(SUMIFS('회수로그'!H:H,'회수로그'!E:E,$A163,'회수로그'!G:G,"4층지원실"),0)</f>
        <v>0</v>
      </c>
      <c r="O163" s="59">
        <f>IFERROR(SUMIFS('회수로그'!H:H,'회수로그'!E:E,$A163,'회수로그'!G:G,"8층지원실"),0)</f>
        <v>0</v>
      </c>
      <c r="P163" s="59">
        <f t="shared" si="4"/>
        <v>0</v>
      </c>
      <c r="Q163" s="59">
        <f>IFERROR(SUMIFS('재고이동로그'!F:F,'재고이동로그'!C:C,$A163,'재고이동로그'!D:D,"창고"),0)</f>
        <v>0</v>
      </c>
      <c r="R163" s="59">
        <f>IFERROR(SUMIFS('재고이동로그'!F:F,'재고이동로그'!C:C,$A163,'재고이동로그'!E:E,"4층지원실"),0)</f>
        <v>0</v>
      </c>
      <c r="S163" s="82">
        <f>IFERROR(SUMIFS('재고이동로그'!F:F,'재고이동로그'!C:C,$A163,'재고이동로그'!E:E,"8층지원실"),0)</f>
        <v>0</v>
      </c>
      <c r="T163" s="59">
        <f>IFERROR(SUMIFS('재고이동로그'!F:F,'재고이동로그'!C:C,$A163,'재고이동로그'!E:E,"창고"),0)</f>
        <v>0</v>
      </c>
      <c r="U163" s="59">
        <f>IFERROR(SUMIFS('재고이동로그'!F:F,'재고이동로그'!C:C,$A163,'재고이동로그'!E:E,"4층지원실"),0)</f>
        <v>0</v>
      </c>
      <c r="V163" s="59">
        <f>IFERROR(SUMIFS('재고이동로그'!F:F,'재고이동로그'!C:C,$A163,'재고이동로그'!E:E,"8층지원실"),0)</f>
        <v>0</v>
      </c>
      <c r="W163" s="83">
        <f t="shared" ref="W163:Y163" si="166">B163+E163-I163+M163-Q163+T163</f>
        <v>0</v>
      </c>
      <c r="X163" s="83">
        <f t="shared" si="166"/>
        <v>0</v>
      </c>
      <c r="Y163" s="83">
        <f t="shared" si="166"/>
        <v>0</v>
      </c>
      <c r="Z163" s="84">
        <f t="shared" si="6"/>
        <v>0</v>
      </c>
      <c r="AA163" s="59" t="str">
        <f t="shared" si="7"/>
        <v>부족</v>
      </c>
      <c r="AB163" s="59"/>
      <c r="AC163" s="59"/>
      <c r="AD163" s="59"/>
      <c r="AE163" s="59"/>
      <c r="AF163" s="59"/>
    </row>
    <row r="164" ht="15.75" customHeight="1">
      <c r="A164" s="59"/>
      <c r="B164" s="77">
        <f>IFERROR(SUMIFS('교재재고'!C:C,'교재재고'!B:B,$A164),0)</f>
        <v>0</v>
      </c>
      <c r="C164" s="77">
        <f>IFERROR(SUMIFS('교재재고'!D:D,'교재재고'!B:B,$A164),0)</f>
        <v>0</v>
      </c>
      <c r="D164" s="77">
        <f>IFERROR(SUMIFS('교재재고'!E:E,'교재재고'!B:B,$A164),0)</f>
        <v>0</v>
      </c>
      <c r="E164" s="78">
        <f>IFERROR(SUMIFS('교재재고'!F:F,'교재재고'!B:B,$A164),0)
+IFERROR(SUMIFS('교재재고'!I:I,'교재재고'!B:B,$A164),0)
+IFERROR(SUMIFS('교재재고'!L:L,'교재재고'!B:B,$A164),0)
+IFERROR(SUMIFS('교재재고'!O:O,'교재재고'!B:B,$A164),0)
+IFERROR(SUMIFS('교재재고'!R:R,'교재재고'!B:B,$A164),0)</f>
        <v>0</v>
      </c>
      <c r="F164" s="79">
        <f>IFERROR(SUMIFS('교재재고'!G:G,'교재재고'!B:B,$A164),0)
+IFERROR(SUMIFS('교재재고'!J:J,'교재재고'!B:B,$A164),0)
+IFERROR(SUMIFS('교재재고'!M:M,'교재재고'!B:B,$A164),0)
+IFERROR(SUMIFS('교재재고'!P:P,'교재재고'!B:B,$A164),0)
+IFERROR(SUMIFS('교재재고'!S:S,'교재재고'!B:B,$A164),0)</f>
        <v>0</v>
      </c>
      <c r="G164" s="79">
        <f>IFERROR(SUMIFS('교재재고'!H:H,'교재재고'!B:B,$A164),0)
+IFERROR(SUMIFS('교재재고'!K:K,'교재재고'!B:B,$A164),0)
+IFERROR(SUMIFS('교재재고'!N:N,'교재재고'!B:B,$A164),0)
+IFERROR(SUMIFS('교재재고'!Q:Q,'교재재고'!B:B,$A164),0)
+IFERROR(SUMIFS('교재재고'!T:T,'교재재고'!B:B,$A164),0)</f>
        <v>0</v>
      </c>
      <c r="H164" s="79">
        <f t="shared" si="2"/>
        <v>0</v>
      </c>
      <c r="I164" s="80">
        <f>IFERROR(SUMIFS('배부로그'!G:G,'배부로그'!D:D,$A164,'배부로그'!F:F,"창고"),0)</f>
        <v>0</v>
      </c>
      <c r="J164" s="59">
        <f>IFERROR(SUMIFS('배부로그'!G:G,'배부로그'!D:D,$A164,'배부로그'!F:F,"4층지원실"),0)</f>
        <v>0</v>
      </c>
      <c r="K164" s="59">
        <f>IFERROR(SUMIFS('배부로그'!G:G,'배부로그'!D:D,$A164,'배부로그'!F:F,"8층지원실"),0)</f>
        <v>0</v>
      </c>
      <c r="L164" s="81">
        <f t="shared" si="3"/>
        <v>0</v>
      </c>
      <c r="M164" s="59">
        <f>IFERROR(SUMIFS('회수로그'!H:H,'회수로그'!E:E,$A164,'회수로그'!G:G,"창고"),0)</f>
        <v>0</v>
      </c>
      <c r="N164" s="59">
        <f>IFERROR(SUMIFS('회수로그'!H:H,'회수로그'!E:E,$A164,'회수로그'!G:G,"4층지원실"),0)</f>
        <v>0</v>
      </c>
      <c r="O164" s="59">
        <f>IFERROR(SUMIFS('회수로그'!H:H,'회수로그'!E:E,$A164,'회수로그'!G:G,"8층지원실"),0)</f>
        <v>0</v>
      </c>
      <c r="P164" s="59">
        <f t="shared" si="4"/>
        <v>0</v>
      </c>
      <c r="Q164" s="59">
        <f>IFERROR(SUMIFS('재고이동로그'!F:F,'재고이동로그'!C:C,$A164,'재고이동로그'!D:D,"창고"),0)</f>
        <v>0</v>
      </c>
      <c r="R164" s="59">
        <f>IFERROR(SUMIFS('재고이동로그'!F:F,'재고이동로그'!C:C,$A164,'재고이동로그'!E:E,"4층지원실"),0)</f>
        <v>0</v>
      </c>
      <c r="S164" s="82">
        <f>IFERROR(SUMIFS('재고이동로그'!F:F,'재고이동로그'!C:C,$A164,'재고이동로그'!E:E,"8층지원실"),0)</f>
        <v>0</v>
      </c>
      <c r="T164" s="59">
        <f>IFERROR(SUMIFS('재고이동로그'!F:F,'재고이동로그'!C:C,$A164,'재고이동로그'!E:E,"창고"),0)</f>
        <v>0</v>
      </c>
      <c r="U164" s="59">
        <f>IFERROR(SUMIFS('재고이동로그'!F:F,'재고이동로그'!C:C,$A164,'재고이동로그'!E:E,"4층지원실"),0)</f>
        <v>0</v>
      </c>
      <c r="V164" s="59">
        <f>IFERROR(SUMIFS('재고이동로그'!F:F,'재고이동로그'!C:C,$A164,'재고이동로그'!E:E,"8층지원실"),0)</f>
        <v>0</v>
      </c>
      <c r="W164" s="83">
        <f t="shared" ref="W164:Y164" si="167">B164+E164-I164+M164-Q164+T164</f>
        <v>0</v>
      </c>
      <c r="X164" s="83">
        <f t="shared" si="167"/>
        <v>0</v>
      </c>
      <c r="Y164" s="83">
        <f t="shared" si="167"/>
        <v>0</v>
      </c>
      <c r="Z164" s="84">
        <f t="shared" si="6"/>
        <v>0</v>
      </c>
      <c r="AA164" s="59" t="str">
        <f t="shared" si="7"/>
        <v>부족</v>
      </c>
      <c r="AB164" s="59"/>
      <c r="AC164" s="59"/>
      <c r="AD164" s="59"/>
      <c r="AE164" s="59"/>
      <c r="AF164" s="59"/>
    </row>
    <row r="165" ht="15.75" customHeight="1">
      <c r="A165" s="59"/>
      <c r="B165" s="77">
        <f>IFERROR(SUMIFS('교재재고'!C:C,'교재재고'!B:B,$A165),0)</f>
        <v>0</v>
      </c>
      <c r="C165" s="77">
        <f>IFERROR(SUMIFS('교재재고'!D:D,'교재재고'!B:B,$A165),0)</f>
        <v>0</v>
      </c>
      <c r="D165" s="77">
        <f>IFERROR(SUMIFS('교재재고'!E:E,'교재재고'!B:B,$A165),0)</f>
        <v>0</v>
      </c>
      <c r="E165" s="78">
        <f>IFERROR(SUMIFS('교재재고'!F:F,'교재재고'!B:B,$A165),0)
+IFERROR(SUMIFS('교재재고'!I:I,'교재재고'!B:B,$A165),0)
+IFERROR(SUMIFS('교재재고'!L:L,'교재재고'!B:B,$A165),0)
+IFERROR(SUMIFS('교재재고'!O:O,'교재재고'!B:B,$A165),0)
+IFERROR(SUMIFS('교재재고'!R:R,'교재재고'!B:B,$A165),0)</f>
        <v>0</v>
      </c>
      <c r="F165" s="79">
        <f>IFERROR(SUMIFS('교재재고'!G:G,'교재재고'!B:B,$A165),0)
+IFERROR(SUMIFS('교재재고'!J:J,'교재재고'!B:B,$A165),0)
+IFERROR(SUMIFS('교재재고'!M:M,'교재재고'!B:B,$A165),0)
+IFERROR(SUMIFS('교재재고'!P:P,'교재재고'!B:B,$A165),0)
+IFERROR(SUMIFS('교재재고'!S:S,'교재재고'!B:B,$A165),0)</f>
        <v>0</v>
      </c>
      <c r="G165" s="79">
        <f>IFERROR(SUMIFS('교재재고'!H:H,'교재재고'!B:B,$A165),0)
+IFERROR(SUMIFS('교재재고'!K:K,'교재재고'!B:B,$A165),0)
+IFERROR(SUMIFS('교재재고'!N:N,'교재재고'!B:B,$A165),0)
+IFERROR(SUMIFS('교재재고'!Q:Q,'교재재고'!B:B,$A165),0)
+IFERROR(SUMIFS('교재재고'!T:T,'교재재고'!B:B,$A165),0)</f>
        <v>0</v>
      </c>
      <c r="H165" s="79">
        <f t="shared" si="2"/>
        <v>0</v>
      </c>
      <c r="I165" s="80">
        <f>IFERROR(SUMIFS('배부로그'!G:G,'배부로그'!D:D,$A165,'배부로그'!F:F,"창고"),0)</f>
        <v>0</v>
      </c>
      <c r="J165" s="59">
        <f>IFERROR(SUMIFS('배부로그'!G:G,'배부로그'!D:D,$A165,'배부로그'!F:F,"4층지원실"),0)</f>
        <v>0</v>
      </c>
      <c r="K165" s="59">
        <f>IFERROR(SUMIFS('배부로그'!G:G,'배부로그'!D:D,$A165,'배부로그'!F:F,"8층지원실"),0)</f>
        <v>0</v>
      </c>
      <c r="L165" s="81">
        <f t="shared" si="3"/>
        <v>0</v>
      </c>
      <c r="M165" s="59">
        <f>IFERROR(SUMIFS('회수로그'!H:H,'회수로그'!E:E,$A165,'회수로그'!G:G,"창고"),0)</f>
        <v>0</v>
      </c>
      <c r="N165" s="59">
        <f>IFERROR(SUMIFS('회수로그'!H:H,'회수로그'!E:E,$A165,'회수로그'!G:G,"4층지원실"),0)</f>
        <v>0</v>
      </c>
      <c r="O165" s="59">
        <f>IFERROR(SUMIFS('회수로그'!H:H,'회수로그'!E:E,$A165,'회수로그'!G:G,"8층지원실"),0)</f>
        <v>0</v>
      </c>
      <c r="P165" s="59">
        <f t="shared" si="4"/>
        <v>0</v>
      </c>
      <c r="Q165" s="59">
        <f>IFERROR(SUMIFS('재고이동로그'!F:F,'재고이동로그'!C:C,$A165,'재고이동로그'!D:D,"창고"),0)</f>
        <v>0</v>
      </c>
      <c r="R165" s="59">
        <f>IFERROR(SUMIFS('재고이동로그'!F:F,'재고이동로그'!C:C,$A165,'재고이동로그'!E:E,"4층지원실"),0)</f>
        <v>0</v>
      </c>
      <c r="S165" s="82">
        <f>IFERROR(SUMIFS('재고이동로그'!F:F,'재고이동로그'!C:C,$A165,'재고이동로그'!E:E,"8층지원실"),0)</f>
        <v>0</v>
      </c>
      <c r="T165" s="59">
        <f>IFERROR(SUMIFS('재고이동로그'!F:F,'재고이동로그'!C:C,$A165,'재고이동로그'!E:E,"창고"),0)</f>
        <v>0</v>
      </c>
      <c r="U165" s="59">
        <f>IFERROR(SUMIFS('재고이동로그'!F:F,'재고이동로그'!C:C,$A165,'재고이동로그'!E:E,"4층지원실"),0)</f>
        <v>0</v>
      </c>
      <c r="V165" s="59">
        <f>IFERROR(SUMIFS('재고이동로그'!F:F,'재고이동로그'!C:C,$A165,'재고이동로그'!E:E,"8층지원실"),0)</f>
        <v>0</v>
      </c>
      <c r="W165" s="83">
        <f t="shared" ref="W165:Y165" si="168">B165+E165-I165+M165-Q165+T165</f>
        <v>0</v>
      </c>
      <c r="X165" s="83">
        <f t="shared" si="168"/>
        <v>0</v>
      </c>
      <c r="Y165" s="83">
        <f t="shared" si="168"/>
        <v>0</v>
      </c>
      <c r="Z165" s="84">
        <f t="shared" si="6"/>
        <v>0</v>
      </c>
      <c r="AA165" s="59" t="str">
        <f t="shared" si="7"/>
        <v>부족</v>
      </c>
      <c r="AB165" s="59"/>
      <c r="AC165" s="59"/>
      <c r="AD165" s="59"/>
      <c r="AE165" s="59"/>
      <c r="AF165" s="59"/>
    </row>
    <row r="166" ht="15.75" customHeight="1">
      <c r="A166" s="59"/>
      <c r="B166" s="77">
        <f>IFERROR(SUMIFS('교재재고'!C:C,'교재재고'!B:B,$A166),0)</f>
        <v>0</v>
      </c>
      <c r="C166" s="77">
        <f>IFERROR(SUMIFS('교재재고'!D:D,'교재재고'!B:B,$A166),0)</f>
        <v>0</v>
      </c>
      <c r="D166" s="77">
        <f>IFERROR(SUMIFS('교재재고'!E:E,'교재재고'!B:B,$A166),0)</f>
        <v>0</v>
      </c>
      <c r="E166" s="78">
        <f>IFERROR(SUMIFS('교재재고'!F:F,'교재재고'!B:B,$A166),0)
+IFERROR(SUMIFS('교재재고'!I:I,'교재재고'!B:B,$A166),0)
+IFERROR(SUMIFS('교재재고'!L:L,'교재재고'!B:B,$A166),0)
+IFERROR(SUMIFS('교재재고'!O:O,'교재재고'!B:B,$A166),0)
+IFERROR(SUMIFS('교재재고'!R:R,'교재재고'!B:B,$A166),0)</f>
        <v>0</v>
      </c>
      <c r="F166" s="79">
        <f>IFERROR(SUMIFS('교재재고'!G:G,'교재재고'!B:B,$A166),0)
+IFERROR(SUMIFS('교재재고'!J:J,'교재재고'!B:B,$A166),0)
+IFERROR(SUMIFS('교재재고'!M:M,'교재재고'!B:B,$A166),0)
+IFERROR(SUMIFS('교재재고'!P:P,'교재재고'!B:B,$A166),0)
+IFERROR(SUMIFS('교재재고'!S:S,'교재재고'!B:B,$A166),0)</f>
        <v>0</v>
      </c>
      <c r="G166" s="79">
        <f>IFERROR(SUMIFS('교재재고'!H:H,'교재재고'!B:B,$A166),0)
+IFERROR(SUMIFS('교재재고'!K:K,'교재재고'!B:B,$A166),0)
+IFERROR(SUMIFS('교재재고'!N:N,'교재재고'!B:B,$A166),0)
+IFERROR(SUMIFS('교재재고'!Q:Q,'교재재고'!B:B,$A166),0)
+IFERROR(SUMIFS('교재재고'!T:T,'교재재고'!B:B,$A166),0)</f>
        <v>0</v>
      </c>
      <c r="H166" s="79">
        <f t="shared" si="2"/>
        <v>0</v>
      </c>
      <c r="I166" s="80">
        <f>IFERROR(SUMIFS('배부로그'!G:G,'배부로그'!D:D,$A166,'배부로그'!F:F,"창고"),0)</f>
        <v>0</v>
      </c>
      <c r="J166" s="59">
        <f>IFERROR(SUMIFS('배부로그'!G:G,'배부로그'!D:D,$A166,'배부로그'!F:F,"4층지원실"),0)</f>
        <v>0</v>
      </c>
      <c r="K166" s="59">
        <f>IFERROR(SUMIFS('배부로그'!G:G,'배부로그'!D:D,$A166,'배부로그'!F:F,"8층지원실"),0)</f>
        <v>0</v>
      </c>
      <c r="L166" s="81">
        <f t="shared" si="3"/>
        <v>0</v>
      </c>
      <c r="M166" s="59">
        <f>IFERROR(SUMIFS('회수로그'!H:H,'회수로그'!E:E,$A166,'회수로그'!G:G,"창고"),0)</f>
        <v>0</v>
      </c>
      <c r="N166" s="59">
        <f>IFERROR(SUMIFS('회수로그'!H:H,'회수로그'!E:E,$A166,'회수로그'!G:G,"4층지원실"),0)</f>
        <v>0</v>
      </c>
      <c r="O166" s="59">
        <f>IFERROR(SUMIFS('회수로그'!H:H,'회수로그'!E:E,$A166,'회수로그'!G:G,"8층지원실"),0)</f>
        <v>0</v>
      </c>
      <c r="P166" s="59">
        <f t="shared" si="4"/>
        <v>0</v>
      </c>
      <c r="Q166" s="59">
        <f>IFERROR(SUMIFS('재고이동로그'!F:F,'재고이동로그'!C:C,$A166,'재고이동로그'!D:D,"창고"),0)</f>
        <v>0</v>
      </c>
      <c r="R166" s="59">
        <f>IFERROR(SUMIFS('재고이동로그'!F:F,'재고이동로그'!C:C,$A166,'재고이동로그'!E:E,"4층지원실"),0)</f>
        <v>0</v>
      </c>
      <c r="S166" s="82">
        <f>IFERROR(SUMIFS('재고이동로그'!F:F,'재고이동로그'!C:C,$A166,'재고이동로그'!E:E,"8층지원실"),0)</f>
        <v>0</v>
      </c>
      <c r="T166" s="59">
        <f>IFERROR(SUMIFS('재고이동로그'!F:F,'재고이동로그'!C:C,$A166,'재고이동로그'!E:E,"창고"),0)</f>
        <v>0</v>
      </c>
      <c r="U166" s="59">
        <f>IFERROR(SUMIFS('재고이동로그'!F:F,'재고이동로그'!C:C,$A166,'재고이동로그'!E:E,"4층지원실"),0)</f>
        <v>0</v>
      </c>
      <c r="V166" s="59">
        <f>IFERROR(SUMIFS('재고이동로그'!F:F,'재고이동로그'!C:C,$A166,'재고이동로그'!E:E,"8층지원실"),0)</f>
        <v>0</v>
      </c>
      <c r="W166" s="83">
        <f t="shared" ref="W166:Y166" si="169">B166+E166-I166+M166-Q166+T166</f>
        <v>0</v>
      </c>
      <c r="X166" s="83">
        <f t="shared" si="169"/>
        <v>0</v>
      </c>
      <c r="Y166" s="83">
        <f t="shared" si="169"/>
        <v>0</v>
      </c>
      <c r="Z166" s="84">
        <f t="shared" si="6"/>
        <v>0</v>
      </c>
      <c r="AA166" s="59" t="str">
        <f t="shared" si="7"/>
        <v>부족</v>
      </c>
      <c r="AB166" s="59"/>
      <c r="AC166" s="59"/>
      <c r="AD166" s="59"/>
      <c r="AE166" s="59"/>
      <c r="AF166" s="59"/>
    </row>
    <row r="167" ht="15.75" customHeight="1">
      <c r="A167" s="59"/>
      <c r="B167" s="77">
        <f>IFERROR(SUMIFS('교재재고'!C:C,'교재재고'!B:B,$A167),0)</f>
        <v>0</v>
      </c>
      <c r="C167" s="77">
        <f>IFERROR(SUMIFS('교재재고'!D:D,'교재재고'!B:B,$A167),0)</f>
        <v>0</v>
      </c>
      <c r="D167" s="77">
        <f>IFERROR(SUMIFS('교재재고'!E:E,'교재재고'!B:B,$A167),0)</f>
        <v>0</v>
      </c>
      <c r="E167" s="78">
        <f>IFERROR(SUMIFS('교재재고'!F:F,'교재재고'!B:B,$A167),0)
+IFERROR(SUMIFS('교재재고'!I:I,'교재재고'!B:B,$A167),0)
+IFERROR(SUMIFS('교재재고'!L:L,'교재재고'!B:B,$A167),0)
+IFERROR(SUMIFS('교재재고'!O:O,'교재재고'!B:B,$A167),0)
+IFERROR(SUMIFS('교재재고'!R:R,'교재재고'!B:B,$A167),0)</f>
        <v>0</v>
      </c>
      <c r="F167" s="79">
        <f>IFERROR(SUMIFS('교재재고'!G:G,'교재재고'!B:B,$A167),0)
+IFERROR(SUMIFS('교재재고'!J:J,'교재재고'!B:B,$A167),0)
+IFERROR(SUMIFS('교재재고'!M:M,'교재재고'!B:B,$A167),0)
+IFERROR(SUMIFS('교재재고'!P:P,'교재재고'!B:B,$A167),0)
+IFERROR(SUMIFS('교재재고'!S:S,'교재재고'!B:B,$A167),0)</f>
        <v>0</v>
      </c>
      <c r="G167" s="79">
        <f>IFERROR(SUMIFS('교재재고'!H:H,'교재재고'!B:B,$A167),0)
+IFERROR(SUMIFS('교재재고'!K:K,'교재재고'!B:B,$A167),0)
+IFERROR(SUMIFS('교재재고'!N:N,'교재재고'!B:B,$A167),0)
+IFERROR(SUMIFS('교재재고'!Q:Q,'교재재고'!B:B,$A167),0)
+IFERROR(SUMIFS('교재재고'!T:T,'교재재고'!B:B,$A167),0)</f>
        <v>0</v>
      </c>
      <c r="H167" s="79">
        <f t="shared" si="2"/>
        <v>0</v>
      </c>
      <c r="I167" s="80">
        <f>IFERROR(SUMIFS('배부로그'!G:G,'배부로그'!D:D,$A167,'배부로그'!F:F,"창고"),0)</f>
        <v>0</v>
      </c>
      <c r="J167" s="59">
        <f>IFERROR(SUMIFS('배부로그'!G:G,'배부로그'!D:D,$A167,'배부로그'!F:F,"4층지원실"),0)</f>
        <v>0</v>
      </c>
      <c r="K167" s="59">
        <f>IFERROR(SUMIFS('배부로그'!G:G,'배부로그'!D:D,$A167,'배부로그'!F:F,"8층지원실"),0)</f>
        <v>0</v>
      </c>
      <c r="L167" s="81">
        <f t="shared" si="3"/>
        <v>0</v>
      </c>
      <c r="M167" s="59">
        <f>IFERROR(SUMIFS('회수로그'!H:H,'회수로그'!E:E,$A167,'회수로그'!G:G,"창고"),0)</f>
        <v>0</v>
      </c>
      <c r="N167" s="59">
        <f>IFERROR(SUMIFS('회수로그'!H:H,'회수로그'!E:E,$A167,'회수로그'!G:G,"4층지원실"),0)</f>
        <v>0</v>
      </c>
      <c r="O167" s="59">
        <f>IFERROR(SUMIFS('회수로그'!H:H,'회수로그'!E:E,$A167,'회수로그'!G:G,"8층지원실"),0)</f>
        <v>0</v>
      </c>
      <c r="P167" s="59">
        <f t="shared" si="4"/>
        <v>0</v>
      </c>
      <c r="Q167" s="59">
        <f>IFERROR(SUMIFS('재고이동로그'!F:F,'재고이동로그'!C:C,$A167,'재고이동로그'!D:D,"창고"),0)</f>
        <v>0</v>
      </c>
      <c r="R167" s="59">
        <f>IFERROR(SUMIFS('재고이동로그'!F:F,'재고이동로그'!C:C,$A167,'재고이동로그'!E:E,"4층지원실"),0)</f>
        <v>0</v>
      </c>
      <c r="S167" s="82">
        <f>IFERROR(SUMIFS('재고이동로그'!F:F,'재고이동로그'!C:C,$A167,'재고이동로그'!E:E,"8층지원실"),0)</f>
        <v>0</v>
      </c>
      <c r="T167" s="59">
        <f>IFERROR(SUMIFS('재고이동로그'!F:F,'재고이동로그'!C:C,$A167,'재고이동로그'!E:E,"창고"),0)</f>
        <v>0</v>
      </c>
      <c r="U167" s="59">
        <f>IFERROR(SUMIFS('재고이동로그'!F:F,'재고이동로그'!C:C,$A167,'재고이동로그'!E:E,"4층지원실"),0)</f>
        <v>0</v>
      </c>
      <c r="V167" s="59">
        <f>IFERROR(SUMIFS('재고이동로그'!F:F,'재고이동로그'!C:C,$A167,'재고이동로그'!E:E,"8층지원실"),0)</f>
        <v>0</v>
      </c>
      <c r="W167" s="83">
        <f t="shared" ref="W167:Y167" si="170">B167+E167-I167+M167-Q167+T167</f>
        <v>0</v>
      </c>
      <c r="X167" s="83">
        <f t="shared" si="170"/>
        <v>0</v>
      </c>
      <c r="Y167" s="83">
        <f t="shared" si="170"/>
        <v>0</v>
      </c>
      <c r="Z167" s="84">
        <f t="shared" si="6"/>
        <v>0</v>
      </c>
      <c r="AA167" s="59" t="str">
        <f t="shared" si="7"/>
        <v>부족</v>
      </c>
      <c r="AB167" s="59"/>
      <c r="AC167" s="59"/>
      <c r="AD167" s="59"/>
      <c r="AE167" s="59"/>
      <c r="AF167" s="59"/>
    </row>
    <row r="168" ht="15.75" customHeight="1">
      <c r="A168" s="59"/>
      <c r="B168" s="77">
        <f>IFERROR(SUMIFS('교재재고'!C:C,'교재재고'!B:B,$A168),0)</f>
        <v>0</v>
      </c>
      <c r="C168" s="77">
        <f>IFERROR(SUMIFS('교재재고'!D:D,'교재재고'!B:B,$A168),0)</f>
        <v>0</v>
      </c>
      <c r="D168" s="77">
        <f>IFERROR(SUMIFS('교재재고'!E:E,'교재재고'!B:B,$A168),0)</f>
        <v>0</v>
      </c>
      <c r="E168" s="78">
        <f>IFERROR(SUMIFS('교재재고'!F:F,'교재재고'!B:B,$A168),0)
+IFERROR(SUMIFS('교재재고'!I:I,'교재재고'!B:B,$A168),0)
+IFERROR(SUMIFS('교재재고'!L:L,'교재재고'!B:B,$A168),0)
+IFERROR(SUMIFS('교재재고'!O:O,'교재재고'!B:B,$A168),0)
+IFERROR(SUMIFS('교재재고'!R:R,'교재재고'!B:B,$A168),0)</f>
        <v>0</v>
      </c>
      <c r="F168" s="79">
        <f>IFERROR(SUMIFS('교재재고'!G:G,'교재재고'!B:B,$A168),0)
+IFERROR(SUMIFS('교재재고'!J:J,'교재재고'!B:B,$A168),0)
+IFERROR(SUMIFS('교재재고'!M:M,'교재재고'!B:B,$A168),0)
+IFERROR(SUMIFS('교재재고'!P:P,'교재재고'!B:B,$A168),0)
+IFERROR(SUMIFS('교재재고'!S:S,'교재재고'!B:B,$A168),0)</f>
        <v>0</v>
      </c>
      <c r="G168" s="79">
        <f>IFERROR(SUMIFS('교재재고'!H:H,'교재재고'!B:B,$A168),0)
+IFERROR(SUMIFS('교재재고'!K:K,'교재재고'!B:B,$A168),0)
+IFERROR(SUMIFS('교재재고'!N:N,'교재재고'!B:B,$A168),0)
+IFERROR(SUMIFS('교재재고'!Q:Q,'교재재고'!B:B,$A168),0)
+IFERROR(SUMIFS('교재재고'!T:T,'교재재고'!B:B,$A168),0)</f>
        <v>0</v>
      </c>
      <c r="H168" s="79">
        <f t="shared" si="2"/>
        <v>0</v>
      </c>
      <c r="I168" s="80">
        <f>IFERROR(SUMIFS('배부로그'!G:G,'배부로그'!D:D,$A168,'배부로그'!F:F,"창고"),0)</f>
        <v>0</v>
      </c>
      <c r="J168" s="59">
        <f>IFERROR(SUMIFS('배부로그'!G:G,'배부로그'!D:D,$A168,'배부로그'!F:F,"4층지원실"),0)</f>
        <v>0</v>
      </c>
      <c r="K168" s="59">
        <f>IFERROR(SUMIFS('배부로그'!G:G,'배부로그'!D:D,$A168,'배부로그'!F:F,"8층지원실"),0)</f>
        <v>0</v>
      </c>
      <c r="L168" s="81">
        <f t="shared" si="3"/>
        <v>0</v>
      </c>
      <c r="M168" s="59">
        <f>IFERROR(SUMIFS('회수로그'!H:H,'회수로그'!E:E,$A168,'회수로그'!G:G,"창고"),0)</f>
        <v>0</v>
      </c>
      <c r="N168" s="59">
        <f>IFERROR(SUMIFS('회수로그'!H:H,'회수로그'!E:E,$A168,'회수로그'!G:G,"4층지원실"),0)</f>
        <v>0</v>
      </c>
      <c r="O168" s="59">
        <f>IFERROR(SUMIFS('회수로그'!H:H,'회수로그'!E:E,$A168,'회수로그'!G:G,"8층지원실"),0)</f>
        <v>0</v>
      </c>
      <c r="P168" s="59">
        <f t="shared" si="4"/>
        <v>0</v>
      </c>
      <c r="Q168" s="59">
        <f>IFERROR(SUMIFS('재고이동로그'!F:F,'재고이동로그'!C:C,$A168,'재고이동로그'!D:D,"창고"),0)</f>
        <v>0</v>
      </c>
      <c r="R168" s="59">
        <f>IFERROR(SUMIFS('재고이동로그'!F:F,'재고이동로그'!C:C,$A168,'재고이동로그'!E:E,"4층지원실"),0)</f>
        <v>0</v>
      </c>
      <c r="S168" s="82">
        <f>IFERROR(SUMIFS('재고이동로그'!F:F,'재고이동로그'!C:C,$A168,'재고이동로그'!E:E,"8층지원실"),0)</f>
        <v>0</v>
      </c>
      <c r="T168" s="59">
        <f>IFERROR(SUMIFS('재고이동로그'!F:F,'재고이동로그'!C:C,$A168,'재고이동로그'!E:E,"창고"),0)</f>
        <v>0</v>
      </c>
      <c r="U168" s="59">
        <f>IFERROR(SUMIFS('재고이동로그'!F:F,'재고이동로그'!C:C,$A168,'재고이동로그'!E:E,"4층지원실"),0)</f>
        <v>0</v>
      </c>
      <c r="V168" s="59">
        <f>IFERROR(SUMIFS('재고이동로그'!F:F,'재고이동로그'!C:C,$A168,'재고이동로그'!E:E,"8층지원실"),0)</f>
        <v>0</v>
      </c>
      <c r="W168" s="83">
        <f t="shared" ref="W168:Y168" si="171">B168+E168-I168+M168-Q168+T168</f>
        <v>0</v>
      </c>
      <c r="X168" s="83">
        <f t="shared" si="171"/>
        <v>0</v>
      </c>
      <c r="Y168" s="83">
        <f t="shared" si="171"/>
        <v>0</v>
      </c>
      <c r="Z168" s="84">
        <f t="shared" si="6"/>
        <v>0</v>
      </c>
      <c r="AA168" s="59" t="str">
        <f t="shared" si="7"/>
        <v>부족</v>
      </c>
      <c r="AB168" s="59"/>
      <c r="AC168" s="59"/>
      <c r="AD168" s="59"/>
      <c r="AE168" s="59"/>
      <c r="AF168" s="59"/>
    </row>
    <row r="169" ht="15.75" customHeight="1">
      <c r="A169" s="59"/>
      <c r="B169" s="77">
        <f>IFERROR(SUMIFS('교재재고'!C:C,'교재재고'!B:B,$A169),0)</f>
        <v>0</v>
      </c>
      <c r="C169" s="77">
        <f>IFERROR(SUMIFS('교재재고'!D:D,'교재재고'!B:B,$A169),0)</f>
        <v>0</v>
      </c>
      <c r="D169" s="77">
        <f>IFERROR(SUMIFS('교재재고'!E:E,'교재재고'!B:B,$A169),0)</f>
        <v>0</v>
      </c>
      <c r="E169" s="78">
        <f>IFERROR(SUMIFS('교재재고'!F:F,'교재재고'!B:B,$A169),0)
+IFERROR(SUMIFS('교재재고'!I:I,'교재재고'!B:B,$A169),0)
+IFERROR(SUMIFS('교재재고'!L:L,'교재재고'!B:B,$A169),0)
+IFERROR(SUMIFS('교재재고'!O:O,'교재재고'!B:B,$A169),0)
+IFERROR(SUMIFS('교재재고'!R:R,'교재재고'!B:B,$A169),0)</f>
        <v>0</v>
      </c>
      <c r="F169" s="79">
        <f>IFERROR(SUMIFS('교재재고'!G:G,'교재재고'!B:B,$A169),0)
+IFERROR(SUMIFS('교재재고'!J:J,'교재재고'!B:B,$A169),0)
+IFERROR(SUMIFS('교재재고'!M:M,'교재재고'!B:B,$A169),0)
+IFERROR(SUMIFS('교재재고'!P:P,'교재재고'!B:B,$A169),0)
+IFERROR(SUMIFS('교재재고'!S:S,'교재재고'!B:B,$A169),0)</f>
        <v>0</v>
      </c>
      <c r="G169" s="79">
        <f>IFERROR(SUMIFS('교재재고'!H:H,'교재재고'!B:B,$A169),0)
+IFERROR(SUMIFS('교재재고'!K:K,'교재재고'!B:B,$A169),0)
+IFERROR(SUMIFS('교재재고'!N:N,'교재재고'!B:B,$A169),0)
+IFERROR(SUMIFS('교재재고'!Q:Q,'교재재고'!B:B,$A169),0)
+IFERROR(SUMIFS('교재재고'!T:T,'교재재고'!B:B,$A169),0)</f>
        <v>0</v>
      </c>
      <c r="H169" s="79">
        <f t="shared" si="2"/>
        <v>0</v>
      </c>
      <c r="I169" s="80">
        <f>IFERROR(SUMIFS('배부로그'!G:G,'배부로그'!D:D,$A169,'배부로그'!F:F,"창고"),0)</f>
        <v>0</v>
      </c>
      <c r="J169" s="59">
        <f>IFERROR(SUMIFS('배부로그'!G:G,'배부로그'!D:D,$A169,'배부로그'!F:F,"4층지원실"),0)</f>
        <v>0</v>
      </c>
      <c r="K169" s="59">
        <f>IFERROR(SUMIFS('배부로그'!G:G,'배부로그'!D:D,$A169,'배부로그'!F:F,"8층지원실"),0)</f>
        <v>0</v>
      </c>
      <c r="L169" s="81">
        <f t="shared" si="3"/>
        <v>0</v>
      </c>
      <c r="M169" s="59">
        <f>IFERROR(SUMIFS('회수로그'!H:H,'회수로그'!E:E,$A169,'회수로그'!G:G,"창고"),0)</f>
        <v>0</v>
      </c>
      <c r="N169" s="59">
        <f>IFERROR(SUMIFS('회수로그'!H:H,'회수로그'!E:E,$A169,'회수로그'!G:G,"4층지원실"),0)</f>
        <v>0</v>
      </c>
      <c r="O169" s="59">
        <f>IFERROR(SUMIFS('회수로그'!H:H,'회수로그'!E:E,$A169,'회수로그'!G:G,"8층지원실"),0)</f>
        <v>0</v>
      </c>
      <c r="P169" s="59">
        <f t="shared" si="4"/>
        <v>0</v>
      </c>
      <c r="Q169" s="59">
        <f>IFERROR(SUMIFS('재고이동로그'!F:F,'재고이동로그'!C:C,$A169,'재고이동로그'!D:D,"창고"),0)</f>
        <v>0</v>
      </c>
      <c r="R169" s="59">
        <f>IFERROR(SUMIFS('재고이동로그'!F:F,'재고이동로그'!C:C,$A169,'재고이동로그'!E:E,"4층지원실"),0)</f>
        <v>0</v>
      </c>
      <c r="S169" s="82">
        <f>IFERROR(SUMIFS('재고이동로그'!F:F,'재고이동로그'!C:C,$A169,'재고이동로그'!E:E,"8층지원실"),0)</f>
        <v>0</v>
      </c>
      <c r="T169" s="59">
        <f>IFERROR(SUMIFS('재고이동로그'!F:F,'재고이동로그'!C:C,$A169,'재고이동로그'!E:E,"창고"),0)</f>
        <v>0</v>
      </c>
      <c r="U169" s="59">
        <f>IFERROR(SUMIFS('재고이동로그'!F:F,'재고이동로그'!C:C,$A169,'재고이동로그'!E:E,"4층지원실"),0)</f>
        <v>0</v>
      </c>
      <c r="V169" s="59">
        <f>IFERROR(SUMIFS('재고이동로그'!F:F,'재고이동로그'!C:C,$A169,'재고이동로그'!E:E,"8층지원실"),0)</f>
        <v>0</v>
      </c>
      <c r="W169" s="83">
        <f t="shared" ref="W169:Y169" si="172">B169+E169-I169+M169-Q169+T169</f>
        <v>0</v>
      </c>
      <c r="X169" s="83">
        <f t="shared" si="172"/>
        <v>0</v>
      </c>
      <c r="Y169" s="83">
        <f t="shared" si="172"/>
        <v>0</v>
      </c>
      <c r="Z169" s="84">
        <f t="shared" si="6"/>
        <v>0</v>
      </c>
      <c r="AA169" s="59" t="str">
        <f t="shared" si="7"/>
        <v>부족</v>
      </c>
      <c r="AB169" s="59"/>
      <c r="AC169" s="59"/>
      <c r="AD169" s="59"/>
      <c r="AE169" s="59"/>
      <c r="AF169" s="59"/>
    </row>
    <row r="170" ht="15.75" customHeight="1">
      <c r="A170" s="59"/>
      <c r="B170" s="77">
        <f>IFERROR(SUMIFS('교재재고'!C:C,'교재재고'!B:B,$A170),0)</f>
        <v>0</v>
      </c>
      <c r="C170" s="77">
        <f>IFERROR(SUMIFS('교재재고'!D:D,'교재재고'!B:B,$A170),0)</f>
        <v>0</v>
      </c>
      <c r="D170" s="77">
        <f>IFERROR(SUMIFS('교재재고'!E:E,'교재재고'!B:B,$A170),0)</f>
        <v>0</v>
      </c>
      <c r="E170" s="78">
        <f>IFERROR(SUMIFS('교재재고'!F:F,'교재재고'!B:B,$A170),0)
+IFERROR(SUMIFS('교재재고'!I:I,'교재재고'!B:B,$A170),0)
+IFERROR(SUMIFS('교재재고'!L:L,'교재재고'!B:B,$A170),0)
+IFERROR(SUMIFS('교재재고'!O:O,'교재재고'!B:B,$A170),0)
+IFERROR(SUMIFS('교재재고'!R:R,'교재재고'!B:B,$A170),0)</f>
        <v>0</v>
      </c>
      <c r="F170" s="79">
        <f>IFERROR(SUMIFS('교재재고'!G:G,'교재재고'!B:B,$A170),0)
+IFERROR(SUMIFS('교재재고'!J:J,'교재재고'!B:B,$A170),0)
+IFERROR(SUMIFS('교재재고'!M:M,'교재재고'!B:B,$A170),0)
+IFERROR(SUMIFS('교재재고'!P:P,'교재재고'!B:B,$A170),0)
+IFERROR(SUMIFS('교재재고'!S:S,'교재재고'!B:B,$A170),0)</f>
        <v>0</v>
      </c>
      <c r="G170" s="79">
        <f>IFERROR(SUMIFS('교재재고'!H:H,'교재재고'!B:B,$A170),0)
+IFERROR(SUMIFS('교재재고'!K:K,'교재재고'!B:B,$A170),0)
+IFERROR(SUMIFS('교재재고'!N:N,'교재재고'!B:B,$A170),0)
+IFERROR(SUMIFS('교재재고'!Q:Q,'교재재고'!B:B,$A170),0)
+IFERROR(SUMIFS('교재재고'!T:T,'교재재고'!B:B,$A170),0)</f>
        <v>0</v>
      </c>
      <c r="H170" s="79">
        <f t="shared" si="2"/>
        <v>0</v>
      </c>
      <c r="I170" s="80">
        <f>IFERROR(SUMIFS('배부로그'!G:G,'배부로그'!D:D,$A170,'배부로그'!F:F,"창고"),0)</f>
        <v>0</v>
      </c>
      <c r="J170" s="59">
        <f>IFERROR(SUMIFS('배부로그'!G:G,'배부로그'!D:D,$A170,'배부로그'!F:F,"4층지원실"),0)</f>
        <v>0</v>
      </c>
      <c r="K170" s="59">
        <f>IFERROR(SUMIFS('배부로그'!G:G,'배부로그'!D:D,$A170,'배부로그'!F:F,"8층지원실"),0)</f>
        <v>0</v>
      </c>
      <c r="L170" s="81">
        <f t="shared" si="3"/>
        <v>0</v>
      </c>
      <c r="M170" s="59">
        <f>IFERROR(SUMIFS('회수로그'!H:H,'회수로그'!E:E,$A170,'회수로그'!G:G,"창고"),0)</f>
        <v>0</v>
      </c>
      <c r="N170" s="59">
        <f>IFERROR(SUMIFS('회수로그'!H:H,'회수로그'!E:E,$A170,'회수로그'!G:G,"4층지원실"),0)</f>
        <v>0</v>
      </c>
      <c r="O170" s="59">
        <f>IFERROR(SUMIFS('회수로그'!H:H,'회수로그'!E:E,$A170,'회수로그'!G:G,"8층지원실"),0)</f>
        <v>0</v>
      </c>
      <c r="P170" s="59">
        <f t="shared" si="4"/>
        <v>0</v>
      </c>
      <c r="Q170" s="59">
        <f>IFERROR(SUMIFS('재고이동로그'!F:F,'재고이동로그'!C:C,$A170,'재고이동로그'!D:D,"창고"),0)</f>
        <v>0</v>
      </c>
      <c r="R170" s="59">
        <f>IFERROR(SUMIFS('재고이동로그'!F:F,'재고이동로그'!C:C,$A170,'재고이동로그'!E:E,"4층지원실"),0)</f>
        <v>0</v>
      </c>
      <c r="S170" s="82">
        <f>IFERROR(SUMIFS('재고이동로그'!F:F,'재고이동로그'!C:C,$A170,'재고이동로그'!E:E,"8층지원실"),0)</f>
        <v>0</v>
      </c>
      <c r="T170" s="59">
        <f>IFERROR(SUMIFS('재고이동로그'!F:F,'재고이동로그'!C:C,$A170,'재고이동로그'!E:E,"창고"),0)</f>
        <v>0</v>
      </c>
      <c r="U170" s="59">
        <f>IFERROR(SUMIFS('재고이동로그'!F:F,'재고이동로그'!C:C,$A170,'재고이동로그'!E:E,"4층지원실"),0)</f>
        <v>0</v>
      </c>
      <c r="V170" s="59">
        <f>IFERROR(SUMIFS('재고이동로그'!F:F,'재고이동로그'!C:C,$A170,'재고이동로그'!E:E,"8층지원실"),0)</f>
        <v>0</v>
      </c>
      <c r="W170" s="83">
        <f t="shared" ref="W170:Y170" si="173">B170+E170-I170+M170-Q170+T170</f>
        <v>0</v>
      </c>
      <c r="X170" s="83">
        <f t="shared" si="173"/>
        <v>0</v>
      </c>
      <c r="Y170" s="83">
        <f t="shared" si="173"/>
        <v>0</v>
      </c>
      <c r="Z170" s="84">
        <f t="shared" si="6"/>
        <v>0</v>
      </c>
      <c r="AA170" s="59" t="str">
        <f t="shared" si="7"/>
        <v>부족</v>
      </c>
      <c r="AB170" s="59"/>
      <c r="AC170" s="59"/>
      <c r="AD170" s="59"/>
      <c r="AE170" s="59"/>
      <c r="AF170" s="59"/>
    </row>
    <row r="171" ht="15.75" customHeight="1">
      <c r="A171" s="59"/>
      <c r="B171" s="77">
        <f>IFERROR(SUMIFS('교재재고'!C:C,'교재재고'!B:B,$A171),0)</f>
        <v>0</v>
      </c>
      <c r="C171" s="77">
        <f>IFERROR(SUMIFS('교재재고'!D:D,'교재재고'!B:B,$A171),0)</f>
        <v>0</v>
      </c>
      <c r="D171" s="77">
        <f>IFERROR(SUMIFS('교재재고'!E:E,'교재재고'!B:B,$A171),0)</f>
        <v>0</v>
      </c>
      <c r="E171" s="78">
        <f>IFERROR(SUMIFS('교재재고'!F:F,'교재재고'!B:B,$A171),0)
+IFERROR(SUMIFS('교재재고'!I:I,'교재재고'!B:B,$A171),0)
+IFERROR(SUMIFS('교재재고'!L:L,'교재재고'!B:B,$A171),0)
+IFERROR(SUMIFS('교재재고'!O:O,'교재재고'!B:B,$A171),0)
+IFERROR(SUMIFS('교재재고'!R:R,'교재재고'!B:B,$A171),0)</f>
        <v>0</v>
      </c>
      <c r="F171" s="79">
        <f>IFERROR(SUMIFS('교재재고'!G:G,'교재재고'!B:B,$A171),0)
+IFERROR(SUMIFS('교재재고'!J:J,'교재재고'!B:B,$A171),0)
+IFERROR(SUMIFS('교재재고'!M:M,'교재재고'!B:B,$A171),0)
+IFERROR(SUMIFS('교재재고'!P:P,'교재재고'!B:B,$A171),0)
+IFERROR(SUMIFS('교재재고'!S:S,'교재재고'!B:B,$A171),0)</f>
        <v>0</v>
      </c>
      <c r="G171" s="79">
        <f>IFERROR(SUMIFS('교재재고'!H:H,'교재재고'!B:B,$A171),0)
+IFERROR(SUMIFS('교재재고'!K:K,'교재재고'!B:B,$A171),0)
+IFERROR(SUMIFS('교재재고'!N:N,'교재재고'!B:B,$A171),0)
+IFERROR(SUMIFS('교재재고'!Q:Q,'교재재고'!B:B,$A171),0)
+IFERROR(SUMIFS('교재재고'!T:T,'교재재고'!B:B,$A171),0)</f>
        <v>0</v>
      </c>
      <c r="H171" s="79">
        <f t="shared" si="2"/>
        <v>0</v>
      </c>
      <c r="I171" s="80">
        <f>IFERROR(SUMIFS('배부로그'!G:G,'배부로그'!D:D,$A171,'배부로그'!F:F,"창고"),0)</f>
        <v>0</v>
      </c>
      <c r="J171" s="59">
        <f>IFERROR(SUMIFS('배부로그'!G:G,'배부로그'!D:D,$A171,'배부로그'!F:F,"4층지원실"),0)</f>
        <v>0</v>
      </c>
      <c r="K171" s="59">
        <f>IFERROR(SUMIFS('배부로그'!G:G,'배부로그'!D:D,$A171,'배부로그'!F:F,"8층지원실"),0)</f>
        <v>0</v>
      </c>
      <c r="L171" s="81">
        <f t="shared" si="3"/>
        <v>0</v>
      </c>
      <c r="M171" s="59">
        <f>IFERROR(SUMIFS('회수로그'!H:H,'회수로그'!E:E,$A171,'회수로그'!G:G,"창고"),0)</f>
        <v>0</v>
      </c>
      <c r="N171" s="59">
        <f>IFERROR(SUMIFS('회수로그'!H:H,'회수로그'!E:E,$A171,'회수로그'!G:G,"4층지원실"),0)</f>
        <v>0</v>
      </c>
      <c r="O171" s="59">
        <f>IFERROR(SUMIFS('회수로그'!H:H,'회수로그'!E:E,$A171,'회수로그'!G:G,"8층지원실"),0)</f>
        <v>0</v>
      </c>
      <c r="P171" s="59">
        <f t="shared" si="4"/>
        <v>0</v>
      </c>
      <c r="Q171" s="59">
        <f>IFERROR(SUMIFS('재고이동로그'!F:F,'재고이동로그'!C:C,$A171,'재고이동로그'!D:D,"창고"),0)</f>
        <v>0</v>
      </c>
      <c r="R171" s="59">
        <f>IFERROR(SUMIFS('재고이동로그'!F:F,'재고이동로그'!C:C,$A171,'재고이동로그'!E:E,"4층지원실"),0)</f>
        <v>0</v>
      </c>
      <c r="S171" s="82">
        <f>IFERROR(SUMIFS('재고이동로그'!F:F,'재고이동로그'!C:C,$A171,'재고이동로그'!E:E,"8층지원실"),0)</f>
        <v>0</v>
      </c>
      <c r="T171" s="59">
        <f>IFERROR(SUMIFS('재고이동로그'!F:F,'재고이동로그'!C:C,$A171,'재고이동로그'!E:E,"창고"),0)</f>
        <v>0</v>
      </c>
      <c r="U171" s="59">
        <f>IFERROR(SUMIFS('재고이동로그'!F:F,'재고이동로그'!C:C,$A171,'재고이동로그'!E:E,"4층지원실"),0)</f>
        <v>0</v>
      </c>
      <c r="V171" s="59">
        <f>IFERROR(SUMIFS('재고이동로그'!F:F,'재고이동로그'!C:C,$A171,'재고이동로그'!E:E,"8층지원실"),0)</f>
        <v>0</v>
      </c>
      <c r="W171" s="83">
        <f t="shared" ref="W171:Y171" si="174">B171+E171-I171+M171-Q171+T171</f>
        <v>0</v>
      </c>
      <c r="X171" s="83">
        <f t="shared" si="174"/>
        <v>0</v>
      </c>
      <c r="Y171" s="83">
        <f t="shared" si="174"/>
        <v>0</v>
      </c>
      <c r="Z171" s="84">
        <f t="shared" si="6"/>
        <v>0</v>
      </c>
      <c r="AA171" s="59" t="str">
        <f t="shared" si="7"/>
        <v>부족</v>
      </c>
      <c r="AB171" s="59"/>
      <c r="AC171" s="59"/>
      <c r="AD171" s="59"/>
      <c r="AE171" s="59"/>
      <c r="AF171" s="59"/>
    </row>
    <row r="172" ht="15.75" customHeight="1">
      <c r="A172" s="59"/>
      <c r="B172" s="77">
        <f>IFERROR(SUMIFS('교재재고'!C:C,'교재재고'!B:B,$A172),0)</f>
        <v>0</v>
      </c>
      <c r="C172" s="77">
        <f>IFERROR(SUMIFS('교재재고'!D:D,'교재재고'!B:B,$A172),0)</f>
        <v>0</v>
      </c>
      <c r="D172" s="77">
        <f>IFERROR(SUMIFS('교재재고'!E:E,'교재재고'!B:B,$A172),0)</f>
        <v>0</v>
      </c>
      <c r="E172" s="78">
        <f>IFERROR(SUMIFS('교재재고'!F:F,'교재재고'!B:B,$A172),0)
+IFERROR(SUMIFS('교재재고'!I:I,'교재재고'!B:B,$A172),0)
+IFERROR(SUMIFS('교재재고'!L:L,'교재재고'!B:B,$A172),0)
+IFERROR(SUMIFS('교재재고'!O:O,'교재재고'!B:B,$A172),0)
+IFERROR(SUMIFS('교재재고'!R:R,'교재재고'!B:B,$A172),0)</f>
        <v>0</v>
      </c>
      <c r="F172" s="79">
        <f>IFERROR(SUMIFS('교재재고'!G:G,'교재재고'!B:B,$A172),0)
+IFERROR(SUMIFS('교재재고'!J:J,'교재재고'!B:B,$A172),0)
+IFERROR(SUMIFS('교재재고'!M:M,'교재재고'!B:B,$A172),0)
+IFERROR(SUMIFS('교재재고'!P:P,'교재재고'!B:B,$A172),0)
+IFERROR(SUMIFS('교재재고'!S:S,'교재재고'!B:B,$A172),0)</f>
        <v>0</v>
      </c>
      <c r="G172" s="79">
        <f>IFERROR(SUMIFS('교재재고'!H:H,'교재재고'!B:B,$A172),0)
+IFERROR(SUMIFS('교재재고'!K:K,'교재재고'!B:B,$A172),0)
+IFERROR(SUMIFS('교재재고'!N:N,'교재재고'!B:B,$A172),0)
+IFERROR(SUMIFS('교재재고'!Q:Q,'교재재고'!B:B,$A172),0)
+IFERROR(SUMIFS('교재재고'!T:T,'교재재고'!B:B,$A172),0)</f>
        <v>0</v>
      </c>
      <c r="H172" s="79">
        <f t="shared" si="2"/>
        <v>0</v>
      </c>
      <c r="I172" s="80">
        <f>IFERROR(SUMIFS('배부로그'!G:G,'배부로그'!D:D,$A172,'배부로그'!F:F,"창고"),0)</f>
        <v>0</v>
      </c>
      <c r="J172" s="59">
        <f>IFERROR(SUMIFS('배부로그'!G:G,'배부로그'!D:D,$A172,'배부로그'!F:F,"4층지원실"),0)</f>
        <v>0</v>
      </c>
      <c r="K172" s="59">
        <f>IFERROR(SUMIFS('배부로그'!G:G,'배부로그'!D:D,$A172,'배부로그'!F:F,"8층지원실"),0)</f>
        <v>0</v>
      </c>
      <c r="L172" s="81">
        <f t="shared" si="3"/>
        <v>0</v>
      </c>
      <c r="M172" s="59">
        <f>IFERROR(SUMIFS('회수로그'!H:H,'회수로그'!E:E,$A172,'회수로그'!G:G,"창고"),0)</f>
        <v>0</v>
      </c>
      <c r="N172" s="59">
        <f>IFERROR(SUMIFS('회수로그'!H:H,'회수로그'!E:E,$A172,'회수로그'!G:G,"4층지원실"),0)</f>
        <v>0</v>
      </c>
      <c r="O172" s="59">
        <f>IFERROR(SUMIFS('회수로그'!H:H,'회수로그'!E:E,$A172,'회수로그'!G:G,"8층지원실"),0)</f>
        <v>0</v>
      </c>
      <c r="P172" s="59">
        <f t="shared" si="4"/>
        <v>0</v>
      </c>
      <c r="Q172" s="59">
        <f>IFERROR(SUMIFS('재고이동로그'!F:F,'재고이동로그'!C:C,$A172,'재고이동로그'!D:D,"창고"),0)</f>
        <v>0</v>
      </c>
      <c r="R172" s="59">
        <f>IFERROR(SUMIFS('재고이동로그'!F:F,'재고이동로그'!C:C,$A172,'재고이동로그'!E:E,"4층지원실"),0)</f>
        <v>0</v>
      </c>
      <c r="S172" s="82">
        <f>IFERROR(SUMIFS('재고이동로그'!F:F,'재고이동로그'!C:C,$A172,'재고이동로그'!E:E,"8층지원실"),0)</f>
        <v>0</v>
      </c>
      <c r="T172" s="59">
        <f>IFERROR(SUMIFS('재고이동로그'!F:F,'재고이동로그'!C:C,$A172,'재고이동로그'!E:E,"창고"),0)</f>
        <v>0</v>
      </c>
      <c r="U172" s="59">
        <f>IFERROR(SUMIFS('재고이동로그'!F:F,'재고이동로그'!C:C,$A172,'재고이동로그'!E:E,"4층지원실"),0)</f>
        <v>0</v>
      </c>
      <c r="V172" s="59">
        <f>IFERROR(SUMIFS('재고이동로그'!F:F,'재고이동로그'!C:C,$A172,'재고이동로그'!E:E,"8층지원실"),0)</f>
        <v>0</v>
      </c>
      <c r="W172" s="83">
        <f t="shared" ref="W172:Y172" si="175">B172+E172-I172+M172-Q172+T172</f>
        <v>0</v>
      </c>
      <c r="X172" s="83">
        <f t="shared" si="175"/>
        <v>0</v>
      </c>
      <c r="Y172" s="83">
        <f t="shared" si="175"/>
        <v>0</v>
      </c>
      <c r="Z172" s="84">
        <f t="shared" si="6"/>
        <v>0</v>
      </c>
      <c r="AA172" s="59" t="str">
        <f t="shared" si="7"/>
        <v>부족</v>
      </c>
      <c r="AB172" s="59"/>
      <c r="AC172" s="59"/>
      <c r="AD172" s="59"/>
      <c r="AE172" s="59"/>
      <c r="AF172" s="59"/>
    </row>
    <row r="173" ht="15.75" customHeight="1">
      <c r="A173" s="59"/>
      <c r="B173" s="77">
        <f>IFERROR(SUMIFS('교재재고'!C:C,'교재재고'!B:B,$A173),0)</f>
        <v>0</v>
      </c>
      <c r="C173" s="77">
        <f>IFERROR(SUMIFS('교재재고'!D:D,'교재재고'!B:B,$A173),0)</f>
        <v>0</v>
      </c>
      <c r="D173" s="77">
        <f>IFERROR(SUMIFS('교재재고'!E:E,'교재재고'!B:B,$A173),0)</f>
        <v>0</v>
      </c>
      <c r="E173" s="78">
        <f>IFERROR(SUMIFS('교재재고'!F:F,'교재재고'!B:B,$A173),0)
+IFERROR(SUMIFS('교재재고'!I:I,'교재재고'!B:B,$A173),0)
+IFERROR(SUMIFS('교재재고'!L:L,'교재재고'!B:B,$A173),0)
+IFERROR(SUMIFS('교재재고'!O:O,'교재재고'!B:B,$A173),0)
+IFERROR(SUMIFS('교재재고'!R:R,'교재재고'!B:B,$A173),0)</f>
        <v>0</v>
      </c>
      <c r="F173" s="79">
        <f>IFERROR(SUMIFS('교재재고'!G:G,'교재재고'!B:B,$A173),0)
+IFERROR(SUMIFS('교재재고'!J:J,'교재재고'!B:B,$A173),0)
+IFERROR(SUMIFS('교재재고'!M:M,'교재재고'!B:B,$A173),0)
+IFERROR(SUMIFS('교재재고'!P:P,'교재재고'!B:B,$A173),0)
+IFERROR(SUMIFS('교재재고'!S:S,'교재재고'!B:B,$A173),0)</f>
        <v>0</v>
      </c>
      <c r="G173" s="79">
        <f>IFERROR(SUMIFS('교재재고'!H:H,'교재재고'!B:B,$A173),0)
+IFERROR(SUMIFS('교재재고'!K:K,'교재재고'!B:B,$A173),0)
+IFERROR(SUMIFS('교재재고'!N:N,'교재재고'!B:B,$A173),0)
+IFERROR(SUMIFS('교재재고'!Q:Q,'교재재고'!B:B,$A173),0)
+IFERROR(SUMIFS('교재재고'!T:T,'교재재고'!B:B,$A173),0)</f>
        <v>0</v>
      </c>
      <c r="H173" s="79">
        <f t="shared" si="2"/>
        <v>0</v>
      </c>
      <c r="I173" s="80">
        <f>IFERROR(SUMIFS('배부로그'!G:G,'배부로그'!D:D,$A173,'배부로그'!F:F,"창고"),0)</f>
        <v>0</v>
      </c>
      <c r="J173" s="59">
        <f>IFERROR(SUMIFS('배부로그'!G:G,'배부로그'!D:D,$A173,'배부로그'!F:F,"4층지원실"),0)</f>
        <v>0</v>
      </c>
      <c r="K173" s="59">
        <f>IFERROR(SUMIFS('배부로그'!G:G,'배부로그'!D:D,$A173,'배부로그'!F:F,"8층지원실"),0)</f>
        <v>0</v>
      </c>
      <c r="L173" s="81">
        <f t="shared" si="3"/>
        <v>0</v>
      </c>
      <c r="M173" s="59">
        <f>IFERROR(SUMIFS('회수로그'!H:H,'회수로그'!E:E,$A173,'회수로그'!G:G,"창고"),0)</f>
        <v>0</v>
      </c>
      <c r="N173" s="59">
        <f>IFERROR(SUMIFS('회수로그'!H:H,'회수로그'!E:E,$A173,'회수로그'!G:G,"4층지원실"),0)</f>
        <v>0</v>
      </c>
      <c r="O173" s="59">
        <f>IFERROR(SUMIFS('회수로그'!H:H,'회수로그'!E:E,$A173,'회수로그'!G:G,"8층지원실"),0)</f>
        <v>0</v>
      </c>
      <c r="P173" s="59">
        <f t="shared" si="4"/>
        <v>0</v>
      </c>
      <c r="Q173" s="59">
        <f>IFERROR(SUMIFS('재고이동로그'!F:F,'재고이동로그'!C:C,$A173,'재고이동로그'!D:D,"창고"),0)</f>
        <v>0</v>
      </c>
      <c r="R173" s="59">
        <f>IFERROR(SUMIFS('재고이동로그'!F:F,'재고이동로그'!C:C,$A173,'재고이동로그'!E:E,"4층지원실"),0)</f>
        <v>0</v>
      </c>
      <c r="S173" s="82">
        <f>IFERROR(SUMIFS('재고이동로그'!F:F,'재고이동로그'!C:C,$A173,'재고이동로그'!E:E,"8층지원실"),0)</f>
        <v>0</v>
      </c>
      <c r="T173" s="59">
        <f>IFERROR(SUMIFS('재고이동로그'!F:F,'재고이동로그'!C:C,$A173,'재고이동로그'!E:E,"창고"),0)</f>
        <v>0</v>
      </c>
      <c r="U173" s="59">
        <f>IFERROR(SUMIFS('재고이동로그'!F:F,'재고이동로그'!C:C,$A173,'재고이동로그'!E:E,"4층지원실"),0)</f>
        <v>0</v>
      </c>
      <c r="V173" s="59">
        <f>IFERROR(SUMIFS('재고이동로그'!F:F,'재고이동로그'!C:C,$A173,'재고이동로그'!E:E,"8층지원실"),0)</f>
        <v>0</v>
      </c>
      <c r="W173" s="83">
        <f t="shared" ref="W173:Y173" si="176">B173+E173-I173+M173-Q173+T173</f>
        <v>0</v>
      </c>
      <c r="X173" s="83">
        <f t="shared" si="176"/>
        <v>0</v>
      </c>
      <c r="Y173" s="83">
        <f t="shared" si="176"/>
        <v>0</v>
      </c>
      <c r="Z173" s="84">
        <f t="shared" si="6"/>
        <v>0</v>
      </c>
      <c r="AA173" s="59" t="str">
        <f t="shared" si="7"/>
        <v>부족</v>
      </c>
      <c r="AB173" s="59"/>
      <c r="AC173" s="59"/>
      <c r="AD173" s="59"/>
      <c r="AE173" s="59"/>
      <c r="AF173" s="59"/>
    </row>
    <row r="174" ht="15.75" customHeight="1">
      <c r="A174" s="59"/>
      <c r="B174" s="77">
        <f>IFERROR(SUMIFS('교재재고'!C:C,'교재재고'!B:B,$A174),0)</f>
        <v>0</v>
      </c>
      <c r="C174" s="77">
        <f>IFERROR(SUMIFS('교재재고'!D:D,'교재재고'!B:B,$A174),0)</f>
        <v>0</v>
      </c>
      <c r="D174" s="77">
        <f>IFERROR(SUMIFS('교재재고'!E:E,'교재재고'!B:B,$A174),0)</f>
        <v>0</v>
      </c>
      <c r="E174" s="78">
        <f>IFERROR(SUMIFS('교재재고'!F:F,'교재재고'!B:B,$A174),0)
+IFERROR(SUMIFS('교재재고'!I:I,'교재재고'!B:B,$A174),0)
+IFERROR(SUMIFS('교재재고'!L:L,'교재재고'!B:B,$A174),0)
+IFERROR(SUMIFS('교재재고'!O:O,'교재재고'!B:B,$A174),0)
+IFERROR(SUMIFS('교재재고'!R:R,'교재재고'!B:B,$A174),0)</f>
        <v>0</v>
      </c>
      <c r="F174" s="79">
        <f>IFERROR(SUMIFS('교재재고'!G:G,'교재재고'!B:B,$A174),0)
+IFERROR(SUMIFS('교재재고'!J:J,'교재재고'!B:B,$A174),0)
+IFERROR(SUMIFS('교재재고'!M:M,'교재재고'!B:B,$A174),0)
+IFERROR(SUMIFS('교재재고'!P:P,'교재재고'!B:B,$A174),0)
+IFERROR(SUMIFS('교재재고'!S:S,'교재재고'!B:B,$A174),0)</f>
        <v>0</v>
      </c>
      <c r="G174" s="79">
        <f>IFERROR(SUMIFS('교재재고'!H:H,'교재재고'!B:B,$A174),0)
+IFERROR(SUMIFS('교재재고'!K:K,'교재재고'!B:B,$A174),0)
+IFERROR(SUMIFS('교재재고'!N:N,'교재재고'!B:B,$A174),0)
+IFERROR(SUMIFS('교재재고'!Q:Q,'교재재고'!B:B,$A174),0)
+IFERROR(SUMIFS('교재재고'!T:T,'교재재고'!B:B,$A174),0)</f>
        <v>0</v>
      </c>
      <c r="H174" s="79">
        <f t="shared" si="2"/>
        <v>0</v>
      </c>
      <c r="I174" s="80">
        <f>IFERROR(SUMIFS('배부로그'!G:G,'배부로그'!D:D,$A174,'배부로그'!F:F,"창고"),0)</f>
        <v>0</v>
      </c>
      <c r="J174" s="59">
        <f>IFERROR(SUMIFS('배부로그'!G:G,'배부로그'!D:D,$A174,'배부로그'!F:F,"4층지원실"),0)</f>
        <v>0</v>
      </c>
      <c r="K174" s="59">
        <f>IFERROR(SUMIFS('배부로그'!G:G,'배부로그'!D:D,$A174,'배부로그'!F:F,"8층지원실"),0)</f>
        <v>0</v>
      </c>
      <c r="L174" s="81">
        <f t="shared" si="3"/>
        <v>0</v>
      </c>
      <c r="M174" s="59">
        <f>IFERROR(SUMIFS('회수로그'!H:H,'회수로그'!E:E,$A174,'회수로그'!G:G,"창고"),0)</f>
        <v>0</v>
      </c>
      <c r="N174" s="59">
        <f>IFERROR(SUMIFS('회수로그'!H:H,'회수로그'!E:E,$A174,'회수로그'!G:G,"4층지원실"),0)</f>
        <v>0</v>
      </c>
      <c r="O174" s="59">
        <f>IFERROR(SUMIFS('회수로그'!H:H,'회수로그'!E:E,$A174,'회수로그'!G:G,"8층지원실"),0)</f>
        <v>0</v>
      </c>
      <c r="P174" s="59">
        <f t="shared" si="4"/>
        <v>0</v>
      </c>
      <c r="Q174" s="59">
        <f>IFERROR(SUMIFS('재고이동로그'!F:F,'재고이동로그'!C:C,$A174,'재고이동로그'!D:D,"창고"),0)</f>
        <v>0</v>
      </c>
      <c r="R174" s="59">
        <f>IFERROR(SUMIFS('재고이동로그'!F:F,'재고이동로그'!C:C,$A174,'재고이동로그'!E:E,"4층지원실"),0)</f>
        <v>0</v>
      </c>
      <c r="S174" s="82">
        <f>IFERROR(SUMIFS('재고이동로그'!F:F,'재고이동로그'!C:C,$A174,'재고이동로그'!E:E,"8층지원실"),0)</f>
        <v>0</v>
      </c>
      <c r="T174" s="59">
        <f>IFERROR(SUMIFS('재고이동로그'!F:F,'재고이동로그'!C:C,$A174,'재고이동로그'!E:E,"창고"),0)</f>
        <v>0</v>
      </c>
      <c r="U174" s="59">
        <f>IFERROR(SUMIFS('재고이동로그'!F:F,'재고이동로그'!C:C,$A174,'재고이동로그'!E:E,"4층지원실"),0)</f>
        <v>0</v>
      </c>
      <c r="V174" s="59">
        <f>IFERROR(SUMIFS('재고이동로그'!F:F,'재고이동로그'!C:C,$A174,'재고이동로그'!E:E,"8층지원실"),0)</f>
        <v>0</v>
      </c>
      <c r="W174" s="83">
        <f t="shared" ref="W174:Y174" si="177">B174+E174-I174+M174-Q174+T174</f>
        <v>0</v>
      </c>
      <c r="X174" s="83">
        <f t="shared" si="177"/>
        <v>0</v>
      </c>
      <c r="Y174" s="83">
        <f t="shared" si="177"/>
        <v>0</v>
      </c>
      <c r="Z174" s="84">
        <f t="shared" si="6"/>
        <v>0</v>
      </c>
      <c r="AA174" s="59" t="str">
        <f t="shared" si="7"/>
        <v>부족</v>
      </c>
      <c r="AB174" s="59"/>
      <c r="AC174" s="59"/>
      <c r="AD174" s="59"/>
      <c r="AE174" s="59"/>
      <c r="AF174" s="59"/>
    </row>
    <row r="175" ht="15.75" customHeight="1">
      <c r="A175" s="59"/>
      <c r="B175" s="77">
        <f>IFERROR(SUMIFS('교재재고'!C:C,'교재재고'!B:B,$A175),0)</f>
        <v>0</v>
      </c>
      <c r="C175" s="77">
        <f>IFERROR(SUMIFS('교재재고'!D:D,'교재재고'!B:B,$A175),0)</f>
        <v>0</v>
      </c>
      <c r="D175" s="77">
        <f>IFERROR(SUMIFS('교재재고'!E:E,'교재재고'!B:B,$A175),0)</f>
        <v>0</v>
      </c>
      <c r="E175" s="78">
        <f>IFERROR(SUMIFS('교재재고'!F:F,'교재재고'!B:B,$A175),0)
+IFERROR(SUMIFS('교재재고'!I:I,'교재재고'!B:B,$A175),0)
+IFERROR(SUMIFS('교재재고'!L:L,'교재재고'!B:B,$A175),0)
+IFERROR(SUMIFS('교재재고'!O:O,'교재재고'!B:B,$A175),0)
+IFERROR(SUMIFS('교재재고'!R:R,'교재재고'!B:B,$A175),0)</f>
        <v>0</v>
      </c>
      <c r="F175" s="79">
        <f>IFERROR(SUMIFS('교재재고'!G:G,'교재재고'!B:B,$A175),0)
+IFERROR(SUMIFS('교재재고'!J:J,'교재재고'!B:B,$A175),0)
+IFERROR(SUMIFS('교재재고'!M:M,'교재재고'!B:B,$A175),0)
+IFERROR(SUMIFS('교재재고'!P:P,'교재재고'!B:B,$A175),0)
+IFERROR(SUMIFS('교재재고'!S:S,'교재재고'!B:B,$A175),0)</f>
        <v>0</v>
      </c>
      <c r="G175" s="79">
        <f>IFERROR(SUMIFS('교재재고'!H:H,'교재재고'!B:B,$A175),0)
+IFERROR(SUMIFS('교재재고'!K:K,'교재재고'!B:B,$A175),0)
+IFERROR(SUMIFS('교재재고'!N:N,'교재재고'!B:B,$A175),0)
+IFERROR(SUMIFS('교재재고'!Q:Q,'교재재고'!B:B,$A175),0)
+IFERROR(SUMIFS('교재재고'!T:T,'교재재고'!B:B,$A175),0)</f>
        <v>0</v>
      </c>
      <c r="H175" s="79">
        <f t="shared" si="2"/>
        <v>0</v>
      </c>
      <c r="I175" s="80">
        <f>IFERROR(SUMIFS('배부로그'!G:G,'배부로그'!D:D,$A175,'배부로그'!F:F,"창고"),0)</f>
        <v>0</v>
      </c>
      <c r="J175" s="59">
        <f>IFERROR(SUMIFS('배부로그'!G:G,'배부로그'!D:D,$A175,'배부로그'!F:F,"4층지원실"),0)</f>
        <v>0</v>
      </c>
      <c r="K175" s="59">
        <f>IFERROR(SUMIFS('배부로그'!G:G,'배부로그'!D:D,$A175,'배부로그'!F:F,"8층지원실"),0)</f>
        <v>0</v>
      </c>
      <c r="L175" s="81">
        <f t="shared" si="3"/>
        <v>0</v>
      </c>
      <c r="M175" s="59">
        <f>IFERROR(SUMIFS('회수로그'!H:H,'회수로그'!E:E,$A175,'회수로그'!G:G,"창고"),0)</f>
        <v>0</v>
      </c>
      <c r="N175" s="59">
        <f>IFERROR(SUMIFS('회수로그'!H:H,'회수로그'!E:E,$A175,'회수로그'!G:G,"4층지원실"),0)</f>
        <v>0</v>
      </c>
      <c r="O175" s="59">
        <f>IFERROR(SUMIFS('회수로그'!H:H,'회수로그'!E:E,$A175,'회수로그'!G:G,"8층지원실"),0)</f>
        <v>0</v>
      </c>
      <c r="P175" s="59">
        <f t="shared" si="4"/>
        <v>0</v>
      </c>
      <c r="Q175" s="59">
        <f>IFERROR(SUMIFS('재고이동로그'!F:F,'재고이동로그'!C:C,$A175,'재고이동로그'!D:D,"창고"),0)</f>
        <v>0</v>
      </c>
      <c r="R175" s="59">
        <f>IFERROR(SUMIFS('재고이동로그'!F:F,'재고이동로그'!C:C,$A175,'재고이동로그'!E:E,"4층지원실"),0)</f>
        <v>0</v>
      </c>
      <c r="S175" s="82">
        <f>IFERROR(SUMIFS('재고이동로그'!F:F,'재고이동로그'!C:C,$A175,'재고이동로그'!E:E,"8층지원실"),0)</f>
        <v>0</v>
      </c>
      <c r="T175" s="59">
        <f>IFERROR(SUMIFS('재고이동로그'!F:F,'재고이동로그'!C:C,$A175,'재고이동로그'!E:E,"창고"),0)</f>
        <v>0</v>
      </c>
      <c r="U175" s="59">
        <f>IFERROR(SUMIFS('재고이동로그'!F:F,'재고이동로그'!C:C,$A175,'재고이동로그'!E:E,"4층지원실"),0)</f>
        <v>0</v>
      </c>
      <c r="V175" s="59">
        <f>IFERROR(SUMIFS('재고이동로그'!F:F,'재고이동로그'!C:C,$A175,'재고이동로그'!E:E,"8층지원실"),0)</f>
        <v>0</v>
      </c>
      <c r="W175" s="83">
        <f t="shared" ref="W175:Y175" si="178">B175+E175-I175+M175-Q175+T175</f>
        <v>0</v>
      </c>
      <c r="X175" s="83">
        <f t="shared" si="178"/>
        <v>0</v>
      </c>
      <c r="Y175" s="83">
        <f t="shared" si="178"/>
        <v>0</v>
      </c>
      <c r="Z175" s="84">
        <f t="shared" si="6"/>
        <v>0</v>
      </c>
      <c r="AA175" s="59" t="str">
        <f t="shared" si="7"/>
        <v>부족</v>
      </c>
      <c r="AB175" s="59"/>
      <c r="AC175" s="59"/>
      <c r="AD175" s="59"/>
      <c r="AE175" s="59"/>
      <c r="AF175" s="59"/>
    </row>
    <row r="176" ht="15.75" customHeight="1">
      <c r="A176" s="59"/>
      <c r="B176" s="77">
        <f>IFERROR(SUMIFS('교재재고'!C:C,'교재재고'!B:B,$A176),0)</f>
        <v>0</v>
      </c>
      <c r="C176" s="77">
        <f>IFERROR(SUMIFS('교재재고'!D:D,'교재재고'!B:B,$A176),0)</f>
        <v>0</v>
      </c>
      <c r="D176" s="77">
        <f>IFERROR(SUMIFS('교재재고'!E:E,'교재재고'!B:B,$A176),0)</f>
        <v>0</v>
      </c>
      <c r="E176" s="78">
        <f>IFERROR(SUMIFS('교재재고'!F:F,'교재재고'!B:B,$A176),0)
+IFERROR(SUMIFS('교재재고'!I:I,'교재재고'!B:B,$A176),0)
+IFERROR(SUMIFS('교재재고'!L:L,'교재재고'!B:B,$A176),0)
+IFERROR(SUMIFS('교재재고'!O:O,'교재재고'!B:B,$A176),0)
+IFERROR(SUMIFS('교재재고'!R:R,'교재재고'!B:B,$A176),0)</f>
        <v>0</v>
      </c>
      <c r="F176" s="79">
        <f>IFERROR(SUMIFS('교재재고'!G:G,'교재재고'!B:B,$A176),0)
+IFERROR(SUMIFS('교재재고'!J:J,'교재재고'!B:B,$A176),0)
+IFERROR(SUMIFS('교재재고'!M:M,'교재재고'!B:B,$A176),0)
+IFERROR(SUMIFS('교재재고'!P:P,'교재재고'!B:B,$A176),0)
+IFERROR(SUMIFS('교재재고'!S:S,'교재재고'!B:B,$A176),0)</f>
        <v>0</v>
      </c>
      <c r="G176" s="79">
        <f>IFERROR(SUMIFS('교재재고'!H:H,'교재재고'!B:B,$A176),0)
+IFERROR(SUMIFS('교재재고'!K:K,'교재재고'!B:B,$A176),0)
+IFERROR(SUMIFS('교재재고'!N:N,'교재재고'!B:B,$A176),0)
+IFERROR(SUMIFS('교재재고'!Q:Q,'교재재고'!B:B,$A176),0)
+IFERROR(SUMIFS('교재재고'!T:T,'교재재고'!B:B,$A176),0)</f>
        <v>0</v>
      </c>
      <c r="H176" s="79">
        <f t="shared" si="2"/>
        <v>0</v>
      </c>
      <c r="I176" s="80">
        <f>IFERROR(SUMIFS('배부로그'!G:G,'배부로그'!D:D,$A176,'배부로그'!F:F,"창고"),0)</f>
        <v>0</v>
      </c>
      <c r="J176" s="59">
        <f>IFERROR(SUMIFS('배부로그'!G:G,'배부로그'!D:D,$A176,'배부로그'!F:F,"4층지원실"),0)</f>
        <v>0</v>
      </c>
      <c r="K176" s="59">
        <f>IFERROR(SUMIFS('배부로그'!G:G,'배부로그'!D:D,$A176,'배부로그'!F:F,"8층지원실"),0)</f>
        <v>0</v>
      </c>
      <c r="L176" s="81">
        <f t="shared" si="3"/>
        <v>0</v>
      </c>
      <c r="M176" s="59">
        <f>IFERROR(SUMIFS('회수로그'!H:H,'회수로그'!E:E,$A176,'회수로그'!G:G,"창고"),0)</f>
        <v>0</v>
      </c>
      <c r="N176" s="59">
        <f>IFERROR(SUMIFS('회수로그'!H:H,'회수로그'!E:E,$A176,'회수로그'!G:G,"4층지원실"),0)</f>
        <v>0</v>
      </c>
      <c r="O176" s="59">
        <f>IFERROR(SUMIFS('회수로그'!H:H,'회수로그'!E:E,$A176,'회수로그'!G:G,"8층지원실"),0)</f>
        <v>0</v>
      </c>
      <c r="P176" s="59">
        <f t="shared" si="4"/>
        <v>0</v>
      </c>
      <c r="Q176" s="59">
        <f>IFERROR(SUMIFS('재고이동로그'!F:F,'재고이동로그'!C:C,$A176,'재고이동로그'!D:D,"창고"),0)</f>
        <v>0</v>
      </c>
      <c r="R176" s="59">
        <f>IFERROR(SUMIFS('재고이동로그'!F:F,'재고이동로그'!C:C,$A176,'재고이동로그'!E:E,"4층지원실"),0)</f>
        <v>0</v>
      </c>
      <c r="S176" s="82">
        <f>IFERROR(SUMIFS('재고이동로그'!F:F,'재고이동로그'!C:C,$A176,'재고이동로그'!E:E,"8층지원실"),0)</f>
        <v>0</v>
      </c>
      <c r="T176" s="59">
        <f>IFERROR(SUMIFS('재고이동로그'!F:F,'재고이동로그'!C:C,$A176,'재고이동로그'!E:E,"창고"),0)</f>
        <v>0</v>
      </c>
      <c r="U176" s="59">
        <f>IFERROR(SUMIFS('재고이동로그'!F:F,'재고이동로그'!C:C,$A176,'재고이동로그'!E:E,"4층지원실"),0)</f>
        <v>0</v>
      </c>
      <c r="V176" s="59">
        <f>IFERROR(SUMIFS('재고이동로그'!F:F,'재고이동로그'!C:C,$A176,'재고이동로그'!E:E,"8층지원실"),0)</f>
        <v>0</v>
      </c>
      <c r="W176" s="83">
        <f t="shared" ref="W176:Y176" si="179">B176+E176-I176+M176-Q176+T176</f>
        <v>0</v>
      </c>
      <c r="X176" s="83">
        <f t="shared" si="179"/>
        <v>0</v>
      </c>
      <c r="Y176" s="83">
        <f t="shared" si="179"/>
        <v>0</v>
      </c>
      <c r="Z176" s="84">
        <f t="shared" si="6"/>
        <v>0</v>
      </c>
      <c r="AA176" s="59" t="str">
        <f t="shared" si="7"/>
        <v>부족</v>
      </c>
      <c r="AB176" s="59"/>
      <c r="AC176" s="59"/>
      <c r="AD176" s="59"/>
      <c r="AE176" s="59"/>
      <c r="AF176" s="59"/>
    </row>
    <row r="177" ht="15.75" customHeight="1">
      <c r="A177" s="59"/>
      <c r="B177" s="77">
        <f>IFERROR(SUMIFS('교재재고'!C:C,'교재재고'!B:B,$A177),0)</f>
        <v>0</v>
      </c>
      <c r="C177" s="77">
        <f>IFERROR(SUMIFS('교재재고'!D:D,'교재재고'!B:B,$A177),0)</f>
        <v>0</v>
      </c>
      <c r="D177" s="77">
        <f>IFERROR(SUMIFS('교재재고'!E:E,'교재재고'!B:B,$A177),0)</f>
        <v>0</v>
      </c>
      <c r="E177" s="78">
        <f>IFERROR(SUMIFS('교재재고'!F:F,'교재재고'!B:B,$A177),0)
+IFERROR(SUMIFS('교재재고'!I:I,'교재재고'!B:B,$A177),0)
+IFERROR(SUMIFS('교재재고'!L:L,'교재재고'!B:B,$A177),0)
+IFERROR(SUMIFS('교재재고'!O:O,'교재재고'!B:B,$A177),0)
+IFERROR(SUMIFS('교재재고'!R:R,'교재재고'!B:B,$A177),0)</f>
        <v>0</v>
      </c>
      <c r="F177" s="79">
        <f>IFERROR(SUMIFS('교재재고'!G:G,'교재재고'!B:B,$A177),0)
+IFERROR(SUMIFS('교재재고'!J:J,'교재재고'!B:B,$A177),0)
+IFERROR(SUMIFS('교재재고'!M:M,'교재재고'!B:B,$A177),0)
+IFERROR(SUMIFS('교재재고'!P:P,'교재재고'!B:B,$A177),0)
+IFERROR(SUMIFS('교재재고'!S:S,'교재재고'!B:B,$A177),0)</f>
        <v>0</v>
      </c>
      <c r="G177" s="79">
        <f>IFERROR(SUMIFS('교재재고'!H:H,'교재재고'!B:B,$A177),0)
+IFERROR(SUMIFS('교재재고'!K:K,'교재재고'!B:B,$A177),0)
+IFERROR(SUMIFS('교재재고'!N:N,'교재재고'!B:B,$A177),0)
+IFERROR(SUMIFS('교재재고'!Q:Q,'교재재고'!B:B,$A177),0)
+IFERROR(SUMIFS('교재재고'!T:T,'교재재고'!B:B,$A177),0)</f>
        <v>0</v>
      </c>
      <c r="H177" s="79">
        <f t="shared" si="2"/>
        <v>0</v>
      </c>
      <c r="I177" s="80">
        <f>IFERROR(SUMIFS('배부로그'!G:G,'배부로그'!D:D,$A177,'배부로그'!F:F,"창고"),0)</f>
        <v>0</v>
      </c>
      <c r="J177" s="59">
        <f>IFERROR(SUMIFS('배부로그'!G:G,'배부로그'!D:D,$A177,'배부로그'!F:F,"4층지원실"),0)</f>
        <v>0</v>
      </c>
      <c r="K177" s="59">
        <f>IFERROR(SUMIFS('배부로그'!G:G,'배부로그'!D:D,$A177,'배부로그'!F:F,"8층지원실"),0)</f>
        <v>0</v>
      </c>
      <c r="L177" s="81">
        <f t="shared" si="3"/>
        <v>0</v>
      </c>
      <c r="M177" s="59">
        <f>IFERROR(SUMIFS('회수로그'!H:H,'회수로그'!E:E,$A177,'회수로그'!G:G,"창고"),0)</f>
        <v>0</v>
      </c>
      <c r="N177" s="59">
        <f>IFERROR(SUMIFS('회수로그'!H:H,'회수로그'!E:E,$A177,'회수로그'!G:G,"4층지원실"),0)</f>
        <v>0</v>
      </c>
      <c r="O177" s="59">
        <f>IFERROR(SUMIFS('회수로그'!H:H,'회수로그'!E:E,$A177,'회수로그'!G:G,"8층지원실"),0)</f>
        <v>0</v>
      </c>
      <c r="P177" s="59">
        <f t="shared" si="4"/>
        <v>0</v>
      </c>
      <c r="Q177" s="59">
        <f>IFERROR(SUMIFS('재고이동로그'!F:F,'재고이동로그'!C:C,$A177,'재고이동로그'!D:D,"창고"),0)</f>
        <v>0</v>
      </c>
      <c r="R177" s="59">
        <f>IFERROR(SUMIFS('재고이동로그'!F:F,'재고이동로그'!C:C,$A177,'재고이동로그'!E:E,"4층지원실"),0)</f>
        <v>0</v>
      </c>
      <c r="S177" s="82">
        <f>IFERROR(SUMIFS('재고이동로그'!F:F,'재고이동로그'!C:C,$A177,'재고이동로그'!E:E,"8층지원실"),0)</f>
        <v>0</v>
      </c>
      <c r="T177" s="59">
        <f>IFERROR(SUMIFS('재고이동로그'!F:F,'재고이동로그'!C:C,$A177,'재고이동로그'!E:E,"창고"),0)</f>
        <v>0</v>
      </c>
      <c r="U177" s="59">
        <f>IFERROR(SUMIFS('재고이동로그'!F:F,'재고이동로그'!C:C,$A177,'재고이동로그'!E:E,"4층지원실"),0)</f>
        <v>0</v>
      </c>
      <c r="V177" s="59">
        <f>IFERROR(SUMIFS('재고이동로그'!F:F,'재고이동로그'!C:C,$A177,'재고이동로그'!E:E,"8층지원실"),0)</f>
        <v>0</v>
      </c>
      <c r="W177" s="83">
        <f t="shared" ref="W177:Y177" si="180">B177+E177-I177+M177-Q177+T177</f>
        <v>0</v>
      </c>
      <c r="X177" s="83">
        <f t="shared" si="180"/>
        <v>0</v>
      </c>
      <c r="Y177" s="83">
        <f t="shared" si="180"/>
        <v>0</v>
      </c>
      <c r="Z177" s="84">
        <f t="shared" si="6"/>
        <v>0</v>
      </c>
      <c r="AA177" s="59" t="str">
        <f t="shared" si="7"/>
        <v>부족</v>
      </c>
      <c r="AB177" s="59"/>
      <c r="AC177" s="59"/>
      <c r="AD177" s="59"/>
      <c r="AE177" s="59"/>
      <c r="AF177" s="59"/>
    </row>
    <row r="178" ht="15.75" customHeight="1">
      <c r="A178" s="59"/>
      <c r="B178" s="77">
        <f>IFERROR(SUMIFS('교재재고'!C:C,'교재재고'!B:B,$A178),0)</f>
        <v>0</v>
      </c>
      <c r="C178" s="77">
        <f>IFERROR(SUMIFS('교재재고'!D:D,'교재재고'!B:B,$A178),0)</f>
        <v>0</v>
      </c>
      <c r="D178" s="77">
        <f>IFERROR(SUMIFS('교재재고'!E:E,'교재재고'!B:B,$A178),0)</f>
        <v>0</v>
      </c>
      <c r="E178" s="78">
        <f>IFERROR(SUMIFS('교재재고'!F:F,'교재재고'!B:B,$A178),0)
+IFERROR(SUMIFS('교재재고'!I:I,'교재재고'!B:B,$A178),0)
+IFERROR(SUMIFS('교재재고'!L:L,'교재재고'!B:B,$A178),0)
+IFERROR(SUMIFS('교재재고'!O:O,'교재재고'!B:B,$A178),0)
+IFERROR(SUMIFS('교재재고'!R:R,'교재재고'!B:B,$A178),0)</f>
        <v>0</v>
      </c>
      <c r="F178" s="79">
        <f>IFERROR(SUMIFS('교재재고'!G:G,'교재재고'!B:B,$A178),0)
+IFERROR(SUMIFS('교재재고'!J:J,'교재재고'!B:B,$A178),0)
+IFERROR(SUMIFS('교재재고'!M:M,'교재재고'!B:B,$A178),0)
+IFERROR(SUMIFS('교재재고'!P:P,'교재재고'!B:B,$A178),0)
+IFERROR(SUMIFS('교재재고'!S:S,'교재재고'!B:B,$A178),0)</f>
        <v>0</v>
      </c>
      <c r="G178" s="79">
        <f>IFERROR(SUMIFS('교재재고'!H:H,'교재재고'!B:B,$A178),0)
+IFERROR(SUMIFS('교재재고'!K:K,'교재재고'!B:B,$A178),0)
+IFERROR(SUMIFS('교재재고'!N:N,'교재재고'!B:B,$A178),0)
+IFERROR(SUMIFS('교재재고'!Q:Q,'교재재고'!B:B,$A178),0)
+IFERROR(SUMIFS('교재재고'!T:T,'교재재고'!B:B,$A178),0)</f>
        <v>0</v>
      </c>
      <c r="H178" s="79">
        <f t="shared" si="2"/>
        <v>0</v>
      </c>
      <c r="I178" s="80">
        <f>IFERROR(SUMIFS('배부로그'!G:G,'배부로그'!D:D,$A178,'배부로그'!F:F,"창고"),0)</f>
        <v>0</v>
      </c>
      <c r="J178" s="59">
        <f>IFERROR(SUMIFS('배부로그'!G:G,'배부로그'!D:D,$A178,'배부로그'!F:F,"4층지원실"),0)</f>
        <v>0</v>
      </c>
      <c r="K178" s="59">
        <f>IFERROR(SUMIFS('배부로그'!G:G,'배부로그'!D:D,$A178,'배부로그'!F:F,"8층지원실"),0)</f>
        <v>0</v>
      </c>
      <c r="L178" s="81">
        <f t="shared" si="3"/>
        <v>0</v>
      </c>
      <c r="M178" s="59">
        <f>IFERROR(SUMIFS('회수로그'!H:H,'회수로그'!E:E,$A178,'회수로그'!G:G,"창고"),0)</f>
        <v>0</v>
      </c>
      <c r="N178" s="59">
        <f>IFERROR(SUMIFS('회수로그'!H:H,'회수로그'!E:E,$A178,'회수로그'!G:G,"4층지원실"),0)</f>
        <v>0</v>
      </c>
      <c r="O178" s="59">
        <f>IFERROR(SUMIFS('회수로그'!H:H,'회수로그'!E:E,$A178,'회수로그'!G:G,"8층지원실"),0)</f>
        <v>0</v>
      </c>
      <c r="P178" s="59">
        <f t="shared" si="4"/>
        <v>0</v>
      </c>
      <c r="Q178" s="59">
        <f>IFERROR(SUMIFS('재고이동로그'!F:F,'재고이동로그'!C:C,$A178,'재고이동로그'!D:D,"창고"),0)</f>
        <v>0</v>
      </c>
      <c r="R178" s="59">
        <f>IFERROR(SUMIFS('재고이동로그'!F:F,'재고이동로그'!C:C,$A178,'재고이동로그'!E:E,"4층지원실"),0)</f>
        <v>0</v>
      </c>
      <c r="S178" s="82">
        <f>IFERROR(SUMIFS('재고이동로그'!F:F,'재고이동로그'!C:C,$A178,'재고이동로그'!E:E,"8층지원실"),0)</f>
        <v>0</v>
      </c>
      <c r="T178" s="59">
        <f>IFERROR(SUMIFS('재고이동로그'!F:F,'재고이동로그'!C:C,$A178,'재고이동로그'!E:E,"창고"),0)</f>
        <v>0</v>
      </c>
      <c r="U178" s="59">
        <f>IFERROR(SUMIFS('재고이동로그'!F:F,'재고이동로그'!C:C,$A178,'재고이동로그'!E:E,"4층지원실"),0)</f>
        <v>0</v>
      </c>
      <c r="V178" s="59">
        <f>IFERROR(SUMIFS('재고이동로그'!F:F,'재고이동로그'!C:C,$A178,'재고이동로그'!E:E,"8층지원실"),0)</f>
        <v>0</v>
      </c>
      <c r="W178" s="83">
        <f t="shared" ref="W178:Y178" si="181">B178+E178-I178+M178-Q178+T178</f>
        <v>0</v>
      </c>
      <c r="X178" s="83">
        <f t="shared" si="181"/>
        <v>0</v>
      </c>
      <c r="Y178" s="83">
        <f t="shared" si="181"/>
        <v>0</v>
      </c>
      <c r="Z178" s="84">
        <f t="shared" si="6"/>
        <v>0</v>
      </c>
      <c r="AA178" s="59" t="str">
        <f t="shared" si="7"/>
        <v>부족</v>
      </c>
      <c r="AB178" s="59"/>
      <c r="AC178" s="59"/>
      <c r="AD178" s="59"/>
      <c r="AE178" s="59"/>
      <c r="AF178" s="59"/>
    </row>
    <row r="179" ht="15.75" customHeight="1">
      <c r="A179" s="59"/>
      <c r="B179" s="77">
        <f>IFERROR(SUMIFS('교재재고'!C:C,'교재재고'!B:B,$A179),0)</f>
        <v>0</v>
      </c>
      <c r="C179" s="77">
        <f>IFERROR(SUMIFS('교재재고'!D:D,'교재재고'!B:B,$A179),0)</f>
        <v>0</v>
      </c>
      <c r="D179" s="77">
        <f>IFERROR(SUMIFS('교재재고'!E:E,'교재재고'!B:B,$A179),0)</f>
        <v>0</v>
      </c>
      <c r="E179" s="78">
        <f>IFERROR(SUMIFS('교재재고'!F:F,'교재재고'!B:B,$A179),0)
+IFERROR(SUMIFS('교재재고'!I:I,'교재재고'!B:B,$A179),0)
+IFERROR(SUMIFS('교재재고'!L:L,'교재재고'!B:B,$A179),0)
+IFERROR(SUMIFS('교재재고'!O:O,'교재재고'!B:B,$A179),0)
+IFERROR(SUMIFS('교재재고'!R:R,'교재재고'!B:B,$A179),0)</f>
        <v>0</v>
      </c>
      <c r="F179" s="79">
        <f>IFERROR(SUMIFS('교재재고'!G:G,'교재재고'!B:B,$A179),0)
+IFERROR(SUMIFS('교재재고'!J:J,'교재재고'!B:B,$A179),0)
+IFERROR(SUMIFS('교재재고'!M:M,'교재재고'!B:B,$A179),0)
+IFERROR(SUMIFS('교재재고'!P:P,'교재재고'!B:B,$A179),0)
+IFERROR(SUMIFS('교재재고'!S:S,'교재재고'!B:B,$A179),0)</f>
        <v>0</v>
      </c>
      <c r="G179" s="79">
        <f>IFERROR(SUMIFS('교재재고'!H:H,'교재재고'!B:B,$A179),0)
+IFERROR(SUMIFS('교재재고'!K:K,'교재재고'!B:B,$A179),0)
+IFERROR(SUMIFS('교재재고'!N:N,'교재재고'!B:B,$A179),0)
+IFERROR(SUMIFS('교재재고'!Q:Q,'교재재고'!B:B,$A179),0)
+IFERROR(SUMIFS('교재재고'!T:T,'교재재고'!B:B,$A179),0)</f>
        <v>0</v>
      </c>
      <c r="H179" s="79">
        <f t="shared" si="2"/>
        <v>0</v>
      </c>
      <c r="I179" s="80">
        <f>IFERROR(SUMIFS('배부로그'!G:G,'배부로그'!D:D,$A179,'배부로그'!F:F,"창고"),0)</f>
        <v>0</v>
      </c>
      <c r="J179" s="59">
        <f>IFERROR(SUMIFS('배부로그'!G:G,'배부로그'!D:D,$A179,'배부로그'!F:F,"4층지원실"),0)</f>
        <v>0</v>
      </c>
      <c r="K179" s="59">
        <f>IFERROR(SUMIFS('배부로그'!G:G,'배부로그'!D:D,$A179,'배부로그'!F:F,"8층지원실"),0)</f>
        <v>0</v>
      </c>
      <c r="L179" s="81">
        <f t="shared" si="3"/>
        <v>0</v>
      </c>
      <c r="M179" s="59">
        <f>IFERROR(SUMIFS('회수로그'!H:H,'회수로그'!E:E,$A179,'회수로그'!G:G,"창고"),0)</f>
        <v>0</v>
      </c>
      <c r="N179" s="59">
        <f>IFERROR(SUMIFS('회수로그'!H:H,'회수로그'!E:E,$A179,'회수로그'!G:G,"4층지원실"),0)</f>
        <v>0</v>
      </c>
      <c r="O179" s="59">
        <f>IFERROR(SUMIFS('회수로그'!H:H,'회수로그'!E:E,$A179,'회수로그'!G:G,"8층지원실"),0)</f>
        <v>0</v>
      </c>
      <c r="P179" s="59">
        <f t="shared" si="4"/>
        <v>0</v>
      </c>
      <c r="Q179" s="59">
        <f>IFERROR(SUMIFS('재고이동로그'!F:F,'재고이동로그'!C:C,$A179,'재고이동로그'!D:D,"창고"),0)</f>
        <v>0</v>
      </c>
      <c r="R179" s="59">
        <f>IFERROR(SUMIFS('재고이동로그'!F:F,'재고이동로그'!C:C,$A179,'재고이동로그'!E:E,"4층지원실"),0)</f>
        <v>0</v>
      </c>
      <c r="S179" s="82">
        <f>IFERROR(SUMIFS('재고이동로그'!F:F,'재고이동로그'!C:C,$A179,'재고이동로그'!E:E,"8층지원실"),0)</f>
        <v>0</v>
      </c>
      <c r="T179" s="59">
        <f>IFERROR(SUMIFS('재고이동로그'!F:F,'재고이동로그'!C:C,$A179,'재고이동로그'!E:E,"창고"),0)</f>
        <v>0</v>
      </c>
      <c r="U179" s="59">
        <f>IFERROR(SUMIFS('재고이동로그'!F:F,'재고이동로그'!C:C,$A179,'재고이동로그'!E:E,"4층지원실"),0)</f>
        <v>0</v>
      </c>
      <c r="V179" s="59">
        <f>IFERROR(SUMIFS('재고이동로그'!F:F,'재고이동로그'!C:C,$A179,'재고이동로그'!E:E,"8층지원실"),0)</f>
        <v>0</v>
      </c>
      <c r="W179" s="83">
        <f t="shared" ref="W179:Y179" si="182">B179+E179-I179+M179-Q179+T179</f>
        <v>0</v>
      </c>
      <c r="X179" s="83">
        <f t="shared" si="182"/>
        <v>0</v>
      </c>
      <c r="Y179" s="83">
        <f t="shared" si="182"/>
        <v>0</v>
      </c>
      <c r="Z179" s="84">
        <f t="shared" si="6"/>
        <v>0</v>
      </c>
      <c r="AA179" s="59" t="str">
        <f t="shared" si="7"/>
        <v>부족</v>
      </c>
      <c r="AB179" s="59"/>
      <c r="AC179" s="59"/>
      <c r="AD179" s="59"/>
      <c r="AE179" s="59"/>
      <c r="AF179" s="59"/>
    </row>
    <row r="180" ht="15.75" customHeight="1">
      <c r="A180" s="59"/>
      <c r="B180" s="77">
        <f>IFERROR(SUMIFS('교재재고'!C:C,'교재재고'!B:B,$A180),0)</f>
        <v>0</v>
      </c>
      <c r="C180" s="77">
        <f>IFERROR(SUMIFS('교재재고'!D:D,'교재재고'!B:B,$A180),0)</f>
        <v>0</v>
      </c>
      <c r="D180" s="77">
        <f>IFERROR(SUMIFS('교재재고'!E:E,'교재재고'!B:B,$A180),0)</f>
        <v>0</v>
      </c>
      <c r="E180" s="78">
        <f>IFERROR(SUMIFS('교재재고'!F:F,'교재재고'!B:B,$A180),0)
+IFERROR(SUMIFS('교재재고'!I:I,'교재재고'!B:B,$A180),0)
+IFERROR(SUMIFS('교재재고'!L:L,'교재재고'!B:B,$A180),0)
+IFERROR(SUMIFS('교재재고'!O:O,'교재재고'!B:B,$A180),0)
+IFERROR(SUMIFS('교재재고'!R:R,'교재재고'!B:B,$A180),0)</f>
        <v>0</v>
      </c>
      <c r="F180" s="79">
        <f>IFERROR(SUMIFS('교재재고'!G:G,'교재재고'!B:B,$A180),0)
+IFERROR(SUMIFS('교재재고'!J:J,'교재재고'!B:B,$A180),0)
+IFERROR(SUMIFS('교재재고'!M:M,'교재재고'!B:B,$A180),0)
+IFERROR(SUMIFS('교재재고'!P:P,'교재재고'!B:B,$A180),0)
+IFERROR(SUMIFS('교재재고'!S:S,'교재재고'!B:B,$A180),0)</f>
        <v>0</v>
      </c>
      <c r="G180" s="79">
        <f>IFERROR(SUMIFS('교재재고'!H:H,'교재재고'!B:B,$A180),0)
+IFERROR(SUMIFS('교재재고'!K:K,'교재재고'!B:B,$A180),0)
+IFERROR(SUMIFS('교재재고'!N:N,'교재재고'!B:B,$A180),0)
+IFERROR(SUMIFS('교재재고'!Q:Q,'교재재고'!B:B,$A180),0)
+IFERROR(SUMIFS('교재재고'!T:T,'교재재고'!B:B,$A180),0)</f>
        <v>0</v>
      </c>
      <c r="H180" s="79">
        <f t="shared" si="2"/>
        <v>0</v>
      </c>
      <c r="I180" s="80">
        <f>IFERROR(SUMIFS('배부로그'!G:G,'배부로그'!D:D,$A180,'배부로그'!F:F,"창고"),0)</f>
        <v>0</v>
      </c>
      <c r="J180" s="59">
        <f>IFERROR(SUMIFS('배부로그'!G:G,'배부로그'!D:D,$A180,'배부로그'!F:F,"4층지원실"),0)</f>
        <v>0</v>
      </c>
      <c r="K180" s="59">
        <f>IFERROR(SUMIFS('배부로그'!G:G,'배부로그'!D:D,$A180,'배부로그'!F:F,"8층지원실"),0)</f>
        <v>0</v>
      </c>
      <c r="L180" s="81">
        <f t="shared" si="3"/>
        <v>0</v>
      </c>
      <c r="M180" s="59">
        <f>IFERROR(SUMIFS('회수로그'!H:H,'회수로그'!E:E,$A180,'회수로그'!G:G,"창고"),0)</f>
        <v>0</v>
      </c>
      <c r="N180" s="59">
        <f>IFERROR(SUMIFS('회수로그'!H:H,'회수로그'!E:E,$A180,'회수로그'!G:G,"4층지원실"),0)</f>
        <v>0</v>
      </c>
      <c r="O180" s="59">
        <f>IFERROR(SUMIFS('회수로그'!H:H,'회수로그'!E:E,$A180,'회수로그'!G:G,"8층지원실"),0)</f>
        <v>0</v>
      </c>
      <c r="P180" s="59">
        <f t="shared" si="4"/>
        <v>0</v>
      </c>
      <c r="Q180" s="59">
        <f>IFERROR(SUMIFS('재고이동로그'!F:F,'재고이동로그'!C:C,$A180,'재고이동로그'!D:D,"창고"),0)</f>
        <v>0</v>
      </c>
      <c r="R180" s="59">
        <f>IFERROR(SUMIFS('재고이동로그'!F:F,'재고이동로그'!C:C,$A180,'재고이동로그'!E:E,"4층지원실"),0)</f>
        <v>0</v>
      </c>
      <c r="S180" s="82">
        <f>IFERROR(SUMIFS('재고이동로그'!F:F,'재고이동로그'!C:C,$A180,'재고이동로그'!E:E,"8층지원실"),0)</f>
        <v>0</v>
      </c>
      <c r="T180" s="59">
        <f>IFERROR(SUMIFS('재고이동로그'!F:F,'재고이동로그'!C:C,$A180,'재고이동로그'!E:E,"창고"),0)</f>
        <v>0</v>
      </c>
      <c r="U180" s="59">
        <f>IFERROR(SUMIFS('재고이동로그'!F:F,'재고이동로그'!C:C,$A180,'재고이동로그'!E:E,"4층지원실"),0)</f>
        <v>0</v>
      </c>
      <c r="V180" s="59">
        <f>IFERROR(SUMIFS('재고이동로그'!F:F,'재고이동로그'!C:C,$A180,'재고이동로그'!E:E,"8층지원실"),0)</f>
        <v>0</v>
      </c>
      <c r="W180" s="83">
        <f t="shared" ref="W180:Y180" si="183">B180+E180-I180+M180-Q180+T180</f>
        <v>0</v>
      </c>
      <c r="X180" s="83">
        <f t="shared" si="183"/>
        <v>0</v>
      </c>
      <c r="Y180" s="83">
        <f t="shared" si="183"/>
        <v>0</v>
      </c>
      <c r="Z180" s="84">
        <f t="shared" si="6"/>
        <v>0</v>
      </c>
      <c r="AA180" s="59" t="str">
        <f t="shared" si="7"/>
        <v>부족</v>
      </c>
      <c r="AB180" s="59"/>
      <c r="AC180" s="59"/>
      <c r="AD180" s="59"/>
      <c r="AE180" s="59"/>
      <c r="AF180" s="59"/>
    </row>
    <row r="181" ht="15.75" customHeight="1">
      <c r="A181" s="59"/>
      <c r="B181" s="77">
        <f>IFERROR(SUMIFS('교재재고'!C:C,'교재재고'!B:B,$A181),0)</f>
        <v>0</v>
      </c>
      <c r="C181" s="77">
        <f>IFERROR(SUMIFS('교재재고'!D:D,'교재재고'!B:B,$A181),0)</f>
        <v>0</v>
      </c>
      <c r="D181" s="77">
        <f>IFERROR(SUMIFS('교재재고'!E:E,'교재재고'!B:B,$A181),0)</f>
        <v>0</v>
      </c>
      <c r="E181" s="78">
        <f>IFERROR(SUMIFS('교재재고'!F:F,'교재재고'!B:B,$A181),0)
+IFERROR(SUMIFS('교재재고'!I:I,'교재재고'!B:B,$A181),0)
+IFERROR(SUMIFS('교재재고'!L:L,'교재재고'!B:B,$A181),0)
+IFERROR(SUMIFS('교재재고'!O:O,'교재재고'!B:B,$A181),0)
+IFERROR(SUMIFS('교재재고'!R:R,'교재재고'!B:B,$A181),0)</f>
        <v>0</v>
      </c>
      <c r="F181" s="79">
        <f>IFERROR(SUMIFS('교재재고'!G:G,'교재재고'!B:B,$A181),0)
+IFERROR(SUMIFS('교재재고'!J:J,'교재재고'!B:B,$A181),0)
+IFERROR(SUMIFS('교재재고'!M:M,'교재재고'!B:B,$A181),0)
+IFERROR(SUMIFS('교재재고'!P:P,'교재재고'!B:B,$A181),0)
+IFERROR(SUMIFS('교재재고'!S:S,'교재재고'!B:B,$A181),0)</f>
        <v>0</v>
      </c>
      <c r="G181" s="79">
        <f>IFERROR(SUMIFS('교재재고'!H:H,'교재재고'!B:B,$A181),0)
+IFERROR(SUMIFS('교재재고'!K:K,'교재재고'!B:B,$A181),0)
+IFERROR(SUMIFS('교재재고'!N:N,'교재재고'!B:B,$A181),0)
+IFERROR(SUMIFS('교재재고'!Q:Q,'교재재고'!B:B,$A181),0)
+IFERROR(SUMIFS('교재재고'!T:T,'교재재고'!B:B,$A181),0)</f>
        <v>0</v>
      </c>
      <c r="H181" s="79">
        <f t="shared" si="2"/>
        <v>0</v>
      </c>
      <c r="I181" s="80">
        <f>IFERROR(SUMIFS('배부로그'!G:G,'배부로그'!D:D,$A181,'배부로그'!F:F,"창고"),0)</f>
        <v>0</v>
      </c>
      <c r="J181" s="59">
        <f>IFERROR(SUMIFS('배부로그'!G:G,'배부로그'!D:D,$A181,'배부로그'!F:F,"4층지원실"),0)</f>
        <v>0</v>
      </c>
      <c r="K181" s="59">
        <f>IFERROR(SUMIFS('배부로그'!G:G,'배부로그'!D:D,$A181,'배부로그'!F:F,"8층지원실"),0)</f>
        <v>0</v>
      </c>
      <c r="L181" s="81">
        <f t="shared" si="3"/>
        <v>0</v>
      </c>
      <c r="M181" s="59">
        <f>IFERROR(SUMIFS('회수로그'!H:H,'회수로그'!E:E,$A181,'회수로그'!G:G,"창고"),0)</f>
        <v>0</v>
      </c>
      <c r="N181" s="59">
        <f>IFERROR(SUMIFS('회수로그'!H:H,'회수로그'!E:E,$A181,'회수로그'!G:G,"4층지원실"),0)</f>
        <v>0</v>
      </c>
      <c r="O181" s="59">
        <f>IFERROR(SUMIFS('회수로그'!H:H,'회수로그'!E:E,$A181,'회수로그'!G:G,"8층지원실"),0)</f>
        <v>0</v>
      </c>
      <c r="P181" s="59">
        <f t="shared" si="4"/>
        <v>0</v>
      </c>
      <c r="Q181" s="59">
        <f>IFERROR(SUMIFS('재고이동로그'!F:F,'재고이동로그'!C:C,$A181,'재고이동로그'!D:D,"창고"),0)</f>
        <v>0</v>
      </c>
      <c r="R181" s="59">
        <f>IFERROR(SUMIFS('재고이동로그'!F:F,'재고이동로그'!C:C,$A181,'재고이동로그'!E:E,"4층지원실"),0)</f>
        <v>0</v>
      </c>
      <c r="S181" s="82">
        <f>IFERROR(SUMIFS('재고이동로그'!F:F,'재고이동로그'!C:C,$A181,'재고이동로그'!E:E,"8층지원실"),0)</f>
        <v>0</v>
      </c>
      <c r="T181" s="59">
        <f>IFERROR(SUMIFS('재고이동로그'!F:F,'재고이동로그'!C:C,$A181,'재고이동로그'!E:E,"창고"),0)</f>
        <v>0</v>
      </c>
      <c r="U181" s="59">
        <f>IFERROR(SUMIFS('재고이동로그'!F:F,'재고이동로그'!C:C,$A181,'재고이동로그'!E:E,"4층지원실"),0)</f>
        <v>0</v>
      </c>
      <c r="V181" s="59">
        <f>IFERROR(SUMIFS('재고이동로그'!F:F,'재고이동로그'!C:C,$A181,'재고이동로그'!E:E,"8층지원실"),0)</f>
        <v>0</v>
      </c>
      <c r="W181" s="83">
        <f t="shared" ref="W181:Y181" si="184">B181+E181-I181+M181-Q181+T181</f>
        <v>0</v>
      </c>
      <c r="X181" s="83">
        <f t="shared" si="184"/>
        <v>0</v>
      </c>
      <c r="Y181" s="83">
        <f t="shared" si="184"/>
        <v>0</v>
      </c>
      <c r="Z181" s="84">
        <f t="shared" si="6"/>
        <v>0</v>
      </c>
      <c r="AA181" s="59" t="str">
        <f t="shared" si="7"/>
        <v>부족</v>
      </c>
      <c r="AB181" s="59"/>
      <c r="AC181" s="59"/>
      <c r="AD181" s="59"/>
      <c r="AE181" s="59"/>
      <c r="AF181" s="59"/>
    </row>
    <row r="182" ht="15.75" customHeight="1">
      <c r="A182" s="59"/>
      <c r="B182" s="77">
        <f>IFERROR(SUMIFS('교재재고'!C:C,'교재재고'!B:B,$A182),0)</f>
        <v>0</v>
      </c>
      <c r="C182" s="77">
        <f>IFERROR(SUMIFS('교재재고'!D:D,'교재재고'!B:B,$A182),0)</f>
        <v>0</v>
      </c>
      <c r="D182" s="77">
        <f>IFERROR(SUMIFS('교재재고'!E:E,'교재재고'!B:B,$A182),0)</f>
        <v>0</v>
      </c>
      <c r="E182" s="78">
        <f>IFERROR(SUMIFS('교재재고'!F:F,'교재재고'!B:B,$A182),0)
+IFERROR(SUMIFS('교재재고'!I:I,'교재재고'!B:B,$A182),0)
+IFERROR(SUMIFS('교재재고'!L:L,'교재재고'!B:B,$A182),0)
+IFERROR(SUMIFS('교재재고'!O:O,'교재재고'!B:B,$A182),0)
+IFERROR(SUMIFS('교재재고'!R:R,'교재재고'!B:B,$A182),0)</f>
        <v>0</v>
      </c>
      <c r="F182" s="79">
        <f>IFERROR(SUMIFS('교재재고'!G:G,'교재재고'!B:B,$A182),0)
+IFERROR(SUMIFS('교재재고'!J:J,'교재재고'!B:B,$A182),0)
+IFERROR(SUMIFS('교재재고'!M:M,'교재재고'!B:B,$A182),0)
+IFERROR(SUMIFS('교재재고'!P:P,'교재재고'!B:B,$A182),0)
+IFERROR(SUMIFS('교재재고'!S:S,'교재재고'!B:B,$A182),0)</f>
        <v>0</v>
      </c>
      <c r="G182" s="79">
        <f>IFERROR(SUMIFS('교재재고'!H:H,'교재재고'!B:B,$A182),0)
+IFERROR(SUMIFS('교재재고'!K:K,'교재재고'!B:B,$A182),0)
+IFERROR(SUMIFS('교재재고'!N:N,'교재재고'!B:B,$A182),0)
+IFERROR(SUMIFS('교재재고'!Q:Q,'교재재고'!B:B,$A182),0)
+IFERROR(SUMIFS('교재재고'!T:T,'교재재고'!B:B,$A182),0)</f>
        <v>0</v>
      </c>
      <c r="H182" s="79">
        <f t="shared" si="2"/>
        <v>0</v>
      </c>
      <c r="I182" s="80">
        <f>IFERROR(SUMIFS('배부로그'!G:G,'배부로그'!D:D,$A182,'배부로그'!F:F,"창고"),0)</f>
        <v>0</v>
      </c>
      <c r="J182" s="59">
        <f>IFERROR(SUMIFS('배부로그'!G:G,'배부로그'!D:D,$A182,'배부로그'!F:F,"4층지원실"),0)</f>
        <v>0</v>
      </c>
      <c r="K182" s="59">
        <f>IFERROR(SUMIFS('배부로그'!G:G,'배부로그'!D:D,$A182,'배부로그'!F:F,"8층지원실"),0)</f>
        <v>0</v>
      </c>
      <c r="L182" s="81">
        <f t="shared" si="3"/>
        <v>0</v>
      </c>
      <c r="M182" s="59">
        <f>IFERROR(SUMIFS('회수로그'!H:H,'회수로그'!E:E,$A182,'회수로그'!G:G,"창고"),0)</f>
        <v>0</v>
      </c>
      <c r="N182" s="59">
        <f>IFERROR(SUMIFS('회수로그'!H:H,'회수로그'!E:E,$A182,'회수로그'!G:G,"4층지원실"),0)</f>
        <v>0</v>
      </c>
      <c r="O182" s="59">
        <f>IFERROR(SUMIFS('회수로그'!H:H,'회수로그'!E:E,$A182,'회수로그'!G:G,"8층지원실"),0)</f>
        <v>0</v>
      </c>
      <c r="P182" s="59">
        <f t="shared" si="4"/>
        <v>0</v>
      </c>
      <c r="Q182" s="59">
        <f>IFERROR(SUMIFS('재고이동로그'!F:F,'재고이동로그'!C:C,$A182,'재고이동로그'!D:D,"창고"),0)</f>
        <v>0</v>
      </c>
      <c r="R182" s="59">
        <f>IFERROR(SUMIFS('재고이동로그'!F:F,'재고이동로그'!C:C,$A182,'재고이동로그'!E:E,"4층지원실"),0)</f>
        <v>0</v>
      </c>
      <c r="S182" s="82">
        <f>IFERROR(SUMIFS('재고이동로그'!F:F,'재고이동로그'!C:C,$A182,'재고이동로그'!E:E,"8층지원실"),0)</f>
        <v>0</v>
      </c>
      <c r="T182" s="59">
        <f>IFERROR(SUMIFS('재고이동로그'!F:F,'재고이동로그'!C:C,$A182,'재고이동로그'!E:E,"창고"),0)</f>
        <v>0</v>
      </c>
      <c r="U182" s="59">
        <f>IFERROR(SUMIFS('재고이동로그'!F:F,'재고이동로그'!C:C,$A182,'재고이동로그'!E:E,"4층지원실"),0)</f>
        <v>0</v>
      </c>
      <c r="V182" s="59">
        <f>IFERROR(SUMIFS('재고이동로그'!F:F,'재고이동로그'!C:C,$A182,'재고이동로그'!E:E,"8층지원실"),0)</f>
        <v>0</v>
      </c>
      <c r="W182" s="83">
        <f t="shared" ref="W182:Y182" si="185">B182+E182-I182+M182-Q182+T182</f>
        <v>0</v>
      </c>
      <c r="X182" s="83">
        <f t="shared" si="185"/>
        <v>0</v>
      </c>
      <c r="Y182" s="83">
        <f t="shared" si="185"/>
        <v>0</v>
      </c>
      <c r="Z182" s="84">
        <f t="shared" si="6"/>
        <v>0</v>
      </c>
      <c r="AA182" s="59" t="str">
        <f t="shared" si="7"/>
        <v>부족</v>
      </c>
      <c r="AB182" s="59"/>
      <c r="AC182" s="59"/>
      <c r="AD182" s="59"/>
      <c r="AE182" s="59"/>
      <c r="AF182" s="59"/>
    </row>
    <row r="183" ht="15.75" customHeight="1">
      <c r="A183" s="59"/>
      <c r="B183" s="77">
        <f>IFERROR(SUMIFS('교재재고'!C:C,'교재재고'!B:B,$A183),0)</f>
        <v>0</v>
      </c>
      <c r="C183" s="77">
        <f>IFERROR(SUMIFS('교재재고'!D:D,'교재재고'!B:B,$A183),0)</f>
        <v>0</v>
      </c>
      <c r="D183" s="77">
        <f>IFERROR(SUMIFS('교재재고'!E:E,'교재재고'!B:B,$A183),0)</f>
        <v>0</v>
      </c>
      <c r="E183" s="78">
        <f>IFERROR(SUMIFS('교재재고'!F:F,'교재재고'!B:B,$A183),0)
+IFERROR(SUMIFS('교재재고'!I:I,'교재재고'!B:B,$A183),0)
+IFERROR(SUMIFS('교재재고'!L:L,'교재재고'!B:B,$A183),0)
+IFERROR(SUMIFS('교재재고'!O:O,'교재재고'!B:B,$A183),0)
+IFERROR(SUMIFS('교재재고'!R:R,'교재재고'!B:B,$A183),0)</f>
        <v>0</v>
      </c>
      <c r="F183" s="79">
        <f>IFERROR(SUMIFS('교재재고'!G:G,'교재재고'!B:B,$A183),0)
+IFERROR(SUMIFS('교재재고'!J:J,'교재재고'!B:B,$A183),0)
+IFERROR(SUMIFS('교재재고'!M:M,'교재재고'!B:B,$A183),0)
+IFERROR(SUMIFS('교재재고'!P:P,'교재재고'!B:B,$A183),0)
+IFERROR(SUMIFS('교재재고'!S:S,'교재재고'!B:B,$A183),0)</f>
        <v>0</v>
      </c>
      <c r="G183" s="79">
        <f>IFERROR(SUMIFS('교재재고'!H:H,'교재재고'!B:B,$A183),0)
+IFERROR(SUMIFS('교재재고'!K:K,'교재재고'!B:B,$A183),0)
+IFERROR(SUMIFS('교재재고'!N:N,'교재재고'!B:B,$A183),0)
+IFERROR(SUMIFS('교재재고'!Q:Q,'교재재고'!B:B,$A183),0)
+IFERROR(SUMIFS('교재재고'!T:T,'교재재고'!B:B,$A183),0)</f>
        <v>0</v>
      </c>
      <c r="H183" s="79">
        <f t="shared" si="2"/>
        <v>0</v>
      </c>
      <c r="I183" s="80">
        <f>IFERROR(SUMIFS('배부로그'!G:G,'배부로그'!D:D,$A183,'배부로그'!F:F,"창고"),0)</f>
        <v>0</v>
      </c>
      <c r="J183" s="59">
        <f>IFERROR(SUMIFS('배부로그'!G:G,'배부로그'!D:D,$A183,'배부로그'!F:F,"4층지원실"),0)</f>
        <v>0</v>
      </c>
      <c r="K183" s="59">
        <f>IFERROR(SUMIFS('배부로그'!G:G,'배부로그'!D:D,$A183,'배부로그'!F:F,"8층지원실"),0)</f>
        <v>0</v>
      </c>
      <c r="L183" s="81">
        <f t="shared" si="3"/>
        <v>0</v>
      </c>
      <c r="M183" s="59">
        <f>IFERROR(SUMIFS('회수로그'!H:H,'회수로그'!E:E,$A183,'회수로그'!G:G,"창고"),0)</f>
        <v>0</v>
      </c>
      <c r="N183" s="59">
        <f>IFERROR(SUMIFS('회수로그'!H:H,'회수로그'!E:E,$A183,'회수로그'!G:G,"4층지원실"),0)</f>
        <v>0</v>
      </c>
      <c r="O183" s="59">
        <f>IFERROR(SUMIFS('회수로그'!H:H,'회수로그'!E:E,$A183,'회수로그'!G:G,"8층지원실"),0)</f>
        <v>0</v>
      </c>
      <c r="P183" s="59">
        <f t="shared" si="4"/>
        <v>0</v>
      </c>
      <c r="Q183" s="59">
        <f>IFERROR(SUMIFS('재고이동로그'!F:F,'재고이동로그'!C:C,$A183,'재고이동로그'!D:D,"창고"),0)</f>
        <v>0</v>
      </c>
      <c r="R183" s="59">
        <f>IFERROR(SUMIFS('재고이동로그'!F:F,'재고이동로그'!C:C,$A183,'재고이동로그'!E:E,"4층지원실"),0)</f>
        <v>0</v>
      </c>
      <c r="S183" s="82">
        <f>IFERROR(SUMIFS('재고이동로그'!F:F,'재고이동로그'!C:C,$A183,'재고이동로그'!E:E,"8층지원실"),0)</f>
        <v>0</v>
      </c>
      <c r="T183" s="59">
        <f>IFERROR(SUMIFS('재고이동로그'!F:F,'재고이동로그'!C:C,$A183,'재고이동로그'!E:E,"창고"),0)</f>
        <v>0</v>
      </c>
      <c r="U183" s="59">
        <f>IFERROR(SUMIFS('재고이동로그'!F:F,'재고이동로그'!C:C,$A183,'재고이동로그'!E:E,"4층지원실"),0)</f>
        <v>0</v>
      </c>
      <c r="V183" s="59">
        <f>IFERROR(SUMIFS('재고이동로그'!F:F,'재고이동로그'!C:C,$A183,'재고이동로그'!E:E,"8층지원실"),0)</f>
        <v>0</v>
      </c>
      <c r="W183" s="83">
        <f t="shared" ref="W183:Y183" si="186">B183+E183-I183+M183-Q183+T183</f>
        <v>0</v>
      </c>
      <c r="X183" s="83">
        <f t="shared" si="186"/>
        <v>0</v>
      </c>
      <c r="Y183" s="83">
        <f t="shared" si="186"/>
        <v>0</v>
      </c>
      <c r="Z183" s="84">
        <f t="shared" si="6"/>
        <v>0</v>
      </c>
      <c r="AA183" s="59" t="str">
        <f t="shared" si="7"/>
        <v>부족</v>
      </c>
      <c r="AB183" s="59"/>
      <c r="AC183" s="59"/>
      <c r="AD183" s="59"/>
      <c r="AE183" s="59"/>
      <c r="AF183" s="59"/>
    </row>
    <row r="184" ht="15.75" customHeight="1">
      <c r="A184" s="59"/>
      <c r="B184" s="77">
        <f>IFERROR(SUMIFS('교재재고'!C:C,'교재재고'!B:B,$A184),0)</f>
        <v>0</v>
      </c>
      <c r="C184" s="77">
        <f>IFERROR(SUMIFS('교재재고'!D:D,'교재재고'!B:B,$A184),0)</f>
        <v>0</v>
      </c>
      <c r="D184" s="77">
        <f>IFERROR(SUMIFS('교재재고'!E:E,'교재재고'!B:B,$A184),0)</f>
        <v>0</v>
      </c>
      <c r="E184" s="78">
        <f>IFERROR(SUMIFS('교재재고'!F:F,'교재재고'!B:B,$A184),0)
+IFERROR(SUMIFS('교재재고'!I:I,'교재재고'!B:B,$A184),0)
+IFERROR(SUMIFS('교재재고'!L:L,'교재재고'!B:B,$A184),0)
+IFERROR(SUMIFS('교재재고'!O:O,'교재재고'!B:B,$A184),0)
+IFERROR(SUMIFS('교재재고'!R:R,'교재재고'!B:B,$A184),0)</f>
        <v>0</v>
      </c>
      <c r="F184" s="79">
        <f>IFERROR(SUMIFS('교재재고'!G:G,'교재재고'!B:B,$A184),0)
+IFERROR(SUMIFS('교재재고'!J:J,'교재재고'!B:B,$A184),0)
+IFERROR(SUMIFS('교재재고'!M:M,'교재재고'!B:B,$A184),0)
+IFERROR(SUMIFS('교재재고'!P:P,'교재재고'!B:B,$A184),0)
+IFERROR(SUMIFS('교재재고'!S:S,'교재재고'!B:B,$A184),0)</f>
        <v>0</v>
      </c>
      <c r="G184" s="79">
        <f>IFERROR(SUMIFS('교재재고'!H:H,'교재재고'!B:B,$A184),0)
+IFERROR(SUMIFS('교재재고'!K:K,'교재재고'!B:B,$A184),0)
+IFERROR(SUMIFS('교재재고'!N:N,'교재재고'!B:B,$A184),0)
+IFERROR(SUMIFS('교재재고'!Q:Q,'교재재고'!B:B,$A184),0)
+IFERROR(SUMIFS('교재재고'!T:T,'교재재고'!B:B,$A184),0)</f>
        <v>0</v>
      </c>
      <c r="H184" s="79">
        <f t="shared" si="2"/>
        <v>0</v>
      </c>
      <c r="I184" s="80">
        <f>IFERROR(SUMIFS('배부로그'!G:G,'배부로그'!D:D,$A184,'배부로그'!F:F,"창고"),0)</f>
        <v>0</v>
      </c>
      <c r="J184" s="59">
        <f>IFERROR(SUMIFS('배부로그'!G:G,'배부로그'!D:D,$A184,'배부로그'!F:F,"4층지원실"),0)</f>
        <v>0</v>
      </c>
      <c r="K184" s="59">
        <f>IFERROR(SUMIFS('배부로그'!G:G,'배부로그'!D:D,$A184,'배부로그'!F:F,"8층지원실"),0)</f>
        <v>0</v>
      </c>
      <c r="L184" s="81">
        <f t="shared" si="3"/>
        <v>0</v>
      </c>
      <c r="M184" s="59">
        <f>IFERROR(SUMIFS('회수로그'!H:H,'회수로그'!E:E,$A184,'회수로그'!G:G,"창고"),0)</f>
        <v>0</v>
      </c>
      <c r="N184" s="59">
        <f>IFERROR(SUMIFS('회수로그'!H:H,'회수로그'!E:E,$A184,'회수로그'!G:G,"4층지원실"),0)</f>
        <v>0</v>
      </c>
      <c r="O184" s="59">
        <f>IFERROR(SUMIFS('회수로그'!H:H,'회수로그'!E:E,$A184,'회수로그'!G:G,"8층지원실"),0)</f>
        <v>0</v>
      </c>
      <c r="P184" s="59">
        <f t="shared" si="4"/>
        <v>0</v>
      </c>
      <c r="Q184" s="59">
        <f>IFERROR(SUMIFS('재고이동로그'!F:F,'재고이동로그'!C:C,$A184,'재고이동로그'!D:D,"창고"),0)</f>
        <v>0</v>
      </c>
      <c r="R184" s="59">
        <f>IFERROR(SUMIFS('재고이동로그'!F:F,'재고이동로그'!C:C,$A184,'재고이동로그'!E:E,"4층지원실"),0)</f>
        <v>0</v>
      </c>
      <c r="S184" s="82">
        <f>IFERROR(SUMIFS('재고이동로그'!F:F,'재고이동로그'!C:C,$A184,'재고이동로그'!E:E,"8층지원실"),0)</f>
        <v>0</v>
      </c>
      <c r="T184" s="59">
        <f>IFERROR(SUMIFS('재고이동로그'!F:F,'재고이동로그'!C:C,$A184,'재고이동로그'!E:E,"창고"),0)</f>
        <v>0</v>
      </c>
      <c r="U184" s="59">
        <f>IFERROR(SUMIFS('재고이동로그'!F:F,'재고이동로그'!C:C,$A184,'재고이동로그'!E:E,"4층지원실"),0)</f>
        <v>0</v>
      </c>
      <c r="V184" s="59">
        <f>IFERROR(SUMIFS('재고이동로그'!F:F,'재고이동로그'!C:C,$A184,'재고이동로그'!E:E,"8층지원실"),0)</f>
        <v>0</v>
      </c>
      <c r="W184" s="83">
        <f t="shared" ref="W184:Y184" si="187">B184+E184-I184+M184-Q184+T184</f>
        <v>0</v>
      </c>
      <c r="X184" s="83">
        <f t="shared" si="187"/>
        <v>0</v>
      </c>
      <c r="Y184" s="83">
        <f t="shared" si="187"/>
        <v>0</v>
      </c>
      <c r="Z184" s="84">
        <f t="shared" si="6"/>
        <v>0</v>
      </c>
      <c r="AA184" s="59" t="str">
        <f t="shared" si="7"/>
        <v>부족</v>
      </c>
      <c r="AB184" s="59"/>
      <c r="AC184" s="59"/>
      <c r="AD184" s="59"/>
      <c r="AE184" s="59"/>
      <c r="AF184" s="59"/>
    </row>
    <row r="185" ht="15.75" customHeight="1">
      <c r="A185" s="59"/>
      <c r="B185" s="77">
        <f>IFERROR(SUMIFS('교재재고'!C:C,'교재재고'!B:B,$A185),0)</f>
        <v>0</v>
      </c>
      <c r="C185" s="77">
        <f>IFERROR(SUMIFS('교재재고'!D:D,'교재재고'!B:B,$A185),0)</f>
        <v>0</v>
      </c>
      <c r="D185" s="77">
        <f>IFERROR(SUMIFS('교재재고'!E:E,'교재재고'!B:B,$A185),0)</f>
        <v>0</v>
      </c>
      <c r="E185" s="78">
        <f>IFERROR(SUMIFS('교재재고'!F:F,'교재재고'!B:B,$A185),0)
+IFERROR(SUMIFS('교재재고'!I:I,'교재재고'!B:B,$A185),0)
+IFERROR(SUMIFS('교재재고'!L:L,'교재재고'!B:B,$A185),0)
+IFERROR(SUMIFS('교재재고'!O:O,'교재재고'!B:B,$A185),0)
+IFERROR(SUMIFS('교재재고'!R:R,'교재재고'!B:B,$A185),0)</f>
        <v>0</v>
      </c>
      <c r="F185" s="79">
        <f>IFERROR(SUMIFS('교재재고'!G:G,'교재재고'!B:B,$A185),0)
+IFERROR(SUMIFS('교재재고'!J:J,'교재재고'!B:B,$A185),0)
+IFERROR(SUMIFS('교재재고'!M:M,'교재재고'!B:B,$A185),0)
+IFERROR(SUMIFS('교재재고'!P:P,'교재재고'!B:B,$A185),0)
+IFERROR(SUMIFS('교재재고'!S:S,'교재재고'!B:B,$A185),0)</f>
        <v>0</v>
      </c>
      <c r="G185" s="79">
        <f>IFERROR(SUMIFS('교재재고'!H:H,'교재재고'!B:B,$A185),0)
+IFERROR(SUMIFS('교재재고'!K:K,'교재재고'!B:B,$A185),0)
+IFERROR(SUMIFS('교재재고'!N:N,'교재재고'!B:B,$A185),0)
+IFERROR(SUMIFS('교재재고'!Q:Q,'교재재고'!B:B,$A185),0)
+IFERROR(SUMIFS('교재재고'!T:T,'교재재고'!B:B,$A185),0)</f>
        <v>0</v>
      </c>
      <c r="H185" s="79">
        <f t="shared" si="2"/>
        <v>0</v>
      </c>
      <c r="I185" s="80">
        <f>IFERROR(SUMIFS('배부로그'!G:G,'배부로그'!D:D,$A185,'배부로그'!F:F,"창고"),0)</f>
        <v>0</v>
      </c>
      <c r="J185" s="59">
        <f>IFERROR(SUMIFS('배부로그'!G:G,'배부로그'!D:D,$A185,'배부로그'!F:F,"4층지원실"),0)</f>
        <v>0</v>
      </c>
      <c r="K185" s="59">
        <f>IFERROR(SUMIFS('배부로그'!G:G,'배부로그'!D:D,$A185,'배부로그'!F:F,"8층지원실"),0)</f>
        <v>0</v>
      </c>
      <c r="L185" s="81">
        <f t="shared" si="3"/>
        <v>0</v>
      </c>
      <c r="M185" s="59">
        <f>IFERROR(SUMIFS('회수로그'!H:H,'회수로그'!E:E,$A185,'회수로그'!G:G,"창고"),0)</f>
        <v>0</v>
      </c>
      <c r="N185" s="59">
        <f>IFERROR(SUMIFS('회수로그'!H:H,'회수로그'!E:E,$A185,'회수로그'!G:G,"4층지원실"),0)</f>
        <v>0</v>
      </c>
      <c r="O185" s="59">
        <f>IFERROR(SUMIFS('회수로그'!H:H,'회수로그'!E:E,$A185,'회수로그'!G:G,"8층지원실"),0)</f>
        <v>0</v>
      </c>
      <c r="P185" s="59">
        <f t="shared" si="4"/>
        <v>0</v>
      </c>
      <c r="Q185" s="59">
        <f>IFERROR(SUMIFS('재고이동로그'!F:F,'재고이동로그'!C:C,$A185,'재고이동로그'!D:D,"창고"),0)</f>
        <v>0</v>
      </c>
      <c r="R185" s="59">
        <f>IFERROR(SUMIFS('재고이동로그'!F:F,'재고이동로그'!C:C,$A185,'재고이동로그'!E:E,"4층지원실"),0)</f>
        <v>0</v>
      </c>
      <c r="S185" s="82">
        <f>IFERROR(SUMIFS('재고이동로그'!F:F,'재고이동로그'!C:C,$A185,'재고이동로그'!E:E,"8층지원실"),0)</f>
        <v>0</v>
      </c>
      <c r="T185" s="59">
        <f>IFERROR(SUMIFS('재고이동로그'!F:F,'재고이동로그'!C:C,$A185,'재고이동로그'!E:E,"창고"),0)</f>
        <v>0</v>
      </c>
      <c r="U185" s="59">
        <f>IFERROR(SUMIFS('재고이동로그'!F:F,'재고이동로그'!C:C,$A185,'재고이동로그'!E:E,"4층지원실"),0)</f>
        <v>0</v>
      </c>
      <c r="V185" s="59">
        <f>IFERROR(SUMIFS('재고이동로그'!F:F,'재고이동로그'!C:C,$A185,'재고이동로그'!E:E,"8층지원실"),0)</f>
        <v>0</v>
      </c>
      <c r="W185" s="83">
        <f t="shared" ref="W185:Y185" si="188">B185+E185-I185+M185-Q185+T185</f>
        <v>0</v>
      </c>
      <c r="X185" s="83">
        <f t="shared" si="188"/>
        <v>0</v>
      </c>
      <c r="Y185" s="83">
        <f t="shared" si="188"/>
        <v>0</v>
      </c>
      <c r="Z185" s="84">
        <f t="shared" si="6"/>
        <v>0</v>
      </c>
      <c r="AA185" s="59" t="str">
        <f t="shared" si="7"/>
        <v>부족</v>
      </c>
      <c r="AB185" s="59"/>
      <c r="AC185" s="59"/>
      <c r="AD185" s="59"/>
      <c r="AE185" s="59"/>
      <c r="AF185" s="59"/>
    </row>
    <row r="186" ht="15.75" customHeight="1">
      <c r="A186" s="59"/>
      <c r="B186" s="77">
        <f>IFERROR(SUMIFS('교재재고'!C:C,'교재재고'!B:B,$A186),0)</f>
        <v>0</v>
      </c>
      <c r="C186" s="77">
        <f>IFERROR(SUMIFS('교재재고'!D:D,'교재재고'!B:B,$A186),0)</f>
        <v>0</v>
      </c>
      <c r="D186" s="77">
        <f>IFERROR(SUMIFS('교재재고'!E:E,'교재재고'!B:B,$A186),0)</f>
        <v>0</v>
      </c>
      <c r="E186" s="78">
        <f>IFERROR(SUMIFS('교재재고'!F:F,'교재재고'!B:B,$A186),0)
+IFERROR(SUMIFS('교재재고'!I:I,'교재재고'!B:B,$A186),0)
+IFERROR(SUMIFS('교재재고'!L:L,'교재재고'!B:B,$A186),0)
+IFERROR(SUMIFS('교재재고'!O:O,'교재재고'!B:B,$A186),0)
+IFERROR(SUMIFS('교재재고'!R:R,'교재재고'!B:B,$A186),0)</f>
        <v>0</v>
      </c>
      <c r="F186" s="79">
        <f>IFERROR(SUMIFS('교재재고'!G:G,'교재재고'!B:B,$A186),0)
+IFERROR(SUMIFS('교재재고'!J:J,'교재재고'!B:B,$A186),0)
+IFERROR(SUMIFS('교재재고'!M:M,'교재재고'!B:B,$A186),0)
+IFERROR(SUMIFS('교재재고'!P:P,'교재재고'!B:B,$A186),0)
+IFERROR(SUMIFS('교재재고'!S:S,'교재재고'!B:B,$A186),0)</f>
        <v>0</v>
      </c>
      <c r="G186" s="79">
        <f>IFERROR(SUMIFS('교재재고'!H:H,'교재재고'!B:B,$A186),0)
+IFERROR(SUMIFS('교재재고'!K:K,'교재재고'!B:B,$A186),0)
+IFERROR(SUMIFS('교재재고'!N:N,'교재재고'!B:B,$A186),0)
+IFERROR(SUMIFS('교재재고'!Q:Q,'교재재고'!B:B,$A186),0)
+IFERROR(SUMIFS('교재재고'!T:T,'교재재고'!B:B,$A186),0)</f>
        <v>0</v>
      </c>
      <c r="H186" s="79">
        <f t="shared" si="2"/>
        <v>0</v>
      </c>
      <c r="I186" s="80">
        <f>IFERROR(SUMIFS('배부로그'!G:G,'배부로그'!D:D,$A186,'배부로그'!F:F,"창고"),0)</f>
        <v>0</v>
      </c>
      <c r="J186" s="59">
        <f>IFERROR(SUMIFS('배부로그'!G:G,'배부로그'!D:D,$A186,'배부로그'!F:F,"4층지원실"),0)</f>
        <v>0</v>
      </c>
      <c r="K186" s="59">
        <f>IFERROR(SUMIFS('배부로그'!G:G,'배부로그'!D:D,$A186,'배부로그'!F:F,"8층지원실"),0)</f>
        <v>0</v>
      </c>
      <c r="L186" s="81">
        <f t="shared" si="3"/>
        <v>0</v>
      </c>
      <c r="M186" s="59">
        <f>IFERROR(SUMIFS('회수로그'!H:H,'회수로그'!E:E,$A186,'회수로그'!G:G,"창고"),0)</f>
        <v>0</v>
      </c>
      <c r="N186" s="59">
        <f>IFERROR(SUMIFS('회수로그'!H:H,'회수로그'!E:E,$A186,'회수로그'!G:G,"4층지원실"),0)</f>
        <v>0</v>
      </c>
      <c r="O186" s="59">
        <f>IFERROR(SUMIFS('회수로그'!H:H,'회수로그'!E:E,$A186,'회수로그'!G:G,"8층지원실"),0)</f>
        <v>0</v>
      </c>
      <c r="P186" s="59">
        <f t="shared" si="4"/>
        <v>0</v>
      </c>
      <c r="Q186" s="59">
        <f>IFERROR(SUMIFS('재고이동로그'!F:F,'재고이동로그'!C:C,$A186,'재고이동로그'!D:D,"창고"),0)</f>
        <v>0</v>
      </c>
      <c r="R186" s="59">
        <f>IFERROR(SUMIFS('재고이동로그'!F:F,'재고이동로그'!C:C,$A186,'재고이동로그'!E:E,"4층지원실"),0)</f>
        <v>0</v>
      </c>
      <c r="S186" s="82">
        <f>IFERROR(SUMIFS('재고이동로그'!F:F,'재고이동로그'!C:C,$A186,'재고이동로그'!E:E,"8층지원실"),0)</f>
        <v>0</v>
      </c>
      <c r="T186" s="59">
        <f>IFERROR(SUMIFS('재고이동로그'!F:F,'재고이동로그'!C:C,$A186,'재고이동로그'!E:E,"창고"),0)</f>
        <v>0</v>
      </c>
      <c r="U186" s="59">
        <f>IFERROR(SUMIFS('재고이동로그'!F:F,'재고이동로그'!C:C,$A186,'재고이동로그'!E:E,"4층지원실"),0)</f>
        <v>0</v>
      </c>
      <c r="V186" s="59">
        <f>IFERROR(SUMIFS('재고이동로그'!F:F,'재고이동로그'!C:C,$A186,'재고이동로그'!E:E,"8층지원실"),0)</f>
        <v>0</v>
      </c>
      <c r="W186" s="83">
        <f t="shared" ref="W186:Y186" si="189">B186+E186-I186+M186-Q186+T186</f>
        <v>0</v>
      </c>
      <c r="X186" s="83">
        <f t="shared" si="189"/>
        <v>0</v>
      </c>
      <c r="Y186" s="83">
        <f t="shared" si="189"/>
        <v>0</v>
      </c>
      <c r="Z186" s="84">
        <f t="shared" si="6"/>
        <v>0</v>
      </c>
      <c r="AA186" s="59" t="str">
        <f t="shared" si="7"/>
        <v>부족</v>
      </c>
      <c r="AB186" s="59"/>
      <c r="AC186" s="59"/>
      <c r="AD186" s="59"/>
      <c r="AE186" s="59"/>
      <c r="AF186" s="59"/>
    </row>
    <row r="187" ht="15.75" customHeight="1">
      <c r="A187" s="59"/>
      <c r="B187" s="77">
        <f>IFERROR(SUMIFS('교재재고'!C:C,'교재재고'!B:B,$A187),0)</f>
        <v>0</v>
      </c>
      <c r="C187" s="77">
        <f>IFERROR(SUMIFS('교재재고'!D:D,'교재재고'!B:B,$A187),0)</f>
        <v>0</v>
      </c>
      <c r="D187" s="77">
        <f>IFERROR(SUMIFS('교재재고'!E:E,'교재재고'!B:B,$A187),0)</f>
        <v>0</v>
      </c>
      <c r="E187" s="78">
        <f>IFERROR(SUMIFS('교재재고'!F:F,'교재재고'!B:B,$A187),0)
+IFERROR(SUMIFS('교재재고'!I:I,'교재재고'!B:B,$A187),0)
+IFERROR(SUMIFS('교재재고'!L:L,'교재재고'!B:B,$A187),0)
+IFERROR(SUMIFS('교재재고'!O:O,'교재재고'!B:B,$A187),0)
+IFERROR(SUMIFS('교재재고'!R:R,'교재재고'!B:B,$A187),0)</f>
        <v>0</v>
      </c>
      <c r="F187" s="79">
        <f>IFERROR(SUMIFS('교재재고'!G:G,'교재재고'!B:B,$A187),0)
+IFERROR(SUMIFS('교재재고'!J:J,'교재재고'!B:B,$A187),0)
+IFERROR(SUMIFS('교재재고'!M:M,'교재재고'!B:B,$A187),0)
+IFERROR(SUMIFS('교재재고'!P:P,'교재재고'!B:B,$A187),0)
+IFERROR(SUMIFS('교재재고'!S:S,'교재재고'!B:B,$A187),0)</f>
        <v>0</v>
      </c>
      <c r="G187" s="79">
        <f>IFERROR(SUMIFS('교재재고'!H:H,'교재재고'!B:B,$A187),0)
+IFERROR(SUMIFS('교재재고'!K:K,'교재재고'!B:B,$A187),0)
+IFERROR(SUMIFS('교재재고'!N:N,'교재재고'!B:B,$A187),0)
+IFERROR(SUMIFS('교재재고'!Q:Q,'교재재고'!B:B,$A187),0)
+IFERROR(SUMIFS('교재재고'!T:T,'교재재고'!B:B,$A187),0)</f>
        <v>0</v>
      </c>
      <c r="H187" s="79">
        <f t="shared" si="2"/>
        <v>0</v>
      </c>
      <c r="I187" s="80">
        <f>IFERROR(SUMIFS('배부로그'!G:G,'배부로그'!D:D,$A187,'배부로그'!F:F,"창고"),0)</f>
        <v>0</v>
      </c>
      <c r="J187" s="59">
        <f>IFERROR(SUMIFS('배부로그'!G:G,'배부로그'!D:D,$A187,'배부로그'!F:F,"4층지원실"),0)</f>
        <v>0</v>
      </c>
      <c r="K187" s="59">
        <f>IFERROR(SUMIFS('배부로그'!G:G,'배부로그'!D:D,$A187,'배부로그'!F:F,"8층지원실"),0)</f>
        <v>0</v>
      </c>
      <c r="L187" s="81">
        <f t="shared" si="3"/>
        <v>0</v>
      </c>
      <c r="M187" s="59">
        <f>IFERROR(SUMIFS('회수로그'!H:H,'회수로그'!E:E,$A187,'회수로그'!G:G,"창고"),0)</f>
        <v>0</v>
      </c>
      <c r="N187" s="59">
        <f>IFERROR(SUMIFS('회수로그'!H:H,'회수로그'!E:E,$A187,'회수로그'!G:G,"4층지원실"),0)</f>
        <v>0</v>
      </c>
      <c r="O187" s="59">
        <f>IFERROR(SUMIFS('회수로그'!H:H,'회수로그'!E:E,$A187,'회수로그'!G:G,"8층지원실"),0)</f>
        <v>0</v>
      </c>
      <c r="P187" s="59">
        <f t="shared" si="4"/>
        <v>0</v>
      </c>
      <c r="Q187" s="59">
        <f>IFERROR(SUMIFS('재고이동로그'!F:F,'재고이동로그'!C:C,$A187,'재고이동로그'!D:D,"창고"),0)</f>
        <v>0</v>
      </c>
      <c r="R187" s="59">
        <f>IFERROR(SUMIFS('재고이동로그'!F:F,'재고이동로그'!C:C,$A187,'재고이동로그'!E:E,"4층지원실"),0)</f>
        <v>0</v>
      </c>
      <c r="S187" s="82">
        <f>IFERROR(SUMIFS('재고이동로그'!F:F,'재고이동로그'!C:C,$A187,'재고이동로그'!E:E,"8층지원실"),0)</f>
        <v>0</v>
      </c>
      <c r="T187" s="59">
        <f>IFERROR(SUMIFS('재고이동로그'!F:F,'재고이동로그'!C:C,$A187,'재고이동로그'!E:E,"창고"),0)</f>
        <v>0</v>
      </c>
      <c r="U187" s="59">
        <f>IFERROR(SUMIFS('재고이동로그'!F:F,'재고이동로그'!C:C,$A187,'재고이동로그'!E:E,"4층지원실"),0)</f>
        <v>0</v>
      </c>
      <c r="V187" s="59">
        <f>IFERROR(SUMIFS('재고이동로그'!F:F,'재고이동로그'!C:C,$A187,'재고이동로그'!E:E,"8층지원실"),0)</f>
        <v>0</v>
      </c>
      <c r="W187" s="83">
        <f t="shared" ref="W187:Y187" si="190">B187+E187-I187+M187-Q187+T187</f>
        <v>0</v>
      </c>
      <c r="X187" s="83">
        <f t="shared" si="190"/>
        <v>0</v>
      </c>
      <c r="Y187" s="83">
        <f t="shared" si="190"/>
        <v>0</v>
      </c>
      <c r="Z187" s="84">
        <f t="shared" si="6"/>
        <v>0</v>
      </c>
      <c r="AA187" s="59" t="str">
        <f t="shared" si="7"/>
        <v>부족</v>
      </c>
      <c r="AB187" s="59"/>
      <c r="AC187" s="59"/>
      <c r="AD187" s="59"/>
      <c r="AE187" s="59"/>
      <c r="AF187" s="59"/>
    </row>
    <row r="188" ht="15.75" customHeight="1">
      <c r="A188" s="59"/>
      <c r="B188" s="77">
        <f>IFERROR(SUMIFS('교재재고'!C:C,'교재재고'!B:B,$A188),0)</f>
        <v>0</v>
      </c>
      <c r="C188" s="77">
        <f>IFERROR(SUMIFS('교재재고'!D:D,'교재재고'!B:B,$A188),0)</f>
        <v>0</v>
      </c>
      <c r="D188" s="77">
        <f>IFERROR(SUMIFS('교재재고'!E:E,'교재재고'!B:B,$A188),0)</f>
        <v>0</v>
      </c>
      <c r="E188" s="78">
        <f>IFERROR(SUMIFS('교재재고'!F:F,'교재재고'!B:B,$A188),0)
+IFERROR(SUMIFS('교재재고'!I:I,'교재재고'!B:B,$A188),0)
+IFERROR(SUMIFS('교재재고'!L:L,'교재재고'!B:B,$A188),0)
+IFERROR(SUMIFS('교재재고'!O:O,'교재재고'!B:B,$A188),0)
+IFERROR(SUMIFS('교재재고'!R:R,'교재재고'!B:B,$A188),0)</f>
        <v>0</v>
      </c>
      <c r="F188" s="79">
        <f>IFERROR(SUMIFS('교재재고'!G:G,'교재재고'!B:B,$A188),0)
+IFERROR(SUMIFS('교재재고'!J:J,'교재재고'!B:B,$A188),0)
+IFERROR(SUMIFS('교재재고'!M:M,'교재재고'!B:B,$A188),0)
+IFERROR(SUMIFS('교재재고'!P:P,'교재재고'!B:B,$A188),0)
+IFERROR(SUMIFS('교재재고'!S:S,'교재재고'!B:B,$A188),0)</f>
        <v>0</v>
      </c>
      <c r="G188" s="79">
        <f>IFERROR(SUMIFS('교재재고'!H:H,'교재재고'!B:B,$A188),0)
+IFERROR(SUMIFS('교재재고'!K:K,'교재재고'!B:B,$A188),0)
+IFERROR(SUMIFS('교재재고'!N:N,'교재재고'!B:B,$A188),0)
+IFERROR(SUMIFS('교재재고'!Q:Q,'교재재고'!B:B,$A188),0)
+IFERROR(SUMIFS('교재재고'!T:T,'교재재고'!B:B,$A188),0)</f>
        <v>0</v>
      </c>
      <c r="H188" s="79">
        <f t="shared" si="2"/>
        <v>0</v>
      </c>
      <c r="I188" s="80">
        <f>IFERROR(SUMIFS('배부로그'!G:G,'배부로그'!D:D,$A188,'배부로그'!F:F,"창고"),0)</f>
        <v>0</v>
      </c>
      <c r="J188" s="59">
        <f>IFERROR(SUMIFS('배부로그'!G:G,'배부로그'!D:D,$A188,'배부로그'!F:F,"4층지원실"),0)</f>
        <v>0</v>
      </c>
      <c r="K188" s="59">
        <f>IFERROR(SUMIFS('배부로그'!G:G,'배부로그'!D:D,$A188,'배부로그'!F:F,"8층지원실"),0)</f>
        <v>0</v>
      </c>
      <c r="L188" s="81">
        <f t="shared" si="3"/>
        <v>0</v>
      </c>
      <c r="M188" s="59">
        <f>IFERROR(SUMIFS('회수로그'!H:H,'회수로그'!E:E,$A188,'회수로그'!G:G,"창고"),0)</f>
        <v>0</v>
      </c>
      <c r="N188" s="59">
        <f>IFERROR(SUMIFS('회수로그'!H:H,'회수로그'!E:E,$A188,'회수로그'!G:G,"4층지원실"),0)</f>
        <v>0</v>
      </c>
      <c r="O188" s="59">
        <f>IFERROR(SUMIFS('회수로그'!H:H,'회수로그'!E:E,$A188,'회수로그'!G:G,"8층지원실"),0)</f>
        <v>0</v>
      </c>
      <c r="P188" s="59">
        <f t="shared" si="4"/>
        <v>0</v>
      </c>
      <c r="Q188" s="59">
        <f>IFERROR(SUMIFS('재고이동로그'!F:F,'재고이동로그'!C:C,$A188,'재고이동로그'!D:D,"창고"),0)</f>
        <v>0</v>
      </c>
      <c r="R188" s="59">
        <f>IFERROR(SUMIFS('재고이동로그'!F:F,'재고이동로그'!C:C,$A188,'재고이동로그'!E:E,"4층지원실"),0)</f>
        <v>0</v>
      </c>
      <c r="S188" s="82">
        <f>IFERROR(SUMIFS('재고이동로그'!F:F,'재고이동로그'!C:C,$A188,'재고이동로그'!E:E,"8층지원실"),0)</f>
        <v>0</v>
      </c>
      <c r="T188" s="59">
        <f>IFERROR(SUMIFS('재고이동로그'!F:F,'재고이동로그'!C:C,$A188,'재고이동로그'!E:E,"창고"),0)</f>
        <v>0</v>
      </c>
      <c r="U188" s="59">
        <f>IFERROR(SUMIFS('재고이동로그'!F:F,'재고이동로그'!C:C,$A188,'재고이동로그'!E:E,"4층지원실"),0)</f>
        <v>0</v>
      </c>
      <c r="V188" s="59">
        <f>IFERROR(SUMIFS('재고이동로그'!F:F,'재고이동로그'!C:C,$A188,'재고이동로그'!E:E,"8층지원실"),0)</f>
        <v>0</v>
      </c>
      <c r="W188" s="83">
        <f t="shared" ref="W188:Y188" si="191">B188+E188-I188+M188-Q188+T188</f>
        <v>0</v>
      </c>
      <c r="X188" s="83">
        <f t="shared" si="191"/>
        <v>0</v>
      </c>
      <c r="Y188" s="83">
        <f t="shared" si="191"/>
        <v>0</v>
      </c>
      <c r="Z188" s="84">
        <f t="shared" si="6"/>
        <v>0</v>
      </c>
      <c r="AA188" s="59" t="str">
        <f t="shared" si="7"/>
        <v>부족</v>
      </c>
      <c r="AB188" s="59"/>
      <c r="AC188" s="59"/>
      <c r="AD188" s="59"/>
      <c r="AE188" s="59"/>
      <c r="AF188" s="59"/>
    </row>
    <row r="189" ht="15.75" customHeight="1">
      <c r="A189" s="59"/>
      <c r="B189" s="77">
        <f>IFERROR(SUMIFS('교재재고'!C:C,'교재재고'!B:B,$A189),0)</f>
        <v>0</v>
      </c>
      <c r="C189" s="77">
        <f>IFERROR(SUMIFS('교재재고'!D:D,'교재재고'!B:B,$A189),0)</f>
        <v>0</v>
      </c>
      <c r="D189" s="77">
        <f>IFERROR(SUMIFS('교재재고'!E:E,'교재재고'!B:B,$A189),0)</f>
        <v>0</v>
      </c>
      <c r="E189" s="78">
        <f>IFERROR(SUMIFS('교재재고'!F:F,'교재재고'!B:B,$A189),0)
+IFERROR(SUMIFS('교재재고'!I:I,'교재재고'!B:B,$A189),0)
+IFERROR(SUMIFS('교재재고'!L:L,'교재재고'!B:B,$A189),0)
+IFERROR(SUMIFS('교재재고'!O:O,'교재재고'!B:B,$A189),0)
+IFERROR(SUMIFS('교재재고'!R:R,'교재재고'!B:B,$A189),0)</f>
        <v>0</v>
      </c>
      <c r="F189" s="79">
        <f>IFERROR(SUMIFS('교재재고'!G:G,'교재재고'!B:B,$A189),0)
+IFERROR(SUMIFS('교재재고'!J:J,'교재재고'!B:B,$A189),0)
+IFERROR(SUMIFS('교재재고'!M:M,'교재재고'!B:B,$A189),0)
+IFERROR(SUMIFS('교재재고'!P:P,'교재재고'!B:B,$A189),0)
+IFERROR(SUMIFS('교재재고'!S:S,'교재재고'!B:B,$A189),0)</f>
        <v>0</v>
      </c>
      <c r="G189" s="79">
        <f>IFERROR(SUMIFS('교재재고'!H:H,'교재재고'!B:B,$A189),0)
+IFERROR(SUMIFS('교재재고'!K:K,'교재재고'!B:B,$A189),0)
+IFERROR(SUMIFS('교재재고'!N:N,'교재재고'!B:B,$A189),0)
+IFERROR(SUMIFS('교재재고'!Q:Q,'교재재고'!B:B,$A189),0)
+IFERROR(SUMIFS('교재재고'!T:T,'교재재고'!B:B,$A189),0)</f>
        <v>0</v>
      </c>
      <c r="H189" s="79">
        <f t="shared" si="2"/>
        <v>0</v>
      </c>
      <c r="I189" s="80">
        <f>IFERROR(SUMIFS('배부로그'!G:G,'배부로그'!D:D,$A189,'배부로그'!F:F,"창고"),0)</f>
        <v>0</v>
      </c>
      <c r="J189" s="59">
        <f>IFERROR(SUMIFS('배부로그'!G:G,'배부로그'!D:D,$A189,'배부로그'!F:F,"4층지원실"),0)</f>
        <v>0</v>
      </c>
      <c r="K189" s="59">
        <f>IFERROR(SUMIFS('배부로그'!G:G,'배부로그'!D:D,$A189,'배부로그'!F:F,"8층지원실"),0)</f>
        <v>0</v>
      </c>
      <c r="L189" s="81">
        <f t="shared" si="3"/>
        <v>0</v>
      </c>
      <c r="M189" s="59">
        <f>IFERROR(SUMIFS('회수로그'!H:H,'회수로그'!E:E,$A189,'회수로그'!G:G,"창고"),0)</f>
        <v>0</v>
      </c>
      <c r="N189" s="59">
        <f>IFERROR(SUMIFS('회수로그'!H:H,'회수로그'!E:E,$A189,'회수로그'!G:G,"4층지원실"),0)</f>
        <v>0</v>
      </c>
      <c r="O189" s="59">
        <f>IFERROR(SUMIFS('회수로그'!H:H,'회수로그'!E:E,$A189,'회수로그'!G:G,"8층지원실"),0)</f>
        <v>0</v>
      </c>
      <c r="P189" s="59">
        <f t="shared" si="4"/>
        <v>0</v>
      </c>
      <c r="Q189" s="59">
        <f>IFERROR(SUMIFS('재고이동로그'!F:F,'재고이동로그'!C:C,$A189,'재고이동로그'!D:D,"창고"),0)</f>
        <v>0</v>
      </c>
      <c r="R189" s="59">
        <f>IFERROR(SUMIFS('재고이동로그'!F:F,'재고이동로그'!C:C,$A189,'재고이동로그'!E:E,"4층지원실"),0)</f>
        <v>0</v>
      </c>
      <c r="S189" s="82">
        <f>IFERROR(SUMIFS('재고이동로그'!F:F,'재고이동로그'!C:C,$A189,'재고이동로그'!E:E,"8층지원실"),0)</f>
        <v>0</v>
      </c>
      <c r="T189" s="59">
        <f>IFERROR(SUMIFS('재고이동로그'!F:F,'재고이동로그'!C:C,$A189,'재고이동로그'!E:E,"창고"),0)</f>
        <v>0</v>
      </c>
      <c r="U189" s="59">
        <f>IFERROR(SUMIFS('재고이동로그'!F:F,'재고이동로그'!C:C,$A189,'재고이동로그'!E:E,"4층지원실"),0)</f>
        <v>0</v>
      </c>
      <c r="V189" s="59">
        <f>IFERROR(SUMIFS('재고이동로그'!F:F,'재고이동로그'!C:C,$A189,'재고이동로그'!E:E,"8층지원실"),0)</f>
        <v>0</v>
      </c>
      <c r="W189" s="83">
        <f t="shared" ref="W189:Y189" si="192">B189+E189-I189+M189-Q189+T189</f>
        <v>0</v>
      </c>
      <c r="X189" s="83">
        <f t="shared" si="192"/>
        <v>0</v>
      </c>
      <c r="Y189" s="83">
        <f t="shared" si="192"/>
        <v>0</v>
      </c>
      <c r="Z189" s="84">
        <f t="shared" si="6"/>
        <v>0</v>
      </c>
      <c r="AA189" s="59" t="str">
        <f t="shared" si="7"/>
        <v>부족</v>
      </c>
      <c r="AB189" s="59"/>
      <c r="AC189" s="59"/>
      <c r="AD189" s="59"/>
      <c r="AE189" s="59"/>
      <c r="AF189" s="59"/>
    </row>
    <row r="190" ht="15.75" customHeight="1">
      <c r="A190" s="59"/>
      <c r="B190" s="77">
        <f>IFERROR(SUMIFS('교재재고'!C:C,'교재재고'!B:B,$A190),0)</f>
        <v>0</v>
      </c>
      <c r="C190" s="77">
        <f>IFERROR(SUMIFS('교재재고'!D:D,'교재재고'!B:B,$A190),0)</f>
        <v>0</v>
      </c>
      <c r="D190" s="77">
        <f>IFERROR(SUMIFS('교재재고'!E:E,'교재재고'!B:B,$A190),0)</f>
        <v>0</v>
      </c>
      <c r="E190" s="78">
        <f>IFERROR(SUMIFS('교재재고'!F:F,'교재재고'!B:B,$A190),0)
+IFERROR(SUMIFS('교재재고'!I:I,'교재재고'!B:B,$A190),0)
+IFERROR(SUMIFS('교재재고'!L:L,'교재재고'!B:B,$A190),0)
+IFERROR(SUMIFS('교재재고'!O:O,'교재재고'!B:B,$A190),0)
+IFERROR(SUMIFS('교재재고'!R:R,'교재재고'!B:B,$A190),0)</f>
        <v>0</v>
      </c>
      <c r="F190" s="79">
        <f>IFERROR(SUMIFS('교재재고'!G:G,'교재재고'!B:B,$A190),0)
+IFERROR(SUMIFS('교재재고'!J:J,'교재재고'!B:B,$A190),0)
+IFERROR(SUMIFS('교재재고'!M:M,'교재재고'!B:B,$A190),0)
+IFERROR(SUMIFS('교재재고'!P:P,'교재재고'!B:B,$A190),0)
+IFERROR(SUMIFS('교재재고'!S:S,'교재재고'!B:B,$A190),0)</f>
        <v>0</v>
      </c>
      <c r="G190" s="79">
        <f>IFERROR(SUMIFS('교재재고'!H:H,'교재재고'!B:B,$A190),0)
+IFERROR(SUMIFS('교재재고'!K:K,'교재재고'!B:B,$A190),0)
+IFERROR(SUMIFS('교재재고'!N:N,'교재재고'!B:B,$A190),0)
+IFERROR(SUMIFS('교재재고'!Q:Q,'교재재고'!B:B,$A190),0)
+IFERROR(SUMIFS('교재재고'!T:T,'교재재고'!B:B,$A190),0)</f>
        <v>0</v>
      </c>
      <c r="H190" s="79">
        <f t="shared" si="2"/>
        <v>0</v>
      </c>
      <c r="I190" s="80">
        <f>IFERROR(SUMIFS('배부로그'!G:G,'배부로그'!D:D,$A190,'배부로그'!F:F,"창고"),0)</f>
        <v>0</v>
      </c>
      <c r="J190" s="59">
        <f>IFERROR(SUMIFS('배부로그'!G:G,'배부로그'!D:D,$A190,'배부로그'!F:F,"4층지원실"),0)</f>
        <v>0</v>
      </c>
      <c r="K190" s="59">
        <f>IFERROR(SUMIFS('배부로그'!G:G,'배부로그'!D:D,$A190,'배부로그'!F:F,"8층지원실"),0)</f>
        <v>0</v>
      </c>
      <c r="L190" s="81">
        <f t="shared" si="3"/>
        <v>0</v>
      </c>
      <c r="M190" s="59">
        <f>IFERROR(SUMIFS('회수로그'!H:H,'회수로그'!E:E,$A190,'회수로그'!G:G,"창고"),0)</f>
        <v>0</v>
      </c>
      <c r="N190" s="59">
        <f>IFERROR(SUMIFS('회수로그'!H:H,'회수로그'!E:E,$A190,'회수로그'!G:G,"4층지원실"),0)</f>
        <v>0</v>
      </c>
      <c r="O190" s="59">
        <f>IFERROR(SUMIFS('회수로그'!H:H,'회수로그'!E:E,$A190,'회수로그'!G:G,"8층지원실"),0)</f>
        <v>0</v>
      </c>
      <c r="P190" s="59">
        <f t="shared" si="4"/>
        <v>0</v>
      </c>
      <c r="Q190" s="59">
        <f>IFERROR(SUMIFS('재고이동로그'!F:F,'재고이동로그'!C:C,$A190,'재고이동로그'!D:D,"창고"),0)</f>
        <v>0</v>
      </c>
      <c r="R190" s="59">
        <f>IFERROR(SUMIFS('재고이동로그'!F:F,'재고이동로그'!C:C,$A190,'재고이동로그'!E:E,"4층지원실"),0)</f>
        <v>0</v>
      </c>
      <c r="S190" s="82">
        <f>IFERROR(SUMIFS('재고이동로그'!F:F,'재고이동로그'!C:C,$A190,'재고이동로그'!E:E,"8층지원실"),0)</f>
        <v>0</v>
      </c>
      <c r="T190" s="59">
        <f>IFERROR(SUMIFS('재고이동로그'!F:F,'재고이동로그'!C:C,$A190,'재고이동로그'!E:E,"창고"),0)</f>
        <v>0</v>
      </c>
      <c r="U190" s="59">
        <f>IFERROR(SUMIFS('재고이동로그'!F:F,'재고이동로그'!C:C,$A190,'재고이동로그'!E:E,"4층지원실"),0)</f>
        <v>0</v>
      </c>
      <c r="V190" s="59">
        <f>IFERROR(SUMIFS('재고이동로그'!F:F,'재고이동로그'!C:C,$A190,'재고이동로그'!E:E,"8층지원실"),0)</f>
        <v>0</v>
      </c>
      <c r="W190" s="83">
        <f t="shared" ref="W190:Y190" si="193">B190+E190-I190+M190-Q190+T190</f>
        <v>0</v>
      </c>
      <c r="X190" s="83">
        <f t="shared" si="193"/>
        <v>0</v>
      </c>
      <c r="Y190" s="83">
        <f t="shared" si="193"/>
        <v>0</v>
      </c>
      <c r="Z190" s="84">
        <f t="shared" si="6"/>
        <v>0</v>
      </c>
      <c r="AA190" s="59" t="str">
        <f t="shared" si="7"/>
        <v>부족</v>
      </c>
      <c r="AB190" s="59"/>
      <c r="AC190" s="59"/>
      <c r="AD190" s="59"/>
      <c r="AE190" s="59"/>
      <c r="AF190" s="59"/>
    </row>
    <row r="191" ht="15.75" customHeight="1">
      <c r="A191" s="59"/>
      <c r="B191" s="77">
        <f>IFERROR(SUMIFS('교재재고'!C:C,'교재재고'!B:B,$A191),0)</f>
        <v>0</v>
      </c>
      <c r="C191" s="77">
        <f>IFERROR(SUMIFS('교재재고'!D:D,'교재재고'!B:B,$A191),0)</f>
        <v>0</v>
      </c>
      <c r="D191" s="77">
        <f>IFERROR(SUMIFS('교재재고'!E:E,'교재재고'!B:B,$A191),0)</f>
        <v>0</v>
      </c>
      <c r="E191" s="78">
        <f>IFERROR(SUMIFS('교재재고'!F:F,'교재재고'!B:B,$A191),0)
+IFERROR(SUMIFS('교재재고'!I:I,'교재재고'!B:B,$A191),0)
+IFERROR(SUMIFS('교재재고'!L:L,'교재재고'!B:B,$A191),0)
+IFERROR(SUMIFS('교재재고'!O:O,'교재재고'!B:B,$A191),0)
+IFERROR(SUMIFS('교재재고'!R:R,'교재재고'!B:B,$A191),0)</f>
        <v>0</v>
      </c>
      <c r="F191" s="79">
        <f>IFERROR(SUMIFS('교재재고'!G:G,'교재재고'!B:B,$A191),0)
+IFERROR(SUMIFS('교재재고'!J:J,'교재재고'!B:B,$A191),0)
+IFERROR(SUMIFS('교재재고'!M:M,'교재재고'!B:B,$A191),0)
+IFERROR(SUMIFS('교재재고'!P:P,'교재재고'!B:B,$A191),0)
+IFERROR(SUMIFS('교재재고'!S:S,'교재재고'!B:B,$A191),0)</f>
        <v>0</v>
      </c>
      <c r="G191" s="79">
        <f>IFERROR(SUMIFS('교재재고'!H:H,'교재재고'!B:B,$A191),0)
+IFERROR(SUMIFS('교재재고'!K:K,'교재재고'!B:B,$A191),0)
+IFERROR(SUMIFS('교재재고'!N:N,'교재재고'!B:B,$A191),0)
+IFERROR(SUMIFS('교재재고'!Q:Q,'교재재고'!B:B,$A191),0)
+IFERROR(SUMIFS('교재재고'!T:T,'교재재고'!B:B,$A191),0)</f>
        <v>0</v>
      </c>
      <c r="H191" s="79">
        <f t="shared" si="2"/>
        <v>0</v>
      </c>
      <c r="I191" s="80">
        <f>IFERROR(SUMIFS('배부로그'!G:G,'배부로그'!D:D,$A191,'배부로그'!F:F,"창고"),0)</f>
        <v>0</v>
      </c>
      <c r="J191" s="59">
        <f>IFERROR(SUMIFS('배부로그'!G:G,'배부로그'!D:D,$A191,'배부로그'!F:F,"4층지원실"),0)</f>
        <v>0</v>
      </c>
      <c r="K191" s="59">
        <f>IFERROR(SUMIFS('배부로그'!G:G,'배부로그'!D:D,$A191,'배부로그'!F:F,"8층지원실"),0)</f>
        <v>0</v>
      </c>
      <c r="L191" s="81">
        <f t="shared" si="3"/>
        <v>0</v>
      </c>
      <c r="M191" s="59">
        <f>IFERROR(SUMIFS('회수로그'!H:H,'회수로그'!E:E,$A191,'회수로그'!G:G,"창고"),0)</f>
        <v>0</v>
      </c>
      <c r="N191" s="59">
        <f>IFERROR(SUMIFS('회수로그'!H:H,'회수로그'!E:E,$A191,'회수로그'!G:G,"4층지원실"),0)</f>
        <v>0</v>
      </c>
      <c r="O191" s="59">
        <f>IFERROR(SUMIFS('회수로그'!H:H,'회수로그'!E:E,$A191,'회수로그'!G:G,"8층지원실"),0)</f>
        <v>0</v>
      </c>
      <c r="P191" s="59">
        <f t="shared" si="4"/>
        <v>0</v>
      </c>
      <c r="Q191" s="59">
        <f>IFERROR(SUMIFS('재고이동로그'!F:F,'재고이동로그'!C:C,$A191,'재고이동로그'!D:D,"창고"),0)</f>
        <v>0</v>
      </c>
      <c r="R191" s="59">
        <f>IFERROR(SUMIFS('재고이동로그'!F:F,'재고이동로그'!C:C,$A191,'재고이동로그'!E:E,"4층지원실"),0)</f>
        <v>0</v>
      </c>
      <c r="S191" s="82">
        <f>IFERROR(SUMIFS('재고이동로그'!F:F,'재고이동로그'!C:C,$A191,'재고이동로그'!E:E,"8층지원실"),0)</f>
        <v>0</v>
      </c>
      <c r="T191" s="59">
        <f>IFERROR(SUMIFS('재고이동로그'!F:F,'재고이동로그'!C:C,$A191,'재고이동로그'!E:E,"창고"),0)</f>
        <v>0</v>
      </c>
      <c r="U191" s="59">
        <f>IFERROR(SUMIFS('재고이동로그'!F:F,'재고이동로그'!C:C,$A191,'재고이동로그'!E:E,"4층지원실"),0)</f>
        <v>0</v>
      </c>
      <c r="V191" s="59">
        <f>IFERROR(SUMIFS('재고이동로그'!F:F,'재고이동로그'!C:C,$A191,'재고이동로그'!E:E,"8층지원실"),0)</f>
        <v>0</v>
      </c>
      <c r="W191" s="83">
        <f t="shared" ref="W191:Y191" si="194">B191+E191-I191+M191-Q191+T191</f>
        <v>0</v>
      </c>
      <c r="X191" s="83">
        <f t="shared" si="194"/>
        <v>0</v>
      </c>
      <c r="Y191" s="83">
        <f t="shared" si="194"/>
        <v>0</v>
      </c>
      <c r="Z191" s="84">
        <f t="shared" si="6"/>
        <v>0</v>
      </c>
      <c r="AA191" s="59" t="str">
        <f t="shared" si="7"/>
        <v>부족</v>
      </c>
      <c r="AB191" s="59"/>
      <c r="AC191" s="59"/>
      <c r="AD191" s="59"/>
      <c r="AE191" s="59"/>
      <c r="AF191" s="59"/>
    </row>
    <row r="192" ht="15.75" customHeight="1">
      <c r="A192" s="59"/>
      <c r="B192" s="77">
        <f>IFERROR(SUMIFS('교재재고'!C:C,'교재재고'!B:B,$A192),0)</f>
        <v>0</v>
      </c>
      <c r="C192" s="77">
        <f>IFERROR(SUMIFS('교재재고'!D:D,'교재재고'!B:B,$A192),0)</f>
        <v>0</v>
      </c>
      <c r="D192" s="77">
        <f>IFERROR(SUMIFS('교재재고'!E:E,'교재재고'!B:B,$A192),0)</f>
        <v>0</v>
      </c>
      <c r="E192" s="78">
        <f>IFERROR(SUMIFS('교재재고'!F:F,'교재재고'!B:B,$A192),0)
+IFERROR(SUMIFS('교재재고'!I:I,'교재재고'!B:B,$A192),0)
+IFERROR(SUMIFS('교재재고'!L:L,'교재재고'!B:B,$A192),0)
+IFERROR(SUMIFS('교재재고'!O:O,'교재재고'!B:B,$A192),0)
+IFERROR(SUMIFS('교재재고'!R:R,'교재재고'!B:B,$A192),0)</f>
        <v>0</v>
      </c>
      <c r="F192" s="79">
        <f>IFERROR(SUMIFS('교재재고'!G:G,'교재재고'!B:B,$A192),0)
+IFERROR(SUMIFS('교재재고'!J:J,'교재재고'!B:B,$A192),0)
+IFERROR(SUMIFS('교재재고'!M:M,'교재재고'!B:B,$A192),0)
+IFERROR(SUMIFS('교재재고'!P:P,'교재재고'!B:B,$A192),0)
+IFERROR(SUMIFS('교재재고'!S:S,'교재재고'!B:B,$A192),0)</f>
        <v>0</v>
      </c>
      <c r="G192" s="79">
        <f>IFERROR(SUMIFS('교재재고'!H:H,'교재재고'!B:B,$A192),0)
+IFERROR(SUMIFS('교재재고'!K:K,'교재재고'!B:B,$A192),0)
+IFERROR(SUMIFS('교재재고'!N:N,'교재재고'!B:B,$A192),0)
+IFERROR(SUMIFS('교재재고'!Q:Q,'교재재고'!B:B,$A192),0)
+IFERROR(SUMIFS('교재재고'!T:T,'교재재고'!B:B,$A192),0)</f>
        <v>0</v>
      </c>
      <c r="H192" s="79">
        <f t="shared" si="2"/>
        <v>0</v>
      </c>
      <c r="I192" s="80">
        <f>IFERROR(SUMIFS('배부로그'!G:G,'배부로그'!D:D,$A192,'배부로그'!F:F,"창고"),0)</f>
        <v>0</v>
      </c>
      <c r="J192" s="59">
        <f>IFERROR(SUMIFS('배부로그'!G:G,'배부로그'!D:D,$A192,'배부로그'!F:F,"4층지원실"),0)</f>
        <v>0</v>
      </c>
      <c r="K192" s="59">
        <f>IFERROR(SUMIFS('배부로그'!G:G,'배부로그'!D:D,$A192,'배부로그'!F:F,"8층지원실"),0)</f>
        <v>0</v>
      </c>
      <c r="L192" s="81">
        <f t="shared" si="3"/>
        <v>0</v>
      </c>
      <c r="M192" s="59">
        <f>IFERROR(SUMIFS('회수로그'!H:H,'회수로그'!E:E,$A192,'회수로그'!G:G,"창고"),0)</f>
        <v>0</v>
      </c>
      <c r="N192" s="59">
        <f>IFERROR(SUMIFS('회수로그'!H:H,'회수로그'!E:E,$A192,'회수로그'!G:G,"4층지원실"),0)</f>
        <v>0</v>
      </c>
      <c r="O192" s="59">
        <f>IFERROR(SUMIFS('회수로그'!H:H,'회수로그'!E:E,$A192,'회수로그'!G:G,"8층지원실"),0)</f>
        <v>0</v>
      </c>
      <c r="P192" s="59">
        <f t="shared" si="4"/>
        <v>0</v>
      </c>
      <c r="Q192" s="59">
        <f>IFERROR(SUMIFS('재고이동로그'!F:F,'재고이동로그'!C:C,$A192,'재고이동로그'!D:D,"창고"),0)</f>
        <v>0</v>
      </c>
      <c r="R192" s="59">
        <f>IFERROR(SUMIFS('재고이동로그'!F:F,'재고이동로그'!C:C,$A192,'재고이동로그'!E:E,"4층지원실"),0)</f>
        <v>0</v>
      </c>
      <c r="S192" s="82">
        <f>IFERROR(SUMIFS('재고이동로그'!F:F,'재고이동로그'!C:C,$A192,'재고이동로그'!E:E,"8층지원실"),0)</f>
        <v>0</v>
      </c>
      <c r="T192" s="59">
        <f>IFERROR(SUMIFS('재고이동로그'!F:F,'재고이동로그'!C:C,$A192,'재고이동로그'!E:E,"창고"),0)</f>
        <v>0</v>
      </c>
      <c r="U192" s="59">
        <f>IFERROR(SUMIFS('재고이동로그'!F:F,'재고이동로그'!C:C,$A192,'재고이동로그'!E:E,"4층지원실"),0)</f>
        <v>0</v>
      </c>
      <c r="V192" s="59">
        <f>IFERROR(SUMIFS('재고이동로그'!F:F,'재고이동로그'!C:C,$A192,'재고이동로그'!E:E,"8층지원실"),0)</f>
        <v>0</v>
      </c>
      <c r="W192" s="83">
        <f t="shared" ref="W192:Y192" si="195">B192+E192-I192+M192-Q192+T192</f>
        <v>0</v>
      </c>
      <c r="X192" s="83">
        <f t="shared" si="195"/>
        <v>0</v>
      </c>
      <c r="Y192" s="83">
        <f t="shared" si="195"/>
        <v>0</v>
      </c>
      <c r="Z192" s="84">
        <f t="shared" si="6"/>
        <v>0</v>
      </c>
      <c r="AA192" s="59" t="str">
        <f t="shared" si="7"/>
        <v>부족</v>
      </c>
      <c r="AB192" s="59"/>
      <c r="AC192" s="59"/>
      <c r="AD192" s="59"/>
      <c r="AE192" s="59"/>
      <c r="AF192" s="59"/>
    </row>
    <row r="193" ht="15.75" customHeight="1">
      <c r="A193" s="59"/>
      <c r="B193" s="77">
        <f>IFERROR(SUMIFS('교재재고'!C:C,'교재재고'!B:B,$A193),0)</f>
        <v>0</v>
      </c>
      <c r="C193" s="77">
        <f>IFERROR(SUMIFS('교재재고'!D:D,'교재재고'!B:B,$A193),0)</f>
        <v>0</v>
      </c>
      <c r="D193" s="77">
        <f>IFERROR(SUMIFS('교재재고'!E:E,'교재재고'!B:B,$A193),0)</f>
        <v>0</v>
      </c>
      <c r="E193" s="78">
        <f>IFERROR(SUMIFS('교재재고'!F:F,'교재재고'!B:B,$A193),0)
+IFERROR(SUMIFS('교재재고'!I:I,'교재재고'!B:B,$A193),0)
+IFERROR(SUMIFS('교재재고'!L:L,'교재재고'!B:B,$A193),0)
+IFERROR(SUMIFS('교재재고'!O:O,'교재재고'!B:B,$A193),0)
+IFERROR(SUMIFS('교재재고'!R:R,'교재재고'!B:B,$A193),0)</f>
        <v>0</v>
      </c>
      <c r="F193" s="79">
        <f>IFERROR(SUMIFS('교재재고'!G:G,'교재재고'!B:B,$A193),0)
+IFERROR(SUMIFS('교재재고'!J:J,'교재재고'!B:B,$A193),0)
+IFERROR(SUMIFS('교재재고'!M:M,'교재재고'!B:B,$A193),0)
+IFERROR(SUMIFS('교재재고'!P:P,'교재재고'!B:B,$A193),0)
+IFERROR(SUMIFS('교재재고'!S:S,'교재재고'!B:B,$A193),0)</f>
        <v>0</v>
      </c>
      <c r="G193" s="79">
        <f>IFERROR(SUMIFS('교재재고'!H:H,'교재재고'!B:B,$A193),0)
+IFERROR(SUMIFS('교재재고'!K:K,'교재재고'!B:B,$A193),0)
+IFERROR(SUMIFS('교재재고'!N:N,'교재재고'!B:B,$A193),0)
+IFERROR(SUMIFS('교재재고'!Q:Q,'교재재고'!B:B,$A193),0)
+IFERROR(SUMIFS('교재재고'!T:T,'교재재고'!B:B,$A193),0)</f>
        <v>0</v>
      </c>
      <c r="H193" s="79">
        <f t="shared" si="2"/>
        <v>0</v>
      </c>
      <c r="I193" s="80">
        <f>IFERROR(SUMIFS('배부로그'!G:G,'배부로그'!D:D,$A193,'배부로그'!F:F,"창고"),0)</f>
        <v>0</v>
      </c>
      <c r="J193" s="59">
        <f>IFERROR(SUMIFS('배부로그'!G:G,'배부로그'!D:D,$A193,'배부로그'!F:F,"4층지원실"),0)</f>
        <v>0</v>
      </c>
      <c r="K193" s="59">
        <f>IFERROR(SUMIFS('배부로그'!G:G,'배부로그'!D:D,$A193,'배부로그'!F:F,"8층지원실"),0)</f>
        <v>0</v>
      </c>
      <c r="L193" s="81">
        <f t="shared" si="3"/>
        <v>0</v>
      </c>
      <c r="M193" s="59">
        <f>IFERROR(SUMIFS('회수로그'!H:H,'회수로그'!E:E,$A193,'회수로그'!G:G,"창고"),0)</f>
        <v>0</v>
      </c>
      <c r="N193" s="59">
        <f>IFERROR(SUMIFS('회수로그'!H:H,'회수로그'!E:E,$A193,'회수로그'!G:G,"4층지원실"),0)</f>
        <v>0</v>
      </c>
      <c r="O193" s="59">
        <f>IFERROR(SUMIFS('회수로그'!H:H,'회수로그'!E:E,$A193,'회수로그'!G:G,"8층지원실"),0)</f>
        <v>0</v>
      </c>
      <c r="P193" s="59">
        <f t="shared" si="4"/>
        <v>0</v>
      </c>
      <c r="Q193" s="59">
        <f>IFERROR(SUMIFS('재고이동로그'!F:F,'재고이동로그'!C:C,$A193,'재고이동로그'!D:D,"창고"),0)</f>
        <v>0</v>
      </c>
      <c r="R193" s="59">
        <f>IFERROR(SUMIFS('재고이동로그'!F:F,'재고이동로그'!C:C,$A193,'재고이동로그'!E:E,"4층지원실"),0)</f>
        <v>0</v>
      </c>
      <c r="S193" s="82">
        <f>IFERROR(SUMIFS('재고이동로그'!F:F,'재고이동로그'!C:C,$A193,'재고이동로그'!E:E,"8층지원실"),0)</f>
        <v>0</v>
      </c>
      <c r="T193" s="59">
        <f>IFERROR(SUMIFS('재고이동로그'!F:F,'재고이동로그'!C:C,$A193,'재고이동로그'!E:E,"창고"),0)</f>
        <v>0</v>
      </c>
      <c r="U193" s="59">
        <f>IFERROR(SUMIFS('재고이동로그'!F:F,'재고이동로그'!C:C,$A193,'재고이동로그'!E:E,"4층지원실"),0)</f>
        <v>0</v>
      </c>
      <c r="V193" s="59">
        <f>IFERROR(SUMIFS('재고이동로그'!F:F,'재고이동로그'!C:C,$A193,'재고이동로그'!E:E,"8층지원실"),0)</f>
        <v>0</v>
      </c>
      <c r="W193" s="83">
        <f t="shared" ref="W193:Y193" si="196">B193+E193-I193+M193-Q193+T193</f>
        <v>0</v>
      </c>
      <c r="X193" s="83">
        <f t="shared" si="196"/>
        <v>0</v>
      </c>
      <c r="Y193" s="83">
        <f t="shared" si="196"/>
        <v>0</v>
      </c>
      <c r="Z193" s="84">
        <f t="shared" si="6"/>
        <v>0</v>
      </c>
      <c r="AA193" s="59" t="str">
        <f t="shared" si="7"/>
        <v>부족</v>
      </c>
      <c r="AB193" s="59"/>
      <c r="AC193" s="59"/>
      <c r="AD193" s="59"/>
      <c r="AE193" s="59"/>
      <c r="AF193" s="59"/>
    </row>
    <row r="194" ht="15.75" customHeight="1">
      <c r="A194" s="59"/>
      <c r="B194" s="77">
        <f>IFERROR(SUMIFS('교재재고'!C:C,'교재재고'!B:B,$A194),0)</f>
        <v>0</v>
      </c>
      <c r="C194" s="77">
        <f>IFERROR(SUMIFS('교재재고'!D:D,'교재재고'!B:B,$A194),0)</f>
        <v>0</v>
      </c>
      <c r="D194" s="77">
        <f>IFERROR(SUMIFS('교재재고'!E:E,'교재재고'!B:B,$A194),0)</f>
        <v>0</v>
      </c>
      <c r="E194" s="78">
        <f>IFERROR(SUMIFS('교재재고'!F:F,'교재재고'!B:B,$A194),0)
+IFERROR(SUMIFS('교재재고'!I:I,'교재재고'!B:B,$A194),0)
+IFERROR(SUMIFS('교재재고'!L:L,'교재재고'!B:B,$A194),0)
+IFERROR(SUMIFS('교재재고'!O:O,'교재재고'!B:B,$A194),0)
+IFERROR(SUMIFS('교재재고'!R:R,'교재재고'!B:B,$A194),0)</f>
        <v>0</v>
      </c>
      <c r="F194" s="79">
        <f>IFERROR(SUMIFS('교재재고'!G:G,'교재재고'!B:B,$A194),0)
+IFERROR(SUMIFS('교재재고'!J:J,'교재재고'!B:B,$A194),0)
+IFERROR(SUMIFS('교재재고'!M:M,'교재재고'!B:B,$A194),0)
+IFERROR(SUMIFS('교재재고'!P:P,'교재재고'!B:B,$A194),0)
+IFERROR(SUMIFS('교재재고'!S:S,'교재재고'!B:B,$A194),0)</f>
        <v>0</v>
      </c>
      <c r="G194" s="79">
        <f>IFERROR(SUMIFS('교재재고'!H:H,'교재재고'!B:B,$A194),0)
+IFERROR(SUMIFS('교재재고'!K:K,'교재재고'!B:B,$A194),0)
+IFERROR(SUMIFS('교재재고'!N:N,'교재재고'!B:B,$A194),0)
+IFERROR(SUMIFS('교재재고'!Q:Q,'교재재고'!B:B,$A194),0)
+IFERROR(SUMIFS('교재재고'!T:T,'교재재고'!B:B,$A194),0)</f>
        <v>0</v>
      </c>
      <c r="H194" s="79">
        <f t="shared" si="2"/>
        <v>0</v>
      </c>
      <c r="I194" s="80">
        <f>IFERROR(SUMIFS('배부로그'!G:G,'배부로그'!D:D,$A194,'배부로그'!F:F,"창고"),0)</f>
        <v>0</v>
      </c>
      <c r="J194" s="59">
        <f>IFERROR(SUMIFS('배부로그'!G:G,'배부로그'!D:D,$A194,'배부로그'!F:F,"4층지원실"),0)</f>
        <v>0</v>
      </c>
      <c r="K194" s="59">
        <f>IFERROR(SUMIFS('배부로그'!G:G,'배부로그'!D:D,$A194,'배부로그'!F:F,"8층지원실"),0)</f>
        <v>0</v>
      </c>
      <c r="L194" s="81">
        <f t="shared" si="3"/>
        <v>0</v>
      </c>
      <c r="M194" s="59">
        <f>IFERROR(SUMIFS('회수로그'!H:H,'회수로그'!E:E,$A194,'회수로그'!G:G,"창고"),0)</f>
        <v>0</v>
      </c>
      <c r="N194" s="59">
        <f>IFERROR(SUMIFS('회수로그'!H:H,'회수로그'!E:E,$A194,'회수로그'!G:G,"4층지원실"),0)</f>
        <v>0</v>
      </c>
      <c r="O194" s="59">
        <f>IFERROR(SUMIFS('회수로그'!H:H,'회수로그'!E:E,$A194,'회수로그'!G:G,"8층지원실"),0)</f>
        <v>0</v>
      </c>
      <c r="P194" s="59">
        <f t="shared" si="4"/>
        <v>0</v>
      </c>
      <c r="Q194" s="59">
        <f>IFERROR(SUMIFS('재고이동로그'!F:F,'재고이동로그'!C:C,$A194,'재고이동로그'!D:D,"창고"),0)</f>
        <v>0</v>
      </c>
      <c r="R194" s="59">
        <f>IFERROR(SUMIFS('재고이동로그'!F:F,'재고이동로그'!C:C,$A194,'재고이동로그'!E:E,"4층지원실"),0)</f>
        <v>0</v>
      </c>
      <c r="S194" s="82">
        <f>IFERROR(SUMIFS('재고이동로그'!F:F,'재고이동로그'!C:C,$A194,'재고이동로그'!E:E,"8층지원실"),0)</f>
        <v>0</v>
      </c>
      <c r="T194" s="59">
        <f>IFERROR(SUMIFS('재고이동로그'!F:F,'재고이동로그'!C:C,$A194,'재고이동로그'!E:E,"창고"),0)</f>
        <v>0</v>
      </c>
      <c r="U194" s="59">
        <f>IFERROR(SUMIFS('재고이동로그'!F:F,'재고이동로그'!C:C,$A194,'재고이동로그'!E:E,"4층지원실"),0)</f>
        <v>0</v>
      </c>
      <c r="V194" s="59">
        <f>IFERROR(SUMIFS('재고이동로그'!F:F,'재고이동로그'!C:C,$A194,'재고이동로그'!E:E,"8층지원실"),0)</f>
        <v>0</v>
      </c>
      <c r="W194" s="83">
        <f t="shared" ref="W194:Y194" si="197">B194+E194-I194+M194-Q194+T194</f>
        <v>0</v>
      </c>
      <c r="X194" s="83">
        <f t="shared" si="197"/>
        <v>0</v>
      </c>
      <c r="Y194" s="83">
        <f t="shared" si="197"/>
        <v>0</v>
      </c>
      <c r="Z194" s="84">
        <f t="shared" si="6"/>
        <v>0</v>
      </c>
      <c r="AA194" s="59" t="str">
        <f t="shared" si="7"/>
        <v>부족</v>
      </c>
      <c r="AB194" s="59"/>
      <c r="AC194" s="59"/>
      <c r="AD194" s="59"/>
      <c r="AE194" s="59"/>
      <c r="AF194" s="59"/>
    </row>
    <row r="195" ht="15.75" customHeight="1">
      <c r="A195" s="59"/>
      <c r="B195" s="77">
        <f>IFERROR(SUMIFS('교재재고'!C:C,'교재재고'!B:B,$A195),0)</f>
        <v>0</v>
      </c>
      <c r="C195" s="77">
        <f>IFERROR(SUMIFS('교재재고'!D:D,'교재재고'!B:B,$A195),0)</f>
        <v>0</v>
      </c>
      <c r="D195" s="77">
        <f>IFERROR(SUMIFS('교재재고'!E:E,'교재재고'!B:B,$A195),0)</f>
        <v>0</v>
      </c>
      <c r="E195" s="78">
        <f>IFERROR(SUMIFS('교재재고'!F:F,'교재재고'!B:B,$A195),0)
+IFERROR(SUMIFS('교재재고'!I:I,'교재재고'!B:B,$A195),0)
+IFERROR(SUMIFS('교재재고'!L:L,'교재재고'!B:B,$A195),0)
+IFERROR(SUMIFS('교재재고'!O:O,'교재재고'!B:B,$A195),0)
+IFERROR(SUMIFS('교재재고'!R:R,'교재재고'!B:B,$A195),0)</f>
        <v>0</v>
      </c>
      <c r="F195" s="79">
        <f>IFERROR(SUMIFS('교재재고'!G:G,'교재재고'!B:B,$A195),0)
+IFERROR(SUMIFS('교재재고'!J:J,'교재재고'!B:B,$A195),0)
+IFERROR(SUMIFS('교재재고'!M:M,'교재재고'!B:B,$A195),0)
+IFERROR(SUMIFS('교재재고'!P:P,'교재재고'!B:B,$A195),0)
+IFERROR(SUMIFS('교재재고'!S:S,'교재재고'!B:B,$A195),0)</f>
        <v>0</v>
      </c>
      <c r="G195" s="79">
        <f>IFERROR(SUMIFS('교재재고'!H:H,'교재재고'!B:B,$A195),0)
+IFERROR(SUMIFS('교재재고'!K:K,'교재재고'!B:B,$A195),0)
+IFERROR(SUMIFS('교재재고'!N:N,'교재재고'!B:B,$A195),0)
+IFERROR(SUMIFS('교재재고'!Q:Q,'교재재고'!B:B,$A195),0)
+IFERROR(SUMIFS('교재재고'!T:T,'교재재고'!B:B,$A195),0)</f>
        <v>0</v>
      </c>
      <c r="H195" s="79">
        <f t="shared" si="2"/>
        <v>0</v>
      </c>
      <c r="I195" s="80">
        <f>IFERROR(SUMIFS('배부로그'!G:G,'배부로그'!D:D,$A195,'배부로그'!F:F,"창고"),0)</f>
        <v>0</v>
      </c>
      <c r="J195" s="59">
        <f>IFERROR(SUMIFS('배부로그'!G:G,'배부로그'!D:D,$A195,'배부로그'!F:F,"4층지원실"),0)</f>
        <v>0</v>
      </c>
      <c r="K195" s="59">
        <f>IFERROR(SUMIFS('배부로그'!G:G,'배부로그'!D:D,$A195,'배부로그'!F:F,"8층지원실"),0)</f>
        <v>0</v>
      </c>
      <c r="L195" s="81">
        <f t="shared" si="3"/>
        <v>0</v>
      </c>
      <c r="M195" s="59">
        <f>IFERROR(SUMIFS('회수로그'!H:H,'회수로그'!E:E,$A195,'회수로그'!G:G,"창고"),0)</f>
        <v>0</v>
      </c>
      <c r="N195" s="59">
        <f>IFERROR(SUMIFS('회수로그'!H:H,'회수로그'!E:E,$A195,'회수로그'!G:G,"4층지원실"),0)</f>
        <v>0</v>
      </c>
      <c r="O195" s="59">
        <f>IFERROR(SUMIFS('회수로그'!H:H,'회수로그'!E:E,$A195,'회수로그'!G:G,"8층지원실"),0)</f>
        <v>0</v>
      </c>
      <c r="P195" s="59">
        <f t="shared" si="4"/>
        <v>0</v>
      </c>
      <c r="Q195" s="59">
        <f>IFERROR(SUMIFS('재고이동로그'!F:F,'재고이동로그'!C:C,$A195,'재고이동로그'!D:D,"창고"),0)</f>
        <v>0</v>
      </c>
      <c r="R195" s="59">
        <f>IFERROR(SUMIFS('재고이동로그'!F:F,'재고이동로그'!C:C,$A195,'재고이동로그'!E:E,"4층지원실"),0)</f>
        <v>0</v>
      </c>
      <c r="S195" s="82">
        <f>IFERROR(SUMIFS('재고이동로그'!F:F,'재고이동로그'!C:C,$A195,'재고이동로그'!E:E,"8층지원실"),0)</f>
        <v>0</v>
      </c>
      <c r="T195" s="59">
        <f>IFERROR(SUMIFS('재고이동로그'!F:F,'재고이동로그'!C:C,$A195,'재고이동로그'!E:E,"창고"),0)</f>
        <v>0</v>
      </c>
      <c r="U195" s="59">
        <f>IFERROR(SUMIFS('재고이동로그'!F:F,'재고이동로그'!C:C,$A195,'재고이동로그'!E:E,"4층지원실"),0)</f>
        <v>0</v>
      </c>
      <c r="V195" s="59">
        <f>IFERROR(SUMIFS('재고이동로그'!F:F,'재고이동로그'!C:C,$A195,'재고이동로그'!E:E,"8층지원실"),0)</f>
        <v>0</v>
      </c>
      <c r="W195" s="83">
        <f t="shared" ref="W195:Y195" si="198">B195+E195-I195+M195-Q195+T195</f>
        <v>0</v>
      </c>
      <c r="X195" s="83">
        <f t="shared" si="198"/>
        <v>0</v>
      </c>
      <c r="Y195" s="83">
        <f t="shared" si="198"/>
        <v>0</v>
      </c>
      <c r="Z195" s="84">
        <f t="shared" si="6"/>
        <v>0</v>
      </c>
      <c r="AA195" s="59" t="str">
        <f t="shared" si="7"/>
        <v>부족</v>
      </c>
      <c r="AB195" s="59"/>
      <c r="AC195" s="59"/>
      <c r="AD195" s="59"/>
      <c r="AE195" s="59"/>
      <c r="AF195" s="59"/>
    </row>
    <row r="196" ht="15.75" customHeight="1">
      <c r="A196" s="59"/>
      <c r="B196" s="77">
        <f>IFERROR(SUMIFS('교재재고'!C:C,'교재재고'!B:B,$A196),0)</f>
        <v>0</v>
      </c>
      <c r="C196" s="77">
        <f>IFERROR(SUMIFS('교재재고'!D:D,'교재재고'!B:B,$A196),0)</f>
        <v>0</v>
      </c>
      <c r="D196" s="77">
        <f>IFERROR(SUMIFS('교재재고'!E:E,'교재재고'!B:B,$A196),0)</f>
        <v>0</v>
      </c>
      <c r="E196" s="78">
        <f>IFERROR(SUMIFS('교재재고'!F:F,'교재재고'!B:B,$A196),0)
+IFERROR(SUMIFS('교재재고'!I:I,'교재재고'!B:B,$A196),0)
+IFERROR(SUMIFS('교재재고'!L:L,'교재재고'!B:B,$A196),0)
+IFERROR(SUMIFS('교재재고'!O:O,'교재재고'!B:B,$A196),0)
+IFERROR(SUMIFS('교재재고'!R:R,'교재재고'!B:B,$A196),0)</f>
        <v>0</v>
      </c>
      <c r="F196" s="79">
        <f>IFERROR(SUMIFS('교재재고'!G:G,'교재재고'!B:B,$A196),0)
+IFERROR(SUMIFS('교재재고'!J:J,'교재재고'!B:B,$A196),0)
+IFERROR(SUMIFS('교재재고'!M:M,'교재재고'!B:B,$A196),0)
+IFERROR(SUMIFS('교재재고'!P:P,'교재재고'!B:B,$A196),0)
+IFERROR(SUMIFS('교재재고'!S:S,'교재재고'!B:B,$A196),0)</f>
        <v>0</v>
      </c>
      <c r="G196" s="79">
        <f>IFERROR(SUMIFS('교재재고'!H:H,'교재재고'!B:B,$A196),0)
+IFERROR(SUMIFS('교재재고'!K:K,'교재재고'!B:B,$A196),0)
+IFERROR(SUMIFS('교재재고'!N:N,'교재재고'!B:B,$A196),0)
+IFERROR(SUMIFS('교재재고'!Q:Q,'교재재고'!B:B,$A196),0)
+IFERROR(SUMIFS('교재재고'!T:T,'교재재고'!B:B,$A196),0)</f>
        <v>0</v>
      </c>
      <c r="H196" s="79">
        <f t="shared" si="2"/>
        <v>0</v>
      </c>
      <c r="I196" s="80">
        <f>IFERROR(SUMIFS('배부로그'!G:G,'배부로그'!D:D,$A196,'배부로그'!F:F,"창고"),0)</f>
        <v>0</v>
      </c>
      <c r="J196" s="59">
        <f>IFERROR(SUMIFS('배부로그'!G:G,'배부로그'!D:D,$A196,'배부로그'!F:F,"4층지원실"),0)</f>
        <v>0</v>
      </c>
      <c r="K196" s="59">
        <f>IFERROR(SUMIFS('배부로그'!G:G,'배부로그'!D:D,$A196,'배부로그'!F:F,"8층지원실"),0)</f>
        <v>0</v>
      </c>
      <c r="L196" s="81">
        <f t="shared" si="3"/>
        <v>0</v>
      </c>
      <c r="M196" s="59">
        <f>IFERROR(SUMIFS('회수로그'!H:H,'회수로그'!E:E,$A196,'회수로그'!G:G,"창고"),0)</f>
        <v>0</v>
      </c>
      <c r="N196" s="59">
        <f>IFERROR(SUMIFS('회수로그'!H:H,'회수로그'!E:E,$A196,'회수로그'!G:G,"4층지원실"),0)</f>
        <v>0</v>
      </c>
      <c r="O196" s="59">
        <f>IFERROR(SUMIFS('회수로그'!H:H,'회수로그'!E:E,$A196,'회수로그'!G:G,"8층지원실"),0)</f>
        <v>0</v>
      </c>
      <c r="P196" s="59">
        <f t="shared" si="4"/>
        <v>0</v>
      </c>
      <c r="Q196" s="59">
        <f>IFERROR(SUMIFS('재고이동로그'!F:F,'재고이동로그'!C:C,$A196,'재고이동로그'!D:D,"창고"),0)</f>
        <v>0</v>
      </c>
      <c r="R196" s="59">
        <f>IFERROR(SUMIFS('재고이동로그'!F:F,'재고이동로그'!C:C,$A196,'재고이동로그'!E:E,"4층지원실"),0)</f>
        <v>0</v>
      </c>
      <c r="S196" s="82">
        <f>IFERROR(SUMIFS('재고이동로그'!F:F,'재고이동로그'!C:C,$A196,'재고이동로그'!E:E,"8층지원실"),0)</f>
        <v>0</v>
      </c>
      <c r="T196" s="59">
        <f>IFERROR(SUMIFS('재고이동로그'!F:F,'재고이동로그'!C:C,$A196,'재고이동로그'!E:E,"창고"),0)</f>
        <v>0</v>
      </c>
      <c r="U196" s="59">
        <f>IFERROR(SUMIFS('재고이동로그'!F:F,'재고이동로그'!C:C,$A196,'재고이동로그'!E:E,"4층지원실"),0)</f>
        <v>0</v>
      </c>
      <c r="V196" s="59">
        <f>IFERROR(SUMIFS('재고이동로그'!F:F,'재고이동로그'!C:C,$A196,'재고이동로그'!E:E,"8층지원실"),0)</f>
        <v>0</v>
      </c>
      <c r="W196" s="83">
        <f t="shared" ref="W196:Y196" si="199">B196+E196-I196+M196-Q196+T196</f>
        <v>0</v>
      </c>
      <c r="X196" s="83">
        <f t="shared" si="199"/>
        <v>0</v>
      </c>
      <c r="Y196" s="83">
        <f t="shared" si="199"/>
        <v>0</v>
      </c>
      <c r="Z196" s="84">
        <f t="shared" si="6"/>
        <v>0</v>
      </c>
      <c r="AA196" s="59" t="str">
        <f t="shared" si="7"/>
        <v>부족</v>
      </c>
      <c r="AB196" s="59"/>
      <c r="AC196" s="59"/>
      <c r="AD196" s="59"/>
      <c r="AE196" s="59"/>
      <c r="AF196" s="59"/>
    </row>
    <row r="197" ht="15.75" customHeight="1">
      <c r="A197" s="59"/>
      <c r="B197" s="77">
        <f>IFERROR(SUMIFS('교재재고'!C:C,'교재재고'!B:B,$A197),0)</f>
        <v>0</v>
      </c>
      <c r="C197" s="77">
        <f>IFERROR(SUMIFS('교재재고'!D:D,'교재재고'!B:B,$A197),0)</f>
        <v>0</v>
      </c>
      <c r="D197" s="77">
        <f>IFERROR(SUMIFS('교재재고'!E:E,'교재재고'!B:B,$A197),0)</f>
        <v>0</v>
      </c>
      <c r="E197" s="78">
        <f>IFERROR(SUMIFS('교재재고'!F:F,'교재재고'!B:B,$A197),0)
+IFERROR(SUMIFS('교재재고'!I:I,'교재재고'!B:B,$A197),0)
+IFERROR(SUMIFS('교재재고'!L:L,'교재재고'!B:B,$A197),0)
+IFERROR(SUMIFS('교재재고'!O:O,'교재재고'!B:B,$A197),0)
+IFERROR(SUMIFS('교재재고'!R:R,'교재재고'!B:B,$A197),0)</f>
        <v>0</v>
      </c>
      <c r="F197" s="79">
        <f>IFERROR(SUMIFS('교재재고'!G:G,'교재재고'!B:B,$A197),0)
+IFERROR(SUMIFS('교재재고'!J:J,'교재재고'!B:B,$A197),0)
+IFERROR(SUMIFS('교재재고'!M:M,'교재재고'!B:B,$A197),0)
+IFERROR(SUMIFS('교재재고'!P:P,'교재재고'!B:B,$A197),0)
+IFERROR(SUMIFS('교재재고'!S:S,'교재재고'!B:B,$A197),0)</f>
        <v>0</v>
      </c>
      <c r="G197" s="79">
        <f>IFERROR(SUMIFS('교재재고'!H:H,'교재재고'!B:B,$A197),0)
+IFERROR(SUMIFS('교재재고'!K:K,'교재재고'!B:B,$A197),0)
+IFERROR(SUMIFS('교재재고'!N:N,'교재재고'!B:B,$A197),0)
+IFERROR(SUMIFS('교재재고'!Q:Q,'교재재고'!B:B,$A197),0)
+IFERROR(SUMIFS('교재재고'!T:T,'교재재고'!B:B,$A197),0)</f>
        <v>0</v>
      </c>
      <c r="H197" s="79">
        <f t="shared" si="2"/>
        <v>0</v>
      </c>
      <c r="I197" s="80">
        <f>IFERROR(SUMIFS('배부로그'!G:G,'배부로그'!D:D,$A197,'배부로그'!F:F,"창고"),0)</f>
        <v>0</v>
      </c>
      <c r="J197" s="59">
        <f>IFERROR(SUMIFS('배부로그'!G:G,'배부로그'!D:D,$A197,'배부로그'!F:F,"4층지원실"),0)</f>
        <v>0</v>
      </c>
      <c r="K197" s="59">
        <f>IFERROR(SUMIFS('배부로그'!G:G,'배부로그'!D:D,$A197,'배부로그'!F:F,"8층지원실"),0)</f>
        <v>0</v>
      </c>
      <c r="L197" s="81">
        <f t="shared" si="3"/>
        <v>0</v>
      </c>
      <c r="M197" s="59">
        <f>IFERROR(SUMIFS('회수로그'!H:H,'회수로그'!E:E,$A197,'회수로그'!G:G,"창고"),0)</f>
        <v>0</v>
      </c>
      <c r="N197" s="59">
        <f>IFERROR(SUMIFS('회수로그'!H:H,'회수로그'!E:E,$A197,'회수로그'!G:G,"4층지원실"),0)</f>
        <v>0</v>
      </c>
      <c r="O197" s="59">
        <f>IFERROR(SUMIFS('회수로그'!H:H,'회수로그'!E:E,$A197,'회수로그'!G:G,"8층지원실"),0)</f>
        <v>0</v>
      </c>
      <c r="P197" s="59">
        <f t="shared" si="4"/>
        <v>0</v>
      </c>
      <c r="Q197" s="59">
        <f>IFERROR(SUMIFS('재고이동로그'!F:F,'재고이동로그'!C:C,$A197,'재고이동로그'!D:D,"창고"),0)</f>
        <v>0</v>
      </c>
      <c r="R197" s="59">
        <f>IFERROR(SUMIFS('재고이동로그'!F:F,'재고이동로그'!C:C,$A197,'재고이동로그'!E:E,"4층지원실"),0)</f>
        <v>0</v>
      </c>
      <c r="S197" s="82">
        <f>IFERROR(SUMIFS('재고이동로그'!F:F,'재고이동로그'!C:C,$A197,'재고이동로그'!E:E,"8층지원실"),0)</f>
        <v>0</v>
      </c>
      <c r="T197" s="59">
        <f>IFERROR(SUMIFS('재고이동로그'!F:F,'재고이동로그'!C:C,$A197,'재고이동로그'!E:E,"창고"),0)</f>
        <v>0</v>
      </c>
      <c r="U197" s="59">
        <f>IFERROR(SUMIFS('재고이동로그'!F:F,'재고이동로그'!C:C,$A197,'재고이동로그'!E:E,"4층지원실"),0)</f>
        <v>0</v>
      </c>
      <c r="V197" s="59">
        <f>IFERROR(SUMIFS('재고이동로그'!F:F,'재고이동로그'!C:C,$A197,'재고이동로그'!E:E,"8층지원실"),0)</f>
        <v>0</v>
      </c>
      <c r="W197" s="83">
        <f t="shared" ref="W197:Y197" si="200">B197+E197-I197+M197-Q197+T197</f>
        <v>0</v>
      </c>
      <c r="X197" s="83">
        <f t="shared" si="200"/>
        <v>0</v>
      </c>
      <c r="Y197" s="83">
        <f t="shared" si="200"/>
        <v>0</v>
      </c>
      <c r="Z197" s="84">
        <f t="shared" si="6"/>
        <v>0</v>
      </c>
      <c r="AA197" s="59" t="str">
        <f t="shared" si="7"/>
        <v>부족</v>
      </c>
      <c r="AB197" s="59"/>
      <c r="AC197" s="59"/>
      <c r="AD197" s="59"/>
      <c r="AE197" s="59"/>
      <c r="AF197" s="59"/>
    </row>
    <row r="198" ht="15.75" customHeight="1">
      <c r="A198" s="59"/>
      <c r="B198" s="77">
        <f>IFERROR(SUMIFS('교재재고'!C:C,'교재재고'!B:B,$A198),0)</f>
        <v>0</v>
      </c>
      <c r="C198" s="77">
        <f>IFERROR(SUMIFS('교재재고'!D:D,'교재재고'!B:B,$A198),0)</f>
        <v>0</v>
      </c>
      <c r="D198" s="77">
        <f>IFERROR(SUMIFS('교재재고'!E:E,'교재재고'!B:B,$A198),0)</f>
        <v>0</v>
      </c>
      <c r="E198" s="78">
        <f>IFERROR(SUMIFS('교재재고'!F:F,'교재재고'!B:B,$A198),0)
+IFERROR(SUMIFS('교재재고'!I:I,'교재재고'!B:B,$A198),0)
+IFERROR(SUMIFS('교재재고'!L:L,'교재재고'!B:B,$A198),0)
+IFERROR(SUMIFS('교재재고'!O:O,'교재재고'!B:B,$A198),0)
+IFERROR(SUMIFS('교재재고'!R:R,'교재재고'!B:B,$A198),0)</f>
        <v>0</v>
      </c>
      <c r="F198" s="79">
        <f>IFERROR(SUMIFS('교재재고'!G:G,'교재재고'!B:B,$A198),0)
+IFERROR(SUMIFS('교재재고'!J:J,'교재재고'!B:B,$A198),0)
+IFERROR(SUMIFS('교재재고'!M:M,'교재재고'!B:B,$A198),0)
+IFERROR(SUMIFS('교재재고'!P:P,'교재재고'!B:B,$A198),0)
+IFERROR(SUMIFS('교재재고'!S:S,'교재재고'!B:B,$A198),0)</f>
        <v>0</v>
      </c>
      <c r="G198" s="79">
        <f>IFERROR(SUMIFS('교재재고'!H:H,'교재재고'!B:B,$A198),0)
+IFERROR(SUMIFS('교재재고'!K:K,'교재재고'!B:B,$A198),0)
+IFERROR(SUMIFS('교재재고'!N:N,'교재재고'!B:B,$A198),0)
+IFERROR(SUMIFS('교재재고'!Q:Q,'교재재고'!B:B,$A198),0)
+IFERROR(SUMIFS('교재재고'!T:T,'교재재고'!B:B,$A198),0)</f>
        <v>0</v>
      </c>
      <c r="H198" s="79">
        <f t="shared" si="2"/>
        <v>0</v>
      </c>
      <c r="I198" s="80">
        <f>IFERROR(SUMIFS('배부로그'!G:G,'배부로그'!D:D,$A198,'배부로그'!F:F,"창고"),0)</f>
        <v>0</v>
      </c>
      <c r="J198" s="59">
        <f>IFERROR(SUMIFS('배부로그'!G:G,'배부로그'!D:D,$A198,'배부로그'!F:F,"4층지원실"),0)</f>
        <v>0</v>
      </c>
      <c r="K198" s="59">
        <f>IFERROR(SUMIFS('배부로그'!G:G,'배부로그'!D:D,$A198,'배부로그'!F:F,"8층지원실"),0)</f>
        <v>0</v>
      </c>
      <c r="L198" s="81">
        <f t="shared" si="3"/>
        <v>0</v>
      </c>
      <c r="M198" s="59">
        <f>IFERROR(SUMIFS('회수로그'!H:H,'회수로그'!E:E,$A198,'회수로그'!G:G,"창고"),0)</f>
        <v>0</v>
      </c>
      <c r="N198" s="59">
        <f>IFERROR(SUMIFS('회수로그'!H:H,'회수로그'!E:E,$A198,'회수로그'!G:G,"4층지원실"),0)</f>
        <v>0</v>
      </c>
      <c r="O198" s="59">
        <f>IFERROR(SUMIFS('회수로그'!H:H,'회수로그'!E:E,$A198,'회수로그'!G:G,"8층지원실"),0)</f>
        <v>0</v>
      </c>
      <c r="P198" s="59">
        <f t="shared" si="4"/>
        <v>0</v>
      </c>
      <c r="Q198" s="59">
        <f>IFERROR(SUMIFS('재고이동로그'!F:F,'재고이동로그'!C:C,$A198,'재고이동로그'!D:D,"창고"),0)</f>
        <v>0</v>
      </c>
      <c r="R198" s="59">
        <f>IFERROR(SUMIFS('재고이동로그'!F:F,'재고이동로그'!C:C,$A198,'재고이동로그'!E:E,"4층지원실"),0)</f>
        <v>0</v>
      </c>
      <c r="S198" s="82">
        <f>IFERROR(SUMIFS('재고이동로그'!F:F,'재고이동로그'!C:C,$A198,'재고이동로그'!E:E,"8층지원실"),0)</f>
        <v>0</v>
      </c>
      <c r="T198" s="59">
        <f>IFERROR(SUMIFS('재고이동로그'!F:F,'재고이동로그'!C:C,$A198,'재고이동로그'!E:E,"창고"),0)</f>
        <v>0</v>
      </c>
      <c r="U198" s="59">
        <f>IFERROR(SUMIFS('재고이동로그'!F:F,'재고이동로그'!C:C,$A198,'재고이동로그'!E:E,"4층지원실"),0)</f>
        <v>0</v>
      </c>
      <c r="V198" s="59">
        <f>IFERROR(SUMIFS('재고이동로그'!F:F,'재고이동로그'!C:C,$A198,'재고이동로그'!E:E,"8층지원실"),0)</f>
        <v>0</v>
      </c>
      <c r="W198" s="83">
        <f t="shared" ref="W198:Y198" si="201">B198+E198-I198+M198-Q198+T198</f>
        <v>0</v>
      </c>
      <c r="X198" s="83">
        <f t="shared" si="201"/>
        <v>0</v>
      </c>
      <c r="Y198" s="83">
        <f t="shared" si="201"/>
        <v>0</v>
      </c>
      <c r="Z198" s="84">
        <f t="shared" si="6"/>
        <v>0</v>
      </c>
      <c r="AA198" s="59" t="str">
        <f t="shared" si="7"/>
        <v>부족</v>
      </c>
      <c r="AB198" s="59"/>
      <c r="AC198" s="59"/>
      <c r="AD198" s="59"/>
      <c r="AE198" s="59"/>
      <c r="AF198" s="59"/>
    </row>
    <row r="199" ht="15.75" customHeight="1">
      <c r="A199" s="59"/>
      <c r="B199" s="77">
        <f>IFERROR(SUMIFS('교재재고'!C:C,'교재재고'!B:B,$A199),0)</f>
        <v>0</v>
      </c>
      <c r="C199" s="77">
        <f>IFERROR(SUMIFS('교재재고'!D:D,'교재재고'!B:B,$A199),0)</f>
        <v>0</v>
      </c>
      <c r="D199" s="77">
        <f>IFERROR(SUMIFS('교재재고'!E:E,'교재재고'!B:B,$A199),0)</f>
        <v>0</v>
      </c>
      <c r="E199" s="78">
        <f>IFERROR(SUMIFS('교재재고'!F:F,'교재재고'!B:B,$A199),0)
+IFERROR(SUMIFS('교재재고'!I:I,'교재재고'!B:B,$A199),0)
+IFERROR(SUMIFS('교재재고'!L:L,'교재재고'!B:B,$A199),0)
+IFERROR(SUMIFS('교재재고'!O:O,'교재재고'!B:B,$A199),0)
+IFERROR(SUMIFS('교재재고'!R:R,'교재재고'!B:B,$A199),0)</f>
        <v>0</v>
      </c>
      <c r="F199" s="79">
        <f>IFERROR(SUMIFS('교재재고'!G:G,'교재재고'!B:B,$A199),0)
+IFERROR(SUMIFS('교재재고'!J:J,'교재재고'!B:B,$A199),0)
+IFERROR(SUMIFS('교재재고'!M:M,'교재재고'!B:B,$A199),0)
+IFERROR(SUMIFS('교재재고'!P:P,'교재재고'!B:B,$A199),0)
+IFERROR(SUMIFS('교재재고'!S:S,'교재재고'!B:B,$A199),0)</f>
        <v>0</v>
      </c>
      <c r="G199" s="79">
        <f>IFERROR(SUMIFS('교재재고'!H:H,'교재재고'!B:B,$A199),0)
+IFERROR(SUMIFS('교재재고'!K:K,'교재재고'!B:B,$A199),0)
+IFERROR(SUMIFS('교재재고'!N:N,'교재재고'!B:B,$A199),0)
+IFERROR(SUMIFS('교재재고'!Q:Q,'교재재고'!B:B,$A199),0)
+IFERROR(SUMIFS('교재재고'!T:T,'교재재고'!B:B,$A199),0)</f>
        <v>0</v>
      </c>
      <c r="H199" s="79">
        <f t="shared" si="2"/>
        <v>0</v>
      </c>
      <c r="I199" s="80">
        <f>IFERROR(SUMIFS('배부로그'!G:G,'배부로그'!D:D,$A199,'배부로그'!F:F,"창고"),0)</f>
        <v>0</v>
      </c>
      <c r="J199" s="59">
        <f>IFERROR(SUMIFS('배부로그'!G:G,'배부로그'!D:D,$A199,'배부로그'!F:F,"4층지원실"),0)</f>
        <v>0</v>
      </c>
      <c r="K199" s="59">
        <f>IFERROR(SUMIFS('배부로그'!G:G,'배부로그'!D:D,$A199,'배부로그'!F:F,"8층지원실"),0)</f>
        <v>0</v>
      </c>
      <c r="L199" s="81">
        <f t="shared" si="3"/>
        <v>0</v>
      </c>
      <c r="M199" s="59">
        <f>IFERROR(SUMIFS('회수로그'!H:H,'회수로그'!E:E,$A199,'회수로그'!G:G,"창고"),0)</f>
        <v>0</v>
      </c>
      <c r="N199" s="59">
        <f>IFERROR(SUMIFS('회수로그'!H:H,'회수로그'!E:E,$A199,'회수로그'!G:G,"4층지원실"),0)</f>
        <v>0</v>
      </c>
      <c r="O199" s="59">
        <f>IFERROR(SUMIFS('회수로그'!H:H,'회수로그'!E:E,$A199,'회수로그'!G:G,"8층지원실"),0)</f>
        <v>0</v>
      </c>
      <c r="P199" s="59">
        <f t="shared" si="4"/>
        <v>0</v>
      </c>
      <c r="Q199" s="59">
        <f>IFERROR(SUMIFS('재고이동로그'!F:F,'재고이동로그'!C:C,$A199,'재고이동로그'!D:D,"창고"),0)</f>
        <v>0</v>
      </c>
      <c r="R199" s="59">
        <f>IFERROR(SUMIFS('재고이동로그'!F:F,'재고이동로그'!C:C,$A199,'재고이동로그'!E:E,"4층지원실"),0)</f>
        <v>0</v>
      </c>
      <c r="S199" s="82">
        <f>IFERROR(SUMIFS('재고이동로그'!F:F,'재고이동로그'!C:C,$A199,'재고이동로그'!E:E,"8층지원실"),0)</f>
        <v>0</v>
      </c>
      <c r="T199" s="59">
        <f>IFERROR(SUMIFS('재고이동로그'!F:F,'재고이동로그'!C:C,$A199,'재고이동로그'!E:E,"창고"),0)</f>
        <v>0</v>
      </c>
      <c r="U199" s="59">
        <f>IFERROR(SUMIFS('재고이동로그'!F:F,'재고이동로그'!C:C,$A199,'재고이동로그'!E:E,"4층지원실"),0)</f>
        <v>0</v>
      </c>
      <c r="V199" s="59">
        <f>IFERROR(SUMIFS('재고이동로그'!F:F,'재고이동로그'!C:C,$A199,'재고이동로그'!E:E,"8층지원실"),0)</f>
        <v>0</v>
      </c>
      <c r="W199" s="83">
        <f t="shared" ref="W199:Y199" si="202">B199+E199-I199+M199-Q199+T199</f>
        <v>0</v>
      </c>
      <c r="X199" s="83">
        <f t="shared" si="202"/>
        <v>0</v>
      </c>
      <c r="Y199" s="83">
        <f t="shared" si="202"/>
        <v>0</v>
      </c>
      <c r="Z199" s="84">
        <f t="shared" si="6"/>
        <v>0</v>
      </c>
      <c r="AA199" s="59" t="str">
        <f t="shared" si="7"/>
        <v>부족</v>
      </c>
      <c r="AB199" s="59"/>
      <c r="AC199" s="59"/>
      <c r="AD199" s="59"/>
      <c r="AE199" s="59"/>
      <c r="AF199" s="59"/>
    </row>
    <row r="200" ht="15.75" customHeight="1">
      <c r="A200" s="59"/>
      <c r="B200" s="77">
        <f>IFERROR(SUMIFS('교재재고'!C:C,'교재재고'!B:B,$A200),0)</f>
        <v>0</v>
      </c>
      <c r="C200" s="77">
        <f>IFERROR(SUMIFS('교재재고'!D:D,'교재재고'!B:B,$A200),0)</f>
        <v>0</v>
      </c>
      <c r="D200" s="77">
        <f>IFERROR(SUMIFS('교재재고'!E:E,'교재재고'!B:B,$A200),0)</f>
        <v>0</v>
      </c>
      <c r="E200" s="78">
        <f>IFERROR(SUMIFS('교재재고'!F:F,'교재재고'!B:B,$A200),0)
+IFERROR(SUMIFS('교재재고'!I:I,'교재재고'!B:B,$A200),0)
+IFERROR(SUMIFS('교재재고'!L:L,'교재재고'!B:B,$A200),0)
+IFERROR(SUMIFS('교재재고'!O:O,'교재재고'!B:B,$A200),0)
+IFERROR(SUMIFS('교재재고'!R:R,'교재재고'!B:B,$A200),0)</f>
        <v>0</v>
      </c>
      <c r="F200" s="79">
        <f>IFERROR(SUMIFS('교재재고'!G:G,'교재재고'!B:B,$A200),0)
+IFERROR(SUMIFS('교재재고'!J:J,'교재재고'!B:B,$A200),0)
+IFERROR(SUMIFS('교재재고'!M:M,'교재재고'!B:B,$A200),0)
+IFERROR(SUMIFS('교재재고'!P:P,'교재재고'!B:B,$A200),0)
+IFERROR(SUMIFS('교재재고'!S:S,'교재재고'!B:B,$A200),0)</f>
        <v>0</v>
      </c>
      <c r="G200" s="79">
        <f>IFERROR(SUMIFS('교재재고'!H:H,'교재재고'!B:B,$A200),0)
+IFERROR(SUMIFS('교재재고'!K:K,'교재재고'!B:B,$A200),0)
+IFERROR(SUMIFS('교재재고'!N:N,'교재재고'!B:B,$A200),0)
+IFERROR(SUMIFS('교재재고'!Q:Q,'교재재고'!B:B,$A200),0)
+IFERROR(SUMIFS('교재재고'!T:T,'교재재고'!B:B,$A200),0)</f>
        <v>0</v>
      </c>
      <c r="H200" s="79">
        <f t="shared" si="2"/>
        <v>0</v>
      </c>
      <c r="I200" s="80">
        <f>IFERROR(SUMIFS('배부로그'!G:G,'배부로그'!D:D,$A200,'배부로그'!F:F,"창고"),0)</f>
        <v>0</v>
      </c>
      <c r="J200" s="59">
        <f>IFERROR(SUMIFS('배부로그'!G:G,'배부로그'!D:D,$A200,'배부로그'!F:F,"4층지원실"),0)</f>
        <v>0</v>
      </c>
      <c r="K200" s="59">
        <f>IFERROR(SUMIFS('배부로그'!G:G,'배부로그'!D:D,$A200,'배부로그'!F:F,"8층지원실"),0)</f>
        <v>0</v>
      </c>
      <c r="L200" s="81">
        <f t="shared" si="3"/>
        <v>0</v>
      </c>
      <c r="M200" s="59">
        <f>IFERROR(SUMIFS('회수로그'!H:H,'회수로그'!E:E,$A200,'회수로그'!G:G,"창고"),0)</f>
        <v>0</v>
      </c>
      <c r="N200" s="59">
        <f>IFERROR(SUMIFS('회수로그'!H:H,'회수로그'!E:E,$A200,'회수로그'!G:G,"4층지원실"),0)</f>
        <v>0</v>
      </c>
      <c r="O200" s="59">
        <f>IFERROR(SUMIFS('회수로그'!H:H,'회수로그'!E:E,$A200,'회수로그'!G:G,"8층지원실"),0)</f>
        <v>0</v>
      </c>
      <c r="P200" s="59">
        <f t="shared" si="4"/>
        <v>0</v>
      </c>
      <c r="Q200" s="59">
        <f>IFERROR(SUMIFS('재고이동로그'!F:F,'재고이동로그'!C:C,$A200,'재고이동로그'!D:D,"창고"),0)</f>
        <v>0</v>
      </c>
      <c r="R200" s="59">
        <f>IFERROR(SUMIFS('재고이동로그'!F:F,'재고이동로그'!C:C,$A200,'재고이동로그'!E:E,"4층지원실"),0)</f>
        <v>0</v>
      </c>
      <c r="S200" s="82">
        <f>IFERROR(SUMIFS('재고이동로그'!F:F,'재고이동로그'!C:C,$A200,'재고이동로그'!E:E,"8층지원실"),0)</f>
        <v>0</v>
      </c>
      <c r="T200" s="59">
        <f>IFERROR(SUMIFS('재고이동로그'!F:F,'재고이동로그'!C:C,$A200,'재고이동로그'!E:E,"창고"),0)</f>
        <v>0</v>
      </c>
      <c r="U200" s="59">
        <f>IFERROR(SUMIFS('재고이동로그'!F:F,'재고이동로그'!C:C,$A200,'재고이동로그'!E:E,"4층지원실"),0)</f>
        <v>0</v>
      </c>
      <c r="V200" s="59">
        <f>IFERROR(SUMIFS('재고이동로그'!F:F,'재고이동로그'!C:C,$A200,'재고이동로그'!E:E,"8층지원실"),0)</f>
        <v>0</v>
      </c>
      <c r="W200" s="83">
        <f t="shared" ref="W200:Y200" si="203">B200+E200-I200+M200-Q200+T200</f>
        <v>0</v>
      </c>
      <c r="X200" s="83">
        <f t="shared" si="203"/>
        <v>0</v>
      </c>
      <c r="Y200" s="83">
        <f t="shared" si="203"/>
        <v>0</v>
      </c>
      <c r="Z200" s="84">
        <f t="shared" si="6"/>
        <v>0</v>
      </c>
      <c r="AA200" s="59" t="str">
        <f t="shared" si="7"/>
        <v>부족</v>
      </c>
      <c r="AB200" s="59"/>
      <c r="AC200" s="59"/>
      <c r="AD200" s="59"/>
      <c r="AE200" s="59"/>
      <c r="AF200" s="59"/>
    </row>
    <row r="201" ht="15.75" customHeight="1">
      <c r="A201" s="59"/>
      <c r="B201" s="77">
        <f>IFERROR(SUMIFS('교재재고'!C:C,'교재재고'!B:B,$A201),0)</f>
        <v>0</v>
      </c>
      <c r="C201" s="77">
        <f>IFERROR(SUMIFS('교재재고'!D:D,'교재재고'!B:B,$A201),0)</f>
        <v>0</v>
      </c>
      <c r="D201" s="77">
        <f>IFERROR(SUMIFS('교재재고'!E:E,'교재재고'!B:B,$A201),0)</f>
        <v>0</v>
      </c>
      <c r="E201" s="78">
        <f>IFERROR(SUMIFS('교재재고'!F:F,'교재재고'!B:B,$A201),0)
+IFERROR(SUMIFS('교재재고'!I:I,'교재재고'!B:B,$A201),0)
+IFERROR(SUMIFS('교재재고'!L:L,'교재재고'!B:B,$A201),0)
+IFERROR(SUMIFS('교재재고'!O:O,'교재재고'!B:B,$A201),0)
+IFERROR(SUMIFS('교재재고'!R:R,'교재재고'!B:B,$A201),0)</f>
        <v>0</v>
      </c>
      <c r="F201" s="79">
        <f>IFERROR(SUMIFS('교재재고'!G:G,'교재재고'!B:B,$A201),0)
+IFERROR(SUMIFS('교재재고'!J:J,'교재재고'!B:B,$A201),0)
+IFERROR(SUMIFS('교재재고'!M:M,'교재재고'!B:B,$A201),0)
+IFERROR(SUMIFS('교재재고'!P:P,'교재재고'!B:B,$A201),0)
+IFERROR(SUMIFS('교재재고'!S:S,'교재재고'!B:B,$A201),0)</f>
        <v>0</v>
      </c>
      <c r="G201" s="79">
        <f>IFERROR(SUMIFS('교재재고'!H:H,'교재재고'!B:B,$A201),0)
+IFERROR(SUMIFS('교재재고'!K:K,'교재재고'!B:B,$A201),0)
+IFERROR(SUMIFS('교재재고'!N:N,'교재재고'!B:B,$A201),0)
+IFERROR(SUMIFS('교재재고'!Q:Q,'교재재고'!B:B,$A201),0)
+IFERROR(SUMIFS('교재재고'!T:T,'교재재고'!B:B,$A201),0)</f>
        <v>0</v>
      </c>
      <c r="H201" s="79">
        <f t="shared" si="2"/>
        <v>0</v>
      </c>
      <c r="I201" s="80">
        <f>IFERROR(SUMIFS('배부로그'!G:G,'배부로그'!D:D,$A201,'배부로그'!F:F,"창고"),0)</f>
        <v>0</v>
      </c>
      <c r="J201" s="59">
        <f>IFERROR(SUMIFS('배부로그'!G:G,'배부로그'!D:D,$A201,'배부로그'!F:F,"4층지원실"),0)</f>
        <v>0</v>
      </c>
      <c r="K201" s="59">
        <f>IFERROR(SUMIFS('배부로그'!G:G,'배부로그'!D:D,$A201,'배부로그'!F:F,"8층지원실"),0)</f>
        <v>0</v>
      </c>
      <c r="L201" s="81">
        <f t="shared" si="3"/>
        <v>0</v>
      </c>
      <c r="M201" s="59">
        <f>IFERROR(SUMIFS('회수로그'!H:H,'회수로그'!E:E,$A201,'회수로그'!G:G,"창고"),0)</f>
        <v>0</v>
      </c>
      <c r="N201" s="59">
        <f>IFERROR(SUMIFS('회수로그'!H:H,'회수로그'!E:E,$A201,'회수로그'!G:G,"4층지원실"),0)</f>
        <v>0</v>
      </c>
      <c r="O201" s="59">
        <f>IFERROR(SUMIFS('회수로그'!H:H,'회수로그'!E:E,$A201,'회수로그'!G:G,"8층지원실"),0)</f>
        <v>0</v>
      </c>
      <c r="P201" s="59">
        <f t="shared" si="4"/>
        <v>0</v>
      </c>
      <c r="Q201" s="59">
        <f>IFERROR(SUMIFS('재고이동로그'!F:F,'재고이동로그'!C:C,$A201,'재고이동로그'!D:D,"창고"),0)</f>
        <v>0</v>
      </c>
      <c r="R201" s="59">
        <f>IFERROR(SUMIFS('재고이동로그'!F:F,'재고이동로그'!C:C,$A201,'재고이동로그'!E:E,"4층지원실"),0)</f>
        <v>0</v>
      </c>
      <c r="S201" s="82">
        <f>IFERROR(SUMIFS('재고이동로그'!F:F,'재고이동로그'!C:C,$A201,'재고이동로그'!E:E,"8층지원실"),0)</f>
        <v>0</v>
      </c>
      <c r="T201" s="59">
        <f>IFERROR(SUMIFS('재고이동로그'!F:F,'재고이동로그'!C:C,$A201,'재고이동로그'!E:E,"창고"),0)</f>
        <v>0</v>
      </c>
      <c r="U201" s="59">
        <f>IFERROR(SUMIFS('재고이동로그'!F:F,'재고이동로그'!C:C,$A201,'재고이동로그'!E:E,"4층지원실"),0)</f>
        <v>0</v>
      </c>
      <c r="V201" s="59">
        <f>IFERROR(SUMIFS('재고이동로그'!F:F,'재고이동로그'!C:C,$A201,'재고이동로그'!E:E,"8층지원실"),0)</f>
        <v>0</v>
      </c>
      <c r="W201" s="83">
        <f t="shared" ref="W201:Y201" si="204">B201+E201-I201+M201-Q201+T201</f>
        <v>0</v>
      </c>
      <c r="X201" s="83">
        <f t="shared" si="204"/>
        <v>0</v>
      </c>
      <c r="Y201" s="83">
        <f t="shared" si="204"/>
        <v>0</v>
      </c>
      <c r="Z201" s="84">
        <f t="shared" si="6"/>
        <v>0</v>
      </c>
      <c r="AA201" s="59" t="str">
        <f t="shared" si="7"/>
        <v>부족</v>
      </c>
      <c r="AB201" s="59"/>
      <c r="AC201" s="59"/>
      <c r="AD201" s="59"/>
      <c r="AE201" s="59"/>
      <c r="AF201" s="59"/>
    </row>
    <row r="202" ht="15.75" customHeight="1">
      <c r="A202" s="59"/>
      <c r="B202" s="77">
        <f>IFERROR(SUMIFS('교재재고'!C:C,'교재재고'!B:B,$A202),0)</f>
        <v>0</v>
      </c>
      <c r="C202" s="77">
        <f>IFERROR(SUMIFS('교재재고'!D:D,'교재재고'!B:B,$A202),0)</f>
        <v>0</v>
      </c>
      <c r="D202" s="77">
        <f>IFERROR(SUMIFS('교재재고'!E:E,'교재재고'!B:B,$A202),0)</f>
        <v>0</v>
      </c>
      <c r="E202" s="78">
        <f>IFERROR(SUMIFS('교재재고'!F:F,'교재재고'!B:B,$A202),0)
+IFERROR(SUMIFS('교재재고'!I:I,'교재재고'!B:B,$A202),0)
+IFERROR(SUMIFS('교재재고'!L:L,'교재재고'!B:B,$A202),0)
+IFERROR(SUMIFS('교재재고'!O:O,'교재재고'!B:B,$A202),0)
+IFERROR(SUMIFS('교재재고'!R:R,'교재재고'!B:B,$A202),0)</f>
        <v>0</v>
      </c>
      <c r="F202" s="79">
        <f>IFERROR(SUMIFS('교재재고'!G:G,'교재재고'!B:B,$A202),0)
+IFERROR(SUMIFS('교재재고'!J:J,'교재재고'!B:B,$A202),0)
+IFERROR(SUMIFS('교재재고'!M:M,'교재재고'!B:B,$A202),0)
+IFERROR(SUMIFS('교재재고'!P:P,'교재재고'!B:B,$A202),0)
+IFERROR(SUMIFS('교재재고'!S:S,'교재재고'!B:B,$A202),0)</f>
        <v>0</v>
      </c>
      <c r="G202" s="79">
        <f>IFERROR(SUMIFS('교재재고'!H:H,'교재재고'!B:B,$A202),0)
+IFERROR(SUMIFS('교재재고'!K:K,'교재재고'!B:B,$A202),0)
+IFERROR(SUMIFS('교재재고'!N:N,'교재재고'!B:B,$A202),0)
+IFERROR(SUMIFS('교재재고'!Q:Q,'교재재고'!B:B,$A202),0)
+IFERROR(SUMIFS('교재재고'!T:T,'교재재고'!B:B,$A202),0)</f>
        <v>0</v>
      </c>
      <c r="H202" s="79">
        <f t="shared" si="2"/>
        <v>0</v>
      </c>
      <c r="I202" s="80">
        <f>IFERROR(SUMIFS('배부로그'!G:G,'배부로그'!D:D,$A202,'배부로그'!F:F,"창고"),0)</f>
        <v>0</v>
      </c>
      <c r="J202" s="59">
        <f>IFERROR(SUMIFS('배부로그'!G:G,'배부로그'!D:D,$A202,'배부로그'!F:F,"4층지원실"),0)</f>
        <v>0</v>
      </c>
      <c r="K202" s="59">
        <f>IFERROR(SUMIFS('배부로그'!G:G,'배부로그'!D:D,$A202,'배부로그'!F:F,"8층지원실"),0)</f>
        <v>0</v>
      </c>
      <c r="L202" s="81">
        <f t="shared" si="3"/>
        <v>0</v>
      </c>
      <c r="M202" s="59">
        <f>IFERROR(SUMIFS('회수로그'!H:H,'회수로그'!E:E,$A202,'회수로그'!G:G,"창고"),0)</f>
        <v>0</v>
      </c>
      <c r="N202" s="59">
        <f>IFERROR(SUMIFS('회수로그'!H:H,'회수로그'!E:E,$A202,'회수로그'!G:G,"4층지원실"),0)</f>
        <v>0</v>
      </c>
      <c r="O202" s="59">
        <f>IFERROR(SUMIFS('회수로그'!H:H,'회수로그'!E:E,$A202,'회수로그'!G:G,"8층지원실"),0)</f>
        <v>0</v>
      </c>
      <c r="P202" s="59">
        <f t="shared" si="4"/>
        <v>0</v>
      </c>
      <c r="Q202" s="59">
        <f>IFERROR(SUMIFS('재고이동로그'!F:F,'재고이동로그'!C:C,$A202,'재고이동로그'!D:D,"창고"),0)</f>
        <v>0</v>
      </c>
      <c r="R202" s="59">
        <f>IFERROR(SUMIFS('재고이동로그'!F:F,'재고이동로그'!C:C,$A202,'재고이동로그'!E:E,"4층지원실"),0)</f>
        <v>0</v>
      </c>
      <c r="S202" s="82">
        <f>IFERROR(SUMIFS('재고이동로그'!F:F,'재고이동로그'!C:C,$A202,'재고이동로그'!E:E,"8층지원실"),0)</f>
        <v>0</v>
      </c>
      <c r="T202" s="59">
        <f>IFERROR(SUMIFS('재고이동로그'!F:F,'재고이동로그'!C:C,$A202,'재고이동로그'!E:E,"창고"),0)</f>
        <v>0</v>
      </c>
      <c r="U202" s="59">
        <f>IFERROR(SUMIFS('재고이동로그'!F:F,'재고이동로그'!C:C,$A202,'재고이동로그'!E:E,"4층지원실"),0)</f>
        <v>0</v>
      </c>
      <c r="V202" s="59">
        <f>IFERROR(SUMIFS('재고이동로그'!F:F,'재고이동로그'!C:C,$A202,'재고이동로그'!E:E,"8층지원실"),0)</f>
        <v>0</v>
      </c>
      <c r="W202" s="83">
        <f t="shared" ref="W202:Y202" si="205">B202+E202-I202+M202-Q202+T202</f>
        <v>0</v>
      </c>
      <c r="X202" s="83">
        <f t="shared" si="205"/>
        <v>0</v>
      </c>
      <c r="Y202" s="83">
        <f t="shared" si="205"/>
        <v>0</v>
      </c>
      <c r="Z202" s="84">
        <f t="shared" si="6"/>
        <v>0</v>
      </c>
      <c r="AA202" s="59" t="str">
        <f t="shared" si="7"/>
        <v>부족</v>
      </c>
      <c r="AB202" s="59"/>
      <c r="AC202" s="59"/>
      <c r="AD202" s="59"/>
      <c r="AE202" s="59"/>
      <c r="AF202" s="59"/>
    </row>
    <row r="203" ht="15.75" customHeight="1">
      <c r="A203" s="59"/>
      <c r="B203" s="77">
        <f>IFERROR(SUMIFS('교재재고'!C:C,'교재재고'!B:B,$A203),0)</f>
        <v>0</v>
      </c>
      <c r="C203" s="77">
        <f>IFERROR(SUMIFS('교재재고'!D:D,'교재재고'!B:B,$A203),0)</f>
        <v>0</v>
      </c>
      <c r="D203" s="77">
        <f>IFERROR(SUMIFS('교재재고'!E:E,'교재재고'!B:B,$A203),0)</f>
        <v>0</v>
      </c>
      <c r="E203" s="78">
        <f>IFERROR(SUMIFS('교재재고'!F:F,'교재재고'!B:B,$A203),0)
+IFERROR(SUMIFS('교재재고'!I:I,'교재재고'!B:B,$A203),0)
+IFERROR(SUMIFS('교재재고'!L:L,'교재재고'!B:B,$A203),0)
+IFERROR(SUMIFS('교재재고'!O:O,'교재재고'!B:B,$A203),0)
+IFERROR(SUMIFS('교재재고'!R:R,'교재재고'!B:B,$A203),0)</f>
        <v>0</v>
      </c>
      <c r="F203" s="79">
        <f>IFERROR(SUMIFS('교재재고'!G:G,'교재재고'!B:B,$A203),0)
+IFERROR(SUMIFS('교재재고'!J:J,'교재재고'!B:B,$A203),0)
+IFERROR(SUMIFS('교재재고'!M:M,'교재재고'!B:B,$A203),0)
+IFERROR(SUMIFS('교재재고'!P:P,'교재재고'!B:B,$A203),0)
+IFERROR(SUMIFS('교재재고'!S:S,'교재재고'!B:B,$A203),0)</f>
        <v>0</v>
      </c>
      <c r="G203" s="79">
        <f>IFERROR(SUMIFS('교재재고'!H:H,'교재재고'!B:B,$A203),0)
+IFERROR(SUMIFS('교재재고'!K:K,'교재재고'!B:B,$A203),0)
+IFERROR(SUMIFS('교재재고'!N:N,'교재재고'!B:B,$A203),0)
+IFERROR(SUMIFS('교재재고'!Q:Q,'교재재고'!B:B,$A203),0)
+IFERROR(SUMIFS('교재재고'!T:T,'교재재고'!B:B,$A203),0)</f>
        <v>0</v>
      </c>
      <c r="H203" s="79">
        <f t="shared" si="2"/>
        <v>0</v>
      </c>
      <c r="I203" s="80">
        <f>IFERROR(SUMIFS('배부로그'!G:G,'배부로그'!D:D,$A203,'배부로그'!F:F,"창고"),0)</f>
        <v>0</v>
      </c>
      <c r="J203" s="59">
        <f>IFERROR(SUMIFS('배부로그'!G:G,'배부로그'!D:D,$A203,'배부로그'!F:F,"4층지원실"),0)</f>
        <v>0</v>
      </c>
      <c r="K203" s="59">
        <f>IFERROR(SUMIFS('배부로그'!G:G,'배부로그'!D:D,$A203,'배부로그'!F:F,"8층지원실"),0)</f>
        <v>0</v>
      </c>
      <c r="L203" s="81">
        <f t="shared" si="3"/>
        <v>0</v>
      </c>
      <c r="M203" s="59">
        <f>IFERROR(SUMIFS('회수로그'!H:H,'회수로그'!E:E,$A203,'회수로그'!G:G,"창고"),0)</f>
        <v>0</v>
      </c>
      <c r="N203" s="59">
        <f>IFERROR(SUMIFS('회수로그'!H:H,'회수로그'!E:E,$A203,'회수로그'!G:G,"4층지원실"),0)</f>
        <v>0</v>
      </c>
      <c r="O203" s="59">
        <f>IFERROR(SUMIFS('회수로그'!H:H,'회수로그'!E:E,$A203,'회수로그'!G:G,"8층지원실"),0)</f>
        <v>0</v>
      </c>
      <c r="P203" s="59">
        <f t="shared" si="4"/>
        <v>0</v>
      </c>
      <c r="Q203" s="59">
        <f>IFERROR(SUMIFS('재고이동로그'!F:F,'재고이동로그'!C:C,$A203,'재고이동로그'!D:D,"창고"),0)</f>
        <v>0</v>
      </c>
      <c r="R203" s="59">
        <f>IFERROR(SUMIFS('재고이동로그'!F:F,'재고이동로그'!C:C,$A203,'재고이동로그'!E:E,"4층지원실"),0)</f>
        <v>0</v>
      </c>
      <c r="S203" s="82">
        <f>IFERROR(SUMIFS('재고이동로그'!F:F,'재고이동로그'!C:C,$A203,'재고이동로그'!E:E,"8층지원실"),0)</f>
        <v>0</v>
      </c>
      <c r="T203" s="59">
        <f>IFERROR(SUMIFS('재고이동로그'!F:F,'재고이동로그'!C:C,$A203,'재고이동로그'!E:E,"창고"),0)</f>
        <v>0</v>
      </c>
      <c r="U203" s="59">
        <f>IFERROR(SUMIFS('재고이동로그'!F:F,'재고이동로그'!C:C,$A203,'재고이동로그'!E:E,"4층지원실"),0)</f>
        <v>0</v>
      </c>
      <c r="V203" s="59">
        <f>IFERROR(SUMIFS('재고이동로그'!F:F,'재고이동로그'!C:C,$A203,'재고이동로그'!E:E,"8층지원실"),0)</f>
        <v>0</v>
      </c>
      <c r="W203" s="83">
        <f t="shared" ref="W203:Y203" si="206">B203+E203-I203+M203-Q203+T203</f>
        <v>0</v>
      </c>
      <c r="X203" s="83">
        <f t="shared" si="206"/>
        <v>0</v>
      </c>
      <c r="Y203" s="83">
        <f t="shared" si="206"/>
        <v>0</v>
      </c>
      <c r="Z203" s="84">
        <f t="shared" si="6"/>
        <v>0</v>
      </c>
      <c r="AA203" s="59" t="str">
        <f t="shared" si="7"/>
        <v>부족</v>
      </c>
      <c r="AB203" s="59"/>
      <c r="AC203" s="59"/>
      <c r="AD203" s="59"/>
      <c r="AE203" s="59"/>
      <c r="AF203" s="59"/>
    </row>
    <row r="204" ht="15.75" customHeight="1">
      <c r="A204" s="59"/>
      <c r="B204" s="77">
        <f>IFERROR(SUMIFS('교재재고'!C:C,'교재재고'!B:B,$A204),0)</f>
        <v>0</v>
      </c>
      <c r="C204" s="77">
        <f>IFERROR(SUMIFS('교재재고'!D:D,'교재재고'!B:B,$A204),0)</f>
        <v>0</v>
      </c>
      <c r="D204" s="77">
        <f>IFERROR(SUMIFS('교재재고'!E:E,'교재재고'!B:B,$A204),0)</f>
        <v>0</v>
      </c>
      <c r="E204" s="78">
        <f>IFERROR(SUMIFS('교재재고'!F:F,'교재재고'!B:B,$A204),0)
+IFERROR(SUMIFS('교재재고'!I:I,'교재재고'!B:B,$A204),0)
+IFERROR(SUMIFS('교재재고'!L:L,'교재재고'!B:B,$A204),0)
+IFERROR(SUMIFS('교재재고'!O:O,'교재재고'!B:B,$A204),0)
+IFERROR(SUMIFS('교재재고'!R:R,'교재재고'!B:B,$A204),0)</f>
        <v>0</v>
      </c>
      <c r="F204" s="79">
        <f>IFERROR(SUMIFS('교재재고'!G:G,'교재재고'!B:B,$A204),0)
+IFERROR(SUMIFS('교재재고'!J:J,'교재재고'!B:B,$A204),0)
+IFERROR(SUMIFS('교재재고'!M:M,'교재재고'!B:B,$A204),0)
+IFERROR(SUMIFS('교재재고'!P:P,'교재재고'!B:B,$A204),0)
+IFERROR(SUMIFS('교재재고'!S:S,'교재재고'!B:B,$A204),0)</f>
        <v>0</v>
      </c>
      <c r="G204" s="79">
        <f>IFERROR(SUMIFS('교재재고'!H:H,'교재재고'!B:B,$A204),0)
+IFERROR(SUMIFS('교재재고'!K:K,'교재재고'!B:B,$A204),0)
+IFERROR(SUMIFS('교재재고'!N:N,'교재재고'!B:B,$A204),0)
+IFERROR(SUMIFS('교재재고'!Q:Q,'교재재고'!B:B,$A204),0)
+IFERROR(SUMIFS('교재재고'!T:T,'교재재고'!B:B,$A204),0)</f>
        <v>0</v>
      </c>
      <c r="H204" s="79">
        <f t="shared" si="2"/>
        <v>0</v>
      </c>
      <c r="I204" s="80">
        <f>IFERROR(SUMIFS('배부로그'!G:G,'배부로그'!D:D,$A204,'배부로그'!F:F,"창고"),0)</f>
        <v>0</v>
      </c>
      <c r="J204" s="59">
        <f>IFERROR(SUMIFS('배부로그'!G:G,'배부로그'!D:D,$A204,'배부로그'!F:F,"4층지원실"),0)</f>
        <v>0</v>
      </c>
      <c r="K204" s="59">
        <f>IFERROR(SUMIFS('배부로그'!G:G,'배부로그'!D:D,$A204,'배부로그'!F:F,"8층지원실"),0)</f>
        <v>0</v>
      </c>
      <c r="L204" s="81">
        <f t="shared" si="3"/>
        <v>0</v>
      </c>
      <c r="M204" s="59">
        <f>IFERROR(SUMIFS('회수로그'!H:H,'회수로그'!E:E,$A204,'회수로그'!G:G,"창고"),0)</f>
        <v>0</v>
      </c>
      <c r="N204" s="59">
        <f>IFERROR(SUMIFS('회수로그'!H:H,'회수로그'!E:E,$A204,'회수로그'!G:G,"4층지원실"),0)</f>
        <v>0</v>
      </c>
      <c r="O204" s="59">
        <f>IFERROR(SUMIFS('회수로그'!H:H,'회수로그'!E:E,$A204,'회수로그'!G:G,"8층지원실"),0)</f>
        <v>0</v>
      </c>
      <c r="P204" s="59">
        <f t="shared" si="4"/>
        <v>0</v>
      </c>
      <c r="Q204" s="59">
        <f>IFERROR(SUMIFS('재고이동로그'!F:F,'재고이동로그'!C:C,$A204,'재고이동로그'!D:D,"창고"),0)</f>
        <v>0</v>
      </c>
      <c r="R204" s="59">
        <f>IFERROR(SUMIFS('재고이동로그'!F:F,'재고이동로그'!C:C,$A204,'재고이동로그'!E:E,"4층지원실"),0)</f>
        <v>0</v>
      </c>
      <c r="S204" s="82">
        <f>IFERROR(SUMIFS('재고이동로그'!F:F,'재고이동로그'!C:C,$A204,'재고이동로그'!E:E,"8층지원실"),0)</f>
        <v>0</v>
      </c>
      <c r="T204" s="59">
        <f>IFERROR(SUMIFS('재고이동로그'!F:F,'재고이동로그'!C:C,$A204,'재고이동로그'!E:E,"창고"),0)</f>
        <v>0</v>
      </c>
      <c r="U204" s="59">
        <f>IFERROR(SUMIFS('재고이동로그'!F:F,'재고이동로그'!C:C,$A204,'재고이동로그'!E:E,"4층지원실"),0)</f>
        <v>0</v>
      </c>
      <c r="V204" s="59">
        <f>IFERROR(SUMIFS('재고이동로그'!F:F,'재고이동로그'!C:C,$A204,'재고이동로그'!E:E,"8층지원실"),0)</f>
        <v>0</v>
      </c>
      <c r="W204" s="83">
        <f t="shared" ref="W204:Y204" si="207">B204+E204-I204+M204-Q204+T204</f>
        <v>0</v>
      </c>
      <c r="X204" s="83">
        <f t="shared" si="207"/>
        <v>0</v>
      </c>
      <c r="Y204" s="83">
        <f t="shared" si="207"/>
        <v>0</v>
      </c>
      <c r="Z204" s="84">
        <f t="shared" si="6"/>
        <v>0</v>
      </c>
      <c r="AA204" s="59" t="str">
        <f t="shared" si="7"/>
        <v>부족</v>
      </c>
      <c r="AB204" s="59"/>
      <c r="AC204" s="59"/>
      <c r="AD204" s="59"/>
      <c r="AE204" s="59"/>
      <c r="AF204" s="59"/>
    </row>
    <row r="205" ht="15.75" customHeight="1">
      <c r="A205" s="59"/>
      <c r="B205" s="77">
        <f>IFERROR(SUMIFS('교재재고'!C:C,'교재재고'!B:B,$A205),0)</f>
        <v>0</v>
      </c>
      <c r="C205" s="77">
        <f>IFERROR(SUMIFS('교재재고'!D:D,'교재재고'!B:B,$A205),0)</f>
        <v>0</v>
      </c>
      <c r="D205" s="77">
        <f>IFERROR(SUMIFS('교재재고'!E:E,'교재재고'!B:B,$A205),0)</f>
        <v>0</v>
      </c>
      <c r="E205" s="78">
        <f>IFERROR(SUMIFS('교재재고'!F:F,'교재재고'!B:B,$A205),0)
+IFERROR(SUMIFS('교재재고'!I:I,'교재재고'!B:B,$A205),0)
+IFERROR(SUMIFS('교재재고'!L:L,'교재재고'!B:B,$A205),0)
+IFERROR(SUMIFS('교재재고'!O:O,'교재재고'!B:B,$A205),0)
+IFERROR(SUMIFS('교재재고'!R:R,'교재재고'!B:B,$A205),0)</f>
        <v>0</v>
      </c>
      <c r="F205" s="79">
        <f>IFERROR(SUMIFS('교재재고'!G:G,'교재재고'!B:B,$A205),0)
+IFERROR(SUMIFS('교재재고'!J:J,'교재재고'!B:B,$A205),0)
+IFERROR(SUMIFS('교재재고'!M:M,'교재재고'!B:B,$A205),0)
+IFERROR(SUMIFS('교재재고'!P:P,'교재재고'!B:B,$A205),0)
+IFERROR(SUMIFS('교재재고'!S:S,'교재재고'!B:B,$A205),0)</f>
        <v>0</v>
      </c>
      <c r="G205" s="79">
        <f>IFERROR(SUMIFS('교재재고'!H:H,'교재재고'!B:B,$A205),0)
+IFERROR(SUMIFS('교재재고'!K:K,'교재재고'!B:B,$A205),0)
+IFERROR(SUMIFS('교재재고'!N:N,'교재재고'!B:B,$A205),0)
+IFERROR(SUMIFS('교재재고'!Q:Q,'교재재고'!B:B,$A205),0)
+IFERROR(SUMIFS('교재재고'!T:T,'교재재고'!B:B,$A205),0)</f>
        <v>0</v>
      </c>
      <c r="H205" s="79">
        <f t="shared" si="2"/>
        <v>0</v>
      </c>
      <c r="I205" s="80">
        <f>IFERROR(SUMIFS('배부로그'!G:G,'배부로그'!D:D,$A205,'배부로그'!F:F,"창고"),0)</f>
        <v>0</v>
      </c>
      <c r="J205" s="59">
        <f>IFERROR(SUMIFS('배부로그'!G:G,'배부로그'!D:D,$A205,'배부로그'!F:F,"4층지원실"),0)</f>
        <v>0</v>
      </c>
      <c r="K205" s="59">
        <f>IFERROR(SUMIFS('배부로그'!G:G,'배부로그'!D:D,$A205,'배부로그'!F:F,"8층지원실"),0)</f>
        <v>0</v>
      </c>
      <c r="L205" s="81">
        <f t="shared" si="3"/>
        <v>0</v>
      </c>
      <c r="M205" s="59">
        <f>IFERROR(SUMIFS('회수로그'!H:H,'회수로그'!E:E,$A205,'회수로그'!G:G,"창고"),0)</f>
        <v>0</v>
      </c>
      <c r="N205" s="59">
        <f>IFERROR(SUMIFS('회수로그'!H:H,'회수로그'!E:E,$A205,'회수로그'!G:G,"4층지원실"),0)</f>
        <v>0</v>
      </c>
      <c r="O205" s="59">
        <f>IFERROR(SUMIFS('회수로그'!H:H,'회수로그'!E:E,$A205,'회수로그'!G:G,"8층지원실"),0)</f>
        <v>0</v>
      </c>
      <c r="P205" s="59">
        <f t="shared" si="4"/>
        <v>0</v>
      </c>
      <c r="Q205" s="59">
        <f>IFERROR(SUMIFS('재고이동로그'!F:F,'재고이동로그'!C:C,$A205,'재고이동로그'!D:D,"창고"),0)</f>
        <v>0</v>
      </c>
      <c r="R205" s="59">
        <f>IFERROR(SUMIFS('재고이동로그'!F:F,'재고이동로그'!C:C,$A205,'재고이동로그'!E:E,"4층지원실"),0)</f>
        <v>0</v>
      </c>
      <c r="S205" s="82">
        <f>IFERROR(SUMIFS('재고이동로그'!F:F,'재고이동로그'!C:C,$A205,'재고이동로그'!E:E,"8층지원실"),0)</f>
        <v>0</v>
      </c>
      <c r="T205" s="59">
        <f>IFERROR(SUMIFS('재고이동로그'!F:F,'재고이동로그'!C:C,$A205,'재고이동로그'!E:E,"창고"),0)</f>
        <v>0</v>
      </c>
      <c r="U205" s="59">
        <f>IFERROR(SUMIFS('재고이동로그'!F:F,'재고이동로그'!C:C,$A205,'재고이동로그'!E:E,"4층지원실"),0)</f>
        <v>0</v>
      </c>
      <c r="V205" s="59">
        <f>IFERROR(SUMIFS('재고이동로그'!F:F,'재고이동로그'!C:C,$A205,'재고이동로그'!E:E,"8층지원실"),0)</f>
        <v>0</v>
      </c>
      <c r="W205" s="83">
        <f t="shared" ref="W205:Y205" si="208">B205+E205-I205+M205-Q205+T205</f>
        <v>0</v>
      </c>
      <c r="X205" s="83">
        <f t="shared" si="208"/>
        <v>0</v>
      </c>
      <c r="Y205" s="83">
        <f t="shared" si="208"/>
        <v>0</v>
      </c>
      <c r="Z205" s="84">
        <f t="shared" si="6"/>
        <v>0</v>
      </c>
      <c r="AA205" s="59" t="str">
        <f t="shared" si="7"/>
        <v>부족</v>
      </c>
      <c r="AB205" s="59"/>
      <c r="AC205" s="59"/>
      <c r="AD205" s="59"/>
      <c r="AE205" s="59"/>
      <c r="AF205" s="59"/>
    </row>
    <row r="206" ht="15.75" customHeight="1">
      <c r="A206" s="59"/>
      <c r="B206" s="77">
        <f>IFERROR(SUMIFS('교재재고'!C:C,'교재재고'!B:B,$A206),0)</f>
        <v>0</v>
      </c>
      <c r="C206" s="77">
        <f>IFERROR(SUMIFS('교재재고'!D:D,'교재재고'!B:B,$A206),0)</f>
        <v>0</v>
      </c>
      <c r="D206" s="77">
        <f>IFERROR(SUMIFS('교재재고'!E:E,'교재재고'!B:B,$A206),0)</f>
        <v>0</v>
      </c>
      <c r="E206" s="78">
        <f>IFERROR(SUMIFS('교재재고'!F:F,'교재재고'!B:B,$A206),0)
+IFERROR(SUMIFS('교재재고'!I:I,'교재재고'!B:B,$A206),0)
+IFERROR(SUMIFS('교재재고'!L:L,'교재재고'!B:B,$A206),0)
+IFERROR(SUMIFS('교재재고'!O:O,'교재재고'!B:B,$A206),0)
+IFERROR(SUMIFS('교재재고'!R:R,'교재재고'!B:B,$A206),0)</f>
        <v>0</v>
      </c>
      <c r="F206" s="79">
        <f>IFERROR(SUMIFS('교재재고'!G:G,'교재재고'!B:B,$A206),0)
+IFERROR(SUMIFS('교재재고'!J:J,'교재재고'!B:B,$A206),0)
+IFERROR(SUMIFS('교재재고'!M:M,'교재재고'!B:B,$A206),0)
+IFERROR(SUMIFS('교재재고'!P:P,'교재재고'!B:B,$A206),0)
+IFERROR(SUMIFS('교재재고'!S:S,'교재재고'!B:B,$A206),0)</f>
        <v>0</v>
      </c>
      <c r="G206" s="79">
        <f>IFERROR(SUMIFS('교재재고'!H:H,'교재재고'!B:B,$A206),0)
+IFERROR(SUMIFS('교재재고'!K:K,'교재재고'!B:B,$A206),0)
+IFERROR(SUMIFS('교재재고'!N:N,'교재재고'!B:B,$A206),0)
+IFERROR(SUMIFS('교재재고'!Q:Q,'교재재고'!B:B,$A206),0)
+IFERROR(SUMIFS('교재재고'!T:T,'교재재고'!B:B,$A206),0)</f>
        <v>0</v>
      </c>
      <c r="H206" s="79">
        <f t="shared" si="2"/>
        <v>0</v>
      </c>
      <c r="I206" s="80">
        <f>IFERROR(SUMIFS('배부로그'!G:G,'배부로그'!D:D,$A206,'배부로그'!F:F,"창고"),0)</f>
        <v>0</v>
      </c>
      <c r="J206" s="59">
        <f>IFERROR(SUMIFS('배부로그'!G:G,'배부로그'!D:D,$A206,'배부로그'!F:F,"4층지원실"),0)</f>
        <v>0</v>
      </c>
      <c r="K206" s="59">
        <f>IFERROR(SUMIFS('배부로그'!G:G,'배부로그'!D:D,$A206,'배부로그'!F:F,"8층지원실"),0)</f>
        <v>0</v>
      </c>
      <c r="L206" s="81">
        <f t="shared" si="3"/>
        <v>0</v>
      </c>
      <c r="M206" s="59">
        <f>IFERROR(SUMIFS('회수로그'!H:H,'회수로그'!E:E,$A206,'회수로그'!G:G,"창고"),0)</f>
        <v>0</v>
      </c>
      <c r="N206" s="59">
        <f>IFERROR(SUMIFS('회수로그'!H:H,'회수로그'!E:E,$A206,'회수로그'!G:G,"4층지원실"),0)</f>
        <v>0</v>
      </c>
      <c r="O206" s="59">
        <f>IFERROR(SUMIFS('회수로그'!H:H,'회수로그'!E:E,$A206,'회수로그'!G:G,"8층지원실"),0)</f>
        <v>0</v>
      </c>
      <c r="P206" s="59">
        <f t="shared" si="4"/>
        <v>0</v>
      </c>
      <c r="Q206" s="59">
        <f>IFERROR(SUMIFS('재고이동로그'!F:F,'재고이동로그'!C:C,$A206,'재고이동로그'!D:D,"창고"),0)</f>
        <v>0</v>
      </c>
      <c r="R206" s="59">
        <f>IFERROR(SUMIFS('재고이동로그'!F:F,'재고이동로그'!C:C,$A206,'재고이동로그'!E:E,"4층지원실"),0)</f>
        <v>0</v>
      </c>
      <c r="S206" s="82">
        <f>IFERROR(SUMIFS('재고이동로그'!F:F,'재고이동로그'!C:C,$A206,'재고이동로그'!E:E,"8층지원실"),0)</f>
        <v>0</v>
      </c>
      <c r="T206" s="59">
        <f>IFERROR(SUMIFS('재고이동로그'!F:F,'재고이동로그'!C:C,$A206,'재고이동로그'!E:E,"창고"),0)</f>
        <v>0</v>
      </c>
      <c r="U206" s="59">
        <f>IFERROR(SUMIFS('재고이동로그'!F:F,'재고이동로그'!C:C,$A206,'재고이동로그'!E:E,"4층지원실"),0)</f>
        <v>0</v>
      </c>
      <c r="V206" s="59">
        <f>IFERROR(SUMIFS('재고이동로그'!F:F,'재고이동로그'!C:C,$A206,'재고이동로그'!E:E,"8층지원실"),0)</f>
        <v>0</v>
      </c>
      <c r="W206" s="83">
        <f t="shared" ref="W206:Y206" si="209">B206+E206-I206+M206-Q206+T206</f>
        <v>0</v>
      </c>
      <c r="X206" s="83">
        <f t="shared" si="209"/>
        <v>0</v>
      </c>
      <c r="Y206" s="83">
        <f t="shared" si="209"/>
        <v>0</v>
      </c>
      <c r="Z206" s="84">
        <f t="shared" si="6"/>
        <v>0</v>
      </c>
      <c r="AA206" s="59" t="str">
        <f t="shared" si="7"/>
        <v>부족</v>
      </c>
      <c r="AB206" s="59"/>
      <c r="AC206" s="59"/>
      <c r="AD206" s="59"/>
      <c r="AE206" s="59"/>
      <c r="AF206" s="59"/>
    </row>
    <row r="207" ht="15.75" customHeight="1">
      <c r="A207" s="59"/>
      <c r="B207" s="77">
        <f>IFERROR(SUMIFS('교재재고'!C:C,'교재재고'!B:B,$A207),0)</f>
        <v>0</v>
      </c>
      <c r="C207" s="77">
        <f>IFERROR(SUMIFS('교재재고'!D:D,'교재재고'!B:B,$A207),0)</f>
        <v>0</v>
      </c>
      <c r="D207" s="77">
        <f>IFERROR(SUMIFS('교재재고'!E:E,'교재재고'!B:B,$A207),0)</f>
        <v>0</v>
      </c>
      <c r="E207" s="78">
        <f>IFERROR(SUMIFS('교재재고'!F:F,'교재재고'!B:B,$A207),0)
+IFERROR(SUMIFS('교재재고'!I:I,'교재재고'!B:B,$A207),0)
+IFERROR(SUMIFS('교재재고'!L:L,'교재재고'!B:B,$A207),0)
+IFERROR(SUMIFS('교재재고'!O:O,'교재재고'!B:B,$A207),0)
+IFERROR(SUMIFS('교재재고'!R:R,'교재재고'!B:B,$A207),0)</f>
        <v>0</v>
      </c>
      <c r="F207" s="79">
        <f>IFERROR(SUMIFS('교재재고'!G:G,'교재재고'!B:B,$A207),0)
+IFERROR(SUMIFS('교재재고'!J:J,'교재재고'!B:B,$A207),0)
+IFERROR(SUMIFS('교재재고'!M:M,'교재재고'!B:B,$A207),0)
+IFERROR(SUMIFS('교재재고'!P:P,'교재재고'!B:B,$A207),0)
+IFERROR(SUMIFS('교재재고'!S:S,'교재재고'!B:B,$A207),0)</f>
        <v>0</v>
      </c>
      <c r="G207" s="79">
        <f>IFERROR(SUMIFS('교재재고'!H:H,'교재재고'!B:B,$A207),0)
+IFERROR(SUMIFS('교재재고'!K:K,'교재재고'!B:B,$A207),0)
+IFERROR(SUMIFS('교재재고'!N:N,'교재재고'!B:B,$A207),0)
+IFERROR(SUMIFS('교재재고'!Q:Q,'교재재고'!B:B,$A207),0)
+IFERROR(SUMIFS('교재재고'!T:T,'교재재고'!B:B,$A207),0)</f>
        <v>0</v>
      </c>
      <c r="H207" s="79">
        <f t="shared" si="2"/>
        <v>0</v>
      </c>
      <c r="I207" s="80">
        <f>IFERROR(SUMIFS('배부로그'!G:G,'배부로그'!D:D,$A207,'배부로그'!F:F,"창고"),0)</f>
        <v>0</v>
      </c>
      <c r="J207" s="59">
        <f>IFERROR(SUMIFS('배부로그'!G:G,'배부로그'!D:D,$A207,'배부로그'!F:F,"4층지원실"),0)</f>
        <v>0</v>
      </c>
      <c r="K207" s="59">
        <f>IFERROR(SUMIFS('배부로그'!G:G,'배부로그'!D:D,$A207,'배부로그'!F:F,"8층지원실"),0)</f>
        <v>0</v>
      </c>
      <c r="L207" s="81">
        <f t="shared" si="3"/>
        <v>0</v>
      </c>
      <c r="M207" s="59">
        <f>IFERROR(SUMIFS('회수로그'!H:H,'회수로그'!E:E,$A207,'회수로그'!G:G,"창고"),0)</f>
        <v>0</v>
      </c>
      <c r="N207" s="59">
        <f>IFERROR(SUMIFS('회수로그'!H:H,'회수로그'!E:E,$A207,'회수로그'!G:G,"4층지원실"),0)</f>
        <v>0</v>
      </c>
      <c r="O207" s="59">
        <f>IFERROR(SUMIFS('회수로그'!H:H,'회수로그'!E:E,$A207,'회수로그'!G:G,"8층지원실"),0)</f>
        <v>0</v>
      </c>
      <c r="P207" s="59">
        <f t="shared" si="4"/>
        <v>0</v>
      </c>
      <c r="Q207" s="59">
        <f>IFERROR(SUMIFS('재고이동로그'!F:F,'재고이동로그'!C:C,$A207,'재고이동로그'!D:D,"창고"),0)</f>
        <v>0</v>
      </c>
      <c r="R207" s="59">
        <f>IFERROR(SUMIFS('재고이동로그'!F:F,'재고이동로그'!C:C,$A207,'재고이동로그'!E:E,"4층지원실"),0)</f>
        <v>0</v>
      </c>
      <c r="S207" s="82">
        <f>IFERROR(SUMIFS('재고이동로그'!F:F,'재고이동로그'!C:C,$A207,'재고이동로그'!E:E,"8층지원실"),0)</f>
        <v>0</v>
      </c>
      <c r="T207" s="59">
        <f>IFERROR(SUMIFS('재고이동로그'!F:F,'재고이동로그'!C:C,$A207,'재고이동로그'!E:E,"창고"),0)</f>
        <v>0</v>
      </c>
      <c r="U207" s="59">
        <f>IFERROR(SUMIFS('재고이동로그'!F:F,'재고이동로그'!C:C,$A207,'재고이동로그'!E:E,"4층지원실"),0)</f>
        <v>0</v>
      </c>
      <c r="V207" s="59">
        <f>IFERROR(SUMIFS('재고이동로그'!F:F,'재고이동로그'!C:C,$A207,'재고이동로그'!E:E,"8층지원실"),0)</f>
        <v>0</v>
      </c>
      <c r="W207" s="83">
        <f t="shared" ref="W207:Y207" si="210">B207+E207-I207+M207-Q207+T207</f>
        <v>0</v>
      </c>
      <c r="X207" s="83">
        <f t="shared" si="210"/>
        <v>0</v>
      </c>
      <c r="Y207" s="83">
        <f t="shared" si="210"/>
        <v>0</v>
      </c>
      <c r="Z207" s="84">
        <f t="shared" si="6"/>
        <v>0</v>
      </c>
      <c r="AA207" s="59" t="str">
        <f t="shared" si="7"/>
        <v>부족</v>
      </c>
      <c r="AB207" s="59"/>
      <c r="AC207" s="59"/>
      <c r="AD207" s="59"/>
      <c r="AE207" s="59"/>
      <c r="AF207" s="59"/>
    </row>
    <row r="208" ht="15.75" customHeight="1">
      <c r="A208" s="59"/>
      <c r="B208" s="77">
        <f>IFERROR(SUMIFS('교재재고'!C:C,'교재재고'!B:B,$A208),0)</f>
        <v>0</v>
      </c>
      <c r="C208" s="77">
        <f>IFERROR(SUMIFS('교재재고'!D:D,'교재재고'!B:B,$A208),0)</f>
        <v>0</v>
      </c>
      <c r="D208" s="77">
        <f>IFERROR(SUMIFS('교재재고'!E:E,'교재재고'!B:B,$A208),0)</f>
        <v>0</v>
      </c>
      <c r="E208" s="78">
        <f>IFERROR(SUMIFS('교재재고'!F:F,'교재재고'!B:B,$A208),0)
+IFERROR(SUMIFS('교재재고'!I:I,'교재재고'!B:B,$A208),0)
+IFERROR(SUMIFS('교재재고'!L:L,'교재재고'!B:B,$A208),0)
+IFERROR(SUMIFS('교재재고'!O:O,'교재재고'!B:B,$A208),0)
+IFERROR(SUMIFS('교재재고'!R:R,'교재재고'!B:B,$A208),0)</f>
        <v>0</v>
      </c>
      <c r="F208" s="79">
        <f>IFERROR(SUMIFS('교재재고'!G:G,'교재재고'!B:B,$A208),0)
+IFERROR(SUMIFS('교재재고'!J:J,'교재재고'!B:B,$A208),0)
+IFERROR(SUMIFS('교재재고'!M:M,'교재재고'!B:B,$A208),0)
+IFERROR(SUMIFS('교재재고'!P:P,'교재재고'!B:B,$A208),0)
+IFERROR(SUMIFS('교재재고'!S:S,'교재재고'!B:B,$A208),0)</f>
        <v>0</v>
      </c>
      <c r="G208" s="79">
        <f>IFERROR(SUMIFS('교재재고'!H:H,'교재재고'!B:B,$A208),0)
+IFERROR(SUMIFS('교재재고'!K:K,'교재재고'!B:B,$A208),0)
+IFERROR(SUMIFS('교재재고'!N:N,'교재재고'!B:B,$A208),0)
+IFERROR(SUMIFS('교재재고'!Q:Q,'교재재고'!B:B,$A208),0)
+IFERROR(SUMIFS('교재재고'!T:T,'교재재고'!B:B,$A208),0)</f>
        <v>0</v>
      </c>
      <c r="H208" s="79">
        <f t="shared" si="2"/>
        <v>0</v>
      </c>
      <c r="I208" s="80">
        <f>IFERROR(SUMIFS('배부로그'!G:G,'배부로그'!D:D,$A208,'배부로그'!F:F,"창고"),0)</f>
        <v>0</v>
      </c>
      <c r="J208" s="59">
        <f>IFERROR(SUMIFS('배부로그'!G:G,'배부로그'!D:D,$A208,'배부로그'!F:F,"4층지원실"),0)</f>
        <v>0</v>
      </c>
      <c r="K208" s="59">
        <f>IFERROR(SUMIFS('배부로그'!G:G,'배부로그'!D:D,$A208,'배부로그'!F:F,"8층지원실"),0)</f>
        <v>0</v>
      </c>
      <c r="L208" s="81">
        <f t="shared" si="3"/>
        <v>0</v>
      </c>
      <c r="M208" s="59">
        <f>IFERROR(SUMIFS('회수로그'!H:H,'회수로그'!E:E,$A208,'회수로그'!G:G,"창고"),0)</f>
        <v>0</v>
      </c>
      <c r="N208" s="59">
        <f>IFERROR(SUMIFS('회수로그'!H:H,'회수로그'!E:E,$A208,'회수로그'!G:G,"4층지원실"),0)</f>
        <v>0</v>
      </c>
      <c r="O208" s="59">
        <f>IFERROR(SUMIFS('회수로그'!H:H,'회수로그'!E:E,$A208,'회수로그'!G:G,"8층지원실"),0)</f>
        <v>0</v>
      </c>
      <c r="P208" s="59">
        <f t="shared" si="4"/>
        <v>0</v>
      </c>
      <c r="Q208" s="59">
        <f>IFERROR(SUMIFS('재고이동로그'!F:F,'재고이동로그'!C:C,$A208,'재고이동로그'!D:D,"창고"),0)</f>
        <v>0</v>
      </c>
      <c r="R208" s="59">
        <f>IFERROR(SUMIFS('재고이동로그'!F:F,'재고이동로그'!C:C,$A208,'재고이동로그'!E:E,"4층지원실"),0)</f>
        <v>0</v>
      </c>
      <c r="S208" s="82">
        <f>IFERROR(SUMIFS('재고이동로그'!F:F,'재고이동로그'!C:C,$A208,'재고이동로그'!E:E,"8층지원실"),0)</f>
        <v>0</v>
      </c>
      <c r="T208" s="59">
        <f>IFERROR(SUMIFS('재고이동로그'!F:F,'재고이동로그'!C:C,$A208,'재고이동로그'!E:E,"창고"),0)</f>
        <v>0</v>
      </c>
      <c r="U208" s="59">
        <f>IFERROR(SUMIFS('재고이동로그'!F:F,'재고이동로그'!C:C,$A208,'재고이동로그'!E:E,"4층지원실"),0)</f>
        <v>0</v>
      </c>
      <c r="V208" s="59">
        <f>IFERROR(SUMIFS('재고이동로그'!F:F,'재고이동로그'!C:C,$A208,'재고이동로그'!E:E,"8층지원실"),0)</f>
        <v>0</v>
      </c>
      <c r="W208" s="83">
        <f t="shared" ref="W208:Y208" si="211">B208+E208-I208+M208-Q208+T208</f>
        <v>0</v>
      </c>
      <c r="X208" s="83">
        <f t="shared" si="211"/>
        <v>0</v>
      </c>
      <c r="Y208" s="83">
        <f t="shared" si="211"/>
        <v>0</v>
      </c>
      <c r="Z208" s="84">
        <f t="shared" si="6"/>
        <v>0</v>
      </c>
      <c r="AA208" s="59" t="str">
        <f t="shared" si="7"/>
        <v>부족</v>
      </c>
      <c r="AB208" s="59"/>
      <c r="AC208" s="59"/>
      <c r="AD208" s="59"/>
      <c r="AE208" s="59"/>
      <c r="AF208" s="59"/>
    </row>
    <row r="209" ht="15.75" customHeight="1">
      <c r="A209" s="59"/>
      <c r="B209" s="77">
        <f>IFERROR(SUMIFS('교재재고'!C:C,'교재재고'!B:B,$A209),0)</f>
        <v>0</v>
      </c>
      <c r="C209" s="77">
        <f>IFERROR(SUMIFS('교재재고'!D:D,'교재재고'!B:B,$A209),0)</f>
        <v>0</v>
      </c>
      <c r="D209" s="77">
        <f>IFERROR(SUMIFS('교재재고'!E:E,'교재재고'!B:B,$A209),0)</f>
        <v>0</v>
      </c>
      <c r="E209" s="78">
        <f>IFERROR(SUMIFS('교재재고'!F:F,'교재재고'!B:B,$A209),0)
+IFERROR(SUMIFS('교재재고'!I:I,'교재재고'!B:B,$A209),0)
+IFERROR(SUMIFS('교재재고'!L:L,'교재재고'!B:B,$A209),0)
+IFERROR(SUMIFS('교재재고'!O:O,'교재재고'!B:B,$A209),0)
+IFERROR(SUMIFS('교재재고'!R:R,'교재재고'!B:B,$A209),0)</f>
        <v>0</v>
      </c>
      <c r="F209" s="79">
        <f>IFERROR(SUMIFS('교재재고'!G:G,'교재재고'!B:B,$A209),0)
+IFERROR(SUMIFS('교재재고'!J:J,'교재재고'!B:B,$A209),0)
+IFERROR(SUMIFS('교재재고'!M:M,'교재재고'!B:B,$A209),0)
+IFERROR(SUMIFS('교재재고'!P:P,'교재재고'!B:B,$A209),0)
+IFERROR(SUMIFS('교재재고'!S:S,'교재재고'!B:B,$A209),0)</f>
        <v>0</v>
      </c>
      <c r="G209" s="79">
        <f>IFERROR(SUMIFS('교재재고'!H:H,'교재재고'!B:B,$A209),0)
+IFERROR(SUMIFS('교재재고'!K:K,'교재재고'!B:B,$A209),0)
+IFERROR(SUMIFS('교재재고'!N:N,'교재재고'!B:B,$A209),0)
+IFERROR(SUMIFS('교재재고'!Q:Q,'교재재고'!B:B,$A209),0)
+IFERROR(SUMIFS('교재재고'!T:T,'교재재고'!B:B,$A209),0)</f>
        <v>0</v>
      </c>
      <c r="H209" s="79">
        <f t="shared" si="2"/>
        <v>0</v>
      </c>
      <c r="I209" s="80">
        <f>IFERROR(SUMIFS('배부로그'!G:G,'배부로그'!D:D,$A209,'배부로그'!F:F,"창고"),0)</f>
        <v>0</v>
      </c>
      <c r="J209" s="59">
        <f>IFERROR(SUMIFS('배부로그'!G:G,'배부로그'!D:D,$A209,'배부로그'!F:F,"4층지원실"),0)</f>
        <v>0</v>
      </c>
      <c r="K209" s="59">
        <f>IFERROR(SUMIFS('배부로그'!G:G,'배부로그'!D:D,$A209,'배부로그'!F:F,"8층지원실"),0)</f>
        <v>0</v>
      </c>
      <c r="L209" s="81">
        <f t="shared" si="3"/>
        <v>0</v>
      </c>
      <c r="M209" s="59">
        <f>IFERROR(SUMIFS('회수로그'!H:H,'회수로그'!E:E,$A209,'회수로그'!G:G,"창고"),0)</f>
        <v>0</v>
      </c>
      <c r="N209" s="59">
        <f>IFERROR(SUMIFS('회수로그'!H:H,'회수로그'!E:E,$A209,'회수로그'!G:G,"4층지원실"),0)</f>
        <v>0</v>
      </c>
      <c r="O209" s="59">
        <f>IFERROR(SUMIFS('회수로그'!H:H,'회수로그'!E:E,$A209,'회수로그'!G:G,"8층지원실"),0)</f>
        <v>0</v>
      </c>
      <c r="P209" s="59">
        <f t="shared" si="4"/>
        <v>0</v>
      </c>
      <c r="Q209" s="59">
        <f>IFERROR(SUMIFS('재고이동로그'!F:F,'재고이동로그'!C:C,$A209,'재고이동로그'!D:D,"창고"),0)</f>
        <v>0</v>
      </c>
      <c r="R209" s="59">
        <f>IFERROR(SUMIFS('재고이동로그'!F:F,'재고이동로그'!C:C,$A209,'재고이동로그'!E:E,"4층지원실"),0)</f>
        <v>0</v>
      </c>
      <c r="S209" s="82">
        <f>IFERROR(SUMIFS('재고이동로그'!F:F,'재고이동로그'!C:C,$A209,'재고이동로그'!E:E,"8층지원실"),0)</f>
        <v>0</v>
      </c>
      <c r="T209" s="59">
        <f>IFERROR(SUMIFS('재고이동로그'!F:F,'재고이동로그'!C:C,$A209,'재고이동로그'!E:E,"창고"),0)</f>
        <v>0</v>
      </c>
      <c r="U209" s="59">
        <f>IFERROR(SUMIFS('재고이동로그'!F:F,'재고이동로그'!C:C,$A209,'재고이동로그'!E:E,"4층지원실"),0)</f>
        <v>0</v>
      </c>
      <c r="V209" s="59">
        <f>IFERROR(SUMIFS('재고이동로그'!F:F,'재고이동로그'!C:C,$A209,'재고이동로그'!E:E,"8층지원실"),0)</f>
        <v>0</v>
      </c>
      <c r="W209" s="83">
        <f t="shared" ref="W209:Y209" si="212">B209+E209-I209+M209-Q209+T209</f>
        <v>0</v>
      </c>
      <c r="X209" s="83">
        <f t="shared" si="212"/>
        <v>0</v>
      </c>
      <c r="Y209" s="83">
        <f t="shared" si="212"/>
        <v>0</v>
      </c>
      <c r="Z209" s="84">
        <f t="shared" si="6"/>
        <v>0</v>
      </c>
      <c r="AA209" s="59" t="str">
        <f t="shared" si="7"/>
        <v>부족</v>
      </c>
      <c r="AB209" s="59"/>
      <c r="AC209" s="59"/>
      <c r="AD209" s="59"/>
      <c r="AE209" s="59"/>
      <c r="AF209" s="59"/>
    </row>
    <row r="210" ht="15.75" customHeight="1">
      <c r="A210" s="59"/>
      <c r="B210" s="77">
        <f>IFERROR(SUMIFS('교재재고'!C:C,'교재재고'!B:B,$A210),0)</f>
        <v>0</v>
      </c>
      <c r="C210" s="77">
        <f>IFERROR(SUMIFS('교재재고'!D:D,'교재재고'!B:B,$A210),0)</f>
        <v>0</v>
      </c>
      <c r="D210" s="77">
        <f>IFERROR(SUMIFS('교재재고'!E:E,'교재재고'!B:B,$A210),0)</f>
        <v>0</v>
      </c>
      <c r="E210" s="78">
        <f>IFERROR(SUMIFS('교재재고'!F:F,'교재재고'!B:B,$A210),0)
+IFERROR(SUMIFS('교재재고'!I:I,'교재재고'!B:B,$A210),0)
+IFERROR(SUMIFS('교재재고'!L:L,'교재재고'!B:B,$A210),0)
+IFERROR(SUMIFS('교재재고'!O:O,'교재재고'!B:B,$A210),0)
+IFERROR(SUMIFS('교재재고'!R:R,'교재재고'!B:B,$A210),0)</f>
        <v>0</v>
      </c>
      <c r="F210" s="79">
        <f>IFERROR(SUMIFS('교재재고'!G:G,'교재재고'!B:B,$A210),0)
+IFERROR(SUMIFS('교재재고'!J:J,'교재재고'!B:B,$A210),0)
+IFERROR(SUMIFS('교재재고'!M:M,'교재재고'!B:B,$A210),0)
+IFERROR(SUMIFS('교재재고'!P:P,'교재재고'!B:B,$A210),0)
+IFERROR(SUMIFS('교재재고'!S:S,'교재재고'!B:B,$A210),0)</f>
        <v>0</v>
      </c>
      <c r="G210" s="79">
        <f>IFERROR(SUMIFS('교재재고'!H:H,'교재재고'!B:B,$A210),0)
+IFERROR(SUMIFS('교재재고'!K:K,'교재재고'!B:B,$A210),0)
+IFERROR(SUMIFS('교재재고'!N:N,'교재재고'!B:B,$A210),0)
+IFERROR(SUMIFS('교재재고'!Q:Q,'교재재고'!B:B,$A210),0)
+IFERROR(SUMIFS('교재재고'!T:T,'교재재고'!B:B,$A210),0)</f>
        <v>0</v>
      </c>
      <c r="H210" s="79">
        <f t="shared" si="2"/>
        <v>0</v>
      </c>
      <c r="I210" s="80">
        <f>IFERROR(SUMIFS('배부로그'!G:G,'배부로그'!D:D,$A210,'배부로그'!F:F,"창고"),0)</f>
        <v>0</v>
      </c>
      <c r="J210" s="59">
        <f>IFERROR(SUMIFS('배부로그'!G:G,'배부로그'!D:D,$A210,'배부로그'!F:F,"4층지원실"),0)</f>
        <v>0</v>
      </c>
      <c r="K210" s="59">
        <f>IFERROR(SUMIFS('배부로그'!G:G,'배부로그'!D:D,$A210,'배부로그'!F:F,"8층지원실"),0)</f>
        <v>0</v>
      </c>
      <c r="L210" s="81">
        <f t="shared" si="3"/>
        <v>0</v>
      </c>
      <c r="M210" s="59">
        <f>IFERROR(SUMIFS('회수로그'!H:H,'회수로그'!E:E,$A210,'회수로그'!G:G,"창고"),0)</f>
        <v>0</v>
      </c>
      <c r="N210" s="59">
        <f>IFERROR(SUMIFS('회수로그'!H:H,'회수로그'!E:E,$A210,'회수로그'!G:G,"4층지원실"),0)</f>
        <v>0</v>
      </c>
      <c r="O210" s="59">
        <f>IFERROR(SUMIFS('회수로그'!H:H,'회수로그'!E:E,$A210,'회수로그'!G:G,"8층지원실"),0)</f>
        <v>0</v>
      </c>
      <c r="P210" s="59">
        <f t="shared" si="4"/>
        <v>0</v>
      </c>
      <c r="Q210" s="59">
        <f>IFERROR(SUMIFS('재고이동로그'!F:F,'재고이동로그'!C:C,$A210,'재고이동로그'!D:D,"창고"),0)</f>
        <v>0</v>
      </c>
      <c r="R210" s="59">
        <f>IFERROR(SUMIFS('재고이동로그'!F:F,'재고이동로그'!C:C,$A210,'재고이동로그'!E:E,"4층지원실"),0)</f>
        <v>0</v>
      </c>
      <c r="S210" s="82">
        <f>IFERROR(SUMIFS('재고이동로그'!F:F,'재고이동로그'!C:C,$A210,'재고이동로그'!E:E,"8층지원실"),0)</f>
        <v>0</v>
      </c>
      <c r="T210" s="59">
        <f>IFERROR(SUMIFS('재고이동로그'!F:F,'재고이동로그'!C:C,$A210,'재고이동로그'!E:E,"창고"),0)</f>
        <v>0</v>
      </c>
      <c r="U210" s="59">
        <f>IFERROR(SUMIFS('재고이동로그'!F:F,'재고이동로그'!C:C,$A210,'재고이동로그'!E:E,"4층지원실"),0)</f>
        <v>0</v>
      </c>
      <c r="V210" s="59">
        <f>IFERROR(SUMIFS('재고이동로그'!F:F,'재고이동로그'!C:C,$A210,'재고이동로그'!E:E,"8층지원실"),0)</f>
        <v>0</v>
      </c>
      <c r="W210" s="83">
        <f t="shared" ref="W210:Y210" si="213">B210+E210-I210+M210-Q210+T210</f>
        <v>0</v>
      </c>
      <c r="X210" s="83">
        <f t="shared" si="213"/>
        <v>0</v>
      </c>
      <c r="Y210" s="83">
        <f t="shared" si="213"/>
        <v>0</v>
      </c>
      <c r="Z210" s="84">
        <f t="shared" si="6"/>
        <v>0</v>
      </c>
      <c r="AA210" s="59" t="str">
        <f t="shared" si="7"/>
        <v>부족</v>
      </c>
      <c r="AB210" s="59"/>
      <c r="AC210" s="59"/>
      <c r="AD210" s="59"/>
      <c r="AE210" s="59"/>
      <c r="AF210" s="59"/>
    </row>
    <row r="211" ht="15.75" customHeight="1">
      <c r="A211" s="59"/>
      <c r="B211" s="77">
        <f>IFERROR(SUMIFS('교재재고'!C:C,'교재재고'!B:B,$A211),0)</f>
        <v>0</v>
      </c>
      <c r="C211" s="77">
        <f>IFERROR(SUMIFS('교재재고'!D:D,'교재재고'!B:B,$A211),0)</f>
        <v>0</v>
      </c>
      <c r="D211" s="77">
        <f>IFERROR(SUMIFS('교재재고'!E:E,'교재재고'!B:B,$A211),0)</f>
        <v>0</v>
      </c>
      <c r="E211" s="78">
        <f>IFERROR(SUMIFS('교재재고'!F:F,'교재재고'!B:B,$A211),0)
+IFERROR(SUMIFS('교재재고'!I:I,'교재재고'!B:B,$A211),0)
+IFERROR(SUMIFS('교재재고'!L:L,'교재재고'!B:B,$A211),0)
+IFERROR(SUMIFS('교재재고'!O:O,'교재재고'!B:B,$A211),0)
+IFERROR(SUMIFS('교재재고'!R:R,'교재재고'!B:B,$A211),0)</f>
        <v>0</v>
      </c>
      <c r="F211" s="79">
        <f>IFERROR(SUMIFS('교재재고'!G:G,'교재재고'!B:B,$A211),0)
+IFERROR(SUMIFS('교재재고'!J:J,'교재재고'!B:B,$A211),0)
+IFERROR(SUMIFS('교재재고'!M:M,'교재재고'!B:B,$A211),0)
+IFERROR(SUMIFS('교재재고'!P:P,'교재재고'!B:B,$A211),0)
+IFERROR(SUMIFS('교재재고'!S:S,'교재재고'!B:B,$A211),0)</f>
        <v>0</v>
      </c>
      <c r="G211" s="79">
        <f>IFERROR(SUMIFS('교재재고'!H:H,'교재재고'!B:B,$A211),0)
+IFERROR(SUMIFS('교재재고'!K:K,'교재재고'!B:B,$A211),0)
+IFERROR(SUMIFS('교재재고'!N:N,'교재재고'!B:B,$A211),0)
+IFERROR(SUMIFS('교재재고'!Q:Q,'교재재고'!B:B,$A211),0)
+IFERROR(SUMIFS('교재재고'!T:T,'교재재고'!B:B,$A211),0)</f>
        <v>0</v>
      </c>
      <c r="H211" s="79">
        <f t="shared" si="2"/>
        <v>0</v>
      </c>
      <c r="I211" s="80">
        <f>IFERROR(SUMIFS('배부로그'!G:G,'배부로그'!D:D,$A211,'배부로그'!F:F,"창고"),0)</f>
        <v>0</v>
      </c>
      <c r="J211" s="59">
        <f>IFERROR(SUMIFS('배부로그'!G:G,'배부로그'!D:D,$A211,'배부로그'!F:F,"4층지원실"),0)</f>
        <v>0</v>
      </c>
      <c r="K211" s="59">
        <f>IFERROR(SUMIFS('배부로그'!G:G,'배부로그'!D:D,$A211,'배부로그'!F:F,"8층지원실"),0)</f>
        <v>0</v>
      </c>
      <c r="L211" s="81">
        <f t="shared" si="3"/>
        <v>0</v>
      </c>
      <c r="M211" s="59">
        <f>IFERROR(SUMIFS('회수로그'!H:H,'회수로그'!E:E,$A211,'회수로그'!G:G,"창고"),0)</f>
        <v>0</v>
      </c>
      <c r="N211" s="59">
        <f>IFERROR(SUMIFS('회수로그'!H:H,'회수로그'!E:E,$A211,'회수로그'!G:G,"4층지원실"),0)</f>
        <v>0</v>
      </c>
      <c r="O211" s="59">
        <f>IFERROR(SUMIFS('회수로그'!H:H,'회수로그'!E:E,$A211,'회수로그'!G:G,"8층지원실"),0)</f>
        <v>0</v>
      </c>
      <c r="P211" s="59">
        <f t="shared" si="4"/>
        <v>0</v>
      </c>
      <c r="Q211" s="59">
        <f>IFERROR(SUMIFS('재고이동로그'!F:F,'재고이동로그'!C:C,$A211,'재고이동로그'!D:D,"창고"),0)</f>
        <v>0</v>
      </c>
      <c r="R211" s="59">
        <f>IFERROR(SUMIFS('재고이동로그'!F:F,'재고이동로그'!C:C,$A211,'재고이동로그'!E:E,"4층지원실"),0)</f>
        <v>0</v>
      </c>
      <c r="S211" s="82">
        <f>IFERROR(SUMIFS('재고이동로그'!F:F,'재고이동로그'!C:C,$A211,'재고이동로그'!E:E,"8층지원실"),0)</f>
        <v>0</v>
      </c>
      <c r="T211" s="59">
        <f>IFERROR(SUMIFS('재고이동로그'!F:F,'재고이동로그'!C:C,$A211,'재고이동로그'!E:E,"창고"),0)</f>
        <v>0</v>
      </c>
      <c r="U211" s="59">
        <f>IFERROR(SUMIFS('재고이동로그'!F:F,'재고이동로그'!C:C,$A211,'재고이동로그'!E:E,"4층지원실"),0)</f>
        <v>0</v>
      </c>
      <c r="V211" s="59">
        <f>IFERROR(SUMIFS('재고이동로그'!F:F,'재고이동로그'!C:C,$A211,'재고이동로그'!E:E,"8층지원실"),0)</f>
        <v>0</v>
      </c>
      <c r="W211" s="83">
        <f t="shared" ref="W211:Y211" si="214">B211+E211-I211+M211-Q211+T211</f>
        <v>0</v>
      </c>
      <c r="X211" s="83">
        <f t="shared" si="214"/>
        <v>0</v>
      </c>
      <c r="Y211" s="83">
        <f t="shared" si="214"/>
        <v>0</v>
      </c>
      <c r="Z211" s="84">
        <f t="shared" si="6"/>
        <v>0</v>
      </c>
      <c r="AA211" s="59" t="str">
        <f t="shared" si="7"/>
        <v>부족</v>
      </c>
      <c r="AB211" s="59"/>
      <c r="AC211" s="59"/>
      <c r="AD211" s="59"/>
      <c r="AE211" s="59"/>
      <c r="AF211" s="59"/>
    </row>
    <row r="212" ht="15.75" customHeight="1">
      <c r="A212" s="59"/>
      <c r="B212" s="77">
        <f>IFERROR(SUMIFS('교재재고'!C:C,'교재재고'!B:B,$A212),0)</f>
        <v>0</v>
      </c>
      <c r="C212" s="77">
        <f>IFERROR(SUMIFS('교재재고'!D:D,'교재재고'!B:B,$A212),0)</f>
        <v>0</v>
      </c>
      <c r="D212" s="77">
        <f>IFERROR(SUMIFS('교재재고'!E:E,'교재재고'!B:B,$A212),0)</f>
        <v>0</v>
      </c>
      <c r="E212" s="78">
        <f>IFERROR(SUMIFS('교재재고'!F:F,'교재재고'!B:B,$A212),0)
+IFERROR(SUMIFS('교재재고'!I:I,'교재재고'!B:B,$A212),0)
+IFERROR(SUMIFS('교재재고'!L:L,'교재재고'!B:B,$A212),0)
+IFERROR(SUMIFS('교재재고'!O:O,'교재재고'!B:B,$A212),0)
+IFERROR(SUMIFS('교재재고'!R:R,'교재재고'!B:B,$A212),0)</f>
        <v>0</v>
      </c>
      <c r="F212" s="79">
        <f>IFERROR(SUMIFS('교재재고'!G:G,'교재재고'!B:B,$A212),0)
+IFERROR(SUMIFS('교재재고'!J:J,'교재재고'!B:B,$A212),0)
+IFERROR(SUMIFS('교재재고'!M:M,'교재재고'!B:B,$A212),0)
+IFERROR(SUMIFS('교재재고'!P:P,'교재재고'!B:B,$A212),0)
+IFERROR(SUMIFS('교재재고'!S:S,'교재재고'!B:B,$A212),0)</f>
        <v>0</v>
      </c>
      <c r="G212" s="79">
        <f>IFERROR(SUMIFS('교재재고'!H:H,'교재재고'!B:B,$A212),0)
+IFERROR(SUMIFS('교재재고'!K:K,'교재재고'!B:B,$A212),0)
+IFERROR(SUMIFS('교재재고'!N:N,'교재재고'!B:B,$A212),0)
+IFERROR(SUMIFS('교재재고'!Q:Q,'교재재고'!B:B,$A212),0)
+IFERROR(SUMIFS('교재재고'!T:T,'교재재고'!B:B,$A212),0)</f>
        <v>0</v>
      </c>
      <c r="H212" s="79">
        <f t="shared" si="2"/>
        <v>0</v>
      </c>
      <c r="I212" s="80">
        <f>IFERROR(SUMIFS('배부로그'!G:G,'배부로그'!D:D,$A212,'배부로그'!F:F,"창고"),0)</f>
        <v>0</v>
      </c>
      <c r="J212" s="59">
        <f>IFERROR(SUMIFS('배부로그'!G:G,'배부로그'!D:D,$A212,'배부로그'!F:F,"4층지원실"),0)</f>
        <v>0</v>
      </c>
      <c r="K212" s="59">
        <f>IFERROR(SUMIFS('배부로그'!G:G,'배부로그'!D:D,$A212,'배부로그'!F:F,"8층지원실"),0)</f>
        <v>0</v>
      </c>
      <c r="L212" s="81">
        <f t="shared" si="3"/>
        <v>0</v>
      </c>
      <c r="M212" s="59">
        <f>IFERROR(SUMIFS('회수로그'!H:H,'회수로그'!E:E,$A212,'회수로그'!G:G,"창고"),0)</f>
        <v>0</v>
      </c>
      <c r="N212" s="59">
        <f>IFERROR(SUMIFS('회수로그'!H:H,'회수로그'!E:E,$A212,'회수로그'!G:G,"4층지원실"),0)</f>
        <v>0</v>
      </c>
      <c r="O212" s="59">
        <f>IFERROR(SUMIFS('회수로그'!H:H,'회수로그'!E:E,$A212,'회수로그'!G:G,"8층지원실"),0)</f>
        <v>0</v>
      </c>
      <c r="P212" s="59">
        <f t="shared" si="4"/>
        <v>0</v>
      </c>
      <c r="Q212" s="59">
        <f>IFERROR(SUMIFS('재고이동로그'!F:F,'재고이동로그'!C:C,$A212,'재고이동로그'!D:D,"창고"),0)</f>
        <v>0</v>
      </c>
      <c r="R212" s="59">
        <f>IFERROR(SUMIFS('재고이동로그'!F:F,'재고이동로그'!C:C,$A212,'재고이동로그'!E:E,"4층지원실"),0)</f>
        <v>0</v>
      </c>
      <c r="S212" s="82">
        <f>IFERROR(SUMIFS('재고이동로그'!F:F,'재고이동로그'!C:C,$A212,'재고이동로그'!E:E,"8층지원실"),0)</f>
        <v>0</v>
      </c>
      <c r="T212" s="59">
        <f>IFERROR(SUMIFS('재고이동로그'!F:F,'재고이동로그'!C:C,$A212,'재고이동로그'!E:E,"창고"),0)</f>
        <v>0</v>
      </c>
      <c r="U212" s="59">
        <f>IFERROR(SUMIFS('재고이동로그'!F:F,'재고이동로그'!C:C,$A212,'재고이동로그'!E:E,"4층지원실"),0)</f>
        <v>0</v>
      </c>
      <c r="V212" s="59">
        <f>IFERROR(SUMIFS('재고이동로그'!F:F,'재고이동로그'!C:C,$A212,'재고이동로그'!E:E,"8층지원실"),0)</f>
        <v>0</v>
      </c>
      <c r="W212" s="83">
        <f t="shared" ref="W212:Y212" si="215">B212+E212-I212+M212-Q212+T212</f>
        <v>0</v>
      </c>
      <c r="X212" s="83">
        <f t="shared" si="215"/>
        <v>0</v>
      </c>
      <c r="Y212" s="83">
        <f t="shared" si="215"/>
        <v>0</v>
      </c>
      <c r="Z212" s="84">
        <f t="shared" si="6"/>
        <v>0</v>
      </c>
      <c r="AA212" s="59" t="str">
        <f t="shared" si="7"/>
        <v>부족</v>
      </c>
      <c r="AB212" s="59"/>
      <c r="AC212" s="59"/>
      <c r="AD212" s="59"/>
      <c r="AE212" s="59"/>
      <c r="AF212" s="59"/>
    </row>
    <row r="213" ht="15.75" customHeight="1">
      <c r="A213" s="59"/>
      <c r="B213" s="77">
        <f>IFERROR(SUMIFS('교재재고'!C:C,'교재재고'!B:B,$A213),0)</f>
        <v>0</v>
      </c>
      <c r="C213" s="77">
        <f>IFERROR(SUMIFS('교재재고'!D:D,'교재재고'!B:B,$A213),0)</f>
        <v>0</v>
      </c>
      <c r="D213" s="77">
        <f>IFERROR(SUMIFS('교재재고'!E:E,'교재재고'!B:B,$A213),0)</f>
        <v>0</v>
      </c>
      <c r="E213" s="78">
        <f>IFERROR(SUMIFS('교재재고'!F:F,'교재재고'!B:B,$A213),0)
+IFERROR(SUMIFS('교재재고'!I:I,'교재재고'!B:B,$A213),0)
+IFERROR(SUMIFS('교재재고'!L:L,'교재재고'!B:B,$A213),0)
+IFERROR(SUMIFS('교재재고'!O:O,'교재재고'!B:B,$A213),0)
+IFERROR(SUMIFS('교재재고'!R:R,'교재재고'!B:B,$A213),0)</f>
        <v>0</v>
      </c>
      <c r="F213" s="79">
        <f>IFERROR(SUMIFS('교재재고'!G:G,'교재재고'!B:B,$A213),0)
+IFERROR(SUMIFS('교재재고'!J:J,'교재재고'!B:B,$A213),0)
+IFERROR(SUMIFS('교재재고'!M:M,'교재재고'!B:B,$A213),0)
+IFERROR(SUMIFS('교재재고'!P:P,'교재재고'!B:B,$A213),0)
+IFERROR(SUMIFS('교재재고'!S:S,'교재재고'!B:B,$A213),0)</f>
        <v>0</v>
      </c>
      <c r="G213" s="79">
        <f>IFERROR(SUMIFS('교재재고'!H:H,'교재재고'!B:B,$A213),0)
+IFERROR(SUMIFS('교재재고'!K:K,'교재재고'!B:B,$A213),0)
+IFERROR(SUMIFS('교재재고'!N:N,'교재재고'!B:B,$A213),0)
+IFERROR(SUMIFS('교재재고'!Q:Q,'교재재고'!B:B,$A213),0)
+IFERROR(SUMIFS('교재재고'!T:T,'교재재고'!B:B,$A213),0)</f>
        <v>0</v>
      </c>
      <c r="H213" s="79">
        <f t="shared" si="2"/>
        <v>0</v>
      </c>
      <c r="I213" s="80">
        <f>IFERROR(SUMIFS('배부로그'!G:G,'배부로그'!D:D,$A213,'배부로그'!F:F,"창고"),0)</f>
        <v>0</v>
      </c>
      <c r="J213" s="59">
        <f>IFERROR(SUMIFS('배부로그'!G:G,'배부로그'!D:D,$A213,'배부로그'!F:F,"4층지원실"),0)</f>
        <v>0</v>
      </c>
      <c r="K213" s="59">
        <f>IFERROR(SUMIFS('배부로그'!G:G,'배부로그'!D:D,$A213,'배부로그'!F:F,"8층지원실"),0)</f>
        <v>0</v>
      </c>
      <c r="L213" s="81">
        <f t="shared" si="3"/>
        <v>0</v>
      </c>
      <c r="M213" s="59">
        <f>IFERROR(SUMIFS('회수로그'!H:H,'회수로그'!E:E,$A213,'회수로그'!G:G,"창고"),0)</f>
        <v>0</v>
      </c>
      <c r="N213" s="59">
        <f>IFERROR(SUMIFS('회수로그'!H:H,'회수로그'!E:E,$A213,'회수로그'!G:G,"4층지원실"),0)</f>
        <v>0</v>
      </c>
      <c r="O213" s="59">
        <f>IFERROR(SUMIFS('회수로그'!H:H,'회수로그'!E:E,$A213,'회수로그'!G:G,"8층지원실"),0)</f>
        <v>0</v>
      </c>
      <c r="P213" s="59">
        <f t="shared" si="4"/>
        <v>0</v>
      </c>
      <c r="Q213" s="59">
        <f>IFERROR(SUMIFS('재고이동로그'!F:F,'재고이동로그'!C:C,$A213,'재고이동로그'!D:D,"창고"),0)</f>
        <v>0</v>
      </c>
      <c r="R213" s="59">
        <f>IFERROR(SUMIFS('재고이동로그'!F:F,'재고이동로그'!C:C,$A213,'재고이동로그'!E:E,"4층지원실"),0)</f>
        <v>0</v>
      </c>
      <c r="S213" s="82">
        <f>IFERROR(SUMIFS('재고이동로그'!F:F,'재고이동로그'!C:C,$A213,'재고이동로그'!E:E,"8층지원실"),0)</f>
        <v>0</v>
      </c>
      <c r="T213" s="59">
        <f>IFERROR(SUMIFS('재고이동로그'!F:F,'재고이동로그'!C:C,$A213,'재고이동로그'!E:E,"창고"),0)</f>
        <v>0</v>
      </c>
      <c r="U213" s="59">
        <f>IFERROR(SUMIFS('재고이동로그'!F:F,'재고이동로그'!C:C,$A213,'재고이동로그'!E:E,"4층지원실"),0)</f>
        <v>0</v>
      </c>
      <c r="V213" s="59">
        <f>IFERROR(SUMIFS('재고이동로그'!F:F,'재고이동로그'!C:C,$A213,'재고이동로그'!E:E,"8층지원실"),0)</f>
        <v>0</v>
      </c>
      <c r="W213" s="83">
        <f t="shared" ref="W213:Y213" si="216">B213+E213-I213+M213-Q213+T213</f>
        <v>0</v>
      </c>
      <c r="X213" s="83">
        <f t="shared" si="216"/>
        <v>0</v>
      </c>
      <c r="Y213" s="83">
        <f t="shared" si="216"/>
        <v>0</v>
      </c>
      <c r="Z213" s="84">
        <f t="shared" si="6"/>
        <v>0</v>
      </c>
      <c r="AA213" s="59" t="str">
        <f t="shared" si="7"/>
        <v>부족</v>
      </c>
      <c r="AB213" s="59"/>
      <c r="AC213" s="59"/>
      <c r="AD213" s="59"/>
      <c r="AE213" s="59"/>
      <c r="AF213" s="59"/>
    </row>
    <row r="214" ht="15.75" customHeight="1">
      <c r="A214" s="59"/>
      <c r="B214" s="77">
        <f>IFERROR(SUMIFS('교재재고'!C:C,'교재재고'!B:B,$A214),0)</f>
        <v>0</v>
      </c>
      <c r="C214" s="77">
        <f>IFERROR(SUMIFS('교재재고'!D:D,'교재재고'!B:B,$A214),0)</f>
        <v>0</v>
      </c>
      <c r="D214" s="77">
        <f>IFERROR(SUMIFS('교재재고'!E:E,'교재재고'!B:B,$A214),0)</f>
        <v>0</v>
      </c>
      <c r="E214" s="78">
        <f>IFERROR(SUMIFS('교재재고'!F:F,'교재재고'!B:B,$A214),0)
+IFERROR(SUMIFS('교재재고'!I:I,'교재재고'!B:B,$A214),0)
+IFERROR(SUMIFS('교재재고'!L:L,'교재재고'!B:B,$A214),0)
+IFERROR(SUMIFS('교재재고'!O:O,'교재재고'!B:B,$A214),0)
+IFERROR(SUMIFS('교재재고'!R:R,'교재재고'!B:B,$A214),0)</f>
        <v>0</v>
      </c>
      <c r="F214" s="79">
        <f>IFERROR(SUMIFS('교재재고'!G:G,'교재재고'!B:B,$A214),0)
+IFERROR(SUMIFS('교재재고'!J:J,'교재재고'!B:B,$A214),0)
+IFERROR(SUMIFS('교재재고'!M:M,'교재재고'!B:B,$A214),0)
+IFERROR(SUMIFS('교재재고'!P:P,'교재재고'!B:B,$A214),0)
+IFERROR(SUMIFS('교재재고'!S:S,'교재재고'!B:B,$A214),0)</f>
        <v>0</v>
      </c>
      <c r="G214" s="79">
        <f>IFERROR(SUMIFS('교재재고'!H:H,'교재재고'!B:B,$A214),0)
+IFERROR(SUMIFS('교재재고'!K:K,'교재재고'!B:B,$A214),0)
+IFERROR(SUMIFS('교재재고'!N:N,'교재재고'!B:B,$A214),0)
+IFERROR(SUMIFS('교재재고'!Q:Q,'교재재고'!B:B,$A214),0)
+IFERROR(SUMIFS('교재재고'!T:T,'교재재고'!B:B,$A214),0)</f>
        <v>0</v>
      </c>
      <c r="H214" s="79">
        <f t="shared" si="2"/>
        <v>0</v>
      </c>
      <c r="I214" s="80">
        <f>IFERROR(SUMIFS('배부로그'!G:G,'배부로그'!D:D,$A214,'배부로그'!F:F,"창고"),0)</f>
        <v>0</v>
      </c>
      <c r="J214" s="59">
        <f>IFERROR(SUMIFS('배부로그'!G:G,'배부로그'!D:D,$A214,'배부로그'!F:F,"4층지원실"),0)</f>
        <v>0</v>
      </c>
      <c r="K214" s="59">
        <f>IFERROR(SUMIFS('배부로그'!G:G,'배부로그'!D:D,$A214,'배부로그'!F:F,"8층지원실"),0)</f>
        <v>0</v>
      </c>
      <c r="L214" s="81">
        <f t="shared" si="3"/>
        <v>0</v>
      </c>
      <c r="M214" s="59">
        <f>IFERROR(SUMIFS('회수로그'!H:H,'회수로그'!E:E,$A214,'회수로그'!G:G,"창고"),0)</f>
        <v>0</v>
      </c>
      <c r="N214" s="59">
        <f>IFERROR(SUMIFS('회수로그'!H:H,'회수로그'!E:E,$A214,'회수로그'!G:G,"4층지원실"),0)</f>
        <v>0</v>
      </c>
      <c r="O214" s="59">
        <f>IFERROR(SUMIFS('회수로그'!H:H,'회수로그'!E:E,$A214,'회수로그'!G:G,"8층지원실"),0)</f>
        <v>0</v>
      </c>
      <c r="P214" s="59">
        <f t="shared" si="4"/>
        <v>0</v>
      </c>
      <c r="Q214" s="59">
        <f>IFERROR(SUMIFS('재고이동로그'!F:F,'재고이동로그'!C:C,$A214,'재고이동로그'!D:D,"창고"),0)</f>
        <v>0</v>
      </c>
      <c r="R214" s="59">
        <f>IFERROR(SUMIFS('재고이동로그'!F:F,'재고이동로그'!C:C,$A214,'재고이동로그'!E:E,"4층지원실"),0)</f>
        <v>0</v>
      </c>
      <c r="S214" s="82">
        <f>IFERROR(SUMIFS('재고이동로그'!F:F,'재고이동로그'!C:C,$A214,'재고이동로그'!E:E,"8층지원실"),0)</f>
        <v>0</v>
      </c>
      <c r="T214" s="59">
        <f>IFERROR(SUMIFS('재고이동로그'!F:F,'재고이동로그'!C:C,$A214,'재고이동로그'!E:E,"창고"),0)</f>
        <v>0</v>
      </c>
      <c r="U214" s="59">
        <f>IFERROR(SUMIFS('재고이동로그'!F:F,'재고이동로그'!C:C,$A214,'재고이동로그'!E:E,"4층지원실"),0)</f>
        <v>0</v>
      </c>
      <c r="V214" s="59">
        <f>IFERROR(SUMIFS('재고이동로그'!F:F,'재고이동로그'!C:C,$A214,'재고이동로그'!E:E,"8층지원실"),0)</f>
        <v>0</v>
      </c>
      <c r="W214" s="83">
        <f t="shared" ref="W214:Y214" si="217">B214+E214-I214+M214-Q214+T214</f>
        <v>0</v>
      </c>
      <c r="X214" s="83">
        <f t="shared" si="217"/>
        <v>0</v>
      </c>
      <c r="Y214" s="83">
        <f t="shared" si="217"/>
        <v>0</v>
      </c>
      <c r="Z214" s="84">
        <f t="shared" si="6"/>
        <v>0</v>
      </c>
      <c r="AA214" s="59" t="str">
        <f t="shared" si="7"/>
        <v>부족</v>
      </c>
      <c r="AB214" s="59"/>
      <c r="AC214" s="59"/>
      <c r="AD214" s="59"/>
      <c r="AE214" s="59"/>
      <c r="AF214" s="59"/>
    </row>
    <row r="215" ht="15.75" customHeight="1">
      <c r="A215" s="59"/>
      <c r="B215" s="77">
        <f>IFERROR(SUMIFS('교재재고'!C:C,'교재재고'!B:B,$A215),0)</f>
        <v>0</v>
      </c>
      <c r="C215" s="77">
        <f>IFERROR(SUMIFS('교재재고'!D:D,'교재재고'!B:B,$A215),0)</f>
        <v>0</v>
      </c>
      <c r="D215" s="77">
        <f>IFERROR(SUMIFS('교재재고'!E:E,'교재재고'!B:B,$A215),0)</f>
        <v>0</v>
      </c>
      <c r="E215" s="78">
        <f>IFERROR(SUMIFS('교재재고'!F:F,'교재재고'!B:B,$A215),0)
+IFERROR(SUMIFS('교재재고'!I:I,'교재재고'!B:B,$A215),0)
+IFERROR(SUMIFS('교재재고'!L:L,'교재재고'!B:B,$A215),0)
+IFERROR(SUMIFS('교재재고'!O:O,'교재재고'!B:B,$A215),0)
+IFERROR(SUMIFS('교재재고'!R:R,'교재재고'!B:B,$A215),0)</f>
        <v>0</v>
      </c>
      <c r="F215" s="79">
        <f>IFERROR(SUMIFS('교재재고'!G:G,'교재재고'!B:B,$A215),0)
+IFERROR(SUMIFS('교재재고'!J:J,'교재재고'!B:B,$A215),0)
+IFERROR(SUMIFS('교재재고'!M:M,'교재재고'!B:B,$A215),0)
+IFERROR(SUMIFS('교재재고'!P:P,'교재재고'!B:B,$A215),0)
+IFERROR(SUMIFS('교재재고'!S:S,'교재재고'!B:B,$A215),0)</f>
        <v>0</v>
      </c>
      <c r="G215" s="79">
        <f>IFERROR(SUMIFS('교재재고'!H:H,'교재재고'!B:B,$A215),0)
+IFERROR(SUMIFS('교재재고'!K:K,'교재재고'!B:B,$A215),0)
+IFERROR(SUMIFS('교재재고'!N:N,'교재재고'!B:B,$A215),0)
+IFERROR(SUMIFS('교재재고'!Q:Q,'교재재고'!B:B,$A215),0)
+IFERROR(SUMIFS('교재재고'!T:T,'교재재고'!B:B,$A215),0)</f>
        <v>0</v>
      </c>
      <c r="H215" s="79">
        <f t="shared" si="2"/>
        <v>0</v>
      </c>
      <c r="I215" s="80">
        <f>IFERROR(SUMIFS('배부로그'!G:G,'배부로그'!D:D,$A215,'배부로그'!F:F,"창고"),0)</f>
        <v>0</v>
      </c>
      <c r="J215" s="59">
        <f>IFERROR(SUMIFS('배부로그'!G:G,'배부로그'!D:D,$A215,'배부로그'!F:F,"4층지원실"),0)</f>
        <v>0</v>
      </c>
      <c r="K215" s="59">
        <f>IFERROR(SUMIFS('배부로그'!G:G,'배부로그'!D:D,$A215,'배부로그'!F:F,"8층지원실"),0)</f>
        <v>0</v>
      </c>
      <c r="L215" s="81">
        <f t="shared" si="3"/>
        <v>0</v>
      </c>
      <c r="M215" s="59">
        <f>IFERROR(SUMIFS('회수로그'!H:H,'회수로그'!E:E,$A215,'회수로그'!G:G,"창고"),0)</f>
        <v>0</v>
      </c>
      <c r="N215" s="59">
        <f>IFERROR(SUMIFS('회수로그'!H:H,'회수로그'!E:E,$A215,'회수로그'!G:G,"4층지원실"),0)</f>
        <v>0</v>
      </c>
      <c r="O215" s="59">
        <f>IFERROR(SUMIFS('회수로그'!H:H,'회수로그'!E:E,$A215,'회수로그'!G:G,"8층지원실"),0)</f>
        <v>0</v>
      </c>
      <c r="P215" s="59">
        <f t="shared" si="4"/>
        <v>0</v>
      </c>
      <c r="Q215" s="59">
        <f>IFERROR(SUMIFS('재고이동로그'!F:F,'재고이동로그'!C:C,$A215,'재고이동로그'!D:D,"창고"),0)</f>
        <v>0</v>
      </c>
      <c r="R215" s="59">
        <f>IFERROR(SUMIFS('재고이동로그'!F:F,'재고이동로그'!C:C,$A215,'재고이동로그'!E:E,"4층지원실"),0)</f>
        <v>0</v>
      </c>
      <c r="S215" s="82">
        <f>IFERROR(SUMIFS('재고이동로그'!F:F,'재고이동로그'!C:C,$A215,'재고이동로그'!E:E,"8층지원실"),0)</f>
        <v>0</v>
      </c>
      <c r="T215" s="59">
        <f>IFERROR(SUMIFS('재고이동로그'!F:F,'재고이동로그'!C:C,$A215,'재고이동로그'!E:E,"창고"),0)</f>
        <v>0</v>
      </c>
      <c r="U215" s="59">
        <f>IFERROR(SUMIFS('재고이동로그'!F:F,'재고이동로그'!C:C,$A215,'재고이동로그'!E:E,"4층지원실"),0)</f>
        <v>0</v>
      </c>
      <c r="V215" s="59">
        <f>IFERROR(SUMIFS('재고이동로그'!F:F,'재고이동로그'!C:C,$A215,'재고이동로그'!E:E,"8층지원실"),0)</f>
        <v>0</v>
      </c>
      <c r="W215" s="83">
        <f t="shared" ref="W215:Y215" si="218">B215+E215-I215+M215-Q215+T215</f>
        <v>0</v>
      </c>
      <c r="X215" s="83">
        <f t="shared" si="218"/>
        <v>0</v>
      </c>
      <c r="Y215" s="83">
        <f t="shared" si="218"/>
        <v>0</v>
      </c>
      <c r="Z215" s="84">
        <f t="shared" si="6"/>
        <v>0</v>
      </c>
      <c r="AA215" s="59" t="str">
        <f t="shared" si="7"/>
        <v>부족</v>
      </c>
      <c r="AB215" s="59"/>
      <c r="AC215" s="59"/>
      <c r="AD215" s="59"/>
      <c r="AE215" s="59"/>
      <c r="AF215" s="59"/>
    </row>
    <row r="216" ht="15.75" customHeight="1">
      <c r="A216" s="59"/>
      <c r="B216" s="77">
        <f>IFERROR(SUMIFS('교재재고'!C:C,'교재재고'!B:B,$A216),0)</f>
        <v>0</v>
      </c>
      <c r="C216" s="77">
        <f>IFERROR(SUMIFS('교재재고'!D:D,'교재재고'!B:B,$A216),0)</f>
        <v>0</v>
      </c>
      <c r="D216" s="77">
        <f>IFERROR(SUMIFS('교재재고'!E:E,'교재재고'!B:B,$A216),0)</f>
        <v>0</v>
      </c>
      <c r="E216" s="78">
        <f>IFERROR(SUMIFS('교재재고'!F:F,'교재재고'!B:B,$A216),0)
+IFERROR(SUMIFS('교재재고'!I:I,'교재재고'!B:B,$A216),0)
+IFERROR(SUMIFS('교재재고'!L:L,'교재재고'!B:B,$A216),0)
+IFERROR(SUMIFS('교재재고'!O:O,'교재재고'!B:B,$A216),0)
+IFERROR(SUMIFS('교재재고'!R:R,'교재재고'!B:B,$A216),0)</f>
        <v>0</v>
      </c>
      <c r="F216" s="79">
        <f>IFERROR(SUMIFS('교재재고'!G:G,'교재재고'!B:B,$A216),0)
+IFERROR(SUMIFS('교재재고'!J:J,'교재재고'!B:B,$A216),0)
+IFERROR(SUMIFS('교재재고'!M:M,'교재재고'!B:B,$A216),0)
+IFERROR(SUMIFS('교재재고'!P:P,'교재재고'!B:B,$A216),0)
+IFERROR(SUMIFS('교재재고'!S:S,'교재재고'!B:B,$A216),0)</f>
        <v>0</v>
      </c>
      <c r="G216" s="79">
        <f>IFERROR(SUMIFS('교재재고'!H:H,'교재재고'!B:B,$A216),0)
+IFERROR(SUMIFS('교재재고'!K:K,'교재재고'!B:B,$A216),0)
+IFERROR(SUMIFS('교재재고'!N:N,'교재재고'!B:B,$A216),0)
+IFERROR(SUMIFS('교재재고'!Q:Q,'교재재고'!B:B,$A216),0)
+IFERROR(SUMIFS('교재재고'!T:T,'교재재고'!B:B,$A216),0)</f>
        <v>0</v>
      </c>
      <c r="H216" s="79">
        <f t="shared" si="2"/>
        <v>0</v>
      </c>
      <c r="I216" s="80">
        <f>IFERROR(SUMIFS('배부로그'!G:G,'배부로그'!D:D,$A216,'배부로그'!F:F,"창고"),0)</f>
        <v>0</v>
      </c>
      <c r="J216" s="59">
        <f>IFERROR(SUMIFS('배부로그'!G:G,'배부로그'!D:D,$A216,'배부로그'!F:F,"4층지원실"),0)</f>
        <v>0</v>
      </c>
      <c r="K216" s="59">
        <f>IFERROR(SUMIFS('배부로그'!G:G,'배부로그'!D:D,$A216,'배부로그'!F:F,"8층지원실"),0)</f>
        <v>0</v>
      </c>
      <c r="L216" s="81">
        <f t="shared" si="3"/>
        <v>0</v>
      </c>
      <c r="M216" s="59">
        <f>IFERROR(SUMIFS('회수로그'!H:H,'회수로그'!E:E,$A216,'회수로그'!G:G,"창고"),0)</f>
        <v>0</v>
      </c>
      <c r="N216" s="59">
        <f>IFERROR(SUMIFS('회수로그'!H:H,'회수로그'!E:E,$A216,'회수로그'!G:G,"4층지원실"),0)</f>
        <v>0</v>
      </c>
      <c r="O216" s="59">
        <f>IFERROR(SUMIFS('회수로그'!H:H,'회수로그'!E:E,$A216,'회수로그'!G:G,"8층지원실"),0)</f>
        <v>0</v>
      </c>
      <c r="P216" s="59">
        <f t="shared" si="4"/>
        <v>0</v>
      </c>
      <c r="Q216" s="59">
        <f>IFERROR(SUMIFS('재고이동로그'!F:F,'재고이동로그'!C:C,$A216,'재고이동로그'!D:D,"창고"),0)</f>
        <v>0</v>
      </c>
      <c r="R216" s="59">
        <f>IFERROR(SUMIFS('재고이동로그'!F:F,'재고이동로그'!C:C,$A216,'재고이동로그'!E:E,"4층지원실"),0)</f>
        <v>0</v>
      </c>
      <c r="S216" s="82">
        <f>IFERROR(SUMIFS('재고이동로그'!F:F,'재고이동로그'!C:C,$A216,'재고이동로그'!E:E,"8층지원실"),0)</f>
        <v>0</v>
      </c>
      <c r="T216" s="59">
        <f>IFERROR(SUMIFS('재고이동로그'!F:F,'재고이동로그'!C:C,$A216,'재고이동로그'!E:E,"창고"),0)</f>
        <v>0</v>
      </c>
      <c r="U216" s="59">
        <f>IFERROR(SUMIFS('재고이동로그'!F:F,'재고이동로그'!C:C,$A216,'재고이동로그'!E:E,"4층지원실"),0)</f>
        <v>0</v>
      </c>
      <c r="V216" s="59">
        <f>IFERROR(SUMIFS('재고이동로그'!F:F,'재고이동로그'!C:C,$A216,'재고이동로그'!E:E,"8층지원실"),0)</f>
        <v>0</v>
      </c>
      <c r="W216" s="83">
        <f t="shared" ref="W216:Y216" si="219">B216+E216-I216+M216-Q216+T216</f>
        <v>0</v>
      </c>
      <c r="X216" s="83">
        <f t="shared" si="219"/>
        <v>0</v>
      </c>
      <c r="Y216" s="83">
        <f t="shared" si="219"/>
        <v>0</v>
      </c>
      <c r="Z216" s="84">
        <f t="shared" si="6"/>
        <v>0</v>
      </c>
      <c r="AA216" s="59" t="str">
        <f t="shared" si="7"/>
        <v>부족</v>
      </c>
      <c r="AB216" s="59"/>
      <c r="AC216" s="59"/>
      <c r="AD216" s="59"/>
      <c r="AE216" s="59"/>
      <c r="AF216" s="59"/>
    </row>
    <row r="217" ht="15.75" customHeight="1">
      <c r="A217" s="59"/>
      <c r="B217" s="77">
        <f>IFERROR(SUMIFS('교재재고'!C:C,'교재재고'!B:B,$A217),0)</f>
        <v>0</v>
      </c>
      <c r="C217" s="77">
        <f>IFERROR(SUMIFS('교재재고'!D:D,'교재재고'!B:B,$A217),0)</f>
        <v>0</v>
      </c>
      <c r="D217" s="77">
        <f>IFERROR(SUMIFS('교재재고'!E:E,'교재재고'!B:B,$A217),0)</f>
        <v>0</v>
      </c>
      <c r="E217" s="78">
        <f>IFERROR(SUMIFS('교재재고'!F:F,'교재재고'!B:B,$A217),0)
+IFERROR(SUMIFS('교재재고'!I:I,'교재재고'!B:B,$A217),0)
+IFERROR(SUMIFS('교재재고'!L:L,'교재재고'!B:B,$A217),0)
+IFERROR(SUMIFS('교재재고'!O:O,'교재재고'!B:B,$A217),0)
+IFERROR(SUMIFS('교재재고'!R:R,'교재재고'!B:B,$A217),0)</f>
        <v>0</v>
      </c>
      <c r="F217" s="79">
        <f>IFERROR(SUMIFS('교재재고'!G:G,'교재재고'!B:B,$A217),0)
+IFERROR(SUMIFS('교재재고'!J:J,'교재재고'!B:B,$A217),0)
+IFERROR(SUMIFS('교재재고'!M:M,'교재재고'!B:B,$A217),0)
+IFERROR(SUMIFS('교재재고'!P:P,'교재재고'!B:B,$A217),0)
+IFERROR(SUMIFS('교재재고'!S:S,'교재재고'!B:B,$A217),0)</f>
        <v>0</v>
      </c>
      <c r="G217" s="79">
        <f>IFERROR(SUMIFS('교재재고'!H:H,'교재재고'!B:B,$A217),0)
+IFERROR(SUMIFS('교재재고'!K:K,'교재재고'!B:B,$A217),0)
+IFERROR(SUMIFS('교재재고'!N:N,'교재재고'!B:B,$A217),0)
+IFERROR(SUMIFS('교재재고'!Q:Q,'교재재고'!B:B,$A217),0)
+IFERROR(SUMIFS('교재재고'!T:T,'교재재고'!B:B,$A217),0)</f>
        <v>0</v>
      </c>
      <c r="H217" s="79">
        <f t="shared" si="2"/>
        <v>0</v>
      </c>
      <c r="I217" s="80">
        <f>IFERROR(SUMIFS('배부로그'!G:G,'배부로그'!D:D,$A217,'배부로그'!F:F,"창고"),0)</f>
        <v>0</v>
      </c>
      <c r="J217" s="59">
        <f>IFERROR(SUMIFS('배부로그'!G:G,'배부로그'!D:D,$A217,'배부로그'!F:F,"4층지원실"),0)</f>
        <v>0</v>
      </c>
      <c r="K217" s="59">
        <f>IFERROR(SUMIFS('배부로그'!G:G,'배부로그'!D:D,$A217,'배부로그'!F:F,"8층지원실"),0)</f>
        <v>0</v>
      </c>
      <c r="L217" s="81">
        <f t="shared" si="3"/>
        <v>0</v>
      </c>
      <c r="M217" s="59">
        <f>IFERROR(SUMIFS('회수로그'!H:H,'회수로그'!E:E,$A217,'회수로그'!G:G,"창고"),0)</f>
        <v>0</v>
      </c>
      <c r="N217" s="59">
        <f>IFERROR(SUMIFS('회수로그'!H:H,'회수로그'!E:E,$A217,'회수로그'!G:G,"4층지원실"),0)</f>
        <v>0</v>
      </c>
      <c r="O217" s="59">
        <f>IFERROR(SUMIFS('회수로그'!H:H,'회수로그'!E:E,$A217,'회수로그'!G:G,"8층지원실"),0)</f>
        <v>0</v>
      </c>
      <c r="P217" s="59">
        <f t="shared" si="4"/>
        <v>0</v>
      </c>
      <c r="Q217" s="59">
        <f>IFERROR(SUMIFS('재고이동로그'!F:F,'재고이동로그'!C:C,$A217,'재고이동로그'!D:D,"창고"),0)</f>
        <v>0</v>
      </c>
      <c r="R217" s="59">
        <f>IFERROR(SUMIFS('재고이동로그'!F:F,'재고이동로그'!C:C,$A217,'재고이동로그'!E:E,"4층지원실"),0)</f>
        <v>0</v>
      </c>
      <c r="S217" s="82">
        <f>IFERROR(SUMIFS('재고이동로그'!F:F,'재고이동로그'!C:C,$A217,'재고이동로그'!E:E,"8층지원실"),0)</f>
        <v>0</v>
      </c>
      <c r="T217" s="59">
        <f>IFERROR(SUMIFS('재고이동로그'!F:F,'재고이동로그'!C:C,$A217,'재고이동로그'!E:E,"창고"),0)</f>
        <v>0</v>
      </c>
      <c r="U217" s="59">
        <f>IFERROR(SUMIFS('재고이동로그'!F:F,'재고이동로그'!C:C,$A217,'재고이동로그'!E:E,"4층지원실"),0)</f>
        <v>0</v>
      </c>
      <c r="V217" s="59">
        <f>IFERROR(SUMIFS('재고이동로그'!F:F,'재고이동로그'!C:C,$A217,'재고이동로그'!E:E,"8층지원실"),0)</f>
        <v>0</v>
      </c>
      <c r="W217" s="83">
        <f t="shared" ref="W217:Y217" si="220">B217+E217-I217+M217-Q217+T217</f>
        <v>0</v>
      </c>
      <c r="X217" s="83">
        <f t="shared" si="220"/>
        <v>0</v>
      </c>
      <c r="Y217" s="83">
        <f t="shared" si="220"/>
        <v>0</v>
      </c>
      <c r="Z217" s="84">
        <f t="shared" si="6"/>
        <v>0</v>
      </c>
      <c r="AA217" s="59" t="str">
        <f t="shared" si="7"/>
        <v>부족</v>
      </c>
      <c r="AB217" s="59"/>
      <c r="AC217" s="59"/>
      <c r="AD217" s="59"/>
      <c r="AE217" s="59"/>
      <c r="AF217" s="59"/>
    </row>
    <row r="218" ht="15.75" customHeight="1">
      <c r="A218" s="59"/>
      <c r="B218" s="77">
        <f>IFERROR(SUMIFS('교재재고'!C:C,'교재재고'!B:B,$A218),0)</f>
        <v>0</v>
      </c>
      <c r="C218" s="77">
        <f>IFERROR(SUMIFS('교재재고'!D:D,'교재재고'!B:B,$A218),0)</f>
        <v>0</v>
      </c>
      <c r="D218" s="77">
        <f>IFERROR(SUMIFS('교재재고'!E:E,'교재재고'!B:B,$A218),0)</f>
        <v>0</v>
      </c>
      <c r="E218" s="78">
        <f>IFERROR(SUMIFS('교재재고'!F:F,'교재재고'!B:B,$A218),0)
+IFERROR(SUMIFS('교재재고'!I:I,'교재재고'!B:B,$A218),0)
+IFERROR(SUMIFS('교재재고'!L:L,'교재재고'!B:B,$A218),0)
+IFERROR(SUMIFS('교재재고'!O:O,'교재재고'!B:B,$A218),0)
+IFERROR(SUMIFS('교재재고'!R:R,'교재재고'!B:B,$A218),0)</f>
        <v>0</v>
      </c>
      <c r="F218" s="79">
        <f>IFERROR(SUMIFS('교재재고'!G:G,'교재재고'!B:B,$A218),0)
+IFERROR(SUMIFS('교재재고'!J:J,'교재재고'!B:B,$A218),0)
+IFERROR(SUMIFS('교재재고'!M:M,'교재재고'!B:B,$A218),0)
+IFERROR(SUMIFS('교재재고'!P:P,'교재재고'!B:B,$A218),0)
+IFERROR(SUMIFS('교재재고'!S:S,'교재재고'!B:B,$A218),0)</f>
        <v>0</v>
      </c>
      <c r="G218" s="79">
        <f>IFERROR(SUMIFS('교재재고'!H:H,'교재재고'!B:B,$A218),0)
+IFERROR(SUMIFS('교재재고'!K:K,'교재재고'!B:B,$A218),0)
+IFERROR(SUMIFS('교재재고'!N:N,'교재재고'!B:B,$A218),0)
+IFERROR(SUMIFS('교재재고'!Q:Q,'교재재고'!B:B,$A218),0)
+IFERROR(SUMIFS('교재재고'!T:T,'교재재고'!B:B,$A218),0)</f>
        <v>0</v>
      </c>
      <c r="H218" s="79">
        <f t="shared" si="2"/>
        <v>0</v>
      </c>
      <c r="I218" s="80">
        <f>IFERROR(SUMIFS('배부로그'!G:G,'배부로그'!D:D,$A218,'배부로그'!F:F,"창고"),0)</f>
        <v>0</v>
      </c>
      <c r="J218" s="59">
        <f>IFERROR(SUMIFS('배부로그'!G:G,'배부로그'!D:D,$A218,'배부로그'!F:F,"4층지원실"),0)</f>
        <v>0</v>
      </c>
      <c r="K218" s="59">
        <f>IFERROR(SUMIFS('배부로그'!G:G,'배부로그'!D:D,$A218,'배부로그'!F:F,"8층지원실"),0)</f>
        <v>0</v>
      </c>
      <c r="L218" s="81">
        <f t="shared" si="3"/>
        <v>0</v>
      </c>
      <c r="M218" s="59">
        <f>IFERROR(SUMIFS('회수로그'!H:H,'회수로그'!E:E,$A218,'회수로그'!G:G,"창고"),0)</f>
        <v>0</v>
      </c>
      <c r="N218" s="59">
        <f>IFERROR(SUMIFS('회수로그'!H:H,'회수로그'!E:E,$A218,'회수로그'!G:G,"4층지원실"),0)</f>
        <v>0</v>
      </c>
      <c r="O218" s="59">
        <f>IFERROR(SUMIFS('회수로그'!H:H,'회수로그'!E:E,$A218,'회수로그'!G:G,"8층지원실"),0)</f>
        <v>0</v>
      </c>
      <c r="P218" s="59">
        <f t="shared" si="4"/>
        <v>0</v>
      </c>
      <c r="Q218" s="59">
        <f>IFERROR(SUMIFS('재고이동로그'!F:F,'재고이동로그'!C:C,$A218,'재고이동로그'!D:D,"창고"),0)</f>
        <v>0</v>
      </c>
      <c r="R218" s="59">
        <f>IFERROR(SUMIFS('재고이동로그'!F:F,'재고이동로그'!C:C,$A218,'재고이동로그'!E:E,"4층지원실"),0)</f>
        <v>0</v>
      </c>
      <c r="S218" s="82">
        <f>IFERROR(SUMIFS('재고이동로그'!F:F,'재고이동로그'!C:C,$A218,'재고이동로그'!E:E,"8층지원실"),0)</f>
        <v>0</v>
      </c>
      <c r="T218" s="59">
        <f>IFERROR(SUMIFS('재고이동로그'!F:F,'재고이동로그'!C:C,$A218,'재고이동로그'!E:E,"창고"),0)</f>
        <v>0</v>
      </c>
      <c r="U218" s="59">
        <f>IFERROR(SUMIFS('재고이동로그'!F:F,'재고이동로그'!C:C,$A218,'재고이동로그'!E:E,"4층지원실"),0)</f>
        <v>0</v>
      </c>
      <c r="V218" s="59">
        <f>IFERROR(SUMIFS('재고이동로그'!F:F,'재고이동로그'!C:C,$A218,'재고이동로그'!E:E,"8층지원실"),0)</f>
        <v>0</v>
      </c>
      <c r="W218" s="83">
        <f t="shared" ref="W218:Y218" si="221">B218+E218-I218+M218-Q218+T218</f>
        <v>0</v>
      </c>
      <c r="X218" s="83">
        <f t="shared" si="221"/>
        <v>0</v>
      </c>
      <c r="Y218" s="83">
        <f t="shared" si="221"/>
        <v>0</v>
      </c>
      <c r="Z218" s="84">
        <f t="shared" si="6"/>
        <v>0</v>
      </c>
      <c r="AA218" s="59" t="str">
        <f t="shared" si="7"/>
        <v>부족</v>
      </c>
      <c r="AB218" s="59"/>
      <c r="AC218" s="59"/>
      <c r="AD218" s="59"/>
      <c r="AE218" s="59"/>
      <c r="AF218" s="59"/>
    </row>
    <row r="219" ht="15.75" customHeight="1">
      <c r="A219" s="59"/>
      <c r="B219" s="77">
        <f>IFERROR(SUMIFS('교재재고'!C:C,'교재재고'!B:B,$A219),0)</f>
        <v>0</v>
      </c>
      <c r="C219" s="77">
        <f>IFERROR(SUMIFS('교재재고'!D:D,'교재재고'!B:B,$A219),0)</f>
        <v>0</v>
      </c>
      <c r="D219" s="77">
        <f>IFERROR(SUMIFS('교재재고'!E:E,'교재재고'!B:B,$A219),0)</f>
        <v>0</v>
      </c>
      <c r="E219" s="78">
        <f>IFERROR(SUMIFS('교재재고'!F:F,'교재재고'!B:B,$A219),0)
+IFERROR(SUMIFS('교재재고'!I:I,'교재재고'!B:B,$A219),0)
+IFERROR(SUMIFS('교재재고'!L:L,'교재재고'!B:B,$A219),0)
+IFERROR(SUMIFS('교재재고'!O:O,'교재재고'!B:B,$A219),0)
+IFERROR(SUMIFS('교재재고'!R:R,'교재재고'!B:B,$A219),0)</f>
        <v>0</v>
      </c>
      <c r="F219" s="79">
        <f>IFERROR(SUMIFS('교재재고'!G:G,'교재재고'!B:B,$A219),0)
+IFERROR(SUMIFS('교재재고'!J:J,'교재재고'!B:B,$A219),0)
+IFERROR(SUMIFS('교재재고'!M:M,'교재재고'!B:B,$A219),0)
+IFERROR(SUMIFS('교재재고'!P:P,'교재재고'!B:B,$A219),0)
+IFERROR(SUMIFS('교재재고'!S:S,'교재재고'!B:B,$A219),0)</f>
        <v>0</v>
      </c>
      <c r="G219" s="79">
        <f>IFERROR(SUMIFS('교재재고'!H:H,'교재재고'!B:B,$A219),0)
+IFERROR(SUMIFS('교재재고'!K:K,'교재재고'!B:B,$A219),0)
+IFERROR(SUMIFS('교재재고'!N:N,'교재재고'!B:B,$A219),0)
+IFERROR(SUMIFS('교재재고'!Q:Q,'교재재고'!B:B,$A219),0)
+IFERROR(SUMIFS('교재재고'!T:T,'교재재고'!B:B,$A219),0)</f>
        <v>0</v>
      </c>
      <c r="H219" s="79">
        <f t="shared" si="2"/>
        <v>0</v>
      </c>
      <c r="I219" s="80">
        <f>IFERROR(SUMIFS('배부로그'!G:G,'배부로그'!D:D,$A219,'배부로그'!F:F,"창고"),0)</f>
        <v>0</v>
      </c>
      <c r="J219" s="59">
        <f>IFERROR(SUMIFS('배부로그'!G:G,'배부로그'!D:D,$A219,'배부로그'!F:F,"4층지원실"),0)</f>
        <v>0</v>
      </c>
      <c r="K219" s="59">
        <f>IFERROR(SUMIFS('배부로그'!G:G,'배부로그'!D:D,$A219,'배부로그'!F:F,"8층지원실"),0)</f>
        <v>0</v>
      </c>
      <c r="L219" s="81">
        <f t="shared" si="3"/>
        <v>0</v>
      </c>
      <c r="M219" s="59">
        <f>IFERROR(SUMIFS('회수로그'!H:H,'회수로그'!E:E,$A219,'회수로그'!G:G,"창고"),0)</f>
        <v>0</v>
      </c>
      <c r="N219" s="59">
        <f>IFERROR(SUMIFS('회수로그'!H:H,'회수로그'!E:E,$A219,'회수로그'!G:G,"4층지원실"),0)</f>
        <v>0</v>
      </c>
      <c r="O219" s="59">
        <f>IFERROR(SUMIFS('회수로그'!H:H,'회수로그'!E:E,$A219,'회수로그'!G:G,"8층지원실"),0)</f>
        <v>0</v>
      </c>
      <c r="P219" s="59">
        <f t="shared" si="4"/>
        <v>0</v>
      </c>
      <c r="Q219" s="59">
        <f>IFERROR(SUMIFS('재고이동로그'!F:F,'재고이동로그'!C:C,$A219,'재고이동로그'!D:D,"창고"),0)</f>
        <v>0</v>
      </c>
      <c r="R219" s="59">
        <f>IFERROR(SUMIFS('재고이동로그'!F:F,'재고이동로그'!C:C,$A219,'재고이동로그'!E:E,"4층지원실"),0)</f>
        <v>0</v>
      </c>
      <c r="S219" s="82">
        <f>IFERROR(SUMIFS('재고이동로그'!F:F,'재고이동로그'!C:C,$A219,'재고이동로그'!E:E,"8층지원실"),0)</f>
        <v>0</v>
      </c>
      <c r="T219" s="59">
        <f>IFERROR(SUMIFS('재고이동로그'!F:F,'재고이동로그'!C:C,$A219,'재고이동로그'!E:E,"창고"),0)</f>
        <v>0</v>
      </c>
      <c r="U219" s="59">
        <f>IFERROR(SUMIFS('재고이동로그'!F:F,'재고이동로그'!C:C,$A219,'재고이동로그'!E:E,"4층지원실"),0)</f>
        <v>0</v>
      </c>
      <c r="V219" s="59">
        <f>IFERROR(SUMIFS('재고이동로그'!F:F,'재고이동로그'!C:C,$A219,'재고이동로그'!E:E,"8층지원실"),0)</f>
        <v>0</v>
      </c>
      <c r="W219" s="83">
        <f t="shared" ref="W219:Y219" si="222">B219+E219-I219+M219-Q219+T219</f>
        <v>0</v>
      </c>
      <c r="X219" s="83">
        <f t="shared" si="222"/>
        <v>0</v>
      </c>
      <c r="Y219" s="83">
        <f t="shared" si="222"/>
        <v>0</v>
      </c>
      <c r="Z219" s="84">
        <f t="shared" si="6"/>
        <v>0</v>
      </c>
      <c r="AA219" s="59" t="str">
        <f t="shared" si="7"/>
        <v>부족</v>
      </c>
      <c r="AB219" s="59"/>
      <c r="AC219" s="59"/>
      <c r="AD219" s="59"/>
      <c r="AE219" s="59"/>
      <c r="AF219" s="59"/>
    </row>
    <row r="220" ht="15.75" customHeight="1">
      <c r="A220" s="59"/>
      <c r="B220" s="77">
        <f>IFERROR(SUMIFS('교재재고'!C:C,'교재재고'!B:B,$A220),0)</f>
        <v>0</v>
      </c>
      <c r="C220" s="77">
        <f>IFERROR(SUMIFS('교재재고'!D:D,'교재재고'!B:B,$A220),0)</f>
        <v>0</v>
      </c>
      <c r="D220" s="77">
        <f>IFERROR(SUMIFS('교재재고'!E:E,'교재재고'!B:B,$A220),0)</f>
        <v>0</v>
      </c>
      <c r="E220" s="78">
        <f>IFERROR(SUMIFS('교재재고'!F:F,'교재재고'!B:B,$A220),0)
+IFERROR(SUMIFS('교재재고'!I:I,'교재재고'!B:B,$A220),0)
+IFERROR(SUMIFS('교재재고'!L:L,'교재재고'!B:B,$A220),0)
+IFERROR(SUMIFS('교재재고'!O:O,'교재재고'!B:B,$A220),0)
+IFERROR(SUMIFS('교재재고'!R:R,'교재재고'!B:B,$A220),0)</f>
        <v>0</v>
      </c>
      <c r="F220" s="79">
        <f>IFERROR(SUMIFS('교재재고'!G:G,'교재재고'!B:B,$A220),0)
+IFERROR(SUMIFS('교재재고'!J:J,'교재재고'!B:B,$A220),0)
+IFERROR(SUMIFS('교재재고'!M:M,'교재재고'!B:B,$A220),0)
+IFERROR(SUMIFS('교재재고'!P:P,'교재재고'!B:B,$A220),0)
+IFERROR(SUMIFS('교재재고'!S:S,'교재재고'!B:B,$A220),0)</f>
        <v>0</v>
      </c>
      <c r="G220" s="79">
        <f>IFERROR(SUMIFS('교재재고'!H:H,'교재재고'!B:B,$A220),0)
+IFERROR(SUMIFS('교재재고'!K:K,'교재재고'!B:B,$A220),0)
+IFERROR(SUMIFS('교재재고'!N:N,'교재재고'!B:B,$A220),0)
+IFERROR(SUMIFS('교재재고'!Q:Q,'교재재고'!B:B,$A220),0)
+IFERROR(SUMIFS('교재재고'!T:T,'교재재고'!B:B,$A220),0)</f>
        <v>0</v>
      </c>
      <c r="H220" s="79">
        <f t="shared" si="2"/>
        <v>0</v>
      </c>
      <c r="I220" s="80">
        <f>IFERROR(SUMIFS('배부로그'!G:G,'배부로그'!D:D,$A220,'배부로그'!F:F,"창고"),0)</f>
        <v>0</v>
      </c>
      <c r="J220" s="59">
        <f>IFERROR(SUMIFS('배부로그'!G:G,'배부로그'!D:D,$A220,'배부로그'!F:F,"4층지원실"),0)</f>
        <v>0</v>
      </c>
      <c r="K220" s="59">
        <f>IFERROR(SUMIFS('배부로그'!G:G,'배부로그'!D:D,$A220,'배부로그'!F:F,"8층지원실"),0)</f>
        <v>0</v>
      </c>
      <c r="L220" s="81">
        <f t="shared" si="3"/>
        <v>0</v>
      </c>
      <c r="M220" s="59">
        <f>IFERROR(SUMIFS('회수로그'!H:H,'회수로그'!E:E,$A220,'회수로그'!G:G,"창고"),0)</f>
        <v>0</v>
      </c>
      <c r="N220" s="59">
        <f>IFERROR(SUMIFS('회수로그'!H:H,'회수로그'!E:E,$A220,'회수로그'!G:G,"4층지원실"),0)</f>
        <v>0</v>
      </c>
      <c r="O220" s="59">
        <f>IFERROR(SUMIFS('회수로그'!H:H,'회수로그'!E:E,$A220,'회수로그'!G:G,"8층지원실"),0)</f>
        <v>0</v>
      </c>
      <c r="P220" s="59">
        <f t="shared" si="4"/>
        <v>0</v>
      </c>
      <c r="Q220" s="59">
        <f>IFERROR(SUMIFS('재고이동로그'!F:F,'재고이동로그'!C:C,$A220,'재고이동로그'!D:D,"창고"),0)</f>
        <v>0</v>
      </c>
      <c r="R220" s="59">
        <f>IFERROR(SUMIFS('재고이동로그'!F:F,'재고이동로그'!C:C,$A220,'재고이동로그'!E:E,"4층지원실"),0)</f>
        <v>0</v>
      </c>
      <c r="S220" s="82">
        <f>IFERROR(SUMIFS('재고이동로그'!F:F,'재고이동로그'!C:C,$A220,'재고이동로그'!E:E,"8층지원실"),0)</f>
        <v>0</v>
      </c>
      <c r="T220" s="59">
        <f>IFERROR(SUMIFS('재고이동로그'!F:F,'재고이동로그'!C:C,$A220,'재고이동로그'!E:E,"창고"),0)</f>
        <v>0</v>
      </c>
      <c r="U220" s="59">
        <f>IFERROR(SUMIFS('재고이동로그'!F:F,'재고이동로그'!C:C,$A220,'재고이동로그'!E:E,"4층지원실"),0)</f>
        <v>0</v>
      </c>
      <c r="V220" s="59">
        <f>IFERROR(SUMIFS('재고이동로그'!F:F,'재고이동로그'!C:C,$A220,'재고이동로그'!E:E,"8층지원실"),0)</f>
        <v>0</v>
      </c>
      <c r="W220" s="83">
        <f t="shared" ref="W220:Y220" si="223">B220+E220-I220+M220-Q220+T220</f>
        <v>0</v>
      </c>
      <c r="X220" s="83">
        <f t="shared" si="223"/>
        <v>0</v>
      </c>
      <c r="Y220" s="83">
        <f t="shared" si="223"/>
        <v>0</v>
      </c>
      <c r="Z220" s="84">
        <f t="shared" si="6"/>
        <v>0</v>
      </c>
      <c r="AA220" s="59" t="str">
        <f t="shared" si="7"/>
        <v>부족</v>
      </c>
      <c r="AB220" s="59"/>
      <c r="AC220" s="59"/>
      <c r="AD220" s="59"/>
      <c r="AE220" s="59"/>
      <c r="AF220" s="59"/>
    </row>
    <row r="221" ht="15.75" customHeight="1">
      <c r="A221" s="59"/>
      <c r="B221" s="77">
        <f>IFERROR(SUMIFS('교재재고'!C:C,'교재재고'!B:B,$A221),0)</f>
        <v>0</v>
      </c>
      <c r="C221" s="77">
        <f>IFERROR(SUMIFS('교재재고'!D:D,'교재재고'!B:B,$A221),0)</f>
        <v>0</v>
      </c>
      <c r="D221" s="77">
        <f>IFERROR(SUMIFS('교재재고'!E:E,'교재재고'!B:B,$A221),0)</f>
        <v>0</v>
      </c>
      <c r="E221" s="78">
        <f>IFERROR(SUMIFS('교재재고'!F:F,'교재재고'!B:B,$A221),0)
+IFERROR(SUMIFS('교재재고'!I:I,'교재재고'!B:B,$A221),0)
+IFERROR(SUMIFS('교재재고'!L:L,'교재재고'!B:B,$A221),0)
+IFERROR(SUMIFS('교재재고'!O:O,'교재재고'!B:B,$A221),0)
+IFERROR(SUMIFS('교재재고'!R:R,'교재재고'!B:B,$A221),0)</f>
        <v>0</v>
      </c>
      <c r="F221" s="79">
        <f>IFERROR(SUMIFS('교재재고'!G:G,'교재재고'!B:B,$A221),0)
+IFERROR(SUMIFS('교재재고'!J:J,'교재재고'!B:B,$A221),0)
+IFERROR(SUMIFS('교재재고'!M:M,'교재재고'!B:B,$A221),0)
+IFERROR(SUMIFS('교재재고'!P:P,'교재재고'!B:B,$A221),0)
+IFERROR(SUMIFS('교재재고'!S:S,'교재재고'!B:B,$A221),0)</f>
        <v>0</v>
      </c>
      <c r="G221" s="79">
        <f>IFERROR(SUMIFS('교재재고'!H:H,'교재재고'!B:B,$A221),0)
+IFERROR(SUMIFS('교재재고'!K:K,'교재재고'!B:B,$A221),0)
+IFERROR(SUMIFS('교재재고'!N:N,'교재재고'!B:B,$A221),0)
+IFERROR(SUMIFS('교재재고'!Q:Q,'교재재고'!B:B,$A221),0)
+IFERROR(SUMIFS('교재재고'!T:T,'교재재고'!B:B,$A221),0)</f>
        <v>0</v>
      </c>
      <c r="H221" s="79">
        <f t="shared" si="2"/>
        <v>0</v>
      </c>
      <c r="I221" s="80">
        <f>IFERROR(SUMIFS('배부로그'!G:G,'배부로그'!D:D,$A221,'배부로그'!F:F,"창고"),0)</f>
        <v>0</v>
      </c>
      <c r="J221" s="59">
        <f>IFERROR(SUMIFS('배부로그'!G:G,'배부로그'!D:D,$A221,'배부로그'!F:F,"4층지원실"),0)</f>
        <v>0</v>
      </c>
      <c r="K221" s="59">
        <f>IFERROR(SUMIFS('배부로그'!G:G,'배부로그'!D:D,$A221,'배부로그'!F:F,"8층지원실"),0)</f>
        <v>0</v>
      </c>
      <c r="L221" s="81">
        <f t="shared" si="3"/>
        <v>0</v>
      </c>
      <c r="M221" s="59">
        <f>IFERROR(SUMIFS('회수로그'!H:H,'회수로그'!E:E,$A221,'회수로그'!G:G,"창고"),0)</f>
        <v>0</v>
      </c>
      <c r="N221" s="59">
        <f>IFERROR(SUMIFS('회수로그'!H:H,'회수로그'!E:E,$A221,'회수로그'!G:G,"4층지원실"),0)</f>
        <v>0</v>
      </c>
      <c r="O221" s="59">
        <f>IFERROR(SUMIFS('회수로그'!H:H,'회수로그'!E:E,$A221,'회수로그'!G:G,"8층지원실"),0)</f>
        <v>0</v>
      </c>
      <c r="P221" s="59">
        <f t="shared" si="4"/>
        <v>0</v>
      </c>
      <c r="Q221" s="59">
        <f>IFERROR(SUMIFS('재고이동로그'!F:F,'재고이동로그'!C:C,$A221,'재고이동로그'!D:D,"창고"),0)</f>
        <v>0</v>
      </c>
      <c r="R221" s="59">
        <f>IFERROR(SUMIFS('재고이동로그'!F:F,'재고이동로그'!C:C,$A221,'재고이동로그'!E:E,"4층지원실"),0)</f>
        <v>0</v>
      </c>
      <c r="S221" s="82">
        <f>IFERROR(SUMIFS('재고이동로그'!F:F,'재고이동로그'!C:C,$A221,'재고이동로그'!E:E,"8층지원실"),0)</f>
        <v>0</v>
      </c>
      <c r="T221" s="59">
        <f>IFERROR(SUMIFS('재고이동로그'!F:F,'재고이동로그'!C:C,$A221,'재고이동로그'!E:E,"창고"),0)</f>
        <v>0</v>
      </c>
      <c r="U221" s="59">
        <f>IFERROR(SUMIFS('재고이동로그'!F:F,'재고이동로그'!C:C,$A221,'재고이동로그'!E:E,"4층지원실"),0)</f>
        <v>0</v>
      </c>
      <c r="V221" s="59">
        <f>IFERROR(SUMIFS('재고이동로그'!F:F,'재고이동로그'!C:C,$A221,'재고이동로그'!E:E,"8층지원실"),0)</f>
        <v>0</v>
      </c>
      <c r="W221" s="83">
        <f t="shared" ref="W221:Y221" si="224">B221+E221-I221+M221-Q221+T221</f>
        <v>0</v>
      </c>
      <c r="X221" s="83">
        <f t="shared" si="224"/>
        <v>0</v>
      </c>
      <c r="Y221" s="83">
        <f t="shared" si="224"/>
        <v>0</v>
      </c>
      <c r="Z221" s="84">
        <f t="shared" si="6"/>
        <v>0</v>
      </c>
      <c r="AA221" s="59" t="str">
        <f t="shared" si="7"/>
        <v>부족</v>
      </c>
      <c r="AB221" s="59"/>
      <c r="AC221" s="59"/>
      <c r="AD221" s="59"/>
      <c r="AE221" s="59"/>
      <c r="AF221" s="59"/>
    </row>
    <row r="222" ht="15.75" customHeight="1">
      <c r="A222" s="59"/>
      <c r="B222" s="77">
        <f>IFERROR(SUMIFS('교재재고'!C:C,'교재재고'!B:B,$A222),0)</f>
        <v>0</v>
      </c>
      <c r="C222" s="77">
        <f>IFERROR(SUMIFS('교재재고'!D:D,'교재재고'!B:B,$A222),0)</f>
        <v>0</v>
      </c>
      <c r="D222" s="77">
        <f>IFERROR(SUMIFS('교재재고'!E:E,'교재재고'!B:B,$A222),0)</f>
        <v>0</v>
      </c>
      <c r="E222" s="78">
        <f>IFERROR(SUMIFS('교재재고'!F:F,'교재재고'!B:B,$A222),0)
+IFERROR(SUMIFS('교재재고'!I:I,'교재재고'!B:B,$A222),0)
+IFERROR(SUMIFS('교재재고'!L:L,'교재재고'!B:B,$A222),0)
+IFERROR(SUMIFS('교재재고'!O:O,'교재재고'!B:B,$A222),0)
+IFERROR(SUMIFS('교재재고'!R:R,'교재재고'!B:B,$A222),0)</f>
        <v>0</v>
      </c>
      <c r="F222" s="79">
        <f>IFERROR(SUMIFS('교재재고'!G:G,'교재재고'!B:B,$A222),0)
+IFERROR(SUMIFS('교재재고'!J:J,'교재재고'!B:B,$A222),0)
+IFERROR(SUMIFS('교재재고'!M:M,'교재재고'!B:B,$A222),0)
+IFERROR(SUMIFS('교재재고'!P:P,'교재재고'!B:B,$A222),0)
+IFERROR(SUMIFS('교재재고'!S:S,'교재재고'!B:B,$A222),0)</f>
        <v>0</v>
      </c>
      <c r="G222" s="79">
        <f>IFERROR(SUMIFS('교재재고'!H:H,'교재재고'!B:B,$A222),0)
+IFERROR(SUMIFS('교재재고'!K:K,'교재재고'!B:B,$A222),0)
+IFERROR(SUMIFS('교재재고'!N:N,'교재재고'!B:B,$A222),0)
+IFERROR(SUMIFS('교재재고'!Q:Q,'교재재고'!B:B,$A222),0)
+IFERROR(SUMIFS('교재재고'!T:T,'교재재고'!B:B,$A222),0)</f>
        <v>0</v>
      </c>
      <c r="H222" s="79">
        <f t="shared" si="2"/>
        <v>0</v>
      </c>
      <c r="I222" s="80">
        <f>IFERROR(SUMIFS('배부로그'!G:G,'배부로그'!D:D,$A222,'배부로그'!F:F,"창고"),0)</f>
        <v>0</v>
      </c>
      <c r="J222" s="59">
        <f>IFERROR(SUMIFS('배부로그'!G:G,'배부로그'!D:D,$A222,'배부로그'!F:F,"4층지원실"),0)</f>
        <v>0</v>
      </c>
      <c r="K222" s="59">
        <f>IFERROR(SUMIFS('배부로그'!G:G,'배부로그'!D:D,$A222,'배부로그'!F:F,"8층지원실"),0)</f>
        <v>0</v>
      </c>
      <c r="L222" s="81">
        <f t="shared" si="3"/>
        <v>0</v>
      </c>
      <c r="M222" s="59">
        <f>IFERROR(SUMIFS('회수로그'!H:H,'회수로그'!E:E,$A222,'회수로그'!G:G,"창고"),0)</f>
        <v>0</v>
      </c>
      <c r="N222" s="59">
        <f>IFERROR(SUMIFS('회수로그'!H:H,'회수로그'!E:E,$A222,'회수로그'!G:G,"4층지원실"),0)</f>
        <v>0</v>
      </c>
      <c r="O222" s="59">
        <f>IFERROR(SUMIFS('회수로그'!H:H,'회수로그'!E:E,$A222,'회수로그'!G:G,"8층지원실"),0)</f>
        <v>0</v>
      </c>
      <c r="P222" s="59">
        <f t="shared" si="4"/>
        <v>0</v>
      </c>
      <c r="Q222" s="59">
        <f>IFERROR(SUMIFS('재고이동로그'!F:F,'재고이동로그'!C:C,$A222,'재고이동로그'!D:D,"창고"),0)</f>
        <v>0</v>
      </c>
      <c r="R222" s="59">
        <f>IFERROR(SUMIFS('재고이동로그'!F:F,'재고이동로그'!C:C,$A222,'재고이동로그'!E:E,"4층지원실"),0)</f>
        <v>0</v>
      </c>
      <c r="S222" s="82">
        <f>IFERROR(SUMIFS('재고이동로그'!F:F,'재고이동로그'!C:C,$A222,'재고이동로그'!E:E,"8층지원실"),0)</f>
        <v>0</v>
      </c>
      <c r="T222" s="59">
        <f>IFERROR(SUMIFS('재고이동로그'!F:F,'재고이동로그'!C:C,$A222,'재고이동로그'!E:E,"창고"),0)</f>
        <v>0</v>
      </c>
      <c r="U222" s="59">
        <f>IFERROR(SUMIFS('재고이동로그'!F:F,'재고이동로그'!C:C,$A222,'재고이동로그'!E:E,"4층지원실"),0)</f>
        <v>0</v>
      </c>
      <c r="V222" s="59">
        <f>IFERROR(SUMIFS('재고이동로그'!F:F,'재고이동로그'!C:C,$A222,'재고이동로그'!E:E,"8층지원실"),0)</f>
        <v>0</v>
      </c>
      <c r="W222" s="83">
        <f t="shared" ref="W222:Y222" si="225">B222+E222-I222+M222-Q222+T222</f>
        <v>0</v>
      </c>
      <c r="X222" s="83">
        <f t="shared" si="225"/>
        <v>0</v>
      </c>
      <c r="Y222" s="83">
        <f t="shared" si="225"/>
        <v>0</v>
      </c>
      <c r="Z222" s="84">
        <f t="shared" si="6"/>
        <v>0</v>
      </c>
      <c r="AA222" s="59" t="str">
        <f t="shared" si="7"/>
        <v>부족</v>
      </c>
      <c r="AB222" s="59"/>
      <c r="AC222" s="59"/>
      <c r="AD222" s="59"/>
      <c r="AE222" s="59"/>
      <c r="AF222" s="59"/>
    </row>
    <row r="223" ht="15.75" customHeight="1">
      <c r="A223" s="59"/>
      <c r="B223" s="77">
        <f>IFERROR(SUMIFS('교재재고'!C:C,'교재재고'!B:B,$A223),0)</f>
        <v>0</v>
      </c>
      <c r="C223" s="77">
        <f>IFERROR(SUMIFS('교재재고'!D:D,'교재재고'!B:B,$A223),0)</f>
        <v>0</v>
      </c>
      <c r="D223" s="77">
        <f>IFERROR(SUMIFS('교재재고'!E:E,'교재재고'!B:B,$A223),0)</f>
        <v>0</v>
      </c>
      <c r="E223" s="78">
        <f>IFERROR(SUMIFS('교재재고'!F:F,'교재재고'!B:B,$A223),0)
+IFERROR(SUMIFS('교재재고'!I:I,'교재재고'!B:B,$A223),0)
+IFERROR(SUMIFS('교재재고'!L:L,'교재재고'!B:B,$A223),0)
+IFERROR(SUMIFS('교재재고'!O:O,'교재재고'!B:B,$A223),0)
+IFERROR(SUMIFS('교재재고'!R:R,'교재재고'!B:B,$A223),0)</f>
        <v>0</v>
      </c>
      <c r="F223" s="79">
        <f>IFERROR(SUMIFS('교재재고'!G:G,'교재재고'!B:B,$A223),0)
+IFERROR(SUMIFS('교재재고'!J:J,'교재재고'!B:B,$A223),0)
+IFERROR(SUMIFS('교재재고'!M:M,'교재재고'!B:B,$A223),0)
+IFERROR(SUMIFS('교재재고'!P:P,'교재재고'!B:B,$A223),0)
+IFERROR(SUMIFS('교재재고'!S:S,'교재재고'!B:B,$A223),0)</f>
        <v>0</v>
      </c>
      <c r="G223" s="79">
        <f>IFERROR(SUMIFS('교재재고'!H:H,'교재재고'!B:B,$A223),0)
+IFERROR(SUMIFS('교재재고'!K:K,'교재재고'!B:B,$A223),0)
+IFERROR(SUMIFS('교재재고'!N:N,'교재재고'!B:B,$A223),0)
+IFERROR(SUMIFS('교재재고'!Q:Q,'교재재고'!B:B,$A223),0)
+IFERROR(SUMIFS('교재재고'!T:T,'교재재고'!B:B,$A223),0)</f>
        <v>0</v>
      </c>
      <c r="H223" s="79">
        <f t="shared" si="2"/>
        <v>0</v>
      </c>
      <c r="I223" s="80">
        <f>IFERROR(SUMIFS('배부로그'!G:G,'배부로그'!D:D,$A223,'배부로그'!F:F,"창고"),0)</f>
        <v>0</v>
      </c>
      <c r="J223" s="59">
        <f>IFERROR(SUMIFS('배부로그'!G:G,'배부로그'!D:D,$A223,'배부로그'!F:F,"4층지원실"),0)</f>
        <v>0</v>
      </c>
      <c r="K223" s="59">
        <f>IFERROR(SUMIFS('배부로그'!G:G,'배부로그'!D:D,$A223,'배부로그'!F:F,"8층지원실"),0)</f>
        <v>0</v>
      </c>
      <c r="L223" s="81">
        <f t="shared" si="3"/>
        <v>0</v>
      </c>
      <c r="M223" s="59">
        <f>IFERROR(SUMIFS('회수로그'!H:H,'회수로그'!E:E,$A223,'회수로그'!G:G,"창고"),0)</f>
        <v>0</v>
      </c>
      <c r="N223" s="59">
        <f>IFERROR(SUMIFS('회수로그'!H:H,'회수로그'!E:E,$A223,'회수로그'!G:G,"4층지원실"),0)</f>
        <v>0</v>
      </c>
      <c r="O223" s="59">
        <f>IFERROR(SUMIFS('회수로그'!H:H,'회수로그'!E:E,$A223,'회수로그'!G:G,"8층지원실"),0)</f>
        <v>0</v>
      </c>
      <c r="P223" s="59">
        <f t="shared" si="4"/>
        <v>0</v>
      </c>
      <c r="Q223" s="59">
        <f>IFERROR(SUMIFS('재고이동로그'!F:F,'재고이동로그'!C:C,$A223,'재고이동로그'!D:D,"창고"),0)</f>
        <v>0</v>
      </c>
      <c r="R223" s="59">
        <f>IFERROR(SUMIFS('재고이동로그'!F:F,'재고이동로그'!C:C,$A223,'재고이동로그'!E:E,"4층지원실"),0)</f>
        <v>0</v>
      </c>
      <c r="S223" s="82">
        <f>IFERROR(SUMIFS('재고이동로그'!F:F,'재고이동로그'!C:C,$A223,'재고이동로그'!E:E,"8층지원실"),0)</f>
        <v>0</v>
      </c>
      <c r="T223" s="59">
        <f>IFERROR(SUMIFS('재고이동로그'!F:F,'재고이동로그'!C:C,$A223,'재고이동로그'!E:E,"창고"),0)</f>
        <v>0</v>
      </c>
      <c r="U223" s="59">
        <f>IFERROR(SUMIFS('재고이동로그'!F:F,'재고이동로그'!C:C,$A223,'재고이동로그'!E:E,"4층지원실"),0)</f>
        <v>0</v>
      </c>
      <c r="V223" s="59">
        <f>IFERROR(SUMIFS('재고이동로그'!F:F,'재고이동로그'!C:C,$A223,'재고이동로그'!E:E,"8층지원실"),0)</f>
        <v>0</v>
      </c>
      <c r="W223" s="83">
        <f t="shared" ref="W223:Y223" si="226">B223+E223-I223+M223-Q223+T223</f>
        <v>0</v>
      </c>
      <c r="X223" s="83">
        <f t="shared" si="226"/>
        <v>0</v>
      </c>
      <c r="Y223" s="83">
        <f t="shared" si="226"/>
        <v>0</v>
      </c>
      <c r="Z223" s="84">
        <f t="shared" si="6"/>
        <v>0</v>
      </c>
      <c r="AA223" s="59" t="str">
        <f t="shared" si="7"/>
        <v>부족</v>
      </c>
      <c r="AB223" s="59"/>
      <c r="AC223" s="59"/>
      <c r="AD223" s="59"/>
      <c r="AE223" s="59"/>
      <c r="AF223" s="59"/>
    </row>
    <row r="224" ht="15.75" customHeight="1">
      <c r="A224" s="59"/>
      <c r="B224" s="77">
        <f>IFERROR(SUMIFS('교재재고'!C:C,'교재재고'!B:B,$A224),0)</f>
        <v>0</v>
      </c>
      <c r="C224" s="77">
        <f>IFERROR(SUMIFS('교재재고'!D:D,'교재재고'!B:B,$A224),0)</f>
        <v>0</v>
      </c>
      <c r="D224" s="77">
        <f>IFERROR(SUMIFS('교재재고'!E:E,'교재재고'!B:B,$A224),0)</f>
        <v>0</v>
      </c>
      <c r="E224" s="78">
        <f>IFERROR(SUMIFS('교재재고'!F:F,'교재재고'!B:B,$A224),0)
+IFERROR(SUMIFS('교재재고'!I:I,'교재재고'!B:B,$A224),0)
+IFERROR(SUMIFS('교재재고'!L:L,'교재재고'!B:B,$A224),0)
+IFERROR(SUMIFS('교재재고'!O:O,'교재재고'!B:B,$A224),0)
+IFERROR(SUMIFS('교재재고'!R:R,'교재재고'!B:B,$A224),0)</f>
        <v>0</v>
      </c>
      <c r="F224" s="79">
        <f>IFERROR(SUMIFS('교재재고'!G:G,'교재재고'!B:B,$A224),0)
+IFERROR(SUMIFS('교재재고'!J:J,'교재재고'!B:B,$A224),0)
+IFERROR(SUMIFS('교재재고'!M:M,'교재재고'!B:B,$A224),0)
+IFERROR(SUMIFS('교재재고'!P:P,'교재재고'!B:B,$A224),0)
+IFERROR(SUMIFS('교재재고'!S:S,'교재재고'!B:B,$A224),0)</f>
        <v>0</v>
      </c>
      <c r="G224" s="79">
        <f>IFERROR(SUMIFS('교재재고'!H:H,'교재재고'!B:B,$A224),0)
+IFERROR(SUMIFS('교재재고'!K:K,'교재재고'!B:B,$A224),0)
+IFERROR(SUMIFS('교재재고'!N:N,'교재재고'!B:B,$A224),0)
+IFERROR(SUMIFS('교재재고'!Q:Q,'교재재고'!B:B,$A224),0)
+IFERROR(SUMIFS('교재재고'!T:T,'교재재고'!B:B,$A224),0)</f>
        <v>0</v>
      </c>
      <c r="H224" s="79">
        <f t="shared" si="2"/>
        <v>0</v>
      </c>
      <c r="I224" s="80">
        <f>IFERROR(SUMIFS('배부로그'!G:G,'배부로그'!D:D,$A224,'배부로그'!F:F,"창고"),0)</f>
        <v>0</v>
      </c>
      <c r="J224" s="59">
        <f>IFERROR(SUMIFS('배부로그'!G:G,'배부로그'!D:D,$A224,'배부로그'!F:F,"4층지원실"),0)</f>
        <v>0</v>
      </c>
      <c r="K224" s="59">
        <f>IFERROR(SUMIFS('배부로그'!G:G,'배부로그'!D:D,$A224,'배부로그'!F:F,"8층지원실"),0)</f>
        <v>0</v>
      </c>
      <c r="L224" s="81">
        <f t="shared" si="3"/>
        <v>0</v>
      </c>
      <c r="M224" s="59">
        <f>IFERROR(SUMIFS('회수로그'!H:H,'회수로그'!E:E,$A224,'회수로그'!G:G,"창고"),0)</f>
        <v>0</v>
      </c>
      <c r="N224" s="59">
        <f>IFERROR(SUMIFS('회수로그'!H:H,'회수로그'!E:E,$A224,'회수로그'!G:G,"4층지원실"),0)</f>
        <v>0</v>
      </c>
      <c r="O224" s="59">
        <f>IFERROR(SUMIFS('회수로그'!H:H,'회수로그'!E:E,$A224,'회수로그'!G:G,"8층지원실"),0)</f>
        <v>0</v>
      </c>
      <c r="P224" s="59">
        <f t="shared" si="4"/>
        <v>0</v>
      </c>
      <c r="Q224" s="59">
        <f>IFERROR(SUMIFS('재고이동로그'!F:F,'재고이동로그'!C:C,$A224,'재고이동로그'!D:D,"창고"),0)</f>
        <v>0</v>
      </c>
      <c r="R224" s="59">
        <f>IFERROR(SUMIFS('재고이동로그'!F:F,'재고이동로그'!C:C,$A224,'재고이동로그'!E:E,"4층지원실"),0)</f>
        <v>0</v>
      </c>
      <c r="S224" s="82">
        <f>IFERROR(SUMIFS('재고이동로그'!F:F,'재고이동로그'!C:C,$A224,'재고이동로그'!E:E,"8층지원실"),0)</f>
        <v>0</v>
      </c>
      <c r="T224" s="59">
        <f>IFERROR(SUMIFS('재고이동로그'!F:F,'재고이동로그'!C:C,$A224,'재고이동로그'!E:E,"창고"),0)</f>
        <v>0</v>
      </c>
      <c r="U224" s="59">
        <f>IFERROR(SUMIFS('재고이동로그'!F:F,'재고이동로그'!C:C,$A224,'재고이동로그'!E:E,"4층지원실"),0)</f>
        <v>0</v>
      </c>
      <c r="V224" s="59">
        <f>IFERROR(SUMIFS('재고이동로그'!F:F,'재고이동로그'!C:C,$A224,'재고이동로그'!E:E,"8층지원실"),0)</f>
        <v>0</v>
      </c>
      <c r="W224" s="83">
        <f t="shared" ref="W224:Y224" si="227">B224+E224-I224+M224-Q224+T224</f>
        <v>0</v>
      </c>
      <c r="X224" s="83">
        <f t="shared" si="227"/>
        <v>0</v>
      </c>
      <c r="Y224" s="83">
        <f t="shared" si="227"/>
        <v>0</v>
      </c>
      <c r="Z224" s="84">
        <f t="shared" si="6"/>
        <v>0</v>
      </c>
      <c r="AA224" s="59" t="str">
        <f t="shared" si="7"/>
        <v>부족</v>
      </c>
      <c r="AB224" s="59"/>
      <c r="AC224" s="59"/>
      <c r="AD224" s="59"/>
      <c r="AE224" s="59"/>
      <c r="AF224" s="59"/>
    </row>
    <row r="225" ht="15.75" customHeight="1">
      <c r="A225" s="59"/>
      <c r="B225" s="77">
        <f>IFERROR(SUMIFS('교재재고'!C:C,'교재재고'!B:B,$A225),0)</f>
        <v>0</v>
      </c>
      <c r="C225" s="77">
        <f>IFERROR(SUMIFS('교재재고'!D:D,'교재재고'!B:B,$A225),0)</f>
        <v>0</v>
      </c>
      <c r="D225" s="77">
        <f>IFERROR(SUMIFS('교재재고'!E:E,'교재재고'!B:B,$A225),0)</f>
        <v>0</v>
      </c>
      <c r="E225" s="78">
        <f>IFERROR(SUMIFS('교재재고'!F:F,'교재재고'!B:B,$A225),0)
+IFERROR(SUMIFS('교재재고'!I:I,'교재재고'!B:B,$A225),0)
+IFERROR(SUMIFS('교재재고'!L:L,'교재재고'!B:B,$A225),0)
+IFERROR(SUMIFS('교재재고'!O:O,'교재재고'!B:B,$A225),0)
+IFERROR(SUMIFS('교재재고'!R:R,'교재재고'!B:B,$A225),0)</f>
        <v>0</v>
      </c>
      <c r="F225" s="79">
        <f>IFERROR(SUMIFS('교재재고'!G:G,'교재재고'!B:B,$A225),0)
+IFERROR(SUMIFS('교재재고'!J:J,'교재재고'!B:B,$A225),0)
+IFERROR(SUMIFS('교재재고'!M:M,'교재재고'!B:B,$A225),0)
+IFERROR(SUMIFS('교재재고'!P:P,'교재재고'!B:B,$A225),0)
+IFERROR(SUMIFS('교재재고'!S:S,'교재재고'!B:B,$A225),0)</f>
        <v>0</v>
      </c>
      <c r="G225" s="79">
        <f>IFERROR(SUMIFS('교재재고'!H:H,'교재재고'!B:B,$A225),0)
+IFERROR(SUMIFS('교재재고'!K:K,'교재재고'!B:B,$A225),0)
+IFERROR(SUMIFS('교재재고'!N:N,'교재재고'!B:B,$A225),0)
+IFERROR(SUMIFS('교재재고'!Q:Q,'교재재고'!B:B,$A225),0)
+IFERROR(SUMIFS('교재재고'!T:T,'교재재고'!B:B,$A225),0)</f>
        <v>0</v>
      </c>
      <c r="H225" s="79">
        <f t="shared" si="2"/>
        <v>0</v>
      </c>
      <c r="I225" s="80">
        <f>IFERROR(SUMIFS('배부로그'!G:G,'배부로그'!D:D,$A225,'배부로그'!F:F,"창고"),0)</f>
        <v>0</v>
      </c>
      <c r="J225" s="59">
        <f>IFERROR(SUMIFS('배부로그'!G:G,'배부로그'!D:D,$A225,'배부로그'!F:F,"4층지원실"),0)</f>
        <v>0</v>
      </c>
      <c r="K225" s="59">
        <f>IFERROR(SUMIFS('배부로그'!G:G,'배부로그'!D:D,$A225,'배부로그'!F:F,"8층지원실"),0)</f>
        <v>0</v>
      </c>
      <c r="L225" s="81">
        <f t="shared" si="3"/>
        <v>0</v>
      </c>
      <c r="M225" s="59">
        <f>IFERROR(SUMIFS('회수로그'!H:H,'회수로그'!E:E,$A225,'회수로그'!G:G,"창고"),0)</f>
        <v>0</v>
      </c>
      <c r="N225" s="59">
        <f>IFERROR(SUMIFS('회수로그'!H:H,'회수로그'!E:E,$A225,'회수로그'!G:G,"4층지원실"),0)</f>
        <v>0</v>
      </c>
      <c r="O225" s="59">
        <f>IFERROR(SUMIFS('회수로그'!H:H,'회수로그'!E:E,$A225,'회수로그'!G:G,"8층지원실"),0)</f>
        <v>0</v>
      </c>
      <c r="P225" s="59">
        <f t="shared" si="4"/>
        <v>0</v>
      </c>
      <c r="Q225" s="59">
        <f>IFERROR(SUMIFS('재고이동로그'!F:F,'재고이동로그'!C:C,$A225,'재고이동로그'!D:D,"창고"),0)</f>
        <v>0</v>
      </c>
      <c r="R225" s="59">
        <f>IFERROR(SUMIFS('재고이동로그'!F:F,'재고이동로그'!C:C,$A225,'재고이동로그'!E:E,"4층지원실"),0)</f>
        <v>0</v>
      </c>
      <c r="S225" s="82">
        <f>IFERROR(SUMIFS('재고이동로그'!F:F,'재고이동로그'!C:C,$A225,'재고이동로그'!E:E,"8층지원실"),0)</f>
        <v>0</v>
      </c>
      <c r="T225" s="59">
        <f>IFERROR(SUMIFS('재고이동로그'!F:F,'재고이동로그'!C:C,$A225,'재고이동로그'!E:E,"창고"),0)</f>
        <v>0</v>
      </c>
      <c r="U225" s="59">
        <f>IFERROR(SUMIFS('재고이동로그'!F:F,'재고이동로그'!C:C,$A225,'재고이동로그'!E:E,"4층지원실"),0)</f>
        <v>0</v>
      </c>
      <c r="V225" s="59">
        <f>IFERROR(SUMIFS('재고이동로그'!F:F,'재고이동로그'!C:C,$A225,'재고이동로그'!E:E,"8층지원실"),0)</f>
        <v>0</v>
      </c>
      <c r="W225" s="83">
        <f t="shared" ref="W225:Y225" si="228">B225+E225-I225+M225-Q225+T225</f>
        <v>0</v>
      </c>
      <c r="X225" s="83">
        <f t="shared" si="228"/>
        <v>0</v>
      </c>
      <c r="Y225" s="83">
        <f t="shared" si="228"/>
        <v>0</v>
      </c>
      <c r="Z225" s="84">
        <f t="shared" si="6"/>
        <v>0</v>
      </c>
      <c r="AA225" s="59" t="str">
        <f t="shared" si="7"/>
        <v>부족</v>
      </c>
      <c r="AB225" s="59"/>
      <c r="AC225" s="59"/>
      <c r="AD225" s="59"/>
      <c r="AE225" s="59"/>
      <c r="AF225" s="59"/>
    </row>
    <row r="226" ht="15.75" customHeight="1">
      <c r="A226" s="59"/>
      <c r="B226" s="77">
        <f>IFERROR(SUMIFS('교재재고'!C:C,'교재재고'!B:B,$A226),0)</f>
        <v>0</v>
      </c>
      <c r="C226" s="77">
        <f>IFERROR(SUMIFS('교재재고'!D:D,'교재재고'!B:B,$A226),0)</f>
        <v>0</v>
      </c>
      <c r="D226" s="77">
        <f>IFERROR(SUMIFS('교재재고'!E:E,'교재재고'!B:B,$A226),0)</f>
        <v>0</v>
      </c>
      <c r="E226" s="78">
        <f>IFERROR(SUMIFS('교재재고'!F:F,'교재재고'!B:B,$A226),0)
+IFERROR(SUMIFS('교재재고'!I:I,'교재재고'!B:B,$A226),0)
+IFERROR(SUMIFS('교재재고'!L:L,'교재재고'!B:B,$A226),0)
+IFERROR(SUMIFS('교재재고'!O:O,'교재재고'!B:B,$A226),0)
+IFERROR(SUMIFS('교재재고'!R:R,'교재재고'!B:B,$A226),0)</f>
        <v>0</v>
      </c>
      <c r="F226" s="79">
        <f>IFERROR(SUMIFS('교재재고'!G:G,'교재재고'!B:B,$A226),0)
+IFERROR(SUMIFS('교재재고'!J:J,'교재재고'!B:B,$A226),0)
+IFERROR(SUMIFS('교재재고'!M:M,'교재재고'!B:B,$A226),0)
+IFERROR(SUMIFS('교재재고'!P:P,'교재재고'!B:B,$A226),0)
+IFERROR(SUMIFS('교재재고'!S:S,'교재재고'!B:B,$A226),0)</f>
        <v>0</v>
      </c>
      <c r="G226" s="79">
        <f>IFERROR(SUMIFS('교재재고'!H:H,'교재재고'!B:B,$A226),0)
+IFERROR(SUMIFS('교재재고'!K:K,'교재재고'!B:B,$A226),0)
+IFERROR(SUMIFS('교재재고'!N:N,'교재재고'!B:B,$A226),0)
+IFERROR(SUMIFS('교재재고'!Q:Q,'교재재고'!B:B,$A226),0)
+IFERROR(SUMIFS('교재재고'!T:T,'교재재고'!B:B,$A226),0)</f>
        <v>0</v>
      </c>
      <c r="H226" s="79">
        <f t="shared" si="2"/>
        <v>0</v>
      </c>
      <c r="I226" s="80">
        <f>IFERROR(SUMIFS('배부로그'!G:G,'배부로그'!D:D,$A226,'배부로그'!F:F,"창고"),0)</f>
        <v>0</v>
      </c>
      <c r="J226" s="59">
        <f>IFERROR(SUMIFS('배부로그'!G:G,'배부로그'!D:D,$A226,'배부로그'!F:F,"4층지원실"),0)</f>
        <v>0</v>
      </c>
      <c r="K226" s="59">
        <f>IFERROR(SUMIFS('배부로그'!G:G,'배부로그'!D:D,$A226,'배부로그'!F:F,"8층지원실"),0)</f>
        <v>0</v>
      </c>
      <c r="L226" s="81">
        <f t="shared" si="3"/>
        <v>0</v>
      </c>
      <c r="M226" s="59">
        <f>IFERROR(SUMIFS('회수로그'!H:H,'회수로그'!E:E,$A226,'회수로그'!G:G,"창고"),0)</f>
        <v>0</v>
      </c>
      <c r="N226" s="59">
        <f>IFERROR(SUMIFS('회수로그'!H:H,'회수로그'!E:E,$A226,'회수로그'!G:G,"4층지원실"),0)</f>
        <v>0</v>
      </c>
      <c r="O226" s="59">
        <f>IFERROR(SUMIFS('회수로그'!H:H,'회수로그'!E:E,$A226,'회수로그'!G:G,"8층지원실"),0)</f>
        <v>0</v>
      </c>
      <c r="P226" s="59">
        <f t="shared" si="4"/>
        <v>0</v>
      </c>
      <c r="Q226" s="59">
        <f>IFERROR(SUMIFS('재고이동로그'!F:F,'재고이동로그'!C:C,$A226,'재고이동로그'!D:D,"창고"),0)</f>
        <v>0</v>
      </c>
      <c r="R226" s="59">
        <f>IFERROR(SUMIFS('재고이동로그'!F:F,'재고이동로그'!C:C,$A226,'재고이동로그'!E:E,"4층지원실"),0)</f>
        <v>0</v>
      </c>
      <c r="S226" s="82">
        <f>IFERROR(SUMIFS('재고이동로그'!F:F,'재고이동로그'!C:C,$A226,'재고이동로그'!E:E,"8층지원실"),0)</f>
        <v>0</v>
      </c>
      <c r="T226" s="59">
        <f>IFERROR(SUMIFS('재고이동로그'!F:F,'재고이동로그'!C:C,$A226,'재고이동로그'!E:E,"창고"),0)</f>
        <v>0</v>
      </c>
      <c r="U226" s="59">
        <f>IFERROR(SUMIFS('재고이동로그'!F:F,'재고이동로그'!C:C,$A226,'재고이동로그'!E:E,"4층지원실"),0)</f>
        <v>0</v>
      </c>
      <c r="V226" s="59">
        <f>IFERROR(SUMIFS('재고이동로그'!F:F,'재고이동로그'!C:C,$A226,'재고이동로그'!E:E,"8층지원실"),0)</f>
        <v>0</v>
      </c>
      <c r="W226" s="83">
        <f t="shared" ref="W226:Y226" si="229">B226+E226-I226+M226-Q226+T226</f>
        <v>0</v>
      </c>
      <c r="X226" s="83">
        <f t="shared" si="229"/>
        <v>0</v>
      </c>
      <c r="Y226" s="83">
        <f t="shared" si="229"/>
        <v>0</v>
      </c>
      <c r="Z226" s="84">
        <f t="shared" si="6"/>
        <v>0</v>
      </c>
      <c r="AA226" s="59" t="str">
        <f t="shared" si="7"/>
        <v>부족</v>
      </c>
      <c r="AB226" s="59"/>
      <c r="AC226" s="59"/>
      <c r="AD226" s="59"/>
      <c r="AE226" s="59"/>
      <c r="AF226" s="59"/>
    </row>
    <row r="227" ht="15.75" customHeight="1">
      <c r="A227" s="59"/>
      <c r="B227" s="59"/>
      <c r="C227" s="59"/>
      <c r="D227" s="59"/>
      <c r="E227" s="63"/>
      <c r="F227" s="64"/>
      <c r="G227" s="64"/>
      <c r="H227" s="64"/>
      <c r="I227" s="70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70"/>
      <c r="AA227" s="59"/>
      <c r="AB227" s="59"/>
      <c r="AC227" s="59"/>
      <c r="AD227" s="59"/>
      <c r="AE227" s="59"/>
      <c r="AF227" s="59"/>
    </row>
    <row r="228" ht="15.75" customHeight="1">
      <c r="A228" s="59"/>
      <c r="B228" s="59"/>
      <c r="C228" s="59"/>
      <c r="D228" s="59"/>
      <c r="E228" s="63"/>
      <c r="F228" s="64"/>
      <c r="G228" s="64"/>
      <c r="H228" s="64"/>
      <c r="I228" s="70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70"/>
      <c r="AA228" s="59"/>
      <c r="AB228" s="59"/>
      <c r="AC228" s="59"/>
      <c r="AD228" s="59"/>
      <c r="AE228" s="59"/>
      <c r="AF228" s="59"/>
    </row>
    <row r="229" ht="15.75" customHeight="1">
      <c r="A229" s="59"/>
      <c r="B229" s="59"/>
      <c r="C229" s="59"/>
      <c r="D229" s="59"/>
      <c r="E229" s="63"/>
      <c r="F229" s="64"/>
      <c r="G229" s="64"/>
      <c r="H229" s="64"/>
      <c r="I229" s="70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70"/>
      <c r="AA229" s="59"/>
      <c r="AB229" s="59"/>
      <c r="AC229" s="59"/>
      <c r="AD229" s="59"/>
      <c r="AE229" s="59"/>
      <c r="AF229" s="59"/>
    </row>
    <row r="230" ht="15.75" customHeight="1">
      <c r="A230" s="59"/>
      <c r="B230" s="59"/>
      <c r="C230" s="59"/>
      <c r="D230" s="59"/>
      <c r="E230" s="63"/>
      <c r="F230" s="64"/>
      <c r="G230" s="64"/>
      <c r="H230" s="64"/>
      <c r="I230" s="70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70"/>
      <c r="AA230" s="59"/>
      <c r="AB230" s="59"/>
      <c r="AC230" s="59"/>
      <c r="AD230" s="59"/>
      <c r="AE230" s="59"/>
      <c r="AF230" s="59"/>
    </row>
    <row r="231" ht="15.75" customHeight="1">
      <c r="A231" s="59"/>
      <c r="B231" s="59"/>
      <c r="C231" s="59"/>
      <c r="D231" s="59"/>
      <c r="E231" s="63"/>
      <c r="F231" s="64"/>
      <c r="G231" s="64"/>
      <c r="H231" s="64"/>
      <c r="I231" s="70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70"/>
      <c r="AA231" s="59"/>
      <c r="AB231" s="59"/>
      <c r="AC231" s="59"/>
      <c r="AD231" s="59"/>
      <c r="AE231" s="59"/>
      <c r="AF231" s="59"/>
    </row>
    <row r="232" ht="15.75" customHeight="1">
      <c r="A232" s="59"/>
      <c r="B232" s="59"/>
      <c r="C232" s="59"/>
      <c r="D232" s="59"/>
      <c r="E232" s="63"/>
      <c r="F232" s="64"/>
      <c r="G232" s="64"/>
      <c r="H232" s="64"/>
      <c r="I232" s="70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70"/>
      <c r="AA232" s="59"/>
      <c r="AB232" s="59"/>
      <c r="AC232" s="59"/>
      <c r="AD232" s="59"/>
      <c r="AE232" s="59"/>
      <c r="AF232" s="59"/>
    </row>
    <row r="233" ht="15.75" customHeight="1">
      <c r="A233" s="59"/>
      <c r="B233" s="59"/>
      <c r="C233" s="59"/>
      <c r="D233" s="59"/>
      <c r="E233" s="63"/>
      <c r="F233" s="64"/>
      <c r="G233" s="64"/>
      <c r="H233" s="64"/>
      <c r="I233" s="70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70"/>
      <c r="AA233" s="59"/>
      <c r="AB233" s="59"/>
      <c r="AC233" s="59"/>
      <c r="AD233" s="59"/>
      <c r="AE233" s="59"/>
      <c r="AF233" s="59"/>
    </row>
    <row r="234" ht="15.75" customHeight="1">
      <c r="A234" s="59"/>
      <c r="B234" s="59"/>
      <c r="C234" s="59"/>
      <c r="D234" s="59"/>
      <c r="E234" s="63"/>
      <c r="F234" s="64"/>
      <c r="G234" s="64"/>
      <c r="H234" s="64"/>
      <c r="I234" s="70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70"/>
      <c r="AA234" s="59"/>
      <c r="AB234" s="59"/>
      <c r="AC234" s="59"/>
      <c r="AD234" s="59"/>
      <c r="AE234" s="59"/>
      <c r="AF234" s="59"/>
    </row>
    <row r="235" ht="15.75" customHeight="1">
      <c r="A235" s="59"/>
      <c r="B235" s="59"/>
      <c r="C235" s="59"/>
      <c r="D235" s="59"/>
      <c r="E235" s="63"/>
      <c r="F235" s="64"/>
      <c r="G235" s="64"/>
      <c r="H235" s="64"/>
      <c r="I235" s="70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70"/>
      <c r="AA235" s="59"/>
      <c r="AB235" s="59"/>
      <c r="AC235" s="59"/>
      <c r="AD235" s="59"/>
      <c r="AE235" s="59"/>
      <c r="AF235" s="59"/>
    </row>
    <row r="236" ht="15.75" customHeight="1">
      <c r="A236" s="59"/>
      <c r="B236" s="59"/>
      <c r="C236" s="59"/>
      <c r="D236" s="59"/>
      <c r="E236" s="63"/>
      <c r="F236" s="64"/>
      <c r="G236" s="64"/>
      <c r="H236" s="64"/>
      <c r="I236" s="70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70"/>
      <c r="AA236" s="59"/>
      <c r="AB236" s="59"/>
      <c r="AC236" s="59"/>
      <c r="AD236" s="59"/>
      <c r="AE236" s="59"/>
      <c r="AF236" s="59"/>
    </row>
    <row r="237" ht="15.75" customHeight="1">
      <c r="A237" s="59"/>
      <c r="B237" s="59"/>
      <c r="C237" s="59"/>
      <c r="D237" s="59"/>
      <c r="E237" s="63"/>
      <c r="F237" s="64"/>
      <c r="G237" s="64"/>
      <c r="H237" s="64"/>
      <c r="I237" s="70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70"/>
      <c r="AA237" s="59"/>
      <c r="AB237" s="59"/>
      <c r="AC237" s="59"/>
      <c r="AD237" s="59"/>
      <c r="AE237" s="59"/>
      <c r="AF237" s="59"/>
    </row>
    <row r="238" ht="15.75" customHeight="1">
      <c r="A238" s="59"/>
      <c r="B238" s="59"/>
      <c r="C238" s="59"/>
      <c r="D238" s="59"/>
      <c r="E238" s="63"/>
      <c r="F238" s="64"/>
      <c r="G238" s="64"/>
      <c r="H238" s="64"/>
      <c r="I238" s="70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70"/>
      <c r="AA238" s="59"/>
      <c r="AB238" s="59"/>
      <c r="AC238" s="59"/>
      <c r="AD238" s="59"/>
      <c r="AE238" s="59"/>
      <c r="AF238" s="59"/>
    </row>
    <row r="239" ht="15.75" customHeight="1">
      <c r="A239" s="59"/>
      <c r="B239" s="59"/>
      <c r="C239" s="59"/>
      <c r="D239" s="59"/>
      <c r="E239" s="63"/>
      <c r="F239" s="64"/>
      <c r="G239" s="64"/>
      <c r="H239" s="64"/>
      <c r="I239" s="70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70"/>
      <c r="AA239" s="59"/>
      <c r="AB239" s="59"/>
      <c r="AC239" s="59"/>
      <c r="AD239" s="59"/>
      <c r="AE239" s="59"/>
      <c r="AF239" s="59"/>
    </row>
    <row r="240" ht="15.75" customHeight="1">
      <c r="A240" s="59"/>
      <c r="B240" s="59"/>
      <c r="C240" s="59"/>
      <c r="D240" s="59"/>
      <c r="E240" s="63"/>
      <c r="F240" s="64"/>
      <c r="G240" s="64"/>
      <c r="H240" s="64"/>
      <c r="I240" s="70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70"/>
      <c r="AA240" s="59"/>
      <c r="AB240" s="59"/>
      <c r="AC240" s="59"/>
      <c r="AD240" s="59"/>
      <c r="AE240" s="59"/>
      <c r="AF240" s="59"/>
    </row>
    <row r="241" ht="15.75" customHeight="1">
      <c r="A241" s="59"/>
      <c r="B241" s="59"/>
      <c r="C241" s="59"/>
      <c r="D241" s="59"/>
      <c r="E241" s="63"/>
      <c r="F241" s="64"/>
      <c r="G241" s="64"/>
      <c r="H241" s="64"/>
      <c r="I241" s="70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70"/>
      <c r="AA241" s="59"/>
      <c r="AB241" s="59"/>
      <c r="AC241" s="59"/>
      <c r="AD241" s="59"/>
      <c r="AE241" s="59"/>
      <c r="AF241" s="59"/>
    </row>
    <row r="242" ht="15.75" customHeight="1">
      <c r="A242" s="59"/>
      <c r="B242" s="59"/>
      <c r="C242" s="59"/>
      <c r="D242" s="59"/>
      <c r="E242" s="63"/>
      <c r="F242" s="64"/>
      <c r="G242" s="64"/>
      <c r="H242" s="64"/>
      <c r="I242" s="70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70"/>
      <c r="AA242" s="59"/>
      <c r="AB242" s="59"/>
      <c r="AC242" s="59"/>
      <c r="AD242" s="59"/>
      <c r="AE242" s="59"/>
      <c r="AF242" s="59"/>
    </row>
    <row r="243" ht="15.75" customHeight="1">
      <c r="A243" s="59"/>
      <c r="B243" s="59"/>
      <c r="C243" s="59"/>
      <c r="D243" s="59"/>
      <c r="E243" s="63"/>
      <c r="F243" s="64"/>
      <c r="G243" s="64"/>
      <c r="H243" s="64"/>
      <c r="I243" s="70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70"/>
      <c r="AA243" s="59"/>
      <c r="AB243" s="59"/>
      <c r="AC243" s="59"/>
      <c r="AD243" s="59"/>
      <c r="AE243" s="59"/>
      <c r="AF243" s="59"/>
    </row>
    <row r="244" ht="15.75" customHeight="1">
      <c r="A244" s="59"/>
      <c r="B244" s="59"/>
      <c r="C244" s="59"/>
      <c r="D244" s="59"/>
      <c r="E244" s="63"/>
      <c r="F244" s="64"/>
      <c r="G244" s="64"/>
      <c r="H244" s="64"/>
      <c r="I244" s="70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70"/>
      <c r="AA244" s="59"/>
      <c r="AB244" s="59"/>
      <c r="AC244" s="59"/>
      <c r="AD244" s="59"/>
      <c r="AE244" s="59"/>
      <c r="AF244" s="59"/>
    </row>
    <row r="245" ht="15.75" customHeight="1">
      <c r="A245" s="59"/>
      <c r="B245" s="59"/>
      <c r="C245" s="59"/>
      <c r="D245" s="59"/>
      <c r="E245" s="63"/>
      <c r="F245" s="64"/>
      <c r="G245" s="64"/>
      <c r="H245" s="64"/>
      <c r="I245" s="70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70"/>
      <c r="AA245" s="59"/>
      <c r="AB245" s="59"/>
      <c r="AC245" s="59"/>
      <c r="AD245" s="59"/>
      <c r="AE245" s="59"/>
      <c r="AF245" s="59"/>
    </row>
    <row r="246" ht="15.75" customHeight="1">
      <c r="A246" s="59"/>
      <c r="B246" s="59"/>
      <c r="C246" s="59"/>
      <c r="D246" s="59"/>
      <c r="E246" s="63"/>
      <c r="F246" s="64"/>
      <c r="G246" s="64"/>
      <c r="H246" s="64"/>
      <c r="I246" s="70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70"/>
      <c r="AA246" s="59"/>
      <c r="AB246" s="59"/>
      <c r="AC246" s="59"/>
      <c r="AD246" s="59"/>
      <c r="AE246" s="59"/>
      <c r="AF246" s="59"/>
    </row>
    <row r="247" ht="15.75" customHeight="1">
      <c r="A247" s="59"/>
      <c r="B247" s="59"/>
      <c r="C247" s="59"/>
      <c r="D247" s="59"/>
      <c r="E247" s="63"/>
      <c r="F247" s="64"/>
      <c r="G247" s="64"/>
      <c r="H247" s="64"/>
      <c r="I247" s="70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70"/>
      <c r="AA247" s="59"/>
      <c r="AB247" s="59"/>
      <c r="AC247" s="59"/>
      <c r="AD247" s="59"/>
      <c r="AE247" s="59"/>
      <c r="AF247" s="59"/>
    </row>
    <row r="248" ht="15.75" customHeight="1">
      <c r="A248" s="59"/>
      <c r="B248" s="59"/>
      <c r="C248" s="59"/>
      <c r="D248" s="59"/>
      <c r="E248" s="63"/>
      <c r="F248" s="64"/>
      <c r="G248" s="64"/>
      <c r="H248" s="64"/>
      <c r="I248" s="70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70"/>
      <c r="AA248" s="59"/>
      <c r="AB248" s="59"/>
      <c r="AC248" s="59"/>
      <c r="AD248" s="59"/>
      <c r="AE248" s="59"/>
      <c r="AF248" s="59"/>
    </row>
    <row r="249" ht="15.75" customHeight="1">
      <c r="A249" s="59"/>
      <c r="B249" s="59"/>
      <c r="C249" s="59"/>
      <c r="D249" s="59"/>
      <c r="E249" s="63"/>
      <c r="F249" s="64"/>
      <c r="G249" s="64"/>
      <c r="H249" s="64"/>
      <c r="I249" s="70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70"/>
      <c r="AA249" s="59"/>
      <c r="AB249" s="59"/>
      <c r="AC249" s="59"/>
      <c r="AD249" s="59"/>
      <c r="AE249" s="59"/>
      <c r="AF249" s="59"/>
    </row>
    <row r="250" ht="15.75" customHeight="1">
      <c r="A250" s="59"/>
      <c r="B250" s="59"/>
      <c r="C250" s="59"/>
      <c r="D250" s="59"/>
      <c r="E250" s="63"/>
      <c r="F250" s="64"/>
      <c r="G250" s="64"/>
      <c r="H250" s="64"/>
      <c r="I250" s="70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70"/>
      <c r="AA250" s="59"/>
      <c r="AB250" s="59"/>
      <c r="AC250" s="59"/>
      <c r="AD250" s="59"/>
      <c r="AE250" s="59"/>
      <c r="AF250" s="59"/>
    </row>
    <row r="251" ht="15.75" customHeight="1">
      <c r="A251" s="59"/>
      <c r="B251" s="59"/>
      <c r="C251" s="59"/>
      <c r="D251" s="59"/>
      <c r="E251" s="63"/>
      <c r="F251" s="64"/>
      <c r="G251" s="64"/>
      <c r="H251" s="64"/>
      <c r="I251" s="70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70"/>
      <c r="AA251" s="59"/>
      <c r="AB251" s="59"/>
      <c r="AC251" s="59"/>
      <c r="AD251" s="59"/>
      <c r="AE251" s="59"/>
      <c r="AF251" s="59"/>
    </row>
    <row r="252" ht="15.75" customHeight="1">
      <c r="A252" s="59"/>
      <c r="B252" s="59"/>
      <c r="C252" s="59"/>
      <c r="D252" s="59"/>
      <c r="E252" s="63"/>
      <c r="F252" s="64"/>
      <c r="G252" s="64"/>
      <c r="H252" s="64"/>
      <c r="I252" s="70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70"/>
      <c r="AA252" s="59"/>
      <c r="AB252" s="59"/>
      <c r="AC252" s="59"/>
      <c r="AD252" s="59"/>
      <c r="AE252" s="59"/>
      <c r="AF252" s="59"/>
    </row>
    <row r="253" ht="15.75" customHeight="1">
      <c r="A253" s="59"/>
      <c r="B253" s="59"/>
      <c r="C253" s="59"/>
      <c r="D253" s="59"/>
      <c r="E253" s="63"/>
      <c r="F253" s="64"/>
      <c r="G253" s="64"/>
      <c r="H253" s="64"/>
      <c r="I253" s="70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70"/>
      <c r="AA253" s="59"/>
      <c r="AB253" s="59"/>
      <c r="AC253" s="59"/>
      <c r="AD253" s="59"/>
      <c r="AE253" s="59"/>
      <c r="AF253" s="59"/>
    </row>
    <row r="254" ht="15.75" customHeight="1">
      <c r="A254" s="59"/>
      <c r="B254" s="59"/>
      <c r="C254" s="59"/>
      <c r="D254" s="59"/>
      <c r="E254" s="63"/>
      <c r="F254" s="64"/>
      <c r="G254" s="64"/>
      <c r="H254" s="64"/>
      <c r="I254" s="70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70"/>
      <c r="AA254" s="59"/>
      <c r="AB254" s="59"/>
      <c r="AC254" s="59"/>
      <c r="AD254" s="59"/>
      <c r="AE254" s="59"/>
      <c r="AF254" s="59"/>
    </row>
    <row r="255" ht="15.75" customHeight="1">
      <c r="A255" s="59"/>
      <c r="B255" s="59"/>
      <c r="C255" s="59"/>
      <c r="D255" s="59"/>
      <c r="E255" s="63"/>
      <c r="F255" s="64"/>
      <c r="G255" s="64"/>
      <c r="H255" s="64"/>
      <c r="I255" s="70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70"/>
      <c r="AA255" s="59"/>
      <c r="AB255" s="59"/>
      <c r="AC255" s="59"/>
      <c r="AD255" s="59"/>
      <c r="AE255" s="59"/>
      <c r="AF255" s="59"/>
    </row>
    <row r="256" ht="15.75" customHeight="1">
      <c r="A256" s="59"/>
      <c r="B256" s="59"/>
      <c r="C256" s="59"/>
      <c r="D256" s="59"/>
      <c r="E256" s="63"/>
      <c r="F256" s="64"/>
      <c r="G256" s="64"/>
      <c r="H256" s="64"/>
      <c r="I256" s="70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70"/>
      <c r="AA256" s="59"/>
      <c r="AB256" s="59"/>
      <c r="AC256" s="59"/>
      <c r="AD256" s="59"/>
      <c r="AE256" s="59"/>
      <c r="AF256" s="59"/>
    </row>
    <row r="257" ht="15.75" customHeight="1">
      <c r="A257" s="59"/>
      <c r="B257" s="59"/>
      <c r="C257" s="59"/>
      <c r="D257" s="59"/>
      <c r="E257" s="63"/>
      <c r="F257" s="64"/>
      <c r="G257" s="64"/>
      <c r="H257" s="64"/>
      <c r="I257" s="70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70"/>
      <c r="AA257" s="59"/>
      <c r="AB257" s="59"/>
      <c r="AC257" s="59"/>
      <c r="AD257" s="59"/>
      <c r="AE257" s="59"/>
      <c r="AF257" s="59"/>
    </row>
    <row r="258" ht="15.75" customHeight="1">
      <c r="A258" s="59"/>
      <c r="B258" s="59"/>
      <c r="C258" s="59"/>
      <c r="D258" s="59"/>
      <c r="E258" s="63"/>
      <c r="F258" s="64"/>
      <c r="G258" s="64"/>
      <c r="H258" s="64"/>
      <c r="I258" s="70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70"/>
      <c r="AA258" s="59"/>
      <c r="AB258" s="59"/>
      <c r="AC258" s="59"/>
      <c r="AD258" s="59"/>
      <c r="AE258" s="59"/>
      <c r="AF258" s="59"/>
    </row>
    <row r="259" ht="15.75" customHeight="1">
      <c r="A259" s="59"/>
      <c r="B259" s="59"/>
      <c r="C259" s="59"/>
      <c r="D259" s="59"/>
      <c r="E259" s="63"/>
      <c r="F259" s="64"/>
      <c r="G259" s="64"/>
      <c r="H259" s="64"/>
      <c r="I259" s="70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70"/>
      <c r="AA259" s="59"/>
      <c r="AB259" s="59"/>
      <c r="AC259" s="59"/>
      <c r="AD259" s="59"/>
      <c r="AE259" s="59"/>
      <c r="AF259" s="59"/>
    </row>
    <row r="260" ht="15.75" customHeight="1">
      <c r="A260" s="59"/>
      <c r="B260" s="59"/>
      <c r="C260" s="59"/>
      <c r="D260" s="59"/>
      <c r="E260" s="63"/>
      <c r="F260" s="64"/>
      <c r="G260" s="64"/>
      <c r="H260" s="64"/>
      <c r="I260" s="70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70"/>
      <c r="AA260" s="59"/>
      <c r="AB260" s="59"/>
      <c r="AC260" s="59"/>
      <c r="AD260" s="59"/>
      <c r="AE260" s="59"/>
      <c r="AF260" s="59"/>
    </row>
    <row r="261" ht="15.75" customHeight="1">
      <c r="A261" s="59"/>
      <c r="B261" s="59"/>
      <c r="C261" s="59"/>
      <c r="D261" s="59"/>
      <c r="E261" s="63"/>
      <c r="F261" s="64"/>
      <c r="G261" s="64"/>
      <c r="H261" s="64"/>
      <c r="I261" s="70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70"/>
      <c r="AA261" s="59"/>
      <c r="AB261" s="59"/>
      <c r="AC261" s="59"/>
      <c r="AD261" s="59"/>
      <c r="AE261" s="59"/>
      <c r="AF261" s="59"/>
    </row>
    <row r="262" ht="15.75" customHeight="1">
      <c r="A262" s="59"/>
      <c r="B262" s="59"/>
      <c r="C262" s="59"/>
      <c r="D262" s="59"/>
      <c r="E262" s="63"/>
      <c r="F262" s="64"/>
      <c r="G262" s="64"/>
      <c r="H262" s="64"/>
      <c r="I262" s="70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70"/>
      <c r="AA262" s="59"/>
      <c r="AB262" s="59"/>
      <c r="AC262" s="59"/>
      <c r="AD262" s="59"/>
      <c r="AE262" s="59"/>
      <c r="AF262" s="59"/>
    </row>
    <row r="263" ht="15.75" customHeight="1">
      <c r="A263" s="59"/>
      <c r="B263" s="59"/>
      <c r="C263" s="59"/>
      <c r="D263" s="59"/>
      <c r="E263" s="63"/>
      <c r="F263" s="64"/>
      <c r="G263" s="64"/>
      <c r="H263" s="64"/>
      <c r="I263" s="70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70"/>
      <c r="AA263" s="59"/>
      <c r="AB263" s="59"/>
      <c r="AC263" s="59"/>
      <c r="AD263" s="59"/>
      <c r="AE263" s="59"/>
      <c r="AF263" s="59"/>
    </row>
    <row r="264" ht="15.75" customHeight="1">
      <c r="A264" s="59"/>
      <c r="B264" s="59"/>
      <c r="C264" s="59"/>
      <c r="D264" s="59"/>
      <c r="E264" s="63"/>
      <c r="F264" s="64"/>
      <c r="G264" s="64"/>
      <c r="H264" s="64"/>
      <c r="I264" s="70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70"/>
      <c r="AA264" s="59"/>
      <c r="AB264" s="59"/>
      <c r="AC264" s="59"/>
      <c r="AD264" s="59"/>
      <c r="AE264" s="59"/>
      <c r="AF264" s="59"/>
    </row>
    <row r="265" ht="15.75" customHeight="1">
      <c r="A265" s="59"/>
      <c r="B265" s="59"/>
      <c r="C265" s="59"/>
      <c r="D265" s="59"/>
      <c r="E265" s="63"/>
      <c r="F265" s="64"/>
      <c r="G265" s="64"/>
      <c r="H265" s="64"/>
      <c r="I265" s="70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70"/>
      <c r="AA265" s="59"/>
      <c r="AB265" s="59"/>
      <c r="AC265" s="59"/>
      <c r="AD265" s="59"/>
      <c r="AE265" s="59"/>
      <c r="AF265" s="59"/>
    </row>
    <row r="266" ht="15.75" customHeight="1">
      <c r="A266" s="59"/>
      <c r="B266" s="59"/>
      <c r="C266" s="59"/>
      <c r="D266" s="59"/>
      <c r="E266" s="63"/>
      <c r="F266" s="64"/>
      <c r="G266" s="64"/>
      <c r="H266" s="64"/>
      <c r="I266" s="70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70"/>
      <c r="AA266" s="59"/>
      <c r="AB266" s="59"/>
      <c r="AC266" s="59"/>
      <c r="AD266" s="59"/>
      <c r="AE266" s="59"/>
      <c r="AF266" s="59"/>
    </row>
    <row r="267" ht="15.75" customHeight="1">
      <c r="A267" s="59"/>
      <c r="B267" s="59"/>
      <c r="C267" s="59"/>
      <c r="D267" s="59"/>
      <c r="E267" s="63"/>
      <c r="F267" s="64"/>
      <c r="G267" s="64"/>
      <c r="H267" s="64"/>
      <c r="I267" s="70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70"/>
      <c r="AA267" s="59"/>
      <c r="AB267" s="59"/>
      <c r="AC267" s="59"/>
      <c r="AD267" s="59"/>
      <c r="AE267" s="59"/>
      <c r="AF267" s="59"/>
    </row>
    <row r="268" ht="15.75" customHeight="1">
      <c r="A268" s="59"/>
      <c r="B268" s="59"/>
      <c r="C268" s="59"/>
      <c r="D268" s="59"/>
      <c r="E268" s="63"/>
      <c r="F268" s="64"/>
      <c r="G268" s="64"/>
      <c r="H268" s="64"/>
      <c r="I268" s="70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70"/>
      <c r="AA268" s="59"/>
      <c r="AB268" s="59"/>
      <c r="AC268" s="59"/>
      <c r="AD268" s="59"/>
      <c r="AE268" s="59"/>
      <c r="AF268" s="59"/>
    </row>
    <row r="269" ht="15.75" customHeight="1">
      <c r="A269" s="59"/>
      <c r="B269" s="59"/>
      <c r="C269" s="59"/>
      <c r="D269" s="59"/>
      <c r="E269" s="63"/>
      <c r="F269" s="64"/>
      <c r="G269" s="64"/>
      <c r="H269" s="64"/>
      <c r="I269" s="70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70"/>
      <c r="AA269" s="59"/>
      <c r="AB269" s="59"/>
      <c r="AC269" s="59"/>
      <c r="AD269" s="59"/>
      <c r="AE269" s="59"/>
      <c r="AF269" s="59"/>
    </row>
    <row r="270" ht="15.75" customHeight="1">
      <c r="A270" s="59"/>
      <c r="B270" s="59"/>
      <c r="C270" s="59"/>
      <c r="D270" s="59"/>
      <c r="E270" s="63"/>
      <c r="F270" s="64"/>
      <c r="G270" s="64"/>
      <c r="H270" s="64"/>
      <c r="I270" s="70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70"/>
      <c r="AA270" s="59"/>
      <c r="AB270" s="59"/>
      <c r="AC270" s="59"/>
      <c r="AD270" s="59"/>
      <c r="AE270" s="59"/>
      <c r="AF270" s="59"/>
    </row>
    <row r="271" ht="15.75" customHeight="1">
      <c r="A271" s="59"/>
      <c r="B271" s="59"/>
      <c r="C271" s="59"/>
      <c r="D271" s="59"/>
      <c r="E271" s="63"/>
      <c r="F271" s="64"/>
      <c r="G271" s="64"/>
      <c r="H271" s="64"/>
      <c r="I271" s="70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70"/>
      <c r="AA271" s="59"/>
      <c r="AB271" s="59"/>
      <c r="AC271" s="59"/>
      <c r="AD271" s="59"/>
      <c r="AE271" s="59"/>
      <c r="AF271" s="59"/>
    </row>
    <row r="272" ht="15.75" customHeight="1">
      <c r="A272" s="59"/>
      <c r="B272" s="59"/>
      <c r="C272" s="59"/>
      <c r="D272" s="59"/>
      <c r="E272" s="63"/>
      <c r="F272" s="64"/>
      <c r="G272" s="64"/>
      <c r="H272" s="64"/>
      <c r="I272" s="70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70"/>
      <c r="AA272" s="59"/>
      <c r="AB272" s="59"/>
      <c r="AC272" s="59"/>
      <c r="AD272" s="59"/>
      <c r="AE272" s="59"/>
      <c r="AF272" s="59"/>
    </row>
    <row r="273" ht="15.75" customHeight="1">
      <c r="A273" s="59"/>
      <c r="B273" s="59"/>
      <c r="C273" s="59"/>
      <c r="D273" s="59"/>
      <c r="E273" s="63"/>
      <c r="F273" s="64"/>
      <c r="G273" s="64"/>
      <c r="H273" s="64"/>
      <c r="I273" s="70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70"/>
      <c r="AA273" s="59"/>
      <c r="AB273" s="59"/>
      <c r="AC273" s="59"/>
      <c r="AD273" s="59"/>
      <c r="AE273" s="59"/>
      <c r="AF273" s="59"/>
    </row>
    <row r="274" ht="15.75" customHeight="1">
      <c r="A274" s="59"/>
      <c r="B274" s="59"/>
      <c r="C274" s="59"/>
      <c r="D274" s="59"/>
      <c r="E274" s="63"/>
      <c r="F274" s="64"/>
      <c r="G274" s="64"/>
      <c r="H274" s="64"/>
      <c r="I274" s="70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70"/>
      <c r="AA274" s="59"/>
      <c r="AB274" s="59"/>
      <c r="AC274" s="59"/>
      <c r="AD274" s="59"/>
      <c r="AE274" s="59"/>
      <c r="AF274" s="59"/>
    </row>
    <row r="275" ht="15.75" customHeight="1">
      <c r="A275" s="59"/>
      <c r="B275" s="59"/>
      <c r="C275" s="59"/>
      <c r="D275" s="59"/>
      <c r="E275" s="63"/>
      <c r="F275" s="64"/>
      <c r="G275" s="64"/>
      <c r="H275" s="64"/>
      <c r="I275" s="70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70"/>
      <c r="AA275" s="59"/>
      <c r="AB275" s="59"/>
      <c r="AC275" s="59"/>
      <c r="AD275" s="59"/>
      <c r="AE275" s="59"/>
      <c r="AF275" s="59"/>
    </row>
    <row r="276" ht="15.75" customHeight="1">
      <c r="A276" s="59"/>
      <c r="B276" s="59"/>
      <c r="C276" s="59"/>
      <c r="D276" s="59"/>
      <c r="E276" s="63"/>
      <c r="F276" s="64"/>
      <c r="G276" s="64"/>
      <c r="H276" s="64"/>
      <c r="I276" s="70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70"/>
      <c r="AA276" s="59"/>
      <c r="AB276" s="59"/>
      <c r="AC276" s="59"/>
      <c r="AD276" s="59"/>
      <c r="AE276" s="59"/>
      <c r="AF276" s="59"/>
    </row>
    <row r="277" ht="15.75" customHeight="1">
      <c r="A277" s="59"/>
      <c r="B277" s="59"/>
      <c r="C277" s="59"/>
      <c r="D277" s="59"/>
      <c r="E277" s="63"/>
      <c r="F277" s="64"/>
      <c r="G277" s="64"/>
      <c r="H277" s="64"/>
      <c r="I277" s="70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70"/>
      <c r="AA277" s="59"/>
      <c r="AB277" s="59"/>
      <c r="AC277" s="59"/>
      <c r="AD277" s="59"/>
      <c r="AE277" s="59"/>
      <c r="AF277" s="59"/>
    </row>
    <row r="278" ht="15.75" customHeight="1">
      <c r="A278" s="59"/>
      <c r="B278" s="59"/>
      <c r="C278" s="59"/>
      <c r="D278" s="59"/>
      <c r="E278" s="63"/>
      <c r="F278" s="64"/>
      <c r="G278" s="64"/>
      <c r="H278" s="64"/>
      <c r="I278" s="70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70"/>
      <c r="AA278" s="59"/>
      <c r="AB278" s="59"/>
      <c r="AC278" s="59"/>
      <c r="AD278" s="59"/>
      <c r="AE278" s="59"/>
      <c r="AF278" s="59"/>
    </row>
    <row r="279" ht="15.75" customHeight="1">
      <c r="A279" s="59"/>
      <c r="B279" s="59"/>
      <c r="C279" s="59"/>
      <c r="D279" s="59"/>
      <c r="E279" s="63"/>
      <c r="F279" s="64"/>
      <c r="G279" s="64"/>
      <c r="H279" s="64"/>
      <c r="I279" s="70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70"/>
      <c r="AA279" s="59"/>
      <c r="AB279" s="59"/>
      <c r="AC279" s="59"/>
      <c r="AD279" s="59"/>
      <c r="AE279" s="59"/>
      <c r="AF279" s="59"/>
    </row>
    <row r="280" ht="15.75" customHeight="1">
      <c r="A280" s="59"/>
      <c r="B280" s="59"/>
      <c r="C280" s="59"/>
      <c r="D280" s="59"/>
      <c r="E280" s="63"/>
      <c r="F280" s="64"/>
      <c r="G280" s="64"/>
      <c r="H280" s="64"/>
      <c r="I280" s="70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70"/>
      <c r="AA280" s="59"/>
      <c r="AB280" s="59"/>
      <c r="AC280" s="59"/>
      <c r="AD280" s="59"/>
      <c r="AE280" s="59"/>
      <c r="AF280" s="59"/>
    </row>
    <row r="281" ht="15.75" customHeight="1">
      <c r="A281" s="59"/>
      <c r="B281" s="59"/>
      <c r="C281" s="59"/>
      <c r="D281" s="59"/>
      <c r="E281" s="63"/>
      <c r="F281" s="64"/>
      <c r="G281" s="64"/>
      <c r="H281" s="64"/>
      <c r="I281" s="70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70"/>
      <c r="AA281" s="59"/>
      <c r="AB281" s="59"/>
      <c r="AC281" s="59"/>
      <c r="AD281" s="59"/>
      <c r="AE281" s="59"/>
      <c r="AF281" s="59"/>
    </row>
    <row r="282" ht="15.75" customHeight="1">
      <c r="A282" s="59"/>
      <c r="B282" s="59"/>
      <c r="C282" s="59"/>
      <c r="D282" s="59"/>
      <c r="E282" s="63"/>
      <c r="F282" s="64"/>
      <c r="G282" s="64"/>
      <c r="H282" s="64"/>
      <c r="I282" s="70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70"/>
      <c r="AA282" s="59"/>
      <c r="AB282" s="59"/>
      <c r="AC282" s="59"/>
      <c r="AD282" s="59"/>
      <c r="AE282" s="59"/>
      <c r="AF282" s="59"/>
    </row>
    <row r="283" ht="15.75" customHeight="1">
      <c r="A283" s="59"/>
      <c r="B283" s="59"/>
      <c r="C283" s="59"/>
      <c r="D283" s="59"/>
      <c r="E283" s="63"/>
      <c r="F283" s="64"/>
      <c r="G283" s="64"/>
      <c r="H283" s="64"/>
      <c r="I283" s="70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70"/>
      <c r="AA283" s="59"/>
      <c r="AB283" s="59"/>
      <c r="AC283" s="59"/>
      <c r="AD283" s="59"/>
      <c r="AE283" s="59"/>
      <c r="AF283" s="59"/>
    </row>
    <row r="284" ht="15.75" customHeight="1">
      <c r="A284" s="59"/>
      <c r="B284" s="59"/>
      <c r="C284" s="59"/>
      <c r="D284" s="59"/>
      <c r="E284" s="63"/>
      <c r="F284" s="64"/>
      <c r="G284" s="64"/>
      <c r="H284" s="64"/>
      <c r="I284" s="70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70"/>
      <c r="AA284" s="59"/>
      <c r="AB284" s="59"/>
      <c r="AC284" s="59"/>
      <c r="AD284" s="59"/>
      <c r="AE284" s="59"/>
      <c r="AF284" s="59"/>
    </row>
    <row r="285" ht="15.75" customHeight="1">
      <c r="A285" s="59"/>
      <c r="B285" s="59"/>
      <c r="C285" s="59"/>
      <c r="D285" s="59"/>
      <c r="E285" s="63"/>
      <c r="F285" s="64"/>
      <c r="G285" s="64"/>
      <c r="H285" s="64"/>
      <c r="I285" s="70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70"/>
      <c r="AA285" s="59"/>
      <c r="AB285" s="59"/>
      <c r="AC285" s="59"/>
      <c r="AD285" s="59"/>
      <c r="AE285" s="59"/>
      <c r="AF285" s="59"/>
    </row>
    <row r="286" ht="15.75" customHeight="1">
      <c r="A286" s="59"/>
      <c r="B286" s="59"/>
      <c r="C286" s="59"/>
      <c r="D286" s="59"/>
      <c r="E286" s="63"/>
      <c r="F286" s="64"/>
      <c r="G286" s="64"/>
      <c r="H286" s="64"/>
      <c r="I286" s="70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70"/>
      <c r="AA286" s="59"/>
      <c r="AB286" s="59"/>
      <c r="AC286" s="59"/>
      <c r="AD286" s="59"/>
      <c r="AE286" s="59"/>
      <c r="AF286" s="59"/>
    </row>
    <row r="287" ht="15.75" customHeight="1">
      <c r="A287" s="59"/>
      <c r="B287" s="59"/>
      <c r="C287" s="59"/>
      <c r="D287" s="59"/>
      <c r="E287" s="63"/>
      <c r="F287" s="64"/>
      <c r="G287" s="64"/>
      <c r="H287" s="64"/>
      <c r="I287" s="70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70"/>
      <c r="AA287" s="59"/>
      <c r="AB287" s="59"/>
      <c r="AC287" s="59"/>
      <c r="AD287" s="59"/>
      <c r="AE287" s="59"/>
      <c r="AF287" s="59"/>
    </row>
    <row r="288" ht="15.75" customHeight="1">
      <c r="A288" s="59"/>
      <c r="B288" s="59"/>
      <c r="C288" s="59"/>
      <c r="D288" s="59"/>
      <c r="E288" s="63"/>
      <c r="F288" s="64"/>
      <c r="G288" s="64"/>
      <c r="H288" s="64"/>
      <c r="I288" s="70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70"/>
      <c r="AA288" s="59"/>
      <c r="AB288" s="59"/>
      <c r="AC288" s="59"/>
      <c r="AD288" s="59"/>
      <c r="AE288" s="59"/>
      <c r="AF288" s="59"/>
    </row>
    <row r="289" ht="15.75" customHeight="1">
      <c r="A289" s="59"/>
      <c r="B289" s="59"/>
      <c r="C289" s="59"/>
      <c r="D289" s="59"/>
      <c r="E289" s="63"/>
      <c r="F289" s="64"/>
      <c r="G289" s="64"/>
      <c r="H289" s="64"/>
      <c r="I289" s="70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70"/>
      <c r="AA289" s="59"/>
      <c r="AB289" s="59"/>
      <c r="AC289" s="59"/>
      <c r="AD289" s="59"/>
      <c r="AE289" s="59"/>
      <c r="AF289" s="59"/>
    </row>
    <row r="290" ht="15.75" customHeight="1">
      <c r="A290" s="59"/>
      <c r="B290" s="59"/>
      <c r="C290" s="59"/>
      <c r="D290" s="59"/>
      <c r="E290" s="63"/>
      <c r="F290" s="64"/>
      <c r="G290" s="64"/>
      <c r="H290" s="64"/>
      <c r="I290" s="70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70"/>
      <c r="AA290" s="59"/>
      <c r="AB290" s="59"/>
      <c r="AC290" s="59"/>
      <c r="AD290" s="59"/>
      <c r="AE290" s="59"/>
      <c r="AF290" s="59"/>
    </row>
    <row r="291" ht="15.75" customHeight="1">
      <c r="A291" s="59"/>
      <c r="B291" s="59"/>
      <c r="C291" s="59"/>
      <c r="D291" s="59"/>
      <c r="E291" s="63"/>
      <c r="F291" s="64"/>
      <c r="G291" s="64"/>
      <c r="H291" s="64"/>
      <c r="I291" s="70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70"/>
      <c r="AA291" s="59"/>
      <c r="AB291" s="59"/>
      <c r="AC291" s="59"/>
      <c r="AD291" s="59"/>
      <c r="AE291" s="59"/>
      <c r="AF291" s="59"/>
    </row>
    <row r="292" ht="15.75" customHeight="1">
      <c r="A292" s="59"/>
      <c r="B292" s="59"/>
      <c r="C292" s="59"/>
      <c r="D292" s="59"/>
      <c r="E292" s="63"/>
      <c r="F292" s="64"/>
      <c r="G292" s="64"/>
      <c r="H292" s="64"/>
      <c r="I292" s="70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70"/>
      <c r="AA292" s="59"/>
      <c r="AB292" s="59"/>
      <c r="AC292" s="59"/>
      <c r="AD292" s="59"/>
      <c r="AE292" s="59"/>
      <c r="AF292" s="59"/>
    </row>
    <row r="293" ht="15.75" customHeight="1">
      <c r="A293" s="59"/>
      <c r="B293" s="59"/>
      <c r="C293" s="59"/>
      <c r="D293" s="59"/>
      <c r="E293" s="63"/>
      <c r="F293" s="64"/>
      <c r="G293" s="64"/>
      <c r="H293" s="64"/>
      <c r="I293" s="70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70"/>
      <c r="AA293" s="59"/>
      <c r="AB293" s="59"/>
      <c r="AC293" s="59"/>
      <c r="AD293" s="59"/>
      <c r="AE293" s="59"/>
      <c r="AF293" s="59"/>
    </row>
    <row r="294" ht="15.75" customHeight="1">
      <c r="A294" s="59"/>
      <c r="B294" s="59"/>
      <c r="C294" s="59"/>
      <c r="D294" s="59"/>
      <c r="E294" s="63"/>
      <c r="F294" s="64"/>
      <c r="G294" s="64"/>
      <c r="H294" s="64"/>
      <c r="I294" s="70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70"/>
      <c r="AA294" s="59"/>
      <c r="AB294" s="59"/>
      <c r="AC294" s="59"/>
      <c r="AD294" s="59"/>
      <c r="AE294" s="59"/>
      <c r="AF294" s="59"/>
    </row>
    <row r="295" ht="15.75" customHeight="1">
      <c r="A295" s="59"/>
      <c r="B295" s="59"/>
      <c r="C295" s="59"/>
      <c r="D295" s="59"/>
      <c r="E295" s="63"/>
      <c r="F295" s="64"/>
      <c r="G295" s="64"/>
      <c r="H295" s="64"/>
      <c r="I295" s="70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70"/>
      <c r="AA295" s="59"/>
      <c r="AB295" s="59"/>
      <c r="AC295" s="59"/>
      <c r="AD295" s="59"/>
      <c r="AE295" s="59"/>
      <c r="AF295" s="59"/>
    </row>
    <row r="296" ht="15.75" customHeight="1">
      <c r="A296" s="59"/>
      <c r="B296" s="59"/>
      <c r="C296" s="59"/>
      <c r="D296" s="59"/>
      <c r="E296" s="63"/>
      <c r="F296" s="64"/>
      <c r="G296" s="64"/>
      <c r="H296" s="64"/>
      <c r="I296" s="70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70"/>
      <c r="AA296" s="59"/>
      <c r="AB296" s="59"/>
      <c r="AC296" s="59"/>
      <c r="AD296" s="59"/>
      <c r="AE296" s="59"/>
      <c r="AF296" s="59"/>
    </row>
    <row r="297" ht="15.75" customHeight="1">
      <c r="A297" s="59"/>
      <c r="B297" s="59"/>
      <c r="C297" s="59"/>
      <c r="D297" s="59"/>
      <c r="E297" s="63"/>
      <c r="F297" s="64"/>
      <c r="G297" s="64"/>
      <c r="H297" s="64"/>
      <c r="I297" s="70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70"/>
      <c r="AA297" s="59"/>
      <c r="AB297" s="59"/>
      <c r="AC297" s="59"/>
      <c r="AD297" s="59"/>
      <c r="AE297" s="59"/>
      <c r="AF297" s="59"/>
    </row>
    <row r="298" ht="15.75" customHeight="1">
      <c r="A298" s="59"/>
      <c r="B298" s="59"/>
      <c r="C298" s="59"/>
      <c r="D298" s="59"/>
      <c r="E298" s="63"/>
      <c r="F298" s="64"/>
      <c r="G298" s="64"/>
      <c r="H298" s="64"/>
      <c r="I298" s="70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70"/>
      <c r="AA298" s="59"/>
      <c r="AB298" s="59"/>
      <c r="AC298" s="59"/>
      <c r="AD298" s="59"/>
      <c r="AE298" s="59"/>
      <c r="AF298" s="59"/>
    </row>
    <row r="299" ht="15.75" customHeight="1">
      <c r="A299" s="59"/>
      <c r="B299" s="59"/>
      <c r="C299" s="59"/>
      <c r="D299" s="59"/>
      <c r="E299" s="63"/>
      <c r="F299" s="64"/>
      <c r="G299" s="64"/>
      <c r="H299" s="64"/>
      <c r="I299" s="70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70"/>
      <c r="AA299" s="59"/>
      <c r="AB299" s="59"/>
      <c r="AC299" s="59"/>
      <c r="AD299" s="59"/>
      <c r="AE299" s="59"/>
      <c r="AF299" s="59"/>
    </row>
    <row r="300" ht="15.75" customHeight="1">
      <c r="A300" s="59"/>
      <c r="B300" s="59"/>
      <c r="C300" s="59"/>
      <c r="D300" s="59"/>
      <c r="E300" s="63"/>
      <c r="F300" s="64"/>
      <c r="G300" s="64"/>
      <c r="H300" s="64"/>
      <c r="I300" s="70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70"/>
      <c r="AA300" s="59"/>
      <c r="AB300" s="59"/>
      <c r="AC300" s="59"/>
      <c r="AD300" s="59"/>
      <c r="AE300" s="59"/>
      <c r="AF300" s="59"/>
    </row>
    <row r="301" ht="15.75" customHeight="1">
      <c r="A301" s="59"/>
      <c r="B301" s="59"/>
      <c r="C301" s="59"/>
      <c r="D301" s="59"/>
      <c r="E301" s="63"/>
      <c r="F301" s="64"/>
      <c r="G301" s="64"/>
      <c r="H301" s="64"/>
      <c r="I301" s="70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70"/>
      <c r="AA301" s="59"/>
      <c r="AB301" s="59"/>
      <c r="AC301" s="59"/>
      <c r="AD301" s="59"/>
      <c r="AE301" s="59"/>
      <c r="AF301" s="59"/>
    </row>
    <row r="302" ht="15.75" customHeight="1">
      <c r="A302" s="59"/>
      <c r="B302" s="59"/>
      <c r="C302" s="59"/>
      <c r="D302" s="59"/>
      <c r="E302" s="63"/>
      <c r="F302" s="64"/>
      <c r="G302" s="64"/>
      <c r="H302" s="64"/>
      <c r="I302" s="70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70"/>
      <c r="AA302" s="59"/>
      <c r="AB302" s="59"/>
      <c r="AC302" s="59"/>
      <c r="AD302" s="59"/>
      <c r="AE302" s="59"/>
      <c r="AF302" s="59"/>
    </row>
    <row r="303" ht="15.75" customHeight="1">
      <c r="A303" s="59"/>
      <c r="B303" s="59"/>
      <c r="C303" s="59"/>
      <c r="D303" s="59"/>
      <c r="E303" s="63"/>
      <c r="F303" s="64"/>
      <c r="G303" s="64"/>
      <c r="H303" s="64"/>
      <c r="I303" s="70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70"/>
      <c r="AA303" s="59"/>
      <c r="AB303" s="59"/>
      <c r="AC303" s="59"/>
      <c r="AD303" s="59"/>
      <c r="AE303" s="59"/>
      <c r="AF303" s="59"/>
    </row>
    <row r="304" ht="15.75" customHeight="1">
      <c r="A304" s="59"/>
      <c r="B304" s="59"/>
      <c r="C304" s="59"/>
      <c r="D304" s="59"/>
      <c r="E304" s="63"/>
      <c r="F304" s="64"/>
      <c r="G304" s="64"/>
      <c r="H304" s="64"/>
      <c r="I304" s="70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70"/>
      <c r="AA304" s="59"/>
      <c r="AB304" s="59"/>
      <c r="AC304" s="59"/>
      <c r="AD304" s="59"/>
      <c r="AE304" s="59"/>
      <c r="AF304" s="59"/>
    </row>
    <row r="305" ht="15.75" customHeight="1">
      <c r="A305" s="59"/>
      <c r="B305" s="59"/>
      <c r="C305" s="59"/>
      <c r="D305" s="59"/>
      <c r="E305" s="63"/>
      <c r="F305" s="64"/>
      <c r="G305" s="64"/>
      <c r="H305" s="64"/>
      <c r="I305" s="70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70"/>
      <c r="AA305" s="59"/>
      <c r="AB305" s="59"/>
      <c r="AC305" s="59"/>
      <c r="AD305" s="59"/>
      <c r="AE305" s="59"/>
      <c r="AF305" s="59"/>
    </row>
    <row r="306" ht="15.75" customHeight="1">
      <c r="A306" s="59"/>
      <c r="B306" s="59"/>
      <c r="C306" s="59"/>
      <c r="D306" s="59"/>
      <c r="E306" s="63"/>
      <c r="F306" s="64"/>
      <c r="G306" s="64"/>
      <c r="H306" s="64"/>
      <c r="I306" s="70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70"/>
      <c r="AA306" s="59"/>
      <c r="AB306" s="59"/>
      <c r="AC306" s="59"/>
      <c r="AD306" s="59"/>
      <c r="AE306" s="59"/>
      <c r="AF306" s="59"/>
    </row>
    <row r="307" ht="15.75" customHeight="1">
      <c r="A307" s="59"/>
      <c r="B307" s="59"/>
      <c r="C307" s="59"/>
      <c r="D307" s="59"/>
      <c r="E307" s="63"/>
      <c r="F307" s="64"/>
      <c r="G307" s="64"/>
      <c r="H307" s="64"/>
      <c r="I307" s="70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70"/>
      <c r="AA307" s="59"/>
      <c r="AB307" s="59"/>
      <c r="AC307" s="59"/>
      <c r="AD307" s="59"/>
      <c r="AE307" s="59"/>
      <c r="AF307" s="59"/>
    </row>
    <row r="308" ht="15.75" customHeight="1">
      <c r="A308" s="59"/>
      <c r="B308" s="59"/>
      <c r="C308" s="59"/>
      <c r="D308" s="59"/>
      <c r="E308" s="63"/>
      <c r="F308" s="64"/>
      <c r="G308" s="64"/>
      <c r="H308" s="64"/>
      <c r="I308" s="70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70"/>
      <c r="AA308" s="59"/>
      <c r="AB308" s="59"/>
      <c r="AC308" s="59"/>
      <c r="AD308" s="59"/>
      <c r="AE308" s="59"/>
      <c r="AF308" s="59"/>
    </row>
    <row r="309" ht="15.75" customHeight="1">
      <c r="A309" s="59"/>
      <c r="B309" s="59"/>
      <c r="C309" s="59"/>
      <c r="D309" s="59"/>
      <c r="E309" s="63"/>
      <c r="F309" s="64"/>
      <c r="G309" s="64"/>
      <c r="H309" s="64"/>
      <c r="I309" s="70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70"/>
      <c r="AA309" s="59"/>
      <c r="AB309" s="59"/>
      <c r="AC309" s="59"/>
      <c r="AD309" s="59"/>
      <c r="AE309" s="59"/>
      <c r="AF309" s="59"/>
    </row>
    <row r="310" ht="15.75" customHeight="1">
      <c r="A310" s="59"/>
      <c r="B310" s="59"/>
      <c r="C310" s="59"/>
      <c r="D310" s="59"/>
      <c r="E310" s="63"/>
      <c r="F310" s="64"/>
      <c r="G310" s="64"/>
      <c r="H310" s="64"/>
      <c r="I310" s="70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70"/>
      <c r="AA310" s="59"/>
      <c r="AB310" s="59"/>
      <c r="AC310" s="59"/>
      <c r="AD310" s="59"/>
      <c r="AE310" s="59"/>
      <c r="AF310" s="59"/>
    </row>
    <row r="311" ht="15.75" customHeight="1">
      <c r="A311" s="59"/>
      <c r="B311" s="59"/>
      <c r="C311" s="59"/>
      <c r="D311" s="59"/>
      <c r="E311" s="63"/>
      <c r="F311" s="64"/>
      <c r="G311" s="64"/>
      <c r="H311" s="64"/>
      <c r="I311" s="70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70"/>
      <c r="AA311" s="59"/>
      <c r="AB311" s="59"/>
      <c r="AC311" s="59"/>
      <c r="AD311" s="59"/>
      <c r="AE311" s="59"/>
      <c r="AF311" s="59"/>
    </row>
    <row r="312" ht="15.75" customHeight="1">
      <c r="A312" s="59"/>
      <c r="B312" s="59"/>
      <c r="C312" s="59"/>
      <c r="D312" s="59"/>
      <c r="E312" s="63"/>
      <c r="F312" s="64"/>
      <c r="G312" s="64"/>
      <c r="H312" s="64"/>
      <c r="I312" s="70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70"/>
      <c r="AA312" s="59"/>
      <c r="AB312" s="59"/>
      <c r="AC312" s="59"/>
      <c r="AD312" s="59"/>
      <c r="AE312" s="59"/>
      <c r="AF312" s="59"/>
    </row>
    <row r="313" ht="15.75" customHeight="1">
      <c r="A313" s="59"/>
      <c r="B313" s="59"/>
      <c r="C313" s="59"/>
      <c r="D313" s="59"/>
      <c r="E313" s="63"/>
      <c r="F313" s="64"/>
      <c r="G313" s="64"/>
      <c r="H313" s="64"/>
      <c r="I313" s="70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70"/>
      <c r="AA313" s="59"/>
      <c r="AB313" s="59"/>
      <c r="AC313" s="59"/>
      <c r="AD313" s="59"/>
      <c r="AE313" s="59"/>
      <c r="AF313" s="59"/>
    </row>
    <row r="314" ht="15.75" customHeight="1">
      <c r="A314" s="59"/>
      <c r="B314" s="59"/>
      <c r="C314" s="59"/>
      <c r="D314" s="59"/>
      <c r="E314" s="63"/>
      <c r="F314" s="64"/>
      <c r="G314" s="64"/>
      <c r="H314" s="64"/>
      <c r="I314" s="70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70"/>
      <c r="AA314" s="59"/>
      <c r="AB314" s="59"/>
      <c r="AC314" s="59"/>
      <c r="AD314" s="59"/>
      <c r="AE314" s="59"/>
      <c r="AF314" s="59"/>
    </row>
    <row r="315" ht="15.75" customHeight="1">
      <c r="A315" s="59"/>
      <c r="B315" s="59"/>
      <c r="C315" s="59"/>
      <c r="D315" s="59"/>
      <c r="E315" s="63"/>
      <c r="F315" s="64"/>
      <c r="G315" s="64"/>
      <c r="H315" s="64"/>
      <c r="I315" s="70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70"/>
      <c r="AA315" s="59"/>
      <c r="AB315" s="59"/>
      <c r="AC315" s="59"/>
      <c r="AD315" s="59"/>
      <c r="AE315" s="59"/>
      <c r="AF315" s="59"/>
    </row>
    <row r="316" ht="15.75" customHeight="1">
      <c r="A316" s="59"/>
      <c r="B316" s="59"/>
      <c r="C316" s="59"/>
      <c r="D316" s="59"/>
      <c r="E316" s="63"/>
      <c r="F316" s="64"/>
      <c r="G316" s="64"/>
      <c r="H316" s="64"/>
      <c r="I316" s="70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70"/>
      <c r="AA316" s="59"/>
      <c r="AB316" s="59"/>
      <c r="AC316" s="59"/>
      <c r="AD316" s="59"/>
      <c r="AE316" s="59"/>
      <c r="AF316" s="59"/>
    </row>
    <row r="317" ht="15.75" customHeight="1">
      <c r="A317" s="59"/>
      <c r="B317" s="59"/>
      <c r="C317" s="59"/>
      <c r="D317" s="59"/>
      <c r="E317" s="63"/>
      <c r="F317" s="64"/>
      <c r="G317" s="64"/>
      <c r="H317" s="64"/>
      <c r="I317" s="70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70"/>
      <c r="AA317" s="59"/>
      <c r="AB317" s="59"/>
      <c r="AC317" s="59"/>
      <c r="AD317" s="59"/>
      <c r="AE317" s="59"/>
      <c r="AF317" s="59"/>
    </row>
    <row r="318" ht="15.75" customHeight="1">
      <c r="A318" s="59"/>
      <c r="B318" s="59"/>
      <c r="C318" s="59"/>
      <c r="D318" s="59"/>
      <c r="E318" s="63"/>
      <c r="F318" s="64"/>
      <c r="G318" s="64"/>
      <c r="H318" s="64"/>
      <c r="I318" s="70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70"/>
      <c r="AA318" s="59"/>
      <c r="AB318" s="59"/>
      <c r="AC318" s="59"/>
      <c r="AD318" s="59"/>
      <c r="AE318" s="59"/>
      <c r="AF318" s="59"/>
    </row>
    <row r="319" ht="15.75" customHeight="1">
      <c r="A319" s="59"/>
      <c r="B319" s="59"/>
      <c r="C319" s="59"/>
      <c r="D319" s="59"/>
      <c r="E319" s="63"/>
      <c r="F319" s="64"/>
      <c r="G319" s="64"/>
      <c r="H319" s="64"/>
      <c r="I319" s="70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70"/>
      <c r="AA319" s="59"/>
      <c r="AB319" s="59"/>
      <c r="AC319" s="59"/>
      <c r="AD319" s="59"/>
      <c r="AE319" s="59"/>
      <c r="AF319" s="59"/>
    </row>
    <row r="320" ht="15.75" customHeight="1">
      <c r="A320" s="59"/>
      <c r="B320" s="59"/>
      <c r="C320" s="59"/>
      <c r="D320" s="59"/>
      <c r="E320" s="63"/>
      <c r="F320" s="64"/>
      <c r="G320" s="64"/>
      <c r="H320" s="64"/>
      <c r="I320" s="70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70"/>
      <c r="AA320" s="59"/>
      <c r="AB320" s="59"/>
      <c r="AC320" s="59"/>
      <c r="AD320" s="59"/>
      <c r="AE320" s="59"/>
      <c r="AF320" s="59"/>
    </row>
    <row r="321" ht="15.75" customHeight="1">
      <c r="A321" s="59"/>
      <c r="B321" s="59"/>
      <c r="C321" s="59"/>
      <c r="D321" s="59"/>
      <c r="E321" s="63"/>
      <c r="F321" s="64"/>
      <c r="G321" s="64"/>
      <c r="H321" s="64"/>
      <c r="I321" s="70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70"/>
      <c r="AA321" s="59"/>
      <c r="AB321" s="59"/>
      <c r="AC321" s="59"/>
      <c r="AD321" s="59"/>
      <c r="AE321" s="59"/>
      <c r="AF321" s="59"/>
    </row>
    <row r="322" ht="15.75" customHeight="1">
      <c r="A322" s="59"/>
      <c r="B322" s="59"/>
      <c r="C322" s="59"/>
      <c r="D322" s="59"/>
      <c r="E322" s="63"/>
      <c r="F322" s="64"/>
      <c r="G322" s="64"/>
      <c r="H322" s="64"/>
      <c r="I322" s="70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70"/>
      <c r="AA322" s="59"/>
      <c r="AB322" s="59"/>
      <c r="AC322" s="59"/>
      <c r="AD322" s="59"/>
      <c r="AE322" s="59"/>
      <c r="AF322" s="59"/>
    </row>
    <row r="323" ht="15.75" customHeight="1">
      <c r="A323" s="59"/>
      <c r="B323" s="59"/>
      <c r="C323" s="59"/>
      <c r="D323" s="59"/>
      <c r="E323" s="63"/>
      <c r="F323" s="64"/>
      <c r="G323" s="64"/>
      <c r="H323" s="64"/>
      <c r="I323" s="70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70"/>
      <c r="AA323" s="59"/>
      <c r="AB323" s="59"/>
      <c r="AC323" s="59"/>
      <c r="AD323" s="59"/>
      <c r="AE323" s="59"/>
      <c r="AF323" s="59"/>
    </row>
    <row r="324" ht="15.75" customHeight="1">
      <c r="A324" s="59"/>
      <c r="B324" s="59"/>
      <c r="C324" s="59"/>
      <c r="D324" s="59"/>
      <c r="E324" s="63"/>
      <c r="F324" s="64"/>
      <c r="G324" s="64"/>
      <c r="H324" s="64"/>
      <c r="I324" s="70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70"/>
      <c r="AA324" s="59"/>
      <c r="AB324" s="59"/>
      <c r="AC324" s="59"/>
      <c r="AD324" s="59"/>
      <c r="AE324" s="59"/>
      <c r="AF324" s="59"/>
    </row>
    <row r="325" ht="15.75" customHeight="1">
      <c r="A325" s="59"/>
      <c r="B325" s="59"/>
      <c r="C325" s="59"/>
      <c r="D325" s="59"/>
      <c r="E325" s="63"/>
      <c r="F325" s="64"/>
      <c r="G325" s="64"/>
      <c r="H325" s="64"/>
      <c r="I325" s="70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70"/>
      <c r="AA325" s="59"/>
      <c r="AB325" s="59"/>
      <c r="AC325" s="59"/>
      <c r="AD325" s="59"/>
      <c r="AE325" s="59"/>
      <c r="AF325" s="59"/>
    </row>
    <row r="326" ht="15.75" customHeight="1">
      <c r="A326" s="59"/>
      <c r="B326" s="59"/>
      <c r="C326" s="59"/>
      <c r="D326" s="59"/>
      <c r="E326" s="63"/>
      <c r="F326" s="64"/>
      <c r="G326" s="64"/>
      <c r="H326" s="64"/>
      <c r="I326" s="70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70"/>
      <c r="AA326" s="59"/>
      <c r="AB326" s="59"/>
      <c r="AC326" s="59"/>
      <c r="AD326" s="59"/>
      <c r="AE326" s="59"/>
      <c r="AF326" s="59"/>
    </row>
    <row r="327" ht="15.75" customHeight="1">
      <c r="A327" s="59"/>
      <c r="B327" s="59"/>
      <c r="C327" s="59"/>
      <c r="D327" s="59"/>
      <c r="E327" s="63"/>
      <c r="F327" s="64"/>
      <c r="G327" s="64"/>
      <c r="H327" s="64"/>
      <c r="I327" s="70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70"/>
      <c r="AA327" s="59"/>
      <c r="AB327" s="59"/>
      <c r="AC327" s="59"/>
      <c r="AD327" s="59"/>
      <c r="AE327" s="59"/>
      <c r="AF327" s="59"/>
    </row>
    <row r="328" ht="15.75" customHeight="1">
      <c r="A328" s="59"/>
      <c r="B328" s="59"/>
      <c r="C328" s="59"/>
      <c r="D328" s="59"/>
      <c r="E328" s="63"/>
      <c r="F328" s="64"/>
      <c r="G328" s="64"/>
      <c r="H328" s="64"/>
      <c r="I328" s="70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70"/>
      <c r="AA328" s="59"/>
      <c r="AB328" s="59"/>
      <c r="AC328" s="59"/>
      <c r="AD328" s="59"/>
      <c r="AE328" s="59"/>
      <c r="AF328" s="59"/>
    </row>
    <row r="329" ht="15.75" customHeight="1">
      <c r="A329" s="59"/>
      <c r="B329" s="59"/>
      <c r="C329" s="59"/>
      <c r="D329" s="59"/>
      <c r="E329" s="63"/>
      <c r="F329" s="64"/>
      <c r="G329" s="64"/>
      <c r="H329" s="64"/>
      <c r="I329" s="70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70"/>
      <c r="AA329" s="59"/>
      <c r="AB329" s="59"/>
      <c r="AC329" s="59"/>
      <c r="AD329" s="59"/>
      <c r="AE329" s="59"/>
      <c r="AF329" s="59"/>
    </row>
    <row r="330" ht="15.75" customHeight="1">
      <c r="A330" s="59"/>
      <c r="B330" s="59"/>
      <c r="C330" s="59"/>
      <c r="D330" s="59"/>
      <c r="E330" s="63"/>
      <c r="F330" s="64"/>
      <c r="G330" s="64"/>
      <c r="H330" s="64"/>
      <c r="I330" s="70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70"/>
      <c r="AA330" s="59"/>
      <c r="AB330" s="59"/>
      <c r="AC330" s="59"/>
      <c r="AD330" s="59"/>
      <c r="AE330" s="59"/>
      <c r="AF330" s="59"/>
    </row>
    <row r="331" ht="15.75" customHeight="1">
      <c r="A331" s="59"/>
      <c r="B331" s="59"/>
      <c r="C331" s="59"/>
      <c r="D331" s="59"/>
      <c r="E331" s="63"/>
      <c r="F331" s="64"/>
      <c r="G331" s="64"/>
      <c r="H331" s="64"/>
      <c r="I331" s="70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70"/>
      <c r="AA331" s="59"/>
      <c r="AB331" s="59"/>
      <c r="AC331" s="59"/>
      <c r="AD331" s="59"/>
      <c r="AE331" s="59"/>
      <c r="AF331" s="59"/>
    </row>
    <row r="332" ht="15.75" customHeight="1">
      <c r="A332" s="59"/>
      <c r="B332" s="59"/>
      <c r="C332" s="59"/>
      <c r="D332" s="59"/>
      <c r="E332" s="63"/>
      <c r="F332" s="64"/>
      <c r="G332" s="64"/>
      <c r="H332" s="64"/>
      <c r="I332" s="70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70"/>
      <c r="AA332" s="59"/>
      <c r="AB332" s="59"/>
      <c r="AC332" s="59"/>
      <c r="AD332" s="59"/>
      <c r="AE332" s="59"/>
      <c r="AF332" s="59"/>
    </row>
    <row r="333" ht="15.75" customHeight="1">
      <c r="A333" s="59"/>
      <c r="B333" s="59"/>
      <c r="C333" s="59"/>
      <c r="D333" s="59"/>
      <c r="E333" s="63"/>
      <c r="F333" s="64"/>
      <c r="G333" s="64"/>
      <c r="H333" s="64"/>
      <c r="I333" s="70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70"/>
      <c r="AA333" s="59"/>
      <c r="AB333" s="59"/>
      <c r="AC333" s="59"/>
      <c r="AD333" s="59"/>
      <c r="AE333" s="59"/>
      <c r="AF333" s="59"/>
    </row>
    <row r="334" ht="15.75" customHeight="1">
      <c r="A334" s="59"/>
      <c r="B334" s="59"/>
      <c r="C334" s="59"/>
      <c r="D334" s="59"/>
      <c r="E334" s="63"/>
      <c r="F334" s="64"/>
      <c r="G334" s="64"/>
      <c r="H334" s="64"/>
      <c r="I334" s="70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70"/>
      <c r="AA334" s="59"/>
      <c r="AB334" s="59"/>
      <c r="AC334" s="59"/>
      <c r="AD334" s="59"/>
      <c r="AE334" s="59"/>
      <c r="AF334" s="59"/>
    </row>
    <row r="335" ht="15.75" customHeight="1">
      <c r="A335" s="59"/>
      <c r="B335" s="59"/>
      <c r="C335" s="59"/>
      <c r="D335" s="59"/>
      <c r="E335" s="63"/>
      <c r="F335" s="64"/>
      <c r="G335" s="64"/>
      <c r="H335" s="64"/>
      <c r="I335" s="70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70"/>
      <c r="AA335" s="59"/>
      <c r="AB335" s="59"/>
      <c r="AC335" s="59"/>
      <c r="AD335" s="59"/>
      <c r="AE335" s="59"/>
      <c r="AF335" s="59"/>
    </row>
    <row r="336" ht="15.75" customHeight="1">
      <c r="A336" s="59"/>
      <c r="B336" s="59"/>
      <c r="C336" s="59"/>
      <c r="D336" s="59"/>
      <c r="E336" s="63"/>
      <c r="F336" s="64"/>
      <c r="G336" s="64"/>
      <c r="H336" s="64"/>
      <c r="I336" s="70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70"/>
      <c r="AA336" s="59"/>
      <c r="AB336" s="59"/>
      <c r="AC336" s="59"/>
      <c r="AD336" s="59"/>
      <c r="AE336" s="59"/>
      <c r="AF336" s="59"/>
    </row>
    <row r="337" ht="15.75" customHeight="1">
      <c r="A337" s="59"/>
      <c r="B337" s="59"/>
      <c r="C337" s="59"/>
      <c r="D337" s="59"/>
      <c r="E337" s="63"/>
      <c r="F337" s="64"/>
      <c r="G337" s="64"/>
      <c r="H337" s="64"/>
      <c r="I337" s="70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70"/>
      <c r="AA337" s="59"/>
      <c r="AB337" s="59"/>
      <c r="AC337" s="59"/>
      <c r="AD337" s="59"/>
      <c r="AE337" s="59"/>
      <c r="AF337" s="59"/>
    </row>
    <row r="338" ht="15.75" customHeight="1">
      <c r="A338" s="59"/>
      <c r="B338" s="59"/>
      <c r="C338" s="59"/>
      <c r="D338" s="59"/>
      <c r="E338" s="63"/>
      <c r="F338" s="64"/>
      <c r="G338" s="64"/>
      <c r="H338" s="64"/>
      <c r="I338" s="70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70"/>
      <c r="AA338" s="59"/>
      <c r="AB338" s="59"/>
      <c r="AC338" s="59"/>
      <c r="AD338" s="59"/>
      <c r="AE338" s="59"/>
      <c r="AF338" s="59"/>
    </row>
    <row r="339" ht="15.75" customHeight="1">
      <c r="A339" s="59"/>
      <c r="B339" s="59"/>
      <c r="C339" s="59"/>
      <c r="D339" s="59"/>
      <c r="E339" s="63"/>
      <c r="F339" s="64"/>
      <c r="G339" s="64"/>
      <c r="H339" s="64"/>
      <c r="I339" s="70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70"/>
      <c r="AA339" s="59"/>
      <c r="AB339" s="59"/>
      <c r="AC339" s="59"/>
      <c r="AD339" s="59"/>
      <c r="AE339" s="59"/>
      <c r="AF339" s="59"/>
    </row>
    <row r="340" ht="15.75" customHeight="1">
      <c r="A340" s="59"/>
      <c r="B340" s="59"/>
      <c r="C340" s="59"/>
      <c r="D340" s="59"/>
      <c r="E340" s="63"/>
      <c r="F340" s="64"/>
      <c r="G340" s="64"/>
      <c r="H340" s="64"/>
      <c r="I340" s="70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70"/>
      <c r="AA340" s="59"/>
      <c r="AB340" s="59"/>
      <c r="AC340" s="59"/>
      <c r="AD340" s="59"/>
      <c r="AE340" s="59"/>
      <c r="AF340" s="59"/>
    </row>
    <row r="341" ht="15.75" customHeight="1">
      <c r="A341" s="59"/>
      <c r="B341" s="59"/>
      <c r="C341" s="59"/>
      <c r="D341" s="59"/>
      <c r="E341" s="63"/>
      <c r="F341" s="64"/>
      <c r="G341" s="64"/>
      <c r="H341" s="64"/>
      <c r="I341" s="70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70"/>
      <c r="AA341" s="59"/>
      <c r="AB341" s="59"/>
      <c r="AC341" s="59"/>
      <c r="AD341" s="59"/>
      <c r="AE341" s="59"/>
      <c r="AF341" s="59"/>
    </row>
    <row r="342" ht="15.75" customHeight="1">
      <c r="A342" s="59"/>
      <c r="B342" s="59"/>
      <c r="C342" s="59"/>
      <c r="D342" s="59"/>
      <c r="E342" s="63"/>
      <c r="F342" s="64"/>
      <c r="G342" s="64"/>
      <c r="H342" s="64"/>
      <c r="I342" s="70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70"/>
      <c r="AA342" s="59"/>
      <c r="AB342" s="59"/>
      <c r="AC342" s="59"/>
      <c r="AD342" s="59"/>
      <c r="AE342" s="59"/>
      <c r="AF342" s="59"/>
    </row>
    <row r="343" ht="15.75" customHeight="1">
      <c r="A343" s="59"/>
      <c r="B343" s="59"/>
      <c r="C343" s="59"/>
      <c r="D343" s="59"/>
      <c r="E343" s="63"/>
      <c r="F343" s="64"/>
      <c r="G343" s="64"/>
      <c r="H343" s="64"/>
      <c r="I343" s="70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70"/>
      <c r="AA343" s="59"/>
      <c r="AB343" s="59"/>
      <c r="AC343" s="59"/>
      <c r="AD343" s="59"/>
      <c r="AE343" s="59"/>
      <c r="AF343" s="59"/>
    </row>
    <row r="344" ht="15.75" customHeight="1">
      <c r="A344" s="59"/>
      <c r="B344" s="59"/>
      <c r="C344" s="59"/>
      <c r="D344" s="59"/>
      <c r="E344" s="63"/>
      <c r="F344" s="64"/>
      <c r="G344" s="64"/>
      <c r="H344" s="64"/>
      <c r="I344" s="70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70"/>
      <c r="AA344" s="59"/>
      <c r="AB344" s="59"/>
      <c r="AC344" s="59"/>
      <c r="AD344" s="59"/>
      <c r="AE344" s="59"/>
      <c r="AF344" s="59"/>
    </row>
    <row r="345" ht="15.75" customHeight="1">
      <c r="A345" s="59"/>
      <c r="B345" s="59"/>
      <c r="C345" s="59"/>
      <c r="D345" s="59"/>
      <c r="E345" s="63"/>
      <c r="F345" s="64"/>
      <c r="G345" s="64"/>
      <c r="H345" s="64"/>
      <c r="I345" s="70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70"/>
      <c r="AA345" s="59"/>
      <c r="AB345" s="59"/>
      <c r="AC345" s="59"/>
      <c r="AD345" s="59"/>
      <c r="AE345" s="59"/>
      <c r="AF345" s="59"/>
    </row>
    <row r="346" ht="15.75" customHeight="1">
      <c r="A346" s="59"/>
      <c r="B346" s="59"/>
      <c r="C346" s="59"/>
      <c r="D346" s="59"/>
      <c r="E346" s="63"/>
      <c r="F346" s="64"/>
      <c r="G346" s="64"/>
      <c r="H346" s="64"/>
      <c r="I346" s="70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70"/>
      <c r="AA346" s="59"/>
      <c r="AB346" s="59"/>
      <c r="AC346" s="59"/>
      <c r="AD346" s="59"/>
      <c r="AE346" s="59"/>
      <c r="AF346" s="59"/>
    </row>
    <row r="347" ht="15.75" customHeight="1">
      <c r="A347" s="59"/>
      <c r="B347" s="59"/>
      <c r="C347" s="59"/>
      <c r="D347" s="59"/>
      <c r="E347" s="63"/>
      <c r="F347" s="64"/>
      <c r="G347" s="64"/>
      <c r="H347" s="64"/>
      <c r="I347" s="70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70"/>
      <c r="AA347" s="59"/>
      <c r="AB347" s="59"/>
      <c r="AC347" s="59"/>
      <c r="AD347" s="59"/>
      <c r="AE347" s="59"/>
      <c r="AF347" s="59"/>
    </row>
    <row r="348" ht="15.75" customHeight="1">
      <c r="A348" s="59"/>
      <c r="B348" s="59"/>
      <c r="C348" s="59"/>
      <c r="D348" s="59"/>
      <c r="E348" s="63"/>
      <c r="F348" s="64"/>
      <c r="G348" s="64"/>
      <c r="H348" s="64"/>
      <c r="I348" s="70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70"/>
      <c r="AA348" s="59"/>
      <c r="AB348" s="59"/>
      <c r="AC348" s="59"/>
      <c r="AD348" s="59"/>
      <c r="AE348" s="59"/>
      <c r="AF348" s="59"/>
    </row>
    <row r="349" ht="15.75" customHeight="1">
      <c r="A349" s="59"/>
      <c r="B349" s="59"/>
      <c r="C349" s="59"/>
      <c r="D349" s="59"/>
      <c r="E349" s="63"/>
      <c r="F349" s="64"/>
      <c r="G349" s="64"/>
      <c r="H349" s="64"/>
      <c r="I349" s="70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70"/>
      <c r="AA349" s="59"/>
      <c r="AB349" s="59"/>
      <c r="AC349" s="59"/>
      <c r="AD349" s="59"/>
      <c r="AE349" s="59"/>
      <c r="AF349" s="59"/>
    </row>
    <row r="350" ht="15.75" customHeight="1">
      <c r="A350" s="59"/>
      <c r="B350" s="59"/>
      <c r="C350" s="59"/>
      <c r="D350" s="59"/>
      <c r="E350" s="63"/>
      <c r="F350" s="64"/>
      <c r="G350" s="64"/>
      <c r="H350" s="64"/>
      <c r="I350" s="70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70"/>
      <c r="AA350" s="59"/>
      <c r="AB350" s="59"/>
      <c r="AC350" s="59"/>
      <c r="AD350" s="59"/>
      <c r="AE350" s="59"/>
      <c r="AF350" s="59"/>
    </row>
    <row r="351" ht="15.75" customHeight="1">
      <c r="A351" s="59"/>
      <c r="B351" s="59"/>
      <c r="C351" s="59"/>
      <c r="D351" s="59"/>
      <c r="E351" s="63"/>
      <c r="F351" s="64"/>
      <c r="G351" s="64"/>
      <c r="H351" s="64"/>
      <c r="I351" s="70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70"/>
      <c r="AA351" s="59"/>
      <c r="AB351" s="59"/>
      <c r="AC351" s="59"/>
      <c r="AD351" s="59"/>
      <c r="AE351" s="59"/>
      <c r="AF351" s="59"/>
    </row>
    <row r="352" ht="15.75" customHeight="1">
      <c r="A352" s="59"/>
      <c r="B352" s="59"/>
      <c r="C352" s="59"/>
      <c r="D352" s="59"/>
      <c r="E352" s="63"/>
      <c r="F352" s="64"/>
      <c r="G352" s="64"/>
      <c r="H352" s="64"/>
      <c r="I352" s="70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70"/>
      <c r="AA352" s="59"/>
      <c r="AB352" s="59"/>
      <c r="AC352" s="59"/>
      <c r="AD352" s="59"/>
      <c r="AE352" s="59"/>
      <c r="AF352" s="59"/>
    </row>
    <row r="353" ht="15.75" customHeight="1">
      <c r="A353" s="59"/>
      <c r="B353" s="59"/>
      <c r="C353" s="59"/>
      <c r="D353" s="59"/>
      <c r="E353" s="63"/>
      <c r="F353" s="64"/>
      <c r="G353" s="64"/>
      <c r="H353" s="64"/>
      <c r="I353" s="70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70"/>
      <c r="AA353" s="59"/>
      <c r="AB353" s="59"/>
      <c r="AC353" s="59"/>
      <c r="AD353" s="59"/>
      <c r="AE353" s="59"/>
      <c r="AF353" s="59"/>
    </row>
    <row r="354" ht="15.75" customHeight="1">
      <c r="A354" s="59"/>
      <c r="B354" s="59"/>
      <c r="C354" s="59"/>
      <c r="D354" s="59"/>
      <c r="E354" s="63"/>
      <c r="F354" s="64"/>
      <c r="G354" s="64"/>
      <c r="H354" s="64"/>
      <c r="I354" s="70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70"/>
      <c r="AA354" s="59"/>
      <c r="AB354" s="59"/>
      <c r="AC354" s="59"/>
      <c r="AD354" s="59"/>
      <c r="AE354" s="59"/>
      <c r="AF354" s="59"/>
    </row>
    <row r="355" ht="15.75" customHeight="1">
      <c r="A355" s="59"/>
      <c r="B355" s="59"/>
      <c r="C355" s="59"/>
      <c r="D355" s="59"/>
      <c r="E355" s="63"/>
      <c r="F355" s="64"/>
      <c r="G355" s="64"/>
      <c r="H355" s="64"/>
      <c r="I355" s="70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70"/>
      <c r="AA355" s="59"/>
      <c r="AB355" s="59"/>
      <c r="AC355" s="59"/>
      <c r="AD355" s="59"/>
      <c r="AE355" s="59"/>
      <c r="AF355" s="59"/>
    </row>
    <row r="356" ht="15.75" customHeight="1">
      <c r="A356" s="59"/>
      <c r="B356" s="59"/>
      <c r="C356" s="59"/>
      <c r="D356" s="59"/>
      <c r="E356" s="63"/>
      <c r="F356" s="64"/>
      <c r="G356" s="64"/>
      <c r="H356" s="64"/>
      <c r="I356" s="70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70"/>
      <c r="AA356" s="59"/>
      <c r="AB356" s="59"/>
      <c r="AC356" s="59"/>
      <c r="AD356" s="59"/>
      <c r="AE356" s="59"/>
      <c r="AF356" s="59"/>
    </row>
    <row r="357" ht="15.75" customHeight="1">
      <c r="A357" s="59"/>
      <c r="B357" s="59"/>
      <c r="C357" s="59"/>
      <c r="D357" s="59"/>
      <c r="E357" s="63"/>
      <c r="F357" s="64"/>
      <c r="G357" s="64"/>
      <c r="H357" s="64"/>
      <c r="I357" s="70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70"/>
      <c r="AA357" s="59"/>
      <c r="AB357" s="59"/>
      <c r="AC357" s="59"/>
      <c r="AD357" s="59"/>
      <c r="AE357" s="59"/>
      <c r="AF357" s="59"/>
    </row>
    <row r="358" ht="15.75" customHeight="1">
      <c r="A358" s="59"/>
      <c r="B358" s="59"/>
      <c r="C358" s="59"/>
      <c r="D358" s="59"/>
      <c r="E358" s="63"/>
      <c r="F358" s="64"/>
      <c r="G358" s="64"/>
      <c r="H358" s="64"/>
      <c r="I358" s="70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70"/>
      <c r="AA358" s="59"/>
      <c r="AB358" s="59"/>
      <c r="AC358" s="59"/>
      <c r="AD358" s="59"/>
      <c r="AE358" s="59"/>
      <c r="AF358" s="59"/>
    </row>
    <row r="359" ht="15.75" customHeight="1">
      <c r="A359" s="59"/>
      <c r="B359" s="59"/>
      <c r="C359" s="59"/>
      <c r="D359" s="59"/>
      <c r="E359" s="63"/>
      <c r="F359" s="64"/>
      <c r="G359" s="64"/>
      <c r="H359" s="64"/>
      <c r="I359" s="70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70"/>
      <c r="AA359" s="59"/>
      <c r="AB359" s="59"/>
      <c r="AC359" s="59"/>
      <c r="AD359" s="59"/>
      <c r="AE359" s="59"/>
      <c r="AF359" s="59"/>
    </row>
    <row r="360" ht="15.75" customHeight="1">
      <c r="A360" s="59"/>
      <c r="B360" s="59"/>
      <c r="C360" s="59"/>
      <c r="D360" s="59"/>
      <c r="E360" s="63"/>
      <c r="F360" s="64"/>
      <c r="G360" s="64"/>
      <c r="H360" s="64"/>
      <c r="I360" s="70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70"/>
      <c r="AA360" s="59"/>
      <c r="AB360" s="59"/>
      <c r="AC360" s="59"/>
      <c r="AD360" s="59"/>
      <c r="AE360" s="59"/>
      <c r="AF360" s="59"/>
    </row>
    <row r="361" ht="15.75" customHeight="1">
      <c r="A361" s="59"/>
      <c r="B361" s="59"/>
      <c r="C361" s="59"/>
      <c r="D361" s="59"/>
      <c r="E361" s="63"/>
      <c r="F361" s="64"/>
      <c r="G361" s="64"/>
      <c r="H361" s="64"/>
      <c r="I361" s="70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70"/>
      <c r="AA361" s="59"/>
      <c r="AB361" s="59"/>
      <c r="AC361" s="59"/>
      <c r="AD361" s="59"/>
      <c r="AE361" s="59"/>
      <c r="AF361" s="59"/>
    </row>
    <row r="362" ht="15.75" customHeight="1">
      <c r="A362" s="59"/>
      <c r="B362" s="59"/>
      <c r="C362" s="59"/>
      <c r="D362" s="59"/>
      <c r="E362" s="63"/>
      <c r="F362" s="64"/>
      <c r="G362" s="64"/>
      <c r="H362" s="64"/>
      <c r="I362" s="70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70"/>
      <c r="AA362" s="59"/>
      <c r="AB362" s="59"/>
      <c r="AC362" s="59"/>
      <c r="AD362" s="59"/>
      <c r="AE362" s="59"/>
      <c r="AF362" s="59"/>
    </row>
    <row r="363" ht="15.75" customHeight="1">
      <c r="A363" s="59"/>
      <c r="B363" s="59"/>
      <c r="C363" s="59"/>
      <c r="D363" s="59"/>
      <c r="E363" s="63"/>
      <c r="F363" s="64"/>
      <c r="G363" s="64"/>
      <c r="H363" s="64"/>
      <c r="I363" s="70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70"/>
      <c r="AA363" s="59"/>
      <c r="AB363" s="59"/>
      <c r="AC363" s="59"/>
      <c r="AD363" s="59"/>
      <c r="AE363" s="59"/>
      <c r="AF363" s="59"/>
    </row>
    <row r="364" ht="15.75" customHeight="1">
      <c r="A364" s="59"/>
      <c r="B364" s="59"/>
      <c r="C364" s="59"/>
      <c r="D364" s="59"/>
      <c r="E364" s="63"/>
      <c r="F364" s="64"/>
      <c r="G364" s="64"/>
      <c r="H364" s="64"/>
      <c r="I364" s="70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70"/>
      <c r="AA364" s="59"/>
      <c r="AB364" s="59"/>
      <c r="AC364" s="59"/>
      <c r="AD364" s="59"/>
      <c r="AE364" s="59"/>
      <c r="AF364" s="59"/>
    </row>
    <row r="365" ht="15.75" customHeight="1">
      <c r="A365" s="59"/>
      <c r="B365" s="59"/>
      <c r="C365" s="59"/>
      <c r="D365" s="59"/>
      <c r="E365" s="63"/>
      <c r="F365" s="64"/>
      <c r="G365" s="64"/>
      <c r="H365" s="64"/>
      <c r="I365" s="70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70"/>
      <c r="AA365" s="59"/>
      <c r="AB365" s="59"/>
      <c r="AC365" s="59"/>
      <c r="AD365" s="59"/>
      <c r="AE365" s="59"/>
      <c r="AF365" s="59"/>
    </row>
    <row r="366" ht="15.75" customHeight="1">
      <c r="A366" s="59"/>
      <c r="B366" s="59"/>
      <c r="C366" s="59"/>
      <c r="D366" s="59"/>
      <c r="E366" s="63"/>
      <c r="F366" s="64"/>
      <c r="G366" s="64"/>
      <c r="H366" s="64"/>
      <c r="I366" s="70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70"/>
      <c r="AA366" s="59"/>
      <c r="AB366" s="59"/>
      <c r="AC366" s="59"/>
      <c r="AD366" s="59"/>
      <c r="AE366" s="59"/>
      <c r="AF366" s="59"/>
    </row>
    <row r="367" ht="15.75" customHeight="1">
      <c r="A367" s="59"/>
      <c r="B367" s="59"/>
      <c r="C367" s="59"/>
      <c r="D367" s="59"/>
      <c r="E367" s="63"/>
      <c r="F367" s="64"/>
      <c r="G367" s="64"/>
      <c r="H367" s="64"/>
      <c r="I367" s="70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70"/>
      <c r="AA367" s="59"/>
      <c r="AB367" s="59"/>
      <c r="AC367" s="59"/>
      <c r="AD367" s="59"/>
      <c r="AE367" s="59"/>
      <c r="AF367" s="59"/>
    </row>
    <row r="368" ht="15.75" customHeight="1">
      <c r="A368" s="59"/>
      <c r="B368" s="59"/>
      <c r="C368" s="59"/>
      <c r="D368" s="59"/>
      <c r="E368" s="63"/>
      <c r="F368" s="64"/>
      <c r="G368" s="64"/>
      <c r="H368" s="64"/>
      <c r="I368" s="70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70"/>
      <c r="AA368" s="59"/>
      <c r="AB368" s="59"/>
      <c r="AC368" s="59"/>
      <c r="AD368" s="59"/>
      <c r="AE368" s="59"/>
      <c r="AF368" s="59"/>
    </row>
    <row r="369" ht="15.75" customHeight="1">
      <c r="A369" s="59"/>
      <c r="B369" s="59"/>
      <c r="C369" s="59"/>
      <c r="D369" s="59"/>
      <c r="E369" s="63"/>
      <c r="F369" s="64"/>
      <c r="G369" s="64"/>
      <c r="H369" s="64"/>
      <c r="I369" s="70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70"/>
      <c r="AA369" s="59"/>
      <c r="AB369" s="59"/>
      <c r="AC369" s="59"/>
      <c r="AD369" s="59"/>
      <c r="AE369" s="59"/>
      <c r="AF369" s="59"/>
    </row>
    <row r="370" ht="15.75" customHeight="1">
      <c r="A370" s="59"/>
      <c r="B370" s="59"/>
      <c r="C370" s="59"/>
      <c r="D370" s="59"/>
      <c r="E370" s="63"/>
      <c r="F370" s="64"/>
      <c r="G370" s="64"/>
      <c r="H370" s="64"/>
      <c r="I370" s="70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70"/>
      <c r="AA370" s="59"/>
      <c r="AB370" s="59"/>
      <c r="AC370" s="59"/>
      <c r="AD370" s="59"/>
      <c r="AE370" s="59"/>
      <c r="AF370" s="59"/>
    </row>
    <row r="371" ht="15.75" customHeight="1">
      <c r="A371" s="59"/>
      <c r="B371" s="59"/>
      <c r="C371" s="59"/>
      <c r="D371" s="59"/>
      <c r="E371" s="63"/>
      <c r="F371" s="64"/>
      <c r="G371" s="64"/>
      <c r="H371" s="64"/>
      <c r="I371" s="70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70"/>
      <c r="AA371" s="59"/>
      <c r="AB371" s="59"/>
      <c r="AC371" s="59"/>
      <c r="AD371" s="59"/>
      <c r="AE371" s="59"/>
      <c r="AF371" s="59"/>
    </row>
    <row r="372" ht="15.75" customHeight="1">
      <c r="A372" s="59"/>
      <c r="B372" s="59"/>
      <c r="C372" s="59"/>
      <c r="D372" s="59"/>
      <c r="E372" s="63"/>
      <c r="F372" s="64"/>
      <c r="G372" s="64"/>
      <c r="H372" s="64"/>
      <c r="I372" s="70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70"/>
      <c r="AA372" s="59"/>
      <c r="AB372" s="59"/>
      <c r="AC372" s="59"/>
      <c r="AD372" s="59"/>
      <c r="AE372" s="59"/>
      <c r="AF372" s="59"/>
    </row>
    <row r="373" ht="15.75" customHeight="1">
      <c r="A373" s="59"/>
      <c r="B373" s="59"/>
      <c r="C373" s="59"/>
      <c r="D373" s="59"/>
      <c r="E373" s="63"/>
      <c r="F373" s="64"/>
      <c r="G373" s="64"/>
      <c r="H373" s="64"/>
      <c r="I373" s="70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70"/>
      <c r="AA373" s="59"/>
      <c r="AB373" s="59"/>
      <c r="AC373" s="59"/>
      <c r="AD373" s="59"/>
      <c r="AE373" s="59"/>
      <c r="AF373" s="59"/>
    </row>
    <row r="374" ht="15.75" customHeight="1">
      <c r="A374" s="59"/>
      <c r="B374" s="59"/>
      <c r="C374" s="59"/>
      <c r="D374" s="59"/>
      <c r="E374" s="63"/>
      <c r="F374" s="64"/>
      <c r="G374" s="64"/>
      <c r="H374" s="64"/>
      <c r="I374" s="70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70"/>
      <c r="AA374" s="59"/>
      <c r="AB374" s="59"/>
      <c r="AC374" s="59"/>
      <c r="AD374" s="59"/>
      <c r="AE374" s="59"/>
      <c r="AF374" s="59"/>
    </row>
    <row r="375" ht="15.75" customHeight="1">
      <c r="A375" s="59"/>
      <c r="B375" s="59"/>
      <c r="C375" s="59"/>
      <c r="D375" s="59"/>
      <c r="E375" s="63"/>
      <c r="F375" s="64"/>
      <c r="G375" s="64"/>
      <c r="H375" s="64"/>
      <c r="I375" s="70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70"/>
      <c r="AA375" s="59"/>
      <c r="AB375" s="59"/>
      <c r="AC375" s="59"/>
      <c r="AD375" s="59"/>
      <c r="AE375" s="59"/>
      <c r="AF375" s="59"/>
    </row>
    <row r="376" ht="15.75" customHeight="1">
      <c r="A376" s="59"/>
      <c r="B376" s="59"/>
      <c r="C376" s="59"/>
      <c r="D376" s="59"/>
      <c r="E376" s="63"/>
      <c r="F376" s="64"/>
      <c r="G376" s="64"/>
      <c r="H376" s="64"/>
      <c r="I376" s="70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70"/>
      <c r="AA376" s="59"/>
      <c r="AB376" s="59"/>
      <c r="AC376" s="59"/>
      <c r="AD376" s="59"/>
      <c r="AE376" s="59"/>
      <c r="AF376" s="59"/>
    </row>
    <row r="377" ht="15.75" customHeight="1">
      <c r="A377" s="59"/>
      <c r="B377" s="59"/>
      <c r="C377" s="59"/>
      <c r="D377" s="59"/>
      <c r="E377" s="63"/>
      <c r="F377" s="64"/>
      <c r="G377" s="64"/>
      <c r="H377" s="64"/>
      <c r="I377" s="70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70"/>
      <c r="AA377" s="59"/>
      <c r="AB377" s="59"/>
      <c r="AC377" s="59"/>
      <c r="AD377" s="59"/>
      <c r="AE377" s="59"/>
      <c r="AF377" s="59"/>
    </row>
    <row r="378" ht="15.75" customHeight="1">
      <c r="A378" s="59"/>
      <c r="B378" s="59"/>
      <c r="C378" s="59"/>
      <c r="D378" s="59"/>
      <c r="E378" s="63"/>
      <c r="F378" s="64"/>
      <c r="G378" s="64"/>
      <c r="H378" s="64"/>
      <c r="I378" s="70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70"/>
      <c r="AA378" s="59"/>
      <c r="AB378" s="59"/>
      <c r="AC378" s="59"/>
      <c r="AD378" s="59"/>
      <c r="AE378" s="59"/>
      <c r="AF378" s="59"/>
    </row>
    <row r="379" ht="15.75" customHeight="1">
      <c r="A379" s="59"/>
      <c r="B379" s="59"/>
      <c r="C379" s="59"/>
      <c r="D379" s="59"/>
      <c r="E379" s="63"/>
      <c r="F379" s="64"/>
      <c r="G379" s="64"/>
      <c r="H379" s="64"/>
      <c r="I379" s="70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70"/>
      <c r="AA379" s="59"/>
      <c r="AB379" s="59"/>
      <c r="AC379" s="59"/>
      <c r="AD379" s="59"/>
      <c r="AE379" s="59"/>
      <c r="AF379" s="59"/>
    </row>
    <row r="380" ht="15.75" customHeight="1">
      <c r="A380" s="59"/>
      <c r="B380" s="59"/>
      <c r="C380" s="59"/>
      <c r="D380" s="59"/>
      <c r="E380" s="63"/>
      <c r="F380" s="64"/>
      <c r="G380" s="64"/>
      <c r="H380" s="64"/>
      <c r="I380" s="70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70"/>
      <c r="AA380" s="59"/>
      <c r="AB380" s="59"/>
      <c r="AC380" s="59"/>
      <c r="AD380" s="59"/>
      <c r="AE380" s="59"/>
      <c r="AF380" s="59"/>
    </row>
    <row r="381" ht="15.75" customHeight="1">
      <c r="A381" s="59"/>
      <c r="B381" s="59"/>
      <c r="C381" s="59"/>
      <c r="D381" s="59"/>
      <c r="E381" s="63"/>
      <c r="F381" s="64"/>
      <c r="G381" s="64"/>
      <c r="H381" s="64"/>
      <c r="I381" s="70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70"/>
      <c r="AA381" s="59"/>
      <c r="AB381" s="59"/>
      <c r="AC381" s="59"/>
      <c r="AD381" s="59"/>
      <c r="AE381" s="59"/>
      <c r="AF381" s="59"/>
    </row>
    <row r="382" ht="15.75" customHeight="1">
      <c r="A382" s="59"/>
      <c r="B382" s="59"/>
      <c r="C382" s="59"/>
      <c r="D382" s="59"/>
      <c r="E382" s="63"/>
      <c r="F382" s="64"/>
      <c r="G382" s="64"/>
      <c r="H382" s="64"/>
      <c r="I382" s="70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70"/>
      <c r="AA382" s="59"/>
      <c r="AB382" s="59"/>
      <c r="AC382" s="59"/>
      <c r="AD382" s="59"/>
      <c r="AE382" s="59"/>
      <c r="AF382" s="59"/>
    </row>
    <row r="383" ht="15.75" customHeight="1">
      <c r="A383" s="59"/>
      <c r="B383" s="59"/>
      <c r="C383" s="59"/>
      <c r="D383" s="59"/>
      <c r="E383" s="63"/>
      <c r="F383" s="64"/>
      <c r="G383" s="64"/>
      <c r="H383" s="64"/>
      <c r="I383" s="70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70"/>
      <c r="AA383" s="59"/>
      <c r="AB383" s="59"/>
      <c r="AC383" s="59"/>
      <c r="AD383" s="59"/>
      <c r="AE383" s="59"/>
      <c r="AF383" s="59"/>
    </row>
    <row r="384" ht="15.75" customHeight="1">
      <c r="A384" s="59"/>
      <c r="B384" s="59"/>
      <c r="C384" s="59"/>
      <c r="D384" s="59"/>
      <c r="E384" s="63"/>
      <c r="F384" s="64"/>
      <c r="G384" s="64"/>
      <c r="H384" s="64"/>
      <c r="I384" s="70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70"/>
      <c r="AA384" s="59"/>
      <c r="AB384" s="59"/>
      <c r="AC384" s="59"/>
      <c r="AD384" s="59"/>
      <c r="AE384" s="59"/>
      <c r="AF384" s="59"/>
    </row>
    <row r="385" ht="15.75" customHeight="1">
      <c r="A385" s="59"/>
      <c r="B385" s="59"/>
      <c r="C385" s="59"/>
      <c r="D385" s="59"/>
      <c r="E385" s="63"/>
      <c r="F385" s="64"/>
      <c r="G385" s="64"/>
      <c r="H385" s="64"/>
      <c r="I385" s="70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70"/>
      <c r="AA385" s="59"/>
      <c r="AB385" s="59"/>
      <c r="AC385" s="59"/>
      <c r="AD385" s="59"/>
      <c r="AE385" s="59"/>
      <c r="AF385" s="59"/>
    </row>
    <row r="386" ht="15.75" customHeight="1">
      <c r="A386" s="59"/>
      <c r="B386" s="59"/>
      <c r="C386" s="59"/>
      <c r="D386" s="59"/>
      <c r="E386" s="63"/>
      <c r="F386" s="64"/>
      <c r="G386" s="64"/>
      <c r="H386" s="64"/>
      <c r="I386" s="70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70"/>
      <c r="AA386" s="59"/>
      <c r="AB386" s="59"/>
      <c r="AC386" s="59"/>
      <c r="AD386" s="59"/>
      <c r="AE386" s="59"/>
      <c r="AF386" s="59"/>
    </row>
    <row r="387" ht="15.75" customHeight="1">
      <c r="A387" s="59"/>
      <c r="B387" s="59"/>
      <c r="C387" s="59"/>
      <c r="D387" s="59"/>
      <c r="E387" s="63"/>
      <c r="F387" s="64"/>
      <c r="G387" s="64"/>
      <c r="H387" s="64"/>
      <c r="I387" s="70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70"/>
      <c r="AA387" s="59"/>
      <c r="AB387" s="59"/>
      <c r="AC387" s="59"/>
      <c r="AD387" s="59"/>
      <c r="AE387" s="59"/>
      <c r="AF387" s="59"/>
    </row>
    <row r="388" ht="15.75" customHeight="1">
      <c r="A388" s="59"/>
      <c r="B388" s="59"/>
      <c r="C388" s="59"/>
      <c r="D388" s="59"/>
      <c r="E388" s="63"/>
      <c r="F388" s="64"/>
      <c r="G388" s="64"/>
      <c r="H388" s="64"/>
      <c r="I388" s="70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70"/>
      <c r="AA388" s="59"/>
      <c r="AB388" s="59"/>
      <c r="AC388" s="59"/>
      <c r="AD388" s="59"/>
      <c r="AE388" s="59"/>
      <c r="AF388" s="59"/>
    </row>
    <row r="389" ht="15.75" customHeight="1">
      <c r="A389" s="59"/>
      <c r="B389" s="59"/>
      <c r="C389" s="59"/>
      <c r="D389" s="59"/>
      <c r="E389" s="63"/>
      <c r="F389" s="64"/>
      <c r="G389" s="64"/>
      <c r="H389" s="64"/>
      <c r="I389" s="70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70"/>
      <c r="AA389" s="59"/>
      <c r="AB389" s="59"/>
      <c r="AC389" s="59"/>
      <c r="AD389" s="59"/>
      <c r="AE389" s="59"/>
      <c r="AF389" s="59"/>
    </row>
    <row r="390" ht="15.75" customHeight="1">
      <c r="A390" s="59"/>
      <c r="B390" s="59"/>
      <c r="C390" s="59"/>
      <c r="D390" s="59"/>
      <c r="E390" s="63"/>
      <c r="F390" s="64"/>
      <c r="G390" s="64"/>
      <c r="H390" s="64"/>
      <c r="I390" s="70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70"/>
      <c r="AA390" s="59"/>
      <c r="AB390" s="59"/>
      <c r="AC390" s="59"/>
      <c r="AD390" s="59"/>
      <c r="AE390" s="59"/>
      <c r="AF390" s="59"/>
    </row>
    <row r="391" ht="15.75" customHeight="1">
      <c r="A391" s="59"/>
      <c r="B391" s="59"/>
      <c r="C391" s="59"/>
      <c r="D391" s="59"/>
      <c r="E391" s="63"/>
      <c r="F391" s="64"/>
      <c r="G391" s="64"/>
      <c r="H391" s="64"/>
      <c r="I391" s="70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70"/>
      <c r="AA391" s="59"/>
      <c r="AB391" s="59"/>
      <c r="AC391" s="59"/>
      <c r="AD391" s="59"/>
      <c r="AE391" s="59"/>
      <c r="AF391" s="59"/>
    </row>
    <row r="392" ht="15.75" customHeight="1">
      <c r="A392" s="59"/>
      <c r="B392" s="59"/>
      <c r="C392" s="59"/>
      <c r="D392" s="59"/>
      <c r="E392" s="63"/>
      <c r="F392" s="64"/>
      <c r="G392" s="64"/>
      <c r="H392" s="64"/>
      <c r="I392" s="70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70"/>
      <c r="AA392" s="59"/>
      <c r="AB392" s="59"/>
      <c r="AC392" s="59"/>
      <c r="AD392" s="59"/>
      <c r="AE392" s="59"/>
      <c r="AF392" s="59"/>
    </row>
    <row r="393" ht="15.75" customHeight="1">
      <c r="A393" s="59"/>
      <c r="B393" s="59"/>
      <c r="C393" s="59"/>
      <c r="D393" s="59"/>
      <c r="E393" s="63"/>
      <c r="F393" s="64"/>
      <c r="G393" s="64"/>
      <c r="H393" s="64"/>
      <c r="I393" s="70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70"/>
      <c r="AA393" s="59"/>
      <c r="AB393" s="59"/>
      <c r="AC393" s="59"/>
      <c r="AD393" s="59"/>
      <c r="AE393" s="59"/>
      <c r="AF393" s="59"/>
    </row>
    <row r="394" ht="15.75" customHeight="1">
      <c r="A394" s="59"/>
      <c r="B394" s="59"/>
      <c r="C394" s="59"/>
      <c r="D394" s="59"/>
      <c r="E394" s="63"/>
      <c r="F394" s="64"/>
      <c r="G394" s="64"/>
      <c r="H394" s="64"/>
      <c r="I394" s="70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70"/>
      <c r="AA394" s="59"/>
      <c r="AB394" s="59"/>
      <c r="AC394" s="59"/>
      <c r="AD394" s="59"/>
      <c r="AE394" s="59"/>
      <c r="AF394" s="59"/>
    </row>
    <row r="395" ht="15.75" customHeight="1">
      <c r="A395" s="59"/>
      <c r="B395" s="59"/>
      <c r="C395" s="59"/>
      <c r="D395" s="59"/>
      <c r="E395" s="63"/>
      <c r="F395" s="64"/>
      <c r="G395" s="64"/>
      <c r="H395" s="64"/>
      <c r="I395" s="70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70"/>
      <c r="AA395" s="59"/>
      <c r="AB395" s="59"/>
      <c r="AC395" s="59"/>
      <c r="AD395" s="59"/>
      <c r="AE395" s="59"/>
      <c r="AF395" s="59"/>
    </row>
    <row r="396" ht="15.75" customHeight="1">
      <c r="A396" s="59"/>
      <c r="B396" s="59"/>
      <c r="C396" s="59"/>
      <c r="D396" s="59"/>
      <c r="E396" s="63"/>
      <c r="F396" s="64"/>
      <c r="G396" s="64"/>
      <c r="H396" s="64"/>
      <c r="I396" s="70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70"/>
      <c r="AA396" s="59"/>
      <c r="AB396" s="59"/>
      <c r="AC396" s="59"/>
      <c r="AD396" s="59"/>
      <c r="AE396" s="59"/>
      <c r="AF396" s="59"/>
    </row>
    <row r="397" ht="15.75" customHeight="1">
      <c r="A397" s="59"/>
      <c r="B397" s="59"/>
      <c r="C397" s="59"/>
      <c r="D397" s="59"/>
      <c r="E397" s="63"/>
      <c r="F397" s="64"/>
      <c r="G397" s="64"/>
      <c r="H397" s="64"/>
      <c r="I397" s="70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70"/>
      <c r="AA397" s="59"/>
      <c r="AB397" s="59"/>
      <c r="AC397" s="59"/>
      <c r="AD397" s="59"/>
      <c r="AE397" s="59"/>
      <c r="AF397" s="59"/>
    </row>
    <row r="398" ht="15.75" customHeight="1">
      <c r="A398" s="59"/>
      <c r="B398" s="59"/>
      <c r="C398" s="59"/>
      <c r="D398" s="59"/>
      <c r="E398" s="63"/>
      <c r="F398" s="64"/>
      <c r="G398" s="64"/>
      <c r="H398" s="64"/>
      <c r="I398" s="70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70"/>
      <c r="AA398" s="59"/>
      <c r="AB398" s="59"/>
      <c r="AC398" s="59"/>
      <c r="AD398" s="59"/>
      <c r="AE398" s="59"/>
      <c r="AF398" s="59"/>
    </row>
    <row r="399" ht="15.75" customHeight="1">
      <c r="A399" s="59"/>
      <c r="B399" s="59"/>
      <c r="C399" s="59"/>
      <c r="D399" s="59"/>
      <c r="E399" s="63"/>
      <c r="F399" s="64"/>
      <c r="G399" s="64"/>
      <c r="H399" s="64"/>
      <c r="I399" s="70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70"/>
      <c r="AA399" s="59"/>
      <c r="AB399" s="59"/>
      <c r="AC399" s="59"/>
      <c r="AD399" s="59"/>
      <c r="AE399" s="59"/>
      <c r="AF399" s="59"/>
    </row>
    <row r="400" ht="15.75" customHeight="1">
      <c r="A400" s="59"/>
      <c r="B400" s="59"/>
      <c r="C400" s="59"/>
      <c r="D400" s="59"/>
      <c r="E400" s="63"/>
      <c r="F400" s="64"/>
      <c r="G400" s="64"/>
      <c r="H400" s="64"/>
      <c r="I400" s="70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70"/>
      <c r="AA400" s="59"/>
      <c r="AB400" s="59"/>
      <c r="AC400" s="59"/>
      <c r="AD400" s="59"/>
      <c r="AE400" s="59"/>
      <c r="AF400" s="59"/>
    </row>
    <row r="401" ht="15.75" customHeight="1">
      <c r="A401" s="59"/>
      <c r="B401" s="59"/>
      <c r="C401" s="59"/>
      <c r="D401" s="59"/>
      <c r="E401" s="63"/>
      <c r="F401" s="64"/>
      <c r="G401" s="64"/>
      <c r="H401" s="64"/>
      <c r="I401" s="70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70"/>
      <c r="AA401" s="59"/>
      <c r="AB401" s="59"/>
      <c r="AC401" s="59"/>
      <c r="AD401" s="59"/>
      <c r="AE401" s="59"/>
      <c r="AF401" s="59"/>
    </row>
    <row r="402" ht="15.75" customHeight="1">
      <c r="A402" s="59"/>
      <c r="B402" s="59"/>
      <c r="C402" s="59"/>
      <c r="D402" s="59"/>
      <c r="E402" s="63"/>
      <c r="F402" s="64"/>
      <c r="G402" s="64"/>
      <c r="H402" s="64"/>
      <c r="I402" s="70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70"/>
      <c r="AA402" s="59"/>
      <c r="AB402" s="59"/>
      <c r="AC402" s="59"/>
      <c r="AD402" s="59"/>
      <c r="AE402" s="59"/>
      <c r="AF402" s="59"/>
    </row>
    <row r="403" ht="15.75" customHeight="1">
      <c r="A403" s="59"/>
      <c r="B403" s="59"/>
      <c r="C403" s="59"/>
      <c r="D403" s="59"/>
      <c r="E403" s="63"/>
      <c r="F403" s="64"/>
      <c r="G403" s="64"/>
      <c r="H403" s="64"/>
      <c r="I403" s="70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70"/>
      <c r="AA403" s="59"/>
      <c r="AB403" s="59"/>
      <c r="AC403" s="59"/>
      <c r="AD403" s="59"/>
      <c r="AE403" s="59"/>
      <c r="AF403" s="59"/>
    </row>
    <row r="404" ht="15.75" customHeight="1">
      <c r="A404" s="59"/>
      <c r="B404" s="59"/>
      <c r="C404" s="59"/>
      <c r="D404" s="59"/>
      <c r="E404" s="63"/>
      <c r="F404" s="64"/>
      <c r="G404" s="64"/>
      <c r="H404" s="64"/>
      <c r="I404" s="70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70"/>
      <c r="AA404" s="59"/>
      <c r="AB404" s="59"/>
      <c r="AC404" s="59"/>
      <c r="AD404" s="59"/>
      <c r="AE404" s="59"/>
      <c r="AF404" s="59"/>
    </row>
    <row r="405" ht="15.75" customHeight="1">
      <c r="A405" s="59"/>
      <c r="B405" s="59"/>
      <c r="C405" s="59"/>
      <c r="D405" s="59"/>
      <c r="E405" s="63"/>
      <c r="F405" s="64"/>
      <c r="G405" s="64"/>
      <c r="H405" s="64"/>
      <c r="I405" s="70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70"/>
      <c r="AA405" s="59"/>
      <c r="AB405" s="59"/>
      <c r="AC405" s="59"/>
      <c r="AD405" s="59"/>
      <c r="AE405" s="59"/>
      <c r="AF405" s="59"/>
    </row>
    <row r="406" ht="15.75" customHeight="1">
      <c r="A406" s="59"/>
      <c r="B406" s="59"/>
      <c r="C406" s="59"/>
      <c r="D406" s="59"/>
      <c r="E406" s="63"/>
      <c r="F406" s="64"/>
      <c r="G406" s="64"/>
      <c r="H406" s="64"/>
      <c r="I406" s="70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70"/>
      <c r="AA406" s="59"/>
      <c r="AB406" s="59"/>
      <c r="AC406" s="59"/>
      <c r="AD406" s="59"/>
      <c r="AE406" s="59"/>
      <c r="AF406" s="59"/>
    </row>
    <row r="407" ht="15.75" customHeight="1">
      <c r="A407" s="59"/>
      <c r="B407" s="59"/>
      <c r="C407" s="59"/>
      <c r="D407" s="59"/>
      <c r="E407" s="63"/>
      <c r="F407" s="64"/>
      <c r="G407" s="64"/>
      <c r="H407" s="64"/>
      <c r="I407" s="70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70"/>
      <c r="AA407" s="59"/>
      <c r="AB407" s="59"/>
      <c r="AC407" s="59"/>
      <c r="AD407" s="59"/>
      <c r="AE407" s="59"/>
      <c r="AF407" s="59"/>
    </row>
    <row r="408" ht="15.75" customHeight="1">
      <c r="A408" s="59"/>
      <c r="B408" s="59"/>
      <c r="C408" s="59"/>
      <c r="D408" s="59"/>
      <c r="E408" s="63"/>
      <c r="F408" s="64"/>
      <c r="G408" s="64"/>
      <c r="H408" s="64"/>
      <c r="I408" s="70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70"/>
      <c r="AA408" s="59"/>
      <c r="AB408" s="59"/>
      <c r="AC408" s="59"/>
      <c r="AD408" s="59"/>
      <c r="AE408" s="59"/>
      <c r="AF408" s="59"/>
    </row>
    <row r="409" ht="15.75" customHeight="1">
      <c r="A409" s="59"/>
      <c r="B409" s="59"/>
      <c r="C409" s="59"/>
      <c r="D409" s="59"/>
      <c r="E409" s="63"/>
      <c r="F409" s="64"/>
      <c r="G409" s="64"/>
      <c r="H409" s="64"/>
      <c r="I409" s="70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70"/>
      <c r="AA409" s="59"/>
      <c r="AB409" s="59"/>
      <c r="AC409" s="59"/>
      <c r="AD409" s="59"/>
      <c r="AE409" s="59"/>
      <c r="AF409" s="59"/>
    </row>
    <row r="410" ht="15.75" customHeight="1">
      <c r="A410" s="59"/>
      <c r="B410" s="59"/>
      <c r="C410" s="59"/>
      <c r="D410" s="59"/>
      <c r="E410" s="63"/>
      <c r="F410" s="64"/>
      <c r="G410" s="64"/>
      <c r="H410" s="64"/>
      <c r="I410" s="70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70"/>
      <c r="AA410" s="59"/>
      <c r="AB410" s="59"/>
      <c r="AC410" s="59"/>
      <c r="AD410" s="59"/>
      <c r="AE410" s="59"/>
      <c r="AF410" s="59"/>
    </row>
    <row r="411" ht="15.75" customHeight="1">
      <c r="A411" s="59"/>
      <c r="B411" s="59"/>
      <c r="C411" s="59"/>
      <c r="D411" s="59"/>
      <c r="E411" s="63"/>
      <c r="F411" s="64"/>
      <c r="G411" s="64"/>
      <c r="H411" s="64"/>
      <c r="I411" s="70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70"/>
      <c r="AA411" s="59"/>
      <c r="AB411" s="59"/>
      <c r="AC411" s="59"/>
      <c r="AD411" s="59"/>
      <c r="AE411" s="59"/>
      <c r="AF411" s="59"/>
    </row>
    <row r="412" ht="15.75" customHeight="1">
      <c r="A412" s="59"/>
      <c r="B412" s="59"/>
      <c r="C412" s="59"/>
      <c r="D412" s="59"/>
      <c r="E412" s="63"/>
      <c r="F412" s="64"/>
      <c r="G412" s="64"/>
      <c r="H412" s="64"/>
      <c r="I412" s="70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70"/>
      <c r="AA412" s="59"/>
      <c r="AB412" s="59"/>
      <c r="AC412" s="59"/>
      <c r="AD412" s="59"/>
      <c r="AE412" s="59"/>
      <c r="AF412" s="59"/>
    </row>
    <row r="413" ht="15.75" customHeight="1">
      <c r="A413" s="59"/>
      <c r="B413" s="59"/>
      <c r="C413" s="59"/>
      <c r="D413" s="59"/>
      <c r="E413" s="63"/>
      <c r="F413" s="64"/>
      <c r="G413" s="64"/>
      <c r="H413" s="64"/>
      <c r="I413" s="70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70"/>
      <c r="AA413" s="59"/>
      <c r="AB413" s="59"/>
      <c r="AC413" s="59"/>
      <c r="AD413" s="59"/>
      <c r="AE413" s="59"/>
      <c r="AF413" s="59"/>
    </row>
    <row r="414" ht="15.75" customHeight="1">
      <c r="A414" s="59"/>
      <c r="B414" s="59"/>
      <c r="C414" s="59"/>
      <c r="D414" s="59"/>
      <c r="E414" s="63"/>
      <c r="F414" s="64"/>
      <c r="G414" s="64"/>
      <c r="H414" s="64"/>
      <c r="I414" s="70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70"/>
      <c r="AA414" s="59"/>
      <c r="AB414" s="59"/>
      <c r="AC414" s="59"/>
      <c r="AD414" s="59"/>
      <c r="AE414" s="59"/>
      <c r="AF414" s="59"/>
    </row>
    <row r="415" ht="15.75" customHeight="1">
      <c r="A415" s="59"/>
      <c r="B415" s="59"/>
      <c r="C415" s="59"/>
      <c r="D415" s="59"/>
      <c r="E415" s="63"/>
      <c r="F415" s="64"/>
      <c r="G415" s="64"/>
      <c r="H415" s="64"/>
      <c r="I415" s="70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70"/>
      <c r="AA415" s="59"/>
      <c r="AB415" s="59"/>
      <c r="AC415" s="59"/>
      <c r="AD415" s="59"/>
      <c r="AE415" s="59"/>
      <c r="AF415" s="59"/>
    </row>
    <row r="416" ht="15.75" customHeight="1">
      <c r="A416" s="59"/>
      <c r="B416" s="59"/>
      <c r="C416" s="59"/>
      <c r="D416" s="59"/>
      <c r="E416" s="63"/>
      <c r="F416" s="64"/>
      <c r="G416" s="64"/>
      <c r="H416" s="64"/>
      <c r="I416" s="70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70"/>
      <c r="AA416" s="59"/>
      <c r="AB416" s="59"/>
      <c r="AC416" s="59"/>
      <c r="AD416" s="59"/>
      <c r="AE416" s="59"/>
      <c r="AF416" s="59"/>
    </row>
    <row r="417" ht="15.75" customHeight="1">
      <c r="A417" s="59"/>
      <c r="B417" s="59"/>
      <c r="C417" s="59"/>
      <c r="D417" s="59"/>
      <c r="E417" s="63"/>
      <c r="F417" s="64"/>
      <c r="G417" s="64"/>
      <c r="H417" s="64"/>
      <c r="I417" s="70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70"/>
      <c r="AA417" s="59"/>
      <c r="AB417" s="59"/>
      <c r="AC417" s="59"/>
      <c r="AD417" s="59"/>
      <c r="AE417" s="59"/>
      <c r="AF417" s="59"/>
    </row>
    <row r="418" ht="15.75" customHeight="1">
      <c r="A418" s="59"/>
      <c r="B418" s="59"/>
      <c r="C418" s="59"/>
      <c r="D418" s="59"/>
      <c r="E418" s="63"/>
      <c r="F418" s="64"/>
      <c r="G418" s="64"/>
      <c r="H418" s="64"/>
      <c r="I418" s="70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70"/>
      <c r="AA418" s="59"/>
      <c r="AB418" s="59"/>
      <c r="AC418" s="59"/>
      <c r="AD418" s="59"/>
      <c r="AE418" s="59"/>
      <c r="AF418" s="59"/>
    </row>
    <row r="419" ht="15.75" customHeight="1">
      <c r="A419" s="59"/>
      <c r="B419" s="59"/>
      <c r="C419" s="59"/>
      <c r="D419" s="59"/>
      <c r="E419" s="63"/>
      <c r="F419" s="64"/>
      <c r="G419" s="64"/>
      <c r="H419" s="64"/>
      <c r="I419" s="70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70"/>
      <c r="AA419" s="59"/>
      <c r="AB419" s="59"/>
      <c r="AC419" s="59"/>
      <c r="AD419" s="59"/>
      <c r="AE419" s="59"/>
      <c r="AF419" s="59"/>
    </row>
    <row r="420" ht="15.75" customHeight="1">
      <c r="A420" s="59"/>
      <c r="B420" s="59"/>
      <c r="C420" s="59"/>
      <c r="D420" s="59"/>
      <c r="E420" s="63"/>
      <c r="F420" s="64"/>
      <c r="G420" s="64"/>
      <c r="H420" s="64"/>
      <c r="I420" s="70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70"/>
      <c r="AA420" s="59"/>
      <c r="AB420" s="59"/>
      <c r="AC420" s="59"/>
      <c r="AD420" s="59"/>
      <c r="AE420" s="59"/>
      <c r="AF420" s="59"/>
    </row>
    <row r="421" ht="15.75" customHeight="1">
      <c r="A421" s="59"/>
      <c r="B421" s="59"/>
      <c r="C421" s="59"/>
      <c r="D421" s="59"/>
      <c r="E421" s="63"/>
      <c r="F421" s="64"/>
      <c r="G421" s="64"/>
      <c r="H421" s="64"/>
      <c r="I421" s="70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70"/>
      <c r="AA421" s="59"/>
      <c r="AB421" s="59"/>
      <c r="AC421" s="59"/>
      <c r="AD421" s="59"/>
      <c r="AE421" s="59"/>
      <c r="AF421" s="59"/>
    </row>
    <row r="422" ht="15.75" customHeight="1">
      <c r="A422" s="59"/>
      <c r="B422" s="59"/>
      <c r="C422" s="59"/>
      <c r="D422" s="59"/>
      <c r="E422" s="63"/>
      <c r="F422" s="64"/>
      <c r="G422" s="64"/>
      <c r="H422" s="64"/>
      <c r="I422" s="70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70"/>
      <c r="AA422" s="59"/>
      <c r="AB422" s="59"/>
      <c r="AC422" s="59"/>
      <c r="AD422" s="59"/>
      <c r="AE422" s="59"/>
      <c r="AF422" s="59"/>
    </row>
    <row r="423" ht="15.75" customHeight="1">
      <c r="A423" s="59"/>
      <c r="B423" s="59"/>
      <c r="C423" s="59"/>
      <c r="D423" s="59"/>
      <c r="E423" s="63"/>
      <c r="F423" s="64"/>
      <c r="G423" s="64"/>
      <c r="H423" s="64"/>
      <c r="I423" s="70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70"/>
      <c r="AA423" s="59"/>
      <c r="AB423" s="59"/>
      <c r="AC423" s="59"/>
      <c r="AD423" s="59"/>
      <c r="AE423" s="59"/>
      <c r="AF423" s="59"/>
    </row>
    <row r="424" ht="15.75" customHeight="1">
      <c r="A424" s="59"/>
      <c r="B424" s="59"/>
      <c r="C424" s="59"/>
      <c r="D424" s="59"/>
      <c r="E424" s="63"/>
      <c r="F424" s="64"/>
      <c r="G424" s="64"/>
      <c r="H424" s="64"/>
      <c r="I424" s="70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70"/>
      <c r="AA424" s="59"/>
      <c r="AB424" s="59"/>
      <c r="AC424" s="59"/>
      <c r="AD424" s="59"/>
      <c r="AE424" s="59"/>
      <c r="AF424" s="59"/>
    </row>
    <row r="425" ht="15.75" customHeight="1">
      <c r="A425" s="59"/>
      <c r="B425" s="59"/>
      <c r="C425" s="59"/>
      <c r="D425" s="59"/>
      <c r="E425" s="63"/>
      <c r="F425" s="64"/>
      <c r="G425" s="64"/>
      <c r="H425" s="64"/>
      <c r="I425" s="70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70"/>
      <c r="AA425" s="59"/>
      <c r="AB425" s="59"/>
      <c r="AC425" s="59"/>
      <c r="AD425" s="59"/>
      <c r="AE425" s="59"/>
      <c r="AF425" s="59"/>
    </row>
    <row r="426" ht="15.75" customHeight="1">
      <c r="A426" s="59"/>
      <c r="B426" s="59"/>
      <c r="C426" s="59"/>
      <c r="D426" s="59"/>
      <c r="E426" s="63"/>
      <c r="F426" s="64"/>
      <c r="G426" s="64"/>
      <c r="H426" s="64"/>
      <c r="I426" s="70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70"/>
      <c r="AA426" s="59"/>
      <c r="AB426" s="59"/>
      <c r="AC426" s="59"/>
      <c r="AD426" s="59"/>
      <c r="AE426" s="59"/>
      <c r="AF426" s="59"/>
    </row>
    <row r="427" ht="15.75" customHeight="1">
      <c r="A427" s="59"/>
      <c r="B427" s="59"/>
      <c r="C427" s="59"/>
      <c r="D427" s="59"/>
      <c r="E427" s="63"/>
      <c r="F427" s="64"/>
      <c r="G427" s="64"/>
      <c r="H427" s="64"/>
      <c r="I427" s="70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70"/>
      <c r="AA427" s="59"/>
      <c r="AB427" s="59"/>
      <c r="AC427" s="59"/>
      <c r="AD427" s="59"/>
      <c r="AE427" s="59"/>
      <c r="AF427" s="59"/>
    </row>
    <row r="428" ht="15.75" customHeight="1">
      <c r="A428" s="59"/>
      <c r="B428" s="59"/>
      <c r="C428" s="59"/>
      <c r="D428" s="59"/>
      <c r="E428" s="63"/>
      <c r="F428" s="64"/>
      <c r="G428" s="64"/>
      <c r="H428" s="64"/>
      <c r="I428" s="70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70"/>
      <c r="AA428" s="59"/>
      <c r="AB428" s="59"/>
      <c r="AC428" s="59"/>
      <c r="AD428" s="59"/>
      <c r="AE428" s="59"/>
      <c r="AF428" s="59"/>
    </row>
    <row r="429" ht="15.75" customHeight="1">
      <c r="A429" s="59"/>
      <c r="B429" s="59"/>
      <c r="C429" s="59"/>
      <c r="D429" s="59"/>
      <c r="E429" s="63"/>
      <c r="F429" s="64"/>
      <c r="G429" s="64"/>
      <c r="H429" s="64"/>
      <c r="I429" s="70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70"/>
      <c r="AA429" s="59"/>
      <c r="AB429" s="59"/>
      <c r="AC429" s="59"/>
      <c r="AD429" s="59"/>
      <c r="AE429" s="59"/>
      <c r="AF429" s="59"/>
    </row>
    <row r="430" ht="15.75" customHeight="1">
      <c r="A430" s="59"/>
      <c r="B430" s="59"/>
      <c r="C430" s="59"/>
      <c r="D430" s="59"/>
      <c r="E430" s="63"/>
      <c r="F430" s="64"/>
      <c r="G430" s="64"/>
      <c r="H430" s="64"/>
      <c r="I430" s="70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70"/>
      <c r="AA430" s="59"/>
      <c r="AB430" s="59"/>
      <c r="AC430" s="59"/>
      <c r="AD430" s="59"/>
      <c r="AE430" s="59"/>
      <c r="AF430" s="59"/>
    </row>
    <row r="431" ht="15.75" customHeight="1">
      <c r="A431" s="59"/>
      <c r="B431" s="59"/>
      <c r="C431" s="59"/>
      <c r="D431" s="59"/>
      <c r="E431" s="63"/>
      <c r="F431" s="64"/>
      <c r="G431" s="64"/>
      <c r="H431" s="64"/>
      <c r="I431" s="70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70"/>
      <c r="AA431" s="59"/>
      <c r="AB431" s="59"/>
      <c r="AC431" s="59"/>
      <c r="AD431" s="59"/>
      <c r="AE431" s="59"/>
      <c r="AF431" s="59"/>
    </row>
    <row r="432" ht="15.75" customHeight="1">
      <c r="A432" s="59"/>
      <c r="B432" s="59"/>
      <c r="C432" s="59"/>
      <c r="D432" s="59"/>
      <c r="E432" s="63"/>
      <c r="F432" s="64"/>
      <c r="G432" s="64"/>
      <c r="H432" s="64"/>
      <c r="I432" s="70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70"/>
      <c r="AA432" s="59"/>
      <c r="AB432" s="59"/>
      <c r="AC432" s="59"/>
      <c r="AD432" s="59"/>
      <c r="AE432" s="59"/>
      <c r="AF432" s="59"/>
    </row>
    <row r="433" ht="15.75" customHeight="1">
      <c r="A433" s="59"/>
      <c r="B433" s="59"/>
      <c r="C433" s="59"/>
      <c r="D433" s="59"/>
      <c r="E433" s="63"/>
      <c r="F433" s="64"/>
      <c r="G433" s="64"/>
      <c r="H433" s="64"/>
      <c r="I433" s="70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70"/>
      <c r="AA433" s="59"/>
      <c r="AB433" s="59"/>
      <c r="AC433" s="59"/>
      <c r="AD433" s="59"/>
      <c r="AE433" s="59"/>
      <c r="AF433" s="59"/>
    </row>
    <row r="434" ht="15.75" customHeight="1">
      <c r="A434" s="59"/>
      <c r="B434" s="59"/>
      <c r="C434" s="59"/>
      <c r="D434" s="59"/>
      <c r="E434" s="63"/>
      <c r="F434" s="64"/>
      <c r="G434" s="64"/>
      <c r="H434" s="64"/>
      <c r="I434" s="70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70"/>
      <c r="AA434" s="59"/>
      <c r="AB434" s="59"/>
      <c r="AC434" s="59"/>
      <c r="AD434" s="59"/>
      <c r="AE434" s="59"/>
      <c r="AF434" s="59"/>
    </row>
    <row r="435" ht="15.75" customHeight="1">
      <c r="A435" s="59"/>
      <c r="B435" s="59"/>
      <c r="C435" s="59"/>
      <c r="D435" s="59"/>
      <c r="E435" s="63"/>
      <c r="F435" s="64"/>
      <c r="G435" s="64"/>
      <c r="H435" s="64"/>
      <c r="I435" s="70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70"/>
      <c r="AA435" s="59"/>
      <c r="AB435" s="59"/>
      <c r="AC435" s="59"/>
      <c r="AD435" s="59"/>
      <c r="AE435" s="59"/>
      <c r="AF435" s="59"/>
    </row>
    <row r="436" ht="15.75" customHeight="1">
      <c r="A436" s="59"/>
      <c r="B436" s="59"/>
      <c r="C436" s="59"/>
      <c r="D436" s="59"/>
      <c r="E436" s="63"/>
      <c r="F436" s="64"/>
      <c r="G436" s="64"/>
      <c r="H436" s="64"/>
      <c r="I436" s="70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70"/>
      <c r="AA436" s="59"/>
      <c r="AB436" s="59"/>
      <c r="AC436" s="59"/>
      <c r="AD436" s="59"/>
      <c r="AE436" s="59"/>
      <c r="AF436" s="59"/>
    </row>
    <row r="437" ht="15.75" customHeight="1">
      <c r="A437" s="59"/>
      <c r="B437" s="59"/>
      <c r="C437" s="59"/>
      <c r="D437" s="59"/>
      <c r="E437" s="63"/>
      <c r="F437" s="64"/>
      <c r="G437" s="64"/>
      <c r="H437" s="64"/>
      <c r="I437" s="70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70"/>
      <c r="AA437" s="59"/>
      <c r="AB437" s="59"/>
      <c r="AC437" s="59"/>
      <c r="AD437" s="59"/>
      <c r="AE437" s="59"/>
      <c r="AF437" s="59"/>
    </row>
    <row r="438" ht="15.75" customHeight="1">
      <c r="A438" s="59"/>
      <c r="B438" s="59"/>
      <c r="C438" s="59"/>
      <c r="D438" s="59"/>
      <c r="E438" s="63"/>
      <c r="F438" s="64"/>
      <c r="G438" s="64"/>
      <c r="H438" s="64"/>
      <c r="I438" s="70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70"/>
      <c r="AA438" s="59"/>
      <c r="AB438" s="59"/>
      <c r="AC438" s="59"/>
      <c r="AD438" s="59"/>
      <c r="AE438" s="59"/>
      <c r="AF438" s="59"/>
    </row>
    <row r="439" ht="15.75" customHeight="1">
      <c r="A439" s="59"/>
      <c r="B439" s="59"/>
      <c r="C439" s="59"/>
      <c r="D439" s="59"/>
      <c r="E439" s="63"/>
      <c r="F439" s="64"/>
      <c r="G439" s="64"/>
      <c r="H439" s="64"/>
      <c r="I439" s="70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70"/>
      <c r="AA439" s="59"/>
      <c r="AB439" s="59"/>
      <c r="AC439" s="59"/>
      <c r="AD439" s="59"/>
      <c r="AE439" s="59"/>
      <c r="AF439" s="59"/>
    </row>
    <row r="440" ht="15.75" customHeight="1">
      <c r="A440" s="59"/>
      <c r="B440" s="59"/>
      <c r="C440" s="59"/>
      <c r="D440" s="59"/>
      <c r="E440" s="63"/>
      <c r="F440" s="64"/>
      <c r="G440" s="64"/>
      <c r="H440" s="64"/>
      <c r="I440" s="70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70"/>
      <c r="AA440" s="59"/>
      <c r="AB440" s="59"/>
      <c r="AC440" s="59"/>
      <c r="AD440" s="59"/>
      <c r="AE440" s="59"/>
      <c r="AF440" s="59"/>
    </row>
    <row r="441" ht="15.75" customHeight="1">
      <c r="A441" s="59"/>
      <c r="B441" s="59"/>
      <c r="C441" s="59"/>
      <c r="D441" s="59"/>
      <c r="E441" s="63"/>
      <c r="F441" s="64"/>
      <c r="G441" s="64"/>
      <c r="H441" s="64"/>
      <c r="I441" s="70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70"/>
      <c r="AA441" s="59"/>
      <c r="AB441" s="59"/>
      <c r="AC441" s="59"/>
      <c r="AD441" s="59"/>
      <c r="AE441" s="59"/>
      <c r="AF441" s="59"/>
    </row>
    <row r="442" ht="15.75" customHeight="1">
      <c r="A442" s="59"/>
      <c r="B442" s="59"/>
      <c r="C442" s="59"/>
      <c r="D442" s="59"/>
      <c r="E442" s="63"/>
      <c r="F442" s="64"/>
      <c r="G442" s="64"/>
      <c r="H442" s="64"/>
      <c r="I442" s="70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70"/>
      <c r="AA442" s="59"/>
      <c r="AB442" s="59"/>
      <c r="AC442" s="59"/>
      <c r="AD442" s="59"/>
      <c r="AE442" s="59"/>
      <c r="AF442" s="59"/>
    </row>
    <row r="443" ht="15.75" customHeight="1">
      <c r="A443" s="59"/>
      <c r="B443" s="59"/>
      <c r="C443" s="59"/>
      <c r="D443" s="59"/>
      <c r="E443" s="63"/>
      <c r="F443" s="64"/>
      <c r="G443" s="64"/>
      <c r="H443" s="64"/>
      <c r="I443" s="70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70"/>
      <c r="AA443" s="59"/>
      <c r="AB443" s="59"/>
      <c r="AC443" s="59"/>
      <c r="AD443" s="59"/>
      <c r="AE443" s="59"/>
      <c r="AF443" s="59"/>
    </row>
    <row r="444" ht="15.75" customHeight="1">
      <c r="A444" s="59"/>
      <c r="B444" s="59"/>
      <c r="C444" s="59"/>
      <c r="D444" s="59"/>
      <c r="E444" s="63"/>
      <c r="F444" s="64"/>
      <c r="G444" s="64"/>
      <c r="H444" s="64"/>
      <c r="I444" s="70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70"/>
      <c r="AA444" s="59"/>
      <c r="AB444" s="59"/>
      <c r="AC444" s="59"/>
      <c r="AD444" s="59"/>
      <c r="AE444" s="59"/>
      <c r="AF444" s="59"/>
    </row>
    <row r="445" ht="15.75" customHeight="1">
      <c r="A445" s="59"/>
      <c r="B445" s="59"/>
      <c r="C445" s="59"/>
      <c r="D445" s="59"/>
      <c r="E445" s="63"/>
      <c r="F445" s="64"/>
      <c r="G445" s="64"/>
      <c r="H445" s="64"/>
      <c r="I445" s="70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70"/>
      <c r="AA445" s="59"/>
      <c r="AB445" s="59"/>
      <c r="AC445" s="59"/>
      <c r="AD445" s="59"/>
      <c r="AE445" s="59"/>
      <c r="AF445" s="59"/>
    </row>
    <row r="446" ht="15.75" customHeight="1">
      <c r="A446" s="59"/>
      <c r="B446" s="59"/>
      <c r="C446" s="59"/>
      <c r="D446" s="59"/>
      <c r="E446" s="63"/>
      <c r="F446" s="64"/>
      <c r="G446" s="64"/>
      <c r="H446" s="64"/>
      <c r="I446" s="70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70"/>
      <c r="AA446" s="59"/>
      <c r="AB446" s="59"/>
      <c r="AC446" s="59"/>
      <c r="AD446" s="59"/>
      <c r="AE446" s="59"/>
      <c r="AF446" s="59"/>
    </row>
    <row r="447" ht="15.75" customHeight="1">
      <c r="A447" s="59"/>
      <c r="B447" s="59"/>
      <c r="C447" s="59"/>
      <c r="D447" s="59"/>
      <c r="E447" s="63"/>
      <c r="F447" s="64"/>
      <c r="G447" s="64"/>
      <c r="H447" s="64"/>
      <c r="I447" s="70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70"/>
      <c r="AA447" s="59"/>
      <c r="AB447" s="59"/>
      <c r="AC447" s="59"/>
      <c r="AD447" s="59"/>
      <c r="AE447" s="59"/>
      <c r="AF447" s="59"/>
    </row>
    <row r="448" ht="15.75" customHeight="1">
      <c r="A448" s="59"/>
      <c r="B448" s="59"/>
      <c r="C448" s="59"/>
      <c r="D448" s="59"/>
      <c r="E448" s="63"/>
      <c r="F448" s="64"/>
      <c r="G448" s="64"/>
      <c r="H448" s="64"/>
      <c r="I448" s="70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70"/>
      <c r="AA448" s="59"/>
      <c r="AB448" s="59"/>
      <c r="AC448" s="59"/>
      <c r="AD448" s="59"/>
      <c r="AE448" s="59"/>
      <c r="AF448" s="59"/>
    </row>
    <row r="449" ht="15.75" customHeight="1">
      <c r="A449" s="59"/>
      <c r="B449" s="59"/>
      <c r="C449" s="59"/>
      <c r="D449" s="59"/>
      <c r="E449" s="63"/>
      <c r="F449" s="64"/>
      <c r="G449" s="64"/>
      <c r="H449" s="64"/>
      <c r="I449" s="70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70"/>
      <c r="AA449" s="59"/>
      <c r="AB449" s="59"/>
      <c r="AC449" s="59"/>
      <c r="AD449" s="59"/>
      <c r="AE449" s="59"/>
      <c r="AF449" s="59"/>
    </row>
    <row r="450" ht="15.75" customHeight="1">
      <c r="A450" s="59"/>
      <c r="B450" s="59"/>
      <c r="C450" s="59"/>
      <c r="D450" s="59"/>
      <c r="E450" s="63"/>
      <c r="F450" s="64"/>
      <c r="G450" s="64"/>
      <c r="H450" s="64"/>
      <c r="I450" s="70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70"/>
      <c r="AA450" s="59"/>
      <c r="AB450" s="59"/>
      <c r="AC450" s="59"/>
      <c r="AD450" s="59"/>
      <c r="AE450" s="59"/>
      <c r="AF450" s="59"/>
    </row>
    <row r="451" ht="15.75" customHeight="1">
      <c r="A451" s="59"/>
      <c r="B451" s="59"/>
      <c r="C451" s="59"/>
      <c r="D451" s="59"/>
      <c r="E451" s="63"/>
      <c r="F451" s="64"/>
      <c r="G451" s="64"/>
      <c r="H451" s="64"/>
      <c r="I451" s="70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70"/>
      <c r="AA451" s="59"/>
      <c r="AB451" s="59"/>
      <c r="AC451" s="59"/>
      <c r="AD451" s="59"/>
      <c r="AE451" s="59"/>
      <c r="AF451" s="59"/>
    </row>
    <row r="452" ht="15.75" customHeight="1">
      <c r="A452" s="59"/>
      <c r="B452" s="59"/>
      <c r="C452" s="59"/>
      <c r="D452" s="59"/>
      <c r="E452" s="63"/>
      <c r="F452" s="64"/>
      <c r="G452" s="64"/>
      <c r="H452" s="64"/>
      <c r="I452" s="70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70"/>
      <c r="AA452" s="59"/>
      <c r="AB452" s="59"/>
      <c r="AC452" s="59"/>
      <c r="AD452" s="59"/>
      <c r="AE452" s="59"/>
      <c r="AF452" s="59"/>
    </row>
    <row r="453" ht="15.75" customHeight="1">
      <c r="A453" s="59"/>
      <c r="B453" s="59"/>
      <c r="C453" s="59"/>
      <c r="D453" s="59"/>
      <c r="E453" s="63"/>
      <c r="F453" s="64"/>
      <c r="G453" s="64"/>
      <c r="H453" s="64"/>
      <c r="I453" s="70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70"/>
      <c r="AA453" s="59"/>
      <c r="AB453" s="59"/>
      <c r="AC453" s="59"/>
      <c r="AD453" s="59"/>
      <c r="AE453" s="59"/>
      <c r="AF453" s="59"/>
    </row>
    <row r="454" ht="15.75" customHeight="1">
      <c r="A454" s="59"/>
      <c r="B454" s="59"/>
      <c r="C454" s="59"/>
      <c r="D454" s="59"/>
      <c r="E454" s="63"/>
      <c r="F454" s="64"/>
      <c r="G454" s="64"/>
      <c r="H454" s="64"/>
      <c r="I454" s="70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70"/>
      <c r="AA454" s="59"/>
      <c r="AB454" s="59"/>
      <c r="AC454" s="59"/>
      <c r="AD454" s="59"/>
      <c r="AE454" s="59"/>
      <c r="AF454" s="59"/>
    </row>
    <row r="455" ht="15.75" customHeight="1">
      <c r="A455" s="59"/>
      <c r="B455" s="59"/>
      <c r="C455" s="59"/>
      <c r="D455" s="59"/>
      <c r="E455" s="63"/>
      <c r="F455" s="64"/>
      <c r="G455" s="64"/>
      <c r="H455" s="64"/>
      <c r="I455" s="70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70"/>
      <c r="AA455" s="59"/>
      <c r="AB455" s="59"/>
      <c r="AC455" s="59"/>
      <c r="AD455" s="59"/>
      <c r="AE455" s="59"/>
      <c r="AF455" s="59"/>
    </row>
    <row r="456" ht="15.75" customHeight="1">
      <c r="A456" s="59"/>
      <c r="B456" s="59"/>
      <c r="C456" s="59"/>
      <c r="D456" s="59"/>
      <c r="E456" s="63"/>
      <c r="F456" s="64"/>
      <c r="G456" s="64"/>
      <c r="H456" s="64"/>
      <c r="I456" s="70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70"/>
      <c r="AA456" s="59"/>
      <c r="AB456" s="59"/>
      <c r="AC456" s="59"/>
      <c r="AD456" s="59"/>
      <c r="AE456" s="59"/>
      <c r="AF456" s="59"/>
    </row>
    <row r="457" ht="15.75" customHeight="1">
      <c r="A457" s="59"/>
      <c r="B457" s="59"/>
      <c r="C457" s="59"/>
      <c r="D457" s="59"/>
      <c r="E457" s="63"/>
      <c r="F457" s="64"/>
      <c r="G457" s="64"/>
      <c r="H457" s="64"/>
      <c r="I457" s="70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70"/>
      <c r="AA457" s="59"/>
      <c r="AB457" s="59"/>
      <c r="AC457" s="59"/>
      <c r="AD457" s="59"/>
      <c r="AE457" s="59"/>
      <c r="AF457" s="59"/>
    </row>
    <row r="458" ht="15.75" customHeight="1">
      <c r="A458" s="59"/>
      <c r="B458" s="59"/>
      <c r="C458" s="59"/>
      <c r="D458" s="59"/>
      <c r="E458" s="63"/>
      <c r="F458" s="64"/>
      <c r="G458" s="64"/>
      <c r="H458" s="64"/>
      <c r="I458" s="70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70"/>
      <c r="AA458" s="59"/>
      <c r="AB458" s="59"/>
      <c r="AC458" s="59"/>
      <c r="AD458" s="59"/>
      <c r="AE458" s="59"/>
      <c r="AF458" s="59"/>
    </row>
    <row r="459" ht="15.75" customHeight="1">
      <c r="A459" s="59"/>
      <c r="B459" s="59"/>
      <c r="C459" s="59"/>
      <c r="D459" s="59"/>
      <c r="E459" s="63"/>
      <c r="F459" s="64"/>
      <c r="G459" s="64"/>
      <c r="H459" s="64"/>
      <c r="I459" s="70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70"/>
      <c r="AA459" s="59"/>
      <c r="AB459" s="59"/>
      <c r="AC459" s="59"/>
      <c r="AD459" s="59"/>
      <c r="AE459" s="59"/>
      <c r="AF459" s="59"/>
    </row>
    <row r="460" ht="15.75" customHeight="1">
      <c r="A460" s="59"/>
      <c r="B460" s="59"/>
      <c r="C460" s="59"/>
      <c r="D460" s="59"/>
      <c r="E460" s="63"/>
      <c r="F460" s="64"/>
      <c r="G460" s="64"/>
      <c r="H460" s="64"/>
      <c r="I460" s="70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70"/>
      <c r="AA460" s="59"/>
      <c r="AB460" s="59"/>
      <c r="AC460" s="59"/>
      <c r="AD460" s="59"/>
      <c r="AE460" s="59"/>
      <c r="AF460" s="59"/>
    </row>
    <row r="461" ht="15.75" customHeight="1">
      <c r="A461" s="59"/>
      <c r="B461" s="59"/>
      <c r="C461" s="59"/>
      <c r="D461" s="59"/>
      <c r="E461" s="63"/>
      <c r="F461" s="64"/>
      <c r="G461" s="64"/>
      <c r="H461" s="64"/>
      <c r="I461" s="70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70"/>
      <c r="AA461" s="59"/>
      <c r="AB461" s="59"/>
      <c r="AC461" s="59"/>
      <c r="AD461" s="59"/>
      <c r="AE461" s="59"/>
      <c r="AF461" s="59"/>
    </row>
    <row r="462" ht="15.75" customHeight="1">
      <c r="A462" s="59"/>
      <c r="B462" s="59"/>
      <c r="C462" s="59"/>
      <c r="D462" s="59"/>
      <c r="E462" s="63"/>
      <c r="F462" s="64"/>
      <c r="G462" s="64"/>
      <c r="H462" s="64"/>
      <c r="I462" s="70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70"/>
      <c r="AA462" s="59"/>
      <c r="AB462" s="59"/>
      <c r="AC462" s="59"/>
      <c r="AD462" s="59"/>
      <c r="AE462" s="59"/>
      <c r="AF462" s="59"/>
    </row>
    <row r="463" ht="15.75" customHeight="1">
      <c r="A463" s="59"/>
      <c r="B463" s="59"/>
      <c r="C463" s="59"/>
      <c r="D463" s="59"/>
      <c r="E463" s="63"/>
      <c r="F463" s="64"/>
      <c r="G463" s="64"/>
      <c r="H463" s="64"/>
      <c r="I463" s="70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70"/>
      <c r="AA463" s="59"/>
      <c r="AB463" s="59"/>
      <c r="AC463" s="59"/>
      <c r="AD463" s="59"/>
      <c r="AE463" s="59"/>
      <c r="AF463" s="59"/>
    </row>
    <row r="464" ht="15.75" customHeight="1">
      <c r="A464" s="59"/>
      <c r="B464" s="59"/>
      <c r="C464" s="59"/>
      <c r="D464" s="59"/>
      <c r="E464" s="63"/>
      <c r="F464" s="64"/>
      <c r="G464" s="64"/>
      <c r="H464" s="64"/>
      <c r="I464" s="70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70"/>
      <c r="AA464" s="59"/>
      <c r="AB464" s="59"/>
      <c r="AC464" s="59"/>
      <c r="AD464" s="59"/>
      <c r="AE464" s="59"/>
      <c r="AF464" s="59"/>
    </row>
    <row r="465" ht="15.75" customHeight="1">
      <c r="A465" s="59"/>
      <c r="B465" s="59"/>
      <c r="C465" s="59"/>
      <c r="D465" s="59"/>
      <c r="E465" s="63"/>
      <c r="F465" s="64"/>
      <c r="G465" s="64"/>
      <c r="H465" s="64"/>
      <c r="I465" s="70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70"/>
      <c r="AA465" s="59"/>
      <c r="AB465" s="59"/>
      <c r="AC465" s="59"/>
      <c r="AD465" s="59"/>
      <c r="AE465" s="59"/>
      <c r="AF465" s="59"/>
    </row>
    <row r="466" ht="15.75" customHeight="1">
      <c r="A466" s="59"/>
      <c r="B466" s="59"/>
      <c r="C466" s="59"/>
      <c r="D466" s="59"/>
      <c r="E466" s="63"/>
      <c r="F466" s="64"/>
      <c r="G466" s="64"/>
      <c r="H466" s="64"/>
      <c r="I466" s="70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70"/>
      <c r="AA466" s="59"/>
      <c r="AB466" s="59"/>
      <c r="AC466" s="59"/>
      <c r="AD466" s="59"/>
      <c r="AE466" s="59"/>
      <c r="AF466" s="59"/>
    </row>
    <row r="467" ht="15.75" customHeight="1">
      <c r="A467" s="59"/>
      <c r="B467" s="59"/>
      <c r="C467" s="59"/>
      <c r="D467" s="59"/>
      <c r="E467" s="63"/>
      <c r="F467" s="64"/>
      <c r="G467" s="64"/>
      <c r="H467" s="64"/>
      <c r="I467" s="70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70"/>
      <c r="AA467" s="59"/>
      <c r="AB467" s="59"/>
      <c r="AC467" s="59"/>
      <c r="AD467" s="59"/>
      <c r="AE467" s="59"/>
      <c r="AF467" s="59"/>
    </row>
    <row r="468" ht="15.75" customHeight="1">
      <c r="A468" s="59"/>
      <c r="B468" s="59"/>
      <c r="C468" s="59"/>
      <c r="D468" s="59"/>
      <c r="E468" s="63"/>
      <c r="F468" s="64"/>
      <c r="G468" s="64"/>
      <c r="H468" s="64"/>
      <c r="I468" s="70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70"/>
      <c r="AA468" s="59"/>
      <c r="AB468" s="59"/>
      <c r="AC468" s="59"/>
      <c r="AD468" s="59"/>
      <c r="AE468" s="59"/>
      <c r="AF468" s="59"/>
    </row>
    <row r="469" ht="15.75" customHeight="1">
      <c r="A469" s="59"/>
      <c r="B469" s="59"/>
      <c r="C469" s="59"/>
      <c r="D469" s="59"/>
      <c r="E469" s="63"/>
      <c r="F469" s="64"/>
      <c r="G469" s="64"/>
      <c r="H469" s="64"/>
      <c r="I469" s="70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70"/>
      <c r="AA469" s="59"/>
      <c r="AB469" s="59"/>
      <c r="AC469" s="59"/>
      <c r="AD469" s="59"/>
      <c r="AE469" s="59"/>
      <c r="AF469" s="59"/>
    </row>
    <row r="470" ht="15.75" customHeight="1">
      <c r="A470" s="59"/>
      <c r="B470" s="59"/>
      <c r="C470" s="59"/>
      <c r="D470" s="59"/>
      <c r="E470" s="63"/>
      <c r="F470" s="64"/>
      <c r="G470" s="64"/>
      <c r="H470" s="64"/>
      <c r="I470" s="70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70"/>
      <c r="AA470" s="59"/>
      <c r="AB470" s="59"/>
      <c r="AC470" s="59"/>
      <c r="AD470" s="59"/>
      <c r="AE470" s="59"/>
      <c r="AF470" s="59"/>
    </row>
    <row r="471" ht="15.75" customHeight="1">
      <c r="A471" s="59"/>
      <c r="B471" s="59"/>
      <c r="C471" s="59"/>
      <c r="D471" s="59"/>
      <c r="E471" s="63"/>
      <c r="F471" s="64"/>
      <c r="G471" s="64"/>
      <c r="H471" s="64"/>
      <c r="I471" s="70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70"/>
      <c r="AA471" s="59"/>
      <c r="AB471" s="59"/>
      <c r="AC471" s="59"/>
      <c r="AD471" s="59"/>
      <c r="AE471" s="59"/>
      <c r="AF471" s="59"/>
    </row>
    <row r="472" ht="15.75" customHeight="1">
      <c r="A472" s="59"/>
      <c r="B472" s="59"/>
      <c r="C472" s="59"/>
      <c r="D472" s="59"/>
      <c r="E472" s="63"/>
      <c r="F472" s="64"/>
      <c r="G472" s="64"/>
      <c r="H472" s="64"/>
      <c r="I472" s="70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70"/>
      <c r="AA472" s="59"/>
      <c r="AB472" s="59"/>
      <c r="AC472" s="59"/>
      <c r="AD472" s="59"/>
      <c r="AE472" s="59"/>
      <c r="AF472" s="59"/>
    </row>
    <row r="473" ht="15.75" customHeight="1">
      <c r="A473" s="59"/>
      <c r="B473" s="59"/>
      <c r="C473" s="59"/>
      <c r="D473" s="59"/>
      <c r="E473" s="63"/>
      <c r="F473" s="64"/>
      <c r="G473" s="64"/>
      <c r="H473" s="64"/>
      <c r="I473" s="70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70"/>
      <c r="AA473" s="59"/>
      <c r="AB473" s="59"/>
      <c r="AC473" s="59"/>
      <c r="AD473" s="59"/>
      <c r="AE473" s="59"/>
      <c r="AF473" s="59"/>
    </row>
    <row r="474" ht="15.75" customHeight="1">
      <c r="A474" s="59"/>
      <c r="B474" s="59"/>
      <c r="C474" s="59"/>
      <c r="D474" s="59"/>
      <c r="E474" s="63"/>
      <c r="F474" s="64"/>
      <c r="G474" s="64"/>
      <c r="H474" s="64"/>
      <c r="I474" s="70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70"/>
      <c r="AA474" s="59"/>
      <c r="AB474" s="59"/>
      <c r="AC474" s="59"/>
      <c r="AD474" s="59"/>
      <c r="AE474" s="59"/>
      <c r="AF474" s="59"/>
    </row>
    <row r="475" ht="15.75" customHeight="1">
      <c r="A475" s="59"/>
      <c r="B475" s="59"/>
      <c r="C475" s="59"/>
      <c r="D475" s="59"/>
      <c r="E475" s="63"/>
      <c r="F475" s="64"/>
      <c r="G475" s="64"/>
      <c r="H475" s="64"/>
      <c r="I475" s="70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70"/>
      <c r="AA475" s="59"/>
      <c r="AB475" s="59"/>
      <c r="AC475" s="59"/>
      <c r="AD475" s="59"/>
      <c r="AE475" s="59"/>
      <c r="AF475" s="59"/>
    </row>
    <row r="476" ht="15.75" customHeight="1">
      <c r="A476" s="59"/>
      <c r="B476" s="59"/>
      <c r="C476" s="59"/>
      <c r="D476" s="59"/>
      <c r="E476" s="63"/>
      <c r="F476" s="64"/>
      <c r="G476" s="64"/>
      <c r="H476" s="64"/>
      <c r="I476" s="70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70"/>
      <c r="AA476" s="59"/>
      <c r="AB476" s="59"/>
      <c r="AC476" s="59"/>
      <c r="AD476" s="59"/>
      <c r="AE476" s="59"/>
      <c r="AF476" s="59"/>
    </row>
    <row r="477" ht="15.75" customHeight="1">
      <c r="A477" s="59"/>
      <c r="B477" s="59"/>
      <c r="C477" s="59"/>
      <c r="D477" s="59"/>
      <c r="E477" s="63"/>
      <c r="F477" s="64"/>
      <c r="G477" s="64"/>
      <c r="H477" s="64"/>
      <c r="I477" s="70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70"/>
      <c r="AA477" s="59"/>
      <c r="AB477" s="59"/>
      <c r="AC477" s="59"/>
      <c r="AD477" s="59"/>
      <c r="AE477" s="59"/>
      <c r="AF477" s="59"/>
    </row>
    <row r="478" ht="15.75" customHeight="1">
      <c r="A478" s="59"/>
      <c r="B478" s="59"/>
      <c r="C478" s="59"/>
      <c r="D478" s="59"/>
      <c r="E478" s="63"/>
      <c r="F478" s="64"/>
      <c r="G478" s="64"/>
      <c r="H478" s="64"/>
      <c r="I478" s="70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70"/>
      <c r="AA478" s="59"/>
      <c r="AB478" s="59"/>
      <c r="AC478" s="59"/>
      <c r="AD478" s="59"/>
      <c r="AE478" s="59"/>
      <c r="AF478" s="59"/>
    </row>
    <row r="479" ht="15.75" customHeight="1">
      <c r="A479" s="59"/>
      <c r="B479" s="59"/>
      <c r="C479" s="59"/>
      <c r="D479" s="59"/>
      <c r="E479" s="63"/>
      <c r="F479" s="64"/>
      <c r="G479" s="64"/>
      <c r="H479" s="64"/>
      <c r="I479" s="70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70"/>
      <c r="AA479" s="59"/>
      <c r="AB479" s="59"/>
      <c r="AC479" s="59"/>
      <c r="AD479" s="59"/>
      <c r="AE479" s="59"/>
      <c r="AF479" s="59"/>
    </row>
    <row r="480" ht="15.75" customHeight="1">
      <c r="A480" s="59"/>
      <c r="B480" s="59"/>
      <c r="C480" s="59"/>
      <c r="D480" s="59"/>
      <c r="E480" s="63"/>
      <c r="F480" s="64"/>
      <c r="G480" s="64"/>
      <c r="H480" s="64"/>
      <c r="I480" s="70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70"/>
      <c r="AA480" s="59"/>
      <c r="AB480" s="59"/>
      <c r="AC480" s="59"/>
      <c r="AD480" s="59"/>
      <c r="AE480" s="59"/>
      <c r="AF480" s="59"/>
    </row>
    <row r="481" ht="15.75" customHeight="1">
      <c r="A481" s="59"/>
      <c r="B481" s="59"/>
      <c r="C481" s="59"/>
      <c r="D481" s="59"/>
      <c r="E481" s="63"/>
      <c r="F481" s="64"/>
      <c r="G481" s="64"/>
      <c r="H481" s="64"/>
      <c r="I481" s="70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70"/>
      <c r="AA481" s="59"/>
      <c r="AB481" s="59"/>
      <c r="AC481" s="59"/>
      <c r="AD481" s="59"/>
      <c r="AE481" s="59"/>
      <c r="AF481" s="59"/>
    </row>
    <row r="482" ht="15.75" customHeight="1">
      <c r="A482" s="59"/>
      <c r="B482" s="59"/>
      <c r="C482" s="59"/>
      <c r="D482" s="59"/>
      <c r="E482" s="63"/>
      <c r="F482" s="64"/>
      <c r="G482" s="64"/>
      <c r="H482" s="64"/>
      <c r="I482" s="70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70"/>
      <c r="AA482" s="59"/>
      <c r="AB482" s="59"/>
      <c r="AC482" s="59"/>
      <c r="AD482" s="59"/>
      <c r="AE482" s="59"/>
      <c r="AF482" s="59"/>
    </row>
    <row r="483" ht="15.75" customHeight="1">
      <c r="A483" s="59"/>
      <c r="B483" s="59"/>
      <c r="C483" s="59"/>
      <c r="D483" s="59"/>
      <c r="E483" s="63"/>
      <c r="F483" s="64"/>
      <c r="G483" s="64"/>
      <c r="H483" s="64"/>
      <c r="I483" s="70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70"/>
      <c r="AA483" s="59"/>
      <c r="AB483" s="59"/>
      <c r="AC483" s="59"/>
      <c r="AD483" s="59"/>
      <c r="AE483" s="59"/>
      <c r="AF483" s="59"/>
    </row>
    <row r="484" ht="15.75" customHeight="1">
      <c r="A484" s="59"/>
      <c r="B484" s="59"/>
      <c r="C484" s="59"/>
      <c r="D484" s="59"/>
      <c r="E484" s="63"/>
      <c r="F484" s="64"/>
      <c r="G484" s="64"/>
      <c r="H484" s="64"/>
      <c r="I484" s="70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70"/>
      <c r="AA484" s="59"/>
      <c r="AB484" s="59"/>
      <c r="AC484" s="59"/>
      <c r="AD484" s="59"/>
      <c r="AE484" s="59"/>
      <c r="AF484" s="59"/>
    </row>
    <row r="485" ht="15.75" customHeight="1">
      <c r="A485" s="59"/>
      <c r="B485" s="59"/>
      <c r="C485" s="59"/>
      <c r="D485" s="59"/>
      <c r="E485" s="63"/>
      <c r="F485" s="64"/>
      <c r="G485" s="64"/>
      <c r="H485" s="64"/>
      <c r="I485" s="70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70"/>
      <c r="AA485" s="59"/>
      <c r="AB485" s="59"/>
      <c r="AC485" s="59"/>
      <c r="AD485" s="59"/>
      <c r="AE485" s="59"/>
      <c r="AF485" s="59"/>
    </row>
    <row r="486" ht="15.75" customHeight="1">
      <c r="A486" s="59"/>
      <c r="B486" s="59"/>
      <c r="C486" s="59"/>
      <c r="D486" s="59"/>
      <c r="E486" s="63"/>
      <c r="F486" s="64"/>
      <c r="G486" s="64"/>
      <c r="H486" s="64"/>
      <c r="I486" s="70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70"/>
      <c r="AA486" s="59"/>
      <c r="AB486" s="59"/>
      <c r="AC486" s="59"/>
      <c r="AD486" s="59"/>
      <c r="AE486" s="59"/>
      <c r="AF486" s="59"/>
    </row>
    <row r="487" ht="15.75" customHeight="1">
      <c r="A487" s="59"/>
      <c r="B487" s="59"/>
      <c r="C487" s="59"/>
      <c r="D487" s="59"/>
      <c r="E487" s="63"/>
      <c r="F487" s="64"/>
      <c r="G487" s="64"/>
      <c r="H487" s="64"/>
      <c r="I487" s="70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70"/>
      <c r="AA487" s="59"/>
      <c r="AB487" s="59"/>
      <c r="AC487" s="59"/>
      <c r="AD487" s="59"/>
      <c r="AE487" s="59"/>
      <c r="AF487" s="59"/>
    </row>
    <row r="488" ht="15.75" customHeight="1">
      <c r="A488" s="59"/>
      <c r="B488" s="59"/>
      <c r="C488" s="59"/>
      <c r="D488" s="59"/>
      <c r="E488" s="63"/>
      <c r="F488" s="64"/>
      <c r="G488" s="64"/>
      <c r="H488" s="64"/>
      <c r="I488" s="70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70"/>
      <c r="AA488" s="59"/>
      <c r="AB488" s="59"/>
      <c r="AC488" s="59"/>
      <c r="AD488" s="59"/>
      <c r="AE488" s="59"/>
      <c r="AF488" s="59"/>
    </row>
    <row r="489" ht="15.75" customHeight="1">
      <c r="A489" s="59"/>
      <c r="B489" s="59"/>
      <c r="C489" s="59"/>
      <c r="D489" s="59"/>
      <c r="E489" s="63"/>
      <c r="F489" s="64"/>
      <c r="G489" s="64"/>
      <c r="H489" s="64"/>
      <c r="I489" s="70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70"/>
      <c r="AA489" s="59"/>
      <c r="AB489" s="59"/>
      <c r="AC489" s="59"/>
      <c r="AD489" s="59"/>
      <c r="AE489" s="59"/>
      <c r="AF489" s="59"/>
    </row>
    <row r="490" ht="15.75" customHeight="1">
      <c r="A490" s="59"/>
      <c r="B490" s="59"/>
      <c r="C490" s="59"/>
      <c r="D490" s="59"/>
      <c r="E490" s="63"/>
      <c r="F490" s="64"/>
      <c r="G490" s="64"/>
      <c r="H490" s="64"/>
      <c r="I490" s="70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70"/>
      <c r="AA490" s="59"/>
      <c r="AB490" s="59"/>
      <c r="AC490" s="59"/>
      <c r="AD490" s="59"/>
      <c r="AE490" s="59"/>
      <c r="AF490" s="59"/>
    </row>
    <row r="491" ht="15.75" customHeight="1">
      <c r="A491" s="59"/>
      <c r="B491" s="59"/>
      <c r="C491" s="59"/>
      <c r="D491" s="59"/>
      <c r="E491" s="63"/>
      <c r="F491" s="64"/>
      <c r="G491" s="64"/>
      <c r="H491" s="64"/>
      <c r="I491" s="70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70"/>
      <c r="AA491" s="59"/>
      <c r="AB491" s="59"/>
      <c r="AC491" s="59"/>
      <c r="AD491" s="59"/>
      <c r="AE491" s="59"/>
      <c r="AF491" s="59"/>
    </row>
    <row r="492" ht="15.75" customHeight="1">
      <c r="A492" s="59"/>
      <c r="B492" s="59"/>
      <c r="C492" s="59"/>
      <c r="D492" s="59"/>
      <c r="E492" s="63"/>
      <c r="F492" s="64"/>
      <c r="G492" s="64"/>
      <c r="H492" s="64"/>
      <c r="I492" s="70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70"/>
      <c r="AA492" s="59"/>
      <c r="AB492" s="59"/>
      <c r="AC492" s="59"/>
      <c r="AD492" s="59"/>
      <c r="AE492" s="59"/>
      <c r="AF492" s="59"/>
    </row>
    <row r="493" ht="15.75" customHeight="1">
      <c r="A493" s="59"/>
      <c r="B493" s="59"/>
      <c r="C493" s="59"/>
      <c r="D493" s="59"/>
      <c r="E493" s="63"/>
      <c r="F493" s="64"/>
      <c r="G493" s="64"/>
      <c r="H493" s="64"/>
      <c r="I493" s="70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70"/>
      <c r="AA493" s="59"/>
      <c r="AB493" s="59"/>
      <c r="AC493" s="59"/>
      <c r="AD493" s="59"/>
      <c r="AE493" s="59"/>
      <c r="AF493" s="59"/>
    </row>
    <row r="494" ht="15.75" customHeight="1">
      <c r="A494" s="59"/>
      <c r="B494" s="59"/>
      <c r="C494" s="59"/>
      <c r="D494" s="59"/>
      <c r="E494" s="63"/>
      <c r="F494" s="64"/>
      <c r="G494" s="64"/>
      <c r="H494" s="64"/>
      <c r="I494" s="70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70"/>
      <c r="AA494" s="59"/>
      <c r="AB494" s="59"/>
      <c r="AC494" s="59"/>
      <c r="AD494" s="59"/>
      <c r="AE494" s="59"/>
      <c r="AF494" s="59"/>
    </row>
    <row r="495" ht="15.75" customHeight="1">
      <c r="A495" s="59"/>
      <c r="B495" s="59"/>
      <c r="C495" s="59"/>
      <c r="D495" s="59"/>
      <c r="E495" s="63"/>
      <c r="F495" s="64"/>
      <c r="G495" s="64"/>
      <c r="H495" s="64"/>
      <c r="I495" s="70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70"/>
      <c r="AA495" s="59"/>
      <c r="AB495" s="59"/>
      <c r="AC495" s="59"/>
      <c r="AD495" s="59"/>
      <c r="AE495" s="59"/>
      <c r="AF495" s="59"/>
    </row>
    <row r="496" ht="15.75" customHeight="1">
      <c r="A496" s="59"/>
      <c r="B496" s="59"/>
      <c r="C496" s="59"/>
      <c r="D496" s="59"/>
      <c r="E496" s="63"/>
      <c r="F496" s="64"/>
      <c r="G496" s="64"/>
      <c r="H496" s="64"/>
      <c r="I496" s="70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70"/>
      <c r="AA496" s="59"/>
      <c r="AB496" s="59"/>
      <c r="AC496" s="59"/>
      <c r="AD496" s="59"/>
      <c r="AE496" s="59"/>
      <c r="AF496" s="59"/>
    </row>
    <row r="497" ht="15.75" customHeight="1">
      <c r="A497" s="59"/>
      <c r="B497" s="59"/>
      <c r="C497" s="59"/>
      <c r="D497" s="59"/>
      <c r="E497" s="63"/>
      <c r="F497" s="64"/>
      <c r="G497" s="64"/>
      <c r="H497" s="64"/>
      <c r="I497" s="70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70"/>
      <c r="AA497" s="59"/>
      <c r="AB497" s="59"/>
      <c r="AC497" s="59"/>
      <c r="AD497" s="59"/>
      <c r="AE497" s="59"/>
      <c r="AF497" s="59"/>
    </row>
    <row r="498" ht="15.75" customHeight="1">
      <c r="A498" s="59"/>
      <c r="B498" s="59"/>
      <c r="C498" s="59"/>
      <c r="D498" s="59"/>
      <c r="E498" s="63"/>
      <c r="F498" s="64"/>
      <c r="G498" s="64"/>
      <c r="H498" s="64"/>
      <c r="I498" s="70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70"/>
      <c r="AA498" s="59"/>
      <c r="AB498" s="59"/>
      <c r="AC498" s="59"/>
      <c r="AD498" s="59"/>
      <c r="AE498" s="59"/>
      <c r="AF498" s="59"/>
    </row>
    <row r="499" ht="15.75" customHeight="1">
      <c r="A499" s="59"/>
      <c r="B499" s="59"/>
      <c r="C499" s="59"/>
      <c r="D499" s="59"/>
      <c r="E499" s="63"/>
      <c r="F499" s="64"/>
      <c r="G499" s="64"/>
      <c r="H499" s="64"/>
      <c r="I499" s="70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70"/>
      <c r="AA499" s="59"/>
      <c r="AB499" s="59"/>
      <c r="AC499" s="59"/>
      <c r="AD499" s="59"/>
      <c r="AE499" s="59"/>
      <c r="AF499" s="59"/>
    </row>
    <row r="500" ht="15.75" customHeight="1">
      <c r="A500" s="59"/>
      <c r="B500" s="59"/>
      <c r="C500" s="59"/>
      <c r="D500" s="59"/>
      <c r="E500" s="63"/>
      <c r="F500" s="64"/>
      <c r="G500" s="64"/>
      <c r="H500" s="64"/>
      <c r="I500" s="70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70"/>
      <c r="AA500" s="59"/>
      <c r="AB500" s="59"/>
      <c r="AC500" s="59"/>
      <c r="AD500" s="59"/>
      <c r="AE500" s="59"/>
      <c r="AF500" s="59"/>
    </row>
    <row r="501" ht="15.75" customHeight="1">
      <c r="A501" s="59"/>
      <c r="B501" s="59"/>
      <c r="C501" s="59"/>
      <c r="D501" s="59"/>
      <c r="E501" s="63"/>
      <c r="F501" s="64"/>
      <c r="G501" s="64"/>
      <c r="H501" s="64"/>
      <c r="I501" s="70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70"/>
      <c r="AA501" s="59"/>
      <c r="AB501" s="59"/>
      <c r="AC501" s="59"/>
      <c r="AD501" s="59"/>
      <c r="AE501" s="59"/>
      <c r="AF501" s="59"/>
    </row>
    <row r="502" ht="15.75" customHeight="1">
      <c r="A502" s="59"/>
      <c r="B502" s="59"/>
      <c r="C502" s="59"/>
      <c r="D502" s="59"/>
      <c r="E502" s="63"/>
      <c r="F502" s="64"/>
      <c r="G502" s="64"/>
      <c r="H502" s="64"/>
      <c r="I502" s="70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70"/>
      <c r="AA502" s="59"/>
      <c r="AB502" s="59"/>
      <c r="AC502" s="59"/>
      <c r="AD502" s="59"/>
      <c r="AE502" s="59"/>
      <c r="AF502" s="59"/>
    </row>
    <row r="503" ht="15.75" customHeight="1">
      <c r="A503" s="59"/>
      <c r="B503" s="59"/>
      <c r="C503" s="59"/>
      <c r="D503" s="59"/>
      <c r="E503" s="63"/>
      <c r="F503" s="64"/>
      <c r="G503" s="64"/>
      <c r="H503" s="64"/>
      <c r="I503" s="70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70"/>
      <c r="AA503" s="59"/>
      <c r="AB503" s="59"/>
      <c r="AC503" s="59"/>
      <c r="AD503" s="59"/>
      <c r="AE503" s="59"/>
      <c r="AF503" s="59"/>
    </row>
    <row r="504" ht="15.75" customHeight="1">
      <c r="A504" s="59"/>
      <c r="B504" s="59"/>
      <c r="C504" s="59"/>
      <c r="D504" s="59"/>
      <c r="E504" s="63"/>
      <c r="F504" s="64"/>
      <c r="G504" s="64"/>
      <c r="H504" s="64"/>
      <c r="I504" s="70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70"/>
      <c r="AA504" s="59"/>
      <c r="AB504" s="59"/>
      <c r="AC504" s="59"/>
      <c r="AD504" s="59"/>
      <c r="AE504" s="59"/>
      <c r="AF504" s="59"/>
    </row>
    <row r="505" ht="15.75" customHeight="1">
      <c r="A505" s="59"/>
      <c r="B505" s="59"/>
      <c r="C505" s="59"/>
      <c r="D505" s="59"/>
      <c r="E505" s="63"/>
      <c r="F505" s="64"/>
      <c r="G505" s="64"/>
      <c r="H505" s="64"/>
      <c r="I505" s="70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70"/>
      <c r="AA505" s="59"/>
      <c r="AB505" s="59"/>
      <c r="AC505" s="59"/>
      <c r="AD505" s="59"/>
      <c r="AE505" s="59"/>
      <c r="AF505" s="59"/>
    </row>
    <row r="506" ht="15.75" customHeight="1">
      <c r="A506" s="59"/>
      <c r="B506" s="59"/>
      <c r="C506" s="59"/>
      <c r="D506" s="59"/>
      <c r="E506" s="63"/>
      <c r="F506" s="64"/>
      <c r="G506" s="64"/>
      <c r="H506" s="64"/>
      <c r="I506" s="70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70"/>
      <c r="AA506" s="59"/>
      <c r="AB506" s="59"/>
      <c r="AC506" s="59"/>
      <c r="AD506" s="59"/>
      <c r="AE506" s="59"/>
      <c r="AF506" s="59"/>
    </row>
    <row r="507" ht="15.75" customHeight="1">
      <c r="A507" s="59"/>
      <c r="B507" s="59"/>
      <c r="C507" s="59"/>
      <c r="D507" s="59"/>
      <c r="E507" s="63"/>
      <c r="F507" s="64"/>
      <c r="G507" s="64"/>
      <c r="H507" s="64"/>
      <c r="I507" s="70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70"/>
      <c r="AA507" s="59"/>
      <c r="AB507" s="59"/>
      <c r="AC507" s="59"/>
      <c r="AD507" s="59"/>
      <c r="AE507" s="59"/>
      <c r="AF507" s="59"/>
    </row>
    <row r="508" ht="15.75" customHeight="1">
      <c r="A508" s="59"/>
      <c r="B508" s="59"/>
      <c r="C508" s="59"/>
      <c r="D508" s="59"/>
      <c r="E508" s="63"/>
      <c r="F508" s="64"/>
      <c r="G508" s="64"/>
      <c r="H508" s="64"/>
      <c r="I508" s="70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70"/>
      <c r="AA508" s="59"/>
      <c r="AB508" s="59"/>
      <c r="AC508" s="59"/>
      <c r="AD508" s="59"/>
      <c r="AE508" s="59"/>
      <c r="AF508" s="59"/>
    </row>
    <row r="509" ht="15.75" customHeight="1">
      <c r="A509" s="59"/>
      <c r="B509" s="59"/>
      <c r="C509" s="59"/>
      <c r="D509" s="59"/>
      <c r="E509" s="63"/>
      <c r="F509" s="64"/>
      <c r="G509" s="64"/>
      <c r="H509" s="64"/>
      <c r="I509" s="70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70"/>
      <c r="AA509" s="59"/>
      <c r="AB509" s="59"/>
      <c r="AC509" s="59"/>
      <c r="AD509" s="59"/>
      <c r="AE509" s="59"/>
      <c r="AF509" s="59"/>
    </row>
    <row r="510" ht="15.75" customHeight="1">
      <c r="A510" s="59"/>
      <c r="B510" s="59"/>
      <c r="C510" s="59"/>
      <c r="D510" s="59"/>
      <c r="E510" s="63"/>
      <c r="F510" s="64"/>
      <c r="G510" s="64"/>
      <c r="H510" s="64"/>
      <c r="I510" s="70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70"/>
      <c r="AA510" s="59"/>
      <c r="AB510" s="59"/>
      <c r="AC510" s="59"/>
      <c r="AD510" s="59"/>
      <c r="AE510" s="59"/>
      <c r="AF510" s="59"/>
    </row>
    <row r="511" ht="15.75" customHeight="1">
      <c r="A511" s="59"/>
      <c r="B511" s="59"/>
      <c r="C511" s="59"/>
      <c r="D511" s="59"/>
      <c r="E511" s="63"/>
      <c r="F511" s="64"/>
      <c r="G511" s="64"/>
      <c r="H511" s="64"/>
      <c r="I511" s="70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70"/>
      <c r="AA511" s="59"/>
      <c r="AB511" s="59"/>
      <c r="AC511" s="59"/>
      <c r="AD511" s="59"/>
      <c r="AE511" s="59"/>
      <c r="AF511" s="59"/>
    </row>
    <row r="512" ht="15.75" customHeight="1">
      <c r="A512" s="59"/>
      <c r="B512" s="59"/>
      <c r="C512" s="59"/>
      <c r="D512" s="59"/>
      <c r="E512" s="63"/>
      <c r="F512" s="64"/>
      <c r="G512" s="64"/>
      <c r="H512" s="64"/>
      <c r="I512" s="70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70"/>
      <c r="AA512" s="59"/>
      <c r="AB512" s="59"/>
      <c r="AC512" s="59"/>
      <c r="AD512" s="59"/>
      <c r="AE512" s="59"/>
      <c r="AF512" s="59"/>
    </row>
    <row r="513" ht="15.75" customHeight="1">
      <c r="A513" s="59"/>
      <c r="B513" s="59"/>
      <c r="C513" s="59"/>
      <c r="D513" s="59"/>
      <c r="E513" s="63"/>
      <c r="F513" s="64"/>
      <c r="G513" s="64"/>
      <c r="H513" s="64"/>
      <c r="I513" s="70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70"/>
      <c r="AA513" s="59"/>
      <c r="AB513" s="59"/>
      <c r="AC513" s="59"/>
      <c r="AD513" s="59"/>
      <c r="AE513" s="59"/>
      <c r="AF513" s="59"/>
    </row>
    <row r="514" ht="15.75" customHeight="1">
      <c r="A514" s="59"/>
      <c r="B514" s="59"/>
      <c r="C514" s="59"/>
      <c r="D514" s="59"/>
      <c r="E514" s="63"/>
      <c r="F514" s="64"/>
      <c r="G514" s="64"/>
      <c r="H514" s="64"/>
      <c r="I514" s="70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70"/>
      <c r="AA514" s="59"/>
      <c r="AB514" s="59"/>
      <c r="AC514" s="59"/>
      <c r="AD514" s="59"/>
      <c r="AE514" s="59"/>
      <c r="AF514" s="59"/>
    </row>
    <row r="515" ht="15.75" customHeight="1">
      <c r="A515" s="59"/>
      <c r="B515" s="59"/>
      <c r="C515" s="59"/>
      <c r="D515" s="59"/>
      <c r="E515" s="63"/>
      <c r="F515" s="64"/>
      <c r="G515" s="64"/>
      <c r="H515" s="64"/>
      <c r="I515" s="70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70"/>
      <c r="AA515" s="59"/>
      <c r="AB515" s="59"/>
      <c r="AC515" s="59"/>
      <c r="AD515" s="59"/>
      <c r="AE515" s="59"/>
      <c r="AF515" s="59"/>
    </row>
    <row r="516" ht="15.75" customHeight="1">
      <c r="A516" s="59"/>
      <c r="B516" s="59"/>
      <c r="C516" s="59"/>
      <c r="D516" s="59"/>
      <c r="E516" s="63"/>
      <c r="F516" s="64"/>
      <c r="G516" s="64"/>
      <c r="H516" s="64"/>
      <c r="I516" s="70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70"/>
      <c r="AA516" s="59"/>
      <c r="AB516" s="59"/>
      <c r="AC516" s="59"/>
      <c r="AD516" s="59"/>
      <c r="AE516" s="59"/>
      <c r="AF516" s="59"/>
    </row>
    <row r="517" ht="15.75" customHeight="1">
      <c r="A517" s="59"/>
      <c r="B517" s="59"/>
      <c r="C517" s="59"/>
      <c r="D517" s="59"/>
      <c r="E517" s="63"/>
      <c r="F517" s="64"/>
      <c r="G517" s="64"/>
      <c r="H517" s="64"/>
      <c r="I517" s="70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70"/>
      <c r="AA517" s="59"/>
      <c r="AB517" s="59"/>
      <c r="AC517" s="59"/>
      <c r="AD517" s="59"/>
      <c r="AE517" s="59"/>
      <c r="AF517" s="59"/>
    </row>
    <row r="518" ht="15.75" customHeight="1">
      <c r="A518" s="59"/>
      <c r="B518" s="59"/>
      <c r="C518" s="59"/>
      <c r="D518" s="59"/>
      <c r="E518" s="63"/>
      <c r="F518" s="64"/>
      <c r="G518" s="64"/>
      <c r="H518" s="64"/>
      <c r="I518" s="70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70"/>
      <c r="AA518" s="59"/>
      <c r="AB518" s="59"/>
      <c r="AC518" s="59"/>
      <c r="AD518" s="59"/>
      <c r="AE518" s="59"/>
      <c r="AF518" s="59"/>
    </row>
    <row r="519" ht="15.75" customHeight="1">
      <c r="A519" s="59"/>
      <c r="B519" s="59"/>
      <c r="C519" s="59"/>
      <c r="D519" s="59"/>
      <c r="E519" s="63"/>
      <c r="F519" s="64"/>
      <c r="G519" s="64"/>
      <c r="H519" s="64"/>
      <c r="I519" s="70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70"/>
      <c r="AA519" s="59"/>
      <c r="AB519" s="59"/>
      <c r="AC519" s="59"/>
      <c r="AD519" s="59"/>
      <c r="AE519" s="59"/>
      <c r="AF519" s="59"/>
    </row>
    <row r="520" ht="15.75" customHeight="1">
      <c r="A520" s="59"/>
      <c r="B520" s="59"/>
      <c r="C520" s="59"/>
      <c r="D520" s="59"/>
      <c r="E520" s="63"/>
      <c r="F520" s="64"/>
      <c r="G520" s="64"/>
      <c r="H520" s="64"/>
      <c r="I520" s="70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70"/>
      <c r="AA520" s="59"/>
      <c r="AB520" s="59"/>
      <c r="AC520" s="59"/>
      <c r="AD520" s="59"/>
      <c r="AE520" s="59"/>
      <c r="AF520" s="59"/>
    </row>
    <row r="521" ht="15.75" customHeight="1">
      <c r="A521" s="59"/>
      <c r="B521" s="59"/>
      <c r="C521" s="59"/>
      <c r="D521" s="59"/>
      <c r="E521" s="63"/>
      <c r="F521" s="64"/>
      <c r="G521" s="64"/>
      <c r="H521" s="64"/>
      <c r="I521" s="70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70"/>
      <c r="AA521" s="59"/>
      <c r="AB521" s="59"/>
      <c r="AC521" s="59"/>
      <c r="AD521" s="59"/>
      <c r="AE521" s="59"/>
      <c r="AF521" s="59"/>
    </row>
    <row r="522" ht="15.75" customHeight="1">
      <c r="A522" s="59"/>
      <c r="B522" s="59"/>
      <c r="C522" s="59"/>
      <c r="D522" s="59"/>
      <c r="E522" s="63"/>
      <c r="F522" s="64"/>
      <c r="G522" s="64"/>
      <c r="H522" s="64"/>
      <c r="I522" s="70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70"/>
      <c r="AA522" s="59"/>
      <c r="AB522" s="59"/>
      <c r="AC522" s="59"/>
      <c r="AD522" s="59"/>
      <c r="AE522" s="59"/>
      <c r="AF522" s="59"/>
    </row>
    <row r="523" ht="15.75" customHeight="1">
      <c r="A523" s="59"/>
      <c r="B523" s="59"/>
      <c r="C523" s="59"/>
      <c r="D523" s="59"/>
      <c r="E523" s="63"/>
      <c r="F523" s="64"/>
      <c r="G523" s="64"/>
      <c r="H523" s="64"/>
      <c r="I523" s="70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70"/>
      <c r="AA523" s="59"/>
      <c r="AB523" s="59"/>
      <c r="AC523" s="59"/>
      <c r="AD523" s="59"/>
      <c r="AE523" s="59"/>
      <c r="AF523" s="59"/>
    </row>
    <row r="524" ht="15.75" customHeight="1">
      <c r="A524" s="59"/>
      <c r="B524" s="59"/>
      <c r="C524" s="59"/>
      <c r="D524" s="59"/>
      <c r="E524" s="63"/>
      <c r="F524" s="64"/>
      <c r="G524" s="64"/>
      <c r="H524" s="64"/>
      <c r="I524" s="70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70"/>
      <c r="AA524" s="59"/>
      <c r="AB524" s="59"/>
      <c r="AC524" s="59"/>
      <c r="AD524" s="59"/>
      <c r="AE524" s="59"/>
      <c r="AF524" s="59"/>
    </row>
    <row r="525" ht="15.75" customHeight="1">
      <c r="A525" s="59"/>
      <c r="B525" s="59"/>
      <c r="C525" s="59"/>
      <c r="D525" s="59"/>
      <c r="E525" s="63"/>
      <c r="F525" s="64"/>
      <c r="G525" s="64"/>
      <c r="H525" s="64"/>
      <c r="I525" s="70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70"/>
      <c r="AA525" s="59"/>
      <c r="AB525" s="59"/>
      <c r="AC525" s="59"/>
      <c r="AD525" s="59"/>
      <c r="AE525" s="59"/>
      <c r="AF525" s="59"/>
    </row>
    <row r="526" ht="15.75" customHeight="1">
      <c r="A526" s="59"/>
      <c r="B526" s="59"/>
      <c r="C526" s="59"/>
      <c r="D526" s="59"/>
      <c r="E526" s="63"/>
      <c r="F526" s="64"/>
      <c r="G526" s="64"/>
      <c r="H526" s="64"/>
      <c r="I526" s="70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70"/>
      <c r="AA526" s="59"/>
      <c r="AB526" s="59"/>
      <c r="AC526" s="59"/>
      <c r="AD526" s="59"/>
      <c r="AE526" s="59"/>
      <c r="AF526" s="59"/>
    </row>
    <row r="527" ht="15.75" customHeight="1">
      <c r="A527" s="59"/>
      <c r="B527" s="59"/>
      <c r="C527" s="59"/>
      <c r="D527" s="59"/>
      <c r="E527" s="63"/>
      <c r="F527" s="64"/>
      <c r="G527" s="64"/>
      <c r="H527" s="64"/>
      <c r="I527" s="70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70"/>
      <c r="AA527" s="59"/>
      <c r="AB527" s="59"/>
      <c r="AC527" s="59"/>
      <c r="AD527" s="59"/>
      <c r="AE527" s="59"/>
      <c r="AF527" s="59"/>
    </row>
    <row r="528" ht="15.75" customHeight="1">
      <c r="A528" s="59"/>
      <c r="B528" s="59"/>
      <c r="C528" s="59"/>
      <c r="D528" s="59"/>
      <c r="E528" s="63"/>
      <c r="F528" s="64"/>
      <c r="G528" s="64"/>
      <c r="H528" s="64"/>
      <c r="I528" s="70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70"/>
      <c r="AA528" s="59"/>
      <c r="AB528" s="59"/>
      <c r="AC528" s="59"/>
      <c r="AD528" s="59"/>
      <c r="AE528" s="59"/>
      <c r="AF528" s="59"/>
    </row>
    <row r="529" ht="15.75" customHeight="1">
      <c r="A529" s="59"/>
      <c r="B529" s="59"/>
      <c r="C529" s="59"/>
      <c r="D529" s="59"/>
      <c r="E529" s="63"/>
      <c r="F529" s="64"/>
      <c r="G529" s="64"/>
      <c r="H529" s="64"/>
      <c r="I529" s="70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70"/>
      <c r="AA529" s="59"/>
      <c r="AB529" s="59"/>
      <c r="AC529" s="59"/>
      <c r="AD529" s="59"/>
      <c r="AE529" s="59"/>
      <c r="AF529" s="59"/>
    </row>
    <row r="530" ht="15.75" customHeight="1">
      <c r="A530" s="59"/>
      <c r="B530" s="59"/>
      <c r="C530" s="59"/>
      <c r="D530" s="59"/>
      <c r="E530" s="63"/>
      <c r="F530" s="64"/>
      <c r="G530" s="64"/>
      <c r="H530" s="64"/>
      <c r="I530" s="70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70"/>
      <c r="AA530" s="59"/>
      <c r="AB530" s="59"/>
      <c r="AC530" s="59"/>
      <c r="AD530" s="59"/>
      <c r="AE530" s="59"/>
      <c r="AF530" s="59"/>
    </row>
    <row r="531" ht="15.75" customHeight="1">
      <c r="A531" s="59"/>
      <c r="B531" s="59"/>
      <c r="C531" s="59"/>
      <c r="D531" s="59"/>
      <c r="E531" s="63"/>
      <c r="F531" s="64"/>
      <c r="G531" s="64"/>
      <c r="H531" s="64"/>
      <c r="I531" s="70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70"/>
      <c r="AA531" s="59"/>
      <c r="AB531" s="59"/>
      <c r="AC531" s="59"/>
      <c r="AD531" s="59"/>
      <c r="AE531" s="59"/>
      <c r="AF531" s="59"/>
    </row>
    <row r="532" ht="15.75" customHeight="1">
      <c r="A532" s="59"/>
      <c r="B532" s="59"/>
      <c r="C532" s="59"/>
      <c r="D532" s="59"/>
      <c r="E532" s="63"/>
      <c r="F532" s="64"/>
      <c r="G532" s="64"/>
      <c r="H532" s="64"/>
      <c r="I532" s="70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70"/>
      <c r="AA532" s="59"/>
      <c r="AB532" s="59"/>
      <c r="AC532" s="59"/>
      <c r="AD532" s="59"/>
      <c r="AE532" s="59"/>
      <c r="AF532" s="59"/>
    </row>
    <row r="533" ht="15.75" customHeight="1">
      <c r="A533" s="59"/>
      <c r="B533" s="59"/>
      <c r="C533" s="59"/>
      <c r="D533" s="59"/>
      <c r="E533" s="63"/>
      <c r="F533" s="64"/>
      <c r="G533" s="64"/>
      <c r="H533" s="64"/>
      <c r="I533" s="70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70"/>
      <c r="AA533" s="59"/>
      <c r="AB533" s="59"/>
      <c r="AC533" s="59"/>
      <c r="AD533" s="59"/>
      <c r="AE533" s="59"/>
      <c r="AF533" s="59"/>
    </row>
    <row r="534" ht="15.75" customHeight="1">
      <c r="A534" s="59"/>
      <c r="B534" s="59"/>
      <c r="C534" s="59"/>
      <c r="D534" s="59"/>
      <c r="E534" s="63"/>
      <c r="F534" s="64"/>
      <c r="G534" s="64"/>
      <c r="H534" s="64"/>
      <c r="I534" s="70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70"/>
      <c r="AA534" s="59"/>
      <c r="AB534" s="59"/>
      <c r="AC534" s="59"/>
      <c r="AD534" s="59"/>
      <c r="AE534" s="59"/>
      <c r="AF534" s="59"/>
    </row>
    <row r="535" ht="15.75" customHeight="1">
      <c r="A535" s="59"/>
      <c r="B535" s="59"/>
      <c r="C535" s="59"/>
      <c r="D535" s="59"/>
      <c r="E535" s="63"/>
      <c r="F535" s="64"/>
      <c r="G535" s="64"/>
      <c r="H535" s="64"/>
      <c r="I535" s="70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70"/>
      <c r="AA535" s="59"/>
      <c r="AB535" s="59"/>
      <c r="AC535" s="59"/>
      <c r="AD535" s="59"/>
      <c r="AE535" s="59"/>
      <c r="AF535" s="59"/>
    </row>
    <row r="536" ht="15.75" customHeight="1">
      <c r="A536" s="59"/>
      <c r="B536" s="59"/>
      <c r="C536" s="59"/>
      <c r="D536" s="59"/>
      <c r="E536" s="63"/>
      <c r="F536" s="64"/>
      <c r="G536" s="64"/>
      <c r="H536" s="64"/>
      <c r="I536" s="70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70"/>
      <c r="AA536" s="59"/>
      <c r="AB536" s="59"/>
      <c r="AC536" s="59"/>
      <c r="AD536" s="59"/>
      <c r="AE536" s="59"/>
      <c r="AF536" s="59"/>
    </row>
    <row r="537" ht="15.75" customHeight="1">
      <c r="A537" s="59"/>
      <c r="B537" s="59"/>
      <c r="C537" s="59"/>
      <c r="D537" s="59"/>
      <c r="E537" s="63"/>
      <c r="F537" s="64"/>
      <c r="G537" s="64"/>
      <c r="H537" s="64"/>
      <c r="I537" s="70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70"/>
      <c r="AA537" s="59"/>
      <c r="AB537" s="59"/>
      <c r="AC537" s="59"/>
      <c r="AD537" s="59"/>
      <c r="AE537" s="59"/>
      <c r="AF537" s="59"/>
    </row>
    <row r="538" ht="15.75" customHeight="1">
      <c r="A538" s="59"/>
      <c r="B538" s="59"/>
      <c r="C538" s="59"/>
      <c r="D538" s="59"/>
      <c r="E538" s="63"/>
      <c r="F538" s="64"/>
      <c r="G538" s="64"/>
      <c r="H538" s="64"/>
      <c r="I538" s="70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70"/>
      <c r="AA538" s="59"/>
      <c r="AB538" s="59"/>
      <c r="AC538" s="59"/>
      <c r="AD538" s="59"/>
      <c r="AE538" s="59"/>
      <c r="AF538" s="59"/>
    </row>
    <row r="539" ht="15.75" customHeight="1">
      <c r="A539" s="59"/>
      <c r="B539" s="59"/>
      <c r="C539" s="59"/>
      <c r="D539" s="59"/>
      <c r="E539" s="63"/>
      <c r="F539" s="64"/>
      <c r="G539" s="64"/>
      <c r="H539" s="64"/>
      <c r="I539" s="70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70"/>
      <c r="AA539" s="59"/>
      <c r="AB539" s="59"/>
      <c r="AC539" s="59"/>
      <c r="AD539" s="59"/>
      <c r="AE539" s="59"/>
      <c r="AF539" s="59"/>
    </row>
    <row r="540" ht="15.75" customHeight="1">
      <c r="A540" s="59"/>
      <c r="B540" s="59"/>
      <c r="C540" s="59"/>
      <c r="D540" s="59"/>
      <c r="E540" s="63"/>
      <c r="F540" s="64"/>
      <c r="G540" s="64"/>
      <c r="H540" s="64"/>
      <c r="I540" s="70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70"/>
      <c r="AA540" s="59"/>
      <c r="AB540" s="59"/>
      <c r="AC540" s="59"/>
      <c r="AD540" s="59"/>
      <c r="AE540" s="59"/>
      <c r="AF540" s="59"/>
    </row>
    <row r="541" ht="15.75" customHeight="1">
      <c r="A541" s="59"/>
      <c r="B541" s="59"/>
      <c r="C541" s="59"/>
      <c r="D541" s="59"/>
      <c r="E541" s="63"/>
      <c r="F541" s="64"/>
      <c r="G541" s="64"/>
      <c r="H541" s="64"/>
      <c r="I541" s="70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70"/>
      <c r="AA541" s="59"/>
      <c r="AB541" s="59"/>
      <c r="AC541" s="59"/>
      <c r="AD541" s="59"/>
      <c r="AE541" s="59"/>
      <c r="AF541" s="59"/>
    </row>
    <row r="542" ht="15.75" customHeight="1">
      <c r="A542" s="59"/>
      <c r="B542" s="59"/>
      <c r="C542" s="59"/>
      <c r="D542" s="59"/>
      <c r="E542" s="63"/>
      <c r="F542" s="64"/>
      <c r="G542" s="64"/>
      <c r="H542" s="64"/>
      <c r="I542" s="70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70"/>
      <c r="AA542" s="59"/>
      <c r="AB542" s="59"/>
      <c r="AC542" s="59"/>
      <c r="AD542" s="59"/>
      <c r="AE542" s="59"/>
      <c r="AF542" s="59"/>
    </row>
    <row r="543" ht="15.75" customHeight="1">
      <c r="A543" s="59"/>
      <c r="B543" s="59"/>
      <c r="C543" s="59"/>
      <c r="D543" s="59"/>
      <c r="E543" s="63"/>
      <c r="F543" s="64"/>
      <c r="G543" s="64"/>
      <c r="H543" s="64"/>
      <c r="I543" s="70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70"/>
      <c r="AA543" s="59"/>
      <c r="AB543" s="59"/>
      <c r="AC543" s="59"/>
      <c r="AD543" s="59"/>
      <c r="AE543" s="59"/>
      <c r="AF543" s="59"/>
    </row>
    <row r="544" ht="15.75" customHeight="1">
      <c r="A544" s="59"/>
      <c r="B544" s="59"/>
      <c r="C544" s="59"/>
      <c r="D544" s="59"/>
      <c r="E544" s="63"/>
      <c r="F544" s="64"/>
      <c r="G544" s="64"/>
      <c r="H544" s="64"/>
      <c r="I544" s="70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70"/>
      <c r="AA544" s="59"/>
      <c r="AB544" s="59"/>
      <c r="AC544" s="59"/>
      <c r="AD544" s="59"/>
      <c r="AE544" s="59"/>
      <c r="AF544" s="59"/>
    </row>
    <row r="545" ht="15.75" customHeight="1">
      <c r="A545" s="59"/>
      <c r="B545" s="59"/>
      <c r="C545" s="59"/>
      <c r="D545" s="59"/>
      <c r="E545" s="63"/>
      <c r="F545" s="64"/>
      <c r="G545" s="64"/>
      <c r="H545" s="64"/>
      <c r="I545" s="70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70"/>
      <c r="AA545" s="59"/>
      <c r="AB545" s="59"/>
      <c r="AC545" s="59"/>
      <c r="AD545" s="59"/>
      <c r="AE545" s="59"/>
      <c r="AF545" s="59"/>
    </row>
    <row r="546" ht="15.75" customHeight="1">
      <c r="A546" s="59"/>
      <c r="B546" s="59"/>
      <c r="C546" s="59"/>
      <c r="D546" s="59"/>
      <c r="E546" s="63"/>
      <c r="F546" s="64"/>
      <c r="G546" s="64"/>
      <c r="H546" s="64"/>
      <c r="I546" s="70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70"/>
      <c r="AA546" s="59"/>
      <c r="AB546" s="59"/>
      <c r="AC546" s="59"/>
      <c r="AD546" s="59"/>
      <c r="AE546" s="59"/>
      <c r="AF546" s="59"/>
    </row>
    <row r="547" ht="15.75" customHeight="1">
      <c r="A547" s="59"/>
      <c r="B547" s="59"/>
      <c r="C547" s="59"/>
      <c r="D547" s="59"/>
      <c r="E547" s="63"/>
      <c r="F547" s="64"/>
      <c r="G547" s="64"/>
      <c r="H547" s="64"/>
      <c r="I547" s="70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70"/>
      <c r="AA547" s="59"/>
      <c r="AB547" s="59"/>
      <c r="AC547" s="59"/>
      <c r="AD547" s="59"/>
      <c r="AE547" s="59"/>
      <c r="AF547" s="59"/>
    </row>
    <row r="548" ht="15.75" customHeight="1">
      <c r="A548" s="59"/>
      <c r="B548" s="59"/>
      <c r="C548" s="59"/>
      <c r="D548" s="59"/>
      <c r="E548" s="63"/>
      <c r="F548" s="64"/>
      <c r="G548" s="64"/>
      <c r="H548" s="64"/>
      <c r="I548" s="70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70"/>
      <c r="AA548" s="59"/>
      <c r="AB548" s="59"/>
      <c r="AC548" s="59"/>
      <c r="AD548" s="59"/>
      <c r="AE548" s="59"/>
      <c r="AF548" s="59"/>
    </row>
    <row r="549" ht="15.75" customHeight="1">
      <c r="A549" s="59"/>
      <c r="B549" s="59"/>
      <c r="C549" s="59"/>
      <c r="D549" s="59"/>
      <c r="E549" s="63"/>
      <c r="F549" s="64"/>
      <c r="G549" s="64"/>
      <c r="H549" s="64"/>
      <c r="I549" s="70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70"/>
      <c r="AA549" s="59"/>
      <c r="AB549" s="59"/>
      <c r="AC549" s="59"/>
      <c r="AD549" s="59"/>
      <c r="AE549" s="59"/>
      <c r="AF549" s="59"/>
    </row>
    <row r="550" ht="15.75" customHeight="1">
      <c r="A550" s="59"/>
      <c r="B550" s="59"/>
      <c r="C550" s="59"/>
      <c r="D550" s="59"/>
      <c r="E550" s="63"/>
      <c r="F550" s="64"/>
      <c r="G550" s="64"/>
      <c r="H550" s="64"/>
      <c r="I550" s="70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70"/>
      <c r="AA550" s="59"/>
      <c r="AB550" s="59"/>
      <c r="AC550" s="59"/>
      <c r="AD550" s="59"/>
      <c r="AE550" s="59"/>
      <c r="AF550" s="59"/>
    </row>
    <row r="551" ht="15.75" customHeight="1">
      <c r="A551" s="59"/>
      <c r="B551" s="59"/>
      <c r="C551" s="59"/>
      <c r="D551" s="59"/>
      <c r="E551" s="63"/>
      <c r="F551" s="64"/>
      <c r="G551" s="64"/>
      <c r="H551" s="64"/>
      <c r="I551" s="70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70"/>
      <c r="AA551" s="59"/>
      <c r="AB551" s="59"/>
      <c r="AC551" s="59"/>
      <c r="AD551" s="59"/>
      <c r="AE551" s="59"/>
      <c r="AF551" s="59"/>
    </row>
    <row r="552" ht="15.75" customHeight="1">
      <c r="A552" s="59"/>
      <c r="B552" s="59"/>
      <c r="C552" s="59"/>
      <c r="D552" s="59"/>
      <c r="E552" s="63"/>
      <c r="F552" s="64"/>
      <c r="G552" s="64"/>
      <c r="H552" s="64"/>
      <c r="I552" s="70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70"/>
      <c r="AA552" s="59"/>
      <c r="AB552" s="59"/>
      <c r="AC552" s="59"/>
      <c r="AD552" s="59"/>
      <c r="AE552" s="59"/>
      <c r="AF552" s="59"/>
    </row>
    <row r="553" ht="15.75" customHeight="1">
      <c r="A553" s="59"/>
      <c r="B553" s="59"/>
      <c r="C553" s="59"/>
      <c r="D553" s="59"/>
      <c r="E553" s="63"/>
      <c r="F553" s="64"/>
      <c r="G553" s="64"/>
      <c r="H553" s="64"/>
      <c r="I553" s="70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70"/>
      <c r="AA553" s="59"/>
      <c r="AB553" s="59"/>
      <c r="AC553" s="59"/>
      <c r="AD553" s="59"/>
      <c r="AE553" s="59"/>
      <c r="AF553" s="59"/>
    </row>
    <row r="554" ht="15.75" customHeight="1">
      <c r="A554" s="59"/>
      <c r="B554" s="59"/>
      <c r="C554" s="59"/>
      <c r="D554" s="59"/>
      <c r="E554" s="63"/>
      <c r="F554" s="64"/>
      <c r="G554" s="64"/>
      <c r="H554" s="64"/>
      <c r="I554" s="70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70"/>
      <c r="AA554" s="59"/>
      <c r="AB554" s="59"/>
      <c r="AC554" s="59"/>
      <c r="AD554" s="59"/>
      <c r="AE554" s="59"/>
      <c r="AF554" s="59"/>
    </row>
    <row r="555" ht="15.75" customHeight="1">
      <c r="A555" s="59"/>
      <c r="B555" s="59"/>
      <c r="C555" s="59"/>
      <c r="D555" s="59"/>
      <c r="E555" s="63"/>
      <c r="F555" s="64"/>
      <c r="G555" s="64"/>
      <c r="H555" s="64"/>
      <c r="I555" s="70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70"/>
      <c r="AA555" s="59"/>
      <c r="AB555" s="59"/>
      <c r="AC555" s="59"/>
      <c r="AD555" s="59"/>
      <c r="AE555" s="59"/>
      <c r="AF555" s="59"/>
    </row>
    <row r="556" ht="15.75" customHeight="1">
      <c r="A556" s="59"/>
      <c r="B556" s="59"/>
      <c r="C556" s="59"/>
      <c r="D556" s="59"/>
      <c r="E556" s="63"/>
      <c r="F556" s="64"/>
      <c r="G556" s="64"/>
      <c r="H556" s="64"/>
      <c r="I556" s="70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70"/>
      <c r="AA556" s="59"/>
      <c r="AB556" s="59"/>
      <c r="AC556" s="59"/>
      <c r="AD556" s="59"/>
      <c r="AE556" s="59"/>
      <c r="AF556" s="59"/>
    </row>
    <row r="557" ht="15.75" customHeight="1">
      <c r="A557" s="59"/>
      <c r="B557" s="59"/>
      <c r="C557" s="59"/>
      <c r="D557" s="59"/>
      <c r="E557" s="63"/>
      <c r="F557" s="64"/>
      <c r="G557" s="64"/>
      <c r="H557" s="64"/>
      <c r="I557" s="70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70"/>
      <c r="AA557" s="59"/>
      <c r="AB557" s="59"/>
      <c r="AC557" s="59"/>
      <c r="AD557" s="59"/>
      <c r="AE557" s="59"/>
      <c r="AF557" s="59"/>
    </row>
    <row r="558" ht="15.75" customHeight="1">
      <c r="A558" s="59"/>
      <c r="B558" s="59"/>
      <c r="C558" s="59"/>
      <c r="D558" s="59"/>
      <c r="E558" s="63"/>
      <c r="F558" s="64"/>
      <c r="G558" s="64"/>
      <c r="H558" s="64"/>
      <c r="I558" s="70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70"/>
      <c r="AA558" s="59"/>
      <c r="AB558" s="59"/>
      <c r="AC558" s="59"/>
      <c r="AD558" s="59"/>
      <c r="AE558" s="59"/>
      <c r="AF558" s="59"/>
    </row>
    <row r="559" ht="15.75" customHeight="1">
      <c r="A559" s="59"/>
      <c r="B559" s="59"/>
      <c r="C559" s="59"/>
      <c r="D559" s="59"/>
      <c r="E559" s="63"/>
      <c r="F559" s="64"/>
      <c r="G559" s="64"/>
      <c r="H559" s="64"/>
      <c r="I559" s="70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70"/>
      <c r="AA559" s="59"/>
      <c r="AB559" s="59"/>
      <c r="AC559" s="59"/>
      <c r="AD559" s="59"/>
      <c r="AE559" s="59"/>
      <c r="AF559" s="59"/>
    </row>
    <row r="560" ht="15.75" customHeight="1">
      <c r="A560" s="59"/>
      <c r="B560" s="59"/>
      <c r="C560" s="59"/>
      <c r="D560" s="59"/>
      <c r="E560" s="63"/>
      <c r="F560" s="64"/>
      <c r="G560" s="64"/>
      <c r="H560" s="64"/>
      <c r="I560" s="70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70"/>
      <c r="AA560" s="59"/>
      <c r="AB560" s="59"/>
      <c r="AC560" s="59"/>
      <c r="AD560" s="59"/>
      <c r="AE560" s="59"/>
      <c r="AF560" s="59"/>
    </row>
    <row r="561" ht="15.75" customHeight="1">
      <c r="A561" s="59"/>
      <c r="B561" s="59"/>
      <c r="C561" s="59"/>
      <c r="D561" s="59"/>
      <c r="E561" s="63"/>
      <c r="F561" s="64"/>
      <c r="G561" s="64"/>
      <c r="H561" s="64"/>
      <c r="I561" s="70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70"/>
      <c r="AA561" s="59"/>
      <c r="AB561" s="59"/>
      <c r="AC561" s="59"/>
      <c r="AD561" s="59"/>
      <c r="AE561" s="59"/>
      <c r="AF561" s="59"/>
    </row>
    <row r="562" ht="15.75" customHeight="1">
      <c r="A562" s="59"/>
      <c r="B562" s="59"/>
      <c r="C562" s="59"/>
      <c r="D562" s="59"/>
      <c r="E562" s="63"/>
      <c r="F562" s="64"/>
      <c r="G562" s="64"/>
      <c r="H562" s="64"/>
      <c r="I562" s="70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70"/>
      <c r="AA562" s="59"/>
      <c r="AB562" s="59"/>
      <c r="AC562" s="59"/>
      <c r="AD562" s="59"/>
      <c r="AE562" s="59"/>
      <c r="AF562" s="59"/>
    </row>
    <row r="563" ht="15.75" customHeight="1">
      <c r="A563" s="59"/>
      <c r="B563" s="59"/>
      <c r="C563" s="59"/>
      <c r="D563" s="59"/>
      <c r="E563" s="63"/>
      <c r="F563" s="64"/>
      <c r="G563" s="64"/>
      <c r="H563" s="64"/>
      <c r="I563" s="70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70"/>
      <c r="AA563" s="59"/>
      <c r="AB563" s="59"/>
      <c r="AC563" s="59"/>
      <c r="AD563" s="59"/>
      <c r="AE563" s="59"/>
      <c r="AF563" s="59"/>
    </row>
    <row r="564" ht="15.75" customHeight="1">
      <c r="A564" s="59"/>
      <c r="B564" s="59"/>
      <c r="C564" s="59"/>
      <c r="D564" s="59"/>
      <c r="E564" s="63"/>
      <c r="F564" s="64"/>
      <c r="G564" s="64"/>
      <c r="H564" s="64"/>
      <c r="I564" s="70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70"/>
      <c r="AA564" s="59"/>
      <c r="AB564" s="59"/>
      <c r="AC564" s="59"/>
      <c r="AD564" s="59"/>
      <c r="AE564" s="59"/>
      <c r="AF564" s="59"/>
    </row>
    <row r="565" ht="15.75" customHeight="1">
      <c r="A565" s="59"/>
      <c r="B565" s="59"/>
      <c r="C565" s="59"/>
      <c r="D565" s="59"/>
      <c r="E565" s="63"/>
      <c r="F565" s="64"/>
      <c r="G565" s="64"/>
      <c r="H565" s="64"/>
      <c r="I565" s="70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70"/>
      <c r="AA565" s="59"/>
      <c r="AB565" s="59"/>
      <c r="AC565" s="59"/>
      <c r="AD565" s="59"/>
      <c r="AE565" s="59"/>
      <c r="AF565" s="59"/>
    </row>
    <row r="566" ht="15.75" customHeight="1">
      <c r="A566" s="59"/>
      <c r="B566" s="59"/>
      <c r="C566" s="59"/>
      <c r="D566" s="59"/>
      <c r="E566" s="63"/>
      <c r="F566" s="64"/>
      <c r="G566" s="64"/>
      <c r="H566" s="64"/>
      <c r="I566" s="70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70"/>
      <c r="AA566" s="59"/>
      <c r="AB566" s="59"/>
      <c r="AC566" s="59"/>
      <c r="AD566" s="59"/>
      <c r="AE566" s="59"/>
      <c r="AF566" s="59"/>
    </row>
    <row r="567" ht="15.75" customHeight="1">
      <c r="A567" s="59"/>
      <c r="B567" s="59"/>
      <c r="C567" s="59"/>
      <c r="D567" s="59"/>
      <c r="E567" s="63"/>
      <c r="F567" s="64"/>
      <c r="G567" s="64"/>
      <c r="H567" s="64"/>
      <c r="I567" s="70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70"/>
      <c r="AA567" s="59"/>
      <c r="AB567" s="59"/>
      <c r="AC567" s="59"/>
      <c r="AD567" s="59"/>
      <c r="AE567" s="59"/>
      <c r="AF567" s="59"/>
    </row>
    <row r="568" ht="15.75" customHeight="1">
      <c r="A568" s="59"/>
      <c r="B568" s="59"/>
      <c r="C568" s="59"/>
      <c r="D568" s="59"/>
      <c r="E568" s="63"/>
      <c r="F568" s="64"/>
      <c r="G568" s="64"/>
      <c r="H568" s="64"/>
      <c r="I568" s="70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70"/>
      <c r="AA568" s="59"/>
      <c r="AB568" s="59"/>
      <c r="AC568" s="59"/>
      <c r="AD568" s="59"/>
      <c r="AE568" s="59"/>
      <c r="AF568" s="59"/>
    </row>
    <row r="569" ht="15.75" customHeight="1">
      <c r="A569" s="59"/>
      <c r="B569" s="59"/>
      <c r="C569" s="59"/>
      <c r="D569" s="59"/>
      <c r="E569" s="63"/>
      <c r="F569" s="64"/>
      <c r="G569" s="64"/>
      <c r="H569" s="64"/>
      <c r="I569" s="70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70"/>
      <c r="AA569" s="59"/>
      <c r="AB569" s="59"/>
      <c r="AC569" s="59"/>
      <c r="AD569" s="59"/>
      <c r="AE569" s="59"/>
      <c r="AF569" s="59"/>
    </row>
    <row r="570" ht="15.75" customHeight="1">
      <c r="A570" s="59"/>
      <c r="B570" s="59"/>
      <c r="C570" s="59"/>
      <c r="D570" s="59"/>
      <c r="E570" s="63"/>
      <c r="F570" s="64"/>
      <c r="G570" s="64"/>
      <c r="H570" s="64"/>
      <c r="I570" s="70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70"/>
      <c r="AA570" s="59"/>
      <c r="AB570" s="59"/>
      <c r="AC570" s="59"/>
      <c r="AD570" s="59"/>
      <c r="AE570" s="59"/>
      <c r="AF570" s="59"/>
    </row>
    <row r="571" ht="15.75" customHeight="1">
      <c r="A571" s="59"/>
      <c r="B571" s="59"/>
      <c r="C571" s="59"/>
      <c r="D571" s="59"/>
      <c r="E571" s="63"/>
      <c r="F571" s="64"/>
      <c r="G571" s="64"/>
      <c r="H571" s="64"/>
      <c r="I571" s="70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70"/>
      <c r="AA571" s="59"/>
      <c r="AB571" s="59"/>
      <c r="AC571" s="59"/>
      <c r="AD571" s="59"/>
      <c r="AE571" s="59"/>
      <c r="AF571" s="59"/>
    </row>
    <row r="572" ht="15.75" customHeight="1">
      <c r="A572" s="59"/>
      <c r="B572" s="59"/>
      <c r="C572" s="59"/>
      <c r="D572" s="59"/>
      <c r="E572" s="63"/>
      <c r="F572" s="64"/>
      <c r="G572" s="64"/>
      <c r="H572" s="64"/>
      <c r="I572" s="70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70"/>
      <c r="AA572" s="59"/>
      <c r="AB572" s="59"/>
      <c r="AC572" s="59"/>
      <c r="AD572" s="59"/>
      <c r="AE572" s="59"/>
      <c r="AF572" s="59"/>
    </row>
    <row r="573" ht="15.75" customHeight="1">
      <c r="A573" s="59"/>
      <c r="B573" s="59"/>
      <c r="C573" s="59"/>
      <c r="D573" s="59"/>
      <c r="E573" s="63"/>
      <c r="F573" s="64"/>
      <c r="G573" s="64"/>
      <c r="H573" s="64"/>
      <c r="I573" s="70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70"/>
      <c r="AA573" s="59"/>
      <c r="AB573" s="59"/>
      <c r="AC573" s="59"/>
      <c r="AD573" s="59"/>
      <c r="AE573" s="59"/>
      <c r="AF573" s="59"/>
    </row>
    <row r="574" ht="15.75" customHeight="1">
      <c r="A574" s="59"/>
      <c r="B574" s="59"/>
      <c r="C574" s="59"/>
      <c r="D574" s="59"/>
      <c r="E574" s="63"/>
      <c r="F574" s="64"/>
      <c r="G574" s="64"/>
      <c r="H574" s="64"/>
      <c r="I574" s="70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70"/>
      <c r="AA574" s="59"/>
      <c r="AB574" s="59"/>
      <c r="AC574" s="59"/>
      <c r="AD574" s="59"/>
      <c r="AE574" s="59"/>
      <c r="AF574" s="59"/>
    </row>
    <row r="575" ht="15.75" customHeight="1">
      <c r="A575" s="59"/>
      <c r="B575" s="59"/>
      <c r="C575" s="59"/>
      <c r="D575" s="59"/>
      <c r="E575" s="63"/>
      <c r="F575" s="64"/>
      <c r="G575" s="64"/>
      <c r="H575" s="64"/>
      <c r="I575" s="70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70"/>
      <c r="AA575" s="59"/>
      <c r="AB575" s="59"/>
      <c r="AC575" s="59"/>
      <c r="AD575" s="59"/>
      <c r="AE575" s="59"/>
      <c r="AF575" s="59"/>
    </row>
    <row r="576" ht="15.75" customHeight="1">
      <c r="A576" s="59"/>
      <c r="B576" s="59"/>
      <c r="C576" s="59"/>
      <c r="D576" s="59"/>
      <c r="E576" s="63"/>
      <c r="F576" s="64"/>
      <c r="G576" s="64"/>
      <c r="H576" s="64"/>
      <c r="I576" s="70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70"/>
      <c r="AA576" s="59"/>
      <c r="AB576" s="59"/>
      <c r="AC576" s="59"/>
      <c r="AD576" s="59"/>
      <c r="AE576" s="59"/>
      <c r="AF576" s="59"/>
    </row>
    <row r="577" ht="15.75" customHeight="1">
      <c r="A577" s="59"/>
      <c r="B577" s="59"/>
      <c r="C577" s="59"/>
      <c r="D577" s="59"/>
      <c r="E577" s="63"/>
      <c r="F577" s="64"/>
      <c r="G577" s="64"/>
      <c r="H577" s="64"/>
      <c r="I577" s="70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70"/>
      <c r="AA577" s="59"/>
      <c r="AB577" s="59"/>
      <c r="AC577" s="59"/>
      <c r="AD577" s="59"/>
      <c r="AE577" s="59"/>
      <c r="AF577" s="59"/>
    </row>
    <row r="578" ht="15.75" customHeight="1">
      <c r="A578" s="59"/>
      <c r="B578" s="59"/>
      <c r="C578" s="59"/>
      <c r="D578" s="59"/>
      <c r="E578" s="63"/>
      <c r="F578" s="64"/>
      <c r="G578" s="64"/>
      <c r="H578" s="64"/>
      <c r="I578" s="70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70"/>
      <c r="AA578" s="59"/>
      <c r="AB578" s="59"/>
      <c r="AC578" s="59"/>
      <c r="AD578" s="59"/>
      <c r="AE578" s="59"/>
      <c r="AF578" s="59"/>
    </row>
    <row r="579" ht="15.75" customHeight="1">
      <c r="A579" s="59"/>
      <c r="B579" s="59"/>
      <c r="C579" s="59"/>
      <c r="D579" s="59"/>
      <c r="E579" s="63"/>
      <c r="F579" s="64"/>
      <c r="G579" s="64"/>
      <c r="H579" s="64"/>
      <c r="I579" s="70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70"/>
      <c r="AA579" s="59"/>
      <c r="AB579" s="59"/>
      <c r="AC579" s="59"/>
      <c r="AD579" s="59"/>
      <c r="AE579" s="59"/>
      <c r="AF579" s="59"/>
    </row>
    <row r="580" ht="15.75" customHeight="1">
      <c r="A580" s="59"/>
      <c r="B580" s="59"/>
      <c r="C580" s="59"/>
      <c r="D580" s="59"/>
      <c r="E580" s="63"/>
      <c r="F580" s="64"/>
      <c r="G580" s="64"/>
      <c r="H580" s="64"/>
      <c r="I580" s="70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70"/>
      <c r="AA580" s="59"/>
      <c r="AB580" s="59"/>
      <c r="AC580" s="59"/>
      <c r="AD580" s="59"/>
      <c r="AE580" s="59"/>
      <c r="AF580" s="59"/>
    </row>
    <row r="581" ht="15.75" customHeight="1">
      <c r="A581" s="59"/>
      <c r="B581" s="59"/>
      <c r="C581" s="59"/>
      <c r="D581" s="59"/>
      <c r="E581" s="63"/>
      <c r="F581" s="64"/>
      <c r="G581" s="64"/>
      <c r="H581" s="64"/>
      <c r="I581" s="70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70"/>
      <c r="AA581" s="59"/>
      <c r="AB581" s="59"/>
      <c r="AC581" s="59"/>
      <c r="AD581" s="59"/>
      <c r="AE581" s="59"/>
      <c r="AF581" s="59"/>
    </row>
    <row r="582" ht="15.75" customHeight="1">
      <c r="A582" s="59"/>
      <c r="B582" s="59"/>
      <c r="C582" s="59"/>
      <c r="D582" s="59"/>
      <c r="E582" s="63"/>
      <c r="F582" s="64"/>
      <c r="G582" s="64"/>
      <c r="H582" s="64"/>
      <c r="I582" s="70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70"/>
      <c r="AA582" s="59"/>
      <c r="AB582" s="59"/>
      <c r="AC582" s="59"/>
      <c r="AD582" s="59"/>
      <c r="AE582" s="59"/>
      <c r="AF582" s="59"/>
    </row>
    <row r="583" ht="15.75" customHeight="1">
      <c r="A583" s="59"/>
      <c r="B583" s="59"/>
      <c r="C583" s="59"/>
      <c r="D583" s="59"/>
      <c r="E583" s="63"/>
      <c r="F583" s="64"/>
      <c r="G583" s="64"/>
      <c r="H583" s="64"/>
      <c r="I583" s="70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70"/>
      <c r="AA583" s="59"/>
      <c r="AB583" s="59"/>
      <c r="AC583" s="59"/>
      <c r="AD583" s="59"/>
      <c r="AE583" s="59"/>
      <c r="AF583" s="59"/>
    </row>
    <row r="584" ht="15.75" customHeight="1">
      <c r="A584" s="59"/>
      <c r="B584" s="59"/>
      <c r="C584" s="59"/>
      <c r="D584" s="59"/>
      <c r="E584" s="63"/>
      <c r="F584" s="64"/>
      <c r="G584" s="64"/>
      <c r="H584" s="64"/>
      <c r="I584" s="70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70"/>
      <c r="AA584" s="59"/>
      <c r="AB584" s="59"/>
      <c r="AC584" s="59"/>
      <c r="AD584" s="59"/>
      <c r="AE584" s="59"/>
      <c r="AF584" s="59"/>
    </row>
    <row r="585" ht="15.75" customHeight="1">
      <c r="A585" s="59"/>
      <c r="B585" s="59"/>
      <c r="C585" s="59"/>
      <c r="D585" s="59"/>
      <c r="E585" s="63"/>
      <c r="F585" s="64"/>
      <c r="G585" s="64"/>
      <c r="H585" s="64"/>
      <c r="I585" s="70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70"/>
      <c r="AA585" s="59"/>
      <c r="AB585" s="59"/>
      <c r="AC585" s="59"/>
      <c r="AD585" s="59"/>
      <c r="AE585" s="59"/>
      <c r="AF585" s="59"/>
    </row>
    <row r="586" ht="15.75" customHeight="1">
      <c r="A586" s="59"/>
      <c r="B586" s="59"/>
      <c r="C586" s="59"/>
      <c r="D586" s="59"/>
      <c r="E586" s="63"/>
      <c r="F586" s="64"/>
      <c r="G586" s="64"/>
      <c r="H586" s="64"/>
      <c r="I586" s="70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70"/>
      <c r="AA586" s="59"/>
      <c r="AB586" s="59"/>
      <c r="AC586" s="59"/>
      <c r="AD586" s="59"/>
      <c r="AE586" s="59"/>
      <c r="AF586" s="59"/>
    </row>
    <row r="587" ht="15.75" customHeight="1">
      <c r="A587" s="59"/>
      <c r="B587" s="59"/>
      <c r="C587" s="59"/>
      <c r="D587" s="59"/>
      <c r="E587" s="63"/>
      <c r="F587" s="64"/>
      <c r="G587" s="64"/>
      <c r="H587" s="64"/>
      <c r="I587" s="70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70"/>
      <c r="AA587" s="59"/>
      <c r="AB587" s="59"/>
      <c r="AC587" s="59"/>
      <c r="AD587" s="59"/>
      <c r="AE587" s="59"/>
      <c r="AF587" s="59"/>
    </row>
    <row r="588" ht="15.75" customHeight="1">
      <c r="A588" s="59"/>
      <c r="B588" s="59"/>
      <c r="C588" s="59"/>
      <c r="D588" s="59"/>
      <c r="E588" s="63"/>
      <c r="F588" s="64"/>
      <c r="G588" s="64"/>
      <c r="H588" s="64"/>
      <c r="I588" s="70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70"/>
      <c r="AA588" s="59"/>
      <c r="AB588" s="59"/>
      <c r="AC588" s="59"/>
      <c r="AD588" s="59"/>
      <c r="AE588" s="59"/>
      <c r="AF588" s="59"/>
    </row>
    <row r="589" ht="15.75" customHeight="1">
      <c r="A589" s="59"/>
      <c r="B589" s="59"/>
      <c r="C589" s="59"/>
      <c r="D589" s="59"/>
      <c r="E589" s="63"/>
      <c r="F589" s="64"/>
      <c r="G589" s="64"/>
      <c r="H589" s="64"/>
      <c r="I589" s="70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70"/>
      <c r="AA589" s="59"/>
      <c r="AB589" s="59"/>
      <c r="AC589" s="59"/>
      <c r="AD589" s="59"/>
      <c r="AE589" s="59"/>
      <c r="AF589" s="59"/>
    </row>
    <row r="590" ht="15.75" customHeight="1">
      <c r="A590" s="59"/>
      <c r="B590" s="59"/>
      <c r="C590" s="59"/>
      <c r="D590" s="59"/>
      <c r="E590" s="63"/>
      <c r="F590" s="64"/>
      <c r="G590" s="64"/>
      <c r="H590" s="64"/>
      <c r="I590" s="70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70"/>
      <c r="AA590" s="59"/>
      <c r="AB590" s="59"/>
      <c r="AC590" s="59"/>
      <c r="AD590" s="59"/>
      <c r="AE590" s="59"/>
      <c r="AF590" s="59"/>
    </row>
    <row r="591" ht="15.75" customHeight="1">
      <c r="A591" s="59"/>
      <c r="B591" s="59"/>
      <c r="C591" s="59"/>
      <c r="D591" s="59"/>
      <c r="E591" s="63"/>
      <c r="F591" s="64"/>
      <c r="G591" s="64"/>
      <c r="H591" s="64"/>
      <c r="I591" s="70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70"/>
      <c r="AA591" s="59"/>
      <c r="AB591" s="59"/>
      <c r="AC591" s="59"/>
      <c r="AD591" s="59"/>
      <c r="AE591" s="59"/>
      <c r="AF591" s="59"/>
    </row>
    <row r="592" ht="15.75" customHeight="1">
      <c r="A592" s="59"/>
      <c r="B592" s="59"/>
      <c r="C592" s="59"/>
      <c r="D592" s="59"/>
      <c r="E592" s="63"/>
      <c r="F592" s="64"/>
      <c r="G592" s="64"/>
      <c r="H592" s="64"/>
      <c r="I592" s="70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70"/>
      <c r="AA592" s="59"/>
      <c r="AB592" s="59"/>
      <c r="AC592" s="59"/>
      <c r="AD592" s="59"/>
      <c r="AE592" s="59"/>
      <c r="AF592" s="59"/>
    </row>
    <row r="593" ht="15.75" customHeight="1">
      <c r="A593" s="59"/>
      <c r="B593" s="59"/>
      <c r="C593" s="59"/>
      <c r="D593" s="59"/>
      <c r="E593" s="63"/>
      <c r="F593" s="64"/>
      <c r="G593" s="64"/>
      <c r="H593" s="64"/>
      <c r="I593" s="70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70"/>
      <c r="AA593" s="59"/>
      <c r="AB593" s="59"/>
      <c r="AC593" s="59"/>
      <c r="AD593" s="59"/>
      <c r="AE593" s="59"/>
      <c r="AF593" s="59"/>
    </row>
    <row r="594" ht="15.75" customHeight="1">
      <c r="A594" s="59"/>
      <c r="B594" s="59"/>
      <c r="C594" s="59"/>
      <c r="D594" s="59"/>
      <c r="E594" s="63"/>
      <c r="F594" s="64"/>
      <c r="G594" s="64"/>
      <c r="H594" s="64"/>
      <c r="I594" s="70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70"/>
      <c r="AA594" s="59"/>
      <c r="AB594" s="59"/>
      <c r="AC594" s="59"/>
      <c r="AD594" s="59"/>
      <c r="AE594" s="59"/>
      <c r="AF594" s="59"/>
    </row>
    <row r="595" ht="15.75" customHeight="1">
      <c r="A595" s="59"/>
      <c r="B595" s="59"/>
      <c r="C595" s="59"/>
      <c r="D595" s="59"/>
      <c r="E595" s="63"/>
      <c r="F595" s="64"/>
      <c r="G595" s="64"/>
      <c r="H595" s="64"/>
      <c r="I595" s="70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70"/>
      <c r="AA595" s="59"/>
      <c r="AB595" s="59"/>
      <c r="AC595" s="59"/>
      <c r="AD595" s="59"/>
      <c r="AE595" s="59"/>
      <c r="AF595" s="59"/>
    </row>
    <row r="596" ht="15.75" customHeight="1">
      <c r="A596" s="59"/>
      <c r="B596" s="59"/>
      <c r="C596" s="59"/>
      <c r="D596" s="59"/>
      <c r="E596" s="63"/>
      <c r="F596" s="64"/>
      <c r="G596" s="64"/>
      <c r="H596" s="64"/>
      <c r="I596" s="70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70"/>
      <c r="AA596" s="59"/>
      <c r="AB596" s="59"/>
      <c r="AC596" s="59"/>
      <c r="AD596" s="59"/>
      <c r="AE596" s="59"/>
      <c r="AF596" s="59"/>
    </row>
    <row r="597" ht="15.75" customHeight="1">
      <c r="A597" s="59"/>
      <c r="B597" s="59"/>
      <c r="C597" s="59"/>
      <c r="D597" s="59"/>
      <c r="E597" s="63"/>
      <c r="F597" s="64"/>
      <c r="G597" s="64"/>
      <c r="H597" s="64"/>
      <c r="I597" s="70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70"/>
      <c r="AA597" s="59"/>
      <c r="AB597" s="59"/>
      <c r="AC597" s="59"/>
      <c r="AD597" s="59"/>
      <c r="AE597" s="59"/>
      <c r="AF597" s="59"/>
    </row>
    <row r="598" ht="15.75" customHeight="1">
      <c r="A598" s="59"/>
      <c r="B598" s="59"/>
      <c r="C598" s="59"/>
      <c r="D598" s="59"/>
      <c r="E598" s="63"/>
      <c r="F598" s="64"/>
      <c r="G598" s="64"/>
      <c r="H598" s="64"/>
      <c r="I598" s="70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70"/>
      <c r="AA598" s="59"/>
      <c r="AB598" s="59"/>
      <c r="AC598" s="59"/>
      <c r="AD598" s="59"/>
      <c r="AE598" s="59"/>
      <c r="AF598" s="59"/>
    </row>
    <row r="599" ht="15.75" customHeight="1">
      <c r="A599" s="59"/>
      <c r="B599" s="59"/>
      <c r="C599" s="59"/>
      <c r="D599" s="59"/>
      <c r="E599" s="63"/>
      <c r="F599" s="64"/>
      <c r="G599" s="64"/>
      <c r="H599" s="64"/>
      <c r="I599" s="70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70"/>
      <c r="AA599" s="59"/>
      <c r="AB599" s="59"/>
      <c r="AC599" s="59"/>
      <c r="AD599" s="59"/>
      <c r="AE599" s="59"/>
      <c r="AF599" s="59"/>
    </row>
    <row r="600" ht="15.75" customHeight="1">
      <c r="A600" s="59"/>
      <c r="B600" s="59"/>
      <c r="C600" s="59"/>
      <c r="D600" s="59"/>
      <c r="E600" s="63"/>
      <c r="F600" s="64"/>
      <c r="G600" s="64"/>
      <c r="H600" s="64"/>
      <c r="I600" s="70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70"/>
      <c r="AA600" s="59"/>
      <c r="AB600" s="59"/>
      <c r="AC600" s="59"/>
      <c r="AD600" s="59"/>
      <c r="AE600" s="59"/>
      <c r="AF600" s="59"/>
    </row>
    <row r="601" ht="15.75" customHeight="1">
      <c r="A601" s="59"/>
      <c r="B601" s="59"/>
      <c r="C601" s="59"/>
      <c r="D601" s="59"/>
      <c r="E601" s="63"/>
      <c r="F601" s="64"/>
      <c r="G601" s="64"/>
      <c r="H601" s="64"/>
      <c r="I601" s="70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70"/>
      <c r="AA601" s="59"/>
      <c r="AB601" s="59"/>
      <c r="AC601" s="59"/>
      <c r="AD601" s="59"/>
      <c r="AE601" s="59"/>
      <c r="AF601" s="59"/>
    </row>
    <row r="602" ht="15.75" customHeight="1">
      <c r="A602" s="59"/>
      <c r="B602" s="59"/>
      <c r="C602" s="59"/>
      <c r="D602" s="59"/>
      <c r="E602" s="63"/>
      <c r="F602" s="64"/>
      <c r="G602" s="64"/>
      <c r="H602" s="64"/>
      <c r="I602" s="70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70"/>
      <c r="AA602" s="59"/>
      <c r="AB602" s="59"/>
      <c r="AC602" s="59"/>
      <c r="AD602" s="59"/>
      <c r="AE602" s="59"/>
      <c r="AF602" s="59"/>
    </row>
    <row r="603" ht="15.75" customHeight="1">
      <c r="A603" s="59"/>
      <c r="B603" s="59"/>
      <c r="C603" s="59"/>
      <c r="D603" s="59"/>
      <c r="E603" s="63"/>
      <c r="F603" s="64"/>
      <c r="G603" s="64"/>
      <c r="H603" s="64"/>
      <c r="I603" s="70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70"/>
      <c r="AA603" s="59"/>
      <c r="AB603" s="59"/>
      <c r="AC603" s="59"/>
      <c r="AD603" s="59"/>
      <c r="AE603" s="59"/>
      <c r="AF603" s="59"/>
    </row>
    <row r="604" ht="15.75" customHeight="1">
      <c r="A604" s="59"/>
      <c r="B604" s="59"/>
      <c r="C604" s="59"/>
      <c r="D604" s="59"/>
      <c r="E604" s="63"/>
      <c r="F604" s="64"/>
      <c r="G604" s="64"/>
      <c r="H604" s="64"/>
      <c r="I604" s="70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70"/>
      <c r="AA604" s="59"/>
      <c r="AB604" s="59"/>
      <c r="AC604" s="59"/>
      <c r="AD604" s="59"/>
      <c r="AE604" s="59"/>
      <c r="AF604" s="59"/>
    </row>
    <row r="605" ht="15.75" customHeight="1">
      <c r="A605" s="59"/>
      <c r="B605" s="59"/>
      <c r="C605" s="59"/>
      <c r="D605" s="59"/>
      <c r="E605" s="63"/>
      <c r="F605" s="64"/>
      <c r="G605" s="64"/>
      <c r="H605" s="64"/>
      <c r="I605" s="70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70"/>
      <c r="AA605" s="59"/>
      <c r="AB605" s="59"/>
      <c r="AC605" s="59"/>
      <c r="AD605" s="59"/>
      <c r="AE605" s="59"/>
      <c r="AF605" s="59"/>
    </row>
    <row r="606" ht="15.75" customHeight="1">
      <c r="A606" s="59"/>
      <c r="B606" s="59"/>
      <c r="C606" s="59"/>
      <c r="D606" s="59"/>
      <c r="E606" s="63"/>
      <c r="F606" s="64"/>
      <c r="G606" s="64"/>
      <c r="H606" s="64"/>
      <c r="I606" s="70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70"/>
      <c r="AA606" s="59"/>
      <c r="AB606" s="59"/>
      <c r="AC606" s="59"/>
      <c r="AD606" s="59"/>
      <c r="AE606" s="59"/>
      <c r="AF606" s="59"/>
    </row>
    <row r="607" ht="15.75" customHeight="1">
      <c r="A607" s="59"/>
      <c r="B607" s="59"/>
      <c r="C607" s="59"/>
      <c r="D607" s="59"/>
      <c r="E607" s="63"/>
      <c r="F607" s="64"/>
      <c r="G607" s="64"/>
      <c r="H607" s="64"/>
      <c r="I607" s="70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70"/>
      <c r="AA607" s="59"/>
      <c r="AB607" s="59"/>
      <c r="AC607" s="59"/>
      <c r="AD607" s="59"/>
      <c r="AE607" s="59"/>
      <c r="AF607" s="59"/>
    </row>
    <row r="608" ht="15.75" customHeight="1">
      <c r="A608" s="59"/>
      <c r="B608" s="59"/>
      <c r="C608" s="59"/>
      <c r="D608" s="59"/>
      <c r="E608" s="63"/>
      <c r="F608" s="64"/>
      <c r="G608" s="64"/>
      <c r="H608" s="64"/>
      <c r="I608" s="70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70"/>
      <c r="AA608" s="59"/>
      <c r="AB608" s="59"/>
      <c r="AC608" s="59"/>
      <c r="AD608" s="59"/>
      <c r="AE608" s="59"/>
      <c r="AF608" s="59"/>
    </row>
    <row r="609" ht="15.75" customHeight="1">
      <c r="A609" s="59"/>
      <c r="B609" s="59"/>
      <c r="C609" s="59"/>
      <c r="D609" s="59"/>
      <c r="E609" s="63"/>
      <c r="F609" s="64"/>
      <c r="G609" s="64"/>
      <c r="H609" s="64"/>
      <c r="I609" s="70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70"/>
      <c r="AA609" s="59"/>
      <c r="AB609" s="59"/>
      <c r="AC609" s="59"/>
      <c r="AD609" s="59"/>
      <c r="AE609" s="59"/>
      <c r="AF609" s="59"/>
    </row>
    <row r="610" ht="15.75" customHeight="1">
      <c r="A610" s="59"/>
      <c r="B610" s="59"/>
      <c r="C610" s="59"/>
      <c r="D610" s="59"/>
      <c r="E610" s="63"/>
      <c r="F610" s="64"/>
      <c r="G610" s="64"/>
      <c r="H610" s="64"/>
      <c r="I610" s="70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70"/>
      <c r="AA610" s="59"/>
      <c r="AB610" s="59"/>
      <c r="AC610" s="59"/>
      <c r="AD610" s="59"/>
      <c r="AE610" s="59"/>
      <c r="AF610" s="59"/>
    </row>
    <row r="611" ht="15.75" customHeight="1">
      <c r="A611" s="59"/>
      <c r="B611" s="59"/>
      <c r="C611" s="59"/>
      <c r="D611" s="59"/>
      <c r="E611" s="63"/>
      <c r="F611" s="64"/>
      <c r="G611" s="64"/>
      <c r="H611" s="64"/>
      <c r="I611" s="70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70"/>
      <c r="AA611" s="59"/>
      <c r="AB611" s="59"/>
      <c r="AC611" s="59"/>
      <c r="AD611" s="59"/>
      <c r="AE611" s="59"/>
      <c r="AF611" s="59"/>
    </row>
    <row r="612" ht="15.75" customHeight="1">
      <c r="A612" s="59"/>
      <c r="B612" s="59"/>
      <c r="C612" s="59"/>
      <c r="D612" s="59"/>
      <c r="E612" s="63"/>
      <c r="F612" s="64"/>
      <c r="G612" s="64"/>
      <c r="H612" s="64"/>
      <c r="I612" s="70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70"/>
      <c r="AA612" s="59"/>
      <c r="AB612" s="59"/>
      <c r="AC612" s="59"/>
      <c r="AD612" s="59"/>
      <c r="AE612" s="59"/>
      <c r="AF612" s="59"/>
    </row>
    <row r="613" ht="15.75" customHeight="1">
      <c r="A613" s="59"/>
      <c r="B613" s="59"/>
      <c r="C613" s="59"/>
      <c r="D613" s="59"/>
      <c r="E613" s="63"/>
      <c r="F613" s="64"/>
      <c r="G613" s="64"/>
      <c r="H613" s="64"/>
      <c r="I613" s="70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70"/>
      <c r="AA613" s="59"/>
      <c r="AB613" s="59"/>
      <c r="AC613" s="59"/>
      <c r="AD613" s="59"/>
      <c r="AE613" s="59"/>
      <c r="AF613" s="59"/>
    </row>
    <row r="614" ht="15.75" customHeight="1">
      <c r="A614" s="59"/>
      <c r="B614" s="59"/>
      <c r="C614" s="59"/>
      <c r="D614" s="59"/>
      <c r="E614" s="63"/>
      <c r="F614" s="64"/>
      <c r="G614" s="64"/>
      <c r="H614" s="64"/>
      <c r="I614" s="70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70"/>
      <c r="AA614" s="59"/>
      <c r="AB614" s="59"/>
      <c r="AC614" s="59"/>
      <c r="AD614" s="59"/>
      <c r="AE614" s="59"/>
      <c r="AF614" s="59"/>
    </row>
    <row r="615" ht="15.75" customHeight="1">
      <c r="A615" s="59"/>
      <c r="B615" s="59"/>
      <c r="C615" s="59"/>
      <c r="D615" s="59"/>
      <c r="E615" s="63"/>
      <c r="F615" s="64"/>
      <c r="G615" s="64"/>
      <c r="H615" s="64"/>
      <c r="I615" s="70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70"/>
      <c r="AA615" s="59"/>
      <c r="AB615" s="59"/>
      <c r="AC615" s="59"/>
      <c r="AD615" s="59"/>
      <c r="AE615" s="59"/>
      <c r="AF615" s="59"/>
    </row>
    <row r="616" ht="15.75" customHeight="1">
      <c r="A616" s="59"/>
      <c r="B616" s="59"/>
      <c r="C616" s="59"/>
      <c r="D616" s="59"/>
      <c r="E616" s="63"/>
      <c r="F616" s="64"/>
      <c r="G616" s="64"/>
      <c r="H616" s="64"/>
      <c r="I616" s="70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70"/>
      <c r="AA616" s="59"/>
      <c r="AB616" s="59"/>
      <c r="AC616" s="59"/>
      <c r="AD616" s="59"/>
      <c r="AE616" s="59"/>
      <c r="AF616" s="59"/>
    </row>
    <row r="617" ht="15.75" customHeight="1">
      <c r="A617" s="59"/>
      <c r="B617" s="59"/>
      <c r="C617" s="59"/>
      <c r="D617" s="59"/>
      <c r="E617" s="63"/>
      <c r="F617" s="64"/>
      <c r="G617" s="64"/>
      <c r="H617" s="64"/>
      <c r="I617" s="70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70"/>
      <c r="AA617" s="59"/>
      <c r="AB617" s="59"/>
      <c r="AC617" s="59"/>
      <c r="AD617" s="59"/>
      <c r="AE617" s="59"/>
      <c r="AF617" s="59"/>
    </row>
    <row r="618" ht="15.75" customHeight="1">
      <c r="A618" s="59"/>
      <c r="B618" s="59"/>
      <c r="C618" s="59"/>
      <c r="D618" s="59"/>
      <c r="E618" s="63"/>
      <c r="F618" s="64"/>
      <c r="G618" s="64"/>
      <c r="H618" s="64"/>
      <c r="I618" s="70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70"/>
      <c r="AA618" s="59"/>
      <c r="AB618" s="59"/>
      <c r="AC618" s="59"/>
      <c r="AD618" s="59"/>
      <c r="AE618" s="59"/>
      <c r="AF618" s="59"/>
    </row>
    <row r="619" ht="15.75" customHeight="1">
      <c r="A619" s="59"/>
      <c r="B619" s="59"/>
      <c r="C619" s="59"/>
      <c r="D619" s="59"/>
      <c r="E619" s="63"/>
      <c r="F619" s="64"/>
      <c r="G619" s="64"/>
      <c r="H619" s="64"/>
      <c r="I619" s="70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70"/>
      <c r="AA619" s="59"/>
      <c r="AB619" s="59"/>
      <c r="AC619" s="59"/>
      <c r="AD619" s="59"/>
      <c r="AE619" s="59"/>
      <c r="AF619" s="59"/>
    </row>
    <row r="620" ht="15.75" customHeight="1">
      <c r="A620" s="59"/>
      <c r="B620" s="59"/>
      <c r="C620" s="59"/>
      <c r="D620" s="59"/>
      <c r="E620" s="63"/>
      <c r="F620" s="64"/>
      <c r="G620" s="64"/>
      <c r="H620" s="64"/>
      <c r="I620" s="70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70"/>
      <c r="AA620" s="59"/>
      <c r="AB620" s="59"/>
      <c r="AC620" s="59"/>
      <c r="AD620" s="59"/>
      <c r="AE620" s="59"/>
      <c r="AF620" s="59"/>
    </row>
    <row r="621" ht="15.75" customHeight="1">
      <c r="A621" s="59"/>
      <c r="B621" s="59"/>
      <c r="C621" s="59"/>
      <c r="D621" s="59"/>
      <c r="E621" s="63"/>
      <c r="F621" s="64"/>
      <c r="G621" s="64"/>
      <c r="H621" s="64"/>
      <c r="I621" s="70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70"/>
      <c r="AA621" s="59"/>
      <c r="AB621" s="59"/>
      <c r="AC621" s="59"/>
      <c r="AD621" s="59"/>
      <c r="AE621" s="59"/>
      <c r="AF621" s="59"/>
    </row>
    <row r="622" ht="15.75" customHeight="1">
      <c r="A622" s="59"/>
      <c r="B622" s="59"/>
      <c r="C622" s="59"/>
      <c r="D622" s="59"/>
      <c r="E622" s="63"/>
      <c r="F622" s="64"/>
      <c r="G622" s="64"/>
      <c r="H622" s="64"/>
      <c r="I622" s="70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70"/>
      <c r="AA622" s="59"/>
      <c r="AB622" s="59"/>
      <c r="AC622" s="59"/>
      <c r="AD622" s="59"/>
      <c r="AE622" s="59"/>
      <c r="AF622" s="59"/>
    </row>
    <row r="623" ht="15.75" customHeight="1">
      <c r="A623" s="59"/>
      <c r="B623" s="59"/>
      <c r="C623" s="59"/>
      <c r="D623" s="59"/>
      <c r="E623" s="63"/>
      <c r="F623" s="64"/>
      <c r="G623" s="64"/>
      <c r="H623" s="64"/>
      <c r="I623" s="70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70"/>
      <c r="AA623" s="59"/>
      <c r="AB623" s="59"/>
      <c r="AC623" s="59"/>
      <c r="AD623" s="59"/>
      <c r="AE623" s="59"/>
      <c r="AF623" s="59"/>
    </row>
    <row r="624" ht="15.75" customHeight="1">
      <c r="A624" s="59"/>
      <c r="B624" s="59"/>
      <c r="C624" s="59"/>
      <c r="D624" s="59"/>
      <c r="E624" s="63"/>
      <c r="F624" s="64"/>
      <c r="G624" s="64"/>
      <c r="H624" s="64"/>
      <c r="I624" s="70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70"/>
      <c r="AA624" s="59"/>
      <c r="AB624" s="59"/>
      <c r="AC624" s="59"/>
      <c r="AD624" s="59"/>
      <c r="AE624" s="59"/>
      <c r="AF624" s="59"/>
    </row>
    <row r="625" ht="15.75" customHeight="1">
      <c r="A625" s="59"/>
      <c r="B625" s="59"/>
      <c r="C625" s="59"/>
      <c r="D625" s="59"/>
      <c r="E625" s="63"/>
      <c r="F625" s="64"/>
      <c r="G625" s="64"/>
      <c r="H625" s="64"/>
      <c r="I625" s="70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70"/>
      <c r="AA625" s="59"/>
      <c r="AB625" s="59"/>
      <c r="AC625" s="59"/>
      <c r="AD625" s="59"/>
      <c r="AE625" s="59"/>
      <c r="AF625" s="59"/>
    </row>
    <row r="626" ht="15.75" customHeight="1">
      <c r="A626" s="59"/>
      <c r="B626" s="59"/>
      <c r="C626" s="59"/>
      <c r="D626" s="59"/>
      <c r="E626" s="63"/>
      <c r="F626" s="64"/>
      <c r="G626" s="64"/>
      <c r="H626" s="64"/>
      <c r="I626" s="70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70"/>
      <c r="AA626" s="59"/>
      <c r="AB626" s="59"/>
      <c r="AC626" s="59"/>
      <c r="AD626" s="59"/>
      <c r="AE626" s="59"/>
      <c r="AF626" s="59"/>
    </row>
    <row r="627" ht="15.75" customHeight="1">
      <c r="A627" s="59"/>
      <c r="B627" s="59"/>
      <c r="C627" s="59"/>
      <c r="D627" s="59"/>
      <c r="E627" s="63"/>
      <c r="F627" s="64"/>
      <c r="G627" s="64"/>
      <c r="H627" s="64"/>
      <c r="I627" s="70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70"/>
      <c r="AA627" s="59"/>
      <c r="AB627" s="59"/>
      <c r="AC627" s="59"/>
      <c r="AD627" s="59"/>
      <c r="AE627" s="59"/>
      <c r="AF627" s="59"/>
    </row>
    <row r="628" ht="15.75" customHeight="1">
      <c r="A628" s="59"/>
      <c r="B628" s="59"/>
      <c r="C628" s="59"/>
      <c r="D628" s="59"/>
      <c r="E628" s="63"/>
      <c r="F628" s="64"/>
      <c r="G628" s="64"/>
      <c r="H628" s="64"/>
      <c r="I628" s="70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70"/>
      <c r="AA628" s="59"/>
      <c r="AB628" s="59"/>
      <c r="AC628" s="59"/>
      <c r="AD628" s="59"/>
      <c r="AE628" s="59"/>
      <c r="AF628" s="59"/>
    </row>
    <row r="629" ht="15.75" customHeight="1">
      <c r="A629" s="59"/>
      <c r="B629" s="59"/>
      <c r="C629" s="59"/>
      <c r="D629" s="59"/>
      <c r="E629" s="63"/>
      <c r="F629" s="64"/>
      <c r="G629" s="64"/>
      <c r="H629" s="64"/>
      <c r="I629" s="70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70"/>
      <c r="AA629" s="59"/>
      <c r="AB629" s="59"/>
      <c r="AC629" s="59"/>
      <c r="AD629" s="59"/>
      <c r="AE629" s="59"/>
      <c r="AF629" s="59"/>
    </row>
    <row r="630" ht="15.75" customHeight="1">
      <c r="A630" s="59"/>
      <c r="B630" s="59"/>
      <c r="C630" s="59"/>
      <c r="D630" s="59"/>
      <c r="E630" s="63"/>
      <c r="F630" s="64"/>
      <c r="G630" s="64"/>
      <c r="H630" s="64"/>
      <c r="I630" s="70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70"/>
      <c r="AA630" s="59"/>
      <c r="AB630" s="59"/>
      <c r="AC630" s="59"/>
      <c r="AD630" s="59"/>
      <c r="AE630" s="59"/>
      <c r="AF630" s="59"/>
    </row>
    <row r="631" ht="15.75" customHeight="1">
      <c r="A631" s="59"/>
      <c r="B631" s="59"/>
      <c r="C631" s="59"/>
      <c r="D631" s="59"/>
      <c r="E631" s="63"/>
      <c r="F631" s="64"/>
      <c r="G631" s="64"/>
      <c r="H631" s="64"/>
      <c r="I631" s="70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70"/>
      <c r="AA631" s="59"/>
      <c r="AB631" s="59"/>
      <c r="AC631" s="59"/>
      <c r="AD631" s="59"/>
      <c r="AE631" s="59"/>
      <c r="AF631" s="59"/>
    </row>
    <row r="632" ht="15.75" customHeight="1">
      <c r="A632" s="59"/>
      <c r="B632" s="59"/>
      <c r="C632" s="59"/>
      <c r="D632" s="59"/>
      <c r="E632" s="63"/>
      <c r="F632" s="64"/>
      <c r="G632" s="64"/>
      <c r="H632" s="64"/>
      <c r="I632" s="70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70"/>
      <c r="AA632" s="59"/>
      <c r="AB632" s="59"/>
      <c r="AC632" s="59"/>
      <c r="AD632" s="59"/>
      <c r="AE632" s="59"/>
      <c r="AF632" s="59"/>
    </row>
    <row r="633" ht="15.75" customHeight="1">
      <c r="A633" s="59"/>
      <c r="B633" s="59"/>
      <c r="C633" s="59"/>
      <c r="D633" s="59"/>
      <c r="E633" s="63"/>
      <c r="F633" s="64"/>
      <c r="G633" s="64"/>
      <c r="H633" s="64"/>
      <c r="I633" s="70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70"/>
      <c r="AA633" s="59"/>
      <c r="AB633" s="59"/>
      <c r="AC633" s="59"/>
      <c r="AD633" s="59"/>
      <c r="AE633" s="59"/>
      <c r="AF633" s="59"/>
    </row>
    <row r="634" ht="15.75" customHeight="1">
      <c r="A634" s="59"/>
      <c r="B634" s="59"/>
      <c r="C634" s="59"/>
      <c r="D634" s="59"/>
      <c r="E634" s="63"/>
      <c r="F634" s="64"/>
      <c r="G634" s="64"/>
      <c r="H634" s="64"/>
      <c r="I634" s="70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70"/>
      <c r="AA634" s="59"/>
      <c r="AB634" s="59"/>
      <c r="AC634" s="59"/>
      <c r="AD634" s="59"/>
      <c r="AE634" s="59"/>
      <c r="AF634" s="59"/>
    </row>
    <row r="635" ht="15.75" customHeight="1">
      <c r="A635" s="59"/>
      <c r="B635" s="59"/>
      <c r="C635" s="59"/>
      <c r="D635" s="59"/>
      <c r="E635" s="63"/>
      <c r="F635" s="64"/>
      <c r="G635" s="64"/>
      <c r="H635" s="64"/>
      <c r="I635" s="70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70"/>
      <c r="AA635" s="59"/>
      <c r="AB635" s="59"/>
      <c r="AC635" s="59"/>
      <c r="AD635" s="59"/>
      <c r="AE635" s="59"/>
      <c r="AF635" s="59"/>
    </row>
    <row r="636" ht="15.75" customHeight="1">
      <c r="A636" s="59"/>
      <c r="B636" s="59"/>
      <c r="C636" s="59"/>
      <c r="D636" s="59"/>
      <c r="E636" s="63"/>
      <c r="F636" s="64"/>
      <c r="G636" s="64"/>
      <c r="H636" s="64"/>
      <c r="I636" s="70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70"/>
      <c r="AA636" s="59"/>
      <c r="AB636" s="59"/>
      <c r="AC636" s="59"/>
      <c r="AD636" s="59"/>
      <c r="AE636" s="59"/>
      <c r="AF636" s="59"/>
    </row>
    <row r="637" ht="15.75" customHeight="1">
      <c r="A637" s="59"/>
      <c r="B637" s="59"/>
      <c r="C637" s="59"/>
      <c r="D637" s="59"/>
      <c r="E637" s="63"/>
      <c r="F637" s="64"/>
      <c r="G637" s="64"/>
      <c r="H637" s="64"/>
      <c r="I637" s="70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70"/>
      <c r="AA637" s="59"/>
      <c r="AB637" s="59"/>
      <c r="AC637" s="59"/>
      <c r="AD637" s="59"/>
      <c r="AE637" s="59"/>
      <c r="AF637" s="59"/>
    </row>
    <row r="638" ht="15.75" customHeight="1">
      <c r="A638" s="59"/>
      <c r="B638" s="59"/>
      <c r="C638" s="59"/>
      <c r="D638" s="59"/>
      <c r="E638" s="63"/>
      <c r="F638" s="64"/>
      <c r="G638" s="64"/>
      <c r="H638" s="64"/>
      <c r="I638" s="70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70"/>
      <c r="AA638" s="59"/>
      <c r="AB638" s="59"/>
      <c r="AC638" s="59"/>
      <c r="AD638" s="59"/>
      <c r="AE638" s="59"/>
      <c r="AF638" s="59"/>
    </row>
    <row r="639" ht="15.75" customHeight="1">
      <c r="A639" s="59"/>
      <c r="B639" s="59"/>
      <c r="C639" s="59"/>
      <c r="D639" s="59"/>
      <c r="E639" s="63"/>
      <c r="F639" s="64"/>
      <c r="G639" s="64"/>
      <c r="H639" s="64"/>
      <c r="I639" s="70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70"/>
      <c r="AA639" s="59"/>
      <c r="AB639" s="59"/>
      <c r="AC639" s="59"/>
      <c r="AD639" s="59"/>
      <c r="AE639" s="59"/>
      <c r="AF639" s="59"/>
    </row>
    <row r="640" ht="15.75" customHeight="1">
      <c r="A640" s="59"/>
      <c r="B640" s="59"/>
      <c r="C640" s="59"/>
      <c r="D640" s="59"/>
      <c r="E640" s="63"/>
      <c r="F640" s="64"/>
      <c r="G640" s="64"/>
      <c r="H640" s="64"/>
      <c r="I640" s="70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70"/>
      <c r="AA640" s="59"/>
      <c r="AB640" s="59"/>
      <c r="AC640" s="59"/>
      <c r="AD640" s="59"/>
      <c r="AE640" s="59"/>
      <c r="AF640" s="59"/>
    </row>
    <row r="641" ht="15.75" customHeight="1">
      <c r="A641" s="59"/>
      <c r="B641" s="59"/>
      <c r="C641" s="59"/>
      <c r="D641" s="59"/>
      <c r="E641" s="63"/>
      <c r="F641" s="64"/>
      <c r="G641" s="64"/>
      <c r="H641" s="64"/>
      <c r="I641" s="70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70"/>
      <c r="AA641" s="59"/>
      <c r="AB641" s="59"/>
      <c r="AC641" s="59"/>
      <c r="AD641" s="59"/>
      <c r="AE641" s="59"/>
      <c r="AF641" s="59"/>
    </row>
    <row r="642" ht="15.75" customHeight="1">
      <c r="A642" s="59"/>
      <c r="B642" s="59"/>
      <c r="C642" s="59"/>
      <c r="D642" s="59"/>
      <c r="E642" s="63"/>
      <c r="F642" s="64"/>
      <c r="G642" s="64"/>
      <c r="H642" s="64"/>
      <c r="I642" s="70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70"/>
      <c r="AA642" s="59"/>
      <c r="AB642" s="59"/>
      <c r="AC642" s="59"/>
      <c r="AD642" s="59"/>
      <c r="AE642" s="59"/>
      <c r="AF642" s="59"/>
    </row>
    <row r="643" ht="15.75" customHeight="1">
      <c r="A643" s="59"/>
      <c r="B643" s="59"/>
      <c r="C643" s="59"/>
      <c r="D643" s="59"/>
      <c r="E643" s="63"/>
      <c r="F643" s="64"/>
      <c r="G643" s="64"/>
      <c r="H643" s="64"/>
      <c r="I643" s="70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70"/>
      <c r="AA643" s="59"/>
      <c r="AB643" s="59"/>
      <c r="AC643" s="59"/>
      <c r="AD643" s="59"/>
      <c r="AE643" s="59"/>
      <c r="AF643" s="59"/>
    </row>
    <row r="644" ht="15.75" customHeight="1">
      <c r="A644" s="59"/>
      <c r="B644" s="59"/>
      <c r="C644" s="59"/>
      <c r="D644" s="59"/>
      <c r="E644" s="63"/>
      <c r="F644" s="64"/>
      <c r="G644" s="64"/>
      <c r="H644" s="64"/>
      <c r="I644" s="70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70"/>
      <c r="AA644" s="59"/>
      <c r="AB644" s="59"/>
      <c r="AC644" s="59"/>
      <c r="AD644" s="59"/>
      <c r="AE644" s="59"/>
      <c r="AF644" s="59"/>
    </row>
    <row r="645" ht="15.75" customHeight="1">
      <c r="A645" s="59"/>
      <c r="B645" s="59"/>
      <c r="C645" s="59"/>
      <c r="D645" s="59"/>
      <c r="E645" s="63"/>
      <c r="F645" s="64"/>
      <c r="G645" s="64"/>
      <c r="H645" s="64"/>
      <c r="I645" s="70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70"/>
      <c r="AA645" s="59"/>
      <c r="AB645" s="59"/>
      <c r="AC645" s="59"/>
      <c r="AD645" s="59"/>
      <c r="AE645" s="59"/>
      <c r="AF645" s="59"/>
    </row>
    <row r="646" ht="15.75" customHeight="1">
      <c r="A646" s="59"/>
      <c r="B646" s="59"/>
      <c r="C646" s="59"/>
      <c r="D646" s="59"/>
      <c r="E646" s="63"/>
      <c r="F646" s="64"/>
      <c r="G646" s="64"/>
      <c r="H646" s="64"/>
      <c r="I646" s="70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70"/>
      <c r="AA646" s="59"/>
      <c r="AB646" s="59"/>
      <c r="AC646" s="59"/>
      <c r="AD646" s="59"/>
      <c r="AE646" s="59"/>
      <c r="AF646" s="59"/>
    </row>
    <row r="647" ht="15.75" customHeight="1">
      <c r="A647" s="59"/>
      <c r="B647" s="59"/>
      <c r="C647" s="59"/>
      <c r="D647" s="59"/>
      <c r="E647" s="63"/>
      <c r="F647" s="64"/>
      <c r="G647" s="64"/>
      <c r="H647" s="64"/>
      <c r="I647" s="70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70"/>
      <c r="AA647" s="59"/>
      <c r="AB647" s="59"/>
      <c r="AC647" s="59"/>
      <c r="AD647" s="59"/>
      <c r="AE647" s="59"/>
      <c r="AF647" s="59"/>
    </row>
    <row r="648" ht="15.75" customHeight="1">
      <c r="A648" s="59"/>
      <c r="B648" s="59"/>
      <c r="C648" s="59"/>
      <c r="D648" s="59"/>
      <c r="E648" s="63"/>
      <c r="F648" s="64"/>
      <c r="G648" s="64"/>
      <c r="H648" s="64"/>
      <c r="I648" s="70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70"/>
      <c r="AA648" s="59"/>
      <c r="AB648" s="59"/>
      <c r="AC648" s="59"/>
      <c r="AD648" s="59"/>
      <c r="AE648" s="59"/>
      <c r="AF648" s="59"/>
    </row>
    <row r="649" ht="15.75" customHeight="1">
      <c r="A649" s="59"/>
      <c r="B649" s="59"/>
      <c r="C649" s="59"/>
      <c r="D649" s="59"/>
      <c r="E649" s="63"/>
      <c r="F649" s="64"/>
      <c r="G649" s="64"/>
      <c r="H649" s="64"/>
      <c r="I649" s="70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70"/>
      <c r="AA649" s="59"/>
      <c r="AB649" s="59"/>
      <c r="AC649" s="59"/>
      <c r="AD649" s="59"/>
      <c r="AE649" s="59"/>
      <c r="AF649" s="59"/>
    </row>
    <row r="650" ht="15.75" customHeight="1">
      <c r="A650" s="59"/>
      <c r="B650" s="59"/>
      <c r="C650" s="59"/>
      <c r="D650" s="59"/>
      <c r="E650" s="63"/>
      <c r="F650" s="64"/>
      <c r="G650" s="64"/>
      <c r="H650" s="64"/>
      <c r="I650" s="70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70"/>
      <c r="AA650" s="59"/>
      <c r="AB650" s="59"/>
      <c r="AC650" s="59"/>
      <c r="AD650" s="59"/>
      <c r="AE650" s="59"/>
      <c r="AF650" s="59"/>
    </row>
    <row r="651" ht="15.75" customHeight="1">
      <c r="A651" s="59"/>
      <c r="B651" s="59"/>
      <c r="C651" s="59"/>
      <c r="D651" s="59"/>
      <c r="E651" s="63"/>
      <c r="F651" s="64"/>
      <c r="G651" s="64"/>
      <c r="H651" s="64"/>
      <c r="I651" s="70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70"/>
      <c r="AA651" s="59"/>
      <c r="AB651" s="59"/>
      <c r="AC651" s="59"/>
      <c r="AD651" s="59"/>
      <c r="AE651" s="59"/>
      <c r="AF651" s="59"/>
    </row>
    <row r="652" ht="15.75" customHeight="1">
      <c r="A652" s="59"/>
      <c r="B652" s="59"/>
      <c r="C652" s="59"/>
      <c r="D652" s="59"/>
      <c r="E652" s="63"/>
      <c r="F652" s="64"/>
      <c r="G652" s="64"/>
      <c r="H652" s="64"/>
      <c r="I652" s="70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70"/>
      <c r="AA652" s="59"/>
      <c r="AB652" s="59"/>
      <c r="AC652" s="59"/>
      <c r="AD652" s="59"/>
      <c r="AE652" s="59"/>
      <c r="AF652" s="59"/>
    </row>
    <row r="653" ht="15.75" customHeight="1">
      <c r="A653" s="59"/>
      <c r="B653" s="59"/>
      <c r="C653" s="59"/>
      <c r="D653" s="59"/>
      <c r="E653" s="63"/>
      <c r="F653" s="64"/>
      <c r="G653" s="64"/>
      <c r="H653" s="64"/>
      <c r="I653" s="70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70"/>
      <c r="AA653" s="59"/>
      <c r="AB653" s="59"/>
      <c r="AC653" s="59"/>
      <c r="AD653" s="59"/>
      <c r="AE653" s="59"/>
      <c r="AF653" s="59"/>
    </row>
    <row r="654" ht="15.75" customHeight="1">
      <c r="A654" s="59"/>
      <c r="B654" s="59"/>
      <c r="C654" s="59"/>
      <c r="D654" s="59"/>
      <c r="E654" s="63"/>
      <c r="F654" s="64"/>
      <c r="G654" s="64"/>
      <c r="H654" s="64"/>
      <c r="I654" s="70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70"/>
      <c r="AA654" s="59"/>
      <c r="AB654" s="59"/>
      <c r="AC654" s="59"/>
      <c r="AD654" s="59"/>
      <c r="AE654" s="59"/>
      <c r="AF654" s="59"/>
    </row>
    <row r="655" ht="15.75" customHeight="1">
      <c r="A655" s="59"/>
      <c r="B655" s="59"/>
      <c r="C655" s="59"/>
      <c r="D655" s="59"/>
      <c r="E655" s="63"/>
      <c r="F655" s="64"/>
      <c r="G655" s="64"/>
      <c r="H655" s="64"/>
      <c r="I655" s="70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70"/>
      <c r="AA655" s="59"/>
      <c r="AB655" s="59"/>
      <c r="AC655" s="59"/>
      <c r="AD655" s="59"/>
      <c r="AE655" s="59"/>
      <c r="AF655" s="59"/>
    </row>
    <row r="656" ht="15.75" customHeight="1">
      <c r="A656" s="59"/>
      <c r="B656" s="59"/>
      <c r="C656" s="59"/>
      <c r="D656" s="59"/>
      <c r="E656" s="63"/>
      <c r="F656" s="64"/>
      <c r="G656" s="64"/>
      <c r="H656" s="64"/>
      <c r="I656" s="70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70"/>
      <c r="AA656" s="59"/>
      <c r="AB656" s="59"/>
      <c r="AC656" s="59"/>
      <c r="AD656" s="59"/>
      <c r="AE656" s="59"/>
      <c r="AF656" s="59"/>
    </row>
    <row r="657" ht="15.75" customHeight="1">
      <c r="A657" s="59"/>
      <c r="B657" s="59"/>
      <c r="C657" s="59"/>
      <c r="D657" s="59"/>
      <c r="E657" s="63"/>
      <c r="F657" s="64"/>
      <c r="G657" s="64"/>
      <c r="H657" s="64"/>
      <c r="I657" s="70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70"/>
      <c r="AA657" s="59"/>
      <c r="AB657" s="59"/>
      <c r="AC657" s="59"/>
      <c r="AD657" s="59"/>
      <c r="AE657" s="59"/>
      <c r="AF657" s="59"/>
    </row>
    <row r="658" ht="15.75" customHeight="1">
      <c r="A658" s="59"/>
      <c r="B658" s="59"/>
      <c r="C658" s="59"/>
      <c r="D658" s="59"/>
      <c r="E658" s="63"/>
      <c r="F658" s="64"/>
      <c r="G658" s="64"/>
      <c r="H658" s="64"/>
      <c r="I658" s="70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70"/>
      <c r="AA658" s="59"/>
      <c r="AB658" s="59"/>
      <c r="AC658" s="59"/>
      <c r="AD658" s="59"/>
      <c r="AE658" s="59"/>
      <c r="AF658" s="59"/>
    </row>
    <row r="659" ht="15.75" customHeight="1">
      <c r="A659" s="59"/>
      <c r="B659" s="59"/>
      <c r="C659" s="59"/>
      <c r="D659" s="59"/>
      <c r="E659" s="63"/>
      <c r="F659" s="64"/>
      <c r="G659" s="64"/>
      <c r="H659" s="64"/>
      <c r="I659" s="70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70"/>
      <c r="AA659" s="59"/>
      <c r="AB659" s="59"/>
      <c r="AC659" s="59"/>
      <c r="AD659" s="59"/>
      <c r="AE659" s="59"/>
      <c r="AF659" s="59"/>
    </row>
    <row r="660" ht="15.75" customHeight="1">
      <c r="A660" s="59"/>
      <c r="B660" s="59"/>
      <c r="C660" s="59"/>
      <c r="D660" s="59"/>
      <c r="E660" s="63"/>
      <c r="F660" s="64"/>
      <c r="G660" s="64"/>
      <c r="H660" s="64"/>
      <c r="I660" s="70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70"/>
      <c r="AA660" s="59"/>
      <c r="AB660" s="59"/>
      <c r="AC660" s="59"/>
      <c r="AD660" s="59"/>
      <c r="AE660" s="59"/>
      <c r="AF660" s="59"/>
    </row>
    <row r="661" ht="15.75" customHeight="1">
      <c r="A661" s="59"/>
      <c r="B661" s="59"/>
      <c r="C661" s="59"/>
      <c r="D661" s="59"/>
      <c r="E661" s="63"/>
      <c r="F661" s="64"/>
      <c r="G661" s="64"/>
      <c r="H661" s="64"/>
      <c r="I661" s="70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70"/>
      <c r="AA661" s="59"/>
      <c r="AB661" s="59"/>
      <c r="AC661" s="59"/>
      <c r="AD661" s="59"/>
      <c r="AE661" s="59"/>
      <c r="AF661" s="59"/>
    </row>
    <row r="662" ht="15.75" customHeight="1">
      <c r="A662" s="59"/>
      <c r="B662" s="59"/>
      <c r="C662" s="59"/>
      <c r="D662" s="59"/>
      <c r="E662" s="63"/>
      <c r="F662" s="64"/>
      <c r="G662" s="64"/>
      <c r="H662" s="64"/>
      <c r="I662" s="70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70"/>
      <c r="AA662" s="59"/>
      <c r="AB662" s="59"/>
      <c r="AC662" s="59"/>
      <c r="AD662" s="59"/>
      <c r="AE662" s="59"/>
      <c r="AF662" s="59"/>
    </row>
    <row r="663" ht="15.75" customHeight="1">
      <c r="A663" s="59"/>
      <c r="B663" s="59"/>
      <c r="C663" s="59"/>
      <c r="D663" s="59"/>
      <c r="E663" s="63"/>
      <c r="F663" s="64"/>
      <c r="G663" s="64"/>
      <c r="H663" s="64"/>
      <c r="I663" s="70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70"/>
      <c r="AA663" s="59"/>
      <c r="AB663" s="59"/>
      <c r="AC663" s="59"/>
      <c r="AD663" s="59"/>
      <c r="AE663" s="59"/>
      <c r="AF663" s="59"/>
    </row>
    <row r="664" ht="15.75" customHeight="1">
      <c r="A664" s="59"/>
      <c r="B664" s="59"/>
      <c r="C664" s="59"/>
      <c r="D664" s="59"/>
      <c r="E664" s="63"/>
      <c r="F664" s="64"/>
      <c r="G664" s="64"/>
      <c r="H664" s="64"/>
      <c r="I664" s="70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70"/>
      <c r="AA664" s="59"/>
      <c r="AB664" s="59"/>
      <c r="AC664" s="59"/>
      <c r="AD664" s="59"/>
      <c r="AE664" s="59"/>
      <c r="AF664" s="59"/>
    </row>
    <row r="665" ht="15.75" customHeight="1">
      <c r="A665" s="59"/>
      <c r="B665" s="59"/>
      <c r="C665" s="59"/>
      <c r="D665" s="59"/>
      <c r="E665" s="63"/>
      <c r="F665" s="64"/>
      <c r="G665" s="64"/>
      <c r="H665" s="64"/>
      <c r="I665" s="70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70"/>
      <c r="AA665" s="59"/>
      <c r="AB665" s="59"/>
      <c r="AC665" s="59"/>
      <c r="AD665" s="59"/>
      <c r="AE665" s="59"/>
      <c r="AF665" s="59"/>
    </row>
    <row r="666" ht="15.75" customHeight="1">
      <c r="A666" s="59"/>
      <c r="B666" s="59"/>
      <c r="C666" s="59"/>
      <c r="D666" s="59"/>
      <c r="E666" s="63"/>
      <c r="F666" s="64"/>
      <c r="G666" s="64"/>
      <c r="H666" s="64"/>
      <c r="I666" s="70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70"/>
      <c r="AA666" s="59"/>
      <c r="AB666" s="59"/>
      <c r="AC666" s="59"/>
      <c r="AD666" s="59"/>
      <c r="AE666" s="59"/>
      <c r="AF666" s="59"/>
    </row>
    <row r="667" ht="15.75" customHeight="1">
      <c r="A667" s="59"/>
      <c r="B667" s="59"/>
      <c r="C667" s="59"/>
      <c r="D667" s="59"/>
      <c r="E667" s="63"/>
      <c r="F667" s="64"/>
      <c r="G667" s="64"/>
      <c r="H667" s="64"/>
      <c r="I667" s="70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70"/>
      <c r="AA667" s="59"/>
      <c r="AB667" s="59"/>
      <c r="AC667" s="59"/>
      <c r="AD667" s="59"/>
      <c r="AE667" s="59"/>
      <c r="AF667" s="59"/>
    </row>
    <row r="668" ht="15.75" customHeight="1">
      <c r="A668" s="59"/>
      <c r="B668" s="59"/>
      <c r="C668" s="59"/>
      <c r="D668" s="59"/>
      <c r="E668" s="63"/>
      <c r="F668" s="64"/>
      <c r="G668" s="64"/>
      <c r="H668" s="64"/>
      <c r="I668" s="70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70"/>
      <c r="AA668" s="59"/>
      <c r="AB668" s="59"/>
      <c r="AC668" s="59"/>
      <c r="AD668" s="59"/>
      <c r="AE668" s="59"/>
      <c r="AF668" s="59"/>
    </row>
    <row r="669" ht="15.75" customHeight="1">
      <c r="A669" s="59"/>
      <c r="B669" s="59"/>
      <c r="C669" s="59"/>
      <c r="D669" s="59"/>
      <c r="E669" s="63"/>
      <c r="F669" s="64"/>
      <c r="G669" s="64"/>
      <c r="H669" s="64"/>
      <c r="I669" s="70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70"/>
      <c r="AA669" s="59"/>
      <c r="AB669" s="59"/>
      <c r="AC669" s="59"/>
      <c r="AD669" s="59"/>
      <c r="AE669" s="59"/>
      <c r="AF669" s="59"/>
    </row>
    <row r="670" ht="15.75" customHeight="1">
      <c r="A670" s="59"/>
      <c r="B670" s="59"/>
      <c r="C670" s="59"/>
      <c r="D670" s="59"/>
      <c r="E670" s="63"/>
      <c r="F670" s="64"/>
      <c r="G670" s="64"/>
      <c r="H670" s="64"/>
      <c r="I670" s="70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70"/>
      <c r="AA670" s="59"/>
      <c r="AB670" s="59"/>
      <c r="AC670" s="59"/>
      <c r="AD670" s="59"/>
      <c r="AE670" s="59"/>
      <c r="AF670" s="59"/>
    </row>
    <row r="671" ht="15.75" customHeight="1">
      <c r="A671" s="59"/>
      <c r="B671" s="59"/>
      <c r="C671" s="59"/>
      <c r="D671" s="59"/>
      <c r="E671" s="63"/>
      <c r="F671" s="64"/>
      <c r="G671" s="64"/>
      <c r="H671" s="64"/>
      <c r="I671" s="70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70"/>
      <c r="AA671" s="59"/>
      <c r="AB671" s="59"/>
      <c r="AC671" s="59"/>
      <c r="AD671" s="59"/>
      <c r="AE671" s="59"/>
      <c r="AF671" s="59"/>
    </row>
    <row r="672" ht="15.75" customHeight="1">
      <c r="A672" s="59"/>
      <c r="B672" s="59"/>
      <c r="C672" s="59"/>
      <c r="D672" s="59"/>
      <c r="E672" s="63"/>
      <c r="F672" s="64"/>
      <c r="G672" s="64"/>
      <c r="H672" s="64"/>
      <c r="I672" s="70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70"/>
      <c r="AA672" s="59"/>
      <c r="AB672" s="59"/>
      <c r="AC672" s="59"/>
      <c r="AD672" s="59"/>
      <c r="AE672" s="59"/>
      <c r="AF672" s="59"/>
    </row>
    <row r="673" ht="15.75" customHeight="1">
      <c r="A673" s="59"/>
      <c r="B673" s="59"/>
      <c r="C673" s="59"/>
      <c r="D673" s="59"/>
      <c r="E673" s="63"/>
      <c r="F673" s="64"/>
      <c r="G673" s="64"/>
      <c r="H673" s="64"/>
      <c r="I673" s="70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70"/>
      <c r="AA673" s="59"/>
      <c r="AB673" s="59"/>
      <c r="AC673" s="59"/>
      <c r="AD673" s="59"/>
      <c r="AE673" s="59"/>
      <c r="AF673" s="59"/>
    </row>
    <row r="674" ht="15.75" customHeight="1">
      <c r="A674" s="59"/>
      <c r="B674" s="59"/>
      <c r="C674" s="59"/>
      <c r="D674" s="59"/>
      <c r="E674" s="63"/>
      <c r="F674" s="64"/>
      <c r="G674" s="64"/>
      <c r="H674" s="64"/>
      <c r="I674" s="70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70"/>
      <c r="AA674" s="59"/>
      <c r="AB674" s="59"/>
      <c r="AC674" s="59"/>
      <c r="AD674" s="59"/>
      <c r="AE674" s="59"/>
      <c r="AF674" s="59"/>
    </row>
    <row r="675" ht="15.75" customHeight="1">
      <c r="A675" s="59"/>
      <c r="B675" s="59"/>
      <c r="C675" s="59"/>
      <c r="D675" s="59"/>
      <c r="E675" s="63"/>
      <c r="F675" s="64"/>
      <c r="G675" s="64"/>
      <c r="H675" s="64"/>
      <c r="I675" s="70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70"/>
      <c r="AA675" s="59"/>
      <c r="AB675" s="59"/>
      <c r="AC675" s="59"/>
      <c r="AD675" s="59"/>
      <c r="AE675" s="59"/>
      <c r="AF675" s="59"/>
    </row>
    <row r="676" ht="15.75" customHeight="1">
      <c r="A676" s="59"/>
      <c r="B676" s="59"/>
      <c r="C676" s="59"/>
      <c r="D676" s="59"/>
      <c r="E676" s="63"/>
      <c r="F676" s="64"/>
      <c r="G676" s="64"/>
      <c r="H676" s="64"/>
      <c r="I676" s="70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70"/>
      <c r="AA676" s="59"/>
      <c r="AB676" s="59"/>
      <c r="AC676" s="59"/>
      <c r="AD676" s="59"/>
      <c r="AE676" s="59"/>
      <c r="AF676" s="59"/>
    </row>
    <row r="677" ht="15.75" customHeight="1">
      <c r="A677" s="59"/>
      <c r="B677" s="59"/>
      <c r="C677" s="59"/>
      <c r="D677" s="59"/>
      <c r="E677" s="63"/>
      <c r="F677" s="64"/>
      <c r="G677" s="64"/>
      <c r="H677" s="64"/>
      <c r="I677" s="70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70"/>
      <c r="AA677" s="59"/>
      <c r="AB677" s="59"/>
      <c r="AC677" s="59"/>
      <c r="AD677" s="59"/>
      <c r="AE677" s="59"/>
      <c r="AF677" s="59"/>
    </row>
    <row r="678" ht="15.75" customHeight="1">
      <c r="A678" s="59"/>
      <c r="B678" s="59"/>
      <c r="C678" s="59"/>
      <c r="D678" s="59"/>
      <c r="E678" s="63"/>
      <c r="F678" s="64"/>
      <c r="G678" s="64"/>
      <c r="H678" s="64"/>
      <c r="I678" s="70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70"/>
      <c r="AA678" s="59"/>
      <c r="AB678" s="59"/>
      <c r="AC678" s="59"/>
      <c r="AD678" s="59"/>
      <c r="AE678" s="59"/>
      <c r="AF678" s="59"/>
    </row>
    <row r="679" ht="15.75" customHeight="1">
      <c r="A679" s="59"/>
      <c r="B679" s="59"/>
      <c r="C679" s="59"/>
      <c r="D679" s="59"/>
      <c r="E679" s="63"/>
      <c r="F679" s="64"/>
      <c r="G679" s="64"/>
      <c r="H679" s="64"/>
      <c r="I679" s="70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70"/>
      <c r="AA679" s="59"/>
      <c r="AB679" s="59"/>
      <c r="AC679" s="59"/>
      <c r="AD679" s="59"/>
      <c r="AE679" s="59"/>
      <c r="AF679" s="59"/>
    </row>
    <row r="680" ht="15.75" customHeight="1">
      <c r="A680" s="59"/>
      <c r="B680" s="59"/>
      <c r="C680" s="59"/>
      <c r="D680" s="59"/>
      <c r="E680" s="63"/>
      <c r="F680" s="64"/>
      <c r="G680" s="64"/>
      <c r="H680" s="64"/>
      <c r="I680" s="70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70"/>
      <c r="AA680" s="59"/>
      <c r="AB680" s="59"/>
      <c r="AC680" s="59"/>
      <c r="AD680" s="59"/>
      <c r="AE680" s="59"/>
      <c r="AF680" s="59"/>
    </row>
    <row r="681" ht="15.75" customHeight="1">
      <c r="A681" s="59"/>
      <c r="B681" s="59"/>
      <c r="C681" s="59"/>
      <c r="D681" s="59"/>
      <c r="E681" s="63"/>
      <c r="F681" s="64"/>
      <c r="G681" s="64"/>
      <c r="H681" s="64"/>
      <c r="I681" s="70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70"/>
      <c r="AA681" s="59"/>
      <c r="AB681" s="59"/>
      <c r="AC681" s="59"/>
      <c r="AD681" s="59"/>
      <c r="AE681" s="59"/>
      <c r="AF681" s="59"/>
    </row>
    <row r="682" ht="15.75" customHeight="1">
      <c r="A682" s="59"/>
      <c r="B682" s="59"/>
      <c r="C682" s="59"/>
      <c r="D682" s="59"/>
      <c r="E682" s="63"/>
      <c r="F682" s="64"/>
      <c r="G682" s="64"/>
      <c r="H682" s="64"/>
      <c r="I682" s="70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70"/>
      <c r="AA682" s="59"/>
      <c r="AB682" s="59"/>
      <c r="AC682" s="59"/>
      <c r="AD682" s="59"/>
      <c r="AE682" s="59"/>
      <c r="AF682" s="59"/>
    </row>
    <row r="683" ht="15.75" customHeight="1">
      <c r="A683" s="59"/>
      <c r="B683" s="59"/>
      <c r="C683" s="59"/>
      <c r="D683" s="59"/>
      <c r="E683" s="63"/>
      <c r="F683" s="64"/>
      <c r="G683" s="64"/>
      <c r="H683" s="64"/>
      <c r="I683" s="70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70"/>
      <c r="AA683" s="59"/>
      <c r="AB683" s="59"/>
      <c r="AC683" s="59"/>
      <c r="AD683" s="59"/>
      <c r="AE683" s="59"/>
      <c r="AF683" s="59"/>
    </row>
    <row r="684" ht="15.75" customHeight="1">
      <c r="A684" s="59"/>
      <c r="B684" s="59"/>
      <c r="C684" s="59"/>
      <c r="D684" s="59"/>
      <c r="E684" s="63"/>
      <c r="F684" s="64"/>
      <c r="G684" s="64"/>
      <c r="H684" s="64"/>
      <c r="I684" s="70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70"/>
      <c r="AA684" s="59"/>
      <c r="AB684" s="59"/>
      <c r="AC684" s="59"/>
      <c r="AD684" s="59"/>
      <c r="AE684" s="59"/>
      <c r="AF684" s="59"/>
    </row>
    <row r="685" ht="15.75" customHeight="1">
      <c r="A685" s="59"/>
      <c r="B685" s="59"/>
      <c r="C685" s="59"/>
      <c r="D685" s="59"/>
      <c r="E685" s="63"/>
      <c r="F685" s="64"/>
      <c r="G685" s="64"/>
      <c r="H685" s="64"/>
      <c r="I685" s="70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70"/>
      <c r="AA685" s="59"/>
      <c r="AB685" s="59"/>
      <c r="AC685" s="59"/>
      <c r="AD685" s="59"/>
      <c r="AE685" s="59"/>
      <c r="AF685" s="59"/>
    </row>
    <row r="686" ht="15.75" customHeight="1">
      <c r="A686" s="59"/>
      <c r="B686" s="59"/>
      <c r="C686" s="59"/>
      <c r="D686" s="59"/>
      <c r="E686" s="63"/>
      <c r="F686" s="64"/>
      <c r="G686" s="64"/>
      <c r="H686" s="64"/>
      <c r="I686" s="70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70"/>
      <c r="AA686" s="59"/>
      <c r="AB686" s="59"/>
      <c r="AC686" s="59"/>
      <c r="AD686" s="59"/>
      <c r="AE686" s="59"/>
      <c r="AF686" s="59"/>
    </row>
    <row r="687" ht="15.75" customHeight="1">
      <c r="A687" s="59"/>
      <c r="B687" s="59"/>
      <c r="C687" s="59"/>
      <c r="D687" s="59"/>
      <c r="E687" s="63"/>
      <c r="F687" s="64"/>
      <c r="G687" s="64"/>
      <c r="H687" s="64"/>
      <c r="I687" s="70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70"/>
      <c r="AA687" s="59"/>
      <c r="AB687" s="59"/>
      <c r="AC687" s="59"/>
      <c r="AD687" s="59"/>
      <c r="AE687" s="59"/>
      <c r="AF687" s="59"/>
    </row>
    <row r="688" ht="15.75" customHeight="1">
      <c r="A688" s="59"/>
      <c r="B688" s="59"/>
      <c r="C688" s="59"/>
      <c r="D688" s="59"/>
      <c r="E688" s="63"/>
      <c r="F688" s="64"/>
      <c r="G688" s="64"/>
      <c r="H688" s="64"/>
      <c r="I688" s="70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70"/>
      <c r="AA688" s="59"/>
      <c r="AB688" s="59"/>
      <c r="AC688" s="59"/>
      <c r="AD688" s="59"/>
      <c r="AE688" s="59"/>
      <c r="AF688" s="59"/>
    </row>
    <row r="689" ht="15.75" customHeight="1">
      <c r="A689" s="59"/>
      <c r="B689" s="59"/>
      <c r="C689" s="59"/>
      <c r="D689" s="59"/>
      <c r="E689" s="63"/>
      <c r="F689" s="64"/>
      <c r="G689" s="64"/>
      <c r="H689" s="64"/>
      <c r="I689" s="70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70"/>
      <c r="AA689" s="59"/>
      <c r="AB689" s="59"/>
      <c r="AC689" s="59"/>
      <c r="AD689" s="59"/>
      <c r="AE689" s="59"/>
      <c r="AF689" s="59"/>
    </row>
    <row r="690" ht="15.75" customHeight="1">
      <c r="A690" s="59"/>
      <c r="B690" s="59"/>
      <c r="C690" s="59"/>
      <c r="D690" s="59"/>
      <c r="E690" s="63"/>
      <c r="F690" s="64"/>
      <c r="G690" s="64"/>
      <c r="H690" s="64"/>
      <c r="I690" s="70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70"/>
      <c r="AA690" s="59"/>
      <c r="AB690" s="59"/>
      <c r="AC690" s="59"/>
      <c r="AD690" s="59"/>
      <c r="AE690" s="59"/>
      <c r="AF690" s="59"/>
    </row>
    <row r="691" ht="15.75" customHeight="1">
      <c r="A691" s="59"/>
      <c r="B691" s="59"/>
      <c r="C691" s="59"/>
      <c r="D691" s="59"/>
      <c r="E691" s="63"/>
      <c r="F691" s="64"/>
      <c r="G691" s="64"/>
      <c r="H691" s="64"/>
      <c r="I691" s="70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70"/>
      <c r="AA691" s="59"/>
      <c r="AB691" s="59"/>
      <c r="AC691" s="59"/>
      <c r="AD691" s="59"/>
      <c r="AE691" s="59"/>
      <c r="AF691" s="59"/>
    </row>
    <row r="692" ht="15.75" customHeight="1">
      <c r="A692" s="59"/>
      <c r="B692" s="59"/>
      <c r="C692" s="59"/>
      <c r="D692" s="59"/>
      <c r="E692" s="63"/>
      <c r="F692" s="64"/>
      <c r="G692" s="64"/>
      <c r="H692" s="64"/>
      <c r="I692" s="70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70"/>
      <c r="AA692" s="59"/>
      <c r="AB692" s="59"/>
      <c r="AC692" s="59"/>
      <c r="AD692" s="59"/>
      <c r="AE692" s="59"/>
      <c r="AF692" s="59"/>
    </row>
    <row r="693" ht="15.75" customHeight="1">
      <c r="A693" s="59"/>
      <c r="B693" s="59"/>
      <c r="C693" s="59"/>
      <c r="D693" s="59"/>
      <c r="E693" s="63"/>
      <c r="F693" s="64"/>
      <c r="G693" s="64"/>
      <c r="H693" s="64"/>
      <c r="I693" s="70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70"/>
      <c r="AA693" s="59"/>
      <c r="AB693" s="59"/>
      <c r="AC693" s="59"/>
      <c r="AD693" s="59"/>
      <c r="AE693" s="59"/>
      <c r="AF693" s="59"/>
    </row>
    <row r="694" ht="15.75" customHeight="1">
      <c r="A694" s="59"/>
      <c r="B694" s="59"/>
      <c r="C694" s="59"/>
      <c r="D694" s="59"/>
      <c r="E694" s="63"/>
      <c r="F694" s="64"/>
      <c r="G694" s="64"/>
      <c r="H694" s="64"/>
      <c r="I694" s="70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70"/>
      <c r="AA694" s="59"/>
      <c r="AB694" s="59"/>
      <c r="AC694" s="59"/>
      <c r="AD694" s="59"/>
      <c r="AE694" s="59"/>
      <c r="AF694" s="59"/>
    </row>
    <row r="695" ht="15.75" customHeight="1">
      <c r="A695" s="59"/>
      <c r="B695" s="59"/>
      <c r="C695" s="59"/>
      <c r="D695" s="59"/>
      <c r="E695" s="63"/>
      <c r="F695" s="64"/>
      <c r="G695" s="64"/>
      <c r="H695" s="64"/>
      <c r="I695" s="70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70"/>
      <c r="AA695" s="59"/>
      <c r="AB695" s="59"/>
      <c r="AC695" s="59"/>
      <c r="AD695" s="59"/>
      <c r="AE695" s="59"/>
      <c r="AF695" s="59"/>
    </row>
    <row r="696" ht="15.75" customHeight="1">
      <c r="A696" s="59"/>
      <c r="B696" s="59"/>
      <c r="C696" s="59"/>
      <c r="D696" s="59"/>
      <c r="E696" s="63"/>
      <c r="F696" s="64"/>
      <c r="G696" s="64"/>
      <c r="H696" s="64"/>
      <c r="I696" s="70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70"/>
      <c r="AA696" s="59"/>
      <c r="AB696" s="59"/>
      <c r="AC696" s="59"/>
      <c r="AD696" s="59"/>
      <c r="AE696" s="59"/>
      <c r="AF696" s="59"/>
    </row>
    <row r="697" ht="15.75" customHeight="1">
      <c r="A697" s="59"/>
      <c r="B697" s="59"/>
      <c r="C697" s="59"/>
      <c r="D697" s="59"/>
      <c r="E697" s="63"/>
      <c r="F697" s="64"/>
      <c r="G697" s="64"/>
      <c r="H697" s="64"/>
      <c r="I697" s="70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70"/>
      <c r="AA697" s="59"/>
      <c r="AB697" s="59"/>
      <c r="AC697" s="59"/>
      <c r="AD697" s="59"/>
      <c r="AE697" s="59"/>
      <c r="AF697" s="59"/>
    </row>
    <row r="698" ht="15.75" customHeight="1">
      <c r="A698" s="59"/>
      <c r="B698" s="59"/>
      <c r="C698" s="59"/>
      <c r="D698" s="59"/>
      <c r="E698" s="63"/>
      <c r="F698" s="64"/>
      <c r="G698" s="64"/>
      <c r="H698" s="64"/>
      <c r="I698" s="70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70"/>
      <c r="AA698" s="59"/>
      <c r="AB698" s="59"/>
      <c r="AC698" s="59"/>
      <c r="AD698" s="59"/>
      <c r="AE698" s="59"/>
      <c r="AF698" s="59"/>
    </row>
    <row r="699" ht="15.75" customHeight="1">
      <c r="A699" s="59"/>
      <c r="B699" s="59"/>
      <c r="C699" s="59"/>
      <c r="D699" s="59"/>
      <c r="E699" s="63"/>
      <c r="F699" s="64"/>
      <c r="G699" s="64"/>
      <c r="H699" s="64"/>
      <c r="I699" s="70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70"/>
      <c r="AA699" s="59"/>
      <c r="AB699" s="59"/>
      <c r="AC699" s="59"/>
      <c r="AD699" s="59"/>
      <c r="AE699" s="59"/>
      <c r="AF699" s="59"/>
    </row>
    <row r="700" ht="15.75" customHeight="1">
      <c r="A700" s="59"/>
      <c r="B700" s="59"/>
      <c r="C700" s="59"/>
      <c r="D700" s="59"/>
      <c r="E700" s="63"/>
      <c r="F700" s="64"/>
      <c r="G700" s="64"/>
      <c r="H700" s="64"/>
      <c r="I700" s="70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70"/>
      <c r="AA700" s="59"/>
      <c r="AB700" s="59"/>
      <c r="AC700" s="59"/>
      <c r="AD700" s="59"/>
      <c r="AE700" s="59"/>
      <c r="AF700" s="59"/>
    </row>
    <row r="701" ht="15.75" customHeight="1">
      <c r="A701" s="59"/>
      <c r="B701" s="59"/>
      <c r="C701" s="59"/>
      <c r="D701" s="59"/>
      <c r="E701" s="63"/>
      <c r="F701" s="64"/>
      <c r="G701" s="64"/>
      <c r="H701" s="64"/>
      <c r="I701" s="70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70"/>
      <c r="AA701" s="59"/>
      <c r="AB701" s="59"/>
      <c r="AC701" s="59"/>
      <c r="AD701" s="59"/>
      <c r="AE701" s="59"/>
      <c r="AF701" s="59"/>
    </row>
    <row r="702" ht="15.75" customHeight="1">
      <c r="A702" s="59"/>
      <c r="B702" s="59"/>
      <c r="C702" s="59"/>
      <c r="D702" s="59"/>
      <c r="E702" s="63"/>
      <c r="F702" s="64"/>
      <c r="G702" s="64"/>
      <c r="H702" s="64"/>
      <c r="I702" s="70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70"/>
      <c r="AA702" s="59"/>
      <c r="AB702" s="59"/>
      <c r="AC702" s="59"/>
      <c r="AD702" s="59"/>
      <c r="AE702" s="59"/>
      <c r="AF702" s="59"/>
    </row>
    <row r="703" ht="15.75" customHeight="1">
      <c r="A703" s="59"/>
      <c r="B703" s="59"/>
      <c r="C703" s="59"/>
      <c r="D703" s="59"/>
      <c r="E703" s="63"/>
      <c r="F703" s="64"/>
      <c r="G703" s="64"/>
      <c r="H703" s="64"/>
      <c r="I703" s="70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70"/>
      <c r="AA703" s="59"/>
      <c r="AB703" s="59"/>
      <c r="AC703" s="59"/>
      <c r="AD703" s="59"/>
      <c r="AE703" s="59"/>
      <c r="AF703" s="59"/>
    </row>
    <row r="704" ht="15.75" customHeight="1">
      <c r="A704" s="59"/>
      <c r="B704" s="59"/>
      <c r="C704" s="59"/>
      <c r="D704" s="59"/>
      <c r="E704" s="63"/>
      <c r="F704" s="64"/>
      <c r="G704" s="64"/>
      <c r="H704" s="64"/>
      <c r="I704" s="70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70"/>
      <c r="AA704" s="59"/>
      <c r="AB704" s="59"/>
      <c r="AC704" s="59"/>
      <c r="AD704" s="59"/>
      <c r="AE704" s="59"/>
      <c r="AF704" s="59"/>
    </row>
    <row r="705" ht="15.75" customHeight="1">
      <c r="A705" s="59"/>
      <c r="B705" s="59"/>
      <c r="C705" s="59"/>
      <c r="D705" s="59"/>
      <c r="E705" s="63"/>
      <c r="F705" s="64"/>
      <c r="G705" s="64"/>
      <c r="H705" s="64"/>
      <c r="I705" s="70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70"/>
      <c r="AA705" s="59"/>
      <c r="AB705" s="59"/>
      <c r="AC705" s="59"/>
      <c r="AD705" s="59"/>
      <c r="AE705" s="59"/>
      <c r="AF705" s="59"/>
    </row>
    <row r="706" ht="15.75" customHeight="1">
      <c r="A706" s="59"/>
      <c r="B706" s="59"/>
      <c r="C706" s="59"/>
      <c r="D706" s="59"/>
      <c r="E706" s="63"/>
      <c r="F706" s="64"/>
      <c r="G706" s="64"/>
      <c r="H706" s="64"/>
      <c r="I706" s="70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70"/>
      <c r="AA706" s="59"/>
      <c r="AB706" s="59"/>
      <c r="AC706" s="59"/>
      <c r="AD706" s="59"/>
      <c r="AE706" s="59"/>
      <c r="AF706" s="59"/>
    </row>
    <row r="707" ht="15.75" customHeight="1">
      <c r="A707" s="59"/>
      <c r="B707" s="59"/>
      <c r="C707" s="59"/>
      <c r="D707" s="59"/>
      <c r="E707" s="63"/>
      <c r="F707" s="64"/>
      <c r="G707" s="64"/>
      <c r="H707" s="64"/>
      <c r="I707" s="70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70"/>
      <c r="AA707" s="59"/>
      <c r="AB707" s="59"/>
      <c r="AC707" s="59"/>
      <c r="AD707" s="59"/>
      <c r="AE707" s="59"/>
      <c r="AF707" s="59"/>
    </row>
    <row r="708" ht="15.75" customHeight="1">
      <c r="A708" s="59"/>
      <c r="B708" s="59"/>
      <c r="C708" s="59"/>
      <c r="D708" s="59"/>
      <c r="E708" s="63"/>
      <c r="F708" s="64"/>
      <c r="G708" s="64"/>
      <c r="H708" s="64"/>
      <c r="I708" s="70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70"/>
      <c r="AA708" s="59"/>
      <c r="AB708" s="59"/>
      <c r="AC708" s="59"/>
      <c r="AD708" s="59"/>
      <c r="AE708" s="59"/>
      <c r="AF708" s="59"/>
    </row>
    <row r="709" ht="15.75" customHeight="1">
      <c r="A709" s="59"/>
      <c r="B709" s="59"/>
      <c r="C709" s="59"/>
      <c r="D709" s="59"/>
      <c r="E709" s="63"/>
      <c r="F709" s="64"/>
      <c r="G709" s="64"/>
      <c r="H709" s="64"/>
      <c r="I709" s="70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70"/>
      <c r="AA709" s="59"/>
      <c r="AB709" s="59"/>
      <c r="AC709" s="59"/>
      <c r="AD709" s="59"/>
      <c r="AE709" s="59"/>
      <c r="AF709" s="59"/>
    </row>
    <row r="710" ht="15.75" customHeight="1">
      <c r="A710" s="59"/>
      <c r="B710" s="59"/>
      <c r="C710" s="59"/>
      <c r="D710" s="59"/>
      <c r="E710" s="63"/>
      <c r="F710" s="64"/>
      <c r="G710" s="64"/>
      <c r="H710" s="64"/>
      <c r="I710" s="70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70"/>
      <c r="AA710" s="59"/>
      <c r="AB710" s="59"/>
      <c r="AC710" s="59"/>
      <c r="AD710" s="59"/>
      <c r="AE710" s="59"/>
      <c r="AF710" s="59"/>
    </row>
    <row r="711" ht="15.75" customHeight="1">
      <c r="A711" s="59"/>
      <c r="B711" s="59"/>
      <c r="C711" s="59"/>
      <c r="D711" s="59"/>
      <c r="E711" s="63"/>
      <c r="F711" s="64"/>
      <c r="G711" s="64"/>
      <c r="H711" s="64"/>
      <c r="I711" s="70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70"/>
      <c r="AA711" s="59"/>
      <c r="AB711" s="59"/>
      <c r="AC711" s="59"/>
      <c r="AD711" s="59"/>
      <c r="AE711" s="59"/>
      <c r="AF711" s="59"/>
    </row>
    <row r="712" ht="15.75" customHeight="1">
      <c r="A712" s="59"/>
      <c r="B712" s="59"/>
      <c r="C712" s="59"/>
      <c r="D712" s="59"/>
      <c r="E712" s="63"/>
      <c r="F712" s="64"/>
      <c r="G712" s="64"/>
      <c r="H712" s="64"/>
      <c r="I712" s="70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70"/>
      <c r="AA712" s="59"/>
      <c r="AB712" s="59"/>
      <c r="AC712" s="59"/>
      <c r="AD712" s="59"/>
      <c r="AE712" s="59"/>
      <c r="AF712" s="59"/>
    </row>
    <row r="713" ht="15.75" customHeight="1">
      <c r="A713" s="59"/>
      <c r="B713" s="59"/>
      <c r="C713" s="59"/>
      <c r="D713" s="59"/>
      <c r="E713" s="63"/>
      <c r="F713" s="64"/>
      <c r="G713" s="64"/>
      <c r="H713" s="64"/>
      <c r="I713" s="70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70"/>
      <c r="AA713" s="59"/>
      <c r="AB713" s="59"/>
      <c r="AC713" s="59"/>
      <c r="AD713" s="59"/>
      <c r="AE713" s="59"/>
      <c r="AF713" s="59"/>
    </row>
    <row r="714" ht="15.75" customHeight="1">
      <c r="A714" s="59"/>
      <c r="B714" s="59"/>
      <c r="C714" s="59"/>
      <c r="D714" s="59"/>
      <c r="E714" s="63"/>
      <c r="F714" s="64"/>
      <c r="G714" s="64"/>
      <c r="H714" s="64"/>
      <c r="I714" s="70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70"/>
      <c r="AA714" s="59"/>
      <c r="AB714" s="59"/>
      <c r="AC714" s="59"/>
      <c r="AD714" s="59"/>
      <c r="AE714" s="59"/>
      <c r="AF714" s="59"/>
    </row>
    <row r="715" ht="15.75" customHeight="1">
      <c r="A715" s="59"/>
      <c r="B715" s="59"/>
      <c r="C715" s="59"/>
      <c r="D715" s="59"/>
      <c r="E715" s="63"/>
      <c r="F715" s="64"/>
      <c r="G715" s="64"/>
      <c r="H715" s="64"/>
      <c r="I715" s="70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70"/>
      <c r="AA715" s="59"/>
      <c r="AB715" s="59"/>
      <c r="AC715" s="59"/>
      <c r="AD715" s="59"/>
      <c r="AE715" s="59"/>
      <c r="AF715" s="59"/>
    </row>
    <row r="716" ht="15.75" customHeight="1">
      <c r="A716" s="59"/>
      <c r="B716" s="59"/>
      <c r="C716" s="59"/>
      <c r="D716" s="59"/>
      <c r="E716" s="63"/>
      <c r="F716" s="64"/>
      <c r="G716" s="64"/>
      <c r="H716" s="64"/>
      <c r="I716" s="70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70"/>
      <c r="AA716" s="59"/>
      <c r="AB716" s="59"/>
      <c r="AC716" s="59"/>
      <c r="AD716" s="59"/>
      <c r="AE716" s="59"/>
      <c r="AF716" s="59"/>
    </row>
    <row r="717" ht="15.75" customHeight="1">
      <c r="A717" s="59"/>
      <c r="B717" s="59"/>
      <c r="C717" s="59"/>
      <c r="D717" s="59"/>
      <c r="E717" s="63"/>
      <c r="F717" s="64"/>
      <c r="G717" s="64"/>
      <c r="H717" s="64"/>
      <c r="I717" s="70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70"/>
      <c r="AA717" s="59"/>
      <c r="AB717" s="59"/>
      <c r="AC717" s="59"/>
      <c r="AD717" s="59"/>
      <c r="AE717" s="59"/>
      <c r="AF717" s="59"/>
    </row>
    <row r="718" ht="15.75" customHeight="1">
      <c r="A718" s="59"/>
      <c r="B718" s="59"/>
      <c r="C718" s="59"/>
      <c r="D718" s="59"/>
      <c r="E718" s="63"/>
      <c r="F718" s="64"/>
      <c r="G718" s="64"/>
      <c r="H718" s="64"/>
      <c r="I718" s="70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70"/>
      <c r="AA718" s="59"/>
      <c r="AB718" s="59"/>
      <c r="AC718" s="59"/>
      <c r="AD718" s="59"/>
      <c r="AE718" s="59"/>
      <c r="AF718" s="59"/>
    </row>
    <row r="719" ht="15.75" customHeight="1">
      <c r="A719" s="59"/>
      <c r="B719" s="59"/>
      <c r="C719" s="59"/>
      <c r="D719" s="59"/>
      <c r="E719" s="63"/>
      <c r="F719" s="64"/>
      <c r="G719" s="64"/>
      <c r="H719" s="64"/>
      <c r="I719" s="70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70"/>
      <c r="AA719" s="59"/>
      <c r="AB719" s="59"/>
      <c r="AC719" s="59"/>
      <c r="AD719" s="59"/>
      <c r="AE719" s="59"/>
      <c r="AF719" s="59"/>
    </row>
    <row r="720" ht="15.75" customHeight="1">
      <c r="A720" s="59"/>
      <c r="B720" s="59"/>
      <c r="C720" s="59"/>
      <c r="D720" s="59"/>
      <c r="E720" s="63"/>
      <c r="F720" s="64"/>
      <c r="G720" s="64"/>
      <c r="H720" s="64"/>
      <c r="I720" s="70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70"/>
      <c r="AA720" s="59"/>
      <c r="AB720" s="59"/>
      <c r="AC720" s="59"/>
      <c r="AD720" s="59"/>
      <c r="AE720" s="59"/>
      <c r="AF720" s="59"/>
    </row>
    <row r="721" ht="15.75" customHeight="1">
      <c r="A721" s="59"/>
      <c r="B721" s="59"/>
      <c r="C721" s="59"/>
      <c r="D721" s="59"/>
      <c r="E721" s="63"/>
      <c r="F721" s="64"/>
      <c r="G721" s="64"/>
      <c r="H721" s="64"/>
      <c r="I721" s="70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70"/>
      <c r="AA721" s="59"/>
      <c r="AB721" s="59"/>
      <c r="AC721" s="59"/>
      <c r="AD721" s="59"/>
      <c r="AE721" s="59"/>
      <c r="AF721" s="59"/>
    </row>
    <row r="722" ht="15.75" customHeight="1">
      <c r="A722" s="59"/>
      <c r="B722" s="59"/>
      <c r="C722" s="59"/>
      <c r="D722" s="59"/>
      <c r="E722" s="63"/>
      <c r="F722" s="64"/>
      <c r="G722" s="64"/>
      <c r="H722" s="64"/>
      <c r="I722" s="70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70"/>
      <c r="AA722" s="59"/>
      <c r="AB722" s="59"/>
      <c r="AC722" s="59"/>
      <c r="AD722" s="59"/>
      <c r="AE722" s="59"/>
      <c r="AF722" s="59"/>
    </row>
    <row r="723" ht="15.75" customHeight="1">
      <c r="A723" s="59"/>
      <c r="B723" s="59"/>
      <c r="C723" s="59"/>
      <c r="D723" s="59"/>
      <c r="E723" s="63"/>
      <c r="F723" s="64"/>
      <c r="G723" s="64"/>
      <c r="H723" s="64"/>
      <c r="I723" s="70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70"/>
      <c r="AA723" s="59"/>
      <c r="AB723" s="59"/>
      <c r="AC723" s="59"/>
      <c r="AD723" s="59"/>
      <c r="AE723" s="59"/>
      <c r="AF723" s="59"/>
    </row>
    <row r="724" ht="15.75" customHeight="1">
      <c r="A724" s="59"/>
      <c r="B724" s="59"/>
      <c r="C724" s="59"/>
      <c r="D724" s="59"/>
      <c r="E724" s="63"/>
      <c r="F724" s="64"/>
      <c r="G724" s="64"/>
      <c r="H724" s="64"/>
      <c r="I724" s="70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70"/>
      <c r="AA724" s="59"/>
      <c r="AB724" s="59"/>
      <c r="AC724" s="59"/>
      <c r="AD724" s="59"/>
      <c r="AE724" s="59"/>
      <c r="AF724" s="59"/>
    </row>
    <row r="725" ht="15.75" customHeight="1">
      <c r="A725" s="59"/>
      <c r="B725" s="59"/>
      <c r="C725" s="59"/>
      <c r="D725" s="59"/>
      <c r="E725" s="63"/>
      <c r="F725" s="64"/>
      <c r="G725" s="64"/>
      <c r="H725" s="64"/>
      <c r="I725" s="70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70"/>
      <c r="AA725" s="59"/>
      <c r="AB725" s="59"/>
      <c r="AC725" s="59"/>
      <c r="AD725" s="59"/>
      <c r="AE725" s="59"/>
      <c r="AF725" s="59"/>
    </row>
    <row r="726" ht="15.75" customHeight="1">
      <c r="A726" s="59"/>
      <c r="B726" s="59"/>
      <c r="C726" s="59"/>
      <c r="D726" s="59"/>
      <c r="E726" s="63"/>
      <c r="F726" s="64"/>
      <c r="G726" s="64"/>
      <c r="H726" s="64"/>
      <c r="I726" s="70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70"/>
      <c r="AA726" s="59"/>
      <c r="AB726" s="59"/>
      <c r="AC726" s="59"/>
      <c r="AD726" s="59"/>
      <c r="AE726" s="59"/>
      <c r="AF726" s="59"/>
    </row>
    <row r="727" ht="15.75" customHeight="1">
      <c r="A727" s="59"/>
      <c r="B727" s="59"/>
      <c r="C727" s="59"/>
      <c r="D727" s="59"/>
      <c r="E727" s="63"/>
      <c r="F727" s="64"/>
      <c r="G727" s="64"/>
      <c r="H727" s="64"/>
      <c r="I727" s="70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70"/>
      <c r="AA727" s="59"/>
      <c r="AB727" s="59"/>
      <c r="AC727" s="59"/>
      <c r="AD727" s="59"/>
      <c r="AE727" s="59"/>
      <c r="AF727" s="59"/>
    </row>
    <row r="728" ht="15.75" customHeight="1">
      <c r="A728" s="59"/>
      <c r="B728" s="59"/>
      <c r="C728" s="59"/>
      <c r="D728" s="59"/>
      <c r="E728" s="63"/>
      <c r="F728" s="64"/>
      <c r="G728" s="64"/>
      <c r="H728" s="64"/>
      <c r="I728" s="70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70"/>
      <c r="AA728" s="59"/>
      <c r="AB728" s="59"/>
      <c r="AC728" s="59"/>
      <c r="AD728" s="59"/>
      <c r="AE728" s="59"/>
      <c r="AF728" s="59"/>
    </row>
    <row r="729" ht="15.75" customHeight="1">
      <c r="A729" s="59"/>
      <c r="B729" s="59"/>
      <c r="C729" s="59"/>
      <c r="D729" s="59"/>
      <c r="E729" s="63"/>
      <c r="F729" s="64"/>
      <c r="G729" s="64"/>
      <c r="H729" s="64"/>
      <c r="I729" s="70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70"/>
      <c r="AA729" s="59"/>
      <c r="AB729" s="59"/>
      <c r="AC729" s="59"/>
      <c r="AD729" s="59"/>
      <c r="AE729" s="59"/>
      <c r="AF729" s="59"/>
    </row>
    <row r="730" ht="15.75" customHeight="1">
      <c r="A730" s="59"/>
      <c r="B730" s="59"/>
      <c r="C730" s="59"/>
      <c r="D730" s="59"/>
      <c r="E730" s="63"/>
      <c r="F730" s="64"/>
      <c r="G730" s="64"/>
      <c r="H730" s="64"/>
      <c r="I730" s="70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70"/>
      <c r="AA730" s="59"/>
      <c r="AB730" s="59"/>
      <c r="AC730" s="59"/>
      <c r="AD730" s="59"/>
      <c r="AE730" s="59"/>
      <c r="AF730" s="59"/>
    </row>
    <row r="731" ht="15.75" customHeight="1">
      <c r="A731" s="59"/>
      <c r="B731" s="59"/>
      <c r="C731" s="59"/>
      <c r="D731" s="59"/>
      <c r="E731" s="63"/>
      <c r="F731" s="64"/>
      <c r="G731" s="64"/>
      <c r="H731" s="64"/>
      <c r="I731" s="70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70"/>
      <c r="AA731" s="59"/>
      <c r="AB731" s="59"/>
      <c r="AC731" s="59"/>
      <c r="AD731" s="59"/>
      <c r="AE731" s="59"/>
      <c r="AF731" s="59"/>
    </row>
    <row r="732" ht="15.75" customHeight="1">
      <c r="A732" s="59"/>
      <c r="B732" s="59"/>
      <c r="C732" s="59"/>
      <c r="D732" s="59"/>
      <c r="E732" s="63"/>
      <c r="F732" s="64"/>
      <c r="G732" s="64"/>
      <c r="H732" s="64"/>
      <c r="I732" s="70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70"/>
      <c r="AA732" s="59"/>
      <c r="AB732" s="59"/>
      <c r="AC732" s="59"/>
      <c r="AD732" s="59"/>
      <c r="AE732" s="59"/>
      <c r="AF732" s="59"/>
    </row>
    <row r="733" ht="15.75" customHeight="1">
      <c r="A733" s="59"/>
      <c r="B733" s="59"/>
      <c r="C733" s="59"/>
      <c r="D733" s="59"/>
      <c r="E733" s="63"/>
      <c r="F733" s="64"/>
      <c r="G733" s="64"/>
      <c r="H733" s="64"/>
      <c r="I733" s="70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70"/>
      <c r="AA733" s="59"/>
      <c r="AB733" s="59"/>
      <c r="AC733" s="59"/>
      <c r="AD733" s="59"/>
      <c r="AE733" s="59"/>
      <c r="AF733" s="59"/>
    </row>
    <row r="734" ht="15.75" customHeight="1">
      <c r="A734" s="59"/>
      <c r="B734" s="59"/>
      <c r="C734" s="59"/>
      <c r="D734" s="59"/>
      <c r="E734" s="63"/>
      <c r="F734" s="64"/>
      <c r="G734" s="64"/>
      <c r="H734" s="64"/>
      <c r="I734" s="70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70"/>
      <c r="AA734" s="59"/>
      <c r="AB734" s="59"/>
      <c r="AC734" s="59"/>
      <c r="AD734" s="59"/>
      <c r="AE734" s="59"/>
      <c r="AF734" s="59"/>
    </row>
    <row r="735" ht="15.75" customHeight="1">
      <c r="A735" s="59"/>
      <c r="B735" s="59"/>
      <c r="C735" s="59"/>
      <c r="D735" s="59"/>
      <c r="E735" s="63"/>
      <c r="F735" s="64"/>
      <c r="G735" s="64"/>
      <c r="H735" s="64"/>
      <c r="I735" s="70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70"/>
      <c r="AA735" s="59"/>
      <c r="AB735" s="59"/>
      <c r="AC735" s="59"/>
      <c r="AD735" s="59"/>
      <c r="AE735" s="59"/>
      <c r="AF735" s="59"/>
    </row>
    <row r="736" ht="15.75" customHeight="1">
      <c r="A736" s="59"/>
      <c r="B736" s="59"/>
      <c r="C736" s="59"/>
      <c r="D736" s="59"/>
      <c r="E736" s="63"/>
      <c r="F736" s="64"/>
      <c r="G736" s="64"/>
      <c r="H736" s="64"/>
      <c r="I736" s="70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70"/>
      <c r="AA736" s="59"/>
      <c r="AB736" s="59"/>
      <c r="AC736" s="59"/>
      <c r="AD736" s="59"/>
      <c r="AE736" s="59"/>
      <c r="AF736" s="59"/>
    </row>
    <row r="737" ht="15.75" customHeight="1">
      <c r="A737" s="59"/>
      <c r="B737" s="59"/>
      <c r="C737" s="59"/>
      <c r="D737" s="59"/>
      <c r="E737" s="63"/>
      <c r="F737" s="64"/>
      <c r="G737" s="64"/>
      <c r="H737" s="64"/>
      <c r="I737" s="70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70"/>
      <c r="AA737" s="59"/>
      <c r="AB737" s="59"/>
      <c r="AC737" s="59"/>
      <c r="AD737" s="59"/>
      <c r="AE737" s="59"/>
      <c r="AF737" s="59"/>
    </row>
    <row r="738" ht="15.75" customHeight="1">
      <c r="A738" s="59"/>
      <c r="B738" s="59"/>
      <c r="C738" s="59"/>
      <c r="D738" s="59"/>
      <c r="E738" s="63"/>
      <c r="F738" s="64"/>
      <c r="G738" s="64"/>
      <c r="H738" s="64"/>
      <c r="I738" s="70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70"/>
      <c r="AA738" s="59"/>
      <c r="AB738" s="59"/>
      <c r="AC738" s="59"/>
      <c r="AD738" s="59"/>
      <c r="AE738" s="59"/>
      <c r="AF738" s="59"/>
    </row>
    <row r="739" ht="15.75" customHeight="1">
      <c r="A739" s="59"/>
      <c r="B739" s="59"/>
      <c r="C739" s="59"/>
      <c r="D739" s="59"/>
      <c r="E739" s="63"/>
      <c r="F739" s="64"/>
      <c r="G739" s="64"/>
      <c r="H739" s="64"/>
      <c r="I739" s="70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70"/>
      <c r="AA739" s="59"/>
      <c r="AB739" s="59"/>
      <c r="AC739" s="59"/>
      <c r="AD739" s="59"/>
      <c r="AE739" s="59"/>
      <c r="AF739" s="59"/>
    </row>
    <row r="740" ht="15.75" customHeight="1">
      <c r="A740" s="59"/>
      <c r="B740" s="59"/>
      <c r="C740" s="59"/>
      <c r="D740" s="59"/>
      <c r="E740" s="63"/>
      <c r="F740" s="64"/>
      <c r="G740" s="64"/>
      <c r="H740" s="64"/>
      <c r="I740" s="70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70"/>
      <c r="AA740" s="59"/>
      <c r="AB740" s="59"/>
      <c r="AC740" s="59"/>
      <c r="AD740" s="59"/>
      <c r="AE740" s="59"/>
      <c r="AF740" s="59"/>
    </row>
    <row r="741" ht="15.75" customHeight="1">
      <c r="A741" s="59"/>
      <c r="B741" s="59"/>
      <c r="C741" s="59"/>
      <c r="D741" s="59"/>
      <c r="E741" s="63"/>
      <c r="F741" s="64"/>
      <c r="G741" s="64"/>
      <c r="H741" s="64"/>
      <c r="I741" s="70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70"/>
      <c r="AA741" s="59"/>
      <c r="AB741" s="59"/>
      <c r="AC741" s="59"/>
      <c r="AD741" s="59"/>
      <c r="AE741" s="59"/>
      <c r="AF741" s="59"/>
    </row>
    <row r="742" ht="15.75" customHeight="1">
      <c r="A742" s="59"/>
      <c r="B742" s="59"/>
      <c r="C742" s="59"/>
      <c r="D742" s="59"/>
      <c r="E742" s="63"/>
      <c r="F742" s="64"/>
      <c r="G742" s="64"/>
      <c r="H742" s="64"/>
      <c r="I742" s="70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70"/>
      <c r="AA742" s="59"/>
      <c r="AB742" s="59"/>
      <c r="AC742" s="59"/>
      <c r="AD742" s="59"/>
      <c r="AE742" s="59"/>
      <c r="AF742" s="59"/>
    </row>
    <row r="743" ht="15.75" customHeight="1">
      <c r="A743" s="59"/>
      <c r="B743" s="59"/>
      <c r="C743" s="59"/>
      <c r="D743" s="59"/>
      <c r="E743" s="63"/>
      <c r="F743" s="64"/>
      <c r="G743" s="64"/>
      <c r="H743" s="64"/>
      <c r="I743" s="70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70"/>
      <c r="AA743" s="59"/>
      <c r="AB743" s="59"/>
      <c r="AC743" s="59"/>
      <c r="AD743" s="59"/>
      <c r="AE743" s="59"/>
      <c r="AF743" s="59"/>
    </row>
    <row r="744" ht="15.75" customHeight="1">
      <c r="A744" s="59"/>
      <c r="B744" s="59"/>
      <c r="C744" s="59"/>
      <c r="D744" s="59"/>
      <c r="E744" s="63"/>
      <c r="F744" s="64"/>
      <c r="G744" s="64"/>
      <c r="H744" s="64"/>
      <c r="I744" s="70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70"/>
      <c r="AA744" s="59"/>
      <c r="AB744" s="59"/>
      <c r="AC744" s="59"/>
      <c r="AD744" s="59"/>
      <c r="AE744" s="59"/>
      <c r="AF744" s="59"/>
    </row>
    <row r="745" ht="15.75" customHeight="1">
      <c r="A745" s="59"/>
      <c r="B745" s="59"/>
      <c r="C745" s="59"/>
      <c r="D745" s="59"/>
      <c r="E745" s="63"/>
      <c r="F745" s="64"/>
      <c r="G745" s="64"/>
      <c r="H745" s="64"/>
      <c r="I745" s="70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70"/>
      <c r="AA745" s="59"/>
      <c r="AB745" s="59"/>
      <c r="AC745" s="59"/>
      <c r="AD745" s="59"/>
      <c r="AE745" s="59"/>
      <c r="AF745" s="59"/>
    </row>
    <row r="746" ht="15.75" customHeight="1">
      <c r="A746" s="59"/>
      <c r="B746" s="59"/>
      <c r="C746" s="59"/>
      <c r="D746" s="59"/>
      <c r="E746" s="63"/>
      <c r="F746" s="64"/>
      <c r="G746" s="64"/>
      <c r="H746" s="64"/>
      <c r="I746" s="70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70"/>
      <c r="AA746" s="59"/>
      <c r="AB746" s="59"/>
      <c r="AC746" s="59"/>
      <c r="AD746" s="59"/>
      <c r="AE746" s="59"/>
      <c r="AF746" s="59"/>
    </row>
    <row r="747" ht="15.75" customHeight="1">
      <c r="A747" s="59"/>
      <c r="B747" s="59"/>
      <c r="C747" s="59"/>
      <c r="D747" s="59"/>
      <c r="E747" s="63"/>
      <c r="F747" s="64"/>
      <c r="G747" s="64"/>
      <c r="H747" s="64"/>
      <c r="I747" s="70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70"/>
      <c r="AA747" s="59"/>
      <c r="AB747" s="59"/>
      <c r="AC747" s="59"/>
      <c r="AD747" s="59"/>
      <c r="AE747" s="59"/>
      <c r="AF747" s="59"/>
    </row>
    <row r="748" ht="15.75" customHeight="1">
      <c r="A748" s="59"/>
      <c r="B748" s="59"/>
      <c r="C748" s="59"/>
      <c r="D748" s="59"/>
      <c r="E748" s="63"/>
      <c r="F748" s="64"/>
      <c r="G748" s="64"/>
      <c r="H748" s="64"/>
      <c r="I748" s="70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70"/>
      <c r="AA748" s="59"/>
      <c r="AB748" s="59"/>
      <c r="AC748" s="59"/>
      <c r="AD748" s="59"/>
      <c r="AE748" s="59"/>
      <c r="AF748" s="59"/>
    </row>
    <row r="749" ht="15.75" customHeight="1">
      <c r="A749" s="59"/>
      <c r="B749" s="59"/>
      <c r="C749" s="59"/>
      <c r="D749" s="59"/>
      <c r="E749" s="63"/>
      <c r="F749" s="64"/>
      <c r="G749" s="64"/>
      <c r="H749" s="64"/>
      <c r="I749" s="70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70"/>
      <c r="AA749" s="59"/>
      <c r="AB749" s="59"/>
      <c r="AC749" s="59"/>
      <c r="AD749" s="59"/>
      <c r="AE749" s="59"/>
      <c r="AF749" s="59"/>
    </row>
    <row r="750" ht="15.75" customHeight="1">
      <c r="A750" s="59"/>
      <c r="B750" s="59"/>
      <c r="C750" s="59"/>
      <c r="D750" s="59"/>
      <c r="E750" s="63"/>
      <c r="F750" s="64"/>
      <c r="G750" s="64"/>
      <c r="H750" s="64"/>
      <c r="I750" s="70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70"/>
      <c r="AA750" s="59"/>
      <c r="AB750" s="59"/>
      <c r="AC750" s="59"/>
      <c r="AD750" s="59"/>
      <c r="AE750" s="59"/>
      <c r="AF750" s="59"/>
    </row>
    <row r="751" ht="15.75" customHeight="1">
      <c r="A751" s="59"/>
      <c r="B751" s="59"/>
      <c r="C751" s="59"/>
      <c r="D751" s="59"/>
      <c r="E751" s="63"/>
      <c r="F751" s="64"/>
      <c r="G751" s="64"/>
      <c r="H751" s="64"/>
      <c r="I751" s="70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70"/>
      <c r="AA751" s="59"/>
      <c r="AB751" s="59"/>
      <c r="AC751" s="59"/>
      <c r="AD751" s="59"/>
      <c r="AE751" s="59"/>
      <c r="AF751" s="59"/>
    </row>
    <row r="752" ht="15.75" customHeight="1">
      <c r="A752" s="59"/>
      <c r="B752" s="59"/>
      <c r="C752" s="59"/>
      <c r="D752" s="59"/>
      <c r="E752" s="63"/>
      <c r="F752" s="64"/>
      <c r="G752" s="64"/>
      <c r="H752" s="64"/>
      <c r="I752" s="70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70"/>
      <c r="AA752" s="59"/>
      <c r="AB752" s="59"/>
      <c r="AC752" s="59"/>
      <c r="AD752" s="59"/>
      <c r="AE752" s="59"/>
      <c r="AF752" s="59"/>
    </row>
    <row r="753" ht="15.75" customHeight="1">
      <c r="A753" s="59"/>
      <c r="B753" s="59"/>
      <c r="C753" s="59"/>
      <c r="D753" s="59"/>
      <c r="E753" s="63"/>
      <c r="F753" s="64"/>
      <c r="G753" s="64"/>
      <c r="H753" s="64"/>
      <c r="I753" s="70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70"/>
      <c r="AA753" s="59"/>
      <c r="AB753" s="59"/>
      <c r="AC753" s="59"/>
      <c r="AD753" s="59"/>
      <c r="AE753" s="59"/>
      <c r="AF753" s="59"/>
    </row>
    <row r="754" ht="15.75" customHeight="1">
      <c r="A754" s="59"/>
      <c r="B754" s="59"/>
      <c r="C754" s="59"/>
      <c r="D754" s="59"/>
      <c r="E754" s="63"/>
      <c r="F754" s="64"/>
      <c r="G754" s="64"/>
      <c r="H754" s="64"/>
      <c r="I754" s="70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70"/>
      <c r="AA754" s="59"/>
      <c r="AB754" s="59"/>
      <c r="AC754" s="59"/>
      <c r="AD754" s="59"/>
      <c r="AE754" s="59"/>
      <c r="AF754" s="59"/>
    </row>
    <row r="755" ht="15.75" customHeight="1">
      <c r="A755" s="59"/>
      <c r="B755" s="59"/>
      <c r="C755" s="59"/>
      <c r="D755" s="59"/>
      <c r="E755" s="63"/>
      <c r="F755" s="64"/>
      <c r="G755" s="64"/>
      <c r="H755" s="64"/>
      <c r="I755" s="70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70"/>
      <c r="AA755" s="59"/>
      <c r="AB755" s="59"/>
      <c r="AC755" s="59"/>
      <c r="AD755" s="59"/>
      <c r="AE755" s="59"/>
      <c r="AF755" s="59"/>
    </row>
    <row r="756" ht="15.75" customHeight="1">
      <c r="A756" s="59"/>
      <c r="B756" s="59"/>
      <c r="C756" s="59"/>
      <c r="D756" s="59"/>
      <c r="E756" s="63"/>
      <c r="F756" s="64"/>
      <c r="G756" s="64"/>
      <c r="H756" s="64"/>
      <c r="I756" s="70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70"/>
      <c r="AA756" s="59"/>
      <c r="AB756" s="59"/>
      <c r="AC756" s="59"/>
      <c r="AD756" s="59"/>
      <c r="AE756" s="59"/>
      <c r="AF756" s="59"/>
    </row>
    <row r="757" ht="15.75" customHeight="1">
      <c r="A757" s="59"/>
      <c r="B757" s="59"/>
      <c r="C757" s="59"/>
      <c r="D757" s="59"/>
      <c r="E757" s="63"/>
      <c r="F757" s="64"/>
      <c r="G757" s="64"/>
      <c r="H757" s="64"/>
      <c r="I757" s="70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70"/>
      <c r="AA757" s="59"/>
      <c r="AB757" s="59"/>
      <c r="AC757" s="59"/>
      <c r="AD757" s="59"/>
      <c r="AE757" s="59"/>
      <c r="AF757" s="59"/>
    </row>
    <row r="758" ht="15.75" customHeight="1">
      <c r="A758" s="59"/>
      <c r="B758" s="59"/>
      <c r="C758" s="59"/>
      <c r="D758" s="59"/>
      <c r="E758" s="63"/>
      <c r="F758" s="64"/>
      <c r="G758" s="64"/>
      <c r="H758" s="64"/>
      <c r="I758" s="70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70"/>
      <c r="AA758" s="59"/>
      <c r="AB758" s="59"/>
      <c r="AC758" s="59"/>
      <c r="AD758" s="59"/>
      <c r="AE758" s="59"/>
      <c r="AF758" s="59"/>
    </row>
    <row r="759" ht="15.75" customHeight="1">
      <c r="A759" s="59"/>
      <c r="B759" s="59"/>
      <c r="C759" s="59"/>
      <c r="D759" s="59"/>
      <c r="E759" s="63"/>
      <c r="F759" s="64"/>
      <c r="G759" s="64"/>
      <c r="H759" s="64"/>
      <c r="I759" s="70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70"/>
      <c r="AA759" s="59"/>
      <c r="AB759" s="59"/>
      <c r="AC759" s="59"/>
      <c r="AD759" s="59"/>
      <c r="AE759" s="59"/>
      <c r="AF759" s="59"/>
    </row>
    <row r="760" ht="15.75" customHeight="1">
      <c r="A760" s="59"/>
      <c r="B760" s="59"/>
      <c r="C760" s="59"/>
      <c r="D760" s="59"/>
      <c r="E760" s="63"/>
      <c r="F760" s="64"/>
      <c r="G760" s="64"/>
      <c r="H760" s="64"/>
      <c r="I760" s="70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70"/>
      <c r="AA760" s="59"/>
      <c r="AB760" s="59"/>
      <c r="AC760" s="59"/>
      <c r="AD760" s="59"/>
      <c r="AE760" s="59"/>
      <c r="AF760" s="59"/>
    </row>
    <row r="761" ht="15.75" customHeight="1">
      <c r="A761" s="59"/>
      <c r="B761" s="59"/>
      <c r="C761" s="59"/>
      <c r="D761" s="59"/>
      <c r="E761" s="63"/>
      <c r="F761" s="64"/>
      <c r="G761" s="64"/>
      <c r="H761" s="64"/>
      <c r="I761" s="70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70"/>
      <c r="AA761" s="59"/>
      <c r="AB761" s="59"/>
      <c r="AC761" s="59"/>
      <c r="AD761" s="59"/>
      <c r="AE761" s="59"/>
      <c r="AF761" s="59"/>
    </row>
    <row r="762" ht="15.75" customHeight="1">
      <c r="A762" s="59"/>
      <c r="B762" s="59"/>
      <c r="C762" s="59"/>
      <c r="D762" s="59"/>
      <c r="E762" s="63"/>
      <c r="F762" s="64"/>
      <c r="G762" s="64"/>
      <c r="H762" s="64"/>
      <c r="I762" s="70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70"/>
      <c r="AA762" s="59"/>
      <c r="AB762" s="59"/>
      <c r="AC762" s="59"/>
      <c r="AD762" s="59"/>
      <c r="AE762" s="59"/>
      <c r="AF762" s="59"/>
    </row>
    <row r="763" ht="15.75" customHeight="1">
      <c r="A763" s="59"/>
      <c r="B763" s="59"/>
      <c r="C763" s="59"/>
      <c r="D763" s="59"/>
      <c r="E763" s="63"/>
      <c r="F763" s="64"/>
      <c r="G763" s="64"/>
      <c r="H763" s="64"/>
      <c r="I763" s="70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70"/>
      <c r="AA763" s="59"/>
      <c r="AB763" s="59"/>
      <c r="AC763" s="59"/>
      <c r="AD763" s="59"/>
      <c r="AE763" s="59"/>
      <c r="AF763" s="59"/>
    </row>
    <row r="764" ht="15.75" customHeight="1">
      <c r="A764" s="59"/>
      <c r="B764" s="59"/>
      <c r="C764" s="59"/>
      <c r="D764" s="59"/>
      <c r="E764" s="63"/>
      <c r="F764" s="64"/>
      <c r="G764" s="64"/>
      <c r="H764" s="64"/>
      <c r="I764" s="70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70"/>
      <c r="AA764" s="59"/>
      <c r="AB764" s="59"/>
      <c r="AC764" s="59"/>
      <c r="AD764" s="59"/>
      <c r="AE764" s="59"/>
      <c r="AF764" s="59"/>
    </row>
    <row r="765" ht="15.75" customHeight="1">
      <c r="A765" s="59"/>
      <c r="B765" s="59"/>
      <c r="C765" s="59"/>
      <c r="D765" s="59"/>
      <c r="E765" s="63"/>
      <c r="F765" s="64"/>
      <c r="G765" s="64"/>
      <c r="H765" s="64"/>
      <c r="I765" s="70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70"/>
      <c r="AA765" s="59"/>
      <c r="AB765" s="59"/>
      <c r="AC765" s="59"/>
      <c r="AD765" s="59"/>
      <c r="AE765" s="59"/>
      <c r="AF765" s="59"/>
    </row>
    <row r="766" ht="15.75" customHeight="1">
      <c r="A766" s="59"/>
      <c r="B766" s="59"/>
      <c r="C766" s="59"/>
      <c r="D766" s="59"/>
      <c r="E766" s="63"/>
      <c r="F766" s="64"/>
      <c r="G766" s="64"/>
      <c r="H766" s="64"/>
      <c r="I766" s="70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70"/>
      <c r="AA766" s="59"/>
      <c r="AB766" s="59"/>
      <c r="AC766" s="59"/>
      <c r="AD766" s="59"/>
      <c r="AE766" s="59"/>
      <c r="AF766" s="59"/>
    </row>
    <row r="767" ht="15.75" customHeight="1">
      <c r="A767" s="59"/>
      <c r="B767" s="59"/>
      <c r="C767" s="59"/>
      <c r="D767" s="59"/>
      <c r="E767" s="63"/>
      <c r="F767" s="64"/>
      <c r="G767" s="64"/>
      <c r="H767" s="64"/>
      <c r="I767" s="70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70"/>
      <c r="AA767" s="59"/>
      <c r="AB767" s="59"/>
      <c r="AC767" s="59"/>
      <c r="AD767" s="59"/>
      <c r="AE767" s="59"/>
      <c r="AF767" s="59"/>
    </row>
    <row r="768" ht="15.75" customHeight="1">
      <c r="A768" s="59"/>
      <c r="B768" s="59"/>
      <c r="C768" s="59"/>
      <c r="D768" s="59"/>
      <c r="E768" s="63"/>
      <c r="F768" s="64"/>
      <c r="G768" s="64"/>
      <c r="H768" s="64"/>
      <c r="I768" s="70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70"/>
      <c r="AA768" s="59"/>
      <c r="AB768" s="59"/>
      <c r="AC768" s="59"/>
      <c r="AD768" s="59"/>
      <c r="AE768" s="59"/>
      <c r="AF768" s="59"/>
    </row>
    <row r="769" ht="15.75" customHeight="1">
      <c r="A769" s="59"/>
      <c r="B769" s="59"/>
      <c r="C769" s="59"/>
      <c r="D769" s="59"/>
      <c r="E769" s="63"/>
      <c r="F769" s="64"/>
      <c r="G769" s="64"/>
      <c r="H769" s="64"/>
      <c r="I769" s="70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70"/>
      <c r="AA769" s="59"/>
      <c r="AB769" s="59"/>
      <c r="AC769" s="59"/>
      <c r="AD769" s="59"/>
      <c r="AE769" s="59"/>
      <c r="AF769" s="59"/>
    </row>
    <row r="770" ht="15.75" customHeight="1">
      <c r="A770" s="59"/>
      <c r="B770" s="59"/>
      <c r="C770" s="59"/>
      <c r="D770" s="59"/>
      <c r="E770" s="63"/>
      <c r="F770" s="64"/>
      <c r="G770" s="64"/>
      <c r="H770" s="64"/>
      <c r="I770" s="70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70"/>
      <c r="AA770" s="59"/>
      <c r="AB770" s="59"/>
      <c r="AC770" s="59"/>
      <c r="AD770" s="59"/>
      <c r="AE770" s="59"/>
      <c r="AF770" s="59"/>
    </row>
    <row r="771" ht="15.75" customHeight="1">
      <c r="A771" s="59"/>
      <c r="B771" s="59"/>
      <c r="C771" s="59"/>
      <c r="D771" s="59"/>
      <c r="E771" s="63"/>
      <c r="F771" s="64"/>
      <c r="G771" s="64"/>
      <c r="H771" s="64"/>
      <c r="I771" s="70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70"/>
      <c r="AA771" s="59"/>
      <c r="AB771" s="59"/>
      <c r="AC771" s="59"/>
      <c r="AD771" s="59"/>
      <c r="AE771" s="59"/>
      <c r="AF771" s="59"/>
    </row>
    <row r="772" ht="15.75" customHeight="1">
      <c r="A772" s="59"/>
      <c r="B772" s="59"/>
      <c r="C772" s="59"/>
      <c r="D772" s="59"/>
      <c r="E772" s="63"/>
      <c r="F772" s="64"/>
      <c r="G772" s="64"/>
      <c r="H772" s="64"/>
      <c r="I772" s="70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70"/>
      <c r="AA772" s="59"/>
      <c r="AB772" s="59"/>
      <c r="AC772" s="59"/>
      <c r="AD772" s="59"/>
      <c r="AE772" s="59"/>
      <c r="AF772" s="59"/>
    </row>
    <row r="773" ht="15.75" customHeight="1">
      <c r="A773" s="59"/>
      <c r="B773" s="59"/>
      <c r="C773" s="59"/>
      <c r="D773" s="59"/>
      <c r="E773" s="63"/>
      <c r="F773" s="64"/>
      <c r="G773" s="64"/>
      <c r="H773" s="64"/>
      <c r="I773" s="70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70"/>
      <c r="AA773" s="59"/>
      <c r="AB773" s="59"/>
      <c r="AC773" s="59"/>
      <c r="AD773" s="59"/>
      <c r="AE773" s="59"/>
      <c r="AF773" s="59"/>
    </row>
    <row r="774" ht="15.75" customHeight="1">
      <c r="A774" s="59"/>
      <c r="B774" s="59"/>
      <c r="C774" s="59"/>
      <c r="D774" s="59"/>
      <c r="E774" s="63"/>
      <c r="F774" s="64"/>
      <c r="G774" s="64"/>
      <c r="H774" s="64"/>
      <c r="I774" s="70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70"/>
      <c r="AA774" s="59"/>
      <c r="AB774" s="59"/>
      <c r="AC774" s="59"/>
      <c r="AD774" s="59"/>
      <c r="AE774" s="59"/>
      <c r="AF774" s="59"/>
    </row>
    <row r="775" ht="15.75" customHeight="1">
      <c r="A775" s="59"/>
      <c r="B775" s="59"/>
      <c r="C775" s="59"/>
      <c r="D775" s="59"/>
      <c r="E775" s="63"/>
      <c r="F775" s="64"/>
      <c r="G775" s="64"/>
      <c r="H775" s="64"/>
      <c r="I775" s="70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70"/>
      <c r="AA775" s="59"/>
      <c r="AB775" s="59"/>
      <c r="AC775" s="59"/>
      <c r="AD775" s="59"/>
      <c r="AE775" s="59"/>
      <c r="AF775" s="59"/>
    </row>
    <row r="776" ht="15.75" customHeight="1">
      <c r="A776" s="59"/>
      <c r="B776" s="59"/>
      <c r="C776" s="59"/>
      <c r="D776" s="59"/>
      <c r="E776" s="63"/>
      <c r="F776" s="64"/>
      <c r="G776" s="64"/>
      <c r="H776" s="64"/>
      <c r="I776" s="70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70"/>
      <c r="AA776" s="59"/>
      <c r="AB776" s="59"/>
      <c r="AC776" s="59"/>
      <c r="AD776" s="59"/>
      <c r="AE776" s="59"/>
      <c r="AF776" s="59"/>
    </row>
    <row r="777" ht="15.75" customHeight="1">
      <c r="A777" s="59"/>
      <c r="B777" s="59"/>
      <c r="C777" s="59"/>
      <c r="D777" s="59"/>
      <c r="E777" s="63"/>
      <c r="F777" s="64"/>
      <c r="G777" s="64"/>
      <c r="H777" s="64"/>
      <c r="I777" s="70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70"/>
      <c r="AA777" s="59"/>
      <c r="AB777" s="59"/>
      <c r="AC777" s="59"/>
      <c r="AD777" s="59"/>
      <c r="AE777" s="59"/>
      <c r="AF777" s="59"/>
    </row>
    <row r="778" ht="15.75" customHeight="1">
      <c r="A778" s="59"/>
      <c r="B778" s="59"/>
      <c r="C778" s="59"/>
      <c r="D778" s="59"/>
      <c r="E778" s="63"/>
      <c r="F778" s="64"/>
      <c r="G778" s="64"/>
      <c r="H778" s="64"/>
      <c r="I778" s="70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70"/>
      <c r="AA778" s="59"/>
      <c r="AB778" s="59"/>
      <c r="AC778" s="59"/>
      <c r="AD778" s="59"/>
      <c r="AE778" s="59"/>
      <c r="AF778" s="59"/>
    </row>
    <row r="779" ht="15.75" customHeight="1">
      <c r="A779" s="59"/>
      <c r="B779" s="59"/>
      <c r="C779" s="59"/>
      <c r="D779" s="59"/>
      <c r="E779" s="63"/>
      <c r="F779" s="64"/>
      <c r="G779" s="64"/>
      <c r="H779" s="64"/>
      <c r="I779" s="70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70"/>
      <c r="AA779" s="59"/>
      <c r="AB779" s="59"/>
      <c r="AC779" s="59"/>
      <c r="AD779" s="59"/>
      <c r="AE779" s="59"/>
      <c r="AF779" s="59"/>
    </row>
    <row r="780" ht="15.75" customHeight="1">
      <c r="A780" s="59"/>
      <c r="B780" s="59"/>
      <c r="C780" s="59"/>
      <c r="D780" s="59"/>
      <c r="E780" s="63"/>
      <c r="F780" s="64"/>
      <c r="G780" s="64"/>
      <c r="H780" s="64"/>
      <c r="I780" s="70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70"/>
      <c r="AA780" s="59"/>
      <c r="AB780" s="59"/>
      <c r="AC780" s="59"/>
      <c r="AD780" s="59"/>
      <c r="AE780" s="59"/>
      <c r="AF780" s="59"/>
    </row>
    <row r="781" ht="15.75" customHeight="1">
      <c r="A781" s="59"/>
      <c r="B781" s="59"/>
      <c r="C781" s="59"/>
      <c r="D781" s="59"/>
      <c r="E781" s="63"/>
      <c r="F781" s="64"/>
      <c r="G781" s="64"/>
      <c r="H781" s="64"/>
      <c r="I781" s="70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70"/>
      <c r="AA781" s="59"/>
      <c r="AB781" s="59"/>
      <c r="AC781" s="59"/>
      <c r="AD781" s="59"/>
      <c r="AE781" s="59"/>
      <c r="AF781" s="59"/>
    </row>
    <row r="782" ht="15.75" customHeight="1">
      <c r="A782" s="59"/>
      <c r="B782" s="59"/>
      <c r="C782" s="59"/>
      <c r="D782" s="59"/>
      <c r="E782" s="63"/>
      <c r="F782" s="64"/>
      <c r="G782" s="64"/>
      <c r="H782" s="64"/>
      <c r="I782" s="70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70"/>
      <c r="AA782" s="59"/>
      <c r="AB782" s="59"/>
      <c r="AC782" s="59"/>
      <c r="AD782" s="59"/>
      <c r="AE782" s="59"/>
      <c r="AF782" s="59"/>
    </row>
    <row r="783" ht="15.75" customHeight="1">
      <c r="A783" s="59"/>
      <c r="B783" s="59"/>
      <c r="C783" s="59"/>
      <c r="D783" s="59"/>
      <c r="E783" s="63"/>
      <c r="F783" s="64"/>
      <c r="G783" s="64"/>
      <c r="H783" s="64"/>
      <c r="I783" s="70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70"/>
      <c r="AA783" s="59"/>
      <c r="AB783" s="59"/>
      <c r="AC783" s="59"/>
      <c r="AD783" s="59"/>
      <c r="AE783" s="59"/>
      <c r="AF783" s="59"/>
    </row>
    <row r="784" ht="15.75" customHeight="1">
      <c r="A784" s="59"/>
      <c r="B784" s="59"/>
      <c r="C784" s="59"/>
      <c r="D784" s="59"/>
      <c r="E784" s="63"/>
      <c r="F784" s="64"/>
      <c r="G784" s="64"/>
      <c r="H784" s="64"/>
      <c r="I784" s="70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70"/>
      <c r="AA784" s="59"/>
      <c r="AB784" s="59"/>
      <c r="AC784" s="59"/>
      <c r="AD784" s="59"/>
      <c r="AE784" s="59"/>
      <c r="AF784" s="59"/>
    </row>
    <row r="785" ht="15.75" customHeight="1">
      <c r="A785" s="59"/>
      <c r="B785" s="59"/>
      <c r="C785" s="59"/>
      <c r="D785" s="59"/>
      <c r="E785" s="63"/>
      <c r="F785" s="64"/>
      <c r="G785" s="64"/>
      <c r="H785" s="64"/>
      <c r="I785" s="70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70"/>
      <c r="AA785" s="59"/>
      <c r="AB785" s="59"/>
      <c r="AC785" s="59"/>
      <c r="AD785" s="59"/>
      <c r="AE785" s="59"/>
      <c r="AF785" s="59"/>
    </row>
    <row r="786" ht="15.75" customHeight="1">
      <c r="A786" s="59"/>
      <c r="B786" s="59"/>
      <c r="C786" s="59"/>
      <c r="D786" s="59"/>
      <c r="E786" s="63"/>
      <c r="F786" s="64"/>
      <c r="G786" s="64"/>
      <c r="H786" s="64"/>
      <c r="I786" s="70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70"/>
      <c r="AA786" s="59"/>
      <c r="AB786" s="59"/>
      <c r="AC786" s="59"/>
      <c r="AD786" s="59"/>
      <c r="AE786" s="59"/>
      <c r="AF786" s="59"/>
    </row>
    <row r="787" ht="15.75" customHeight="1">
      <c r="A787" s="59"/>
      <c r="B787" s="59"/>
      <c r="C787" s="59"/>
      <c r="D787" s="59"/>
      <c r="E787" s="63"/>
      <c r="F787" s="64"/>
      <c r="G787" s="64"/>
      <c r="H787" s="64"/>
      <c r="I787" s="70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70"/>
      <c r="AA787" s="59"/>
      <c r="AB787" s="59"/>
      <c r="AC787" s="59"/>
      <c r="AD787" s="59"/>
      <c r="AE787" s="59"/>
      <c r="AF787" s="59"/>
    </row>
    <row r="788" ht="15.75" customHeight="1">
      <c r="A788" s="59"/>
      <c r="B788" s="59"/>
      <c r="C788" s="59"/>
      <c r="D788" s="59"/>
      <c r="E788" s="63"/>
      <c r="F788" s="64"/>
      <c r="G788" s="64"/>
      <c r="H788" s="64"/>
      <c r="I788" s="70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70"/>
      <c r="AA788" s="59"/>
      <c r="AB788" s="59"/>
      <c r="AC788" s="59"/>
      <c r="AD788" s="59"/>
      <c r="AE788" s="59"/>
      <c r="AF788" s="59"/>
    </row>
    <row r="789" ht="15.75" customHeight="1">
      <c r="A789" s="59"/>
      <c r="B789" s="59"/>
      <c r="C789" s="59"/>
      <c r="D789" s="59"/>
      <c r="E789" s="63"/>
      <c r="F789" s="64"/>
      <c r="G789" s="64"/>
      <c r="H789" s="64"/>
      <c r="I789" s="70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70"/>
      <c r="AA789" s="59"/>
      <c r="AB789" s="59"/>
      <c r="AC789" s="59"/>
      <c r="AD789" s="59"/>
      <c r="AE789" s="59"/>
      <c r="AF789" s="59"/>
    </row>
    <row r="790" ht="15.75" customHeight="1">
      <c r="A790" s="59"/>
      <c r="B790" s="59"/>
      <c r="C790" s="59"/>
      <c r="D790" s="59"/>
      <c r="E790" s="63"/>
      <c r="F790" s="64"/>
      <c r="G790" s="64"/>
      <c r="H790" s="64"/>
      <c r="I790" s="70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70"/>
      <c r="AA790" s="59"/>
      <c r="AB790" s="59"/>
      <c r="AC790" s="59"/>
      <c r="AD790" s="59"/>
      <c r="AE790" s="59"/>
      <c r="AF790" s="59"/>
    </row>
    <row r="791" ht="15.75" customHeight="1">
      <c r="A791" s="59"/>
      <c r="B791" s="59"/>
      <c r="C791" s="59"/>
      <c r="D791" s="59"/>
      <c r="E791" s="63"/>
      <c r="F791" s="64"/>
      <c r="G791" s="64"/>
      <c r="H791" s="64"/>
      <c r="I791" s="70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70"/>
      <c r="AA791" s="59"/>
      <c r="AB791" s="59"/>
      <c r="AC791" s="59"/>
      <c r="AD791" s="59"/>
      <c r="AE791" s="59"/>
      <c r="AF791" s="59"/>
    </row>
    <row r="792" ht="15.75" customHeight="1">
      <c r="A792" s="59"/>
      <c r="B792" s="59"/>
      <c r="C792" s="59"/>
      <c r="D792" s="59"/>
      <c r="E792" s="63"/>
      <c r="F792" s="64"/>
      <c r="G792" s="64"/>
      <c r="H792" s="64"/>
      <c r="I792" s="70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70"/>
      <c r="AA792" s="59"/>
      <c r="AB792" s="59"/>
      <c r="AC792" s="59"/>
      <c r="AD792" s="59"/>
      <c r="AE792" s="59"/>
      <c r="AF792" s="59"/>
    </row>
    <row r="793" ht="15.75" customHeight="1">
      <c r="A793" s="59"/>
      <c r="B793" s="59"/>
      <c r="C793" s="59"/>
      <c r="D793" s="59"/>
      <c r="E793" s="63"/>
      <c r="F793" s="64"/>
      <c r="G793" s="64"/>
      <c r="H793" s="64"/>
      <c r="I793" s="70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70"/>
      <c r="AA793" s="59"/>
      <c r="AB793" s="59"/>
      <c r="AC793" s="59"/>
      <c r="AD793" s="59"/>
      <c r="AE793" s="59"/>
      <c r="AF793" s="59"/>
    </row>
    <row r="794" ht="15.75" customHeight="1">
      <c r="A794" s="59"/>
      <c r="B794" s="59"/>
      <c r="C794" s="59"/>
      <c r="D794" s="59"/>
      <c r="E794" s="63"/>
      <c r="F794" s="64"/>
      <c r="G794" s="64"/>
      <c r="H794" s="64"/>
      <c r="I794" s="70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70"/>
      <c r="AA794" s="59"/>
      <c r="AB794" s="59"/>
      <c r="AC794" s="59"/>
      <c r="AD794" s="59"/>
      <c r="AE794" s="59"/>
      <c r="AF794" s="59"/>
    </row>
    <row r="795" ht="15.75" customHeight="1">
      <c r="A795" s="59"/>
      <c r="B795" s="59"/>
      <c r="C795" s="59"/>
      <c r="D795" s="59"/>
      <c r="E795" s="63"/>
      <c r="F795" s="64"/>
      <c r="G795" s="64"/>
      <c r="H795" s="64"/>
      <c r="I795" s="70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70"/>
      <c r="AA795" s="59"/>
      <c r="AB795" s="59"/>
      <c r="AC795" s="59"/>
      <c r="AD795" s="59"/>
      <c r="AE795" s="59"/>
      <c r="AF795" s="59"/>
    </row>
    <row r="796" ht="15.75" customHeight="1">
      <c r="A796" s="59"/>
      <c r="B796" s="59"/>
      <c r="C796" s="59"/>
      <c r="D796" s="59"/>
      <c r="E796" s="63"/>
      <c r="F796" s="64"/>
      <c r="G796" s="64"/>
      <c r="H796" s="64"/>
      <c r="I796" s="70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70"/>
      <c r="AA796" s="59"/>
      <c r="AB796" s="59"/>
      <c r="AC796" s="59"/>
      <c r="AD796" s="59"/>
      <c r="AE796" s="59"/>
      <c r="AF796" s="59"/>
    </row>
    <row r="797" ht="15.75" customHeight="1">
      <c r="A797" s="59"/>
      <c r="B797" s="59"/>
      <c r="C797" s="59"/>
      <c r="D797" s="59"/>
      <c r="E797" s="63"/>
      <c r="F797" s="64"/>
      <c r="G797" s="64"/>
      <c r="H797" s="64"/>
      <c r="I797" s="70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70"/>
      <c r="AA797" s="59"/>
      <c r="AB797" s="59"/>
      <c r="AC797" s="59"/>
      <c r="AD797" s="59"/>
      <c r="AE797" s="59"/>
      <c r="AF797" s="59"/>
    </row>
    <row r="798" ht="15.75" customHeight="1">
      <c r="A798" s="59"/>
      <c r="B798" s="59"/>
      <c r="C798" s="59"/>
      <c r="D798" s="59"/>
      <c r="E798" s="63"/>
      <c r="F798" s="64"/>
      <c r="G798" s="64"/>
      <c r="H798" s="64"/>
      <c r="I798" s="70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70"/>
      <c r="AA798" s="59"/>
      <c r="AB798" s="59"/>
      <c r="AC798" s="59"/>
      <c r="AD798" s="59"/>
      <c r="AE798" s="59"/>
      <c r="AF798" s="59"/>
    </row>
    <row r="799" ht="15.75" customHeight="1">
      <c r="A799" s="59"/>
      <c r="B799" s="59"/>
      <c r="C799" s="59"/>
      <c r="D799" s="59"/>
      <c r="E799" s="63"/>
      <c r="F799" s="64"/>
      <c r="G799" s="64"/>
      <c r="H799" s="64"/>
      <c r="I799" s="70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70"/>
      <c r="AA799" s="59"/>
      <c r="AB799" s="59"/>
      <c r="AC799" s="59"/>
      <c r="AD799" s="59"/>
      <c r="AE799" s="59"/>
      <c r="AF799" s="59"/>
    </row>
    <row r="800" ht="15.75" customHeight="1">
      <c r="A800" s="59"/>
      <c r="B800" s="59"/>
      <c r="C800" s="59"/>
      <c r="D800" s="59"/>
      <c r="E800" s="63"/>
      <c r="F800" s="64"/>
      <c r="G800" s="64"/>
      <c r="H800" s="64"/>
      <c r="I800" s="70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70"/>
      <c r="AA800" s="59"/>
      <c r="AB800" s="59"/>
      <c r="AC800" s="59"/>
      <c r="AD800" s="59"/>
      <c r="AE800" s="59"/>
      <c r="AF800" s="59"/>
    </row>
    <row r="801" ht="15.75" customHeight="1">
      <c r="A801" s="59"/>
      <c r="B801" s="59"/>
      <c r="C801" s="59"/>
      <c r="D801" s="59"/>
      <c r="E801" s="63"/>
      <c r="F801" s="64"/>
      <c r="G801" s="64"/>
      <c r="H801" s="64"/>
      <c r="I801" s="70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70"/>
      <c r="AA801" s="59"/>
      <c r="AB801" s="59"/>
      <c r="AC801" s="59"/>
      <c r="AD801" s="59"/>
      <c r="AE801" s="59"/>
      <c r="AF801" s="59"/>
    </row>
    <row r="802" ht="15.75" customHeight="1">
      <c r="A802" s="59"/>
      <c r="B802" s="59"/>
      <c r="C802" s="59"/>
      <c r="D802" s="59"/>
      <c r="E802" s="63"/>
      <c r="F802" s="64"/>
      <c r="G802" s="64"/>
      <c r="H802" s="64"/>
      <c r="I802" s="70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70"/>
      <c r="AA802" s="59"/>
      <c r="AB802" s="59"/>
      <c r="AC802" s="59"/>
      <c r="AD802" s="59"/>
      <c r="AE802" s="59"/>
      <c r="AF802" s="59"/>
    </row>
    <row r="803" ht="15.75" customHeight="1">
      <c r="A803" s="59"/>
      <c r="B803" s="59"/>
      <c r="C803" s="59"/>
      <c r="D803" s="59"/>
      <c r="E803" s="63"/>
      <c r="F803" s="64"/>
      <c r="G803" s="64"/>
      <c r="H803" s="64"/>
      <c r="I803" s="70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70"/>
      <c r="AA803" s="59"/>
      <c r="AB803" s="59"/>
      <c r="AC803" s="59"/>
      <c r="AD803" s="59"/>
      <c r="AE803" s="59"/>
      <c r="AF803" s="59"/>
    </row>
    <row r="804" ht="15.75" customHeight="1">
      <c r="A804" s="59"/>
      <c r="B804" s="59"/>
      <c r="C804" s="59"/>
      <c r="D804" s="59"/>
      <c r="E804" s="63"/>
      <c r="F804" s="64"/>
      <c r="G804" s="64"/>
      <c r="H804" s="64"/>
      <c r="I804" s="70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70"/>
      <c r="AA804" s="59"/>
      <c r="AB804" s="59"/>
      <c r="AC804" s="59"/>
      <c r="AD804" s="59"/>
      <c r="AE804" s="59"/>
      <c r="AF804" s="59"/>
    </row>
    <row r="805" ht="15.75" customHeight="1">
      <c r="A805" s="59"/>
      <c r="B805" s="59"/>
      <c r="C805" s="59"/>
      <c r="D805" s="59"/>
      <c r="E805" s="63"/>
      <c r="F805" s="64"/>
      <c r="G805" s="64"/>
      <c r="H805" s="64"/>
      <c r="I805" s="70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70"/>
      <c r="AA805" s="59"/>
      <c r="AB805" s="59"/>
      <c r="AC805" s="59"/>
      <c r="AD805" s="59"/>
      <c r="AE805" s="59"/>
      <c r="AF805" s="59"/>
    </row>
    <row r="806" ht="15.75" customHeight="1">
      <c r="A806" s="59"/>
      <c r="B806" s="59"/>
      <c r="C806" s="59"/>
      <c r="D806" s="59"/>
      <c r="E806" s="63"/>
      <c r="F806" s="64"/>
      <c r="G806" s="64"/>
      <c r="H806" s="64"/>
      <c r="I806" s="70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70"/>
      <c r="AA806" s="59"/>
      <c r="AB806" s="59"/>
      <c r="AC806" s="59"/>
      <c r="AD806" s="59"/>
      <c r="AE806" s="59"/>
      <c r="AF806" s="59"/>
    </row>
    <row r="807" ht="15.75" customHeight="1">
      <c r="A807" s="59"/>
      <c r="B807" s="59"/>
      <c r="C807" s="59"/>
      <c r="D807" s="59"/>
      <c r="E807" s="63"/>
      <c r="F807" s="64"/>
      <c r="G807" s="64"/>
      <c r="H807" s="64"/>
      <c r="I807" s="70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70"/>
      <c r="AA807" s="59"/>
      <c r="AB807" s="59"/>
      <c r="AC807" s="59"/>
      <c r="AD807" s="59"/>
      <c r="AE807" s="59"/>
      <c r="AF807" s="59"/>
    </row>
    <row r="808" ht="15.75" customHeight="1">
      <c r="A808" s="59"/>
      <c r="B808" s="59"/>
      <c r="C808" s="59"/>
      <c r="D808" s="59"/>
      <c r="E808" s="63"/>
      <c r="F808" s="64"/>
      <c r="G808" s="64"/>
      <c r="H808" s="64"/>
      <c r="I808" s="70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70"/>
      <c r="AA808" s="59"/>
      <c r="AB808" s="59"/>
      <c r="AC808" s="59"/>
      <c r="AD808" s="59"/>
      <c r="AE808" s="59"/>
      <c r="AF808" s="59"/>
    </row>
    <row r="809" ht="15.75" customHeight="1">
      <c r="A809" s="59"/>
      <c r="B809" s="59"/>
      <c r="C809" s="59"/>
      <c r="D809" s="59"/>
      <c r="E809" s="63"/>
      <c r="F809" s="64"/>
      <c r="G809" s="64"/>
      <c r="H809" s="64"/>
      <c r="I809" s="70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70"/>
      <c r="AA809" s="59"/>
      <c r="AB809" s="59"/>
      <c r="AC809" s="59"/>
      <c r="AD809" s="59"/>
      <c r="AE809" s="59"/>
      <c r="AF809" s="59"/>
    </row>
    <row r="810" ht="15.75" customHeight="1">
      <c r="A810" s="59"/>
      <c r="B810" s="59"/>
      <c r="C810" s="59"/>
      <c r="D810" s="59"/>
      <c r="E810" s="63"/>
      <c r="F810" s="64"/>
      <c r="G810" s="64"/>
      <c r="H810" s="64"/>
      <c r="I810" s="70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70"/>
      <c r="AA810" s="59"/>
      <c r="AB810" s="59"/>
      <c r="AC810" s="59"/>
      <c r="AD810" s="59"/>
      <c r="AE810" s="59"/>
      <c r="AF810" s="59"/>
    </row>
    <row r="811" ht="15.75" customHeight="1">
      <c r="A811" s="59"/>
      <c r="B811" s="59"/>
      <c r="C811" s="59"/>
      <c r="D811" s="59"/>
      <c r="E811" s="63"/>
      <c r="F811" s="64"/>
      <c r="G811" s="64"/>
      <c r="H811" s="64"/>
      <c r="I811" s="70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70"/>
      <c r="AA811" s="59"/>
      <c r="AB811" s="59"/>
      <c r="AC811" s="59"/>
      <c r="AD811" s="59"/>
      <c r="AE811" s="59"/>
      <c r="AF811" s="59"/>
    </row>
    <row r="812" ht="15.75" customHeight="1">
      <c r="A812" s="59"/>
      <c r="B812" s="59"/>
      <c r="C812" s="59"/>
      <c r="D812" s="59"/>
      <c r="E812" s="63"/>
      <c r="F812" s="64"/>
      <c r="G812" s="64"/>
      <c r="H812" s="64"/>
      <c r="I812" s="70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70"/>
      <c r="AA812" s="59"/>
      <c r="AB812" s="59"/>
      <c r="AC812" s="59"/>
      <c r="AD812" s="59"/>
      <c r="AE812" s="59"/>
      <c r="AF812" s="59"/>
    </row>
    <row r="813" ht="15.75" customHeight="1">
      <c r="A813" s="59"/>
      <c r="B813" s="59"/>
      <c r="C813" s="59"/>
      <c r="D813" s="59"/>
      <c r="E813" s="63"/>
      <c r="F813" s="64"/>
      <c r="G813" s="64"/>
      <c r="H813" s="64"/>
      <c r="I813" s="70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70"/>
      <c r="AA813" s="59"/>
      <c r="AB813" s="59"/>
      <c r="AC813" s="59"/>
      <c r="AD813" s="59"/>
      <c r="AE813" s="59"/>
      <c r="AF813" s="59"/>
    </row>
    <row r="814" ht="15.75" customHeight="1">
      <c r="A814" s="59"/>
      <c r="B814" s="59"/>
      <c r="C814" s="59"/>
      <c r="D814" s="59"/>
      <c r="E814" s="63"/>
      <c r="F814" s="64"/>
      <c r="G814" s="64"/>
      <c r="H814" s="64"/>
      <c r="I814" s="70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70"/>
      <c r="AA814" s="59"/>
      <c r="AB814" s="59"/>
      <c r="AC814" s="59"/>
      <c r="AD814" s="59"/>
      <c r="AE814" s="59"/>
      <c r="AF814" s="59"/>
    </row>
    <row r="815" ht="15.75" customHeight="1">
      <c r="A815" s="59"/>
      <c r="B815" s="59"/>
      <c r="C815" s="59"/>
      <c r="D815" s="59"/>
      <c r="E815" s="63"/>
      <c r="F815" s="64"/>
      <c r="G815" s="64"/>
      <c r="H815" s="64"/>
      <c r="I815" s="70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70"/>
      <c r="AA815" s="59"/>
      <c r="AB815" s="59"/>
      <c r="AC815" s="59"/>
      <c r="AD815" s="59"/>
      <c r="AE815" s="59"/>
      <c r="AF815" s="59"/>
    </row>
    <row r="816" ht="15.75" customHeight="1">
      <c r="A816" s="59"/>
      <c r="B816" s="59"/>
      <c r="C816" s="59"/>
      <c r="D816" s="59"/>
      <c r="E816" s="63"/>
      <c r="F816" s="64"/>
      <c r="G816" s="64"/>
      <c r="H816" s="64"/>
      <c r="I816" s="70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70"/>
      <c r="AA816" s="59"/>
      <c r="AB816" s="59"/>
      <c r="AC816" s="59"/>
      <c r="AD816" s="59"/>
      <c r="AE816" s="59"/>
      <c r="AF816" s="59"/>
    </row>
    <row r="817" ht="15.75" customHeight="1">
      <c r="A817" s="59"/>
      <c r="B817" s="59"/>
      <c r="C817" s="59"/>
      <c r="D817" s="59"/>
      <c r="E817" s="63"/>
      <c r="F817" s="64"/>
      <c r="G817" s="64"/>
      <c r="H817" s="64"/>
      <c r="I817" s="70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70"/>
      <c r="AA817" s="59"/>
      <c r="AB817" s="59"/>
      <c r="AC817" s="59"/>
      <c r="AD817" s="59"/>
      <c r="AE817" s="59"/>
      <c r="AF817" s="59"/>
    </row>
    <row r="818" ht="15.75" customHeight="1">
      <c r="A818" s="59"/>
      <c r="B818" s="59"/>
      <c r="C818" s="59"/>
      <c r="D818" s="59"/>
      <c r="E818" s="63"/>
      <c r="F818" s="64"/>
      <c r="G818" s="64"/>
      <c r="H818" s="64"/>
      <c r="I818" s="70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70"/>
      <c r="AA818" s="59"/>
      <c r="AB818" s="59"/>
      <c r="AC818" s="59"/>
      <c r="AD818" s="59"/>
      <c r="AE818" s="59"/>
      <c r="AF818" s="59"/>
    </row>
    <row r="819" ht="15.75" customHeight="1">
      <c r="A819" s="59"/>
      <c r="B819" s="59"/>
      <c r="C819" s="59"/>
      <c r="D819" s="59"/>
      <c r="E819" s="63"/>
      <c r="F819" s="64"/>
      <c r="G819" s="64"/>
      <c r="H819" s="64"/>
      <c r="I819" s="70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70"/>
      <c r="AA819" s="59"/>
      <c r="AB819" s="59"/>
      <c r="AC819" s="59"/>
      <c r="AD819" s="59"/>
      <c r="AE819" s="59"/>
      <c r="AF819" s="59"/>
    </row>
    <row r="820" ht="15.75" customHeight="1">
      <c r="A820" s="59"/>
      <c r="B820" s="59"/>
      <c r="C820" s="59"/>
      <c r="D820" s="59"/>
      <c r="E820" s="63"/>
      <c r="F820" s="64"/>
      <c r="G820" s="64"/>
      <c r="H820" s="64"/>
      <c r="I820" s="70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70"/>
      <c r="AA820" s="59"/>
      <c r="AB820" s="59"/>
      <c r="AC820" s="59"/>
      <c r="AD820" s="59"/>
      <c r="AE820" s="59"/>
      <c r="AF820" s="59"/>
    </row>
    <row r="821" ht="15.75" customHeight="1">
      <c r="A821" s="59"/>
      <c r="B821" s="59"/>
      <c r="C821" s="59"/>
      <c r="D821" s="59"/>
      <c r="E821" s="63"/>
      <c r="F821" s="64"/>
      <c r="G821" s="64"/>
      <c r="H821" s="64"/>
      <c r="I821" s="70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70"/>
      <c r="AA821" s="59"/>
      <c r="AB821" s="59"/>
      <c r="AC821" s="59"/>
      <c r="AD821" s="59"/>
      <c r="AE821" s="59"/>
      <c r="AF821" s="59"/>
    </row>
    <row r="822" ht="15.75" customHeight="1">
      <c r="A822" s="59"/>
      <c r="B822" s="59"/>
      <c r="C822" s="59"/>
      <c r="D822" s="59"/>
      <c r="E822" s="63"/>
      <c r="F822" s="64"/>
      <c r="G822" s="64"/>
      <c r="H822" s="64"/>
      <c r="I822" s="70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70"/>
      <c r="AA822" s="59"/>
      <c r="AB822" s="59"/>
      <c r="AC822" s="59"/>
      <c r="AD822" s="59"/>
      <c r="AE822" s="59"/>
      <c r="AF822" s="59"/>
    </row>
    <row r="823" ht="15.75" customHeight="1">
      <c r="A823" s="59"/>
      <c r="B823" s="59"/>
      <c r="C823" s="59"/>
      <c r="D823" s="59"/>
      <c r="E823" s="63"/>
      <c r="F823" s="64"/>
      <c r="G823" s="64"/>
      <c r="H823" s="64"/>
      <c r="I823" s="70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70"/>
      <c r="AA823" s="59"/>
      <c r="AB823" s="59"/>
      <c r="AC823" s="59"/>
      <c r="AD823" s="59"/>
      <c r="AE823" s="59"/>
      <c r="AF823" s="59"/>
    </row>
    <row r="824" ht="15.75" customHeight="1">
      <c r="A824" s="59"/>
      <c r="B824" s="59"/>
      <c r="C824" s="59"/>
      <c r="D824" s="59"/>
      <c r="E824" s="63"/>
      <c r="F824" s="64"/>
      <c r="G824" s="64"/>
      <c r="H824" s="64"/>
      <c r="I824" s="70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70"/>
      <c r="AA824" s="59"/>
      <c r="AB824" s="59"/>
      <c r="AC824" s="59"/>
      <c r="AD824" s="59"/>
      <c r="AE824" s="59"/>
      <c r="AF824" s="59"/>
    </row>
    <row r="825" ht="15.75" customHeight="1">
      <c r="A825" s="59"/>
      <c r="B825" s="59"/>
      <c r="C825" s="59"/>
      <c r="D825" s="59"/>
      <c r="E825" s="63"/>
      <c r="F825" s="64"/>
      <c r="G825" s="64"/>
      <c r="H825" s="64"/>
      <c r="I825" s="70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70"/>
      <c r="AA825" s="59"/>
      <c r="AB825" s="59"/>
      <c r="AC825" s="59"/>
      <c r="AD825" s="59"/>
      <c r="AE825" s="59"/>
      <c r="AF825" s="59"/>
    </row>
    <row r="826" ht="15.75" customHeight="1">
      <c r="A826" s="59"/>
      <c r="B826" s="59"/>
      <c r="C826" s="59"/>
      <c r="D826" s="59"/>
      <c r="E826" s="63"/>
      <c r="F826" s="64"/>
      <c r="G826" s="64"/>
      <c r="H826" s="64"/>
      <c r="I826" s="70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70"/>
      <c r="AA826" s="59"/>
      <c r="AB826" s="59"/>
      <c r="AC826" s="59"/>
      <c r="AD826" s="59"/>
      <c r="AE826" s="59"/>
      <c r="AF826" s="59"/>
    </row>
    <row r="827" ht="15.75" customHeight="1">
      <c r="A827" s="59"/>
      <c r="B827" s="59"/>
      <c r="C827" s="59"/>
      <c r="D827" s="59"/>
      <c r="E827" s="63"/>
      <c r="F827" s="64"/>
      <c r="G827" s="64"/>
      <c r="H827" s="64"/>
      <c r="I827" s="70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70"/>
      <c r="AA827" s="59"/>
      <c r="AB827" s="59"/>
      <c r="AC827" s="59"/>
      <c r="AD827" s="59"/>
      <c r="AE827" s="59"/>
      <c r="AF827" s="59"/>
    </row>
    <row r="828" ht="15.75" customHeight="1">
      <c r="A828" s="59"/>
      <c r="B828" s="59"/>
      <c r="C828" s="59"/>
      <c r="D828" s="59"/>
      <c r="E828" s="63"/>
      <c r="F828" s="64"/>
      <c r="G828" s="64"/>
      <c r="H828" s="64"/>
      <c r="I828" s="70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70"/>
      <c r="AA828" s="59"/>
      <c r="AB828" s="59"/>
      <c r="AC828" s="59"/>
      <c r="AD828" s="59"/>
      <c r="AE828" s="59"/>
      <c r="AF828" s="59"/>
    </row>
    <row r="829" ht="15.75" customHeight="1">
      <c r="A829" s="59"/>
      <c r="B829" s="59"/>
      <c r="C829" s="59"/>
      <c r="D829" s="59"/>
      <c r="E829" s="63"/>
      <c r="F829" s="64"/>
      <c r="G829" s="64"/>
      <c r="H829" s="64"/>
      <c r="I829" s="70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70"/>
      <c r="AA829" s="59"/>
      <c r="AB829" s="59"/>
      <c r="AC829" s="59"/>
      <c r="AD829" s="59"/>
      <c r="AE829" s="59"/>
      <c r="AF829" s="59"/>
    </row>
    <row r="830" ht="15.75" customHeight="1">
      <c r="A830" s="59"/>
      <c r="B830" s="59"/>
      <c r="C830" s="59"/>
      <c r="D830" s="59"/>
      <c r="E830" s="63"/>
      <c r="F830" s="64"/>
      <c r="G830" s="64"/>
      <c r="H830" s="64"/>
      <c r="I830" s="70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70"/>
      <c r="AA830" s="59"/>
      <c r="AB830" s="59"/>
      <c r="AC830" s="59"/>
      <c r="AD830" s="59"/>
      <c r="AE830" s="59"/>
      <c r="AF830" s="59"/>
    </row>
    <row r="831" ht="15.75" customHeight="1">
      <c r="A831" s="59"/>
      <c r="B831" s="59"/>
      <c r="C831" s="59"/>
      <c r="D831" s="59"/>
      <c r="E831" s="63"/>
      <c r="F831" s="64"/>
      <c r="G831" s="64"/>
      <c r="H831" s="64"/>
      <c r="I831" s="70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70"/>
      <c r="AA831" s="59"/>
      <c r="AB831" s="59"/>
      <c r="AC831" s="59"/>
      <c r="AD831" s="59"/>
      <c r="AE831" s="59"/>
      <c r="AF831" s="59"/>
    </row>
    <row r="832" ht="15.75" customHeight="1">
      <c r="A832" s="59"/>
      <c r="B832" s="59"/>
      <c r="C832" s="59"/>
      <c r="D832" s="59"/>
      <c r="E832" s="63"/>
      <c r="F832" s="64"/>
      <c r="G832" s="64"/>
      <c r="H832" s="64"/>
      <c r="I832" s="70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70"/>
      <c r="AA832" s="59"/>
      <c r="AB832" s="59"/>
      <c r="AC832" s="59"/>
      <c r="AD832" s="59"/>
      <c r="AE832" s="59"/>
      <c r="AF832" s="59"/>
    </row>
    <row r="833" ht="15.75" customHeight="1">
      <c r="A833" s="59"/>
      <c r="B833" s="59"/>
      <c r="C833" s="59"/>
      <c r="D833" s="59"/>
      <c r="E833" s="63"/>
      <c r="F833" s="64"/>
      <c r="G833" s="64"/>
      <c r="H833" s="64"/>
      <c r="I833" s="70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70"/>
      <c r="AA833" s="59"/>
      <c r="AB833" s="59"/>
      <c r="AC833" s="59"/>
      <c r="AD833" s="59"/>
      <c r="AE833" s="59"/>
      <c r="AF833" s="59"/>
    </row>
    <row r="834" ht="15.75" customHeight="1">
      <c r="A834" s="59"/>
      <c r="B834" s="59"/>
      <c r="C834" s="59"/>
      <c r="D834" s="59"/>
      <c r="E834" s="63"/>
      <c r="F834" s="64"/>
      <c r="G834" s="64"/>
      <c r="H834" s="64"/>
      <c r="I834" s="70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70"/>
      <c r="AA834" s="59"/>
      <c r="AB834" s="59"/>
      <c r="AC834" s="59"/>
      <c r="AD834" s="59"/>
      <c r="AE834" s="59"/>
      <c r="AF834" s="59"/>
    </row>
    <row r="835" ht="15.75" customHeight="1">
      <c r="A835" s="59"/>
      <c r="B835" s="59"/>
      <c r="C835" s="59"/>
      <c r="D835" s="59"/>
      <c r="E835" s="63"/>
      <c r="F835" s="64"/>
      <c r="G835" s="64"/>
      <c r="H835" s="64"/>
      <c r="I835" s="70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70"/>
      <c r="AA835" s="59"/>
      <c r="AB835" s="59"/>
      <c r="AC835" s="59"/>
      <c r="AD835" s="59"/>
      <c r="AE835" s="59"/>
      <c r="AF835" s="59"/>
    </row>
    <row r="836" ht="15.75" customHeight="1">
      <c r="A836" s="59"/>
      <c r="B836" s="59"/>
      <c r="C836" s="59"/>
      <c r="D836" s="59"/>
      <c r="E836" s="63"/>
      <c r="F836" s="64"/>
      <c r="G836" s="64"/>
      <c r="H836" s="64"/>
      <c r="I836" s="70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70"/>
      <c r="AA836" s="59"/>
      <c r="AB836" s="59"/>
      <c r="AC836" s="59"/>
      <c r="AD836" s="59"/>
      <c r="AE836" s="59"/>
      <c r="AF836" s="59"/>
    </row>
    <row r="837" ht="15.75" customHeight="1">
      <c r="A837" s="59"/>
      <c r="B837" s="59"/>
      <c r="C837" s="59"/>
      <c r="D837" s="59"/>
      <c r="E837" s="63"/>
      <c r="F837" s="64"/>
      <c r="G837" s="64"/>
      <c r="H837" s="64"/>
      <c r="I837" s="70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70"/>
      <c r="AA837" s="59"/>
      <c r="AB837" s="59"/>
      <c r="AC837" s="59"/>
      <c r="AD837" s="59"/>
      <c r="AE837" s="59"/>
      <c r="AF837" s="59"/>
    </row>
    <row r="838" ht="15.75" customHeight="1">
      <c r="A838" s="59"/>
      <c r="B838" s="59"/>
      <c r="C838" s="59"/>
      <c r="D838" s="59"/>
      <c r="E838" s="63"/>
      <c r="F838" s="64"/>
      <c r="G838" s="64"/>
      <c r="H838" s="64"/>
      <c r="I838" s="70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70"/>
      <c r="AA838" s="59"/>
      <c r="AB838" s="59"/>
      <c r="AC838" s="59"/>
      <c r="AD838" s="59"/>
      <c r="AE838" s="59"/>
      <c r="AF838" s="59"/>
    </row>
    <row r="839" ht="15.75" customHeight="1">
      <c r="A839" s="59"/>
      <c r="B839" s="59"/>
      <c r="C839" s="59"/>
      <c r="D839" s="59"/>
      <c r="E839" s="63"/>
      <c r="F839" s="64"/>
      <c r="G839" s="64"/>
      <c r="H839" s="64"/>
      <c r="I839" s="70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70"/>
      <c r="AA839" s="59"/>
      <c r="AB839" s="59"/>
      <c r="AC839" s="59"/>
      <c r="AD839" s="59"/>
      <c r="AE839" s="59"/>
      <c r="AF839" s="59"/>
    </row>
    <row r="840" ht="15.75" customHeight="1">
      <c r="A840" s="59"/>
      <c r="B840" s="59"/>
      <c r="C840" s="59"/>
      <c r="D840" s="59"/>
      <c r="E840" s="63"/>
      <c r="F840" s="64"/>
      <c r="G840" s="64"/>
      <c r="H840" s="64"/>
      <c r="I840" s="70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70"/>
      <c r="AA840" s="59"/>
      <c r="AB840" s="59"/>
      <c r="AC840" s="59"/>
      <c r="AD840" s="59"/>
      <c r="AE840" s="59"/>
      <c r="AF840" s="59"/>
    </row>
    <row r="841" ht="15.75" customHeight="1">
      <c r="A841" s="59"/>
      <c r="B841" s="59"/>
      <c r="C841" s="59"/>
      <c r="D841" s="59"/>
      <c r="E841" s="63"/>
      <c r="F841" s="64"/>
      <c r="G841" s="64"/>
      <c r="H841" s="64"/>
      <c r="I841" s="70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70"/>
      <c r="AA841" s="59"/>
      <c r="AB841" s="59"/>
      <c r="AC841" s="59"/>
      <c r="AD841" s="59"/>
      <c r="AE841" s="59"/>
      <c r="AF841" s="59"/>
    </row>
    <row r="842" ht="15.75" customHeight="1">
      <c r="A842" s="59"/>
      <c r="B842" s="59"/>
      <c r="C842" s="59"/>
      <c r="D842" s="59"/>
      <c r="E842" s="63"/>
      <c r="F842" s="64"/>
      <c r="G842" s="64"/>
      <c r="H842" s="64"/>
      <c r="I842" s="70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70"/>
      <c r="AA842" s="59"/>
      <c r="AB842" s="59"/>
      <c r="AC842" s="59"/>
      <c r="AD842" s="59"/>
      <c r="AE842" s="59"/>
      <c r="AF842" s="59"/>
    </row>
    <row r="843" ht="15.75" customHeight="1">
      <c r="A843" s="59"/>
      <c r="B843" s="59"/>
      <c r="C843" s="59"/>
      <c r="D843" s="59"/>
      <c r="E843" s="63"/>
      <c r="F843" s="64"/>
      <c r="G843" s="64"/>
      <c r="H843" s="64"/>
      <c r="I843" s="70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70"/>
      <c r="AA843" s="59"/>
      <c r="AB843" s="59"/>
      <c r="AC843" s="59"/>
      <c r="AD843" s="59"/>
      <c r="AE843" s="59"/>
      <c r="AF843" s="59"/>
    </row>
    <row r="844" ht="15.75" customHeight="1">
      <c r="A844" s="59"/>
      <c r="B844" s="59"/>
      <c r="C844" s="59"/>
      <c r="D844" s="59"/>
      <c r="E844" s="63"/>
      <c r="F844" s="64"/>
      <c r="G844" s="64"/>
      <c r="H844" s="64"/>
      <c r="I844" s="70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70"/>
      <c r="AA844" s="59"/>
      <c r="AB844" s="59"/>
      <c r="AC844" s="59"/>
      <c r="AD844" s="59"/>
      <c r="AE844" s="59"/>
      <c r="AF844" s="59"/>
    </row>
    <row r="845" ht="15.75" customHeight="1">
      <c r="A845" s="59"/>
      <c r="B845" s="59"/>
      <c r="C845" s="59"/>
      <c r="D845" s="59"/>
      <c r="E845" s="63"/>
      <c r="F845" s="64"/>
      <c r="G845" s="64"/>
      <c r="H845" s="64"/>
      <c r="I845" s="70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70"/>
      <c r="AA845" s="59"/>
      <c r="AB845" s="59"/>
      <c r="AC845" s="59"/>
      <c r="AD845" s="59"/>
      <c r="AE845" s="59"/>
      <c r="AF845" s="59"/>
    </row>
    <row r="846" ht="15.75" customHeight="1">
      <c r="A846" s="59"/>
      <c r="B846" s="59"/>
      <c r="C846" s="59"/>
      <c r="D846" s="59"/>
      <c r="E846" s="63"/>
      <c r="F846" s="64"/>
      <c r="G846" s="64"/>
      <c r="H846" s="64"/>
      <c r="I846" s="70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70"/>
      <c r="AA846" s="59"/>
      <c r="AB846" s="59"/>
      <c r="AC846" s="59"/>
      <c r="AD846" s="59"/>
      <c r="AE846" s="59"/>
      <c r="AF846" s="59"/>
    </row>
    <row r="847" ht="15.75" customHeight="1">
      <c r="A847" s="59"/>
      <c r="B847" s="59"/>
      <c r="C847" s="59"/>
      <c r="D847" s="59"/>
      <c r="E847" s="63"/>
      <c r="F847" s="64"/>
      <c r="G847" s="64"/>
      <c r="H847" s="64"/>
      <c r="I847" s="70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70"/>
      <c r="AA847" s="59"/>
      <c r="AB847" s="59"/>
      <c r="AC847" s="59"/>
      <c r="AD847" s="59"/>
      <c r="AE847" s="59"/>
      <c r="AF847" s="59"/>
    </row>
    <row r="848" ht="15.75" customHeight="1">
      <c r="A848" s="59"/>
      <c r="B848" s="59"/>
      <c r="C848" s="59"/>
      <c r="D848" s="59"/>
      <c r="E848" s="63"/>
      <c r="F848" s="64"/>
      <c r="G848" s="64"/>
      <c r="H848" s="64"/>
      <c r="I848" s="70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70"/>
      <c r="AA848" s="59"/>
      <c r="AB848" s="59"/>
      <c r="AC848" s="59"/>
      <c r="AD848" s="59"/>
      <c r="AE848" s="59"/>
      <c r="AF848" s="59"/>
    </row>
    <row r="849" ht="15.75" customHeight="1">
      <c r="A849" s="59"/>
      <c r="B849" s="59"/>
      <c r="C849" s="59"/>
      <c r="D849" s="59"/>
      <c r="E849" s="63"/>
      <c r="F849" s="64"/>
      <c r="G849" s="64"/>
      <c r="H849" s="64"/>
      <c r="I849" s="70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70"/>
      <c r="AA849" s="59"/>
      <c r="AB849" s="59"/>
      <c r="AC849" s="59"/>
      <c r="AD849" s="59"/>
      <c r="AE849" s="59"/>
      <c r="AF849" s="59"/>
    </row>
    <row r="850" ht="15.75" customHeight="1">
      <c r="A850" s="59"/>
      <c r="B850" s="59"/>
      <c r="C850" s="59"/>
      <c r="D850" s="59"/>
      <c r="E850" s="63"/>
      <c r="F850" s="64"/>
      <c r="G850" s="64"/>
      <c r="H850" s="64"/>
      <c r="I850" s="70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70"/>
      <c r="AA850" s="59"/>
      <c r="AB850" s="59"/>
      <c r="AC850" s="59"/>
      <c r="AD850" s="59"/>
      <c r="AE850" s="59"/>
      <c r="AF850" s="59"/>
    </row>
    <row r="851" ht="15.75" customHeight="1">
      <c r="A851" s="59"/>
      <c r="B851" s="59"/>
      <c r="C851" s="59"/>
      <c r="D851" s="59"/>
      <c r="E851" s="63"/>
      <c r="F851" s="64"/>
      <c r="G851" s="64"/>
      <c r="H851" s="64"/>
      <c r="I851" s="70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70"/>
      <c r="AA851" s="59"/>
      <c r="AB851" s="59"/>
      <c r="AC851" s="59"/>
      <c r="AD851" s="59"/>
      <c r="AE851" s="59"/>
      <c r="AF851" s="59"/>
    </row>
    <row r="852" ht="15.75" customHeight="1">
      <c r="A852" s="59"/>
      <c r="B852" s="59"/>
      <c r="C852" s="59"/>
      <c r="D852" s="59"/>
      <c r="E852" s="63"/>
      <c r="F852" s="64"/>
      <c r="G852" s="64"/>
      <c r="H852" s="64"/>
      <c r="I852" s="70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70"/>
      <c r="AA852" s="59"/>
      <c r="AB852" s="59"/>
      <c r="AC852" s="59"/>
      <c r="AD852" s="59"/>
      <c r="AE852" s="59"/>
      <c r="AF852" s="59"/>
    </row>
    <row r="853" ht="15.75" customHeight="1">
      <c r="A853" s="59"/>
      <c r="B853" s="59"/>
      <c r="C853" s="59"/>
      <c r="D853" s="59"/>
      <c r="E853" s="63"/>
      <c r="F853" s="64"/>
      <c r="G853" s="64"/>
      <c r="H853" s="64"/>
      <c r="I853" s="70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70"/>
      <c r="AA853" s="59"/>
      <c r="AB853" s="59"/>
      <c r="AC853" s="59"/>
      <c r="AD853" s="59"/>
      <c r="AE853" s="59"/>
      <c r="AF853" s="59"/>
    </row>
    <row r="854" ht="15.75" customHeight="1">
      <c r="A854" s="59"/>
      <c r="B854" s="59"/>
      <c r="C854" s="59"/>
      <c r="D854" s="59"/>
      <c r="E854" s="63"/>
      <c r="F854" s="64"/>
      <c r="G854" s="64"/>
      <c r="H854" s="64"/>
      <c r="I854" s="70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70"/>
      <c r="AA854" s="59"/>
      <c r="AB854" s="59"/>
      <c r="AC854" s="59"/>
      <c r="AD854" s="59"/>
      <c r="AE854" s="59"/>
      <c r="AF854" s="59"/>
    </row>
    <row r="855" ht="15.75" customHeight="1">
      <c r="A855" s="59"/>
      <c r="B855" s="59"/>
      <c r="C855" s="59"/>
      <c r="D855" s="59"/>
      <c r="E855" s="63"/>
      <c r="F855" s="64"/>
      <c r="G855" s="64"/>
      <c r="H855" s="64"/>
      <c r="I855" s="70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70"/>
      <c r="AA855" s="59"/>
      <c r="AB855" s="59"/>
      <c r="AC855" s="59"/>
      <c r="AD855" s="59"/>
      <c r="AE855" s="59"/>
      <c r="AF855" s="59"/>
    </row>
    <row r="856" ht="15.75" customHeight="1">
      <c r="A856" s="59"/>
      <c r="B856" s="59"/>
      <c r="C856" s="59"/>
      <c r="D856" s="59"/>
      <c r="E856" s="63"/>
      <c r="F856" s="64"/>
      <c r="G856" s="64"/>
      <c r="H856" s="64"/>
      <c r="I856" s="70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70"/>
      <c r="AA856" s="59"/>
      <c r="AB856" s="59"/>
      <c r="AC856" s="59"/>
      <c r="AD856" s="59"/>
      <c r="AE856" s="59"/>
      <c r="AF856" s="59"/>
    </row>
    <row r="857" ht="15.75" customHeight="1">
      <c r="A857" s="59"/>
      <c r="B857" s="59"/>
      <c r="C857" s="59"/>
      <c r="D857" s="59"/>
      <c r="E857" s="63"/>
      <c r="F857" s="64"/>
      <c r="G857" s="64"/>
      <c r="H857" s="64"/>
      <c r="I857" s="70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70"/>
      <c r="AA857" s="59"/>
      <c r="AB857" s="59"/>
      <c r="AC857" s="59"/>
      <c r="AD857" s="59"/>
      <c r="AE857" s="59"/>
      <c r="AF857" s="59"/>
    </row>
    <row r="858" ht="15.75" customHeight="1">
      <c r="A858" s="59"/>
      <c r="B858" s="59"/>
      <c r="C858" s="59"/>
      <c r="D858" s="59"/>
      <c r="E858" s="63"/>
      <c r="F858" s="64"/>
      <c r="G858" s="64"/>
      <c r="H858" s="64"/>
      <c r="I858" s="70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70"/>
      <c r="AA858" s="59"/>
      <c r="AB858" s="59"/>
      <c r="AC858" s="59"/>
      <c r="AD858" s="59"/>
      <c r="AE858" s="59"/>
      <c r="AF858" s="59"/>
    </row>
    <row r="859" ht="15.75" customHeight="1">
      <c r="A859" s="59"/>
      <c r="B859" s="59"/>
      <c r="C859" s="59"/>
      <c r="D859" s="59"/>
      <c r="E859" s="63"/>
      <c r="F859" s="64"/>
      <c r="G859" s="64"/>
      <c r="H859" s="64"/>
      <c r="I859" s="70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70"/>
      <c r="AA859" s="59"/>
      <c r="AB859" s="59"/>
      <c r="AC859" s="59"/>
      <c r="AD859" s="59"/>
      <c r="AE859" s="59"/>
      <c r="AF859" s="59"/>
    </row>
    <row r="860" ht="15.75" customHeight="1">
      <c r="A860" s="59"/>
      <c r="B860" s="59"/>
      <c r="C860" s="59"/>
      <c r="D860" s="59"/>
      <c r="E860" s="63"/>
      <c r="F860" s="64"/>
      <c r="G860" s="64"/>
      <c r="H860" s="64"/>
      <c r="I860" s="70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70"/>
      <c r="AA860" s="59"/>
      <c r="AB860" s="59"/>
      <c r="AC860" s="59"/>
      <c r="AD860" s="59"/>
      <c r="AE860" s="59"/>
      <c r="AF860" s="59"/>
    </row>
    <row r="861" ht="15.75" customHeight="1">
      <c r="A861" s="59"/>
      <c r="B861" s="59"/>
      <c r="C861" s="59"/>
      <c r="D861" s="59"/>
      <c r="E861" s="63"/>
      <c r="F861" s="64"/>
      <c r="G861" s="64"/>
      <c r="H861" s="64"/>
      <c r="I861" s="70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70"/>
      <c r="AA861" s="59"/>
      <c r="AB861" s="59"/>
      <c r="AC861" s="59"/>
      <c r="AD861" s="59"/>
      <c r="AE861" s="59"/>
      <c r="AF861" s="59"/>
    </row>
    <row r="862" ht="15.75" customHeight="1">
      <c r="A862" s="59"/>
      <c r="B862" s="59"/>
      <c r="C862" s="59"/>
      <c r="D862" s="59"/>
      <c r="E862" s="63"/>
      <c r="F862" s="64"/>
      <c r="G862" s="64"/>
      <c r="H862" s="64"/>
      <c r="I862" s="70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70"/>
      <c r="AA862" s="59"/>
      <c r="AB862" s="59"/>
      <c r="AC862" s="59"/>
      <c r="AD862" s="59"/>
      <c r="AE862" s="59"/>
      <c r="AF862" s="59"/>
    </row>
    <row r="863" ht="15.75" customHeight="1">
      <c r="A863" s="59"/>
      <c r="B863" s="59"/>
      <c r="C863" s="59"/>
      <c r="D863" s="59"/>
      <c r="E863" s="63"/>
      <c r="F863" s="64"/>
      <c r="G863" s="64"/>
      <c r="H863" s="64"/>
      <c r="I863" s="70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70"/>
      <c r="AA863" s="59"/>
      <c r="AB863" s="59"/>
      <c r="AC863" s="59"/>
      <c r="AD863" s="59"/>
      <c r="AE863" s="59"/>
      <c r="AF863" s="59"/>
    </row>
    <row r="864" ht="15.75" customHeight="1">
      <c r="A864" s="59"/>
      <c r="B864" s="59"/>
      <c r="C864" s="59"/>
      <c r="D864" s="59"/>
      <c r="E864" s="63"/>
      <c r="F864" s="64"/>
      <c r="G864" s="64"/>
      <c r="H864" s="64"/>
      <c r="I864" s="70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70"/>
      <c r="AA864" s="59"/>
      <c r="AB864" s="59"/>
      <c r="AC864" s="59"/>
      <c r="AD864" s="59"/>
      <c r="AE864" s="59"/>
      <c r="AF864" s="59"/>
    </row>
    <row r="865" ht="15.75" customHeight="1">
      <c r="A865" s="59"/>
      <c r="B865" s="59"/>
      <c r="C865" s="59"/>
      <c r="D865" s="59"/>
      <c r="E865" s="63"/>
      <c r="F865" s="64"/>
      <c r="G865" s="64"/>
      <c r="H865" s="64"/>
      <c r="I865" s="70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70"/>
      <c r="AA865" s="59"/>
      <c r="AB865" s="59"/>
      <c r="AC865" s="59"/>
      <c r="AD865" s="59"/>
      <c r="AE865" s="59"/>
      <c r="AF865" s="59"/>
    </row>
    <row r="866" ht="15.75" customHeight="1">
      <c r="A866" s="59"/>
      <c r="B866" s="59"/>
      <c r="C866" s="59"/>
      <c r="D866" s="59"/>
      <c r="E866" s="63"/>
      <c r="F866" s="64"/>
      <c r="G866" s="64"/>
      <c r="H866" s="64"/>
      <c r="I866" s="70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70"/>
      <c r="AA866" s="59"/>
      <c r="AB866" s="59"/>
      <c r="AC866" s="59"/>
      <c r="AD866" s="59"/>
      <c r="AE866" s="59"/>
      <c r="AF866" s="59"/>
    </row>
    <row r="867" ht="15.75" customHeight="1">
      <c r="A867" s="59"/>
      <c r="B867" s="59"/>
      <c r="C867" s="59"/>
      <c r="D867" s="59"/>
      <c r="E867" s="63"/>
      <c r="F867" s="64"/>
      <c r="G867" s="64"/>
      <c r="H867" s="64"/>
      <c r="I867" s="70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70"/>
      <c r="AA867" s="59"/>
      <c r="AB867" s="59"/>
      <c r="AC867" s="59"/>
      <c r="AD867" s="59"/>
      <c r="AE867" s="59"/>
      <c r="AF867" s="59"/>
    </row>
    <row r="868" ht="15.75" customHeight="1">
      <c r="A868" s="59"/>
      <c r="B868" s="59"/>
      <c r="C868" s="59"/>
      <c r="D868" s="59"/>
      <c r="E868" s="63"/>
      <c r="F868" s="64"/>
      <c r="G868" s="64"/>
      <c r="H868" s="64"/>
      <c r="I868" s="70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70"/>
      <c r="AA868" s="59"/>
      <c r="AB868" s="59"/>
      <c r="AC868" s="59"/>
      <c r="AD868" s="59"/>
      <c r="AE868" s="59"/>
      <c r="AF868" s="59"/>
    </row>
    <row r="869" ht="15.75" customHeight="1">
      <c r="A869" s="59"/>
      <c r="B869" s="59"/>
      <c r="C869" s="59"/>
      <c r="D869" s="59"/>
      <c r="E869" s="63"/>
      <c r="F869" s="64"/>
      <c r="G869" s="64"/>
      <c r="H869" s="64"/>
      <c r="I869" s="70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70"/>
      <c r="AA869" s="59"/>
      <c r="AB869" s="59"/>
      <c r="AC869" s="59"/>
      <c r="AD869" s="59"/>
      <c r="AE869" s="59"/>
      <c r="AF869" s="59"/>
    </row>
    <row r="870" ht="15.75" customHeight="1">
      <c r="A870" s="59"/>
      <c r="B870" s="59"/>
      <c r="C870" s="59"/>
      <c r="D870" s="59"/>
      <c r="E870" s="63"/>
      <c r="F870" s="64"/>
      <c r="G870" s="64"/>
      <c r="H870" s="64"/>
      <c r="I870" s="70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70"/>
      <c r="AA870" s="59"/>
      <c r="AB870" s="59"/>
      <c r="AC870" s="59"/>
      <c r="AD870" s="59"/>
      <c r="AE870" s="59"/>
      <c r="AF870" s="59"/>
    </row>
    <row r="871" ht="15.75" customHeight="1">
      <c r="A871" s="59"/>
      <c r="B871" s="59"/>
      <c r="C871" s="59"/>
      <c r="D871" s="59"/>
      <c r="E871" s="63"/>
      <c r="F871" s="64"/>
      <c r="G871" s="64"/>
      <c r="H871" s="64"/>
      <c r="I871" s="70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70"/>
      <c r="AA871" s="59"/>
      <c r="AB871" s="59"/>
      <c r="AC871" s="59"/>
      <c r="AD871" s="59"/>
      <c r="AE871" s="59"/>
      <c r="AF871" s="59"/>
    </row>
    <row r="872" ht="15.75" customHeight="1">
      <c r="A872" s="59"/>
      <c r="B872" s="59"/>
      <c r="C872" s="59"/>
      <c r="D872" s="59"/>
      <c r="E872" s="63"/>
      <c r="F872" s="64"/>
      <c r="G872" s="64"/>
      <c r="H872" s="64"/>
      <c r="I872" s="70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70"/>
      <c r="AA872" s="59"/>
      <c r="AB872" s="59"/>
      <c r="AC872" s="59"/>
      <c r="AD872" s="59"/>
      <c r="AE872" s="59"/>
      <c r="AF872" s="59"/>
    </row>
    <row r="873" ht="15.75" customHeight="1">
      <c r="A873" s="59"/>
      <c r="B873" s="59"/>
      <c r="C873" s="59"/>
      <c r="D873" s="59"/>
      <c r="E873" s="63"/>
      <c r="F873" s="64"/>
      <c r="G873" s="64"/>
      <c r="H873" s="64"/>
      <c r="I873" s="70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70"/>
      <c r="AA873" s="59"/>
      <c r="AB873" s="59"/>
      <c r="AC873" s="59"/>
      <c r="AD873" s="59"/>
      <c r="AE873" s="59"/>
      <c r="AF873" s="59"/>
    </row>
    <row r="874" ht="15.75" customHeight="1">
      <c r="A874" s="59"/>
      <c r="B874" s="59"/>
      <c r="C874" s="59"/>
      <c r="D874" s="59"/>
      <c r="E874" s="63"/>
      <c r="F874" s="64"/>
      <c r="G874" s="64"/>
      <c r="H874" s="64"/>
      <c r="I874" s="70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70"/>
      <c r="AA874" s="59"/>
      <c r="AB874" s="59"/>
      <c r="AC874" s="59"/>
      <c r="AD874" s="59"/>
      <c r="AE874" s="59"/>
      <c r="AF874" s="59"/>
    </row>
    <row r="875" ht="15.75" customHeight="1">
      <c r="A875" s="59"/>
      <c r="B875" s="59"/>
      <c r="C875" s="59"/>
      <c r="D875" s="59"/>
      <c r="E875" s="63"/>
      <c r="F875" s="64"/>
      <c r="G875" s="64"/>
      <c r="H875" s="64"/>
      <c r="I875" s="70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70"/>
      <c r="AA875" s="59"/>
      <c r="AB875" s="59"/>
      <c r="AC875" s="59"/>
      <c r="AD875" s="59"/>
      <c r="AE875" s="59"/>
      <c r="AF875" s="59"/>
    </row>
    <row r="876" ht="15.75" customHeight="1">
      <c r="A876" s="59"/>
      <c r="B876" s="59"/>
      <c r="C876" s="59"/>
      <c r="D876" s="59"/>
      <c r="E876" s="63"/>
      <c r="F876" s="64"/>
      <c r="G876" s="64"/>
      <c r="H876" s="64"/>
      <c r="I876" s="70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70"/>
      <c r="AA876" s="59"/>
      <c r="AB876" s="59"/>
      <c r="AC876" s="59"/>
      <c r="AD876" s="59"/>
      <c r="AE876" s="59"/>
      <c r="AF876" s="59"/>
    </row>
    <row r="877" ht="15.75" customHeight="1">
      <c r="A877" s="59"/>
      <c r="B877" s="59"/>
      <c r="C877" s="59"/>
      <c r="D877" s="59"/>
      <c r="E877" s="63"/>
      <c r="F877" s="64"/>
      <c r="G877" s="64"/>
      <c r="H877" s="64"/>
      <c r="I877" s="70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70"/>
      <c r="AA877" s="59"/>
      <c r="AB877" s="59"/>
      <c r="AC877" s="59"/>
      <c r="AD877" s="59"/>
      <c r="AE877" s="59"/>
      <c r="AF877" s="59"/>
    </row>
    <row r="878" ht="15.75" customHeight="1">
      <c r="A878" s="59"/>
      <c r="B878" s="59"/>
      <c r="C878" s="59"/>
      <c r="D878" s="59"/>
      <c r="E878" s="63"/>
      <c r="F878" s="64"/>
      <c r="G878" s="64"/>
      <c r="H878" s="64"/>
      <c r="I878" s="70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70"/>
      <c r="AA878" s="59"/>
      <c r="AB878" s="59"/>
      <c r="AC878" s="59"/>
      <c r="AD878" s="59"/>
      <c r="AE878" s="59"/>
      <c r="AF878" s="59"/>
    </row>
    <row r="879" ht="15.75" customHeight="1">
      <c r="A879" s="59"/>
      <c r="B879" s="59"/>
      <c r="C879" s="59"/>
      <c r="D879" s="59"/>
      <c r="E879" s="63"/>
      <c r="F879" s="64"/>
      <c r="G879" s="64"/>
      <c r="H879" s="64"/>
      <c r="I879" s="70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70"/>
      <c r="AA879" s="59"/>
      <c r="AB879" s="59"/>
      <c r="AC879" s="59"/>
      <c r="AD879" s="59"/>
      <c r="AE879" s="59"/>
      <c r="AF879" s="59"/>
    </row>
    <row r="880" ht="15.75" customHeight="1">
      <c r="A880" s="59"/>
      <c r="B880" s="59"/>
      <c r="C880" s="59"/>
      <c r="D880" s="59"/>
      <c r="E880" s="63"/>
      <c r="F880" s="64"/>
      <c r="G880" s="64"/>
      <c r="H880" s="64"/>
      <c r="I880" s="70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70"/>
      <c r="AA880" s="59"/>
      <c r="AB880" s="59"/>
      <c r="AC880" s="59"/>
      <c r="AD880" s="59"/>
      <c r="AE880" s="59"/>
      <c r="AF880" s="59"/>
    </row>
    <row r="881" ht="15.75" customHeight="1">
      <c r="A881" s="59"/>
      <c r="B881" s="59"/>
      <c r="C881" s="59"/>
      <c r="D881" s="59"/>
      <c r="E881" s="63"/>
      <c r="F881" s="64"/>
      <c r="G881" s="64"/>
      <c r="H881" s="64"/>
      <c r="I881" s="70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70"/>
      <c r="AA881" s="59"/>
      <c r="AB881" s="59"/>
      <c r="AC881" s="59"/>
      <c r="AD881" s="59"/>
      <c r="AE881" s="59"/>
      <c r="AF881" s="59"/>
    </row>
    <row r="882" ht="15.75" customHeight="1">
      <c r="A882" s="59"/>
      <c r="B882" s="59"/>
      <c r="C882" s="59"/>
      <c r="D882" s="59"/>
      <c r="E882" s="63"/>
      <c r="F882" s="64"/>
      <c r="G882" s="64"/>
      <c r="H882" s="64"/>
      <c r="I882" s="70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70"/>
      <c r="AA882" s="59"/>
      <c r="AB882" s="59"/>
      <c r="AC882" s="59"/>
      <c r="AD882" s="59"/>
      <c r="AE882" s="59"/>
      <c r="AF882" s="59"/>
    </row>
    <row r="883" ht="15.75" customHeight="1">
      <c r="A883" s="59"/>
      <c r="B883" s="59"/>
      <c r="C883" s="59"/>
      <c r="D883" s="59"/>
      <c r="E883" s="63"/>
      <c r="F883" s="64"/>
      <c r="G883" s="64"/>
      <c r="H883" s="64"/>
      <c r="I883" s="70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70"/>
      <c r="AA883" s="59"/>
      <c r="AB883" s="59"/>
      <c r="AC883" s="59"/>
      <c r="AD883" s="59"/>
      <c r="AE883" s="59"/>
      <c r="AF883" s="59"/>
    </row>
    <row r="884" ht="15.75" customHeight="1">
      <c r="A884" s="59"/>
      <c r="B884" s="59"/>
      <c r="C884" s="59"/>
      <c r="D884" s="59"/>
      <c r="E884" s="63"/>
      <c r="F884" s="64"/>
      <c r="G884" s="64"/>
      <c r="H884" s="64"/>
      <c r="I884" s="70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70"/>
      <c r="AA884" s="59"/>
      <c r="AB884" s="59"/>
      <c r="AC884" s="59"/>
      <c r="AD884" s="59"/>
      <c r="AE884" s="59"/>
      <c r="AF884" s="59"/>
    </row>
    <row r="885" ht="15.75" customHeight="1">
      <c r="A885" s="59"/>
      <c r="B885" s="59"/>
      <c r="C885" s="59"/>
      <c r="D885" s="59"/>
      <c r="E885" s="63"/>
      <c r="F885" s="64"/>
      <c r="G885" s="64"/>
      <c r="H885" s="64"/>
      <c r="I885" s="70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70"/>
      <c r="AA885" s="59"/>
      <c r="AB885" s="59"/>
      <c r="AC885" s="59"/>
      <c r="AD885" s="59"/>
      <c r="AE885" s="59"/>
      <c r="AF885" s="59"/>
    </row>
    <row r="886" ht="15.75" customHeight="1">
      <c r="A886" s="59"/>
      <c r="B886" s="59"/>
      <c r="C886" s="59"/>
      <c r="D886" s="59"/>
      <c r="E886" s="63"/>
      <c r="F886" s="64"/>
      <c r="G886" s="64"/>
      <c r="H886" s="64"/>
      <c r="I886" s="70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70"/>
      <c r="AA886" s="59"/>
      <c r="AB886" s="59"/>
      <c r="AC886" s="59"/>
      <c r="AD886" s="59"/>
      <c r="AE886" s="59"/>
      <c r="AF886" s="59"/>
    </row>
    <row r="887" ht="15.75" customHeight="1">
      <c r="A887" s="59"/>
      <c r="B887" s="59"/>
      <c r="C887" s="59"/>
      <c r="D887" s="59"/>
      <c r="E887" s="63"/>
      <c r="F887" s="64"/>
      <c r="G887" s="64"/>
      <c r="H887" s="64"/>
      <c r="I887" s="70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70"/>
      <c r="AA887" s="59"/>
      <c r="AB887" s="59"/>
      <c r="AC887" s="59"/>
      <c r="AD887" s="59"/>
      <c r="AE887" s="59"/>
      <c r="AF887" s="59"/>
    </row>
    <row r="888" ht="15.75" customHeight="1">
      <c r="A888" s="59"/>
      <c r="B888" s="59"/>
      <c r="C888" s="59"/>
      <c r="D888" s="59"/>
      <c r="E888" s="63"/>
      <c r="F888" s="64"/>
      <c r="G888" s="64"/>
      <c r="H888" s="64"/>
      <c r="I888" s="70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70"/>
      <c r="AA888" s="59"/>
      <c r="AB888" s="59"/>
      <c r="AC888" s="59"/>
      <c r="AD888" s="59"/>
      <c r="AE888" s="59"/>
      <c r="AF888" s="59"/>
    </row>
    <row r="889" ht="15.75" customHeight="1">
      <c r="A889" s="59"/>
      <c r="B889" s="59"/>
      <c r="C889" s="59"/>
      <c r="D889" s="59"/>
      <c r="E889" s="63"/>
      <c r="F889" s="64"/>
      <c r="G889" s="64"/>
      <c r="H889" s="64"/>
      <c r="I889" s="70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70"/>
      <c r="AA889" s="59"/>
      <c r="AB889" s="59"/>
      <c r="AC889" s="59"/>
      <c r="AD889" s="59"/>
      <c r="AE889" s="59"/>
      <c r="AF889" s="59"/>
    </row>
    <row r="890" ht="15.75" customHeight="1">
      <c r="A890" s="59"/>
      <c r="B890" s="59"/>
      <c r="C890" s="59"/>
      <c r="D890" s="59"/>
      <c r="E890" s="63"/>
      <c r="F890" s="64"/>
      <c r="G890" s="64"/>
      <c r="H890" s="64"/>
      <c r="I890" s="70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70"/>
      <c r="AA890" s="59"/>
      <c r="AB890" s="59"/>
      <c r="AC890" s="59"/>
      <c r="AD890" s="59"/>
      <c r="AE890" s="59"/>
      <c r="AF890" s="59"/>
    </row>
    <row r="891" ht="15.75" customHeight="1">
      <c r="A891" s="59"/>
      <c r="B891" s="59"/>
      <c r="C891" s="59"/>
      <c r="D891" s="59"/>
      <c r="E891" s="63"/>
      <c r="F891" s="64"/>
      <c r="G891" s="64"/>
      <c r="H891" s="64"/>
      <c r="I891" s="70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70"/>
      <c r="AA891" s="59"/>
      <c r="AB891" s="59"/>
      <c r="AC891" s="59"/>
      <c r="AD891" s="59"/>
      <c r="AE891" s="59"/>
      <c r="AF891" s="59"/>
    </row>
    <row r="892" ht="15.75" customHeight="1">
      <c r="A892" s="59"/>
      <c r="B892" s="59"/>
      <c r="C892" s="59"/>
      <c r="D892" s="59"/>
      <c r="E892" s="63"/>
      <c r="F892" s="64"/>
      <c r="G892" s="64"/>
      <c r="H892" s="64"/>
      <c r="I892" s="70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70"/>
      <c r="AA892" s="59"/>
      <c r="AB892" s="59"/>
      <c r="AC892" s="59"/>
      <c r="AD892" s="59"/>
      <c r="AE892" s="59"/>
      <c r="AF892" s="59"/>
    </row>
    <row r="893" ht="15.75" customHeight="1">
      <c r="A893" s="59"/>
      <c r="B893" s="59"/>
      <c r="C893" s="59"/>
      <c r="D893" s="59"/>
      <c r="E893" s="63"/>
      <c r="F893" s="64"/>
      <c r="G893" s="64"/>
      <c r="H893" s="64"/>
      <c r="I893" s="70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70"/>
      <c r="AA893" s="59"/>
      <c r="AB893" s="59"/>
      <c r="AC893" s="59"/>
      <c r="AD893" s="59"/>
      <c r="AE893" s="59"/>
      <c r="AF893" s="59"/>
    </row>
    <row r="894" ht="15.75" customHeight="1">
      <c r="A894" s="59"/>
      <c r="B894" s="59"/>
      <c r="C894" s="59"/>
      <c r="D894" s="59"/>
      <c r="E894" s="63"/>
      <c r="F894" s="64"/>
      <c r="G894" s="64"/>
      <c r="H894" s="64"/>
      <c r="I894" s="70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70"/>
      <c r="AA894" s="59"/>
      <c r="AB894" s="59"/>
      <c r="AC894" s="59"/>
      <c r="AD894" s="59"/>
      <c r="AE894" s="59"/>
      <c r="AF894" s="59"/>
    </row>
    <row r="895" ht="15.75" customHeight="1">
      <c r="A895" s="59"/>
      <c r="B895" s="59"/>
      <c r="C895" s="59"/>
      <c r="D895" s="59"/>
      <c r="E895" s="63"/>
      <c r="F895" s="64"/>
      <c r="G895" s="64"/>
      <c r="H895" s="64"/>
      <c r="I895" s="70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70"/>
      <c r="AA895" s="59"/>
      <c r="AB895" s="59"/>
      <c r="AC895" s="59"/>
      <c r="AD895" s="59"/>
      <c r="AE895" s="59"/>
      <c r="AF895" s="59"/>
    </row>
    <row r="896" ht="15.75" customHeight="1">
      <c r="A896" s="59"/>
      <c r="B896" s="59"/>
      <c r="C896" s="59"/>
      <c r="D896" s="59"/>
      <c r="E896" s="63"/>
      <c r="F896" s="64"/>
      <c r="G896" s="64"/>
      <c r="H896" s="64"/>
      <c r="I896" s="70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70"/>
      <c r="AA896" s="59"/>
      <c r="AB896" s="59"/>
      <c r="AC896" s="59"/>
      <c r="AD896" s="59"/>
      <c r="AE896" s="59"/>
      <c r="AF896" s="59"/>
    </row>
    <row r="897" ht="15.75" customHeight="1">
      <c r="A897" s="59"/>
      <c r="B897" s="59"/>
      <c r="C897" s="59"/>
      <c r="D897" s="59"/>
      <c r="E897" s="63"/>
      <c r="F897" s="64"/>
      <c r="G897" s="64"/>
      <c r="H897" s="64"/>
      <c r="I897" s="70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70"/>
      <c r="AA897" s="59"/>
      <c r="AB897" s="59"/>
      <c r="AC897" s="59"/>
      <c r="AD897" s="59"/>
      <c r="AE897" s="59"/>
      <c r="AF897" s="59"/>
    </row>
    <row r="898" ht="15.75" customHeight="1">
      <c r="A898" s="59"/>
      <c r="B898" s="59"/>
      <c r="C898" s="59"/>
      <c r="D898" s="59"/>
      <c r="E898" s="63"/>
      <c r="F898" s="64"/>
      <c r="G898" s="64"/>
      <c r="H898" s="64"/>
      <c r="I898" s="70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70"/>
      <c r="AA898" s="59"/>
      <c r="AB898" s="59"/>
      <c r="AC898" s="59"/>
      <c r="AD898" s="59"/>
      <c r="AE898" s="59"/>
      <c r="AF898" s="59"/>
    </row>
    <row r="899" ht="15.75" customHeight="1">
      <c r="A899" s="59"/>
      <c r="B899" s="59"/>
      <c r="C899" s="59"/>
      <c r="D899" s="59"/>
      <c r="E899" s="63"/>
      <c r="F899" s="64"/>
      <c r="G899" s="64"/>
      <c r="H899" s="64"/>
      <c r="I899" s="70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70"/>
      <c r="AA899" s="59"/>
      <c r="AB899" s="59"/>
      <c r="AC899" s="59"/>
      <c r="AD899" s="59"/>
      <c r="AE899" s="59"/>
      <c r="AF899" s="59"/>
    </row>
    <row r="900" ht="15.75" customHeight="1">
      <c r="A900" s="59"/>
      <c r="B900" s="59"/>
      <c r="C900" s="59"/>
      <c r="D900" s="59"/>
      <c r="E900" s="63"/>
      <c r="F900" s="64"/>
      <c r="G900" s="64"/>
      <c r="H900" s="64"/>
      <c r="I900" s="70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70"/>
      <c r="AA900" s="59"/>
      <c r="AB900" s="59"/>
      <c r="AC900" s="59"/>
      <c r="AD900" s="59"/>
      <c r="AE900" s="59"/>
      <c r="AF900" s="59"/>
    </row>
    <row r="901" ht="15.75" customHeight="1">
      <c r="A901" s="59"/>
      <c r="B901" s="59"/>
      <c r="C901" s="59"/>
      <c r="D901" s="59"/>
      <c r="E901" s="63"/>
      <c r="F901" s="64"/>
      <c r="G901" s="64"/>
      <c r="H901" s="64"/>
      <c r="I901" s="70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70"/>
      <c r="AA901" s="59"/>
      <c r="AB901" s="59"/>
      <c r="AC901" s="59"/>
      <c r="AD901" s="59"/>
      <c r="AE901" s="59"/>
      <c r="AF901" s="59"/>
    </row>
    <row r="902" ht="15.75" customHeight="1">
      <c r="A902" s="59"/>
      <c r="B902" s="59"/>
      <c r="C902" s="59"/>
      <c r="D902" s="59"/>
      <c r="E902" s="63"/>
      <c r="F902" s="64"/>
      <c r="G902" s="64"/>
      <c r="H902" s="64"/>
      <c r="I902" s="70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70"/>
      <c r="AA902" s="59"/>
      <c r="AB902" s="59"/>
      <c r="AC902" s="59"/>
      <c r="AD902" s="59"/>
      <c r="AE902" s="59"/>
      <c r="AF902" s="59"/>
    </row>
    <row r="903" ht="15.75" customHeight="1">
      <c r="A903" s="59"/>
      <c r="B903" s="59"/>
      <c r="C903" s="59"/>
      <c r="D903" s="59"/>
      <c r="E903" s="63"/>
      <c r="F903" s="64"/>
      <c r="G903" s="64"/>
      <c r="H903" s="64"/>
      <c r="I903" s="70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70"/>
      <c r="AA903" s="59"/>
      <c r="AB903" s="59"/>
      <c r="AC903" s="59"/>
      <c r="AD903" s="59"/>
      <c r="AE903" s="59"/>
      <c r="AF903" s="59"/>
    </row>
    <row r="904" ht="15.75" customHeight="1">
      <c r="A904" s="59"/>
      <c r="B904" s="59"/>
      <c r="C904" s="59"/>
      <c r="D904" s="59"/>
      <c r="E904" s="63"/>
      <c r="F904" s="64"/>
      <c r="G904" s="64"/>
      <c r="H904" s="64"/>
      <c r="I904" s="70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70"/>
      <c r="AA904" s="59"/>
      <c r="AB904" s="59"/>
      <c r="AC904" s="59"/>
      <c r="AD904" s="59"/>
      <c r="AE904" s="59"/>
      <c r="AF904" s="59"/>
    </row>
    <row r="905" ht="15.75" customHeight="1">
      <c r="A905" s="59"/>
      <c r="B905" s="59"/>
      <c r="C905" s="59"/>
      <c r="D905" s="59"/>
      <c r="E905" s="63"/>
      <c r="F905" s="64"/>
      <c r="G905" s="64"/>
      <c r="H905" s="64"/>
      <c r="I905" s="70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70"/>
      <c r="AA905" s="59"/>
      <c r="AB905" s="59"/>
      <c r="AC905" s="59"/>
      <c r="AD905" s="59"/>
      <c r="AE905" s="59"/>
      <c r="AF905" s="59"/>
    </row>
    <row r="906" ht="15.75" customHeight="1">
      <c r="A906" s="59"/>
      <c r="B906" s="59"/>
      <c r="C906" s="59"/>
      <c r="D906" s="59"/>
      <c r="E906" s="63"/>
      <c r="F906" s="64"/>
      <c r="G906" s="64"/>
      <c r="H906" s="64"/>
      <c r="I906" s="70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70"/>
      <c r="AA906" s="59"/>
      <c r="AB906" s="59"/>
      <c r="AC906" s="59"/>
      <c r="AD906" s="59"/>
      <c r="AE906" s="59"/>
      <c r="AF906" s="59"/>
    </row>
    <row r="907" ht="15.75" customHeight="1">
      <c r="A907" s="59"/>
      <c r="B907" s="59"/>
      <c r="C907" s="59"/>
      <c r="D907" s="59"/>
      <c r="E907" s="63"/>
      <c r="F907" s="64"/>
      <c r="G907" s="64"/>
      <c r="H907" s="64"/>
      <c r="I907" s="70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70"/>
      <c r="AA907" s="59"/>
      <c r="AB907" s="59"/>
      <c r="AC907" s="59"/>
      <c r="AD907" s="59"/>
      <c r="AE907" s="59"/>
      <c r="AF907" s="59"/>
    </row>
    <row r="908" ht="15.75" customHeight="1">
      <c r="A908" s="59"/>
      <c r="B908" s="59"/>
      <c r="C908" s="59"/>
      <c r="D908" s="59"/>
      <c r="E908" s="63"/>
      <c r="F908" s="64"/>
      <c r="G908" s="64"/>
      <c r="H908" s="64"/>
      <c r="I908" s="70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70"/>
      <c r="AA908" s="59"/>
      <c r="AB908" s="59"/>
      <c r="AC908" s="59"/>
      <c r="AD908" s="59"/>
      <c r="AE908" s="59"/>
      <c r="AF908" s="59"/>
    </row>
    <row r="909" ht="15.75" customHeight="1">
      <c r="A909" s="59"/>
      <c r="B909" s="59"/>
      <c r="C909" s="59"/>
      <c r="D909" s="59"/>
      <c r="E909" s="63"/>
      <c r="F909" s="64"/>
      <c r="G909" s="64"/>
      <c r="H909" s="64"/>
      <c r="I909" s="70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70"/>
      <c r="AA909" s="59"/>
      <c r="AB909" s="59"/>
      <c r="AC909" s="59"/>
      <c r="AD909" s="59"/>
      <c r="AE909" s="59"/>
      <c r="AF909" s="59"/>
    </row>
    <row r="910" ht="15.75" customHeight="1">
      <c r="A910" s="59"/>
      <c r="B910" s="59"/>
      <c r="C910" s="59"/>
      <c r="D910" s="59"/>
      <c r="E910" s="63"/>
      <c r="F910" s="64"/>
      <c r="G910" s="64"/>
      <c r="H910" s="64"/>
      <c r="I910" s="70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70"/>
      <c r="AA910" s="59"/>
      <c r="AB910" s="59"/>
      <c r="AC910" s="59"/>
      <c r="AD910" s="59"/>
      <c r="AE910" s="59"/>
      <c r="AF910" s="59"/>
    </row>
    <row r="911" ht="15.75" customHeight="1">
      <c r="A911" s="59"/>
      <c r="B911" s="59"/>
      <c r="C911" s="59"/>
      <c r="D911" s="59"/>
      <c r="E911" s="63"/>
      <c r="F911" s="64"/>
      <c r="G911" s="64"/>
      <c r="H911" s="64"/>
      <c r="I911" s="70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70"/>
      <c r="AA911" s="59"/>
      <c r="AB911" s="59"/>
      <c r="AC911" s="59"/>
      <c r="AD911" s="59"/>
      <c r="AE911" s="59"/>
      <c r="AF911" s="59"/>
    </row>
    <row r="912" ht="15.75" customHeight="1">
      <c r="A912" s="59"/>
      <c r="B912" s="59"/>
      <c r="C912" s="59"/>
      <c r="D912" s="59"/>
      <c r="E912" s="63"/>
      <c r="F912" s="64"/>
      <c r="G912" s="64"/>
      <c r="H912" s="64"/>
      <c r="I912" s="70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70"/>
      <c r="AA912" s="59"/>
      <c r="AB912" s="59"/>
      <c r="AC912" s="59"/>
      <c r="AD912" s="59"/>
      <c r="AE912" s="59"/>
      <c r="AF912" s="59"/>
    </row>
    <row r="913" ht="15.75" customHeight="1">
      <c r="A913" s="59"/>
      <c r="B913" s="59"/>
      <c r="C913" s="59"/>
      <c r="D913" s="59"/>
      <c r="E913" s="63"/>
      <c r="F913" s="64"/>
      <c r="G913" s="64"/>
      <c r="H913" s="64"/>
      <c r="I913" s="70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70"/>
      <c r="AA913" s="59"/>
      <c r="AB913" s="59"/>
      <c r="AC913" s="59"/>
      <c r="AD913" s="59"/>
      <c r="AE913" s="59"/>
      <c r="AF913" s="59"/>
    </row>
    <row r="914" ht="15.75" customHeight="1">
      <c r="A914" s="59"/>
      <c r="B914" s="59"/>
      <c r="C914" s="59"/>
      <c r="D914" s="59"/>
      <c r="E914" s="63"/>
      <c r="F914" s="64"/>
      <c r="G914" s="64"/>
      <c r="H914" s="64"/>
      <c r="I914" s="70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70"/>
      <c r="AA914" s="59"/>
      <c r="AB914" s="59"/>
      <c r="AC914" s="59"/>
      <c r="AD914" s="59"/>
      <c r="AE914" s="59"/>
      <c r="AF914" s="59"/>
    </row>
    <row r="915" ht="15.75" customHeight="1">
      <c r="A915" s="59"/>
      <c r="B915" s="59"/>
      <c r="C915" s="59"/>
      <c r="D915" s="59"/>
      <c r="E915" s="63"/>
      <c r="F915" s="64"/>
      <c r="G915" s="64"/>
      <c r="H915" s="64"/>
      <c r="I915" s="70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70"/>
      <c r="AA915" s="59"/>
      <c r="AB915" s="59"/>
      <c r="AC915" s="59"/>
      <c r="AD915" s="59"/>
      <c r="AE915" s="59"/>
      <c r="AF915" s="59"/>
    </row>
    <row r="916" ht="15.75" customHeight="1">
      <c r="A916" s="59"/>
      <c r="B916" s="59"/>
      <c r="C916" s="59"/>
      <c r="D916" s="59"/>
      <c r="E916" s="63"/>
      <c r="F916" s="64"/>
      <c r="G916" s="64"/>
      <c r="H916" s="64"/>
      <c r="I916" s="70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70"/>
      <c r="AA916" s="59"/>
      <c r="AB916" s="59"/>
      <c r="AC916" s="59"/>
      <c r="AD916" s="59"/>
      <c r="AE916" s="59"/>
      <c r="AF916" s="59"/>
    </row>
    <row r="917" ht="15.75" customHeight="1">
      <c r="A917" s="59"/>
      <c r="B917" s="59"/>
      <c r="C917" s="59"/>
      <c r="D917" s="59"/>
      <c r="E917" s="63"/>
      <c r="F917" s="64"/>
      <c r="G917" s="64"/>
      <c r="H917" s="64"/>
      <c r="I917" s="70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70"/>
      <c r="AA917" s="59"/>
      <c r="AB917" s="59"/>
      <c r="AC917" s="59"/>
      <c r="AD917" s="59"/>
      <c r="AE917" s="59"/>
      <c r="AF917" s="59"/>
    </row>
    <row r="918" ht="15.75" customHeight="1">
      <c r="A918" s="59"/>
      <c r="B918" s="59"/>
      <c r="C918" s="59"/>
      <c r="D918" s="59"/>
      <c r="E918" s="63"/>
      <c r="F918" s="64"/>
      <c r="G918" s="64"/>
      <c r="H918" s="64"/>
      <c r="I918" s="70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70"/>
      <c r="AA918" s="59"/>
      <c r="AB918" s="59"/>
      <c r="AC918" s="59"/>
      <c r="AD918" s="59"/>
      <c r="AE918" s="59"/>
      <c r="AF918" s="59"/>
    </row>
    <row r="919" ht="15.75" customHeight="1">
      <c r="A919" s="59"/>
      <c r="B919" s="59"/>
      <c r="C919" s="59"/>
      <c r="D919" s="59"/>
      <c r="E919" s="63"/>
      <c r="F919" s="64"/>
      <c r="G919" s="64"/>
      <c r="H919" s="64"/>
      <c r="I919" s="70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70"/>
      <c r="AA919" s="59"/>
      <c r="AB919" s="59"/>
      <c r="AC919" s="59"/>
      <c r="AD919" s="59"/>
      <c r="AE919" s="59"/>
      <c r="AF919" s="59"/>
    </row>
    <row r="920" ht="15.75" customHeight="1">
      <c r="A920" s="59"/>
      <c r="B920" s="59"/>
      <c r="C920" s="59"/>
      <c r="D920" s="59"/>
      <c r="E920" s="63"/>
      <c r="F920" s="64"/>
      <c r="G920" s="64"/>
      <c r="H920" s="64"/>
      <c r="I920" s="70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70"/>
      <c r="AA920" s="59"/>
      <c r="AB920" s="59"/>
      <c r="AC920" s="59"/>
      <c r="AD920" s="59"/>
      <c r="AE920" s="59"/>
      <c r="AF920" s="59"/>
    </row>
    <row r="921" ht="15.75" customHeight="1">
      <c r="A921" s="59"/>
      <c r="B921" s="59"/>
      <c r="C921" s="59"/>
      <c r="D921" s="59"/>
      <c r="E921" s="63"/>
      <c r="F921" s="64"/>
      <c r="G921" s="64"/>
      <c r="H921" s="64"/>
      <c r="I921" s="70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70"/>
      <c r="AA921" s="59"/>
      <c r="AB921" s="59"/>
      <c r="AC921" s="59"/>
      <c r="AD921" s="59"/>
      <c r="AE921" s="59"/>
      <c r="AF921" s="59"/>
    </row>
    <row r="922" ht="15.75" customHeight="1">
      <c r="A922" s="59"/>
      <c r="B922" s="59"/>
      <c r="C922" s="59"/>
      <c r="D922" s="59"/>
      <c r="E922" s="63"/>
      <c r="F922" s="64"/>
      <c r="G922" s="64"/>
      <c r="H922" s="64"/>
      <c r="I922" s="70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70"/>
      <c r="AA922" s="59"/>
      <c r="AB922" s="59"/>
      <c r="AC922" s="59"/>
      <c r="AD922" s="59"/>
      <c r="AE922" s="59"/>
      <c r="AF922" s="59"/>
    </row>
    <row r="923" ht="15.75" customHeight="1">
      <c r="A923" s="59"/>
      <c r="B923" s="59"/>
      <c r="C923" s="59"/>
      <c r="D923" s="59"/>
      <c r="E923" s="63"/>
      <c r="F923" s="64"/>
      <c r="G923" s="64"/>
      <c r="H923" s="64"/>
      <c r="I923" s="70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70"/>
      <c r="AA923" s="59"/>
      <c r="AB923" s="59"/>
      <c r="AC923" s="59"/>
      <c r="AD923" s="59"/>
      <c r="AE923" s="59"/>
      <c r="AF923" s="59"/>
    </row>
    <row r="924" ht="15.75" customHeight="1">
      <c r="A924" s="59"/>
      <c r="B924" s="59"/>
      <c r="C924" s="59"/>
      <c r="D924" s="59"/>
      <c r="E924" s="63"/>
      <c r="F924" s="64"/>
      <c r="G924" s="64"/>
      <c r="H924" s="64"/>
      <c r="I924" s="70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70"/>
      <c r="AA924" s="59"/>
      <c r="AB924" s="59"/>
      <c r="AC924" s="59"/>
      <c r="AD924" s="59"/>
      <c r="AE924" s="59"/>
      <c r="AF924" s="59"/>
    </row>
    <row r="925" ht="15.75" customHeight="1">
      <c r="A925" s="59"/>
      <c r="B925" s="59"/>
      <c r="C925" s="59"/>
      <c r="D925" s="59"/>
      <c r="E925" s="63"/>
      <c r="F925" s="64"/>
      <c r="G925" s="64"/>
      <c r="H925" s="64"/>
      <c r="I925" s="70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70"/>
      <c r="AA925" s="59"/>
      <c r="AB925" s="59"/>
      <c r="AC925" s="59"/>
      <c r="AD925" s="59"/>
      <c r="AE925" s="59"/>
      <c r="AF925" s="59"/>
    </row>
    <row r="926" ht="15.75" customHeight="1">
      <c r="A926" s="59"/>
      <c r="B926" s="59"/>
      <c r="C926" s="59"/>
      <c r="D926" s="59"/>
      <c r="E926" s="63"/>
      <c r="F926" s="64"/>
      <c r="G926" s="64"/>
      <c r="H926" s="64"/>
      <c r="I926" s="70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70"/>
      <c r="AA926" s="59"/>
      <c r="AB926" s="59"/>
      <c r="AC926" s="59"/>
      <c r="AD926" s="59"/>
      <c r="AE926" s="59"/>
      <c r="AF926" s="59"/>
    </row>
    <row r="927" ht="15.75" customHeight="1">
      <c r="A927" s="59"/>
      <c r="B927" s="59"/>
      <c r="C927" s="59"/>
      <c r="D927" s="59"/>
      <c r="E927" s="63"/>
      <c r="F927" s="64"/>
      <c r="G927" s="64"/>
      <c r="H927" s="64"/>
      <c r="I927" s="70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70"/>
      <c r="AA927" s="59"/>
      <c r="AB927" s="59"/>
      <c r="AC927" s="59"/>
      <c r="AD927" s="59"/>
      <c r="AE927" s="59"/>
      <c r="AF927" s="59"/>
    </row>
    <row r="928" ht="15.75" customHeight="1">
      <c r="A928" s="59"/>
      <c r="B928" s="59"/>
      <c r="C928" s="59"/>
      <c r="D928" s="59"/>
      <c r="E928" s="63"/>
      <c r="F928" s="64"/>
      <c r="G928" s="64"/>
      <c r="H928" s="64"/>
      <c r="I928" s="70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70"/>
      <c r="AA928" s="59"/>
      <c r="AB928" s="59"/>
      <c r="AC928" s="59"/>
      <c r="AD928" s="59"/>
      <c r="AE928" s="59"/>
      <c r="AF928" s="59"/>
    </row>
    <row r="929" ht="15.75" customHeight="1">
      <c r="A929" s="59"/>
      <c r="B929" s="59"/>
      <c r="C929" s="59"/>
      <c r="D929" s="59"/>
      <c r="E929" s="63"/>
      <c r="F929" s="64"/>
      <c r="G929" s="64"/>
      <c r="H929" s="64"/>
      <c r="I929" s="70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70"/>
      <c r="AA929" s="59"/>
      <c r="AB929" s="59"/>
      <c r="AC929" s="59"/>
      <c r="AD929" s="59"/>
      <c r="AE929" s="59"/>
      <c r="AF929" s="59"/>
    </row>
    <row r="930" ht="15.75" customHeight="1">
      <c r="A930" s="59"/>
      <c r="B930" s="59"/>
      <c r="C930" s="59"/>
      <c r="D930" s="59"/>
      <c r="E930" s="63"/>
      <c r="F930" s="64"/>
      <c r="G930" s="64"/>
      <c r="H930" s="64"/>
      <c r="I930" s="70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70"/>
      <c r="AA930" s="59"/>
      <c r="AB930" s="59"/>
      <c r="AC930" s="59"/>
      <c r="AD930" s="59"/>
      <c r="AE930" s="59"/>
      <c r="AF930" s="59"/>
    </row>
    <row r="931" ht="15.75" customHeight="1">
      <c r="A931" s="59"/>
      <c r="B931" s="59"/>
      <c r="C931" s="59"/>
      <c r="D931" s="59"/>
      <c r="E931" s="63"/>
      <c r="F931" s="64"/>
      <c r="G931" s="64"/>
      <c r="H931" s="64"/>
      <c r="I931" s="70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70"/>
      <c r="AA931" s="59"/>
      <c r="AB931" s="59"/>
      <c r="AC931" s="59"/>
      <c r="AD931" s="59"/>
      <c r="AE931" s="59"/>
      <c r="AF931" s="59"/>
    </row>
    <row r="932" ht="15.75" customHeight="1">
      <c r="A932" s="59"/>
      <c r="B932" s="59"/>
      <c r="C932" s="59"/>
      <c r="D932" s="59"/>
      <c r="E932" s="63"/>
      <c r="F932" s="64"/>
      <c r="G932" s="64"/>
      <c r="H932" s="64"/>
      <c r="I932" s="70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70"/>
      <c r="AA932" s="59"/>
      <c r="AB932" s="59"/>
      <c r="AC932" s="59"/>
      <c r="AD932" s="59"/>
      <c r="AE932" s="59"/>
      <c r="AF932" s="59"/>
    </row>
    <row r="933" ht="15.75" customHeight="1">
      <c r="A933" s="59"/>
      <c r="B933" s="59"/>
      <c r="C933" s="59"/>
      <c r="D933" s="59"/>
      <c r="E933" s="63"/>
      <c r="F933" s="64"/>
      <c r="G933" s="64"/>
      <c r="H933" s="64"/>
      <c r="I933" s="70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70"/>
      <c r="AA933" s="59"/>
      <c r="AB933" s="59"/>
      <c r="AC933" s="59"/>
      <c r="AD933" s="59"/>
      <c r="AE933" s="59"/>
      <c r="AF933" s="59"/>
    </row>
    <row r="934" ht="15.75" customHeight="1">
      <c r="A934" s="59"/>
      <c r="B934" s="59"/>
      <c r="C934" s="59"/>
      <c r="D934" s="59"/>
      <c r="E934" s="63"/>
      <c r="F934" s="64"/>
      <c r="G934" s="64"/>
      <c r="H934" s="64"/>
      <c r="I934" s="70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70"/>
      <c r="AA934" s="59"/>
      <c r="AB934" s="59"/>
      <c r="AC934" s="59"/>
      <c r="AD934" s="59"/>
      <c r="AE934" s="59"/>
      <c r="AF934" s="59"/>
    </row>
    <row r="935" ht="15.75" customHeight="1">
      <c r="A935" s="59"/>
      <c r="B935" s="59"/>
      <c r="C935" s="59"/>
      <c r="D935" s="59"/>
      <c r="E935" s="63"/>
      <c r="F935" s="64"/>
      <c r="G935" s="64"/>
      <c r="H935" s="64"/>
      <c r="I935" s="70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70"/>
      <c r="AA935" s="59"/>
      <c r="AB935" s="59"/>
      <c r="AC935" s="59"/>
      <c r="AD935" s="59"/>
      <c r="AE935" s="59"/>
      <c r="AF935" s="59"/>
    </row>
    <row r="936" ht="15.75" customHeight="1">
      <c r="A936" s="59"/>
      <c r="B936" s="59"/>
      <c r="C936" s="59"/>
      <c r="D936" s="59"/>
      <c r="E936" s="63"/>
      <c r="F936" s="64"/>
      <c r="G936" s="64"/>
      <c r="H936" s="64"/>
      <c r="I936" s="70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70"/>
      <c r="AA936" s="59"/>
      <c r="AB936" s="59"/>
      <c r="AC936" s="59"/>
      <c r="AD936" s="59"/>
      <c r="AE936" s="59"/>
      <c r="AF936" s="59"/>
    </row>
    <row r="937" ht="15.75" customHeight="1">
      <c r="A937" s="59"/>
      <c r="B937" s="59"/>
      <c r="C937" s="59"/>
      <c r="D937" s="59"/>
      <c r="E937" s="63"/>
      <c r="F937" s="64"/>
      <c r="G937" s="64"/>
      <c r="H937" s="64"/>
      <c r="I937" s="70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70"/>
      <c r="AA937" s="59"/>
      <c r="AB937" s="59"/>
      <c r="AC937" s="59"/>
      <c r="AD937" s="59"/>
      <c r="AE937" s="59"/>
      <c r="AF937" s="59"/>
    </row>
    <row r="938" ht="15.75" customHeight="1">
      <c r="A938" s="59"/>
      <c r="B938" s="59"/>
      <c r="C938" s="59"/>
      <c r="D938" s="59"/>
      <c r="E938" s="63"/>
      <c r="F938" s="64"/>
      <c r="G938" s="64"/>
      <c r="H938" s="64"/>
      <c r="I938" s="70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70"/>
      <c r="AA938" s="59"/>
      <c r="AB938" s="59"/>
      <c r="AC938" s="59"/>
      <c r="AD938" s="59"/>
      <c r="AE938" s="59"/>
      <c r="AF938" s="59"/>
    </row>
    <row r="939" ht="15.75" customHeight="1">
      <c r="A939" s="59"/>
      <c r="B939" s="59"/>
      <c r="C939" s="59"/>
      <c r="D939" s="59"/>
      <c r="E939" s="63"/>
      <c r="F939" s="64"/>
      <c r="G939" s="64"/>
      <c r="H939" s="64"/>
      <c r="I939" s="70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70"/>
      <c r="AA939" s="59"/>
      <c r="AB939" s="59"/>
      <c r="AC939" s="59"/>
      <c r="AD939" s="59"/>
      <c r="AE939" s="59"/>
      <c r="AF939" s="59"/>
    </row>
    <row r="940" ht="15.75" customHeight="1">
      <c r="A940" s="59"/>
      <c r="B940" s="59"/>
      <c r="C940" s="59"/>
      <c r="D940" s="59"/>
      <c r="E940" s="63"/>
      <c r="F940" s="64"/>
      <c r="G940" s="64"/>
      <c r="H940" s="64"/>
      <c r="I940" s="70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70"/>
      <c r="AA940" s="59"/>
      <c r="AB940" s="59"/>
      <c r="AC940" s="59"/>
      <c r="AD940" s="59"/>
      <c r="AE940" s="59"/>
      <c r="AF940" s="59"/>
    </row>
    <row r="941" ht="15.75" customHeight="1">
      <c r="A941" s="59"/>
      <c r="B941" s="59"/>
      <c r="C941" s="59"/>
      <c r="D941" s="59"/>
      <c r="E941" s="63"/>
      <c r="F941" s="64"/>
      <c r="G941" s="64"/>
      <c r="H941" s="64"/>
      <c r="I941" s="70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70"/>
      <c r="AA941" s="59"/>
      <c r="AB941" s="59"/>
      <c r="AC941" s="59"/>
      <c r="AD941" s="59"/>
      <c r="AE941" s="59"/>
      <c r="AF941" s="59"/>
    </row>
    <row r="942" ht="15.75" customHeight="1">
      <c r="A942" s="59"/>
      <c r="B942" s="59"/>
      <c r="C942" s="59"/>
      <c r="D942" s="59"/>
      <c r="E942" s="63"/>
      <c r="F942" s="64"/>
      <c r="G942" s="64"/>
      <c r="H942" s="64"/>
      <c r="I942" s="70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70"/>
      <c r="AA942" s="59"/>
      <c r="AB942" s="59"/>
      <c r="AC942" s="59"/>
      <c r="AD942" s="59"/>
      <c r="AE942" s="59"/>
      <c r="AF942" s="59"/>
    </row>
    <row r="943" ht="15.75" customHeight="1">
      <c r="A943" s="59"/>
      <c r="B943" s="59"/>
      <c r="C943" s="59"/>
      <c r="D943" s="59"/>
      <c r="E943" s="63"/>
      <c r="F943" s="64"/>
      <c r="G943" s="64"/>
      <c r="H943" s="64"/>
      <c r="I943" s="70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70"/>
      <c r="AA943" s="59"/>
      <c r="AB943" s="59"/>
      <c r="AC943" s="59"/>
      <c r="AD943" s="59"/>
      <c r="AE943" s="59"/>
      <c r="AF943" s="59"/>
    </row>
    <row r="944" ht="15.75" customHeight="1">
      <c r="A944" s="59"/>
      <c r="B944" s="59"/>
      <c r="C944" s="59"/>
      <c r="D944" s="59"/>
      <c r="E944" s="63"/>
      <c r="F944" s="64"/>
      <c r="G944" s="64"/>
      <c r="H944" s="64"/>
      <c r="I944" s="70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70"/>
      <c r="AA944" s="59"/>
      <c r="AB944" s="59"/>
      <c r="AC944" s="59"/>
      <c r="AD944" s="59"/>
      <c r="AE944" s="59"/>
      <c r="AF944" s="59"/>
    </row>
    <row r="945" ht="15.75" customHeight="1">
      <c r="A945" s="59"/>
      <c r="B945" s="59"/>
      <c r="C945" s="59"/>
      <c r="D945" s="59"/>
      <c r="E945" s="63"/>
      <c r="F945" s="64"/>
      <c r="G945" s="64"/>
      <c r="H945" s="64"/>
      <c r="I945" s="70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70"/>
      <c r="AA945" s="59"/>
      <c r="AB945" s="59"/>
      <c r="AC945" s="59"/>
      <c r="AD945" s="59"/>
      <c r="AE945" s="59"/>
      <c r="AF945" s="59"/>
    </row>
    <row r="946" ht="15.75" customHeight="1">
      <c r="A946" s="59"/>
      <c r="B946" s="59"/>
      <c r="C946" s="59"/>
      <c r="D946" s="59"/>
      <c r="E946" s="63"/>
      <c r="F946" s="64"/>
      <c r="G946" s="64"/>
      <c r="H946" s="64"/>
      <c r="I946" s="70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70"/>
      <c r="AA946" s="59"/>
      <c r="AB946" s="59"/>
      <c r="AC946" s="59"/>
      <c r="AD946" s="59"/>
      <c r="AE946" s="59"/>
      <c r="AF946" s="59"/>
    </row>
    <row r="947" ht="15.75" customHeight="1">
      <c r="A947" s="59"/>
      <c r="B947" s="59"/>
      <c r="C947" s="59"/>
      <c r="D947" s="59"/>
      <c r="E947" s="63"/>
      <c r="F947" s="64"/>
      <c r="G947" s="64"/>
      <c r="H947" s="64"/>
      <c r="I947" s="70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70"/>
      <c r="AA947" s="59"/>
      <c r="AB947" s="59"/>
      <c r="AC947" s="59"/>
      <c r="AD947" s="59"/>
      <c r="AE947" s="59"/>
      <c r="AF947" s="59"/>
    </row>
    <row r="948" ht="15.75" customHeight="1">
      <c r="A948" s="59"/>
      <c r="B948" s="59"/>
      <c r="C948" s="59"/>
      <c r="D948" s="59"/>
      <c r="E948" s="63"/>
      <c r="F948" s="64"/>
      <c r="G948" s="64"/>
      <c r="H948" s="64"/>
      <c r="I948" s="70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70"/>
      <c r="AA948" s="59"/>
      <c r="AB948" s="59"/>
      <c r="AC948" s="59"/>
      <c r="AD948" s="59"/>
      <c r="AE948" s="59"/>
      <c r="AF948" s="59"/>
    </row>
    <row r="949" ht="15.75" customHeight="1">
      <c r="A949" s="59"/>
      <c r="B949" s="59"/>
      <c r="C949" s="59"/>
      <c r="D949" s="59"/>
      <c r="E949" s="63"/>
      <c r="F949" s="64"/>
      <c r="G949" s="64"/>
      <c r="H949" s="64"/>
      <c r="I949" s="70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70"/>
      <c r="AA949" s="59"/>
      <c r="AB949" s="59"/>
      <c r="AC949" s="59"/>
      <c r="AD949" s="59"/>
      <c r="AE949" s="59"/>
      <c r="AF949" s="59"/>
    </row>
    <row r="950" ht="15.75" customHeight="1">
      <c r="A950" s="59"/>
      <c r="B950" s="59"/>
      <c r="C950" s="59"/>
      <c r="D950" s="59"/>
      <c r="E950" s="63"/>
      <c r="F950" s="64"/>
      <c r="G950" s="64"/>
      <c r="H950" s="64"/>
      <c r="I950" s="70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70"/>
      <c r="AA950" s="59"/>
      <c r="AB950" s="59"/>
      <c r="AC950" s="59"/>
      <c r="AD950" s="59"/>
      <c r="AE950" s="59"/>
      <c r="AF950" s="59"/>
    </row>
    <row r="951" ht="15.75" customHeight="1">
      <c r="A951" s="59"/>
      <c r="B951" s="59"/>
      <c r="C951" s="59"/>
      <c r="D951" s="59"/>
      <c r="E951" s="63"/>
      <c r="F951" s="64"/>
      <c r="G951" s="64"/>
      <c r="H951" s="64"/>
      <c r="I951" s="70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70"/>
      <c r="AA951" s="59"/>
      <c r="AB951" s="59"/>
      <c r="AC951" s="59"/>
      <c r="AD951" s="59"/>
      <c r="AE951" s="59"/>
      <c r="AF951" s="59"/>
    </row>
    <row r="952" ht="15.75" customHeight="1">
      <c r="A952" s="59"/>
      <c r="B952" s="59"/>
      <c r="C952" s="59"/>
      <c r="D952" s="59"/>
      <c r="E952" s="63"/>
      <c r="F952" s="64"/>
      <c r="G952" s="64"/>
      <c r="H952" s="64"/>
      <c r="I952" s="70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70"/>
      <c r="AA952" s="59"/>
      <c r="AB952" s="59"/>
      <c r="AC952" s="59"/>
      <c r="AD952" s="59"/>
      <c r="AE952" s="59"/>
      <c r="AF952" s="59"/>
    </row>
    <row r="953" ht="15.75" customHeight="1">
      <c r="A953" s="59"/>
      <c r="B953" s="59"/>
      <c r="C953" s="59"/>
      <c r="D953" s="59"/>
      <c r="E953" s="63"/>
      <c r="F953" s="64"/>
      <c r="G953" s="64"/>
      <c r="H953" s="64"/>
      <c r="I953" s="70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70"/>
      <c r="AA953" s="59"/>
      <c r="AB953" s="59"/>
      <c r="AC953" s="59"/>
      <c r="AD953" s="59"/>
      <c r="AE953" s="59"/>
      <c r="AF953" s="59"/>
    </row>
    <row r="954" ht="15.75" customHeight="1">
      <c r="A954" s="59"/>
      <c r="B954" s="59"/>
      <c r="C954" s="59"/>
      <c r="D954" s="59"/>
      <c r="E954" s="63"/>
      <c r="F954" s="64"/>
      <c r="G954" s="64"/>
      <c r="H954" s="64"/>
      <c r="I954" s="70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70"/>
      <c r="AA954" s="59"/>
      <c r="AB954" s="59"/>
      <c r="AC954" s="59"/>
      <c r="AD954" s="59"/>
      <c r="AE954" s="59"/>
      <c r="AF954" s="59"/>
    </row>
    <row r="955" ht="15.75" customHeight="1">
      <c r="A955" s="59"/>
      <c r="B955" s="59"/>
      <c r="C955" s="59"/>
      <c r="D955" s="59"/>
      <c r="E955" s="63"/>
      <c r="F955" s="64"/>
      <c r="G955" s="64"/>
      <c r="H955" s="64"/>
      <c r="I955" s="70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70"/>
      <c r="AA955" s="59"/>
      <c r="AB955" s="59"/>
      <c r="AC955" s="59"/>
      <c r="AD955" s="59"/>
      <c r="AE955" s="59"/>
      <c r="AF955" s="59"/>
    </row>
    <row r="956" ht="15.75" customHeight="1">
      <c r="A956" s="59"/>
      <c r="B956" s="59"/>
      <c r="C956" s="59"/>
      <c r="D956" s="59"/>
      <c r="E956" s="63"/>
      <c r="F956" s="64"/>
      <c r="G956" s="64"/>
      <c r="H956" s="64"/>
      <c r="I956" s="70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70"/>
      <c r="AA956" s="59"/>
      <c r="AB956" s="59"/>
      <c r="AC956" s="59"/>
      <c r="AD956" s="59"/>
      <c r="AE956" s="59"/>
      <c r="AF956" s="59"/>
    </row>
    <row r="957" ht="15.75" customHeight="1">
      <c r="A957" s="59"/>
      <c r="B957" s="59"/>
      <c r="C957" s="59"/>
      <c r="D957" s="59"/>
      <c r="E957" s="63"/>
      <c r="F957" s="64"/>
      <c r="G957" s="64"/>
      <c r="H957" s="64"/>
      <c r="I957" s="70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70"/>
      <c r="AA957" s="59"/>
      <c r="AB957" s="59"/>
      <c r="AC957" s="59"/>
      <c r="AD957" s="59"/>
      <c r="AE957" s="59"/>
      <c r="AF957" s="59"/>
    </row>
    <row r="958" ht="15.75" customHeight="1">
      <c r="A958" s="59"/>
      <c r="B958" s="59"/>
      <c r="C958" s="59"/>
      <c r="D958" s="59"/>
      <c r="E958" s="63"/>
      <c r="F958" s="64"/>
      <c r="G958" s="64"/>
      <c r="H958" s="64"/>
      <c r="I958" s="70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70"/>
      <c r="AA958" s="59"/>
      <c r="AB958" s="59"/>
      <c r="AC958" s="59"/>
      <c r="AD958" s="59"/>
      <c r="AE958" s="59"/>
      <c r="AF958" s="59"/>
    </row>
    <row r="959" ht="15.75" customHeight="1">
      <c r="A959" s="59"/>
      <c r="B959" s="59"/>
      <c r="C959" s="59"/>
      <c r="D959" s="59"/>
      <c r="E959" s="63"/>
      <c r="F959" s="64"/>
      <c r="G959" s="64"/>
      <c r="H959" s="64"/>
      <c r="I959" s="70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70"/>
      <c r="AA959" s="59"/>
      <c r="AB959" s="59"/>
      <c r="AC959" s="59"/>
      <c r="AD959" s="59"/>
      <c r="AE959" s="59"/>
      <c r="AF959" s="59"/>
    </row>
    <row r="960" ht="15.75" customHeight="1">
      <c r="A960" s="59"/>
      <c r="B960" s="59"/>
      <c r="C960" s="59"/>
      <c r="D960" s="59"/>
      <c r="E960" s="63"/>
      <c r="F960" s="64"/>
      <c r="G960" s="64"/>
      <c r="H960" s="64"/>
      <c r="I960" s="70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70"/>
      <c r="AA960" s="59"/>
      <c r="AB960" s="59"/>
      <c r="AC960" s="59"/>
      <c r="AD960" s="59"/>
      <c r="AE960" s="59"/>
      <c r="AF960" s="59"/>
    </row>
    <row r="961" ht="15.75" customHeight="1">
      <c r="A961" s="59"/>
      <c r="B961" s="59"/>
      <c r="C961" s="59"/>
      <c r="D961" s="59"/>
      <c r="E961" s="63"/>
      <c r="F961" s="64"/>
      <c r="G961" s="64"/>
      <c r="H961" s="64"/>
      <c r="I961" s="70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70"/>
      <c r="AA961" s="59"/>
      <c r="AB961" s="59"/>
      <c r="AC961" s="59"/>
      <c r="AD961" s="59"/>
      <c r="AE961" s="59"/>
      <c r="AF961" s="59"/>
    </row>
    <row r="962" ht="15.75" customHeight="1">
      <c r="A962" s="59"/>
      <c r="B962" s="59"/>
      <c r="C962" s="59"/>
      <c r="D962" s="59"/>
      <c r="E962" s="63"/>
      <c r="F962" s="64"/>
      <c r="G962" s="64"/>
      <c r="H962" s="64"/>
      <c r="I962" s="70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70"/>
      <c r="AA962" s="59"/>
      <c r="AB962" s="59"/>
      <c r="AC962" s="59"/>
      <c r="AD962" s="59"/>
      <c r="AE962" s="59"/>
      <c r="AF962" s="59"/>
    </row>
    <row r="963" ht="15.75" customHeight="1">
      <c r="A963" s="59"/>
      <c r="B963" s="59"/>
      <c r="C963" s="59"/>
      <c r="D963" s="59"/>
      <c r="E963" s="63"/>
      <c r="F963" s="64"/>
      <c r="G963" s="64"/>
      <c r="H963" s="64"/>
      <c r="I963" s="70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70"/>
      <c r="AA963" s="59"/>
      <c r="AB963" s="59"/>
      <c r="AC963" s="59"/>
      <c r="AD963" s="59"/>
      <c r="AE963" s="59"/>
      <c r="AF963" s="59"/>
    </row>
    <row r="964" ht="15.75" customHeight="1">
      <c r="A964" s="59"/>
      <c r="B964" s="59"/>
      <c r="C964" s="59"/>
      <c r="D964" s="59"/>
      <c r="E964" s="63"/>
      <c r="F964" s="64"/>
      <c r="G964" s="64"/>
      <c r="H964" s="64"/>
      <c r="I964" s="70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70"/>
      <c r="AA964" s="59"/>
      <c r="AB964" s="59"/>
      <c r="AC964" s="59"/>
      <c r="AD964" s="59"/>
      <c r="AE964" s="59"/>
      <c r="AF964" s="59"/>
    </row>
    <row r="965" ht="15.75" customHeight="1">
      <c r="A965" s="59"/>
      <c r="B965" s="59"/>
      <c r="C965" s="59"/>
      <c r="D965" s="59"/>
      <c r="E965" s="63"/>
      <c r="F965" s="64"/>
      <c r="G965" s="64"/>
      <c r="H965" s="64"/>
      <c r="I965" s="70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70"/>
      <c r="AA965" s="59"/>
      <c r="AB965" s="59"/>
      <c r="AC965" s="59"/>
      <c r="AD965" s="59"/>
      <c r="AE965" s="59"/>
      <c r="AF965" s="59"/>
    </row>
    <row r="966" ht="15.75" customHeight="1">
      <c r="A966" s="59"/>
      <c r="B966" s="59"/>
      <c r="C966" s="59"/>
      <c r="D966" s="59"/>
      <c r="E966" s="63"/>
      <c r="F966" s="64"/>
      <c r="G966" s="64"/>
      <c r="H966" s="64"/>
      <c r="I966" s="70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70"/>
      <c r="AA966" s="59"/>
      <c r="AB966" s="59"/>
      <c r="AC966" s="59"/>
      <c r="AD966" s="59"/>
      <c r="AE966" s="59"/>
      <c r="AF966" s="59"/>
    </row>
    <row r="967" ht="15.75" customHeight="1">
      <c r="A967" s="59"/>
      <c r="B967" s="59"/>
      <c r="C967" s="59"/>
      <c r="D967" s="59"/>
      <c r="E967" s="63"/>
      <c r="F967" s="64"/>
      <c r="G967" s="64"/>
      <c r="H967" s="64"/>
      <c r="I967" s="70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70"/>
      <c r="AA967" s="59"/>
      <c r="AB967" s="59"/>
      <c r="AC967" s="59"/>
      <c r="AD967" s="59"/>
      <c r="AE967" s="59"/>
      <c r="AF967" s="59"/>
    </row>
    <row r="968" ht="15.75" customHeight="1">
      <c r="A968" s="59"/>
      <c r="B968" s="59"/>
      <c r="C968" s="59"/>
      <c r="D968" s="59"/>
      <c r="E968" s="63"/>
      <c r="F968" s="64"/>
      <c r="G968" s="64"/>
      <c r="H968" s="64"/>
      <c r="I968" s="70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70"/>
      <c r="AA968" s="59"/>
      <c r="AB968" s="59"/>
      <c r="AC968" s="59"/>
      <c r="AD968" s="59"/>
      <c r="AE968" s="59"/>
      <c r="AF968" s="59"/>
    </row>
    <row r="969" ht="15.75" customHeight="1">
      <c r="A969" s="59"/>
      <c r="B969" s="59"/>
      <c r="C969" s="59"/>
      <c r="D969" s="59"/>
      <c r="E969" s="63"/>
      <c r="F969" s="64"/>
      <c r="G969" s="64"/>
      <c r="H969" s="64"/>
      <c r="I969" s="70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70"/>
      <c r="AA969" s="59"/>
      <c r="AB969" s="59"/>
      <c r="AC969" s="59"/>
      <c r="AD969" s="59"/>
      <c r="AE969" s="59"/>
      <c r="AF969" s="59"/>
    </row>
    <row r="970" ht="15.75" customHeight="1">
      <c r="A970" s="59"/>
      <c r="B970" s="59"/>
      <c r="C970" s="59"/>
      <c r="D970" s="59"/>
      <c r="E970" s="63"/>
      <c r="F970" s="64"/>
      <c r="G970" s="64"/>
      <c r="H970" s="64"/>
      <c r="I970" s="70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70"/>
      <c r="AA970" s="59"/>
      <c r="AB970" s="59"/>
      <c r="AC970" s="59"/>
      <c r="AD970" s="59"/>
      <c r="AE970" s="59"/>
      <c r="AF970" s="59"/>
    </row>
    <row r="971" ht="15.75" customHeight="1">
      <c r="A971" s="59"/>
      <c r="B971" s="59"/>
      <c r="C971" s="59"/>
      <c r="D971" s="59"/>
      <c r="E971" s="63"/>
      <c r="F971" s="64"/>
      <c r="G971" s="64"/>
      <c r="H971" s="64"/>
      <c r="I971" s="70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70"/>
      <c r="AA971" s="59"/>
      <c r="AB971" s="59"/>
      <c r="AC971" s="59"/>
      <c r="AD971" s="59"/>
      <c r="AE971" s="59"/>
      <c r="AF971" s="59"/>
    </row>
    <row r="972" ht="15.75" customHeight="1">
      <c r="A972" s="59"/>
      <c r="B972" s="59"/>
      <c r="C972" s="59"/>
      <c r="D972" s="59"/>
      <c r="E972" s="63"/>
      <c r="F972" s="64"/>
      <c r="G972" s="64"/>
      <c r="H972" s="64"/>
      <c r="I972" s="70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70"/>
      <c r="AA972" s="59"/>
      <c r="AB972" s="59"/>
      <c r="AC972" s="59"/>
      <c r="AD972" s="59"/>
      <c r="AE972" s="59"/>
      <c r="AF972" s="59"/>
    </row>
    <row r="973" ht="15.75" customHeight="1">
      <c r="A973" s="59"/>
      <c r="B973" s="59"/>
      <c r="C973" s="59"/>
      <c r="D973" s="59"/>
      <c r="E973" s="63"/>
      <c r="F973" s="64"/>
      <c r="G973" s="64"/>
      <c r="H973" s="64"/>
      <c r="I973" s="70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70"/>
      <c r="AA973" s="59"/>
      <c r="AB973" s="59"/>
      <c r="AC973" s="59"/>
      <c r="AD973" s="59"/>
      <c r="AE973" s="59"/>
      <c r="AF973" s="59"/>
    </row>
    <row r="974" ht="15.75" customHeight="1">
      <c r="A974" s="59"/>
      <c r="B974" s="59"/>
      <c r="C974" s="59"/>
      <c r="D974" s="59"/>
      <c r="E974" s="63"/>
      <c r="F974" s="64"/>
      <c r="G974" s="64"/>
      <c r="H974" s="64"/>
      <c r="I974" s="70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70"/>
      <c r="AA974" s="59"/>
      <c r="AB974" s="59"/>
      <c r="AC974" s="59"/>
      <c r="AD974" s="59"/>
      <c r="AE974" s="59"/>
      <c r="AF974" s="59"/>
    </row>
    <row r="975" ht="15.75" customHeight="1">
      <c r="A975" s="59"/>
      <c r="B975" s="59"/>
      <c r="C975" s="59"/>
      <c r="D975" s="59"/>
      <c r="E975" s="63"/>
      <c r="F975" s="64"/>
      <c r="G975" s="64"/>
      <c r="H975" s="64"/>
      <c r="I975" s="70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70"/>
      <c r="AA975" s="59"/>
      <c r="AB975" s="59"/>
      <c r="AC975" s="59"/>
      <c r="AD975" s="59"/>
      <c r="AE975" s="59"/>
      <c r="AF975" s="59"/>
    </row>
    <row r="976" ht="15.75" customHeight="1">
      <c r="A976" s="59"/>
      <c r="B976" s="59"/>
      <c r="C976" s="59"/>
      <c r="D976" s="59"/>
      <c r="E976" s="63"/>
      <c r="F976" s="64"/>
      <c r="G976" s="64"/>
      <c r="H976" s="64"/>
      <c r="I976" s="70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70"/>
      <c r="AA976" s="59"/>
      <c r="AB976" s="59"/>
      <c r="AC976" s="59"/>
      <c r="AD976" s="59"/>
      <c r="AE976" s="59"/>
      <c r="AF976" s="59"/>
    </row>
    <row r="977" ht="15.75" customHeight="1">
      <c r="A977" s="59"/>
      <c r="B977" s="59"/>
      <c r="C977" s="59"/>
      <c r="D977" s="59"/>
      <c r="E977" s="63"/>
      <c r="F977" s="64"/>
      <c r="G977" s="64"/>
      <c r="H977" s="64"/>
      <c r="I977" s="70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70"/>
      <c r="AA977" s="59"/>
      <c r="AB977" s="59"/>
      <c r="AC977" s="59"/>
      <c r="AD977" s="59"/>
      <c r="AE977" s="59"/>
      <c r="AF977" s="59"/>
    </row>
    <row r="978" ht="15.75" customHeight="1">
      <c r="A978" s="59"/>
      <c r="B978" s="59"/>
      <c r="C978" s="59"/>
      <c r="D978" s="59"/>
      <c r="E978" s="63"/>
      <c r="F978" s="64"/>
      <c r="G978" s="64"/>
      <c r="H978" s="64"/>
      <c r="I978" s="70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70"/>
      <c r="AA978" s="59"/>
      <c r="AB978" s="59"/>
      <c r="AC978" s="59"/>
      <c r="AD978" s="59"/>
      <c r="AE978" s="59"/>
      <c r="AF978" s="59"/>
    </row>
    <row r="979" ht="15.75" customHeight="1">
      <c r="A979" s="59"/>
      <c r="B979" s="59"/>
      <c r="C979" s="59"/>
      <c r="D979" s="59"/>
      <c r="E979" s="63"/>
      <c r="F979" s="64"/>
      <c r="G979" s="64"/>
      <c r="H979" s="64"/>
      <c r="I979" s="70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70"/>
      <c r="AA979" s="59"/>
      <c r="AB979" s="59"/>
      <c r="AC979" s="59"/>
      <c r="AD979" s="59"/>
      <c r="AE979" s="59"/>
      <c r="AF979" s="59"/>
    </row>
    <row r="980" ht="15.75" customHeight="1">
      <c r="A980" s="59"/>
      <c r="B980" s="59"/>
      <c r="C980" s="59"/>
      <c r="D980" s="59"/>
      <c r="E980" s="63"/>
      <c r="F980" s="64"/>
      <c r="G980" s="64"/>
      <c r="H980" s="64"/>
      <c r="I980" s="70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70"/>
      <c r="AA980" s="59"/>
      <c r="AB980" s="59"/>
      <c r="AC980" s="59"/>
      <c r="AD980" s="59"/>
      <c r="AE980" s="59"/>
      <c r="AF980" s="59"/>
    </row>
    <row r="981" ht="15.75" customHeight="1">
      <c r="A981" s="59"/>
      <c r="B981" s="59"/>
      <c r="C981" s="59"/>
      <c r="D981" s="59"/>
      <c r="E981" s="63"/>
      <c r="F981" s="64"/>
      <c r="G981" s="64"/>
      <c r="H981" s="64"/>
      <c r="I981" s="70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70"/>
      <c r="AA981" s="59"/>
      <c r="AB981" s="59"/>
      <c r="AC981" s="59"/>
      <c r="AD981" s="59"/>
      <c r="AE981" s="59"/>
      <c r="AF981" s="59"/>
    </row>
    <row r="982" ht="15.75" customHeight="1">
      <c r="A982" s="59"/>
      <c r="B982" s="59"/>
      <c r="C982" s="59"/>
      <c r="D982" s="59"/>
      <c r="E982" s="63"/>
      <c r="F982" s="64"/>
      <c r="G982" s="64"/>
      <c r="H982" s="64"/>
      <c r="I982" s="70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70"/>
      <c r="AA982" s="59"/>
      <c r="AB982" s="59"/>
      <c r="AC982" s="59"/>
      <c r="AD982" s="59"/>
      <c r="AE982" s="59"/>
      <c r="AF982" s="59"/>
    </row>
    <row r="983" ht="15.75" customHeight="1">
      <c r="A983" s="59"/>
      <c r="B983" s="59"/>
      <c r="C983" s="59"/>
      <c r="D983" s="59"/>
      <c r="E983" s="63"/>
      <c r="F983" s="64"/>
      <c r="G983" s="64"/>
      <c r="H983" s="64"/>
      <c r="I983" s="70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70"/>
      <c r="AA983" s="59"/>
      <c r="AB983" s="59"/>
      <c r="AC983" s="59"/>
      <c r="AD983" s="59"/>
      <c r="AE983" s="59"/>
      <c r="AF983" s="59"/>
    </row>
    <row r="984" ht="15.75" customHeight="1">
      <c r="A984" s="59"/>
      <c r="B984" s="59"/>
      <c r="C984" s="59"/>
      <c r="D984" s="59"/>
      <c r="E984" s="63"/>
      <c r="F984" s="64"/>
      <c r="G984" s="64"/>
      <c r="H984" s="64"/>
      <c r="I984" s="70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70"/>
      <c r="AA984" s="59"/>
      <c r="AB984" s="59"/>
      <c r="AC984" s="59"/>
      <c r="AD984" s="59"/>
      <c r="AE984" s="59"/>
      <c r="AF984" s="59"/>
    </row>
    <row r="985" ht="15.75" customHeight="1">
      <c r="A985" s="59"/>
      <c r="B985" s="59"/>
      <c r="C985" s="59"/>
      <c r="D985" s="59"/>
      <c r="E985" s="63"/>
      <c r="F985" s="64"/>
      <c r="G985" s="64"/>
      <c r="H985" s="64"/>
      <c r="I985" s="70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70"/>
      <c r="AA985" s="59"/>
      <c r="AB985" s="59"/>
      <c r="AC985" s="59"/>
      <c r="AD985" s="59"/>
      <c r="AE985" s="59"/>
      <c r="AF985" s="59"/>
    </row>
    <row r="986" ht="15.75" customHeight="1">
      <c r="A986" s="59"/>
      <c r="B986" s="59"/>
      <c r="C986" s="59"/>
      <c r="D986" s="59"/>
      <c r="E986" s="63"/>
      <c r="F986" s="64"/>
      <c r="G986" s="64"/>
      <c r="H986" s="64"/>
      <c r="I986" s="70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70"/>
      <c r="AA986" s="59"/>
      <c r="AB986" s="59"/>
      <c r="AC986" s="59"/>
      <c r="AD986" s="59"/>
      <c r="AE986" s="59"/>
      <c r="AF986" s="59"/>
    </row>
    <row r="987" ht="15.75" customHeight="1">
      <c r="A987" s="59"/>
      <c r="B987" s="59"/>
      <c r="C987" s="59"/>
      <c r="D987" s="59"/>
      <c r="E987" s="63"/>
      <c r="F987" s="64"/>
      <c r="G987" s="64"/>
      <c r="H987" s="64"/>
      <c r="I987" s="70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70"/>
      <c r="AA987" s="59"/>
      <c r="AB987" s="59"/>
      <c r="AC987" s="59"/>
      <c r="AD987" s="59"/>
      <c r="AE987" s="59"/>
      <c r="AF987" s="59"/>
    </row>
    <row r="988" ht="15.75" customHeight="1">
      <c r="A988" s="59"/>
      <c r="B988" s="59"/>
      <c r="C988" s="59"/>
      <c r="D988" s="59"/>
      <c r="E988" s="63"/>
      <c r="F988" s="64"/>
      <c r="G988" s="64"/>
      <c r="H988" s="64"/>
      <c r="I988" s="70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70"/>
      <c r="AA988" s="59"/>
      <c r="AB988" s="59"/>
      <c r="AC988" s="59"/>
      <c r="AD988" s="59"/>
      <c r="AE988" s="59"/>
      <c r="AF988" s="59"/>
    </row>
    <row r="989" ht="15.75" customHeight="1">
      <c r="A989" s="59"/>
      <c r="B989" s="59"/>
      <c r="C989" s="59"/>
      <c r="D989" s="59"/>
      <c r="E989" s="63"/>
      <c r="F989" s="64"/>
      <c r="G989" s="64"/>
      <c r="H989" s="64"/>
      <c r="I989" s="70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70"/>
      <c r="AA989" s="59"/>
      <c r="AB989" s="59"/>
      <c r="AC989" s="59"/>
      <c r="AD989" s="59"/>
      <c r="AE989" s="59"/>
      <c r="AF989" s="59"/>
    </row>
    <row r="990" ht="15.75" customHeight="1">
      <c r="A990" s="59"/>
      <c r="B990" s="59"/>
      <c r="C990" s="59"/>
      <c r="D990" s="59"/>
      <c r="E990" s="63"/>
      <c r="F990" s="64"/>
      <c r="G990" s="64"/>
      <c r="H990" s="64"/>
      <c r="I990" s="70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70"/>
      <c r="AA990" s="59"/>
      <c r="AB990" s="59"/>
      <c r="AC990" s="59"/>
      <c r="AD990" s="59"/>
      <c r="AE990" s="59"/>
      <c r="AF990" s="59"/>
    </row>
    <row r="991" ht="15.75" customHeight="1">
      <c r="A991" s="59"/>
      <c r="B991" s="59"/>
      <c r="C991" s="59"/>
      <c r="D991" s="59"/>
      <c r="E991" s="63"/>
      <c r="F991" s="64"/>
      <c r="G991" s="64"/>
      <c r="H991" s="64"/>
      <c r="I991" s="70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70"/>
      <c r="AA991" s="59"/>
      <c r="AB991" s="59"/>
      <c r="AC991" s="59"/>
      <c r="AD991" s="59"/>
      <c r="AE991" s="59"/>
      <c r="AF991" s="59"/>
    </row>
    <row r="992" ht="15.75" customHeight="1">
      <c r="A992" s="59"/>
      <c r="B992" s="59"/>
      <c r="C992" s="59"/>
      <c r="D992" s="59"/>
      <c r="E992" s="63"/>
      <c r="F992" s="64"/>
      <c r="G992" s="64"/>
      <c r="H992" s="64"/>
      <c r="I992" s="70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70"/>
      <c r="AA992" s="59"/>
      <c r="AB992" s="59"/>
      <c r="AC992" s="59"/>
      <c r="AD992" s="59"/>
      <c r="AE992" s="59"/>
      <c r="AF992" s="59"/>
    </row>
    <row r="993" ht="15.75" customHeight="1">
      <c r="A993" s="59"/>
      <c r="B993" s="59"/>
      <c r="C993" s="59"/>
      <c r="D993" s="59"/>
      <c r="E993" s="63"/>
      <c r="F993" s="64"/>
      <c r="G993" s="64"/>
      <c r="H993" s="64"/>
      <c r="I993" s="70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70"/>
      <c r="AA993" s="59"/>
      <c r="AB993" s="59"/>
      <c r="AC993" s="59"/>
      <c r="AD993" s="59"/>
      <c r="AE993" s="59"/>
      <c r="AF993" s="59"/>
    </row>
    <row r="994" ht="15.75" customHeight="1">
      <c r="A994" s="59"/>
      <c r="B994" s="59"/>
      <c r="C994" s="59"/>
      <c r="D994" s="59"/>
      <c r="E994" s="63"/>
      <c r="F994" s="64"/>
      <c r="G994" s="64"/>
      <c r="H994" s="64"/>
      <c r="I994" s="70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70"/>
      <c r="AA994" s="59"/>
      <c r="AB994" s="59"/>
      <c r="AC994" s="59"/>
      <c r="AD994" s="59"/>
      <c r="AE994" s="59"/>
      <c r="AF994" s="59"/>
    </row>
    <row r="995" ht="15.75" customHeight="1">
      <c r="A995" s="59"/>
      <c r="B995" s="59"/>
      <c r="C995" s="59"/>
      <c r="D995" s="59"/>
      <c r="E995" s="63"/>
      <c r="F995" s="64"/>
      <c r="G995" s="64"/>
      <c r="H995" s="64"/>
      <c r="I995" s="70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70"/>
      <c r="AA995" s="59"/>
      <c r="AB995" s="59"/>
      <c r="AC995" s="59"/>
      <c r="AD995" s="59"/>
      <c r="AE995" s="59"/>
      <c r="AF995" s="59"/>
    </row>
    <row r="996" ht="15.75" customHeight="1">
      <c r="A996" s="59"/>
      <c r="B996" s="59"/>
      <c r="C996" s="59"/>
      <c r="D996" s="59"/>
      <c r="E996" s="63"/>
      <c r="F996" s="64"/>
      <c r="G996" s="64"/>
      <c r="H996" s="64"/>
      <c r="I996" s="70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70"/>
      <c r="AA996" s="59"/>
      <c r="AB996" s="59"/>
      <c r="AC996" s="59"/>
      <c r="AD996" s="59"/>
      <c r="AE996" s="59"/>
      <c r="AF996" s="59"/>
    </row>
    <row r="997" ht="15.75" customHeight="1">
      <c r="A997" s="59"/>
      <c r="B997" s="59"/>
      <c r="C997" s="59"/>
      <c r="D997" s="59"/>
      <c r="E997" s="63"/>
      <c r="F997" s="64"/>
      <c r="G997" s="64"/>
      <c r="H997" s="64"/>
      <c r="I997" s="70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70"/>
      <c r="AA997" s="59"/>
      <c r="AB997" s="59"/>
      <c r="AC997" s="59"/>
      <c r="AD997" s="59"/>
      <c r="AE997" s="59"/>
      <c r="AF997" s="59"/>
    </row>
    <row r="998" ht="15.75" customHeight="1">
      <c r="A998" s="59"/>
      <c r="B998" s="59"/>
      <c r="C998" s="59"/>
      <c r="D998" s="59"/>
      <c r="E998" s="63"/>
      <c r="F998" s="64"/>
      <c r="G998" s="64"/>
      <c r="H998" s="64"/>
      <c r="I998" s="70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70"/>
      <c r="AA998" s="59"/>
      <c r="AB998" s="59"/>
      <c r="AC998" s="59"/>
      <c r="AD998" s="59"/>
      <c r="AE998" s="59"/>
      <c r="AF998" s="59"/>
    </row>
    <row r="999" ht="15.75" customHeight="1">
      <c r="A999" s="59"/>
      <c r="B999" s="59"/>
      <c r="C999" s="59"/>
      <c r="D999" s="59"/>
      <c r="E999" s="63"/>
      <c r="F999" s="64"/>
      <c r="G999" s="64"/>
      <c r="H999" s="64"/>
      <c r="I999" s="70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70"/>
      <c r="AA999" s="59"/>
      <c r="AB999" s="59"/>
      <c r="AC999" s="59"/>
      <c r="AD999" s="59"/>
      <c r="AE999" s="59"/>
      <c r="AF999" s="59"/>
    </row>
  </sheetData>
  <mergeCells count="5">
    <mergeCell ref="I1:L1"/>
    <mergeCell ref="M1:P1"/>
    <mergeCell ref="Q1:S1"/>
    <mergeCell ref="T1:V1"/>
    <mergeCell ref="W1:Y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92.0"/>
    <col customWidth="1" min="3" max="26" width="8.71"/>
  </cols>
  <sheetData>
    <row r="1">
      <c r="A1" s="2" t="s">
        <v>14572</v>
      </c>
      <c r="B1" s="2" t="s">
        <v>14573</v>
      </c>
    </row>
    <row r="2">
      <c r="A2" s="4" t="s">
        <v>14574</v>
      </c>
      <c r="B2" s="4" t="s">
        <v>14575</v>
      </c>
    </row>
    <row r="3">
      <c r="A3" s="4" t="s">
        <v>14576</v>
      </c>
      <c r="B3" s="4" t="s">
        <v>14577</v>
      </c>
    </row>
    <row r="4">
      <c r="A4" s="4" t="s">
        <v>14578</v>
      </c>
      <c r="B4" s="4" t="s">
        <v>14579</v>
      </c>
    </row>
    <row r="5">
      <c r="A5" s="4" t="s">
        <v>14580</v>
      </c>
      <c r="B5" s="4" t="s">
        <v>14581</v>
      </c>
    </row>
    <row r="6">
      <c r="A6" s="4" t="s">
        <v>14582</v>
      </c>
      <c r="B6" s="4" t="s">
        <v>14583</v>
      </c>
    </row>
    <row r="7">
      <c r="A7" s="4" t="s">
        <v>14584</v>
      </c>
      <c r="B7" s="4" t="s">
        <v>14585</v>
      </c>
    </row>
    <row r="8">
      <c r="A8" s="4" t="s">
        <v>14586</v>
      </c>
      <c r="B8" s="4" t="s">
        <v>14587</v>
      </c>
    </row>
    <row r="9">
      <c r="A9" s="4" t="s">
        <v>14588</v>
      </c>
      <c r="B9" s="4" t="s">
        <v>14589</v>
      </c>
    </row>
    <row r="10">
      <c r="A10" s="4" t="s">
        <v>14590</v>
      </c>
      <c r="B10" s="4" t="s">
        <v>14591</v>
      </c>
    </row>
    <row r="11">
      <c r="A11" s="4" t="s">
        <v>14592</v>
      </c>
      <c r="B11" s="4" t="s">
        <v>14593</v>
      </c>
    </row>
    <row r="12">
      <c r="A12" s="4" t="s">
        <v>14594</v>
      </c>
      <c r="B12" s="4" t="s">
        <v>14595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